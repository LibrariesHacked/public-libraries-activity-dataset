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rtscouncilengland-my.sharepoint.com/personal/catherine_hammersley_artscouncil_org_uk/Documents/Desktop/Libraries Activities/"/>
    </mc:Choice>
  </mc:AlternateContent>
  <xr:revisionPtr revIDLastSave="120" documentId="14_{B138BA59-0618-4D2D-812F-5755D94F90E5}" xr6:coauthVersionLast="47" xr6:coauthVersionMax="47" xr10:uidLastSave="{5B1191F2-E80B-4874-B858-A4F228FC0847}"/>
  <workbookProtection workbookAlgorithmName="SHA-512" workbookHashValue="dlJI3ATEjdterXLiu/FZEWIU5h4RffxApr73ib9ApEBWazCK6JgIF72hOkLq+/pUjAU+u15SOfBO3wJDFAXs2w==" workbookSaltValue="gKLe75pu5Ced6FQPgxZUuQ==" workbookSpinCount="100000" lockStructure="1"/>
  <bookViews>
    <workbookView xWindow="-110" yWindow="-110" windowWidth="19420" windowHeight="10300" xr2:uid="{6F9D4E98-54F3-496B-AA3A-251E95108776}"/>
  </bookViews>
  <sheets>
    <sheet name="Notes and caveats" sheetId="5" r:id="rId1"/>
    <sheet name="Usable data 2425" sheetId="6" r:id="rId2"/>
    <sheet name="Usable data 2526" sheetId="1" r:id="rId3"/>
    <sheet name="Tables" sheetId="7" r:id="rId4"/>
    <sheet name="Sheet1" sheetId="10" state="hidden" r:id="rId5"/>
    <sheet name="Summary Data" sheetId="8" state="hidden" r:id="rId6"/>
  </sheets>
  <definedNames>
    <definedName name="_xlnm._FilterDatabase" localSheetId="1" hidden="1">'Usable data 2425'!$A$2:$UA$117</definedName>
    <definedName name="_xlnm._FilterDatabase" localSheetId="2" hidden="1">'Usable data 2526'!$A$2:$UB$111</definedName>
    <definedName name="LibraryServiceList">Sheet1!$A$2:$A$134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9" i="7" l="1"/>
  <c r="K29" i="7"/>
  <c r="JJ14" i="1"/>
  <c r="Q5" i="7"/>
  <c r="R5" i="7"/>
  <c r="S5" i="7"/>
  <c r="Q6" i="7"/>
  <c r="R6" i="7"/>
  <c r="S6" i="7"/>
  <c r="Q7" i="7"/>
  <c r="R7" i="7"/>
  <c r="S7" i="7"/>
  <c r="Q8" i="7"/>
  <c r="R8" i="7"/>
  <c r="S8" i="7"/>
  <c r="Q10" i="7"/>
  <c r="R10" i="7"/>
  <c r="S10" i="7"/>
  <c r="Q11" i="7"/>
  <c r="R11" i="7"/>
  <c r="S11" i="7"/>
  <c r="Q12" i="7"/>
  <c r="R12" i="7"/>
  <c r="S12" i="7"/>
  <c r="Q13" i="7"/>
  <c r="R13" i="7"/>
  <c r="S13" i="7"/>
  <c r="Q14" i="7"/>
  <c r="R14" i="7"/>
  <c r="S14" i="7"/>
  <c r="Q15" i="7"/>
  <c r="R15" i="7"/>
  <c r="S15" i="7"/>
  <c r="Q16" i="7"/>
  <c r="R16" i="7"/>
  <c r="S16" i="7"/>
  <c r="Q17" i="7"/>
  <c r="R17" i="7"/>
  <c r="S17" i="7"/>
  <c r="Q19" i="7"/>
  <c r="R19" i="7"/>
  <c r="S19" i="7"/>
  <c r="Q20" i="7"/>
  <c r="R20" i="7"/>
  <c r="S20" i="7"/>
  <c r="Q21" i="7"/>
  <c r="R21" i="7"/>
  <c r="S21" i="7"/>
  <c r="Q22" i="7"/>
  <c r="R22" i="7"/>
  <c r="S22" i="7"/>
  <c r="Q23" i="7"/>
  <c r="R23" i="7"/>
  <c r="S23" i="7"/>
  <c r="Q24" i="7"/>
  <c r="R24" i="7"/>
  <c r="S24" i="7"/>
  <c r="Q25" i="7"/>
  <c r="R25" i="7"/>
  <c r="S25" i="7"/>
  <c r="Q26" i="7"/>
  <c r="R26" i="7"/>
  <c r="S26" i="7"/>
  <c r="Q28" i="7"/>
  <c r="R28" i="7"/>
  <c r="S28" i="7"/>
  <c r="Q29" i="7"/>
  <c r="R29" i="7"/>
  <c r="Q30" i="7"/>
  <c r="R30" i="7"/>
  <c r="S30" i="7"/>
  <c r="Q31" i="7"/>
  <c r="R31" i="7"/>
  <c r="S31" i="7"/>
  <c r="Q32" i="7"/>
  <c r="R32" i="7"/>
  <c r="S32" i="7"/>
  <c r="Q33" i="7"/>
  <c r="R33" i="7"/>
  <c r="S33" i="7"/>
  <c r="Q34" i="7"/>
  <c r="R34" i="7"/>
  <c r="S34" i="7"/>
  <c r="Q35" i="7"/>
  <c r="R35" i="7"/>
  <c r="S35" i="7"/>
  <c r="Q37" i="7"/>
  <c r="R37" i="7"/>
  <c r="S37" i="7"/>
  <c r="Q38" i="7"/>
  <c r="R38" i="7"/>
  <c r="S38" i="7"/>
  <c r="Q39" i="7"/>
  <c r="R39" i="7"/>
  <c r="S39" i="7"/>
  <c r="Q40" i="7"/>
  <c r="R40" i="7"/>
  <c r="S40" i="7"/>
  <c r="Q41" i="7"/>
  <c r="R41" i="7"/>
  <c r="S41" i="7"/>
  <c r="Q42" i="7"/>
  <c r="R42" i="7"/>
  <c r="S42" i="7"/>
  <c r="Q43" i="7"/>
  <c r="R43" i="7"/>
  <c r="S43" i="7"/>
  <c r="Q44" i="7"/>
  <c r="R44" i="7"/>
  <c r="S44" i="7"/>
  <c r="Q46" i="7"/>
  <c r="R46" i="7"/>
  <c r="S46" i="7"/>
  <c r="Q47" i="7"/>
  <c r="R47" i="7"/>
  <c r="S47" i="7"/>
  <c r="Q49" i="7"/>
  <c r="R49" i="7"/>
  <c r="S49" i="7"/>
  <c r="Q50" i="7"/>
  <c r="R50" i="7"/>
  <c r="S50" i="7"/>
  <c r="Q51" i="7"/>
  <c r="R51" i="7"/>
  <c r="S51" i="7"/>
  <c r="Q53" i="7"/>
  <c r="R53" i="7"/>
  <c r="S53" i="7"/>
  <c r="Q54" i="7"/>
  <c r="R54" i="7"/>
  <c r="S54" i="7"/>
  <c r="H5" i="7"/>
  <c r="I5" i="7"/>
  <c r="J5" i="7"/>
  <c r="K5" i="7"/>
  <c r="H6" i="7"/>
  <c r="I6" i="7"/>
  <c r="J6" i="7"/>
  <c r="K6" i="7"/>
  <c r="H7" i="7"/>
  <c r="I7" i="7"/>
  <c r="J7" i="7"/>
  <c r="K7" i="7"/>
  <c r="H8" i="7"/>
  <c r="I8" i="7"/>
  <c r="J8" i="7"/>
  <c r="K8" i="7"/>
  <c r="H10" i="7"/>
  <c r="I10" i="7"/>
  <c r="J10" i="7"/>
  <c r="K10" i="7"/>
  <c r="H11" i="7"/>
  <c r="I11" i="7"/>
  <c r="J11" i="7"/>
  <c r="K11" i="7"/>
  <c r="H12" i="7"/>
  <c r="I12" i="7"/>
  <c r="J12" i="7"/>
  <c r="K12" i="7"/>
  <c r="H13" i="7"/>
  <c r="I13" i="7"/>
  <c r="J13" i="7"/>
  <c r="K13" i="7"/>
  <c r="H14" i="7"/>
  <c r="I14" i="7"/>
  <c r="J14" i="7"/>
  <c r="K14" i="7"/>
  <c r="H15" i="7"/>
  <c r="I15" i="7"/>
  <c r="J15" i="7"/>
  <c r="K15" i="7"/>
  <c r="H16" i="7"/>
  <c r="I16" i="7"/>
  <c r="J16" i="7"/>
  <c r="K16" i="7"/>
  <c r="H17" i="7"/>
  <c r="I17" i="7"/>
  <c r="J17" i="7"/>
  <c r="K17" i="7"/>
  <c r="H19" i="7"/>
  <c r="I19" i="7"/>
  <c r="J19" i="7"/>
  <c r="K19" i="7"/>
  <c r="H20" i="7"/>
  <c r="I20" i="7"/>
  <c r="J20" i="7"/>
  <c r="K20" i="7"/>
  <c r="H21" i="7"/>
  <c r="I21" i="7"/>
  <c r="J21" i="7"/>
  <c r="K21" i="7"/>
  <c r="H22" i="7"/>
  <c r="I22" i="7"/>
  <c r="J22" i="7"/>
  <c r="K22" i="7"/>
  <c r="H23" i="7"/>
  <c r="I23" i="7"/>
  <c r="J23" i="7"/>
  <c r="K23" i="7"/>
  <c r="H24" i="7"/>
  <c r="I24" i="7"/>
  <c r="J24" i="7"/>
  <c r="K24" i="7"/>
  <c r="H25" i="7"/>
  <c r="I25" i="7"/>
  <c r="J25" i="7"/>
  <c r="K25" i="7"/>
  <c r="H26" i="7"/>
  <c r="I26" i="7"/>
  <c r="J26" i="7"/>
  <c r="K26" i="7"/>
  <c r="H28" i="7"/>
  <c r="I28" i="7"/>
  <c r="J28" i="7"/>
  <c r="K28" i="7"/>
  <c r="H29" i="7"/>
  <c r="I29" i="7"/>
  <c r="J29" i="7"/>
  <c r="H30" i="7"/>
  <c r="I30" i="7"/>
  <c r="J30" i="7"/>
  <c r="K30" i="7"/>
  <c r="H31" i="7"/>
  <c r="I31" i="7"/>
  <c r="J31" i="7"/>
  <c r="K31" i="7"/>
  <c r="H32" i="7"/>
  <c r="I32" i="7"/>
  <c r="J32" i="7"/>
  <c r="K32" i="7"/>
  <c r="H33" i="7"/>
  <c r="I33" i="7"/>
  <c r="J33" i="7"/>
  <c r="K33" i="7"/>
  <c r="H34" i="7"/>
  <c r="I34" i="7"/>
  <c r="J34" i="7"/>
  <c r="K34" i="7"/>
  <c r="H35" i="7"/>
  <c r="I35" i="7"/>
  <c r="J35" i="7"/>
  <c r="K35" i="7"/>
  <c r="H37" i="7"/>
  <c r="I37" i="7"/>
  <c r="J37" i="7"/>
  <c r="K37" i="7"/>
  <c r="H38" i="7"/>
  <c r="I38" i="7"/>
  <c r="J38" i="7"/>
  <c r="K38" i="7"/>
  <c r="H39" i="7"/>
  <c r="I39" i="7"/>
  <c r="J39" i="7"/>
  <c r="K39" i="7"/>
  <c r="H40" i="7"/>
  <c r="I40" i="7"/>
  <c r="J40" i="7"/>
  <c r="K40" i="7"/>
  <c r="H41" i="7"/>
  <c r="I41" i="7"/>
  <c r="J41" i="7"/>
  <c r="K41" i="7"/>
  <c r="H42" i="7"/>
  <c r="I42" i="7"/>
  <c r="J42" i="7"/>
  <c r="K42" i="7"/>
  <c r="H43" i="7"/>
  <c r="I43" i="7"/>
  <c r="J43" i="7"/>
  <c r="K43" i="7"/>
  <c r="H44" i="7"/>
  <c r="I44" i="7"/>
  <c r="J44" i="7"/>
  <c r="K44" i="7"/>
  <c r="H46" i="7"/>
  <c r="I46" i="7"/>
  <c r="J46" i="7"/>
  <c r="K46" i="7"/>
  <c r="H47" i="7"/>
  <c r="I47" i="7"/>
  <c r="J47" i="7"/>
  <c r="K47" i="7"/>
  <c r="H49" i="7"/>
  <c r="I49" i="7"/>
  <c r="J49" i="7"/>
  <c r="K49" i="7"/>
  <c r="H50" i="7"/>
  <c r="I50" i="7"/>
  <c r="J50" i="7"/>
  <c r="K50" i="7"/>
  <c r="H51" i="7"/>
  <c r="I51" i="7"/>
  <c r="J51" i="7"/>
  <c r="K51" i="7"/>
  <c r="H53" i="7"/>
  <c r="I53" i="7"/>
  <c r="J53" i="7"/>
  <c r="K53" i="7"/>
  <c r="H54" i="7"/>
  <c r="I54" i="7"/>
  <c r="J54" i="7"/>
  <c r="K54" i="7"/>
  <c r="Q1" i="7"/>
  <c r="H1" i="7"/>
  <c r="S14" i="1"/>
  <c r="TK108" i="1"/>
  <c r="TK103" i="1"/>
  <c r="TK93" i="1"/>
  <c r="TK80" i="1"/>
  <c r="TK68" i="1"/>
  <c r="TK31" i="1"/>
  <c r="TK26" i="1"/>
  <c r="TK19" i="1"/>
  <c r="TK94" i="6"/>
  <c r="TK61" i="6"/>
  <c r="TK59" i="6"/>
  <c r="TK40" i="6"/>
  <c r="TK12" i="6"/>
  <c r="AS4" i="6"/>
  <c r="MJ11" i="1"/>
  <c r="T6" i="7" l="1"/>
  <c r="L42" i="7"/>
  <c r="L24" i="7"/>
  <c r="L11" i="7"/>
  <c r="L41" i="7"/>
  <c r="L54" i="7"/>
  <c r="L25" i="7"/>
  <c r="T50" i="7"/>
  <c r="T40" i="7"/>
  <c r="T31" i="7"/>
  <c r="T22" i="7"/>
  <c r="L43" i="7"/>
  <c r="L12" i="7"/>
  <c r="L7" i="7"/>
  <c r="L10" i="7"/>
  <c r="T5" i="7"/>
  <c r="L40" i="7"/>
  <c r="L38" i="7"/>
  <c r="L35" i="7"/>
  <c r="L29" i="7"/>
  <c r="L15" i="7"/>
  <c r="L28" i="7"/>
  <c r="L19" i="7"/>
  <c r="L16" i="7"/>
  <c r="T11" i="7"/>
  <c r="L47" i="7"/>
  <c r="L49" i="7"/>
  <c r="L46" i="7"/>
  <c r="L6" i="7"/>
  <c r="L33" i="7"/>
  <c r="L53" i="7"/>
  <c r="L44" i="7"/>
  <c r="T53" i="7"/>
  <c r="T42" i="7"/>
  <c r="T33" i="7"/>
  <c r="T24" i="7"/>
  <c r="T15" i="7"/>
  <c r="L26" i="7"/>
  <c r="L23" i="7"/>
  <c r="T44" i="7"/>
  <c r="T35" i="7"/>
  <c r="T26" i="7"/>
  <c r="T17" i="7"/>
  <c r="T8" i="7"/>
  <c r="L20" i="7"/>
  <c r="L17" i="7"/>
  <c r="L37" i="7"/>
  <c r="L34" i="7"/>
  <c r="L13" i="7"/>
  <c r="T49" i="7"/>
  <c r="T39" i="7"/>
  <c r="T30" i="7"/>
  <c r="T21" i="7"/>
  <c r="T12" i="7"/>
  <c r="L32" i="7"/>
  <c r="L39" i="7"/>
  <c r="L31" i="7"/>
  <c r="L21" i="7"/>
  <c r="L5" i="7"/>
  <c r="T51" i="7"/>
  <c r="T41" i="7"/>
  <c r="T32" i="7"/>
  <c r="T23" i="7"/>
  <c r="T14" i="7"/>
  <c r="L14" i="7"/>
  <c r="L51" i="7"/>
  <c r="L50" i="7"/>
  <c r="L8" i="7"/>
  <c r="T47" i="7"/>
  <c r="T38" i="7"/>
  <c r="T29" i="7"/>
  <c r="T20" i="7"/>
  <c r="T54" i="7"/>
  <c r="T43" i="7"/>
  <c r="T34" i="7"/>
  <c r="T25" i="7"/>
  <c r="T16" i="7"/>
  <c r="L30" i="7"/>
  <c r="L22" i="7"/>
  <c r="T46" i="7"/>
  <c r="T37" i="7"/>
  <c r="T28" i="7"/>
  <c r="T19" i="7"/>
  <c r="T13" i="7"/>
  <c r="T7" i="7"/>
  <c r="T10" i="7"/>
  <c r="BF30" i="1"/>
  <c r="S117" i="6"/>
  <c r="S116" i="6"/>
  <c r="S115" i="6"/>
  <c r="S114" i="6"/>
  <c r="S113" i="6"/>
  <c r="S112" i="6"/>
  <c r="S111" i="6"/>
  <c r="S110" i="6"/>
  <c r="S109" i="6"/>
  <c r="S108" i="6"/>
  <c r="S107" i="6"/>
  <c r="S106" i="6"/>
  <c r="S105" i="6"/>
  <c r="S104" i="6"/>
  <c r="S103" i="6"/>
  <c r="S102" i="6"/>
  <c r="S101" i="6"/>
  <c r="S100" i="6"/>
  <c r="S99" i="6"/>
  <c r="S98" i="6"/>
  <c r="S97" i="6"/>
  <c r="S96" i="6"/>
  <c r="S95" i="6"/>
  <c r="S94" i="6"/>
  <c r="S93" i="6"/>
  <c r="S92" i="6"/>
  <c r="S91" i="6"/>
  <c r="S90" i="6"/>
  <c r="S89" i="6"/>
  <c r="S88" i="6"/>
  <c r="S87" i="6"/>
  <c r="S86" i="6"/>
  <c r="S85" i="6"/>
  <c r="S84" i="6"/>
  <c r="S83" i="6"/>
  <c r="S82" i="6"/>
  <c r="S81" i="6"/>
  <c r="S80" i="6"/>
  <c r="S79" i="6"/>
  <c r="S78" i="6"/>
  <c r="S77" i="6"/>
  <c r="S76" i="6"/>
  <c r="S75" i="6"/>
  <c r="S74" i="6"/>
  <c r="S73" i="6"/>
  <c r="S72" i="6"/>
  <c r="S71" i="6"/>
  <c r="S70" i="6"/>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6" i="6"/>
  <c r="S15" i="6"/>
  <c r="S14" i="6"/>
  <c r="S13" i="6"/>
  <c r="S12" i="6"/>
  <c r="S11" i="6"/>
  <c r="S10" i="6"/>
  <c r="S9" i="6"/>
  <c r="S8" i="6"/>
  <c r="S7" i="6"/>
  <c r="S6" i="6"/>
  <c r="S5" i="6"/>
  <c r="S4" i="6"/>
  <c r="AF117" i="6"/>
  <c r="AF116" i="6"/>
  <c r="AF115" i="6"/>
  <c r="AF114" i="6"/>
  <c r="AF113" i="6"/>
  <c r="AF112" i="6"/>
  <c r="AF111" i="6"/>
  <c r="AF110" i="6"/>
  <c r="AF109" i="6"/>
  <c r="AF108" i="6"/>
  <c r="AF107" i="6"/>
  <c r="AF106" i="6"/>
  <c r="AF105" i="6"/>
  <c r="AF104" i="6"/>
  <c r="AF103" i="6"/>
  <c r="AF102" i="6"/>
  <c r="AF101" i="6"/>
  <c r="AF100" i="6"/>
  <c r="AF99" i="6"/>
  <c r="AF98" i="6"/>
  <c r="AF97" i="6"/>
  <c r="AF96" i="6"/>
  <c r="AF95" i="6"/>
  <c r="AF94" i="6"/>
  <c r="AF93" i="6"/>
  <c r="AF92" i="6"/>
  <c r="AF91" i="6"/>
  <c r="AF90" i="6"/>
  <c r="AF89" i="6"/>
  <c r="AF88" i="6"/>
  <c r="AF87" i="6"/>
  <c r="AF86" i="6"/>
  <c r="AF85" i="6"/>
  <c r="AF84" i="6"/>
  <c r="AF83" i="6"/>
  <c r="AF82" i="6"/>
  <c r="AF81" i="6"/>
  <c r="AF80" i="6"/>
  <c r="AF79" i="6"/>
  <c r="AF78" i="6"/>
  <c r="AF77" i="6"/>
  <c r="AF76" i="6"/>
  <c r="AF75" i="6"/>
  <c r="AF74" i="6"/>
  <c r="AF73" i="6"/>
  <c r="AF72" i="6"/>
  <c r="AF71" i="6"/>
  <c r="AF70" i="6"/>
  <c r="AF69" i="6"/>
  <c r="AF68" i="6"/>
  <c r="AF67" i="6"/>
  <c r="AF66" i="6"/>
  <c r="AF65" i="6"/>
  <c r="AF64" i="6"/>
  <c r="AF63" i="6"/>
  <c r="AF62" i="6"/>
  <c r="AF61" i="6"/>
  <c r="AF60" i="6"/>
  <c r="AF59" i="6"/>
  <c r="AF58" i="6"/>
  <c r="AF57" i="6"/>
  <c r="AF56" i="6"/>
  <c r="AF55" i="6"/>
  <c r="AF54" i="6"/>
  <c r="AF53" i="6"/>
  <c r="AF52" i="6"/>
  <c r="AF51" i="6"/>
  <c r="AF50" i="6"/>
  <c r="AF49" i="6"/>
  <c r="AF48" i="6"/>
  <c r="AF47" i="6"/>
  <c r="AF46" i="6"/>
  <c r="AF45" i="6"/>
  <c r="AF44" i="6"/>
  <c r="AF43" i="6"/>
  <c r="AF42" i="6"/>
  <c r="AF41" i="6"/>
  <c r="AF40" i="6"/>
  <c r="AF39" i="6"/>
  <c r="AF38" i="6"/>
  <c r="AF37" i="6"/>
  <c r="AF36" i="6"/>
  <c r="AF35" i="6"/>
  <c r="AF34" i="6"/>
  <c r="AF33" i="6"/>
  <c r="AF32" i="6"/>
  <c r="AF31" i="6"/>
  <c r="AF30" i="6"/>
  <c r="AF29" i="6"/>
  <c r="AF28" i="6"/>
  <c r="AF27" i="6"/>
  <c r="AF26" i="6"/>
  <c r="AF25" i="6"/>
  <c r="AF24" i="6"/>
  <c r="AF23" i="6"/>
  <c r="AF22" i="6"/>
  <c r="AF21" i="6"/>
  <c r="AF20" i="6"/>
  <c r="AF19" i="6"/>
  <c r="AF18" i="6"/>
  <c r="AF17" i="6"/>
  <c r="AF16" i="6"/>
  <c r="AF15" i="6"/>
  <c r="AF14" i="6"/>
  <c r="AF13" i="6"/>
  <c r="AF12" i="6"/>
  <c r="AF11" i="6"/>
  <c r="AF10" i="6"/>
  <c r="AF9" i="6"/>
  <c r="AF8" i="6"/>
  <c r="AF7" i="6"/>
  <c r="AF6" i="6"/>
  <c r="AF5" i="6"/>
  <c r="AF4" i="6"/>
  <c r="AS117" i="6"/>
  <c r="AS116" i="6"/>
  <c r="AS115" i="6"/>
  <c r="AS114" i="6"/>
  <c r="AS113" i="6"/>
  <c r="AS112" i="6"/>
  <c r="AS111" i="6"/>
  <c r="AS110" i="6"/>
  <c r="AS109" i="6"/>
  <c r="AS108" i="6"/>
  <c r="AS107" i="6"/>
  <c r="AS106" i="6"/>
  <c r="AS105" i="6"/>
  <c r="AS104" i="6"/>
  <c r="AS103" i="6"/>
  <c r="AS102" i="6"/>
  <c r="AS101" i="6"/>
  <c r="AS100" i="6"/>
  <c r="AS99" i="6"/>
  <c r="AS98" i="6"/>
  <c r="AS97" i="6"/>
  <c r="AS96" i="6"/>
  <c r="AS95" i="6"/>
  <c r="AS94" i="6"/>
  <c r="AS93" i="6"/>
  <c r="AS92" i="6"/>
  <c r="AS91" i="6"/>
  <c r="AS90" i="6"/>
  <c r="AS89" i="6"/>
  <c r="AS88" i="6"/>
  <c r="AS87" i="6"/>
  <c r="AS86" i="6"/>
  <c r="AS85" i="6"/>
  <c r="AS84" i="6"/>
  <c r="AS83" i="6"/>
  <c r="AS82" i="6"/>
  <c r="AS81" i="6"/>
  <c r="AS80" i="6"/>
  <c r="AS79" i="6"/>
  <c r="AS78" i="6"/>
  <c r="AS77" i="6"/>
  <c r="AS76" i="6"/>
  <c r="AS75" i="6"/>
  <c r="AS74" i="6"/>
  <c r="AS73" i="6"/>
  <c r="AS72" i="6"/>
  <c r="AS71" i="6"/>
  <c r="AS70" i="6"/>
  <c r="AS69" i="6"/>
  <c r="AS68" i="6"/>
  <c r="AS67" i="6"/>
  <c r="AS66" i="6"/>
  <c r="AS65" i="6"/>
  <c r="AS64" i="6"/>
  <c r="AS63" i="6"/>
  <c r="AS62" i="6"/>
  <c r="AS61" i="6"/>
  <c r="AS60" i="6"/>
  <c r="AS59" i="6"/>
  <c r="AS58" i="6"/>
  <c r="AS57" i="6"/>
  <c r="AS56" i="6"/>
  <c r="AS55" i="6"/>
  <c r="AS54" i="6"/>
  <c r="AS53" i="6"/>
  <c r="AS52" i="6"/>
  <c r="AS51" i="6"/>
  <c r="AS50" i="6"/>
  <c r="AS49" i="6"/>
  <c r="AS48" i="6"/>
  <c r="AS47" i="6"/>
  <c r="AS46" i="6"/>
  <c r="AS45" i="6"/>
  <c r="AS44" i="6"/>
  <c r="AS43" i="6"/>
  <c r="AS42" i="6"/>
  <c r="AS41" i="6"/>
  <c r="AS40" i="6"/>
  <c r="AS39" i="6"/>
  <c r="AS38" i="6"/>
  <c r="AS37" i="6"/>
  <c r="AS36" i="6"/>
  <c r="AS35" i="6"/>
  <c r="AS34" i="6"/>
  <c r="AS33" i="6"/>
  <c r="AS32" i="6"/>
  <c r="AS31" i="6"/>
  <c r="AS30" i="6"/>
  <c r="AS29" i="6"/>
  <c r="AS28" i="6"/>
  <c r="AS27" i="6"/>
  <c r="AS26" i="6"/>
  <c r="AS25" i="6"/>
  <c r="AS24" i="6"/>
  <c r="AS23" i="6"/>
  <c r="AS22" i="6"/>
  <c r="AS21" i="6"/>
  <c r="AS20" i="6"/>
  <c r="AS19" i="6"/>
  <c r="AS18" i="6"/>
  <c r="AS17" i="6"/>
  <c r="AS16" i="6"/>
  <c r="AS15" i="6"/>
  <c r="AS14" i="6"/>
  <c r="AS13" i="6"/>
  <c r="AS12" i="6"/>
  <c r="AS11" i="6"/>
  <c r="AS10" i="6"/>
  <c r="AS9" i="6"/>
  <c r="AS8" i="6"/>
  <c r="AS7" i="6"/>
  <c r="AS6" i="6"/>
  <c r="AS5" i="6"/>
  <c r="BF117" i="6"/>
  <c r="BF116" i="6"/>
  <c r="BF115" i="6"/>
  <c r="BF114" i="6"/>
  <c r="BF113" i="6"/>
  <c r="BF112" i="6"/>
  <c r="BF111" i="6"/>
  <c r="BF110" i="6"/>
  <c r="BF109" i="6"/>
  <c r="BF108" i="6"/>
  <c r="BF107" i="6"/>
  <c r="BF106" i="6"/>
  <c r="BF105" i="6"/>
  <c r="BF104" i="6"/>
  <c r="BF103" i="6"/>
  <c r="BF102" i="6"/>
  <c r="BF101" i="6"/>
  <c r="BF100" i="6"/>
  <c r="BF99" i="6"/>
  <c r="BF98" i="6"/>
  <c r="BF97" i="6"/>
  <c r="BF96" i="6"/>
  <c r="BF95" i="6"/>
  <c r="BF94" i="6"/>
  <c r="BF93" i="6"/>
  <c r="BF92" i="6"/>
  <c r="BF91" i="6"/>
  <c r="BF90" i="6"/>
  <c r="BF89" i="6"/>
  <c r="BF88" i="6"/>
  <c r="BF87" i="6"/>
  <c r="BF86" i="6"/>
  <c r="BF85" i="6"/>
  <c r="BF84" i="6"/>
  <c r="BF83" i="6"/>
  <c r="BF82" i="6"/>
  <c r="BF81" i="6"/>
  <c r="BF80" i="6"/>
  <c r="BF79" i="6"/>
  <c r="BF78" i="6"/>
  <c r="BF77" i="6"/>
  <c r="BF76" i="6"/>
  <c r="BF75" i="6"/>
  <c r="BF74" i="6"/>
  <c r="BF73" i="6"/>
  <c r="BF72" i="6"/>
  <c r="BF71" i="6"/>
  <c r="BF70" i="6"/>
  <c r="BF69" i="6"/>
  <c r="BF68" i="6"/>
  <c r="BF67" i="6"/>
  <c r="BF66" i="6"/>
  <c r="BF65" i="6"/>
  <c r="BF64" i="6"/>
  <c r="BF63" i="6"/>
  <c r="BF62" i="6"/>
  <c r="BF61" i="6"/>
  <c r="BF60" i="6"/>
  <c r="BF59" i="6"/>
  <c r="BF58" i="6"/>
  <c r="BF57" i="6"/>
  <c r="BF56" i="6"/>
  <c r="BF55" i="6"/>
  <c r="BF54" i="6"/>
  <c r="BF53" i="6"/>
  <c r="BF52" i="6"/>
  <c r="BF51" i="6"/>
  <c r="BF50" i="6"/>
  <c r="BF49" i="6"/>
  <c r="BF48" i="6"/>
  <c r="BF47" i="6"/>
  <c r="BF46" i="6"/>
  <c r="BF45" i="6"/>
  <c r="BF44" i="6"/>
  <c r="BF43" i="6"/>
  <c r="BF42" i="6"/>
  <c r="BF41" i="6"/>
  <c r="BF40" i="6"/>
  <c r="BF39" i="6"/>
  <c r="BF38" i="6"/>
  <c r="BF37" i="6"/>
  <c r="BF36" i="6"/>
  <c r="BF35" i="6"/>
  <c r="BF34" i="6"/>
  <c r="BF33" i="6"/>
  <c r="BF32" i="6"/>
  <c r="BF31" i="6"/>
  <c r="BF30" i="6"/>
  <c r="BF29" i="6"/>
  <c r="BF28" i="6"/>
  <c r="BF27" i="6"/>
  <c r="BF26" i="6"/>
  <c r="BF25" i="6"/>
  <c r="BF24" i="6"/>
  <c r="BF23" i="6"/>
  <c r="BF22" i="6"/>
  <c r="BF21" i="6"/>
  <c r="BF20" i="6"/>
  <c r="BF19" i="6"/>
  <c r="BF18" i="6"/>
  <c r="BF17" i="6"/>
  <c r="BF16" i="6"/>
  <c r="BF15" i="6"/>
  <c r="BF14" i="6"/>
  <c r="BF13" i="6"/>
  <c r="BF12" i="6"/>
  <c r="BF11" i="6"/>
  <c r="BF10" i="6"/>
  <c r="BF9" i="6"/>
  <c r="BF8" i="6"/>
  <c r="BF7" i="6"/>
  <c r="BF6" i="6"/>
  <c r="BF5" i="6"/>
  <c r="BF4" i="6"/>
  <c r="BS117" i="6"/>
  <c r="BS116" i="6"/>
  <c r="BS115" i="6"/>
  <c r="BS114" i="6"/>
  <c r="BS113" i="6"/>
  <c r="BS112" i="6"/>
  <c r="BS111" i="6"/>
  <c r="BS110" i="6"/>
  <c r="BS109" i="6"/>
  <c r="BS108" i="6"/>
  <c r="BS107" i="6"/>
  <c r="BS106" i="6"/>
  <c r="BS105" i="6"/>
  <c r="BS104" i="6"/>
  <c r="BS103" i="6"/>
  <c r="BS102" i="6"/>
  <c r="BS101" i="6"/>
  <c r="BS100" i="6"/>
  <c r="BS99" i="6"/>
  <c r="BS98" i="6"/>
  <c r="BS97" i="6"/>
  <c r="BS96" i="6"/>
  <c r="BS95" i="6"/>
  <c r="BS94" i="6"/>
  <c r="BS93" i="6"/>
  <c r="BS92" i="6"/>
  <c r="BS91" i="6"/>
  <c r="BS90" i="6"/>
  <c r="BS89" i="6"/>
  <c r="BS88" i="6"/>
  <c r="BS87" i="6"/>
  <c r="BS86" i="6"/>
  <c r="BS85" i="6"/>
  <c r="BS84" i="6"/>
  <c r="BS83" i="6"/>
  <c r="BS82" i="6"/>
  <c r="BS81" i="6"/>
  <c r="BS80" i="6"/>
  <c r="BS79" i="6"/>
  <c r="BS78" i="6"/>
  <c r="BS77" i="6"/>
  <c r="BS76" i="6"/>
  <c r="BS75" i="6"/>
  <c r="BS74" i="6"/>
  <c r="BS73" i="6"/>
  <c r="BS72" i="6"/>
  <c r="BS71" i="6"/>
  <c r="BS70" i="6"/>
  <c r="BS69" i="6"/>
  <c r="BS68" i="6"/>
  <c r="BS67" i="6"/>
  <c r="BS66" i="6"/>
  <c r="BS65" i="6"/>
  <c r="BS64" i="6"/>
  <c r="BS63" i="6"/>
  <c r="BS62" i="6"/>
  <c r="BS61" i="6"/>
  <c r="BS60" i="6"/>
  <c r="BS59" i="6"/>
  <c r="BS58" i="6"/>
  <c r="BS57" i="6"/>
  <c r="BS56" i="6"/>
  <c r="BS55" i="6"/>
  <c r="BS54" i="6"/>
  <c r="BS53" i="6"/>
  <c r="BS52" i="6"/>
  <c r="BS51" i="6"/>
  <c r="BS50" i="6"/>
  <c r="BS49" i="6"/>
  <c r="BS48" i="6"/>
  <c r="BS47" i="6"/>
  <c r="BS46" i="6"/>
  <c r="BS45" i="6"/>
  <c r="BS44" i="6"/>
  <c r="BS43" i="6"/>
  <c r="BS42" i="6"/>
  <c r="BS41" i="6"/>
  <c r="BS40" i="6"/>
  <c r="BS39" i="6"/>
  <c r="BS38" i="6"/>
  <c r="BS37" i="6"/>
  <c r="BS36" i="6"/>
  <c r="BS35" i="6"/>
  <c r="BS34" i="6"/>
  <c r="BS33" i="6"/>
  <c r="BS32" i="6"/>
  <c r="BS31" i="6"/>
  <c r="BS30" i="6"/>
  <c r="BS29" i="6"/>
  <c r="BS28" i="6"/>
  <c r="BS27" i="6"/>
  <c r="BS26" i="6"/>
  <c r="BS25" i="6"/>
  <c r="BS24" i="6"/>
  <c r="BS23" i="6"/>
  <c r="BS22" i="6"/>
  <c r="BS21" i="6"/>
  <c r="BS20" i="6"/>
  <c r="BS19" i="6"/>
  <c r="BS18" i="6"/>
  <c r="BS17" i="6"/>
  <c r="BS16" i="6"/>
  <c r="BS15" i="6"/>
  <c r="BS14" i="6"/>
  <c r="BS13" i="6"/>
  <c r="BS12" i="6"/>
  <c r="BS11" i="6"/>
  <c r="BS10" i="6"/>
  <c r="BS9" i="6"/>
  <c r="BS8" i="6"/>
  <c r="BS7" i="6"/>
  <c r="BS6" i="6"/>
  <c r="BS5" i="6"/>
  <c r="BS4" i="6"/>
  <c r="CF117" i="6"/>
  <c r="CF116" i="6"/>
  <c r="CF115" i="6"/>
  <c r="CF114" i="6"/>
  <c r="CF113" i="6"/>
  <c r="CF112" i="6"/>
  <c r="CF111" i="6"/>
  <c r="CF110" i="6"/>
  <c r="CF109" i="6"/>
  <c r="CF108" i="6"/>
  <c r="CF107" i="6"/>
  <c r="CF106" i="6"/>
  <c r="CF105" i="6"/>
  <c r="CF104" i="6"/>
  <c r="CF103" i="6"/>
  <c r="CF102" i="6"/>
  <c r="CF101" i="6"/>
  <c r="CF100" i="6"/>
  <c r="CF99" i="6"/>
  <c r="CF98" i="6"/>
  <c r="CF97" i="6"/>
  <c r="CF96" i="6"/>
  <c r="CF95" i="6"/>
  <c r="CF94" i="6"/>
  <c r="CF93" i="6"/>
  <c r="CF92" i="6"/>
  <c r="CF91" i="6"/>
  <c r="CF90" i="6"/>
  <c r="CF89" i="6"/>
  <c r="CF88" i="6"/>
  <c r="CF87" i="6"/>
  <c r="CF86" i="6"/>
  <c r="CF85" i="6"/>
  <c r="CF84" i="6"/>
  <c r="CF83" i="6"/>
  <c r="CF82" i="6"/>
  <c r="CF81" i="6"/>
  <c r="CF80" i="6"/>
  <c r="CF79" i="6"/>
  <c r="CF78" i="6"/>
  <c r="CF77" i="6"/>
  <c r="CF76" i="6"/>
  <c r="CF75" i="6"/>
  <c r="CF74" i="6"/>
  <c r="CF73" i="6"/>
  <c r="CF72" i="6"/>
  <c r="CF71" i="6"/>
  <c r="CF70" i="6"/>
  <c r="CF69" i="6"/>
  <c r="CF68" i="6"/>
  <c r="CF67" i="6"/>
  <c r="CF66" i="6"/>
  <c r="CF65" i="6"/>
  <c r="CF64" i="6"/>
  <c r="CF63" i="6"/>
  <c r="CF62" i="6"/>
  <c r="CF61" i="6"/>
  <c r="CF60" i="6"/>
  <c r="CF59" i="6"/>
  <c r="CF58" i="6"/>
  <c r="CF57" i="6"/>
  <c r="CF56" i="6"/>
  <c r="CF55" i="6"/>
  <c r="CF54" i="6"/>
  <c r="CF53" i="6"/>
  <c r="CF52" i="6"/>
  <c r="CF51" i="6"/>
  <c r="CF50" i="6"/>
  <c r="CF49" i="6"/>
  <c r="CF48" i="6"/>
  <c r="CF47" i="6"/>
  <c r="CF46" i="6"/>
  <c r="CF45" i="6"/>
  <c r="CF44" i="6"/>
  <c r="CF43" i="6"/>
  <c r="CF42" i="6"/>
  <c r="CF41" i="6"/>
  <c r="CF40" i="6"/>
  <c r="CF39" i="6"/>
  <c r="CF38" i="6"/>
  <c r="CF37" i="6"/>
  <c r="CF36" i="6"/>
  <c r="CF35" i="6"/>
  <c r="CF34" i="6"/>
  <c r="CF33" i="6"/>
  <c r="CF32" i="6"/>
  <c r="CF31" i="6"/>
  <c r="CF30" i="6"/>
  <c r="CF29" i="6"/>
  <c r="CF28" i="6"/>
  <c r="CF27" i="6"/>
  <c r="CF26" i="6"/>
  <c r="CF25" i="6"/>
  <c r="CF24" i="6"/>
  <c r="CF23" i="6"/>
  <c r="CF22" i="6"/>
  <c r="CF21" i="6"/>
  <c r="CF20" i="6"/>
  <c r="CF19" i="6"/>
  <c r="CF18" i="6"/>
  <c r="CF17" i="6"/>
  <c r="CF16" i="6"/>
  <c r="CF15" i="6"/>
  <c r="CF14" i="6"/>
  <c r="CF13" i="6"/>
  <c r="CF12" i="6"/>
  <c r="CF11" i="6"/>
  <c r="CF10" i="6"/>
  <c r="CF9" i="6"/>
  <c r="CF8" i="6"/>
  <c r="CF7" i="6"/>
  <c r="CF6" i="6"/>
  <c r="CF5" i="6"/>
  <c r="CF4" i="6"/>
  <c r="CS117" i="6"/>
  <c r="CS116" i="6"/>
  <c r="CS115" i="6"/>
  <c r="CS114" i="6"/>
  <c r="CS113" i="6"/>
  <c r="CS112" i="6"/>
  <c r="CS111" i="6"/>
  <c r="CS110" i="6"/>
  <c r="CS109" i="6"/>
  <c r="CS108" i="6"/>
  <c r="CS107" i="6"/>
  <c r="CS106" i="6"/>
  <c r="CS105" i="6"/>
  <c r="CS104" i="6"/>
  <c r="CS103" i="6"/>
  <c r="CS102" i="6"/>
  <c r="CS101" i="6"/>
  <c r="CS100" i="6"/>
  <c r="CS99" i="6"/>
  <c r="CS98" i="6"/>
  <c r="CS97" i="6"/>
  <c r="CS96" i="6"/>
  <c r="CS95" i="6"/>
  <c r="CS94" i="6"/>
  <c r="CS93" i="6"/>
  <c r="CS92" i="6"/>
  <c r="CS91" i="6"/>
  <c r="CS90" i="6"/>
  <c r="CS89" i="6"/>
  <c r="CS88" i="6"/>
  <c r="CS87" i="6"/>
  <c r="CS86" i="6"/>
  <c r="CS85" i="6"/>
  <c r="CS84" i="6"/>
  <c r="CS83" i="6"/>
  <c r="CS82" i="6"/>
  <c r="CS81" i="6"/>
  <c r="CS80" i="6"/>
  <c r="CS79" i="6"/>
  <c r="CS78" i="6"/>
  <c r="CS77" i="6"/>
  <c r="CS76" i="6"/>
  <c r="CS75" i="6"/>
  <c r="CS74" i="6"/>
  <c r="CS73" i="6"/>
  <c r="CS72" i="6"/>
  <c r="CS71" i="6"/>
  <c r="CS70" i="6"/>
  <c r="CS69" i="6"/>
  <c r="CS68" i="6"/>
  <c r="CS67" i="6"/>
  <c r="CS66" i="6"/>
  <c r="CS65" i="6"/>
  <c r="CS64" i="6"/>
  <c r="CS63" i="6"/>
  <c r="CS62" i="6"/>
  <c r="CS61" i="6"/>
  <c r="CS60" i="6"/>
  <c r="CS59" i="6"/>
  <c r="CS58" i="6"/>
  <c r="CS57" i="6"/>
  <c r="CS56" i="6"/>
  <c r="CS55" i="6"/>
  <c r="CS54" i="6"/>
  <c r="CS53" i="6"/>
  <c r="CS52" i="6"/>
  <c r="CS51" i="6"/>
  <c r="CS50" i="6"/>
  <c r="CS49" i="6"/>
  <c r="CS48" i="6"/>
  <c r="CS47" i="6"/>
  <c r="CS46" i="6"/>
  <c r="CS45" i="6"/>
  <c r="CS44" i="6"/>
  <c r="CS43" i="6"/>
  <c r="CS42" i="6"/>
  <c r="CS41" i="6"/>
  <c r="CS40" i="6"/>
  <c r="CS39" i="6"/>
  <c r="CS38" i="6"/>
  <c r="CS37" i="6"/>
  <c r="CS36" i="6"/>
  <c r="CS35" i="6"/>
  <c r="CS34" i="6"/>
  <c r="CS33" i="6"/>
  <c r="CS32" i="6"/>
  <c r="CS31" i="6"/>
  <c r="CS30" i="6"/>
  <c r="CS29" i="6"/>
  <c r="CS28" i="6"/>
  <c r="CS27" i="6"/>
  <c r="CS26" i="6"/>
  <c r="CS25" i="6"/>
  <c r="CS24" i="6"/>
  <c r="CS23" i="6"/>
  <c r="CS22" i="6"/>
  <c r="CS21" i="6"/>
  <c r="CS20" i="6"/>
  <c r="CS19" i="6"/>
  <c r="CS18" i="6"/>
  <c r="CS17" i="6"/>
  <c r="CS16" i="6"/>
  <c r="CS15" i="6"/>
  <c r="CS14" i="6"/>
  <c r="CS13" i="6"/>
  <c r="CS12" i="6"/>
  <c r="CS11" i="6"/>
  <c r="CS10" i="6"/>
  <c r="CS9" i="6"/>
  <c r="CS8" i="6"/>
  <c r="CS7" i="6"/>
  <c r="CS6" i="6"/>
  <c r="CS5" i="6"/>
  <c r="CS4" i="6"/>
  <c r="DF117" i="6"/>
  <c r="DF116" i="6"/>
  <c r="DF115" i="6"/>
  <c r="DF114" i="6"/>
  <c r="DF113" i="6"/>
  <c r="DF112" i="6"/>
  <c r="DF111" i="6"/>
  <c r="DF110" i="6"/>
  <c r="DF109" i="6"/>
  <c r="DF108" i="6"/>
  <c r="DF107" i="6"/>
  <c r="DF106" i="6"/>
  <c r="DF105" i="6"/>
  <c r="DF104" i="6"/>
  <c r="DF103" i="6"/>
  <c r="DF102" i="6"/>
  <c r="DF101" i="6"/>
  <c r="DF100" i="6"/>
  <c r="DF99" i="6"/>
  <c r="DF98" i="6"/>
  <c r="DF97" i="6"/>
  <c r="DF96" i="6"/>
  <c r="DF95" i="6"/>
  <c r="DF94" i="6"/>
  <c r="DF93" i="6"/>
  <c r="DF92" i="6"/>
  <c r="DF91" i="6"/>
  <c r="DF90" i="6"/>
  <c r="DF89" i="6"/>
  <c r="DF88" i="6"/>
  <c r="DF87" i="6"/>
  <c r="DF86" i="6"/>
  <c r="DF85" i="6"/>
  <c r="DF84" i="6"/>
  <c r="DF83" i="6"/>
  <c r="DF82" i="6"/>
  <c r="DF81" i="6"/>
  <c r="DF80" i="6"/>
  <c r="DF79" i="6"/>
  <c r="DF78" i="6"/>
  <c r="DF77" i="6"/>
  <c r="DF76" i="6"/>
  <c r="DF75" i="6"/>
  <c r="DF74" i="6"/>
  <c r="DF73" i="6"/>
  <c r="DF72" i="6"/>
  <c r="DF71" i="6"/>
  <c r="DF70" i="6"/>
  <c r="DF69" i="6"/>
  <c r="DF68" i="6"/>
  <c r="DF67" i="6"/>
  <c r="DF66" i="6"/>
  <c r="DF65" i="6"/>
  <c r="DF64" i="6"/>
  <c r="DF63" i="6"/>
  <c r="DF62" i="6"/>
  <c r="DF61" i="6"/>
  <c r="DF60" i="6"/>
  <c r="DF59" i="6"/>
  <c r="DF58" i="6"/>
  <c r="DF57" i="6"/>
  <c r="DF56" i="6"/>
  <c r="DF55" i="6"/>
  <c r="DF54" i="6"/>
  <c r="DF53" i="6"/>
  <c r="DF52" i="6"/>
  <c r="DF51" i="6"/>
  <c r="DF50" i="6"/>
  <c r="DF49" i="6"/>
  <c r="DF48" i="6"/>
  <c r="DF47" i="6"/>
  <c r="DF46" i="6"/>
  <c r="DF45" i="6"/>
  <c r="DF44" i="6"/>
  <c r="DF43" i="6"/>
  <c r="DF42" i="6"/>
  <c r="DF41" i="6"/>
  <c r="DF40" i="6"/>
  <c r="DF39" i="6"/>
  <c r="DF38" i="6"/>
  <c r="DF37" i="6"/>
  <c r="DF36" i="6"/>
  <c r="DF35" i="6"/>
  <c r="DF34" i="6"/>
  <c r="DF33" i="6"/>
  <c r="DF32" i="6"/>
  <c r="DF31" i="6"/>
  <c r="DF30" i="6"/>
  <c r="DF29" i="6"/>
  <c r="DF28" i="6"/>
  <c r="DF27" i="6"/>
  <c r="DF26" i="6"/>
  <c r="DF25" i="6"/>
  <c r="DF24" i="6"/>
  <c r="DF23" i="6"/>
  <c r="DF22" i="6"/>
  <c r="DF21" i="6"/>
  <c r="DF20" i="6"/>
  <c r="DF19" i="6"/>
  <c r="DF18" i="6"/>
  <c r="DF17" i="6"/>
  <c r="DF16" i="6"/>
  <c r="DF15" i="6"/>
  <c r="DF14" i="6"/>
  <c r="DF13" i="6"/>
  <c r="DF12" i="6"/>
  <c r="DF11" i="6"/>
  <c r="DF10" i="6"/>
  <c r="DF9" i="6"/>
  <c r="DF8" i="6"/>
  <c r="DF7" i="6"/>
  <c r="DF6" i="6"/>
  <c r="DF5" i="6"/>
  <c r="DF4" i="6"/>
  <c r="DS117" i="6"/>
  <c r="DS116" i="6"/>
  <c r="DS115" i="6"/>
  <c r="DS114" i="6"/>
  <c r="DS113" i="6"/>
  <c r="DS112" i="6"/>
  <c r="DS111" i="6"/>
  <c r="DS110" i="6"/>
  <c r="DS109" i="6"/>
  <c r="DS108" i="6"/>
  <c r="DS107" i="6"/>
  <c r="DS106" i="6"/>
  <c r="DS105" i="6"/>
  <c r="DS104" i="6"/>
  <c r="DS103" i="6"/>
  <c r="DS102" i="6"/>
  <c r="DS101" i="6"/>
  <c r="DS100" i="6"/>
  <c r="DS99" i="6"/>
  <c r="DS98" i="6"/>
  <c r="DS97" i="6"/>
  <c r="DS96" i="6"/>
  <c r="DS95" i="6"/>
  <c r="DS94" i="6"/>
  <c r="DS93" i="6"/>
  <c r="DS92" i="6"/>
  <c r="DS91" i="6"/>
  <c r="DS90" i="6"/>
  <c r="DS89" i="6"/>
  <c r="DS88" i="6"/>
  <c r="DS87" i="6"/>
  <c r="DS86" i="6"/>
  <c r="DS85" i="6"/>
  <c r="DS84" i="6"/>
  <c r="DS83" i="6"/>
  <c r="DS82" i="6"/>
  <c r="DS81" i="6"/>
  <c r="DS80" i="6"/>
  <c r="DS79" i="6"/>
  <c r="DS78" i="6"/>
  <c r="DS77" i="6"/>
  <c r="DS76" i="6"/>
  <c r="DS75" i="6"/>
  <c r="DS74" i="6"/>
  <c r="DS73" i="6"/>
  <c r="DS72" i="6"/>
  <c r="DS71" i="6"/>
  <c r="DS70" i="6"/>
  <c r="DS69" i="6"/>
  <c r="DS68" i="6"/>
  <c r="DS67" i="6"/>
  <c r="DS66" i="6"/>
  <c r="DS65" i="6"/>
  <c r="DS64" i="6"/>
  <c r="DS63" i="6"/>
  <c r="DS62" i="6"/>
  <c r="DS61" i="6"/>
  <c r="DS60" i="6"/>
  <c r="DS59" i="6"/>
  <c r="DS58" i="6"/>
  <c r="DS57" i="6"/>
  <c r="DS56" i="6"/>
  <c r="DS55" i="6"/>
  <c r="DS54" i="6"/>
  <c r="DS53" i="6"/>
  <c r="DS52" i="6"/>
  <c r="DS51" i="6"/>
  <c r="DS50" i="6"/>
  <c r="DS49" i="6"/>
  <c r="DS48" i="6"/>
  <c r="DS47" i="6"/>
  <c r="DS46" i="6"/>
  <c r="DS45" i="6"/>
  <c r="DS44" i="6"/>
  <c r="DS43" i="6"/>
  <c r="DS42" i="6"/>
  <c r="DS41" i="6"/>
  <c r="DS40" i="6"/>
  <c r="DS39" i="6"/>
  <c r="DS38" i="6"/>
  <c r="DS37" i="6"/>
  <c r="DS36" i="6"/>
  <c r="DS35" i="6"/>
  <c r="DS34" i="6"/>
  <c r="DS33" i="6"/>
  <c r="DS32" i="6"/>
  <c r="DS31" i="6"/>
  <c r="DS30" i="6"/>
  <c r="DS29" i="6"/>
  <c r="DS28" i="6"/>
  <c r="DS27" i="6"/>
  <c r="DS26" i="6"/>
  <c r="DS25" i="6"/>
  <c r="DS24" i="6"/>
  <c r="DS23" i="6"/>
  <c r="DS22" i="6"/>
  <c r="DS21" i="6"/>
  <c r="DS20" i="6"/>
  <c r="DS19" i="6"/>
  <c r="DS18" i="6"/>
  <c r="DS17" i="6"/>
  <c r="DS16" i="6"/>
  <c r="DS15" i="6"/>
  <c r="DS14" i="6"/>
  <c r="DS13" i="6"/>
  <c r="DS12" i="6"/>
  <c r="DS11" i="6"/>
  <c r="DS10" i="6"/>
  <c r="DS9" i="6"/>
  <c r="DS8" i="6"/>
  <c r="DS7" i="6"/>
  <c r="DS6" i="6"/>
  <c r="DS5" i="6"/>
  <c r="DS4" i="6"/>
  <c r="EF117" i="6"/>
  <c r="EF116" i="6"/>
  <c r="EF115" i="6"/>
  <c r="EF114" i="6"/>
  <c r="EF113" i="6"/>
  <c r="EF112" i="6"/>
  <c r="EF111" i="6"/>
  <c r="EF110" i="6"/>
  <c r="EF109" i="6"/>
  <c r="EF108" i="6"/>
  <c r="EF107" i="6"/>
  <c r="EF106" i="6"/>
  <c r="EF105" i="6"/>
  <c r="EF104" i="6"/>
  <c r="EF103" i="6"/>
  <c r="EF102" i="6"/>
  <c r="EF101" i="6"/>
  <c r="EF100" i="6"/>
  <c r="EF99" i="6"/>
  <c r="EF98" i="6"/>
  <c r="EF97" i="6"/>
  <c r="EF96" i="6"/>
  <c r="EF95" i="6"/>
  <c r="EF94" i="6"/>
  <c r="EF93" i="6"/>
  <c r="EF92" i="6"/>
  <c r="EF91" i="6"/>
  <c r="EF90" i="6"/>
  <c r="EF89" i="6"/>
  <c r="EF88" i="6"/>
  <c r="EF87" i="6"/>
  <c r="EF86" i="6"/>
  <c r="EF85" i="6"/>
  <c r="EF84" i="6"/>
  <c r="EF83" i="6"/>
  <c r="EF82" i="6"/>
  <c r="EF81" i="6"/>
  <c r="EF80" i="6"/>
  <c r="EF79" i="6"/>
  <c r="EF78" i="6"/>
  <c r="EF77" i="6"/>
  <c r="EF76" i="6"/>
  <c r="EF75" i="6"/>
  <c r="EF74" i="6"/>
  <c r="EF73" i="6"/>
  <c r="EF72" i="6"/>
  <c r="EF71" i="6"/>
  <c r="EF70" i="6"/>
  <c r="EF69" i="6"/>
  <c r="EF68" i="6"/>
  <c r="EF67" i="6"/>
  <c r="EF66" i="6"/>
  <c r="EF65" i="6"/>
  <c r="EF64" i="6"/>
  <c r="EF63" i="6"/>
  <c r="EF62" i="6"/>
  <c r="EF61" i="6"/>
  <c r="EF60" i="6"/>
  <c r="EF59" i="6"/>
  <c r="EF58" i="6"/>
  <c r="EF57" i="6"/>
  <c r="EF56" i="6"/>
  <c r="EF55" i="6"/>
  <c r="EF54" i="6"/>
  <c r="EF53" i="6"/>
  <c r="EF52" i="6"/>
  <c r="EF51" i="6"/>
  <c r="EF50" i="6"/>
  <c r="EF49" i="6"/>
  <c r="EF48" i="6"/>
  <c r="EF47" i="6"/>
  <c r="EF46" i="6"/>
  <c r="EF45" i="6"/>
  <c r="EF44" i="6"/>
  <c r="EF43" i="6"/>
  <c r="EF42" i="6"/>
  <c r="EF41" i="6"/>
  <c r="EF40" i="6"/>
  <c r="EF39" i="6"/>
  <c r="EF38" i="6"/>
  <c r="EF37" i="6"/>
  <c r="EF36" i="6"/>
  <c r="EF35" i="6"/>
  <c r="EF34" i="6"/>
  <c r="EF33" i="6"/>
  <c r="EF32" i="6"/>
  <c r="EF31" i="6"/>
  <c r="EF30" i="6"/>
  <c r="EF29" i="6"/>
  <c r="EF28" i="6"/>
  <c r="EF27" i="6"/>
  <c r="EF26" i="6"/>
  <c r="EF25" i="6"/>
  <c r="EF24" i="6"/>
  <c r="EF23" i="6"/>
  <c r="EF22" i="6"/>
  <c r="EF21" i="6"/>
  <c r="EF20" i="6"/>
  <c r="EF19" i="6"/>
  <c r="EF18" i="6"/>
  <c r="EF17" i="6"/>
  <c r="EF16" i="6"/>
  <c r="EF15" i="6"/>
  <c r="EF14" i="6"/>
  <c r="EF13" i="6"/>
  <c r="EF12" i="6"/>
  <c r="EF11" i="6"/>
  <c r="EF10" i="6"/>
  <c r="EF9" i="6"/>
  <c r="EF8" i="6"/>
  <c r="EF7" i="6"/>
  <c r="EF6" i="6"/>
  <c r="EF5" i="6"/>
  <c r="EF4" i="6"/>
  <c r="EU117" i="6"/>
  <c r="EU116" i="6"/>
  <c r="EU115" i="6"/>
  <c r="EU114" i="6"/>
  <c r="EU113" i="6"/>
  <c r="EU112" i="6"/>
  <c r="EU111" i="6"/>
  <c r="EU110" i="6"/>
  <c r="EU109" i="6"/>
  <c r="EU108" i="6"/>
  <c r="EU107" i="6"/>
  <c r="EU106" i="6"/>
  <c r="EU105" i="6"/>
  <c r="EU104" i="6"/>
  <c r="EU103" i="6"/>
  <c r="EU102" i="6"/>
  <c r="EU101" i="6"/>
  <c r="EU100" i="6"/>
  <c r="EU99" i="6"/>
  <c r="EU98" i="6"/>
  <c r="EU97" i="6"/>
  <c r="EU96" i="6"/>
  <c r="EU95" i="6"/>
  <c r="EU94" i="6"/>
  <c r="EU93" i="6"/>
  <c r="EU92" i="6"/>
  <c r="EU91" i="6"/>
  <c r="EU90" i="6"/>
  <c r="EU89" i="6"/>
  <c r="EU88" i="6"/>
  <c r="EU87" i="6"/>
  <c r="EU86" i="6"/>
  <c r="EU85" i="6"/>
  <c r="EU84" i="6"/>
  <c r="EU83" i="6"/>
  <c r="EU82" i="6"/>
  <c r="EU81" i="6"/>
  <c r="EU80" i="6"/>
  <c r="EU79" i="6"/>
  <c r="EU78" i="6"/>
  <c r="EU77" i="6"/>
  <c r="EU76" i="6"/>
  <c r="EU75" i="6"/>
  <c r="EU74" i="6"/>
  <c r="EU73" i="6"/>
  <c r="EU72" i="6"/>
  <c r="EU71" i="6"/>
  <c r="EU70" i="6"/>
  <c r="EU69" i="6"/>
  <c r="EU68" i="6"/>
  <c r="EU67" i="6"/>
  <c r="EU66" i="6"/>
  <c r="EU65" i="6"/>
  <c r="EU64" i="6"/>
  <c r="EU63" i="6"/>
  <c r="EU62" i="6"/>
  <c r="EU61" i="6"/>
  <c r="EU60" i="6"/>
  <c r="EU59" i="6"/>
  <c r="EU58" i="6"/>
  <c r="EU57" i="6"/>
  <c r="EU56" i="6"/>
  <c r="EU55" i="6"/>
  <c r="EU54" i="6"/>
  <c r="EU53" i="6"/>
  <c r="EU52" i="6"/>
  <c r="EU51" i="6"/>
  <c r="EU50" i="6"/>
  <c r="EU49" i="6"/>
  <c r="EU48" i="6"/>
  <c r="EU47" i="6"/>
  <c r="EU46" i="6"/>
  <c r="EU45" i="6"/>
  <c r="EU44" i="6"/>
  <c r="EU43" i="6"/>
  <c r="EU42" i="6"/>
  <c r="EU41" i="6"/>
  <c r="EU40" i="6"/>
  <c r="EU39" i="6"/>
  <c r="EU38" i="6"/>
  <c r="EU37" i="6"/>
  <c r="EU36" i="6"/>
  <c r="EU35" i="6"/>
  <c r="EU34" i="6"/>
  <c r="EU33" i="6"/>
  <c r="EU32" i="6"/>
  <c r="EU31" i="6"/>
  <c r="EU30" i="6"/>
  <c r="EU29" i="6"/>
  <c r="EU28" i="6"/>
  <c r="EU27" i="6"/>
  <c r="EU26" i="6"/>
  <c r="EU25" i="6"/>
  <c r="EU24" i="6"/>
  <c r="EU23" i="6"/>
  <c r="EU22" i="6"/>
  <c r="EU21" i="6"/>
  <c r="EU20" i="6"/>
  <c r="EU19" i="6"/>
  <c r="EU18" i="6"/>
  <c r="EU17" i="6"/>
  <c r="EU16" i="6"/>
  <c r="EU15" i="6"/>
  <c r="EU14" i="6"/>
  <c r="EU13" i="6"/>
  <c r="EU12" i="6"/>
  <c r="EU11" i="6"/>
  <c r="EU10" i="6"/>
  <c r="EU9" i="6"/>
  <c r="EU8" i="6"/>
  <c r="EU7" i="6"/>
  <c r="EU6" i="6"/>
  <c r="EU5" i="6"/>
  <c r="EU4" i="6"/>
  <c r="FH117" i="6"/>
  <c r="FH116" i="6"/>
  <c r="FH115" i="6"/>
  <c r="FH114" i="6"/>
  <c r="FH113" i="6"/>
  <c r="FH112" i="6"/>
  <c r="FH111" i="6"/>
  <c r="FH110" i="6"/>
  <c r="FH109" i="6"/>
  <c r="FH108" i="6"/>
  <c r="FH107" i="6"/>
  <c r="FH106" i="6"/>
  <c r="FH105" i="6"/>
  <c r="FH104" i="6"/>
  <c r="FH103" i="6"/>
  <c r="FH102" i="6"/>
  <c r="FH101" i="6"/>
  <c r="FH100" i="6"/>
  <c r="FH99" i="6"/>
  <c r="FH98" i="6"/>
  <c r="FH97" i="6"/>
  <c r="FH96" i="6"/>
  <c r="FH95" i="6"/>
  <c r="FH94" i="6"/>
  <c r="FH93" i="6"/>
  <c r="FH92" i="6"/>
  <c r="FH91" i="6"/>
  <c r="FH90" i="6"/>
  <c r="FH89" i="6"/>
  <c r="FH88" i="6"/>
  <c r="FH87" i="6"/>
  <c r="FH86" i="6"/>
  <c r="FH85" i="6"/>
  <c r="FH84" i="6"/>
  <c r="FH83" i="6"/>
  <c r="FH82" i="6"/>
  <c r="FH81" i="6"/>
  <c r="FH80" i="6"/>
  <c r="FH79" i="6"/>
  <c r="FH78" i="6"/>
  <c r="FH77" i="6"/>
  <c r="FH76" i="6"/>
  <c r="FH75" i="6"/>
  <c r="FH74" i="6"/>
  <c r="FH73" i="6"/>
  <c r="FH72" i="6"/>
  <c r="FH71" i="6"/>
  <c r="FH70" i="6"/>
  <c r="FH69" i="6"/>
  <c r="FH68" i="6"/>
  <c r="FH67" i="6"/>
  <c r="FH66" i="6"/>
  <c r="FH65" i="6"/>
  <c r="FH64" i="6"/>
  <c r="FH63" i="6"/>
  <c r="FH62" i="6"/>
  <c r="FH61" i="6"/>
  <c r="FH60" i="6"/>
  <c r="FH59" i="6"/>
  <c r="FH58" i="6"/>
  <c r="FH57" i="6"/>
  <c r="FH56" i="6"/>
  <c r="FH55" i="6"/>
  <c r="FH54" i="6"/>
  <c r="FH53" i="6"/>
  <c r="FH52" i="6"/>
  <c r="FH51" i="6"/>
  <c r="FH50" i="6"/>
  <c r="FH49" i="6"/>
  <c r="FH48" i="6"/>
  <c r="FH47" i="6"/>
  <c r="FH46" i="6"/>
  <c r="FH45" i="6"/>
  <c r="FH44" i="6"/>
  <c r="FH43" i="6"/>
  <c r="FH42" i="6"/>
  <c r="FH41" i="6"/>
  <c r="FH40" i="6"/>
  <c r="FH39" i="6"/>
  <c r="FH38" i="6"/>
  <c r="FH37" i="6"/>
  <c r="FH36" i="6"/>
  <c r="FH35" i="6"/>
  <c r="FH34" i="6"/>
  <c r="FH33" i="6"/>
  <c r="FH32" i="6"/>
  <c r="FH31" i="6"/>
  <c r="FH30" i="6"/>
  <c r="FH29" i="6"/>
  <c r="FH28" i="6"/>
  <c r="FH27" i="6"/>
  <c r="FH26" i="6"/>
  <c r="FH25" i="6"/>
  <c r="FH24" i="6"/>
  <c r="FH23" i="6"/>
  <c r="FH22" i="6"/>
  <c r="FH21" i="6"/>
  <c r="FH20" i="6"/>
  <c r="FH19" i="6"/>
  <c r="FH18" i="6"/>
  <c r="FH17" i="6"/>
  <c r="FH16" i="6"/>
  <c r="FH15" i="6"/>
  <c r="FH14" i="6"/>
  <c r="FH13" i="6"/>
  <c r="FH12" i="6"/>
  <c r="FH11" i="6"/>
  <c r="FH10" i="6"/>
  <c r="FH9" i="6"/>
  <c r="FH8" i="6"/>
  <c r="FH7" i="6"/>
  <c r="FH6" i="6"/>
  <c r="FH5" i="6"/>
  <c r="FH4" i="6"/>
  <c r="FU117" i="6"/>
  <c r="FU116" i="6"/>
  <c r="FU115" i="6"/>
  <c r="FU114" i="6"/>
  <c r="FU113" i="6"/>
  <c r="FU112" i="6"/>
  <c r="FU111" i="6"/>
  <c r="FU110" i="6"/>
  <c r="FU109" i="6"/>
  <c r="FU108" i="6"/>
  <c r="FU107" i="6"/>
  <c r="FU106" i="6"/>
  <c r="FU105" i="6"/>
  <c r="FU104" i="6"/>
  <c r="FU103" i="6"/>
  <c r="FU102" i="6"/>
  <c r="FU101" i="6"/>
  <c r="FU100" i="6"/>
  <c r="FU99" i="6"/>
  <c r="FU98" i="6"/>
  <c r="FU97" i="6"/>
  <c r="FU96" i="6"/>
  <c r="FU95" i="6"/>
  <c r="FU94" i="6"/>
  <c r="FU93" i="6"/>
  <c r="FU92" i="6"/>
  <c r="FU91" i="6"/>
  <c r="FU90" i="6"/>
  <c r="FU89" i="6"/>
  <c r="FU88" i="6"/>
  <c r="FU87" i="6"/>
  <c r="FU86" i="6"/>
  <c r="FU85" i="6"/>
  <c r="FU84" i="6"/>
  <c r="FU83" i="6"/>
  <c r="FU82" i="6"/>
  <c r="FU81" i="6"/>
  <c r="FU80" i="6"/>
  <c r="FU79" i="6"/>
  <c r="FU78" i="6"/>
  <c r="FU77" i="6"/>
  <c r="FU76" i="6"/>
  <c r="FU75" i="6"/>
  <c r="FU74" i="6"/>
  <c r="FU73" i="6"/>
  <c r="FU72" i="6"/>
  <c r="FU71" i="6"/>
  <c r="FU70" i="6"/>
  <c r="FU69" i="6"/>
  <c r="FU68" i="6"/>
  <c r="FU67" i="6"/>
  <c r="FU66" i="6"/>
  <c r="FU65" i="6"/>
  <c r="FU64" i="6"/>
  <c r="FU63" i="6"/>
  <c r="FU62" i="6"/>
  <c r="FU61" i="6"/>
  <c r="FU60" i="6"/>
  <c r="FU59" i="6"/>
  <c r="FU58" i="6"/>
  <c r="FU57" i="6"/>
  <c r="FU56" i="6"/>
  <c r="FU55" i="6"/>
  <c r="FU54" i="6"/>
  <c r="FU53" i="6"/>
  <c r="FU52" i="6"/>
  <c r="FU51" i="6"/>
  <c r="FU50" i="6"/>
  <c r="FU49" i="6"/>
  <c r="FU48" i="6"/>
  <c r="FU47" i="6"/>
  <c r="FU46" i="6"/>
  <c r="FU45" i="6"/>
  <c r="FU44" i="6"/>
  <c r="FU43" i="6"/>
  <c r="FU42" i="6"/>
  <c r="FU41" i="6"/>
  <c r="FU40" i="6"/>
  <c r="FU39" i="6"/>
  <c r="FU38" i="6"/>
  <c r="FU37" i="6"/>
  <c r="FU36" i="6"/>
  <c r="FU35" i="6"/>
  <c r="FU34" i="6"/>
  <c r="FU33" i="6"/>
  <c r="FU32" i="6"/>
  <c r="FU31" i="6"/>
  <c r="FU30" i="6"/>
  <c r="FU29" i="6"/>
  <c r="FU28" i="6"/>
  <c r="FU27" i="6"/>
  <c r="FU26" i="6"/>
  <c r="FU25" i="6"/>
  <c r="FU24" i="6"/>
  <c r="FU23" i="6"/>
  <c r="FU22" i="6"/>
  <c r="FU21" i="6"/>
  <c r="FU20" i="6"/>
  <c r="FU19" i="6"/>
  <c r="FU18" i="6"/>
  <c r="FU17" i="6"/>
  <c r="FU16" i="6"/>
  <c r="FU15" i="6"/>
  <c r="FU14" i="6"/>
  <c r="FU13" i="6"/>
  <c r="FU12" i="6"/>
  <c r="FU11" i="6"/>
  <c r="FU10" i="6"/>
  <c r="FU9" i="6"/>
  <c r="FU8" i="6"/>
  <c r="FU7" i="6"/>
  <c r="FU6" i="6"/>
  <c r="FU5" i="6"/>
  <c r="FU4" i="6"/>
  <c r="GH117" i="6"/>
  <c r="GH116" i="6"/>
  <c r="GH115" i="6"/>
  <c r="GH114" i="6"/>
  <c r="GH113" i="6"/>
  <c r="GH112" i="6"/>
  <c r="GH111" i="6"/>
  <c r="GH110" i="6"/>
  <c r="GH109" i="6"/>
  <c r="GH108" i="6"/>
  <c r="GH107" i="6"/>
  <c r="GH106" i="6"/>
  <c r="GH105" i="6"/>
  <c r="GH104" i="6"/>
  <c r="GH103" i="6"/>
  <c r="GH102" i="6"/>
  <c r="GH101" i="6"/>
  <c r="GH100" i="6"/>
  <c r="GH99" i="6"/>
  <c r="GH98" i="6"/>
  <c r="GH97" i="6"/>
  <c r="GH96" i="6"/>
  <c r="GH95" i="6"/>
  <c r="GH94" i="6"/>
  <c r="GH93" i="6"/>
  <c r="GH92" i="6"/>
  <c r="GH91" i="6"/>
  <c r="GH90" i="6"/>
  <c r="GH89" i="6"/>
  <c r="GH88" i="6"/>
  <c r="GH87" i="6"/>
  <c r="GH86" i="6"/>
  <c r="GH85" i="6"/>
  <c r="GH84" i="6"/>
  <c r="GH83" i="6"/>
  <c r="GH82" i="6"/>
  <c r="GH81" i="6"/>
  <c r="GH80" i="6"/>
  <c r="GH79" i="6"/>
  <c r="GH78" i="6"/>
  <c r="GH77" i="6"/>
  <c r="GH76" i="6"/>
  <c r="GH75" i="6"/>
  <c r="GH74" i="6"/>
  <c r="GH73" i="6"/>
  <c r="GH72" i="6"/>
  <c r="GH71" i="6"/>
  <c r="GH70" i="6"/>
  <c r="GH69" i="6"/>
  <c r="GH68" i="6"/>
  <c r="GH67" i="6"/>
  <c r="GH66" i="6"/>
  <c r="GH65" i="6"/>
  <c r="GH64" i="6"/>
  <c r="GH63" i="6"/>
  <c r="GH62" i="6"/>
  <c r="GH61" i="6"/>
  <c r="GH60" i="6"/>
  <c r="GH59" i="6"/>
  <c r="GH58" i="6"/>
  <c r="GH57" i="6"/>
  <c r="GH56" i="6"/>
  <c r="GH55" i="6"/>
  <c r="GH54" i="6"/>
  <c r="GH53" i="6"/>
  <c r="GH52" i="6"/>
  <c r="GH51" i="6"/>
  <c r="GH50" i="6"/>
  <c r="GH49" i="6"/>
  <c r="GH48" i="6"/>
  <c r="GH47" i="6"/>
  <c r="GH46" i="6"/>
  <c r="GH45" i="6"/>
  <c r="GH44" i="6"/>
  <c r="GH43" i="6"/>
  <c r="GH42" i="6"/>
  <c r="GH41" i="6"/>
  <c r="GH40" i="6"/>
  <c r="GH39" i="6"/>
  <c r="GH38" i="6"/>
  <c r="GH37" i="6"/>
  <c r="GH36" i="6"/>
  <c r="GH35" i="6"/>
  <c r="GH34" i="6"/>
  <c r="GH33" i="6"/>
  <c r="GH32" i="6"/>
  <c r="GH31" i="6"/>
  <c r="GH30" i="6"/>
  <c r="GH29" i="6"/>
  <c r="GH28" i="6"/>
  <c r="GH27" i="6"/>
  <c r="GH26" i="6"/>
  <c r="GH25" i="6"/>
  <c r="GH24" i="6"/>
  <c r="GH23" i="6"/>
  <c r="GH22" i="6"/>
  <c r="GH21" i="6"/>
  <c r="GH20" i="6"/>
  <c r="GH19" i="6"/>
  <c r="GH18" i="6"/>
  <c r="GH17" i="6"/>
  <c r="GH16" i="6"/>
  <c r="GH15" i="6"/>
  <c r="GH14" i="6"/>
  <c r="GH13" i="6"/>
  <c r="GH12" i="6"/>
  <c r="GH11" i="6"/>
  <c r="GH10" i="6"/>
  <c r="GH9" i="6"/>
  <c r="GH8" i="6"/>
  <c r="GH7" i="6"/>
  <c r="GH6" i="6"/>
  <c r="GH5" i="6"/>
  <c r="GH4" i="6"/>
  <c r="GU117" i="6"/>
  <c r="GU116" i="6"/>
  <c r="GU115" i="6"/>
  <c r="GU114" i="6"/>
  <c r="GU113" i="6"/>
  <c r="GU112" i="6"/>
  <c r="GU111" i="6"/>
  <c r="GU110" i="6"/>
  <c r="GU109" i="6"/>
  <c r="GU108" i="6"/>
  <c r="GU107" i="6"/>
  <c r="GU106" i="6"/>
  <c r="GU105" i="6"/>
  <c r="GU104" i="6"/>
  <c r="GU103" i="6"/>
  <c r="GU102" i="6"/>
  <c r="GU101" i="6"/>
  <c r="GU100" i="6"/>
  <c r="GU99" i="6"/>
  <c r="GU98" i="6"/>
  <c r="GU97" i="6"/>
  <c r="GU96" i="6"/>
  <c r="GU95" i="6"/>
  <c r="GU94" i="6"/>
  <c r="GU93" i="6"/>
  <c r="GU92" i="6"/>
  <c r="GU91" i="6"/>
  <c r="GU90" i="6"/>
  <c r="GU89" i="6"/>
  <c r="GU88" i="6"/>
  <c r="GU87" i="6"/>
  <c r="GU86" i="6"/>
  <c r="GU85" i="6"/>
  <c r="GU84" i="6"/>
  <c r="GU83" i="6"/>
  <c r="GU82" i="6"/>
  <c r="GU81" i="6"/>
  <c r="GU80" i="6"/>
  <c r="GU79" i="6"/>
  <c r="GU78" i="6"/>
  <c r="GU77" i="6"/>
  <c r="GU76" i="6"/>
  <c r="GU75" i="6"/>
  <c r="GU74" i="6"/>
  <c r="GU73" i="6"/>
  <c r="GU72" i="6"/>
  <c r="GU71" i="6"/>
  <c r="GU70" i="6"/>
  <c r="GU69" i="6"/>
  <c r="GU68" i="6"/>
  <c r="GU67" i="6"/>
  <c r="GU66" i="6"/>
  <c r="GU65" i="6"/>
  <c r="GU64" i="6"/>
  <c r="GU63" i="6"/>
  <c r="GU62" i="6"/>
  <c r="GU61" i="6"/>
  <c r="GU60" i="6"/>
  <c r="GU59" i="6"/>
  <c r="GU58" i="6"/>
  <c r="GU57" i="6"/>
  <c r="GU56" i="6"/>
  <c r="GU55" i="6"/>
  <c r="GU54" i="6"/>
  <c r="GU53" i="6"/>
  <c r="GU52" i="6"/>
  <c r="GU51" i="6"/>
  <c r="GU50" i="6"/>
  <c r="GU49" i="6"/>
  <c r="GU48" i="6"/>
  <c r="GU47" i="6"/>
  <c r="GU46" i="6"/>
  <c r="GU45" i="6"/>
  <c r="GU44" i="6"/>
  <c r="GU43" i="6"/>
  <c r="GU42" i="6"/>
  <c r="GU41" i="6"/>
  <c r="GU40" i="6"/>
  <c r="GU39" i="6"/>
  <c r="GU38" i="6"/>
  <c r="GU37" i="6"/>
  <c r="GU36" i="6"/>
  <c r="GU35" i="6"/>
  <c r="GU34" i="6"/>
  <c r="GU33" i="6"/>
  <c r="GU32" i="6"/>
  <c r="GU31" i="6"/>
  <c r="GU30" i="6"/>
  <c r="GU29" i="6"/>
  <c r="GU28" i="6"/>
  <c r="GU27" i="6"/>
  <c r="GU26" i="6"/>
  <c r="GU25" i="6"/>
  <c r="GU24" i="6"/>
  <c r="GU23" i="6"/>
  <c r="GU22" i="6"/>
  <c r="GU21" i="6"/>
  <c r="GU20" i="6"/>
  <c r="GU19" i="6"/>
  <c r="GU18" i="6"/>
  <c r="GU17" i="6"/>
  <c r="GU16" i="6"/>
  <c r="GU15" i="6"/>
  <c r="GU14" i="6"/>
  <c r="GU13" i="6"/>
  <c r="GU12" i="6"/>
  <c r="GU11" i="6"/>
  <c r="GU10" i="6"/>
  <c r="GU9" i="6"/>
  <c r="GU8" i="6"/>
  <c r="GU7" i="6"/>
  <c r="GU6" i="6"/>
  <c r="GU5" i="6"/>
  <c r="GU4" i="6"/>
  <c r="HH117" i="6"/>
  <c r="HH116" i="6"/>
  <c r="HH115" i="6"/>
  <c r="HH114" i="6"/>
  <c r="HH113" i="6"/>
  <c r="HH112" i="6"/>
  <c r="HH111" i="6"/>
  <c r="HH110" i="6"/>
  <c r="HH109" i="6"/>
  <c r="HH108" i="6"/>
  <c r="HH107" i="6"/>
  <c r="HH106" i="6"/>
  <c r="HH105" i="6"/>
  <c r="HH104" i="6"/>
  <c r="HH103" i="6"/>
  <c r="HH102" i="6"/>
  <c r="HH101" i="6"/>
  <c r="HH100" i="6"/>
  <c r="HH99" i="6"/>
  <c r="HH98" i="6"/>
  <c r="HH97" i="6"/>
  <c r="HH96" i="6"/>
  <c r="HH95" i="6"/>
  <c r="HH94" i="6"/>
  <c r="HH93" i="6"/>
  <c r="HH92" i="6"/>
  <c r="HH91" i="6"/>
  <c r="HH90" i="6"/>
  <c r="HH89" i="6"/>
  <c r="HH88" i="6"/>
  <c r="HH87" i="6"/>
  <c r="HH86" i="6"/>
  <c r="HH85" i="6"/>
  <c r="HH84" i="6"/>
  <c r="HH83" i="6"/>
  <c r="HH82" i="6"/>
  <c r="HH81" i="6"/>
  <c r="HH80" i="6"/>
  <c r="HH79" i="6"/>
  <c r="HH78" i="6"/>
  <c r="HH77" i="6"/>
  <c r="HH76" i="6"/>
  <c r="HH75" i="6"/>
  <c r="HH74" i="6"/>
  <c r="HH73" i="6"/>
  <c r="HH72" i="6"/>
  <c r="HH71" i="6"/>
  <c r="HH70" i="6"/>
  <c r="HH69" i="6"/>
  <c r="HH68" i="6"/>
  <c r="HH67" i="6"/>
  <c r="HH66" i="6"/>
  <c r="HH65" i="6"/>
  <c r="HH64" i="6"/>
  <c r="HH63" i="6"/>
  <c r="HH62" i="6"/>
  <c r="HH61" i="6"/>
  <c r="HH60" i="6"/>
  <c r="HH59" i="6"/>
  <c r="HH58" i="6"/>
  <c r="HH57" i="6"/>
  <c r="HH56" i="6"/>
  <c r="HH55" i="6"/>
  <c r="HH54" i="6"/>
  <c r="HH53" i="6"/>
  <c r="HH52" i="6"/>
  <c r="HH51" i="6"/>
  <c r="HH50" i="6"/>
  <c r="HH49" i="6"/>
  <c r="HH48" i="6"/>
  <c r="HH47" i="6"/>
  <c r="HH46" i="6"/>
  <c r="HH45" i="6"/>
  <c r="HH44" i="6"/>
  <c r="HH43" i="6"/>
  <c r="HH42" i="6"/>
  <c r="HH41" i="6"/>
  <c r="HH40" i="6"/>
  <c r="HH39" i="6"/>
  <c r="HH38" i="6"/>
  <c r="HH37" i="6"/>
  <c r="HH36" i="6"/>
  <c r="HH35" i="6"/>
  <c r="HH34" i="6"/>
  <c r="HH33" i="6"/>
  <c r="HH32" i="6"/>
  <c r="HH31" i="6"/>
  <c r="HH30" i="6"/>
  <c r="HH29" i="6"/>
  <c r="HH28" i="6"/>
  <c r="HH27" i="6"/>
  <c r="HH26" i="6"/>
  <c r="HH25" i="6"/>
  <c r="HH24" i="6"/>
  <c r="HH23" i="6"/>
  <c r="HH22" i="6"/>
  <c r="HH21" i="6"/>
  <c r="HH20" i="6"/>
  <c r="HH19" i="6"/>
  <c r="HH18" i="6"/>
  <c r="HH17" i="6"/>
  <c r="HH16" i="6"/>
  <c r="HH15" i="6"/>
  <c r="HH14" i="6"/>
  <c r="HH13" i="6"/>
  <c r="HH12" i="6"/>
  <c r="HH11" i="6"/>
  <c r="HH10" i="6"/>
  <c r="HH9" i="6"/>
  <c r="HH8" i="6"/>
  <c r="HH7" i="6"/>
  <c r="HH6" i="6"/>
  <c r="HH5" i="6"/>
  <c r="HH4" i="6"/>
  <c r="HU117" i="6"/>
  <c r="HU116" i="6"/>
  <c r="HU115" i="6"/>
  <c r="HU114" i="6"/>
  <c r="HU113" i="6"/>
  <c r="HU112" i="6"/>
  <c r="HU111" i="6"/>
  <c r="HU110" i="6"/>
  <c r="HU109" i="6"/>
  <c r="HU108" i="6"/>
  <c r="HU107" i="6"/>
  <c r="HU106" i="6"/>
  <c r="HU105" i="6"/>
  <c r="HU104" i="6"/>
  <c r="HU103" i="6"/>
  <c r="HU102" i="6"/>
  <c r="HU101" i="6"/>
  <c r="HU100" i="6"/>
  <c r="HU99" i="6"/>
  <c r="HU98" i="6"/>
  <c r="HU97" i="6"/>
  <c r="HU96" i="6"/>
  <c r="HU95" i="6"/>
  <c r="HU94" i="6"/>
  <c r="HU93" i="6"/>
  <c r="HU92" i="6"/>
  <c r="HU91" i="6"/>
  <c r="HU90" i="6"/>
  <c r="HU89" i="6"/>
  <c r="HU88" i="6"/>
  <c r="HU87" i="6"/>
  <c r="HU86" i="6"/>
  <c r="HU85" i="6"/>
  <c r="HU84" i="6"/>
  <c r="HU83" i="6"/>
  <c r="HU82" i="6"/>
  <c r="HU81" i="6"/>
  <c r="HU80" i="6"/>
  <c r="HU79" i="6"/>
  <c r="HU78" i="6"/>
  <c r="HU77" i="6"/>
  <c r="HU76" i="6"/>
  <c r="HU75" i="6"/>
  <c r="HU74" i="6"/>
  <c r="HU73" i="6"/>
  <c r="HU72" i="6"/>
  <c r="HU71" i="6"/>
  <c r="HU70" i="6"/>
  <c r="HU69" i="6"/>
  <c r="HU68" i="6"/>
  <c r="HU67" i="6"/>
  <c r="HU66" i="6"/>
  <c r="HU65" i="6"/>
  <c r="HU64" i="6"/>
  <c r="HU63" i="6"/>
  <c r="HU62" i="6"/>
  <c r="HU61" i="6"/>
  <c r="HU60" i="6"/>
  <c r="HU59" i="6"/>
  <c r="HU58" i="6"/>
  <c r="HU57" i="6"/>
  <c r="HU56" i="6"/>
  <c r="HU55" i="6"/>
  <c r="HU54" i="6"/>
  <c r="HU53" i="6"/>
  <c r="HU52" i="6"/>
  <c r="HU51" i="6"/>
  <c r="HU50" i="6"/>
  <c r="HU49" i="6"/>
  <c r="HU48" i="6"/>
  <c r="HU47" i="6"/>
  <c r="HU46" i="6"/>
  <c r="HU45" i="6"/>
  <c r="HU44" i="6"/>
  <c r="HU43" i="6"/>
  <c r="HU42" i="6"/>
  <c r="HU41" i="6"/>
  <c r="HU40" i="6"/>
  <c r="HU39" i="6"/>
  <c r="HU38" i="6"/>
  <c r="HU37" i="6"/>
  <c r="HU36" i="6"/>
  <c r="HU35" i="6"/>
  <c r="HU34" i="6"/>
  <c r="HU33" i="6"/>
  <c r="HU32" i="6"/>
  <c r="HU31" i="6"/>
  <c r="HU30" i="6"/>
  <c r="HU29" i="6"/>
  <c r="HU28" i="6"/>
  <c r="HU27" i="6"/>
  <c r="HU26" i="6"/>
  <c r="HU25" i="6"/>
  <c r="HU24" i="6"/>
  <c r="HU23" i="6"/>
  <c r="HU22" i="6"/>
  <c r="HU21" i="6"/>
  <c r="HU20" i="6"/>
  <c r="HU19" i="6"/>
  <c r="HU18" i="6"/>
  <c r="HU17" i="6"/>
  <c r="HU16" i="6"/>
  <c r="HU15" i="6"/>
  <c r="HU14" i="6"/>
  <c r="HU13" i="6"/>
  <c r="HU12" i="6"/>
  <c r="HU11" i="6"/>
  <c r="HU10" i="6"/>
  <c r="HU9" i="6"/>
  <c r="HU8" i="6"/>
  <c r="HU7" i="6"/>
  <c r="HU6" i="6"/>
  <c r="HU5" i="6"/>
  <c r="HU4" i="6"/>
  <c r="IH117" i="6"/>
  <c r="IH116" i="6"/>
  <c r="IH115" i="6"/>
  <c r="IH114" i="6"/>
  <c r="IH113" i="6"/>
  <c r="IH112" i="6"/>
  <c r="IH111" i="6"/>
  <c r="IH110" i="6"/>
  <c r="IH109" i="6"/>
  <c r="IH108" i="6"/>
  <c r="IH107" i="6"/>
  <c r="IH106" i="6"/>
  <c r="IH105" i="6"/>
  <c r="IH104" i="6"/>
  <c r="IH103" i="6"/>
  <c r="IH102" i="6"/>
  <c r="IH101" i="6"/>
  <c r="IH100" i="6"/>
  <c r="IH99" i="6"/>
  <c r="IH98" i="6"/>
  <c r="IH97" i="6"/>
  <c r="IH96" i="6"/>
  <c r="IH95" i="6"/>
  <c r="IH94" i="6"/>
  <c r="IH93" i="6"/>
  <c r="IH92" i="6"/>
  <c r="IH91" i="6"/>
  <c r="IH90" i="6"/>
  <c r="IH89" i="6"/>
  <c r="IH88" i="6"/>
  <c r="IH87" i="6"/>
  <c r="IH86" i="6"/>
  <c r="IH85" i="6"/>
  <c r="IH84" i="6"/>
  <c r="IH83" i="6"/>
  <c r="IH82" i="6"/>
  <c r="IH81" i="6"/>
  <c r="IH80" i="6"/>
  <c r="IH79" i="6"/>
  <c r="IH78" i="6"/>
  <c r="IH77" i="6"/>
  <c r="IH76" i="6"/>
  <c r="IH75" i="6"/>
  <c r="IH74" i="6"/>
  <c r="IH73" i="6"/>
  <c r="IH72" i="6"/>
  <c r="IH71" i="6"/>
  <c r="IH70" i="6"/>
  <c r="IH69" i="6"/>
  <c r="IH68" i="6"/>
  <c r="IH67" i="6"/>
  <c r="IH66" i="6"/>
  <c r="IH65" i="6"/>
  <c r="IH64" i="6"/>
  <c r="IH63" i="6"/>
  <c r="IH62" i="6"/>
  <c r="IH61" i="6"/>
  <c r="IH60" i="6"/>
  <c r="IH59" i="6"/>
  <c r="IH58" i="6"/>
  <c r="IH57" i="6"/>
  <c r="IH56" i="6"/>
  <c r="IH55" i="6"/>
  <c r="IH54" i="6"/>
  <c r="IH53" i="6"/>
  <c r="IH52" i="6"/>
  <c r="IH51" i="6"/>
  <c r="IH50" i="6"/>
  <c r="IH49" i="6"/>
  <c r="IH48" i="6"/>
  <c r="IH47" i="6"/>
  <c r="IH46" i="6"/>
  <c r="IH45" i="6"/>
  <c r="IH44" i="6"/>
  <c r="IH43" i="6"/>
  <c r="IH42" i="6"/>
  <c r="IH41" i="6"/>
  <c r="IH40" i="6"/>
  <c r="IH39" i="6"/>
  <c r="IH38" i="6"/>
  <c r="IH37" i="6"/>
  <c r="IH36" i="6"/>
  <c r="IH35" i="6"/>
  <c r="IH34" i="6"/>
  <c r="IH33" i="6"/>
  <c r="IH32" i="6"/>
  <c r="IH31" i="6"/>
  <c r="IH30" i="6"/>
  <c r="IH29" i="6"/>
  <c r="IH28" i="6"/>
  <c r="IH27" i="6"/>
  <c r="IH26" i="6"/>
  <c r="IH25" i="6"/>
  <c r="IH24" i="6"/>
  <c r="IH23" i="6"/>
  <c r="IH22" i="6"/>
  <c r="IH21" i="6"/>
  <c r="IH20" i="6"/>
  <c r="IH19" i="6"/>
  <c r="IH18" i="6"/>
  <c r="IH17" i="6"/>
  <c r="IH16" i="6"/>
  <c r="IH15" i="6"/>
  <c r="IH14" i="6"/>
  <c r="IH13" i="6"/>
  <c r="IH12" i="6"/>
  <c r="IH11" i="6"/>
  <c r="IH10" i="6"/>
  <c r="IH9" i="6"/>
  <c r="IH8" i="6"/>
  <c r="IH7" i="6"/>
  <c r="IH6" i="6"/>
  <c r="IH5" i="6"/>
  <c r="IH4" i="6"/>
  <c r="IW117" i="6"/>
  <c r="IW116" i="6"/>
  <c r="IW115" i="6"/>
  <c r="IW114" i="6"/>
  <c r="IW113" i="6"/>
  <c r="IW112" i="6"/>
  <c r="IW111" i="6"/>
  <c r="IW110" i="6"/>
  <c r="IW109" i="6"/>
  <c r="IW108" i="6"/>
  <c r="IW107" i="6"/>
  <c r="IW106" i="6"/>
  <c r="IW105" i="6"/>
  <c r="IW104" i="6"/>
  <c r="IW103" i="6"/>
  <c r="IW102" i="6"/>
  <c r="IW101" i="6"/>
  <c r="IW100" i="6"/>
  <c r="IW99" i="6"/>
  <c r="IW98" i="6"/>
  <c r="IW97" i="6"/>
  <c r="IW96" i="6"/>
  <c r="IW95" i="6"/>
  <c r="IW94" i="6"/>
  <c r="IW93" i="6"/>
  <c r="IW92" i="6"/>
  <c r="IW91" i="6"/>
  <c r="IW90" i="6"/>
  <c r="IW89" i="6"/>
  <c r="IW88" i="6"/>
  <c r="IW87" i="6"/>
  <c r="IW86" i="6"/>
  <c r="IW85" i="6"/>
  <c r="IW84" i="6"/>
  <c r="IW83" i="6"/>
  <c r="IW82" i="6"/>
  <c r="IW81" i="6"/>
  <c r="IW80" i="6"/>
  <c r="IW79" i="6"/>
  <c r="IW78" i="6"/>
  <c r="IW77" i="6"/>
  <c r="IW76" i="6"/>
  <c r="IW75" i="6"/>
  <c r="IW74" i="6"/>
  <c r="IW73" i="6"/>
  <c r="IW72" i="6"/>
  <c r="IW71" i="6"/>
  <c r="IW70" i="6"/>
  <c r="IW69" i="6"/>
  <c r="IW68" i="6"/>
  <c r="IW67" i="6"/>
  <c r="IW66" i="6"/>
  <c r="IW65" i="6"/>
  <c r="IW64" i="6"/>
  <c r="IW63" i="6"/>
  <c r="IW62" i="6"/>
  <c r="IW61" i="6"/>
  <c r="IW60" i="6"/>
  <c r="IW59" i="6"/>
  <c r="IW58" i="6"/>
  <c r="IW57" i="6"/>
  <c r="IW56" i="6"/>
  <c r="IW55" i="6"/>
  <c r="IW54" i="6"/>
  <c r="IW53" i="6"/>
  <c r="IW52" i="6"/>
  <c r="IW51" i="6"/>
  <c r="IW50" i="6"/>
  <c r="IW49" i="6"/>
  <c r="IW48" i="6"/>
  <c r="IW47" i="6"/>
  <c r="IW46" i="6"/>
  <c r="IW45" i="6"/>
  <c r="IW44" i="6"/>
  <c r="IW43" i="6"/>
  <c r="IW42" i="6"/>
  <c r="IW41" i="6"/>
  <c r="IW40" i="6"/>
  <c r="IW39" i="6"/>
  <c r="IW38" i="6"/>
  <c r="IW37" i="6"/>
  <c r="IW36" i="6"/>
  <c r="IW35" i="6"/>
  <c r="IW34" i="6"/>
  <c r="IW33" i="6"/>
  <c r="IW32" i="6"/>
  <c r="IW31" i="6"/>
  <c r="IW30" i="6"/>
  <c r="IW29" i="6"/>
  <c r="IW28" i="6"/>
  <c r="IW27" i="6"/>
  <c r="IW26" i="6"/>
  <c r="IW25" i="6"/>
  <c r="IW24" i="6"/>
  <c r="IW23" i="6"/>
  <c r="IW22" i="6"/>
  <c r="IW21" i="6"/>
  <c r="IW20" i="6"/>
  <c r="IW19" i="6"/>
  <c r="IW18" i="6"/>
  <c r="IW17" i="6"/>
  <c r="IW16" i="6"/>
  <c r="IW15" i="6"/>
  <c r="IW14" i="6"/>
  <c r="IW13" i="6"/>
  <c r="IW12" i="6"/>
  <c r="IW11" i="6"/>
  <c r="IW10" i="6"/>
  <c r="IW9" i="6"/>
  <c r="IW8" i="6"/>
  <c r="IW7" i="6"/>
  <c r="IW6" i="6"/>
  <c r="IW5" i="6"/>
  <c r="IW4" i="6"/>
  <c r="JJ117" i="6"/>
  <c r="JJ116" i="6"/>
  <c r="JJ115" i="6"/>
  <c r="JJ114" i="6"/>
  <c r="JJ113" i="6"/>
  <c r="JJ112" i="6"/>
  <c r="JJ111" i="6"/>
  <c r="JJ110" i="6"/>
  <c r="JJ109" i="6"/>
  <c r="JJ108" i="6"/>
  <c r="JJ107" i="6"/>
  <c r="JJ106" i="6"/>
  <c r="JJ105" i="6"/>
  <c r="JJ104" i="6"/>
  <c r="JJ103" i="6"/>
  <c r="JJ102" i="6"/>
  <c r="JJ101" i="6"/>
  <c r="JJ100" i="6"/>
  <c r="JJ99" i="6"/>
  <c r="JJ98" i="6"/>
  <c r="JJ97" i="6"/>
  <c r="JJ96" i="6"/>
  <c r="JJ95" i="6"/>
  <c r="JJ94" i="6"/>
  <c r="JJ93" i="6"/>
  <c r="JJ92" i="6"/>
  <c r="JJ91" i="6"/>
  <c r="JJ90" i="6"/>
  <c r="JJ89" i="6"/>
  <c r="JJ88" i="6"/>
  <c r="JJ87" i="6"/>
  <c r="JJ86" i="6"/>
  <c r="JJ85" i="6"/>
  <c r="JJ84" i="6"/>
  <c r="JJ83" i="6"/>
  <c r="JJ82" i="6"/>
  <c r="JJ81" i="6"/>
  <c r="JJ80" i="6"/>
  <c r="JJ79" i="6"/>
  <c r="JJ78" i="6"/>
  <c r="JJ77" i="6"/>
  <c r="JJ76" i="6"/>
  <c r="JJ75" i="6"/>
  <c r="JJ74" i="6"/>
  <c r="JJ73" i="6"/>
  <c r="JJ72" i="6"/>
  <c r="JJ71" i="6"/>
  <c r="JJ70" i="6"/>
  <c r="JJ69" i="6"/>
  <c r="JJ68" i="6"/>
  <c r="JJ67" i="6"/>
  <c r="JJ66" i="6"/>
  <c r="JJ65" i="6"/>
  <c r="JJ64" i="6"/>
  <c r="JJ63" i="6"/>
  <c r="JJ62" i="6"/>
  <c r="JJ61" i="6"/>
  <c r="JJ60" i="6"/>
  <c r="JJ59" i="6"/>
  <c r="JJ58" i="6"/>
  <c r="JJ57" i="6"/>
  <c r="JJ56" i="6"/>
  <c r="JJ55" i="6"/>
  <c r="JJ54" i="6"/>
  <c r="JJ53" i="6"/>
  <c r="JJ52" i="6"/>
  <c r="JJ51" i="6"/>
  <c r="JJ50" i="6"/>
  <c r="JJ49" i="6"/>
  <c r="JJ48" i="6"/>
  <c r="JJ47" i="6"/>
  <c r="JJ46" i="6"/>
  <c r="JJ45" i="6"/>
  <c r="JJ44" i="6"/>
  <c r="JJ43" i="6"/>
  <c r="JJ42" i="6"/>
  <c r="JJ41" i="6"/>
  <c r="JJ40" i="6"/>
  <c r="JJ39" i="6"/>
  <c r="JJ38" i="6"/>
  <c r="JJ37" i="6"/>
  <c r="JJ36" i="6"/>
  <c r="JJ35" i="6"/>
  <c r="JJ34" i="6"/>
  <c r="JJ33" i="6"/>
  <c r="JJ32" i="6"/>
  <c r="JJ31" i="6"/>
  <c r="JJ30" i="6"/>
  <c r="JJ29" i="6"/>
  <c r="JJ28" i="6"/>
  <c r="JJ27" i="6"/>
  <c r="JJ26" i="6"/>
  <c r="JJ25" i="6"/>
  <c r="JJ24" i="6"/>
  <c r="JJ23" i="6"/>
  <c r="JJ22" i="6"/>
  <c r="JJ21" i="6"/>
  <c r="JJ20" i="6"/>
  <c r="JJ19" i="6"/>
  <c r="JJ18" i="6"/>
  <c r="JJ17" i="6"/>
  <c r="JJ16" i="6"/>
  <c r="JJ15" i="6"/>
  <c r="JJ14" i="6"/>
  <c r="JJ13" i="6"/>
  <c r="JJ12" i="6"/>
  <c r="JJ11" i="6"/>
  <c r="JJ10" i="6"/>
  <c r="JJ9" i="6"/>
  <c r="JJ8" i="6"/>
  <c r="JJ7" i="6"/>
  <c r="JJ6" i="6"/>
  <c r="JJ5" i="6"/>
  <c r="JJ4" i="6"/>
  <c r="JW117" i="6"/>
  <c r="JW116" i="6"/>
  <c r="JW115" i="6"/>
  <c r="JW114" i="6"/>
  <c r="JW113" i="6"/>
  <c r="JW112" i="6"/>
  <c r="JW111" i="6"/>
  <c r="JW110" i="6"/>
  <c r="JW109" i="6"/>
  <c r="JW108" i="6"/>
  <c r="JW107" i="6"/>
  <c r="JW106" i="6"/>
  <c r="JW105" i="6"/>
  <c r="JW104" i="6"/>
  <c r="JW103" i="6"/>
  <c r="JW102" i="6"/>
  <c r="JW101" i="6"/>
  <c r="JW100" i="6"/>
  <c r="JW99" i="6"/>
  <c r="JW98" i="6"/>
  <c r="JW97" i="6"/>
  <c r="JW96" i="6"/>
  <c r="JW95" i="6"/>
  <c r="JW94" i="6"/>
  <c r="JW93" i="6"/>
  <c r="JW92" i="6"/>
  <c r="JW91" i="6"/>
  <c r="JW90" i="6"/>
  <c r="JW89" i="6"/>
  <c r="JW88" i="6"/>
  <c r="JW87" i="6"/>
  <c r="JW86" i="6"/>
  <c r="JW85" i="6"/>
  <c r="JW84" i="6"/>
  <c r="JW83" i="6"/>
  <c r="JW82" i="6"/>
  <c r="JW81" i="6"/>
  <c r="JW80" i="6"/>
  <c r="JW79" i="6"/>
  <c r="JW78" i="6"/>
  <c r="JW77" i="6"/>
  <c r="JW76" i="6"/>
  <c r="JW75" i="6"/>
  <c r="JW74" i="6"/>
  <c r="JW73" i="6"/>
  <c r="JW72" i="6"/>
  <c r="JW71" i="6"/>
  <c r="JW70" i="6"/>
  <c r="JW69" i="6"/>
  <c r="JW68" i="6"/>
  <c r="JW67" i="6"/>
  <c r="JW66" i="6"/>
  <c r="JW65" i="6"/>
  <c r="JW64" i="6"/>
  <c r="JW63" i="6"/>
  <c r="JW62" i="6"/>
  <c r="JW61" i="6"/>
  <c r="JW60" i="6"/>
  <c r="JW59" i="6"/>
  <c r="JW58" i="6"/>
  <c r="JW57" i="6"/>
  <c r="JW56" i="6"/>
  <c r="JW55" i="6"/>
  <c r="JW54" i="6"/>
  <c r="JW53" i="6"/>
  <c r="JW52" i="6"/>
  <c r="JW51" i="6"/>
  <c r="JW50" i="6"/>
  <c r="JW49" i="6"/>
  <c r="JW48" i="6"/>
  <c r="JW47" i="6"/>
  <c r="JW46" i="6"/>
  <c r="JW45" i="6"/>
  <c r="JW44" i="6"/>
  <c r="JW43" i="6"/>
  <c r="JW42" i="6"/>
  <c r="JW41" i="6"/>
  <c r="JW40" i="6"/>
  <c r="JW39" i="6"/>
  <c r="JW38" i="6"/>
  <c r="JW37" i="6"/>
  <c r="JW36" i="6"/>
  <c r="JW35" i="6"/>
  <c r="JW34" i="6"/>
  <c r="JW33" i="6"/>
  <c r="JW32" i="6"/>
  <c r="JW31" i="6"/>
  <c r="JW30" i="6"/>
  <c r="JW29" i="6"/>
  <c r="JW28" i="6"/>
  <c r="JW27" i="6"/>
  <c r="JW26" i="6"/>
  <c r="JW25" i="6"/>
  <c r="JW24" i="6"/>
  <c r="JW23" i="6"/>
  <c r="JW22" i="6"/>
  <c r="JW21" i="6"/>
  <c r="JW20" i="6"/>
  <c r="JW19" i="6"/>
  <c r="JW18" i="6"/>
  <c r="JW17" i="6"/>
  <c r="JW16" i="6"/>
  <c r="JW15" i="6"/>
  <c r="JW14" i="6"/>
  <c r="JW13" i="6"/>
  <c r="JW12" i="6"/>
  <c r="JW11" i="6"/>
  <c r="JW10" i="6"/>
  <c r="JW9" i="6"/>
  <c r="JW8" i="6"/>
  <c r="JW7" i="6"/>
  <c r="JW6" i="6"/>
  <c r="JW5" i="6"/>
  <c r="JW4" i="6"/>
  <c r="KJ117" i="6"/>
  <c r="KJ116" i="6"/>
  <c r="KJ115" i="6"/>
  <c r="KJ114" i="6"/>
  <c r="KJ113" i="6"/>
  <c r="KJ112" i="6"/>
  <c r="KJ111" i="6"/>
  <c r="KJ110" i="6"/>
  <c r="KJ109" i="6"/>
  <c r="KJ108" i="6"/>
  <c r="KJ107" i="6"/>
  <c r="KJ106" i="6"/>
  <c r="KJ105" i="6"/>
  <c r="KJ104" i="6"/>
  <c r="KJ103" i="6"/>
  <c r="KJ102" i="6"/>
  <c r="KJ101" i="6"/>
  <c r="KJ100" i="6"/>
  <c r="KJ99" i="6"/>
  <c r="KJ98" i="6"/>
  <c r="KJ97" i="6"/>
  <c r="KJ96" i="6"/>
  <c r="KJ95" i="6"/>
  <c r="KJ94" i="6"/>
  <c r="KJ93" i="6"/>
  <c r="KJ92" i="6"/>
  <c r="KJ91" i="6"/>
  <c r="KJ90" i="6"/>
  <c r="KJ89" i="6"/>
  <c r="KJ88" i="6"/>
  <c r="KJ87" i="6"/>
  <c r="KJ86" i="6"/>
  <c r="KJ85" i="6"/>
  <c r="KJ84" i="6"/>
  <c r="KJ83" i="6"/>
  <c r="KJ82" i="6"/>
  <c r="KJ81" i="6"/>
  <c r="KJ80" i="6"/>
  <c r="KJ79" i="6"/>
  <c r="KJ78" i="6"/>
  <c r="KJ77" i="6"/>
  <c r="KJ76" i="6"/>
  <c r="KJ75" i="6"/>
  <c r="KJ74" i="6"/>
  <c r="KJ73" i="6"/>
  <c r="KJ72" i="6"/>
  <c r="KJ71" i="6"/>
  <c r="KJ70" i="6"/>
  <c r="KJ69" i="6"/>
  <c r="KJ68" i="6"/>
  <c r="KJ67" i="6"/>
  <c r="KJ66" i="6"/>
  <c r="KJ65" i="6"/>
  <c r="KJ64" i="6"/>
  <c r="KJ63" i="6"/>
  <c r="KJ62" i="6"/>
  <c r="KJ61" i="6"/>
  <c r="KJ60" i="6"/>
  <c r="KJ59" i="6"/>
  <c r="KJ58" i="6"/>
  <c r="KJ57" i="6"/>
  <c r="KJ56" i="6"/>
  <c r="KJ55" i="6"/>
  <c r="KJ54" i="6"/>
  <c r="KJ53" i="6"/>
  <c r="KJ52" i="6"/>
  <c r="KJ51" i="6"/>
  <c r="KJ50" i="6"/>
  <c r="KJ49" i="6"/>
  <c r="KJ48" i="6"/>
  <c r="KJ47" i="6"/>
  <c r="KJ46" i="6"/>
  <c r="KJ45" i="6"/>
  <c r="KJ44" i="6"/>
  <c r="KJ43" i="6"/>
  <c r="KJ42" i="6"/>
  <c r="KJ41" i="6"/>
  <c r="KJ40" i="6"/>
  <c r="KJ39" i="6"/>
  <c r="KJ38" i="6"/>
  <c r="KJ37" i="6"/>
  <c r="KJ36" i="6"/>
  <c r="KJ35" i="6"/>
  <c r="KJ34" i="6"/>
  <c r="KJ33" i="6"/>
  <c r="KJ32" i="6"/>
  <c r="KJ31" i="6"/>
  <c r="KJ30" i="6"/>
  <c r="KJ29" i="6"/>
  <c r="KJ28" i="6"/>
  <c r="KJ27" i="6"/>
  <c r="KJ26" i="6"/>
  <c r="KJ25" i="6"/>
  <c r="KJ24" i="6"/>
  <c r="KJ23" i="6"/>
  <c r="KJ22" i="6"/>
  <c r="KJ21" i="6"/>
  <c r="KJ20" i="6"/>
  <c r="KJ19" i="6"/>
  <c r="KJ18" i="6"/>
  <c r="KJ17" i="6"/>
  <c r="KJ16" i="6"/>
  <c r="KJ15" i="6"/>
  <c r="KJ14" i="6"/>
  <c r="KJ13" i="6"/>
  <c r="KJ12" i="6"/>
  <c r="KJ11" i="6"/>
  <c r="KJ10" i="6"/>
  <c r="KJ9" i="6"/>
  <c r="KJ8" i="6"/>
  <c r="KJ7" i="6"/>
  <c r="KJ6" i="6"/>
  <c r="KJ5" i="6"/>
  <c r="KJ4" i="6"/>
  <c r="KW117" i="6"/>
  <c r="KW116" i="6"/>
  <c r="KW115" i="6"/>
  <c r="KW114" i="6"/>
  <c r="KW113" i="6"/>
  <c r="KW112" i="6"/>
  <c r="KW111" i="6"/>
  <c r="KW110" i="6"/>
  <c r="KW109" i="6"/>
  <c r="KW108" i="6"/>
  <c r="KW107" i="6"/>
  <c r="KW106" i="6"/>
  <c r="KW105" i="6"/>
  <c r="KW104" i="6"/>
  <c r="KW103" i="6"/>
  <c r="KW102" i="6"/>
  <c r="KW101" i="6"/>
  <c r="KW100" i="6"/>
  <c r="KW99" i="6"/>
  <c r="KW98" i="6"/>
  <c r="KW97" i="6"/>
  <c r="KW96" i="6"/>
  <c r="KW95" i="6"/>
  <c r="KW94" i="6"/>
  <c r="KW93" i="6"/>
  <c r="KW92" i="6"/>
  <c r="KW91" i="6"/>
  <c r="KW90" i="6"/>
  <c r="KW89" i="6"/>
  <c r="KW88" i="6"/>
  <c r="KW87" i="6"/>
  <c r="KW86" i="6"/>
  <c r="KW85" i="6"/>
  <c r="KW84" i="6"/>
  <c r="KW83" i="6"/>
  <c r="KW82" i="6"/>
  <c r="KW81" i="6"/>
  <c r="KW80" i="6"/>
  <c r="KW79" i="6"/>
  <c r="KW78" i="6"/>
  <c r="KW77" i="6"/>
  <c r="KW76" i="6"/>
  <c r="KW75" i="6"/>
  <c r="KW74" i="6"/>
  <c r="KW73" i="6"/>
  <c r="KW72" i="6"/>
  <c r="KW71" i="6"/>
  <c r="KW70" i="6"/>
  <c r="KW69" i="6"/>
  <c r="KW68" i="6"/>
  <c r="KW67" i="6"/>
  <c r="KW66" i="6"/>
  <c r="KW65" i="6"/>
  <c r="KW64" i="6"/>
  <c r="KW63" i="6"/>
  <c r="KW62" i="6"/>
  <c r="KW61" i="6"/>
  <c r="KW60" i="6"/>
  <c r="KW59" i="6"/>
  <c r="KW58" i="6"/>
  <c r="KW57" i="6"/>
  <c r="KW56" i="6"/>
  <c r="KW55" i="6"/>
  <c r="KW54" i="6"/>
  <c r="KW53" i="6"/>
  <c r="KW52" i="6"/>
  <c r="KW51" i="6"/>
  <c r="KW50" i="6"/>
  <c r="KW49" i="6"/>
  <c r="KW48" i="6"/>
  <c r="KW47" i="6"/>
  <c r="KW46" i="6"/>
  <c r="KW45" i="6"/>
  <c r="KW44" i="6"/>
  <c r="KW43" i="6"/>
  <c r="KW42" i="6"/>
  <c r="KW41" i="6"/>
  <c r="KW40" i="6"/>
  <c r="KW39" i="6"/>
  <c r="KW38" i="6"/>
  <c r="KW37" i="6"/>
  <c r="KW36" i="6"/>
  <c r="KW35" i="6"/>
  <c r="KW34" i="6"/>
  <c r="KW33" i="6"/>
  <c r="KW32" i="6"/>
  <c r="KW31" i="6"/>
  <c r="KW30" i="6"/>
  <c r="KW29" i="6"/>
  <c r="KW28" i="6"/>
  <c r="KW27" i="6"/>
  <c r="KW26" i="6"/>
  <c r="KW25" i="6"/>
  <c r="KW24" i="6"/>
  <c r="KW23" i="6"/>
  <c r="KW22" i="6"/>
  <c r="KW21" i="6"/>
  <c r="KW20" i="6"/>
  <c r="KW19" i="6"/>
  <c r="KW18" i="6"/>
  <c r="KW17" i="6"/>
  <c r="KW16" i="6"/>
  <c r="KW15" i="6"/>
  <c r="KW14" i="6"/>
  <c r="KW13" i="6"/>
  <c r="KW12" i="6"/>
  <c r="KW11" i="6"/>
  <c r="KW10" i="6"/>
  <c r="KW9" i="6"/>
  <c r="KW8" i="6"/>
  <c r="KW7" i="6"/>
  <c r="KW6" i="6"/>
  <c r="KW5" i="6"/>
  <c r="KW4" i="6"/>
  <c r="LJ117" i="6"/>
  <c r="LJ116" i="6"/>
  <c r="LJ115" i="6"/>
  <c r="LJ114" i="6"/>
  <c r="LJ113" i="6"/>
  <c r="LJ112" i="6"/>
  <c r="LJ111" i="6"/>
  <c r="LJ110" i="6"/>
  <c r="LJ109" i="6"/>
  <c r="LJ108" i="6"/>
  <c r="LJ107" i="6"/>
  <c r="LJ106" i="6"/>
  <c r="LJ105" i="6"/>
  <c r="LJ104" i="6"/>
  <c r="LJ103" i="6"/>
  <c r="LJ102" i="6"/>
  <c r="LJ101" i="6"/>
  <c r="LJ100" i="6"/>
  <c r="LJ99" i="6"/>
  <c r="LJ98" i="6"/>
  <c r="LJ97" i="6"/>
  <c r="LJ96" i="6"/>
  <c r="LJ95" i="6"/>
  <c r="LJ94" i="6"/>
  <c r="LJ93" i="6"/>
  <c r="LJ92" i="6"/>
  <c r="LJ91" i="6"/>
  <c r="LJ90" i="6"/>
  <c r="LJ89" i="6"/>
  <c r="LJ88" i="6"/>
  <c r="LJ87" i="6"/>
  <c r="LJ86" i="6"/>
  <c r="LJ85" i="6"/>
  <c r="LJ84" i="6"/>
  <c r="LJ83" i="6"/>
  <c r="LJ82" i="6"/>
  <c r="LJ81" i="6"/>
  <c r="LJ80" i="6"/>
  <c r="LJ79" i="6"/>
  <c r="LJ78" i="6"/>
  <c r="LJ77" i="6"/>
  <c r="LJ76" i="6"/>
  <c r="LJ75" i="6"/>
  <c r="LJ74" i="6"/>
  <c r="LJ73" i="6"/>
  <c r="LJ72" i="6"/>
  <c r="LJ71" i="6"/>
  <c r="LJ70" i="6"/>
  <c r="LJ69" i="6"/>
  <c r="LJ68" i="6"/>
  <c r="LJ67" i="6"/>
  <c r="LJ66" i="6"/>
  <c r="LJ65" i="6"/>
  <c r="LJ64" i="6"/>
  <c r="LJ63" i="6"/>
  <c r="LJ62" i="6"/>
  <c r="LJ61" i="6"/>
  <c r="LJ60" i="6"/>
  <c r="LJ59" i="6"/>
  <c r="LJ58" i="6"/>
  <c r="LJ57" i="6"/>
  <c r="LJ56" i="6"/>
  <c r="LJ55" i="6"/>
  <c r="LJ54" i="6"/>
  <c r="LJ53" i="6"/>
  <c r="LJ52" i="6"/>
  <c r="LJ51" i="6"/>
  <c r="LJ50" i="6"/>
  <c r="LJ49" i="6"/>
  <c r="LJ48" i="6"/>
  <c r="LJ47" i="6"/>
  <c r="LJ46" i="6"/>
  <c r="LJ45" i="6"/>
  <c r="LJ44" i="6"/>
  <c r="LJ43" i="6"/>
  <c r="LJ42" i="6"/>
  <c r="LJ41" i="6"/>
  <c r="LJ40" i="6"/>
  <c r="LJ39" i="6"/>
  <c r="LJ38" i="6"/>
  <c r="LJ37" i="6"/>
  <c r="LJ36" i="6"/>
  <c r="LJ35" i="6"/>
  <c r="LJ34" i="6"/>
  <c r="LJ33" i="6"/>
  <c r="LJ32" i="6"/>
  <c r="LJ31" i="6"/>
  <c r="LJ30" i="6"/>
  <c r="LJ29" i="6"/>
  <c r="LJ28" i="6"/>
  <c r="LJ27" i="6"/>
  <c r="LJ26" i="6"/>
  <c r="LJ25" i="6"/>
  <c r="LJ24" i="6"/>
  <c r="LJ23" i="6"/>
  <c r="LJ22" i="6"/>
  <c r="LJ21" i="6"/>
  <c r="LJ20" i="6"/>
  <c r="LJ19" i="6"/>
  <c r="LJ18" i="6"/>
  <c r="LJ17" i="6"/>
  <c r="LJ16" i="6"/>
  <c r="LJ15" i="6"/>
  <c r="LJ14" i="6"/>
  <c r="LJ13" i="6"/>
  <c r="LJ12" i="6"/>
  <c r="LJ11" i="6"/>
  <c r="LJ10" i="6"/>
  <c r="LJ9" i="6"/>
  <c r="LJ8" i="6"/>
  <c r="LJ7" i="6"/>
  <c r="LJ6" i="6"/>
  <c r="LJ5" i="6"/>
  <c r="LJ4" i="6"/>
  <c r="LW117" i="6"/>
  <c r="LW116" i="6"/>
  <c r="LW115" i="6"/>
  <c r="LW114" i="6"/>
  <c r="LW113" i="6"/>
  <c r="LW112" i="6"/>
  <c r="LW111" i="6"/>
  <c r="LW110" i="6"/>
  <c r="LW109" i="6"/>
  <c r="LW108" i="6"/>
  <c r="LW107" i="6"/>
  <c r="LW106" i="6"/>
  <c r="LW105" i="6"/>
  <c r="LW104" i="6"/>
  <c r="LW103" i="6"/>
  <c r="LW102" i="6"/>
  <c r="LW101" i="6"/>
  <c r="LW100" i="6"/>
  <c r="LW99" i="6"/>
  <c r="LW98" i="6"/>
  <c r="LW97" i="6"/>
  <c r="LW96" i="6"/>
  <c r="LW95" i="6"/>
  <c r="LW94" i="6"/>
  <c r="LW93" i="6"/>
  <c r="LW92" i="6"/>
  <c r="LW91" i="6"/>
  <c r="LW90" i="6"/>
  <c r="LW89" i="6"/>
  <c r="LW88" i="6"/>
  <c r="LW87" i="6"/>
  <c r="LW86" i="6"/>
  <c r="LW85" i="6"/>
  <c r="LW84" i="6"/>
  <c r="LW83" i="6"/>
  <c r="LW82" i="6"/>
  <c r="LW81" i="6"/>
  <c r="LW80" i="6"/>
  <c r="LW79" i="6"/>
  <c r="LW78" i="6"/>
  <c r="LW77" i="6"/>
  <c r="LW76" i="6"/>
  <c r="LW75" i="6"/>
  <c r="LW74" i="6"/>
  <c r="LW73" i="6"/>
  <c r="LW72" i="6"/>
  <c r="LW71" i="6"/>
  <c r="LW70" i="6"/>
  <c r="LW69" i="6"/>
  <c r="LW68" i="6"/>
  <c r="LW67" i="6"/>
  <c r="LW66" i="6"/>
  <c r="LW65" i="6"/>
  <c r="LW64" i="6"/>
  <c r="LW63" i="6"/>
  <c r="LW62" i="6"/>
  <c r="LW61" i="6"/>
  <c r="LW60" i="6"/>
  <c r="LW59" i="6"/>
  <c r="LW58" i="6"/>
  <c r="LW57" i="6"/>
  <c r="LW56" i="6"/>
  <c r="LW55" i="6"/>
  <c r="LW54" i="6"/>
  <c r="LW53" i="6"/>
  <c r="LW52" i="6"/>
  <c r="LW51" i="6"/>
  <c r="LW50" i="6"/>
  <c r="LW49" i="6"/>
  <c r="LW48" i="6"/>
  <c r="LW47" i="6"/>
  <c r="LW46" i="6"/>
  <c r="LW45" i="6"/>
  <c r="LW44" i="6"/>
  <c r="LW43" i="6"/>
  <c r="LW42" i="6"/>
  <c r="LW41" i="6"/>
  <c r="LW40" i="6"/>
  <c r="LW39" i="6"/>
  <c r="LW38" i="6"/>
  <c r="LW37" i="6"/>
  <c r="LW36" i="6"/>
  <c r="LW35" i="6"/>
  <c r="LW34" i="6"/>
  <c r="LW33" i="6"/>
  <c r="LW32" i="6"/>
  <c r="LW31" i="6"/>
  <c r="LW30" i="6"/>
  <c r="LW29" i="6"/>
  <c r="LW28" i="6"/>
  <c r="LW27" i="6"/>
  <c r="LW26" i="6"/>
  <c r="LW25" i="6"/>
  <c r="LW24" i="6"/>
  <c r="LW23" i="6"/>
  <c r="LW22" i="6"/>
  <c r="LW21" i="6"/>
  <c r="LW20" i="6"/>
  <c r="LW19" i="6"/>
  <c r="LW18" i="6"/>
  <c r="LW17" i="6"/>
  <c r="LW16" i="6"/>
  <c r="LW15" i="6"/>
  <c r="LW14" i="6"/>
  <c r="LW13" i="6"/>
  <c r="LW12" i="6"/>
  <c r="LW11" i="6"/>
  <c r="LW10" i="6"/>
  <c r="LW9" i="6"/>
  <c r="LW8" i="6"/>
  <c r="LW7" i="6"/>
  <c r="LW6" i="6"/>
  <c r="LW5" i="6"/>
  <c r="LW4" i="6"/>
  <c r="MJ117" i="6"/>
  <c r="MJ116" i="6"/>
  <c r="MJ115" i="6"/>
  <c r="MJ114" i="6"/>
  <c r="MJ113" i="6"/>
  <c r="MJ112" i="6"/>
  <c r="MJ111" i="6"/>
  <c r="MJ110" i="6"/>
  <c r="MJ109" i="6"/>
  <c r="MJ108" i="6"/>
  <c r="MJ107" i="6"/>
  <c r="MJ106" i="6"/>
  <c r="MJ105" i="6"/>
  <c r="MJ104" i="6"/>
  <c r="MJ103" i="6"/>
  <c r="MJ102" i="6"/>
  <c r="MJ101" i="6"/>
  <c r="MJ100" i="6"/>
  <c r="MJ99" i="6"/>
  <c r="MJ98" i="6"/>
  <c r="MJ97" i="6"/>
  <c r="MJ96" i="6"/>
  <c r="MJ95" i="6"/>
  <c r="MJ94" i="6"/>
  <c r="MJ93" i="6"/>
  <c r="MJ92" i="6"/>
  <c r="MJ91" i="6"/>
  <c r="MJ90" i="6"/>
  <c r="MJ89" i="6"/>
  <c r="MJ88" i="6"/>
  <c r="MJ87" i="6"/>
  <c r="MJ86" i="6"/>
  <c r="MJ85" i="6"/>
  <c r="MJ84" i="6"/>
  <c r="MJ83" i="6"/>
  <c r="MJ82" i="6"/>
  <c r="MJ81" i="6"/>
  <c r="MJ80" i="6"/>
  <c r="MJ79" i="6"/>
  <c r="MJ78" i="6"/>
  <c r="MJ77" i="6"/>
  <c r="MJ76" i="6"/>
  <c r="MJ75" i="6"/>
  <c r="MJ74" i="6"/>
  <c r="MJ73" i="6"/>
  <c r="MJ72" i="6"/>
  <c r="MJ71" i="6"/>
  <c r="MJ70" i="6"/>
  <c r="MJ69" i="6"/>
  <c r="MJ68" i="6"/>
  <c r="MJ67" i="6"/>
  <c r="MJ66" i="6"/>
  <c r="MJ65" i="6"/>
  <c r="MJ64" i="6"/>
  <c r="MJ63" i="6"/>
  <c r="MJ62" i="6"/>
  <c r="MJ61" i="6"/>
  <c r="MJ60" i="6"/>
  <c r="MJ59" i="6"/>
  <c r="MJ58" i="6"/>
  <c r="MJ57" i="6"/>
  <c r="MJ56" i="6"/>
  <c r="MJ55" i="6"/>
  <c r="MJ54" i="6"/>
  <c r="MJ53" i="6"/>
  <c r="MJ52" i="6"/>
  <c r="MJ51" i="6"/>
  <c r="MJ50" i="6"/>
  <c r="MJ49" i="6"/>
  <c r="MJ48" i="6"/>
  <c r="MJ47" i="6"/>
  <c r="MJ46" i="6"/>
  <c r="MJ45" i="6"/>
  <c r="MJ44" i="6"/>
  <c r="MJ43" i="6"/>
  <c r="MJ42" i="6"/>
  <c r="MJ41" i="6"/>
  <c r="MJ40" i="6"/>
  <c r="MJ39" i="6"/>
  <c r="MJ38" i="6"/>
  <c r="MJ37" i="6"/>
  <c r="MJ36" i="6"/>
  <c r="MJ35" i="6"/>
  <c r="MJ34" i="6"/>
  <c r="MJ33" i="6"/>
  <c r="MJ32" i="6"/>
  <c r="MJ31" i="6"/>
  <c r="MJ30" i="6"/>
  <c r="MJ29" i="6"/>
  <c r="MJ28" i="6"/>
  <c r="MJ27" i="6"/>
  <c r="MJ26" i="6"/>
  <c r="MJ25" i="6"/>
  <c r="MJ24" i="6"/>
  <c r="MJ23" i="6"/>
  <c r="MJ22" i="6"/>
  <c r="MJ21" i="6"/>
  <c r="MJ20" i="6"/>
  <c r="MJ19" i="6"/>
  <c r="MJ18" i="6"/>
  <c r="MJ17" i="6"/>
  <c r="MJ16" i="6"/>
  <c r="MJ15" i="6"/>
  <c r="MJ14" i="6"/>
  <c r="MJ13" i="6"/>
  <c r="MJ12" i="6"/>
  <c r="MJ11" i="6"/>
  <c r="MJ10" i="6"/>
  <c r="MJ9" i="6"/>
  <c r="MJ8" i="6"/>
  <c r="MJ7" i="6"/>
  <c r="MJ6" i="6"/>
  <c r="MJ5" i="6"/>
  <c r="MJ4" i="6"/>
  <c r="MW117" i="6"/>
  <c r="MW116" i="6"/>
  <c r="MW115" i="6"/>
  <c r="MW114" i="6"/>
  <c r="MW113" i="6"/>
  <c r="MW112" i="6"/>
  <c r="MW111" i="6"/>
  <c r="MW110" i="6"/>
  <c r="MW109" i="6"/>
  <c r="MW108" i="6"/>
  <c r="MW107" i="6"/>
  <c r="MW106" i="6"/>
  <c r="MW105" i="6"/>
  <c r="MW104" i="6"/>
  <c r="MW103" i="6"/>
  <c r="MW102" i="6"/>
  <c r="MW101" i="6"/>
  <c r="MW100" i="6"/>
  <c r="MW99" i="6"/>
  <c r="MW98" i="6"/>
  <c r="MW97" i="6"/>
  <c r="MW96" i="6"/>
  <c r="MW95" i="6"/>
  <c r="MW94" i="6"/>
  <c r="MW93" i="6"/>
  <c r="MW92" i="6"/>
  <c r="MW91" i="6"/>
  <c r="MW90" i="6"/>
  <c r="MW89" i="6"/>
  <c r="MW88" i="6"/>
  <c r="MW87" i="6"/>
  <c r="MW86" i="6"/>
  <c r="MW85" i="6"/>
  <c r="MW84" i="6"/>
  <c r="MW83" i="6"/>
  <c r="MW82" i="6"/>
  <c r="MW81" i="6"/>
  <c r="MW80" i="6"/>
  <c r="MW79" i="6"/>
  <c r="MW78" i="6"/>
  <c r="MW77" i="6"/>
  <c r="MW76" i="6"/>
  <c r="MW75" i="6"/>
  <c r="MW74" i="6"/>
  <c r="MW73" i="6"/>
  <c r="MW72" i="6"/>
  <c r="MW71" i="6"/>
  <c r="MW70" i="6"/>
  <c r="MW69" i="6"/>
  <c r="MW68" i="6"/>
  <c r="MW67" i="6"/>
  <c r="MW66" i="6"/>
  <c r="MW65" i="6"/>
  <c r="MW64" i="6"/>
  <c r="MW63" i="6"/>
  <c r="MW62" i="6"/>
  <c r="MW61" i="6"/>
  <c r="MW60" i="6"/>
  <c r="MW59" i="6"/>
  <c r="MW58" i="6"/>
  <c r="MW57" i="6"/>
  <c r="MW56" i="6"/>
  <c r="MW55" i="6"/>
  <c r="MW54" i="6"/>
  <c r="MW53" i="6"/>
  <c r="MW52" i="6"/>
  <c r="MW51" i="6"/>
  <c r="MW50" i="6"/>
  <c r="MW49" i="6"/>
  <c r="MW48" i="6"/>
  <c r="MW47" i="6"/>
  <c r="MW46" i="6"/>
  <c r="MW45" i="6"/>
  <c r="MW44" i="6"/>
  <c r="MW43" i="6"/>
  <c r="MW42" i="6"/>
  <c r="MW41" i="6"/>
  <c r="MW40" i="6"/>
  <c r="MW39" i="6"/>
  <c r="MW38" i="6"/>
  <c r="MW37" i="6"/>
  <c r="MW36" i="6"/>
  <c r="MW35" i="6"/>
  <c r="MW34" i="6"/>
  <c r="MW33" i="6"/>
  <c r="MW32" i="6"/>
  <c r="MW31" i="6"/>
  <c r="MW30" i="6"/>
  <c r="MW29" i="6"/>
  <c r="MW28" i="6"/>
  <c r="MW27" i="6"/>
  <c r="MW26" i="6"/>
  <c r="MW25" i="6"/>
  <c r="MW24" i="6"/>
  <c r="MW23" i="6"/>
  <c r="MW22" i="6"/>
  <c r="MW21" i="6"/>
  <c r="MW20" i="6"/>
  <c r="MW19" i="6"/>
  <c r="MW18" i="6"/>
  <c r="MW17" i="6"/>
  <c r="MW16" i="6"/>
  <c r="MW15" i="6"/>
  <c r="MW14" i="6"/>
  <c r="MW13" i="6"/>
  <c r="MW12" i="6"/>
  <c r="MW11" i="6"/>
  <c r="MW10" i="6"/>
  <c r="MW9" i="6"/>
  <c r="MW8" i="6"/>
  <c r="MW7" i="6"/>
  <c r="MW6" i="6"/>
  <c r="MW5" i="6"/>
  <c r="MW4" i="6"/>
  <c r="NJ117" i="6"/>
  <c r="NJ116" i="6"/>
  <c r="NJ115" i="6"/>
  <c r="NJ114" i="6"/>
  <c r="NJ113" i="6"/>
  <c r="NJ112" i="6"/>
  <c r="NJ111" i="6"/>
  <c r="NJ110" i="6"/>
  <c r="NJ109" i="6"/>
  <c r="NJ108" i="6"/>
  <c r="NJ107" i="6"/>
  <c r="NJ106" i="6"/>
  <c r="NJ105" i="6"/>
  <c r="NJ104" i="6"/>
  <c r="NJ103" i="6"/>
  <c r="NJ102" i="6"/>
  <c r="NJ101" i="6"/>
  <c r="NJ100" i="6"/>
  <c r="NJ99" i="6"/>
  <c r="NJ98" i="6"/>
  <c r="NJ97" i="6"/>
  <c r="NJ96" i="6"/>
  <c r="NJ95" i="6"/>
  <c r="NJ94" i="6"/>
  <c r="NJ93" i="6"/>
  <c r="NJ92" i="6"/>
  <c r="NJ91" i="6"/>
  <c r="NJ90" i="6"/>
  <c r="NJ89" i="6"/>
  <c r="NJ88" i="6"/>
  <c r="NJ87" i="6"/>
  <c r="NJ86" i="6"/>
  <c r="NJ85" i="6"/>
  <c r="NJ84" i="6"/>
  <c r="NJ83" i="6"/>
  <c r="NJ82" i="6"/>
  <c r="NJ81" i="6"/>
  <c r="NJ80" i="6"/>
  <c r="NJ79" i="6"/>
  <c r="NJ78" i="6"/>
  <c r="NJ77" i="6"/>
  <c r="NJ76" i="6"/>
  <c r="NJ75" i="6"/>
  <c r="NJ74" i="6"/>
  <c r="NJ73" i="6"/>
  <c r="NJ72" i="6"/>
  <c r="NJ71" i="6"/>
  <c r="NJ70" i="6"/>
  <c r="NJ69" i="6"/>
  <c r="NJ68" i="6"/>
  <c r="NJ67" i="6"/>
  <c r="NJ66" i="6"/>
  <c r="NJ65" i="6"/>
  <c r="NJ64" i="6"/>
  <c r="NJ63" i="6"/>
  <c r="NJ62" i="6"/>
  <c r="NJ61" i="6"/>
  <c r="NJ60" i="6"/>
  <c r="NJ59" i="6"/>
  <c r="NJ58" i="6"/>
  <c r="NJ57" i="6"/>
  <c r="NJ56" i="6"/>
  <c r="NJ55" i="6"/>
  <c r="NJ54" i="6"/>
  <c r="NJ53" i="6"/>
  <c r="NJ52" i="6"/>
  <c r="NJ51" i="6"/>
  <c r="NJ50" i="6"/>
  <c r="NJ49" i="6"/>
  <c r="NJ48" i="6"/>
  <c r="NJ47" i="6"/>
  <c r="NJ46" i="6"/>
  <c r="NJ45" i="6"/>
  <c r="NJ44" i="6"/>
  <c r="NJ43" i="6"/>
  <c r="NJ42" i="6"/>
  <c r="NJ41" i="6"/>
  <c r="NJ40" i="6"/>
  <c r="NJ39" i="6"/>
  <c r="NJ38" i="6"/>
  <c r="NJ37" i="6"/>
  <c r="NJ36" i="6"/>
  <c r="NJ35" i="6"/>
  <c r="NJ34" i="6"/>
  <c r="NJ33" i="6"/>
  <c r="NJ32" i="6"/>
  <c r="NJ31" i="6"/>
  <c r="NJ30" i="6"/>
  <c r="NJ29" i="6"/>
  <c r="NJ28" i="6"/>
  <c r="NJ27" i="6"/>
  <c r="NJ26" i="6"/>
  <c r="NJ25" i="6"/>
  <c r="NJ24" i="6"/>
  <c r="NJ23" i="6"/>
  <c r="NJ22" i="6"/>
  <c r="NJ21" i="6"/>
  <c r="NJ20" i="6"/>
  <c r="NJ19" i="6"/>
  <c r="NJ18" i="6"/>
  <c r="NJ17" i="6"/>
  <c r="NJ16" i="6"/>
  <c r="NJ15" i="6"/>
  <c r="NJ14" i="6"/>
  <c r="NJ13" i="6"/>
  <c r="NJ12" i="6"/>
  <c r="NJ11" i="6"/>
  <c r="NJ10" i="6"/>
  <c r="NJ9" i="6"/>
  <c r="NJ8" i="6"/>
  <c r="NJ7" i="6"/>
  <c r="NJ6" i="6"/>
  <c r="NJ5" i="6"/>
  <c r="NJ4" i="6"/>
  <c r="NW117" i="6"/>
  <c r="NW116" i="6"/>
  <c r="NW115" i="6"/>
  <c r="NW114" i="6"/>
  <c r="NW113" i="6"/>
  <c r="NW112" i="6"/>
  <c r="NW111" i="6"/>
  <c r="NW110" i="6"/>
  <c r="NW109" i="6"/>
  <c r="NW108" i="6"/>
  <c r="NW107" i="6"/>
  <c r="NW106" i="6"/>
  <c r="NW105" i="6"/>
  <c r="NW104" i="6"/>
  <c r="NW103" i="6"/>
  <c r="NW102" i="6"/>
  <c r="NW101" i="6"/>
  <c r="NW100" i="6"/>
  <c r="NW99" i="6"/>
  <c r="NW98" i="6"/>
  <c r="NW97" i="6"/>
  <c r="NW96" i="6"/>
  <c r="NW95" i="6"/>
  <c r="NW94" i="6"/>
  <c r="NW93" i="6"/>
  <c r="NW92" i="6"/>
  <c r="NW91" i="6"/>
  <c r="NW90" i="6"/>
  <c r="NW89" i="6"/>
  <c r="NW88" i="6"/>
  <c r="NW87" i="6"/>
  <c r="NW86" i="6"/>
  <c r="NW85" i="6"/>
  <c r="NW84" i="6"/>
  <c r="NW83" i="6"/>
  <c r="NW82" i="6"/>
  <c r="NW81" i="6"/>
  <c r="NW80" i="6"/>
  <c r="NW79" i="6"/>
  <c r="NW78" i="6"/>
  <c r="NW77" i="6"/>
  <c r="NW76" i="6"/>
  <c r="NW75" i="6"/>
  <c r="NW74" i="6"/>
  <c r="NW73" i="6"/>
  <c r="NW72" i="6"/>
  <c r="NW71" i="6"/>
  <c r="NW70" i="6"/>
  <c r="NW69" i="6"/>
  <c r="NW68" i="6"/>
  <c r="NW67" i="6"/>
  <c r="NW66" i="6"/>
  <c r="NW65" i="6"/>
  <c r="NW64" i="6"/>
  <c r="NW63" i="6"/>
  <c r="NW62" i="6"/>
  <c r="NW61" i="6"/>
  <c r="NW60" i="6"/>
  <c r="NW59" i="6"/>
  <c r="NW58" i="6"/>
  <c r="NW57" i="6"/>
  <c r="NW56" i="6"/>
  <c r="NW55" i="6"/>
  <c r="NW54" i="6"/>
  <c r="NW53" i="6"/>
  <c r="NW52" i="6"/>
  <c r="NW51" i="6"/>
  <c r="NW50" i="6"/>
  <c r="NW49" i="6"/>
  <c r="NW48" i="6"/>
  <c r="NW47" i="6"/>
  <c r="NW46" i="6"/>
  <c r="NW45" i="6"/>
  <c r="NW44" i="6"/>
  <c r="NW43" i="6"/>
  <c r="NW42" i="6"/>
  <c r="NW41" i="6"/>
  <c r="NW40" i="6"/>
  <c r="NW39" i="6"/>
  <c r="NW38" i="6"/>
  <c r="NW37" i="6"/>
  <c r="NW36" i="6"/>
  <c r="NW35" i="6"/>
  <c r="NW34" i="6"/>
  <c r="NW33" i="6"/>
  <c r="NW32" i="6"/>
  <c r="NW31" i="6"/>
  <c r="NW30" i="6"/>
  <c r="NW29" i="6"/>
  <c r="NW28" i="6"/>
  <c r="NW27" i="6"/>
  <c r="NW26" i="6"/>
  <c r="NW25" i="6"/>
  <c r="NW24" i="6"/>
  <c r="NW23" i="6"/>
  <c r="NW22" i="6"/>
  <c r="NW21" i="6"/>
  <c r="NW20" i="6"/>
  <c r="NW19" i="6"/>
  <c r="NW18" i="6"/>
  <c r="NW17" i="6"/>
  <c r="NW16" i="6"/>
  <c r="NW15" i="6"/>
  <c r="NW14" i="6"/>
  <c r="NW13" i="6"/>
  <c r="NW12" i="6"/>
  <c r="NW11" i="6"/>
  <c r="NW10" i="6"/>
  <c r="NW9" i="6"/>
  <c r="NW8" i="6"/>
  <c r="NW7" i="6"/>
  <c r="NW6" i="6"/>
  <c r="NW5" i="6"/>
  <c r="NW4" i="6"/>
  <c r="OJ117" i="6"/>
  <c r="OJ116" i="6"/>
  <c r="OJ115" i="6"/>
  <c r="OJ114" i="6"/>
  <c r="OJ113" i="6"/>
  <c r="OJ112" i="6"/>
  <c r="OJ111" i="6"/>
  <c r="OJ110" i="6"/>
  <c r="OJ109" i="6"/>
  <c r="OJ108" i="6"/>
  <c r="OJ107" i="6"/>
  <c r="OJ106" i="6"/>
  <c r="OJ105" i="6"/>
  <c r="OJ104" i="6"/>
  <c r="OJ103" i="6"/>
  <c r="OJ102" i="6"/>
  <c r="OJ101" i="6"/>
  <c r="OJ100" i="6"/>
  <c r="OJ99" i="6"/>
  <c r="OJ98" i="6"/>
  <c r="OJ97" i="6"/>
  <c r="OJ96" i="6"/>
  <c r="OJ95" i="6"/>
  <c r="OJ94" i="6"/>
  <c r="OJ93" i="6"/>
  <c r="OJ92" i="6"/>
  <c r="OJ91" i="6"/>
  <c r="OJ90" i="6"/>
  <c r="OJ89" i="6"/>
  <c r="OJ88" i="6"/>
  <c r="OJ87" i="6"/>
  <c r="OJ86" i="6"/>
  <c r="OJ85" i="6"/>
  <c r="OJ84" i="6"/>
  <c r="OJ83" i="6"/>
  <c r="OJ82" i="6"/>
  <c r="OJ81" i="6"/>
  <c r="OJ80" i="6"/>
  <c r="OJ79" i="6"/>
  <c r="OJ78" i="6"/>
  <c r="OJ77" i="6"/>
  <c r="OJ76" i="6"/>
  <c r="OJ75" i="6"/>
  <c r="OJ74" i="6"/>
  <c r="OJ73" i="6"/>
  <c r="OJ72" i="6"/>
  <c r="OJ71" i="6"/>
  <c r="OJ70" i="6"/>
  <c r="OJ69" i="6"/>
  <c r="OJ68" i="6"/>
  <c r="OJ67" i="6"/>
  <c r="OJ66" i="6"/>
  <c r="OJ65" i="6"/>
  <c r="OJ64" i="6"/>
  <c r="OJ63" i="6"/>
  <c r="OJ62" i="6"/>
  <c r="OJ61" i="6"/>
  <c r="OJ60" i="6"/>
  <c r="OJ59" i="6"/>
  <c r="OJ58" i="6"/>
  <c r="OJ57" i="6"/>
  <c r="OJ56" i="6"/>
  <c r="OJ55" i="6"/>
  <c r="OJ54" i="6"/>
  <c r="OJ53" i="6"/>
  <c r="OJ52" i="6"/>
  <c r="OJ51" i="6"/>
  <c r="OJ50" i="6"/>
  <c r="OJ49" i="6"/>
  <c r="OJ48" i="6"/>
  <c r="OJ47" i="6"/>
  <c r="OJ46" i="6"/>
  <c r="OJ45" i="6"/>
  <c r="OJ44" i="6"/>
  <c r="OJ43" i="6"/>
  <c r="OJ42" i="6"/>
  <c r="OJ41" i="6"/>
  <c r="OJ40" i="6"/>
  <c r="OJ39" i="6"/>
  <c r="OJ38" i="6"/>
  <c r="OJ37" i="6"/>
  <c r="OJ36" i="6"/>
  <c r="OJ35" i="6"/>
  <c r="OJ34" i="6"/>
  <c r="OJ33" i="6"/>
  <c r="OJ32" i="6"/>
  <c r="OJ31" i="6"/>
  <c r="OJ30" i="6"/>
  <c r="OJ29" i="6"/>
  <c r="OJ28" i="6"/>
  <c r="OJ27" i="6"/>
  <c r="OJ26" i="6"/>
  <c r="OJ25" i="6"/>
  <c r="OJ24" i="6"/>
  <c r="OJ23" i="6"/>
  <c r="OJ22" i="6"/>
  <c r="OJ21" i="6"/>
  <c r="OJ20" i="6"/>
  <c r="OJ19" i="6"/>
  <c r="OJ18" i="6"/>
  <c r="OJ17" i="6"/>
  <c r="OJ16" i="6"/>
  <c r="OJ15" i="6"/>
  <c r="OJ14" i="6"/>
  <c r="OJ13" i="6"/>
  <c r="OJ12" i="6"/>
  <c r="OJ11" i="6"/>
  <c r="OJ10" i="6"/>
  <c r="OJ9" i="6"/>
  <c r="OJ8" i="6"/>
  <c r="OJ7" i="6"/>
  <c r="OJ6" i="6"/>
  <c r="OJ5" i="6"/>
  <c r="OJ4" i="6"/>
  <c r="OW117" i="6"/>
  <c r="OW116" i="6"/>
  <c r="OW115" i="6"/>
  <c r="OW114" i="6"/>
  <c r="OW113" i="6"/>
  <c r="OW112" i="6"/>
  <c r="OW111" i="6"/>
  <c r="OW110" i="6"/>
  <c r="OW109" i="6"/>
  <c r="OW108" i="6"/>
  <c r="OW107" i="6"/>
  <c r="OW106" i="6"/>
  <c r="OW105" i="6"/>
  <c r="OW104" i="6"/>
  <c r="OW103" i="6"/>
  <c r="OW102" i="6"/>
  <c r="OW101" i="6"/>
  <c r="OW100" i="6"/>
  <c r="OW99" i="6"/>
  <c r="OW98" i="6"/>
  <c r="OW97" i="6"/>
  <c r="OW96" i="6"/>
  <c r="OW95" i="6"/>
  <c r="OW94" i="6"/>
  <c r="OW93" i="6"/>
  <c r="OW92" i="6"/>
  <c r="OW91" i="6"/>
  <c r="OW90" i="6"/>
  <c r="OW89" i="6"/>
  <c r="OW88" i="6"/>
  <c r="OW87" i="6"/>
  <c r="OW86" i="6"/>
  <c r="OW85" i="6"/>
  <c r="OW84" i="6"/>
  <c r="OW83" i="6"/>
  <c r="OW82" i="6"/>
  <c r="OW81" i="6"/>
  <c r="OW80" i="6"/>
  <c r="OW79" i="6"/>
  <c r="OW78" i="6"/>
  <c r="OW77" i="6"/>
  <c r="OW76" i="6"/>
  <c r="OW75" i="6"/>
  <c r="OW74" i="6"/>
  <c r="OW73" i="6"/>
  <c r="OW72" i="6"/>
  <c r="OW71" i="6"/>
  <c r="OW70" i="6"/>
  <c r="OW69" i="6"/>
  <c r="OW68" i="6"/>
  <c r="OW67" i="6"/>
  <c r="OW66" i="6"/>
  <c r="OW65" i="6"/>
  <c r="OW64" i="6"/>
  <c r="OW63" i="6"/>
  <c r="OW62" i="6"/>
  <c r="OW61" i="6"/>
  <c r="OW60" i="6"/>
  <c r="OW59" i="6"/>
  <c r="OW58" i="6"/>
  <c r="OW57" i="6"/>
  <c r="OW56" i="6"/>
  <c r="OW55" i="6"/>
  <c r="OW54" i="6"/>
  <c r="OW53" i="6"/>
  <c r="OW52" i="6"/>
  <c r="OW51" i="6"/>
  <c r="OW50" i="6"/>
  <c r="OW49" i="6"/>
  <c r="OW48" i="6"/>
  <c r="OW47" i="6"/>
  <c r="OW46" i="6"/>
  <c r="OW45" i="6"/>
  <c r="OW44" i="6"/>
  <c r="OW43" i="6"/>
  <c r="OW42" i="6"/>
  <c r="OW41" i="6"/>
  <c r="OW40" i="6"/>
  <c r="OW39" i="6"/>
  <c r="OW38" i="6"/>
  <c r="OW37" i="6"/>
  <c r="OW36" i="6"/>
  <c r="OW35" i="6"/>
  <c r="OW34" i="6"/>
  <c r="OW33" i="6"/>
  <c r="OW32" i="6"/>
  <c r="OW31" i="6"/>
  <c r="OW30" i="6"/>
  <c r="OW29" i="6"/>
  <c r="OW28" i="6"/>
  <c r="OW27" i="6"/>
  <c r="OW26" i="6"/>
  <c r="OW25" i="6"/>
  <c r="OW24" i="6"/>
  <c r="OW23" i="6"/>
  <c r="OW22" i="6"/>
  <c r="OW21" i="6"/>
  <c r="OW20" i="6"/>
  <c r="OW19" i="6"/>
  <c r="OW18" i="6"/>
  <c r="OW17" i="6"/>
  <c r="OW16" i="6"/>
  <c r="OW15" i="6"/>
  <c r="OW14" i="6"/>
  <c r="OW13" i="6"/>
  <c r="OW12" i="6"/>
  <c r="OW11" i="6"/>
  <c r="OW10" i="6"/>
  <c r="OW9" i="6"/>
  <c r="OW8" i="6"/>
  <c r="OW7" i="6"/>
  <c r="OW6" i="6"/>
  <c r="OW5" i="6"/>
  <c r="OW4" i="6"/>
  <c r="PJ117" i="6"/>
  <c r="PJ116" i="6"/>
  <c r="PJ115" i="6"/>
  <c r="PJ114" i="6"/>
  <c r="PJ113" i="6"/>
  <c r="PJ112" i="6"/>
  <c r="PJ111" i="6"/>
  <c r="PJ110" i="6"/>
  <c r="PJ109" i="6"/>
  <c r="PJ108" i="6"/>
  <c r="PJ107" i="6"/>
  <c r="PJ106" i="6"/>
  <c r="PJ105" i="6"/>
  <c r="PJ104" i="6"/>
  <c r="PJ103" i="6"/>
  <c r="PJ102" i="6"/>
  <c r="PJ101" i="6"/>
  <c r="PJ100" i="6"/>
  <c r="PJ99" i="6"/>
  <c r="PJ98" i="6"/>
  <c r="PJ97" i="6"/>
  <c r="PJ96" i="6"/>
  <c r="PJ95" i="6"/>
  <c r="PJ94" i="6"/>
  <c r="PJ93" i="6"/>
  <c r="PJ92" i="6"/>
  <c r="PJ91" i="6"/>
  <c r="PJ90" i="6"/>
  <c r="PJ89" i="6"/>
  <c r="PJ88" i="6"/>
  <c r="PJ87" i="6"/>
  <c r="PJ86" i="6"/>
  <c r="PJ85" i="6"/>
  <c r="PJ84" i="6"/>
  <c r="PJ83" i="6"/>
  <c r="PJ82" i="6"/>
  <c r="PJ81" i="6"/>
  <c r="PJ80" i="6"/>
  <c r="PJ79" i="6"/>
  <c r="PJ78" i="6"/>
  <c r="PJ77" i="6"/>
  <c r="PJ76" i="6"/>
  <c r="PJ75" i="6"/>
  <c r="PJ74" i="6"/>
  <c r="PJ73" i="6"/>
  <c r="PJ72" i="6"/>
  <c r="PJ71" i="6"/>
  <c r="PJ70" i="6"/>
  <c r="PJ69" i="6"/>
  <c r="PJ68" i="6"/>
  <c r="PJ67" i="6"/>
  <c r="PJ66" i="6"/>
  <c r="PJ65" i="6"/>
  <c r="PJ64" i="6"/>
  <c r="PJ63" i="6"/>
  <c r="PJ62" i="6"/>
  <c r="PJ61" i="6"/>
  <c r="PJ60" i="6"/>
  <c r="PJ59" i="6"/>
  <c r="PJ58" i="6"/>
  <c r="PJ57" i="6"/>
  <c r="PJ56" i="6"/>
  <c r="PJ55" i="6"/>
  <c r="PJ54" i="6"/>
  <c r="PJ53" i="6"/>
  <c r="PJ52" i="6"/>
  <c r="PJ51" i="6"/>
  <c r="PJ50" i="6"/>
  <c r="PJ49" i="6"/>
  <c r="PJ48" i="6"/>
  <c r="PJ47" i="6"/>
  <c r="PJ46" i="6"/>
  <c r="PJ45" i="6"/>
  <c r="PJ44" i="6"/>
  <c r="PJ43" i="6"/>
  <c r="PJ42" i="6"/>
  <c r="PJ41" i="6"/>
  <c r="PJ40" i="6"/>
  <c r="PJ39" i="6"/>
  <c r="PJ38" i="6"/>
  <c r="PJ37" i="6"/>
  <c r="PJ36" i="6"/>
  <c r="PJ35" i="6"/>
  <c r="PJ34" i="6"/>
  <c r="PJ33" i="6"/>
  <c r="PJ32" i="6"/>
  <c r="PJ31" i="6"/>
  <c r="PJ30" i="6"/>
  <c r="PJ29" i="6"/>
  <c r="PJ28" i="6"/>
  <c r="PJ27" i="6"/>
  <c r="PJ26" i="6"/>
  <c r="PJ25" i="6"/>
  <c r="PJ24" i="6"/>
  <c r="PJ23" i="6"/>
  <c r="PJ22" i="6"/>
  <c r="PJ21" i="6"/>
  <c r="PJ20" i="6"/>
  <c r="PJ19" i="6"/>
  <c r="PJ18" i="6"/>
  <c r="PJ17" i="6"/>
  <c r="PJ16" i="6"/>
  <c r="PJ15" i="6"/>
  <c r="PJ14" i="6"/>
  <c r="PJ13" i="6"/>
  <c r="PJ12" i="6"/>
  <c r="PJ11" i="6"/>
  <c r="PJ10" i="6"/>
  <c r="PJ9" i="6"/>
  <c r="PJ8" i="6"/>
  <c r="PJ7" i="6"/>
  <c r="PJ6" i="6"/>
  <c r="PJ5" i="6"/>
  <c r="PJ4" i="6"/>
  <c r="PW117" i="6"/>
  <c r="PW116" i="6"/>
  <c r="PW115" i="6"/>
  <c r="PW114" i="6"/>
  <c r="PW113" i="6"/>
  <c r="PW112" i="6"/>
  <c r="PW111" i="6"/>
  <c r="PW110" i="6"/>
  <c r="PW109" i="6"/>
  <c r="PW108" i="6"/>
  <c r="PW107" i="6"/>
  <c r="PW106" i="6"/>
  <c r="PW105" i="6"/>
  <c r="PW104" i="6"/>
  <c r="PW103" i="6"/>
  <c r="PW102" i="6"/>
  <c r="PW101" i="6"/>
  <c r="PW100" i="6"/>
  <c r="PW99" i="6"/>
  <c r="PW98" i="6"/>
  <c r="PW97" i="6"/>
  <c r="PW96" i="6"/>
  <c r="PW95" i="6"/>
  <c r="PW94" i="6"/>
  <c r="PW93" i="6"/>
  <c r="PW92" i="6"/>
  <c r="PW91" i="6"/>
  <c r="PW90" i="6"/>
  <c r="PW89" i="6"/>
  <c r="PW88" i="6"/>
  <c r="PW87" i="6"/>
  <c r="PW86" i="6"/>
  <c r="PW85" i="6"/>
  <c r="PW84" i="6"/>
  <c r="PW83" i="6"/>
  <c r="PW82" i="6"/>
  <c r="PW81" i="6"/>
  <c r="PW80" i="6"/>
  <c r="PW79" i="6"/>
  <c r="PW78" i="6"/>
  <c r="PW77" i="6"/>
  <c r="PW76" i="6"/>
  <c r="PW75" i="6"/>
  <c r="PW74" i="6"/>
  <c r="PW73" i="6"/>
  <c r="PW72" i="6"/>
  <c r="PW71" i="6"/>
  <c r="PW70" i="6"/>
  <c r="PW69" i="6"/>
  <c r="PW68" i="6"/>
  <c r="PW67" i="6"/>
  <c r="PW66" i="6"/>
  <c r="PW65" i="6"/>
  <c r="PW64" i="6"/>
  <c r="PW63" i="6"/>
  <c r="PW62" i="6"/>
  <c r="PW61" i="6"/>
  <c r="PW60" i="6"/>
  <c r="PW59" i="6"/>
  <c r="PW58" i="6"/>
  <c r="PW57" i="6"/>
  <c r="PW56" i="6"/>
  <c r="PW55" i="6"/>
  <c r="PW54" i="6"/>
  <c r="PW53" i="6"/>
  <c r="PW52" i="6"/>
  <c r="PW51" i="6"/>
  <c r="PW50" i="6"/>
  <c r="PW49" i="6"/>
  <c r="PW48" i="6"/>
  <c r="PW47" i="6"/>
  <c r="PW46" i="6"/>
  <c r="PW45" i="6"/>
  <c r="PW44" i="6"/>
  <c r="PW43" i="6"/>
  <c r="PW42" i="6"/>
  <c r="PW41" i="6"/>
  <c r="PW40" i="6"/>
  <c r="PW39" i="6"/>
  <c r="PW38" i="6"/>
  <c r="PW37" i="6"/>
  <c r="PW36" i="6"/>
  <c r="PW35" i="6"/>
  <c r="PW34" i="6"/>
  <c r="PW33" i="6"/>
  <c r="PW32" i="6"/>
  <c r="PW31" i="6"/>
  <c r="PW30" i="6"/>
  <c r="PW29" i="6"/>
  <c r="PW28" i="6"/>
  <c r="PW27" i="6"/>
  <c r="PW26" i="6"/>
  <c r="PW25" i="6"/>
  <c r="PW24" i="6"/>
  <c r="PW23" i="6"/>
  <c r="PW22" i="6"/>
  <c r="PW21" i="6"/>
  <c r="PW20" i="6"/>
  <c r="PW19" i="6"/>
  <c r="PW18" i="6"/>
  <c r="PW17" i="6"/>
  <c r="PW16" i="6"/>
  <c r="PW15" i="6"/>
  <c r="PW14" i="6"/>
  <c r="PW13" i="6"/>
  <c r="PW12" i="6"/>
  <c r="PW11" i="6"/>
  <c r="PW10" i="6"/>
  <c r="PW9" i="6"/>
  <c r="PW8" i="6"/>
  <c r="PW7" i="6"/>
  <c r="PW6" i="6"/>
  <c r="PW5" i="6"/>
  <c r="PW4" i="6"/>
  <c r="QJ117" i="6"/>
  <c r="QJ116" i="6"/>
  <c r="QJ115" i="6"/>
  <c r="QJ114" i="6"/>
  <c r="QJ113" i="6"/>
  <c r="QJ112" i="6"/>
  <c r="QJ111" i="6"/>
  <c r="QJ110" i="6"/>
  <c r="QJ109" i="6"/>
  <c r="QJ108" i="6"/>
  <c r="QJ107" i="6"/>
  <c r="QJ106" i="6"/>
  <c r="QJ105" i="6"/>
  <c r="QJ104" i="6"/>
  <c r="QJ103" i="6"/>
  <c r="QJ102" i="6"/>
  <c r="QJ101" i="6"/>
  <c r="QJ100" i="6"/>
  <c r="QJ99" i="6"/>
  <c r="QJ98" i="6"/>
  <c r="QJ97" i="6"/>
  <c r="QJ96" i="6"/>
  <c r="QJ95" i="6"/>
  <c r="QJ94" i="6"/>
  <c r="QJ93" i="6"/>
  <c r="QJ92" i="6"/>
  <c r="QJ91" i="6"/>
  <c r="QJ90" i="6"/>
  <c r="QJ89" i="6"/>
  <c r="QJ88" i="6"/>
  <c r="QJ87" i="6"/>
  <c r="QJ86" i="6"/>
  <c r="QJ85" i="6"/>
  <c r="QJ84" i="6"/>
  <c r="QJ83" i="6"/>
  <c r="QJ82" i="6"/>
  <c r="QJ81" i="6"/>
  <c r="QJ80" i="6"/>
  <c r="QJ79" i="6"/>
  <c r="QJ78" i="6"/>
  <c r="QJ77" i="6"/>
  <c r="QJ76" i="6"/>
  <c r="QJ75" i="6"/>
  <c r="QJ74" i="6"/>
  <c r="QJ73" i="6"/>
  <c r="QJ72" i="6"/>
  <c r="QJ71" i="6"/>
  <c r="QJ70" i="6"/>
  <c r="QJ69" i="6"/>
  <c r="QJ68" i="6"/>
  <c r="QJ67" i="6"/>
  <c r="QJ66" i="6"/>
  <c r="QJ65" i="6"/>
  <c r="QJ64" i="6"/>
  <c r="QJ63" i="6"/>
  <c r="QJ62" i="6"/>
  <c r="QJ61" i="6"/>
  <c r="QJ60" i="6"/>
  <c r="QJ59" i="6"/>
  <c r="QJ58" i="6"/>
  <c r="QJ57" i="6"/>
  <c r="QJ56" i="6"/>
  <c r="QJ55" i="6"/>
  <c r="QJ54" i="6"/>
  <c r="QJ53" i="6"/>
  <c r="QJ52" i="6"/>
  <c r="QJ51" i="6"/>
  <c r="QJ50" i="6"/>
  <c r="QJ49" i="6"/>
  <c r="QJ48" i="6"/>
  <c r="QJ47" i="6"/>
  <c r="QJ46" i="6"/>
  <c r="QJ45" i="6"/>
  <c r="QJ44" i="6"/>
  <c r="QJ43" i="6"/>
  <c r="QJ42" i="6"/>
  <c r="QJ41" i="6"/>
  <c r="QJ40" i="6"/>
  <c r="QJ39" i="6"/>
  <c r="QJ38" i="6"/>
  <c r="QJ37" i="6"/>
  <c r="QJ36" i="6"/>
  <c r="QJ35" i="6"/>
  <c r="QJ34" i="6"/>
  <c r="QJ33" i="6"/>
  <c r="QJ32" i="6"/>
  <c r="QJ31" i="6"/>
  <c r="QJ30" i="6"/>
  <c r="QJ29" i="6"/>
  <c r="QJ28" i="6"/>
  <c r="QJ27" i="6"/>
  <c r="QJ26" i="6"/>
  <c r="QJ25" i="6"/>
  <c r="QJ24" i="6"/>
  <c r="QJ23" i="6"/>
  <c r="QJ22" i="6"/>
  <c r="QJ21" i="6"/>
  <c r="QJ20" i="6"/>
  <c r="QJ19" i="6"/>
  <c r="QJ18" i="6"/>
  <c r="QJ17" i="6"/>
  <c r="QJ16" i="6"/>
  <c r="QJ15" i="6"/>
  <c r="QJ14" i="6"/>
  <c r="QJ13" i="6"/>
  <c r="QJ12" i="6"/>
  <c r="QJ11" i="6"/>
  <c r="QJ10" i="6"/>
  <c r="QJ9" i="6"/>
  <c r="QJ8" i="6"/>
  <c r="QJ7" i="6"/>
  <c r="QJ6" i="6"/>
  <c r="QJ5" i="6"/>
  <c r="QJ4" i="6"/>
  <c r="QW117" i="6"/>
  <c r="QW116" i="6"/>
  <c r="QW115" i="6"/>
  <c r="QW114" i="6"/>
  <c r="QW113" i="6"/>
  <c r="QW112" i="6"/>
  <c r="QW111" i="6"/>
  <c r="QW110" i="6"/>
  <c r="QW109" i="6"/>
  <c r="QW108" i="6"/>
  <c r="QW107" i="6"/>
  <c r="QW106" i="6"/>
  <c r="QW105" i="6"/>
  <c r="QW104" i="6"/>
  <c r="QW103" i="6"/>
  <c r="QW102" i="6"/>
  <c r="QW101" i="6"/>
  <c r="QW100" i="6"/>
  <c r="QW99" i="6"/>
  <c r="QW98" i="6"/>
  <c r="QW97" i="6"/>
  <c r="QW96" i="6"/>
  <c r="QW95" i="6"/>
  <c r="QW94" i="6"/>
  <c r="QW93" i="6"/>
  <c r="QW92" i="6"/>
  <c r="QW91" i="6"/>
  <c r="QW90" i="6"/>
  <c r="QW89" i="6"/>
  <c r="QW88" i="6"/>
  <c r="QW87" i="6"/>
  <c r="QW86" i="6"/>
  <c r="QW85" i="6"/>
  <c r="QW84" i="6"/>
  <c r="QW83" i="6"/>
  <c r="QW82" i="6"/>
  <c r="QW81" i="6"/>
  <c r="QW80" i="6"/>
  <c r="QW79" i="6"/>
  <c r="QW78" i="6"/>
  <c r="QW77" i="6"/>
  <c r="QW76" i="6"/>
  <c r="QW75" i="6"/>
  <c r="QW74" i="6"/>
  <c r="QW73" i="6"/>
  <c r="QW72" i="6"/>
  <c r="QW71" i="6"/>
  <c r="QW70" i="6"/>
  <c r="QW69" i="6"/>
  <c r="QW68" i="6"/>
  <c r="QW67" i="6"/>
  <c r="QW66" i="6"/>
  <c r="QW65" i="6"/>
  <c r="QW64" i="6"/>
  <c r="QW63" i="6"/>
  <c r="QW62" i="6"/>
  <c r="QW61" i="6"/>
  <c r="QW60" i="6"/>
  <c r="QW59" i="6"/>
  <c r="QW58" i="6"/>
  <c r="QW57" i="6"/>
  <c r="QW56" i="6"/>
  <c r="QW55" i="6"/>
  <c r="QW54" i="6"/>
  <c r="QW53" i="6"/>
  <c r="QW52" i="6"/>
  <c r="QW51" i="6"/>
  <c r="QW50" i="6"/>
  <c r="QW49" i="6"/>
  <c r="QW48" i="6"/>
  <c r="QW47" i="6"/>
  <c r="QW46" i="6"/>
  <c r="QW45" i="6"/>
  <c r="QW44" i="6"/>
  <c r="QW43" i="6"/>
  <c r="QW42" i="6"/>
  <c r="QW41" i="6"/>
  <c r="QW40" i="6"/>
  <c r="QW39" i="6"/>
  <c r="QW38" i="6"/>
  <c r="QW37" i="6"/>
  <c r="QW36" i="6"/>
  <c r="QW35" i="6"/>
  <c r="QW34" i="6"/>
  <c r="QW33" i="6"/>
  <c r="QW32" i="6"/>
  <c r="QW31" i="6"/>
  <c r="QW30" i="6"/>
  <c r="QW29" i="6"/>
  <c r="QW28" i="6"/>
  <c r="QW27" i="6"/>
  <c r="QW26" i="6"/>
  <c r="QW25" i="6"/>
  <c r="QW24" i="6"/>
  <c r="QW23" i="6"/>
  <c r="QW22" i="6"/>
  <c r="QW21" i="6"/>
  <c r="QW20" i="6"/>
  <c r="QW19" i="6"/>
  <c r="QW18" i="6"/>
  <c r="QW17" i="6"/>
  <c r="QW16" i="6"/>
  <c r="QW15" i="6"/>
  <c r="QW14" i="6"/>
  <c r="QW13" i="6"/>
  <c r="QW12" i="6"/>
  <c r="QW11" i="6"/>
  <c r="QW10" i="6"/>
  <c r="QW9" i="6"/>
  <c r="QW8" i="6"/>
  <c r="QW7" i="6"/>
  <c r="QW6" i="6"/>
  <c r="QW5" i="6"/>
  <c r="QW4" i="6"/>
  <c r="RJ117" i="6"/>
  <c r="RJ116" i="6"/>
  <c r="RJ115" i="6"/>
  <c r="RJ114" i="6"/>
  <c r="RJ113" i="6"/>
  <c r="RJ112" i="6"/>
  <c r="RJ111" i="6"/>
  <c r="RJ110" i="6"/>
  <c r="RJ109" i="6"/>
  <c r="RJ108" i="6"/>
  <c r="RJ107" i="6"/>
  <c r="RJ106" i="6"/>
  <c r="RJ105" i="6"/>
  <c r="RJ104" i="6"/>
  <c r="RJ103" i="6"/>
  <c r="RJ102" i="6"/>
  <c r="RJ101" i="6"/>
  <c r="RJ100" i="6"/>
  <c r="RJ99" i="6"/>
  <c r="RJ98" i="6"/>
  <c r="RJ97" i="6"/>
  <c r="RJ96" i="6"/>
  <c r="RJ95" i="6"/>
  <c r="RJ94" i="6"/>
  <c r="RJ93" i="6"/>
  <c r="RJ92" i="6"/>
  <c r="RJ91" i="6"/>
  <c r="RJ90" i="6"/>
  <c r="RJ89" i="6"/>
  <c r="RJ88" i="6"/>
  <c r="RJ87" i="6"/>
  <c r="RJ86" i="6"/>
  <c r="RJ85" i="6"/>
  <c r="RJ84" i="6"/>
  <c r="RJ83" i="6"/>
  <c r="RJ82" i="6"/>
  <c r="RJ81" i="6"/>
  <c r="RJ80" i="6"/>
  <c r="RJ79" i="6"/>
  <c r="RJ78" i="6"/>
  <c r="RJ77" i="6"/>
  <c r="RJ76" i="6"/>
  <c r="RJ75" i="6"/>
  <c r="RJ74" i="6"/>
  <c r="RJ73" i="6"/>
  <c r="RJ72" i="6"/>
  <c r="RJ71" i="6"/>
  <c r="RJ70" i="6"/>
  <c r="RJ69" i="6"/>
  <c r="RJ68" i="6"/>
  <c r="RJ67" i="6"/>
  <c r="RJ66" i="6"/>
  <c r="RJ65" i="6"/>
  <c r="RJ64" i="6"/>
  <c r="RJ63" i="6"/>
  <c r="RJ62" i="6"/>
  <c r="RJ61" i="6"/>
  <c r="RJ60" i="6"/>
  <c r="RJ59" i="6"/>
  <c r="RJ58" i="6"/>
  <c r="RJ57" i="6"/>
  <c r="RJ56" i="6"/>
  <c r="RJ55" i="6"/>
  <c r="RJ54" i="6"/>
  <c r="RJ53" i="6"/>
  <c r="RJ52" i="6"/>
  <c r="RJ51" i="6"/>
  <c r="RJ50" i="6"/>
  <c r="RJ49" i="6"/>
  <c r="RJ48" i="6"/>
  <c r="RJ47" i="6"/>
  <c r="RJ46" i="6"/>
  <c r="RJ45" i="6"/>
  <c r="RJ44" i="6"/>
  <c r="RJ43" i="6"/>
  <c r="RJ42" i="6"/>
  <c r="RJ41" i="6"/>
  <c r="RJ40" i="6"/>
  <c r="RJ39" i="6"/>
  <c r="RJ38" i="6"/>
  <c r="RJ37" i="6"/>
  <c r="RJ36" i="6"/>
  <c r="RJ35" i="6"/>
  <c r="RJ34" i="6"/>
  <c r="RJ33" i="6"/>
  <c r="RJ32" i="6"/>
  <c r="RJ31" i="6"/>
  <c r="RJ30" i="6"/>
  <c r="RJ29" i="6"/>
  <c r="RJ28" i="6"/>
  <c r="RJ27" i="6"/>
  <c r="RJ26" i="6"/>
  <c r="RJ25" i="6"/>
  <c r="RJ24" i="6"/>
  <c r="RJ23" i="6"/>
  <c r="RJ22" i="6"/>
  <c r="RJ21" i="6"/>
  <c r="RJ20" i="6"/>
  <c r="RJ19" i="6"/>
  <c r="RJ18" i="6"/>
  <c r="RJ17" i="6"/>
  <c r="RJ16" i="6"/>
  <c r="RJ15" i="6"/>
  <c r="RJ14" i="6"/>
  <c r="RJ13" i="6"/>
  <c r="RJ12" i="6"/>
  <c r="RJ11" i="6"/>
  <c r="RJ10" i="6"/>
  <c r="RJ9" i="6"/>
  <c r="RJ8" i="6"/>
  <c r="RJ7" i="6"/>
  <c r="RJ6" i="6"/>
  <c r="RJ5" i="6"/>
  <c r="RJ4" i="6"/>
  <c r="RW117" i="6"/>
  <c r="RW116" i="6"/>
  <c r="RW115" i="6"/>
  <c r="RW114" i="6"/>
  <c r="RW113" i="6"/>
  <c r="RW112" i="6"/>
  <c r="RW111" i="6"/>
  <c r="RW110" i="6"/>
  <c r="RW109" i="6"/>
  <c r="RW108" i="6"/>
  <c r="RW107" i="6"/>
  <c r="RW106" i="6"/>
  <c r="RW105" i="6"/>
  <c r="RW104" i="6"/>
  <c r="RW103" i="6"/>
  <c r="RW102" i="6"/>
  <c r="RW101" i="6"/>
  <c r="RW100" i="6"/>
  <c r="RW99" i="6"/>
  <c r="RW98" i="6"/>
  <c r="RW97" i="6"/>
  <c r="RW96" i="6"/>
  <c r="RW95" i="6"/>
  <c r="RW94" i="6"/>
  <c r="RW93" i="6"/>
  <c r="RW92" i="6"/>
  <c r="RW91" i="6"/>
  <c r="RW90" i="6"/>
  <c r="RW89" i="6"/>
  <c r="RW88" i="6"/>
  <c r="RW87" i="6"/>
  <c r="RW86" i="6"/>
  <c r="RW85" i="6"/>
  <c r="RW84" i="6"/>
  <c r="RW83" i="6"/>
  <c r="RW82" i="6"/>
  <c r="RW81" i="6"/>
  <c r="RW80" i="6"/>
  <c r="RW79" i="6"/>
  <c r="RW78" i="6"/>
  <c r="RW77" i="6"/>
  <c r="RW76" i="6"/>
  <c r="RW75" i="6"/>
  <c r="RW74" i="6"/>
  <c r="RW73" i="6"/>
  <c r="RW72" i="6"/>
  <c r="RW71" i="6"/>
  <c r="RW70" i="6"/>
  <c r="RW69" i="6"/>
  <c r="RW68" i="6"/>
  <c r="RW67" i="6"/>
  <c r="RW66" i="6"/>
  <c r="RW65" i="6"/>
  <c r="RW64" i="6"/>
  <c r="RW63" i="6"/>
  <c r="RW62" i="6"/>
  <c r="RW61" i="6"/>
  <c r="RW60" i="6"/>
  <c r="RW59" i="6"/>
  <c r="RW58" i="6"/>
  <c r="RW57" i="6"/>
  <c r="RW56" i="6"/>
  <c r="RW55" i="6"/>
  <c r="RW54" i="6"/>
  <c r="RW53" i="6"/>
  <c r="RW52" i="6"/>
  <c r="RW51" i="6"/>
  <c r="RW50" i="6"/>
  <c r="RW49" i="6"/>
  <c r="RW48" i="6"/>
  <c r="RW47" i="6"/>
  <c r="RW46" i="6"/>
  <c r="RW45" i="6"/>
  <c r="RW44" i="6"/>
  <c r="RW43" i="6"/>
  <c r="RW42" i="6"/>
  <c r="RW41" i="6"/>
  <c r="RW40" i="6"/>
  <c r="RW39" i="6"/>
  <c r="RW38" i="6"/>
  <c r="RW37" i="6"/>
  <c r="RW36" i="6"/>
  <c r="RW35" i="6"/>
  <c r="RW34" i="6"/>
  <c r="RW33" i="6"/>
  <c r="RW32" i="6"/>
  <c r="RW31" i="6"/>
  <c r="RW30" i="6"/>
  <c r="RW29" i="6"/>
  <c r="RW28" i="6"/>
  <c r="RW27" i="6"/>
  <c r="RW26" i="6"/>
  <c r="RW25" i="6"/>
  <c r="RW24" i="6"/>
  <c r="RW23" i="6"/>
  <c r="RW22" i="6"/>
  <c r="RW21" i="6"/>
  <c r="RW20" i="6"/>
  <c r="RW19" i="6"/>
  <c r="RW18" i="6"/>
  <c r="RW17" i="6"/>
  <c r="RW16" i="6"/>
  <c r="RW15" i="6"/>
  <c r="RW14" i="6"/>
  <c r="RW13" i="6"/>
  <c r="RW12" i="6"/>
  <c r="RW11" i="6"/>
  <c r="RW10" i="6"/>
  <c r="RW9" i="6"/>
  <c r="RW8" i="6"/>
  <c r="RW7" i="6"/>
  <c r="RW6" i="6"/>
  <c r="RW5" i="6"/>
  <c r="RW4" i="6"/>
  <c r="SJ117" i="6"/>
  <c r="SJ116" i="6"/>
  <c r="SJ115" i="6"/>
  <c r="SJ114" i="6"/>
  <c r="SJ113" i="6"/>
  <c r="SJ112" i="6"/>
  <c r="SJ111" i="6"/>
  <c r="SJ110" i="6"/>
  <c r="SJ109" i="6"/>
  <c r="SJ108" i="6"/>
  <c r="SJ107" i="6"/>
  <c r="SJ106" i="6"/>
  <c r="SJ105" i="6"/>
  <c r="SJ104" i="6"/>
  <c r="SJ103" i="6"/>
  <c r="SJ102" i="6"/>
  <c r="SJ101" i="6"/>
  <c r="SJ100" i="6"/>
  <c r="SJ99" i="6"/>
  <c r="SJ98" i="6"/>
  <c r="SJ97" i="6"/>
  <c r="SJ96" i="6"/>
  <c r="SJ95" i="6"/>
  <c r="SJ94" i="6"/>
  <c r="SJ93" i="6"/>
  <c r="SJ92" i="6"/>
  <c r="SJ91" i="6"/>
  <c r="SJ90" i="6"/>
  <c r="SJ89" i="6"/>
  <c r="SJ88" i="6"/>
  <c r="SJ87" i="6"/>
  <c r="SJ86" i="6"/>
  <c r="SJ85" i="6"/>
  <c r="SJ84" i="6"/>
  <c r="SJ83" i="6"/>
  <c r="SJ82" i="6"/>
  <c r="SJ81" i="6"/>
  <c r="SJ80" i="6"/>
  <c r="SJ79" i="6"/>
  <c r="SJ78" i="6"/>
  <c r="SJ77" i="6"/>
  <c r="SJ76" i="6"/>
  <c r="SJ75" i="6"/>
  <c r="SJ74" i="6"/>
  <c r="SJ73" i="6"/>
  <c r="SJ72" i="6"/>
  <c r="SJ71" i="6"/>
  <c r="SJ70" i="6"/>
  <c r="SJ69" i="6"/>
  <c r="SJ68" i="6"/>
  <c r="SJ67" i="6"/>
  <c r="SJ66" i="6"/>
  <c r="SJ65" i="6"/>
  <c r="SJ64" i="6"/>
  <c r="SJ63" i="6"/>
  <c r="SJ62" i="6"/>
  <c r="SJ61" i="6"/>
  <c r="SJ60" i="6"/>
  <c r="SJ59" i="6"/>
  <c r="SJ58" i="6"/>
  <c r="SJ57" i="6"/>
  <c r="SJ56" i="6"/>
  <c r="SJ55" i="6"/>
  <c r="SJ54" i="6"/>
  <c r="SJ53" i="6"/>
  <c r="SJ52" i="6"/>
  <c r="SJ51" i="6"/>
  <c r="SJ50" i="6"/>
  <c r="SJ49" i="6"/>
  <c r="SJ48" i="6"/>
  <c r="SJ47" i="6"/>
  <c r="SJ46" i="6"/>
  <c r="SJ45" i="6"/>
  <c r="SJ44" i="6"/>
  <c r="SJ43" i="6"/>
  <c r="SJ42" i="6"/>
  <c r="SJ41" i="6"/>
  <c r="SJ40" i="6"/>
  <c r="SJ39" i="6"/>
  <c r="SJ38" i="6"/>
  <c r="SJ37" i="6"/>
  <c r="SJ36" i="6"/>
  <c r="SJ35" i="6"/>
  <c r="SJ34" i="6"/>
  <c r="SJ33" i="6"/>
  <c r="SJ32" i="6"/>
  <c r="SJ31" i="6"/>
  <c r="SJ30" i="6"/>
  <c r="SJ29" i="6"/>
  <c r="SJ28" i="6"/>
  <c r="SJ27" i="6"/>
  <c r="SJ26" i="6"/>
  <c r="SJ25" i="6"/>
  <c r="SJ24" i="6"/>
  <c r="SJ23" i="6"/>
  <c r="SJ22" i="6"/>
  <c r="SJ21" i="6"/>
  <c r="SJ20" i="6"/>
  <c r="SJ19" i="6"/>
  <c r="SJ18" i="6"/>
  <c r="SJ17" i="6"/>
  <c r="SJ16" i="6"/>
  <c r="SJ15" i="6"/>
  <c r="SJ14" i="6"/>
  <c r="SJ13" i="6"/>
  <c r="SJ12" i="6"/>
  <c r="SJ11" i="6"/>
  <c r="SJ10" i="6"/>
  <c r="SJ9" i="6"/>
  <c r="SJ8" i="6"/>
  <c r="SJ7" i="6"/>
  <c r="SJ6" i="6"/>
  <c r="SJ5" i="6"/>
  <c r="SJ4" i="6"/>
  <c r="SW117" i="6"/>
  <c r="SW116" i="6"/>
  <c r="SW115" i="6"/>
  <c r="SW114" i="6"/>
  <c r="SW113" i="6"/>
  <c r="SW112" i="6"/>
  <c r="SW111" i="6"/>
  <c r="SW110" i="6"/>
  <c r="SW109" i="6"/>
  <c r="SW108" i="6"/>
  <c r="SW107" i="6"/>
  <c r="SW106" i="6"/>
  <c r="SW105" i="6"/>
  <c r="SW104" i="6"/>
  <c r="SW103" i="6"/>
  <c r="SW102" i="6"/>
  <c r="SW101" i="6"/>
  <c r="SW100" i="6"/>
  <c r="SW99" i="6"/>
  <c r="SW98" i="6"/>
  <c r="SW97" i="6"/>
  <c r="SW96" i="6"/>
  <c r="SW95" i="6"/>
  <c r="SW94" i="6"/>
  <c r="SW93" i="6"/>
  <c r="SW92" i="6"/>
  <c r="SW91" i="6"/>
  <c r="SW90" i="6"/>
  <c r="SW89" i="6"/>
  <c r="SW88" i="6"/>
  <c r="SW87" i="6"/>
  <c r="SW86" i="6"/>
  <c r="SW85" i="6"/>
  <c r="SW84" i="6"/>
  <c r="SW83" i="6"/>
  <c r="SW82" i="6"/>
  <c r="SW81" i="6"/>
  <c r="SW80" i="6"/>
  <c r="SW79" i="6"/>
  <c r="SW78" i="6"/>
  <c r="SW77" i="6"/>
  <c r="SW76" i="6"/>
  <c r="SW75" i="6"/>
  <c r="SW74" i="6"/>
  <c r="SW73" i="6"/>
  <c r="SW72" i="6"/>
  <c r="SW71" i="6"/>
  <c r="SW70" i="6"/>
  <c r="SW69" i="6"/>
  <c r="SW68" i="6"/>
  <c r="SW67" i="6"/>
  <c r="SW66" i="6"/>
  <c r="SW65" i="6"/>
  <c r="SW64" i="6"/>
  <c r="SW63" i="6"/>
  <c r="SW62" i="6"/>
  <c r="SW61" i="6"/>
  <c r="SW60" i="6"/>
  <c r="SW59" i="6"/>
  <c r="SW58" i="6"/>
  <c r="SW57" i="6"/>
  <c r="SW56" i="6"/>
  <c r="SW55" i="6"/>
  <c r="SW54" i="6"/>
  <c r="SW53" i="6"/>
  <c r="SW52" i="6"/>
  <c r="SW51" i="6"/>
  <c r="SW50" i="6"/>
  <c r="SW49" i="6"/>
  <c r="SW48" i="6"/>
  <c r="SW47" i="6"/>
  <c r="SW46" i="6"/>
  <c r="SW45" i="6"/>
  <c r="SW44" i="6"/>
  <c r="SW43" i="6"/>
  <c r="SW42" i="6"/>
  <c r="SW41" i="6"/>
  <c r="SW40" i="6"/>
  <c r="SW39" i="6"/>
  <c r="SW38" i="6"/>
  <c r="SW37" i="6"/>
  <c r="SW36" i="6"/>
  <c r="SW35" i="6"/>
  <c r="SW34" i="6"/>
  <c r="SW33" i="6"/>
  <c r="SW32" i="6"/>
  <c r="SW31" i="6"/>
  <c r="SW30" i="6"/>
  <c r="SW29" i="6"/>
  <c r="SW28" i="6"/>
  <c r="SW27" i="6"/>
  <c r="SW26" i="6"/>
  <c r="SW25" i="6"/>
  <c r="SW24" i="6"/>
  <c r="SW23" i="6"/>
  <c r="SW22" i="6"/>
  <c r="SW21" i="6"/>
  <c r="SW20" i="6"/>
  <c r="SW19" i="6"/>
  <c r="SW18" i="6"/>
  <c r="SW17" i="6"/>
  <c r="SW16" i="6"/>
  <c r="SW15" i="6"/>
  <c r="SW14" i="6"/>
  <c r="SW13" i="6"/>
  <c r="SW12" i="6"/>
  <c r="SW11" i="6"/>
  <c r="SW10" i="6"/>
  <c r="SW9" i="6"/>
  <c r="SW8" i="6"/>
  <c r="SW7" i="6"/>
  <c r="SW6" i="6"/>
  <c r="SW5" i="6"/>
  <c r="SW4" i="6"/>
  <c r="TK117" i="6"/>
  <c r="TK116" i="6"/>
  <c r="TK115" i="6"/>
  <c r="TK114" i="6"/>
  <c r="TK113" i="6"/>
  <c r="TK112" i="6"/>
  <c r="TK111" i="6"/>
  <c r="TK110" i="6"/>
  <c r="TK109" i="6"/>
  <c r="TK108" i="6"/>
  <c r="TK107" i="6"/>
  <c r="TK106" i="6"/>
  <c r="TK105" i="6"/>
  <c r="TK104" i="6"/>
  <c r="TK103" i="6"/>
  <c r="TK102" i="6"/>
  <c r="TK101" i="6"/>
  <c r="TK100" i="6"/>
  <c r="TK99" i="6"/>
  <c r="TK98" i="6"/>
  <c r="TK97" i="6"/>
  <c r="TK96" i="6"/>
  <c r="TK95" i="6"/>
  <c r="TK93" i="6"/>
  <c r="TK92" i="6"/>
  <c r="TK91" i="6"/>
  <c r="TK90" i="6"/>
  <c r="TK89" i="6"/>
  <c r="TK88" i="6"/>
  <c r="TK87" i="6"/>
  <c r="TK86" i="6"/>
  <c r="TK85" i="6"/>
  <c r="TK84" i="6"/>
  <c r="TK83" i="6"/>
  <c r="TK82" i="6"/>
  <c r="TK81" i="6"/>
  <c r="TK80" i="6"/>
  <c r="TK79" i="6"/>
  <c r="TK78" i="6"/>
  <c r="TK77" i="6"/>
  <c r="TK76" i="6"/>
  <c r="TK75" i="6"/>
  <c r="TK74" i="6"/>
  <c r="TK73" i="6"/>
  <c r="TK72" i="6"/>
  <c r="TK71" i="6"/>
  <c r="TK70" i="6"/>
  <c r="TK69" i="6"/>
  <c r="TK68" i="6"/>
  <c r="TK67" i="6"/>
  <c r="TK66" i="6"/>
  <c r="TK65" i="6"/>
  <c r="TK64" i="6"/>
  <c r="TK63" i="6"/>
  <c r="TK62" i="6"/>
  <c r="TK60" i="6"/>
  <c r="TK58" i="6"/>
  <c r="TK57" i="6"/>
  <c r="TK56" i="6"/>
  <c r="TK55" i="6"/>
  <c r="TK54" i="6"/>
  <c r="TK53" i="6"/>
  <c r="TK52" i="6"/>
  <c r="TK51" i="6"/>
  <c r="TK50" i="6"/>
  <c r="TK49" i="6"/>
  <c r="TK48" i="6"/>
  <c r="TK47" i="6"/>
  <c r="TK46" i="6"/>
  <c r="TK45" i="6"/>
  <c r="TK44" i="6"/>
  <c r="TK43" i="6"/>
  <c r="TK42" i="6"/>
  <c r="TK41" i="6"/>
  <c r="TK39" i="6"/>
  <c r="TK38" i="6"/>
  <c r="TK37" i="6"/>
  <c r="TK36" i="6"/>
  <c r="TK35" i="6"/>
  <c r="TK34" i="6"/>
  <c r="TK33" i="6"/>
  <c r="TK32" i="6"/>
  <c r="TK31" i="6"/>
  <c r="TK30" i="6"/>
  <c r="TK29" i="6"/>
  <c r="TK28" i="6"/>
  <c r="TK27" i="6"/>
  <c r="TK26" i="6"/>
  <c r="TK25" i="6"/>
  <c r="TK24" i="6"/>
  <c r="TK23" i="6"/>
  <c r="TK22" i="6"/>
  <c r="TK21" i="6"/>
  <c r="TK20" i="6"/>
  <c r="TK19" i="6"/>
  <c r="TK18" i="6"/>
  <c r="TK17" i="6"/>
  <c r="TK16" i="6"/>
  <c r="TK15" i="6"/>
  <c r="TK14" i="6"/>
  <c r="TK13" i="6"/>
  <c r="TK11" i="6"/>
  <c r="TK10" i="6"/>
  <c r="TK9" i="6"/>
  <c r="TK8" i="6"/>
  <c r="TK7" i="6"/>
  <c r="TK6" i="6"/>
  <c r="TK5" i="6"/>
  <c r="TK4" i="6"/>
  <c r="TX117" i="6"/>
  <c r="TX116" i="6"/>
  <c r="TX115" i="6"/>
  <c r="TX114" i="6"/>
  <c r="TX113" i="6"/>
  <c r="TX112" i="6"/>
  <c r="TX111" i="6"/>
  <c r="TX110" i="6"/>
  <c r="TX109" i="6"/>
  <c r="TX108" i="6"/>
  <c r="TX107" i="6"/>
  <c r="TX106" i="6"/>
  <c r="TX105" i="6"/>
  <c r="TX104" i="6"/>
  <c r="TX103" i="6"/>
  <c r="TX102" i="6"/>
  <c r="TX101" i="6"/>
  <c r="TX100" i="6"/>
  <c r="TX99" i="6"/>
  <c r="TX98" i="6"/>
  <c r="TX97" i="6"/>
  <c r="TX96" i="6"/>
  <c r="TX95" i="6"/>
  <c r="TX94" i="6"/>
  <c r="TX93" i="6"/>
  <c r="TX92" i="6"/>
  <c r="TX91" i="6"/>
  <c r="TX90" i="6"/>
  <c r="TX89" i="6"/>
  <c r="TX88" i="6"/>
  <c r="TX87" i="6"/>
  <c r="TX86" i="6"/>
  <c r="TX85" i="6"/>
  <c r="TX84" i="6"/>
  <c r="TX83" i="6"/>
  <c r="TX82" i="6"/>
  <c r="TX81" i="6"/>
  <c r="TX80" i="6"/>
  <c r="TX79" i="6"/>
  <c r="TX78" i="6"/>
  <c r="TX77" i="6"/>
  <c r="TX76" i="6"/>
  <c r="TX75" i="6"/>
  <c r="TX74" i="6"/>
  <c r="TX73" i="6"/>
  <c r="TX72" i="6"/>
  <c r="TX71" i="6"/>
  <c r="TX70" i="6"/>
  <c r="TX69" i="6"/>
  <c r="TX68" i="6"/>
  <c r="TX67" i="6"/>
  <c r="TX66" i="6"/>
  <c r="TX65" i="6"/>
  <c r="TX64" i="6"/>
  <c r="TX63" i="6"/>
  <c r="TX62" i="6"/>
  <c r="TX61" i="6"/>
  <c r="TX60" i="6"/>
  <c r="TX59" i="6"/>
  <c r="TX58" i="6"/>
  <c r="TX57" i="6"/>
  <c r="TX56" i="6"/>
  <c r="TX55" i="6"/>
  <c r="TX54" i="6"/>
  <c r="TX53" i="6"/>
  <c r="TX52" i="6"/>
  <c r="TX51" i="6"/>
  <c r="TX50" i="6"/>
  <c r="TX49" i="6"/>
  <c r="TX48" i="6"/>
  <c r="TX47" i="6"/>
  <c r="TX46" i="6"/>
  <c r="TX45" i="6"/>
  <c r="TX44" i="6"/>
  <c r="TX43" i="6"/>
  <c r="TX42" i="6"/>
  <c r="TX41" i="6"/>
  <c r="TX40" i="6"/>
  <c r="TX39" i="6"/>
  <c r="TX38" i="6"/>
  <c r="TX37" i="6"/>
  <c r="TX36" i="6"/>
  <c r="TX35" i="6"/>
  <c r="TX34" i="6"/>
  <c r="TX33" i="6"/>
  <c r="TX32" i="6"/>
  <c r="TX31" i="6"/>
  <c r="TX30" i="6"/>
  <c r="TX29" i="6"/>
  <c r="TX28" i="6"/>
  <c r="TX27" i="6"/>
  <c r="TX26" i="6"/>
  <c r="TX25" i="6"/>
  <c r="TX24" i="6"/>
  <c r="TX23" i="6"/>
  <c r="TX22" i="6"/>
  <c r="TX21" i="6"/>
  <c r="TX20" i="6"/>
  <c r="TX19" i="6"/>
  <c r="TX18" i="6"/>
  <c r="TX17" i="6"/>
  <c r="TX16" i="6"/>
  <c r="TX15" i="6"/>
  <c r="TX14" i="6"/>
  <c r="TX13" i="6"/>
  <c r="TX12" i="6"/>
  <c r="TX11" i="6"/>
  <c r="TX10" i="6"/>
  <c r="TX9" i="6"/>
  <c r="TX8" i="6"/>
  <c r="TX7" i="6"/>
  <c r="TX6" i="6"/>
  <c r="TX5" i="6"/>
  <c r="TX4" i="6"/>
  <c r="EU14"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5" i="1"/>
  <c r="S13" i="1"/>
  <c r="S12" i="1"/>
  <c r="S11" i="1"/>
  <c r="S10" i="1"/>
  <c r="S9" i="1"/>
  <c r="S8" i="1"/>
  <c r="S7" i="1"/>
  <c r="S6" i="1"/>
  <c r="S5" i="1"/>
  <c r="S4"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AS11" i="1"/>
  <c r="AS10" i="1"/>
  <c r="AS9" i="1"/>
  <c r="AS8" i="1"/>
  <c r="AS7" i="1"/>
  <c r="AS6" i="1"/>
  <c r="AS5" i="1"/>
  <c r="AS4" i="1"/>
  <c r="BF111" i="1"/>
  <c r="BF110" i="1"/>
  <c r="BF109" i="1"/>
  <c r="BF108" i="1"/>
  <c r="BF107" i="1"/>
  <c r="BF106" i="1"/>
  <c r="BF105" i="1"/>
  <c r="BF104" i="1"/>
  <c r="BF103" i="1"/>
  <c r="BF102" i="1"/>
  <c r="BF101" i="1"/>
  <c r="BF100" i="1"/>
  <c r="BF99" i="1"/>
  <c r="BF98" i="1"/>
  <c r="BF97" i="1"/>
  <c r="BF96" i="1"/>
  <c r="BF95" i="1"/>
  <c r="BF94" i="1"/>
  <c r="BF93" i="1"/>
  <c r="BF92" i="1"/>
  <c r="BF91" i="1"/>
  <c r="BF90" i="1"/>
  <c r="BF89" i="1"/>
  <c r="BF88" i="1"/>
  <c r="BF87" i="1"/>
  <c r="BF86" i="1"/>
  <c r="BF85" i="1"/>
  <c r="BF84" i="1"/>
  <c r="BF83" i="1"/>
  <c r="BF82" i="1"/>
  <c r="BF81" i="1"/>
  <c r="BF80" i="1"/>
  <c r="BF79" i="1"/>
  <c r="BF78" i="1"/>
  <c r="BF77" i="1"/>
  <c r="BF76" i="1"/>
  <c r="BF75" i="1"/>
  <c r="BF74" i="1"/>
  <c r="BF73" i="1"/>
  <c r="BF72" i="1"/>
  <c r="BF71" i="1"/>
  <c r="BF70" i="1"/>
  <c r="BF69" i="1"/>
  <c r="BF68" i="1"/>
  <c r="BF67" i="1"/>
  <c r="BF66" i="1"/>
  <c r="BF65" i="1"/>
  <c r="BF64" i="1"/>
  <c r="BF63" i="1"/>
  <c r="BF62" i="1"/>
  <c r="BF61" i="1"/>
  <c r="BF60" i="1"/>
  <c r="BF59" i="1"/>
  <c r="BF58" i="1"/>
  <c r="BF57" i="1"/>
  <c r="BF56" i="1"/>
  <c r="BF55" i="1"/>
  <c r="BF54" i="1"/>
  <c r="BF53" i="1"/>
  <c r="BF52" i="1"/>
  <c r="BF51" i="1"/>
  <c r="BF50" i="1"/>
  <c r="BF49" i="1"/>
  <c r="BF48" i="1"/>
  <c r="BF47" i="1"/>
  <c r="BF46" i="1"/>
  <c r="BF45" i="1"/>
  <c r="BF44" i="1"/>
  <c r="BF43" i="1"/>
  <c r="BF42" i="1"/>
  <c r="BF41" i="1"/>
  <c r="BF40" i="1"/>
  <c r="BF39" i="1"/>
  <c r="BF38" i="1"/>
  <c r="BF37" i="1"/>
  <c r="BF36" i="1"/>
  <c r="BF35" i="1"/>
  <c r="BF34" i="1"/>
  <c r="BF33" i="1"/>
  <c r="BF32" i="1"/>
  <c r="BF31" i="1"/>
  <c r="BF29" i="1"/>
  <c r="BF28" i="1"/>
  <c r="BF27" i="1"/>
  <c r="BF26" i="1"/>
  <c r="BF25" i="1"/>
  <c r="BF24" i="1"/>
  <c r="BF23" i="1"/>
  <c r="BF22" i="1"/>
  <c r="BF21" i="1"/>
  <c r="BF20" i="1"/>
  <c r="BF19" i="1"/>
  <c r="BF18" i="1"/>
  <c r="BF17" i="1"/>
  <c r="BF16" i="1"/>
  <c r="BF15" i="1"/>
  <c r="BF14" i="1"/>
  <c r="BF13" i="1"/>
  <c r="BF12" i="1"/>
  <c r="BF11" i="1"/>
  <c r="BF10" i="1"/>
  <c r="BF9" i="1"/>
  <c r="BF8" i="1"/>
  <c r="BF7" i="1"/>
  <c r="BF6" i="1"/>
  <c r="BF5" i="1"/>
  <c r="BF4" i="1"/>
  <c r="BS111" i="1"/>
  <c r="BS110" i="1"/>
  <c r="BS109" i="1"/>
  <c r="BS108" i="1"/>
  <c r="BS107" i="1"/>
  <c r="BS106" i="1"/>
  <c r="BS105" i="1"/>
  <c r="BS104" i="1"/>
  <c r="BS103" i="1"/>
  <c r="BS102" i="1"/>
  <c r="BS101" i="1"/>
  <c r="BS100" i="1"/>
  <c r="BS99" i="1"/>
  <c r="BS98" i="1"/>
  <c r="BS97" i="1"/>
  <c r="BS96" i="1"/>
  <c r="BS95" i="1"/>
  <c r="BS94" i="1"/>
  <c r="BS93" i="1"/>
  <c r="BS92" i="1"/>
  <c r="BS91" i="1"/>
  <c r="BS90" i="1"/>
  <c r="BS89" i="1"/>
  <c r="BS88" i="1"/>
  <c r="BS87" i="1"/>
  <c r="BS86" i="1"/>
  <c r="BS85" i="1"/>
  <c r="BS84" i="1"/>
  <c r="BS83" i="1"/>
  <c r="BS82" i="1"/>
  <c r="BS81" i="1"/>
  <c r="BS80" i="1"/>
  <c r="BS79" i="1"/>
  <c r="BS78" i="1"/>
  <c r="BS77" i="1"/>
  <c r="BS76" i="1"/>
  <c r="BS75" i="1"/>
  <c r="BS74" i="1"/>
  <c r="BS73" i="1"/>
  <c r="BS72" i="1"/>
  <c r="BS71" i="1"/>
  <c r="BS70" i="1"/>
  <c r="BS69" i="1"/>
  <c r="BS68" i="1"/>
  <c r="BS67" i="1"/>
  <c r="BS66" i="1"/>
  <c r="BS65" i="1"/>
  <c r="BS64" i="1"/>
  <c r="BS63" i="1"/>
  <c r="BS62" i="1"/>
  <c r="BS61" i="1"/>
  <c r="BS60" i="1"/>
  <c r="BS59" i="1"/>
  <c r="BS58" i="1"/>
  <c r="BS57" i="1"/>
  <c r="BS56" i="1"/>
  <c r="BS55" i="1"/>
  <c r="BS54" i="1"/>
  <c r="BS53" i="1"/>
  <c r="BS52" i="1"/>
  <c r="BS51" i="1"/>
  <c r="BS50" i="1"/>
  <c r="BS49" i="1"/>
  <c r="BS48" i="1"/>
  <c r="BS47" i="1"/>
  <c r="BS46" i="1"/>
  <c r="BS45" i="1"/>
  <c r="BS44" i="1"/>
  <c r="BS43" i="1"/>
  <c r="BS42" i="1"/>
  <c r="BS41" i="1"/>
  <c r="BS40" i="1"/>
  <c r="BS39" i="1"/>
  <c r="BS38" i="1"/>
  <c r="BS37" i="1"/>
  <c r="BS36" i="1"/>
  <c r="BS35" i="1"/>
  <c r="BS34" i="1"/>
  <c r="BS33" i="1"/>
  <c r="BS32" i="1"/>
  <c r="BS31" i="1"/>
  <c r="BS30" i="1"/>
  <c r="BS29" i="1"/>
  <c r="BS28" i="1"/>
  <c r="BS27" i="1"/>
  <c r="BS26" i="1"/>
  <c r="BS25" i="1"/>
  <c r="BS24" i="1"/>
  <c r="BS23" i="1"/>
  <c r="BS22" i="1"/>
  <c r="BS21" i="1"/>
  <c r="BS20" i="1"/>
  <c r="BS19" i="1"/>
  <c r="BS18" i="1"/>
  <c r="BS17" i="1"/>
  <c r="BS16" i="1"/>
  <c r="BS15" i="1"/>
  <c r="BS14" i="1"/>
  <c r="BS13" i="1"/>
  <c r="BS12" i="1"/>
  <c r="BS11" i="1"/>
  <c r="BS10" i="1"/>
  <c r="BS9" i="1"/>
  <c r="BS8" i="1"/>
  <c r="BS7" i="1"/>
  <c r="BS6" i="1"/>
  <c r="BS5" i="1"/>
  <c r="BS4" i="1"/>
  <c r="CF111" i="1"/>
  <c r="CF110" i="1"/>
  <c r="CF109" i="1"/>
  <c r="CF108" i="1"/>
  <c r="CF107" i="1"/>
  <c r="CF106" i="1"/>
  <c r="CF105" i="1"/>
  <c r="CF104" i="1"/>
  <c r="CF103" i="1"/>
  <c r="CF102" i="1"/>
  <c r="CF101" i="1"/>
  <c r="CF100" i="1"/>
  <c r="CF99" i="1"/>
  <c r="CF98" i="1"/>
  <c r="CF97" i="1"/>
  <c r="CF96" i="1"/>
  <c r="CF95" i="1"/>
  <c r="CF94" i="1"/>
  <c r="CF93" i="1"/>
  <c r="CF92" i="1"/>
  <c r="CF91" i="1"/>
  <c r="CF90" i="1"/>
  <c r="CF89" i="1"/>
  <c r="CF88" i="1"/>
  <c r="CF87" i="1"/>
  <c r="CF86" i="1"/>
  <c r="CF85" i="1"/>
  <c r="CF84" i="1"/>
  <c r="CF83" i="1"/>
  <c r="CF82" i="1"/>
  <c r="CF81" i="1"/>
  <c r="CF80" i="1"/>
  <c r="CF79" i="1"/>
  <c r="CF78" i="1"/>
  <c r="CF77" i="1"/>
  <c r="CF76" i="1"/>
  <c r="CF75" i="1"/>
  <c r="CF74" i="1"/>
  <c r="CF73" i="1"/>
  <c r="CF72" i="1"/>
  <c r="CF71" i="1"/>
  <c r="CF70" i="1"/>
  <c r="CF69" i="1"/>
  <c r="CF68" i="1"/>
  <c r="CF67" i="1"/>
  <c r="CF66" i="1"/>
  <c r="CF65" i="1"/>
  <c r="CF64" i="1"/>
  <c r="CF63" i="1"/>
  <c r="CF62" i="1"/>
  <c r="CF61" i="1"/>
  <c r="CF60" i="1"/>
  <c r="CF59" i="1"/>
  <c r="CF58" i="1"/>
  <c r="CF57" i="1"/>
  <c r="CF56" i="1"/>
  <c r="CF55" i="1"/>
  <c r="CF54" i="1"/>
  <c r="CF53" i="1"/>
  <c r="CF52" i="1"/>
  <c r="CF51" i="1"/>
  <c r="CF50" i="1"/>
  <c r="CF49" i="1"/>
  <c r="CF48" i="1"/>
  <c r="CF47" i="1"/>
  <c r="CF46" i="1"/>
  <c r="CF45" i="1"/>
  <c r="CF44" i="1"/>
  <c r="CF43" i="1"/>
  <c r="CF42" i="1"/>
  <c r="CF41" i="1"/>
  <c r="CF40" i="1"/>
  <c r="CF39" i="1"/>
  <c r="CF38" i="1"/>
  <c r="CF37" i="1"/>
  <c r="CF36" i="1"/>
  <c r="CF35" i="1"/>
  <c r="CF34" i="1"/>
  <c r="CF33" i="1"/>
  <c r="CF32" i="1"/>
  <c r="CF31" i="1"/>
  <c r="CF30" i="1"/>
  <c r="CF29" i="1"/>
  <c r="CF28" i="1"/>
  <c r="CF27" i="1"/>
  <c r="CF26" i="1"/>
  <c r="CF25" i="1"/>
  <c r="CF24" i="1"/>
  <c r="CF23" i="1"/>
  <c r="CF22" i="1"/>
  <c r="CF21" i="1"/>
  <c r="CF20" i="1"/>
  <c r="CF19" i="1"/>
  <c r="CF18" i="1"/>
  <c r="CF17" i="1"/>
  <c r="CF16" i="1"/>
  <c r="CF15" i="1"/>
  <c r="CF14" i="1"/>
  <c r="CF13" i="1"/>
  <c r="CF12" i="1"/>
  <c r="CF11" i="1"/>
  <c r="CF10" i="1"/>
  <c r="CF9" i="1"/>
  <c r="CF8" i="1"/>
  <c r="CF7" i="1"/>
  <c r="CF6" i="1"/>
  <c r="CF5" i="1"/>
  <c r="CF4" i="1"/>
  <c r="CS111" i="1"/>
  <c r="CS110" i="1"/>
  <c r="CS109" i="1"/>
  <c r="CS108" i="1"/>
  <c r="CS107" i="1"/>
  <c r="CS106" i="1"/>
  <c r="CS105" i="1"/>
  <c r="CS104" i="1"/>
  <c r="CS103" i="1"/>
  <c r="CS102" i="1"/>
  <c r="CS101" i="1"/>
  <c r="CS100" i="1"/>
  <c r="CS99" i="1"/>
  <c r="CS98" i="1"/>
  <c r="CS97" i="1"/>
  <c r="CS96" i="1"/>
  <c r="CS95" i="1"/>
  <c r="CS94" i="1"/>
  <c r="CS93" i="1"/>
  <c r="CS92" i="1"/>
  <c r="CS91" i="1"/>
  <c r="CS90" i="1"/>
  <c r="CS89" i="1"/>
  <c r="CS88" i="1"/>
  <c r="CS87" i="1"/>
  <c r="CS86" i="1"/>
  <c r="CS85" i="1"/>
  <c r="CS84" i="1"/>
  <c r="CS83" i="1"/>
  <c r="CS82" i="1"/>
  <c r="CS81" i="1"/>
  <c r="CS80" i="1"/>
  <c r="CS79" i="1"/>
  <c r="CS78" i="1"/>
  <c r="CS77" i="1"/>
  <c r="CS76" i="1"/>
  <c r="CS75" i="1"/>
  <c r="CS74" i="1"/>
  <c r="CS73" i="1"/>
  <c r="CS72" i="1"/>
  <c r="CS71" i="1"/>
  <c r="CS70" i="1"/>
  <c r="CS69" i="1"/>
  <c r="CS68" i="1"/>
  <c r="CS67" i="1"/>
  <c r="CS66" i="1"/>
  <c r="CS65" i="1"/>
  <c r="CS64" i="1"/>
  <c r="CS63" i="1"/>
  <c r="CS62" i="1"/>
  <c r="CS61" i="1"/>
  <c r="CS60" i="1"/>
  <c r="CS59" i="1"/>
  <c r="CS58" i="1"/>
  <c r="CS57" i="1"/>
  <c r="CS56" i="1"/>
  <c r="CS55" i="1"/>
  <c r="CS54" i="1"/>
  <c r="CS53" i="1"/>
  <c r="CS52" i="1"/>
  <c r="CS51" i="1"/>
  <c r="CS50" i="1"/>
  <c r="CS49" i="1"/>
  <c r="CS48" i="1"/>
  <c r="CS47" i="1"/>
  <c r="CS46" i="1"/>
  <c r="CS45" i="1"/>
  <c r="CS44" i="1"/>
  <c r="CS43" i="1"/>
  <c r="CS42" i="1"/>
  <c r="CS41" i="1"/>
  <c r="CS40" i="1"/>
  <c r="CS39" i="1"/>
  <c r="CS38" i="1"/>
  <c r="CS37" i="1"/>
  <c r="CS36" i="1"/>
  <c r="CS35" i="1"/>
  <c r="CS34" i="1"/>
  <c r="CS33" i="1"/>
  <c r="CS32" i="1"/>
  <c r="CS31" i="1"/>
  <c r="CS30" i="1"/>
  <c r="CS29" i="1"/>
  <c r="CS28" i="1"/>
  <c r="CS27" i="1"/>
  <c r="CS26" i="1"/>
  <c r="CS25" i="1"/>
  <c r="CS24" i="1"/>
  <c r="CS23" i="1"/>
  <c r="CS22" i="1"/>
  <c r="CS21" i="1"/>
  <c r="CS20" i="1"/>
  <c r="CS19" i="1"/>
  <c r="CS18" i="1"/>
  <c r="CS17" i="1"/>
  <c r="CS16" i="1"/>
  <c r="CS15" i="1"/>
  <c r="CS14" i="1"/>
  <c r="CS13" i="1"/>
  <c r="CS12" i="1"/>
  <c r="CS11" i="1"/>
  <c r="CS10" i="1"/>
  <c r="CS9" i="1"/>
  <c r="CS8" i="1"/>
  <c r="CS7" i="1"/>
  <c r="CS6" i="1"/>
  <c r="CS5" i="1"/>
  <c r="CS4" i="1"/>
  <c r="DF111" i="1"/>
  <c r="DF110" i="1"/>
  <c r="DF109" i="1"/>
  <c r="DF108" i="1"/>
  <c r="DF107" i="1"/>
  <c r="DF106" i="1"/>
  <c r="DF105" i="1"/>
  <c r="DF104" i="1"/>
  <c r="DF103" i="1"/>
  <c r="DF102" i="1"/>
  <c r="DF101" i="1"/>
  <c r="DF100" i="1"/>
  <c r="DF99" i="1"/>
  <c r="DF98" i="1"/>
  <c r="DF97" i="1"/>
  <c r="DF96" i="1"/>
  <c r="DF95" i="1"/>
  <c r="DF94" i="1"/>
  <c r="DF93" i="1"/>
  <c r="DF92" i="1"/>
  <c r="DF91" i="1"/>
  <c r="DF90" i="1"/>
  <c r="DF89" i="1"/>
  <c r="DF88" i="1"/>
  <c r="DF87" i="1"/>
  <c r="DF86" i="1"/>
  <c r="DF85" i="1"/>
  <c r="DF84" i="1"/>
  <c r="DF83" i="1"/>
  <c r="DF82" i="1"/>
  <c r="DF81" i="1"/>
  <c r="DF80" i="1"/>
  <c r="DF79" i="1"/>
  <c r="DF78" i="1"/>
  <c r="DF77" i="1"/>
  <c r="DF76" i="1"/>
  <c r="DF75" i="1"/>
  <c r="DF74" i="1"/>
  <c r="DF73" i="1"/>
  <c r="DF72" i="1"/>
  <c r="DF71" i="1"/>
  <c r="DF70" i="1"/>
  <c r="DF69" i="1"/>
  <c r="DF68" i="1"/>
  <c r="DF67" i="1"/>
  <c r="DF66" i="1"/>
  <c r="DF65" i="1"/>
  <c r="DF64" i="1"/>
  <c r="DF63" i="1"/>
  <c r="DF62" i="1"/>
  <c r="DF61" i="1"/>
  <c r="DF60" i="1"/>
  <c r="DF59" i="1"/>
  <c r="DF58" i="1"/>
  <c r="DF57" i="1"/>
  <c r="DF56" i="1"/>
  <c r="DF55" i="1"/>
  <c r="DF54" i="1"/>
  <c r="DF53" i="1"/>
  <c r="DF52" i="1"/>
  <c r="DF51" i="1"/>
  <c r="DF50" i="1"/>
  <c r="DF49" i="1"/>
  <c r="DF48" i="1"/>
  <c r="DF47" i="1"/>
  <c r="DF46" i="1"/>
  <c r="DF45" i="1"/>
  <c r="DF44" i="1"/>
  <c r="DF43" i="1"/>
  <c r="DF42" i="1"/>
  <c r="DF41" i="1"/>
  <c r="DF40" i="1"/>
  <c r="DF39" i="1"/>
  <c r="DF38" i="1"/>
  <c r="DF37" i="1"/>
  <c r="DF36" i="1"/>
  <c r="DF35" i="1"/>
  <c r="DF34" i="1"/>
  <c r="DF33" i="1"/>
  <c r="DF32" i="1"/>
  <c r="DF31" i="1"/>
  <c r="DF30" i="1"/>
  <c r="DF29" i="1"/>
  <c r="DF28" i="1"/>
  <c r="DF27" i="1"/>
  <c r="DF26" i="1"/>
  <c r="DF25" i="1"/>
  <c r="DF24" i="1"/>
  <c r="DF23" i="1"/>
  <c r="DF22" i="1"/>
  <c r="DF21" i="1"/>
  <c r="DF20" i="1"/>
  <c r="DF19" i="1"/>
  <c r="DF18" i="1"/>
  <c r="DF17" i="1"/>
  <c r="DF16" i="1"/>
  <c r="DF15" i="1"/>
  <c r="DF14" i="1"/>
  <c r="DF13" i="1"/>
  <c r="DF12" i="1"/>
  <c r="DF11" i="1"/>
  <c r="DF10" i="1"/>
  <c r="DF9" i="1"/>
  <c r="DF8" i="1"/>
  <c r="DF7" i="1"/>
  <c r="DF6" i="1"/>
  <c r="DF5" i="1"/>
  <c r="DF4" i="1"/>
  <c r="DS111" i="1"/>
  <c r="DS110" i="1"/>
  <c r="DS109" i="1"/>
  <c r="DS108" i="1"/>
  <c r="DS107" i="1"/>
  <c r="DS106" i="1"/>
  <c r="DS105" i="1"/>
  <c r="DS104" i="1"/>
  <c r="DS103" i="1"/>
  <c r="DS102" i="1"/>
  <c r="DS101" i="1"/>
  <c r="DS100" i="1"/>
  <c r="DS99" i="1"/>
  <c r="DS98" i="1"/>
  <c r="DS97" i="1"/>
  <c r="DS96" i="1"/>
  <c r="DS95" i="1"/>
  <c r="DS94" i="1"/>
  <c r="DS93" i="1"/>
  <c r="DS92" i="1"/>
  <c r="DS91" i="1"/>
  <c r="DS90" i="1"/>
  <c r="DS89" i="1"/>
  <c r="DS88" i="1"/>
  <c r="DS87" i="1"/>
  <c r="DS86" i="1"/>
  <c r="DS85" i="1"/>
  <c r="DS84" i="1"/>
  <c r="DS83" i="1"/>
  <c r="DS82" i="1"/>
  <c r="DS81" i="1"/>
  <c r="DS80" i="1"/>
  <c r="DS79" i="1"/>
  <c r="DS78" i="1"/>
  <c r="DS77" i="1"/>
  <c r="DS76" i="1"/>
  <c r="DS75" i="1"/>
  <c r="DS74" i="1"/>
  <c r="DS73" i="1"/>
  <c r="DS72" i="1"/>
  <c r="DS71" i="1"/>
  <c r="DS70" i="1"/>
  <c r="DS69" i="1"/>
  <c r="DS68" i="1"/>
  <c r="DS67" i="1"/>
  <c r="DS66" i="1"/>
  <c r="DS65" i="1"/>
  <c r="DS64" i="1"/>
  <c r="DS63" i="1"/>
  <c r="DS62" i="1"/>
  <c r="DS61" i="1"/>
  <c r="DS60" i="1"/>
  <c r="DS59" i="1"/>
  <c r="DS58" i="1"/>
  <c r="DS57" i="1"/>
  <c r="DS56" i="1"/>
  <c r="DS55" i="1"/>
  <c r="DS54" i="1"/>
  <c r="DS53" i="1"/>
  <c r="DS52" i="1"/>
  <c r="DS51" i="1"/>
  <c r="DS50" i="1"/>
  <c r="DS49" i="1"/>
  <c r="DS48" i="1"/>
  <c r="DS47" i="1"/>
  <c r="DS46" i="1"/>
  <c r="DS45" i="1"/>
  <c r="DS44" i="1"/>
  <c r="DS43" i="1"/>
  <c r="DS42" i="1"/>
  <c r="DS41" i="1"/>
  <c r="DS40" i="1"/>
  <c r="DS39" i="1"/>
  <c r="DS38" i="1"/>
  <c r="DS37" i="1"/>
  <c r="DS36" i="1"/>
  <c r="DS35" i="1"/>
  <c r="DS34" i="1"/>
  <c r="DS33" i="1"/>
  <c r="DS32" i="1"/>
  <c r="DS31" i="1"/>
  <c r="DS30" i="1"/>
  <c r="DS29" i="1"/>
  <c r="DS28" i="1"/>
  <c r="DS27" i="1"/>
  <c r="DS26" i="1"/>
  <c r="DS25" i="1"/>
  <c r="DS24" i="1"/>
  <c r="DS23" i="1"/>
  <c r="DS22" i="1"/>
  <c r="DS21" i="1"/>
  <c r="DS20" i="1"/>
  <c r="DS19" i="1"/>
  <c r="DS18" i="1"/>
  <c r="DS17" i="1"/>
  <c r="DS16" i="1"/>
  <c r="DS15" i="1"/>
  <c r="DS14" i="1"/>
  <c r="DS13" i="1"/>
  <c r="DS12" i="1"/>
  <c r="DS11" i="1"/>
  <c r="DS10" i="1"/>
  <c r="DS9" i="1"/>
  <c r="DS8" i="1"/>
  <c r="DS7" i="1"/>
  <c r="DS6" i="1"/>
  <c r="DS5" i="1"/>
  <c r="DS4" i="1"/>
  <c r="EF111" i="1"/>
  <c r="EF110" i="1"/>
  <c r="EF109" i="1"/>
  <c r="EF108" i="1"/>
  <c r="EF107" i="1"/>
  <c r="EF106" i="1"/>
  <c r="EF105" i="1"/>
  <c r="EF104" i="1"/>
  <c r="EF103" i="1"/>
  <c r="EF102" i="1"/>
  <c r="EF101" i="1"/>
  <c r="EF100" i="1"/>
  <c r="EF99" i="1"/>
  <c r="EF98" i="1"/>
  <c r="EF97" i="1"/>
  <c r="EF96" i="1"/>
  <c r="EF95" i="1"/>
  <c r="EF94" i="1"/>
  <c r="EF93" i="1"/>
  <c r="EF92" i="1"/>
  <c r="EF91" i="1"/>
  <c r="EF90" i="1"/>
  <c r="EF89" i="1"/>
  <c r="EF88" i="1"/>
  <c r="EF87" i="1"/>
  <c r="EF86" i="1"/>
  <c r="EF85" i="1"/>
  <c r="EF84" i="1"/>
  <c r="EF83" i="1"/>
  <c r="EF82" i="1"/>
  <c r="EF81" i="1"/>
  <c r="EF80" i="1"/>
  <c r="EF79" i="1"/>
  <c r="EF78" i="1"/>
  <c r="EF77" i="1"/>
  <c r="EF76" i="1"/>
  <c r="EF75" i="1"/>
  <c r="EF74" i="1"/>
  <c r="EF73" i="1"/>
  <c r="EF72" i="1"/>
  <c r="EF71" i="1"/>
  <c r="EF70" i="1"/>
  <c r="EF69" i="1"/>
  <c r="EF68" i="1"/>
  <c r="EF67" i="1"/>
  <c r="EF66" i="1"/>
  <c r="EF65" i="1"/>
  <c r="EF64" i="1"/>
  <c r="EF63" i="1"/>
  <c r="EF62" i="1"/>
  <c r="EF61" i="1"/>
  <c r="EF60" i="1"/>
  <c r="EF59" i="1"/>
  <c r="EF58" i="1"/>
  <c r="EF57" i="1"/>
  <c r="EF56" i="1"/>
  <c r="EF55" i="1"/>
  <c r="EF54" i="1"/>
  <c r="EF53" i="1"/>
  <c r="EF52" i="1"/>
  <c r="EF51" i="1"/>
  <c r="EF50" i="1"/>
  <c r="EF49" i="1"/>
  <c r="EF48" i="1"/>
  <c r="EF47" i="1"/>
  <c r="EF46" i="1"/>
  <c r="EF45" i="1"/>
  <c r="EF44" i="1"/>
  <c r="EF43" i="1"/>
  <c r="EF42" i="1"/>
  <c r="EF41" i="1"/>
  <c r="EF40" i="1"/>
  <c r="EF39" i="1"/>
  <c r="EF38" i="1"/>
  <c r="EF37" i="1"/>
  <c r="EF36" i="1"/>
  <c r="EF35" i="1"/>
  <c r="EF34" i="1"/>
  <c r="EF33" i="1"/>
  <c r="EF32" i="1"/>
  <c r="EF31" i="1"/>
  <c r="EF30" i="1"/>
  <c r="EF29" i="1"/>
  <c r="EF28" i="1"/>
  <c r="EF27" i="1"/>
  <c r="EF26" i="1"/>
  <c r="EF25" i="1"/>
  <c r="EF24" i="1"/>
  <c r="EF23" i="1"/>
  <c r="EF22" i="1"/>
  <c r="EF21" i="1"/>
  <c r="EF20" i="1"/>
  <c r="EF19" i="1"/>
  <c r="EF18" i="1"/>
  <c r="EF17" i="1"/>
  <c r="EF16" i="1"/>
  <c r="EF15" i="1"/>
  <c r="EF14" i="1"/>
  <c r="EF13" i="1"/>
  <c r="EF12" i="1"/>
  <c r="EF11" i="1"/>
  <c r="EF10" i="1"/>
  <c r="EF9" i="1"/>
  <c r="EF8" i="1"/>
  <c r="EF7" i="1"/>
  <c r="EF6" i="1"/>
  <c r="EF5" i="1"/>
  <c r="EF4" i="1"/>
  <c r="EU111" i="1"/>
  <c r="EU110" i="1"/>
  <c r="EU109" i="1"/>
  <c r="EU108" i="1"/>
  <c r="EU107" i="1"/>
  <c r="EU106" i="1"/>
  <c r="EU105" i="1"/>
  <c r="EU104" i="1"/>
  <c r="EU103" i="1"/>
  <c r="EU102" i="1"/>
  <c r="EU101" i="1"/>
  <c r="EU100" i="1"/>
  <c r="EU99" i="1"/>
  <c r="EU98" i="1"/>
  <c r="EU97" i="1"/>
  <c r="EU96" i="1"/>
  <c r="EU95" i="1"/>
  <c r="EU94" i="1"/>
  <c r="EU93" i="1"/>
  <c r="EU92" i="1"/>
  <c r="EU91" i="1"/>
  <c r="EU90" i="1"/>
  <c r="EU89" i="1"/>
  <c r="EU88" i="1"/>
  <c r="EU87" i="1"/>
  <c r="EU86" i="1"/>
  <c r="EU85" i="1"/>
  <c r="EU84" i="1"/>
  <c r="EU83" i="1"/>
  <c r="EU82" i="1"/>
  <c r="EU81" i="1"/>
  <c r="EU80" i="1"/>
  <c r="EU79" i="1"/>
  <c r="EU78" i="1"/>
  <c r="EU77" i="1"/>
  <c r="EU76" i="1"/>
  <c r="EU75" i="1"/>
  <c r="EU74" i="1"/>
  <c r="EU73" i="1"/>
  <c r="EU72" i="1"/>
  <c r="EU71" i="1"/>
  <c r="EU70" i="1"/>
  <c r="EU69" i="1"/>
  <c r="EU68" i="1"/>
  <c r="EU67" i="1"/>
  <c r="EU66" i="1"/>
  <c r="EU65" i="1"/>
  <c r="EU64" i="1"/>
  <c r="EU63" i="1"/>
  <c r="EU62" i="1"/>
  <c r="EU61" i="1"/>
  <c r="EU60" i="1"/>
  <c r="EU59" i="1"/>
  <c r="EU58" i="1"/>
  <c r="EU57" i="1"/>
  <c r="EU56" i="1"/>
  <c r="EU55" i="1"/>
  <c r="EU54" i="1"/>
  <c r="EU53" i="1"/>
  <c r="EU52" i="1"/>
  <c r="EU51" i="1"/>
  <c r="EU50" i="1"/>
  <c r="EU49" i="1"/>
  <c r="EU48" i="1"/>
  <c r="EU47" i="1"/>
  <c r="EU46" i="1"/>
  <c r="EU45" i="1"/>
  <c r="EU44" i="1"/>
  <c r="EU43" i="1"/>
  <c r="EU42" i="1"/>
  <c r="EU41" i="1"/>
  <c r="EU40" i="1"/>
  <c r="EU39" i="1"/>
  <c r="EU38" i="1"/>
  <c r="EU37" i="1"/>
  <c r="EU36" i="1"/>
  <c r="EU35" i="1"/>
  <c r="EU34" i="1"/>
  <c r="EU33" i="1"/>
  <c r="EU32" i="1"/>
  <c r="EU31" i="1"/>
  <c r="EU30" i="1"/>
  <c r="EU29" i="1"/>
  <c r="EU28" i="1"/>
  <c r="EU27" i="1"/>
  <c r="EU26" i="1"/>
  <c r="EU25" i="1"/>
  <c r="EU24" i="1"/>
  <c r="EU23" i="1"/>
  <c r="EU22" i="1"/>
  <c r="EU21" i="1"/>
  <c r="EU20" i="1"/>
  <c r="EU19" i="1"/>
  <c r="EU18" i="1"/>
  <c r="EU17" i="1"/>
  <c r="EU15" i="1"/>
  <c r="EU13" i="1"/>
  <c r="EU12" i="1"/>
  <c r="EU11" i="1"/>
  <c r="EU10" i="1"/>
  <c r="EU9" i="1"/>
  <c r="EU8" i="1"/>
  <c r="EU7" i="1"/>
  <c r="EU6" i="1"/>
  <c r="EU5" i="1"/>
  <c r="EU4" i="1"/>
  <c r="FH111" i="1"/>
  <c r="FH110" i="1"/>
  <c r="FH109" i="1"/>
  <c r="FH108" i="1"/>
  <c r="FH107" i="1"/>
  <c r="FH106" i="1"/>
  <c r="FH105" i="1"/>
  <c r="FH104" i="1"/>
  <c r="FH103" i="1"/>
  <c r="FH102" i="1"/>
  <c r="FH101" i="1"/>
  <c r="FH100" i="1"/>
  <c r="FH99" i="1"/>
  <c r="FH98" i="1"/>
  <c r="FH97" i="1"/>
  <c r="FH96" i="1"/>
  <c r="FH95" i="1"/>
  <c r="FH94" i="1"/>
  <c r="FH93" i="1"/>
  <c r="FH92" i="1"/>
  <c r="FH91" i="1"/>
  <c r="FH90" i="1"/>
  <c r="FH89" i="1"/>
  <c r="FH88" i="1"/>
  <c r="FH87" i="1"/>
  <c r="FH86" i="1"/>
  <c r="FH85" i="1"/>
  <c r="FH84" i="1"/>
  <c r="FH83" i="1"/>
  <c r="FH82" i="1"/>
  <c r="FH81" i="1"/>
  <c r="FH80" i="1"/>
  <c r="FH79" i="1"/>
  <c r="FH78" i="1"/>
  <c r="FH77" i="1"/>
  <c r="FH76" i="1"/>
  <c r="FH75" i="1"/>
  <c r="FH74" i="1"/>
  <c r="FH73" i="1"/>
  <c r="FH72" i="1"/>
  <c r="FH71" i="1"/>
  <c r="FH70" i="1"/>
  <c r="FH69" i="1"/>
  <c r="FH68" i="1"/>
  <c r="FH67" i="1"/>
  <c r="FH66" i="1"/>
  <c r="FH65" i="1"/>
  <c r="FH64" i="1"/>
  <c r="FH63" i="1"/>
  <c r="FH62" i="1"/>
  <c r="FH61" i="1"/>
  <c r="FH60" i="1"/>
  <c r="FH59" i="1"/>
  <c r="FH58" i="1"/>
  <c r="FH57" i="1"/>
  <c r="FH56" i="1"/>
  <c r="FH55" i="1"/>
  <c r="FH54" i="1"/>
  <c r="FH53" i="1"/>
  <c r="FH52" i="1"/>
  <c r="FH51" i="1"/>
  <c r="FH50" i="1"/>
  <c r="FH49" i="1"/>
  <c r="FH48" i="1"/>
  <c r="FH47" i="1"/>
  <c r="FH46" i="1"/>
  <c r="FH45" i="1"/>
  <c r="FH44" i="1"/>
  <c r="FH43" i="1"/>
  <c r="FH42" i="1"/>
  <c r="FH41" i="1"/>
  <c r="FH40" i="1"/>
  <c r="FH39" i="1"/>
  <c r="FH38" i="1"/>
  <c r="FH37" i="1"/>
  <c r="FH36" i="1"/>
  <c r="FH35" i="1"/>
  <c r="FH34" i="1"/>
  <c r="FH33" i="1"/>
  <c r="FH32" i="1"/>
  <c r="FH31" i="1"/>
  <c r="FH30" i="1"/>
  <c r="FH29" i="1"/>
  <c r="FH28" i="1"/>
  <c r="FH27" i="1"/>
  <c r="FH26" i="1"/>
  <c r="FH25" i="1"/>
  <c r="FH24" i="1"/>
  <c r="FH23" i="1"/>
  <c r="FH22" i="1"/>
  <c r="FH21" i="1"/>
  <c r="FH20" i="1"/>
  <c r="FH19" i="1"/>
  <c r="FH18" i="1"/>
  <c r="FH17" i="1"/>
  <c r="FH16" i="1"/>
  <c r="FH15" i="1"/>
  <c r="FH14" i="1"/>
  <c r="FH13" i="1"/>
  <c r="FH12" i="1"/>
  <c r="FH11" i="1"/>
  <c r="FH10" i="1"/>
  <c r="FH9" i="1"/>
  <c r="FH8" i="1"/>
  <c r="FH7" i="1"/>
  <c r="FH6" i="1"/>
  <c r="FH5" i="1"/>
  <c r="FH4" i="1"/>
  <c r="FU111" i="1"/>
  <c r="FU110" i="1"/>
  <c r="FU109" i="1"/>
  <c r="FU108" i="1"/>
  <c r="FU107" i="1"/>
  <c r="FU106" i="1"/>
  <c r="FU105" i="1"/>
  <c r="FU104" i="1"/>
  <c r="FU103" i="1"/>
  <c r="FU102" i="1"/>
  <c r="FU101" i="1"/>
  <c r="FU100" i="1"/>
  <c r="FU99" i="1"/>
  <c r="FU98" i="1"/>
  <c r="FU97" i="1"/>
  <c r="FU96" i="1"/>
  <c r="FU95" i="1"/>
  <c r="FU94" i="1"/>
  <c r="FU93" i="1"/>
  <c r="FU92" i="1"/>
  <c r="FU91" i="1"/>
  <c r="FU90" i="1"/>
  <c r="FU89" i="1"/>
  <c r="FU88" i="1"/>
  <c r="FU87" i="1"/>
  <c r="FU86" i="1"/>
  <c r="FU85" i="1"/>
  <c r="FU84" i="1"/>
  <c r="FU83" i="1"/>
  <c r="FU82" i="1"/>
  <c r="FU81" i="1"/>
  <c r="FU80" i="1"/>
  <c r="FU79" i="1"/>
  <c r="FU78" i="1"/>
  <c r="FU77" i="1"/>
  <c r="FU76" i="1"/>
  <c r="FU75" i="1"/>
  <c r="FU74" i="1"/>
  <c r="FU73" i="1"/>
  <c r="FU72" i="1"/>
  <c r="FU71" i="1"/>
  <c r="FU70" i="1"/>
  <c r="FU69" i="1"/>
  <c r="FU68" i="1"/>
  <c r="FU67" i="1"/>
  <c r="FU66" i="1"/>
  <c r="FU65" i="1"/>
  <c r="FU64" i="1"/>
  <c r="FU63" i="1"/>
  <c r="FU62" i="1"/>
  <c r="FU61" i="1"/>
  <c r="FU60" i="1"/>
  <c r="FU59" i="1"/>
  <c r="FU58" i="1"/>
  <c r="FU57" i="1"/>
  <c r="FU56" i="1"/>
  <c r="FU55" i="1"/>
  <c r="FU54" i="1"/>
  <c r="FU53" i="1"/>
  <c r="FU52" i="1"/>
  <c r="FU51" i="1"/>
  <c r="FU50" i="1"/>
  <c r="FU49" i="1"/>
  <c r="FU48" i="1"/>
  <c r="FU47" i="1"/>
  <c r="FU46" i="1"/>
  <c r="FU45" i="1"/>
  <c r="FU44" i="1"/>
  <c r="FU43" i="1"/>
  <c r="FU42" i="1"/>
  <c r="FU41" i="1"/>
  <c r="FU40" i="1"/>
  <c r="FU39" i="1"/>
  <c r="FU38" i="1"/>
  <c r="FU37" i="1"/>
  <c r="FU36" i="1"/>
  <c r="FU35" i="1"/>
  <c r="FU34" i="1"/>
  <c r="FU33" i="1"/>
  <c r="FU32" i="1"/>
  <c r="FU31" i="1"/>
  <c r="FU30" i="1"/>
  <c r="FU29" i="1"/>
  <c r="FU28" i="1"/>
  <c r="FU27" i="1"/>
  <c r="FU26" i="1"/>
  <c r="FU25" i="1"/>
  <c r="FU24" i="1"/>
  <c r="FU23" i="1"/>
  <c r="FU22" i="1"/>
  <c r="FU21" i="1"/>
  <c r="FU20" i="1"/>
  <c r="FU19" i="1"/>
  <c r="FU18" i="1"/>
  <c r="FU17" i="1"/>
  <c r="FU16" i="1"/>
  <c r="FU15" i="1"/>
  <c r="FU14" i="1"/>
  <c r="FU13" i="1"/>
  <c r="FU12" i="1"/>
  <c r="FU11" i="1"/>
  <c r="FU10" i="1"/>
  <c r="FU9" i="1"/>
  <c r="FU8" i="1"/>
  <c r="FU7" i="1"/>
  <c r="FU6" i="1"/>
  <c r="FU5" i="1"/>
  <c r="FU4" i="1"/>
  <c r="GH111" i="1"/>
  <c r="GH110" i="1"/>
  <c r="GH109" i="1"/>
  <c r="GH108" i="1"/>
  <c r="GH107" i="1"/>
  <c r="GH106" i="1"/>
  <c r="GH105" i="1"/>
  <c r="GH104" i="1"/>
  <c r="GH103" i="1"/>
  <c r="GH102" i="1"/>
  <c r="GH101" i="1"/>
  <c r="GH100" i="1"/>
  <c r="GH99" i="1"/>
  <c r="GH98" i="1"/>
  <c r="GH97" i="1"/>
  <c r="GH96" i="1"/>
  <c r="GH95" i="1"/>
  <c r="GH94" i="1"/>
  <c r="GH93" i="1"/>
  <c r="GH92" i="1"/>
  <c r="GH91" i="1"/>
  <c r="GH90" i="1"/>
  <c r="GH89" i="1"/>
  <c r="GH88" i="1"/>
  <c r="GH87" i="1"/>
  <c r="GH86" i="1"/>
  <c r="GH85" i="1"/>
  <c r="GH84" i="1"/>
  <c r="GH83" i="1"/>
  <c r="GH82" i="1"/>
  <c r="GH81" i="1"/>
  <c r="GH80" i="1"/>
  <c r="GH79" i="1"/>
  <c r="GH78" i="1"/>
  <c r="GH77" i="1"/>
  <c r="GH76" i="1"/>
  <c r="GH75" i="1"/>
  <c r="GH74" i="1"/>
  <c r="GH73" i="1"/>
  <c r="GH72" i="1"/>
  <c r="GH71" i="1"/>
  <c r="GH70" i="1"/>
  <c r="GH69" i="1"/>
  <c r="GH68" i="1"/>
  <c r="GH67" i="1"/>
  <c r="GH66" i="1"/>
  <c r="GH65" i="1"/>
  <c r="GH64" i="1"/>
  <c r="GH63" i="1"/>
  <c r="GH62" i="1"/>
  <c r="GH61" i="1"/>
  <c r="GH60" i="1"/>
  <c r="GH59" i="1"/>
  <c r="GH58" i="1"/>
  <c r="GH57" i="1"/>
  <c r="GH56" i="1"/>
  <c r="GH55" i="1"/>
  <c r="GH54" i="1"/>
  <c r="GH53" i="1"/>
  <c r="GH52" i="1"/>
  <c r="GH51" i="1"/>
  <c r="GH50" i="1"/>
  <c r="GH49" i="1"/>
  <c r="GH48" i="1"/>
  <c r="GH47" i="1"/>
  <c r="GH46" i="1"/>
  <c r="GH45" i="1"/>
  <c r="GH44" i="1"/>
  <c r="GH43" i="1"/>
  <c r="GH42" i="1"/>
  <c r="GH41" i="1"/>
  <c r="GH40" i="1"/>
  <c r="GH39" i="1"/>
  <c r="GH38" i="1"/>
  <c r="GH37" i="1"/>
  <c r="GH36" i="1"/>
  <c r="GH35" i="1"/>
  <c r="GH34" i="1"/>
  <c r="GH33" i="1"/>
  <c r="GH32" i="1"/>
  <c r="GH31" i="1"/>
  <c r="GH30" i="1"/>
  <c r="GH29" i="1"/>
  <c r="GH28" i="1"/>
  <c r="GH27" i="1"/>
  <c r="GH26" i="1"/>
  <c r="GH25" i="1"/>
  <c r="GH24" i="1"/>
  <c r="GH23" i="1"/>
  <c r="GH22" i="1"/>
  <c r="GH21" i="1"/>
  <c r="GH20" i="1"/>
  <c r="GH19" i="1"/>
  <c r="GH18" i="1"/>
  <c r="GH17" i="1"/>
  <c r="GH16" i="1"/>
  <c r="GH15" i="1"/>
  <c r="GH14" i="1"/>
  <c r="GH13" i="1"/>
  <c r="GH12" i="1"/>
  <c r="GH11" i="1"/>
  <c r="GH10" i="1"/>
  <c r="GH9" i="1"/>
  <c r="GH8" i="1"/>
  <c r="GH7" i="1"/>
  <c r="GH6" i="1"/>
  <c r="GH5" i="1"/>
  <c r="GH4" i="1"/>
  <c r="GU111" i="1"/>
  <c r="GU110" i="1"/>
  <c r="GU109" i="1"/>
  <c r="GU108" i="1"/>
  <c r="GU107" i="1"/>
  <c r="GU106" i="1"/>
  <c r="GU105" i="1"/>
  <c r="GU103" i="1"/>
  <c r="GU102" i="1"/>
  <c r="GU101" i="1"/>
  <c r="GU100" i="1"/>
  <c r="GU99" i="1"/>
  <c r="GU98" i="1"/>
  <c r="GU97" i="1"/>
  <c r="GU96" i="1"/>
  <c r="GU95" i="1"/>
  <c r="GU94" i="1"/>
  <c r="GU93" i="1"/>
  <c r="GU92" i="1"/>
  <c r="GU91" i="1"/>
  <c r="GU90" i="1"/>
  <c r="GU89" i="1"/>
  <c r="GU88" i="1"/>
  <c r="GU87" i="1"/>
  <c r="GU86" i="1"/>
  <c r="GU85" i="1"/>
  <c r="GU84" i="1"/>
  <c r="GU83" i="1"/>
  <c r="GU82" i="1"/>
  <c r="GU81" i="1"/>
  <c r="GU80" i="1"/>
  <c r="GU79" i="1"/>
  <c r="GU78" i="1"/>
  <c r="GU77" i="1"/>
  <c r="GU76" i="1"/>
  <c r="GU75" i="1"/>
  <c r="GU74" i="1"/>
  <c r="GU73" i="1"/>
  <c r="GU72" i="1"/>
  <c r="GU71" i="1"/>
  <c r="GU70" i="1"/>
  <c r="GU69" i="1"/>
  <c r="GU68" i="1"/>
  <c r="GU67" i="1"/>
  <c r="GU66" i="1"/>
  <c r="GU65" i="1"/>
  <c r="GU64" i="1"/>
  <c r="GU63" i="1"/>
  <c r="GU62" i="1"/>
  <c r="GU61" i="1"/>
  <c r="GU60" i="1"/>
  <c r="GU59" i="1"/>
  <c r="GU58" i="1"/>
  <c r="GU57" i="1"/>
  <c r="GU56" i="1"/>
  <c r="GU55" i="1"/>
  <c r="GU54" i="1"/>
  <c r="GU53" i="1"/>
  <c r="GU52" i="1"/>
  <c r="GU51" i="1"/>
  <c r="GU50" i="1"/>
  <c r="GU49" i="1"/>
  <c r="GU48" i="1"/>
  <c r="GU47" i="1"/>
  <c r="GU46" i="1"/>
  <c r="GU45" i="1"/>
  <c r="GU44" i="1"/>
  <c r="GU43" i="1"/>
  <c r="GU42" i="1"/>
  <c r="GU41" i="1"/>
  <c r="GU40" i="1"/>
  <c r="GU39" i="1"/>
  <c r="GU38" i="1"/>
  <c r="GU37" i="1"/>
  <c r="GU36" i="1"/>
  <c r="GU35" i="1"/>
  <c r="GU34" i="1"/>
  <c r="GU33" i="1"/>
  <c r="GU32" i="1"/>
  <c r="GU31" i="1"/>
  <c r="GU30" i="1"/>
  <c r="GU29" i="1"/>
  <c r="GU28" i="1"/>
  <c r="GU27" i="1"/>
  <c r="GU26" i="1"/>
  <c r="GU25" i="1"/>
  <c r="GU24" i="1"/>
  <c r="GU23" i="1"/>
  <c r="GU22" i="1"/>
  <c r="GU21" i="1"/>
  <c r="GU20" i="1"/>
  <c r="GU19" i="1"/>
  <c r="GU18" i="1"/>
  <c r="GU17" i="1"/>
  <c r="GU16" i="1"/>
  <c r="GU15" i="1"/>
  <c r="GU14" i="1"/>
  <c r="GU13" i="1"/>
  <c r="GU12" i="1"/>
  <c r="GU11" i="1"/>
  <c r="GU10" i="1"/>
  <c r="GU9" i="1"/>
  <c r="GU8" i="1"/>
  <c r="GU7" i="1"/>
  <c r="GU6" i="1"/>
  <c r="GU5" i="1"/>
  <c r="GU4" i="1"/>
  <c r="HH111" i="1"/>
  <c r="HH110" i="1"/>
  <c r="HH109" i="1"/>
  <c r="HH108" i="1"/>
  <c r="HH107" i="1"/>
  <c r="HH106" i="1"/>
  <c r="HH105" i="1"/>
  <c r="HH104" i="1"/>
  <c r="HH103" i="1"/>
  <c r="HH102" i="1"/>
  <c r="HH101" i="1"/>
  <c r="HH100" i="1"/>
  <c r="HH99" i="1"/>
  <c r="HH98" i="1"/>
  <c r="HH97" i="1"/>
  <c r="HH96" i="1"/>
  <c r="HH95" i="1"/>
  <c r="HH94" i="1"/>
  <c r="HH93" i="1"/>
  <c r="HH92" i="1"/>
  <c r="HH91" i="1"/>
  <c r="HH90" i="1"/>
  <c r="HH89" i="1"/>
  <c r="HH88" i="1"/>
  <c r="HH87" i="1"/>
  <c r="HH86" i="1"/>
  <c r="HH85" i="1"/>
  <c r="HH84" i="1"/>
  <c r="HH83" i="1"/>
  <c r="HH82" i="1"/>
  <c r="HH81" i="1"/>
  <c r="HH80" i="1"/>
  <c r="HH79" i="1"/>
  <c r="HH78" i="1"/>
  <c r="HH77" i="1"/>
  <c r="HH76" i="1"/>
  <c r="HH75" i="1"/>
  <c r="HH74" i="1"/>
  <c r="HH73" i="1"/>
  <c r="HH72" i="1"/>
  <c r="HH71" i="1"/>
  <c r="HH70" i="1"/>
  <c r="HH69" i="1"/>
  <c r="HH68" i="1"/>
  <c r="HH67" i="1"/>
  <c r="HH66" i="1"/>
  <c r="HH65" i="1"/>
  <c r="HH64" i="1"/>
  <c r="HH63" i="1"/>
  <c r="HH62" i="1"/>
  <c r="HH61" i="1"/>
  <c r="HH60" i="1"/>
  <c r="HH59" i="1"/>
  <c r="HH58" i="1"/>
  <c r="HH57" i="1"/>
  <c r="HH56" i="1"/>
  <c r="HH55" i="1"/>
  <c r="HH54" i="1"/>
  <c r="HH53" i="1"/>
  <c r="HH52" i="1"/>
  <c r="HH51" i="1"/>
  <c r="HH50" i="1"/>
  <c r="HH49" i="1"/>
  <c r="HH48" i="1"/>
  <c r="HH47" i="1"/>
  <c r="HH46" i="1"/>
  <c r="HH45" i="1"/>
  <c r="HH44" i="1"/>
  <c r="HH43" i="1"/>
  <c r="HH42" i="1"/>
  <c r="HH41" i="1"/>
  <c r="HH40" i="1"/>
  <c r="HH39" i="1"/>
  <c r="HH38" i="1"/>
  <c r="HH37" i="1"/>
  <c r="HH36" i="1"/>
  <c r="HH35" i="1"/>
  <c r="HH34" i="1"/>
  <c r="HH33" i="1"/>
  <c r="HH32" i="1"/>
  <c r="HH31" i="1"/>
  <c r="HH30" i="1"/>
  <c r="HH29" i="1"/>
  <c r="HH28" i="1"/>
  <c r="HH27" i="1"/>
  <c r="HH26" i="1"/>
  <c r="HH25" i="1"/>
  <c r="HH24" i="1"/>
  <c r="HH23" i="1"/>
  <c r="HH22" i="1"/>
  <c r="HH21" i="1"/>
  <c r="HH20" i="1"/>
  <c r="HH19" i="1"/>
  <c r="HH18" i="1"/>
  <c r="HH17" i="1"/>
  <c r="HH16" i="1"/>
  <c r="HH15" i="1"/>
  <c r="HH14" i="1"/>
  <c r="HH13" i="1"/>
  <c r="HH12" i="1"/>
  <c r="HH11" i="1"/>
  <c r="HH10" i="1"/>
  <c r="HH9" i="1"/>
  <c r="HH8" i="1"/>
  <c r="HH7" i="1"/>
  <c r="HH6" i="1"/>
  <c r="HH5" i="1"/>
  <c r="HH4" i="1"/>
  <c r="HU111" i="1"/>
  <c r="HU110" i="1"/>
  <c r="HU109" i="1"/>
  <c r="HU108" i="1"/>
  <c r="HU107" i="1"/>
  <c r="HU106" i="1"/>
  <c r="HU105" i="1"/>
  <c r="HU104" i="1"/>
  <c r="HU103" i="1"/>
  <c r="HU102" i="1"/>
  <c r="HU101" i="1"/>
  <c r="HU100" i="1"/>
  <c r="HU99" i="1"/>
  <c r="HU98" i="1"/>
  <c r="HU97" i="1"/>
  <c r="HU96" i="1"/>
  <c r="HU95" i="1"/>
  <c r="HU94" i="1"/>
  <c r="HU93" i="1"/>
  <c r="HU92" i="1"/>
  <c r="HU91" i="1"/>
  <c r="HU90" i="1"/>
  <c r="HU89" i="1"/>
  <c r="HU88" i="1"/>
  <c r="HU87" i="1"/>
  <c r="HU86" i="1"/>
  <c r="HU85" i="1"/>
  <c r="HU84" i="1"/>
  <c r="HU83" i="1"/>
  <c r="HU82" i="1"/>
  <c r="HU81" i="1"/>
  <c r="HU80" i="1"/>
  <c r="HU79" i="1"/>
  <c r="HU78" i="1"/>
  <c r="HU77" i="1"/>
  <c r="HU76" i="1"/>
  <c r="HU75" i="1"/>
  <c r="HU74" i="1"/>
  <c r="HU73" i="1"/>
  <c r="HU72" i="1"/>
  <c r="HU71" i="1"/>
  <c r="HU70" i="1"/>
  <c r="HU69" i="1"/>
  <c r="HU68" i="1"/>
  <c r="HU67" i="1"/>
  <c r="HU66" i="1"/>
  <c r="HU65" i="1"/>
  <c r="HU64" i="1"/>
  <c r="HU63" i="1"/>
  <c r="HU62" i="1"/>
  <c r="HU61" i="1"/>
  <c r="HU60" i="1"/>
  <c r="HU59" i="1"/>
  <c r="HU58" i="1"/>
  <c r="HU57" i="1"/>
  <c r="HU56" i="1"/>
  <c r="HU55" i="1"/>
  <c r="HU54" i="1"/>
  <c r="HU53" i="1"/>
  <c r="HU52" i="1"/>
  <c r="HU51" i="1"/>
  <c r="HU50" i="1"/>
  <c r="HU49" i="1"/>
  <c r="HU48" i="1"/>
  <c r="HU47" i="1"/>
  <c r="HU46" i="1"/>
  <c r="HU45" i="1"/>
  <c r="HU44" i="1"/>
  <c r="HU43" i="1"/>
  <c r="HU42" i="1"/>
  <c r="HU41" i="1"/>
  <c r="HU40" i="1"/>
  <c r="HU39" i="1"/>
  <c r="HU38" i="1"/>
  <c r="HU37" i="1"/>
  <c r="HU36" i="1"/>
  <c r="HU35" i="1"/>
  <c r="HU34" i="1"/>
  <c r="HU33" i="1"/>
  <c r="HU32" i="1"/>
  <c r="HU31" i="1"/>
  <c r="HU30" i="1"/>
  <c r="HU29" i="1"/>
  <c r="HU28" i="1"/>
  <c r="HU27" i="1"/>
  <c r="HU26" i="1"/>
  <c r="HU25" i="1"/>
  <c r="HU24" i="1"/>
  <c r="HU23" i="1"/>
  <c r="HU22" i="1"/>
  <c r="HU21" i="1"/>
  <c r="HU20" i="1"/>
  <c r="HU19" i="1"/>
  <c r="HU18" i="1"/>
  <c r="HU17" i="1"/>
  <c r="HU16" i="1"/>
  <c r="HU15" i="1"/>
  <c r="HU14" i="1"/>
  <c r="HU13" i="1"/>
  <c r="HU12" i="1"/>
  <c r="HU11" i="1"/>
  <c r="HU10" i="1"/>
  <c r="HU9" i="1"/>
  <c r="HU8" i="1"/>
  <c r="HU7" i="1"/>
  <c r="HU6" i="1"/>
  <c r="HU5" i="1"/>
  <c r="HU4" i="1"/>
  <c r="IH111" i="1"/>
  <c r="IH110" i="1"/>
  <c r="IH109" i="1"/>
  <c r="IH108" i="1"/>
  <c r="IH107" i="1"/>
  <c r="IH106" i="1"/>
  <c r="IH105" i="1"/>
  <c r="IH104" i="1"/>
  <c r="IH103" i="1"/>
  <c r="IH102" i="1"/>
  <c r="IH101" i="1"/>
  <c r="IH100" i="1"/>
  <c r="IH99" i="1"/>
  <c r="IH98" i="1"/>
  <c r="IH97" i="1"/>
  <c r="IH96" i="1"/>
  <c r="IH95" i="1"/>
  <c r="IH94" i="1"/>
  <c r="IH93" i="1"/>
  <c r="IH92" i="1"/>
  <c r="IH91" i="1"/>
  <c r="IH90" i="1"/>
  <c r="IH89" i="1"/>
  <c r="IH88" i="1"/>
  <c r="IH87" i="1"/>
  <c r="IH86" i="1"/>
  <c r="IH85" i="1"/>
  <c r="IH84" i="1"/>
  <c r="IH83" i="1"/>
  <c r="IH82" i="1"/>
  <c r="IH81" i="1"/>
  <c r="IH80" i="1"/>
  <c r="IH79" i="1"/>
  <c r="IH78" i="1"/>
  <c r="IH77" i="1"/>
  <c r="IH76" i="1"/>
  <c r="IH75" i="1"/>
  <c r="IH74" i="1"/>
  <c r="IH73" i="1"/>
  <c r="IH72" i="1"/>
  <c r="IH71" i="1"/>
  <c r="IH70" i="1"/>
  <c r="IH69" i="1"/>
  <c r="IH68" i="1"/>
  <c r="IH67" i="1"/>
  <c r="IH66" i="1"/>
  <c r="IH65" i="1"/>
  <c r="IH64" i="1"/>
  <c r="IH63" i="1"/>
  <c r="IH62" i="1"/>
  <c r="IH61" i="1"/>
  <c r="IH60" i="1"/>
  <c r="IH59" i="1"/>
  <c r="IH58" i="1"/>
  <c r="IH57" i="1"/>
  <c r="IH56" i="1"/>
  <c r="IH55" i="1"/>
  <c r="IH54" i="1"/>
  <c r="IH53" i="1"/>
  <c r="IH52" i="1"/>
  <c r="IH51" i="1"/>
  <c r="IH50" i="1"/>
  <c r="IH49" i="1"/>
  <c r="IH48" i="1"/>
  <c r="IH47" i="1"/>
  <c r="IH46" i="1"/>
  <c r="IH45" i="1"/>
  <c r="IH44" i="1"/>
  <c r="IH43" i="1"/>
  <c r="IH42" i="1"/>
  <c r="IH41" i="1"/>
  <c r="IH40" i="1"/>
  <c r="IH39" i="1"/>
  <c r="IH38" i="1"/>
  <c r="IH37" i="1"/>
  <c r="IH36" i="1"/>
  <c r="IH35" i="1"/>
  <c r="IH34" i="1"/>
  <c r="IH33" i="1"/>
  <c r="IH32" i="1"/>
  <c r="IH31" i="1"/>
  <c r="IH30" i="1"/>
  <c r="IH29" i="1"/>
  <c r="IH28" i="1"/>
  <c r="IH27" i="1"/>
  <c r="IH26" i="1"/>
  <c r="IH25" i="1"/>
  <c r="IH24" i="1"/>
  <c r="IH23" i="1"/>
  <c r="IH22" i="1"/>
  <c r="IH21" i="1"/>
  <c r="IH20" i="1"/>
  <c r="IH19" i="1"/>
  <c r="IH18" i="1"/>
  <c r="IH17" i="1"/>
  <c r="IH16" i="1"/>
  <c r="IH15" i="1"/>
  <c r="IH14" i="1"/>
  <c r="IH13" i="1"/>
  <c r="IH12" i="1"/>
  <c r="IH11" i="1"/>
  <c r="IH10" i="1"/>
  <c r="IH9" i="1"/>
  <c r="IH8" i="1"/>
  <c r="IH7" i="1"/>
  <c r="IH6" i="1"/>
  <c r="IH5" i="1"/>
  <c r="IH4" i="1"/>
  <c r="IW111" i="1"/>
  <c r="IW110" i="1"/>
  <c r="IW109" i="1"/>
  <c r="IW108" i="1"/>
  <c r="IW107" i="1"/>
  <c r="IW106" i="1"/>
  <c r="IW105" i="1"/>
  <c r="IW104" i="1"/>
  <c r="IW103" i="1"/>
  <c r="IW102" i="1"/>
  <c r="IW101" i="1"/>
  <c r="IW100" i="1"/>
  <c r="IW99" i="1"/>
  <c r="IW98" i="1"/>
  <c r="IW97" i="1"/>
  <c r="IW96" i="1"/>
  <c r="IW95" i="1"/>
  <c r="IW94" i="1"/>
  <c r="IW93" i="1"/>
  <c r="IW92" i="1"/>
  <c r="IW91" i="1"/>
  <c r="IW90" i="1"/>
  <c r="IW89" i="1"/>
  <c r="IW88" i="1"/>
  <c r="IW87" i="1"/>
  <c r="IW86" i="1"/>
  <c r="IW85" i="1"/>
  <c r="IW84" i="1"/>
  <c r="IW83" i="1"/>
  <c r="IW82" i="1"/>
  <c r="IW81" i="1"/>
  <c r="IW80" i="1"/>
  <c r="IW79" i="1"/>
  <c r="IW78" i="1"/>
  <c r="IW77" i="1"/>
  <c r="IW76" i="1"/>
  <c r="IW75" i="1"/>
  <c r="IW74" i="1"/>
  <c r="IW73" i="1"/>
  <c r="IW72" i="1"/>
  <c r="IW71" i="1"/>
  <c r="IW70" i="1"/>
  <c r="IW69" i="1"/>
  <c r="IW68" i="1"/>
  <c r="IW67" i="1"/>
  <c r="IW66" i="1"/>
  <c r="IW65" i="1"/>
  <c r="IW64" i="1"/>
  <c r="IW63" i="1"/>
  <c r="IW62" i="1"/>
  <c r="IW61" i="1"/>
  <c r="IW60" i="1"/>
  <c r="IW59" i="1"/>
  <c r="IW58" i="1"/>
  <c r="IW57" i="1"/>
  <c r="IW56" i="1"/>
  <c r="IW55" i="1"/>
  <c r="IW54" i="1"/>
  <c r="IW53" i="1"/>
  <c r="IW52" i="1"/>
  <c r="IW51" i="1"/>
  <c r="IW50" i="1"/>
  <c r="IW49" i="1"/>
  <c r="IW48" i="1"/>
  <c r="IW47" i="1"/>
  <c r="IW46" i="1"/>
  <c r="IW45" i="1"/>
  <c r="IW44" i="1"/>
  <c r="IW43" i="1"/>
  <c r="IW42" i="1"/>
  <c r="IW41" i="1"/>
  <c r="IW40" i="1"/>
  <c r="IW39" i="1"/>
  <c r="IW38" i="1"/>
  <c r="IW37" i="1"/>
  <c r="IW36" i="1"/>
  <c r="IW35" i="1"/>
  <c r="IW34" i="1"/>
  <c r="IW33" i="1"/>
  <c r="IW32" i="1"/>
  <c r="IW31" i="1"/>
  <c r="IW30" i="1"/>
  <c r="IW29" i="1"/>
  <c r="IW28" i="1"/>
  <c r="IW27" i="1"/>
  <c r="IW26" i="1"/>
  <c r="IW25" i="1"/>
  <c r="IW24" i="1"/>
  <c r="IW23" i="1"/>
  <c r="IW22" i="1"/>
  <c r="IW21" i="1"/>
  <c r="IW20" i="1"/>
  <c r="IW19" i="1"/>
  <c r="IW18" i="1"/>
  <c r="IW17" i="1"/>
  <c r="IW16" i="1"/>
  <c r="IW15" i="1"/>
  <c r="IW14" i="1"/>
  <c r="IW13" i="1"/>
  <c r="IW12" i="1"/>
  <c r="IW11" i="1"/>
  <c r="IW10" i="1"/>
  <c r="IW9" i="1"/>
  <c r="IW8" i="1"/>
  <c r="IW7" i="1"/>
  <c r="IW6" i="1"/>
  <c r="IW5" i="1"/>
  <c r="IW4" i="1"/>
  <c r="JJ111" i="1"/>
  <c r="JJ110" i="1"/>
  <c r="JJ109" i="1"/>
  <c r="JJ108" i="1"/>
  <c r="JJ107" i="1"/>
  <c r="JJ106" i="1"/>
  <c r="JJ105" i="1"/>
  <c r="JJ104" i="1"/>
  <c r="JJ103" i="1"/>
  <c r="JJ102" i="1"/>
  <c r="JJ101" i="1"/>
  <c r="JJ100" i="1"/>
  <c r="JJ99" i="1"/>
  <c r="JJ98" i="1"/>
  <c r="JJ97" i="1"/>
  <c r="JJ96" i="1"/>
  <c r="JJ95" i="1"/>
  <c r="JJ94" i="1"/>
  <c r="JJ93" i="1"/>
  <c r="JJ92" i="1"/>
  <c r="JJ91" i="1"/>
  <c r="JJ90" i="1"/>
  <c r="JJ89" i="1"/>
  <c r="JJ88" i="1"/>
  <c r="JJ87" i="1"/>
  <c r="JJ86" i="1"/>
  <c r="JJ85" i="1"/>
  <c r="JJ84" i="1"/>
  <c r="JJ83" i="1"/>
  <c r="JJ82" i="1"/>
  <c r="JJ81" i="1"/>
  <c r="JJ80" i="1"/>
  <c r="JJ79" i="1"/>
  <c r="JJ78" i="1"/>
  <c r="JJ77" i="1"/>
  <c r="JJ76" i="1"/>
  <c r="JJ75" i="1"/>
  <c r="JJ74" i="1"/>
  <c r="JJ73" i="1"/>
  <c r="JJ72" i="1"/>
  <c r="JJ71" i="1"/>
  <c r="JJ70" i="1"/>
  <c r="JJ69" i="1"/>
  <c r="JJ68" i="1"/>
  <c r="JJ67" i="1"/>
  <c r="JJ66" i="1"/>
  <c r="JJ65" i="1"/>
  <c r="JJ64" i="1"/>
  <c r="JJ63" i="1"/>
  <c r="JJ62" i="1"/>
  <c r="JJ61" i="1"/>
  <c r="JJ60" i="1"/>
  <c r="JJ59" i="1"/>
  <c r="JJ58" i="1"/>
  <c r="JJ57" i="1"/>
  <c r="JJ56" i="1"/>
  <c r="JJ55" i="1"/>
  <c r="JJ54" i="1"/>
  <c r="JJ53" i="1"/>
  <c r="JJ52" i="1"/>
  <c r="JJ51" i="1"/>
  <c r="JJ50" i="1"/>
  <c r="JJ49" i="1"/>
  <c r="JJ48" i="1"/>
  <c r="JJ47" i="1"/>
  <c r="JJ46" i="1"/>
  <c r="JJ45" i="1"/>
  <c r="JJ44" i="1"/>
  <c r="JJ43" i="1"/>
  <c r="JJ42" i="1"/>
  <c r="JJ41" i="1"/>
  <c r="JJ40" i="1"/>
  <c r="JJ39" i="1"/>
  <c r="JJ38" i="1"/>
  <c r="JJ37" i="1"/>
  <c r="JJ36" i="1"/>
  <c r="JJ35" i="1"/>
  <c r="JJ34" i="1"/>
  <c r="JJ33" i="1"/>
  <c r="JJ32" i="1"/>
  <c r="JJ31" i="1"/>
  <c r="JJ30" i="1"/>
  <c r="JJ29" i="1"/>
  <c r="JJ28" i="1"/>
  <c r="JJ27" i="1"/>
  <c r="JJ26" i="1"/>
  <c r="JJ25" i="1"/>
  <c r="JJ24" i="1"/>
  <c r="JJ23" i="1"/>
  <c r="JJ22" i="1"/>
  <c r="JJ21" i="1"/>
  <c r="JJ20" i="1"/>
  <c r="JJ19" i="1"/>
  <c r="JJ18" i="1"/>
  <c r="JJ17" i="1"/>
  <c r="JJ16" i="1"/>
  <c r="JJ15" i="1"/>
  <c r="JJ13" i="1"/>
  <c r="JJ12" i="1"/>
  <c r="JJ11" i="1"/>
  <c r="JJ10" i="1"/>
  <c r="JJ9" i="1"/>
  <c r="JJ8" i="1"/>
  <c r="JJ7" i="1"/>
  <c r="JJ6" i="1"/>
  <c r="JJ5" i="1"/>
  <c r="JJ4" i="1"/>
  <c r="JW111" i="1"/>
  <c r="JW110" i="1"/>
  <c r="JW109" i="1"/>
  <c r="JW108" i="1"/>
  <c r="JW107" i="1"/>
  <c r="JW106" i="1"/>
  <c r="JW105" i="1"/>
  <c r="JW104" i="1"/>
  <c r="JW103" i="1"/>
  <c r="JW102" i="1"/>
  <c r="JW101" i="1"/>
  <c r="JW100" i="1"/>
  <c r="JW99" i="1"/>
  <c r="JW98" i="1"/>
  <c r="JW97" i="1"/>
  <c r="JW96" i="1"/>
  <c r="JW95" i="1"/>
  <c r="JW94" i="1"/>
  <c r="JW93" i="1"/>
  <c r="JW92" i="1"/>
  <c r="JW91" i="1"/>
  <c r="JW90" i="1"/>
  <c r="JW89" i="1"/>
  <c r="JW88" i="1"/>
  <c r="JW87" i="1"/>
  <c r="JW86" i="1"/>
  <c r="JW85" i="1"/>
  <c r="JW84" i="1"/>
  <c r="JW83" i="1"/>
  <c r="JW82" i="1"/>
  <c r="JW81" i="1"/>
  <c r="JW80" i="1"/>
  <c r="JW79" i="1"/>
  <c r="JW78" i="1"/>
  <c r="JW77" i="1"/>
  <c r="JW76" i="1"/>
  <c r="JW75" i="1"/>
  <c r="JW74" i="1"/>
  <c r="JW73" i="1"/>
  <c r="JW72" i="1"/>
  <c r="JW71" i="1"/>
  <c r="JW70" i="1"/>
  <c r="JW69" i="1"/>
  <c r="JW68" i="1"/>
  <c r="JW67" i="1"/>
  <c r="JW66" i="1"/>
  <c r="JW65" i="1"/>
  <c r="JW64" i="1"/>
  <c r="JW63" i="1"/>
  <c r="JW62" i="1"/>
  <c r="JW61" i="1"/>
  <c r="JW60" i="1"/>
  <c r="JW59" i="1"/>
  <c r="JW58" i="1"/>
  <c r="JW57" i="1"/>
  <c r="JW56" i="1"/>
  <c r="JW55" i="1"/>
  <c r="JW54" i="1"/>
  <c r="JW53" i="1"/>
  <c r="JW52" i="1"/>
  <c r="JW51" i="1"/>
  <c r="JW50" i="1"/>
  <c r="JW49" i="1"/>
  <c r="JW48" i="1"/>
  <c r="JW47" i="1"/>
  <c r="JW46" i="1"/>
  <c r="JW45" i="1"/>
  <c r="JW44" i="1"/>
  <c r="JW43" i="1"/>
  <c r="JW42" i="1"/>
  <c r="JW41" i="1"/>
  <c r="JW40" i="1"/>
  <c r="JW39" i="1"/>
  <c r="JW38" i="1"/>
  <c r="JW37" i="1"/>
  <c r="JW36" i="1"/>
  <c r="JW35" i="1"/>
  <c r="JW34" i="1"/>
  <c r="JW33" i="1"/>
  <c r="JW32" i="1"/>
  <c r="JW31" i="1"/>
  <c r="JW30" i="1"/>
  <c r="JW29" i="1"/>
  <c r="JW28" i="1"/>
  <c r="JW27" i="1"/>
  <c r="JW26" i="1"/>
  <c r="JW25" i="1"/>
  <c r="JW24" i="1"/>
  <c r="JW23" i="1"/>
  <c r="JW22" i="1"/>
  <c r="JW21" i="1"/>
  <c r="JW20" i="1"/>
  <c r="JW19" i="1"/>
  <c r="JW18" i="1"/>
  <c r="JW17" i="1"/>
  <c r="JW16" i="1"/>
  <c r="JW15" i="1"/>
  <c r="JW14" i="1"/>
  <c r="JW13" i="1"/>
  <c r="JW12" i="1"/>
  <c r="JW11" i="1"/>
  <c r="JW10" i="1"/>
  <c r="JW9" i="1"/>
  <c r="JW8" i="1"/>
  <c r="JW7" i="1"/>
  <c r="JW6" i="1"/>
  <c r="JW5" i="1"/>
  <c r="JW4" i="1"/>
  <c r="KJ111" i="1"/>
  <c r="KJ110" i="1"/>
  <c r="KJ109" i="1"/>
  <c r="KJ108" i="1"/>
  <c r="KJ107" i="1"/>
  <c r="KJ106" i="1"/>
  <c r="KJ105" i="1"/>
  <c r="KJ104" i="1"/>
  <c r="KJ103" i="1"/>
  <c r="KJ102" i="1"/>
  <c r="KJ101" i="1"/>
  <c r="KJ100" i="1"/>
  <c r="KJ99" i="1"/>
  <c r="KJ98" i="1"/>
  <c r="KJ97" i="1"/>
  <c r="KJ96" i="1"/>
  <c r="KJ95" i="1"/>
  <c r="KJ94" i="1"/>
  <c r="KJ93" i="1"/>
  <c r="KJ92" i="1"/>
  <c r="KJ91" i="1"/>
  <c r="KJ90" i="1"/>
  <c r="KJ89" i="1"/>
  <c r="KJ88" i="1"/>
  <c r="KJ87" i="1"/>
  <c r="KJ86" i="1"/>
  <c r="KJ85" i="1"/>
  <c r="KJ84" i="1"/>
  <c r="KJ83" i="1"/>
  <c r="KJ82" i="1"/>
  <c r="KJ81" i="1"/>
  <c r="KJ80" i="1"/>
  <c r="KJ79" i="1"/>
  <c r="KJ78" i="1"/>
  <c r="KJ77" i="1"/>
  <c r="KJ76" i="1"/>
  <c r="KJ75" i="1"/>
  <c r="KJ74" i="1"/>
  <c r="KJ73" i="1"/>
  <c r="KJ72" i="1"/>
  <c r="KJ71" i="1"/>
  <c r="KJ70" i="1"/>
  <c r="KJ69" i="1"/>
  <c r="KJ68" i="1"/>
  <c r="KJ67" i="1"/>
  <c r="KJ66" i="1"/>
  <c r="KJ65" i="1"/>
  <c r="KJ64" i="1"/>
  <c r="KJ63" i="1"/>
  <c r="KJ62" i="1"/>
  <c r="KJ61" i="1"/>
  <c r="KJ60" i="1"/>
  <c r="KJ59" i="1"/>
  <c r="KJ58" i="1"/>
  <c r="KJ57" i="1"/>
  <c r="KJ56" i="1"/>
  <c r="KJ55" i="1"/>
  <c r="KJ54" i="1"/>
  <c r="KJ53" i="1"/>
  <c r="KJ52" i="1"/>
  <c r="KJ51" i="1"/>
  <c r="KJ50" i="1"/>
  <c r="KJ49" i="1"/>
  <c r="KJ48" i="1"/>
  <c r="KJ47" i="1"/>
  <c r="KJ46" i="1"/>
  <c r="KJ45" i="1"/>
  <c r="KJ44" i="1"/>
  <c r="KJ43" i="1"/>
  <c r="KJ42" i="1"/>
  <c r="KJ41" i="1"/>
  <c r="KJ40" i="1"/>
  <c r="KJ39" i="1"/>
  <c r="KJ38" i="1"/>
  <c r="KJ37" i="1"/>
  <c r="KJ36" i="1"/>
  <c r="KJ35" i="1"/>
  <c r="KJ34" i="1"/>
  <c r="KJ33" i="1"/>
  <c r="KJ32" i="1"/>
  <c r="KJ31" i="1"/>
  <c r="KJ30" i="1"/>
  <c r="KJ29" i="1"/>
  <c r="KJ28" i="1"/>
  <c r="KJ27" i="1"/>
  <c r="KJ26" i="1"/>
  <c r="KJ25" i="1"/>
  <c r="KJ24" i="1"/>
  <c r="KJ23" i="1"/>
  <c r="KJ22" i="1"/>
  <c r="KJ21" i="1"/>
  <c r="KJ20" i="1"/>
  <c r="KJ19" i="1"/>
  <c r="KJ18" i="1"/>
  <c r="KJ17" i="1"/>
  <c r="KJ16" i="1"/>
  <c r="KJ15" i="1"/>
  <c r="KJ14" i="1"/>
  <c r="KJ13" i="1"/>
  <c r="KJ12" i="1"/>
  <c r="KJ11" i="1"/>
  <c r="KJ10" i="1"/>
  <c r="KJ9" i="1"/>
  <c r="KJ8" i="1"/>
  <c r="KJ7" i="1"/>
  <c r="KJ6" i="1"/>
  <c r="KJ5" i="1"/>
  <c r="KJ4" i="1"/>
  <c r="KW111" i="1"/>
  <c r="KW110" i="1"/>
  <c r="KW109" i="1"/>
  <c r="KW108" i="1"/>
  <c r="KW107" i="1"/>
  <c r="KW106" i="1"/>
  <c r="KW105" i="1"/>
  <c r="KW104" i="1"/>
  <c r="KW103" i="1"/>
  <c r="KW102" i="1"/>
  <c r="KW101" i="1"/>
  <c r="KW100" i="1"/>
  <c r="KW99" i="1"/>
  <c r="KW98" i="1"/>
  <c r="KW97" i="1"/>
  <c r="KW96" i="1"/>
  <c r="KW95" i="1"/>
  <c r="KW94" i="1"/>
  <c r="KW93" i="1"/>
  <c r="KW92" i="1"/>
  <c r="KW91" i="1"/>
  <c r="KW90" i="1"/>
  <c r="KW89" i="1"/>
  <c r="KW88" i="1"/>
  <c r="KW87" i="1"/>
  <c r="KW86" i="1"/>
  <c r="KW85" i="1"/>
  <c r="KW84" i="1"/>
  <c r="KW83" i="1"/>
  <c r="KW82" i="1"/>
  <c r="KW81" i="1"/>
  <c r="KW80" i="1"/>
  <c r="KW79" i="1"/>
  <c r="KW78" i="1"/>
  <c r="KW77" i="1"/>
  <c r="KW76" i="1"/>
  <c r="KW75" i="1"/>
  <c r="KW74" i="1"/>
  <c r="KW73" i="1"/>
  <c r="KW72" i="1"/>
  <c r="KW71" i="1"/>
  <c r="KW70" i="1"/>
  <c r="KW69" i="1"/>
  <c r="KW68" i="1"/>
  <c r="KW67" i="1"/>
  <c r="KW66" i="1"/>
  <c r="KW65" i="1"/>
  <c r="KW64" i="1"/>
  <c r="KW63" i="1"/>
  <c r="KW62" i="1"/>
  <c r="KW61" i="1"/>
  <c r="KW60" i="1"/>
  <c r="KW59" i="1"/>
  <c r="KW58" i="1"/>
  <c r="KW57" i="1"/>
  <c r="KW56" i="1"/>
  <c r="KW55" i="1"/>
  <c r="KW54" i="1"/>
  <c r="KW53" i="1"/>
  <c r="KW52" i="1"/>
  <c r="KW51" i="1"/>
  <c r="KW50" i="1"/>
  <c r="KW49" i="1"/>
  <c r="KW48" i="1"/>
  <c r="KW47" i="1"/>
  <c r="KW46" i="1"/>
  <c r="KW45" i="1"/>
  <c r="KW44" i="1"/>
  <c r="KW43" i="1"/>
  <c r="KW42" i="1"/>
  <c r="KW41" i="1"/>
  <c r="KW40" i="1"/>
  <c r="KW39" i="1"/>
  <c r="KW38" i="1"/>
  <c r="KW37" i="1"/>
  <c r="KW36" i="1"/>
  <c r="KW35" i="1"/>
  <c r="KW34" i="1"/>
  <c r="KW33" i="1"/>
  <c r="KW32" i="1"/>
  <c r="KW31" i="1"/>
  <c r="KW30" i="1"/>
  <c r="KW29" i="1"/>
  <c r="KW28" i="1"/>
  <c r="KW27" i="1"/>
  <c r="KW26" i="1"/>
  <c r="KW25" i="1"/>
  <c r="KW24" i="1"/>
  <c r="KW23" i="1"/>
  <c r="KW22" i="1"/>
  <c r="KW21" i="1"/>
  <c r="KW20" i="1"/>
  <c r="KW19" i="1"/>
  <c r="KW18" i="1"/>
  <c r="KW17" i="1"/>
  <c r="KW16" i="1"/>
  <c r="KW15" i="1"/>
  <c r="KW14" i="1"/>
  <c r="KW13" i="1"/>
  <c r="KW12" i="1"/>
  <c r="KW11" i="1"/>
  <c r="KW10" i="1"/>
  <c r="KW9" i="1"/>
  <c r="KW8" i="1"/>
  <c r="KW7" i="1"/>
  <c r="KW6" i="1"/>
  <c r="KW5" i="1"/>
  <c r="KW4" i="1"/>
  <c r="LJ111" i="1"/>
  <c r="LJ110" i="1"/>
  <c r="LJ109" i="1"/>
  <c r="LJ108" i="1"/>
  <c r="LJ107" i="1"/>
  <c r="LJ106" i="1"/>
  <c r="LJ105" i="1"/>
  <c r="LJ104" i="1"/>
  <c r="LJ103" i="1"/>
  <c r="LJ102" i="1"/>
  <c r="LJ101" i="1"/>
  <c r="LJ100" i="1"/>
  <c r="LJ99" i="1"/>
  <c r="LJ98" i="1"/>
  <c r="LJ97" i="1"/>
  <c r="LJ96" i="1"/>
  <c r="LJ95" i="1"/>
  <c r="LJ94" i="1"/>
  <c r="LJ93" i="1"/>
  <c r="LJ92" i="1"/>
  <c r="LJ91" i="1"/>
  <c r="LJ90" i="1"/>
  <c r="LJ89" i="1"/>
  <c r="LJ88" i="1"/>
  <c r="LJ87" i="1"/>
  <c r="LJ86" i="1"/>
  <c r="LJ85" i="1"/>
  <c r="LJ84" i="1"/>
  <c r="LJ83" i="1"/>
  <c r="LJ82" i="1"/>
  <c r="LJ81" i="1"/>
  <c r="LJ80" i="1"/>
  <c r="LJ79" i="1"/>
  <c r="LJ78" i="1"/>
  <c r="LJ77" i="1"/>
  <c r="LJ76" i="1"/>
  <c r="LJ75" i="1"/>
  <c r="LJ74" i="1"/>
  <c r="LJ73" i="1"/>
  <c r="LJ72" i="1"/>
  <c r="LJ71" i="1"/>
  <c r="LJ70" i="1"/>
  <c r="LJ69" i="1"/>
  <c r="LJ68" i="1"/>
  <c r="LJ67" i="1"/>
  <c r="LJ66" i="1"/>
  <c r="LJ65" i="1"/>
  <c r="LJ64" i="1"/>
  <c r="LJ63" i="1"/>
  <c r="LJ62" i="1"/>
  <c r="LJ61" i="1"/>
  <c r="LJ60" i="1"/>
  <c r="LJ59" i="1"/>
  <c r="LJ58" i="1"/>
  <c r="LJ57" i="1"/>
  <c r="LJ56" i="1"/>
  <c r="LJ55" i="1"/>
  <c r="LJ54" i="1"/>
  <c r="LJ53" i="1"/>
  <c r="LJ52" i="1"/>
  <c r="LJ51" i="1"/>
  <c r="LJ50" i="1"/>
  <c r="LJ49" i="1"/>
  <c r="LJ48" i="1"/>
  <c r="LJ47" i="1"/>
  <c r="LJ46" i="1"/>
  <c r="LJ45" i="1"/>
  <c r="LJ44" i="1"/>
  <c r="LJ43" i="1"/>
  <c r="LJ42" i="1"/>
  <c r="LJ41" i="1"/>
  <c r="LJ40" i="1"/>
  <c r="LJ39" i="1"/>
  <c r="LJ38" i="1"/>
  <c r="LJ37" i="1"/>
  <c r="LJ36" i="1"/>
  <c r="LJ35" i="1"/>
  <c r="LJ34" i="1"/>
  <c r="LJ33" i="1"/>
  <c r="LJ32" i="1"/>
  <c r="LJ31" i="1"/>
  <c r="LJ30" i="1"/>
  <c r="LJ29" i="1"/>
  <c r="LJ28" i="1"/>
  <c r="LJ27" i="1"/>
  <c r="LJ26" i="1"/>
  <c r="LJ25" i="1"/>
  <c r="LJ24" i="1"/>
  <c r="LJ23" i="1"/>
  <c r="LJ22" i="1"/>
  <c r="LJ21" i="1"/>
  <c r="LJ20" i="1"/>
  <c r="LJ19" i="1"/>
  <c r="LJ18" i="1"/>
  <c r="LJ17" i="1"/>
  <c r="LJ16" i="1"/>
  <c r="LJ15" i="1"/>
  <c r="LJ14" i="1"/>
  <c r="LJ13" i="1"/>
  <c r="LJ12" i="1"/>
  <c r="LJ11" i="1"/>
  <c r="LJ10" i="1"/>
  <c r="LJ9" i="1"/>
  <c r="LJ8" i="1"/>
  <c r="LJ7" i="1"/>
  <c r="LJ6" i="1"/>
  <c r="LJ5" i="1"/>
  <c r="LJ4" i="1"/>
  <c r="LW111" i="1"/>
  <c r="LW110" i="1"/>
  <c r="LW109" i="1"/>
  <c r="LW108" i="1"/>
  <c r="LW107" i="1"/>
  <c r="LW106" i="1"/>
  <c r="LW105" i="1"/>
  <c r="LW103" i="1"/>
  <c r="LW102" i="1"/>
  <c r="LW101" i="1"/>
  <c r="LW100" i="1"/>
  <c r="LW99" i="1"/>
  <c r="LW98" i="1"/>
  <c r="LW97" i="1"/>
  <c r="LW96" i="1"/>
  <c r="LW95" i="1"/>
  <c r="LW94" i="1"/>
  <c r="LW93" i="1"/>
  <c r="LW92" i="1"/>
  <c r="LW91" i="1"/>
  <c r="LW90" i="1"/>
  <c r="LW89" i="1"/>
  <c r="LW88" i="1"/>
  <c r="LW87" i="1"/>
  <c r="LW86" i="1"/>
  <c r="LW85" i="1"/>
  <c r="LW84" i="1"/>
  <c r="LW83" i="1"/>
  <c r="LW82" i="1"/>
  <c r="LW81" i="1"/>
  <c r="LW80" i="1"/>
  <c r="LW79" i="1"/>
  <c r="LW78" i="1"/>
  <c r="LW77" i="1"/>
  <c r="LW76" i="1"/>
  <c r="LW75" i="1"/>
  <c r="LW74" i="1"/>
  <c r="LW73" i="1"/>
  <c r="LW72" i="1"/>
  <c r="LW71" i="1"/>
  <c r="LW70" i="1"/>
  <c r="LW69" i="1"/>
  <c r="LW68" i="1"/>
  <c r="LW67" i="1"/>
  <c r="LW66" i="1"/>
  <c r="LW65" i="1"/>
  <c r="LW64" i="1"/>
  <c r="LW63" i="1"/>
  <c r="LW62" i="1"/>
  <c r="LW61" i="1"/>
  <c r="LW60" i="1"/>
  <c r="LW59" i="1"/>
  <c r="LW58" i="1"/>
  <c r="LW57" i="1"/>
  <c r="LW56" i="1"/>
  <c r="LW55" i="1"/>
  <c r="LW54" i="1"/>
  <c r="LW53" i="1"/>
  <c r="LW52" i="1"/>
  <c r="LW51" i="1"/>
  <c r="LW50" i="1"/>
  <c r="LW49" i="1"/>
  <c r="LW48" i="1"/>
  <c r="LW47" i="1"/>
  <c r="LW46" i="1"/>
  <c r="LW45" i="1"/>
  <c r="LW44" i="1"/>
  <c r="LW43" i="1"/>
  <c r="LW42" i="1"/>
  <c r="LW41" i="1"/>
  <c r="LW40" i="1"/>
  <c r="LW39" i="1"/>
  <c r="LW38" i="1"/>
  <c r="LW37" i="1"/>
  <c r="LW36" i="1"/>
  <c r="LW35" i="1"/>
  <c r="LW34" i="1"/>
  <c r="LW33" i="1"/>
  <c r="LW32" i="1"/>
  <c r="LW31" i="1"/>
  <c r="LW29" i="1"/>
  <c r="LW28" i="1"/>
  <c r="LW27" i="1"/>
  <c r="LW26" i="1"/>
  <c r="LW25" i="1"/>
  <c r="LW24" i="1"/>
  <c r="LW23" i="1"/>
  <c r="LW22" i="1"/>
  <c r="LW21" i="1"/>
  <c r="LW20" i="1"/>
  <c r="LW19" i="1"/>
  <c r="LW18" i="1"/>
  <c r="LW17" i="1"/>
  <c r="LW16" i="1"/>
  <c r="LW15" i="1"/>
  <c r="LW14" i="1"/>
  <c r="LW13" i="1"/>
  <c r="LW12" i="1"/>
  <c r="LW11" i="1"/>
  <c r="LW10" i="1"/>
  <c r="LW9" i="1"/>
  <c r="LW8" i="1"/>
  <c r="LW7" i="1"/>
  <c r="LW6" i="1"/>
  <c r="LW5" i="1"/>
  <c r="LW4" i="1"/>
  <c r="MJ111" i="1"/>
  <c r="MJ110" i="1"/>
  <c r="MJ109" i="1"/>
  <c r="MJ108" i="1"/>
  <c r="MJ107" i="1"/>
  <c r="MJ106" i="1"/>
  <c r="MJ105" i="1"/>
  <c r="MJ104" i="1"/>
  <c r="MJ103" i="1"/>
  <c r="MJ102" i="1"/>
  <c r="MJ101" i="1"/>
  <c r="MJ100" i="1"/>
  <c r="MJ99" i="1"/>
  <c r="MJ98" i="1"/>
  <c r="MJ97" i="1"/>
  <c r="MJ96" i="1"/>
  <c r="MJ95" i="1"/>
  <c r="MJ94" i="1"/>
  <c r="MJ93" i="1"/>
  <c r="MJ92" i="1"/>
  <c r="MJ91" i="1"/>
  <c r="MJ90" i="1"/>
  <c r="MJ89" i="1"/>
  <c r="MJ88" i="1"/>
  <c r="MJ87" i="1"/>
  <c r="MJ86" i="1"/>
  <c r="MJ85" i="1"/>
  <c r="MJ84" i="1"/>
  <c r="MJ83" i="1"/>
  <c r="MJ82" i="1"/>
  <c r="MJ81" i="1"/>
  <c r="MJ80" i="1"/>
  <c r="MJ79" i="1"/>
  <c r="MJ78" i="1"/>
  <c r="MJ77" i="1"/>
  <c r="MJ76" i="1"/>
  <c r="MJ75" i="1"/>
  <c r="MJ74" i="1"/>
  <c r="MJ73" i="1"/>
  <c r="MJ72" i="1"/>
  <c r="MJ71" i="1"/>
  <c r="MJ70" i="1"/>
  <c r="MJ69" i="1"/>
  <c r="MJ68" i="1"/>
  <c r="MJ67" i="1"/>
  <c r="MJ66" i="1"/>
  <c r="MJ65" i="1"/>
  <c r="MJ64" i="1"/>
  <c r="MJ63" i="1"/>
  <c r="MJ62" i="1"/>
  <c r="MJ61" i="1"/>
  <c r="MJ60" i="1"/>
  <c r="MJ59" i="1"/>
  <c r="MJ58" i="1"/>
  <c r="MJ57" i="1"/>
  <c r="MJ56" i="1"/>
  <c r="MJ55" i="1"/>
  <c r="MJ54" i="1"/>
  <c r="MJ53" i="1"/>
  <c r="MJ52" i="1"/>
  <c r="MJ51" i="1"/>
  <c r="MJ50" i="1"/>
  <c r="MJ49" i="1"/>
  <c r="MJ48" i="1"/>
  <c r="MJ47" i="1"/>
  <c r="MJ46" i="1"/>
  <c r="MJ45" i="1"/>
  <c r="MJ44" i="1"/>
  <c r="MJ43" i="1"/>
  <c r="MJ42" i="1"/>
  <c r="MJ41" i="1"/>
  <c r="MJ40" i="1"/>
  <c r="MJ39" i="1"/>
  <c r="MJ38" i="1"/>
  <c r="MJ37" i="1"/>
  <c r="MJ36" i="1"/>
  <c r="MJ35" i="1"/>
  <c r="MJ34" i="1"/>
  <c r="MJ33" i="1"/>
  <c r="MJ32" i="1"/>
  <c r="MJ31" i="1"/>
  <c r="MJ30" i="1"/>
  <c r="MJ29" i="1"/>
  <c r="MJ28" i="1"/>
  <c r="MJ27" i="1"/>
  <c r="MJ26" i="1"/>
  <c r="MJ25" i="1"/>
  <c r="MJ24" i="1"/>
  <c r="MJ23" i="1"/>
  <c r="MJ22" i="1"/>
  <c r="MJ21" i="1"/>
  <c r="MJ20" i="1"/>
  <c r="MJ19" i="1"/>
  <c r="MJ18" i="1"/>
  <c r="MJ17" i="1"/>
  <c r="MJ16" i="1"/>
  <c r="MJ15" i="1"/>
  <c r="MJ14" i="1"/>
  <c r="MJ13" i="1"/>
  <c r="MJ12" i="1"/>
  <c r="MJ10" i="1"/>
  <c r="MJ9" i="1"/>
  <c r="MJ8" i="1"/>
  <c r="MJ7" i="1"/>
  <c r="MJ6" i="1"/>
  <c r="MJ5" i="1"/>
  <c r="MJ4" i="1"/>
  <c r="MW111" i="1"/>
  <c r="MW110" i="1"/>
  <c r="MW109" i="1"/>
  <c r="MW108" i="1"/>
  <c r="MW107" i="1"/>
  <c r="MW106" i="1"/>
  <c r="MW105" i="1"/>
  <c r="MW104" i="1"/>
  <c r="MW103" i="1"/>
  <c r="MW102" i="1"/>
  <c r="MW101" i="1"/>
  <c r="MW100" i="1"/>
  <c r="MW99" i="1"/>
  <c r="MW98" i="1"/>
  <c r="MW97" i="1"/>
  <c r="MW96" i="1"/>
  <c r="MW95" i="1"/>
  <c r="MW94" i="1"/>
  <c r="MW93" i="1"/>
  <c r="MW92" i="1"/>
  <c r="MW91" i="1"/>
  <c r="MW90" i="1"/>
  <c r="MW89" i="1"/>
  <c r="MW88" i="1"/>
  <c r="MW87" i="1"/>
  <c r="MW86" i="1"/>
  <c r="MW85" i="1"/>
  <c r="MW84" i="1"/>
  <c r="MW83" i="1"/>
  <c r="MW82" i="1"/>
  <c r="MW81" i="1"/>
  <c r="MW80" i="1"/>
  <c r="MW79" i="1"/>
  <c r="MW78" i="1"/>
  <c r="MW77" i="1"/>
  <c r="MW76" i="1"/>
  <c r="MW75" i="1"/>
  <c r="MW74" i="1"/>
  <c r="MW73" i="1"/>
  <c r="MW72" i="1"/>
  <c r="MW71" i="1"/>
  <c r="MW70" i="1"/>
  <c r="MW69" i="1"/>
  <c r="MW68" i="1"/>
  <c r="MW67" i="1"/>
  <c r="MW66" i="1"/>
  <c r="MW65" i="1"/>
  <c r="MW64" i="1"/>
  <c r="MW63" i="1"/>
  <c r="MW62" i="1"/>
  <c r="MW61" i="1"/>
  <c r="MW60" i="1"/>
  <c r="MW59" i="1"/>
  <c r="MW58" i="1"/>
  <c r="MW57" i="1"/>
  <c r="MW56" i="1"/>
  <c r="MW55" i="1"/>
  <c r="MW54" i="1"/>
  <c r="MW53" i="1"/>
  <c r="MW52" i="1"/>
  <c r="MW51" i="1"/>
  <c r="MW50" i="1"/>
  <c r="MW49" i="1"/>
  <c r="MW48" i="1"/>
  <c r="MW47" i="1"/>
  <c r="MW46" i="1"/>
  <c r="MW45" i="1"/>
  <c r="MW44" i="1"/>
  <c r="MW43" i="1"/>
  <c r="MW42" i="1"/>
  <c r="MW41" i="1"/>
  <c r="MW40" i="1"/>
  <c r="MW39" i="1"/>
  <c r="MW38" i="1"/>
  <c r="MW37" i="1"/>
  <c r="MW36" i="1"/>
  <c r="MW35" i="1"/>
  <c r="MW34" i="1"/>
  <c r="MW33" i="1"/>
  <c r="MW32" i="1"/>
  <c r="MW31" i="1"/>
  <c r="MW30" i="1"/>
  <c r="MW29" i="1"/>
  <c r="MW28" i="1"/>
  <c r="MW27" i="1"/>
  <c r="MW26" i="1"/>
  <c r="MW25" i="1"/>
  <c r="MW24" i="1"/>
  <c r="MW23" i="1"/>
  <c r="MW22" i="1"/>
  <c r="MW21" i="1"/>
  <c r="MW20" i="1"/>
  <c r="MW19" i="1"/>
  <c r="MW18" i="1"/>
  <c r="MW17" i="1"/>
  <c r="MW16" i="1"/>
  <c r="MW15" i="1"/>
  <c r="MW14" i="1"/>
  <c r="MW13" i="1"/>
  <c r="MW12" i="1"/>
  <c r="MW11" i="1"/>
  <c r="MW10" i="1"/>
  <c r="MW9" i="1"/>
  <c r="MW8" i="1"/>
  <c r="MW7" i="1"/>
  <c r="MW6" i="1"/>
  <c r="MW5" i="1"/>
  <c r="MW4" i="1"/>
  <c r="NJ111" i="1"/>
  <c r="NJ110" i="1"/>
  <c r="NJ109" i="1"/>
  <c r="NJ108" i="1"/>
  <c r="NJ107" i="1"/>
  <c r="NJ106" i="1"/>
  <c r="NJ105" i="1"/>
  <c r="NJ104" i="1"/>
  <c r="NJ103" i="1"/>
  <c r="NJ102" i="1"/>
  <c r="NJ101" i="1"/>
  <c r="NJ100" i="1"/>
  <c r="NJ99" i="1"/>
  <c r="NJ98" i="1"/>
  <c r="NJ97" i="1"/>
  <c r="NJ96" i="1"/>
  <c r="NJ95" i="1"/>
  <c r="NJ94" i="1"/>
  <c r="NJ93" i="1"/>
  <c r="NJ92" i="1"/>
  <c r="NJ91" i="1"/>
  <c r="NJ90" i="1"/>
  <c r="NJ89" i="1"/>
  <c r="NJ88" i="1"/>
  <c r="NJ87" i="1"/>
  <c r="NJ86" i="1"/>
  <c r="NJ85" i="1"/>
  <c r="NJ84" i="1"/>
  <c r="NJ83" i="1"/>
  <c r="NJ82" i="1"/>
  <c r="NJ81" i="1"/>
  <c r="NJ80" i="1"/>
  <c r="NJ79" i="1"/>
  <c r="NJ78" i="1"/>
  <c r="NJ77" i="1"/>
  <c r="NJ76" i="1"/>
  <c r="NJ75" i="1"/>
  <c r="NJ74" i="1"/>
  <c r="NJ73" i="1"/>
  <c r="NJ72" i="1"/>
  <c r="NJ71" i="1"/>
  <c r="NJ70" i="1"/>
  <c r="NJ69" i="1"/>
  <c r="NJ68" i="1"/>
  <c r="NJ67" i="1"/>
  <c r="NJ66" i="1"/>
  <c r="NJ65" i="1"/>
  <c r="NJ64" i="1"/>
  <c r="NJ63" i="1"/>
  <c r="NJ62" i="1"/>
  <c r="NJ61" i="1"/>
  <c r="NJ60" i="1"/>
  <c r="NJ59" i="1"/>
  <c r="NJ58" i="1"/>
  <c r="NJ57" i="1"/>
  <c r="NJ56" i="1"/>
  <c r="NJ55" i="1"/>
  <c r="NJ54" i="1"/>
  <c r="NJ53" i="1"/>
  <c r="NJ52" i="1"/>
  <c r="NJ51" i="1"/>
  <c r="NJ50" i="1"/>
  <c r="NJ49" i="1"/>
  <c r="NJ48" i="1"/>
  <c r="NJ47" i="1"/>
  <c r="NJ46" i="1"/>
  <c r="NJ45" i="1"/>
  <c r="NJ44" i="1"/>
  <c r="NJ43" i="1"/>
  <c r="NJ42" i="1"/>
  <c r="NJ41" i="1"/>
  <c r="NJ40" i="1"/>
  <c r="NJ39" i="1"/>
  <c r="NJ38" i="1"/>
  <c r="NJ37" i="1"/>
  <c r="NJ36" i="1"/>
  <c r="NJ35" i="1"/>
  <c r="NJ34" i="1"/>
  <c r="NJ33" i="1"/>
  <c r="NJ32" i="1"/>
  <c r="NJ31" i="1"/>
  <c r="NJ30" i="1"/>
  <c r="NJ29" i="1"/>
  <c r="NJ28" i="1"/>
  <c r="NJ27" i="1"/>
  <c r="NJ26" i="1"/>
  <c r="NJ25" i="1"/>
  <c r="NJ24" i="1"/>
  <c r="NJ23" i="1"/>
  <c r="NJ22" i="1"/>
  <c r="NJ21" i="1"/>
  <c r="NJ20" i="1"/>
  <c r="NJ19" i="1"/>
  <c r="NJ18" i="1"/>
  <c r="NJ17" i="1"/>
  <c r="NJ16" i="1"/>
  <c r="NJ15" i="1"/>
  <c r="NJ14" i="1"/>
  <c r="NJ13" i="1"/>
  <c r="NJ12" i="1"/>
  <c r="NJ11" i="1"/>
  <c r="NJ10" i="1"/>
  <c r="NJ9" i="1"/>
  <c r="NJ8" i="1"/>
  <c r="NJ7" i="1"/>
  <c r="NJ6" i="1"/>
  <c r="NJ5" i="1"/>
  <c r="NJ4" i="1"/>
  <c r="NW111" i="1"/>
  <c r="NW110" i="1"/>
  <c r="NW109" i="1"/>
  <c r="NW108" i="1"/>
  <c r="NW107" i="1"/>
  <c r="NW106" i="1"/>
  <c r="NW105" i="1"/>
  <c r="NW104" i="1"/>
  <c r="NW103" i="1"/>
  <c r="NW102" i="1"/>
  <c r="NW101" i="1"/>
  <c r="NW100" i="1"/>
  <c r="NW99" i="1"/>
  <c r="NW98" i="1"/>
  <c r="NW97" i="1"/>
  <c r="NW96" i="1"/>
  <c r="NW95" i="1"/>
  <c r="NW94" i="1"/>
  <c r="NW93" i="1"/>
  <c r="NW92" i="1"/>
  <c r="NW91" i="1"/>
  <c r="NW90" i="1"/>
  <c r="NW89" i="1"/>
  <c r="NW88" i="1"/>
  <c r="NW87" i="1"/>
  <c r="NW86" i="1"/>
  <c r="NW85" i="1"/>
  <c r="NW84" i="1"/>
  <c r="NW83" i="1"/>
  <c r="NW82" i="1"/>
  <c r="NW81" i="1"/>
  <c r="NW80" i="1"/>
  <c r="NW79" i="1"/>
  <c r="NW78" i="1"/>
  <c r="NW77" i="1"/>
  <c r="NW76" i="1"/>
  <c r="NW75" i="1"/>
  <c r="NW74" i="1"/>
  <c r="NW73" i="1"/>
  <c r="NW72" i="1"/>
  <c r="NW71" i="1"/>
  <c r="NW70" i="1"/>
  <c r="NW69" i="1"/>
  <c r="NW68" i="1"/>
  <c r="NW67" i="1"/>
  <c r="NW66" i="1"/>
  <c r="NW65" i="1"/>
  <c r="NW64" i="1"/>
  <c r="NW63" i="1"/>
  <c r="NW62" i="1"/>
  <c r="NW61" i="1"/>
  <c r="NW60" i="1"/>
  <c r="NW59" i="1"/>
  <c r="NW58" i="1"/>
  <c r="NW57" i="1"/>
  <c r="NW56" i="1"/>
  <c r="NW55" i="1"/>
  <c r="NW54" i="1"/>
  <c r="NW53" i="1"/>
  <c r="NW52" i="1"/>
  <c r="NW51" i="1"/>
  <c r="NW50" i="1"/>
  <c r="NW49" i="1"/>
  <c r="NW48" i="1"/>
  <c r="NW47" i="1"/>
  <c r="NW46" i="1"/>
  <c r="NW45" i="1"/>
  <c r="NW44" i="1"/>
  <c r="NW43" i="1"/>
  <c r="NW42" i="1"/>
  <c r="NW41" i="1"/>
  <c r="NW40" i="1"/>
  <c r="NW39" i="1"/>
  <c r="NW38" i="1"/>
  <c r="NW37" i="1"/>
  <c r="NW36" i="1"/>
  <c r="NW35" i="1"/>
  <c r="NW34" i="1"/>
  <c r="NW33" i="1"/>
  <c r="NW32" i="1"/>
  <c r="NW31" i="1"/>
  <c r="NW30" i="1"/>
  <c r="NW29" i="1"/>
  <c r="NW28" i="1"/>
  <c r="NW27" i="1"/>
  <c r="NW26" i="1"/>
  <c r="NW25" i="1"/>
  <c r="NW24" i="1"/>
  <c r="NW23" i="1"/>
  <c r="NW22" i="1"/>
  <c r="NW21" i="1"/>
  <c r="NW20" i="1"/>
  <c r="NW19" i="1"/>
  <c r="NW18" i="1"/>
  <c r="NW17" i="1"/>
  <c r="NW16" i="1"/>
  <c r="NW15" i="1"/>
  <c r="NW14" i="1"/>
  <c r="NW13" i="1"/>
  <c r="NW12" i="1"/>
  <c r="NW11" i="1"/>
  <c r="NW10" i="1"/>
  <c r="NW9" i="1"/>
  <c r="NW8" i="1"/>
  <c r="NW7" i="1"/>
  <c r="NW6" i="1"/>
  <c r="NW5" i="1"/>
  <c r="NW4" i="1"/>
  <c r="OJ111" i="1"/>
  <c r="OJ110" i="1"/>
  <c r="OJ109" i="1"/>
  <c r="OJ108" i="1"/>
  <c r="OJ107" i="1"/>
  <c r="OJ106" i="1"/>
  <c r="OJ105" i="1"/>
  <c r="OJ104" i="1"/>
  <c r="OJ103" i="1"/>
  <c r="OJ102" i="1"/>
  <c r="OJ101" i="1"/>
  <c r="OJ100" i="1"/>
  <c r="OJ99" i="1"/>
  <c r="OJ98" i="1"/>
  <c r="OJ97" i="1"/>
  <c r="OJ96" i="1"/>
  <c r="OJ95" i="1"/>
  <c r="OJ94" i="1"/>
  <c r="OJ93" i="1"/>
  <c r="OJ92" i="1"/>
  <c r="OJ91" i="1"/>
  <c r="OJ90" i="1"/>
  <c r="OJ89" i="1"/>
  <c r="OJ88" i="1"/>
  <c r="OJ87" i="1"/>
  <c r="OJ86" i="1"/>
  <c r="OJ85" i="1"/>
  <c r="OJ84" i="1"/>
  <c r="OJ83" i="1"/>
  <c r="OJ82" i="1"/>
  <c r="OJ81" i="1"/>
  <c r="OJ80" i="1"/>
  <c r="OJ79" i="1"/>
  <c r="OJ78" i="1"/>
  <c r="OJ77" i="1"/>
  <c r="OJ76" i="1"/>
  <c r="OJ75" i="1"/>
  <c r="OJ74" i="1"/>
  <c r="OJ73" i="1"/>
  <c r="OJ72" i="1"/>
  <c r="OJ71" i="1"/>
  <c r="OJ70" i="1"/>
  <c r="OJ69" i="1"/>
  <c r="OJ68" i="1"/>
  <c r="OJ67" i="1"/>
  <c r="OJ66" i="1"/>
  <c r="OJ65" i="1"/>
  <c r="OJ64" i="1"/>
  <c r="OJ63" i="1"/>
  <c r="OJ62" i="1"/>
  <c r="OJ61" i="1"/>
  <c r="OJ60" i="1"/>
  <c r="OJ59" i="1"/>
  <c r="OJ58" i="1"/>
  <c r="OJ57" i="1"/>
  <c r="OJ56" i="1"/>
  <c r="OJ55" i="1"/>
  <c r="OJ54" i="1"/>
  <c r="OJ53" i="1"/>
  <c r="OJ52" i="1"/>
  <c r="OJ51" i="1"/>
  <c r="OJ50" i="1"/>
  <c r="OJ49" i="1"/>
  <c r="OJ48" i="1"/>
  <c r="OJ47" i="1"/>
  <c r="OJ46" i="1"/>
  <c r="OJ45" i="1"/>
  <c r="OJ44" i="1"/>
  <c r="OJ43" i="1"/>
  <c r="OJ42" i="1"/>
  <c r="OJ41" i="1"/>
  <c r="OJ40" i="1"/>
  <c r="OJ39" i="1"/>
  <c r="OJ38" i="1"/>
  <c r="OJ37" i="1"/>
  <c r="OJ36" i="1"/>
  <c r="OJ35" i="1"/>
  <c r="OJ34" i="1"/>
  <c r="OJ33" i="1"/>
  <c r="OJ32" i="1"/>
  <c r="OJ31" i="1"/>
  <c r="OJ30" i="1"/>
  <c r="OJ29" i="1"/>
  <c r="OJ28" i="1"/>
  <c r="OJ27" i="1"/>
  <c r="OJ26" i="1"/>
  <c r="OJ25" i="1"/>
  <c r="OJ24" i="1"/>
  <c r="OJ23" i="1"/>
  <c r="OJ22" i="1"/>
  <c r="OJ21" i="1"/>
  <c r="OJ20" i="1"/>
  <c r="OJ19" i="1"/>
  <c r="OJ18" i="1"/>
  <c r="OJ17" i="1"/>
  <c r="OJ16" i="1"/>
  <c r="OJ15" i="1"/>
  <c r="OJ14" i="1"/>
  <c r="OJ13" i="1"/>
  <c r="OJ12" i="1"/>
  <c r="OJ11" i="1"/>
  <c r="OJ10" i="1"/>
  <c r="OJ9" i="1"/>
  <c r="OJ8" i="1"/>
  <c r="OJ7" i="1"/>
  <c r="OJ6" i="1"/>
  <c r="OJ5" i="1"/>
  <c r="OJ4" i="1"/>
  <c r="OW111" i="1"/>
  <c r="OW110" i="1"/>
  <c r="OW109" i="1"/>
  <c r="OW108" i="1"/>
  <c r="OW107" i="1"/>
  <c r="OW106" i="1"/>
  <c r="OW105" i="1"/>
  <c r="OW104" i="1"/>
  <c r="OW103" i="1"/>
  <c r="OW102" i="1"/>
  <c r="OW101" i="1"/>
  <c r="OW100" i="1"/>
  <c r="OW99" i="1"/>
  <c r="OW98" i="1"/>
  <c r="OW97" i="1"/>
  <c r="OW96" i="1"/>
  <c r="OW95" i="1"/>
  <c r="OW94" i="1"/>
  <c r="OW93" i="1"/>
  <c r="OW92" i="1"/>
  <c r="OW91" i="1"/>
  <c r="OW90" i="1"/>
  <c r="OW89" i="1"/>
  <c r="OW88" i="1"/>
  <c r="OW87" i="1"/>
  <c r="OW86" i="1"/>
  <c r="OW85" i="1"/>
  <c r="OW84" i="1"/>
  <c r="OW83" i="1"/>
  <c r="OW82" i="1"/>
  <c r="OW81" i="1"/>
  <c r="OW80" i="1"/>
  <c r="OW79" i="1"/>
  <c r="OW78" i="1"/>
  <c r="OW77" i="1"/>
  <c r="OW76" i="1"/>
  <c r="OW75" i="1"/>
  <c r="OW74" i="1"/>
  <c r="OW73" i="1"/>
  <c r="OW72" i="1"/>
  <c r="OW71" i="1"/>
  <c r="OW70" i="1"/>
  <c r="OW69" i="1"/>
  <c r="OW68" i="1"/>
  <c r="OW67" i="1"/>
  <c r="OW66" i="1"/>
  <c r="OW65" i="1"/>
  <c r="OW64" i="1"/>
  <c r="OW63" i="1"/>
  <c r="OW62" i="1"/>
  <c r="OW61" i="1"/>
  <c r="OW60" i="1"/>
  <c r="OW59" i="1"/>
  <c r="OW58" i="1"/>
  <c r="OW57" i="1"/>
  <c r="OW56" i="1"/>
  <c r="OW55" i="1"/>
  <c r="OW54" i="1"/>
  <c r="OW53" i="1"/>
  <c r="OW52" i="1"/>
  <c r="OW51" i="1"/>
  <c r="OW50" i="1"/>
  <c r="OW49" i="1"/>
  <c r="OW48" i="1"/>
  <c r="OW47" i="1"/>
  <c r="OW46" i="1"/>
  <c r="OW45" i="1"/>
  <c r="OW44" i="1"/>
  <c r="OW43" i="1"/>
  <c r="OW42" i="1"/>
  <c r="OW41" i="1"/>
  <c r="OW40" i="1"/>
  <c r="OW39" i="1"/>
  <c r="OW38" i="1"/>
  <c r="OW37" i="1"/>
  <c r="OW36" i="1"/>
  <c r="OW35" i="1"/>
  <c r="OW34" i="1"/>
  <c r="OW33" i="1"/>
  <c r="OW32" i="1"/>
  <c r="OW31" i="1"/>
  <c r="OW30" i="1"/>
  <c r="OW29" i="1"/>
  <c r="OW28" i="1"/>
  <c r="OW27" i="1"/>
  <c r="OW26" i="1"/>
  <c r="OW25" i="1"/>
  <c r="OW24" i="1"/>
  <c r="OW23" i="1"/>
  <c r="OW22" i="1"/>
  <c r="OW21" i="1"/>
  <c r="OW20" i="1"/>
  <c r="OW19" i="1"/>
  <c r="OW18" i="1"/>
  <c r="OW17" i="1"/>
  <c r="OW16" i="1"/>
  <c r="OW15" i="1"/>
  <c r="OW14" i="1"/>
  <c r="OW13" i="1"/>
  <c r="OW12" i="1"/>
  <c r="OW11" i="1"/>
  <c r="OW10" i="1"/>
  <c r="OW9" i="1"/>
  <c r="OW8" i="1"/>
  <c r="OW7" i="1"/>
  <c r="OW6" i="1"/>
  <c r="OW5" i="1"/>
  <c r="OW4" i="1"/>
  <c r="PJ111" i="1"/>
  <c r="PJ110" i="1"/>
  <c r="PJ109" i="1"/>
  <c r="PJ108" i="1"/>
  <c r="PJ107" i="1"/>
  <c r="PJ106" i="1"/>
  <c r="PJ105" i="1"/>
  <c r="PJ104" i="1"/>
  <c r="PJ103" i="1"/>
  <c r="PJ102" i="1"/>
  <c r="PJ101" i="1"/>
  <c r="PJ100" i="1"/>
  <c r="PJ99" i="1"/>
  <c r="PJ98" i="1"/>
  <c r="PJ97" i="1"/>
  <c r="PJ96" i="1"/>
  <c r="PJ95" i="1"/>
  <c r="PJ94" i="1"/>
  <c r="PJ93" i="1"/>
  <c r="PJ92" i="1"/>
  <c r="PJ91" i="1"/>
  <c r="PJ90" i="1"/>
  <c r="PJ89" i="1"/>
  <c r="PJ88" i="1"/>
  <c r="PJ87" i="1"/>
  <c r="PJ86" i="1"/>
  <c r="PJ85" i="1"/>
  <c r="PJ84" i="1"/>
  <c r="PJ83" i="1"/>
  <c r="PJ82" i="1"/>
  <c r="PJ81" i="1"/>
  <c r="PJ80" i="1"/>
  <c r="PJ79" i="1"/>
  <c r="PJ78" i="1"/>
  <c r="PJ77" i="1"/>
  <c r="PJ76" i="1"/>
  <c r="PJ75" i="1"/>
  <c r="PJ74" i="1"/>
  <c r="PJ73" i="1"/>
  <c r="PJ72" i="1"/>
  <c r="PJ71" i="1"/>
  <c r="PJ70" i="1"/>
  <c r="PJ69" i="1"/>
  <c r="PJ68" i="1"/>
  <c r="PJ67" i="1"/>
  <c r="PJ66" i="1"/>
  <c r="PJ65" i="1"/>
  <c r="PJ64" i="1"/>
  <c r="PJ63" i="1"/>
  <c r="PJ62" i="1"/>
  <c r="PJ61" i="1"/>
  <c r="PJ60" i="1"/>
  <c r="PJ59" i="1"/>
  <c r="PJ58" i="1"/>
  <c r="PJ57" i="1"/>
  <c r="PJ56" i="1"/>
  <c r="PJ55" i="1"/>
  <c r="PJ54" i="1"/>
  <c r="PJ53" i="1"/>
  <c r="PJ52" i="1"/>
  <c r="PJ51" i="1"/>
  <c r="PJ50" i="1"/>
  <c r="PJ49" i="1"/>
  <c r="PJ48" i="1"/>
  <c r="PJ47" i="1"/>
  <c r="PJ46" i="1"/>
  <c r="PJ45" i="1"/>
  <c r="PJ44" i="1"/>
  <c r="PJ43" i="1"/>
  <c r="PJ42" i="1"/>
  <c r="PJ41" i="1"/>
  <c r="PJ40" i="1"/>
  <c r="PJ39" i="1"/>
  <c r="PJ38" i="1"/>
  <c r="PJ37" i="1"/>
  <c r="PJ36" i="1"/>
  <c r="PJ35" i="1"/>
  <c r="PJ34" i="1"/>
  <c r="PJ33" i="1"/>
  <c r="PJ32" i="1"/>
  <c r="PJ31" i="1"/>
  <c r="PJ30" i="1"/>
  <c r="PJ29" i="1"/>
  <c r="PJ28" i="1"/>
  <c r="PJ27" i="1"/>
  <c r="PJ26" i="1"/>
  <c r="PJ25" i="1"/>
  <c r="PJ24" i="1"/>
  <c r="PJ23" i="1"/>
  <c r="PJ22" i="1"/>
  <c r="PJ21" i="1"/>
  <c r="PJ20" i="1"/>
  <c r="PJ19" i="1"/>
  <c r="PJ18" i="1"/>
  <c r="PJ17" i="1"/>
  <c r="PJ16" i="1"/>
  <c r="PJ15" i="1"/>
  <c r="PJ14" i="1"/>
  <c r="PJ13" i="1"/>
  <c r="PJ12" i="1"/>
  <c r="PJ11" i="1"/>
  <c r="PJ10" i="1"/>
  <c r="PJ9" i="1"/>
  <c r="PJ8" i="1"/>
  <c r="PJ7" i="1"/>
  <c r="PJ6" i="1"/>
  <c r="PJ5" i="1"/>
  <c r="PJ4" i="1"/>
  <c r="PW111" i="1"/>
  <c r="PW110" i="1"/>
  <c r="PW109" i="1"/>
  <c r="PW108" i="1"/>
  <c r="PW107" i="1"/>
  <c r="PW106" i="1"/>
  <c r="PW105" i="1"/>
  <c r="PW104" i="1"/>
  <c r="PW103" i="1"/>
  <c r="PW102" i="1"/>
  <c r="PW101" i="1"/>
  <c r="PW100" i="1"/>
  <c r="PW99" i="1"/>
  <c r="PW98" i="1"/>
  <c r="PW97" i="1"/>
  <c r="PW96" i="1"/>
  <c r="PW95" i="1"/>
  <c r="PW94" i="1"/>
  <c r="PW93" i="1"/>
  <c r="PW92" i="1"/>
  <c r="PW91" i="1"/>
  <c r="PW90" i="1"/>
  <c r="PW89" i="1"/>
  <c r="PW88" i="1"/>
  <c r="PW87" i="1"/>
  <c r="PW86" i="1"/>
  <c r="PW85" i="1"/>
  <c r="PW84" i="1"/>
  <c r="PW83" i="1"/>
  <c r="PW82" i="1"/>
  <c r="PW81" i="1"/>
  <c r="PW80" i="1"/>
  <c r="PW79" i="1"/>
  <c r="PW78" i="1"/>
  <c r="PW77" i="1"/>
  <c r="PW76" i="1"/>
  <c r="PW75" i="1"/>
  <c r="PW74" i="1"/>
  <c r="PW73" i="1"/>
  <c r="PW72" i="1"/>
  <c r="PW71" i="1"/>
  <c r="PW70" i="1"/>
  <c r="PW69" i="1"/>
  <c r="PW68" i="1"/>
  <c r="PW67" i="1"/>
  <c r="PW66" i="1"/>
  <c r="PW65" i="1"/>
  <c r="PW64" i="1"/>
  <c r="PW63" i="1"/>
  <c r="PW62" i="1"/>
  <c r="PW61" i="1"/>
  <c r="PW60" i="1"/>
  <c r="PW59" i="1"/>
  <c r="PW58" i="1"/>
  <c r="PW57" i="1"/>
  <c r="PW56" i="1"/>
  <c r="PW55" i="1"/>
  <c r="PW54" i="1"/>
  <c r="PW53" i="1"/>
  <c r="PW52" i="1"/>
  <c r="PW51" i="1"/>
  <c r="PW50" i="1"/>
  <c r="PW49" i="1"/>
  <c r="PW48" i="1"/>
  <c r="PW47" i="1"/>
  <c r="PW46" i="1"/>
  <c r="PW45" i="1"/>
  <c r="PW44" i="1"/>
  <c r="PW43" i="1"/>
  <c r="PW42" i="1"/>
  <c r="PW41" i="1"/>
  <c r="PW40" i="1"/>
  <c r="PW39" i="1"/>
  <c r="PW38" i="1"/>
  <c r="PW37" i="1"/>
  <c r="PW36" i="1"/>
  <c r="PW35" i="1"/>
  <c r="PW34" i="1"/>
  <c r="PW33" i="1"/>
  <c r="PW32" i="1"/>
  <c r="PW31" i="1"/>
  <c r="PW30" i="1"/>
  <c r="PW29" i="1"/>
  <c r="PW28" i="1"/>
  <c r="PW27" i="1"/>
  <c r="PW26" i="1"/>
  <c r="PW25" i="1"/>
  <c r="PW24" i="1"/>
  <c r="PW23" i="1"/>
  <c r="PW22" i="1"/>
  <c r="PW21" i="1"/>
  <c r="PW20" i="1"/>
  <c r="PW19" i="1"/>
  <c r="PW18" i="1"/>
  <c r="PW17" i="1"/>
  <c r="PW16" i="1"/>
  <c r="PW15" i="1"/>
  <c r="PW14" i="1"/>
  <c r="PW13" i="1"/>
  <c r="PW12" i="1"/>
  <c r="PW11" i="1"/>
  <c r="PW10" i="1"/>
  <c r="PW9" i="1"/>
  <c r="PW8" i="1"/>
  <c r="PW7" i="1"/>
  <c r="PW6" i="1"/>
  <c r="PW5" i="1"/>
  <c r="PW4" i="1"/>
  <c r="QJ111" i="1"/>
  <c r="QJ110" i="1"/>
  <c r="QJ109" i="1"/>
  <c r="QJ108" i="1"/>
  <c r="QJ107" i="1"/>
  <c r="QJ106" i="1"/>
  <c r="QJ105" i="1"/>
  <c r="QJ104" i="1"/>
  <c r="QJ103" i="1"/>
  <c r="QJ102" i="1"/>
  <c r="QJ101" i="1"/>
  <c r="QJ100" i="1"/>
  <c r="QJ99" i="1"/>
  <c r="QJ98" i="1"/>
  <c r="QJ97" i="1"/>
  <c r="QJ96" i="1"/>
  <c r="QJ95" i="1"/>
  <c r="QJ94" i="1"/>
  <c r="QJ93" i="1"/>
  <c r="QJ92" i="1"/>
  <c r="QJ91" i="1"/>
  <c r="QJ90" i="1"/>
  <c r="QJ89" i="1"/>
  <c r="QJ88" i="1"/>
  <c r="QJ87" i="1"/>
  <c r="QJ86" i="1"/>
  <c r="QJ85" i="1"/>
  <c r="QJ84" i="1"/>
  <c r="QJ83" i="1"/>
  <c r="QJ82" i="1"/>
  <c r="QJ81" i="1"/>
  <c r="QJ80" i="1"/>
  <c r="QJ79" i="1"/>
  <c r="QJ78" i="1"/>
  <c r="QJ77" i="1"/>
  <c r="QJ76" i="1"/>
  <c r="QJ75" i="1"/>
  <c r="QJ74" i="1"/>
  <c r="QJ73" i="1"/>
  <c r="QJ72" i="1"/>
  <c r="QJ71" i="1"/>
  <c r="QJ70" i="1"/>
  <c r="QJ69" i="1"/>
  <c r="QJ68" i="1"/>
  <c r="QJ67" i="1"/>
  <c r="QJ66" i="1"/>
  <c r="QJ65" i="1"/>
  <c r="QJ64" i="1"/>
  <c r="QJ63" i="1"/>
  <c r="QJ62" i="1"/>
  <c r="QJ61" i="1"/>
  <c r="QJ60" i="1"/>
  <c r="QJ59" i="1"/>
  <c r="QJ58" i="1"/>
  <c r="QJ57" i="1"/>
  <c r="QJ56" i="1"/>
  <c r="QJ55" i="1"/>
  <c r="QJ54" i="1"/>
  <c r="QJ53" i="1"/>
  <c r="QJ52" i="1"/>
  <c r="QJ51" i="1"/>
  <c r="QJ50" i="1"/>
  <c r="QJ49" i="1"/>
  <c r="QJ48" i="1"/>
  <c r="QJ47" i="1"/>
  <c r="QJ46" i="1"/>
  <c r="QJ45" i="1"/>
  <c r="QJ44" i="1"/>
  <c r="QJ43" i="1"/>
  <c r="QJ42" i="1"/>
  <c r="QJ41" i="1"/>
  <c r="QJ40" i="1"/>
  <c r="QJ39" i="1"/>
  <c r="QJ38" i="1"/>
  <c r="QJ37" i="1"/>
  <c r="QJ36" i="1"/>
  <c r="QJ35" i="1"/>
  <c r="QJ34" i="1"/>
  <c r="QJ33" i="1"/>
  <c r="QJ32" i="1"/>
  <c r="QJ31" i="1"/>
  <c r="QJ30" i="1"/>
  <c r="QJ29" i="1"/>
  <c r="QJ28" i="1"/>
  <c r="QJ27" i="1"/>
  <c r="QJ26" i="1"/>
  <c r="QJ25" i="1"/>
  <c r="QJ24" i="1"/>
  <c r="QJ23" i="1"/>
  <c r="QJ22" i="1"/>
  <c r="QJ21" i="1"/>
  <c r="QJ20" i="1"/>
  <c r="QJ19" i="1"/>
  <c r="QJ18" i="1"/>
  <c r="QJ17" i="1"/>
  <c r="QJ16" i="1"/>
  <c r="QJ15" i="1"/>
  <c r="QJ14" i="1"/>
  <c r="QJ13" i="1"/>
  <c r="QJ12" i="1"/>
  <c r="QJ11" i="1"/>
  <c r="QJ10" i="1"/>
  <c r="QJ9" i="1"/>
  <c r="QJ8" i="1"/>
  <c r="QJ7" i="1"/>
  <c r="QJ6" i="1"/>
  <c r="QJ5" i="1"/>
  <c r="QJ4" i="1"/>
  <c r="QW111" i="1"/>
  <c r="QW110" i="1"/>
  <c r="QW109" i="1"/>
  <c r="QW108" i="1"/>
  <c r="QW107" i="1"/>
  <c r="QW106" i="1"/>
  <c r="QW105" i="1"/>
  <c r="QW104" i="1"/>
  <c r="QW103" i="1"/>
  <c r="QW102" i="1"/>
  <c r="QW101" i="1"/>
  <c r="QW100" i="1"/>
  <c r="QW99" i="1"/>
  <c r="QW98" i="1"/>
  <c r="QW97" i="1"/>
  <c r="QW96" i="1"/>
  <c r="QW95" i="1"/>
  <c r="QW94" i="1"/>
  <c r="QW93" i="1"/>
  <c r="QW92" i="1"/>
  <c r="QW91" i="1"/>
  <c r="QW90" i="1"/>
  <c r="QW89" i="1"/>
  <c r="QW88" i="1"/>
  <c r="QW87" i="1"/>
  <c r="QW86" i="1"/>
  <c r="QW85" i="1"/>
  <c r="QW84" i="1"/>
  <c r="QW83" i="1"/>
  <c r="QW82" i="1"/>
  <c r="QW81" i="1"/>
  <c r="QW80" i="1"/>
  <c r="QW79" i="1"/>
  <c r="QW78" i="1"/>
  <c r="QW77" i="1"/>
  <c r="QW76" i="1"/>
  <c r="QW75" i="1"/>
  <c r="QW74" i="1"/>
  <c r="QW73" i="1"/>
  <c r="QW72" i="1"/>
  <c r="QW71" i="1"/>
  <c r="QW70" i="1"/>
  <c r="QW69" i="1"/>
  <c r="QW68" i="1"/>
  <c r="QW67" i="1"/>
  <c r="QW66" i="1"/>
  <c r="QW65" i="1"/>
  <c r="QW64" i="1"/>
  <c r="QW63" i="1"/>
  <c r="QW62" i="1"/>
  <c r="QW61" i="1"/>
  <c r="QW60" i="1"/>
  <c r="QW59" i="1"/>
  <c r="QW58" i="1"/>
  <c r="QW57" i="1"/>
  <c r="QW56" i="1"/>
  <c r="QW55" i="1"/>
  <c r="QW54" i="1"/>
  <c r="QW53" i="1"/>
  <c r="QW52" i="1"/>
  <c r="QW51" i="1"/>
  <c r="QW50" i="1"/>
  <c r="QW49" i="1"/>
  <c r="QW48" i="1"/>
  <c r="QW47" i="1"/>
  <c r="QW46" i="1"/>
  <c r="QW45" i="1"/>
  <c r="QW44" i="1"/>
  <c r="QW43" i="1"/>
  <c r="QW42" i="1"/>
  <c r="QW41" i="1"/>
  <c r="QW40" i="1"/>
  <c r="QW39" i="1"/>
  <c r="QW38" i="1"/>
  <c r="QW37" i="1"/>
  <c r="QW36" i="1"/>
  <c r="QW35" i="1"/>
  <c r="QW34" i="1"/>
  <c r="QW33" i="1"/>
  <c r="QW32" i="1"/>
  <c r="QW31" i="1"/>
  <c r="QW30" i="1"/>
  <c r="QW29" i="1"/>
  <c r="QW28" i="1"/>
  <c r="QW27" i="1"/>
  <c r="QW26" i="1"/>
  <c r="QW25" i="1"/>
  <c r="QW24" i="1"/>
  <c r="QW23" i="1"/>
  <c r="QW22" i="1"/>
  <c r="QW21" i="1"/>
  <c r="QW20" i="1"/>
  <c r="QW19" i="1"/>
  <c r="QW18" i="1"/>
  <c r="QW17" i="1"/>
  <c r="QW16" i="1"/>
  <c r="QW15" i="1"/>
  <c r="QW14" i="1"/>
  <c r="QW13" i="1"/>
  <c r="QW12" i="1"/>
  <c r="QW11" i="1"/>
  <c r="QW10" i="1"/>
  <c r="QW9" i="1"/>
  <c r="QW8" i="1"/>
  <c r="QW7" i="1"/>
  <c r="QW6" i="1"/>
  <c r="QW5" i="1"/>
  <c r="QW4" i="1"/>
  <c r="RJ111" i="1"/>
  <c r="RJ110" i="1"/>
  <c r="RJ109" i="1"/>
  <c r="RJ108" i="1"/>
  <c r="RJ107" i="1"/>
  <c r="RJ106" i="1"/>
  <c r="RJ105" i="1"/>
  <c r="RJ104" i="1"/>
  <c r="RJ103" i="1"/>
  <c r="RJ102" i="1"/>
  <c r="RJ101" i="1"/>
  <c r="RJ100" i="1"/>
  <c r="RJ99" i="1"/>
  <c r="RJ98" i="1"/>
  <c r="RJ97" i="1"/>
  <c r="RJ96" i="1"/>
  <c r="RJ95" i="1"/>
  <c r="RJ94" i="1"/>
  <c r="RJ93" i="1"/>
  <c r="RJ92" i="1"/>
  <c r="RJ91" i="1"/>
  <c r="RJ90" i="1"/>
  <c r="RJ89" i="1"/>
  <c r="RJ88" i="1"/>
  <c r="RJ87" i="1"/>
  <c r="RJ86" i="1"/>
  <c r="RJ85" i="1"/>
  <c r="RJ84" i="1"/>
  <c r="RJ83" i="1"/>
  <c r="RJ82" i="1"/>
  <c r="RJ81" i="1"/>
  <c r="RJ80" i="1"/>
  <c r="RJ79" i="1"/>
  <c r="RJ78" i="1"/>
  <c r="RJ77" i="1"/>
  <c r="RJ76" i="1"/>
  <c r="RJ75" i="1"/>
  <c r="RJ74" i="1"/>
  <c r="RJ73" i="1"/>
  <c r="RJ72" i="1"/>
  <c r="RJ71" i="1"/>
  <c r="RJ70" i="1"/>
  <c r="RJ69" i="1"/>
  <c r="RJ68" i="1"/>
  <c r="RJ67" i="1"/>
  <c r="RJ66" i="1"/>
  <c r="RJ65" i="1"/>
  <c r="RJ64" i="1"/>
  <c r="RJ63" i="1"/>
  <c r="RJ62" i="1"/>
  <c r="RJ61" i="1"/>
  <c r="RJ60" i="1"/>
  <c r="RJ59" i="1"/>
  <c r="RJ58" i="1"/>
  <c r="RJ57" i="1"/>
  <c r="RJ56" i="1"/>
  <c r="RJ55" i="1"/>
  <c r="RJ54" i="1"/>
  <c r="RJ53" i="1"/>
  <c r="RJ52" i="1"/>
  <c r="RJ51" i="1"/>
  <c r="RJ50" i="1"/>
  <c r="RJ49" i="1"/>
  <c r="RJ48" i="1"/>
  <c r="RJ47" i="1"/>
  <c r="RJ46" i="1"/>
  <c r="RJ45" i="1"/>
  <c r="RJ44" i="1"/>
  <c r="RJ43" i="1"/>
  <c r="RJ42" i="1"/>
  <c r="RJ41" i="1"/>
  <c r="RJ40" i="1"/>
  <c r="RJ39" i="1"/>
  <c r="RJ38" i="1"/>
  <c r="RJ37" i="1"/>
  <c r="RJ36" i="1"/>
  <c r="RJ35" i="1"/>
  <c r="RJ34" i="1"/>
  <c r="RJ33" i="1"/>
  <c r="RJ32" i="1"/>
  <c r="RJ31" i="1"/>
  <c r="RJ30" i="1"/>
  <c r="RJ29" i="1"/>
  <c r="RJ28" i="1"/>
  <c r="RJ27" i="1"/>
  <c r="RJ26" i="1"/>
  <c r="RJ25" i="1"/>
  <c r="RJ24" i="1"/>
  <c r="RJ23" i="1"/>
  <c r="RJ22" i="1"/>
  <c r="RJ21" i="1"/>
  <c r="RJ20" i="1"/>
  <c r="RJ19" i="1"/>
  <c r="RJ18" i="1"/>
  <c r="RJ17" i="1"/>
  <c r="RJ16" i="1"/>
  <c r="RJ15" i="1"/>
  <c r="RJ14" i="1"/>
  <c r="RJ13" i="1"/>
  <c r="RJ12" i="1"/>
  <c r="RJ11" i="1"/>
  <c r="RJ10" i="1"/>
  <c r="RJ9" i="1"/>
  <c r="RJ8" i="1"/>
  <c r="RJ7" i="1"/>
  <c r="RJ6" i="1"/>
  <c r="RJ5" i="1"/>
  <c r="RJ4" i="1"/>
  <c r="RW111" i="1"/>
  <c r="RW110" i="1"/>
  <c r="RW109" i="1"/>
  <c r="RW108" i="1"/>
  <c r="RW107" i="1"/>
  <c r="RW106" i="1"/>
  <c r="RW105" i="1"/>
  <c r="RW104" i="1"/>
  <c r="RW103" i="1"/>
  <c r="RW102" i="1"/>
  <c r="RW101" i="1"/>
  <c r="RW100" i="1"/>
  <c r="RW99" i="1"/>
  <c r="RW98" i="1"/>
  <c r="RW97" i="1"/>
  <c r="RW96" i="1"/>
  <c r="RW95" i="1"/>
  <c r="RW94" i="1"/>
  <c r="RW93" i="1"/>
  <c r="RW92" i="1"/>
  <c r="RW91" i="1"/>
  <c r="RW90" i="1"/>
  <c r="RW89" i="1"/>
  <c r="RW88" i="1"/>
  <c r="RW87" i="1"/>
  <c r="RW86" i="1"/>
  <c r="RW85" i="1"/>
  <c r="RW84" i="1"/>
  <c r="RW83" i="1"/>
  <c r="RW82" i="1"/>
  <c r="RW81" i="1"/>
  <c r="RW80" i="1"/>
  <c r="RW79" i="1"/>
  <c r="RW78" i="1"/>
  <c r="RW77" i="1"/>
  <c r="RW76" i="1"/>
  <c r="RW75" i="1"/>
  <c r="RW74" i="1"/>
  <c r="RW73" i="1"/>
  <c r="RW72" i="1"/>
  <c r="RW71" i="1"/>
  <c r="RW70" i="1"/>
  <c r="RW69" i="1"/>
  <c r="RW68" i="1"/>
  <c r="RW67" i="1"/>
  <c r="RW66" i="1"/>
  <c r="RW65" i="1"/>
  <c r="RW64" i="1"/>
  <c r="RW63" i="1"/>
  <c r="RW62" i="1"/>
  <c r="RW61" i="1"/>
  <c r="RW60" i="1"/>
  <c r="RW59" i="1"/>
  <c r="RW58" i="1"/>
  <c r="RW57" i="1"/>
  <c r="RW56" i="1"/>
  <c r="RW55" i="1"/>
  <c r="RW54" i="1"/>
  <c r="RW53" i="1"/>
  <c r="RW52" i="1"/>
  <c r="RW51" i="1"/>
  <c r="RW50" i="1"/>
  <c r="RW49" i="1"/>
  <c r="RW48" i="1"/>
  <c r="RW47" i="1"/>
  <c r="RW46" i="1"/>
  <c r="RW45" i="1"/>
  <c r="RW44" i="1"/>
  <c r="RW43" i="1"/>
  <c r="RW42" i="1"/>
  <c r="RW41" i="1"/>
  <c r="RW40" i="1"/>
  <c r="RW39" i="1"/>
  <c r="RW38" i="1"/>
  <c r="RW37" i="1"/>
  <c r="RW36" i="1"/>
  <c r="RW35" i="1"/>
  <c r="RW34" i="1"/>
  <c r="RW33" i="1"/>
  <c r="RW32" i="1"/>
  <c r="RW31" i="1"/>
  <c r="RW30" i="1"/>
  <c r="RW29" i="1"/>
  <c r="RW28" i="1"/>
  <c r="RW27" i="1"/>
  <c r="RW26" i="1"/>
  <c r="RW25" i="1"/>
  <c r="RW24" i="1"/>
  <c r="RW23" i="1"/>
  <c r="RW22" i="1"/>
  <c r="RW21" i="1"/>
  <c r="RW20" i="1"/>
  <c r="RW19" i="1"/>
  <c r="RW18" i="1"/>
  <c r="RW17" i="1"/>
  <c r="RW16" i="1"/>
  <c r="RW15" i="1"/>
  <c r="RW14" i="1"/>
  <c r="RW13" i="1"/>
  <c r="RW12" i="1"/>
  <c r="RW11" i="1"/>
  <c r="RW10" i="1"/>
  <c r="RW9" i="1"/>
  <c r="RW8" i="1"/>
  <c r="RW7" i="1"/>
  <c r="RW6" i="1"/>
  <c r="RW5" i="1"/>
  <c r="RW4" i="1"/>
  <c r="SJ111" i="1"/>
  <c r="SJ110" i="1"/>
  <c r="SJ109" i="1"/>
  <c r="SJ108" i="1"/>
  <c r="SJ107" i="1"/>
  <c r="SJ106" i="1"/>
  <c r="SJ105" i="1"/>
  <c r="SJ104" i="1"/>
  <c r="SJ103" i="1"/>
  <c r="SJ102" i="1"/>
  <c r="SJ101" i="1"/>
  <c r="SJ100" i="1"/>
  <c r="SJ99" i="1"/>
  <c r="SJ98" i="1"/>
  <c r="SJ97" i="1"/>
  <c r="SJ96" i="1"/>
  <c r="SJ95" i="1"/>
  <c r="SJ94" i="1"/>
  <c r="SJ93" i="1"/>
  <c r="SJ92" i="1"/>
  <c r="SJ91" i="1"/>
  <c r="SJ90" i="1"/>
  <c r="SJ89" i="1"/>
  <c r="SJ88" i="1"/>
  <c r="SJ87" i="1"/>
  <c r="SJ86" i="1"/>
  <c r="SJ85" i="1"/>
  <c r="SJ84" i="1"/>
  <c r="SJ83" i="1"/>
  <c r="SJ82" i="1"/>
  <c r="SJ81" i="1"/>
  <c r="SJ80" i="1"/>
  <c r="SJ79" i="1"/>
  <c r="SJ78" i="1"/>
  <c r="SJ77" i="1"/>
  <c r="SJ76" i="1"/>
  <c r="SJ75" i="1"/>
  <c r="SJ74" i="1"/>
  <c r="SJ73" i="1"/>
  <c r="SJ72" i="1"/>
  <c r="SJ71" i="1"/>
  <c r="SJ70" i="1"/>
  <c r="SJ69" i="1"/>
  <c r="SJ68" i="1"/>
  <c r="SJ67" i="1"/>
  <c r="SJ66" i="1"/>
  <c r="SJ65" i="1"/>
  <c r="SJ64" i="1"/>
  <c r="SJ63" i="1"/>
  <c r="SJ62" i="1"/>
  <c r="SJ61" i="1"/>
  <c r="SJ60" i="1"/>
  <c r="SJ59" i="1"/>
  <c r="SJ58" i="1"/>
  <c r="SJ57" i="1"/>
  <c r="SJ56" i="1"/>
  <c r="SJ55" i="1"/>
  <c r="SJ54" i="1"/>
  <c r="SJ53" i="1"/>
  <c r="SJ52" i="1"/>
  <c r="SJ51" i="1"/>
  <c r="SJ50" i="1"/>
  <c r="SJ49" i="1"/>
  <c r="SJ48" i="1"/>
  <c r="SJ47" i="1"/>
  <c r="SJ46" i="1"/>
  <c r="SJ45" i="1"/>
  <c r="SJ44" i="1"/>
  <c r="SJ43" i="1"/>
  <c r="SJ42" i="1"/>
  <c r="SJ41" i="1"/>
  <c r="SJ40" i="1"/>
  <c r="SJ39" i="1"/>
  <c r="SJ38" i="1"/>
  <c r="SJ37" i="1"/>
  <c r="SJ36" i="1"/>
  <c r="SJ35" i="1"/>
  <c r="SJ34" i="1"/>
  <c r="SJ33" i="1"/>
  <c r="SJ32" i="1"/>
  <c r="SJ31" i="1"/>
  <c r="SJ30" i="1"/>
  <c r="SJ29" i="1"/>
  <c r="SJ28" i="1"/>
  <c r="SJ27" i="1"/>
  <c r="SJ26" i="1"/>
  <c r="SJ25" i="1"/>
  <c r="SJ24" i="1"/>
  <c r="SJ23" i="1"/>
  <c r="SJ22" i="1"/>
  <c r="SJ21" i="1"/>
  <c r="SJ20" i="1"/>
  <c r="SJ19" i="1"/>
  <c r="SJ18" i="1"/>
  <c r="SJ17" i="1"/>
  <c r="SJ16" i="1"/>
  <c r="SJ15" i="1"/>
  <c r="SJ14" i="1"/>
  <c r="SJ13" i="1"/>
  <c r="SJ12" i="1"/>
  <c r="SJ11" i="1"/>
  <c r="SJ10" i="1"/>
  <c r="SJ9" i="1"/>
  <c r="SJ8" i="1"/>
  <c r="SJ7" i="1"/>
  <c r="SJ6" i="1"/>
  <c r="SJ5" i="1"/>
  <c r="SJ4" i="1"/>
  <c r="SW111" i="1"/>
  <c r="SW110" i="1"/>
  <c r="SW109" i="1"/>
  <c r="SW108" i="1"/>
  <c r="SW107" i="1"/>
  <c r="SW106" i="1"/>
  <c r="SW105" i="1"/>
  <c r="SW104" i="1"/>
  <c r="SW103" i="1"/>
  <c r="SW102" i="1"/>
  <c r="SW101" i="1"/>
  <c r="SW100" i="1"/>
  <c r="SW99" i="1"/>
  <c r="SW98" i="1"/>
  <c r="SW97" i="1"/>
  <c r="SW96" i="1"/>
  <c r="SW95" i="1"/>
  <c r="SW94" i="1"/>
  <c r="SW93" i="1"/>
  <c r="SW92" i="1"/>
  <c r="SW91" i="1"/>
  <c r="SW90" i="1"/>
  <c r="SW89" i="1"/>
  <c r="SW88" i="1"/>
  <c r="SW87" i="1"/>
  <c r="SW86" i="1"/>
  <c r="SW85" i="1"/>
  <c r="SW84" i="1"/>
  <c r="SW83" i="1"/>
  <c r="SW82" i="1"/>
  <c r="SW81" i="1"/>
  <c r="SW80" i="1"/>
  <c r="SW79" i="1"/>
  <c r="SW78" i="1"/>
  <c r="SW77" i="1"/>
  <c r="SW76" i="1"/>
  <c r="SW75" i="1"/>
  <c r="SW74" i="1"/>
  <c r="SW73" i="1"/>
  <c r="SW72" i="1"/>
  <c r="SW71" i="1"/>
  <c r="SW70" i="1"/>
  <c r="SW69" i="1"/>
  <c r="SW68" i="1"/>
  <c r="SW67" i="1"/>
  <c r="SW66" i="1"/>
  <c r="SW65" i="1"/>
  <c r="SW64" i="1"/>
  <c r="SW63" i="1"/>
  <c r="SW62" i="1"/>
  <c r="SW61" i="1"/>
  <c r="SW60" i="1"/>
  <c r="SW59" i="1"/>
  <c r="SW58" i="1"/>
  <c r="SW57" i="1"/>
  <c r="SW56" i="1"/>
  <c r="SW55" i="1"/>
  <c r="SW54" i="1"/>
  <c r="SW53" i="1"/>
  <c r="SW52" i="1"/>
  <c r="SW51" i="1"/>
  <c r="SW50" i="1"/>
  <c r="SW49" i="1"/>
  <c r="SW48" i="1"/>
  <c r="SW47" i="1"/>
  <c r="SW46" i="1"/>
  <c r="SW45" i="1"/>
  <c r="SW44" i="1"/>
  <c r="SW43" i="1"/>
  <c r="SW42" i="1"/>
  <c r="SW41" i="1"/>
  <c r="SW40" i="1"/>
  <c r="SW39" i="1"/>
  <c r="SW38" i="1"/>
  <c r="SW37" i="1"/>
  <c r="SW36" i="1"/>
  <c r="SW35" i="1"/>
  <c r="SW34" i="1"/>
  <c r="SW33" i="1"/>
  <c r="SW32" i="1"/>
  <c r="SW31" i="1"/>
  <c r="SW30" i="1"/>
  <c r="SW29" i="1"/>
  <c r="SW28" i="1"/>
  <c r="SW27" i="1"/>
  <c r="SW26" i="1"/>
  <c r="SW25" i="1"/>
  <c r="SW24" i="1"/>
  <c r="SW23" i="1"/>
  <c r="SW22" i="1"/>
  <c r="SW21" i="1"/>
  <c r="SW20" i="1"/>
  <c r="SW19" i="1"/>
  <c r="SW18" i="1"/>
  <c r="SW17" i="1"/>
  <c r="SW16" i="1"/>
  <c r="SW15" i="1"/>
  <c r="SW14" i="1"/>
  <c r="SW13" i="1"/>
  <c r="SW12" i="1"/>
  <c r="SW11" i="1"/>
  <c r="SW10" i="1"/>
  <c r="SW9" i="1"/>
  <c r="SW8" i="1"/>
  <c r="SW7" i="1"/>
  <c r="SW6" i="1"/>
  <c r="SW5" i="1"/>
  <c r="SW4" i="1"/>
  <c r="TK111" i="1"/>
  <c r="TK110" i="1"/>
  <c r="TK109" i="1"/>
  <c r="TK107" i="1"/>
  <c r="TK106" i="1"/>
  <c r="TK105" i="1"/>
  <c r="TK104" i="1"/>
  <c r="TK102" i="1"/>
  <c r="TK101" i="1"/>
  <c r="TK100" i="1"/>
  <c r="TK99" i="1"/>
  <c r="TK98" i="1"/>
  <c r="TK97" i="1"/>
  <c r="TK96" i="1"/>
  <c r="TK95" i="1"/>
  <c r="TK94" i="1"/>
  <c r="TK92" i="1"/>
  <c r="TK91" i="1"/>
  <c r="TK90" i="1"/>
  <c r="TK89" i="1"/>
  <c r="TK88" i="1"/>
  <c r="TK87" i="1"/>
  <c r="TK86" i="1"/>
  <c r="TK85" i="1"/>
  <c r="TK84" i="1"/>
  <c r="TK83" i="1"/>
  <c r="TK82" i="1"/>
  <c r="TK81" i="1"/>
  <c r="TK79" i="1"/>
  <c r="TK78" i="1"/>
  <c r="TK77" i="1"/>
  <c r="TK76" i="1"/>
  <c r="TK75" i="1"/>
  <c r="TK74" i="1"/>
  <c r="TK73" i="1"/>
  <c r="TK72" i="1"/>
  <c r="TK71" i="1"/>
  <c r="TK70" i="1"/>
  <c r="TK69" i="1"/>
  <c r="TK67" i="1"/>
  <c r="TK66" i="1"/>
  <c r="TK65" i="1"/>
  <c r="TK64" i="1"/>
  <c r="TK63" i="1"/>
  <c r="TK62" i="1"/>
  <c r="TK61" i="1"/>
  <c r="TK60" i="1"/>
  <c r="TK59" i="1"/>
  <c r="TK58" i="1"/>
  <c r="TK57" i="1"/>
  <c r="TK56" i="1"/>
  <c r="TK55" i="1"/>
  <c r="TK54" i="1"/>
  <c r="TK53" i="1"/>
  <c r="TK52" i="1"/>
  <c r="TK51" i="1"/>
  <c r="TK50" i="1"/>
  <c r="TK49" i="1"/>
  <c r="TK48" i="1"/>
  <c r="TK47" i="1"/>
  <c r="TK46" i="1"/>
  <c r="TK45" i="1"/>
  <c r="TK44" i="1"/>
  <c r="TK43" i="1"/>
  <c r="TK42" i="1"/>
  <c r="TK41" i="1"/>
  <c r="TK40" i="1"/>
  <c r="TK39" i="1"/>
  <c r="TK38" i="1"/>
  <c r="TK37" i="1"/>
  <c r="TK36" i="1"/>
  <c r="TK35" i="1"/>
  <c r="TK34" i="1"/>
  <c r="TK33" i="1"/>
  <c r="TK32" i="1"/>
  <c r="TK30" i="1"/>
  <c r="TK29" i="1"/>
  <c r="TK28" i="1"/>
  <c r="TK27" i="1"/>
  <c r="TK25" i="1"/>
  <c r="TK24" i="1"/>
  <c r="TK23" i="1"/>
  <c r="TK22" i="1"/>
  <c r="TK21" i="1"/>
  <c r="TK20" i="1"/>
  <c r="TK18" i="1"/>
  <c r="TK17" i="1"/>
  <c r="TK16" i="1"/>
  <c r="TK15" i="1"/>
  <c r="TK14" i="1"/>
  <c r="TK13" i="1"/>
  <c r="TK12" i="1"/>
  <c r="TK11" i="1"/>
  <c r="TK10" i="1"/>
  <c r="TK9" i="1"/>
  <c r="TK8" i="1"/>
  <c r="TK7" i="1"/>
  <c r="TK6" i="1"/>
  <c r="TK5" i="1"/>
  <c r="TK4" i="1"/>
  <c r="TX111" i="1"/>
  <c r="TX110" i="1"/>
  <c r="TX109" i="1"/>
  <c r="TX108" i="1"/>
  <c r="TX107" i="1"/>
  <c r="TX106" i="1"/>
  <c r="TX105" i="1"/>
  <c r="TX104" i="1"/>
  <c r="TX103" i="1"/>
  <c r="TX102" i="1"/>
  <c r="TX101" i="1"/>
  <c r="TX100" i="1"/>
  <c r="TX99" i="1"/>
  <c r="TX98" i="1"/>
  <c r="TX97" i="1"/>
  <c r="TX96" i="1"/>
  <c r="TX95" i="1"/>
  <c r="TX94" i="1"/>
  <c r="TX93" i="1"/>
  <c r="TX92" i="1"/>
  <c r="TX91" i="1"/>
  <c r="TX90" i="1"/>
  <c r="TX89" i="1"/>
  <c r="TX88" i="1"/>
  <c r="TX87" i="1"/>
  <c r="TX86" i="1"/>
  <c r="TX85" i="1"/>
  <c r="TX84" i="1"/>
  <c r="TX83" i="1"/>
  <c r="TX82" i="1"/>
  <c r="TX81" i="1"/>
  <c r="TX80" i="1"/>
  <c r="TX79" i="1"/>
  <c r="TX78" i="1"/>
  <c r="TX77" i="1"/>
  <c r="TX76" i="1"/>
  <c r="TX75" i="1"/>
  <c r="TX74" i="1"/>
  <c r="TX73" i="1"/>
  <c r="TX72" i="1"/>
  <c r="TX71" i="1"/>
  <c r="TX70" i="1"/>
  <c r="TX69" i="1"/>
  <c r="TX68" i="1"/>
  <c r="TX67" i="1"/>
  <c r="TX66" i="1"/>
  <c r="TX65" i="1"/>
  <c r="TX64" i="1"/>
  <c r="TX63" i="1"/>
  <c r="TX62" i="1"/>
  <c r="TX61" i="1"/>
  <c r="TX60" i="1"/>
  <c r="TX59" i="1"/>
  <c r="TX58" i="1"/>
  <c r="TX57" i="1"/>
  <c r="TX56" i="1"/>
  <c r="TX55" i="1"/>
  <c r="TX54" i="1"/>
  <c r="TX53" i="1"/>
  <c r="TX52" i="1"/>
  <c r="TX51" i="1"/>
  <c r="TX50" i="1"/>
  <c r="TX49" i="1"/>
  <c r="TX48" i="1"/>
  <c r="TX47" i="1"/>
  <c r="TX46" i="1"/>
  <c r="TX45" i="1"/>
  <c r="TX44" i="1"/>
  <c r="TX43" i="1"/>
  <c r="TX42" i="1"/>
  <c r="TX41" i="1"/>
  <c r="TX40" i="1"/>
  <c r="TX39" i="1"/>
  <c r="TX38" i="1"/>
  <c r="TX37" i="1"/>
  <c r="TX36" i="1"/>
  <c r="TX35" i="1"/>
  <c r="TX34" i="1"/>
  <c r="TX33" i="1"/>
  <c r="TX32" i="1"/>
  <c r="TX31" i="1"/>
  <c r="TX30" i="1"/>
  <c r="TX29" i="1"/>
  <c r="TX28" i="1"/>
  <c r="TX27" i="1"/>
  <c r="TX26" i="1"/>
  <c r="TX25" i="1"/>
  <c r="TX24" i="1"/>
  <c r="TX23" i="1"/>
  <c r="TX22" i="1"/>
  <c r="TX21" i="1"/>
  <c r="TX20" i="1"/>
  <c r="TX19" i="1"/>
  <c r="TX18" i="1"/>
  <c r="TX17" i="1"/>
  <c r="TX16" i="1"/>
  <c r="TX15" i="1"/>
  <c r="TX14" i="1"/>
  <c r="TX13" i="1"/>
  <c r="TX12" i="1"/>
  <c r="TX11" i="1"/>
  <c r="TX10" i="1"/>
  <c r="TX9" i="1"/>
  <c r="TX8" i="1"/>
  <c r="TX7" i="1"/>
  <c r="TX6" i="1"/>
  <c r="TX5" i="1"/>
  <c r="TX4" i="1"/>
  <c r="IJ6" i="6" l="1"/>
  <c r="IJ14" i="6"/>
  <c r="IJ22" i="6"/>
  <c r="IJ30" i="6"/>
  <c r="IJ38" i="6"/>
  <c r="IJ46" i="6"/>
  <c r="IJ54" i="6"/>
  <c r="IJ62" i="6"/>
  <c r="IJ70" i="6"/>
  <c r="IJ78" i="6"/>
  <c r="IJ86" i="6"/>
  <c r="IJ94" i="6"/>
  <c r="IJ102" i="6"/>
  <c r="IJ110" i="6"/>
  <c r="II6" i="6"/>
  <c r="II14" i="6"/>
  <c r="II22" i="6"/>
  <c r="II30" i="6"/>
  <c r="II38" i="6"/>
  <c r="II46" i="6"/>
  <c r="II54" i="6"/>
  <c r="II62" i="6"/>
  <c r="II70" i="6"/>
  <c r="II78" i="6"/>
  <c r="II86" i="6"/>
  <c r="II94" i="6"/>
  <c r="II102" i="6"/>
  <c r="II110" i="6"/>
  <c r="IJ11" i="6"/>
  <c r="IJ19" i="6"/>
  <c r="IJ27" i="6"/>
  <c r="IJ35" i="6"/>
  <c r="IJ43" i="6"/>
  <c r="IJ51" i="6"/>
  <c r="IJ59" i="6"/>
  <c r="IJ67" i="6"/>
  <c r="IJ75" i="6"/>
  <c r="IJ83" i="6"/>
  <c r="IJ91" i="6"/>
  <c r="IJ99" i="6"/>
  <c r="IJ107" i="6"/>
  <c r="IJ115" i="6"/>
  <c r="IJ20" i="1"/>
  <c r="IJ44" i="1"/>
  <c r="IJ68" i="1"/>
  <c r="IJ108" i="1"/>
  <c r="II21" i="1"/>
  <c r="II45" i="1"/>
  <c r="II69" i="1"/>
  <c r="II101" i="1"/>
  <c r="IJ5" i="1"/>
  <c r="IJ13" i="1"/>
  <c r="IJ21" i="1"/>
  <c r="IJ29" i="1"/>
  <c r="IJ37" i="1"/>
  <c r="IJ45" i="1"/>
  <c r="IJ53" i="1"/>
  <c r="IJ61" i="1"/>
  <c r="IJ69" i="1"/>
  <c r="IJ77" i="1"/>
  <c r="IJ85" i="1"/>
  <c r="IJ93" i="1"/>
  <c r="IJ101" i="1"/>
  <c r="IJ109" i="1"/>
  <c r="II6" i="1"/>
  <c r="II14" i="1"/>
  <c r="II22" i="1"/>
  <c r="II30" i="1"/>
  <c r="II38" i="1"/>
  <c r="II46" i="1"/>
  <c r="II54" i="1"/>
  <c r="II62" i="1"/>
  <c r="II70" i="1"/>
  <c r="II78" i="1"/>
  <c r="II86" i="1"/>
  <c r="II94" i="1"/>
  <c r="II102" i="1"/>
  <c r="II110" i="1"/>
  <c r="IJ4" i="1"/>
  <c r="IJ28" i="1"/>
  <c r="IJ60" i="1"/>
  <c r="IJ84" i="1"/>
  <c r="IJ100" i="1"/>
  <c r="II5" i="1"/>
  <c r="II29" i="1"/>
  <c r="II53" i="1"/>
  <c r="II77" i="1"/>
  <c r="II93" i="1"/>
  <c r="IJ6" i="1"/>
  <c r="IJ14" i="1"/>
  <c r="IJ22" i="1"/>
  <c r="IJ30" i="1"/>
  <c r="IJ38" i="1"/>
  <c r="IJ46" i="1"/>
  <c r="IJ54" i="1"/>
  <c r="IJ62" i="1"/>
  <c r="IJ70" i="1"/>
  <c r="IJ78" i="1"/>
  <c r="IJ86" i="1"/>
  <c r="IJ94" i="1"/>
  <c r="IJ102" i="1"/>
  <c r="IJ110" i="1"/>
  <c r="II7" i="1"/>
  <c r="II15" i="1"/>
  <c r="II23" i="1"/>
  <c r="II31" i="1"/>
  <c r="II39" i="1"/>
  <c r="II47" i="1"/>
  <c r="II55" i="1"/>
  <c r="II63" i="1"/>
  <c r="II71" i="1"/>
  <c r="II79" i="1"/>
  <c r="II87" i="1"/>
  <c r="II95" i="1"/>
  <c r="II103" i="1"/>
  <c r="II111" i="1"/>
  <c r="IJ12" i="1"/>
  <c r="IJ36" i="1"/>
  <c r="IJ52" i="1"/>
  <c r="IJ76" i="1"/>
  <c r="IJ92" i="1"/>
  <c r="II13" i="1"/>
  <c r="II37" i="1"/>
  <c r="II61" i="1"/>
  <c r="II85" i="1"/>
  <c r="II109" i="1"/>
  <c r="IJ7" i="1"/>
  <c r="IJ15" i="1"/>
  <c r="IJ23" i="1"/>
  <c r="IJ31" i="1"/>
  <c r="IJ39" i="1"/>
  <c r="IJ47" i="1"/>
  <c r="IJ55" i="1"/>
  <c r="IJ63" i="1"/>
  <c r="IJ71" i="1"/>
  <c r="IJ79" i="1"/>
  <c r="IJ87" i="1"/>
  <c r="IJ95" i="1"/>
  <c r="IJ103" i="1"/>
  <c r="IJ111" i="1"/>
  <c r="II8" i="1"/>
  <c r="II16" i="1"/>
  <c r="II24" i="1"/>
  <c r="II32" i="1"/>
  <c r="II40" i="1"/>
  <c r="II48" i="1"/>
  <c r="II56" i="1"/>
  <c r="II64" i="1"/>
  <c r="II72" i="1"/>
  <c r="II80" i="1"/>
  <c r="II88" i="1"/>
  <c r="II96" i="1"/>
  <c r="II104" i="1"/>
  <c r="IJ8" i="1"/>
  <c r="IJ16" i="1"/>
  <c r="IJ24" i="1"/>
  <c r="IJ32" i="1"/>
  <c r="IJ40" i="1"/>
  <c r="IJ48" i="1"/>
  <c r="IJ56" i="1"/>
  <c r="IJ64" i="1"/>
  <c r="IJ72" i="1"/>
  <c r="IJ80" i="1"/>
  <c r="IJ88" i="1"/>
  <c r="IJ96" i="1"/>
  <c r="IJ104" i="1"/>
  <c r="II9" i="1"/>
  <c r="II17" i="1"/>
  <c r="II25" i="1"/>
  <c r="II33" i="1"/>
  <c r="II41" i="1"/>
  <c r="II49" i="1"/>
  <c r="II57" i="1"/>
  <c r="II65" i="1"/>
  <c r="II73" i="1"/>
  <c r="II81" i="1"/>
  <c r="II89" i="1"/>
  <c r="II97" i="1"/>
  <c r="II105" i="1"/>
  <c r="IJ9" i="1"/>
  <c r="IJ17" i="1"/>
  <c r="IJ25" i="1"/>
  <c r="IJ33" i="1"/>
  <c r="IJ41" i="1"/>
  <c r="IJ49" i="1"/>
  <c r="IJ57" i="1"/>
  <c r="IJ65" i="1"/>
  <c r="IJ73" i="1"/>
  <c r="IJ81" i="1"/>
  <c r="IJ89" i="1"/>
  <c r="IJ97" i="1"/>
  <c r="IJ105" i="1"/>
  <c r="II10" i="1"/>
  <c r="II18" i="1"/>
  <c r="II26" i="1"/>
  <c r="II34" i="1"/>
  <c r="II42" i="1"/>
  <c r="II50" i="1"/>
  <c r="II58" i="1"/>
  <c r="II66" i="1"/>
  <c r="II74" i="1"/>
  <c r="II82" i="1"/>
  <c r="II90" i="1"/>
  <c r="II98" i="1"/>
  <c r="II106" i="1"/>
  <c r="II11" i="6"/>
  <c r="II19" i="6"/>
  <c r="II27" i="6"/>
  <c r="II35" i="6"/>
  <c r="II43" i="6"/>
  <c r="II51" i="6"/>
  <c r="II59" i="6"/>
  <c r="II67" i="6"/>
  <c r="II75" i="6"/>
  <c r="II83" i="6"/>
  <c r="II91" i="6"/>
  <c r="II99" i="6"/>
  <c r="II107" i="6"/>
  <c r="II115" i="6"/>
  <c r="IJ10" i="1"/>
  <c r="IJ18" i="1"/>
  <c r="IJ26" i="1"/>
  <c r="IJ34" i="1"/>
  <c r="IJ42" i="1"/>
  <c r="IJ50" i="1"/>
  <c r="IJ58" i="1"/>
  <c r="IJ66" i="1"/>
  <c r="IJ74" i="1"/>
  <c r="IJ82" i="1"/>
  <c r="IJ90" i="1"/>
  <c r="IJ98" i="1"/>
  <c r="IJ106" i="1"/>
  <c r="II11" i="1"/>
  <c r="II19" i="1"/>
  <c r="II27" i="1"/>
  <c r="II35" i="1"/>
  <c r="II43" i="1"/>
  <c r="II51" i="1"/>
  <c r="II59" i="1"/>
  <c r="II67" i="1"/>
  <c r="II75" i="1"/>
  <c r="II83" i="1"/>
  <c r="II91" i="1"/>
  <c r="II99" i="1"/>
  <c r="II107" i="1"/>
  <c r="IJ11" i="1"/>
  <c r="IJ19" i="1"/>
  <c r="IJ27" i="1"/>
  <c r="IJ35" i="1"/>
  <c r="IJ43" i="1"/>
  <c r="IJ51" i="1"/>
  <c r="IJ59" i="1"/>
  <c r="IJ67" i="1"/>
  <c r="IJ75" i="1"/>
  <c r="IJ83" i="1"/>
  <c r="IJ91" i="1"/>
  <c r="IJ99" i="1"/>
  <c r="IJ107" i="1"/>
  <c r="II4" i="1"/>
  <c r="II12" i="1"/>
  <c r="II20" i="1"/>
  <c r="II28" i="1"/>
  <c r="II36" i="1"/>
  <c r="II44" i="1"/>
  <c r="II52" i="1"/>
  <c r="II60" i="1"/>
  <c r="II68" i="1"/>
  <c r="II76" i="1"/>
  <c r="II84" i="1"/>
  <c r="II92" i="1"/>
  <c r="II100" i="1"/>
  <c r="II108" i="1"/>
  <c r="IJ7" i="6"/>
  <c r="IJ15" i="6"/>
  <c r="IJ23" i="6"/>
  <c r="IJ31" i="6"/>
  <c r="IJ39" i="6"/>
  <c r="IJ47" i="6"/>
  <c r="IJ55" i="6"/>
  <c r="IJ63" i="6"/>
  <c r="IJ71" i="6"/>
  <c r="IJ79" i="6"/>
  <c r="IJ87" i="6"/>
  <c r="IJ95" i="6"/>
  <c r="IJ103" i="6"/>
  <c r="IJ111" i="6"/>
  <c r="II7" i="6"/>
  <c r="II15" i="6"/>
  <c r="II23" i="6"/>
  <c r="II31" i="6"/>
  <c r="II39" i="6"/>
  <c r="II47" i="6"/>
  <c r="II55" i="6"/>
  <c r="II63" i="6"/>
  <c r="II71" i="6"/>
  <c r="II79" i="6"/>
  <c r="II87" i="6"/>
  <c r="II95" i="6"/>
  <c r="II103" i="6"/>
  <c r="II111" i="6"/>
  <c r="IJ8" i="6"/>
  <c r="IJ16" i="6"/>
  <c r="IJ24" i="6"/>
  <c r="IJ32" i="6"/>
  <c r="IJ40" i="6"/>
  <c r="IJ48" i="6"/>
  <c r="IJ56" i="6"/>
  <c r="IJ64" i="6"/>
  <c r="IJ72" i="6"/>
  <c r="IJ80" i="6"/>
  <c r="IJ88" i="6"/>
  <c r="IJ96" i="6"/>
  <c r="IJ104" i="6"/>
  <c r="IJ112" i="6"/>
  <c r="II8" i="6"/>
  <c r="II16" i="6"/>
  <c r="II24" i="6"/>
  <c r="II32" i="6"/>
  <c r="II40" i="6"/>
  <c r="II48" i="6"/>
  <c r="II56" i="6"/>
  <c r="II64" i="6"/>
  <c r="II72" i="6"/>
  <c r="II80" i="6"/>
  <c r="II88" i="6"/>
  <c r="II96" i="6"/>
  <c r="II104" i="6"/>
  <c r="II112" i="6"/>
  <c r="IJ9" i="6"/>
  <c r="IJ17" i="6"/>
  <c r="IJ25" i="6"/>
  <c r="IJ33" i="6"/>
  <c r="IJ41" i="6"/>
  <c r="IJ49" i="6"/>
  <c r="IJ57" i="6"/>
  <c r="IJ65" i="6"/>
  <c r="IJ73" i="6"/>
  <c r="IJ81" i="6"/>
  <c r="IJ89" i="6"/>
  <c r="IJ97" i="6"/>
  <c r="IJ105" i="6"/>
  <c r="IJ113" i="6"/>
  <c r="II9" i="6"/>
  <c r="II17" i="6"/>
  <c r="II25" i="6"/>
  <c r="II33" i="6"/>
  <c r="II41" i="6"/>
  <c r="II49" i="6"/>
  <c r="II57" i="6"/>
  <c r="II65" i="6"/>
  <c r="II73" i="6"/>
  <c r="II81" i="6"/>
  <c r="II89" i="6"/>
  <c r="II97" i="6"/>
  <c r="II105" i="6"/>
  <c r="II113" i="6"/>
  <c r="IJ10" i="6"/>
  <c r="IJ18" i="6"/>
  <c r="IJ26" i="6"/>
  <c r="IJ34" i="6"/>
  <c r="IJ42" i="6"/>
  <c r="IJ50" i="6"/>
  <c r="IJ58" i="6"/>
  <c r="IJ66" i="6"/>
  <c r="IJ74" i="6"/>
  <c r="IJ82" i="6"/>
  <c r="IJ90" i="6"/>
  <c r="IJ98" i="6"/>
  <c r="IJ106" i="6"/>
  <c r="IJ114" i="6"/>
  <c r="II10" i="6"/>
  <c r="II18" i="6"/>
  <c r="II26" i="6"/>
  <c r="II34" i="6"/>
  <c r="II42" i="6"/>
  <c r="II50" i="6"/>
  <c r="II58" i="6"/>
  <c r="II66" i="6"/>
  <c r="II74" i="6"/>
  <c r="II82" i="6"/>
  <c r="II90" i="6"/>
  <c r="II98" i="6"/>
  <c r="II106" i="6"/>
  <c r="II114" i="6"/>
  <c r="IJ4" i="6"/>
  <c r="IJ12" i="6"/>
  <c r="IJ20" i="6"/>
  <c r="IJ28" i="6"/>
  <c r="IJ36" i="6"/>
  <c r="IJ44" i="6"/>
  <c r="IJ52" i="6"/>
  <c r="IJ60" i="6"/>
  <c r="IJ68" i="6"/>
  <c r="IJ76" i="6"/>
  <c r="IJ84" i="6"/>
  <c r="IJ92" i="6"/>
  <c r="IJ100" i="6"/>
  <c r="IJ108" i="6"/>
  <c r="IJ116" i="6"/>
  <c r="II4" i="6"/>
  <c r="II12" i="6"/>
  <c r="II20" i="6"/>
  <c r="II28" i="6"/>
  <c r="II36" i="6"/>
  <c r="II44" i="6"/>
  <c r="II52" i="6"/>
  <c r="II60" i="6"/>
  <c r="II68" i="6"/>
  <c r="II76" i="6"/>
  <c r="II84" i="6"/>
  <c r="II92" i="6"/>
  <c r="II100" i="6"/>
  <c r="II108" i="6"/>
  <c r="II116" i="6"/>
  <c r="IJ5" i="6"/>
  <c r="IJ13" i="6"/>
  <c r="IJ21" i="6"/>
  <c r="IJ29" i="6"/>
  <c r="IJ37" i="6"/>
  <c r="IJ45" i="6"/>
  <c r="IJ53" i="6"/>
  <c r="IJ61" i="6"/>
  <c r="IJ69" i="6"/>
  <c r="IJ77" i="6"/>
  <c r="IJ85" i="6"/>
  <c r="IJ93" i="6"/>
  <c r="IJ101" i="6"/>
  <c r="IJ109" i="6"/>
  <c r="IJ117" i="6"/>
  <c r="II5" i="6"/>
  <c r="II13" i="6"/>
  <c r="II21" i="6"/>
  <c r="II29" i="6"/>
  <c r="II37" i="6"/>
  <c r="II45" i="6"/>
  <c r="II53" i="6"/>
  <c r="II61" i="6"/>
  <c r="II69" i="6"/>
  <c r="II77" i="6"/>
  <c r="II85" i="6"/>
  <c r="II93" i="6"/>
  <c r="II101" i="6"/>
  <c r="II109" i="6"/>
  <c r="II117" i="6"/>
  <c r="EG55" i="6"/>
  <c r="EG6" i="6"/>
  <c r="EG14" i="6"/>
  <c r="EG22" i="6"/>
  <c r="EG30" i="6"/>
  <c r="EG38" i="6"/>
  <c r="EG46" i="6"/>
  <c r="EG54" i="6"/>
  <c r="EG62" i="6"/>
  <c r="EG70" i="6"/>
  <c r="EG78" i="6"/>
  <c r="EG86" i="6"/>
  <c r="EG94" i="6"/>
  <c r="EG102" i="6"/>
  <c r="EG110" i="6"/>
  <c r="EH9" i="6"/>
  <c r="EH17" i="6"/>
  <c r="EH25" i="6"/>
  <c r="EH33" i="6"/>
  <c r="EH41" i="6"/>
  <c r="EH49" i="6"/>
  <c r="EH57" i="6"/>
  <c r="EH65" i="6"/>
  <c r="EH73" i="6"/>
  <c r="EH81" i="6"/>
  <c r="EH89" i="6"/>
  <c r="EH97" i="6"/>
  <c r="EH105" i="6"/>
  <c r="EH113" i="6"/>
  <c r="EG7" i="6"/>
  <c r="EG15" i="6"/>
  <c r="EG23" i="6"/>
  <c r="EG31" i="6"/>
  <c r="EG39" i="6"/>
  <c r="EG47" i="6"/>
  <c r="EG63" i="6"/>
  <c r="EG71" i="6"/>
  <c r="EG79" i="6"/>
  <c r="EG87" i="6"/>
  <c r="EG95" i="6"/>
  <c r="EG103" i="6"/>
  <c r="EG111" i="6"/>
  <c r="EH10" i="6"/>
  <c r="EH18" i="6"/>
  <c r="EH26" i="6"/>
  <c r="EH34" i="6"/>
  <c r="EH42" i="6"/>
  <c r="EH50" i="6"/>
  <c r="EH58" i="6"/>
  <c r="EH66" i="6"/>
  <c r="EH8" i="6"/>
  <c r="EH16" i="6"/>
  <c r="EH24" i="6"/>
  <c r="EH32" i="6"/>
  <c r="EH40" i="6"/>
  <c r="EH48" i="6"/>
  <c r="EH56" i="6"/>
  <c r="EH64" i="6"/>
  <c r="EH72" i="6"/>
  <c r="EH80" i="6"/>
  <c r="EH88" i="6"/>
  <c r="EH96" i="6"/>
  <c r="EH104" i="6"/>
  <c r="EH112" i="6"/>
  <c r="EH74" i="6"/>
  <c r="EH82" i="6"/>
  <c r="EH90" i="6"/>
  <c r="EH98" i="6"/>
  <c r="EH106" i="6"/>
  <c r="EH114" i="6"/>
  <c r="EG8" i="6"/>
  <c r="EG16" i="6"/>
  <c r="EG24" i="6"/>
  <c r="EG32" i="6"/>
  <c r="EG40" i="6"/>
  <c r="EG48" i="6"/>
  <c r="EG56" i="6"/>
  <c r="EG64" i="6"/>
  <c r="EG72" i="6"/>
  <c r="EG80" i="6"/>
  <c r="EG88" i="6"/>
  <c r="EG96" i="6"/>
  <c r="EG104" i="6"/>
  <c r="EG112" i="6"/>
  <c r="EH11" i="6"/>
  <c r="EH19" i="6"/>
  <c r="EH27" i="6"/>
  <c r="EH35" i="6"/>
  <c r="EH43" i="6"/>
  <c r="EH51" i="6"/>
  <c r="EH59" i="6"/>
  <c r="EH67" i="6"/>
  <c r="EH75" i="6"/>
  <c r="EH83" i="6"/>
  <c r="EH91" i="6"/>
  <c r="EH99" i="6"/>
  <c r="EH107" i="6"/>
  <c r="EH115" i="6"/>
  <c r="EG9" i="6"/>
  <c r="EG17" i="6"/>
  <c r="EG25" i="6"/>
  <c r="EG33" i="6"/>
  <c r="EG41" i="6"/>
  <c r="EG49" i="6"/>
  <c r="EG57" i="6"/>
  <c r="EG65" i="6"/>
  <c r="EG73" i="6"/>
  <c r="EG81" i="6"/>
  <c r="EG89" i="6"/>
  <c r="EG97" i="6"/>
  <c r="EG105" i="6"/>
  <c r="EG113" i="6"/>
  <c r="EH4" i="6"/>
  <c r="EH12" i="6"/>
  <c r="EH20" i="6"/>
  <c r="EH28" i="6"/>
  <c r="EH36" i="6"/>
  <c r="EH44" i="6"/>
  <c r="EH52" i="6"/>
  <c r="EH60" i="6"/>
  <c r="EH68" i="6"/>
  <c r="EH76" i="6"/>
  <c r="EH84" i="6"/>
  <c r="EH92" i="6"/>
  <c r="EH100" i="6"/>
  <c r="EH108" i="6"/>
  <c r="EH116" i="6"/>
  <c r="EG10" i="6"/>
  <c r="EG18" i="6"/>
  <c r="EG26" i="6"/>
  <c r="EG34" i="6"/>
  <c r="EG42" i="6"/>
  <c r="EG50" i="6"/>
  <c r="EG58" i="6"/>
  <c r="EG66" i="6"/>
  <c r="EG74" i="6"/>
  <c r="EG82" i="6"/>
  <c r="EG90" i="6"/>
  <c r="EG98" i="6"/>
  <c r="EG106" i="6"/>
  <c r="EG114" i="6"/>
  <c r="EH5" i="6"/>
  <c r="EH13" i="6"/>
  <c r="EH21" i="6"/>
  <c r="EH29" i="6"/>
  <c r="EH37" i="6"/>
  <c r="EH45" i="6"/>
  <c r="EH53" i="6"/>
  <c r="EH61" i="6"/>
  <c r="EH69" i="6"/>
  <c r="EH77" i="6"/>
  <c r="EH85" i="6"/>
  <c r="EH93" i="6"/>
  <c r="EH101" i="6"/>
  <c r="EH109" i="6"/>
  <c r="EH117" i="6"/>
  <c r="EG11" i="6"/>
  <c r="EG19" i="6"/>
  <c r="EG27" i="6"/>
  <c r="EG35" i="6"/>
  <c r="EG43" i="6"/>
  <c r="EG51" i="6"/>
  <c r="EG59" i="6"/>
  <c r="EG67" i="6"/>
  <c r="EG75" i="6"/>
  <c r="EG83" i="6"/>
  <c r="EG91" i="6"/>
  <c r="EG99" i="6"/>
  <c r="EG107" i="6"/>
  <c r="EG115" i="6"/>
  <c r="EH6" i="6"/>
  <c r="EH14" i="6"/>
  <c r="EH22" i="6"/>
  <c r="EH30" i="6"/>
  <c r="EH38" i="6"/>
  <c r="EH46" i="6"/>
  <c r="EH54" i="6"/>
  <c r="EH62" i="6"/>
  <c r="EH70" i="6"/>
  <c r="EH78" i="6"/>
  <c r="EH86" i="6"/>
  <c r="EH94" i="6"/>
  <c r="EH102" i="6"/>
  <c r="EH110" i="6"/>
  <c r="EG4" i="6"/>
  <c r="EG12" i="6"/>
  <c r="EG20" i="6"/>
  <c r="EG28" i="6"/>
  <c r="EG36" i="6"/>
  <c r="EG44" i="6"/>
  <c r="EG52" i="6"/>
  <c r="EG60" i="6"/>
  <c r="EG68" i="6"/>
  <c r="EG76" i="6"/>
  <c r="EG84" i="6"/>
  <c r="EG92" i="6"/>
  <c r="EG100" i="6"/>
  <c r="EG108" i="6"/>
  <c r="EG116" i="6"/>
  <c r="EH7" i="6"/>
  <c r="EH15" i="6"/>
  <c r="EH23" i="6"/>
  <c r="EH31" i="6"/>
  <c r="EH39" i="6"/>
  <c r="EH47" i="6"/>
  <c r="EH55" i="6"/>
  <c r="EH63" i="6"/>
  <c r="EH71" i="6"/>
  <c r="EH79" i="6"/>
  <c r="EH87" i="6"/>
  <c r="EH95" i="6"/>
  <c r="EH103" i="6"/>
  <c r="EH111" i="6"/>
  <c r="EG5" i="6"/>
  <c r="EG13" i="6"/>
  <c r="EG21" i="6"/>
  <c r="EG29" i="6"/>
  <c r="EG37" i="6"/>
  <c r="EG45" i="6"/>
  <c r="EG53" i="6"/>
  <c r="EG61" i="6"/>
  <c r="EG69" i="6"/>
  <c r="EG77" i="6"/>
  <c r="EG85" i="6"/>
  <c r="EG93" i="6"/>
  <c r="EG101" i="6"/>
  <c r="EG109" i="6"/>
  <c r="EG117" i="6"/>
  <c r="EH64" i="1"/>
  <c r="EG4" i="1"/>
  <c r="EH8" i="1"/>
  <c r="EH16" i="1"/>
  <c r="EH24" i="1"/>
  <c r="EH32" i="1"/>
  <c r="EH40" i="1"/>
  <c r="EH48" i="1"/>
  <c r="EH56" i="1"/>
  <c r="EH72" i="1"/>
  <c r="EH80" i="1"/>
  <c r="EH88" i="1"/>
  <c r="EH96" i="1"/>
  <c r="EH104" i="1"/>
  <c r="EH57" i="1"/>
  <c r="EG13" i="1"/>
  <c r="EG61" i="1"/>
  <c r="EH10" i="1"/>
  <c r="EH18" i="1"/>
  <c r="EH26" i="1"/>
  <c r="EH34" i="1"/>
  <c r="EH42" i="1"/>
  <c r="EH50" i="1"/>
  <c r="EH58" i="1"/>
  <c r="EH66" i="1"/>
  <c r="EH74" i="1"/>
  <c r="EH82" i="1"/>
  <c r="EH90" i="1"/>
  <c r="EH98" i="1"/>
  <c r="EH106" i="1"/>
  <c r="EG6" i="1"/>
  <c r="EG14" i="1"/>
  <c r="EG22" i="1"/>
  <c r="EG30" i="1"/>
  <c r="EG38" i="1"/>
  <c r="EG46" i="1"/>
  <c r="EG54" i="1"/>
  <c r="EG62" i="1"/>
  <c r="EG70" i="1"/>
  <c r="EG78" i="1"/>
  <c r="EG86" i="1"/>
  <c r="EG94" i="1"/>
  <c r="EG102" i="1"/>
  <c r="EG110" i="1"/>
  <c r="EH41" i="1"/>
  <c r="EH89" i="1"/>
  <c r="EG45" i="1"/>
  <c r="EG93" i="1"/>
  <c r="EH11" i="1"/>
  <c r="EH19" i="1"/>
  <c r="EH27" i="1"/>
  <c r="EH35" i="1"/>
  <c r="EH43" i="1"/>
  <c r="EH51" i="1"/>
  <c r="EH59" i="1"/>
  <c r="EH67" i="1"/>
  <c r="EH75" i="1"/>
  <c r="EH83" i="1"/>
  <c r="EH91" i="1"/>
  <c r="EH99" i="1"/>
  <c r="EH107" i="1"/>
  <c r="EG11" i="1"/>
  <c r="EG19" i="1"/>
  <c r="EG27" i="1"/>
  <c r="EG35" i="1"/>
  <c r="EG43" i="1"/>
  <c r="EG51" i="1"/>
  <c r="EG59" i="1"/>
  <c r="EG67" i="1"/>
  <c r="EG75" i="1"/>
  <c r="EG83" i="1"/>
  <c r="EG91" i="1"/>
  <c r="EG99" i="1"/>
  <c r="EG107" i="1"/>
  <c r="EG7" i="1"/>
  <c r="EG15" i="1"/>
  <c r="EG23" i="1"/>
  <c r="EG31" i="1"/>
  <c r="EG39" i="1"/>
  <c r="EG47" i="1"/>
  <c r="EG55" i="1"/>
  <c r="EG63" i="1"/>
  <c r="EG71" i="1"/>
  <c r="EG79" i="1"/>
  <c r="EG87" i="1"/>
  <c r="EG95" i="1"/>
  <c r="EG103" i="1"/>
  <c r="EG111" i="1"/>
  <c r="EH17" i="1"/>
  <c r="EH73" i="1"/>
  <c r="EG37" i="1"/>
  <c r="EG85" i="1"/>
  <c r="EH4" i="1"/>
  <c r="EH12" i="1"/>
  <c r="EH20" i="1"/>
  <c r="EH28" i="1"/>
  <c r="EH36" i="1"/>
  <c r="EH44" i="1"/>
  <c r="EH52" i="1"/>
  <c r="EH60" i="1"/>
  <c r="EH68" i="1"/>
  <c r="EH76" i="1"/>
  <c r="EH84" i="1"/>
  <c r="EH92" i="1"/>
  <c r="EH100" i="1"/>
  <c r="EH108" i="1"/>
  <c r="EG8" i="1"/>
  <c r="EG16" i="1"/>
  <c r="EG24" i="1"/>
  <c r="EG32" i="1"/>
  <c r="EG40" i="1"/>
  <c r="EG48" i="1"/>
  <c r="EG56" i="1"/>
  <c r="EG64" i="1"/>
  <c r="EG72" i="1"/>
  <c r="EG80" i="1"/>
  <c r="EG88" i="1"/>
  <c r="EG96" i="1"/>
  <c r="EG104" i="1"/>
  <c r="EH25" i="1"/>
  <c r="EH97" i="1"/>
  <c r="EG5" i="1"/>
  <c r="EG101" i="1"/>
  <c r="EH5" i="1"/>
  <c r="EH13" i="1"/>
  <c r="EH21" i="1"/>
  <c r="EH29" i="1"/>
  <c r="EH37" i="1"/>
  <c r="EH45" i="1"/>
  <c r="EH53" i="1"/>
  <c r="EH61" i="1"/>
  <c r="EH69" i="1"/>
  <c r="EH77" i="1"/>
  <c r="EH85" i="1"/>
  <c r="EH93" i="1"/>
  <c r="EH101" i="1"/>
  <c r="EH109" i="1"/>
  <c r="EG9" i="1"/>
  <c r="EG17" i="1"/>
  <c r="EG25" i="1"/>
  <c r="EG33" i="1"/>
  <c r="EG41" i="1"/>
  <c r="EG49" i="1"/>
  <c r="EG57" i="1"/>
  <c r="EG65" i="1"/>
  <c r="EG73" i="1"/>
  <c r="EG81" i="1"/>
  <c r="EG89" i="1"/>
  <c r="EG97" i="1"/>
  <c r="EG105" i="1"/>
  <c r="EH49" i="1"/>
  <c r="EH105" i="1"/>
  <c r="EG29" i="1"/>
  <c r="EG77" i="1"/>
  <c r="EH6" i="1"/>
  <c r="EH22" i="1"/>
  <c r="EH30" i="1"/>
  <c r="EH38" i="1"/>
  <c r="EH46" i="1"/>
  <c r="EH54" i="1"/>
  <c r="EH62" i="1"/>
  <c r="EH70" i="1"/>
  <c r="EH78" i="1"/>
  <c r="EH86" i="1"/>
  <c r="EH94" i="1"/>
  <c r="EH102" i="1"/>
  <c r="EH110" i="1"/>
  <c r="EG10" i="1"/>
  <c r="EG18" i="1"/>
  <c r="EG26" i="1"/>
  <c r="EG34" i="1"/>
  <c r="EG42" i="1"/>
  <c r="EG50" i="1"/>
  <c r="EG58" i="1"/>
  <c r="EG66" i="1"/>
  <c r="EG74" i="1"/>
  <c r="EG82" i="1"/>
  <c r="EG90" i="1"/>
  <c r="EG98" i="1"/>
  <c r="EG106" i="1"/>
  <c r="EH9" i="1"/>
  <c r="EH65" i="1"/>
  <c r="EG21" i="1"/>
  <c r="EG69" i="1"/>
  <c r="EH7" i="1"/>
  <c r="EH15" i="1"/>
  <c r="EH23" i="1"/>
  <c r="EH31" i="1"/>
  <c r="EH39" i="1"/>
  <c r="EH47" i="1"/>
  <c r="EH55" i="1"/>
  <c r="EH63" i="1"/>
  <c r="EH71" i="1"/>
  <c r="EH79" i="1"/>
  <c r="EH87" i="1"/>
  <c r="EH95" i="1"/>
  <c r="EH103" i="1"/>
  <c r="EH111" i="1"/>
  <c r="EH33" i="1"/>
  <c r="EH81" i="1"/>
  <c r="EG53" i="1"/>
  <c r="EG109" i="1"/>
  <c r="EG12" i="1"/>
  <c r="EG20" i="1"/>
  <c r="EG28" i="1"/>
  <c r="EG36" i="1"/>
  <c r="EG44" i="1"/>
  <c r="EG52" i="1"/>
  <c r="EG60" i="1"/>
  <c r="EG68" i="1"/>
  <c r="EG76" i="1"/>
  <c r="EG84" i="1"/>
  <c r="EG92" i="1"/>
  <c r="EG100" i="1"/>
  <c r="EG108" i="1"/>
</calcChain>
</file>

<file path=xl/sharedStrings.xml><?xml version="1.0" encoding="utf-8"?>
<sst xmlns="http://schemas.openxmlformats.org/spreadsheetml/2006/main" count="42450" uniqueCount="2953">
  <si>
    <t>Q1</t>
  </si>
  <si>
    <t>Q3a_1_1</t>
  </si>
  <si>
    <t>Q3a_2_1</t>
  </si>
  <si>
    <t>Q3a_3_1</t>
  </si>
  <si>
    <t>Q3a_4_1</t>
  </si>
  <si>
    <t>Q5a_1_1</t>
  </si>
  <si>
    <t>Q5a_1_2</t>
  </si>
  <si>
    <t>Q5a_1_3</t>
  </si>
  <si>
    <t>Q5a_1_4</t>
  </si>
  <si>
    <t>Q5a_1_5</t>
  </si>
  <si>
    <t>Q5a_1_6</t>
  </si>
  <si>
    <t>Q5a_1_7</t>
  </si>
  <si>
    <t>Q5a_1_8</t>
  </si>
  <si>
    <t>Q5a_1_9</t>
  </si>
  <si>
    <t>Q5a_1_10</t>
  </si>
  <si>
    <t>Q5a_1_11</t>
  </si>
  <si>
    <t>Q5a_1_12</t>
  </si>
  <si>
    <t>Q5a_2_1</t>
  </si>
  <si>
    <t>Q5a_2_2</t>
  </si>
  <si>
    <t>Q5a_2_3</t>
  </si>
  <si>
    <t>Q5a_2_4</t>
  </si>
  <si>
    <t>Q5a_2_5</t>
  </si>
  <si>
    <t>Q5a_2_6</t>
  </si>
  <si>
    <t>Q5a_2_7</t>
  </si>
  <si>
    <t>Q5a_2_8</t>
  </si>
  <si>
    <t>Q5a_2_9</t>
  </si>
  <si>
    <t>Q5a_2_10</t>
  </si>
  <si>
    <t>Q5a_2_11</t>
  </si>
  <si>
    <t>Q5a_2_12</t>
  </si>
  <si>
    <t>Q5a_3_1</t>
  </si>
  <si>
    <t>Q5a_3_2</t>
  </si>
  <si>
    <t>Q5a_3_3</t>
  </si>
  <si>
    <t>Q5a_3_4</t>
  </si>
  <si>
    <t>Q5a_3_5</t>
  </si>
  <si>
    <t>Q5a_3_6</t>
  </si>
  <si>
    <t>Q5a_3_7</t>
  </si>
  <si>
    <t>Q5a_3_8</t>
  </si>
  <si>
    <t>Q5a_3_9</t>
  </si>
  <si>
    <t>Q5a_3_10</t>
  </si>
  <si>
    <t>Q5a_3_11</t>
  </si>
  <si>
    <t>Q5a_3_12</t>
  </si>
  <si>
    <t>Q5a_4_1</t>
  </si>
  <si>
    <t>Q5a_4_2</t>
  </si>
  <si>
    <t>Q5a_4_3</t>
  </si>
  <si>
    <t>Q5a_4_4</t>
  </si>
  <si>
    <t>Q5a_4_5</t>
  </si>
  <si>
    <t>Q5a_4_6</t>
  </si>
  <si>
    <t>Q5a_4_7</t>
  </si>
  <si>
    <t>Q5a_4_8</t>
  </si>
  <si>
    <t>Q5a_4_9</t>
  </si>
  <si>
    <t>Q5a_4_10</t>
  </si>
  <si>
    <t>Q5a_4_11</t>
  </si>
  <si>
    <t>Q5a_4_12</t>
  </si>
  <si>
    <t>Q5a_5_1</t>
  </si>
  <si>
    <t>Q5a_5_2</t>
  </si>
  <si>
    <t>Q5a_5_3</t>
  </si>
  <si>
    <t>Q5a_5_4</t>
  </si>
  <si>
    <t>Q5a_5_5</t>
  </si>
  <si>
    <t>Q5a_5_6</t>
  </si>
  <si>
    <t>Q5a_5_7</t>
  </si>
  <si>
    <t>Q5a_5_8</t>
  </si>
  <si>
    <t>Q5a_5_9</t>
  </si>
  <si>
    <t>Q5a_5_10</t>
  </si>
  <si>
    <t>Q5a_5_11</t>
  </si>
  <si>
    <t>Q5a_5_12</t>
  </si>
  <si>
    <t>Q5a_6_1</t>
  </si>
  <si>
    <t>Q5a_6_2</t>
  </si>
  <si>
    <t>Q5a_6_3</t>
  </si>
  <si>
    <t>Q5a_6_4</t>
  </si>
  <si>
    <t>Q5a_6_5</t>
  </si>
  <si>
    <t>Q5a_6_6</t>
  </si>
  <si>
    <t>Q5a_6_7</t>
  </si>
  <si>
    <t>Q5a_6_8</t>
  </si>
  <si>
    <t>Q5a_6_9</t>
  </si>
  <si>
    <t>Q5a_6_10</t>
  </si>
  <si>
    <t>Q5a_6_11</t>
  </si>
  <si>
    <t>Q5a_6_12</t>
  </si>
  <si>
    <t>Q5a_7_1</t>
  </si>
  <si>
    <t>Q5a_7_2</t>
  </si>
  <si>
    <t>Q5a_7_3</t>
  </si>
  <si>
    <t>Q5a_7_4</t>
  </si>
  <si>
    <t>Q5a_7_5</t>
  </si>
  <si>
    <t>Q5a_7_6</t>
  </si>
  <si>
    <t>Q5a_7_7</t>
  </si>
  <si>
    <t>Q5a_7_8</t>
  </si>
  <si>
    <t>Q5a_7_9</t>
  </si>
  <si>
    <t>Q5a_7_10</t>
  </si>
  <si>
    <t>Q5a_7_11</t>
  </si>
  <si>
    <t>Q5a_7_12</t>
  </si>
  <si>
    <t>Q5a_8_1</t>
  </si>
  <si>
    <t>Q5a_8_2</t>
  </si>
  <si>
    <t>Q5a_8_3</t>
  </si>
  <si>
    <t>Q5a_8_4</t>
  </si>
  <si>
    <t>Q5a_8_5</t>
  </si>
  <si>
    <t>Q5a_8_6</t>
  </si>
  <si>
    <t>Q5a_8_7</t>
  </si>
  <si>
    <t>Q5a_8_8</t>
  </si>
  <si>
    <t>Q5a_8_9</t>
  </si>
  <si>
    <t>Q5a_8_10</t>
  </si>
  <si>
    <t>Q5a_8_11</t>
  </si>
  <si>
    <t>Q5a_8_12</t>
  </si>
  <si>
    <t>Q5a_9_1</t>
  </si>
  <si>
    <t>Q5a_9_2</t>
  </si>
  <si>
    <t>Q5a_9_3</t>
  </si>
  <si>
    <t>Q5a_9_4</t>
  </si>
  <si>
    <t>Q5a_9_5</t>
  </si>
  <si>
    <t>Q5a_9_6</t>
  </si>
  <si>
    <t>Q5a_9_7</t>
  </si>
  <si>
    <t>Q5a_9_8</t>
  </si>
  <si>
    <t>Q5a_9_9</t>
  </si>
  <si>
    <t>Q5a_9_10</t>
  </si>
  <si>
    <t>Q5a_9_11</t>
  </si>
  <si>
    <t>Q5a_9_12</t>
  </si>
  <si>
    <t>Q5a_10_1</t>
  </si>
  <si>
    <t>Q5a_10_2</t>
  </si>
  <si>
    <t>Q5a_10_3</t>
  </si>
  <si>
    <t>Q5a_10_4</t>
  </si>
  <si>
    <t>Q5a_10_5</t>
  </si>
  <si>
    <t>Q5a_10_6</t>
  </si>
  <si>
    <t>Q5a_10_7</t>
  </si>
  <si>
    <t>Q5a_10_8</t>
  </si>
  <si>
    <t>Q5a_10_9</t>
  </si>
  <si>
    <t>Q5a_10_10</t>
  </si>
  <si>
    <t>Q5a_10_11</t>
  </si>
  <si>
    <t>Q5a_10_12</t>
  </si>
  <si>
    <t>Q7a_1_1</t>
  </si>
  <si>
    <t>Q7a_1_2</t>
  </si>
  <si>
    <t>Q7a_1_3</t>
  </si>
  <si>
    <t>Q7a_1_4</t>
  </si>
  <si>
    <t>Q7a_1_13</t>
  </si>
  <si>
    <t>Q7a_1_14</t>
  </si>
  <si>
    <t>Q7a_1_15</t>
  </si>
  <si>
    <t>Q7a_1_16</t>
  </si>
  <si>
    <t>Q7a_1_17</t>
  </si>
  <si>
    <t>Q7a_1_18</t>
  </si>
  <si>
    <t>Q7a_1_19</t>
  </si>
  <si>
    <t>Q7a_1_20</t>
  </si>
  <si>
    <t>Q7a_2_1</t>
  </si>
  <si>
    <t>Q7a_2_2</t>
  </si>
  <si>
    <t>Q7a_2_3</t>
  </si>
  <si>
    <t>Q7a_2_4</t>
  </si>
  <si>
    <t>Q7a_2_13</t>
  </si>
  <si>
    <t>Q7a_2_14</t>
  </si>
  <si>
    <t>Q7a_2_15</t>
  </si>
  <si>
    <t>Q7a_2_16</t>
  </si>
  <si>
    <t>Q7a_2_17</t>
  </si>
  <si>
    <t>Q7a_2_18</t>
  </si>
  <si>
    <t>Q7a_2_19</t>
  </si>
  <si>
    <t>Q7a_2_20</t>
  </si>
  <si>
    <t>Q7a_3_1</t>
  </si>
  <si>
    <t>Q7a_3_2</t>
  </si>
  <si>
    <t>Q7a_3_3</t>
  </si>
  <si>
    <t>Q7a_3_4</t>
  </si>
  <si>
    <t>Q7a_3_13</t>
  </si>
  <si>
    <t>Q7a_3_14</t>
  </si>
  <si>
    <t>Q7a_3_15</t>
  </si>
  <si>
    <t>Q7a_3_16</t>
  </si>
  <si>
    <t>Q7a_3_17</t>
  </si>
  <si>
    <t>Q7a_3_18</t>
  </si>
  <si>
    <t>Q7a_3_19</t>
  </si>
  <si>
    <t>Q7a_3_20</t>
  </si>
  <si>
    <t>Q7a_4_1</t>
  </si>
  <si>
    <t>Q7a_4_2</t>
  </si>
  <si>
    <t>Q7a_4_3</t>
  </si>
  <si>
    <t>Q7a_4_4</t>
  </si>
  <si>
    <t>Q7a_4_13</t>
  </si>
  <si>
    <t>Q7a_4_14</t>
  </si>
  <si>
    <t>Q7a_4_15</t>
  </si>
  <si>
    <t>Q7a_4_16</t>
  </si>
  <si>
    <t>Q7a_4_17</t>
  </si>
  <si>
    <t>Q7a_4_18</t>
  </si>
  <si>
    <t>Q7a_4_19</t>
  </si>
  <si>
    <t>Q7a_4_20</t>
  </si>
  <si>
    <t>Q7a_5_1</t>
  </si>
  <si>
    <t>Q7a_5_2</t>
  </si>
  <si>
    <t>Q7a_5_3</t>
  </si>
  <si>
    <t>Q7a_5_4</t>
  </si>
  <si>
    <t>Q7a_5_13</t>
  </si>
  <si>
    <t>Q7a_5_14</t>
  </si>
  <si>
    <t>Q7a_5_15</t>
  </si>
  <si>
    <t>Q7a_5_16</t>
  </si>
  <si>
    <t>Q7a_5_17</t>
  </si>
  <si>
    <t>Q7a_5_18</t>
  </si>
  <si>
    <t>Q7a_5_19</t>
  </si>
  <si>
    <t>Q7a_5_20</t>
  </si>
  <si>
    <t>Q7a_6_1</t>
  </si>
  <si>
    <t>Q7a_6_2</t>
  </si>
  <si>
    <t>Q7a_6_3</t>
  </si>
  <si>
    <t>Q7a_6_4</t>
  </si>
  <si>
    <t>Q7a_6_13</t>
  </si>
  <si>
    <t>Q7a_6_14</t>
  </si>
  <si>
    <t>Q7a_6_15</t>
  </si>
  <si>
    <t>Q7a_6_16</t>
  </si>
  <si>
    <t>Q7a_6_17</t>
  </si>
  <si>
    <t>Q7a_6_18</t>
  </si>
  <si>
    <t>Q7a_6_19</t>
  </si>
  <si>
    <t>Q7a_6_20</t>
  </si>
  <si>
    <t>Q7a_7_1</t>
  </si>
  <si>
    <t>Q7a_7_2</t>
  </si>
  <si>
    <t>Q7a_7_3</t>
  </si>
  <si>
    <t>Q7a_7_4</t>
  </si>
  <si>
    <t>Q7a_7_13</t>
  </si>
  <si>
    <t>Q7a_7_14</t>
  </si>
  <si>
    <t>Q7a_7_15</t>
  </si>
  <si>
    <t>Q7a_7_16</t>
  </si>
  <si>
    <t>Q7a_7_17</t>
  </si>
  <si>
    <t>Q7a_7_18</t>
  </si>
  <si>
    <t>Q7a_7_19</t>
  </si>
  <si>
    <t>Q7a_7_20</t>
  </si>
  <si>
    <t>Q7a_8_1</t>
  </si>
  <si>
    <t>Q7a_8_2</t>
  </si>
  <si>
    <t>Q7a_8_3</t>
  </si>
  <si>
    <t>Q7a_8_4</t>
  </si>
  <si>
    <t>Q7a_8_13</t>
  </si>
  <si>
    <t>Q7a_8_14</t>
  </si>
  <si>
    <t>Q7a_8_15</t>
  </si>
  <si>
    <t>Q7a_8_16</t>
  </si>
  <si>
    <t>Q7a_8_17</t>
  </si>
  <si>
    <t>Q7a_8_18</t>
  </si>
  <si>
    <t>Q7a_8_19</t>
  </si>
  <si>
    <t>Q7a_8_20</t>
  </si>
  <si>
    <t>Q8a_1_1</t>
  </si>
  <si>
    <t>Q8a_1_2</t>
  </si>
  <si>
    <t>Q8a_1_3</t>
  </si>
  <si>
    <t>Q8a_1_5</t>
  </si>
  <si>
    <t>Q8a_1_6</t>
  </si>
  <si>
    <t>Q8a_1_7</t>
  </si>
  <si>
    <t>Q8a_1_8</t>
  </si>
  <si>
    <t>Q8a_1_9</t>
  </si>
  <si>
    <t>Q8a_1_10</t>
  </si>
  <si>
    <t>Q8a_1_11</t>
  </si>
  <si>
    <t>Q8a_1_12</t>
  </si>
  <si>
    <t>Q8a_1_13</t>
  </si>
  <si>
    <t>Q8a_2_1</t>
  </si>
  <si>
    <t>Q8a_2_2</t>
  </si>
  <si>
    <t>Q8a_2_3</t>
  </si>
  <si>
    <t>Q8a_2_5</t>
  </si>
  <si>
    <t>Q8a_2_6</t>
  </si>
  <si>
    <t>Q8a_2_7</t>
  </si>
  <si>
    <t>Q8a_2_8</t>
  </si>
  <si>
    <t>Q8a_2_9</t>
  </si>
  <si>
    <t>Q8a_2_10</t>
  </si>
  <si>
    <t>Q8a_2_11</t>
  </si>
  <si>
    <t>Q8a_2_12</t>
  </si>
  <si>
    <t>Q8a_2_13</t>
  </si>
  <si>
    <t>Q8a_3_1</t>
  </si>
  <si>
    <t>Q8a_3_2</t>
  </si>
  <si>
    <t>Q8a_3_3</t>
  </si>
  <si>
    <t>Q8a_3_5</t>
  </si>
  <si>
    <t>Q8a_3_6</t>
  </si>
  <si>
    <t>Q8a_3_7</t>
  </si>
  <si>
    <t>Q8a_3_8</t>
  </si>
  <si>
    <t>Q8a_3_9</t>
  </si>
  <si>
    <t>Q8a_3_10</t>
  </si>
  <si>
    <t>Q8a_3_11</t>
  </si>
  <si>
    <t>Q8a_3_12</t>
  </si>
  <si>
    <t>Q8a_3_13</t>
  </si>
  <si>
    <t>Q8a_4_1</t>
  </si>
  <si>
    <t>Q8a_4_2</t>
  </si>
  <si>
    <t>Q8a_4_3</t>
  </si>
  <si>
    <t>Q8a_4_5</t>
  </si>
  <si>
    <t>Q8a_4_6</t>
  </si>
  <si>
    <t>Q8a_4_7</t>
  </si>
  <si>
    <t>Q8a_4_8</t>
  </si>
  <si>
    <t>Q8a_4_9</t>
  </si>
  <si>
    <t>Q8a_4_10</t>
  </si>
  <si>
    <t>Q8a_4_11</t>
  </si>
  <si>
    <t>Q8a_4_12</t>
  </si>
  <si>
    <t>Q8a_4_13</t>
  </si>
  <si>
    <t>Q8a_5_1</t>
  </si>
  <si>
    <t>Q8a_5_2</t>
  </si>
  <si>
    <t>Q8a_5_3</t>
  </si>
  <si>
    <t>Q8a_5_5</t>
  </si>
  <si>
    <t>Q8a_5_6</t>
  </si>
  <si>
    <t>Q8a_5_7</t>
  </si>
  <si>
    <t>Q8a_5_8</t>
  </si>
  <si>
    <t>Q8a_5_9</t>
  </si>
  <si>
    <t>Q8a_5_10</t>
  </si>
  <si>
    <t>Q8a_5_11</t>
  </si>
  <si>
    <t>Q8a_5_12</t>
  </si>
  <si>
    <t>Q8a_5_13</t>
  </si>
  <si>
    <t>Q8a_6_1</t>
  </si>
  <si>
    <t>Q8a_6_2</t>
  </si>
  <si>
    <t>Q8a_6_3</t>
  </si>
  <si>
    <t>Q8a_6_5</t>
  </si>
  <si>
    <t>Q8a_6_6</t>
  </si>
  <si>
    <t>Q8a_6_7</t>
  </si>
  <si>
    <t>Q8a_6_8</t>
  </si>
  <si>
    <t>Q8a_6_9</t>
  </si>
  <si>
    <t>Q8a_6_10</t>
  </si>
  <si>
    <t>Q8a_6_11</t>
  </si>
  <si>
    <t>Q8a_6_12</t>
  </si>
  <si>
    <t>Q8a_6_13</t>
  </si>
  <si>
    <t>Q8a_7_1</t>
  </si>
  <si>
    <t>Q8a_7_2</t>
  </si>
  <si>
    <t>Q8a_7_3</t>
  </si>
  <si>
    <t>Q8a_7_5</t>
  </si>
  <si>
    <t>Q8a_7_6</t>
  </si>
  <si>
    <t>Q8a_7_7</t>
  </si>
  <si>
    <t>Q8a_7_8</t>
  </si>
  <si>
    <t>Q8a_7_9</t>
  </si>
  <si>
    <t>Q8a_7_10</t>
  </si>
  <si>
    <t>Q8a_7_11</t>
  </si>
  <si>
    <t>Q8a_7_12</t>
  </si>
  <si>
    <t>Q8a_7_13</t>
  </si>
  <si>
    <t>Q8a_8_1</t>
  </si>
  <si>
    <t>Q8a_8_2</t>
  </si>
  <si>
    <t>Q8a_8_3</t>
  </si>
  <si>
    <t>Q8a_8_5</t>
  </si>
  <si>
    <t>Q8a_8_6</t>
  </si>
  <si>
    <t>Q8a_8_7</t>
  </si>
  <si>
    <t>Q8a_8_8</t>
  </si>
  <si>
    <t>Q8a_8_9</t>
  </si>
  <si>
    <t>Q8a_8_10</t>
  </si>
  <si>
    <t>Q8a_8_11</t>
  </si>
  <si>
    <t>Q8a_8_12</t>
  </si>
  <si>
    <t>Q8a_8_13</t>
  </si>
  <si>
    <t>Q10a_1_1</t>
  </si>
  <si>
    <t>Q10a_1_2</t>
  </si>
  <si>
    <t>Q10a_1_3</t>
  </si>
  <si>
    <t>Q10a_1_4</t>
  </si>
  <si>
    <t>Q10a_1_5</t>
  </si>
  <si>
    <t>Q10a_1_6</t>
  </si>
  <si>
    <t>Q10a_1_7</t>
  </si>
  <si>
    <t>Q10a_1_8</t>
  </si>
  <si>
    <t>Q10a_1_9</t>
  </si>
  <si>
    <t>Q10a_1_10</t>
  </si>
  <si>
    <t>Q10a_1_11</t>
  </si>
  <si>
    <t>Q10a_1_12</t>
  </si>
  <si>
    <t>Q10a_2_1</t>
  </si>
  <si>
    <t>Q10a_2_2</t>
  </si>
  <si>
    <t>Q10a_2_3</t>
  </si>
  <si>
    <t>Q10a_2_4</t>
  </si>
  <si>
    <t>Q10a_2_5</t>
  </si>
  <si>
    <t>Q10a_2_6</t>
  </si>
  <si>
    <t>Q10a_2_7</t>
  </si>
  <si>
    <t>Q10a_2_8</t>
  </si>
  <si>
    <t>Q10a_2_9</t>
  </si>
  <si>
    <t>Q10a_2_10</t>
  </si>
  <si>
    <t>Q10a_2_11</t>
  </si>
  <si>
    <t>Q10a_2_12</t>
  </si>
  <si>
    <t>Q10a_3_1</t>
  </si>
  <si>
    <t>Q10a_3_2</t>
  </si>
  <si>
    <t>Q10a_3_3</t>
  </si>
  <si>
    <t>Q10a_3_4</t>
  </si>
  <si>
    <t>Q10a_3_5</t>
  </si>
  <si>
    <t>Q10a_3_6</t>
  </si>
  <si>
    <t>Q10a_3_7</t>
  </si>
  <si>
    <t>Q10a_3_8</t>
  </si>
  <si>
    <t>Q10a_3_9</t>
  </si>
  <si>
    <t>Q10a_3_10</t>
  </si>
  <si>
    <t>Q10a_3_11</t>
  </si>
  <si>
    <t>Q10a_3_12</t>
  </si>
  <si>
    <t>Q10a_4_1</t>
  </si>
  <si>
    <t>Q10a_4_2</t>
  </si>
  <si>
    <t>Q10a_4_3</t>
  </si>
  <si>
    <t>Q10a_4_4</t>
  </si>
  <si>
    <t>Q10a_4_5</t>
  </si>
  <si>
    <t>Q10a_4_6</t>
  </si>
  <si>
    <t>Q10a_4_7</t>
  </si>
  <si>
    <t>Q10a_4_8</t>
  </si>
  <si>
    <t>Q10a_4_9</t>
  </si>
  <si>
    <t>Q10a_4_10</t>
  </si>
  <si>
    <t>Q10a_4_11</t>
  </si>
  <si>
    <t>Q10a_4_12</t>
  </si>
  <si>
    <t>Q10a_5_1</t>
  </si>
  <si>
    <t>Q10a_5_2</t>
  </si>
  <si>
    <t>Q10a_5_3</t>
  </si>
  <si>
    <t>Q10a_5_4</t>
  </si>
  <si>
    <t>Q10a_5_5</t>
  </si>
  <si>
    <t>Q10a_5_6</t>
  </si>
  <si>
    <t>Q10a_5_7</t>
  </si>
  <si>
    <t>Q10a_5_8</t>
  </si>
  <si>
    <t>Q10a_5_9</t>
  </si>
  <si>
    <t>Q10a_5_10</t>
  </si>
  <si>
    <t>Q10a_5_11</t>
  </si>
  <si>
    <t>Q10a_5_12</t>
  </si>
  <si>
    <t>Q10a_6_1</t>
  </si>
  <si>
    <t>Q10a_6_2</t>
  </si>
  <si>
    <t>Q10a_6_3</t>
  </si>
  <si>
    <t>Q10a_6_4</t>
  </si>
  <si>
    <t>Q10a_6_5</t>
  </si>
  <si>
    <t>Q10a_6_6</t>
  </si>
  <si>
    <t>Q10a_6_7</t>
  </si>
  <si>
    <t>Q10a_6_8</t>
  </si>
  <si>
    <t>Q10a_6_9</t>
  </si>
  <si>
    <t>Q10a_6_10</t>
  </si>
  <si>
    <t>Q10a_6_11</t>
  </si>
  <si>
    <t>Q10a_6_12</t>
  </si>
  <si>
    <t>Q10a_7_1</t>
  </si>
  <si>
    <t>Q10a_7_2</t>
  </si>
  <si>
    <t>Q10a_7_3</t>
  </si>
  <si>
    <t>Q10a_7_4</t>
  </si>
  <si>
    <t>Q10a_7_5</t>
  </si>
  <si>
    <t>Q10a_7_6</t>
  </si>
  <si>
    <t>Q10a_7_7</t>
  </si>
  <si>
    <t>Q10a_7_8</t>
  </si>
  <si>
    <t>Q10a_7_9</t>
  </si>
  <si>
    <t>Q10a_7_10</t>
  </si>
  <si>
    <t>Q10a_7_11</t>
  </si>
  <si>
    <t>Q10a_7_12</t>
  </si>
  <si>
    <t>Q10a_8_1</t>
  </si>
  <si>
    <t>Q10a_8_2</t>
  </si>
  <si>
    <t>Q10a_8_3</t>
  </si>
  <si>
    <t>Q10a_8_4</t>
  </si>
  <si>
    <t>Q10a_8_5</t>
  </si>
  <si>
    <t>Q10a_8_6</t>
  </si>
  <si>
    <t>Q10a_8_7</t>
  </si>
  <si>
    <t>Q10a_8_8</t>
  </si>
  <si>
    <t>Q10a_8_9</t>
  </si>
  <si>
    <t>Q10a_8_10</t>
  </si>
  <si>
    <t>Q10a_8_11</t>
  </si>
  <si>
    <t>Q10a_8_12</t>
  </si>
  <si>
    <t>Q11a_1_1</t>
  </si>
  <si>
    <t>Q11a_1_2</t>
  </si>
  <si>
    <t>Q11a_1_3</t>
  </si>
  <si>
    <t>Q11a_1_4</t>
  </si>
  <si>
    <t>Q11a_1_14</t>
  </si>
  <si>
    <t>Q11a_1_15</t>
  </si>
  <si>
    <t>Q11a_1_16</t>
  </si>
  <si>
    <t>Q11a_1_17</t>
  </si>
  <si>
    <t>Q11a_1_18</t>
  </si>
  <si>
    <t>Q11a_1_19</t>
  </si>
  <si>
    <t>Q11a_1_20</t>
  </si>
  <si>
    <t>Q11a_1_21</t>
  </si>
  <si>
    <t>Q11a_2_1</t>
  </si>
  <si>
    <t>Q11a_2_2</t>
  </si>
  <si>
    <t>Q11a_2_3</t>
  </si>
  <si>
    <t>Q11a_2_4</t>
  </si>
  <si>
    <t>Q11a_2_14</t>
  </si>
  <si>
    <t>Q11a_2_15</t>
  </si>
  <si>
    <t>Q11a_2_16</t>
  </si>
  <si>
    <t>Q11a_2_17</t>
  </si>
  <si>
    <t>Q11a_2_18</t>
  </si>
  <si>
    <t>Q11a_2_19</t>
  </si>
  <si>
    <t>Q11a_2_20</t>
  </si>
  <si>
    <t>Q11a_2_21</t>
  </si>
  <si>
    <t>Q12a_1_1</t>
  </si>
  <si>
    <t>Q12a_1_2</t>
  </si>
  <si>
    <t>Q12a_1_3</t>
  </si>
  <si>
    <t>Q12a_1_4</t>
  </si>
  <si>
    <t>Q12a_1_13</t>
  </si>
  <si>
    <t>Q12a_1_14</t>
  </si>
  <si>
    <t>Q12a_1_15</t>
  </si>
  <si>
    <t>Q12a_1_16</t>
  </si>
  <si>
    <t>Q12a_1_17</t>
  </si>
  <si>
    <t>Q12a_1_18</t>
  </si>
  <si>
    <t>Q12a_1_19</t>
  </si>
  <si>
    <t>Q12a_1_20</t>
  </si>
  <si>
    <t>Q12a_2_1</t>
  </si>
  <si>
    <t>Q12a_2_2</t>
  </si>
  <si>
    <t>Q12a_2_3</t>
  </si>
  <si>
    <t>Q12a_2_4</t>
  </si>
  <si>
    <t>Q12a_2_13</t>
  </si>
  <si>
    <t>Q12a_2_14</t>
  </si>
  <si>
    <t>Q12a_2_15</t>
  </si>
  <si>
    <t>Q12a_2_16</t>
  </si>
  <si>
    <t>Q12a_2_17</t>
  </si>
  <si>
    <t>Q12a_2_18</t>
  </si>
  <si>
    <t>Q12a_2_19</t>
  </si>
  <si>
    <t>Q12a_2_20</t>
  </si>
  <si>
    <t>Q12a_3_1</t>
  </si>
  <si>
    <t>Q12a_3_2</t>
  </si>
  <si>
    <t>Q12a_3_3</t>
  </si>
  <si>
    <t>Q12a_3_4</t>
  </si>
  <si>
    <t>Q12a_3_13</t>
  </si>
  <si>
    <t>Q12a_3_14</t>
  </si>
  <si>
    <t>Q12a_3_15</t>
  </si>
  <si>
    <t>Q12a_3_16</t>
  </si>
  <si>
    <t>Q12a_3_17</t>
  </si>
  <si>
    <t>Q12a_3_18</t>
  </si>
  <si>
    <t>Q12a_3_19</t>
  </si>
  <si>
    <t>Q12a_3_20</t>
  </si>
  <si>
    <t>Q13</t>
  </si>
  <si>
    <t>Q14a_1_1</t>
  </si>
  <si>
    <t>Q14a_1_2</t>
  </si>
  <si>
    <t>Q14a_1_3</t>
  </si>
  <si>
    <t>Q14a_1_4</t>
  </si>
  <si>
    <t>Q14a_1_13</t>
  </si>
  <si>
    <t>Q14a_1_14</t>
  </si>
  <si>
    <t>Q14a_1_15</t>
  </si>
  <si>
    <t>Q14a_1_16</t>
  </si>
  <si>
    <t>Q14a_1_17</t>
  </si>
  <si>
    <t>Q14a_1_18</t>
  </si>
  <si>
    <t>Q14a_1_19</t>
  </si>
  <si>
    <t>Q14a_1_20</t>
  </si>
  <si>
    <t>Q14a_2_1</t>
  </si>
  <si>
    <t>Q14a_2_2</t>
  </si>
  <si>
    <t>Q14a_2_3</t>
  </si>
  <si>
    <t>Q14a_2_4</t>
  </si>
  <si>
    <t>Q14a_2_13</t>
  </si>
  <si>
    <t>Q14a_2_14</t>
  </si>
  <si>
    <t>Q14a_2_15</t>
  </si>
  <si>
    <t>Q14a_2_16</t>
  </si>
  <si>
    <t>Q14a_2_17</t>
  </si>
  <si>
    <t>Q14a_2_18</t>
  </si>
  <si>
    <t>Q14a_2_19</t>
  </si>
  <si>
    <t>Q14a_2_20</t>
  </si>
  <si>
    <t>Q16_1_1</t>
  </si>
  <si>
    <t>Q16_2_1</t>
  </si>
  <si>
    <t>Q16_3_1</t>
  </si>
  <si>
    <t>Q18a</t>
  </si>
  <si>
    <t>Library service details
Please select from the dropdown</t>
  </si>
  <si>
    <t>Active members: - Total active members - Active members</t>
  </si>
  <si>
    <t>Active members: - Of which -  children 11 and under - Active members</t>
  </si>
  <si>
    <t>Active members: - Of which -  Young person - aged 12-17 - Active members</t>
  </si>
  <si>
    <t>Active members: - Of which -  Adult - 18+ - Active members</t>
  </si>
  <si>
    <t>Events: - Total number of PHYSICAL events - April 2025</t>
  </si>
  <si>
    <t>Events: - Total number of PHYSICAL events - May 2025</t>
  </si>
  <si>
    <t>Events: - Total number of PHYSICAL events - June 2025/Q1</t>
  </si>
  <si>
    <t>Events: - Total number of PHYSICAL events - July 2025</t>
  </si>
  <si>
    <t>Events: - Total number of PHYSICAL events - August 2025</t>
  </si>
  <si>
    <t>Events: - Total number of PHYSICAL events - Sept 2025/Q1</t>
  </si>
  <si>
    <t>Events: - Total number of PHYSICAL events - Oct 2025</t>
  </si>
  <si>
    <t>Events: - Total number of PHYSICAL events - Nov 2025</t>
  </si>
  <si>
    <t>Events: - Total number of PHYSICAL events - Dec 2025/Q3</t>
  </si>
  <si>
    <t>Events: - Total number of PHYSICAL events - Jan 2026</t>
  </si>
  <si>
    <t>Events: - Total number of PHYSICAL events - Feb 2026</t>
  </si>
  <si>
    <t>Events: - Total number of PHYSICAL events - March 2026</t>
  </si>
  <si>
    <t>Events: - Target audience - Children (11 and under)  - April 2025</t>
  </si>
  <si>
    <t>Events: - Target audience - Children (11 and under)  - May 2025</t>
  </si>
  <si>
    <t>Events: - Target audience - Children (11 and under)  - June 2025/Q1</t>
  </si>
  <si>
    <t>Events: - Target audience - Children (11 and under)  - July 2025</t>
  </si>
  <si>
    <t>Events: - Target audience - Children (11 and under)  - August 2025</t>
  </si>
  <si>
    <t>Events: - Target audience - Children (11 and under)  - Sept 2025/Q1</t>
  </si>
  <si>
    <t>Events: - Target audience - Children (11 and under)  - Oct 2025</t>
  </si>
  <si>
    <t>Events: - Target audience - Children (11 and under)  - Nov 2025</t>
  </si>
  <si>
    <t>Events: - Target audience - Children (11 and under)  - Dec 2025/Q3</t>
  </si>
  <si>
    <t>Events: - Target audience - Children (11 and under)  - Jan 2026</t>
  </si>
  <si>
    <t>Events: - Target audience - Children (11 and under)  - Feb 2026</t>
  </si>
  <si>
    <t>Events: - Target audience - Children (11 and under)  - March 2026</t>
  </si>
  <si>
    <t>Events: - Target audience - Young people (12-17)  - April 2025</t>
  </si>
  <si>
    <t>Events: - Target audience - Young people (12-17)  - May 2025</t>
  </si>
  <si>
    <t>Events: - Target audience - Young people (12-17)  - June 2025/Q1</t>
  </si>
  <si>
    <t>Events: - Target audience - Young people (12-17)  - July 2025</t>
  </si>
  <si>
    <t>Events: - Target audience - Young people (12-17)  - August 2025</t>
  </si>
  <si>
    <t>Events: - Target audience - Young people (12-17)  - Sept 2025/Q1</t>
  </si>
  <si>
    <t>Events: - Target audience - Young people (12-17)  - Oct 2025</t>
  </si>
  <si>
    <t>Events: - Target audience - Young people (12-17)  - Nov 2025</t>
  </si>
  <si>
    <t>Events: - Target audience - Young people (12-17)  - Dec 2025/Q3</t>
  </si>
  <si>
    <t>Events: - Target audience - Young people (12-17)  - Jan 2026</t>
  </si>
  <si>
    <t>Events: - Target audience - Young people (12-17)  - Feb 2026</t>
  </si>
  <si>
    <t>Events: - Target audience - Young people (12-17)  - March 2026</t>
  </si>
  <si>
    <t>Events: - Target audience - Adult (18+) OR unclassified - April 2025</t>
  </si>
  <si>
    <t>Events: - Target audience - Adult (18+) OR unclassified - May 2025</t>
  </si>
  <si>
    <t>Events: - Target audience - Adult (18+) OR unclassified - June 2025/Q1</t>
  </si>
  <si>
    <t>Events: - Target audience - Adult (18+) OR unclassified - July 2025</t>
  </si>
  <si>
    <t>Events: - Target audience - Adult (18+) OR unclassified - August 2025</t>
  </si>
  <si>
    <t>Events: - Target audience - Adult (18+) OR unclassified - Sept 2025/Q1</t>
  </si>
  <si>
    <t>Events: - Target audience - Adult (18+) OR unclassified - Oct 2025</t>
  </si>
  <si>
    <t>Events: - Target audience - Adult (18+) OR unclassified - Nov 2025</t>
  </si>
  <si>
    <t>Events: - Target audience - Adult (18+) OR unclassified - Dec 2025/Q3</t>
  </si>
  <si>
    <t>Events: - Target audience - Adult (18+) OR unclassified - Jan 2026</t>
  </si>
  <si>
    <t>Events: - Target audience - Adult (18+) OR unclassified - Feb 2026</t>
  </si>
  <si>
    <t>Events: - Target audience - Adult (18+) OR unclassified - March 2026</t>
  </si>
  <si>
    <t>Events: - Physical events aimed at all age groups - April 2025</t>
  </si>
  <si>
    <t>Events: - Physical events aimed at all age groups - May 2025</t>
  </si>
  <si>
    <t>Events: - Physical events aimed at all age groups - June 2025/Q1</t>
  </si>
  <si>
    <t>Events: - Physical events aimed at all age groups - July 2025</t>
  </si>
  <si>
    <t>Events: - Physical events aimed at all age groups - August 2025</t>
  </si>
  <si>
    <t>Events: - Physical events aimed at all age groups - Sept 2025/Q1</t>
  </si>
  <si>
    <t>Events: - Physical events aimed at all age groups - Oct 2025</t>
  </si>
  <si>
    <t>Events: - Physical events aimed at all age groups - Nov 2025</t>
  </si>
  <si>
    <t>Events: - Physical events aimed at all age groups - Dec 2025/Q3</t>
  </si>
  <si>
    <t>Events: - Physical events aimed at all age groups - Jan 2026</t>
  </si>
  <si>
    <t>Events: - Physical events aimed at all age groups - Feb 2026</t>
  </si>
  <si>
    <t>Events: - Physical events aimed at all age groups - March 2026</t>
  </si>
  <si>
    <t>Events: - Total number of DIGITAL events - April 2025</t>
  </si>
  <si>
    <t>Events: - Total number of DIGITAL events - May 2025</t>
  </si>
  <si>
    <t>Events: - Total number of DIGITAL events - June 2025/Q1</t>
  </si>
  <si>
    <t>Events: - Total number of DIGITAL events - July 2025</t>
  </si>
  <si>
    <t>Events: - Total number of DIGITAL events - August 2025</t>
  </si>
  <si>
    <t>Events: - Total number of DIGITAL events - Sept 2025/Q1</t>
  </si>
  <si>
    <t>Events: - Total number of DIGITAL events - Oct 2025</t>
  </si>
  <si>
    <t>Events: - Total number of DIGITAL events - Nov 2025</t>
  </si>
  <si>
    <t>Events: - Total number of DIGITAL events - Dec 2025/Q3</t>
  </si>
  <si>
    <t>Events: - Total number of DIGITAL events - Jan 2026</t>
  </si>
  <si>
    <t>Events: - Total number of DIGITAL events - Feb 2026</t>
  </si>
  <si>
    <t>Events: - Total number of DIGITAL events - March 2026</t>
  </si>
  <si>
    <t>Events: - Digital events aimed at all age groups - April 2025</t>
  </si>
  <si>
    <t>Events: - Digital events aimed at all age groups - May 2025</t>
  </si>
  <si>
    <t>Events: - Digital events aimed at all age groups - June 2025/Q1</t>
  </si>
  <si>
    <t>Events: - Digital events aimed at all age groups - July 2025</t>
  </si>
  <si>
    <t>Events: - Digital events aimed at all age groups - August 2025</t>
  </si>
  <si>
    <t>Events: - Digital events aimed at all age groups - Sept 2025/Q1</t>
  </si>
  <si>
    <t>Events: - Digital events aimed at all age groups - Oct 2025</t>
  </si>
  <si>
    <t>Events: - Digital events aimed at all age groups - Nov 2025</t>
  </si>
  <si>
    <t>Events: - Digital events aimed at all age groups - Dec 2025/Q3</t>
  </si>
  <si>
    <t>Events: - Digital events aimed at all age groups - Jan 2026</t>
  </si>
  <si>
    <t>Events: - Digital events aimed at all age groups - Feb 2026</t>
  </si>
  <si>
    <t>Events: - Digital events aimed at all age groups - March 2026</t>
  </si>
  <si>
    <t>Attendances: - Total attendees at PHYSICAL events - April 2025</t>
  </si>
  <si>
    <t>Attendances: - Total attendees at PHYSICAL events - May 2025</t>
  </si>
  <si>
    <t>Attendances: - Total attendees at PHYSICAL events - June 2025/Q1</t>
  </si>
  <si>
    <t>Attendances: - Total attendees at PHYSICAL events - July 2025</t>
  </si>
  <si>
    <t>Attendances: - Total attendees at PHYSICAL events - August 2025</t>
  </si>
  <si>
    <t>Attendances: - Total attendees at PHYSICAL events - Sept 2025/Q2</t>
  </si>
  <si>
    <t>Attendances: - Total attendees at PHYSICAL events - Oct 2025</t>
  </si>
  <si>
    <t>Attendances: - Total attendees at PHYSICAL events - Nov 2025</t>
  </si>
  <si>
    <t>Attendances: - Total attendees at PHYSICAL events - Dec 2025/Q3</t>
  </si>
  <si>
    <t>Attendances: - Total attendees at PHYSICAL events - Jan 2026</t>
  </si>
  <si>
    <t>Attendances: - Total attendees at PHYSICAL events - Feb 2026</t>
  </si>
  <si>
    <t>Attendances: - Total attendees at PHYSICAL events - March 2026/Q4</t>
  </si>
  <si>
    <t>Attendances: - Of which - Children (11 and under)  - April 2025</t>
  </si>
  <si>
    <t>Attendances: - Of which - Children (11 and under)  - May 2025</t>
  </si>
  <si>
    <t>Attendances: - Of which - Children (11 and under)  - June 2025/Q1</t>
  </si>
  <si>
    <t>Attendances: - Of which - Children (11 and under)  - July 2025</t>
  </si>
  <si>
    <t>Attendances: - Of which - Children (11 and under)  - August 2025</t>
  </si>
  <si>
    <t>Attendances: - Of which - Children (11 and under)  - Sept 2025/Q2</t>
  </si>
  <si>
    <t>Attendances: - Of which - Children (11 and under)  - Oct 2025</t>
  </si>
  <si>
    <t>Attendances: - Of which - Children (11 and under)  - Nov 2025</t>
  </si>
  <si>
    <t>Attendances: - Of which - Children (11 and under)  - Dec 2025/Q3</t>
  </si>
  <si>
    <t>Attendances: - Of which - Children (11 and under)  - Jan 2026</t>
  </si>
  <si>
    <t>Attendances: - Of which - Children (11 and under)  - Feb 2026</t>
  </si>
  <si>
    <t>Attendances: - Of which - Children (11 and under)  - March 2026/Q4</t>
  </si>
  <si>
    <t>Attendances: - Of which - Young people (12-17)  - April 2025</t>
  </si>
  <si>
    <t>Attendances: - Of which - Young people (12-17)  - May 2025</t>
  </si>
  <si>
    <t>Attendances: - Of which - Young people (12-17)  - June 2025/Q1</t>
  </si>
  <si>
    <t>Attendances: - Of which - Young people (12-17)  - July 2025</t>
  </si>
  <si>
    <t>Attendances: - Of which - Young people (12-17)  - August 2025</t>
  </si>
  <si>
    <t>Attendances: - Of which - Young people (12-17)  - Sept 2025/Q2</t>
  </si>
  <si>
    <t>Attendances: - Of which - Young people (12-17)  - Oct 2025</t>
  </si>
  <si>
    <t>Attendances: - Of which - Young people (12-17)  - Nov 2025</t>
  </si>
  <si>
    <t>Attendances: - Of which - Young people (12-17)  - Dec 2025/Q3</t>
  </si>
  <si>
    <t>Attendances: - Of which - Young people (12-17)  - Jan 2026</t>
  </si>
  <si>
    <t>Attendances: - Of which - Young people (12-17)  - Feb 2026</t>
  </si>
  <si>
    <t>Attendances: - Of which - Young people (12-17)  - March 2026/Q4</t>
  </si>
  <si>
    <t>Attendances: - Of which - Adult (18+) OR unclassified - April 2025</t>
  </si>
  <si>
    <t>Attendances: - Of which - Adult (18+) OR unclassified - May 2025</t>
  </si>
  <si>
    <t>Attendances: - Of which - Adult (18+) OR unclassified - June 2025/Q1</t>
  </si>
  <si>
    <t>Attendances: - Of which - Adult (18+) OR unclassified - July 2025</t>
  </si>
  <si>
    <t>Attendances: - Of which - Adult (18+) OR unclassified - August 2025</t>
  </si>
  <si>
    <t>Attendances: - Of which - Adult (18+) OR unclassified - Sept 2025/Q2</t>
  </si>
  <si>
    <t>Attendances: - Of which - Adult (18+) OR unclassified - Oct 2025</t>
  </si>
  <si>
    <t>Attendances: - Of which - Adult (18+) OR unclassified - Nov 2025</t>
  </si>
  <si>
    <t>Attendances: - Of which - Adult (18+) OR unclassified - Dec 2025/Q3</t>
  </si>
  <si>
    <t>Attendances: - Of which - Adult (18+) OR unclassified - Jan 2026</t>
  </si>
  <si>
    <t>Attendances: - Of which - Adult (18+) OR unclassified - Feb 2026</t>
  </si>
  <si>
    <t>Attendances: - Of which - Adult (18+) OR unclassified - March 2026/Q4</t>
  </si>
  <si>
    <t>Attendances: - Total attendees at DIGITAL events - April 2025</t>
  </si>
  <si>
    <t>Attendances: - Total attendees at DIGITAL events - May 2025</t>
  </si>
  <si>
    <t>Attendances: - Total attendees at DIGITAL events - June 2025/Q1</t>
  </si>
  <si>
    <t>Attendances: - Total attendees at DIGITAL events - July 2025</t>
  </si>
  <si>
    <t>Attendances: - Total attendees at DIGITAL events - August 2025</t>
  </si>
  <si>
    <t>Attendances: - Total attendees at DIGITAL events - Sept 2025/Q2</t>
  </si>
  <si>
    <t>Attendances: - Total attendees at DIGITAL events - Oct 2025</t>
  </si>
  <si>
    <t>Attendances: - Total attendees at DIGITAL events - Nov 2025</t>
  </si>
  <si>
    <t>Attendances: - Total attendees at DIGITAL events - Dec 2025/Q3</t>
  </si>
  <si>
    <t>Attendances: - Total attendees at DIGITAL events - Jan 2026</t>
  </si>
  <si>
    <t>Attendances: - Total attendees at DIGITAL events - Feb 2026</t>
  </si>
  <si>
    <t>Attendances: - Total attendees at DIGITAL events - March 2026/Q4</t>
  </si>
  <si>
    <t>Loans and lending of library items - Total number of PHYSICAL book issues - April 2025</t>
  </si>
  <si>
    <t>Loans and lending of library items - Total number of PHYSICAL book issues - May 2025</t>
  </si>
  <si>
    <t>Loans and lending of library items - Total number of PHYSICAL book issues - June 2025/Q1</t>
  </si>
  <si>
    <t>Loans and lending of library items - Total number of PHYSICAL book issues - July 2025</t>
  </si>
  <si>
    <t>Loans and lending of library items - Total number of PHYSICAL book issues - August 2025</t>
  </si>
  <si>
    <t>Loans and lending of library items - Total number of PHYSICAL book issues - Sept 2025/Q2</t>
  </si>
  <si>
    <t>Loans and lending of library items - Total number of PHYSICAL book issues - Oct 2025</t>
  </si>
  <si>
    <t>Loans and lending of library items - Total number of PHYSICAL book issues - Nov 2025</t>
  </si>
  <si>
    <t>Loans and lending of library items - Total number of PHYSICAL book issues - Dec 2025/Q3</t>
  </si>
  <si>
    <t>Loans and lending of library items - Total number of PHYSICAL book issues - Jan 2026</t>
  </si>
  <si>
    <t>Loans and lending of library items - Total number of PHYSICAL book issues - Feb 2026</t>
  </si>
  <si>
    <t>Loans and lending of library items - Total number of PHYSICAL book issues - March 2026/Q4</t>
  </si>
  <si>
    <t>Loans and lending of library items - Of which - Children (11 and under)  - April 2025</t>
  </si>
  <si>
    <t>Loans and lending of library items - Of which - Children (11 and under)  - May 2025</t>
  </si>
  <si>
    <t>Loans and lending of library items - Of which - Children (11 and under)  - June 2025/Q1</t>
  </si>
  <si>
    <t>Loans and lending of library items - Of which - Children (11 and under)  - July 2025</t>
  </si>
  <si>
    <t>Loans and lending of library items - Of which - Children (11 and under)  - August 2025</t>
  </si>
  <si>
    <t>Loans and lending of library items - Of which - Children (11 and under)  - Sept 2025/Q2</t>
  </si>
  <si>
    <t>Loans and lending of library items - Of which - Children (11 and under)  - Oct 2025</t>
  </si>
  <si>
    <t>Loans and lending of library items - Of which - Children (11 and under)  - Nov 2025</t>
  </si>
  <si>
    <t>Loans and lending of library items - Of which - Children (11 and under)  - Dec 2025/Q3</t>
  </si>
  <si>
    <t>Loans and lending of library items - Of which - Children (11 and under)  - Jan 2026</t>
  </si>
  <si>
    <t>Loans and lending of library items - Of which - Children (11 and under)  - Feb 2026</t>
  </si>
  <si>
    <t>Loans and lending of library items - Of which - Children (11 and under)  - March 2026/Q4</t>
  </si>
  <si>
    <t>Loans and lending of library items - Of which - Young people (12-17)  - April 2025</t>
  </si>
  <si>
    <t>Loans and lending of library items - Of which - Young people (12-17)  - May 2025</t>
  </si>
  <si>
    <t>Loans and lending of library items - Of which - Young people (12-17)  - June 2025/Q1</t>
  </si>
  <si>
    <t>Loans and lending of library items - Of which - Young people (12-17)  - July 2025</t>
  </si>
  <si>
    <t>Loans and lending of library items - Of which - Young people (12-17)  - August 2025</t>
  </si>
  <si>
    <t>Loans and lending of library items - Of which - Young people (12-17)  - Sept 2025/Q2</t>
  </si>
  <si>
    <t>Loans and lending of library items - Of which - Young people (12-17)  - Oct 2025</t>
  </si>
  <si>
    <t>Loans and lending of library items - Of which - Young people (12-17)  - Nov 2025</t>
  </si>
  <si>
    <t>Loans and lending of library items - Of which - Young people (12-17)  - Dec 2025/Q3</t>
  </si>
  <si>
    <t>Loans and lending of library items - Of which - Young people (12-17)  - Jan 2026</t>
  </si>
  <si>
    <t>Loans and lending of library items - Of which - Young people (12-17)  - Feb 2026</t>
  </si>
  <si>
    <t>Loans and lending of library items - Of which - Young people (12-17)  - March 2026/Q4</t>
  </si>
  <si>
    <t>Loans and lending of library items - Of which - Adult (18+) OR unclassified - April 2025</t>
  </si>
  <si>
    <t>Loans and lending of library items - Of which - Adult (18+) OR unclassified - May 2025</t>
  </si>
  <si>
    <t>Loans and lending of library items - Of which - Adult (18+) OR unclassified - June 2025/Q1</t>
  </si>
  <si>
    <t>Loans and lending of library items - Of which - Adult (18+) OR unclassified - July 2025</t>
  </si>
  <si>
    <t>Loans and lending of library items - Of which - Adult (18+) OR unclassified - August 2025</t>
  </si>
  <si>
    <t>Loans and lending of library items - Of which - Adult (18+) OR unclassified - Sept 2025/Q2</t>
  </si>
  <si>
    <t>Loans and lending of library items - Of which - Adult (18+) OR unclassified - Oct 2025</t>
  </si>
  <si>
    <t>Loans and lending of library items - Of which - Adult (18+) OR unclassified - Nov 2025</t>
  </si>
  <si>
    <t>Loans and lending of library items - Of which - Adult (18+) OR unclassified - Dec 2025/Q3</t>
  </si>
  <si>
    <t>Loans and lending of library items - Of which - Adult (18+) OR unclassified - Jan 2026</t>
  </si>
  <si>
    <t>Loans and lending of library items - Of which - Adult (18+) OR unclassified - Feb 2026</t>
  </si>
  <si>
    <t>Loans and lending of library items - Of which - Adult (18+) OR unclassified - March 2026/Q4</t>
  </si>
  <si>
    <t>Loans and lending of library items - Total number of AUDIO book issues - April 2025</t>
  </si>
  <si>
    <t>Loans and lending of library items - Total number of AUDIO book issues - May 2025</t>
  </si>
  <si>
    <t>Loans and lending of library items - Total number of AUDIO book issues - June 2025/Q1</t>
  </si>
  <si>
    <t>Loans and lending of library items - Total number of AUDIO book issues - July 2025</t>
  </si>
  <si>
    <t>Loans and lending of library items - Total number of AUDIO book issues - August 2025</t>
  </si>
  <si>
    <t>Loans and lending of library items - Total number of AUDIO book issues - Sept 2025/Q2</t>
  </si>
  <si>
    <t>Loans and lending of library items - Total number of AUDIO book issues - Oct 2025</t>
  </si>
  <si>
    <t>Loans and lending of library items - Total number of AUDIO book issues - Nov 2025</t>
  </si>
  <si>
    <t>Loans and lending of library items - Total number of AUDIO book issues - Dec 2025/Q3</t>
  </si>
  <si>
    <t>Loans and lending of library items - Total number of AUDIO book issues - Jan 2026</t>
  </si>
  <si>
    <t>Loans and lending of library items - Total number of AUDIO book issues - Feb 2026</t>
  </si>
  <si>
    <t>Loans and lending of library items - Total number of AUDIO book issues - March 2026/Q4</t>
  </si>
  <si>
    <t>E-issues: - Total number of E-BOOKS issued - April 2025</t>
  </si>
  <si>
    <t>E-issues: - Total number of E-BOOKS issued - May 2025</t>
  </si>
  <si>
    <t>E-issues: - Total number of E-BOOKS issued - June 2025/Q1</t>
  </si>
  <si>
    <t>E-issues: - Total number of E-BOOKS issued - July 2025</t>
  </si>
  <si>
    <t>E-issues: - Total number of E-BOOKS issued - August 2025</t>
  </si>
  <si>
    <t>E-issues: - Total number of E-BOOKS issued - Sept 2025/Q2</t>
  </si>
  <si>
    <t>E-issues: - Total number of E-BOOKS issued - Oct 2025</t>
  </si>
  <si>
    <t>E-issues: - Total number of E-BOOKS issued - Nov 2025</t>
  </si>
  <si>
    <t>E-issues: - Total number of E-BOOKS issued - Dec 2025/Q3</t>
  </si>
  <si>
    <t>E-issues: - Total number of E-BOOKS issued - Jan 2026</t>
  </si>
  <si>
    <t>E-issues: - Total number of E-BOOKS issued - Feb 2026</t>
  </si>
  <si>
    <t>E-issues: - Total number of E-BOOKS issued - March 2026/Q4</t>
  </si>
  <si>
    <t>E-issues: - Of which - Children (11 and under)  - April 2025</t>
  </si>
  <si>
    <t>E-issues: - Of which - Children (11 and under)  - May 2025</t>
  </si>
  <si>
    <t>E-issues: - Of which - Children (11 and under)  - June 2025/Q1</t>
  </si>
  <si>
    <t>E-issues: - Of which - Children (11 and under)  - July 2025</t>
  </si>
  <si>
    <t>E-issues: - Of which - Children (11 and under)  - August 2025</t>
  </si>
  <si>
    <t>E-issues: - Of which - Children (11 and under)  - Sept 2025/Q2</t>
  </si>
  <si>
    <t>E-issues: - Of which - Children (11 and under)  - Oct 2025</t>
  </si>
  <si>
    <t>E-issues: - Of which - Children (11 and under)  - Nov 2025</t>
  </si>
  <si>
    <t>E-issues: - Of which - Children (11 and under)  - Dec 2025/Q3</t>
  </si>
  <si>
    <t>E-issues: - Of which - Children (11 and under)  - Jan 2026</t>
  </si>
  <si>
    <t>E-issues: - Of which - Children (11 and under)  - Feb 2026</t>
  </si>
  <si>
    <t>E-issues: - Of which - Children (11 and under)  - March 2026/Q4</t>
  </si>
  <si>
    <t>E-issues: - Of which - Young people (12-17)  - April 2025</t>
  </si>
  <si>
    <t>E-issues: - Of which - Young people (12-17)  - May 2025</t>
  </si>
  <si>
    <t>E-issues: - Of which - Young people (12-17)  - June 2025/Q1</t>
  </si>
  <si>
    <t>E-issues: - Of which - Young people (12-17)  - July 2025</t>
  </si>
  <si>
    <t>E-issues: - Of which - Young people (12-17)  - August 2025</t>
  </si>
  <si>
    <t>E-issues: - Of which - Young people (12-17)  - Sept 2025/Q2</t>
  </si>
  <si>
    <t>E-issues: - Of which - Young people (12-17)  - Oct 2025</t>
  </si>
  <si>
    <t>E-issues: - Of which - Young people (12-17)  - Nov 2025</t>
  </si>
  <si>
    <t>E-issues: - Of which - Young people (12-17)  - Dec 2025/Q3</t>
  </si>
  <si>
    <t>E-issues: - Of which - Young people (12-17)  - Jan 2026</t>
  </si>
  <si>
    <t>E-issues: - Of which - Young people (12-17)  - Feb 2026</t>
  </si>
  <si>
    <t>E-issues: - Of which - Young people (12-17)  - March 2026/Q4</t>
  </si>
  <si>
    <t>E-issues: - Of which - Adult (18+) OR unclassified - April 2025</t>
  </si>
  <si>
    <t>E-issues: - Of which - Adult (18+) OR unclassified - May 2025</t>
  </si>
  <si>
    <t>E-issues: - Of which - Adult (18+) OR unclassified - June 2025/Q1</t>
  </si>
  <si>
    <t>E-issues: - Of which - Adult (18+) OR unclassified - July 2025</t>
  </si>
  <si>
    <t>E-issues: - Of which - Adult (18+) OR unclassified - August 2025</t>
  </si>
  <si>
    <t>E-issues: - Of which - Adult (18+) OR unclassified - Sept 2025/Q2</t>
  </si>
  <si>
    <t>E-issues: - Of which - Adult (18+) OR unclassified - Oct 2025</t>
  </si>
  <si>
    <t>E-issues: - Of which - Adult (18+) OR unclassified - Nov 2025</t>
  </si>
  <si>
    <t>E-issues: - Of which - Adult (18+) OR unclassified - Dec 2025/Q3</t>
  </si>
  <si>
    <t>E-issues: - Of which - Adult (18+) OR unclassified - Jan 2026</t>
  </si>
  <si>
    <t>E-issues: - Of which - Adult (18+) OR unclassified - Feb 2026</t>
  </si>
  <si>
    <t>E-issues: - Of which - Adult (18+) OR unclassified - March 2026/Q4</t>
  </si>
  <si>
    <t>E-issues: - Total number of DIGITAL AUDIO BOOKS issued - April 2025</t>
  </si>
  <si>
    <t>E-issues: - Total number of DIGITAL AUDIO BOOKS issued - May 2025</t>
  </si>
  <si>
    <t>E-issues: - Total number of DIGITAL AUDIO BOOKS issued - June 2025/Q1</t>
  </si>
  <si>
    <t>E-issues: - Total number of DIGITAL AUDIO BOOKS issued - July 2025</t>
  </si>
  <si>
    <t>E-issues: - Total number of DIGITAL AUDIO BOOKS issued - August 2025</t>
  </si>
  <si>
    <t>E-issues: - Total number of DIGITAL AUDIO BOOKS issued - Sept 2025/Q2</t>
  </si>
  <si>
    <t>E-issues: - Total number of DIGITAL AUDIO BOOKS issued - Oct 2025</t>
  </si>
  <si>
    <t>E-issues: - Total number of DIGITAL AUDIO BOOKS issued - Nov 2025</t>
  </si>
  <si>
    <t>E-issues: - Total number of DIGITAL AUDIO BOOKS issued - Dec 2025/Q3</t>
  </si>
  <si>
    <t>E-issues: - Total number of DIGITAL AUDIO BOOKS issued - Jan 2026</t>
  </si>
  <si>
    <t>E-issues: - Total number of DIGITAL AUDIO BOOKS issued - Feb 2026</t>
  </si>
  <si>
    <t>E-issues: - Total number of DIGITAL AUDIO BOOKS issued - March 2026/Q4</t>
  </si>
  <si>
    <t>Physical visits of people into library premises: - Visitors to  LIBRARY-ONLY sites - April 2025</t>
  </si>
  <si>
    <t>Physical visits of people into library premises: - Visitors to  LIBRARY-ONLY sites - May 2025</t>
  </si>
  <si>
    <t>Physical visits of people into library premises: - Visitors to  LIBRARY-ONLY sites - June 2025/Q1</t>
  </si>
  <si>
    <t>Physical visits of people into library premises: - Visitors to  LIBRARY-ONLY sites - July 2025</t>
  </si>
  <si>
    <t>Physical visits of people into library premises: - Visitors to  LIBRARY-ONLY sites - August 2025</t>
  </si>
  <si>
    <t>Physical visits of people into library premises: - Visitors to  LIBRARY-ONLY sites - Sept 2025/Q2</t>
  </si>
  <si>
    <t>Physical visits of people into library premises: - Visitors to  LIBRARY-ONLY sites - Oct 2025</t>
  </si>
  <si>
    <t>Physical visits of people into library premises: - Visitors to  LIBRARY-ONLY sites - Nov 2025</t>
  </si>
  <si>
    <t>Physical visits of people into library premises: - Visitors to  LIBRARY-ONLY sites - Dec 2025/Q3</t>
  </si>
  <si>
    <t>Physical visits of people into library premises: - Visitors to  LIBRARY-ONLY sites - Jan 2026</t>
  </si>
  <si>
    <t>Physical visits of people into library premises: - Visitors to  LIBRARY-ONLY sites - Feb 2026</t>
  </si>
  <si>
    <t>Physical visits of people into library premises: - Visitors to  LIBRARY-ONLY sites - March 2026/Q4</t>
  </si>
  <si>
    <t>Physical visits of people into library premises: - Visitors to CO-LOCATION sites - April 2025</t>
  </si>
  <si>
    <t>Physical visits of people into library premises: - Visitors to CO-LOCATION sites - May 2025</t>
  </si>
  <si>
    <t>Physical visits of people into library premises: - Visitors to CO-LOCATION sites - June 2025/Q1</t>
  </si>
  <si>
    <t>Physical visits of people into library premises: - Visitors to CO-LOCATION sites - July 2025</t>
  </si>
  <si>
    <t>Physical visits of people into library premises: - Visitors to CO-LOCATION sites - August 2025</t>
  </si>
  <si>
    <t>Physical visits of people into library premises: - Visitors to CO-LOCATION sites - Sept 2025/Q2</t>
  </si>
  <si>
    <t>Physical visits of people into library premises: - Visitors to CO-LOCATION sites - Oct 2025</t>
  </si>
  <si>
    <t>Physical visits of people into library premises: - Visitors to CO-LOCATION sites - Nov 2025</t>
  </si>
  <si>
    <t>Physical visits of people into library premises: - Visitors to CO-LOCATION sites - Dec 2025/Q3</t>
  </si>
  <si>
    <t>Physical visits of people into library premises: - Visitors to CO-LOCATION sites - Jan 2026</t>
  </si>
  <si>
    <t>Physical visits of people into library premises: - Visitors to CO-LOCATION sites - Feb 2026</t>
  </si>
  <si>
    <t>Physical visits of people into library premises: - Visitors to CO-LOCATION sites - March 2026/Q4</t>
  </si>
  <si>
    <t>Additional lending methods: - Click and collect - April 2025</t>
  </si>
  <si>
    <t>Additional lending methods: - Click and collect - May 2025</t>
  </si>
  <si>
    <t>Additional lending methods: - Click and collect - June 2025/Q1</t>
  </si>
  <si>
    <t>Additional lending methods: - Click and collect - July 2025</t>
  </si>
  <si>
    <t>Additional lending methods: - Click and collect - August 2025</t>
  </si>
  <si>
    <t>Additional lending methods: - Click and collect - Sept 2025/Q2</t>
  </si>
  <si>
    <t>Additional lending methods: - Click and collect - Oct 2025</t>
  </si>
  <si>
    <t>Additional lending methods: - Click and collect - Nov 2025</t>
  </si>
  <si>
    <t>Additional lending methods: - Click and collect - Dec 2025/Q3</t>
  </si>
  <si>
    <t>Additional lending methods: - Click and collect - Jan 2026</t>
  </si>
  <si>
    <t>Additional lending methods: - Click and collect - Feb 2026</t>
  </si>
  <si>
    <t>Additional lending methods: - Click and collect - March 2026/Q4</t>
  </si>
  <si>
    <t>Additional lending methods: - Mobile libraries - April 2025</t>
  </si>
  <si>
    <t>Additional lending methods: - Mobile libraries - May 2025</t>
  </si>
  <si>
    <t>Additional lending methods: - Mobile libraries - June 2025/Q1</t>
  </si>
  <si>
    <t>Additional lending methods: - Mobile libraries - July 2025</t>
  </si>
  <si>
    <t>Additional lending methods: - Mobile libraries - August 2025</t>
  </si>
  <si>
    <t>Additional lending methods: - Mobile libraries - Sept 2025/Q2</t>
  </si>
  <si>
    <t>Additional lending methods: - Mobile libraries - Oct 2025</t>
  </si>
  <si>
    <t>Additional lending methods: - Mobile libraries - Nov 2025</t>
  </si>
  <si>
    <t>Additional lending methods: - Mobile libraries - Dec 2025/Q3</t>
  </si>
  <si>
    <t>Additional lending methods: - Mobile libraries - Jan 2026</t>
  </si>
  <si>
    <t>Additional lending methods: - Mobile libraries - Feb 2026</t>
  </si>
  <si>
    <t>Additional lending methods: - Mobile libraries - March 2026/Q4</t>
  </si>
  <si>
    <t>Additional lending methods: - Home delivery - April 2025</t>
  </si>
  <si>
    <t>Additional lending methods: - Home delivery - May 2025</t>
  </si>
  <si>
    <t>Additional lending methods: - Home delivery - June 2025/Q1</t>
  </si>
  <si>
    <t>Additional lending methods: - Home delivery - July 2025</t>
  </si>
  <si>
    <t>Additional lending methods: - Home delivery - August 2025</t>
  </si>
  <si>
    <t>Additional lending methods: - Home delivery - Sept 2025/Q2</t>
  </si>
  <si>
    <t>Additional lending methods: - Home delivery - Oct 2025</t>
  </si>
  <si>
    <t>Additional lending methods: - Home delivery - Nov 2025</t>
  </si>
  <si>
    <t>Additional lending methods: - Home delivery - Dec 2025/Q3</t>
  </si>
  <si>
    <t>Additional lending methods: - Home delivery - Jan 2026</t>
  </si>
  <si>
    <t>Additional lending methods: - Home delivery - Feb 2026</t>
  </si>
  <si>
    <t>Additional lending methods: - Home delivery - March 2026/Q4</t>
  </si>
  <si>
    <t>Please tell us why you have no data to enter here. E.g. you do not have a mobile library service</t>
  </si>
  <si>
    <t>PC use - Number of hours of usage - April 2025</t>
  </si>
  <si>
    <t>PC use - Number of hours of usage - May 2025</t>
  </si>
  <si>
    <t>PC use - Number of hours of usage - June 2025/Q1</t>
  </si>
  <si>
    <t>PC use - Number of hours of usage - July 2025</t>
  </si>
  <si>
    <t>PC use - Number of hours of usage - August 2025</t>
  </si>
  <si>
    <t>PC use - Number of hours of usage - Sept 2025/Q2</t>
  </si>
  <si>
    <t>PC use - Number of hours of usage - Oct 2025</t>
  </si>
  <si>
    <t>PC use - Number of hours of usage - Nov 2025</t>
  </si>
  <si>
    <t>PC use - Number of hours of usage - Dec 2025/Q3</t>
  </si>
  <si>
    <t>PC use - Number of hours of usage - Jan 2026</t>
  </si>
  <si>
    <t>PC use - Number of hours of usage - Feb 2026</t>
  </si>
  <si>
    <t>PC use - Number of hours of usage - March 2026/Q4</t>
  </si>
  <si>
    <t>PC use - Number of sessions of wifi access - April 2025</t>
  </si>
  <si>
    <t>PC use - Number of sessions of wifi access - May 2025</t>
  </si>
  <si>
    <t>PC use - Number of sessions of wifi access - June 2025/Q1</t>
  </si>
  <si>
    <t>PC use - Number of sessions of wifi access - July 2025</t>
  </si>
  <si>
    <t>PC use - Number of sessions of wifi access - August 2025</t>
  </si>
  <si>
    <t>PC use - Number of sessions of wifi access - Sept 2025/Q2</t>
  </si>
  <si>
    <t>PC use - Number of sessions of wifi access - Oct 2025</t>
  </si>
  <si>
    <t>PC use - Number of sessions of wifi access - Nov 2025</t>
  </si>
  <si>
    <t>PC use - Number of sessions of wifi access - Dec 2025/Q3</t>
  </si>
  <si>
    <t>PC use - Number of sessions of wifi access - Jan 2026</t>
  </si>
  <si>
    <t>PC use - Number of sessions of wifi access - Feb 2026</t>
  </si>
  <si>
    <t>PC use - Number of sessions of wifi access - March 2026/Q4</t>
  </si>
  <si>
    <t>Please tell us, as of 31/03/26: - Number of PCs and devices available for use service-wide in a library building - Total as at 31/03</t>
  </si>
  <si>
    <t>Please tell us, as of 31/03/26: - Number of devices available for loan - Total as at 31/03</t>
  </si>
  <si>
    <t>Please tell us, as of 31/03/26: - Number of issues of devices available for loan - Total as at 31/03</t>
  </si>
  <si>
    <t>As at 31/03, how many active users did you have with a vision or print impairment?</t>
  </si>
  <si>
    <t>{"ImportId":"QID1"}</t>
  </si>
  <si>
    <t>{"ImportId":"QID7_14_1"}</t>
  </si>
  <si>
    <t>{"ImportId":"QID7_15_1"}</t>
  </si>
  <si>
    <t>{"ImportId":"QID7_16_1"}</t>
  </si>
  <si>
    <t>{"ImportId":"QID7_17_1"}</t>
  </si>
  <si>
    <t>{"ImportId":"QID4_1_1"}</t>
  </si>
  <si>
    <t>{"ImportId":"QID4_1_2"}</t>
  </si>
  <si>
    <t>{"ImportId":"QID4_1_3"}</t>
  </si>
  <si>
    <t>{"ImportId":"QID4_1_4"}</t>
  </si>
  <si>
    <t>{"ImportId":"QID4_1_5"}</t>
  </si>
  <si>
    <t>{"ImportId":"QID4_1_6"}</t>
  </si>
  <si>
    <t>{"ImportId":"QID4_1_7"}</t>
  </si>
  <si>
    <t>{"ImportId":"QID4_1_8"}</t>
  </si>
  <si>
    <t>{"ImportId":"QID4_1_9"}</t>
  </si>
  <si>
    <t>{"ImportId":"QID4_1_10"}</t>
  </si>
  <si>
    <t>{"ImportId":"QID4_1_11"}</t>
  </si>
  <si>
    <t>{"ImportId":"QID4_1_12"}</t>
  </si>
  <si>
    <t>{"ImportId":"QID4_2_1"}</t>
  </si>
  <si>
    <t>{"ImportId":"QID4_2_2"}</t>
  </si>
  <si>
    <t>{"ImportId":"QID4_2_3"}</t>
  </si>
  <si>
    <t>{"ImportId":"QID4_2_4"}</t>
  </si>
  <si>
    <t>{"ImportId":"QID4_2_5"}</t>
  </si>
  <si>
    <t>{"ImportId":"QID4_2_6"}</t>
  </si>
  <si>
    <t>{"ImportId":"QID4_2_7"}</t>
  </si>
  <si>
    <t>{"ImportId":"QID4_2_8"}</t>
  </si>
  <si>
    <t>{"ImportId":"QID4_2_9"}</t>
  </si>
  <si>
    <t>{"ImportId":"QID4_2_10"}</t>
  </si>
  <si>
    <t>{"ImportId":"QID4_2_11"}</t>
  </si>
  <si>
    <t>{"ImportId":"QID4_2_12"}</t>
  </si>
  <si>
    <t>{"ImportId":"QID4_3_1"}</t>
  </si>
  <si>
    <t>{"ImportId":"QID4_3_2"}</t>
  </si>
  <si>
    <t>{"ImportId":"QID4_3_3"}</t>
  </si>
  <si>
    <t>{"ImportId":"QID4_3_4"}</t>
  </si>
  <si>
    <t>{"ImportId":"QID4_3_5"}</t>
  </si>
  <si>
    <t>{"ImportId":"QID4_3_6"}</t>
  </si>
  <si>
    <t>{"ImportId":"QID4_3_7"}</t>
  </si>
  <si>
    <t>{"ImportId":"QID4_3_8"}</t>
  </si>
  <si>
    <t>{"ImportId":"QID4_3_9"}</t>
  </si>
  <si>
    <t>{"ImportId":"QID4_3_10"}</t>
  </si>
  <si>
    <t>{"ImportId":"QID4_3_11"}</t>
  </si>
  <si>
    <t>{"ImportId":"QID4_3_12"}</t>
  </si>
  <si>
    <t>{"ImportId":"QID4_4_1"}</t>
  </si>
  <si>
    <t>{"ImportId":"QID4_4_2"}</t>
  </si>
  <si>
    <t>{"ImportId":"QID4_4_3"}</t>
  </si>
  <si>
    <t>{"ImportId":"QID4_4_4"}</t>
  </si>
  <si>
    <t>{"ImportId":"QID4_4_5"}</t>
  </si>
  <si>
    <t>{"ImportId":"QID4_4_6"}</t>
  </si>
  <si>
    <t>{"ImportId":"QID4_4_7"}</t>
  </si>
  <si>
    <t>{"ImportId":"QID4_4_8"}</t>
  </si>
  <si>
    <t>{"ImportId":"QID4_4_9"}</t>
  </si>
  <si>
    <t>{"ImportId":"QID4_4_10"}</t>
  </si>
  <si>
    <t>{"ImportId":"QID4_4_11"}</t>
  </si>
  <si>
    <t>{"ImportId":"QID4_4_12"}</t>
  </si>
  <si>
    <t>{"ImportId":"QID4_5_1"}</t>
  </si>
  <si>
    <t>{"ImportId":"QID4_5_2"}</t>
  </si>
  <si>
    <t>{"ImportId":"QID4_5_3"}</t>
  </si>
  <si>
    <t>{"ImportId":"QID4_5_4"}</t>
  </si>
  <si>
    <t>{"ImportId":"QID4_5_5"}</t>
  </si>
  <si>
    <t>{"ImportId":"QID4_5_6"}</t>
  </si>
  <si>
    <t>{"ImportId":"QID4_5_7"}</t>
  </si>
  <si>
    <t>{"ImportId":"QID4_5_8"}</t>
  </si>
  <si>
    <t>{"ImportId":"QID4_5_9"}</t>
  </si>
  <si>
    <t>{"ImportId":"QID4_5_10"}</t>
  </si>
  <si>
    <t>{"ImportId":"QID4_5_11"}</t>
  </si>
  <si>
    <t>{"ImportId":"QID4_5_12"}</t>
  </si>
  <si>
    <t>{"ImportId":"QID4_6_1"}</t>
  </si>
  <si>
    <t>{"ImportId":"QID4_6_2"}</t>
  </si>
  <si>
    <t>{"ImportId":"QID4_6_3"}</t>
  </si>
  <si>
    <t>{"ImportId":"QID4_6_4"}</t>
  </si>
  <si>
    <t>{"ImportId":"QID4_6_5"}</t>
  </si>
  <si>
    <t>{"ImportId":"QID4_6_6"}</t>
  </si>
  <si>
    <t>{"ImportId":"QID4_6_7"}</t>
  </si>
  <si>
    <t>{"ImportId":"QID4_6_8"}</t>
  </si>
  <si>
    <t>{"ImportId":"QID4_6_9"}</t>
  </si>
  <si>
    <t>{"ImportId":"QID4_6_10"}</t>
  </si>
  <si>
    <t>{"ImportId":"QID4_6_11"}</t>
  </si>
  <si>
    <t>{"ImportId":"QID4_6_12"}</t>
  </si>
  <si>
    <t>{"ImportId":"QID4_7_1"}</t>
  </si>
  <si>
    <t>{"ImportId":"QID4_7_2"}</t>
  </si>
  <si>
    <t>{"ImportId":"QID4_7_3"}</t>
  </si>
  <si>
    <t>{"ImportId":"QID4_7_4"}</t>
  </si>
  <si>
    <t>{"ImportId":"QID4_7_5"}</t>
  </si>
  <si>
    <t>{"ImportId":"QID4_7_6"}</t>
  </si>
  <si>
    <t>{"ImportId":"QID4_7_7"}</t>
  </si>
  <si>
    <t>{"ImportId":"QID4_7_8"}</t>
  </si>
  <si>
    <t>{"ImportId":"QID4_7_9"}</t>
  </si>
  <si>
    <t>{"ImportId":"QID4_7_10"}</t>
  </si>
  <si>
    <t>{"ImportId":"QID4_7_11"}</t>
  </si>
  <si>
    <t>{"ImportId":"QID4_7_12"}</t>
  </si>
  <si>
    <t>{"ImportId":"QID4_8_1"}</t>
  </si>
  <si>
    <t>{"ImportId":"QID4_8_2"}</t>
  </si>
  <si>
    <t>{"ImportId":"QID4_8_3"}</t>
  </si>
  <si>
    <t>{"ImportId":"QID4_8_4"}</t>
  </si>
  <si>
    <t>{"ImportId":"QID4_8_5"}</t>
  </si>
  <si>
    <t>{"ImportId":"QID4_8_6"}</t>
  </si>
  <si>
    <t>{"ImportId":"QID4_8_7"}</t>
  </si>
  <si>
    <t>{"ImportId":"QID4_8_8"}</t>
  </si>
  <si>
    <t>{"ImportId":"QID4_8_9"}</t>
  </si>
  <si>
    <t>{"ImportId":"QID4_8_10"}</t>
  </si>
  <si>
    <t>{"ImportId":"QID4_8_11"}</t>
  </si>
  <si>
    <t>{"ImportId":"QID4_8_12"}</t>
  </si>
  <si>
    <t>{"ImportId":"QID4_10_1"}</t>
  </si>
  <si>
    <t>{"ImportId":"QID4_10_2"}</t>
  </si>
  <si>
    <t>{"ImportId":"QID4_10_3"}</t>
  </si>
  <si>
    <t>{"ImportId":"QID4_10_4"}</t>
  </si>
  <si>
    <t>{"ImportId":"QID4_10_5"}</t>
  </si>
  <si>
    <t>{"ImportId":"QID4_10_6"}</t>
  </si>
  <si>
    <t>{"ImportId":"QID4_10_7"}</t>
  </si>
  <si>
    <t>{"ImportId":"QID4_10_8"}</t>
  </si>
  <si>
    <t>{"ImportId":"QID4_10_9"}</t>
  </si>
  <si>
    <t>{"ImportId":"QID4_10_10"}</t>
  </si>
  <si>
    <t>{"ImportId":"QID4_10_11"}</t>
  </si>
  <si>
    <t>{"ImportId":"QID4_10_12"}</t>
  </si>
  <si>
    <t>{"ImportId":"QID4_9_1"}</t>
  </si>
  <si>
    <t>{"ImportId":"QID4_9_2"}</t>
  </si>
  <si>
    <t>{"ImportId":"QID4_9_3"}</t>
  </si>
  <si>
    <t>{"ImportId":"QID4_9_4"}</t>
  </si>
  <si>
    <t>{"ImportId":"QID4_9_5"}</t>
  </si>
  <si>
    <t>{"ImportId":"QID4_9_6"}</t>
  </si>
  <si>
    <t>{"ImportId":"QID4_9_7"}</t>
  </si>
  <si>
    <t>{"ImportId":"QID4_9_8"}</t>
  </si>
  <si>
    <t>{"ImportId":"QID4_9_9"}</t>
  </si>
  <si>
    <t>{"ImportId":"QID4_9_10"}</t>
  </si>
  <si>
    <t>{"ImportId":"QID4_9_11"}</t>
  </si>
  <si>
    <t>{"ImportId":"QID4_9_12"}</t>
  </si>
  <si>
    <t>{"ImportId":"QID12_1_1"}</t>
  </si>
  <si>
    <t>{"ImportId":"QID12_1_2"}</t>
  </si>
  <si>
    <t>{"ImportId":"QID12_1_3"}</t>
  </si>
  <si>
    <t>{"ImportId":"QID12_1_4"}</t>
  </si>
  <si>
    <t>{"ImportId":"QID12_1_13"}</t>
  </si>
  <si>
    <t>{"ImportId":"QID12_1_14"}</t>
  </si>
  <si>
    <t>{"ImportId":"QID12_1_15"}</t>
  </si>
  <si>
    <t>{"ImportId":"QID12_1_16"}</t>
  </si>
  <si>
    <t>{"ImportId":"QID12_1_17"}</t>
  </si>
  <si>
    <t>{"ImportId":"QID12_1_18"}</t>
  </si>
  <si>
    <t>{"ImportId":"QID12_1_19"}</t>
  </si>
  <si>
    <t>{"ImportId":"QID12_1_20"}</t>
  </si>
  <si>
    <t>{"ImportId":"QID12_2_1"}</t>
  </si>
  <si>
    <t>{"ImportId":"QID12_2_2"}</t>
  </si>
  <si>
    <t>{"ImportId":"QID12_2_3"}</t>
  </si>
  <si>
    <t>{"ImportId":"QID12_2_4"}</t>
  </si>
  <si>
    <t>{"ImportId":"QID12_2_13"}</t>
  </si>
  <si>
    <t>{"ImportId":"QID12_2_14"}</t>
  </si>
  <si>
    <t>{"ImportId":"QID12_2_15"}</t>
  </si>
  <si>
    <t>{"ImportId":"QID12_2_16"}</t>
  </si>
  <si>
    <t>{"ImportId":"QID12_2_17"}</t>
  </si>
  <si>
    <t>{"ImportId":"QID12_2_18"}</t>
  </si>
  <si>
    <t>{"ImportId":"QID12_2_19"}</t>
  </si>
  <si>
    <t>{"ImportId":"QID12_2_20"}</t>
  </si>
  <si>
    <t>{"ImportId":"QID12_3_1"}</t>
  </si>
  <si>
    <t>{"ImportId":"QID12_3_2"}</t>
  </si>
  <si>
    <t>{"ImportId":"QID12_3_3"}</t>
  </si>
  <si>
    <t>{"ImportId":"QID12_3_4"}</t>
  </si>
  <si>
    <t>{"ImportId":"QID12_3_13"}</t>
  </si>
  <si>
    <t>{"ImportId":"QID12_3_14"}</t>
  </si>
  <si>
    <t>{"ImportId":"QID12_3_15"}</t>
  </si>
  <si>
    <t>{"ImportId":"QID12_3_16"}</t>
  </si>
  <si>
    <t>{"ImportId":"QID12_3_17"}</t>
  </si>
  <si>
    <t>{"ImportId":"QID12_3_18"}</t>
  </si>
  <si>
    <t>{"ImportId":"QID12_3_19"}</t>
  </si>
  <si>
    <t>{"ImportId":"QID12_3_20"}</t>
  </si>
  <si>
    <t>{"ImportId":"QID12_7_1"}</t>
  </si>
  <si>
    <t>{"ImportId":"QID12_7_2"}</t>
  </si>
  <si>
    <t>{"ImportId":"QID12_7_3"}</t>
  </si>
  <si>
    <t>{"ImportId":"QID12_7_4"}</t>
  </si>
  <si>
    <t>{"ImportId":"QID12_7_13"}</t>
  </si>
  <si>
    <t>{"ImportId":"QID12_7_14"}</t>
  </si>
  <si>
    <t>{"ImportId":"QID12_7_15"}</t>
  </si>
  <si>
    <t>{"ImportId":"QID12_7_16"}</t>
  </si>
  <si>
    <t>{"ImportId":"QID12_7_17"}</t>
  </si>
  <si>
    <t>{"ImportId":"QID12_7_18"}</t>
  </si>
  <si>
    <t>{"ImportId":"QID12_7_19"}</t>
  </si>
  <si>
    <t>{"ImportId":"QID12_7_20"}</t>
  </si>
  <si>
    <t>{"ImportId":"QID12_4_1"}</t>
  </si>
  <si>
    <t>{"ImportId":"QID12_4_2"}</t>
  </si>
  <si>
    <t>{"ImportId":"QID12_4_3"}</t>
  </si>
  <si>
    <t>{"ImportId":"QID12_4_4"}</t>
  </si>
  <si>
    <t>{"ImportId":"QID12_4_13"}</t>
  </si>
  <si>
    <t>{"ImportId":"QID12_4_14"}</t>
  </si>
  <si>
    <t>{"ImportId":"QID12_4_15"}</t>
  </si>
  <si>
    <t>{"ImportId":"QID12_4_16"}</t>
  </si>
  <si>
    <t>{"ImportId":"QID12_4_17"}</t>
  </si>
  <si>
    <t>{"ImportId":"QID12_4_18"}</t>
  </si>
  <si>
    <t>{"ImportId":"QID12_4_19"}</t>
  </si>
  <si>
    <t>{"ImportId":"QID12_4_20"}</t>
  </si>
  <si>
    <t>{"ImportId":"QID12_5_1"}</t>
  </si>
  <si>
    <t>{"ImportId":"QID12_5_2"}</t>
  </si>
  <si>
    <t>{"ImportId":"QID12_5_3"}</t>
  </si>
  <si>
    <t>{"ImportId":"QID12_5_4"}</t>
  </si>
  <si>
    <t>{"ImportId":"QID12_5_13"}</t>
  </si>
  <si>
    <t>{"ImportId":"QID12_5_14"}</t>
  </si>
  <si>
    <t>{"ImportId":"QID12_5_15"}</t>
  </si>
  <si>
    <t>{"ImportId":"QID12_5_16"}</t>
  </si>
  <si>
    <t>{"ImportId":"QID12_5_17"}</t>
  </si>
  <si>
    <t>{"ImportId":"QID12_5_18"}</t>
  </si>
  <si>
    <t>{"ImportId":"QID12_5_19"}</t>
  </si>
  <si>
    <t>{"ImportId":"QID12_5_20"}</t>
  </si>
  <si>
    <t>{"ImportId":"QID12_6_1"}</t>
  </si>
  <si>
    <t>{"ImportId":"QID12_6_2"}</t>
  </si>
  <si>
    <t>{"ImportId":"QID12_6_3"}</t>
  </si>
  <si>
    <t>{"ImportId":"QID12_6_4"}</t>
  </si>
  <si>
    <t>{"ImportId":"QID12_6_13"}</t>
  </si>
  <si>
    <t>{"ImportId":"QID12_6_14"}</t>
  </si>
  <si>
    <t>{"ImportId":"QID12_6_15"}</t>
  </si>
  <si>
    <t>{"ImportId":"QID12_6_16"}</t>
  </si>
  <si>
    <t>{"ImportId":"QID12_6_17"}</t>
  </si>
  <si>
    <t>{"ImportId":"QID12_6_18"}</t>
  </si>
  <si>
    <t>{"ImportId":"QID12_6_19"}</t>
  </si>
  <si>
    <t>{"ImportId":"QID12_6_20"}</t>
  </si>
  <si>
    <t>{"ImportId":"QID12_8_1"}</t>
  </si>
  <si>
    <t>{"ImportId":"QID12_8_2"}</t>
  </si>
  <si>
    <t>{"ImportId":"QID12_8_3"}</t>
  </si>
  <si>
    <t>{"ImportId":"QID12_8_4"}</t>
  </si>
  <si>
    <t>{"ImportId":"QID12_8_13"}</t>
  </si>
  <si>
    <t>{"ImportId":"QID12_8_14"}</t>
  </si>
  <si>
    <t>{"ImportId":"QID12_8_15"}</t>
  </si>
  <si>
    <t>{"ImportId":"QID12_8_16"}</t>
  </si>
  <si>
    <t>{"ImportId":"QID12_8_17"}</t>
  </si>
  <si>
    <t>{"ImportId":"QID12_8_18"}</t>
  </si>
  <si>
    <t>{"ImportId":"QID12_8_19"}</t>
  </si>
  <si>
    <t>{"ImportId":"QID12_8_20"}</t>
  </si>
  <si>
    <t>{"ImportId":"QID17_1_1"}</t>
  </si>
  <si>
    <t>{"ImportId":"QID17_1_2"}</t>
  </si>
  <si>
    <t>{"ImportId":"QID17_1_3"}</t>
  </si>
  <si>
    <t>{"ImportId":"QID17_1_5"}</t>
  </si>
  <si>
    <t>{"ImportId":"QID17_1_6"}</t>
  </si>
  <si>
    <t>{"ImportId":"QID17_1_7"}</t>
  </si>
  <si>
    <t>{"ImportId":"QID17_1_8"}</t>
  </si>
  <si>
    <t>{"ImportId":"QID17_1_9"}</t>
  </si>
  <si>
    <t>{"ImportId":"QID17_1_10"}</t>
  </si>
  <si>
    <t>{"ImportId":"QID17_1_11"}</t>
  </si>
  <si>
    <t>{"ImportId":"QID17_1_12"}</t>
  </si>
  <si>
    <t>{"ImportId":"QID17_1_13"}</t>
  </si>
  <si>
    <t>{"ImportId":"QID17_3_1"}</t>
  </si>
  <si>
    <t>{"ImportId":"QID17_3_2"}</t>
  </si>
  <si>
    <t>{"ImportId":"QID17_3_3"}</t>
  </si>
  <si>
    <t>{"ImportId":"QID17_3_5"}</t>
  </si>
  <si>
    <t>{"ImportId":"QID17_3_6"}</t>
  </si>
  <si>
    <t>{"ImportId":"QID17_3_7"}</t>
  </si>
  <si>
    <t>{"ImportId":"QID17_3_8"}</t>
  </si>
  <si>
    <t>{"ImportId":"QID17_3_9"}</t>
  </si>
  <si>
    <t>{"ImportId":"QID17_3_10"}</t>
  </si>
  <si>
    <t>{"ImportId":"QID17_3_11"}</t>
  </si>
  <si>
    <t>{"ImportId":"QID17_3_12"}</t>
  </si>
  <si>
    <t>{"ImportId":"QID17_3_13"}</t>
  </si>
  <si>
    <t>{"ImportId":"QID17_4_1"}</t>
  </si>
  <si>
    <t>{"ImportId":"QID17_4_2"}</t>
  </si>
  <si>
    <t>{"ImportId":"QID17_4_3"}</t>
  </si>
  <si>
    <t>{"ImportId":"QID17_4_5"}</t>
  </si>
  <si>
    <t>{"ImportId":"QID17_4_6"}</t>
  </si>
  <si>
    <t>{"ImportId":"QID17_4_7"}</t>
  </si>
  <si>
    <t>{"ImportId":"QID17_4_8"}</t>
  </si>
  <si>
    <t>{"ImportId":"QID17_4_9"}</t>
  </si>
  <si>
    <t>{"ImportId":"QID17_4_10"}</t>
  </si>
  <si>
    <t>{"ImportId":"QID17_4_11"}</t>
  </si>
  <si>
    <t>{"ImportId":"QID17_4_12"}</t>
  </si>
  <si>
    <t>{"ImportId":"QID17_4_13"}</t>
  </si>
  <si>
    <t>{"ImportId":"QID17_2_1"}</t>
  </si>
  <si>
    <t>{"ImportId":"QID17_2_2"}</t>
  </si>
  <si>
    <t>{"ImportId":"QID17_2_3"}</t>
  </si>
  <si>
    <t>{"ImportId":"QID17_2_5"}</t>
  </si>
  <si>
    <t>{"ImportId":"QID17_2_6"}</t>
  </si>
  <si>
    <t>{"ImportId":"QID17_2_7"}</t>
  </si>
  <si>
    <t>{"ImportId":"QID17_2_8"}</t>
  </si>
  <si>
    <t>{"ImportId":"QID17_2_9"}</t>
  </si>
  <si>
    <t>{"ImportId":"QID17_2_10"}</t>
  </si>
  <si>
    <t>{"ImportId":"QID17_2_11"}</t>
  </si>
  <si>
    <t>{"ImportId":"QID17_2_12"}</t>
  </si>
  <si>
    <t>{"ImportId":"QID17_2_13"}</t>
  </si>
  <si>
    <t>{"ImportId":"QID17_5_1"}</t>
  </si>
  <si>
    <t>{"ImportId":"QID17_5_2"}</t>
  </si>
  <si>
    <t>{"ImportId":"QID17_5_3"}</t>
  </si>
  <si>
    <t>{"ImportId":"QID17_5_5"}</t>
  </si>
  <si>
    <t>{"ImportId":"QID17_5_6"}</t>
  </si>
  <si>
    <t>{"ImportId":"QID17_5_7"}</t>
  </si>
  <si>
    <t>{"ImportId":"QID17_5_8"}</t>
  </si>
  <si>
    <t>{"ImportId":"QID17_5_9"}</t>
  </si>
  <si>
    <t>{"ImportId":"QID17_5_10"}</t>
  </si>
  <si>
    <t>{"ImportId":"QID17_5_11"}</t>
  </si>
  <si>
    <t>{"ImportId":"QID17_5_12"}</t>
  </si>
  <si>
    <t>{"ImportId":"QID17_5_13"}</t>
  </si>
  <si>
    <t>{"ImportId":"QID17_7_1"}</t>
  </si>
  <si>
    <t>{"ImportId":"QID17_7_2"}</t>
  </si>
  <si>
    <t>{"ImportId":"QID17_7_3"}</t>
  </si>
  <si>
    <t>{"ImportId":"QID17_7_5"}</t>
  </si>
  <si>
    <t>{"ImportId":"QID17_7_6"}</t>
  </si>
  <si>
    <t>{"ImportId":"QID17_7_7"}</t>
  </si>
  <si>
    <t>{"ImportId":"QID17_7_8"}</t>
  </si>
  <si>
    <t>{"ImportId":"QID17_7_9"}</t>
  </si>
  <si>
    <t>{"ImportId":"QID17_7_10"}</t>
  </si>
  <si>
    <t>{"ImportId":"QID17_7_11"}</t>
  </si>
  <si>
    <t>{"ImportId":"QID17_7_12"}</t>
  </si>
  <si>
    <t>{"ImportId":"QID17_7_13"}</t>
  </si>
  <si>
    <t>{"ImportId":"QID17_8_1"}</t>
  </si>
  <si>
    <t>{"ImportId":"QID17_8_2"}</t>
  </si>
  <si>
    <t>{"ImportId":"QID17_8_3"}</t>
  </si>
  <si>
    <t>{"ImportId":"QID17_8_5"}</t>
  </si>
  <si>
    <t>{"ImportId":"QID17_8_6"}</t>
  </si>
  <si>
    <t>{"ImportId":"QID17_8_7"}</t>
  </si>
  <si>
    <t>{"ImportId":"QID17_8_8"}</t>
  </si>
  <si>
    <t>{"ImportId":"QID17_8_9"}</t>
  </si>
  <si>
    <t>{"ImportId":"QID17_8_10"}</t>
  </si>
  <si>
    <t>{"ImportId":"QID17_8_11"}</t>
  </si>
  <si>
    <t>{"ImportId":"QID17_8_12"}</t>
  </si>
  <si>
    <t>{"ImportId":"QID17_8_13"}</t>
  </si>
  <si>
    <t>{"ImportId":"QID17_6_1"}</t>
  </si>
  <si>
    <t>{"ImportId":"QID17_6_2"}</t>
  </si>
  <si>
    <t>{"ImportId":"QID17_6_3"}</t>
  </si>
  <si>
    <t>{"ImportId":"QID17_6_5"}</t>
  </si>
  <si>
    <t>{"ImportId":"QID17_6_6"}</t>
  </si>
  <si>
    <t>{"ImportId":"QID17_6_7"}</t>
  </si>
  <si>
    <t>{"ImportId":"QID17_6_8"}</t>
  </si>
  <si>
    <t>{"ImportId":"QID17_6_9"}</t>
  </si>
  <si>
    <t>{"ImportId":"QID17_6_10"}</t>
  </si>
  <si>
    <t>{"ImportId":"QID17_6_11"}</t>
  </si>
  <si>
    <t>{"ImportId":"QID17_6_12"}</t>
  </si>
  <si>
    <t>{"ImportId":"QID17_6_13"}</t>
  </si>
  <si>
    <t>{"ImportId":"QID21_1_1"}</t>
  </si>
  <si>
    <t>{"ImportId":"QID21_1_2"}</t>
  </si>
  <si>
    <t>{"ImportId":"QID21_1_3"}</t>
  </si>
  <si>
    <t>{"ImportId":"QID21_1_4"}</t>
  </si>
  <si>
    <t>{"ImportId":"QID21_1_5"}</t>
  </si>
  <si>
    <t>{"ImportId":"QID21_1_6"}</t>
  </si>
  <si>
    <t>{"ImportId":"QID21_1_7"}</t>
  </si>
  <si>
    <t>{"ImportId":"QID21_1_8"}</t>
  </si>
  <si>
    <t>{"ImportId":"QID21_1_9"}</t>
  </si>
  <si>
    <t>{"ImportId":"QID21_1_10"}</t>
  </si>
  <si>
    <t>{"ImportId":"QID21_1_11"}</t>
  </si>
  <si>
    <t>{"ImportId":"QID21_1_12"}</t>
  </si>
  <si>
    <t>{"ImportId":"QID21_2_1"}</t>
  </si>
  <si>
    <t>{"ImportId":"QID21_2_2"}</t>
  </si>
  <si>
    <t>{"ImportId":"QID21_2_3"}</t>
  </si>
  <si>
    <t>{"ImportId":"QID21_2_4"}</t>
  </si>
  <si>
    <t>{"ImportId":"QID21_2_5"}</t>
  </si>
  <si>
    <t>{"ImportId":"QID21_2_6"}</t>
  </si>
  <si>
    <t>{"ImportId":"QID21_2_7"}</t>
  </si>
  <si>
    <t>{"ImportId":"QID21_2_8"}</t>
  </si>
  <si>
    <t>{"ImportId":"QID21_2_9"}</t>
  </si>
  <si>
    <t>{"ImportId":"QID21_2_10"}</t>
  </si>
  <si>
    <t>{"ImportId":"QID21_2_11"}</t>
  </si>
  <si>
    <t>{"ImportId":"QID21_2_12"}</t>
  </si>
  <si>
    <t>{"ImportId":"QID21_3_1"}</t>
  </si>
  <si>
    <t>{"ImportId":"QID21_3_2"}</t>
  </si>
  <si>
    <t>{"ImportId":"QID21_3_3"}</t>
  </si>
  <si>
    <t>{"ImportId":"QID21_3_4"}</t>
  </si>
  <si>
    <t>{"ImportId":"QID21_3_5"}</t>
  </si>
  <si>
    <t>{"ImportId":"QID21_3_6"}</t>
  </si>
  <si>
    <t>{"ImportId":"QID21_3_7"}</t>
  </si>
  <si>
    <t>{"ImportId":"QID21_3_8"}</t>
  </si>
  <si>
    <t>{"ImportId":"QID21_3_9"}</t>
  </si>
  <si>
    <t>{"ImportId":"QID21_3_10"}</t>
  </si>
  <si>
    <t>{"ImportId":"QID21_3_11"}</t>
  </si>
  <si>
    <t>{"ImportId":"QID21_3_12"}</t>
  </si>
  <si>
    <t>{"ImportId":"QID21_4_1"}</t>
  </si>
  <si>
    <t>{"ImportId":"QID21_4_2"}</t>
  </si>
  <si>
    <t>{"ImportId":"QID21_4_3"}</t>
  </si>
  <si>
    <t>{"ImportId":"QID21_4_4"}</t>
  </si>
  <si>
    <t>{"ImportId":"QID21_4_5"}</t>
  </si>
  <si>
    <t>{"ImportId":"QID21_4_6"}</t>
  </si>
  <si>
    <t>{"ImportId":"QID21_4_7"}</t>
  </si>
  <si>
    <t>{"ImportId":"QID21_4_8"}</t>
  </si>
  <si>
    <t>{"ImportId":"QID21_4_9"}</t>
  </si>
  <si>
    <t>{"ImportId":"QID21_4_10"}</t>
  </si>
  <si>
    <t>{"ImportId":"QID21_4_11"}</t>
  </si>
  <si>
    <t>{"ImportId":"QID21_4_12"}</t>
  </si>
  <si>
    <t>{"ImportId":"QID21_5_1"}</t>
  </si>
  <si>
    <t>{"ImportId":"QID21_5_2"}</t>
  </si>
  <si>
    <t>{"ImportId":"QID21_5_3"}</t>
  </si>
  <si>
    <t>{"ImportId":"QID21_5_4"}</t>
  </si>
  <si>
    <t>{"ImportId":"QID21_5_5"}</t>
  </si>
  <si>
    <t>{"ImportId":"QID21_5_6"}</t>
  </si>
  <si>
    <t>{"ImportId":"QID21_5_7"}</t>
  </si>
  <si>
    <t>{"ImportId":"QID21_5_8"}</t>
  </si>
  <si>
    <t>{"ImportId":"QID21_5_9"}</t>
  </si>
  <si>
    <t>{"ImportId":"QID21_5_10"}</t>
  </si>
  <si>
    <t>{"ImportId":"QID21_5_11"}</t>
  </si>
  <si>
    <t>{"ImportId":"QID21_5_12"}</t>
  </si>
  <si>
    <t>{"ImportId":"QID21_6_1"}</t>
  </si>
  <si>
    <t>{"ImportId":"QID21_6_2"}</t>
  </si>
  <si>
    <t>{"ImportId":"QID21_6_3"}</t>
  </si>
  <si>
    <t>{"ImportId":"QID21_6_4"}</t>
  </si>
  <si>
    <t>{"ImportId":"QID21_6_5"}</t>
  </si>
  <si>
    <t>{"ImportId":"QID21_6_6"}</t>
  </si>
  <si>
    <t>{"ImportId":"QID21_6_7"}</t>
  </si>
  <si>
    <t>{"ImportId":"QID21_6_8"}</t>
  </si>
  <si>
    <t>{"ImportId":"QID21_6_9"}</t>
  </si>
  <si>
    <t>{"ImportId":"QID21_6_10"}</t>
  </si>
  <si>
    <t>{"ImportId":"QID21_6_11"}</t>
  </si>
  <si>
    <t>{"ImportId":"QID21_6_12"}</t>
  </si>
  <si>
    <t>{"ImportId":"QID21_7_1"}</t>
  </si>
  <si>
    <t>{"ImportId":"QID21_7_2"}</t>
  </si>
  <si>
    <t>{"ImportId":"QID21_7_3"}</t>
  </si>
  <si>
    <t>{"ImportId":"QID21_7_4"}</t>
  </si>
  <si>
    <t>{"ImportId":"QID21_7_5"}</t>
  </si>
  <si>
    <t>{"ImportId":"QID21_7_6"}</t>
  </si>
  <si>
    <t>{"ImportId":"QID21_7_7"}</t>
  </si>
  <si>
    <t>{"ImportId":"QID21_7_8"}</t>
  </si>
  <si>
    <t>{"ImportId":"QID21_7_9"}</t>
  </si>
  <si>
    <t>{"ImportId":"QID21_7_10"}</t>
  </si>
  <si>
    <t>{"ImportId":"QID21_7_11"}</t>
  </si>
  <si>
    <t>{"ImportId":"QID21_7_12"}</t>
  </si>
  <si>
    <t>{"ImportId":"QID21_8_1"}</t>
  </si>
  <si>
    <t>{"ImportId":"QID21_8_2"}</t>
  </si>
  <si>
    <t>{"ImportId":"QID21_8_3"}</t>
  </si>
  <si>
    <t>{"ImportId":"QID21_8_4"}</t>
  </si>
  <si>
    <t>{"ImportId":"QID21_8_5"}</t>
  </si>
  <si>
    <t>{"ImportId":"QID21_8_6"}</t>
  </si>
  <si>
    <t>{"ImportId":"QID21_8_7"}</t>
  </si>
  <si>
    <t>{"ImportId":"QID21_8_8"}</t>
  </si>
  <si>
    <t>{"ImportId":"QID21_8_9"}</t>
  </si>
  <si>
    <t>{"ImportId":"QID21_8_10"}</t>
  </si>
  <si>
    <t>{"ImportId":"QID21_8_11"}</t>
  </si>
  <si>
    <t>{"ImportId":"QID21_8_12"}</t>
  </si>
  <si>
    <t>{"ImportId":"QID8_1_1"}</t>
  </si>
  <si>
    <t>{"ImportId":"QID8_1_2"}</t>
  </si>
  <si>
    <t>{"ImportId":"QID8_1_3"}</t>
  </si>
  <si>
    <t>{"ImportId":"QID8_1_4"}</t>
  </si>
  <si>
    <t>{"ImportId":"QID8_1_14"}</t>
  </si>
  <si>
    <t>{"ImportId":"QID8_1_15"}</t>
  </si>
  <si>
    <t>{"ImportId":"QID8_1_16"}</t>
  </si>
  <si>
    <t>{"ImportId":"QID8_1_17"}</t>
  </si>
  <si>
    <t>{"ImportId":"QID8_1_18"}</t>
  </si>
  <si>
    <t>{"ImportId":"QID8_1_19"}</t>
  </si>
  <si>
    <t>{"ImportId":"QID8_1_20"}</t>
  </si>
  <si>
    <t>{"ImportId":"QID8_1_21"}</t>
  </si>
  <si>
    <t>{"ImportId":"QID8_2_1"}</t>
  </si>
  <si>
    <t>{"ImportId":"QID8_2_2"}</t>
  </si>
  <si>
    <t>{"ImportId":"QID8_2_3"}</t>
  </si>
  <si>
    <t>{"ImportId":"QID8_2_4"}</t>
  </si>
  <si>
    <t>{"ImportId":"QID8_2_14"}</t>
  </si>
  <si>
    <t>{"ImportId":"QID8_2_15"}</t>
  </si>
  <si>
    <t>{"ImportId":"QID8_2_16"}</t>
  </si>
  <si>
    <t>{"ImportId":"QID8_2_17"}</t>
  </si>
  <si>
    <t>{"ImportId":"QID8_2_18"}</t>
  </si>
  <si>
    <t>{"ImportId":"QID8_2_19"}</t>
  </si>
  <si>
    <t>{"ImportId":"QID8_2_20"}</t>
  </si>
  <si>
    <t>{"ImportId":"QID8_2_21"}</t>
  </si>
  <si>
    <t>{"ImportId":"QID9_1_1"}</t>
  </si>
  <si>
    <t>{"ImportId":"QID9_1_2"}</t>
  </si>
  <si>
    <t>{"ImportId":"QID9_1_3"}</t>
  </si>
  <si>
    <t>{"ImportId":"QID9_1_4"}</t>
  </si>
  <si>
    <t>{"ImportId":"QID9_1_13"}</t>
  </si>
  <si>
    <t>{"ImportId":"QID9_1_14"}</t>
  </si>
  <si>
    <t>{"ImportId":"QID9_1_15"}</t>
  </si>
  <si>
    <t>{"ImportId":"QID9_1_16"}</t>
  </si>
  <si>
    <t>{"ImportId":"QID9_1_17"}</t>
  </si>
  <si>
    <t>{"ImportId":"QID9_1_18"}</t>
  </si>
  <si>
    <t>{"ImportId":"QID9_1_19"}</t>
  </si>
  <si>
    <t>{"ImportId":"QID9_1_20"}</t>
  </si>
  <si>
    <t>{"ImportId":"QID9_2_1"}</t>
  </si>
  <si>
    <t>{"ImportId":"QID9_2_2"}</t>
  </si>
  <si>
    <t>{"ImportId":"QID9_2_3"}</t>
  </si>
  <si>
    <t>{"ImportId":"QID9_2_4"}</t>
  </si>
  <si>
    <t>{"ImportId":"QID9_2_13"}</t>
  </si>
  <si>
    <t>{"ImportId":"QID9_2_14"}</t>
  </si>
  <si>
    <t>{"ImportId":"QID9_2_15"}</t>
  </si>
  <si>
    <t>{"ImportId":"QID9_2_16"}</t>
  </si>
  <si>
    <t>{"ImportId":"QID9_2_17"}</t>
  </si>
  <si>
    <t>{"ImportId":"QID9_2_18"}</t>
  </si>
  <si>
    <t>{"ImportId":"QID9_2_19"}</t>
  </si>
  <si>
    <t>{"ImportId":"QID9_2_20"}</t>
  </si>
  <si>
    <t>{"ImportId":"QID9_3_1"}</t>
  </si>
  <si>
    <t>{"ImportId":"QID9_3_2"}</t>
  </si>
  <si>
    <t>{"ImportId":"QID9_3_3"}</t>
  </si>
  <si>
    <t>{"ImportId":"QID9_3_4"}</t>
  </si>
  <si>
    <t>{"ImportId":"QID9_3_13"}</t>
  </si>
  <si>
    <t>{"ImportId":"QID9_3_14"}</t>
  </si>
  <si>
    <t>{"ImportId":"QID9_3_15"}</t>
  </si>
  <si>
    <t>{"ImportId":"QID9_3_16"}</t>
  </si>
  <si>
    <t>{"ImportId":"QID9_3_17"}</t>
  </si>
  <si>
    <t>{"ImportId":"QID9_3_18"}</t>
  </si>
  <si>
    <t>{"ImportId":"QID9_3_19"}</t>
  </si>
  <si>
    <t>{"ImportId":"QID9_3_20"}</t>
  </si>
  <si>
    <t>{"ImportId":"QID22_TEXT"}</t>
  </si>
  <si>
    <t>{"ImportId":"QID10_1_1"}</t>
  </si>
  <si>
    <t>{"ImportId":"QID10_1_2"}</t>
  </si>
  <si>
    <t>{"ImportId":"QID10_1_3"}</t>
  </si>
  <si>
    <t>{"ImportId":"QID10_1_4"}</t>
  </si>
  <si>
    <t>{"ImportId":"QID10_1_13"}</t>
  </si>
  <si>
    <t>{"ImportId":"QID10_1_14"}</t>
  </si>
  <si>
    <t>{"ImportId":"QID10_1_15"}</t>
  </si>
  <si>
    <t>{"ImportId":"QID10_1_16"}</t>
  </si>
  <si>
    <t>{"ImportId":"QID10_1_17"}</t>
  </si>
  <si>
    <t>{"ImportId":"QID10_1_18"}</t>
  </si>
  <si>
    <t>{"ImportId":"QID10_1_19"}</t>
  </si>
  <si>
    <t>{"ImportId":"QID10_1_20"}</t>
  </si>
  <si>
    <t>{"ImportId":"QID10_2_1"}</t>
  </si>
  <si>
    <t>{"ImportId":"QID10_2_2"}</t>
  </si>
  <si>
    <t>{"ImportId":"QID10_2_3"}</t>
  </si>
  <si>
    <t>{"ImportId":"QID10_2_4"}</t>
  </si>
  <si>
    <t>{"ImportId":"QID10_2_13"}</t>
  </si>
  <si>
    <t>{"ImportId":"QID10_2_14"}</t>
  </si>
  <si>
    <t>{"ImportId":"QID10_2_15"}</t>
  </si>
  <si>
    <t>{"ImportId":"QID10_2_16"}</t>
  </si>
  <si>
    <t>{"ImportId":"QID10_2_17"}</t>
  </si>
  <si>
    <t>{"ImportId":"QID10_2_18"}</t>
  </si>
  <si>
    <t>{"ImportId":"QID10_2_19"}</t>
  </si>
  <si>
    <t>{"ImportId":"QID10_2_20"}</t>
  </si>
  <si>
    <t>{"ImportId":"QID13_1_1"}</t>
  </si>
  <si>
    <t>{"ImportId":"QID13_2_1"}</t>
  </si>
  <si>
    <t>{"ImportId":"QID13_3_1"}</t>
  </si>
  <si>
    <t>{"ImportId":"QID36_TEXT"}</t>
  </si>
  <si>
    <t>Cornwall</t>
  </si>
  <si>
    <t xml:space="preserve">No longer have this service
</t>
  </si>
  <si>
    <t>Sefton</t>
  </si>
  <si>
    <t xml:space="preserve">WE do not have a mobile library service </t>
  </si>
  <si>
    <t>West Northamptonshire</t>
  </si>
  <si>
    <t>We only have a library to you service</t>
  </si>
  <si>
    <t>Halton</t>
  </si>
  <si>
    <t>Hertfordshire</t>
  </si>
  <si>
    <t>We do not have click &amp; collect or mobile library services. Please note our home delivery figures are estimates based on the total number of users each interacting with the service once a month.</t>
  </si>
  <si>
    <t>North Lincolnshire</t>
  </si>
  <si>
    <t>We do not offer click &amp; collect</t>
  </si>
  <si>
    <t>Rotherham</t>
  </si>
  <si>
    <t>We do not have a mobile library service</t>
  </si>
  <si>
    <t>Peterborough</t>
  </si>
  <si>
    <t>City of London</t>
  </si>
  <si>
    <t>N/A</t>
  </si>
  <si>
    <t>Milton Keynes</t>
  </si>
  <si>
    <t>Do not have mobile library service or click and collect</t>
  </si>
  <si>
    <t>West Berkshire</t>
  </si>
  <si>
    <t>none</t>
  </si>
  <si>
    <t>included in 12-17</t>
  </si>
  <si>
    <t>do not use</t>
  </si>
  <si>
    <t>No mobile library service</t>
  </si>
  <si>
    <t>Do not collate data for wifi</t>
  </si>
  <si>
    <t>North Northamptonshire</t>
  </si>
  <si>
    <t>Shropshire</t>
  </si>
  <si>
    <t>We don't offer Click &amp; Collect.
Mobile Library data is only available for the past 6 months
Home delivery is based on a sample count in April.</t>
  </si>
  <si>
    <t>Windsor and Maidenhead</t>
  </si>
  <si>
    <t xml:space="preserve">We do not have a mobile library service. One library was a click and collect service from November 2025 to March 2026 as the building was under refurbishment.
</t>
  </si>
  <si>
    <t>Central Bedfordshire</t>
  </si>
  <si>
    <t xml:space="preserve">We don't offer click and collect, and we don't have a mobile library. We do have home delivery, but we don't currently collect data on monthly interactions. 								
</t>
  </si>
  <si>
    <t>Brighton and Hove</t>
  </si>
  <si>
    <t>Do not have mobile library or offer click and collect</t>
  </si>
  <si>
    <t>Bournemouth, Christchurch and Poole</t>
  </si>
  <si>
    <t>We do not offer Click and Collect and we do not have a mobile library service.</t>
  </si>
  <si>
    <t>Warwickshire</t>
  </si>
  <si>
    <t>We don't have a Click and Collect service any more.</t>
  </si>
  <si>
    <t>Bolton</t>
  </si>
  <si>
    <t>We do not have a mobile library service or offer click and collect, as distinct from picking up a reservation through a normal visit anymore.
We only have a Home Library Service and the customers receive one visit every month.</t>
  </si>
  <si>
    <t>Bexley</t>
  </si>
  <si>
    <t>We offer a home library service but these figures are captured in overall issue totals as it operates from all sites</t>
  </si>
  <si>
    <t>Hammersmith and Fulham</t>
  </si>
  <si>
    <t>South Gloucestershire</t>
  </si>
  <si>
    <t>We do not offer a Click and Collect service or a mobile library.
The annual number of home deliveries is an estimated figure, calculated by multiplying the number of housebound borrowers by 12 months.</t>
  </si>
  <si>
    <t>Slough</t>
  </si>
  <si>
    <t>we do not offer any of these services</t>
  </si>
  <si>
    <t>Southwark</t>
  </si>
  <si>
    <t xml:space="preserve">No Click and Collect </t>
  </si>
  <si>
    <t xml:space="preserve">No Mobile Library service </t>
  </si>
  <si>
    <t>Darlington</t>
  </si>
  <si>
    <t>We do not have a mobile library service or Click and collect</t>
  </si>
  <si>
    <t>Croydon</t>
  </si>
  <si>
    <t>We do operate Click &amp; Collect, and do not have any mobile libraries</t>
  </si>
  <si>
    <t>Lincolnshire</t>
  </si>
  <si>
    <t>Middlesborough</t>
  </si>
  <si>
    <t>St. Helens</t>
  </si>
  <si>
    <t>No mobile library or click and collect</t>
  </si>
  <si>
    <t>Camden</t>
  </si>
  <si>
    <t>Kingston upon Hull, City of</t>
  </si>
  <si>
    <t>We didn't operate click and collect service during this time period and we don't have a mobile library.</t>
  </si>
  <si>
    <t>Portsmouth</t>
  </si>
  <si>
    <t>Sandwell</t>
  </si>
  <si>
    <t>We don't offer click and collect.</t>
  </si>
  <si>
    <t>Coventry</t>
  </si>
  <si>
    <t>Do not offer click and collect or a Mobile Library Service</t>
  </si>
  <si>
    <t>Barnsley</t>
  </si>
  <si>
    <t>No Click and Collect Service.  No Mobile Library Service.</t>
  </si>
  <si>
    <t>Reading</t>
  </si>
  <si>
    <t>Camridgeshire</t>
  </si>
  <si>
    <t>Sutton</t>
  </si>
  <si>
    <t>n/a</t>
  </si>
  <si>
    <t>Buckinghamshire</t>
  </si>
  <si>
    <t>We do not have a mobile library or click and collect, and our home library service statistics are incorporated into our base stats in relation to the library they're linked to.</t>
  </si>
  <si>
    <t>Gloucestershire</t>
  </si>
  <si>
    <t>Wigan</t>
  </si>
  <si>
    <t xml:space="preserve">We do not offer this service </t>
  </si>
  <si>
    <t>Merton</t>
  </si>
  <si>
    <t>We don't have a mobile library service</t>
  </si>
  <si>
    <t>Blackpool</t>
  </si>
  <si>
    <t>We don't have click and collect or mobile libraries.</t>
  </si>
  <si>
    <t>Oxfordshire</t>
  </si>
  <si>
    <t>No Click and Collect / mobile libraries.
Our Home Library Service is delivered by a small team of staff and around 200 volunteers.  Each customer is visited every 3 weeks, but we do not record actual visits due to the constant fluctuation of customers and volunteers.  As such, this is an estimate, based on an average of 860 customers receiving a visit every 3 weeks.</t>
  </si>
  <si>
    <t>Islington</t>
  </si>
  <si>
    <t>Waltham Forest</t>
  </si>
  <si>
    <t>North Yorkshire</t>
  </si>
  <si>
    <t>We don't operate a click and collect service</t>
  </si>
  <si>
    <t>Northumberland</t>
  </si>
  <si>
    <t>We do not collect this data for our mobile library service</t>
  </si>
  <si>
    <t>Wirral</t>
  </si>
  <si>
    <t>North East Lincolnshire</t>
  </si>
  <si>
    <t>We do not offer click and collect and have no mobile service.</t>
  </si>
  <si>
    <t>Surrey</t>
  </si>
  <si>
    <t>We do not have a mobile library service, and we do not offer a specific click and collect service (other than standard reservation/hold requests).</t>
  </si>
  <si>
    <t>Blackburn with Darwen</t>
  </si>
  <si>
    <t>The click and collect service is no longer used.
We don't provide a mobile library service</t>
  </si>
  <si>
    <t>North Tyneside</t>
  </si>
  <si>
    <t>Mobile library discontinued in July</t>
  </si>
  <si>
    <t>Worcestershire</t>
  </si>
  <si>
    <t>Liverpool</t>
  </si>
  <si>
    <t>Sheffield</t>
  </si>
  <si>
    <t>no C&amp;C or mobile library service
we do have home library service and details in q</t>
  </si>
  <si>
    <t>Wiltshire</t>
  </si>
  <si>
    <t>We do not operate a click and collect service</t>
  </si>
  <si>
    <t>Dorset</t>
  </si>
  <si>
    <t>We do not have a mobile library service or click and collect service</t>
  </si>
  <si>
    <t>North Somerset</t>
  </si>
  <si>
    <t>we do not have a click and collect service. A limited mobile service was in operation from April - December whilst we awaited delivery of a new EV mobile vehicle.</t>
  </si>
  <si>
    <t>Derbyshire</t>
  </si>
  <si>
    <t>Our mobile library service data is included within our our data</t>
  </si>
  <si>
    <t>Staffordshire</t>
  </si>
  <si>
    <t>We do not offer a Click &amp; Collect Service.
Our Home Delivery visits are estimated from the dates they started with us and whether they have monthly visits, fortnightly visits, etc.</t>
  </si>
  <si>
    <t>Leeds</t>
  </si>
  <si>
    <t>Although we o have mobile libraries, we do not collect data compatible with the definition of interactions but will investigate what is possible for future reporting.</t>
  </si>
  <si>
    <t>East Sussex</t>
  </si>
  <si>
    <t>Southend</t>
  </si>
  <si>
    <t>Torbay</t>
  </si>
  <si>
    <t>Devon</t>
  </si>
  <si>
    <t>We do not offer any of these services</t>
  </si>
  <si>
    <t>Hampshire</t>
  </si>
  <si>
    <t>We have no mobile library service.</t>
  </si>
  <si>
    <t>Stoke-on-Trent</t>
  </si>
  <si>
    <t xml:space="preserve">We do not have a mobile service. 
</t>
  </si>
  <si>
    <t>Wandsworth</t>
  </si>
  <si>
    <t xml:space="preserve"> do not have a mobile library service</t>
  </si>
  <si>
    <t>Hartlepool</t>
  </si>
  <si>
    <t xml:space="preserve">Do not have a mobile library service and don't offer Click &amp; Collect. </t>
  </si>
  <si>
    <t>Newcastle upon Tyne</t>
  </si>
  <si>
    <t>We do not have a mobile library service, and only offered click &amp; collect during the covid pandemic.</t>
  </si>
  <si>
    <t>Wakefield</t>
  </si>
  <si>
    <t>Do not have a mobile library service anymore, or offer click and collect</t>
  </si>
  <si>
    <t>Somerset</t>
  </si>
  <si>
    <t>Kent</t>
  </si>
  <si>
    <t>We no longer provide a click and collect service, this was discontinued after the pandemic.  For the Home Library Service we can provide number of Home Library issues, or number of customers, but not number of interactions.</t>
  </si>
  <si>
    <t>Tameside</t>
  </si>
  <si>
    <t>Warrington</t>
  </si>
  <si>
    <t>We don't have a mobile library service or click and collect. Issues from our home library service are not separated from total issues.</t>
  </si>
  <si>
    <t>Calderdale</t>
  </si>
  <si>
    <t>Doncaster</t>
  </si>
  <si>
    <t>We do not have a mobile library service and do not offer click and collect</t>
  </si>
  <si>
    <t>Bristol, City of</t>
  </si>
  <si>
    <t>No click and collect service and no mobile library</t>
  </si>
  <si>
    <t>Nottinghamshire</t>
  </si>
  <si>
    <t xml:space="preserve">1689	</t>
  </si>
  <si>
    <t xml:space="preserve">1945	</t>
  </si>
  <si>
    <t xml:space="preserve">Home delivery is counted by number of customers per year. Number of visits by a volunteer is not currently recorded.
No click and collect customers currently served.								
</t>
  </si>
  <si>
    <t>Cheshire East</t>
  </si>
  <si>
    <t>We no longer track click and collect requests.</t>
  </si>
  <si>
    <t>York</t>
  </si>
  <si>
    <t>Cheshire West and Chester</t>
  </si>
  <si>
    <t>Click and Collect data is no longer tracked.</t>
  </si>
  <si>
    <t>West Sussex</t>
  </si>
  <si>
    <t>Click and collect services are included within our loans report.
We do not have a mobile library service.
Home delivery services are included within our loans report.</t>
  </si>
  <si>
    <t>Bradford</t>
  </si>
  <si>
    <t>No click &amp; collect collated 
No mobile library service</t>
  </si>
  <si>
    <t>Barnet</t>
  </si>
  <si>
    <t>o</t>
  </si>
  <si>
    <t>Richmond Upon Thames</t>
  </si>
  <si>
    <t>We stopped doing Click and Collect once we fully reopened after the pandemic. Richmond upon Thames has no mobile libraries.</t>
  </si>
  <si>
    <t>Greenwich</t>
  </si>
  <si>
    <t xml:space="preserve">950	</t>
  </si>
  <si>
    <t>Kirklees</t>
  </si>
  <si>
    <t>Derby</t>
  </si>
  <si>
    <t>We do not have a mobile service and we are not currently recording the interactions for Home Library Service.  Only the amount of issues</t>
  </si>
  <si>
    <t>Herefordshire, County of</t>
  </si>
  <si>
    <t>Click and collect is not recorded but issues included in general figures. No Mobile library service.</t>
  </si>
  <si>
    <t>Brent</t>
  </si>
  <si>
    <t>Westmorland and Furness</t>
  </si>
  <si>
    <t>We do not have a mobile library service. We do not operate click and collect.</t>
  </si>
  <si>
    <t>Isle of Wight</t>
  </si>
  <si>
    <t>we do not do click and collect and we have no mobile. We have a Housebound service staffed by one person.</t>
  </si>
  <si>
    <t>South Tyneside</t>
  </si>
  <si>
    <t>Dudley</t>
  </si>
  <si>
    <t>Home library service data is included within the overall service data</t>
  </si>
  <si>
    <t>Thurrock</t>
  </si>
  <si>
    <t>Cumberland</t>
  </si>
  <si>
    <t>Telford and Wrekin</t>
  </si>
  <si>
    <t>Not recorded</t>
  </si>
  <si>
    <t xml:space="preserve">We do not have a mobile library service or click and collect. </t>
  </si>
  <si>
    <t>Newham</t>
  </si>
  <si>
    <t xml:space="preserve">Newham does not operate a mobile or home round reader service
</t>
  </si>
  <si>
    <t>Gateshead</t>
  </si>
  <si>
    <t>We don't have a mobile library service or click and collect offer.</t>
  </si>
  <si>
    <t>Oldham</t>
  </si>
  <si>
    <t>Hillingdon</t>
  </si>
  <si>
    <t>Westminster</t>
  </si>
  <si>
    <t>no mobile library service. We only have home library service</t>
  </si>
  <si>
    <t>Kensington and Chelsea</t>
  </si>
  <si>
    <t>do not have mobile service.</t>
  </si>
  <si>
    <t>Stockton-on-Tees</t>
  </si>
  <si>
    <t>Nottingham</t>
  </si>
  <si>
    <t>Do not provide a Click and Collect service. No mobile service provided. While Home Delivery service provided, data not collected in time to submit return.</t>
  </si>
  <si>
    <t>Rutland</t>
  </si>
  <si>
    <t>Trafford</t>
  </si>
  <si>
    <t>We do not have a mobile service and do not operate click and collect</t>
  </si>
  <si>
    <t>Bromley</t>
  </si>
  <si>
    <t>Bath and North East Somerset</t>
  </si>
  <si>
    <t>1. The mobile library data is included in our visits figures, we do not differentiate this in terms of it being an additio0l service. We could the stats (issues, visits, volunteers etc) in the same way as we would an ordi0ry branch
2. Home Library Service - we count the number of customers, volunteer hours and issues. We do not have the data on number of interactions</t>
  </si>
  <si>
    <t>Q14a_2_Total</t>
  </si>
  <si>
    <t>PC use - Number of sessions of wifi access - Total 2025/26</t>
  </si>
  <si>
    <t>Calculated annual total</t>
  </si>
  <si>
    <t>Q14a_1_Total</t>
  </si>
  <si>
    <t>PC use - Number of hours of usage - Total 2025/26</t>
  </si>
  <si>
    <t>Q12a_3_Total</t>
  </si>
  <si>
    <t>Additional lending methods: - Home delivery - Total 2025/26</t>
  </si>
  <si>
    <t>Q12a_2_Total</t>
  </si>
  <si>
    <t>Additional lending methods: - Mobile libraries - Total 2025/26</t>
  </si>
  <si>
    <t>Q12a_1_Total</t>
  </si>
  <si>
    <t>Additional lending methods: - Click and collect - Total 2025/26</t>
  </si>
  <si>
    <t>Q11a_2_Total</t>
  </si>
  <si>
    <t>Physical visits of people into library premises: - Visitors to CO-LOCATION sites - Total 2025/26</t>
  </si>
  <si>
    <t>Q11a_1_Total</t>
  </si>
  <si>
    <t>Physical visits of people into library premises: - Visitors to  LIBRARY-ONLY sites - Total 2025/26</t>
  </si>
  <si>
    <t>Q10a_8_Total</t>
  </si>
  <si>
    <t>E-issues: - Of which - Adult (18+) OR unclassified - Total 2025/26</t>
  </si>
  <si>
    <t>Q10a_7_Total</t>
  </si>
  <si>
    <t>E-issues: - Of which - Young people (12-17) - Total 2025/26</t>
  </si>
  <si>
    <t>Q10a_6_Total</t>
  </si>
  <si>
    <t>E-issues: - Of which - Children (11 and under) - Total 2025/26</t>
  </si>
  <si>
    <t>Q10a_5_Total</t>
  </si>
  <si>
    <t>E-issues: - Total number of DIGITAL AUDIO BOOKS issued - Total 2025/26</t>
  </si>
  <si>
    <t>Q10a_4_Total</t>
  </si>
  <si>
    <t>Q10a_3_Total</t>
  </si>
  <si>
    <t>Q10a_2_Total</t>
  </si>
  <si>
    <t>Q10a_1_Total</t>
  </si>
  <si>
    <t>E-issues: - Total number of E-BOOKS issued - Total 2025/26</t>
  </si>
  <si>
    <t>Q8a_8_Total</t>
  </si>
  <si>
    <t>Loans and lending of library items - Of which - Adult (18+) OR unclassified - Total 2025/26</t>
  </si>
  <si>
    <t>Q8a_7_Total</t>
  </si>
  <si>
    <t>Loans and lending of library items - Of which - Young people (12-17) - Total 2025/26</t>
  </si>
  <si>
    <t>Q8a_6_Total</t>
  </si>
  <si>
    <t>Loans and lending of library items - Of which - Children (11 and under) - Total 2025/26</t>
  </si>
  <si>
    <t>Q8a_5_Total</t>
  </si>
  <si>
    <t>Loans and lending of library items - Total number of AUDIO book issues - Total 2025/26</t>
  </si>
  <si>
    <t>Q8a_4_Total</t>
  </si>
  <si>
    <t>Q8a_3_Total</t>
  </si>
  <si>
    <t>Q8a_2_Total</t>
  </si>
  <si>
    <t>Q8a_1_Total</t>
  </si>
  <si>
    <t>Loans and lending of library items - Total number of PHYSICAL book issues - Total 2025/26</t>
  </si>
  <si>
    <t>Q7a_8_Total</t>
  </si>
  <si>
    <t>Attendances: - Of which - Adult (18+) OR unclassified - Total 2025/26</t>
  </si>
  <si>
    <t>Q7a_7_Total</t>
  </si>
  <si>
    <t>Attendances: - Of which - Young people (12-17) - Total 2025/26</t>
  </si>
  <si>
    <t>Q7a_6_Total</t>
  </si>
  <si>
    <t>Attendances: - Of which - Children (11 and under) - Total 2025/26</t>
  </si>
  <si>
    <t>Q7a_5_Total</t>
  </si>
  <si>
    <t>Attendances: - Total attendees at DIGITAL events - Total 2025/26</t>
  </si>
  <si>
    <t>Q7a_4_Total</t>
  </si>
  <si>
    <t>Q7a_3_Total</t>
  </si>
  <si>
    <t>Q7a_2_Total</t>
  </si>
  <si>
    <t>Q7a_1_Total</t>
  </si>
  <si>
    <t>Attendances: - Total attendees at PHYSICAL events - Total 2025/26</t>
  </si>
  <si>
    <t>Q5a_10_Total</t>
  </si>
  <si>
    <t>Events: - Digital events aimed at all age groups - Total 2025/26</t>
  </si>
  <si>
    <t>Q5a_9_Total</t>
  </si>
  <si>
    <t>Events: - Target audience - Adult (18+) OR unclassified - Total 2025/26</t>
  </si>
  <si>
    <t>Q5a_8_Total</t>
  </si>
  <si>
    <t>Events: - Target audience - Young people (12-17) - Total 2025/26</t>
  </si>
  <si>
    <t>Q5a_7_Total</t>
  </si>
  <si>
    <t>Events: - Target audience - Children (11 and under) - Total 2025/26</t>
  </si>
  <si>
    <t>Q5a_6_Total</t>
  </si>
  <si>
    <t>Events: - Total number of DIGITAL events - Total 2025/26</t>
  </si>
  <si>
    <t>Q5a_5_Total</t>
  </si>
  <si>
    <t>Events: - Physical events aimed at all age groups - Total 2025/26</t>
  </si>
  <si>
    <t>Q5a_4_Total</t>
  </si>
  <si>
    <t>Q5a_3_Total</t>
  </si>
  <si>
    <t>Q5a_2_Total</t>
  </si>
  <si>
    <t>Q5a_1_Total</t>
  </si>
  <si>
    <t>Events: - Total number of PHYSICAL events - Total 2025/26</t>
  </si>
  <si>
    <t>Q7a_Physical_All_Totals</t>
  </si>
  <si>
    <t>Q7a_Digital_All_Totals</t>
  </si>
  <si>
    <t>Q5a_Physical_Audience_Total</t>
  </si>
  <si>
    <t>Q5a_Digital_Audience_Total</t>
  </si>
  <si>
    <t>Physical events - age groups plus all-age events</t>
  </si>
  <si>
    <t>Digital events - age groups plus all-age events</t>
  </si>
  <si>
    <t>Children + young people + adults/unclassified + all age groups</t>
  </si>
  <si>
    <t>Q7_1_1</t>
  </si>
  <si>
    <t>Q7_2_1</t>
  </si>
  <si>
    <t>Q7_3_1</t>
  </si>
  <si>
    <t>Q7_4_1</t>
  </si>
  <si>
    <t>Q4_1_1</t>
  </si>
  <si>
    <t>Q4_1_2</t>
  </si>
  <si>
    <t>Q4_1_3</t>
  </si>
  <si>
    <t>Q4_1_4</t>
  </si>
  <si>
    <t>Q4_1_5</t>
  </si>
  <si>
    <t>Q4_1_6</t>
  </si>
  <si>
    <t>Q4_1_7</t>
  </si>
  <si>
    <t>Q4_1_8</t>
  </si>
  <si>
    <t>Q4_1_9</t>
  </si>
  <si>
    <t>Q4_1_10</t>
  </si>
  <si>
    <t>Q4_1_11</t>
  </si>
  <si>
    <t>Q4_1_12</t>
  </si>
  <si>
    <t>Q4_2_1</t>
  </si>
  <si>
    <t>Q4_2_2</t>
  </si>
  <si>
    <t>Q4_2_3</t>
  </si>
  <si>
    <t>Q4_2_4</t>
  </si>
  <si>
    <t>Q4_2_5</t>
  </si>
  <si>
    <t>Q4_2_6</t>
  </si>
  <si>
    <t>Q4_2_7</t>
  </si>
  <si>
    <t>Q4_2_8</t>
  </si>
  <si>
    <t>Q4_2_9</t>
  </si>
  <si>
    <t>Q4_2_10</t>
  </si>
  <si>
    <t>Q4_2_11</t>
  </si>
  <si>
    <t>Q4_2_12</t>
  </si>
  <si>
    <t>Q4_3_1</t>
  </si>
  <si>
    <t>Q4_3_2</t>
  </si>
  <si>
    <t>Q4_3_3</t>
  </si>
  <si>
    <t>Q4_3_4</t>
  </si>
  <si>
    <t>Q4_3_5</t>
  </si>
  <si>
    <t>Q4_3_6</t>
  </si>
  <si>
    <t>Q4_3_7</t>
  </si>
  <si>
    <t>Q4_3_8</t>
  </si>
  <si>
    <t>Q4_3_9</t>
  </si>
  <si>
    <t>Q4_3_10</t>
  </si>
  <si>
    <t>Q4_3_11</t>
  </si>
  <si>
    <t>Q4_3_12</t>
  </si>
  <si>
    <t>Q4_4_1</t>
  </si>
  <si>
    <t>Q4_4_2</t>
  </si>
  <si>
    <t>Q4_4_3</t>
  </si>
  <si>
    <t>Q4_4_4</t>
  </si>
  <si>
    <t>Q4_4_5</t>
  </si>
  <si>
    <t>Q4_4_6</t>
  </si>
  <si>
    <t>Q4_4_7</t>
  </si>
  <si>
    <t>Q4_4_8</t>
  </si>
  <si>
    <t>Q4_4_9</t>
  </si>
  <si>
    <t>Q4_4_10</t>
  </si>
  <si>
    <t>Q4_4_11</t>
  </si>
  <si>
    <t>Q4_4_12</t>
  </si>
  <si>
    <t>Q4_5_1</t>
  </si>
  <si>
    <t>Q4_5_2</t>
  </si>
  <si>
    <t>Q4_5_3</t>
  </si>
  <si>
    <t>Q4_5_4</t>
  </si>
  <si>
    <t>Q4_5_5</t>
  </si>
  <si>
    <t>Q4_5_6</t>
  </si>
  <si>
    <t>Q4_5_7</t>
  </si>
  <si>
    <t>Q4_5_8</t>
  </si>
  <si>
    <t>Q4_5_9</t>
  </si>
  <si>
    <t>Q4_5_10</t>
  </si>
  <si>
    <t>Q4_5_11</t>
  </si>
  <si>
    <t>Q4_5_12</t>
  </si>
  <si>
    <t>Q4_6_1</t>
  </si>
  <si>
    <t>Q4_6_2</t>
  </si>
  <si>
    <t>Q4_6_3</t>
  </si>
  <si>
    <t>Q4_6_4</t>
  </si>
  <si>
    <t>Q4_6_5</t>
  </si>
  <si>
    <t>Q4_6_6</t>
  </si>
  <si>
    <t>Q4_6_7</t>
  </si>
  <si>
    <t>Q4_6_8</t>
  </si>
  <si>
    <t>Q4_6_9</t>
  </si>
  <si>
    <t>Q4_6_10</t>
  </si>
  <si>
    <t>Q4_6_11</t>
  </si>
  <si>
    <t>Q4_6_12</t>
  </si>
  <si>
    <t>Q4_7_1</t>
  </si>
  <si>
    <t>Q4_7_2</t>
  </si>
  <si>
    <t>Q4_7_3</t>
  </si>
  <si>
    <t>Q4_7_4</t>
  </si>
  <si>
    <t>Q4_7_5</t>
  </si>
  <si>
    <t>Q4_7_6</t>
  </si>
  <si>
    <t>Q4_7_7</t>
  </si>
  <si>
    <t>Q4_7_8</t>
  </si>
  <si>
    <t>Q4_7_9</t>
  </si>
  <si>
    <t>Q4_7_10</t>
  </si>
  <si>
    <t>Q4_7_11</t>
  </si>
  <si>
    <t>Q4_7_12</t>
  </si>
  <si>
    <t>Q4_8_1</t>
  </si>
  <si>
    <t>Q4_8_2</t>
  </si>
  <si>
    <t>Q4_8_3</t>
  </si>
  <si>
    <t>Q4_8_4</t>
  </si>
  <si>
    <t>Q4_8_5</t>
  </si>
  <si>
    <t>Q4_8_6</t>
  </si>
  <si>
    <t>Q4_8_7</t>
  </si>
  <si>
    <t>Q4_8_8</t>
  </si>
  <si>
    <t>Q4_8_9</t>
  </si>
  <si>
    <t>Q4_8_10</t>
  </si>
  <si>
    <t>Q4_8_11</t>
  </si>
  <si>
    <t>Q4_8_12</t>
  </si>
  <si>
    <t>Q4_9_1</t>
  </si>
  <si>
    <t>Q4_9_2</t>
  </si>
  <si>
    <t>Q4_9_3</t>
  </si>
  <si>
    <t>Q4_9_4</t>
  </si>
  <si>
    <t>Q4_9_5</t>
  </si>
  <si>
    <t>Q4_9_6</t>
  </si>
  <si>
    <t>Q4_9_7</t>
  </si>
  <si>
    <t>Q4_9_8</t>
  </si>
  <si>
    <t>Q4_9_9</t>
  </si>
  <si>
    <t>Q4_9_10</t>
  </si>
  <si>
    <t>Q4_9_11</t>
  </si>
  <si>
    <t>Q4_9_12</t>
  </si>
  <si>
    <t>Q4_10_1</t>
  </si>
  <si>
    <t>Q4_10_2</t>
  </si>
  <si>
    <t>Q4_10_3</t>
  </si>
  <si>
    <t>Q4_10_4</t>
  </si>
  <si>
    <t>Q4_10_5</t>
  </si>
  <si>
    <t>Q4_10_6</t>
  </si>
  <si>
    <t>Q4_10_7</t>
  </si>
  <si>
    <t>Q4_10_8</t>
  </si>
  <si>
    <t>Q4_10_9</t>
  </si>
  <si>
    <t>Q4_10_10</t>
  </si>
  <si>
    <t>Q4_10_11</t>
  </si>
  <si>
    <t>Q4_10_12</t>
  </si>
  <si>
    <t>Q12_1_1</t>
  </si>
  <si>
    <t>Q12_1_2</t>
  </si>
  <si>
    <t>Q12_1_3</t>
  </si>
  <si>
    <t>Q12_1_4</t>
  </si>
  <si>
    <t>Q12_1_13</t>
  </si>
  <si>
    <t>Q12_1_14</t>
  </si>
  <si>
    <t>Q12_1_15</t>
  </si>
  <si>
    <t>Q12_1_16</t>
  </si>
  <si>
    <t>Q12_1_17</t>
  </si>
  <si>
    <t>Q12_1_18</t>
  </si>
  <si>
    <t>Q12_1_19</t>
  </si>
  <si>
    <t>Q12_1_20</t>
  </si>
  <si>
    <t>Q12_2_1</t>
  </si>
  <si>
    <t>Q12_2_2</t>
  </si>
  <si>
    <t>Q12_2_3</t>
  </si>
  <si>
    <t>Q12_2_4</t>
  </si>
  <si>
    <t>Q12_2_13</t>
  </si>
  <si>
    <t>Q12_2_14</t>
  </si>
  <si>
    <t>Q12_2_15</t>
  </si>
  <si>
    <t>Q12_2_16</t>
  </si>
  <si>
    <t>Q12_2_17</t>
  </si>
  <si>
    <t>Q12_2_18</t>
  </si>
  <si>
    <t>Q12_2_19</t>
  </si>
  <si>
    <t>Q12_2_20</t>
  </si>
  <si>
    <t>Q12_3_1</t>
  </si>
  <si>
    <t>Q12_3_2</t>
  </si>
  <si>
    <t>Q12_3_3</t>
  </si>
  <si>
    <t>Q12_3_4</t>
  </si>
  <si>
    <t>Q12_3_13</t>
  </si>
  <si>
    <t>Q12_3_14</t>
  </si>
  <si>
    <t>Q12_3_15</t>
  </si>
  <si>
    <t>Q12_3_16</t>
  </si>
  <si>
    <t>Q12_3_17</t>
  </si>
  <si>
    <t>Q12_3_18</t>
  </si>
  <si>
    <t>Q12_3_19</t>
  </si>
  <si>
    <t>Q12_3_20</t>
  </si>
  <si>
    <t>Q12_4_1</t>
  </si>
  <si>
    <t>Q12_4_2</t>
  </si>
  <si>
    <t>Q12_4_3</t>
  </si>
  <si>
    <t>Q12_4_4</t>
  </si>
  <si>
    <t>Q12_4_13</t>
  </si>
  <si>
    <t>Q12_4_14</t>
  </si>
  <si>
    <t>Q12_4_15</t>
  </si>
  <si>
    <t>Q12_4_16</t>
  </si>
  <si>
    <t>Q12_4_17</t>
  </si>
  <si>
    <t>Q12_4_18</t>
  </si>
  <si>
    <t>Q12_4_19</t>
  </si>
  <si>
    <t>Q12_4_20</t>
  </si>
  <si>
    <t>Q12_5_1</t>
  </si>
  <si>
    <t>Q12_5_2</t>
  </si>
  <si>
    <t>Q12_5_3</t>
  </si>
  <si>
    <t>Q12_5_4</t>
  </si>
  <si>
    <t>Q12_5_13</t>
  </si>
  <si>
    <t>Q12_5_14</t>
  </si>
  <si>
    <t>Q12_5_15</t>
  </si>
  <si>
    <t>Q12_5_16</t>
  </si>
  <si>
    <t>Q12_5_17</t>
  </si>
  <si>
    <t>Q12_5_18</t>
  </si>
  <si>
    <t>Q12_5_19</t>
  </si>
  <si>
    <t>Q12_5_20</t>
  </si>
  <si>
    <t>Q12_6_1</t>
  </si>
  <si>
    <t>Q12_6_2</t>
  </si>
  <si>
    <t>Q12_6_3</t>
  </si>
  <si>
    <t>Q12_6_4</t>
  </si>
  <si>
    <t>Q12_6_13</t>
  </si>
  <si>
    <t>Q12_6_14</t>
  </si>
  <si>
    <t>Q12_6_15</t>
  </si>
  <si>
    <t>Q12_6_16</t>
  </si>
  <si>
    <t>Q12_6_17</t>
  </si>
  <si>
    <t>Q12_6_18</t>
  </si>
  <si>
    <t>Q12_6_19</t>
  </si>
  <si>
    <t>Q12_6_20</t>
  </si>
  <si>
    <t>Q12_7_1</t>
  </si>
  <si>
    <t>Q12_7_2</t>
  </si>
  <si>
    <t>Q12_7_3</t>
  </si>
  <si>
    <t>Q12_7_4</t>
  </si>
  <si>
    <t>Q12_7_13</t>
  </si>
  <si>
    <t>Q12_7_14</t>
  </si>
  <si>
    <t>Q12_7_15</t>
  </si>
  <si>
    <t>Q12_7_16</t>
  </si>
  <si>
    <t>Q12_7_17</t>
  </si>
  <si>
    <t>Q12_7_18</t>
  </si>
  <si>
    <t>Q12_7_19</t>
  </si>
  <si>
    <t>Q12_7_20</t>
  </si>
  <si>
    <t>Q12_8_1</t>
  </si>
  <si>
    <t>Q12_8_2</t>
  </si>
  <si>
    <t>Q12_8_3</t>
  </si>
  <si>
    <t>Q12_8_4</t>
  </si>
  <si>
    <t>Q12_8_13</t>
  </si>
  <si>
    <t>Q12_8_14</t>
  </si>
  <si>
    <t>Q12_8_15</t>
  </si>
  <si>
    <t>Q12_8_16</t>
  </si>
  <si>
    <t>Q12_8_17</t>
  </si>
  <si>
    <t>Q12_8_18</t>
  </si>
  <si>
    <t>Q12_8_19</t>
  </si>
  <si>
    <t>Q12_8_20</t>
  </si>
  <si>
    <t>Q17_1_1</t>
  </si>
  <si>
    <t>Q17_1_2</t>
  </si>
  <si>
    <t>Q17_1_3</t>
  </si>
  <si>
    <t>Q17_1_5</t>
  </si>
  <si>
    <t>Q17_1_6</t>
  </si>
  <si>
    <t>Q17_1_7</t>
  </si>
  <si>
    <t>Q17_1_8</t>
  </si>
  <si>
    <t>Q17_1_9</t>
  </si>
  <si>
    <t>Q17_1_10</t>
  </si>
  <si>
    <t>Q17_1_11</t>
  </si>
  <si>
    <t>Q17_1_12</t>
  </si>
  <si>
    <t>Q17_1_13</t>
  </si>
  <si>
    <t>Q17_2_1</t>
  </si>
  <si>
    <t>Q17_2_2</t>
  </si>
  <si>
    <t>Q17_2_3</t>
  </si>
  <si>
    <t>Q17_2_5</t>
  </si>
  <si>
    <t>Q17_2_6</t>
  </si>
  <si>
    <t>Q17_2_7</t>
  </si>
  <si>
    <t>Q17_2_8</t>
  </si>
  <si>
    <t>Q17_2_9</t>
  </si>
  <si>
    <t>Q17_2_10</t>
  </si>
  <si>
    <t>Q17_2_11</t>
  </si>
  <si>
    <t>Q17_2_12</t>
  </si>
  <si>
    <t>Q17_2_13</t>
  </si>
  <si>
    <t>Q17_3_1</t>
  </si>
  <si>
    <t>Q17_3_2</t>
  </si>
  <si>
    <t>Q17_3_3</t>
  </si>
  <si>
    <t>Q17_3_5</t>
  </si>
  <si>
    <t>Q17_3_6</t>
  </si>
  <si>
    <t>Q17_3_7</t>
  </si>
  <si>
    <t>Q17_3_8</t>
  </si>
  <si>
    <t>Q17_3_9</t>
  </si>
  <si>
    <t>Q17_3_10</t>
  </si>
  <si>
    <t>Q17_3_11</t>
  </si>
  <si>
    <t>Q17_3_12</t>
  </si>
  <si>
    <t>Q17_3_13</t>
  </si>
  <si>
    <t>Q17_4_1</t>
  </si>
  <si>
    <t>Q17_4_2</t>
  </si>
  <si>
    <t>Q17_4_3</t>
  </si>
  <si>
    <t>Q17_4_5</t>
  </si>
  <si>
    <t>Q17_4_6</t>
  </si>
  <si>
    <t>Q17_4_7</t>
  </si>
  <si>
    <t>Q17_4_8</t>
  </si>
  <si>
    <t>Q17_4_9</t>
  </si>
  <si>
    <t>Q17_4_10</t>
  </si>
  <si>
    <t>Q17_4_11</t>
  </si>
  <si>
    <t>Q17_4_12</t>
  </si>
  <si>
    <t>Q17_4_13</t>
  </si>
  <si>
    <t>Q17_5_1</t>
  </si>
  <si>
    <t>Q17_5_2</t>
  </si>
  <si>
    <t>Q17_5_3</t>
  </si>
  <si>
    <t>Q17_5_5</t>
  </si>
  <si>
    <t>Q17_5_6</t>
  </si>
  <si>
    <t>Q17_5_7</t>
  </si>
  <si>
    <t>Q17_5_8</t>
  </si>
  <si>
    <t>Q17_5_9</t>
  </si>
  <si>
    <t>Q17_5_10</t>
  </si>
  <si>
    <t>Q17_5_11</t>
  </si>
  <si>
    <t>Q17_5_12</t>
  </si>
  <si>
    <t>Q17_5_13</t>
  </si>
  <si>
    <t>Q17_6_1</t>
  </si>
  <si>
    <t>Q17_6_2</t>
  </si>
  <si>
    <t>Q17_6_3</t>
  </si>
  <si>
    <t>Q17_6_5</t>
  </si>
  <si>
    <t>Q17_6_6</t>
  </si>
  <si>
    <t>Q17_6_7</t>
  </si>
  <si>
    <t>Q17_6_8</t>
  </si>
  <si>
    <t>Q17_6_9</t>
  </si>
  <si>
    <t>Q17_6_10</t>
  </si>
  <si>
    <t>Q17_6_11</t>
  </si>
  <si>
    <t>Q17_6_12</t>
  </si>
  <si>
    <t>Q17_6_13</t>
  </si>
  <si>
    <t>Q17_7_1</t>
  </si>
  <si>
    <t>Q17_7_2</t>
  </si>
  <si>
    <t>Q17_7_3</t>
  </si>
  <si>
    <t>Q17_7_5</t>
  </si>
  <si>
    <t>Q17_7_6</t>
  </si>
  <si>
    <t>Q17_7_7</t>
  </si>
  <si>
    <t>Q17_7_8</t>
  </si>
  <si>
    <t>Q17_7_9</t>
  </si>
  <si>
    <t>Q17_7_10</t>
  </si>
  <si>
    <t>Q17_7_11</t>
  </si>
  <si>
    <t>Q17_7_12</t>
  </si>
  <si>
    <t>Q17_7_13</t>
  </si>
  <si>
    <t>Q17_8_1</t>
  </si>
  <si>
    <t>Q17_8_2</t>
  </si>
  <si>
    <t>Q17_8_3</t>
  </si>
  <si>
    <t>Q17_8_5</t>
  </si>
  <si>
    <t>Q17_8_6</t>
  </si>
  <si>
    <t>Q17_8_7</t>
  </si>
  <si>
    <t>Q17_8_8</t>
  </si>
  <si>
    <t>Q17_8_9</t>
  </si>
  <si>
    <t>Q17_8_10</t>
  </si>
  <si>
    <t>Q17_8_11</t>
  </si>
  <si>
    <t>Q17_8_12</t>
  </si>
  <si>
    <t>Q17_8_13</t>
  </si>
  <si>
    <t>Q21_1_1</t>
  </si>
  <si>
    <t>Q21_1_2</t>
  </si>
  <si>
    <t>Q21_1_3</t>
  </si>
  <si>
    <t>Q21_1_4</t>
  </si>
  <si>
    <t>Q21_1_5</t>
  </si>
  <si>
    <t>Q21_1_6</t>
  </si>
  <si>
    <t>Q21_1_7</t>
  </si>
  <si>
    <t>Q21_1_8</t>
  </si>
  <si>
    <t>Q21_1_9</t>
  </si>
  <si>
    <t>Q21_1_10</t>
  </si>
  <si>
    <t>Q21_1_11</t>
  </si>
  <si>
    <t>Q21_1_12</t>
  </si>
  <si>
    <t>Q21_2_1</t>
  </si>
  <si>
    <t>Q21_2_2</t>
  </si>
  <si>
    <t>Q21_2_3</t>
  </si>
  <si>
    <t>Q21_2_4</t>
  </si>
  <si>
    <t>Q21_2_5</t>
  </si>
  <si>
    <t>Q21_2_6</t>
  </si>
  <si>
    <t>Q21_2_7</t>
  </si>
  <si>
    <t>Q21_2_8</t>
  </si>
  <si>
    <t>Q21_2_9</t>
  </si>
  <si>
    <t>Q21_2_10</t>
  </si>
  <si>
    <t>Q21_2_11</t>
  </si>
  <si>
    <t>Q21_2_12</t>
  </si>
  <si>
    <t>Q21_3_1</t>
  </si>
  <si>
    <t>Q21_3_2</t>
  </si>
  <si>
    <t>Q21_3_3</t>
  </si>
  <si>
    <t>Q21_3_4</t>
  </si>
  <si>
    <t>Q21_3_5</t>
  </si>
  <si>
    <t>Q21_3_6</t>
  </si>
  <si>
    <t>Q21_3_7</t>
  </si>
  <si>
    <t>Q21_3_8</t>
  </si>
  <si>
    <t>Q21_3_9</t>
  </si>
  <si>
    <t>Q21_3_10</t>
  </si>
  <si>
    <t>Q21_3_11</t>
  </si>
  <si>
    <t>Q21_3_12</t>
  </si>
  <si>
    <t>Q21_4_1</t>
  </si>
  <si>
    <t>Q21_4_2</t>
  </si>
  <si>
    <t>Q21_4_3</t>
  </si>
  <si>
    <t>Q21_4_4</t>
  </si>
  <si>
    <t>Q21_4_5</t>
  </si>
  <si>
    <t>Q21_4_6</t>
  </si>
  <si>
    <t>Q21_4_7</t>
  </si>
  <si>
    <t>Q21_4_8</t>
  </si>
  <si>
    <t>Q21_4_9</t>
  </si>
  <si>
    <t>Q21_4_10</t>
  </si>
  <si>
    <t>Q21_4_11</t>
  </si>
  <si>
    <t>Q21_4_12</t>
  </si>
  <si>
    <t>Q21_5_1</t>
  </si>
  <si>
    <t>Q21_5_2</t>
  </si>
  <si>
    <t>Q21_5_3</t>
  </si>
  <si>
    <t>Q21_5_4</t>
  </si>
  <si>
    <t>Q21_5_5</t>
  </si>
  <si>
    <t>Q21_5_6</t>
  </si>
  <si>
    <t>Q21_5_7</t>
  </si>
  <si>
    <t>Q21_5_8</t>
  </si>
  <si>
    <t>Q21_5_9</t>
  </si>
  <si>
    <t>Q21_5_10</t>
  </si>
  <si>
    <t>Q21_5_11</t>
  </si>
  <si>
    <t>Q21_5_12</t>
  </si>
  <si>
    <t>Q21_6_1</t>
  </si>
  <si>
    <t>Q21_6_2</t>
  </si>
  <si>
    <t>Q21_6_3</t>
  </si>
  <si>
    <t>Q21_6_4</t>
  </si>
  <si>
    <t>Q21_6_5</t>
  </si>
  <si>
    <t>Q21_6_6</t>
  </si>
  <si>
    <t>Q21_6_7</t>
  </si>
  <si>
    <t>Q21_6_8</t>
  </si>
  <si>
    <t>Q21_6_9</t>
  </si>
  <si>
    <t>Q21_6_10</t>
  </si>
  <si>
    <t>Q21_6_11</t>
  </si>
  <si>
    <t>Q21_6_12</t>
  </si>
  <si>
    <t>Q21_7_1</t>
  </si>
  <si>
    <t>Q21_7_2</t>
  </si>
  <si>
    <t>Q21_7_3</t>
  </si>
  <si>
    <t>Q21_7_4</t>
  </si>
  <si>
    <t>Q21_7_5</t>
  </si>
  <si>
    <t>Q21_7_6</t>
  </si>
  <si>
    <t>Q21_7_7</t>
  </si>
  <si>
    <t>Q21_7_8</t>
  </si>
  <si>
    <t>Q21_7_9</t>
  </si>
  <si>
    <t>Q21_7_10</t>
  </si>
  <si>
    <t>Q21_7_11</t>
  </si>
  <si>
    <t>Q21_7_12</t>
  </si>
  <si>
    <t>Q21_8_1</t>
  </si>
  <si>
    <t>Q21_8_2</t>
  </si>
  <si>
    <t>Q21_8_3</t>
  </si>
  <si>
    <t>Q21_8_4</t>
  </si>
  <si>
    <t>Q21_8_5</t>
  </si>
  <si>
    <t>Q21_8_6</t>
  </si>
  <si>
    <t>Q21_8_7</t>
  </si>
  <si>
    <t>Q21_8_8</t>
  </si>
  <si>
    <t>Q21_8_9</t>
  </si>
  <si>
    <t>Q21_8_10</t>
  </si>
  <si>
    <t>Q21_8_11</t>
  </si>
  <si>
    <t>Q21_8_12</t>
  </si>
  <si>
    <t>Q8_1_1</t>
  </si>
  <si>
    <t>Q8_1_2</t>
  </si>
  <si>
    <t>Q8_1_3</t>
  </si>
  <si>
    <t>Q8_1_4</t>
  </si>
  <si>
    <t>Q8_1_14</t>
  </si>
  <si>
    <t>Q8_1_15</t>
  </si>
  <si>
    <t>Q8_1_16</t>
  </si>
  <si>
    <t>Q8_1_17</t>
  </si>
  <si>
    <t>Q8_1_18</t>
  </si>
  <si>
    <t>Q8_1_19</t>
  </si>
  <si>
    <t>Q8_1_20</t>
  </si>
  <si>
    <t>Q8_1_21</t>
  </si>
  <si>
    <t>Q8_2_1</t>
  </si>
  <si>
    <t>Q8_2_2</t>
  </si>
  <si>
    <t>Q8_2_3</t>
  </si>
  <si>
    <t>Q8_2_4</t>
  </si>
  <si>
    <t>Q8_2_14</t>
  </si>
  <si>
    <t>Q8_2_15</t>
  </si>
  <si>
    <t>Q8_2_16</t>
  </si>
  <si>
    <t>Q8_2_17</t>
  </si>
  <si>
    <t>Q8_2_18</t>
  </si>
  <si>
    <t>Q8_2_19</t>
  </si>
  <si>
    <t>Q8_2_20</t>
  </si>
  <si>
    <t>Q8_2_21</t>
  </si>
  <si>
    <t>Q9_1_1</t>
  </si>
  <si>
    <t>Q9_1_2</t>
  </si>
  <si>
    <t>Q9_1_3</t>
  </si>
  <si>
    <t>Q9_1_4</t>
  </si>
  <si>
    <t>Q9_1_13</t>
  </si>
  <si>
    <t>Q9_1_14</t>
  </si>
  <si>
    <t>Q9_1_15</t>
  </si>
  <si>
    <t>Q9_1_16</t>
  </si>
  <si>
    <t>Q9_1_17</t>
  </si>
  <si>
    <t>Q9_1_18</t>
  </si>
  <si>
    <t>Q9_1_19</t>
  </si>
  <si>
    <t>Q9_1_20</t>
  </si>
  <si>
    <t>Q9_2_1</t>
  </si>
  <si>
    <t>Q9_2_2</t>
  </si>
  <si>
    <t>Q9_2_3</t>
  </si>
  <si>
    <t>Q9_2_4</t>
  </si>
  <si>
    <t>Q9_2_13</t>
  </si>
  <si>
    <t>Q9_2_14</t>
  </si>
  <si>
    <t>Q9_2_15</t>
  </si>
  <si>
    <t>Q9_2_16</t>
  </si>
  <si>
    <t>Q9_2_17</t>
  </si>
  <si>
    <t>Q9_2_18</t>
  </si>
  <si>
    <t>Q9_2_19</t>
  </si>
  <si>
    <t>Q9_2_20</t>
  </si>
  <si>
    <t>Q9_3_1</t>
  </si>
  <si>
    <t>Q9_3_2</t>
  </si>
  <si>
    <t>Q9_3_3</t>
  </si>
  <si>
    <t>Q9_3_4</t>
  </si>
  <si>
    <t>Q9_3_13</t>
  </si>
  <si>
    <t>Q9_3_14</t>
  </si>
  <si>
    <t>Q9_3_15</t>
  </si>
  <si>
    <t>Q9_3_16</t>
  </si>
  <si>
    <t>Q9_3_17</t>
  </si>
  <si>
    <t>Q9_3_18</t>
  </si>
  <si>
    <t>Q9_3_19</t>
  </si>
  <si>
    <t>Q9_3_20</t>
  </si>
  <si>
    <t>Q22</t>
  </si>
  <si>
    <t>Q10_1_1</t>
  </si>
  <si>
    <t>Q10_1_2</t>
  </si>
  <si>
    <t>Q10_1_3</t>
  </si>
  <si>
    <t>Q10_1_4</t>
  </si>
  <si>
    <t>Q10_1_13</t>
  </si>
  <si>
    <t>Q10_1_14</t>
  </si>
  <si>
    <t>Q10_1_15</t>
  </si>
  <si>
    <t>Q10_1_16</t>
  </si>
  <si>
    <t>Q10_1_17</t>
  </si>
  <si>
    <t>Q10_1_18</t>
  </si>
  <si>
    <t>Q10_1_19</t>
  </si>
  <si>
    <t>Q10_1_20</t>
  </si>
  <si>
    <t>Q10_2_1</t>
  </si>
  <si>
    <t>Q10_2_2</t>
  </si>
  <si>
    <t>Q10_2_3</t>
  </si>
  <si>
    <t>Q10_2_4</t>
  </si>
  <si>
    <t>Q10_2_13</t>
  </si>
  <si>
    <t>Q10_2_14</t>
  </si>
  <si>
    <t>Q10_2_15</t>
  </si>
  <si>
    <t>Q10_2_16</t>
  </si>
  <si>
    <t>Q10_2_17</t>
  </si>
  <si>
    <t>Q10_2_18</t>
  </si>
  <si>
    <t>Q10_2_19</t>
  </si>
  <si>
    <t>Q10_2_20</t>
  </si>
  <si>
    <t>Q13_1_1</t>
  </si>
  <si>
    <t>Q13_2_1</t>
  </si>
  <si>
    <t>Q13_3_1</t>
  </si>
  <si>
    <t>Library service details
Please select from the dropdown</t>
  </si>
  <si>
    <t>Please enter the number of active members that were in your system on 31st March 2025. 
This is the number of people who have borrowed at least one piece of physical or digital content in the period April 2024 - March 2025. Please only count each active member once. Please enter whole numbers only.
Please give the total number of members, and then the breakdown only if you use these categories. If you don't, we'll ask for a bit more detail about your collection methods so we can assess the best way to collect this data in future. - Total active members - Active members</t>
  </si>
  <si>
    <t>Please enter the number of active members that were in your system on 31st March 2025. 
This is the number of people who have borrowed at least one piece of physical or digital content in the period April 2024 - March 2025. Please only count each active member once. Please enter whole numbers only.
Please give the total number of members, and then the breakdown only if you use these categories. If you don't, we'll ask for a bit more detail about your collection methods so we can assess the best way to collect this data in future. - Of which -  children 11 and under - Active members</t>
  </si>
  <si>
    <t>Please enter the number of active members that were in your system on 31st March 2025. 
This is the number of people who have borrowed at least one piece of physical or digital content in the period April 2024 - March 2025. Please only count each active member once. Please enter whole numbers only.
Please give the total number of members, and then the breakdown only if you use these categories. If you don't, we'll ask for a bit more detail about your collection methods so we can assess the best way to collect this data in future. - Of which -  Adult - 18+ - Active members</t>
  </si>
  <si>
    <t>Please enter the number of active members that were in your system on 31st March 2025. 
This is the number of people who have borrowed at least one piece of physical or digital content in the period April 2024 - March 2025. Please only count each active member once. Please enter whole numbers only.
Please give the total number of members, and then the breakdown only if you use these categories. If you don't, we'll ask for a bit more detail about your collection methods so we can assess the best way to collect this data in future. - Of which -  Young person - aged 12-17 - Active members</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</si>
  <si>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</si>
  <si>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</si>
  <si>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</si>
  <si>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</si>
  <si>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</si>
  <si>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</si>
  <si>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</si>
  <si>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</si>
  <si>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</si>
  <si>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</si>
  <si>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</si>
  <si>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physical events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</si>
  <si>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</si>
  <si>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</si>
  <si>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</si>
  <si>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</si>
  <si>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</si>
  <si>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</si>
  <si>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</si>
  <si>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</si>
  <si>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</si>
  <si>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</si>
  <si>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</si>
  <si>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adults age 18+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</si>
  <si>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</si>
  <si>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</si>
  <si>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</si>
  <si>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</si>
  <si>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</si>
  <si>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</si>
  <si>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</si>
  <si>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</si>
  <si>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</si>
  <si>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</si>
  <si>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</si>
  <si>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children 11 and under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</si>
  <si>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</si>
  <si>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</si>
  <si>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</si>
  <si>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</si>
  <si>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</si>
  <si>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</si>
  <si>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</si>
  <si>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</si>
  <si>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</si>
  <si>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</si>
  <si>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</si>
  <si>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young people between 12 and 17 -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</si>
  <si>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</si>
  <si>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</si>
  <si>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</si>
  <si>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</si>
  <si>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</si>
  <si>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</si>
  <si>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</si>
  <si>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</si>
  <si>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</si>
  <si>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</si>
  <si>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</si>
  <si>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Physical events aimed at all age groups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</si>
  <si>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</si>
  <si>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</si>
  <si>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</si>
  <si>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</si>
  <si>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</si>
  <si>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</si>
  <si>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</si>
  <si>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</si>
  <si>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</si>
  <si>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</si>
  <si>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</si>
  <si>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Total number of digital events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</si>
  <si>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</si>
  <si>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</si>
  <si>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</si>
  <si>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</si>
  <si>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</si>
  <si>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</si>
  <si>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</si>
  <si>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</si>
  <si>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</si>
  <si>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</si>
  <si>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</si>
  <si>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adults age 18+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</si>
  <si>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</si>
  <si>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</si>
  <si>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</si>
  <si>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</si>
  <si>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</si>
  <si>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</si>
  <si>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</si>
  <si>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</si>
  <si>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</si>
  <si>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</si>
  <si>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</si>
  <si>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children 11 and under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</si>
  <si>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</si>
  <si>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</si>
  <si>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</si>
  <si>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</si>
  <si>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</si>
  <si>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</si>
  <si>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</si>
  <si>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</si>
  <si>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</si>
  <si>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</si>
  <si>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</si>
  <si>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young people between 12 and 17 - March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</si>
  <si>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April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</si>
  <si>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May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</si>
  <si>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June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</si>
  <si>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July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</si>
  <si>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August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</si>
  <si>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Sept 2024/Q1</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</si>
  <si>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Oct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</si>
  <si>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Nov 2024</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</si>
  <si>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Dec 2024/Q3</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</si>
  <si>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Jan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</si>
  <si>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Feb 2025</t>
  </si>
  <si>
    <t>Events and attendances
Please complete the table to show the number of events held in each month. Please split the data into physical and digital events.
An event is any scheduled activity session run by the library services which people attend through booking a place, or by 'drop-in', and at least one person attends. The focus is on events that the library services is organising and running. These could be either library generated or using external programming (e.g. summer reading challenge). They donâ€™t need to be in the library building. They can be regular activities e.g. weekly, or they can be 'one off' activities.
Please give the total number of events, and then the breakdown only if you use these categories. If you don't, we'll ask for a bit more detail about your collection methods so we can assess the best way to collect this data in future. If you collect your data quarterly please enter the total in the last month of that quarter (eg Total Q1 in June, Total Q2 in September etc) - Digital events aimed at all age groups - March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</si>
  <si>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</si>
  <si>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</si>
  <si>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</si>
  <si>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</si>
  <si>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</si>
  <si>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</si>
  <si>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</si>
  <si>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</si>
  <si>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</si>
  <si>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</si>
  <si>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</si>
  <si>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physical events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</si>
  <si>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</si>
  <si>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</si>
  <si>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</si>
  <si>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</si>
  <si>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</si>
  <si>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</si>
  <si>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</si>
  <si>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</si>
  <si>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</si>
  <si>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</si>
  <si>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</si>
  <si>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Adults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</si>
  <si>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</si>
  <si>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</si>
  <si>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</si>
  <si>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</si>
  <si>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</si>
  <si>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</si>
  <si>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</si>
  <si>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</si>
  <si>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</si>
  <si>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</si>
  <si>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</si>
  <si>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Children 11 and under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</si>
  <si>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</si>
  <si>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</si>
  <si>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</si>
  <si>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</si>
  <si>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</si>
  <si>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</si>
  <si>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</si>
  <si>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</si>
  <si>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</si>
  <si>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</si>
  <si>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</si>
  <si>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Physical attendees - Young people between 12 and 17 -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</si>
  <si>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</si>
  <si>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</si>
  <si>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</si>
  <si>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</si>
  <si>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</si>
  <si>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</si>
  <si>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</si>
  <si>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</si>
  <si>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</si>
  <si>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</si>
  <si>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</si>
  <si>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Total attendees at digital events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</si>
  <si>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</si>
  <si>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</si>
  <si>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</si>
  <si>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</si>
  <si>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</si>
  <si>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</si>
  <si>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</si>
  <si>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</si>
  <si>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</si>
  <si>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</si>
  <si>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</si>
  <si>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Adults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</si>
  <si>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</si>
  <si>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</si>
  <si>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</si>
  <si>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</si>
  <si>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</si>
  <si>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</si>
  <si>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</si>
  <si>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</si>
  <si>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</si>
  <si>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</si>
  <si>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</si>
  <si>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Children 11 and under - March 2025/Q4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</si>
  <si>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April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</si>
  <si>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May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</si>
  <si>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June 2024/Q1</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</si>
  <si>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July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</si>
  <si>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August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</si>
  <si>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Sept 2024/Q2</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</si>
  <si>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Oct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</si>
  <si>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Nov 2024</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</si>
  <si>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Dec 2024/Q3</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</si>
  <si>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Jan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</si>
  <si>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Feb 2025</t>
  </si>
  <si>
    <t>Please complete the table to show the number of attendees at those events. Please split the data into physical and digital events.
Total number of people attending - please record the actual attendees, rather than the number booked.
Please give the total number of attendees, and then the breakdown only if you use these categories.  If you collect your data quarterly please enter the total in the last month of that quarter (eg Total Q1 in June, Total Q2 in September etc) - Digital attendees - Young people between 12 and 17 - March 2025/Q4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</si>
  <si>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April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</si>
  <si>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May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</si>
  <si>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June 2024/Q1</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</si>
  <si>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July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</si>
  <si>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August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</si>
  <si>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Sept 2024/Q2</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</si>
  <si>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Oct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</si>
  <si>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Nov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</si>
  <si>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Dec 2024/Q3</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</si>
  <si>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Jan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</si>
  <si>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Feb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</si>
  <si>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book issues - March 2025/Q4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</si>
  <si>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April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</si>
  <si>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May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</si>
  <si>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June 2024/Q1</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</si>
  <si>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July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</si>
  <si>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August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</si>
  <si>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Sept 2024/Q2</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</si>
  <si>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Oct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</si>
  <si>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Nov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</si>
  <si>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Dec 2024/Q3</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</si>
  <si>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Jan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</si>
  <si>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Feb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</si>
  <si>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Adult (target audience 18+) OR unclassified - March 2025/Q4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</si>
  <si>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April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</si>
  <si>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May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</si>
  <si>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June 2024/Q1</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</si>
  <si>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July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</si>
  <si>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August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</si>
  <si>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Sept 2024/Q2</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</si>
  <si>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Oct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</si>
  <si>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Nov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</si>
  <si>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Dec 2024/Q3</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</si>
  <si>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Jan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</si>
  <si>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Feb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</si>
  <si>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Children (target audience under 12)  - March 2025/Q4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</si>
  <si>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April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</si>
  <si>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May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</si>
  <si>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June 2024/Q1</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</si>
  <si>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July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</si>
  <si>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August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</si>
  <si>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Sept 2024/Q2</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</si>
  <si>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Oct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</si>
  <si>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Nov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</si>
  <si>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Dec 2024/Q3</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</si>
  <si>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Jan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</si>
  <si>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Feb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</si>
  <si>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Of which - Young people (target audience under 12-17)  - March 2025/Q4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</si>
  <si>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April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</si>
  <si>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May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</si>
  <si>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June 2024/Q1</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</si>
  <si>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July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</si>
  <si>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August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</si>
  <si>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Sept 2024/Q2</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</si>
  <si>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Oct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</si>
  <si>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Nov 2024</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</si>
  <si>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Dec 2024/Q3</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</si>
  <si>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Jan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</si>
  <si>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Feb 2025</t>
  </si>
  <si>
    <t>Loans and lending of library items
Please complete the table to show the number of issues by format in each month. Please split the data into adult and children/young people's books. 
Note, reissue/renewal counts as an additional loan.
For all these categories, this is the number of books in the identified format issued to library members' tickets.
Where we are asking for adult books, we are looking for any books that are categorised on your Library Management System as books targeted at (not restricted to) adults. Please include any books that are not given an age range - so essentially we are looking for any books that are not categorised on your Library Management System as children's/young people books.
Where we are asking for childrenâ€™s books, we are looking for any books that that are categorised on your Library Management System as targeted at children - so where targeted at an age group of under 12 years.
 Where we are asking for young peopleâ€™s books, we are looking for any books that that are categorised on your Library Management System as targeted at young people or young adults - so where targeted at an age group that includes those between 12 and 18 years.
We are seeking data on the content that has been borrowed - so if an adult borrows a childrenâ€™s / young adult book, please count it with the childrenâ€™s books. We appreciate there is a rich strand of data around who is borrowing (adult or child) , but we are not seeking that data this time as we wanted to keep it as simple as possible.
If you collect your data quarterly please enter the total in the last month of that quarter (eg Total Q1 in June, Total Q2 in September etc) - Total number of physical audio book issues - March 2025/Q4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</si>
  <si>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April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</si>
  <si>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May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</si>
  <si>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June 2024/Q1</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</si>
  <si>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July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</si>
  <si>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August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</si>
  <si>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Sept 2024/Q2</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</si>
  <si>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Oct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</si>
  <si>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Nov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</si>
  <si>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Dec 2024/Q3</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</si>
  <si>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Jan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</si>
  <si>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Feb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</si>
  <si>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Ebooks issues - March 2025/Q4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</si>
  <si>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April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</si>
  <si>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May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</si>
  <si>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June 2024/Q1</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</si>
  <si>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July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</si>
  <si>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August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</si>
  <si>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Sept 2024/Q2</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</si>
  <si>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Oct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</si>
  <si>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Nov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</si>
  <si>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Dec 2024/Q3</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</si>
  <si>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Jan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</si>
  <si>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Feb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</si>
  <si>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Adult (target audience 18+) OR unclassified - March 2025/Q4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</si>
  <si>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April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</si>
  <si>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May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</si>
  <si>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June 2024/Q1</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</si>
  <si>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July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</si>
  <si>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August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</si>
  <si>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Sept 2024/Q2</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</si>
  <si>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Oct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</si>
  <si>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Nov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</si>
  <si>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Dec 2024/Q3</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</si>
  <si>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Jan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</si>
  <si>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Feb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</si>
  <si>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Children (target audience under 12)  - March 2025/Q4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</si>
  <si>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April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</si>
  <si>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May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</si>
  <si>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June 2024/Q1</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</si>
  <si>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July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</si>
  <si>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August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</si>
  <si>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Sept 2024/Q2</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</si>
  <si>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Oct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</si>
  <si>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Nov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</si>
  <si>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Dec 2024/Q3</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</si>
  <si>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Jan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</si>
  <si>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Feb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</si>
  <si>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Of which - Young people (target audience under 12-17)  - March 2025/Q4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</si>
  <si>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April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</si>
  <si>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May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</si>
  <si>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June 2024/Q1</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</si>
  <si>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July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</si>
  <si>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August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</si>
  <si>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Sept 2024/Q2</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</si>
  <si>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Oct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</si>
  <si>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Nov 2024</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</si>
  <si>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Dec 2024/Q3</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</si>
  <si>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Jan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</si>
  <si>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Feb 2025</t>
  </si>
  <si>
    <t>Please complete the table to show the number of issues by format in each month. Please split the data into adult, children and young people's books.  If you collect your data quarterly please enter the total in the last month of that quarter (eg Total Q1 in June, Total Q2 in September etc) - Total number of Digital audio book issues - March 2025/Q4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</si>
  <si>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April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</si>
  <si>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May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</si>
  <si>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June 2024/Q1</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</si>
  <si>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July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</si>
  <si>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August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</si>
  <si>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Sept 2024/Q2</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</si>
  <si>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Oct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</si>
  <si>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Nov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</si>
  <si>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Dec 2024/Q3</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</si>
  <si>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Jan 2025</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</si>
  <si>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Feb 2025</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</si>
  <si>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library sites where there is no co-location - March 2025/Q4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</si>
  <si>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April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</si>
  <si>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May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</si>
  <si>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June 2024/Q1</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</si>
  <si>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July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</si>
  <si>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August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</si>
  <si>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Sept 2024/Q2</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</si>
  <si>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Oct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</si>
  <si>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Nov 2024</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</si>
  <si>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Dec 2024/Q3</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</si>
  <si>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Jan 2025</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</si>
  <si>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Feb 2025</t>
  </si>
  <si>
    <t>Physical visits of people into library premises
Please complete the table to show the number of physical visits to library sites, by month. Please split the data by library-only sites and sites where there is colocation with the library.
By co-location, we mean libraries which are situated in buildings with additional services that are based in the same building. For the purposes of this collection, this can range from a library in a leisure centre to a regular pop-up library within another building.
The Libraries Location Dataset (formerly the Libraries Basic Dataset) lists possible co-location services as: archive, arts centre, care home, catering/cafe, civic building, community building, faith building, health setting, hotel, industrial/business, museum, retail, school/college. This list is not exhaustive and there will be more services with which libraires are co-located.
If you collect your data quarterly please enter the total in the last month of that quarter (eg Total Q1 in June, Total Q2 in September etc) - Physical visitors to sites where there is co-location - March 2025/Q4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</si>
  <si>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April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</si>
  <si>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May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</si>
  <si>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June 2024/Q1</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</si>
  <si>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July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</si>
  <si>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August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</si>
  <si>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Sept 2024/Q2</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</si>
  <si>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Oct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</si>
  <si>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Nov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</si>
  <si>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Dec 2024/Q3</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</si>
  <si>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Jan 2025</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</si>
  <si>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Feb 2025</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</si>
  <si>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Click and collect - March 2025/Q4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</si>
  <si>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April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</si>
  <si>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May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</si>
  <si>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June 2024/Q1</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</si>
  <si>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July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</si>
  <si>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August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</si>
  <si>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Sept 2024/Q2</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</si>
  <si>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Oct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</si>
  <si>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Nov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</si>
  <si>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Dec 2024/Q3</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</si>
  <si>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Jan 2025</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</si>
  <si>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Feb 2025</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</si>
  <si>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Mobile libraries - March 2025/Q4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</si>
  <si>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April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</si>
  <si>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May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</si>
  <si>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June 2024/Q1</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</si>
  <si>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July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</si>
  <si>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August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</si>
  <si>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Sept 2024/Q2</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</si>
  <si>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Oct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</si>
  <si>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Nov 2024</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</si>
  <si>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Dec 2024/Q3</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</si>
  <si>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Jan 2025</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</si>
  <si>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Feb 2025</t>
  </si>
  <si>
    <t>Additional lending methods
Please complete the table to show the number of times each additional lending method was accessed each month.
By 'additional' we mean lending methods in addition to in-library or online lending.
Please note - this may be more than one interaction per person, and each interaction could be many books.
This data should relate to the number of interactions, rather than the number of book issues. Each time the additional lending method is accessed by an individual should be counted as one interaction. Please note - this may be more than one interaction per person across 2023/24, and each interaction could be many books,
If you collect your data quarterly please enter the total in the last month of that quarter (eg Total Q1 in June, Total Q2 in September etc) - Home delivery - March 2025/Q4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</si>
  <si>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April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</si>
  <si>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May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</si>
  <si>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June 2024/Q1</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</si>
  <si>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July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</si>
  <si>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August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</si>
  <si>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Sept 2024/Q2</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</si>
  <si>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Oct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</si>
  <si>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Nov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</si>
  <si>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Dec 2024/Q3</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</si>
  <si>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Jan 2025</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</si>
  <si>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Feb 2025</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</si>
  <si>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hours of usage of physical public PCs/library issues devices - March 2025/Q4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</si>
  <si>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April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</si>
  <si>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May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</si>
  <si>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June 2024/Q1</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</si>
  <si>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July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</si>
  <si>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August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</si>
  <si>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Sept 2024/Q2</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</si>
  <si>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Oct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</si>
  <si>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Nov 2024</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</si>
  <si>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Dec 2024/Q3</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</si>
  <si>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Jan 2025</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</si>
  <si>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Feb 2025</t>
  </si>
  <si>
    <t>PC use
Please complete the table to show the number of hours of use of PCs, and Wifi access each month within library buildings.
Please include any portable devices lent by the library on an hourly/sessional basis and used in a library building.
By devices, we mean laptops/PCs/tablets/phones.
When entering the wifi access data, please do not include the PCs/devices included in the count for hours of use of public PCs accessed in a month. 
Please round to the nearest whole hour.
If you collect your data quarterly please enter the total in the last month of that quarter (eg Total Q1 in June, Total Q2 in September etc) - Number of sessions of wifi access - March 2025/Q4</t>
  </si>
  <si>
    <t>Please tell us, as of 31/03/25: - Number of PCs and devices available for use service-wide in a library building - Total as at 31/03</t>
  </si>
  <si>
    <t>Please tell us, as of 31/03/25: - Number of devices available for loan - Total as at 31/03</t>
  </si>
  <si>
    <t>Please tell us, as of 31/03/25: - Number of issues of devices available for loan - Total as at 31/03</t>
  </si>
  <si>
    <t>{"ImportId":"QID7_8_1"}</t>
  </si>
  <si>
    <t>{"ImportId":"QID7_4_1"}</t>
  </si>
  <si>
    <t>{"ImportId":"QID7_6_1"}</t>
  </si>
  <si>
    <t>{"ImportId":"QID7_5_1"}</t>
  </si>
  <si>
    <t>{"ImportId":"QID4_14_1"}</t>
  </si>
  <si>
    <t>{"ImportId":"QID4_14_2"}</t>
  </si>
  <si>
    <t>{"ImportId":"QID4_14_3"}</t>
  </si>
  <si>
    <t>{"ImportId":"QID4_14_4"}</t>
  </si>
  <si>
    <t>{"ImportId":"QID4_14_5"}</t>
  </si>
  <si>
    <t>{"ImportId":"QID4_14_6"}</t>
  </si>
  <si>
    <t>{"ImportId":"QID4_14_7"}</t>
  </si>
  <si>
    <t>{"ImportId":"QID4_14_8"}</t>
  </si>
  <si>
    <t>{"ImportId":"QID4_14_9"}</t>
  </si>
  <si>
    <t>{"ImportId":"QID4_14_10"}</t>
  </si>
  <si>
    <t>{"ImportId":"QID4_14_11"}</t>
  </si>
  <si>
    <t>{"ImportId":"QID4_14_12"}</t>
  </si>
  <si>
    <t>{"ImportId":"QID4_15_1"}</t>
  </si>
  <si>
    <t>{"ImportId":"QID4_15_2"}</t>
  </si>
  <si>
    <t>{"ImportId":"QID4_15_3"}</t>
  </si>
  <si>
    <t>{"ImportId":"QID4_15_4"}</t>
  </si>
  <si>
    <t>{"ImportId":"QID4_15_5"}</t>
  </si>
  <si>
    <t>{"ImportId":"QID4_15_6"}</t>
  </si>
  <si>
    <t>{"ImportId":"QID4_15_7"}</t>
  </si>
  <si>
    <t>{"ImportId":"QID4_15_8"}</t>
  </si>
  <si>
    <t>{"ImportId":"QID4_15_9"}</t>
  </si>
  <si>
    <t>{"ImportId":"QID4_15_10"}</t>
  </si>
  <si>
    <t>{"ImportId":"QID4_15_11"}</t>
  </si>
  <si>
    <t>{"ImportId":"QID4_15_12"}</t>
  </si>
  <si>
    <t>{"ImportId":"QID4_16_1"}</t>
  </si>
  <si>
    <t>{"ImportId":"QID4_16_2"}</t>
  </si>
  <si>
    <t>{"ImportId":"QID4_16_3"}</t>
  </si>
  <si>
    <t>{"ImportId":"QID4_16_4"}</t>
  </si>
  <si>
    <t>{"ImportId":"QID4_16_5"}</t>
  </si>
  <si>
    <t>{"ImportId":"QID4_16_6"}</t>
  </si>
  <si>
    <t>{"ImportId":"QID4_16_7"}</t>
  </si>
  <si>
    <t>{"ImportId":"QID4_16_8"}</t>
  </si>
  <si>
    <t>{"ImportId":"QID4_16_9"}</t>
  </si>
  <si>
    <t>{"ImportId":"QID4_16_10"}</t>
  </si>
  <si>
    <t>{"ImportId":"QID4_16_11"}</t>
  </si>
  <si>
    <t>{"ImportId":"QID4_16_12"}</t>
  </si>
  <si>
    <t>{"ImportId":"QID4_12_1"}</t>
  </si>
  <si>
    <t>{"ImportId":"QID4_12_2"}</t>
  </si>
  <si>
    <t>{"ImportId":"QID4_12_3"}</t>
  </si>
  <si>
    <t>{"ImportId":"QID4_12_4"}</t>
  </si>
  <si>
    <t>{"ImportId":"QID4_12_5"}</t>
  </si>
  <si>
    <t>{"ImportId":"QID4_12_6"}</t>
  </si>
  <si>
    <t>{"ImportId":"QID4_12_7"}</t>
  </si>
  <si>
    <t>{"ImportId":"QID4_12_8"}</t>
  </si>
  <si>
    <t>{"ImportId":"QID4_12_9"}</t>
  </si>
  <si>
    <t>{"ImportId":"QID4_12_10"}</t>
  </si>
  <si>
    <t>{"ImportId":"QID4_12_11"}</t>
  </si>
  <si>
    <t>{"ImportId":"QID4_12_12"}</t>
  </si>
  <si>
    <t>{"ImportId":"QID4_13_1"}</t>
  </si>
  <si>
    <t>{"ImportId":"QID4_13_2"}</t>
  </si>
  <si>
    <t>{"ImportId":"QID4_13_3"}</t>
  </si>
  <si>
    <t>{"ImportId":"QID4_13_4"}</t>
  </si>
  <si>
    <t>{"ImportId":"QID4_13_5"}</t>
  </si>
  <si>
    <t>{"ImportId":"QID4_13_6"}</t>
  </si>
  <si>
    <t>{"ImportId":"QID4_13_7"}</t>
  </si>
  <si>
    <t>{"ImportId":"QID4_13_8"}</t>
  </si>
  <si>
    <t>{"ImportId":"QID4_13_9"}</t>
  </si>
  <si>
    <t>{"ImportId":"QID4_13_10"}</t>
  </si>
  <si>
    <t>{"ImportId":"QID4_13_11"}</t>
  </si>
  <si>
    <t>{"ImportId":"QID4_13_12"}</t>
  </si>
  <si>
    <t>{"ImportId":"QID4_17_1"}</t>
  </si>
  <si>
    <t>{"ImportId":"QID4_17_2"}</t>
  </si>
  <si>
    <t>{"ImportId":"QID4_17_3"}</t>
  </si>
  <si>
    <t>{"ImportId":"QID4_17_4"}</t>
  </si>
  <si>
    <t>{"ImportId":"QID4_17_5"}</t>
  </si>
  <si>
    <t>{"ImportId":"QID4_17_6"}</t>
  </si>
  <si>
    <t>{"ImportId":"QID4_17_7"}</t>
  </si>
  <si>
    <t>{"ImportId":"QID4_17_8"}</t>
  </si>
  <si>
    <t>{"ImportId":"QID4_17_9"}</t>
  </si>
  <si>
    <t>{"ImportId":"QID4_17_10"}</t>
  </si>
  <si>
    <t>{"ImportId":"QID4_17_11"}</t>
  </si>
  <si>
    <t>{"ImportId":"QID4_17_12"}</t>
  </si>
  <si>
    <t xml:space="preserve">No Click and Collect
No Mobile Service
</t>
  </si>
  <si>
    <t xml:space="preserve">We don't offer a Click and Collect service. </t>
  </si>
  <si>
    <t>Birmingham</t>
  </si>
  <si>
    <t>We do not offer a click and collect service.</t>
  </si>
  <si>
    <t>We don't have a mobile library</t>
  </si>
  <si>
    <t>We do not have a mobile library service or click and collect.</t>
  </si>
  <si>
    <t>We only have a home library service - no mobile library and no click and collect (outside of normal reservations)
With our Home Library Service, we do not record the number of visits in an easy to crunch way, so I have just multiplied our number of users by months of the year.</t>
  </si>
  <si>
    <t>we do not have a mobile library service or click &amp; collect service</t>
  </si>
  <si>
    <t>No click &amp; collect 
No mobile library service</t>
  </si>
  <si>
    <t>Do not have a mobile library.</t>
  </si>
  <si>
    <t>We do not have click and collect and we do not have a mobile library service</t>
  </si>
  <si>
    <t>We  do not  have  a  mobile  library service</t>
  </si>
  <si>
    <t>No click and collect. Mobile represents visitor count on mobile. Home library represents number of registered users each getting monthly visit.</t>
  </si>
  <si>
    <t>Our library management system doesn't track interactions.</t>
  </si>
  <si>
    <t>We do not have a mobile library service or click and collect. We only have a home delivery service.</t>
  </si>
  <si>
    <t>No click and collect</t>
  </si>
  <si>
    <t>No Click and Collect or Mobile Service</t>
  </si>
  <si>
    <t>No mobile library service or click and collect</t>
  </si>
  <si>
    <t>We don't have a mobile library service or offer click and collect</t>
  </si>
  <si>
    <t xml:space="preserve">No mobile library and no click and collect points. </t>
  </si>
  <si>
    <t>Data is included earlier in the survey</t>
  </si>
  <si>
    <t xml:space="preserve">We do not have a home library service or offer the other options. Our home library service is delivered by volunteers issuing books </t>
  </si>
  <si>
    <t>We do not offer click and collect or have a mobile library</t>
  </si>
  <si>
    <t>we do not have a mobile library service</t>
  </si>
  <si>
    <t>Ealing</t>
  </si>
  <si>
    <t>Ealing Libraries doesn't have a mobile library service or a click and collect service.</t>
  </si>
  <si>
    <t>East Riding of Yorkshire</t>
  </si>
  <si>
    <t xml:space="preserve">While the East Riding has a mobile library and At Home service requested data is not recorded. </t>
  </si>
  <si>
    <t>East Sussex Library and Information does not have a mobile library service.</t>
  </si>
  <si>
    <t>Enfield</t>
  </si>
  <si>
    <t xml:space="preserve">We do not have a mobile library service.
</t>
  </si>
  <si>
    <t>Essex</t>
  </si>
  <si>
    <t xml:space="preserve">We do not have a click and collect service. Reservations must be checked out by a member of staff or using a self-service kiosk in a library.
Home Delivery figures are for our volunteer-run Home Library Service for members who cannot access a library building due to age, disability, or caring responsibilities. This service is not available to general library members.
</t>
  </si>
  <si>
    <t xml:space="preserve">We don't have a mobile library anymore, and whilst we did offer click and collect during the pandemic, the demand for it disappeared once the buildings were fully reopened. The home delivery service I have reported is our Readers at Home service for house bound library members. </t>
  </si>
  <si>
    <t>We have no mobile libraries</t>
  </si>
  <si>
    <t xml:space="preserve">We do not have a click and collect or Mobile library service. 
We cannot calculate Home Delivery interactions as many loans are group loans to residential homes. We do not have counts of the number of individuals who borrow from the group loan collections.  </t>
  </si>
  <si>
    <t>Hackney</t>
  </si>
  <si>
    <t>We do not have a Click and collect service.
We do not have a Mobile library service.</t>
  </si>
  <si>
    <t>Harrow</t>
  </si>
  <si>
    <t>We do not offer a click and collect service, or a mobile library service</t>
  </si>
  <si>
    <t>No Click and collect or Mobile Library</t>
  </si>
  <si>
    <t>Havering</t>
  </si>
  <si>
    <t>We don't have a mobile library service.</t>
  </si>
  <si>
    <t>We do not have click or collect or a mobile library on the road. Only a Housebound service.</t>
  </si>
  <si>
    <t>We no longer provide a Click and Collect service, this was discontinued after the pandemic.  We do have a reservation service, but think this is something different?  The figures for the mobiles represent the number of visits to our 5 mobile libraries.  We are unable to provide the required Home Library Service data, we can provide number of Home Library issues, or number of customers</t>
  </si>
  <si>
    <t>We don't offer click and collect, or a mobile library.</t>
  </si>
  <si>
    <t>Kingston upon Thames</t>
  </si>
  <si>
    <t>No click and collect service or mobile library service</t>
  </si>
  <si>
    <t>We do not have a mobile library service.
We do not offer click and collect.</t>
  </si>
  <si>
    <t>Knowsley</t>
  </si>
  <si>
    <t>Leicester</t>
  </si>
  <si>
    <t>Lewisham</t>
  </si>
  <si>
    <t>No mobile service</t>
  </si>
  <si>
    <t>No click and collect. mobile library and HLS only</t>
  </si>
  <si>
    <t>Luton</t>
  </si>
  <si>
    <t>No Mobile
No Click and Collect
Data not collected in this way for Home Library</t>
  </si>
  <si>
    <t>Manchester</t>
  </si>
  <si>
    <t>We don't have a mobile library service nor do click &amp; collect</t>
  </si>
  <si>
    <t>No mobile library service or click and collect.</t>
  </si>
  <si>
    <t>We don't offer click &amp; collect or a mobile library service.  We do have a Home Delivery Service, but loans / visits are included in our overall figures. This service was delivered by the RVS in the financial year in question and data provided by them was scant.</t>
  </si>
  <si>
    <t>No mobile or click or collect service, just home library service.</t>
  </si>
  <si>
    <t>no click &amp; collect service</t>
  </si>
  <si>
    <t>No click and collect or mobile library</t>
  </si>
  <si>
    <t>No click and collect service available. Mobile library service lower than previous years due to vehicle spending time off road due to mechanical faults, limited service options until new vehicle is available in Autumn 2025</t>
  </si>
  <si>
    <t>We don't operate a click and collect service. We have a home Library delivery service but don't currently keep figures on number of books delivered.</t>
  </si>
  <si>
    <t>-</t>
  </si>
  <si>
    <t>We do not record this information</t>
  </si>
  <si>
    <t>Click and Collect - service offered but no longer monitored as take up very low
Mobile Libraries - No mobile library service</t>
  </si>
  <si>
    <t>No click and collect customers currently recorded.
Home delivery is counted by number of customers per year. Number of visits by a volunteer is not currently recorded.</t>
  </si>
  <si>
    <t xml:space="preserve">No mobile service
Our Home Library Service delivers to around 200 customers, with a further 600-700 customers served by our team of 200-250 volunteers.  Each customer is visited every 3 weeks, but we do not record actual visits due to the constant fluctuation of customers and volunteers.  As such, this is an estimate, based on an average of  850 customers receiving a visit every 3 weeks.
</t>
  </si>
  <si>
    <t xml:space="preserve">*Click and collect -  no C&amp;C service operating in the time period							
**Total visitor count for each month.  The service was suspended Jan 25 and Feb 25 due to the non availability of qualified drivers							
***  We collect the number of issues of items to housebound customers but not the number of visits							
</t>
  </si>
  <si>
    <t>Redbridge</t>
  </si>
  <si>
    <t>Redcar and Cleveland</t>
  </si>
  <si>
    <t>We only offer home delivery, we do not have a mobile library service.</t>
  </si>
  <si>
    <t>We stopped click and collect once we re-opened after the pandemic. We don't have a mobile library service.</t>
  </si>
  <si>
    <t>Rochdale</t>
  </si>
  <si>
    <t>We don't offer a specific "Click and Collect" service and we don't have a "mobile library" service.</t>
  </si>
  <si>
    <t>We have no Mobile Library service. Our home delivery service to villages (that was a replacement to the mobile library during and post-covid) was discontinued end of October 2024 in favour of housebound deliveries only (and only to highly targeted customers) from November 2024 onwards.</t>
  </si>
  <si>
    <t>Salford</t>
  </si>
  <si>
    <t xml:space="preserve">Do not have a mobile library or do click and collect (reservations are included in main data) </t>
  </si>
  <si>
    <t>We don't record this.</t>
  </si>
  <si>
    <t>We do not have a mobile library</t>
  </si>
  <si>
    <t>No click or collect or mobile library service</t>
  </si>
  <si>
    <t>No click &amp; collect.
Mobile library and Home Delivery data are based on a sample count completed once a year.</t>
  </si>
  <si>
    <t xml:space="preserve">We do not have a mobile library or a click and collect service
</t>
  </si>
  <si>
    <t>We no longer offer click and collect or have a mobile library service</t>
  </si>
  <si>
    <t>We do not provide Click and Collect and Mobile deliveries</t>
  </si>
  <si>
    <t>We do not have a click and collect and mobile library service - only Home Delivery</t>
  </si>
  <si>
    <t>We do not have a click and collect service</t>
  </si>
  <si>
    <t>We do not have any mobile libraries.</t>
  </si>
  <si>
    <t>Sunderland</t>
  </si>
  <si>
    <t>We have a 'Books at Home' service, but do not have a mobile library.</t>
  </si>
  <si>
    <t>We do not have a mobile library service or click and collect</t>
  </si>
  <si>
    <t>We don't have a click and collect or mobile library service</t>
  </si>
  <si>
    <t xml:space="preserve">We do not have offer click and collect or have mobile libraries. </t>
  </si>
  <si>
    <t>Do not have a mobile library service and no longer have click and collect service.</t>
  </si>
  <si>
    <t>We do not offer these services</t>
  </si>
  <si>
    <t>Tower Hamlets</t>
  </si>
  <si>
    <t xml:space="preserve">Note: We don't have any data to provide for the above areas, this is because we do not provide Click and collect, Mobile libraries or Home delivery services.
</t>
  </si>
  <si>
    <t>We do not have a mobile library service.</t>
  </si>
  <si>
    <t>Walsall</t>
  </si>
  <si>
    <t>We do not offer a click and collect service</t>
  </si>
  <si>
    <t>No longer operate Click and Collect service. Do not have mobile libraries.  Data has been provided for home delivery service.</t>
  </si>
  <si>
    <t>No mobile library service. No click and collect.</t>
  </si>
  <si>
    <t>We do not have a mobile library service or click and collect, and we do not collect separate issue figures for our home library service.</t>
  </si>
  <si>
    <t>Data's been entered for Mobile and home Delivery, but not for Click and Collect, as this is not happening now</t>
  </si>
  <si>
    <t>not available</t>
  </si>
  <si>
    <t>We do not have click and collect service</t>
  </si>
  <si>
    <t>We do not deliver a mobile library service or do click and collect</t>
  </si>
  <si>
    <t>Click and collect - unclear what is meant by this, although we did offer a service during Covid lockdown.  However, this is an extension of the reservation service, and so transactions are captured within loan data.
Mobile libraries - we no longer have a mobile library service.
Home delivery - we do record the number of people receiving this service, and the number of volunteers attending, but the people count is measured within active users data. It might be possible to calculate the number of activities of attendance, but this would have to be extracted from a wider volunteering dataset</t>
  </si>
  <si>
    <t>We do not have a mobile library service
We do not operate a click and collect service.</t>
  </si>
  <si>
    <t>No we no longer have a Mobile library service instead we switched to the Home Library Service (HLS)</t>
  </si>
  <si>
    <t>We do not offer click and collect and have no mobile library service</t>
  </si>
  <si>
    <t>Wolverhampton</t>
  </si>
  <si>
    <t>Our mobile library service data is captured within the relevant cumulative totals, eg issues and visits.</t>
  </si>
  <si>
    <t>Q10_2_Total</t>
  </si>
  <si>
    <t>PC use - Number of sessions of wifi access - Total 2024/25</t>
  </si>
  <si>
    <t>Q10_1_Total</t>
  </si>
  <si>
    <t>PC use - Number of hours of usage - Total 2024/25</t>
  </si>
  <si>
    <t>Q9_3_Total</t>
  </si>
  <si>
    <t>Home delivery - Total 2024/25</t>
  </si>
  <si>
    <t>Q9_2_Total</t>
  </si>
  <si>
    <t>Mobile libraries - Total 2024/25</t>
  </si>
  <si>
    <t>Q9_1_Total</t>
  </si>
  <si>
    <t>Click and collect - Total 2024/25</t>
  </si>
  <si>
    <t>Q8_2_Total</t>
  </si>
  <si>
    <t>Visitors to CO-LOCATION sites - Total 2024/25</t>
  </si>
  <si>
    <t>Q8_1_Total</t>
  </si>
  <si>
    <t>Visitors to LIBRARY-ONLY sites - Total 2024/25</t>
  </si>
  <si>
    <t>Q21_8_Total</t>
  </si>
  <si>
    <t>DIGITAL AUDIO BOOKS - Adult (18+) or unclassified - Total 2024/25</t>
  </si>
  <si>
    <t>Q21_7_Total</t>
  </si>
  <si>
    <t>DIGITAL AUDIO BOOKS - Young people (12-17) - Total 2024/25</t>
  </si>
  <si>
    <t>Q21_6_Total</t>
  </si>
  <si>
    <t>DIGITAL AUDIO BOOKS - Children (11 and under) - Total 2024/25</t>
  </si>
  <si>
    <t>Q21_5_Total</t>
  </si>
  <si>
    <t>Total DIGITAL AUDIO BOOKS issued - Total 2024/25</t>
  </si>
  <si>
    <t>Q21_4_Total</t>
  </si>
  <si>
    <t>E-BOOKS - Adult (18+) or unclassified - Total 2024/25</t>
  </si>
  <si>
    <t>Q21_3_Total</t>
  </si>
  <si>
    <t>E-BOOKS - Young people (12-17) - Total 2024/25</t>
  </si>
  <si>
    <t>Q21_2_Total</t>
  </si>
  <si>
    <t>E-BOOKS - Children (11 and under) - Total 2024/25</t>
  </si>
  <si>
    <t>Q21_1_Total</t>
  </si>
  <si>
    <t>Total E-BOOKS issued - Total 2024/25</t>
  </si>
  <si>
    <t>Q17_8_Total</t>
  </si>
  <si>
    <t>AUDIO book issues - Adult (18+) or unclassified - Total 2024/25</t>
  </si>
  <si>
    <t>Q17_7_Total</t>
  </si>
  <si>
    <t>AUDIO book issues - Young people (12-17) - Total 2024/25</t>
  </si>
  <si>
    <t>Q17_6_Total</t>
  </si>
  <si>
    <t>AUDIO book issues - Children (11 and under) - Total 2024/25</t>
  </si>
  <si>
    <t>Q17_5_Total</t>
  </si>
  <si>
    <t>Total AUDIO book issues - Total 2024/25</t>
  </si>
  <si>
    <t>Q17_4_Total</t>
  </si>
  <si>
    <t>PHYSICAL book issues - Adult (18+) or unclassified - Total 2024/25</t>
  </si>
  <si>
    <t>Q17_3_Total</t>
  </si>
  <si>
    <t>PHYSICAL book issues - Young people (12-17) - Total 2024/25</t>
  </si>
  <si>
    <t>Q17_2_Total</t>
  </si>
  <si>
    <t>PHYSICAL book issues - Children (11 and under) - Total 2024/25</t>
  </si>
  <si>
    <t>Q17_1_Total</t>
  </si>
  <si>
    <t>Total PHYSICAL book issues - Total 2024/25</t>
  </si>
  <si>
    <t>Q12_8_Total</t>
  </si>
  <si>
    <t>DIGITAL attendees - Adult (18+) or unclassified - Total 2024/25</t>
  </si>
  <si>
    <t>Q12_7_Total</t>
  </si>
  <si>
    <t>DIGITAL attendees - Young people (12-17) - Total 2024/25</t>
  </si>
  <si>
    <t>Q12_6_Total</t>
  </si>
  <si>
    <t>DIGITAL attendees - Children (11 and under) - Total 2024/25</t>
  </si>
  <si>
    <t>Q12_5_Total</t>
  </si>
  <si>
    <t>Total attendees at DIGITAL events - Total 2024/25</t>
  </si>
  <si>
    <t>Q12_4_Total</t>
  </si>
  <si>
    <t>PHYSICAL attendees - Adult (18+) or unclassified - Total 2024/25</t>
  </si>
  <si>
    <t>Q12_3_Total</t>
  </si>
  <si>
    <t>PHYSICAL attendees - Young people (12-17) - Total 2024/25</t>
  </si>
  <si>
    <t>Q12_2_Total</t>
  </si>
  <si>
    <t>PHYSICAL attendees - Children (11 and under) - Total 2024/25</t>
  </si>
  <si>
    <t>Q12_1_Total</t>
  </si>
  <si>
    <t>Total attendees at PHYSICAL events - Total 2024/25</t>
  </si>
  <si>
    <t>Q4_10_Total</t>
  </si>
  <si>
    <t>DIGITAL events - All age groups - Total 2024/25</t>
  </si>
  <si>
    <t>Q4_9_Total</t>
  </si>
  <si>
    <t>DIGITAL events - Adult (18+) or unclassified - Total 2024/25</t>
  </si>
  <si>
    <t>Q4_8_Total</t>
  </si>
  <si>
    <t>DIGITAL events - Young people (12-17) - Total 2024/25</t>
  </si>
  <si>
    <t>Q4_7_Total</t>
  </si>
  <si>
    <t>DIGITAL events - Children (11 and under) - Total 2024/25</t>
  </si>
  <si>
    <t>Q4_6_Total</t>
  </si>
  <si>
    <t>Total DIGITAL events - Total 2024/25</t>
  </si>
  <si>
    <t>Q4_5_Total</t>
  </si>
  <si>
    <t>PHYSICAL events - All age groups - Total 2024/25</t>
  </si>
  <si>
    <t>Q4_4_Total</t>
  </si>
  <si>
    <t>PHYSICAL events - Adult (18+) or unclassified - Total 2024/25</t>
  </si>
  <si>
    <t>Q4_3_Total</t>
  </si>
  <si>
    <t>PHYSICAL events - Young people (12-17) - Total 2024/25</t>
  </si>
  <si>
    <t>Q4_2_Total</t>
  </si>
  <si>
    <t>PHYSICAL events - Children (11 and under) - Total 2024/25</t>
  </si>
  <si>
    <t>Q4_1_Total</t>
  </si>
  <si>
    <t>Total PHYSICAL events - Total 2024/25</t>
  </si>
  <si>
    <t>Q12_Physical_All_Totals</t>
  </si>
  <si>
    <t>Q12_Digital_All_Totals</t>
  </si>
  <si>
    <t>Q4_Physical_Audience_Total</t>
  </si>
  <si>
    <t>Q4_Digital_Audience_Total</t>
  </si>
  <si>
    <t>Total active members</t>
  </si>
  <si>
    <t>Of which - Children (11 and under)</t>
  </si>
  <si>
    <t>Of which - Young person (12-17)</t>
  </si>
  <si>
    <t>Of which - Adult (18+)</t>
  </si>
  <si>
    <t>Target audience - Children (11 and under)</t>
  </si>
  <si>
    <t>Target audience - Young people (12-17)</t>
  </si>
  <si>
    <t>Target audience - Adult (18+) OR unclassified</t>
  </si>
  <si>
    <t>Of which - Young people (12-17)</t>
  </si>
  <si>
    <t>Of which - Adult (18+) OR unclassified</t>
  </si>
  <si>
    <t>Click and collect</t>
  </si>
  <si>
    <t>Mobile libraries</t>
  </si>
  <si>
    <t>Home delivery</t>
  </si>
  <si>
    <t>Number of hours of usage</t>
  </si>
  <si>
    <t>Number of sessions of wifi access</t>
  </si>
  <si>
    <t>24/25</t>
  </si>
  <si>
    <t>25/26</t>
  </si>
  <si>
    <t>Physical attendances - sum of age totals</t>
  </si>
  <si>
    <t>Children + young people + adults/unclassified; each counted once</t>
  </si>
  <si>
    <t>Digital attendances - sum of age totals</t>
  </si>
  <si>
    <t>Area</t>
  </si>
  <si>
    <t>South East</t>
  </si>
  <si>
    <t>Midlands</t>
  </si>
  <si>
    <t>South West</t>
  </si>
  <si>
    <t>North</t>
  </si>
  <si>
    <t>London</t>
  </si>
  <si>
    <t>Yorkshire and The Humber</t>
  </si>
  <si>
    <t>West Midlands</t>
  </si>
  <si>
    <t>North West</t>
  </si>
  <si>
    <t>East Midlands</t>
  </si>
  <si>
    <t>Library Service</t>
  </si>
  <si>
    <t>Year</t>
  </si>
  <si>
    <t>Metric</t>
  </si>
  <si>
    <t>Value</t>
  </si>
  <si>
    <t>AM_Total</t>
  </si>
  <si>
    <t>AM_Child</t>
  </si>
  <si>
    <t>AM_Young</t>
  </si>
  <si>
    <t>AM_Adult</t>
  </si>
  <si>
    <t>EV_P_Total</t>
  </si>
  <si>
    <t>EV_P_Child</t>
  </si>
  <si>
    <t>EV_P_Young</t>
  </si>
  <si>
    <t>EV_P_Adult</t>
  </si>
  <si>
    <t>EV_D_Total</t>
  </si>
  <si>
    <t>EV_D_Child</t>
  </si>
  <si>
    <t>EV_D_Young</t>
  </si>
  <si>
    <t>EV_D_Adult</t>
  </si>
  <si>
    <t>AT_P_Total</t>
  </si>
  <si>
    <t>AT_P_Child</t>
  </si>
  <si>
    <t>AT_P_Young</t>
  </si>
  <si>
    <t>AT_P_Adult</t>
  </si>
  <si>
    <t>AT_D_Total</t>
  </si>
  <si>
    <t>AT_D_Child</t>
  </si>
  <si>
    <t>AT_D_Young</t>
  </si>
  <si>
    <t>AT_D_Adult</t>
  </si>
  <si>
    <t>BK_P_Total</t>
  </si>
  <si>
    <t>BK_P_Child</t>
  </si>
  <si>
    <t>BK_P_Young</t>
  </si>
  <si>
    <t>BK_P_Adult</t>
  </si>
  <si>
    <t>BK_A_Total</t>
  </si>
  <si>
    <t>BK_A_Child</t>
  </si>
  <si>
    <t>BK_A_Young</t>
  </si>
  <si>
    <t>BK_A_Adult</t>
  </si>
  <si>
    <t>EB_Total</t>
  </si>
  <si>
    <t>EB_Child</t>
  </si>
  <si>
    <t>EB_Young</t>
  </si>
  <si>
    <t>EB_Adult</t>
  </si>
  <si>
    <t>EA_Total</t>
  </si>
  <si>
    <t>EA_Child</t>
  </si>
  <si>
    <t>EA_Young</t>
  </si>
  <si>
    <t>EA_Adult</t>
  </si>
  <si>
    <t>VIS_Lib</t>
  </si>
  <si>
    <t>VIS_Co</t>
  </si>
  <si>
    <t>ADD_Click</t>
  </si>
  <si>
    <t>ADD_Mobile</t>
  </si>
  <si>
    <t>ADD_Home</t>
  </si>
  <si>
    <t>PC_Hours</t>
  </si>
  <si>
    <t>PC_Wifi</t>
  </si>
  <si>
    <t>Total</t>
  </si>
  <si>
    <t>Libraries</t>
  </si>
  <si>
    <t>All Libraries</t>
  </si>
  <si>
    <t>Click into the cell to select a service</t>
  </si>
  <si>
    <t>Responses</t>
  </si>
  <si>
    <t>2024/25</t>
  </si>
  <si>
    <t>2025/26</t>
  </si>
  <si>
    <t>YoY Change</t>
  </si>
  <si>
    <r>
      <t xml:space="preserve">Total number of </t>
    </r>
    <r>
      <rPr>
        <b/>
        <sz val="12"/>
        <color theme="1"/>
        <rFont val="Arial"/>
        <family val="2"/>
      </rPr>
      <t>PHYSICAL</t>
    </r>
    <r>
      <rPr>
        <sz val="12"/>
        <color theme="1"/>
        <rFont val="Arial"/>
        <family val="2"/>
      </rPr>
      <t xml:space="preserve"> events</t>
    </r>
  </si>
  <si>
    <r>
      <t xml:space="preserve">Total number of </t>
    </r>
    <r>
      <rPr>
        <b/>
        <sz val="12"/>
        <color theme="1"/>
        <rFont val="Arial"/>
        <family val="2"/>
      </rPr>
      <t>DIGITAL</t>
    </r>
    <r>
      <rPr>
        <sz val="12"/>
        <color theme="1"/>
        <rFont val="Arial"/>
        <family val="2"/>
      </rPr>
      <t xml:space="preserve"> events</t>
    </r>
  </si>
  <si>
    <r>
      <t xml:space="preserve">Total attendees at </t>
    </r>
    <r>
      <rPr>
        <b/>
        <sz val="12"/>
        <color theme="1"/>
        <rFont val="Arial"/>
        <family val="2"/>
      </rPr>
      <t>PHYSICAL</t>
    </r>
    <r>
      <rPr>
        <sz val="12"/>
        <color theme="1"/>
        <rFont val="Arial"/>
        <family val="2"/>
      </rPr>
      <t xml:space="preserve"> events</t>
    </r>
  </si>
  <si>
    <r>
      <t xml:space="preserve">Total attendees at </t>
    </r>
    <r>
      <rPr>
        <b/>
        <sz val="12"/>
        <color theme="1"/>
        <rFont val="Arial"/>
        <family val="2"/>
      </rPr>
      <t>DIGITAL</t>
    </r>
    <r>
      <rPr>
        <sz val="12"/>
        <color theme="1"/>
        <rFont val="Arial"/>
        <family val="2"/>
      </rPr>
      <t xml:space="preserve"> events</t>
    </r>
  </si>
  <si>
    <r>
      <t xml:space="preserve">Total number of </t>
    </r>
    <r>
      <rPr>
        <b/>
        <sz val="12"/>
        <color theme="1"/>
        <rFont val="Arial"/>
        <family val="2"/>
      </rPr>
      <t>PHYSICAL</t>
    </r>
    <r>
      <rPr>
        <sz val="12"/>
        <color theme="1"/>
        <rFont val="Arial"/>
        <family val="2"/>
      </rPr>
      <t xml:space="preserve"> book issues</t>
    </r>
  </si>
  <si>
    <r>
      <t xml:space="preserve">Total number of </t>
    </r>
    <r>
      <rPr>
        <b/>
        <sz val="12"/>
        <color theme="1"/>
        <rFont val="Arial"/>
        <family val="2"/>
      </rPr>
      <t>AUDIO</t>
    </r>
    <r>
      <rPr>
        <sz val="12"/>
        <color theme="1"/>
        <rFont val="Arial"/>
        <family val="2"/>
      </rPr>
      <t xml:space="preserve"> book issues</t>
    </r>
  </si>
  <si>
    <r>
      <t xml:space="preserve">Total number of </t>
    </r>
    <r>
      <rPr>
        <b/>
        <sz val="12"/>
        <color theme="1"/>
        <rFont val="Arial"/>
        <family val="2"/>
      </rPr>
      <t>E-BOOKS</t>
    </r>
    <r>
      <rPr>
        <sz val="12"/>
        <color theme="1"/>
        <rFont val="Arial"/>
        <family val="2"/>
      </rPr>
      <t xml:space="preserve"> issued</t>
    </r>
  </si>
  <si>
    <r>
      <t xml:space="preserve">Total number of </t>
    </r>
    <r>
      <rPr>
        <b/>
        <sz val="12"/>
        <color theme="1"/>
        <rFont val="Arial"/>
        <family val="2"/>
      </rPr>
      <t>DIGITAL AUDIO BOOKS</t>
    </r>
    <r>
      <rPr>
        <sz val="12"/>
        <color theme="1"/>
        <rFont val="Arial"/>
        <family val="2"/>
      </rPr>
      <t xml:space="preserve"> issued</t>
    </r>
  </si>
  <si>
    <r>
      <t xml:space="preserve">Visitors to </t>
    </r>
    <r>
      <rPr>
        <b/>
        <sz val="12"/>
        <color theme="1"/>
        <rFont val="Arial"/>
        <family val="2"/>
      </rPr>
      <t xml:space="preserve">LIBRARY-ONLY </t>
    </r>
    <r>
      <rPr>
        <sz val="12"/>
        <color theme="1"/>
        <rFont val="Arial"/>
        <family val="2"/>
      </rPr>
      <t>sites</t>
    </r>
  </si>
  <si>
    <r>
      <t xml:space="preserve">Visitors to </t>
    </r>
    <r>
      <rPr>
        <b/>
        <sz val="12"/>
        <color theme="1"/>
        <rFont val="Arial"/>
        <family val="2"/>
      </rPr>
      <t xml:space="preserve">CO-LOCATION </t>
    </r>
    <r>
      <rPr>
        <sz val="12"/>
        <color theme="1"/>
        <rFont val="Arial"/>
        <family val="2"/>
      </rPr>
      <t>sites</t>
    </r>
  </si>
  <si>
    <t>Comparing the 2025/26 results to the 2024/25 returns suggest a changing pattern of user engagement. There is no clear overall trend. 
The constant sample data shows an increase in both the number of, and attendance at, events, and an increase in digital lending, outreach services and Wi-Fi use. However, lending, and vists to library-only sites fell, although this is slightly mitigated by a relatively static figure for co-located libraries.
Large year on year changes in the tables should be viewed as indicative rather than as fact, as library services adapt reporting methods to meet the criteria in the collection. Some extreme outliers have been removed.</t>
  </si>
  <si>
    <t>Number of hours of computer usage</t>
  </si>
  <si>
    <t>Index of tables</t>
  </si>
  <si>
    <t>Official statistics</t>
  </si>
  <si>
    <t>Methods</t>
  </si>
  <si>
    <t>Amendments</t>
  </si>
  <si>
    <t xml:space="preserve">Any amended versions published listed here. </t>
  </si>
  <si>
    <t>Comparison with previous years' data</t>
  </si>
  <si>
    <t>Libraries Activities - Annual Data Return
2025/26</t>
  </si>
  <si>
    <t>About the return</t>
  </si>
  <si>
    <t>Click on the tabs at the bottom of the screen to access each raw datasets, and headline analysis. The data in the tables is dsiplayed as a year on year comparison and a constant sample. The constant sample analysis refers to data provided by organisations in 2024/25 and 2025/26.</t>
  </si>
  <si>
    <r>
      <t xml:space="preserve">If you have any queries or experience technical problems, please contact the Data Analysis Team at </t>
    </r>
    <r>
      <rPr>
        <i/>
        <sz val="11"/>
        <rFont val="Arial"/>
        <family val="2"/>
      </rPr>
      <t>ACEsurvey@artscouncil.org.uk</t>
    </r>
  </si>
  <si>
    <t>Some returns were excluded where confirmation of accuracy had not been given
Some extreme outliers have been removed
Where the validation exercise resulted in amended data, this has been included</t>
  </si>
  <si>
    <t xml:space="preserve">All libraries services are requested to complete a data return around active memberships and the types of engagement they offer.
The collection for 2025/26 ran across April and May 2026 and has been made an official statistic.
153 Libraries services were asked to supply data around engagements with their provision. 111 provided us with viable data, that had been verified and confirmed.
Following submission, a validation process was conducted. Data was checked for extreme outliers, variables, inconsistencies and accuracy using 2024/25 data as a baseline. Where necessary, organisations were contacted for further clarification. In some cases where responses to particular questions were considered unlikely to be accurate or where clarification from the service wasn't received, data may have been removed.  
In other cases, data that were verified as correct by the analysis, but were extreme enough to obscure the trends for the portfolio as a whole may also have been excluded. It should be noted that the exclusion only relates to these headline tables, and the data may be included in other publications.
All data has been processed in line with official statistics guidelines and in accordance with Arts Council Englands Data Principles
</t>
  </si>
  <si>
    <t xml:space="preserve">It should be noted that  These percentage change figures are included in this release, for consistency and completeness, but should be regarded with appropriate caution.
</t>
  </si>
  <si>
    <r>
      <t xml:space="preserve">On the 1st April 2009 Arts Council England became a provider of official statistics under the extended scope of the Statistics and Registration Act 2008. This means that when the Arts Council produces, manages and disseminates official statistics we strive to abide by the Code of Practice for Official Statistics. For more information on the Code of Practice for Official Statistics see </t>
    </r>
    <r>
      <rPr>
        <u/>
        <sz val="11"/>
        <rFont val="Arial"/>
        <family val="2"/>
      </rPr>
      <t>www.statisticsauthority.gov.uk</t>
    </r>
    <r>
      <rPr>
        <sz val="11"/>
        <rFont val="Arial"/>
        <family val="2"/>
      </rPr>
      <t xml:space="preserve">
Data from the libraries activites annual submission is one of the Arts Council's official statistics. In accordance with the Code of Practice, prior to the release of the headline data contained within the tables, the aggregate data from the 2025/26 return has only been seen by our Data Analysts for production, publication and quality assurance purposes. In addition, Arts Council's Executive Board lead for Libraries, and relevant DCMS officials have been briefed on the headline data for information purposes 24 hours prior to the public release. 
More information on the Arts Council's official statistics is available on the research section of the Arts Council website: http://www.artscouncil.org.uk/research-and-data, or you can contact the Lead Officer for Official Statistics: catherine.hammersley@artscouncil.org.uk
</t>
    </r>
  </si>
  <si>
    <t>Matched Both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</si>
</sst>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5" x14ac:knownFonts="1">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color rgb="FF000000"/>
      <name val="Arial"/>
      <family val="2"/>
    </font>
    <font>
      <sz val="8"/>
      <name val="Arial"/>
      <family val="2"/>
    </font>
    <font>
      <b/>
      <sz val="12"/>
      <color rgb="FF1F4E78"/>
      <name val="Arial"/>
      <family val="2"/>
    </font>
    <font>
      <b/>
      <sz val="14"/>
      <color theme="1"/>
      <name val="Arial"/>
      <family val="2"/>
    </font>
    <font>
      <i/>
      <sz val="12"/>
      <color theme="1"/>
      <name val="Arial"/>
      <family val="2"/>
    </font>
    <font>
      <b/>
      <sz val="12"/>
      <color rgb="FFFFFFFF"/>
      <name val="Arial"/>
      <family val="2"/>
    </font>
    <font>
      <sz val="11"/>
      <color indexed="8"/>
      <name val="Calibri"/>
      <family val="2"/>
    </font>
    <font>
      <sz val="10"/>
      <name val="Arial"/>
      <family val="2"/>
    </font>
    <font>
      <sz val="11"/>
      <color rgb="FFFF0000"/>
      <name val="Arial"/>
      <family val="2"/>
    </font>
    <font>
      <sz val="11"/>
      <color indexed="8"/>
      <name val="Arial"/>
      <family val="2"/>
    </font>
    <font>
      <b/>
      <sz val="11"/>
      <name val="Arial"/>
      <family val="2"/>
    </font>
    <font>
      <b/>
      <sz val="11"/>
      <color rgb="FFFF0000"/>
      <name val="Arial"/>
      <family val="2"/>
    </font>
    <font>
      <sz val="11"/>
      <name val="Arial"/>
      <family val="2"/>
    </font>
    <font>
      <i/>
      <sz val="11"/>
      <name val="Arial"/>
      <family val="2"/>
    </font>
    <font>
      <u/>
      <sz val="11"/>
      <name val="Arial"/>
      <family val="2"/>
    </font>
    <font>
      <b/>
      <sz val="12"/>
      <color rgb="FF000000"/>
      <name val="Arial"/>
      <family val="2"/>
    </font>
    <font>
      <b/>
      <i/>
      <sz val="12"/>
      <color rgb="FF000000"/>
      <name val="Arial"/>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indexed="64"/>
      </patternFill>
    </fill>
    <fill>
      <patternFill patternType="solid">
        <fgColor rgb="FFDDEBF7"/>
        <bgColor indexed="64"/>
      </patternFill>
    </fill>
    <fill>
      <patternFill patternType="solid">
        <fgColor rgb="FFE2F0D9"/>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C00000"/>
        <bgColor indexed="64"/>
      </patternFill>
    </fill>
    <fill>
      <patternFill patternType="solid">
        <fgColor rgb="FFD9EAF7"/>
        <bgColor indexed="64"/>
      </patternFill>
    </fill>
    <fill>
      <patternFill patternType="solid">
        <fgColor theme="0" tint="-0.249977111117893"/>
        <bgColor indexed="64"/>
      </patternFill>
    </fill>
    <fill>
      <patternFill patternType="solid">
        <fgColor rgb="FFFF7474"/>
        <bgColor indexed="64"/>
      </patternFill>
    </fill>
    <fill>
      <patternFill patternType="solid">
        <fgColor rgb="FF29B95C"/>
        <bgColor indexed="64"/>
      </patternFill>
    </fill>
    <fill>
      <patternFill patternType="solid">
        <fgColor theme="0" tint="-0.14999847407452621"/>
        <bgColor indexed="64"/>
      </patternFill>
    </fill>
    <fill>
      <patternFill patternType="solid">
        <fgColor theme="0"/>
        <bgColor indexed="64"/>
      </patternFill>
    </fill>
    <fill>
      <patternFill patternType="solid">
        <fgColor rgb="FFFFF200"/>
        <bgColor indexed="64"/>
      </patternFill>
    </fill>
  </fills>
  <borders count="9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right style="medium">
        <color auto="1"/>
      </right>
      <top style="medium">
        <color auto="1"/>
      </top>
      <bottom style="thin">
        <color auto="1"/>
      </bottom>
      <diagonal/>
    </border>
    <border>
      <left/>
      <right style="medium">
        <color auto="1"/>
      </right>
      <top style="thin">
        <color auto="1"/>
      </top>
      <bottom/>
      <diagonal/>
    </border>
    <border>
      <left style="thin">
        <color auto="1"/>
      </left>
      <right style="medium">
        <color auto="1"/>
      </right>
      <top style="medium">
        <color theme="1"/>
      </top>
      <bottom/>
      <diagonal/>
    </border>
    <border>
      <left style="medium">
        <color auto="1"/>
      </left>
      <right style="medium">
        <color theme="1"/>
      </right>
      <top style="medium">
        <color theme="1"/>
      </top>
      <bottom/>
      <diagonal/>
    </border>
    <border>
      <left style="thin">
        <color auto="1"/>
      </left>
      <right style="medium">
        <color auto="1"/>
      </right>
      <top/>
      <bottom style="medium">
        <color auto="1"/>
      </bottom>
      <diagonal/>
    </border>
    <border>
      <left style="medium">
        <color auto="1"/>
      </left>
      <right/>
      <top style="thin">
        <color theme="1"/>
      </top>
      <bottom style="thin">
        <color theme="1"/>
      </bottom>
      <diagonal/>
    </border>
    <border>
      <left style="thin">
        <color auto="1"/>
      </left>
      <right style="medium">
        <color auto="1"/>
      </right>
      <top style="thin">
        <color theme="1"/>
      </top>
      <bottom style="thin">
        <color theme="1"/>
      </bottom>
      <diagonal/>
    </border>
    <border>
      <left style="medium">
        <color auto="1"/>
      </left>
      <right style="medium">
        <color auto="1"/>
      </right>
      <top style="thin">
        <color theme="1"/>
      </top>
      <bottom style="thin">
        <color theme="1"/>
      </bottom>
      <diagonal/>
    </border>
    <border>
      <left style="medium">
        <color theme="1"/>
      </left>
      <right/>
      <top style="thin">
        <color theme="1"/>
      </top>
      <bottom style="thin">
        <color theme="1"/>
      </bottom>
      <diagonal/>
    </border>
    <border>
      <left style="thin">
        <color theme="1"/>
      </left>
      <right style="medium">
        <color auto="1"/>
      </right>
      <top style="thin">
        <color theme="1"/>
      </top>
      <bottom style="thin">
        <color theme="1"/>
      </bottom>
      <diagonal/>
    </border>
    <border>
      <left style="medium">
        <color auto="1"/>
      </left>
      <right style="medium">
        <color theme="1"/>
      </right>
      <top style="thin">
        <color theme="1"/>
      </top>
      <bottom style="thin">
        <color theme="1"/>
      </bottom>
      <diagonal/>
    </border>
    <border>
      <left style="medium">
        <color auto="1"/>
      </left>
      <right style="thin">
        <color theme="1"/>
      </right>
      <top style="medium">
        <color auto="1"/>
      </top>
      <bottom style="thin">
        <color theme="1"/>
      </bottom>
      <diagonal/>
    </border>
    <border>
      <left style="medium">
        <color auto="1"/>
      </left>
      <right style="thin">
        <color theme="1"/>
      </right>
      <top style="thin">
        <color theme="1"/>
      </top>
      <bottom style="thin">
        <color theme="1"/>
      </bottom>
      <diagonal/>
    </border>
    <border>
      <left style="medium">
        <color auto="1"/>
      </left>
      <right style="thin">
        <color theme="1"/>
      </right>
      <top style="thin">
        <color theme="1"/>
      </top>
      <bottom style="medium">
        <color auto="1"/>
      </bottom>
      <diagonal/>
    </border>
    <border>
      <left style="medium">
        <color auto="1"/>
      </left>
      <right/>
      <top style="medium">
        <color theme="1"/>
      </top>
      <bottom style="thin">
        <color theme="1"/>
      </bottom>
      <diagonal/>
    </border>
    <border>
      <left style="thin">
        <color auto="1"/>
      </left>
      <right style="medium">
        <color auto="1"/>
      </right>
      <top style="medium">
        <color theme="1"/>
      </top>
      <bottom style="thin">
        <color theme="1"/>
      </bottom>
      <diagonal/>
    </border>
    <border>
      <left style="medium">
        <color auto="1"/>
      </left>
      <right style="medium">
        <color theme="1"/>
      </right>
      <top style="medium">
        <color theme="1"/>
      </top>
      <bottom style="thin">
        <color theme="1"/>
      </bottom>
      <diagonal/>
    </border>
    <border>
      <left style="medium">
        <color auto="1"/>
      </left>
      <right/>
      <top style="thin">
        <color theme="1"/>
      </top>
      <bottom style="medium">
        <color theme="1"/>
      </bottom>
      <diagonal/>
    </border>
    <border>
      <left style="thin">
        <color auto="1"/>
      </left>
      <right style="medium">
        <color auto="1"/>
      </right>
      <top style="thin">
        <color theme="1"/>
      </top>
      <bottom style="medium">
        <color theme="1"/>
      </bottom>
      <diagonal/>
    </border>
    <border>
      <left style="medium">
        <color auto="1"/>
      </left>
      <right style="medium">
        <color theme="1"/>
      </right>
      <top style="thin">
        <color theme="1"/>
      </top>
      <bottom style="medium">
        <color theme="1"/>
      </bottom>
      <diagonal/>
    </border>
    <border>
      <left style="thin">
        <color theme="1"/>
      </left>
      <right/>
      <top style="medium">
        <color auto="1"/>
      </top>
      <bottom style="thin">
        <color theme="1"/>
      </bottom>
      <diagonal/>
    </border>
    <border>
      <left style="thin">
        <color theme="1"/>
      </left>
      <right/>
      <top style="thin">
        <color theme="1"/>
      </top>
      <bottom style="thin">
        <color theme="1"/>
      </bottom>
      <diagonal/>
    </border>
    <border>
      <left style="thin">
        <color theme="1"/>
      </left>
      <right/>
      <top style="thin">
        <color theme="1"/>
      </top>
      <bottom style="medium">
        <color auto="1"/>
      </bottom>
      <diagonal/>
    </border>
    <border>
      <left style="medium">
        <color auto="1"/>
      </left>
      <right style="medium">
        <color auto="1"/>
      </right>
      <top style="medium">
        <color auto="1"/>
      </top>
      <bottom style="thin">
        <color theme="1"/>
      </bottom>
      <diagonal/>
    </border>
    <border>
      <left style="medium">
        <color auto="1"/>
      </left>
      <right style="medium">
        <color auto="1"/>
      </right>
      <top style="thin">
        <color theme="1"/>
      </top>
      <bottom style="medium">
        <color auto="1"/>
      </bottom>
      <diagonal/>
    </border>
    <border>
      <left style="medium">
        <color theme="1"/>
      </left>
      <right style="thin">
        <color theme="1"/>
      </right>
      <top style="medium">
        <color auto="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auto="1"/>
      </bottom>
      <diagonal/>
    </border>
    <border>
      <left style="medium">
        <color auto="1"/>
      </left>
      <right/>
      <top style="medium">
        <color auto="1"/>
      </top>
      <bottom style="thin">
        <color theme="1"/>
      </bottom>
      <diagonal/>
    </border>
    <border>
      <left style="medium">
        <color auto="1"/>
      </left>
      <right/>
      <top style="thin">
        <color theme="1"/>
      </top>
      <bottom style="medium">
        <color auto="1"/>
      </bottom>
      <diagonal/>
    </border>
    <border>
      <left style="medium">
        <color theme="1"/>
      </left>
      <right/>
      <top style="medium">
        <color theme="1"/>
      </top>
      <bottom style="thin">
        <color theme="1"/>
      </bottom>
      <diagonal/>
    </border>
    <border>
      <left style="medium">
        <color theme="1"/>
      </left>
      <right/>
      <top style="thin">
        <color theme="1"/>
      </top>
      <bottom style="medium">
        <color theme="1"/>
      </bottom>
      <diagonal/>
    </border>
    <border>
      <left style="thin">
        <color auto="1"/>
      </left>
      <right style="medium">
        <color auto="1"/>
      </right>
      <top/>
      <bottom/>
      <diagonal/>
    </border>
    <border>
      <left/>
      <right style="medium">
        <color theme="1"/>
      </right>
      <top style="medium">
        <color theme="1"/>
      </top>
      <bottom style="thin">
        <color theme="1"/>
      </bottom>
      <diagonal/>
    </border>
    <border>
      <left/>
      <right style="medium">
        <color theme="1"/>
      </right>
      <top style="thin">
        <color theme="1"/>
      </top>
      <bottom style="thin">
        <color theme="1"/>
      </bottom>
      <diagonal/>
    </border>
    <border>
      <left/>
      <right style="medium">
        <color theme="1"/>
      </right>
      <top style="thin">
        <color theme="1"/>
      </top>
      <bottom style="medium">
        <color theme="1"/>
      </bottom>
      <diagonal/>
    </border>
    <border>
      <left/>
      <right style="medium">
        <color auto="1"/>
      </right>
      <top/>
      <bottom/>
      <diagonal/>
    </border>
    <border>
      <left style="thin">
        <color theme="1"/>
      </left>
      <right style="medium">
        <color auto="1"/>
      </right>
      <top style="medium">
        <color theme="1"/>
      </top>
      <bottom style="thin">
        <color theme="1"/>
      </bottom>
      <diagonal/>
    </border>
    <border>
      <left style="thin">
        <color theme="1"/>
      </left>
      <right style="medium">
        <color auto="1"/>
      </right>
      <top style="thin">
        <color theme="1"/>
      </top>
      <bottom style="medium">
        <color theme="1"/>
      </bottom>
      <diagonal/>
    </border>
    <border>
      <left style="medium">
        <color theme="1"/>
      </left>
      <right/>
      <top style="thin">
        <color theme="1"/>
      </top>
      <bottom/>
      <diagonal/>
    </border>
    <border>
      <left style="medium">
        <color auto="1"/>
      </left>
      <right/>
      <top style="thin">
        <color theme="1"/>
      </top>
      <bottom/>
      <diagonal/>
    </border>
    <border>
      <left style="thin">
        <color auto="1"/>
      </left>
      <right style="medium">
        <color auto="1"/>
      </right>
      <top style="thin">
        <color theme="1"/>
      </top>
      <bottom/>
      <diagonal/>
    </border>
    <border>
      <left style="medium">
        <color auto="1"/>
      </left>
      <right style="medium">
        <color theme="1"/>
      </right>
      <top style="thin">
        <color theme="1"/>
      </top>
      <bottom/>
      <diagonal/>
    </border>
    <border>
      <left style="medium">
        <color auto="1"/>
      </left>
      <right/>
      <top/>
      <bottom style="medium">
        <color theme="1"/>
      </bottom>
      <diagonal/>
    </border>
    <border>
      <left style="medium">
        <color theme="1"/>
      </left>
      <right style="medium">
        <color auto="1"/>
      </right>
      <top style="medium">
        <color auto="1"/>
      </top>
      <bottom/>
      <diagonal/>
    </border>
    <border>
      <left style="medium">
        <color theme="1"/>
      </left>
      <right style="medium">
        <color auto="1"/>
      </right>
      <top style="medium">
        <color theme="1"/>
      </top>
      <bottom/>
      <diagonal/>
    </border>
    <border>
      <left style="medium">
        <color theme="1"/>
      </left>
      <right style="medium">
        <color auto="1"/>
      </right>
      <top style="thin">
        <color theme="1"/>
      </top>
      <bottom style="thin">
        <color theme="1"/>
      </bottom>
      <diagonal/>
    </border>
    <border>
      <left style="medium">
        <color theme="1"/>
      </left>
      <right style="medium">
        <color auto="1"/>
      </right>
      <top/>
      <bottom style="medium">
        <color theme="1"/>
      </bottom>
      <diagonal/>
    </border>
    <border>
      <left style="medium">
        <color theme="1"/>
      </left>
      <right/>
      <top style="medium">
        <color auto="1"/>
      </top>
      <bottom/>
      <diagonal/>
    </border>
    <border>
      <left style="medium">
        <color theme="1"/>
      </left>
      <right style="medium">
        <color auto="1"/>
      </right>
      <top style="thin">
        <color auto="1"/>
      </top>
      <bottom style="medium">
        <color auto="1"/>
      </bottom>
      <diagonal/>
    </border>
    <border>
      <left style="medium">
        <color theme="1"/>
      </left>
      <right style="medium">
        <color auto="1"/>
      </right>
      <top style="thin">
        <color theme="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0" fontId="25" fillId="0" borderId="0"/>
  </cellStyleXfs>
  <cellXfs count="181">
    <xf numFmtId="0" fontId="0" fillId="0" borderId="0" xfId="0"/>
    <xf numFmtId="0" fontId="0" fillId="0" borderId="0" xfId="0" applyAlignment="1">
      <alignment wrapText="1"/>
    </xf>
    <xf numFmtId="3" fontId="0" fillId="0" borderId="0" xfId="0" applyNumberFormat="1"/>
    <xf numFmtId="46" fontId="0" fillId="0" borderId="0" xfId="0" applyNumberFormat="1"/>
    <xf numFmtId="4" fontId="0" fillId="0" borderId="0" xfId="0" applyNumberFormat="1"/>
    <xf numFmtId="0" fontId="18" fillId="33" borderId="0" xfId="0" applyFont="1" applyFill="1"/>
    <xf numFmtId="164" fontId="18" fillId="33" borderId="0" xfId="0" applyNumberFormat="1" applyFont="1" applyFill="1"/>
    <xf numFmtId="0" fontId="18" fillId="34" borderId="0" xfId="0" applyFont="1" applyFill="1"/>
    <xf numFmtId="164" fontId="18" fillId="34" borderId="0" xfId="0" applyNumberFormat="1" applyFont="1" applyFill="1"/>
    <xf numFmtId="1" fontId="18" fillId="35" borderId="0" xfId="0" applyNumberFormat="1" applyFont="1" applyFill="1"/>
    <xf numFmtId="1" fontId="18" fillId="35" borderId="0" xfId="0" applyNumberFormat="1" applyFont="1" applyFill="1" applyAlignment="1">
      <alignment wrapText="1"/>
    </xf>
    <xf numFmtId="1" fontId="0" fillId="0" borderId="0" xfId="0" applyNumberFormat="1"/>
    <xf numFmtId="1" fontId="18" fillId="36" borderId="0" xfId="0" applyNumberFormat="1" applyFont="1" applyFill="1"/>
    <xf numFmtId="0" fontId="0" fillId="36" borderId="0" xfId="0" applyFill="1"/>
    <xf numFmtId="0" fontId="0" fillId="0" borderId="0" xfId="0" applyAlignment="1">
      <alignment horizontal="left" vertical="top"/>
    </xf>
    <xf numFmtId="0" fontId="20" fillId="0" borderId="0" xfId="0" applyFont="1"/>
    <xf numFmtId="0" fontId="21" fillId="0" borderId="0" xfId="0" applyFont="1"/>
    <xf numFmtId="0" fontId="22" fillId="0" borderId="0" xfId="0" applyFont="1"/>
    <xf numFmtId="0" fontId="23" fillId="38" borderId="0" xfId="0" applyFont="1" applyFill="1"/>
    <xf numFmtId="0" fontId="18" fillId="35" borderId="0" xfId="0" applyFont="1" applyFill="1"/>
    <xf numFmtId="0" fontId="0" fillId="0" borderId="0" xfId="0" applyAlignment="1">
      <alignment horizontal="left" vertical="top" wrapText="1"/>
    </xf>
    <xf numFmtId="0" fontId="18" fillId="34" borderId="0" xfId="0" applyFont="1" applyFill="1" applyAlignment="1">
      <alignment horizontal="left" vertical="top" wrapText="1"/>
    </xf>
    <xf numFmtId="0" fontId="18" fillId="35" borderId="0" xfId="0" applyFont="1" applyFill="1" applyAlignment="1">
      <alignment horizontal="left" vertical="top" wrapText="1"/>
    </xf>
    <xf numFmtId="0" fontId="18" fillId="33" borderId="0" xfId="0" applyFont="1" applyFill="1" applyAlignment="1">
      <alignment horizontal="left" vertical="top" wrapText="1"/>
    </xf>
    <xf numFmtId="0" fontId="18" fillId="33" borderId="0" xfId="0" applyFont="1" applyFill="1" applyAlignment="1">
      <alignment horizontal="left" vertical="top"/>
    </xf>
    <xf numFmtId="0" fontId="18" fillId="35" borderId="0" xfId="0" applyFont="1" applyFill="1" applyAlignment="1">
      <alignment wrapText="1"/>
    </xf>
    <xf numFmtId="1" fontId="18" fillId="34" borderId="0" xfId="0" applyNumberFormat="1" applyFont="1" applyFill="1"/>
    <xf numFmtId="1" fontId="18" fillId="33" borderId="0" xfId="0" applyNumberFormat="1" applyFont="1" applyFill="1"/>
    <xf numFmtId="1" fontId="0" fillId="0" borderId="0" xfId="0" applyNumberFormat="1" applyAlignment="1">
      <alignment wrapText="1"/>
    </xf>
    <xf numFmtId="0" fontId="21" fillId="0" borderId="0" xfId="0" applyFont="1" applyAlignment="1">
      <alignment horizontal="center"/>
    </xf>
    <xf numFmtId="0" fontId="0" fillId="0" borderId="0" xfId="0" applyAlignment="1">
      <alignment horizontal="center"/>
    </xf>
    <xf numFmtId="0" fontId="0" fillId="37" borderId="10" xfId="0" applyFill="1" applyBorder="1"/>
    <xf numFmtId="0" fontId="0" fillId="37" borderId="11" xfId="0" applyFill="1" applyBorder="1"/>
    <xf numFmtId="0" fontId="22" fillId="37" borderId="11" xfId="0" applyFont="1" applyFill="1" applyBorder="1"/>
    <xf numFmtId="3" fontId="0" fillId="0" borderId="16" xfId="0" applyNumberFormat="1" applyBorder="1" applyAlignment="1">
      <alignment horizontal="center"/>
    </xf>
    <xf numFmtId="0" fontId="0" fillId="40" borderId="21" xfId="0" applyFill="1" applyBorder="1"/>
    <xf numFmtId="3" fontId="16" fillId="40" borderId="22" xfId="0" applyNumberFormat="1" applyFont="1" applyFill="1" applyBorder="1" applyAlignment="1">
      <alignment horizontal="center"/>
    </xf>
    <xf numFmtId="0" fontId="16" fillId="40" borderId="21" xfId="0" applyFont="1" applyFill="1" applyBorder="1"/>
    <xf numFmtId="3" fontId="16" fillId="40" borderId="23" xfId="0" applyNumberFormat="1" applyFont="1" applyFill="1" applyBorder="1" applyAlignment="1">
      <alignment horizontal="center"/>
    </xf>
    <xf numFmtId="0" fontId="22" fillId="0" borderId="27" xfId="0" applyFont="1" applyBorder="1" applyAlignment="1">
      <alignment horizontal="right"/>
    </xf>
    <xf numFmtId="0" fontId="0" fillId="0" borderId="28" xfId="0" applyBorder="1"/>
    <xf numFmtId="0" fontId="16" fillId="42" borderId="22" xfId="0" applyFont="1" applyFill="1" applyBorder="1" applyAlignment="1">
      <alignment horizontal="center"/>
    </xf>
    <xf numFmtId="1" fontId="16" fillId="41" borderId="21" xfId="0" applyNumberFormat="1" applyFont="1" applyFill="1" applyBorder="1"/>
    <xf numFmtId="0" fontId="16" fillId="42" borderId="39" xfId="0" applyFont="1" applyFill="1" applyBorder="1" applyAlignment="1">
      <alignment horizontal="center"/>
    </xf>
    <xf numFmtId="1" fontId="16" fillId="42" borderId="21" xfId="0" applyNumberFormat="1" applyFont="1" applyFill="1" applyBorder="1"/>
    <xf numFmtId="0" fontId="16" fillId="41" borderId="22" xfId="0" applyFont="1" applyFill="1" applyBorder="1" applyAlignment="1">
      <alignment horizontal="center"/>
    </xf>
    <xf numFmtId="0" fontId="0" fillId="40" borderId="12" xfId="0" applyFill="1" applyBorder="1"/>
    <xf numFmtId="3" fontId="22" fillId="0" borderId="39" xfId="0" applyNumberFormat="1" applyFont="1" applyBorder="1" applyAlignment="1">
      <alignment horizontal="center"/>
    </xf>
    <xf numFmtId="3" fontId="22" fillId="0" borderId="42" xfId="0" applyNumberFormat="1" applyFont="1" applyBorder="1" applyAlignment="1">
      <alignment horizontal="center"/>
    </xf>
    <xf numFmtId="3" fontId="22" fillId="0" borderId="44" xfId="0" applyNumberFormat="1" applyFont="1" applyBorder="1" applyAlignment="1">
      <alignment horizontal="center"/>
    </xf>
    <xf numFmtId="3" fontId="22" fillId="0" borderId="46" xfId="0" applyNumberFormat="1" applyFont="1" applyBorder="1" applyAlignment="1">
      <alignment horizontal="center"/>
    </xf>
    <xf numFmtId="3" fontId="22" fillId="0" borderId="49" xfId="0" applyNumberFormat="1" applyFont="1" applyBorder="1" applyAlignment="1">
      <alignment horizontal="center"/>
    </xf>
    <xf numFmtId="0" fontId="22" fillId="0" borderId="18" xfId="0" applyFont="1" applyBorder="1" applyAlignment="1">
      <alignment horizontal="right"/>
    </xf>
    <xf numFmtId="0" fontId="22" fillId="0" borderId="19" xfId="0" applyFont="1" applyBorder="1" applyAlignment="1">
      <alignment horizontal="right"/>
    </xf>
    <xf numFmtId="0" fontId="22" fillId="0" borderId="47" xfId="0" applyFont="1" applyBorder="1" applyAlignment="1">
      <alignment horizontal="right"/>
    </xf>
    <xf numFmtId="3" fontId="16" fillId="40" borderId="39" xfId="0" applyNumberFormat="1" applyFont="1" applyFill="1" applyBorder="1" applyAlignment="1">
      <alignment horizontal="center"/>
    </xf>
    <xf numFmtId="3" fontId="22" fillId="0" borderId="55" xfId="0" applyNumberFormat="1" applyFont="1" applyBorder="1" applyAlignment="1">
      <alignment horizontal="center"/>
    </xf>
    <xf numFmtId="3" fontId="22" fillId="0" borderId="58" xfId="0" applyNumberFormat="1" applyFont="1" applyBorder="1" applyAlignment="1">
      <alignment horizontal="center"/>
    </xf>
    <xf numFmtId="3" fontId="22" fillId="0" borderId="60" xfId="0" applyNumberFormat="1" applyFont="1" applyBorder="1" applyAlignment="1">
      <alignment horizontal="center"/>
    </xf>
    <xf numFmtId="3" fontId="22" fillId="0" borderId="61" xfId="0" applyNumberFormat="1" applyFont="1" applyBorder="1" applyAlignment="1">
      <alignment horizontal="center"/>
    </xf>
    <xf numFmtId="3" fontId="22" fillId="0" borderId="62" xfId="0" applyNumberFormat="1" applyFont="1" applyBorder="1" applyAlignment="1">
      <alignment horizontal="center"/>
    </xf>
    <xf numFmtId="0" fontId="22" fillId="0" borderId="68" xfId="0" applyFont="1" applyBorder="1" applyAlignment="1">
      <alignment horizontal="right"/>
    </xf>
    <xf numFmtId="0" fontId="22" fillId="0" borderId="45" xfId="0" applyFont="1" applyBorder="1" applyAlignment="1">
      <alignment horizontal="right"/>
    </xf>
    <xf numFmtId="0" fontId="22" fillId="0" borderId="69" xfId="0" applyFont="1" applyBorder="1" applyAlignment="1">
      <alignment horizontal="right"/>
    </xf>
    <xf numFmtId="0" fontId="0" fillId="40" borderId="13" xfId="0" applyFill="1" applyBorder="1"/>
    <xf numFmtId="0" fontId="22" fillId="0" borderId="70" xfId="0" applyFont="1" applyBorder="1" applyAlignment="1">
      <alignment horizontal="right"/>
    </xf>
    <xf numFmtId="0" fontId="22" fillId="0" borderId="48" xfId="0" applyFont="1" applyBorder="1" applyAlignment="1">
      <alignment horizontal="right"/>
    </xf>
    <xf numFmtId="0" fontId="22" fillId="0" borderId="71" xfId="0" applyFont="1" applyBorder="1" applyAlignment="1">
      <alignment horizontal="right"/>
    </xf>
    <xf numFmtId="3" fontId="16" fillId="40" borderId="72" xfId="0" applyNumberFormat="1" applyFont="1" applyFill="1" applyBorder="1" applyAlignment="1">
      <alignment horizontal="center"/>
    </xf>
    <xf numFmtId="3" fontId="22" fillId="0" borderId="77" xfId="0" applyNumberFormat="1" applyFont="1" applyBorder="1" applyAlignment="1">
      <alignment horizontal="center"/>
    </xf>
    <xf numFmtId="3" fontId="22" fillId="0" borderId="78" xfId="0" applyNumberFormat="1" applyFont="1" applyBorder="1" applyAlignment="1">
      <alignment horizontal="center"/>
    </xf>
    <xf numFmtId="3" fontId="0" fillId="0" borderId="39" xfId="0" applyNumberFormat="1" applyBorder="1" applyAlignment="1">
      <alignment horizontal="center"/>
    </xf>
    <xf numFmtId="3" fontId="0" fillId="0" borderId="81" xfId="0" applyNumberFormat="1" applyBorder="1" applyAlignment="1">
      <alignment horizontal="center"/>
    </xf>
    <xf numFmtId="0" fontId="0" fillId="0" borderId="13" xfId="0" applyBorder="1"/>
    <xf numFmtId="0" fontId="0" fillId="0" borderId="17" xfId="0" applyBorder="1"/>
    <xf numFmtId="0" fontId="0" fillId="0" borderId="79" xfId="0" applyBorder="1"/>
    <xf numFmtId="0" fontId="16" fillId="41" borderId="84" xfId="0" applyFont="1" applyFill="1" applyBorder="1" applyAlignment="1">
      <alignment horizontal="center"/>
    </xf>
    <xf numFmtId="3" fontId="22" fillId="0" borderId="85" xfId="0" applyNumberFormat="1" applyFont="1" applyBorder="1" applyAlignment="1">
      <alignment horizontal="center"/>
    </xf>
    <xf numFmtId="3" fontId="22" fillId="0" borderId="86" xfId="0" applyNumberFormat="1" applyFont="1" applyBorder="1" applyAlignment="1">
      <alignment horizontal="center"/>
    </xf>
    <xf numFmtId="3" fontId="22" fillId="0" borderId="87" xfId="0" applyNumberFormat="1" applyFont="1" applyBorder="1" applyAlignment="1">
      <alignment horizontal="center"/>
    </xf>
    <xf numFmtId="3" fontId="16" fillId="40" borderId="88" xfId="0" applyNumberFormat="1" applyFont="1" applyFill="1" applyBorder="1" applyAlignment="1">
      <alignment horizontal="center"/>
    </xf>
    <xf numFmtId="3" fontId="22" fillId="0" borderId="70" xfId="0" applyNumberFormat="1" applyFont="1" applyBorder="1" applyAlignment="1">
      <alignment horizontal="center"/>
    </xf>
    <xf numFmtId="3" fontId="22" fillId="0" borderId="48" xfId="0" applyNumberFormat="1" applyFont="1" applyBorder="1" applyAlignment="1">
      <alignment horizontal="center"/>
    </xf>
    <xf numFmtId="3" fontId="22" fillId="0" borderId="71" xfId="0" applyNumberFormat="1" applyFont="1" applyBorder="1" applyAlignment="1">
      <alignment horizontal="center"/>
    </xf>
    <xf numFmtId="3" fontId="16" fillId="40" borderId="32" xfId="0" applyNumberFormat="1" applyFont="1" applyFill="1" applyBorder="1" applyAlignment="1">
      <alignment horizontal="center"/>
    </xf>
    <xf numFmtId="3" fontId="0" fillId="0" borderId="84" xfId="0" applyNumberFormat="1" applyBorder="1" applyAlignment="1">
      <alignment horizontal="center"/>
    </xf>
    <xf numFmtId="3" fontId="0" fillId="0" borderId="89" xfId="0" applyNumberFormat="1" applyBorder="1" applyAlignment="1">
      <alignment horizontal="center"/>
    </xf>
    <xf numFmtId="3" fontId="0" fillId="0" borderId="90" xfId="0" applyNumberFormat="1" applyBorder="1" applyAlignment="1">
      <alignment horizontal="center"/>
    </xf>
    <xf numFmtId="3" fontId="16" fillId="40" borderId="85" xfId="0" applyNumberFormat="1" applyFont="1" applyFill="1" applyBorder="1" applyAlignment="1">
      <alignment horizontal="center"/>
    </xf>
    <xf numFmtId="3" fontId="16" fillId="40" borderId="42" xfId="0" applyNumberFormat="1" applyFont="1" applyFill="1" applyBorder="1" applyAlignment="1">
      <alignment horizontal="center"/>
    </xf>
    <xf numFmtId="0" fontId="26" fillId="44" borderId="0" xfId="42" applyFont="1" applyFill="1" applyAlignment="1">
      <alignment horizontal="left" indent="5"/>
    </xf>
    <xf numFmtId="0" fontId="27" fillId="44" borderId="0" xfId="42" applyFont="1" applyFill="1"/>
    <xf numFmtId="0" fontId="28" fillId="44" borderId="0" xfId="43" applyFont="1" applyFill="1" applyAlignment="1">
      <alignment horizontal="left" vertical="center" wrapText="1" indent="3"/>
    </xf>
    <xf numFmtId="0" fontId="27" fillId="44" borderId="0" xfId="42" applyFont="1" applyFill="1" applyAlignment="1">
      <alignment horizontal="left" vertical="center" indent="3"/>
    </xf>
    <xf numFmtId="0" fontId="28" fillId="44" borderId="0" xfId="42" applyFont="1" applyFill="1" applyAlignment="1">
      <alignment horizontal="left" indent="5"/>
    </xf>
    <xf numFmtId="0" fontId="29" fillId="44" borderId="0" xfId="42" applyFont="1" applyFill="1" applyAlignment="1">
      <alignment horizontal="left" indent="5"/>
    </xf>
    <xf numFmtId="0" fontId="30" fillId="44" borderId="0" xfId="42" applyFont="1" applyFill="1" applyAlignment="1">
      <alignment horizontal="left" vertical="top" wrapText="1" indent="5"/>
    </xf>
    <xf numFmtId="0" fontId="28" fillId="44" borderId="0" xfId="43" applyFont="1" applyFill="1" applyAlignment="1">
      <alignment horizontal="left" indent="5"/>
    </xf>
    <xf numFmtId="0" fontId="29" fillId="44" borderId="0" xfId="43" applyFont="1" applyFill="1" applyAlignment="1">
      <alignment horizontal="left" indent="5"/>
    </xf>
    <xf numFmtId="0" fontId="30" fillId="44" borderId="0" xfId="43" applyFont="1" applyFill="1" applyAlignment="1">
      <alignment horizontal="left" vertical="top" wrapText="1" indent="5"/>
    </xf>
    <xf numFmtId="0" fontId="30" fillId="44" borderId="0" xfId="42" applyFont="1" applyFill="1"/>
    <xf numFmtId="0" fontId="30" fillId="0" borderId="0" xfId="43" applyFont="1" applyAlignment="1">
      <alignment horizontal="left" wrapText="1" indent="5"/>
    </xf>
    <xf numFmtId="0" fontId="26" fillId="44" borderId="0" xfId="43" applyFont="1" applyFill="1" applyAlignment="1">
      <alignment horizontal="left" wrapText="1" indent="5"/>
    </xf>
    <xf numFmtId="0" fontId="30" fillId="44" borderId="0" xfId="0" applyFont="1" applyFill="1" applyAlignment="1">
      <alignment horizontal="left" vertical="top" wrapText="1" indent="5"/>
    </xf>
    <xf numFmtId="0" fontId="28" fillId="44" borderId="0" xfId="43" applyFont="1" applyFill="1" applyAlignment="1">
      <alignment horizontal="left" wrapText="1" indent="5"/>
    </xf>
    <xf numFmtId="0" fontId="29" fillId="44" borderId="0" xfId="43" applyFont="1" applyFill="1" applyAlignment="1">
      <alignment horizontal="left" wrapText="1" indent="5"/>
    </xf>
    <xf numFmtId="0" fontId="30" fillId="0" borderId="0" xfId="42" applyFont="1" applyAlignment="1">
      <alignment horizontal="left" wrapText="1" indent="5"/>
    </xf>
    <xf numFmtId="0" fontId="30" fillId="44" borderId="0" xfId="43" applyFont="1" applyFill="1" applyAlignment="1">
      <alignment horizontal="left" wrapText="1" indent="5"/>
    </xf>
    <xf numFmtId="3" fontId="16" fillId="40" borderId="21" xfId="0" applyNumberFormat="1" applyFont="1" applyFill="1" applyBorder="1" applyAlignment="1">
      <alignment horizontal="center"/>
    </xf>
    <xf numFmtId="3" fontId="22" fillId="43" borderId="13" xfId="0" applyNumberFormat="1" applyFont="1" applyFill="1" applyBorder="1" applyAlignment="1">
      <alignment horizontal="center"/>
    </xf>
    <xf numFmtId="3" fontId="22" fillId="43" borderId="45" xfId="0" applyNumberFormat="1" applyFont="1" applyFill="1" applyBorder="1" applyAlignment="1">
      <alignment horizontal="center"/>
    </xf>
    <xf numFmtId="3" fontId="22" fillId="43" borderId="15" xfId="0" applyNumberFormat="1" applyFont="1" applyFill="1" applyBorder="1" applyAlignment="1">
      <alignment horizontal="center"/>
    </xf>
    <xf numFmtId="3" fontId="22" fillId="43" borderId="51" xfId="0" applyNumberFormat="1" applyFont="1" applyFill="1" applyBorder="1" applyAlignment="1">
      <alignment horizontal="center"/>
    </xf>
    <xf numFmtId="3" fontId="22" fillId="43" borderId="65" xfId="0" applyNumberFormat="1" applyFont="1" applyFill="1" applyBorder="1" applyAlignment="1">
      <alignment horizontal="center"/>
    </xf>
    <xf numFmtId="3" fontId="22" fillId="43" borderId="52" xfId="0" applyNumberFormat="1" applyFont="1" applyFill="1" applyBorder="1" applyAlignment="1">
      <alignment horizontal="center"/>
    </xf>
    <xf numFmtId="3" fontId="22" fillId="43" borderId="66" xfId="0" applyNumberFormat="1" applyFont="1" applyFill="1" applyBorder="1" applyAlignment="1">
      <alignment horizontal="center"/>
    </xf>
    <xf numFmtId="3" fontId="22" fillId="43" borderId="53" xfId="0" applyNumberFormat="1" applyFont="1" applyFill="1" applyBorder="1" applyAlignment="1">
      <alignment horizontal="center"/>
    </xf>
    <xf numFmtId="3" fontId="22" fillId="43" borderId="67" xfId="0" applyNumberFormat="1" applyFont="1" applyFill="1" applyBorder="1" applyAlignment="1">
      <alignment horizontal="center"/>
    </xf>
    <xf numFmtId="3" fontId="16" fillId="40" borderId="13" xfId="0" applyNumberFormat="1" applyFont="1" applyFill="1" applyBorder="1" applyAlignment="1">
      <alignment horizontal="center"/>
    </xf>
    <xf numFmtId="3" fontId="22" fillId="43" borderId="54" xfId="0" applyNumberFormat="1" applyFont="1" applyFill="1" applyBorder="1" applyAlignment="1">
      <alignment horizontal="center"/>
    </xf>
    <xf numFmtId="3" fontId="22" fillId="43" borderId="57" xfId="0" applyNumberFormat="1" applyFont="1" applyFill="1" applyBorder="1" applyAlignment="1">
      <alignment horizontal="center"/>
    </xf>
    <xf numFmtId="3" fontId="0" fillId="43" borderId="13" xfId="0" applyNumberFormat="1" applyFill="1" applyBorder="1" applyAlignment="1">
      <alignment horizontal="center"/>
    </xf>
    <xf numFmtId="3" fontId="0" fillId="43" borderId="17" xfId="0" applyNumberFormat="1" applyFill="1" applyBorder="1" applyAlignment="1">
      <alignment horizontal="center"/>
    </xf>
    <xf numFmtId="3" fontId="0" fillId="43" borderId="80" xfId="0" applyNumberFormat="1" applyFill="1" applyBorder="1" applyAlignment="1">
      <alignment horizontal="center"/>
    </xf>
    <xf numFmtId="3" fontId="16" fillId="40" borderId="29" xfId="0" applyNumberFormat="1" applyFont="1" applyFill="1" applyBorder="1" applyAlignment="1">
      <alignment horizontal="center"/>
    </xf>
    <xf numFmtId="3" fontId="22" fillId="37" borderId="29" xfId="0" applyNumberFormat="1" applyFont="1" applyFill="1" applyBorder="1" applyAlignment="1">
      <alignment horizontal="center"/>
    </xf>
    <xf numFmtId="3" fontId="22" fillId="37" borderId="48" xfId="0" applyNumberFormat="1" applyFont="1" applyFill="1" applyBorder="1" applyAlignment="1">
      <alignment horizontal="center"/>
    </xf>
    <xf numFmtId="3" fontId="22" fillId="37" borderId="34" xfId="0" applyNumberFormat="1" applyFont="1" applyFill="1" applyBorder="1" applyAlignment="1">
      <alignment horizontal="center"/>
    </xf>
    <xf numFmtId="3" fontId="22" fillId="43" borderId="70" xfId="0" applyNumberFormat="1" applyFont="1" applyFill="1" applyBorder="1" applyAlignment="1">
      <alignment horizontal="center"/>
    </xf>
    <xf numFmtId="3" fontId="22" fillId="43" borderId="48" xfId="0" applyNumberFormat="1" applyFont="1" applyFill="1" applyBorder="1" applyAlignment="1">
      <alignment horizontal="center"/>
    </xf>
    <xf numFmtId="3" fontId="22" fillId="43" borderId="71" xfId="0" applyNumberFormat="1" applyFont="1" applyFill="1" applyBorder="1" applyAlignment="1">
      <alignment horizontal="center"/>
    </xf>
    <xf numFmtId="3" fontId="16" fillId="40" borderId="20" xfId="0" applyNumberFormat="1" applyFont="1" applyFill="1" applyBorder="1" applyAlignment="1">
      <alignment horizontal="center"/>
    </xf>
    <xf numFmtId="165" fontId="33" fillId="40" borderId="12" xfId="0" applyNumberFormat="1" applyFont="1" applyFill="1" applyBorder="1" applyAlignment="1">
      <alignment horizontal="center"/>
    </xf>
    <xf numFmtId="165" fontId="34" fillId="0" borderId="18" xfId="0" applyNumberFormat="1" applyFont="1" applyBorder="1" applyAlignment="1">
      <alignment horizontal="center"/>
    </xf>
    <xf numFmtId="165" fontId="34" fillId="0" borderId="47" xfId="0" applyNumberFormat="1" applyFont="1" applyBorder="1" applyAlignment="1">
      <alignment horizontal="center"/>
    </xf>
    <xf numFmtId="165" fontId="34" fillId="0" borderId="19" xfId="0" applyNumberFormat="1" applyFont="1" applyBorder="1" applyAlignment="1">
      <alignment horizontal="center"/>
    </xf>
    <xf numFmtId="165" fontId="18" fillId="0" borderId="0" xfId="0" applyNumberFormat="1" applyFont="1"/>
    <xf numFmtId="165" fontId="34" fillId="0" borderId="63" xfId="0" applyNumberFormat="1" applyFont="1" applyBorder="1" applyAlignment="1">
      <alignment horizontal="center"/>
    </xf>
    <xf numFmtId="165" fontId="34" fillId="0" borderId="64" xfId="0" applyNumberFormat="1" applyFont="1" applyBorder="1" applyAlignment="1">
      <alignment horizontal="center"/>
    </xf>
    <xf numFmtId="165" fontId="33" fillId="40" borderId="18" xfId="0" applyNumberFormat="1" applyFont="1" applyFill="1" applyBorder="1" applyAlignment="1">
      <alignment horizontal="center"/>
    </xf>
    <xf numFmtId="165" fontId="34" fillId="0" borderId="56" xfId="0" applyNumberFormat="1" applyFont="1" applyBorder="1" applyAlignment="1">
      <alignment horizontal="center"/>
    </xf>
    <xf numFmtId="165" fontId="34" fillId="0" borderId="50" xfId="0" applyNumberFormat="1" applyFont="1" applyBorder="1" applyAlignment="1">
      <alignment horizontal="center"/>
    </xf>
    <xf numFmtId="165" fontId="34" fillId="0" borderId="59" xfId="0" applyNumberFormat="1" applyFont="1" applyBorder="1" applyAlignment="1">
      <alignment horizontal="center"/>
    </xf>
    <xf numFmtId="165" fontId="33" fillId="0" borderId="18" xfId="0" applyNumberFormat="1" applyFont="1" applyBorder="1" applyAlignment="1">
      <alignment horizontal="center"/>
    </xf>
    <xf numFmtId="165" fontId="33" fillId="0" borderId="26" xfId="0" applyNumberFormat="1" applyFont="1" applyBorder="1" applyAlignment="1">
      <alignment horizontal="center"/>
    </xf>
    <xf numFmtId="165" fontId="33" fillId="0" borderId="82" xfId="0" applyNumberFormat="1" applyFont="1" applyBorder="1" applyAlignment="1">
      <alignment horizontal="center"/>
    </xf>
    <xf numFmtId="165" fontId="33" fillId="40" borderId="31" xfId="0" applyNumberFormat="1" applyFont="1" applyFill="1" applyBorder="1" applyAlignment="1">
      <alignment horizontal="center"/>
    </xf>
    <xf numFmtId="165" fontId="34" fillId="0" borderId="43" xfId="0" applyNumberFormat="1" applyFont="1" applyBorder="1" applyAlignment="1">
      <alignment horizontal="center"/>
    </xf>
    <xf numFmtId="165" fontId="34" fillId="0" borderId="36" xfId="0" applyNumberFormat="1" applyFont="1" applyBorder="1" applyAlignment="1">
      <alignment horizontal="center"/>
    </xf>
    <xf numFmtId="165" fontId="33" fillId="40" borderId="14" xfId="0" applyNumberFormat="1" applyFont="1" applyFill="1" applyBorder="1" applyAlignment="1">
      <alignment horizontal="center"/>
    </xf>
    <xf numFmtId="165" fontId="34" fillId="0" borderId="73" xfId="0" applyNumberFormat="1" applyFont="1" applyBorder="1" applyAlignment="1">
      <alignment horizontal="center"/>
    </xf>
    <xf numFmtId="165" fontId="34" fillId="0" borderId="74" xfId="0" applyNumberFormat="1" applyFont="1" applyBorder="1" applyAlignment="1">
      <alignment horizontal="center"/>
    </xf>
    <xf numFmtId="165" fontId="34" fillId="0" borderId="75" xfId="0" applyNumberFormat="1" applyFont="1" applyBorder="1" applyAlignment="1">
      <alignment horizontal="center"/>
    </xf>
    <xf numFmtId="165" fontId="33" fillId="40" borderId="76" xfId="0" applyNumberFormat="1" applyFont="1" applyFill="1" applyBorder="1" applyAlignment="1">
      <alignment horizontal="center"/>
    </xf>
    <xf numFmtId="0" fontId="16" fillId="0" borderId="0" xfId="0" applyFont="1"/>
    <xf numFmtId="0" fontId="16" fillId="37" borderId="40" xfId="0" applyFont="1" applyFill="1" applyBorder="1" applyAlignment="1">
      <alignment horizontal="center" wrapText="1"/>
    </xf>
    <xf numFmtId="0" fontId="16" fillId="37" borderId="41" xfId="0" applyFont="1" applyFill="1" applyBorder="1" applyAlignment="1">
      <alignment horizontal="center" wrapText="1"/>
    </xf>
    <xf numFmtId="0" fontId="20" fillId="39" borderId="18" xfId="0" applyFont="1" applyFill="1" applyBorder="1" applyAlignment="1" applyProtection="1">
      <alignment horizontal="center" vertical="center" wrapText="1"/>
      <protection locked="0"/>
    </xf>
    <xf numFmtId="0" fontId="0" fillId="0" borderId="19" xfId="0" applyBorder="1" applyAlignment="1" applyProtection="1">
      <alignment vertical="center" wrapText="1"/>
      <protection locked="0"/>
    </xf>
    <xf numFmtId="0" fontId="0" fillId="43" borderId="18" xfId="0" applyFill="1" applyBorder="1" applyAlignment="1">
      <alignment wrapText="1"/>
    </xf>
    <xf numFmtId="0" fontId="0" fillId="43" borderId="19" xfId="0" applyFill="1" applyBorder="1" applyAlignment="1">
      <alignment wrapText="1"/>
    </xf>
    <xf numFmtId="0" fontId="0" fillId="43" borderId="29" xfId="0" applyFill="1" applyBorder="1" applyAlignment="1">
      <alignment vertical="center" wrapText="1"/>
    </xf>
    <xf numFmtId="0" fontId="0" fillId="43" borderId="30" xfId="0" applyFill="1" applyBorder="1" applyAlignment="1">
      <alignment vertical="center" wrapText="1"/>
    </xf>
    <xf numFmtId="0" fontId="0" fillId="43" borderId="31" xfId="0" applyFill="1" applyBorder="1" applyAlignment="1">
      <alignment vertical="center" wrapText="1"/>
    </xf>
    <xf numFmtId="0" fontId="0" fillId="43" borderId="32" xfId="0" applyFill="1" applyBorder="1" applyAlignment="1">
      <alignment vertical="center" wrapText="1"/>
    </xf>
    <xf numFmtId="0" fontId="0" fillId="43" borderId="0" xfId="0" applyFill="1" applyAlignment="1">
      <alignment vertical="center" wrapText="1"/>
    </xf>
    <xf numFmtId="0" fontId="0" fillId="43" borderId="33" xfId="0" applyFill="1" applyBorder="1" applyAlignment="1">
      <alignment vertical="center" wrapText="1"/>
    </xf>
    <xf numFmtId="0" fontId="0" fillId="43" borderId="34" xfId="0" applyFill="1" applyBorder="1" applyAlignment="1">
      <alignment vertical="center" wrapText="1"/>
    </xf>
    <xf numFmtId="0" fontId="0" fillId="43" borderId="35" xfId="0" applyFill="1" applyBorder="1" applyAlignment="1">
      <alignment vertical="center" wrapText="1"/>
    </xf>
    <xf numFmtId="0" fontId="0" fillId="43" borderId="36" xfId="0" applyFill="1" applyBorder="1" applyAlignment="1">
      <alignment vertical="center" wrapText="1"/>
    </xf>
    <xf numFmtId="0" fontId="16" fillId="41" borderId="37" xfId="0" applyFont="1" applyFill="1" applyBorder="1" applyAlignment="1">
      <alignment horizontal="center"/>
    </xf>
    <xf numFmtId="0" fontId="16" fillId="41" borderId="38" xfId="0" applyFont="1" applyFill="1" applyBorder="1" applyAlignment="1">
      <alignment horizontal="center"/>
    </xf>
    <xf numFmtId="0" fontId="16" fillId="42" borderId="37" xfId="0" applyFont="1" applyFill="1" applyBorder="1" applyAlignment="1">
      <alignment horizontal="center"/>
    </xf>
    <xf numFmtId="0" fontId="16" fillId="42" borderId="39" xfId="0" applyFont="1" applyFill="1" applyBorder="1" applyAlignment="1">
      <alignment horizontal="center"/>
    </xf>
    <xf numFmtId="0" fontId="16" fillId="37" borderId="24" xfId="0" applyFont="1" applyFill="1" applyBorder="1" applyAlignment="1">
      <alignment horizontal="center" wrapText="1"/>
    </xf>
    <xf numFmtId="0" fontId="16" fillId="37" borderId="25" xfId="0" applyFont="1" applyFill="1" applyBorder="1" applyAlignment="1">
      <alignment horizontal="center" wrapText="1"/>
    </xf>
    <xf numFmtId="0" fontId="16" fillId="40" borderId="13" xfId="0" applyFont="1" applyFill="1" applyBorder="1" applyAlignment="1">
      <alignment horizontal="center" wrapText="1"/>
    </xf>
    <xf numFmtId="0" fontId="0" fillId="0" borderId="83" xfId="0" applyBorder="1" applyAlignment="1">
      <alignment wrapText="1"/>
    </xf>
    <xf numFmtId="0" fontId="0" fillId="45" borderId="0" xfId="0" applyFill="1"/>
    <xf numFmtId="3" fontId="18" fillId="45" borderId="0" xfId="0" applyNumberFormat="1" applyFont="1" applyFill="1"/>
    <xf numFmtId="0" fontId="23" fillId="45"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3" xfId="43" xr:uid="{AEEF69F4-0918-4C40-8AED-41714F090DEC}"/>
    <cellStyle name="Normal_Topline_Tables_2008_Final" xfId="42" xr:uid="{5A6AAAB1-A9C9-4211-8005-CC8FEC33681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font>
        <color rgb="FF9C0006"/>
      </font>
      <fill>
        <patternFill>
          <bgColor rgb="FFFFC7CE"/>
        </patternFill>
      </fill>
    </dxf>
    <dxf>
      <font>
        <color rgb="FF9C0006"/>
      </font>
      <fill>
        <patternFill>
          <bgColor rgb="FFFFC7CE"/>
        </patternFill>
      </fill>
    </dxf>
    <dxf>
      <font>
        <color rgb="FF000000"/>
      </font>
      <fill>
        <patternFill patternType="solid">
          <fgColor indexed="64"/>
          <bgColor rgb="FF63BE7B"/>
        </patternFill>
      </fill>
    </dxf>
    <dxf>
      <font>
        <color rgb="FF000000"/>
      </font>
      <fill>
        <patternFill patternType="solid">
          <fgColor indexed="64"/>
          <bgColor rgb="FFFFEB84"/>
        </patternFill>
      </fill>
    </dxf>
    <dxf>
      <font>
        <color rgb="FF000000"/>
      </font>
      <fill>
        <patternFill patternType="solid">
          <fgColor indexed="64"/>
          <bgColor rgb="FFF8696B"/>
        </patternFill>
      </fill>
    </dxf>
    <dxf>
      <font>
        <color rgb="FF000000"/>
      </font>
      <fill>
        <patternFill patternType="solid">
          <fgColor indexed="64"/>
          <bgColor rgb="FF63BE7B"/>
        </patternFill>
      </fill>
    </dxf>
    <dxf>
      <font>
        <color rgb="FF000000"/>
      </font>
      <fill>
        <patternFill patternType="solid">
          <fgColor indexed="64"/>
          <bgColor rgb="FFFFEB84"/>
        </patternFill>
      </fill>
    </dxf>
    <dxf>
      <font>
        <color rgb="FF000000"/>
      </font>
      <fill>
        <patternFill patternType="solid">
          <fgColor indexed="64"/>
          <bgColor rgb="FFF8696B"/>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9C0006"/>
      </font>
      <fill>
        <patternFill>
          <bgColor rgb="FFFFC7CE"/>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E2F0D9"/>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000000"/>
      </font>
      <fill>
        <patternFill patternType="solid">
          <fgColor indexed="64"/>
          <bgColor rgb="FFDDEBF7"/>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6772275</xdr:colOff>
      <xdr:row>0</xdr:row>
      <xdr:rowOff>103331</xdr:rowOff>
    </xdr:from>
    <xdr:to>
      <xdr:col>0</xdr:col>
      <xdr:colOff>6775450</xdr:colOff>
      <xdr:row>3</xdr:row>
      <xdr:rowOff>16187</xdr:rowOff>
    </xdr:to>
    <xdr:pic>
      <xdr:nvPicPr>
        <xdr:cNvPr id="3" name="Picture 2" descr="Untitled.jpg">
          <a:extLst>
            <a:ext uri="{FF2B5EF4-FFF2-40B4-BE49-F238E27FC236}">
              <a16:creationId xmlns:a16="http://schemas.microsoft.com/office/drawing/2014/main" id="{C16AE8F1-7D8E-454F-A672-E2B27779A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2275" y="103331"/>
          <a:ext cx="993489" cy="890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6762750</xdr:colOff>
      <xdr:row>0</xdr:row>
      <xdr:rowOff>133350</xdr:rowOff>
    </xdr:from>
    <xdr:to>
      <xdr:col>0</xdr:col>
      <xdr:colOff>7756239</xdr:colOff>
      <xdr:row>3</xdr:row>
      <xdr:rowOff>71606</xdr:rowOff>
    </xdr:to>
    <xdr:pic>
      <xdr:nvPicPr>
        <xdr:cNvPr id="4" name="Picture 3" descr="Untitled.jpg">
          <a:extLst>
            <a:ext uri="{FF2B5EF4-FFF2-40B4-BE49-F238E27FC236}">
              <a16:creationId xmlns:a16="http://schemas.microsoft.com/office/drawing/2014/main" id="{A8FAED76-F81C-40A2-9042-2F6E7880E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0" y="133350"/>
          <a:ext cx="993489" cy="890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FBF43-BEC5-4028-B66B-F5B5983CF63B}" name="SummarySource" displayName="SummarySource" ref="A1:F9547" totalsRowShown="0">
  <autoFilter ref="A1:F9547" xr:uid="{D6EFBF43-BEC5-4028-B66B-F5B5983CF63B}"/>
  <tableColumns count="6">
    <tableColumn id="1" xr3:uid="{633A738F-AC1A-45B0-B1A2-F7714F659012}" name="Year"/>
    <tableColumn id="2" xr3:uid="{B772D5CE-E885-4485-8D59-5DE7DFC984E8}" name="Area"/>
    <tableColumn id="3" xr3:uid="{520EE11C-6A98-40D4-B98E-7B38DCEDB4F7}" name="Library Service"/>
    <tableColumn id="4" xr3:uid="{218AA481-42BB-42AF-A0D2-E9B52238EF2A}" name="Metric"/>
    <tableColumn id="5" xr3:uid="{7F1F4A0B-E5AF-4222-BEFB-DBAA2153B8B4}" name="Value"/>
    <tableColumn id="6" xr3:uid="{E24BB0E0-0407-4ECE-8D63-68A1AA709710}" name="Matched Both Yea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23BC-49AF-482A-B659-33776245B643}">
  <dimension ref="A1:C59"/>
  <sheetViews>
    <sheetView tabSelected="1" workbookViewId="0">
      <selection sqref="A1:XFD1048576"/>
    </sheetView>
  </sheetViews>
  <sheetFormatPr defaultColWidth="0" defaultRowHeight="14" zeroHeight="1" x14ac:dyDescent="0.3"/>
  <cols>
    <col min="1" max="1" width="97.69140625" style="90" customWidth="1"/>
    <col min="2" max="3" width="0" style="91" hidden="1" customWidth="1"/>
    <col min="4" max="16384" width="7.765625" style="91" hidden="1"/>
  </cols>
  <sheetData>
    <row r="1" spans="1:1" x14ac:dyDescent="0.3"/>
    <row r="2" spans="1:1" s="93" customFormat="1" ht="47.25" customHeight="1" x14ac:dyDescent="0.35">
      <c r="A2" s="92" t="s">
        <v>2944</v>
      </c>
    </row>
    <row r="3" spans="1:1" x14ac:dyDescent="0.3">
      <c r="A3" s="94" t="s">
        <v>2945</v>
      </c>
    </row>
    <row r="4" spans="1:1" x14ac:dyDescent="0.3">
      <c r="A4" s="95"/>
    </row>
    <row r="5" spans="1:1" ht="280.5" customHeight="1" x14ac:dyDescent="0.3">
      <c r="A5" s="96" t="s">
        <v>2949</v>
      </c>
    </row>
    <row r="6" spans="1:1" x14ac:dyDescent="0.3">
      <c r="A6" s="97" t="s">
        <v>2938</v>
      </c>
    </row>
    <row r="7" spans="1:1" x14ac:dyDescent="0.3">
      <c r="A7" s="98"/>
    </row>
    <row r="8" spans="1:1" s="100" customFormat="1" ht="62.25" customHeight="1" x14ac:dyDescent="0.3">
      <c r="A8" s="99" t="s">
        <v>2946</v>
      </c>
    </row>
    <row r="9" spans="1:1" ht="28.5" x14ac:dyDescent="0.35">
      <c r="A9" s="101" t="s">
        <v>2947</v>
      </c>
    </row>
    <row r="10" spans="1:1" x14ac:dyDescent="0.3">
      <c r="A10" s="102"/>
    </row>
    <row r="11" spans="1:1" x14ac:dyDescent="0.3">
      <c r="A11" s="94" t="s">
        <v>2939</v>
      </c>
    </row>
    <row r="12" spans="1:1" x14ac:dyDescent="0.3">
      <c r="A12" s="95"/>
    </row>
    <row r="13" spans="1:1" ht="210" x14ac:dyDescent="0.3">
      <c r="A13" s="103" t="s">
        <v>2951</v>
      </c>
    </row>
    <row r="14" spans="1:1" x14ac:dyDescent="0.3">
      <c r="A14" s="104" t="s">
        <v>2940</v>
      </c>
    </row>
    <row r="15" spans="1:1" ht="42" x14ac:dyDescent="0.3">
      <c r="A15" s="107" t="s">
        <v>2948</v>
      </c>
    </row>
    <row r="16" spans="1:1" x14ac:dyDescent="0.3"/>
    <row r="17" spans="1:1" x14ac:dyDescent="0.3">
      <c r="A17" s="104" t="s">
        <v>2941</v>
      </c>
    </row>
    <row r="18" spans="1:1" x14ac:dyDescent="0.3">
      <c r="A18" s="105"/>
    </row>
    <row r="19" spans="1:1" x14ac:dyDescent="0.3">
      <c r="A19" s="106" t="s">
        <v>2942</v>
      </c>
    </row>
    <row r="20" spans="1:1" x14ac:dyDescent="0.3"/>
    <row r="21" spans="1:1" x14ac:dyDescent="0.3">
      <c r="A21" s="97" t="s">
        <v>2943</v>
      </c>
    </row>
    <row r="22" spans="1:1" x14ac:dyDescent="0.3">
      <c r="A22" s="91"/>
    </row>
    <row r="23" spans="1:1" ht="30.5" customHeight="1" x14ac:dyDescent="0.3">
      <c r="A23" s="96" t="s">
        <v>2950</v>
      </c>
    </row>
    <row r="24" spans="1:1" x14ac:dyDescent="0.3"/>
    <row r="25" spans="1:1" ht="14.25" hidden="1" customHeight="1" x14ac:dyDescent="0.3"/>
    <row r="26" spans="1:1" ht="14.25" hidden="1" customHeight="1" x14ac:dyDescent="0.3"/>
    <row r="27" spans="1:1" ht="14.25" hidden="1" customHeight="1" x14ac:dyDescent="0.3"/>
    <row r="28" spans="1:1" ht="14.25" hidden="1" customHeight="1" x14ac:dyDescent="0.3"/>
    <row r="29" spans="1:1" ht="14.25" hidden="1" customHeight="1" x14ac:dyDescent="0.3"/>
    <row r="30" spans="1:1" ht="14.25" hidden="1" customHeight="1" x14ac:dyDescent="0.3"/>
    <row r="31" spans="1:1" ht="14.25" hidden="1" customHeight="1" x14ac:dyDescent="0.3"/>
    <row r="32" spans="1:1" ht="14.25" hidden="1" customHeight="1" x14ac:dyDescent="0.3"/>
    <row r="33" ht="14.25" hidden="1" customHeight="1" x14ac:dyDescent="0.3"/>
    <row r="34" ht="14.25" hidden="1" customHeight="1" x14ac:dyDescent="0.3"/>
    <row r="35" ht="14.25" hidden="1" customHeight="1" x14ac:dyDescent="0.3"/>
    <row r="36" ht="14.25" hidden="1" customHeight="1" x14ac:dyDescent="0.3"/>
    <row r="37" ht="14.25" hidden="1" customHeight="1" x14ac:dyDescent="0.3"/>
    <row r="38" ht="14.25" hidden="1" customHeight="1" x14ac:dyDescent="0.3"/>
    <row r="39" ht="14.25" hidden="1" customHeight="1" x14ac:dyDescent="0.3"/>
    <row r="40" ht="14.25" hidden="1" customHeight="1" x14ac:dyDescent="0.3"/>
    <row r="41" ht="14.25" hidden="1" customHeight="1" x14ac:dyDescent="0.3"/>
    <row r="42" ht="14.25" hidden="1" customHeight="1" x14ac:dyDescent="0.3"/>
    <row r="43" ht="14.25" hidden="1" customHeight="1" x14ac:dyDescent="0.3"/>
    <row r="44" ht="14.25" hidden="1" customHeight="1" x14ac:dyDescent="0.3"/>
    <row r="45" ht="14.25" hidden="1" customHeight="1" x14ac:dyDescent="0.3"/>
    <row r="46" ht="14.25" hidden="1" customHeight="1" x14ac:dyDescent="0.3"/>
    <row r="47" ht="14.25" hidden="1" customHeight="1" x14ac:dyDescent="0.3"/>
    <row r="48" ht="14.25" hidden="1" customHeight="1" x14ac:dyDescent="0.3"/>
    <row r="49" ht="14.25" hidden="1" customHeight="1" x14ac:dyDescent="0.3"/>
    <row r="50" ht="14.25" hidden="1" customHeight="1" x14ac:dyDescent="0.3"/>
    <row r="51" ht="14.25" hidden="1" customHeight="1" x14ac:dyDescent="0.3"/>
    <row r="52" ht="14.25" hidden="1" customHeight="1" x14ac:dyDescent="0.3"/>
    <row r="53" ht="14.25" hidden="1" customHeight="1" x14ac:dyDescent="0.3"/>
    <row r="54" ht="14.25" hidden="1" customHeight="1" x14ac:dyDescent="0.3"/>
    <row r="55" ht="14.25" hidden="1" customHeight="1" x14ac:dyDescent="0.3"/>
    <row r="56" ht="14.25" hidden="1" customHeight="1" x14ac:dyDescent="0.3"/>
    <row r="57" ht="14.25" hidden="1" customHeight="1" x14ac:dyDescent="0.3"/>
    <row r="58" ht="14.25" hidden="1" customHeight="1" x14ac:dyDescent="0.3"/>
    <row r="59" ht="14.25" hidden="1" customHeight="1" x14ac:dyDescent="0.3"/>
  </sheetData>
  <sheetProtection algorithmName="SHA-512" hashValue="enUSTEkTLZb/BpRiMT7yWomfSdzH/S27Ckb6CYKrs30LlNOZ7ose+hqQ+RnKST3I3SmLx9jEoLF0O2RYpIBF+A==" saltValue="+okeupNG0wxNkJSrJzC/Yw==" spinCount="100000" sheet="1" objects="1" scenarios="1" select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5C28A-79F4-4AC0-8919-E13B489BF399}">
  <dimension ref="A1:UA117"/>
  <sheetViews>
    <sheetView workbookViewId="0">
      <pane xSplit="1" ySplit="3" topLeftCell="B88" activePane="bottomRight" state="frozen"/>
      <selection pane="topRight" activeCell="B1" sqref="B1"/>
      <selection pane="bottomLeft" activeCell="A4" sqref="A4"/>
      <selection pane="bottomRight" activeCell="F99" sqref="F99"/>
    </sheetView>
  </sheetViews>
  <sheetFormatPr defaultRowHeight="15.5" x14ac:dyDescent="0.35"/>
  <cols>
    <col min="137" max="138" width="19.23046875" customWidth="1"/>
    <col min="208" max="208" width="9.23046875" customWidth="1"/>
    <col min="243" max="244" width="19.23046875" customWidth="1"/>
  </cols>
  <sheetData>
    <row r="1" spans="1:547" ht="16" customHeight="1" x14ac:dyDescent="0.35">
      <c r="A1" t="s">
        <v>0</v>
      </c>
      <c r="B1" t="s">
        <v>1637</v>
      </c>
      <c r="C1" t="s">
        <v>1638</v>
      </c>
      <c r="D1" t="s">
        <v>1639</v>
      </c>
      <c r="E1" t="s">
        <v>1640</v>
      </c>
      <c r="F1" t="s">
        <v>1641</v>
      </c>
      <c r="G1" t="s">
        <v>1642</v>
      </c>
      <c r="H1" t="s">
        <v>1643</v>
      </c>
      <c r="I1" t="s">
        <v>1644</v>
      </c>
      <c r="J1" t="s">
        <v>1645</v>
      </c>
      <c r="K1" t="s">
        <v>1646</v>
      </c>
      <c r="L1" t="s">
        <v>1647</v>
      </c>
      <c r="M1" t="s">
        <v>1648</v>
      </c>
      <c r="N1" t="s">
        <v>1649</v>
      </c>
      <c r="O1" t="s">
        <v>1650</v>
      </c>
      <c r="Q1" t="s">
        <v>1651</v>
      </c>
      <c r="R1" t="s">
        <v>1652</v>
      </c>
      <c r="S1" s="7" t="s">
        <v>2836</v>
      </c>
      <c r="T1" t="s">
        <v>1653</v>
      </c>
      <c r="U1" t="s">
        <v>1654</v>
      </c>
      <c r="V1" t="s">
        <v>1655</v>
      </c>
      <c r="W1" t="s">
        <v>1656</v>
      </c>
      <c r="X1" t="s">
        <v>1657</v>
      </c>
      <c r="Y1" t="s">
        <v>1658</v>
      </c>
      <c r="Z1" t="s">
        <v>1659</v>
      </c>
      <c r="AA1" t="s">
        <v>1660</v>
      </c>
      <c r="AB1" t="s">
        <v>1661</v>
      </c>
      <c r="AC1" t="s">
        <v>1662</v>
      </c>
      <c r="AD1" t="s">
        <v>1663</v>
      </c>
      <c r="AE1" t="s">
        <v>1664</v>
      </c>
      <c r="AF1" s="7" t="s">
        <v>2834</v>
      </c>
      <c r="AG1" t="s">
        <v>1665</v>
      </c>
      <c r="AH1" t="s">
        <v>1666</v>
      </c>
      <c r="AI1" t="s">
        <v>1667</v>
      </c>
      <c r="AJ1" t="s">
        <v>1668</v>
      </c>
      <c r="AK1" t="s">
        <v>1669</v>
      </c>
      <c r="AL1" t="s">
        <v>1670</v>
      </c>
      <c r="AM1" t="s">
        <v>1671</v>
      </c>
      <c r="AN1" t="s">
        <v>1672</v>
      </c>
      <c r="AO1" t="s">
        <v>1673</v>
      </c>
      <c r="AP1" t="s">
        <v>1674</v>
      </c>
      <c r="AQ1" t="s">
        <v>1675</v>
      </c>
      <c r="AR1" t="s">
        <v>1676</v>
      </c>
      <c r="AS1" s="7" t="s">
        <v>2832</v>
      </c>
      <c r="AT1" t="s">
        <v>1677</v>
      </c>
      <c r="AU1" t="s">
        <v>1678</v>
      </c>
      <c r="AV1" t="s">
        <v>1679</v>
      </c>
      <c r="AW1" t="s">
        <v>1680</v>
      </c>
      <c r="AX1" t="s">
        <v>1681</v>
      </c>
      <c r="AY1" t="s">
        <v>1682</v>
      </c>
      <c r="AZ1" t="s">
        <v>1683</v>
      </c>
      <c r="BA1" t="s">
        <v>1684</v>
      </c>
      <c r="BB1" t="s">
        <v>1685</v>
      </c>
      <c r="BC1" t="s">
        <v>1686</v>
      </c>
      <c r="BD1" t="s">
        <v>1687</v>
      </c>
      <c r="BE1" t="s">
        <v>1688</v>
      </c>
      <c r="BF1" s="7" t="s">
        <v>2830</v>
      </c>
      <c r="BG1" t="s">
        <v>1689</v>
      </c>
      <c r="BH1" t="s">
        <v>1690</v>
      </c>
      <c r="BI1" t="s">
        <v>1691</v>
      </c>
      <c r="BJ1" t="s">
        <v>1692</v>
      </c>
      <c r="BK1" t="s">
        <v>1693</v>
      </c>
      <c r="BL1" t="s">
        <v>1694</v>
      </c>
      <c r="BM1" t="s">
        <v>1695</v>
      </c>
      <c r="BN1" t="s">
        <v>1696</v>
      </c>
      <c r="BO1" t="s">
        <v>1697</v>
      </c>
      <c r="BP1" t="s">
        <v>1698</v>
      </c>
      <c r="BQ1" t="s">
        <v>1699</v>
      </c>
      <c r="BR1" t="s">
        <v>1700</v>
      </c>
      <c r="BS1" s="7" t="s">
        <v>2828</v>
      </c>
      <c r="BT1" t="s">
        <v>1701</v>
      </c>
      <c r="BU1" t="s">
        <v>1702</v>
      </c>
      <c r="BV1" t="s">
        <v>1703</v>
      </c>
      <c r="BW1" t="s">
        <v>1704</v>
      </c>
      <c r="BX1" t="s">
        <v>1705</v>
      </c>
      <c r="BY1" t="s">
        <v>1706</v>
      </c>
      <c r="BZ1" t="s">
        <v>1707</v>
      </c>
      <c r="CA1" t="s">
        <v>1708</v>
      </c>
      <c r="CB1" t="s">
        <v>1709</v>
      </c>
      <c r="CC1" t="s">
        <v>1710</v>
      </c>
      <c r="CD1" t="s">
        <v>1711</v>
      </c>
      <c r="CE1" t="s">
        <v>1712</v>
      </c>
      <c r="CF1" s="7" t="s">
        <v>2826</v>
      </c>
      <c r="CG1" t="s">
        <v>1713</v>
      </c>
      <c r="CH1" t="s">
        <v>1714</v>
      </c>
      <c r="CI1" t="s">
        <v>1715</v>
      </c>
      <c r="CJ1" t="s">
        <v>1716</v>
      </c>
      <c r="CK1" t="s">
        <v>1717</v>
      </c>
      <c r="CL1" t="s">
        <v>1718</v>
      </c>
      <c r="CM1" t="s">
        <v>1719</v>
      </c>
      <c r="CN1" t="s">
        <v>1720</v>
      </c>
      <c r="CO1" t="s">
        <v>1721</v>
      </c>
      <c r="CP1" t="s">
        <v>1722</v>
      </c>
      <c r="CQ1" t="s">
        <v>1723</v>
      </c>
      <c r="CR1" t="s">
        <v>1724</v>
      </c>
      <c r="CS1" s="7" t="s">
        <v>2824</v>
      </c>
      <c r="CT1" t="s">
        <v>1725</v>
      </c>
      <c r="CU1" t="s">
        <v>1726</v>
      </c>
      <c r="CV1" t="s">
        <v>1727</v>
      </c>
      <c r="CW1" t="s">
        <v>1728</v>
      </c>
      <c r="CX1" t="s">
        <v>1729</v>
      </c>
      <c r="CY1" t="s">
        <v>1730</v>
      </c>
      <c r="CZ1" t="s">
        <v>1731</v>
      </c>
      <c r="DA1" t="s">
        <v>1732</v>
      </c>
      <c r="DB1" t="s">
        <v>1733</v>
      </c>
      <c r="DC1" t="s">
        <v>1734</v>
      </c>
      <c r="DD1" t="s">
        <v>1735</v>
      </c>
      <c r="DE1" t="s">
        <v>1736</v>
      </c>
      <c r="DF1" s="7" t="s">
        <v>2822</v>
      </c>
      <c r="DG1" t="s">
        <v>1737</v>
      </c>
      <c r="DH1" t="s">
        <v>1738</v>
      </c>
      <c r="DI1" t="s">
        <v>1739</v>
      </c>
      <c r="DJ1" t="s">
        <v>1740</v>
      </c>
      <c r="DK1" t="s">
        <v>1741</v>
      </c>
      <c r="DL1" t="s">
        <v>1742</v>
      </c>
      <c r="DM1" t="s">
        <v>1743</v>
      </c>
      <c r="DN1" t="s">
        <v>1744</v>
      </c>
      <c r="DO1" t="s">
        <v>1745</v>
      </c>
      <c r="DP1" t="s">
        <v>1746</v>
      </c>
      <c r="DQ1" t="s">
        <v>1747</v>
      </c>
      <c r="DR1" t="s">
        <v>1748</v>
      </c>
      <c r="DS1" s="7" t="s">
        <v>2820</v>
      </c>
      <c r="DT1" t="s">
        <v>1749</v>
      </c>
      <c r="DU1" t="s">
        <v>1750</v>
      </c>
      <c r="DV1" t="s">
        <v>1751</v>
      </c>
      <c r="DW1" t="s">
        <v>1752</v>
      </c>
      <c r="DX1" t="s">
        <v>1753</v>
      </c>
      <c r="DY1" t="s">
        <v>1754</v>
      </c>
      <c r="DZ1" t="s">
        <v>1755</v>
      </c>
      <c r="EA1" t="s">
        <v>1756</v>
      </c>
      <c r="EB1" t="s">
        <v>1757</v>
      </c>
      <c r="EC1" t="s">
        <v>1758</v>
      </c>
      <c r="ED1" t="s">
        <v>1759</v>
      </c>
      <c r="EE1" t="s">
        <v>1760</v>
      </c>
      <c r="EF1" s="7" t="s">
        <v>2818</v>
      </c>
      <c r="EG1" s="19" t="s">
        <v>2840</v>
      </c>
      <c r="EH1" s="19" t="s">
        <v>2841</v>
      </c>
      <c r="EI1" t="s">
        <v>1761</v>
      </c>
      <c r="EJ1" t="s">
        <v>1762</v>
      </c>
      <c r="EK1" t="s">
        <v>1763</v>
      </c>
      <c r="EL1" t="s">
        <v>1764</v>
      </c>
      <c r="EM1" t="s">
        <v>1765</v>
      </c>
      <c r="EN1" t="s">
        <v>1766</v>
      </c>
      <c r="EO1" t="s">
        <v>1767</v>
      </c>
      <c r="EP1" t="s">
        <v>1768</v>
      </c>
      <c r="EQ1" t="s">
        <v>1769</v>
      </c>
      <c r="ER1" t="s">
        <v>1770</v>
      </c>
      <c r="ES1" t="s">
        <v>1771</v>
      </c>
      <c r="ET1" t="s">
        <v>1772</v>
      </c>
      <c r="EU1" s="7" t="s">
        <v>2816</v>
      </c>
      <c r="EV1" t="s">
        <v>1773</v>
      </c>
      <c r="EW1" t="s">
        <v>1774</v>
      </c>
      <c r="EX1" t="s">
        <v>1775</v>
      </c>
      <c r="EY1" t="s">
        <v>1776</v>
      </c>
      <c r="EZ1" t="s">
        <v>1777</v>
      </c>
      <c r="FA1" t="s">
        <v>1778</v>
      </c>
      <c r="FB1" t="s">
        <v>1779</v>
      </c>
      <c r="FC1" t="s">
        <v>1780</v>
      </c>
      <c r="FD1" t="s">
        <v>1781</v>
      </c>
      <c r="FE1" t="s">
        <v>1782</v>
      </c>
      <c r="FF1" t="s">
        <v>1783</v>
      </c>
      <c r="FG1" t="s">
        <v>1784</v>
      </c>
      <c r="FH1" s="7" t="s">
        <v>2814</v>
      </c>
      <c r="FI1" t="s">
        <v>1785</v>
      </c>
      <c r="FJ1" t="s">
        <v>1786</v>
      </c>
      <c r="FK1" t="s">
        <v>1787</v>
      </c>
      <c r="FL1" t="s">
        <v>1788</v>
      </c>
      <c r="FM1" t="s">
        <v>1789</v>
      </c>
      <c r="FN1" t="s">
        <v>1790</v>
      </c>
      <c r="FO1" t="s">
        <v>1791</v>
      </c>
      <c r="FP1" t="s">
        <v>1792</v>
      </c>
      <c r="FQ1" t="s">
        <v>1793</v>
      </c>
      <c r="FR1" t="s">
        <v>1794</v>
      </c>
      <c r="FS1" t="s">
        <v>1795</v>
      </c>
      <c r="FT1" t="s">
        <v>1796</v>
      </c>
      <c r="FU1" s="7" t="s">
        <v>2812</v>
      </c>
      <c r="FV1" t="s">
        <v>1797</v>
      </c>
      <c r="FW1" t="s">
        <v>1798</v>
      </c>
      <c r="FX1" t="s">
        <v>1799</v>
      </c>
      <c r="FY1" t="s">
        <v>1800</v>
      </c>
      <c r="FZ1" t="s">
        <v>1801</v>
      </c>
      <c r="GA1" t="s">
        <v>1802</v>
      </c>
      <c r="GB1" t="s">
        <v>1803</v>
      </c>
      <c r="GC1" t="s">
        <v>1804</v>
      </c>
      <c r="GD1" t="s">
        <v>1805</v>
      </c>
      <c r="GE1" t="s">
        <v>1806</v>
      </c>
      <c r="GF1" t="s">
        <v>1807</v>
      </c>
      <c r="GG1" t="s">
        <v>1808</v>
      </c>
      <c r="GH1" s="7" t="s">
        <v>2810</v>
      </c>
      <c r="GI1" t="s">
        <v>1809</v>
      </c>
      <c r="GJ1" t="s">
        <v>1810</v>
      </c>
      <c r="GK1" t="s">
        <v>1811</v>
      </c>
      <c r="GL1" t="s">
        <v>1812</v>
      </c>
      <c r="GM1" t="s">
        <v>1813</v>
      </c>
      <c r="GN1" t="s">
        <v>1814</v>
      </c>
      <c r="GO1" t="s">
        <v>1815</v>
      </c>
      <c r="GP1" t="s">
        <v>1816</v>
      </c>
      <c r="GQ1" t="s">
        <v>1817</v>
      </c>
      <c r="GR1" t="s">
        <v>1818</v>
      </c>
      <c r="GS1" t="s">
        <v>1819</v>
      </c>
      <c r="GT1" t="s">
        <v>1820</v>
      </c>
      <c r="GU1" s="7" t="s">
        <v>2808</v>
      </c>
      <c r="GV1" t="s">
        <v>1821</v>
      </c>
      <c r="GW1" t="s">
        <v>1822</v>
      </c>
      <c r="GX1" t="s">
        <v>1823</v>
      </c>
      <c r="GY1" t="s">
        <v>1824</v>
      </c>
      <c r="GZ1" t="s">
        <v>1825</v>
      </c>
      <c r="HA1" t="s">
        <v>1826</v>
      </c>
      <c r="HB1" t="s">
        <v>1827</v>
      </c>
      <c r="HC1" t="s">
        <v>1828</v>
      </c>
      <c r="HD1" t="s">
        <v>1829</v>
      </c>
      <c r="HE1" t="s">
        <v>1830</v>
      </c>
      <c r="HF1" t="s">
        <v>1831</v>
      </c>
      <c r="HG1" t="s">
        <v>1832</v>
      </c>
      <c r="HH1" s="7" t="s">
        <v>2806</v>
      </c>
      <c r="HI1" t="s">
        <v>1833</v>
      </c>
      <c r="HJ1" t="s">
        <v>1834</v>
      </c>
      <c r="HK1" t="s">
        <v>1835</v>
      </c>
      <c r="HL1" t="s">
        <v>1836</v>
      </c>
      <c r="HM1" t="s">
        <v>1837</v>
      </c>
      <c r="HN1" t="s">
        <v>1838</v>
      </c>
      <c r="HO1" t="s">
        <v>1839</v>
      </c>
      <c r="HP1" t="s">
        <v>1840</v>
      </c>
      <c r="HQ1" t="s">
        <v>1841</v>
      </c>
      <c r="HR1" t="s">
        <v>1842</v>
      </c>
      <c r="HS1" t="s">
        <v>1843</v>
      </c>
      <c r="HT1" t="s">
        <v>1844</v>
      </c>
      <c r="HU1" s="7" t="s">
        <v>2804</v>
      </c>
      <c r="HV1" t="s">
        <v>1845</v>
      </c>
      <c r="HW1" t="s">
        <v>1846</v>
      </c>
      <c r="HX1" t="s">
        <v>1847</v>
      </c>
      <c r="HY1" t="s">
        <v>1848</v>
      </c>
      <c r="HZ1" t="s">
        <v>1849</v>
      </c>
      <c r="IA1" t="s">
        <v>1850</v>
      </c>
      <c r="IB1" t="s">
        <v>1851</v>
      </c>
      <c r="IC1" t="s">
        <v>1852</v>
      </c>
      <c r="ID1" t="s">
        <v>1853</v>
      </c>
      <c r="IE1" t="s">
        <v>1854</v>
      </c>
      <c r="IF1" t="s">
        <v>1855</v>
      </c>
      <c r="IG1" t="s">
        <v>1856</v>
      </c>
      <c r="IH1" s="7" t="s">
        <v>2802</v>
      </c>
      <c r="II1" s="19" t="s">
        <v>2838</v>
      </c>
      <c r="IJ1" s="19" t="s">
        <v>2839</v>
      </c>
      <c r="IK1" t="s">
        <v>1857</v>
      </c>
      <c r="IL1" t="s">
        <v>1858</v>
      </c>
      <c r="IM1" t="s">
        <v>1859</v>
      </c>
      <c r="IN1" t="s">
        <v>1860</v>
      </c>
      <c r="IO1" t="s">
        <v>1861</v>
      </c>
      <c r="IP1" t="s">
        <v>1862</v>
      </c>
      <c r="IQ1" t="s">
        <v>1863</v>
      </c>
      <c r="IR1" t="s">
        <v>1864</v>
      </c>
      <c r="IS1" t="s">
        <v>1865</v>
      </c>
      <c r="IT1" t="s">
        <v>1866</v>
      </c>
      <c r="IU1" t="s">
        <v>1867</v>
      </c>
      <c r="IV1" t="s">
        <v>1868</v>
      </c>
      <c r="IW1" s="5" t="s">
        <v>2800</v>
      </c>
      <c r="IX1" t="s">
        <v>1869</v>
      </c>
      <c r="IY1" t="s">
        <v>1870</v>
      </c>
      <c r="IZ1" t="s">
        <v>1871</v>
      </c>
      <c r="JA1" t="s">
        <v>1872</v>
      </c>
      <c r="JB1" t="s">
        <v>1873</v>
      </c>
      <c r="JC1" t="s">
        <v>1874</v>
      </c>
      <c r="JD1" t="s">
        <v>1875</v>
      </c>
      <c r="JE1" t="s">
        <v>1876</v>
      </c>
      <c r="JF1" t="s">
        <v>1877</v>
      </c>
      <c r="JG1" t="s">
        <v>1878</v>
      </c>
      <c r="JH1" t="s">
        <v>1879</v>
      </c>
      <c r="JI1" t="s">
        <v>1880</v>
      </c>
      <c r="JJ1" s="5" t="s">
        <v>2798</v>
      </c>
      <c r="JK1" t="s">
        <v>1881</v>
      </c>
      <c r="JL1" t="s">
        <v>1882</v>
      </c>
      <c r="JM1" t="s">
        <v>1883</v>
      </c>
      <c r="JN1" t="s">
        <v>1884</v>
      </c>
      <c r="JO1" t="s">
        <v>1885</v>
      </c>
      <c r="JP1" t="s">
        <v>1886</v>
      </c>
      <c r="JQ1" t="s">
        <v>1887</v>
      </c>
      <c r="JR1" t="s">
        <v>1888</v>
      </c>
      <c r="JS1" t="s">
        <v>1889</v>
      </c>
      <c r="JT1" t="s">
        <v>1890</v>
      </c>
      <c r="JU1" t="s">
        <v>1891</v>
      </c>
      <c r="JV1" t="s">
        <v>1892</v>
      </c>
      <c r="JW1" s="5" t="s">
        <v>2796</v>
      </c>
      <c r="JX1" t="s">
        <v>1893</v>
      </c>
      <c r="JY1" t="s">
        <v>1894</v>
      </c>
      <c r="JZ1" t="s">
        <v>1895</v>
      </c>
      <c r="KA1" t="s">
        <v>1896</v>
      </c>
      <c r="KB1" t="s">
        <v>1897</v>
      </c>
      <c r="KC1" t="s">
        <v>1898</v>
      </c>
      <c r="KD1" t="s">
        <v>1899</v>
      </c>
      <c r="KE1" t="s">
        <v>1900</v>
      </c>
      <c r="KF1" t="s">
        <v>1901</v>
      </c>
      <c r="KG1" t="s">
        <v>1902</v>
      </c>
      <c r="KH1" t="s">
        <v>1903</v>
      </c>
      <c r="KI1" t="s">
        <v>1904</v>
      </c>
      <c r="KJ1" s="5" t="s">
        <v>2794</v>
      </c>
      <c r="KK1" t="s">
        <v>1905</v>
      </c>
      <c r="KL1" t="s">
        <v>1906</v>
      </c>
      <c r="KM1" t="s">
        <v>1907</v>
      </c>
      <c r="KN1" t="s">
        <v>1908</v>
      </c>
      <c r="KO1" t="s">
        <v>1909</v>
      </c>
      <c r="KP1" t="s">
        <v>1910</v>
      </c>
      <c r="KQ1" t="s">
        <v>1911</v>
      </c>
      <c r="KR1" t="s">
        <v>1912</v>
      </c>
      <c r="KS1" t="s">
        <v>1913</v>
      </c>
      <c r="KT1" t="s">
        <v>1914</v>
      </c>
      <c r="KU1" t="s">
        <v>1915</v>
      </c>
      <c r="KV1" t="s">
        <v>1916</v>
      </c>
      <c r="KW1" s="5" t="s">
        <v>2792</v>
      </c>
      <c r="KX1" t="s">
        <v>1917</v>
      </c>
      <c r="KY1" t="s">
        <v>1918</v>
      </c>
      <c r="KZ1" t="s">
        <v>1919</v>
      </c>
      <c r="LA1" t="s">
        <v>1920</v>
      </c>
      <c r="LB1" t="s">
        <v>1921</v>
      </c>
      <c r="LC1" t="s">
        <v>1922</v>
      </c>
      <c r="LD1" t="s">
        <v>1923</v>
      </c>
      <c r="LE1" t="s">
        <v>1924</v>
      </c>
      <c r="LF1" t="s">
        <v>1925</v>
      </c>
      <c r="LG1" t="s">
        <v>1926</v>
      </c>
      <c r="LH1" t="s">
        <v>1927</v>
      </c>
      <c r="LI1" t="s">
        <v>1928</v>
      </c>
      <c r="LJ1" s="5" t="s">
        <v>2790</v>
      </c>
      <c r="LK1" t="s">
        <v>1929</v>
      </c>
      <c r="LL1" t="s">
        <v>1930</v>
      </c>
      <c r="LM1" t="s">
        <v>1931</v>
      </c>
      <c r="LN1" t="s">
        <v>1932</v>
      </c>
      <c r="LO1" t="s">
        <v>1933</v>
      </c>
      <c r="LP1" t="s">
        <v>1934</v>
      </c>
      <c r="LQ1" t="s">
        <v>1935</v>
      </c>
      <c r="LR1" t="s">
        <v>1936</v>
      </c>
      <c r="LS1" t="s">
        <v>1937</v>
      </c>
      <c r="LT1" t="s">
        <v>1938</v>
      </c>
      <c r="LU1" t="s">
        <v>1939</v>
      </c>
      <c r="LV1" t="s">
        <v>1940</v>
      </c>
      <c r="LW1" s="5" t="s">
        <v>2788</v>
      </c>
      <c r="LX1" t="s">
        <v>1941</v>
      </c>
      <c r="LY1" t="s">
        <v>1942</v>
      </c>
      <c r="LZ1" t="s">
        <v>1943</v>
      </c>
      <c r="MA1" t="s">
        <v>1944</v>
      </c>
      <c r="MB1" t="s">
        <v>1945</v>
      </c>
      <c r="MC1" t="s">
        <v>1946</v>
      </c>
      <c r="MD1" t="s">
        <v>1947</v>
      </c>
      <c r="ME1" t="s">
        <v>1948</v>
      </c>
      <c r="MF1" t="s">
        <v>1949</v>
      </c>
      <c r="MG1" t="s">
        <v>1950</v>
      </c>
      <c r="MH1" t="s">
        <v>1951</v>
      </c>
      <c r="MI1" t="s">
        <v>1952</v>
      </c>
      <c r="MJ1" s="5" t="s">
        <v>2786</v>
      </c>
      <c r="MK1" t="s">
        <v>1953</v>
      </c>
      <c r="ML1" t="s">
        <v>1954</v>
      </c>
      <c r="MM1" t="s">
        <v>1955</v>
      </c>
      <c r="MN1" t="s">
        <v>1956</v>
      </c>
      <c r="MO1" t="s">
        <v>1957</v>
      </c>
      <c r="MP1" t="s">
        <v>1958</v>
      </c>
      <c r="MQ1" t="s">
        <v>1959</v>
      </c>
      <c r="MR1" t="s">
        <v>1960</v>
      </c>
      <c r="MS1" t="s">
        <v>1961</v>
      </c>
      <c r="MT1" t="s">
        <v>1962</v>
      </c>
      <c r="MU1" t="s">
        <v>1963</v>
      </c>
      <c r="MV1" t="s">
        <v>1964</v>
      </c>
      <c r="MW1" s="5" t="s">
        <v>2784</v>
      </c>
      <c r="MX1" t="s">
        <v>1965</v>
      </c>
      <c r="MY1" t="s">
        <v>1966</v>
      </c>
      <c r="MZ1" t="s">
        <v>1967</v>
      </c>
      <c r="NA1" t="s">
        <v>1968</v>
      </c>
      <c r="NB1" t="s">
        <v>1969</v>
      </c>
      <c r="NC1" t="s">
        <v>1970</v>
      </c>
      <c r="ND1" t="s">
        <v>1971</v>
      </c>
      <c r="NE1" t="s">
        <v>1972</v>
      </c>
      <c r="NF1" t="s">
        <v>1973</v>
      </c>
      <c r="NG1" t="s">
        <v>1974</v>
      </c>
      <c r="NH1" t="s">
        <v>1975</v>
      </c>
      <c r="NI1" t="s">
        <v>1976</v>
      </c>
      <c r="NJ1" s="5" t="s">
        <v>2782</v>
      </c>
      <c r="NK1" t="s">
        <v>1977</v>
      </c>
      <c r="NL1" t="s">
        <v>1978</v>
      </c>
      <c r="NM1" t="s">
        <v>1979</v>
      </c>
      <c r="NN1" t="s">
        <v>1980</v>
      </c>
      <c r="NO1" t="s">
        <v>1981</v>
      </c>
      <c r="NP1" t="s">
        <v>1982</v>
      </c>
      <c r="NQ1" t="s">
        <v>1983</v>
      </c>
      <c r="NR1" t="s">
        <v>1984</v>
      </c>
      <c r="NS1" t="s">
        <v>1985</v>
      </c>
      <c r="NT1" t="s">
        <v>1986</v>
      </c>
      <c r="NU1" t="s">
        <v>1987</v>
      </c>
      <c r="NV1" t="s">
        <v>1988</v>
      </c>
      <c r="NW1" s="5" t="s">
        <v>2780</v>
      </c>
      <c r="NX1" t="s">
        <v>1989</v>
      </c>
      <c r="NY1" t="s">
        <v>1990</v>
      </c>
      <c r="NZ1" t="s">
        <v>1991</v>
      </c>
      <c r="OA1" t="s">
        <v>1992</v>
      </c>
      <c r="OB1" t="s">
        <v>1993</v>
      </c>
      <c r="OC1" t="s">
        <v>1994</v>
      </c>
      <c r="OD1" t="s">
        <v>1995</v>
      </c>
      <c r="OE1" t="s">
        <v>1996</v>
      </c>
      <c r="OF1" t="s">
        <v>1997</v>
      </c>
      <c r="OG1" t="s">
        <v>1998</v>
      </c>
      <c r="OH1" t="s">
        <v>1999</v>
      </c>
      <c r="OI1" t="s">
        <v>2000</v>
      </c>
      <c r="OJ1" s="5" t="s">
        <v>2778</v>
      </c>
      <c r="OK1" t="s">
        <v>2001</v>
      </c>
      <c r="OL1" t="s">
        <v>2002</v>
      </c>
      <c r="OM1" t="s">
        <v>2003</v>
      </c>
      <c r="ON1" t="s">
        <v>2004</v>
      </c>
      <c r="OO1" t="s">
        <v>2005</v>
      </c>
      <c r="OP1" t="s">
        <v>2006</v>
      </c>
      <c r="OQ1" t="s">
        <v>2007</v>
      </c>
      <c r="OR1" t="s">
        <v>2008</v>
      </c>
      <c r="OS1" t="s">
        <v>2009</v>
      </c>
      <c r="OT1" t="s">
        <v>2010</v>
      </c>
      <c r="OU1" t="s">
        <v>2011</v>
      </c>
      <c r="OV1" t="s">
        <v>2012</v>
      </c>
      <c r="OW1" s="5" t="s">
        <v>2776</v>
      </c>
      <c r="OX1" t="s">
        <v>2013</v>
      </c>
      <c r="OY1" t="s">
        <v>2014</v>
      </c>
      <c r="OZ1" t="s">
        <v>2015</v>
      </c>
      <c r="PA1" t="s">
        <v>2016</v>
      </c>
      <c r="PB1" t="s">
        <v>2017</v>
      </c>
      <c r="PC1" t="s">
        <v>2018</v>
      </c>
      <c r="PD1" t="s">
        <v>2019</v>
      </c>
      <c r="PE1" t="s">
        <v>2020</v>
      </c>
      <c r="PF1" t="s">
        <v>2021</v>
      </c>
      <c r="PG1" t="s">
        <v>2022</v>
      </c>
      <c r="PH1" t="s">
        <v>2023</v>
      </c>
      <c r="PI1" t="s">
        <v>2024</v>
      </c>
      <c r="PJ1" s="5" t="s">
        <v>2774</v>
      </c>
      <c r="PK1" t="s">
        <v>2025</v>
      </c>
      <c r="PL1" t="s">
        <v>2026</v>
      </c>
      <c r="PM1" t="s">
        <v>2027</v>
      </c>
      <c r="PN1" t="s">
        <v>2028</v>
      </c>
      <c r="PO1" t="s">
        <v>2029</v>
      </c>
      <c r="PP1" t="s">
        <v>2030</v>
      </c>
      <c r="PQ1" t="s">
        <v>2031</v>
      </c>
      <c r="PR1" t="s">
        <v>2032</v>
      </c>
      <c r="PS1" t="s">
        <v>2033</v>
      </c>
      <c r="PT1" t="s">
        <v>2034</v>
      </c>
      <c r="PU1" t="s">
        <v>2035</v>
      </c>
      <c r="PV1" t="s">
        <v>2036</v>
      </c>
      <c r="PW1" s="5" t="s">
        <v>2772</v>
      </c>
      <c r="PX1" t="s">
        <v>2037</v>
      </c>
      <c r="PY1" t="s">
        <v>2038</v>
      </c>
      <c r="PZ1" t="s">
        <v>2039</v>
      </c>
      <c r="QA1" t="s">
        <v>2040</v>
      </c>
      <c r="QB1" t="s">
        <v>2041</v>
      </c>
      <c r="QC1" t="s">
        <v>2042</v>
      </c>
      <c r="QD1" t="s">
        <v>2043</v>
      </c>
      <c r="QE1" t="s">
        <v>2044</v>
      </c>
      <c r="QF1" t="s">
        <v>2045</v>
      </c>
      <c r="QG1" t="s">
        <v>2046</v>
      </c>
      <c r="QH1" t="s">
        <v>2047</v>
      </c>
      <c r="QI1" t="s">
        <v>2048</v>
      </c>
      <c r="QJ1" s="5" t="s">
        <v>2770</v>
      </c>
      <c r="QK1" t="s">
        <v>2049</v>
      </c>
      <c r="QL1" t="s">
        <v>2050</v>
      </c>
      <c r="QM1" t="s">
        <v>2051</v>
      </c>
      <c r="QN1" t="s">
        <v>2052</v>
      </c>
      <c r="QO1" t="s">
        <v>2053</v>
      </c>
      <c r="QP1" t="s">
        <v>2054</v>
      </c>
      <c r="QQ1" t="s">
        <v>2055</v>
      </c>
      <c r="QR1" t="s">
        <v>2056</v>
      </c>
      <c r="QS1" t="s">
        <v>2057</v>
      </c>
      <c r="QT1" t="s">
        <v>2058</v>
      </c>
      <c r="QU1" t="s">
        <v>2059</v>
      </c>
      <c r="QV1" t="s">
        <v>2060</v>
      </c>
      <c r="QW1" s="5" t="s">
        <v>2768</v>
      </c>
      <c r="QX1" t="s">
        <v>2061</v>
      </c>
      <c r="QY1" t="s">
        <v>2062</v>
      </c>
      <c r="QZ1" t="s">
        <v>2063</v>
      </c>
      <c r="RA1" t="s">
        <v>2064</v>
      </c>
      <c r="RB1" t="s">
        <v>2065</v>
      </c>
      <c r="RC1" t="s">
        <v>2066</v>
      </c>
      <c r="RD1" t="s">
        <v>2067</v>
      </c>
      <c r="RE1" t="s">
        <v>2068</v>
      </c>
      <c r="RF1" t="s">
        <v>2069</v>
      </c>
      <c r="RG1" t="s">
        <v>2070</v>
      </c>
      <c r="RH1" t="s">
        <v>2071</v>
      </c>
      <c r="RI1" t="s">
        <v>2072</v>
      </c>
      <c r="RJ1" s="5" t="s">
        <v>2766</v>
      </c>
      <c r="RK1" t="s">
        <v>2073</v>
      </c>
      <c r="RL1" t="s">
        <v>2074</v>
      </c>
      <c r="RM1" t="s">
        <v>2075</v>
      </c>
      <c r="RN1" t="s">
        <v>2076</v>
      </c>
      <c r="RO1" t="s">
        <v>2077</v>
      </c>
      <c r="RP1" t="s">
        <v>2078</v>
      </c>
      <c r="RQ1" t="s">
        <v>2079</v>
      </c>
      <c r="RR1" t="s">
        <v>2080</v>
      </c>
      <c r="RS1" t="s">
        <v>2081</v>
      </c>
      <c r="RT1" t="s">
        <v>2082</v>
      </c>
      <c r="RU1" t="s">
        <v>2083</v>
      </c>
      <c r="RV1" t="s">
        <v>2084</v>
      </c>
      <c r="RW1" s="5" t="s">
        <v>2764</v>
      </c>
      <c r="RX1" t="s">
        <v>2085</v>
      </c>
      <c r="RY1" t="s">
        <v>2086</v>
      </c>
      <c r="RZ1" t="s">
        <v>2087</v>
      </c>
      <c r="SA1" t="s">
        <v>2088</v>
      </c>
      <c r="SB1" t="s">
        <v>2089</v>
      </c>
      <c r="SC1" t="s">
        <v>2090</v>
      </c>
      <c r="SD1" t="s">
        <v>2091</v>
      </c>
      <c r="SE1" t="s">
        <v>2092</v>
      </c>
      <c r="SF1" t="s">
        <v>2093</v>
      </c>
      <c r="SG1" t="s">
        <v>2094</v>
      </c>
      <c r="SH1" t="s">
        <v>2095</v>
      </c>
      <c r="SI1" t="s">
        <v>2096</v>
      </c>
      <c r="SJ1" s="5" t="s">
        <v>2762</v>
      </c>
      <c r="SK1" t="s">
        <v>2097</v>
      </c>
      <c r="SL1" t="s">
        <v>2098</v>
      </c>
      <c r="SM1" t="s">
        <v>2099</v>
      </c>
      <c r="SN1" t="s">
        <v>2100</v>
      </c>
      <c r="SO1" t="s">
        <v>2101</v>
      </c>
      <c r="SP1" t="s">
        <v>2102</v>
      </c>
      <c r="SQ1" t="s">
        <v>2103</v>
      </c>
      <c r="SR1" t="s">
        <v>2104</v>
      </c>
      <c r="SS1" t="s">
        <v>2105</v>
      </c>
      <c r="ST1" t="s">
        <v>2106</v>
      </c>
      <c r="SU1" t="s">
        <v>2107</v>
      </c>
      <c r="SV1" t="s">
        <v>2108</v>
      </c>
      <c r="SW1" s="5" t="s">
        <v>2760</v>
      </c>
      <c r="SX1" t="s">
        <v>2109</v>
      </c>
      <c r="SY1" t="s">
        <v>2110</v>
      </c>
      <c r="SZ1" t="s">
        <v>2111</v>
      </c>
      <c r="TA1" t="s">
        <v>2112</v>
      </c>
      <c r="TB1" t="s">
        <v>2113</v>
      </c>
      <c r="TC1" t="s">
        <v>2114</v>
      </c>
      <c r="TD1" t="s">
        <v>2115</v>
      </c>
      <c r="TE1" t="s">
        <v>2116</v>
      </c>
      <c r="TF1" t="s">
        <v>2117</v>
      </c>
      <c r="TG1" t="s">
        <v>2118</v>
      </c>
      <c r="TH1" t="s">
        <v>2119</v>
      </c>
      <c r="TI1" t="s">
        <v>2120</v>
      </c>
      <c r="TJ1" t="s">
        <v>2121</v>
      </c>
      <c r="TK1" s="5" t="s">
        <v>2758</v>
      </c>
      <c r="TL1" t="s">
        <v>2122</v>
      </c>
      <c r="TM1" t="s">
        <v>2123</v>
      </c>
      <c r="TN1" t="s">
        <v>2124</v>
      </c>
      <c r="TO1" t="s">
        <v>2125</v>
      </c>
      <c r="TP1" t="s">
        <v>2126</v>
      </c>
      <c r="TQ1" t="s">
        <v>2127</v>
      </c>
      <c r="TR1" t="s">
        <v>2128</v>
      </c>
      <c r="TS1" t="s">
        <v>2129</v>
      </c>
      <c r="TT1" t="s">
        <v>2130</v>
      </c>
      <c r="TU1" t="s">
        <v>2131</v>
      </c>
      <c r="TV1" t="s">
        <v>2132</v>
      </c>
      <c r="TW1" t="s">
        <v>2133</v>
      </c>
      <c r="TX1" s="5" t="s">
        <v>2756</v>
      </c>
      <c r="TY1" t="s">
        <v>2134</v>
      </c>
      <c r="TZ1" t="s">
        <v>2135</v>
      </c>
      <c r="UA1" t="s">
        <v>2136</v>
      </c>
    </row>
    <row r="2" spans="1:547" s="14" customFormat="1" ht="38.5" customHeight="1" x14ac:dyDescent="0.35">
      <c r="A2" s="20" t="s">
        <v>2137</v>
      </c>
      <c r="B2" s="20" t="s">
        <v>2138</v>
      </c>
      <c r="C2" s="20" t="s">
        <v>2139</v>
      </c>
      <c r="D2" s="20" t="s">
        <v>2140</v>
      </c>
      <c r="E2" s="20" t="s">
        <v>2141</v>
      </c>
      <c r="F2" s="20" t="s">
        <v>2142</v>
      </c>
      <c r="G2" s="20" t="s">
        <v>2143</v>
      </c>
      <c r="H2" s="20" t="s">
        <v>2144</v>
      </c>
      <c r="I2" s="20" t="s">
        <v>2145</v>
      </c>
      <c r="J2" s="20" t="s">
        <v>2146</v>
      </c>
      <c r="K2" s="20" t="s">
        <v>2147</v>
      </c>
      <c r="L2" s="20" t="s">
        <v>2148</v>
      </c>
      <c r="M2" s="20" t="s">
        <v>2149</v>
      </c>
      <c r="N2" s="20" t="s">
        <v>2150</v>
      </c>
      <c r="O2" s="20" t="s">
        <v>2151</v>
      </c>
      <c r="P2" s="20" t="s">
        <v>2861</v>
      </c>
      <c r="Q2" s="20" t="s">
        <v>2152</v>
      </c>
      <c r="R2" s="20" t="s">
        <v>2153</v>
      </c>
      <c r="S2" s="21" t="s">
        <v>2837</v>
      </c>
      <c r="T2" s="20" t="s">
        <v>2154</v>
      </c>
      <c r="U2" s="20" t="s">
        <v>2155</v>
      </c>
      <c r="V2" s="20" t="s">
        <v>2156</v>
      </c>
      <c r="W2" s="20" t="s">
        <v>2157</v>
      </c>
      <c r="X2" s="20" t="s">
        <v>2158</v>
      </c>
      <c r="Y2" s="20" t="s">
        <v>2159</v>
      </c>
      <c r="Z2" s="20" t="s">
        <v>2160</v>
      </c>
      <c r="AA2" s="20" t="s">
        <v>2161</v>
      </c>
      <c r="AB2" s="20" t="s">
        <v>2162</v>
      </c>
      <c r="AC2" s="20" t="s">
        <v>2163</v>
      </c>
      <c r="AD2" s="20" t="s">
        <v>2164</v>
      </c>
      <c r="AE2" s="20" t="s">
        <v>2165</v>
      </c>
      <c r="AF2" s="21" t="s">
        <v>2835</v>
      </c>
      <c r="AG2" s="20" t="s">
        <v>2166</v>
      </c>
      <c r="AH2" s="20" t="s">
        <v>2167</v>
      </c>
      <c r="AI2" s="20" t="s">
        <v>2168</v>
      </c>
      <c r="AJ2" s="20" t="s">
        <v>2169</v>
      </c>
      <c r="AK2" s="20" t="s">
        <v>2170</v>
      </c>
      <c r="AL2" s="20" t="s">
        <v>2171</v>
      </c>
      <c r="AM2" s="20" t="s">
        <v>2172</v>
      </c>
      <c r="AN2" s="20" t="s">
        <v>2173</v>
      </c>
      <c r="AO2" s="20" t="s">
        <v>2174</v>
      </c>
      <c r="AP2" s="20" t="s">
        <v>2175</v>
      </c>
      <c r="AQ2" s="20" t="s">
        <v>2176</v>
      </c>
      <c r="AR2" s="20" t="s">
        <v>2177</v>
      </c>
      <c r="AS2" s="21" t="s">
        <v>2833</v>
      </c>
      <c r="AT2" s="20" t="s">
        <v>2178</v>
      </c>
      <c r="AU2" s="20" t="s">
        <v>2179</v>
      </c>
      <c r="AV2" s="20" t="s">
        <v>2180</v>
      </c>
      <c r="AW2" s="20" t="s">
        <v>2181</v>
      </c>
      <c r="AX2" s="20" t="s">
        <v>2182</v>
      </c>
      <c r="AY2" s="20" t="s">
        <v>2183</v>
      </c>
      <c r="AZ2" s="20" t="s">
        <v>2184</v>
      </c>
      <c r="BA2" s="20" t="s">
        <v>2185</v>
      </c>
      <c r="BB2" s="20" t="s">
        <v>2186</v>
      </c>
      <c r="BC2" s="20" t="s">
        <v>2187</v>
      </c>
      <c r="BD2" s="20" t="s">
        <v>2188</v>
      </c>
      <c r="BE2" s="20" t="s">
        <v>2189</v>
      </c>
      <c r="BF2" s="21" t="s">
        <v>2831</v>
      </c>
      <c r="BG2" s="20" t="s">
        <v>2190</v>
      </c>
      <c r="BH2" s="20" t="s">
        <v>2191</v>
      </c>
      <c r="BI2" s="20" t="s">
        <v>2192</v>
      </c>
      <c r="BJ2" s="20" t="s">
        <v>2193</v>
      </c>
      <c r="BK2" s="20" t="s">
        <v>2194</v>
      </c>
      <c r="BL2" s="20" t="s">
        <v>2195</v>
      </c>
      <c r="BM2" s="20" t="s">
        <v>2196</v>
      </c>
      <c r="BN2" s="20" t="s">
        <v>2197</v>
      </c>
      <c r="BO2" s="20" t="s">
        <v>2198</v>
      </c>
      <c r="BP2" s="20" t="s">
        <v>2199</v>
      </c>
      <c r="BQ2" s="20" t="s">
        <v>2200</v>
      </c>
      <c r="BR2" s="20" t="s">
        <v>2201</v>
      </c>
      <c r="BS2" s="21" t="s">
        <v>2829</v>
      </c>
      <c r="BT2" s="20" t="s">
        <v>2202</v>
      </c>
      <c r="BU2" s="20" t="s">
        <v>2203</v>
      </c>
      <c r="BV2" s="20" t="s">
        <v>2204</v>
      </c>
      <c r="BW2" s="20" t="s">
        <v>2205</v>
      </c>
      <c r="BX2" s="20" t="s">
        <v>2206</v>
      </c>
      <c r="BY2" s="20" t="s">
        <v>2207</v>
      </c>
      <c r="BZ2" s="20" t="s">
        <v>2208</v>
      </c>
      <c r="CA2" s="20" t="s">
        <v>2209</v>
      </c>
      <c r="CB2" s="20" t="s">
        <v>2210</v>
      </c>
      <c r="CC2" s="20" t="s">
        <v>2211</v>
      </c>
      <c r="CD2" s="20" t="s">
        <v>2212</v>
      </c>
      <c r="CE2" s="20" t="s">
        <v>2213</v>
      </c>
      <c r="CF2" s="21" t="s">
        <v>2827</v>
      </c>
      <c r="CG2" s="20" t="s">
        <v>2214</v>
      </c>
      <c r="CH2" s="20" t="s">
        <v>2215</v>
      </c>
      <c r="CI2" s="20" t="s">
        <v>2216</v>
      </c>
      <c r="CJ2" s="20" t="s">
        <v>2217</v>
      </c>
      <c r="CK2" s="20" t="s">
        <v>2218</v>
      </c>
      <c r="CL2" s="20" t="s">
        <v>2219</v>
      </c>
      <c r="CM2" s="20" t="s">
        <v>2220</v>
      </c>
      <c r="CN2" s="20" t="s">
        <v>2221</v>
      </c>
      <c r="CO2" s="20" t="s">
        <v>2222</v>
      </c>
      <c r="CP2" s="20" t="s">
        <v>2223</v>
      </c>
      <c r="CQ2" s="20" t="s">
        <v>2224</v>
      </c>
      <c r="CR2" s="20" t="s">
        <v>2225</v>
      </c>
      <c r="CS2" s="21" t="s">
        <v>2825</v>
      </c>
      <c r="CT2" s="20" t="s">
        <v>2226</v>
      </c>
      <c r="CU2" s="20" t="s">
        <v>2227</v>
      </c>
      <c r="CV2" s="20" t="s">
        <v>2228</v>
      </c>
      <c r="CW2" s="20" t="s">
        <v>2229</v>
      </c>
      <c r="CX2" s="20" t="s">
        <v>2230</v>
      </c>
      <c r="CY2" s="20" t="s">
        <v>2231</v>
      </c>
      <c r="CZ2" s="20" t="s">
        <v>2232</v>
      </c>
      <c r="DA2" s="20" t="s">
        <v>2233</v>
      </c>
      <c r="DB2" s="20" t="s">
        <v>2234</v>
      </c>
      <c r="DC2" s="20" t="s">
        <v>2235</v>
      </c>
      <c r="DD2" s="20" t="s">
        <v>2236</v>
      </c>
      <c r="DE2" s="20" t="s">
        <v>2237</v>
      </c>
      <c r="DF2" s="21" t="s">
        <v>2823</v>
      </c>
      <c r="DG2" s="20" t="s">
        <v>2238</v>
      </c>
      <c r="DH2" s="20" t="s">
        <v>2239</v>
      </c>
      <c r="DI2" s="20" t="s">
        <v>2240</v>
      </c>
      <c r="DJ2" s="20" t="s">
        <v>2241</v>
      </c>
      <c r="DK2" s="20" t="s">
        <v>2242</v>
      </c>
      <c r="DL2" s="20" t="s">
        <v>2243</v>
      </c>
      <c r="DM2" s="20" t="s">
        <v>2244</v>
      </c>
      <c r="DN2" s="20" t="s">
        <v>2245</v>
      </c>
      <c r="DO2" s="20" t="s">
        <v>2246</v>
      </c>
      <c r="DP2" s="20" t="s">
        <v>2247</v>
      </c>
      <c r="DQ2" s="20" t="s">
        <v>2248</v>
      </c>
      <c r="DR2" s="20" t="s">
        <v>2249</v>
      </c>
      <c r="DS2" s="21" t="s">
        <v>2821</v>
      </c>
      <c r="DT2" s="20" t="s">
        <v>2250</v>
      </c>
      <c r="DU2" s="20" t="s">
        <v>2251</v>
      </c>
      <c r="DV2" s="20" t="s">
        <v>2252</v>
      </c>
      <c r="DW2" s="20" t="s">
        <v>2253</v>
      </c>
      <c r="DX2" s="20" t="s">
        <v>2254</v>
      </c>
      <c r="DY2" s="20" t="s">
        <v>2255</v>
      </c>
      <c r="DZ2" s="20" t="s">
        <v>2256</v>
      </c>
      <c r="EA2" s="20" t="s">
        <v>2257</v>
      </c>
      <c r="EB2" s="20" t="s">
        <v>2258</v>
      </c>
      <c r="EC2" s="20" t="s">
        <v>2259</v>
      </c>
      <c r="ED2" s="20" t="s">
        <v>2260</v>
      </c>
      <c r="EE2" s="20" t="s">
        <v>2261</v>
      </c>
      <c r="EF2" s="21" t="s">
        <v>2819</v>
      </c>
      <c r="EG2" s="22" t="s">
        <v>1634</v>
      </c>
      <c r="EH2" s="22" t="s">
        <v>1635</v>
      </c>
      <c r="EI2" s="20" t="s">
        <v>2262</v>
      </c>
      <c r="EJ2" s="20" t="s">
        <v>2263</v>
      </c>
      <c r="EK2" s="20" t="s">
        <v>2264</v>
      </c>
      <c r="EL2" s="20" t="s">
        <v>2265</v>
      </c>
      <c r="EM2" s="20" t="s">
        <v>2266</v>
      </c>
      <c r="EN2" s="20" t="s">
        <v>2267</v>
      </c>
      <c r="EO2" s="20" t="s">
        <v>2268</v>
      </c>
      <c r="EP2" s="20" t="s">
        <v>2269</v>
      </c>
      <c r="EQ2" s="20" t="s">
        <v>2270</v>
      </c>
      <c r="ER2" s="20" t="s">
        <v>2271</v>
      </c>
      <c r="ES2" s="20" t="s">
        <v>2272</v>
      </c>
      <c r="ET2" s="20" t="s">
        <v>2273</v>
      </c>
      <c r="EU2" s="21" t="s">
        <v>2817</v>
      </c>
      <c r="EV2" s="20" t="s">
        <v>2274</v>
      </c>
      <c r="EW2" s="20" t="s">
        <v>2275</v>
      </c>
      <c r="EX2" s="20" t="s">
        <v>2276</v>
      </c>
      <c r="EY2" s="20" t="s">
        <v>2277</v>
      </c>
      <c r="EZ2" s="20" t="s">
        <v>2278</v>
      </c>
      <c r="FA2" s="20" t="s">
        <v>2279</v>
      </c>
      <c r="FB2" s="20" t="s">
        <v>2280</v>
      </c>
      <c r="FC2" s="20" t="s">
        <v>2281</v>
      </c>
      <c r="FD2" s="20" t="s">
        <v>2282</v>
      </c>
      <c r="FE2" s="20" t="s">
        <v>2283</v>
      </c>
      <c r="FF2" s="20" t="s">
        <v>2284</v>
      </c>
      <c r="FG2" s="20" t="s">
        <v>2285</v>
      </c>
      <c r="FH2" s="21" t="s">
        <v>2815</v>
      </c>
      <c r="FI2" s="20" t="s">
        <v>2286</v>
      </c>
      <c r="FJ2" s="20" t="s">
        <v>2287</v>
      </c>
      <c r="FK2" s="20" t="s">
        <v>2288</v>
      </c>
      <c r="FL2" s="20" t="s">
        <v>2289</v>
      </c>
      <c r="FM2" s="20" t="s">
        <v>2290</v>
      </c>
      <c r="FN2" s="20" t="s">
        <v>2291</v>
      </c>
      <c r="FO2" s="20" t="s">
        <v>2292</v>
      </c>
      <c r="FP2" s="20" t="s">
        <v>2293</v>
      </c>
      <c r="FQ2" s="20" t="s">
        <v>2294</v>
      </c>
      <c r="FR2" s="20" t="s">
        <v>2295</v>
      </c>
      <c r="FS2" s="20" t="s">
        <v>2296</v>
      </c>
      <c r="FT2" s="20" t="s">
        <v>2297</v>
      </c>
      <c r="FU2" s="21" t="s">
        <v>2813</v>
      </c>
      <c r="FV2" s="20" t="s">
        <v>2298</v>
      </c>
      <c r="FW2" s="20" t="s">
        <v>2299</v>
      </c>
      <c r="FX2" s="20" t="s">
        <v>2300</v>
      </c>
      <c r="FY2" s="20" t="s">
        <v>2301</v>
      </c>
      <c r="FZ2" s="20" t="s">
        <v>2302</v>
      </c>
      <c r="GA2" s="20" t="s">
        <v>2303</v>
      </c>
      <c r="GB2" s="20" t="s">
        <v>2304</v>
      </c>
      <c r="GC2" s="20" t="s">
        <v>2305</v>
      </c>
      <c r="GD2" s="20" t="s">
        <v>2306</v>
      </c>
      <c r="GE2" s="20" t="s">
        <v>2307</v>
      </c>
      <c r="GF2" s="20" t="s">
        <v>2308</v>
      </c>
      <c r="GG2" s="20" t="s">
        <v>2309</v>
      </c>
      <c r="GH2" s="21" t="s">
        <v>2811</v>
      </c>
      <c r="GI2" s="20" t="s">
        <v>2310</v>
      </c>
      <c r="GJ2" s="20" t="s">
        <v>2311</v>
      </c>
      <c r="GK2" s="20" t="s">
        <v>2312</v>
      </c>
      <c r="GL2" s="20" t="s">
        <v>2313</v>
      </c>
      <c r="GM2" s="20" t="s">
        <v>2314</v>
      </c>
      <c r="GN2" s="20" t="s">
        <v>2315</v>
      </c>
      <c r="GO2" s="20" t="s">
        <v>2316</v>
      </c>
      <c r="GP2" s="20" t="s">
        <v>2317</v>
      </c>
      <c r="GQ2" s="20" t="s">
        <v>2318</v>
      </c>
      <c r="GR2" s="20" t="s">
        <v>2319</v>
      </c>
      <c r="GS2" s="20" t="s">
        <v>2320</v>
      </c>
      <c r="GT2" s="20" t="s">
        <v>2321</v>
      </c>
      <c r="GU2" s="21" t="s">
        <v>2809</v>
      </c>
      <c r="GV2" s="20" t="s">
        <v>2322</v>
      </c>
      <c r="GW2" s="20" t="s">
        <v>2323</v>
      </c>
      <c r="GX2" s="20" t="s">
        <v>2324</v>
      </c>
      <c r="GY2" s="20" t="s">
        <v>2325</v>
      </c>
      <c r="GZ2" s="20" t="s">
        <v>2326</v>
      </c>
      <c r="HA2" s="20" t="s">
        <v>2327</v>
      </c>
      <c r="HB2" s="20" t="s">
        <v>2328</v>
      </c>
      <c r="HC2" s="20" t="s">
        <v>2329</v>
      </c>
      <c r="HD2" s="20" t="s">
        <v>2330</v>
      </c>
      <c r="HE2" s="20" t="s">
        <v>2331</v>
      </c>
      <c r="HF2" s="20" t="s">
        <v>2332</v>
      </c>
      <c r="HG2" s="20" t="s">
        <v>2333</v>
      </c>
      <c r="HH2" s="21" t="s">
        <v>2807</v>
      </c>
      <c r="HI2" s="20" t="s">
        <v>2334</v>
      </c>
      <c r="HJ2" s="20" t="s">
        <v>2335</v>
      </c>
      <c r="HK2" s="20" t="s">
        <v>2336</v>
      </c>
      <c r="HL2" s="20" t="s">
        <v>2337</v>
      </c>
      <c r="HM2" s="20" t="s">
        <v>2338</v>
      </c>
      <c r="HN2" s="20" t="s">
        <v>2339</v>
      </c>
      <c r="HO2" s="20" t="s">
        <v>2340</v>
      </c>
      <c r="HP2" s="20" t="s">
        <v>2341</v>
      </c>
      <c r="HQ2" s="20" t="s">
        <v>2342</v>
      </c>
      <c r="HR2" s="20" t="s">
        <v>2343</v>
      </c>
      <c r="HS2" s="20" t="s">
        <v>2344</v>
      </c>
      <c r="HT2" s="20" t="s">
        <v>2345</v>
      </c>
      <c r="HU2" s="21" t="s">
        <v>2805</v>
      </c>
      <c r="HV2" s="20" t="s">
        <v>2346</v>
      </c>
      <c r="HW2" s="20" t="s">
        <v>2347</v>
      </c>
      <c r="HX2" s="20" t="s">
        <v>2348</v>
      </c>
      <c r="HY2" s="20" t="s">
        <v>2349</v>
      </c>
      <c r="HZ2" s="20" t="s">
        <v>2350</v>
      </c>
      <c r="IA2" s="20" t="s">
        <v>2351</v>
      </c>
      <c r="IB2" s="20" t="s">
        <v>2352</v>
      </c>
      <c r="IC2" s="20" t="s">
        <v>2353</v>
      </c>
      <c r="ID2" s="20" t="s">
        <v>2354</v>
      </c>
      <c r="IE2" s="20" t="s">
        <v>2355</v>
      </c>
      <c r="IF2" s="20" t="s">
        <v>2356</v>
      </c>
      <c r="IG2" s="20" t="s">
        <v>2357</v>
      </c>
      <c r="IH2" s="21" t="s">
        <v>2803</v>
      </c>
      <c r="II2" s="22" t="s">
        <v>2858</v>
      </c>
      <c r="IJ2" s="22" t="s">
        <v>2860</v>
      </c>
      <c r="IK2" s="20" t="s">
        <v>2358</v>
      </c>
      <c r="IL2" s="20" t="s">
        <v>2359</v>
      </c>
      <c r="IM2" s="20" t="s">
        <v>2360</v>
      </c>
      <c r="IN2" s="20" t="s">
        <v>2361</v>
      </c>
      <c r="IO2" s="20" t="s">
        <v>2362</v>
      </c>
      <c r="IP2" s="20" t="s">
        <v>2363</v>
      </c>
      <c r="IQ2" s="20" t="s">
        <v>2364</v>
      </c>
      <c r="IR2" s="20" t="s">
        <v>2365</v>
      </c>
      <c r="IS2" s="20" t="s">
        <v>2366</v>
      </c>
      <c r="IT2" s="20" t="s">
        <v>2367</v>
      </c>
      <c r="IU2" s="20" t="s">
        <v>2368</v>
      </c>
      <c r="IV2" s="20" t="s">
        <v>2369</v>
      </c>
      <c r="IW2" s="23" t="s">
        <v>2801</v>
      </c>
      <c r="IX2" s="20" t="s">
        <v>2370</v>
      </c>
      <c r="IY2" s="20" t="s">
        <v>2371</v>
      </c>
      <c r="IZ2" s="20" t="s">
        <v>2372</v>
      </c>
      <c r="JA2" s="20" t="s">
        <v>2373</v>
      </c>
      <c r="JB2" s="20" t="s">
        <v>2374</v>
      </c>
      <c r="JC2" s="20" t="s">
        <v>2375</v>
      </c>
      <c r="JD2" s="20" t="s">
        <v>2376</v>
      </c>
      <c r="JE2" s="20" t="s">
        <v>2377</v>
      </c>
      <c r="JF2" s="20" t="s">
        <v>2378</v>
      </c>
      <c r="JG2" s="20" t="s">
        <v>2379</v>
      </c>
      <c r="JH2" s="20" t="s">
        <v>2380</v>
      </c>
      <c r="JI2" s="20" t="s">
        <v>2381</v>
      </c>
      <c r="JJ2" s="23" t="s">
        <v>2799</v>
      </c>
      <c r="JK2" s="20" t="s">
        <v>2382</v>
      </c>
      <c r="JL2" s="20" t="s">
        <v>2383</v>
      </c>
      <c r="JM2" s="20" t="s">
        <v>2384</v>
      </c>
      <c r="JN2" s="20" t="s">
        <v>2385</v>
      </c>
      <c r="JO2" s="20" t="s">
        <v>2386</v>
      </c>
      <c r="JP2" s="20" t="s">
        <v>2387</v>
      </c>
      <c r="JQ2" s="20" t="s">
        <v>2388</v>
      </c>
      <c r="JR2" s="20" t="s">
        <v>2389</v>
      </c>
      <c r="JS2" s="20" t="s">
        <v>2390</v>
      </c>
      <c r="JT2" s="20" t="s">
        <v>2391</v>
      </c>
      <c r="JU2" s="20" t="s">
        <v>2392</v>
      </c>
      <c r="JV2" s="20" t="s">
        <v>2393</v>
      </c>
      <c r="JW2" s="23" t="s">
        <v>2797</v>
      </c>
      <c r="JX2" s="20" t="s">
        <v>2394</v>
      </c>
      <c r="JY2" s="20" t="s">
        <v>2395</v>
      </c>
      <c r="JZ2" s="20" t="s">
        <v>2396</v>
      </c>
      <c r="KA2" s="20" t="s">
        <v>2397</v>
      </c>
      <c r="KB2" s="20" t="s">
        <v>2398</v>
      </c>
      <c r="KC2" s="20" t="s">
        <v>2399</v>
      </c>
      <c r="KD2" s="20" t="s">
        <v>2400</v>
      </c>
      <c r="KE2" s="20" t="s">
        <v>2401</v>
      </c>
      <c r="KF2" s="20" t="s">
        <v>2402</v>
      </c>
      <c r="KG2" s="20" t="s">
        <v>2403</v>
      </c>
      <c r="KH2" s="20" t="s">
        <v>2404</v>
      </c>
      <c r="KI2" s="20" t="s">
        <v>2405</v>
      </c>
      <c r="KJ2" s="23" t="s">
        <v>2795</v>
      </c>
      <c r="KK2" s="20" t="s">
        <v>2406</v>
      </c>
      <c r="KL2" s="20" t="s">
        <v>2407</v>
      </c>
      <c r="KM2" s="20" t="s">
        <v>2408</v>
      </c>
      <c r="KN2" s="20" t="s">
        <v>2409</v>
      </c>
      <c r="KO2" s="20" t="s">
        <v>2410</v>
      </c>
      <c r="KP2" s="20" t="s">
        <v>2411</v>
      </c>
      <c r="KQ2" s="20" t="s">
        <v>2412</v>
      </c>
      <c r="KR2" s="20" t="s">
        <v>2413</v>
      </c>
      <c r="KS2" s="20" t="s">
        <v>2414</v>
      </c>
      <c r="KT2" s="20" t="s">
        <v>2415</v>
      </c>
      <c r="KU2" s="20" t="s">
        <v>2416</v>
      </c>
      <c r="KV2" s="20" t="s">
        <v>2417</v>
      </c>
      <c r="KW2" s="23" t="s">
        <v>2793</v>
      </c>
      <c r="KX2" s="20" t="s">
        <v>2370</v>
      </c>
      <c r="KY2" s="20" t="s">
        <v>2371</v>
      </c>
      <c r="KZ2" s="20" t="s">
        <v>2372</v>
      </c>
      <c r="LA2" s="20" t="s">
        <v>2373</v>
      </c>
      <c r="LB2" s="20" t="s">
        <v>2374</v>
      </c>
      <c r="LC2" s="20" t="s">
        <v>2375</v>
      </c>
      <c r="LD2" s="20" t="s">
        <v>2376</v>
      </c>
      <c r="LE2" s="20" t="s">
        <v>2377</v>
      </c>
      <c r="LF2" s="20" t="s">
        <v>2378</v>
      </c>
      <c r="LG2" s="20" t="s">
        <v>2379</v>
      </c>
      <c r="LH2" s="20" t="s">
        <v>2380</v>
      </c>
      <c r="LI2" s="20" t="s">
        <v>2381</v>
      </c>
      <c r="LJ2" s="23" t="s">
        <v>2791</v>
      </c>
      <c r="LK2" s="20" t="s">
        <v>2382</v>
      </c>
      <c r="LL2" s="20" t="s">
        <v>2383</v>
      </c>
      <c r="LM2" s="20" t="s">
        <v>2384</v>
      </c>
      <c r="LN2" s="20" t="s">
        <v>2385</v>
      </c>
      <c r="LO2" s="20" t="s">
        <v>2386</v>
      </c>
      <c r="LP2" s="20" t="s">
        <v>2387</v>
      </c>
      <c r="LQ2" s="20" t="s">
        <v>2388</v>
      </c>
      <c r="LR2" s="20" t="s">
        <v>2389</v>
      </c>
      <c r="LS2" s="20" t="s">
        <v>2390</v>
      </c>
      <c r="LT2" s="20" t="s">
        <v>2391</v>
      </c>
      <c r="LU2" s="20" t="s">
        <v>2392</v>
      </c>
      <c r="LV2" s="20" t="s">
        <v>2393</v>
      </c>
      <c r="LW2" s="23" t="s">
        <v>2789</v>
      </c>
      <c r="LX2" s="20" t="s">
        <v>2394</v>
      </c>
      <c r="LY2" s="20" t="s">
        <v>2395</v>
      </c>
      <c r="LZ2" s="20" t="s">
        <v>2396</v>
      </c>
      <c r="MA2" s="20" t="s">
        <v>2397</v>
      </c>
      <c r="MB2" s="20" t="s">
        <v>2398</v>
      </c>
      <c r="MC2" s="20" t="s">
        <v>2399</v>
      </c>
      <c r="MD2" s="20" t="s">
        <v>2400</v>
      </c>
      <c r="ME2" s="20" t="s">
        <v>2401</v>
      </c>
      <c r="MF2" s="20" t="s">
        <v>2402</v>
      </c>
      <c r="MG2" s="20" t="s">
        <v>2403</v>
      </c>
      <c r="MH2" s="20" t="s">
        <v>2404</v>
      </c>
      <c r="MI2" s="20" t="s">
        <v>2405</v>
      </c>
      <c r="MJ2" s="23" t="s">
        <v>2787</v>
      </c>
      <c r="MK2" s="14" t="s">
        <v>2418</v>
      </c>
      <c r="ML2" s="14" t="s">
        <v>2419</v>
      </c>
      <c r="MM2" s="14" t="s">
        <v>2420</v>
      </c>
      <c r="MN2" s="14" t="s">
        <v>2421</v>
      </c>
      <c r="MO2" s="14" t="s">
        <v>2422</v>
      </c>
      <c r="MP2" s="14" t="s">
        <v>2423</v>
      </c>
      <c r="MQ2" s="14" t="s">
        <v>2424</v>
      </c>
      <c r="MR2" s="14" t="s">
        <v>2425</v>
      </c>
      <c r="MS2" s="14" t="s">
        <v>2426</v>
      </c>
      <c r="MT2" s="14" t="s">
        <v>2427</v>
      </c>
      <c r="MU2" s="14" t="s">
        <v>2428</v>
      </c>
      <c r="MV2" s="14" t="s">
        <v>2429</v>
      </c>
      <c r="MW2" s="24" t="s">
        <v>2785</v>
      </c>
      <c r="MX2" s="14" t="s">
        <v>2430</v>
      </c>
      <c r="MY2" s="14" t="s">
        <v>2431</v>
      </c>
      <c r="MZ2" s="14" t="s">
        <v>2432</v>
      </c>
      <c r="NA2" s="14" t="s">
        <v>2433</v>
      </c>
      <c r="NB2" s="14" t="s">
        <v>2434</v>
      </c>
      <c r="NC2" s="14" t="s">
        <v>2435</v>
      </c>
      <c r="ND2" s="14" t="s">
        <v>2436</v>
      </c>
      <c r="NE2" s="14" t="s">
        <v>2437</v>
      </c>
      <c r="NF2" s="14" t="s">
        <v>2438</v>
      </c>
      <c r="NG2" s="14" t="s">
        <v>2439</v>
      </c>
      <c r="NH2" s="14" t="s">
        <v>2440</v>
      </c>
      <c r="NI2" s="14" t="s">
        <v>2441</v>
      </c>
      <c r="NJ2" s="24" t="s">
        <v>2783</v>
      </c>
      <c r="NK2" s="14" t="s">
        <v>2442</v>
      </c>
      <c r="NL2" s="14" t="s">
        <v>2443</v>
      </c>
      <c r="NM2" s="14" t="s">
        <v>2444</v>
      </c>
      <c r="NN2" s="14" t="s">
        <v>2445</v>
      </c>
      <c r="NO2" s="14" t="s">
        <v>2446</v>
      </c>
      <c r="NP2" s="14" t="s">
        <v>2447</v>
      </c>
      <c r="NQ2" s="14" t="s">
        <v>2448</v>
      </c>
      <c r="NR2" s="14" t="s">
        <v>2449</v>
      </c>
      <c r="NS2" s="14" t="s">
        <v>2450</v>
      </c>
      <c r="NT2" s="14" t="s">
        <v>2451</v>
      </c>
      <c r="NU2" s="14" t="s">
        <v>2452</v>
      </c>
      <c r="NV2" s="14" t="s">
        <v>2453</v>
      </c>
      <c r="NW2" s="24" t="s">
        <v>2781</v>
      </c>
      <c r="NX2" s="14" t="s">
        <v>2454</v>
      </c>
      <c r="NY2" s="14" t="s">
        <v>2455</v>
      </c>
      <c r="NZ2" s="14" t="s">
        <v>2456</v>
      </c>
      <c r="OA2" s="14" t="s">
        <v>2457</v>
      </c>
      <c r="OB2" s="14" t="s">
        <v>2458</v>
      </c>
      <c r="OC2" s="14" t="s">
        <v>2459</v>
      </c>
      <c r="OD2" s="14" t="s">
        <v>2460</v>
      </c>
      <c r="OE2" s="14" t="s">
        <v>2461</v>
      </c>
      <c r="OF2" s="14" t="s">
        <v>2462</v>
      </c>
      <c r="OG2" s="14" t="s">
        <v>2463</v>
      </c>
      <c r="OH2" s="14" t="s">
        <v>2464</v>
      </c>
      <c r="OI2" s="14" t="s">
        <v>2465</v>
      </c>
      <c r="OJ2" s="24" t="s">
        <v>2779</v>
      </c>
      <c r="OK2" s="14" t="s">
        <v>2466</v>
      </c>
      <c r="OL2" s="14" t="s">
        <v>2467</v>
      </c>
      <c r="OM2" s="14" t="s">
        <v>2468</v>
      </c>
      <c r="ON2" s="14" t="s">
        <v>2469</v>
      </c>
      <c r="OO2" s="14" t="s">
        <v>2470</v>
      </c>
      <c r="OP2" s="14" t="s">
        <v>2471</v>
      </c>
      <c r="OQ2" s="14" t="s">
        <v>2472</v>
      </c>
      <c r="OR2" s="14" t="s">
        <v>2473</v>
      </c>
      <c r="OS2" s="14" t="s">
        <v>2474</v>
      </c>
      <c r="OT2" s="14" t="s">
        <v>2475</v>
      </c>
      <c r="OU2" s="14" t="s">
        <v>2476</v>
      </c>
      <c r="OV2" s="14" t="s">
        <v>2477</v>
      </c>
      <c r="OW2" s="24" t="s">
        <v>2777</v>
      </c>
      <c r="OX2" s="14" t="s">
        <v>2430</v>
      </c>
      <c r="OY2" s="14" t="s">
        <v>2431</v>
      </c>
      <c r="OZ2" s="14" t="s">
        <v>2432</v>
      </c>
      <c r="PA2" s="14" t="s">
        <v>2433</v>
      </c>
      <c r="PB2" s="14" t="s">
        <v>2434</v>
      </c>
      <c r="PC2" s="14" t="s">
        <v>2435</v>
      </c>
      <c r="PD2" s="14" t="s">
        <v>2436</v>
      </c>
      <c r="PE2" s="14" t="s">
        <v>2437</v>
      </c>
      <c r="PF2" s="14" t="s">
        <v>2438</v>
      </c>
      <c r="PG2" s="14" t="s">
        <v>2439</v>
      </c>
      <c r="PH2" s="14" t="s">
        <v>2440</v>
      </c>
      <c r="PI2" s="14" t="s">
        <v>2441</v>
      </c>
      <c r="PJ2" s="24" t="s">
        <v>2775</v>
      </c>
      <c r="PK2" s="14" t="s">
        <v>2442</v>
      </c>
      <c r="PL2" s="14" t="s">
        <v>2443</v>
      </c>
      <c r="PM2" s="14" t="s">
        <v>2444</v>
      </c>
      <c r="PN2" s="14" t="s">
        <v>2445</v>
      </c>
      <c r="PO2" s="14" t="s">
        <v>2446</v>
      </c>
      <c r="PP2" s="14" t="s">
        <v>2447</v>
      </c>
      <c r="PQ2" s="14" t="s">
        <v>2448</v>
      </c>
      <c r="PR2" s="14" t="s">
        <v>2449</v>
      </c>
      <c r="PS2" s="14" t="s">
        <v>2450</v>
      </c>
      <c r="PT2" s="14" t="s">
        <v>2451</v>
      </c>
      <c r="PU2" s="14" t="s">
        <v>2452</v>
      </c>
      <c r="PV2" s="14" t="s">
        <v>2453</v>
      </c>
      <c r="PW2" s="24" t="s">
        <v>2773</v>
      </c>
      <c r="PX2" s="14" t="s">
        <v>2454</v>
      </c>
      <c r="PY2" s="14" t="s">
        <v>2455</v>
      </c>
      <c r="PZ2" s="14" t="s">
        <v>2456</v>
      </c>
      <c r="QA2" s="14" t="s">
        <v>2457</v>
      </c>
      <c r="QB2" s="14" t="s">
        <v>2458</v>
      </c>
      <c r="QC2" s="14" t="s">
        <v>2459</v>
      </c>
      <c r="QD2" s="14" t="s">
        <v>2460</v>
      </c>
      <c r="QE2" s="14" t="s">
        <v>2461</v>
      </c>
      <c r="QF2" s="14" t="s">
        <v>2462</v>
      </c>
      <c r="QG2" s="14" t="s">
        <v>2463</v>
      </c>
      <c r="QH2" s="14" t="s">
        <v>2464</v>
      </c>
      <c r="QI2" s="14" t="s">
        <v>2465</v>
      </c>
      <c r="QJ2" s="24" t="s">
        <v>2771</v>
      </c>
      <c r="QK2" s="20" t="s">
        <v>2478</v>
      </c>
      <c r="QL2" s="20" t="s">
        <v>2479</v>
      </c>
      <c r="QM2" s="20" t="s">
        <v>2480</v>
      </c>
      <c r="QN2" s="20" t="s">
        <v>2481</v>
      </c>
      <c r="QO2" s="20" t="s">
        <v>2482</v>
      </c>
      <c r="QP2" s="20" t="s">
        <v>2483</v>
      </c>
      <c r="QQ2" s="20" t="s">
        <v>2484</v>
      </c>
      <c r="QR2" s="20" t="s">
        <v>2485</v>
      </c>
      <c r="QS2" s="20" t="s">
        <v>2486</v>
      </c>
      <c r="QT2" s="20" t="s">
        <v>2487</v>
      </c>
      <c r="QU2" s="20" t="s">
        <v>2488</v>
      </c>
      <c r="QV2" s="20" t="s">
        <v>2489</v>
      </c>
      <c r="QW2" s="23" t="s">
        <v>2769</v>
      </c>
      <c r="QX2" s="20" t="s">
        <v>2490</v>
      </c>
      <c r="QY2" s="20" t="s">
        <v>2491</v>
      </c>
      <c r="QZ2" s="20" t="s">
        <v>2492</v>
      </c>
      <c r="RA2" s="20" t="s">
        <v>2493</v>
      </c>
      <c r="RB2" s="20" t="s">
        <v>2494</v>
      </c>
      <c r="RC2" s="20" t="s">
        <v>2495</v>
      </c>
      <c r="RD2" s="20" t="s">
        <v>2496</v>
      </c>
      <c r="RE2" s="20" t="s">
        <v>2497</v>
      </c>
      <c r="RF2" s="20" t="s">
        <v>2498</v>
      </c>
      <c r="RG2" s="20" t="s">
        <v>2499</v>
      </c>
      <c r="RH2" s="20" t="s">
        <v>2500</v>
      </c>
      <c r="RI2" s="20" t="s">
        <v>2501</v>
      </c>
      <c r="RJ2" s="23" t="s">
        <v>2767</v>
      </c>
      <c r="RK2" s="20" t="s">
        <v>2502</v>
      </c>
      <c r="RL2" s="20" t="s">
        <v>2503</v>
      </c>
      <c r="RM2" s="20" t="s">
        <v>2504</v>
      </c>
      <c r="RN2" s="20" t="s">
        <v>2505</v>
      </c>
      <c r="RO2" s="20" t="s">
        <v>2506</v>
      </c>
      <c r="RP2" s="20" t="s">
        <v>2507</v>
      </c>
      <c r="RQ2" s="20" t="s">
        <v>2508</v>
      </c>
      <c r="RR2" s="20" t="s">
        <v>2509</v>
      </c>
      <c r="RS2" s="20" t="s">
        <v>2510</v>
      </c>
      <c r="RT2" s="20" t="s">
        <v>2511</v>
      </c>
      <c r="RU2" s="20" t="s">
        <v>2512</v>
      </c>
      <c r="RV2" s="20" t="s">
        <v>2513</v>
      </c>
      <c r="RW2" s="23" t="s">
        <v>2765</v>
      </c>
      <c r="RX2" s="20" t="s">
        <v>2514</v>
      </c>
      <c r="RY2" s="20" t="s">
        <v>2515</v>
      </c>
      <c r="RZ2" s="20" t="s">
        <v>2516</v>
      </c>
      <c r="SA2" s="20" t="s">
        <v>2517</v>
      </c>
      <c r="SB2" s="20" t="s">
        <v>2518</v>
      </c>
      <c r="SC2" s="20" t="s">
        <v>2519</v>
      </c>
      <c r="SD2" s="20" t="s">
        <v>2520</v>
      </c>
      <c r="SE2" s="20" t="s">
        <v>2521</v>
      </c>
      <c r="SF2" s="20" t="s">
        <v>2522</v>
      </c>
      <c r="SG2" s="20" t="s">
        <v>2523</v>
      </c>
      <c r="SH2" s="20" t="s">
        <v>2524</v>
      </c>
      <c r="SI2" s="20" t="s">
        <v>2525</v>
      </c>
      <c r="SJ2" s="23" t="s">
        <v>2763</v>
      </c>
      <c r="SK2" s="20" t="s">
        <v>2526</v>
      </c>
      <c r="SL2" s="20" t="s">
        <v>2527</v>
      </c>
      <c r="SM2" s="20" t="s">
        <v>2528</v>
      </c>
      <c r="SN2" s="20" t="s">
        <v>2529</v>
      </c>
      <c r="SO2" s="20" t="s">
        <v>2530</v>
      </c>
      <c r="SP2" s="20" t="s">
        <v>2531</v>
      </c>
      <c r="SQ2" s="20" t="s">
        <v>2532</v>
      </c>
      <c r="SR2" s="20" t="s">
        <v>2533</v>
      </c>
      <c r="SS2" s="20" t="s">
        <v>2534</v>
      </c>
      <c r="ST2" s="20" t="s">
        <v>2535</v>
      </c>
      <c r="SU2" s="20" t="s">
        <v>2536</v>
      </c>
      <c r="SV2" s="20" t="s">
        <v>2537</v>
      </c>
      <c r="SW2" s="23" t="s">
        <v>2761</v>
      </c>
      <c r="SX2" s="14" t="s">
        <v>831</v>
      </c>
      <c r="SY2" s="20" t="s">
        <v>2538</v>
      </c>
      <c r="SZ2" s="20" t="s">
        <v>2539</v>
      </c>
      <c r="TA2" s="20" t="s">
        <v>2540</v>
      </c>
      <c r="TB2" s="20" t="s">
        <v>2541</v>
      </c>
      <c r="TC2" s="20" t="s">
        <v>2542</v>
      </c>
      <c r="TD2" s="20" t="s">
        <v>2543</v>
      </c>
      <c r="TE2" s="20" t="s">
        <v>2544</v>
      </c>
      <c r="TF2" s="20" t="s">
        <v>2545</v>
      </c>
      <c r="TG2" s="20" t="s">
        <v>2546</v>
      </c>
      <c r="TH2" s="20" t="s">
        <v>2547</v>
      </c>
      <c r="TI2" s="20" t="s">
        <v>2548</v>
      </c>
      <c r="TJ2" s="20" t="s">
        <v>2549</v>
      </c>
      <c r="TK2" s="23" t="s">
        <v>2759</v>
      </c>
      <c r="TL2" s="20" t="s">
        <v>2550</v>
      </c>
      <c r="TM2" s="20" t="s">
        <v>2551</v>
      </c>
      <c r="TN2" s="20" t="s">
        <v>2552</v>
      </c>
      <c r="TO2" s="20" t="s">
        <v>2553</v>
      </c>
      <c r="TP2" s="20" t="s">
        <v>2554</v>
      </c>
      <c r="TQ2" s="20" t="s">
        <v>2555</v>
      </c>
      <c r="TR2" s="20" t="s">
        <v>2556</v>
      </c>
      <c r="TS2" s="20" t="s">
        <v>2557</v>
      </c>
      <c r="TT2" s="20" t="s">
        <v>2558</v>
      </c>
      <c r="TU2" s="20" t="s">
        <v>2559</v>
      </c>
      <c r="TV2" s="20" t="s">
        <v>2560</v>
      </c>
      <c r="TW2" s="20" t="s">
        <v>2561</v>
      </c>
      <c r="TX2" s="23" t="s">
        <v>2757</v>
      </c>
      <c r="TY2" s="14" t="s">
        <v>2562</v>
      </c>
      <c r="TZ2" s="14" t="s">
        <v>2563</v>
      </c>
      <c r="UA2" s="14" t="s">
        <v>2564</v>
      </c>
    </row>
    <row r="3" spans="1:547" ht="16" customHeight="1" x14ac:dyDescent="0.35">
      <c r="A3" t="s">
        <v>860</v>
      </c>
      <c r="B3" t="s">
        <v>2565</v>
      </c>
      <c r="C3" t="s">
        <v>2566</v>
      </c>
      <c r="D3" t="s">
        <v>2567</v>
      </c>
      <c r="E3" t="s">
        <v>2568</v>
      </c>
      <c r="F3" t="s">
        <v>865</v>
      </c>
      <c r="G3" t="s">
        <v>866</v>
      </c>
      <c r="H3" t="s">
        <v>867</v>
      </c>
      <c r="I3" t="s">
        <v>868</v>
      </c>
      <c r="J3" t="s">
        <v>869</v>
      </c>
      <c r="K3" t="s">
        <v>870</v>
      </c>
      <c r="L3" t="s">
        <v>871</v>
      </c>
      <c r="M3" t="s">
        <v>872</v>
      </c>
      <c r="N3" t="s">
        <v>873</v>
      </c>
      <c r="O3" t="s">
        <v>874</v>
      </c>
      <c r="Q3" t="s">
        <v>875</v>
      </c>
      <c r="R3" t="s">
        <v>876</v>
      </c>
      <c r="S3" s="7" t="s">
        <v>1561</v>
      </c>
      <c r="T3" t="s">
        <v>2569</v>
      </c>
      <c r="U3" t="s">
        <v>2570</v>
      </c>
      <c r="V3" t="s">
        <v>2571</v>
      </c>
      <c r="W3" t="s">
        <v>2572</v>
      </c>
      <c r="X3" t="s">
        <v>2573</v>
      </c>
      <c r="Y3" t="s">
        <v>2574</v>
      </c>
      <c r="Z3" t="s">
        <v>2575</v>
      </c>
      <c r="AA3" t="s">
        <v>2576</v>
      </c>
      <c r="AB3" t="s">
        <v>2577</v>
      </c>
      <c r="AC3" t="s">
        <v>2578</v>
      </c>
      <c r="AD3" t="s">
        <v>2579</v>
      </c>
      <c r="AE3" t="s">
        <v>2580</v>
      </c>
      <c r="AF3" s="7" t="s">
        <v>1561</v>
      </c>
      <c r="AG3" t="s">
        <v>937</v>
      </c>
      <c r="AH3" t="s">
        <v>938</v>
      </c>
      <c r="AI3" t="s">
        <v>939</v>
      </c>
      <c r="AJ3" t="s">
        <v>940</v>
      </c>
      <c r="AK3" t="s">
        <v>941</v>
      </c>
      <c r="AL3" t="s">
        <v>942</v>
      </c>
      <c r="AM3" t="s">
        <v>943</v>
      </c>
      <c r="AN3" t="s">
        <v>944</v>
      </c>
      <c r="AO3" t="s">
        <v>945</v>
      </c>
      <c r="AP3" t="s">
        <v>946</v>
      </c>
      <c r="AQ3" t="s">
        <v>947</v>
      </c>
      <c r="AR3" t="s">
        <v>948</v>
      </c>
      <c r="AS3" s="7" t="s">
        <v>1561</v>
      </c>
      <c r="AT3" t="s">
        <v>949</v>
      </c>
      <c r="AU3" t="s">
        <v>950</v>
      </c>
      <c r="AV3" t="s">
        <v>951</v>
      </c>
      <c r="AW3" t="s">
        <v>952</v>
      </c>
      <c r="AX3" t="s">
        <v>953</v>
      </c>
      <c r="AY3" t="s">
        <v>954</v>
      </c>
      <c r="AZ3" t="s">
        <v>955</v>
      </c>
      <c r="BA3" t="s">
        <v>956</v>
      </c>
      <c r="BB3" t="s">
        <v>957</v>
      </c>
      <c r="BC3" t="s">
        <v>958</v>
      </c>
      <c r="BD3" t="s">
        <v>959</v>
      </c>
      <c r="BE3" t="s">
        <v>960</v>
      </c>
      <c r="BF3" s="7" t="s">
        <v>1561</v>
      </c>
      <c r="BG3" t="s">
        <v>2581</v>
      </c>
      <c r="BH3" t="s">
        <v>2582</v>
      </c>
      <c r="BI3" t="s">
        <v>2583</v>
      </c>
      <c r="BJ3" t="s">
        <v>2584</v>
      </c>
      <c r="BK3" t="s">
        <v>2585</v>
      </c>
      <c r="BL3" t="s">
        <v>2586</v>
      </c>
      <c r="BM3" t="s">
        <v>2587</v>
      </c>
      <c r="BN3" t="s">
        <v>2588</v>
      </c>
      <c r="BO3" t="s">
        <v>2589</v>
      </c>
      <c r="BP3" t="s">
        <v>2590</v>
      </c>
      <c r="BQ3" t="s">
        <v>2591</v>
      </c>
      <c r="BR3" t="s">
        <v>2592</v>
      </c>
      <c r="BS3" s="7" t="s">
        <v>1561</v>
      </c>
      <c r="BT3" t="s">
        <v>973</v>
      </c>
      <c r="BU3" t="s">
        <v>974</v>
      </c>
      <c r="BV3" t="s">
        <v>975</v>
      </c>
      <c r="BW3" t="s">
        <v>976</v>
      </c>
      <c r="BX3" t="s">
        <v>977</v>
      </c>
      <c r="BY3" t="s">
        <v>978</v>
      </c>
      <c r="BZ3" t="s">
        <v>979</v>
      </c>
      <c r="CA3" t="s">
        <v>980</v>
      </c>
      <c r="CB3" t="s">
        <v>981</v>
      </c>
      <c r="CC3" t="s">
        <v>982</v>
      </c>
      <c r="CD3" t="s">
        <v>983</v>
      </c>
      <c r="CE3" t="s">
        <v>984</v>
      </c>
      <c r="CF3" s="7" t="s">
        <v>1561</v>
      </c>
      <c r="CG3" t="s">
        <v>2593</v>
      </c>
      <c r="CH3" t="s">
        <v>2594</v>
      </c>
      <c r="CI3" t="s">
        <v>2595</v>
      </c>
      <c r="CJ3" t="s">
        <v>2596</v>
      </c>
      <c r="CK3" t="s">
        <v>2597</v>
      </c>
      <c r="CL3" t="s">
        <v>2598</v>
      </c>
      <c r="CM3" t="s">
        <v>2599</v>
      </c>
      <c r="CN3" t="s">
        <v>2600</v>
      </c>
      <c r="CO3" t="s">
        <v>2601</v>
      </c>
      <c r="CP3" t="s">
        <v>2602</v>
      </c>
      <c r="CQ3" t="s">
        <v>2603</v>
      </c>
      <c r="CR3" t="s">
        <v>2604</v>
      </c>
      <c r="CS3" s="7" t="s">
        <v>1561</v>
      </c>
      <c r="CT3" t="s">
        <v>2605</v>
      </c>
      <c r="CU3" t="s">
        <v>2606</v>
      </c>
      <c r="CV3" t="s">
        <v>2607</v>
      </c>
      <c r="CW3" t="s">
        <v>2608</v>
      </c>
      <c r="CX3" t="s">
        <v>2609</v>
      </c>
      <c r="CY3" t="s">
        <v>2610</v>
      </c>
      <c r="CZ3" t="s">
        <v>2611</v>
      </c>
      <c r="DA3" t="s">
        <v>2612</v>
      </c>
      <c r="DB3" t="s">
        <v>2613</v>
      </c>
      <c r="DC3" t="s">
        <v>2614</v>
      </c>
      <c r="DD3" t="s">
        <v>2615</v>
      </c>
      <c r="DE3" t="s">
        <v>2616</v>
      </c>
      <c r="DF3" s="7" t="s">
        <v>1561</v>
      </c>
      <c r="DG3" t="s">
        <v>2617</v>
      </c>
      <c r="DH3" t="s">
        <v>2618</v>
      </c>
      <c r="DI3" t="s">
        <v>2619</v>
      </c>
      <c r="DJ3" t="s">
        <v>2620</v>
      </c>
      <c r="DK3" t="s">
        <v>2621</v>
      </c>
      <c r="DL3" t="s">
        <v>2622</v>
      </c>
      <c r="DM3" t="s">
        <v>2623</v>
      </c>
      <c r="DN3" t="s">
        <v>2624</v>
      </c>
      <c r="DO3" t="s">
        <v>2625</v>
      </c>
      <c r="DP3" t="s">
        <v>2626</v>
      </c>
      <c r="DQ3" t="s">
        <v>2627</v>
      </c>
      <c r="DR3" t="s">
        <v>2628</v>
      </c>
      <c r="DS3" s="7" t="s">
        <v>1561</v>
      </c>
      <c r="DT3" t="s">
        <v>2629</v>
      </c>
      <c r="DU3" t="s">
        <v>2630</v>
      </c>
      <c r="DV3" t="s">
        <v>2631</v>
      </c>
      <c r="DW3" t="s">
        <v>2632</v>
      </c>
      <c r="DX3" t="s">
        <v>2633</v>
      </c>
      <c r="DY3" t="s">
        <v>2634</v>
      </c>
      <c r="DZ3" t="s">
        <v>2635</v>
      </c>
      <c r="EA3" t="s">
        <v>2636</v>
      </c>
      <c r="EB3" t="s">
        <v>2637</v>
      </c>
      <c r="EC3" t="s">
        <v>2638</v>
      </c>
      <c r="ED3" t="s">
        <v>2639</v>
      </c>
      <c r="EE3" t="s">
        <v>2640</v>
      </c>
      <c r="EF3" s="7" t="s">
        <v>1561</v>
      </c>
      <c r="EG3" s="25" t="s">
        <v>1636</v>
      </c>
      <c r="EH3" s="25" t="s">
        <v>1636</v>
      </c>
      <c r="EI3" t="s">
        <v>985</v>
      </c>
      <c r="EJ3" t="s">
        <v>986</v>
      </c>
      <c r="EK3" t="s">
        <v>987</v>
      </c>
      <c r="EL3" t="s">
        <v>988</v>
      </c>
      <c r="EM3" t="s">
        <v>989</v>
      </c>
      <c r="EN3" t="s">
        <v>990</v>
      </c>
      <c r="EO3" t="s">
        <v>991</v>
      </c>
      <c r="EP3" t="s">
        <v>992</v>
      </c>
      <c r="EQ3" t="s">
        <v>993</v>
      </c>
      <c r="ER3" t="s">
        <v>994</v>
      </c>
      <c r="ES3" t="s">
        <v>995</v>
      </c>
      <c r="ET3" t="s">
        <v>996</v>
      </c>
      <c r="EU3" s="7" t="s">
        <v>1561</v>
      </c>
      <c r="EV3" t="s">
        <v>1021</v>
      </c>
      <c r="EW3" t="s">
        <v>1022</v>
      </c>
      <c r="EX3" t="s">
        <v>1023</v>
      </c>
      <c r="EY3" t="s">
        <v>1024</v>
      </c>
      <c r="EZ3" t="s">
        <v>1025</v>
      </c>
      <c r="FA3" t="s">
        <v>1026</v>
      </c>
      <c r="FB3" t="s">
        <v>1027</v>
      </c>
      <c r="FC3" t="s">
        <v>1028</v>
      </c>
      <c r="FD3" t="s">
        <v>1029</v>
      </c>
      <c r="FE3" t="s">
        <v>1030</v>
      </c>
      <c r="FF3" t="s">
        <v>1031</v>
      </c>
      <c r="FG3" t="s">
        <v>1032</v>
      </c>
      <c r="FH3" s="7" t="s">
        <v>1561</v>
      </c>
      <c r="FI3" t="s">
        <v>997</v>
      </c>
      <c r="FJ3" t="s">
        <v>998</v>
      </c>
      <c r="FK3" t="s">
        <v>999</v>
      </c>
      <c r="FL3" t="s">
        <v>1000</v>
      </c>
      <c r="FM3" t="s">
        <v>1001</v>
      </c>
      <c r="FN3" t="s">
        <v>1002</v>
      </c>
      <c r="FO3" t="s">
        <v>1003</v>
      </c>
      <c r="FP3" t="s">
        <v>1004</v>
      </c>
      <c r="FQ3" t="s">
        <v>1005</v>
      </c>
      <c r="FR3" t="s">
        <v>1006</v>
      </c>
      <c r="FS3" t="s">
        <v>1007</v>
      </c>
      <c r="FT3" t="s">
        <v>1008</v>
      </c>
      <c r="FU3" s="7" t="s">
        <v>1561</v>
      </c>
      <c r="FV3" t="s">
        <v>1009</v>
      </c>
      <c r="FW3" t="s">
        <v>1010</v>
      </c>
      <c r="FX3" t="s">
        <v>1011</v>
      </c>
      <c r="FY3" t="s">
        <v>1012</v>
      </c>
      <c r="FZ3" t="s">
        <v>1013</v>
      </c>
      <c r="GA3" t="s">
        <v>1014</v>
      </c>
      <c r="GB3" t="s">
        <v>1015</v>
      </c>
      <c r="GC3" t="s">
        <v>1016</v>
      </c>
      <c r="GD3" t="s">
        <v>1017</v>
      </c>
      <c r="GE3" t="s">
        <v>1018</v>
      </c>
      <c r="GF3" t="s">
        <v>1019</v>
      </c>
      <c r="GG3" t="s">
        <v>1020</v>
      </c>
      <c r="GH3" s="7" t="s">
        <v>1561</v>
      </c>
      <c r="GI3" t="s">
        <v>1033</v>
      </c>
      <c r="GJ3" t="s">
        <v>1034</v>
      </c>
      <c r="GK3" t="s">
        <v>1035</v>
      </c>
      <c r="GL3" t="s">
        <v>1036</v>
      </c>
      <c r="GM3" t="s">
        <v>1037</v>
      </c>
      <c r="GN3" t="s">
        <v>1038</v>
      </c>
      <c r="GO3" t="s">
        <v>1039</v>
      </c>
      <c r="GP3" t="s">
        <v>1040</v>
      </c>
      <c r="GQ3" t="s">
        <v>1041</v>
      </c>
      <c r="GR3" t="s">
        <v>1042</v>
      </c>
      <c r="GS3" t="s">
        <v>1043</v>
      </c>
      <c r="GT3" t="s">
        <v>1044</v>
      </c>
      <c r="GU3" s="7" t="s">
        <v>1561</v>
      </c>
      <c r="GV3" t="s">
        <v>1069</v>
      </c>
      <c r="GW3" t="s">
        <v>1070</v>
      </c>
      <c r="GX3" t="s">
        <v>1071</v>
      </c>
      <c r="GY3" t="s">
        <v>1072</v>
      </c>
      <c r="GZ3" t="s">
        <v>1073</v>
      </c>
      <c r="HA3" t="s">
        <v>1074</v>
      </c>
      <c r="HB3" t="s">
        <v>1075</v>
      </c>
      <c r="HC3" t="s">
        <v>1076</v>
      </c>
      <c r="HD3" t="s">
        <v>1077</v>
      </c>
      <c r="HE3" t="s">
        <v>1078</v>
      </c>
      <c r="HF3" t="s">
        <v>1079</v>
      </c>
      <c r="HG3" t="s">
        <v>1080</v>
      </c>
      <c r="HH3" s="7" t="s">
        <v>1561</v>
      </c>
      <c r="HI3" t="s">
        <v>1045</v>
      </c>
      <c r="HJ3" t="s">
        <v>1046</v>
      </c>
      <c r="HK3" t="s">
        <v>1047</v>
      </c>
      <c r="HL3" t="s">
        <v>1048</v>
      </c>
      <c r="HM3" t="s">
        <v>1049</v>
      </c>
      <c r="HN3" t="s">
        <v>1050</v>
      </c>
      <c r="HO3" t="s">
        <v>1051</v>
      </c>
      <c r="HP3" t="s">
        <v>1052</v>
      </c>
      <c r="HQ3" t="s">
        <v>1053</v>
      </c>
      <c r="HR3" t="s">
        <v>1054</v>
      </c>
      <c r="HS3" t="s">
        <v>1055</v>
      </c>
      <c r="HT3" t="s">
        <v>1056</v>
      </c>
      <c r="HU3" s="7" t="s">
        <v>1561</v>
      </c>
      <c r="HV3" t="s">
        <v>1057</v>
      </c>
      <c r="HW3" t="s">
        <v>1058</v>
      </c>
      <c r="HX3" t="s">
        <v>1059</v>
      </c>
      <c r="HY3" t="s">
        <v>1060</v>
      </c>
      <c r="HZ3" t="s">
        <v>1061</v>
      </c>
      <c r="IA3" t="s">
        <v>1062</v>
      </c>
      <c r="IB3" t="s">
        <v>1063</v>
      </c>
      <c r="IC3" t="s">
        <v>1064</v>
      </c>
      <c r="ID3" t="s">
        <v>1065</v>
      </c>
      <c r="IE3" t="s">
        <v>1066</v>
      </c>
      <c r="IF3" t="s">
        <v>1067</v>
      </c>
      <c r="IG3" t="s">
        <v>1068</v>
      </c>
      <c r="IH3" s="7" t="s">
        <v>1561</v>
      </c>
      <c r="II3" s="25" t="s">
        <v>2859</v>
      </c>
      <c r="IJ3" s="25" t="s">
        <v>2859</v>
      </c>
      <c r="IK3" t="s">
        <v>1081</v>
      </c>
      <c r="IL3" t="s">
        <v>1082</v>
      </c>
      <c r="IM3" t="s">
        <v>1083</v>
      </c>
      <c r="IN3" t="s">
        <v>1084</v>
      </c>
      <c r="IO3" t="s">
        <v>1085</v>
      </c>
      <c r="IP3" t="s">
        <v>1086</v>
      </c>
      <c r="IQ3" t="s">
        <v>1087</v>
      </c>
      <c r="IR3" t="s">
        <v>1088</v>
      </c>
      <c r="IS3" t="s">
        <v>1089</v>
      </c>
      <c r="IT3" t="s">
        <v>1090</v>
      </c>
      <c r="IU3" t="s">
        <v>1091</v>
      </c>
      <c r="IV3" t="s">
        <v>1092</v>
      </c>
      <c r="IW3" s="5" t="s">
        <v>1561</v>
      </c>
      <c r="IX3" t="s">
        <v>1117</v>
      </c>
      <c r="IY3" t="s">
        <v>1118</v>
      </c>
      <c r="IZ3" t="s">
        <v>1119</v>
      </c>
      <c r="JA3" t="s">
        <v>1120</v>
      </c>
      <c r="JB3" t="s">
        <v>1121</v>
      </c>
      <c r="JC3" t="s">
        <v>1122</v>
      </c>
      <c r="JD3" t="s">
        <v>1123</v>
      </c>
      <c r="JE3" t="s">
        <v>1124</v>
      </c>
      <c r="JF3" t="s">
        <v>1125</v>
      </c>
      <c r="JG3" t="s">
        <v>1126</v>
      </c>
      <c r="JH3" t="s">
        <v>1127</v>
      </c>
      <c r="JI3" t="s">
        <v>1128</v>
      </c>
      <c r="JJ3" s="5" t="s">
        <v>1561</v>
      </c>
      <c r="JK3" t="s">
        <v>1093</v>
      </c>
      <c r="JL3" t="s">
        <v>1094</v>
      </c>
      <c r="JM3" t="s">
        <v>1095</v>
      </c>
      <c r="JN3" t="s">
        <v>1096</v>
      </c>
      <c r="JO3" t="s">
        <v>1097</v>
      </c>
      <c r="JP3" t="s">
        <v>1098</v>
      </c>
      <c r="JQ3" t="s">
        <v>1099</v>
      </c>
      <c r="JR3" t="s">
        <v>1100</v>
      </c>
      <c r="JS3" t="s">
        <v>1101</v>
      </c>
      <c r="JT3" t="s">
        <v>1102</v>
      </c>
      <c r="JU3" t="s">
        <v>1103</v>
      </c>
      <c r="JV3" t="s">
        <v>1104</v>
      </c>
      <c r="JW3" s="5" t="s">
        <v>1561</v>
      </c>
      <c r="JX3" t="s">
        <v>1105</v>
      </c>
      <c r="JY3" t="s">
        <v>1106</v>
      </c>
      <c r="JZ3" t="s">
        <v>1107</v>
      </c>
      <c r="KA3" t="s">
        <v>1108</v>
      </c>
      <c r="KB3" t="s">
        <v>1109</v>
      </c>
      <c r="KC3" t="s">
        <v>1110</v>
      </c>
      <c r="KD3" t="s">
        <v>1111</v>
      </c>
      <c r="KE3" t="s">
        <v>1112</v>
      </c>
      <c r="KF3" t="s">
        <v>1113</v>
      </c>
      <c r="KG3" t="s">
        <v>1114</v>
      </c>
      <c r="KH3" t="s">
        <v>1115</v>
      </c>
      <c r="KI3" t="s">
        <v>1116</v>
      </c>
      <c r="KJ3" s="5" t="s">
        <v>1561</v>
      </c>
      <c r="KK3" t="s">
        <v>1129</v>
      </c>
      <c r="KL3" t="s">
        <v>1130</v>
      </c>
      <c r="KM3" t="s">
        <v>1131</v>
      </c>
      <c r="KN3" t="s">
        <v>1132</v>
      </c>
      <c r="KO3" t="s">
        <v>1133</v>
      </c>
      <c r="KP3" t="s">
        <v>1134</v>
      </c>
      <c r="KQ3" t="s">
        <v>1135</v>
      </c>
      <c r="KR3" t="s">
        <v>1136</v>
      </c>
      <c r="KS3" t="s">
        <v>1137</v>
      </c>
      <c r="KT3" t="s">
        <v>1138</v>
      </c>
      <c r="KU3" t="s">
        <v>1139</v>
      </c>
      <c r="KV3" t="s">
        <v>1140</v>
      </c>
      <c r="KW3" s="5" t="s">
        <v>1561</v>
      </c>
      <c r="KX3" t="s">
        <v>1165</v>
      </c>
      <c r="KY3" t="s">
        <v>1166</v>
      </c>
      <c r="KZ3" t="s">
        <v>1167</v>
      </c>
      <c r="LA3" t="s">
        <v>1168</v>
      </c>
      <c r="LB3" t="s">
        <v>1169</v>
      </c>
      <c r="LC3" t="s">
        <v>1170</v>
      </c>
      <c r="LD3" t="s">
        <v>1171</v>
      </c>
      <c r="LE3" t="s">
        <v>1172</v>
      </c>
      <c r="LF3" t="s">
        <v>1173</v>
      </c>
      <c r="LG3" t="s">
        <v>1174</v>
      </c>
      <c r="LH3" t="s">
        <v>1175</v>
      </c>
      <c r="LI3" t="s">
        <v>1176</v>
      </c>
      <c r="LJ3" s="5" t="s">
        <v>1561</v>
      </c>
      <c r="LK3" t="s">
        <v>1141</v>
      </c>
      <c r="LL3" t="s">
        <v>1142</v>
      </c>
      <c r="LM3" t="s">
        <v>1143</v>
      </c>
      <c r="LN3" t="s">
        <v>1144</v>
      </c>
      <c r="LO3" t="s">
        <v>1145</v>
      </c>
      <c r="LP3" t="s">
        <v>1146</v>
      </c>
      <c r="LQ3" t="s">
        <v>1147</v>
      </c>
      <c r="LR3" t="s">
        <v>1148</v>
      </c>
      <c r="LS3" t="s">
        <v>1149</v>
      </c>
      <c r="LT3" t="s">
        <v>1150</v>
      </c>
      <c r="LU3" t="s">
        <v>1151</v>
      </c>
      <c r="LV3" t="s">
        <v>1152</v>
      </c>
      <c r="LW3" s="5" t="s">
        <v>1561</v>
      </c>
      <c r="LX3" t="s">
        <v>1153</v>
      </c>
      <c r="LY3" t="s">
        <v>1154</v>
      </c>
      <c r="LZ3" t="s">
        <v>1155</v>
      </c>
      <c r="MA3" t="s">
        <v>1156</v>
      </c>
      <c r="MB3" t="s">
        <v>1157</v>
      </c>
      <c r="MC3" t="s">
        <v>1158</v>
      </c>
      <c r="MD3" t="s">
        <v>1159</v>
      </c>
      <c r="ME3" t="s">
        <v>1160</v>
      </c>
      <c r="MF3" t="s">
        <v>1161</v>
      </c>
      <c r="MG3" t="s">
        <v>1162</v>
      </c>
      <c r="MH3" t="s">
        <v>1163</v>
      </c>
      <c r="MI3" t="s">
        <v>1164</v>
      </c>
      <c r="MJ3" s="5" t="s">
        <v>1561</v>
      </c>
      <c r="MK3" t="s">
        <v>1177</v>
      </c>
      <c r="ML3" t="s">
        <v>1178</v>
      </c>
      <c r="MM3" t="s">
        <v>1179</v>
      </c>
      <c r="MN3" t="s">
        <v>1180</v>
      </c>
      <c r="MO3" t="s">
        <v>1181</v>
      </c>
      <c r="MP3" t="s">
        <v>1182</v>
      </c>
      <c r="MQ3" t="s">
        <v>1183</v>
      </c>
      <c r="MR3" t="s">
        <v>1184</v>
      </c>
      <c r="MS3" t="s">
        <v>1185</v>
      </c>
      <c r="MT3" t="s">
        <v>1186</v>
      </c>
      <c r="MU3" t="s">
        <v>1187</v>
      </c>
      <c r="MV3" t="s">
        <v>1188</v>
      </c>
      <c r="MW3" s="5" t="s">
        <v>1561</v>
      </c>
      <c r="MX3" t="s">
        <v>1189</v>
      </c>
      <c r="MY3" t="s">
        <v>1190</v>
      </c>
      <c r="MZ3" t="s">
        <v>1191</v>
      </c>
      <c r="NA3" t="s">
        <v>1192</v>
      </c>
      <c r="NB3" t="s">
        <v>1193</v>
      </c>
      <c r="NC3" t="s">
        <v>1194</v>
      </c>
      <c r="ND3" t="s">
        <v>1195</v>
      </c>
      <c r="NE3" t="s">
        <v>1196</v>
      </c>
      <c r="NF3" t="s">
        <v>1197</v>
      </c>
      <c r="NG3" t="s">
        <v>1198</v>
      </c>
      <c r="NH3" t="s">
        <v>1199</v>
      </c>
      <c r="NI3" t="s">
        <v>1200</v>
      </c>
      <c r="NJ3" s="5" t="s">
        <v>1561</v>
      </c>
      <c r="NK3" t="s">
        <v>1201</v>
      </c>
      <c r="NL3" t="s">
        <v>1202</v>
      </c>
      <c r="NM3" t="s">
        <v>1203</v>
      </c>
      <c r="NN3" t="s">
        <v>1204</v>
      </c>
      <c r="NO3" t="s">
        <v>1205</v>
      </c>
      <c r="NP3" t="s">
        <v>1206</v>
      </c>
      <c r="NQ3" t="s">
        <v>1207</v>
      </c>
      <c r="NR3" t="s">
        <v>1208</v>
      </c>
      <c r="NS3" t="s">
        <v>1209</v>
      </c>
      <c r="NT3" t="s">
        <v>1210</v>
      </c>
      <c r="NU3" t="s">
        <v>1211</v>
      </c>
      <c r="NV3" t="s">
        <v>1212</v>
      </c>
      <c r="NW3" s="5" t="s">
        <v>1561</v>
      </c>
      <c r="NX3" t="s">
        <v>1213</v>
      </c>
      <c r="NY3" t="s">
        <v>1214</v>
      </c>
      <c r="NZ3" t="s">
        <v>1215</v>
      </c>
      <c r="OA3" t="s">
        <v>1216</v>
      </c>
      <c r="OB3" t="s">
        <v>1217</v>
      </c>
      <c r="OC3" t="s">
        <v>1218</v>
      </c>
      <c r="OD3" t="s">
        <v>1219</v>
      </c>
      <c r="OE3" t="s">
        <v>1220</v>
      </c>
      <c r="OF3" t="s">
        <v>1221</v>
      </c>
      <c r="OG3" t="s">
        <v>1222</v>
      </c>
      <c r="OH3" t="s">
        <v>1223</v>
      </c>
      <c r="OI3" t="s">
        <v>1224</v>
      </c>
      <c r="OJ3" s="5" t="s">
        <v>1561</v>
      </c>
      <c r="OK3" t="s">
        <v>1225</v>
      </c>
      <c r="OL3" t="s">
        <v>1226</v>
      </c>
      <c r="OM3" t="s">
        <v>1227</v>
      </c>
      <c r="ON3" t="s">
        <v>1228</v>
      </c>
      <c r="OO3" t="s">
        <v>1229</v>
      </c>
      <c r="OP3" t="s">
        <v>1230</v>
      </c>
      <c r="OQ3" t="s">
        <v>1231</v>
      </c>
      <c r="OR3" t="s">
        <v>1232</v>
      </c>
      <c r="OS3" t="s">
        <v>1233</v>
      </c>
      <c r="OT3" t="s">
        <v>1234</v>
      </c>
      <c r="OU3" t="s">
        <v>1235</v>
      </c>
      <c r="OV3" t="s">
        <v>1236</v>
      </c>
      <c r="OW3" s="5" t="s">
        <v>1561</v>
      </c>
      <c r="OX3" t="s">
        <v>1237</v>
      </c>
      <c r="OY3" t="s">
        <v>1238</v>
      </c>
      <c r="OZ3" t="s">
        <v>1239</v>
      </c>
      <c r="PA3" t="s">
        <v>1240</v>
      </c>
      <c r="PB3" t="s">
        <v>1241</v>
      </c>
      <c r="PC3" t="s">
        <v>1242</v>
      </c>
      <c r="PD3" t="s">
        <v>1243</v>
      </c>
      <c r="PE3" t="s">
        <v>1244</v>
      </c>
      <c r="PF3" t="s">
        <v>1245</v>
      </c>
      <c r="PG3" t="s">
        <v>1246</v>
      </c>
      <c r="PH3" t="s">
        <v>1247</v>
      </c>
      <c r="PI3" t="s">
        <v>1248</v>
      </c>
      <c r="PJ3" s="5" t="s">
        <v>1561</v>
      </c>
      <c r="PK3" t="s">
        <v>1249</v>
      </c>
      <c r="PL3" t="s">
        <v>1250</v>
      </c>
      <c r="PM3" t="s">
        <v>1251</v>
      </c>
      <c r="PN3" t="s">
        <v>1252</v>
      </c>
      <c r="PO3" t="s">
        <v>1253</v>
      </c>
      <c r="PP3" t="s">
        <v>1254</v>
      </c>
      <c r="PQ3" t="s">
        <v>1255</v>
      </c>
      <c r="PR3" t="s">
        <v>1256</v>
      </c>
      <c r="PS3" t="s">
        <v>1257</v>
      </c>
      <c r="PT3" t="s">
        <v>1258</v>
      </c>
      <c r="PU3" t="s">
        <v>1259</v>
      </c>
      <c r="PV3" t="s">
        <v>1260</v>
      </c>
      <c r="PW3" s="5" t="s">
        <v>1561</v>
      </c>
      <c r="PX3" t="s">
        <v>1261</v>
      </c>
      <c r="PY3" t="s">
        <v>1262</v>
      </c>
      <c r="PZ3" t="s">
        <v>1263</v>
      </c>
      <c r="QA3" t="s">
        <v>1264</v>
      </c>
      <c r="QB3" t="s">
        <v>1265</v>
      </c>
      <c r="QC3" t="s">
        <v>1266</v>
      </c>
      <c r="QD3" t="s">
        <v>1267</v>
      </c>
      <c r="QE3" t="s">
        <v>1268</v>
      </c>
      <c r="QF3" t="s">
        <v>1269</v>
      </c>
      <c r="QG3" t="s">
        <v>1270</v>
      </c>
      <c r="QH3" t="s">
        <v>1271</v>
      </c>
      <c r="QI3" t="s">
        <v>1272</v>
      </c>
      <c r="QJ3" s="5" t="s">
        <v>1561</v>
      </c>
      <c r="QK3" t="s">
        <v>1273</v>
      </c>
      <c r="QL3" t="s">
        <v>1274</v>
      </c>
      <c r="QM3" t="s">
        <v>1275</v>
      </c>
      <c r="QN3" t="s">
        <v>1276</v>
      </c>
      <c r="QO3" t="s">
        <v>1277</v>
      </c>
      <c r="QP3" t="s">
        <v>1278</v>
      </c>
      <c r="QQ3" t="s">
        <v>1279</v>
      </c>
      <c r="QR3" t="s">
        <v>1280</v>
      </c>
      <c r="QS3" t="s">
        <v>1281</v>
      </c>
      <c r="QT3" t="s">
        <v>1282</v>
      </c>
      <c r="QU3" t="s">
        <v>1283</v>
      </c>
      <c r="QV3" t="s">
        <v>1284</v>
      </c>
      <c r="QW3" s="5" t="s">
        <v>1561</v>
      </c>
      <c r="QX3" t="s">
        <v>1285</v>
      </c>
      <c r="QY3" t="s">
        <v>1286</v>
      </c>
      <c r="QZ3" t="s">
        <v>1287</v>
      </c>
      <c r="RA3" t="s">
        <v>1288</v>
      </c>
      <c r="RB3" t="s">
        <v>1289</v>
      </c>
      <c r="RC3" t="s">
        <v>1290</v>
      </c>
      <c r="RD3" t="s">
        <v>1291</v>
      </c>
      <c r="RE3" t="s">
        <v>1292</v>
      </c>
      <c r="RF3" t="s">
        <v>1293</v>
      </c>
      <c r="RG3" t="s">
        <v>1294</v>
      </c>
      <c r="RH3" t="s">
        <v>1295</v>
      </c>
      <c r="RI3" t="s">
        <v>1296</v>
      </c>
      <c r="RJ3" s="5" t="s">
        <v>1561</v>
      </c>
      <c r="RK3" t="s">
        <v>1297</v>
      </c>
      <c r="RL3" t="s">
        <v>1298</v>
      </c>
      <c r="RM3" t="s">
        <v>1299</v>
      </c>
      <c r="RN3" t="s">
        <v>1300</v>
      </c>
      <c r="RO3" t="s">
        <v>1301</v>
      </c>
      <c r="RP3" t="s">
        <v>1302</v>
      </c>
      <c r="RQ3" t="s">
        <v>1303</v>
      </c>
      <c r="RR3" t="s">
        <v>1304</v>
      </c>
      <c r="RS3" t="s">
        <v>1305</v>
      </c>
      <c r="RT3" t="s">
        <v>1306</v>
      </c>
      <c r="RU3" t="s">
        <v>1307</v>
      </c>
      <c r="RV3" t="s">
        <v>1308</v>
      </c>
      <c r="RW3" s="5" t="s">
        <v>1561</v>
      </c>
      <c r="RX3" t="s">
        <v>1309</v>
      </c>
      <c r="RY3" t="s">
        <v>1310</v>
      </c>
      <c r="RZ3" t="s">
        <v>1311</v>
      </c>
      <c r="SA3" t="s">
        <v>1312</v>
      </c>
      <c r="SB3" t="s">
        <v>1313</v>
      </c>
      <c r="SC3" t="s">
        <v>1314</v>
      </c>
      <c r="SD3" t="s">
        <v>1315</v>
      </c>
      <c r="SE3" t="s">
        <v>1316</v>
      </c>
      <c r="SF3" t="s">
        <v>1317</v>
      </c>
      <c r="SG3" t="s">
        <v>1318</v>
      </c>
      <c r="SH3" t="s">
        <v>1319</v>
      </c>
      <c r="SI3" t="s">
        <v>1320</v>
      </c>
      <c r="SJ3" s="5" t="s">
        <v>1561</v>
      </c>
      <c r="SK3" t="s">
        <v>1321</v>
      </c>
      <c r="SL3" t="s">
        <v>1322</v>
      </c>
      <c r="SM3" t="s">
        <v>1323</v>
      </c>
      <c r="SN3" t="s">
        <v>1324</v>
      </c>
      <c r="SO3" t="s">
        <v>1325</v>
      </c>
      <c r="SP3" t="s">
        <v>1326</v>
      </c>
      <c r="SQ3" t="s">
        <v>1327</v>
      </c>
      <c r="SR3" t="s">
        <v>1328</v>
      </c>
      <c r="SS3" t="s">
        <v>1329</v>
      </c>
      <c r="ST3" t="s">
        <v>1330</v>
      </c>
      <c r="SU3" t="s">
        <v>1331</v>
      </c>
      <c r="SV3" t="s">
        <v>1332</v>
      </c>
      <c r="SW3" s="5" t="s">
        <v>1561</v>
      </c>
      <c r="SX3" t="s">
        <v>1333</v>
      </c>
      <c r="SY3" t="s">
        <v>1334</v>
      </c>
      <c r="SZ3" t="s">
        <v>1335</v>
      </c>
      <c r="TA3" t="s">
        <v>1336</v>
      </c>
      <c r="TB3" t="s">
        <v>1337</v>
      </c>
      <c r="TC3" t="s">
        <v>1338</v>
      </c>
      <c r="TD3" t="s">
        <v>1339</v>
      </c>
      <c r="TE3" t="s">
        <v>1340</v>
      </c>
      <c r="TF3" t="s">
        <v>1341</v>
      </c>
      <c r="TG3" t="s">
        <v>1342</v>
      </c>
      <c r="TH3" t="s">
        <v>1343</v>
      </c>
      <c r="TI3" t="s">
        <v>1344</v>
      </c>
      <c r="TJ3" t="s">
        <v>1345</v>
      </c>
      <c r="TK3" s="5" t="s">
        <v>1561</v>
      </c>
      <c r="TL3" t="s">
        <v>1346</v>
      </c>
      <c r="TM3" t="s">
        <v>1347</v>
      </c>
      <c r="TN3" t="s">
        <v>1348</v>
      </c>
      <c r="TO3" t="s">
        <v>1349</v>
      </c>
      <c r="TP3" t="s">
        <v>1350</v>
      </c>
      <c r="TQ3" t="s">
        <v>1351</v>
      </c>
      <c r="TR3" t="s">
        <v>1352</v>
      </c>
      <c r="TS3" t="s">
        <v>1353</v>
      </c>
      <c r="TT3" t="s">
        <v>1354</v>
      </c>
      <c r="TU3" t="s">
        <v>1355</v>
      </c>
      <c r="TV3" t="s">
        <v>1356</v>
      </c>
      <c r="TW3" t="s">
        <v>1357</v>
      </c>
      <c r="TX3" s="5" t="s">
        <v>1561</v>
      </c>
      <c r="TY3" t="s">
        <v>1358</v>
      </c>
      <c r="TZ3" t="s">
        <v>1359</v>
      </c>
      <c r="UA3" t="s">
        <v>1360</v>
      </c>
    </row>
    <row r="4" spans="1:547" ht="16" customHeight="1" x14ac:dyDescent="0.35">
      <c r="A4" s="11" t="s">
        <v>1516</v>
      </c>
      <c r="B4" s="11">
        <v>28753</v>
      </c>
      <c r="C4" s="11"/>
      <c r="D4" s="11"/>
      <c r="E4" s="11"/>
      <c r="F4" s="11">
        <v>149</v>
      </c>
      <c r="G4" s="11">
        <v>170</v>
      </c>
      <c r="H4" s="11">
        <v>180</v>
      </c>
      <c r="I4" s="11">
        <v>170</v>
      </c>
      <c r="J4" s="11">
        <v>82</v>
      </c>
      <c r="K4" s="11">
        <v>149</v>
      </c>
      <c r="L4" s="11">
        <v>211</v>
      </c>
      <c r="M4" s="11">
        <v>179</v>
      </c>
      <c r="N4" s="11">
        <v>112</v>
      </c>
      <c r="O4" s="11">
        <v>174</v>
      </c>
      <c r="P4" s="11" t="s">
        <v>2866</v>
      </c>
      <c r="Q4" s="11">
        <v>174</v>
      </c>
      <c r="R4" s="11">
        <v>187</v>
      </c>
      <c r="S4" s="26">
        <f>SUM(F4:R4)</f>
        <v>1937</v>
      </c>
      <c r="T4" s="11">
        <v>41</v>
      </c>
      <c r="U4" s="11">
        <v>56</v>
      </c>
      <c r="V4" s="11">
        <v>50</v>
      </c>
      <c r="W4" s="11">
        <v>50</v>
      </c>
      <c r="X4" s="11">
        <v>40</v>
      </c>
      <c r="Y4" s="11">
        <v>46</v>
      </c>
      <c r="Z4" s="11">
        <v>69</v>
      </c>
      <c r="AA4" s="11">
        <v>50</v>
      </c>
      <c r="AB4" s="11">
        <v>24</v>
      </c>
      <c r="AC4" s="11">
        <v>62</v>
      </c>
      <c r="AD4" s="11">
        <v>58</v>
      </c>
      <c r="AE4" s="11">
        <v>55</v>
      </c>
      <c r="AF4" s="26">
        <f>SUM(T4:AE4)</f>
        <v>601</v>
      </c>
      <c r="AG4" s="11">
        <v>108</v>
      </c>
      <c r="AH4" s="11">
        <v>112</v>
      </c>
      <c r="AI4" s="11">
        <v>130</v>
      </c>
      <c r="AJ4" s="11">
        <v>119</v>
      </c>
      <c r="AK4" s="11">
        <v>40</v>
      </c>
      <c r="AL4" s="11">
        <v>101</v>
      </c>
      <c r="AM4" s="11">
        <v>137</v>
      </c>
      <c r="AN4" s="11">
        <v>128</v>
      </c>
      <c r="AO4" s="11">
        <v>88</v>
      </c>
      <c r="AP4" s="11">
        <v>112</v>
      </c>
      <c r="AQ4" s="11">
        <v>116</v>
      </c>
      <c r="AR4" s="11">
        <v>132</v>
      </c>
      <c r="AS4" s="26">
        <f>SUM(AG4:AR4)</f>
        <v>1323</v>
      </c>
      <c r="AT4" s="11">
        <v>0</v>
      </c>
      <c r="AU4" s="11">
        <v>1</v>
      </c>
      <c r="AV4" s="11">
        <v>0</v>
      </c>
      <c r="AW4" s="11">
        <v>0</v>
      </c>
      <c r="AX4" s="11">
        <v>0</v>
      </c>
      <c r="AY4" s="11">
        <v>0</v>
      </c>
      <c r="AZ4" s="11">
        <v>1</v>
      </c>
      <c r="BA4" s="11">
        <v>0</v>
      </c>
      <c r="BB4" s="11">
        <v>0</v>
      </c>
      <c r="BC4" s="11">
        <v>0</v>
      </c>
      <c r="BD4" s="11">
        <v>0</v>
      </c>
      <c r="BE4" s="11">
        <v>0</v>
      </c>
      <c r="BF4" s="26">
        <f>SUM(AT4:BE4)</f>
        <v>2</v>
      </c>
      <c r="BG4" s="11">
        <v>0</v>
      </c>
      <c r="BH4" s="11">
        <v>1</v>
      </c>
      <c r="BI4" s="11">
        <v>0</v>
      </c>
      <c r="BJ4" s="11">
        <v>1</v>
      </c>
      <c r="BK4" s="11">
        <v>2</v>
      </c>
      <c r="BL4" s="11">
        <v>2</v>
      </c>
      <c r="BM4" s="11">
        <v>4</v>
      </c>
      <c r="BN4" s="11">
        <v>1</v>
      </c>
      <c r="BO4" s="11">
        <v>0</v>
      </c>
      <c r="BP4" s="11">
        <v>0</v>
      </c>
      <c r="BQ4" s="11">
        <v>0</v>
      </c>
      <c r="BR4" s="11">
        <v>0</v>
      </c>
      <c r="BS4" s="26">
        <f>SUM(BG4:BR4)</f>
        <v>11</v>
      </c>
      <c r="BT4" s="11">
        <v>3</v>
      </c>
      <c r="BU4" s="11">
        <v>6</v>
      </c>
      <c r="BV4" s="11">
        <v>9</v>
      </c>
      <c r="BW4" s="11">
        <v>8</v>
      </c>
      <c r="BX4" s="11">
        <v>2</v>
      </c>
      <c r="BY4" s="11">
        <v>8</v>
      </c>
      <c r="BZ4" s="11">
        <v>8</v>
      </c>
      <c r="CA4" s="11">
        <v>6</v>
      </c>
      <c r="CB4" s="11">
        <v>5</v>
      </c>
      <c r="CC4" s="11">
        <v>8</v>
      </c>
      <c r="CD4" s="11">
        <v>6</v>
      </c>
      <c r="CE4" s="11">
        <v>6</v>
      </c>
      <c r="CF4" s="26">
        <f>SUM(BT4:CE4)</f>
        <v>75</v>
      </c>
      <c r="CG4" s="11">
        <v>3</v>
      </c>
      <c r="CH4" s="11">
        <v>6</v>
      </c>
      <c r="CI4" s="11">
        <v>9</v>
      </c>
      <c r="CJ4" s="11">
        <v>6</v>
      </c>
      <c r="CK4" s="11">
        <v>2</v>
      </c>
      <c r="CL4" s="11">
        <v>8</v>
      </c>
      <c r="CM4" s="11">
        <v>8</v>
      </c>
      <c r="CN4" s="11">
        <v>5</v>
      </c>
      <c r="CO4" s="11">
        <v>5</v>
      </c>
      <c r="CP4" s="11">
        <v>8</v>
      </c>
      <c r="CQ4" s="11">
        <v>6</v>
      </c>
      <c r="CR4" s="11">
        <v>5</v>
      </c>
      <c r="CS4" s="26">
        <f>SUM(CG4:CR4)</f>
        <v>71</v>
      </c>
      <c r="CT4" s="11">
        <v>0</v>
      </c>
      <c r="CU4" s="11">
        <v>0</v>
      </c>
      <c r="CV4" s="11">
        <v>0</v>
      </c>
      <c r="CW4" s="11">
        <v>2</v>
      </c>
      <c r="CX4" s="11">
        <v>0</v>
      </c>
      <c r="CY4" s="11">
        <v>0</v>
      </c>
      <c r="CZ4" s="11">
        <v>0</v>
      </c>
      <c r="DA4" s="11">
        <v>1</v>
      </c>
      <c r="DB4" s="11">
        <v>0</v>
      </c>
      <c r="DC4" s="11">
        <v>0</v>
      </c>
      <c r="DD4" s="11">
        <v>0</v>
      </c>
      <c r="DE4" s="11">
        <v>1</v>
      </c>
      <c r="DF4" s="26">
        <f>SUM(CT4:DE4)</f>
        <v>4</v>
      </c>
      <c r="DG4" s="11">
        <v>0</v>
      </c>
      <c r="DH4" s="11">
        <v>0</v>
      </c>
      <c r="DI4" s="11">
        <v>0</v>
      </c>
      <c r="DJ4" s="11">
        <v>0</v>
      </c>
      <c r="DK4" s="11">
        <v>0</v>
      </c>
      <c r="DL4" s="11">
        <v>0</v>
      </c>
      <c r="DM4" s="11">
        <v>0</v>
      </c>
      <c r="DN4" s="11">
        <v>0</v>
      </c>
      <c r="DO4" s="11">
        <v>0</v>
      </c>
      <c r="DP4" s="11">
        <v>0</v>
      </c>
      <c r="DQ4" s="11">
        <v>0</v>
      </c>
      <c r="DR4" s="11">
        <v>0</v>
      </c>
      <c r="DS4" s="26">
        <f>SUM(DG4:DR4)</f>
        <v>0</v>
      </c>
      <c r="DT4" s="11">
        <v>0</v>
      </c>
      <c r="DU4" s="11">
        <v>0</v>
      </c>
      <c r="DV4" s="11">
        <v>0</v>
      </c>
      <c r="DW4" s="11">
        <v>0</v>
      </c>
      <c r="DX4" s="11">
        <v>0</v>
      </c>
      <c r="DY4" s="11">
        <v>0</v>
      </c>
      <c r="DZ4" s="11">
        <v>0</v>
      </c>
      <c r="EA4" s="11">
        <v>0</v>
      </c>
      <c r="EB4" s="11">
        <v>0</v>
      </c>
      <c r="EC4" s="11">
        <v>0</v>
      </c>
      <c r="ED4" s="11">
        <v>0</v>
      </c>
      <c r="EE4" s="11">
        <v>0</v>
      </c>
      <c r="EF4" s="26">
        <f>SUM(DT4:EE4)</f>
        <v>0</v>
      </c>
      <c r="EG4" s="9">
        <f>SUM(AF4,AS4,BF4,BS4)</f>
        <v>1937</v>
      </c>
      <c r="EH4" s="9">
        <f>SUM(CS4,DF4,DS4,EF4)</f>
        <v>75</v>
      </c>
      <c r="EI4" s="11">
        <v>2934</v>
      </c>
      <c r="EJ4" s="11">
        <v>3033</v>
      </c>
      <c r="EK4" s="11">
        <v>3725</v>
      </c>
      <c r="EL4" s="11">
        <v>3716</v>
      </c>
      <c r="EM4" s="11">
        <v>1236</v>
      </c>
      <c r="EN4" s="11">
        <v>2543</v>
      </c>
      <c r="EO4" s="11">
        <v>4331</v>
      </c>
      <c r="EP4" s="11">
        <v>3478</v>
      </c>
      <c r="EQ4" s="11">
        <v>2498</v>
      </c>
      <c r="ER4" s="11">
        <v>3125</v>
      </c>
      <c r="ES4" s="11">
        <v>4255</v>
      </c>
      <c r="ET4" s="11">
        <v>3852</v>
      </c>
      <c r="EU4" s="26">
        <f>SUM(EI4:ET4)</f>
        <v>38726</v>
      </c>
      <c r="EV4" s="11">
        <v>1444</v>
      </c>
      <c r="EW4" s="11">
        <v>1557</v>
      </c>
      <c r="EX4" s="11">
        <v>1577</v>
      </c>
      <c r="EY4" s="11">
        <v>1831</v>
      </c>
      <c r="EZ4" s="11">
        <v>598</v>
      </c>
      <c r="FA4" s="11">
        <v>1291</v>
      </c>
      <c r="FB4" s="11">
        <v>2269</v>
      </c>
      <c r="FC4" s="11">
        <v>1673</v>
      </c>
      <c r="FD4" s="11">
        <v>1310</v>
      </c>
      <c r="FE4" s="11">
        <v>1625</v>
      </c>
      <c r="FF4" s="11">
        <v>2040</v>
      </c>
      <c r="FG4" s="11">
        <v>1879</v>
      </c>
      <c r="FH4" s="26">
        <f>SUM(EV4:FG4)</f>
        <v>19094</v>
      </c>
      <c r="FI4" s="11">
        <v>1490</v>
      </c>
      <c r="FJ4" s="11">
        <v>1476</v>
      </c>
      <c r="FK4" s="11">
        <v>2148</v>
      </c>
      <c r="FL4" s="11">
        <v>1885</v>
      </c>
      <c r="FM4" s="11">
        <v>638</v>
      </c>
      <c r="FN4" s="11">
        <v>1252</v>
      </c>
      <c r="FO4" s="11">
        <v>2062</v>
      </c>
      <c r="FP4" s="11">
        <v>1805</v>
      </c>
      <c r="FQ4" s="11">
        <v>1188</v>
      </c>
      <c r="FR4" s="11">
        <v>1500</v>
      </c>
      <c r="FS4" s="11">
        <v>2215</v>
      </c>
      <c r="FT4" s="11">
        <v>1973</v>
      </c>
      <c r="FU4" s="26">
        <f>SUM(FI4:FT4)</f>
        <v>19632</v>
      </c>
      <c r="FV4" s="11">
        <v>0</v>
      </c>
      <c r="FW4" s="11">
        <v>0</v>
      </c>
      <c r="FX4" s="11">
        <v>0</v>
      </c>
      <c r="FY4" s="11">
        <v>0</v>
      </c>
      <c r="FZ4" s="11">
        <v>0</v>
      </c>
      <c r="GA4" s="11">
        <v>0</v>
      </c>
      <c r="GB4" s="11">
        <v>0</v>
      </c>
      <c r="GC4" s="11">
        <v>0</v>
      </c>
      <c r="GD4" s="11">
        <v>0</v>
      </c>
      <c r="GE4" s="11">
        <v>0</v>
      </c>
      <c r="GF4" s="11">
        <v>0</v>
      </c>
      <c r="GG4" s="11">
        <v>0</v>
      </c>
      <c r="GH4" s="26">
        <f>SUM(FV4:GG4)</f>
        <v>0</v>
      </c>
      <c r="GI4" s="11">
        <v>14</v>
      </c>
      <c r="GJ4" s="11">
        <v>56</v>
      </c>
      <c r="GK4" s="11">
        <v>108</v>
      </c>
      <c r="GL4" s="11">
        <v>855</v>
      </c>
      <c r="GM4" s="11">
        <v>2</v>
      </c>
      <c r="GN4" s="11">
        <v>25</v>
      </c>
      <c r="GO4" s="11">
        <v>15</v>
      </c>
      <c r="GP4" s="11">
        <v>413</v>
      </c>
      <c r="GQ4" s="11">
        <v>13</v>
      </c>
      <c r="GR4" s="11">
        <v>80</v>
      </c>
      <c r="GS4" s="11">
        <v>29</v>
      </c>
      <c r="GT4" s="11">
        <v>593</v>
      </c>
      <c r="GU4" s="26">
        <f>SUM(GI4:GT4)</f>
        <v>2203</v>
      </c>
      <c r="GV4" s="11">
        <v>14</v>
      </c>
      <c r="GW4" s="11">
        <v>56</v>
      </c>
      <c r="GX4" s="11">
        <v>108</v>
      </c>
      <c r="GY4" s="11">
        <v>23</v>
      </c>
      <c r="GZ4" s="11">
        <v>2</v>
      </c>
      <c r="HA4" s="11">
        <v>25</v>
      </c>
      <c r="HB4" s="11">
        <v>15</v>
      </c>
      <c r="HC4" s="11">
        <v>23</v>
      </c>
      <c r="HD4" s="11">
        <v>13</v>
      </c>
      <c r="HE4" s="11">
        <v>80</v>
      </c>
      <c r="HF4" s="11">
        <v>29</v>
      </c>
      <c r="HG4" s="11">
        <v>18</v>
      </c>
      <c r="HH4" s="26">
        <f>SUM(GV4:HG4)</f>
        <v>406</v>
      </c>
      <c r="HI4" s="11">
        <v>0</v>
      </c>
      <c r="HJ4" s="11">
        <v>0</v>
      </c>
      <c r="HK4" s="11">
        <v>0</v>
      </c>
      <c r="HL4" s="11">
        <v>832</v>
      </c>
      <c r="HM4" s="11">
        <v>0</v>
      </c>
      <c r="HN4" s="11">
        <v>0</v>
      </c>
      <c r="HO4" s="11">
        <v>0</v>
      </c>
      <c r="HP4" s="11">
        <v>390</v>
      </c>
      <c r="HQ4" s="11">
        <v>0</v>
      </c>
      <c r="HR4" s="11">
        <v>0</v>
      </c>
      <c r="HS4" s="11">
        <v>0</v>
      </c>
      <c r="HT4" s="11">
        <v>575</v>
      </c>
      <c r="HU4" s="26">
        <f>SUM(HI4:HT4)</f>
        <v>1797</v>
      </c>
      <c r="HV4" s="11">
        <v>0</v>
      </c>
      <c r="HW4" s="11">
        <v>0</v>
      </c>
      <c r="HX4" s="11">
        <v>0</v>
      </c>
      <c r="HY4" s="11">
        <v>0</v>
      </c>
      <c r="HZ4" s="11">
        <v>0</v>
      </c>
      <c r="IA4" s="11">
        <v>0</v>
      </c>
      <c r="IB4" s="11">
        <v>0</v>
      </c>
      <c r="IC4" s="11">
        <v>0</v>
      </c>
      <c r="ID4" s="11">
        <v>0</v>
      </c>
      <c r="IE4" s="11">
        <v>0</v>
      </c>
      <c r="IF4" s="11">
        <v>0</v>
      </c>
      <c r="IG4" s="11">
        <v>0</v>
      </c>
      <c r="IH4" s="26">
        <f>SUM(HV4:IG4)</f>
        <v>0</v>
      </c>
      <c r="II4" s="9">
        <f>SUM(FH4,FU4,GH4)</f>
        <v>38726</v>
      </c>
      <c r="IJ4" s="9">
        <f>SUM(HH4,HU4,IH4)</f>
        <v>2203</v>
      </c>
      <c r="IK4" s="11">
        <v>98504</v>
      </c>
      <c r="IL4" s="11">
        <v>98402</v>
      </c>
      <c r="IM4" s="11">
        <v>92819</v>
      </c>
      <c r="IN4" s="11">
        <v>100089</v>
      </c>
      <c r="IO4" s="11">
        <v>102514</v>
      </c>
      <c r="IP4" s="11">
        <v>98080</v>
      </c>
      <c r="IQ4" s="11">
        <v>104289</v>
      </c>
      <c r="IR4" s="11">
        <v>99431</v>
      </c>
      <c r="IS4" s="11">
        <v>89717</v>
      </c>
      <c r="IT4" s="11">
        <v>101113</v>
      </c>
      <c r="IU4" s="11">
        <v>93165</v>
      </c>
      <c r="IV4" s="11">
        <v>91634</v>
      </c>
      <c r="IW4" s="27">
        <f>SUM(IK4:IV4)</f>
        <v>1169757</v>
      </c>
      <c r="IX4" s="11">
        <v>29021</v>
      </c>
      <c r="IY4" s="11">
        <v>34887</v>
      </c>
      <c r="IZ4" s="11">
        <v>33335</v>
      </c>
      <c r="JA4" s="11">
        <v>36200</v>
      </c>
      <c r="JB4" s="11">
        <v>36459</v>
      </c>
      <c r="JC4" s="11">
        <v>33910</v>
      </c>
      <c r="JD4" s="11">
        <v>36128</v>
      </c>
      <c r="JE4" s="11">
        <v>33591</v>
      </c>
      <c r="JF4" s="11">
        <v>31051</v>
      </c>
      <c r="JG4" s="11">
        <v>36244</v>
      </c>
      <c r="JH4" s="11">
        <v>31609</v>
      </c>
      <c r="JI4" s="11">
        <v>29021</v>
      </c>
      <c r="JJ4" s="27">
        <f>SUM(IX4:JI4)</f>
        <v>401456</v>
      </c>
      <c r="JK4" s="11">
        <v>58251</v>
      </c>
      <c r="JL4" s="11">
        <v>58222</v>
      </c>
      <c r="JM4" s="11">
        <v>54587</v>
      </c>
      <c r="JN4" s="11">
        <v>58358</v>
      </c>
      <c r="JO4" s="11">
        <v>60442</v>
      </c>
      <c r="JP4" s="11">
        <v>58942</v>
      </c>
      <c r="JQ4" s="11">
        <v>62732</v>
      </c>
      <c r="JR4" s="11">
        <v>61169</v>
      </c>
      <c r="JS4" s="11">
        <v>54239</v>
      </c>
      <c r="JT4" s="11">
        <v>60077</v>
      </c>
      <c r="JU4" s="11">
        <v>57341</v>
      </c>
      <c r="JV4" s="11">
        <v>57993</v>
      </c>
      <c r="JW4" s="27">
        <f>SUM(JK4:JV4)</f>
        <v>702353</v>
      </c>
      <c r="JX4" s="11">
        <v>5568</v>
      </c>
      <c r="JY4" s="11">
        <v>5293</v>
      </c>
      <c r="JZ4" s="11">
        <v>4897</v>
      </c>
      <c r="KA4" s="11">
        <v>5531</v>
      </c>
      <c r="KB4" s="11">
        <v>5613</v>
      </c>
      <c r="KC4" s="11">
        <v>5228</v>
      </c>
      <c r="KD4" s="11">
        <v>5429</v>
      </c>
      <c r="KE4" s="11">
        <v>4671</v>
      </c>
      <c r="KF4" s="11">
        <v>4427</v>
      </c>
      <c r="KG4" s="11">
        <v>4792</v>
      </c>
      <c r="KH4" s="11">
        <v>4215</v>
      </c>
      <c r="KI4" s="11">
        <v>4620</v>
      </c>
      <c r="KJ4" s="27">
        <f>SUM(JX4:KI4)</f>
        <v>60284</v>
      </c>
      <c r="KK4" s="11">
        <v>0</v>
      </c>
      <c r="KL4" s="11">
        <v>0</v>
      </c>
      <c r="KM4" s="11">
        <v>0</v>
      </c>
      <c r="KN4" s="11">
        <v>0</v>
      </c>
      <c r="KO4" s="11">
        <v>0</v>
      </c>
      <c r="KP4" s="11">
        <v>0</v>
      </c>
      <c r="KQ4" s="11">
        <v>0</v>
      </c>
      <c r="KR4" s="11">
        <v>0</v>
      </c>
      <c r="KS4" s="11">
        <v>0</v>
      </c>
      <c r="KT4" s="11">
        <v>0</v>
      </c>
      <c r="KU4" s="11">
        <v>0</v>
      </c>
      <c r="KV4" s="11">
        <v>4404</v>
      </c>
      <c r="KW4" s="27">
        <f>SUM(KK4:KV4)</f>
        <v>4404</v>
      </c>
      <c r="KX4" s="11">
        <v>0</v>
      </c>
      <c r="KY4" s="11">
        <v>0</v>
      </c>
      <c r="KZ4" s="11">
        <v>0</v>
      </c>
      <c r="LA4" s="11">
        <v>0</v>
      </c>
      <c r="LB4" s="11">
        <v>0</v>
      </c>
      <c r="LC4" s="11">
        <v>0</v>
      </c>
      <c r="LD4" s="11">
        <v>0</v>
      </c>
      <c r="LE4" s="11">
        <v>0</v>
      </c>
      <c r="LF4" s="11">
        <v>0</v>
      </c>
      <c r="LG4" s="11">
        <v>0</v>
      </c>
      <c r="LH4" s="11">
        <v>0</v>
      </c>
      <c r="LI4" s="11">
        <v>4368</v>
      </c>
      <c r="LJ4" s="27">
        <f>SUM(KX4:LI4)</f>
        <v>4368</v>
      </c>
      <c r="LK4" s="11">
        <v>0</v>
      </c>
      <c r="LL4" s="11">
        <v>0</v>
      </c>
      <c r="LM4" s="11">
        <v>0</v>
      </c>
      <c r="LN4" s="11">
        <v>0</v>
      </c>
      <c r="LO4" s="11">
        <v>0</v>
      </c>
      <c r="LP4" s="11">
        <v>0</v>
      </c>
      <c r="LQ4" s="11">
        <v>0</v>
      </c>
      <c r="LR4" s="11">
        <v>0</v>
      </c>
      <c r="LS4" s="11">
        <v>0</v>
      </c>
      <c r="LT4" s="11">
        <v>0</v>
      </c>
      <c r="LU4" s="11">
        <v>0</v>
      </c>
      <c r="LV4" s="11">
        <v>36</v>
      </c>
      <c r="LW4" s="27">
        <f>SUM(LK4:LV4)</f>
        <v>36</v>
      </c>
      <c r="LX4" s="11">
        <v>0</v>
      </c>
      <c r="LY4" s="11">
        <v>0</v>
      </c>
      <c r="LZ4" s="11">
        <v>0</v>
      </c>
      <c r="MA4" s="11">
        <v>0</v>
      </c>
      <c r="MB4" s="11">
        <v>0</v>
      </c>
      <c r="MC4" s="11">
        <v>0</v>
      </c>
      <c r="MD4" s="11">
        <v>0</v>
      </c>
      <c r="ME4" s="11">
        <v>0</v>
      </c>
      <c r="MF4" s="11">
        <v>0</v>
      </c>
      <c r="MG4" s="11">
        <v>0</v>
      </c>
      <c r="MH4" s="11">
        <v>0</v>
      </c>
      <c r="MI4" s="11">
        <v>0</v>
      </c>
      <c r="MJ4" s="27">
        <f>SUM(LX4:MI4)</f>
        <v>0</v>
      </c>
      <c r="MK4" s="11">
        <v>5376</v>
      </c>
      <c r="ML4" s="11">
        <v>5986</v>
      </c>
      <c r="MM4" s="11">
        <v>5589</v>
      </c>
      <c r="MN4" s="11">
        <v>6239</v>
      </c>
      <c r="MO4" s="11">
        <v>6521</v>
      </c>
      <c r="MP4" s="11">
        <v>5969</v>
      </c>
      <c r="MQ4" s="11">
        <v>6099</v>
      </c>
      <c r="MR4" s="11">
        <v>5406</v>
      </c>
      <c r="MS4" s="11">
        <v>5965</v>
      </c>
      <c r="MT4" s="11">
        <v>5980</v>
      </c>
      <c r="MU4" s="11">
        <v>5806</v>
      </c>
      <c r="MV4" s="11">
        <v>6487</v>
      </c>
      <c r="MW4" s="27">
        <f>SUM(MK4:MV4)</f>
        <v>71423</v>
      </c>
      <c r="MX4" s="11">
        <v>0</v>
      </c>
      <c r="MY4" s="11">
        <v>0</v>
      </c>
      <c r="MZ4" s="11">
        <v>0</v>
      </c>
      <c r="NA4" s="11">
        <v>0</v>
      </c>
      <c r="NB4" s="11">
        <v>0</v>
      </c>
      <c r="NC4" s="11">
        <v>0</v>
      </c>
      <c r="ND4" s="11">
        <v>0</v>
      </c>
      <c r="NE4" s="11">
        <v>0</v>
      </c>
      <c r="NF4" s="11">
        <v>0</v>
      </c>
      <c r="NG4" s="11">
        <v>0</v>
      </c>
      <c r="NH4" s="11">
        <v>0</v>
      </c>
      <c r="NI4" s="11">
        <v>0</v>
      </c>
      <c r="NJ4" s="27">
        <f>SUM(MX4:NI4)</f>
        <v>0</v>
      </c>
      <c r="NK4" s="11">
        <v>0</v>
      </c>
      <c r="NL4" s="11">
        <v>0</v>
      </c>
      <c r="NM4" s="11">
        <v>0</v>
      </c>
      <c r="NN4" s="11">
        <v>0</v>
      </c>
      <c r="NO4" s="11">
        <v>0</v>
      </c>
      <c r="NP4" s="11">
        <v>0</v>
      </c>
      <c r="NQ4" s="11">
        <v>0</v>
      </c>
      <c r="NR4" s="11">
        <v>0</v>
      </c>
      <c r="NS4" s="11">
        <v>0</v>
      </c>
      <c r="NT4" s="11">
        <v>0</v>
      </c>
      <c r="NU4" s="11">
        <v>0</v>
      </c>
      <c r="NV4" s="11">
        <v>0</v>
      </c>
      <c r="NW4" s="27">
        <f>SUM(NK4:NV4)</f>
        <v>0</v>
      </c>
      <c r="NX4" s="11">
        <v>0</v>
      </c>
      <c r="NY4" s="11">
        <v>0</v>
      </c>
      <c r="NZ4" s="11">
        <v>0</v>
      </c>
      <c r="OA4" s="11">
        <v>0</v>
      </c>
      <c r="OB4" s="11">
        <v>0</v>
      </c>
      <c r="OC4" s="11">
        <v>0</v>
      </c>
      <c r="OD4" s="11">
        <v>0</v>
      </c>
      <c r="OE4" s="11">
        <v>0</v>
      </c>
      <c r="OF4" s="11">
        <v>0</v>
      </c>
      <c r="OG4" s="11">
        <v>0</v>
      </c>
      <c r="OH4" s="11">
        <v>0</v>
      </c>
      <c r="OI4" s="11">
        <v>0</v>
      </c>
      <c r="OJ4" s="27">
        <f>SUM(NX4:OI4)</f>
        <v>0</v>
      </c>
      <c r="OK4" s="11">
        <v>5374</v>
      </c>
      <c r="OL4" s="11">
        <v>5412</v>
      </c>
      <c r="OM4" s="11">
        <v>5167</v>
      </c>
      <c r="ON4" s="11">
        <v>5469</v>
      </c>
      <c r="OO4" s="11">
        <v>6046</v>
      </c>
      <c r="OP4" s="11">
        <v>5866</v>
      </c>
      <c r="OQ4" s="11">
        <v>6016</v>
      </c>
      <c r="OR4" s="11">
        <v>6077</v>
      </c>
      <c r="OS4" s="11">
        <v>6164</v>
      </c>
      <c r="OT4" s="11">
        <v>6780</v>
      </c>
      <c r="OU4" s="11">
        <v>6034</v>
      </c>
      <c r="OV4" s="11">
        <v>6683</v>
      </c>
      <c r="OW4" s="27">
        <f>SUM(OK4:OV4)</f>
        <v>71088</v>
      </c>
      <c r="OX4" s="11">
        <v>0</v>
      </c>
      <c r="OY4" s="11">
        <v>0</v>
      </c>
      <c r="OZ4" s="11">
        <v>0</v>
      </c>
      <c r="PA4" s="11">
        <v>0</v>
      </c>
      <c r="PB4" s="11">
        <v>0</v>
      </c>
      <c r="PC4" s="11">
        <v>0</v>
      </c>
      <c r="PD4" s="11">
        <v>0</v>
      </c>
      <c r="PE4" s="11">
        <v>0</v>
      </c>
      <c r="PF4" s="11">
        <v>0</v>
      </c>
      <c r="PG4" s="11">
        <v>0</v>
      </c>
      <c r="PH4" s="11">
        <v>0</v>
      </c>
      <c r="PI4" s="11">
        <v>0</v>
      </c>
      <c r="PJ4" s="27">
        <f>SUM(OX4:PI4)</f>
        <v>0</v>
      </c>
      <c r="PK4" s="11">
        <v>0</v>
      </c>
      <c r="PL4" s="11">
        <v>0</v>
      </c>
      <c r="PM4" s="11">
        <v>0</v>
      </c>
      <c r="PN4" s="11">
        <v>0</v>
      </c>
      <c r="PO4" s="11">
        <v>0</v>
      </c>
      <c r="PP4" s="11">
        <v>0</v>
      </c>
      <c r="PQ4" s="11">
        <v>0</v>
      </c>
      <c r="PR4" s="11">
        <v>0</v>
      </c>
      <c r="PS4" s="11">
        <v>0</v>
      </c>
      <c r="PT4" s="11">
        <v>0</v>
      </c>
      <c r="PU4" s="11">
        <v>0</v>
      </c>
      <c r="PV4" s="11">
        <v>0</v>
      </c>
      <c r="PW4" s="27">
        <f>SUM(PK4:PV4)</f>
        <v>0</v>
      </c>
      <c r="PX4" s="11">
        <v>0</v>
      </c>
      <c r="PY4" s="11">
        <v>0</v>
      </c>
      <c r="PZ4" s="11">
        <v>0</v>
      </c>
      <c r="QA4" s="11">
        <v>0</v>
      </c>
      <c r="QB4" s="11">
        <v>0</v>
      </c>
      <c r="QC4" s="11">
        <v>0</v>
      </c>
      <c r="QD4" s="11">
        <v>0</v>
      </c>
      <c r="QE4" s="11">
        <v>0</v>
      </c>
      <c r="QF4" s="11">
        <v>0</v>
      </c>
      <c r="QG4" s="11">
        <v>0</v>
      </c>
      <c r="QH4" s="11">
        <v>0</v>
      </c>
      <c r="QI4" s="11">
        <v>0</v>
      </c>
      <c r="QJ4" s="27">
        <f>SUM(PX4:QI4)</f>
        <v>0</v>
      </c>
      <c r="QK4" s="11">
        <v>17653</v>
      </c>
      <c r="QL4" s="11">
        <v>19743</v>
      </c>
      <c r="QM4" s="11">
        <v>15052</v>
      </c>
      <c r="QN4" s="11">
        <v>14965</v>
      </c>
      <c r="QO4" s="11">
        <v>14361</v>
      </c>
      <c r="QP4" s="11">
        <v>15885</v>
      </c>
      <c r="QQ4" s="11">
        <v>16899</v>
      </c>
      <c r="QR4" s="11">
        <v>15642</v>
      </c>
      <c r="QS4" s="11">
        <v>12489</v>
      </c>
      <c r="QT4" s="11">
        <v>16269</v>
      </c>
      <c r="QU4" s="11">
        <v>15229</v>
      </c>
      <c r="QV4" s="11">
        <v>16960</v>
      </c>
      <c r="QW4" s="27">
        <f>SUM(QK4:QV4)</f>
        <v>191147</v>
      </c>
      <c r="QX4" s="11">
        <v>62442</v>
      </c>
      <c r="QY4" s="11">
        <v>67129</v>
      </c>
      <c r="QZ4" s="11">
        <v>52677</v>
      </c>
      <c r="RA4" s="11">
        <v>52644</v>
      </c>
      <c r="RB4" s="11">
        <v>51649</v>
      </c>
      <c r="RC4" s="11">
        <v>54900</v>
      </c>
      <c r="RD4" s="11">
        <v>55571</v>
      </c>
      <c r="RE4" s="11">
        <v>55387</v>
      </c>
      <c r="RF4" s="11">
        <v>40554</v>
      </c>
      <c r="RG4" s="11">
        <v>54814</v>
      </c>
      <c r="RH4" s="11">
        <v>57217</v>
      </c>
      <c r="RI4" s="11">
        <v>65093</v>
      </c>
      <c r="RJ4" s="27">
        <f>SUM(QX4:RI4)</f>
        <v>670077</v>
      </c>
      <c r="RK4" s="11">
        <v>8520</v>
      </c>
      <c r="RL4" s="11">
        <v>8068</v>
      </c>
      <c r="RM4" s="11">
        <v>7584</v>
      </c>
      <c r="RN4" s="11">
        <v>8713</v>
      </c>
      <c r="RO4" s="11">
        <v>7957</v>
      </c>
      <c r="RP4" s="11">
        <v>8316</v>
      </c>
      <c r="RQ4" s="11">
        <v>9478</v>
      </c>
      <c r="RR4" s="11">
        <v>7992</v>
      </c>
      <c r="RS4" s="11">
        <v>7084</v>
      </c>
      <c r="RT4" s="11">
        <v>10861</v>
      </c>
      <c r="RU4" s="11">
        <v>8141</v>
      </c>
      <c r="RV4" s="11">
        <v>8327</v>
      </c>
      <c r="RW4" s="27">
        <f>SUM(RK4:RV4)</f>
        <v>101041</v>
      </c>
      <c r="RX4" s="11">
        <v>559</v>
      </c>
      <c r="RY4" s="11">
        <v>323</v>
      </c>
      <c r="RZ4" s="11">
        <v>118</v>
      </c>
      <c r="SA4" s="11">
        <v>377</v>
      </c>
      <c r="SB4" s="11">
        <v>555</v>
      </c>
      <c r="SC4" s="11">
        <v>692</v>
      </c>
      <c r="SD4" s="11">
        <v>848</v>
      </c>
      <c r="SE4" s="11">
        <v>800</v>
      </c>
      <c r="SF4" s="11">
        <v>439</v>
      </c>
      <c r="SG4" s="11">
        <v>536</v>
      </c>
      <c r="SH4" s="11">
        <v>607</v>
      </c>
      <c r="SI4" s="11">
        <v>698</v>
      </c>
      <c r="SJ4" s="27">
        <f>SUM(RX4:SI4)</f>
        <v>6552</v>
      </c>
      <c r="SK4" s="11">
        <v>377</v>
      </c>
      <c r="SL4" s="11">
        <v>427</v>
      </c>
      <c r="SM4" s="11">
        <v>369</v>
      </c>
      <c r="SN4" s="11">
        <v>437</v>
      </c>
      <c r="SO4" s="11">
        <v>402</v>
      </c>
      <c r="SP4" s="11">
        <v>369</v>
      </c>
      <c r="SQ4" s="11">
        <v>456</v>
      </c>
      <c r="SR4" s="11">
        <v>387</v>
      </c>
      <c r="SS4" s="11">
        <v>282</v>
      </c>
      <c r="ST4" s="11">
        <v>425</v>
      </c>
      <c r="SU4" s="11">
        <v>369</v>
      </c>
      <c r="SV4" s="11">
        <v>369</v>
      </c>
      <c r="SW4" s="27">
        <f>SUM(SK4:SV4)</f>
        <v>4669</v>
      </c>
      <c r="SX4" s="11"/>
      <c r="SY4" s="11">
        <v>6069</v>
      </c>
      <c r="SZ4" s="11">
        <v>6031</v>
      </c>
      <c r="TA4" s="11">
        <v>5632</v>
      </c>
      <c r="TB4" s="11">
        <v>5223</v>
      </c>
      <c r="TC4" s="11">
        <v>5866</v>
      </c>
      <c r="TD4" s="11">
        <v>7596</v>
      </c>
      <c r="TE4" s="11">
        <v>7808</v>
      </c>
      <c r="TF4" s="11">
        <v>7027</v>
      </c>
      <c r="TG4" s="11">
        <v>5993</v>
      </c>
      <c r="TH4" s="11">
        <v>7650</v>
      </c>
      <c r="TI4" s="11">
        <v>7428</v>
      </c>
      <c r="TJ4" s="11">
        <v>8431</v>
      </c>
      <c r="TK4" s="27">
        <f>SUM(SY4:TJ4)</f>
        <v>80754</v>
      </c>
      <c r="TL4" s="11">
        <v>15774</v>
      </c>
      <c r="TM4" s="11">
        <v>16151</v>
      </c>
      <c r="TN4" s="11">
        <v>11978</v>
      </c>
      <c r="TO4" s="11">
        <v>7873</v>
      </c>
      <c r="TP4" s="11">
        <v>7630</v>
      </c>
      <c r="TQ4" s="11">
        <v>9407</v>
      </c>
      <c r="TR4" s="11">
        <v>11770</v>
      </c>
      <c r="TS4" s="11">
        <v>10524</v>
      </c>
      <c r="TT4" s="11">
        <v>7932</v>
      </c>
      <c r="TU4" s="11">
        <v>10009</v>
      </c>
      <c r="TV4" s="11">
        <v>9467</v>
      </c>
      <c r="TW4" s="11">
        <v>10335</v>
      </c>
      <c r="TX4" s="27">
        <f>SUM(TL4:TW4)</f>
        <v>128850</v>
      </c>
      <c r="TY4" s="11">
        <v>134</v>
      </c>
      <c r="TZ4" s="11">
        <v>0</v>
      </c>
      <c r="UA4" s="11">
        <v>0</v>
      </c>
    </row>
    <row r="5" spans="1:547" ht="16" customHeight="1" x14ac:dyDescent="0.35">
      <c r="A5" s="11" t="s">
        <v>1427</v>
      </c>
      <c r="B5" s="11">
        <v>13371</v>
      </c>
      <c r="C5" s="11"/>
      <c r="D5" s="11"/>
      <c r="E5" s="11"/>
      <c r="F5" s="11">
        <v>601</v>
      </c>
      <c r="G5" s="11">
        <v>619</v>
      </c>
      <c r="H5" s="11">
        <v>669</v>
      </c>
      <c r="I5" s="11">
        <v>732</v>
      </c>
      <c r="J5" s="11">
        <v>654</v>
      </c>
      <c r="K5" s="11">
        <v>738</v>
      </c>
      <c r="L5" s="11">
        <v>785</v>
      </c>
      <c r="M5" s="11">
        <v>748</v>
      </c>
      <c r="N5" s="11">
        <v>397</v>
      </c>
      <c r="O5" s="11">
        <v>696</v>
      </c>
      <c r="P5" s="11" t="s">
        <v>2865</v>
      </c>
      <c r="Q5" s="11">
        <v>804</v>
      </c>
      <c r="R5" s="11">
        <v>846</v>
      </c>
      <c r="S5" s="26">
        <f t="shared" ref="S5:S68" si="0">SUM(F5:R5)</f>
        <v>8289</v>
      </c>
      <c r="T5" s="11">
        <v>344</v>
      </c>
      <c r="U5" s="11">
        <v>369</v>
      </c>
      <c r="V5" s="11">
        <v>410</v>
      </c>
      <c r="W5" s="11">
        <v>462</v>
      </c>
      <c r="X5" s="11">
        <v>361</v>
      </c>
      <c r="Y5" s="11">
        <v>476</v>
      </c>
      <c r="Z5" s="11">
        <v>485</v>
      </c>
      <c r="AA5" s="11">
        <v>455</v>
      </c>
      <c r="AB5" s="11">
        <v>286</v>
      </c>
      <c r="AC5" s="11">
        <v>389</v>
      </c>
      <c r="AD5" s="11">
        <v>472</v>
      </c>
      <c r="AE5" s="11">
        <v>529</v>
      </c>
      <c r="AF5" s="26">
        <f t="shared" ref="AF5:AF68" si="1">SUM(T5:AE5)</f>
        <v>5038</v>
      </c>
      <c r="AG5" s="11">
        <v>257</v>
      </c>
      <c r="AH5" s="11">
        <v>247</v>
      </c>
      <c r="AI5" s="11">
        <v>251</v>
      </c>
      <c r="AJ5" s="11">
        <v>266</v>
      </c>
      <c r="AK5" s="11">
        <v>290</v>
      </c>
      <c r="AL5" s="11">
        <v>258</v>
      </c>
      <c r="AM5" s="11">
        <v>298</v>
      </c>
      <c r="AN5" s="11">
        <v>292</v>
      </c>
      <c r="AO5" s="11">
        <v>110</v>
      </c>
      <c r="AP5" s="11">
        <v>307</v>
      </c>
      <c r="AQ5" s="11">
        <v>325</v>
      </c>
      <c r="AR5" s="11">
        <v>315</v>
      </c>
      <c r="AS5" s="26">
        <f t="shared" ref="AS5:AS68" si="2">SUM(AG5:AR5)</f>
        <v>3216</v>
      </c>
      <c r="AT5" s="11">
        <v>0</v>
      </c>
      <c r="AU5" s="11">
        <v>3</v>
      </c>
      <c r="AV5" s="11">
        <v>3</v>
      </c>
      <c r="AW5" s="11">
        <v>3</v>
      </c>
      <c r="AX5" s="11">
        <v>3</v>
      </c>
      <c r="AY5" s="11">
        <v>2</v>
      </c>
      <c r="AZ5" s="11">
        <v>0</v>
      </c>
      <c r="BA5" s="11">
        <v>0</v>
      </c>
      <c r="BB5" s="11">
        <v>1</v>
      </c>
      <c r="BC5" s="11">
        <v>0</v>
      </c>
      <c r="BD5" s="11">
        <v>4</v>
      </c>
      <c r="BE5" s="11">
        <v>1</v>
      </c>
      <c r="BF5" s="26">
        <f t="shared" ref="BF5:BF68" si="3">SUM(AT5:BE5)</f>
        <v>20</v>
      </c>
      <c r="BG5" s="11">
        <v>0</v>
      </c>
      <c r="BH5" s="11">
        <v>0</v>
      </c>
      <c r="BI5" s="11">
        <v>5</v>
      </c>
      <c r="BJ5" s="11">
        <v>1</v>
      </c>
      <c r="BK5" s="11">
        <v>0</v>
      </c>
      <c r="BL5" s="11">
        <v>2</v>
      </c>
      <c r="BM5" s="11">
        <v>2</v>
      </c>
      <c r="BN5" s="11">
        <v>1</v>
      </c>
      <c r="BO5" s="11">
        <v>0</v>
      </c>
      <c r="BP5" s="11">
        <v>0</v>
      </c>
      <c r="BQ5" s="11">
        <v>3</v>
      </c>
      <c r="BR5" s="11">
        <v>1</v>
      </c>
      <c r="BS5" s="26">
        <f t="shared" ref="BS5:BS68" si="4">SUM(BG5:BR5)</f>
        <v>15</v>
      </c>
      <c r="BT5" s="11">
        <v>0</v>
      </c>
      <c r="BU5" s="11">
        <v>0</v>
      </c>
      <c r="BV5" s="11">
        <v>0</v>
      </c>
      <c r="BW5" s="11">
        <v>0</v>
      </c>
      <c r="BX5" s="11">
        <v>0</v>
      </c>
      <c r="BY5" s="11">
        <v>0</v>
      </c>
      <c r="BZ5" s="11">
        <v>0</v>
      </c>
      <c r="CA5" s="11">
        <v>0</v>
      </c>
      <c r="CB5" s="11">
        <v>0</v>
      </c>
      <c r="CC5" s="11">
        <v>0</v>
      </c>
      <c r="CD5" s="11">
        <v>0</v>
      </c>
      <c r="CE5" s="11">
        <v>0</v>
      </c>
      <c r="CF5" s="26">
        <f t="shared" ref="CF5:CF68" si="5">SUM(BT5:CE5)</f>
        <v>0</v>
      </c>
      <c r="CG5" s="11">
        <v>0</v>
      </c>
      <c r="CH5" s="11">
        <v>0</v>
      </c>
      <c r="CI5" s="11">
        <v>0</v>
      </c>
      <c r="CJ5" s="11">
        <v>0</v>
      </c>
      <c r="CK5" s="11">
        <v>0</v>
      </c>
      <c r="CL5" s="11">
        <v>0</v>
      </c>
      <c r="CM5" s="11">
        <v>0</v>
      </c>
      <c r="CN5" s="11">
        <v>0</v>
      </c>
      <c r="CO5" s="11">
        <v>0</v>
      </c>
      <c r="CP5" s="11">
        <v>0</v>
      </c>
      <c r="CQ5" s="11">
        <v>0</v>
      </c>
      <c r="CR5" s="11">
        <v>0</v>
      </c>
      <c r="CS5" s="26">
        <f t="shared" ref="CS5:CS68" si="6">SUM(CG5:CR5)</f>
        <v>0</v>
      </c>
      <c r="CT5" s="11">
        <v>0</v>
      </c>
      <c r="CU5" s="11">
        <v>0</v>
      </c>
      <c r="CV5" s="11">
        <v>0</v>
      </c>
      <c r="CW5" s="11">
        <v>0</v>
      </c>
      <c r="CX5" s="11">
        <v>0</v>
      </c>
      <c r="CY5" s="11">
        <v>0</v>
      </c>
      <c r="CZ5" s="11">
        <v>0</v>
      </c>
      <c r="DA5" s="11">
        <v>0</v>
      </c>
      <c r="DB5" s="11">
        <v>0</v>
      </c>
      <c r="DC5" s="11">
        <v>0</v>
      </c>
      <c r="DD5" s="11">
        <v>0</v>
      </c>
      <c r="DE5" s="11">
        <v>0</v>
      </c>
      <c r="DF5" s="26">
        <f t="shared" ref="DF5:DF68" si="7">SUM(CT5:DE5)</f>
        <v>0</v>
      </c>
      <c r="DG5" s="11">
        <v>0</v>
      </c>
      <c r="DH5" s="11">
        <v>0</v>
      </c>
      <c r="DI5" s="11">
        <v>0</v>
      </c>
      <c r="DJ5" s="11">
        <v>0</v>
      </c>
      <c r="DK5" s="11">
        <v>0</v>
      </c>
      <c r="DL5" s="11">
        <v>0</v>
      </c>
      <c r="DM5" s="11">
        <v>0</v>
      </c>
      <c r="DN5" s="11">
        <v>0</v>
      </c>
      <c r="DO5" s="11">
        <v>0</v>
      </c>
      <c r="DP5" s="11">
        <v>0</v>
      </c>
      <c r="DQ5" s="11">
        <v>0</v>
      </c>
      <c r="DR5" s="11">
        <v>0</v>
      </c>
      <c r="DS5" s="26">
        <f t="shared" ref="DS5:DS68" si="8">SUM(DG5:DR5)</f>
        <v>0</v>
      </c>
      <c r="DT5" s="11">
        <v>0</v>
      </c>
      <c r="DU5" s="11">
        <v>0</v>
      </c>
      <c r="DV5" s="11">
        <v>0</v>
      </c>
      <c r="DW5" s="11">
        <v>0</v>
      </c>
      <c r="DX5" s="11">
        <v>0</v>
      </c>
      <c r="DY5" s="11">
        <v>0</v>
      </c>
      <c r="DZ5" s="11">
        <v>0</v>
      </c>
      <c r="EA5" s="11">
        <v>0</v>
      </c>
      <c r="EB5" s="11">
        <v>0</v>
      </c>
      <c r="EC5" s="11">
        <v>0</v>
      </c>
      <c r="ED5" s="11">
        <v>0</v>
      </c>
      <c r="EE5" s="11">
        <v>0</v>
      </c>
      <c r="EF5" s="26">
        <f t="shared" ref="EF5:EF68" si="9">SUM(DT5:EE5)</f>
        <v>0</v>
      </c>
      <c r="EG5" s="9">
        <f t="shared" ref="EG5:EG68" si="10">SUM(AF5,AS5,BF5,BS5)</f>
        <v>8289</v>
      </c>
      <c r="EH5" s="9">
        <f t="shared" ref="EH5:EH68" si="11">SUM(CS5,DF5,DS5,EF5)</f>
        <v>0</v>
      </c>
      <c r="EI5" s="11">
        <v>6016</v>
      </c>
      <c r="EJ5" s="11">
        <v>5624</v>
      </c>
      <c r="EK5" s="11">
        <v>6297</v>
      </c>
      <c r="EL5" s="11">
        <v>7203</v>
      </c>
      <c r="EM5" s="11">
        <v>6691</v>
      </c>
      <c r="EN5" s="11">
        <v>9417</v>
      </c>
      <c r="EO5" s="11">
        <v>7681</v>
      </c>
      <c r="EP5" s="11">
        <v>7894</v>
      </c>
      <c r="EQ5" s="11">
        <v>4519</v>
      </c>
      <c r="ER5" s="11">
        <v>5162</v>
      </c>
      <c r="ES5" s="11">
        <v>7876</v>
      </c>
      <c r="ET5" s="11">
        <v>18025</v>
      </c>
      <c r="EU5" s="26">
        <f t="shared" ref="EU5:EU68" si="12">SUM(EI5:ET5)</f>
        <v>92405</v>
      </c>
      <c r="EV5" s="11">
        <v>4016</v>
      </c>
      <c r="EW5" s="11">
        <v>3811</v>
      </c>
      <c r="EX5" s="11">
        <v>4561</v>
      </c>
      <c r="EY5" s="11">
        <v>4907</v>
      </c>
      <c r="EZ5" s="11">
        <v>4158</v>
      </c>
      <c r="FA5" s="11">
        <v>7356</v>
      </c>
      <c r="FB5" s="11">
        <v>5223</v>
      </c>
      <c r="FC5" s="11">
        <v>5232</v>
      </c>
      <c r="FD5" s="11">
        <v>3018</v>
      </c>
      <c r="FE5" s="11">
        <v>3558</v>
      </c>
      <c r="FF5" s="11">
        <v>5263</v>
      </c>
      <c r="FG5" s="11">
        <v>15372</v>
      </c>
      <c r="FH5" s="26">
        <f t="shared" ref="FH5:FH68" si="13">SUM(EV5:FG5)</f>
        <v>66475</v>
      </c>
      <c r="FI5" s="11">
        <v>2000</v>
      </c>
      <c r="FJ5" s="11">
        <v>1791</v>
      </c>
      <c r="FK5" s="11">
        <v>1721</v>
      </c>
      <c r="FL5" s="11">
        <v>2269</v>
      </c>
      <c r="FM5" s="11">
        <v>2516</v>
      </c>
      <c r="FN5" s="11">
        <v>2043</v>
      </c>
      <c r="FO5" s="11">
        <v>2458</v>
      </c>
      <c r="FP5" s="11">
        <v>2655</v>
      </c>
      <c r="FQ5" s="11">
        <v>1492</v>
      </c>
      <c r="FR5" s="11">
        <v>1604</v>
      </c>
      <c r="FS5" s="11">
        <v>2514</v>
      </c>
      <c r="FT5" s="11">
        <v>2616</v>
      </c>
      <c r="FU5" s="26">
        <f t="shared" ref="FU5:FU68" si="14">SUM(FI5:FT5)</f>
        <v>25679</v>
      </c>
      <c r="FV5" s="11">
        <v>0</v>
      </c>
      <c r="FW5" s="11">
        <v>22</v>
      </c>
      <c r="FX5" s="11">
        <v>15</v>
      </c>
      <c r="FY5" s="11">
        <v>27</v>
      </c>
      <c r="FZ5" s="11">
        <v>17</v>
      </c>
      <c r="GA5" s="11">
        <v>18</v>
      </c>
      <c r="GB5" s="11">
        <v>0</v>
      </c>
      <c r="GC5" s="11">
        <v>7</v>
      </c>
      <c r="GD5" s="11">
        <v>9</v>
      </c>
      <c r="GE5" s="11">
        <v>0</v>
      </c>
      <c r="GF5" s="11">
        <v>99</v>
      </c>
      <c r="GG5" s="11">
        <v>37</v>
      </c>
      <c r="GH5" s="26">
        <f t="shared" ref="GH5:GH68" si="15">SUM(FV5:GG5)</f>
        <v>251</v>
      </c>
      <c r="GI5" s="11">
        <v>0</v>
      </c>
      <c r="GJ5" s="11">
        <v>0</v>
      </c>
      <c r="GK5" s="11">
        <v>0</v>
      </c>
      <c r="GL5" s="11">
        <v>0</v>
      </c>
      <c r="GM5" s="11">
        <v>0</v>
      </c>
      <c r="GN5" s="11">
        <v>0</v>
      </c>
      <c r="GO5" s="11">
        <v>0</v>
      </c>
      <c r="GP5" s="11">
        <v>0</v>
      </c>
      <c r="GQ5" s="11">
        <v>0</v>
      </c>
      <c r="GR5" s="11">
        <v>0</v>
      </c>
      <c r="GS5" s="11">
        <v>0</v>
      </c>
      <c r="GT5" s="11">
        <v>0</v>
      </c>
      <c r="GU5" s="26">
        <f t="shared" ref="GU5:GU68" si="16">SUM(GI5:GT5)</f>
        <v>0</v>
      </c>
      <c r="GV5" s="11">
        <v>0</v>
      </c>
      <c r="GW5" s="11">
        <v>0</v>
      </c>
      <c r="GX5" s="11">
        <v>0</v>
      </c>
      <c r="GY5" s="11">
        <v>0</v>
      </c>
      <c r="GZ5" s="11">
        <v>0</v>
      </c>
      <c r="HA5" s="11">
        <v>0</v>
      </c>
      <c r="HB5" s="11">
        <v>0</v>
      </c>
      <c r="HC5" s="11">
        <v>0</v>
      </c>
      <c r="HD5" s="11">
        <v>0</v>
      </c>
      <c r="HE5" s="11">
        <v>0</v>
      </c>
      <c r="HF5" s="11">
        <v>0</v>
      </c>
      <c r="HG5" s="11">
        <v>0</v>
      </c>
      <c r="HH5" s="26">
        <f t="shared" ref="HH5:HH68" si="17">SUM(GV5:HG5)</f>
        <v>0</v>
      </c>
      <c r="HI5" s="11">
        <v>0</v>
      </c>
      <c r="HJ5" s="11">
        <v>0</v>
      </c>
      <c r="HK5" s="11">
        <v>0</v>
      </c>
      <c r="HL5" s="11">
        <v>0</v>
      </c>
      <c r="HM5" s="11">
        <v>0</v>
      </c>
      <c r="HN5" s="11">
        <v>0</v>
      </c>
      <c r="HO5" s="11">
        <v>0</v>
      </c>
      <c r="HP5" s="11">
        <v>0</v>
      </c>
      <c r="HQ5" s="11">
        <v>0</v>
      </c>
      <c r="HR5" s="11">
        <v>0</v>
      </c>
      <c r="HS5" s="11">
        <v>0</v>
      </c>
      <c r="HT5" s="11">
        <v>0</v>
      </c>
      <c r="HU5" s="26">
        <f t="shared" ref="HU5:HU68" si="18">SUM(HI5:HT5)</f>
        <v>0</v>
      </c>
      <c r="HV5" s="11">
        <v>0</v>
      </c>
      <c r="HW5" s="11">
        <v>0</v>
      </c>
      <c r="HX5" s="11">
        <v>0</v>
      </c>
      <c r="HY5" s="11">
        <v>0</v>
      </c>
      <c r="HZ5" s="11">
        <v>0</v>
      </c>
      <c r="IA5" s="11">
        <v>0</v>
      </c>
      <c r="IB5" s="11">
        <v>0</v>
      </c>
      <c r="IC5" s="11">
        <v>0</v>
      </c>
      <c r="ID5" s="11">
        <v>0</v>
      </c>
      <c r="IE5" s="11">
        <v>0</v>
      </c>
      <c r="IF5" s="11">
        <v>0</v>
      </c>
      <c r="IG5" s="11">
        <v>0</v>
      </c>
      <c r="IH5" s="26">
        <f t="shared" ref="IH5:IH68" si="19">SUM(HV5:IG5)</f>
        <v>0</v>
      </c>
      <c r="II5" s="9">
        <f t="shared" ref="II5:II68" si="20">SUM(FH5,FU5,GH5)</f>
        <v>92405</v>
      </c>
      <c r="IJ5" s="9">
        <f t="shared" ref="IJ5:IJ68" si="21">SUM(HH5,HU5,IH5)</f>
        <v>0</v>
      </c>
      <c r="IK5" s="11">
        <v>29986</v>
      </c>
      <c r="IL5" s="11">
        <v>28689</v>
      </c>
      <c r="IM5" s="11">
        <v>27072</v>
      </c>
      <c r="IN5" s="11">
        <v>32543</v>
      </c>
      <c r="IO5" s="11">
        <v>37208</v>
      </c>
      <c r="IP5" s="11">
        <v>28806</v>
      </c>
      <c r="IQ5" s="11">
        <v>31065</v>
      </c>
      <c r="IR5" s="11">
        <v>27072</v>
      </c>
      <c r="IS5" s="11">
        <v>20896</v>
      </c>
      <c r="IT5" s="11">
        <v>26590</v>
      </c>
      <c r="IU5" s="11">
        <v>26576</v>
      </c>
      <c r="IV5" s="11">
        <v>28999</v>
      </c>
      <c r="IW5" s="27">
        <f t="shared" ref="IW5:IW68" si="22">SUM(IK5:IV5)</f>
        <v>345502</v>
      </c>
      <c r="IX5" s="11">
        <v>18574</v>
      </c>
      <c r="IY5" s="11">
        <v>17700</v>
      </c>
      <c r="IZ5" s="11">
        <v>16378</v>
      </c>
      <c r="JA5" s="11">
        <v>18498</v>
      </c>
      <c r="JB5" s="11">
        <v>20006</v>
      </c>
      <c r="JC5" s="11">
        <v>17339</v>
      </c>
      <c r="JD5" s="11">
        <v>18950</v>
      </c>
      <c r="JE5" s="11">
        <v>16983</v>
      </c>
      <c r="JF5" s="11">
        <v>14212</v>
      </c>
      <c r="JG5" s="11">
        <v>17467</v>
      </c>
      <c r="JH5" s="11">
        <v>16233</v>
      </c>
      <c r="JI5" s="11">
        <v>18507</v>
      </c>
      <c r="JJ5" s="27">
        <f t="shared" ref="JJ5:JJ68" si="23">SUM(IX5:JI5)</f>
        <v>210847</v>
      </c>
      <c r="JK5" s="11">
        <v>9913</v>
      </c>
      <c r="JL5" s="11">
        <v>9549</v>
      </c>
      <c r="JM5" s="11">
        <v>9210</v>
      </c>
      <c r="JN5" s="11">
        <v>11890</v>
      </c>
      <c r="JO5" s="11">
        <v>14540</v>
      </c>
      <c r="JP5" s="11">
        <v>9782</v>
      </c>
      <c r="JQ5" s="11">
        <v>10384</v>
      </c>
      <c r="JR5" s="11">
        <v>8548</v>
      </c>
      <c r="JS5" s="11">
        <v>5642</v>
      </c>
      <c r="JT5" s="11">
        <v>7771</v>
      </c>
      <c r="JU5" s="11">
        <v>8716</v>
      </c>
      <c r="JV5" s="11">
        <v>8818</v>
      </c>
      <c r="JW5" s="27">
        <f t="shared" ref="JW5:JW68" si="24">SUM(JK5:JV5)</f>
        <v>114763</v>
      </c>
      <c r="JX5" s="11">
        <v>1499</v>
      </c>
      <c r="JY5" s="11">
        <v>1440</v>
      </c>
      <c r="JZ5" s="11">
        <v>1484</v>
      </c>
      <c r="KA5" s="11">
        <v>2155</v>
      </c>
      <c r="KB5" s="11">
        <v>2662</v>
      </c>
      <c r="KC5" s="11">
        <v>1685</v>
      </c>
      <c r="KD5" s="11">
        <v>1731</v>
      </c>
      <c r="KE5" s="11">
        <v>1541</v>
      </c>
      <c r="KF5" s="11">
        <v>1042</v>
      </c>
      <c r="KG5" s="11">
        <v>1352</v>
      </c>
      <c r="KH5" s="11">
        <v>1627</v>
      </c>
      <c r="KI5" s="11">
        <v>1674</v>
      </c>
      <c r="KJ5" s="27">
        <f t="shared" ref="KJ5:KJ68" si="25">SUM(JX5:KI5)</f>
        <v>19892</v>
      </c>
      <c r="KK5" s="11">
        <v>296</v>
      </c>
      <c r="KL5" s="11">
        <v>272</v>
      </c>
      <c r="KM5" s="11">
        <v>275</v>
      </c>
      <c r="KN5" s="11">
        <v>321</v>
      </c>
      <c r="KO5" s="11">
        <v>219</v>
      </c>
      <c r="KP5" s="11">
        <v>212</v>
      </c>
      <c r="KQ5" s="11">
        <v>376</v>
      </c>
      <c r="KR5" s="11">
        <v>337</v>
      </c>
      <c r="KS5" s="11">
        <v>206</v>
      </c>
      <c r="KT5" s="11">
        <v>247</v>
      </c>
      <c r="KU5" s="11">
        <v>230</v>
      </c>
      <c r="KV5" s="11">
        <v>288</v>
      </c>
      <c r="KW5" s="27">
        <f t="shared" ref="KW5:KW68" si="26">SUM(KK5:KV5)</f>
        <v>3279</v>
      </c>
      <c r="KX5" s="11">
        <v>295</v>
      </c>
      <c r="KY5" s="11">
        <v>272</v>
      </c>
      <c r="KZ5" s="11">
        <v>274</v>
      </c>
      <c r="LA5" s="11">
        <v>320</v>
      </c>
      <c r="LB5" s="11">
        <v>219</v>
      </c>
      <c r="LC5" s="11">
        <v>211</v>
      </c>
      <c r="LD5" s="11">
        <v>375</v>
      </c>
      <c r="LE5" s="11">
        <v>332</v>
      </c>
      <c r="LF5" s="11">
        <v>206</v>
      </c>
      <c r="LG5" s="11">
        <v>246</v>
      </c>
      <c r="LH5" s="11">
        <v>230</v>
      </c>
      <c r="LI5" s="11">
        <v>287</v>
      </c>
      <c r="LJ5" s="27">
        <f t="shared" ref="LJ5:LJ68" si="27">SUM(KX5:LI5)</f>
        <v>3267</v>
      </c>
      <c r="LK5" s="11">
        <v>1</v>
      </c>
      <c r="LL5" s="11">
        <v>0</v>
      </c>
      <c r="LM5" s="11">
        <v>1</v>
      </c>
      <c r="LN5" s="11">
        <v>1</v>
      </c>
      <c r="LO5" s="11">
        <v>0</v>
      </c>
      <c r="LP5" s="11">
        <v>1</v>
      </c>
      <c r="LQ5" s="11">
        <v>1</v>
      </c>
      <c r="LR5" s="11">
        <v>5</v>
      </c>
      <c r="LS5" s="11">
        <v>0</v>
      </c>
      <c r="LT5" s="11">
        <v>1</v>
      </c>
      <c r="LU5" s="11">
        <v>0</v>
      </c>
      <c r="LV5" s="11">
        <v>1</v>
      </c>
      <c r="LW5" s="27">
        <f t="shared" ref="LW5:LW68" si="28">SUM(LK5:LV5)</f>
        <v>12</v>
      </c>
      <c r="LX5" s="11">
        <v>0</v>
      </c>
      <c r="LY5" s="11">
        <v>0</v>
      </c>
      <c r="LZ5" s="11">
        <v>0</v>
      </c>
      <c r="MA5" s="11">
        <v>0</v>
      </c>
      <c r="MB5" s="11">
        <v>0</v>
      </c>
      <c r="MC5" s="11">
        <v>0</v>
      </c>
      <c r="MD5" s="11">
        <v>0</v>
      </c>
      <c r="ME5" s="11">
        <v>0</v>
      </c>
      <c r="MF5" s="11">
        <v>0</v>
      </c>
      <c r="MG5" s="11">
        <v>0</v>
      </c>
      <c r="MH5" s="11">
        <v>0</v>
      </c>
      <c r="MI5" s="11">
        <v>0</v>
      </c>
      <c r="MJ5" s="27">
        <f t="shared" ref="MJ5:MJ68" si="29">SUM(LX5:MI5)</f>
        <v>0</v>
      </c>
      <c r="MK5" s="11">
        <v>1642</v>
      </c>
      <c r="ML5" s="11">
        <v>1703</v>
      </c>
      <c r="MM5" s="11">
        <v>1599</v>
      </c>
      <c r="MN5" s="11">
        <v>1747</v>
      </c>
      <c r="MO5" s="11">
        <v>1770</v>
      </c>
      <c r="MP5" s="11">
        <v>1742</v>
      </c>
      <c r="MQ5" s="11">
        <v>1648</v>
      </c>
      <c r="MR5" s="11">
        <v>1524</v>
      </c>
      <c r="MS5" s="11">
        <v>1629</v>
      </c>
      <c r="MT5" s="11">
        <v>1798</v>
      </c>
      <c r="MU5" s="11">
        <v>1603</v>
      </c>
      <c r="MV5" s="11">
        <v>1680</v>
      </c>
      <c r="MW5" s="27">
        <f t="shared" ref="MW5:MW68" si="30">SUM(MK5:MV5)</f>
        <v>20085</v>
      </c>
      <c r="MX5" s="11">
        <v>1470</v>
      </c>
      <c r="MY5" s="11">
        <v>1515</v>
      </c>
      <c r="MZ5" s="11">
        <v>1409</v>
      </c>
      <c r="NA5" s="11">
        <v>1561</v>
      </c>
      <c r="NB5" s="11">
        <v>1566</v>
      </c>
      <c r="NC5" s="11">
        <v>1519</v>
      </c>
      <c r="ND5" s="11">
        <v>1464</v>
      </c>
      <c r="NE5" s="11">
        <v>1350</v>
      </c>
      <c r="NF5" s="11">
        <v>1439</v>
      </c>
      <c r="NG5" s="11">
        <v>1589</v>
      </c>
      <c r="NH5" s="11">
        <v>1415</v>
      </c>
      <c r="NI5" s="11">
        <v>1477</v>
      </c>
      <c r="NJ5" s="27">
        <f t="shared" ref="NJ5:NJ68" si="31">SUM(MX5:NI5)</f>
        <v>17774</v>
      </c>
      <c r="NK5" s="11">
        <v>48</v>
      </c>
      <c r="NL5" s="11">
        <v>68</v>
      </c>
      <c r="NM5" s="11">
        <v>49</v>
      </c>
      <c r="NN5" s="11">
        <v>70</v>
      </c>
      <c r="NO5" s="11">
        <v>88</v>
      </c>
      <c r="NP5" s="11">
        <v>104</v>
      </c>
      <c r="NQ5" s="11">
        <v>84</v>
      </c>
      <c r="NR5" s="11">
        <v>74</v>
      </c>
      <c r="NS5" s="11">
        <v>83</v>
      </c>
      <c r="NT5" s="11">
        <v>75</v>
      </c>
      <c r="NU5" s="11">
        <v>58</v>
      </c>
      <c r="NV5" s="11">
        <v>85</v>
      </c>
      <c r="NW5" s="27">
        <f t="shared" ref="NW5:NW68" si="32">SUM(NK5:NV5)</f>
        <v>886</v>
      </c>
      <c r="NX5" s="11">
        <v>124</v>
      </c>
      <c r="NY5" s="11">
        <v>120</v>
      </c>
      <c r="NZ5" s="11">
        <v>141</v>
      </c>
      <c r="OA5" s="11">
        <v>116</v>
      </c>
      <c r="OB5" s="11">
        <v>116</v>
      </c>
      <c r="OC5" s="11">
        <v>119</v>
      </c>
      <c r="OD5" s="11">
        <v>100</v>
      </c>
      <c r="OE5" s="11">
        <v>100</v>
      </c>
      <c r="OF5" s="11">
        <v>107</v>
      </c>
      <c r="OG5" s="11">
        <v>134</v>
      </c>
      <c r="OH5" s="11">
        <v>130</v>
      </c>
      <c r="OI5" s="11">
        <v>118</v>
      </c>
      <c r="OJ5" s="27">
        <f t="shared" ref="OJ5:OJ68" si="33">SUM(NX5:OI5)</f>
        <v>1425</v>
      </c>
      <c r="OK5" s="11">
        <v>924</v>
      </c>
      <c r="OL5" s="11">
        <v>931</v>
      </c>
      <c r="OM5" s="11">
        <v>962</v>
      </c>
      <c r="ON5" s="11">
        <v>1011</v>
      </c>
      <c r="OO5" s="11">
        <v>1016</v>
      </c>
      <c r="OP5" s="11">
        <v>1137</v>
      </c>
      <c r="OQ5" s="11">
        <v>1095</v>
      </c>
      <c r="OR5" s="11">
        <v>1152</v>
      </c>
      <c r="OS5" s="11">
        <v>1009</v>
      </c>
      <c r="OT5" s="11">
        <v>1285</v>
      </c>
      <c r="OU5" s="11">
        <v>1147</v>
      </c>
      <c r="OV5" s="11">
        <v>1188</v>
      </c>
      <c r="OW5" s="27">
        <f t="shared" ref="OW5:OW68" si="34">SUM(OK5:OV5)</f>
        <v>12857</v>
      </c>
      <c r="OX5" s="11">
        <v>792</v>
      </c>
      <c r="OY5" s="11">
        <v>786</v>
      </c>
      <c r="OZ5" s="11">
        <v>831</v>
      </c>
      <c r="PA5" s="11">
        <v>853</v>
      </c>
      <c r="PB5" s="11">
        <v>877</v>
      </c>
      <c r="PC5" s="11">
        <v>957</v>
      </c>
      <c r="PD5" s="11">
        <v>921</v>
      </c>
      <c r="PE5" s="11">
        <v>978</v>
      </c>
      <c r="PF5" s="11">
        <v>867</v>
      </c>
      <c r="PG5" s="11">
        <v>1098</v>
      </c>
      <c r="PH5" s="11">
        <v>988</v>
      </c>
      <c r="PI5" s="11">
        <v>1037</v>
      </c>
      <c r="PJ5" s="27">
        <f t="shared" ref="PJ5:PJ68" si="35">SUM(OX5:PI5)</f>
        <v>10985</v>
      </c>
      <c r="PK5" s="11">
        <v>83</v>
      </c>
      <c r="PL5" s="11">
        <v>91</v>
      </c>
      <c r="PM5" s="11">
        <v>79</v>
      </c>
      <c r="PN5" s="11">
        <v>93</v>
      </c>
      <c r="PO5" s="11">
        <v>88</v>
      </c>
      <c r="PP5" s="11">
        <v>95</v>
      </c>
      <c r="PQ5" s="11">
        <v>109</v>
      </c>
      <c r="PR5" s="11">
        <v>95</v>
      </c>
      <c r="PS5" s="11">
        <v>82</v>
      </c>
      <c r="PT5" s="11">
        <v>109</v>
      </c>
      <c r="PU5" s="11">
        <v>94</v>
      </c>
      <c r="PV5" s="11">
        <v>82</v>
      </c>
      <c r="PW5" s="27">
        <f t="shared" ref="PW5:PW68" si="36">SUM(PK5:PV5)</f>
        <v>1100</v>
      </c>
      <c r="PX5" s="11">
        <v>49</v>
      </c>
      <c r="PY5" s="11">
        <v>54</v>
      </c>
      <c r="PZ5" s="11">
        <v>52</v>
      </c>
      <c r="QA5" s="11">
        <v>65</v>
      </c>
      <c r="QB5" s="11">
        <v>51</v>
      </c>
      <c r="QC5" s="11">
        <v>85</v>
      </c>
      <c r="QD5" s="11">
        <v>65</v>
      </c>
      <c r="QE5" s="11">
        <v>79</v>
      </c>
      <c r="QF5" s="11">
        <v>60</v>
      </c>
      <c r="QG5" s="11">
        <v>78</v>
      </c>
      <c r="QH5" s="11">
        <v>65</v>
      </c>
      <c r="QI5" s="11">
        <v>69</v>
      </c>
      <c r="QJ5" s="27">
        <f t="shared" ref="QJ5:QJ68" si="37">SUM(PX5:QI5)</f>
        <v>772</v>
      </c>
      <c r="QK5" s="11">
        <v>30231</v>
      </c>
      <c r="QL5" s="11">
        <v>27526</v>
      </c>
      <c r="QM5" s="11">
        <v>27941</v>
      </c>
      <c r="QN5" s="11">
        <v>32395</v>
      </c>
      <c r="QO5" s="11">
        <v>31735</v>
      </c>
      <c r="QP5" s="11">
        <v>30971</v>
      </c>
      <c r="QQ5" s="11">
        <v>28176</v>
      </c>
      <c r="QR5" s="11">
        <v>29589</v>
      </c>
      <c r="QS5" s="11">
        <v>21769</v>
      </c>
      <c r="QT5" s="11">
        <v>25097</v>
      </c>
      <c r="QU5" s="11">
        <v>30361</v>
      </c>
      <c r="QV5" s="11">
        <v>31472</v>
      </c>
      <c r="QW5" s="27">
        <f t="shared" ref="QW5:QW68" si="38">SUM(QK5:QV5)</f>
        <v>347263</v>
      </c>
      <c r="QX5" s="11">
        <v>19647</v>
      </c>
      <c r="QY5" s="11">
        <v>18583</v>
      </c>
      <c r="QZ5" s="11">
        <v>17720</v>
      </c>
      <c r="RA5" s="11">
        <v>25302</v>
      </c>
      <c r="RB5" s="11">
        <v>22984</v>
      </c>
      <c r="RC5" s="11">
        <v>21739</v>
      </c>
      <c r="RD5" s="11">
        <v>24759</v>
      </c>
      <c r="RE5" s="11">
        <v>23232</v>
      </c>
      <c r="RF5" s="11">
        <v>16711</v>
      </c>
      <c r="RG5" s="11">
        <v>20434</v>
      </c>
      <c r="RH5" s="11">
        <v>21530</v>
      </c>
      <c r="RI5" s="11">
        <v>23509</v>
      </c>
      <c r="RJ5" s="27">
        <f t="shared" ref="RJ5:RJ68" si="39">SUM(QX5:RI5)</f>
        <v>256150</v>
      </c>
      <c r="RK5" s="11">
        <v>0</v>
      </c>
      <c r="RL5" s="11">
        <v>0</v>
      </c>
      <c r="RM5" s="11">
        <v>0</v>
      </c>
      <c r="RN5" s="11">
        <v>0</v>
      </c>
      <c r="RO5" s="11">
        <v>0</v>
      </c>
      <c r="RP5" s="11">
        <v>0</v>
      </c>
      <c r="RQ5" s="11">
        <v>0</v>
      </c>
      <c r="RR5" s="11">
        <v>0</v>
      </c>
      <c r="RS5" s="11">
        <v>0</v>
      </c>
      <c r="RT5" s="11">
        <v>0</v>
      </c>
      <c r="RU5" s="11">
        <v>0</v>
      </c>
      <c r="RV5" s="11">
        <v>0</v>
      </c>
      <c r="RW5" s="27">
        <f t="shared" ref="RW5:RW68" si="40">SUM(RK5:RV5)</f>
        <v>0</v>
      </c>
      <c r="RX5" s="11">
        <v>0</v>
      </c>
      <c r="RY5" s="11">
        <v>0</v>
      </c>
      <c r="RZ5" s="11">
        <v>0</v>
      </c>
      <c r="SA5" s="11">
        <v>0</v>
      </c>
      <c r="SB5" s="11">
        <v>0</v>
      </c>
      <c r="SC5" s="11">
        <v>0</v>
      </c>
      <c r="SD5" s="11">
        <v>0</v>
      </c>
      <c r="SE5" s="11">
        <v>0</v>
      </c>
      <c r="SF5" s="11">
        <v>0</v>
      </c>
      <c r="SG5" s="11">
        <v>0</v>
      </c>
      <c r="SH5" s="11">
        <v>0</v>
      </c>
      <c r="SI5" s="11">
        <v>0</v>
      </c>
      <c r="SJ5" s="27">
        <f t="shared" ref="SJ5:SJ68" si="41">SUM(RX5:SI5)</f>
        <v>0</v>
      </c>
      <c r="SK5" s="11">
        <v>220</v>
      </c>
      <c r="SL5" s="11">
        <v>245</v>
      </c>
      <c r="SM5" s="11">
        <v>193</v>
      </c>
      <c r="SN5" s="11">
        <v>199</v>
      </c>
      <c r="SO5" s="11">
        <v>206</v>
      </c>
      <c r="SP5" s="11">
        <v>190</v>
      </c>
      <c r="SQ5" s="11">
        <v>225</v>
      </c>
      <c r="SR5" s="11">
        <v>188</v>
      </c>
      <c r="SS5" s="11">
        <v>207</v>
      </c>
      <c r="ST5" s="11">
        <v>193</v>
      </c>
      <c r="SU5" s="11">
        <v>185</v>
      </c>
      <c r="SV5" s="11">
        <v>189</v>
      </c>
      <c r="SW5" s="27">
        <f t="shared" ref="SW5:SW68" si="42">SUM(SK5:SV5)</f>
        <v>2440</v>
      </c>
      <c r="SX5" s="28" t="s">
        <v>2641</v>
      </c>
      <c r="SY5" s="11">
        <v>2940</v>
      </c>
      <c r="SZ5" s="11">
        <v>3061</v>
      </c>
      <c r="TA5" s="11">
        <v>3044</v>
      </c>
      <c r="TB5" s="11">
        <v>3243</v>
      </c>
      <c r="TC5" s="11">
        <v>2812</v>
      </c>
      <c r="TD5" s="11">
        <v>3020</v>
      </c>
      <c r="TE5" s="11">
        <v>2979</v>
      </c>
      <c r="TF5" s="11">
        <v>2797</v>
      </c>
      <c r="TG5" s="11">
        <v>2407</v>
      </c>
      <c r="TH5" s="11">
        <v>2998</v>
      </c>
      <c r="TI5" s="11">
        <v>3250</v>
      </c>
      <c r="TJ5" s="11">
        <v>3493</v>
      </c>
      <c r="TK5" s="27">
        <f t="shared" ref="TK5:TK68" si="43">SUM(SY5:TJ5)</f>
        <v>36044</v>
      </c>
      <c r="TL5" s="11">
        <v>0</v>
      </c>
      <c r="TM5" s="11">
        <v>0</v>
      </c>
      <c r="TN5" s="11">
        <v>0</v>
      </c>
      <c r="TO5" s="11">
        <v>0</v>
      </c>
      <c r="TP5" s="11">
        <v>0</v>
      </c>
      <c r="TQ5" s="11">
        <v>0</v>
      </c>
      <c r="TR5" s="11">
        <v>0</v>
      </c>
      <c r="TS5" s="11">
        <v>0</v>
      </c>
      <c r="TT5" s="11">
        <v>0</v>
      </c>
      <c r="TU5" s="11">
        <v>0</v>
      </c>
      <c r="TV5" s="11">
        <v>0</v>
      </c>
      <c r="TW5" s="11">
        <v>0</v>
      </c>
      <c r="TX5" s="27">
        <f t="shared" ref="TX5:TX68" si="44">SUM(TL5:TW5)</f>
        <v>0</v>
      </c>
      <c r="TY5" s="11">
        <v>100</v>
      </c>
      <c r="TZ5" s="11"/>
      <c r="UA5" s="11"/>
    </row>
    <row r="6" spans="1:547" ht="16" customHeight="1" x14ac:dyDescent="0.35">
      <c r="A6" s="11" t="s">
        <v>1557</v>
      </c>
      <c r="B6" s="11">
        <v>21168</v>
      </c>
      <c r="C6" s="11">
        <v>4849</v>
      </c>
      <c r="D6" s="11">
        <v>15314</v>
      </c>
      <c r="E6" s="11">
        <v>1005</v>
      </c>
      <c r="F6" s="11">
        <v>120</v>
      </c>
      <c r="G6" s="11">
        <v>92</v>
      </c>
      <c r="H6" s="11">
        <v>113</v>
      </c>
      <c r="I6" s="11">
        <v>85</v>
      </c>
      <c r="J6" s="11">
        <v>82</v>
      </c>
      <c r="K6" s="11">
        <v>119</v>
      </c>
      <c r="L6" s="11">
        <v>175</v>
      </c>
      <c r="M6" s="11">
        <v>156</v>
      </c>
      <c r="N6" s="11">
        <v>107</v>
      </c>
      <c r="O6" s="11">
        <v>153</v>
      </c>
      <c r="P6" s="11" t="s">
        <v>2864</v>
      </c>
      <c r="Q6" s="11">
        <v>160</v>
      </c>
      <c r="R6" s="11">
        <v>166</v>
      </c>
      <c r="S6" s="26">
        <f t="shared" si="0"/>
        <v>1528</v>
      </c>
      <c r="T6" s="11">
        <v>0</v>
      </c>
      <c r="U6" s="11">
        <v>0</v>
      </c>
      <c r="V6" s="11">
        <v>0</v>
      </c>
      <c r="W6" s="11">
        <v>0</v>
      </c>
      <c r="X6" s="11">
        <v>0</v>
      </c>
      <c r="Y6" s="11">
        <v>0</v>
      </c>
      <c r="Z6" s="11">
        <v>0</v>
      </c>
      <c r="AA6" s="11">
        <v>0</v>
      </c>
      <c r="AB6" s="11">
        <v>0</v>
      </c>
      <c r="AC6" s="11">
        <v>0</v>
      </c>
      <c r="AD6" s="11">
        <v>0</v>
      </c>
      <c r="AE6" s="11">
        <v>0</v>
      </c>
      <c r="AF6" s="26">
        <f t="shared" si="1"/>
        <v>0</v>
      </c>
      <c r="AG6" s="11">
        <v>0</v>
      </c>
      <c r="AH6" s="11">
        <v>0</v>
      </c>
      <c r="AI6" s="11">
        <v>0</v>
      </c>
      <c r="AJ6" s="11">
        <v>0</v>
      </c>
      <c r="AK6" s="11">
        <v>0</v>
      </c>
      <c r="AL6" s="11">
        <v>0</v>
      </c>
      <c r="AM6" s="11">
        <v>0</v>
      </c>
      <c r="AN6" s="11">
        <v>0</v>
      </c>
      <c r="AO6" s="11">
        <v>0</v>
      </c>
      <c r="AP6" s="11">
        <v>0</v>
      </c>
      <c r="AQ6" s="11">
        <v>0</v>
      </c>
      <c r="AR6" s="11">
        <v>0</v>
      </c>
      <c r="AS6" s="26">
        <f t="shared" si="2"/>
        <v>0</v>
      </c>
      <c r="AT6" s="11">
        <v>0</v>
      </c>
      <c r="AU6" s="11">
        <v>0</v>
      </c>
      <c r="AV6" s="11">
        <v>0</v>
      </c>
      <c r="AW6" s="11">
        <v>0</v>
      </c>
      <c r="AX6" s="11">
        <v>0</v>
      </c>
      <c r="AY6" s="11">
        <v>0</v>
      </c>
      <c r="AZ6" s="11">
        <v>0</v>
      </c>
      <c r="BA6" s="11">
        <v>0</v>
      </c>
      <c r="BB6" s="11">
        <v>0</v>
      </c>
      <c r="BC6" s="11">
        <v>0</v>
      </c>
      <c r="BD6" s="11">
        <v>0</v>
      </c>
      <c r="BE6" s="11">
        <v>0</v>
      </c>
      <c r="BF6" s="26">
        <f t="shared" si="3"/>
        <v>0</v>
      </c>
      <c r="BG6" s="11">
        <v>0</v>
      </c>
      <c r="BH6" s="11">
        <v>0</v>
      </c>
      <c r="BI6" s="11">
        <v>0</v>
      </c>
      <c r="BJ6" s="11">
        <v>0</v>
      </c>
      <c r="BK6" s="11">
        <v>0</v>
      </c>
      <c r="BL6" s="11">
        <v>0</v>
      </c>
      <c r="BM6" s="11">
        <v>0</v>
      </c>
      <c r="BN6" s="11">
        <v>0</v>
      </c>
      <c r="BO6" s="11">
        <v>0</v>
      </c>
      <c r="BP6" s="11">
        <v>0</v>
      </c>
      <c r="BQ6" s="11">
        <v>0</v>
      </c>
      <c r="BR6" s="11">
        <v>0</v>
      </c>
      <c r="BS6" s="26">
        <f t="shared" si="4"/>
        <v>0</v>
      </c>
      <c r="BT6" s="11">
        <v>1</v>
      </c>
      <c r="BU6" s="11">
        <v>1</v>
      </c>
      <c r="BV6" s="11">
        <v>1</v>
      </c>
      <c r="BW6" s="11">
        <v>1</v>
      </c>
      <c r="BX6" s="11">
        <v>1</v>
      </c>
      <c r="BY6" s="11">
        <v>1</v>
      </c>
      <c r="BZ6" s="11">
        <v>1</v>
      </c>
      <c r="CA6" s="11">
        <v>1</v>
      </c>
      <c r="CB6" s="11">
        <v>0</v>
      </c>
      <c r="CC6" s="11">
        <v>2</v>
      </c>
      <c r="CD6" s="11">
        <v>2</v>
      </c>
      <c r="CE6" s="11">
        <v>1</v>
      </c>
      <c r="CF6" s="26">
        <f t="shared" si="5"/>
        <v>13</v>
      </c>
      <c r="CG6" s="11">
        <v>1</v>
      </c>
      <c r="CH6" s="11">
        <v>1</v>
      </c>
      <c r="CI6" s="11">
        <v>1</v>
      </c>
      <c r="CJ6" s="11">
        <v>1</v>
      </c>
      <c r="CK6" s="11">
        <v>1</v>
      </c>
      <c r="CL6" s="11">
        <v>1</v>
      </c>
      <c r="CM6" s="11">
        <v>1</v>
      </c>
      <c r="CN6" s="11">
        <v>1</v>
      </c>
      <c r="CO6" s="11">
        <v>0</v>
      </c>
      <c r="CP6" s="11">
        <v>2</v>
      </c>
      <c r="CQ6" s="11">
        <v>2</v>
      </c>
      <c r="CR6" s="11">
        <v>1</v>
      </c>
      <c r="CS6" s="26">
        <f t="shared" si="6"/>
        <v>13</v>
      </c>
      <c r="CT6" s="11">
        <v>0</v>
      </c>
      <c r="CU6" s="11">
        <v>0</v>
      </c>
      <c r="CV6" s="11">
        <v>0</v>
      </c>
      <c r="CW6" s="11">
        <v>0</v>
      </c>
      <c r="CX6" s="11">
        <v>0</v>
      </c>
      <c r="CY6" s="11">
        <v>0</v>
      </c>
      <c r="CZ6" s="11">
        <v>0</v>
      </c>
      <c r="DA6" s="11">
        <v>0</v>
      </c>
      <c r="DB6" s="11">
        <v>0</v>
      </c>
      <c r="DC6" s="11">
        <v>0</v>
      </c>
      <c r="DD6" s="11">
        <v>0</v>
      </c>
      <c r="DE6" s="11">
        <v>0</v>
      </c>
      <c r="DF6" s="26">
        <f t="shared" si="7"/>
        <v>0</v>
      </c>
      <c r="DG6" s="11">
        <v>0</v>
      </c>
      <c r="DH6" s="11">
        <v>0</v>
      </c>
      <c r="DI6" s="11">
        <v>0</v>
      </c>
      <c r="DJ6" s="11">
        <v>0</v>
      </c>
      <c r="DK6" s="11">
        <v>0</v>
      </c>
      <c r="DL6" s="11">
        <v>0</v>
      </c>
      <c r="DM6" s="11">
        <v>0</v>
      </c>
      <c r="DN6" s="11">
        <v>0</v>
      </c>
      <c r="DO6" s="11">
        <v>0</v>
      </c>
      <c r="DP6" s="11">
        <v>0</v>
      </c>
      <c r="DQ6" s="11">
        <v>0</v>
      </c>
      <c r="DR6" s="11">
        <v>0</v>
      </c>
      <c r="DS6" s="26">
        <f t="shared" si="8"/>
        <v>0</v>
      </c>
      <c r="DT6" s="11">
        <v>0</v>
      </c>
      <c r="DU6" s="11">
        <v>0</v>
      </c>
      <c r="DV6" s="11">
        <v>0</v>
      </c>
      <c r="DW6" s="11">
        <v>0</v>
      </c>
      <c r="DX6" s="11">
        <v>0</v>
      </c>
      <c r="DY6" s="11">
        <v>0</v>
      </c>
      <c r="DZ6" s="11">
        <v>0</v>
      </c>
      <c r="EA6" s="11">
        <v>0</v>
      </c>
      <c r="EB6" s="11">
        <v>0</v>
      </c>
      <c r="EC6" s="11">
        <v>0</v>
      </c>
      <c r="ED6" s="11">
        <v>0</v>
      </c>
      <c r="EE6" s="11">
        <v>0</v>
      </c>
      <c r="EF6" s="26">
        <f t="shared" si="9"/>
        <v>0</v>
      </c>
      <c r="EG6" s="9">
        <f t="shared" si="10"/>
        <v>0</v>
      </c>
      <c r="EH6" s="9">
        <f t="shared" si="11"/>
        <v>13</v>
      </c>
      <c r="EI6" s="11">
        <v>2283</v>
      </c>
      <c r="EJ6" s="11">
        <v>1804</v>
      </c>
      <c r="EK6" s="11">
        <v>2163</v>
      </c>
      <c r="EL6" s="11">
        <v>1993</v>
      </c>
      <c r="EM6" s="11">
        <v>1054</v>
      </c>
      <c r="EN6" s="11">
        <v>2299</v>
      </c>
      <c r="EO6" s="11">
        <v>3515</v>
      </c>
      <c r="EP6" s="11">
        <v>3625</v>
      </c>
      <c r="EQ6" s="11">
        <v>1879</v>
      </c>
      <c r="ER6" s="11">
        <v>3090</v>
      </c>
      <c r="ES6" s="11">
        <v>2739</v>
      </c>
      <c r="ET6" s="11">
        <v>3160</v>
      </c>
      <c r="EU6" s="26">
        <f t="shared" si="12"/>
        <v>29604</v>
      </c>
      <c r="EV6" s="11">
        <v>1077</v>
      </c>
      <c r="EW6" s="11">
        <v>696</v>
      </c>
      <c r="EX6" s="11">
        <v>717</v>
      </c>
      <c r="EY6" s="11">
        <v>937</v>
      </c>
      <c r="EZ6" s="11">
        <v>446</v>
      </c>
      <c r="FA6" s="11">
        <v>981</v>
      </c>
      <c r="FB6" s="11">
        <v>1269</v>
      </c>
      <c r="FC6" s="11">
        <v>2288</v>
      </c>
      <c r="FD6" s="11">
        <v>738</v>
      </c>
      <c r="FE6" s="11">
        <v>1069</v>
      </c>
      <c r="FF6" s="11">
        <v>1417</v>
      </c>
      <c r="FG6" s="11">
        <v>1447</v>
      </c>
      <c r="FH6" s="26">
        <f t="shared" si="13"/>
        <v>13082</v>
      </c>
      <c r="FI6" s="11">
        <v>1206</v>
      </c>
      <c r="FJ6" s="11">
        <v>1108</v>
      </c>
      <c r="FK6" s="11">
        <v>1446</v>
      </c>
      <c r="FL6" s="11">
        <v>1056</v>
      </c>
      <c r="FM6" s="11">
        <v>608</v>
      </c>
      <c r="FN6" s="11">
        <v>1318</v>
      </c>
      <c r="FO6" s="11">
        <v>2246</v>
      </c>
      <c r="FP6" s="11">
        <v>1337</v>
      </c>
      <c r="FQ6" s="11">
        <v>1141</v>
      </c>
      <c r="FR6" s="11">
        <v>2021</v>
      </c>
      <c r="FS6" s="11">
        <v>1295</v>
      </c>
      <c r="FT6" s="11">
        <v>1713</v>
      </c>
      <c r="FU6" s="26">
        <f t="shared" si="14"/>
        <v>16495</v>
      </c>
      <c r="FV6" s="11">
        <v>0</v>
      </c>
      <c r="FW6" s="11">
        <v>0</v>
      </c>
      <c r="FX6" s="11">
        <v>0</v>
      </c>
      <c r="FY6" s="11">
        <v>0</v>
      </c>
      <c r="FZ6" s="11">
        <v>0</v>
      </c>
      <c r="GA6" s="11">
        <v>0</v>
      </c>
      <c r="GB6" s="11">
        <v>0</v>
      </c>
      <c r="GC6" s="11">
        <v>0</v>
      </c>
      <c r="GD6" s="11">
        <v>0</v>
      </c>
      <c r="GE6" s="11">
        <v>0</v>
      </c>
      <c r="GF6" s="11">
        <v>0</v>
      </c>
      <c r="GG6" s="11">
        <v>0</v>
      </c>
      <c r="GH6" s="26">
        <f t="shared" si="15"/>
        <v>0</v>
      </c>
      <c r="GI6" s="11">
        <v>7</v>
      </c>
      <c r="GJ6" s="11">
        <v>7</v>
      </c>
      <c r="GK6" s="11">
        <v>8</v>
      </c>
      <c r="GL6" s="11">
        <v>6</v>
      </c>
      <c r="GM6" s="11">
        <v>8</v>
      </c>
      <c r="GN6" s="11">
        <v>9</v>
      </c>
      <c r="GO6" s="11">
        <v>8</v>
      </c>
      <c r="GP6" s="11">
        <v>8</v>
      </c>
      <c r="GQ6" s="11">
        <v>0</v>
      </c>
      <c r="GR6" s="11">
        <v>14</v>
      </c>
      <c r="GS6" s="11">
        <v>19</v>
      </c>
      <c r="GT6" s="11">
        <v>5</v>
      </c>
      <c r="GU6" s="26">
        <f t="shared" si="16"/>
        <v>99</v>
      </c>
      <c r="GV6" s="11">
        <v>7</v>
      </c>
      <c r="GW6" s="11">
        <v>7</v>
      </c>
      <c r="GX6" s="11">
        <v>8</v>
      </c>
      <c r="GY6" s="11">
        <v>6</v>
      </c>
      <c r="GZ6" s="11">
        <v>8</v>
      </c>
      <c r="HA6" s="11">
        <v>9</v>
      </c>
      <c r="HB6" s="11">
        <v>8</v>
      </c>
      <c r="HC6" s="11">
        <v>8</v>
      </c>
      <c r="HD6" s="11">
        <v>0</v>
      </c>
      <c r="HE6" s="11">
        <v>14</v>
      </c>
      <c r="HF6" s="11">
        <v>19</v>
      </c>
      <c r="HG6" s="11">
        <v>5</v>
      </c>
      <c r="HH6" s="26">
        <f t="shared" si="17"/>
        <v>99</v>
      </c>
      <c r="HI6" s="11">
        <v>0</v>
      </c>
      <c r="HJ6" s="11">
        <v>0</v>
      </c>
      <c r="HK6" s="11">
        <v>0</v>
      </c>
      <c r="HL6" s="11">
        <v>0</v>
      </c>
      <c r="HM6" s="11">
        <v>0</v>
      </c>
      <c r="HN6" s="11">
        <v>0</v>
      </c>
      <c r="HO6" s="11">
        <v>0</v>
      </c>
      <c r="HP6" s="11">
        <v>0</v>
      </c>
      <c r="HQ6" s="11">
        <v>0</v>
      </c>
      <c r="HR6" s="11">
        <v>0</v>
      </c>
      <c r="HS6" s="11">
        <v>0</v>
      </c>
      <c r="HT6" s="11">
        <v>0</v>
      </c>
      <c r="HU6" s="26">
        <f t="shared" si="18"/>
        <v>0</v>
      </c>
      <c r="HV6" s="11">
        <v>0</v>
      </c>
      <c r="HW6" s="11">
        <v>0</v>
      </c>
      <c r="HX6" s="11">
        <v>0</v>
      </c>
      <c r="HY6" s="11">
        <v>0</v>
      </c>
      <c r="HZ6" s="11">
        <v>0</v>
      </c>
      <c r="IA6" s="11">
        <v>0</v>
      </c>
      <c r="IB6" s="11">
        <v>0</v>
      </c>
      <c r="IC6" s="11">
        <v>0</v>
      </c>
      <c r="ID6" s="11">
        <v>0</v>
      </c>
      <c r="IE6" s="11">
        <v>0</v>
      </c>
      <c r="IF6" s="11">
        <v>0</v>
      </c>
      <c r="IG6" s="11">
        <v>0</v>
      </c>
      <c r="IH6" s="26">
        <f t="shared" si="19"/>
        <v>0</v>
      </c>
      <c r="II6" s="9">
        <f t="shared" si="20"/>
        <v>29577</v>
      </c>
      <c r="IJ6" s="9">
        <f t="shared" si="21"/>
        <v>99</v>
      </c>
      <c r="IK6" s="11">
        <v>41046</v>
      </c>
      <c r="IL6" s="11">
        <v>29346</v>
      </c>
      <c r="IM6" s="11">
        <v>23616</v>
      </c>
      <c r="IN6" s="11">
        <v>36508</v>
      </c>
      <c r="IO6" s="11">
        <v>39734</v>
      </c>
      <c r="IP6" s="11">
        <v>35289</v>
      </c>
      <c r="IQ6" s="11">
        <v>37055</v>
      </c>
      <c r="IR6" s="11">
        <v>34909</v>
      </c>
      <c r="IS6" s="11">
        <v>29234</v>
      </c>
      <c r="IT6" s="11">
        <v>35720</v>
      </c>
      <c r="IU6" s="11">
        <v>32748</v>
      </c>
      <c r="IV6" s="11">
        <v>35583</v>
      </c>
      <c r="IW6" s="27">
        <f t="shared" si="22"/>
        <v>410788</v>
      </c>
      <c r="IX6" s="11">
        <v>20612</v>
      </c>
      <c r="IY6" s="11">
        <v>14767</v>
      </c>
      <c r="IZ6" s="11">
        <v>11484</v>
      </c>
      <c r="JA6" s="11">
        <v>17060</v>
      </c>
      <c r="JB6" s="11">
        <v>18589</v>
      </c>
      <c r="JC6" s="11">
        <v>17596</v>
      </c>
      <c r="JD6" s="11">
        <v>18592</v>
      </c>
      <c r="JE6" s="11">
        <v>17823</v>
      </c>
      <c r="JF6" s="11">
        <v>16425</v>
      </c>
      <c r="JG6" s="11">
        <v>18880</v>
      </c>
      <c r="JH6" s="11">
        <v>17226</v>
      </c>
      <c r="JI6" s="11">
        <v>18492</v>
      </c>
      <c r="JJ6" s="27">
        <f t="shared" si="23"/>
        <v>207546</v>
      </c>
      <c r="JK6" s="11">
        <v>19510</v>
      </c>
      <c r="JL6" s="11">
        <v>13876</v>
      </c>
      <c r="JM6" s="11">
        <v>11618</v>
      </c>
      <c r="JN6" s="11">
        <v>18314</v>
      </c>
      <c r="JO6" s="11">
        <v>19849</v>
      </c>
      <c r="JP6" s="11">
        <v>16787</v>
      </c>
      <c r="JQ6" s="11">
        <v>17531</v>
      </c>
      <c r="JR6" s="11">
        <v>16299</v>
      </c>
      <c r="JS6" s="11">
        <v>12121</v>
      </c>
      <c r="JT6" s="11">
        <v>16139</v>
      </c>
      <c r="JU6" s="11">
        <v>14779</v>
      </c>
      <c r="JV6" s="11">
        <v>16327</v>
      </c>
      <c r="JW6" s="27">
        <f t="shared" si="24"/>
        <v>193150</v>
      </c>
      <c r="JX6" s="11">
        <v>924</v>
      </c>
      <c r="JY6" s="11">
        <v>703</v>
      </c>
      <c r="JZ6" s="11">
        <v>514</v>
      </c>
      <c r="KA6" s="11">
        <v>1134</v>
      </c>
      <c r="KB6" s="11">
        <v>1296</v>
      </c>
      <c r="KC6" s="11">
        <v>906</v>
      </c>
      <c r="KD6" s="11">
        <v>932</v>
      </c>
      <c r="KE6" s="11">
        <v>787</v>
      </c>
      <c r="KF6" s="11">
        <v>688</v>
      </c>
      <c r="KG6" s="11">
        <v>701</v>
      </c>
      <c r="KH6" s="11">
        <v>743</v>
      </c>
      <c r="KI6" s="11">
        <v>764</v>
      </c>
      <c r="KJ6" s="27">
        <f t="shared" si="25"/>
        <v>10092</v>
      </c>
      <c r="KK6" s="11">
        <v>330</v>
      </c>
      <c r="KL6" s="11">
        <v>290</v>
      </c>
      <c r="KM6" s="11">
        <v>206</v>
      </c>
      <c r="KN6" s="11">
        <v>312</v>
      </c>
      <c r="KO6" s="11">
        <v>376</v>
      </c>
      <c r="KP6" s="11">
        <v>301</v>
      </c>
      <c r="KQ6" s="11">
        <v>304</v>
      </c>
      <c r="KR6" s="11">
        <v>278</v>
      </c>
      <c r="KS6" s="11">
        <v>266</v>
      </c>
      <c r="KT6" s="11">
        <v>317</v>
      </c>
      <c r="KU6" s="11">
        <v>277</v>
      </c>
      <c r="KV6" s="11">
        <v>260</v>
      </c>
      <c r="KW6" s="27">
        <f t="shared" si="26"/>
        <v>3517</v>
      </c>
      <c r="KX6" s="11">
        <v>188</v>
      </c>
      <c r="KY6" s="11">
        <v>191</v>
      </c>
      <c r="KZ6" s="11">
        <v>121</v>
      </c>
      <c r="LA6" s="11">
        <v>186</v>
      </c>
      <c r="LB6" s="11">
        <v>210</v>
      </c>
      <c r="LC6" s="11">
        <v>173</v>
      </c>
      <c r="LD6" s="11">
        <v>182</v>
      </c>
      <c r="LE6" s="11">
        <v>180</v>
      </c>
      <c r="LF6" s="11">
        <v>156</v>
      </c>
      <c r="LG6" s="11">
        <v>204</v>
      </c>
      <c r="LH6" s="11">
        <v>187</v>
      </c>
      <c r="LI6" s="11">
        <v>196</v>
      </c>
      <c r="LJ6" s="27">
        <f t="shared" si="27"/>
        <v>2174</v>
      </c>
      <c r="LK6" s="11">
        <v>142</v>
      </c>
      <c r="LL6" s="11">
        <v>99</v>
      </c>
      <c r="LM6" s="11">
        <v>85</v>
      </c>
      <c r="LN6" s="11">
        <v>126</v>
      </c>
      <c r="LO6" s="11">
        <v>166</v>
      </c>
      <c r="LP6" s="11">
        <v>128</v>
      </c>
      <c r="LQ6" s="11">
        <v>122</v>
      </c>
      <c r="LR6" s="11">
        <v>98</v>
      </c>
      <c r="LS6" s="11">
        <v>110</v>
      </c>
      <c r="LT6" s="11">
        <v>113</v>
      </c>
      <c r="LU6" s="11">
        <v>90</v>
      </c>
      <c r="LV6" s="11">
        <v>64</v>
      </c>
      <c r="LW6" s="27">
        <f t="shared" si="28"/>
        <v>1343</v>
      </c>
      <c r="LX6" s="11">
        <v>0</v>
      </c>
      <c r="LY6" s="11">
        <v>0</v>
      </c>
      <c r="LZ6" s="11">
        <v>0</v>
      </c>
      <c r="MA6" s="11">
        <v>0</v>
      </c>
      <c r="MB6" s="11">
        <v>0</v>
      </c>
      <c r="MC6" s="11">
        <v>0</v>
      </c>
      <c r="MD6" s="11">
        <v>0</v>
      </c>
      <c r="ME6" s="11">
        <v>0</v>
      </c>
      <c r="MF6" s="11">
        <v>0</v>
      </c>
      <c r="MG6" s="11">
        <v>0</v>
      </c>
      <c r="MH6" s="11">
        <v>0</v>
      </c>
      <c r="MI6" s="11">
        <v>0</v>
      </c>
      <c r="MJ6" s="27">
        <f t="shared" si="29"/>
        <v>0</v>
      </c>
      <c r="MK6" s="11">
        <v>2089</v>
      </c>
      <c r="ML6" s="11">
        <v>2183</v>
      </c>
      <c r="MM6" s="11">
        <v>1982</v>
      </c>
      <c r="MN6" s="11">
        <v>2329</v>
      </c>
      <c r="MO6" s="11">
        <v>2473</v>
      </c>
      <c r="MP6" s="11">
        <v>2196</v>
      </c>
      <c r="MQ6" s="11">
        <v>2160</v>
      </c>
      <c r="MR6" s="11">
        <v>2090</v>
      </c>
      <c r="MS6" s="11">
        <v>2161</v>
      </c>
      <c r="MT6" s="11">
        <v>2221</v>
      </c>
      <c r="MU6" s="11">
        <v>2035</v>
      </c>
      <c r="MV6" s="11">
        <v>2220</v>
      </c>
      <c r="MW6" s="27">
        <f t="shared" si="30"/>
        <v>26139</v>
      </c>
      <c r="MX6" s="11">
        <v>1779</v>
      </c>
      <c r="MY6" s="11">
        <v>1869</v>
      </c>
      <c r="MZ6" s="11">
        <v>1711</v>
      </c>
      <c r="NA6" s="11">
        <v>1930</v>
      </c>
      <c r="NB6" s="11">
        <v>2070</v>
      </c>
      <c r="NC6" s="11">
        <v>1806</v>
      </c>
      <c r="ND6" s="11">
        <v>1757</v>
      </c>
      <c r="NE6" s="11">
        <v>1698</v>
      </c>
      <c r="NF6" s="11">
        <v>1833</v>
      </c>
      <c r="NG6" s="11">
        <v>1878</v>
      </c>
      <c r="NH6" s="11">
        <v>1713</v>
      </c>
      <c r="NI6" s="11">
        <v>1920</v>
      </c>
      <c r="NJ6" s="27">
        <f t="shared" si="31"/>
        <v>21964</v>
      </c>
      <c r="NK6" s="11">
        <v>187</v>
      </c>
      <c r="NL6" s="11">
        <v>200</v>
      </c>
      <c r="NM6" s="11">
        <v>151</v>
      </c>
      <c r="NN6" s="11">
        <v>237</v>
      </c>
      <c r="NO6" s="11">
        <v>268</v>
      </c>
      <c r="NP6" s="11">
        <v>294</v>
      </c>
      <c r="NQ6" s="11">
        <v>253</v>
      </c>
      <c r="NR6" s="11">
        <v>238</v>
      </c>
      <c r="NS6" s="11">
        <v>208</v>
      </c>
      <c r="NT6" s="11">
        <v>214</v>
      </c>
      <c r="NU6" s="11">
        <v>192</v>
      </c>
      <c r="NV6" s="11">
        <v>205</v>
      </c>
      <c r="NW6" s="27">
        <f t="shared" si="32"/>
        <v>2647</v>
      </c>
      <c r="NX6" s="11">
        <v>123</v>
      </c>
      <c r="NY6" s="11">
        <v>114</v>
      </c>
      <c r="NZ6" s="11">
        <v>120</v>
      </c>
      <c r="OA6" s="11">
        <v>162</v>
      </c>
      <c r="OB6" s="11">
        <v>135</v>
      </c>
      <c r="OC6" s="11">
        <v>96</v>
      </c>
      <c r="OD6" s="11">
        <v>150</v>
      </c>
      <c r="OE6" s="11">
        <v>154</v>
      </c>
      <c r="OF6" s="11">
        <v>120</v>
      </c>
      <c r="OG6" s="11">
        <v>129</v>
      </c>
      <c r="OH6" s="11">
        <v>130</v>
      </c>
      <c r="OI6" s="11">
        <v>95</v>
      </c>
      <c r="OJ6" s="27">
        <f t="shared" si="33"/>
        <v>1528</v>
      </c>
      <c r="OK6" s="11">
        <v>7098</v>
      </c>
      <c r="OL6" s="11">
        <v>7309</v>
      </c>
      <c r="OM6" s="11">
        <v>7024</v>
      </c>
      <c r="ON6" s="11">
        <v>7298</v>
      </c>
      <c r="OO6" s="11">
        <v>7689</v>
      </c>
      <c r="OP6" s="11">
        <v>7163</v>
      </c>
      <c r="OQ6" s="11">
        <v>7638</v>
      </c>
      <c r="OR6" s="11">
        <v>7306</v>
      </c>
      <c r="OS6" s="11">
        <v>7427</v>
      </c>
      <c r="OT6" s="11">
        <v>8109</v>
      </c>
      <c r="OU6" s="11">
        <v>7374</v>
      </c>
      <c r="OV6" s="11">
        <v>8094</v>
      </c>
      <c r="OW6" s="27">
        <f t="shared" si="34"/>
        <v>89529</v>
      </c>
      <c r="OX6" s="11">
        <v>5687</v>
      </c>
      <c r="OY6" s="11">
        <v>5867</v>
      </c>
      <c r="OZ6" s="11">
        <v>5598</v>
      </c>
      <c r="PA6" s="11">
        <v>5724</v>
      </c>
      <c r="PB6" s="11">
        <v>5849</v>
      </c>
      <c r="PC6" s="11">
        <v>5655</v>
      </c>
      <c r="PD6" s="11">
        <v>6087</v>
      </c>
      <c r="PE6" s="11">
        <v>5858</v>
      </c>
      <c r="PF6" s="11">
        <v>5933</v>
      </c>
      <c r="PG6" s="11">
        <v>6514</v>
      </c>
      <c r="PH6" s="11">
        <v>5896</v>
      </c>
      <c r="PI6" s="11">
        <v>6675</v>
      </c>
      <c r="PJ6" s="27">
        <f t="shared" si="35"/>
        <v>71343</v>
      </c>
      <c r="PK6" s="11">
        <v>1131</v>
      </c>
      <c r="PL6" s="11">
        <v>1118</v>
      </c>
      <c r="PM6" s="11">
        <v>1106</v>
      </c>
      <c r="PN6" s="11">
        <v>1176</v>
      </c>
      <c r="PO6" s="11">
        <v>1451</v>
      </c>
      <c r="PP6" s="11">
        <v>1170</v>
      </c>
      <c r="PQ6" s="11">
        <v>1201</v>
      </c>
      <c r="PR6" s="11">
        <v>1079</v>
      </c>
      <c r="PS6" s="11">
        <v>1178</v>
      </c>
      <c r="PT6" s="11">
        <v>1247</v>
      </c>
      <c r="PU6" s="11">
        <v>1122</v>
      </c>
      <c r="PV6" s="11">
        <v>1088</v>
      </c>
      <c r="PW6" s="27">
        <f t="shared" si="36"/>
        <v>14067</v>
      </c>
      <c r="PX6" s="11">
        <v>276</v>
      </c>
      <c r="PY6" s="11">
        <v>324</v>
      </c>
      <c r="PZ6" s="11">
        <v>320</v>
      </c>
      <c r="QA6" s="11">
        <v>398</v>
      </c>
      <c r="QB6" s="11">
        <v>389</v>
      </c>
      <c r="QC6" s="11">
        <v>338</v>
      </c>
      <c r="QD6" s="11">
        <v>350</v>
      </c>
      <c r="QE6" s="11">
        <v>369</v>
      </c>
      <c r="QF6" s="11">
        <v>316</v>
      </c>
      <c r="QG6" s="11">
        <v>348</v>
      </c>
      <c r="QH6" s="11">
        <v>356</v>
      </c>
      <c r="QI6" s="11">
        <v>331</v>
      </c>
      <c r="QJ6" s="27">
        <f t="shared" si="37"/>
        <v>4115</v>
      </c>
      <c r="QK6" s="11">
        <v>24488</v>
      </c>
      <c r="QL6" s="11">
        <v>22994</v>
      </c>
      <c r="QM6" s="11">
        <v>16649</v>
      </c>
      <c r="QN6" s="11">
        <v>19059</v>
      </c>
      <c r="QO6" s="11">
        <v>19050</v>
      </c>
      <c r="QP6" s="11">
        <v>18537</v>
      </c>
      <c r="QQ6" s="11">
        <v>20305</v>
      </c>
      <c r="QR6" s="11">
        <v>20272</v>
      </c>
      <c r="QS6" s="11">
        <v>16707</v>
      </c>
      <c r="QT6" s="11">
        <v>22101</v>
      </c>
      <c r="QU6" s="11">
        <v>21343</v>
      </c>
      <c r="QV6" s="11">
        <v>19636</v>
      </c>
      <c r="QW6" s="27">
        <f t="shared" si="38"/>
        <v>241141</v>
      </c>
      <c r="QX6" s="11">
        <v>15996</v>
      </c>
      <c r="QY6" s="11">
        <v>18063</v>
      </c>
      <c r="QZ6" s="11">
        <v>16861</v>
      </c>
      <c r="RA6" s="11">
        <v>20706</v>
      </c>
      <c r="RB6" s="11">
        <v>19915</v>
      </c>
      <c r="RC6" s="11">
        <v>18260</v>
      </c>
      <c r="RD6" s="11">
        <v>19482</v>
      </c>
      <c r="RE6" s="11">
        <v>22559</v>
      </c>
      <c r="RF6" s="11">
        <v>15439</v>
      </c>
      <c r="RG6" s="11">
        <v>19367</v>
      </c>
      <c r="RH6" s="11">
        <v>18455</v>
      </c>
      <c r="RI6" s="11">
        <v>19104</v>
      </c>
      <c r="RJ6" s="27">
        <f t="shared" si="39"/>
        <v>224207</v>
      </c>
      <c r="RK6" s="11">
        <v>0</v>
      </c>
      <c r="RL6" s="11">
        <v>0</v>
      </c>
      <c r="RM6" s="11">
        <v>0</v>
      </c>
      <c r="RN6" s="11">
        <v>0</v>
      </c>
      <c r="RO6" s="11">
        <v>0</v>
      </c>
      <c r="RP6" s="11">
        <v>0</v>
      </c>
      <c r="RQ6" s="11">
        <v>0</v>
      </c>
      <c r="RR6" s="11">
        <v>0</v>
      </c>
      <c r="RS6" s="11">
        <v>0</v>
      </c>
      <c r="RT6" s="11">
        <v>0</v>
      </c>
      <c r="RU6" s="11">
        <v>0</v>
      </c>
      <c r="RV6" s="11">
        <v>0</v>
      </c>
      <c r="RW6" s="27">
        <f t="shared" si="40"/>
        <v>0</v>
      </c>
      <c r="RX6" s="11">
        <v>458</v>
      </c>
      <c r="RY6" s="11">
        <v>522</v>
      </c>
      <c r="RZ6" s="11">
        <v>466</v>
      </c>
      <c r="SA6" s="11">
        <v>532</v>
      </c>
      <c r="SB6" s="11">
        <v>414</v>
      </c>
      <c r="SC6" s="11">
        <v>463</v>
      </c>
      <c r="SD6" s="11">
        <v>532</v>
      </c>
      <c r="SE6" s="11">
        <v>539</v>
      </c>
      <c r="SF6" s="11">
        <v>266</v>
      </c>
      <c r="SG6" s="11">
        <v>566</v>
      </c>
      <c r="SH6" s="11">
        <v>320</v>
      </c>
      <c r="SI6" s="11">
        <v>428</v>
      </c>
      <c r="SJ6" s="27">
        <f t="shared" si="41"/>
        <v>5506</v>
      </c>
      <c r="SK6" s="11">
        <v>62</v>
      </c>
      <c r="SL6" s="11">
        <v>61</v>
      </c>
      <c r="SM6" s="11">
        <v>57</v>
      </c>
      <c r="SN6" s="11">
        <v>52</v>
      </c>
      <c r="SO6" s="11">
        <v>52</v>
      </c>
      <c r="SP6" s="11">
        <v>54</v>
      </c>
      <c r="SQ6" s="11">
        <v>54</v>
      </c>
      <c r="SR6" s="11">
        <v>53</v>
      </c>
      <c r="SS6" s="11">
        <v>54</v>
      </c>
      <c r="ST6" s="11">
        <v>53</v>
      </c>
      <c r="SU6" s="11">
        <v>52</v>
      </c>
      <c r="SV6" s="11">
        <v>55</v>
      </c>
      <c r="SW6" s="27">
        <f t="shared" si="42"/>
        <v>659</v>
      </c>
      <c r="SX6" s="11" t="s">
        <v>2642</v>
      </c>
      <c r="SY6" s="11">
        <v>1884</v>
      </c>
      <c r="SZ6" s="11">
        <v>1667</v>
      </c>
      <c r="TA6" s="11">
        <v>1637</v>
      </c>
      <c r="TB6" s="11">
        <v>1778</v>
      </c>
      <c r="TC6" s="11">
        <v>1698</v>
      </c>
      <c r="TD6" s="11">
        <v>1690</v>
      </c>
      <c r="TE6" s="11">
        <v>1642</v>
      </c>
      <c r="TF6" s="11">
        <v>1686</v>
      </c>
      <c r="TG6" s="11">
        <v>1431</v>
      </c>
      <c r="TH6" s="11">
        <v>1834</v>
      </c>
      <c r="TI6" s="11">
        <v>1708</v>
      </c>
      <c r="TJ6" s="11">
        <v>1889</v>
      </c>
      <c r="TK6" s="27">
        <f t="shared" si="43"/>
        <v>20544</v>
      </c>
      <c r="TL6" s="11">
        <v>0</v>
      </c>
      <c r="TM6" s="11">
        <v>0</v>
      </c>
      <c r="TN6" s="11">
        <v>0</v>
      </c>
      <c r="TO6" s="11">
        <v>0</v>
      </c>
      <c r="TP6" s="11">
        <v>0</v>
      </c>
      <c r="TQ6" s="11">
        <v>0</v>
      </c>
      <c r="TR6" s="11">
        <v>0</v>
      </c>
      <c r="TS6" s="11">
        <v>0</v>
      </c>
      <c r="TT6" s="11">
        <v>0</v>
      </c>
      <c r="TU6" s="11">
        <v>0</v>
      </c>
      <c r="TV6" s="11">
        <v>0</v>
      </c>
      <c r="TW6" s="11">
        <v>0</v>
      </c>
      <c r="TX6" s="27">
        <f t="shared" si="44"/>
        <v>0</v>
      </c>
      <c r="TY6" s="11">
        <v>60</v>
      </c>
      <c r="TZ6" s="11">
        <v>0</v>
      </c>
      <c r="UA6" s="11">
        <v>0</v>
      </c>
    </row>
    <row r="7" spans="1:547" ht="16" customHeight="1" x14ac:dyDescent="0.35">
      <c r="A7" s="11" t="s">
        <v>2643</v>
      </c>
      <c r="B7" s="11">
        <v>63079</v>
      </c>
      <c r="C7" s="11">
        <v>20085</v>
      </c>
      <c r="D7" s="11">
        <v>36438</v>
      </c>
      <c r="E7" s="11">
        <v>6556</v>
      </c>
      <c r="F7" s="11">
        <v>1061</v>
      </c>
      <c r="G7" s="11">
        <v>1144</v>
      </c>
      <c r="H7" s="11">
        <v>1099</v>
      </c>
      <c r="I7" s="11">
        <v>1158</v>
      </c>
      <c r="J7" s="11">
        <v>1113</v>
      </c>
      <c r="K7" s="11">
        <v>860</v>
      </c>
      <c r="L7" s="11">
        <v>1064</v>
      </c>
      <c r="M7" s="11">
        <v>875</v>
      </c>
      <c r="N7" s="11">
        <v>751</v>
      </c>
      <c r="O7" s="11">
        <v>1142</v>
      </c>
      <c r="P7" s="11" t="s">
        <v>2863</v>
      </c>
      <c r="Q7" s="11">
        <v>1185</v>
      </c>
      <c r="R7" s="11">
        <v>2327</v>
      </c>
      <c r="S7" s="26">
        <f t="shared" si="0"/>
        <v>13779</v>
      </c>
      <c r="T7" s="11">
        <v>0</v>
      </c>
      <c r="U7" s="11">
        <v>0</v>
      </c>
      <c r="V7" s="11">
        <v>0</v>
      </c>
      <c r="W7" s="11">
        <v>0</v>
      </c>
      <c r="X7" s="11">
        <v>0</v>
      </c>
      <c r="Y7" s="11">
        <v>0</v>
      </c>
      <c r="Z7" s="11">
        <v>0</v>
      </c>
      <c r="AA7" s="11">
        <v>0</v>
      </c>
      <c r="AB7" s="11">
        <v>0</v>
      </c>
      <c r="AC7" s="11">
        <v>0</v>
      </c>
      <c r="AD7" s="11">
        <v>0</v>
      </c>
      <c r="AE7" s="11">
        <v>0</v>
      </c>
      <c r="AF7" s="26">
        <f t="shared" si="1"/>
        <v>0</v>
      </c>
      <c r="AG7" s="11">
        <v>0</v>
      </c>
      <c r="AH7" s="11">
        <v>0</v>
      </c>
      <c r="AI7" s="11">
        <v>0</v>
      </c>
      <c r="AJ7" s="11">
        <v>0</v>
      </c>
      <c r="AK7" s="11">
        <v>0</v>
      </c>
      <c r="AL7" s="11">
        <v>0</v>
      </c>
      <c r="AM7" s="11">
        <v>0</v>
      </c>
      <c r="AN7" s="11">
        <v>0</v>
      </c>
      <c r="AO7" s="11">
        <v>0</v>
      </c>
      <c r="AP7" s="11">
        <v>0</v>
      </c>
      <c r="AQ7" s="11">
        <v>0</v>
      </c>
      <c r="AR7" s="11">
        <v>0</v>
      </c>
      <c r="AS7" s="26">
        <f t="shared" si="2"/>
        <v>0</v>
      </c>
      <c r="AT7" s="11">
        <v>0</v>
      </c>
      <c r="AU7" s="11">
        <v>0</v>
      </c>
      <c r="AV7" s="11">
        <v>0</v>
      </c>
      <c r="AW7" s="11">
        <v>0</v>
      </c>
      <c r="AX7" s="11">
        <v>0</v>
      </c>
      <c r="AY7" s="11">
        <v>0</v>
      </c>
      <c r="AZ7" s="11">
        <v>0</v>
      </c>
      <c r="BA7" s="11">
        <v>0</v>
      </c>
      <c r="BB7" s="11">
        <v>0</v>
      </c>
      <c r="BC7" s="11">
        <v>0</v>
      </c>
      <c r="BD7" s="11">
        <v>0</v>
      </c>
      <c r="BE7" s="11">
        <v>0</v>
      </c>
      <c r="BF7" s="26">
        <f t="shared" si="3"/>
        <v>0</v>
      </c>
      <c r="BG7" s="11">
        <v>0</v>
      </c>
      <c r="BH7" s="11">
        <v>0</v>
      </c>
      <c r="BI7" s="11">
        <v>0</v>
      </c>
      <c r="BJ7" s="11">
        <v>0</v>
      </c>
      <c r="BK7" s="11">
        <v>0</v>
      </c>
      <c r="BL7" s="11">
        <v>0</v>
      </c>
      <c r="BM7" s="11">
        <v>0</v>
      </c>
      <c r="BN7" s="11">
        <v>0</v>
      </c>
      <c r="BO7" s="11">
        <v>0</v>
      </c>
      <c r="BP7" s="11">
        <v>0</v>
      </c>
      <c r="BQ7" s="11">
        <v>0</v>
      </c>
      <c r="BR7" s="11">
        <v>0</v>
      </c>
      <c r="BS7" s="26">
        <f t="shared" si="4"/>
        <v>0</v>
      </c>
      <c r="BT7" s="11">
        <v>0</v>
      </c>
      <c r="BU7" s="11">
        <v>0</v>
      </c>
      <c r="BV7" s="11">
        <v>0</v>
      </c>
      <c r="BW7" s="11">
        <v>0</v>
      </c>
      <c r="BX7" s="11">
        <v>0</v>
      </c>
      <c r="BY7" s="11">
        <v>0</v>
      </c>
      <c r="BZ7" s="11">
        <v>0</v>
      </c>
      <c r="CA7" s="11">
        <v>0</v>
      </c>
      <c r="CB7" s="11">
        <v>0</v>
      </c>
      <c r="CC7" s="11">
        <v>0</v>
      </c>
      <c r="CD7" s="11">
        <v>0</v>
      </c>
      <c r="CE7" s="11">
        <v>0</v>
      </c>
      <c r="CF7" s="26">
        <f t="shared" si="5"/>
        <v>0</v>
      </c>
      <c r="CG7" s="11">
        <v>0</v>
      </c>
      <c r="CH7" s="11">
        <v>0</v>
      </c>
      <c r="CI7" s="11">
        <v>0</v>
      </c>
      <c r="CJ7" s="11">
        <v>0</v>
      </c>
      <c r="CK7" s="11">
        <v>0</v>
      </c>
      <c r="CL7" s="11">
        <v>0</v>
      </c>
      <c r="CM7" s="11">
        <v>0</v>
      </c>
      <c r="CN7" s="11">
        <v>0</v>
      </c>
      <c r="CO7" s="11">
        <v>0</v>
      </c>
      <c r="CP7" s="11">
        <v>0</v>
      </c>
      <c r="CQ7" s="11">
        <v>0</v>
      </c>
      <c r="CR7" s="11">
        <v>0</v>
      </c>
      <c r="CS7" s="26">
        <f t="shared" si="6"/>
        <v>0</v>
      </c>
      <c r="CT7" s="11">
        <v>0</v>
      </c>
      <c r="CU7" s="11">
        <v>0</v>
      </c>
      <c r="CV7" s="11">
        <v>0</v>
      </c>
      <c r="CW7" s="11">
        <v>0</v>
      </c>
      <c r="CX7" s="11">
        <v>0</v>
      </c>
      <c r="CY7" s="11">
        <v>0</v>
      </c>
      <c r="CZ7" s="11">
        <v>0</v>
      </c>
      <c r="DA7" s="11">
        <v>0</v>
      </c>
      <c r="DB7" s="11">
        <v>0</v>
      </c>
      <c r="DC7" s="11">
        <v>0</v>
      </c>
      <c r="DD7" s="11">
        <v>0</v>
      </c>
      <c r="DE7" s="11">
        <v>0</v>
      </c>
      <c r="DF7" s="26">
        <f t="shared" si="7"/>
        <v>0</v>
      </c>
      <c r="DG7" s="11">
        <v>0</v>
      </c>
      <c r="DH7" s="11">
        <v>0</v>
      </c>
      <c r="DI7" s="11">
        <v>0</v>
      </c>
      <c r="DJ7" s="11">
        <v>0</v>
      </c>
      <c r="DK7" s="11">
        <v>0</v>
      </c>
      <c r="DL7" s="11">
        <v>0</v>
      </c>
      <c r="DM7" s="11">
        <v>0</v>
      </c>
      <c r="DN7" s="11">
        <v>0</v>
      </c>
      <c r="DO7" s="11">
        <v>0</v>
      </c>
      <c r="DP7" s="11">
        <v>0</v>
      </c>
      <c r="DQ7" s="11">
        <v>0</v>
      </c>
      <c r="DR7" s="11">
        <v>0</v>
      </c>
      <c r="DS7" s="26">
        <f t="shared" si="8"/>
        <v>0</v>
      </c>
      <c r="DT7" s="11">
        <v>0</v>
      </c>
      <c r="DU7" s="11">
        <v>0</v>
      </c>
      <c r="DV7" s="11">
        <v>0</v>
      </c>
      <c r="DW7" s="11">
        <v>0</v>
      </c>
      <c r="DX7" s="11">
        <v>0</v>
      </c>
      <c r="DY7" s="11">
        <v>0</v>
      </c>
      <c r="DZ7" s="11">
        <v>0</v>
      </c>
      <c r="EA7" s="11">
        <v>0</v>
      </c>
      <c r="EB7" s="11">
        <v>0</v>
      </c>
      <c r="EC7" s="11">
        <v>0</v>
      </c>
      <c r="ED7" s="11">
        <v>0</v>
      </c>
      <c r="EE7" s="11">
        <v>0</v>
      </c>
      <c r="EF7" s="26">
        <f t="shared" si="9"/>
        <v>0</v>
      </c>
      <c r="EG7" s="9">
        <f t="shared" si="10"/>
        <v>0</v>
      </c>
      <c r="EH7" s="9">
        <f t="shared" si="11"/>
        <v>0</v>
      </c>
      <c r="EI7" s="11">
        <v>18619</v>
      </c>
      <c r="EJ7" s="11">
        <v>20996</v>
      </c>
      <c r="EK7" s="11">
        <v>18713</v>
      </c>
      <c r="EL7" s="11">
        <v>23194</v>
      </c>
      <c r="EM7" s="11">
        <v>18626</v>
      </c>
      <c r="EN7" s="11">
        <v>18755</v>
      </c>
      <c r="EO7" s="11">
        <v>16743</v>
      </c>
      <c r="EP7" s="11">
        <v>16743</v>
      </c>
      <c r="EQ7" s="11">
        <v>14908</v>
      </c>
      <c r="ER7" s="11">
        <v>14328</v>
      </c>
      <c r="ES7" s="11">
        <v>19000</v>
      </c>
      <c r="ET7" s="11">
        <v>20011</v>
      </c>
      <c r="EU7" s="26">
        <f t="shared" si="12"/>
        <v>220636</v>
      </c>
      <c r="EV7" s="11">
        <v>0</v>
      </c>
      <c r="EW7" s="11">
        <v>0</v>
      </c>
      <c r="EX7" s="11">
        <v>0</v>
      </c>
      <c r="EY7" s="11">
        <v>0</v>
      </c>
      <c r="EZ7" s="11">
        <v>0</v>
      </c>
      <c r="FA7" s="11">
        <v>0</v>
      </c>
      <c r="FB7" s="11">
        <v>0</v>
      </c>
      <c r="FC7" s="11">
        <v>0</v>
      </c>
      <c r="FD7" s="11">
        <v>0</v>
      </c>
      <c r="FE7" s="11">
        <v>0</v>
      </c>
      <c r="FF7" s="11">
        <v>0</v>
      </c>
      <c r="FG7" s="11">
        <v>0</v>
      </c>
      <c r="FH7" s="26">
        <f t="shared" si="13"/>
        <v>0</v>
      </c>
      <c r="FI7" s="11">
        <v>0</v>
      </c>
      <c r="FJ7" s="11">
        <v>0</v>
      </c>
      <c r="FK7" s="11">
        <v>0</v>
      </c>
      <c r="FL7" s="11">
        <v>0</v>
      </c>
      <c r="FM7" s="11">
        <v>0</v>
      </c>
      <c r="FN7" s="11">
        <v>0</v>
      </c>
      <c r="FO7" s="11">
        <v>0</v>
      </c>
      <c r="FP7" s="11">
        <v>0</v>
      </c>
      <c r="FQ7" s="11">
        <v>0</v>
      </c>
      <c r="FR7" s="11">
        <v>0</v>
      </c>
      <c r="FS7" s="11">
        <v>0</v>
      </c>
      <c r="FT7" s="11">
        <v>0</v>
      </c>
      <c r="FU7" s="26">
        <f t="shared" si="14"/>
        <v>0</v>
      </c>
      <c r="FV7" s="11">
        <v>0</v>
      </c>
      <c r="FW7" s="11">
        <v>0</v>
      </c>
      <c r="FX7" s="11">
        <v>0</v>
      </c>
      <c r="FY7" s="11">
        <v>0</v>
      </c>
      <c r="FZ7" s="11">
        <v>0</v>
      </c>
      <c r="GA7" s="11">
        <v>0</v>
      </c>
      <c r="GB7" s="11">
        <v>0</v>
      </c>
      <c r="GC7" s="11">
        <v>0</v>
      </c>
      <c r="GD7" s="11">
        <v>0</v>
      </c>
      <c r="GE7" s="11">
        <v>0</v>
      </c>
      <c r="GF7" s="11">
        <v>0</v>
      </c>
      <c r="GG7" s="11">
        <v>0</v>
      </c>
      <c r="GH7" s="26">
        <f t="shared" si="15"/>
        <v>0</v>
      </c>
      <c r="GI7" s="11">
        <v>0</v>
      </c>
      <c r="GJ7" s="11">
        <v>0</v>
      </c>
      <c r="GK7" s="11">
        <v>0</v>
      </c>
      <c r="GL7" s="11">
        <v>0</v>
      </c>
      <c r="GM7" s="11">
        <v>0</v>
      </c>
      <c r="GN7" s="11">
        <v>0</v>
      </c>
      <c r="GO7" s="11">
        <v>0</v>
      </c>
      <c r="GP7" s="11">
        <v>0</v>
      </c>
      <c r="GQ7" s="11">
        <v>0</v>
      </c>
      <c r="GR7" s="11">
        <v>0</v>
      </c>
      <c r="GS7" s="11">
        <v>0</v>
      </c>
      <c r="GT7" s="11">
        <v>0</v>
      </c>
      <c r="GU7" s="26">
        <f t="shared" si="16"/>
        <v>0</v>
      </c>
      <c r="GV7" s="11">
        <v>0</v>
      </c>
      <c r="GW7" s="11">
        <v>0</v>
      </c>
      <c r="GX7" s="11">
        <v>0</v>
      </c>
      <c r="GY7" s="11">
        <v>0</v>
      </c>
      <c r="GZ7" s="11">
        <v>0</v>
      </c>
      <c r="HA7" s="11">
        <v>0</v>
      </c>
      <c r="HB7" s="11">
        <v>0</v>
      </c>
      <c r="HC7" s="11">
        <v>0</v>
      </c>
      <c r="HD7" s="11">
        <v>0</v>
      </c>
      <c r="HE7" s="11">
        <v>0</v>
      </c>
      <c r="HF7" s="11">
        <v>0</v>
      </c>
      <c r="HG7" s="11">
        <v>0</v>
      </c>
      <c r="HH7" s="26">
        <f t="shared" si="17"/>
        <v>0</v>
      </c>
      <c r="HI7" s="11">
        <v>0</v>
      </c>
      <c r="HJ7" s="11">
        <v>0</v>
      </c>
      <c r="HK7" s="11">
        <v>0</v>
      </c>
      <c r="HL7" s="11">
        <v>0</v>
      </c>
      <c r="HM7" s="11">
        <v>0</v>
      </c>
      <c r="HN7" s="11">
        <v>0</v>
      </c>
      <c r="HO7" s="11">
        <v>0</v>
      </c>
      <c r="HP7" s="11">
        <v>0</v>
      </c>
      <c r="HQ7" s="11">
        <v>0</v>
      </c>
      <c r="HR7" s="11">
        <v>0</v>
      </c>
      <c r="HS7" s="11">
        <v>0</v>
      </c>
      <c r="HT7" s="11">
        <v>0</v>
      </c>
      <c r="HU7" s="26">
        <f t="shared" si="18"/>
        <v>0</v>
      </c>
      <c r="HV7" s="11">
        <v>0</v>
      </c>
      <c r="HW7" s="11">
        <v>0</v>
      </c>
      <c r="HX7" s="11">
        <v>0</v>
      </c>
      <c r="HY7" s="11">
        <v>0</v>
      </c>
      <c r="HZ7" s="11">
        <v>0</v>
      </c>
      <c r="IA7" s="11">
        <v>0</v>
      </c>
      <c r="IB7" s="11">
        <v>0</v>
      </c>
      <c r="IC7" s="11">
        <v>0</v>
      </c>
      <c r="ID7" s="11">
        <v>0</v>
      </c>
      <c r="IE7" s="11">
        <v>0</v>
      </c>
      <c r="IF7" s="11">
        <v>0</v>
      </c>
      <c r="IG7" s="11">
        <v>0</v>
      </c>
      <c r="IH7" s="26">
        <f t="shared" si="19"/>
        <v>0</v>
      </c>
      <c r="II7" s="9">
        <f t="shared" si="20"/>
        <v>0</v>
      </c>
      <c r="IJ7" s="9">
        <f t="shared" si="21"/>
        <v>0</v>
      </c>
      <c r="IK7" s="11">
        <v>112284</v>
      </c>
      <c r="IL7" s="11">
        <v>113241</v>
      </c>
      <c r="IM7" s="11">
        <v>101732</v>
      </c>
      <c r="IN7" s="11">
        <v>118660</v>
      </c>
      <c r="IO7" s="11">
        <v>118477</v>
      </c>
      <c r="IP7" s="11">
        <v>106742</v>
      </c>
      <c r="IQ7" s="11">
        <v>116691</v>
      </c>
      <c r="IR7" s="11">
        <v>101684</v>
      </c>
      <c r="IS7" s="11">
        <v>85677</v>
      </c>
      <c r="IT7" s="11">
        <v>115450</v>
      </c>
      <c r="IU7" s="11">
        <v>115537</v>
      </c>
      <c r="IV7" s="11">
        <v>113799</v>
      </c>
      <c r="IW7" s="27">
        <f t="shared" si="22"/>
        <v>1319974</v>
      </c>
      <c r="IX7" s="11">
        <v>49536</v>
      </c>
      <c r="IY7" s="11">
        <v>50348</v>
      </c>
      <c r="IZ7" s="11">
        <v>45143</v>
      </c>
      <c r="JA7" s="11">
        <v>49996</v>
      </c>
      <c r="JB7" s="11">
        <v>49003</v>
      </c>
      <c r="JC7" s="11">
        <v>46976</v>
      </c>
      <c r="JD7" s="11">
        <v>51458</v>
      </c>
      <c r="JE7" s="11">
        <v>37655</v>
      </c>
      <c r="JF7" s="11">
        <v>39124</v>
      </c>
      <c r="JG7" s="11">
        <v>49995</v>
      </c>
      <c r="JH7" s="11">
        <v>48666</v>
      </c>
      <c r="JI7" s="11">
        <v>48799</v>
      </c>
      <c r="JJ7" s="27">
        <f t="shared" si="23"/>
        <v>566699</v>
      </c>
      <c r="JK7" s="11">
        <v>58043</v>
      </c>
      <c r="JL7" s="11">
        <v>57926</v>
      </c>
      <c r="JM7" s="11">
        <v>52142</v>
      </c>
      <c r="JN7" s="11">
        <v>62962</v>
      </c>
      <c r="JO7" s="11">
        <v>63652</v>
      </c>
      <c r="JP7" s="11">
        <v>55049</v>
      </c>
      <c r="JQ7" s="11">
        <v>60008</v>
      </c>
      <c r="JR7" s="11">
        <v>60308</v>
      </c>
      <c r="JS7" s="11">
        <v>42953</v>
      </c>
      <c r="JT7" s="11">
        <v>60696</v>
      </c>
      <c r="JU7" s="11">
        <v>61888</v>
      </c>
      <c r="JV7" s="11">
        <v>60948</v>
      </c>
      <c r="JW7" s="27">
        <f t="shared" si="24"/>
        <v>696575</v>
      </c>
      <c r="JX7" s="11">
        <v>4705</v>
      </c>
      <c r="JY7" s="11">
        <v>4967</v>
      </c>
      <c r="JZ7" s="11">
        <v>4447</v>
      </c>
      <c r="KA7" s="11">
        <v>5702</v>
      </c>
      <c r="KB7" s="11">
        <v>5822</v>
      </c>
      <c r="KC7" s="11">
        <v>4717</v>
      </c>
      <c r="KD7" s="11">
        <v>5225</v>
      </c>
      <c r="KE7" s="11">
        <v>3721</v>
      </c>
      <c r="KF7" s="11">
        <v>3600</v>
      </c>
      <c r="KG7" s="11">
        <v>4759</v>
      </c>
      <c r="KH7" s="11">
        <v>4983</v>
      </c>
      <c r="KI7" s="11">
        <v>4052</v>
      </c>
      <c r="KJ7" s="27">
        <f t="shared" si="25"/>
        <v>56700</v>
      </c>
      <c r="KK7" s="11">
        <v>1957</v>
      </c>
      <c r="KL7" s="11">
        <v>1958</v>
      </c>
      <c r="KM7" s="11">
        <v>1654</v>
      </c>
      <c r="KN7" s="11">
        <v>1808</v>
      </c>
      <c r="KO7" s="11">
        <v>1740</v>
      </c>
      <c r="KP7" s="11">
        <v>1819</v>
      </c>
      <c r="KQ7" s="11">
        <v>1856</v>
      </c>
      <c r="KR7" s="11">
        <v>1317</v>
      </c>
      <c r="KS7" s="11">
        <v>1221</v>
      </c>
      <c r="KT7" s="11">
        <v>1635</v>
      </c>
      <c r="KU7" s="11">
        <v>1491</v>
      </c>
      <c r="KV7" s="11">
        <v>1315</v>
      </c>
      <c r="KW7" s="27">
        <f t="shared" si="26"/>
        <v>19771</v>
      </c>
      <c r="KX7" s="11">
        <v>1775</v>
      </c>
      <c r="KY7" s="11">
        <v>1765</v>
      </c>
      <c r="KZ7" s="11">
        <v>1496</v>
      </c>
      <c r="LA7" s="11">
        <v>1611</v>
      </c>
      <c r="LB7" s="11">
        <v>1514</v>
      </c>
      <c r="LC7" s="11">
        <v>1641</v>
      </c>
      <c r="LD7" s="11">
        <v>1720</v>
      </c>
      <c r="LE7" s="11">
        <v>1193</v>
      </c>
      <c r="LF7" s="11">
        <v>1106</v>
      </c>
      <c r="LG7" s="11">
        <v>1537</v>
      </c>
      <c r="LH7" s="11">
        <v>1386</v>
      </c>
      <c r="LI7" s="11">
        <v>1229</v>
      </c>
      <c r="LJ7" s="27">
        <f t="shared" si="27"/>
        <v>17973</v>
      </c>
      <c r="LK7" s="11">
        <v>173</v>
      </c>
      <c r="LL7" s="11">
        <v>185</v>
      </c>
      <c r="LM7" s="11">
        <v>149</v>
      </c>
      <c r="LN7" s="11">
        <v>189</v>
      </c>
      <c r="LO7" s="11">
        <v>221</v>
      </c>
      <c r="LP7" s="11">
        <v>164</v>
      </c>
      <c r="LQ7" s="11">
        <v>128</v>
      </c>
      <c r="LR7" s="11">
        <v>122</v>
      </c>
      <c r="LS7" s="11">
        <v>108</v>
      </c>
      <c r="LT7" s="11">
        <v>93</v>
      </c>
      <c r="LU7" s="11">
        <v>99</v>
      </c>
      <c r="LV7" s="11">
        <v>84</v>
      </c>
      <c r="LW7" s="27">
        <f t="shared" si="28"/>
        <v>1715</v>
      </c>
      <c r="LX7" s="11">
        <v>9</v>
      </c>
      <c r="LY7" s="11">
        <v>8</v>
      </c>
      <c r="LZ7" s="11">
        <v>9</v>
      </c>
      <c r="MA7" s="11">
        <v>8</v>
      </c>
      <c r="MB7" s="11">
        <v>5</v>
      </c>
      <c r="MC7" s="11">
        <v>14</v>
      </c>
      <c r="MD7" s="11">
        <v>8</v>
      </c>
      <c r="ME7" s="11">
        <v>2</v>
      </c>
      <c r="MF7" s="11">
        <v>7</v>
      </c>
      <c r="MG7" s="11">
        <v>5</v>
      </c>
      <c r="MH7" s="11">
        <v>6</v>
      </c>
      <c r="MI7" s="11">
        <v>2</v>
      </c>
      <c r="MJ7" s="27">
        <f t="shared" si="29"/>
        <v>83</v>
      </c>
      <c r="MK7" s="11">
        <v>3580</v>
      </c>
      <c r="ML7" s="11">
        <v>3535</v>
      </c>
      <c r="MM7" s="11">
        <v>3490</v>
      </c>
      <c r="MN7" s="11">
        <v>3459</v>
      </c>
      <c r="MO7" s="11">
        <v>3395</v>
      </c>
      <c r="MP7" s="11">
        <v>3358</v>
      </c>
      <c r="MQ7" s="11">
        <v>3272</v>
      </c>
      <c r="MR7" s="11">
        <v>3257</v>
      </c>
      <c r="MS7" s="11">
        <v>3210</v>
      </c>
      <c r="MT7" s="11">
        <v>3146</v>
      </c>
      <c r="MU7" s="11">
        <v>3131</v>
      </c>
      <c r="MV7" s="11">
        <v>2995</v>
      </c>
      <c r="MW7" s="27">
        <f t="shared" si="30"/>
        <v>39828</v>
      </c>
      <c r="MX7" s="11">
        <v>2979</v>
      </c>
      <c r="MY7" s="11">
        <v>2965</v>
      </c>
      <c r="MZ7" s="11">
        <v>2957</v>
      </c>
      <c r="NA7" s="11">
        <v>2953</v>
      </c>
      <c r="NB7" s="11">
        <v>2920</v>
      </c>
      <c r="NC7" s="11">
        <v>2888</v>
      </c>
      <c r="ND7" s="11">
        <v>2819</v>
      </c>
      <c r="NE7" s="11">
        <v>2816</v>
      </c>
      <c r="NF7" s="11">
        <v>2797</v>
      </c>
      <c r="NG7" s="11">
        <v>2770</v>
      </c>
      <c r="NH7" s="11">
        <v>2757</v>
      </c>
      <c r="NI7" s="11">
        <v>2648</v>
      </c>
      <c r="NJ7" s="27">
        <f t="shared" si="31"/>
        <v>34269</v>
      </c>
      <c r="NK7" s="11">
        <v>388</v>
      </c>
      <c r="NL7" s="11">
        <v>374</v>
      </c>
      <c r="NM7" s="11">
        <v>343</v>
      </c>
      <c r="NN7" s="11">
        <v>319</v>
      </c>
      <c r="NO7" s="11">
        <v>297</v>
      </c>
      <c r="NP7" s="11">
        <v>296</v>
      </c>
      <c r="NQ7" s="11">
        <v>280</v>
      </c>
      <c r="NR7" s="11">
        <v>273</v>
      </c>
      <c r="NS7" s="11">
        <v>249</v>
      </c>
      <c r="NT7" s="11">
        <v>213</v>
      </c>
      <c r="NU7" s="11">
        <v>211</v>
      </c>
      <c r="NV7" s="11">
        <v>187</v>
      </c>
      <c r="NW7" s="27">
        <f t="shared" si="32"/>
        <v>3430</v>
      </c>
      <c r="NX7" s="11">
        <v>213</v>
      </c>
      <c r="NY7" s="11">
        <v>196</v>
      </c>
      <c r="NZ7" s="11">
        <v>190</v>
      </c>
      <c r="OA7" s="11">
        <v>187</v>
      </c>
      <c r="OB7" s="11">
        <v>178</v>
      </c>
      <c r="OC7" s="11">
        <v>174</v>
      </c>
      <c r="OD7" s="11">
        <v>173</v>
      </c>
      <c r="OE7" s="11">
        <v>168</v>
      </c>
      <c r="OF7" s="11">
        <v>164</v>
      </c>
      <c r="OG7" s="11">
        <v>163</v>
      </c>
      <c r="OH7" s="11">
        <v>163</v>
      </c>
      <c r="OI7" s="11">
        <v>160</v>
      </c>
      <c r="OJ7" s="27">
        <f t="shared" si="33"/>
        <v>2129</v>
      </c>
      <c r="OK7" s="11">
        <v>2314</v>
      </c>
      <c r="OL7" s="11">
        <v>2235</v>
      </c>
      <c r="OM7" s="11">
        <v>2212</v>
      </c>
      <c r="ON7" s="11">
        <v>2196</v>
      </c>
      <c r="OO7" s="11">
        <v>2178</v>
      </c>
      <c r="OP7" s="11">
        <v>2100</v>
      </c>
      <c r="OQ7" s="11">
        <v>1983</v>
      </c>
      <c r="OR7" s="11">
        <v>1929</v>
      </c>
      <c r="OS7" s="11">
        <v>1917</v>
      </c>
      <c r="OT7" s="11">
        <v>1883</v>
      </c>
      <c r="OU7" s="11">
        <v>1829</v>
      </c>
      <c r="OV7" s="11">
        <v>1754</v>
      </c>
      <c r="OW7" s="27">
        <f t="shared" si="34"/>
        <v>24530</v>
      </c>
      <c r="OX7" s="11">
        <v>1963</v>
      </c>
      <c r="OY7" s="11">
        <v>1910</v>
      </c>
      <c r="OZ7" s="11">
        <v>1891</v>
      </c>
      <c r="PA7" s="11">
        <v>1887</v>
      </c>
      <c r="PB7" s="11">
        <v>1878</v>
      </c>
      <c r="PC7" s="11">
        <v>1806</v>
      </c>
      <c r="PD7" s="11">
        <v>1692</v>
      </c>
      <c r="PE7" s="11">
        <v>1644</v>
      </c>
      <c r="PF7" s="11">
        <v>1638</v>
      </c>
      <c r="PG7" s="11">
        <v>1608</v>
      </c>
      <c r="PH7" s="11">
        <v>1570</v>
      </c>
      <c r="PI7" s="11">
        <v>1521</v>
      </c>
      <c r="PJ7" s="27">
        <f t="shared" si="35"/>
        <v>21008</v>
      </c>
      <c r="PK7" s="11">
        <v>255</v>
      </c>
      <c r="PL7" s="11">
        <v>232</v>
      </c>
      <c r="PM7" s="11">
        <v>228</v>
      </c>
      <c r="PN7" s="11">
        <v>226</v>
      </c>
      <c r="PO7" s="11">
        <v>219</v>
      </c>
      <c r="PP7" s="11">
        <v>217</v>
      </c>
      <c r="PQ7" s="11">
        <v>214</v>
      </c>
      <c r="PR7" s="11">
        <v>210</v>
      </c>
      <c r="PS7" s="11">
        <v>205</v>
      </c>
      <c r="PT7" s="11">
        <v>204</v>
      </c>
      <c r="PU7" s="11">
        <v>190</v>
      </c>
      <c r="PV7" s="11">
        <v>164</v>
      </c>
      <c r="PW7" s="27">
        <f t="shared" si="36"/>
        <v>2564</v>
      </c>
      <c r="PX7" s="11">
        <v>96</v>
      </c>
      <c r="PY7" s="11">
        <v>93</v>
      </c>
      <c r="PZ7" s="11">
        <v>93</v>
      </c>
      <c r="QA7" s="11">
        <v>83</v>
      </c>
      <c r="QB7" s="11">
        <v>81</v>
      </c>
      <c r="QC7" s="11">
        <v>77</v>
      </c>
      <c r="QD7" s="11">
        <v>77</v>
      </c>
      <c r="QE7" s="11">
        <v>75</v>
      </c>
      <c r="QF7" s="11">
        <v>74</v>
      </c>
      <c r="QG7" s="11">
        <v>71</v>
      </c>
      <c r="QH7" s="11">
        <v>69</v>
      </c>
      <c r="QI7" s="11">
        <v>69</v>
      </c>
      <c r="QJ7" s="27">
        <f t="shared" si="37"/>
        <v>958</v>
      </c>
      <c r="QK7" s="11">
        <v>190784</v>
      </c>
      <c r="QL7" s="11">
        <v>197114</v>
      </c>
      <c r="QM7" s="11">
        <v>184805</v>
      </c>
      <c r="QN7" s="11">
        <v>195016</v>
      </c>
      <c r="QO7" s="11">
        <v>174409</v>
      </c>
      <c r="QP7" s="11">
        <v>169686</v>
      </c>
      <c r="QQ7" s="11">
        <v>197183</v>
      </c>
      <c r="QR7" s="11">
        <v>186350</v>
      </c>
      <c r="QS7" s="11">
        <v>162879</v>
      </c>
      <c r="QT7" s="11">
        <v>162188</v>
      </c>
      <c r="QU7" s="11">
        <v>170817</v>
      </c>
      <c r="QV7" s="11">
        <v>168605</v>
      </c>
      <c r="QW7" s="27">
        <f t="shared" si="38"/>
        <v>2159836</v>
      </c>
      <c r="QX7" s="11">
        <v>0</v>
      </c>
      <c r="QY7" s="11">
        <v>0</v>
      </c>
      <c r="QZ7" s="11">
        <v>0</v>
      </c>
      <c r="RA7" s="11">
        <v>0</v>
      </c>
      <c r="RB7" s="11">
        <v>0</v>
      </c>
      <c r="RC7" s="11">
        <v>0</v>
      </c>
      <c r="RD7" s="11">
        <v>0</v>
      </c>
      <c r="RE7" s="11">
        <v>0</v>
      </c>
      <c r="RF7" s="11">
        <v>0</v>
      </c>
      <c r="RG7" s="11">
        <v>0</v>
      </c>
      <c r="RH7" s="11">
        <v>0</v>
      </c>
      <c r="RI7" s="11">
        <v>0</v>
      </c>
      <c r="RJ7" s="27">
        <f t="shared" si="39"/>
        <v>0</v>
      </c>
      <c r="RK7" s="11">
        <v>0</v>
      </c>
      <c r="RL7" s="11">
        <v>0</v>
      </c>
      <c r="RM7" s="11">
        <v>0</v>
      </c>
      <c r="RN7" s="11">
        <v>0</v>
      </c>
      <c r="RO7" s="11">
        <v>0</v>
      </c>
      <c r="RP7" s="11">
        <v>0</v>
      </c>
      <c r="RQ7" s="11">
        <v>0</v>
      </c>
      <c r="RR7" s="11">
        <v>0</v>
      </c>
      <c r="RS7" s="11">
        <v>0</v>
      </c>
      <c r="RT7" s="11">
        <v>0</v>
      </c>
      <c r="RU7" s="11">
        <v>0</v>
      </c>
      <c r="RV7" s="11">
        <v>0</v>
      </c>
      <c r="RW7" s="27">
        <f t="shared" si="40"/>
        <v>0</v>
      </c>
      <c r="RX7" s="11">
        <v>260</v>
      </c>
      <c r="RY7" s="11">
        <v>261</v>
      </c>
      <c r="RZ7" s="11">
        <v>259</v>
      </c>
      <c r="SA7" s="11">
        <v>243</v>
      </c>
      <c r="SB7" s="11">
        <v>282</v>
      </c>
      <c r="SC7" s="11">
        <v>281</v>
      </c>
      <c r="SD7" s="11">
        <v>275</v>
      </c>
      <c r="SE7" s="11">
        <v>226</v>
      </c>
      <c r="SF7" s="11">
        <v>242</v>
      </c>
      <c r="SG7" s="11">
        <v>288</v>
      </c>
      <c r="SH7" s="11">
        <v>272</v>
      </c>
      <c r="SI7" s="11">
        <v>283</v>
      </c>
      <c r="SJ7" s="27">
        <f t="shared" si="41"/>
        <v>3172</v>
      </c>
      <c r="SK7" s="11">
        <v>310</v>
      </c>
      <c r="SL7" s="11">
        <v>329</v>
      </c>
      <c r="SM7" s="11">
        <v>248</v>
      </c>
      <c r="SN7" s="11">
        <v>316</v>
      </c>
      <c r="SO7" s="11">
        <v>202</v>
      </c>
      <c r="SP7" s="11">
        <v>327</v>
      </c>
      <c r="SQ7" s="11">
        <v>339</v>
      </c>
      <c r="SR7" s="11">
        <v>230</v>
      </c>
      <c r="SS7" s="11">
        <v>203</v>
      </c>
      <c r="ST7" s="11">
        <v>330</v>
      </c>
      <c r="SU7" s="11">
        <v>310</v>
      </c>
      <c r="SV7" s="11">
        <v>283</v>
      </c>
      <c r="SW7" s="27">
        <f t="shared" si="42"/>
        <v>3427</v>
      </c>
      <c r="SX7" s="11" t="s">
        <v>2644</v>
      </c>
      <c r="SY7" s="11">
        <v>15000</v>
      </c>
      <c r="SZ7" s="11">
        <v>15163</v>
      </c>
      <c r="TA7" s="11">
        <v>14028</v>
      </c>
      <c r="TB7" s="11">
        <v>14742</v>
      </c>
      <c r="TC7" s="11">
        <v>13694</v>
      </c>
      <c r="TD7" s="11">
        <v>13499</v>
      </c>
      <c r="TE7" s="11">
        <v>15387</v>
      </c>
      <c r="TF7" s="11">
        <v>13630</v>
      </c>
      <c r="TG7" s="11">
        <v>11765</v>
      </c>
      <c r="TH7" s="11">
        <v>13593</v>
      </c>
      <c r="TI7" s="11">
        <v>13020</v>
      </c>
      <c r="TJ7" s="11">
        <v>13449</v>
      </c>
      <c r="TK7" s="27">
        <f t="shared" si="43"/>
        <v>166970</v>
      </c>
      <c r="TL7" s="11">
        <v>0</v>
      </c>
      <c r="TM7" s="11">
        <v>0</v>
      </c>
      <c r="TN7" s="11">
        <v>0</v>
      </c>
      <c r="TO7" s="11">
        <v>0</v>
      </c>
      <c r="TP7" s="11">
        <v>0</v>
      </c>
      <c r="TQ7" s="11">
        <v>0</v>
      </c>
      <c r="TR7" s="11">
        <v>0</v>
      </c>
      <c r="TS7" s="11">
        <v>0</v>
      </c>
      <c r="TT7" s="11">
        <v>0</v>
      </c>
      <c r="TU7" s="11">
        <v>0</v>
      </c>
      <c r="TV7" s="11">
        <v>0</v>
      </c>
      <c r="TW7" s="11">
        <v>0</v>
      </c>
      <c r="TX7" s="27">
        <f t="shared" si="44"/>
        <v>0</v>
      </c>
      <c r="TY7" s="11">
        <v>600</v>
      </c>
      <c r="TZ7" s="11">
        <v>0</v>
      </c>
      <c r="UA7" s="11">
        <v>0</v>
      </c>
    </row>
    <row r="8" spans="1:547" ht="16" customHeight="1" x14ac:dyDescent="0.35">
      <c r="A8" s="11" t="s">
        <v>1455</v>
      </c>
      <c r="B8" s="11">
        <v>12572</v>
      </c>
      <c r="C8" s="11">
        <v>2911</v>
      </c>
      <c r="D8" s="11">
        <v>8782</v>
      </c>
      <c r="E8" s="11">
        <v>879</v>
      </c>
      <c r="F8" s="11">
        <v>118</v>
      </c>
      <c r="G8" s="11">
        <v>128</v>
      </c>
      <c r="H8" s="11">
        <v>138</v>
      </c>
      <c r="I8" s="11">
        <v>144</v>
      </c>
      <c r="J8" s="11">
        <v>134</v>
      </c>
      <c r="K8" s="11">
        <v>111</v>
      </c>
      <c r="L8" s="11">
        <v>127</v>
      </c>
      <c r="M8" s="11">
        <v>137</v>
      </c>
      <c r="N8" s="11">
        <v>93</v>
      </c>
      <c r="O8" s="11">
        <v>125</v>
      </c>
      <c r="P8" s="11" t="s">
        <v>2865</v>
      </c>
      <c r="Q8" s="11">
        <v>131</v>
      </c>
      <c r="R8" s="11">
        <v>144</v>
      </c>
      <c r="S8" s="26">
        <f t="shared" si="0"/>
        <v>1530</v>
      </c>
      <c r="T8" s="11">
        <v>59</v>
      </c>
      <c r="U8" s="11">
        <v>66</v>
      </c>
      <c r="V8" s="11">
        <v>65</v>
      </c>
      <c r="W8" s="11">
        <v>63</v>
      </c>
      <c r="X8" s="11">
        <v>55</v>
      </c>
      <c r="Y8" s="11">
        <v>61</v>
      </c>
      <c r="Z8" s="11">
        <v>71</v>
      </c>
      <c r="AA8" s="11">
        <v>71</v>
      </c>
      <c r="AB8" s="11">
        <v>55</v>
      </c>
      <c r="AC8" s="11">
        <v>70</v>
      </c>
      <c r="AD8" s="11">
        <v>68</v>
      </c>
      <c r="AE8" s="11">
        <v>76</v>
      </c>
      <c r="AF8" s="26">
        <f t="shared" si="1"/>
        <v>780</v>
      </c>
      <c r="AG8" s="11">
        <v>0</v>
      </c>
      <c r="AH8" s="11">
        <v>0</v>
      </c>
      <c r="AI8" s="11">
        <v>0</v>
      </c>
      <c r="AJ8" s="11">
        <v>0</v>
      </c>
      <c r="AK8" s="11">
        <v>0</v>
      </c>
      <c r="AL8" s="11">
        <v>0</v>
      </c>
      <c r="AM8" s="11">
        <v>0</v>
      </c>
      <c r="AN8" s="11">
        <v>0</v>
      </c>
      <c r="AO8" s="11">
        <v>0</v>
      </c>
      <c r="AP8" s="11">
        <v>0</v>
      </c>
      <c r="AQ8" s="11">
        <v>0</v>
      </c>
      <c r="AR8" s="11">
        <v>0</v>
      </c>
      <c r="AS8" s="26">
        <f t="shared" si="2"/>
        <v>0</v>
      </c>
      <c r="AT8" s="11">
        <v>0</v>
      </c>
      <c r="AU8" s="11">
        <v>0</v>
      </c>
      <c r="AV8" s="11">
        <v>0</v>
      </c>
      <c r="AW8" s="11">
        <v>0</v>
      </c>
      <c r="AX8" s="11">
        <v>0</v>
      </c>
      <c r="AY8" s="11">
        <v>0</v>
      </c>
      <c r="AZ8" s="11">
        <v>0</v>
      </c>
      <c r="BA8" s="11">
        <v>0</v>
      </c>
      <c r="BB8" s="11">
        <v>0</v>
      </c>
      <c r="BC8" s="11">
        <v>0</v>
      </c>
      <c r="BD8" s="11">
        <v>0</v>
      </c>
      <c r="BE8" s="11">
        <v>0</v>
      </c>
      <c r="BF8" s="26">
        <f t="shared" si="3"/>
        <v>0</v>
      </c>
      <c r="BG8" s="11">
        <v>0</v>
      </c>
      <c r="BH8" s="11">
        <v>0</v>
      </c>
      <c r="BI8" s="11">
        <v>0</v>
      </c>
      <c r="BJ8" s="11">
        <v>0</v>
      </c>
      <c r="BK8" s="11">
        <v>0</v>
      </c>
      <c r="BL8" s="11">
        <v>0</v>
      </c>
      <c r="BM8" s="11">
        <v>0</v>
      </c>
      <c r="BN8" s="11">
        <v>0</v>
      </c>
      <c r="BO8" s="11">
        <v>0</v>
      </c>
      <c r="BP8" s="11">
        <v>0</v>
      </c>
      <c r="BQ8" s="11">
        <v>0</v>
      </c>
      <c r="BR8" s="11">
        <v>0</v>
      </c>
      <c r="BS8" s="26">
        <f t="shared" si="4"/>
        <v>0</v>
      </c>
      <c r="BT8" s="11">
        <v>0</v>
      </c>
      <c r="BU8" s="11">
        <v>0</v>
      </c>
      <c r="BV8" s="11">
        <v>0</v>
      </c>
      <c r="BW8" s="11">
        <v>0</v>
      </c>
      <c r="BX8" s="11">
        <v>0</v>
      </c>
      <c r="BY8" s="11">
        <v>0</v>
      </c>
      <c r="BZ8" s="11">
        <v>0</v>
      </c>
      <c r="CA8" s="11">
        <v>0</v>
      </c>
      <c r="CB8" s="11">
        <v>0</v>
      </c>
      <c r="CC8" s="11">
        <v>0</v>
      </c>
      <c r="CD8" s="11">
        <v>0</v>
      </c>
      <c r="CE8" s="11">
        <v>0</v>
      </c>
      <c r="CF8" s="26">
        <f t="shared" si="5"/>
        <v>0</v>
      </c>
      <c r="CG8" s="11">
        <v>0</v>
      </c>
      <c r="CH8" s="11">
        <v>0</v>
      </c>
      <c r="CI8" s="11">
        <v>0</v>
      </c>
      <c r="CJ8" s="11">
        <v>0</v>
      </c>
      <c r="CK8" s="11">
        <v>0</v>
      </c>
      <c r="CL8" s="11">
        <v>0</v>
      </c>
      <c r="CM8" s="11">
        <v>0</v>
      </c>
      <c r="CN8" s="11">
        <v>0</v>
      </c>
      <c r="CO8" s="11">
        <v>0</v>
      </c>
      <c r="CP8" s="11">
        <v>0</v>
      </c>
      <c r="CQ8" s="11">
        <v>0</v>
      </c>
      <c r="CR8" s="11">
        <v>0</v>
      </c>
      <c r="CS8" s="26">
        <f t="shared" si="6"/>
        <v>0</v>
      </c>
      <c r="CT8" s="11">
        <v>0</v>
      </c>
      <c r="CU8" s="11">
        <v>0</v>
      </c>
      <c r="CV8" s="11">
        <v>0</v>
      </c>
      <c r="CW8" s="11">
        <v>0</v>
      </c>
      <c r="CX8" s="11">
        <v>0</v>
      </c>
      <c r="CY8" s="11">
        <v>0</v>
      </c>
      <c r="CZ8" s="11">
        <v>0</v>
      </c>
      <c r="DA8" s="11">
        <v>0</v>
      </c>
      <c r="DB8" s="11">
        <v>0</v>
      </c>
      <c r="DC8" s="11">
        <v>0</v>
      </c>
      <c r="DD8" s="11">
        <v>0</v>
      </c>
      <c r="DE8" s="11">
        <v>0</v>
      </c>
      <c r="DF8" s="26">
        <f t="shared" si="7"/>
        <v>0</v>
      </c>
      <c r="DG8" s="11">
        <v>0</v>
      </c>
      <c r="DH8" s="11">
        <v>0</v>
      </c>
      <c r="DI8" s="11">
        <v>0</v>
      </c>
      <c r="DJ8" s="11">
        <v>0</v>
      </c>
      <c r="DK8" s="11">
        <v>0</v>
      </c>
      <c r="DL8" s="11">
        <v>0</v>
      </c>
      <c r="DM8" s="11">
        <v>0</v>
      </c>
      <c r="DN8" s="11">
        <v>0</v>
      </c>
      <c r="DO8" s="11">
        <v>0</v>
      </c>
      <c r="DP8" s="11">
        <v>0</v>
      </c>
      <c r="DQ8" s="11">
        <v>0</v>
      </c>
      <c r="DR8" s="11">
        <v>0</v>
      </c>
      <c r="DS8" s="26">
        <f t="shared" si="8"/>
        <v>0</v>
      </c>
      <c r="DT8" s="11">
        <v>0</v>
      </c>
      <c r="DU8" s="11">
        <v>0</v>
      </c>
      <c r="DV8" s="11">
        <v>0</v>
      </c>
      <c r="DW8" s="11">
        <v>0</v>
      </c>
      <c r="DX8" s="11">
        <v>0</v>
      </c>
      <c r="DY8" s="11">
        <v>0</v>
      </c>
      <c r="DZ8" s="11">
        <v>0</v>
      </c>
      <c r="EA8" s="11">
        <v>0</v>
      </c>
      <c r="EB8" s="11">
        <v>0</v>
      </c>
      <c r="EC8" s="11">
        <v>0</v>
      </c>
      <c r="ED8" s="11">
        <v>0</v>
      </c>
      <c r="EE8" s="11">
        <v>0</v>
      </c>
      <c r="EF8" s="26">
        <f t="shared" si="9"/>
        <v>0</v>
      </c>
      <c r="EG8" s="9">
        <f t="shared" si="10"/>
        <v>780</v>
      </c>
      <c r="EH8" s="9">
        <f t="shared" si="11"/>
        <v>0</v>
      </c>
      <c r="EI8" s="11">
        <v>1092</v>
      </c>
      <c r="EJ8" s="11">
        <v>1158</v>
      </c>
      <c r="EK8" s="11">
        <v>2926</v>
      </c>
      <c r="EL8" s="11">
        <v>1222</v>
      </c>
      <c r="EM8" s="11">
        <v>1107</v>
      </c>
      <c r="EN8" s="11">
        <v>753</v>
      </c>
      <c r="EO8" s="11">
        <v>1116</v>
      </c>
      <c r="EP8" s="11">
        <v>1244</v>
      </c>
      <c r="EQ8" s="11">
        <v>972</v>
      </c>
      <c r="ER8" s="11">
        <v>936</v>
      </c>
      <c r="ES8" s="11">
        <v>1830</v>
      </c>
      <c r="ET8" s="11">
        <v>1360</v>
      </c>
      <c r="EU8" s="26">
        <f t="shared" si="12"/>
        <v>15716</v>
      </c>
      <c r="EV8" s="11">
        <v>323</v>
      </c>
      <c r="EW8" s="11">
        <v>409</v>
      </c>
      <c r="EX8" s="11">
        <v>430</v>
      </c>
      <c r="EY8" s="11">
        <v>318</v>
      </c>
      <c r="EZ8" s="11">
        <v>313</v>
      </c>
      <c r="FA8" s="11">
        <v>361</v>
      </c>
      <c r="FB8" s="11">
        <v>461</v>
      </c>
      <c r="FC8" s="11">
        <v>472</v>
      </c>
      <c r="FD8" s="11">
        <v>419</v>
      </c>
      <c r="FE8" s="11">
        <v>390</v>
      </c>
      <c r="FF8" s="11">
        <v>434</v>
      </c>
      <c r="FG8" s="11">
        <v>554</v>
      </c>
      <c r="FH8" s="26">
        <f t="shared" si="13"/>
        <v>4884</v>
      </c>
      <c r="FI8" s="11">
        <v>0</v>
      </c>
      <c r="FJ8" s="11">
        <v>0</v>
      </c>
      <c r="FK8" s="11">
        <v>0</v>
      </c>
      <c r="FL8" s="11">
        <v>0</v>
      </c>
      <c r="FM8" s="11">
        <v>0</v>
      </c>
      <c r="FN8" s="11">
        <v>0</v>
      </c>
      <c r="FO8" s="11">
        <v>0</v>
      </c>
      <c r="FP8" s="11">
        <v>0</v>
      </c>
      <c r="FQ8" s="11">
        <v>0</v>
      </c>
      <c r="FR8" s="11">
        <v>0</v>
      </c>
      <c r="FS8" s="11">
        <v>0</v>
      </c>
      <c r="FT8" s="11">
        <v>0</v>
      </c>
      <c r="FU8" s="26">
        <f t="shared" si="14"/>
        <v>0</v>
      </c>
      <c r="FV8" s="11">
        <v>0</v>
      </c>
      <c r="FW8" s="11">
        <v>0</v>
      </c>
      <c r="FX8" s="11">
        <v>0</v>
      </c>
      <c r="FY8" s="11">
        <v>0</v>
      </c>
      <c r="FZ8" s="11">
        <v>0</v>
      </c>
      <c r="GA8" s="11">
        <v>0</v>
      </c>
      <c r="GB8" s="11">
        <v>0</v>
      </c>
      <c r="GC8" s="11">
        <v>0</v>
      </c>
      <c r="GD8" s="11">
        <v>0</v>
      </c>
      <c r="GE8" s="11">
        <v>0</v>
      </c>
      <c r="GF8" s="11">
        <v>0</v>
      </c>
      <c r="GG8" s="11">
        <v>0</v>
      </c>
      <c r="GH8" s="26">
        <f t="shared" si="15"/>
        <v>0</v>
      </c>
      <c r="GI8" s="11">
        <v>0</v>
      </c>
      <c r="GJ8" s="11">
        <v>0</v>
      </c>
      <c r="GK8" s="11">
        <v>0</v>
      </c>
      <c r="GL8" s="11">
        <v>0</v>
      </c>
      <c r="GM8" s="11">
        <v>0</v>
      </c>
      <c r="GN8" s="11">
        <v>0</v>
      </c>
      <c r="GO8" s="11">
        <v>0</v>
      </c>
      <c r="GP8" s="11">
        <v>0</v>
      </c>
      <c r="GQ8" s="11">
        <v>0</v>
      </c>
      <c r="GR8" s="11">
        <v>0</v>
      </c>
      <c r="GS8" s="11">
        <v>0</v>
      </c>
      <c r="GT8" s="11">
        <v>0</v>
      </c>
      <c r="GU8" s="26">
        <f t="shared" si="16"/>
        <v>0</v>
      </c>
      <c r="GV8" s="11">
        <v>0</v>
      </c>
      <c r="GW8" s="11">
        <v>0</v>
      </c>
      <c r="GX8" s="11">
        <v>0</v>
      </c>
      <c r="GY8" s="11">
        <v>0</v>
      </c>
      <c r="GZ8" s="11">
        <v>0</v>
      </c>
      <c r="HA8" s="11">
        <v>0</v>
      </c>
      <c r="HB8" s="11">
        <v>0</v>
      </c>
      <c r="HC8" s="11">
        <v>0</v>
      </c>
      <c r="HD8" s="11">
        <v>0</v>
      </c>
      <c r="HE8" s="11">
        <v>0</v>
      </c>
      <c r="HF8" s="11">
        <v>0</v>
      </c>
      <c r="HG8" s="11">
        <v>0</v>
      </c>
      <c r="HH8" s="26">
        <f t="shared" si="17"/>
        <v>0</v>
      </c>
      <c r="HI8" s="11">
        <v>0</v>
      </c>
      <c r="HJ8" s="11">
        <v>0</v>
      </c>
      <c r="HK8" s="11">
        <v>0</v>
      </c>
      <c r="HL8" s="11">
        <v>0</v>
      </c>
      <c r="HM8" s="11">
        <v>0</v>
      </c>
      <c r="HN8" s="11">
        <v>0</v>
      </c>
      <c r="HO8" s="11">
        <v>0</v>
      </c>
      <c r="HP8" s="11">
        <v>0</v>
      </c>
      <c r="HQ8" s="11">
        <v>0</v>
      </c>
      <c r="HR8" s="11">
        <v>0</v>
      </c>
      <c r="HS8" s="11">
        <v>0</v>
      </c>
      <c r="HT8" s="11">
        <v>0</v>
      </c>
      <c r="HU8" s="26">
        <f t="shared" si="18"/>
        <v>0</v>
      </c>
      <c r="HV8" s="11">
        <v>0</v>
      </c>
      <c r="HW8" s="11">
        <v>0</v>
      </c>
      <c r="HX8" s="11">
        <v>0</v>
      </c>
      <c r="HY8" s="11">
        <v>0</v>
      </c>
      <c r="HZ8" s="11">
        <v>0</v>
      </c>
      <c r="IA8" s="11">
        <v>0</v>
      </c>
      <c r="IB8" s="11">
        <v>0</v>
      </c>
      <c r="IC8" s="11">
        <v>0</v>
      </c>
      <c r="ID8" s="11">
        <v>0</v>
      </c>
      <c r="IE8" s="11">
        <v>0</v>
      </c>
      <c r="IF8" s="11">
        <v>0</v>
      </c>
      <c r="IG8" s="11">
        <v>0</v>
      </c>
      <c r="IH8" s="26">
        <f t="shared" si="19"/>
        <v>0</v>
      </c>
      <c r="II8" s="9">
        <f t="shared" si="20"/>
        <v>4884</v>
      </c>
      <c r="IJ8" s="9">
        <f t="shared" si="21"/>
        <v>0</v>
      </c>
      <c r="IK8" s="11">
        <v>13716</v>
      </c>
      <c r="IL8" s="11">
        <v>13711</v>
      </c>
      <c r="IM8" s="11">
        <v>12540</v>
      </c>
      <c r="IN8" s="11">
        <v>16610</v>
      </c>
      <c r="IO8" s="11">
        <v>17858</v>
      </c>
      <c r="IP8" s="11">
        <v>14214</v>
      </c>
      <c r="IQ8" s="11">
        <v>15820</v>
      </c>
      <c r="IR8" s="11">
        <v>14690</v>
      </c>
      <c r="IS8" s="11">
        <v>13624</v>
      </c>
      <c r="IT8" s="11">
        <v>14394</v>
      </c>
      <c r="IU8" s="11">
        <v>14158</v>
      </c>
      <c r="IV8" s="11">
        <v>13396</v>
      </c>
      <c r="IW8" s="27">
        <f t="shared" si="22"/>
        <v>174731</v>
      </c>
      <c r="IX8" s="11">
        <v>7703</v>
      </c>
      <c r="IY8" s="11">
        <v>7580</v>
      </c>
      <c r="IZ8" s="11">
        <v>7360</v>
      </c>
      <c r="JA8" s="11">
        <v>8222</v>
      </c>
      <c r="JB8" s="11">
        <v>7977</v>
      </c>
      <c r="JC8" s="11">
        <v>8243</v>
      </c>
      <c r="JD8" s="11">
        <v>9169</v>
      </c>
      <c r="JE8" s="11">
        <v>8558</v>
      </c>
      <c r="JF8" s="11">
        <v>8003</v>
      </c>
      <c r="JG8" s="11">
        <v>8523</v>
      </c>
      <c r="JH8" s="11">
        <v>8020</v>
      </c>
      <c r="JI8" s="11">
        <v>8568</v>
      </c>
      <c r="JJ8" s="27">
        <f t="shared" si="23"/>
        <v>97926</v>
      </c>
      <c r="JK8" s="11">
        <v>6013</v>
      </c>
      <c r="JL8" s="11">
        <v>6131</v>
      </c>
      <c r="JM8" s="11">
        <v>5180</v>
      </c>
      <c r="JN8" s="11">
        <v>8388</v>
      </c>
      <c r="JO8" s="11">
        <v>9881</v>
      </c>
      <c r="JP8" s="11">
        <v>5971</v>
      </c>
      <c r="JQ8" s="11">
        <v>6651</v>
      </c>
      <c r="JR8" s="11">
        <v>6132</v>
      </c>
      <c r="JS8" s="11">
        <v>5621</v>
      </c>
      <c r="JT8" s="11">
        <v>5871</v>
      </c>
      <c r="JU8" s="11">
        <v>6138</v>
      </c>
      <c r="JV8" s="11">
        <v>4828</v>
      </c>
      <c r="JW8" s="27">
        <f t="shared" si="24"/>
        <v>76805</v>
      </c>
      <c r="JX8" s="11">
        <v>0</v>
      </c>
      <c r="JY8" s="11">
        <v>0</v>
      </c>
      <c r="JZ8" s="11">
        <v>0</v>
      </c>
      <c r="KA8" s="11">
        <v>0</v>
      </c>
      <c r="KB8" s="11">
        <v>0</v>
      </c>
      <c r="KC8" s="11">
        <v>0</v>
      </c>
      <c r="KD8" s="11">
        <v>0</v>
      </c>
      <c r="KE8" s="11">
        <v>0</v>
      </c>
      <c r="KF8" s="11">
        <v>0</v>
      </c>
      <c r="KG8" s="11">
        <v>0</v>
      </c>
      <c r="KH8" s="11">
        <v>0</v>
      </c>
      <c r="KI8" s="11">
        <v>0</v>
      </c>
      <c r="KJ8" s="27">
        <f t="shared" si="25"/>
        <v>0</v>
      </c>
      <c r="KK8" s="11">
        <v>258</v>
      </c>
      <c r="KL8" s="11">
        <v>178</v>
      </c>
      <c r="KM8" s="11">
        <v>188</v>
      </c>
      <c r="KN8" s="11">
        <v>180</v>
      </c>
      <c r="KO8" s="11">
        <v>163</v>
      </c>
      <c r="KP8" s="11">
        <v>257</v>
      </c>
      <c r="KQ8" s="11">
        <v>273</v>
      </c>
      <c r="KR8" s="11">
        <v>296</v>
      </c>
      <c r="KS8" s="11">
        <v>232</v>
      </c>
      <c r="KT8" s="11">
        <v>207</v>
      </c>
      <c r="KU8" s="11">
        <v>209</v>
      </c>
      <c r="KV8" s="11">
        <v>252</v>
      </c>
      <c r="KW8" s="27">
        <f t="shared" si="26"/>
        <v>2693</v>
      </c>
      <c r="KX8" s="11">
        <v>238</v>
      </c>
      <c r="KY8" s="11">
        <v>144</v>
      </c>
      <c r="KZ8" s="11">
        <v>174</v>
      </c>
      <c r="LA8" s="11">
        <v>163</v>
      </c>
      <c r="LB8" s="11">
        <v>146</v>
      </c>
      <c r="LC8" s="11">
        <v>242</v>
      </c>
      <c r="LD8" s="11">
        <v>260</v>
      </c>
      <c r="LE8" s="11">
        <v>284</v>
      </c>
      <c r="LF8" s="11">
        <v>212</v>
      </c>
      <c r="LG8" s="11">
        <v>194</v>
      </c>
      <c r="LH8" s="11">
        <v>199</v>
      </c>
      <c r="LI8" s="11">
        <v>243</v>
      </c>
      <c r="LJ8" s="27">
        <f t="shared" si="27"/>
        <v>2499</v>
      </c>
      <c r="LK8" s="11">
        <v>20</v>
      </c>
      <c r="LL8" s="11">
        <v>34</v>
      </c>
      <c r="LM8" s="11">
        <v>14</v>
      </c>
      <c r="LN8" s="11">
        <v>17</v>
      </c>
      <c r="LO8" s="11">
        <v>17</v>
      </c>
      <c r="LP8" s="11">
        <v>15</v>
      </c>
      <c r="LQ8" s="11">
        <v>13</v>
      </c>
      <c r="LR8" s="11">
        <v>12</v>
      </c>
      <c r="LS8" s="11">
        <v>20</v>
      </c>
      <c r="LT8" s="11">
        <v>13</v>
      </c>
      <c r="LU8" s="11">
        <v>10</v>
      </c>
      <c r="LV8" s="11">
        <v>9</v>
      </c>
      <c r="LW8" s="27">
        <f t="shared" si="28"/>
        <v>194</v>
      </c>
      <c r="LX8" s="11">
        <v>0</v>
      </c>
      <c r="LY8" s="11">
        <v>0</v>
      </c>
      <c r="LZ8" s="11">
        <v>0</v>
      </c>
      <c r="MA8" s="11">
        <v>0</v>
      </c>
      <c r="MB8" s="11">
        <v>0</v>
      </c>
      <c r="MC8" s="11">
        <v>0</v>
      </c>
      <c r="MD8" s="11">
        <v>0</v>
      </c>
      <c r="ME8" s="11">
        <v>0</v>
      </c>
      <c r="MF8" s="11">
        <v>0</v>
      </c>
      <c r="MG8" s="11">
        <v>0</v>
      </c>
      <c r="MH8" s="11">
        <v>0</v>
      </c>
      <c r="MI8" s="11">
        <v>0</v>
      </c>
      <c r="MJ8" s="27">
        <f t="shared" si="29"/>
        <v>0</v>
      </c>
      <c r="MK8" s="11">
        <v>1497</v>
      </c>
      <c r="ML8" s="11">
        <v>1436</v>
      </c>
      <c r="MM8" s="11">
        <v>1409</v>
      </c>
      <c r="MN8" s="11">
        <v>1434</v>
      </c>
      <c r="MO8" s="11">
        <v>1424</v>
      </c>
      <c r="MP8" s="11">
        <v>1385</v>
      </c>
      <c r="MQ8" s="11">
        <v>1424</v>
      </c>
      <c r="MR8" s="11">
        <v>1281</v>
      </c>
      <c r="MS8" s="11">
        <v>1324</v>
      </c>
      <c r="MT8" s="11">
        <v>1340</v>
      </c>
      <c r="MU8" s="11">
        <v>1139</v>
      </c>
      <c r="MV8" s="11">
        <v>1351</v>
      </c>
      <c r="MW8" s="27">
        <f t="shared" si="30"/>
        <v>16444</v>
      </c>
      <c r="MX8" s="11">
        <v>1263</v>
      </c>
      <c r="MY8" s="11">
        <v>1193</v>
      </c>
      <c r="MZ8" s="11">
        <v>1179</v>
      </c>
      <c r="NA8" s="11">
        <v>1189</v>
      </c>
      <c r="NB8" s="11">
        <v>1137</v>
      </c>
      <c r="NC8" s="11">
        <v>1163</v>
      </c>
      <c r="ND8" s="11">
        <v>1206</v>
      </c>
      <c r="NE8" s="11">
        <v>1079</v>
      </c>
      <c r="NF8" s="11">
        <v>1130</v>
      </c>
      <c r="NG8" s="11">
        <v>1129</v>
      </c>
      <c r="NH8" s="11">
        <v>965</v>
      </c>
      <c r="NI8" s="11">
        <v>1128</v>
      </c>
      <c r="NJ8" s="27">
        <f t="shared" si="31"/>
        <v>13761</v>
      </c>
      <c r="NK8" s="11">
        <v>137</v>
      </c>
      <c r="NL8" s="11">
        <v>153</v>
      </c>
      <c r="NM8" s="11">
        <v>121</v>
      </c>
      <c r="NN8" s="11">
        <v>158</v>
      </c>
      <c r="NO8" s="11">
        <v>178</v>
      </c>
      <c r="NP8" s="11">
        <v>124</v>
      </c>
      <c r="NQ8" s="11">
        <v>123</v>
      </c>
      <c r="NR8" s="11">
        <v>116</v>
      </c>
      <c r="NS8" s="11">
        <v>129</v>
      </c>
      <c r="NT8" s="11">
        <v>126</v>
      </c>
      <c r="NU8" s="11">
        <v>126</v>
      </c>
      <c r="NV8" s="11">
        <v>161</v>
      </c>
      <c r="NW8" s="27">
        <f t="shared" si="32"/>
        <v>1652</v>
      </c>
      <c r="NX8" s="11">
        <v>97</v>
      </c>
      <c r="NY8" s="11">
        <v>90</v>
      </c>
      <c r="NZ8" s="11">
        <v>109</v>
      </c>
      <c r="OA8" s="11">
        <v>87</v>
      </c>
      <c r="OB8" s="11">
        <v>109</v>
      </c>
      <c r="OC8" s="11">
        <v>98</v>
      </c>
      <c r="OD8" s="11">
        <v>95</v>
      </c>
      <c r="OE8" s="11">
        <v>86</v>
      </c>
      <c r="OF8" s="11">
        <v>65</v>
      </c>
      <c r="OG8" s="11">
        <v>81</v>
      </c>
      <c r="OH8" s="11">
        <v>52</v>
      </c>
      <c r="OI8" s="11">
        <v>62</v>
      </c>
      <c r="OJ8" s="27">
        <f t="shared" si="33"/>
        <v>1031</v>
      </c>
      <c r="OK8" s="11">
        <v>1613</v>
      </c>
      <c r="OL8" s="11">
        <v>1661</v>
      </c>
      <c r="OM8" s="11">
        <v>1637</v>
      </c>
      <c r="ON8" s="11">
        <v>1724</v>
      </c>
      <c r="OO8" s="11">
        <v>1894</v>
      </c>
      <c r="OP8" s="11">
        <v>1862</v>
      </c>
      <c r="OQ8" s="11">
        <v>1829</v>
      </c>
      <c r="OR8" s="11">
        <v>1786</v>
      </c>
      <c r="OS8" s="11">
        <v>1765</v>
      </c>
      <c r="OT8" s="11">
        <v>2182</v>
      </c>
      <c r="OU8" s="11">
        <v>1924</v>
      </c>
      <c r="OV8" s="11">
        <v>2065</v>
      </c>
      <c r="OW8" s="27">
        <f t="shared" si="34"/>
        <v>21942</v>
      </c>
      <c r="OX8" s="11">
        <v>1346</v>
      </c>
      <c r="OY8" s="11">
        <v>1402</v>
      </c>
      <c r="OZ8" s="11">
        <v>1389</v>
      </c>
      <c r="PA8" s="11">
        <v>1449</v>
      </c>
      <c r="PB8" s="11">
        <v>1648</v>
      </c>
      <c r="PC8" s="11">
        <v>1599</v>
      </c>
      <c r="PD8" s="11">
        <v>1585</v>
      </c>
      <c r="PE8" s="11">
        <v>1532</v>
      </c>
      <c r="PF8" s="11">
        <v>1539</v>
      </c>
      <c r="PG8" s="11">
        <v>1708</v>
      </c>
      <c r="PH8" s="11">
        <v>1555</v>
      </c>
      <c r="PI8" s="11">
        <v>1663</v>
      </c>
      <c r="PJ8" s="27">
        <f t="shared" si="35"/>
        <v>18415</v>
      </c>
      <c r="PK8" s="11">
        <v>186</v>
      </c>
      <c r="PL8" s="11">
        <v>175</v>
      </c>
      <c r="PM8" s="11">
        <v>152</v>
      </c>
      <c r="PN8" s="11">
        <v>126</v>
      </c>
      <c r="PO8" s="11">
        <v>143</v>
      </c>
      <c r="PP8" s="11">
        <v>169</v>
      </c>
      <c r="PQ8" s="11">
        <v>148</v>
      </c>
      <c r="PR8" s="11">
        <v>152</v>
      </c>
      <c r="PS8" s="11">
        <v>136</v>
      </c>
      <c r="PT8" s="11">
        <v>391</v>
      </c>
      <c r="PU8" s="11">
        <v>282</v>
      </c>
      <c r="PV8" s="11">
        <v>323</v>
      </c>
      <c r="PW8" s="27">
        <f t="shared" si="36"/>
        <v>2383</v>
      </c>
      <c r="PX8" s="11">
        <v>81</v>
      </c>
      <c r="PY8" s="11">
        <v>84</v>
      </c>
      <c r="PZ8" s="11">
        <v>96</v>
      </c>
      <c r="QA8" s="11">
        <v>149</v>
      </c>
      <c r="QB8" s="11">
        <v>103</v>
      </c>
      <c r="QC8" s="11">
        <v>94</v>
      </c>
      <c r="QD8" s="11">
        <v>96</v>
      </c>
      <c r="QE8" s="11">
        <v>102</v>
      </c>
      <c r="QF8" s="11">
        <v>90</v>
      </c>
      <c r="QG8" s="11">
        <v>83</v>
      </c>
      <c r="QH8" s="11">
        <v>87</v>
      </c>
      <c r="QI8" s="11">
        <v>79</v>
      </c>
      <c r="QJ8" s="27">
        <f t="shared" si="37"/>
        <v>1144</v>
      </c>
      <c r="QK8" s="11">
        <v>0</v>
      </c>
      <c r="QL8" s="11">
        <v>0</v>
      </c>
      <c r="QM8" s="11">
        <v>48350</v>
      </c>
      <c r="QN8" s="11">
        <v>0</v>
      </c>
      <c r="QO8" s="11">
        <v>0</v>
      </c>
      <c r="QP8" s="11">
        <v>52363</v>
      </c>
      <c r="QQ8" s="11">
        <v>0</v>
      </c>
      <c r="QR8" s="11">
        <v>0</v>
      </c>
      <c r="QS8" s="11">
        <v>55031</v>
      </c>
      <c r="QT8" s="11">
        <v>0</v>
      </c>
      <c r="QU8" s="11">
        <v>0</v>
      </c>
      <c r="QV8" s="11">
        <v>61981</v>
      </c>
      <c r="QW8" s="27">
        <f t="shared" si="38"/>
        <v>217725</v>
      </c>
      <c r="QX8" s="11">
        <v>0</v>
      </c>
      <c r="QY8" s="11">
        <v>0</v>
      </c>
      <c r="QZ8" s="11">
        <v>0</v>
      </c>
      <c r="RA8" s="11">
        <v>0</v>
      </c>
      <c r="RB8" s="11">
        <v>0</v>
      </c>
      <c r="RC8" s="11">
        <v>0</v>
      </c>
      <c r="RD8" s="11">
        <v>0</v>
      </c>
      <c r="RE8" s="11">
        <v>0</v>
      </c>
      <c r="RF8" s="11">
        <v>0</v>
      </c>
      <c r="RG8" s="11">
        <v>0</v>
      </c>
      <c r="RH8" s="11">
        <v>0</v>
      </c>
      <c r="RI8" s="11">
        <v>0</v>
      </c>
      <c r="RJ8" s="27">
        <f t="shared" si="39"/>
        <v>0</v>
      </c>
      <c r="RK8" s="11">
        <v>0</v>
      </c>
      <c r="RL8" s="11">
        <v>0</v>
      </c>
      <c r="RM8" s="11">
        <v>0</v>
      </c>
      <c r="RN8" s="11">
        <v>0</v>
      </c>
      <c r="RO8" s="11">
        <v>0</v>
      </c>
      <c r="RP8" s="11">
        <v>0</v>
      </c>
      <c r="RQ8" s="11">
        <v>0</v>
      </c>
      <c r="RR8" s="11">
        <v>0</v>
      </c>
      <c r="RS8" s="11">
        <v>0</v>
      </c>
      <c r="RT8" s="11">
        <v>0</v>
      </c>
      <c r="RU8" s="11">
        <v>0</v>
      </c>
      <c r="RV8" s="11">
        <v>0</v>
      </c>
      <c r="RW8" s="27">
        <f t="shared" si="40"/>
        <v>0</v>
      </c>
      <c r="RX8" s="11">
        <v>0</v>
      </c>
      <c r="RY8" s="11">
        <v>0</v>
      </c>
      <c r="RZ8" s="11">
        <v>0</v>
      </c>
      <c r="SA8" s="11">
        <v>0</v>
      </c>
      <c r="SB8" s="11">
        <v>0</v>
      </c>
      <c r="SC8" s="11">
        <v>0</v>
      </c>
      <c r="SD8" s="11">
        <v>0</v>
      </c>
      <c r="SE8" s="11">
        <v>0</v>
      </c>
      <c r="SF8" s="11">
        <v>0</v>
      </c>
      <c r="SG8" s="11">
        <v>0</v>
      </c>
      <c r="SH8" s="11">
        <v>0</v>
      </c>
      <c r="SI8" s="11">
        <v>0</v>
      </c>
      <c r="SJ8" s="27">
        <f t="shared" si="41"/>
        <v>0</v>
      </c>
      <c r="SK8" s="11">
        <v>147</v>
      </c>
      <c r="SL8" s="11">
        <v>76</v>
      </c>
      <c r="SM8" s="11">
        <v>152</v>
      </c>
      <c r="SN8" s="11">
        <v>132</v>
      </c>
      <c r="SO8" s="11">
        <v>194</v>
      </c>
      <c r="SP8" s="11">
        <v>125</v>
      </c>
      <c r="SQ8" s="11">
        <v>153</v>
      </c>
      <c r="SR8" s="11">
        <v>135</v>
      </c>
      <c r="SS8" s="11">
        <v>86</v>
      </c>
      <c r="ST8" s="11">
        <v>101</v>
      </c>
      <c r="SU8" s="11">
        <v>121</v>
      </c>
      <c r="SV8" s="11">
        <v>100</v>
      </c>
      <c r="SW8" s="27">
        <f t="shared" si="42"/>
        <v>1522</v>
      </c>
      <c r="SX8" s="11" t="s">
        <v>2645</v>
      </c>
      <c r="SY8" s="11">
        <v>0</v>
      </c>
      <c r="SZ8" s="11">
        <v>0</v>
      </c>
      <c r="TA8" s="11">
        <v>0</v>
      </c>
      <c r="TB8" s="11">
        <v>0</v>
      </c>
      <c r="TC8" s="11">
        <v>0</v>
      </c>
      <c r="TD8" s="11">
        <v>0</v>
      </c>
      <c r="TE8" s="11">
        <v>0</v>
      </c>
      <c r="TF8" s="11">
        <v>0</v>
      </c>
      <c r="TG8" s="11">
        <v>0</v>
      </c>
      <c r="TH8" s="11">
        <v>0</v>
      </c>
      <c r="TI8" s="11">
        <v>0</v>
      </c>
      <c r="TJ8" s="11">
        <v>0</v>
      </c>
      <c r="TK8" s="27">
        <f t="shared" si="43"/>
        <v>0</v>
      </c>
      <c r="TL8" s="11">
        <v>0</v>
      </c>
      <c r="TM8" s="11">
        <v>0</v>
      </c>
      <c r="TN8" s="11">
        <v>0</v>
      </c>
      <c r="TO8" s="11">
        <v>0</v>
      </c>
      <c r="TP8" s="11">
        <v>0</v>
      </c>
      <c r="TQ8" s="11">
        <v>0</v>
      </c>
      <c r="TR8" s="11">
        <v>0</v>
      </c>
      <c r="TS8" s="11">
        <v>0</v>
      </c>
      <c r="TT8" s="11">
        <v>0</v>
      </c>
      <c r="TU8" s="11">
        <v>0</v>
      </c>
      <c r="TV8" s="11">
        <v>0</v>
      </c>
      <c r="TW8" s="11">
        <v>0</v>
      </c>
      <c r="TX8" s="27">
        <f t="shared" si="44"/>
        <v>0</v>
      </c>
      <c r="TY8" s="11">
        <v>93</v>
      </c>
      <c r="TZ8" s="11">
        <v>0</v>
      </c>
      <c r="UA8" s="11">
        <v>0</v>
      </c>
    </row>
    <row r="9" spans="1:547" ht="16" customHeight="1" x14ac:dyDescent="0.35">
      <c r="A9" s="11" t="s">
        <v>1440</v>
      </c>
      <c r="B9" s="11">
        <v>13600</v>
      </c>
      <c r="C9" s="11"/>
      <c r="D9" s="11">
        <v>10403</v>
      </c>
      <c r="E9" s="11"/>
      <c r="F9" s="11">
        <v>156</v>
      </c>
      <c r="G9" s="11">
        <v>185</v>
      </c>
      <c r="H9" s="11">
        <v>165</v>
      </c>
      <c r="I9" s="11">
        <v>171</v>
      </c>
      <c r="J9" s="11">
        <v>166</v>
      </c>
      <c r="K9" s="11">
        <v>176</v>
      </c>
      <c r="L9" s="11">
        <v>144</v>
      </c>
      <c r="M9" s="11">
        <v>195</v>
      </c>
      <c r="N9" s="11">
        <v>132</v>
      </c>
      <c r="O9" s="11">
        <v>192</v>
      </c>
      <c r="P9" s="11" t="s">
        <v>2865</v>
      </c>
      <c r="Q9" s="11">
        <v>221</v>
      </c>
      <c r="R9" s="11">
        <v>204</v>
      </c>
      <c r="S9" s="26">
        <f t="shared" si="0"/>
        <v>2107</v>
      </c>
      <c r="T9" s="11">
        <v>0</v>
      </c>
      <c r="U9" s="11">
        <v>0</v>
      </c>
      <c r="V9" s="11">
        <v>0</v>
      </c>
      <c r="W9" s="11">
        <v>0</v>
      </c>
      <c r="X9" s="11">
        <v>0</v>
      </c>
      <c r="Y9" s="11">
        <v>0</v>
      </c>
      <c r="Z9" s="11">
        <v>0</v>
      </c>
      <c r="AA9" s="11">
        <v>0</v>
      </c>
      <c r="AB9" s="11">
        <v>0</v>
      </c>
      <c r="AC9" s="11">
        <v>0</v>
      </c>
      <c r="AD9" s="11">
        <v>0</v>
      </c>
      <c r="AE9" s="11">
        <v>0</v>
      </c>
      <c r="AF9" s="26">
        <f t="shared" si="1"/>
        <v>0</v>
      </c>
      <c r="AG9" s="11">
        <v>0</v>
      </c>
      <c r="AH9" s="11">
        <v>0</v>
      </c>
      <c r="AI9" s="11">
        <v>0</v>
      </c>
      <c r="AJ9" s="11">
        <v>0</v>
      </c>
      <c r="AK9" s="11">
        <v>0</v>
      </c>
      <c r="AL9" s="11">
        <v>0</v>
      </c>
      <c r="AM9" s="11">
        <v>0</v>
      </c>
      <c r="AN9" s="11">
        <v>0</v>
      </c>
      <c r="AO9" s="11">
        <v>0</v>
      </c>
      <c r="AP9" s="11">
        <v>0</v>
      </c>
      <c r="AQ9" s="11">
        <v>0</v>
      </c>
      <c r="AR9" s="11">
        <v>0</v>
      </c>
      <c r="AS9" s="26">
        <f t="shared" si="2"/>
        <v>0</v>
      </c>
      <c r="AT9" s="11">
        <v>0</v>
      </c>
      <c r="AU9" s="11">
        <v>0</v>
      </c>
      <c r="AV9" s="11">
        <v>0</v>
      </c>
      <c r="AW9" s="11">
        <v>0</v>
      </c>
      <c r="AX9" s="11">
        <v>0</v>
      </c>
      <c r="AY9" s="11">
        <v>0</v>
      </c>
      <c r="AZ9" s="11">
        <v>0</v>
      </c>
      <c r="BA9" s="11">
        <v>0</v>
      </c>
      <c r="BB9" s="11">
        <v>0</v>
      </c>
      <c r="BC9" s="11">
        <v>0</v>
      </c>
      <c r="BD9" s="11">
        <v>0</v>
      </c>
      <c r="BE9" s="11">
        <v>0</v>
      </c>
      <c r="BF9" s="26">
        <f t="shared" si="3"/>
        <v>0</v>
      </c>
      <c r="BG9" s="11">
        <v>0</v>
      </c>
      <c r="BH9" s="11">
        <v>0</v>
      </c>
      <c r="BI9" s="11">
        <v>0</v>
      </c>
      <c r="BJ9" s="11">
        <v>0</v>
      </c>
      <c r="BK9" s="11">
        <v>0</v>
      </c>
      <c r="BL9" s="11">
        <v>0</v>
      </c>
      <c r="BM9" s="11">
        <v>0</v>
      </c>
      <c r="BN9" s="11">
        <v>0</v>
      </c>
      <c r="BO9" s="11">
        <v>0</v>
      </c>
      <c r="BP9" s="11">
        <v>0</v>
      </c>
      <c r="BQ9" s="11">
        <v>0</v>
      </c>
      <c r="BR9" s="11">
        <v>0</v>
      </c>
      <c r="BS9" s="26">
        <f t="shared" si="4"/>
        <v>0</v>
      </c>
      <c r="BT9" s="11">
        <v>0</v>
      </c>
      <c r="BU9" s="11">
        <v>0</v>
      </c>
      <c r="BV9" s="11">
        <v>0</v>
      </c>
      <c r="BW9" s="11">
        <v>0</v>
      </c>
      <c r="BX9" s="11">
        <v>0</v>
      </c>
      <c r="BY9" s="11">
        <v>0</v>
      </c>
      <c r="BZ9" s="11">
        <v>0</v>
      </c>
      <c r="CA9" s="11">
        <v>0</v>
      </c>
      <c r="CB9" s="11">
        <v>0</v>
      </c>
      <c r="CC9" s="11">
        <v>0</v>
      </c>
      <c r="CD9" s="11">
        <v>0</v>
      </c>
      <c r="CE9" s="11">
        <v>0</v>
      </c>
      <c r="CF9" s="26">
        <f t="shared" si="5"/>
        <v>0</v>
      </c>
      <c r="CG9" s="11">
        <v>0</v>
      </c>
      <c r="CH9" s="11">
        <v>0</v>
      </c>
      <c r="CI9" s="11">
        <v>0</v>
      </c>
      <c r="CJ9" s="11">
        <v>0</v>
      </c>
      <c r="CK9" s="11">
        <v>0</v>
      </c>
      <c r="CL9" s="11">
        <v>0</v>
      </c>
      <c r="CM9" s="11">
        <v>0</v>
      </c>
      <c r="CN9" s="11">
        <v>0</v>
      </c>
      <c r="CO9" s="11">
        <v>0</v>
      </c>
      <c r="CP9" s="11">
        <v>0</v>
      </c>
      <c r="CQ9" s="11">
        <v>0</v>
      </c>
      <c r="CR9" s="11">
        <v>0</v>
      </c>
      <c r="CS9" s="26">
        <f t="shared" si="6"/>
        <v>0</v>
      </c>
      <c r="CT9" s="11">
        <v>0</v>
      </c>
      <c r="CU9" s="11">
        <v>0</v>
      </c>
      <c r="CV9" s="11">
        <v>0</v>
      </c>
      <c r="CW9" s="11">
        <v>0</v>
      </c>
      <c r="CX9" s="11">
        <v>0</v>
      </c>
      <c r="CY9" s="11">
        <v>0</v>
      </c>
      <c r="CZ9" s="11">
        <v>0</v>
      </c>
      <c r="DA9" s="11">
        <v>0</v>
      </c>
      <c r="DB9" s="11">
        <v>0</v>
      </c>
      <c r="DC9" s="11">
        <v>0</v>
      </c>
      <c r="DD9" s="11">
        <v>0</v>
      </c>
      <c r="DE9" s="11">
        <v>0</v>
      </c>
      <c r="DF9" s="26">
        <f t="shared" si="7"/>
        <v>0</v>
      </c>
      <c r="DG9" s="11">
        <v>0</v>
      </c>
      <c r="DH9" s="11">
        <v>0</v>
      </c>
      <c r="DI9" s="11">
        <v>0</v>
      </c>
      <c r="DJ9" s="11">
        <v>0</v>
      </c>
      <c r="DK9" s="11">
        <v>0</v>
      </c>
      <c r="DL9" s="11">
        <v>0</v>
      </c>
      <c r="DM9" s="11">
        <v>0</v>
      </c>
      <c r="DN9" s="11">
        <v>0</v>
      </c>
      <c r="DO9" s="11">
        <v>0</v>
      </c>
      <c r="DP9" s="11">
        <v>0</v>
      </c>
      <c r="DQ9" s="11">
        <v>0</v>
      </c>
      <c r="DR9" s="11">
        <v>0</v>
      </c>
      <c r="DS9" s="26">
        <f t="shared" si="8"/>
        <v>0</v>
      </c>
      <c r="DT9" s="11">
        <v>0</v>
      </c>
      <c r="DU9" s="11">
        <v>0</v>
      </c>
      <c r="DV9" s="11">
        <v>0</v>
      </c>
      <c r="DW9" s="11">
        <v>0</v>
      </c>
      <c r="DX9" s="11">
        <v>0</v>
      </c>
      <c r="DY9" s="11">
        <v>0</v>
      </c>
      <c r="DZ9" s="11">
        <v>0</v>
      </c>
      <c r="EA9" s="11">
        <v>0</v>
      </c>
      <c r="EB9" s="11">
        <v>0</v>
      </c>
      <c r="EC9" s="11">
        <v>0</v>
      </c>
      <c r="ED9" s="11">
        <v>0</v>
      </c>
      <c r="EE9" s="11">
        <v>0</v>
      </c>
      <c r="EF9" s="26">
        <f t="shared" si="9"/>
        <v>0</v>
      </c>
      <c r="EG9" s="9">
        <f t="shared" si="10"/>
        <v>0</v>
      </c>
      <c r="EH9" s="9">
        <f t="shared" si="11"/>
        <v>0</v>
      </c>
      <c r="EI9" s="11">
        <v>2372</v>
      </c>
      <c r="EJ9" s="11">
        <v>2827</v>
      </c>
      <c r="EK9" s="11">
        <v>2748</v>
      </c>
      <c r="EL9" s="11">
        <v>2436</v>
      </c>
      <c r="EM9" s="11">
        <v>1892</v>
      </c>
      <c r="EN9" s="11">
        <v>2419</v>
      </c>
      <c r="EO9" s="11">
        <v>2622</v>
      </c>
      <c r="EP9" s="11">
        <v>3184</v>
      </c>
      <c r="EQ9" s="11">
        <v>1814</v>
      </c>
      <c r="ER9" s="11">
        <v>2148</v>
      </c>
      <c r="ES9" s="11">
        <v>2586</v>
      </c>
      <c r="ET9" s="11">
        <v>2719</v>
      </c>
      <c r="EU9" s="26">
        <f t="shared" si="12"/>
        <v>29767</v>
      </c>
      <c r="EV9" s="11">
        <v>1290</v>
      </c>
      <c r="EW9" s="11">
        <v>1540</v>
      </c>
      <c r="EX9" s="11">
        <v>1227</v>
      </c>
      <c r="EY9" s="11">
        <v>1257</v>
      </c>
      <c r="EZ9" s="11">
        <v>1087</v>
      </c>
      <c r="FA9" s="11">
        <v>1579</v>
      </c>
      <c r="FB9" s="11">
        <v>1316</v>
      </c>
      <c r="FC9" s="11">
        <v>1511</v>
      </c>
      <c r="FD9" s="11">
        <v>908</v>
      </c>
      <c r="FE9" s="11">
        <v>1131</v>
      </c>
      <c r="FF9" s="11">
        <v>1313</v>
      </c>
      <c r="FG9" s="11">
        <v>1407</v>
      </c>
      <c r="FH9" s="26">
        <f t="shared" si="13"/>
        <v>15566</v>
      </c>
      <c r="FI9" s="11">
        <v>1006</v>
      </c>
      <c r="FJ9" s="11">
        <v>1168</v>
      </c>
      <c r="FK9" s="11">
        <v>1422</v>
      </c>
      <c r="FL9" s="11">
        <v>1125</v>
      </c>
      <c r="FM9" s="11">
        <v>758</v>
      </c>
      <c r="FN9" s="11">
        <v>734</v>
      </c>
      <c r="FO9" s="11">
        <v>1185</v>
      </c>
      <c r="FP9" s="11">
        <v>1464</v>
      </c>
      <c r="FQ9" s="11">
        <v>762</v>
      </c>
      <c r="FR9" s="11">
        <v>954</v>
      </c>
      <c r="FS9" s="11">
        <v>1184</v>
      </c>
      <c r="FT9" s="11">
        <v>1277</v>
      </c>
      <c r="FU9" s="26">
        <f t="shared" si="14"/>
        <v>13039</v>
      </c>
      <c r="FV9" s="11">
        <v>76</v>
      </c>
      <c r="FW9" s="11">
        <v>119</v>
      </c>
      <c r="FX9" s="11">
        <v>99</v>
      </c>
      <c r="FY9" s="11">
        <v>54</v>
      </c>
      <c r="FZ9" s="11">
        <v>47</v>
      </c>
      <c r="GA9" s="11">
        <v>106</v>
      </c>
      <c r="GB9" s="11">
        <v>121</v>
      </c>
      <c r="GC9" s="11">
        <v>209</v>
      </c>
      <c r="GD9" s="11">
        <v>144</v>
      </c>
      <c r="GE9" s="11">
        <v>63</v>
      </c>
      <c r="GF9" s="11">
        <v>89</v>
      </c>
      <c r="GG9" s="11">
        <v>35</v>
      </c>
      <c r="GH9" s="26">
        <f t="shared" si="15"/>
        <v>1162</v>
      </c>
      <c r="GI9" s="11">
        <v>0</v>
      </c>
      <c r="GJ9" s="11">
        <v>0</v>
      </c>
      <c r="GK9" s="11">
        <v>0</v>
      </c>
      <c r="GL9" s="11">
        <v>0</v>
      </c>
      <c r="GM9" s="11">
        <v>0</v>
      </c>
      <c r="GN9" s="11">
        <v>0</v>
      </c>
      <c r="GO9" s="11">
        <v>0</v>
      </c>
      <c r="GP9" s="11">
        <v>0</v>
      </c>
      <c r="GQ9" s="11">
        <v>0</v>
      </c>
      <c r="GR9" s="11">
        <v>0</v>
      </c>
      <c r="GS9" s="11">
        <v>0</v>
      </c>
      <c r="GT9" s="11">
        <v>0</v>
      </c>
      <c r="GU9" s="26">
        <f t="shared" si="16"/>
        <v>0</v>
      </c>
      <c r="GV9" s="11">
        <v>0</v>
      </c>
      <c r="GW9" s="11">
        <v>0</v>
      </c>
      <c r="GX9" s="11">
        <v>0</v>
      </c>
      <c r="GY9" s="11">
        <v>0</v>
      </c>
      <c r="GZ9" s="11">
        <v>0</v>
      </c>
      <c r="HA9" s="11">
        <v>0</v>
      </c>
      <c r="HB9" s="11">
        <v>0</v>
      </c>
      <c r="HC9" s="11">
        <v>0</v>
      </c>
      <c r="HD9" s="11">
        <v>0</v>
      </c>
      <c r="HE9" s="11">
        <v>0</v>
      </c>
      <c r="HF9" s="11">
        <v>0</v>
      </c>
      <c r="HG9" s="11">
        <v>0</v>
      </c>
      <c r="HH9" s="26">
        <f t="shared" si="17"/>
        <v>0</v>
      </c>
      <c r="HI9" s="11">
        <v>0</v>
      </c>
      <c r="HJ9" s="11">
        <v>0</v>
      </c>
      <c r="HK9" s="11">
        <v>0</v>
      </c>
      <c r="HL9" s="11">
        <v>0</v>
      </c>
      <c r="HM9" s="11">
        <v>0</v>
      </c>
      <c r="HN9" s="11">
        <v>0</v>
      </c>
      <c r="HO9" s="11">
        <v>0</v>
      </c>
      <c r="HP9" s="11">
        <v>0</v>
      </c>
      <c r="HQ9" s="11">
        <v>0</v>
      </c>
      <c r="HR9" s="11">
        <v>0</v>
      </c>
      <c r="HS9" s="11">
        <v>0</v>
      </c>
      <c r="HT9" s="11">
        <v>0</v>
      </c>
      <c r="HU9" s="26">
        <f t="shared" si="18"/>
        <v>0</v>
      </c>
      <c r="HV9" s="11">
        <v>0</v>
      </c>
      <c r="HW9" s="11">
        <v>0</v>
      </c>
      <c r="HX9" s="11">
        <v>0</v>
      </c>
      <c r="HY9" s="11">
        <v>0</v>
      </c>
      <c r="HZ9" s="11">
        <v>0</v>
      </c>
      <c r="IA9" s="11">
        <v>0</v>
      </c>
      <c r="IB9" s="11">
        <v>0</v>
      </c>
      <c r="IC9" s="11">
        <v>0</v>
      </c>
      <c r="ID9" s="11">
        <v>0</v>
      </c>
      <c r="IE9" s="11">
        <v>0</v>
      </c>
      <c r="IF9" s="11">
        <v>0</v>
      </c>
      <c r="IG9" s="11">
        <v>0</v>
      </c>
      <c r="IH9" s="26">
        <f t="shared" si="19"/>
        <v>0</v>
      </c>
      <c r="II9" s="9">
        <f t="shared" si="20"/>
        <v>29767</v>
      </c>
      <c r="IJ9" s="9">
        <f t="shared" si="21"/>
        <v>0</v>
      </c>
      <c r="IK9" s="11">
        <v>11434</v>
      </c>
      <c r="IL9" s="11">
        <v>11348</v>
      </c>
      <c r="IM9" s="11">
        <v>11064</v>
      </c>
      <c r="IN9" s="11">
        <v>12924</v>
      </c>
      <c r="IO9" s="11">
        <v>13985</v>
      </c>
      <c r="IP9" s="11">
        <v>12061</v>
      </c>
      <c r="IQ9" s="11">
        <v>12383</v>
      </c>
      <c r="IR9" s="11">
        <v>11495</v>
      </c>
      <c r="IS9" s="11">
        <v>8278</v>
      </c>
      <c r="IT9" s="11">
        <v>11084</v>
      </c>
      <c r="IU9" s="11">
        <v>10311</v>
      </c>
      <c r="IV9" s="11">
        <v>11490</v>
      </c>
      <c r="IW9" s="27">
        <f t="shared" si="22"/>
        <v>137857</v>
      </c>
      <c r="IX9" s="11">
        <v>7488</v>
      </c>
      <c r="IY9" s="11">
        <v>7620</v>
      </c>
      <c r="IZ9" s="11">
        <v>7174</v>
      </c>
      <c r="JA9" s="11">
        <v>7996</v>
      </c>
      <c r="JB9" s="11">
        <v>8285</v>
      </c>
      <c r="JC9" s="11">
        <v>7492</v>
      </c>
      <c r="JD9" s="11">
        <v>7545</v>
      </c>
      <c r="JE9" s="11">
        <v>6999</v>
      </c>
      <c r="JF9" s="11">
        <v>5332</v>
      </c>
      <c r="JG9" s="11">
        <v>7115</v>
      </c>
      <c r="JH9" s="11">
        <v>6369</v>
      </c>
      <c r="JI9" s="11">
        <v>7001</v>
      </c>
      <c r="JJ9" s="27">
        <f t="shared" si="23"/>
        <v>86416</v>
      </c>
      <c r="JK9" s="11">
        <v>3813</v>
      </c>
      <c r="JL9" s="11">
        <v>3612</v>
      </c>
      <c r="JM9" s="11">
        <v>3759</v>
      </c>
      <c r="JN9" s="11">
        <v>4750</v>
      </c>
      <c r="JO9" s="11">
        <v>5526</v>
      </c>
      <c r="JP9" s="11">
        <v>4406</v>
      </c>
      <c r="JQ9" s="11">
        <v>4680</v>
      </c>
      <c r="JR9" s="11">
        <v>4354</v>
      </c>
      <c r="JS9" s="11">
        <v>2824</v>
      </c>
      <c r="JT9" s="11">
        <v>3810</v>
      </c>
      <c r="JU9" s="11">
        <v>3776</v>
      </c>
      <c r="JV9" s="11">
        <v>4323</v>
      </c>
      <c r="JW9" s="27">
        <f t="shared" si="24"/>
        <v>49633</v>
      </c>
      <c r="JX9" s="11">
        <v>133</v>
      </c>
      <c r="JY9" s="11">
        <v>116</v>
      </c>
      <c r="JZ9" s="11">
        <v>131</v>
      </c>
      <c r="KA9" s="11">
        <v>178</v>
      </c>
      <c r="KB9" s="11">
        <v>174</v>
      </c>
      <c r="KC9" s="11">
        <v>163</v>
      </c>
      <c r="KD9" s="11">
        <v>158</v>
      </c>
      <c r="KE9" s="11">
        <v>142</v>
      </c>
      <c r="KF9" s="11">
        <v>122</v>
      </c>
      <c r="KG9" s="11">
        <v>159</v>
      </c>
      <c r="KH9" s="11">
        <v>166</v>
      </c>
      <c r="KI9" s="11">
        <v>166</v>
      </c>
      <c r="KJ9" s="27">
        <f t="shared" si="25"/>
        <v>1808</v>
      </c>
      <c r="KK9" s="11">
        <v>224</v>
      </c>
      <c r="KL9" s="11">
        <v>202</v>
      </c>
      <c r="KM9" s="11">
        <v>225</v>
      </c>
      <c r="KN9" s="11">
        <v>267</v>
      </c>
      <c r="KO9" s="11">
        <v>247</v>
      </c>
      <c r="KP9" s="11">
        <v>200</v>
      </c>
      <c r="KQ9" s="11">
        <v>309</v>
      </c>
      <c r="KR9" s="11">
        <v>205</v>
      </c>
      <c r="KS9" s="11">
        <v>206</v>
      </c>
      <c r="KT9" s="11">
        <v>237</v>
      </c>
      <c r="KU9" s="11">
        <v>207</v>
      </c>
      <c r="KV9" s="11">
        <v>178</v>
      </c>
      <c r="KW9" s="27">
        <f t="shared" si="26"/>
        <v>2707</v>
      </c>
      <c r="KX9" s="11">
        <v>0</v>
      </c>
      <c r="KY9" s="11">
        <v>0</v>
      </c>
      <c r="KZ9" s="11">
        <v>0</v>
      </c>
      <c r="LA9" s="11">
        <v>0</v>
      </c>
      <c r="LB9" s="11">
        <v>0</v>
      </c>
      <c r="LC9" s="11">
        <v>0</v>
      </c>
      <c r="LD9" s="11">
        <v>0</v>
      </c>
      <c r="LE9" s="11">
        <v>0</v>
      </c>
      <c r="LF9" s="11">
        <v>0</v>
      </c>
      <c r="LG9" s="11">
        <v>0</v>
      </c>
      <c r="LH9" s="11">
        <v>0</v>
      </c>
      <c r="LI9" s="11">
        <v>0</v>
      </c>
      <c r="LJ9" s="27">
        <f t="shared" si="27"/>
        <v>0</v>
      </c>
      <c r="LK9" s="11">
        <v>0</v>
      </c>
      <c r="LL9" s="11">
        <v>0</v>
      </c>
      <c r="LM9" s="11">
        <v>0</v>
      </c>
      <c r="LN9" s="11">
        <v>0</v>
      </c>
      <c r="LO9" s="11">
        <v>0</v>
      </c>
      <c r="LP9" s="11">
        <v>0</v>
      </c>
      <c r="LQ9" s="11">
        <v>0</v>
      </c>
      <c r="LR9" s="11">
        <v>0</v>
      </c>
      <c r="LS9" s="11">
        <v>0</v>
      </c>
      <c r="LT9" s="11">
        <v>0</v>
      </c>
      <c r="LU9" s="11">
        <v>0</v>
      </c>
      <c r="LV9" s="11">
        <v>0</v>
      </c>
      <c r="LW9" s="27">
        <f t="shared" si="28"/>
        <v>0</v>
      </c>
      <c r="LX9" s="11">
        <v>0</v>
      </c>
      <c r="LY9" s="11">
        <v>0</v>
      </c>
      <c r="LZ9" s="11">
        <v>0</v>
      </c>
      <c r="MA9" s="11">
        <v>0</v>
      </c>
      <c r="MB9" s="11">
        <v>0</v>
      </c>
      <c r="MC9" s="11">
        <v>0</v>
      </c>
      <c r="MD9" s="11">
        <v>0</v>
      </c>
      <c r="ME9" s="11">
        <v>0</v>
      </c>
      <c r="MF9" s="11">
        <v>0</v>
      </c>
      <c r="MG9" s="11">
        <v>0</v>
      </c>
      <c r="MH9" s="11">
        <v>0</v>
      </c>
      <c r="MI9" s="11">
        <v>0</v>
      </c>
      <c r="MJ9" s="27">
        <f t="shared" si="29"/>
        <v>0</v>
      </c>
      <c r="MK9" s="11">
        <v>650</v>
      </c>
      <c r="ML9" s="11">
        <v>754</v>
      </c>
      <c r="MM9" s="11">
        <v>712</v>
      </c>
      <c r="MN9" s="11">
        <v>746</v>
      </c>
      <c r="MO9" s="11">
        <v>848</v>
      </c>
      <c r="MP9" s="11">
        <v>745</v>
      </c>
      <c r="MQ9" s="11">
        <v>747</v>
      </c>
      <c r="MR9" s="11">
        <v>778</v>
      </c>
      <c r="MS9" s="11">
        <v>789</v>
      </c>
      <c r="MT9" s="11">
        <v>851</v>
      </c>
      <c r="MU9" s="11">
        <v>789</v>
      </c>
      <c r="MV9" s="11">
        <v>687</v>
      </c>
      <c r="MW9" s="27">
        <f t="shared" si="30"/>
        <v>9096</v>
      </c>
      <c r="MX9" s="11">
        <v>594</v>
      </c>
      <c r="MY9" s="11">
        <v>694</v>
      </c>
      <c r="MZ9" s="11">
        <v>640</v>
      </c>
      <c r="NA9" s="11">
        <v>690</v>
      </c>
      <c r="NB9" s="11">
        <v>739</v>
      </c>
      <c r="NC9" s="11">
        <v>663</v>
      </c>
      <c r="ND9" s="11">
        <v>668</v>
      </c>
      <c r="NE9" s="11">
        <v>729</v>
      </c>
      <c r="NF9" s="11">
        <v>741</v>
      </c>
      <c r="NG9" s="11">
        <v>803</v>
      </c>
      <c r="NH9" s="11">
        <v>719</v>
      </c>
      <c r="NI9" s="11">
        <v>620</v>
      </c>
      <c r="NJ9" s="27">
        <f t="shared" si="31"/>
        <v>8300</v>
      </c>
      <c r="NK9" s="11">
        <v>20</v>
      </c>
      <c r="NL9" s="11">
        <v>22</v>
      </c>
      <c r="NM9" s="11">
        <v>26</v>
      </c>
      <c r="NN9" s="11">
        <v>16</v>
      </c>
      <c r="NO9" s="11">
        <v>43</v>
      </c>
      <c r="NP9" s="11">
        <v>40</v>
      </c>
      <c r="NQ9" s="11">
        <v>27</v>
      </c>
      <c r="NR9" s="11">
        <v>16</v>
      </c>
      <c r="NS9" s="11">
        <v>14</v>
      </c>
      <c r="NT9" s="11">
        <v>17</v>
      </c>
      <c r="NU9" s="11">
        <v>24</v>
      </c>
      <c r="NV9" s="11">
        <v>18</v>
      </c>
      <c r="NW9" s="27">
        <f t="shared" si="32"/>
        <v>283</v>
      </c>
      <c r="NX9" s="11">
        <v>36</v>
      </c>
      <c r="NY9" s="11">
        <v>38</v>
      </c>
      <c r="NZ9" s="11">
        <v>46</v>
      </c>
      <c r="OA9" s="11">
        <v>40</v>
      </c>
      <c r="OB9" s="11">
        <v>66</v>
      </c>
      <c r="OC9" s="11">
        <v>42</v>
      </c>
      <c r="OD9" s="11">
        <v>52</v>
      </c>
      <c r="OE9" s="11">
        <v>33</v>
      </c>
      <c r="OF9" s="11">
        <v>34</v>
      </c>
      <c r="OG9" s="11">
        <v>31</v>
      </c>
      <c r="OH9" s="11">
        <v>46</v>
      </c>
      <c r="OI9" s="11">
        <v>49</v>
      </c>
      <c r="OJ9" s="27">
        <f t="shared" si="33"/>
        <v>513</v>
      </c>
      <c r="OK9" s="11">
        <v>328</v>
      </c>
      <c r="OL9" s="11">
        <v>310</v>
      </c>
      <c r="OM9" s="11">
        <v>384</v>
      </c>
      <c r="ON9" s="11">
        <v>344</v>
      </c>
      <c r="OO9" s="11">
        <v>424</v>
      </c>
      <c r="OP9" s="11">
        <v>362</v>
      </c>
      <c r="OQ9" s="11">
        <v>493</v>
      </c>
      <c r="OR9" s="11">
        <v>415</v>
      </c>
      <c r="OS9" s="11">
        <v>460</v>
      </c>
      <c r="OT9" s="11">
        <v>521</v>
      </c>
      <c r="OU9" s="11">
        <v>463</v>
      </c>
      <c r="OV9" s="11">
        <v>440</v>
      </c>
      <c r="OW9" s="27">
        <f t="shared" si="34"/>
        <v>4944</v>
      </c>
      <c r="OX9" s="11">
        <v>271</v>
      </c>
      <c r="OY9" s="11">
        <v>252</v>
      </c>
      <c r="OZ9" s="11">
        <v>304</v>
      </c>
      <c r="PA9" s="11">
        <v>293</v>
      </c>
      <c r="PB9" s="11">
        <v>344</v>
      </c>
      <c r="PC9" s="11">
        <v>322</v>
      </c>
      <c r="PD9" s="11">
        <v>419</v>
      </c>
      <c r="PE9" s="11">
        <v>368</v>
      </c>
      <c r="PF9" s="11">
        <v>402</v>
      </c>
      <c r="PG9" s="11">
        <v>447</v>
      </c>
      <c r="PH9" s="11">
        <v>398</v>
      </c>
      <c r="PI9" s="11">
        <v>380</v>
      </c>
      <c r="PJ9" s="27">
        <f t="shared" si="35"/>
        <v>4200</v>
      </c>
      <c r="PK9" s="11">
        <v>38</v>
      </c>
      <c r="PL9" s="11">
        <v>42</v>
      </c>
      <c r="PM9" s="11">
        <v>47</v>
      </c>
      <c r="PN9" s="11">
        <v>27</v>
      </c>
      <c r="PO9" s="11">
        <v>47</v>
      </c>
      <c r="PP9" s="11">
        <v>18</v>
      </c>
      <c r="PQ9" s="11">
        <v>44</v>
      </c>
      <c r="PR9" s="11">
        <v>25</v>
      </c>
      <c r="PS9" s="11">
        <v>35</v>
      </c>
      <c r="PT9" s="11">
        <v>39</v>
      </c>
      <c r="PU9" s="11">
        <v>36</v>
      </c>
      <c r="PV9" s="11">
        <v>26</v>
      </c>
      <c r="PW9" s="27">
        <f t="shared" si="36"/>
        <v>424</v>
      </c>
      <c r="PX9" s="11">
        <v>19</v>
      </c>
      <c r="PY9" s="11">
        <v>16</v>
      </c>
      <c r="PZ9" s="11">
        <v>33</v>
      </c>
      <c r="QA9" s="11">
        <v>24</v>
      </c>
      <c r="QB9" s="11">
        <v>33</v>
      </c>
      <c r="QC9" s="11">
        <v>22</v>
      </c>
      <c r="QD9" s="11">
        <v>30</v>
      </c>
      <c r="QE9" s="11">
        <v>22</v>
      </c>
      <c r="QF9" s="11">
        <v>23</v>
      </c>
      <c r="QG9" s="11">
        <v>35</v>
      </c>
      <c r="QH9" s="11">
        <v>29</v>
      </c>
      <c r="QI9" s="11">
        <v>34</v>
      </c>
      <c r="QJ9" s="27">
        <f t="shared" si="37"/>
        <v>320</v>
      </c>
      <c r="QK9" s="11">
        <v>14652</v>
      </c>
      <c r="QL9" s="11">
        <v>14533</v>
      </c>
      <c r="QM9" s="11">
        <v>14517</v>
      </c>
      <c r="QN9" s="11">
        <v>15894</v>
      </c>
      <c r="QO9" s="11">
        <v>15751</v>
      </c>
      <c r="QP9" s="11">
        <v>15646</v>
      </c>
      <c r="QQ9" s="11">
        <v>16552</v>
      </c>
      <c r="QR9" s="11">
        <v>17147</v>
      </c>
      <c r="QS9" s="11">
        <v>12484</v>
      </c>
      <c r="QT9" s="11">
        <v>15392</v>
      </c>
      <c r="QU9" s="11">
        <v>14551</v>
      </c>
      <c r="QV9" s="11">
        <v>15400</v>
      </c>
      <c r="QW9" s="27">
        <f t="shared" si="38"/>
        <v>182519</v>
      </c>
      <c r="QX9" s="11">
        <v>16506</v>
      </c>
      <c r="QY9" s="11">
        <v>15518</v>
      </c>
      <c r="QZ9" s="11">
        <v>16700</v>
      </c>
      <c r="RA9" s="11">
        <v>18628</v>
      </c>
      <c r="RB9" s="11">
        <v>14945</v>
      </c>
      <c r="RC9" s="11">
        <v>17904</v>
      </c>
      <c r="RD9" s="11">
        <v>17881</v>
      </c>
      <c r="RE9" s="11">
        <v>17685</v>
      </c>
      <c r="RF9" s="11">
        <v>14989</v>
      </c>
      <c r="RG9" s="11">
        <v>17602</v>
      </c>
      <c r="RH9" s="11">
        <v>16356</v>
      </c>
      <c r="RI9" s="11">
        <v>17684</v>
      </c>
      <c r="RJ9" s="27">
        <f t="shared" si="39"/>
        <v>202398</v>
      </c>
      <c r="RK9" s="11">
        <v>0</v>
      </c>
      <c r="RL9" s="11">
        <v>0</v>
      </c>
      <c r="RM9" s="11">
        <v>0</v>
      </c>
      <c r="RN9" s="11">
        <v>0</v>
      </c>
      <c r="RO9" s="11">
        <v>0</v>
      </c>
      <c r="RP9" s="11">
        <v>0</v>
      </c>
      <c r="RQ9" s="11">
        <v>0</v>
      </c>
      <c r="RR9" s="11">
        <v>0</v>
      </c>
      <c r="RS9" s="11">
        <v>0</v>
      </c>
      <c r="RT9" s="11">
        <v>0</v>
      </c>
      <c r="RU9" s="11">
        <v>0</v>
      </c>
      <c r="RV9" s="11">
        <v>0</v>
      </c>
      <c r="RW9" s="27">
        <f t="shared" si="40"/>
        <v>0</v>
      </c>
      <c r="RX9" s="11">
        <v>0</v>
      </c>
      <c r="RY9" s="11">
        <v>0</v>
      </c>
      <c r="RZ9" s="11">
        <v>0</v>
      </c>
      <c r="SA9" s="11">
        <v>0</v>
      </c>
      <c r="SB9" s="11">
        <v>0</v>
      </c>
      <c r="SC9" s="11">
        <v>0</v>
      </c>
      <c r="SD9" s="11">
        <v>0</v>
      </c>
      <c r="SE9" s="11">
        <v>0</v>
      </c>
      <c r="SF9" s="11">
        <v>0</v>
      </c>
      <c r="SG9" s="11">
        <v>0</v>
      </c>
      <c r="SH9" s="11">
        <v>0</v>
      </c>
      <c r="SI9" s="11">
        <v>0</v>
      </c>
      <c r="SJ9" s="27">
        <f t="shared" si="41"/>
        <v>0</v>
      </c>
      <c r="SK9" s="11">
        <v>48</v>
      </c>
      <c r="SL9" s="11">
        <v>4</v>
      </c>
      <c r="SM9" s="11">
        <v>44</v>
      </c>
      <c r="SN9" s="11">
        <v>34</v>
      </c>
      <c r="SO9" s="11">
        <v>49</v>
      </c>
      <c r="SP9" s="11">
        <v>47</v>
      </c>
      <c r="SQ9" s="11">
        <v>41</v>
      </c>
      <c r="SR9" s="11">
        <v>44</v>
      </c>
      <c r="SS9" s="11">
        <v>41</v>
      </c>
      <c r="ST9" s="11">
        <v>41</v>
      </c>
      <c r="SU9" s="11">
        <v>41</v>
      </c>
      <c r="SV9" s="11">
        <v>41</v>
      </c>
      <c r="SW9" s="27">
        <f t="shared" si="42"/>
        <v>475</v>
      </c>
      <c r="SX9" s="11" t="s">
        <v>2646</v>
      </c>
      <c r="SY9" s="11">
        <v>2419</v>
      </c>
      <c r="SZ9" s="11">
        <v>2619</v>
      </c>
      <c r="TA9" s="11">
        <v>2357</v>
      </c>
      <c r="TB9" s="11">
        <v>2531</v>
      </c>
      <c r="TC9" s="11">
        <v>2296</v>
      </c>
      <c r="TD9" s="11">
        <v>2519</v>
      </c>
      <c r="TE9" s="11">
        <v>2380</v>
      </c>
      <c r="TF9" s="11">
        <v>1792</v>
      </c>
      <c r="TG9" s="11">
        <v>2365</v>
      </c>
      <c r="TH9" s="11">
        <v>2319</v>
      </c>
      <c r="TI9" s="11">
        <v>2359</v>
      </c>
      <c r="TJ9" s="11">
        <v>0</v>
      </c>
      <c r="TK9" s="27">
        <f t="shared" si="43"/>
        <v>25956</v>
      </c>
      <c r="TL9" s="11">
        <v>0</v>
      </c>
      <c r="TM9" s="11">
        <v>0</v>
      </c>
      <c r="TN9" s="11">
        <v>0</v>
      </c>
      <c r="TO9" s="11">
        <v>0</v>
      </c>
      <c r="TP9" s="11">
        <v>0</v>
      </c>
      <c r="TQ9" s="11">
        <v>0</v>
      </c>
      <c r="TR9" s="11">
        <v>0</v>
      </c>
      <c r="TS9" s="11">
        <v>0</v>
      </c>
      <c r="TT9" s="11">
        <v>0</v>
      </c>
      <c r="TU9" s="11">
        <v>0</v>
      </c>
      <c r="TV9" s="11">
        <v>0</v>
      </c>
      <c r="TW9" s="11">
        <v>0</v>
      </c>
      <c r="TX9" s="27">
        <f t="shared" si="44"/>
        <v>0</v>
      </c>
      <c r="TY9" s="11">
        <v>80</v>
      </c>
      <c r="TZ9" s="11">
        <v>83</v>
      </c>
      <c r="UA9" s="11">
        <v>7</v>
      </c>
    </row>
    <row r="10" spans="1:547" ht="16" customHeight="1" x14ac:dyDescent="0.35">
      <c r="A10" s="11" t="s">
        <v>1399</v>
      </c>
      <c r="B10" s="11">
        <v>17669</v>
      </c>
      <c r="C10" s="11"/>
      <c r="D10" s="11"/>
      <c r="E10" s="11"/>
      <c r="F10" s="11">
        <v>0</v>
      </c>
      <c r="G10" s="11">
        <v>0</v>
      </c>
      <c r="H10" s="11">
        <v>0</v>
      </c>
      <c r="I10" s="11">
        <v>0</v>
      </c>
      <c r="J10" s="11">
        <v>0</v>
      </c>
      <c r="K10" s="11">
        <v>0</v>
      </c>
      <c r="L10" s="11">
        <v>0</v>
      </c>
      <c r="M10" s="11">
        <v>0</v>
      </c>
      <c r="N10" s="11">
        <v>0</v>
      </c>
      <c r="O10" s="11">
        <v>0</v>
      </c>
      <c r="P10" s="11" t="s">
        <v>2865</v>
      </c>
      <c r="Q10" s="11">
        <v>0</v>
      </c>
      <c r="R10" s="11">
        <v>0</v>
      </c>
      <c r="S10" s="26">
        <f t="shared" si="0"/>
        <v>0</v>
      </c>
      <c r="T10" s="11">
        <v>255</v>
      </c>
      <c r="U10" s="11">
        <v>238</v>
      </c>
      <c r="V10" s="11">
        <v>256</v>
      </c>
      <c r="W10" s="11">
        <v>248</v>
      </c>
      <c r="X10" s="11">
        <v>237</v>
      </c>
      <c r="Y10" s="11">
        <v>248</v>
      </c>
      <c r="Z10" s="11">
        <v>287</v>
      </c>
      <c r="AA10" s="11">
        <v>259</v>
      </c>
      <c r="AB10" s="11">
        <v>204</v>
      </c>
      <c r="AC10" s="11">
        <v>265</v>
      </c>
      <c r="AD10" s="11">
        <v>263</v>
      </c>
      <c r="AE10" s="11">
        <v>282</v>
      </c>
      <c r="AF10" s="26">
        <f t="shared" si="1"/>
        <v>3042</v>
      </c>
      <c r="AG10" s="11">
        <v>146</v>
      </c>
      <c r="AH10" s="11">
        <v>142</v>
      </c>
      <c r="AI10" s="11">
        <v>159</v>
      </c>
      <c r="AJ10" s="11">
        <v>168</v>
      </c>
      <c r="AK10" s="11">
        <v>189</v>
      </c>
      <c r="AL10" s="11">
        <v>127</v>
      </c>
      <c r="AM10" s="11">
        <v>150</v>
      </c>
      <c r="AN10" s="11">
        <v>154</v>
      </c>
      <c r="AO10" s="11">
        <v>142</v>
      </c>
      <c r="AP10" s="11">
        <v>189</v>
      </c>
      <c r="AQ10" s="11">
        <v>157</v>
      </c>
      <c r="AR10" s="11">
        <v>185</v>
      </c>
      <c r="AS10" s="26">
        <f t="shared" si="2"/>
        <v>1908</v>
      </c>
      <c r="AT10" s="11">
        <v>0</v>
      </c>
      <c r="AU10" s="11">
        <v>0</v>
      </c>
      <c r="AV10" s="11">
        <v>0</v>
      </c>
      <c r="AW10" s="11">
        <v>0</v>
      </c>
      <c r="AX10" s="11">
        <v>0</v>
      </c>
      <c r="AY10" s="11">
        <v>0</v>
      </c>
      <c r="AZ10" s="11">
        <v>0</v>
      </c>
      <c r="BA10" s="11">
        <v>0</v>
      </c>
      <c r="BB10" s="11">
        <v>0</v>
      </c>
      <c r="BC10" s="11">
        <v>0</v>
      </c>
      <c r="BD10" s="11">
        <v>0</v>
      </c>
      <c r="BE10" s="11">
        <v>0</v>
      </c>
      <c r="BF10" s="26">
        <f t="shared" si="3"/>
        <v>0</v>
      </c>
      <c r="BG10" s="11">
        <v>0</v>
      </c>
      <c r="BH10" s="11">
        <v>0</v>
      </c>
      <c r="BI10" s="11">
        <v>0</v>
      </c>
      <c r="BJ10" s="11">
        <v>0</v>
      </c>
      <c r="BK10" s="11">
        <v>0</v>
      </c>
      <c r="BL10" s="11">
        <v>0</v>
      </c>
      <c r="BM10" s="11">
        <v>0</v>
      </c>
      <c r="BN10" s="11">
        <v>0</v>
      </c>
      <c r="BO10" s="11">
        <v>0</v>
      </c>
      <c r="BP10" s="11">
        <v>0</v>
      </c>
      <c r="BQ10" s="11">
        <v>0</v>
      </c>
      <c r="BR10" s="11">
        <v>0</v>
      </c>
      <c r="BS10" s="26">
        <f t="shared" si="4"/>
        <v>0</v>
      </c>
      <c r="BT10" s="11">
        <v>0</v>
      </c>
      <c r="BU10" s="11">
        <v>0</v>
      </c>
      <c r="BV10" s="11">
        <v>0</v>
      </c>
      <c r="BW10" s="11">
        <v>0</v>
      </c>
      <c r="BX10" s="11">
        <v>0</v>
      </c>
      <c r="BY10" s="11">
        <v>0</v>
      </c>
      <c r="BZ10" s="11">
        <v>0</v>
      </c>
      <c r="CA10" s="11">
        <v>0</v>
      </c>
      <c r="CB10" s="11">
        <v>0</v>
      </c>
      <c r="CC10" s="11">
        <v>0</v>
      </c>
      <c r="CD10" s="11">
        <v>0</v>
      </c>
      <c r="CE10" s="11">
        <v>0</v>
      </c>
      <c r="CF10" s="26">
        <f t="shared" si="5"/>
        <v>0</v>
      </c>
      <c r="CG10" s="11">
        <v>0</v>
      </c>
      <c r="CH10" s="11">
        <v>0</v>
      </c>
      <c r="CI10" s="11">
        <v>0</v>
      </c>
      <c r="CJ10" s="11">
        <v>0</v>
      </c>
      <c r="CK10" s="11">
        <v>0</v>
      </c>
      <c r="CL10" s="11">
        <v>0</v>
      </c>
      <c r="CM10" s="11">
        <v>0</v>
      </c>
      <c r="CN10" s="11">
        <v>0</v>
      </c>
      <c r="CO10" s="11">
        <v>0</v>
      </c>
      <c r="CP10" s="11">
        <v>0</v>
      </c>
      <c r="CQ10" s="11">
        <v>0</v>
      </c>
      <c r="CR10" s="11">
        <v>0</v>
      </c>
      <c r="CS10" s="26">
        <f t="shared" si="6"/>
        <v>0</v>
      </c>
      <c r="CT10" s="11">
        <v>0</v>
      </c>
      <c r="CU10" s="11">
        <v>0</v>
      </c>
      <c r="CV10" s="11">
        <v>0</v>
      </c>
      <c r="CW10" s="11">
        <v>0</v>
      </c>
      <c r="CX10" s="11">
        <v>0</v>
      </c>
      <c r="CY10" s="11">
        <v>0</v>
      </c>
      <c r="CZ10" s="11">
        <v>0</v>
      </c>
      <c r="DA10" s="11">
        <v>0</v>
      </c>
      <c r="DB10" s="11">
        <v>0</v>
      </c>
      <c r="DC10" s="11">
        <v>0</v>
      </c>
      <c r="DD10" s="11">
        <v>0</v>
      </c>
      <c r="DE10" s="11">
        <v>0</v>
      </c>
      <c r="DF10" s="26">
        <f t="shared" si="7"/>
        <v>0</v>
      </c>
      <c r="DG10" s="11">
        <v>0</v>
      </c>
      <c r="DH10" s="11">
        <v>0</v>
      </c>
      <c r="DI10" s="11">
        <v>0</v>
      </c>
      <c r="DJ10" s="11">
        <v>0</v>
      </c>
      <c r="DK10" s="11">
        <v>0</v>
      </c>
      <c r="DL10" s="11">
        <v>0</v>
      </c>
      <c r="DM10" s="11">
        <v>0</v>
      </c>
      <c r="DN10" s="11">
        <v>0</v>
      </c>
      <c r="DO10" s="11">
        <v>0</v>
      </c>
      <c r="DP10" s="11">
        <v>0</v>
      </c>
      <c r="DQ10" s="11">
        <v>0</v>
      </c>
      <c r="DR10" s="11">
        <v>0</v>
      </c>
      <c r="DS10" s="26">
        <f t="shared" si="8"/>
        <v>0</v>
      </c>
      <c r="DT10" s="11">
        <v>0</v>
      </c>
      <c r="DU10" s="11">
        <v>0</v>
      </c>
      <c r="DV10" s="11">
        <v>0</v>
      </c>
      <c r="DW10" s="11">
        <v>0</v>
      </c>
      <c r="DX10" s="11">
        <v>0</v>
      </c>
      <c r="DY10" s="11">
        <v>0</v>
      </c>
      <c r="DZ10" s="11">
        <v>0</v>
      </c>
      <c r="EA10" s="11">
        <v>0</v>
      </c>
      <c r="EB10" s="11">
        <v>0</v>
      </c>
      <c r="EC10" s="11">
        <v>0</v>
      </c>
      <c r="ED10" s="11">
        <v>0</v>
      </c>
      <c r="EE10" s="11">
        <v>0</v>
      </c>
      <c r="EF10" s="26">
        <f t="shared" si="9"/>
        <v>0</v>
      </c>
      <c r="EG10" s="9">
        <f t="shared" si="10"/>
        <v>4950</v>
      </c>
      <c r="EH10" s="9">
        <f t="shared" si="11"/>
        <v>0</v>
      </c>
      <c r="EI10" s="11">
        <v>0</v>
      </c>
      <c r="EJ10" s="11">
        <v>0</v>
      </c>
      <c r="EK10" s="11">
        <v>0</v>
      </c>
      <c r="EL10" s="11">
        <v>0</v>
      </c>
      <c r="EM10" s="11">
        <v>0</v>
      </c>
      <c r="EN10" s="11">
        <v>0</v>
      </c>
      <c r="EO10" s="11">
        <v>0</v>
      </c>
      <c r="EP10" s="11">
        <v>0</v>
      </c>
      <c r="EQ10" s="11">
        <v>0</v>
      </c>
      <c r="ER10" s="11">
        <v>0</v>
      </c>
      <c r="ES10" s="11">
        <v>0</v>
      </c>
      <c r="ET10" s="11">
        <v>0</v>
      </c>
      <c r="EU10" s="26">
        <f t="shared" si="12"/>
        <v>0</v>
      </c>
      <c r="EV10" s="11">
        <v>2087</v>
      </c>
      <c r="EW10" s="11">
        <v>1862</v>
      </c>
      <c r="EX10" s="11">
        <v>1893</v>
      </c>
      <c r="EY10" s="11">
        <v>1947</v>
      </c>
      <c r="EZ10" s="11">
        <v>1903</v>
      </c>
      <c r="FA10" s="11">
        <v>1974</v>
      </c>
      <c r="FB10" s="11">
        <v>2448</v>
      </c>
      <c r="FC10" s="11">
        <v>2145</v>
      </c>
      <c r="FD10" s="11">
        <v>1604</v>
      </c>
      <c r="FE10" s="11">
        <v>1987</v>
      </c>
      <c r="FF10" s="11">
        <v>2855</v>
      </c>
      <c r="FG10" s="11">
        <v>2364</v>
      </c>
      <c r="FH10" s="26">
        <f t="shared" si="13"/>
        <v>25069</v>
      </c>
      <c r="FI10" s="11">
        <v>3422</v>
      </c>
      <c r="FJ10" s="11">
        <v>3234</v>
      </c>
      <c r="FK10" s="11">
        <v>3631</v>
      </c>
      <c r="FL10" s="11">
        <v>3694</v>
      </c>
      <c r="FM10" s="11">
        <v>3777</v>
      </c>
      <c r="FN10" s="11">
        <v>2909</v>
      </c>
      <c r="FO10" s="11">
        <v>5034</v>
      </c>
      <c r="FP10" s="11">
        <v>3946</v>
      </c>
      <c r="FQ10" s="11">
        <v>2890</v>
      </c>
      <c r="FR10" s="11">
        <v>3342</v>
      </c>
      <c r="FS10" s="11">
        <v>3796</v>
      </c>
      <c r="FT10" s="11">
        <v>4419</v>
      </c>
      <c r="FU10" s="26">
        <f t="shared" si="14"/>
        <v>44094</v>
      </c>
      <c r="FV10" s="11">
        <v>0</v>
      </c>
      <c r="FW10" s="11">
        <v>0</v>
      </c>
      <c r="FX10" s="11">
        <v>0</v>
      </c>
      <c r="FY10" s="11">
        <v>0</v>
      </c>
      <c r="FZ10" s="11">
        <v>0</v>
      </c>
      <c r="GA10" s="11">
        <v>0</v>
      </c>
      <c r="GB10" s="11">
        <v>0</v>
      </c>
      <c r="GC10" s="11">
        <v>0</v>
      </c>
      <c r="GD10" s="11">
        <v>0</v>
      </c>
      <c r="GE10" s="11">
        <v>0</v>
      </c>
      <c r="GF10" s="11">
        <v>0</v>
      </c>
      <c r="GG10" s="11">
        <v>0</v>
      </c>
      <c r="GH10" s="26">
        <f t="shared" si="15"/>
        <v>0</v>
      </c>
      <c r="GI10" s="11">
        <v>0</v>
      </c>
      <c r="GJ10" s="11">
        <v>0</v>
      </c>
      <c r="GK10" s="11">
        <v>0</v>
      </c>
      <c r="GL10" s="11">
        <v>0</v>
      </c>
      <c r="GM10" s="11">
        <v>0</v>
      </c>
      <c r="GN10" s="11">
        <v>0</v>
      </c>
      <c r="GO10" s="11">
        <v>0</v>
      </c>
      <c r="GP10" s="11">
        <v>0</v>
      </c>
      <c r="GQ10" s="11">
        <v>0</v>
      </c>
      <c r="GR10" s="11">
        <v>0</v>
      </c>
      <c r="GS10" s="11">
        <v>0</v>
      </c>
      <c r="GT10" s="11">
        <v>0</v>
      </c>
      <c r="GU10" s="26">
        <f t="shared" si="16"/>
        <v>0</v>
      </c>
      <c r="GV10" s="11">
        <v>0</v>
      </c>
      <c r="GW10" s="11">
        <v>0</v>
      </c>
      <c r="GX10" s="11">
        <v>0</v>
      </c>
      <c r="GY10" s="11">
        <v>0</v>
      </c>
      <c r="GZ10" s="11">
        <v>0</v>
      </c>
      <c r="HA10" s="11">
        <v>0</v>
      </c>
      <c r="HB10" s="11">
        <v>0</v>
      </c>
      <c r="HC10" s="11">
        <v>0</v>
      </c>
      <c r="HD10" s="11">
        <v>0</v>
      </c>
      <c r="HE10" s="11">
        <v>0</v>
      </c>
      <c r="HF10" s="11">
        <v>0</v>
      </c>
      <c r="HG10" s="11">
        <v>0</v>
      </c>
      <c r="HH10" s="26">
        <f t="shared" si="17"/>
        <v>0</v>
      </c>
      <c r="HI10" s="11">
        <v>0</v>
      </c>
      <c r="HJ10" s="11">
        <v>0</v>
      </c>
      <c r="HK10" s="11">
        <v>0</v>
      </c>
      <c r="HL10" s="11">
        <v>0</v>
      </c>
      <c r="HM10" s="11">
        <v>0</v>
      </c>
      <c r="HN10" s="11">
        <v>0</v>
      </c>
      <c r="HO10" s="11">
        <v>0</v>
      </c>
      <c r="HP10" s="11">
        <v>0</v>
      </c>
      <c r="HQ10" s="11">
        <v>0</v>
      </c>
      <c r="HR10" s="11">
        <v>0</v>
      </c>
      <c r="HS10" s="11">
        <v>0</v>
      </c>
      <c r="HT10" s="11">
        <v>0</v>
      </c>
      <c r="HU10" s="26">
        <f t="shared" si="18"/>
        <v>0</v>
      </c>
      <c r="HV10" s="11">
        <v>0</v>
      </c>
      <c r="HW10" s="11">
        <v>0</v>
      </c>
      <c r="HX10" s="11">
        <v>0</v>
      </c>
      <c r="HY10" s="11">
        <v>0</v>
      </c>
      <c r="HZ10" s="11">
        <v>0</v>
      </c>
      <c r="IA10" s="11">
        <v>0</v>
      </c>
      <c r="IB10" s="11">
        <v>0</v>
      </c>
      <c r="IC10" s="11">
        <v>0</v>
      </c>
      <c r="ID10" s="11">
        <v>0</v>
      </c>
      <c r="IE10" s="11">
        <v>0</v>
      </c>
      <c r="IF10" s="11">
        <v>0</v>
      </c>
      <c r="IG10" s="11">
        <v>0</v>
      </c>
      <c r="IH10" s="26">
        <f t="shared" si="19"/>
        <v>0</v>
      </c>
      <c r="II10" s="9">
        <f t="shared" si="20"/>
        <v>69163</v>
      </c>
      <c r="IJ10" s="9">
        <f t="shared" si="21"/>
        <v>0</v>
      </c>
      <c r="IK10" s="11">
        <v>29554</v>
      </c>
      <c r="IL10" s="11">
        <v>27229</v>
      </c>
      <c r="IM10" s="11">
        <v>26516</v>
      </c>
      <c r="IN10" s="11">
        <v>32291</v>
      </c>
      <c r="IO10" s="11">
        <v>35349</v>
      </c>
      <c r="IP10" s="11">
        <v>27990</v>
      </c>
      <c r="IQ10" s="11">
        <v>29814</v>
      </c>
      <c r="IR10" s="11">
        <v>26372</v>
      </c>
      <c r="IS10" s="11">
        <v>22910</v>
      </c>
      <c r="IT10" s="11">
        <v>24926</v>
      </c>
      <c r="IU10" s="11">
        <v>24917</v>
      </c>
      <c r="IV10" s="11">
        <v>24121</v>
      </c>
      <c r="IW10" s="27">
        <f t="shared" si="22"/>
        <v>331989</v>
      </c>
      <c r="IX10" s="11">
        <v>15411</v>
      </c>
      <c r="IY10" s="11">
        <v>14356</v>
      </c>
      <c r="IZ10" s="11">
        <v>14184</v>
      </c>
      <c r="JA10" s="11">
        <v>15497</v>
      </c>
      <c r="JB10" s="11">
        <v>16557</v>
      </c>
      <c r="JC10" s="11">
        <v>14913</v>
      </c>
      <c r="JD10" s="11">
        <v>15897</v>
      </c>
      <c r="JE10" s="11">
        <v>14249</v>
      </c>
      <c r="JF10" s="11">
        <v>12671</v>
      </c>
      <c r="JG10" s="11">
        <v>13809</v>
      </c>
      <c r="JH10" s="11">
        <v>12837</v>
      </c>
      <c r="JI10" s="11">
        <v>12875</v>
      </c>
      <c r="JJ10" s="27">
        <f t="shared" si="23"/>
        <v>173256</v>
      </c>
      <c r="JK10" s="11">
        <v>14143</v>
      </c>
      <c r="JL10" s="11">
        <v>12873</v>
      </c>
      <c r="JM10" s="11">
        <v>12332</v>
      </c>
      <c r="JN10" s="11">
        <v>16794</v>
      </c>
      <c r="JO10" s="11">
        <v>18792</v>
      </c>
      <c r="JP10" s="11">
        <v>13077</v>
      </c>
      <c r="JQ10" s="11">
        <v>13917</v>
      </c>
      <c r="JR10" s="11">
        <v>12123</v>
      </c>
      <c r="JS10" s="11">
        <v>10239</v>
      </c>
      <c r="JT10" s="11">
        <v>11117</v>
      </c>
      <c r="JU10" s="11">
        <v>12080</v>
      </c>
      <c r="JV10" s="11">
        <v>11246</v>
      </c>
      <c r="JW10" s="27">
        <f t="shared" si="24"/>
        <v>158733</v>
      </c>
      <c r="JX10" s="11">
        <v>0</v>
      </c>
      <c r="JY10" s="11">
        <v>0</v>
      </c>
      <c r="JZ10" s="11">
        <v>0</v>
      </c>
      <c r="KA10" s="11">
        <v>0</v>
      </c>
      <c r="KB10" s="11">
        <v>0</v>
      </c>
      <c r="KC10" s="11">
        <v>0</v>
      </c>
      <c r="KD10" s="11">
        <v>0</v>
      </c>
      <c r="KE10" s="11">
        <v>0</v>
      </c>
      <c r="KF10" s="11">
        <v>0</v>
      </c>
      <c r="KG10" s="11">
        <v>0</v>
      </c>
      <c r="KH10" s="11">
        <v>0</v>
      </c>
      <c r="KI10" s="11">
        <v>0</v>
      </c>
      <c r="KJ10" s="27">
        <f t="shared" si="25"/>
        <v>0</v>
      </c>
      <c r="KK10" s="11">
        <v>639</v>
      </c>
      <c r="KL10" s="11">
        <v>586</v>
      </c>
      <c r="KM10" s="11">
        <v>600</v>
      </c>
      <c r="KN10" s="11">
        <v>648</v>
      </c>
      <c r="KO10" s="11">
        <v>641</v>
      </c>
      <c r="KP10" s="11">
        <v>566</v>
      </c>
      <c r="KQ10" s="11">
        <v>528</v>
      </c>
      <c r="KR10" s="11">
        <v>646</v>
      </c>
      <c r="KS10" s="11">
        <v>365</v>
      </c>
      <c r="KT10" s="11">
        <v>617</v>
      </c>
      <c r="KU10" s="11">
        <v>440</v>
      </c>
      <c r="KV10" s="11">
        <v>506</v>
      </c>
      <c r="KW10" s="27">
        <f t="shared" si="26"/>
        <v>6782</v>
      </c>
      <c r="KX10" s="11">
        <v>628</v>
      </c>
      <c r="KY10" s="11">
        <v>572</v>
      </c>
      <c r="KZ10" s="11">
        <v>598</v>
      </c>
      <c r="LA10" s="11">
        <v>627</v>
      </c>
      <c r="LB10" s="11">
        <v>633</v>
      </c>
      <c r="LC10" s="11">
        <v>556</v>
      </c>
      <c r="LD10" s="11">
        <v>517</v>
      </c>
      <c r="LE10" s="11">
        <v>639</v>
      </c>
      <c r="LF10" s="11">
        <v>360</v>
      </c>
      <c r="LG10" s="11">
        <v>594</v>
      </c>
      <c r="LH10" s="11">
        <v>435</v>
      </c>
      <c r="LI10" s="11">
        <v>504</v>
      </c>
      <c r="LJ10" s="27">
        <f t="shared" si="27"/>
        <v>6663</v>
      </c>
      <c r="LK10" s="11">
        <v>11</v>
      </c>
      <c r="LL10" s="11">
        <v>14</v>
      </c>
      <c r="LM10" s="11">
        <v>2</v>
      </c>
      <c r="LN10" s="11">
        <v>21</v>
      </c>
      <c r="LO10" s="11">
        <v>8</v>
      </c>
      <c r="LP10" s="11">
        <v>10</v>
      </c>
      <c r="LQ10" s="11">
        <v>11</v>
      </c>
      <c r="LR10" s="11">
        <v>7</v>
      </c>
      <c r="LS10" s="11">
        <v>5</v>
      </c>
      <c r="LT10" s="11">
        <v>23</v>
      </c>
      <c r="LU10" s="11">
        <v>5</v>
      </c>
      <c r="LV10" s="11">
        <v>2</v>
      </c>
      <c r="LW10" s="27">
        <f t="shared" si="28"/>
        <v>119</v>
      </c>
      <c r="LX10" s="11">
        <v>0</v>
      </c>
      <c r="LY10" s="11">
        <v>0</v>
      </c>
      <c r="LZ10" s="11">
        <v>0</v>
      </c>
      <c r="MA10" s="11">
        <v>0</v>
      </c>
      <c r="MB10" s="11">
        <v>0</v>
      </c>
      <c r="MC10" s="11">
        <v>0</v>
      </c>
      <c r="MD10" s="11">
        <v>0</v>
      </c>
      <c r="ME10" s="11">
        <v>0</v>
      </c>
      <c r="MF10" s="11">
        <v>0</v>
      </c>
      <c r="MG10" s="11">
        <v>0</v>
      </c>
      <c r="MH10" s="11">
        <v>0</v>
      </c>
      <c r="MI10" s="11">
        <v>0</v>
      </c>
      <c r="MJ10" s="27">
        <f t="shared" si="29"/>
        <v>0</v>
      </c>
      <c r="MK10" s="11">
        <v>3498</v>
      </c>
      <c r="ML10" s="11">
        <v>3456</v>
      </c>
      <c r="MM10" s="11">
        <v>3399</v>
      </c>
      <c r="MN10" s="11">
        <v>3540</v>
      </c>
      <c r="MO10" s="11">
        <v>3698</v>
      </c>
      <c r="MP10" s="11">
        <v>3519</v>
      </c>
      <c r="MQ10" s="11">
        <v>3481</v>
      </c>
      <c r="MR10" s="11">
        <v>3309</v>
      </c>
      <c r="MS10" s="11">
        <v>3328</v>
      </c>
      <c r="MT10" s="11">
        <v>3522</v>
      </c>
      <c r="MU10" s="11">
        <v>3030</v>
      </c>
      <c r="MV10" s="11">
        <v>3243</v>
      </c>
      <c r="MW10" s="27">
        <f t="shared" si="30"/>
        <v>41023</v>
      </c>
      <c r="MX10" s="11">
        <v>0</v>
      </c>
      <c r="MY10" s="11">
        <v>0</v>
      </c>
      <c r="MZ10" s="11">
        <v>0</v>
      </c>
      <c r="NA10" s="11">
        <v>0</v>
      </c>
      <c r="NB10" s="11">
        <v>0</v>
      </c>
      <c r="NC10" s="11">
        <v>0</v>
      </c>
      <c r="ND10" s="11">
        <v>0</v>
      </c>
      <c r="NE10" s="11">
        <v>0</v>
      </c>
      <c r="NF10" s="11">
        <v>0</v>
      </c>
      <c r="NG10" s="11">
        <v>0</v>
      </c>
      <c r="NH10" s="11">
        <v>0</v>
      </c>
      <c r="NI10" s="11">
        <v>0</v>
      </c>
      <c r="NJ10" s="27">
        <f t="shared" si="31"/>
        <v>0</v>
      </c>
      <c r="NK10" s="11">
        <v>0</v>
      </c>
      <c r="NL10" s="11">
        <v>0</v>
      </c>
      <c r="NM10" s="11">
        <v>0</v>
      </c>
      <c r="NN10" s="11">
        <v>0</v>
      </c>
      <c r="NO10" s="11">
        <v>0</v>
      </c>
      <c r="NP10" s="11">
        <v>0</v>
      </c>
      <c r="NQ10" s="11">
        <v>0</v>
      </c>
      <c r="NR10" s="11">
        <v>0</v>
      </c>
      <c r="NS10" s="11">
        <v>0</v>
      </c>
      <c r="NT10" s="11">
        <v>0</v>
      </c>
      <c r="NU10" s="11">
        <v>0</v>
      </c>
      <c r="NV10" s="11">
        <v>0</v>
      </c>
      <c r="NW10" s="27">
        <f t="shared" si="32"/>
        <v>0</v>
      </c>
      <c r="NX10" s="11">
        <v>0</v>
      </c>
      <c r="NY10" s="11">
        <v>0</v>
      </c>
      <c r="NZ10" s="11">
        <v>0</v>
      </c>
      <c r="OA10" s="11">
        <v>0</v>
      </c>
      <c r="OB10" s="11">
        <v>0</v>
      </c>
      <c r="OC10" s="11">
        <v>0</v>
      </c>
      <c r="OD10" s="11">
        <v>0</v>
      </c>
      <c r="OE10" s="11">
        <v>0</v>
      </c>
      <c r="OF10" s="11">
        <v>0</v>
      </c>
      <c r="OG10" s="11">
        <v>0</v>
      </c>
      <c r="OH10" s="11">
        <v>0</v>
      </c>
      <c r="OI10" s="11">
        <v>0</v>
      </c>
      <c r="OJ10" s="27">
        <f t="shared" si="33"/>
        <v>0</v>
      </c>
      <c r="OK10" s="11">
        <v>4454</v>
      </c>
      <c r="OL10" s="11">
        <v>4081</v>
      </c>
      <c r="OM10" s="11">
        <v>4061</v>
      </c>
      <c r="ON10" s="11">
        <v>4621</v>
      </c>
      <c r="OO10" s="11">
        <v>4868</v>
      </c>
      <c r="OP10" s="11">
        <v>4797</v>
      </c>
      <c r="OQ10" s="11">
        <v>4763</v>
      </c>
      <c r="OR10" s="11">
        <v>4419</v>
      </c>
      <c r="OS10" s="11">
        <v>4383</v>
      </c>
      <c r="OT10" s="11">
        <v>4976</v>
      </c>
      <c r="OU10" s="11">
        <v>4415</v>
      </c>
      <c r="OV10" s="11">
        <v>4876</v>
      </c>
      <c r="OW10" s="27">
        <f t="shared" si="34"/>
        <v>54714</v>
      </c>
      <c r="OX10" s="11">
        <v>0</v>
      </c>
      <c r="OY10" s="11">
        <v>0</v>
      </c>
      <c r="OZ10" s="11">
        <v>0</v>
      </c>
      <c r="PA10" s="11">
        <v>0</v>
      </c>
      <c r="PB10" s="11">
        <v>0</v>
      </c>
      <c r="PC10" s="11">
        <v>0</v>
      </c>
      <c r="PD10" s="11">
        <v>0</v>
      </c>
      <c r="PE10" s="11">
        <v>0</v>
      </c>
      <c r="PF10" s="11">
        <v>0</v>
      </c>
      <c r="PG10" s="11">
        <v>0</v>
      </c>
      <c r="PH10" s="11">
        <v>0</v>
      </c>
      <c r="PI10" s="11">
        <v>0</v>
      </c>
      <c r="PJ10" s="27">
        <f t="shared" si="35"/>
        <v>0</v>
      </c>
      <c r="PK10" s="11">
        <v>0</v>
      </c>
      <c r="PL10" s="11">
        <v>0</v>
      </c>
      <c r="PM10" s="11">
        <v>0</v>
      </c>
      <c r="PN10" s="11">
        <v>0</v>
      </c>
      <c r="PO10" s="11">
        <v>0</v>
      </c>
      <c r="PP10" s="11">
        <v>0</v>
      </c>
      <c r="PQ10" s="11">
        <v>0</v>
      </c>
      <c r="PR10" s="11">
        <v>0</v>
      </c>
      <c r="PS10" s="11">
        <v>0</v>
      </c>
      <c r="PT10" s="11">
        <v>0</v>
      </c>
      <c r="PU10" s="11">
        <v>0</v>
      </c>
      <c r="PV10" s="11">
        <v>0</v>
      </c>
      <c r="PW10" s="27">
        <f t="shared" si="36"/>
        <v>0</v>
      </c>
      <c r="PX10" s="11">
        <v>0</v>
      </c>
      <c r="PY10" s="11">
        <v>0</v>
      </c>
      <c r="PZ10" s="11">
        <v>0</v>
      </c>
      <c r="QA10" s="11">
        <v>0</v>
      </c>
      <c r="QB10" s="11">
        <v>0</v>
      </c>
      <c r="QC10" s="11">
        <v>0</v>
      </c>
      <c r="QD10" s="11">
        <v>0</v>
      </c>
      <c r="QE10" s="11">
        <v>0</v>
      </c>
      <c r="QF10" s="11">
        <v>0</v>
      </c>
      <c r="QG10" s="11">
        <v>0</v>
      </c>
      <c r="QH10" s="11">
        <v>0</v>
      </c>
      <c r="QI10" s="11">
        <v>0</v>
      </c>
      <c r="QJ10" s="27">
        <f t="shared" si="37"/>
        <v>0</v>
      </c>
      <c r="QK10" s="11">
        <v>64048</v>
      </c>
      <c r="QL10" s="11">
        <v>60640</v>
      </c>
      <c r="QM10" s="11">
        <v>57170</v>
      </c>
      <c r="QN10" s="11">
        <v>62591</v>
      </c>
      <c r="QO10" s="11">
        <v>65982</v>
      </c>
      <c r="QP10" s="11">
        <v>54786</v>
      </c>
      <c r="QQ10" s="11">
        <v>65597</v>
      </c>
      <c r="QR10" s="11">
        <v>57934</v>
      </c>
      <c r="QS10" s="11">
        <v>58556</v>
      </c>
      <c r="QT10" s="11">
        <v>57042</v>
      </c>
      <c r="QU10" s="11">
        <v>62484</v>
      </c>
      <c r="QV10" s="11">
        <v>60501</v>
      </c>
      <c r="QW10" s="27">
        <f t="shared" si="38"/>
        <v>727331</v>
      </c>
      <c r="QX10" s="11">
        <v>5683</v>
      </c>
      <c r="QY10" s="11">
        <v>5637</v>
      </c>
      <c r="QZ10" s="11">
        <v>5119</v>
      </c>
      <c r="RA10" s="11">
        <v>5900</v>
      </c>
      <c r="RB10" s="11">
        <v>6251</v>
      </c>
      <c r="RC10" s="11">
        <v>6268</v>
      </c>
      <c r="RD10" s="11">
        <v>6868</v>
      </c>
      <c r="RE10" s="11">
        <v>6248</v>
      </c>
      <c r="RF10" s="11">
        <v>5990</v>
      </c>
      <c r="RG10" s="11">
        <v>6321</v>
      </c>
      <c r="RH10" s="11">
        <v>6315</v>
      </c>
      <c r="RI10" s="11">
        <v>6951</v>
      </c>
      <c r="RJ10" s="27">
        <f t="shared" si="39"/>
        <v>73551</v>
      </c>
      <c r="RK10" s="11">
        <v>0</v>
      </c>
      <c r="RL10" s="11">
        <v>0</v>
      </c>
      <c r="RM10" s="11">
        <v>0</v>
      </c>
      <c r="RN10" s="11">
        <v>0</v>
      </c>
      <c r="RO10" s="11">
        <v>0</v>
      </c>
      <c r="RP10" s="11">
        <v>0</v>
      </c>
      <c r="RQ10" s="11">
        <v>0</v>
      </c>
      <c r="RR10" s="11">
        <v>0</v>
      </c>
      <c r="RS10" s="11">
        <v>0</v>
      </c>
      <c r="RT10" s="11">
        <v>0</v>
      </c>
      <c r="RU10" s="11">
        <v>0</v>
      </c>
      <c r="RV10" s="11">
        <v>0</v>
      </c>
      <c r="RW10" s="27">
        <f t="shared" si="40"/>
        <v>0</v>
      </c>
      <c r="RX10" s="11">
        <v>0</v>
      </c>
      <c r="RY10" s="11">
        <v>0</v>
      </c>
      <c r="RZ10" s="11">
        <v>0</v>
      </c>
      <c r="SA10" s="11">
        <v>0</v>
      </c>
      <c r="SB10" s="11">
        <v>0</v>
      </c>
      <c r="SC10" s="11">
        <v>0</v>
      </c>
      <c r="SD10" s="11">
        <v>0</v>
      </c>
      <c r="SE10" s="11">
        <v>0</v>
      </c>
      <c r="SF10" s="11">
        <v>0</v>
      </c>
      <c r="SG10" s="11">
        <v>0</v>
      </c>
      <c r="SH10" s="11">
        <v>0</v>
      </c>
      <c r="SI10" s="11">
        <v>0</v>
      </c>
      <c r="SJ10" s="27">
        <f t="shared" si="41"/>
        <v>0</v>
      </c>
      <c r="SK10" s="11">
        <v>206</v>
      </c>
      <c r="SL10" s="11">
        <v>206</v>
      </c>
      <c r="SM10" s="11">
        <v>206</v>
      </c>
      <c r="SN10" s="11">
        <v>206</v>
      </c>
      <c r="SO10" s="11">
        <v>206</v>
      </c>
      <c r="SP10" s="11">
        <v>206</v>
      </c>
      <c r="SQ10" s="11">
        <v>206</v>
      </c>
      <c r="SR10" s="11">
        <v>206</v>
      </c>
      <c r="SS10" s="11">
        <v>206</v>
      </c>
      <c r="ST10" s="11">
        <v>206</v>
      </c>
      <c r="SU10" s="11">
        <v>206</v>
      </c>
      <c r="SV10" s="11">
        <v>206</v>
      </c>
      <c r="SW10" s="27">
        <f t="shared" si="42"/>
        <v>2472</v>
      </c>
      <c r="SX10" s="28" t="s">
        <v>2647</v>
      </c>
      <c r="SY10" s="11">
        <v>4982</v>
      </c>
      <c r="SZ10" s="11">
        <v>5204</v>
      </c>
      <c r="TA10" s="11">
        <v>5317</v>
      </c>
      <c r="TB10" s="11">
        <v>5419</v>
      </c>
      <c r="TC10" s="11">
        <v>4573</v>
      </c>
      <c r="TD10" s="11">
        <v>4894</v>
      </c>
      <c r="TE10" s="11">
        <v>5016</v>
      </c>
      <c r="TF10" s="11">
        <v>5648</v>
      </c>
      <c r="TG10" s="11">
        <v>3985</v>
      </c>
      <c r="TH10" s="11">
        <v>4476</v>
      </c>
      <c r="TI10" s="11">
        <v>4717</v>
      </c>
      <c r="TJ10" s="11">
        <v>4813</v>
      </c>
      <c r="TK10" s="27">
        <f t="shared" si="43"/>
        <v>59044</v>
      </c>
      <c r="TL10" s="11">
        <v>11501</v>
      </c>
      <c r="TM10" s="11">
        <v>13593</v>
      </c>
      <c r="TN10" s="11">
        <v>14012</v>
      </c>
      <c r="TO10" s="11">
        <v>12812</v>
      </c>
      <c r="TP10" s="11">
        <v>9708</v>
      </c>
      <c r="TQ10" s="11">
        <v>12370</v>
      </c>
      <c r="TR10" s="11">
        <v>11278</v>
      </c>
      <c r="TS10" s="11">
        <v>9918</v>
      </c>
      <c r="TT10" s="11">
        <v>16625</v>
      </c>
      <c r="TU10" s="11">
        <v>96058</v>
      </c>
      <c r="TV10" s="11">
        <v>0</v>
      </c>
      <c r="TW10" s="11">
        <v>0</v>
      </c>
      <c r="TX10" s="27">
        <f t="shared" si="44"/>
        <v>207875</v>
      </c>
      <c r="TY10" s="11">
        <v>96</v>
      </c>
      <c r="TZ10" s="11">
        <v>226</v>
      </c>
      <c r="UA10" s="11">
        <v>86</v>
      </c>
    </row>
    <row r="11" spans="1:547" ht="16" customHeight="1" x14ac:dyDescent="0.35">
      <c r="A11" s="11" t="s">
        <v>1395</v>
      </c>
      <c r="B11" s="11">
        <v>29380</v>
      </c>
      <c r="C11" s="11">
        <v>9900</v>
      </c>
      <c r="D11" s="11">
        <v>18020</v>
      </c>
      <c r="E11" s="11">
        <v>1460</v>
      </c>
      <c r="F11" s="11">
        <v>1037</v>
      </c>
      <c r="G11" s="11">
        <v>1015</v>
      </c>
      <c r="H11" s="11">
        <v>888</v>
      </c>
      <c r="I11" s="11">
        <v>887</v>
      </c>
      <c r="J11" s="11">
        <v>1047</v>
      </c>
      <c r="K11" s="11">
        <v>814</v>
      </c>
      <c r="L11" s="11">
        <v>934</v>
      </c>
      <c r="M11" s="11">
        <v>928</v>
      </c>
      <c r="N11" s="11">
        <v>752</v>
      </c>
      <c r="O11" s="11">
        <v>937</v>
      </c>
      <c r="P11" s="11" t="s">
        <v>2864</v>
      </c>
      <c r="Q11" s="11">
        <v>790</v>
      </c>
      <c r="R11" s="11">
        <v>841</v>
      </c>
      <c r="S11" s="26">
        <f t="shared" si="0"/>
        <v>10870</v>
      </c>
      <c r="T11" s="11">
        <v>370</v>
      </c>
      <c r="U11" s="11">
        <v>377</v>
      </c>
      <c r="V11" s="11">
        <v>334</v>
      </c>
      <c r="W11" s="11">
        <v>339</v>
      </c>
      <c r="X11" s="11">
        <v>294</v>
      </c>
      <c r="Y11" s="11">
        <v>283</v>
      </c>
      <c r="Z11" s="11">
        <v>300</v>
      </c>
      <c r="AA11" s="11">
        <v>301</v>
      </c>
      <c r="AB11" s="11">
        <v>258</v>
      </c>
      <c r="AC11" s="11">
        <v>319</v>
      </c>
      <c r="AD11" s="11">
        <v>263</v>
      </c>
      <c r="AE11" s="11">
        <v>287</v>
      </c>
      <c r="AF11" s="26">
        <f t="shared" si="1"/>
        <v>3725</v>
      </c>
      <c r="AG11" s="11">
        <v>543</v>
      </c>
      <c r="AH11" s="11">
        <v>536</v>
      </c>
      <c r="AI11" s="11">
        <v>435</v>
      </c>
      <c r="AJ11" s="11">
        <v>436</v>
      </c>
      <c r="AK11" s="11">
        <v>637</v>
      </c>
      <c r="AL11" s="11">
        <v>426</v>
      </c>
      <c r="AM11" s="11">
        <v>501</v>
      </c>
      <c r="AN11" s="11">
        <v>515</v>
      </c>
      <c r="AO11" s="11">
        <v>411</v>
      </c>
      <c r="AP11" s="11">
        <v>483</v>
      </c>
      <c r="AQ11" s="11">
        <v>466</v>
      </c>
      <c r="AR11" s="11">
        <v>476</v>
      </c>
      <c r="AS11" s="26">
        <f t="shared" si="2"/>
        <v>5865</v>
      </c>
      <c r="AT11" s="11">
        <v>1</v>
      </c>
      <c r="AU11" s="11">
        <v>0</v>
      </c>
      <c r="AV11" s="11">
        <v>1</v>
      </c>
      <c r="AW11" s="11">
        <v>0</v>
      </c>
      <c r="AX11" s="11">
        <v>0</v>
      </c>
      <c r="AY11" s="11">
        <v>0</v>
      </c>
      <c r="AZ11" s="11">
        <v>0</v>
      </c>
      <c r="BA11" s="11">
        <v>0</v>
      </c>
      <c r="BB11" s="11">
        <v>0</v>
      </c>
      <c r="BC11" s="11">
        <v>0</v>
      </c>
      <c r="BD11" s="11">
        <v>0</v>
      </c>
      <c r="BE11" s="11">
        <v>0</v>
      </c>
      <c r="BF11" s="26">
        <f t="shared" si="3"/>
        <v>2</v>
      </c>
      <c r="BG11" s="11">
        <v>123</v>
      </c>
      <c r="BH11" s="11">
        <v>102</v>
      </c>
      <c r="BI11" s="11">
        <v>118</v>
      </c>
      <c r="BJ11" s="11">
        <v>112</v>
      </c>
      <c r="BK11" s="11">
        <v>116</v>
      </c>
      <c r="BL11" s="11">
        <v>105</v>
      </c>
      <c r="BM11" s="11">
        <v>133</v>
      </c>
      <c r="BN11" s="11">
        <v>112</v>
      </c>
      <c r="BO11" s="11">
        <v>83</v>
      </c>
      <c r="BP11" s="11">
        <v>135</v>
      </c>
      <c r="BQ11" s="11">
        <v>61</v>
      </c>
      <c r="BR11" s="11">
        <v>78</v>
      </c>
      <c r="BS11" s="26">
        <f t="shared" si="4"/>
        <v>1278</v>
      </c>
      <c r="BT11" s="11">
        <v>2</v>
      </c>
      <c r="BU11" s="11">
        <v>3</v>
      </c>
      <c r="BV11" s="11">
        <v>4</v>
      </c>
      <c r="BW11" s="11">
        <v>2</v>
      </c>
      <c r="BX11" s="11">
        <v>3</v>
      </c>
      <c r="BY11" s="11">
        <v>2</v>
      </c>
      <c r="BZ11" s="11">
        <v>5</v>
      </c>
      <c r="CA11" s="11">
        <v>3</v>
      </c>
      <c r="CB11" s="11">
        <v>1</v>
      </c>
      <c r="CC11" s="11">
        <v>1</v>
      </c>
      <c r="CD11" s="11">
        <v>3</v>
      </c>
      <c r="CE11" s="11">
        <v>4</v>
      </c>
      <c r="CF11" s="26">
        <f t="shared" si="5"/>
        <v>33</v>
      </c>
      <c r="CG11" s="11">
        <v>1</v>
      </c>
      <c r="CH11" s="11">
        <v>1</v>
      </c>
      <c r="CI11" s="11">
        <v>2</v>
      </c>
      <c r="CJ11" s="11">
        <v>0</v>
      </c>
      <c r="CK11" s="11">
        <v>1</v>
      </c>
      <c r="CL11" s="11">
        <v>1</v>
      </c>
      <c r="CM11" s="11">
        <v>3</v>
      </c>
      <c r="CN11" s="11">
        <v>1</v>
      </c>
      <c r="CO11" s="11">
        <v>1</v>
      </c>
      <c r="CP11" s="11">
        <v>1</v>
      </c>
      <c r="CQ11" s="11">
        <v>1</v>
      </c>
      <c r="CR11" s="11">
        <v>2</v>
      </c>
      <c r="CS11" s="26">
        <f t="shared" si="6"/>
        <v>15</v>
      </c>
      <c r="CT11" s="11">
        <v>1</v>
      </c>
      <c r="CU11" s="11">
        <v>2</v>
      </c>
      <c r="CV11" s="11">
        <v>2</v>
      </c>
      <c r="CW11" s="11">
        <v>2</v>
      </c>
      <c r="CX11" s="11">
        <v>2</v>
      </c>
      <c r="CY11" s="11">
        <v>1</v>
      </c>
      <c r="CZ11" s="11">
        <v>2</v>
      </c>
      <c r="DA11" s="11">
        <v>2</v>
      </c>
      <c r="DB11" s="11">
        <v>0</v>
      </c>
      <c r="DC11" s="11">
        <v>0</v>
      </c>
      <c r="DD11" s="11">
        <v>2</v>
      </c>
      <c r="DE11" s="11">
        <v>2</v>
      </c>
      <c r="DF11" s="26">
        <f t="shared" si="7"/>
        <v>18</v>
      </c>
      <c r="DG11" s="11">
        <v>0</v>
      </c>
      <c r="DH11" s="11">
        <v>0</v>
      </c>
      <c r="DI11" s="11">
        <v>0</v>
      </c>
      <c r="DJ11" s="11">
        <v>0</v>
      </c>
      <c r="DK11" s="11">
        <v>0</v>
      </c>
      <c r="DL11" s="11">
        <v>0</v>
      </c>
      <c r="DM11" s="11">
        <v>0</v>
      </c>
      <c r="DN11" s="11">
        <v>0</v>
      </c>
      <c r="DO11" s="11">
        <v>0</v>
      </c>
      <c r="DP11" s="11">
        <v>0</v>
      </c>
      <c r="DQ11" s="11">
        <v>0</v>
      </c>
      <c r="DR11" s="11">
        <v>0</v>
      </c>
      <c r="DS11" s="26">
        <f t="shared" si="8"/>
        <v>0</v>
      </c>
      <c r="DT11" s="11">
        <v>0</v>
      </c>
      <c r="DU11" s="11">
        <v>0</v>
      </c>
      <c r="DV11" s="11">
        <v>0</v>
      </c>
      <c r="DW11" s="11">
        <v>0</v>
      </c>
      <c r="DX11" s="11">
        <v>0</v>
      </c>
      <c r="DY11" s="11">
        <v>0</v>
      </c>
      <c r="DZ11" s="11">
        <v>0</v>
      </c>
      <c r="EA11" s="11">
        <v>0</v>
      </c>
      <c r="EB11" s="11">
        <v>0</v>
      </c>
      <c r="EC11" s="11">
        <v>0</v>
      </c>
      <c r="ED11" s="11">
        <v>0</v>
      </c>
      <c r="EE11" s="11">
        <v>0</v>
      </c>
      <c r="EF11" s="26">
        <f t="shared" si="9"/>
        <v>0</v>
      </c>
      <c r="EG11" s="9">
        <f t="shared" si="10"/>
        <v>10870</v>
      </c>
      <c r="EH11" s="9">
        <f t="shared" si="11"/>
        <v>33</v>
      </c>
      <c r="EI11" s="11">
        <v>12188</v>
      </c>
      <c r="EJ11" s="11">
        <v>11538</v>
      </c>
      <c r="EK11" s="11">
        <v>9784</v>
      </c>
      <c r="EL11" s="11">
        <v>13019</v>
      </c>
      <c r="EM11" s="11">
        <v>11797</v>
      </c>
      <c r="EN11" s="11">
        <v>8316</v>
      </c>
      <c r="EO11" s="11">
        <v>9849</v>
      </c>
      <c r="EP11" s="11">
        <v>8850</v>
      </c>
      <c r="EQ11" s="11">
        <v>6643</v>
      </c>
      <c r="ER11" s="11">
        <v>10021</v>
      </c>
      <c r="ES11" s="11">
        <v>9788</v>
      </c>
      <c r="ET11" s="11">
        <v>9992</v>
      </c>
      <c r="EU11" s="26">
        <f t="shared" si="12"/>
        <v>121785</v>
      </c>
      <c r="EV11" s="11">
        <v>5890</v>
      </c>
      <c r="EW11" s="11">
        <v>6046</v>
      </c>
      <c r="EX11" s="11">
        <v>4821</v>
      </c>
      <c r="EY11" s="11">
        <v>7433</v>
      </c>
      <c r="EZ11" s="11">
        <v>5357</v>
      </c>
      <c r="FA11" s="11">
        <v>4422</v>
      </c>
      <c r="FB11" s="11">
        <v>4736</v>
      </c>
      <c r="FC11" s="11">
        <v>4836</v>
      </c>
      <c r="FD11" s="11">
        <v>3597</v>
      </c>
      <c r="FE11" s="11">
        <v>5208</v>
      </c>
      <c r="FF11" s="11">
        <v>4912</v>
      </c>
      <c r="FG11" s="11">
        <v>4975</v>
      </c>
      <c r="FH11" s="26">
        <f t="shared" si="13"/>
        <v>62233</v>
      </c>
      <c r="FI11" s="11">
        <v>6238</v>
      </c>
      <c r="FJ11" s="11">
        <v>5473</v>
      </c>
      <c r="FK11" s="11">
        <v>4944</v>
      </c>
      <c r="FL11" s="11">
        <v>5583</v>
      </c>
      <c r="FM11" s="11">
        <v>6437</v>
      </c>
      <c r="FN11" s="11">
        <v>3879</v>
      </c>
      <c r="FO11" s="11">
        <v>5111</v>
      </c>
      <c r="FP11" s="11">
        <v>4010</v>
      </c>
      <c r="FQ11" s="11">
        <v>3043</v>
      </c>
      <c r="FR11" s="11">
        <v>4584</v>
      </c>
      <c r="FS11" s="11">
        <v>4864</v>
      </c>
      <c r="FT11" s="11">
        <v>4996</v>
      </c>
      <c r="FU11" s="26">
        <f t="shared" si="14"/>
        <v>59162</v>
      </c>
      <c r="FV11" s="11">
        <v>60</v>
      </c>
      <c r="FW11" s="11">
        <v>19</v>
      </c>
      <c r="FX11" s="11">
        <v>19</v>
      </c>
      <c r="FY11" s="11">
        <v>3</v>
      </c>
      <c r="FZ11" s="11">
        <v>3</v>
      </c>
      <c r="GA11" s="11">
        <v>15</v>
      </c>
      <c r="GB11" s="11">
        <v>2</v>
      </c>
      <c r="GC11" s="11">
        <v>4</v>
      </c>
      <c r="GD11" s="11">
        <v>3</v>
      </c>
      <c r="GE11" s="11">
        <v>229</v>
      </c>
      <c r="GF11" s="11">
        <v>12</v>
      </c>
      <c r="GG11" s="11">
        <v>21</v>
      </c>
      <c r="GH11" s="26">
        <f t="shared" si="15"/>
        <v>390</v>
      </c>
      <c r="GI11" s="11">
        <v>22</v>
      </c>
      <c r="GJ11" s="11">
        <v>19</v>
      </c>
      <c r="GK11" s="11">
        <v>38</v>
      </c>
      <c r="GL11" s="11">
        <v>12</v>
      </c>
      <c r="GM11" s="11">
        <v>11</v>
      </c>
      <c r="GN11" s="11">
        <v>13</v>
      </c>
      <c r="GO11" s="11">
        <v>36</v>
      </c>
      <c r="GP11" s="11">
        <v>23</v>
      </c>
      <c r="GQ11" s="11">
        <v>10</v>
      </c>
      <c r="GR11" s="11">
        <v>9</v>
      </c>
      <c r="GS11" s="11">
        <v>26</v>
      </c>
      <c r="GT11" s="11">
        <v>47</v>
      </c>
      <c r="GU11" s="26">
        <f t="shared" si="16"/>
        <v>266</v>
      </c>
      <c r="GV11" s="11">
        <v>16</v>
      </c>
      <c r="GW11" s="11">
        <v>13</v>
      </c>
      <c r="GX11" s="11">
        <v>31</v>
      </c>
      <c r="GY11" s="11">
        <v>5</v>
      </c>
      <c r="GZ11" s="11">
        <v>8</v>
      </c>
      <c r="HA11" s="11">
        <v>13</v>
      </c>
      <c r="HB11" s="11">
        <v>23</v>
      </c>
      <c r="HC11" s="11">
        <v>17</v>
      </c>
      <c r="HD11" s="11">
        <v>10</v>
      </c>
      <c r="HE11" s="11">
        <v>9</v>
      </c>
      <c r="HF11" s="11">
        <v>18</v>
      </c>
      <c r="HG11" s="11">
        <v>47</v>
      </c>
      <c r="HH11" s="26">
        <f t="shared" si="17"/>
        <v>210</v>
      </c>
      <c r="HI11" s="11">
        <v>6</v>
      </c>
      <c r="HJ11" s="11">
        <v>6</v>
      </c>
      <c r="HK11" s="11">
        <v>7</v>
      </c>
      <c r="HL11" s="11">
        <v>7</v>
      </c>
      <c r="HM11" s="11">
        <v>3</v>
      </c>
      <c r="HN11" s="11">
        <v>0</v>
      </c>
      <c r="HO11" s="11">
        <v>13</v>
      </c>
      <c r="HP11" s="11">
        <v>6</v>
      </c>
      <c r="HQ11" s="11">
        <v>0</v>
      </c>
      <c r="HR11" s="11">
        <v>0</v>
      </c>
      <c r="HS11" s="11">
        <v>8</v>
      </c>
      <c r="HT11" s="11">
        <v>0</v>
      </c>
      <c r="HU11" s="26">
        <f t="shared" si="18"/>
        <v>56</v>
      </c>
      <c r="HV11" s="11">
        <v>0</v>
      </c>
      <c r="HW11" s="11">
        <v>0</v>
      </c>
      <c r="HX11" s="11">
        <v>0</v>
      </c>
      <c r="HY11" s="11">
        <v>0</v>
      </c>
      <c r="HZ11" s="11">
        <v>0</v>
      </c>
      <c r="IA11" s="11">
        <v>0</v>
      </c>
      <c r="IB11" s="11">
        <v>0</v>
      </c>
      <c r="IC11" s="11">
        <v>0</v>
      </c>
      <c r="ID11" s="11">
        <v>0</v>
      </c>
      <c r="IE11" s="11">
        <v>0</v>
      </c>
      <c r="IF11" s="11">
        <v>0</v>
      </c>
      <c r="IG11" s="11">
        <v>0</v>
      </c>
      <c r="IH11" s="26">
        <f t="shared" si="19"/>
        <v>0</v>
      </c>
      <c r="II11" s="9">
        <f t="shared" si="20"/>
        <v>121785</v>
      </c>
      <c r="IJ11" s="9">
        <f t="shared" si="21"/>
        <v>266</v>
      </c>
      <c r="IK11" s="11">
        <v>66229</v>
      </c>
      <c r="IL11" s="11">
        <v>51829</v>
      </c>
      <c r="IM11" s="11">
        <v>64494</v>
      </c>
      <c r="IN11" s="11">
        <v>75806</v>
      </c>
      <c r="IO11" s="11">
        <v>80229</v>
      </c>
      <c r="IP11" s="11">
        <v>69418</v>
      </c>
      <c r="IQ11" s="11">
        <v>71616</v>
      </c>
      <c r="IR11" s="11">
        <v>67809</v>
      </c>
      <c r="IS11" s="11">
        <v>57986</v>
      </c>
      <c r="IT11" s="11">
        <v>65768</v>
      </c>
      <c r="IU11" s="11">
        <v>62865</v>
      </c>
      <c r="IV11" s="11">
        <v>66737</v>
      </c>
      <c r="IW11" s="27">
        <f t="shared" si="22"/>
        <v>800786</v>
      </c>
      <c r="IX11" s="11">
        <v>36887</v>
      </c>
      <c r="IY11" s="11">
        <v>31114</v>
      </c>
      <c r="IZ11" s="11">
        <v>38392</v>
      </c>
      <c r="JA11" s="11">
        <v>41637</v>
      </c>
      <c r="JB11" s="11">
        <v>42784</v>
      </c>
      <c r="JC11" s="11">
        <v>39737</v>
      </c>
      <c r="JD11" s="11">
        <v>41235</v>
      </c>
      <c r="JE11" s="11">
        <v>40129</v>
      </c>
      <c r="JF11" s="11">
        <v>36111</v>
      </c>
      <c r="JG11" s="11">
        <v>38461</v>
      </c>
      <c r="JH11" s="11">
        <v>35698</v>
      </c>
      <c r="JI11" s="11">
        <v>38965</v>
      </c>
      <c r="JJ11" s="27">
        <f t="shared" si="23"/>
        <v>461150</v>
      </c>
      <c r="JK11" s="11">
        <v>27781</v>
      </c>
      <c r="JL11" s="11">
        <v>19722</v>
      </c>
      <c r="JM11" s="11">
        <v>25003</v>
      </c>
      <c r="JN11" s="11">
        <v>32503</v>
      </c>
      <c r="JO11" s="11">
        <v>35673</v>
      </c>
      <c r="JP11" s="11">
        <v>28260</v>
      </c>
      <c r="JQ11" s="11">
        <v>29050</v>
      </c>
      <c r="JR11" s="11">
        <v>26396</v>
      </c>
      <c r="JS11" s="11">
        <v>20861</v>
      </c>
      <c r="JT11" s="11">
        <v>26194</v>
      </c>
      <c r="JU11" s="11">
        <v>26005</v>
      </c>
      <c r="JV11" s="11">
        <v>26546</v>
      </c>
      <c r="JW11" s="27">
        <f t="shared" si="24"/>
        <v>323994</v>
      </c>
      <c r="JX11" s="11">
        <v>1561</v>
      </c>
      <c r="JY11" s="11">
        <v>993</v>
      </c>
      <c r="JZ11" s="11">
        <v>1162</v>
      </c>
      <c r="KA11" s="11">
        <v>1666</v>
      </c>
      <c r="KB11" s="11">
        <v>1772</v>
      </c>
      <c r="KC11" s="11">
        <v>1421</v>
      </c>
      <c r="KD11" s="11">
        <v>1331</v>
      </c>
      <c r="KE11" s="11">
        <v>1284</v>
      </c>
      <c r="KF11" s="11">
        <v>1014</v>
      </c>
      <c r="KG11" s="11">
        <v>1113</v>
      </c>
      <c r="KH11" s="11">
        <v>1162</v>
      </c>
      <c r="KI11" s="11">
        <v>1226</v>
      </c>
      <c r="KJ11" s="27">
        <f t="shared" si="25"/>
        <v>15705</v>
      </c>
      <c r="KK11" s="11">
        <v>1398</v>
      </c>
      <c r="KL11" s="11">
        <v>1428</v>
      </c>
      <c r="KM11" s="11">
        <v>2324</v>
      </c>
      <c r="KN11" s="11">
        <v>1279</v>
      </c>
      <c r="KO11" s="11">
        <v>1241</v>
      </c>
      <c r="KP11" s="11">
        <v>1054</v>
      </c>
      <c r="KQ11" s="11">
        <v>1132</v>
      </c>
      <c r="KR11" s="11">
        <v>1122</v>
      </c>
      <c r="KS11" s="11">
        <v>1040</v>
      </c>
      <c r="KT11" s="11">
        <v>1049</v>
      </c>
      <c r="KU11" s="11">
        <v>1106</v>
      </c>
      <c r="KV11" s="11">
        <v>996</v>
      </c>
      <c r="KW11" s="27">
        <f t="shared" si="26"/>
        <v>15169</v>
      </c>
      <c r="KX11" s="11">
        <v>1262</v>
      </c>
      <c r="KY11" s="11">
        <v>1354</v>
      </c>
      <c r="KZ11" s="11">
        <v>2247</v>
      </c>
      <c r="LA11" s="11">
        <v>1154</v>
      </c>
      <c r="LB11" s="11">
        <v>1107</v>
      </c>
      <c r="LC11" s="11">
        <v>955</v>
      </c>
      <c r="LD11" s="11">
        <v>1041</v>
      </c>
      <c r="LE11" s="11">
        <v>1037</v>
      </c>
      <c r="LF11" s="11">
        <v>941</v>
      </c>
      <c r="LG11" s="11">
        <v>971</v>
      </c>
      <c r="LH11" s="11">
        <v>1009</v>
      </c>
      <c r="LI11" s="11">
        <v>905</v>
      </c>
      <c r="LJ11" s="27">
        <f t="shared" si="27"/>
        <v>13983</v>
      </c>
      <c r="LK11" s="11">
        <v>136</v>
      </c>
      <c r="LL11" s="11">
        <v>74</v>
      </c>
      <c r="LM11" s="11">
        <v>77</v>
      </c>
      <c r="LN11" s="11">
        <v>125</v>
      </c>
      <c r="LO11" s="11">
        <v>134</v>
      </c>
      <c r="LP11" s="11">
        <v>99</v>
      </c>
      <c r="LQ11" s="11">
        <v>91</v>
      </c>
      <c r="LR11" s="11">
        <v>85</v>
      </c>
      <c r="LS11" s="11">
        <v>99</v>
      </c>
      <c r="LT11" s="11">
        <v>78</v>
      </c>
      <c r="LU11" s="11">
        <v>97</v>
      </c>
      <c r="LV11" s="11">
        <v>91</v>
      </c>
      <c r="LW11" s="27">
        <f t="shared" si="28"/>
        <v>1186</v>
      </c>
      <c r="LX11" s="11"/>
      <c r="LY11" s="11">
        <v>0</v>
      </c>
      <c r="LZ11" s="11">
        <v>0</v>
      </c>
      <c r="MA11" s="11">
        <v>0</v>
      </c>
      <c r="MB11" s="11">
        <v>0</v>
      </c>
      <c r="MC11" s="11">
        <v>0</v>
      </c>
      <c r="MD11" s="11">
        <v>0</v>
      </c>
      <c r="ME11" s="11">
        <v>0</v>
      </c>
      <c r="MF11" s="11">
        <v>0</v>
      </c>
      <c r="MG11" s="11">
        <v>0</v>
      </c>
      <c r="MH11" s="11">
        <v>0</v>
      </c>
      <c r="MI11" s="11">
        <v>0</v>
      </c>
      <c r="MJ11" s="27">
        <f t="shared" si="29"/>
        <v>0</v>
      </c>
      <c r="MK11" s="11">
        <v>0</v>
      </c>
      <c r="ML11" s="11">
        <v>0</v>
      </c>
      <c r="MM11" s="11">
        <v>0</v>
      </c>
      <c r="MN11" s="11">
        <v>0</v>
      </c>
      <c r="MO11" s="11">
        <v>0</v>
      </c>
      <c r="MP11" s="11">
        <v>0</v>
      </c>
      <c r="MQ11" s="11">
        <v>0</v>
      </c>
      <c r="MR11" s="11">
        <v>0</v>
      </c>
      <c r="MS11" s="11">
        <v>0</v>
      </c>
      <c r="MT11" s="11">
        <v>0</v>
      </c>
      <c r="MU11" s="11">
        <v>0</v>
      </c>
      <c r="MV11" s="11">
        <v>52569</v>
      </c>
      <c r="MW11" s="27">
        <f t="shared" si="30"/>
        <v>52569</v>
      </c>
      <c r="MX11" s="11">
        <v>0</v>
      </c>
      <c r="MY11" s="11">
        <v>0</v>
      </c>
      <c r="MZ11" s="11">
        <v>0</v>
      </c>
      <c r="NA11" s="11">
        <v>0</v>
      </c>
      <c r="NB11" s="11">
        <v>0</v>
      </c>
      <c r="NC11" s="11">
        <v>0</v>
      </c>
      <c r="ND11" s="11">
        <v>0</v>
      </c>
      <c r="NE11" s="11">
        <v>0</v>
      </c>
      <c r="NF11" s="11">
        <v>0</v>
      </c>
      <c r="NG11" s="11">
        <v>0</v>
      </c>
      <c r="NH11" s="11">
        <v>0</v>
      </c>
      <c r="NI11" s="11">
        <v>46745</v>
      </c>
      <c r="NJ11" s="27">
        <f t="shared" si="31"/>
        <v>46745</v>
      </c>
      <c r="NK11" s="11">
        <v>0</v>
      </c>
      <c r="NL11" s="11">
        <v>0</v>
      </c>
      <c r="NM11" s="11">
        <v>0</v>
      </c>
      <c r="NN11" s="11">
        <v>0</v>
      </c>
      <c r="NO11" s="11">
        <v>0</v>
      </c>
      <c r="NP11" s="11">
        <v>0</v>
      </c>
      <c r="NQ11" s="11">
        <v>0</v>
      </c>
      <c r="NR11" s="11">
        <v>0</v>
      </c>
      <c r="NS11" s="11">
        <v>0</v>
      </c>
      <c r="NT11" s="11">
        <v>0</v>
      </c>
      <c r="NU11" s="11">
        <v>0</v>
      </c>
      <c r="NV11" s="11">
        <v>3837</v>
      </c>
      <c r="NW11" s="27">
        <f t="shared" si="32"/>
        <v>3837</v>
      </c>
      <c r="NX11" s="11">
        <v>0</v>
      </c>
      <c r="NY11" s="11">
        <v>0</v>
      </c>
      <c r="NZ11" s="11">
        <v>0</v>
      </c>
      <c r="OA11" s="11">
        <v>0</v>
      </c>
      <c r="OB11" s="11">
        <v>0</v>
      </c>
      <c r="OC11" s="11">
        <v>0</v>
      </c>
      <c r="OD11" s="11">
        <v>0</v>
      </c>
      <c r="OE11" s="11">
        <v>0</v>
      </c>
      <c r="OF11" s="11">
        <v>0</v>
      </c>
      <c r="OG11" s="11">
        <v>0</v>
      </c>
      <c r="OH11" s="11">
        <v>0</v>
      </c>
      <c r="OI11" s="11">
        <v>1987</v>
      </c>
      <c r="OJ11" s="27">
        <f t="shared" si="33"/>
        <v>1987</v>
      </c>
      <c r="OK11" s="11">
        <v>0</v>
      </c>
      <c r="OL11" s="11">
        <v>0</v>
      </c>
      <c r="OM11" s="11">
        <v>0</v>
      </c>
      <c r="ON11" s="11">
        <v>0</v>
      </c>
      <c r="OO11" s="11">
        <v>0</v>
      </c>
      <c r="OP11" s="11">
        <v>0</v>
      </c>
      <c r="OQ11" s="11">
        <v>0</v>
      </c>
      <c r="OR11" s="11">
        <v>0</v>
      </c>
      <c r="OS11" s="11">
        <v>0</v>
      </c>
      <c r="OT11" s="11">
        <v>0</v>
      </c>
      <c r="OU11" s="11">
        <v>0</v>
      </c>
      <c r="OV11" s="11">
        <v>153767</v>
      </c>
      <c r="OW11" s="27">
        <f t="shared" si="34"/>
        <v>153767</v>
      </c>
      <c r="OX11" s="11">
        <v>0</v>
      </c>
      <c r="OY11" s="11">
        <v>0</v>
      </c>
      <c r="OZ11" s="11">
        <v>0</v>
      </c>
      <c r="PA11" s="11">
        <v>0</v>
      </c>
      <c r="PB11" s="11">
        <v>0</v>
      </c>
      <c r="PC11" s="11">
        <v>0</v>
      </c>
      <c r="PD11" s="11">
        <v>0</v>
      </c>
      <c r="PE11" s="11">
        <v>0</v>
      </c>
      <c r="PF11" s="11">
        <v>0</v>
      </c>
      <c r="PG11" s="11">
        <v>0</v>
      </c>
      <c r="PH11" s="11">
        <v>0</v>
      </c>
      <c r="PI11" s="11">
        <v>131336</v>
      </c>
      <c r="PJ11" s="27">
        <f t="shared" si="35"/>
        <v>131336</v>
      </c>
      <c r="PK11" s="11">
        <v>0</v>
      </c>
      <c r="PL11" s="11">
        <v>0</v>
      </c>
      <c r="PM11" s="11">
        <v>0</v>
      </c>
      <c r="PN11" s="11">
        <v>0</v>
      </c>
      <c r="PO11" s="11">
        <v>0</v>
      </c>
      <c r="PP11" s="11">
        <v>0</v>
      </c>
      <c r="PQ11" s="11">
        <v>0</v>
      </c>
      <c r="PR11" s="11">
        <v>0</v>
      </c>
      <c r="PS11" s="11">
        <v>0</v>
      </c>
      <c r="PT11" s="11">
        <v>0</v>
      </c>
      <c r="PU11" s="11">
        <v>0</v>
      </c>
      <c r="PV11" s="11">
        <v>16743</v>
      </c>
      <c r="PW11" s="27">
        <f t="shared" si="36"/>
        <v>16743</v>
      </c>
      <c r="PX11" s="11">
        <v>0</v>
      </c>
      <c r="PY11" s="11">
        <v>0</v>
      </c>
      <c r="PZ11" s="11">
        <v>0</v>
      </c>
      <c r="QA11" s="11">
        <v>0</v>
      </c>
      <c r="QB11" s="11">
        <v>0</v>
      </c>
      <c r="QC11" s="11">
        <v>0</v>
      </c>
      <c r="QD11" s="11">
        <v>0</v>
      </c>
      <c r="QE11" s="11">
        <v>0</v>
      </c>
      <c r="QF11" s="11">
        <v>0</v>
      </c>
      <c r="QG11" s="11">
        <v>0</v>
      </c>
      <c r="QH11" s="11">
        <v>0</v>
      </c>
      <c r="QI11" s="11">
        <v>5688</v>
      </c>
      <c r="QJ11" s="27">
        <f t="shared" si="37"/>
        <v>5688</v>
      </c>
      <c r="QK11" s="11">
        <v>56774</v>
      </c>
      <c r="QL11" s="11">
        <v>54941</v>
      </c>
      <c r="QM11" s="11">
        <v>54968</v>
      </c>
      <c r="QN11" s="11">
        <v>69060</v>
      </c>
      <c r="QO11" s="11">
        <v>52653</v>
      </c>
      <c r="QP11" s="11">
        <v>48529</v>
      </c>
      <c r="QQ11" s="11">
        <v>51753</v>
      </c>
      <c r="QR11" s="11">
        <v>48130</v>
      </c>
      <c r="QS11" s="11">
        <v>40462</v>
      </c>
      <c r="QT11" s="11">
        <v>48818</v>
      </c>
      <c r="QU11" s="11">
        <v>45786</v>
      </c>
      <c r="QV11" s="11">
        <v>50980</v>
      </c>
      <c r="QW11" s="27">
        <f t="shared" si="38"/>
        <v>622854</v>
      </c>
      <c r="QX11" s="11">
        <v>34415</v>
      </c>
      <c r="QY11" s="11">
        <v>35478</v>
      </c>
      <c r="QZ11" s="11">
        <v>33409</v>
      </c>
      <c r="RA11" s="11">
        <v>35797</v>
      </c>
      <c r="RB11" s="11">
        <v>36545</v>
      </c>
      <c r="RC11" s="11">
        <v>37741</v>
      </c>
      <c r="RD11" s="11">
        <v>40750</v>
      </c>
      <c r="RE11" s="11">
        <v>39089</v>
      </c>
      <c r="RF11" s="11">
        <v>32827</v>
      </c>
      <c r="RG11" s="11">
        <v>37880</v>
      </c>
      <c r="RH11" s="11">
        <v>33356</v>
      </c>
      <c r="RI11" s="11">
        <v>36597</v>
      </c>
      <c r="RJ11" s="27">
        <f t="shared" si="39"/>
        <v>433884</v>
      </c>
      <c r="RK11" s="11">
        <v>0</v>
      </c>
      <c r="RL11" s="11">
        <v>0</v>
      </c>
      <c r="RM11" s="11">
        <v>0</v>
      </c>
      <c r="RN11" s="11">
        <v>0</v>
      </c>
      <c r="RO11" s="11">
        <v>0</v>
      </c>
      <c r="RP11" s="11">
        <v>0</v>
      </c>
      <c r="RQ11" s="11">
        <v>0</v>
      </c>
      <c r="RR11" s="11">
        <v>0</v>
      </c>
      <c r="RS11" s="11">
        <v>0</v>
      </c>
      <c r="RT11" s="11">
        <v>0</v>
      </c>
      <c r="RU11" s="11">
        <v>0</v>
      </c>
      <c r="RV11" s="11">
        <v>0</v>
      </c>
      <c r="RW11" s="27">
        <f t="shared" si="40"/>
        <v>0</v>
      </c>
      <c r="RX11" s="11">
        <v>0</v>
      </c>
      <c r="RY11" s="11">
        <v>0</v>
      </c>
      <c r="RZ11" s="11">
        <v>0</v>
      </c>
      <c r="SA11" s="11">
        <v>0</v>
      </c>
      <c r="SB11" s="11">
        <v>0</v>
      </c>
      <c r="SC11" s="11">
        <v>0</v>
      </c>
      <c r="SD11" s="11">
        <v>0</v>
      </c>
      <c r="SE11" s="11">
        <v>0</v>
      </c>
      <c r="SF11" s="11">
        <v>0</v>
      </c>
      <c r="SG11" s="11">
        <v>0</v>
      </c>
      <c r="SH11" s="11">
        <v>0</v>
      </c>
      <c r="SI11" s="11">
        <v>0</v>
      </c>
      <c r="SJ11" s="27">
        <f t="shared" si="41"/>
        <v>0</v>
      </c>
      <c r="SK11" s="11">
        <v>396</v>
      </c>
      <c r="SL11" s="11">
        <v>390</v>
      </c>
      <c r="SM11" s="11">
        <v>407</v>
      </c>
      <c r="SN11" s="11">
        <v>374</v>
      </c>
      <c r="SO11" s="11">
        <v>380</v>
      </c>
      <c r="SP11" s="11">
        <v>372</v>
      </c>
      <c r="SQ11" s="11">
        <v>401</v>
      </c>
      <c r="SR11" s="11">
        <v>380</v>
      </c>
      <c r="SS11" s="11">
        <v>364</v>
      </c>
      <c r="ST11" s="11">
        <v>401</v>
      </c>
      <c r="SU11" s="11">
        <v>411</v>
      </c>
      <c r="SV11" s="11">
        <v>401</v>
      </c>
      <c r="SW11" s="27">
        <f t="shared" si="42"/>
        <v>4677</v>
      </c>
      <c r="SX11" s="11" t="s">
        <v>2648</v>
      </c>
      <c r="SY11" s="11">
        <v>7283</v>
      </c>
      <c r="SZ11" s="11">
        <v>6987</v>
      </c>
      <c r="TA11" s="11">
        <v>6858</v>
      </c>
      <c r="TB11" s="11">
        <v>7134</v>
      </c>
      <c r="TC11" s="11">
        <v>6305</v>
      </c>
      <c r="TD11" s="11">
        <v>6532</v>
      </c>
      <c r="TE11" s="11">
        <v>6825</v>
      </c>
      <c r="TF11" s="11">
        <v>6917</v>
      </c>
      <c r="TG11" s="11">
        <v>5830</v>
      </c>
      <c r="TH11" s="11">
        <v>7049</v>
      </c>
      <c r="TI11" s="11">
        <v>6698</v>
      </c>
      <c r="TJ11" s="11">
        <v>7147</v>
      </c>
      <c r="TK11" s="27">
        <f t="shared" si="43"/>
        <v>81565</v>
      </c>
      <c r="TL11" s="11">
        <v>0</v>
      </c>
      <c r="TM11" s="11">
        <v>0</v>
      </c>
      <c r="TN11" s="11">
        <v>0</v>
      </c>
      <c r="TO11" s="11">
        <v>0</v>
      </c>
      <c r="TP11" s="11">
        <v>0</v>
      </c>
      <c r="TQ11" s="11">
        <v>0</v>
      </c>
      <c r="TR11" s="11">
        <v>0</v>
      </c>
      <c r="TS11" s="11">
        <v>0</v>
      </c>
      <c r="TT11" s="11">
        <v>0</v>
      </c>
      <c r="TU11" s="11">
        <v>0</v>
      </c>
      <c r="TV11" s="11">
        <v>0</v>
      </c>
      <c r="TW11" s="11">
        <v>0</v>
      </c>
      <c r="TX11" s="27">
        <f t="shared" si="44"/>
        <v>0</v>
      </c>
      <c r="TY11" s="11">
        <v>180</v>
      </c>
      <c r="TZ11" s="11">
        <v>0</v>
      </c>
      <c r="UA11" s="11">
        <v>0</v>
      </c>
    </row>
    <row r="12" spans="1:547" ht="16" customHeight="1" x14ac:dyDescent="0.35">
      <c r="A12" s="11" t="s">
        <v>1514</v>
      </c>
      <c r="B12" s="11">
        <v>37054</v>
      </c>
      <c r="C12" s="11">
        <v>22427</v>
      </c>
      <c r="D12" s="11"/>
      <c r="E12" s="11"/>
      <c r="F12" s="11">
        <v>390</v>
      </c>
      <c r="G12" s="11">
        <v>425</v>
      </c>
      <c r="H12" s="11">
        <v>394</v>
      </c>
      <c r="I12" s="11">
        <v>499</v>
      </c>
      <c r="J12" s="11">
        <v>402</v>
      </c>
      <c r="K12" s="11">
        <v>409</v>
      </c>
      <c r="L12" s="11">
        <v>448</v>
      </c>
      <c r="M12" s="11">
        <v>465</v>
      </c>
      <c r="N12" s="11">
        <v>315</v>
      </c>
      <c r="O12" s="11">
        <v>402</v>
      </c>
      <c r="P12" s="11" t="s">
        <v>2865</v>
      </c>
      <c r="Q12" s="11">
        <v>468</v>
      </c>
      <c r="R12" s="11">
        <v>611</v>
      </c>
      <c r="S12" s="26">
        <f t="shared" si="0"/>
        <v>5228</v>
      </c>
      <c r="T12" s="11">
        <v>178</v>
      </c>
      <c r="U12" s="11">
        <v>189</v>
      </c>
      <c r="V12" s="11">
        <v>163</v>
      </c>
      <c r="W12" s="11">
        <v>175</v>
      </c>
      <c r="X12" s="11">
        <v>149</v>
      </c>
      <c r="Y12" s="11">
        <v>200</v>
      </c>
      <c r="Z12" s="11">
        <v>211</v>
      </c>
      <c r="AA12" s="11">
        <v>211</v>
      </c>
      <c r="AB12" s="11">
        <v>135</v>
      </c>
      <c r="AC12" s="11">
        <v>193</v>
      </c>
      <c r="AD12" s="11">
        <v>212</v>
      </c>
      <c r="AE12" s="11">
        <v>325</v>
      </c>
      <c r="AF12" s="26">
        <f t="shared" si="1"/>
        <v>2341</v>
      </c>
      <c r="AG12" s="11">
        <v>212</v>
      </c>
      <c r="AH12" s="11">
        <v>236</v>
      </c>
      <c r="AI12" s="11">
        <v>231</v>
      </c>
      <c r="AJ12" s="11">
        <v>324</v>
      </c>
      <c r="AK12" s="11">
        <v>253</v>
      </c>
      <c r="AL12" s="11">
        <v>209</v>
      </c>
      <c r="AM12" s="11">
        <v>237</v>
      </c>
      <c r="AN12" s="11">
        <v>254</v>
      </c>
      <c r="AO12" s="11">
        <v>180</v>
      </c>
      <c r="AP12" s="11">
        <v>209</v>
      </c>
      <c r="AQ12" s="11">
        <v>256</v>
      </c>
      <c r="AR12" s="11">
        <v>286</v>
      </c>
      <c r="AS12" s="26">
        <f t="shared" si="2"/>
        <v>2887</v>
      </c>
      <c r="AT12" s="11">
        <v>0</v>
      </c>
      <c r="AU12" s="11">
        <v>0</v>
      </c>
      <c r="AV12" s="11">
        <v>0</v>
      </c>
      <c r="AW12" s="11">
        <v>0</v>
      </c>
      <c r="AX12" s="11">
        <v>0</v>
      </c>
      <c r="AY12" s="11">
        <v>0</v>
      </c>
      <c r="AZ12" s="11">
        <v>0</v>
      </c>
      <c r="BA12" s="11">
        <v>0</v>
      </c>
      <c r="BB12" s="11">
        <v>0</v>
      </c>
      <c r="BC12" s="11">
        <v>0</v>
      </c>
      <c r="BD12" s="11">
        <v>0</v>
      </c>
      <c r="BE12" s="11">
        <v>0</v>
      </c>
      <c r="BF12" s="26">
        <f t="shared" si="3"/>
        <v>0</v>
      </c>
      <c r="BG12" s="11">
        <v>0</v>
      </c>
      <c r="BH12" s="11">
        <v>0</v>
      </c>
      <c r="BI12" s="11">
        <v>0</v>
      </c>
      <c r="BJ12" s="11">
        <v>0</v>
      </c>
      <c r="BK12" s="11">
        <v>0</v>
      </c>
      <c r="BL12" s="11">
        <v>0</v>
      </c>
      <c r="BM12" s="11">
        <v>0</v>
      </c>
      <c r="BN12" s="11">
        <v>0</v>
      </c>
      <c r="BO12" s="11">
        <v>0</v>
      </c>
      <c r="BP12" s="11">
        <v>0</v>
      </c>
      <c r="BQ12" s="11">
        <v>0</v>
      </c>
      <c r="BR12" s="11">
        <v>0</v>
      </c>
      <c r="BS12" s="26">
        <f t="shared" si="4"/>
        <v>0</v>
      </c>
      <c r="BT12" s="11">
        <v>0</v>
      </c>
      <c r="BU12" s="11">
        <v>0</v>
      </c>
      <c r="BV12" s="11">
        <v>0</v>
      </c>
      <c r="BW12" s="11">
        <v>0</v>
      </c>
      <c r="BX12" s="11">
        <v>0</v>
      </c>
      <c r="BY12" s="11">
        <v>0</v>
      </c>
      <c r="BZ12" s="11">
        <v>0</v>
      </c>
      <c r="CA12" s="11">
        <v>0</v>
      </c>
      <c r="CB12" s="11">
        <v>0</v>
      </c>
      <c r="CC12" s="11">
        <v>0</v>
      </c>
      <c r="CD12" s="11">
        <v>0</v>
      </c>
      <c r="CE12" s="11">
        <v>0</v>
      </c>
      <c r="CF12" s="26">
        <f t="shared" si="5"/>
        <v>0</v>
      </c>
      <c r="CG12" s="11">
        <v>0</v>
      </c>
      <c r="CH12" s="11">
        <v>0</v>
      </c>
      <c r="CI12" s="11">
        <v>0</v>
      </c>
      <c r="CJ12" s="11">
        <v>0</v>
      </c>
      <c r="CK12" s="11">
        <v>0</v>
      </c>
      <c r="CL12" s="11">
        <v>0</v>
      </c>
      <c r="CM12" s="11">
        <v>0</v>
      </c>
      <c r="CN12" s="11">
        <v>0</v>
      </c>
      <c r="CO12" s="11">
        <v>0</v>
      </c>
      <c r="CP12" s="11">
        <v>0</v>
      </c>
      <c r="CQ12" s="11">
        <v>0</v>
      </c>
      <c r="CR12" s="11">
        <v>0</v>
      </c>
      <c r="CS12" s="26">
        <f t="shared" si="6"/>
        <v>0</v>
      </c>
      <c r="CT12" s="11">
        <v>0</v>
      </c>
      <c r="CU12" s="11">
        <v>0</v>
      </c>
      <c r="CV12" s="11">
        <v>0</v>
      </c>
      <c r="CW12" s="11">
        <v>0</v>
      </c>
      <c r="CX12" s="11">
        <v>0</v>
      </c>
      <c r="CY12" s="11">
        <v>0</v>
      </c>
      <c r="CZ12" s="11">
        <v>0</v>
      </c>
      <c r="DA12" s="11">
        <v>0</v>
      </c>
      <c r="DB12" s="11">
        <v>0</v>
      </c>
      <c r="DC12" s="11">
        <v>0</v>
      </c>
      <c r="DD12" s="11">
        <v>0</v>
      </c>
      <c r="DE12" s="11">
        <v>0</v>
      </c>
      <c r="DF12" s="26">
        <f t="shared" si="7"/>
        <v>0</v>
      </c>
      <c r="DG12" s="11">
        <v>0</v>
      </c>
      <c r="DH12" s="11">
        <v>0</v>
      </c>
      <c r="DI12" s="11">
        <v>0</v>
      </c>
      <c r="DJ12" s="11">
        <v>0</v>
      </c>
      <c r="DK12" s="11">
        <v>0</v>
      </c>
      <c r="DL12" s="11">
        <v>0</v>
      </c>
      <c r="DM12" s="11">
        <v>0</v>
      </c>
      <c r="DN12" s="11">
        <v>0</v>
      </c>
      <c r="DO12" s="11">
        <v>0</v>
      </c>
      <c r="DP12" s="11">
        <v>0</v>
      </c>
      <c r="DQ12" s="11">
        <v>0</v>
      </c>
      <c r="DR12" s="11">
        <v>0</v>
      </c>
      <c r="DS12" s="26">
        <f t="shared" si="8"/>
        <v>0</v>
      </c>
      <c r="DT12" s="11">
        <v>0</v>
      </c>
      <c r="DU12" s="11">
        <v>0</v>
      </c>
      <c r="DV12" s="11">
        <v>0</v>
      </c>
      <c r="DW12" s="11">
        <v>0</v>
      </c>
      <c r="DX12" s="11">
        <v>0</v>
      </c>
      <c r="DY12" s="11">
        <v>0</v>
      </c>
      <c r="DZ12" s="11">
        <v>0</v>
      </c>
      <c r="EA12" s="11">
        <v>0</v>
      </c>
      <c r="EB12" s="11">
        <v>0</v>
      </c>
      <c r="EC12" s="11">
        <v>0</v>
      </c>
      <c r="ED12" s="11">
        <v>0</v>
      </c>
      <c r="EE12" s="11">
        <v>0</v>
      </c>
      <c r="EF12" s="26">
        <f t="shared" si="9"/>
        <v>0</v>
      </c>
      <c r="EG12" s="9">
        <f t="shared" si="10"/>
        <v>5228</v>
      </c>
      <c r="EH12" s="9">
        <f t="shared" si="11"/>
        <v>0</v>
      </c>
      <c r="EI12" s="11">
        <v>5414</v>
      </c>
      <c r="EJ12" s="11">
        <v>6810</v>
      </c>
      <c r="EK12" s="11">
        <v>5931</v>
      </c>
      <c r="EL12" s="11">
        <v>9135</v>
      </c>
      <c r="EM12" s="11">
        <v>7455</v>
      </c>
      <c r="EN12" s="11">
        <v>5653</v>
      </c>
      <c r="EO12" s="11">
        <v>6853</v>
      </c>
      <c r="EP12" s="11">
        <v>7254</v>
      </c>
      <c r="EQ12" s="11">
        <v>5127</v>
      </c>
      <c r="ER12" s="11">
        <v>5827</v>
      </c>
      <c r="ES12" s="11">
        <v>8314</v>
      </c>
      <c r="ET12" s="11">
        <v>8300</v>
      </c>
      <c r="EU12" s="26">
        <f t="shared" si="12"/>
        <v>82073</v>
      </c>
      <c r="EV12" s="11">
        <v>3378</v>
      </c>
      <c r="EW12" s="11">
        <v>3376</v>
      </c>
      <c r="EX12" s="11">
        <v>3424</v>
      </c>
      <c r="EY12" s="11">
        <v>4562</v>
      </c>
      <c r="EZ12" s="11">
        <v>3752</v>
      </c>
      <c r="FA12" s="11">
        <v>3571</v>
      </c>
      <c r="FB12" s="11">
        <v>4036</v>
      </c>
      <c r="FC12" s="11">
        <v>3993</v>
      </c>
      <c r="FD12" s="11">
        <v>2806</v>
      </c>
      <c r="FE12" s="11">
        <v>3273</v>
      </c>
      <c r="FF12" s="11">
        <v>4009</v>
      </c>
      <c r="FG12" s="11">
        <v>3697</v>
      </c>
      <c r="FH12" s="26">
        <f t="shared" si="13"/>
        <v>43877</v>
      </c>
      <c r="FI12" s="11">
        <v>2036</v>
      </c>
      <c r="FJ12" s="11">
        <v>3434</v>
      </c>
      <c r="FK12" s="11">
        <v>2507</v>
      </c>
      <c r="FL12" s="11">
        <v>4573</v>
      </c>
      <c r="FM12" s="11">
        <v>3703</v>
      </c>
      <c r="FN12" s="11">
        <v>2082</v>
      </c>
      <c r="FO12" s="11">
        <v>2817</v>
      </c>
      <c r="FP12" s="11">
        <v>3261</v>
      </c>
      <c r="FQ12" s="11">
        <v>2321</v>
      </c>
      <c r="FR12" s="11">
        <v>2554</v>
      </c>
      <c r="FS12" s="11">
        <v>4305</v>
      </c>
      <c r="FT12" s="11">
        <v>4603</v>
      </c>
      <c r="FU12" s="26">
        <f t="shared" si="14"/>
        <v>38196</v>
      </c>
      <c r="FV12" s="11">
        <v>0</v>
      </c>
      <c r="FW12" s="11">
        <v>0</v>
      </c>
      <c r="FX12" s="11">
        <v>0</v>
      </c>
      <c r="FY12" s="11">
        <v>0</v>
      </c>
      <c r="FZ12" s="11">
        <v>0</v>
      </c>
      <c r="GA12" s="11">
        <v>0</v>
      </c>
      <c r="GB12" s="11">
        <v>0</v>
      </c>
      <c r="GC12" s="11">
        <v>0</v>
      </c>
      <c r="GD12" s="11">
        <v>0</v>
      </c>
      <c r="GE12" s="11">
        <v>0</v>
      </c>
      <c r="GF12" s="11">
        <v>0</v>
      </c>
      <c r="GG12" s="11">
        <v>0</v>
      </c>
      <c r="GH12" s="26">
        <f t="shared" si="15"/>
        <v>0</v>
      </c>
      <c r="GI12" s="11">
        <v>0</v>
      </c>
      <c r="GJ12" s="11">
        <v>0</v>
      </c>
      <c r="GK12" s="11">
        <v>0</v>
      </c>
      <c r="GL12" s="11">
        <v>0</v>
      </c>
      <c r="GM12" s="11">
        <v>0</v>
      </c>
      <c r="GN12" s="11">
        <v>0</v>
      </c>
      <c r="GO12" s="11">
        <v>0</v>
      </c>
      <c r="GP12" s="11">
        <v>0</v>
      </c>
      <c r="GQ12" s="11">
        <v>0</v>
      </c>
      <c r="GR12" s="11">
        <v>0</v>
      </c>
      <c r="GS12" s="11">
        <v>0</v>
      </c>
      <c r="GT12" s="11">
        <v>0</v>
      </c>
      <c r="GU12" s="26">
        <f t="shared" si="16"/>
        <v>0</v>
      </c>
      <c r="GV12" s="11">
        <v>0</v>
      </c>
      <c r="GW12" s="11">
        <v>0</v>
      </c>
      <c r="GX12" s="11">
        <v>0</v>
      </c>
      <c r="GY12" s="11">
        <v>0</v>
      </c>
      <c r="GZ12" s="11">
        <v>0</v>
      </c>
      <c r="HA12" s="11">
        <v>0</v>
      </c>
      <c r="HB12" s="11">
        <v>0</v>
      </c>
      <c r="HC12" s="11">
        <v>0</v>
      </c>
      <c r="HD12" s="11">
        <v>0</v>
      </c>
      <c r="HE12" s="11">
        <v>0</v>
      </c>
      <c r="HF12" s="11">
        <v>0</v>
      </c>
      <c r="HG12" s="11">
        <v>0</v>
      </c>
      <c r="HH12" s="26">
        <f t="shared" si="17"/>
        <v>0</v>
      </c>
      <c r="HI12" s="11">
        <v>0</v>
      </c>
      <c r="HJ12" s="11">
        <v>0</v>
      </c>
      <c r="HK12" s="11">
        <v>0</v>
      </c>
      <c r="HL12" s="11">
        <v>0</v>
      </c>
      <c r="HM12" s="11">
        <v>0</v>
      </c>
      <c r="HN12" s="11">
        <v>0</v>
      </c>
      <c r="HO12" s="11">
        <v>0</v>
      </c>
      <c r="HP12" s="11">
        <v>0</v>
      </c>
      <c r="HQ12" s="11">
        <v>0</v>
      </c>
      <c r="HR12" s="11">
        <v>0</v>
      </c>
      <c r="HS12" s="11">
        <v>0</v>
      </c>
      <c r="HT12" s="11">
        <v>0</v>
      </c>
      <c r="HU12" s="26">
        <f t="shared" si="18"/>
        <v>0</v>
      </c>
      <c r="HV12" s="11">
        <v>0</v>
      </c>
      <c r="HW12" s="11">
        <v>0</v>
      </c>
      <c r="HX12" s="11">
        <v>0</v>
      </c>
      <c r="HY12" s="11">
        <v>0</v>
      </c>
      <c r="HZ12" s="11">
        <v>0</v>
      </c>
      <c r="IA12" s="11">
        <v>0</v>
      </c>
      <c r="IB12" s="11">
        <v>0</v>
      </c>
      <c r="IC12" s="11">
        <v>0</v>
      </c>
      <c r="ID12" s="11">
        <v>0</v>
      </c>
      <c r="IE12" s="11">
        <v>0</v>
      </c>
      <c r="IF12" s="11">
        <v>0</v>
      </c>
      <c r="IG12" s="11">
        <v>0</v>
      </c>
      <c r="IH12" s="26">
        <f t="shared" si="19"/>
        <v>0</v>
      </c>
      <c r="II12" s="9">
        <f t="shared" si="20"/>
        <v>82073</v>
      </c>
      <c r="IJ12" s="9">
        <f t="shared" si="21"/>
        <v>0</v>
      </c>
      <c r="IK12" s="11">
        <v>43471</v>
      </c>
      <c r="IL12" s="11">
        <v>42988</v>
      </c>
      <c r="IM12" s="11">
        <v>39754</v>
      </c>
      <c r="IN12" s="11">
        <v>49894</v>
      </c>
      <c r="IO12" s="11">
        <v>52419</v>
      </c>
      <c r="IP12" s="11">
        <v>42610</v>
      </c>
      <c r="IQ12" s="11">
        <v>46602</v>
      </c>
      <c r="IR12" s="11">
        <v>40761</v>
      </c>
      <c r="IS12" s="11">
        <v>34108</v>
      </c>
      <c r="IT12" s="11">
        <v>42116</v>
      </c>
      <c r="IU12" s="11">
        <v>40052</v>
      </c>
      <c r="IV12" s="11">
        <v>37891</v>
      </c>
      <c r="IW12" s="27">
        <f t="shared" si="22"/>
        <v>512666</v>
      </c>
      <c r="IX12" s="11">
        <v>0</v>
      </c>
      <c r="IY12" s="11">
        <v>0</v>
      </c>
      <c r="IZ12" s="11">
        <v>0</v>
      </c>
      <c r="JA12" s="11">
        <v>0</v>
      </c>
      <c r="JB12" s="11">
        <v>0</v>
      </c>
      <c r="JC12" s="11">
        <v>0</v>
      </c>
      <c r="JD12" s="11">
        <v>0</v>
      </c>
      <c r="JE12" s="11">
        <v>0</v>
      </c>
      <c r="JF12" s="11">
        <v>0</v>
      </c>
      <c r="JG12" s="11">
        <v>0</v>
      </c>
      <c r="JH12" s="11">
        <v>0</v>
      </c>
      <c r="JI12" s="11">
        <v>0</v>
      </c>
      <c r="JJ12" s="27">
        <f t="shared" si="23"/>
        <v>0</v>
      </c>
      <c r="JK12" s="11">
        <v>0</v>
      </c>
      <c r="JL12" s="11">
        <v>0</v>
      </c>
      <c r="JM12" s="11">
        <v>0</v>
      </c>
      <c r="JN12" s="11">
        <v>0</v>
      </c>
      <c r="JO12" s="11">
        <v>0</v>
      </c>
      <c r="JP12" s="11">
        <v>0</v>
      </c>
      <c r="JQ12" s="11">
        <v>0</v>
      </c>
      <c r="JR12" s="11">
        <v>0</v>
      </c>
      <c r="JS12" s="11">
        <v>0</v>
      </c>
      <c r="JT12" s="11">
        <v>0</v>
      </c>
      <c r="JU12" s="11">
        <v>0</v>
      </c>
      <c r="JV12" s="11">
        <v>0</v>
      </c>
      <c r="JW12" s="27">
        <f t="shared" si="24"/>
        <v>0</v>
      </c>
      <c r="JX12" s="11">
        <v>0</v>
      </c>
      <c r="JY12" s="11">
        <v>0</v>
      </c>
      <c r="JZ12" s="11">
        <v>0</v>
      </c>
      <c r="KA12" s="11">
        <v>0</v>
      </c>
      <c r="KB12" s="11">
        <v>0</v>
      </c>
      <c r="KC12" s="11">
        <v>0</v>
      </c>
      <c r="KD12" s="11">
        <v>0</v>
      </c>
      <c r="KE12" s="11">
        <v>0</v>
      </c>
      <c r="KF12" s="11">
        <v>0</v>
      </c>
      <c r="KG12" s="11">
        <v>0</v>
      </c>
      <c r="KH12" s="11">
        <v>0</v>
      </c>
      <c r="KI12" s="11">
        <v>0</v>
      </c>
      <c r="KJ12" s="27">
        <f t="shared" si="25"/>
        <v>0</v>
      </c>
      <c r="KK12" s="11">
        <v>750</v>
      </c>
      <c r="KL12" s="11">
        <v>691</v>
      </c>
      <c r="KM12" s="11">
        <v>660</v>
      </c>
      <c r="KN12" s="11">
        <v>521</v>
      </c>
      <c r="KO12" s="11">
        <v>723</v>
      </c>
      <c r="KP12" s="11">
        <v>431</v>
      </c>
      <c r="KQ12" s="11">
        <v>639</v>
      </c>
      <c r="KR12" s="11">
        <v>469</v>
      </c>
      <c r="KS12" s="11">
        <v>540</v>
      </c>
      <c r="KT12" s="11">
        <v>583</v>
      </c>
      <c r="KU12" s="11">
        <v>603</v>
      </c>
      <c r="KV12" s="11">
        <v>626</v>
      </c>
      <c r="KW12" s="27">
        <f t="shared" si="26"/>
        <v>7236</v>
      </c>
      <c r="KX12" s="11">
        <v>0</v>
      </c>
      <c r="KY12" s="11">
        <v>0</v>
      </c>
      <c r="KZ12" s="11">
        <v>0</v>
      </c>
      <c r="LA12" s="11">
        <v>0</v>
      </c>
      <c r="LB12" s="11">
        <v>0</v>
      </c>
      <c r="LC12" s="11">
        <v>0</v>
      </c>
      <c r="LD12" s="11">
        <v>0</v>
      </c>
      <c r="LE12" s="11">
        <v>0</v>
      </c>
      <c r="LF12" s="11">
        <v>0</v>
      </c>
      <c r="LG12" s="11">
        <v>0</v>
      </c>
      <c r="LH12" s="11">
        <v>0</v>
      </c>
      <c r="LI12" s="11">
        <v>0</v>
      </c>
      <c r="LJ12" s="27">
        <f t="shared" si="27"/>
        <v>0</v>
      </c>
      <c r="LK12" s="11">
        <v>0</v>
      </c>
      <c r="LL12" s="11">
        <v>0</v>
      </c>
      <c r="LM12" s="11">
        <v>0</v>
      </c>
      <c r="LN12" s="11">
        <v>0</v>
      </c>
      <c r="LO12" s="11">
        <v>0</v>
      </c>
      <c r="LP12" s="11">
        <v>0</v>
      </c>
      <c r="LQ12" s="11">
        <v>0</v>
      </c>
      <c r="LR12" s="11">
        <v>0</v>
      </c>
      <c r="LS12" s="11">
        <v>0</v>
      </c>
      <c r="LT12" s="11">
        <v>0</v>
      </c>
      <c r="LU12" s="11">
        <v>0</v>
      </c>
      <c r="LV12" s="11">
        <v>0</v>
      </c>
      <c r="LW12" s="27">
        <f t="shared" si="28"/>
        <v>0</v>
      </c>
      <c r="LX12" s="11">
        <v>0</v>
      </c>
      <c r="LY12" s="11">
        <v>0</v>
      </c>
      <c r="LZ12" s="11">
        <v>0</v>
      </c>
      <c r="MA12" s="11">
        <v>0</v>
      </c>
      <c r="MB12" s="11">
        <v>0</v>
      </c>
      <c r="MC12" s="11">
        <v>0</v>
      </c>
      <c r="MD12" s="11">
        <v>0</v>
      </c>
      <c r="ME12" s="11">
        <v>0</v>
      </c>
      <c r="MF12" s="11">
        <v>0</v>
      </c>
      <c r="MG12" s="11">
        <v>0</v>
      </c>
      <c r="MH12" s="11">
        <v>0</v>
      </c>
      <c r="MI12" s="11">
        <v>0</v>
      </c>
      <c r="MJ12" s="27">
        <f t="shared" si="29"/>
        <v>0</v>
      </c>
      <c r="MK12" s="11">
        <v>1947</v>
      </c>
      <c r="ML12" s="11">
        <v>1818</v>
      </c>
      <c r="MM12" s="11">
        <v>1869</v>
      </c>
      <c r="MN12" s="11">
        <v>1925</v>
      </c>
      <c r="MO12" s="11">
        <v>1992</v>
      </c>
      <c r="MP12" s="11">
        <v>1996</v>
      </c>
      <c r="MQ12" s="11">
        <v>1971</v>
      </c>
      <c r="MR12" s="11">
        <v>1808</v>
      </c>
      <c r="MS12" s="11">
        <v>1847</v>
      </c>
      <c r="MT12" s="11">
        <v>1881</v>
      </c>
      <c r="MU12" s="11">
        <v>1697</v>
      </c>
      <c r="MV12" s="11">
        <v>1754</v>
      </c>
      <c r="MW12" s="27">
        <f t="shared" si="30"/>
        <v>22505</v>
      </c>
      <c r="MX12" s="11">
        <v>1642</v>
      </c>
      <c r="MY12" s="11">
        <v>1508</v>
      </c>
      <c r="MZ12" s="11">
        <v>1550</v>
      </c>
      <c r="NA12" s="11">
        <v>1589</v>
      </c>
      <c r="NB12" s="11">
        <v>1661</v>
      </c>
      <c r="NC12" s="11">
        <v>1705</v>
      </c>
      <c r="ND12" s="11">
        <v>1674</v>
      </c>
      <c r="NE12" s="11">
        <v>1508</v>
      </c>
      <c r="NF12" s="11">
        <v>1537</v>
      </c>
      <c r="NG12" s="11">
        <v>1577</v>
      </c>
      <c r="NH12" s="11">
        <v>1432</v>
      </c>
      <c r="NI12" s="11">
        <v>1459</v>
      </c>
      <c r="NJ12" s="27">
        <f t="shared" si="31"/>
        <v>18842</v>
      </c>
      <c r="NK12" s="11">
        <v>198</v>
      </c>
      <c r="NL12" s="11">
        <v>192</v>
      </c>
      <c r="NM12" s="11">
        <v>213</v>
      </c>
      <c r="NN12" s="11">
        <v>212</v>
      </c>
      <c r="NO12" s="11">
        <v>213</v>
      </c>
      <c r="NP12" s="11">
        <v>197</v>
      </c>
      <c r="NQ12" s="11">
        <v>215</v>
      </c>
      <c r="NR12" s="11">
        <v>210</v>
      </c>
      <c r="NS12" s="11">
        <v>215</v>
      </c>
      <c r="NT12" s="11">
        <v>194</v>
      </c>
      <c r="NU12" s="11">
        <v>169</v>
      </c>
      <c r="NV12" s="11">
        <v>186</v>
      </c>
      <c r="NW12" s="27">
        <f t="shared" si="32"/>
        <v>2414</v>
      </c>
      <c r="NX12" s="11">
        <v>107</v>
      </c>
      <c r="NY12" s="11">
        <v>118</v>
      </c>
      <c r="NZ12" s="11">
        <v>106</v>
      </c>
      <c r="OA12" s="11">
        <v>124</v>
      </c>
      <c r="OB12" s="11">
        <v>118</v>
      </c>
      <c r="OC12" s="11">
        <v>94</v>
      </c>
      <c r="OD12" s="11">
        <v>82</v>
      </c>
      <c r="OE12" s="11">
        <v>90</v>
      </c>
      <c r="OF12" s="11">
        <v>95</v>
      </c>
      <c r="OG12" s="11">
        <v>110</v>
      </c>
      <c r="OH12" s="11">
        <v>96</v>
      </c>
      <c r="OI12" s="11">
        <v>109</v>
      </c>
      <c r="OJ12" s="27">
        <f t="shared" si="33"/>
        <v>1249</v>
      </c>
      <c r="OK12" s="11">
        <v>2253</v>
      </c>
      <c r="OL12" s="11">
        <v>2325</v>
      </c>
      <c r="OM12" s="11">
        <v>2124</v>
      </c>
      <c r="ON12" s="11">
        <v>2435</v>
      </c>
      <c r="OO12" s="11">
        <v>2411</v>
      </c>
      <c r="OP12" s="11">
        <v>2387</v>
      </c>
      <c r="OQ12" s="11">
        <v>2440</v>
      </c>
      <c r="OR12" s="11">
        <v>2397</v>
      </c>
      <c r="OS12" s="11">
        <v>2289</v>
      </c>
      <c r="OT12" s="11">
        <v>2561</v>
      </c>
      <c r="OU12" s="11">
        <v>2316</v>
      </c>
      <c r="OV12" s="11">
        <v>2487</v>
      </c>
      <c r="OW12" s="27">
        <f t="shared" si="34"/>
        <v>28425</v>
      </c>
      <c r="OX12" s="11">
        <v>1754</v>
      </c>
      <c r="OY12" s="11">
        <v>1727</v>
      </c>
      <c r="OZ12" s="11">
        <v>1668</v>
      </c>
      <c r="PA12" s="11">
        <v>1858</v>
      </c>
      <c r="PB12" s="11">
        <v>1892</v>
      </c>
      <c r="PC12" s="11">
        <v>1901</v>
      </c>
      <c r="PD12" s="11">
        <v>1967</v>
      </c>
      <c r="PE12" s="11">
        <v>1903</v>
      </c>
      <c r="PF12" s="11">
        <v>1774</v>
      </c>
      <c r="PG12" s="11">
        <v>1977</v>
      </c>
      <c r="PH12" s="11">
        <v>1852</v>
      </c>
      <c r="PI12" s="11">
        <v>2011</v>
      </c>
      <c r="PJ12" s="27">
        <f t="shared" si="35"/>
        <v>22284</v>
      </c>
      <c r="PK12" s="11">
        <v>387</v>
      </c>
      <c r="PL12" s="11">
        <v>477</v>
      </c>
      <c r="PM12" s="11">
        <v>336</v>
      </c>
      <c r="PN12" s="11">
        <v>464</v>
      </c>
      <c r="PO12" s="11">
        <v>415</v>
      </c>
      <c r="PP12" s="11">
        <v>374</v>
      </c>
      <c r="PQ12" s="11">
        <v>375</v>
      </c>
      <c r="PR12" s="11">
        <v>401</v>
      </c>
      <c r="PS12" s="11">
        <v>424</v>
      </c>
      <c r="PT12" s="11">
        <v>481</v>
      </c>
      <c r="PU12" s="11">
        <v>345</v>
      </c>
      <c r="PV12" s="11">
        <v>368</v>
      </c>
      <c r="PW12" s="27">
        <f t="shared" si="36"/>
        <v>4847</v>
      </c>
      <c r="PX12" s="11">
        <v>112</v>
      </c>
      <c r="PY12" s="11">
        <v>121</v>
      </c>
      <c r="PZ12" s="11">
        <v>120</v>
      </c>
      <c r="QA12" s="11">
        <v>113</v>
      </c>
      <c r="QB12" s="11">
        <v>104</v>
      </c>
      <c r="QC12" s="11">
        <v>112</v>
      </c>
      <c r="QD12" s="11">
        <v>98</v>
      </c>
      <c r="QE12" s="11">
        <v>93</v>
      </c>
      <c r="QF12" s="11">
        <v>91</v>
      </c>
      <c r="QG12" s="11">
        <v>103</v>
      </c>
      <c r="QH12" s="11">
        <v>119</v>
      </c>
      <c r="QI12" s="11">
        <v>108</v>
      </c>
      <c r="QJ12" s="27">
        <f t="shared" si="37"/>
        <v>1294</v>
      </c>
      <c r="QK12" s="11">
        <v>22714</v>
      </c>
      <c r="QL12" s="11">
        <v>25553</v>
      </c>
      <c r="QM12" s="11">
        <v>24828</v>
      </c>
      <c r="QN12" s="11">
        <v>30386</v>
      </c>
      <c r="QO12" s="11">
        <v>32543</v>
      </c>
      <c r="QP12" s="11">
        <v>26404</v>
      </c>
      <c r="QQ12" s="11">
        <v>23902</v>
      </c>
      <c r="QR12" s="11">
        <v>21574</v>
      </c>
      <c r="QS12" s="11">
        <v>17813</v>
      </c>
      <c r="QT12" s="11">
        <v>25825</v>
      </c>
      <c r="QU12" s="11">
        <v>25635</v>
      </c>
      <c r="QV12" s="11">
        <v>26149</v>
      </c>
      <c r="QW12" s="27">
        <f t="shared" si="38"/>
        <v>303326</v>
      </c>
      <c r="QX12" s="11">
        <v>40684</v>
      </c>
      <c r="QY12" s="11">
        <v>39472</v>
      </c>
      <c r="QZ12" s="11">
        <v>36181</v>
      </c>
      <c r="RA12" s="11">
        <v>43500</v>
      </c>
      <c r="RB12" s="11">
        <v>39681</v>
      </c>
      <c r="RC12" s="11">
        <v>36059</v>
      </c>
      <c r="RD12" s="11">
        <v>42165</v>
      </c>
      <c r="RE12" s="11">
        <v>41918</v>
      </c>
      <c r="RF12" s="11">
        <v>32375</v>
      </c>
      <c r="RG12" s="11">
        <v>34137</v>
      </c>
      <c r="RH12" s="11">
        <v>39815</v>
      </c>
      <c r="RI12" s="11">
        <v>34638</v>
      </c>
      <c r="RJ12" s="27">
        <f t="shared" si="39"/>
        <v>460625</v>
      </c>
      <c r="RK12" s="11">
        <v>0</v>
      </c>
      <c r="RL12" s="11">
        <v>0</v>
      </c>
      <c r="RM12" s="11">
        <v>0</v>
      </c>
      <c r="RN12" s="11">
        <v>0</v>
      </c>
      <c r="RO12" s="11">
        <v>0</v>
      </c>
      <c r="RP12" s="11">
        <v>0</v>
      </c>
      <c r="RQ12" s="11">
        <v>0</v>
      </c>
      <c r="RR12" s="11">
        <v>0</v>
      </c>
      <c r="RS12" s="11">
        <v>0</v>
      </c>
      <c r="RT12" s="11">
        <v>0</v>
      </c>
      <c r="RU12" s="11">
        <v>0</v>
      </c>
      <c r="RV12" s="11">
        <v>0</v>
      </c>
      <c r="RW12" s="27">
        <f t="shared" si="40"/>
        <v>0</v>
      </c>
      <c r="RX12" s="11">
        <v>0</v>
      </c>
      <c r="RY12" s="11">
        <v>0</v>
      </c>
      <c r="RZ12" s="11">
        <v>0</v>
      </c>
      <c r="SA12" s="11">
        <v>0</v>
      </c>
      <c r="SB12" s="11">
        <v>0</v>
      </c>
      <c r="SC12" s="11">
        <v>0</v>
      </c>
      <c r="SD12" s="11">
        <v>0</v>
      </c>
      <c r="SE12" s="11">
        <v>0</v>
      </c>
      <c r="SF12" s="11">
        <v>0</v>
      </c>
      <c r="SG12" s="11">
        <v>0</v>
      </c>
      <c r="SH12" s="11">
        <v>0</v>
      </c>
      <c r="SI12" s="11">
        <v>0</v>
      </c>
      <c r="SJ12" s="27">
        <f t="shared" si="41"/>
        <v>0</v>
      </c>
      <c r="SK12" s="11">
        <v>117</v>
      </c>
      <c r="SL12" s="11">
        <v>97</v>
      </c>
      <c r="SM12" s="11">
        <v>113</v>
      </c>
      <c r="SN12" s="11">
        <v>132</v>
      </c>
      <c r="SO12" s="11">
        <v>124</v>
      </c>
      <c r="SP12" s="11">
        <v>16</v>
      </c>
      <c r="SQ12" s="11">
        <v>74</v>
      </c>
      <c r="SR12" s="11">
        <v>90</v>
      </c>
      <c r="SS12" s="11">
        <v>72</v>
      </c>
      <c r="ST12" s="11">
        <v>83</v>
      </c>
      <c r="SU12" s="11">
        <v>75</v>
      </c>
      <c r="SV12" s="11">
        <v>98</v>
      </c>
      <c r="SW12" s="27">
        <f t="shared" si="42"/>
        <v>1091</v>
      </c>
      <c r="SX12" s="28" t="s">
        <v>2649</v>
      </c>
      <c r="SY12" s="11">
        <v>3434</v>
      </c>
      <c r="SZ12" s="11">
        <v>3354</v>
      </c>
      <c r="TA12" s="11">
        <v>3230</v>
      </c>
      <c r="TB12" s="11">
        <v>3651</v>
      </c>
      <c r="TC12" s="11">
        <v>3688</v>
      </c>
      <c r="TD12" s="11">
        <v>3368</v>
      </c>
      <c r="TE12" s="11">
        <v>3622</v>
      </c>
      <c r="TF12" s="11">
        <v>3266</v>
      </c>
      <c r="TG12" s="11">
        <v>2444</v>
      </c>
      <c r="TH12" s="11">
        <v>2746</v>
      </c>
      <c r="TI12" s="11">
        <v>2857</v>
      </c>
      <c r="TJ12" s="11">
        <v>2801</v>
      </c>
      <c r="TK12" s="27">
        <f>ROUND(SUM(SY12:TJ12),0)</f>
        <v>38461</v>
      </c>
      <c r="TL12" s="11">
        <v>0</v>
      </c>
      <c r="TM12" s="11">
        <v>0</v>
      </c>
      <c r="TN12" s="11">
        <v>0</v>
      </c>
      <c r="TO12" s="11">
        <v>0</v>
      </c>
      <c r="TP12" s="11">
        <v>0</v>
      </c>
      <c r="TQ12" s="11">
        <v>0</v>
      </c>
      <c r="TR12" s="11">
        <v>0</v>
      </c>
      <c r="TS12" s="11">
        <v>0</v>
      </c>
      <c r="TT12" s="11">
        <v>0</v>
      </c>
      <c r="TU12" s="11">
        <v>0</v>
      </c>
      <c r="TV12" s="11">
        <v>0</v>
      </c>
      <c r="TW12" s="11">
        <v>0</v>
      </c>
      <c r="TX12" s="27">
        <f t="shared" si="44"/>
        <v>0</v>
      </c>
      <c r="TY12" s="11">
        <v>144</v>
      </c>
      <c r="TZ12" s="11"/>
      <c r="UA12" s="11"/>
    </row>
    <row r="13" spans="1:547" x14ac:dyDescent="0.35">
      <c r="A13" s="11" t="s">
        <v>1527</v>
      </c>
      <c r="B13" s="11">
        <v>22163</v>
      </c>
      <c r="C13" s="11">
        <v>6758</v>
      </c>
      <c r="D13" s="11">
        <v>12677</v>
      </c>
      <c r="E13" s="11">
        <v>2728</v>
      </c>
      <c r="F13" s="11">
        <v>108</v>
      </c>
      <c r="G13" s="11">
        <v>120</v>
      </c>
      <c r="H13" s="11">
        <v>113</v>
      </c>
      <c r="I13" s="11">
        <v>87</v>
      </c>
      <c r="J13" s="11">
        <v>90</v>
      </c>
      <c r="K13" s="11">
        <v>74</v>
      </c>
      <c r="L13" s="11">
        <v>150</v>
      </c>
      <c r="M13" s="11">
        <v>155</v>
      </c>
      <c r="N13" s="11">
        <v>76</v>
      </c>
      <c r="O13" s="11">
        <v>109</v>
      </c>
      <c r="P13" s="11" t="s">
        <v>2866</v>
      </c>
      <c r="Q13" s="11">
        <v>154</v>
      </c>
      <c r="R13" s="11">
        <v>153</v>
      </c>
      <c r="S13" s="26">
        <f t="shared" si="0"/>
        <v>1389</v>
      </c>
      <c r="T13" s="11">
        <v>43</v>
      </c>
      <c r="U13" s="11">
        <v>59</v>
      </c>
      <c r="V13" s="11">
        <v>56</v>
      </c>
      <c r="W13" s="11">
        <v>36</v>
      </c>
      <c r="X13" s="11">
        <v>9</v>
      </c>
      <c r="Y13" s="11">
        <v>50</v>
      </c>
      <c r="Z13" s="11">
        <v>83</v>
      </c>
      <c r="AA13" s="11">
        <v>74</v>
      </c>
      <c r="AB13" s="11">
        <v>29</v>
      </c>
      <c r="AC13" s="11">
        <v>59</v>
      </c>
      <c r="AD13" s="11">
        <v>73</v>
      </c>
      <c r="AE13" s="11">
        <v>57</v>
      </c>
      <c r="AF13" s="26">
        <f t="shared" si="1"/>
        <v>628</v>
      </c>
      <c r="AG13" s="11">
        <v>65</v>
      </c>
      <c r="AH13" s="11">
        <v>61</v>
      </c>
      <c r="AI13" s="11">
        <v>57</v>
      </c>
      <c r="AJ13" s="11">
        <v>51</v>
      </c>
      <c r="AK13" s="11">
        <v>81</v>
      </c>
      <c r="AL13" s="11">
        <v>24</v>
      </c>
      <c r="AM13" s="11">
        <v>67</v>
      </c>
      <c r="AN13" s="11">
        <v>81</v>
      </c>
      <c r="AO13" s="11">
        <v>47</v>
      </c>
      <c r="AP13" s="11">
        <v>50</v>
      </c>
      <c r="AQ13" s="11">
        <v>81</v>
      </c>
      <c r="AR13" s="11">
        <v>96</v>
      </c>
      <c r="AS13" s="26">
        <f t="shared" si="2"/>
        <v>761</v>
      </c>
      <c r="AT13" s="11">
        <v>0</v>
      </c>
      <c r="AU13" s="11">
        <v>0</v>
      </c>
      <c r="AV13" s="11">
        <v>0</v>
      </c>
      <c r="AW13" s="11">
        <v>0</v>
      </c>
      <c r="AX13" s="11">
        <v>0</v>
      </c>
      <c r="AY13" s="11">
        <v>0</v>
      </c>
      <c r="AZ13" s="11">
        <v>0</v>
      </c>
      <c r="BA13" s="11">
        <v>0</v>
      </c>
      <c r="BB13" s="11">
        <v>0</v>
      </c>
      <c r="BC13" s="11">
        <v>0</v>
      </c>
      <c r="BD13" s="11">
        <v>0</v>
      </c>
      <c r="BE13" s="11">
        <v>0</v>
      </c>
      <c r="BF13" s="26">
        <f t="shared" si="3"/>
        <v>0</v>
      </c>
      <c r="BG13" s="11">
        <v>0</v>
      </c>
      <c r="BH13" s="11">
        <v>0</v>
      </c>
      <c r="BI13" s="11">
        <v>0</v>
      </c>
      <c r="BJ13" s="11">
        <v>0</v>
      </c>
      <c r="BK13" s="11">
        <v>0</v>
      </c>
      <c r="BL13" s="11">
        <v>0</v>
      </c>
      <c r="BM13" s="11">
        <v>0</v>
      </c>
      <c r="BN13" s="11">
        <v>0</v>
      </c>
      <c r="BO13" s="11">
        <v>0</v>
      </c>
      <c r="BP13" s="11">
        <v>0</v>
      </c>
      <c r="BQ13" s="11">
        <v>0</v>
      </c>
      <c r="BR13" s="11">
        <v>0</v>
      </c>
      <c r="BS13" s="26">
        <f t="shared" si="4"/>
        <v>0</v>
      </c>
      <c r="BT13" s="11">
        <v>0</v>
      </c>
      <c r="BU13" s="11">
        <v>0</v>
      </c>
      <c r="BV13" s="11">
        <v>0</v>
      </c>
      <c r="BW13" s="11">
        <v>0</v>
      </c>
      <c r="BX13" s="11">
        <v>0</v>
      </c>
      <c r="BY13" s="11">
        <v>0</v>
      </c>
      <c r="BZ13" s="11">
        <v>0</v>
      </c>
      <c r="CA13" s="11">
        <v>0</v>
      </c>
      <c r="CB13" s="11">
        <v>0</v>
      </c>
      <c r="CC13" s="11">
        <v>0</v>
      </c>
      <c r="CD13" s="11">
        <v>0</v>
      </c>
      <c r="CE13" s="11">
        <v>0</v>
      </c>
      <c r="CF13" s="26">
        <f t="shared" si="5"/>
        <v>0</v>
      </c>
      <c r="CG13" s="11">
        <v>0</v>
      </c>
      <c r="CH13" s="11">
        <v>0</v>
      </c>
      <c r="CI13" s="11">
        <v>0</v>
      </c>
      <c r="CJ13" s="11">
        <v>0</v>
      </c>
      <c r="CK13" s="11">
        <v>0</v>
      </c>
      <c r="CL13" s="11">
        <v>0</v>
      </c>
      <c r="CM13" s="11">
        <v>0</v>
      </c>
      <c r="CN13" s="11">
        <v>0</v>
      </c>
      <c r="CO13" s="11">
        <v>0</v>
      </c>
      <c r="CP13" s="11">
        <v>0</v>
      </c>
      <c r="CQ13" s="11">
        <v>0</v>
      </c>
      <c r="CR13" s="11">
        <v>0</v>
      </c>
      <c r="CS13" s="26">
        <f t="shared" si="6"/>
        <v>0</v>
      </c>
      <c r="CT13" s="11">
        <v>0</v>
      </c>
      <c r="CU13" s="11">
        <v>0</v>
      </c>
      <c r="CV13" s="11">
        <v>0</v>
      </c>
      <c r="CW13" s="11">
        <v>0</v>
      </c>
      <c r="CX13" s="11">
        <v>0</v>
      </c>
      <c r="CY13" s="11">
        <v>0</v>
      </c>
      <c r="CZ13" s="11">
        <v>0</v>
      </c>
      <c r="DA13" s="11">
        <v>0</v>
      </c>
      <c r="DB13" s="11">
        <v>0</v>
      </c>
      <c r="DC13" s="11">
        <v>0</v>
      </c>
      <c r="DD13" s="11">
        <v>0</v>
      </c>
      <c r="DE13" s="11">
        <v>0</v>
      </c>
      <c r="DF13" s="26">
        <f t="shared" si="7"/>
        <v>0</v>
      </c>
      <c r="DG13" s="11">
        <v>0</v>
      </c>
      <c r="DH13" s="11">
        <v>0</v>
      </c>
      <c r="DI13" s="11">
        <v>0</v>
      </c>
      <c r="DJ13" s="11">
        <v>0</v>
      </c>
      <c r="DK13" s="11">
        <v>0</v>
      </c>
      <c r="DL13" s="11">
        <v>0</v>
      </c>
      <c r="DM13" s="11">
        <v>0</v>
      </c>
      <c r="DN13" s="11">
        <v>0</v>
      </c>
      <c r="DO13" s="11">
        <v>0</v>
      </c>
      <c r="DP13" s="11">
        <v>0</v>
      </c>
      <c r="DQ13" s="11">
        <v>0</v>
      </c>
      <c r="DR13" s="11">
        <v>0</v>
      </c>
      <c r="DS13" s="26">
        <f t="shared" si="8"/>
        <v>0</v>
      </c>
      <c r="DT13" s="11">
        <v>0</v>
      </c>
      <c r="DU13" s="11">
        <v>0</v>
      </c>
      <c r="DV13" s="11">
        <v>0</v>
      </c>
      <c r="DW13" s="11">
        <v>0</v>
      </c>
      <c r="DX13" s="11">
        <v>0</v>
      </c>
      <c r="DY13" s="11">
        <v>0</v>
      </c>
      <c r="DZ13" s="11">
        <v>0</v>
      </c>
      <c r="EA13" s="11">
        <v>0</v>
      </c>
      <c r="EB13" s="11">
        <v>0</v>
      </c>
      <c r="EC13" s="11">
        <v>0</v>
      </c>
      <c r="ED13" s="11">
        <v>0</v>
      </c>
      <c r="EE13" s="11">
        <v>0</v>
      </c>
      <c r="EF13" s="26">
        <f t="shared" si="9"/>
        <v>0</v>
      </c>
      <c r="EG13" s="9">
        <f t="shared" si="10"/>
        <v>1389</v>
      </c>
      <c r="EH13" s="9">
        <f t="shared" si="11"/>
        <v>0</v>
      </c>
      <c r="EI13" s="11">
        <v>2636</v>
      </c>
      <c r="EJ13" s="11">
        <v>2292</v>
      </c>
      <c r="EK13" s="11">
        <v>2758</v>
      </c>
      <c r="EL13" s="11">
        <v>2190</v>
      </c>
      <c r="EM13" s="11">
        <v>2384</v>
      </c>
      <c r="EN13" s="11">
        <v>1363</v>
      </c>
      <c r="EO13" s="11">
        <v>3362</v>
      </c>
      <c r="EP13" s="11">
        <v>3872</v>
      </c>
      <c r="EQ13" s="11">
        <v>2707</v>
      </c>
      <c r="ER13" s="11">
        <v>2507</v>
      </c>
      <c r="ES13" s="11">
        <v>4433</v>
      </c>
      <c r="ET13" s="11">
        <v>4625</v>
      </c>
      <c r="EU13" s="26">
        <f t="shared" si="12"/>
        <v>35129</v>
      </c>
      <c r="EV13" s="11">
        <v>1192</v>
      </c>
      <c r="EW13" s="11">
        <v>1219</v>
      </c>
      <c r="EX13" s="11">
        <v>1393</v>
      </c>
      <c r="EY13" s="11">
        <v>1154</v>
      </c>
      <c r="EZ13" s="11">
        <v>992</v>
      </c>
      <c r="FA13" s="11">
        <v>951</v>
      </c>
      <c r="FB13" s="11">
        <v>1639</v>
      </c>
      <c r="FC13" s="11">
        <v>1704</v>
      </c>
      <c r="FD13" s="11">
        <v>1249</v>
      </c>
      <c r="FE13" s="11">
        <v>1312</v>
      </c>
      <c r="FF13" s="11">
        <v>2202</v>
      </c>
      <c r="FG13" s="11">
        <v>1810</v>
      </c>
      <c r="FH13" s="26">
        <f t="shared" si="13"/>
        <v>16817</v>
      </c>
      <c r="FI13" s="11">
        <v>1444</v>
      </c>
      <c r="FJ13" s="11">
        <v>1073</v>
      </c>
      <c r="FK13" s="11">
        <v>1365</v>
      </c>
      <c r="FL13" s="11">
        <v>1036</v>
      </c>
      <c r="FM13" s="11">
        <v>1392</v>
      </c>
      <c r="FN13" s="11">
        <v>412</v>
      </c>
      <c r="FO13" s="11">
        <v>1723</v>
      </c>
      <c r="FP13" s="11">
        <v>2168</v>
      </c>
      <c r="FQ13" s="11">
        <v>1458</v>
      </c>
      <c r="FR13" s="11">
        <v>1195</v>
      </c>
      <c r="FS13" s="11">
        <v>2231</v>
      </c>
      <c r="FT13" s="11">
        <v>2815</v>
      </c>
      <c r="FU13" s="26">
        <f t="shared" si="14"/>
        <v>18312</v>
      </c>
      <c r="FV13" s="11"/>
      <c r="FW13" s="11">
        <v>0</v>
      </c>
      <c r="FX13" s="11">
        <v>0</v>
      </c>
      <c r="FY13" s="11">
        <v>0</v>
      </c>
      <c r="FZ13" s="11">
        <v>0</v>
      </c>
      <c r="GA13" s="11">
        <v>0</v>
      </c>
      <c r="GB13" s="11">
        <v>0</v>
      </c>
      <c r="GC13" s="11">
        <v>0</v>
      </c>
      <c r="GD13" s="11">
        <v>0</v>
      </c>
      <c r="GE13" s="11">
        <v>0</v>
      </c>
      <c r="GF13" s="11">
        <v>0</v>
      </c>
      <c r="GG13" s="11">
        <v>0</v>
      </c>
      <c r="GH13" s="26">
        <f t="shared" si="15"/>
        <v>0</v>
      </c>
      <c r="GI13" s="11">
        <v>0</v>
      </c>
      <c r="GJ13" s="11">
        <v>0</v>
      </c>
      <c r="GK13" s="11">
        <v>0</v>
      </c>
      <c r="GL13" s="11">
        <v>0</v>
      </c>
      <c r="GM13" s="11">
        <v>0</v>
      </c>
      <c r="GN13" s="11">
        <v>0</v>
      </c>
      <c r="GO13" s="11">
        <v>0</v>
      </c>
      <c r="GP13" s="11">
        <v>0</v>
      </c>
      <c r="GQ13" s="11">
        <v>0</v>
      </c>
      <c r="GR13" s="11">
        <v>0</v>
      </c>
      <c r="GS13" s="11">
        <v>0</v>
      </c>
      <c r="GT13" s="11">
        <v>0</v>
      </c>
      <c r="GU13" s="26">
        <f t="shared" si="16"/>
        <v>0</v>
      </c>
      <c r="GV13" s="11">
        <v>0</v>
      </c>
      <c r="GW13" s="11">
        <v>0</v>
      </c>
      <c r="GX13" s="11">
        <v>0</v>
      </c>
      <c r="GY13" s="11">
        <v>0</v>
      </c>
      <c r="GZ13" s="11">
        <v>0</v>
      </c>
      <c r="HA13" s="11">
        <v>0</v>
      </c>
      <c r="HB13" s="11">
        <v>0</v>
      </c>
      <c r="HC13" s="11">
        <v>0</v>
      </c>
      <c r="HD13" s="11">
        <v>0</v>
      </c>
      <c r="HE13" s="11">
        <v>0</v>
      </c>
      <c r="HF13" s="11">
        <v>0</v>
      </c>
      <c r="HG13" s="11">
        <v>0</v>
      </c>
      <c r="HH13" s="26">
        <f t="shared" si="17"/>
        <v>0</v>
      </c>
      <c r="HI13" s="11">
        <v>0</v>
      </c>
      <c r="HJ13" s="11">
        <v>0</v>
      </c>
      <c r="HK13" s="11">
        <v>0</v>
      </c>
      <c r="HL13" s="11">
        <v>0</v>
      </c>
      <c r="HM13" s="11">
        <v>0</v>
      </c>
      <c r="HN13" s="11">
        <v>0</v>
      </c>
      <c r="HO13" s="11">
        <v>0</v>
      </c>
      <c r="HP13" s="11">
        <v>0</v>
      </c>
      <c r="HQ13" s="11">
        <v>0</v>
      </c>
      <c r="HR13" s="11">
        <v>0</v>
      </c>
      <c r="HS13" s="11">
        <v>0</v>
      </c>
      <c r="HT13" s="11">
        <v>0</v>
      </c>
      <c r="HU13" s="26">
        <f t="shared" si="18"/>
        <v>0</v>
      </c>
      <c r="HV13" s="11">
        <v>0</v>
      </c>
      <c r="HW13" s="11">
        <v>0</v>
      </c>
      <c r="HX13" s="11">
        <v>0</v>
      </c>
      <c r="HY13" s="11">
        <v>0</v>
      </c>
      <c r="HZ13" s="11">
        <v>0</v>
      </c>
      <c r="IA13" s="11">
        <v>0</v>
      </c>
      <c r="IB13" s="11">
        <v>0</v>
      </c>
      <c r="IC13" s="11">
        <v>0</v>
      </c>
      <c r="ID13" s="11">
        <v>0</v>
      </c>
      <c r="IE13" s="11">
        <v>0</v>
      </c>
      <c r="IF13" s="11">
        <v>0</v>
      </c>
      <c r="IG13" s="11">
        <v>0</v>
      </c>
      <c r="IH13" s="26">
        <f t="shared" si="19"/>
        <v>0</v>
      </c>
      <c r="II13" s="9">
        <f t="shared" si="20"/>
        <v>35129</v>
      </c>
      <c r="IJ13" s="9">
        <f t="shared" si="21"/>
        <v>0</v>
      </c>
      <c r="IK13" s="11">
        <v>57030</v>
      </c>
      <c r="IL13" s="11">
        <v>53857</v>
      </c>
      <c r="IM13" s="11">
        <v>47838</v>
      </c>
      <c r="IN13" s="11">
        <v>51629</v>
      </c>
      <c r="IO13" s="11">
        <v>50585</v>
      </c>
      <c r="IP13" s="11">
        <v>48565</v>
      </c>
      <c r="IQ13" s="11">
        <v>51091</v>
      </c>
      <c r="IR13" s="11">
        <v>51476</v>
      </c>
      <c r="IS13" s="11">
        <v>48007</v>
      </c>
      <c r="IT13" s="11">
        <v>52893</v>
      </c>
      <c r="IU13" s="11">
        <v>55034</v>
      </c>
      <c r="IV13" s="11">
        <v>55310</v>
      </c>
      <c r="IW13" s="27">
        <f t="shared" si="22"/>
        <v>623315</v>
      </c>
      <c r="IX13" s="11">
        <v>21252</v>
      </c>
      <c r="IY13" s="11">
        <v>20302</v>
      </c>
      <c r="IZ13" s="11">
        <v>18897</v>
      </c>
      <c r="JA13" s="11">
        <v>19559</v>
      </c>
      <c r="JB13" s="11">
        <v>18568</v>
      </c>
      <c r="JC13" s="11">
        <v>17782</v>
      </c>
      <c r="JD13" s="11">
        <v>18554</v>
      </c>
      <c r="JE13" s="11">
        <v>18857</v>
      </c>
      <c r="JF13" s="11">
        <v>17489</v>
      </c>
      <c r="JG13" s="11">
        <v>18960</v>
      </c>
      <c r="JH13" s="11">
        <v>18270</v>
      </c>
      <c r="JI13" s="11">
        <v>20233</v>
      </c>
      <c r="JJ13" s="27">
        <f t="shared" si="23"/>
        <v>228723</v>
      </c>
      <c r="JK13" s="11">
        <v>35068</v>
      </c>
      <c r="JL13" s="11">
        <v>32960</v>
      </c>
      <c r="JM13" s="11">
        <v>28391</v>
      </c>
      <c r="JN13" s="11">
        <v>31325</v>
      </c>
      <c r="JO13" s="11">
        <v>31343</v>
      </c>
      <c r="JP13" s="11">
        <v>30170</v>
      </c>
      <c r="JQ13" s="11">
        <v>31900</v>
      </c>
      <c r="JR13" s="11">
        <v>31877</v>
      </c>
      <c r="JS13" s="11">
        <v>29896</v>
      </c>
      <c r="JT13" s="11">
        <v>33265</v>
      </c>
      <c r="JU13" s="11">
        <v>36044</v>
      </c>
      <c r="JV13" s="11">
        <v>34315</v>
      </c>
      <c r="JW13" s="27">
        <f t="shared" si="24"/>
        <v>386554</v>
      </c>
      <c r="JX13" s="11">
        <v>0</v>
      </c>
      <c r="JY13" s="11">
        <v>0</v>
      </c>
      <c r="JZ13" s="11">
        <v>0</v>
      </c>
      <c r="KA13" s="11">
        <v>0</v>
      </c>
      <c r="KB13" s="11">
        <v>0</v>
      </c>
      <c r="KC13" s="11">
        <v>0</v>
      </c>
      <c r="KD13" s="11">
        <v>0</v>
      </c>
      <c r="KE13" s="11">
        <v>0</v>
      </c>
      <c r="KF13" s="11">
        <v>0</v>
      </c>
      <c r="KG13" s="11">
        <v>0</v>
      </c>
      <c r="KH13" s="11">
        <v>0</v>
      </c>
      <c r="KI13" s="11">
        <v>0</v>
      </c>
      <c r="KJ13" s="27">
        <f t="shared" si="25"/>
        <v>0</v>
      </c>
      <c r="KK13" s="11">
        <v>196</v>
      </c>
      <c r="KL13" s="11">
        <v>150</v>
      </c>
      <c r="KM13" s="11">
        <v>148</v>
      </c>
      <c r="KN13" s="11">
        <v>198</v>
      </c>
      <c r="KO13" s="11">
        <v>211</v>
      </c>
      <c r="KP13" s="11">
        <v>122</v>
      </c>
      <c r="KQ13" s="11">
        <v>172</v>
      </c>
      <c r="KR13" s="11">
        <v>157</v>
      </c>
      <c r="KS13" s="11">
        <v>135</v>
      </c>
      <c r="KT13" s="11">
        <v>168</v>
      </c>
      <c r="KU13" s="11">
        <v>131</v>
      </c>
      <c r="KV13" s="11">
        <v>141</v>
      </c>
      <c r="KW13" s="27">
        <f t="shared" si="26"/>
        <v>1929</v>
      </c>
      <c r="KX13" s="11">
        <v>180</v>
      </c>
      <c r="KY13" s="11">
        <v>134</v>
      </c>
      <c r="KZ13" s="11">
        <v>123</v>
      </c>
      <c r="LA13" s="11">
        <v>162</v>
      </c>
      <c r="LB13" s="11">
        <v>176</v>
      </c>
      <c r="LC13" s="11">
        <v>103</v>
      </c>
      <c r="LD13" s="11">
        <v>156</v>
      </c>
      <c r="LE13" s="11">
        <v>138</v>
      </c>
      <c r="LF13" s="11">
        <v>118</v>
      </c>
      <c r="LG13" s="11">
        <v>137</v>
      </c>
      <c r="LH13" s="11">
        <v>106</v>
      </c>
      <c r="LI13" s="11">
        <v>109</v>
      </c>
      <c r="LJ13" s="27">
        <f t="shared" si="27"/>
        <v>1642</v>
      </c>
      <c r="LK13" s="11">
        <v>16</v>
      </c>
      <c r="LL13" s="11">
        <v>16</v>
      </c>
      <c r="LM13" s="11">
        <v>25</v>
      </c>
      <c r="LN13" s="11">
        <v>36</v>
      </c>
      <c r="LO13" s="11">
        <v>35</v>
      </c>
      <c r="LP13" s="11">
        <v>19</v>
      </c>
      <c r="LQ13" s="11">
        <v>16</v>
      </c>
      <c r="LR13" s="11">
        <v>19</v>
      </c>
      <c r="LS13" s="11">
        <v>17</v>
      </c>
      <c r="LT13" s="11">
        <v>31</v>
      </c>
      <c r="LU13" s="11">
        <v>25</v>
      </c>
      <c r="LV13" s="11">
        <v>32</v>
      </c>
      <c r="LW13" s="27">
        <f t="shared" si="28"/>
        <v>287</v>
      </c>
      <c r="LX13" s="11">
        <v>0</v>
      </c>
      <c r="LY13" s="11">
        <v>0</v>
      </c>
      <c r="LZ13" s="11">
        <v>0</v>
      </c>
      <c r="MA13" s="11">
        <v>0</v>
      </c>
      <c r="MB13" s="11">
        <v>0</v>
      </c>
      <c r="MC13" s="11">
        <v>0</v>
      </c>
      <c r="MD13" s="11">
        <v>0</v>
      </c>
      <c r="ME13" s="11">
        <v>0</v>
      </c>
      <c r="MF13" s="11">
        <v>0</v>
      </c>
      <c r="MG13" s="11">
        <v>0</v>
      </c>
      <c r="MH13" s="11">
        <v>0</v>
      </c>
      <c r="MI13" s="11">
        <v>0</v>
      </c>
      <c r="MJ13" s="27">
        <f t="shared" si="29"/>
        <v>0</v>
      </c>
      <c r="MK13" s="11">
        <v>3568</v>
      </c>
      <c r="ML13" s="11">
        <v>3527</v>
      </c>
      <c r="MM13" s="11">
        <v>3279</v>
      </c>
      <c r="MN13" s="11">
        <v>3420</v>
      </c>
      <c r="MO13" s="11">
        <v>3634</v>
      </c>
      <c r="MP13" s="11">
        <v>3277</v>
      </c>
      <c r="MQ13" s="11">
        <v>3594</v>
      </c>
      <c r="MR13" s="11">
        <v>3675</v>
      </c>
      <c r="MS13" s="11">
        <v>3500</v>
      </c>
      <c r="MT13" s="11">
        <v>3949</v>
      </c>
      <c r="MU13" s="11">
        <v>3576</v>
      </c>
      <c r="MV13" s="11">
        <v>3807</v>
      </c>
      <c r="MW13" s="27">
        <f t="shared" si="30"/>
        <v>42806</v>
      </c>
      <c r="MX13" s="11">
        <v>2595</v>
      </c>
      <c r="MY13" s="11">
        <v>2546</v>
      </c>
      <c r="MZ13" s="11">
        <v>2349</v>
      </c>
      <c r="NA13" s="11">
        <v>2473</v>
      </c>
      <c r="NB13" s="11">
        <v>2740</v>
      </c>
      <c r="NC13" s="11">
        <v>2392</v>
      </c>
      <c r="ND13" s="11">
        <v>2611</v>
      </c>
      <c r="NE13" s="11">
        <v>2487</v>
      </c>
      <c r="NF13" s="11">
        <v>2588</v>
      </c>
      <c r="NG13" s="11">
        <v>2736</v>
      </c>
      <c r="NH13" s="11">
        <v>2529</v>
      </c>
      <c r="NI13" s="11">
        <v>2691</v>
      </c>
      <c r="NJ13" s="27">
        <f t="shared" si="31"/>
        <v>30737</v>
      </c>
      <c r="NK13" s="11">
        <v>639</v>
      </c>
      <c r="NL13" s="11">
        <v>985</v>
      </c>
      <c r="NM13" s="11">
        <v>611</v>
      </c>
      <c r="NN13" s="11">
        <v>597</v>
      </c>
      <c r="NO13" s="11">
        <v>654</v>
      </c>
      <c r="NP13" s="11">
        <v>487</v>
      </c>
      <c r="NQ13" s="11">
        <v>588</v>
      </c>
      <c r="NR13" s="11">
        <v>795</v>
      </c>
      <c r="NS13" s="11">
        <v>678</v>
      </c>
      <c r="NT13" s="11">
        <v>836</v>
      </c>
      <c r="NU13" s="11">
        <v>637</v>
      </c>
      <c r="NV13" s="11">
        <v>698</v>
      </c>
      <c r="NW13" s="27">
        <f t="shared" si="32"/>
        <v>8205</v>
      </c>
      <c r="NX13" s="11">
        <v>325</v>
      </c>
      <c r="NY13" s="11">
        <v>278</v>
      </c>
      <c r="NZ13" s="11">
        <v>315</v>
      </c>
      <c r="OA13" s="11">
        <v>320</v>
      </c>
      <c r="OB13" s="11">
        <v>410</v>
      </c>
      <c r="OC13" s="11">
        <v>322</v>
      </c>
      <c r="OD13" s="11">
        <v>371</v>
      </c>
      <c r="OE13" s="11">
        <v>377</v>
      </c>
      <c r="OF13" s="11">
        <v>294</v>
      </c>
      <c r="OG13" s="11">
        <v>370</v>
      </c>
      <c r="OH13" s="11">
        <v>390</v>
      </c>
      <c r="OI13" s="11">
        <v>392</v>
      </c>
      <c r="OJ13" s="27">
        <f t="shared" si="33"/>
        <v>4164</v>
      </c>
      <c r="OK13" s="11">
        <v>2602</v>
      </c>
      <c r="OL13" s="11">
        <v>2589</v>
      </c>
      <c r="OM13" s="11">
        <v>2414</v>
      </c>
      <c r="ON13" s="11">
        <v>2578</v>
      </c>
      <c r="OO13" s="11">
        <v>2618</v>
      </c>
      <c r="OP13" s="11">
        <v>2748</v>
      </c>
      <c r="OQ13" s="11">
        <v>2742</v>
      </c>
      <c r="OR13" s="11">
        <v>2656</v>
      </c>
      <c r="OS13" s="11">
        <v>2786</v>
      </c>
      <c r="OT13" s="11">
        <v>2974</v>
      </c>
      <c r="OU13" s="11">
        <v>2705</v>
      </c>
      <c r="OV13" s="11">
        <v>3131</v>
      </c>
      <c r="OW13" s="27">
        <f t="shared" si="34"/>
        <v>32543</v>
      </c>
      <c r="OX13" s="11">
        <v>2343</v>
      </c>
      <c r="OY13" s="11">
        <v>2316</v>
      </c>
      <c r="OZ13" s="11">
        <v>2101</v>
      </c>
      <c r="PA13" s="11">
        <v>2277</v>
      </c>
      <c r="PB13" s="11">
        <v>2454</v>
      </c>
      <c r="PC13" s="11">
        <v>2458</v>
      </c>
      <c r="PD13" s="11">
        <v>2450</v>
      </c>
      <c r="PE13" s="11">
        <v>2381</v>
      </c>
      <c r="PF13" s="11">
        <v>2474</v>
      </c>
      <c r="PG13" s="11">
        <v>2630</v>
      </c>
      <c r="PH13" s="11">
        <v>2364</v>
      </c>
      <c r="PI13" s="11">
        <v>2801</v>
      </c>
      <c r="PJ13" s="27">
        <f t="shared" si="35"/>
        <v>29049</v>
      </c>
      <c r="PK13" s="11">
        <v>158</v>
      </c>
      <c r="PL13" s="11">
        <v>146</v>
      </c>
      <c r="PM13" s="11">
        <v>186</v>
      </c>
      <c r="PN13" s="11">
        <v>177</v>
      </c>
      <c r="PO13" s="11">
        <v>157</v>
      </c>
      <c r="PP13" s="11">
        <v>159</v>
      </c>
      <c r="PQ13" s="11">
        <v>163</v>
      </c>
      <c r="PR13" s="11">
        <v>142</v>
      </c>
      <c r="PS13" s="11">
        <v>169</v>
      </c>
      <c r="PT13" s="11">
        <v>175</v>
      </c>
      <c r="PU13" s="11">
        <v>204</v>
      </c>
      <c r="PV13" s="11">
        <v>183</v>
      </c>
      <c r="PW13" s="27">
        <f t="shared" si="36"/>
        <v>2019</v>
      </c>
      <c r="PX13" s="11">
        <v>101</v>
      </c>
      <c r="PY13" s="11">
        <v>127</v>
      </c>
      <c r="PZ13" s="11">
        <v>127</v>
      </c>
      <c r="QA13" s="11">
        <v>124</v>
      </c>
      <c r="QB13" s="11">
        <v>186</v>
      </c>
      <c r="QC13" s="11">
        <v>135</v>
      </c>
      <c r="QD13" s="11">
        <v>129</v>
      </c>
      <c r="QE13" s="11">
        <v>133</v>
      </c>
      <c r="QF13" s="11">
        <v>143</v>
      </c>
      <c r="QG13" s="11">
        <v>169</v>
      </c>
      <c r="QH13" s="11">
        <v>137</v>
      </c>
      <c r="QI13" s="11">
        <v>204</v>
      </c>
      <c r="QJ13" s="27">
        <f t="shared" si="37"/>
        <v>1715</v>
      </c>
      <c r="QK13" s="11">
        <v>27913</v>
      </c>
      <c r="QL13" s="11">
        <v>29209</v>
      </c>
      <c r="QM13" s="11">
        <v>26874</v>
      </c>
      <c r="QN13" s="11">
        <v>30461</v>
      </c>
      <c r="QO13" s="11">
        <v>26849</v>
      </c>
      <c r="QP13" s="11">
        <v>26843</v>
      </c>
      <c r="QQ13" s="11">
        <v>30433</v>
      </c>
      <c r="QR13" s="11">
        <v>29550</v>
      </c>
      <c r="QS13" s="11">
        <v>24288</v>
      </c>
      <c r="QT13" s="11">
        <v>27748</v>
      </c>
      <c r="QU13" s="11">
        <v>28429</v>
      </c>
      <c r="QV13" s="11">
        <v>29150</v>
      </c>
      <c r="QW13" s="27">
        <f t="shared" si="38"/>
        <v>337747</v>
      </c>
      <c r="QX13" s="11">
        <v>86172</v>
      </c>
      <c r="QY13" s="11">
        <v>31810</v>
      </c>
      <c r="QZ13" s="11">
        <v>26276</v>
      </c>
      <c r="RA13" s="11">
        <v>22444</v>
      </c>
      <c r="RB13" s="11">
        <v>20254</v>
      </c>
      <c r="RC13" s="11">
        <v>24917</v>
      </c>
      <c r="RD13" s="11">
        <v>29393</v>
      </c>
      <c r="RE13" s="11">
        <v>65856</v>
      </c>
      <c r="RF13" s="11">
        <v>59950</v>
      </c>
      <c r="RG13" s="11">
        <v>75067</v>
      </c>
      <c r="RH13" s="11">
        <v>75244</v>
      </c>
      <c r="RI13" s="11">
        <v>84331</v>
      </c>
      <c r="RJ13" s="27">
        <f t="shared" si="39"/>
        <v>601714</v>
      </c>
      <c r="RK13" s="11">
        <v>0</v>
      </c>
      <c r="RL13" s="11">
        <v>0</v>
      </c>
      <c r="RM13" s="11">
        <v>0</v>
      </c>
      <c r="RN13" s="11">
        <v>0</v>
      </c>
      <c r="RO13" s="11">
        <v>0</v>
      </c>
      <c r="RP13" s="11">
        <v>0</v>
      </c>
      <c r="RQ13" s="11">
        <v>0</v>
      </c>
      <c r="RR13" s="11">
        <v>0</v>
      </c>
      <c r="RS13" s="11">
        <v>0</v>
      </c>
      <c r="RT13" s="11">
        <v>0</v>
      </c>
      <c r="RU13" s="11">
        <v>0</v>
      </c>
      <c r="RV13" s="11">
        <v>0</v>
      </c>
      <c r="RW13" s="27">
        <f t="shared" si="40"/>
        <v>0</v>
      </c>
      <c r="RX13" s="11">
        <v>0</v>
      </c>
      <c r="RY13" s="11">
        <v>0</v>
      </c>
      <c r="RZ13" s="11">
        <v>0</v>
      </c>
      <c r="SA13" s="11">
        <v>0</v>
      </c>
      <c r="SB13" s="11">
        <v>0</v>
      </c>
      <c r="SC13" s="11">
        <v>0</v>
      </c>
      <c r="SD13" s="11">
        <v>0</v>
      </c>
      <c r="SE13" s="11">
        <v>0</v>
      </c>
      <c r="SF13" s="11">
        <v>0</v>
      </c>
      <c r="SG13" s="11">
        <v>0</v>
      </c>
      <c r="SH13" s="11">
        <v>0</v>
      </c>
      <c r="SI13" s="11">
        <v>0</v>
      </c>
      <c r="SJ13" s="27">
        <f t="shared" si="41"/>
        <v>0</v>
      </c>
      <c r="SK13" s="11">
        <v>532</v>
      </c>
      <c r="SL13" s="11">
        <v>532</v>
      </c>
      <c r="SM13" s="11">
        <v>533</v>
      </c>
      <c r="SN13" s="11">
        <v>543</v>
      </c>
      <c r="SO13" s="11">
        <v>554</v>
      </c>
      <c r="SP13" s="11">
        <v>558</v>
      </c>
      <c r="SQ13" s="11">
        <v>571</v>
      </c>
      <c r="SR13" s="11">
        <v>576</v>
      </c>
      <c r="SS13" s="11">
        <v>576</v>
      </c>
      <c r="ST13" s="11">
        <v>576</v>
      </c>
      <c r="SU13" s="11">
        <v>567</v>
      </c>
      <c r="SV13" s="11">
        <v>567</v>
      </c>
      <c r="SW13" s="27">
        <f t="shared" si="42"/>
        <v>6685</v>
      </c>
      <c r="SX13" s="11" t="s">
        <v>2650</v>
      </c>
      <c r="SY13" s="11">
        <v>8034</v>
      </c>
      <c r="SZ13" s="11">
        <v>7114</v>
      </c>
      <c r="TA13" s="11">
        <v>7270</v>
      </c>
      <c r="TB13" s="11">
        <v>7271</v>
      </c>
      <c r="TC13" s="11">
        <v>7277</v>
      </c>
      <c r="TD13" s="11">
        <v>7162</v>
      </c>
      <c r="TE13" s="11">
        <v>6669</v>
      </c>
      <c r="TF13" s="11">
        <v>7306</v>
      </c>
      <c r="TG13" s="11">
        <v>6838</v>
      </c>
      <c r="TH13" s="11">
        <v>8509</v>
      </c>
      <c r="TI13" s="11">
        <v>8455</v>
      </c>
      <c r="TJ13" s="11">
        <v>8609</v>
      </c>
      <c r="TK13" s="27">
        <f t="shared" si="43"/>
        <v>90514</v>
      </c>
      <c r="TL13" s="11">
        <v>0</v>
      </c>
      <c r="TM13" s="11">
        <v>0</v>
      </c>
      <c r="TN13" s="11">
        <v>0</v>
      </c>
      <c r="TO13" s="11">
        <v>0</v>
      </c>
      <c r="TP13" s="11">
        <v>0</v>
      </c>
      <c r="TQ13" s="11">
        <v>0</v>
      </c>
      <c r="TR13" s="11">
        <v>0</v>
      </c>
      <c r="TS13" s="11">
        <v>0</v>
      </c>
      <c r="TT13" s="11">
        <v>0</v>
      </c>
      <c r="TU13" s="11">
        <v>0</v>
      </c>
      <c r="TV13" s="11">
        <v>0</v>
      </c>
      <c r="TW13" s="11">
        <v>0</v>
      </c>
      <c r="TX13" s="27">
        <f t="shared" si="44"/>
        <v>0</v>
      </c>
      <c r="TY13" s="11">
        <v>145</v>
      </c>
      <c r="TZ13" s="11">
        <v>0</v>
      </c>
      <c r="UA13" s="11">
        <v>0</v>
      </c>
    </row>
    <row r="14" spans="1:547" ht="16" customHeight="1" x14ac:dyDescent="0.35">
      <c r="A14" s="11" t="s">
        <v>1501</v>
      </c>
      <c r="B14" s="11">
        <v>75546</v>
      </c>
      <c r="C14" s="11">
        <v>15543</v>
      </c>
      <c r="D14" s="11">
        <v>55613</v>
      </c>
      <c r="E14" s="11">
        <v>4176</v>
      </c>
      <c r="F14" s="11">
        <v>0</v>
      </c>
      <c r="G14" s="11">
        <v>0</v>
      </c>
      <c r="H14" s="11">
        <v>1287</v>
      </c>
      <c r="I14" s="11">
        <v>0</v>
      </c>
      <c r="J14" s="11">
        <v>0</v>
      </c>
      <c r="K14" s="11">
        <v>1139</v>
      </c>
      <c r="L14" s="11">
        <v>0</v>
      </c>
      <c r="M14" s="11">
        <v>0</v>
      </c>
      <c r="N14" s="11">
        <v>1287</v>
      </c>
      <c r="O14" s="11">
        <v>0</v>
      </c>
      <c r="P14" s="11" t="s">
        <v>2864</v>
      </c>
      <c r="Q14" s="11">
        <v>0</v>
      </c>
      <c r="R14" s="11">
        <v>1427</v>
      </c>
      <c r="S14" s="26">
        <f t="shared" si="0"/>
        <v>5140</v>
      </c>
      <c r="T14" s="11">
        <v>0</v>
      </c>
      <c r="U14" s="11">
        <v>0</v>
      </c>
      <c r="V14" s="11">
        <v>618</v>
      </c>
      <c r="W14" s="11">
        <v>0</v>
      </c>
      <c r="X14" s="11">
        <v>0</v>
      </c>
      <c r="Y14" s="11">
        <v>598</v>
      </c>
      <c r="Z14" s="11">
        <v>0</v>
      </c>
      <c r="AA14" s="11">
        <v>0</v>
      </c>
      <c r="AB14" s="11">
        <v>602</v>
      </c>
      <c r="AC14" s="11">
        <v>0</v>
      </c>
      <c r="AD14" s="11">
        <v>0</v>
      </c>
      <c r="AE14" s="11">
        <v>603</v>
      </c>
      <c r="AF14" s="26">
        <f t="shared" si="1"/>
        <v>2421</v>
      </c>
      <c r="AG14" s="11">
        <v>0</v>
      </c>
      <c r="AH14" s="11">
        <v>0</v>
      </c>
      <c r="AI14" s="11">
        <v>599</v>
      </c>
      <c r="AJ14" s="11">
        <v>0</v>
      </c>
      <c r="AK14" s="11">
        <v>0</v>
      </c>
      <c r="AL14" s="11">
        <v>498</v>
      </c>
      <c r="AM14" s="11">
        <v>0</v>
      </c>
      <c r="AN14" s="11">
        <v>0</v>
      </c>
      <c r="AO14" s="11">
        <v>619</v>
      </c>
      <c r="AP14" s="11">
        <v>0</v>
      </c>
      <c r="AQ14" s="11">
        <v>0</v>
      </c>
      <c r="AR14" s="11">
        <v>680</v>
      </c>
      <c r="AS14" s="26">
        <f t="shared" si="2"/>
        <v>2396</v>
      </c>
      <c r="AT14" s="11">
        <v>0</v>
      </c>
      <c r="AU14" s="11">
        <v>0</v>
      </c>
      <c r="AV14" s="11">
        <v>53</v>
      </c>
      <c r="AW14" s="11">
        <v>0</v>
      </c>
      <c r="AX14" s="11">
        <v>0</v>
      </c>
      <c r="AY14" s="11">
        <v>17</v>
      </c>
      <c r="AZ14" s="11">
        <v>0</v>
      </c>
      <c r="BA14" s="11">
        <v>0</v>
      </c>
      <c r="BB14" s="11">
        <v>21</v>
      </c>
      <c r="BC14" s="11">
        <v>0</v>
      </c>
      <c r="BD14" s="11">
        <v>0</v>
      </c>
      <c r="BE14" s="11">
        <v>67</v>
      </c>
      <c r="BF14" s="26">
        <f t="shared" si="3"/>
        <v>158</v>
      </c>
      <c r="BG14" s="11">
        <v>0</v>
      </c>
      <c r="BH14" s="11">
        <v>0</v>
      </c>
      <c r="BI14" s="11">
        <v>18</v>
      </c>
      <c r="BJ14" s="11">
        <v>0</v>
      </c>
      <c r="BK14" s="11">
        <v>0</v>
      </c>
      <c r="BL14" s="11">
        <v>26</v>
      </c>
      <c r="BM14" s="11">
        <v>0</v>
      </c>
      <c r="BN14" s="11">
        <v>0</v>
      </c>
      <c r="BO14" s="11">
        <v>39</v>
      </c>
      <c r="BP14" s="11">
        <v>0</v>
      </c>
      <c r="BQ14" s="11">
        <v>0</v>
      </c>
      <c r="BR14" s="11">
        <v>77</v>
      </c>
      <c r="BS14" s="26">
        <f t="shared" si="4"/>
        <v>160</v>
      </c>
      <c r="BT14" s="11">
        <v>0</v>
      </c>
      <c r="BU14" s="11">
        <v>0</v>
      </c>
      <c r="BV14" s="11">
        <v>54</v>
      </c>
      <c r="BW14" s="11">
        <v>0</v>
      </c>
      <c r="BX14" s="11">
        <v>0</v>
      </c>
      <c r="BY14" s="11">
        <v>27</v>
      </c>
      <c r="BZ14" s="11">
        <v>0</v>
      </c>
      <c r="CA14" s="11">
        <v>0</v>
      </c>
      <c r="CB14" s="11">
        <v>43</v>
      </c>
      <c r="CC14" s="11">
        <v>0</v>
      </c>
      <c r="CD14" s="11">
        <v>0</v>
      </c>
      <c r="CE14" s="11">
        <v>15</v>
      </c>
      <c r="CF14" s="26">
        <f t="shared" si="5"/>
        <v>139</v>
      </c>
      <c r="CG14" s="11">
        <v>0</v>
      </c>
      <c r="CH14" s="11">
        <v>0</v>
      </c>
      <c r="CI14" s="11">
        <v>54</v>
      </c>
      <c r="CJ14" s="11">
        <v>0</v>
      </c>
      <c r="CK14" s="11">
        <v>0</v>
      </c>
      <c r="CL14" s="11">
        <v>27</v>
      </c>
      <c r="CM14" s="11">
        <v>0</v>
      </c>
      <c r="CN14" s="11">
        <v>0</v>
      </c>
      <c r="CO14" s="11">
        <v>43</v>
      </c>
      <c r="CP14" s="11">
        <v>0</v>
      </c>
      <c r="CQ14" s="11">
        <v>0</v>
      </c>
      <c r="CR14" s="11">
        <v>15</v>
      </c>
      <c r="CS14" s="26">
        <f t="shared" si="6"/>
        <v>139</v>
      </c>
      <c r="CT14" s="11">
        <v>0</v>
      </c>
      <c r="CU14" s="11">
        <v>0</v>
      </c>
      <c r="CV14" s="11">
        <v>0</v>
      </c>
      <c r="CW14" s="11">
        <v>0</v>
      </c>
      <c r="CX14" s="11">
        <v>0</v>
      </c>
      <c r="CY14" s="11">
        <v>0</v>
      </c>
      <c r="CZ14" s="11">
        <v>0</v>
      </c>
      <c r="DA14" s="11">
        <v>0</v>
      </c>
      <c r="DB14" s="11">
        <v>0</v>
      </c>
      <c r="DC14" s="11">
        <v>0</v>
      </c>
      <c r="DD14" s="11">
        <v>0</v>
      </c>
      <c r="DE14" s="11">
        <v>0</v>
      </c>
      <c r="DF14" s="26">
        <f t="shared" si="7"/>
        <v>0</v>
      </c>
      <c r="DG14" s="11">
        <v>0</v>
      </c>
      <c r="DH14" s="11">
        <v>0</v>
      </c>
      <c r="DI14" s="11">
        <v>0</v>
      </c>
      <c r="DJ14" s="11">
        <v>0</v>
      </c>
      <c r="DK14" s="11">
        <v>0</v>
      </c>
      <c r="DL14" s="11">
        <v>0</v>
      </c>
      <c r="DM14" s="11">
        <v>0</v>
      </c>
      <c r="DN14" s="11">
        <v>0</v>
      </c>
      <c r="DO14" s="11">
        <v>0</v>
      </c>
      <c r="DP14" s="11">
        <v>0</v>
      </c>
      <c r="DQ14" s="11">
        <v>0</v>
      </c>
      <c r="DR14" s="11">
        <v>0</v>
      </c>
      <c r="DS14" s="26">
        <f t="shared" si="8"/>
        <v>0</v>
      </c>
      <c r="DT14" s="11">
        <v>0</v>
      </c>
      <c r="DU14" s="11">
        <v>0</v>
      </c>
      <c r="DV14" s="11">
        <v>0</v>
      </c>
      <c r="DW14" s="11">
        <v>0</v>
      </c>
      <c r="DX14" s="11">
        <v>0</v>
      </c>
      <c r="DY14" s="11">
        <v>0</v>
      </c>
      <c r="DZ14" s="11">
        <v>0</v>
      </c>
      <c r="EA14" s="11">
        <v>0</v>
      </c>
      <c r="EB14" s="11">
        <v>0</v>
      </c>
      <c r="EC14" s="11">
        <v>0</v>
      </c>
      <c r="ED14" s="11">
        <v>0</v>
      </c>
      <c r="EE14" s="11">
        <v>0</v>
      </c>
      <c r="EF14" s="26">
        <f t="shared" si="9"/>
        <v>0</v>
      </c>
      <c r="EG14" s="9">
        <f t="shared" si="10"/>
        <v>5135</v>
      </c>
      <c r="EH14" s="9">
        <f t="shared" si="11"/>
        <v>139</v>
      </c>
      <c r="EI14" s="11">
        <v>0</v>
      </c>
      <c r="EJ14" s="11">
        <v>0</v>
      </c>
      <c r="EK14" s="11">
        <v>15200</v>
      </c>
      <c r="EL14" s="11">
        <v>0</v>
      </c>
      <c r="EM14" s="11">
        <v>0</v>
      </c>
      <c r="EN14" s="11">
        <v>32668</v>
      </c>
      <c r="EO14" s="11">
        <v>0</v>
      </c>
      <c r="EP14" s="11">
        <v>0</v>
      </c>
      <c r="EQ14" s="11">
        <v>15636</v>
      </c>
      <c r="ER14" s="11">
        <v>0</v>
      </c>
      <c r="ES14" s="11">
        <v>0</v>
      </c>
      <c r="ET14" s="11">
        <v>18030</v>
      </c>
      <c r="EU14" s="26">
        <f t="shared" si="12"/>
        <v>81534</v>
      </c>
      <c r="EV14" s="11">
        <v>0</v>
      </c>
      <c r="EW14" s="11">
        <v>0</v>
      </c>
      <c r="EX14" s="11">
        <v>7446</v>
      </c>
      <c r="EY14" s="11">
        <v>0</v>
      </c>
      <c r="EZ14" s="11">
        <v>0</v>
      </c>
      <c r="FA14" s="11">
        <v>7075</v>
      </c>
      <c r="FB14" s="11">
        <v>0</v>
      </c>
      <c r="FC14" s="11">
        <v>0</v>
      </c>
      <c r="FD14" s="11">
        <v>7800</v>
      </c>
      <c r="FE14" s="11">
        <v>0</v>
      </c>
      <c r="FF14" s="11">
        <v>0</v>
      </c>
      <c r="FG14" s="11">
        <v>8941</v>
      </c>
      <c r="FH14" s="26">
        <f t="shared" si="13"/>
        <v>31262</v>
      </c>
      <c r="FI14" s="11">
        <v>0</v>
      </c>
      <c r="FJ14" s="11">
        <v>0</v>
      </c>
      <c r="FK14" s="11">
        <v>7754</v>
      </c>
      <c r="FL14" s="11">
        <v>0</v>
      </c>
      <c r="FM14" s="11">
        <v>0</v>
      </c>
      <c r="FN14" s="11">
        <v>25593</v>
      </c>
      <c r="FO14" s="11">
        <v>0</v>
      </c>
      <c r="FP14" s="11">
        <v>0</v>
      </c>
      <c r="FQ14" s="11">
        <v>7836</v>
      </c>
      <c r="FR14" s="11">
        <v>0</v>
      </c>
      <c r="FS14" s="11">
        <v>0</v>
      </c>
      <c r="FT14" s="11">
        <v>9089</v>
      </c>
      <c r="FU14" s="26">
        <f t="shared" si="14"/>
        <v>50272</v>
      </c>
      <c r="FV14" s="11">
        <v>0</v>
      </c>
      <c r="FW14" s="11">
        <v>0</v>
      </c>
      <c r="FX14" s="11">
        <v>0</v>
      </c>
      <c r="FY14" s="11">
        <v>0</v>
      </c>
      <c r="FZ14" s="11">
        <v>0</v>
      </c>
      <c r="GA14" s="11">
        <v>0</v>
      </c>
      <c r="GB14" s="11">
        <v>0</v>
      </c>
      <c r="GC14" s="11">
        <v>0</v>
      </c>
      <c r="GD14" s="11">
        <v>0</v>
      </c>
      <c r="GE14" s="11">
        <v>0</v>
      </c>
      <c r="GF14" s="11">
        <v>0</v>
      </c>
      <c r="GG14" s="11">
        <v>0</v>
      </c>
      <c r="GH14" s="26">
        <f t="shared" si="15"/>
        <v>0</v>
      </c>
      <c r="GI14" s="11">
        <v>0</v>
      </c>
      <c r="GJ14" s="11">
        <v>0</v>
      </c>
      <c r="GK14" s="11">
        <v>126</v>
      </c>
      <c r="GL14" s="11">
        <v>0</v>
      </c>
      <c r="GM14" s="11">
        <v>0</v>
      </c>
      <c r="GN14" s="11">
        <v>43</v>
      </c>
      <c r="GO14" s="11">
        <v>0</v>
      </c>
      <c r="GP14" s="11">
        <v>0</v>
      </c>
      <c r="GQ14" s="11">
        <v>80</v>
      </c>
      <c r="GR14" s="11">
        <v>0</v>
      </c>
      <c r="GS14" s="11">
        <v>0</v>
      </c>
      <c r="GT14" s="11">
        <v>41</v>
      </c>
      <c r="GU14" s="26">
        <f t="shared" si="16"/>
        <v>290</v>
      </c>
      <c r="GV14" s="11">
        <v>0</v>
      </c>
      <c r="GW14" s="11">
        <v>0</v>
      </c>
      <c r="GX14" s="11">
        <v>126</v>
      </c>
      <c r="GY14" s="11">
        <v>0</v>
      </c>
      <c r="GZ14" s="11">
        <v>0</v>
      </c>
      <c r="HA14" s="11">
        <v>43</v>
      </c>
      <c r="HB14" s="11">
        <v>0</v>
      </c>
      <c r="HC14" s="11">
        <v>0</v>
      </c>
      <c r="HD14" s="11">
        <v>80</v>
      </c>
      <c r="HE14" s="11">
        <v>0</v>
      </c>
      <c r="HF14" s="11">
        <v>0</v>
      </c>
      <c r="HG14" s="11">
        <v>41</v>
      </c>
      <c r="HH14" s="26">
        <f t="shared" si="17"/>
        <v>290</v>
      </c>
      <c r="HI14" s="11">
        <v>0</v>
      </c>
      <c r="HJ14" s="11">
        <v>0</v>
      </c>
      <c r="HK14" s="11">
        <v>0</v>
      </c>
      <c r="HL14" s="11">
        <v>0</v>
      </c>
      <c r="HM14" s="11">
        <v>0</v>
      </c>
      <c r="HN14" s="11">
        <v>0</v>
      </c>
      <c r="HO14" s="11">
        <v>0</v>
      </c>
      <c r="HP14" s="11">
        <v>0</v>
      </c>
      <c r="HQ14" s="11">
        <v>0</v>
      </c>
      <c r="HR14" s="11">
        <v>0</v>
      </c>
      <c r="HS14" s="11">
        <v>0</v>
      </c>
      <c r="HT14" s="11">
        <v>0</v>
      </c>
      <c r="HU14" s="26">
        <f t="shared" si="18"/>
        <v>0</v>
      </c>
      <c r="HV14" s="11">
        <v>0</v>
      </c>
      <c r="HW14" s="11">
        <v>0</v>
      </c>
      <c r="HX14" s="11">
        <v>0</v>
      </c>
      <c r="HY14" s="11">
        <v>0</v>
      </c>
      <c r="HZ14" s="11">
        <v>0</v>
      </c>
      <c r="IA14" s="11">
        <v>0</v>
      </c>
      <c r="IB14" s="11">
        <v>0</v>
      </c>
      <c r="IC14" s="11">
        <v>0</v>
      </c>
      <c r="ID14" s="11">
        <v>0</v>
      </c>
      <c r="IE14" s="11">
        <v>0</v>
      </c>
      <c r="IF14" s="11">
        <v>0</v>
      </c>
      <c r="IG14" s="11">
        <v>0</v>
      </c>
      <c r="IH14" s="26">
        <f t="shared" si="19"/>
        <v>0</v>
      </c>
      <c r="II14" s="12">
        <f t="shared" si="20"/>
        <v>81534</v>
      </c>
      <c r="IJ14" s="12">
        <f t="shared" si="21"/>
        <v>290</v>
      </c>
      <c r="IK14" s="11">
        <v>113898</v>
      </c>
      <c r="IL14" s="11">
        <v>73887</v>
      </c>
      <c r="IM14" s="11">
        <v>68919</v>
      </c>
      <c r="IN14" s="11">
        <v>93167</v>
      </c>
      <c r="IO14" s="11">
        <v>101660</v>
      </c>
      <c r="IP14" s="11">
        <v>96559</v>
      </c>
      <c r="IQ14" s="11">
        <v>104610</v>
      </c>
      <c r="IR14" s="11">
        <v>97263</v>
      </c>
      <c r="IS14" s="11">
        <v>81798</v>
      </c>
      <c r="IT14" s="11">
        <v>101252</v>
      </c>
      <c r="IU14" s="11">
        <v>82054</v>
      </c>
      <c r="IV14" s="11">
        <v>97866</v>
      </c>
      <c r="IW14" s="27">
        <f t="shared" si="22"/>
        <v>1112933</v>
      </c>
      <c r="IX14" s="11">
        <v>57767</v>
      </c>
      <c r="IY14" s="11">
        <v>39401</v>
      </c>
      <c r="IZ14" s="11">
        <v>64707</v>
      </c>
      <c r="JA14" s="11">
        <v>47430</v>
      </c>
      <c r="JB14" s="11">
        <v>52268</v>
      </c>
      <c r="JC14" s="11">
        <v>50616</v>
      </c>
      <c r="JD14" s="11">
        <v>55420</v>
      </c>
      <c r="JE14" s="11">
        <v>51784</v>
      </c>
      <c r="JF14" s="11">
        <v>47387</v>
      </c>
      <c r="JG14" s="11">
        <v>55475</v>
      </c>
      <c r="JH14" s="11">
        <v>48758</v>
      </c>
      <c r="JI14" s="11">
        <v>54426</v>
      </c>
      <c r="JJ14" s="27">
        <f t="shared" si="23"/>
        <v>625439</v>
      </c>
      <c r="JK14" s="11">
        <v>54087</v>
      </c>
      <c r="JL14" s="11">
        <v>32953</v>
      </c>
      <c r="JM14" s="11">
        <v>33156</v>
      </c>
      <c r="JN14" s="11">
        <v>43939</v>
      </c>
      <c r="JO14" s="11">
        <v>47259</v>
      </c>
      <c r="JP14" s="11">
        <v>44004</v>
      </c>
      <c r="JQ14" s="11">
        <v>47244</v>
      </c>
      <c r="JR14" s="11">
        <v>43725</v>
      </c>
      <c r="JS14" s="11">
        <v>32756</v>
      </c>
      <c r="JT14" s="11">
        <v>44037</v>
      </c>
      <c r="JU14" s="11">
        <v>41643</v>
      </c>
      <c r="JV14" s="11">
        <v>41629</v>
      </c>
      <c r="JW14" s="27">
        <f t="shared" si="24"/>
        <v>506432</v>
      </c>
      <c r="JX14" s="11">
        <v>2044</v>
      </c>
      <c r="JY14" s="11">
        <v>1371</v>
      </c>
      <c r="JZ14" s="11">
        <v>1056</v>
      </c>
      <c r="KA14" s="11">
        <v>1798</v>
      </c>
      <c r="KB14" s="11">
        <v>2133</v>
      </c>
      <c r="KC14" s="11">
        <v>1939</v>
      </c>
      <c r="KD14" s="11">
        <v>1946</v>
      </c>
      <c r="KE14" s="11">
        <v>1754</v>
      </c>
      <c r="KF14" s="11">
        <v>1655</v>
      </c>
      <c r="KG14" s="11">
        <v>1740</v>
      </c>
      <c r="KH14" s="11">
        <v>1653</v>
      </c>
      <c r="KI14" s="11">
        <v>1811</v>
      </c>
      <c r="KJ14" s="27">
        <f t="shared" si="25"/>
        <v>20900</v>
      </c>
      <c r="KK14" s="11">
        <v>1459</v>
      </c>
      <c r="KL14" s="11">
        <v>923</v>
      </c>
      <c r="KM14" s="11">
        <v>1027</v>
      </c>
      <c r="KN14" s="11">
        <v>1292</v>
      </c>
      <c r="KO14" s="11">
        <v>1291</v>
      </c>
      <c r="KP14" s="11">
        <v>1168</v>
      </c>
      <c r="KQ14" s="11">
        <v>1290</v>
      </c>
      <c r="KR14" s="11">
        <v>1156</v>
      </c>
      <c r="KS14" s="11">
        <v>972</v>
      </c>
      <c r="KT14" s="11">
        <v>1273</v>
      </c>
      <c r="KU14" s="11">
        <v>1168</v>
      </c>
      <c r="KV14" s="11">
        <v>1180</v>
      </c>
      <c r="KW14" s="27">
        <f t="shared" si="26"/>
        <v>14199</v>
      </c>
      <c r="KX14" s="11">
        <v>847</v>
      </c>
      <c r="KY14" s="11">
        <v>538</v>
      </c>
      <c r="KZ14" s="11">
        <v>772</v>
      </c>
      <c r="LA14" s="11">
        <v>826</v>
      </c>
      <c r="LB14" s="11">
        <v>841</v>
      </c>
      <c r="LC14" s="11">
        <v>771</v>
      </c>
      <c r="LD14" s="11">
        <v>872</v>
      </c>
      <c r="LE14" s="11">
        <v>795</v>
      </c>
      <c r="LF14" s="11">
        <v>686</v>
      </c>
      <c r="LG14" s="11">
        <v>894</v>
      </c>
      <c r="LH14" s="11">
        <v>795</v>
      </c>
      <c r="LI14" s="11">
        <v>781</v>
      </c>
      <c r="LJ14" s="27">
        <f t="shared" si="27"/>
        <v>9418</v>
      </c>
      <c r="LK14" s="11">
        <v>612</v>
      </c>
      <c r="LL14" s="11">
        <v>385</v>
      </c>
      <c r="LM14" s="11">
        <v>255</v>
      </c>
      <c r="LN14" s="11">
        <v>466</v>
      </c>
      <c r="LO14" s="11">
        <v>450</v>
      </c>
      <c r="LP14" s="11">
        <v>397</v>
      </c>
      <c r="LQ14" s="11">
        <v>418</v>
      </c>
      <c r="LR14" s="11">
        <v>361</v>
      </c>
      <c r="LS14" s="11">
        <v>286</v>
      </c>
      <c r="LT14" s="11">
        <v>379</v>
      </c>
      <c r="LU14" s="11">
        <v>373</v>
      </c>
      <c r="LV14" s="11">
        <v>399</v>
      </c>
      <c r="LW14" s="27">
        <f t="shared" si="28"/>
        <v>4781</v>
      </c>
      <c r="LX14" s="11">
        <v>0</v>
      </c>
      <c r="LY14" s="11">
        <v>0</v>
      </c>
      <c r="LZ14" s="11">
        <v>0</v>
      </c>
      <c r="MA14" s="11">
        <v>0</v>
      </c>
      <c r="MB14" s="11">
        <v>0</v>
      </c>
      <c r="MC14" s="11">
        <v>0</v>
      </c>
      <c r="MD14" s="11">
        <v>0</v>
      </c>
      <c r="ME14" s="11">
        <v>0</v>
      </c>
      <c r="MF14" s="11">
        <v>0</v>
      </c>
      <c r="MG14" s="11">
        <v>0</v>
      </c>
      <c r="MH14" s="11">
        <v>0</v>
      </c>
      <c r="MI14" s="11">
        <v>0</v>
      </c>
      <c r="MJ14" s="27">
        <f t="shared" si="29"/>
        <v>0</v>
      </c>
      <c r="MK14" s="11">
        <v>0</v>
      </c>
      <c r="ML14" s="11">
        <v>0</v>
      </c>
      <c r="MM14" s="11">
        <v>0</v>
      </c>
      <c r="MN14" s="11">
        <v>0</v>
      </c>
      <c r="MO14" s="11">
        <v>0</v>
      </c>
      <c r="MP14" s="11">
        <v>0</v>
      </c>
      <c r="MQ14" s="11">
        <v>0</v>
      </c>
      <c r="MR14" s="11">
        <v>0</v>
      </c>
      <c r="MS14" s="11">
        <v>0</v>
      </c>
      <c r="MT14" s="11">
        <v>0</v>
      </c>
      <c r="MU14" s="11">
        <v>0</v>
      </c>
      <c r="MV14" s="11">
        <v>72576</v>
      </c>
      <c r="MW14" s="27">
        <f t="shared" si="30"/>
        <v>72576</v>
      </c>
      <c r="MX14" s="11">
        <v>0</v>
      </c>
      <c r="MY14" s="11">
        <v>0</v>
      </c>
      <c r="MZ14" s="11">
        <v>0</v>
      </c>
      <c r="NA14" s="11">
        <v>0</v>
      </c>
      <c r="NB14" s="11">
        <v>0</v>
      </c>
      <c r="NC14" s="11">
        <v>0</v>
      </c>
      <c r="ND14" s="11">
        <v>0</v>
      </c>
      <c r="NE14" s="11">
        <v>0</v>
      </c>
      <c r="NF14" s="11">
        <v>0</v>
      </c>
      <c r="NG14" s="11">
        <v>0</v>
      </c>
      <c r="NH14" s="11">
        <v>0</v>
      </c>
      <c r="NI14" s="11">
        <v>60982</v>
      </c>
      <c r="NJ14" s="27">
        <f t="shared" si="31"/>
        <v>60982</v>
      </c>
      <c r="NK14" s="11">
        <v>0</v>
      </c>
      <c r="NL14" s="11">
        <v>0</v>
      </c>
      <c r="NM14" s="11">
        <v>0</v>
      </c>
      <c r="NN14" s="11">
        <v>0</v>
      </c>
      <c r="NO14" s="11">
        <v>0</v>
      </c>
      <c r="NP14" s="11">
        <v>0</v>
      </c>
      <c r="NQ14" s="11">
        <v>0</v>
      </c>
      <c r="NR14" s="11">
        <v>0</v>
      </c>
      <c r="NS14" s="11">
        <v>0</v>
      </c>
      <c r="NT14" s="11">
        <v>0</v>
      </c>
      <c r="NU14" s="11">
        <v>0</v>
      </c>
      <c r="NV14" s="11">
        <v>8058</v>
      </c>
      <c r="NW14" s="27">
        <f t="shared" si="32"/>
        <v>8058</v>
      </c>
      <c r="NX14" s="11">
        <v>0</v>
      </c>
      <c r="NY14" s="11">
        <v>0</v>
      </c>
      <c r="NZ14" s="11">
        <v>0</v>
      </c>
      <c r="OA14" s="11">
        <v>0</v>
      </c>
      <c r="OB14" s="11">
        <v>0</v>
      </c>
      <c r="OC14" s="11">
        <v>0</v>
      </c>
      <c r="OD14" s="11">
        <v>0</v>
      </c>
      <c r="OE14" s="11">
        <v>0</v>
      </c>
      <c r="OF14" s="11">
        <v>0</v>
      </c>
      <c r="OG14" s="11">
        <v>0</v>
      </c>
      <c r="OH14" s="11">
        <v>0</v>
      </c>
      <c r="OI14" s="11">
        <v>3536</v>
      </c>
      <c r="OJ14" s="27">
        <f t="shared" si="33"/>
        <v>3536</v>
      </c>
      <c r="OK14" s="11">
        <v>0</v>
      </c>
      <c r="OL14" s="11">
        <v>0</v>
      </c>
      <c r="OM14" s="11">
        <v>0</v>
      </c>
      <c r="ON14" s="11">
        <v>0</v>
      </c>
      <c r="OO14" s="11">
        <v>0</v>
      </c>
      <c r="OP14" s="11">
        <v>0</v>
      </c>
      <c r="OQ14" s="11">
        <v>0</v>
      </c>
      <c r="OR14" s="11">
        <v>0</v>
      </c>
      <c r="OS14" s="11">
        <v>0</v>
      </c>
      <c r="OT14" s="11">
        <v>0</v>
      </c>
      <c r="OU14" s="11">
        <v>0</v>
      </c>
      <c r="OV14" s="11">
        <v>277242</v>
      </c>
      <c r="OW14" s="27">
        <f t="shared" si="34"/>
        <v>277242</v>
      </c>
      <c r="OX14" s="11">
        <v>0</v>
      </c>
      <c r="OY14" s="11">
        <v>0</v>
      </c>
      <c r="OZ14" s="11">
        <v>0</v>
      </c>
      <c r="PA14" s="11">
        <v>0</v>
      </c>
      <c r="PB14" s="11">
        <v>0</v>
      </c>
      <c r="PC14" s="11">
        <v>0</v>
      </c>
      <c r="PD14" s="11">
        <v>0</v>
      </c>
      <c r="PE14" s="11">
        <v>0</v>
      </c>
      <c r="PF14" s="11">
        <v>0</v>
      </c>
      <c r="PG14" s="11">
        <v>0</v>
      </c>
      <c r="PH14" s="11">
        <v>0</v>
      </c>
      <c r="PI14" s="11">
        <v>213396</v>
      </c>
      <c r="PJ14" s="27">
        <f t="shared" si="35"/>
        <v>213396</v>
      </c>
      <c r="PK14" s="11">
        <v>0</v>
      </c>
      <c r="PL14" s="11">
        <v>0</v>
      </c>
      <c r="PM14" s="11">
        <v>0</v>
      </c>
      <c r="PN14" s="11">
        <v>0</v>
      </c>
      <c r="PO14" s="11">
        <v>0</v>
      </c>
      <c r="PP14" s="11">
        <v>0</v>
      </c>
      <c r="PQ14" s="11">
        <v>0</v>
      </c>
      <c r="PR14" s="11">
        <v>0</v>
      </c>
      <c r="PS14" s="11">
        <v>0</v>
      </c>
      <c r="PT14" s="11">
        <v>0</v>
      </c>
      <c r="PU14" s="11">
        <v>0</v>
      </c>
      <c r="PV14" s="11">
        <v>51057</v>
      </c>
      <c r="PW14" s="27">
        <f t="shared" si="36"/>
        <v>51057</v>
      </c>
      <c r="PX14" s="11">
        <v>0</v>
      </c>
      <c r="PY14" s="11">
        <v>0</v>
      </c>
      <c r="PZ14" s="11">
        <v>0</v>
      </c>
      <c r="QA14" s="11">
        <v>0</v>
      </c>
      <c r="QB14" s="11">
        <v>0</v>
      </c>
      <c r="QC14" s="11">
        <v>0</v>
      </c>
      <c r="QD14" s="11">
        <v>0</v>
      </c>
      <c r="QE14" s="11">
        <v>0</v>
      </c>
      <c r="QF14" s="11">
        <v>0</v>
      </c>
      <c r="QG14" s="11">
        <v>0</v>
      </c>
      <c r="QH14" s="11">
        <v>0</v>
      </c>
      <c r="QI14" s="11">
        <v>12789</v>
      </c>
      <c r="QJ14" s="27">
        <f t="shared" si="37"/>
        <v>12789</v>
      </c>
      <c r="QK14" s="11">
        <v>82914</v>
      </c>
      <c r="QL14" s="11">
        <v>80035</v>
      </c>
      <c r="QM14" s="11">
        <v>68843</v>
      </c>
      <c r="QN14" s="11">
        <v>77892</v>
      </c>
      <c r="QO14" s="11">
        <v>78648</v>
      </c>
      <c r="QP14" s="11">
        <v>80747</v>
      </c>
      <c r="QQ14" s="11">
        <v>91031</v>
      </c>
      <c r="QR14" s="11">
        <v>87026</v>
      </c>
      <c r="QS14" s="11">
        <v>65225</v>
      </c>
      <c r="QT14" s="11">
        <v>86931</v>
      </c>
      <c r="QU14" s="11">
        <v>80869</v>
      </c>
      <c r="QV14" s="11">
        <v>86288</v>
      </c>
      <c r="QW14" s="27">
        <f t="shared" si="38"/>
        <v>966449</v>
      </c>
      <c r="QX14" s="11">
        <v>6133</v>
      </c>
      <c r="QY14" s="11">
        <v>5490</v>
      </c>
      <c r="QZ14" s="11">
        <v>6011</v>
      </c>
      <c r="RA14" s="11">
        <v>6668</v>
      </c>
      <c r="RB14" s="11">
        <v>6103</v>
      </c>
      <c r="RC14" s="11">
        <v>6514</v>
      </c>
      <c r="RD14" s="11">
        <v>7457</v>
      </c>
      <c r="RE14" s="11">
        <v>6709</v>
      </c>
      <c r="RF14" s="11">
        <v>4810</v>
      </c>
      <c r="RG14" s="11">
        <v>6551</v>
      </c>
      <c r="RH14" s="11">
        <v>6219</v>
      </c>
      <c r="RI14" s="11">
        <v>6631</v>
      </c>
      <c r="RJ14" s="27">
        <f t="shared" si="39"/>
        <v>75296</v>
      </c>
      <c r="RK14" s="11">
        <v>0</v>
      </c>
      <c r="RL14" s="11">
        <v>0</v>
      </c>
      <c r="RM14" s="11">
        <v>0</v>
      </c>
      <c r="RN14" s="11">
        <v>0</v>
      </c>
      <c r="RO14" s="11">
        <v>0</v>
      </c>
      <c r="RP14" s="11">
        <v>0</v>
      </c>
      <c r="RQ14" s="11">
        <v>0</v>
      </c>
      <c r="RR14" s="11">
        <v>0</v>
      </c>
      <c r="RS14" s="11">
        <v>0</v>
      </c>
      <c r="RT14" s="11">
        <v>0</v>
      </c>
      <c r="RU14" s="11">
        <v>0</v>
      </c>
      <c r="RV14" s="11">
        <v>0</v>
      </c>
      <c r="RW14" s="27">
        <f t="shared" si="40"/>
        <v>0</v>
      </c>
      <c r="RX14" s="11">
        <v>0</v>
      </c>
      <c r="RY14" s="11">
        <v>0</v>
      </c>
      <c r="RZ14" s="11">
        <v>0</v>
      </c>
      <c r="SA14" s="11">
        <v>0</v>
      </c>
      <c r="SB14" s="11">
        <v>0</v>
      </c>
      <c r="SC14" s="11">
        <v>0</v>
      </c>
      <c r="SD14" s="11">
        <v>0</v>
      </c>
      <c r="SE14" s="11">
        <v>0</v>
      </c>
      <c r="SF14" s="11">
        <v>0</v>
      </c>
      <c r="SG14" s="11">
        <v>0</v>
      </c>
      <c r="SH14" s="11">
        <v>0</v>
      </c>
      <c r="SI14" s="11">
        <v>0</v>
      </c>
      <c r="SJ14" s="27">
        <f t="shared" si="41"/>
        <v>0</v>
      </c>
      <c r="SK14" s="11">
        <v>112</v>
      </c>
      <c r="SL14" s="11">
        <v>63</v>
      </c>
      <c r="SM14" s="11">
        <v>46</v>
      </c>
      <c r="SN14" s="11">
        <v>50</v>
      </c>
      <c r="SO14" s="11">
        <v>52</v>
      </c>
      <c r="SP14" s="11">
        <v>45</v>
      </c>
      <c r="SQ14" s="11">
        <v>44</v>
      </c>
      <c r="SR14" s="11">
        <v>55</v>
      </c>
      <c r="SS14" s="11">
        <v>38</v>
      </c>
      <c r="ST14" s="11">
        <v>31</v>
      </c>
      <c r="SU14" s="11">
        <v>58</v>
      </c>
      <c r="SV14" s="11">
        <v>42</v>
      </c>
      <c r="SW14" s="27">
        <f t="shared" si="42"/>
        <v>636</v>
      </c>
      <c r="SX14" s="11" t="s">
        <v>2651</v>
      </c>
      <c r="SY14" s="11">
        <v>8058</v>
      </c>
      <c r="SZ14" s="11">
        <v>7646</v>
      </c>
      <c r="TA14" s="11">
        <v>7608</v>
      </c>
      <c r="TB14" s="11">
        <v>7747</v>
      </c>
      <c r="TC14" s="11">
        <v>7889</v>
      </c>
      <c r="TD14" s="11">
        <v>7973</v>
      </c>
      <c r="TE14" s="11">
        <v>8450</v>
      </c>
      <c r="TF14" s="11">
        <v>7660</v>
      </c>
      <c r="TG14" s="11">
        <v>6941</v>
      </c>
      <c r="TH14" s="11">
        <v>8682</v>
      </c>
      <c r="TI14" s="11">
        <v>8090</v>
      </c>
      <c r="TJ14" s="11">
        <v>8820</v>
      </c>
      <c r="TK14" s="27">
        <f t="shared" si="43"/>
        <v>95564</v>
      </c>
      <c r="TL14" s="11">
        <v>17271</v>
      </c>
      <c r="TM14" s="11">
        <v>17126</v>
      </c>
      <c r="TN14" s="11">
        <v>11268</v>
      </c>
      <c r="TO14" s="11">
        <v>9820</v>
      </c>
      <c r="TP14" s="11">
        <v>9703</v>
      </c>
      <c r="TQ14" s="11">
        <v>13272</v>
      </c>
      <c r="TR14" s="11">
        <v>15160</v>
      </c>
      <c r="TS14" s="11">
        <v>15364</v>
      </c>
      <c r="TT14" s="11">
        <v>12100</v>
      </c>
      <c r="TU14" s="11">
        <v>16024</v>
      </c>
      <c r="TV14" s="11">
        <v>13986</v>
      </c>
      <c r="TW14" s="11">
        <v>18265</v>
      </c>
      <c r="TX14" s="27">
        <f t="shared" si="44"/>
        <v>169359</v>
      </c>
      <c r="TY14" s="11">
        <v>223</v>
      </c>
      <c r="TZ14" s="11">
        <v>0</v>
      </c>
      <c r="UA14" s="11">
        <v>0</v>
      </c>
    </row>
    <row r="15" spans="1:547" ht="16" customHeight="1" x14ac:dyDescent="0.35">
      <c r="A15" s="11" t="s">
        <v>1556</v>
      </c>
      <c r="B15" s="11">
        <v>31006</v>
      </c>
      <c r="C15" s="11">
        <v>8880</v>
      </c>
      <c r="D15" s="11">
        <v>19344</v>
      </c>
      <c r="E15" s="11">
        <v>2782</v>
      </c>
      <c r="F15" s="11">
        <v>387</v>
      </c>
      <c r="G15" s="11">
        <v>372</v>
      </c>
      <c r="H15" s="11">
        <v>307</v>
      </c>
      <c r="I15" s="11">
        <v>408</v>
      </c>
      <c r="J15" s="11">
        <v>340</v>
      </c>
      <c r="K15" s="11">
        <v>403</v>
      </c>
      <c r="L15" s="11">
        <v>427</v>
      </c>
      <c r="M15" s="11">
        <v>408</v>
      </c>
      <c r="N15" s="11">
        <v>329</v>
      </c>
      <c r="O15" s="11">
        <v>409</v>
      </c>
      <c r="P15" s="11" t="s">
        <v>2862</v>
      </c>
      <c r="Q15" s="11">
        <v>401</v>
      </c>
      <c r="R15" s="11">
        <v>434</v>
      </c>
      <c r="S15" s="26">
        <f t="shared" si="0"/>
        <v>4625</v>
      </c>
      <c r="T15" s="11">
        <v>86</v>
      </c>
      <c r="U15" s="11">
        <v>91</v>
      </c>
      <c r="V15" s="11">
        <v>59</v>
      </c>
      <c r="W15" s="11">
        <v>95</v>
      </c>
      <c r="X15" s="11">
        <v>89</v>
      </c>
      <c r="Y15" s="11">
        <v>96</v>
      </c>
      <c r="Z15" s="11">
        <v>94</v>
      </c>
      <c r="AA15" s="11">
        <v>105</v>
      </c>
      <c r="AB15" s="11">
        <v>102</v>
      </c>
      <c r="AC15" s="11">
        <v>109</v>
      </c>
      <c r="AD15" s="11">
        <v>96</v>
      </c>
      <c r="AE15" s="11">
        <v>126</v>
      </c>
      <c r="AF15" s="26">
        <f t="shared" si="1"/>
        <v>1148</v>
      </c>
      <c r="AG15" s="11">
        <v>258</v>
      </c>
      <c r="AH15" s="11">
        <v>231</v>
      </c>
      <c r="AI15" s="11">
        <v>246</v>
      </c>
      <c r="AJ15" s="11">
        <v>297</v>
      </c>
      <c r="AK15" s="11">
        <v>201</v>
      </c>
      <c r="AL15" s="11">
        <v>252</v>
      </c>
      <c r="AM15" s="11">
        <v>310</v>
      </c>
      <c r="AN15" s="11">
        <v>298</v>
      </c>
      <c r="AO15" s="11">
        <v>203</v>
      </c>
      <c r="AP15" s="11">
        <v>280</v>
      </c>
      <c r="AQ15" s="11">
        <v>248</v>
      </c>
      <c r="AR15" s="11">
        <v>301</v>
      </c>
      <c r="AS15" s="26">
        <f t="shared" si="2"/>
        <v>3125</v>
      </c>
      <c r="AT15" s="11">
        <v>0</v>
      </c>
      <c r="AU15" s="11">
        <v>0</v>
      </c>
      <c r="AV15" s="11">
        <v>0</v>
      </c>
      <c r="AW15" s="11">
        <v>0</v>
      </c>
      <c r="AX15" s="11">
        <v>0</v>
      </c>
      <c r="AY15" s="11">
        <v>0</v>
      </c>
      <c r="AZ15" s="11">
        <v>0</v>
      </c>
      <c r="BA15" s="11">
        <v>0</v>
      </c>
      <c r="BB15" s="11">
        <v>0</v>
      </c>
      <c r="BC15" s="11">
        <v>0</v>
      </c>
      <c r="BD15" s="11">
        <v>0</v>
      </c>
      <c r="BE15" s="11">
        <v>0</v>
      </c>
      <c r="BF15" s="26">
        <f t="shared" si="3"/>
        <v>0</v>
      </c>
      <c r="BG15" s="11">
        <v>43</v>
      </c>
      <c r="BH15" s="11">
        <v>50</v>
      </c>
      <c r="BI15" s="11">
        <v>2</v>
      </c>
      <c r="BJ15" s="11">
        <v>16</v>
      </c>
      <c r="BK15" s="11">
        <v>50</v>
      </c>
      <c r="BL15" s="11">
        <v>55</v>
      </c>
      <c r="BM15" s="11">
        <v>23</v>
      </c>
      <c r="BN15" s="11">
        <v>5</v>
      </c>
      <c r="BO15" s="11">
        <v>24</v>
      </c>
      <c r="BP15" s="11">
        <v>20</v>
      </c>
      <c r="BQ15" s="11">
        <v>57</v>
      </c>
      <c r="BR15" s="11">
        <v>7</v>
      </c>
      <c r="BS15" s="26">
        <f t="shared" si="4"/>
        <v>352</v>
      </c>
      <c r="BT15" s="11">
        <v>0</v>
      </c>
      <c r="BU15" s="11">
        <v>0</v>
      </c>
      <c r="BV15" s="11">
        <v>0</v>
      </c>
      <c r="BW15" s="11">
        <v>0</v>
      </c>
      <c r="BX15" s="11">
        <v>0</v>
      </c>
      <c r="BY15" s="11">
        <v>0</v>
      </c>
      <c r="BZ15" s="11">
        <v>0</v>
      </c>
      <c r="CA15" s="11">
        <v>0</v>
      </c>
      <c r="CB15" s="11">
        <v>0</v>
      </c>
      <c r="CC15" s="11">
        <v>0</v>
      </c>
      <c r="CD15" s="11">
        <v>0</v>
      </c>
      <c r="CE15" s="11">
        <v>0</v>
      </c>
      <c r="CF15" s="26">
        <f t="shared" si="5"/>
        <v>0</v>
      </c>
      <c r="CG15" s="11">
        <v>0</v>
      </c>
      <c r="CH15" s="11">
        <v>0</v>
      </c>
      <c r="CI15" s="11">
        <v>0</v>
      </c>
      <c r="CJ15" s="11">
        <v>0</v>
      </c>
      <c r="CK15" s="11">
        <v>0</v>
      </c>
      <c r="CL15" s="11">
        <v>0</v>
      </c>
      <c r="CM15" s="11">
        <v>0</v>
      </c>
      <c r="CN15" s="11">
        <v>0</v>
      </c>
      <c r="CO15" s="11">
        <v>0</v>
      </c>
      <c r="CP15" s="11">
        <v>0</v>
      </c>
      <c r="CQ15" s="11">
        <v>0</v>
      </c>
      <c r="CR15" s="11">
        <v>0</v>
      </c>
      <c r="CS15" s="26">
        <f t="shared" si="6"/>
        <v>0</v>
      </c>
      <c r="CT15" s="11">
        <v>0</v>
      </c>
      <c r="CU15" s="11">
        <v>0</v>
      </c>
      <c r="CV15" s="11">
        <v>0</v>
      </c>
      <c r="CW15" s="11">
        <v>0</v>
      </c>
      <c r="CX15" s="11">
        <v>0</v>
      </c>
      <c r="CY15" s="11">
        <v>0</v>
      </c>
      <c r="CZ15" s="11">
        <v>0</v>
      </c>
      <c r="DA15" s="11">
        <v>0</v>
      </c>
      <c r="DB15" s="11">
        <v>0</v>
      </c>
      <c r="DC15" s="11">
        <v>0</v>
      </c>
      <c r="DD15" s="11">
        <v>0</v>
      </c>
      <c r="DE15" s="11">
        <v>0</v>
      </c>
      <c r="DF15" s="26">
        <f t="shared" si="7"/>
        <v>0</v>
      </c>
      <c r="DG15" s="11">
        <v>0</v>
      </c>
      <c r="DH15" s="11">
        <v>0</v>
      </c>
      <c r="DI15" s="11">
        <v>0</v>
      </c>
      <c r="DJ15" s="11">
        <v>0</v>
      </c>
      <c r="DK15" s="11">
        <v>0</v>
      </c>
      <c r="DL15" s="11">
        <v>0</v>
      </c>
      <c r="DM15" s="11">
        <v>0</v>
      </c>
      <c r="DN15" s="11">
        <v>0</v>
      </c>
      <c r="DO15" s="11">
        <v>0</v>
      </c>
      <c r="DP15" s="11">
        <v>0</v>
      </c>
      <c r="DQ15" s="11">
        <v>0</v>
      </c>
      <c r="DR15" s="11">
        <v>0</v>
      </c>
      <c r="DS15" s="26">
        <f t="shared" si="8"/>
        <v>0</v>
      </c>
      <c r="DT15" s="11">
        <v>0</v>
      </c>
      <c r="DU15" s="11">
        <v>0</v>
      </c>
      <c r="DV15" s="11">
        <v>0</v>
      </c>
      <c r="DW15" s="11">
        <v>0</v>
      </c>
      <c r="DX15" s="11">
        <v>0</v>
      </c>
      <c r="DY15" s="11">
        <v>0</v>
      </c>
      <c r="DZ15" s="11">
        <v>0</v>
      </c>
      <c r="EA15" s="11">
        <v>0</v>
      </c>
      <c r="EB15" s="11">
        <v>0</v>
      </c>
      <c r="EC15" s="11">
        <v>0</v>
      </c>
      <c r="ED15" s="11">
        <v>0</v>
      </c>
      <c r="EE15" s="11">
        <v>0</v>
      </c>
      <c r="EF15" s="26">
        <f t="shared" si="9"/>
        <v>0</v>
      </c>
      <c r="EG15" s="9">
        <f t="shared" si="10"/>
        <v>4625</v>
      </c>
      <c r="EH15" s="9">
        <f t="shared" si="11"/>
        <v>0</v>
      </c>
      <c r="EI15" s="11">
        <v>4778</v>
      </c>
      <c r="EJ15" s="11">
        <v>5983</v>
      </c>
      <c r="EK15" s="11">
        <v>4656</v>
      </c>
      <c r="EL15" s="11">
        <v>9967</v>
      </c>
      <c r="EM15" s="11">
        <v>4081</v>
      </c>
      <c r="EN15" s="11">
        <v>5768</v>
      </c>
      <c r="EO15" s="11">
        <v>6086</v>
      </c>
      <c r="EP15" s="11">
        <v>5612</v>
      </c>
      <c r="EQ15" s="11">
        <v>4136</v>
      </c>
      <c r="ER15" s="11">
        <v>5421</v>
      </c>
      <c r="ES15" s="11">
        <v>7110</v>
      </c>
      <c r="ET15" s="11">
        <v>6504</v>
      </c>
      <c r="EU15" s="26">
        <f t="shared" si="12"/>
        <v>70102</v>
      </c>
      <c r="EV15" s="11">
        <v>636</v>
      </c>
      <c r="EW15" s="11">
        <v>681</v>
      </c>
      <c r="EX15" s="11">
        <v>486</v>
      </c>
      <c r="EY15" s="11">
        <v>713</v>
      </c>
      <c r="EZ15" s="11">
        <v>871</v>
      </c>
      <c r="FA15" s="11">
        <v>818</v>
      </c>
      <c r="FB15" s="11">
        <v>929</v>
      </c>
      <c r="FC15" s="11">
        <v>847</v>
      </c>
      <c r="FD15" s="11">
        <v>792</v>
      </c>
      <c r="FE15" s="11">
        <v>883</v>
      </c>
      <c r="FF15" s="11">
        <v>905</v>
      </c>
      <c r="FG15" s="11">
        <v>929</v>
      </c>
      <c r="FH15" s="26">
        <f t="shared" si="13"/>
        <v>9490</v>
      </c>
      <c r="FI15" s="11">
        <v>4142</v>
      </c>
      <c r="FJ15" s="11">
        <v>5302</v>
      </c>
      <c r="FK15" s="11">
        <v>4170</v>
      </c>
      <c r="FL15" s="11">
        <v>9254</v>
      </c>
      <c r="FM15" s="11">
        <v>3210</v>
      </c>
      <c r="FN15" s="11">
        <v>4950</v>
      </c>
      <c r="FO15" s="11">
        <v>5157</v>
      </c>
      <c r="FP15" s="11">
        <v>4765</v>
      </c>
      <c r="FQ15" s="11">
        <v>3344</v>
      </c>
      <c r="FR15" s="11">
        <v>4538</v>
      </c>
      <c r="FS15" s="11">
        <v>6205</v>
      </c>
      <c r="FT15" s="11">
        <v>5575</v>
      </c>
      <c r="FU15" s="26">
        <f t="shared" si="14"/>
        <v>60612</v>
      </c>
      <c r="FV15" s="11">
        <v>0</v>
      </c>
      <c r="FW15" s="11">
        <v>0</v>
      </c>
      <c r="FX15" s="11">
        <v>0</v>
      </c>
      <c r="FY15" s="11">
        <v>0</v>
      </c>
      <c r="FZ15" s="11">
        <v>0</v>
      </c>
      <c r="GA15" s="11">
        <v>0</v>
      </c>
      <c r="GB15" s="11">
        <v>0</v>
      </c>
      <c r="GC15" s="11">
        <v>0</v>
      </c>
      <c r="GD15" s="11">
        <v>0</v>
      </c>
      <c r="GE15" s="11">
        <v>0</v>
      </c>
      <c r="GF15" s="11">
        <v>0</v>
      </c>
      <c r="GG15" s="11">
        <v>0</v>
      </c>
      <c r="GH15" s="26">
        <f t="shared" si="15"/>
        <v>0</v>
      </c>
      <c r="GI15" s="11">
        <v>0</v>
      </c>
      <c r="GJ15" s="11">
        <v>0</v>
      </c>
      <c r="GK15" s="11">
        <v>0</v>
      </c>
      <c r="GL15" s="11">
        <v>0</v>
      </c>
      <c r="GM15" s="11">
        <v>0</v>
      </c>
      <c r="GN15" s="11">
        <v>0</v>
      </c>
      <c r="GO15" s="11">
        <v>0</v>
      </c>
      <c r="GP15" s="11">
        <v>0</v>
      </c>
      <c r="GQ15" s="11">
        <v>0</v>
      </c>
      <c r="GR15" s="11">
        <v>0</v>
      </c>
      <c r="GS15" s="11">
        <v>0</v>
      </c>
      <c r="GT15" s="11">
        <v>0</v>
      </c>
      <c r="GU15" s="26">
        <f t="shared" si="16"/>
        <v>0</v>
      </c>
      <c r="GV15" s="11">
        <v>0</v>
      </c>
      <c r="GW15" s="11">
        <v>0</v>
      </c>
      <c r="GX15" s="11">
        <v>0</v>
      </c>
      <c r="GY15" s="11">
        <v>0</v>
      </c>
      <c r="GZ15" s="11">
        <v>0</v>
      </c>
      <c r="HA15" s="11">
        <v>0</v>
      </c>
      <c r="HB15" s="11">
        <v>0</v>
      </c>
      <c r="HC15" s="11">
        <v>0</v>
      </c>
      <c r="HD15" s="11">
        <v>0</v>
      </c>
      <c r="HE15" s="11">
        <v>0</v>
      </c>
      <c r="HF15" s="11">
        <v>0</v>
      </c>
      <c r="HG15" s="11">
        <v>0</v>
      </c>
      <c r="HH15" s="26">
        <f t="shared" si="17"/>
        <v>0</v>
      </c>
      <c r="HI15" s="11">
        <v>0</v>
      </c>
      <c r="HJ15" s="11">
        <v>0</v>
      </c>
      <c r="HK15" s="11">
        <v>0</v>
      </c>
      <c r="HL15" s="11">
        <v>0</v>
      </c>
      <c r="HM15" s="11">
        <v>0</v>
      </c>
      <c r="HN15" s="11">
        <v>0</v>
      </c>
      <c r="HO15" s="11">
        <v>0</v>
      </c>
      <c r="HP15" s="11">
        <v>0</v>
      </c>
      <c r="HQ15" s="11">
        <v>0</v>
      </c>
      <c r="HR15" s="11">
        <v>0</v>
      </c>
      <c r="HS15" s="11">
        <v>0</v>
      </c>
      <c r="HT15" s="11">
        <v>0</v>
      </c>
      <c r="HU15" s="26">
        <f t="shared" si="18"/>
        <v>0</v>
      </c>
      <c r="HV15" s="11">
        <v>0</v>
      </c>
      <c r="HW15" s="11">
        <v>0</v>
      </c>
      <c r="HX15" s="11">
        <v>0</v>
      </c>
      <c r="HY15" s="11">
        <v>0</v>
      </c>
      <c r="HZ15" s="11">
        <v>0</v>
      </c>
      <c r="IA15" s="11">
        <v>0</v>
      </c>
      <c r="IB15" s="11">
        <v>0</v>
      </c>
      <c r="IC15" s="11">
        <v>0</v>
      </c>
      <c r="ID15" s="11">
        <v>0</v>
      </c>
      <c r="IE15" s="11">
        <v>0</v>
      </c>
      <c r="IF15" s="11">
        <v>0</v>
      </c>
      <c r="IG15" s="11">
        <v>0</v>
      </c>
      <c r="IH15" s="26">
        <f t="shared" si="19"/>
        <v>0</v>
      </c>
      <c r="II15" s="9">
        <f t="shared" si="20"/>
        <v>70102</v>
      </c>
      <c r="IJ15" s="9">
        <f t="shared" si="21"/>
        <v>0</v>
      </c>
      <c r="IK15" s="11">
        <v>118036</v>
      </c>
      <c r="IL15" s="11">
        <v>114390</v>
      </c>
      <c r="IM15" s="11">
        <v>99143</v>
      </c>
      <c r="IN15" s="11">
        <v>11681</v>
      </c>
      <c r="IO15" s="11">
        <v>126484</v>
      </c>
      <c r="IP15" s="11">
        <v>112150</v>
      </c>
      <c r="IQ15" s="11">
        <v>117571</v>
      </c>
      <c r="IR15" s="11">
        <v>108424</v>
      </c>
      <c r="IS15" s="11">
        <v>93081</v>
      </c>
      <c r="IT15" s="11">
        <v>98545</v>
      </c>
      <c r="IU15" s="11">
        <v>92833</v>
      </c>
      <c r="IV15" s="11">
        <v>110992</v>
      </c>
      <c r="IW15" s="27">
        <f t="shared" si="22"/>
        <v>1203330</v>
      </c>
      <c r="IX15" s="11">
        <v>0</v>
      </c>
      <c r="IY15" s="11">
        <v>0</v>
      </c>
      <c r="IZ15" s="11">
        <v>0</v>
      </c>
      <c r="JA15" s="11">
        <v>0</v>
      </c>
      <c r="JB15" s="11">
        <v>0</v>
      </c>
      <c r="JC15" s="11">
        <v>0</v>
      </c>
      <c r="JD15" s="11">
        <v>0</v>
      </c>
      <c r="JE15" s="11">
        <v>0</v>
      </c>
      <c r="JF15" s="11">
        <v>0</v>
      </c>
      <c r="JG15" s="11">
        <v>0</v>
      </c>
      <c r="JH15" s="11">
        <v>0</v>
      </c>
      <c r="JI15" s="11">
        <v>0</v>
      </c>
      <c r="JJ15" s="27">
        <f t="shared" si="23"/>
        <v>0</v>
      </c>
      <c r="JK15" s="11">
        <v>0</v>
      </c>
      <c r="JL15" s="11">
        <v>0</v>
      </c>
      <c r="JM15" s="11">
        <v>0</v>
      </c>
      <c r="JN15" s="11">
        <v>0</v>
      </c>
      <c r="JO15" s="11">
        <v>0</v>
      </c>
      <c r="JP15" s="11">
        <v>0</v>
      </c>
      <c r="JQ15" s="11">
        <v>0</v>
      </c>
      <c r="JR15" s="11">
        <v>0</v>
      </c>
      <c r="JS15" s="11">
        <v>0</v>
      </c>
      <c r="JT15" s="11">
        <v>0</v>
      </c>
      <c r="JU15" s="11">
        <v>0</v>
      </c>
      <c r="JV15" s="11">
        <v>0</v>
      </c>
      <c r="JW15" s="27">
        <f t="shared" si="24"/>
        <v>0</v>
      </c>
      <c r="JX15" s="11">
        <v>0</v>
      </c>
      <c r="JY15" s="11">
        <v>0</v>
      </c>
      <c r="JZ15" s="11">
        <v>0</v>
      </c>
      <c r="KA15" s="11">
        <v>0</v>
      </c>
      <c r="KB15" s="11">
        <v>0</v>
      </c>
      <c r="KC15" s="11">
        <v>0</v>
      </c>
      <c r="KD15" s="11">
        <v>0</v>
      </c>
      <c r="KE15" s="11">
        <v>0</v>
      </c>
      <c r="KF15" s="11">
        <v>0</v>
      </c>
      <c r="KG15" s="11">
        <v>0</v>
      </c>
      <c r="KH15" s="11">
        <v>0</v>
      </c>
      <c r="KI15" s="11">
        <v>0</v>
      </c>
      <c r="KJ15" s="27">
        <f t="shared" si="25"/>
        <v>0</v>
      </c>
      <c r="KK15" s="11">
        <v>0</v>
      </c>
      <c r="KL15" s="11">
        <v>0</v>
      </c>
      <c r="KM15" s="11">
        <v>0</v>
      </c>
      <c r="KN15" s="11">
        <v>0</v>
      </c>
      <c r="KO15" s="11">
        <v>0</v>
      </c>
      <c r="KP15" s="11">
        <v>0</v>
      </c>
      <c r="KQ15" s="11">
        <v>0</v>
      </c>
      <c r="KR15" s="11">
        <v>0</v>
      </c>
      <c r="KS15" s="11">
        <v>0</v>
      </c>
      <c r="KT15" s="11">
        <v>0</v>
      </c>
      <c r="KU15" s="11">
        <v>0</v>
      </c>
      <c r="KV15" s="11">
        <v>0</v>
      </c>
      <c r="KW15" s="27">
        <f t="shared" si="26"/>
        <v>0</v>
      </c>
      <c r="KX15" s="11">
        <v>0</v>
      </c>
      <c r="KY15" s="11">
        <v>0</v>
      </c>
      <c r="KZ15" s="11">
        <v>0</v>
      </c>
      <c r="LA15" s="11">
        <v>0</v>
      </c>
      <c r="LB15" s="11">
        <v>0</v>
      </c>
      <c r="LC15" s="11">
        <v>0</v>
      </c>
      <c r="LD15" s="11">
        <v>0</v>
      </c>
      <c r="LE15" s="11">
        <v>0</v>
      </c>
      <c r="LF15" s="11">
        <v>0</v>
      </c>
      <c r="LG15" s="11">
        <v>0</v>
      </c>
      <c r="LH15" s="11">
        <v>0</v>
      </c>
      <c r="LI15" s="11">
        <v>0</v>
      </c>
      <c r="LJ15" s="27">
        <f t="shared" si="27"/>
        <v>0</v>
      </c>
      <c r="LK15" s="11">
        <v>0</v>
      </c>
      <c r="LL15" s="11">
        <v>0</v>
      </c>
      <c r="LM15" s="11">
        <v>0</v>
      </c>
      <c r="LN15" s="11">
        <v>0</v>
      </c>
      <c r="LO15" s="11">
        <v>0</v>
      </c>
      <c r="LP15" s="11">
        <v>0</v>
      </c>
      <c r="LQ15" s="11">
        <v>0</v>
      </c>
      <c r="LR15" s="11">
        <v>0</v>
      </c>
      <c r="LS15" s="11">
        <v>0</v>
      </c>
      <c r="LT15" s="11">
        <v>0</v>
      </c>
      <c r="LU15" s="11">
        <v>0</v>
      </c>
      <c r="LV15" s="11">
        <v>0</v>
      </c>
      <c r="LW15" s="27">
        <f t="shared" si="28"/>
        <v>0</v>
      </c>
      <c r="LX15" s="11">
        <v>0</v>
      </c>
      <c r="LY15" s="11">
        <v>0</v>
      </c>
      <c r="LZ15" s="11">
        <v>0</v>
      </c>
      <c r="MA15" s="11">
        <v>0</v>
      </c>
      <c r="MB15" s="11">
        <v>0</v>
      </c>
      <c r="MC15" s="11">
        <v>0</v>
      </c>
      <c r="MD15" s="11">
        <v>0</v>
      </c>
      <c r="ME15" s="11">
        <v>0</v>
      </c>
      <c r="MF15" s="11">
        <v>0</v>
      </c>
      <c r="MG15" s="11">
        <v>0</v>
      </c>
      <c r="MH15" s="11">
        <v>0</v>
      </c>
      <c r="MI15" s="11">
        <v>0</v>
      </c>
      <c r="MJ15" s="27">
        <f t="shared" si="29"/>
        <v>0</v>
      </c>
      <c r="MK15" s="11">
        <v>4631</v>
      </c>
      <c r="ML15" s="11">
        <v>4814</v>
      </c>
      <c r="MM15" s="11">
        <v>4658</v>
      </c>
      <c r="MN15" s="11">
        <v>5521</v>
      </c>
      <c r="MO15" s="11">
        <v>5358</v>
      </c>
      <c r="MP15" s="11">
        <v>4884</v>
      </c>
      <c r="MQ15" s="11">
        <v>5232</v>
      </c>
      <c r="MR15" s="11">
        <v>4616</v>
      </c>
      <c r="MS15" s="11">
        <v>4753</v>
      </c>
      <c r="MT15" s="11">
        <v>4985</v>
      </c>
      <c r="MU15" s="11">
        <v>4529</v>
      </c>
      <c r="MV15" s="11">
        <v>4789</v>
      </c>
      <c r="MW15" s="27">
        <f t="shared" si="30"/>
        <v>58770</v>
      </c>
      <c r="MX15" s="11">
        <v>0</v>
      </c>
      <c r="MY15" s="11">
        <v>0</v>
      </c>
      <c r="MZ15" s="11">
        <v>0</v>
      </c>
      <c r="NA15" s="11">
        <v>0</v>
      </c>
      <c r="NB15" s="11">
        <v>0</v>
      </c>
      <c r="NC15" s="11">
        <v>0</v>
      </c>
      <c r="ND15" s="11">
        <v>0</v>
      </c>
      <c r="NE15" s="11">
        <v>0</v>
      </c>
      <c r="NF15" s="11">
        <v>0</v>
      </c>
      <c r="NG15" s="11">
        <v>0</v>
      </c>
      <c r="NH15" s="11">
        <v>0</v>
      </c>
      <c r="NI15" s="11">
        <v>0</v>
      </c>
      <c r="NJ15" s="27">
        <f t="shared" si="31"/>
        <v>0</v>
      </c>
      <c r="NK15" s="11">
        <v>0</v>
      </c>
      <c r="NL15" s="11">
        <v>0</v>
      </c>
      <c r="NM15" s="11">
        <v>0</v>
      </c>
      <c r="NN15" s="11">
        <v>0</v>
      </c>
      <c r="NO15" s="11">
        <v>0</v>
      </c>
      <c r="NP15" s="11">
        <v>0</v>
      </c>
      <c r="NQ15" s="11">
        <v>0</v>
      </c>
      <c r="NR15" s="11">
        <v>0</v>
      </c>
      <c r="NS15" s="11">
        <v>0</v>
      </c>
      <c r="NT15" s="11">
        <v>0</v>
      </c>
      <c r="NU15" s="11">
        <v>0</v>
      </c>
      <c r="NV15" s="11">
        <v>0</v>
      </c>
      <c r="NW15" s="27">
        <f t="shared" si="32"/>
        <v>0</v>
      </c>
      <c r="NX15" s="11">
        <v>0</v>
      </c>
      <c r="NY15" s="11">
        <v>0</v>
      </c>
      <c r="NZ15" s="11">
        <v>0</v>
      </c>
      <c r="OA15" s="11">
        <v>0</v>
      </c>
      <c r="OB15" s="11">
        <v>0</v>
      </c>
      <c r="OC15" s="11">
        <v>0</v>
      </c>
      <c r="OD15" s="11">
        <v>0</v>
      </c>
      <c r="OE15" s="11">
        <v>0</v>
      </c>
      <c r="OF15" s="11">
        <v>0</v>
      </c>
      <c r="OG15" s="11">
        <v>0</v>
      </c>
      <c r="OH15" s="11">
        <v>0</v>
      </c>
      <c r="OI15" s="11">
        <v>0</v>
      </c>
      <c r="OJ15" s="27">
        <f t="shared" si="33"/>
        <v>0</v>
      </c>
      <c r="OK15" s="11">
        <v>5099</v>
      </c>
      <c r="OL15" s="11">
        <v>5102</v>
      </c>
      <c r="OM15" s="11">
        <v>4789</v>
      </c>
      <c r="ON15" s="11">
        <v>5169</v>
      </c>
      <c r="OO15" s="11">
        <v>5426</v>
      </c>
      <c r="OP15" s="11">
        <v>5219</v>
      </c>
      <c r="OQ15" s="11">
        <v>5663</v>
      </c>
      <c r="OR15" s="11">
        <v>5525</v>
      </c>
      <c r="OS15" s="11">
        <v>5315</v>
      </c>
      <c r="OT15" s="11">
        <v>5905</v>
      </c>
      <c r="OU15" s="11">
        <v>5335</v>
      </c>
      <c r="OV15" s="11">
        <v>5775</v>
      </c>
      <c r="OW15" s="27">
        <f t="shared" si="34"/>
        <v>64322</v>
      </c>
      <c r="OX15" s="11">
        <v>0</v>
      </c>
      <c r="OY15" s="11">
        <v>0</v>
      </c>
      <c r="OZ15" s="11">
        <v>0</v>
      </c>
      <c r="PA15" s="11">
        <v>0</v>
      </c>
      <c r="PB15" s="11">
        <v>0</v>
      </c>
      <c r="PC15" s="11">
        <v>0</v>
      </c>
      <c r="PD15" s="11">
        <v>0</v>
      </c>
      <c r="PE15" s="11">
        <v>0</v>
      </c>
      <c r="PF15" s="11">
        <v>0</v>
      </c>
      <c r="PG15" s="11">
        <v>0</v>
      </c>
      <c r="PH15" s="11">
        <v>0</v>
      </c>
      <c r="PI15" s="11">
        <v>0</v>
      </c>
      <c r="PJ15" s="27">
        <f t="shared" si="35"/>
        <v>0</v>
      </c>
      <c r="PK15" s="11">
        <v>0</v>
      </c>
      <c r="PL15" s="11">
        <v>0</v>
      </c>
      <c r="PM15" s="11">
        <v>0</v>
      </c>
      <c r="PN15" s="11">
        <v>0</v>
      </c>
      <c r="PO15" s="11">
        <v>0</v>
      </c>
      <c r="PP15" s="11">
        <v>0</v>
      </c>
      <c r="PQ15" s="11">
        <v>0</v>
      </c>
      <c r="PR15" s="11">
        <v>0</v>
      </c>
      <c r="PS15" s="11">
        <v>0</v>
      </c>
      <c r="PT15" s="11">
        <v>0</v>
      </c>
      <c r="PU15" s="11">
        <v>0</v>
      </c>
      <c r="PV15" s="11">
        <v>0</v>
      </c>
      <c r="PW15" s="27">
        <f t="shared" si="36"/>
        <v>0</v>
      </c>
      <c r="PX15" s="11">
        <v>0</v>
      </c>
      <c r="PY15" s="11">
        <v>0</v>
      </c>
      <c r="PZ15" s="11">
        <v>0</v>
      </c>
      <c r="QA15" s="11">
        <v>0</v>
      </c>
      <c r="QB15" s="11">
        <v>0</v>
      </c>
      <c r="QC15" s="11">
        <v>0</v>
      </c>
      <c r="QD15" s="11">
        <v>0</v>
      </c>
      <c r="QE15" s="11">
        <v>0</v>
      </c>
      <c r="QF15" s="11">
        <v>0</v>
      </c>
      <c r="QG15" s="11">
        <v>0</v>
      </c>
      <c r="QH15" s="11">
        <v>0</v>
      </c>
      <c r="QI15" s="11">
        <v>0</v>
      </c>
      <c r="QJ15" s="27">
        <f t="shared" si="37"/>
        <v>0</v>
      </c>
      <c r="QK15" s="11">
        <v>48465</v>
      </c>
      <c r="QL15" s="11">
        <v>46563</v>
      </c>
      <c r="QM15" s="11">
        <v>38540</v>
      </c>
      <c r="QN15" s="11">
        <v>46363</v>
      </c>
      <c r="QO15" s="11">
        <v>48786</v>
      </c>
      <c r="QP15" s="11">
        <v>4356</v>
      </c>
      <c r="QQ15" s="11">
        <v>46428</v>
      </c>
      <c r="QR15" s="11">
        <v>41087</v>
      </c>
      <c r="QS15" s="11">
        <v>32664</v>
      </c>
      <c r="QT15" s="11">
        <v>35982</v>
      </c>
      <c r="QU15" s="11">
        <v>3324</v>
      </c>
      <c r="QV15" s="11">
        <v>43040</v>
      </c>
      <c r="QW15" s="27">
        <f t="shared" si="38"/>
        <v>435598</v>
      </c>
      <c r="QX15" s="11">
        <v>58634</v>
      </c>
      <c r="QY15" s="11">
        <v>61966</v>
      </c>
      <c r="QZ15" s="11">
        <v>50464</v>
      </c>
      <c r="RA15" s="11">
        <v>48073</v>
      </c>
      <c r="RB15" s="11">
        <v>47001</v>
      </c>
      <c r="RC15" s="11">
        <v>47814</v>
      </c>
      <c r="RD15" s="11">
        <v>53528</v>
      </c>
      <c r="RE15" s="11">
        <v>50104</v>
      </c>
      <c r="RF15" s="11">
        <v>41543</v>
      </c>
      <c r="RG15" s="11">
        <v>56562</v>
      </c>
      <c r="RH15" s="11">
        <v>56255</v>
      </c>
      <c r="RI15" s="11">
        <v>57926</v>
      </c>
      <c r="RJ15" s="27">
        <f t="shared" si="39"/>
        <v>629870</v>
      </c>
      <c r="RK15" s="11">
        <v>0</v>
      </c>
      <c r="RL15" s="11">
        <v>0</v>
      </c>
      <c r="RM15" s="11">
        <v>0</v>
      </c>
      <c r="RN15" s="11">
        <v>0</v>
      </c>
      <c r="RO15" s="11">
        <v>0</v>
      </c>
      <c r="RP15" s="11">
        <v>0</v>
      </c>
      <c r="RQ15" s="11">
        <v>0</v>
      </c>
      <c r="RR15" s="11">
        <v>0</v>
      </c>
      <c r="RS15" s="11">
        <v>0</v>
      </c>
      <c r="RT15" s="11">
        <v>0</v>
      </c>
      <c r="RU15" s="11">
        <v>0</v>
      </c>
      <c r="RV15" s="11">
        <v>0</v>
      </c>
      <c r="RW15" s="27">
        <f t="shared" si="40"/>
        <v>0</v>
      </c>
      <c r="RX15" s="11">
        <v>0</v>
      </c>
      <c r="RY15" s="11">
        <v>0</v>
      </c>
      <c r="RZ15" s="11">
        <v>0</v>
      </c>
      <c r="SA15" s="11">
        <v>0</v>
      </c>
      <c r="SB15" s="11">
        <v>0</v>
      </c>
      <c r="SC15" s="11">
        <v>0</v>
      </c>
      <c r="SD15" s="11">
        <v>0</v>
      </c>
      <c r="SE15" s="11">
        <v>0</v>
      </c>
      <c r="SF15" s="11">
        <v>0</v>
      </c>
      <c r="SG15" s="11">
        <v>0</v>
      </c>
      <c r="SH15" s="11">
        <v>0</v>
      </c>
      <c r="SI15" s="11">
        <v>0</v>
      </c>
      <c r="SJ15" s="27">
        <f t="shared" si="41"/>
        <v>0</v>
      </c>
      <c r="SK15" s="11">
        <v>180</v>
      </c>
      <c r="SL15" s="11">
        <v>182</v>
      </c>
      <c r="SM15" s="11">
        <v>186</v>
      </c>
      <c r="SN15" s="11">
        <v>191</v>
      </c>
      <c r="SO15" s="11">
        <v>188</v>
      </c>
      <c r="SP15" s="11">
        <v>207</v>
      </c>
      <c r="SQ15" s="11">
        <v>182</v>
      </c>
      <c r="SR15" s="11">
        <v>184</v>
      </c>
      <c r="SS15" s="11">
        <v>178</v>
      </c>
      <c r="ST15" s="11">
        <v>185</v>
      </c>
      <c r="SU15" s="11">
        <v>185</v>
      </c>
      <c r="SV15" s="11">
        <v>184</v>
      </c>
      <c r="SW15" s="27">
        <f t="shared" si="42"/>
        <v>2232</v>
      </c>
      <c r="SX15" s="11" t="s">
        <v>1374</v>
      </c>
      <c r="SY15" s="11">
        <v>7457</v>
      </c>
      <c r="SZ15" s="11">
        <v>7537</v>
      </c>
      <c r="TA15" s="11">
        <v>6506</v>
      </c>
      <c r="TB15" s="11">
        <v>6224</v>
      </c>
      <c r="TC15" s="11">
        <v>6071</v>
      </c>
      <c r="TD15" s="11">
        <v>6083</v>
      </c>
      <c r="TE15" s="11">
        <v>6818</v>
      </c>
      <c r="TF15" s="11">
        <v>6457</v>
      </c>
      <c r="TG15" s="11">
        <v>5084</v>
      </c>
      <c r="TH15" s="11">
        <v>6606</v>
      </c>
      <c r="TI15" s="11">
        <v>5692</v>
      </c>
      <c r="TJ15" s="11">
        <v>5925</v>
      </c>
      <c r="TK15" s="27">
        <f t="shared" si="43"/>
        <v>76460</v>
      </c>
      <c r="TL15" s="11">
        <v>11377</v>
      </c>
      <c r="TM15" s="11">
        <v>11478</v>
      </c>
      <c r="TN15" s="11">
        <v>8655</v>
      </c>
      <c r="TO15" s="11">
        <v>6276</v>
      </c>
      <c r="TP15" s="11">
        <v>6259</v>
      </c>
      <c r="TQ15" s="11">
        <v>6403</v>
      </c>
      <c r="TR15" s="11">
        <v>7703</v>
      </c>
      <c r="TS15" s="11">
        <v>6940</v>
      </c>
      <c r="TT15" s="11">
        <v>7225</v>
      </c>
      <c r="TU15" s="11">
        <v>9395</v>
      </c>
      <c r="TV15" s="11">
        <v>8078</v>
      </c>
      <c r="TW15" s="11">
        <v>8992</v>
      </c>
      <c r="TX15" s="27">
        <f t="shared" si="44"/>
        <v>98781</v>
      </c>
      <c r="TY15" s="11">
        <v>157</v>
      </c>
      <c r="TZ15" s="11">
        <v>36</v>
      </c>
      <c r="UA15" s="11">
        <v>1363</v>
      </c>
    </row>
    <row r="16" spans="1:547" ht="16" customHeight="1" x14ac:dyDescent="0.35">
      <c r="A16" s="11" t="s">
        <v>1498</v>
      </c>
      <c r="B16" s="11">
        <v>18725</v>
      </c>
      <c r="C16" s="11">
        <v>5953</v>
      </c>
      <c r="D16" s="11">
        <v>11244</v>
      </c>
      <c r="E16" s="11">
        <v>1528</v>
      </c>
      <c r="F16" s="11">
        <v>0</v>
      </c>
      <c r="G16" s="11">
        <v>0</v>
      </c>
      <c r="H16" s="11">
        <v>0</v>
      </c>
      <c r="I16" s="11">
        <v>0</v>
      </c>
      <c r="J16" s="11">
        <v>0</v>
      </c>
      <c r="K16" s="11">
        <v>0</v>
      </c>
      <c r="L16" s="11">
        <v>0</v>
      </c>
      <c r="M16" s="11">
        <v>0</v>
      </c>
      <c r="N16" s="11">
        <v>0</v>
      </c>
      <c r="O16" s="11">
        <v>0</v>
      </c>
      <c r="P16" s="11" t="s">
        <v>2865</v>
      </c>
      <c r="Q16" s="11">
        <v>0</v>
      </c>
      <c r="R16" s="11">
        <v>1829</v>
      </c>
      <c r="S16" s="26">
        <f t="shared" si="0"/>
        <v>1829</v>
      </c>
      <c r="T16" s="11">
        <v>0</v>
      </c>
      <c r="U16" s="11">
        <v>0</v>
      </c>
      <c r="V16" s="11">
        <v>0</v>
      </c>
      <c r="W16" s="11">
        <v>0</v>
      </c>
      <c r="X16" s="11">
        <v>0</v>
      </c>
      <c r="Y16" s="11">
        <v>0</v>
      </c>
      <c r="Z16" s="11">
        <v>0</v>
      </c>
      <c r="AA16" s="11">
        <v>0</v>
      </c>
      <c r="AB16" s="11">
        <v>0</v>
      </c>
      <c r="AC16" s="11">
        <v>0</v>
      </c>
      <c r="AD16" s="11">
        <v>0</v>
      </c>
      <c r="AE16" s="11">
        <v>0</v>
      </c>
      <c r="AF16" s="26">
        <f t="shared" si="1"/>
        <v>0</v>
      </c>
      <c r="AG16" s="11">
        <v>0</v>
      </c>
      <c r="AH16" s="11">
        <v>0</v>
      </c>
      <c r="AI16" s="11">
        <v>0</v>
      </c>
      <c r="AJ16" s="11">
        <v>0</v>
      </c>
      <c r="AK16" s="11">
        <v>0</v>
      </c>
      <c r="AL16" s="11">
        <v>0</v>
      </c>
      <c r="AM16" s="11">
        <v>0</v>
      </c>
      <c r="AN16" s="11">
        <v>0</v>
      </c>
      <c r="AO16" s="11">
        <v>0</v>
      </c>
      <c r="AP16" s="11">
        <v>0</v>
      </c>
      <c r="AQ16" s="11">
        <v>0</v>
      </c>
      <c r="AR16" s="11">
        <v>0</v>
      </c>
      <c r="AS16" s="26">
        <f t="shared" si="2"/>
        <v>0</v>
      </c>
      <c r="AT16" s="11">
        <v>0</v>
      </c>
      <c r="AU16" s="11">
        <v>0</v>
      </c>
      <c r="AV16" s="11">
        <v>0</v>
      </c>
      <c r="AW16" s="11">
        <v>0</v>
      </c>
      <c r="AX16" s="11">
        <v>0</v>
      </c>
      <c r="AY16" s="11">
        <v>0</v>
      </c>
      <c r="AZ16" s="11">
        <v>0</v>
      </c>
      <c r="BA16" s="11">
        <v>0</v>
      </c>
      <c r="BB16" s="11">
        <v>0</v>
      </c>
      <c r="BC16" s="11">
        <v>0</v>
      </c>
      <c r="BD16" s="11">
        <v>0</v>
      </c>
      <c r="BE16" s="11">
        <v>0</v>
      </c>
      <c r="BF16" s="26">
        <f t="shared" si="3"/>
        <v>0</v>
      </c>
      <c r="BG16" s="11">
        <v>0</v>
      </c>
      <c r="BH16" s="11">
        <v>0</v>
      </c>
      <c r="BI16" s="11">
        <v>0</v>
      </c>
      <c r="BJ16" s="11">
        <v>0</v>
      </c>
      <c r="BK16" s="11">
        <v>0</v>
      </c>
      <c r="BL16" s="11">
        <v>0</v>
      </c>
      <c r="BM16" s="11">
        <v>0</v>
      </c>
      <c r="BN16" s="11">
        <v>0</v>
      </c>
      <c r="BO16" s="11">
        <v>0</v>
      </c>
      <c r="BP16" s="11">
        <v>0</v>
      </c>
      <c r="BQ16" s="11">
        <v>0</v>
      </c>
      <c r="BR16" s="11">
        <v>0</v>
      </c>
      <c r="BS16" s="26">
        <f t="shared" si="4"/>
        <v>0</v>
      </c>
      <c r="BT16" s="11">
        <v>0</v>
      </c>
      <c r="BU16" s="11">
        <v>0</v>
      </c>
      <c r="BV16" s="11">
        <v>0</v>
      </c>
      <c r="BW16" s="11">
        <v>0</v>
      </c>
      <c r="BX16" s="11">
        <v>0</v>
      </c>
      <c r="BY16" s="11">
        <v>0</v>
      </c>
      <c r="BZ16" s="11">
        <v>0</v>
      </c>
      <c r="CA16" s="11">
        <v>0</v>
      </c>
      <c r="CB16" s="11">
        <v>0</v>
      </c>
      <c r="CC16" s="11">
        <v>0</v>
      </c>
      <c r="CD16" s="11">
        <v>0</v>
      </c>
      <c r="CE16" s="11">
        <v>0</v>
      </c>
      <c r="CF16" s="26">
        <f t="shared" si="5"/>
        <v>0</v>
      </c>
      <c r="CG16" s="11">
        <v>0</v>
      </c>
      <c r="CH16" s="11">
        <v>0</v>
      </c>
      <c r="CI16" s="11">
        <v>0</v>
      </c>
      <c r="CJ16" s="11">
        <v>0</v>
      </c>
      <c r="CK16" s="11">
        <v>0</v>
      </c>
      <c r="CL16" s="11">
        <v>0</v>
      </c>
      <c r="CM16" s="11">
        <v>0</v>
      </c>
      <c r="CN16" s="11">
        <v>0</v>
      </c>
      <c r="CO16" s="11">
        <v>0</v>
      </c>
      <c r="CP16" s="11">
        <v>0</v>
      </c>
      <c r="CQ16" s="11">
        <v>0</v>
      </c>
      <c r="CR16" s="11">
        <v>0</v>
      </c>
      <c r="CS16" s="26">
        <f t="shared" si="6"/>
        <v>0</v>
      </c>
      <c r="CT16" s="11">
        <v>0</v>
      </c>
      <c r="CU16" s="11">
        <v>0</v>
      </c>
      <c r="CV16" s="11">
        <v>0</v>
      </c>
      <c r="CW16" s="11">
        <v>0</v>
      </c>
      <c r="CX16" s="11">
        <v>0</v>
      </c>
      <c r="CY16" s="11">
        <v>0</v>
      </c>
      <c r="CZ16" s="11">
        <v>0</v>
      </c>
      <c r="DA16" s="11">
        <v>0</v>
      </c>
      <c r="DB16" s="11">
        <v>0</v>
      </c>
      <c r="DC16" s="11">
        <v>0</v>
      </c>
      <c r="DD16" s="11">
        <v>0</v>
      </c>
      <c r="DE16" s="11">
        <v>0</v>
      </c>
      <c r="DF16" s="26">
        <f t="shared" si="7"/>
        <v>0</v>
      </c>
      <c r="DG16" s="11">
        <v>0</v>
      </c>
      <c r="DH16" s="11">
        <v>0</v>
      </c>
      <c r="DI16" s="11">
        <v>0</v>
      </c>
      <c r="DJ16" s="11">
        <v>0</v>
      </c>
      <c r="DK16" s="11">
        <v>0</v>
      </c>
      <c r="DL16" s="11">
        <v>0</v>
      </c>
      <c r="DM16" s="11">
        <v>0</v>
      </c>
      <c r="DN16" s="11">
        <v>0</v>
      </c>
      <c r="DO16" s="11">
        <v>0</v>
      </c>
      <c r="DP16" s="11">
        <v>0</v>
      </c>
      <c r="DQ16" s="11">
        <v>0</v>
      </c>
      <c r="DR16" s="11">
        <v>0</v>
      </c>
      <c r="DS16" s="26">
        <f t="shared" si="8"/>
        <v>0</v>
      </c>
      <c r="DT16" s="11">
        <v>0</v>
      </c>
      <c r="DU16" s="11">
        <v>0</v>
      </c>
      <c r="DV16" s="11">
        <v>0</v>
      </c>
      <c r="DW16" s="11">
        <v>0</v>
      </c>
      <c r="DX16" s="11">
        <v>0</v>
      </c>
      <c r="DY16" s="11">
        <v>0</v>
      </c>
      <c r="DZ16" s="11">
        <v>0</v>
      </c>
      <c r="EA16" s="11">
        <v>0</v>
      </c>
      <c r="EB16" s="11">
        <v>0</v>
      </c>
      <c r="EC16" s="11">
        <v>0</v>
      </c>
      <c r="ED16" s="11">
        <v>0</v>
      </c>
      <c r="EE16" s="11">
        <v>0</v>
      </c>
      <c r="EF16" s="26">
        <f t="shared" si="9"/>
        <v>0</v>
      </c>
      <c r="EG16" s="9">
        <f t="shared" si="10"/>
        <v>0</v>
      </c>
      <c r="EH16" s="9">
        <f t="shared" si="11"/>
        <v>0</v>
      </c>
      <c r="EI16" s="11">
        <v>0</v>
      </c>
      <c r="EJ16" s="11">
        <v>0</v>
      </c>
      <c r="EK16" s="11">
        <v>0</v>
      </c>
      <c r="EL16" s="11">
        <v>0</v>
      </c>
      <c r="EM16" s="11">
        <v>0</v>
      </c>
      <c r="EN16" s="11">
        <v>0</v>
      </c>
      <c r="EO16" s="11">
        <v>0</v>
      </c>
      <c r="EP16" s="11">
        <v>0</v>
      </c>
      <c r="EQ16" s="11">
        <v>0</v>
      </c>
      <c r="ER16" s="11">
        <v>0</v>
      </c>
      <c r="ES16" s="11">
        <v>0</v>
      </c>
      <c r="ET16" s="11">
        <v>395150</v>
      </c>
      <c r="EU16" s="26">
        <f t="shared" si="12"/>
        <v>395150</v>
      </c>
      <c r="EV16" s="11">
        <v>0</v>
      </c>
      <c r="EW16" s="11">
        <v>0</v>
      </c>
      <c r="EX16" s="11">
        <v>0</v>
      </c>
      <c r="EY16" s="11">
        <v>0</v>
      </c>
      <c r="EZ16" s="11">
        <v>0</v>
      </c>
      <c r="FA16" s="11">
        <v>0</v>
      </c>
      <c r="FB16" s="11">
        <v>0</v>
      </c>
      <c r="FC16" s="11">
        <v>0</v>
      </c>
      <c r="FD16" s="11">
        <v>0</v>
      </c>
      <c r="FE16" s="11">
        <v>0</v>
      </c>
      <c r="FF16" s="11">
        <v>0</v>
      </c>
      <c r="FG16" s="11">
        <v>0</v>
      </c>
      <c r="FH16" s="26">
        <f t="shared" si="13"/>
        <v>0</v>
      </c>
      <c r="FI16" s="11">
        <v>0</v>
      </c>
      <c r="FJ16" s="11">
        <v>0</v>
      </c>
      <c r="FK16" s="11">
        <v>0</v>
      </c>
      <c r="FL16" s="11">
        <v>0</v>
      </c>
      <c r="FM16" s="11">
        <v>0</v>
      </c>
      <c r="FN16" s="11">
        <v>0</v>
      </c>
      <c r="FO16" s="11">
        <v>0</v>
      </c>
      <c r="FP16" s="11">
        <v>0</v>
      </c>
      <c r="FQ16" s="11">
        <v>0</v>
      </c>
      <c r="FR16" s="11">
        <v>0</v>
      </c>
      <c r="FS16" s="11">
        <v>0</v>
      </c>
      <c r="FT16" s="11">
        <v>0</v>
      </c>
      <c r="FU16" s="26">
        <f t="shared" si="14"/>
        <v>0</v>
      </c>
      <c r="FV16" s="11">
        <v>0</v>
      </c>
      <c r="FW16" s="11">
        <v>0</v>
      </c>
      <c r="FX16" s="11">
        <v>0</v>
      </c>
      <c r="FY16" s="11">
        <v>0</v>
      </c>
      <c r="FZ16" s="11">
        <v>0</v>
      </c>
      <c r="GA16" s="11">
        <v>0</v>
      </c>
      <c r="GB16" s="11">
        <v>0</v>
      </c>
      <c r="GC16" s="11">
        <v>0</v>
      </c>
      <c r="GD16" s="11">
        <v>0</v>
      </c>
      <c r="GE16" s="11">
        <v>0</v>
      </c>
      <c r="GF16" s="11">
        <v>0</v>
      </c>
      <c r="GG16" s="11">
        <v>0</v>
      </c>
      <c r="GH16" s="26">
        <f t="shared" si="15"/>
        <v>0</v>
      </c>
      <c r="GI16" s="11">
        <v>0</v>
      </c>
      <c r="GJ16" s="11">
        <v>0</v>
      </c>
      <c r="GK16" s="11">
        <v>0</v>
      </c>
      <c r="GL16" s="11">
        <v>0</v>
      </c>
      <c r="GM16" s="11">
        <v>0</v>
      </c>
      <c r="GN16" s="11">
        <v>0</v>
      </c>
      <c r="GO16" s="11">
        <v>0</v>
      </c>
      <c r="GP16" s="11">
        <v>0</v>
      </c>
      <c r="GQ16" s="11">
        <v>0</v>
      </c>
      <c r="GR16" s="11">
        <v>0</v>
      </c>
      <c r="GS16" s="11">
        <v>0</v>
      </c>
      <c r="GT16" s="11">
        <v>0</v>
      </c>
      <c r="GU16" s="26">
        <f t="shared" si="16"/>
        <v>0</v>
      </c>
      <c r="GV16" s="11">
        <v>0</v>
      </c>
      <c r="GW16" s="11">
        <v>0</v>
      </c>
      <c r="GX16" s="11">
        <v>0</v>
      </c>
      <c r="GY16" s="11">
        <v>0</v>
      </c>
      <c r="GZ16" s="11">
        <v>0</v>
      </c>
      <c r="HA16" s="11">
        <v>0</v>
      </c>
      <c r="HB16" s="11">
        <v>0</v>
      </c>
      <c r="HC16" s="11">
        <v>0</v>
      </c>
      <c r="HD16" s="11">
        <v>0</v>
      </c>
      <c r="HE16" s="11">
        <v>0</v>
      </c>
      <c r="HF16" s="11">
        <v>0</v>
      </c>
      <c r="HG16" s="11">
        <v>0</v>
      </c>
      <c r="HH16" s="26">
        <f t="shared" si="17"/>
        <v>0</v>
      </c>
      <c r="HI16" s="11">
        <v>0</v>
      </c>
      <c r="HJ16" s="11">
        <v>0</v>
      </c>
      <c r="HK16" s="11">
        <v>0</v>
      </c>
      <c r="HL16" s="11">
        <v>0</v>
      </c>
      <c r="HM16" s="11">
        <v>0</v>
      </c>
      <c r="HN16" s="11">
        <v>0</v>
      </c>
      <c r="HO16" s="11">
        <v>0</v>
      </c>
      <c r="HP16" s="11">
        <v>0</v>
      </c>
      <c r="HQ16" s="11">
        <v>0</v>
      </c>
      <c r="HR16" s="11">
        <v>0</v>
      </c>
      <c r="HS16" s="11">
        <v>0</v>
      </c>
      <c r="HT16" s="11">
        <v>0</v>
      </c>
      <c r="HU16" s="26">
        <f t="shared" si="18"/>
        <v>0</v>
      </c>
      <c r="HV16" s="11">
        <v>0</v>
      </c>
      <c r="HW16" s="11">
        <v>0</v>
      </c>
      <c r="HX16" s="11">
        <v>0</v>
      </c>
      <c r="HY16" s="11">
        <v>0</v>
      </c>
      <c r="HZ16" s="11">
        <v>0</v>
      </c>
      <c r="IA16" s="11">
        <v>0</v>
      </c>
      <c r="IB16" s="11">
        <v>0</v>
      </c>
      <c r="IC16" s="11">
        <v>0</v>
      </c>
      <c r="ID16" s="11">
        <v>0</v>
      </c>
      <c r="IE16" s="11">
        <v>0</v>
      </c>
      <c r="IF16" s="11">
        <v>0</v>
      </c>
      <c r="IG16" s="11">
        <v>0</v>
      </c>
      <c r="IH16" s="26">
        <f t="shared" si="19"/>
        <v>0</v>
      </c>
      <c r="II16" s="9">
        <f t="shared" si="20"/>
        <v>0</v>
      </c>
      <c r="IJ16" s="9">
        <f t="shared" si="21"/>
        <v>0</v>
      </c>
      <c r="IK16" s="11">
        <v>56090</v>
      </c>
      <c r="IL16" s="11">
        <v>51942</v>
      </c>
      <c r="IM16" s="11">
        <v>49694</v>
      </c>
      <c r="IN16" s="11">
        <v>60880</v>
      </c>
      <c r="IO16" s="11">
        <v>66440</v>
      </c>
      <c r="IP16" s="11">
        <v>49900</v>
      </c>
      <c r="IQ16" s="11">
        <v>56222</v>
      </c>
      <c r="IR16" s="11">
        <v>51642</v>
      </c>
      <c r="IS16" s="11">
        <v>34026</v>
      </c>
      <c r="IT16" s="11">
        <v>52198</v>
      </c>
      <c r="IU16" s="11">
        <v>48254</v>
      </c>
      <c r="IV16" s="11">
        <v>48878</v>
      </c>
      <c r="IW16" s="27">
        <f t="shared" si="22"/>
        <v>626166</v>
      </c>
      <c r="IX16" s="11">
        <v>280450</v>
      </c>
      <c r="IY16" s="11">
        <v>25971</v>
      </c>
      <c r="IZ16" s="11">
        <v>24847</v>
      </c>
      <c r="JA16" s="11">
        <v>30440</v>
      </c>
      <c r="JB16" s="11">
        <v>33220</v>
      </c>
      <c r="JC16" s="11">
        <v>24950</v>
      </c>
      <c r="JD16" s="11">
        <v>28111</v>
      </c>
      <c r="JE16" s="11">
        <v>25821</v>
      </c>
      <c r="JF16" s="11">
        <v>17013</v>
      </c>
      <c r="JG16" s="11">
        <v>26099</v>
      </c>
      <c r="JH16" s="11">
        <v>24127</v>
      </c>
      <c r="JI16" s="11">
        <v>24439</v>
      </c>
      <c r="JJ16" s="27">
        <f t="shared" si="23"/>
        <v>565488</v>
      </c>
      <c r="JK16" s="11">
        <v>168960</v>
      </c>
      <c r="JL16" s="11">
        <v>15966</v>
      </c>
      <c r="JM16" s="11">
        <v>15083</v>
      </c>
      <c r="JN16" s="11">
        <v>16534</v>
      </c>
      <c r="JO16" s="11">
        <v>17397</v>
      </c>
      <c r="JP16" s="11">
        <v>15147</v>
      </c>
      <c r="JQ16" s="11">
        <v>16197</v>
      </c>
      <c r="JR16" s="11">
        <v>15699</v>
      </c>
      <c r="JS16" s="11">
        <v>11428</v>
      </c>
      <c r="JT16" s="11">
        <v>16357</v>
      </c>
      <c r="JU16" s="11">
        <v>14264</v>
      </c>
      <c r="JV16" s="11">
        <v>14266</v>
      </c>
      <c r="JW16" s="27">
        <f t="shared" si="24"/>
        <v>337298</v>
      </c>
      <c r="JX16" s="11">
        <v>11140</v>
      </c>
      <c r="JY16" s="11">
        <v>10005</v>
      </c>
      <c r="JZ16" s="11">
        <v>9764</v>
      </c>
      <c r="KA16" s="11">
        <v>13906</v>
      </c>
      <c r="KB16" s="11">
        <v>15823</v>
      </c>
      <c r="KC16" s="11">
        <v>9803</v>
      </c>
      <c r="KD16" s="11">
        <v>11914</v>
      </c>
      <c r="KE16" s="11">
        <v>10122</v>
      </c>
      <c r="KF16" s="11">
        <v>5585</v>
      </c>
      <c r="KG16" s="11">
        <v>9742</v>
      </c>
      <c r="KH16" s="11">
        <v>9863</v>
      </c>
      <c r="KI16" s="11">
        <v>10173</v>
      </c>
      <c r="KJ16" s="27">
        <f t="shared" si="25"/>
        <v>127840</v>
      </c>
      <c r="KK16" s="11">
        <v>560</v>
      </c>
      <c r="KL16" s="11">
        <v>440</v>
      </c>
      <c r="KM16" s="11">
        <v>418</v>
      </c>
      <c r="KN16" s="11">
        <v>497</v>
      </c>
      <c r="KO16" s="11">
        <v>460</v>
      </c>
      <c r="KP16" s="11">
        <v>456</v>
      </c>
      <c r="KQ16" s="11">
        <v>432</v>
      </c>
      <c r="KR16" s="11">
        <v>425</v>
      </c>
      <c r="KS16" s="11">
        <v>404</v>
      </c>
      <c r="KT16" s="11">
        <v>380</v>
      </c>
      <c r="KU16" s="11">
        <v>345</v>
      </c>
      <c r="KV16" s="11">
        <v>346</v>
      </c>
      <c r="KW16" s="27">
        <f t="shared" si="26"/>
        <v>5163</v>
      </c>
      <c r="KX16" s="11">
        <v>0</v>
      </c>
      <c r="KY16" s="11">
        <v>0</v>
      </c>
      <c r="KZ16" s="11">
        <v>0</v>
      </c>
      <c r="LA16" s="11">
        <v>0</v>
      </c>
      <c r="LB16" s="11">
        <v>0</v>
      </c>
      <c r="LC16" s="11">
        <v>0</v>
      </c>
      <c r="LD16" s="11">
        <v>0</v>
      </c>
      <c r="LE16" s="11">
        <v>0</v>
      </c>
      <c r="LF16" s="11">
        <v>0</v>
      </c>
      <c r="LG16" s="11">
        <v>0</v>
      </c>
      <c r="LH16" s="11">
        <v>0</v>
      </c>
      <c r="LI16" s="11">
        <v>0</v>
      </c>
      <c r="LJ16" s="27">
        <f t="shared" si="27"/>
        <v>0</v>
      </c>
      <c r="LK16" s="11">
        <v>0</v>
      </c>
      <c r="LL16" s="11">
        <v>0</v>
      </c>
      <c r="LM16" s="11">
        <v>0</v>
      </c>
      <c r="LN16" s="11">
        <v>0</v>
      </c>
      <c r="LO16" s="11">
        <v>0</v>
      </c>
      <c r="LP16" s="11">
        <v>0</v>
      </c>
      <c r="LQ16" s="11">
        <v>0</v>
      </c>
      <c r="LR16" s="11">
        <v>0</v>
      </c>
      <c r="LS16" s="11">
        <v>0</v>
      </c>
      <c r="LT16" s="11">
        <v>0</v>
      </c>
      <c r="LU16" s="11">
        <v>0</v>
      </c>
      <c r="LV16" s="11">
        <v>0</v>
      </c>
      <c r="LW16" s="27">
        <f t="shared" si="28"/>
        <v>0</v>
      </c>
      <c r="LX16" s="11">
        <v>0</v>
      </c>
      <c r="LY16" s="11">
        <v>0</v>
      </c>
      <c r="LZ16" s="11">
        <v>0</v>
      </c>
      <c r="MA16" s="11">
        <v>0</v>
      </c>
      <c r="MB16" s="11">
        <v>0</v>
      </c>
      <c r="MC16" s="11">
        <v>0</v>
      </c>
      <c r="MD16" s="11">
        <v>0</v>
      </c>
      <c r="ME16" s="11">
        <v>0</v>
      </c>
      <c r="MF16" s="11">
        <v>0</v>
      </c>
      <c r="MG16" s="11">
        <v>0</v>
      </c>
      <c r="MH16" s="11">
        <v>0</v>
      </c>
      <c r="MI16" s="11">
        <v>0</v>
      </c>
      <c r="MJ16" s="27">
        <f t="shared" si="29"/>
        <v>0</v>
      </c>
      <c r="MK16" s="11">
        <v>2529</v>
      </c>
      <c r="ML16" s="11">
        <v>2620</v>
      </c>
      <c r="MM16" s="11">
        <v>2435</v>
      </c>
      <c r="MN16" s="11">
        <v>2586</v>
      </c>
      <c r="MO16" s="11">
        <v>2902</v>
      </c>
      <c r="MP16" s="11">
        <v>2667</v>
      </c>
      <c r="MQ16" s="11">
        <v>2739</v>
      </c>
      <c r="MR16" s="11">
        <v>2496</v>
      </c>
      <c r="MS16" s="11">
        <v>2465</v>
      </c>
      <c r="MT16" s="11">
        <v>2774</v>
      </c>
      <c r="MU16" s="11">
        <v>2400</v>
      </c>
      <c r="MV16" s="11">
        <v>2443</v>
      </c>
      <c r="MW16" s="27">
        <f t="shared" si="30"/>
        <v>31056</v>
      </c>
      <c r="MX16" s="11">
        <v>0</v>
      </c>
      <c r="MY16" s="11">
        <v>0</v>
      </c>
      <c r="MZ16" s="11">
        <v>0</v>
      </c>
      <c r="NA16" s="11">
        <v>0</v>
      </c>
      <c r="NB16" s="11">
        <v>0</v>
      </c>
      <c r="NC16" s="11">
        <v>0</v>
      </c>
      <c r="ND16" s="11">
        <v>0</v>
      </c>
      <c r="NE16" s="11">
        <v>0</v>
      </c>
      <c r="NF16" s="11">
        <v>0</v>
      </c>
      <c r="NG16" s="11">
        <v>0</v>
      </c>
      <c r="NH16" s="11">
        <v>0</v>
      </c>
      <c r="NI16" s="11">
        <v>0</v>
      </c>
      <c r="NJ16" s="27">
        <f t="shared" si="31"/>
        <v>0</v>
      </c>
      <c r="NK16" s="11">
        <v>0</v>
      </c>
      <c r="NL16" s="11">
        <v>0</v>
      </c>
      <c r="NM16" s="11">
        <v>0</v>
      </c>
      <c r="NN16" s="11">
        <v>0</v>
      </c>
      <c r="NO16" s="11">
        <v>0</v>
      </c>
      <c r="NP16" s="11">
        <v>0</v>
      </c>
      <c r="NQ16" s="11">
        <v>0</v>
      </c>
      <c r="NR16" s="11">
        <v>0</v>
      </c>
      <c r="NS16" s="11">
        <v>0</v>
      </c>
      <c r="NT16" s="11">
        <v>0</v>
      </c>
      <c r="NU16" s="11">
        <v>0</v>
      </c>
      <c r="NV16" s="11">
        <v>0</v>
      </c>
      <c r="NW16" s="27">
        <f t="shared" si="32"/>
        <v>0</v>
      </c>
      <c r="NX16" s="11">
        <v>0</v>
      </c>
      <c r="NY16" s="11">
        <v>0</v>
      </c>
      <c r="NZ16" s="11">
        <v>0</v>
      </c>
      <c r="OA16" s="11">
        <v>0</v>
      </c>
      <c r="OB16" s="11">
        <v>0</v>
      </c>
      <c r="OC16" s="11">
        <v>0</v>
      </c>
      <c r="OD16" s="11">
        <v>0</v>
      </c>
      <c r="OE16" s="11">
        <v>0</v>
      </c>
      <c r="OF16" s="11">
        <v>0</v>
      </c>
      <c r="OG16" s="11">
        <v>0</v>
      </c>
      <c r="OH16" s="11">
        <v>0</v>
      </c>
      <c r="OI16" s="11">
        <v>0</v>
      </c>
      <c r="OJ16" s="27">
        <f t="shared" si="33"/>
        <v>0</v>
      </c>
      <c r="OK16" s="11">
        <v>2396</v>
      </c>
      <c r="OL16" s="11">
        <v>2348</v>
      </c>
      <c r="OM16" s="11">
        <v>2312</v>
      </c>
      <c r="ON16" s="11">
        <v>2324</v>
      </c>
      <c r="OO16" s="11">
        <v>2576</v>
      </c>
      <c r="OP16" s="11">
        <v>2480</v>
      </c>
      <c r="OQ16" s="11">
        <v>2473</v>
      </c>
      <c r="OR16" s="11">
        <v>2381</v>
      </c>
      <c r="OS16" s="11">
        <v>2227</v>
      </c>
      <c r="OT16" s="11">
        <v>2660</v>
      </c>
      <c r="OU16" s="11">
        <v>2580</v>
      </c>
      <c r="OV16" s="11">
        <v>2749</v>
      </c>
      <c r="OW16" s="27">
        <f t="shared" si="34"/>
        <v>29506</v>
      </c>
      <c r="OX16" s="11">
        <v>0</v>
      </c>
      <c r="OY16" s="11">
        <v>0</v>
      </c>
      <c r="OZ16" s="11">
        <v>0</v>
      </c>
      <c r="PA16" s="11">
        <v>0</v>
      </c>
      <c r="PB16" s="11">
        <v>0</v>
      </c>
      <c r="PC16" s="11">
        <v>0</v>
      </c>
      <c r="PD16" s="11">
        <v>0</v>
      </c>
      <c r="PE16" s="11">
        <v>0</v>
      </c>
      <c r="PF16" s="11">
        <v>0</v>
      </c>
      <c r="PG16" s="11">
        <v>0</v>
      </c>
      <c r="PH16" s="11">
        <v>0</v>
      </c>
      <c r="PI16" s="11">
        <v>0</v>
      </c>
      <c r="PJ16" s="27">
        <f t="shared" si="35"/>
        <v>0</v>
      </c>
      <c r="PK16" s="11">
        <v>0</v>
      </c>
      <c r="PL16" s="11">
        <v>0</v>
      </c>
      <c r="PM16" s="11">
        <v>0</v>
      </c>
      <c r="PN16" s="11">
        <v>0</v>
      </c>
      <c r="PO16" s="11">
        <v>0</v>
      </c>
      <c r="PP16" s="11">
        <v>0</v>
      </c>
      <c r="PQ16" s="11">
        <v>0</v>
      </c>
      <c r="PR16" s="11">
        <v>0</v>
      </c>
      <c r="PS16" s="11">
        <v>0</v>
      </c>
      <c r="PT16" s="11">
        <v>0</v>
      </c>
      <c r="PU16" s="11">
        <v>0</v>
      </c>
      <c r="PV16" s="11">
        <v>0</v>
      </c>
      <c r="PW16" s="27">
        <f t="shared" si="36"/>
        <v>0</v>
      </c>
      <c r="PX16" s="11">
        <v>0</v>
      </c>
      <c r="PY16" s="11">
        <v>0</v>
      </c>
      <c r="PZ16" s="11">
        <v>0</v>
      </c>
      <c r="QA16" s="11">
        <v>0</v>
      </c>
      <c r="QB16" s="11">
        <v>0</v>
      </c>
      <c r="QC16" s="11">
        <v>0</v>
      </c>
      <c r="QD16" s="11">
        <v>0</v>
      </c>
      <c r="QE16" s="11">
        <v>0</v>
      </c>
      <c r="QF16" s="11">
        <v>0</v>
      </c>
      <c r="QG16" s="11">
        <v>0</v>
      </c>
      <c r="QH16" s="11">
        <v>0</v>
      </c>
      <c r="QI16" s="11">
        <v>0</v>
      </c>
      <c r="QJ16" s="27">
        <f t="shared" si="37"/>
        <v>0</v>
      </c>
      <c r="QK16" s="11">
        <v>0</v>
      </c>
      <c r="QL16" s="11">
        <v>0</v>
      </c>
      <c r="QM16" s="11">
        <v>0</v>
      </c>
      <c r="QN16" s="11">
        <v>0</v>
      </c>
      <c r="QO16" s="11">
        <v>0</v>
      </c>
      <c r="QP16" s="11">
        <v>0</v>
      </c>
      <c r="QQ16" s="11">
        <v>0</v>
      </c>
      <c r="QR16" s="11">
        <v>0</v>
      </c>
      <c r="QS16" s="11">
        <v>0</v>
      </c>
      <c r="QT16" s="11">
        <v>0</v>
      </c>
      <c r="QU16" s="11">
        <v>0</v>
      </c>
      <c r="QV16" s="11">
        <v>433500</v>
      </c>
      <c r="QW16" s="27">
        <f t="shared" si="38"/>
        <v>433500</v>
      </c>
      <c r="QX16" s="11">
        <v>0</v>
      </c>
      <c r="QY16" s="11">
        <v>0</v>
      </c>
      <c r="QZ16" s="11">
        <v>0</v>
      </c>
      <c r="RA16" s="11">
        <v>0</v>
      </c>
      <c r="RB16" s="11">
        <v>0</v>
      </c>
      <c r="RC16" s="11">
        <v>0</v>
      </c>
      <c r="RD16" s="11">
        <v>0</v>
      </c>
      <c r="RE16" s="11">
        <v>0</v>
      </c>
      <c r="RF16" s="11">
        <v>0</v>
      </c>
      <c r="RG16" s="11">
        <v>0</v>
      </c>
      <c r="RH16" s="11">
        <v>0</v>
      </c>
      <c r="RI16" s="11">
        <v>61450</v>
      </c>
      <c r="RJ16" s="27">
        <f t="shared" si="39"/>
        <v>61450</v>
      </c>
      <c r="RK16" s="11">
        <v>0</v>
      </c>
      <c r="RL16" s="11">
        <v>0</v>
      </c>
      <c r="RM16" s="11">
        <v>0</v>
      </c>
      <c r="RN16" s="11">
        <v>0</v>
      </c>
      <c r="RO16" s="11">
        <v>0</v>
      </c>
      <c r="RP16" s="11">
        <v>0</v>
      </c>
      <c r="RQ16" s="11">
        <v>0</v>
      </c>
      <c r="RR16" s="11">
        <v>0</v>
      </c>
      <c r="RS16" s="11">
        <v>0</v>
      </c>
      <c r="RT16" s="11">
        <v>0</v>
      </c>
      <c r="RU16" s="11">
        <v>0</v>
      </c>
      <c r="RV16" s="11">
        <v>0</v>
      </c>
      <c r="RW16" s="27">
        <f t="shared" si="40"/>
        <v>0</v>
      </c>
      <c r="RX16" s="11">
        <v>0</v>
      </c>
      <c r="RY16" s="11">
        <v>0</v>
      </c>
      <c r="RZ16" s="11">
        <v>0</v>
      </c>
      <c r="SA16" s="11">
        <v>0</v>
      </c>
      <c r="SB16" s="11">
        <v>0</v>
      </c>
      <c r="SC16" s="11">
        <v>0</v>
      </c>
      <c r="SD16" s="11">
        <v>0</v>
      </c>
      <c r="SE16" s="11">
        <v>0</v>
      </c>
      <c r="SF16" s="11">
        <v>0</v>
      </c>
      <c r="SG16" s="11">
        <v>0</v>
      </c>
      <c r="SH16" s="11">
        <v>0</v>
      </c>
      <c r="SI16" s="11">
        <v>0</v>
      </c>
      <c r="SJ16" s="27">
        <f t="shared" si="41"/>
        <v>0</v>
      </c>
      <c r="SK16" s="11">
        <v>1589</v>
      </c>
      <c r="SL16" s="11">
        <v>1551</v>
      </c>
      <c r="SM16" s="11">
        <v>1335</v>
      </c>
      <c r="SN16" s="11">
        <v>1391</v>
      </c>
      <c r="SO16" s="11">
        <v>1227</v>
      </c>
      <c r="SP16" s="11">
        <v>1332</v>
      </c>
      <c r="SQ16" s="11">
        <v>1381</v>
      </c>
      <c r="SR16" s="11">
        <v>1211</v>
      </c>
      <c r="SS16" s="11">
        <v>1313</v>
      </c>
      <c r="ST16" s="11">
        <v>1312</v>
      </c>
      <c r="SU16" s="11">
        <v>1168</v>
      </c>
      <c r="SV16" s="11">
        <v>1632</v>
      </c>
      <c r="SW16" s="27">
        <f t="shared" si="42"/>
        <v>16442</v>
      </c>
      <c r="SX16" s="11" t="s">
        <v>2652</v>
      </c>
      <c r="SY16" s="11">
        <v>0</v>
      </c>
      <c r="SZ16" s="11">
        <v>0</v>
      </c>
      <c r="TA16" s="11">
        <v>0</v>
      </c>
      <c r="TB16" s="11">
        <v>0</v>
      </c>
      <c r="TC16" s="11">
        <v>0</v>
      </c>
      <c r="TD16" s="11">
        <v>0</v>
      </c>
      <c r="TE16" s="11">
        <v>0</v>
      </c>
      <c r="TF16" s="11">
        <v>0</v>
      </c>
      <c r="TG16" s="11">
        <v>0</v>
      </c>
      <c r="TH16" s="11">
        <v>0</v>
      </c>
      <c r="TI16" s="11">
        <v>0</v>
      </c>
      <c r="TJ16" s="11">
        <v>0</v>
      </c>
      <c r="TK16" s="27">
        <f t="shared" si="43"/>
        <v>0</v>
      </c>
      <c r="TL16" s="11">
        <v>2381</v>
      </c>
      <c r="TM16" s="11">
        <v>2140</v>
      </c>
      <c r="TN16" s="11">
        <v>1899</v>
      </c>
      <c r="TO16" s="11">
        <v>1812</v>
      </c>
      <c r="TP16" s="11">
        <v>1892</v>
      </c>
      <c r="TQ16" s="11">
        <v>1961</v>
      </c>
      <c r="TR16" s="11">
        <v>2263</v>
      </c>
      <c r="TS16" s="11">
        <v>2009</v>
      </c>
      <c r="TT16" s="11">
        <v>2387</v>
      </c>
      <c r="TU16" s="11">
        <v>2437</v>
      </c>
      <c r="TV16" s="11">
        <v>2195</v>
      </c>
      <c r="TW16" s="11">
        <v>2003</v>
      </c>
      <c r="TX16" s="27">
        <f t="shared" si="44"/>
        <v>25379</v>
      </c>
      <c r="TY16" s="11">
        <v>104</v>
      </c>
      <c r="TZ16" s="11">
        <v>0</v>
      </c>
      <c r="UA16" s="11">
        <v>0</v>
      </c>
    </row>
    <row r="17" spans="1:547" ht="16" customHeight="1" x14ac:dyDescent="0.35">
      <c r="A17" s="11" t="s">
        <v>1430</v>
      </c>
      <c r="B17" s="11">
        <v>100256</v>
      </c>
      <c r="C17" s="11">
        <v>24525</v>
      </c>
      <c r="D17" s="11">
        <v>68534</v>
      </c>
      <c r="E17" s="11">
        <v>7197</v>
      </c>
      <c r="F17" s="11">
        <v>562</v>
      </c>
      <c r="G17" s="11">
        <v>603</v>
      </c>
      <c r="H17" s="11">
        <v>639</v>
      </c>
      <c r="I17" s="11">
        <v>680</v>
      </c>
      <c r="J17" s="11">
        <v>558</v>
      </c>
      <c r="K17" s="11">
        <v>603</v>
      </c>
      <c r="L17" s="11">
        <v>725</v>
      </c>
      <c r="M17" s="11">
        <v>687</v>
      </c>
      <c r="N17" s="11">
        <v>501</v>
      </c>
      <c r="O17" s="11">
        <v>601</v>
      </c>
      <c r="P17" s="11" t="s">
        <v>2862</v>
      </c>
      <c r="Q17" s="11">
        <v>641</v>
      </c>
      <c r="R17" s="11">
        <v>676</v>
      </c>
      <c r="S17" s="26">
        <f t="shared" si="0"/>
        <v>7476</v>
      </c>
      <c r="T17" s="11">
        <v>53</v>
      </c>
      <c r="U17" s="11">
        <v>55</v>
      </c>
      <c r="V17" s="11">
        <v>58</v>
      </c>
      <c r="W17" s="11">
        <v>55</v>
      </c>
      <c r="X17" s="11">
        <v>46</v>
      </c>
      <c r="Y17" s="11">
        <v>66</v>
      </c>
      <c r="Z17" s="11">
        <v>92</v>
      </c>
      <c r="AA17" s="11">
        <v>65</v>
      </c>
      <c r="AB17" s="11">
        <v>51</v>
      </c>
      <c r="AC17" s="11">
        <v>55</v>
      </c>
      <c r="AD17" s="11">
        <v>62</v>
      </c>
      <c r="AE17" s="11">
        <v>61</v>
      </c>
      <c r="AF17" s="26">
        <f t="shared" si="1"/>
        <v>719</v>
      </c>
      <c r="AG17" s="11">
        <v>252</v>
      </c>
      <c r="AH17" s="11">
        <v>271</v>
      </c>
      <c r="AI17" s="11">
        <v>345</v>
      </c>
      <c r="AJ17" s="11">
        <v>327</v>
      </c>
      <c r="AK17" s="11">
        <v>210</v>
      </c>
      <c r="AL17" s="11">
        <v>262</v>
      </c>
      <c r="AM17" s="11">
        <v>313</v>
      </c>
      <c r="AN17" s="11">
        <v>288</v>
      </c>
      <c r="AO17" s="11">
        <v>150</v>
      </c>
      <c r="AP17" s="11">
        <v>196</v>
      </c>
      <c r="AQ17" s="11">
        <v>165</v>
      </c>
      <c r="AR17" s="11">
        <v>201</v>
      </c>
      <c r="AS17" s="26">
        <f t="shared" si="2"/>
        <v>2980</v>
      </c>
      <c r="AT17" s="11">
        <v>10</v>
      </c>
      <c r="AU17" s="11">
        <v>14</v>
      </c>
      <c r="AV17" s="11">
        <v>9</v>
      </c>
      <c r="AW17" s="11">
        <v>9</v>
      </c>
      <c r="AX17" s="11">
        <v>9</v>
      </c>
      <c r="AY17" s="11">
        <v>4</v>
      </c>
      <c r="AZ17" s="11">
        <v>13</v>
      </c>
      <c r="BA17" s="11">
        <v>7</v>
      </c>
      <c r="BB17" s="11">
        <v>5</v>
      </c>
      <c r="BC17" s="11">
        <v>5</v>
      </c>
      <c r="BD17" s="11">
        <v>3</v>
      </c>
      <c r="BE17" s="11">
        <v>5</v>
      </c>
      <c r="BF17" s="26">
        <f t="shared" si="3"/>
        <v>93</v>
      </c>
      <c r="BG17" s="11">
        <v>247</v>
      </c>
      <c r="BH17" s="11">
        <v>263</v>
      </c>
      <c r="BI17" s="11">
        <v>227</v>
      </c>
      <c r="BJ17" s="11">
        <v>289</v>
      </c>
      <c r="BK17" s="11">
        <v>298</v>
      </c>
      <c r="BL17" s="11">
        <v>271</v>
      </c>
      <c r="BM17" s="11">
        <v>307</v>
      </c>
      <c r="BN17" s="11">
        <v>327</v>
      </c>
      <c r="BO17" s="11">
        <v>295</v>
      </c>
      <c r="BP17" s="11">
        <v>345</v>
      </c>
      <c r="BQ17" s="11">
        <v>411</v>
      </c>
      <c r="BR17" s="11">
        <v>409</v>
      </c>
      <c r="BS17" s="26">
        <f t="shared" si="4"/>
        <v>3689</v>
      </c>
      <c r="BT17" s="11">
        <v>0</v>
      </c>
      <c r="BU17" s="11">
        <v>0</v>
      </c>
      <c r="BV17" s="11">
        <v>0</v>
      </c>
      <c r="BW17" s="11">
        <v>0</v>
      </c>
      <c r="BX17" s="11">
        <v>0</v>
      </c>
      <c r="BY17" s="11">
        <v>0</v>
      </c>
      <c r="BZ17" s="11">
        <v>0</v>
      </c>
      <c r="CA17" s="11">
        <v>0</v>
      </c>
      <c r="CB17" s="11">
        <v>0</v>
      </c>
      <c r="CC17" s="11">
        <v>0</v>
      </c>
      <c r="CD17" s="11">
        <v>0</v>
      </c>
      <c r="CE17" s="11">
        <v>0</v>
      </c>
      <c r="CF17" s="26">
        <f t="shared" si="5"/>
        <v>0</v>
      </c>
      <c r="CG17" s="11">
        <v>0</v>
      </c>
      <c r="CH17" s="11">
        <v>0</v>
      </c>
      <c r="CI17" s="11">
        <v>0</v>
      </c>
      <c r="CJ17" s="11">
        <v>0</v>
      </c>
      <c r="CK17" s="11">
        <v>0</v>
      </c>
      <c r="CL17" s="11">
        <v>0</v>
      </c>
      <c r="CM17" s="11">
        <v>0</v>
      </c>
      <c r="CN17" s="11">
        <v>0</v>
      </c>
      <c r="CO17" s="11">
        <v>0</v>
      </c>
      <c r="CP17" s="11">
        <v>0</v>
      </c>
      <c r="CQ17" s="11">
        <v>0</v>
      </c>
      <c r="CR17" s="11">
        <v>0</v>
      </c>
      <c r="CS17" s="26">
        <f t="shared" si="6"/>
        <v>0</v>
      </c>
      <c r="CT17" s="11">
        <v>0</v>
      </c>
      <c r="CU17" s="11">
        <v>0</v>
      </c>
      <c r="CV17" s="11">
        <v>0</v>
      </c>
      <c r="CW17" s="11">
        <v>0</v>
      </c>
      <c r="CX17" s="11">
        <v>0</v>
      </c>
      <c r="CY17" s="11">
        <v>0</v>
      </c>
      <c r="CZ17" s="11">
        <v>0</v>
      </c>
      <c r="DA17" s="11">
        <v>0</v>
      </c>
      <c r="DB17" s="11">
        <v>0</v>
      </c>
      <c r="DC17" s="11">
        <v>0</v>
      </c>
      <c r="DD17" s="11">
        <v>0</v>
      </c>
      <c r="DE17" s="11">
        <v>0</v>
      </c>
      <c r="DF17" s="26">
        <f t="shared" si="7"/>
        <v>0</v>
      </c>
      <c r="DG17" s="11">
        <v>0</v>
      </c>
      <c r="DH17" s="11">
        <v>0</v>
      </c>
      <c r="DI17" s="11">
        <v>0</v>
      </c>
      <c r="DJ17" s="11">
        <v>0</v>
      </c>
      <c r="DK17" s="11">
        <v>0</v>
      </c>
      <c r="DL17" s="11">
        <v>0</v>
      </c>
      <c r="DM17" s="11">
        <v>0</v>
      </c>
      <c r="DN17" s="11">
        <v>0</v>
      </c>
      <c r="DO17" s="11">
        <v>0</v>
      </c>
      <c r="DP17" s="11">
        <v>0</v>
      </c>
      <c r="DQ17" s="11">
        <v>0</v>
      </c>
      <c r="DR17" s="11">
        <v>0</v>
      </c>
      <c r="DS17" s="26">
        <f t="shared" si="8"/>
        <v>0</v>
      </c>
      <c r="DT17" s="11">
        <v>0</v>
      </c>
      <c r="DU17" s="11">
        <v>0</v>
      </c>
      <c r="DV17" s="11">
        <v>0</v>
      </c>
      <c r="DW17" s="11">
        <v>0</v>
      </c>
      <c r="DX17" s="11">
        <v>0</v>
      </c>
      <c r="DY17" s="11">
        <v>0</v>
      </c>
      <c r="DZ17" s="11">
        <v>0</v>
      </c>
      <c r="EA17" s="11">
        <v>0</v>
      </c>
      <c r="EB17" s="11">
        <v>0</v>
      </c>
      <c r="EC17" s="11">
        <v>0</v>
      </c>
      <c r="ED17" s="11">
        <v>0</v>
      </c>
      <c r="EE17" s="11">
        <v>0</v>
      </c>
      <c r="EF17" s="26">
        <f t="shared" si="9"/>
        <v>0</v>
      </c>
      <c r="EG17" s="9">
        <f t="shared" si="10"/>
        <v>7481</v>
      </c>
      <c r="EH17" s="9">
        <f t="shared" si="11"/>
        <v>0</v>
      </c>
      <c r="EI17" s="11">
        <v>12653</v>
      </c>
      <c r="EJ17" s="11">
        <v>10469</v>
      </c>
      <c r="EK17" s="11">
        <v>18999</v>
      </c>
      <c r="EL17" s="11">
        <v>24885</v>
      </c>
      <c r="EM17" s="11">
        <v>10607</v>
      </c>
      <c r="EN17" s="11">
        <v>13991</v>
      </c>
      <c r="EO17" s="11">
        <v>13105</v>
      </c>
      <c r="EP17" s="11">
        <v>12301</v>
      </c>
      <c r="EQ17" s="11">
        <v>10447</v>
      </c>
      <c r="ER17" s="11">
        <v>10851</v>
      </c>
      <c r="ES17" s="11">
        <v>13704</v>
      </c>
      <c r="ET17" s="11">
        <v>13226</v>
      </c>
      <c r="EU17" s="26">
        <f t="shared" si="12"/>
        <v>165238</v>
      </c>
      <c r="EV17" s="11">
        <v>6736</v>
      </c>
      <c r="EW17" s="11">
        <v>5752</v>
      </c>
      <c r="EX17" s="11">
        <v>12984</v>
      </c>
      <c r="EY17" s="11">
        <v>6361</v>
      </c>
      <c r="EZ17" s="11">
        <v>5547</v>
      </c>
      <c r="FA17" s="11">
        <v>6457</v>
      </c>
      <c r="FB17" s="11">
        <v>7201</v>
      </c>
      <c r="FC17" s="11">
        <v>6882</v>
      </c>
      <c r="FD17" s="11">
        <v>5838</v>
      </c>
      <c r="FE17" s="11">
        <v>5864</v>
      </c>
      <c r="FF17" s="11">
        <v>7137</v>
      </c>
      <c r="FG17" s="11">
        <v>6673</v>
      </c>
      <c r="FH17" s="26">
        <f t="shared" si="13"/>
        <v>83432</v>
      </c>
      <c r="FI17" s="11">
        <v>5913</v>
      </c>
      <c r="FJ17" s="11">
        <v>4603</v>
      </c>
      <c r="FK17" s="11">
        <v>5904</v>
      </c>
      <c r="FL17" s="11">
        <v>18471</v>
      </c>
      <c r="FM17" s="11">
        <v>5029</v>
      </c>
      <c r="FN17" s="11">
        <v>7426</v>
      </c>
      <c r="FO17" s="11">
        <v>5862</v>
      </c>
      <c r="FP17" s="11">
        <v>5400</v>
      </c>
      <c r="FQ17" s="11">
        <v>4153</v>
      </c>
      <c r="FR17" s="11">
        <v>4952</v>
      </c>
      <c r="FS17" s="11">
        <v>5864</v>
      </c>
      <c r="FT17" s="11">
        <v>6389</v>
      </c>
      <c r="FU17" s="26">
        <f t="shared" si="14"/>
        <v>79966</v>
      </c>
      <c r="FV17" s="11">
        <v>4</v>
      </c>
      <c r="FW17" s="11">
        <v>114</v>
      </c>
      <c r="FX17" s="11">
        <v>111</v>
      </c>
      <c r="FY17" s="11">
        <v>53</v>
      </c>
      <c r="FZ17" s="11">
        <v>31</v>
      </c>
      <c r="GA17" s="11">
        <v>108</v>
      </c>
      <c r="GB17" s="11">
        <v>42</v>
      </c>
      <c r="GC17" s="11">
        <v>19</v>
      </c>
      <c r="GD17" s="11">
        <v>456</v>
      </c>
      <c r="GE17" s="11">
        <v>35</v>
      </c>
      <c r="GF17" s="11">
        <v>73</v>
      </c>
      <c r="GG17" s="11">
        <v>164</v>
      </c>
      <c r="GH17" s="26">
        <f t="shared" si="15"/>
        <v>1210</v>
      </c>
      <c r="GI17" s="11">
        <v>0</v>
      </c>
      <c r="GJ17" s="11">
        <v>0</v>
      </c>
      <c r="GK17" s="11">
        <v>0</v>
      </c>
      <c r="GL17" s="11">
        <v>0</v>
      </c>
      <c r="GM17" s="11">
        <v>0</v>
      </c>
      <c r="GN17" s="11">
        <v>0</v>
      </c>
      <c r="GO17" s="11">
        <v>0</v>
      </c>
      <c r="GP17" s="11">
        <v>0</v>
      </c>
      <c r="GQ17" s="11">
        <v>0</v>
      </c>
      <c r="GR17" s="11">
        <v>0</v>
      </c>
      <c r="GS17" s="11">
        <v>0</v>
      </c>
      <c r="GT17" s="11">
        <v>0</v>
      </c>
      <c r="GU17" s="26">
        <f t="shared" si="16"/>
        <v>0</v>
      </c>
      <c r="GV17" s="11">
        <v>0</v>
      </c>
      <c r="GW17" s="11">
        <v>0</v>
      </c>
      <c r="GX17" s="11">
        <v>0</v>
      </c>
      <c r="GY17" s="11">
        <v>0</v>
      </c>
      <c r="GZ17" s="11">
        <v>0</v>
      </c>
      <c r="HA17" s="11">
        <v>0</v>
      </c>
      <c r="HB17" s="11">
        <v>0</v>
      </c>
      <c r="HC17" s="11">
        <v>0</v>
      </c>
      <c r="HD17" s="11">
        <v>0</v>
      </c>
      <c r="HE17" s="11">
        <v>0</v>
      </c>
      <c r="HF17" s="11">
        <v>0</v>
      </c>
      <c r="HG17" s="11">
        <v>0</v>
      </c>
      <c r="HH17" s="26">
        <f t="shared" si="17"/>
        <v>0</v>
      </c>
      <c r="HI17" s="11">
        <v>0</v>
      </c>
      <c r="HJ17" s="11">
        <v>0</v>
      </c>
      <c r="HK17" s="11">
        <v>0</v>
      </c>
      <c r="HL17" s="11">
        <v>0</v>
      </c>
      <c r="HM17" s="11">
        <v>0</v>
      </c>
      <c r="HN17" s="11">
        <v>0</v>
      </c>
      <c r="HO17" s="11">
        <v>0</v>
      </c>
      <c r="HP17" s="11">
        <v>0</v>
      </c>
      <c r="HQ17" s="11">
        <v>0</v>
      </c>
      <c r="HR17" s="11">
        <v>0</v>
      </c>
      <c r="HS17" s="11">
        <v>0</v>
      </c>
      <c r="HT17" s="11">
        <v>0</v>
      </c>
      <c r="HU17" s="26">
        <f t="shared" si="18"/>
        <v>0</v>
      </c>
      <c r="HV17" s="11">
        <v>0</v>
      </c>
      <c r="HW17" s="11">
        <v>0</v>
      </c>
      <c r="HX17" s="11">
        <v>0</v>
      </c>
      <c r="HY17" s="11">
        <v>0</v>
      </c>
      <c r="HZ17" s="11">
        <v>0</v>
      </c>
      <c r="IA17" s="11">
        <v>0</v>
      </c>
      <c r="IB17" s="11">
        <v>0</v>
      </c>
      <c r="IC17" s="11">
        <v>0</v>
      </c>
      <c r="ID17" s="11">
        <v>0</v>
      </c>
      <c r="IE17" s="11">
        <v>0</v>
      </c>
      <c r="IF17" s="11">
        <v>0</v>
      </c>
      <c r="IG17" s="11">
        <v>0</v>
      </c>
      <c r="IH17" s="26">
        <f t="shared" si="19"/>
        <v>0</v>
      </c>
      <c r="II17" s="9">
        <f t="shared" si="20"/>
        <v>164608</v>
      </c>
      <c r="IJ17" s="9">
        <f t="shared" si="21"/>
        <v>0</v>
      </c>
      <c r="IK17" s="11">
        <v>133829</v>
      </c>
      <c r="IL17" s="11">
        <v>125438</v>
      </c>
      <c r="IM17" s="11">
        <v>122717</v>
      </c>
      <c r="IN17" s="11">
        <v>145444</v>
      </c>
      <c r="IO17" s="11">
        <v>151612</v>
      </c>
      <c r="IP17" s="11">
        <v>133441</v>
      </c>
      <c r="IQ17" s="11">
        <v>136877</v>
      </c>
      <c r="IR17" s="11">
        <v>129189</v>
      </c>
      <c r="IS17" s="11">
        <v>92898</v>
      </c>
      <c r="IT17" s="11">
        <v>122384</v>
      </c>
      <c r="IU17" s="11">
        <v>122404</v>
      </c>
      <c r="IV17" s="11">
        <v>128317</v>
      </c>
      <c r="IW17" s="27">
        <f t="shared" si="22"/>
        <v>1544550</v>
      </c>
      <c r="IX17" s="11">
        <v>52402</v>
      </c>
      <c r="IY17" s="11">
        <v>50038</v>
      </c>
      <c r="IZ17" s="11">
        <v>49678</v>
      </c>
      <c r="JA17" s="11">
        <v>54191</v>
      </c>
      <c r="JB17" s="11">
        <v>54945</v>
      </c>
      <c r="JC17" s="11">
        <v>51530</v>
      </c>
      <c r="JD17" s="11">
        <v>53697</v>
      </c>
      <c r="JE17" s="11">
        <v>50558</v>
      </c>
      <c r="JF17" s="11">
        <v>38699</v>
      </c>
      <c r="JG17" s="11">
        <v>50852</v>
      </c>
      <c r="JH17" s="11">
        <v>48157</v>
      </c>
      <c r="JI17" s="11">
        <v>51044</v>
      </c>
      <c r="JJ17" s="27">
        <f t="shared" si="23"/>
        <v>605791</v>
      </c>
      <c r="JK17" s="11">
        <v>78579</v>
      </c>
      <c r="JL17" s="11">
        <v>72854</v>
      </c>
      <c r="JM17" s="11">
        <v>70431</v>
      </c>
      <c r="JN17" s="11">
        <v>87915</v>
      </c>
      <c r="JO17" s="11">
        <v>92931</v>
      </c>
      <c r="JP17" s="11">
        <v>78863</v>
      </c>
      <c r="JQ17" s="11">
        <v>80110</v>
      </c>
      <c r="JR17" s="11">
        <v>75734</v>
      </c>
      <c r="JS17" s="11">
        <v>51954</v>
      </c>
      <c r="JT17" s="11">
        <v>68828</v>
      </c>
      <c r="JU17" s="11">
        <v>71344</v>
      </c>
      <c r="JV17" s="11">
        <v>74290</v>
      </c>
      <c r="JW17" s="27">
        <f t="shared" si="24"/>
        <v>903833</v>
      </c>
      <c r="JX17" s="11">
        <v>1069</v>
      </c>
      <c r="JY17" s="11">
        <v>959</v>
      </c>
      <c r="JZ17" s="11">
        <v>938</v>
      </c>
      <c r="KA17" s="11">
        <v>1174</v>
      </c>
      <c r="KB17" s="11">
        <v>1064</v>
      </c>
      <c r="KC17" s="11">
        <v>940</v>
      </c>
      <c r="KD17" s="11">
        <v>1014</v>
      </c>
      <c r="KE17" s="11">
        <v>808</v>
      </c>
      <c r="KF17" s="11">
        <v>855</v>
      </c>
      <c r="KG17" s="11">
        <v>816</v>
      </c>
      <c r="KH17" s="11">
        <v>810</v>
      </c>
      <c r="KI17" s="11">
        <v>964</v>
      </c>
      <c r="KJ17" s="27">
        <f t="shared" si="25"/>
        <v>11411</v>
      </c>
      <c r="KK17" s="11">
        <v>1069</v>
      </c>
      <c r="KL17" s="11">
        <v>959</v>
      </c>
      <c r="KM17" s="11">
        <v>938</v>
      </c>
      <c r="KN17" s="11">
        <v>1174</v>
      </c>
      <c r="KO17" s="11">
        <v>1064</v>
      </c>
      <c r="KP17" s="11">
        <v>940</v>
      </c>
      <c r="KQ17" s="11">
        <v>1014</v>
      </c>
      <c r="KR17" s="11">
        <v>808</v>
      </c>
      <c r="KS17" s="11">
        <v>855</v>
      </c>
      <c r="KT17" s="11">
        <v>816</v>
      </c>
      <c r="KU17" s="11">
        <v>810</v>
      </c>
      <c r="KV17" s="11">
        <v>964</v>
      </c>
      <c r="KW17" s="27">
        <f t="shared" si="26"/>
        <v>11411</v>
      </c>
      <c r="KX17" s="11">
        <v>723</v>
      </c>
      <c r="KY17" s="11">
        <v>600</v>
      </c>
      <c r="KZ17" s="11">
        <v>600</v>
      </c>
      <c r="LA17" s="11">
        <v>701</v>
      </c>
      <c r="LB17" s="11">
        <v>637</v>
      </c>
      <c r="LC17" s="11">
        <v>631</v>
      </c>
      <c r="LD17" s="11">
        <v>653</v>
      </c>
      <c r="LE17" s="11">
        <v>558</v>
      </c>
      <c r="LF17" s="11">
        <v>623</v>
      </c>
      <c r="LG17" s="11">
        <v>571</v>
      </c>
      <c r="LH17" s="11">
        <v>546</v>
      </c>
      <c r="LI17" s="11">
        <v>651</v>
      </c>
      <c r="LJ17" s="27">
        <f t="shared" si="27"/>
        <v>7494</v>
      </c>
      <c r="LK17" s="11">
        <v>340</v>
      </c>
      <c r="LL17" s="11">
        <v>352</v>
      </c>
      <c r="LM17" s="11">
        <v>332</v>
      </c>
      <c r="LN17" s="11">
        <v>463</v>
      </c>
      <c r="LO17" s="11">
        <v>418</v>
      </c>
      <c r="LP17" s="11">
        <v>303</v>
      </c>
      <c r="LQ17" s="11">
        <v>350</v>
      </c>
      <c r="LR17" s="11">
        <v>242</v>
      </c>
      <c r="LS17" s="11">
        <v>224</v>
      </c>
      <c r="LT17" s="11">
        <v>240</v>
      </c>
      <c r="LU17" s="11">
        <v>252</v>
      </c>
      <c r="LV17" s="11">
        <v>304</v>
      </c>
      <c r="LW17" s="27">
        <f t="shared" si="28"/>
        <v>3820</v>
      </c>
      <c r="LX17" s="11">
        <v>6</v>
      </c>
      <c r="LY17" s="11">
        <v>7</v>
      </c>
      <c r="LZ17" s="11">
        <v>6</v>
      </c>
      <c r="MA17" s="11">
        <v>10</v>
      </c>
      <c r="MB17" s="11">
        <v>9</v>
      </c>
      <c r="MC17" s="11">
        <v>6</v>
      </c>
      <c r="MD17" s="11">
        <v>11</v>
      </c>
      <c r="ME17" s="11">
        <v>8</v>
      </c>
      <c r="MF17" s="11">
        <v>8</v>
      </c>
      <c r="MG17" s="11">
        <v>5</v>
      </c>
      <c r="MH17" s="11">
        <v>12</v>
      </c>
      <c r="MI17" s="11">
        <v>9</v>
      </c>
      <c r="MJ17" s="27">
        <f t="shared" si="29"/>
        <v>97</v>
      </c>
      <c r="MK17" s="11">
        <v>9219</v>
      </c>
      <c r="ML17" s="11">
        <v>9146</v>
      </c>
      <c r="MM17" s="11">
        <v>8794</v>
      </c>
      <c r="MN17" s="11">
        <v>9419</v>
      </c>
      <c r="MO17" s="11">
        <v>10155</v>
      </c>
      <c r="MP17" s="11">
        <v>9445</v>
      </c>
      <c r="MQ17" s="11">
        <v>9219</v>
      </c>
      <c r="MR17" s="11">
        <v>8857</v>
      </c>
      <c r="MS17" s="11">
        <v>9037</v>
      </c>
      <c r="MT17" s="11">
        <v>9376</v>
      </c>
      <c r="MU17" s="11">
        <v>8772</v>
      </c>
      <c r="MV17" s="11">
        <v>9658</v>
      </c>
      <c r="MW17" s="27">
        <f t="shared" si="30"/>
        <v>111097</v>
      </c>
      <c r="MX17" s="11">
        <v>0</v>
      </c>
      <c r="MY17" s="11">
        <v>0</v>
      </c>
      <c r="MZ17" s="11">
        <v>0</v>
      </c>
      <c r="NA17" s="11">
        <v>0</v>
      </c>
      <c r="NB17" s="11">
        <v>0</v>
      </c>
      <c r="NC17" s="11">
        <v>0</v>
      </c>
      <c r="ND17" s="11">
        <v>0</v>
      </c>
      <c r="NE17" s="11">
        <v>0</v>
      </c>
      <c r="NF17" s="11">
        <v>0</v>
      </c>
      <c r="NG17" s="11">
        <v>0</v>
      </c>
      <c r="NH17" s="11">
        <v>0</v>
      </c>
      <c r="NI17" s="11">
        <v>0</v>
      </c>
      <c r="NJ17" s="27">
        <f t="shared" si="31"/>
        <v>0</v>
      </c>
      <c r="NK17" s="11">
        <v>0</v>
      </c>
      <c r="NL17" s="11">
        <v>0</v>
      </c>
      <c r="NM17" s="11">
        <v>0</v>
      </c>
      <c r="NN17" s="11">
        <v>0</v>
      </c>
      <c r="NO17" s="11">
        <v>0</v>
      </c>
      <c r="NP17" s="11">
        <v>0</v>
      </c>
      <c r="NQ17" s="11">
        <v>0</v>
      </c>
      <c r="NR17" s="11">
        <v>0</v>
      </c>
      <c r="NS17" s="11">
        <v>0</v>
      </c>
      <c r="NT17" s="11">
        <v>0</v>
      </c>
      <c r="NU17" s="11">
        <v>0</v>
      </c>
      <c r="NV17" s="11">
        <v>0</v>
      </c>
      <c r="NW17" s="27">
        <f t="shared" si="32"/>
        <v>0</v>
      </c>
      <c r="NX17" s="11">
        <v>0</v>
      </c>
      <c r="NY17" s="11">
        <v>0</v>
      </c>
      <c r="NZ17" s="11">
        <v>0</v>
      </c>
      <c r="OA17" s="11">
        <v>0</v>
      </c>
      <c r="OB17" s="11">
        <v>0</v>
      </c>
      <c r="OC17" s="11">
        <v>0</v>
      </c>
      <c r="OD17" s="11">
        <v>0</v>
      </c>
      <c r="OE17" s="11">
        <v>0</v>
      </c>
      <c r="OF17" s="11">
        <v>0</v>
      </c>
      <c r="OG17" s="11">
        <v>0</v>
      </c>
      <c r="OH17" s="11">
        <v>0</v>
      </c>
      <c r="OI17" s="11">
        <v>0</v>
      </c>
      <c r="OJ17" s="27">
        <f t="shared" si="33"/>
        <v>0</v>
      </c>
      <c r="OK17" s="11">
        <v>12328</v>
      </c>
      <c r="OL17" s="11">
        <v>12441</v>
      </c>
      <c r="OM17" s="11">
        <v>12099</v>
      </c>
      <c r="ON17" s="11">
        <v>13127</v>
      </c>
      <c r="OO17" s="11">
        <v>14103</v>
      </c>
      <c r="OP17" s="11">
        <v>12648</v>
      </c>
      <c r="OQ17" s="11">
        <v>13466</v>
      </c>
      <c r="OR17" s="11">
        <v>12742</v>
      </c>
      <c r="OS17" s="11">
        <v>12481</v>
      </c>
      <c r="OT17" s="11">
        <v>13335</v>
      </c>
      <c r="OU17" s="11">
        <v>12428</v>
      </c>
      <c r="OV17" s="11">
        <v>13927</v>
      </c>
      <c r="OW17" s="27">
        <f t="shared" si="34"/>
        <v>155125</v>
      </c>
      <c r="OX17" s="11">
        <v>0</v>
      </c>
      <c r="OY17" s="11">
        <v>0</v>
      </c>
      <c r="OZ17" s="11">
        <v>0</v>
      </c>
      <c r="PA17" s="11">
        <v>0</v>
      </c>
      <c r="PB17" s="11">
        <v>0</v>
      </c>
      <c r="PC17" s="11">
        <v>0</v>
      </c>
      <c r="PD17" s="11">
        <v>0</v>
      </c>
      <c r="PE17" s="11">
        <v>0</v>
      </c>
      <c r="PF17" s="11">
        <v>0</v>
      </c>
      <c r="PG17" s="11">
        <v>0</v>
      </c>
      <c r="PH17" s="11">
        <v>0</v>
      </c>
      <c r="PI17" s="11">
        <v>0</v>
      </c>
      <c r="PJ17" s="27">
        <f t="shared" si="35"/>
        <v>0</v>
      </c>
      <c r="PK17" s="11">
        <v>0</v>
      </c>
      <c r="PL17" s="11">
        <v>0</v>
      </c>
      <c r="PM17" s="11">
        <v>0</v>
      </c>
      <c r="PN17" s="11">
        <v>0</v>
      </c>
      <c r="PO17" s="11">
        <v>0</v>
      </c>
      <c r="PP17" s="11">
        <v>0</v>
      </c>
      <c r="PQ17" s="11">
        <v>0</v>
      </c>
      <c r="PR17" s="11">
        <v>0</v>
      </c>
      <c r="PS17" s="11">
        <v>0</v>
      </c>
      <c r="PT17" s="11">
        <v>0</v>
      </c>
      <c r="PU17" s="11">
        <v>0</v>
      </c>
      <c r="PV17" s="11">
        <v>0</v>
      </c>
      <c r="PW17" s="27">
        <f t="shared" si="36"/>
        <v>0</v>
      </c>
      <c r="PX17" s="11">
        <v>0</v>
      </c>
      <c r="PY17" s="11">
        <v>0</v>
      </c>
      <c r="PZ17" s="11">
        <v>0</v>
      </c>
      <c r="QA17" s="11">
        <v>0</v>
      </c>
      <c r="QB17" s="11">
        <v>0</v>
      </c>
      <c r="QC17" s="11">
        <v>0</v>
      </c>
      <c r="QD17" s="11">
        <v>0</v>
      </c>
      <c r="QE17" s="11">
        <v>0</v>
      </c>
      <c r="QF17" s="11">
        <v>0</v>
      </c>
      <c r="QG17" s="11">
        <v>0</v>
      </c>
      <c r="QH17" s="11">
        <v>0</v>
      </c>
      <c r="QI17" s="11">
        <v>0</v>
      </c>
      <c r="QJ17" s="27">
        <f t="shared" si="37"/>
        <v>0</v>
      </c>
      <c r="QK17" s="11">
        <v>141263</v>
      </c>
      <c r="QL17" s="11">
        <v>129698</v>
      </c>
      <c r="QM17" s="11">
        <v>120645</v>
      </c>
      <c r="QN17" s="11">
        <v>140790</v>
      </c>
      <c r="QO17" s="11">
        <v>135232</v>
      </c>
      <c r="QP17" s="11">
        <v>129719</v>
      </c>
      <c r="QQ17" s="11">
        <v>142353</v>
      </c>
      <c r="QR17" s="11">
        <v>137922</v>
      </c>
      <c r="QS17" s="11">
        <v>108521</v>
      </c>
      <c r="QT17" s="11">
        <v>139603</v>
      </c>
      <c r="QU17" s="11">
        <v>136512</v>
      </c>
      <c r="QV17" s="11">
        <v>142484</v>
      </c>
      <c r="QW17" s="27">
        <f t="shared" si="38"/>
        <v>1604742</v>
      </c>
      <c r="QX17" s="11">
        <v>0</v>
      </c>
      <c r="QY17" s="11">
        <v>0</v>
      </c>
      <c r="QZ17" s="11">
        <v>0</v>
      </c>
      <c r="RA17" s="11">
        <v>0</v>
      </c>
      <c r="RB17" s="11">
        <v>0</v>
      </c>
      <c r="RC17" s="11">
        <v>0</v>
      </c>
      <c r="RD17" s="11">
        <v>0</v>
      </c>
      <c r="RE17" s="11">
        <v>0</v>
      </c>
      <c r="RF17" s="11">
        <v>0</v>
      </c>
      <c r="RG17" s="11">
        <v>0</v>
      </c>
      <c r="RH17" s="11">
        <v>0</v>
      </c>
      <c r="RI17" s="11">
        <v>0</v>
      </c>
      <c r="RJ17" s="27">
        <f t="shared" si="39"/>
        <v>0</v>
      </c>
      <c r="RK17" s="11">
        <v>0</v>
      </c>
      <c r="RL17" s="11">
        <v>0</v>
      </c>
      <c r="RM17" s="11">
        <v>0</v>
      </c>
      <c r="RN17" s="11">
        <v>0</v>
      </c>
      <c r="RO17" s="11">
        <v>0</v>
      </c>
      <c r="RP17" s="11">
        <v>0</v>
      </c>
      <c r="RQ17" s="11">
        <v>0</v>
      </c>
      <c r="RR17" s="11">
        <v>0</v>
      </c>
      <c r="RS17" s="11">
        <v>0</v>
      </c>
      <c r="RT17" s="11">
        <v>0</v>
      </c>
      <c r="RU17" s="11">
        <v>0</v>
      </c>
      <c r="RV17" s="11">
        <v>0</v>
      </c>
      <c r="RW17" s="27">
        <f t="shared" si="40"/>
        <v>0</v>
      </c>
      <c r="RX17" s="11">
        <v>559</v>
      </c>
      <c r="RY17" s="11">
        <v>618</v>
      </c>
      <c r="RZ17" s="11">
        <v>725</v>
      </c>
      <c r="SA17" s="11">
        <v>636</v>
      </c>
      <c r="SB17" s="11">
        <v>650</v>
      </c>
      <c r="SC17" s="11">
        <v>652</v>
      </c>
      <c r="SD17" s="11">
        <v>611</v>
      </c>
      <c r="SE17" s="11">
        <v>645</v>
      </c>
      <c r="SF17" s="11">
        <v>481</v>
      </c>
      <c r="SG17" s="11">
        <v>584</v>
      </c>
      <c r="SH17" s="11">
        <v>1000</v>
      </c>
      <c r="SI17" s="11">
        <v>1313</v>
      </c>
      <c r="SJ17" s="27">
        <f t="shared" si="41"/>
        <v>8474</v>
      </c>
      <c r="SK17" s="11">
        <v>169</v>
      </c>
      <c r="SL17" s="11">
        <v>169</v>
      </c>
      <c r="SM17" s="11">
        <v>169</v>
      </c>
      <c r="SN17" s="11">
        <v>169</v>
      </c>
      <c r="SO17" s="11">
        <v>169</v>
      </c>
      <c r="SP17" s="11">
        <v>169</v>
      </c>
      <c r="SQ17" s="11">
        <v>169</v>
      </c>
      <c r="SR17" s="11">
        <v>169</v>
      </c>
      <c r="SS17" s="11">
        <v>169</v>
      </c>
      <c r="ST17" s="11">
        <v>169</v>
      </c>
      <c r="SU17" s="11">
        <v>169</v>
      </c>
      <c r="SV17" s="11">
        <v>169</v>
      </c>
      <c r="SW17" s="27">
        <f t="shared" si="42"/>
        <v>2028</v>
      </c>
      <c r="SX17" s="11" t="s">
        <v>2653</v>
      </c>
      <c r="SY17" s="11">
        <v>8063</v>
      </c>
      <c r="SZ17" s="11">
        <v>7266</v>
      </c>
      <c r="TA17" s="11">
        <v>7056</v>
      </c>
      <c r="TB17" s="11">
        <v>8113</v>
      </c>
      <c r="TC17" s="11">
        <v>8167</v>
      </c>
      <c r="TD17" s="11">
        <v>7832</v>
      </c>
      <c r="TE17" s="11">
        <v>8137</v>
      </c>
      <c r="TF17" s="11">
        <v>7666</v>
      </c>
      <c r="TG17" s="11">
        <v>5828</v>
      </c>
      <c r="TH17" s="11">
        <v>7870</v>
      </c>
      <c r="TI17" s="11">
        <v>8028</v>
      </c>
      <c r="TJ17" s="11">
        <v>8454</v>
      </c>
      <c r="TK17" s="27">
        <f t="shared" si="43"/>
        <v>92480</v>
      </c>
      <c r="TL17" s="11">
        <v>0</v>
      </c>
      <c r="TM17" s="11">
        <v>0</v>
      </c>
      <c r="TN17" s="11">
        <v>0</v>
      </c>
      <c r="TO17" s="11">
        <v>0</v>
      </c>
      <c r="TP17" s="11">
        <v>0</v>
      </c>
      <c r="TQ17" s="11">
        <v>0</v>
      </c>
      <c r="TR17" s="11">
        <v>0</v>
      </c>
      <c r="TS17" s="11">
        <v>0</v>
      </c>
      <c r="TT17" s="11">
        <v>0</v>
      </c>
      <c r="TU17" s="11">
        <v>0</v>
      </c>
      <c r="TV17" s="11">
        <v>0</v>
      </c>
      <c r="TW17" s="11">
        <v>0</v>
      </c>
      <c r="TX17" s="27">
        <f t="shared" si="44"/>
        <v>0</v>
      </c>
      <c r="TY17" s="11">
        <v>264</v>
      </c>
      <c r="TZ17" s="11">
        <v>35</v>
      </c>
      <c r="UA17" s="11">
        <v>687</v>
      </c>
    </row>
    <row r="18" spans="1:547" ht="16" customHeight="1" x14ac:dyDescent="0.35">
      <c r="A18" s="11" t="s">
        <v>1507</v>
      </c>
      <c r="B18" s="11">
        <v>44774</v>
      </c>
      <c r="C18" s="11"/>
      <c r="D18" s="11"/>
      <c r="E18" s="11"/>
      <c r="F18" s="11">
        <v>604</v>
      </c>
      <c r="G18" s="11">
        <v>687</v>
      </c>
      <c r="H18" s="11">
        <v>726</v>
      </c>
      <c r="I18" s="11">
        <v>759</v>
      </c>
      <c r="J18" s="11">
        <v>661</v>
      </c>
      <c r="K18" s="11">
        <v>716</v>
      </c>
      <c r="L18" s="11">
        <v>818</v>
      </c>
      <c r="M18" s="11">
        <v>701</v>
      </c>
      <c r="N18" s="11">
        <v>509</v>
      </c>
      <c r="O18" s="11">
        <v>618</v>
      </c>
      <c r="P18" s="11" t="s">
        <v>2865</v>
      </c>
      <c r="Q18" s="11">
        <v>719</v>
      </c>
      <c r="R18" s="11">
        <v>755</v>
      </c>
      <c r="S18" s="26">
        <f t="shared" si="0"/>
        <v>8273</v>
      </c>
      <c r="T18" s="11">
        <v>321</v>
      </c>
      <c r="U18" s="11">
        <v>360</v>
      </c>
      <c r="V18" s="11">
        <v>407</v>
      </c>
      <c r="W18" s="11">
        <v>396</v>
      </c>
      <c r="X18" s="11">
        <v>314</v>
      </c>
      <c r="Y18" s="11">
        <v>435</v>
      </c>
      <c r="Z18" s="11">
        <v>477</v>
      </c>
      <c r="AA18" s="11">
        <v>393</v>
      </c>
      <c r="AB18" s="11">
        <v>283</v>
      </c>
      <c r="AC18" s="11">
        <v>358</v>
      </c>
      <c r="AD18" s="11">
        <v>414</v>
      </c>
      <c r="AE18" s="11">
        <v>443</v>
      </c>
      <c r="AF18" s="26">
        <f t="shared" si="1"/>
        <v>4601</v>
      </c>
      <c r="AG18" s="11">
        <v>283</v>
      </c>
      <c r="AH18" s="11">
        <v>327</v>
      </c>
      <c r="AI18" s="11">
        <v>319</v>
      </c>
      <c r="AJ18" s="11">
        <v>363</v>
      </c>
      <c r="AK18" s="11">
        <v>347</v>
      </c>
      <c r="AL18" s="11">
        <v>281</v>
      </c>
      <c r="AM18" s="11">
        <v>341</v>
      </c>
      <c r="AN18" s="11">
        <v>308</v>
      </c>
      <c r="AO18" s="11">
        <v>226</v>
      </c>
      <c r="AP18" s="11">
        <v>260</v>
      </c>
      <c r="AQ18" s="11">
        <v>305</v>
      </c>
      <c r="AR18" s="11">
        <v>312</v>
      </c>
      <c r="AS18" s="26">
        <f t="shared" si="2"/>
        <v>3672</v>
      </c>
      <c r="AT18" s="11"/>
      <c r="AU18" s="11"/>
      <c r="AV18" s="11"/>
      <c r="AW18" s="11"/>
      <c r="AX18" s="11"/>
      <c r="AY18" s="11"/>
      <c r="AZ18" s="11"/>
      <c r="BA18" s="11"/>
      <c r="BB18" s="11"/>
      <c r="BC18" s="11"/>
      <c r="BD18" s="11"/>
      <c r="BE18" s="11"/>
      <c r="BF18" s="26">
        <f t="shared" si="3"/>
        <v>0</v>
      </c>
      <c r="BG18" s="11"/>
      <c r="BH18" s="11"/>
      <c r="BI18" s="11"/>
      <c r="BJ18" s="11"/>
      <c r="BK18" s="11"/>
      <c r="BL18" s="11"/>
      <c r="BM18" s="11"/>
      <c r="BN18" s="11"/>
      <c r="BO18" s="11"/>
      <c r="BP18" s="11"/>
      <c r="BQ18" s="11"/>
      <c r="BR18" s="11"/>
      <c r="BS18" s="26">
        <f t="shared" si="4"/>
        <v>0</v>
      </c>
      <c r="BT18" s="11">
        <v>11</v>
      </c>
      <c r="BU18" s="11">
        <v>32</v>
      </c>
      <c r="BV18" s="11">
        <v>50</v>
      </c>
      <c r="BW18" s="11">
        <v>68</v>
      </c>
      <c r="BX18" s="11">
        <v>50</v>
      </c>
      <c r="BY18" s="11">
        <v>32</v>
      </c>
      <c r="BZ18" s="11">
        <v>52</v>
      </c>
      <c r="CA18" s="11">
        <v>31</v>
      </c>
      <c r="CB18" s="11">
        <v>25</v>
      </c>
      <c r="CC18" s="11">
        <v>26</v>
      </c>
      <c r="CD18" s="11">
        <v>28</v>
      </c>
      <c r="CE18" s="11">
        <v>25</v>
      </c>
      <c r="CF18" s="26">
        <f t="shared" si="5"/>
        <v>430</v>
      </c>
      <c r="CG18" s="11">
        <v>0</v>
      </c>
      <c r="CH18" s="11">
        <v>0</v>
      </c>
      <c r="CI18" s="11">
        <v>0</v>
      </c>
      <c r="CJ18" s="11">
        <v>0</v>
      </c>
      <c r="CK18" s="11">
        <v>0</v>
      </c>
      <c r="CL18" s="11">
        <v>0</v>
      </c>
      <c r="CM18" s="11">
        <v>0</v>
      </c>
      <c r="CN18" s="11">
        <v>0</v>
      </c>
      <c r="CO18" s="11">
        <v>0</v>
      </c>
      <c r="CP18" s="11">
        <v>0</v>
      </c>
      <c r="CQ18" s="11">
        <v>0</v>
      </c>
      <c r="CR18" s="11">
        <v>0</v>
      </c>
      <c r="CS18" s="26">
        <f t="shared" si="6"/>
        <v>0</v>
      </c>
      <c r="CT18" s="11">
        <v>0</v>
      </c>
      <c r="CU18" s="11">
        <v>0</v>
      </c>
      <c r="CV18" s="11">
        <v>0</v>
      </c>
      <c r="CW18" s="11">
        <v>0</v>
      </c>
      <c r="CX18" s="11">
        <v>0</v>
      </c>
      <c r="CY18" s="11">
        <v>0</v>
      </c>
      <c r="CZ18" s="11">
        <v>0</v>
      </c>
      <c r="DA18" s="11">
        <v>0</v>
      </c>
      <c r="DB18" s="11">
        <v>0</v>
      </c>
      <c r="DC18" s="11">
        <v>0</v>
      </c>
      <c r="DD18" s="11">
        <v>0</v>
      </c>
      <c r="DE18" s="11">
        <v>0</v>
      </c>
      <c r="DF18" s="26">
        <f t="shared" si="7"/>
        <v>0</v>
      </c>
      <c r="DG18" s="11">
        <v>0</v>
      </c>
      <c r="DH18" s="11">
        <v>0</v>
      </c>
      <c r="DI18" s="11">
        <v>0</v>
      </c>
      <c r="DJ18" s="11">
        <v>0</v>
      </c>
      <c r="DK18" s="11">
        <v>0</v>
      </c>
      <c r="DL18" s="11">
        <v>0</v>
      </c>
      <c r="DM18" s="11">
        <v>0</v>
      </c>
      <c r="DN18" s="11">
        <v>0</v>
      </c>
      <c r="DO18" s="11">
        <v>0</v>
      </c>
      <c r="DP18" s="11">
        <v>0</v>
      </c>
      <c r="DQ18" s="11">
        <v>0</v>
      </c>
      <c r="DR18" s="11">
        <v>0</v>
      </c>
      <c r="DS18" s="26">
        <f t="shared" si="8"/>
        <v>0</v>
      </c>
      <c r="DT18" s="11">
        <v>0</v>
      </c>
      <c r="DU18" s="11">
        <v>0</v>
      </c>
      <c r="DV18" s="11">
        <v>0</v>
      </c>
      <c r="DW18" s="11">
        <v>0</v>
      </c>
      <c r="DX18" s="11">
        <v>0</v>
      </c>
      <c r="DY18" s="11">
        <v>0</v>
      </c>
      <c r="DZ18" s="11">
        <v>0</v>
      </c>
      <c r="EA18" s="11">
        <v>0</v>
      </c>
      <c r="EB18" s="11">
        <v>0</v>
      </c>
      <c r="EC18" s="11">
        <v>0</v>
      </c>
      <c r="ED18" s="11">
        <v>0</v>
      </c>
      <c r="EE18" s="11">
        <v>0</v>
      </c>
      <c r="EF18" s="26">
        <f t="shared" si="9"/>
        <v>0</v>
      </c>
      <c r="EG18" s="9">
        <f t="shared" si="10"/>
        <v>8273</v>
      </c>
      <c r="EH18" s="9">
        <f t="shared" si="11"/>
        <v>0</v>
      </c>
      <c r="EI18" s="11">
        <v>10579</v>
      </c>
      <c r="EJ18" s="11">
        <v>10687</v>
      </c>
      <c r="EK18" s="11">
        <v>16458</v>
      </c>
      <c r="EL18" s="11">
        <v>21681</v>
      </c>
      <c r="EM18" s="11">
        <v>10839</v>
      </c>
      <c r="EN18" s="11">
        <v>11606</v>
      </c>
      <c r="EO18" s="11">
        <v>12161</v>
      </c>
      <c r="EP18" s="11">
        <v>10759</v>
      </c>
      <c r="EQ18" s="11">
        <v>8072</v>
      </c>
      <c r="ER18" s="11">
        <v>8751</v>
      </c>
      <c r="ES18" s="11">
        <v>11401</v>
      </c>
      <c r="ET18" s="11">
        <v>12339</v>
      </c>
      <c r="EU18" s="26">
        <f t="shared" si="12"/>
        <v>145333</v>
      </c>
      <c r="EV18" s="11">
        <v>2171</v>
      </c>
      <c r="EW18" s="11">
        <v>2261</v>
      </c>
      <c r="EX18" s="11">
        <v>2383</v>
      </c>
      <c r="EY18" s="11">
        <v>2534</v>
      </c>
      <c r="EZ18" s="11">
        <v>2277</v>
      </c>
      <c r="FA18" s="11">
        <v>2710</v>
      </c>
      <c r="FB18" s="11">
        <v>2963</v>
      </c>
      <c r="FC18" s="11">
        <v>3454</v>
      </c>
      <c r="FD18" s="11">
        <v>2229</v>
      </c>
      <c r="FE18" s="11">
        <v>2179</v>
      </c>
      <c r="FF18" s="11">
        <v>2880</v>
      </c>
      <c r="FG18" s="11">
        <v>3299</v>
      </c>
      <c r="FH18" s="26">
        <f t="shared" si="13"/>
        <v>31340</v>
      </c>
      <c r="FI18" s="11">
        <v>8408</v>
      </c>
      <c r="FJ18" s="11">
        <v>8426</v>
      </c>
      <c r="FK18" s="11">
        <v>14075</v>
      </c>
      <c r="FL18" s="11">
        <v>19147</v>
      </c>
      <c r="FM18" s="11">
        <v>8562</v>
      </c>
      <c r="FN18" s="11">
        <v>8896</v>
      </c>
      <c r="FO18" s="11">
        <v>9198</v>
      </c>
      <c r="FP18" s="11">
        <v>7305</v>
      </c>
      <c r="FQ18" s="11">
        <v>5843</v>
      </c>
      <c r="FR18" s="11">
        <v>6572</v>
      </c>
      <c r="FS18" s="11">
        <v>8521</v>
      </c>
      <c r="FT18" s="11">
        <v>9040</v>
      </c>
      <c r="FU18" s="26">
        <f t="shared" si="14"/>
        <v>113993</v>
      </c>
      <c r="FV18" s="11"/>
      <c r="FW18" s="11"/>
      <c r="FX18" s="11"/>
      <c r="FY18" s="11"/>
      <c r="FZ18" s="11"/>
      <c r="GA18" s="11"/>
      <c r="GB18" s="11"/>
      <c r="GC18" s="11"/>
      <c r="GD18" s="11"/>
      <c r="GE18" s="11"/>
      <c r="GF18" s="11"/>
      <c r="GG18" s="11"/>
      <c r="GH18" s="26">
        <f t="shared" si="15"/>
        <v>0</v>
      </c>
      <c r="GI18" s="11">
        <v>42</v>
      </c>
      <c r="GJ18" s="11">
        <v>117</v>
      </c>
      <c r="GK18" s="11">
        <v>146</v>
      </c>
      <c r="GL18" s="11">
        <v>180</v>
      </c>
      <c r="GM18" s="11">
        <v>140</v>
      </c>
      <c r="GN18" s="11">
        <v>151</v>
      </c>
      <c r="GO18" s="11">
        <v>117</v>
      </c>
      <c r="GP18" s="11">
        <v>76</v>
      </c>
      <c r="GQ18" s="11">
        <v>47</v>
      </c>
      <c r="GR18" s="11">
        <v>45</v>
      </c>
      <c r="GS18" s="11">
        <v>61</v>
      </c>
      <c r="GT18" s="11">
        <v>106</v>
      </c>
      <c r="GU18" s="26">
        <f t="shared" si="16"/>
        <v>1228</v>
      </c>
      <c r="GV18" s="11">
        <v>0</v>
      </c>
      <c r="GW18" s="11">
        <v>0</v>
      </c>
      <c r="GX18" s="11">
        <v>0</v>
      </c>
      <c r="GY18" s="11">
        <v>0</v>
      </c>
      <c r="GZ18" s="11">
        <v>0</v>
      </c>
      <c r="HA18" s="11">
        <v>0</v>
      </c>
      <c r="HB18" s="11">
        <v>0</v>
      </c>
      <c r="HC18" s="11">
        <v>0</v>
      </c>
      <c r="HD18" s="11">
        <v>0</v>
      </c>
      <c r="HE18" s="11">
        <v>0</v>
      </c>
      <c r="HF18" s="11">
        <v>0</v>
      </c>
      <c r="HG18" s="11">
        <v>0</v>
      </c>
      <c r="HH18" s="26">
        <f t="shared" si="17"/>
        <v>0</v>
      </c>
      <c r="HI18" s="11">
        <v>0</v>
      </c>
      <c r="HJ18" s="11">
        <v>0</v>
      </c>
      <c r="HK18" s="11">
        <v>0</v>
      </c>
      <c r="HL18" s="11">
        <v>0</v>
      </c>
      <c r="HM18" s="11">
        <v>0</v>
      </c>
      <c r="HN18" s="11">
        <v>0</v>
      </c>
      <c r="HO18" s="11">
        <v>0</v>
      </c>
      <c r="HP18" s="11">
        <v>0</v>
      </c>
      <c r="HQ18" s="11">
        <v>0</v>
      </c>
      <c r="HR18" s="11">
        <v>0</v>
      </c>
      <c r="HS18" s="11">
        <v>0</v>
      </c>
      <c r="HT18" s="11">
        <v>0</v>
      </c>
      <c r="HU18" s="26">
        <f t="shared" si="18"/>
        <v>0</v>
      </c>
      <c r="HV18" s="11">
        <v>0</v>
      </c>
      <c r="HW18" s="11">
        <v>0</v>
      </c>
      <c r="HX18" s="11">
        <v>0</v>
      </c>
      <c r="HY18" s="11">
        <v>0</v>
      </c>
      <c r="HZ18" s="11">
        <v>0</v>
      </c>
      <c r="IA18" s="11">
        <v>0</v>
      </c>
      <c r="IB18" s="11">
        <v>0</v>
      </c>
      <c r="IC18" s="11">
        <v>0</v>
      </c>
      <c r="ID18" s="11">
        <v>0</v>
      </c>
      <c r="IE18" s="11">
        <v>0</v>
      </c>
      <c r="IF18" s="11">
        <v>0</v>
      </c>
      <c r="IG18" s="11">
        <v>0</v>
      </c>
      <c r="IH18" s="26">
        <f t="shared" si="19"/>
        <v>0</v>
      </c>
      <c r="II18" s="9">
        <f t="shared" si="20"/>
        <v>145333</v>
      </c>
      <c r="IJ18" s="9">
        <f t="shared" si="21"/>
        <v>0</v>
      </c>
      <c r="IK18" s="11">
        <v>140937</v>
      </c>
      <c r="IL18" s="11">
        <v>130411</v>
      </c>
      <c r="IM18" s="11">
        <v>126024</v>
      </c>
      <c r="IN18" s="11">
        <v>151139</v>
      </c>
      <c r="IO18" s="11">
        <v>158181</v>
      </c>
      <c r="IP18" s="11">
        <v>131265</v>
      </c>
      <c r="IQ18" s="11">
        <v>138272</v>
      </c>
      <c r="IR18" s="11">
        <v>126716</v>
      </c>
      <c r="IS18" s="11">
        <v>94946</v>
      </c>
      <c r="IT18" s="11">
        <v>130029</v>
      </c>
      <c r="IU18" s="11">
        <v>117163</v>
      </c>
      <c r="IV18" s="11">
        <v>128029</v>
      </c>
      <c r="IW18" s="27">
        <f t="shared" si="22"/>
        <v>1573112</v>
      </c>
      <c r="IX18" s="11">
        <v>71746</v>
      </c>
      <c r="IY18" s="11">
        <v>68162</v>
      </c>
      <c r="IZ18" s="11">
        <v>65171</v>
      </c>
      <c r="JA18" s="11">
        <v>72248</v>
      </c>
      <c r="JB18" s="11">
        <v>72315</v>
      </c>
      <c r="JC18" s="11">
        <v>66075</v>
      </c>
      <c r="JD18" s="11">
        <v>70075</v>
      </c>
      <c r="JE18" s="11">
        <v>65132</v>
      </c>
      <c r="JF18" s="11">
        <v>51372</v>
      </c>
      <c r="JG18" s="11">
        <v>70337</v>
      </c>
      <c r="JH18" s="11">
        <v>59850</v>
      </c>
      <c r="JI18" s="11">
        <v>65966</v>
      </c>
      <c r="JJ18" s="27">
        <f t="shared" si="23"/>
        <v>798449</v>
      </c>
      <c r="JK18" s="11">
        <v>66895</v>
      </c>
      <c r="JL18" s="11">
        <v>60327</v>
      </c>
      <c r="JM18" s="11">
        <v>58934</v>
      </c>
      <c r="JN18" s="11">
        <v>76363</v>
      </c>
      <c r="JO18" s="11">
        <v>83208</v>
      </c>
      <c r="JP18" s="11">
        <v>63075</v>
      </c>
      <c r="JQ18" s="11">
        <v>66027</v>
      </c>
      <c r="JR18" s="11">
        <v>59761</v>
      </c>
      <c r="JS18" s="11">
        <v>42257</v>
      </c>
      <c r="JT18" s="11">
        <v>57843</v>
      </c>
      <c r="JU18" s="11">
        <v>55696</v>
      </c>
      <c r="JV18" s="11">
        <v>60110</v>
      </c>
      <c r="JW18" s="27">
        <f t="shared" si="24"/>
        <v>750496</v>
      </c>
      <c r="JX18" s="11">
        <v>2296</v>
      </c>
      <c r="JY18" s="11">
        <v>1922</v>
      </c>
      <c r="JZ18" s="11">
        <v>1919</v>
      </c>
      <c r="KA18" s="11">
        <v>2528</v>
      </c>
      <c r="KB18" s="11">
        <v>2658</v>
      </c>
      <c r="KC18" s="11">
        <v>2115</v>
      </c>
      <c r="KD18" s="11">
        <v>2170</v>
      </c>
      <c r="KE18" s="11">
        <v>1823</v>
      </c>
      <c r="KF18" s="11">
        <v>1317</v>
      </c>
      <c r="KG18" s="11">
        <v>1849</v>
      </c>
      <c r="KH18" s="11">
        <v>1617</v>
      </c>
      <c r="KI18" s="11">
        <v>1953</v>
      </c>
      <c r="KJ18" s="27">
        <f t="shared" si="25"/>
        <v>24167</v>
      </c>
      <c r="KK18" s="11">
        <v>784</v>
      </c>
      <c r="KL18" s="11">
        <v>722</v>
      </c>
      <c r="KM18" s="11">
        <v>680</v>
      </c>
      <c r="KN18" s="11">
        <v>720</v>
      </c>
      <c r="KO18" s="11">
        <v>703</v>
      </c>
      <c r="KP18" s="11">
        <v>635</v>
      </c>
      <c r="KQ18" s="11">
        <v>719</v>
      </c>
      <c r="KR18" s="11">
        <v>589</v>
      </c>
      <c r="KS18" s="11">
        <v>582</v>
      </c>
      <c r="KT18" s="11">
        <v>690</v>
      </c>
      <c r="KU18" s="11">
        <v>628</v>
      </c>
      <c r="KV18" s="11">
        <v>590</v>
      </c>
      <c r="KW18" s="27">
        <f t="shared" si="26"/>
        <v>8042</v>
      </c>
      <c r="KX18" s="11">
        <v>691</v>
      </c>
      <c r="KY18" s="11">
        <v>641</v>
      </c>
      <c r="KZ18" s="11">
        <v>607</v>
      </c>
      <c r="LA18" s="11">
        <v>636</v>
      </c>
      <c r="LB18" s="11">
        <v>611</v>
      </c>
      <c r="LC18" s="11">
        <v>576</v>
      </c>
      <c r="LD18" s="11">
        <v>651</v>
      </c>
      <c r="LE18" s="11">
        <v>549</v>
      </c>
      <c r="LF18" s="11">
        <v>521</v>
      </c>
      <c r="LG18" s="11">
        <v>637</v>
      </c>
      <c r="LH18" s="11">
        <v>576</v>
      </c>
      <c r="LI18" s="11">
        <v>541</v>
      </c>
      <c r="LJ18" s="27">
        <f t="shared" si="27"/>
        <v>7237</v>
      </c>
      <c r="LK18" s="11">
        <v>93</v>
      </c>
      <c r="LL18" s="11">
        <v>81</v>
      </c>
      <c r="LM18" s="11">
        <v>73</v>
      </c>
      <c r="LN18" s="11">
        <v>84</v>
      </c>
      <c r="LO18" s="11">
        <v>92</v>
      </c>
      <c r="LP18" s="11">
        <v>59</v>
      </c>
      <c r="LQ18" s="11">
        <v>68</v>
      </c>
      <c r="LR18" s="11">
        <v>40</v>
      </c>
      <c r="LS18" s="11">
        <v>61</v>
      </c>
      <c r="LT18" s="11">
        <v>53</v>
      </c>
      <c r="LU18" s="11">
        <v>52</v>
      </c>
      <c r="LV18" s="11">
        <v>49</v>
      </c>
      <c r="LW18" s="27">
        <f t="shared" si="28"/>
        <v>805</v>
      </c>
      <c r="LX18" s="11"/>
      <c r="LY18" s="11"/>
      <c r="LZ18" s="11"/>
      <c r="MA18" s="11"/>
      <c r="MB18" s="11"/>
      <c r="MC18" s="11"/>
      <c r="MD18" s="11"/>
      <c r="ME18" s="11"/>
      <c r="MF18" s="11"/>
      <c r="MG18" s="11"/>
      <c r="MH18" s="11"/>
      <c r="MI18" s="11"/>
      <c r="MJ18" s="27">
        <f t="shared" si="29"/>
        <v>0</v>
      </c>
      <c r="MK18" s="11">
        <v>3427</v>
      </c>
      <c r="ML18" s="11">
        <v>3583</v>
      </c>
      <c r="MM18" s="11">
        <v>3361</v>
      </c>
      <c r="MN18" s="11">
        <v>3521</v>
      </c>
      <c r="MO18" s="11">
        <v>3745</v>
      </c>
      <c r="MP18" s="11">
        <v>3546</v>
      </c>
      <c r="MQ18" s="11">
        <v>3513</v>
      </c>
      <c r="MR18" s="11">
        <v>3318</v>
      </c>
      <c r="MS18" s="11">
        <v>3263</v>
      </c>
      <c r="MT18" s="11">
        <v>3525</v>
      </c>
      <c r="MU18" s="11">
        <v>3145</v>
      </c>
      <c r="MV18" s="11">
        <v>3418</v>
      </c>
      <c r="MW18" s="27">
        <f t="shared" si="30"/>
        <v>41365</v>
      </c>
      <c r="MX18" s="11">
        <v>3044</v>
      </c>
      <c r="MY18" s="11">
        <v>3189</v>
      </c>
      <c r="MZ18" s="11">
        <v>2977</v>
      </c>
      <c r="NA18" s="11">
        <v>3120</v>
      </c>
      <c r="NB18" s="11">
        <v>3252</v>
      </c>
      <c r="NC18" s="11">
        <v>3170</v>
      </c>
      <c r="ND18" s="11">
        <v>3080</v>
      </c>
      <c r="NE18" s="11">
        <v>2925</v>
      </c>
      <c r="NF18" s="11">
        <v>2913</v>
      </c>
      <c r="NG18" s="11">
        <v>3118</v>
      </c>
      <c r="NH18" s="11">
        <v>2729</v>
      </c>
      <c r="NI18" s="11">
        <v>2987</v>
      </c>
      <c r="NJ18" s="27">
        <f t="shared" si="31"/>
        <v>36504</v>
      </c>
      <c r="NK18" s="11">
        <v>285</v>
      </c>
      <c r="NL18" s="11">
        <v>294</v>
      </c>
      <c r="NM18" s="11">
        <v>291</v>
      </c>
      <c r="NN18" s="11">
        <v>305</v>
      </c>
      <c r="NO18" s="11">
        <v>377</v>
      </c>
      <c r="NP18" s="11">
        <v>285</v>
      </c>
      <c r="NQ18" s="11">
        <v>327</v>
      </c>
      <c r="NR18" s="11">
        <v>301</v>
      </c>
      <c r="NS18" s="11">
        <v>261</v>
      </c>
      <c r="NT18" s="11">
        <v>302</v>
      </c>
      <c r="NU18" s="11">
        <v>316</v>
      </c>
      <c r="NV18" s="11">
        <v>321</v>
      </c>
      <c r="NW18" s="27">
        <f t="shared" si="32"/>
        <v>3665</v>
      </c>
      <c r="NX18" s="11">
        <v>98</v>
      </c>
      <c r="NY18" s="11">
        <v>100</v>
      </c>
      <c r="NZ18" s="11">
        <v>93</v>
      </c>
      <c r="OA18" s="11">
        <v>96</v>
      </c>
      <c r="OB18" s="11">
        <v>116</v>
      </c>
      <c r="OC18" s="11">
        <v>91</v>
      </c>
      <c r="OD18" s="11">
        <v>106</v>
      </c>
      <c r="OE18" s="11">
        <v>92</v>
      </c>
      <c r="OF18" s="11">
        <v>89</v>
      </c>
      <c r="OG18" s="11">
        <v>105</v>
      </c>
      <c r="OH18" s="11">
        <v>100</v>
      </c>
      <c r="OI18" s="11">
        <v>110</v>
      </c>
      <c r="OJ18" s="27">
        <f t="shared" si="33"/>
        <v>1196</v>
      </c>
      <c r="OK18" s="11">
        <v>4576</v>
      </c>
      <c r="OL18" s="11">
        <v>4708</v>
      </c>
      <c r="OM18" s="11">
        <v>4542</v>
      </c>
      <c r="ON18" s="11">
        <v>4900</v>
      </c>
      <c r="OO18" s="11">
        <v>5060</v>
      </c>
      <c r="OP18" s="11">
        <v>4910</v>
      </c>
      <c r="OQ18" s="11">
        <v>4989</v>
      </c>
      <c r="OR18" s="11">
        <v>4629</v>
      </c>
      <c r="OS18" s="11">
        <v>4642</v>
      </c>
      <c r="OT18" s="11">
        <v>5152</v>
      </c>
      <c r="OU18" s="11">
        <v>4574</v>
      </c>
      <c r="OV18" s="11">
        <v>5183</v>
      </c>
      <c r="OW18" s="27">
        <f t="shared" si="34"/>
        <v>57865</v>
      </c>
      <c r="OX18" s="11">
        <v>3978</v>
      </c>
      <c r="OY18" s="11">
        <v>4071</v>
      </c>
      <c r="OZ18" s="11">
        <v>4007</v>
      </c>
      <c r="PA18" s="11">
        <v>4235</v>
      </c>
      <c r="PB18" s="11">
        <v>4328</v>
      </c>
      <c r="PC18" s="11">
        <v>4228</v>
      </c>
      <c r="PD18" s="11">
        <v>4326</v>
      </c>
      <c r="PE18" s="11">
        <v>3975</v>
      </c>
      <c r="PF18" s="11">
        <v>4012</v>
      </c>
      <c r="PG18" s="11">
        <v>4507</v>
      </c>
      <c r="PH18" s="11">
        <v>4003</v>
      </c>
      <c r="PI18" s="11">
        <v>4555</v>
      </c>
      <c r="PJ18" s="27">
        <f t="shared" si="35"/>
        <v>50225</v>
      </c>
      <c r="PK18" s="11">
        <v>512</v>
      </c>
      <c r="PL18" s="11">
        <v>528</v>
      </c>
      <c r="PM18" s="11">
        <v>441</v>
      </c>
      <c r="PN18" s="11">
        <v>562</v>
      </c>
      <c r="PO18" s="11">
        <v>624</v>
      </c>
      <c r="PP18" s="11">
        <v>584</v>
      </c>
      <c r="PQ18" s="11">
        <v>561</v>
      </c>
      <c r="PR18" s="11">
        <v>546</v>
      </c>
      <c r="PS18" s="11">
        <v>526</v>
      </c>
      <c r="PT18" s="11">
        <v>540</v>
      </c>
      <c r="PU18" s="11">
        <v>479</v>
      </c>
      <c r="PV18" s="11">
        <v>513</v>
      </c>
      <c r="PW18" s="27">
        <f t="shared" si="36"/>
        <v>6416</v>
      </c>
      <c r="PX18" s="11">
        <v>86</v>
      </c>
      <c r="PY18" s="11">
        <v>109</v>
      </c>
      <c r="PZ18" s="11">
        <v>94</v>
      </c>
      <c r="QA18" s="11">
        <v>103</v>
      </c>
      <c r="QB18" s="11">
        <v>108</v>
      </c>
      <c r="QC18" s="11">
        <v>98</v>
      </c>
      <c r="QD18" s="11">
        <v>102</v>
      </c>
      <c r="QE18" s="11">
        <v>108</v>
      </c>
      <c r="QF18" s="11">
        <v>104</v>
      </c>
      <c r="QG18" s="11">
        <v>105</v>
      </c>
      <c r="QH18" s="11">
        <v>92</v>
      </c>
      <c r="QI18" s="11">
        <v>115</v>
      </c>
      <c r="QJ18" s="27">
        <f t="shared" si="37"/>
        <v>1224</v>
      </c>
      <c r="QK18" s="11">
        <v>95859</v>
      </c>
      <c r="QL18" s="11">
        <v>89163</v>
      </c>
      <c r="QM18" s="11">
        <v>82506</v>
      </c>
      <c r="QN18" s="11">
        <v>101249</v>
      </c>
      <c r="QO18" s="11">
        <v>100029</v>
      </c>
      <c r="QP18" s="11">
        <v>87945</v>
      </c>
      <c r="QQ18" s="11">
        <v>97421</v>
      </c>
      <c r="QR18" s="11">
        <v>92048</v>
      </c>
      <c r="QS18" s="11">
        <v>69972</v>
      </c>
      <c r="QT18" s="11">
        <v>87650</v>
      </c>
      <c r="QU18" s="11">
        <v>88210</v>
      </c>
      <c r="QV18" s="11">
        <v>92795</v>
      </c>
      <c r="QW18" s="27">
        <f t="shared" si="38"/>
        <v>1084847</v>
      </c>
      <c r="QX18" s="11"/>
      <c r="QY18" s="11"/>
      <c r="QZ18" s="11"/>
      <c r="RA18" s="11"/>
      <c r="RB18" s="11"/>
      <c r="RC18" s="11"/>
      <c r="RD18" s="11"/>
      <c r="RE18" s="11"/>
      <c r="RF18" s="11"/>
      <c r="RG18" s="11"/>
      <c r="RH18" s="11"/>
      <c r="RI18" s="11"/>
      <c r="RJ18" s="27">
        <f t="shared" si="39"/>
        <v>0</v>
      </c>
      <c r="RK18" s="11"/>
      <c r="RL18" s="11"/>
      <c r="RM18" s="11"/>
      <c r="RN18" s="11"/>
      <c r="RO18" s="11"/>
      <c r="RP18" s="11"/>
      <c r="RQ18" s="11"/>
      <c r="RR18" s="11"/>
      <c r="RS18" s="11"/>
      <c r="RT18" s="11"/>
      <c r="RU18" s="11"/>
      <c r="RV18" s="11"/>
      <c r="RW18" s="27">
        <f t="shared" si="40"/>
        <v>0</v>
      </c>
      <c r="RX18" s="11"/>
      <c r="RY18" s="11"/>
      <c r="RZ18" s="11"/>
      <c r="SA18" s="11"/>
      <c r="SB18" s="11"/>
      <c r="SC18" s="11"/>
      <c r="SD18" s="11"/>
      <c r="SE18" s="11"/>
      <c r="SF18" s="11"/>
      <c r="SG18" s="11"/>
      <c r="SH18" s="11"/>
      <c r="SI18" s="11"/>
      <c r="SJ18" s="27">
        <f t="shared" si="41"/>
        <v>0</v>
      </c>
      <c r="SK18" s="11"/>
      <c r="SL18" s="11"/>
      <c r="SM18" s="11"/>
      <c r="SN18" s="11"/>
      <c r="SO18" s="11"/>
      <c r="SP18" s="11"/>
      <c r="SQ18" s="11"/>
      <c r="SR18" s="11"/>
      <c r="SS18" s="11"/>
      <c r="ST18" s="11"/>
      <c r="SU18" s="11"/>
      <c r="SV18" s="11"/>
      <c r="SW18" s="27">
        <f t="shared" si="42"/>
        <v>0</v>
      </c>
      <c r="SX18" s="11" t="s">
        <v>2654</v>
      </c>
      <c r="SY18" s="11">
        <v>2726</v>
      </c>
      <c r="SZ18" s="11">
        <v>2509</v>
      </c>
      <c r="TA18" s="11">
        <v>2435</v>
      </c>
      <c r="TB18" s="11">
        <v>2588</v>
      </c>
      <c r="TC18" s="11">
        <v>2372</v>
      </c>
      <c r="TD18" s="11">
        <v>2432</v>
      </c>
      <c r="TE18" s="11">
        <v>2739</v>
      </c>
      <c r="TF18" s="11">
        <v>2553</v>
      </c>
      <c r="TG18" s="11">
        <v>1808</v>
      </c>
      <c r="TH18" s="11">
        <v>2401</v>
      </c>
      <c r="TI18" s="11">
        <v>2392</v>
      </c>
      <c r="TJ18" s="11">
        <v>2580</v>
      </c>
      <c r="TK18" s="27">
        <f t="shared" si="43"/>
        <v>29535</v>
      </c>
      <c r="TL18" s="11"/>
      <c r="TM18" s="11"/>
      <c r="TN18" s="11"/>
      <c r="TO18" s="11"/>
      <c r="TP18" s="11"/>
      <c r="TQ18" s="11"/>
      <c r="TR18" s="11"/>
      <c r="TS18" s="11"/>
      <c r="TT18" s="11"/>
      <c r="TU18" s="11"/>
      <c r="TV18" s="11"/>
      <c r="TW18" s="11"/>
      <c r="TX18" s="27">
        <f t="shared" si="44"/>
        <v>0</v>
      </c>
      <c r="TY18" s="11">
        <v>77</v>
      </c>
      <c r="TZ18" s="11">
        <v>0</v>
      </c>
      <c r="UA18" s="11">
        <v>0</v>
      </c>
    </row>
    <row r="19" spans="1:547" ht="16" customHeight="1" x14ac:dyDescent="0.35">
      <c r="A19" s="11" t="s">
        <v>1510</v>
      </c>
      <c r="B19" s="11">
        <v>37455</v>
      </c>
      <c r="C19" s="11"/>
      <c r="D19" s="11"/>
      <c r="E19" s="11"/>
      <c r="F19" s="11">
        <v>898</v>
      </c>
      <c r="G19" s="11">
        <v>897</v>
      </c>
      <c r="H19" s="11">
        <v>871</v>
      </c>
      <c r="I19" s="11">
        <v>904</v>
      </c>
      <c r="J19" s="11">
        <v>876</v>
      </c>
      <c r="K19" s="11">
        <v>854</v>
      </c>
      <c r="L19" s="11">
        <v>1006</v>
      </c>
      <c r="M19" s="11">
        <v>935</v>
      </c>
      <c r="N19" s="11">
        <v>684</v>
      </c>
      <c r="O19" s="11">
        <v>853</v>
      </c>
      <c r="P19" s="11" t="s">
        <v>2865</v>
      </c>
      <c r="Q19" s="11">
        <v>847</v>
      </c>
      <c r="R19" s="11">
        <v>963</v>
      </c>
      <c r="S19" s="26">
        <f t="shared" si="0"/>
        <v>10588</v>
      </c>
      <c r="T19" s="11">
        <v>446</v>
      </c>
      <c r="U19" s="11">
        <v>494</v>
      </c>
      <c r="V19" s="11">
        <v>492</v>
      </c>
      <c r="W19" s="11">
        <v>501</v>
      </c>
      <c r="X19" s="11">
        <v>317</v>
      </c>
      <c r="Y19" s="11">
        <v>506</v>
      </c>
      <c r="Z19" s="11">
        <v>570</v>
      </c>
      <c r="AA19" s="11">
        <v>536</v>
      </c>
      <c r="AB19" s="11">
        <v>364</v>
      </c>
      <c r="AC19" s="11">
        <v>484</v>
      </c>
      <c r="AD19" s="11">
        <v>493</v>
      </c>
      <c r="AE19" s="11">
        <v>551</v>
      </c>
      <c r="AF19" s="26">
        <f t="shared" si="1"/>
        <v>5754</v>
      </c>
      <c r="AG19" s="11">
        <v>452</v>
      </c>
      <c r="AH19" s="11">
        <v>403</v>
      </c>
      <c r="AI19" s="11">
        <v>379</v>
      </c>
      <c r="AJ19" s="11">
        <v>403</v>
      </c>
      <c r="AK19" s="11">
        <v>559</v>
      </c>
      <c r="AL19" s="11">
        <v>348</v>
      </c>
      <c r="AM19" s="11">
        <v>436</v>
      </c>
      <c r="AN19" s="11">
        <v>399</v>
      </c>
      <c r="AO19" s="11">
        <v>320</v>
      </c>
      <c r="AP19" s="11">
        <v>369</v>
      </c>
      <c r="AQ19" s="11">
        <v>354</v>
      </c>
      <c r="AR19" s="11">
        <v>412</v>
      </c>
      <c r="AS19" s="26">
        <f t="shared" si="2"/>
        <v>4834</v>
      </c>
      <c r="AT19" s="11"/>
      <c r="AU19" s="11"/>
      <c r="AV19" s="11"/>
      <c r="AW19" s="11"/>
      <c r="AX19" s="11"/>
      <c r="AY19" s="11"/>
      <c r="AZ19" s="11"/>
      <c r="BA19" s="11"/>
      <c r="BB19" s="11"/>
      <c r="BC19" s="11"/>
      <c r="BD19" s="11"/>
      <c r="BE19" s="11"/>
      <c r="BF19" s="26">
        <f t="shared" si="3"/>
        <v>0</v>
      </c>
      <c r="BG19" s="11"/>
      <c r="BH19" s="11"/>
      <c r="BI19" s="11"/>
      <c r="BJ19" s="11"/>
      <c r="BK19" s="11"/>
      <c r="BL19" s="11"/>
      <c r="BM19" s="11"/>
      <c r="BN19" s="11"/>
      <c r="BO19" s="11"/>
      <c r="BP19" s="11"/>
      <c r="BQ19" s="11"/>
      <c r="BR19" s="11"/>
      <c r="BS19" s="26">
        <f t="shared" si="4"/>
        <v>0</v>
      </c>
      <c r="BT19" s="11">
        <v>0</v>
      </c>
      <c r="BU19" s="11">
        <v>0</v>
      </c>
      <c r="BV19" s="11">
        <v>0</v>
      </c>
      <c r="BW19" s="11">
        <v>0</v>
      </c>
      <c r="BX19" s="11">
        <v>0</v>
      </c>
      <c r="BY19" s="11">
        <v>0</v>
      </c>
      <c r="BZ19" s="11">
        <v>0</v>
      </c>
      <c r="CA19" s="11">
        <v>0</v>
      </c>
      <c r="CB19" s="11">
        <v>0</v>
      </c>
      <c r="CC19" s="11">
        <v>0</v>
      </c>
      <c r="CD19" s="11">
        <v>0</v>
      </c>
      <c r="CE19" s="11">
        <v>0</v>
      </c>
      <c r="CF19" s="26">
        <f t="shared" si="5"/>
        <v>0</v>
      </c>
      <c r="CG19" s="11">
        <v>0</v>
      </c>
      <c r="CH19" s="11">
        <v>0</v>
      </c>
      <c r="CI19" s="11">
        <v>0</v>
      </c>
      <c r="CJ19" s="11">
        <v>0</v>
      </c>
      <c r="CK19" s="11">
        <v>0</v>
      </c>
      <c r="CL19" s="11">
        <v>0</v>
      </c>
      <c r="CM19" s="11">
        <v>0</v>
      </c>
      <c r="CN19" s="11">
        <v>0</v>
      </c>
      <c r="CO19" s="11">
        <v>0</v>
      </c>
      <c r="CP19" s="11">
        <v>0</v>
      </c>
      <c r="CQ19" s="11">
        <v>0</v>
      </c>
      <c r="CR19" s="11">
        <v>0</v>
      </c>
      <c r="CS19" s="26">
        <f t="shared" si="6"/>
        <v>0</v>
      </c>
      <c r="CT19" s="11">
        <v>0</v>
      </c>
      <c r="CU19" s="11">
        <v>0</v>
      </c>
      <c r="CV19" s="11">
        <v>0</v>
      </c>
      <c r="CW19" s="11">
        <v>0</v>
      </c>
      <c r="CX19" s="11">
        <v>0</v>
      </c>
      <c r="CY19" s="11">
        <v>0</v>
      </c>
      <c r="CZ19" s="11">
        <v>0</v>
      </c>
      <c r="DA19" s="11">
        <v>0</v>
      </c>
      <c r="DB19" s="11">
        <v>0</v>
      </c>
      <c r="DC19" s="11">
        <v>0</v>
      </c>
      <c r="DD19" s="11">
        <v>0</v>
      </c>
      <c r="DE19" s="11">
        <v>0</v>
      </c>
      <c r="DF19" s="26">
        <f t="shared" si="7"/>
        <v>0</v>
      </c>
      <c r="DG19" s="11">
        <v>0</v>
      </c>
      <c r="DH19" s="11">
        <v>0</v>
      </c>
      <c r="DI19" s="11">
        <v>0</v>
      </c>
      <c r="DJ19" s="11">
        <v>0</v>
      </c>
      <c r="DK19" s="11">
        <v>0</v>
      </c>
      <c r="DL19" s="11">
        <v>0</v>
      </c>
      <c r="DM19" s="11">
        <v>0</v>
      </c>
      <c r="DN19" s="11">
        <v>0</v>
      </c>
      <c r="DO19" s="11">
        <v>0</v>
      </c>
      <c r="DP19" s="11">
        <v>0</v>
      </c>
      <c r="DQ19" s="11">
        <v>0</v>
      </c>
      <c r="DR19" s="11">
        <v>0</v>
      </c>
      <c r="DS19" s="26">
        <f t="shared" si="8"/>
        <v>0</v>
      </c>
      <c r="DT19" s="11">
        <v>0</v>
      </c>
      <c r="DU19" s="11">
        <v>0</v>
      </c>
      <c r="DV19" s="11">
        <v>0</v>
      </c>
      <c r="DW19" s="11">
        <v>0</v>
      </c>
      <c r="DX19" s="11">
        <v>0</v>
      </c>
      <c r="DY19" s="11">
        <v>0</v>
      </c>
      <c r="DZ19" s="11">
        <v>0</v>
      </c>
      <c r="EA19" s="11">
        <v>0</v>
      </c>
      <c r="EB19" s="11">
        <v>0</v>
      </c>
      <c r="EC19" s="11">
        <v>0</v>
      </c>
      <c r="ED19" s="11">
        <v>0</v>
      </c>
      <c r="EE19" s="11">
        <v>0</v>
      </c>
      <c r="EF19" s="26">
        <f t="shared" si="9"/>
        <v>0</v>
      </c>
      <c r="EG19" s="9">
        <f t="shared" si="10"/>
        <v>10588</v>
      </c>
      <c r="EH19" s="9">
        <f t="shared" si="11"/>
        <v>0</v>
      </c>
      <c r="EI19" s="11">
        <v>10040</v>
      </c>
      <c r="EJ19" s="11">
        <v>9090</v>
      </c>
      <c r="EK19" s="11">
        <v>8396</v>
      </c>
      <c r="EL19" s="11">
        <v>10591</v>
      </c>
      <c r="EM19" s="11">
        <v>12813</v>
      </c>
      <c r="EN19" s="11">
        <v>8387</v>
      </c>
      <c r="EO19" s="11">
        <v>12335</v>
      </c>
      <c r="EP19" s="11">
        <v>9883</v>
      </c>
      <c r="EQ19" s="11">
        <v>6475</v>
      </c>
      <c r="ER19" s="11">
        <v>8537</v>
      </c>
      <c r="ES19" s="11">
        <v>9555</v>
      </c>
      <c r="ET19" s="11">
        <v>11495</v>
      </c>
      <c r="EU19" s="26">
        <f t="shared" si="12"/>
        <v>117597</v>
      </c>
      <c r="EV19" s="11">
        <v>5176</v>
      </c>
      <c r="EW19" s="11">
        <v>5143</v>
      </c>
      <c r="EX19" s="11">
        <v>4423</v>
      </c>
      <c r="EY19" s="11">
        <v>5660</v>
      </c>
      <c r="EZ19" s="11">
        <v>5999</v>
      </c>
      <c r="FA19" s="11">
        <v>4784</v>
      </c>
      <c r="FB19" s="11">
        <v>6348</v>
      </c>
      <c r="FC19" s="11">
        <v>5397</v>
      </c>
      <c r="FD19" s="11">
        <v>3695</v>
      </c>
      <c r="FE19" s="11">
        <v>4849</v>
      </c>
      <c r="FF19" s="11">
        <v>5266</v>
      </c>
      <c r="FG19" s="11">
        <v>5953</v>
      </c>
      <c r="FH19" s="26">
        <f t="shared" si="13"/>
        <v>62693</v>
      </c>
      <c r="FI19" s="11">
        <v>4864</v>
      </c>
      <c r="FJ19" s="11">
        <v>3947</v>
      </c>
      <c r="FK19" s="11">
        <v>3973</v>
      </c>
      <c r="FL19" s="11">
        <v>4931</v>
      </c>
      <c r="FM19" s="11">
        <v>6814</v>
      </c>
      <c r="FN19" s="11">
        <v>3603</v>
      </c>
      <c r="FO19" s="11">
        <v>5987</v>
      </c>
      <c r="FP19" s="11">
        <v>4486</v>
      </c>
      <c r="FQ19" s="11">
        <v>2780</v>
      </c>
      <c r="FR19" s="11">
        <v>3688</v>
      </c>
      <c r="FS19" s="11">
        <v>4289</v>
      </c>
      <c r="FT19" s="11">
        <v>5542</v>
      </c>
      <c r="FU19" s="26">
        <f t="shared" si="14"/>
        <v>54904</v>
      </c>
      <c r="FV19" s="11"/>
      <c r="FW19" s="11"/>
      <c r="FX19" s="11"/>
      <c r="FY19" s="11"/>
      <c r="FZ19" s="11"/>
      <c r="GA19" s="11"/>
      <c r="GB19" s="11"/>
      <c r="GC19" s="11"/>
      <c r="GD19" s="11"/>
      <c r="GE19" s="11"/>
      <c r="GF19" s="11"/>
      <c r="GG19" s="11"/>
      <c r="GH19" s="26">
        <f t="shared" si="15"/>
        <v>0</v>
      </c>
      <c r="GI19" s="11">
        <v>0</v>
      </c>
      <c r="GJ19" s="11">
        <v>0</v>
      </c>
      <c r="GK19" s="11">
        <v>0</v>
      </c>
      <c r="GL19" s="11">
        <v>0</v>
      </c>
      <c r="GM19" s="11">
        <v>0</v>
      </c>
      <c r="GN19" s="11">
        <v>0</v>
      </c>
      <c r="GO19" s="11">
        <v>0</v>
      </c>
      <c r="GP19" s="11">
        <v>0</v>
      </c>
      <c r="GQ19" s="11">
        <v>0</v>
      </c>
      <c r="GR19" s="11">
        <v>0</v>
      </c>
      <c r="GS19" s="11">
        <v>0</v>
      </c>
      <c r="GT19" s="11">
        <v>0</v>
      </c>
      <c r="GU19" s="26">
        <f t="shared" si="16"/>
        <v>0</v>
      </c>
      <c r="GV19" s="11">
        <v>0</v>
      </c>
      <c r="GW19" s="11">
        <v>0</v>
      </c>
      <c r="GX19" s="11">
        <v>0</v>
      </c>
      <c r="GY19" s="11">
        <v>0</v>
      </c>
      <c r="GZ19" s="11">
        <v>0</v>
      </c>
      <c r="HA19" s="11">
        <v>0</v>
      </c>
      <c r="HB19" s="11">
        <v>0</v>
      </c>
      <c r="HC19" s="11">
        <v>0</v>
      </c>
      <c r="HD19" s="11">
        <v>0</v>
      </c>
      <c r="HE19" s="11">
        <v>0</v>
      </c>
      <c r="HF19" s="11">
        <v>0</v>
      </c>
      <c r="HG19" s="11">
        <v>0</v>
      </c>
      <c r="HH19" s="26">
        <f t="shared" si="17"/>
        <v>0</v>
      </c>
      <c r="HI19" s="11">
        <v>0</v>
      </c>
      <c r="HJ19" s="11">
        <v>0</v>
      </c>
      <c r="HK19" s="11">
        <v>0</v>
      </c>
      <c r="HL19" s="11">
        <v>0</v>
      </c>
      <c r="HM19" s="11">
        <v>0</v>
      </c>
      <c r="HN19" s="11">
        <v>0</v>
      </c>
      <c r="HO19" s="11">
        <v>0</v>
      </c>
      <c r="HP19" s="11">
        <v>0</v>
      </c>
      <c r="HQ19" s="11">
        <v>0</v>
      </c>
      <c r="HR19" s="11">
        <v>0</v>
      </c>
      <c r="HS19" s="11">
        <v>0</v>
      </c>
      <c r="HT19" s="11">
        <v>0</v>
      </c>
      <c r="HU19" s="26">
        <f t="shared" si="18"/>
        <v>0</v>
      </c>
      <c r="HV19" s="11">
        <v>0</v>
      </c>
      <c r="HW19" s="11">
        <v>0</v>
      </c>
      <c r="HX19" s="11">
        <v>0</v>
      </c>
      <c r="HY19" s="11">
        <v>0</v>
      </c>
      <c r="HZ19" s="11">
        <v>0</v>
      </c>
      <c r="IA19" s="11">
        <v>0</v>
      </c>
      <c r="IB19" s="11">
        <v>0</v>
      </c>
      <c r="IC19" s="11">
        <v>0</v>
      </c>
      <c r="ID19" s="11">
        <v>0</v>
      </c>
      <c r="IE19" s="11">
        <v>0</v>
      </c>
      <c r="IF19" s="11">
        <v>0</v>
      </c>
      <c r="IG19" s="11">
        <v>0</v>
      </c>
      <c r="IH19" s="26">
        <f t="shared" si="19"/>
        <v>0</v>
      </c>
      <c r="II19" s="9">
        <f t="shared" si="20"/>
        <v>117597</v>
      </c>
      <c r="IJ19" s="9">
        <f t="shared" si="21"/>
        <v>0</v>
      </c>
      <c r="IK19" s="11">
        <v>96951</v>
      </c>
      <c r="IL19" s="11">
        <v>90416</v>
      </c>
      <c r="IM19" s="11">
        <v>86870</v>
      </c>
      <c r="IN19" s="11">
        <v>102565</v>
      </c>
      <c r="IO19" s="11">
        <v>109454</v>
      </c>
      <c r="IP19" s="11">
        <v>94160</v>
      </c>
      <c r="IQ19" s="11">
        <v>98624</v>
      </c>
      <c r="IR19" s="11">
        <v>91068</v>
      </c>
      <c r="IS19" s="11">
        <v>66551</v>
      </c>
      <c r="IT19" s="11">
        <v>92152</v>
      </c>
      <c r="IU19" s="11">
        <v>83182</v>
      </c>
      <c r="IV19" s="11">
        <v>91057</v>
      </c>
      <c r="IW19" s="27">
        <f t="shared" si="22"/>
        <v>1103050</v>
      </c>
      <c r="IX19" s="11">
        <v>48723</v>
      </c>
      <c r="IY19" s="11">
        <v>46644</v>
      </c>
      <c r="IZ19" s="11">
        <v>44625</v>
      </c>
      <c r="JA19" s="11">
        <v>49825</v>
      </c>
      <c r="JB19" s="11">
        <v>49875</v>
      </c>
      <c r="JC19" s="11">
        <v>45770</v>
      </c>
      <c r="JD19" s="11">
        <v>48973</v>
      </c>
      <c r="JE19" s="11">
        <v>46757</v>
      </c>
      <c r="JF19" s="11">
        <v>36988</v>
      </c>
      <c r="JG19" s="11">
        <v>49663</v>
      </c>
      <c r="JH19" s="11">
        <v>42191</v>
      </c>
      <c r="JI19" s="11">
        <v>46569</v>
      </c>
      <c r="JJ19" s="27">
        <f t="shared" si="23"/>
        <v>556603</v>
      </c>
      <c r="JK19" s="11">
        <v>46397</v>
      </c>
      <c r="JL19" s="11">
        <v>42191</v>
      </c>
      <c r="JM19" s="11">
        <v>40614</v>
      </c>
      <c r="JN19" s="11">
        <v>50652</v>
      </c>
      <c r="JO19" s="11">
        <v>57388</v>
      </c>
      <c r="JP19" s="11">
        <v>46384</v>
      </c>
      <c r="JQ19" s="11">
        <v>47685</v>
      </c>
      <c r="JR19" s="11">
        <v>42542</v>
      </c>
      <c r="JS19" s="11">
        <v>28255</v>
      </c>
      <c r="JT19" s="11">
        <v>40887</v>
      </c>
      <c r="JU19" s="11">
        <v>39523</v>
      </c>
      <c r="JV19" s="11">
        <v>42900</v>
      </c>
      <c r="JW19" s="27">
        <f t="shared" si="24"/>
        <v>525418</v>
      </c>
      <c r="JX19" s="11">
        <v>1831</v>
      </c>
      <c r="JY19" s="11">
        <v>1581</v>
      </c>
      <c r="JZ19" s="11">
        <v>1631</v>
      </c>
      <c r="KA19" s="11">
        <v>2088</v>
      </c>
      <c r="KB19" s="11">
        <v>2191</v>
      </c>
      <c r="KC19" s="11">
        <v>2006</v>
      </c>
      <c r="KD19" s="11">
        <v>1966</v>
      </c>
      <c r="KE19" s="11">
        <v>1769</v>
      </c>
      <c r="KF19" s="11">
        <v>1308</v>
      </c>
      <c r="KG19" s="11">
        <v>1602</v>
      </c>
      <c r="KH19" s="11">
        <v>1468</v>
      </c>
      <c r="KI19" s="11">
        <v>1588</v>
      </c>
      <c r="KJ19" s="27">
        <f t="shared" si="25"/>
        <v>21029</v>
      </c>
      <c r="KK19" s="11">
        <v>439</v>
      </c>
      <c r="KL19" s="11">
        <v>492</v>
      </c>
      <c r="KM19" s="11">
        <v>509</v>
      </c>
      <c r="KN19" s="11">
        <v>471</v>
      </c>
      <c r="KO19" s="11">
        <v>546</v>
      </c>
      <c r="KP19" s="11">
        <v>419</v>
      </c>
      <c r="KQ19" s="11">
        <v>504</v>
      </c>
      <c r="KR19" s="11">
        <v>519</v>
      </c>
      <c r="KS19" s="11">
        <v>361</v>
      </c>
      <c r="KT19" s="11">
        <v>532</v>
      </c>
      <c r="KU19" s="11">
        <v>436</v>
      </c>
      <c r="KV19" s="11">
        <v>443</v>
      </c>
      <c r="KW19" s="27">
        <f t="shared" si="26"/>
        <v>5671</v>
      </c>
      <c r="KX19" s="11">
        <v>432</v>
      </c>
      <c r="KY19" s="11">
        <v>478</v>
      </c>
      <c r="KZ19" s="11">
        <v>498</v>
      </c>
      <c r="LA19" s="11">
        <v>453</v>
      </c>
      <c r="LB19" s="11">
        <v>534</v>
      </c>
      <c r="LC19" s="11">
        <v>406</v>
      </c>
      <c r="LD19" s="11">
        <v>498</v>
      </c>
      <c r="LE19" s="11">
        <v>509</v>
      </c>
      <c r="LF19" s="11">
        <v>354</v>
      </c>
      <c r="LG19" s="11">
        <v>523</v>
      </c>
      <c r="LH19" s="11">
        <v>428</v>
      </c>
      <c r="LI19" s="11">
        <v>440</v>
      </c>
      <c r="LJ19" s="27">
        <f t="shared" si="27"/>
        <v>5553</v>
      </c>
      <c r="LK19" s="11">
        <v>7</v>
      </c>
      <c r="LL19" s="11">
        <v>14</v>
      </c>
      <c r="LM19" s="11">
        <v>11</v>
      </c>
      <c r="LN19" s="11">
        <v>18</v>
      </c>
      <c r="LO19" s="11">
        <v>12</v>
      </c>
      <c r="LP19" s="11">
        <v>13</v>
      </c>
      <c r="LQ19" s="11">
        <v>6</v>
      </c>
      <c r="LR19" s="11">
        <v>10</v>
      </c>
      <c r="LS19" s="11">
        <v>7</v>
      </c>
      <c r="LT19" s="11">
        <v>9</v>
      </c>
      <c r="LU19" s="11">
        <v>8</v>
      </c>
      <c r="LV19" s="11">
        <v>3</v>
      </c>
      <c r="LW19" s="27">
        <f t="shared" si="28"/>
        <v>118</v>
      </c>
      <c r="LX19" s="11"/>
      <c r="LY19" s="11"/>
      <c r="LZ19" s="11"/>
      <c r="MA19" s="11"/>
      <c r="MB19" s="11"/>
      <c r="MC19" s="11"/>
      <c r="MD19" s="11"/>
      <c r="ME19" s="11"/>
      <c r="MF19" s="11"/>
      <c r="MG19" s="11"/>
      <c r="MH19" s="11"/>
      <c r="MI19" s="11"/>
      <c r="MJ19" s="27">
        <f t="shared" si="29"/>
        <v>0</v>
      </c>
      <c r="MK19" s="11">
        <v>3425</v>
      </c>
      <c r="ML19" s="11">
        <v>3581</v>
      </c>
      <c r="MM19" s="11">
        <v>3358</v>
      </c>
      <c r="MN19" s="11">
        <v>3519</v>
      </c>
      <c r="MO19" s="11">
        <v>3743</v>
      </c>
      <c r="MP19" s="11">
        <v>3544</v>
      </c>
      <c r="MQ19" s="11">
        <v>3512</v>
      </c>
      <c r="MR19" s="11">
        <v>3316</v>
      </c>
      <c r="MS19" s="11">
        <v>3262</v>
      </c>
      <c r="MT19" s="11">
        <v>3523</v>
      </c>
      <c r="MU19" s="11">
        <v>3143</v>
      </c>
      <c r="MV19" s="11">
        <v>3415</v>
      </c>
      <c r="MW19" s="27">
        <f t="shared" si="30"/>
        <v>41341</v>
      </c>
      <c r="MX19" s="11">
        <v>3043</v>
      </c>
      <c r="MY19" s="11">
        <v>3188</v>
      </c>
      <c r="MZ19" s="11">
        <v>2976</v>
      </c>
      <c r="NA19" s="11">
        <v>3119</v>
      </c>
      <c r="NB19" s="11">
        <v>3252</v>
      </c>
      <c r="NC19" s="11">
        <v>3169</v>
      </c>
      <c r="ND19" s="11">
        <v>3080</v>
      </c>
      <c r="NE19" s="11">
        <v>2924</v>
      </c>
      <c r="NF19" s="11">
        <v>2913</v>
      </c>
      <c r="NG19" s="11">
        <v>3117</v>
      </c>
      <c r="NH19" s="11">
        <v>2728</v>
      </c>
      <c r="NI19" s="11">
        <v>2986</v>
      </c>
      <c r="NJ19" s="27">
        <f t="shared" si="31"/>
        <v>36495</v>
      </c>
      <c r="NK19" s="11">
        <v>284</v>
      </c>
      <c r="NL19" s="11">
        <v>294</v>
      </c>
      <c r="NM19" s="11">
        <v>290</v>
      </c>
      <c r="NN19" s="11">
        <v>305</v>
      </c>
      <c r="NO19" s="11">
        <v>376</v>
      </c>
      <c r="NP19" s="11">
        <v>284</v>
      </c>
      <c r="NQ19" s="11">
        <v>326</v>
      </c>
      <c r="NR19" s="11">
        <v>300</v>
      </c>
      <c r="NS19" s="11">
        <v>260</v>
      </c>
      <c r="NT19" s="11">
        <v>301</v>
      </c>
      <c r="NU19" s="11">
        <v>316</v>
      </c>
      <c r="NV19" s="11">
        <v>320</v>
      </c>
      <c r="NW19" s="27">
        <f t="shared" si="32"/>
        <v>3656</v>
      </c>
      <c r="NX19" s="11">
        <v>98</v>
      </c>
      <c r="NY19" s="11">
        <v>99</v>
      </c>
      <c r="NZ19" s="11">
        <v>92</v>
      </c>
      <c r="OA19" s="11">
        <v>95</v>
      </c>
      <c r="OB19" s="11">
        <v>115</v>
      </c>
      <c r="OC19" s="11">
        <v>91</v>
      </c>
      <c r="OD19" s="11">
        <v>106</v>
      </c>
      <c r="OE19" s="11">
        <v>92</v>
      </c>
      <c r="OF19" s="11">
        <v>89</v>
      </c>
      <c r="OG19" s="11">
        <v>105</v>
      </c>
      <c r="OH19" s="11">
        <v>99</v>
      </c>
      <c r="OI19" s="11">
        <v>109</v>
      </c>
      <c r="OJ19" s="27">
        <f t="shared" si="33"/>
        <v>1190</v>
      </c>
      <c r="OK19" s="11">
        <v>4575</v>
      </c>
      <c r="OL19" s="11">
        <v>4705</v>
      </c>
      <c r="OM19" s="11">
        <v>4540</v>
      </c>
      <c r="ON19" s="11">
        <v>4899</v>
      </c>
      <c r="OO19" s="11">
        <v>5058</v>
      </c>
      <c r="OP19" s="11">
        <v>4909</v>
      </c>
      <c r="OQ19" s="11">
        <v>4988</v>
      </c>
      <c r="OR19" s="11">
        <v>4628</v>
      </c>
      <c r="OS19" s="11">
        <v>4640</v>
      </c>
      <c r="OT19" s="11">
        <v>5151</v>
      </c>
      <c r="OU19" s="11">
        <v>4572</v>
      </c>
      <c r="OV19" s="11">
        <v>5180</v>
      </c>
      <c r="OW19" s="27">
        <f t="shared" si="34"/>
        <v>57845</v>
      </c>
      <c r="OX19" s="11">
        <v>3977</v>
      </c>
      <c r="OY19" s="11">
        <v>4070</v>
      </c>
      <c r="OZ19" s="11">
        <v>4006</v>
      </c>
      <c r="PA19" s="11">
        <v>4235</v>
      </c>
      <c r="PB19" s="11">
        <v>4328</v>
      </c>
      <c r="PC19" s="11">
        <v>4228</v>
      </c>
      <c r="PD19" s="11">
        <v>4326</v>
      </c>
      <c r="PE19" s="11">
        <v>3975</v>
      </c>
      <c r="PF19" s="11">
        <v>4012</v>
      </c>
      <c r="PG19" s="11">
        <v>4507</v>
      </c>
      <c r="PH19" s="11">
        <v>4002</v>
      </c>
      <c r="PI19" s="11">
        <v>4554</v>
      </c>
      <c r="PJ19" s="27">
        <f t="shared" si="35"/>
        <v>50220</v>
      </c>
      <c r="PK19" s="11">
        <v>512</v>
      </c>
      <c r="PL19" s="11">
        <v>527</v>
      </c>
      <c r="PM19" s="11">
        <v>441</v>
      </c>
      <c r="PN19" s="11">
        <v>561</v>
      </c>
      <c r="PO19" s="11">
        <v>623</v>
      </c>
      <c r="PP19" s="11">
        <v>584</v>
      </c>
      <c r="PQ19" s="11">
        <v>561</v>
      </c>
      <c r="PR19" s="11">
        <v>545</v>
      </c>
      <c r="PS19" s="11">
        <v>525</v>
      </c>
      <c r="PT19" s="11">
        <v>540</v>
      </c>
      <c r="PU19" s="11">
        <v>479</v>
      </c>
      <c r="PV19" s="11">
        <v>512</v>
      </c>
      <c r="PW19" s="27">
        <f t="shared" si="36"/>
        <v>6410</v>
      </c>
      <c r="PX19" s="11">
        <v>86</v>
      </c>
      <c r="PY19" s="11">
        <v>108</v>
      </c>
      <c r="PZ19" s="11">
        <v>93</v>
      </c>
      <c r="QA19" s="11">
        <v>103</v>
      </c>
      <c r="QB19" s="11">
        <v>107</v>
      </c>
      <c r="QC19" s="11">
        <v>97</v>
      </c>
      <c r="QD19" s="11">
        <v>101</v>
      </c>
      <c r="QE19" s="11">
        <v>108</v>
      </c>
      <c r="QF19" s="11">
        <v>103</v>
      </c>
      <c r="QG19" s="11">
        <v>104</v>
      </c>
      <c r="QH19" s="11">
        <v>91</v>
      </c>
      <c r="QI19" s="11">
        <v>114</v>
      </c>
      <c r="QJ19" s="27">
        <f t="shared" si="37"/>
        <v>1215</v>
      </c>
      <c r="QK19" s="11"/>
      <c r="QL19" s="11"/>
      <c r="QM19" s="11">
        <v>154600</v>
      </c>
      <c r="QN19" s="11"/>
      <c r="QO19" s="11"/>
      <c r="QP19" s="11">
        <v>189925</v>
      </c>
      <c r="QQ19" s="11"/>
      <c r="QR19" s="11"/>
      <c r="QS19" s="11">
        <v>142525</v>
      </c>
      <c r="QT19" s="11"/>
      <c r="QU19" s="11"/>
      <c r="QV19" s="11">
        <v>162163</v>
      </c>
      <c r="QW19" s="27">
        <f t="shared" si="38"/>
        <v>649213</v>
      </c>
      <c r="QX19" s="11"/>
      <c r="QY19" s="11"/>
      <c r="QZ19" s="11">
        <v>256425</v>
      </c>
      <c r="RA19" s="11"/>
      <c r="RB19" s="11"/>
      <c r="RC19" s="11">
        <v>264325</v>
      </c>
      <c r="RD19" s="11"/>
      <c r="RE19" s="11"/>
      <c r="RF19" s="11">
        <v>259150</v>
      </c>
      <c r="RG19" s="11"/>
      <c r="RH19" s="11"/>
      <c r="RI19" s="11">
        <v>260963</v>
      </c>
      <c r="RJ19" s="27">
        <f t="shared" si="39"/>
        <v>1040863</v>
      </c>
      <c r="RK19" s="11">
        <v>0</v>
      </c>
      <c r="RL19" s="11">
        <v>0</v>
      </c>
      <c r="RM19" s="11">
        <v>0</v>
      </c>
      <c r="RN19" s="11">
        <v>0</v>
      </c>
      <c r="RO19" s="11">
        <v>0</v>
      </c>
      <c r="RP19" s="11">
        <v>0</v>
      </c>
      <c r="RQ19" s="11">
        <v>0</v>
      </c>
      <c r="RR19" s="11">
        <v>0</v>
      </c>
      <c r="RS19" s="11">
        <v>0</v>
      </c>
      <c r="RT19" s="11">
        <v>0</v>
      </c>
      <c r="RU19" s="11">
        <v>0</v>
      </c>
      <c r="RV19" s="11">
        <v>0</v>
      </c>
      <c r="RW19" s="27">
        <f t="shared" si="40"/>
        <v>0</v>
      </c>
      <c r="RX19" s="11">
        <v>0</v>
      </c>
      <c r="RY19" s="11">
        <v>0</v>
      </c>
      <c r="RZ19" s="11">
        <v>0</v>
      </c>
      <c r="SA19" s="11">
        <v>0</v>
      </c>
      <c r="SB19" s="11">
        <v>0</v>
      </c>
      <c r="SC19" s="11">
        <v>0</v>
      </c>
      <c r="SD19" s="11">
        <v>0</v>
      </c>
      <c r="SE19" s="11">
        <v>0</v>
      </c>
      <c r="SF19" s="11">
        <v>0</v>
      </c>
      <c r="SG19" s="11">
        <v>0</v>
      </c>
      <c r="SH19" s="11">
        <v>0</v>
      </c>
      <c r="SI19" s="11">
        <v>0</v>
      </c>
      <c r="SJ19" s="27">
        <f t="shared" si="41"/>
        <v>0</v>
      </c>
      <c r="SK19" s="11">
        <v>0</v>
      </c>
      <c r="SL19" s="11">
        <v>0</v>
      </c>
      <c r="SM19" s="11">
        <v>0</v>
      </c>
      <c r="SN19" s="11">
        <v>0</v>
      </c>
      <c r="SO19" s="11">
        <v>0</v>
      </c>
      <c r="SP19" s="11">
        <v>0</v>
      </c>
      <c r="SQ19" s="11">
        <v>0</v>
      </c>
      <c r="SR19" s="11">
        <v>0</v>
      </c>
      <c r="SS19" s="11">
        <v>0</v>
      </c>
      <c r="ST19" s="11">
        <v>0</v>
      </c>
      <c r="SU19" s="11">
        <v>0</v>
      </c>
      <c r="SV19" s="11">
        <v>0</v>
      </c>
      <c r="SW19" s="27">
        <f t="shared" si="42"/>
        <v>0</v>
      </c>
      <c r="SX19" s="11" t="s">
        <v>2654</v>
      </c>
      <c r="SY19" s="11">
        <v>2140</v>
      </c>
      <c r="SZ19" s="11">
        <v>2105</v>
      </c>
      <c r="TA19" s="11">
        <v>2236</v>
      </c>
      <c r="TB19" s="11">
        <v>2240</v>
      </c>
      <c r="TC19" s="11">
        <v>2292</v>
      </c>
      <c r="TD19" s="11">
        <v>2140</v>
      </c>
      <c r="TE19" s="11">
        <v>2292</v>
      </c>
      <c r="TF19" s="11">
        <v>2274</v>
      </c>
      <c r="TG19" s="11">
        <v>1733</v>
      </c>
      <c r="TH19" s="11">
        <v>2189</v>
      </c>
      <c r="TI19" s="11">
        <v>2155</v>
      </c>
      <c r="TJ19" s="11">
        <v>2344</v>
      </c>
      <c r="TK19" s="27">
        <f t="shared" si="43"/>
        <v>26140</v>
      </c>
      <c r="TL19" s="11"/>
      <c r="TM19" s="11"/>
      <c r="TN19" s="11"/>
      <c r="TO19" s="11"/>
      <c r="TP19" s="11"/>
      <c r="TQ19" s="11"/>
      <c r="TR19" s="11"/>
      <c r="TS19" s="11"/>
      <c r="TT19" s="11"/>
      <c r="TU19" s="11"/>
      <c r="TV19" s="11"/>
      <c r="TW19" s="11"/>
      <c r="TX19" s="27">
        <f t="shared" si="44"/>
        <v>0</v>
      </c>
      <c r="TY19" s="11">
        <v>89</v>
      </c>
      <c r="TZ19" s="11">
        <v>51</v>
      </c>
      <c r="UA19" s="11">
        <v>327</v>
      </c>
    </row>
    <row r="20" spans="1:547" ht="16" customHeight="1" x14ac:dyDescent="0.35">
      <c r="A20" s="11" t="s">
        <v>1376</v>
      </c>
      <c r="B20" s="11">
        <v>19077</v>
      </c>
      <c r="C20" s="11">
        <v>1362</v>
      </c>
      <c r="D20" s="11">
        <v>17497</v>
      </c>
      <c r="E20" s="11">
        <v>218</v>
      </c>
      <c r="F20" s="11">
        <v>0</v>
      </c>
      <c r="G20" s="11">
        <v>0</v>
      </c>
      <c r="H20" s="11">
        <v>1290</v>
      </c>
      <c r="I20" s="11">
        <v>0</v>
      </c>
      <c r="J20" s="11">
        <v>0</v>
      </c>
      <c r="K20" s="11">
        <v>1479</v>
      </c>
      <c r="L20" s="11">
        <v>0</v>
      </c>
      <c r="M20" s="11">
        <v>0</v>
      </c>
      <c r="N20" s="11">
        <v>1300</v>
      </c>
      <c r="O20" s="11">
        <v>0</v>
      </c>
      <c r="P20" s="11" t="s">
        <v>2866</v>
      </c>
      <c r="Q20" s="11">
        <v>0</v>
      </c>
      <c r="R20" s="11">
        <v>1488</v>
      </c>
      <c r="S20" s="26">
        <f t="shared" si="0"/>
        <v>5557</v>
      </c>
      <c r="T20" s="11">
        <v>0</v>
      </c>
      <c r="U20" s="11">
        <v>0</v>
      </c>
      <c r="V20" s="11">
        <v>1020</v>
      </c>
      <c r="W20" s="11">
        <v>0</v>
      </c>
      <c r="X20" s="11">
        <v>0</v>
      </c>
      <c r="Y20" s="11">
        <v>1142</v>
      </c>
      <c r="Z20" s="11">
        <v>0</v>
      </c>
      <c r="AA20" s="11">
        <v>0</v>
      </c>
      <c r="AB20" s="11">
        <v>957</v>
      </c>
      <c r="AC20" s="11">
        <v>0</v>
      </c>
      <c r="AD20" s="11">
        <v>0</v>
      </c>
      <c r="AE20" s="11">
        <v>1226</v>
      </c>
      <c r="AF20" s="26">
        <f t="shared" si="1"/>
        <v>4345</v>
      </c>
      <c r="AG20" s="11">
        <v>0</v>
      </c>
      <c r="AH20" s="11">
        <v>0</v>
      </c>
      <c r="AI20" s="11">
        <v>116</v>
      </c>
      <c r="AJ20" s="11">
        <v>0</v>
      </c>
      <c r="AK20" s="11">
        <v>0</v>
      </c>
      <c r="AL20" s="11">
        <v>210</v>
      </c>
      <c r="AM20" s="11">
        <v>0</v>
      </c>
      <c r="AN20" s="11">
        <v>0</v>
      </c>
      <c r="AO20" s="11">
        <v>195</v>
      </c>
      <c r="AP20" s="11">
        <v>0</v>
      </c>
      <c r="AQ20" s="11">
        <v>0</v>
      </c>
      <c r="AR20" s="11">
        <v>192</v>
      </c>
      <c r="AS20" s="26">
        <f t="shared" si="2"/>
        <v>713</v>
      </c>
      <c r="AT20" s="11">
        <v>0</v>
      </c>
      <c r="AU20" s="11">
        <v>0</v>
      </c>
      <c r="AV20" s="11">
        <v>0</v>
      </c>
      <c r="AW20" s="11">
        <v>0</v>
      </c>
      <c r="AX20" s="11">
        <v>0</v>
      </c>
      <c r="AY20" s="11">
        <v>1</v>
      </c>
      <c r="AZ20" s="11">
        <v>0</v>
      </c>
      <c r="BA20" s="11">
        <v>0</v>
      </c>
      <c r="BB20" s="11">
        <v>0</v>
      </c>
      <c r="BC20" s="11">
        <v>0</v>
      </c>
      <c r="BD20" s="11">
        <v>0</v>
      </c>
      <c r="BE20" s="11">
        <v>0</v>
      </c>
      <c r="BF20" s="26">
        <f t="shared" si="3"/>
        <v>1</v>
      </c>
      <c r="BG20" s="11">
        <v>0</v>
      </c>
      <c r="BH20" s="11">
        <v>0</v>
      </c>
      <c r="BI20" s="11">
        <v>154</v>
      </c>
      <c r="BJ20" s="11">
        <v>0</v>
      </c>
      <c r="BK20" s="11">
        <v>0</v>
      </c>
      <c r="BL20" s="11">
        <v>126</v>
      </c>
      <c r="BM20" s="11">
        <v>0</v>
      </c>
      <c r="BN20" s="11">
        <v>0</v>
      </c>
      <c r="BO20" s="11">
        <v>148</v>
      </c>
      <c r="BP20" s="11">
        <v>0</v>
      </c>
      <c r="BQ20" s="11">
        <v>0</v>
      </c>
      <c r="BR20" s="11">
        <v>70</v>
      </c>
      <c r="BS20" s="26">
        <f t="shared" si="4"/>
        <v>498</v>
      </c>
      <c r="BT20" s="11">
        <v>0</v>
      </c>
      <c r="BU20" s="11">
        <v>0</v>
      </c>
      <c r="BV20" s="11">
        <v>51</v>
      </c>
      <c r="BW20" s="11">
        <v>0</v>
      </c>
      <c r="BX20" s="11">
        <v>0</v>
      </c>
      <c r="BY20" s="11">
        <v>34</v>
      </c>
      <c r="BZ20" s="11">
        <v>0</v>
      </c>
      <c r="CA20" s="11">
        <v>0</v>
      </c>
      <c r="CB20" s="11">
        <v>42</v>
      </c>
      <c r="CC20" s="11">
        <v>0</v>
      </c>
      <c r="CD20" s="11">
        <v>0</v>
      </c>
      <c r="CE20" s="11">
        <v>42</v>
      </c>
      <c r="CF20" s="26">
        <f t="shared" si="5"/>
        <v>169</v>
      </c>
      <c r="CG20" s="11">
        <v>0</v>
      </c>
      <c r="CH20" s="11">
        <v>0</v>
      </c>
      <c r="CI20" s="11">
        <v>51</v>
      </c>
      <c r="CJ20" s="11">
        <v>0</v>
      </c>
      <c r="CK20" s="11">
        <v>0</v>
      </c>
      <c r="CL20" s="11">
        <v>34</v>
      </c>
      <c r="CM20" s="11">
        <v>0</v>
      </c>
      <c r="CN20" s="11">
        <v>0</v>
      </c>
      <c r="CO20" s="11">
        <v>42</v>
      </c>
      <c r="CP20" s="11">
        <v>0</v>
      </c>
      <c r="CQ20" s="11">
        <v>0</v>
      </c>
      <c r="CR20" s="11">
        <v>42</v>
      </c>
      <c r="CS20" s="26">
        <f t="shared" si="6"/>
        <v>169</v>
      </c>
      <c r="CT20" s="11">
        <v>0</v>
      </c>
      <c r="CU20" s="11">
        <v>0</v>
      </c>
      <c r="CV20" s="11">
        <v>0</v>
      </c>
      <c r="CW20" s="11">
        <v>0</v>
      </c>
      <c r="CX20" s="11">
        <v>0</v>
      </c>
      <c r="CY20" s="11">
        <v>0</v>
      </c>
      <c r="CZ20" s="11">
        <v>0</v>
      </c>
      <c r="DA20" s="11">
        <v>0</v>
      </c>
      <c r="DB20" s="11">
        <v>0</v>
      </c>
      <c r="DC20" s="11">
        <v>0</v>
      </c>
      <c r="DD20" s="11">
        <v>0</v>
      </c>
      <c r="DE20" s="11">
        <v>0</v>
      </c>
      <c r="DF20" s="26">
        <f t="shared" si="7"/>
        <v>0</v>
      </c>
      <c r="DG20" s="11">
        <v>0</v>
      </c>
      <c r="DH20" s="11">
        <v>0</v>
      </c>
      <c r="DI20" s="11">
        <v>0</v>
      </c>
      <c r="DJ20" s="11">
        <v>0</v>
      </c>
      <c r="DK20" s="11">
        <v>0</v>
      </c>
      <c r="DL20" s="11">
        <v>0</v>
      </c>
      <c r="DM20" s="11">
        <v>0</v>
      </c>
      <c r="DN20" s="11">
        <v>0</v>
      </c>
      <c r="DO20" s="11">
        <v>0</v>
      </c>
      <c r="DP20" s="11">
        <v>0</v>
      </c>
      <c r="DQ20" s="11">
        <v>0</v>
      </c>
      <c r="DR20" s="11">
        <v>0</v>
      </c>
      <c r="DS20" s="26">
        <f t="shared" si="8"/>
        <v>0</v>
      </c>
      <c r="DT20" s="11">
        <v>0</v>
      </c>
      <c r="DU20" s="11">
        <v>0</v>
      </c>
      <c r="DV20" s="11">
        <v>0</v>
      </c>
      <c r="DW20" s="11">
        <v>0</v>
      </c>
      <c r="DX20" s="11">
        <v>0</v>
      </c>
      <c r="DY20" s="11">
        <v>0</v>
      </c>
      <c r="DZ20" s="11">
        <v>0</v>
      </c>
      <c r="EA20" s="11">
        <v>0</v>
      </c>
      <c r="EB20" s="11">
        <v>0</v>
      </c>
      <c r="EC20" s="11">
        <v>0</v>
      </c>
      <c r="ED20" s="11">
        <v>0</v>
      </c>
      <c r="EE20" s="11">
        <v>0</v>
      </c>
      <c r="EF20" s="26">
        <f t="shared" si="9"/>
        <v>0</v>
      </c>
      <c r="EG20" s="9">
        <f t="shared" si="10"/>
        <v>5557</v>
      </c>
      <c r="EH20" s="9">
        <f t="shared" si="11"/>
        <v>169</v>
      </c>
      <c r="EI20" s="11">
        <v>0</v>
      </c>
      <c r="EJ20" s="11">
        <v>0</v>
      </c>
      <c r="EK20" s="11">
        <v>6572</v>
      </c>
      <c r="EL20" s="11">
        <v>0</v>
      </c>
      <c r="EM20" s="11">
        <v>0</v>
      </c>
      <c r="EN20" s="11">
        <v>7849</v>
      </c>
      <c r="EO20" s="11">
        <v>0</v>
      </c>
      <c r="EP20" s="11">
        <v>0</v>
      </c>
      <c r="EQ20" s="11">
        <v>7164</v>
      </c>
      <c r="ER20" s="11">
        <v>0</v>
      </c>
      <c r="ES20" s="11">
        <v>0</v>
      </c>
      <c r="ET20" s="11">
        <v>7215</v>
      </c>
      <c r="EU20" s="26">
        <f t="shared" si="12"/>
        <v>28800</v>
      </c>
      <c r="EV20" s="11">
        <v>0</v>
      </c>
      <c r="EW20" s="11">
        <v>0</v>
      </c>
      <c r="EX20" s="11">
        <v>4084</v>
      </c>
      <c r="EY20" s="11">
        <v>0</v>
      </c>
      <c r="EZ20" s="11">
        <v>0</v>
      </c>
      <c r="FA20" s="11">
        <v>4709</v>
      </c>
      <c r="FB20" s="11">
        <v>0</v>
      </c>
      <c r="FC20" s="11">
        <v>0</v>
      </c>
      <c r="FD20" s="11">
        <v>4420</v>
      </c>
      <c r="FE20" s="11">
        <v>0</v>
      </c>
      <c r="FF20" s="11">
        <v>0</v>
      </c>
      <c r="FG20" s="11">
        <v>4446</v>
      </c>
      <c r="FH20" s="26">
        <f t="shared" si="13"/>
        <v>17659</v>
      </c>
      <c r="FI20" s="11">
        <v>0</v>
      </c>
      <c r="FJ20" s="11">
        <v>0</v>
      </c>
      <c r="FK20" s="11">
        <v>2488</v>
      </c>
      <c r="FL20" s="11">
        <v>0</v>
      </c>
      <c r="FM20" s="11">
        <v>0</v>
      </c>
      <c r="FN20" s="11">
        <v>3140</v>
      </c>
      <c r="FO20" s="11">
        <v>0</v>
      </c>
      <c r="FP20" s="11">
        <v>0</v>
      </c>
      <c r="FQ20" s="11">
        <v>2744</v>
      </c>
      <c r="FR20" s="11">
        <v>0</v>
      </c>
      <c r="FS20" s="11">
        <v>0</v>
      </c>
      <c r="FT20" s="11">
        <v>2769</v>
      </c>
      <c r="FU20" s="26">
        <f t="shared" si="14"/>
        <v>11141</v>
      </c>
      <c r="FV20" s="11">
        <v>0</v>
      </c>
      <c r="FW20" s="11">
        <v>0</v>
      </c>
      <c r="FX20" s="11">
        <v>0</v>
      </c>
      <c r="FY20" s="11">
        <v>0</v>
      </c>
      <c r="FZ20" s="11">
        <v>0</v>
      </c>
      <c r="GA20" s="11">
        <v>0</v>
      </c>
      <c r="GB20" s="11">
        <v>0</v>
      </c>
      <c r="GC20" s="11">
        <v>0</v>
      </c>
      <c r="GD20" s="11">
        <v>0</v>
      </c>
      <c r="GE20" s="11">
        <v>0</v>
      </c>
      <c r="GF20" s="11">
        <v>0</v>
      </c>
      <c r="GG20" s="11">
        <v>0</v>
      </c>
      <c r="GH20" s="26">
        <f t="shared" si="15"/>
        <v>0</v>
      </c>
      <c r="GI20" s="11">
        <v>0</v>
      </c>
      <c r="GJ20" s="11">
        <v>0</v>
      </c>
      <c r="GK20" s="11">
        <v>455</v>
      </c>
      <c r="GL20" s="11">
        <v>0</v>
      </c>
      <c r="GM20" s="11">
        <v>0</v>
      </c>
      <c r="GN20" s="11">
        <v>437</v>
      </c>
      <c r="GO20" s="11">
        <v>0</v>
      </c>
      <c r="GP20" s="11">
        <v>0</v>
      </c>
      <c r="GQ20" s="11">
        <v>353</v>
      </c>
      <c r="GR20" s="11">
        <v>0</v>
      </c>
      <c r="GS20" s="11">
        <v>0</v>
      </c>
      <c r="GT20" s="11">
        <v>451</v>
      </c>
      <c r="GU20" s="26">
        <f t="shared" si="16"/>
        <v>1696</v>
      </c>
      <c r="GV20" s="11">
        <v>0</v>
      </c>
      <c r="GW20" s="11">
        <v>0</v>
      </c>
      <c r="GX20" s="11">
        <v>455</v>
      </c>
      <c r="GY20" s="11">
        <v>0</v>
      </c>
      <c r="GZ20" s="11">
        <v>0</v>
      </c>
      <c r="HA20" s="11">
        <v>437</v>
      </c>
      <c r="HB20" s="11">
        <v>0</v>
      </c>
      <c r="HC20" s="11">
        <v>0</v>
      </c>
      <c r="HD20" s="11">
        <v>353</v>
      </c>
      <c r="HE20" s="11">
        <v>0</v>
      </c>
      <c r="HF20" s="11">
        <v>0</v>
      </c>
      <c r="HG20" s="11">
        <v>451</v>
      </c>
      <c r="HH20" s="26">
        <f t="shared" si="17"/>
        <v>1696</v>
      </c>
      <c r="HI20" s="11">
        <v>0</v>
      </c>
      <c r="HJ20" s="11">
        <v>0</v>
      </c>
      <c r="HK20" s="11">
        <v>0</v>
      </c>
      <c r="HL20" s="11">
        <v>0</v>
      </c>
      <c r="HM20" s="11">
        <v>0</v>
      </c>
      <c r="HN20" s="11">
        <v>0</v>
      </c>
      <c r="HO20" s="11">
        <v>0</v>
      </c>
      <c r="HP20" s="11">
        <v>0</v>
      </c>
      <c r="HQ20" s="11">
        <v>0</v>
      </c>
      <c r="HR20" s="11">
        <v>0</v>
      </c>
      <c r="HS20" s="11">
        <v>0</v>
      </c>
      <c r="HT20" s="11">
        <v>0</v>
      </c>
      <c r="HU20" s="26">
        <f t="shared" si="18"/>
        <v>0</v>
      </c>
      <c r="HV20" s="11">
        <v>0</v>
      </c>
      <c r="HW20" s="11">
        <v>0</v>
      </c>
      <c r="HX20" s="11">
        <v>0</v>
      </c>
      <c r="HY20" s="11">
        <v>0</v>
      </c>
      <c r="HZ20" s="11">
        <v>0</v>
      </c>
      <c r="IA20" s="11">
        <v>0</v>
      </c>
      <c r="IB20" s="11">
        <v>0</v>
      </c>
      <c r="IC20" s="11">
        <v>0</v>
      </c>
      <c r="ID20" s="11">
        <v>0</v>
      </c>
      <c r="IE20" s="11">
        <v>0</v>
      </c>
      <c r="IF20" s="11">
        <v>0</v>
      </c>
      <c r="IG20" s="11">
        <v>0</v>
      </c>
      <c r="IH20" s="26">
        <f t="shared" si="19"/>
        <v>0</v>
      </c>
      <c r="II20" s="9">
        <f t="shared" si="20"/>
        <v>28800</v>
      </c>
      <c r="IJ20" s="9">
        <f t="shared" si="21"/>
        <v>1696</v>
      </c>
      <c r="IK20" s="11">
        <v>0</v>
      </c>
      <c r="IL20" s="11">
        <v>0</v>
      </c>
      <c r="IM20" s="11">
        <v>69755</v>
      </c>
      <c r="IN20" s="11">
        <v>0</v>
      </c>
      <c r="IO20" s="11">
        <v>0</v>
      </c>
      <c r="IP20" s="11">
        <v>71974</v>
      </c>
      <c r="IQ20" s="11">
        <v>0</v>
      </c>
      <c r="IR20" s="11">
        <v>0</v>
      </c>
      <c r="IS20" s="11">
        <v>66415</v>
      </c>
      <c r="IT20" s="11">
        <v>0</v>
      </c>
      <c r="IU20" s="11">
        <v>0</v>
      </c>
      <c r="IV20" s="11">
        <v>70934</v>
      </c>
      <c r="IW20" s="27">
        <f t="shared" si="22"/>
        <v>279078</v>
      </c>
      <c r="IX20" s="11">
        <v>0</v>
      </c>
      <c r="IY20" s="11">
        <v>0</v>
      </c>
      <c r="IZ20" s="11">
        <v>56639</v>
      </c>
      <c r="JA20" s="11">
        <v>0</v>
      </c>
      <c r="JB20" s="11">
        <v>0</v>
      </c>
      <c r="JC20" s="11">
        <v>57270</v>
      </c>
      <c r="JD20" s="11">
        <v>0</v>
      </c>
      <c r="JE20" s="11">
        <v>0</v>
      </c>
      <c r="JF20" s="11">
        <v>53726</v>
      </c>
      <c r="JG20" s="11">
        <v>0</v>
      </c>
      <c r="JH20" s="11">
        <v>0</v>
      </c>
      <c r="JI20" s="11">
        <v>57015</v>
      </c>
      <c r="JJ20" s="27">
        <f t="shared" si="23"/>
        <v>224650</v>
      </c>
      <c r="JK20" s="11">
        <v>0</v>
      </c>
      <c r="JL20" s="11">
        <v>0</v>
      </c>
      <c r="JM20" s="11">
        <v>12924</v>
      </c>
      <c r="JN20" s="11">
        <v>0</v>
      </c>
      <c r="JO20" s="11">
        <v>0</v>
      </c>
      <c r="JP20" s="11">
        <v>14521</v>
      </c>
      <c r="JQ20" s="11">
        <v>0</v>
      </c>
      <c r="JR20" s="11">
        <v>0</v>
      </c>
      <c r="JS20" s="11">
        <v>12497</v>
      </c>
      <c r="JT20" s="11">
        <v>0</v>
      </c>
      <c r="JU20" s="11">
        <v>0</v>
      </c>
      <c r="JV20" s="11">
        <v>13672</v>
      </c>
      <c r="JW20" s="27">
        <f t="shared" si="24"/>
        <v>53614</v>
      </c>
      <c r="JX20" s="11">
        <v>0</v>
      </c>
      <c r="JY20" s="11">
        <v>0</v>
      </c>
      <c r="JZ20" s="11">
        <v>192</v>
      </c>
      <c r="KA20" s="11">
        <v>0</v>
      </c>
      <c r="KB20" s="11">
        <v>0</v>
      </c>
      <c r="KC20" s="11">
        <v>183</v>
      </c>
      <c r="KD20" s="11">
        <v>0</v>
      </c>
      <c r="KE20" s="11">
        <v>0</v>
      </c>
      <c r="KF20" s="11">
        <v>192</v>
      </c>
      <c r="KG20" s="11">
        <v>0</v>
      </c>
      <c r="KH20" s="11">
        <v>0</v>
      </c>
      <c r="KI20" s="11">
        <v>247</v>
      </c>
      <c r="KJ20" s="27">
        <f t="shared" si="25"/>
        <v>814</v>
      </c>
      <c r="KK20" s="11">
        <v>0</v>
      </c>
      <c r="KL20" s="11">
        <v>0</v>
      </c>
      <c r="KM20" s="11">
        <v>1424</v>
      </c>
      <c r="KN20" s="11">
        <v>0</v>
      </c>
      <c r="KO20" s="11">
        <v>0</v>
      </c>
      <c r="KP20" s="11">
        <v>1423</v>
      </c>
      <c r="KQ20" s="11">
        <v>0</v>
      </c>
      <c r="KR20" s="11">
        <v>0</v>
      </c>
      <c r="KS20" s="11">
        <v>986</v>
      </c>
      <c r="KT20" s="11">
        <v>0</v>
      </c>
      <c r="KU20" s="11">
        <v>0</v>
      </c>
      <c r="KV20" s="11">
        <v>1095</v>
      </c>
      <c r="KW20" s="27">
        <f t="shared" si="26"/>
        <v>4928</v>
      </c>
      <c r="KX20" s="11">
        <v>0</v>
      </c>
      <c r="KY20" s="11">
        <v>0</v>
      </c>
      <c r="KZ20" s="11">
        <v>1394</v>
      </c>
      <c r="LA20" s="11">
        <v>0</v>
      </c>
      <c r="LB20" s="11">
        <v>0</v>
      </c>
      <c r="LC20" s="11">
        <v>1390</v>
      </c>
      <c r="LD20" s="11">
        <v>0</v>
      </c>
      <c r="LE20" s="11">
        <v>0</v>
      </c>
      <c r="LF20" s="11">
        <v>959</v>
      </c>
      <c r="LG20" s="11">
        <v>0</v>
      </c>
      <c r="LH20" s="11">
        <v>0</v>
      </c>
      <c r="LI20" s="11">
        <v>1087</v>
      </c>
      <c r="LJ20" s="27">
        <f t="shared" si="27"/>
        <v>4830</v>
      </c>
      <c r="LK20" s="11">
        <v>0</v>
      </c>
      <c r="LL20" s="11">
        <v>0</v>
      </c>
      <c r="LM20" s="11">
        <v>30</v>
      </c>
      <c r="LN20" s="11">
        <v>0</v>
      </c>
      <c r="LO20" s="11">
        <v>0</v>
      </c>
      <c r="LP20" s="11">
        <v>33</v>
      </c>
      <c r="LQ20" s="11">
        <v>0</v>
      </c>
      <c r="LR20" s="11">
        <v>0</v>
      </c>
      <c r="LS20" s="11">
        <v>27</v>
      </c>
      <c r="LT20" s="11">
        <v>0</v>
      </c>
      <c r="LU20" s="11">
        <v>0</v>
      </c>
      <c r="LV20" s="11">
        <v>8</v>
      </c>
      <c r="LW20" s="27">
        <f t="shared" si="28"/>
        <v>98</v>
      </c>
      <c r="LX20" s="11">
        <v>0</v>
      </c>
      <c r="LY20" s="11">
        <v>0</v>
      </c>
      <c r="LZ20" s="11">
        <v>0</v>
      </c>
      <c r="MA20" s="11">
        <v>0</v>
      </c>
      <c r="MB20" s="11">
        <v>0</v>
      </c>
      <c r="MC20" s="11">
        <v>0</v>
      </c>
      <c r="MD20" s="11">
        <v>0</v>
      </c>
      <c r="ME20" s="11">
        <v>0</v>
      </c>
      <c r="MF20" s="11">
        <v>0</v>
      </c>
      <c r="MG20" s="11">
        <v>0</v>
      </c>
      <c r="MH20" s="11">
        <v>0</v>
      </c>
      <c r="MI20" s="11">
        <v>0</v>
      </c>
      <c r="MJ20" s="27">
        <f t="shared" si="29"/>
        <v>0</v>
      </c>
      <c r="MK20" s="11">
        <v>3767</v>
      </c>
      <c r="ML20" s="11">
        <v>3946</v>
      </c>
      <c r="MM20" s="11">
        <v>3880</v>
      </c>
      <c r="MN20" s="11">
        <v>4047</v>
      </c>
      <c r="MO20" s="11">
        <v>4320</v>
      </c>
      <c r="MP20" s="11">
        <v>3983</v>
      </c>
      <c r="MQ20" s="11">
        <v>4082</v>
      </c>
      <c r="MR20" s="11">
        <v>3731</v>
      </c>
      <c r="MS20" s="11">
        <v>4238</v>
      </c>
      <c r="MT20" s="11">
        <v>4348</v>
      </c>
      <c r="MU20" s="11">
        <v>3855</v>
      </c>
      <c r="MV20" s="11">
        <v>4289</v>
      </c>
      <c r="MW20" s="27">
        <f t="shared" si="30"/>
        <v>48486</v>
      </c>
      <c r="MX20" s="11">
        <v>3349</v>
      </c>
      <c r="MY20" s="11">
        <v>3401</v>
      </c>
      <c r="MZ20" s="11">
        <v>3509</v>
      </c>
      <c r="NA20" s="11">
        <v>3583</v>
      </c>
      <c r="NB20" s="11">
        <v>3770</v>
      </c>
      <c r="NC20" s="11">
        <v>3448</v>
      </c>
      <c r="ND20" s="11">
        <v>3512</v>
      </c>
      <c r="NE20" s="11">
        <v>3257</v>
      </c>
      <c r="NF20" s="11">
        <v>3638</v>
      </c>
      <c r="NG20" s="11">
        <v>3739</v>
      </c>
      <c r="NH20" s="11">
        <v>3395</v>
      </c>
      <c r="NI20" s="11">
        <v>3724</v>
      </c>
      <c r="NJ20" s="27">
        <f t="shared" si="31"/>
        <v>42325</v>
      </c>
      <c r="NK20" s="11">
        <v>279</v>
      </c>
      <c r="NL20" s="11">
        <v>399</v>
      </c>
      <c r="NM20" s="11">
        <v>219</v>
      </c>
      <c r="NN20" s="11">
        <v>293</v>
      </c>
      <c r="NO20" s="11">
        <v>387</v>
      </c>
      <c r="NP20" s="11">
        <v>368</v>
      </c>
      <c r="NQ20" s="11">
        <v>386</v>
      </c>
      <c r="NR20" s="11">
        <v>305</v>
      </c>
      <c r="NS20" s="11">
        <v>415</v>
      </c>
      <c r="NT20" s="11">
        <v>437</v>
      </c>
      <c r="NU20" s="11">
        <v>313</v>
      </c>
      <c r="NV20" s="11">
        <v>373</v>
      </c>
      <c r="NW20" s="27">
        <f t="shared" si="32"/>
        <v>4174</v>
      </c>
      <c r="NX20" s="11">
        <v>139</v>
      </c>
      <c r="NY20" s="11">
        <v>146</v>
      </c>
      <c r="NZ20" s="11">
        <v>152</v>
      </c>
      <c r="OA20" s="11">
        <v>171</v>
      </c>
      <c r="OB20" s="11">
        <v>163</v>
      </c>
      <c r="OC20" s="11">
        <v>167</v>
      </c>
      <c r="OD20" s="11">
        <v>184</v>
      </c>
      <c r="OE20" s="11">
        <v>169</v>
      </c>
      <c r="OF20" s="11">
        <v>185</v>
      </c>
      <c r="OG20" s="11">
        <v>172</v>
      </c>
      <c r="OH20" s="11">
        <v>147</v>
      </c>
      <c r="OI20" s="11">
        <v>192</v>
      </c>
      <c r="OJ20" s="27">
        <f t="shared" si="33"/>
        <v>1987</v>
      </c>
      <c r="OK20" s="11">
        <v>1796</v>
      </c>
      <c r="OL20" s="11">
        <v>1815</v>
      </c>
      <c r="OM20" s="11">
        <v>1915</v>
      </c>
      <c r="ON20" s="11">
        <v>2105</v>
      </c>
      <c r="OO20" s="11">
        <v>2243</v>
      </c>
      <c r="OP20" s="11">
        <v>2184</v>
      </c>
      <c r="OQ20" s="11">
        <v>2353</v>
      </c>
      <c r="OR20" s="11">
        <v>2205</v>
      </c>
      <c r="OS20" s="11">
        <v>2289</v>
      </c>
      <c r="OT20" s="11">
        <v>2604</v>
      </c>
      <c r="OU20" s="11">
        <v>2372</v>
      </c>
      <c r="OV20" s="11">
        <v>2615</v>
      </c>
      <c r="OW20" s="27">
        <f t="shared" si="34"/>
        <v>26496</v>
      </c>
      <c r="OX20" s="11">
        <v>1604</v>
      </c>
      <c r="OY20" s="11">
        <v>1597</v>
      </c>
      <c r="OZ20" s="11">
        <v>1690</v>
      </c>
      <c r="PA20" s="11">
        <v>1815</v>
      </c>
      <c r="PB20" s="11">
        <v>1906</v>
      </c>
      <c r="PC20" s="11">
        <v>1905</v>
      </c>
      <c r="PD20" s="11">
        <v>2072</v>
      </c>
      <c r="PE20" s="11">
        <v>1935</v>
      </c>
      <c r="PF20" s="11">
        <v>2004</v>
      </c>
      <c r="PG20" s="11">
        <v>2305</v>
      </c>
      <c r="PH20" s="11">
        <v>2099</v>
      </c>
      <c r="PI20" s="11">
        <v>2285</v>
      </c>
      <c r="PJ20" s="27">
        <f t="shared" si="35"/>
        <v>23217</v>
      </c>
      <c r="PK20" s="11">
        <v>161</v>
      </c>
      <c r="PL20" s="11">
        <v>177</v>
      </c>
      <c r="PM20" s="11">
        <v>157</v>
      </c>
      <c r="PN20" s="11">
        <v>248</v>
      </c>
      <c r="PO20" s="11">
        <v>287</v>
      </c>
      <c r="PP20" s="11">
        <v>243</v>
      </c>
      <c r="PQ20" s="11">
        <v>230</v>
      </c>
      <c r="PR20" s="11">
        <v>216</v>
      </c>
      <c r="PS20" s="11">
        <v>248</v>
      </c>
      <c r="PT20" s="11">
        <v>251</v>
      </c>
      <c r="PU20" s="11">
        <v>222</v>
      </c>
      <c r="PV20" s="11">
        <v>265</v>
      </c>
      <c r="PW20" s="27">
        <f t="shared" si="36"/>
        <v>2705</v>
      </c>
      <c r="PX20" s="11">
        <v>31</v>
      </c>
      <c r="PY20" s="11">
        <v>41</v>
      </c>
      <c r="PZ20" s="11">
        <v>68</v>
      </c>
      <c r="QA20" s="11">
        <v>42</v>
      </c>
      <c r="QB20" s="11">
        <v>50</v>
      </c>
      <c r="QC20" s="11">
        <v>36</v>
      </c>
      <c r="QD20" s="11">
        <v>51</v>
      </c>
      <c r="QE20" s="11">
        <v>54</v>
      </c>
      <c r="QF20" s="11">
        <v>37</v>
      </c>
      <c r="QG20" s="11">
        <v>48</v>
      </c>
      <c r="QH20" s="11">
        <v>51</v>
      </c>
      <c r="QI20" s="11">
        <v>65</v>
      </c>
      <c r="QJ20" s="27">
        <f t="shared" si="37"/>
        <v>574</v>
      </c>
      <c r="QK20" s="11">
        <v>0</v>
      </c>
      <c r="QL20" s="11">
        <v>0</v>
      </c>
      <c r="QM20" s="11">
        <v>0</v>
      </c>
      <c r="QN20" s="11">
        <v>0</v>
      </c>
      <c r="QO20" s="11">
        <v>0</v>
      </c>
      <c r="QP20" s="11">
        <v>0</v>
      </c>
      <c r="QQ20" s="11">
        <v>0</v>
      </c>
      <c r="QR20" s="11">
        <v>0</v>
      </c>
      <c r="QS20" s="11">
        <v>0</v>
      </c>
      <c r="QT20" s="11">
        <v>0</v>
      </c>
      <c r="QU20" s="11">
        <v>0</v>
      </c>
      <c r="QV20" s="11">
        <v>0</v>
      </c>
      <c r="QW20" s="27">
        <f t="shared" si="38"/>
        <v>0</v>
      </c>
      <c r="QX20" s="11">
        <v>0</v>
      </c>
      <c r="QY20" s="11">
        <v>0</v>
      </c>
      <c r="QZ20" s="11">
        <v>93470</v>
      </c>
      <c r="RA20" s="11">
        <v>0</v>
      </c>
      <c r="RB20" s="11">
        <v>0</v>
      </c>
      <c r="RC20" s="11">
        <v>94070</v>
      </c>
      <c r="RD20" s="11">
        <v>0</v>
      </c>
      <c r="RE20" s="11">
        <v>0</v>
      </c>
      <c r="RF20" s="11">
        <v>107510</v>
      </c>
      <c r="RG20" s="11">
        <v>0</v>
      </c>
      <c r="RH20" s="11">
        <v>0</v>
      </c>
      <c r="RI20" s="11">
        <v>111749</v>
      </c>
      <c r="RJ20" s="27">
        <f t="shared" si="39"/>
        <v>406799</v>
      </c>
      <c r="RK20" s="11">
        <v>0</v>
      </c>
      <c r="RL20" s="11">
        <v>0</v>
      </c>
      <c r="RM20" s="11">
        <v>0</v>
      </c>
      <c r="RN20" s="11">
        <v>0</v>
      </c>
      <c r="RO20" s="11">
        <v>0</v>
      </c>
      <c r="RP20" s="11">
        <v>0</v>
      </c>
      <c r="RQ20" s="11">
        <v>0</v>
      </c>
      <c r="RR20" s="11">
        <v>0</v>
      </c>
      <c r="RS20" s="11">
        <v>0</v>
      </c>
      <c r="RT20" s="11">
        <v>0</v>
      </c>
      <c r="RU20" s="11">
        <v>0</v>
      </c>
      <c r="RV20" s="11">
        <v>0</v>
      </c>
      <c r="RW20" s="27">
        <f t="shared" si="40"/>
        <v>0</v>
      </c>
      <c r="RX20" s="11">
        <v>0</v>
      </c>
      <c r="RY20" s="11">
        <v>0</v>
      </c>
      <c r="RZ20" s="11">
        <v>0</v>
      </c>
      <c r="SA20" s="11">
        <v>0</v>
      </c>
      <c r="SB20" s="11">
        <v>0</v>
      </c>
      <c r="SC20" s="11">
        <v>0</v>
      </c>
      <c r="SD20" s="11">
        <v>0</v>
      </c>
      <c r="SE20" s="11">
        <v>0</v>
      </c>
      <c r="SF20" s="11">
        <v>0</v>
      </c>
      <c r="SG20" s="11">
        <v>0</v>
      </c>
      <c r="SH20" s="11">
        <v>0</v>
      </c>
      <c r="SI20" s="11">
        <v>0</v>
      </c>
      <c r="SJ20" s="27">
        <f t="shared" si="41"/>
        <v>0</v>
      </c>
      <c r="SK20" s="11">
        <v>2</v>
      </c>
      <c r="SL20" s="11">
        <v>2</v>
      </c>
      <c r="SM20" s="11">
        <v>2</v>
      </c>
      <c r="SN20" s="11">
        <v>2</v>
      </c>
      <c r="SO20" s="11">
        <v>2</v>
      </c>
      <c r="SP20" s="11">
        <v>2</v>
      </c>
      <c r="SQ20" s="11">
        <v>5</v>
      </c>
      <c r="SR20" s="11">
        <v>6</v>
      </c>
      <c r="SS20" s="11">
        <v>6</v>
      </c>
      <c r="ST20" s="11">
        <v>5</v>
      </c>
      <c r="SU20" s="11">
        <v>6</v>
      </c>
      <c r="SV20" s="11">
        <v>5</v>
      </c>
      <c r="SW20" s="27">
        <f t="shared" si="42"/>
        <v>45</v>
      </c>
      <c r="SX20" s="11" t="s">
        <v>2655</v>
      </c>
      <c r="SY20" s="11">
        <v>0</v>
      </c>
      <c r="SZ20" s="11">
        <v>0</v>
      </c>
      <c r="TA20" s="11">
        <v>5275</v>
      </c>
      <c r="TB20" s="11">
        <v>0</v>
      </c>
      <c r="TC20" s="11">
        <v>0</v>
      </c>
      <c r="TD20" s="11">
        <v>4651</v>
      </c>
      <c r="TE20" s="11">
        <v>0</v>
      </c>
      <c r="TF20" s="11">
        <v>0</v>
      </c>
      <c r="TG20" s="11">
        <v>4491</v>
      </c>
      <c r="TH20" s="11">
        <v>0</v>
      </c>
      <c r="TI20" s="11">
        <v>0</v>
      </c>
      <c r="TJ20" s="11">
        <v>4839</v>
      </c>
      <c r="TK20" s="27">
        <f t="shared" si="43"/>
        <v>19256</v>
      </c>
      <c r="TL20" s="11">
        <v>0</v>
      </c>
      <c r="TM20" s="11">
        <v>0</v>
      </c>
      <c r="TN20" s="11">
        <v>0</v>
      </c>
      <c r="TO20" s="11">
        <v>0</v>
      </c>
      <c r="TP20" s="11">
        <v>0</v>
      </c>
      <c r="TQ20" s="11">
        <v>0</v>
      </c>
      <c r="TR20" s="11">
        <v>0</v>
      </c>
      <c r="TS20" s="11">
        <v>0</v>
      </c>
      <c r="TT20" s="11">
        <v>0</v>
      </c>
      <c r="TU20" s="11">
        <v>0</v>
      </c>
      <c r="TV20" s="11">
        <v>0</v>
      </c>
      <c r="TW20" s="11">
        <v>0</v>
      </c>
      <c r="TX20" s="27">
        <f t="shared" si="44"/>
        <v>0</v>
      </c>
      <c r="TY20" s="11">
        <v>53</v>
      </c>
      <c r="TZ20" s="11">
        <v>0</v>
      </c>
      <c r="UA20" s="11">
        <v>0</v>
      </c>
    </row>
    <row r="21" spans="1:547" ht="16" customHeight="1" x14ac:dyDescent="0.35">
      <c r="A21" s="11" t="s">
        <v>1362</v>
      </c>
      <c r="B21" s="11">
        <v>48654</v>
      </c>
      <c r="C21" s="11">
        <v>13814</v>
      </c>
      <c r="D21" s="11">
        <v>27668</v>
      </c>
      <c r="E21" s="11">
        <v>4195</v>
      </c>
      <c r="F21" s="11">
        <v>0</v>
      </c>
      <c r="G21" s="11">
        <v>0</v>
      </c>
      <c r="H21" s="11">
        <v>0</v>
      </c>
      <c r="I21" s="11"/>
      <c r="J21" s="11"/>
      <c r="K21" s="11"/>
      <c r="L21" s="11"/>
      <c r="M21" s="11"/>
      <c r="N21" s="11"/>
      <c r="O21" s="11"/>
      <c r="P21" s="11" t="s">
        <v>2864</v>
      </c>
      <c r="Q21" s="11"/>
      <c r="R21" s="11"/>
      <c r="S21" s="26">
        <f t="shared" si="0"/>
        <v>0</v>
      </c>
      <c r="T21" s="11">
        <v>0</v>
      </c>
      <c r="U21" s="11">
        <v>0</v>
      </c>
      <c r="V21" s="11">
        <v>0</v>
      </c>
      <c r="W21" s="11"/>
      <c r="X21" s="11"/>
      <c r="Y21" s="11"/>
      <c r="Z21" s="11"/>
      <c r="AA21" s="11"/>
      <c r="AB21" s="11"/>
      <c r="AC21" s="11"/>
      <c r="AD21" s="11"/>
      <c r="AE21" s="11"/>
      <c r="AF21" s="26">
        <f t="shared" si="1"/>
        <v>0</v>
      </c>
      <c r="AG21" s="11">
        <v>0</v>
      </c>
      <c r="AH21" s="11">
        <v>0</v>
      </c>
      <c r="AI21" s="11">
        <v>0</v>
      </c>
      <c r="AJ21" s="11"/>
      <c r="AK21" s="11"/>
      <c r="AL21" s="11"/>
      <c r="AM21" s="11"/>
      <c r="AN21" s="11"/>
      <c r="AO21" s="11"/>
      <c r="AP21" s="11"/>
      <c r="AQ21" s="11"/>
      <c r="AR21" s="11"/>
      <c r="AS21" s="26">
        <f t="shared" si="2"/>
        <v>0</v>
      </c>
      <c r="AT21" s="11">
        <v>0</v>
      </c>
      <c r="AU21" s="11">
        <v>0</v>
      </c>
      <c r="AV21" s="11">
        <v>0</v>
      </c>
      <c r="AW21" s="11"/>
      <c r="AX21" s="11"/>
      <c r="AY21" s="11"/>
      <c r="AZ21" s="11"/>
      <c r="BA21" s="11"/>
      <c r="BB21" s="11"/>
      <c r="BC21" s="11"/>
      <c r="BD21" s="11"/>
      <c r="BE21" s="11"/>
      <c r="BF21" s="26">
        <f t="shared" si="3"/>
        <v>0</v>
      </c>
      <c r="BG21" s="11">
        <v>0</v>
      </c>
      <c r="BH21" s="11">
        <v>0</v>
      </c>
      <c r="BI21" s="11">
        <v>0</v>
      </c>
      <c r="BJ21" s="11"/>
      <c r="BK21" s="11"/>
      <c r="BL21" s="11"/>
      <c r="BM21" s="11"/>
      <c r="BN21" s="11"/>
      <c r="BO21" s="11"/>
      <c r="BP21" s="11"/>
      <c r="BQ21" s="11"/>
      <c r="BR21" s="11"/>
      <c r="BS21" s="26">
        <f t="shared" si="4"/>
        <v>0</v>
      </c>
      <c r="BT21" s="11">
        <v>0</v>
      </c>
      <c r="BU21" s="11">
        <v>0</v>
      </c>
      <c r="BV21" s="11">
        <v>0</v>
      </c>
      <c r="BW21" s="11"/>
      <c r="BX21" s="11"/>
      <c r="BY21" s="11"/>
      <c r="BZ21" s="11"/>
      <c r="CA21" s="11"/>
      <c r="CB21" s="11"/>
      <c r="CC21" s="11"/>
      <c r="CD21" s="11"/>
      <c r="CE21" s="11"/>
      <c r="CF21" s="26">
        <f t="shared" si="5"/>
        <v>0</v>
      </c>
      <c r="CG21" s="11">
        <v>0</v>
      </c>
      <c r="CH21" s="11">
        <v>0</v>
      </c>
      <c r="CI21" s="11">
        <v>0</v>
      </c>
      <c r="CJ21" s="11"/>
      <c r="CK21" s="11"/>
      <c r="CL21" s="11"/>
      <c r="CM21" s="11"/>
      <c r="CN21" s="11"/>
      <c r="CO21" s="11"/>
      <c r="CP21" s="11"/>
      <c r="CQ21" s="11"/>
      <c r="CR21" s="11"/>
      <c r="CS21" s="26">
        <f t="shared" si="6"/>
        <v>0</v>
      </c>
      <c r="CT21" s="11">
        <v>0</v>
      </c>
      <c r="CU21" s="11">
        <v>0</v>
      </c>
      <c r="CV21" s="11">
        <v>0</v>
      </c>
      <c r="CW21" s="11"/>
      <c r="CX21" s="11"/>
      <c r="CY21" s="11"/>
      <c r="CZ21" s="11"/>
      <c r="DA21" s="11"/>
      <c r="DB21" s="11"/>
      <c r="DC21" s="11"/>
      <c r="DD21" s="11"/>
      <c r="DE21" s="11"/>
      <c r="DF21" s="26">
        <f t="shared" si="7"/>
        <v>0</v>
      </c>
      <c r="DG21" s="11">
        <v>0</v>
      </c>
      <c r="DH21" s="11">
        <v>0</v>
      </c>
      <c r="DI21" s="11">
        <v>0</v>
      </c>
      <c r="DJ21" s="11"/>
      <c r="DK21" s="11"/>
      <c r="DL21" s="11"/>
      <c r="DM21" s="11"/>
      <c r="DN21" s="11"/>
      <c r="DO21" s="11"/>
      <c r="DP21" s="11"/>
      <c r="DQ21" s="11"/>
      <c r="DR21" s="11"/>
      <c r="DS21" s="26">
        <f t="shared" si="8"/>
        <v>0</v>
      </c>
      <c r="DT21" s="11">
        <v>0</v>
      </c>
      <c r="DU21" s="11">
        <v>0</v>
      </c>
      <c r="DV21" s="11">
        <v>0</v>
      </c>
      <c r="DW21" s="11"/>
      <c r="DX21" s="11"/>
      <c r="DY21" s="11"/>
      <c r="DZ21" s="11"/>
      <c r="EA21" s="11"/>
      <c r="EB21" s="11"/>
      <c r="EC21" s="11"/>
      <c r="ED21" s="11"/>
      <c r="EE21" s="11"/>
      <c r="EF21" s="26">
        <f t="shared" si="9"/>
        <v>0</v>
      </c>
      <c r="EG21" s="9">
        <f t="shared" si="10"/>
        <v>0</v>
      </c>
      <c r="EH21" s="9">
        <f t="shared" si="11"/>
        <v>0</v>
      </c>
      <c r="EI21" s="11">
        <v>0</v>
      </c>
      <c r="EJ21" s="11">
        <v>0</v>
      </c>
      <c r="EK21" s="11">
        <v>0</v>
      </c>
      <c r="EL21" s="11">
        <v>0</v>
      </c>
      <c r="EM21" s="11">
        <v>0</v>
      </c>
      <c r="EN21" s="11">
        <v>0</v>
      </c>
      <c r="EO21" s="11">
        <v>0</v>
      </c>
      <c r="EP21" s="11">
        <v>0</v>
      </c>
      <c r="EQ21" s="11">
        <v>0</v>
      </c>
      <c r="ER21" s="11">
        <v>0</v>
      </c>
      <c r="ES21" s="11">
        <v>0</v>
      </c>
      <c r="ET21" s="11">
        <v>0</v>
      </c>
      <c r="EU21" s="26">
        <f t="shared" si="12"/>
        <v>0</v>
      </c>
      <c r="EV21" s="11">
        <v>0</v>
      </c>
      <c r="EW21" s="11">
        <v>0</v>
      </c>
      <c r="EX21" s="11">
        <v>0</v>
      </c>
      <c r="EY21" s="11">
        <v>0</v>
      </c>
      <c r="EZ21" s="11">
        <v>0</v>
      </c>
      <c r="FA21" s="11">
        <v>0</v>
      </c>
      <c r="FB21" s="11">
        <v>0</v>
      </c>
      <c r="FC21" s="11">
        <v>0</v>
      </c>
      <c r="FD21" s="11">
        <v>0</v>
      </c>
      <c r="FE21" s="11">
        <v>0</v>
      </c>
      <c r="FF21" s="11">
        <v>0</v>
      </c>
      <c r="FG21" s="11">
        <v>0</v>
      </c>
      <c r="FH21" s="26">
        <f t="shared" si="13"/>
        <v>0</v>
      </c>
      <c r="FI21" s="11">
        <v>0</v>
      </c>
      <c r="FJ21" s="11">
        <v>0</v>
      </c>
      <c r="FK21" s="11">
        <v>0</v>
      </c>
      <c r="FL21" s="11">
        <v>0</v>
      </c>
      <c r="FM21" s="11">
        <v>0</v>
      </c>
      <c r="FN21" s="11">
        <v>0</v>
      </c>
      <c r="FO21" s="11">
        <v>0</v>
      </c>
      <c r="FP21" s="11">
        <v>0</v>
      </c>
      <c r="FQ21" s="11">
        <v>0</v>
      </c>
      <c r="FR21" s="11">
        <v>0</v>
      </c>
      <c r="FS21" s="11">
        <v>0</v>
      </c>
      <c r="FT21" s="11">
        <v>0</v>
      </c>
      <c r="FU21" s="26">
        <f t="shared" si="14"/>
        <v>0</v>
      </c>
      <c r="FV21" s="11">
        <v>0</v>
      </c>
      <c r="FW21" s="11">
        <v>0</v>
      </c>
      <c r="FX21" s="11">
        <v>0</v>
      </c>
      <c r="FY21" s="11">
        <v>0</v>
      </c>
      <c r="FZ21" s="11">
        <v>0</v>
      </c>
      <c r="GA21" s="11">
        <v>0</v>
      </c>
      <c r="GB21" s="11">
        <v>0</v>
      </c>
      <c r="GC21" s="11">
        <v>0</v>
      </c>
      <c r="GD21" s="11">
        <v>0</v>
      </c>
      <c r="GE21" s="11">
        <v>0</v>
      </c>
      <c r="GF21" s="11">
        <v>0</v>
      </c>
      <c r="GG21" s="11">
        <v>0</v>
      </c>
      <c r="GH21" s="26">
        <f t="shared" si="15"/>
        <v>0</v>
      </c>
      <c r="GI21" s="11">
        <v>0</v>
      </c>
      <c r="GJ21" s="11">
        <v>0</v>
      </c>
      <c r="GK21" s="11">
        <v>0</v>
      </c>
      <c r="GL21" s="11">
        <v>0</v>
      </c>
      <c r="GM21" s="11">
        <v>0</v>
      </c>
      <c r="GN21" s="11">
        <v>0</v>
      </c>
      <c r="GO21" s="11">
        <v>0</v>
      </c>
      <c r="GP21" s="11">
        <v>0</v>
      </c>
      <c r="GQ21" s="11">
        <v>0</v>
      </c>
      <c r="GR21" s="11">
        <v>0</v>
      </c>
      <c r="GS21" s="11">
        <v>0</v>
      </c>
      <c r="GT21" s="11">
        <v>0</v>
      </c>
      <c r="GU21" s="26">
        <f t="shared" si="16"/>
        <v>0</v>
      </c>
      <c r="GV21" s="11">
        <v>0</v>
      </c>
      <c r="GW21" s="11">
        <v>0</v>
      </c>
      <c r="GX21" s="11">
        <v>0</v>
      </c>
      <c r="GY21" s="11">
        <v>0</v>
      </c>
      <c r="GZ21" s="11">
        <v>0</v>
      </c>
      <c r="HA21" s="11">
        <v>0</v>
      </c>
      <c r="HB21" s="11">
        <v>0</v>
      </c>
      <c r="HC21" s="11">
        <v>0</v>
      </c>
      <c r="HD21" s="11">
        <v>0</v>
      </c>
      <c r="HE21" s="11">
        <v>0</v>
      </c>
      <c r="HF21" s="11">
        <v>0</v>
      </c>
      <c r="HG21" s="11">
        <v>0</v>
      </c>
      <c r="HH21" s="26">
        <f t="shared" si="17"/>
        <v>0</v>
      </c>
      <c r="HI21" s="11">
        <v>0</v>
      </c>
      <c r="HJ21" s="11">
        <v>0</v>
      </c>
      <c r="HK21" s="11">
        <v>0</v>
      </c>
      <c r="HL21" s="11">
        <v>0</v>
      </c>
      <c r="HM21" s="11">
        <v>0</v>
      </c>
      <c r="HN21" s="11">
        <v>0</v>
      </c>
      <c r="HO21" s="11">
        <v>0</v>
      </c>
      <c r="HP21" s="11">
        <v>0</v>
      </c>
      <c r="HQ21" s="11">
        <v>0</v>
      </c>
      <c r="HR21" s="11">
        <v>0</v>
      </c>
      <c r="HS21" s="11">
        <v>0</v>
      </c>
      <c r="HT21" s="11">
        <v>0</v>
      </c>
      <c r="HU21" s="26">
        <f t="shared" si="18"/>
        <v>0</v>
      </c>
      <c r="HV21" s="11">
        <v>0</v>
      </c>
      <c r="HW21" s="11">
        <v>0</v>
      </c>
      <c r="HX21" s="11">
        <v>0</v>
      </c>
      <c r="HY21" s="11">
        <v>0</v>
      </c>
      <c r="HZ21" s="11">
        <v>0</v>
      </c>
      <c r="IA21" s="11">
        <v>0</v>
      </c>
      <c r="IB21" s="11">
        <v>0</v>
      </c>
      <c r="IC21" s="11">
        <v>0</v>
      </c>
      <c r="ID21" s="11">
        <v>0</v>
      </c>
      <c r="IE21" s="11">
        <v>0</v>
      </c>
      <c r="IF21" s="11">
        <v>0</v>
      </c>
      <c r="IG21" s="11">
        <v>0</v>
      </c>
      <c r="IH21" s="26">
        <f t="shared" si="19"/>
        <v>0</v>
      </c>
      <c r="II21" s="9">
        <f t="shared" si="20"/>
        <v>0</v>
      </c>
      <c r="IJ21" s="9">
        <f t="shared" si="21"/>
        <v>0</v>
      </c>
      <c r="IK21" s="11">
        <v>129399</v>
      </c>
      <c r="IL21" s="11">
        <v>122487</v>
      </c>
      <c r="IM21" s="11">
        <v>106011</v>
      </c>
      <c r="IN21" s="11">
        <v>144218</v>
      </c>
      <c r="IO21" s="11">
        <v>154126</v>
      </c>
      <c r="IP21" s="11">
        <v>125248</v>
      </c>
      <c r="IQ21" s="11">
        <v>126572</v>
      </c>
      <c r="IR21" s="11">
        <v>116902</v>
      </c>
      <c r="IS21" s="11">
        <v>91464</v>
      </c>
      <c r="IT21" s="11">
        <v>123181</v>
      </c>
      <c r="IU21" s="11">
        <v>111747</v>
      </c>
      <c r="IV21" s="11">
        <v>114873</v>
      </c>
      <c r="IW21" s="27">
        <f t="shared" si="22"/>
        <v>1466228</v>
      </c>
      <c r="IX21" s="11">
        <v>74215</v>
      </c>
      <c r="IY21" s="11">
        <v>72883</v>
      </c>
      <c r="IZ21" s="11">
        <v>63751</v>
      </c>
      <c r="JA21" s="11">
        <v>75704</v>
      </c>
      <c r="JB21" s="11">
        <v>76762</v>
      </c>
      <c r="JC21" s="11">
        <v>71385</v>
      </c>
      <c r="JD21" s="11">
        <v>73537</v>
      </c>
      <c r="JE21" s="11">
        <v>69096</v>
      </c>
      <c r="JF21" s="11">
        <v>57831</v>
      </c>
      <c r="JG21" s="11">
        <v>74205</v>
      </c>
      <c r="JH21" s="11">
        <v>65490</v>
      </c>
      <c r="JI21" s="11">
        <v>68598</v>
      </c>
      <c r="JJ21" s="27">
        <f t="shared" si="23"/>
        <v>843457</v>
      </c>
      <c r="JK21" s="11">
        <v>74215</v>
      </c>
      <c r="JL21" s="11">
        <v>72883</v>
      </c>
      <c r="JM21" s="11">
        <v>63751</v>
      </c>
      <c r="JN21" s="11">
        <v>75704</v>
      </c>
      <c r="JO21" s="11">
        <v>76762</v>
      </c>
      <c r="JP21" s="11">
        <v>71385</v>
      </c>
      <c r="JQ21" s="11">
        <v>73537</v>
      </c>
      <c r="JR21" s="11">
        <v>69096</v>
      </c>
      <c r="JS21" s="11">
        <v>57831</v>
      </c>
      <c r="JT21" s="11">
        <v>74205</v>
      </c>
      <c r="JU21" s="11">
        <v>65490</v>
      </c>
      <c r="JV21" s="11">
        <v>68598</v>
      </c>
      <c r="JW21" s="27">
        <f t="shared" si="24"/>
        <v>843457</v>
      </c>
      <c r="JX21" s="11">
        <v>48518</v>
      </c>
      <c r="JY21" s="11">
        <v>43073</v>
      </c>
      <c r="JZ21" s="11">
        <v>36480</v>
      </c>
      <c r="KA21" s="11">
        <v>61753</v>
      </c>
      <c r="KB21" s="11">
        <v>70761</v>
      </c>
      <c r="KC21" s="11">
        <v>47798</v>
      </c>
      <c r="KD21" s="11">
        <v>46580</v>
      </c>
      <c r="KE21" s="11">
        <v>41713</v>
      </c>
      <c r="KF21" s="11">
        <v>28569</v>
      </c>
      <c r="KG21" s="11">
        <v>42551</v>
      </c>
      <c r="KH21" s="11">
        <v>40704</v>
      </c>
      <c r="KI21" s="11">
        <v>40505</v>
      </c>
      <c r="KJ21" s="27">
        <f t="shared" si="25"/>
        <v>549005</v>
      </c>
      <c r="KK21" s="11">
        <v>1302</v>
      </c>
      <c r="KL21" s="11">
        <v>1197</v>
      </c>
      <c r="KM21" s="11">
        <v>1124</v>
      </c>
      <c r="KN21" s="11">
        <v>1160</v>
      </c>
      <c r="KO21" s="11">
        <v>1108</v>
      </c>
      <c r="KP21" s="11">
        <v>1135</v>
      </c>
      <c r="KQ21" s="11">
        <v>1257</v>
      </c>
      <c r="KR21" s="11">
        <v>1166</v>
      </c>
      <c r="KS21" s="11">
        <v>1033</v>
      </c>
      <c r="KT21" s="11">
        <v>1283</v>
      </c>
      <c r="KU21" s="11">
        <v>924</v>
      </c>
      <c r="KV21" s="11">
        <v>1130</v>
      </c>
      <c r="KW21" s="27">
        <f t="shared" si="26"/>
        <v>13819</v>
      </c>
      <c r="KX21" s="11">
        <v>1235</v>
      </c>
      <c r="KY21" s="11">
        <v>1147</v>
      </c>
      <c r="KZ21" s="11">
        <v>1055</v>
      </c>
      <c r="LA21" s="11">
        <v>1080</v>
      </c>
      <c r="LB21" s="11">
        <v>1019</v>
      </c>
      <c r="LC21" s="11">
        <v>1078</v>
      </c>
      <c r="LD21" s="11">
        <v>1187</v>
      </c>
      <c r="LE21" s="11">
        <v>1092</v>
      </c>
      <c r="LF21" s="11">
        <v>988</v>
      </c>
      <c r="LG21" s="11">
        <v>1214</v>
      </c>
      <c r="LH21" s="11">
        <v>857</v>
      </c>
      <c r="LI21" s="11">
        <v>1069</v>
      </c>
      <c r="LJ21" s="27">
        <f t="shared" si="27"/>
        <v>13021</v>
      </c>
      <c r="LK21" s="11">
        <v>67</v>
      </c>
      <c r="LL21" s="11">
        <v>50</v>
      </c>
      <c r="LM21" s="11">
        <v>69</v>
      </c>
      <c r="LN21" s="11">
        <v>80</v>
      </c>
      <c r="LO21" s="11">
        <v>89</v>
      </c>
      <c r="LP21" s="11">
        <v>57</v>
      </c>
      <c r="LQ21" s="11">
        <v>70</v>
      </c>
      <c r="LR21" s="11">
        <v>74</v>
      </c>
      <c r="LS21" s="11">
        <v>45</v>
      </c>
      <c r="LT21" s="11">
        <v>69</v>
      </c>
      <c r="LU21" s="11">
        <v>67</v>
      </c>
      <c r="LV21" s="11">
        <v>61</v>
      </c>
      <c r="LW21" s="27">
        <f t="shared" si="28"/>
        <v>798</v>
      </c>
      <c r="LX21" s="11">
        <v>0</v>
      </c>
      <c r="LY21" s="11">
        <v>0</v>
      </c>
      <c r="LZ21" s="11">
        <v>0</v>
      </c>
      <c r="MA21" s="11">
        <v>0</v>
      </c>
      <c r="MB21" s="11">
        <v>0</v>
      </c>
      <c r="MC21" s="11">
        <v>0</v>
      </c>
      <c r="MD21" s="11">
        <v>0</v>
      </c>
      <c r="ME21" s="11">
        <v>0</v>
      </c>
      <c r="MF21" s="11">
        <v>0</v>
      </c>
      <c r="MG21" s="11">
        <v>0</v>
      </c>
      <c r="MH21" s="11">
        <v>0</v>
      </c>
      <c r="MI21" s="11">
        <v>0</v>
      </c>
      <c r="MJ21" s="27">
        <f t="shared" si="29"/>
        <v>0</v>
      </c>
      <c r="MK21" s="11">
        <v>12015</v>
      </c>
      <c r="ML21" s="11">
        <v>12338</v>
      </c>
      <c r="MM21" s="11">
        <v>11463</v>
      </c>
      <c r="MN21" s="11">
        <v>12110</v>
      </c>
      <c r="MO21" s="11">
        <v>12990</v>
      </c>
      <c r="MP21" s="11">
        <v>12444</v>
      </c>
      <c r="MQ21" s="11">
        <v>12993</v>
      </c>
      <c r="MR21" s="11">
        <v>11961</v>
      </c>
      <c r="MS21" s="11">
        <v>11730</v>
      </c>
      <c r="MT21" s="11">
        <v>12692</v>
      </c>
      <c r="MU21" s="11">
        <v>11483</v>
      </c>
      <c r="MV21" s="11">
        <v>12617</v>
      </c>
      <c r="MW21" s="27">
        <f t="shared" si="30"/>
        <v>146836</v>
      </c>
      <c r="MX21" s="11">
        <v>0</v>
      </c>
      <c r="MY21" s="11">
        <v>0</v>
      </c>
      <c r="MZ21" s="11">
        <v>0</v>
      </c>
      <c r="NA21" s="11">
        <v>0</v>
      </c>
      <c r="NB21" s="11">
        <v>0</v>
      </c>
      <c r="NC21" s="11">
        <v>0</v>
      </c>
      <c r="ND21" s="11">
        <v>0</v>
      </c>
      <c r="NE21" s="11">
        <v>0</v>
      </c>
      <c r="NF21" s="11">
        <v>0</v>
      </c>
      <c r="NG21" s="11">
        <v>0</v>
      </c>
      <c r="NH21" s="11">
        <v>0</v>
      </c>
      <c r="NI21" s="11">
        <v>0</v>
      </c>
      <c r="NJ21" s="27">
        <f t="shared" si="31"/>
        <v>0</v>
      </c>
      <c r="NK21" s="11">
        <v>0</v>
      </c>
      <c r="NL21" s="11">
        <v>0</v>
      </c>
      <c r="NM21" s="11">
        <v>0</v>
      </c>
      <c r="NN21" s="11">
        <v>0</v>
      </c>
      <c r="NO21" s="11">
        <v>0</v>
      </c>
      <c r="NP21" s="11">
        <v>0</v>
      </c>
      <c r="NQ21" s="11">
        <v>0</v>
      </c>
      <c r="NR21" s="11">
        <v>0</v>
      </c>
      <c r="NS21" s="11">
        <v>0</v>
      </c>
      <c r="NT21" s="11">
        <v>0</v>
      </c>
      <c r="NU21" s="11">
        <v>0</v>
      </c>
      <c r="NV21" s="11">
        <v>0</v>
      </c>
      <c r="NW21" s="27">
        <f t="shared" si="32"/>
        <v>0</v>
      </c>
      <c r="NX21" s="11">
        <v>0</v>
      </c>
      <c r="NY21" s="11">
        <v>0</v>
      </c>
      <c r="NZ21" s="11">
        <v>0</v>
      </c>
      <c r="OA21" s="11">
        <v>0</v>
      </c>
      <c r="OB21" s="11">
        <v>0</v>
      </c>
      <c r="OC21" s="11">
        <v>0</v>
      </c>
      <c r="OD21" s="11">
        <v>0</v>
      </c>
      <c r="OE21" s="11">
        <v>0</v>
      </c>
      <c r="OF21" s="11">
        <v>0</v>
      </c>
      <c r="OG21" s="11">
        <v>0</v>
      </c>
      <c r="OH21" s="11">
        <v>0</v>
      </c>
      <c r="OI21" s="11">
        <v>0</v>
      </c>
      <c r="OJ21" s="27">
        <f t="shared" si="33"/>
        <v>0</v>
      </c>
      <c r="OK21" s="11">
        <v>27098</v>
      </c>
      <c r="OL21" s="11">
        <v>28462</v>
      </c>
      <c r="OM21" s="11">
        <v>26774</v>
      </c>
      <c r="ON21" s="11">
        <v>28193</v>
      </c>
      <c r="OO21" s="11">
        <v>29432</v>
      </c>
      <c r="OP21" s="11">
        <v>28847</v>
      </c>
      <c r="OQ21" s="11">
        <v>30148</v>
      </c>
      <c r="OR21" s="11">
        <v>28563</v>
      </c>
      <c r="OS21" s="11">
        <v>28301</v>
      </c>
      <c r="OT21" s="11">
        <v>30815</v>
      </c>
      <c r="OU21" s="11">
        <v>28333</v>
      </c>
      <c r="OV21" s="11">
        <v>31361</v>
      </c>
      <c r="OW21" s="27">
        <f t="shared" si="34"/>
        <v>346327</v>
      </c>
      <c r="OX21" s="11">
        <v>0</v>
      </c>
      <c r="OY21" s="11">
        <v>0</v>
      </c>
      <c r="OZ21" s="11">
        <v>0</v>
      </c>
      <c r="PA21" s="11">
        <v>0</v>
      </c>
      <c r="PB21" s="11">
        <v>0</v>
      </c>
      <c r="PC21" s="11">
        <v>0</v>
      </c>
      <c r="PD21" s="11">
        <v>0</v>
      </c>
      <c r="PE21" s="11">
        <v>0</v>
      </c>
      <c r="PF21" s="11">
        <v>0</v>
      </c>
      <c r="PG21" s="11">
        <v>0</v>
      </c>
      <c r="PH21" s="11">
        <v>0</v>
      </c>
      <c r="PI21" s="11">
        <v>0</v>
      </c>
      <c r="PJ21" s="27">
        <f t="shared" si="35"/>
        <v>0</v>
      </c>
      <c r="PK21" s="11">
        <v>0</v>
      </c>
      <c r="PL21" s="11">
        <v>0</v>
      </c>
      <c r="PM21" s="11">
        <v>0</v>
      </c>
      <c r="PN21" s="11">
        <v>0</v>
      </c>
      <c r="PO21" s="11">
        <v>0</v>
      </c>
      <c r="PP21" s="11">
        <v>0</v>
      </c>
      <c r="PQ21" s="11">
        <v>0</v>
      </c>
      <c r="PR21" s="11">
        <v>0</v>
      </c>
      <c r="PS21" s="11">
        <v>0</v>
      </c>
      <c r="PT21" s="11">
        <v>0</v>
      </c>
      <c r="PU21" s="11">
        <v>0</v>
      </c>
      <c r="PV21" s="11">
        <v>0</v>
      </c>
      <c r="PW21" s="27">
        <f t="shared" si="36"/>
        <v>0</v>
      </c>
      <c r="PX21" s="11">
        <v>0</v>
      </c>
      <c r="PY21" s="11">
        <v>0</v>
      </c>
      <c r="PZ21" s="11">
        <v>0</v>
      </c>
      <c r="QA21" s="11">
        <v>0</v>
      </c>
      <c r="QB21" s="11">
        <v>0</v>
      </c>
      <c r="QC21" s="11">
        <v>0</v>
      </c>
      <c r="QD21" s="11">
        <v>0</v>
      </c>
      <c r="QE21" s="11">
        <v>0</v>
      </c>
      <c r="QF21" s="11">
        <v>0</v>
      </c>
      <c r="QG21" s="11">
        <v>0</v>
      </c>
      <c r="QH21" s="11">
        <v>0</v>
      </c>
      <c r="QI21" s="11">
        <v>0</v>
      </c>
      <c r="QJ21" s="27">
        <f t="shared" si="37"/>
        <v>0</v>
      </c>
      <c r="QK21" s="11">
        <v>0</v>
      </c>
      <c r="QL21" s="11">
        <v>0</v>
      </c>
      <c r="QM21" s="11">
        <v>0</v>
      </c>
      <c r="QN21" s="11">
        <v>0</v>
      </c>
      <c r="QO21" s="11">
        <v>0</v>
      </c>
      <c r="QP21" s="11">
        <v>0</v>
      </c>
      <c r="QQ21" s="11">
        <v>0</v>
      </c>
      <c r="QR21" s="11">
        <v>0</v>
      </c>
      <c r="QS21" s="11">
        <v>0</v>
      </c>
      <c r="QT21" s="11">
        <v>0</v>
      </c>
      <c r="QU21" s="11">
        <v>0</v>
      </c>
      <c r="QV21" s="11">
        <v>0</v>
      </c>
      <c r="QW21" s="27">
        <f t="shared" si="38"/>
        <v>0</v>
      </c>
      <c r="QX21" s="11">
        <v>0</v>
      </c>
      <c r="QY21" s="11">
        <v>0</v>
      </c>
      <c r="QZ21" s="11">
        <v>0</v>
      </c>
      <c r="RA21" s="11">
        <v>0</v>
      </c>
      <c r="RB21" s="11">
        <v>0</v>
      </c>
      <c r="RC21" s="11">
        <v>0</v>
      </c>
      <c r="RD21" s="11">
        <v>0</v>
      </c>
      <c r="RE21" s="11">
        <v>0</v>
      </c>
      <c r="RF21" s="11">
        <v>0</v>
      </c>
      <c r="RG21" s="11">
        <v>0</v>
      </c>
      <c r="RH21" s="11">
        <v>0</v>
      </c>
      <c r="RI21" s="11">
        <v>0</v>
      </c>
      <c r="RJ21" s="27">
        <f t="shared" si="39"/>
        <v>0</v>
      </c>
      <c r="RK21" s="11">
        <v>0</v>
      </c>
      <c r="RL21" s="11">
        <v>0</v>
      </c>
      <c r="RM21" s="11">
        <v>0</v>
      </c>
      <c r="RN21" s="11">
        <v>0</v>
      </c>
      <c r="RO21" s="11">
        <v>0</v>
      </c>
      <c r="RP21" s="11">
        <v>0</v>
      </c>
      <c r="RQ21" s="11">
        <v>0</v>
      </c>
      <c r="RR21" s="11">
        <v>0</v>
      </c>
      <c r="RS21" s="11">
        <v>0</v>
      </c>
      <c r="RT21" s="11">
        <v>0</v>
      </c>
      <c r="RU21" s="11">
        <v>0</v>
      </c>
      <c r="RV21" s="11">
        <v>0</v>
      </c>
      <c r="RW21" s="27">
        <f t="shared" si="40"/>
        <v>0</v>
      </c>
      <c r="RX21" s="11">
        <v>3645</v>
      </c>
      <c r="RY21" s="11">
        <v>4060</v>
      </c>
      <c r="RZ21" s="11">
        <v>3436</v>
      </c>
      <c r="SA21" s="11">
        <v>3959</v>
      </c>
      <c r="SB21" s="11">
        <v>4042</v>
      </c>
      <c r="SC21" s="11">
        <v>3450</v>
      </c>
      <c r="SD21" s="11">
        <v>4028</v>
      </c>
      <c r="SE21" s="11">
        <v>3988</v>
      </c>
      <c r="SF21" s="11">
        <v>2926</v>
      </c>
      <c r="SG21" s="11">
        <v>3615</v>
      </c>
      <c r="SH21" s="11">
        <v>3411</v>
      </c>
      <c r="SI21" s="11">
        <v>3620</v>
      </c>
      <c r="SJ21" s="27">
        <f t="shared" si="41"/>
        <v>44180</v>
      </c>
      <c r="SK21" s="11">
        <v>3347</v>
      </c>
      <c r="SL21" s="11">
        <v>3383</v>
      </c>
      <c r="SM21" s="11">
        <v>3148</v>
      </c>
      <c r="SN21" s="11">
        <v>3673</v>
      </c>
      <c r="SO21" s="11">
        <v>3720</v>
      </c>
      <c r="SP21" s="11">
        <v>3557</v>
      </c>
      <c r="SQ21" s="11">
        <v>3462</v>
      </c>
      <c r="SR21" s="11">
        <v>3097</v>
      </c>
      <c r="SS21" s="11">
        <v>2446</v>
      </c>
      <c r="ST21" s="11">
        <v>3203</v>
      </c>
      <c r="SU21" s="11">
        <v>2616</v>
      </c>
      <c r="SV21" s="11">
        <v>2964</v>
      </c>
      <c r="SW21" s="27">
        <f t="shared" si="42"/>
        <v>38616</v>
      </c>
      <c r="SX21" s="11" t="s">
        <v>2656</v>
      </c>
      <c r="SY21" s="11">
        <v>5039</v>
      </c>
      <c r="SZ21" s="11">
        <v>5037</v>
      </c>
      <c r="TA21" s="11">
        <v>4909</v>
      </c>
      <c r="TB21" s="11">
        <v>5625</v>
      </c>
      <c r="TC21" s="11">
        <v>5627</v>
      </c>
      <c r="TD21" s="11">
        <v>5694</v>
      </c>
      <c r="TE21" s="11">
        <v>6038</v>
      </c>
      <c r="TF21" s="11">
        <v>5091</v>
      </c>
      <c r="TG21" s="11">
        <v>3927</v>
      </c>
      <c r="TH21" s="11">
        <v>5139</v>
      </c>
      <c r="TI21" s="11">
        <v>4795</v>
      </c>
      <c r="TJ21" s="11">
        <v>5019</v>
      </c>
      <c r="TK21" s="27">
        <f t="shared" si="43"/>
        <v>61940</v>
      </c>
      <c r="TL21" s="11">
        <v>0</v>
      </c>
      <c r="TM21" s="11">
        <v>0</v>
      </c>
      <c r="TN21" s="11">
        <v>0</v>
      </c>
      <c r="TO21" s="11">
        <v>0</v>
      </c>
      <c r="TP21" s="11">
        <v>0</v>
      </c>
      <c r="TQ21" s="11">
        <v>0</v>
      </c>
      <c r="TR21" s="11">
        <v>0</v>
      </c>
      <c r="TS21" s="11">
        <v>0</v>
      </c>
      <c r="TT21" s="11">
        <v>0</v>
      </c>
      <c r="TU21" s="11">
        <v>0</v>
      </c>
      <c r="TV21" s="11">
        <v>0</v>
      </c>
      <c r="TW21" s="11">
        <v>0</v>
      </c>
      <c r="TX21" s="27">
        <f t="shared" si="44"/>
        <v>0</v>
      </c>
      <c r="TY21" s="11">
        <v>124</v>
      </c>
      <c r="TZ21" s="11">
        <v>0</v>
      </c>
      <c r="UA21" s="11">
        <v>0</v>
      </c>
    </row>
    <row r="22" spans="1:547" ht="16" customHeight="1" x14ac:dyDescent="0.35">
      <c r="A22" s="11" t="s">
        <v>1425</v>
      </c>
      <c r="B22" s="11">
        <v>20649</v>
      </c>
      <c r="C22" s="11"/>
      <c r="D22" s="11"/>
      <c r="E22" s="11"/>
      <c r="F22" s="11">
        <v>880</v>
      </c>
      <c r="G22" s="11">
        <v>881</v>
      </c>
      <c r="H22" s="11">
        <v>903</v>
      </c>
      <c r="I22" s="11">
        <v>906</v>
      </c>
      <c r="J22" s="11">
        <v>879</v>
      </c>
      <c r="K22" s="11">
        <v>782</v>
      </c>
      <c r="L22" s="11">
        <v>992</v>
      </c>
      <c r="M22" s="11">
        <v>956</v>
      </c>
      <c r="N22" s="11">
        <v>707</v>
      </c>
      <c r="O22" s="11">
        <v>881</v>
      </c>
      <c r="P22" s="11" t="s">
        <v>2863</v>
      </c>
      <c r="Q22" s="11">
        <v>895</v>
      </c>
      <c r="R22" s="11">
        <v>992</v>
      </c>
      <c r="S22" s="26">
        <f t="shared" si="0"/>
        <v>10654</v>
      </c>
      <c r="T22" s="11">
        <v>0</v>
      </c>
      <c r="U22" s="11">
        <v>0</v>
      </c>
      <c r="V22" s="11">
        <v>0</v>
      </c>
      <c r="W22" s="11">
        <v>0</v>
      </c>
      <c r="X22" s="11">
        <v>0</v>
      </c>
      <c r="Y22" s="11">
        <v>0</v>
      </c>
      <c r="Z22" s="11">
        <v>543</v>
      </c>
      <c r="AA22" s="11">
        <v>518</v>
      </c>
      <c r="AB22" s="11">
        <v>380</v>
      </c>
      <c r="AC22" s="11">
        <v>486</v>
      </c>
      <c r="AD22" s="11">
        <v>491</v>
      </c>
      <c r="AE22" s="11">
        <v>536</v>
      </c>
      <c r="AF22" s="26">
        <f t="shared" si="1"/>
        <v>2954</v>
      </c>
      <c r="AG22" s="11">
        <v>0</v>
      </c>
      <c r="AH22" s="11">
        <v>0</v>
      </c>
      <c r="AI22" s="11">
        <v>0</v>
      </c>
      <c r="AJ22" s="11">
        <v>0</v>
      </c>
      <c r="AK22" s="11">
        <v>0</v>
      </c>
      <c r="AL22" s="11">
        <v>0</v>
      </c>
      <c r="AM22" s="11">
        <v>449</v>
      </c>
      <c r="AN22" s="11">
        <v>438</v>
      </c>
      <c r="AO22" s="11">
        <v>327</v>
      </c>
      <c r="AP22" s="11">
        <v>395</v>
      </c>
      <c r="AQ22" s="11">
        <v>404</v>
      </c>
      <c r="AR22" s="11">
        <v>456</v>
      </c>
      <c r="AS22" s="26">
        <f t="shared" si="2"/>
        <v>2469</v>
      </c>
      <c r="AT22" s="11">
        <v>0</v>
      </c>
      <c r="AU22" s="11">
        <v>0</v>
      </c>
      <c r="AV22" s="11">
        <v>0</v>
      </c>
      <c r="AW22" s="11">
        <v>0</v>
      </c>
      <c r="AX22" s="11">
        <v>0</v>
      </c>
      <c r="AY22" s="11">
        <v>0</v>
      </c>
      <c r="AZ22" s="11">
        <v>0</v>
      </c>
      <c r="BA22" s="11">
        <v>0</v>
      </c>
      <c r="BB22" s="11">
        <v>0</v>
      </c>
      <c r="BC22" s="11">
        <v>0</v>
      </c>
      <c r="BD22" s="11">
        <v>0</v>
      </c>
      <c r="BE22" s="11">
        <v>0</v>
      </c>
      <c r="BF22" s="26">
        <f t="shared" si="3"/>
        <v>0</v>
      </c>
      <c r="BG22" s="11">
        <v>0</v>
      </c>
      <c r="BH22" s="11">
        <v>0</v>
      </c>
      <c r="BI22" s="11">
        <v>0</v>
      </c>
      <c r="BJ22" s="11">
        <v>0</v>
      </c>
      <c r="BK22" s="11">
        <v>0</v>
      </c>
      <c r="BL22" s="11">
        <v>0</v>
      </c>
      <c r="BM22" s="11">
        <v>0</v>
      </c>
      <c r="BN22" s="11">
        <v>0</v>
      </c>
      <c r="BO22" s="11">
        <v>0</v>
      </c>
      <c r="BP22" s="11">
        <v>0</v>
      </c>
      <c r="BQ22" s="11">
        <v>0</v>
      </c>
      <c r="BR22" s="11">
        <v>0</v>
      </c>
      <c r="BS22" s="26">
        <f t="shared" si="4"/>
        <v>0</v>
      </c>
      <c r="BT22" s="11">
        <v>54</v>
      </c>
      <c r="BU22" s="11">
        <v>56</v>
      </c>
      <c r="BV22" s="11">
        <v>59</v>
      </c>
      <c r="BW22" s="11">
        <v>41</v>
      </c>
      <c r="BX22" s="11">
        <v>25</v>
      </c>
      <c r="BY22" s="11">
        <v>20</v>
      </c>
      <c r="BZ22" s="11">
        <v>68</v>
      </c>
      <c r="CA22" s="11">
        <v>43</v>
      </c>
      <c r="CB22" s="11">
        <v>33</v>
      </c>
      <c r="CC22" s="11">
        <v>57</v>
      </c>
      <c r="CD22" s="11">
        <v>54</v>
      </c>
      <c r="CE22" s="11">
        <v>58</v>
      </c>
      <c r="CF22" s="26">
        <f t="shared" si="5"/>
        <v>568</v>
      </c>
      <c r="CG22" s="11">
        <v>0</v>
      </c>
      <c r="CH22" s="11">
        <v>0</v>
      </c>
      <c r="CI22" s="11">
        <v>0</v>
      </c>
      <c r="CJ22" s="11">
        <v>0</v>
      </c>
      <c r="CK22" s="11">
        <v>0</v>
      </c>
      <c r="CL22" s="11">
        <v>0</v>
      </c>
      <c r="CM22" s="11">
        <v>0</v>
      </c>
      <c r="CN22" s="11">
        <v>0</v>
      </c>
      <c r="CO22" s="11">
        <v>0</v>
      </c>
      <c r="CP22" s="11">
        <v>0</v>
      </c>
      <c r="CQ22" s="11">
        <v>0</v>
      </c>
      <c r="CR22" s="11">
        <v>0</v>
      </c>
      <c r="CS22" s="26">
        <f t="shared" si="6"/>
        <v>0</v>
      </c>
      <c r="CT22" s="11">
        <v>0</v>
      </c>
      <c r="CU22" s="11">
        <v>0</v>
      </c>
      <c r="CV22" s="11">
        <v>0</v>
      </c>
      <c r="CW22" s="11">
        <v>0</v>
      </c>
      <c r="CX22" s="11">
        <v>0</v>
      </c>
      <c r="CY22" s="11">
        <v>0</v>
      </c>
      <c r="CZ22" s="11">
        <v>0</v>
      </c>
      <c r="DA22" s="11">
        <v>0</v>
      </c>
      <c r="DB22" s="11">
        <v>0</v>
      </c>
      <c r="DC22" s="11">
        <v>0</v>
      </c>
      <c r="DD22" s="11">
        <v>0</v>
      </c>
      <c r="DE22" s="11">
        <v>0</v>
      </c>
      <c r="DF22" s="26">
        <f t="shared" si="7"/>
        <v>0</v>
      </c>
      <c r="DG22" s="11">
        <v>0</v>
      </c>
      <c r="DH22" s="11">
        <v>0</v>
      </c>
      <c r="DI22" s="11">
        <v>0</v>
      </c>
      <c r="DJ22" s="11">
        <v>0</v>
      </c>
      <c r="DK22" s="11">
        <v>0</v>
      </c>
      <c r="DL22" s="11">
        <v>0</v>
      </c>
      <c r="DM22" s="11">
        <v>0</v>
      </c>
      <c r="DN22" s="11">
        <v>0</v>
      </c>
      <c r="DO22" s="11">
        <v>0</v>
      </c>
      <c r="DP22" s="11">
        <v>0</v>
      </c>
      <c r="DQ22" s="11">
        <v>0</v>
      </c>
      <c r="DR22" s="11">
        <v>0</v>
      </c>
      <c r="DS22" s="26">
        <f t="shared" si="8"/>
        <v>0</v>
      </c>
      <c r="DT22" s="11">
        <v>0</v>
      </c>
      <c r="DU22" s="11">
        <v>0</v>
      </c>
      <c r="DV22" s="11">
        <v>0</v>
      </c>
      <c r="DW22" s="11">
        <v>0</v>
      </c>
      <c r="DX22" s="11">
        <v>0</v>
      </c>
      <c r="DY22" s="11">
        <v>0</v>
      </c>
      <c r="DZ22" s="11">
        <v>0</v>
      </c>
      <c r="EA22" s="11">
        <v>0</v>
      </c>
      <c r="EB22" s="11">
        <v>0</v>
      </c>
      <c r="EC22" s="11">
        <v>0</v>
      </c>
      <c r="ED22" s="11">
        <v>0</v>
      </c>
      <c r="EE22" s="11">
        <v>0</v>
      </c>
      <c r="EF22" s="26">
        <f t="shared" si="9"/>
        <v>0</v>
      </c>
      <c r="EG22" s="9">
        <f t="shared" si="10"/>
        <v>5423</v>
      </c>
      <c r="EH22" s="9">
        <f t="shared" si="11"/>
        <v>0</v>
      </c>
      <c r="EI22" s="11">
        <v>7504</v>
      </c>
      <c r="EJ22" s="11">
        <v>7088</v>
      </c>
      <c r="EK22" s="11">
        <v>7711</v>
      </c>
      <c r="EL22" s="11">
        <v>8507</v>
      </c>
      <c r="EM22" s="11">
        <v>7742</v>
      </c>
      <c r="EN22" s="11">
        <v>6823</v>
      </c>
      <c r="EO22" s="11">
        <v>9963</v>
      </c>
      <c r="EP22" s="11">
        <v>10782</v>
      </c>
      <c r="EQ22" s="11">
        <v>5946</v>
      </c>
      <c r="ER22" s="11">
        <v>8261</v>
      </c>
      <c r="ES22" s="11">
        <v>8679</v>
      </c>
      <c r="ET22" s="11">
        <v>10529</v>
      </c>
      <c r="EU22" s="26">
        <f t="shared" si="12"/>
        <v>99535</v>
      </c>
      <c r="EV22" s="11">
        <v>0</v>
      </c>
      <c r="EW22" s="11">
        <v>0</v>
      </c>
      <c r="EX22" s="11">
        <v>0</v>
      </c>
      <c r="EY22" s="11">
        <v>0</v>
      </c>
      <c r="EZ22" s="11">
        <v>0</v>
      </c>
      <c r="FA22" s="11">
        <v>0</v>
      </c>
      <c r="FB22" s="11">
        <v>6549</v>
      </c>
      <c r="FC22" s="11">
        <v>6776</v>
      </c>
      <c r="FD22" s="11">
        <v>3550</v>
      </c>
      <c r="FE22" s="11">
        <v>5290</v>
      </c>
      <c r="FF22" s="11">
        <v>5411</v>
      </c>
      <c r="FG22" s="11">
        <v>5702</v>
      </c>
      <c r="FH22" s="26">
        <f t="shared" si="13"/>
        <v>33278</v>
      </c>
      <c r="FI22" s="11">
        <v>0</v>
      </c>
      <c r="FJ22" s="11">
        <v>0</v>
      </c>
      <c r="FK22" s="11">
        <v>0</v>
      </c>
      <c r="FL22" s="11">
        <v>0</v>
      </c>
      <c r="FM22" s="11">
        <v>0</v>
      </c>
      <c r="FN22" s="11">
        <v>0</v>
      </c>
      <c r="FO22" s="11">
        <v>3414</v>
      </c>
      <c r="FP22" s="11">
        <v>4006</v>
      </c>
      <c r="FQ22" s="11">
        <v>2396</v>
      </c>
      <c r="FR22" s="11">
        <v>2971</v>
      </c>
      <c r="FS22" s="11">
        <v>3268</v>
      </c>
      <c r="FT22" s="11">
        <v>4827</v>
      </c>
      <c r="FU22" s="26">
        <f t="shared" si="14"/>
        <v>20882</v>
      </c>
      <c r="FV22" s="11">
        <v>0</v>
      </c>
      <c r="FW22" s="11">
        <v>0</v>
      </c>
      <c r="FX22" s="11">
        <v>0</v>
      </c>
      <c r="FY22" s="11">
        <v>0</v>
      </c>
      <c r="FZ22" s="11">
        <v>0</v>
      </c>
      <c r="GA22" s="11">
        <v>0</v>
      </c>
      <c r="GB22" s="11">
        <v>0</v>
      </c>
      <c r="GC22" s="11">
        <v>0</v>
      </c>
      <c r="GD22" s="11">
        <v>0</v>
      </c>
      <c r="GE22" s="11">
        <v>0</v>
      </c>
      <c r="GF22" s="11">
        <v>0</v>
      </c>
      <c r="GG22" s="11">
        <v>0</v>
      </c>
      <c r="GH22" s="26">
        <f t="shared" si="15"/>
        <v>0</v>
      </c>
      <c r="GI22" s="11">
        <v>55</v>
      </c>
      <c r="GJ22" s="11">
        <v>136</v>
      </c>
      <c r="GK22" s="11">
        <v>105</v>
      </c>
      <c r="GL22" s="11">
        <v>367</v>
      </c>
      <c r="GM22" s="11">
        <v>129</v>
      </c>
      <c r="GN22" s="11">
        <v>55</v>
      </c>
      <c r="GO22" s="11">
        <v>358</v>
      </c>
      <c r="GP22" s="11">
        <v>328</v>
      </c>
      <c r="GQ22" s="11">
        <v>46</v>
      </c>
      <c r="GR22" s="11">
        <v>572</v>
      </c>
      <c r="GS22" s="11">
        <v>809</v>
      </c>
      <c r="GT22" s="11">
        <v>252</v>
      </c>
      <c r="GU22" s="26">
        <f t="shared" si="16"/>
        <v>3212</v>
      </c>
      <c r="GV22" s="11">
        <v>0</v>
      </c>
      <c r="GW22" s="11">
        <v>0</v>
      </c>
      <c r="GX22" s="11">
        <v>0</v>
      </c>
      <c r="GY22" s="11">
        <v>0</v>
      </c>
      <c r="GZ22" s="11">
        <v>0</v>
      </c>
      <c r="HA22" s="11">
        <v>0</v>
      </c>
      <c r="HB22" s="11">
        <v>304</v>
      </c>
      <c r="HC22" s="11">
        <v>143</v>
      </c>
      <c r="HD22" s="11">
        <v>34</v>
      </c>
      <c r="HE22" s="11">
        <v>441</v>
      </c>
      <c r="HF22" s="11">
        <v>546</v>
      </c>
      <c r="HG22" s="11">
        <v>225</v>
      </c>
      <c r="HH22" s="26">
        <f t="shared" si="17"/>
        <v>1693</v>
      </c>
      <c r="HI22" s="11">
        <v>0</v>
      </c>
      <c r="HJ22" s="11">
        <v>0</v>
      </c>
      <c r="HK22" s="11">
        <v>0</v>
      </c>
      <c r="HL22" s="11">
        <v>0</v>
      </c>
      <c r="HM22" s="11">
        <v>0</v>
      </c>
      <c r="HN22" s="11">
        <v>0</v>
      </c>
      <c r="HO22" s="11">
        <v>54</v>
      </c>
      <c r="HP22" s="11">
        <v>185</v>
      </c>
      <c r="HQ22" s="11">
        <v>12</v>
      </c>
      <c r="HR22" s="11">
        <v>131</v>
      </c>
      <c r="HS22" s="11">
        <v>163</v>
      </c>
      <c r="HT22" s="11">
        <v>27</v>
      </c>
      <c r="HU22" s="26">
        <f t="shared" si="18"/>
        <v>572</v>
      </c>
      <c r="HV22" s="11">
        <v>0</v>
      </c>
      <c r="HW22" s="11">
        <v>0</v>
      </c>
      <c r="HX22" s="11">
        <v>0</v>
      </c>
      <c r="HY22" s="11">
        <v>0</v>
      </c>
      <c r="HZ22" s="11">
        <v>0</v>
      </c>
      <c r="IA22" s="11">
        <v>0</v>
      </c>
      <c r="IB22" s="11">
        <v>0</v>
      </c>
      <c r="IC22" s="11">
        <v>0</v>
      </c>
      <c r="ID22" s="11">
        <v>0</v>
      </c>
      <c r="IE22" s="11">
        <v>0</v>
      </c>
      <c r="IF22" s="11">
        <v>0</v>
      </c>
      <c r="IG22" s="11">
        <v>0</v>
      </c>
      <c r="IH22" s="26">
        <f t="shared" si="19"/>
        <v>0</v>
      </c>
      <c r="II22" s="9">
        <f t="shared" si="20"/>
        <v>54160</v>
      </c>
      <c r="IJ22" s="9">
        <f t="shared" si="21"/>
        <v>2265</v>
      </c>
      <c r="IK22" s="11">
        <v>39133</v>
      </c>
      <c r="IL22" s="11">
        <v>40365</v>
      </c>
      <c r="IM22" s="11">
        <v>36179</v>
      </c>
      <c r="IN22" s="11">
        <v>41580</v>
      </c>
      <c r="IO22" s="11">
        <v>46081</v>
      </c>
      <c r="IP22" s="11">
        <v>39492</v>
      </c>
      <c r="IQ22" s="11">
        <v>41683</v>
      </c>
      <c r="IR22" s="11">
        <v>40558</v>
      </c>
      <c r="IS22" s="11">
        <v>26906</v>
      </c>
      <c r="IT22" s="11">
        <v>42582</v>
      </c>
      <c r="IU22" s="11">
        <v>36204</v>
      </c>
      <c r="IV22" s="11">
        <v>36296</v>
      </c>
      <c r="IW22" s="27">
        <f t="shared" si="22"/>
        <v>467059</v>
      </c>
      <c r="IX22" s="11">
        <v>18616</v>
      </c>
      <c r="IY22" s="11">
        <v>18604</v>
      </c>
      <c r="IZ22" s="11">
        <v>16663</v>
      </c>
      <c r="JA22" s="11">
        <v>17105</v>
      </c>
      <c r="JB22" s="11">
        <v>18211</v>
      </c>
      <c r="JC22" s="11">
        <v>16532</v>
      </c>
      <c r="JD22" s="11">
        <v>18467</v>
      </c>
      <c r="JE22" s="11">
        <v>17591</v>
      </c>
      <c r="JF22" s="11">
        <v>13347</v>
      </c>
      <c r="JG22" s="11">
        <v>18842</v>
      </c>
      <c r="JH22" s="11">
        <v>14635</v>
      </c>
      <c r="JI22" s="11">
        <v>17109</v>
      </c>
      <c r="JJ22" s="27">
        <f t="shared" si="23"/>
        <v>205722</v>
      </c>
      <c r="JK22" s="11">
        <v>19560</v>
      </c>
      <c r="JL22" s="11">
        <v>20836</v>
      </c>
      <c r="JM22" s="11">
        <v>18766</v>
      </c>
      <c r="JN22" s="11">
        <v>23354</v>
      </c>
      <c r="JO22" s="11">
        <v>26812</v>
      </c>
      <c r="JP22" s="11">
        <v>21871</v>
      </c>
      <c r="JQ22" s="11">
        <v>22003</v>
      </c>
      <c r="JR22" s="11">
        <v>21769</v>
      </c>
      <c r="JS22" s="11">
        <v>12758</v>
      </c>
      <c r="JT22" s="11">
        <v>22635</v>
      </c>
      <c r="JU22" s="11">
        <v>19962</v>
      </c>
      <c r="JV22" s="11">
        <v>17158</v>
      </c>
      <c r="JW22" s="27">
        <f t="shared" si="24"/>
        <v>247484</v>
      </c>
      <c r="JX22" s="11">
        <v>957</v>
      </c>
      <c r="JY22" s="11">
        <v>925</v>
      </c>
      <c r="JZ22" s="11">
        <v>750</v>
      </c>
      <c r="KA22" s="11">
        <v>1121</v>
      </c>
      <c r="KB22" s="11">
        <v>1058</v>
      </c>
      <c r="KC22" s="11">
        <v>1089</v>
      </c>
      <c r="KD22" s="11">
        <v>1213</v>
      </c>
      <c r="KE22" s="11">
        <v>1198</v>
      </c>
      <c r="KF22" s="11">
        <v>801</v>
      </c>
      <c r="KG22" s="11">
        <v>1108</v>
      </c>
      <c r="KH22" s="11">
        <v>733</v>
      </c>
      <c r="KI22" s="11">
        <v>1113</v>
      </c>
      <c r="KJ22" s="27">
        <f t="shared" si="25"/>
        <v>12066</v>
      </c>
      <c r="KK22" s="11">
        <v>465</v>
      </c>
      <c r="KL22" s="11">
        <v>654</v>
      </c>
      <c r="KM22" s="11">
        <v>531</v>
      </c>
      <c r="KN22" s="11">
        <v>459</v>
      </c>
      <c r="KO22" s="11">
        <v>608</v>
      </c>
      <c r="KP22" s="11">
        <v>470</v>
      </c>
      <c r="KQ22" s="11">
        <v>409</v>
      </c>
      <c r="KR22" s="11">
        <v>908</v>
      </c>
      <c r="KS22" s="11">
        <v>305</v>
      </c>
      <c r="KT22" s="11">
        <v>533</v>
      </c>
      <c r="KU22" s="11">
        <v>437</v>
      </c>
      <c r="KV22" s="11">
        <v>458</v>
      </c>
      <c r="KW22" s="27">
        <f t="shared" si="26"/>
        <v>6237</v>
      </c>
      <c r="KX22" s="11">
        <v>448</v>
      </c>
      <c r="KY22" s="11">
        <v>633</v>
      </c>
      <c r="KZ22" s="11">
        <v>518</v>
      </c>
      <c r="LA22" s="11">
        <v>436</v>
      </c>
      <c r="LB22" s="11">
        <v>542</v>
      </c>
      <c r="LC22" s="11">
        <v>461</v>
      </c>
      <c r="LD22" s="11">
        <v>398</v>
      </c>
      <c r="LE22" s="11">
        <v>867</v>
      </c>
      <c r="LF22" s="11">
        <v>300</v>
      </c>
      <c r="LG22" s="11">
        <v>523</v>
      </c>
      <c r="LH22" s="11">
        <v>429</v>
      </c>
      <c r="LI22" s="11">
        <v>456</v>
      </c>
      <c r="LJ22" s="27">
        <f t="shared" si="27"/>
        <v>6011</v>
      </c>
      <c r="LK22" s="11">
        <v>17</v>
      </c>
      <c r="LL22" s="11">
        <v>21</v>
      </c>
      <c r="LM22" s="11">
        <v>13</v>
      </c>
      <c r="LN22" s="11">
        <v>23</v>
      </c>
      <c r="LO22" s="11">
        <v>66</v>
      </c>
      <c r="LP22" s="11">
        <v>9</v>
      </c>
      <c r="LQ22" s="11">
        <v>11</v>
      </c>
      <c r="LR22" s="11">
        <v>41</v>
      </c>
      <c r="LS22" s="11">
        <v>5</v>
      </c>
      <c r="LT22" s="11">
        <v>10</v>
      </c>
      <c r="LU22" s="11">
        <v>8</v>
      </c>
      <c r="LV22" s="11">
        <v>2</v>
      </c>
      <c r="LW22" s="27">
        <f t="shared" si="28"/>
        <v>226</v>
      </c>
      <c r="LX22" s="11">
        <v>0</v>
      </c>
      <c r="LY22" s="11">
        <v>0</v>
      </c>
      <c r="LZ22" s="11">
        <v>0</v>
      </c>
      <c r="MA22" s="11">
        <v>0</v>
      </c>
      <c r="MB22" s="11">
        <v>0</v>
      </c>
      <c r="MC22" s="11">
        <v>0</v>
      </c>
      <c r="MD22" s="11">
        <v>0</v>
      </c>
      <c r="ME22" s="11">
        <v>0</v>
      </c>
      <c r="MF22" s="11">
        <v>0</v>
      </c>
      <c r="MG22" s="11">
        <v>0</v>
      </c>
      <c r="MH22" s="11">
        <v>0</v>
      </c>
      <c r="MI22" s="11">
        <v>0</v>
      </c>
      <c r="MJ22" s="27">
        <f t="shared" si="29"/>
        <v>0</v>
      </c>
      <c r="MK22" s="11">
        <v>2151</v>
      </c>
      <c r="ML22" s="11">
        <v>2364</v>
      </c>
      <c r="MM22" s="11">
        <v>2246</v>
      </c>
      <c r="MN22" s="11">
        <v>2645</v>
      </c>
      <c r="MO22" s="11">
        <v>2818</v>
      </c>
      <c r="MP22" s="11">
        <v>2815</v>
      </c>
      <c r="MQ22" s="11">
        <v>2676</v>
      </c>
      <c r="MR22" s="11">
        <v>2607</v>
      </c>
      <c r="MS22" s="11">
        <v>2611</v>
      </c>
      <c r="MT22" s="11">
        <v>2822</v>
      </c>
      <c r="MU22" s="11">
        <v>2681</v>
      </c>
      <c r="MV22" s="11">
        <v>2774</v>
      </c>
      <c r="MW22" s="27">
        <f t="shared" si="30"/>
        <v>31210</v>
      </c>
      <c r="MX22" s="11">
        <v>1766</v>
      </c>
      <c r="MY22" s="11">
        <v>1951</v>
      </c>
      <c r="MZ22" s="11">
        <v>1823</v>
      </c>
      <c r="NA22" s="11">
        <v>1875</v>
      </c>
      <c r="NB22" s="11">
        <v>2185</v>
      </c>
      <c r="NC22" s="11">
        <v>2210</v>
      </c>
      <c r="ND22" s="11">
        <v>2072</v>
      </c>
      <c r="NE22" s="11">
        <v>1988</v>
      </c>
      <c r="NF22" s="11">
        <v>2033</v>
      </c>
      <c r="NG22" s="11">
        <v>2085</v>
      </c>
      <c r="NH22" s="11">
        <v>2016</v>
      </c>
      <c r="NI22" s="11">
        <v>2111</v>
      </c>
      <c r="NJ22" s="27">
        <f t="shared" si="31"/>
        <v>24115</v>
      </c>
      <c r="NK22" s="11">
        <v>247</v>
      </c>
      <c r="NL22" s="11">
        <v>252</v>
      </c>
      <c r="NM22" s="11">
        <v>285</v>
      </c>
      <c r="NN22" s="11">
        <v>508</v>
      </c>
      <c r="NO22" s="11">
        <v>440</v>
      </c>
      <c r="NP22" s="11">
        <v>390</v>
      </c>
      <c r="NQ22" s="11">
        <v>399</v>
      </c>
      <c r="NR22" s="11">
        <v>427</v>
      </c>
      <c r="NS22" s="11">
        <v>362</v>
      </c>
      <c r="NT22" s="11">
        <v>446</v>
      </c>
      <c r="NU22" s="11">
        <v>414</v>
      </c>
      <c r="NV22" s="11">
        <v>436</v>
      </c>
      <c r="NW22" s="27">
        <f t="shared" si="32"/>
        <v>4606</v>
      </c>
      <c r="NX22" s="11">
        <v>138</v>
      </c>
      <c r="NY22" s="11">
        <v>161</v>
      </c>
      <c r="NZ22" s="11">
        <v>138</v>
      </c>
      <c r="OA22" s="11">
        <v>262</v>
      </c>
      <c r="OB22" s="11">
        <v>193</v>
      </c>
      <c r="OC22" s="11">
        <v>215</v>
      </c>
      <c r="OD22" s="11">
        <v>205</v>
      </c>
      <c r="OE22" s="11">
        <v>192</v>
      </c>
      <c r="OF22" s="11">
        <v>216</v>
      </c>
      <c r="OG22" s="11">
        <v>291</v>
      </c>
      <c r="OH22" s="11">
        <v>251</v>
      </c>
      <c r="OI22" s="11">
        <v>227</v>
      </c>
      <c r="OJ22" s="27">
        <f t="shared" si="33"/>
        <v>2489</v>
      </c>
      <c r="OK22" s="11">
        <v>4074</v>
      </c>
      <c r="OL22" s="11">
        <v>4196</v>
      </c>
      <c r="OM22" s="11">
        <v>3984</v>
      </c>
      <c r="ON22" s="11">
        <v>4367</v>
      </c>
      <c r="OO22" s="11">
        <v>4290</v>
      </c>
      <c r="OP22" s="11">
        <v>4129</v>
      </c>
      <c r="OQ22" s="11">
        <v>4576</v>
      </c>
      <c r="OR22" s="11">
        <v>3986</v>
      </c>
      <c r="OS22" s="11">
        <v>4201</v>
      </c>
      <c r="OT22" s="11">
        <v>4876</v>
      </c>
      <c r="OU22" s="11">
        <v>4409</v>
      </c>
      <c r="OV22" s="11">
        <v>4821</v>
      </c>
      <c r="OW22" s="27">
        <f t="shared" si="34"/>
        <v>51909</v>
      </c>
      <c r="OX22" s="11">
        <v>3398</v>
      </c>
      <c r="OY22" s="11">
        <v>3395</v>
      </c>
      <c r="OZ22" s="11">
        <v>3244</v>
      </c>
      <c r="PA22" s="11">
        <v>3394</v>
      </c>
      <c r="PB22" s="11">
        <v>3381</v>
      </c>
      <c r="PC22" s="11">
        <v>3328</v>
      </c>
      <c r="PD22" s="11">
        <v>3690</v>
      </c>
      <c r="PE22" s="11">
        <v>3176</v>
      </c>
      <c r="PF22" s="11">
        <v>3335</v>
      </c>
      <c r="PG22" s="11">
        <v>3892</v>
      </c>
      <c r="PH22" s="11">
        <v>3518</v>
      </c>
      <c r="PI22" s="11">
        <v>3803</v>
      </c>
      <c r="PJ22" s="27">
        <f t="shared" si="35"/>
        <v>41554</v>
      </c>
      <c r="PK22" s="11">
        <v>513</v>
      </c>
      <c r="PL22" s="11">
        <v>619</v>
      </c>
      <c r="PM22" s="11">
        <v>504</v>
      </c>
      <c r="PN22" s="11">
        <v>675</v>
      </c>
      <c r="PO22" s="11">
        <v>646</v>
      </c>
      <c r="PP22" s="11">
        <v>592</v>
      </c>
      <c r="PQ22" s="11">
        <v>644</v>
      </c>
      <c r="PR22" s="11">
        <v>600</v>
      </c>
      <c r="PS22" s="11">
        <v>687</v>
      </c>
      <c r="PT22" s="11">
        <v>744</v>
      </c>
      <c r="PU22" s="11">
        <v>681</v>
      </c>
      <c r="PV22" s="11">
        <v>778</v>
      </c>
      <c r="PW22" s="27">
        <f t="shared" si="36"/>
        <v>7683</v>
      </c>
      <c r="PX22" s="11">
        <v>163</v>
      </c>
      <c r="PY22" s="11">
        <v>182</v>
      </c>
      <c r="PZ22" s="11">
        <v>236</v>
      </c>
      <c r="QA22" s="11">
        <v>298</v>
      </c>
      <c r="QB22" s="11">
        <v>263</v>
      </c>
      <c r="QC22" s="11">
        <v>209</v>
      </c>
      <c r="QD22" s="11">
        <v>242</v>
      </c>
      <c r="QE22" s="11">
        <v>210</v>
      </c>
      <c r="QF22" s="11">
        <v>179</v>
      </c>
      <c r="QG22" s="11">
        <v>240</v>
      </c>
      <c r="QH22" s="11">
        <v>210</v>
      </c>
      <c r="QI22" s="11">
        <v>240</v>
      </c>
      <c r="QJ22" s="27">
        <f t="shared" si="37"/>
        <v>2672</v>
      </c>
      <c r="QK22" s="11">
        <v>56378</v>
      </c>
      <c r="QL22" s="11">
        <v>55867</v>
      </c>
      <c r="QM22" s="11">
        <v>53810</v>
      </c>
      <c r="QN22" s="11">
        <v>59479</v>
      </c>
      <c r="QO22" s="11">
        <v>57946</v>
      </c>
      <c r="QP22" s="11">
        <v>58381</v>
      </c>
      <c r="QQ22" s="11">
        <v>62756</v>
      </c>
      <c r="QR22" s="11">
        <v>56419</v>
      </c>
      <c r="QS22" s="11">
        <v>34806</v>
      </c>
      <c r="QT22" s="11">
        <v>57303</v>
      </c>
      <c r="QU22" s="11">
        <v>56341</v>
      </c>
      <c r="QV22" s="11">
        <v>57714</v>
      </c>
      <c r="QW22" s="27">
        <f t="shared" si="38"/>
        <v>667200</v>
      </c>
      <c r="QX22" s="11">
        <v>11799</v>
      </c>
      <c r="QY22" s="11">
        <v>11171</v>
      </c>
      <c r="QZ22" s="11">
        <v>11436</v>
      </c>
      <c r="RA22" s="11">
        <v>13751</v>
      </c>
      <c r="RB22" s="11">
        <v>12434</v>
      </c>
      <c r="RC22" s="11">
        <v>13837</v>
      </c>
      <c r="RD22" s="11">
        <v>13567</v>
      </c>
      <c r="RE22" s="11">
        <v>12836</v>
      </c>
      <c r="RF22" s="11">
        <v>7434</v>
      </c>
      <c r="RG22" s="11">
        <v>11230</v>
      </c>
      <c r="RH22" s="11">
        <v>11906</v>
      </c>
      <c r="RI22" s="11">
        <v>12504</v>
      </c>
      <c r="RJ22" s="27">
        <f t="shared" si="39"/>
        <v>143905</v>
      </c>
      <c r="RK22" s="11">
        <v>0</v>
      </c>
      <c r="RL22" s="11">
        <v>0</v>
      </c>
      <c r="RM22" s="11">
        <v>0</v>
      </c>
      <c r="RN22" s="11">
        <v>0</v>
      </c>
      <c r="RO22" s="11">
        <v>0</v>
      </c>
      <c r="RP22" s="11">
        <v>0</v>
      </c>
      <c r="RQ22" s="11">
        <v>0</v>
      </c>
      <c r="RR22" s="11">
        <v>0</v>
      </c>
      <c r="RS22" s="11">
        <v>0</v>
      </c>
      <c r="RT22" s="11">
        <v>0</v>
      </c>
      <c r="RU22" s="11">
        <v>0</v>
      </c>
      <c r="RV22" s="11">
        <v>0</v>
      </c>
      <c r="RW22" s="27">
        <f t="shared" si="40"/>
        <v>0</v>
      </c>
      <c r="RX22" s="11">
        <v>0</v>
      </c>
      <c r="RY22" s="11">
        <v>0</v>
      </c>
      <c r="RZ22" s="11">
        <v>0</v>
      </c>
      <c r="SA22" s="11">
        <v>0</v>
      </c>
      <c r="SB22" s="11">
        <v>0</v>
      </c>
      <c r="SC22" s="11">
        <v>0</v>
      </c>
      <c r="SD22" s="11">
        <v>0</v>
      </c>
      <c r="SE22" s="11">
        <v>0</v>
      </c>
      <c r="SF22" s="11">
        <v>0</v>
      </c>
      <c r="SG22" s="11">
        <v>0</v>
      </c>
      <c r="SH22" s="11">
        <v>0</v>
      </c>
      <c r="SI22" s="11">
        <v>0</v>
      </c>
      <c r="SJ22" s="27">
        <f t="shared" si="41"/>
        <v>0</v>
      </c>
      <c r="SK22" s="11">
        <v>60</v>
      </c>
      <c r="SL22" s="11">
        <v>60</v>
      </c>
      <c r="SM22" s="11">
        <v>60</v>
      </c>
      <c r="SN22" s="11">
        <v>60</v>
      </c>
      <c r="SO22" s="11">
        <v>60</v>
      </c>
      <c r="SP22" s="11">
        <v>60</v>
      </c>
      <c r="SQ22" s="11">
        <v>60</v>
      </c>
      <c r="SR22" s="11">
        <v>60</v>
      </c>
      <c r="SS22" s="11">
        <v>60</v>
      </c>
      <c r="ST22" s="11">
        <v>60</v>
      </c>
      <c r="SU22" s="11">
        <v>60</v>
      </c>
      <c r="SV22" s="11">
        <v>60</v>
      </c>
      <c r="SW22" s="27">
        <f t="shared" si="42"/>
        <v>720</v>
      </c>
      <c r="SX22" s="11" t="s">
        <v>2657</v>
      </c>
      <c r="SY22" s="11">
        <v>7836</v>
      </c>
      <c r="SZ22" s="11">
        <v>7196</v>
      </c>
      <c r="TA22" s="11">
        <v>7184</v>
      </c>
      <c r="TB22" s="11">
        <v>8074</v>
      </c>
      <c r="TC22" s="11">
        <v>8356</v>
      </c>
      <c r="TD22" s="11">
        <v>7676</v>
      </c>
      <c r="TE22" s="11">
        <v>8004</v>
      </c>
      <c r="TF22" s="11">
        <v>7375</v>
      </c>
      <c r="TG22" s="11">
        <v>5274</v>
      </c>
      <c r="TH22" s="11">
        <v>7199</v>
      </c>
      <c r="TI22" s="11">
        <v>7039</v>
      </c>
      <c r="TJ22" s="11">
        <v>8032</v>
      </c>
      <c r="TK22" s="27">
        <f t="shared" si="43"/>
        <v>89245</v>
      </c>
      <c r="TL22" s="11">
        <v>48102</v>
      </c>
      <c r="TM22" s="11">
        <v>48325</v>
      </c>
      <c r="TN22" s="11">
        <v>42859</v>
      </c>
      <c r="TO22" s="11">
        <v>40915</v>
      </c>
      <c r="TP22" s="11">
        <v>34719</v>
      </c>
      <c r="TQ22" s="11">
        <v>44932</v>
      </c>
      <c r="TR22" s="11">
        <v>49125</v>
      </c>
      <c r="TS22" s="11">
        <v>45317</v>
      </c>
      <c r="TT22" s="11">
        <v>28412</v>
      </c>
      <c r="TU22" s="11">
        <v>41823</v>
      </c>
      <c r="TV22" s="11">
        <v>53082</v>
      </c>
      <c r="TW22" s="11">
        <v>45950</v>
      </c>
      <c r="TX22" s="27">
        <f t="shared" si="44"/>
        <v>523561</v>
      </c>
      <c r="TY22" s="11">
        <v>200</v>
      </c>
      <c r="TZ22" s="11">
        <v>30</v>
      </c>
      <c r="UA22" s="11">
        <v>113</v>
      </c>
    </row>
    <row r="23" spans="1:547" ht="16" customHeight="1" x14ac:dyDescent="0.35">
      <c r="A23" s="11" t="s">
        <v>1413</v>
      </c>
      <c r="B23" s="11">
        <v>40405</v>
      </c>
      <c r="C23" s="11">
        <v>10238</v>
      </c>
      <c r="D23" s="11">
        <v>25968</v>
      </c>
      <c r="E23" s="11">
        <v>4199</v>
      </c>
      <c r="F23" s="11">
        <v>292</v>
      </c>
      <c r="G23" s="11">
        <v>308</v>
      </c>
      <c r="H23" s="11">
        <v>332</v>
      </c>
      <c r="I23" s="11">
        <v>288</v>
      </c>
      <c r="J23" s="11">
        <v>321</v>
      </c>
      <c r="K23" s="11">
        <v>268</v>
      </c>
      <c r="L23" s="11">
        <v>265</v>
      </c>
      <c r="M23" s="11">
        <v>289</v>
      </c>
      <c r="N23" s="11">
        <v>197</v>
      </c>
      <c r="O23" s="11">
        <v>243</v>
      </c>
      <c r="P23" s="11" t="s">
        <v>2866</v>
      </c>
      <c r="Q23" s="11">
        <v>251</v>
      </c>
      <c r="R23" s="11">
        <v>283</v>
      </c>
      <c r="S23" s="26">
        <f t="shared" si="0"/>
        <v>3337</v>
      </c>
      <c r="T23" s="11">
        <v>154</v>
      </c>
      <c r="U23" s="11">
        <v>181</v>
      </c>
      <c r="V23" s="11">
        <v>189</v>
      </c>
      <c r="W23" s="11">
        <v>160</v>
      </c>
      <c r="X23" s="11">
        <v>113</v>
      </c>
      <c r="Y23" s="11">
        <v>145</v>
      </c>
      <c r="Z23" s="11">
        <v>135</v>
      </c>
      <c r="AA23" s="11">
        <v>173</v>
      </c>
      <c r="AB23" s="11">
        <v>107</v>
      </c>
      <c r="AC23" s="11">
        <v>145</v>
      </c>
      <c r="AD23" s="11">
        <v>138</v>
      </c>
      <c r="AE23" s="11">
        <v>152</v>
      </c>
      <c r="AF23" s="26">
        <f t="shared" si="1"/>
        <v>1792</v>
      </c>
      <c r="AG23" s="11">
        <v>132</v>
      </c>
      <c r="AH23" s="11">
        <v>120</v>
      </c>
      <c r="AI23" s="11">
        <v>136</v>
      </c>
      <c r="AJ23" s="11">
        <v>119</v>
      </c>
      <c r="AK23" s="11">
        <v>170</v>
      </c>
      <c r="AL23" s="11">
        <v>100</v>
      </c>
      <c r="AM23" s="11">
        <v>119</v>
      </c>
      <c r="AN23" s="11">
        <v>112</v>
      </c>
      <c r="AO23" s="11">
        <v>75</v>
      </c>
      <c r="AP23" s="11">
        <v>97</v>
      </c>
      <c r="AQ23" s="11">
        <v>107</v>
      </c>
      <c r="AR23" s="11">
        <v>130</v>
      </c>
      <c r="AS23" s="26">
        <f t="shared" si="2"/>
        <v>1417</v>
      </c>
      <c r="AT23" s="11">
        <v>1</v>
      </c>
      <c r="AU23" s="11">
        <v>1</v>
      </c>
      <c r="AV23" s="11">
        <v>1</v>
      </c>
      <c r="AW23" s="11">
        <v>2</v>
      </c>
      <c r="AX23" s="11">
        <v>4</v>
      </c>
      <c r="AY23" s="11">
        <v>1</v>
      </c>
      <c r="AZ23" s="11">
        <v>1</v>
      </c>
      <c r="BA23" s="11">
        <v>1</v>
      </c>
      <c r="BB23" s="11">
        <v>6</v>
      </c>
      <c r="BC23" s="11">
        <v>1</v>
      </c>
      <c r="BD23" s="11">
        <v>1</v>
      </c>
      <c r="BE23" s="11">
        <v>1</v>
      </c>
      <c r="BF23" s="26">
        <f t="shared" si="3"/>
        <v>21</v>
      </c>
      <c r="BG23" s="11">
        <v>5</v>
      </c>
      <c r="BH23" s="11">
        <v>6</v>
      </c>
      <c r="BI23" s="11">
        <v>6</v>
      </c>
      <c r="BJ23" s="11">
        <v>7</v>
      </c>
      <c r="BK23" s="11">
        <v>34</v>
      </c>
      <c r="BL23" s="11">
        <v>22</v>
      </c>
      <c r="BM23" s="11">
        <v>10</v>
      </c>
      <c r="BN23" s="11">
        <v>3</v>
      </c>
      <c r="BO23" s="11">
        <v>9</v>
      </c>
      <c r="BP23" s="11">
        <v>0</v>
      </c>
      <c r="BQ23" s="11">
        <v>5</v>
      </c>
      <c r="BR23" s="11">
        <v>0</v>
      </c>
      <c r="BS23" s="26">
        <f t="shared" si="4"/>
        <v>107</v>
      </c>
      <c r="BT23" s="11">
        <v>0</v>
      </c>
      <c r="BU23" s="11">
        <v>0</v>
      </c>
      <c r="BV23" s="11">
        <v>0</v>
      </c>
      <c r="BW23" s="11">
        <v>0</v>
      </c>
      <c r="BX23" s="11">
        <v>0</v>
      </c>
      <c r="BY23" s="11">
        <v>0</v>
      </c>
      <c r="BZ23" s="11">
        <v>0</v>
      </c>
      <c r="CA23" s="11">
        <v>0</v>
      </c>
      <c r="CB23" s="11">
        <v>0</v>
      </c>
      <c r="CC23" s="11">
        <v>0</v>
      </c>
      <c r="CD23" s="11">
        <v>0</v>
      </c>
      <c r="CE23" s="11">
        <v>0</v>
      </c>
      <c r="CF23" s="26">
        <f t="shared" si="5"/>
        <v>0</v>
      </c>
      <c r="CG23" s="11">
        <v>0</v>
      </c>
      <c r="CH23" s="11">
        <v>0</v>
      </c>
      <c r="CI23" s="11">
        <v>0</v>
      </c>
      <c r="CJ23" s="11">
        <v>0</v>
      </c>
      <c r="CK23" s="11">
        <v>0</v>
      </c>
      <c r="CL23" s="11">
        <v>0</v>
      </c>
      <c r="CM23" s="11">
        <v>0</v>
      </c>
      <c r="CN23" s="11">
        <v>0</v>
      </c>
      <c r="CO23" s="11">
        <v>0</v>
      </c>
      <c r="CP23" s="11">
        <v>0</v>
      </c>
      <c r="CQ23" s="11">
        <v>0</v>
      </c>
      <c r="CR23" s="11">
        <v>0</v>
      </c>
      <c r="CS23" s="26">
        <f t="shared" si="6"/>
        <v>0</v>
      </c>
      <c r="CT23" s="11">
        <v>0</v>
      </c>
      <c r="CU23" s="11">
        <v>0</v>
      </c>
      <c r="CV23" s="11">
        <v>0</v>
      </c>
      <c r="CW23" s="11">
        <v>0</v>
      </c>
      <c r="CX23" s="11">
        <v>0</v>
      </c>
      <c r="CY23" s="11">
        <v>0</v>
      </c>
      <c r="CZ23" s="11">
        <v>0</v>
      </c>
      <c r="DA23" s="11">
        <v>0</v>
      </c>
      <c r="DB23" s="11">
        <v>0</v>
      </c>
      <c r="DC23" s="11">
        <v>0</v>
      </c>
      <c r="DD23" s="11">
        <v>0</v>
      </c>
      <c r="DE23" s="11">
        <v>0</v>
      </c>
      <c r="DF23" s="26">
        <f t="shared" si="7"/>
        <v>0</v>
      </c>
      <c r="DG23" s="11">
        <v>0</v>
      </c>
      <c r="DH23" s="11">
        <v>0</v>
      </c>
      <c r="DI23" s="11">
        <v>0</v>
      </c>
      <c r="DJ23" s="11">
        <v>0</v>
      </c>
      <c r="DK23" s="11">
        <v>0</v>
      </c>
      <c r="DL23" s="11">
        <v>0</v>
      </c>
      <c r="DM23" s="11">
        <v>0</v>
      </c>
      <c r="DN23" s="11">
        <v>0</v>
      </c>
      <c r="DO23" s="11">
        <v>0</v>
      </c>
      <c r="DP23" s="11">
        <v>0</v>
      </c>
      <c r="DQ23" s="11">
        <v>0</v>
      </c>
      <c r="DR23" s="11">
        <v>0</v>
      </c>
      <c r="DS23" s="26">
        <f t="shared" si="8"/>
        <v>0</v>
      </c>
      <c r="DT23" s="11">
        <v>0</v>
      </c>
      <c r="DU23" s="11">
        <v>0</v>
      </c>
      <c r="DV23" s="11">
        <v>0</v>
      </c>
      <c r="DW23" s="11">
        <v>0</v>
      </c>
      <c r="DX23" s="11">
        <v>0</v>
      </c>
      <c r="DY23" s="11">
        <v>0</v>
      </c>
      <c r="DZ23" s="11">
        <v>0</v>
      </c>
      <c r="EA23" s="11">
        <v>0</v>
      </c>
      <c r="EB23" s="11">
        <v>0</v>
      </c>
      <c r="EC23" s="11">
        <v>0</v>
      </c>
      <c r="ED23" s="11">
        <v>0</v>
      </c>
      <c r="EE23" s="11">
        <v>0</v>
      </c>
      <c r="EF23" s="26">
        <f t="shared" si="9"/>
        <v>0</v>
      </c>
      <c r="EG23" s="9">
        <f t="shared" si="10"/>
        <v>3337</v>
      </c>
      <c r="EH23" s="9">
        <f t="shared" si="11"/>
        <v>0</v>
      </c>
      <c r="EI23" s="11">
        <v>3795</v>
      </c>
      <c r="EJ23" s="11">
        <v>3332</v>
      </c>
      <c r="EK23" s="11">
        <v>4253</v>
      </c>
      <c r="EL23" s="11">
        <v>3196</v>
      </c>
      <c r="EM23" s="11">
        <v>3109</v>
      </c>
      <c r="EN23" s="11">
        <v>3014</v>
      </c>
      <c r="EO23" s="11">
        <v>3681</v>
      </c>
      <c r="EP23" s="11">
        <v>3392</v>
      </c>
      <c r="EQ23" s="11">
        <v>2256</v>
      </c>
      <c r="ER23" s="11">
        <v>2813</v>
      </c>
      <c r="ES23" s="11">
        <v>3170</v>
      </c>
      <c r="ET23" s="11">
        <v>3320</v>
      </c>
      <c r="EU23" s="26">
        <f t="shared" si="12"/>
        <v>39331</v>
      </c>
      <c r="EV23" s="11">
        <v>1108</v>
      </c>
      <c r="EW23" s="11">
        <v>1204</v>
      </c>
      <c r="EX23" s="11">
        <v>1448</v>
      </c>
      <c r="EY23" s="11">
        <v>1043</v>
      </c>
      <c r="EZ23" s="11">
        <v>990</v>
      </c>
      <c r="FA23" s="11">
        <v>1412</v>
      </c>
      <c r="FB23" s="11">
        <v>1401</v>
      </c>
      <c r="FC23" s="11">
        <v>1201</v>
      </c>
      <c r="FD23" s="11">
        <v>825</v>
      </c>
      <c r="FE23" s="11">
        <v>911</v>
      </c>
      <c r="FF23" s="11">
        <v>960</v>
      </c>
      <c r="FG23" s="11">
        <v>1126</v>
      </c>
      <c r="FH23" s="26">
        <f t="shared" si="13"/>
        <v>13629</v>
      </c>
      <c r="FI23" s="11">
        <v>2675</v>
      </c>
      <c r="FJ23" s="11">
        <v>2116</v>
      </c>
      <c r="FK23" s="11">
        <v>2797</v>
      </c>
      <c r="FL23" s="11">
        <v>2132</v>
      </c>
      <c r="FM23" s="11">
        <v>2045</v>
      </c>
      <c r="FN23" s="11">
        <v>1591</v>
      </c>
      <c r="FO23" s="11">
        <v>2273</v>
      </c>
      <c r="FP23" s="11">
        <v>2186</v>
      </c>
      <c r="FQ23" s="11">
        <v>1303</v>
      </c>
      <c r="FR23" s="11">
        <v>1896</v>
      </c>
      <c r="FS23" s="11">
        <v>2206</v>
      </c>
      <c r="FT23" s="11">
        <v>2183</v>
      </c>
      <c r="FU23" s="26">
        <f t="shared" si="14"/>
        <v>25403</v>
      </c>
      <c r="FV23" s="11">
        <v>12</v>
      </c>
      <c r="FW23" s="11">
        <v>12</v>
      </c>
      <c r="FX23" s="11">
        <v>8</v>
      </c>
      <c r="FY23" s="11">
        <v>21</v>
      </c>
      <c r="FZ23" s="11">
        <v>74</v>
      </c>
      <c r="GA23" s="11">
        <v>11</v>
      </c>
      <c r="GB23" s="11">
        <v>7</v>
      </c>
      <c r="GC23" s="11">
        <v>5</v>
      </c>
      <c r="GD23" s="11">
        <v>128</v>
      </c>
      <c r="GE23" s="11">
        <v>6</v>
      </c>
      <c r="GF23" s="11">
        <v>4</v>
      </c>
      <c r="GG23" s="11">
        <v>11</v>
      </c>
      <c r="GH23" s="26">
        <f t="shared" si="15"/>
        <v>299</v>
      </c>
      <c r="GI23" s="11">
        <v>0</v>
      </c>
      <c r="GJ23" s="11">
        <v>0</v>
      </c>
      <c r="GK23" s="11">
        <v>0</v>
      </c>
      <c r="GL23" s="11">
        <v>0</v>
      </c>
      <c r="GM23" s="11">
        <v>0</v>
      </c>
      <c r="GN23" s="11">
        <v>0</v>
      </c>
      <c r="GO23" s="11">
        <v>0</v>
      </c>
      <c r="GP23" s="11">
        <v>0</v>
      </c>
      <c r="GQ23" s="11">
        <v>0</v>
      </c>
      <c r="GR23" s="11">
        <v>0</v>
      </c>
      <c r="GS23" s="11">
        <v>0</v>
      </c>
      <c r="GT23" s="11">
        <v>0</v>
      </c>
      <c r="GU23" s="26">
        <f t="shared" si="16"/>
        <v>0</v>
      </c>
      <c r="GV23" s="11">
        <v>0</v>
      </c>
      <c r="GW23" s="11">
        <v>0</v>
      </c>
      <c r="GX23" s="11">
        <v>0</v>
      </c>
      <c r="GY23" s="11">
        <v>0</v>
      </c>
      <c r="GZ23" s="11">
        <v>0</v>
      </c>
      <c r="HA23" s="11">
        <v>0</v>
      </c>
      <c r="HB23" s="11">
        <v>0</v>
      </c>
      <c r="HC23" s="11">
        <v>0</v>
      </c>
      <c r="HD23" s="11">
        <v>0</v>
      </c>
      <c r="HE23" s="11">
        <v>0</v>
      </c>
      <c r="HF23" s="11">
        <v>0</v>
      </c>
      <c r="HG23" s="11">
        <v>0</v>
      </c>
      <c r="HH23" s="26">
        <f t="shared" si="17"/>
        <v>0</v>
      </c>
      <c r="HI23" s="11">
        <v>0</v>
      </c>
      <c r="HJ23" s="11">
        <v>0</v>
      </c>
      <c r="HK23" s="11">
        <v>0</v>
      </c>
      <c r="HL23" s="11">
        <v>0</v>
      </c>
      <c r="HM23" s="11">
        <v>0</v>
      </c>
      <c r="HN23" s="11">
        <v>0</v>
      </c>
      <c r="HO23" s="11">
        <v>0</v>
      </c>
      <c r="HP23" s="11">
        <v>0</v>
      </c>
      <c r="HQ23" s="11">
        <v>0</v>
      </c>
      <c r="HR23" s="11">
        <v>0</v>
      </c>
      <c r="HS23" s="11">
        <v>0</v>
      </c>
      <c r="HT23" s="11">
        <v>0</v>
      </c>
      <c r="HU23" s="26">
        <f t="shared" si="18"/>
        <v>0</v>
      </c>
      <c r="HV23" s="11">
        <v>0</v>
      </c>
      <c r="HW23" s="11">
        <v>0</v>
      </c>
      <c r="HX23" s="11">
        <v>0</v>
      </c>
      <c r="HY23" s="11">
        <v>0</v>
      </c>
      <c r="HZ23" s="11">
        <v>0</v>
      </c>
      <c r="IA23" s="11">
        <v>0</v>
      </c>
      <c r="IB23" s="11">
        <v>0</v>
      </c>
      <c r="IC23" s="11">
        <v>0</v>
      </c>
      <c r="ID23" s="11">
        <v>0</v>
      </c>
      <c r="IE23" s="11">
        <v>0</v>
      </c>
      <c r="IF23" s="11">
        <v>0</v>
      </c>
      <c r="IG23" s="11">
        <v>0</v>
      </c>
      <c r="IH23" s="26">
        <f t="shared" si="19"/>
        <v>0</v>
      </c>
      <c r="II23" s="9">
        <f t="shared" si="20"/>
        <v>39331</v>
      </c>
      <c r="IJ23" s="9">
        <f t="shared" si="21"/>
        <v>0</v>
      </c>
      <c r="IK23" s="11">
        <v>44959</v>
      </c>
      <c r="IL23" s="11">
        <v>47225</v>
      </c>
      <c r="IM23" s="11">
        <v>44527</v>
      </c>
      <c r="IN23" s="11">
        <v>50148</v>
      </c>
      <c r="IO23" s="11">
        <v>51514</v>
      </c>
      <c r="IP23" s="11">
        <v>44735</v>
      </c>
      <c r="IQ23" s="11">
        <v>48119</v>
      </c>
      <c r="IR23" s="11">
        <v>42421</v>
      </c>
      <c r="IS23" s="11">
        <v>34912</v>
      </c>
      <c r="IT23" s="11">
        <v>45927</v>
      </c>
      <c r="IU23" s="11">
        <v>42551</v>
      </c>
      <c r="IV23" s="11">
        <v>46192</v>
      </c>
      <c r="IW23" s="27">
        <f t="shared" si="22"/>
        <v>543230</v>
      </c>
      <c r="IX23" s="11">
        <v>23378</v>
      </c>
      <c r="IY23" s="11">
        <v>22694</v>
      </c>
      <c r="IZ23" s="11">
        <v>21679</v>
      </c>
      <c r="JA23" s="11">
        <v>23025</v>
      </c>
      <c r="JB23" s="11">
        <v>22334</v>
      </c>
      <c r="JC23" s="11">
        <v>21105</v>
      </c>
      <c r="JD23" s="11">
        <v>22006</v>
      </c>
      <c r="JE23" s="11">
        <v>19748</v>
      </c>
      <c r="JF23" s="11">
        <v>16889</v>
      </c>
      <c r="JG23" s="11">
        <v>21992</v>
      </c>
      <c r="JH23" s="11">
        <v>19156</v>
      </c>
      <c r="JI23" s="11">
        <v>21434</v>
      </c>
      <c r="JJ23" s="27">
        <f t="shared" si="23"/>
        <v>255440</v>
      </c>
      <c r="JK23" s="11">
        <v>20626</v>
      </c>
      <c r="JL23" s="11">
        <v>23596</v>
      </c>
      <c r="JM23" s="11">
        <v>21922</v>
      </c>
      <c r="JN23" s="11">
        <v>25924</v>
      </c>
      <c r="JO23" s="11">
        <v>27861</v>
      </c>
      <c r="JP23" s="11">
        <v>22645</v>
      </c>
      <c r="JQ23" s="11">
        <v>25074</v>
      </c>
      <c r="JR23" s="11">
        <v>21838</v>
      </c>
      <c r="JS23" s="11">
        <v>17314</v>
      </c>
      <c r="JT23" s="11">
        <v>23029</v>
      </c>
      <c r="JU23" s="11">
        <v>22517</v>
      </c>
      <c r="JV23" s="11">
        <v>23865</v>
      </c>
      <c r="JW23" s="27">
        <f t="shared" si="24"/>
        <v>276211</v>
      </c>
      <c r="JX23" s="11">
        <v>955</v>
      </c>
      <c r="JY23" s="11">
        <v>935</v>
      </c>
      <c r="JZ23" s="11">
        <v>926</v>
      </c>
      <c r="KA23" s="11">
        <v>1199</v>
      </c>
      <c r="KB23" s="11">
        <v>1319</v>
      </c>
      <c r="KC23" s="11">
        <v>985</v>
      </c>
      <c r="KD23" s="11">
        <v>1039</v>
      </c>
      <c r="KE23" s="11">
        <v>835</v>
      </c>
      <c r="KF23" s="11">
        <v>709</v>
      </c>
      <c r="KG23" s="11">
        <v>906</v>
      </c>
      <c r="KH23" s="11">
        <v>878</v>
      </c>
      <c r="KI23" s="11">
        <v>893</v>
      </c>
      <c r="KJ23" s="27">
        <f t="shared" si="25"/>
        <v>11579</v>
      </c>
      <c r="KK23" s="11">
        <v>245</v>
      </c>
      <c r="KL23" s="11">
        <v>349</v>
      </c>
      <c r="KM23" s="11">
        <v>312</v>
      </c>
      <c r="KN23" s="11">
        <v>245</v>
      </c>
      <c r="KO23" s="11">
        <v>231</v>
      </c>
      <c r="KP23" s="11">
        <v>232</v>
      </c>
      <c r="KQ23" s="11">
        <v>257</v>
      </c>
      <c r="KR23" s="11">
        <v>254</v>
      </c>
      <c r="KS23" s="11">
        <v>139</v>
      </c>
      <c r="KT23" s="11">
        <v>267</v>
      </c>
      <c r="KU23" s="11">
        <v>191</v>
      </c>
      <c r="KV23" s="11">
        <v>223</v>
      </c>
      <c r="KW23" s="27">
        <f t="shared" si="26"/>
        <v>2945</v>
      </c>
      <c r="KX23" s="11">
        <v>196</v>
      </c>
      <c r="KY23" s="11">
        <v>300</v>
      </c>
      <c r="KZ23" s="11">
        <v>262</v>
      </c>
      <c r="LA23" s="11">
        <v>170</v>
      </c>
      <c r="LB23" s="11">
        <v>174</v>
      </c>
      <c r="LC23" s="11">
        <v>192</v>
      </c>
      <c r="LD23" s="11">
        <v>204</v>
      </c>
      <c r="LE23" s="11">
        <v>197</v>
      </c>
      <c r="LF23" s="11">
        <v>107</v>
      </c>
      <c r="LG23" s="11">
        <v>218</v>
      </c>
      <c r="LH23" s="11">
        <v>155</v>
      </c>
      <c r="LI23" s="11">
        <v>166</v>
      </c>
      <c r="LJ23" s="27">
        <f t="shared" si="27"/>
        <v>2341</v>
      </c>
      <c r="LK23" s="11">
        <v>49</v>
      </c>
      <c r="LL23" s="11">
        <v>49</v>
      </c>
      <c r="LM23" s="11">
        <v>50</v>
      </c>
      <c r="LN23" s="11">
        <v>75</v>
      </c>
      <c r="LO23" s="11">
        <v>57</v>
      </c>
      <c r="LP23" s="11">
        <v>40</v>
      </c>
      <c r="LQ23" s="11">
        <v>53</v>
      </c>
      <c r="LR23" s="11">
        <v>57</v>
      </c>
      <c r="LS23" s="11">
        <v>32</v>
      </c>
      <c r="LT23" s="11">
        <v>49</v>
      </c>
      <c r="LU23" s="11">
        <v>36</v>
      </c>
      <c r="LV23" s="11">
        <v>57</v>
      </c>
      <c r="LW23" s="27">
        <f t="shared" si="28"/>
        <v>604</v>
      </c>
      <c r="LX23" s="11">
        <v>0</v>
      </c>
      <c r="LY23" s="11">
        <v>0</v>
      </c>
      <c r="LZ23" s="11">
        <v>0</v>
      </c>
      <c r="MA23" s="11">
        <v>0</v>
      </c>
      <c r="MB23" s="11">
        <v>0</v>
      </c>
      <c r="MC23" s="11">
        <v>0</v>
      </c>
      <c r="MD23" s="11">
        <v>0</v>
      </c>
      <c r="ME23" s="11">
        <v>0</v>
      </c>
      <c r="MF23" s="11">
        <v>0</v>
      </c>
      <c r="MG23" s="11">
        <v>0</v>
      </c>
      <c r="MH23" s="11">
        <v>0</v>
      </c>
      <c r="MI23" s="11">
        <v>0</v>
      </c>
      <c r="MJ23" s="27">
        <f t="shared" si="29"/>
        <v>0</v>
      </c>
      <c r="MK23" s="11">
        <v>3520</v>
      </c>
      <c r="ML23" s="11">
        <v>3725</v>
      </c>
      <c r="MM23" s="11">
        <v>3296</v>
      </c>
      <c r="MN23" s="11">
        <v>3765</v>
      </c>
      <c r="MO23" s="11">
        <v>3788</v>
      </c>
      <c r="MP23" s="11">
        <v>3683</v>
      </c>
      <c r="MQ23" s="11">
        <v>4005</v>
      </c>
      <c r="MR23" s="11">
        <v>3585</v>
      </c>
      <c r="MS23" s="11">
        <v>3738</v>
      </c>
      <c r="MT23" s="11">
        <v>3724</v>
      </c>
      <c r="MU23" s="11">
        <v>3356</v>
      </c>
      <c r="MV23" s="11">
        <v>3836</v>
      </c>
      <c r="MW23" s="27">
        <f t="shared" si="30"/>
        <v>44021</v>
      </c>
      <c r="MX23" s="11">
        <v>2822</v>
      </c>
      <c r="MY23" s="11">
        <v>3010</v>
      </c>
      <c r="MZ23" s="11">
        <v>2689</v>
      </c>
      <c r="NA23" s="11">
        <v>3009</v>
      </c>
      <c r="NB23" s="11">
        <v>3054</v>
      </c>
      <c r="NC23" s="11">
        <v>2959</v>
      </c>
      <c r="ND23" s="11">
        <v>3245</v>
      </c>
      <c r="NE23" s="11">
        <v>2931</v>
      </c>
      <c r="NF23" s="11">
        <v>3031</v>
      </c>
      <c r="NG23" s="11">
        <v>2980</v>
      </c>
      <c r="NH23" s="11">
        <v>2679</v>
      </c>
      <c r="NI23" s="11">
        <v>3137</v>
      </c>
      <c r="NJ23" s="27">
        <f t="shared" si="31"/>
        <v>35546</v>
      </c>
      <c r="NK23" s="11">
        <v>698</v>
      </c>
      <c r="NL23" s="11">
        <v>715</v>
      </c>
      <c r="NM23" s="11">
        <v>607</v>
      </c>
      <c r="NN23" s="11">
        <v>756</v>
      </c>
      <c r="NO23" s="11">
        <v>734</v>
      </c>
      <c r="NP23" s="11">
        <v>724</v>
      </c>
      <c r="NQ23" s="11">
        <v>760</v>
      </c>
      <c r="NR23" s="11">
        <v>654</v>
      </c>
      <c r="NS23" s="11">
        <v>707</v>
      </c>
      <c r="NT23" s="11">
        <v>744</v>
      </c>
      <c r="NU23" s="11">
        <v>677</v>
      </c>
      <c r="NV23" s="11">
        <v>699</v>
      </c>
      <c r="NW23" s="27">
        <f t="shared" si="32"/>
        <v>8475</v>
      </c>
      <c r="NX23" s="11">
        <v>0</v>
      </c>
      <c r="NY23" s="11">
        <v>0</v>
      </c>
      <c r="NZ23" s="11">
        <v>0</v>
      </c>
      <c r="OA23" s="11">
        <v>0</v>
      </c>
      <c r="OB23" s="11">
        <v>0</v>
      </c>
      <c r="OC23" s="11">
        <v>0</v>
      </c>
      <c r="OD23" s="11">
        <v>0</v>
      </c>
      <c r="OE23" s="11">
        <v>0</v>
      </c>
      <c r="OF23" s="11">
        <v>0</v>
      </c>
      <c r="OG23" s="11">
        <v>0</v>
      </c>
      <c r="OH23" s="11">
        <v>0</v>
      </c>
      <c r="OI23" s="11">
        <v>0</v>
      </c>
      <c r="OJ23" s="27">
        <f t="shared" si="33"/>
        <v>0</v>
      </c>
      <c r="OK23" s="11">
        <v>4252</v>
      </c>
      <c r="OL23" s="11">
        <v>4347</v>
      </c>
      <c r="OM23" s="11">
        <v>4026</v>
      </c>
      <c r="ON23" s="11">
        <v>4446</v>
      </c>
      <c r="OO23" s="11">
        <v>4638</v>
      </c>
      <c r="OP23" s="11">
        <v>4876</v>
      </c>
      <c r="OQ23" s="11">
        <v>4942</v>
      </c>
      <c r="OR23" s="11">
        <v>4653</v>
      </c>
      <c r="OS23" s="11">
        <v>4575</v>
      </c>
      <c r="OT23" s="11">
        <v>5103</v>
      </c>
      <c r="OU23" s="11">
        <v>4661</v>
      </c>
      <c r="OV23" s="11">
        <v>5193</v>
      </c>
      <c r="OW23" s="27">
        <f t="shared" si="34"/>
        <v>55712</v>
      </c>
      <c r="OX23" s="11">
        <v>3487</v>
      </c>
      <c r="OY23" s="11">
        <v>3554</v>
      </c>
      <c r="OZ23" s="11">
        <v>3302</v>
      </c>
      <c r="PA23" s="11">
        <v>3663</v>
      </c>
      <c r="PB23" s="11">
        <v>3852</v>
      </c>
      <c r="PC23" s="11">
        <v>4075</v>
      </c>
      <c r="PD23" s="11">
        <v>4104</v>
      </c>
      <c r="PE23" s="11">
        <v>3839</v>
      </c>
      <c r="PF23" s="11">
        <v>3806</v>
      </c>
      <c r="PG23" s="11">
        <v>4281</v>
      </c>
      <c r="PH23" s="11">
        <v>3879</v>
      </c>
      <c r="PI23" s="11">
        <v>4382</v>
      </c>
      <c r="PJ23" s="27">
        <f t="shared" si="35"/>
        <v>46224</v>
      </c>
      <c r="PK23" s="11">
        <v>765</v>
      </c>
      <c r="PL23" s="11">
        <v>793</v>
      </c>
      <c r="PM23" s="11">
        <v>724</v>
      </c>
      <c r="PN23" s="11">
        <v>783</v>
      </c>
      <c r="PO23" s="11">
        <v>786</v>
      </c>
      <c r="PP23" s="11">
        <v>801</v>
      </c>
      <c r="PQ23" s="11">
        <v>838</v>
      </c>
      <c r="PR23" s="11">
        <v>814</v>
      </c>
      <c r="PS23" s="11">
        <v>769</v>
      </c>
      <c r="PT23" s="11">
        <v>822</v>
      </c>
      <c r="PU23" s="11">
        <v>782</v>
      </c>
      <c r="PV23" s="11">
        <v>811</v>
      </c>
      <c r="PW23" s="27">
        <f t="shared" si="36"/>
        <v>9488</v>
      </c>
      <c r="PX23" s="11">
        <v>0</v>
      </c>
      <c r="PY23" s="11">
        <v>0</v>
      </c>
      <c r="PZ23" s="11">
        <v>0</v>
      </c>
      <c r="QA23" s="11">
        <v>0</v>
      </c>
      <c r="QB23" s="11">
        <v>0</v>
      </c>
      <c r="QC23" s="11">
        <v>0</v>
      </c>
      <c r="QD23" s="11">
        <v>0</v>
      </c>
      <c r="QE23" s="11">
        <v>0</v>
      </c>
      <c r="QF23" s="11">
        <v>0</v>
      </c>
      <c r="QG23" s="11">
        <v>0</v>
      </c>
      <c r="QH23" s="11">
        <v>0</v>
      </c>
      <c r="QI23" s="11">
        <v>0</v>
      </c>
      <c r="QJ23" s="27">
        <f t="shared" si="37"/>
        <v>0</v>
      </c>
      <c r="QK23" s="11">
        <v>29635</v>
      </c>
      <c r="QL23" s="11">
        <v>30205</v>
      </c>
      <c r="QM23" s="11">
        <v>30083</v>
      </c>
      <c r="QN23" s="11">
        <v>30003</v>
      </c>
      <c r="QO23" s="11">
        <v>30046</v>
      </c>
      <c r="QP23" s="11">
        <v>27734</v>
      </c>
      <c r="QQ23" s="11">
        <v>30002</v>
      </c>
      <c r="QR23" s="11">
        <v>25754</v>
      </c>
      <c r="QS23" s="11">
        <v>20523</v>
      </c>
      <c r="QT23" s="11">
        <v>26646</v>
      </c>
      <c r="QU23" s="11">
        <v>28695</v>
      </c>
      <c r="QV23" s="11">
        <v>29750</v>
      </c>
      <c r="QW23" s="27">
        <f t="shared" si="38"/>
        <v>339076</v>
      </c>
      <c r="QX23" s="11">
        <v>33567</v>
      </c>
      <c r="QY23" s="11">
        <v>29676</v>
      </c>
      <c r="QZ23" s="11">
        <v>33953</v>
      </c>
      <c r="RA23" s="11">
        <v>34353</v>
      </c>
      <c r="RB23" s="11">
        <v>31136</v>
      </c>
      <c r="RC23" s="11">
        <v>29302</v>
      </c>
      <c r="RD23" s="11">
        <v>34993</v>
      </c>
      <c r="RE23" s="11">
        <v>29643</v>
      </c>
      <c r="RF23" s="11">
        <v>20360</v>
      </c>
      <c r="RG23" s="11">
        <v>22199</v>
      </c>
      <c r="RH23" s="11">
        <v>25039</v>
      </c>
      <c r="RI23" s="11">
        <v>25049</v>
      </c>
      <c r="RJ23" s="27">
        <f t="shared" si="39"/>
        <v>349270</v>
      </c>
      <c r="RK23" s="11">
        <v>0</v>
      </c>
      <c r="RL23" s="11">
        <v>0</v>
      </c>
      <c r="RM23" s="11">
        <v>0</v>
      </c>
      <c r="RN23" s="11">
        <v>0</v>
      </c>
      <c r="RO23" s="11">
        <v>0</v>
      </c>
      <c r="RP23" s="11">
        <v>0</v>
      </c>
      <c r="RQ23" s="11">
        <v>0</v>
      </c>
      <c r="RR23" s="11">
        <v>0</v>
      </c>
      <c r="RS23" s="11">
        <v>0</v>
      </c>
      <c r="RT23" s="11">
        <v>0</v>
      </c>
      <c r="RU23" s="11">
        <v>0</v>
      </c>
      <c r="RV23" s="11">
        <v>0</v>
      </c>
      <c r="RW23" s="27">
        <f t="shared" si="40"/>
        <v>0</v>
      </c>
      <c r="RX23" s="11">
        <v>0</v>
      </c>
      <c r="RY23" s="11">
        <v>0</v>
      </c>
      <c r="RZ23" s="11">
        <v>0</v>
      </c>
      <c r="SA23" s="11">
        <v>0</v>
      </c>
      <c r="SB23" s="11">
        <v>0</v>
      </c>
      <c r="SC23" s="11">
        <v>0</v>
      </c>
      <c r="SD23" s="11">
        <v>0</v>
      </c>
      <c r="SE23" s="11">
        <v>0</v>
      </c>
      <c r="SF23" s="11">
        <v>0</v>
      </c>
      <c r="SG23" s="11">
        <v>0</v>
      </c>
      <c r="SH23" s="11">
        <v>0</v>
      </c>
      <c r="SI23" s="11">
        <v>0</v>
      </c>
      <c r="SJ23" s="27">
        <f t="shared" si="41"/>
        <v>0</v>
      </c>
      <c r="SK23" s="11">
        <v>91</v>
      </c>
      <c r="SL23" s="11">
        <v>70</v>
      </c>
      <c r="SM23" s="11">
        <v>60</v>
      </c>
      <c r="SN23" s="11">
        <v>52</v>
      </c>
      <c r="SO23" s="11">
        <v>65</v>
      </c>
      <c r="SP23" s="11">
        <v>66</v>
      </c>
      <c r="SQ23" s="11">
        <v>84</v>
      </c>
      <c r="SR23" s="11">
        <v>79</v>
      </c>
      <c r="SS23" s="11">
        <v>53</v>
      </c>
      <c r="ST23" s="11">
        <v>47</v>
      </c>
      <c r="SU23" s="11">
        <v>79</v>
      </c>
      <c r="SV23" s="11">
        <v>58</v>
      </c>
      <c r="SW23" s="27">
        <f t="shared" si="42"/>
        <v>804</v>
      </c>
      <c r="SX23" s="11" t="s">
        <v>2658</v>
      </c>
      <c r="SY23" s="11">
        <v>5395</v>
      </c>
      <c r="SZ23" s="11">
        <v>5055</v>
      </c>
      <c r="TA23" s="11">
        <v>4720</v>
      </c>
      <c r="TB23" s="11">
        <v>4977</v>
      </c>
      <c r="TC23" s="11">
        <v>4607</v>
      </c>
      <c r="TD23" s="11">
        <v>5078</v>
      </c>
      <c r="TE23" s="11">
        <v>5331</v>
      </c>
      <c r="TF23" s="11">
        <v>5520</v>
      </c>
      <c r="TG23" s="11">
        <v>3920</v>
      </c>
      <c r="TH23" s="11">
        <v>5553</v>
      </c>
      <c r="TI23" s="11">
        <v>5358</v>
      </c>
      <c r="TJ23" s="11">
        <v>5764</v>
      </c>
      <c r="TK23" s="27">
        <f t="shared" si="43"/>
        <v>61278</v>
      </c>
      <c r="TL23" s="11">
        <v>0</v>
      </c>
      <c r="TM23" s="11">
        <v>0</v>
      </c>
      <c r="TN23" s="11">
        <v>0</v>
      </c>
      <c r="TO23" s="11">
        <v>0</v>
      </c>
      <c r="TP23" s="11">
        <v>0</v>
      </c>
      <c r="TQ23" s="11">
        <v>0</v>
      </c>
      <c r="TR23" s="11">
        <v>0</v>
      </c>
      <c r="TS23" s="11">
        <v>0</v>
      </c>
      <c r="TT23" s="11">
        <v>0</v>
      </c>
      <c r="TU23" s="11">
        <v>0</v>
      </c>
      <c r="TV23" s="11">
        <v>0</v>
      </c>
      <c r="TW23" s="11">
        <v>0</v>
      </c>
      <c r="TX23" s="27">
        <f t="shared" si="44"/>
        <v>0</v>
      </c>
      <c r="TY23" s="11">
        <v>139</v>
      </c>
      <c r="TZ23" s="11">
        <v>0</v>
      </c>
      <c r="UA23" s="11">
        <v>0</v>
      </c>
    </row>
    <row r="24" spans="1:547" ht="16" customHeight="1" x14ac:dyDescent="0.35">
      <c r="A24" s="11" t="s">
        <v>1536</v>
      </c>
      <c r="B24" s="11">
        <v>16582</v>
      </c>
      <c r="C24" s="11"/>
      <c r="D24" s="11"/>
      <c r="E24" s="11"/>
      <c r="F24" s="11">
        <v>251</v>
      </c>
      <c r="G24" s="11">
        <v>265</v>
      </c>
      <c r="H24" s="11">
        <v>289</v>
      </c>
      <c r="I24" s="11">
        <v>266</v>
      </c>
      <c r="J24" s="11">
        <v>223</v>
      </c>
      <c r="K24" s="11">
        <v>219</v>
      </c>
      <c r="L24" s="11">
        <v>292</v>
      </c>
      <c r="M24" s="11">
        <v>287</v>
      </c>
      <c r="N24" s="11">
        <v>197</v>
      </c>
      <c r="O24" s="11">
        <v>255</v>
      </c>
      <c r="P24" s="11" t="s">
        <v>2865</v>
      </c>
      <c r="Q24" s="11">
        <v>231</v>
      </c>
      <c r="R24" s="11">
        <v>262</v>
      </c>
      <c r="S24" s="26">
        <f t="shared" si="0"/>
        <v>3037</v>
      </c>
      <c r="T24" s="11">
        <v>0</v>
      </c>
      <c r="U24" s="11">
        <v>0</v>
      </c>
      <c r="V24" s="11">
        <v>0</v>
      </c>
      <c r="W24" s="11">
        <v>0</v>
      </c>
      <c r="X24" s="11">
        <v>0</v>
      </c>
      <c r="Y24" s="11">
        <v>0</v>
      </c>
      <c r="Z24" s="11">
        <v>0</v>
      </c>
      <c r="AA24" s="11">
        <v>0</v>
      </c>
      <c r="AB24" s="11">
        <v>0</v>
      </c>
      <c r="AC24" s="11">
        <v>0</v>
      </c>
      <c r="AD24" s="11">
        <v>0</v>
      </c>
      <c r="AE24" s="11">
        <v>0</v>
      </c>
      <c r="AF24" s="26">
        <f t="shared" si="1"/>
        <v>0</v>
      </c>
      <c r="AG24" s="11">
        <v>0</v>
      </c>
      <c r="AH24" s="11">
        <v>0</v>
      </c>
      <c r="AI24" s="11">
        <v>0</v>
      </c>
      <c r="AJ24" s="11">
        <v>0</v>
      </c>
      <c r="AK24" s="11">
        <v>0</v>
      </c>
      <c r="AL24" s="11">
        <v>0</v>
      </c>
      <c r="AM24" s="11">
        <v>0</v>
      </c>
      <c r="AN24" s="11">
        <v>0</v>
      </c>
      <c r="AO24" s="11">
        <v>0</v>
      </c>
      <c r="AP24" s="11">
        <v>0</v>
      </c>
      <c r="AQ24" s="11">
        <v>0</v>
      </c>
      <c r="AR24" s="11">
        <v>0</v>
      </c>
      <c r="AS24" s="26">
        <f t="shared" si="2"/>
        <v>0</v>
      </c>
      <c r="AT24" s="11">
        <v>0</v>
      </c>
      <c r="AU24" s="11">
        <v>0</v>
      </c>
      <c r="AV24" s="11">
        <v>0</v>
      </c>
      <c r="AW24" s="11">
        <v>0</v>
      </c>
      <c r="AX24" s="11">
        <v>0</v>
      </c>
      <c r="AY24" s="11">
        <v>0</v>
      </c>
      <c r="AZ24" s="11">
        <v>0</v>
      </c>
      <c r="BA24" s="11">
        <v>0</v>
      </c>
      <c r="BB24" s="11">
        <v>0</v>
      </c>
      <c r="BC24" s="11">
        <v>0</v>
      </c>
      <c r="BD24" s="11">
        <v>0</v>
      </c>
      <c r="BE24" s="11">
        <v>0</v>
      </c>
      <c r="BF24" s="26">
        <f t="shared" si="3"/>
        <v>0</v>
      </c>
      <c r="BG24" s="11">
        <v>0</v>
      </c>
      <c r="BH24" s="11">
        <v>0</v>
      </c>
      <c r="BI24" s="11">
        <v>0</v>
      </c>
      <c r="BJ24" s="11">
        <v>0</v>
      </c>
      <c r="BK24" s="11">
        <v>0</v>
      </c>
      <c r="BL24" s="11">
        <v>0</v>
      </c>
      <c r="BM24" s="11">
        <v>0</v>
      </c>
      <c r="BN24" s="11">
        <v>0</v>
      </c>
      <c r="BO24" s="11">
        <v>0</v>
      </c>
      <c r="BP24" s="11">
        <v>0</v>
      </c>
      <c r="BQ24" s="11">
        <v>0</v>
      </c>
      <c r="BR24" s="11">
        <v>0</v>
      </c>
      <c r="BS24" s="26">
        <f t="shared" si="4"/>
        <v>0</v>
      </c>
      <c r="BT24" s="11">
        <v>0</v>
      </c>
      <c r="BU24" s="11">
        <v>0</v>
      </c>
      <c r="BV24" s="11">
        <v>0</v>
      </c>
      <c r="BW24" s="11">
        <v>0</v>
      </c>
      <c r="BX24" s="11">
        <v>0</v>
      </c>
      <c r="BY24" s="11">
        <v>0</v>
      </c>
      <c r="BZ24" s="11">
        <v>0</v>
      </c>
      <c r="CA24" s="11">
        <v>0</v>
      </c>
      <c r="CB24" s="11">
        <v>0</v>
      </c>
      <c r="CC24" s="11">
        <v>0</v>
      </c>
      <c r="CD24" s="11">
        <v>0</v>
      </c>
      <c r="CE24" s="11">
        <v>0</v>
      </c>
      <c r="CF24" s="26">
        <f t="shared" si="5"/>
        <v>0</v>
      </c>
      <c r="CG24" s="11">
        <v>0</v>
      </c>
      <c r="CH24" s="11">
        <v>0</v>
      </c>
      <c r="CI24" s="11">
        <v>0</v>
      </c>
      <c r="CJ24" s="11">
        <v>0</v>
      </c>
      <c r="CK24" s="11">
        <v>0</v>
      </c>
      <c r="CL24" s="11">
        <v>0</v>
      </c>
      <c r="CM24" s="11">
        <v>0</v>
      </c>
      <c r="CN24" s="11">
        <v>0</v>
      </c>
      <c r="CO24" s="11">
        <v>0</v>
      </c>
      <c r="CP24" s="11">
        <v>0</v>
      </c>
      <c r="CQ24" s="11">
        <v>0</v>
      </c>
      <c r="CR24" s="11">
        <v>0</v>
      </c>
      <c r="CS24" s="26">
        <f t="shared" si="6"/>
        <v>0</v>
      </c>
      <c r="CT24" s="11">
        <v>0</v>
      </c>
      <c r="CU24" s="11">
        <v>0</v>
      </c>
      <c r="CV24" s="11">
        <v>0</v>
      </c>
      <c r="CW24" s="11">
        <v>0</v>
      </c>
      <c r="CX24" s="11">
        <v>0</v>
      </c>
      <c r="CY24" s="11">
        <v>0</v>
      </c>
      <c r="CZ24" s="11">
        <v>0</v>
      </c>
      <c r="DA24" s="11">
        <v>0</v>
      </c>
      <c r="DB24" s="11">
        <v>0</v>
      </c>
      <c r="DC24" s="11">
        <v>0</v>
      </c>
      <c r="DD24" s="11">
        <v>0</v>
      </c>
      <c r="DE24" s="11">
        <v>0</v>
      </c>
      <c r="DF24" s="26">
        <f t="shared" si="7"/>
        <v>0</v>
      </c>
      <c r="DG24" s="11">
        <v>0</v>
      </c>
      <c r="DH24" s="11">
        <v>0</v>
      </c>
      <c r="DI24" s="11">
        <v>0</v>
      </c>
      <c r="DJ24" s="11">
        <v>0</v>
      </c>
      <c r="DK24" s="11">
        <v>0</v>
      </c>
      <c r="DL24" s="11">
        <v>0</v>
      </c>
      <c r="DM24" s="11">
        <v>0</v>
      </c>
      <c r="DN24" s="11">
        <v>0</v>
      </c>
      <c r="DO24" s="11">
        <v>0</v>
      </c>
      <c r="DP24" s="11">
        <v>0</v>
      </c>
      <c r="DQ24" s="11">
        <v>0</v>
      </c>
      <c r="DR24" s="11">
        <v>0</v>
      </c>
      <c r="DS24" s="26">
        <f t="shared" si="8"/>
        <v>0</v>
      </c>
      <c r="DT24" s="11">
        <v>0</v>
      </c>
      <c r="DU24" s="11">
        <v>0</v>
      </c>
      <c r="DV24" s="11">
        <v>0</v>
      </c>
      <c r="DW24" s="11">
        <v>0</v>
      </c>
      <c r="DX24" s="11">
        <v>0</v>
      </c>
      <c r="DY24" s="11">
        <v>0</v>
      </c>
      <c r="DZ24" s="11">
        <v>0</v>
      </c>
      <c r="EA24" s="11">
        <v>0</v>
      </c>
      <c r="EB24" s="11">
        <v>0</v>
      </c>
      <c r="EC24" s="11">
        <v>0</v>
      </c>
      <c r="ED24" s="11">
        <v>0</v>
      </c>
      <c r="EE24" s="11">
        <v>0</v>
      </c>
      <c r="EF24" s="26">
        <f t="shared" si="9"/>
        <v>0</v>
      </c>
      <c r="EG24" s="9">
        <f t="shared" si="10"/>
        <v>0</v>
      </c>
      <c r="EH24" s="9">
        <f t="shared" si="11"/>
        <v>0</v>
      </c>
      <c r="EI24" s="11">
        <v>2581</v>
      </c>
      <c r="EJ24" s="11">
        <v>2749</v>
      </c>
      <c r="EK24" s="11">
        <v>3655</v>
      </c>
      <c r="EL24" s="11">
        <v>4624</v>
      </c>
      <c r="EM24" s="11">
        <v>2622</v>
      </c>
      <c r="EN24" s="11">
        <v>1904</v>
      </c>
      <c r="EO24" s="11">
        <v>3249</v>
      </c>
      <c r="EP24" s="11">
        <v>3251</v>
      </c>
      <c r="EQ24" s="11">
        <v>2218</v>
      </c>
      <c r="ER24" s="11">
        <v>2149</v>
      </c>
      <c r="ES24" s="11">
        <v>2106</v>
      </c>
      <c r="ET24" s="11">
        <v>2395</v>
      </c>
      <c r="EU24" s="26">
        <f t="shared" si="12"/>
        <v>33503</v>
      </c>
      <c r="EV24" s="11">
        <v>1726</v>
      </c>
      <c r="EW24" s="11">
        <v>1762</v>
      </c>
      <c r="EX24" s="11">
        <v>2149</v>
      </c>
      <c r="EY24" s="11">
        <v>1819</v>
      </c>
      <c r="EZ24" s="11">
        <v>1812</v>
      </c>
      <c r="FA24" s="11">
        <v>1399</v>
      </c>
      <c r="FB24" s="11">
        <v>2096</v>
      </c>
      <c r="FC24" s="11">
        <v>2214</v>
      </c>
      <c r="FD24" s="11">
        <v>1746</v>
      </c>
      <c r="FE24" s="11">
        <v>1596</v>
      </c>
      <c r="FF24" s="11">
        <v>1441</v>
      </c>
      <c r="FG24" s="11">
        <v>1609</v>
      </c>
      <c r="FH24" s="26">
        <f t="shared" si="13"/>
        <v>21369</v>
      </c>
      <c r="FI24" s="11">
        <v>0</v>
      </c>
      <c r="FJ24" s="11">
        <v>0</v>
      </c>
      <c r="FK24" s="11">
        <v>0</v>
      </c>
      <c r="FL24" s="11">
        <v>0</v>
      </c>
      <c r="FM24" s="11">
        <v>0</v>
      </c>
      <c r="FN24" s="11">
        <v>0</v>
      </c>
      <c r="FO24" s="11">
        <v>0</v>
      </c>
      <c r="FP24" s="11">
        <v>0</v>
      </c>
      <c r="FQ24" s="11">
        <v>0</v>
      </c>
      <c r="FR24" s="11">
        <v>0</v>
      </c>
      <c r="FS24" s="11">
        <v>0</v>
      </c>
      <c r="FT24" s="11">
        <v>0</v>
      </c>
      <c r="FU24" s="26">
        <f t="shared" si="14"/>
        <v>0</v>
      </c>
      <c r="FV24" s="11">
        <v>0</v>
      </c>
      <c r="FW24" s="11">
        <v>0</v>
      </c>
      <c r="FX24" s="11">
        <v>0</v>
      </c>
      <c r="FY24" s="11">
        <v>0</v>
      </c>
      <c r="FZ24" s="11">
        <v>0</v>
      </c>
      <c r="GA24" s="11">
        <v>0</v>
      </c>
      <c r="GB24" s="11">
        <v>0</v>
      </c>
      <c r="GC24" s="11">
        <v>0</v>
      </c>
      <c r="GD24" s="11">
        <v>0</v>
      </c>
      <c r="GE24" s="11">
        <v>0</v>
      </c>
      <c r="GF24" s="11">
        <v>0</v>
      </c>
      <c r="GG24" s="11">
        <v>0</v>
      </c>
      <c r="GH24" s="26">
        <f t="shared" si="15"/>
        <v>0</v>
      </c>
      <c r="GI24" s="11">
        <v>0</v>
      </c>
      <c r="GJ24" s="11">
        <v>0</v>
      </c>
      <c r="GK24" s="11">
        <v>0</v>
      </c>
      <c r="GL24" s="11">
        <v>0</v>
      </c>
      <c r="GM24" s="11">
        <v>0</v>
      </c>
      <c r="GN24" s="11">
        <v>0</v>
      </c>
      <c r="GO24" s="11">
        <v>0</v>
      </c>
      <c r="GP24" s="11">
        <v>0</v>
      </c>
      <c r="GQ24" s="11">
        <v>0</v>
      </c>
      <c r="GR24" s="11">
        <v>0</v>
      </c>
      <c r="GS24" s="11">
        <v>0</v>
      </c>
      <c r="GT24" s="11">
        <v>0</v>
      </c>
      <c r="GU24" s="26">
        <f t="shared" si="16"/>
        <v>0</v>
      </c>
      <c r="GV24" s="11">
        <v>0</v>
      </c>
      <c r="GW24" s="11">
        <v>0</v>
      </c>
      <c r="GX24" s="11">
        <v>0</v>
      </c>
      <c r="GY24" s="11">
        <v>0</v>
      </c>
      <c r="GZ24" s="11">
        <v>0</v>
      </c>
      <c r="HA24" s="11">
        <v>0</v>
      </c>
      <c r="HB24" s="11">
        <v>0</v>
      </c>
      <c r="HC24" s="11">
        <v>0</v>
      </c>
      <c r="HD24" s="11">
        <v>0</v>
      </c>
      <c r="HE24" s="11">
        <v>0</v>
      </c>
      <c r="HF24" s="11">
        <v>0</v>
      </c>
      <c r="HG24" s="11">
        <v>0</v>
      </c>
      <c r="HH24" s="26">
        <f t="shared" si="17"/>
        <v>0</v>
      </c>
      <c r="HI24" s="11">
        <v>0</v>
      </c>
      <c r="HJ24" s="11">
        <v>0</v>
      </c>
      <c r="HK24" s="11">
        <v>0</v>
      </c>
      <c r="HL24" s="11">
        <v>0</v>
      </c>
      <c r="HM24" s="11">
        <v>0</v>
      </c>
      <c r="HN24" s="11">
        <v>0</v>
      </c>
      <c r="HO24" s="11">
        <v>0</v>
      </c>
      <c r="HP24" s="11">
        <v>0</v>
      </c>
      <c r="HQ24" s="11">
        <v>0</v>
      </c>
      <c r="HR24" s="11">
        <v>0</v>
      </c>
      <c r="HS24" s="11">
        <v>0</v>
      </c>
      <c r="HT24" s="11">
        <v>0</v>
      </c>
      <c r="HU24" s="26">
        <f t="shared" si="18"/>
        <v>0</v>
      </c>
      <c r="HV24" s="11">
        <v>0</v>
      </c>
      <c r="HW24" s="11">
        <v>0</v>
      </c>
      <c r="HX24" s="11">
        <v>0</v>
      </c>
      <c r="HY24" s="11">
        <v>0</v>
      </c>
      <c r="HZ24" s="11">
        <v>0</v>
      </c>
      <c r="IA24" s="11">
        <v>0</v>
      </c>
      <c r="IB24" s="11">
        <v>0</v>
      </c>
      <c r="IC24" s="11">
        <v>0</v>
      </c>
      <c r="ID24" s="11">
        <v>0</v>
      </c>
      <c r="IE24" s="11">
        <v>0</v>
      </c>
      <c r="IF24" s="11">
        <v>0</v>
      </c>
      <c r="IG24" s="11">
        <v>0</v>
      </c>
      <c r="IH24" s="26">
        <f t="shared" si="19"/>
        <v>0</v>
      </c>
      <c r="II24" s="9">
        <f t="shared" si="20"/>
        <v>21369</v>
      </c>
      <c r="IJ24" s="9">
        <f t="shared" si="21"/>
        <v>0</v>
      </c>
      <c r="IK24" s="11">
        <v>40309</v>
      </c>
      <c r="IL24" s="11">
        <v>36914</v>
      </c>
      <c r="IM24" s="11">
        <v>34625</v>
      </c>
      <c r="IN24" s="11">
        <v>43107</v>
      </c>
      <c r="IO24" s="11">
        <v>46822</v>
      </c>
      <c r="IP24" s="11">
        <v>38738</v>
      </c>
      <c r="IQ24" s="11">
        <v>40962</v>
      </c>
      <c r="IR24" s="11">
        <v>38105</v>
      </c>
      <c r="IS24" s="11">
        <v>31579</v>
      </c>
      <c r="IT24" s="11">
        <v>39208</v>
      </c>
      <c r="IU24" s="11">
        <v>26525</v>
      </c>
      <c r="IV24" s="11">
        <v>31447</v>
      </c>
      <c r="IW24" s="27">
        <f t="shared" si="22"/>
        <v>448341</v>
      </c>
      <c r="IX24" s="11">
        <v>25808</v>
      </c>
      <c r="IY24" s="11">
        <v>24230</v>
      </c>
      <c r="IZ24" s="11">
        <v>23502</v>
      </c>
      <c r="JA24" s="11">
        <v>26660</v>
      </c>
      <c r="JB24" s="11">
        <v>27023</v>
      </c>
      <c r="JC24" s="11">
        <v>25568</v>
      </c>
      <c r="JD24" s="11">
        <v>26587</v>
      </c>
      <c r="JE24" s="11">
        <v>25489</v>
      </c>
      <c r="JF24" s="11">
        <v>22780</v>
      </c>
      <c r="JG24" s="11">
        <v>27694</v>
      </c>
      <c r="JH24" s="11">
        <v>17876</v>
      </c>
      <c r="JI24" s="11">
        <v>21533</v>
      </c>
      <c r="JJ24" s="27">
        <f t="shared" si="23"/>
        <v>294750</v>
      </c>
      <c r="JK24" s="11">
        <v>0</v>
      </c>
      <c r="JL24" s="11">
        <v>0</v>
      </c>
      <c r="JM24" s="11">
        <v>0</v>
      </c>
      <c r="JN24" s="11">
        <v>0</v>
      </c>
      <c r="JO24" s="11">
        <v>0</v>
      </c>
      <c r="JP24" s="11">
        <v>0</v>
      </c>
      <c r="JQ24" s="11">
        <v>0</v>
      </c>
      <c r="JR24" s="11">
        <v>0</v>
      </c>
      <c r="JS24" s="11">
        <v>0</v>
      </c>
      <c r="JT24" s="11">
        <v>0</v>
      </c>
      <c r="JU24" s="11">
        <v>0</v>
      </c>
      <c r="JV24" s="11">
        <v>0</v>
      </c>
      <c r="JW24" s="27">
        <f t="shared" si="24"/>
        <v>0</v>
      </c>
      <c r="JX24" s="11">
        <v>0</v>
      </c>
      <c r="JY24" s="11">
        <v>0</v>
      </c>
      <c r="JZ24" s="11">
        <v>0</v>
      </c>
      <c r="KA24" s="11">
        <v>0</v>
      </c>
      <c r="KB24" s="11">
        <v>0</v>
      </c>
      <c r="KC24" s="11">
        <v>0</v>
      </c>
      <c r="KD24" s="11">
        <v>0</v>
      </c>
      <c r="KE24" s="11">
        <v>0</v>
      </c>
      <c r="KF24" s="11">
        <v>0</v>
      </c>
      <c r="KG24" s="11">
        <v>0</v>
      </c>
      <c r="KH24" s="11">
        <v>0</v>
      </c>
      <c r="KI24" s="11">
        <v>0</v>
      </c>
      <c r="KJ24" s="27">
        <f t="shared" si="25"/>
        <v>0</v>
      </c>
      <c r="KK24" s="11">
        <v>974</v>
      </c>
      <c r="KL24" s="11">
        <v>890</v>
      </c>
      <c r="KM24" s="11">
        <v>790</v>
      </c>
      <c r="KN24" s="11">
        <v>943</v>
      </c>
      <c r="KO24" s="11">
        <v>962</v>
      </c>
      <c r="KP24" s="11">
        <v>825</v>
      </c>
      <c r="KQ24" s="11">
        <v>837</v>
      </c>
      <c r="KR24" s="11">
        <v>897</v>
      </c>
      <c r="KS24" s="11">
        <v>808</v>
      </c>
      <c r="KT24" s="11">
        <v>739</v>
      </c>
      <c r="KU24" s="11">
        <v>537</v>
      </c>
      <c r="KV24" s="11">
        <v>683</v>
      </c>
      <c r="KW24" s="27">
        <f t="shared" si="26"/>
        <v>9885</v>
      </c>
      <c r="KX24" s="11">
        <v>878</v>
      </c>
      <c r="KY24" s="11">
        <v>818</v>
      </c>
      <c r="KZ24" s="11">
        <v>744</v>
      </c>
      <c r="LA24" s="11">
        <v>856</v>
      </c>
      <c r="LB24" s="11">
        <v>835</v>
      </c>
      <c r="LC24" s="11">
        <v>725</v>
      </c>
      <c r="LD24" s="11">
        <v>720</v>
      </c>
      <c r="LE24" s="11">
        <v>843</v>
      </c>
      <c r="LF24" s="11">
        <v>766</v>
      </c>
      <c r="LG24" s="11">
        <v>692</v>
      </c>
      <c r="LH24" s="11">
        <v>490</v>
      </c>
      <c r="LI24" s="11">
        <v>615</v>
      </c>
      <c r="LJ24" s="27">
        <f t="shared" si="27"/>
        <v>8982</v>
      </c>
      <c r="LK24" s="11">
        <v>0</v>
      </c>
      <c r="LL24" s="11">
        <v>0</v>
      </c>
      <c r="LM24" s="11">
        <v>0</v>
      </c>
      <c r="LN24" s="11">
        <v>0</v>
      </c>
      <c r="LO24" s="11">
        <v>0</v>
      </c>
      <c r="LP24" s="11">
        <v>0</v>
      </c>
      <c r="LQ24" s="11">
        <v>0</v>
      </c>
      <c r="LR24" s="11">
        <v>0</v>
      </c>
      <c r="LS24" s="11">
        <v>0</v>
      </c>
      <c r="LT24" s="11">
        <v>0</v>
      </c>
      <c r="LU24" s="11">
        <v>0</v>
      </c>
      <c r="LV24" s="11">
        <v>0</v>
      </c>
      <c r="LW24" s="27">
        <f t="shared" si="28"/>
        <v>0</v>
      </c>
      <c r="LX24" s="11">
        <v>0</v>
      </c>
      <c r="LY24" s="11">
        <v>0</v>
      </c>
      <c r="LZ24" s="11">
        <v>0</v>
      </c>
      <c r="MA24" s="11">
        <v>0</v>
      </c>
      <c r="MB24" s="11">
        <v>0</v>
      </c>
      <c r="MC24" s="11">
        <v>0</v>
      </c>
      <c r="MD24" s="11">
        <v>0</v>
      </c>
      <c r="ME24" s="11">
        <v>0</v>
      </c>
      <c r="MF24" s="11">
        <v>0</v>
      </c>
      <c r="MG24" s="11">
        <v>0</v>
      </c>
      <c r="MH24" s="11">
        <v>0</v>
      </c>
      <c r="MI24" s="11">
        <v>0</v>
      </c>
      <c r="MJ24" s="27">
        <f t="shared" si="29"/>
        <v>0</v>
      </c>
      <c r="MK24" s="11">
        <v>7846</v>
      </c>
      <c r="ML24" s="11">
        <v>7820</v>
      </c>
      <c r="MM24" s="11">
        <v>7515</v>
      </c>
      <c r="MN24" s="11">
        <v>7918</v>
      </c>
      <c r="MO24" s="11">
        <v>8117</v>
      </c>
      <c r="MP24" s="11">
        <v>8024</v>
      </c>
      <c r="MQ24" s="11">
        <v>7936</v>
      </c>
      <c r="MR24" s="11">
        <v>7817</v>
      </c>
      <c r="MS24" s="11">
        <v>7627</v>
      </c>
      <c r="MT24" s="11">
        <v>8036</v>
      </c>
      <c r="MU24" s="11">
        <v>7536</v>
      </c>
      <c r="MV24" s="11">
        <v>8201</v>
      </c>
      <c r="MW24" s="27">
        <f t="shared" si="30"/>
        <v>94393</v>
      </c>
      <c r="MX24" s="11">
        <v>0</v>
      </c>
      <c r="MY24" s="11">
        <v>0</v>
      </c>
      <c r="MZ24" s="11">
        <v>0</v>
      </c>
      <c r="NA24" s="11">
        <v>0</v>
      </c>
      <c r="NB24" s="11">
        <v>0</v>
      </c>
      <c r="NC24" s="11">
        <v>0</v>
      </c>
      <c r="ND24" s="11">
        <v>0</v>
      </c>
      <c r="NE24" s="11">
        <v>0</v>
      </c>
      <c r="NF24" s="11">
        <v>0</v>
      </c>
      <c r="NG24" s="11">
        <v>0</v>
      </c>
      <c r="NH24" s="11">
        <v>0</v>
      </c>
      <c r="NI24" s="11">
        <v>0</v>
      </c>
      <c r="NJ24" s="27">
        <f t="shared" si="31"/>
        <v>0</v>
      </c>
      <c r="NK24" s="11">
        <v>0</v>
      </c>
      <c r="NL24" s="11">
        <v>0</v>
      </c>
      <c r="NM24" s="11">
        <v>0</v>
      </c>
      <c r="NN24" s="11">
        <v>0</v>
      </c>
      <c r="NO24" s="11">
        <v>0</v>
      </c>
      <c r="NP24" s="11">
        <v>0</v>
      </c>
      <c r="NQ24" s="11">
        <v>0</v>
      </c>
      <c r="NR24" s="11">
        <v>0</v>
      </c>
      <c r="NS24" s="11">
        <v>0</v>
      </c>
      <c r="NT24" s="11">
        <v>0</v>
      </c>
      <c r="NU24" s="11">
        <v>0</v>
      </c>
      <c r="NV24" s="11">
        <v>0</v>
      </c>
      <c r="NW24" s="27">
        <f t="shared" si="32"/>
        <v>0</v>
      </c>
      <c r="NX24" s="11">
        <v>0</v>
      </c>
      <c r="NY24" s="11">
        <v>0</v>
      </c>
      <c r="NZ24" s="11">
        <v>0</v>
      </c>
      <c r="OA24" s="11">
        <v>0</v>
      </c>
      <c r="OB24" s="11">
        <v>0</v>
      </c>
      <c r="OC24" s="11">
        <v>0</v>
      </c>
      <c r="OD24" s="11">
        <v>0</v>
      </c>
      <c r="OE24" s="11">
        <v>0</v>
      </c>
      <c r="OF24" s="11">
        <v>0</v>
      </c>
      <c r="OG24" s="11">
        <v>0</v>
      </c>
      <c r="OH24" s="11">
        <v>0</v>
      </c>
      <c r="OI24" s="11">
        <v>0</v>
      </c>
      <c r="OJ24" s="27">
        <f t="shared" si="33"/>
        <v>0</v>
      </c>
      <c r="OK24" s="11">
        <v>12915</v>
      </c>
      <c r="OL24" s="11">
        <v>12858</v>
      </c>
      <c r="OM24" s="11">
        <v>12691</v>
      </c>
      <c r="ON24" s="11">
        <v>13464</v>
      </c>
      <c r="OO24" s="11">
        <v>14226</v>
      </c>
      <c r="OP24" s="11">
        <v>13361</v>
      </c>
      <c r="OQ24" s="11">
        <v>14008</v>
      </c>
      <c r="OR24" s="11">
        <v>13289</v>
      </c>
      <c r="OS24" s="11">
        <v>19184</v>
      </c>
      <c r="OT24" s="11">
        <v>14059</v>
      </c>
      <c r="OU24" s="11">
        <v>12800</v>
      </c>
      <c r="OV24" s="11">
        <v>14277</v>
      </c>
      <c r="OW24" s="27">
        <f t="shared" si="34"/>
        <v>167132</v>
      </c>
      <c r="OX24" s="11">
        <v>0</v>
      </c>
      <c r="OY24" s="11">
        <v>0</v>
      </c>
      <c r="OZ24" s="11">
        <v>0</v>
      </c>
      <c r="PA24" s="11">
        <v>0</v>
      </c>
      <c r="PB24" s="11">
        <v>0</v>
      </c>
      <c r="PC24" s="11">
        <v>0</v>
      </c>
      <c r="PD24" s="11">
        <v>0</v>
      </c>
      <c r="PE24" s="11">
        <v>0</v>
      </c>
      <c r="PF24" s="11">
        <v>0</v>
      </c>
      <c r="PG24" s="11">
        <v>0</v>
      </c>
      <c r="PH24" s="11">
        <v>0</v>
      </c>
      <c r="PI24" s="11">
        <v>0</v>
      </c>
      <c r="PJ24" s="27">
        <f t="shared" si="35"/>
        <v>0</v>
      </c>
      <c r="PK24" s="11">
        <v>0</v>
      </c>
      <c r="PL24" s="11">
        <v>0</v>
      </c>
      <c r="PM24" s="11">
        <v>0</v>
      </c>
      <c r="PN24" s="11">
        <v>0</v>
      </c>
      <c r="PO24" s="11">
        <v>0</v>
      </c>
      <c r="PP24" s="11">
        <v>0</v>
      </c>
      <c r="PQ24" s="11">
        <v>0</v>
      </c>
      <c r="PR24" s="11">
        <v>0</v>
      </c>
      <c r="PS24" s="11">
        <v>0</v>
      </c>
      <c r="PT24" s="11">
        <v>0</v>
      </c>
      <c r="PU24" s="11">
        <v>0</v>
      </c>
      <c r="PV24" s="11">
        <v>0</v>
      </c>
      <c r="PW24" s="27">
        <f t="shared" si="36"/>
        <v>0</v>
      </c>
      <c r="PX24" s="11">
        <v>0</v>
      </c>
      <c r="PY24" s="11">
        <v>0</v>
      </c>
      <c r="PZ24" s="11">
        <v>0</v>
      </c>
      <c r="QA24" s="11">
        <v>0</v>
      </c>
      <c r="QB24" s="11">
        <v>0</v>
      </c>
      <c r="QC24" s="11">
        <v>0</v>
      </c>
      <c r="QD24" s="11">
        <v>0</v>
      </c>
      <c r="QE24" s="11">
        <v>0</v>
      </c>
      <c r="QF24" s="11">
        <v>0</v>
      </c>
      <c r="QG24" s="11">
        <v>0</v>
      </c>
      <c r="QH24" s="11">
        <v>0</v>
      </c>
      <c r="QI24" s="11">
        <v>0</v>
      </c>
      <c r="QJ24" s="27">
        <f t="shared" si="37"/>
        <v>0</v>
      </c>
      <c r="QK24" s="11">
        <v>42249</v>
      </c>
      <c r="QL24" s="11">
        <v>40837</v>
      </c>
      <c r="QM24" s="11">
        <v>34409</v>
      </c>
      <c r="QN24" s="11">
        <v>40177</v>
      </c>
      <c r="QO24" s="11">
        <v>43935</v>
      </c>
      <c r="QP24" s="11">
        <v>40439</v>
      </c>
      <c r="QQ24" s="11">
        <v>45174</v>
      </c>
      <c r="QR24" s="11">
        <v>40547</v>
      </c>
      <c r="QS24" s="11">
        <v>35090</v>
      </c>
      <c r="QT24" s="11">
        <v>41291</v>
      </c>
      <c r="QU24" s="11">
        <v>30009</v>
      </c>
      <c r="QV24" s="11">
        <v>32149</v>
      </c>
      <c r="QW24" s="27">
        <f t="shared" si="38"/>
        <v>466306</v>
      </c>
      <c r="QX24" s="11">
        <v>0</v>
      </c>
      <c r="QY24" s="11">
        <v>0</v>
      </c>
      <c r="QZ24" s="11">
        <v>0</v>
      </c>
      <c r="RA24" s="11">
        <v>0</v>
      </c>
      <c r="RB24" s="11">
        <v>0</v>
      </c>
      <c r="RC24" s="11">
        <v>0</v>
      </c>
      <c r="RD24" s="11">
        <v>0</v>
      </c>
      <c r="RE24" s="11">
        <v>0</v>
      </c>
      <c r="RF24" s="11">
        <v>0</v>
      </c>
      <c r="RG24" s="11">
        <v>0</v>
      </c>
      <c r="RH24" s="11">
        <v>0</v>
      </c>
      <c r="RI24" s="11">
        <v>0</v>
      </c>
      <c r="RJ24" s="27">
        <f t="shared" si="39"/>
        <v>0</v>
      </c>
      <c r="RK24" s="11">
        <v>0</v>
      </c>
      <c r="RL24" s="11">
        <v>0</v>
      </c>
      <c r="RM24" s="11">
        <v>0</v>
      </c>
      <c r="RN24" s="11">
        <v>0</v>
      </c>
      <c r="RO24" s="11">
        <v>0</v>
      </c>
      <c r="RP24" s="11">
        <v>0</v>
      </c>
      <c r="RQ24" s="11">
        <v>0</v>
      </c>
      <c r="RR24" s="11">
        <v>0</v>
      </c>
      <c r="RS24" s="11">
        <v>0</v>
      </c>
      <c r="RT24" s="11">
        <v>0</v>
      </c>
      <c r="RU24" s="11">
        <v>0</v>
      </c>
      <c r="RV24" s="11">
        <v>0</v>
      </c>
      <c r="RW24" s="27">
        <f t="shared" si="40"/>
        <v>0</v>
      </c>
      <c r="RX24" s="11">
        <v>0</v>
      </c>
      <c r="RY24" s="11">
        <v>0</v>
      </c>
      <c r="RZ24" s="11">
        <v>0</v>
      </c>
      <c r="SA24" s="11">
        <v>0</v>
      </c>
      <c r="SB24" s="11">
        <v>0</v>
      </c>
      <c r="SC24" s="11">
        <v>0</v>
      </c>
      <c r="SD24" s="11">
        <v>0</v>
      </c>
      <c r="SE24" s="11">
        <v>0</v>
      </c>
      <c r="SF24" s="11">
        <v>0</v>
      </c>
      <c r="SG24" s="11">
        <v>0</v>
      </c>
      <c r="SH24" s="11">
        <v>0</v>
      </c>
      <c r="SI24" s="11">
        <v>0</v>
      </c>
      <c r="SJ24" s="27">
        <f t="shared" si="41"/>
        <v>0</v>
      </c>
      <c r="SK24" s="11">
        <v>97</v>
      </c>
      <c r="SL24" s="11">
        <v>99</v>
      </c>
      <c r="SM24" s="11">
        <v>133</v>
      </c>
      <c r="SN24" s="11">
        <v>156</v>
      </c>
      <c r="SO24" s="11">
        <v>94</v>
      </c>
      <c r="SP24" s="11">
        <v>106</v>
      </c>
      <c r="SQ24" s="11">
        <v>104</v>
      </c>
      <c r="SR24" s="11">
        <v>104</v>
      </c>
      <c r="SS24" s="11">
        <v>124</v>
      </c>
      <c r="ST24" s="11">
        <v>42</v>
      </c>
      <c r="SU24" s="11">
        <v>31</v>
      </c>
      <c r="SV24" s="11">
        <v>64</v>
      </c>
      <c r="SW24" s="27">
        <f t="shared" si="42"/>
        <v>1154</v>
      </c>
      <c r="SX24" s="11" t="s">
        <v>2659</v>
      </c>
      <c r="SY24" s="11">
        <v>1727</v>
      </c>
      <c r="SZ24" s="11">
        <v>1913</v>
      </c>
      <c r="TA24" s="11">
        <v>1644</v>
      </c>
      <c r="TB24" s="11">
        <v>1857</v>
      </c>
      <c r="TC24" s="11">
        <v>1955</v>
      </c>
      <c r="TD24" s="11">
        <v>1729</v>
      </c>
      <c r="TE24" s="11">
        <v>1944</v>
      </c>
      <c r="TF24" s="11">
        <v>1661</v>
      </c>
      <c r="TG24" s="11">
        <v>1435</v>
      </c>
      <c r="TH24" s="11">
        <v>1721</v>
      </c>
      <c r="TI24" s="11">
        <v>690</v>
      </c>
      <c r="TJ24" s="11">
        <v>1586</v>
      </c>
      <c r="TK24" s="27">
        <f t="shared" si="43"/>
        <v>19862</v>
      </c>
      <c r="TL24" s="11">
        <v>22860</v>
      </c>
      <c r="TM24" s="11">
        <v>23847</v>
      </c>
      <c r="TN24" s="11">
        <v>23032</v>
      </c>
      <c r="TO24" s="11">
        <v>22800</v>
      </c>
      <c r="TP24" s="11">
        <v>20938</v>
      </c>
      <c r="TQ24" s="11">
        <v>24357</v>
      </c>
      <c r="TR24" s="11">
        <v>24611</v>
      </c>
      <c r="TS24" s="11">
        <v>12393</v>
      </c>
      <c r="TT24" s="11">
        <v>14027</v>
      </c>
      <c r="TU24" s="11">
        <v>15274</v>
      </c>
      <c r="TV24" s="11">
        <v>11868</v>
      </c>
      <c r="TW24" s="11">
        <v>15547</v>
      </c>
      <c r="TX24" s="27">
        <f t="shared" si="44"/>
        <v>231554</v>
      </c>
      <c r="TY24" s="11"/>
      <c r="TZ24" s="11"/>
      <c r="UA24" s="11"/>
    </row>
    <row r="25" spans="1:547" ht="16" customHeight="1" x14ac:dyDescent="0.35">
      <c r="A25" s="11" t="s">
        <v>1411</v>
      </c>
      <c r="B25" s="11">
        <v>7038</v>
      </c>
      <c r="C25" s="11"/>
      <c r="D25" s="11"/>
      <c r="E25" s="11"/>
      <c r="F25" s="11">
        <v>95</v>
      </c>
      <c r="G25" s="11">
        <v>106</v>
      </c>
      <c r="H25" s="11">
        <v>132</v>
      </c>
      <c r="I25" s="11">
        <v>120</v>
      </c>
      <c r="J25" s="11">
        <v>131</v>
      </c>
      <c r="K25" s="11">
        <v>102</v>
      </c>
      <c r="L25" s="11">
        <v>134</v>
      </c>
      <c r="M25" s="11">
        <v>107</v>
      </c>
      <c r="N25" s="11">
        <v>66</v>
      </c>
      <c r="O25" s="11">
        <v>126</v>
      </c>
      <c r="P25" s="11" t="s">
        <v>2865</v>
      </c>
      <c r="Q25" s="11">
        <v>124</v>
      </c>
      <c r="R25" s="11">
        <v>157</v>
      </c>
      <c r="S25" s="26">
        <f t="shared" si="0"/>
        <v>1400</v>
      </c>
      <c r="T25" s="11">
        <v>33</v>
      </c>
      <c r="U25" s="11">
        <v>37</v>
      </c>
      <c r="V25" s="11">
        <v>38</v>
      </c>
      <c r="W25" s="11">
        <v>30</v>
      </c>
      <c r="X25" s="11">
        <v>3</v>
      </c>
      <c r="Y25" s="11">
        <v>45</v>
      </c>
      <c r="Z25" s="11">
        <v>38</v>
      </c>
      <c r="AA25" s="11">
        <v>26</v>
      </c>
      <c r="AB25" s="11">
        <v>11</v>
      </c>
      <c r="AC25" s="11">
        <v>48</v>
      </c>
      <c r="AD25" s="11">
        <v>33</v>
      </c>
      <c r="AE25" s="11">
        <v>50</v>
      </c>
      <c r="AF25" s="26">
        <f t="shared" si="1"/>
        <v>392</v>
      </c>
      <c r="AG25" s="11">
        <v>0</v>
      </c>
      <c r="AH25" s="11">
        <v>0</v>
      </c>
      <c r="AI25" s="11">
        <v>0</v>
      </c>
      <c r="AJ25" s="11">
        <v>0</v>
      </c>
      <c r="AK25" s="11">
        <v>0</v>
      </c>
      <c r="AL25" s="11">
        <v>0</v>
      </c>
      <c r="AM25" s="11">
        <v>0</v>
      </c>
      <c r="AN25" s="11">
        <v>0</v>
      </c>
      <c r="AO25" s="11">
        <v>0</v>
      </c>
      <c r="AP25" s="11">
        <v>0</v>
      </c>
      <c r="AQ25" s="11">
        <v>0</v>
      </c>
      <c r="AR25" s="11">
        <v>0</v>
      </c>
      <c r="AS25" s="26">
        <f t="shared" si="2"/>
        <v>0</v>
      </c>
      <c r="AT25" s="11">
        <v>0</v>
      </c>
      <c r="AU25" s="11">
        <v>0</v>
      </c>
      <c r="AV25" s="11">
        <v>0</v>
      </c>
      <c r="AW25" s="11">
        <v>0</v>
      </c>
      <c r="AX25" s="11">
        <v>0</v>
      </c>
      <c r="AY25" s="11">
        <v>0</v>
      </c>
      <c r="AZ25" s="11">
        <v>0</v>
      </c>
      <c r="BA25" s="11">
        <v>0</v>
      </c>
      <c r="BB25" s="11">
        <v>0</v>
      </c>
      <c r="BC25" s="11">
        <v>0</v>
      </c>
      <c r="BD25" s="11">
        <v>0</v>
      </c>
      <c r="BE25" s="11">
        <v>0</v>
      </c>
      <c r="BF25" s="26">
        <f t="shared" si="3"/>
        <v>0</v>
      </c>
      <c r="BG25" s="11">
        <v>62</v>
      </c>
      <c r="BH25" s="11">
        <v>69</v>
      </c>
      <c r="BI25" s="11">
        <v>94</v>
      </c>
      <c r="BJ25" s="11">
        <v>90</v>
      </c>
      <c r="BK25" s="11">
        <v>128</v>
      </c>
      <c r="BL25" s="11">
        <v>57</v>
      </c>
      <c r="BM25" s="11">
        <v>96</v>
      </c>
      <c r="BN25" s="11">
        <v>81</v>
      </c>
      <c r="BO25" s="11">
        <v>46</v>
      </c>
      <c r="BP25" s="11">
        <v>78</v>
      </c>
      <c r="BQ25" s="11">
        <v>91</v>
      </c>
      <c r="BR25" s="11">
        <v>107</v>
      </c>
      <c r="BS25" s="26">
        <f t="shared" si="4"/>
        <v>999</v>
      </c>
      <c r="BT25" s="11">
        <v>0</v>
      </c>
      <c r="BU25" s="11">
        <v>0</v>
      </c>
      <c r="BV25" s="11">
        <v>0</v>
      </c>
      <c r="BW25" s="11">
        <v>0</v>
      </c>
      <c r="BX25" s="11">
        <v>0</v>
      </c>
      <c r="BY25" s="11">
        <v>0</v>
      </c>
      <c r="BZ25" s="11">
        <v>0</v>
      </c>
      <c r="CA25" s="11">
        <v>0</v>
      </c>
      <c r="CB25" s="11">
        <v>0</v>
      </c>
      <c r="CC25" s="11">
        <v>0</v>
      </c>
      <c r="CD25" s="11">
        <v>0</v>
      </c>
      <c r="CE25" s="11">
        <v>0</v>
      </c>
      <c r="CF25" s="26">
        <f t="shared" si="5"/>
        <v>0</v>
      </c>
      <c r="CG25" s="11">
        <v>0</v>
      </c>
      <c r="CH25" s="11">
        <v>0</v>
      </c>
      <c r="CI25" s="11">
        <v>0</v>
      </c>
      <c r="CJ25" s="11">
        <v>0</v>
      </c>
      <c r="CK25" s="11">
        <v>0</v>
      </c>
      <c r="CL25" s="11">
        <v>0</v>
      </c>
      <c r="CM25" s="11">
        <v>0</v>
      </c>
      <c r="CN25" s="11">
        <v>0</v>
      </c>
      <c r="CO25" s="11">
        <v>0</v>
      </c>
      <c r="CP25" s="11">
        <v>0</v>
      </c>
      <c r="CQ25" s="11">
        <v>0</v>
      </c>
      <c r="CR25" s="11">
        <v>0</v>
      </c>
      <c r="CS25" s="26">
        <f t="shared" si="6"/>
        <v>0</v>
      </c>
      <c r="CT25" s="11">
        <v>0</v>
      </c>
      <c r="CU25" s="11">
        <v>0</v>
      </c>
      <c r="CV25" s="11">
        <v>0</v>
      </c>
      <c r="CW25" s="11">
        <v>0</v>
      </c>
      <c r="CX25" s="11">
        <v>0</v>
      </c>
      <c r="CY25" s="11">
        <v>0</v>
      </c>
      <c r="CZ25" s="11">
        <v>0</v>
      </c>
      <c r="DA25" s="11">
        <v>0</v>
      </c>
      <c r="DB25" s="11">
        <v>0</v>
      </c>
      <c r="DC25" s="11">
        <v>0</v>
      </c>
      <c r="DD25" s="11">
        <v>0</v>
      </c>
      <c r="DE25" s="11">
        <v>0</v>
      </c>
      <c r="DF25" s="26">
        <f t="shared" si="7"/>
        <v>0</v>
      </c>
      <c r="DG25" s="11">
        <v>0</v>
      </c>
      <c r="DH25" s="11">
        <v>0</v>
      </c>
      <c r="DI25" s="11">
        <v>0</v>
      </c>
      <c r="DJ25" s="11">
        <v>0</v>
      </c>
      <c r="DK25" s="11">
        <v>0</v>
      </c>
      <c r="DL25" s="11">
        <v>0</v>
      </c>
      <c r="DM25" s="11">
        <v>0</v>
      </c>
      <c r="DN25" s="11">
        <v>0</v>
      </c>
      <c r="DO25" s="11">
        <v>0</v>
      </c>
      <c r="DP25" s="11">
        <v>0</v>
      </c>
      <c r="DQ25" s="11">
        <v>0</v>
      </c>
      <c r="DR25" s="11">
        <v>0</v>
      </c>
      <c r="DS25" s="26">
        <f t="shared" si="8"/>
        <v>0</v>
      </c>
      <c r="DT25" s="11">
        <v>0</v>
      </c>
      <c r="DU25" s="11">
        <v>0</v>
      </c>
      <c r="DV25" s="11">
        <v>0</v>
      </c>
      <c r="DW25" s="11">
        <v>0</v>
      </c>
      <c r="DX25" s="11">
        <v>0</v>
      </c>
      <c r="DY25" s="11">
        <v>0</v>
      </c>
      <c r="DZ25" s="11">
        <v>0</v>
      </c>
      <c r="EA25" s="11">
        <v>0</v>
      </c>
      <c r="EB25" s="11">
        <v>0</v>
      </c>
      <c r="EC25" s="11">
        <v>0</v>
      </c>
      <c r="ED25" s="11">
        <v>0</v>
      </c>
      <c r="EE25" s="11">
        <v>0</v>
      </c>
      <c r="EF25" s="26">
        <f t="shared" si="9"/>
        <v>0</v>
      </c>
      <c r="EG25" s="9">
        <f t="shared" si="10"/>
        <v>1391</v>
      </c>
      <c r="EH25" s="9">
        <f t="shared" si="11"/>
        <v>0</v>
      </c>
      <c r="EI25" s="11">
        <v>2521</v>
      </c>
      <c r="EJ25" s="11">
        <v>2699</v>
      </c>
      <c r="EK25" s="11">
        <v>3225</v>
      </c>
      <c r="EL25" s="11">
        <v>6738</v>
      </c>
      <c r="EM25" s="11">
        <v>5278</v>
      </c>
      <c r="EN25" s="11">
        <v>2271</v>
      </c>
      <c r="EO25" s="11">
        <v>3208</v>
      </c>
      <c r="EP25" s="11">
        <v>3878</v>
      </c>
      <c r="EQ25" s="11">
        <v>1642</v>
      </c>
      <c r="ER25" s="11">
        <v>3302</v>
      </c>
      <c r="ES25" s="11">
        <v>2830</v>
      </c>
      <c r="ET25" s="11">
        <v>3404</v>
      </c>
      <c r="EU25" s="26">
        <f t="shared" si="12"/>
        <v>40996</v>
      </c>
      <c r="EV25" s="11">
        <v>1351</v>
      </c>
      <c r="EW25" s="11">
        <v>1345</v>
      </c>
      <c r="EX25" s="11">
        <v>1452</v>
      </c>
      <c r="EY25" s="11">
        <v>1721</v>
      </c>
      <c r="EZ25" s="11">
        <v>2576</v>
      </c>
      <c r="FA25" s="11">
        <v>979</v>
      </c>
      <c r="FB25" s="11">
        <v>1218</v>
      </c>
      <c r="FC25" s="11">
        <v>1251</v>
      </c>
      <c r="FD25" s="11">
        <v>856</v>
      </c>
      <c r="FE25" s="11">
        <v>1208</v>
      </c>
      <c r="FF25" s="11">
        <v>1365</v>
      </c>
      <c r="FG25" s="11">
        <v>1433</v>
      </c>
      <c r="FH25" s="26">
        <f t="shared" si="13"/>
        <v>16755</v>
      </c>
      <c r="FI25" s="11">
        <v>0</v>
      </c>
      <c r="FJ25" s="11">
        <v>0</v>
      </c>
      <c r="FK25" s="11">
        <v>0</v>
      </c>
      <c r="FL25" s="11">
        <v>0</v>
      </c>
      <c r="FM25" s="11">
        <v>0</v>
      </c>
      <c r="FN25" s="11">
        <v>0</v>
      </c>
      <c r="FO25" s="11">
        <v>0</v>
      </c>
      <c r="FP25" s="11">
        <v>0</v>
      </c>
      <c r="FQ25" s="11">
        <v>0</v>
      </c>
      <c r="FR25" s="11">
        <v>0</v>
      </c>
      <c r="FS25" s="11">
        <v>0</v>
      </c>
      <c r="FT25" s="11">
        <v>0</v>
      </c>
      <c r="FU25" s="26">
        <f t="shared" si="14"/>
        <v>0</v>
      </c>
      <c r="FV25" s="11">
        <v>1170</v>
      </c>
      <c r="FW25" s="11">
        <v>1354</v>
      </c>
      <c r="FX25" s="11">
        <v>1773</v>
      </c>
      <c r="FY25" s="11">
        <v>5017</v>
      </c>
      <c r="FZ25" s="11">
        <v>2702</v>
      </c>
      <c r="GA25" s="11">
        <v>1292</v>
      </c>
      <c r="GB25" s="11">
        <v>1990</v>
      </c>
      <c r="GC25" s="11">
        <v>2627</v>
      </c>
      <c r="GD25" s="11">
        <v>786</v>
      </c>
      <c r="GE25" s="11">
        <v>2094</v>
      </c>
      <c r="GF25" s="11">
        <v>1465</v>
      </c>
      <c r="GG25" s="11">
        <v>1971</v>
      </c>
      <c r="GH25" s="26">
        <f t="shared" si="15"/>
        <v>24241</v>
      </c>
      <c r="GI25" s="11">
        <v>0</v>
      </c>
      <c r="GJ25" s="11">
        <v>0</v>
      </c>
      <c r="GK25" s="11">
        <v>0</v>
      </c>
      <c r="GL25" s="11">
        <v>0</v>
      </c>
      <c r="GM25" s="11">
        <v>0</v>
      </c>
      <c r="GN25" s="11">
        <v>0</v>
      </c>
      <c r="GO25" s="11">
        <v>0</v>
      </c>
      <c r="GP25" s="11">
        <v>0</v>
      </c>
      <c r="GQ25" s="11">
        <v>0</v>
      </c>
      <c r="GR25" s="11">
        <v>0</v>
      </c>
      <c r="GS25" s="11">
        <v>0</v>
      </c>
      <c r="GT25" s="11">
        <v>0</v>
      </c>
      <c r="GU25" s="26">
        <f t="shared" si="16"/>
        <v>0</v>
      </c>
      <c r="GV25" s="11">
        <v>0</v>
      </c>
      <c r="GW25" s="11">
        <v>0</v>
      </c>
      <c r="GX25" s="11">
        <v>0</v>
      </c>
      <c r="GY25" s="11">
        <v>0</v>
      </c>
      <c r="GZ25" s="11">
        <v>0</v>
      </c>
      <c r="HA25" s="11">
        <v>0</v>
      </c>
      <c r="HB25" s="11">
        <v>0</v>
      </c>
      <c r="HC25" s="11">
        <v>0</v>
      </c>
      <c r="HD25" s="11">
        <v>0</v>
      </c>
      <c r="HE25" s="11">
        <v>0</v>
      </c>
      <c r="HF25" s="11">
        <v>0</v>
      </c>
      <c r="HG25" s="11">
        <v>0</v>
      </c>
      <c r="HH25" s="26">
        <f t="shared" si="17"/>
        <v>0</v>
      </c>
      <c r="HI25" s="11">
        <v>0</v>
      </c>
      <c r="HJ25" s="11">
        <v>0</v>
      </c>
      <c r="HK25" s="11">
        <v>0</v>
      </c>
      <c r="HL25" s="11">
        <v>0</v>
      </c>
      <c r="HM25" s="11">
        <v>0</v>
      </c>
      <c r="HN25" s="11">
        <v>0</v>
      </c>
      <c r="HO25" s="11">
        <v>0</v>
      </c>
      <c r="HP25" s="11">
        <v>0</v>
      </c>
      <c r="HQ25" s="11">
        <v>0</v>
      </c>
      <c r="HR25" s="11">
        <v>0</v>
      </c>
      <c r="HS25" s="11">
        <v>0</v>
      </c>
      <c r="HT25" s="11">
        <v>0</v>
      </c>
      <c r="HU25" s="26">
        <f t="shared" si="18"/>
        <v>0</v>
      </c>
      <c r="HV25" s="11">
        <v>0</v>
      </c>
      <c r="HW25" s="11">
        <v>0</v>
      </c>
      <c r="HX25" s="11">
        <v>0</v>
      </c>
      <c r="HY25" s="11">
        <v>0</v>
      </c>
      <c r="HZ25" s="11">
        <v>0</v>
      </c>
      <c r="IA25" s="11">
        <v>0</v>
      </c>
      <c r="IB25" s="11">
        <v>0</v>
      </c>
      <c r="IC25" s="11">
        <v>0</v>
      </c>
      <c r="ID25" s="11">
        <v>0</v>
      </c>
      <c r="IE25" s="11">
        <v>0</v>
      </c>
      <c r="IF25" s="11">
        <v>0</v>
      </c>
      <c r="IG25" s="11">
        <v>0</v>
      </c>
      <c r="IH25" s="26">
        <f t="shared" si="19"/>
        <v>0</v>
      </c>
      <c r="II25" s="9">
        <f t="shared" si="20"/>
        <v>40996</v>
      </c>
      <c r="IJ25" s="9">
        <f t="shared" si="21"/>
        <v>0</v>
      </c>
      <c r="IK25" s="11">
        <v>18603</v>
      </c>
      <c r="IL25" s="11">
        <v>17118</v>
      </c>
      <c r="IM25" s="11">
        <v>15464</v>
      </c>
      <c r="IN25" s="11">
        <v>17233</v>
      </c>
      <c r="IO25" s="11">
        <v>19945</v>
      </c>
      <c r="IP25" s="11">
        <v>16184</v>
      </c>
      <c r="IQ25" s="11">
        <v>17141</v>
      </c>
      <c r="IR25" s="11">
        <v>15287</v>
      </c>
      <c r="IS25" s="11">
        <v>12740</v>
      </c>
      <c r="IT25" s="11">
        <v>14630</v>
      </c>
      <c r="IU25" s="11">
        <v>14455</v>
      </c>
      <c r="IV25" s="11">
        <v>15965</v>
      </c>
      <c r="IW25" s="27">
        <f t="shared" si="22"/>
        <v>194765</v>
      </c>
      <c r="IX25" s="11">
        <v>0</v>
      </c>
      <c r="IY25" s="11">
        <v>0</v>
      </c>
      <c r="IZ25" s="11">
        <v>0</v>
      </c>
      <c r="JA25" s="11">
        <v>0</v>
      </c>
      <c r="JB25" s="11">
        <v>0</v>
      </c>
      <c r="JC25" s="11">
        <v>0</v>
      </c>
      <c r="JD25" s="11">
        <v>0</v>
      </c>
      <c r="JE25" s="11">
        <v>0</v>
      </c>
      <c r="JF25" s="11">
        <v>0</v>
      </c>
      <c r="JG25" s="11">
        <v>0</v>
      </c>
      <c r="JH25" s="11">
        <v>0</v>
      </c>
      <c r="JI25" s="11">
        <v>0</v>
      </c>
      <c r="JJ25" s="27">
        <f t="shared" si="23"/>
        <v>0</v>
      </c>
      <c r="JK25" s="11">
        <v>0</v>
      </c>
      <c r="JL25" s="11">
        <v>0</v>
      </c>
      <c r="JM25" s="11">
        <v>0</v>
      </c>
      <c r="JN25" s="11">
        <v>0</v>
      </c>
      <c r="JO25" s="11">
        <v>0</v>
      </c>
      <c r="JP25" s="11">
        <v>0</v>
      </c>
      <c r="JQ25" s="11">
        <v>0</v>
      </c>
      <c r="JR25" s="11">
        <v>0</v>
      </c>
      <c r="JS25" s="11">
        <v>0</v>
      </c>
      <c r="JT25" s="11">
        <v>0</v>
      </c>
      <c r="JU25" s="11">
        <v>0</v>
      </c>
      <c r="JV25" s="11">
        <v>0</v>
      </c>
      <c r="JW25" s="27">
        <f t="shared" si="24"/>
        <v>0</v>
      </c>
      <c r="JX25" s="11">
        <v>0</v>
      </c>
      <c r="JY25" s="11">
        <v>0</v>
      </c>
      <c r="JZ25" s="11">
        <v>0</v>
      </c>
      <c r="KA25" s="11">
        <v>0</v>
      </c>
      <c r="KB25" s="11">
        <v>0</v>
      </c>
      <c r="KC25" s="11">
        <v>0</v>
      </c>
      <c r="KD25" s="11">
        <v>0</v>
      </c>
      <c r="KE25" s="11">
        <v>0</v>
      </c>
      <c r="KF25" s="11">
        <v>0</v>
      </c>
      <c r="KG25" s="11">
        <v>0</v>
      </c>
      <c r="KH25" s="11">
        <v>0</v>
      </c>
      <c r="KI25" s="11">
        <v>0</v>
      </c>
      <c r="KJ25" s="27">
        <f t="shared" si="25"/>
        <v>0</v>
      </c>
      <c r="KK25" s="11">
        <v>426</v>
      </c>
      <c r="KL25" s="11">
        <v>444</v>
      </c>
      <c r="KM25" s="11">
        <v>343</v>
      </c>
      <c r="KN25" s="11">
        <v>384</v>
      </c>
      <c r="KO25" s="11">
        <v>458</v>
      </c>
      <c r="KP25" s="11">
        <v>339</v>
      </c>
      <c r="KQ25" s="11">
        <v>456</v>
      </c>
      <c r="KR25" s="11">
        <v>401</v>
      </c>
      <c r="KS25" s="11">
        <v>302</v>
      </c>
      <c r="KT25" s="11">
        <v>378</v>
      </c>
      <c r="KU25" s="11">
        <v>368</v>
      </c>
      <c r="KV25" s="11">
        <v>333</v>
      </c>
      <c r="KW25" s="27">
        <f t="shared" si="26"/>
        <v>4632</v>
      </c>
      <c r="KX25" s="11">
        <v>0</v>
      </c>
      <c r="KY25" s="11">
        <v>0</v>
      </c>
      <c r="KZ25" s="11">
        <v>0</v>
      </c>
      <c r="LA25" s="11">
        <v>0</v>
      </c>
      <c r="LB25" s="11">
        <v>0</v>
      </c>
      <c r="LC25" s="11">
        <v>0</v>
      </c>
      <c r="LD25" s="11">
        <v>0</v>
      </c>
      <c r="LE25" s="11">
        <v>0</v>
      </c>
      <c r="LF25" s="11">
        <v>0</v>
      </c>
      <c r="LG25" s="11">
        <v>0</v>
      </c>
      <c r="LH25" s="11">
        <v>0</v>
      </c>
      <c r="LI25" s="11">
        <v>0</v>
      </c>
      <c r="LJ25" s="27">
        <f t="shared" si="27"/>
        <v>0</v>
      </c>
      <c r="LK25" s="11">
        <v>0</v>
      </c>
      <c r="LL25" s="11">
        <v>0</v>
      </c>
      <c r="LM25" s="11">
        <v>0</v>
      </c>
      <c r="LN25" s="11">
        <v>0</v>
      </c>
      <c r="LO25" s="11">
        <v>0</v>
      </c>
      <c r="LP25" s="11">
        <v>0</v>
      </c>
      <c r="LQ25" s="11">
        <v>0</v>
      </c>
      <c r="LR25" s="11">
        <v>0</v>
      </c>
      <c r="LS25" s="11">
        <v>0</v>
      </c>
      <c r="LT25" s="11">
        <v>0</v>
      </c>
      <c r="LU25" s="11">
        <v>0</v>
      </c>
      <c r="LV25" s="11">
        <v>0</v>
      </c>
      <c r="LW25" s="27">
        <f t="shared" si="28"/>
        <v>0</v>
      </c>
      <c r="LX25" s="11">
        <v>0</v>
      </c>
      <c r="LY25" s="11">
        <v>0</v>
      </c>
      <c r="LZ25" s="11">
        <v>0</v>
      </c>
      <c r="MA25" s="11">
        <v>0</v>
      </c>
      <c r="MB25" s="11">
        <v>0</v>
      </c>
      <c r="MC25" s="11">
        <v>0</v>
      </c>
      <c r="MD25" s="11">
        <v>0</v>
      </c>
      <c r="ME25" s="11">
        <v>0</v>
      </c>
      <c r="MF25" s="11">
        <v>0</v>
      </c>
      <c r="MG25" s="11">
        <v>0</v>
      </c>
      <c r="MH25" s="11">
        <v>0</v>
      </c>
      <c r="MI25" s="11">
        <v>0</v>
      </c>
      <c r="MJ25" s="27">
        <f t="shared" si="29"/>
        <v>0</v>
      </c>
      <c r="MK25" s="11">
        <v>1608</v>
      </c>
      <c r="ML25" s="11">
        <v>1618</v>
      </c>
      <c r="MM25" s="11">
        <v>1600</v>
      </c>
      <c r="MN25" s="11">
        <v>1621</v>
      </c>
      <c r="MO25" s="11">
        <v>1798</v>
      </c>
      <c r="MP25" s="11">
        <v>1657</v>
      </c>
      <c r="MQ25" s="11">
        <v>1683</v>
      </c>
      <c r="MR25" s="11">
        <v>1681</v>
      </c>
      <c r="MS25" s="11">
        <v>1633</v>
      </c>
      <c r="MT25" s="11">
        <v>1753</v>
      </c>
      <c r="MU25" s="11">
        <v>1615</v>
      </c>
      <c r="MV25" s="11">
        <v>1758</v>
      </c>
      <c r="MW25" s="27">
        <f t="shared" si="30"/>
        <v>20025</v>
      </c>
      <c r="MX25" s="11">
        <v>0</v>
      </c>
      <c r="MY25" s="11">
        <v>0</v>
      </c>
      <c r="MZ25" s="11">
        <v>0</v>
      </c>
      <c r="NA25" s="11">
        <v>0</v>
      </c>
      <c r="NB25" s="11">
        <v>0</v>
      </c>
      <c r="NC25" s="11">
        <v>0</v>
      </c>
      <c r="ND25" s="11">
        <v>0</v>
      </c>
      <c r="NE25" s="11">
        <v>0</v>
      </c>
      <c r="NF25" s="11">
        <v>0</v>
      </c>
      <c r="NG25" s="11">
        <v>0</v>
      </c>
      <c r="NH25" s="11">
        <v>0</v>
      </c>
      <c r="NI25" s="11">
        <v>0</v>
      </c>
      <c r="NJ25" s="27">
        <f t="shared" si="31"/>
        <v>0</v>
      </c>
      <c r="NK25" s="11">
        <v>0</v>
      </c>
      <c r="NL25" s="11">
        <v>0</v>
      </c>
      <c r="NM25" s="11">
        <v>0</v>
      </c>
      <c r="NN25" s="11">
        <v>0</v>
      </c>
      <c r="NO25" s="11">
        <v>0</v>
      </c>
      <c r="NP25" s="11">
        <v>0</v>
      </c>
      <c r="NQ25" s="11">
        <v>0</v>
      </c>
      <c r="NR25" s="11">
        <v>0</v>
      </c>
      <c r="NS25" s="11">
        <v>0</v>
      </c>
      <c r="NT25" s="11">
        <v>0</v>
      </c>
      <c r="NU25" s="11">
        <v>0</v>
      </c>
      <c r="NV25" s="11">
        <v>0</v>
      </c>
      <c r="NW25" s="27">
        <f t="shared" si="32"/>
        <v>0</v>
      </c>
      <c r="NX25" s="11">
        <v>0</v>
      </c>
      <c r="NY25" s="11">
        <v>0</v>
      </c>
      <c r="NZ25" s="11">
        <v>0</v>
      </c>
      <c r="OA25" s="11">
        <v>0</v>
      </c>
      <c r="OB25" s="11">
        <v>0</v>
      </c>
      <c r="OC25" s="11">
        <v>0</v>
      </c>
      <c r="OD25" s="11">
        <v>0</v>
      </c>
      <c r="OE25" s="11">
        <v>0</v>
      </c>
      <c r="OF25" s="11">
        <v>0</v>
      </c>
      <c r="OG25" s="11">
        <v>0</v>
      </c>
      <c r="OH25" s="11">
        <v>0</v>
      </c>
      <c r="OI25" s="11">
        <v>0</v>
      </c>
      <c r="OJ25" s="27">
        <f t="shared" si="33"/>
        <v>0</v>
      </c>
      <c r="OK25" s="11">
        <v>2065</v>
      </c>
      <c r="OL25" s="11">
        <v>2170</v>
      </c>
      <c r="OM25" s="11">
        <v>2018</v>
      </c>
      <c r="ON25" s="11">
        <v>2219</v>
      </c>
      <c r="OO25" s="11">
        <v>2407</v>
      </c>
      <c r="OP25" s="11">
        <v>2277</v>
      </c>
      <c r="OQ25" s="11">
        <v>2393</v>
      </c>
      <c r="OR25" s="11">
        <v>2239</v>
      </c>
      <c r="OS25" s="11">
        <v>2061</v>
      </c>
      <c r="OT25" s="11">
        <v>2502</v>
      </c>
      <c r="OU25" s="11">
        <v>2496</v>
      </c>
      <c r="OV25" s="11">
        <v>2704</v>
      </c>
      <c r="OW25" s="27">
        <f t="shared" si="34"/>
        <v>27551</v>
      </c>
      <c r="OX25" s="11">
        <v>0</v>
      </c>
      <c r="OY25" s="11">
        <v>0</v>
      </c>
      <c r="OZ25" s="11">
        <v>0</v>
      </c>
      <c r="PA25" s="11">
        <v>0</v>
      </c>
      <c r="PB25" s="11">
        <v>0</v>
      </c>
      <c r="PC25" s="11">
        <v>0</v>
      </c>
      <c r="PD25" s="11">
        <v>0</v>
      </c>
      <c r="PE25" s="11">
        <v>0</v>
      </c>
      <c r="PF25" s="11">
        <v>0</v>
      </c>
      <c r="PG25" s="11">
        <v>0</v>
      </c>
      <c r="PH25" s="11">
        <v>0</v>
      </c>
      <c r="PI25" s="11">
        <v>0</v>
      </c>
      <c r="PJ25" s="27">
        <f t="shared" si="35"/>
        <v>0</v>
      </c>
      <c r="PK25" s="11">
        <v>0</v>
      </c>
      <c r="PL25" s="11">
        <v>0</v>
      </c>
      <c r="PM25" s="11">
        <v>0</v>
      </c>
      <c r="PN25" s="11">
        <v>0</v>
      </c>
      <c r="PO25" s="11">
        <v>0</v>
      </c>
      <c r="PP25" s="11">
        <v>0</v>
      </c>
      <c r="PQ25" s="11">
        <v>0</v>
      </c>
      <c r="PR25" s="11">
        <v>0</v>
      </c>
      <c r="PS25" s="11">
        <v>0</v>
      </c>
      <c r="PT25" s="11">
        <v>0</v>
      </c>
      <c r="PU25" s="11">
        <v>0</v>
      </c>
      <c r="PV25" s="11">
        <v>0</v>
      </c>
      <c r="PW25" s="27">
        <f t="shared" si="36"/>
        <v>0</v>
      </c>
      <c r="PX25" s="11">
        <v>0</v>
      </c>
      <c r="PY25" s="11">
        <v>0</v>
      </c>
      <c r="PZ25" s="11">
        <v>0</v>
      </c>
      <c r="QA25" s="11">
        <v>0</v>
      </c>
      <c r="QB25" s="11">
        <v>0</v>
      </c>
      <c r="QC25" s="11">
        <v>0</v>
      </c>
      <c r="QD25" s="11">
        <v>0</v>
      </c>
      <c r="QE25" s="11">
        <v>0</v>
      </c>
      <c r="QF25" s="11">
        <v>0</v>
      </c>
      <c r="QG25" s="11">
        <v>0</v>
      </c>
      <c r="QH25" s="11">
        <v>0</v>
      </c>
      <c r="QI25" s="11">
        <v>0</v>
      </c>
      <c r="QJ25" s="27">
        <f t="shared" si="37"/>
        <v>0</v>
      </c>
      <c r="QK25" s="11">
        <v>24294</v>
      </c>
      <c r="QL25" s="11">
        <v>17985</v>
      </c>
      <c r="QM25" s="11">
        <v>16340</v>
      </c>
      <c r="QN25" s="11">
        <v>18283</v>
      </c>
      <c r="QO25" s="11">
        <v>18504</v>
      </c>
      <c r="QP25" s="11">
        <v>17664</v>
      </c>
      <c r="QQ25" s="11">
        <v>18411</v>
      </c>
      <c r="QR25" s="11">
        <v>16737</v>
      </c>
      <c r="QS25" s="11">
        <v>14882</v>
      </c>
      <c r="QT25" s="11">
        <v>20539</v>
      </c>
      <c r="QU25" s="11">
        <v>21676</v>
      </c>
      <c r="QV25" s="11">
        <v>21218</v>
      </c>
      <c r="QW25" s="27">
        <f t="shared" si="38"/>
        <v>226533</v>
      </c>
      <c r="QX25" s="11">
        <v>0</v>
      </c>
      <c r="QY25" s="11">
        <v>0</v>
      </c>
      <c r="QZ25" s="11">
        <v>0</v>
      </c>
      <c r="RA25" s="11">
        <v>0</v>
      </c>
      <c r="RB25" s="11">
        <v>0</v>
      </c>
      <c r="RC25" s="11">
        <v>0</v>
      </c>
      <c r="RD25" s="11">
        <v>0</v>
      </c>
      <c r="RE25" s="11">
        <v>0</v>
      </c>
      <c r="RF25" s="11">
        <v>0</v>
      </c>
      <c r="RG25" s="11">
        <v>0</v>
      </c>
      <c r="RH25" s="11">
        <v>0</v>
      </c>
      <c r="RI25" s="11">
        <v>0</v>
      </c>
      <c r="RJ25" s="27">
        <f t="shared" si="39"/>
        <v>0</v>
      </c>
      <c r="RK25" s="11">
        <v>4</v>
      </c>
      <c r="RL25" s="11">
        <v>0</v>
      </c>
      <c r="RM25" s="11">
        <v>0</v>
      </c>
      <c r="RN25" s="11">
        <v>0</v>
      </c>
      <c r="RO25" s="11">
        <v>0</v>
      </c>
      <c r="RP25" s="11">
        <v>0</v>
      </c>
      <c r="RQ25" s="11">
        <v>0</v>
      </c>
      <c r="RR25" s="11">
        <v>0</v>
      </c>
      <c r="RS25" s="11">
        <v>0</v>
      </c>
      <c r="RT25" s="11">
        <v>0</v>
      </c>
      <c r="RU25" s="11">
        <v>0</v>
      </c>
      <c r="RV25" s="11">
        <v>0</v>
      </c>
      <c r="RW25" s="27">
        <f t="shared" si="40"/>
        <v>4</v>
      </c>
      <c r="RX25" s="11">
        <v>0</v>
      </c>
      <c r="RY25" s="11">
        <v>0</v>
      </c>
      <c r="RZ25" s="11">
        <v>0</v>
      </c>
      <c r="SA25" s="11">
        <v>0</v>
      </c>
      <c r="SB25" s="11">
        <v>0</v>
      </c>
      <c r="SC25" s="11">
        <v>0</v>
      </c>
      <c r="SD25" s="11">
        <v>0</v>
      </c>
      <c r="SE25" s="11">
        <v>0</v>
      </c>
      <c r="SF25" s="11">
        <v>0</v>
      </c>
      <c r="SG25" s="11">
        <v>0</v>
      </c>
      <c r="SH25" s="11">
        <v>0</v>
      </c>
      <c r="SI25" s="11">
        <v>0</v>
      </c>
      <c r="SJ25" s="27">
        <f t="shared" si="41"/>
        <v>0</v>
      </c>
      <c r="SK25" s="11">
        <v>143</v>
      </c>
      <c r="SL25" s="11">
        <v>143</v>
      </c>
      <c r="SM25" s="11">
        <v>143</v>
      </c>
      <c r="SN25" s="11">
        <v>143</v>
      </c>
      <c r="SO25" s="11">
        <v>143</v>
      </c>
      <c r="SP25" s="11">
        <v>143</v>
      </c>
      <c r="SQ25" s="11">
        <v>143</v>
      </c>
      <c r="SR25" s="11">
        <v>143</v>
      </c>
      <c r="SS25" s="11">
        <v>143</v>
      </c>
      <c r="ST25" s="11">
        <v>143</v>
      </c>
      <c r="SU25" s="11">
        <v>143</v>
      </c>
      <c r="SV25" s="11">
        <v>143</v>
      </c>
      <c r="SW25" s="27">
        <f t="shared" si="42"/>
        <v>1716</v>
      </c>
      <c r="SX25" s="11" t="s">
        <v>2660</v>
      </c>
      <c r="SY25" s="11">
        <v>740</v>
      </c>
      <c r="SZ25" s="11">
        <v>743</v>
      </c>
      <c r="TA25" s="11">
        <v>643</v>
      </c>
      <c r="TB25" s="11">
        <v>698</v>
      </c>
      <c r="TC25" s="11">
        <v>697</v>
      </c>
      <c r="TD25" s="11">
        <v>742</v>
      </c>
      <c r="TE25" s="11">
        <v>803</v>
      </c>
      <c r="TF25" s="11">
        <v>697</v>
      </c>
      <c r="TG25" s="11">
        <v>628</v>
      </c>
      <c r="TH25" s="11">
        <v>730</v>
      </c>
      <c r="TI25" s="11">
        <v>806</v>
      </c>
      <c r="TJ25" s="11">
        <v>718</v>
      </c>
      <c r="TK25" s="27">
        <f t="shared" si="43"/>
        <v>8645</v>
      </c>
      <c r="TL25" s="11">
        <v>0</v>
      </c>
      <c r="TM25" s="11">
        <v>0</v>
      </c>
      <c r="TN25" s="11">
        <v>0</v>
      </c>
      <c r="TO25" s="11">
        <v>0</v>
      </c>
      <c r="TP25" s="11">
        <v>0</v>
      </c>
      <c r="TQ25" s="11">
        <v>0</v>
      </c>
      <c r="TR25" s="11">
        <v>0</v>
      </c>
      <c r="TS25" s="11">
        <v>0</v>
      </c>
      <c r="TT25" s="11">
        <v>0</v>
      </c>
      <c r="TU25" s="11">
        <v>0</v>
      </c>
      <c r="TV25" s="11">
        <v>0</v>
      </c>
      <c r="TW25" s="11">
        <v>0</v>
      </c>
      <c r="TX25" s="27">
        <f t="shared" si="44"/>
        <v>0</v>
      </c>
      <c r="TY25" s="11">
        <v>26</v>
      </c>
      <c r="TZ25" s="11"/>
      <c r="UA25" s="11"/>
    </row>
    <row r="26" spans="1:547" ht="16" customHeight="1" x14ac:dyDescent="0.35">
      <c r="A26" s="11" t="s">
        <v>1469</v>
      </c>
      <c r="B26" s="11">
        <v>80930</v>
      </c>
      <c r="C26" s="11">
        <v>23319</v>
      </c>
      <c r="D26" s="11">
        <v>5835</v>
      </c>
      <c r="E26" s="11">
        <v>51776</v>
      </c>
      <c r="F26" s="11">
        <v>952</v>
      </c>
      <c r="G26" s="11">
        <v>1137</v>
      </c>
      <c r="H26" s="11">
        <v>1008</v>
      </c>
      <c r="I26" s="11">
        <v>987</v>
      </c>
      <c r="J26" s="11">
        <v>1139</v>
      </c>
      <c r="K26" s="11">
        <v>978</v>
      </c>
      <c r="L26" s="11">
        <v>1060</v>
      </c>
      <c r="M26" s="11">
        <v>1102</v>
      </c>
      <c r="N26" s="11">
        <v>865</v>
      </c>
      <c r="O26" s="11">
        <v>860</v>
      </c>
      <c r="P26" s="11" t="s">
        <v>2863</v>
      </c>
      <c r="Q26" s="11">
        <v>836</v>
      </c>
      <c r="R26" s="11">
        <v>1078</v>
      </c>
      <c r="S26" s="26">
        <f t="shared" si="0"/>
        <v>12002</v>
      </c>
      <c r="T26" s="11">
        <v>0</v>
      </c>
      <c r="U26" s="11">
        <v>0</v>
      </c>
      <c r="V26" s="11">
        <v>0</v>
      </c>
      <c r="W26" s="11">
        <v>0</v>
      </c>
      <c r="X26" s="11">
        <v>0</v>
      </c>
      <c r="Y26" s="11">
        <v>0</v>
      </c>
      <c r="Z26" s="11">
        <v>0</v>
      </c>
      <c r="AA26" s="11">
        <v>0</v>
      </c>
      <c r="AB26" s="11">
        <v>0</v>
      </c>
      <c r="AC26" s="11">
        <v>0</v>
      </c>
      <c r="AD26" s="11">
        <v>0</v>
      </c>
      <c r="AE26" s="11">
        <v>0</v>
      </c>
      <c r="AF26" s="26">
        <f t="shared" si="1"/>
        <v>0</v>
      </c>
      <c r="AG26" s="11">
        <v>0</v>
      </c>
      <c r="AH26" s="11">
        <v>0</v>
      </c>
      <c r="AI26" s="11">
        <v>0</v>
      </c>
      <c r="AJ26" s="11">
        <v>0</v>
      </c>
      <c r="AK26" s="11">
        <v>0</v>
      </c>
      <c r="AL26" s="11">
        <v>0</v>
      </c>
      <c r="AM26" s="11">
        <v>0</v>
      </c>
      <c r="AN26" s="11">
        <v>0</v>
      </c>
      <c r="AO26" s="11">
        <v>0</v>
      </c>
      <c r="AP26" s="11">
        <v>0</v>
      </c>
      <c r="AQ26" s="11">
        <v>0</v>
      </c>
      <c r="AR26" s="11">
        <v>0</v>
      </c>
      <c r="AS26" s="26">
        <f t="shared" si="2"/>
        <v>0</v>
      </c>
      <c r="AT26" s="11">
        <v>0</v>
      </c>
      <c r="AU26" s="11">
        <v>0</v>
      </c>
      <c r="AV26" s="11">
        <v>0</v>
      </c>
      <c r="AW26" s="11">
        <v>0</v>
      </c>
      <c r="AX26" s="11">
        <v>0</v>
      </c>
      <c r="AY26" s="11">
        <v>0</v>
      </c>
      <c r="AZ26" s="11">
        <v>0</v>
      </c>
      <c r="BA26" s="11">
        <v>0</v>
      </c>
      <c r="BB26" s="11">
        <v>0</v>
      </c>
      <c r="BC26" s="11">
        <v>0</v>
      </c>
      <c r="BD26" s="11">
        <v>0</v>
      </c>
      <c r="BE26" s="11">
        <v>0</v>
      </c>
      <c r="BF26" s="26">
        <f t="shared" si="3"/>
        <v>0</v>
      </c>
      <c r="BG26" s="11">
        <v>0</v>
      </c>
      <c r="BH26" s="11">
        <v>0</v>
      </c>
      <c r="BI26" s="11">
        <v>0</v>
      </c>
      <c r="BJ26" s="11">
        <v>0</v>
      </c>
      <c r="BK26" s="11">
        <v>0</v>
      </c>
      <c r="BL26" s="11">
        <v>0</v>
      </c>
      <c r="BM26" s="11">
        <v>0</v>
      </c>
      <c r="BN26" s="11">
        <v>0</v>
      </c>
      <c r="BO26" s="11">
        <v>0</v>
      </c>
      <c r="BP26" s="11">
        <v>0</v>
      </c>
      <c r="BQ26" s="11">
        <v>0</v>
      </c>
      <c r="BR26" s="11">
        <v>0</v>
      </c>
      <c r="BS26" s="26">
        <f t="shared" si="4"/>
        <v>0</v>
      </c>
      <c r="BT26" s="11">
        <v>0</v>
      </c>
      <c r="BU26" s="11">
        <v>0</v>
      </c>
      <c r="BV26" s="11">
        <v>0</v>
      </c>
      <c r="BW26" s="11">
        <v>0</v>
      </c>
      <c r="BX26" s="11">
        <v>0</v>
      </c>
      <c r="BY26" s="11">
        <v>0</v>
      </c>
      <c r="BZ26" s="11">
        <v>0</v>
      </c>
      <c r="CA26" s="11">
        <v>0</v>
      </c>
      <c r="CB26" s="11">
        <v>0</v>
      </c>
      <c r="CC26" s="11">
        <v>0</v>
      </c>
      <c r="CD26" s="11">
        <v>0</v>
      </c>
      <c r="CE26" s="11">
        <v>0</v>
      </c>
      <c r="CF26" s="26">
        <f t="shared" si="5"/>
        <v>0</v>
      </c>
      <c r="CG26" s="11">
        <v>0</v>
      </c>
      <c r="CH26" s="11">
        <v>0</v>
      </c>
      <c r="CI26" s="11">
        <v>0</v>
      </c>
      <c r="CJ26" s="11">
        <v>0</v>
      </c>
      <c r="CK26" s="11">
        <v>0</v>
      </c>
      <c r="CL26" s="11">
        <v>0</v>
      </c>
      <c r="CM26" s="11">
        <v>0</v>
      </c>
      <c r="CN26" s="11">
        <v>0</v>
      </c>
      <c r="CO26" s="11">
        <v>0</v>
      </c>
      <c r="CP26" s="11">
        <v>0</v>
      </c>
      <c r="CQ26" s="11">
        <v>0</v>
      </c>
      <c r="CR26" s="11">
        <v>0</v>
      </c>
      <c r="CS26" s="26">
        <f t="shared" si="6"/>
        <v>0</v>
      </c>
      <c r="CT26" s="11">
        <v>0</v>
      </c>
      <c r="CU26" s="11">
        <v>0</v>
      </c>
      <c r="CV26" s="11">
        <v>0</v>
      </c>
      <c r="CW26" s="11">
        <v>0</v>
      </c>
      <c r="CX26" s="11">
        <v>0</v>
      </c>
      <c r="CY26" s="11">
        <v>0</v>
      </c>
      <c r="CZ26" s="11">
        <v>0</v>
      </c>
      <c r="DA26" s="11">
        <v>0</v>
      </c>
      <c r="DB26" s="11">
        <v>0</v>
      </c>
      <c r="DC26" s="11">
        <v>0</v>
      </c>
      <c r="DD26" s="11">
        <v>0</v>
      </c>
      <c r="DE26" s="11">
        <v>0</v>
      </c>
      <c r="DF26" s="26">
        <f t="shared" si="7"/>
        <v>0</v>
      </c>
      <c r="DG26" s="11">
        <v>0</v>
      </c>
      <c r="DH26" s="11">
        <v>0</v>
      </c>
      <c r="DI26" s="11">
        <v>0</v>
      </c>
      <c r="DJ26" s="11">
        <v>0</v>
      </c>
      <c r="DK26" s="11">
        <v>0</v>
      </c>
      <c r="DL26" s="11">
        <v>0</v>
      </c>
      <c r="DM26" s="11">
        <v>0</v>
      </c>
      <c r="DN26" s="11">
        <v>0</v>
      </c>
      <c r="DO26" s="11">
        <v>0</v>
      </c>
      <c r="DP26" s="11">
        <v>0</v>
      </c>
      <c r="DQ26" s="11">
        <v>0</v>
      </c>
      <c r="DR26" s="11">
        <v>0</v>
      </c>
      <c r="DS26" s="26">
        <f t="shared" si="8"/>
        <v>0</v>
      </c>
      <c r="DT26" s="11">
        <v>0</v>
      </c>
      <c r="DU26" s="11">
        <v>0</v>
      </c>
      <c r="DV26" s="11">
        <v>0</v>
      </c>
      <c r="DW26" s="11">
        <v>0</v>
      </c>
      <c r="DX26" s="11">
        <v>0</v>
      </c>
      <c r="DY26" s="11">
        <v>0</v>
      </c>
      <c r="DZ26" s="11">
        <v>0</v>
      </c>
      <c r="EA26" s="11">
        <v>0</v>
      </c>
      <c r="EB26" s="11">
        <v>0</v>
      </c>
      <c r="EC26" s="11">
        <v>0</v>
      </c>
      <c r="ED26" s="11">
        <v>0</v>
      </c>
      <c r="EE26" s="11">
        <v>0</v>
      </c>
      <c r="EF26" s="26">
        <f t="shared" si="9"/>
        <v>0</v>
      </c>
      <c r="EG26" s="9">
        <f t="shared" si="10"/>
        <v>0</v>
      </c>
      <c r="EH26" s="9">
        <f t="shared" si="11"/>
        <v>0</v>
      </c>
      <c r="EI26" s="11">
        <v>4471</v>
      </c>
      <c r="EJ26" s="11">
        <v>4997</v>
      </c>
      <c r="EK26" s="11">
        <v>4504</v>
      </c>
      <c r="EL26" s="11">
        <v>5877</v>
      </c>
      <c r="EM26" s="11">
        <v>4417</v>
      </c>
      <c r="EN26" s="11">
        <v>4123</v>
      </c>
      <c r="EO26" s="11">
        <v>5894</v>
      </c>
      <c r="EP26" s="11">
        <v>4872</v>
      </c>
      <c r="EQ26" s="11">
        <v>3425</v>
      </c>
      <c r="ER26" s="11">
        <v>3686</v>
      </c>
      <c r="ES26" s="11">
        <v>4067</v>
      </c>
      <c r="ET26" s="11">
        <v>5060</v>
      </c>
      <c r="EU26" s="26">
        <f t="shared" si="12"/>
        <v>55393</v>
      </c>
      <c r="EV26" s="11">
        <v>2392</v>
      </c>
      <c r="EW26" s="11">
        <v>2674</v>
      </c>
      <c r="EX26" s="11">
        <v>2448</v>
      </c>
      <c r="EY26" s="11">
        <v>2851</v>
      </c>
      <c r="EZ26" s="11">
        <v>2543</v>
      </c>
      <c r="FA26" s="11">
        <v>2532</v>
      </c>
      <c r="FB26" s="11">
        <v>3133</v>
      </c>
      <c r="FC26" s="11">
        <v>2487</v>
      </c>
      <c r="FD26" s="11">
        <v>1819</v>
      </c>
      <c r="FE26" s="11">
        <v>1874</v>
      </c>
      <c r="FF26" s="11">
        <v>2238</v>
      </c>
      <c r="FG26" s="11">
        <v>2311</v>
      </c>
      <c r="FH26" s="26">
        <f t="shared" si="13"/>
        <v>29302</v>
      </c>
      <c r="FI26" s="11">
        <v>2079</v>
      </c>
      <c r="FJ26" s="11">
        <v>2323</v>
      </c>
      <c r="FK26" s="11">
        <v>2056</v>
      </c>
      <c r="FL26" s="11">
        <v>3026</v>
      </c>
      <c r="FM26" s="11">
        <v>1874</v>
      </c>
      <c r="FN26" s="11">
        <v>1591</v>
      </c>
      <c r="FO26" s="11">
        <v>2761</v>
      </c>
      <c r="FP26" s="11">
        <v>2385</v>
      </c>
      <c r="FQ26" s="11">
        <v>1606</v>
      </c>
      <c r="FR26" s="11">
        <v>1812</v>
      </c>
      <c r="FS26" s="11">
        <v>1829</v>
      </c>
      <c r="FT26" s="11">
        <v>2749</v>
      </c>
      <c r="FU26" s="26">
        <f t="shared" si="14"/>
        <v>26091</v>
      </c>
      <c r="FV26" s="11">
        <v>0</v>
      </c>
      <c r="FW26" s="11">
        <v>0</v>
      </c>
      <c r="FX26" s="11">
        <v>0</v>
      </c>
      <c r="FY26" s="11">
        <v>0</v>
      </c>
      <c r="FZ26" s="11">
        <v>0</v>
      </c>
      <c r="GA26" s="11">
        <v>0</v>
      </c>
      <c r="GB26" s="11">
        <v>0</v>
      </c>
      <c r="GC26" s="11">
        <v>0</v>
      </c>
      <c r="GD26" s="11">
        <v>0</v>
      </c>
      <c r="GE26" s="11">
        <v>0</v>
      </c>
      <c r="GF26" s="11">
        <v>0</v>
      </c>
      <c r="GG26" s="11">
        <v>0</v>
      </c>
      <c r="GH26" s="26">
        <f t="shared" si="15"/>
        <v>0</v>
      </c>
      <c r="GI26" s="11">
        <v>0</v>
      </c>
      <c r="GJ26" s="11">
        <v>0</v>
      </c>
      <c r="GK26" s="11">
        <v>0</v>
      </c>
      <c r="GL26" s="11">
        <v>0</v>
      </c>
      <c r="GM26" s="11">
        <v>0</v>
      </c>
      <c r="GN26" s="11">
        <v>0</v>
      </c>
      <c r="GO26" s="11">
        <v>0</v>
      </c>
      <c r="GP26" s="11">
        <v>0</v>
      </c>
      <c r="GQ26" s="11">
        <v>0</v>
      </c>
      <c r="GR26" s="11">
        <v>0</v>
      </c>
      <c r="GS26" s="11">
        <v>0</v>
      </c>
      <c r="GT26" s="11">
        <v>0</v>
      </c>
      <c r="GU26" s="26">
        <f t="shared" si="16"/>
        <v>0</v>
      </c>
      <c r="GV26" s="11">
        <v>0</v>
      </c>
      <c r="GW26" s="11">
        <v>0</v>
      </c>
      <c r="GX26" s="11">
        <v>0</v>
      </c>
      <c r="GY26" s="11">
        <v>0</v>
      </c>
      <c r="GZ26" s="11">
        <v>0</v>
      </c>
      <c r="HA26" s="11">
        <v>0</v>
      </c>
      <c r="HB26" s="11">
        <v>0</v>
      </c>
      <c r="HC26" s="11">
        <v>0</v>
      </c>
      <c r="HD26" s="11">
        <v>0</v>
      </c>
      <c r="HE26" s="11">
        <v>0</v>
      </c>
      <c r="HF26" s="11">
        <v>0</v>
      </c>
      <c r="HG26" s="11">
        <v>0</v>
      </c>
      <c r="HH26" s="26">
        <f t="shared" si="17"/>
        <v>0</v>
      </c>
      <c r="HI26" s="11">
        <v>0</v>
      </c>
      <c r="HJ26" s="11">
        <v>0</v>
      </c>
      <c r="HK26" s="11">
        <v>0</v>
      </c>
      <c r="HL26" s="11">
        <v>0</v>
      </c>
      <c r="HM26" s="11">
        <v>0</v>
      </c>
      <c r="HN26" s="11">
        <v>0</v>
      </c>
      <c r="HO26" s="11">
        <v>0</v>
      </c>
      <c r="HP26" s="11">
        <v>0</v>
      </c>
      <c r="HQ26" s="11">
        <v>0</v>
      </c>
      <c r="HR26" s="11">
        <v>0</v>
      </c>
      <c r="HS26" s="11">
        <v>0</v>
      </c>
      <c r="HT26" s="11">
        <v>0</v>
      </c>
      <c r="HU26" s="26">
        <f t="shared" si="18"/>
        <v>0</v>
      </c>
      <c r="HV26" s="11">
        <v>0</v>
      </c>
      <c r="HW26" s="11">
        <v>0</v>
      </c>
      <c r="HX26" s="11">
        <v>0</v>
      </c>
      <c r="HY26" s="11">
        <v>0</v>
      </c>
      <c r="HZ26" s="11">
        <v>0</v>
      </c>
      <c r="IA26" s="11">
        <v>0</v>
      </c>
      <c r="IB26" s="11">
        <v>0</v>
      </c>
      <c r="IC26" s="11">
        <v>0</v>
      </c>
      <c r="ID26" s="11">
        <v>0</v>
      </c>
      <c r="IE26" s="11">
        <v>0</v>
      </c>
      <c r="IF26" s="11">
        <v>0</v>
      </c>
      <c r="IG26" s="11">
        <v>0</v>
      </c>
      <c r="IH26" s="26">
        <f t="shared" si="19"/>
        <v>0</v>
      </c>
      <c r="II26" s="9">
        <f t="shared" si="20"/>
        <v>55393</v>
      </c>
      <c r="IJ26" s="9">
        <f t="shared" si="21"/>
        <v>0</v>
      </c>
      <c r="IK26" s="11">
        <v>152077</v>
      </c>
      <c r="IL26" s="11">
        <v>143213</v>
      </c>
      <c r="IM26" s="11">
        <v>133408</v>
      </c>
      <c r="IN26" s="11">
        <v>156156</v>
      </c>
      <c r="IO26" s="11">
        <v>165990</v>
      </c>
      <c r="IP26" s="11">
        <v>143234</v>
      </c>
      <c r="IQ26" s="11">
        <v>152233</v>
      </c>
      <c r="IR26" s="11">
        <v>137125</v>
      </c>
      <c r="IS26" s="11">
        <v>116466</v>
      </c>
      <c r="IT26" s="11">
        <v>134027</v>
      </c>
      <c r="IU26" s="11">
        <v>87666</v>
      </c>
      <c r="IV26" s="11">
        <v>118651</v>
      </c>
      <c r="IW26" s="27">
        <f t="shared" si="22"/>
        <v>1640246</v>
      </c>
      <c r="IX26" s="11">
        <v>87418</v>
      </c>
      <c r="IY26" s="11">
        <v>86113</v>
      </c>
      <c r="IZ26" s="11">
        <v>81037</v>
      </c>
      <c r="JA26" s="11">
        <v>88408</v>
      </c>
      <c r="JB26" s="11">
        <v>90014</v>
      </c>
      <c r="JC26" s="11">
        <v>82833</v>
      </c>
      <c r="JD26" s="11">
        <v>89559</v>
      </c>
      <c r="JE26" s="11">
        <v>81878</v>
      </c>
      <c r="JF26" s="11">
        <v>75240</v>
      </c>
      <c r="JG26" s="11">
        <v>83604</v>
      </c>
      <c r="JH26" s="11">
        <v>51033</v>
      </c>
      <c r="JI26" s="11">
        <v>73651</v>
      </c>
      <c r="JJ26" s="27">
        <f t="shared" si="23"/>
        <v>970788</v>
      </c>
      <c r="JK26" s="11">
        <v>63502</v>
      </c>
      <c r="JL26" s="11">
        <v>55972</v>
      </c>
      <c r="JM26" s="11">
        <v>51310</v>
      </c>
      <c r="JN26" s="11">
        <v>66273</v>
      </c>
      <c r="JO26" s="11">
        <v>74246</v>
      </c>
      <c r="JP26" s="11">
        <v>59101</v>
      </c>
      <c r="JQ26" s="11">
        <v>61247</v>
      </c>
      <c r="JR26" s="11">
        <v>54169</v>
      </c>
      <c r="JS26" s="11">
        <v>40359</v>
      </c>
      <c r="JT26" s="11">
        <v>49505</v>
      </c>
      <c r="JU26" s="11">
        <v>36020</v>
      </c>
      <c r="JV26" s="11">
        <v>44090</v>
      </c>
      <c r="JW26" s="27">
        <f t="shared" si="24"/>
        <v>655794</v>
      </c>
      <c r="JX26" s="11">
        <v>1157</v>
      </c>
      <c r="JY26" s="11">
        <v>1128</v>
      </c>
      <c r="JZ26" s="11">
        <v>1061</v>
      </c>
      <c r="KA26" s="11">
        <v>1475</v>
      </c>
      <c r="KB26" s="11">
        <v>1730</v>
      </c>
      <c r="KC26" s="11">
        <v>1300</v>
      </c>
      <c r="KD26" s="11">
        <v>1427</v>
      </c>
      <c r="KE26" s="11">
        <v>1078</v>
      </c>
      <c r="KF26" s="11">
        <v>867</v>
      </c>
      <c r="KG26" s="11">
        <v>918</v>
      </c>
      <c r="KH26" s="11">
        <v>613</v>
      </c>
      <c r="KI26" s="11">
        <v>910</v>
      </c>
      <c r="KJ26" s="27">
        <f t="shared" si="25"/>
        <v>13664</v>
      </c>
      <c r="KK26" s="11">
        <v>2986</v>
      </c>
      <c r="KL26" s="11">
        <v>2929</v>
      </c>
      <c r="KM26" s="11">
        <v>2306</v>
      </c>
      <c r="KN26" s="11">
        <v>2842</v>
      </c>
      <c r="KO26" s="11">
        <v>2498</v>
      </c>
      <c r="KP26" s="11">
        <v>2413</v>
      </c>
      <c r="KQ26" s="11">
        <v>2645</v>
      </c>
      <c r="KR26" s="11">
        <v>2509</v>
      </c>
      <c r="KS26" s="11">
        <v>2110</v>
      </c>
      <c r="KT26" s="11">
        <v>2729</v>
      </c>
      <c r="KU26" s="11">
        <v>1668</v>
      </c>
      <c r="KV26" s="11">
        <v>2444</v>
      </c>
      <c r="KW26" s="27">
        <f t="shared" si="26"/>
        <v>30079</v>
      </c>
      <c r="KX26" s="11">
        <v>2715</v>
      </c>
      <c r="KY26" s="11">
        <v>2687</v>
      </c>
      <c r="KZ26" s="11">
        <v>2103</v>
      </c>
      <c r="LA26" s="11">
        <v>2544</v>
      </c>
      <c r="LB26" s="11">
        <v>2203</v>
      </c>
      <c r="LC26" s="11">
        <v>2193</v>
      </c>
      <c r="LD26" s="11">
        <v>2391</v>
      </c>
      <c r="LE26" s="11">
        <v>2346</v>
      </c>
      <c r="LF26" s="11">
        <v>1961</v>
      </c>
      <c r="LG26" s="11">
        <v>2560</v>
      </c>
      <c r="LH26" s="11">
        <v>1546</v>
      </c>
      <c r="LI26" s="11">
        <v>2276</v>
      </c>
      <c r="LJ26" s="27">
        <f t="shared" si="27"/>
        <v>27525</v>
      </c>
      <c r="LK26" s="11">
        <v>266</v>
      </c>
      <c r="LL26" s="11">
        <v>235</v>
      </c>
      <c r="LM26" s="11">
        <v>198</v>
      </c>
      <c r="LN26" s="11">
        <v>294</v>
      </c>
      <c r="LO26" s="11">
        <v>290</v>
      </c>
      <c r="LP26" s="11">
        <v>215</v>
      </c>
      <c r="LQ26" s="11">
        <v>246</v>
      </c>
      <c r="LR26" s="11">
        <v>159</v>
      </c>
      <c r="LS26" s="11">
        <v>146</v>
      </c>
      <c r="LT26" s="11">
        <v>163</v>
      </c>
      <c r="LU26" s="11">
        <v>120</v>
      </c>
      <c r="LV26" s="11">
        <v>163</v>
      </c>
      <c r="LW26" s="27">
        <f t="shared" si="28"/>
        <v>2495</v>
      </c>
      <c r="LX26" s="11">
        <v>5</v>
      </c>
      <c r="LY26" s="11">
        <v>7</v>
      </c>
      <c r="LZ26" s="11">
        <v>5</v>
      </c>
      <c r="MA26" s="11">
        <v>4</v>
      </c>
      <c r="MB26" s="11">
        <v>5</v>
      </c>
      <c r="MC26" s="11">
        <v>5</v>
      </c>
      <c r="MD26" s="11">
        <v>8</v>
      </c>
      <c r="ME26" s="11">
        <v>4</v>
      </c>
      <c r="MF26" s="11">
        <v>3</v>
      </c>
      <c r="MG26" s="11">
        <v>6</v>
      </c>
      <c r="MH26" s="11">
        <v>2</v>
      </c>
      <c r="MI26" s="11">
        <v>5</v>
      </c>
      <c r="MJ26" s="27">
        <f t="shared" si="29"/>
        <v>59</v>
      </c>
      <c r="MK26" s="11">
        <v>9998</v>
      </c>
      <c r="ML26" s="11">
        <v>10494</v>
      </c>
      <c r="MM26" s="11">
        <v>9898</v>
      </c>
      <c r="MN26" s="11">
        <v>10581</v>
      </c>
      <c r="MO26" s="11">
        <v>10734</v>
      </c>
      <c r="MP26" s="11">
        <v>10070</v>
      </c>
      <c r="MQ26" s="11">
        <v>10151</v>
      </c>
      <c r="MR26" s="11">
        <v>9636</v>
      </c>
      <c r="MS26" s="11">
        <v>9645</v>
      </c>
      <c r="MT26" s="11">
        <v>11083</v>
      </c>
      <c r="MU26" s="11">
        <v>9688</v>
      </c>
      <c r="MV26" s="11">
        <v>10508</v>
      </c>
      <c r="MW26" s="27">
        <f t="shared" si="30"/>
        <v>122486</v>
      </c>
      <c r="MX26" s="11">
        <v>9002</v>
      </c>
      <c r="MY26" s="11">
        <v>9477</v>
      </c>
      <c r="MZ26" s="11">
        <v>9008</v>
      </c>
      <c r="NA26" s="11">
        <v>9496</v>
      </c>
      <c r="NB26" s="11">
        <v>9543</v>
      </c>
      <c r="NC26" s="11">
        <v>9094</v>
      </c>
      <c r="ND26" s="11">
        <v>9107</v>
      </c>
      <c r="NE26" s="11">
        <v>8608</v>
      </c>
      <c r="NF26" s="11">
        <v>8717</v>
      </c>
      <c r="NG26" s="11">
        <v>9943</v>
      </c>
      <c r="NH26" s="11">
        <v>8593</v>
      </c>
      <c r="NI26" s="11">
        <v>9449</v>
      </c>
      <c r="NJ26" s="27">
        <f t="shared" si="31"/>
        <v>110037</v>
      </c>
      <c r="NK26" s="11">
        <v>598</v>
      </c>
      <c r="NL26" s="11">
        <v>614</v>
      </c>
      <c r="NM26" s="11">
        <v>499</v>
      </c>
      <c r="NN26" s="11">
        <v>627</v>
      </c>
      <c r="NO26" s="11">
        <v>723</v>
      </c>
      <c r="NP26" s="11">
        <v>589</v>
      </c>
      <c r="NQ26" s="11">
        <v>581</v>
      </c>
      <c r="NR26" s="11">
        <v>615</v>
      </c>
      <c r="NS26" s="11">
        <v>573</v>
      </c>
      <c r="NT26" s="11">
        <v>762</v>
      </c>
      <c r="NU26" s="11">
        <v>710</v>
      </c>
      <c r="NV26" s="11">
        <v>695</v>
      </c>
      <c r="NW26" s="27">
        <f t="shared" si="32"/>
        <v>7586</v>
      </c>
      <c r="NX26" s="11">
        <v>398</v>
      </c>
      <c r="NY26" s="11">
        <v>403</v>
      </c>
      <c r="NZ26" s="11">
        <v>391</v>
      </c>
      <c r="OA26" s="11">
        <v>458</v>
      </c>
      <c r="OB26" s="11">
        <v>468</v>
      </c>
      <c r="OC26" s="11">
        <v>387</v>
      </c>
      <c r="OD26" s="11">
        <v>463</v>
      </c>
      <c r="OE26" s="11">
        <v>413</v>
      </c>
      <c r="OF26" s="11">
        <v>355</v>
      </c>
      <c r="OG26" s="11">
        <v>378</v>
      </c>
      <c r="OH26" s="11">
        <v>385</v>
      </c>
      <c r="OI26" s="11">
        <v>364</v>
      </c>
      <c r="OJ26" s="27">
        <f t="shared" si="33"/>
        <v>4863</v>
      </c>
      <c r="OK26" s="11">
        <v>13544</v>
      </c>
      <c r="OL26" s="11">
        <v>13988</v>
      </c>
      <c r="OM26" s="11">
        <v>13857</v>
      </c>
      <c r="ON26" s="11">
        <v>14652</v>
      </c>
      <c r="OO26" s="11">
        <v>14512</v>
      </c>
      <c r="OP26" s="11">
        <v>14060</v>
      </c>
      <c r="OQ26" s="11">
        <v>14924</v>
      </c>
      <c r="OR26" s="11">
        <v>13870</v>
      </c>
      <c r="OS26" s="11">
        <v>14290</v>
      </c>
      <c r="OT26" s="11">
        <v>15879</v>
      </c>
      <c r="OU26" s="11">
        <v>14531</v>
      </c>
      <c r="OV26" s="11">
        <v>15871</v>
      </c>
      <c r="OW26" s="27">
        <f t="shared" si="34"/>
        <v>173978</v>
      </c>
      <c r="OX26" s="11">
        <v>11894</v>
      </c>
      <c r="OY26" s="11">
        <v>11962</v>
      </c>
      <c r="OZ26" s="11">
        <v>11903</v>
      </c>
      <c r="PA26" s="11">
        <v>12554</v>
      </c>
      <c r="PB26" s="11">
        <v>12303</v>
      </c>
      <c r="PC26" s="11">
        <v>12156</v>
      </c>
      <c r="PD26" s="11">
        <v>12759</v>
      </c>
      <c r="PE26" s="11">
        <v>11803</v>
      </c>
      <c r="PF26" s="11">
        <v>12090</v>
      </c>
      <c r="PG26" s="11">
        <v>13599</v>
      </c>
      <c r="PH26" s="11">
        <v>12509</v>
      </c>
      <c r="PI26" s="11">
        <v>13848</v>
      </c>
      <c r="PJ26" s="27">
        <f t="shared" si="35"/>
        <v>149380</v>
      </c>
      <c r="PK26" s="11">
        <v>1592</v>
      </c>
      <c r="PL26" s="11">
        <v>1498</v>
      </c>
      <c r="PM26" s="11">
        <v>1452</v>
      </c>
      <c r="PN26" s="11">
        <v>1634</v>
      </c>
      <c r="PO26" s="11">
        <v>1764</v>
      </c>
      <c r="PP26" s="11">
        <v>1454</v>
      </c>
      <c r="PQ26" s="11">
        <v>1687</v>
      </c>
      <c r="PR26" s="11">
        <v>1531</v>
      </c>
      <c r="PS26" s="11">
        <v>1705</v>
      </c>
      <c r="PT26" s="11">
        <v>1675</v>
      </c>
      <c r="PU26" s="11">
        <v>1512</v>
      </c>
      <c r="PV26" s="11">
        <v>1490</v>
      </c>
      <c r="PW26" s="27">
        <f t="shared" si="36"/>
        <v>18994</v>
      </c>
      <c r="PX26" s="11">
        <v>486</v>
      </c>
      <c r="PY26" s="11">
        <v>528</v>
      </c>
      <c r="PZ26" s="11">
        <v>457</v>
      </c>
      <c r="QA26" s="11">
        <v>464</v>
      </c>
      <c r="QB26" s="11">
        <v>445</v>
      </c>
      <c r="QC26" s="11">
        <v>450</v>
      </c>
      <c r="QD26" s="11">
        <v>478</v>
      </c>
      <c r="QE26" s="11">
        <v>536</v>
      </c>
      <c r="QF26" s="11">
        <v>495</v>
      </c>
      <c r="QG26" s="11">
        <v>605</v>
      </c>
      <c r="QH26" s="11">
        <v>510</v>
      </c>
      <c r="QI26" s="11">
        <v>533</v>
      </c>
      <c r="QJ26" s="27">
        <f t="shared" si="37"/>
        <v>5987</v>
      </c>
      <c r="QK26" s="11">
        <v>76073</v>
      </c>
      <c r="QL26" s="11">
        <v>74000</v>
      </c>
      <c r="QM26" s="11">
        <v>69734</v>
      </c>
      <c r="QN26" s="11">
        <v>79076</v>
      </c>
      <c r="QO26" s="11">
        <v>79866</v>
      </c>
      <c r="QP26" s="11">
        <v>72417</v>
      </c>
      <c r="QQ26" s="11">
        <v>82235</v>
      </c>
      <c r="QR26" s="11">
        <v>74669</v>
      </c>
      <c r="QS26" s="11">
        <v>67363</v>
      </c>
      <c r="QT26" s="11">
        <v>73591</v>
      </c>
      <c r="QU26" s="11">
        <v>71316</v>
      </c>
      <c r="QV26" s="11">
        <v>75208</v>
      </c>
      <c r="QW26" s="27">
        <f t="shared" si="38"/>
        <v>895548</v>
      </c>
      <c r="QX26" s="11">
        <v>36223</v>
      </c>
      <c r="QY26" s="11">
        <v>32546</v>
      </c>
      <c r="QZ26" s="11">
        <v>31561</v>
      </c>
      <c r="RA26" s="11">
        <v>37172</v>
      </c>
      <c r="RB26" s="11">
        <v>37886</v>
      </c>
      <c r="RC26" s="11">
        <v>34984</v>
      </c>
      <c r="RD26" s="11">
        <v>35874</v>
      </c>
      <c r="RE26" s="11">
        <v>35373</v>
      </c>
      <c r="RF26" s="11">
        <v>30660</v>
      </c>
      <c r="RG26" s="11">
        <v>34930</v>
      </c>
      <c r="RH26" s="11">
        <v>32558</v>
      </c>
      <c r="RI26" s="11">
        <v>34135</v>
      </c>
      <c r="RJ26" s="27">
        <f t="shared" si="39"/>
        <v>413902</v>
      </c>
      <c r="RK26" s="11">
        <v>0</v>
      </c>
      <c r="RL26" s="11">
        <v>0</v>
      </c>
      <c r="RM26" s="11">
        <v>0</v>
      </c>
      <c r="RN26" s="11">
        <v>0</v>
      </c>
      <c r="RO26" s="11">
        <v>0</v>
      </c>
      <c r="RP26" s="11">
        <v>0</v>
      </c>
      <c r="RQ26" s="11">
        <v>0</v>
      </c>
      <c r="RR26" s="11">
        <v>0</v>
      </c>
      <c r="RS26" s="11">
        <v>0</v>
      </c>
      <c r="RT26" s="11">
        <v>0</v>
      </c>
      <c r="RU26" s="11">
        <v>0</v>
      </c>
      <c r="RV26" s="11">
        <v>0</v>
      </c>
      <c r="RW26" s="27">
        <f t="shared" si="40"/>
        <v>0</v>
      </c>
      <c r="RX26" s="11">
        <v>0</v>
      </c>
      <c r="RY26" s="11">
        <v>0</v>
      </c>
      <c r="RZ26" s="11">
        <v>0</v>
      </c>
      <c r="SA26" s="11">
        <v>0</v>
      </c>
      <c r="SB26" s="11">
        <v>0</v>
      </c>
      <c r="SC26" s="11">
        <v>0</v>
      </c>
      <c r="SD26" s="11">
        <v>0</v>
      </c>
      <c r="SE26" s="11">
        <v>0</v>
      </c>
      <c r="SF26" s="11">
        <v>0</v>
      </c>
      <c r="SG26" s="11">
        <v>0</v>
      </c>
      <c r="SH26" s="11">
        <v>0</v>
      </c>
      <c r="SI26" s="11">
        <v>0</v>
      </c>
      <c r="SJ26" s="27">
        <f t="shared" si="41"/>
        <v>0</v>
      </c>
      <c r="SK26" s="11">
        <v>0</v>
      </c>
      <c r="SL26" s="11">
        <v>0</v>
      </c>
      <c r="SM26" s="11">
        <v>0</v>
      </c>
      <c r="SN26" s="11">
        <v>0</v>
      </c>
      <c r="SO26" s="11">
        <v>0</v>
      </c>
      <c r="SP26" s="11">
        <v>0</v>
      </c>
      <c r="SQ26" s="11">
        <v>0</v>
      </c>
      <c r="SR26" s="11">
        <v>0</v>
      </c>
      <c r="SS26" s="11">
        <v>0</v>
      </c>
      <c r="ST26" s="11">
        <v>0</v>
      </c>
      <c r="SU26" s="11">
        <v>0</v>
      </c>
      <c r="SV26" s="11">
        <v>0</v>
      </c>
      <c r="SW26" s="27">
        <f t="shared" si="42"/>
        <v>0</v>
      </c>
      <c r="SX26" s="11" t="s">
        <v>2661</v>
      </c>
      <c r="SY26" s="11">
        <v>8394</v>
      </c>
      <c r="SZ26" s="11">
        <v>7946</v>
      </c>
      <c r="TA26" s="11">
        <v>7525</v>
      </c>
      <c r="TB26" s="11">
        <v>7651</v>
      </c>
      <c r="TC26" s="11">
        <v>7735</v>
      </c>
      <c r="TD26" s="11">
        <v>7514</v>
      </c>
      <c r="TE26" s="11">
        <v>8165</v>
      </c>
      <c r="TF26" s="11">
        <v>7219</v>
      </c>
      <c r="TG26" s="11">
        <v>6188</v>
      </c>
      <c r="TH26" s="11">
        <v>7457</v>
      </c>
      <c r="TI26" s="11">
        <v>7231</v>
      </c>
      <c r="TJ26" s="11">
        <v>7899</v>
      </c>
      <c r="TK26" s="27">
        <f t="shared" si="43"/>
        <v>90924</v>
      </c>
      <c r="TL26" s="11">
        <v>0</v>
      </c>
      <c r="TM26" s="11">
        <v>0</v>
      </c>
      <c r="TN26" s="11">
        <v>0</v>
      </c>
      <c r="TO26" s="11">
        <v>0</v>
      </c>
      <c r="TP26" s="11">
        <v>0</v>
      </c>
      <c r="TQ26" s="11">
        <v>0</v>
      </c>
      <c r="TR26" s="11">
        <v>0</v>
      </c>
      <c r="TS26" s="11">
        <v>0</v>
      </c>
      <c r="TT26" s="11">
        <v>0</v>
      </c>
      <c r="TU26" s="11">
        <v>0</v>
      </c>
      <c r="TV26" s="11">
        <v>0</v>
      </c>
      <c r="TW26" s="11">
        <v>0</v>
      </c>
      <c r="TX26" s="27">
        <f t="shared" si="44"/>
        <v>0</v>
      </c>
      <c r="TY26" s="11">
        <v>251</v>
      </c>
      <c r="TZ26" s="11">
        <v>0</v>
      </c>
      <c r="UA26" s="11">
        <v>0</v>
      </c>
    </row>
    <row r="27" spans="1:547" ht="16" customHeight="1" x14ac:dyDescent="0.35">
      <c r="A27" s="11" t="s">
        <v>1478</v>
      </c>
      <c r="B27" s="11">
        <v>113661</v>
      </c>
      <c r="C27" s="11">
        <v>26536</v>
      </c>
      <c r="D27" s="11">
        <v>79448</v>
      </c>
      <c r="E27" s="11">
        <v>7677</v>
      </c>
      <c r="F27" s="11">
        <v>828</v>
      </c>
      <c r="G27" s="11">
        <v>952</v>
      </c>
      <c r="H27" s="11">
        <v>935</v>
      </c>
      <c r="I27" s="11">
        <v>1021</v>
      </c>
      <c r="J27" s="11">
        <v>908</v>
      </c>
      <c r="K27" s="11">
        <v>876</v>
      </c>
      <c r="L27" s="11">
        <v>1103</v>
      </c>
      <c r="M27" s="11">
        <v>1236</v>
      </c>
      <c r="N27" s="11">
        <v>864</v>
      </c>
      <c r="O27" s="11">
        <v>1186</v>
      </c>
      <c r="P27" s="11" t="s">
        <v>2864</v>
      </c>
      <c r="Q27" s="11">
        <v>1220</v>
      </c>
      <c r="R27" s="11">
        <v>1265</v>
      </c>
      <c r="S27" s="26">
        <f t="shared" si="0"/>
        <v>12394</v>
      </c>
      <c r="T27" s="11">
        <v>232</v>
      </c>
      <c r="U27" s="11">
        <v>320</v>
      </c>
      <c r="V27" s="11">
        <v>321</v>
      </c>
      <c r="W27" s="11">
        <v>329</v>
      </c>
      <c r="X27" s="11">
        <v>265</v>
      </c>
      <c r="Y27" s="11">
        <v>313</v>
      </c>
      <c r="Z27" s="11">
        <v>366</v>
      </c>
      <c r="AA27" s="11">
        <v>387</v>
      </c>
      <c r="AB27" s="11">
        <v>261</v>
      </c>
      <c r="AC27" s="11">
        <v>385</v>
      </c>
      <c r="AD27" s="11">
        <v>411</v>
      </c>
      <c r="AE27" s="11">
        <v>437</v>
      </c>
      <c r="AF27" s="26">
        <f t="shared" si="1"/>
        <v>4027</v>
      </c>
      <c r="AG27" s="11">
        <v>313</v>
      </c>
      <c r="AH27" s="11">
        <v>428</v>
      </c>
      <c r="AI27" s="11">
        <v>392</v>
      </c>
      <c r="AJ27" s="11">
        <v>438</v>
      </c>
      <c r="AK27" s="11">
        <v>391</v>
      </c>
      <c r="AL27" s="11">
        <v>312</v>
      </c>
      <c r="AM27" s="11">
        <v>373</v>
      </c>
      <c r="AN27" s="11">
        <v>375</v>
      </c>
      <c r="AO27" s="11">
        <v>242</v>
      </c>
      <c r="AP27" s="11">
        <v>329</v>
      </c>
      <c r="AQ27" s="11">
        <v>402</v>
      </c>
      <c r="AR27" s="11">
        <v>411</v>
      </c>
      <c r="AS27" s="26">
        <f t="shared" si="2"/>
        <v>4406</v>
      </c>
      <c r="AT27" s="11">
        <v>4</v>
      </c>
      <c r="AU27" s="11">
        <v>12</v>
      </c>
      <c r="AV27" s="11">
        <v>9</v>
      </c>
      <c r="AW27" s="11">
        <v>10</v>
      </c>
      <c r="AX27" s="11">
        <v>6</v>
      </c>
      <c r="AY27" s="11">
        <v>11</v>
      </c>
      <c r="AZ27" s="11">
        <v>13</v>
      </c>
      <c r="BA27" s="11">
        <v>10</v>
      </c>
      <c r="BB27" s="11">
        <v>12</v>
      </c>
      <c r="BC27" s="11">
        <v>12</v>
      </c>
      <c r="BD27" s="11">
        <v>12</v>
      </c>
      <c r="BE27" s="11">
        <v>18</v>
      </c>
      <c r="BF27" s="26">
        <f t="shared" si="3"/>
        <v>129</v>
      </c>
      <c r="BG27" s="11">
        <v>279</v>
      </c>
      <c r="BH27" s="11">
        <v>192</v>
      </c>
      <c r="BI27" s="11">
        <v>213</v>
      </c>
      <c r="BJ27" s="11">
        <v>244</v>
      </c>
      <c r="BK27" s="11">
        <v>246</v>
      </c>
      <c r="BL27" s="11">
        <v>240</v>
      </c>
      <c r="BM27" s="11">
        <v>351</v>
      </c>
      <c r="BN27" s="11">
        <v>464</v>
      </c>
      <c r="BO27" s="11">
        <v>349</v>
      </c>
      <c r="BP27" s="11">
        <v>460</v>
      </c>
      <c r="BQ27" s="11">
        <v>395</v>
      </c>
      <c r="BR27" s="11">
        <v>399</v>
      </c>
      <c r="BS27" s="26">
        <f t="shared" si="4"/>
        <v>3832</v>
      </c>
      <c r="BT27" s="11"/>
      <c r="BU27" s="11">
        <v>0</v>
      </c>
      <c r="BV27" s="11">
        <v>0</v>
      </c>
      <c r="BW27" s="11">
        <v>0</v>
      </c>
      <c r="BX27" s="11">
        <v>0</v>
      </c>
      <c r="BY27" s="11">
        <v>0</v>
      </c>
      <c r="BZ27" s="11">
        <v>0</v>
      </c>
      <c r="CA27" s="11">
        <v>0</v>
      </c>
      <c r="CB27" s="11">
        <v>0</v>
      </c>
      <c r="CC27" s="11">
        <v>0</v>
      </c>
      <c r="CD27" s="11">
        <v>0</v>
      </c>
      <c r="CE27" s="11">
        <v>0</v>
      </c>
      <c r="CF27" s="26">
        <f t="shared" si="5"/>
        <v>0</v>
      </c>
      <c r="CG27" s="11">
        <v>0</v>
      </c>
      <c r="CH27" s="11">
        <v>0</v>
      </c>
      <c r="CI27" s="11">
        <v>0</v>
      </c>
      <c r="CJ27" s="11">
        <v>0</v>
      </c>
      <c r="CK27" s="11">
        <v>0</v>
      </c>
      <c r="CL27" s="11">
        <v>0</v>
      </c>
      <c r="CM27" s="11">
        <v>0</v>
      </c>
      <c r="CN27" s="11">
        <v>0</v>
      </c>
      <c r="CO27" s="11">
        <v>0</v>
      </c>
      <c r="CP27" s="11">
        <v>0</v>
      </c>
      <c r="CQ27" s="11">
        <v>0</v>
      </c>
      <c r="CR27" s="11">
        <v>0</v>
      </c>
      <c r="CS27" s="26">
        <f t="shared" si="6"/>
        <v>0</v>
      </c>
      <c r="CT27" s="11">
        <v>0</v>
      </c>
      <c r="CU27" s="11">
        <v>0</v>
      </c>
      <c r="CV27" s="11">
        <v>0</v>
      </c>
      <c r="CW27" s="11">
        <v>0</v>
      </c>
      <c r="CX27" s="11">
        <v>0</v>
      </c>
      <c r="CY27" s="11">
        <v>0</v>
      </c>
      <c r="CZ27" s="11">
        <v>0</v>
      </c>
      <c r="DA27" s="11">
        <v>0</v>
      </c>
      <c r="DB27" s="11">
        <v>0</v>
      </c>
      <c r="DC27" s="11">
        <v>0</v>
      </c>
      <c r="DD27" s="11">
        <v>0</v>
      </c>
      <c r="DE27" s="11">
        <v>0</v>
      </c>
      <c r="DF27" s="26">
        <f t="shared" si="7"/>
        <v>0</v>
      </c>
      <c r="DG27" s="11">
        <v>0</v>
      </c>
      <c r="DH27" s="11">
        <v>0</v>
      </c>
      <c r="DI27" s="11">
        <v>0</v>
      </c>
      <c r="DJ27" s="11">
        <v>0</v>
      </c>
      <c r="DK27" s="11">
        <v>0</v>
      </c>
      <c r="DL27" s="11">
        <v>0</v>
      </c>
      <c r="DM27" s="11">
        <v>0</v>
      </c>
      <c r="DN27" s="11">
        <v>0</v>
      </c>
      <c r="DO27" s="11">
        <v>0</v>
      </c>
      <c r="DP27" s="11">
        <v>0</v>
      </c>
      <c r="DQ27" s="11">
        <v>0</v>
      </c>
      <c r="DR27" s="11">
        <v>0</v>
      </c>
      <c r="DS27" s="26">
        <f t="shared" si="8"/>
        <v>0</v>
      </c>
      <c r="DT27" s="11">
        <v>0</v>
      </c>
      <c r="DU27" s="11">
        <v>0</v>
      </c>
      <c r="DV27" s="11">
        <v>0</v>
      </c>
      <c r="DW27" s="11">
        <v>0</v>
      </c>
      <c r="DX27" s="11">
        <v>0</v>
      </c>
      <c r="DY27" s="11">
        <v>0</v>
      </c>
      <c r="DZ27" s="11">
        <v>0</v>
      </c>
      <c r="EA27" s="11">
        <v>0</v>
      </c>
      <c r="EB27" s="11">
        <v>0</v>
      </c>
      <c r="EC27" s="11">
        <v>0</v>
      </c>
      <c r="ED27" s="11">
        <v>0</v>
      </c>
      <c r="EE27" s="11">
        <v>0</v>
      </c>
      <c r="EF27" s="26">
        <f t="shared" si="9"/>
        <v>0</v>
      </c>
      <c r="EG27" s="9">
        <f t="shared" si="10"/>
        <v>12394</v>
      </c>
      <c r="EH27" s="9">
        <f t="shared" si="11"/>
        <v>0</v>
      </c>
      <c r="EI27" s="11">
        <v>60040</v>
      </c>
      <c r="EJ27" s="11">
        <v>4920</v>
      </c>
      <c r="EK27" s="11">
        <v>5340</v>
      </c>
      <c r="EL27" s="11">
        <v>8882</v>
      </c>
      <c r="EM27" s="11">
        <v>7156</v>
      </c>
      <c r="EN27" s="11">
        <v>6084</v>
      </c>
      <c r="EO27" s="11">
        <v>8470</v>
      </c>
      <c r="EP27" s="11">
        <v>6304</v>
      </c>
      <c r="EQ27" s="11">
        <v>4516</v>
      </c>
      <c r="ER27" s="11">
        <v>5540</v>
      </c>
      <c r="ES27" s="11">
        <v>6302</v>
      </c>
      <c r="ET27" s="11">
        <v>6008</v>
      </c>
      <c r="EU27" s="26">
        <f t="shared" si="12"/>
        <v>129562</v>
      </c>
      <c r="EV27" s="11">
        <v>82</v>
      </c>
      <c r="EW27" s="11">
        <v>58</v>
      </c>
      <c r="EX27" s="11">
        <v>70</v>
      </c>
      <c r="EY27" s="11">
        <v>36</v>
      </c>
      <c r="EZ27" s="11">
        <v>182</v>
      </c>
      <c r="FA27" s="11">
        <v>102</v>
      </c>
      <c r="FB27" s="11">
        <v>164</v>
      </c>
      <c r="FC27" s="11">
        <v>196</v>
      </c>
      <c r="FD27" s="11">
        <v>74</v>
      </c>
      <c r="FE27" s="11">
        <v>32</v>
      </c>
      <c r="FF27" s="11">
        <v>168</v>
      </c>
      <c r="FG27" s="11">
        <v>93</v>
      </c>
      <c r="FH27" s="26">
        <f t="shared" si="13"/>
        <v>1257</v>
      </c>
      <c r="FI27" s="11">
        <v>7454</v>
      </c>
      <c r="FJ27" s="11">
        <v>8862</v>
      </c>
      <c r="FK27" s="11">
        <v>17358</v>
      </c>
      <c r="FL27" s="11">
        <v>33762</v>
      </c>
      <c r="FM27" s="11">
        <v>9010</v>
      </c>
      <c r="FN27" s="11">
        <v>9360</v>
      </c>
      <c r="FO27" s="11">
        <v>9560</v>
      </c>
      <c r="FP27" s="11">
        <v>8870</v>
      </c>
      <c r="FQ27" s="11">
        <v>4830</v>
      </c>
      <c r="FR27" s="11">
        <v>7736</v>
      </c>
      <c r="FS27" s="11">
        <v>10246</v>
      </c>
      <c r="FT27" s="11">
        <v>12186</v>
      </c>
      <c r="FU27" s="26">
        <f t="shared" si="14"/>
        <v>139234</v>
      </c>
      <c r="FV27" s="11">
        <v>54</v>
      </c>
      <c r="FW27" s="11">
        <v>260</v>
      </c>
      <c r="FX27" s="11">
        <v>62</v>
      </c>
      <c r="FY27" s="11">
        <v>172</v>
      </c>
      <c r="FZ27" s="11">
        <v>42</v>
      </c>
      <c r="GA27" s="11">
        <v>340</v>
      </c>
      <c r="GB27" s="11">
        <v>98</v>
      </c>
      <c r="GC27" s="11">
        <v>92</v>
      </c>
      <c r="GD27" s="11">
        <v>292</v>
      </c>
      <c r="GE27" s="11">
        <v>238</v>
      </c>
      <c r="GF27" s="11">
        <v>228</v>
      </c>
      <c r="GG27" s="11">
        <v>436</v>
      </c>
      <c r="GH27" s="26">
        <f t="shared" si="15"/>
        <v>2314</v>
      </c>
      <c r="GI27" s="11">
        <v>0</v>
      </c>
      <c r="GJ27" s="11">
        <v>0</v>
      </c>
      <c r="GK27" s="11">
        <v>0</v>
      </c>
      <c r="GL27" s="11">
        <v>0</v>
      </c>
      <c r="GM27" s="11">
        <v>0</v>
      </c>
      <c r="GN27" s="11">
        <v>0</v>
      </c>
      <c r="GO27" s="11">
        <v>0</v>
      </c>
      <c r="GP27" s="11">
        <v>0</v>
      </c>
      <c r="GQ27" s="11">
        <v>0</v>
      </c>
      <c r="GR27" s="11">
        <v>0</v>
      </c>
      <c r="GS27" s="11">
        <v>0</v>
      </c>
      <c r="GT27" s="11">
        <v>0</v>
      </c>
      <c r="GU27" s="26">
        <f t="shared" si="16"/>
        <v>0</v>
      </c>
      <c r="GV27" s="11">
        <v>0</v>
      </c>
      <c r="GW27" s="11">
        <v>0</v>
      </c>
      <c r="GX27" s="11">
        <v>0</v>
      </c>
      <c r="GY27" s="11">
        <v>0</v>
      </c>
      <c r="GZ27" s="11">
        <v>0</v>
      </c>
      <c r="HA27" s="11">
        <v>0</v>
      </c>
      <c r="HB27" s="11">
        <v>0</v>
      </c>
      <c r="HC27" s="11">
        <v>0</v>
      </c>
      <c r="HD27" s="11">
        <v>0</v>
      </c>
      <c r="HE27" s="11">
        <v>0</v>
      </c>
      <c r="HF27" s="11">
        <v>0</v>
      </c>
      <c r="HG27" s="11">
        <v>0</v>
      </c>
      <c r="HH27" s="26">
        <f t="shared" si="17"/>
        <v>0</v>
      </c>
      <c r="HI27" s="11">
        <v>0</v>
      </c>
      <c r="HJ27" s="11">
        <v>0</v>
      </c>
      <c r="HK27" s="11">
        <v>0</v>
      </c>
      <c r="HL27" s="11">
        <v>0</v>
      </c>
      <c r="HM27" s="11">
        <v>0</v>
      </c>
      <c r="HN27" s="11">
        <v>0</v>
      </c>
      <c r="HO27" s="11">
        <v>0</v>
      </c>
      <c r="HP27" s="11">
        <v>0</v>
      </c>
      <c r="HQ27" s="11">
        <v>0</v>
      </c>
      <c r="HR27" s="11">
        <v>0</v>
      </c>
      <c r="HS27" s="11">
        <v>0</v>
      </c>
      <c r="HT27" s="11">
        <v>0</v>
      </c>
      <c r="HU27" s="26">
        <f t="shared" si="18"/>
        <v>0</v>
      </c>
      <c r="HV27" s="11">
        <v>0</v>
      </c>
      <c r="HW27" s="11">
        <v>0</v>
      </c>
      <c r="HX27" s="11">
        <v>0</v>
      </c>
      <c r="HY27" s="11">
        <v>0</v>
      </c>
      <c r="HZ27" s="11">
        <v>0</v>
      </c>
      <c r="IA27" s="11">
        <v>0</v>
      </c>
      <c r="IB27" s="11">
        <v>0</v>
      </c>
      <c r="IC27" s="11">
        <v>0</v>
      </c>
      <c r="ID27" s="11">
        <v>0</v>
      </c>
      <c r="IE27" s="11">
        <v>0</v>
      </c>
      <c r="IF27" s="11">
        <v>0</v>
      </c>
      <c r="IG27" s="11">
        <v>0</v>
      </c>
      <c r="IH27" s="26">
        <f t="shared" si="19"/>
        <v>0</v>
      </c>
      <c r="II27" s="9">
        <f t="shared" si="20"/>
        <v>142805</v>
      </c>
      <c r="IJ27" s="9">
        <f t="shared" si="21"/>
        <v>0</v>
      </c>
      <c r="IK27" s="11">
        <v>1193860</v>
      </c>
      <c r="IL27" s="11">
        <v>108159</v>
      </c>
      <c r="IM27" s="11">
        <v>104084</v>
      </c>
      <c r="IN27" s="11">
        <v>129431</v>
      </c>
      <c r="IO27" s="11">
        <v>138872</v>
      </c>
      <c r="IP27" s="11">
        <v>110464</v>
      </c>
      <c r="IQ27" s="11">
        <v>115314</v>
      </c>
      <c r="IR27" s="11">
        <v>105019</v>
      </c>
      <c r="IS27" s="11">
        <v>75362</v>
      </c>
      <c r="IT27" s="11">
        <v>109756</v>
      </c>
      <c r="IU27" s="11">
        <v>100644</v>
      </c>
      <c r="IV27" s="11">
        <v>98749</v>
      </c>
      <c r="IW27" s="27">
        <f t="shared" si="22"/>
        <v>2389714</v>
      </c>
      <c r="IX27" s="11">
        <v>64820</v>
      </c>
      <c r="IY27" s="11">
        <v>62206</v>
      </c>
      <c r="IZ27" s="11">
        <v>60432</v>
      </c>
      <c r="JA27" s="11">
        <v>63407</v>
      </c>
      <c r="JB27" s="11">
        <v>66834</v>
      </c>
      <c r="JC27" s="11">
        <v>61216</v>
      </c>
      <c r="JD27" s="11">
        <v>64524</v>
      </c>
      <c r="JE27" s="11">
        <v>59691</v>
      </c>
      <c r="JF27" s="11">
        <v>48248</v>
      </c>
      <c r="JG27" s="11">
        <v>64309</v>
      </c>
      <c r="JH27" s="11">
        <v>56923</v>
      </c>
      <c r="JI27" s="11">
        <v>56525</v>
      </c>
      <c r="JJ27" s="27">
        <f t="shared" si="23"/>
        <v>729135</v>
      </c>
      <c r="JK27" s="11">
        <v>52699</v>
      </c>
      <c r="JL27" s="11">
        <v>44296</v>
      </c>
      <c r="JM27" s="11">
        <v>42151</v>
      </c>
      <c r="JN27" s="11">
        <v>64394</v>
      </c>
      <c r="JO27" s="11">
        <v>70292</v>
      </c>
      <c r="JP27" s="11">
        <v>47637</v>
      </c>
      <c r="JQ27" s="11">
        <v>49062</v>
      </c>
      <c r="JR27" s="11">
        <v>43715</v>
      </c>
      <c r="JS27" s="11">
        <v>25893</v>
      </c>
      <c r="JT27" s="11">
        <v>43791</v>
      </c>
      <c r="JU27" s="11">
        <v>42427</v>
      </c>
      <c r="JV27" s="11">
        <v>40809</v>
      </c>
      <c r="JW27" s="27">
        <f t="shared" si="24"/>
        <v>567166</v>
      </c>
      <c r="JX27" s="11">
        <v>1867</v>
      </c>
      <c r="JY27" s="11">
        <v>1657</v>
      </c>
      <c r="JZ27" s="11">
        <v>1501</v>
      </c>
      <c r="KA27" s="11">
        <v>1630</v>
      </c>
      <c r="KB27" s="11">
        <v>1746</v>
      </c>
      <c r="KC27" s="11">
        <v>1611</v>
      </c>
      <c r="KD27" s="11">
        <v>1728</v>
      </c>
      <c r="KE27" s="11">
        <v>1613</v>
      </c>
      <c r="KF27" s="11">
        <v>1221</v>
      </c>
      <c r="KG27" s="11">
        <v>1656</v>
      </c>
      <c r="KH27" s="11">
        <v>1294</v>
      </c>
      <c r="KI27" s="11">
        <v>1415</v>
      </c>
      <c r="KJ27" s="27">
        <f t="shared" si="25"/>
        <v>18939</v>
      </c>
      <c r="KK27" s="11">
        <v>1867</v>
      </c>
      <c r="KL27" s="11">
        <v>1657</v>
      </c>
      <c r="KM27" s="11">
        <v>1501</v>
      </c>
      <c r="KN27" s="11">
        <v>1630</v>
      </c>
      <c r="KO27" s="11">
        <v>1746</v>
      </c>
      <c r="KP27" s="11">
        <v>1611</v>
      </c>
      <c r="KQ27" s="11">
        <v>1728</v>
      </c>
      <c r="KR27" s="11">
        <v>1613</v>
      </c>
      <c r="KS27" s="11">
        <v>1221</v>
      </c>
      <c r="KT27" s="11">
        <v>1656</v>
      </c>
      <c r="KU27" s="11">
        <v>1294</v>
      </c>
      <c r="KV27" s="11">
        <v>1415</v>
      </c>
      <c r="KW27" s="27">
        <f t="shared" si="26"/>
        <v>18939</v>
      </c>
      <c r="KX27" s="11">
        <v>1840</v>
      </c>
      <c r="KY27" s="11">
        <v>1624</v>
      </c>
      <c r="KZ27" s="11">
        <v>1477</v>
      </c>
      <c r="LA27" s="11">
        <v>1599</v>
      </c>
      <c r="LB27" s="11">
        <v>1680</v>
      </c>
      <c r="LC27" s="11">
        <v>1584</v>
      </c>
      <c r="LD27" s="11">
        <v>1687</v>
      </c>
      <c r="LE27" s="11">
        <v>1584</v>
      </c>
      <c r="LF27" s="11">
        <v>1187</v>
      </c>
      <c r="LG27" s="11">
        <v>1623</v>
      </c>
      <c r="LH27" s="11">
        <v>1267</v>
      </c>
      <c r="LI27" s="11">
        <v>1382</v>
      </c>
      <c r="LJ27" s="27">
        <f t="shared" si="27"/>
        <v>18534</v>
      </c>
      <c r="LK27" s="11">
        <v>27</v>
      </c>
      <c r="LL27" s="11">
        <v>33</v>
      </c>
      <c r="LM27" s="11">
        <v>24</v>
      </c>
      <c r="LN27" s="11">
        <v>31</v>
      </c>
      <c r="LO27" s="11">
        <v>66</v>
      </c>
      <c r="LP27" s="11">
        <v>27</v>
      </c>
      <c r="LQ27" s="11">
        <v>41</v>
      </c>
      <c r="LR27" s="11">
        <v>29</v>
      </c>
      <c r="LS27" s="11">
        <v>34</v>
      </c>
      <c r="LT27" s="11">
        <v>33</v>
      </c>
      <c r="LU27" s="11">
        <v>27</v>
      </c>
      <c r="LV27" s="11">
        <v>33</v>
      </c>
      <c r="LW27" s="27">
        <f t="shared" si="28"/>
        <v>405</v>
      </c>
      <c r="LX27" s="11">
        <v>0</v>
      </c>
      <c r="LY27" s="11">
        <v>0</v>
      </c>
      <c r="LZ27" s="11">
        <v>0</v>
      </c>
      <c r="MA27" s="11">
        <v>0</v>
      </c>
      <c r="MB27" s="11">
        <v>0</v>
      </c>
      <c r="MC27" s="11">
        <v>0</v>
      </c>
      <c r="MD27" s="11">
        <v>0</v>
      </c>
      <c r="ME27" s="11">
        <v>0</v>
      </c>
      <c r="MF27" s="11">
        <v>0</v>
      </c>
      <c r="MG27" s="11">
        <v>0</v>
      </c>
      <c r="MH27" s="11">
        <v>0</v>
      </c>
      <c r="MI27" s="11">
        <v>0</v>
      </c>
      <c r="MJ27" s="27">
        <f t="shared" si="29"/>
        <v>0</v>
      </c>
      <c r="MK27" s="11"/>
      <c r="ML27" s="11"/>
      <c r="MM27" s="11"/>
      <c r="MN27" s="11"/>
      <c r="MO27" s="11"/>
      <c r="MP27" s="11"/>
      <c r="MQ27" s="11"/>
      <c r="MR27" s="11"/>
      <c r="MS27" s="11"/>
      <c r="MT27" s="11"/>
      <c r="MU27" s="11"/>
      <c r="MV27" s="11"/>
      <c r="MW27" s="27">
        <f t="shared" si="30"/>
        <v>0</v>
      </c>
      <c r="MX27" s="11"/>
      <c r="MY27" s="11"/>
      <c r="MZ27" s="11"/>
      <c r="NA27" s="11"/>
      <c r="NB27" s="11"/>
      <c r="NC27" s="11"/>
      <c r="ND27" s="11"/>
      <c r="NE27" s="11"/>
      <c r="NF27" s="11"/>
      <c r="NG27" s="11"/>
      <c r="NH27" s="11"/>
      <c r="NI27" s="11"/>
      <c r="NJ27" s="27">
        <f t="shared" si="31"/>
        <v>0</v>
      </c>
      <c r="NK27" s="11"/>
      <c r="NL27" s="11"/>
      <c r="NM27" s="11"/>
      <c r="NN27" s="11"/>
      <c r="NO27" s="11"/>
      <c r="NP27" s="11"/>
      <c r="NQ27" s="11"/>
      <c r="NR27" s="11"/>
      <c r="NS27" s="11"/>
      <c r="NT27" s="11"/>
      <c r="NU27" s="11"/>
      <c r="NV27" s="11"/>
      <c r="NW27" s="27">
        <f t="shared" si="32"/>
        <v>0</v>
      </c>
      <c r="NX27" s="11"/>
      <c r="NY27" s="11"/>
      <c r="NZ27" s="11"/>
      <c r="OA27" s="11"/>
      <c r="OB27" s="11"/>
      <c r="OC27" s="11"/>
      <c r="OD27" s="11"/>
      <c r="OE27" s="11"/>
      <c r="OF27" s="11"/>
      <c r="OG27" s="11"/>
      <c r="OH27" s="11"/>
      <c r="OI27" s="11"/>
      <c r="OJ27" s="27">
        <f t="shared" si="33"/>
        <v>0</v>
      </c>
      <c r="OK27" s="11"/>
      <c r="OL27" s="11"/>
      <c r="OM27" s="11"/>
      <c r="ON27" s="11"/>
      <c r="OO27" s="11"/>
      <c r="OP27" s="11"/>
      <c r="OQ27" s="11"/>
      <c r="OR27" s="11"/>
      <c r="OS27" s="11"/>
      <c r="OT27" s="11"/>
      <c r="OU27" s="11"/>
      <c r="OV27" s="11"/>
      <c r="OW27" s="27">
        <f t="shared" si="34"/>
        <v>0</v>
      </c>
      <c r="OX27" s="11"/>
      <c r="OY27" s="11"/>
      <c r="OZ27" s="11"/>
      <c r="PA27" s="11"/>
      <c r="PB27" s="11"/>
      <c r="PC27" s="11"/>
      <c r="PD27" s="11"/>
      <c r="PE27" s="11"/>
      <c r="PF27" s="11"/>
      <c r="PG27" s="11"/>
      <c r="PH27" s="11"/>
      <c r="PI27" s="11"/>
      <c r="PJ27" s="27">
        <f t="shared" si="35"/>
        <v>0</v>
      </c>
      <c r="PK27" s="11"/>
      <c r="PL27" s="11"/>
      <c r="PM27" s="11"/>
      <c r="PN27" s="11"/>
      <c r="PO27" s="11"/>
      <c r="PP27" s="11"/>
      <c r="PQ27" s="11"/>
      <c r="PR27" s="11"/>
      <c r="PS27" s="11"/>
      <c r="PT27" s="11"/>
      <c r="PU27" s="11"/>
      <c r="PV27" s="11"/>
      <c r="PW27" s="27">
        <f t="shared" si="36"/>
        <v>0</v>
      </c>
      <c r="PX27" s="11"/>
      <c r="PY27" s="11"/>
      <c r="PZ27" s="11"/>
      <c r="QA27" s="11"/>
      <c r="QB27" s="11"/>
      <c r="QC27" s="11"/>
      <c r="QD27" s="11"/>
      <c r="QE27" s="11"/>
      <c r="QF27" s="11"/>
      <c r="QG27" s="11"/>
      <c r="QH27" s="11"/>
      <c r="QI27" s="11"/>
      <c r="QJ27" s="27">
        <f t="shared" si="37"/>
        <v>0</v>
      </c>
      <c r="QK27" s="11">
        <v>189407</v>
      </c>
      <c r="QL27" s="11">
        <v>186349</v>
      </c>
      <c r="QM27" s="11">
        <v>171632</v>
      </c>
      <c r="QN27" s="11">
        <v>199138</v>
      </c>
      <c r="QO27" s="11">
        <v>202000</v>
      </c>
      <c r="QP27" s="11">
        <v>193624</v>
      </c>
      <c r="QQ27" s="11">
        <v>201650</v>
      </c>
      <c r="QR27" s="11">
        <v>188082</v>
      </c>
      <c r="QS27" s="11">
        <v>142646</v>
      </c>
      <c r="QT27" s="11">
        <v>189584</v>
      </c>
      <c r="QU27" s="11">
        <v>164948</v>
      </c>
      <c r="QV27" s="11">
        <v>186615</v>
      </c>
      <c r="QW27" s="27">
        <f t="shared" si="38"/>
        <v>2215675</v>
      </c>
      <c r="QX27" s="11">
        <v>0</v>
      </c>
      <c r="QY27" s="11">
        <v>0</v>
      </c>
      <c r="QZ27" s="11">
        <v>0</v>
      </c>
      <c r="RA27" s="11">
        <v>0</v>
      </c>
      <c r="RB27" s="11">
        <v>0</v>
      </c>
      <c r="RC27" s="11">
        <v>0</v>
      </c>
      <c r="RD27" s="11">
        <v>0</v>
      </c>
      <c r="RE27" s="11">
        <v>0</v>
      </c>
      <c r="RF27" s="11">
        <v>0</v>
      </c>
      <c r="RG27" s="11">
        <v>0</v>
      </c>
      <c r="RH27" s="11">
        <v>0</v>
      </c>
      <c r="RI27" s="11">
        <v>0</v>
      </c>
      <c r="RJ27" s="27">
        <f t="shared" si="39"/>
        <v>0</v>
      </c>
      <c r="RK27" s="11">
        <v>0</v>
      </c>
      <c r="RL27" s="11">
        <v>0</v>
      </c>
      <c r="RM27" s="11">
        <v>0</v>
      </c>
      <c r="RN27" s="11">
        <v>0</v>
      </c>
      <c r="RO27" s="11">
        <v>0</v>
      </c>
      <c r="RP27" s="11">
        <v>0</v>
      </c>
      <c r="RQ27" s="11">
        <v>0</v>
      </c>
      <c r="RR27" s="11">
        <v>0</v>
      </c>
      <c r="RS27" s="11">
        <v>0</v>
      </c>
      <c r="RT27" s="11">
        <v>0</v>
      </c>
      <c r="RU27" s="11">
        <v>0</v>
      </c>
      <c r="RV27" s="11">
        <v>0</v>
      </c>
      <c r="RW27" s="27">
        <f t="shared" si="40"/>
        <v>0</v>
      </c>
      <c r="RX27" s="11">
        <v>0</v>
      </c>
      <c r="RY27" s="11">
        <v>0</v>
      </c>
      <c r="RZ27" s="11">
        <v>0</v>
      </c>
      <c r="SA27" s="11">
        <v>0</v>
      </c>
      <c r="SB27" s="11">
        <v>0</v>
      </c>
      <c r="SC27" s="11">
        <v>0</v>
      </c>
      <c r="SD27" s="11">
        <v>0</v>
      </c>
      <c r="SE27" s="11">
        <v>0</v>
      </c>
      <c r="SF27" s="11">
        <v>0</v>
      </c>
      <c r="SG27" s="11">
        <v>0</v>
      </c>
      <c r="SH27" s="11">
        <v>0</v>
      </c>
      <c r="SI27" s="11">
        <v>0</v>
      </c>
      <c r="SJ27" s="27">
        <f t="shared" si="41"/>
        <v>0</v>
      </c>
      <c r="SK27" s="11">
        <v>0</v>
      </c>
      <c r="SL27" s="11">
        <v>0</v>
      </c>
      <c r="SM27" s="11">
        <v>0</v>
      </c>
      <c r="SN27" s="11">
        <v>0</v>
      </c>
      <c r="SO27" s="11">
        <v>0</v>
      </c>
      <c r="SP27" s="11">
        <v>0</v>
      </c>
      <c r="SQ27" s="11">
        <v>0</v>
      </c>
      <c r="SR27" s="11">
        <v>0</v>
      </c>
      <c r="SS27" s="11">
        <v>0</v>
      </c>
      <c r="ST27" s="11">
        <v>0</v>
      </c>
      <c r="SU27" s="11">
        <v>0</v>
      </c>
      <c r="SV27" s="11">
        <v>0</v>
      </c>
      <c r="SW27" s="27">
        <f t="shared" si="42"/>
        <v>0</v>
      </c>
      <c r="SX27" s="11" t="s">
        <v>2662</v>
      </c>
      <c r="SY27" s="11">
        <v>0</v>
      </c>
      <c r="SZ27" s="11">
        <v>0</v>
      </c>
      <c r="TA27" s="11">
        <v>0</v>
      </c>
      <c r="TB27" s="11">
        <v>0</v>
      </c>
      <c r="TC27" s="11">
        <v>0</v>
      </c>
      <c r="TD27" s="11">
        <v>0</v>
      </c>
      <c r="TE27" s="11">
        <v>0</v>
      </c>
      <c r="TF27" s="11">
        <v>0</v>
      </c>
      <c r="TG27" s="11">
        <v>0</v>
      </c>
      <c r="TH27" s="11">
        <v>0</v>
      </c>
      <c r="TI27" s="11">
        <v>0</v>
      </c>
      <c r="TJ27" s="11">
        <v>0</v>
      </c>
      <c r="TK27" s="27">
        <f t="shared" si="43"/>
        <v>0</v>
      </c>
      <c r="TL27" s="11">
        <v>16532</v>
      </c>
      <c r="TM27" s="11">
        <v>12298</v>
      </c>
      <c r="TN27" s="11">
        <v>8731</v>
      </c>
      <c r="TO27" s="11">
        <v>14982</v>
      </c>
      <c r="TP27" s="11">
        <v>14519</v>
      </c>
      <c r="TQ27" s="11">
        <v>17155</v>
      </c>
      <c r="TR27" s="11">
        <v>20285</v>
      </c>
      <c r="TS27" s="11">
        <v>19596</v>
      </c>
      <c r="TT27" s="11">
        <v>14491</v>
      </c>
      <c r="TU27" s="11">
        <v>19411</v>
      </c>
      <c r="TV27" s="11">
        <v>17016</v>
      </c>
      <c r="TW27" s="11">
        <v>19088</v>
      </c>
      <c r="TX27" s="27">
        <f t="shared" si="44"/>
        <v>194104</v>
      </c>
      <c r="TY27" s="11">
        <v>178</v>
      </c>
      <c r="TZ27" s="11">
        <v>0</v>
      </c>
      <c r="UA27" s="11">
        <v>0</v>
      </c>
    </row>
    <row r="28" spans="1:547" ht="16" customHeight="1" x14ac:dyDescent="0.35">
      <c r="A28" s="11" t="s">
        <v>1499</v>
      </c>
      <c r="B28" s="11">
        <v>19119</v>
      </c>
      <c r="C28" s="11">
        <v>4477</v>
      </c>
      <c r="D28" s="11">
        <v>13548</v>
      </c>
      <c r="E28" s="11">
        <v>1094</v>
      </c>
      <c r="F28" s="11">
        <v>0</v>
      </c>
      <c r="G28" s="11">
        <v>0</v>
      </c>
      <c r="H28" s="11">
        <v>0</v>
      </c>
      <c r="I28" s="11">
        <v>0</v>
      </c>
      <c r="J28" s="11">
        <v>0</v>
      </c>
      <c r="K28" s="11">
        <v>0</v>
      </c>
      <c r="L28" s="11">
        <v>0</v>
      </c>
      <c r="M28" s="11">
        <v>0</v>
      </c>
      <c r="N28" s="11">
        <v>0</v>
      </c>
      <c r="O28" s="11">
        <v>0</v>
      </c>
      <c r="P28" s="11" t="s">
        <v>2865</v>
      </c>
      <c r="Q28" s="11">
        <v>0</v>
      </c>
      <c r="R28" s="11">
        <v>0</v>
      </c>
      <c r="S28" s="26">
        <f t="shared" si="0"/>
        <v>0</v>
      </c>
      <c r="T28" s="11">
        <v>0</v>
      </c>
      <c r="U28" s="11">
        <v>0</v>
      </c>
      <c r="V28" s="11">
        <v>0</v>
      </c>
      <c r="W28" s="11">
        <v>0</v>
      </c>
      <c r="X28" s="11">
        <v>0</v>
      </c>
      <c r="Y28" s="11">
        <v>0</v>
      </c>
      <c r="Z28" s="11">
        <v>0</v>
      </c>
      <c r="AA28" s="11">
        <v>0</v>
      </c>
      <c r="AB28" s="11">
        <v>0</v>
      </c>
      <c r="AC28" s="11">
        <v>0</v>
      </c>
      <c r="AD28" s="11">
        <v>0</v>
      </c>
      <c r="AE28" s="11">
        <v>0</v>
      </c>
      <c r="AF28" s="26">
        <f t="shared" si="1"/>
        <v>0</v>
      </c>
      <c r="AG28" s="11">
        <v>0</v>
      </c>
      <c r="AH28" s="11">
        <v>0</v>
      </c>
      <c r="AI28" s="11">
        <v>0</v>
      </c>
      <c r="AJ28" s="11">
        <v>0</v>
      </c>
      <c r="AK28" s="11">
        <v>0</v>
      </c>
      <c r="AL28" s="11">
        <v>0</v>
      </c>
      <c r="AM28" s="11">
        <v>0</v>
      </c>
      <c r="AN28" s="11">
        <v>0</v>
      </c>
      <c r="AO28" s="11">
        <v>0</v>
      </c>
      <c r="AP28" s="11">
        <v>0</v>
      </c>
      <c r="AQ28" s="11">
        <v>0</v>
      </c>
      <c r="AR28" s="11">
        <v>0</v>
      </c>
      <c r="AS28" s="26">
        <f t="shared" si="2"/>
        <v>0</v>
      </c>
      <c r="AT28" s="11">
        <v>0</v>
      </c>
      <c r="AU28" s="11">
        <v>0</v>
      </c>
      <c r="AV28" s="11">
        <v>0</v>
      </c>
      <c r="AW28" s="11">
        <v>0</v>
      </c>
      <c r="AX28" s="11">
        <v>0</v>
      </c>
      <c r="AY28" s="11">
        <v>0</v>
      </c>
      <c r="AZ28" s="11">
        <v>0</v>
      </c>
      <c r="BA28" s="11">
        <v>0</v>
      </c>
      <c r="BB28" s="11">
        <v>0</v>
      </c>
      <c r="BC28" s="11">
        <v>0</v>
      </c>
      <c r="BD28" s="11">
        <v>0</v>
      </c>
      <c r="BE28" s="11">
        <v>0</v>
      </c>
      <c r="BF28" s="26">
        <f t="shared" si="3"/>
        <v>0</v>
      </c>
      <c r="BG28" s="11">
        <v>0</v>
      </c>
      <c r="BH28" s="11">
        <v>0</v>
      </c>
      <c r="BI28" s="11">
        <v>0</v>
      </c>
      <c r="BJ28" s="11">
        <v>0</v>
      </c>
      <c r="BK28" s="11">
        <v>0</v>
      </c>
      <c r="BL28" s="11">
        <v>0</v>
      </c>
      <c r="BM28" s="11">
        <v>0</v>
      </c>
      <c r="BN28" s="11">
        <v>0</v>
      </c>
      <c r="BO28" s="11">
        <v>0</v>
      </c>
      <c r="BP28" s="11">
        <v>0</v>
      </c>
      <c r="BQ28" s="11">
        <v>0</v>
      </c>
      <c r="BR28" s="11">
        <v>0</v>
      </c>
      <c r="BS28" s="26">
        <f t="shared" si="4"/>
        <v>0</v>
      </c>
      <c r="BT28" s="11">
        <v>0</v>
      </c>
      <c r="BU28" s="11">
        <v>0</v>
      </c>
      <c r="BV28" s="11">
        <v>0</v>
      </c>
      <c r="BW28" s="11">
        <v>0</v>
      </c>
      <c r="BX28" s="11">
        <v>0</v>
      </c>
      <c r="BY28" s="11">
        <v>0</v>
      </c>
      <c r="BZ28" s="11">
        <v>0</v>
      </c>
      <c r="CA28" s="11">
        <v>0</v>
      </c>
      <c r="CB28" s="11">
        <v>0</v>
      </c>
      <c r="CC28" s="11">
        <v>0</v>
      </c>
      <c r="CD28" s="11">
        <v>0</v>
      </c>
      <c r="CE28" s="11">
        <v>0</v>
      </c>
      <c r="CF28" s="26">
        <f t="shared" si="5"/>
        <v>0</v>
      </c>
      <c r="CG28" s="11">
        <v>0</v>
      </c>
      <c r="CH28" s="11">
        <v>0</v>
      </c>
      <c r="CI28" s="11">
        <v>0</v>
      </c>
      <c r="CJ28" s="11">
        <v>0</v>
      </c>
      <c r="CK28" s="11">
        <v>0</v>
      </c>
      <c r="CL28" s="11">
        <v>0</v>
      </c>
      <c r="CM28" s="11">
        <v>0</v>
      </c>
      <c r="CN28" s="11">
        <v>0</v>
      </c>
      <c r="CO28" s="11">
        <v>0</v>
      </c>
      <c r="CP28" s="11">
        <v>0</v>
      </c>
      <c r="CQ28" s="11">
        <v>0</v>
      </c>
      <c r="CR28" s="11">
        <v>0</v>
      </c>
      <c r="CS28" s="26">
        <f t="shared" si="6"/>
        <v>0</v>
      </c>
      <c r="CT28" s="11">
        <v>0</v>
      </c>
      <c r="CU28" s="11">
        <v>0</v>
      </c>
      <c r="CV28" s="11">
        <v>0</v>
      </c>
      <c r="CW28" s="11">
        <v>0</v>
      </c>
      <c r="CX28" s="11">
        <v>0</v>
      </c>
      <c r="CY28" s="11">
        <v>0</v>
      </c>
      <c r="CZ28" s="11">
        <v>0</v>
      </c>
      <c r="DA28" s="11">
        <v>0</v>
      </c>
      <c r="DB28" s="11">
        <v>0</v>
      </c>
      <c r="DC28" s="11">
        <v>0</v>
      </c>
      <c r="DD28" s="11">
        <v>0</v>
      </c>
      <c r="DE28" s="11">
        <v>0</v>
      </c>
      <c r="DF28" s="26">
        <f t="shared" si="7"/>
        <v>0</v>
      </c>
      <c r="DG28" s="11">
        <v>0</v>
      </c>
      <c r="DH28" s="11">
        <v>0</v>
      </c>
      <c r="DI28" s="11">
        <v>0</v>
      </c>
      <c r="DJ28" s="11">
        <v>0</v>
      </c>
      <c r="DK28" s="11">
        <v>0</v>
      </c>
      <c r="DL28" s="11">
        <v>0</v>
      </c>
      <c r="DM28" s="11">
        <v>0</v>
      </c>
      <c r="DN28" s="11">
        <v>0</v>
      </c>
      <c r="DO28" s="11">
        <v>0</v>
      </c>
      <c r="DP28" s="11">
        <v>0</v>
      </c>
      <c r="DQ28" s="11">
        <v>0</v>
      </c>
      <c r="DR28" s="11">
        <v>0</v>
      </c>
      <c r="DS28" s="26">
        <f t="shared" si="8"/>
        <v>0</v>
      </c>
      <c r="DT28" s="11">
        <v>0</v>
      </c>
      <c r="DU28" s="11">
        <v>0</v>
      </c>
      <c r="DV28" s="11">
        <v>0</v>
      </c>
      <c r="DW28" s="11">
        <v>0</v>
      </c>
      <c r="DX28" s="11">
        <v>0</v>
      </c>
      <c r="DY28" s="11">
        <v>0</v>
      </c>
      <c r="DZ28" s="11">
        <v>0</v>
      </c>
      <c r="EA28" s="11">
        <v>0</v>
      </c>
      <c r="EB28" s="11">
        <v>0</v>
      </c>
      <c r="EC28" s="11">
        <v>0</v>
      </c>
      <c r="ED28" s="11">
        <v>0</v>
      </c>
      <c r="EE28" s="11">
        <v>0</v>
      </c>
      <c r="EF28" s="26">
        <f t="shared" si="9"/>
        <v>0</v>
      </c>
      <c r="EG28" s="9">
        <f t="shared" si="10"/>
        <v>0</v>
      </c>
      <c r="EH28" s="9">
        <f t="shared" si="11"/>
        <v>0</v>
      </c>
      <c r="EI28" s="11">
        <v>0</v>
      </c>
      <c r="EJ28" s="11">
        <v>0</v>
      </c>
      <c r="EK28" s="11">
        <v>0</v>
      </c>
      <c r="EL28" s="11">
        <v>0</v>
      </c>
      <c r="EM28" s="11">
        <v>0</v>
      </c>
      <c r="EN28" s="11">
        <v>0</v>
      </c>
      <c r="EO28" s="11">
        <v>0</v>
      </c>
      <c r="EP28" s="11">
        <v>0</v>
      </c>
      <c r="EQ28" s="11">
        <v>0</v>
      </c>
      <c r="ER28" s="11">
        <v>0</v>
      </c>
      <c r="ES28" s="11">
        <v>0</v>
      </c>
      <c r="ET28" s="11">
        <v>0</v>
      </c>
      <c r="EU28" s="26">
        <f t="shared" si="12"/>
        <v>0</v>
      </c>
      <c r="EV28" s="11">
        <v>0</v>
      </c>
      <c r="EW28" s="11">
        <v>0</v>
      </c>
      <c r="EX28" s="11">
        <v>0</v>
      </c>
      <c r="EY28" s="11">
        <v>0</v>
      </c>
      <c r="EZ28" s="11">
        <v>0</v>
      </c>
      <c r="FA28" s="11">
        <v>0</v>
      </c>
      <c r="FB28" s="11">
        <v>0</v>
      </c>
      <c r="FC28" s="11">
        <v>0</v>
      </c>
      <c r="FD28" s="11">
        <v>0</v>
      </c>
      <c r="FE28" s="11">
        <v>0</v>
      </c>
      <c r="FF28" s="11">
        <v>0</v>
      </c>
      <c r="FG28" s="11">
        <v>0</v>
      </c>
      <c r="FH28" s="26">
        <f t="shared" si="13"/>
        <v>0</v>
      </c>
      <c r="FI28" s="11">
        <v>0</v>
      </c>
      <c r="FJ28" s="11">
        <v>0</v>
      </c>
      <c r="FK28" s="11">
        <v>0</v>
      </c>
      <c r="FL28" s="11">
        <v>0</v>
      </c>
      <c r="FM28" s="11">
        <v>0</v>
      </c>
      <c r="FN28" s="11">
        <v>0</v>
      </c>
      <c r="FO28" s="11">
        <v>0</v>
      </c>
      <c r="FP28" s="11">
        <v>0</v>
      </c>
      <c r="FQ28" s="11">
        <v>0</v>
      </c>
      <c r="FR28" s="11">
        <v>0</v>
      </c>
      <c r="FS28" s="11">
        <v>0</v>
      </c>
      <c r="FT28" s="11">
        <v>0</v>
      </c>
      <c r="FU28" s="26">
        <f t="shared" si="14"/>
        <v>0</v>
      </c>
      <c r="FV28" s="11">
        <v>0</v>
      </c>
      <c r="FW28" s="11">
        <v>0</v>
      </c>
      <c r="FX28" s="11">
        <v>0</v>
      </c>
      <c r="FY28" s="11">
        <v>0</v>
      </c>
      <c r="FZ28" s="11">
        <v>0</v>
      </c>
      <c r="GA28" s="11">
        <v>0</v>
      </c>
      <c r="GB28" s="11">
        <v>0</v>
      </c>
      <c r="GC28" s="11">
        <v>0</v>
      </c>
      <c r="GD28" s="11">
        <v>0</v>
      </c>
      <c r="GE28" s="11">
        <v>0</v>
      </c>
      <c r="GF28" s="11">
        <v>0</v>
      </c>
      <c r="GG28" s="11">
        <v>0</v>
      </c>
      <c r="GH28" s="26">
        <f t="shared" si="15"/>
        <v>0</v>
      </c>
      <c r="GI28" s="11">
        <v>0</v>
      </c>
      <c r="GJ28" s="11">
        <v>0</v>
      </c>
      <c r="GK28" s="11">
        <v>0</v>
      </c>
      <c r="GL28" s="11">
        <v>0</v>
      </c>
      <c r="GM28" s="11">
        <v>0</v>
      </c>
      <c r="GN28" s="11">
        <v>0</v>
      </c>
      <c r="GO28" s="11">
        <v>0</v>
      </c>
      <c r="GP28" s="11">
        <v>0</v>
      </c>
      <c r="GQ28" s="11">
        <v>0</v>
      </c>
      <c r="GR28" s="11">
        <v>0</v>
      </c>
      <c r="GS28" s="11">
        <v>0</v>
      </c>
      <c r="GT28" s="11">
        <v>0</v>
      </c>
      <c r="GU28" s="26">
        <f t="shared" si="16"/>
        <v>0</v>
      </c>
      <c r="GV28" s="11">
        <v>0</v>
      </c>
      <c r="GW28" s="11">
        <v>0</v>
      </c>
      <c r="GX28" s="11">
        <v>0</v>
      </c>
      <c r="GY28" s="11">
        <v>0</v>
      </c>
      <c r="GZ28" s="11">
        <v>0</v>
      </c>
      <c r="HA28" s="11">
        <v>0</v>
      </c>
      <c r="HB28" s="11">
        <v>0</v>
      </c>
      <c r="HC28" s="11">
        <v>0</v>
      </c>
      <c r="HD28" s="11">
        <v>0</v>
      </c>
      <c r="HE28" s="11">
        <v>0</v>
      </c>
      <c r="HF28" s="11">
        <v>0</v>
      </c>
      <c r="HG28" s="11">
        <v>0</v>
      </c>
      <c r="HH28" s="26">
        <f t="shared" si="17"/>
        <v>0</v>
      </c>
      <c r="HI28" s="11">
        <v>0</v>
      </c>
      <c r="HJ28" s="11">
        <v>0</v>
      </c>
      <c r="HK28" s="11">
        <v>0</v>
      </c>
      <c r="HL28" s="11">
        <v>0</v>
      </c>
      <c r="HM28" s="11">
        <v>0</v>
      </c>
      <c r="HN28" s="11">
        <v>0</v>
      </c>
      <c r="HO28" s="11">
        <v>0</v>
      </c>
      <c r="HP28" s="11">
        <v>0</v>
      </c>
      <c r="HQ28" s="11">
        <v>0</v>
      </c>
      <c r="HR28" s="11">
        <v>0</v>
      </c>
      <c r="HS28" s="11">
        <v>0</v>
      </c>
      <c r="HT28" s="11">
        <v>0</v>
      </c>
      <c r="HU28" s="26">
        <f t="shared" si="18"/>
        <v>0</v>
      </c>
      <c r="HV28" s="11">
        <v>0</v>
      </c>
      <c r="HW28" s="11">
        <v>0</v>
      </c>
      <c r="HX28" s="11">
        <v>0</v>
      </c>
      <c r="HY28" s="11">
        <v>0</v>
      </c>
      <c r="HZ28" s="11">
        <v>0</v>
      </c>
      <c r="IA28" s="11">
        <v>0</v>
      </c>
      <c r="IB28" s="11">
        <v>0</v>
      </c>
      <c r="IC28" s="11">
        <v>0</v>
      </c>
      <c r="ID28" s="11">
        <v>0</v>
      </c>
      <c r="IE28" s="11">
        <v>0</v>
      </c>
      <c r="IF28" s="11">
        <v>0</v>
      </c>
      <c r="IG28" s="11">
        <v>0</v>
      </c>
      <c r="IH28" s="26">
        <f t="shared" si="19"/>
        <v>0</v>
      </c>
      <c r="II28" s="9">
        <f t="shared" si="20"/>
        <v>0</v>
      </c>
      <c r="IJ28" s="9">
        <f t="shared" si="21"/>
        <v>0</v>
      </c>
      <c r="IK28" s="11">
        <v>23802</v>
      </c>
      <c r="IL28" s="11">
        <v>21253</v>
      </c>
      <c r="IM28" s="11">
        <v>19834</v>
      </c>
      <c r="IN28" s="11">
        <v>23174</v>
      </c>
      <c r="IO28" s="11">
        <v>23518</v>
      </c>
      <c r="IP28" s="11">
        <v>21383</v>
      </c>
      <c r="IQ28" s="11">
        <v>22777</v>
      </c>
      <c r="IR28" s="11">
        <v>20242</v>
      </c>
      <c r="IS28" s="11">
        <v>15668</v>
      </c>
      <c r="IT28" s="11">
        <v>19512</v>
      </c>
      <c r="IU28" s="11">
        <v>19144</v>
      </c>
      <c r="IV28" s="11">
        <v>18977</v>
      </c>
      <c r="IW28" s="27">
        <f t="shared" si="22"/>
        <v>249284</v>
      </c>
      <c r="IX28" s="11">
        <v>17057</v>
      </c>
      <c r="IY28" s="11">
        <v>15544</v>
      </c>
      <c r="IZ28" s="11">
        <v>14871</v>
      </c>
      <c r="JA28" s="11">
        <v>16594</v>
      </c>
      <c r="JB28" s="11">
        <v>15638</v>
      </c>
      <c r="JC28" s="11">
        <v>15744</v>
      </c>
      <c r="JD28" s="11">
        <v>16120</v>
      </c>
      <c r="JE28" s="11">
        <v>15085</v>
      </c>
      <c r="JF28" s="11">
        <v>12237</v>
      </c>
      <c r="JG28" s="11">
        <v>14576</v>
      </c>
      <c r="JH28" s="11">
        <v>13673</v>
      </c>
      <c r="JI28" s="11">
        <v>13793</v>
      </c>
      <c r="JJ28" s="27">
        <f t="shared" si="23"/>
        <v>180932</v>
      </c>
      <c r="JK28" s="11">
        <v>6471</v>
      </c>
      <c r="JL28" s="11">
        <v>5468</v>
      </c>
      <c r="JM28" s="11">
        <v>4774</v>
      </c>
      <c r="JN28" s="11">
        <v>6273</v>
      </c>
      <c r="JO28" s="11">
        <v>7525</v>
      </c>
      <c r="JP28" s="11">
        <v>5368</v>
      </c>
      <c r="JQ28" s="11">
        <v>6417</v>
      </c>
      <c r="JR28" s="11">
        <v>4949</v>
      </c>
      <c r="JS28" s="11">
        <v>3304</v>
      </c>
      <c r="JT28" s="11">
        <v>4760</v>
      </c>
      <c r="JU28" s="11">
        <v>5273</v>
      </c>
      <c r="JV28" s="11">
        <v>4965</v>
      </c>
      <c r="JW28" s="27">
        <f t="shared" si="24"/>
        <v>65547</v>
      </c>
      <c r="JX28" s="11">
        <v>274</v>
      </c>
      <c r="JY28" s="11">
        <v>241</v>
      </c>
      <c r="JZ28" s="11">
        <v>189</v>
      </c>
      <c r="KA28" s="11">
        <v>307</v>
      </c>
      <c r="KB28" s="11">
        <v>355</v>
      </c>
      <c r="KC28" s="11">
        <v>271</v>
      </c>
      <c r="KD28" s="11">
        <v>240</v>
      </c>
      <c r="KE28" s="11">
        <v>208</v>
      </c>
      <c r="KF28" s="11">
        <v>127</v>
      </c>
      <c r="KG28" s="11">
        <v>176</v>
      </c>
      <c r="KH28" s="11">
        <v>198</v>
      </c>
      <c r="KI28" s="11">
        <v>219</v>
      </c>
      <c r="KJ28" s="27">
        <f t="shared" si="25"/>
        <v>2805</v>
      </c>
      <c r="KK28" s="11">
        <v>796</v>
      </c>
      <c r="KL28" s="11">
        <v>607</v>
      </c>
      <c r="KM28" s="11">
        <v>615</v>
      </c>
      <c r="KN28" s="11">
        <v>753</v>
      </c>
      <c r="KO28" s="11">
        <v>588</v>
      </c>
      <c r="KP28" s="11">
        <v>696</v>
      </c>
      <c r="KQ28" s="11">
        <v>854</v>
      </c>
      <c r="KR28" s="11">
        <v>581</v>
      </c>
      <c r="KS28" s="11">
        <v>682</v>
      </c>
      <c r="KT28" s="11">
        <v>661</v>
      </c>
      <c r="KU28" s="11">
        <v>646</v>
      </c>
      <c r="KV28" s="11">
        <v>570</v>
      </c>
      <c r="KW28" s="27">
        <f t="shared" si="26"/>
        <v>8049</v>
      </c>
      <c r="KX28" s="11">
        <v>781</v>
      </c>
      <c r="KY28" s="11">
        <v>598</v>
      </c>
      <c r="KZ28" s="11">
        <v>598</v>
      </c>
      <c r="LA28" s="11">
        <v>737</v>
      </c>
      <c r="LB28" s="11">
        <v>550</v>
      </c>
      <c r="LC28" s="11">
        <v>674</v>
      </c>
      <c r="LD28" s="11">
        <v>826</v>
      </c>
      <c r="LE28" s="11">
        <v>556</v>
      </c>
      <c r="LF28" s="11">
        <v>676</v>
      </c>
      <c r="LG28" s="11">
        <v>648</v>
      </c>
      <c r="LH28" s="11">
        <v>634</v>
      </c>
      <c r="LI28" s="11">
        <v>555</v>
      </c>
      <c r="LJ28" s="27">
        <f t="shared" si="27"/>
        <v>7833</v>
      </c>
      <c r="LK28" s="11">
        <v>15</v>
      </c>
      <c r="LL28" s="11">
        <v>9</v>
      </c>
      <c r="LM28" s="11">
        <v>17</v>
      </c>
      <c r="LN28" s="11">
        <v>16</v>
      </c>
      <c r="LO28" s="11">
        <v>38</v>
      </c>
      <c r="LP28" s="11">
        <v>22</v>
      </c>
      <c r="LQ28" s="11">
        <v>28</v>
      </c>
      <c r="LR28" s="11">
        <v>25</v>
      </c>
      <c r="LS28" s="11">
        <v>6</v>
      </c>
      <c r="LT28" s="11">
        <v>13</v>
      </c>
      <c r="LU28" s="11">
        <v>12</v>
      </c>
      <c r="LV28" s="11">
        <v>15</v>
      </c>
      <c r="LW28" s="27">
        <f t="shared" si="28"/>
        <v>216</v>
      </c>
      <c r="LX28" s="11">
        <v>0</v>
      </c>
      <c r="LY28" s="11">
        <v>0</v>
      </c>
      <c r="LZ28" s="11">
        <v>0</v>
      </c>
      <c r="MA28" s="11">
        <v>0</v>
      </c>
      <c r="MB28" s="11">
        <v>0</v>
      </c>
      <c r="MC28" s="11">
        <v>0</v>
      </c>
      <c r="MD28" s="11">
        <v>0</v>
      </c>
      <c r="ME28" s="11">
        <v>0</v>
      </c>
      <c r="MF28" s="11">
        <v>0</v>
      </c>
      <c r="MG28" s="11">
        <v>0</v>
      </c>
      <c r="MH28" s="11">
        <v>0</v>
      </c>
      <c r="MI28" s="11">
        <v>0</v>
      </c>
      <c r="MJ28" s="27">
        <f t="shared" si="29"/>
        <v>0</v>
      </c>
      <c r="MK28" s="11">
        <v>1344</v>
      </c>
      <c r="ML28" s="11">
        <v>1417</v>
      </c>
      <c r="MM28" s="11">
        <v>1407</v>
      </c>
      <c r="MN28" s="11">
        <v>1433</v>
      </c>
      <c r="MO28" s="11">
        <v>1492</v>
      </c>
      <c r="MP28" s="11">
        <v>1450</v>
      </c>
      <c r="MQ28" s="11">
        <v>1535</v>
      </c>
      <c r="MR28" s="11">
        <v>1476</v>
      </c>
      <c r="MS28" s="11">
        <v>1439</v>
      </c>
      <c r="MT28" s="11">
        <v>1544</v>
      </c>
      <c r="MU28" s="11">
        <v>1358</v>
      </c>
      <c r="MV28" s="11">
        <v>1513</v>
      </c>
      <c r="MW28" s="27">
        <f t="shared" si="30"/>
        <v>17408</v>
      </c>
      <c r="MX28" s="11">
        <v>1295</v>
      </c>
      <c r="MY28" s="11">
        <v>1371</v>
      </c>
      <c r="MZ28" s="11">
        <v>1364</v>
      </c>
      <c r="NA28" s="11">
        <v>1386</v>
      </c>
      <c r="NB28" s="11">
        <v>1419</v>
      </c>
      <c r="NC28" s="11">
        <v>1385</v>
      </c>
      <c r="ND28" s="11">
        <v>1472</v>
      </c>
      <c r="NE28" s="11">
        <v>1416</v>
      </c>
      <c r="NF28" s="11">
        <v>1363</v>
      </c>
      <c r="NG28" s="11">
        <v>1481</v>
      </c>
      <c r="NH28" s="11">
        <v>1304</v>
      </c>
      <c r="NI28" s="11">
        <v>1433</v>
      </c>
      <c r="NJ28" s="27">
        <f t="shared" si="31"/>
        <v>16689</v>
      </c>
      <c r="NK28" s="11">
        <v>23</v>
      </c>
      <c r="NL28" s="11">
        <v>18</v>
      </c>
      <c r="NM28" s="11">
        <v>22</v>
      </c>
      <c r="NN28" s="11">
        <v>17</v>
      </c>
      <c r="NO28" s="11">
        <v>46</v>
      </c>
      <c r="NP28" s="11">
        <v>50</v>
      </c>
      <c r="NQ28" s="11">
        <v>42</v>
      </c>
      <c r="NR28" s="11">
        <v>40</v>
      </c>
      <c r="NS28" s="11">
        <v>47</v>
      </c>
      <c r="NT28" s="11">
        <v>42</v>
      </c>
      <c r="NU28" s="11">
        <v>40</v>
      </c>
      <c r="NV28" s="11">
        <v>59</v>
      </c>
      <c r="NW28" s="27">
        <f t="shared" si="32"/>
        <v>446</v>
      </c>
      <c r="NX28" s="11">
        <v>26</v>
      </c>
      <c r="NY28" s="11">
        <v>28</v>
      </c>
      <c r="NZ28" s="11">
        <v>21</v>
      </c>
      <c r="OA28" s="11">
        <v>30</v>
      </c>
      <c r="OB28" s="11">
        <v>27</v>
      </c>
      <c r="OC28" s="11">
        <v>15</v>
      </c>
      <c r="OD28" s="11">
        <v>21</v>
      </c>
      <c r="OE28" s="11">
        <v>20</v>
      </c>
      <c r="OF28" s="11">
        <v>29</v>
      </c>
      <c r="OG28" s="11">
        <v>21</v>
      </c>
      <c r="OH28" s="11">
        <v>14</v>
      </c>
      <c r="OI28" s="11">
        <v>21</v>
      </c>
      <c r="OJ28" s="27">
        <f t="shared" si="33"/>
        <v>273</v>
      </c>
      <c r="OK28" s="11">
        <v>1082</v>
      </c>
      <c r="OL28" s="11">
        <v>1102</v>
      </c>
      <c r="OM28" s="11">
        <v>1072</v>
      </c>
      <c r="ON28" s="11">
        <v>1069</v>
      </c>
      <c r="OO28" s="11">
        <v>1113</v>
      </c>
      <c r="OP28" s="11">
        <v>1132</v>
      </c>
      <c r="OQ28" s="11">
        <v>1244</v>
      </c>
      <c r="OR28" s="11">
        <v>1142</v>
      </c>
      <c r="OS28" s="11">
        <v>1154</v>
      </c>
      <c r="OT28" s="11">
        <v>1349</v>
      </c>
      <c r="OU28" s="11">
        <v>1296</v>
      </c>
      <c r="OV28" s="11">
        <v>1527</v>
      </c>
      <c r="OW28" s="27">
        <f t="shared" si="34"/>
        <v>14282</v>
      </c>
      <c r="OX28" s="11">
        <v>934</v>
      </c>
      <c r="OY28" s="11">
        <v>971</v>
      </c>
      <c r="OZ28" s="11">
        <v>932</v>
      </c>
      <c r="PA28" s="11">
        <v>897</v>
      </c>
      <c r="PB28" s="11">
        <v>938</v>
      </c>
      <c r="PC28" s="11">
        <v>1003</v>
      </c>
      <c r="PD28" s="11">
        <v>1102</v>
      </c>
      <c r="PE28" s="11">
        <v>1033</v>
      </c>
      <c r="PF28" s="11">
        <v>1058</v>
      </c>
      <c r="PG28" s="11">
        <v>1235</v>
      </c>
      <c r="PH28" s="11">
        <v>1161</v>
      </c>
      <c r="PI28" s="11">
        <v>1385</v>
      </c>
      <c r="PJ28" s="27">
        <f t="shared" si="35"/>
        <v>12649</v>
      </c>
      <c r="PK28" s="11">
        <v>118</v>
      </c>
      <c r="PL28" s="11">
        <v>104</v>
      </c>
      <c r="PM28" s="11">
        <v>92</v>
      </c>
      <c r="PN28" s="11">
        <v>112</v>
      </c>
      <c r="PO28" s="11">
        <v>108</v>
      </c>
      <c r="PP28" s="11">
        <v>93</v>
      </c>
      <c r="PQ28" s="11">
        <v>95</v>
      </c>
      <c r="PR28" s="11">
        <v>74</v>
      </c>
      <c r="PS28" s="11">
        <v>69</v>
      </c>
      <c r="PT28" s="11">
        <v>85</v>
      </c>
      <c r="PU28" s="11">
        <v>105</v>
      </c>
      <c r="PV28" s="11">
        <v>100</v>
      </c>
      <c r="PW28" s="27">
        <f t="shared" si="36"/>
        <v>1155</v>
      </c>
      <c r="PX28" s="11">
        <v>30</v>
      </c>
      <c r="PY28" s="11">
        <v>27</v>
      </c>
      <c r="PZ28" s="11">
        <v>48</v>
      </c>
      <c r="QA28" s="11">
        <v>60</v>
      </c>
      <c r="QB28" s="11">
        <v>67</v>
      </c>
      <c r="QC28" s="11">
        <v>36</v>
      </c>
      <c r="QD28" s="11">
        <v>47</v>
      </c>
      <c r="QE28" s="11">
        <v>35</v>
      </c>
      <c r="QF28" s="11">
        <v>27</v>
      </c>
      <c r="QG28" s="11">
        <v>29</v>
      </c>
      <c r="QH28" s="11">
        <v>30</v>
      </c>
      <c r="QI28" s="11">
        <v>42</v>
      </c>
      <c r="QJ28" s="27">
        <f t="shared" si="37"/>
        <v>478</v>
      </c>
      <c r="QK28" s="11">
        <v>15689</v>
      </c>
      <c r="QL28" s="11">
        <v>16554</v>
      </c>
      <c r="QM28" s="11">
        <v>16495</v>
      </c>
      <c r="QN28" s="11">
        <v>16811</v>
      </c>
      <c r="QO28" s="11">
        <v>18816</v>
      </c>
      <c r="QP28" s="11">
        <v>20983</v>
      </c>
      <c r="QQ28" s="11">
        <v>19748</v>
      </c>
      <c r="QR28" s="11">
        <v>14103</v>
      </c>
      <c r="QS28" s="11">
        <v>9230</v>
      </c>
      <c r="QT28" s="11">
        <v>15844</v>
      </c>
      <c r="QU28" s="11">
        <v>15680</v>
      </c>
      <c r="QV28" s="11">
        <v>19156</v>
      </c>
      <c r="QW28" s="27">
        <f t="shared" si="38"/>
        <v>199109</v>
      </c>
      <c r="QX28" s="11">
        <v>25653</v>
      </c>
      <c r="QY28" s="11">
        <v>27288</v>
      </c>
      <c r="QZ28" s="11">
        <v>23009</v>
      </c>
      <c r="RA28" s="11">
        <v>25654</v>
      </c>
      <c r="RB28" s="11">
        <v>19775</v>
      </c>
      <c r="RC28" s="11">
        <v>21044</v>
      </c>
      <c r="RD28" s="11">
        <v>24737</v>
      </c>
      <c r="RE28" s="11">
        <v>22035</v>
      </c>
      <c r="RF28" s="11">
        <v>14642</v>
      </c>
      <c r="RG28" s="11">
        <v>22172</v>
      </c>
      <c r="RH28" s="11">
        <v>24053</v>
      </c>
      <c r="RI28" s="11">
        <v>24139</v>
      </c>
      <c r="RJ28" s="27">
        <f t="shared" si="39"/>
        <v>274201</v>
      </c>
      <c r="RK28" s="11">
        <v>0</v>
      </c>
      <c r="RL28" s="11">
        <v>0</v>
      </c>
      <c r="RM28" s="11">
        <v>0</v>
      </c>
      <c r="RN28" s="11">
        <v>0</v>
      </c>
      <c r="RO28" s="11">
        <v>0</v>
      </c>
      <c r="RP28" s="11">
        <v>0</v>
      </c>
      <c r="RQ28" s="11">
        <v>0</v>
      </c>
      <c r="RR28" s="11">
        <v>0</v>
      </c>
      <c r="RS28" s="11">
        <v>0</v>
      </c>
      <c r="RT28" s="11">
        <v>0</v>
      </c>
      <c r="RU28" s="11">
        <v>0</v>
      </c>
      <c r="RV28" s="11">
        <v>0</v>
      </c>
      <c r="RW28" s="27">
        <f t="shared" si="40"/>
        <v>0</v>
      </c>
      <c r="RX28" s="11">
        <v>0</v>
      </c>
      <c r="RY28" s="11">
        <v>0</v>
      </c>
      <c r="RZ28" s="11">
        <v>0</v>
      </c>
      <c r="SA28" s="11">
        <v>0</v>
      </c>
      <c r="SB28" s="11">
        <v>0</v>
      </c>
      <c r="SC28" s="11">
        <v>0</v>
      </c>
      <c r="SD28" s="11">
        <v>0</v>
      </c>
      <c r="SE28" s="11">
        <v>0</v>
      </c>
      <c r="SF28" s="11">
        <v>0</v>
      </c>
      <c r="SG28" s="11">
        <v>0</v>
      </c>
      <c r="SH28" s="11">
        <v>0</v>
      </c>
      <c r="SI28" s="11">
        <v>0</v>
      </c>
      <c r="SJ28" s="27">
        <f t="shared" si="41"/>
        <v>0</v>
      </c>
      <c r="SK28" s="11">
        <v>159</v>
      </c>
      <c r="SL28" s="11">
        <v>191</v>
      </c>
      <c r="SM28" s="11">
        <v>159</v>
      </c>
      <c r="SN28" s="11">
        <v>177</v>
      </c>
      <c r="SO28" s="11">
        <v>180</v>
      </c>
      <c r="SP28" s="11">
        <v>159</v>
      </c>
      <c r="SQ28" s="11">
        <v>159</v>
      </c>
      <c r="SR28" s="11">
        <v>159</v>
      </c>
      <c r="SS28" s="11">
        <v>142</v>
      </c>
      <c r="ST28" s="11">
        <v>168</v>
      </c>
      <c r="SU28" s="11">
        <v>159</v>
      </c>
      <c r="SV28" s="11">
        <v>159</v>
      </c>
      <c r="SW28" s="27">
        <f t="shared" si="42"/>
        <v>1971</v>
      </c>
      <c r="SX28" s="11" t="s">
        <v>1374</v>
      </c>
      <c r="SY28" s="11">
        <v>2981</v>
      </c>
      <c r="SZ28" s="11">
        <v>2968</v>
      </c>
      <c r="TA28" s="11">
        <v>2783</v>
      </c>
      <c r="TB28" s="11">
        <v>3155</v>
      </c>
      <c r="TC28" s="11">
        <v>2750</v>
      </c>
      <c r="TD28" s="11">
        <v>2742</v>
      </c>
      <c r="TE28" s="11">
        <v>3308</v>
      </c>
      <c r="TF28" s="11">
        <v>2927</v>
      </c>
      <c r="TG28" s="11">
        <v>1688</v>
      </c>
      <c r="TH28" s="11">
        <v>2685</v>
      </c>
      <c r="TI28" s="11">
        <v>2540</v>
      </c>
      <c r="TJ28" s="11">
        <v>2776</v>
      </c>
      <c r="TK28" s="27">
        <f t="shared" si="43"/>
        <v>33303</v>
      </c>
      <c r="TL28" s="11">
        <v>0</v>
      </c>
      <c r="TM28" s="11">
        <v>0</v>
      </c>
      <c r="TN28" s="11">
        <v>0</v>
      </c>
      <c r="TO28" s="11">
        <v>0</v>
      </c>
      <c r="TP28" s="11">
        <v>0</v>
      </c>
      <c r="TQ28" s="11">
        <v>0</v>
      </c>
      <c r="TR28" s="11">
        <v>0</v>
      </c>
      <c r="TS28" s="11">
        <v>0</v>
      </c>
      <c r="TT28" s="11">
        <v>0</v>
      </c>
      <c r="TU28" s="11">
        <v>0</v>
      </c>
      <c r="TV28" s="11">
        <v>0</v>
      </c>
      <c r="TW28" s="11">
        <v>0</v>
      </c>
      <c r="TX28" s="27">
        <f t="shared" si="44"/>
        <v>0</v>
      </c>
      <c r="TY28" s="11">
        <v>258</v>
      </c>
      <c r="TZ28" s="11">
        <v>0</v>
      </c>
      <c r="UA28" s="11">
        <v>0</v>
      </c>
    </row>
    <row r="29" spans="1:547" ht="16" customHeight="1" x14ac:dyDescent="0.35">
      <c r="A29" s="11" t="s">
        <v>1465</v>
      </c>
      <c r="B29" s="11">
        <v>46758</v>
      </c>
      <c r="C29" s="11"/>
      <c r="D29" s="11"/>
      <c r="E29" s="11"/>
      <c r="F29" s="11">
        <v>649</v>
      </c>
      <c r="G29" s="11">
        <v>486</v>
      </c>
      <c r="H29" s="11">
        <v>502</v>
      </c>
      <c r="I29" s="11">
        <v>537</v>
      </c>
      <c r="J29" s="11">
        <v>514</v>
      </c>
      <c r="K29" s="11">
        <v>498</v>
      </c>
      <c r="L29" s="11">
        <v>620</v>
      </c>
      <c r="M29" s="11">
        <v>580</v>
      </c>
      <c r="N29" s="11">
        <v>502</v>
      </c>
      <c r="O29" s="11">
        <v>525</v>
      </c>
      <c r="P29" s="11" t="s">
        <v>2864</v>
      </c>
      <c r="Q29" s="11">
        <v>568</v>
      </c>
      <c r="R29" s="11">
        <v>629</v>
      </c>
      <c r="S29" s="26">
        <f t="shared" si="0"/>
        <v>6610</v>
      </c>
      <c r="T29" s="11">
        <v>0</v>
      </c>
      <c r="U29" s="11">
        <v>0</v>
      </c>
      <c r="V29" s="11">
        <v>0</v>
      </c>
      <c r="W29" s="11">
        <v>0</v>
      </c>
      <c r="X29" s="11">
        <v>0</v>
      </c>
      <c r="Y29" s="11">
        <v>0</v>
      </c>
      <c r="Z29" s="11">
        <v>0</v>
      </c>
      <c r="AA29" s="11">
        <v>0</v>
      </c>
      <c r="AB29" s="11">
        <v>0</v>
      </c>
      <c r="AC29" s="11">
        <v>0</v>
      </c>
      <c r="AD29" s="11">
        <v>0</v>
      </c>
      <c r="AE29" s="11">
        <v>0</v>
      </c>
      <c r="AF29" s="26">
        <f t="shared" si="1"/>
        <v>0</v>
      </c>
      <c r="AG29" s="11">
        <v>0</v>
      </c>
      <c r="AH29" s="11">
        <v>0</v>
      </c>
      <c r="AI29" s="11">
        <v>0</v>
      </c>
      <c r="AJ29" s="11">
        <v>0</v>
      </c>
      <c r="AK29" s="11">
        <v>0</v>
      </c>
      <c r="AL29" s="11">
        <v>0</v>
      </c>
      <c r="AM29" s="11">
        <v>0</v>
      </c>
      <c r="AN29" s="11">
        <v>0</v>
      </c>
      <c r="AO29" s="11">
        <v>0</v>
      </c>
      <c r="AP29" s="11">
        <v>0</v>
      </c>
      <c r="AQ29" s="11">
        <v>0</v>
      </c>
      <c r="AR29" s="11">
        <v>0</v>
      </c>
      <c r="AS29" s="26">
        <f t="shared" si="2"/>
        <v>0</v>
      </c>
      <c r="AT29" s="11">
        <v>0</v>
      </c>
      <c r="AU29" s="11">
        <v>0</v>
      </c>
      <c r="AV29" s="11">
        <v>0</v>
      </c>
      <c r="AW29" s="11">
        <v>0</v>
      </c>
      <c r="AX29" s="11">
        <v>0</v>
      </c>
      <c r="AY29" s="11">
        <v>0</v>
      </c>
      <c r="AZ29" s="11">
        <v>0</v>
      </c>
      <c r="BA29" s="11">
        <v>0</v>
      </c>
      <c r="BB29" s="11">
        <v>0</v>
      </c>
      <c r="BC29" s="11">
        <v>0</v>
      </c>
      <c r="BD29" s="11">
        <v>0</v>
      </c>
      <c r="BE29" s="11">
        <v>0</v>
      </c>
      <c r="BF29" s="26">
        <f t="shared" si="3"/>
        <v>0</v>
      </c>
      <c r="BG29" s="11">
        <v>0</v>
      </c>
      <c r="BH29" s="11">
        <v>0</v>
      </c>
      <c r="BI29" s="11">
        <v>0</v>
      </c>
      <c r="BJ29" s="11">
        <v>0</v>
      </c>
      <c r="BK29" s="11">
        <v>0</v>
      </c>
      <c r="BL29" s="11">
        <v>0</v>
      </c>
      <c r="BM29" s="11">
        <v>0</v>
      </c>
      <c r="BN29" s="11">
        <v>0</v>
      </c>
      <c r="BO29" s="11">
        <v>0</v>
      </c>
      <c r="BP29" s="11">
        <v>0</v>
      </c>
      <c r="BQ29" s="11">
        <v>0</v>
      </c>
      <c r="BR29" s="11">
        <v>0</v>
      </c>
      <c r="BS29" s="26">
        <f t="shared" si="4"/>
        <v>0</v>
      </c>
      <c r="BT29" s="11">
        <v>3</v>
      </c>
      <c r="BU29" s="11">
        <v>1</v>
      </c>
      <c r="BV29" s="11">
        <v>3</v>
      </c>
      <c r="BW29" s="11">
        <v>4</v>
      </c>
      <c r="BX29" s="11">
        <v>2</v>
      </c>
      <c r="BY29" s="11">
        <v>5</v>
      </c>
      <c r="BZ29" s="11">
        <v>3</v>
      </c>
      <c r="CA29" s="11">
        <v>2</v>
      </c>
      <c r="CB29" s="11">
        <v>1</v>
      </c>
      <c r="CC29" s="11">
        <v>1</v>
      </c>
      <c r="CD29" s="11">
        <v>2</v>
      </c>
      <c r="CE29" s="11">
        <v>4</v>
      </c>
      <c r="CF29" s="26">
        <f t="shared" si="5"/>
        <v>31</v>
      </c>
      <c r="CG29" s="11">
        <v>0</v>
      </c>
      <c r="CH29" s="11">
        <v>0</v>
      </c>
      <c r="CI29" s="11">
        <v>0</v>
      </c>
      <c r="CJ29" s="11">
        <v>0</v>
      </c>
      <c r="CK29" s="11">
        <v>0</v>
      </c>
      <c r="CL29" s="11">
        <v>0</v>
      </c>
      <c r="CM29" s="11">
        <v>0</v>
      </c>
      <c r="CN29" s="11">
        <v>0</v>
      </c>
      <c r="CO29" s="11">
        <v>0</v>
      </c>
      <c r="CP29" s="11">
        <v>0</v>
      </c>
      <c r="CQ29" s="11">
        <v>0</v>
      </c>
      <c r="CR29" s="11">
        <v>0</v>
      </c>
      <c r="CS29" s="26">
        <f t="shared" si="6"/>
        <v>0</v>
      </c>
      <c r="CT29" s="11">
        <v>0</v>
      </c>
      <c r="CU29" s="11">
        <v>0</v>
      </c>
      <c r="CV29" s="11">
        <v>0</v>
      </c>
      <c r="CW29" s="11">
        <v>0</v>
      </c>
      <c r="CX29" s="11">
        <v>0</v>
      </c>
      <c r="CY29" s="11">
        <v>0</v>
      </c>
      <c r="CZ29" s="11">
        <v>0</v>
      </c>
      <c r="DA29" s="11">
        <v>0</v>
      </c>
      <c r="DB29" s="11">
        <v>0</v>
      </c>
      <c r="DC29" s="11">
        <v>0</v>
      </c>
      <c r="DD29" s="11">
        <v>0</v>
      </c>
      <c r="DE29" s="11">
        <v>0</v>
      </c>
      <c r="DF29" s="26">
        <f t="shared" si="7"/>
        <v>0</v>
      </c>
      <c r="DG29" s="11">
        <v>0</v>
      </c>
      <c r="DH29" s="11">
        <v>0</v>
      </c>
      <c r="DI29" s="11">
        <v>0</v>
      </c>
      <c r="DJ29" s="11">
        <v>0</v>
      </c>
      <c r="DK29" s="11">
        <v>0</v>
      </c>
      <c r="DL29" s="11">
        <v>0</v>
      </c>
      <c r="DM29" s="11">
        <v>0</v>
      </c>
      <c r="DN29" s="11">
        <v>0</v>
      </c>
      <c r="DO29" s="11">
        <v>0</v>
      </c>
      <c r="DP29" s="11">
        <v>0</v>
      </c>
      <c r="DQ29" s="11">
        <v>0</v>
      </c>
      <c r="DR29" s="11">
        <v>0</v>
      </c>
      <c r="DS29" s="26">
        <f t="shared" si="8"/>
        <v>0</v>
      </c>
      <c r="DT29" s="11">
        <v>0</v>
      </c>
      <c r="DU29" s="11">
        <v>0</v>
      </c>
      <c r="DV29" s="11">
        <v>0</v>
      </c>
      <c r="DW29" s="11">
        <v>0</v>
      </c>
      <c r="DX29" s="11">
        <v>0</v>
      </c>
      <c r="DY29" s="11">
        <v>0</v>
      </c>
      <c r="DZ29" s="11">
        <v>0</v>
      </c>
      <c r="EA29" s="11">
        <v>0</v>
      </c>
      <c r="EB29" s="11">
        <v>0</v>
      </c>
      <c r="EC29" s="11">
        <v>0</v>
      </c>
      <c r="ED29" s="11">
        <v>0</v>
      </c>
      <c r="EE29" s="11">
        <v>0</v>
      </c>
      <c r="EF29" s="26">
        <f t="shared" si="9"/>
        <v>0</v>
      </c>
      <c r="EG29" s="9">
        <f t="shared" si="10"/>
        <v>0</v>
      </c>
      <c r="EH29" s="9">
        <f t="shared" si="11"/>
        <v>0</v>
      </c>
      <c r="EI29" s="11">
        <v>7239</v>
      </c>
      <c r="EJ29" s="11">
        <v>5212</v>
      </c>
      <c r="EK29" s="11">
        <v>5387</v>
      </c>
      <c r="EL29" s="11">
        <v>6261</v>
      </c>
      <c r="EM29" s="11">
        <v>6285</v>
      </c>
      <c r="EN29" s="11">
        <v>5372</v>
      </c>
      <c r="EO29" s="11">
        <v>7572</v>
      </c>
      <c r="EP29" s="11">
        <v>6544</v>
      </c>
      <c r="EQ29" s="11">
        <v>5193</v>
      </c>
      <c r="ER29" s="11">
        <v>6049</v>
      </c>
      <c r="ES29" s="11">
        <v>7243</v>
      </c>
      <c r="ET29" s="11">
        <v>7926</v>
      </c>
      <c r="EU29" s="26">
        <f t="shared" si="12"/>
        <v>76283</v>
      </c>
      <c r="EV29" s="11">
        <v>0</v>
      </c>
      <c r="EW29" s="11">
        <v>0</v>
      </c>
      <c r="EX29" s="11">
        <v>0</v>
      </c>
      <c r="EY29" s="11">
        <v>0</v>
      </c>
      <c r="EZ29" s="11">
        <v>0</v>
      </c>
      <c r="FA29" s="11">
        <v>0</v>
      </c>
      <c r="FB29" s="11">
        <v>0</v>
      </c>
      <c r="FC29" s="11">
        <v>0</v>
      </c>
      <c r="FD29" s="11">
        <v>0</v>
      </c>
      <c r="FE29" s="11">
        <v>0</v>
      </c>
      <c r="FF29" s="11">
        <v>0</v>
      </c>
      <c r="FG29" s="11">
        <v>0</v>
      </c>
      <c r="FH29" s="26">
        <f t="shared" si="13"/>
        <v>0</v>
      </c>
      <c r="FI29" s="11">
        <v>0</v>
      </c>
      <c r="FJ29" s="11">
        <v>0</v>
      </c>
      <c r="FK29" s="11">
        <v>0</v>
      </c>
      <c r="FL29" s="11">
        <v>0</v>
      </c>
      <c r="FM29" s="11">
        <v>0</v>
      </c>
      <c r="FN29" s="11">
        <v>0</v>
      </c>
      <c r="FO29" s="11">
        <v>0</v>
      </c>
      <c r="FP29" s="11">
        <v>0</v>
      </c>
      <c r="FQ29" s="11">
        <v>0</v>
      </c>
      <c r="FR29" s="11">
        <v>0</v>
      </c>
      <c r="FS29" s="11">
        <v>0</v>
      </c>
      <c r="FT29" s="11">
        <v>0</v>
      </c>
      <c r="FU29" s="26">
        <f t="shared" si="14"/>
        <v>0</v>
      </c>
      <c r="FV29" s="11">
        <v>0</v>
      </c>
      <c r="FW29" s="11">
        <v>0</v>
      </c>
      <c r="FX29" s="11">
        <v>0</v>
      </c>
      <c r="FY29" s="11">
        <v>0</v>
      </c>
      <c r="FZ29" s="11">
        <v>0</v>
      </c>
      <c r="GA29" s="11">
        <v>0</v>
      </c>
      <c r="GB29" s="11">
        <v>0</v>
      </c>
      <c r="GC29" s="11">
        <v>0</v>
      </c>
      <c r="GD29" s="11">
        <v>0</v>
      </c>
      <c r="GE29" s="11">
        <v>0</v>
      </c>
      <c r="GF29" s="11">
        <v>0</v>
      </c>
      <c r="GG29" s="11">
        <v>0</v>
      </c>
      <c r="GH29" s="26">
        <f t="shared" si="15"/>
        <v>0</v>
      </c>
      <c r="GI29" s="11">
        <v>17</v>
      </c>
      <c r="GJ29" s="11">
        <v>4</v>
      </c>
      <c r="GK29" s="11">
        <v>13</v>
      </c>
      <c r="GL29" s="11">
        <v>2016</v>
      </c>
      <c r="GM29" s="11">
        <v>7</v>
      </c>
      <c r="GN29" s="11">
        <v>14</v>
      </c>
      <c r="GO29" s="11">
        <v>932</v>
      </c>
      <c r="GP29" s="11">
        <v>21</v>
      </c>
      <c r="GQ29" s="11">
        <v>4</v>
      </c>
      <c r="GR29" s="11">
        <v>9</v>
      </c>
      <c r="GS29" s="11">
        <v>8</v>
      </c>
      <c r="GT29" s="11">
        <v>6422</v>
      </c>
      <c r="GU29" s="26">
        <f t="shared" si="16"/>
        <v>9467</v>
      </c>
      <c r="GV29" s="11">
        <v>0</v>
      </c>
      <c r="GW29" s="11">
        <v>0</v>
      </c>
      <c r="GX29" s="11">
        <v>0</v>
      </c>
      <c r="GY29" s="11">
        <v>0</v>
      </c>
      <c r="GZ29" s="11">
        <v>0</v>
      </c>
      <c r="HA29" s="11">
        <v>0</v>
      </c>
      <c r="HB29" s="11">
        <v>0</v>
      </c>
      <c r="HC29" s="11">
        <v>0</v>
      </c>
      <c r="HD29" s="11">
        <v>0</v>
      </c>
      <c r="HE29" s="11">
        <v>0</v>
      </c>
      <c r="HF29" s="11">
        <v>0</v>
      </c>
      <c r="HG29" s="11">
        <v>0</v>
      </c>
      <c r="HH29" s="26">
        <f t="shared" si="17"/>
        <v>0</v>
      </c>
      <c r="HI29" s="11">
        <v>0</v>
      </c>
      <c r="HJ29" s="11">
        <v>0</v>
      </c>
      <c r="HK29" s="11">
        <v>0</v>
      </c>
      <c r="HL29" s="11">
        <v>0</v>
      </c>
      <c r="HM29" s="11">
        <v>0</v>
      </c>
      <c r="HN29" s="11">
        <v>0</v>
      </c>
      <c r="HO29" s="11">
        <v>0</v>
      </c>
      <c r="HP29" s="11">
        <v>0</v>
      </c>
      <c r="HQ29" s="11">
        <v>0</v>
      </c>
      <c r="HR29" s="11">
        <v>0</v>
      </c>
      <c r="HS29" s="11">
        <v>0</v>
      </c>
      <c r="HT29" s="11">
        <v>0</v>
      </c>
      <c r="HU29" s="26">
        <f t="shared" si="18"/>
        <v>0</v>
      </c>
      <c r="HV29" s="11">
        <v>0</v>
      </c>
      <c r="HW29" s="11">
        <v>0</v>
      </c>
      <c r="HX29" s="11">
        <v>0</v>
      </c>
      <c r="HY29" s="11">
        <v>0</v>
      </c>
      <c r="HZ29" s="11">
        <v>0</v>
      </c>
      <c r="IA29" s="11">
        <v>0</v>
      </c>
      <c r="IB29" s="11">
        <v>0</v>
      </c>
      <c r="IC29" s="11">
        <v>0</v>
      </c>
      <c r="ID29" s="11">
        <v>0</v>
      </c>
      <c r="IE29" s="11">
        <v>0</v>
      </c>
      <c r="IF29" s="11">
        <v>0</v>
      </c>
      <c r="IG29" s="11">
        <v>0</v>
      </c>
      <c r="IH29" s="26">
        <f t="shared" si="19"/>
        <v>0</v>
      </c>
      <c r="II29" s="9">
        <f t="shared" si="20"/>
        <v>0</v>
      </c>
      <c r="IJ29" s="9">
        <f t="shared" si="21"/>
        <v>0</v>
      </c>
      <c r="IK29" s="11">
        <v>80167</v>
      </c>
      <c r="IL29" s="11">
        <v>51349</v>
      </c>
      <c r="IM29" s="11">
        <v>54074</v>
      </c>
      <c r="IN29" s="11">
        <v>71447</v>
      </c>
      <c r="IO29" s="11">
        <v>79221</v>
      </c>
      <c r="IP29" s="11">
        <v>67446</v>
      </c>
      <c r="IQ29" s="11">
        <v>69490</v>
      </c>
      <c r="IR29" s="11">
        <v>66088</v>
      </c>
      <c r="IS29" s="11">
        <v>55484</v>
      </c>
      <c r="IT29" s="11">
        <v>66640</v>
      </c>
      <c r="IU29" s="11">
        <v>60507</v>
      </c>
      <c r="IV29" s="11">
        <v>64766</v>
      </c>
      <c r="IW29" s="27">
        <f t="shared" si="22"/>
        <v>786679</v>
      </c>
      <c r="IX29" s="11">
        <v>0</v>
      </c>
      <c r="IY29" s="11">
        <v>0</v>
      </c>
      <c r="IZ29" s="11">
        <v>0</v>
      </c>
      <c r="JA29" s="11">
        <v>0</v>
      </c>
      <c r="JB29" s="11">
        <v>0</v>
      </c>
      <c r="JC29" s="11">
        <v>0</v>
      </c>
      <c r="JD29" s="11">
        <v>0</v>
      </c>
      <c r="JE29" s="11">
        <v>0</v>
      </c>
      <c r="JF29" s="11">
        <v>0</v>
      </c>
      <c r="JG29" s="11">
        <v>0</v>
      </c>
      <c r="JH29" s="11">
        <v>0</v>
      </c>
      <c r="JI29" s="11">
        <v>0</v>
      </c>
      <c r="JJ29" s="27">
        <f t="shared" si="23"/>
        <v>0</v>
      </c>
      <c r="JK29" s="11">
        <v>0</v>
      </c>
      <c r="JL29" s="11">
        <v>0</v>
      </c>
      <c r="JM29" s="11">
        <v>0</v>
      </c>
      <c r="JN29" s="11">
        <v>0</v>
      </c>
      <c r="JO29" s="11">
        <v>0</v>
      </c>
      <c r="JP29" s="11">
        <v>0</v>
      </c>
      <c r="JQ29" s="11">
        <v>0</v>
      </c>
      <c r="JR29" s="11">
        <v>0</v>
      </c>
      <c r="JS29" s="11">
        <v>0</v>
      </c>
      <c r="JT29" s="11">
        <v>0</v>
      </c>
      <c r="JU29" s="11">
        <v>0</v>
      </c>
      <c r="JV29" s="11">
        <v>0</v>
      </c>
      <c r="JW29" s="27">
        <f t="shared" si="24"/>
        <v>0</v>
      </c>
      <c r="JX29" s="11">
        <v>0</v>
      </c>
      <c r="JY29" s="11">
        <v>0</v>
      </c>
      <c r="JZ29" s="11">
        <v>0</v>
      </c>
      <c r="KA29" s="11">
        <v>0</v>
      </c>
      <c r="KB29" s="11">
        <v>0</v>
      </c>
      <c r="KC29" s="11">
        <v>0</v>
      </c>
      <c r="KD29" s="11">
        <v>0</v>
      </c>
      <c r="KE29" s="11">
        <v>0</v>
      </c>
      <c r="KF29" s="11">
        <v>0</v>
      </c>
      <c r="KG29" s="11">
        <v>0</v>
      </c>
      <c r="KH29" s="11">
        <v>0</v>
      </c>
      <c r="KI29" s="11">
        <v>0</v>
      </c>
      <c r="KJ29" s="27">
        <f t="shared" si="25"/>
        <v>0</v>
      </c>
      <c r="KK29" s="11">
        <v>0</v>
      </c>
      <c r="KL29" s="11">
        <v>0</v>
      </c>
      <c r="KM29" s="11">
        <v>0</v>
      </c>
      <c r="KN29" s="11">
        <v>0</v>
      </c>
      <c r="KO29" s="11">
        <v>0</v>
      </c>
      <c r="KP29" s="11">
        <v>0</v>
      </c>
      <c r="KQ29" s="11">
        <v>0</v>
      </c>
      <c r="KR29" s="11">
        <v>0</v>
      </c>
      <c r="KS29" s="11">
        <v>0</v>
      </c>
      <c r="KT29" s="11">
        <v>0</v>
      </c>
      <c r="KU29" s="11">
        <v>0</v>
      </c>
      <c r="KV29" s="11">
        <v>0</v>
      </c>
      <c r="KW29" s="27">
        <f t="shared" si="26"/>
        <v>0</v>
      </c>
      <c r="KX29" s="11">
        <v>0</v>
      </c>
      <c r="KY29" s="11">
        <v>0</v>
      </c>
      <c r="KZ29" s="11">
        <v>0</v>
      </c>
      <c r="LA29" s="11">
        <v>0</v>
      </c>
      <c r="LB29" s="11">
        <v>0</v>
      </c>
      <c r="LC29" s="11">
        <v>0</v>
      </c>
      <c r="LD29" s="11">
        <v>0</v>
      </c>
      <c r="LE29" s="11">
        <v>0</v>
      </c>
      <c r="LF29" s="11">
        <v>0</v>
      </c>
      <c r="LG29" s="11">
        <v>0</v>
      </c>
      <c r="LH29" s="11">
        <v>0</v>
      </c>
      <c r="LI29" s="11">
        <v>0</v>
      </c>
      <c r="LJ29" s="27">
        <f t="shared" si="27"/>
        <v>0</v>
      </c>
      <c r="LK29" s="11">
        <v>0</v>
      </c>
      <c r="LL29" s="11">
        <v>0</v>
      </c>
      <c r="LM29" s="11">
        <v>0</v>
      </c>
      <c r="LN29" s="11">
        <v>0</v>
      </c>
      <c r="LO29" s="11">
        <v>0</v>
      </c>
      <c r="LP29" s="11">
        <v>0</v>
      </c>
      <c r="LQ29" s="11">
        <v>0</v>
      </c>
      <c r="LR29" s="11">
        <v>0</v>
      </c>
      <c r="LS29" s="11">
        <v>0</v>
      </c>
      <c r="LT29" s="11">
        <v>0</v>
      </c>
      <c r="LU29" s="11">
        <v>0</v>
      </c>
      <c r="LV29" s="11">
        <v>0</v>
      </c>
      <c r="LW29" s="27">
        <f t="shared" si="28"/>
        <v>0</v>
      </c>
      <c r="LX29" s="11">
        <v>0</v>
      </c>
      <c r="LY29" s="11">
        <v>0</v>
      </c>
      <c r="LZ29" s="11">
        <v>0</v>
      </c>
      <c r="MA29" s="11">
        <v>0</v>
      </c>
      <c r="MB29" s="11">
        <v>0</v>
      </c>
      <c r="MC29" s="11">
        <v>0</v>
      </c>
      <c r="MD29" s="11">
        <v>0</v>
      </c>
      <c r="ME29" s="11">
        <v>0</v>
      </c>
      <c r="MF29" s="11">
        <v>0</v>
      </c>
      <c r="MG29" s="11">
        <v>0</v>
      </c>
      <c r="MH29" s="11">
        <v>0</v>
      </c>
      <c r="MI29" s="11">
        <v>0</v>
      </c>
      <c r="MJ29" s="27">
        <f t="shared" si="29"/>
        <v>0</v>
      </c>
      <c r="MK29" s="11">
        <v>5478</v>
      </c>
      <c r="ML29" s="11">
        <v>5658</v>
      </c>
      <c r="MM29" s="11">
        <v>5202</v>
      </c>
      <c r="MN29" s="11">
        <v>5435</v>
      </c>
      <c r="MO29" s="11">
        <v>5448</v>
      </c>
      <c r="MP29" s="11">
        <v>5607</v>
      </c>
      <c r="MQ29" s="11">
        <v>5453</v>
      </c>
      <c r="MR29" s="11">
        <v>5070</v>
      </c>
      <c r="MS29" s="11">
        <v>5439</v>
      </c>
      <c r="MT29" s="11">
        <v>5949</v>
      </c>
      <c r="MU29" s="11">
        <v>5340</v>
      </c>
      <c r="MV29" s="11">
        <v>6066</v>
      </c>
      <c r="MW29" s="27">
        <f t="shared" si="30"/>
        <v>66145</v>
      </c>
      <c r="MX29" s="11">
        <v>0</v>
      </c>
      <c r="MY29" s="11">
        <v>0</v>
      </c>
      <c r="MZ29" s="11">
        <v>0</v>
      </c>
      <c r="NA29" s="11">
        <v>0</v>
      </c>
      <c r="NB29" s="11">
        <v>0</v>
      </c>
      <c r="NC29" s="11">
        <v>0</v>
      </c>
      <c r="ND29" s="11">
        <v>0</v>
      </c>
      <c r="NE29" s="11">
        <v>0</v>
      </c>
      <c r="NF29" s="11">
        <v>0</v>
      </c>
      <c r="NG29" s="11">
        <v>0</v>
      </c>
      <c r="NH29" s="11">
        <v>0</v>
      </c>
      <c r="NI29" s="11">
        <v>0</v>
      </c>
      <c r="NJ29" s="27">
        <f t="shared" si="31"/>
        <v>0</v>
      </c>
      <c r="NK29" s="11">
        <v>0</v>
      </c>
      <c r="NL29" s="11">
        <v>0</v>
      </c>
      <c r="NM29" s="11">
        <v>0</v>
      </c>
      <c r="NN29" s="11">
        <v>0</v>
      </c>
      <c r="NO29" s="11">
        <v>0</v>
      </c>
      <c r="NP29" s="11">
        <v>0</v>
      </c>
      <c r="NQ29" s="11">
        <v>0</v>
      </c>
      <c r="NR29" s="11">
        <v>0</v>
      </c>
      <c r="NS29" s="11">
        <v>0</v>
      </c>
      <c r="NT29" s="11">
        <v>0</v>
      </c>
      <c r="NU29" s="11">
        <v>0</v>
      </c>
      <c r="NV29" s="11">
        <v>0</v>
      </c>
      <c r="NW29" s="27">
        <f t="shared" si="32"/>
        <v>0</v>
      </c>
      <c r="NX29" s="11">
        <v>0</v>
      </c>
      <c r="NY29" s="11">
        <v>0</v>
      </c>
      <c r="NZ29" s="11">
        <v>0</v>
      </c>
      <c r="OA29" s="11">
        <v>0</v>
      </c>
      <c r="OB29" s="11">
        <v>0</v>
      </c>
      <c r="OC29" s="11">
        <v>0</v>
      </c>
      <c r="OD29" s="11">
        <v>0</v>
      </c>
      <c r="OE29" s="11">
        <v>0</v>
      </c>
      <c r="OF29" s="11">
        <v>0</v>
      </c>
      <c r="OG29" s="11">
        <v>0</v>
      </c>
      <c r="OH29" s="11">
        <v>0</v>
      </c>
      <c r="OI29" s="11">
        <v>0</v>
      </c>
      <c r="OJ29" s="27">
        <f t="shared" si="33"/>
        <v>0</v>
      </c>
      <c r="OK29" s="11">
        <v>23732</v>
      </c>
      <c r="OL29" s="11">
        <v>24427</v>
      </c>
      <c r="OM29" s="11">
        <v>23021</v>
      </c>
      <c r="ON29" s="11">
        <v>24027</v>
      </c>
      <c r="OO29" s="11">
        <v>24977</v>
      </c>
      <c r="OP29" s="11">
        <v>24037</v>
      </c>
      <c r="OQ29" s="11">
        <v>21215</v>
      </c>
      <c r="OR29" s="11">
        <v>20545</v>
      </c>
      <c r="OS29" s="11">
        <v>20729</v>
      </c>
      <c r="OT29" s="11">
        <v>23337</v>
      </c>
      <c r="OU29" s="11">
        <v>21315</v>
      </c>
      <c r="OV29" s="11">
        <v>23611</v>
      </c>
      <c r="OW29" s="27">
        <f t="shared" si="34"/>
        <v>274973</v>
      </c>
      <c r="OX29" s="11">
        <v>0</v>
      </c>
      <c r="OY29" s="11">
        <v>0</v>
      </c>
      <c r="OZ29" s="11">
        <v>0</v>
      </c>
      <c r="PA29" s="11">
        <v>0</v>
      </c>
      <c r="PB29" s="11">
        <v>0</v>
      </c>
      <c r="PC29" s="11">
        <v>0</v>
      </c>
      <c r="PD29" s="11">
        <v>0</v>
      </c>
      <c r="PE29" s="11">
        <v>0</v>
      </c>
      <c r="PF29" s="11">
        <v>0</v>
      </c>
      <c r="PG29" s="11">
        <v>0</v>
      </c>
      <c r="PH29" s="11">
        <v>0</v>
      </c>
      <c r="PI29" s="11">
        <v>0</v>
      </c>
      <c r="PJ29" s="27">
        <f t="shared" si="35"/>
        <v>0</v>
      </c>
      <c r="PK29" s="11">
        <v>0</v>
      </c>
      <c r="PL29" s="11">
        <v>0</v>
      </c>
      <c r="PM29" s="11">
        <v>0</v>
      </c>
      <c r="PN29" s="11">
        <v>0</v>
      </c>
      <c r="PO29" s="11">
        <v>0</v>
      </c>
      <c r="PP29" s="11">
        <v>0</v>
      </c>
      <c r="PQ29" s="11">
        <v>0</v>
      </c>
      <c r="PR29" s="11">
        <v>0</v>
      </c>
      <c r="PS29" s="11">
        <v>0</v>
      </c>
      <c r="PT29" s="11">
        <v>0</v>
      </c>
      <c r="PU29" s="11">
        <v>0</v>
      </c>
      <c r="PV29" s="11">
        <v>0</v>
      </c>
      <c r="PW29" s="27">
        <f t="shared" si="36"/>
        <v>0</v>
      </c>
      <c r="PX29" s="11">
        <v>0</v>
      </c>
      <c r="PY29" s="11">
        <v>0</v>
      </c>
      <c r="PZ29" s="11">
        <v>0</v>
      </c>
      <c r="QA29" s="11">
        <v>0</v>
      </c>
      <c r="QB29" s="11">
        <v>0</v>
      </c>
      <c r="QC29" s="11">
        <v>0</v>
      </c>
      <c r="QD29" s="11">
        <v>0</v>
      </c>
      <c r="QE29" s="11">
        <v>0</v>
      </c>
      <c r="QF29" s="11">
        <v>0</v>
      </c>
      <c r="QG29" s="11">
        <v>0</v>
      </c>
      <c r="QH29" s="11">
        <v>0</v>
      </c>
      <c r="QI29" s="11">
        <v>0</v>
      </c>
      <c r="QJ29" s="27">
        <f t="shared" si="37"/>
        <v>0</v>
      </c>
      <c r="QK29" s="11">
        <v>81568</v>
      </c>
      <c r="QL29" s="11">
        <v>72939</v>
      </c>
      <c r="QM29" s="11">
        <v>60952</v>
      </c>
      <c r="QN29" s="11">
        <v>80344</v>
      </c>
      <c r="QO29" s="11">
        <v>82300</v>
      </c>
      <c r="QP29" s="11">
        <v>82709</v>
      </c>
      <c r="QQ29" s="11">
        <v>82067</v>
      </c>
      <c r="QR29" s="11">
        <v>80866</v>
      </c>
      <c r="QS29" s="11">
        <v>70488</v>
      </c>
      <c r="QT29" s="11">
        <v>80171</v>
      </c>
      <c r="QU29" s="11">
        <v>79658</v>
      </c>
      <c r="QV29" s="11">
        <v>85327</v>
      </c>
      <c r="QW29" s="27">
        <f t="shared" si="38"/>
        <v>939389</v>
      </c>
      <c r="QX29" s="11">
        <v>0</v>
      </c>
      <c r="QY29" s="11">
        <v>0</v>
      </c>
      <c r="QZ29" s="11">
        <v>0</v>
      </c>
      <c r="RA29" s="11">
        <v>0</v>
      </c>
      <c r="RB29" s="11">
        <v>0</v>
      </c>
      <c r="RC29" s="11">
        <v>0</v>
      </c>
      <c r="RD29" s="11">
        <v>0</v>
      </c>
      <c r="RE29" s="11">
        <v>0</v>
      </c>
      <c r="RF29" s="11">
        <v>0</v>
      </c>
      <c r="RG29" s="11">
        <v>0</v>
      </c>
      <c r="RH29" s="11">
        <v>0</v>
      </c>
      <c r="RI29" s="11">
        <v>0</v>
      </c>
      <c r="RJ29" s="27">
        <f t="shared" si="39"/>
        <v>0</v>
      </c>
      <c r="RK29" s="11">
        <v>0</v>
      </c>
      <c r="RL29" s="11">
        <v>0</v>
      </c>
      <c r="RM29" s="11">
        <v>0</v>
      </c>
      <c r="RN29" s="11">
        <v>0</v>
      </c>
      <c r="RO29" s="11">
        <v>0</v>
      </c>
      <c r="RP29" s="11">
        <v>0</v>
      </c>
      <c r="RQ29" s="11">
        <v>0</v>
      </c>
      <c r="RR29" s="11">
        <v>0</v>
      </c>
      <c r="RS29" s="11">
        <v>0</v>
      </c>
      <c r="RT29" s="11">
        <v>0</v>
      </c>
      <c r="RU29" s="11">
        <v>0</v>
      </c>
      <c r="RV29" s="11">
        <v>0</v>
      </c>
      <c r="RW29" s="27">
        <f t="shared" si="40"/>
        <v>0</v>
      </c>
      <c r="RX29" s="11">
        <v>0</v>
      </c>
      <c r="RY29" s="11">
        <v>0</v>
      </c>
      <c r="RZ29" s="11">
        <v>0</v>
      </c>
      <c r="SA29" s="11">
        <v>0</v>
      </c>
      <c r="SB29" s="11">
        <v>0</v>
      </c>
      <c r="SC29" s="11">
        <v>0</v>
      </c>
      <c r="SD29" s="11">
        <v>0</v>
      </c>
      <c r="SE29" s="11">
        <v>0</v>
      </c>
      <c r="SF29" s="11">
        <v>0</v>
      </c>
      <c r="SG29" s="11">
        <v>0</v>
      </c>
      <c r="SH29" s="11">
        <v>0</v>
      </c>
      <c r="SI29" s="11">
        <v>0</v>
      </c>
      <c r="SJ29" s="27">
        <f t="shared" si="41"/>
        <v>0</v>
      </c>
      <c r="SK29" s="11">
        <v>176</v>
      </c>
      <c r="SL29" s="11">
        <v>176</v>
      </c>
      <c r="SM29" s="11">
        <v>176</v>
      </c>
      <c r="SN29" s="11">
        <v>176</v>
      </c>
      <c r="SO29" s="11">
        <v>176</v>
      </c>
      <c r="SP29" s="11">
        <v>176</v>
      </c>
      <c r="SQ29" s="11">
        <v>176</v>
      </c>
      <c r="SR29" s="11">
        <v>176</v>
      </c>
      <c r="SS29" s="11">
        <v>176</v>
      </c>
      <c r="ST29" s="11">
        <v>176</v>
      </c>
      <c r="SU29" s="11">
        <v>176</v>
      </c>
      <c r="SV29" s="11">
        <v>176</v>
      </c>
      <c r="SW29" s="27">
        <f t="shared" si="42"/>
        <v>2112</v>
      </c>
      <c r="SX29" s="11" t="s">
        <v>2663</v>
      </c>
      <c r="SY29" s="11">
        <v>3135</v>
      </c>
      <c r="SZ29" s="11">
        <v>2962</v>
      </c>
      <c r="TA29" s="11">
        <v>1104</v>
      </c>
      <c r="TB29" s="11">
        <v>3174</v>
      </c>
      <c r="TC29" s="11">
        <v>3141</v>
      </c>
      <c r="TD29" s="11">
        <v>3139</v>
      </c>
      <c r="TE29" s="11">
        <v>3657</v>
      </c>
      <c r="TF29" s="11">
        <v>3328</v>
      </c>
      <c r="TG29" s="11">
        <v>2860</v>
      </c>
      <c r="TH29" s="11">
        <v>3367</v>
      </c>
      <c r="TI29" s="11">
        <v>3293</v>
      </c>
      <c r="TJ29" s="11">
        <v>3366</v>
      </c>
      <c r="TK29" s="27">
        <f t="shared" si="43"/>
        <v>36526</v>
      </c>
      <c r="TL29" s="11">
        <v>0</v>
      </c>
      <c r="TM29" s="11">
        <v>0</v>
      </c>
      <c r="TN29" s="11">
        <v>0</v>
      </c>
      <c r="TO29" s="11">
        <v>0</v>
      </c>
      <c r="TP29" s="11">
        <v>0</v>
      </c>
      <c r="TQ29" s="11">
        <v>0</v>
      </c>
      <c r="TR29" s="11">
        <v>0</v>
      </c>
      <c r="TS29" s="11">
        <v>0</v>
      </c>
      <c r="TT29" s="11">
        <v>0</v>
      </c>
      <c r="TU29" s="11">
        <v>0</v>
      </c>
      <c r="TV29" s="11">
        <v>0</v>
      </c>
      <c r="TW29" s="11">
        <v>0</v>
      </c>
      <c r="TX29" s="27">
        <f t="shared" si="44"/>
        <v>0</v>
      </c>
      <c r="TY29" s="11">
        <v>166</v>
      </c>
      <c r="TZ29" s="11">
        <v>40</v>
      </c>
      <c r="UA29" s="11">
        <v>177</v>
      </c>
    </row>
    <row r="30" spans="1:547" ht="16" customHeight="1" x14ac:dyDescent="0.35">
      <c r="A30" s="11" t="s">
        <v>1533</v>
      </c>
      <c r="B30" s="11">
        <v>21642</v>
      </c>
      <c r="C30" s="11" t="s">
        <v>1432</v>
      </c>
      <c r="D30" s="11" t="s">
        <v>1432</v>
      </c>
      <c r="E30" s="11" t="s">
        <v>1432</v>
      </c>
      <c r="F30" s="11"/>
      <c r="G30" s="11"/>
      <c r="H30" s="11"/>
      <c r="I30" s="11"/>
      <c r="J30" s="11"/>
      <c r="K30" s="11"/>
      <c r="L30" s="11"/>
      <c r="M30" s="11">
        <v>0</v>
      </c>
      <c r="N30" s="11">
        <v>0</v>
      </c>
      <c r="O30" s="11">
        <v>0</v>
      </c>
      <c r="P30" s="11" t="s">
        <v>2863</v>
      </c>
      <c r="Q30" s="11">
        <v>0</v>
      </c>
      <c r="R30" s="11">
        <v>0</v>
      </c>
      <c r="S30" s="26">
        <f t="shared" si="0"/>
        <v>0</v>
      </c>
      <c r="T30" s="11">
        <v>0</v>
      </c>
      <c r="U30" s="11">
        <v>0</v>
      </c>
      <c r="V30" s="11">
        <v>0</v>
      </c>
      <c r="W30" s="11">
        <v>0</v>
      </c>
      <c r="X30" s="11">
        <v>0</v>
      </c>
      <c r="Y30" s="11">
        <v>0</v>
      </c>
      <c r="Z30" s="11">
        <v>0</v>
      </c>
      <c r="AA30" s="11">
        <v>0</v>
      </c>
      <c r="AB30" s="11">
        <v>0</v>
      </c>
      <c r="AC30" s="11">
        <v>0</v>
      </c>
      <c r="AD30" s="11">
        <v>0</v>
      </c>
      <c r="AE30" s="11">
        <v>0</v>
      </c>
      <c r="AF30" s="26">
        <f t="shared" si="1"/>
        <v>0</v>
      </c>
      <c r="AG30" s="11">
        <v>518</v>
      </c>
      <c r="AH30" s="11">
        <v>489</v>
      </c>
      <c r="AI30" s="11">
        <v>445</v>
      </c>
      <c r="AJ30" s="11">
        <v>624</v>
      </c>
      <c r="AK30" s="11">
        <v>557</v>
      </c>
      <c r="AL30" s="11">
        <v>429</v>
      </c>
      <c r="AM30" s="11">
        <v>588</v>
      </c>
      <c r="AN30" s="11">
        <v>454</v>
      </c>
      <c r="AO30" s="11">
        <v>357</v>
      </c>
      <c r="AP30" s="11">
        <v>414</v>
      </c>
      <c r="AQ30" s="11">
        <v>511</v>
      </c>
      <c r="AR30" s="11">
        <v>494</v>
      </c>
      <c r="AS30" s="26">
        <f t="shared" si="2"/>
        <v>5880</v>
      </c>
      <c r="AT30" s="11">
        <v>0</v>
      </c>
      <c r="AU30" s="11">
        <v>0</v>
      </c>
      <c r="AV30" s="11">
        <v>0</v>
      </c>
      <c r="AW30" s="11">
        <v>0</v>
      </c>
      <c r="AX30" s="11">
        <v>0</v>
      </c>
      <c r="AY30" s="11">
        <v>0</v>
      </c>
      <c r="AZ30" s="11">
        <v>0</v>
      </c>
      <c r="BA30" s="11">
        <v>0</v>
      </c>
      <c r="BB30" s="11">
        <v>0</v>
      </c>
      <c r="BC30" s="11">
        <v>0</v>
      </c>
      <c r="BD30" s="11">
        <v>0</v>
      </c>
      <c r="BE30" s="11">
        <v>0</v>
      </c>
      <c r="BF30" s="26">
        <f t="shared" si="3"/>
        <v>0</v>
      </c>
      <c r="BG30" s="11">
        <v>0</v>
      </c>
      <c r="BH30" s="11">
        <v>0</v>
      </c>
      <c r="BI30" s="11">
        <v>0</v>
      </c>
      <c r="BJ30" s="11">
        <v>0</v>
      </c>
      <c r="BK30" s="11">
        <v>0</v>
      </c>
      <c r="BL30" s="11">
        <v>0</v>
      </c>
      <c r="BM30" s="11">
        <v>0</v>
      </c>
      <c r="BN30" s="11">
        <v>0</v>
      </c>
      <c r="BO30" s="11">
        <v>0</v>
      </c>
      <c r="BP30" s="11">
        <v>0</v>
      </c>
      <c r="BQ30" s="11">
        <v>0</v>
      </c>
      <c r="BR30" s="11">
        <v>0</v>
      </c>
      <c r="BS30" s="26">
        <f t="shared" si="4"/>
        <v>0</v>
      </c>
      <c r="BT30" s="11">
        <v>0</v>
      </c>
      <c r="BU30" s="11">
        <v>0</v>
      </c>
      <c r="BV30" s="11">
        <v>0</v>
      </c>
      <c r="BW30" s="11">
        <v>0</v>
      </c>
      <c r="BX30" s="11">
        <v>0</v>
      </c>
      <c r="BY30" s="11">
        <v>0</v>
      </c>
      <c r="BZ30" s="11">
        <v>0</v>
      </c>
      <c r="CA30" s="11">
        <v>0</v>
      </c>
      <c r="CB30" s="11">
        <v>0</v>
      </c>
      <c r="CC30" s="11">
        <v>0</v>
      </c>
      <c r="CD30" s="11">
        <v>0</v>
      </c>
      <c r="CE30" s="11">
        <v>0</v>
      </c>
      <c r="CF30" s="26">
        <f t="shared" si="5"/>
        <v>0</v>
      </c>
      <c r="CG30" s="11">
        <v>0</v>
      </c>
      <c r="CH30" s="11">
        <v>0</v>
      </c>
      <c r="CI30" s="11">
        <v>0</v>
      </c>
      <c r="CJ30" s="11">
        <v>0</v>
      </c>
      <c r="CK30" s="11">
        <v>0</v>
      </c>
      <c r="CL30" s="11">
        <v>0</v>
      </c>
      <c r="CM30" s="11">
        <v>0</v>
      </c>
      <c r="CN30" s="11">
        <v>0</v>
      </c>
      <c r="CO30" s="11">
        <v>0</v>
      </c>
      <c r="CP30" s="11">
        <v>0</v>
      </c>
      <c r="CQ30" s="11">
        <v>0</v>
      </c>
      <c r="CR30" s="11">
        <v>0</v>
      </c>
      <c r="CS30" s="26">
        <f t="shared" si="6"/>
        <v>0</v>
      </c>
      <c r="CT30" s="11">
        <v>0</v>
      </c>
      <c r="CU30" s="11">
        <v>0</v>
      </c>
      <c r="CV30" s="11">
        <v>0</v>
      </c>
      <c r="CW30" s="11">
        <v>0</v>
      </c>
      <c r="CX30" s="11">
        <v>0</v>
      </c>
      <c r="CY30" s="11">
        <v>0</v>
      </c>
      <c r="CZ30" s="11">
        <v>0</v>
      </c>
      <c r="DA30" s="11">
        <v>0</v>
      </c>
      <c r="DB30" s="11">
        <v>0</v>
      </c>
      <c r="DC30" s="11">
        <v>0</v>
      </c>
      <c r="DD30" s="11">
        <v>0</v>
      </c>
      <c r="DE30" s="11">
        <v>0</v>
      </c>
      <c r="DF30" s="26">
        <f t="shared" si="7"/>
        <v>0</v>
      </c>
      <c r="DG30" s="11">
        <v>0</v>
      </c>
      <c r="DH30" s="11">
        <v>0</v>
      </c>
      <c r="DI30" s="11">
        <v>0</v>
      </c>
      <c r="DJ30" s="11">
        <v>0</v>
      </c>
      <c r="DK30" s="11">
        <v>0</v>
      </c>
      <c r="DL30" s="11">
        <v>0</v>
      </c>
      <c r="DM30" s="11">
        <v>0</v>
      </c>
      <c r="DN30" s="11">
        <v>0</v>
      </c>
      <c r="DO30" s="11">
        <v>0</v>
      </c>
      <c r="DP30" s="11">
        <v>0</v>
      </c>
      <c r="DQ30" s="11">
        <v>0</v>
      </c>
      <c r="DR30" s="11">
        <v>0</v>
      </c>
      <c r="DS30" s="26">
        <f t="shared" si="8"/>
        <v>0</v>
      </c>
      <c r="DT30" s="11">
        <v>0</v>
      </c>
      <c r="DU30" s="11">
        <v>0</v>
      </c>
      <c r="DV30" s="11">
        <v>0</v>
      </c>
      <c r="DW30" s="11">
        <v>0</v>
      </c>
      <c r="DX30" s="11">
        <v>0</v>
      </c>
      <c r="DY30" s="11">
        <v>0</v>
      </c>
      <c r="DZ30" s="11">
        <v>0</v>
      </c>
      <c r="EA30" s="11">
        <v>0</v>
      </c>
      <c r="EB30" s="11">
        <v>0</v>
      </c>
      <c r="EC30" s="11">
        <v>0</v>
      </c>
      <c r="ED30" s="11">
        <v>0</v>
      </c>
      <c r="EE30" s="11">
        <v>0</v>
      </c>
      <c r="EF30" s="26">
        <f t="shared" si="9"/>
        <v>0</v>
      </c>
      <c r="EG30" s="9">
        <f t="shared" si="10"/>
        <v>5880</v>
      </c>
      <c r="EH30" s="9">
        <f t="shared" si="11"/>
        <v>0</v>
      </c>
      <c r="EI30" s="11">
        <v>0</v>
      </c>
      <c r="EJ30" s="11">
        <v>0</v>
      </c>
      <c r="EK30" s="11">
        <v>0</v>
      </c>
      <c r="EL30" s="11">
        <v>0</v>
      </c>
      <c r="EM30" s="11">
        <v>0</v>
      </c>
      <c r="EN30" s="11">
        <v>0</v>
      </c>
      <c r="EO30" s="11">
        <v>0</v>
      </c>
      <c r="EP30" s="11">
        <v>0</v>
      </c>
      <c r="EQ30" s="11">
        <v>0</v>
      </c>
      <c r="ER30" s="11">
        <v>0</v>
      </c>
      <c r="ES30" s="11">
        <v>0</v>
      </c>
      <c r="ET30" s="11">
        <v>0</v>
      </c>
      <c r="EU30" s="26">
        <f t="shared" si="12"/>
        <v>0</v>
      </c>
      <c r="EV30" s="11">
        <v>6398</v>
      </c>
      <c r="EW30" s="11">
        <v>6331</v>
      </c>
      <c r="EX30" s="11">
        <v>5793</v>
      </c>
      <c r="EY30" s="11">
        <v>7127</v>
      </c>
      <c r="EZ30" s="11">
        <v>5070</v>
      </c>
      <c r="FA30" s="11">
        <v>4991</v>
      </c>
      <c r="FB30" s="11">
        <v>6774</v>
      </c>
      <c r="FC30" s="11">
        <v>5186</v>
      </c>
      <c r="FD30" s="11">
        <v>3386</v>
      </c>
      <c r="FE30" s="11">
        <v>4779</v>
      </c>
      <c r="FF30" s="11">
        <v>6099</v>
      </c>
      <c r="FG30" s="11">
        <v>6039</v>
      </c>
      <c r="FH30" s="26">
        <f t="shared" si="13"/>
        <v>67973</v>
      </c>
      <c r="FI30" s="11">
        <v>4901</v>
      </c>
      <c r="FJ30" s="11">
        <v>4579</v>
      </c>
      <c r="FK30" s="11">
        <v>4322</v>
      </c>
      <c r="FL30" s="11">
        <v>6976</v>
      </c>
      <c r="FM30" s="11">
        <v>4864</v>
      </c>
      <c r="FN30" s="11">
        <v>3085</v>
      </c>
      <c r="FO30" s="11">
        <v>5727</v>
      </c>
      <c r="FP30" s="11">
        <v>3520</v>
      </c>
      <c r="FQ30" s="11">
        <v>2898</v>
      </c>
      <c r="FR30" s="11">
        <v>3294</v>
      </c>
      <c r="FS30" s="11">
        <v>4980</v>
      </c>
      <c r="FT30" s="11">
        <v>4237</v>
      </c>
      <c r="FU30" s="26">
        <f t="shared" si="14"/>
        <v>53383</v>
      </c>
      <c r="FV30" s="11">
        <v>77</v>
      </c>
      <c r="FW30" s="11">
        <v>118</v>
      </c>
      <c r="FX30" s="11">
        <v>93</v>
      </c>
      <c r="FY30" s="11">
        <v>56</v>
      </c>
      <c r="FZ30" s="11">
        <v>28</v>
      </c>
      <c r="GA30" s="11">
        <v>250</v>
      </c>
      <c r="GB30" s="11">
        <v>249</v>
      </c>
      <c r="GC30" s="11">
        <v>234</v>
      </c>
      <c r="GD30" s="11">
        <v>332</v>
      </c>
      <c r="GE30" s="11">
        <v>208</v>
      </c>
      <c r="GF30" s="11">
        <v>213</v>
      </c>
      <c r="GG30" s="11">
        <v>230</v>
      </c>
      <c r="GH30" s="26">
        <f t="shared" si="15"/>
        <v>2088</v>
      </c>
      <c r="GI30" s="11">
        <v>0</v>
      </c>
      <c r="GJ30" s="11">
        <v>0</v>
      </c>
      <c r="GK30" s="11">
        <v>0</v>
      </c>
      <c r="GL30" s="11">
        <v>0</v>
      </c>
      <c r="GM30" s="11">
        <v>0</v>
      </c>
      <c r="GN30" s="11">
        <v>0</v>
      </c>
      <c r="GO30" s="11">
        <v>0</v>
      </c>
      <c r="GP30" s="11">
        <v>0</v>
      </c>
      <c r="GQ30" s="11">
        <v>0</v>
      </c>
      <c r="GR30" s="11">
        <v>0</v>
      </c>
      <c r="GS30" s="11">
        <v>0</v>
      </c>
      <c r="GT30" s="11">
        <v>0</v>
      </c>
      <c r="GU30" s="26">
        <f t="shared" si="16"/>
        <v>0</v>
      </c>
      <c r="GV30" s="11">
        <v>0</v>
      </c>
      <c r="GW30" s="11">
        <v>0</v>
      </c>
      <c r="GX30" s="11">
        <v>0</v>
      </c>
      <c r="GY30" s="11">
        <v>0</v>
      </c>
      <c r="GZ30" s="11">
        <v>0</v>
      </c>
      <c r="HA30" s="11">
        <v>0</v>
      </c>
      <c r="HB30" s="11">
        <v>0</v>
      </c>
      <c r="HC30" s="11">
        <v>0</v>
      </c>
      <c r="HD30" s="11">
        <v>0</v>
      </c>
      <c r="HE30" s="11">
        <v>0</v>
      </c>
      <c r="HF30" s="11">
        <v>0</v>
      </c>
      <c r="HG30" s="11">
        <v>0</v>
      </c>
      <c r="HH30" s="26">
        <f t="shared" si="17"/>
        <v>0</v>
      </c>
      <c r="HI30" s="11">
        <v>0</v>
      </c>
      <c r="HJ30" s="11">
        <v>0</v>
      </c>
      <c r="HK30" s="11">
        <v>0</v>
      </c>
      <c r="HL30" s="11">
        <v>0</v>
      </c>
      <c r="HM30" s="11">
        <v>0</v>
      </c>
      <c r="HN30" s="11">
        <v>0</v>
      </c>
      <c r="HO30" s="11">
        <v>0</v>
      </c>
      <c r="HP30" s="11">
        <v>0</v>
      </c>
      <c r="HQ30" s="11">
        <v>0</v>
      </c>
      <c r="HR30" s="11">
        <v>0</v>
      </c>
      <c r="HS30" s="11">
        <v>0</v>
      </c>
      <c r="HT30" s="11">
        <v>0</v>
      </c>
      <c r="HU30" s="26">
        <f t="shared" si="18"/>
        <v>0</v>
      </c>
      <c r="HV30" s="11">
        <v>0</v>
      </c>
      <c r="HW30" s="11">
        <v>0</v>
      </c>
      <c r="HX30" s="11">
        <v>0</v>
      </c>
      <c r="HY30" s="11">
        <v>0</v>
      </c>
      <c r="HZ30" s="11">
        <v>0</v>
      </c>
      <c r="IA30" s="11">
        <v>0</v>
      </c>
      <c r="IB30" s="11">
        <v>0</v>
      </c>
      <c r="IC30" s="11">
        <v>0</v>
      </c>
      <c r="ID30" s="11">
        <v>0</v>
      </c>
      <c r="IE30" s="11">
        <v>0</v>
      </c>
      <c r="IF30" s="11">
        <v>0</v>
      </c>
      <c r="IG30" s="11">
        <v>0</v>
      </c>
      <c r="IH30" s="26">
        <f t="shared" si="19"/>
        <v>0</v>
      </c>
      <c r="II30" s="9">
        <f t="shared" si="20"/>
        <v>123444</v>
      </c>
      <c r="IJ30" s="9">
        <f t="shared" si="21"/>
        <v>0</v>
      </c>
      <c r="IK30" s="11">
        <v>65183</v>
      </c>
      <c r="IL30" s="11">
        <v>65025</v>
      </c>
      <c r="IM30" s="11">
        <v>60647</v>
      </c>
      <c r="IN30" s="11">
        <v>71877</v>
      </c>
      <c r="IO30" s="11">
        <v>76490</v>
      </c>
      <c r="IP30" s="11">
        <v>65105</v>
      </c>
      <c r="IQ30" s="11">
        <v>67894</v>
      </c>
      <c r="IR30" s="11">
        <v>62542</v>
      </c>
      <c r="IS30" s="11">
        <v>48010</v>
      </c>
      <c r="IT30" s="11">
        <v>65186</v>
      </c>
      <c r="IU30" s="11">
        <v>60042</v>
      </c>
      <c r="IV30" s="11">
        <v>64450</v>
      </c>
      <c r="IW30" s="27">
        <f t="shared" si="22"/>
        <v>772451</v>
      </c>
      <c r="IX30" s="11">
        <v>39802</v>
      </c>
      <c r="IY30" s="11">
        <v>40554</v>
      </c>
      <c r="IZ30" s="11">
        <v>39177</v>
      </c>
      <c r="JA30" s="11">
        <v>42226</v>
      </c>
      <c r="JB30" s="11">
        <v>44240</v>
      </c>
      <c r="JC30" s="11">
        <v>39896</v>
      </c>
      <c r="JD30" s="11">
        <v>41408</v>
      </c>
      <c r="JE30" s="11">
        <v>40584</v>
      </c>
      <c r="JF30" s="11">
        <v>32648</v>
      </c>
      <c r="JG30" s="11">
        <v>41800</v>
      </c>
      <c r="JH30" s="11">
        <v>37188</v>
      </c>
      <c r="JI30" s="11">
        <v>40306</v>
      </c>
      <c r="JJ30" s="27">
        <f t="shared" si="23"/>
        <v>479829</v>
      </c>
      <c r="JK30" s="11">
        <v>25381</v>
      </c>
      <c r="JL30" s="11">
        <v>24651</v>
      </c>
      <c r="JM30" s="11">
        <v>21470</v>
      </c>
      <c r="JN30" s="11">
        <v>29651</v>
      </c>
      <c r="JO30" s="11">
        <v>32250</v>
      </c>
      <c r="JP30" s="11">
        <v>25209</v>
      </c>
      <c r="JQ30" s="11">
        <v>26486</v>
      </c>
      <c r="JR30" s="11">
        <v>21958</v>
      </c>
      <c r="JS30" s="11">
        <v>15362</v>
      </c>
      <c r="JT30" s="11">
        <v>23386</v>
      </c>
      <c r="JU30" s="11">
        <v>22854</v>
      </c>
      <c r="JV30" s="11">
        <v>24144</v>
      </c>
      <c r="JW30" s="27">
        <f t="shared" si="24"/>
        <v>292802</v>
      </c>
      <c r="JX30" s="11">
        <v>0</v>
      </c>
      <c r="JY30" s="11">
        <v>0</v>
      </c>
      <c r="JZ30" s="11">
        <v>0</v>
      </c>
      <c r="KA30" s="11">
        <v>0</v>
      </c>
      <c r="KB30" s="11">
        <v>0</v>
      </c>
      <c r="KC30" s="11">
        <v>0</v>
      </c>
      <c r="KD30" s="11">
        <v>0</v>
      </c>
      <c r="KE30" s="11">
        <v>0</v>
      </c>
      <c r="KF30" s="11">
        <v>0</v>
      </c>
      <c r="KG30" s="11">
        <v>0</v>
      </c>
      <c r="KH30" s="11">
        <v>0</v>
      </c>
      <c r="KI30" s="11">
        <v>0</v>
      </c>
      <c r="KJ30" s="27">
        <f t="shared" si="25"/>
        <v>0</v>
      </c>
      <c r="KK30" s="11">
        <v>2002</v>
      </c>
      <c r="KL30" s="11">
        <v>1790</v>
      </c>
      <c r="KM30" s="11">
        <v>1593</v>
      </c>
      <c r="KN30" s="11">
        <v>1888</v>
      </c>
      <c r="KO30" s="11">
        <v>1898</v>
      </c>
      <c r="KP30" s="11">
        <v>1764</v>
      </c>
      <c r="KQ30" s="11">
        <v>1849</v>
      </c>
      <c r="KR30" s="11">
        <v>1943</v>
      </c>
      <c r="KS30" s="11">
        <v>1448</v>
      </c>
      <c r="KT30" s="11">
        <v>1959</v>
      </c>
      <c r="KU30" s="11">
        <v>1619</v>
      </c>
      <c r="KV30" s="11">
        <v>1770</v>
      </c>
      <c r="KW30" s="27">
        <f t="shared" si="26"/>
        <v>21523</v>
      </c>
      <c r="KX30" s="11">
        <v>0</v>
      </c>
      <c r="KY30" s="11">
        <v>0</v>
      </c>
      <c r="KZ30" s="11">
        <v>0</v>
      </c>
      <c r="LA30" s="11">
        <v>0</v>
      </c>
      <c r="LB30" s="11">
        <v>0</v>
      </c>
      <c r="LC30" s="11">
        <v>0</v>
      </c>
      <c r="LD30" s="11">
        <v>0</v>
      </c>
      <c r="LE30" s="11">
        <v>0</v>
      </c>
      <c r="LF30" s="11">
        <v>0</v>
      </c>
      <c r="LG30" s="11">
        <v>0</v>
      </c>
      <c r="LH30" s="11">
        <v>0</v>
      </c>
      <c r="LI30" s="11">
        <v>0</v>
      </c>
      <c r="LJ30" s="27">
        <f t="shared" si="27"/>
        <v>0</v>
      </c>
      <c r="LK30" s="11">
        <v>0</v>
      </c>
      <c r="LL30" s="11">
        <v>0</v>
      </c>
      <c r="LM30" s="11">
        <v>0</v>
      </c>
      <c r="LN30" s="11">
        <v>0</v>
      </c>
      <c r="LO30" s="11">
        <v>0</v>
      </c>
      <c r="LP30" s="11">
        <v>0</v>
      </c>
      <c r="LQ30" s="11">
        <v>0</v>
      </c>
      <c r="LR30" s="11">
        <v>0</v>
      </c>
      <c r="LS30" s="11">
        <v>0</v>
      </c>
      <c r="LT30" s="11">
        <v>0</v>
      </c>
      <c r="LU30" s="11">
        <v>0</v>
      </c>
      <c r="LV30" s="11">
        <v>0</v>
      </c>
      <c r="LW30" s="27">
        <f t="shared" si="28"/>
        <v>0</v>
      </c>
      <c r="LX30" s="11">
        <v>0</v>
      </c>
      <c r="LY30" s="11">
        <v>0</v>
      </c>
      <c r="LZ30" s="11">
        <v>0</v>
      </c>
      <c r="MA30" s="11">
        <v>0</v>
      </c>
      <c r="MB30" s="11">
        <v>0</v>
      </c>
      <c r="MC30" s="11">
        <v>0</v>
      </c>
      <c r="MD30" s="11">
        <v>0</v>
      </c>
      <c r="ME30" s="11">
        <v>0</v>
      </c>
      <c r="MF30" s="11">
        <v>0</v>
      </c>
      <c r="MG30" s="11">
        <v>0</v>
      </c>
      <c r="MH30" s="11">
        <v>0</v>
      </c>
      <c r="MI30" s="11">
        <v>0</v>
      </c>
      <c r="MJ30" s="27">
        <f t="shared" si="29"/>
        <v>0</v>
      </c>
      <c r="MK30" s="11">
        <v>2581</v>
      </c>
      <c r="ML30" s="11">
        <v>2993</v>
      </c>
      <c r="MM30" s="11">
        <v>2938</v>
      </c>
      <c r="MN30" s="11">
        <v>2865</v>
      </c>
      <c r="MO30" s="11">
        <v>3098</v>
      </c>
      <c r="MP30" s="11">
        <v>2878</v>
      </c>
      <c r="MQ30" s="11">
        <v>2878</v>
      </c>
      <c r="MR30" s="11">
        <v>2722</v>
      </c>
      <c r="MS30" s="11">
        <v>2568</v>
      </c>
      <c r="MT30" s="11">
        <v>2912</v>
      </c>
      <c r="MU30" s="11">
        <v>2631</v>
      </c>
      <c r="MV30" s="11">
        <v>2900</v>
      </c>
      <c r="MW30" s="27">
        <f t="shared" si="30"/>
        <v>33964</v>
      </c>
      <c r="MX30" s="11">
        <v>0</v>
      </c>
      <c r="MY30" s="11">
        <v>0</v>
      </c>
      <c r="MZ30" s="11">
        <v>0</v>
      </c>
      <c r="NA30" s="11">
        <v>0</v>
      </c>
      <c r="NB30" s="11">
        <v>0</v>
      </c>
      <c r="NC30" s="11">
        <v>0</v>
      </c>
      <c r="ND30" s="11">
        <v>0</v>
      </c>
      <c r="NE30" s="11">
        <v>0</v>
      </c>
      <c r="NF30" s="11">
        <v>0</v>
      </c>
      <c r="NG30" s="11">
        <v>0</v>
      </c>
      <c r="NH30" s="11">
        <v>0</v>
      </c>
      <c r="NI30" s="11">
        <v>0</v>
      </c>
      <c r="NJ30" s="27">
        <f t="shared" si="31"/>
        <v>0</v>
      </c>
      <c r="NK30" s="11">
        <v>0</v>
      </c>
      <c r="NL30" s="11">
        <v>0</v>
      </c>
      <c r="NM30" s="11">
        <v>0</v>
      </c>
      <c r="NN30" s="11">
        <v>0</v>
      </c>
      <c r="NO30" s="11">
        <v>0</v>
      </c>
      <c r="NP30" s="11">
        <v>0</v>
      </c>
      <c r="NQ30" s="11">
        <v>0</v>
      </c>
      <c r="NR30" s="11">
        <v>0</v>
      </c>
      <c r="NS30" s="11">
        <v>0</v>
      </c>
      <c r="NT30" s="11">
        <v>0</v>
      </c>
      <c r="NU30" s="11">
        <v>0</v>
      </c>
      <c r="NV30" s="11">
        <v>0</v>
      </c>
      <c r="NW30" s="27">
        <f t="shared" si="32"/>
        <v>0</v>
      </c>
      <c r="NX30" s="11">
        <v>0</v>
      </c>
      <c r="NY30" s="11">
        <v>0</v>
      </c>
      <c r="NZ30" s="11">
        <v>0</v>
      </c>
      <c r="OA30" s="11">
        <v>0</v>
      </c>
      <c r="OB30" s="11">
        <v>0</v>
      </c>
      <c r="OC30" s="11">
        <v>0</v>
      </c>
      <c r="OD30" s="11">
        <v>0</v>
      </c>
      <c r="OE30" s="11">
        <v>0</v>
      </c>
      <c r="OF30" s="11">
        <v>0</v>
      </c>
      <c r="OG30" s="11">
        <v>0</v>
      </c>
      <c r="OH30" s="11">
        <v>0</v>
      </c>
      <c r="OI30" s="11">
        <v>0</v>
      </c>
      <c r="OJ30" s="27">
        <f t="shared" si="33"/>
        <v>0</v>
      </c>
      <c r="OK30" s="11">
        <v>3412</v>
      </c>
      <c r="OL30" s="11">
        <v>3481</v>
      </c>
      <c r="OM30" s="11">
        <v>3336</v>
      </c>
      <c r="ON30" s="11">
        <v>3649</v>
      </c>
      <c r="OO30" s="11">
        <v>3661</v>
      </c>
      <c r="OP30" s="11">
        <v>3441</v>
      </c>
      <c r="OQ30" s="11">
        <v>3848</v>
      </c>
      <c r="OR30" s="11">
        <v>3527</v>
      </c>
      <c r="OS30" s="11">
        <v>3644</v>
      </c>
      <c r="OT30" s="11">
        <v>4215</v>
      </c>
      <c r="OU30" s="11">
        <v>3945</v>
      </c>
      <c r="OV30" s="11">
        <v>4185</v>
      </c>
      <c r="OW30" s="27">
        <f t="shared" si="34"/>
        <v>44344</v>
      </c>
      <c r="OX30" s="11">
        <v>0</v>
      </c>
      <c r="OY30" s="11">
        <v>0</v>
      </c>
      <c r="OZ30" s="11">
        <v>0</v>
      </c>
      <c r="PA30" s="11">
        <v>0</v>
      </c>
      <c r="PB30" s="11">
        <v>0</v>
      </c>
      <c r="PC30" s="11">
        <v>0</v>
      </c>
      <c r="PD30" s="11">
        <v>0</v>
      </c>
      <c r="PE30" s="11">
        <v>0</v>
      </c>
      <c r="PF30" s="11">
        <v>0</v>
      </c>
      <c r="PG30" s="11">
        <v>0</v>
      </c>
      <c r="PH30" s="11">
        <v>0</v>
      </c>
      <c r="PI30" s="11">
        <v>0</v>
      </c>
      <c r="PJ30" s="27">
        <f t="shared" si="35"/>
        <v>0</v>
      </c>
      <c r="PK30" s="11">
        <v>0</v>
      </c>
      <c r="PL30" s="11">
        <v>0</v>
      </c>
      <c r="PM30" s="11">
        <v>0</v>
      </c>
      <c r="PN30" s="11">
        <v>0</v>
      </c>
      <c r="PO30" s="11">
        <v>0</v>
      </c>
      <c r="PP30" s="11">
        <v>0</v>
      </c>
      <c r="PQ30" s="11">
        <v>0</v>
      </c>
      <c r="PR30" s="11">
        <v>0</v>
      </c>
      <c r="PS30" s="11">
        <v>0</v>
      </c>
      <c r="PT30" s="11">
        <v>0</v>
      </c>
      <c r="PU30" s="11">
        <v>0</v>
      </c>
      <c r="PV30" s="11">
        <v>0</v>
      </c>
      <c r="PW30" s="27">
        <f t="shared" si="36"/>
        <v>0</v>
      </c>
      <c r="PX30" s="11">
        <v>0</v>
      </c>
      <c r="PY30" s="11">
        <v>0</v>
      </c>
      <c r="PZ30" s="11">
        <v>0</v>
      </c>
      <c r="QA30" s="11">
        <v>0</v>
      </c>
      <c r="QB30" s="11">
        <v>0</v>
      </c>
      <c r="QC30" s="11">
        <v>0</v>
      </c>
      <c r="QD30" s="11">
        <v>0</v>
      </c>
      <c r="QE30" s="11">
        <v>0</v>
      </c>
      <c r="QF30" s="11">
        <v>0</v>
      </c>
      <c r="QG30" s="11">
        <v>0</v>
      </c>
      <c r="QH30" s="11">
        <v>0</v>
      </c>
      <c r="QI30" s="11">
        <v>0</v>
      </c>
      <c r="QJ30" s="27">
        <f t="shared" si="37"/>
        <v>0</v>
      </c>
      <c r="QK30" s="11">
        <v>45404</v>
      </c>
      <c r="QL30" s="11">
        <v>45145</v>
      </c>
      <c r="QM30" s="11">
        <v>42368</v>
      </c>
      <c r="QN30" s="11">
        <v>48515</v>
      </c>
      <c r="QO30" s="11">
        <v>48429</v>
      </c>
      <c r="QP30" s="11">
        <v>44699</v>
      </c>
      <c r="QQ30" s="11">
        <v>48183</v>
      </c>
      <c r="QR30" s="11">
        <v>45090</v>
      </c>
      <c r="QS30" s="11">
        <v>30991</v>
      </c>
      <c r="QT30" s="11">
        <v>42814</v>
      </c>
      <c r="QU30" s="11">
        <v>43967</v>
      </c>
      <c r="QV30" s="11">
        <v>45848</v>
      </c>
      <c r="QW30" s="27">
        <f t="shared" si="38"/>
        <v>531453</v>
      </c>
      <c r="QX30" s="11">
        <v>155914</v>
      </c>
      <c r="QY30" s="11">
        <v>14392</v>
      </c>
      <c r="QZ30" s="11">
        <v>13208</v>
      </c>
      <c r="RA30" s="11">
        <v>13889</v>
      </c>
      <c r="RB30" s="11">
        <v>13316</v>
      </c>
      <c r="RC30" s="11">
        <v>15389</v>
      </c>
      <c r="RD30" s="11">
        <v>16696</v>
      </c>
      <c r="RE30" s="11">
        <v>16619</v>
      </c>
      <c r="RF30" s="11">
        <v>11694</v>
      </c>
      <c r="RG30" s="11">
        <v>18308</v>
      </c>
      <c r="RH30" s="11">
        <v>17130</v>
      </c>
      <c r="RI30" s="11">
        <v>17091</v>
      </c>
      <c r="RJ30" s="27">
        <f t="shared" si="39"/>
        <v>323646</v>
      </c>
      <c r="RK30" s="11">
        <v>0</v>
      </c>
      <c r="RL30" s="11">
        <v>0</v>
      </c>
      <c r="RM30" s="11">
        <v>0</v>
      </c>
      <c r="RN30" s="11">
        <v>0</v>
      </c>
      <c r="RO30" s="11">
        <v>0</v>
      </c>
      <c r="RP30" s="11">
        <v>0</v>
      </c>
      <c r="RQ30" s="11">
        <v>0</v>
      </c>
      <c r="RR30" s="11">
        <v>0</v>
      </c>
      <c r="RS30" s="11">
        <v>0</v>
      </c>
      <c r="RT30" s="11">
        <v>0</v>
      </c>
      <c r="RU30" s="11">
        <v>0</v>
      </c>
      <c r="RV30" s="11">
        <v>0</v>
      </c>
      <c r="RW30" s="27">
        <f t="shared" si="40"/>
        <v>0</v>
      </c>
      <c r="RX30" s="11">
        <v>0</v>
      </c>
      <c r="RY30" s="11">
        <v>0</v>
      </c>
      <c r="RZ30" s="11">
        <v>0</v>
      </c>
      <c r="SA30" s="11">
        <v>0</v>
      </c>
      <c r="SB30" s="11">
        <v>0</v>
      </c>
      <c r="SC30" s="11">
        <v>0</v>
      </c>
      <c r="SD30" s="11">
        <v>0</v>
      </c>
      <c r="SE30" s="11">
        <v>0</v>
      </c>
      <c r="SF30" s="11">
        <v>0</v>
      </c>
      <c r="SG30" s="11">
        <v>0</v>
      </c>
      <c r="SH30" s="11">
        <v>0</v>
      </c>
      <c r="SI30" s="11">
        <v>0</v>
      </c>
      <c r="SJ30" s="27">
        <f t="shared" si="41"/>
        <v>0</v>
      </c>
      <c r="SK30" s="11">
        <v>374</v>
      </c>
      <c r="SL30" s="11">
        <v>400</v>
      </c>
      <c r="SM30" s="11">
        <v>304</v>
      </c>
      <c r="SN30" s="11">
        <v>455</v>
      </c>
      <c r="SO30" s="11">
        <v>339</v>
      </c>
      <c r="SP30" s="11">
        <v>425</v>
      </c>
      <c r="SQ30" s="11">
        <v>468</v>
      </c>
      <c r="SR30" s="11">
        <v>463</v>
      </c>
      <c r="SS30" s="11">
        <v>291</v>
      </c>
      <c r="ST30" s="11">
        <v>448</v>
      </c>
      <c r="SU30" s="11">
        <v>425</v>
      </c>
      <c r="SV30" s="11">
        <v>447</v>
      </c>
      <c r="SW30" s="27">
        <f t="shared" si="42"/>
        <v>4839</v>
      </c>
      <c r="SX30" s="11" t="s">
        <v>2664</v>
      </c>
      <c r="SY30" s="11">
        <v>7283</v>
      </c>
      <c r="SZ30" s="11">
        <v>6617</v>
      </c>
      <c r="TA30" s="11">
        <v>6155</v>
      </c>
      <c r="TB30" s="11">
        <v>6776</v>
      </c>
      <c r="TC30" s="11">
        <v>6497</v>
      </c>
      <c r="TD30" s="11">
        <v>6382</v>
      </c>
      <c r="TE30" s="11">
        <v>6648</v>
      </c>
      <c r="TF30" s="11">
        <v>6524</v>
      </c>
      <c r="TG30" s="11">
        <v>4467</v>
      </c>
      <c r="TH30" s="11">
        <v>7138</v>
      </c>
      <c r="TI30" s="11">
        <v>6724</v>
      </c>
      <c r="TJ30" s="11">
        <v>6997</v>
      </c>
      <c r="TK30" s="27">
        <f t="shared" si="43"/>
        <v>78208</v>
      </c>
      <c r="TL30" s="11">
        <v>0</v>
      </c>
      <c r="TM30" s="11">
        <v>0</v>
      </c>
      <c r="TN30" s="11">
        <v>0</v>
      </c>
      <c r="TO30" s="11">
        <v>0</v>
      </c>
      <c r="TP30" s="11">
        <v>0</v>
      </c>
      <c r="TQ30" s="11">
        <v>0</v>
      </c>
      <c r="TR30" s="11">
        <v>0</v>
      </c>
      <c r="TS30" s="11">
        <v>0</v>
      </c>
      <c r="TT30" s="11">
        <v>0</v>
      </c>
      <c r="TU30" s="11">
        <v>0</v>
      </c>
      <c r="TV30" s="11">
        <v>0</v>
      </c>
      <c r="TW30" s="11">
        <v>0</v>
      </c>
      <c r="TX30" s="27">
        <f t="shared" si="44"/>
        <v>0</v>
      </c>
      <c r="TY30" s="11">
        <v>162</v>
      </c>
      <c r="TZ30" s="11">
        <v>0</v>
      </c>
      <c r="UA30" s="11">
        <v>0</v>
      </c>
    </row>
    <row r="31" spans="1:547" ht="16" customHeight="1" x14ac:dyDescent="0.35">
      <c r="A31" s="11" t="s">
        <v>2665</v>
      </c>
      <c r="B31" s="11">
        <v>20962</v>
      </c>
      <c r="C31" s="11">
        <v>4201</v>
      </c>
      <c r="D31" s="11">
        <v>14614</v>
      </c>
      <c r="E31" s="11">
        <v>2147</v>
      </c>
      <c r="F31" s="11">
        <v>285</v>
      </c>
      <c r="G31" s="11">
        <v>243</v>
      </c>
      <c r="H31" s="11">
        <v>271</v>
      </c>
      <c r="I31" s="11">
        <v>287</v>
      </c>
      <c r="J31" s="11">
        <v>284</v>
      </c>
      <c r="K31" s="11">
        <v>295</v>
      </c>
      <c r="L31" s="11">
        <v>294</v>
      </c>
      <c r="M31" s="11">
        <v>204</v>
      </c>
      <c r="N31" s="11">
        <v>178</v>
      </c>
      <c r="O31" s="11">
        <v>238</v>
      </c>
      <c r="P31" s="11" t="s">
        <v>2862</v>
      </c>
      <c r="Q31" s="11">
        <v>204</v>
      </c>
      <c r="R31" s="11">
        <v>197</v>
      </c>
      <c r="S31" s="26">
        <f t="shared" si="0"/>
        <v>2980</v>
      </c>
      <c r="T31" s="11">
        <v>72</v>
      </c>
      <c r="U31" s="11">
        <v>50</v>
      </c>
      <c r="V31" s="11">
        <v>56</v>
      </c>
      <c r="W31" s="11">
        <v>84</v>
      </c>
      <c r="X31" s="11">
        <v>74</v>
      </c>
      <c r="Y31" s="11">
        <v>98</v>
      </c>
      <c r="Z31" s="11">
        <v>80</v>
      </c>
      <c r="AA31" s="11">
        <v>32</v>
      </c>
      <c r="AB31" s="11">
        <v>26</v>
      </c>
      <c r="AC31" s="11">
        <v>42</v>
      </c>
      <c r="AD31" s="11">
        <v>30</v>
      </c>
      <c r="AE31" s="11">
        <v>22</v>
      </c>
      <c r="AF31" s="26">
        <f t="shared" si="1"/>
        <v>666</v>
      </c>
      <c r="AG31" s="11">
        <v>144</v>
      </c>
      <c r="AH31" s="11">
        <v>143</v>
      </c>
      <c r="AI31" s="11">
        <v>161</v>
      </c>
      <c r="AJ31" s="11">
        <v>147</v>
      </c>
      <c r="AK31" s="11">
        <v>137</v>
      </c>
      <c r="AL31" s="11">
        <v>133</v>
      </c>
      <c r="AM31" s="11">
        <v>162</v>
      </c>
      <c r="AN31" s="11">
        <v>119</v>
      </c>
      <c r="AO31" s="11">
        <v>106</v>
      </c>
      <c r="AP31" s="11">
        <v>121</v>
      </c>
      <c r="AQ31" s="11">
        <v>104</v>
      </c>
      <c r="AR31" s="11">
        <v>102</v>
      </c>
      <c r="AS31" s="26">
        <f t="shared" si="2"/>
        <v>1579</v>
      </c>
      <c r="AT31" s="11">
        <v>3</v>
      </c>
      <c r="AU31" s="11">
        <v>3</v>
      </c>
      <c r="AV31" s="11">
        <v>4</v>
      </c>
      <c r="AW31" s="11">
        <v>4</v>
      </c>
      <c r="AX31" s="11">
        <v>5</v>
      </c>
      <c r="AY31" s="11">
        <v>3</v>
      </c>
      <c r="AZ31" s="11">
        <v>5</v>
      </c>
      <c r="BA31" s="11">
        <v>8</v>
      </c>
      <c r="BB31" s="11">
        <v>10</v>
      </c>
      <c r="BC31" s="11">
        <v>20</v>
      </c>
      <c r="BD31" s="11">
        <v>20</v>
      </c>
      <c r="BE31" s="11">
        <v>23</v>
      </c>
      <c r="BF31" s="26">
        <f t="shared" si="3"/>
        <v>108</v>
      </c>
      <c r="BG31" s="11">
        <v>66</v>
      </c>
      <c r="BH31" s="11">
        <v>47</v>
      </c>
      <c r="BI31" s="11">
        <v>50</v>
      </c>
      <c r="BJ31" s="11">
        <v>52</v>
      </c>
      <c r="BK31" s="11">
        <v>68</v>
      </c>
      <c r="BL31" s="11">
        <v>61</v>
      </c>
      <c r="BM31" s="11">
        <v>47</v>
      </c>
      <c r="BN31" s="11">
        <v>45</v>
      </c>
      <c r="BO31" s="11">
        <v>36</v>
      </c>
      <c r="BP31" s="11">
        <v>55</v>
      </c>
      <c r="BQ31" s="11">
        <v>50</v>
      </c>
      <c r="BR31" s="11">
        <v>50</v>
      </c>
      <c r="BS31" s="26">
        <f t="shared" si="4"/>
        <v>627</v>
      </c>
      <c r="BT31" s="11">
        <v>0</v>
      </c>
      <c r="BU31" s="11">
        <v>0</v>
      </c>
      <c r="BV31" s="11">
        <v>0</v>
      </c>
      <c r="BW31" s="11">
        <v>0</v>
      </c>
      <c r="BX31" s="11">
        <v>0</v>
      </c>
      <c r="BY31" s="11">
        <v>0</v>
      </c>
      <c r="BZ31" s="11">
        <v>0</v>
      </c>
      <c r="CA31" s="11">
        <v>0</v>
      </c>
      <c r="CB31" s="11">
        <v>0</v>
      </c>
      <c r="CC31" s="11">
        <v>0</v>
      </c>
      <c r="CD31" s="11">
        <v>0</v>
      </c>
      <c r="CE31" s="11">
        <v>0</v>
      </c>
      <c r="CF31" s="26">
        <f t="shared" si="5"/>
        <v>0</v>
      </c>
      <c r="CG31" s="11">
        <v>0</v>
      </c>
      <c r="CH31" s="11">
        <v>0</v>
      </c>
      <c r="CI31" s="11">
        <v>0</v>
      </c>
      <c r="CJ31" s="11">
        <v>0</v>
      </c>
      <c r="CK31" s="11">
        <v>0</v>
      </c>
      <c r="CL31" s="11">
        <v>0</v>
      </c>
      <c r="CM31" s="11">
        <v>0</v>
      </c>
      <c r="CN31" s="11">
        <v>0</v>
      </c>
      <c r="CO31" s="11">
        <v>0</v>
      </c>
      <c r="CP31" s="11">
        <v>0</v>
      </c>
      <c r="CQ31" s="11">
        <v>0</v>
      </c>
      <c r="CR31" s="11">
        <v>0</v>
      </c>
      <c r="CS31" s="26">
        <f t="shared" si="6"/>
        <v>0</v>
      </c>
      <c r="CT31" s="11">
        <v>0</v>
      </c>
      <c r="CU31" s="11">
        <v>0</v>
      </c>
      <c r="CV31" s="11">
        <v>0</v>
      </c>
      <c r="CW31" s="11">
        <v>0</v>
      </c>
      <c r="CX31" s="11">
        <v>0</v>
      </c>
      <c r="CY31" s="11">
        <v>0</v>
      </c>
      <c r="CZ31" s="11">
        <v>0</v>
      </c>
      <c r="DA31" s="11">
        <v>0</v>
      </c>
      <c r="DB31" s="11">
        <v>0</v>
      </c>
      <c r="DC31" s="11">
        <v>0</v>
      </c>
      <c r="DD31" s="11">
        <v>0</v>
      </c>
      <c r="DE31" s="11">
        <v>0</v>
      </c>
      <c r="DF31" s="26">
        <f t="shared" si="7"/>
        <v>0</v>
      </c>
      <c r="DG31" s="11">
        <v>0</v>
      </c>
      <c r="DH31" s="11">
        <v>0</v>
      </c>
      <c r="DI31" s="11">
        <v>0</v>
      </c>
      <c r="DJ31" s="11">
        <v>0</v>
      </c>
      <c r="DK31" s="11">
        <v>0</v>
      </c>
      <c r="DL31" s="11">
        <v>0</v>
      </c>
      <c r="DM31" s="11">
        <v>0</v>
      </c>
      <c r="DN31" s="11">
        <v>0</v>
      </c>
      <c r="DO31" s="11">
        <v>0</v>
      </c>
      <c r="DP31" s="11">
        <v>0</v>
      </c>
      <c r="DQ31" s="11">
        <v>0</v>
      </c>
      <c r="DR31" s="11">
        <v>0</v>
      </c>
      <c r="DS31" s="26">
        <f t="shared" si="8"/>
        <v>0</v>
      </c>
      <c r="DT31" s="11">
        <v>0</v>
      </c>
      <c r="DU31" s="11">
        <v>0</v>
      </c>
      <c r="DV31" s="11">
        <v>0</v>
      </c>
      <c r="DW31" s="11">
        <v>0</v>
      </c>
      <c r="DX31" s="11">
        <v>0</v>
      </c>
      <c r="DY31" s="11">
        <v>0</v>
      </c>
      <c r="DZ31" s="11">
        <v>0</v>
      </c>
      <c r="EA31" s="11">
        <v>0</v>
      </c>
      <c r="EB31" s="11">
        <v>0</v>
      </c>
      <c r="EC31" s="11">
        <v>0</v>
      </c>
      <c r="ED31" s="11">
        <v>0</v>
      </c>
      <c r="EE31" s="11">
        <v>0</v>
      </c>
      <c r="EF31" s="26">
        <f t="shared" si="9"/>
        <v>0</v>
      </c>
      <c r="EG31" s="9">
        <f t="shared" si="10"/>
        <v>2980</v>
      </c>
      <c r="EH31" s="9">
        <f t="shared" si="11"/>
        <v>0</v>
      </c>
      <c r="EI31" s="11">
        <v>3710</v>
      </c>
      <c r="EJ31" s="11">
        <v>3526</v>
      </c>
      <c r="EK31" s="11">
        <v>3791</v>
      </c>
      <c r="EL31" s="11">
        <v>4660</v>
      </c>
      <c r="EM31" s="11">
        <v>3720</v>
      </c>
      <c r="EN31" s="11">
        <v>3400</v>
      </c>
      <c r="EO31" s="11">
        <v>4258</v>
      </c>
      <c r="EP31" s="11">
        <v>2213</v>
      </c>
      <c r="EQ31" s="11">
        <v>1576</v>
      </c>
      <c r="ER31" s="11">
        <v>2382</v>
      </c>
      <c r="ES31" s="11">
        <v>2263</v>
      </c>
      <c r="ET31" s="11">
        <v>1710</v>
      </c>
      <c r="EU31" s="26">
        <f t="shared" si="12"/>
        <v>37209</v>
      </c>
      <c r="EV31" s="11">
        <v>1280</v>
      </c>
      <c r="EW31" s="11">
        <v>906</v>
      </c>
      <c r="EX31" s="11">
        <v>970</v>
      </c>
      <c r="EY31" s="11">
        <v>1604</v>
      </c>
      <c r="EZ31" s="11">
        <v>1316</v>
      </c>
      <c r="FA31" s="11">
        <v>1431</v>
      </c>
      <c r="FB31" s="11">
        <v>1208</v>
      </c>
      <c r="FC31" s="11">
        <v>273</v>
      </c>
      <c r="FD31" s="11">
        <v>207</v>
      </c>
      <c r="FE31" s="11">
        <v>395</v>
      </c>
      <c r="FF31" s="11">
        <v>223</v>
      </c>
      <c r="FG31" s="11">
        <v>279</v>
      </c>
      <c r="FH31" s="26">
        <f t="shared" si="13"/>
        <v>10092</v>
      </c>
      <c r="FI31" s="11">
        <v>2336</v>
      </c>
      <c r="FJ31" s="11">
        <v>2522</v>
      </c>
      <c r="FK31" s="11">
        <v>2655</v>
      </c>
      <c r="FL31" s="11">
        <v>2928</v>
      </c>
      <c r="FM31" s="11">
        <v>2249</v>
      </c>
      <c r="FN31" s="11">
        <v>1875</v>
      </c>
      <c r="FO31" s="11">
        <v>2930</v>
      </c>
      <c r="FP31" s="11">
        <v>1902</v>
      </c>
      <c r="FQ31" s="11">
        <v>1330</v>
      </c>
      <c r="FR31" s="11">
        <v>1842</v>
      </c>
      <c r="FS31" s="11">
        <v>1820</v>
      </c>
      <c r="FT31" s="11">
        <v>1327</v>
      </c>
      <c r="FU31" s="26">
        <f t="shared" si="14"/>
        <v>25716</v>
      </c>
      <c r="FV31" s="11">
        <v>94</v>
      </c>
      <c r="FW31" s="11">
        <v>98</v>
      </c>
      <c r="FX31" s="11">
        <v>166</v>
      </c>
      <c r="FY31" s="11">
        <v>128</v>
      </c>
      <c r="FZ31" s="11">
        <v>155</v>
      </c>
      <c r="GA31" s="11">
        <v>94</v>
      </c>
      <c r="GB31" s="11">
        <v>120</v>
      </c>
      <c r="GC31" s="11">
        <v>38</v>
      </c>
      <c r="GD31" s="11">
        <v>39</v>
      </c>
      <c r="GE31" s="11">
        <v>145</v>
      </c>
      <c r="GF31" s="11">
        <v>220</v>
      </c>
      <c r="GG31" s="11">
        <v>104</v>
      </c>
      <c r="GH31" s="26">
        <f t="shared" si="15"/>
        <v>1401</v>
      </c>
      <c r="GI31" s="11">
        <v>0</v>
      </c>
      <c r="GJ31" s="11">
        <v>0</v>
      </c>
      <c r="GK31" s="11">
        <v>0</v>
      </c>
      <c r="GL31" s="11">
        <v>0</v>
      </c>
      <c r="GM31" s="11">
        <v>0</v>
      </c>
      <c r="GN31" s="11">
        <v>0</v>
      </c>
      <c r="GO31" s="11">
        <v>0</v>
      </c>
      <c r="GP31" s="11">
        <v>0</v>
      </c>
      <c r="GQ31" s="11">
        <v>0</v>
      </c>
      <c r="GR31" s="11">
        <v>0</v>
      </c>
      <c r="GS31" s="11">
        <v>0</v>
      </c>
      <c r="GT31" s="11">
        <v>0</v>
      </c>
      <c r="GU31" s="26">
        <f t="shared" si="16"/>
        <v>0</v>
      </c>
      <c r="GV31" s="11">
        <v>0</v>
      </c>
      <c r="GW31" s="11">
        <v>0</v>
      </c>
      <c r="GX31" s="11">
        <v>0</v>
      </c>
      <c r="GY31" s="11">
        <v>0</v>
      </c>
      <c r="GZ31" s="11">
        <v>0</v>
      </c>
      <c r="HA31" s="11">
        <v>0</v>
      </c>
      <c r="HB31" s="11">
        <v>0</v>
      </c>
      <c r="HC31" s="11">
        <v>0</v>
      </c>
      <c r="HD31" s="11">
        <v>0</v>
      </c>
      <c r="HE31" s="11">
        <v>0</v>
      </c>
      <c r="HF31" s="11">
        <v>0</v>
      </c>
      <c r="HG31" s="11">
        <v>0</v>
      </c>
      <c r="HH31" s="26">
        <f t="shared" si="17"/>
        <v>0</v>
      </c>
      <c r="HI31" s="11">
        <v>0</v>
      </c>
      <c r="HJ31" s="11">
        <v>0</v>
      </c>
      <c r="HK31" s="11">
        <v>0</v>
      </c>
      <c r="HL31" s="11">
        <v>0</v>
      </c>
      <c r="HM31" s="11">
        <v>0</v>
      </c>
      <c r="HN31" s="11">
        <v>0</v>
      </c>
      <c r="HO31" s="11">
        <v>0</v>
      </c>
      <c r="HP31" s="11">
        <v>0</v>
      </c>
      <c r="HQ31" s="11">
        <v>0</v>
      </c>
      <c r="HR31" s="11">
        <v>0</v>
      </c>
      <c r="HS31" s="11">
        <v>0</v>
      </c>
      <c r="HT31" s="11">
        <v>0</v>
      </c>
      <c r="HU31" s="26">
        <f t="shared" si="18"/>
        <v>0</v>
      </c>
      <c r="HV31" s="11">
        <v>0</v>
      </c>
      <c r="HW31" s="11">
        <v>0</v>
      </c>
      <c r="HX31" s="11">
        <v>0</v>
      </c>
      <c r="HY31" s="11">
        <v>0</v>
      </c>
      <c r="HZ31" s="11">
        <v>0</v>
      </c>
      <c r="IA31" s="11">
        <v>0</v>
      </c>
      <c r="IB31" s="11">
        <v>0</v>
      </c>
      <c r="IC31" s="11">
        <v>0</v>
      </c>
      <c r="ID31" s="11">
        <v>0</v>
      </c>
      <c r="IE31" s="11">
        <v>0</v>
      </c>
      <c r="IF31" s="11">
        <v>0</v>
      </c>
      <c r="IG31" s="11">
        <v>0</v>
      </c>
      <c r="IH31" s="26">
        <f t="shared" si="19"/>
        <v>0</v>
      </c>
      <c r="II31" s="9">
        <f t="shared" si="20"/>
        <v>37209</v>
      </c>
      <c r="IJ31" s="9">
        <f t="shared" si="21"/>
        <v>0</v>
      </c>
      <c r="IK31" s="11">
        <v>42175</v>
      </c>
      <c r="IL31" s="11">
        <v>41698</v>
      </c>
      <c r="IM31" s="11">
        <v>41744</v>
      </c>
      <c r="IN31" s="11">
        <v>45327</v>
      </c>
      <c r="IO31" s="11">
        <v>44986</v>
      </c>
      <c r="IP31" s="11">
        <v>41766</v>
      </c>
      <c r="IQ31" s="11">
        <v>44286</v>
      </c>
      <c r="IR31" s="11">
        <v>39368</v>
      </c>
      <c r="IS31" s="11">
        <v>32684</v>
      </c>
      <c r="IT31" s="11">
        <v>39623</v>
      </c>
      <c r="IU31" s="11">
        <v>37124</v>
      </c>
      <c r="IV31" s="11">
        <v>39017</v>
      </c>
      <c r="IW31" s="27">
        <f t="shared" si="22"/>
        <v>489798</v>
      </c>
      <c r="IX31" s="11">
        <v>15967</v>
      </c>
      <c r="IY31" s="11">
        <v>16189</v>
      </c>
      <c r="IZ31" s="11">
        <v>16357</v>
      </c>
      <c r="JA31" s="11">
        <v>16936</v>
      </c>
      <c r="JB31" s="11">
        <v>16520</v>
      </c>
      <c r="JC31" s="11">
        <v>15712</v>
      </c>
      <c r="JD31" s="11">
        <v>15929</v>
      </c>
      <c r="JE31" s="11">
        <v>14271</v>
      </c>
      <c r="JF31" s="11">
        <v>13550</v>
      </c>
      <c r="JG31" s="11">
        <v>14802</v>
      </c>
      <c r="JH31" s="11">
        <v>13506</v>
      </c>
      <c r="JI31" s="11">
        <v>14467</v>
      </c>
      <c r="JJ31" s="27">
        <f t="shared" si="23"/>
        <v>184206</v>
      </c>
      <c r="JK31" s="11">
        <v>25054</v>
      </c>
      <c r="JL31" s="11">
        <v>24356</v>
      </c>
      <c r="JM31" s="11">
        <v>24264</v>
      </c>
      <c r="JN31" s="11">
        <v>27128</v>
      </c>
      <c r="JO31" s="11">
        <v>27198</v>
      </c>
      <c r="JP31" s="11">
        <v>24944</v>
      </c>
      <c r="JQ31" s="11">
        <v>27228</v>
      </c>
      <c r="JR31" s="11">
        <v>24168</v>
      </c>
      <c r="JS31" s="11">
        <v>18319</v>
      </c>
      <c r="JT31" s="11">
        <v>23864</v>
      </c>
      <c r="JU31" s="11">
        <v>22775</v>
      </c>
      <c r="JV31" s="11">
        <v>23549</v>
      </c>
      <c r="JW31" s="27">
        <f t="shared" si="24"/>
        <v>292847</v>
      </c>
      <c r="JX31" s="11">
        <v>1154</v>
      </c>
      <c r="JY31" s="11">
        <v>1153</v>
      </c>
      <c r="JZ31" s="11">
        <v>1123</v>
      </c>
      <c r="KA31" s="11">
        <v>1263</v>
      </c>
      <c r="KB31" s="11">
        <v>1268</v>
      </c>
      <c r="KC31" s="11">
        <v>1110</v>
      </c>
      <c r="KD31" s="11">
        <v>1129</v>
      </c>
      <c r="KE31" s="11">
        <v>929</v>
      </c>
      <c r="KF31" s="11">
        <v>815</v>
      </c>
      <c r="KG31" s="11">
        <v>957</v>
      </c>
      <c r="KH31" s="11">
        <v>843</v>
      </c>
      <c r="KI31" s="11">
        <v>1001</v>
      </c>
      <c r="KJ31" s="27">
        <f t="shared" si="25"/>
        <v>12745</v>
      </c>
      <c r="KK31" s="11">
        <v>164</v>
      </c>
      <c r="KL31" s="11">
        <v>162</v>
      </c>
      <c r="KM31" s="11">
        <v>104</v>
      </c>
      <c r="KN31" s="11">
        <v>135</v>
      </c>
      <c r="KO31" s="11">
        <v>152</v>
      </c>
      <c r="KP31" s="11">
        <v>190</v>
      </c>
      <c r="KQ31" s="11">
        <v>97</v>
      </c>
      <c r="KR31" s="11">
        <v>182</v>
      </c>
      <c r="KS31" s="11">
        <v>118</v>
      </c>
      <c r="KT31" s="11">
        <v>119</v>
      </c>
      <c r="KU31" s="11">
        <v>118</v>
      </c>
      <c r="KV31" s="11">
        <v>86</v>
      </c>
      <c r="KW31" s="27">
        <f t="shared" si="26"/>
        <v>1627</v>
      </c>
      <c r="KX31" s="11">
        <v>80</v>
      </c>
      <c r="KY31" s="11">
        <v>88</v>
      </c>
      <c r="KZ31" s="11">
        <v>26</v>
      </c>
      <c r="LA31" s="11">
        <v>57</v>
      </c>
      <c r="LB31" s="11">
        <v>88</v>
      </c>
      <c r="LC31" s="11">
        <v>103</v>
      </c>
      <c r="LD31" s="11">
        <v>27</v>
      </c>
      <c r="LE31" s="11">
        <v>101</v>
      </c>
      <c r="LF31" s="11">
        <v>63</v>
      </c>
      <c r="LG31" s="11">
        <v>43</v>
      </c>
      <c r="LH31" s="11">
        <v>63</v>
      </c>
      <c r="LI31" s="11">
        <v>27</v>
      </c>
      <c r="LJ31" s="27">
        <f t="shared" si="27"/>
        <v>766</v>
      </c>
      <c r="LK31" s="11">
        <v>84</v>
      </c>
      <c r="LL31" s="11">
        <v>74</v>
      </c>
      <c r="LM31" s="11">
        <v>78</v>
      </c>
      <c r="LN31" s="11">
        <v>78</v>
      </c>
      <c r="LO31" s="11">
        <v>64</v>
      </c>
      <c r="LP31" s="11">
        <v>87</v>
      </c>
      <c r="LQ31" s="11">
        <v>70</v>
      </c>
      <c r="LR31" s="11">
        <v>81</v>
      </c>
      <c r="LS31" s="11">
        <v>55</v>
      </c>
      <c r="LT31" s="11">
        <v>76</v>
      </c>
      <c r="LU31" s="11">
        <v>55</v>
      </c>
      <c r="LV31" s="11">
        <v>59</v>
      </c>
      <c r="LW31" s="27">
        <f t="shared" si="28"/>
        <v>861</v>
      </c>
      <c r="LX31" s="11">
        <v>0</v>
      </c>
      <c r="LY31" s="11">
        <v>0</v>
      </c>
      <c r="LZ31" s="11">
        <v>0</v>
      </c>
      <c r="MA31" s="11">
        <v>0</v>
      </c>
      <c r="MB31" s="11">
        <v>0</v>
      </c>
      <c r="MC31" s="11">
        <v>0</v>
      </c>
      <c r="MD31" s="11">
        <v>0</v>
      </c>
      <c r="ME31" s="11">
        <v>0</v>
      </c>
      <c r="MF31" s="11">
        <v>0</v>
      </c>
      <c r="MG31" s="11">
        <v>0</v>
      </c>
      <c r="MH31" s="11">
        <v>0</v>
      </c>
      <c r="MI31" s="11">
        <v>0</v>
      </c>
      <c r="MJ31" s="27">
        <f t="shared" si="29"/>
        <v>0</v>
      </c>
      <c r="MK31" s="11">
        <v>3474</v>
      </c>
      <c r="ML31" s="11">
        <v>3423</v>
      </c>
      <c r="MM31" s="11">
        <v>3156</v>
      </c>
      <c r="MN31" s="11">
        <v>3251</v>
      </c>
      <c r="MO31" s="11">
        <v>3701</v>
      </c>
      <c r="MP31" s="11">
        <v>3319</v>
      </c>
      <c r="MQ31" s="11">
        <v>3311</v>
      </c>
      <c r="MR31" s="11">
        <v>3022</v>
      </c>
      <c r="MS31" s="11">
        <v>3076</v>
      </c>
      <c r="MT31" s="11">
        <v>3274</v>
      </c>
      <c r="MU31" s="11">
        <v>2929</v>
      </c>
      <c r="MV31" s="11">
        <v>2854</v>
      </c>
      <c r="MW31" s="27">
        <f t="shared" si="30"/>
        <v>38790</v>
      </c>
      <c r="MX31" s="11">
        <v>2804</v>
      </c>
      <c r="MY31" s="11">
        <v>2769</v>
      </c>
      <c r="MZ31" s="11">
        <v>2457</v>
      </c>
      <c r="NA31" s="11">
        <v>2549</v>
      </c>
      <c r="NB31" s="11">
        <v>2780</v>
      </c>
      <c r="NC31" s="11">
        <v>2670</v>
      </c>
      <c r="ND31" s="11">
        <v>2667</v>
      </c>
      <c r="NE31" s="11">
        <v>2410</v>
      </c>
      <c r="NF31" s="11">
        <v>2434</v>
      </c>
      <c r="NG31" s="11">
        <v>2604</v>
      </c>
      <c r="NH31" s="11">
        <v>2295</v>
      </c>
      <c r="NI31" s="11">
        <v>2322</v>
      </c>
      <c r="NJ31" s="27">
        <f t="shared" si="31"/>
        <v>30761</v>
      </c>
      <c r="NK31" s="11">
        <v>432</v>
      </c>
      <c r="NL31" s="11">
        <v>427</v>
      </c>
      <c r="NM31" s="11">
        <v>493</v>
      </c>
      <c r="NN31" s="11">
        <v>476</v>
      </c>
      <c r="NO31" s="11">
        <v>659</v>
      </c>
      <c r="NP31" s="11">
        <v>442</v>
      </c>
      <c r="NQ31" s="11">
        <v>439</v>
      </c>
      <c r="NR31" s="11">
        <v>377</v>
      </c>
      <c r="NS31" s="11">
        <v>435</v>
      </c>
      <c r="NT31" s="11">
        <v>453</v>
      </c>
      <c r="NU31" s="11">
        <v>458</v>
      </c>
      <c r="NV31" s="11">
        <v>313</v>
      </c>
      <c r="NW31" s="27">
        <f t="shared" si="32"/>
        <v>5404</v>
      </c>
      <c r="NX31" s="11">
        <v>238</v>
      </c>
      <c r="NY31" s="11">
        <v>227</v>
      </c>
      <c r="NZ31" s="11">
        <v>206</v>
      </c>
      <c r="OA31" s="11">
        <v>226</v>
      </c>
      <c r="OB31" s="11">
        <v>262</v>
      </c>
      <c r="OC31" s="11">
        <v>207</v>
      </c>
      <c r="OD31" s="11">
        <v>205</v>
      </c>
      <c r="OE31" s="11">
        <v>235</v>
      </c>
      <c r="OF31" s="11">
        <v>207</v>
      </c>
      <c r="OG31" s="11">
        <v>217</v>
      </c>
      <c r="OH31" s="11">
        <v>176</v>
      </c>
      <c r="OI31" s="11">
        <v>219</v>
      </c>
      <c r="OJ31" s="27">
        <f t="shared" si="33"/>
        <v>2625</v>
      </c>
      <c r="OK31" s="11">
        <v>3004</v>
      </c>
      <c r="OL31" s="11">
        <v>2973</v>
      </c>
      <c r="OM31" s="11">
        <v>2734</v>
      </c>
      <c r="ON31" s="11">
        <v>2815</v>
      </c>
      <c r="OO31" s="11">
        <v>2947</v>
      </c>
      <c r="OP31" s="11">
        <v>3098</v>
      </c>
      <c r="OQ31" s="11">
        <v>3031</v>
      </c>
      <c r="OR31" s="11">
        <v>3036</v>
      </c>
      <c r="OS31" s="11">
        <v>2909</v>
      </c>
      <c r="OT31" s="11">
        <v>3289</v>
      </c>
      <c r="OU31" s="11">
        <v>2924</v>
      </c>
      <c r="OV31" s="11">
        <v>3228</v>
      </c>
      <c r="OW31" s="27">
        <f t="shared" si="34"/>
        <v>35988</v>
      </c>
      <c r="OX31" s="11">
        <v>2352</v>
      </c>
      <c r="OY31" s="11">
        <v>2412</v>
      </c>
      <c r="OZ31" s="11">
        <v>2231</v>
      </c>
      <c r="PA31" s="11">
        <v>2258</v>
      </c>
      <c r="PB31" s="11">
        <v>2357</v>
      </c>
      <c r="PC31" s="11">
        <v>2535</v>
      </c>
      <c r="PD31" s="11">
        <v>2469</v>
      </c>
      <c r="PE31" s="11">
        <v>2462</v>
      </c>
      <c r="PF31" s="11">
        <v>2344</v>
      </c>
      <c r="PG31" s="11">
        <v>2667</v>
      </c>
      <c r="PH31" s="11">
        <v>2326</v>
      </c>
      <c r="PI31" s="11">
        <v>2696</v>
      </c>
      <c r="PJ31" s="27">
        <f t="shared" si="35"/>
        <v>29109</v>
      </c>
      <c r="PK31" s="11">
        <v>465</v>
      </c>
      <c r="PL31" s="11">
        <v>370</v>
      </c>
      <c r="PM31" s="11">
        <v>347</v>
      </c>
      <c r="PN31" s="11">
        <v>390</v>
      </c>
      <c r="PO31" s="11">
        <v>425</v>
      </c>
      <c r="PP31" s="11">
        <v>386</v>
      </c>
      <c r="PQ31" s="11">
        <v>407</v>
      </c>
      <c r="PR31" s="11">
        <v>415</v>
      </c>
      <c r="PS31" s="11">
        <v>363</v>
      </c>
      <c r="PT31" s="11">
        <v>433</v>
      </c>
      <c r="PU31" s="11">
        <v>413</v>
      </c>
      <c r="PV31" s="11">
        <v>357</v>
      </c>
      <c r="PW31" s="27">
        <f t="shared" si="36"/>
        <v>4771</v>
      </c>
      <c r="PX31" s="11">
        <v>187</v>
      </c>
      <c r="PY31" s="11">
        <v>191</v>
      </c>
      <c r="PZ31" s="11">
        <v>156</v>
      </c>
      <c r="QA31" s="11">
        <v>167</v>
      </c>
      <c r="QB31" s="11">
        <v>165</v>
      </c>
      <c r="QC31" s="11">
        <v>177</v>
      </c>
      <c r="QD31" s="11">
        <v>155</v>
      </c>
      <c r="QE31" s="11">
        <v>159</v>
      </c>
      <c r="QF31" s="11">
        <v>202</v>
      </c>
      <c r="QG31" s="11">
        <v>189</v>
      </c>
      <c r="QH31" s="11">
        <v>185</v>
      </c>
      <c r="QI31" s="11">
        <v>175</v>
      </c>
      <c r="QJ31" s="27">
        <f t="shared" si="37"/>
        <v>2108</v>
      </c>
      <c r="QK31" s="11">
        <v>7120</v>
      </c>
      <c r="QL31" s="11">
        <v>8543</v>
      </c>
      <c r="QM31" s="11">
        <v>6038</v>
      </c>
      <c r="QN31" s="11">
        <v>7768</v>
      </c>
      <c r="QO31" s="11">
        <v>5850</v>
      </c>
      <c r="QP31" s="11">
        <v>6796</v>
      </c>
      <c r="QQ31" s="11">
        <v>8068</v>
      </c>
      <c r="QR31" s="11">
        <v>2986</v>
      </c>
      <c r="QS31" s="11">
        <v>2729</v>
      </c>
      <c r="QT31" s="11">
        <v>6750</v>
      </c>
      <c r="QU31" s="11">
        <v>7052</v>
      </c>
      <c r="QV31" s="11">
        <v>3464</v>
      </c>
      <c r="QW31" s="27">
        <f t="shared" si="38"/>
        <v>73164</v>
      </c>
      <c r="QX31" s="11">
        <v>49676</v>
      </c>
      <c r="QY31" s="11">
        <v>53325</v>
      </c>
      <c r="QZ31" s="11">
        <v>37724</v>
      </c>
      <c r="RA31" s="11">
        <v>47355</v>
      </c>
      <c r="RB31" s="11">
        <v>38931</v>
      </c>
      <c r="RC31" s="11">
        <v>40218</v>
      </c>
      <c r="RD31" s="11">
        <v>47916</v>
      </c>
      <c r="RE31" s="11">
        <v>41735</v>
      </c>
      <c r="RF31" s="11">
        <v>29334</v>
      </c>
      <c r="RG31" s="11">
        <v>12027</v>
      </c>
      <c r="RH31" s="11">
        <v>31989</v>
      </c>
      <c r="RI31" s="11">
        <v>29875</v>
      </c>
      <c r="RJ31" s="27">
        <f t="shared" si="39"/>
        <v>460105</v>
      </c>
      <c r="RK31" s="11">
        <v>0</v>
      </c>
      <c r="RL31" s="11">
        <v>0</v>
      </c>
      <c r="RM31" s="11">
        <v>0</v>
      </c>
      <c r="RN31" s="11">
        <v>0</v>
      </c>
      <c r="RO31" s="11">
        <v>0</v>
      </c>
      <c r="RP31" s="11">
        <v>0</v>
      </c>
      <c r="RQ31" s="11">
        <v>0</v>
      </c>
      <c r="RR31" s="11">
        <v>0</v>
      </c>
      <c r="RS31" s="11">
        <v>0</v>
      </c>
      <c r="RT31" s="11">
        <v>0</v>
      </c>
      <c r="RU31" s="11">
        <v>0</v>
      </c>
      <c r="RV31" s="11">
        <v>0</v>
      </c>
      <c r="RW31" s="27">
        <f t="shared" si="40"/>
        <v>0</v>
      </c>
      <c r="RX31" s="11">
        <v>0</v>
      </c>
      <c r="RY31" s="11">
        <v>0</v>
      </c>
      <c r="RZ31" s="11">
        <v>0</v>
      </c>
      <c r="SA31" s="11">
        <v>0</v>
      </c>
      <c r="SB31" s="11">
        <v>0</v>
      </c>
      <c r="SC31" s="11">
        <v>0</v>
      </c>
      <c r="SD31" s="11">
        <v>0</v>
      </c>
      <c r="SE31" s="11">
        <v>0</v>
      </c>
      <c r="SF31" s="11">
        <v>0</v>
      </c>
      <c r="SG31" s="11">
        <v>0</v>
      </c>
      <c r="SH31" s="11">
        <v>0</v>
      </c>
      <c r="SI31" s="11">
        <v>0</v>
      </c>
      <c r="SJ31" s="27">
        <f t="shared" si="41"/>
        <v>0</v>
      </c>
      <c r="SK31" s="11">
        <v>105</v>
      </c>
      <c r="SL31" s="11">
        <v>105</v>
      </c>
      <c r="SM31" s="11">
        <v>105</v>
      </c>
      <c r="SN31" s="11">
        <v>105</v>
      </c>
      <c r="SO31" s="11">
        <v>105</v>
      </c>
      <c r="SP31" s="11">
        <v>105</v>
      </c>
      <c r="SQ31" s="11">
        <v>105</v>
      </c>
      <c r="SR31" s="11">
        <v>105</v>
      </c>
      <c r="SS31" s="11">
        <v>105</v>
      </c>
      <c r="ST31" s="11">
        <v>105</v>
      </c>
      <c r="SU31" s="11">
        <v>105</v>
      </c>
      <c r="SV31" s="11">
        <v>105</v>
      </c>
      <c r="SW31" s="27">
        <f t="shared" si="42"/>
        <v>1260</v>
      </c>
      <c r="SX31" s="11" t="s">
        <v>2666</v>
      </c>
      <c r="SY31" s="11">
        <v>0</v>
      </c>
      <c r="SZ31" s="11">
        <v>0</v>
      </c>
      <c r="TA31" s="11">
        <v>0</v>
      </c>
      <c r="TB31" s="11">
        <v>0</v>
      </c>
      <c r="TC31" s="11">
        <v>0</v>
      </c>
      <c r="TD31" s="11">
        <v>0</v>
      </c>
      <c r="TE31" s="11">
        <v>0</v>
      </c>
      <c r="TF31" s="11">
        <v>0</v>
      </c>
      <c r="TG31" s="11">
        <v>0</v>
      </c>
      <c r="TH31" s="11">
        <v>0</v>
      </c>
      <c r="TI31" s="11">
        <v>0</v>
      </c>
      <c r="TJ31" s="11">
        <v>0</v>
      </c>
      <c r="TK31" s="27">
        <f t="shared" si="43"/>
        <v>0</v>
      </c>
      <c r="TL31" s="11">
        <v>0</v>
      </c>
      <c r="TM31" s="11">
        <v>0</v>
      </c>
      <c r="TN31" s="11">
        <v>0</v>
      </c>
      <c r="TO31" s="11">
        <v>0</v>
      </c>
      <c r="TP31" s="11">
        <v>0</v>
      </c>
      <c r="TQ31" s="11">
        <v>0</v>
      </c>
      <c r="TR31" s="11">
        <v>0</v>
      </c>
      <c r="TS31" s="11">
        <v>0</v>
      </c>
      <c r="TT31" s="11">
        <v>0</v>
      </c>
      <c r="TU31" s="11">
        <v>0</v>
      </c>
      <c r="TV31" s="11">
        <v>0</v>
      </c>
      <c r="TW31" s="11">
        <v>0</v>
      </c>
      <c r="TX31" s="27">
        <f t="shared" si="44"/>
        <v>0</v>
      </c>
      <c r="TY31" s="11">
        <v>191</v>
      </c>
      <c r="TZ31" s="11">
        <v>0</v>
      </c>
      <c r="UA31" s="11">
        <v>0</v>
      </c>
    </row>
    <row r="32" spans="1:547" ht="16" customHeight="1" x14ac:dyDescent="0.35">
      <c r="A32" s="11" t="s">
        <v>2667</v>
      </c>
      <c r="B32" s="11">
        <v>41429</v>
      </c>
      <c r="C32" s="11">
        <v>8548</v>
      </c>
      <c r="D32" s="11">
        <v>30736</v>
      </c>
      <c r="E32" s="11">
        <v>896</v>
      </c>
      <c r="F32" s="11">
        <v>453</v>
      </c>
      <c r="G32" s="11">
        <v>513</v>
      </c>
      <c r="H32" s="11">
        <v>493</v>
      </c>
      <c r="I32" s="11">
        <v>469</v>
      </c>
      <c r="J32" s="11">
        <v>506</v>
      </c>
      <c r="K32" s="11">
        <v>418</v>
      </c>
      <c r="L32" s="11">
        <v>553</v>
      </c>
      <c r="M32" s="11">
        <v>492</v>
      </c>
      <c r="N32" s="11">
        <v>358</v>
      </c>
      <c r="O32" s="11">
        <v>486</v>
      </c>
      <c r="P32" s="11" t="s">
        <v>2865</v>
      </c>
      <c r="Q32" s="11">
        <v>499</v>
      </c>
      <c r="R32" s="11">
        <v>488</v>
      </c>
      <c r="S32" s="26">
        <f t="shared" si="0"/>
        <v>5728</v>
      </c>
      <c r="T32" s="11">
        <v>0</v>
      </c>
      <c r="U32" s="11">
        <v>0</v>
      </c>
      <c r="V32" s="11">
        <v>0</v>
      </c>
      <c r="W32" s="11">
        <v>0</v>
      </c>
      <c r="X32" s="11">
        <v>0</v>
      </c>
      <c r="Y32" s="11">
        <v>0</v>
      </c>
      <c r="Z32" s="11">
        <v>0</v>
      </c>
      <c r="AA32" s="11">
        <v>0</v>
      </c>
      <c r="AB32" s="11">
        <v>0</v>
      </c>
      <c r="AC32" s="11">
        <v>0</v>
      </c>
      <c r="AD32" s="11">
        <v>0</v>
      </c>
      <c r="AE32" s="11">
        <v>0</v>
      </c>
      <c r="AF32" s="26">
        <f t="shared" si="1"/>
        <v>0</v>
      </c>
      <c r="AG32" s="11">
        <v>0</v>
      </c>
      <c r="AH32" s="11">
        <v>0</v>
      </c>
      <c r="AI32" s="11">
        <v>0</v>
      </c>
      <c r="AJ32" s="11">
        <v>0</v>
      </c>
      <c r="AK32" s="11">
        <v>0</v>
      </c>
      <c r="AL32" s="11">
        <v>0</v>
      </c>
      <c r="AM32" s="11">
        <v>0</v>
      </c>
      <c r="AN32" s="11">
        <v>0</v>
      </c>
      <c r="AO32" s="11">
        <v>0</v>
      </c>
      <c r="AP32" s="11">
        <v>0</v>
      </c>
      <c r="AQ32" s="11">
        <v>0</v>
      </c>
      <c r="AR32" s="11">
        <v>0</v>
      </c>
      <c r="AS32" s="26">
        <f t="shared" si="2"/>
        <v>0</v>
      </c>
      <c r="AT32" s="11">
        <v>0</v>
      </c>
      <c r="AU32" s="11">
        <v>0</v>
      </c>
      <c r="AV32" s="11">
        <v>0</v>
      </c>
      <c r="AW32" s="11">
        <v>0</v>
      </c>
      <c r="AX32" s="11">
        <v>0</v>
      </c>
      <c r="AY32" s="11">
        <v>0</v>
      </c>
      <c r="AZ32" s="11">
        <v>0</v>
      </c>
      <c r="BA32" s="11">
        <v>0</v>
      </c>
      <c r="BB32" s="11">
        <v>0</v>
      </c>
      <c r="BC32" s="11">
        <v>0</v>
      </c>
      <c r="BD32" s="11">
        <v>0</v>
      </c>
      <c r="BE32" s="11">
        <v>0</v>
      </c>
      <c r="BF32" s="26">
        <f t="shared" si="3"/>
        <v>0</v>
      </c>
      <c r="BG32" s="11">
        <v>0</v>
      </c>
      <c r="BH32" s="11">
        <v>0</v>
      </c>
      <c r="BI32" s="11">
        <v>0</v>
      </c>
      <c r="BJ32" s="11">
        <v>0</v>
      </c>
      <c r="BK32" s="11">
        <v>0</v>
      </c>
      <c r="BL32" s="11">
        <v>0</v>
      </c>
      <c r="BM32" s="11">
        <v>0</v>
      </c>
      <c r="BN32" s="11">
        <v>0</v>
      </c>
      <c r="BO32" s="11">
        <v>0</v>
      </c>
      <c r="BP32" s="11">
        <v>0</v>
      </c>
      <c r="BQ32" s="11">
        <v>0</v>
      </c>
      <c r="BR32" s="11">
        <v>0</v>
      </c>
      <c r="BS32" s="26">
        <f t="shared" si="4"/>
        <v>0</v>
      </c>
      <c r="BT32" s="11">
        <v>0</v>
      </c>
      <c r="BU32" s="11">
        <v>0</v>
      </c>
      <c r="BV32" s="11">
        <v>0</v>
      </c>
      <c r="BW32" s="11">
        <v>0</v>
      </c>
      <c r="BX32" s="11">
        <v>0</v>
      </c>
      <c r="BY32" s="11">
        <v>0</v>
      </c>
      <c r="BZ32" s="11">
        <v>0</v>
      </c>
      <c r="CA32" s="11">
        <v>0</v>
      </c>
      <c r="CB32" s="11">
        <v>0</v>
      </c>
      <c r="CC32" s="11">
        <v>0</v>
      </c>
      <c r="CD32" s="11">
        <v>0</v>
      </c>
      <c r="CE32" s="11">
        <v>0</v>
      </c>
      <c r="CF32" s="26">
        <f t="shared" si="5"/>
        <v>0</v>
      </c>
      <c r="CG32" s="11">
        <v>0</v>
      </c>
      <c r="CH32" s="11">
        <v>0</v>
      </c>
      <c r="CI32" s="11">
        <v>0</v>
      </c>
      <c r="CJ32" s="11">
        <v>0</v>
      </c>
      <c r="CK32" s="11">
        <v>0</v>
      </c>
      <c r="CL32" s="11">
        <v>0</v>
      </c>
      <c r="CM32" s="11">
        <v>0</v>
      </c>
      <c r="CN32" s="11">
        <v>0</v>
      </c>
      <c r="CO32" s="11">
        <v>0</v>
      </c>
      <c r="CP32" s="11">
        <v>0</v>
      </c>
      <c r="CQ32" s="11">
        <v>0</v>
      </c>
      <c r="CR32" s="11">
        <v>0</v>
      </c>
      <c r="CS32" s="26">
        <f t="shared" si="6"/>
        <v>0</v>
      </c>
      <c r="CT32" s="11">
        <v>0</v>
      </c>
      <c r="CU32" s="11">
        <v>0</v>
      </c>
      <c r="CV32" s="11">
        <v>0</v>
      </c>
      <c r="CW32" s="11">
        <v>0</v>
      </c>
      <c r="CX32" s="11">
        <v>0</v>
      </c>
      <c r="CY32" s="11">
        <v>0</v>
      </c>
      <c r="CZ32" s="11">
        <v>0</v>
      </c>
      <c r="DA32" s="11">
        <v>0</v>
      </c>
      <c r="DB32" s="11">
        <v>0</v>
      </c>
      <c r="DC32" s="11">
        <v>0</v>
      </c>
      <c r="DD32" s="11">
        <v>0</v>
      </c>
      <c r="DE32" s="11">
        <v>0</v>
      </c>
      <c r="DF32" s="26">
        <f t="shared" si="7"/>
        <v>0</v>
      </c>
      <c r="DG32" s="11">
        <v>0</v>
      </c>
      <c r="DH32" s="11">
        <v>0</v>
      </c>
      <c r="DI32" s="11">
        <v>0</v>
      </c>
      <c r="DJ32" s="11">
        <v>0</v>
      </c>
      <c r="DK32" s="11">
        <v>0</v>
      </c>
      <c r="DL32" s="11">
        <v>0</v>
      </c>
      <c r="DM32" s="11">
        <v>0</v>
      </c>
      <c r="DN32" s="11">
        <v>0</v>
      </c>
      <c r="DO32" s="11">
        <v>0</v>
      </c>
      <c r="DP32" s="11">
        <v>0</v>
      </c>
      <c r="DQ32" s="11">
        <v>0</v>
      </c>
      <c r="DR32" s="11">
        <v>0</v>
      </c>
      <c r="DS32" s="26">
        <f t="shared" si="8"/>
        <v>0</v>
      </c>
      <c r="DT32" s="11">
        <v>0</v>
      </c>
      <c r="DU32" s="11">
        <v>0</v>
      </c>
      <c r="DV32" s="11">
        <v>0</v>
      </c>
      <c r="DW32" s="11">
        <v>0</v>
      </c>
      <c r="DX32" s="11">
        <v>0</v>
      </c>
      <c r="DY32" s="11">
        <v>0</v>
      </c>
      <c r="DZ32" s="11">
        <v>0</v>
      </c>
      <c r="EA32" s="11">
        <v>0</v>
      </c>
      <c r="EB32" s="11">
        <v>0</v>
      </c>
      <c r="EC32" s="11">
        <v>0</v>
      </c>
      <c r="ED32" s="11">
        <v>0</v>
      </c>
      <c r="EE32" s="11">
        <v>0</v>
      </c>
      <c r="EF32" s="26">
        <f t="shared" si="9"/>
        <v>0</v>
      </c>
      <c r="EG32" s="9">
        <f t="shared" si="10"/>
        <v>0</v>
      </c>
      <c r="EH32" s="9">
        <f t="shared" si="11"/>
        <v>0</v>
      </c>
      <c r="EI32" s="11">
        <v>4021</v>
      </c>
      <c r="EJ32" s="11">
        <v>4323</v>
      </c>
      <c r="EK32" s="11">
        <v>4292</v>
      </c>
      <c r="EL32" s="11">
        <v>3780</v>
      </c>
      <c r="EM32" s="11">
        <v>3192</v>
      </c>
      <c r="EN32" s="11">
        <v>3897</v>
      </c>
      <c r="EO32" s="11">
        <v>4710</v>
      </c>
      <c r="EP32" s="11">
        <v>4209</v>
      </c>
      <c r="EQ32" s="11">
        <v>3046</v>
      </c>
      <c r="ER32" s="11">
        <v>4245</v>
      </c>
      <c r="ES32" s="11">
        <v>4061</v>
      </c>
      <c r="ET32" s="11">
        <v>4218</v>
      </c>
      <c r="EU32" s="26">
        <f t="shared" si="12"/>
        <v>47994</v>
      </c>
      <c r="EV32" s="11">
        <v>0</v>
      </c>
      <c r="EW32" s="11">
        <v>0</v>
      </c>
      <c r="EX32" s="11">
        <v>0</v>
      </c>
      <c r="EY32" s="11">
        <v>0</v>
      </c>
      <c r="EZ32" s="11">
        <v>0</v>
      </c>
      <c r="FA32" s="11">
        <v>0</v>
      </c>
      <c r="FB32" s="11">
        <v>0</v>
      </c>
      <c r="FC32" s="11">
        <v>0</v>
      </c>
      <c r="FD32" s="11">
        <v>0</v>
      </c>
      <c r="FE32" s="11">
        <v>0</v>
      </c>
      <c r="FF32" s="11">
        <v>0</v>
      </c>
      <c r="FG32" s="11">
        <v>0</v>
      </c>
      <c r="FH32" s="26">
        <f t="shared" si="13"/>
        <v>0</v>
      </c>
      <c r="FI32" s="11">
        <v>0</v>
      </c>
      <c r="FJ32" s="11">
        <v>0</v>
      </c>
      <c r="FK32" s="11">
        <v>0</v>
      </c>
      <c r="FL32" s="11">
        <v>0</v>
      </c>
      <c r="FM32" s="11">
        <v>0</v>
      </c>
      <c r="FN32" s="11">
        <v>0</v>
      </c>
      <c r="FO32" s="11">
        <v>0</v>
      </c>
      <c r="FP32" s="11">
        <v>0</v>
      </c>
      <c r="FQ32" s="11">
        <v>0</v>
      </c>
      <c r="FR32" s="11">
        <v>0</v>
      </c>
      <c r="FS32" s="11">
        <v>0</v>
      </c>
      <c r="FT32" s="11">
        <v>0</v>
      </c>
      <c r="FU32" s="26">
        <f t="shared" si="14"/>
        <v>0</v>
      </c>
      <c r="FV32" s="11">
        <v>0</v>
      </c>
      <c r="FW32" s="11">
        <v>0</v>
      </c>
      <c r="FX32" s="11">
        <v>0</v>
      </c>
      <c r="FY32" s="11">
        <v>0</v>
      </c>
      <c r="FZ32" s="11">
        <v>0</v>
      </c>
      <c r="GA32" s="11">
        <v>0</v>
      </c>
      <c r="GB32" s="11">
        <v>0</v>
      </c>
      <c r="GC32" s="11">
        <v>0</v>
      </c>
      <c r="GD32" s="11">
        <v>0</v>
      </c>
      <c r="GE32" s="11">
        <v>0</v>
      </c>
      <c r="GF32" s="11">
        <v>0</v>
      </c>
      <c r="GG32" s="11">
        <v>0</v>
      </c>
      <c r="GH32" s="26">
        <f t="shared" si="15"/>
        <v>0</v>
      </c>
      <c r="GI32" s="11">
        <v>0</v>
      </c>
      <c r="GJ32" s="11">
        <v>0</v>
      </c>
      <c r="GK32" s="11">
        <v>0</v>
      </c>
      <c r="GL32" s="11">
        <v>0</v>
      </c>
      <c r="GM32" s="11">
        <v>0</v>
      </c>
      <c r="GN32" s="11">
        <v>0</v>
      </c>
      <c r="GO32" s="11">
        <v>0</v>
      </c>
      <c r="GP32" s="11">
        <v>0</v>
      </c>
      <c r="GQ32" s="11">
        <v>0</v>
      </c>
      <c r="GR32" s="11">
        <v>0</v>
      </c>
      <c r="GS32" s="11">
        <v>0</v>
      </c>
      <c r="GT32" s="11">
        <v>0</v>
      </c>
      <c r="GU32" s="26">
        <f t="shared" si="16"/>
        <v>0</v>
      </c>
      <c r="GV32" s="11">
        <v>0</v>
      </c>
      <c r="GW32" s="11">
        <v>0</v>
      </c>
      <c r="GX32" s="11">
        <v>0</v>
      </c>
      <c r="GY32" s="11">
        <v>0</v>
      </c>
      <c r="GZ32" s="11">
        <v>0</v>
      </c>
      <c r="HA32" s="11">
        <v>0</v>
      </c>
      <c r="HB32" s="11">
        <v>0</v>
      </c>
      <c r="HC32" s="11">
        <v>0</v>
      </c>
      <c r="HD32" s="11">
        <v>0</v>
      </c>
      <c r="HE32" s="11">
        <v>0</v>
      </c>
      <c r="HF32" s="11">
        <v>0</v>
      </c>
      <c r="HG32" s="11">
        <v>0</v>
      </c>
      <c r="HH32" s="26">
        <f t="shared" si="17"/>
        <v>0</v>
      </c>
      <c r="HI32" s="11">
        <v>0</v>
      </c>
      <c r="HJ32" s="11">
        <v>0</v>
      </c>
      <c r="HK32" s="11">
        <v>0</v>
      </c>
      <c r="HL32" s="11">
        <v>0</v>
      </c>
      <c r="HM32" s="11">
        <v>0</v>
      </c>
      <c r="HN32" s="11">
        <v>0</v>
      </c>
      <c r="HO32" s="11">
        <v>0</v>
      </c>
      <c r="HP32" s="11">
        <v>0</v>
      </c>
      <c r="HQ32" s="11">
        <v>0</v>
      </c>
      <c r="HR32" s="11">
        <v>0</v>
      </c>
      <c r="HS32" s="11">
        <v>0</v>
      </c>
      <c r="HT32" s="11">
        <v>0</v>
      </c>
      <c r="HU32" s="26">
        <f t="shared" si="18"/>
        <v>0</v>
      </c>
      <c r="HV32" s="11">
        <v>0</v>
      </c>
      <c r="HW32" s="11">
        <v>0</v>
      </c>
      <c r="HX32" s="11">
        <v>0</v>
      </c>
      <c r="HY32" s="11">
        <v>0</v>
      </c>
      <c r="HZ32" s="11">
        <v>0</v>
      </c>
      <c r="IA32" s="11">
        <v>0</v>
      </c>
      <c r="IB32" s="11">
        <v>0</v>
      </c>
      <c r="IC32" s="11">
        <v>0</v>
      </c>
      <c r="ID32" s="11">
        <v>0</v>
      </c>
      <c r="IE32" s="11">
        <v>0</v>
      </c>
      <c r="IF32" s="11">
        <v>0</v>
      </c>
      <c r="IG32" s="11">
        <v>0</v>
      </c>
      <c r="IH32" s="26">
        <f t="shared" si="19"/>
        <v>0</v>
      </c>
      <c r="II32" s="9">
        <f t="shared" si="20"/>
        <v>0</v>
      </c>
      <c r="IJ32" s="9">
        <f t="shared" si="21"/>
        <v>0</v>
      </c>
      <c r="IK32" s="11">
        <v>56750</v>
      </c>
      <c r="IL32" s="11">
        <v>54967</v>
      </c>
      <c r="IM32" s="11">
        <v>52437</v>
      </c>
      <c r="IN32" s="11">
        <v>61006</v>
      </c>
      <c r="IO32" s="11">
        <v>62145</v>
      </c>
      <c r="IP32" s="11">
        <v>54317</v>
      </c>
      <c r="IQ32" s="11">
        <v>58513</v>
      </c>
      <c r="IR32" s="11">
        <v>50430</v>
      </c>
      <c r="IS32" s="11">
        <v>35992</v>
      </c>
      <c r="IT32" s="11">
        <v>56059</v>
      </c>
      <c r="IU32" s="11">
        <v>51952</v>
      </c>
      <c r="IV32" s="11">
        <v>53921</v>
      </c>
      <c r="IW32" s="27">
        <f t="shared" si="22"/>
        <v>648489</v>
      </c>
      <c r="IX32" s="11">
        <v>35245</v>
      </c>
      <c r="IY32" s="11">
        <v>34252</v>
      </c>
      <c r="IZ32" s="11">
        <v>33012</v>
      </c>
      <c r="JA32" s="11">
        <v>36796</v>
      </c>
      <c r="JB32" s="11">
        <v>36991</v>
      </c>
      <c r="JC32" s="11">
        <v>32837</v>
      </c>
      <c r="JD32" s="11">
        <v>35354</v>
      </c>
      <c r="JE32" s="11">
        <v>31700</v>
      </c>
      <c r="JF32" s="11">
        <v>23959</v>
      </c>
      <c r="JG32" s="11">
        <v>34979</v>
      </c>
      <c r="JH32" s="11">
        <v>31058</v>
      </c>
      <c r="JI32" s="11">
        <v>33422</v>
      </c>
      <c r="JJ32" s="27">
        <f t="shared" si="23"/>
        <v>399605</v>
      </c>
      <c r="JK32" s="11">
        <v>15998</v>
      </c>
      <c r="JL32" s="11">
        <v>15056</v>
      </c>
      <c r="JM32" s="11">
        <v>14311</v>
      </c>
      <c r="JN32" s="11">
        <v>18595</v>
      </c>
      <c r="JO32" s="11">
        <v>19152</v>
      </c>
      <c r="JP32" s="11">
        <v>15773</v>
      </c>
      <c r="JQ32" s="11">
        <v>17089</v>
      </c>
      <c r="JR32" s="11">
        <v>14057</v>
      </c>
      <c r="JS32" s="11">
        <v>8683</v>
      </c>
      <c r="JT32" s="11">
        <v>15487</v>
      </c>
      <c r="JU32" s="11">
        <v>15611</v>
      </c>
      <c r="JV32" s="11">
        <v>15419</v>
      </c>
      <c r="JW32" s="27">
        <f t="shared" si="24"/>
        <v>185231</v>
      </c>
      <c r="JX32" s="11">
        <v>552</v>
      </c>
      <c r="JY32" s="11">
        <v>590</v>
      </c>
      <c r="JZ32" s="11">
        <v>627</v>
      </c>
      <c r="KA32" s="11">
        <v>746</v>
      </c>
      <c r="KB32" s="11">
        <v>788</v>
      </c>
      <c r="KC32" s="11">
        <v>580</v>
      </c>
      <c r="KD32" s="11">
        <v>679</v>
      </c>
      <c r="KE32" s="11">
        <v>533</v>
      </c>
      <c r="KF32" s="11">
        <v>388</v>
      </c>
      <c r="KG32" s="11">
        <v>591</v>
      </c>
      <c r="KH32" s="11">
        <v>559</v>
      </c>
      <c r="KI32" s="11">
        <v>532</v>
      </c>
      <c r="KJ32" s="27">
        <f t="shared" si="25"/>
        <v>7165</v>
      </c>
      <c r="KK32" s="11">
        <v>1526</v>
      </c>
      <c r="KL32" s="11">
        <v>1372</v>
      </c>
      <c r="KM32" s="11">
        <v>1352</v>
      </c>
      <c r="KN32" s="11">
        <v>1467</v>
      </c>
      <c r="KO32" s="11">
        <v>1495</v>
      </c>
      <c r="KP32" s="11">
        <v>1386</v>
      </c>
      <c r="KQ32" s="11">
        <v>1426</v>
      </c>
      <c r="KR32" s="11">
        <v>1322</v>
      </c>
      <c r="KS32" s="11">
        <v>1034</v>
      </c>
      <c r="KT32" s="11">
        <v>1404</v>
      </c>
      <c r="KU32" s="11">
        <v>1252</v>
      </c>
      <c r="KV32" s="11">
        <v>1312</v>
      </c>
      <c r="KW32" s="27">
        <f t="shared" si="26"/>
        <v>16348</v>
      </c>
      <c r="KX32" s="11">
        <v>1433</v>
      </c>
      <c r="KY32" s="11">
        <v>1299</v>
      </c>
      <c r="KZ32" s="11">
        <v>1257</v>
      </c>
      <c r="LA32" s="11">
        <v>1380</v>
      </c>
      <c r="LB32" s="11">
        <v>1417</v>
      </c>
      <c r="LC32" s="11">
        <v>1324</v>
      </c>
      <c r="LD32" s="11">
        <v>1352</v>
      </c>
      <c r="LE32" s="11">
        <v>1263</v>
      </c>
      <c r="LF32" s="11">
        <v>998</v>
      </c>
      <c r="LG32" s="11">
        <v>1339</v>
      </c>
      <c r="LH32" s="11">
        <v>1183</v>
      </c>
      <c r="LI32" s="11">
        <v>1235</v>
      </c>
      <c r="LJ32" s="27">
        <f t="shared" si="27"/>
        <v>15480</v>
      </c>
      <c r="LK32" s="11">
        <v>93</v>
      </c>
      <c r="LL32" s="11">
        <v>73</v>
      </c>
      <c r="LM32" s="11">
        <v>95</v>
      </c>
      <c r="LN32" s="11">
        <v>87</v>
      </c>
      <c r="LO32" s="11">
        <v>78</v>
      </c>
      <c r="LP32" s="11">
        <v>62</v>
      </c>
      <c r="LQ32" s="11">
        <v>74</v>
      </c>
      <c r="LR32" s="11">
        <v>59</v>
      </c>
      <c r="LS32" s="11">
        <v>36</v>
      </c>
      <c r="LT32" s="11">
        <v>65</v>
      </c>
      <c r="LU32" s="11">
        <v>69</v>
      </c>
      <c r="LV32" s="11">
        <v>77</v>
      </c>
      <c r="LW32" s="27">
        <f t="shared" si="28"/>
        <v>868</v>
      </c>
      <c r="LX32" s="11">
        <v>0</v>
      </c>
      <c r="LY32" s="11">
        <v>0</v>
      </c>
      <c r="LZ32" s="11">
        <v>0</v>
      </c>
      <c r="MA32" s="11">
        <v>0</v>
      </c>
      <c r="MB32" s="11">
        <v>0</v>
      </c>
      <c r="MC32" s="11">
        <v>0</v>
      </c>
      <c r="MD32" s="11">
        <v>0</v>
      </c>
      <c r="ME32" s="11">
        <v>0</v>
      </c>
      <c r="MF32" s="11">
        <v>0</v>
      </c>
      <c r="MG32" s="11">
        <v>0</v>
      </c>
      <c r="MH32" s="11">
        <v>0</v>
      </c>
      <c r="MI32" s="11">
        <v>0</v>
      </c>
      <c r="MJ32" s="27">
        <f t="shared" si="29"/>
        <v>0</v>
      </c>
      <c r="MK32" s="11">
        <v>5418</v>
      </c>
      <c r="ML32" s="11">
        <v>5579</v>
      </c>
      <c r="MM32" s="11">
        <v>5340</v>
      </c>
      <c r="MN32" s="11">
        <v>5471</v>
      </c>
      <c r="MO32" s="11">
        <v>5635</v>
      </c>
      <c r="MP32" s="11">
        <v>5707</v>
      </c>
      <c r="MQ32" s="11">
        <v>6292</v>
      </c>
      <c r="MR32" s="11">
        <v>5479</v>
      </c>
      <c r="MS32" s="11">
        <v>5003</v>
      </c>
      <c r="MT32" s="11">
        <v>5172</v>
      </c>
      <c r="MU32" s="11">
        <v>4801</v>
      </c>
      <c r="MV32" s="11">
        <v>4955</v>
      </c>
      <c r="MW32" s="27">
        <f t="shared" si="30"/>
        <v>64852</v>
      </c>
      <c r="MX32" s="11">
        <v>5066</v>
      </c>
      <c r="MY32" s="11">
        <v>5247</v>
      </c>
      <c r="MZ32" s="11">
        <v>5023</v>
      </c>
      <c r="NA32" s="11">
        <v>5095</v>
      </c>
      <c r="NB32" s="11">
        <v>5240</v>
      </c>
      <c r="NC32" s="11">
        <v>5322</v>
      </c>
      <c r="ND32" s="11">
        <v>5835</v>
      </c>
      <c r="NE32" s="11">
        <v>5103</v>
      </c>
      <c r="NF32" s="11">
        <v>4666</v>
      </c>
      <c r="NG32" s="11">
        <v>4785</v>
      </c>
      <c r="NH32" s="11">
        <v>4415</v>
      </c>
      <c r="NI32" s="11">
        <v>4600</v>
      </c>
      <c r="NJ32" s="27">
        <f t="shared" si="31"/>
        <v>60397</v>
      </c>
      <c r="NK32" s="11">
        <v>136</v>
      </c>
      <c r="NL32" s="11">
        <v>131</v>
      </c>
      <c r="NM32" s="11">
        <v>134</v>
      </c>
      <c r="NN32" s="11">
        <v>179</v>
      </c>
      <c r="NO32" s="11">
        <v>181</v>
      </c>
      <c r="NP32" s="11">
        <v>194</v>
      </c>
      <c r="NQ32" s="11">
        <v>238</v>
      </c>
      <c r="NR32" s="11">
        <v>204</v>
      </c>
      <c r="NS32" s="11">
        <v>167</v>
      </c>
      <c r="NT32" s="11">
        <v>193</v>
      </c>
      <c r="NU32" s="11">
        <v>169</v>
      </c>
      <c r="NV32" s="11">
        <v>175</v>
      </c>
      <c r="NW32" s="27">
        <f t="shared" si="32"/>
        <v>2101</v>
      </c>
      <c r="NX32" s="11">
        <v>216</v>
      </c>
      <c r="NY32" s="11">
        <v>201</v>
      </c>
      <c r="NZ32" s="11">
        <v>183</v>
      </c>
      <c r="OA32" s="11">
        <v>197</v>
      </c>
      <c r="OB32" s="11">
        <v>214</v>
      </c>
      <c r="OC32" s="11">
        <v>191</v>
      </c>
      <c r="OD32" s="11">
        <v>219</v>
      </c>
      <c r="OE32" s="11">
        <v>172</v>
      </c>
      <c r="OF32" s="11">
        <v>170</v>
      </c>
      <c r="OG32" s="11">
        <v>194</v>
      </c>
      <c r="OH32" s="11">
        <v>217</v>
      </c>
      <c r="OI32" s="11">
        <v>180</v>
      </c>
      <c r="OJ32" s="27">
        <f t="shared" si="33"/>
        <v>2354</v>
      </c>
      <c r="OK32" s="11">
        <v>7548</v>
      </c>
      <c r="OL32" s="11">
        <v>8088</v>
      </c>
      <c r="OM32" s="11">
        <v>7595</v>
      </c>
      <c r="ON32" s="11">
        <v>7887</v>
      </c>
      <c r="OO32" s="11">
        <v>7794</v>
      </c>
      <c r="OP32" s="11">
        <v>8439</v>
      </c>
      <c r="OQ32" s="11">
        <v>9034</v>
      </c>
      <c r="OR32" s="11">
        <v>8435</v>
      </c>
      <c r="OS32" s="11">
        <v>8079</v>
      </c>
      <c r="OT32" s="11">
        <v>8551</v>
      </c>
      <c r="OU32" s="11">
        <v>8128</v>
      </c>
      <c r="OV32" s="11">
        <v>8953</v>
      </c>
      <c r="OW32" s="27">
        <f t="shared" si="34"/>
        <v>98531</v>
      </c>
      <c r="OX32" s="11">
        <v>6650</v>
      </c>
      <c r="OY32" s="11">
        <v>7130</v>
      </c>
      <c r="OZ32" s="11">
        <v>6712</v>
      </c>
      <c r="PA32" s="11">
        <v>6929</v>
      </c>
      <c r="PB32" s="11">
        <v>6875</v>
      </c>
      <c r="PC32" s="11">
        <v>7593</v>
      </c>
      <c r="PD32" s="11">
        <v>8009</v>
      </c>
      <c r="PE32" s="11">
        <v>7504</v>
      </c>
      <c r="PF32" s="11">
        <v>7176</v>
      </c>
      <c r="PG32" s="11">
        <v>7603</v>
      </c>
      <c r="PH32" s="11">
        <v>7186</v>
      </c>
      <c r="PI32" s="11">
        <v>7989</v>
      </c>
      <c r="PJ32" s="27">
        <f t="shared" si="35"/>
        <v>87356</v>
      </c>
      <c r="PK32" s="11">
        <v>547</v>
      </c>
      <c r="PL32" s="11">
        <v>585</v>
      </c>
      <c r="PM32" s="11">
        <v>507</v>
      </c>
      <c r="PN32" s="11">
        <v>562</v>
      </c>
      <c r="PO32" s="11">
        <v>579</v>
      </c>
      <c r="PP32" s="11">
        <v>505</v>
      </c>
      <c r="PQ32" s="11">
        <v>611</v>
      </c>
      <c r="PR32" s="11">
        <v>555</v>
      </c>
      <c r="PS32" s="11">
        <v>560</v>
      </c>
      <c r="PT32" s="11">
        <v>574</v>
      </c>
      <c r="PU32" s="11">
        <v>586</v>
      </c>
      <c r="PV32" s="11">
        <v>551</v>
      </c>
      <c r="PW32" s="27">
        <f t="shared" si="36"/>
        <v>6722</v>
      </c>
      <c r="PX32" s="11">
        <v>351</v>
      </c>
      <c r="PY32" s="11">
        <v>373</v>
      </c>
      <c r="PZ32" s="11">
        <v>376</v>
      </c>
      <c r="QA32" s="11">
        <v>396</v>
      </c>
      <c r="QB32" s="11">
        <v>340</v>
      </c>
      <c r="QC32" s="11">
        <v>341</v>
      </c>
      <c r="QD32" s="11">
        <v>414</v>
      </c>
      <c r="QE32" s="11">
        <v>376</v>
      </c>
      <c r="QF32" s="11">
        <v>343</v>
      </c>
      <c r="QG32" s="11">
        <v>374</v>
      </c>
      <c r="QH32" s="11">
        <v>356</v>
      </c>
      <c r="QI32" s="11">
        <v>413</v>
      </c>
      <c r="QJ32" s="27">
        <f t="shared" si="37"/>
        <v>4453</v>
      </c>
      <c r="QK32" s="11">
        <v>0</v>
      </c>
      <c r="QL32" s="11">
        <v>0</v>
      </c>
      <c r="QM32" s="11">
        <v>0</v>
      </c>
      <c r="QN32" s="11">
        <v>0</v>
      </c>
      <c r="QO32" s="11">
        <v>0</v>
      </c>
      <c r="QP32" s="11">
        <v>0</v>
      </c>
      <c r="QQ32" s="11">
        <v>0</v>
      </c>
      <c r="QR32" s="11">
        <v>0</v>
      </c>
      <c r="QS32" s="11">
        <v>0</v>
      </c>
      <c r="QT32" s="11">
        <v>0</v>
      </c>
      <c r="QU32" s="11">
        <v>0</v>
      </c>
      <c r="QV32" s="11">
        <v>0</v>
      </c>
      <c r="QW32" s="27">
        <f t="shared" si="38"/>
        <v>0</v>
      </c>
      <c r="QX32" s="11">
        <v>0</v>
      </c>
      <c r="QY32" s="11">
        <v>0</v>
      </c>
      <c r="QZ32" s="11">
        <v>0</v>
      </c>
      <c r="RA32" s="11">
        <v>0</v>
      </c>
      <c r="RB32" s="11">
        <v>0</v>
      </c>
      <c r="RC32" s="11">
        <v>0</v>
      </c>
      <c r="RD32" s="11">
        <v>0</v>
      </c>
      <c r="RE32" s="11">
        <v>0</v>
      </c>
      <c r="RF32" s="11">
        <v>0</v>
      </c>
      <c r="RG32" s="11">
        <v>0</v>
      </c>
      <c r="RH32" s="11">
        <v>0</v>
      </c>
      <c r="RI32" s="11">
        <v>0</v>
      </c>
      <c r="RJ32" s="27">
        <f t="shared" si="39"/>
        <v>0</v>
      </c>
      <c r="RK32" s="11">
        <v>0</v>
      </c>
      <c r="RL32" s="11">
        <v>0</v>
      </c>
      <c r="RM32" s="11">
        <v>0</v>
      </c>
      <c r="RN32" s="11">
        <v>0</v>
      </c>
      <c r="RO32" s="11">
        <v>0</v>
      </c>
      <c r="RP32" s="11">
        <v>0</v>
      </c>
      <c r="RQ32" s="11">
        <v>0</v>
      </c>
      <c r="RR32" s="11">
        <v>0</v>
      </c>
      <c r="RS32" s="11">
        <v>0</v>
      </c>
      <c r="RT32" s="11">
        <v>0</v>
      </c>
      <c r="RU32" s="11">
        <v>0</v>
      </c>
      <c r="RV32" s="11">
        <v>0</v>
      </c>
      <c r="RW32" s="27">
        <f t="shared" si="40"/>
        <v>0</v>
      </c>
      <c r="RX32" s="11">
        <v>0</v>
      </c>
      <c r="RY32" s="11">
        <v>0</v>
      </c>
      <c r="RZ32" s="11">
        <v>0</v>
      </c>
      <c r="SA32" s="11">
        <v>0</v>
      </c>
      <c r="SB32" s="11">
        <v>0</v>
      </c>
      <c r="SC32" s="11">
        <v>0</v>
      </c>
      <c r="SD32" s="11">
        <v>0</v>
      </c>
      <c r="SE32" s="11">
        <v>0</v>
      </c>
      <c r="SF32" s="11">
        <v>0</v>
      </c>
      <c r="SG32" s="11">
        <v>0</v>
      </c>
      <c r="SH32" s="11">
        <v>0</v>
      </c>
      <c r="SI32" s="11">
        <v>0</v>
      </c>
      <c r="SJ32" s="27">
        <f t="shared" si="41"/>
        <v>0</v>
      </c>
      <c r="SK32" s="11">
        <v>0</v>
      </c>
      <c r="SL32" s="11">
        <v>0</v>
      </c>
      <c r="SM32" s="11">
        <v>0</v>
      </c>
      <c r="SN32" s="11">
        <v>0</v>
      </c>
      <c r="SO32" s="11">
        <v>0</v>
      </c>
      <c r="SP32" s="11">
        <v>0</v>
      </c>
      <c r="SQ32" s="11">
        <v>0</v>
      </c>
      <c r="SR32" s="11">
        <v>0</v>
      </c>
      <c r="SS32" s="11">
        <v>0</v>
      </c>
      <c r="ST32" s="11">
        <v>0</v>
      </c>
      <c r="SU32" s="11">
        <v>0</v>
      </c>
      <c r="SV32" s="11">
        <v>0</v>
      </c>
      <c r="SW32" s="27">
        <f t="shared" si="42"/>
        <v>0</v>
      </c>
      <c r="SX32" s="11" t="s">
        <v>2668</v>
      </c>
      <c r="SY32" s="11">
        <v>3155</v>
      </c>
      <c r="SZ32" s="11">
        <v>2797</v>
      </c>
      <c r="TA32" s="11">
        <v>2807</v>
      </c>
      <c r="TB32" s="11">
        <v>3161</v>
      </c>
      <c r="TC32" s="11">
        <v>2997</v>
      </c>
      <c r="TD32" s="11">
        <v>3074</v>
      </c>
      <c r="TE32" s="11">
        <v>3256</v>
      </c>
      <c r="TF32" s="11">
        <v>2854</v>
      </c>
      <c r="TG32" s="11">
        <v>2070</v>
      </c>
      <c r="TH32" s="11">
        <v>3528</v>
      </c>
      <c r="TI32" s="11">
        <v>3179</v>
      </c>
      <c r="TJ32" s="11">
        <v>3321</v>
      </c>
      <c r="TK32" s="27">
        <f t="shared" si="43"/>
        <v>36199</v>
      </c>
      <c r="TL32" s="11">
        <v>13110</v>
      </c>
      <c r="TM32" s="11">
        <v>13516</v>
      </c>
      <c r="TN32" s="11">
        <v>14790</v>
      </c>
      <c r="TO32" s="11">
        <v>15996</v>
      </c>
      <c r="TP32" s="11">
        <v>16244</v>
      </c>
      <c r="TQ32" s="11">
        <v>18330</v>
      </c>
      <c r="TR32" s="11">
        <v>18631</v>
      </c>
      <c r="TS32" s="11">
        <v>18060</v>
      </c>
      <c r="TT32" s="11">
        <v>15221</v>
      </c>
      <c r="TU32" s="11">
        <v>19468</v>
      </c>
      <c r="TV32" s="11">
        <v>19404</v>
      </c>
      <c r="TW32" s="11">
        <v>23901</v>
      </c>
      <c r="TX32" s="27">
        <f t="shared" si="44"/>
        <v>206671</v>
      </c>
      <c r="TY32" s="11">
        <v>133</v>
      </c>
      <c r="TZ32" s="11"/>
      <c r="UA32" s="11"/>
    </row>
    <row r="33" spans="1:547" ht="16" customHeight="1" x14ac:dyDescent="0.35">
      <c r="A33" s="11" t="s">
        <v>1475</v>
      </c>
      <c r="B33" s="11">
        <v>48670</v>
      </c>
      <c r="C33" s="11"/>
      <c r="D33" s="11"/>
      <c r="E33" s="11"/>
      <c r="F33" s="11">
        <v>513</v>
      </c>
      <c r="G33" s="11">
        <v>514</v>
      </c>
      <c r="H33" s="11">
        <v>485</v>
      </c>
      <c r="I33" s="11">
        <v>562</v>
      </c>
      <c r="J33" s="11">
        <v>550</v>
      </c>
      <c r="K33" s="11">
        <v>489</v>
      </c>
      <c r="L33" s="11">
        <v>577</v>
      </c>
      <c r="M33" s="11">
        <v>561</v>
      </c>
      <c r="N33" s="11">
        <v>462</v>
      </c>
      <c r="O33" s="11">
        <v>512</v>
      </c>
      <c r="P33" s="11" t="s">
        <v>2862</v>
      </c>
      <c r="Q33" s="11">
        <v>581</v>
      </c>
      <c r="R33" s="11">
        <v>567</v>
      </c>
      <c r="S33" s="26">
        <f t="shared" si="0"/>
        <v>6373</v>
      </c>
      <c r="T33" s="11">
        <v>330</v>
      </c>
      <c r="U33" s="11">
        <v>314</v>
      </c>
      <c r="V33" s="11">
        <v>317</v>
      </c>
      <c r="W33" s="11">
        <v>375</v>
      </c>
      <c r="X33" s="11">
        <v>341</v>
      </c>
      <c r="Y33" s="11">
        <v>350</v>
      </c>
      <c r="Z33" s="11">
        <v>376</v>
      </c>
      <c r="AA33" s="11">
        <v>359</v>
      </c>
      <c r="AB33" s="11">
        <v>268</v>
      </c>
      <c r="AC33" s="11">
        <v>349</v>
      </c>
      <c r="AD33" s="11">
        <v>372</v>
      </c>
      <c r="AE33" s="11">
        <v>330</v>
      </c>
      <c r="AF33" s="26">
        <f t="shared" si="1"/>
        <v>4081</v>
      </c>
      <c r="AG33" s="11">
        <v>164</v>
      </c>
      <c r="AH33" s="11">
        <v>170</v>
      </c>
      <c r="AI33" s="11">
        <v>131</v>
      </c>
      <c r="AJ33" s="11">
        <v>154</v>
      </c>
      <c r="AK33" s="11">
        <v>173</v>
      </c>
      <c r="AL33" s="11">
        <v>113</v>
      </c>
      <c r="AM33" s="11">
        <v>165</v>
      </c>
      <c r="AN33" s="11">
        <v>159</v>
      </c>
      <c r="AO33" s="11">
        <v>156</v>
      </c>
      <c r="AP33" s="11">
        <v>125</v>
      </c>
      <c r="AQ33" s="11">
        <v>171</v>
      </c>
      <c r="AR33" s="11">
        <v>190</v>
      </c>
      <c r="AS33" s="26">
        <f t="shared" si="2"/>
        <v>1871</v>
      </c>
      <c r="AT33" s="11">
        <v>1</v>
      </c>
      <c r="AU33" s="11">
        <v>1</v>
      </c>
      <c r="AV33" s="11">
        <v>1</v>
      </c>
      <c r="AW33" s="11">
        <v>1</v>
      </c>
      <c r="AX33" s="11">
        <v>1</v>
      </c>
      <c r="AY33" s="11">
        <v>1</v>
      </c>
      <c r="AZ33" s="11">
        <v>1</v>
      </c>
      <c r="BA33" s="11">
        <v>1</v>
      </c>
      <c r="BB33" s="11">
        <v>1</v>
      </c>
      <c r="BC33" s="11">
        <v>0</v>
      </c>
      <c r="BD33" s="11">
        <v>3</v>
      </c>
      <c r="BE33" s="11">
        <v>1</v>
      </c>
      <c r="BF33" s="26">
        <f t="shared" si="3"/>
        <v>13</v>
      </c>
      <c r="BG33" s="11">
        <v>18</v>
      </c>
      <c r="BH33" s="11">
        <v>29</v>
      </c>
      <c r="BI33" s="11">
        <v>36</v>
      </c>
      <c r="BJ33" s="11">
        <v>32</v>
      </c>
      <c r="BK33" s="11">
        <v>35</v>
      </c>
      <c r="BL33" s="11">
        <v>25</v>
      </c>
      <c r="BM33" s="11">
        <v>35</v>
      </c>
      <c r="BN33" s="11">
        <v>42</v>
      </c>
      <c r="BO33" s="11">
        <v>37</v>
      </c>
      <c r="BP33" s="11">
        <v>38</v>
      </c>
      <c r="BQ33" s="11">
        <v>35</v>
      </c>
      <c r="BR33" s="11">
        <v>46</v>
      </c>
      <c r="BS33" s="26">
        <f t="shared" si="4"/>
        <v>408</v>
      </c>
      <c r="BT33" s="11">
        <v>1</v>
      </c>
      <c r="BU33" s="11">
        <v>2</v>
      </c>
      <c r="BV33" s="11">
        <v>0</v>
      </c>
      <c r="BW33" s="11">
        <v>2</v>
      </c>
      <c r="BX33" s="11">
        <v>0</v>
      </c>
      <c r="BY33" s="11">
        <v>2</v>
      </c>
      <c r="BZ33" s="11">
        <v>0</v>
      </c>
      <c r="CA33" s="11">
        <v>0</v>
      </c>
      <c r="CB33" s="11">
        <v>2</v>
      </c>
      <c r="CC33" s="11">
        <v>1</v>
      </c>
      <c r="CD33" s="11">
        <v>3</v>
      </c>
      <c r="CE33" s="11">
        <v>0</v>
      </c>
      <c r="CF33" s="26">
        <f t="shared" si="5"/>
        <v>13</v>
      </c>
      <c r="CG33" s="11">
        <v>1</v>
      </c>
      <c r="CH33" s="11">
        <v>2</v>
      </c>
      <c r="CI33" s="11">
        <v>0</v>
      </c>
      <c r="CJ33" s="11">
        <v>2</v>
      </c>
      <c r="CK33" s="11">
        <v>0</v>
      </c>
      <c r="CL33" s="11">
        <v>2</v>
      </c>
      <c r="CM33" s="11">
        <v>0</v>
      </c>
      <c r="CN33" s="11">
        <v>0</v>
      </c>
      <c r="CO33" s="11">
        <v>2</v>
      </c>
      <c r="CP33" s="11">
        <v>1</v>
      </c>
      <c r="CQ33" s="11">
        <v>3</v>
      </c>
      <c r="CR33" s="11">
        <v>0</v>
      </c>
      <c r="CS33" s="26">
        <f t="shared" si="6"/>
        <v>13</v>
      </c>
      <c r="CT33" s="11">
        <v>0</v>
      </c>
      <c r="CU33" s="11">
        <v>0</v>
      </c>
      <c r="CV33" s="11">
        <v>0</v>
      </c>
      <c r="CW33" s="11">
        <v>0</v>
      </c>
      <c r="CX33" s="11">
        <v>0</v>
      </c>
      <c r="CY33" s="11">
        <v>0</v>
      </c>
      <c r="CZ33" s="11">
        <v>0</v>
      </c>
      <c r="DA33" s="11">
        <v>0</v>
      </c>
      <c r="DB33" s="11">
        <v>0</v>
      </c>
      <c r="DC33" s="11">
        <v>0</v>
      </c>
      <c r="DD33" s="11">
        <v>0</v>
      </c>
      <c r="DE33" s="11">
        <v>0</v>
      </c>
      <c r="DF33" s="26">
        <f t="shared" si="7"/>
        <v>0</v>
      </c>
      <c r="DG33" s="11">
        <v>0</v>
      </c>
      <c r="DH33" s="11">
        <v>0</v>
      </c>
      <c r="DI33" s="11">
        <v>0</v>
      </c>
      <c r="DJ33" s="11">
        <v>0</v>
      </c>
      <c r="DK33" s="11">
        <v>0</v>
      </c>
      <c r="DL33" s="11">
        <v>0</v>
      </c>
      <c r="DM33" s="11">
        <v>0</v>
      </c>
      <c r="DN33" s="11">
        <v>0</v>
      </c>
      <c r="DO33" s="11">
        <v>0</v>
      </c>
      <c r="DP33" s="11">
        <v>0</v>
      </c>
      <c r="DQ33" s="11">
        <v>0</v>
      </c>
      <c r="DR33" s="11">
        <v>0</v>
      </c>
      <c r="DS33" s="26">
        <f t="shared" si="8"/>
        <v>0</v>
      </c>
      <c r="DT33" s="11">
        <v>0</v>
      </c>
      <c r="DU33" s="11">
        <v>0</v>
      </c>
      <c r="DV33" s="11">
        <v>0</v>
      </c>
      <c r="DW33" s="11">
        <v>0</v>
      </c>
      <c r="DX33" s="11">
        <v>0</v>
      </c>
      <c r="DY33" s="11">
        <v>0</v>
      </c>
      <c r="DZ33" s="11">
        <v>0</v>
      </c>
      <c r="EA33" s="11">
        <v>0</v>
      </c>
      <c r="EB33" s="11">
        <v>0</v>
      </c>
      <c r="EC33" s="11">
        <v>0</v>
      </c>
      <c r="ED33" s="11">
        <v>0</v>
      </c>
      <c r="EE33" s="11">
        <v>0</v>
      </c>
      <c r="EF33" s="26">
        <f t="shared" si="9"/>
        <v>0</v>
      </c>
      <c r="EG33" s="9">
        <f t="shared" si="10"/>
        <v>6373</v>
      </c>
      <c r="EH33" s="9">
        <f t="shared" si="11"/>
        <v>13</v>
      </c>
      <c r="EI33" s="11">
        <v>4465</v>
      </c>
      <c r="EJ33" s="11">
        <v>4653</v>
      </c>
      <c r="EK33" s="11">
        <v>3907</v>
      </c>
      <c r="EL33" s="11">
        <v>5142</v>
      </c>
      <c r="EM33" s="11">
        <v>4251</v>
      </c>
      <c r="EN33" s="11">
        <v>3956</v>
      </c>
      <c r="EO33" s="11">
        <v>6115</v>
      </c>
      <c r="EP33" s="11">
        <v>5405</v>
      </c>
      <c r="EQ33" s="11">
        <v>3640</v>
      </c>
      <c r="ER33" s="11">
        <v>4403</v>
      </c>
      <c r="ES33" s="11">
        <v>5475</v>
      </c>
      <c r="ET33" s="11">
        <v>5961</v>
      </c>
      <c r="EU33" s="26">
        <f t="shared" si="12"/>
        <v>57373</v>
      </c>
      <c r="EV33" s="11">
        <v>0</v>
      </c>
      <c r="EW33" s="11">
        <v>0</v>
      </c>
      <c r="EX33" s="11">
        <v>0</v>
      </c>
      <c r="EY33" s="11">
        <v>0</v>
      </c>
      <c r="EZ33" s="11">
        <v>0</v>
      </c>
      <c r="FA33" s="11">
        <v>0</v>
      </c>
      <c r="FB33" s="11">
        <v>0</v>
      </c>
      <c r="FC33" s="11">
        <v>0</v>
      </c>
      <c r="FD33" s="11">
        <v>0</v>
      </c>
      <c r="FE33" s="11">
        <v>0</v>
      </c>
      <c r="FF33" s="11">
        <v>0</v>
      </c>
      <c r="FG33" s="11">
        <v>0</v>
      </c>
      <c r="FH33" s="26">
        <f t="shared" si="13"/>
        <v>0</v>
      </c>
      <c r="FI33" s="11">
        <v>0</v>
      </c>
      <c r="FJ33" s="11">
        <v>0</v>
      </c>
      <c r="FK33" s="11">
        <v>0</v>
      </c>
      <c r="FL33" s="11">
        <v>0</v>
      </c>
      <c r="FM33" s="11">
        <v>0</v>
      </c>
      <c r="FN33" s="11">
        <v>0</v>
      </c>
      <c r="FO33" s="11">
        <v>0</v>
      </c>
      <c r="FP33" s="11">
        <v>0</v>
      </c>
      <c r="FQ33" s="11">
        <v>0</v>
      </c>
      <c r="FR33" s="11">
        <v>0</v>
      </c>
      <c r="FS33" s="11">
        <v>0</v>
      </c>
      <c r="FT33" s="11">
        <v>0</v>
      </c>
      <c r="FU33" s="26">
        <f t="shared" si="14"/>
        <v>0</v>
      </c>
      <c r="FV33" s="11">
        <v>0</v>
      </c>
      <c r="FW33" s="11">
        <v>0</v>
      </c>
      <c r="FX33" s="11">
        <v>0</v>
      </c>
      <c r="FY33" s="11">
        <v>0</v>
      </c>
      <c r="FZ33" s="11">
        <v>0</v>
      </c>
      <c r="GA33" s="11">
        <v>0</v>
      </c>
      <c r="GB33" s="11">
        <v>0</v>
      </c>
      <c r="GC33" s="11">
        <v>0</v>
      </c>
      <c r="GD33" s="11">
        <v>0</v>
      </c>
      <c r="GE33" s="11">
        <v>0</v>
      </c>
      <c r="GF33" s="11">
        <v>0</v>
      </c>
      <c r="GG33" s="11">
        <v>0</v>
      </c>
      <c r="GH33" s="26">
        <f t="shared" si="15"/>
        <v>0</v>
      </c>
      <c r="GI33" s="11">
        <v>16</v>
      </c>
      <c r="GJ33" s="11">
        <v>25</v>
      </c>
      <c r="GK33" s="11">
        <v>0</v>
      </c>
      <c r="GL33" s="11">
        <v>14</v>
      </c>
      <c r="GM33" s="11">
        <v>0</v>
      </c>
      <c r="GN33" s="11">
        <v>24</v>
      </c>
      <c r="GO33" s="11">
        <v>0</v>
      </c>
      <c r="GP33" s="11">
        <v>0</v>
      </c>
      <c r="GQ33" s="11">
        <v>48</v>
      </c>
      <c r="GR33" s="11">
        <v>28</v>
      </c>
      <c r="GS33" s="11">
        <v>39</v>
      </c>
      <c r="GT33" s="11">
        <v>0</v>
      </c>
      <c r="GU33" s="26">
        <f t="shared" si="16"/>
        <v>194</v>
      </c>
      <c r="GV33" s="11">
        <v>0</v>
      </c>
      <c r="GW33" s="11">
        <v>0</v>
      </c>
      <c r="GX33" s="11">
        <v>0</v>
      </c>
      <c r="GY33" s="11">
        <v>0</v>
      </c>
      <c r="GZ33" s="11">
        <v>0</v>
      </c>
      <c r="HA33" s="11">
        <v>0</v>
      </c>
      <c r="HB33" s="11">
        <v>0</v>
      </c>
      <c r="HC33" s="11">
        <v>0</v>
      </c>
      <c r="HD33" s="11">
        <v>0</v>
      </c>
      <c r="HE33" s="11">
        <v>0</v>
      </c>
      <c r="HF33" s="11">
        <v>0</v>
      </c>
      <c r="HG33" s="11">
        <v>0</v>
      </c>
      <c r="HH33" s="26">
        <f t="shared" si="17"/>
        <v>0</v>
      </c>
      <c r="HI33" s="11">
        <v>0</v>
      </c>
      <c r="HJ33" s="11">
        <v>0</v>
      </c>
      <c r="HK33" s="11">
        <v>0</v>
      </c>
      <c r="HL33" s="11">
        <v>0</v>
      </c>
      <c r="HM33" s="11">
        <v>0</v>
      </c>
      <c r="HN33" s="11">
        <v>0</v>
      </c>
      <c r="HO33" s="11">
        <v>0</v>
      </c>
      <c r="HP33" s="11">
        <v>0</v>
      </c>
      <c r="HQ33" s="11">
        <v>0</v>
      </c>
      <c r="HR33" s="11">
        <v>0</v>
      </c>
      <c r="HS33" s="11">
        <v>0</v>
      </c>
      <c r="HT33" s="11">
        <v>0</v>
      </c>
      <c r="HU33" s="26">
        <f t="shared" si="18"/>
        <v>0</v>
      </c>
      <c r="HV33" s="11">
        <v>0</v>
      </c>
      <c r="HW33" s="11">
        <v>0</v>
      </c>
      <c r="HX33" s="11">
        <v>0</v>
      </c>
      <c r="HY33" s="11">
        <v>0</v>
      </c>
      <c r="HZ33" s="11">
        <v>0</v>
      </c>
      <c r="IA33" s="11">
        <v>0</v>
      </c>
      <c r="IB33" s="11">
        <v>0</v>
      </c>
      <c r="IC33" s="11">
        <v>0</v>
      </c>
      <c r="ID33" s="11">
        <v>0</v>
      </c>
      <c r="IE33" s="11">
        <v>0</v>
      </c>
      <c r="IF33" s="11">
        <v>0</v>
      </c>
      <c r="IG33" s="11">
        <v>0</v>
      </c>
      <c r="IH33" s="26">
        <f t="shared" si="19"/>
        <v>0</v>
      </c>
      <c r="II33" s="9">
        <f t="shared" si="20"/>
        <v>0</v>
      </c>
      <c r="IJ33" s="9">
        <f t="shared" si="21"/>
        <v>0</v>
      </c>
      <c r="IK33" s="11">
        <v>94965</v>
      </c>
      <c r="IL33" s="11">
        <v>89866</v>
      </c>
      <c r="IM33" s="11">
        <v>81904</v>
      </c>
      <c r="IN33" s="11">
        <v>107058</v>
      </c>
      <c r="IO33" s="11">
        <v>121112</v>
      </c>
      <c r="IP33" s="11">
        <v>85138</v>
      </c>
      <c r="IQ33" s="11">
        <v>89506</v>
      </c>
      <c r="IR33" s="11">
        <v>84047</v>
      </c>
      <c r="IS33" s="11">
        <v>72187</v>
      </c>
      <c r="IT33" s="11">
        <v>83942</v>
      </c>
      <c r="IU33" s="11">
        <v>82496</v>
      </c>
      <c r="IV33" s="11">
        <v>84457</v>
      </c>
      <c r="IW33" s="27">
        <f t="shared" si="22"/>
        <v>1076678</v>
      </c>
      <c r="IX33" s="11">
        <v>49708</v>
      </c>
      <c r="IY33" s="11">
        <v>47741</v>
      </c>
      <c r="IZ33" s="11">
        <v>44541</v>
      </c>
      <c r="JA33" s="11">
        <v>47932</v>
      </c>
      <c r="JB33" s="11">
        <v>53352</v>
      </c>
      <c r="JC33" s="11">
        <v>40981</v>
      </c>
      <c r="JD33" s="11">
        <v>44408</v>
      </c>
      <c r="JE33" s="11">
        <v>42686</v>
      </c>
      <c r="JF33" s="11">
        <v>40481</v>
      </c>
      <c r="JG33" s="11">
        <v>44614</v>
      </c>
      <c r="JH33" s="11">
        <v>41936</v>
      </c>
      <c r="JI33" s="11">
        <v>44123</v>
      </c>
      <c r="JJ33" s="27">
        <f t="shared" si="23"/>
        <v>542503</v>
      </c>
      <c r="JK33" s="11">
        <v>43785</v>
      </c>
      <c r="JL33" s="11">
        <v>40786</v>
      </c>
      <c r="JM33" s="11">
        <v>36065</v>
      </c>
      <c r="JN33" s="11">
        <v>57376</v>
      </c>
      <c r="JO33" s="11">
        <v>65740</v>
      </c>
      <c r="JP33" s="11">
        <v>42913</v>
      </c>
      <c r="JQ33" s="11">
        <v>43836</v>
      </c>
      <c r="JR33" s="11">
        <v>40120</v>
      </c>
      <c r="JS33" s="11">
        <v>30672</v>
      </c>
      <c r="JT33" s="11">
        <v>38105</v>
      </c>
      <c r="JU33" s="11">
        <v>39375</v>
      </c>
      <c r="JV33" s="11">
        <v>39111</v>
      </c>
      <c r="JW33" s="27">
        <f t="shared" si="24"/>
        <v>517884</v>
      </c>
      <c r="JX33" s="11">
        <v>1472</v>
      </c>
      <c r="JY33" s="11">
        <v>1339</v>
      </c>
      <c r="JZ33" s="11">
        <v>1298</v>
      </c>
      <c r="KA33" s="11">
        <v>1750</v>
      </c>
      <c r="KB33" s="11">
        <v>2020</v>
      </c>
      <c r="KC33" s="11">
        <v>1244</v>
      </c>
      <c r="KD33" s="11">
        <v>1262</v>
      </c>
      <c r="KE33" s="11">
        <v>1241</v>
      </c>
      <c r="KF33" s="11">
        <v>1034</v>
      </c>
      <c r="KG33" s="11">
        <v>1223</v>
      </c>
      <c r="KH33" s="11">
        <v>1185</v>
      </c>
      <c r="KI33" s="11">
        <v>1223</v>
      </c>
      <c r="KJ33" s="27">
        <f t="shared" si="25"/>
        <v>16291</v>
      </c>
      <c r="KK33" s="11">
        <v>1439</v>
      </c>
      <c r="KL33" s="11">
        <v>1237</v>
      </c>
      <c r="KM33" s="11">
        <v>1073</v>
      </c>
      <c r="KN33" s="11">
        <v>1229</v>
      </c>
      <c r="KO33" s="11">
        <v>1540</v>
      </c>
      <c r="KP33" s="11">
        <v>983</v>
      </c>
      <c r="KQ33" s="11">
        <v>1131</v>
      </c>
      <c r="KR33" s="11">
        <v>1052</v>
      </c>
      <c r="KS33" s="11">
        <v>1092</v>
      </c>
      <c r="KT33" s="11">
        <v>1032</v>
      </c>
      <c r="KU33" s="11">
        <v>1038</v>
      </c>
      <c r="KV33" s="11">
        <v>930</v>
      </c>
      <c r="KW33" s="27">
        <f t="shared" si="26"/>
        <v>13776</v>
      </c>
      <c r="KX33" s="11">
        <v>1233</v>
      </c>
      <c r="KY33" s="11">
        <v>1063</v>
      </c>
      <c r="KZ33" s="11">
        <v>936</v>
      </c>
      <c r="LA33" s="11">
        <v>981</v>
      </c>
      <c r="LB33" s="11">
        <v>1205</v>
      </c>
      <c r="LC33" s="11">
        <v>806</v>
      </c>
      <c r="LD33" s="11">
        <v>959</v>
      </c>
      <c r="LE33" s="11">
        <v>873</v>
      </c>
      <c r="LF33" s="11">
        <v>945</v>
      </c>
      <c r="LG33" s="11">
        <v>847</v>
      </c>
      <c r="LH33" s="11">
        <v>845</v>
      </c>
      <c r="LI33" s="11">
        <v>775</v>
      </c>
      <c r="LJ33" s="27">
        <f t="shared" si="27"/>
        <v>11468</v>
      </c>
      <c r="LK33" s="11">
        <v>203</v>
      </c>
      <c r="LL33" s="11">
        <v>172</v>
      </c>
      <c r="LM33" s="11">
        <v>134</v>
      </c>
      <c r="LN33" s="11">
        <v>246</v>
      </c>
      <c r="LO33" s="11">
        <v>333</v>
      </c>
      <c r="LP33" s="11">
        <v>175</v>
      </c>
      <c r="LQ33" s="11">
        <v>167</v>
      </c>
      <c r="LR33" s="11">
        <v>177</v>
      </c>
      <c r="LS33" s="11">
        <v>142</v>
      </c>
      <c r="LT33" s="11">
        <v>179</v>
      </c>
      <c r="LU33" s="11">
        <v>191</v>
      </c>
      <c r="LV33" s="11">
        <v>155</v>
      </c>
      <c r="LW33" s="27">
        <f t="shared" si="28"/>
        <v>2274</v>
      </c>
      <c r="LX33" s="11">
        <v>3</v>
      </c>
      <c r="LY33" s="11">
        <v>2</v>
      </c>
      <c r="LZ33" s="11">
        <v>3</v>
      </c>
      <c r="MA33" s="11">
        <v>2</v>
      </c>
      <c r="MB33" s="11">
        <v>2</v>
      </c>
      <c r="MC33" s="11">
        <v>2</v>
      </c>
      <c r="MD33" s="11">
        <v>5</v>
      </c>
      <c r="ME33" s="11">
        <v>2</v>
      </c>
      <c r="MF33" s="11">
        <v>5</v>
      </c>
      <c r="MG33" s="11">
        <v>6</v>
      </c>
      <c r="MH33" s="11">
        <v>2</v>
      </c>
      <c r="MI33" s="11">
        <v>0</v>
      </c>
      <c r="MJ33" s="27">
        <f t="shared" si="29"/>
        <v>34</v>
      </c>
      <c r="MK33" s="11">
        <v>7941</v>
      </c>
      <c r="ML33" s="11">
        <v>7922</v>
      </c>
      <c r="MM33" s="11">
        <v>7405</v>
      </c>
      <c r="MN33" s="11">
        <v>7677</v>
      </c>
      <c r="MO33" s="11">
        <v>8101</v>
      </c>
      <c r="MP33" s="11">
        <v>7431</v>
      </c>
      <c r="MQ33" s="11">
        <v>7836</v>
      </c>
      <c r="MR33" s="11">
        <v>7104</v>
      </c>
      <c r="MS33" s="11">
        <v>7126</v>
      </c>
      <c r="MT33" s="11">
        <v>7633</v>
      </c>
      <c r="MU33" s="11">
        <v>6624</v>
      </c>
      <c r="MV33" s="11">
        <v>7369</v>
      </c>
      <c r="MW33" s="27">
        <f t="shared" si="30"/>
        <v>90169</v>
      </c>
      <c r="MX33" s="11">
        <v>7063</v>
      </c>
      <c r="MY33" s="11">
        <v>7034</v>
      </c>
      <c r="MZ33" s="11">
        <v>6611</v>
      </c>
      <c r="NA33" s="11">
        <v>6712</v>
      </c>
      <c r="NB33" s="11">
        <v>7201</v>
      </c>
      <c r="NC33" s="11">
        <v>6650</v>
      </c>
      <c r="ND33" s="11">
        <v>6956</v>
      </c>
      <c r="NE33" s="11">
        <v>6346</v>
      </c>
      <c r="NF33" s="11">
        <v>6490</v>
      </c>
      <c r="NG33" s="11">
        <v>6921</v>
      </c>
      <c r="NH33" s="11">
        <v>5976</v>
      </c>
      <c r="NI33" s="11">
        <v>6722</v>
      </c>
      <c r="NJ33" s="27">
        <f t="shared" si="31"/>
        <v>80682</v>
      </c>
      <c r="NK33" s="11">
        <v>549</v>
      </c>
      <c r="NL33" s="11">
        <v>507</v>
      </c>
      <c r="NM33" s="11">
        <v>482</v>
      </c>
      <c r="NN33" s="11">
        <v>623</v>
      </c>
      <c r="NO33" s="11">
        <v>578</v>
      </c>
      <c r="NP33" s="11">
        <v>513</v>
      </c>
      <c r="NQ33" s="11">
        <v>571</v>
      </c>
      <c r="NR33" s="11">
        <v>476</v>
      </c>
      <c r="NS33" s="11">
        <v>392</v>
      </c>
      <c r="NT33" s="11">
        <v>420</v>
      </c>
      <c r="NU33" s="11">
        <v>385</v>
      </c>
      <c r="NV33" s="11">
        <v>408</v>
      </c>
      <c r="NW33" s="27">
        <f t="shared" si="32"/>
        <v>5904</v>
      </c>
      <c r="NX33" s="11">
        <v>329</v>
      </c>
      <c r="NY33" s="11">
        <v>381</v>
      </c>
      <c r="NZ33" s="11">
        <v>312</v>
      </c>
      <c r="OA33" s="11">
        <v>342</v>
      </c>
      <c r="OB33" s="11">
        <v>322</v>
      </c>
      <c r="OC33" s="11">
        <v>268</v>
      </c>
      <c r="OD33" s="11">
        <v>309</v>
      </c>
      <c r="OE33" s="11">
        <v>282</v>
      </c>
      <c r="OF33" s="11">
        <v>244</v>
      </c>
      <c r="OG33" s="11">
        <v>292</v>
      </c>
      <c r="OH33" s="11">
        <v>263</v>
      </c>
      <c r="OI33" s="11">
        <v>239</v>
      </c>
      <c r="OJ33" s="27">
        <f t="shared" si="33"/>
        <v>3583</v>
      </c>
      <c r="OK33" s="11">
        <v>9967</v>
      </c>
      <c r="OL33" s="11">
        <v>10037</v>
      </c>
      <c r="OM33" s="11">
        <v>9636</v>
      </c>
      <c r="ON33" s="11">
        <v>9774</v>
      </c>
      <c r="OO33" s="11">
        <v>10531</v>
      </c>
      <c r="OP33" s="11">
        <v>9834</v>
      </c>
      <c r="OQ33" s="11">
        <v>10393</v>
      </c>
      <c r="OR33" s="11">
        <v>9816</v>
      </c>
      <c r="OS33" s="11">
        <v>9225</v>
      </c>
      <c r="OT33" s="11">
        <v>10682</v>
      </c>
      <c r="OU33" s="11">
        <v>9760</v>
      </c>
      <c r="OV33" s="11">
        <v>10397</v>
      </c>
      <c r="OW33" s="27">
        <f t="shared" si="34"/>
        <v>120052</v>
      </c>
      <c r="OX33" s="11">
        <v>8496</v>
      </c>
      <c r="OY33" s="11">
        <v>8587</v>
      </c>
      <c r="OZ33" s="11">
        <v>8160</v>
      </c>
      <c r="PA33" s="11">
        <v>8263</v>
      </c>
      <c r="PB33" s="11">
        <v>8763</v>
      </c>
      <c r="PC33" s="11">
        <v>8617</v>
      </c>
      <c r="PD33" s="11">
        <v>8977</v>
      </c>
      <c r="PE33" s="11">
        <v>8469</v>
      </c>
      <c r="PF33" s="11">
        <v>7861</v>
      </c>
      <c r="PG33" s="11">
        <v>9216</v>
      </c>
      <c r="PH33" s="11">
        <v>8496</v>
      </c>
      <c r="PI33" s="11">
        <v>9030</v>
      </c>
      <c r="PJ33" s="27">
        <f t="shared" si="35"/>
        <v>102935</v>
      </c>
      <c r="PK33" s="11">
        <v>1115</v>
      </c>
      <c r="PL33" s="11">
        <v>1111</v>
      </c>
      <c r="PM33" s="11">
        <v>1085</v>
      </c>
      <c r="PN33" s="11">
        <v>1148</v>
      </c>
      <c r="PO33" s="11">
        <v>1386</v>
      </c>
      <c r="PP33" s="11">
        <v>950</v>
      </c>
      <c r="PQ33" s="11">
        <v>1126</v>
      </c>
      <c r="PR33" s="11">
        <v>1003</v>
      </c>
      <c r="PS33" s="11">
        <v>1023</v>
      </c>
      <c r="PT33" s="11">
        <v>1101</v>
      </c>
      <c r="PU33" s="11">
        <v>981</v>
      </c>
      <c r="PV33" s="11">
        <v>1001</v>
      </c>
      <c r="PW33" s="27">
        <f t="shared" si="36"/>
        <v>13030</v>
      </c>
      <c r="PX33" s="11">
        <v>356</v>
      </c>
      <c r="PY33" s="11">
        <v>339</v>
      </c>
      <c r="PZ33" s="11">
        <v>391</v>
      </c>
      <c r="QA33" s="11">
        <v>363</v>
      </c>
      <c r="QB33" s="11">
        <v>382</v>
      </c>
      <c r="QC33" s="11">
        <v>267</v>
      </c>
      <c r="QD33" s="11">
        <v>290</v>
      </c>
      <c r="QE33" s="11">
        <v>344</v>
      </c>
      <c r="QF33" s="11">
        <v>341</v>
      </c>
      <c r="QG33" s="11">
        <v>365</v>
      </c>
      <c r="QH33" s="11">
        <v>283</v>
      </c>
      <c r="QI33" s="11">
        <v>366</v>
      </c>
      <c r="QJ33" s="27">
        <f t="shared" si="37"/>
        <v>4087</v>
      </c>
      <c r="QK33" s="11">
        <v>69717</v>
      </c>
      <c r="QL33" s="11">
        <v>64203</v>
      </c>
      <c r="QM33" s="11">
        <v>61717</v>
      </c>
      <c r="QN33" s="11">
        <v>76476</v>
      </c>
      <c r="QO33" s="11">
        <v>81750</v>
      </c>
      <c r="QP33" s="11">
        <v>63258</v>
      </c>
      <c r="QQ33" s="11">
        <v>66561</v>
      </c>
      <c r="QR33" s="11">
        <v>62527</v>
      </c>
      <c r="QS33" s="11">
        <v>52519</v>
      </c>
      <c r="QT33" s="11">
        <v>68110</v>
      </c>
      <c r="QU33" s="11">
        <v>66507</v>
      </c>
      <c r="QV33" s="11">
        <v>66974</v>
      </c>
      <c r="QW33" s="27">
        <f t="shared" si="38"/>
        <v>800319</v>
      </c>
      <c r="QX33" s="11">
        <v>4468</v>
      </c>
      <c r="QY33" s="11">
        <v>4093</v>
      </c>
      <c r="QZ33" s="11">
        <v>3761</v>
      </c>
      <c r="RA33" s="11">
        <v>5247</v>
      </c>
      <c r="RB33" s="11">
        <v>5608</v>
      </c>
      <c r="RC33" s="11">
        <v>4213</v>
      </c>
      <c r="RD33" s="11">
        <v>4661</v>
      </c>
      <c r="RE33" s="11">
        <v>3951</v>
      </c>
      <c r="RF33" s="11">
        <v>3072</v>
      </c>
      <c r="RG33" s="11">
        <v>3739</v>
      </c>
      <c r="RH33" s="11">
        <v>3691</v>
      </c>
      <c r="RI33" s="11">
        <v>3803</v>
      </c>
      <c r="RJ33" s="27">
        <f t="shared" si="39"/>
        <v>50307</v>
      </c>
      <c r="RK33" s="11">
        <v>1</v>
      </c>
      <c r="RL33" s="11">
        <v>0</v>
      </c>
      <c r="RM33" s="11">
        <v>0</v>
      </c>
      <c r="RN33" s="11">
        <v>0</v>
      </c>
      <c r="RO33" s="11">
        <v>0</v>
      </c>
      <c r="RP33" s="11">
        <v>0</v>
      </c>
      <c r="RQ33" s="11">
        <v>0</v>
      </c>
      <c r="RR33" s="11">
        <v>0</v>
      </c>
      <c r="RS33" s="11">
        <v>0</v>
      </c>
      <c r="RT33" s="11">
        <v>0</v>
      </c>
      <c r="RU33" s="11">
        <v>0</v>
      </c>
      <c r="RV33" s="11">
        <v>0</v>
      </c>
      <c r="RW33" s="27">
        <f t="shared" si="40"/>
        <v>1</v>
      </c>
      <c r="RX33" s="11">
        <v>0</v>
      </c>
      <c r="RY33" s="11">
        <v>0</v>
      </c>
      <c r="RZ33" s="11">
        <v>0</v>
      </c>
      <c r="SA33" s="11">
        <v>0</v>
      </c>
      <c r="SB33" s="11">
        <v>0</v>
      </c>
      <c r="SC33" s="11">
        <v>0</v>
      </c>
      <c r="SD33" s="11">
        <v>0</v>
      </c>
      <c r="SE33" s="11">
        <v>0</v>
      </c>
      <c r="SF33" s="11">
        <v>0</v>
      </c>
      <c r="SG33" s="11">
        <v>0</v>
      </c>
      <c r="SH33" s="11">
        <v>0</v>
      </c>
      <c r="SI33" s="11">
        <v>0</v>
      </c>
      <c r="SJ33" s="27">
        <f t="shared" si="41"/>
        <v>0</v>
      </c>
      <c r="SK33" s="11">
        <v>81</v>
      </c>
      <c r="SL33" s="11">
        <v>76</v>
      </c>
      <c r="SM33" s="11">
        <v>58</v>
      </c>
      <c r="SN33" s="11">
        <v>57</v>
      </c>
      <c r="SO33" s="11">
        <v>78</v>
      </c>
      <c r="SP33" s="11">
        <v>67</v>
      </c>
      <c r="SQ33" s="11">
        <v>64</v>
      </c>
      <c r="SR33" s="11">
        <v>77</v>
      </c>
      <c r="SS33" s="11">
        <v>57</v>
      </c>
      <c r="ST33" s="11">
        <v>58</v>
      </c>
      <c r="SU33" s="11">
        <v>65</v>
      </c>
      <c r="SV33" s="11">
        <v>54</v>
      </c>
      <c r="SW33" s="27">
        <f t="shared" si="42"/>
        <v>792</v>
      </c>
      <c r="SX33" s="11" t="s">
        <v>2669</v>
      </c>
      <c r="SY33" s="11">
        <v>5988</v>
      </c>
      <c r="SZ33" s="11">
        <v>5641</v>
      </c>
      <c r="TA33" s="11">
        <v>5534</v>
      </c>
      <c r="TB33" s="11">
        <v>6253</v>
      </c>
      <c r="TC33" s="11">
        <v>6336</v>
      </c>
      <c r="TD33" s="11">
        <v>5541</v>
      </c>
      <c r="TE33" s="11">
        <v>6030</v>
      </c>
      <c r="TF33" s="11">
        <v>5959</v>
      </c>
      <c r="TG33" s="11">
        <v>4776</v>
      </c>
      <c r="TH33" s="11">
        <v>6012</v>
      </c>
      <c r="TI33" s="11">
        <v>5585</v>
      </c>
      <c r="TJ33" s="11">
        <v>5630</v>
      </c>
      <c r="TK33" s="27">
        <f t="shared" si="43"/>
        <v>69285</v>
      </c>
      <c r="TL33" s="11">
        <v>3771</v>
      </c>
      <c r="TM33" s="11">
        <v>3463</v>
      </c>
      <c r="TN33" s="11">
        <v>2812</v>
      </c>
      <c r="TO33" s="11">
        <v>3120</v>
      </c>
      <c r="TP33" s="11">
        <v>3061</v>
      </c>
      <c r="TQ33" s="11">
        <v>3040</v>
      </c>
      <c r="TR33" s="11">
        <v>3405</v>
      </c>
      <c r="TS33" s="11">
        <v>3305</v>
      </c>
      <c r="TT33" s="11">
        <v>2605</v>
      </c>
      <c r="TU33" s="11">
        <v>3627</v>
      </c>
      <c r="TV33" s="11">
        <v>2947</v>
      </c>
      <c r="TW33" s="11">
        <v>2741</v>
      </c>
      <c r="TX33" s="27">
        <f t="shared" si="44"/>
        <v>37897</v>
      </c>
      <c r="TY33" s="11">
        <v>244</v>
      </c>
      <c r="TZ33" s="11">
        <v>0</v>
      </c>
      <c r="UA33" s="11">
        <v>0</v>
      </c>
    </row>
    <row r="34" spans="1:547" ht="16" customHeight="1" x14ac:dyDescent="0.35">
      <c r="A34" s="11" t="s">
        <v>2670</v>
      </c>
      <c r="B34" s="11">
        <v>16023</v>
      </c>
      <c r="C34" s="11">
        <v>2872</v>
      </c>
      <c r="D34" s="11">
        <v>10747</v>
      </c>
      <c r="E34" s="11">
        <v>2404</v>
      </c>
      <c r="F34" s="11">
        <v>0</v>
      </c>
      <c r="G34" s="11">
        <v>0</v>
      </c>
      <c r="H34" s="11">
        <v>0</v>
      </c>
      <c r="I34" s="11">
        <v>0</v>
      </c>
      <c r="J34" s="11">
        <v>0</v>
      </c>
      <c r="K34" s="11">
        <v>0</v>
      </c>
      <c r="L34" s="11">
        <v>0</v>
      </c>
      <c r="M34" s="11">
        <v>0</v>
      </c>
      <c r="N34" s="11">
        <v>0</v>
      </c>
      <c r="O34" s="11">
        <v>0</v>
      </c>
      <c r="P34" s="11" t="s">
        <v>2862</v>
      </c>
      <c r="Q34" s="11">
        <v>0</v>
      </c>
      <c r="R34" s="11">
        <v>0</v>
      </c>
      <c r="S34" s="26">
        <f t="shared" si="0"/>
        <v>0</v>
      </c>
      <c r="T34" s="11">
        <v>0</v>
      </c>
      <c r="U34" s="11">
        <v>0</v>
      </c>
      <c r="V34" s="11">
        <v>0</v>
      </c>
      <c r="W34" s="11">
        <v>0</v>
      </c>
      <c r="X34" s="11">
        <v>0</v>
      </c>
      <c r="Y34" s="11">
        <v>0</v>
      </c>
      <c r="Z34" s="11">
        <v>0</v>
      </c>
      <c r="AA34" s="11">
        <v>0</v>
      </c>
      <c r="AB34" s="11">
        <v>0</v>
      </c>
      <c r="AC34" s="11">
        <v>0</v>
      </c>
      <c r="AD34" s="11">
        <v>0</v>
      </c>
      <c r="AE34" s="11">
        <v>0</v>
      </c>
      <c r="AF34" s="26">
        <f t="shared" si="1"/>
        <v>0</v>
      </c>
      <c r="AG34" s="11">
        <v>0</v>
      </c>
      <c r="AH34" s="11">
        <v>0</v>
      </c>
      <c r="AI34" s="11">
        <v>0</v>
      </c>
      <c r="AJ34" s="11">
        <v>0</v>
      </c>
      <c r="AK34" s="11">
        <v>0</v>
      </c>
      <c r="AL34" s="11">
        <v>0</v>
      </c>
      <c r="AM34" s="11">
        <v>0</v>
      </c>
      <c r="AN34" s="11">
        <v>0</v>
      </c>
      <c r="AO34" s="11">
        <v>0</v>
      </c>
      <c r="AP34" s="11">
        <v>0</v>
      </c>
      <c r="AQ34" s="11">
        <v>0</v>
      </c>
      <c r="AR34" s="11">
        <v>0</v>
      </c>
      <c r="AS34" s="26">
        <f t="shared" si="2"/>
        <v>0</v>
      </c>
      <c r="AT34" s="11">
        <v>0</v>
      </c>
      <c r="AU34" s="11">
        <v>0</v>
      </c>
      <c r="AV34" s="11">
        <v>0</v>
      </c>
      <c r="AW34" s="11">
        <v>0</v>
      </c>
      <c r="AX34" s="11">
        <v>0</v>
      </c>
      <c r="AY34" s="11">
        <v>0</v>
      </c>
      <c r="AZ34" s="11">
        <v>0</v>
      </c>
      <c r="BA34" s="11">
        <v>0</v>
      </c>
      <c r="BB34" s="11">
        <v>0</v>
      </c>
      <c r="BC34" s="11">
        <v>0</v>
      </c>
      <c r="BD34" s="11">
        <v>0</v>
      </c>
      <c r="BE34" s="11">
        <v>0</v>
      </c>
      <c r="BF34" s="26">
        <f t="shared" si="3"/>
        <v>0</v>
      </c>
      <c r="BG34" s="11">
        <v>0</v>
      </c>
      <c r="BH34" s="11">
        <v>0</v>
      </c>
      <c r="BI34" s="11">
        <v>0</v>
      </c>
      <c r="BJ34" s="11">
        <v>0</v>
      </c>
      <c r="BK34" s="11">
        <v>0</v>
      </c>
      <c r="BL34" s="11">
        <v>0</v>
      </c>
      <c r="BM34" s="11">
        <v>0</v>
      </c>
      <c r="BN34" s="11">
        <v>0</v>
      </c>
      <c r="BO34" s="11">
        <v>0</v>
      </c>
      <c r="BP34" s="11">
        <v>0</v>
      </c>
      <c r="BQ34" s="11">
        <v>0</v>
      </c>
      <c r="BR34" s="11">
        <v>0</v>
      </c>
      <c r="BS34" s="26">
        <f t="shared" si="4"/>
        <v>0</v>
      </c>
      <c r="BT34" s="11">
        <v>0</v>
      </c>
      <c r="BU34" s="11">
        <v>0</v>
      </c>
      <c r="BV34" s="11">
        <v>0</v>
      </c>
      <c r="BW34" s="11">
        <v>0</v>
      </c>
      <c r="BX34" s="11">
        <v>0</v>
      </c>
      <c r="BY34" s="11">
        <v>0</v>
      </c>
      <c r="BZ34" s="11">
        <v>0</v>
      </c>
      <c r="CA34" s="11">
        <v>0</v>
      </c>
      <c r="CB34" s="11">
        <v>0</v>
      </c>
      <c r="CC34" s="11">
        <v>0</v>
      </c>
      <c r="CD34" s="11">
        <v>0</v>
      </c>
      <c r="CE34" s="11">
        <v>0</v>
      </c>
      <c r="CF34" s="26">
        <f t="shared" si="5"/>
        <v>0</v>
      </c>
      <c r="CG34" s="11">
        <v>0</v>
      </c>
      <c r="CH34" s="11">
        <v>0</v>
      </c>
      <c r="CI34" s="11">
        <v>0</v>
      </c>
      <c r="CJ34" s="11">
        <v>0</v>
      </c>
      <c r="CK34" s="11">
        <v>0</v>
      </c>
      <c r="CL34" s="11">
        <v>0</v>
      </c>
      <c r="CM34" s="11">
        <v>0</v>
      </c>
      <c r="CN34" s="11">
        <v>0</v>
      </c>
      <c r="CO34" s="11">
        <v>0</v>
      </c>
      <c r="CP34" s="11">
        <v>0</v>
      </c>
      <c r="CQ34" s="11">
        <v>0</v>
      </c>
      <c r="CR34" s="11">
        <v>0</v>
      </c>
      <c r="CS34" s="26">
        <f t="shared" si="6"/>
        <v>0</v>
      </c>
      <c r="CT34" s="11">
        <v>0</v>
      </c>
      <c r="CU34" s="11">
        <v>0</v>
      </c>
      <c r="CV34" s="11">
        <v>0</v>
      </c>
      <c r="CW34" s="11">
        <v>0</v>
      </c>
      <c r="CX34" s="11">
        <v>0</v>
      </c>
      <c r="CY34" s="11">
        <v>0</v>
      </c>
      <c r="CZ34" s="11">
        <v>0</v>
      </c>
      <c r="DA34" s="11">
        <v>0</v>
      </c>
      <c r="DB34" s="11">
        <v>0</v>
      </c>
      <c r="DC34" s="11">
        <v>0</v>
      </c>
      <c r="DD34" s="11">
        <v>0</v>
      </c>
      <c r="DE34" s="11">
        <v>0</v>
      </c>
      <c r="DF34" s="26">
        <f t="shared" si="7"/>
        <v>0</v>
      </c>
      <c r="DG34" s="11">
        <v>0</v>
      </c>
      <c r="DH34" s="11">
        <v>0</v>
      </c>
      <c r="DI34" s="11">
        <v>0</v>
      </c>
      <c r="DJ34" s="11">
        <v>0</v>
      </c>
      <c r="DK34" s="11">
        <v>0</v>
      </c>
      <c r="DL34" s="11">
        <v>0</v>
      </c>
      <c r="DM34" s="11">
        <v>0</v>
      </c>
      <c r="DN34" s="11">
        <v>0</v>
      </c>
      <c r="DO34" s="11">
        <v>0</v>
      </c>
      <c r="DP34" s="11">
        <v>0</v>
      </c>
      <c r="DQ34" s="11">
        <v>0</v>
      </c>
      <c r="DR34" s="11">
        <v>0</v>
      </c>
      <c r="DS34" s="26">
        <f t="shared" si="8"/>
        <v>0</v>
      </c>
      <c r="DT34" s="11">
        <v>0</v>
      </c>
      <c r="DU34" s="11">
        <v>0</v>
      </c>
      <c r="DV34" s="11">
        <v>0</v>
      </c>
      <c r="DW34" s="11">
        <v>0</v>
      </c>
      <c r="DX34" s="11">
        <v>0</v>
      </c>
      <c r="DY34" s="11">
        <v>0</v>
      </c>
      <c r="DZ34" s="11">
        <v>0</v>
      </c>
      <c r="EA34" s="11">
        <v>0</v>
      </c>
      <c r="EB34" s="11">
        <v>0</v>
      </c>
      <c r="EC34" s="11">
        <v>0</v>
      </c>
      <c r="ED34" s="11">
        <v>0</v>
      </c>
      <c r="EE34" s="11">
        <v>0</v>
      </c>
      <c r="EF34" s="26">
        <f t="shared" si="9"/>
        <v>0</v>
      </c>
      <c r="EG34" s="9">
        <f t="shared" si="10"/>
        <v>0</v>
      </c>
      <c r="EH34" s="9">
        <f t="shared" si="11"/>
        <v>0</v>
      </c>
      <c r="EI34" s="11">
        <v>0</v>
      </c>
      <c r="EJ34" s="11">
        <v>0</v>
      </c>
      <c r="EK34" s="11">
        <v>0</v>
      </c>
      <c r="EL34" s="11">
        <v>0</v>
      </c>
      <c r="EM34" s="11">
        <v>0</v>
      </c>
      <c r="EN34" s="11">
        <v>0</v>
      </c>
      <c r="EO34" s="11">
        <v>0</v>
      </c>
      <c r="EP34" s="11">
        <v>0</v>
      </c>
      <c r="EQ34" s="11">
        <v>0</v>
      </c>
      <c r="ER34" s="11">
        <v>0</v>
      </c>
      <c r="ES34" s="11">
        <v>0</v>
      </c>
      <c r="ET34" s="11">
        <v>0</v>
      </c>
      <c r="EU34" s="26">
        <f t="shared" si="12"/>
        <v>0</v>
      </c>
      <c r="EV34" s="11">
        <v>0</v>
      </c>
      <c r="EW34" s="11">
        <v>0</v>
      </c>
      <c r="EX34" s="11">
        <v>0</v>
      </c>
      <c r="EY34" s="11">
        <v>0</v>
      </c>
      <c r="EZ34" s="11">
        <v>0</v>
      </c>
      <c r="FA34" s="11">
        <v>0</v>
      </c>
      <c r="FB34" s="11">
        <v>0</v>
      </c>
      <c r="FC34" s="11">
        <v>0</v>
      </c>
      <c r="FD34" s="11">
        <v>0</v>
      </c>
      <c r="FE34" s="11">
        <v>0</v>
      </c>
      <c r="FF34" s="11">
        <v>0</v>
      </c>
      <c r="FG34" s="11">
        <v>0</v>
      </c>
      <c r="FH34" s="26">
        <f t="shared" si="13"/>
        <v>0</v>
      </c>
      <c r="FI34" s="11">
        <v>0</v>
      </c>
      <c r="FJ34" s="11">
        <v>0</v>
      </c>
      <c r="FK34" s="11">
        <v>0</v>
      </c>
      <c r="FL34" s="11">
        <v>0</v>
      </c>
      <c r="FM34" s="11">
        <v>0</v>
      </c>
      <c r="FN34" s="11">
        <v>0</v>
      </c>
      <c r="FO34" s="11">
        <v>0</v>
      </c>
      <c r="FP34" s="11">
        <v>0</v>
      </c>
      <c r="FQ34" s="11">
        <v>0</v>
      </c>
      <c r="FR34" s="11">
        <v>0</v>
      </c>
      <c r="FS34" s="11">
        <v>0</v>
      </c>
      <c r="FT34" s="11">
        <v>0</v>
      </c>
      <c r="FU34" s="26">
        <f t="shared" si="14"/>
        <v>0</v>
      </c>
      <c r="FV34" s="11">
        <v>0</v>
      </c>
      <c r="FW34" s="11">
        <v>0</v>
      </c>
      <c r="FX34" s="11">
        <v>0</v>
      </c>
      <c r="FY34" s="11">
        <v>0</v>
      </c>
      <c r="FZ34" s="11">
        <v>0</v>
      </c>
      <c r="GA34" s="11">
        <v>0</v>
      </c>
      <c r="GB34" s="11">
        <v>0</v>
      </c>
      <c r="GC34" s="11">
        <v>0</v>
      </c>
      <c r="GD34" s="11">
        <v>0</v>
      </c>
      <c r="GE34" s="11">
        <v>0</v>
      </c>
      <c r="GF34" s="11">
        <v>0</v>
      </c>
      <c r="GG34" s="11">
        <v>0</v>
      </c>
      <c r="GH34" s="26">
        <f t="shared" si="15"/>
        <v>0</v>
      </c>
      <c r="GI34" s="11">
        <v>0</v>
      </c>
      <c r="GJ34" s="11">
        <v>0</v>
      </c>
      <c r="GK34" s="11">
        <v>0</v>
      </c>
      <c r="GL34" s="11">
        <v>0</v>
      </c>
      <c r="GM34" s="11">
        <v>0</v>
      </c>
      <c r="GN34" s="11">
        <v>0</v>
      </c>
      <c r="GO34" s="11">
        <v>0</v>
      </c>
      <c r="GP34" s="11">
        <v>0</v>
      </c>
      <c r="GQ34" s="11">
        <v>0</v>
      </c>
      <c r="GR34" s="11">
        <v>0</v>
      </c>
      <c r="GS34" s="11">
        <v>0</v>
      </c>
      <c r="GT34" s="11">
        <v>0</v>
      </c>
      <c r="GU34" s="26">
        <f t="shared" si="16"/>
        <v>0</v>
      </c>
      <c r="GV34" s="11">
        <v>0</v>
      </c>
      <c r="GW34" s="11">
        <v>0</v>
      </c>
      <c r="GX34" s="11">
        <v>0</v>
      </c>
      <c r="GY34" s="11">
        <v>0</v>
      </c>
      <c r="GZ34" s="11">
        <v>0</v>
      </c>
      <c r="HA34" s="11">
        <v>0</v>
      </c>
      <c r="HB34" s="11">
        <v>0</v>
      </c>
      <c r="HC34" s="11">
        <v>0</v>
      </c>
      <c r="HD34" s="11">
        <v>0</v>
      </c>
      <c r="HE34" s="11">
        <v>0</v>
      </c>
      <c r="HF34" s="11">
        <v>0</v>
      </c>
      <c r="HG34" s="11">
        <v>0</v>
      </c>
      <c r="HH34" s="26">
        <f t="shared" si="17"/>
        <v>0</v>
      </c>
      <c r="HI34" s="11">
        <v>0</v>
      </c>
      <c r="HJ34" s="11">
        <v>0</v>
      </c>
      <c r="HK34" s="11">
        <v>0</v>
      </c>
      <c r="HL34" s="11">
        <v>0</v>
      </c>
      <c r="HM34" s="11">
        <v>0</v>
      </c>
      <c r="HN34" s="11">
        <v>0</v>
      </c>
      <c r="HO34" s="11">
        <v>0</v>
      </c>
      <c r="HP34" s="11">
        <v>0</v>
      </c>
      <c r="HQ34" s="11">
        <v>0</v>
      </c>
      <c r="HR34" s="11">
        <v>0</v>
      </c>
      <c r="HS34" s="11">
        <v>0</v>
      </c>
      <c r="HT34" s="11">
        <v>0</v>
      </c>
      <c r="HU34" s="26">
        <f t="shared" si="18"/>
        <v>0</v>
      </c>
      <c r="HV34" s="11">
        <v>0</v>
      </c>
      <c r="HW34" s="11">
        <v>0</v>
      </c>
      <c r="HX34" s="11">
        <v>0</v>
      </c>
      <c r="HY34" s="11">
        <v>0</v>
      </c>
      <c r="HZ34" s="11">
        <v>0</v>
      </c>
      <c r="IA34" s="11">
        <v>0</v>
      </c>
      <c r="IB34" s="11">
        <v>0</v>
      </c>
      <c r="IC34" s="11">
        <v>0</v>
      </c>
      <c r="ID34" s="11">
        <v>0</v>
      </c>
      <c r="IE34" s="11">
        <v>0</v>
      </c>
      <c r="IF34" s="11">
        <v>0</v>
      </c>
      <c r="IG34" s="11">
        <v>0</v>
      </c>
      <c r="IH34" s="26">
        <f t="shared" si="19"/>
        <v>0</v>
      </c>
      <c r="II34" s="9">
        <f t="shared" si="20"/>
        <v>0</v>
      </c>
      <c r="IJ34" s="9">
        <f t="shared" si="21"/>
        <v>0</v>
      </c>
      <c r="IK34" s="11">
        <v>0</v>
      </c>
      <c r="IL34" s="11">
        <v>0</v>
      </c>
      <c r="IM34" s="11">
        <v>0</v>
      </c>
      <c r="IN34" s="11">
        <v>0</v>
      </c>
      <c r="IO34" s="11">
        <v>0</v>
      </c>
      <c r="IP34" s="11">
        <v>0</v>
      </c>
      <c r="IQ34" s="11">
        <v>0</v>
      </c>
      <c r="IR34" s="11">
        <v>0</v>
      </c>
      <c r="IS34" s="11">
        <v>0</v>
      </c>
      <c r="IT34" s="11">
        <v>0</v>
      </c>
      <c r="IU34" s="11">
        <v>0</v>
      </c>
      <c r="IV34" s="11">
        <v>0</v>
      </c>
      <c r="IW34" s="27">
        <f t="shared" si="22"/>
        <v>0</v>
      </c>
      <c r="IX34" s="11">
        <v>0</v>
      </c>
      <c r="IY34" s="11">
        <v>0</v>
      </c>
      <c r="IZ34" s="11">
        <v>0</v>
      </c>
      <c r="JA34" s="11">
        <v>0</v>
      </c>
      <c r="JB34" s="11">
        <v>0</v>
      </c>
      <c r="JC34" s="11">
        <v>0</v>
      </c>
      <c r="JD34" s="11">
        <v>0</v>
      </c>
      <c r="JE34" s="11">
        <v>0</v>
      </c>
      <c r="JF34" s="11">
        <v>0</v>
      </c>
      <c r="JG34" s="11">
        <v>0</v>
      </c>
      <c r="JH34" s="11">
        <v>0</v>
      </c>
      <c r="JI34" s="11">
        <v>0</v>
      </c>
      <c r="JJ34" s="27">
        <f t="shared" si="23"/>
        <v>0</v>
      </c>
      <c r="JK34" s="11">
        <v>0</v>
      </c>
      <c r="JL34" s="11">
        <v>0</v>
      </c>
      <c r="JM34" s="11">
        <v>0</v>
      </c>
      <c r="JN34" s="11">
        <v>0</v>
      </c>
      <c r="JO34" s="11">
        <v>0</v>
      </c>
      <c r="JP34" s="11">
        <v>0</v>
      </c>
      <c r="JQ34" s="11">
        <v>0</v>
      </c>
      <c r="JR34" s="11">
        <v>0</v>
      </c>
      <c r="JS34" s="11">
        <v>0</v>
      </c>
      <c r="JT34" s="11">
        <v>0</v>
      </c>
      <c r="JU34" s="11">
        <v>0</v>
      </c>
      <c r="JV34" s="11">
        <v>0</v>
      </c>
      <c r="JW34" s="27">
        <f t="shared" si="24"/>
        <v>0</v>
      </c>
      <c r="JX34" s="11">
        <v>0</v>
      </c>
      <c r="JY34" s="11">
        <v>0</v>
      </c>
      <c r="JZ34" s="11">
        <v>0</v>
      </c>
      <c r="KA34" s="11">
        <v>0</v>
      </c>
      <c r="KB34" s="11">
        <v>0</v>
      </c>
      <c r="KC34" s="11">
        <v>0</v>
      </c>
      <c r="KD34" s="11">
        <v>0</v>
      </c>
      <c r="KE34" s="11">
        <v>0</v>
      </c>
      <c r="KF34" s="11">
        <v>0</v>
      </c>
      <c r="KG34" s="11">
        <v>0</v>
      </c>
      <c r="KH34" s="11">
        <v>0</v>
      </c>
      <c r="KI34" s="11">
        <v>0</v>
      </c>
      <c r="KJ34" s="27">
        <f t="shared" si="25"/>
        <v>0</v>
      </c>
      <c r="KK34" s="11">
        <v>0</v>
      </c>
      <c r="KL34" s="11">
        <v>0</v>
      </c>
      <c r="KM34" s="11">
        <v>0</v>
      </c>
      <c r="KN34" s="11">
        <v>0</v>
      </c>
      <c r="KO34" s="11">
        <v>0</v>
      </c>
      <c r="KP34" s="11">
        <v>0</v>
      </c>
      <c r="KQ34" s="11">
        <v>0</v>
      </c>
      <c r="KR34" s="11">
        <v>0</v>
      </c>
      <c r="KS34" s="11">
        <v>0</v>
      </c>
      <c r="KT34" s="11">
        <v>0</v>
      </c>
      <c r="KU34" s="11">
        <v>0</v>
      </c>
      <c r="KV34" s="11">
        <v>0</v>
      </c>
      <c r="KW34" s="27">
        <f t="shared" si="26"/>
        <v>0</v>
      </c>
      <c r="KX34" s="11">
        <v>0</v>
      </c>
      <c r="KY34" s="11">
        <v>0</v>
      </c>
      <c r="KZ34" s="11">
        <v>0</v>
      </c>
      <c r="LA34" s="11">
        <v>0</v>
      </c>
      <c r="LB34" s="11">
        <v>0</v>
      </c>
      <c r="LC34" s="11">
        <v>0</v>
      </c>
      <c r="LD34" s="11">
        <v>0</v>
      </c>
      <c r="LE34" s="11">
        <v>0</v>
      </c>
      <c r="LF34" s="11">
        <v>0</v>
      </c>
      <c r="LG34" s="11">
        <v>0</v>
      </c>
      <c r="LH34" s="11">
        <v>0</v>
      </c>
      <c r="LI34" s="11">
        <v>0</v>
      </c>
      <c r="LJ34" s="27">
        <f t="shared" si="27"/>
        <v>0</v>
      </c>
      <c r="LK34" s="11">
        <v>0</v>
      </c>
      <c r="LL34" s="11">
        <v>0</v>
      </c>
      <c r="LM34" s="11">
        <v>0</v>
      </c>
      <c r="LN34" s="11">
        <v>0</v>
      </c>
      <c r="LO34" s="11">
        <v>0</v>
      </c>
      <c r="LP34" s="11">
        <v>0</v>
      </c>
      <c r="LQ34" s="11">
        <v>0</v>
      </c>
      <c r="LR34" s="11">
        <v>0</v>
      </c>
      <c r="LS34" s="11">
        <v>0</v>
      </c>
      <c r="LT34" s="11">
        <v>0</v>
      </c>
      <c r="LU34" s="11">
        <v>0</v>
      </c>
      <c r="LV34" s="11">
        <v>0</v>
      </c>
      <c r="LW34" s="27">
        <f t="shared" si="28"/>
        <v>0</v>
      </c>
      <c r="LX34" s="11">
        <v>0</v>
      </c>
      <c r="LY34" s="11">
        <v>0</v>
      </c>
      <c r="LZ34" s="11">
        <v>0</v>
      </c>
      <c r="MA34" s="11">
        <v>0</v>
      </c>
      <c r="MB34" s="11">
        <v>0</v>
      </c>
      <c r="MC34" s="11">
        <v>0</v>
      </c>
      <c r="MD34" s="11">
        <v>0</v>
      </c>
      <c r="ME34" s="11">
        <v>0</v>
      </c>
      <c r="MF34" s="11">
        <v>0</v>
      </c>
      <c r="MG34" s="11">
        <v>0</v>
      </c>
      <c r="MH34" s="11">
        <v>0</v>
      </c>
      <c r="MI34" s="11">
        <v>0</v>
      </c>
      <c r="MJ34" s="27">
        <f t="shared" si="29"/>
        <v>0</v>
      </c>
      <c r="MK34" s="11">
        <v>2917</v>
      </c>
      <c r="ML34" s="11">
        <v>2971</v>
      </c>
      <c r="MM34" s="11">
        <v>2707</v>
      </c>
      <c r="MN34" s="11">
        <v>2856</v>
      </c>
      <c r="MO34" s="11">
        <v>3156</v>
      </c>
      <c r="MP34" s="11">
        <v>2807</v>
      </c>
      <c r="MQ34" s="11">
        <v>2878</v>
      </c>
      <c r="MR34" s="11">
        <v>2533</v>
      </c>
      <c r="MS34" s="11">
        <v>2637</v>
      </c>
      <c r="MT34" s="11">
        <v>2912</v>
      </c>
      <c r="MU34" s="11">
        <v>2656</v>
      </c>
      <c r="MV34" s="11">
        <v>2927</v>
      </c>
      <c r="MW34" s="27">
        <f t="shared" si="30"/>
        <v>33957</v>
      </c>
      <c r="MX34" s="11">
        <v>0</v>
      </c>
      <c r="MY34" s="11">
        <v>0</v>
      </c>
      <c r="MZ34" s="11">
        <v>0</v>
      </c>
      <c r="NA34" s="11">
        <v>0</v>
      </c>
      <c r="NB34" s="11">
        <v>0</v>
      </c>
      <c r="NC34" s="11">
        <v>0</v>
      </c>
      <c r="ND34" s="11">
        <v>0</v>
      </c>
      <c r="NE34" s="11">
        <v>0</v>
      </c>
      <c r="NF34" s="11">
        <v>0</v>
      </c>
      <c r="NG34" s="11">
        <v>0</v>
      </c>
      <c r="NH34" s="11">
        <v>0</v>
      </c>
      <c r="NI34" s="11">
        <v>0</v>
      </c>
      <c r="NJ34" s="27">
        <f t="shared" si="31"/>
        <v>0</v>
      </c>
      <c r="NK34" s="11">
        <v>0</v>
      </c>
      <c r="NL34" s="11">
        <v>0</v>
      </c>
      <c r="NM34" s="11">
        <v>0</v>
      </c>
      <c r="NN34" s="11">
        <v>0</v>
      </c>
      <c r="NO34" s="11">
        <v>0</v>
      </c>
      <c r="NP34" s="11">
        <v>0</v>
      </c>
      <c r="NQ34" s="11">
        <v>0</v>
      </c>
      <c r="NR34" s="11">
        <v>0</v>
      </c>
      <c r="NS34" s="11">
        <v>0</v>
      </c>
      <c r="NT34" s="11">
        <v>0</v>
      </c>
      <c r="NU34" s="11">
        <v>0</v>
      </c>
      <c r="NV34" s="11">
        <v>0</v>
      </c>
      <c r="NW34" s="27">
        <f t="shared" si="32"/>
        <v>0</v>
      </c>
      <c r="NX34" s="11">
        <v>0</v>
      </c>
      <c r="NY34" s="11">
        <v>0</v>
      </c>
      <c r="NZ34" s="11">
        <v>0</v>
      </c>
      <c r="OA34" s="11">
        <v>0</v>
      </c>
      <c r="OB34" s="11">
        <v>0</v>
      </c>
      <c r="OC34" s="11">
        <v>0</v>
      </c>
      <c r="OD34" s="11">
        <v>0</v>
      </c>
      <c r="OE34" s="11">
        <v>0</v>
      </c>
      <c r="OF34" s="11">
        <v>0</v>
      </c>
      <c r="OG34" s="11">
        <v>0</v>
      </c>
      <c r="OH34" s="11">
        <v>0</v>
      </c>
      <c r="OI34" s="11">
        <v>0</v>
      </c>
      <c r="OJ34" s="27">
        <f t="shared" si="33"/>
        <v>0</v>
      </c>
      <c r="OK34" s="11">
        <v>1820</v>
      </c>
      <c r="OL34" s="11">
        <v>1899</v>
      </c>
      <c r="OM34" s="11">
        <v>2652</v>
      </c>
      <c r="ON34" s="11">
        <v>2870</v>
      </c>
      <c r="OO34" s="11">
        <v>2889</v>
      </c>
      <c r="OP34" s="11">
        <v>2950</v>
      </c>
      <c r="OQ34" s="11">
        <v>2991</v>
      </c>
      <c r="OR34" s="11">
        <v>2981</v>
      </c>
      <c r="OS34" s="11">
        <v>2923</v>
      </c>
      <c r="OT34" s="11">
        <v>3161</v>
      </c>
      <c r="OU34" s="11">
        <v>2702</v>
      </c>
      <c r="OV34" s="11">
        <v>3376</v>
      </c>
      <c r="OW34" s="27">
        <f t="shared" si="34"/>
        <v>33214</v>
      </c>
      <c r="OX34" s="11">
        <v>0</v>
      </c>
      <c r="OY34" s="11">
        <v>0</v>
      </c>
      <c r="OZ34" s="11">
        <v>0</v>
      </c>
      <c r="PA34" s="11">
        <v>0</v>
      </c>
      <c r="PB34" s="11">
        <v>0</v>
      </c>
      <c r="PC34" s="11">
        <v>0</v>
      </c>
      <c r="PD34" s="11">
        <v>0</v>
      </c>
      <c r="PE34" s="11">
        <v>0</v>
      </c>
      <c r="PF34" s="11">
        <v>0</v>
      </c>
      <c r="PG34" s="11">
        <v>0</v>
      </c>
      <c r="PH34" s="11">
        <v>0</v>
      </c>
      <c r="PI34" s="11">
        <v>0</v>
      </c>
      <c r="PJ34" s="27">
        <f t="shared" si="35"/>
        <v>0</v>
      </c>
      <c r="PK34" s="11">
        <v>0</v>
      </c>
      <c r="PL34" s="11">
        <v>0</v>
      </c>
      <c r="PM34" s="11">
        <v>0</v>
      </c>
      <c r="PN34" s="11">
        <v>0</v>
      </c>
      <c r="PO34" s="11">
        <v>0</v>
      </c>
      <c r="PP34" s="11">
        <v>0</v>
      </c>
      <c r="PQ34" s="11">
        <v>0</v>
      </c>
      <c r="PR34" s="11">
        <v>0</v>
      </c>
      <c r="PS34" s="11">
        <v>0</v>
      </c>
      <c r="PT34" s="11">
        <v>0</v>
      </c>
      <c r="PU34" s="11">
        <v>0</v>
      </c>
      <c r="PV34" s="11">
        <v>0</v>
      </c>
      <c r="PW34" s="27">
        <f t="shared" si="36"/>
        <v>0</v>
      </c>
      <c r="PX34" s="11">
        <v>0</v>
      </c>
      <c r="PY34" s="11">
        <v>0</v>
      </c>
      <c r="PZ34" s="11">
        <v>0</v>
      </c>
      <c r="QA34" s="11">
        <v>0</v>
      </c>
      <c r="QB34" s="11">
        <v>0</v>
      </c>
      <c r="QC34" s="11">
        <v>0</v>
      </c>
      <c r="QD34" s="11">
        <v>0</v>
      </c>
      <c r="QE34" s="11">
        <v>0</v>
      </c>
      <c r="QF34" s="11">
        <v>0</v>
      </c>
      <c r="QG34" s="11">
        <v>0</v>
      </c>
      <c r="QH34" s="11">
        <v>0</v>
      </c>
      <c r="QI34" s="11">
        <v>0</v>
      </c>
      <c r="QJ34" s="27">
        <f t="shared" si="37"/>
        <v>0</v>
      </c>
      <c r="QK34" s="11">
        <v>12365</v>
      </c>
      <c r="QL34" s="11">
        <v>13485</v>
      </c>
      <c r="QM34" s="11">
        <v>12155</v>
      </c>
      <c r="QN34" s="11">
        <v>13129</v>
      </c>
      <c r="QO34" s="11">
        <v>11661</v>
      </c>
      <c r="QP34" s="11">
        <v>11959</v>
      </c>
      <c r="QQ34" s="11">
        <v>12688</v>
      </c>
      <c r="QR34" s="11">
        <v>12767</v>
      </c>
      <c r="QS34" s="11">
        <v>9787</v>
      </c>
      <c r="QT34" s="11">
        <v>11723</v>
      </c>
      <c r="QU34" s="11">
        <v>12078</v>
      </c>
      <c r="QV34" s="11">
        <v>13392</v>
      </c>
      <c r="QW34" s="27">
        <f t="shared" si="38"/>
        <v>147189</v>
      </c>
      <c r="QX34" s="11">
        <v>108979</v>
      </c>
      <c r="QY34" s="11">
        <v>116601</v>
      </c>
      <c r="QZ34" s="11">
        <v>91186</v>
      </c>
      <c r="RA34" s="11">
        <v>94951</v>
      </c>
      <c r="RB34" s="11">
        <v>75527</v>
      </c>
      <c r="RC34" s="11">
        <v>91560</v>
      </c>
      <c r="RD34" s="11">
        <v>99329</v>
      </c>
      <c r="RE34" s="11">
        <v>93918</v>
      </c>
      <c r="RF34" s="11">
        <v>75843</v>
      </c>
      <c r="RG34" s="11">
        <v>93928</v>
      </c>
      <c r="RH34" s="11">
        <v>93444</v>
      </c>
      <c r="RI34" s="11">
        <v>96591</v>
      </c>
      <c r="RJ34" s="27">
        <f t="shared" si="39"/>
        <v>1131857</v>
      </c>
      <c r="RK34" s="11">
        <v>0</v>
      </c>
      <c r="RL34" s="11">
        <v>0</v>
      </c>
      <c r="RM34" s="11">
        <v>0</v>
      </c>
      <c r="RN34" s="11">
        <v>0</v>
      </c>
      <c r="RO34" s="11">
        <v>0</v>
      </c>
      <c r="RP34" s="11">
        <v>0</v>
      </c>
      <c r="RQ34" s="11">
        <v>0</v>
      </c>
      <c r="RR34" s="11">
        <v>0</v>
      </c>
      <c r="RS34" s="11">
        <v>0</v>
      </c>
      <c r="RT34" s="11">
        <v>0</v>
      </c>
      <c r="RU34" s="11">
        <v>0</v>
      </c>
      <c r="RV34" s="11">
        <v>0</v>
      </c>
      <c r="RW34" s="27">
        <f t="shared" si="40"/>
        <v>0</v>
      </c>
      <c r="RX34" s="11">
        <v>0</v>
      </c>
      <c r="RY34" s="11">
        <v>0</v>
      </c>
      <c r="RZ34" s="11">
        <v>0</v>
      </c>
      <c r="SA34" s="11">
        <v>0</v>
      </c>
      <c r="SB34" s="11">
        <v>0</v>
      </c>
      <c r="SC34" s="11">
        <v>0</v>
      </c>
      <c r="SD34" s="11">
        <v>0</v>
      </c>
      <c r="SE34" s="11">
        <v>0</v>
      </c>
      <c r="SF34" s="11">
        <v>0</v>
      </c>
      <c r="SG34" s="11">
        <v>0</v>
      </c>
      <c r="SH34" s="11">
        <v>0</v>
      </c>
      <c r="SI34" s="11">
        <v>0</v>
      </c>
      <c r="SJ34" s="27">
        <f t="shared" si="41"/>
        <v>0</v>
      </c>
      <c r="SK34" s="11">
        <v>152</v>
      </c>
      <c r="SL34" s="11">
        <v>163</v>
      </c>
      <c r="SM34" s="11">
        <v>150</v>
      </c>
      <c r="SN34" s="11">
        <v>162</v>
      </c>
      <c r="SO34" s="11">
        <v>144</v>
      </c>
      <c r="SP34" s="11">
        <v>130</v>
      </c>
      <c r="SQ34" s="11">
        <v>146</v>
      </c>
      <c r="SR34" s="11">
        <v>120</v>
      </c>
      <c r="SS34" s="11">
        <v>117</v>
      </c>
      <c r="ST34" s="11">
        <v>112</v>
      </c>
      <c r="SU34" s="11">
        <v>126</v>
      </c>
      <c r="SV34" s="11">
        <v>120</v>
      </c>
      <c r="SW34" s="27">
        <f t="shared" si="42"/>
        <v>1642</v>
      </c>
      <c r="SX34" s="28" t="s">
        <v>2671</v>
      </c>
      <c r="SY34" s="11">
        <v>7295</v>
      </c>
      <c r="SZ34" s="11">
        <v>7297</v>
      </c>
      <c r="TA34" s="11">
        <v>6975</v>
      </c>
      <c r="TB34" s="11">
        <v>7203</v>
      </c>
      <c r="TC34" s="11">
        <v>6652</v>
      </c>
      <c r="TD34" s="11">
        <v>9789</v>
      </c>
      <c r="TE34" s="11">
        <v>7704</v>
      </c>
      <c r="TF34" s="11">
        <v>7429</v>
      </c>
      <c r="TG34" s="11">
        <v>5708</v>
      </c>
      <c r="TH34" s="11">
        <v>6960</v>
      </c>
      <c r="TI34" s="11">
        <v>6890</v>
      </c>
      <c r="TJ34" s="11">
        <v>6477</v>
      </c>
      <c r="TK34" s="27">
        <f t="shared" si="43"/>
        <v>86379</v>
      </c>
      <c r="TL34" s="11">
        <v>0</v>
      </c>
      <c r="TM34" s="11">
        <v>0</v>
      </c>
      <c r="TN34" s="11">
        <v>0</v>
      </c>
      <c r="TO34" s="11">
        <v>0</v>
      </c>
      <c r="TP34" s="11">
        <v>0</v>
      </c>
      <c r="TQ34" s="11">
        <v>0</v>
      </c>
      <c r="TR34" s="11">
        <v>0</v>
      </c>
      <c r="TS34" s="11">
        <v>0</v>
      </c>
      <c r="TT34" s="11">
        <v>0</v>
      </c>
      <c r="TU34" s="11">
        <v>0</v>
      </c>
      <c r="TV34" s="11">
        <v>0</v>
      </c>
      <c r="TW34" s="11">
        <v>0</v>
      </c>
      <c r="TX34" s="27">
        <f t="shared" si="44"/>
        <v>0</v>
      </c>
      <c r="TY34" s="11">
        <v>260</v>
      </c>
      <c r="TZ34" s="11">
        <v>0</v>
      </c>
      <c r="UA34" s="11">
        <v>0</v>
      </c>
    </row>
    <row r="35" spans="1:547" ht="16" customHeight="1" x14ac:dyDescent="0.35">
      <c r="A35" s="11" t="s">
        <v>2672</v>
      </c>
      <c r="B35" s="11">
        <v>189750</v>
      </c>
      <c r="C35" s="11">
        <v>56642</v>
      </c>
      <c r="D35" s="11">
        <v>120625</v>
      </c>
      <c r="E35" s="11">
        <v>12483</v>
      </c>
      <c r="F35" s="11">
        <v>499</v>
      </c>
      <c r="G35" s="11">
        <v>542</v>
      </c>
      <c r="H35" s="11">
        <v>535</v>
      </c>
      <c r="I35" s="11">
        <v>457</v>
      </c>
      <c r="J35" s="11">
        <v>305</v>
      </c>
      <c r="K35" s="11">
        <v>441</v>
      </c>
      <c r="L35" s="11">
        <v>550</v>
      </c>
      <c r="M35" s="11">
        <v>573</v>
      </c>
      <c r="N35" s="11">
        <v>425</v>
      </c>
      <c r="O35" s="11">
        <v>544</v>
      </c>
      <c r="P35" s="11" t="s">
        <v>2862</v>
      </c>
      <c r="Q35" s="11">
        <v>487</v>
      </c>
      <c r="R35" s="11">
        <v>1276</v>
      </c>
      <c r="S35" s="26">
        <f t="shared" si="0"/>
        <v>6634</v>
      </c>
      <c r="T35" s="11">
        <v>0</v>
      </c>
      <c r="U35" s="11">
        <v>0</v>
      </c>
      <c r="V35" s="11">
        <v>0</v>
      </c>
      <c r="W35" s="11">
        <v>0</v>
      </c>
      <c r="X35" s="11">
        <v>0</v>
      </c>
      <c r="Y35" s="11">
        <v>0</v>
      </c>
      <c r="Z35" s="11">
        <v>0</v>
      </c>
      <c r="AA35" s="11">
        <v>0</v>
      </c>
      <c r="AB35" s="11">
        <v>0</v>
      </c>
      <c r="AC35" s="11">
        <v>0</v>
      </c>
      <c r="AD35" s="11">
        <v>0</v>
      </c>
      <c r="AE35" s="11">
        <v>0</v>
      </c>
      <c r="AF35" s="26">
        <f t="shared" si="1"/>
        <v>0</v>
      </c>
      <c r="AG35" s="11">
        <v>0</v>
      </c>
      <c r="AH35" s="11">
        <v>0</v>
      </c>
      <c r="AI35" s="11">
        <v>0</v>
      </c>
      <c r="AJ35" s="11">
        <v>0</v>
      </c>
      <c r="AK35" s="11">
        <v>0</v>
      </c>
      <c r="AL35" s="11">
        <v>0</v>
      </c>
      <c r="AM35" s="11">
        <v>0</v>
      </c>
      <c r="AN35" s="11">
        <v>0</v>
      </c>
      <c r="AO35" s="11">
        <v>0</v>
      </c>
      <c r="AP35" s="11">
        <v>0</v>
      </c>
      <c r="AQ35" s="11">
        <v>0</v>
      </c>
      <c r="AR35" s="11">
        <v>0</v>
      </c>
      <c r="AS35" s="26">
        <f t="shared" si="2"/>
        <v>0</v>
      </c>
      <c r="AT35" s="11">
        <v>0</v>
      </c>
      <c r="AU35" s="11">
        <v>0</v>
      </c>
      <c r="AV35" s="11">
        <v>0</v>
      </c>
      <c r="AW35" s="11">
        <v>0</v>
      </c>
      <c r="AX35" s="11">
        <v>0</v>
      </c>
      <c r="AY35" s="11">
        <v>0</v>
      </c>
      <c r="AZ35" s="11">
        <v>0</v>
      </c>
      <c r="BA35" s="11">
        <v>0</v>
      </c>
      <c r="BB35" s="11">
        <v>0</v>
      </c>
      <c r="BC35" s="11">
        <v>0</v>
      </c>
      <c r="BD35" s="11">
        <v>0</v>
      </c>
      <c r="BE35" s="11">
        <v>0</v>
      </c>
      <c r="BF35" s="26">
        <f t="shared" si="3"/>
        <v>0</v>
      </c>
      <c r="BG35" s="11">
        <v>0</v>
      </c>
      <c r="BH35" s="11">
        <v>0</v>
      </c>
      <c r="BI35" s="11">
        <v>0</v>
      </c>
      <c r="BJ35" s="11">
        <v>0</v>
      </c>
      <c r="BK35" s="11">
        <v>0</v>
      </c>
      <c r="BL35" s="11">
        <v>0</v>
      </c>
      <c r="BM35" s="11">
        <v>0</v>
      </c>
      <c r="BN35" s="11">
        <v>0</v>
      </c>
      <c r="BO35" s="11">
        <v>0</v>
      </c>
      <c r="BP35" s="11">
        <v>0</v>
      </c>
      <c r="BQ35" s="11">
        <v>0</v>
      </c>
      <c r="BR35" s="11">
        <v>0</v>
      </c>
      <c r="BS35" s="26">
        <f t="shared" si="4"/>
        <v>0</v>
      </c>
      <c r="BT35" s="11">
        <v>0</v>
      </c>
      <c r="BU35" s="11">
        <v>0</v>
      </c>
      <c r="BV35" s="11">
        <v>0</v>
      </c>
      <c r="BW35" s="11">
        <v>0</v>
      </c>
      <c r="BX35" s="11">
        <v>0</v>
      </c>
      <c r="BY35" s="11">
        <v>0</v>
      </c>
      <c r="BZ35" s="11">
        <v>0</v>
      </c>
      <c r="CA35" s="11">
        <v>0</v>
      </c>
      <c r="CB35" s="11">
        <v>0</v>
      </c>
      <c r="CC35" s="11">
        <v>0</v>
      </c>
      <c r="CD35" s="11">
        <v>0</v>
      </c>
      <c r="CE35" s="11">
        <v>0</v>
      </c>
      <c r="CF35" s="26">
        <f t="shared" si="5"/>
        <v>0</v>
      </c>
      <c r="CG35" s="11">
        <v>0</v>
      </c>
      <c r="CH35" s="11">
        <v>0</v>
      </c>
      <c r="CI35" s="11">
        <v>0</v>
      </c>
      <c r="CJ35" s="11">
        <v>0</v>
      </c>
      <c r="CK35" s="11">
        <v>0</v>
      </c>
      <c r="CL35" s="11">
        <v>0</v>
      </c>
      <c r="CM35" s="11">
        <v>0</v>
      </c>
      <c r="CN35" s="11">
        <v>0</v>
      </c>
      <c r="CO35" s="11">
        <v>0</v>
      </c>
      <c r="CP35" s="11">
        <v>0</v>
      </c>
      <c r="CQ35" s="11">
        <v>0</v>
      </c>
      <c r="CR35" s="11">
        <v>0</v>
      </c>
      <c r="CS35" s="26">
        <f t="shared" si="6"/>
        <v>0</v>
      </c>
      <c r="CT35" s="11">
        <v>0</v>
      </c>
      <c r="CU35" s="11">
        <v>0</v>
      </c>
      <c r="CV35" s="11">
        <v>0</v>
      </c>
      <c r="CW35" s="11">
        <v>0</v>
      </c>
      <c r="CX35" s="11">
        <v>0</v>
      </c>
      <c r="CY35" s="11">
        <v>0</v>
      </c>
      <c r="CZ35" s="11">
        <v>0</v>
      </c>
      <c r="DA35" s="11">
        <v>0</v>
      </c>
      <c r="DB35" s="11">
        <v>0</v>
      </c>
      <c r="DC35" s="11">
        <v>0</v>
      </c>
      <c r="DD35" s="11">
        <v>0</v>
      </c>
      <c r="DE35" s="11">
        <v>0</v>
      </c>
      <c r="DF35" s="26">
        <f t="shared" si="7"/>
        <v>0</v>
      </c>
      <c r="DG35" s="11">
        <v>0</v>
      </c>
      <c r="DH35" s="11">
        <v>0</v>
      </c>
      <c r="DI35" s="11">
        <v>0</v>
      </c>
      <c r="DJ35" s="11">
        <v>0</v>
      </c>
      <c r="DK35" s="11">
        <v>0</v>
      </c>
      <c r="DL35" s="11">
        <v>0</v>
      </c>
      <c r="DM35" s="11">
        <v>0</v>
      </c>
      <c r="DN35" s="11">
        <v>0</v>
      </c>
      <c r="DO35" s="11">
        <v>0</v>
      </c>
      <c r="DP35" s="11">
        <v>0</v>
      </c>
      <c r="DQ35" s="11">
        <v>0</v>
      </c>
      <c r="DR35" s="11">
        <v>0</v>
      </c>
      <c r="DS35" s="26">
        <f t="shared" si="8"/>
        <v>0</v>
      </c>
      <c r="DT35" s="11">
        <v>0</v>
      </c>
      <c r="DU35" s="11">
        <v>0</v>
      </c>
      <c r="DV35" s="11">
        <v>0</v>
      </c>
      <c r="DW35" s="11">
        <v>0</v>
      </c>
      <c r="DX35" s="11">
        <v>0</v>
      </c>
      <c r="DY35" s="11">
        <v>0</v>
      </c>
      <c r="DZ35" s="11">
        <v>0</v>
      </c>
      <c r="EA35" s="11">
        <v>0</v>
      </c>
      <c r="EB35" s="11">
        <v>0</v>
      </c>
      <c r="EC35" s="11">
        <v>0</v>
      </c>
      <c r="ED35" s="11">
        <v>0</v>
      </c>
      <c r="EE35" s="11">
        <v>0</v>
      </c>
      <c r="EF35" s="26">
        <f t="shared" si="9"/>
        <v>0</v>
      </c>
      <c r="EG35" s="9">
        <f t="shared" si="10"/>
        <v>0</v>
      </c>
      <c r="EH35" s="9">
        <f t="shared" si="11"/>
        <v>0</v>
      </c>
      <c r="EI35" s="11">
        <v>12246</v>
      </c>
      <c r="EJ35" s="11">
        <v>12857</v>
      </c>
      <c r="EK35" s="11">
        <v>12657</v>
      </c>
      <c r="EL35" s="11">
        <v>11177</v>
      </c>
      <c r="EM35" s="11">
        <v>6111</v>
      </c>
      <c r="EN35" s="11">
        <v>10627</v>
      </c>
      <c r="EO35" s="11">
        <v>14320</v>
      </c>
      <c r="EP35" s="11">
        <v>13990</v>
      </c>
      <c r="EQ35" s="11">
        <v>9335</v>
      </c>
      <c r="ER35" s="11">
        <v>13293</v>
      </c>
      <c r="ES35" s="11">
        <v>12598</v>
      </c>
      <c r="ET35" s="11">
        <v>24882</v>
      </c>
      <c r="EU35" s="26">
        <f t="shared" si="12"/>
        <v>154093</v>
      </c>
      <c r="EV35" s="11">
        <v>0</v>
      </c>
      <c r="EW35" s="11">
        <v>0</v>
      </c>
      <c r="EX35" s="11">
        <v>0</v>
      </c>
      <c r="EY35" s="11">
        <v>0</v>
      </c>
      <c r="EZ35" s="11">
        <v>0</v>
      </c>
      <c r="FA35" s="11">
        <v>0</v>
      </c>
      <c r="FB35" s="11">
        <v>0</v>
      </c>
      <c r="FC35" s="11">
        <v>0</v>
      </c>
      <c r="FD35" s="11">
        <v>0</v>
      </c>
      <c r="FE35" s="11">
        <v>0</v>
      </c>
      <c r="FF35" s="11">
        <v>0</v>
      </c>
      <c r="FG35" s="11">
        <v>0</v>
      </c>
      <c r="FH35" s="26">
        <f t="shared" si="13"/>
        <v>0</v>
      </c>
      <c r="FI35" s="11">
        <v>0</v>
      </c>
      <c r="FJ35" s="11">
        <v>0</v>
      </c>
      <c r="FK35" s="11">
        <v>0</v>
      </c>
      <c r="FL35" s="11">
        <v>0</v>
      </c>
      <c r="FM35" s="11">
        <v>0</v>
      </c>
      <c r="FN35" s="11">
        <v>0</v>
      </c>
      <c r="FO35" s="11">
        <v>0</v>
      </c>
      <c r="FP35" s="11">
        <v>0</v>
      </c>
      <c r="FQ35" s="11">
        <v>0</v>
      </c>
      <c r="FR35" s="11">
        <v>0</v>
      </c>
      <c r="FS35" s="11">
        <v>0</v>
      </c>
      <c r="FT35" s="11">
        <v>0</v>
      </c>
      <c r="FU35" s="26">
        <f t="shared" si="14"/>
        <v>0</v>
      </c>
      <c r="FV35" s="11">
        <v>0</v>
      </c>
      <c r="FW35" s="11">
        <v>0</v>
      </c>
      <c r="FX35" s="11">
        <v>0</v>
      </c>
      <c r="FY35" s="11">
        <v>0</v>
      </c>
      <c r="FZ35" s="11">
        <v>0</v>
      </c>
      <c r="GA35" s="11">
        <v>0</v>
      </c>
      <c r="GB35" s="11">
        <v>0</v>
      </c>
      <c r="GC35" s="11">
        <v>0</v>
      </c>
      <c r="GD35" s="11">
        <v>0</v>
      </c>
      <c r="GE35" s="11">
        <v>0</v>
      </c>
      <c r="GF35" s="11">
        <v>0</v>
      </c>
      <c r="GG35" s="11">
        <v>0</v>
      </c>
      <c r="GH35" s="26">
        <f t="shared" si="15"/>
        <v>0</v>
      </c>
      <c r="GI35" s="11">
        <v>0</v>
      </c>
      <c r="GJ35" s="11">
        <v>0</v>
      </c>
      <c r="GK35" s="11">
        <v>0</v>
      </c>
      <c r="GL35" s="11">
        <v>0</v>
      </c>
      <c r="GM35" s="11">
        <v>0</v>
      </c>
      <c r="GN35" s="11">
        <v>0</v>
      </c>
      <c r="GO35" s="11">
        <v>0</v>
      </c>
      <c r="GP35" s="11">
        <v>0</v>
      </c>
      <c r="GQ35" s="11">
        <v>0</v>
      </c>
      <c r="GR35" s="11">
        <v>0</v>
      </c>
      <c r="GS35" s="11">
        <v>0</v>
      </c>
      <c r="GT35" s="11">
        <v>0</v>
      </c>
      <c r="GU35" s="26">
        <f t="shared" si="16"/>
        <v>0</v>
      </c>
      <c r="GV35" s="11">
        <v>0</v>
      </c>
      <c r="GW35" s="11">
        <v>0</v>
      </c>
      <c r="GX35" s="11">
        <v>0</v>
      </c>
      <c r="GY35" s="11">
        <v>0</v>
      </c>
      <c r="GZ35" s="11">
        <v>0</v>
      </c>
      <c r="HA35" s="11">
        <v>0</v>
      </c>
      <c r="HB35" s="11">
        <v>0</v>
      </c>
      <c r="HC35" s="11">
        <v>0</v>
      </c>
      <c r="HD35" s="11">
        <v>0</v>
      </c>
      <c r="HE35" s="11">
        <v>0</v>
      </c>
      <c r="HF35" s="11">
        <v>0</v>
      </c>
      <c r="HG35" s="11">
        <v>0</v>
      </c>
      <c r="HH35" s="26">
        <f t="shared" si="17"/>
        <v>0</v>
      </c>
      <c r="HI35" s="11">
        <v>0</v>
      </c>
      <c r="HJ35" s="11">
        <v>0</v>
      </c>
      <c r="HK35" s="11">
        <v>0</v>
      </c>
      <c r="HL35" s="11">
        <v>0</v>
      </c>
      <c r="HM35" s="11">
        <v>0</v>
      </c>
      <c r="HN35" s="11">
        <v>0</v>
      </c>
      <c r="HO35" s="11">
        <v>0</v>
      </c>
      <c r="HP35" s="11">
        <v>0</v>
      </c>
      <c r="HQ35" s="11">
        <v>0</v>
      </c>
      <c r="HR35" s="11">
        <v>0</v>
      </c>
      <c r="HS35" s="11">
        <v>0</v>
      </c>
      <c r="HT35" s="11">
        <v>0</v>
      </c>
      <c r="HU35" s="26">
        <f t="shared" si="18"/>
        <v>0</v>
      </c>
      <c r="HV35" s="11">
        <v>0</v>
      </c>
      <c r="HW35" s="11">
        <v>0</v>
      </c>
      <c r="HX35" s="11">
        <v>0</v>
      </c>
      <c r="HY35" s="11">
        <v>0</v>
      </c>
      <c r="HZ35" s="11">
        <v>0</v>
      </c>
      <c r="IA35" s="11">
        <v>0</v>
      </c>
      <c r="IB35" s="11">
        <v>0</v>
      </c>
      <c r="IC35" s="11">
        <v>0</v>
      </c>
      <c r="ID35" s="11">
        <v>0</v>
      </c>
      <c r="IE35" s="11">
        <v>0</v>
      </c>
      <c r="IF35" s="11">
        <v>0</v>
      </c>
      <c r="IG35" s="11">
        <v>0</v>
      </c>
      <c r="IH35" s="26">
        <f t="shared" si="19"/>
        <v>0</v>
      </c>
      <c r="II35" s="9">
        <f t="shared" si="20"/>
        <v>0</v>
      </c>
      <c r="IJ35" s="9">
        <f t="shared" si="21"/>
        <v>0</v>
      </c>
      <c r="IK35" s="11">
        <v>296860</v>
      </c>
      <c r="IL35" s="11">
        <v>300862</v>
      </c>
      <c r="IM35" s="11">
        <v>287684</v>
      </c>
      <c r="IN35" s="11">
        <v>350164</v>
      </c>
      <c r="IO35" s="11">
        <v>360933</v>
      </c>
      <c r="IP35" s="11">
        <v>279379</v>
      </c>
      <c r="IQ35" s="11">
        <v>301469</v>
      </c>
      <c r="IR35" s="11">
        <v>284570</v>
      </c>
      <c r="IS35" s="11">
        <v>248514</v>
      </c>
      <c r="IT35" s="11">
        <v>279141</v>
      </c>
      <c r="IU35" s="11">
        <v>265025</v>
      </c>
      <c r="IV35" s="11">
        <v>284285</v>
      </c>
      <c r="IW35" s="27">
        <f t="shared" si="22"/>
        <v>3538886</v>
      </c>
      <c r="IX35" s="11">
        <v>147713</v>
      </c>
      <c r="IY35" s="11">
        <v>153609</v>
      </c>
      <c r="IZ35" s="11">
        <v>148682</v>
      </c>
      <c r="JA35" s="11">
        <v>155814</v>
      </c>
      <c r="JB35" s="11">
        <v>150714</v>
      </c>
      <c r="JC35" s="11">
        <v>132448</v>
      </c>
      <c r="JD35" s="11">
        <v>143722</v>
      </c>
      <c r="JE35" s="11">
        <v>137905</v>
      </c>
      <c r="JF35" s="11">
        <v>128694</v>
      </c>
      <c r="JG35" s="11">
        <v>136142</v>
      </c>
      <c r="JH35" s="11">
        <v>124430</v>
      </c>
      <c r="JI35" s="11">
        <v>137098</v>
      </c>
      <c r="JJ35" s="27">
        <f t="shared" si="23"/>
        <v>1696971</v>
      </c>
      <c r="JK35" s="11">
        <v>145654</v>
      </c>
      <c r="JL35" s="11">
        <v>143800</v>
      </c>
      <c r="JM35" s="11">
        <v>135615</v>
      </c>
      <c r="JN35" s="11">
        <v>189869</v>
      </c>
      <c r="JO35" s="11">
        <v>205138</v>
      </c>
      <c r="JP35" s="11">
        <v>143091</v>
      </c>
      <c r="JQ35" s="11">
        <v>153583</v>
      </c>
      <c r="JR35" s="11">
        <v>142939</v>
      </c>
      <c r="JS35" s="11">
        <v>116456</v>
      </c>
      <c r="JT35" s="11">
        <v>139629</v>
      </c>
      <c r="JU35" s="11">
        <v>137221</v>
      </c>
      <c r="JV35" s="11">
        <v>143332</v>
      </c>
      <c r="JW35" s="27">
        <f t="shared" si="24"/>
        <v>1796327</v>
      </c>
      <c r="JX35" s="11">
        <v>3492</v>
      </c>
      <c r="JY35" s="11">
        <v>3453</v>
      </c>
      <c r="JZ35" s="11">
        <v>3387</v>
      </c>
      <c r="KA35" s="11">
        <v>4481</v>
      </c>
      <c r="KB35" s="11">
        <v>5079</v>
      </c>
      <c r="KC35" s="11">
        <v>3840</v>
      </c>
      <c r="KD35" s="11">
        <v>4164</v>
      </c>
      <c r="KE35" s="11">
        <v>3726</v>
      </c>
      <c r="KF35" s="11">
        <v>3364</v>
      </c>
      <c r="KG35" s="11">
        <v>3370</v>
      </c>
      <c r="KH35" s="11">
        <v>3374</v>
      </c>
      <c r="KI35" s="11">
        <v>3855</v>
      </c>
      <c r="KJ35" s="27">
        <f t="shared" si="25"/>
        <v>45585</v>
      </c>
      <c r="KK35" s="11">
        <v>3710</v>
      </c>
      <c r="KL35" s="11">
        <v>3597</v>
      </c>
      <c r="KM35" s="11">
        <v>2877</v>
      </c>
      <c r="KN35" s="11">
        <v>2917</v>
      </c>
      <c r="KO35" s="11">
        <v>3306</v>
      </c>
      <c r="KP35" s="11">
        <v>2992</v>
      </c>
      <c r="KQ35" s="11">
        <v>3039</v>
      </c>
      <c r="KR35" s="11">
        <v>2775</v>
      </c>
      <c r="KS35" s="11">
        <v>2239</v>
      </c>
      <c r="KT35" s="11">
        <v>2559</v>
      </c>
      <c r="KU35" s="11">
        <v>2147</v>
      </c>
      <c r="KV35" s="11">
        <v>2536</v>
      </c>
      <c r="KW35" s="27">
        <f t="shared" si="26"/>
        <v>34694</v>
      </c>
      <c r="KX35" s="11">
        <v>3657</v>
      </c>
      <c r="KY35" s="11">
        <v>3557</v>
      </c>
      <c r="KZ35" s="11">
        <v>2853</v>
      </c>
      <c r="LA35" s="11">
        <v>2869</v>
      </c>
      <c r="LB35" s="11">
        <v>3188</v>
      </c>
      <c r="LC35" s="11">
        <v>2974</v>
      </c>
      <c r="LD35" s="11">
        <v>2985</v>
      </c>
      <c r="LE35" s="11">
        <v>2722</v>
      </c>
      <c r="LF35" s="11">
        <v>2210</v>
      </c>
      <c r="LG35" s="11">
        <v>2515</v>
      </c>
      <c r="LH35" s="11">
        <v>2112</v>
      </c>
      <c r="LI35" s="11">
        <v>2508</v>
      </c>
      <c r="LJ35" s="27">
        <f t="shared" si="27"/>
        <v>34150</v>
      </c>
      <c r="LK35" s="11">
        <v>52</v>
      </c>
      <c r="LL35" s="11">
        <v>40</v>
      </c>
      <c r="LM35" s="11">
        <v>24</v>
      </c>
      <c r="LN35" s="11">
        <v>48</v>
      </c>
      <c r="LO35" s="11">
        <v>116</v>
      </c>
      <c r="LP35" s="11">
        <v>18</v>
      </c>
      <c r="LQ35" s="11">
        <v>54</v>
      </c>
      <c r="LR35" s="11">
        <v>53</v>
      </c>
      <c r="LS35" s="11">
        <v>29</v>
      </c>
      <c r="LT35" s="11">
        <v>44</v>
      </c>
      <c r="LU35" s="11">
        <v>35</v>
      </c>
      <c r="LV35" s="11">
        <v>28</v>
      </c>
      <c r="LW35" s="27">
        <f t="shared" si="28"/>
        <v>541</v>
      </c>
      <c r="LX35" s="11">
        <v>1</v>
      </c>
      <c r="LY35" s="11">
        <v>0</v>
      </c>
      <c r="LZ35" s="11">
        <v>0</v>
      </c>
      <c r="MA35" s="11">
        <v>0</v>
      </c>
      <c r="MB35" s="11">
        <v>2</v>
      </c>
      <c r="MC35" s="11">
        <v>0</v>
      </c>
      <c r="MD35" s="11">
        <v>0</v>
      </c>
      <c r="ME35" s="11">
        <v>0</v>
      </c>
      <c r="MF35" s="11">
        <v>0</v>
      </c>
      <c r="MG35" s="11">
        <v>0</v>
      </c>
      <c r="MH35" s="11">
        <v>0</v>
      </c>
      <c r="MI35" s="11">
        <v>0</v>
      </c>
      <c r="MJ35" s="27">
        <f t="shared" si="29"/>
        <v>3</v>
      </c>
      <c r="MK35" s="11">
        <v>26117</v>
      </c>
      <c r="ML35" s="11">
        <v>27322</v>
      </c>
      <c r="MM35" s="11">
        <v>25899</v>
      </c>
      <c r="MN35" s="11">
        <v>27405</v>
      </c>
      <c r="MO35" s="11">
        <v>28155</v>
      </c>
      <c r="MP35" s="11">
        <v>26730</v>
      </c>
      <c r="MQ35" s="11">
        <v>27770</v>
      </c>
      <c r="MR35" s="11">
        <v>25865</v>
      </c>
      <c r="MS35" s="11">
        <v>25431</v>
      </c>
      <c r="MT35" s="11">
        <v>27925</v>
      </c>
      <c r="MU35" s="11">
        <v>25354</v>
      </c>
      <c r="MV35" s="11">
        <v>27778</v>
      </c>
      <c r="MW35" s="27">
        <f t="shared" si="30"/>
        <v>321751</v>
      </c>
      <c r="MX35" s="11">
        <v>23082</v>
      </c>
      <c r="MY35" s="11">
        <v>24213</v>
      </c>
      <c r="MZ35" s="11">
        <v>23104</v>
      </c>
      <c r="NA35" s="11">
        <v>23925</v>
      </c>
      <c r="NB35" s="11">
        <v>24524</v>
      </c>
      <c r="NC35" s="11">
        <v>23569</v>
      </c>
      <c r="ND35" s="11">
        <v>24421</v>
      </c>
      <c r="NE35" s="11">
        <v>22815</v>
      </c>
      <c r="NF35" s="11">
        <v>22520</v>
      </c>
      <c r="NG35" s="11">
        <v>24406</v>
      </c>
      <c r="NH35" s="11">
        <v>22328</v>
      </c>
      <c r="NI35" s="11">
        <v>24327</v>
      </c>
      <c r="NJ35" s="27">
        <f t="shared" si="31"/>
        <v>283234</v>
      </c>
      <c r="NK35" s="11">
        <v>2081</v>
      </c>
      <c r="NL35" s="11">
        <v>2069</v>
      </c>
      <c r="NM35" s="11">
        <v>1834</v>
      </c>
      <c r="NN35" s="11">
        <v>2389</v>
      </c>
      <c r="NO35" s="11">
        <v>2475</v>
      </c>
      <c r="NP35" s="11">
        <v>2128</v>
      </c>
      <c r="NQ35" s="11">
        <v>2281</v>
      </c>
      <c r="NR35" s="11">
        <v>2170</v>
      </c>
      <c r="NS35" s="11">
        <v>2004</v>
      </c>
      <c r="NT35" s="11">
        <v>2459</v>
      </c>
      <c r="NU35" s="11">
        <v>2140</v>
      </c>
      <c r="NV35" s="11">
        <v>2465</v>
      </c>
      <c r="NW35" s="27">
        <f t="shared" si="32"/>
        <v>26495</v>
      </c>
      <c r="NX35" s="11">
        <v>954</v>
      </c>
      <c r="NY35" s="11">
        <v>1040</v>
      </c>
      <c r="NZ35" s="11">
        <v>961</v>
      </c>
      <c r="OA35" s="11">
        <v>1091</v>
      </c>
      <c r="OB35" s="11">
        <v>1156</v>
      </c>
      <c r="OC35" s="11">
        <v>1033</v>
      </c>
      <c r="OD35" s="11">
        <v>1068</v>
      </c>
      <c r="OE35" s="11">
        <v>880</v>
      </c>
      <c r="OF35" s="11">
        <v>907</v>
      </c>
      <c r="OG35" s="11">
        <v>1060</v>
      </c>
      <c r="OH35" s="11">
        <v>886</v>
      </c>
      <c r="OI35" s="11">
        <v>986</v>
      </c>
      <c r="OJ35" s="27">
        <f t="shared" si="33"/>
        <v>12022</v>
      </c>
      <c r="OK35" s="11">
        <v>41974</v>
      </c>
      <c r="OL35" s="11">
        <v>43802</v>
      </c>
      <c r="OM35" s="11">
        <v>41979</v>
      </c>
      <c r="ON35" s="11">
        <v>33972</v>
      </c>
      <c r="OO35" s="11">
        <v>45485</v>
      </c>
      <c r="OP35" s="11">
        <v>44863</v>
      </c>
      <c r="OQ35" s="11">
        <v>46738</v>
      </c>
      <c r="OR35" s="11">
        <v>44449</v>
      </c>
      <c r="OS35" s="11">
        <v>43647</v>
      </c>
      <c r="OT35" s="11">
        <v>49222</v>
      </c>
      <c r="OU35" s="11">
        <v>45151</v>
      </c>
      <c r="OV35" s="11">
        <v>49965</v>
      </c>
      <c r="OW35" s="27">
        <f t="shared" si="34"/>
        <v>531247</v>
      </c>
      <c r="OX35" s="11">
        <v>35099</v>
      </c>
      <c r="OY35" s="11">
        <v>36499</v>
      </c>
      <c r="OZ35" s="11">
        <v>35310</v>
      </c>
      <c r="PA35" s="11">
        <v>26544</v>
      </c>
      <c r="PB35" s="11">
        <v>37788</v>
      </c>
      <c r="PC35" s="11">
        <v>37961</v>
      </c>
      <c r="PD35" s="11">
        <v>39318</v>
      </c>
      <c r="PE35" s="11">
        <v>37170</v>
      </c>
      <c r="PF35" s="11">
        <v>36540</v>
      </c>
      <c r="PG35" s="11">
        <v>40971</v>
      </c>
      <c r="PH35" s="11">
        <v>37793</v>
      </c>
      <c r="PI35" s="11">
        <v>42034</v>
      </c>
      <c r="PJ35" s="27">
        <f t="shared" si="35"/>
        <v>443027</v>
      </c>
      <c r="PK35" s="11">
        <v>5371</v>
      </c>
      <c r="PL35" s="11">
        <v>5686</v>
      </c>
      <c r="PM35" s="11">
        <v>5134</v>
      </c>
      <c r="PN35" s="11">
        <v>5848</v>
      </c>
      <c r="PO35" s="11">
        <v>5950</v>
      </c>
      <c r="PP35" s="11">
        <v>5304</v>
      </c>
      <c r="PQ35" s="11">
        <v>5809</v>
      </c>
      <c r="PR35" s="11">
        <v>5811</v>
      </c>
      <c r="PS35" s="11">
        <v>5701</v>
      </c>
      <c r="PT35" s="11">
        <v>6554</v>
      </c>
      <c r="PU35" s="11">
        <v>5745</v>
      </c>
      <c r="PV35" s="11">
        <v>6088</v>
      </c>
      <c r="PW35" s="27">
        <f t="shared" si="36"/>
        <v>69001</v>
      </c>
      <c r="PX35" s="11">
        <v>1504</v>
      </c>
      <c r="PY35" s="11">
        <v>1617</v>
      </c>
      <c r="PZ35" s="11">
        <v>1535</v>
      </c>
      <c r="QA35" s="11">
        <v>1580</v>
      </c>
      <c r="QB35" s="11">
        <v>1747</v>
      </c>
      <c r="QC35" s="11">
        <v>1598</v>
      </c>
      <c r="QD35" s="11">
        <v>1611</v>
      </c>
      <c r="QE35" s="11">
        <v>1468</v>
      </c>
      <c r="QF35" s="11">
        <v>1406</v>
      </c>
      <c r="QG35" s="11">
        <v>1697</v>
      </c>
      <c r="QH35" s="11">
        <v>1613</v>
      </c>
      <c r="QI35" s="11">
        <v>1843</v>
      </c>
      <c r="QJ35" s="27">
        <f t="shared" si="37"/>
        <v>19219</v>
      </c>
      <c r="QK35" s="11">
        <v>114580</v>
      </c>
      <c r="QL35" s="11">
        <v>116889</v>
      </c>
      <c r="QM35" s="11">
        <v>115772</v>
      </c>
      <c r="QN35" s="11">
        <v>128414</v>
      </c>
      <c r="QO35" s="11">
        <v>134960</v>
      </c>
      <c r="QP35" s="11">
        <v>121693</v>
      </c>
      <c r="QQ35" s="11">
        <v>130868</v>
      </c>
      <c r="QR35" s="11">
        <v>125528</v>
      </c>
      <c r="QS35" s="11">
        <v>105516</v>
      </c>
      <c r="QT35" s="11">
        <v>126269</v>
      </c>
      <c r="QU35" s="11">
        <v>124000</v>
      </c>
      <c r="QV35" s="11">
        <v>140083</v>
      </c>
      <c r="QW35" s="27">
        <f t="shared" si="38"/>
        <v>1484572</v>
      </c>
      <c r="QX35" s="11">
        <v>151026</v>
      </c>
      <c r="QY35" s="11">
        <v>148383</v>
      </c>
      <c r="QZ35" s="11">
        <v>136580</v>
      </c>
      <c r="RA35" s="11">
        <v>162453</v>
      </c>
      <c r="RB35" s="11">
        <v>150894</v>
      </c>
      <c r="RC35" s="11">
        <v>132171</v>
      </c>
      <c r="RD35" s="11">
        <v>127252</v>
      </c>
      <c r="RE35" s="11">
        <v>125524</v>
      </c>
      <c r="RF35" s="11">
        <v>102064</v>
      </c>
      <c r="RG35" s="11">
        <v>128925</v>
      </c>
      <c r="RH35" s="11">
        <v>132532</v>
      </c>
      <c r="RI35" s="11">
        <v>130725</v>
      </c>
      <c r="RJ35" s="27">
        <f t="shared" si="39"/>
        <v>1628529</v>
      </c>
      <c r="RK35" s="11"/>
      <c r="RL35" s="11"/>
      <c r="RM35" s="11"/>
      <c r="RN35" s="11"/>
      <c r="RO35" s="11"/>
      <c r="RP35" s="11"/>
      <c r="RQ35" s="11"/>
      <c r="RR35" s="11"/>
      <c r="RS35" s="11"/>
      <c r="RT35" s="11"/>
      <c r="RU35" s="11"/>
      <c r="RV35" s="11"/>
      <c r="RW35" s="27">
        <f t="shared" si="40"/>
        <v>0</v>
      </c>
      <c r="RX35" s="11">
        <v>419</v>
      </c>
      <c r="RY35" s="11">
        <v>464</v>
      </c>
      <c r="RZ35" s="11">
        <v>600</v>
      </c>
      <c r="SA35" s="11">
        <v>540</v>
      </c>
      <c r="SB35" s="11">
        <v>445</v>
      </c>
      <c r="SC35" s="11">
        <v>630</v>
      </c>
      <c r="SD35" s="11">
        <v>677</v>
      </c>
      <c r="SE35" s="11">
        <v>643</v>
      </c>
      <c r="SF35" s="11">
        <v>561</v>
      </c>
      <c r="SG35" s="11">
        <v>645</v>
      </c>
      <c r="SH35" s="11">
        <v>551</v>
      </c>
      <c r="SI35" s="11">
        <v>648</v>
      </c>
      <c r="SJ35" s="27">
        <f t="shared" si="41"/>
        <v>6823</v>
      </c>
      <c r="SK35" s="11">
        <v>330</v>
      </c>
      <c r="SL35" s="11">
        <v>339</v>
      </c>
      <c r="SM35" s="11">
        <v>289</v>
      </c>
      <c r="SN35" s="11">
        <v>250</v>
      </c>
      <c r="SO35" s="11">
        <v>330</v>
      </c>
      <c r="SP35" s="11">
        <v>276</v>
      </c>
      <c r="SQ35" s="11">
        <v>304</v>
      </c>
      <c r="SR35" s="11">
        <v>307</v>
      </c>
      <c r="SS35" s="11">
        <v>271</v>
      </c>
      <c r="ST35" s="11">
        <v>297</v>
      </c>
      <c r="SU35" s="11">
        <v>258</v>
      </c>
      <c r="SV35" s="11">
        <v>300</v>
      </c>
      <c r="SW35" s="27">
        <f t="shared" si="42"/>
        <v>3551</v>
      </c>
      <c r="SX35" s="28" t="s">
        <v>2673</v>
      </c>
      <c r="SY35" s="11">
        <v>17961</v>
      </c>
      <c r="SZ35" s="11">
        <v>17979</v>
      </c>
      <c r="TA35" s="11">
        <v>16982</v>
      </c>
      <c r="TB35" s="11">
        <v>17881</v>
      </c>
      <c r="TC35" s="11">
        <v>17066</v>
      </c>
      <c r="TD35" s="11">
        <v>16125</v>
      </c>
      <c r="TE35" s="11">
        <v>17166</v>
      </c>
      <c r="TF35" s="11">
        <v>16430</v>
      </c>
      <c r="TG35" s="11">
        <v>13368</v>
      </c>
      <c r="TH35" s="11">
        <v>16774</v>
      </c>
      <c r="TI35" s="11">
        <v>15896</v>
      </c>
      <c r="TJ35" s="11">
        <v>17810</v>
      </c>
      <c r="TK35" s="27">
        <f t="shared" si="43"/>
        <v>201438</v>
      </c>
      <c r="TL35" s="11"/>
      <c r="TM35" s="11"/>
      <c r="TN35" s="11"/>
      <c r="TO35" s="11">
        <v>12678</v>
      </c>
      <c r="TP35" s="11">
        <v>11512</v>
      </c>
      <c r="TQ35" s="11">
        <v>11349</v>
      </c>
      <c r="TR35" s="11">
        <v>11699</v>
      </c>
      <c r="TS35" s="11"/>
      <c r="TT35" s="11"/>
      <c r="TU35" s="11"/>
      <c r="TV35" s="11"/>
      <c r="TW35" s="11"/>
      <c r="TX35" s="27">
        <f t="shared" si="44"/>
        <v>47238</v>
      </c>
      <c r="TY35" s="11">
        <v>431</v>
      </c>
      <c r="TZ35" s="11">
        <v>0</v>
      </c>
      <c r="UA35" s="11">
        <v>0</v>
      </c>
    </row>
    <row r="36" spans="1:547" ht="16" customHeight="1" x14ac:dyDescent="0.35">
      <c r="A36" s="11" t="s">
        <v>1542</v>
      </c>
      <c r="B36" s="11">
        <v>28783</v>
      </c>
      <c r="C36" s="11">
        <v>5926</v>
      </c>
      <c r="D36" s="11">
        <v>16314</v>
      </c>
      <c r="E36" s="11">
        <v>5056</v>
      </c>
      <c r="F36" s="11">
        <v>139</v>
      </c>
      <c r="G36" s="11">
        <v>189</v>
      </c>
      <c r="H36" s="11">
        <v>178</v>
      </c>
      <c r="I36" s="11">
        <v>172</v>
      </c>
      <c r="J36" s="11">
        <v>145</v>
      </c>
      <c r="K36" s="11">
        <v>138</v>
      </c>
      <c r="L36" s="11">
        <v>188</v>
      </c>
      <c r="M36" s="11">
        <v>207</v>
      </c>
      <c r="N36" s="11">
        <v>129</v>
      </c>
      <c r="O36" s="11">
        <v>177</v>
      </c>
      <c r="P36" s="11" t="s">
        <v>2865</v>
      </c>
      <c r="Q36" s="11">
        <v>177</v>
      </c>
      <c r="R36" s="11">
        <v>139</v>
      </c>
      <c r="S36" s="26">
        <f t="shared" si="0"/>
        <v>1978</v>
      </c>
      <c r="T36" s="11">
        <v>15</v>
      </c>
      <c r="U36" s="11">
        <v>23</v>
      </c>
      <c r="V36" s="11">
        <v>25</v>
      </c>
      <c r="W36" s="11">
        <v>19</v>
      </c>
      <c r="X36" s="11">
        <v>13</v>
      </c>
      <c r="Y36" s="11">
        <v>27</v>
      </c>
      <c r="Z36" s="11">
        <v>26</v>
      </c>
      <c r="AA36" s="11">
        <v>28</v>
      </c>
      <c r="AB36" s="11">
        <v>13</v>
      </c>
      <c r="AC36" s="11">
        <v>17</v>
      </c>
      <c r="AD36" s="11">
        <v>25</v>
      </c>
      <c r="AE36" s="11">
        <v>20</v>
      </c>
      <c r="AF36" s="26">
        <f t="shared" si="1"/>
        <v>251</v>
      </c>
      <c r="AG36" s="11">
        <v>92</v>
      </c>
      <c r="AH36" s="11">
        <v>132</v>
      </c>
      <c r="AI36" s="11">
        <v>112</v>
      </c>
      <c r="AJ36" s="11">
        <v>109</v>
      </c>
      <c r="AK36" s="11">
        <v>98</v>
      </c>
      <c r="AL36" s="11">
        <v>73</v>
      </c>
      <c r="AM36" s="11">
        <v>121</v>
      </c>
      <c r="AN36" s="11">
        <v>133</v>
      </c>
      <c r="AO36" s="11">
        <v>77</v>
      </c>
      <c r="AP36" s="11">
        <v>95</v>
      </c>
      <c r="AQ36" s="11">
        <v>103</v>
      </c>
      <c r="AR36" s="11">
        <v>91</v>
      </c>
      <c r="AS36" s="26">
        <f t="shared" si="2"/>
        <v>1236</v>
      </c>
      <c r="AT36" s="11">
        <v>8</v>
      </c>
      <c r="AU36" s="11">
        <v>9</v>
      </c>
      <c r="AV36" s="11">
        <v>6</v>
      </c>
      <c r="AW36" s="11">
        <v>0</v>
      </c>
      <c r="AX36" s="11">
        <v>2</v>
      </c>
      <c r="AY36" s="11">
        <v>4</v>
      </c>
      <c r="AZ36" s="11">
        <v>6</v>
      </c>
      <c r="BA36" s="11">
        <v>8</v>
      </c>
      <c r="BB36" s="11">
        <v>5</v>
      </c>
      <c r="BC36" s="11">
        <v>5</v>
      </c>
      <c r="BD36" s="11">
        <v>5</v>
      </c>
      <c r="BE36" s="11">
        <v>2</v>
      </c>
      <c r="BF36" s="26">
        <f t="shared" si="3"/>
        <v>60</v>
      </c>
      <c r="BG36" s="11">
        <v>24</v>
      </c>
      <c r="BH36" s="11">
        <v>25</v>
      </c>
      <c r="BI36" s="11">
        <v>35</v>
      </c>
      <c r="BJ36" s="11">
        <v>44</v>
      </c>
      <c r="BK36" s="11">
        <v>32</v>
      </c>
      <c r="BL36" s="11">
        <v>34</v>
      </c>
      <c r="BM36" s="11">
        <v>35</v>
      </c>
      <c r="BN36" s="11">
        <v>38</v>
      </c>
      <c r="BO36" s="11">
        <v>34</v>
      </c>
      <c r="BP36" s="11">
        <v>60</v>
      </c>
      <c r="BQ36" s="11">
        <v>44</v>
      </c>
      <c r="BR36" s="11">
        <v>26</v>
      </c>
      <c r="BS36" s="26">
        <f t="shared" si="4"/>
        <v>431</v>
      </c>
      <c r="BT36" s="11">
        <v>0</v>
      </c>
      <c r="BU36" s="11">
        <v>0</v>
      </c>
      <c r="BV36" s="11">
        <v>0</v>
      </c>
      <c r="BW36" s="11">
        <v>0</v>
      </c>
      <c r="BX36" s="11">
        <v>0</v>
      </c>
      <c r="BY36" s="11">
        <v>0</v>
      </c>
      <c r="BZ36" s="11">
        <v>0</v>
      </c>
      <c r="CA36" s="11">
        <v>0</v>
      </c>
      <c r="CB36" s="11">
        <v>0</v>
      </c>
      <c r="CC36" s="11">
        <v>0</v>
      </c>
      <c r="CD36" s="11">
        <v>0</v>
      </c>
      <c r="CE36" s="11">
        <v>0</v>
      </c>
      <c r="CF36" s="26">
        <f t="shared" si="5"/>
        <v>0</v>
      </c>
      <c r="CG36" s="11">
        <v>0</v>
      </c>
      <c r="CH36" s="11">
        <v>0</v>
      </c>
      <c r="CI36" s="11">
        <v>0</v>
      </c>
      <c r="CJ36" s="11">
        <v>0</v>
      </c>
      <c r="CK36" s="11">
        <v>0</v>
      </c>
      <c r="CL36" s="11">
        <v>0</v>
      </c>
      <c r="CM36" s="11">
        <v>0</v>
      </c>
      <c r="CN36" s="11">
        <v>0</v>
      </c>
      <c r="CO36" s="11">
        <v>0</v>
      </c>
      <c r="CP36" s="11">
        <v>0</v>
      </c>
      <c r="CQ36" s="11">
        <v>0</v>
      </c>
      <c r="CR36" s="11">
        <v>0</v>
      </c>
      <c r="CS36" s="26">
        <f t="shared" si="6"/>
        <v>0</v>
      </c>
      <c r="CT36" s="11">
        <v>0</v>
      </c>
      <c r="CU36" s="11">
        <v>0</v>
      </c>
      <c r="CV36" s="11">
        <v>0</v>
      </c>
      <c r="CW36" s="11">
        <v>0</v>
      </c>
      <c r="CX36" s="11">
        <v>0</v>
      </c>
      <c r="CY36" s="11">
        <v>0</v>
      </c>
      <c r="CZ36" s="11">
        <v>0</v>
      </c>
      <c r="DA36" s="11">
        <v>0</v>
      </c>
      <c r="DB36" s="11">
        <v>0</v>
      </c>
      <c r="DC36" s="11">
        <v>0</v>
      </c>
      <c r="DD36" s="11">
        <v>0</v>
      </c>
      <c r="DE36" s="11">
        <v>0</v>
      </c>
      <c r="DF36" s="26">
        <f t="shared" si="7"/>
        <v>0</v>
      </c>
      <c r="DG36" s="11">
        <v>0</v>
      </c>
      <c r="DH36" s="11">
        <v>0</v>
      </c>
      <c r="DI36" s="11">
        <v>0</v>
      </c>
      <c r="DJ36" s="11">
        <v>0</v>
      </c>
      <c r="DK36" s="11">
        <v>0</v>
      </c>
      <c r="DL36" s="11">
        <v>0</v>
      </c>
      <c r="DM36" s="11">
        <v>0</v>
      </c>
      <c r="DN36" s="11">
        <v>0</v>
      </c>
      <c r="DO36" s="11">
        <v>0</v>
      </c>
      <c r="DP36" s="11">
        <v>0</v>
      </c>
      <c r="DQ36" s="11">
        <v>0</v>
      </c>
      <c r="DR36" s="11">
        <v>0</v>
      </c>
      <c r="DS36" s="26">
        <f t="shared" si="8"/>
        <v>0</v>
      </c>
      <c r="DT36" s="11">
        <v>0</v>
      </c>
      <c r="DU36" s="11">
        <v>0</v>
      </c>
      <c r="DV36" s="11">
        <v>0</v>
      </c>
      <c r="DW36" s="11">
        <v>0</v>
      </c>
      <c r="DX36" s="11">
        <v>0</v>
      </c>
      <c r="DY36" s="11">
        <v>0</v>
      </c>
      <c r="DZ36" s="11">
        <v>0</v>
      </c>
      <c r="EA36" s="11">
        <v>0</v>
      </c>
      <c r="EB36" s="11">
        <v>0</v>
      </c>
      <c r="EC36" s="11">
        <v>0</v>
      </c>
      <c r="ED36" s="11">
        <v>0</v>
      </c>
      <c r="EE36" s="11">
        <v>0</v>
      </c>
      <c r="EF36" s="26">
        <f t="shared" si="9"/>
        <v>0</v>
      </c>
      <c r="EG36" s="9">
        <f t="shared" si="10"/>
        <v>1978</v>
      </c>
      <c r="EH36" s="9">
        <f t="shared" si="11"/>
        <v>0</v>
      </c>
      <c r="EI36" s="11">
        <v>2191</v>
      </c>
      <c r="EJ36" s="11">
        <v>3645</v>
      </c>
      <c r="EK36" s="11">
        <v>3365</v>
      </c>
      <c r="EL36" s="11">
        <v>3824</v>
      </c>
      <c r="EM36" s="11">
        <v>1976</v>
      </c>
      <c r="EN36" s="11">
        <v>1536</v>
      </c>
      <c r="EO36" s="11">
        <v>2857</v>
      </c>
      <c r="EP36" s="11">
        <v>6251</v>
      </c>
      <c r="EQ36" s="11">
        <v>2809</v>
      </c>
      <c r="ER36" s="11">
        <v>2494</v>
      </c>
      <c r="ES36" s="11">
        <v>2781</v>
      </c>
      <c r="ET36" s="11">
        <v>2341</v>
      </c>
      <c r="EU36" s="26">
        <f t="shared" si="12"/>
        <v>36070</v>
      </c>
      <c r="EV36" s="11">
        <v>994</v>
      </c>
      <c r="EW36" s="11">
        <v>1200</v>
      </c>
      <c r="EX36" s="11">
        <v>1146</v>
      </c>
      <c r="EY36" s="11">
        <v>1299</v>
      </c>
      <c r="EZ36" s="11">
        <v>943</v>
      </c>
      <c r="FA36" s="11">
        <v>867</v>
      </c>
      <c r="FB36" s="11">
        <v>1224</v>
      </c>
      <c r="FC36" s="11">
        <v>1424</v>
      </c>
      <c r="FD36" s="11">
        <v>1202</v>
      </c>
      <c r="FE36" s="11">
        <v>1124</v>
      </c>
      <c r="FF36" s="11">
        <v>1215</v>
      </c>
      <c r="FG36" s="11">
        <v>952</v>
      </c>
      <c r="FH36" s="26">
        <f t="shared" si="13"/>
        <v>13590</v>
      </c>
      <c r="FI36" s="11">
        <v>1094</v>
      </c>
      <c r="FJ36" s="11">
        <v>2353</v>
      </c>
      <c r="FK36" s="11">
        <v>2087</v>
      </c>
      <c r="FL36" s="11">
        <v>2491</v>
      </c>
      <c r="FM36" s="11">
        <v>995</v>
      </c>
      <c r="FN36" s="11">
        <v>614</v>
      </c>
      <c r="FO36" s="11">
        <v>1553</v>
      </c>
      <c r="FP36" s="11">
        <v>4677</v>
      </c>
      <c r="FQ36" s="11">
        <v>1515</v>
      </c>
      <c r="FR36" s="11">
        <v>1272</v>
      </c>
      <c r="FS36" s="11">
        <v>1489</v>
      </c>
      <c r="FT36" s="11">
        <v>1349</v>
      </c>
      <c r="FU36" s="26">
        <f t="shared" si="14"/>
        <v>21489</v>
      </c>
      <c r="FV36" s="11">
        <v>103</v>
      </c>
      <c r="FW36" s="11">
        <v>92</v>
      </c>
      <c r="FX36" s="11">
        <v>132</v>
      </c>
      <c r="FY36" s="11">
        <v>34</v>
      </c>
      <c r="FZ36" s="11">
        <v>38</v>
      </c>
      <c r="GA36" s="11">
        <v>55</v>
      </c>
      <c r="GB36" s="11">
        <v>80</v>
      </c>
      <c r="GC36" s="11">
        <v>150</v>
      </c>
      <c r="GD36" s="11">
        <v>92</v>
      </c>
      <c r="GE36" s="11">
        <v>98</v>
      </c>
      <c r="GF36" s="11">
        <v>77</v>
      </c>
      <c r="GG36" s="11">
        <v>40</v>
      </c>
      <c r="GH36" s="26">
        <f t="shared" si="15"/>
        <v>991</v>
      </c>
      <c r="GI36" s="11">
        <v>0</v>
      </c>
      <c r="GJ36" s="11">
        <v>0</v>
      </c>
      <c r="GK36" s="11">
        <v>0</v>
      </c>
      <c r="GL36" s="11">
        <v>0</v>
      </c>
      <c r="GM36" s="11">
        <v>0</v>
      </c>
      <c r="GN36" s="11">
        <v>0</v>
      </c>
      <c r="GO36" s="11">
        <v>0</v>
      </c>
      <c r="GP36" s="11">
        <v>0</v>
      </c>
      <c r="GQ36" s="11">
        <v>0</v>
      </c>
      <c r="GR36" s="11">
        <v>0</v>
      </c>
      <c r="GS36" s="11">
        <v>0</v>
      </c>
      <c r="GT36" s="11">
        <v>0</v>
      </c>
      <c r="GU36" s="26">
        <f t="shared" si="16"/>
        <v>0</v>
      </c>
      <c r="GV36" s="11">
        <v>0</v>
      </c>
      <c r="GW36" s="11">
        <v>0</v>
      </c>
      <c r="GX36" s="11">
        <v>0</v>
      </c>
      <c r="GY36" s="11">
        <v>0</v>
      </c>
      <c r="GZ36" s="11">
        <v>0</v>
      </c>
      <c r="HA36" s="11">
        <v>0</v>
      </c>
      <c r="HB36" s="11">
        <v>0</v>
      </c>
      <c r="HC36" s="11">
        <v>0</v>
      </c>
      <c r="HD36" s="11">
        <v>0</v>
      </c>
      <c r="HE36" s="11">
        <v>0</v>
      </c>
      <c r="HF36" s="11">
        <v>0</v>
      </c>
      <c r="HG36" s="11">
        <v>0</v>
      </c>
      <c r="HH36" s="26">
        <f t="shared" si="17"/>
        <v>0</v>
      </c>
      <c r="HI36" s="11">
        <v>0</v>
      </c>
      <c r="HJ36" s="11">
        <v>0</v>
      </c>
      <c r="HK36" s="11">
        <v>0</v>
      </c>
      <c r="HL36" s="11">
        <v>0</v>
      </c>
      <c r="HM36" s="11">
        <v>0</v>
      </c>
      <c r="HN36" s="11">
        <v>0</v>
      </c>
      <c r="HO36" s="11">
        <v>0</v>
      </c>
      <c r="HP36" s="11">
        <v>0</v>
      </c>
      <c r="HQ36" s="11">
        <v>0</v>
      </c>
      <c r="HR36" s="11">
        <v>0</v>
      </c>
      <c r="HS36" s="11">
        <v>0</v>
      </c>
      <c r="HT36" s="11">
        <v>0</v>
      </c>
      <c r="HU36" s="26">
        <f t="shared" si="18"/>
        <v>0</v>
      </c>
      <c r="HV36" s="11">
        <v>0</v>
      </c>
      <c r="HW36" s="11">
        <v>0</v>
      </c>
      <c r="HX36" s="11">
        <v>0</v>
      </c>
      <c r="HY36" s="11">
        <v>0</v>
      </c>
      <c r="HZ36" s="11">
        <v>0</v>
      </c>
      <c r="IA36" s="11">
        <v>0</v>
      </c>
      <c r="IB36" s="11">
        <v>0</v>
      </c>
      <c r="IC36" s="11">
        <v>0</v>
      </c>
      <c r="ID36" s="11">
        <v>0</v>
      </c>
      <c r="IE36" s="11">
        <v>0</v>
      </c>
      <c r="IF36" s="11">
        <v>0</v>
      </c>
      <c r="IG36" s="11">
        <v>0</v>
      </c>
      <c r="IH36" s="26">
        <f t="shared" si="19"/>
        <v>0</v>
      </c>
      <c r="II36" s="9">
        <f t="shared" si="20"/>
        <v>36070</v>
      </c>
      <c r="IJ36" s="9">
        <f t="shared" si="21"/>
        <v>0</v>
      </c>
      <c r="IK36" s="11">
        <v>33703</v>
      </c>
      <c r="IL36" s="11">
        <v>32184</v>
      </c>
      <c r="IM36" s="11">
        <v>30372</v>
      </c>
      <c r="IN36" s="11">
        <v>36494</v>
      </c>
      <c r="IO36" s="11">
        <v>35807</v>
      </c>
      <c r="IP36" s="11">
        <v>32397</v>
      </c>
      <c r="IQ36" s="11">
        <v>34645</v>
      </c>
      <c r="IR36" s="11">
        <v>31981</v>
      </c>
      <c r="IS36" s="11">
        <v>25338</v>
      </c>
      <c r="IT36" s="11">
        <v>32652</v>
      </c>
      <c r="IU36" s="11">
        <v>29597</v>
      </c>
      <c r="IV36" s="11">
        <v>29597</v>
      </c>
      <c r="IW36" s="27">
        <f t="shared" si="22"/>
        <v>384767</v>
      </c>
      <c r="IX36" s="11">
        <v>21026</v>
      </c>
      <c r="IY36" s="11">
        <v>20299</v>
      </c>
      <c r="IZ36" s="11">
        <v>20013</v>
      </c>
      <c r="JA36" s="11">
        <v>22710</v>
      </c>
      <c r="JB36" s="11">
        <v>21908</v>
      </c>
      <c r="JC36" s="11">
        <v>20775</v>
      </c>
      <c r="JD36" s="11">
        <v>22113</v>
      </c>
      <c r="JE36" s="11">
        <v>20238</v>
      </c>
      <c r="JF36" s="11">
        <v>17170</v>
      </c>
      <c r="JG36" s="11">
        <v>21536</v>
      </c>
      <c r="JH36" s="11">
        <v>18292</v>
      </c>
      <c r="JI36" s="11">
        <v>18425</v>
      </c>
      <c r="JJ36" s="27">
        <f t="shared" si="23"/>
        <v>244505</v>
      </c>
      <c r="JK36" s="11">
        <v>12259</v>
      </c>
      <c r="JL36" s="11">
        <v>11384</v>
      </c>
      <c r="JM36" s="11">
        <v>9924</v>
      </c>
      <c r="JN36" s="11">
        <v>13346</v>
      </c>
      <c r="JO36" s="11">
        <v>13458</v>
      </c>
      <c r="JP36" s="11">
        <v>11225</v>
      </c>
      <c r="JQ36" s="11">
        <v>12108</v>
      </c>
      <c r="JR36" s="11">
        <v>11334</v>
      </c>
      <c r="JS36" s="11">
        <v>7844</v>
      </c>
      <c r="JT36" s="11">
        <v>10686</v>
      </c>
      <c r="JU36" s="11">
        <v>10874</v>
      </c>
      <c r="JV36" s="11">
        <v>10319</v>
      </c>
      <c r="JW36" s="27">
        <f t="shared" si="24"/>
        <v>134761</v>
      </c>
      <c r="JX36" s="11">
        <v>418</v>
      </c>
      <c r="JY36" s="11">
        <v>501</v>
      </c>
      <c r="JZ36" s="11">
        <v>435</v>
      </c>
      <c r="KA36" s="11">
        <v>438</v>
      </c>
      <c r="KB36" s="11">
        <v>441</v>
      </c>
      <c r="KC36" s="11">
        <v>397</v>
      </c>
      <c r="KD36" s="11">
        <v>424</v>
      </c>
      <c r="KE36" s="11">
        <v>409</v>
      </c>
      <c r="KF36" s="11">
        <v>324</v>
      </c>
      <c r="KG36" s="11">
        <v>430</v>
      </c>
      <c r="KH36" s="11">
        <v>431</v>
      </c>
      <c r="KI36" s="11">
        <v>433</v>
      </c>
      <c r="KJ36" s="27">
        <f t="shared" si="25"/>
        <v>5081</v>
      </c>
      <c r="KK36" s="11">
        <v>991</v>
      </c>
      <c r="KL36" s="11">
        <v>947</v>
      </c>
      <c r="KM36" s="11">
        <v>908</v>
      </c>
      <c r="KN36" s="11">
        <v>1187</v>
      </c>
      <c r="KO36" s="11">
        <v>978</v>
      </c>
      <c r="KP36" s="11">
        <v>1092</v>
      </c>
      <c r="KQ36" s="11">
        <v>1064</v>
      </c>
      <c r="KR36" s="11">
        <v>985</v>
      </c>
      <c r="KS36" s="11">
        <v>1016</v>
      </c>
      <c r="KT36" s="11">
        <v>1063</v>
      </c>
      <c r="KU36" s="11">
        <v>1008</v>
      </c>
      <c r="KV36" s="11">
        <v>880</v>
      </c>
      <c r="KW36" s="27">
        <f t="shared" si="26"/>
        <v>12119</v>
      </c>
      <c r="KX36" s="11">
        <v>962</v>
      </c>
      <c r="KY36" s="11">
        <v>913</v>
      </c>
      <c r="KZ36" s="11">
        <v>887</v>
      </c>
      <c r="LA36" s="11">
        <v>1154</v>
      </c>
      <c r="LB36" s="11">
        <v>943</v>
      </c>
      <c r="LC36" s="11">
        <v>1054</v>
      </c>
      <c r="LD36" s="11">
        <v>1028</v>
      </c>
      <c r="LE36" s="11">
        <v>962</v>
      </c>
      <c r="LF36" s="11">
        <v>985</v>
      </c>
      <c r="LG36" s="11">
        <v>1037</v>
      </c>
      <c r="LH36" s="11">
        <v>991</v>
      </c>
      <c r="LI36" s="11">
        <v>862</v>
      </c>
      <c r="LJ36" s="27">
        <f t="shared" si="27"/>
        <v>11778</v>
      </c>
      <c r="LK36" s="11">
        <v>29</v>
      </c>
      <c r="LL36" s="11">
        <v>34</v>
      </c>
      <c r="LM36" s="11">
        <v>21</v>
      </c>
      <c r="LN36" s="11">
        <v>33</v>
      </c>
      <c r="LO36" s="11">
        <v>35</v>
      </c>
      <c r="LP36" s="11">
        <v>38</v>
      </c>
      <c r="LQ36" s="11">
        <v>36</v>
      </c>
      <c r="LR36" s="11">
        <v>23</v>
      </c>
      <c r="LS36" s="11">
        <v>31</v>
      </c>
      <c r="LT36" s="11">
        <v>26</v>
      </c>
      <c r="LU36" s="11">
        <v>17</v>
      </c>
      <c r="LV36" s="11">
        <v>18</v>
      </c>
      <c r="LW36" s="27">
        <f t="shared" si="28"/>
        <v>341</v>
      </c>
      <c r="LX36" s="11">
        <v>0</v>
      </c>
      <c r="LY36" s="11">
        <v>0</v>
      </c>
      <c r="LZ36" s="11">
        <v>0</v>
      </c>
      <c r="MA36" s="11">
        <v>0</v>
      </c>
      <c r="MB36" s="11">
        <v>0</v>
      </c>
      <c r="MC36" s="11">
        <v>0</v>
      </c>
      <c r="MD36" s="11">
        <v>0</v>
      </c>
      <c r="ME36" s="11">
        <v>0</v>
      </c>
      <c r="MF36" s="11">
        <v>0</v>
      </c>
      <c r="MG36" s="11">
        <v>0</v>
      </c>
      <c r="MH36" s="11">
        <v>0</v>
      </c>
      <c r="MI36" s="11">
        <v>0</v>
      </c>
      <c r="MJ36" s="27">
        <f t="shared" si="29"/>
        <v>0</v>
      </c>
      <c r="MK36" s="11">
        <v>2374</v>
      </c>
      <c r="ML36" s="11">
        <v>2480</v>
      </c>
      <c r="MM36" s="11">
        <v>2418</v>
      </c>
      <c r="MN36" s="11">
        <v>2426</v>
      </c>
      <c r="MO36" s="11">
        <v>2535</v>
      </c>
      <c r="MP36" s="11">
        <v>2391</v>
      </c>
      <c r="MQ36" s="11">
        <v>2339</v>
      </c>
      <c r="MR36" s="11">
        <v>2189</v>
      </c>
      <c r="MS36" s="11">
        <v>2090</v>
      </c>
      <c r="MT36" s="11">
        <v>2317</v>
      </c>
      <c r="MU36" s="11">
        <v>2094</v>
      </c>
      <c r="MV36" s="11">
        <v>2205</v>
      </c>
      <c r="MW36" s="27">
        <f t="shared" si="30"/>
        <v>27858</v>
      </c>
      <c r="MX36" s="11">
        <v>2233</v>
      </c>
      <c r="MY36" s="11">
        <v>2335</v>
      </c>
      <c r="MZ36" s="11">
        <v>2277</v>
      </c>
      <c r="NA36" s="11">
        <v>2270</v>
      </c>
      <c r="NB36" s="11">
        <v>2389</v>
      </c>
      <c r="NC36" s="11">
        <v>2294</v>
      </c>
      <c r="ND36" s="11">
        <v>2229</v>
      </c>
      <c r="NE36" s="11">
        <v>2072</v>
      </c>
      <c r="NF36" s="11">
        <v>2003</v>
      </c>
      <c r="NG36" s="11">
        <v>2207</v>
      </c>
      <c r="NH36" s="11">
        <v>1980</v>
      </c>
      <c r="NI36" s="11">
        <v>2056</v>
      </c>
      <c r="NJ36" s="27">
        <f t="shared" si="31"/>
        <v>26345</v>
      </c>
      <c r="NK36" s="11">
        <v>79</v>
      </c>
      <c r="NL36" s="11">
        <v>89</v>
      </c>
      <c r="NM36" s="11">
        <v>78</v>
      </c>
      <c r="NN36" s="11">
        <v>100</v>
      </c>
      <c r="NO36" s="11">
        <v>73</v>
      </c>
      <c r="NP36" s="11">
        <v>46</v>
      </c>
      <c r="NQ36" s="11">
        <v>53</v>
      </c>
      <c r="NR36" s="11">
        <v>71</v>
      </c>
      <c r="NS36" s="11">
        <v>54</v>
      </c>
      <c r="NT36" s="11">
        <v>56</v>
      </c>
      <c r="NU36" s="11">
        <v>60</v>
      </c>
      <c r="NV36" s="11">
        <v>81</v>
      </c>
      <c r="NW36" s="27">
        <f t="shared" si="32"/>
        <v>840</v>
      </c>
      <c r="NX36" s="11">
        <v>62</v>
      </c>
      <c r="NY36" s="11">
        <v>56</v>
      </c>
      <c r="NZ36" s="11">
        <v>63</v>
      </c>
      <c r="OA36" s="11">
        <v>56</v>
      </c>
      <c r="OB36" s="11">
        <v>73</v>
      </c>
      <c r="OC36" s="11">
        <v>51</v>
      </c>
      <c r="OD36" s="11">
        <v>57</v>
      </c>
      <c r="OE36" s="11">
        <v>46</v>
      </c>
      <c r="OF36" s="11">
        <v>33</v>
      </c>
      <c r="OG36" s="11">
        <v>54</v>
      </c>
      <c r="OH36" s="11">
        <v>54</v>
      </c>
      <c r="OI36" s="11">
        <v>68</v>
      </c>
      <c r="OJ36" s="27">
        <f t="shared" si="33"/>
        <v>673</v>
      </c>
      <c r="OK36" s="11">
        <v>3057</v>
      </c>
      <c r="OL36" s="11">
        <v>3107</v>
      </c>
      <c r="OM36" s="11">
        <v>3025</v>
      </c>
      <c r="ON36" s="11">
        <v>3074</v>
      </c>
      <c r="OO36" s="11">
        <v>3123</v>
      </c>
      <c r="OP36" s="11">
        <v>2972</v>
      </c>
      <c r="OQ36" s="11">
        <v>3001</v>
      </c>
      <c r="OR36" s="11">
        <v>2923</v>
      </c>
      <c r="OS36" s="11">
        <v>2815</v>
      </c>
      <c r="OT36" s="11">
        <v>3187</v>
      </c>
      <c r="OU36" s="11">
        <v>2899</v>
      </c>
      <c r="OV36" s="11">
        <v>3324</v>
      </c>
      <c r="OW36" s="27">
        <f t="shared" si="34"/>
        <v>36507</v>
      </c>
      <c r="OX36" s="11">
        <v>2733</v>
      </c>
      <c r="OY36" s="11">
        <v>2780</v>
      </c>
      <c r="OZ36" s="11">
        <v>2714</v>
      </c>
      <c r="PA36" s="11">
        <v>2764</v>
      </c>
      <c r="PB36" s="11">
        <v>2774</v>
      </c>
      <c r="PC36" s="11">
        <v>2687</v>
      </c>
      <c r="PD36" s="11">
        <v>2718</v>
      </c>
      <c r="PE36" s="11">
        <v>2613</v>
      </c>
      <c r="PF36" s="11">
        <v>2484</v>
      </c>
      <c r="PG36" s="11">
        <v>2912</v>
      </c>
      <c r="PH36" s="11">
        <v>2637</v>
      </c>
      <c r="PI36" s="11">
        <v>3004</v>
      </c>
      <c r="PJ36" s="27">
        <f t="shared" si="35"/>
        <v>32820</v>
      </c>
      <c r="PK36" s="11">
        <v>294</v>
      </c>
      <c r="PL36" s="11">
        <v>296</v>
      </c>
      <c r="PM36" s="11">
        <v>259</v>
      </c>
      <c r="PN36" s="11">
        <v>279</v>
      </c>
      <c r="PO36" s="11">
        <v>323</v>
      </c>
      <c r="PP36" s="11">
        <v>258</v>
      </c>
      <c r="PQ36" s="11">
        <v>249</v>
      </c>
      <c r="PR36" s="11">
        <v>278</v>
      </c>
      <c r="PS36" s="11">
        <v>307</v>
      </c>
      <c r="PT36" s="11">
        <v>249</v>
      </c>
      <c r="PU36" s="11">
        <v>231</v>
      </c>
      <c r="PV36" s="11">
        <v>283</v>
      </c>
      <c r="PW36" s="27">
        <f t="shared" si="36"/>
        <v>3306</v>
      </c>
      <c r="PX36" s="11">
        <v>30</v>
      </c>
      <c r="PY36" s="11">
        <v>31</v>
      </c>
      <c r="PZ36" s="11">
        <v>25</v>
      </c>
      <c r="QA36" s="11">
        <v>31</v>
      </c>
      <c r="QB36" s="11">
        <v>26</v>
      </c>
      <c r="QC36" s="11">
        <v>27</v>
      </c>
      <c r="QD36" s="11">
        <v>34</v>
      </c>
      <c r="QE36" s="11">
        <v>32</v>
      </c>
      <c r="QF36" s="11">
        <v>24</v>
      </c>
      <c r="QG36" s="11">
        <v>26</v>
      </c>
      <c r="QH36" s="11">
        <v>31</v>
      </c>
      <c r="QI36" s="11">
        <v>37</v>
      </c>
      <c r="QJ36" s="27">
        <f t="shared" si="37"/>
        <v>354</v>
      </c>
      <c r="QK36" s="11">
        <v>2505</v>
      </c>
      <c r="QL36" s="11">
        <v>4413</v>
      </c>
      <c r="QM36" s="11">
        <v>4267</v>
      </c>
      <c r="QN36" s="11">
        <v>5201</v>
      </c>
      <c r="QO36" s="11">
        <v>8376</v>
      </c>
      <c r="QP36" s="11">
        <v>24516</v>
      </c>
      <c r="QQ36" s="11">
        <v>25166</v>
      </c>
      <c r="QR36" s="11">
        <v>25200</v>
      </c>
      <c r="QS36" s="11">
        <v>18132</v>
      </c>
      <c r="QT36" s="11">
        <v>26720</v>
      </c>
      <c r="QU36" s="11">
        <v>29092</v>
      </c>
      <c r="QV36" s="11">
        <v>27974</v>
      </c>
      <c r="QW36" s="27">
        <f t="shared" si="38"/>
        <v>201562</v>
      </c>
      <c r="QX36" s="11">
        <v>12213</v>
      </c>
      <c r="QY36" s="11">
        <v>12219</v>
      </c>
      <c r="QZ36" s="11">
        <v>11638</v>
      </c>
      <c r="RA36" s="11">
        <v>12063</v>
      </c>
      <c r="RB36" s="11">
        <v>10701</v>
      </c>
      <c r="RC36" s="11">
        <v>11468</v>
      </c>
      <c r="RD36" s="11">
        <v>12316</v>
      </c>
      <c r="RE36" s="11">
        <v>11116</v>
      </c>
      <c r="RF36" s="11">
        <v>8441</v>
      </c>
      <c r="RG36" s="11">
        <v>10869</v>
      </c>
      <c r="RH36" s="11">
        <v>9409</v>
      </c>
      <c r="RI36" s="11">
        <v>5998</v>
      </c>
      <c r="RJ36" s="27">
        <f t="shared" si="39"/>
        <v>128451</v>
      </c>
      <c r="RK36" s="11">
        <v>0</v>
      </c>
      <c r="RL36" s="11">
        <v>0</v>
      </c>
      <c r="RM36" s="11">
        <v>0</v>
      </c>
      <c r="RN36" s="11">
        <v>0</v>
      </c>
      <c r="RO36" s="11">
        <v>0</v>
      </c>
      <c r="RP36" s="11">
        <v>0</v>
      </c>
      <c r="RQ36" s="11">
        <v>0</v>
      </c>
      <c r="RR36" s="11">
        <v>0</v>
      </c>
      <c r="RS36" s="11">
        <v>0</v>
      </c>
      <c r="RT36" s="11">
        <v>0</v>
      </c>
      <c r="RU36" s="11">
        <v>0</v>
      </c>
      <c r="RV36" s="11">
        <v>0</v>
      </c>
      <c r="RW36" s="27">
        <f t="shared" si="40"/>
        <v>0</v>
      </c>
      <c r="RX36" s="11">
        <v>0</v>
      </c>
      <c r="RY36" s="11">
        <v>0</v>
      </c>
      <c r="RZ36" s="11">
        <v>0</v>
      </c>
      <c r="SA36" s="11">
        <v>0</v>
      </c>
      <c r="SB36" s="11">
        <v>0</v>
      </c>
      <c r="SC36" s="11">
        <v>0</v>
      </c>
      <c r="SD36" s="11">
        <v>0</v>
      </c>
      <c r="SE36" s="11">
        <v>0</v>
      </c>
      <c r="SF36" s="11">
        <v>0</v>
      </c>
      <c r="SG36" s="11">
        <v>0</v>
      </c>
      <c r="SH36" s="11">
        <v>0</v>
      </c>
      <c r="SI36" s="11">
        <v>0</v>
      </c>
      <c r="SJ36" s="27">
        <f t="shared" si="41"/>
        <v>0</v>
      </c>
      <c r="SK36" s="11">
        <v>3531</v>
      </c>
      <c r="SL36" s="11">
        <v>3007</v>
      </c>
      <c r="SM36" s="11">
        <v>2884</v>
      </c>
      <c r="SN36" s="11">
        <v>3381</v>
      </c>
      <c r="SO36" s="11">
        <v>2922</v>
      </c>
      <c r="SP36" s="11">
        <v>3066</v>
      </c>
      <c r="SQ36" s="11">
        <v>3321</v>
      </c>
      <c r="SR36" s="11">
        <v>3084</v>
      </c>
      <c r="SS36" s="11">
        <v>2953</v>
      </c>
      <c r="ST36" s="11">
        <v>3353</v>
      </c>
      <c r="SU36" s="11">
        <v>3112</v>
      </c>
      <c r="SV36" s="11">
        <v>2790</v>
      </c>
      <c r="SW36" s="27">
        <f t="shared" si="42"/>
        <v>37404</v>
      </c>
      <c r="SX36" s="11" t="s">
        <v>2674</v>
      </c>
      <c r="SY36" s="11">
        <v>2031</v>
      </c>
      <c r="SZ36" s="11">
        <v>2421</v>
      </c>
      <c r="TA36" s="11">
        <v>2499</v>
      </c>
      <c r="TB36" s="11">
        <v>2835</v>
      </c>
      <c r="TC36" s="11">
        <v>2496</v>
      </c>
      <c r="TD36" s="11">
        <v>2746</v>
      </c>
      <c r="TE36" s="11">
        <v>2518</v>
      </c>
      <c r="TF36" s="11">
        <v>2413</v>
      </c>
      <c r="TG36" s="11">
        <v>1839</v>
      </c>
      <c r="TH36" s="11">
        <v>2181</v>
      </c>
      <c r="TI36" s="11">
        <v>2180</v>
      </c>
      <c r="TJ36" s="11">
        <v>2244</v>
      </c>
      <c r="TK36" s="27">
        <f t="shared" si="43"/>
        <v>28403</v>
      </c>
      <c r="TL36" s="11">
        <v>0</v>
      </c>
      <c r="TM36" s="11">
        <v>0</v>
      </c>
      <c r="TN36" s="11">
        <v>0</v>
      </c>
      <c r="TO36" s="11">
        <v>0</v>
      </c>
      <c r="TP36" s="11">
        <v>0</v>
      </c>
      <c r="TQ36" s="11">
        <v>0</v>
      </c>
      <c r="TR36" s="11">
        <v>0</v>
      </c>
      <c r="TS36" s="11">
        <v>0</v>
      </c>
      <c r="TT36" s="11">
        <v>0</v>
      </c>
      <c r="TU36" s="11">
        <v>0</v>
      </c>
      <c r="TV36" s="11">
        <v>0</v>
      </c>
      <c r="TW36" s="11">
        <v>0</v>
      </c>
      <c r="TX36" s="27">
        <f t="shared" si="44"/>
        <v>0</v>
      </c>
      <c r="TY36" s="11">
        <v>75</v>
      </c>
      <c r="TZ36" s="11">
        <v>0</v>
      </c>
      <c r="UA36" s="11">
        <v>0</v>
      </c>
    </row>
    <row r="37" spans="1:547" ht="16" customHeight="1" x14ac:dyDescent="0.35">
      <c r="A37" s="11" t="s">
        <v>1435</v>
      </c>
      <c r="B37" s="11">
        <v>65926</v>
      </c>
      <c r="C37" s="11"/>
      <c r="D37" s="11"/>
      <c r="E37" s="11"/>
      <c r="F37" s="11">
        <v>0</v>
      </c>
      <c r="G37" s="11">
        <v>0</v>
      </c>
      <c r="H37" s="11">
        <v>0</v>
      </c>
      <c r="I37" s="11">
        <v>0</v>
      </c>
      <c r="J37" s="11">
        <v>0</v>
      </c>
      <c r="K37" s="11">
        <v>0</v>
      </c>
      <c r="L37" s="11">
        <v>0</v>
      </c>
      <c r="M37" s="11">
        <v>0</v>
      </c>
      <c r="N37" s="11">
        <v>0</v>
      </c>
      <c r="O37" s="11">
        <v>0</v>
      </c>
      <c r="P37" s="11" t="s">
        <v>2864</v>
      </c>
      <c r="Q37" s="11">
        <v>0</v>
      </c>
      <c r="R37" s="11">
        <v>0</v>
      </c>
      <c r="S37" s="26">
        <f t="shared" si="0"/>
        <v>0</v>
      </c>
      <c r="T37" s="11">
        <v>115</v>
      </c>
      <c r="U37" s="11">
        <v>119</v>
      </c>
      <c r="V37" s="11">
        <v>107</v>
      </c>
      <c r="W37" s="11">
        <v>135</v>
      </c>
      <c r="X37" s="11">
        <v>100</v>
      </c>
      <c r="Y37" s="11">
        <v>132</v>
      </c>
      <c r="Z37" s="11">
        <v>132</v>
      </c>
      <c r="AA37" s="11">
        <v>162</v>
      </c>
      <c r="AB37" s="11">
        <v>118</v>
      </c>
      <c r="AC37" s="11">
        <v>164</v>
      </c>
      <c r="AD37" s="11">
        <v>153</v>
      </c>
      <c r="AE37" s="11">
        <v>138</v>
      </c>
      <c r="AF37" s="26">
        <f t="shared" si="1"/>
        <v>1575</v>
      </c>
      <c r="AG37" s="11">
        <v>362</v>
      </c>
      <c r="AH37" s="11">
        <v>386</v>
      </c>
      <c r="AI37" s="11">
        <v>438</v>
      </c>
      <c r="AJ37" s="11">
        <v>382</v>
      </c>
      <c r="AK37" s="11">
        <v>376</v>
      </c>
      <c r="AL37" s="11">
        <v>320</v>
      </c>
      <c r="AM37" s="11">
        <v>402</v>
      </c>
      <c r="AN37" s="11">
        <v>434</v>
      </c>
      <c r="AO37" s="11">
        <v>325</v>
      </c>
      <c r="AP37" s="11">
        <v>397</v>
      </c>
      <c r="AQ37" s="11">
        <v>397</v>
      </c>
      <c r="AR37" s="11">
        <v>423</v>
      </c>
      <c r="AS37" s="26">
        <f t="shared" si="2"/>
        <v>4642</v>
      </c>
      <c r="AT37" s="11">
        <v>0</v>
      </c>
      <c r="AU37" s="11">
        <v>0</v>
      </c>
      <c r="AV37" s="11">
        <v>0</v>
      </c>
      <c r="AW37" s="11">
        <v>0</v>
      </c>
      <c r="AX37" s="11">
        <v>0</v>
      </c>
      <c r="AY37" s="11">
        <v>0</v>
      </c>
      <c r="AZ37" s="11">
        <v>0</v>
      </c>
      <c r="BA37" s="11">
        <v>0</v>
      </c>
      <c r="BB37" s="11">
        <v>0</v>
      </c>
      <c r="BC37" s="11">
        <v>0</v>
      </c>
      <c r="BD37" s="11">
        <v>0</v>
      </c>
      <c r="BE37" s="11">
        <v>0</v>
      </c>
      <c r="BF37" s="26">
        <f t="shared" si="3"/>
        <v>0</v>
      </c>
      <c r="BG37" s="11">
        <v>0</v>
      </c>
      <c r="BH37" s="11">
        <v>0</v>
      </c>
      <c r="BI37" s="11">
        <v>0</v>
      </c>
      <c r="BJ37" s="11">
        <v>0</v>
      </c>
      <c r="BK37" s="11">
        <v>0</v>
      </c>
      <c r="BL37" s="11">
        <v>0</v>
      </c>
      <c r="BM37" s="11">
        <v>0</v>
      </c>
      <c r="BN37" s="11">
        <v>0</v>
      </c>
      <c r="BO37" s="11">
        <v>0</v>
      </c>
      <c r="BP37" s="11">
        <v>0</v>
      </c>
      <c r="BQ37" s="11">
        <v>0</v>
      </c>
      <c r="BR37" s="11">
        <v>0</v>
      </c>
      <c r="BS37" s="26">
        <f t="shared" si="4"/>
        <v>0</v>
      </c>
      <c r="BT37" s="11">
        <v>0</v>
      </c>
      <c r="BU37" s="11">
        <v>0</v>
      </c>
      <c r="BV37" s="11">
        <v>0</v>
      </c>
      <c r="BW37" s="11">
        <v>0</v>
      </c>
      <c r="BX37" s="11">
        <v>0</v>
      </c>
      <c r="BY37" s="11">
        <v>0</v>
      </c>
      <c r="BZ37" s="11">
        <v>0</v>
      </c>
      <c r="CA37" s="11">
        <v>0</v>
      </c>
      <c r="CB37" s="11">
        <v>0</v>
      </c>
      <c r="CC37" s="11">
        <v>0</v>
      </c>
      <c r="CD37" s="11">
        <v>0</v>
      </c>
      <c r="CE37" s="11">
        <v>0</v>
      </c>
      <c r="CF37" s="26">
        <f t="shared" si="5"/>
        <v>0</v>
      </c>
      <c r="CG37" s="11">
        <v>0</v>
      </c>
      <c r="CH37" s="11">
        <v>0</v>
      </c>
      <c r="CI37" s="11">
        <v>0</v>
      </c>
      <c r="CJ37" s="11">
        <v>0</v>
      </c>
      <c r="CK37" s="11">
        <v>0</v>
      </c>
      <c r="CL37" s="11">
        <v>0</v>
      </c>
      <c r="CM37" s="11">
        <v>0</v>
      </c>
      <c r="CN37" s="11">
        <v>0</v>
      </c>
      <c r="CO37" s="11">
        <v>0</v>
      </c>
      <c r="CP37" s="11">
        <v>0</v>
      </c>
      <c r="CQ37" s="11">
        <v>0</v>
      </c>
      <c r="CR37" s="11">
        <v>0</v>
      </c>
      <c r="CS37" s="26">
        <f t="shared" si="6"/>
        <v>0</v>
      </c>
      <c r="CT37" s="11">
        <v>0</v>
      </c>
      <c r="CU37" s="11">
        <v>0</v>
      </c>
      <c r="CV37" s="11">
        <v>0</v>
      </c>
      <c r="CW37" s="11">
        <v>0</v>
      </c>
      <c r="CX37" s="11">
        <v>0</v>
      </c>
      <c r="CY37" s="11">
        <v>0</v>
      </c>
      <c r="CZ37" s="11">
        <v>0</v>
      </c>
      <c r="DA37" s="11">
        <v>0</v>
      </c>
      <c r="DB37" s="11">
        <v>0</v>
      </c>
      <c r="DC37" s="11">
        <v>0</v>
      </c>
      <c r="DD37" s="11">
        <v>0</v>
      </c>
      <c r="DE37" s="11">
        <v>0</v>
      </c>
      <c r="DF37" s="26">
        <f t="shared" si="7"/>
        <v>0</v>
      </c>
      <c r="DG37" s="11">
        <v>0</v>
      </c>
      <c r="DH37" s="11">
        <v>0</v>
      </c>
      <c r="DI37" s="11">
        <v>0</v>
      </c>
      <c r="DJ37" s="11">
        <v>0</v>
      </c>
      <c r="DK37" s="11">
        <v>0</v>
      </c>
      <c r="DL37" s="11">
        <v>0</v>
      </c>
      <c r="DM37" s="11">
        <v>0</v>
      </c>
      <c r="DN37" s="11">
        <v>0</v>
      </c>
      <c r="DO37" s="11">
        <v>0</v>
      </c>
      <c r="DP37" s="11">
        <v>0</v>
      </c>
      <c r="DQ37" s="11">
        <v>0</v>
      </c>
      <c r="DR37" s="11">
        <v>0</v>
      </c>
      <c r="DS37" s="26">
        <f t="shared" si="8"/>
        <v>0</v>
      </c>
      <c r="DT37" s="11">
        <v>0</v>
      </c>
      <c r="DU37" s="11">
        <v>0</v>
      </c>
      <c r="DV37" s="11">
        <v>0</v>
      </c>
      <c r="DW37" s="11">
        <v>0</v>
      </c>
      <c r="DX37" s="11">
        <v>0</v>
      </c>
      <c r="DY37" s="11">
        <v>0</v>
      </c>
      <c r="DZ37" s="11">
        <v>0</v>
      </c>
      <c r="EA37" s="11">
        <v>0</v>
      </c>
      <c r="EB37" s="11">
        <v>0</v>
      </c>
      <c r="EC37" s="11">
        <v>0</v>
      </c>
      <c r="ED37" s="11">
        <v>0</v>
      </c>
      <c r="EE37" s="11">
        <v>0</v>
      </c>
      <c r="EF37" s="26">
        <f t="shared" si="9"/>
        <v>0</v>
      </c>
      <c r="EG37" s="9">
        <f t="shared" si="10"/>
        <v>6217</v>
      </c>
      <c r="EH37" s="9">
        <f t="shared" si="11"/>
        <v>0</v>
      </c>
      <c r="EI37" s="11">
        <v>0</v>
      </c>
      <c r="EJ37" s="11">
        <v>0</v>
      </c>
      <c r="EK37" s="11">
        <v>0</v>
      </c>
      <c r="EL37" s="11">
        <v>0</v>
      </c>
      <c r="EM37" s="11">
        <v>0</v>
      </c>
      <c r="EN37" s="11">
        <v>0</v>
      </c>
      <c r="EO37" s="11">
        <v>0</v>
      </c>
      <c r="EP37" s="11">
        <v>0</v>
      </c>
      <c r="EQ37" s="11">
        <v>0</v>
      </c>
      <c r="ER37" s="11">
        <v>0</v>
      </c>
      <c r="ES37" s="11">
        <v>0</v>
      </c>
      <c r="ET37" s="11">
        <v>0</v>
      </c>
      <c r="EU37" s="26">
        <f t="shared" si="12"/>
        <v>0</v>
      </c>
      <c r="EV37" s="11">
        <v>948</v>
      </c>
      <c r="EW37" s="11">
        <v>992</v>
      </c>
      <c r="EX37" s="11">
        <v>855</v>
      </c>
      <c r="EY37" s="11">
        <v>1269</v>
      </c>
      <c r="EZ37" s="11">
        <v>726</v>
      </c>
      <c r="FA37" s="11">
        <v>1064</v>
      </c>
      <c r="FB37" s="11">
        <v>969</v>
      </c>
      <c r="FC37" s="11">
        <v>1221</v>
      </c>
      <c r="FD37" s="11">
        <v>763</v>
      </c>
      <c r="FE37" s="11">
        <v>1138</v>
      </c>
      <c r="FF37" s="11">
        <v>1459</v>
      </c>
      <c r="FG37" s="11">
        <v>1059</v>
      </c>
      <c r="FH37" s="26">
        <f t="shared" si="13"/>
        <v>12463</v>
      </c>
      <c r="FI37" s="11">
        <v>3856</v>
      </c>
      <c r="FJ37" s="11">
        <v>3883</v>
      </c>
      <c r="FK37" s="11">
        <v>3701</v>
      </c>
      <c r="FL37" s="11">
        <v>3803</v>
      </c>
      <c r="FM37" s="11">
        <v>3372</v>
      </c>
      <c r="FN37" s="11">
        <v>3083</v>
      </c>
      <c r="FO37" s="11">
        <v>4052</v>
      </c>
      <c r="FP37" s="11">
        <v>4288</v>
      </c>
      <c r="FQ37" s="11">
        <v>3204</v>
      </c>
      <c r="FR37" s="11">
        <v>3827</v>
      </c>
      <c r="FS37" s="11">
        <v>4315</v>
      </c>
      <c r="FT37" s="11">
        <v>5136</v>
      </c>
      <c r="FU37" s="26">
        <f t="shared" si="14"/>
        <v>46520</v>
      </c>
      <c r="FV37" s="11">
        <v>0</v>
      </c>
      <c r="FW37" s="11">
        <v>0</v>
      </c>
      <c r="FX37" s="11">
        <v>0</v>
      </c>
      <c r="FY37" s="11">
        <v>0</v>
      </c>
      <c r="FZ37" s="11">
        <v>0</v>
      </c>
      <c r="GA37" s="11">
        <v>0</v>
      </c>
      <c r="GB37" s="11">
        <v>0</v>
      </c>
      <c r="GC37" s="11">
        <v>0</v>
      </c>
      <c r="GD37" s="11">
        <v>0</v>
      </c>
      <c r="GE37" s="11">
        <v>0</v>
      </c>
      <c r="GF37" s="11">
        <v>0</v>
      </c>
      <c r="GG37" s="11">
        <v>0</v>
      </c>
      <c r="GH37" s="26">
        <f t="shared" si="15"/>
        <v>0</v>
      </c>
      <c r="GI37" s="11">
        <v>0</v>
      </c>
      <c r="GJ37" s="11">
        <v>0</v>
      </c>
      <c r="GK37" s="11">
        <v>0</v>
      </c>
      <c r="GL37" s="11">
        <v>0</v>
      </c>
      <c r="GM37" s="11">
        <v>0</v>
      </c>
      <c r="GN37" s="11">
        <v>0</v>
      </c>
      <c r="GO37" s="11">
        <v>0</v>
      </c>
      <c r="GP37" s="11">
        <v>0</v>
      </c>
      <c r="GQ37" s="11">
        <v>0</v>
      </c>
      <c r="GR37" s="11">
        <v>0</v>
      </c>
      <c r="GS37" s="11">
        <v>0</v>
      </c>
      <c r="GT37" s="11">
        <v>0</v>
      </c>
      <c r="GU37" s="26">
        <f t="shared" si="16"/>
        <v>0</v>
      </c>
      <c r="GV37" s="11">
        <v>0</v>
      </c>
      <c r="GW37" s="11">
        <v>0</v>
      </c>
      <c r="GX37" s="11">
        <v>0</v>
      </c>
      <c r="GY37" s="11">
        <v>0</v>
      </c>
      <c r="GZ37" s="11">
        <v>0</v>
      </c>
      <c r="HA37" s="11">
        <v>0</v>
      </c>
      <c r="HB37" s="11">
        <v>0</v>
      </c>
      <c r="HC37" s="11">
        <v>0</v>
      </c>
      <c r="HD37" s="11">
        <v>0</v>
      </c>
      <c r="HE37" s="11">
        <v>0</v>
      </c>
      <c r="HF37" s="11">
        <v>0</v>
      </c>
      <c r="HG37" s="11">
        <v>0</v>
      </c>
      <c r="HH37" s="26">
        <f t="shared" si="17"/>
        <v>0</v>
      </c>
      <c r="HI37" s="11">
        <v>0</v>
      </c>
      <c r="HJ37" s="11">
        <v>0</v>
      </c>
      <c r="HK37" s="11">
        <v>0</v>
      </c>
      <c r="HL37" s="11">
        <v>0</v>
      </c>
      <c r="HM37" s="11">
        <v>0</v>
      </c>
      <c r="HN37" s="11">
        <v>0</v>
      </c>
      <c r="HO37" s="11">
        <v>0</v>
      </c>
      <c r="HP37" s="11">
        <v>0</v>
      </c>
      <c r="HQ37" s="11">
        <v>0</v>
      </c>
      <c r="HR37" s="11">
        <v>0</v>
      </c>
      <c r="HS37" s="11">
        <v>0</v>
      </c>
      <c r="HT37" s="11">
        <v>0</v>
      </c>
      <c r="HU37" s="26">
        <f t="shared" si="18"/>
        <v>0</v>
      </c>
      <c r="HV37" s="11">
        <v>0</v>
      </c>
      <c r="HW37" s="11">
        <v>0</v>
      </c>
      <c r="HX37" s="11">
        <v>0</v>
      </c>
      <c r="HY37" s="11">
        <v>0</v>
      </c>
      <c r="HZ37" s="11">
        <v>0</v>
      </c>
      <c r="IA37" s="11">
        <v>0</v>
      </c>
      <c r="IB37" s="11">
        <v>0</v>
      </c>
      <c r="IC37" s="11">
        <v>0</v>
      </c>
      <c r="ID37" s="11">
        <v>0</v>
      </c>
      <c r="IE37" s="11">
        <v>0</v>
      </c>
      <c r="IF37" s="11">
        <v>0</v>
      </c>
      <c r="IG37" s="11">
        <v>0</v>
      </c>
      <c r="IH37" s="26">
        <f t="shared" si="19"/>
        <v>0</v>
      </c>
      <c r="II37" s="9">
        <f t="shared" si="20"/>
        <v>58983</v>
      </c>
      <c r="IJ37" s="9">
        <f t="shared" si="21"/>
        <v>0</v>
      </c>
      <c r="IK37" s="11">
        <v>134205</v>
      </c>
      <c r="IL37" s="11">
        <v>127946</v>
      </c>
      <c r="IM37" s="11">
        <v>124998</v>
      </c>
      <c r="IN37" s="11">
        <v>147319</v>
      </c>
      <c r="IO37" s="11">
        <v>159071</v>
      </c>
      <c r="IP37" s="11">
        <v>131749</v>
      </c>
      <c r="IQ37" s="11">
        <v>136137</v>
      </c>
      <c r="IR37" s="11">
        <v>127867</v>
      </c>
      <c r="IS37" s="11">
        <v>108275</v>
      </c>
      <c r="IT37" s="11">
        <v>121727</v>
      </c>
      <c r="IU37" s="11">
        <v>116637</v>
      </c>
      <c r="IV37" s="11">
        <v>119749</v>
      </c>
      <c r="IW37" s="27">
        <f t="shared" si="22"/>
        <v>1555680</v>
      </c>
      <c r="IX37" s="11">
        <v>54892</v>
      </c>
      <c r="IY37" s="11">
        <v>59847</v>
      </c>
      <c r="IZ37" s="11">
        <v>59714</v>
      </c>
      <c r="JA37" s="11">
        <v>63158</v>
      </c>
      <c r="JB37" s="11">
        <v>65842</v>
      </c>
      <c r="JC37" s="11">
        <v>59535</v>
      </c>
      <c r="JD37" s="11">
        <v>62620</v>
      </c>
      <c r="JE37" s="11">
        <v>59511</v>
      </c>
      <c r="JF37" s="11">
        <v>55523</v>
      </c>
      <c r="JG37" s="11">
        <v>59672</v>
      </c>
      <c r="JH37" s="11">
        <v>54892</v>
      </c>
      <c r="JI37" s="11">
        <v>57548</v>
      </c>
      <c r="JJ37" s="27">
        <f t="shared" si="23"/>
        <v>712754</v>
      </c>
      <c r="JK37" s="11">
        <v>70361</v>
      </c>
      <c r="JL37" s="11">
        <v>66241</v>
      </c>
      <c r="JM37" s="11">
        <v>63608</v>
      </c>
      <c r="JN37" s="11">
        <v>81747</v>
      </c>
      <c r="JO37" s="11">
        <v>90323</v>
      </c>
      <c r="JP37" s="11">
        <v>70072</v>
      </c>
      <c r="JQ37" s="11">
        <v>71352</v>
      </c>
      <c r="JR37" s="11">
        <v>66539</v>
      </c>
      <c r="JS37" s="11">
        <v>51899</v>
      </c>
      <c r="JT37" s="11">
        <v>60287</v>
      </c>
      <c r="JU37" s="11">
        <v>59957</v>
      </c>
      <c r="JV37" s="11">
        <v>60377</v>
      </c>
      <c r="JW37" s="27">
        <f t="shared" si="24"/>
        <v>812763</v>
      </c>
      <c r="JX37" s="11">
        <v>1939</v>
      </c>
      <c r="JY37" s="11">
        <v>1858</v>
      </c>
      <c r="JZ37" s="11">
        <v>1676</v>
      </c>
      <c r="KA37" s="11">
        <v>2414</v>
      </c>
      <c r="KB37" s="11">
        <v>2906</v>
      </c>
      <c r="KC37" s="11">
        <v>2142</v>
      </c>
      <c r="KD37" s="11">
        <v>2165</v>
      </c>
      <c r="KE37" s="11">
        <v>1817</v>
      </c>
      <c r="KF37" s="11">
        <v>853</v>
      </c>
      <c r="KG37" s="11">
        <v>1768</v>
      </c>
      <c r="KH37" s="11">
        <v>1788</v>
      </c>
      <c r="KI37" s="11">
        <v>1824</v>
      </c>
      <c r="KJ37" s="27">
        <f t="shared" si="25"/>
        <v>23150</v>
      </c>
      <c r="KK37" s="11">
        <v>0</v>
      </c>
      <c r="KL37" s="11">
        <v>0</v>
      </c>
      <c r="KM37" s="11">
        <v>0</v>
      </c>
      <c r="KN37" s="11">
        <v>0</v>
      </c>
      <c r="KO37" s="11">
        <v>0</v>
      </c>
      <c r="KP37" s="11">
        <v>0</v>
      </c>
      <c r="KQ37" s="11">
        <v>0</v>
      </c>
      <c r="KR37" s="11">
        <v>0</v>
      </c>
      <c r="KS37" s="11">
        <v>0</v>
      </c>
      <c r="KT37" s="11">
        <v>0</v>
      </c>
      <c r="KU37" s="11">
        <v>0</v>
      </c>
      <c r="KV37" s="11">
        <v>0</v>
      </c>
      <c r="KW37" s="27">
        <f t="shared" si="26"/>
        <v>0</v>
      </c>
      <c r="KX37" s="11">
        <v>434</v>
      </c>
      <c r="KY37" s="11">
        <v>437</v>
      </c>
      <c r="KZ37" s="11">
        <v>400</v>
      </c>
      <c r="LA37" s="11">
        <v>412</v>
      </c>
      <c r="LB37" s="11">
        <v>471</v>
      </c>
      <c r="LC37" s="11">
        <v>409</v>
      </c>
      <c r="LD37" s="11">
        <v>441</v>
      </c>
      <c r="LE37" s="11">
        <v>500</v>
      </c>
      <c r="LF37" s="11">
        <v>366</v>
      </c>
      <c r="LG37" s="11">
        <v>470</v>
      </c>
      <c r="LH37" s="11">
        <v>388</v>
      </c>
      <c r="LI37" s="11">
        <v>454</v>
      </c>
      <c r="LJ37" s="27">
        <f t="shared" si="27"/>
        <v>5182</v>
      </c>
      <c r="LK37" s="11">
        <v>258</v>
      </c>
      <c r="LL37" s="11">
        <v>244</v>
      </c>
      <c r="LM37" s="11">
        <v>204</v>
      </c>
      <c r="LN37" s="11">
        <v>272</v>
      </c>
      <c r="LO37" s="11">
        <v>286</v>
      </c>
      <c r="LP37" s="11">
        <v>226</v>
      </c>
      <c r="LQ37" s="11">
        <v>191</v>
      </c>
      <c r="LR37" s="11">
        <v>156</v>
      </c>
      <c r="LS37" s="11">
        <v>149</v>
      </c>
      <c r="LT37" s="11">
        <v>120</v>
      </c>
      <c r="LU37" s="11">
        <v>119</v>
      </c>
      <c r="LV37" s="11">
        <v>123</v>
      </c>
      <c r="LW37" s="27">
        <f t="shared" si="28"/>
        <v>2348</v>
      </c>
      <c r="LX37" s="11">
        <v>0</v>
      </c>
      <c r="LY37" s="11">
        <v>0</v>
      </c>
      <c r="LZ37" s="11">
        <v>0</v>
      </c>
      <c r="MA37" s="11">
        <v>0</v>
      </c>
      <c r="MB37" s="11">
        <v>0</v>
      </c>
      <c r="MC37" s="11">
        <v>0</v>
      </c>
      <c r="MD37" s="11">
        <v>0</v>
      </c>
      <c r="ME37" s="11">
        <v>0</v>
      </c>
      <c r="MF37" s="11">
        <v>0</v>
      </c>
      <c r="MG37" s="11">
        <v>0</v>
      </c>
      <c r="MH37" s="11">
        <v>0</v>
      </c>
      <c r="MI37" s="11">
        <v>0</v>
      </c>
      <c r="MJ37" s="27">
        <f t="shared" si="29"/>
        <v>0</v>
      </c>
      <c r="MK37" s="11">
        <v>7314</v>
      </c>
      <c r="ML37" s="11">
        <v>7470</v>
      </c>
      <c r="MM37" s="11">
        <v>7186</v>
      </c>
      <c r="MN37" s="11">
        <v>7864</v>
      </c>
      <c r="MO37" s="11">
        <v>7883</v>
      </c>
      <c r="MP37" s="11">
        <v>7755</v>
      </c>
      <c r="MQ37" s="11">
        <v>7716</v>
      </c>
      <c r="MR37" s="11">
        <v>7455</v>
      </c>
      <c r="MS37" s="11">
        <v>7528</v>
      </c>
      <c r="MT37" s="11">
        <v>7666</v>
      </c>
      <c r="MU37" s="11">
        <v>7268</v>
      </c>
      <c r="MV37" s="11">
        <v>7746</v>
      </c>
      <c r="MW37" s="27">
        <f t="shared" si="30"/>
        <v>90851</v>
      </c>
      <c r="MX37" s="11">
        <v>6354</v>
      </c>
      <c r="MY37" s="11">
        <v>6504</v>
      </c>
      <c r="MZ37" s="11">
        <v>6066</v>
      </c>
      <c r="NA37" s="11">
        <v>6669</v>
      </c>
      <c r="NB37" s="11">
        <v>6687</v>
      </c>
      <c r="NC37" s="11">
        <v>6697</v>
      </c>
      <c r="ND37" s="11">
        <v>6539</v>
      </c>
      <c r="NE37" s="11">
        <v>6370</v>
      </c>
      <c r="NF37" s="11">
        <v>6448</v>
      </c>
      <c r="NG37" s="11">
        <v>6662</v>
      </c>
      <c r="NH37" s="11">
        <v>6299</v>
      </c>
      <c r="NI37" s="11">
        <v>6707</v>
      </c>
      <c r="NJ37" s="27">
        <f t="shared" si="31"/>
        <v>78002</v>
      </c>
      <c r="NK37" s="11">
        <v>692</v>
      </c>
      <c r="NL37" s="11">
        <v>667</v>
      </c>
      <c r="NM37" s="11">
        <v>826</v>
      </c>
      <c r="NN37" s="11">
        <v>840</v>
      </c>
      <c r="NO37" s="11">
        <v>862</v>
      </c>
      <c r="NP37" s="11">
        <v>780</v>
      </c>
      <c r="NQ37" s="11">
        <v>858</v>
      </c>
      <c r="NR37" s="11">
        <v>771</v>
      </c>
      <c r="NS37" s="11">
        <v>729</v>
      </c>
      <c r="NT37" s="11">
        <v>721</v>
      </c>
      <c r="NU37" s="11">
        <v>716</v>
      </c>
      <c r="NV37" s="11">
        <v>770</v>
      </c>
      <c r="NW37" s="27">
        <f t="shared" si="32"/>
        <v>9232</v>
      </c>
      <c r="NX37" s="11">
        <v>268</v>
      </c>
      <c r="NY37" s="11">
        <v>299</v>
      </c>
      <c r="NZ37" s="11">
        <v>294</v>
      </c>
      <c r="OA37" s="11">
        <v>355</v>
      </c>
      <c r="OB37" s="11">
        <v>334</v>
      </c>
      <c r="OC37" s="11">
        <v>278</v>
      </c>
      <c r="OD37" s="11">
        <v>319</v>
      </c>
      <c r="OE37" s="11">
        <v>314</v>
      </c>
      <c r="OF37" s="11">
        <v>351</v>
      </c>
      <c r="OG37" s="11">
        <v>283</v>
      </c>
      <c r="OH37" s="11">
        <v>253</v>
      </c>
      <c r="OI37" s="11">
        <v>269</v>
      </c>
      <c r="OJ37" s="27">
        <f t="shared" si="33"/>
        <v>3617</v>
      </c>
      <c r="OK37" s="11">
        <v>19424</v>
      </c>
      <c r="OL37" s="11">
        <v>20684</v>
      </c>
      <c r="OM37" s="11">
        <v>19643</v>
      </c>
      <c r="ON37" s="11">
        <v>21095</v>
      </c>
      <c r="OO37" s="11">
        <v>21691</v>
      </c>
      <c r="OP37" s="11">
        <v>20758</v>
      </c>
      <c r="OQ37" s="11">
        <v>21746</v>
      </c>
      <c r="OR37" s="11">
        <v>20853</v>
      </c>
      <c r="OS37" s="11">
        <v>21432</v>
      </c>
      <c r="OT37" s="11">
        <v>22830</v>
      </c>
      <c r="OU37" s="11">
        <v>21423</v>
      </c>
      <c r="OV37" s="11">
        <v>23428</v>
      </c>
      <c r="OW37" s="27">
        <f t="shared" si="34"/>
        <v>255007</v>
      </c>
      <c r="OX37" s="11">
        <v>15700</v>
      </c>
      <c r="OY37" s="11">
        <v>16372</v>
      </c>
      <c r="OZ37" s="11">
        <v>15637</v>
      </c>
      <c r="PA37" s="11">
        <v>16635</v>
      </c>
      <c r="PB37" s="11">
        <v>16999</v>
      </c>
      <c r="PC37" s="11">
        <v>16604</v>
      </c>
      <c r="PD37" s="11">
        <v>17150</v>
      </c>
      <c r="PE37" s="11">
        <v>16524</v>
      </c>
      <c r="PF37" s="11">
        <v>16673</v>
      </c>
      <c r="PG37" s="11">
        <v>18199</v>
      </c>
      <c r="PH37" s="11">
        <v>17155</v>
      </c>
      <c r="PI37" s="11">
        <v>18827</v>
      </c>
      <c r="PJ37" s="27">
        <f t="shared" si="35"/>
        <v>202475</v>
      </c>
      <c r="PK37" s="11">
        <v>2941</v>
      </c>
      <c r="PL37" s="11">
        <v>2453</v>
      </c>
      <c r="PM37" s="11">
        <v>3217</v>
      </c>
      <c r="PN37" s="11">
        <v>3583</v>
      </c>
      <c r="PO37" s="11">
        <v>3823</v>
      </c>
      <c r="PP37" s="11">
        <v>3442</v>
      </c>
      <c r="PQ37" s="11">
        <v>3751</v>
      </c>
      <c r="PR37" s="11">
        <v>3404</v>
      </c>
      <c r="PS37" s="11">
        <v>3798</v>
      </c>
      <c r="PT37" s="11">
        <v>3780</v>
      </c>
      <c r="PU37" s="11">
        <v>3493</v>
      </c>
      <c r="PV37" s="11">
        <v>3797</v>
      </c>
      <c r="PW37" s="27">
        <f t="shared" si="36"/>
        <v>41482</v>
      </c>
      <c r="PX37" s="11">
        <v>783</v>
      </c>
      <c r="PY37" s="11">
        <v>859</v>
      </c>
      <c r="PZ37" s="11">
        <v>789</v>
      </c>
      <c r="QA37" s="11">
        <v>877</v>
      </c>
      <c r="QB37" s="11">
        <v>869</v>
      </c>
      <c r="QC37" s="11">
        <v>712</v>
      </c>
      <c r="QD37" s="11">
        <v>845</v>
      </c>
      <c r="QE37" s="11">
        <v>925</v>
      </c>
      <c r="QF37" s="11">
        <v>850</v>
      </c>
      <c r="QG37" s="11">
        <v>851</v>
      </c>
      <c r="QH37" s="11">
        <v>815</v>
      </c>
      <c r="QI37" s="11">
        <v>804</v>
      </c>
      <c r="QJ37" s="27">
        <f t="shared" si="37"/>
        <v>9979</v>
      </c>
      <c r="QK37" s="11">
        <v>59049</v>
      </c>
      <c r="QL37" s="11">
        <v>57446</v>
      </c>
      <c r="QM37" s="11">
        <v>54269</v>
      </c>
      <c r="QN37" s="11">
        <v>63300</v>
      </c>
      <c r="QO37" s="11">
        <v>61425</v>
      </c>
      <c r="QP37" s="11">
        <v>57037</v>
      </c>
      <c r="QQ37" s="11">
        <v>65144</v>
      </c>
      <c r="QR37" s="11">
        <v>60367</v>
      </c>
      <c r="QS37" s="11">
        <v>47580</v>
      </c>
      <c r="QT37" s="11">
        <v>61672</v>
      </c>
      <c r="QU37" s="11">
        <v>54592</v>
      </c>
      <c r="QV37" s="11">
        <v>55576</v>
      </c>
      <c r="QW37" s="27">
        <f t="shared" si="38"/>
        <v>697457</v>
      </c>
      <c r="QX37" s="11">
        <v>72006</v>
      </c>
      <c r="QY37" s="11">
        <v>69096</v>
      </c>
      <c r="QZ37" s="11">
        <v>64011</v>
      </c>
      <c r="RA37" s="11">
        <v>75862</v>
      </c>
      <c r="RB37" s="11">
        <v>81445</v>
      </c>
      <c r="RC37" s="11">
        <v>68138</v>
      </c>
      <c r="RD37" s="11">
        <v>74920</v>
      </c>
      <c r="RE37" s="11">
        <v>67475</v>
      </c>
      <c r="RF37" s="11">
        <v>54960</v>
      </c>
      <c r="RG37" s="11">
        <v>69243</v>
      </c>
      <c r="RH37" s="11">
        <v>65349</v>
      </c>
      <c r="RI37" s="11">
        <v>71861</v>
      </c>
      <c r="RJ37" s="27">
        <f t="shared" si="39"/>
        <v>834366</v>
      </c>
      <c r="RK37" s="11">
        <v>0</v>
      </c>
      <c r="RL37" s="11">
        <v>0</v>
      </c>
      <c r="RM37" s="11">
        <v>0</v>
      </c>
      <c r="RN37" s="11">
        <v>0</v>
      </c>
      <c r="RO37" s="11">
        <v>0</v>
      </c>
      <c r="RP37" s="11">
        <v>0</v>
      </c>
      <c r="RQ37" s="11">
        <v>0</v>
      </c>
      <c r="RR37" s="11">
        <v>0</v>
      </c>
      <c r="RS37" s="11">
        <v>0</v>
      </c>
      <c r="RT37" s="11">
        <v>0</v>
      </c>
      <c r="RU37" s="11">
        <v>0</v>
      </c>
      <c r="RV37" s="11">
        <v>0</v>
      </c>
      <c r="RW37" s="27">
        <f t="shared" si="40"/>
        <v>0</v>
      </c>
      <c r="RX37" s="11">
        <v>0</v>
      </c>
      <c r="RY37" s="11">
        <v>0</v>
      </c>
      <c r="RZ37" s="11">
        <v>0</v>
      </c>
      <c r="SA37" s="11">
        <v>0</v>
      </c>
      <c r="SB37" s="11">
        <v>0</v>
      </c>
      <c r="SC37" s="11">
        <v>0</v>
      </c>
      <c r="SD37" s="11">
        <v>0</v>
      </c>
      <c r="SE37" s="11">
        <v>0</v>
      </c>
      <c r="SF37" s="11">
        <v>0</v>
      </c>
      <c r="SG37" s="11">
        <v>0</v>
      </c>
      <c r="SH37" s="11">
        <v>0</v>
      </c>
      <c r="SI37" s="11">
        <v>0</v>
      </c>
      <c r="SJ37" s="27">
        <f t="shared" si="41"/>
        <v>0</v>
      </c>
      <c r="SK37" s="11">
        <v>22</v>
      </c>
      <c r="SL37" s="11">
        <v>25</v>
      </c>
      <c r="SM37" s="11">
        <v>18</v>
      </c>
      <c r="SN37" s="11">
        <v>22</v>
      </c>
      <c r="SO37" s="11">
        <v>30</v>
      </c>
      <c r="SP37" s="11">
        <v>35</v>
      </c>
      <c r="SQ37" s="11">
        <v>36</v>
      </c>
      <c r="SR37" s="11">
        <v>22</v>
      </c>
      <c r="SS37" s="11">
        <v>11</v>
      </c>
      <c r="ST37" s="11">
        <v>21</v>
      </c>
      <c r="SU37" s="11">
        <v>19</v>
      </c>
      <c r="SV37" s="11">
        <v>23</v>
      </c>
      <c r="SW37" s="27">
        <f t="shared" si="42"/>
        <v>284</v>
      </c>
      <c r="SX37" s="11" t="s">
        <v>2675</v>
      </c>
      <c r="SY37" s="11">
        <v>0</v>
      </c>
      <c r="SZ37" s="11">
        <v>0</v>
      </c>
      <c r="TA37" s="11">
        <v>21416</v>
      </c>
      <c r="TB37" s="11">
        <v>0</v>
      </c>
      <c r="TC37" s="11">
        <v>0</v>
      </c>
      <c r="TD37" s="11">
        <v>22187</v>
      </c>
      <c r="TE37" s="11">
        <v>0</v>
      </c>
      <c r="TF37" s="11">
        <v>0</v>
      </c>
      <c r="TG37" s="11">
        <v>21346</v>
      </c>
      <c r="TH37" s="11">
        <v>0</v>
      </c>
      <c r="TI37" s="11">
        <v>0</v>
      </c>
      <c r="TJ37" s="11">
        <v>21567</v>
      </c>
      <c r="TK37" s="27">
        <f t="shared" si="43"/>
        <v>86516</v>
      </c>
      <c r="TL37" s="11">
        <v>0</v>
      </c>
      <c r="TM37" s="11">
        <v>0</v>
      </c>
      <c r="TN37" s="11">
        <v>0</v>
      </c>
      <c r="TO37" s="11">
        <v>0</v>
      </c>
      <c r="TP37" s="11">
        <v>0</v>
      </c>
      <c r="TQ37" s="11">
        <v>0</v>
      </c>
      <c r="TR37" s="11">
        <v>0</v>
      </c>
      <c r="TS37" s="11">
        <v>0</v>
      </c>
      <c r="TT37" s="11">
        <v>0</v>
      </c>
      <c r="TU37" s="11">
        <v>0</v>
      </c>
      <c r="TV37" s="11">
        <v>0</v>
      </c>
      <c r="TW37" s="11">
        <v>0</v>
      </c>
      <c r="TX37" s="27">
        <f t="shared" si="44"/>
        <v>0</v>
      </c>
      <c r="TY37" s="11">
        <v>172</v>
      </c>
      <c r="TZ37" s="11"/>
      <c r="UA37" s="11"/>
    </row>
    <row r="38" spans="1:547" ht="16" customHeight="1" x14ac:dyDescent="0.35">
      <c r="A38" s="11" t="s">
        <v>1520</v>
      </c>
      <c r="B38" s="11">
        <v>24685</v>
      </c>
      <c r="C38" s="11">
        <v>3504</v>
      </c>
      <c r="D38" s="11">
        <v>19151</v>
      </c>
      <c r="E38" s="11">
        <v>2030</v>
      </c>
      <c r="F38" s="11">
        <v>625</v>
      </c>
      <c r="G38" s="11">
        <v>625</v>
      </c>
      <c r="H38" s="11">
        <v>625</v>
      </c>
      <c r="I38" s="11">
        <v>625</v>
      </c>
      <c r="J38" s="11">
        <v>625</v>
      </c>
      <c r="K38" s="11">
        <v>647</v>
      </c>
      <c r="L38" s="11">
        <v>647</v>
      </c>
      <c r="M38" s="11">
        <v>647</v>
      </c>
      <c r="N38" s="11">
        <v>647</v>
      </c>
      <c r="O38" s="11">
        <v>647</v>
      </c>
      <c r="P38" s="11" t="s">
        <v>2866</v>
      </c>
      <c r="Q38" s="11">
        <v>647</v>
      </c>
      <c r="R38" s="11">
        <v>647</v>
      </c>
      <c r="S38" s="26">
        <f t="shared" si="0"/>
        <v>7654</v>
      </c>
      <c r="T38" s="11">
        <v>230</v>
      </c>
      <c r="U38" s="11">
        <v>230</v>
      </c>
      <c r="V38" s="11">
        <v>230</v>
      </c>
      <c r="W38" s="11">
        <v>230</v>
      </c>
      <c r="X38" s="11">
        <v>230</v>
      </c>
      <c r="Y38" s="11">
        <v>240</v>
      </c>
      <c r="Z38" s="11">
        <v>240</v>
      </c>
      <c r="AA38" s="11">
        <v>240</v>
      </c>
      <c r="AB38" s="11">
        <v>240</v>
      </c>
      <c r="AC38" s="11">
        <v>240</v>
      </c>
      <c r="AD38" s="11">
        <v>240</v>
      </c>
      <c r="AE38" s="11">
        <v>240</v>
      </c>
      <c r="AF38" s="26">
        <f t="shared" si="1"/>
        <v>2830</v>
      </c>
      <c r="AG38" s="11">
        <v>380</v>
      </c>
      <c r="AH38" s="11">
        <v>380</v>
      </c>
      <c r="AI38" s="11">
        <v>380</v>
      </c>
      <c r="AJ38" s="11">
        <v>380</v>
      </c>
      <c r="AK38" s="11">
        <v>380</v>
      </c>
      <c r="AL38" s="11">
        <v>390</v>
      </c>
      <c r="AM38" s="11">
        <v>390</v>
      </c>
      <c r="AN38" s="11">
        <v>390</v>
      </c>
      <c r="AO38" s="11">
        <v>390</v>
      </c>
      <c r="AP38" s="11">
        <v>390</v>
      </c>
      <c r="AQ38" s="11">
        <v>390</v>
      </c>
      <c r="AR38" s="11">
        <v>390</v>
      </c>
      <c r="AS38" s="26">
        <f t="shared" si="2"/>
        <v>4630</v>
      </c>
      <c r="AT38" s="11">
        <v>10</v>
      </c>
      <c r="AU38" s="11">
        <v>10</v>
      </c>
      <c r="AV38" s="11">
        <v>10</v>
      </c>
      <c r="AW38" s="11">
        <v>10</v>
      </c>
      <c r="AX38" s="11">
        <v>10</v>
      </c>
      <c r="AY38" s="11">
        <v>12</v>
      </c>
      <c r="AZ38" s="11">
        <v>12</v>
      </c>
      <c r="BA38" s="11">
        <v>12</v>
      </c>
      <c r="BB38" s="11">
        <v>12</v>
      </c>
      <c r="BC38" s="11">
        <v>12</v>
      </c>
      <c r="BD38" s="11">
        <v>12</v>
      </c>
      <c r="BE38" s="11">
        <v>12</v>
      </c>
      <c r="BF38" s="26">
        <f t="shared" si="3"/>
        <v>134</v>
      </c>
      <c r="BG38" s="11">
        <v>5</v>
      </c>
      <c r="BH38" s="11">
        <v>5</v>
      </c>
      <c r="BI38" s="11">
        <v>5</v>
      </c>
      <c r="BJ38" s="11">
        <v>5</v>
      </c>
      <c r="BK38" s="11">
        <v>5</v>
      </c>
      <c r="BL38" s="11">
        <v>5</v>
      </c>
      <c r="BM38" s="11">
        <v>5</v>
      </c>
      <c r="BN38" s="11">
        <v>5</v>
      </c>
      <c r="BO38" s="11">
        <v>5</v>
      </c>
      <c r="BP38" s="11">
        <v>5</v>
      </c>
      <c r="BQ38" s="11">
        <v>5</v>
      </c>
      <c r="BR38" s="11">
        <v>5</v>
      </c>
      <c r="BS38" s="26">
        <f t="shared" si="4"/>
        <v>60</v>
      </c>
      <c r="BT38" s="11">
        <v>12</v>
      </c>
      <c r="BU38" s="11">
        <v>12</v>
      </c>
      <c r="BV38" s="11">
        <v>12</v>
      </c>
      <c r="BW38" s="11">
        <v>12</v>
      </c>
      <c r="BX38" s="11">
        <v>12</v>
      </c>
      <c r="BY38" s="11">
        <v>12</v>
      </c>
      <c r="BZ38" s="11">
        <v>12</v>
      </c>
      <c r="CA38" s="11">
        <v>12</v>
      </c>
      <c r="CB38" s="11">
        <v>12</v>
      </c>
      <c r="CC38" s="11">
        <v>12</v>
      </c>
      <c r="CD38" s="11">
        <v>12</v>
      </c>
      <c r="CE38" s="11">
        <v>12</v>
      </c>
      <c r="CF38" s="26">
        <f t="shared" si="5"/>
        <v>144</v>
      </c>
      <c r="CG38" s="11">
        <v>8</v>
      </c>
      <c r="CH38" s="11">
        <v>8</v>
      </c>
      <c r="CI38" s="11">
        <v>8</v>
      </c>
      <c r="CJ38" s="11">
        <v>8</v>
      </c>
      <c r="CK38" s="11">
        <v>8</v>
      </c>
      <c r="CL38" s="11">
        <v>8</v>
      </c>
      <c r="CM38" s="11">
        <v>8</v>
      </c>
      <c r="CN38" s="11">
        <v>8</v>
      </c>
      <c r="CO38" s="11">
        <v>8</v>
      </c>
      <c r="CP38" s="11">
        <v>8</v>
      </c>
      <c r="CQ38" s="11">
        <v>8</v>
      </c>
      <c r="CR38" s="11">
        <v>8</v>
      </c>
      <c r="CS38" s="26">
        <f t="shared" si="6"/>
        <v>96</v>
      </c>
      <c r="CT38" s="11">
        <v>3</v>
      </c>
      <c r="CU38" s="11">
        <v>3</v>
      </c>
      <c r="CV38" s="11">
        <v>3</v>
      </c>
      <c r="CW38" s="11">
        <v>3</v>
      </c>
      <c r="CX38" s="11">
        <v>3</v>
      </c>
      <c r="CY38" s="11">
        <v>3</v>
      </c>
      <c r="CZ38" s="11">
        <v>3</v>
      </c>
      <c r="DA38" s="11">
        <v>3</v>
      </c>
      <c r="DB38" s="11">
        <v>3</v>
      </c>
      <c r="DC38" s="11">
        <v>3</v>
      </c>
      <c r="DD38" s="11">
        <v>3</v>
      </c>
      <c r="DE38" s="11">
        <v>3</v>
      </c>
      <c r="DF38" s="26">
        <f t="shared" si="7"/>
        <v>36</v>
      </c>
      <c r="DG38" s="11">
        <v>1</v>
      </c>
      <c r="DH38" s="11">
        <v>1</v>
      </c>
      <c r="DI38" s="11">
        <v>1</v>
      </c>
      <c r="DJ38" s="11">
        <v>1</v>
      </c>
      <c r="DK38" s="11">
        <v>1</v>
      </c>
      <c r="DL38" s="11">
        <v>1</v>
      </c>
      <c r="DM38" s="11">
        <v>1</v>
      </c>
      <c r="DN38" s="11">
        <v>1</v>
      </c>
      <c r="DO38" s="11">
        <v>1</v>
      </c>
      <c r="DP38" s="11">
        <v>1</v>
      </c>
      <c r="DQ38" s="11">
        <v>1</v>
      </c>
      <c r="DR38" s="11">
        <v>1</v>
      </c>
      <c r="DS38" s="26">
        <f t="shared" si="8"/>
        <v>12</v>
      </c>
      <c r="DT38" s="11">
        <v>0</v>
      </c>
      <c r="DU38" s="11">
        <v>0</v>
      </c>
      <c r="DV38" s="11">
        <v>0</v>
      </c>
      <c r="DW38" s="11">
        <v>0</v>
      </c>
      <c r="DX38" s="11">
        <v>0</v>
      </c>
      <c r="DY38" s="11">
        <v>0</v>
      </c>
      <c r="DZ38" s="11">
        <v>0</v>
      </c>
      <c r="EA38" s="11">
        <v>0</v>
      </c>
      <c r="EB38" s="11">
        <v>0</v>
      </c>
      <c r="EC38" s="11">
        <v>0</v>
      </c>
      <c r="ED38" s="11">
        <v>0</v>
      </c>
      <c r="EE38" s="11">
        <v>0</v>
      </c>
      <c r="EF38" s="26">
        <f t="shared" si="9"/>
        <v>0</v>
      </c>
      <c r="EG38" s="9">
        <f t="shared" si="10"/>
        <v>7654</v>
      </c>
      <c r="EH38" s="9">
        <f t="shared" si="11"/>
        <v>144</v>
      </c>
      <c r="EI38" s="11">
        <v>12300</v>
      </c>
      <c r="EJ38" s="11">
        <v>12300</v>
      </c>
      <c r="EK38" s="11">
        <v>12300</v>
      </c>
      <c r="EL38" s="11">
        <v>12300</v>
      </c>
      <c r="EM38" s="11">
        <v>12300</v>
      </c>
      <c r="EN38" s="11">
        <v>12720</v>
      </c>
      <c r="EO38" s="11">
        <v>12720</v>
      </c>
      <c r="EP38" s="11">
        <v>12720</v>
      </c>
      <c r="EQ38" s="11">
        <v>12720</v>
      </c>
      <c r="ER38" s="11">
        <v>12720</v>
      </c>
      <c r="ES38" s="11">
        <v>12720</v>
      </c>
      <c r="ET38" s="11">
        <v>12720</v>
      </c>
      <c r="EU38" s="26">
        <f t="shared" si="12"/>
        <v>150540</v>
      </c>
      <c r="EV38" s="11">
        <v>4600</v>
      </c>
      <c r="EW38" s="11">
        <v>4600</v>
      </c>
      <c r="EX38" s="11">
        <v>4600</v>
      </c>
      <c r="EY38" s="11">
        <v>4600</v>
      </c>
      <c r="EZ38" s="11">
        <v>4600</v>
      </c>
      <c r="FA38" s="11">
        <v>4800</v>
      </c>
      <c r="FB38" s="11">
        <v>4800</v>
      </c>
      <c r="FC38" s="11">
        <v>4800</v>
      </c>
      <c r="FD38" s="11">
        <v>4800</v>
      </c>
      <c r="FE38" s="11">
        <v>4800</v>
      </c>
      <c r="FF38" s="11">
        <v>4800</v>
      </c>
      <c r="FG38" s="11">
        <v>4800</v>
      </c>
      <c r="FH38" s="26">
        <f t="shared" si="13"/>
        <v>56600</v>
      </c>
      <c r="FI38" s="11">
        <v>7600</v>
      </c>
      <c r="FJ38" s="11">
        <v>7600</v>
      </c>
      <c r="FK38" s="11">
        <v>7600</v>
      </c>
      <c r="FL38" s="11">
        <v>7600</v>
      </c>
      <c r="FM38" s="11">
        <v>7600</v>
      </c>
      <c r="FN38" s="11">
        <v>7800</v>
      </c>
      <c r="FO38" s="11">
        <v>7800</v>
      </c>
      <c r="FP38" s="11">
        <v>7800</v>
      </c>
      <c r="FQ38" s="11">
        <v>7800</v>
      </c>
      <c r="FR38" s="11">
        <v>7800</v>
      </c>
      <c r="FS38" s="11">
        <v>7800</v>
      </c>
      <c r="FT38" s="11">
        <v>7800</v>
      </c>
      <c r="FU38" s="26">
        <f t="shared" si="14"/>
        <v>92600</v>
      </c>
      <c r="FV38" s="11">
        <v>100</v>
      </c>
      <c r="FW38" s="11">
        <v>100</v>
      </c>
      <c r="FX38" s="11">
        <v>100</v>
      </c>
      <c r="FY38" s="11">
        <v>100</v>
      </c>
      <c r="FZ38" s="11">
        <v>100</v>
      </c>
      <c r="GA38" s="11">
        <v>120</v>
      </c>
      <c r="GB38" s="11">
        <v>120</v>
      </c>
      <c r="GC38" s="11">
        <v>120</v>
      </c>
      <c r="GD38" s="11">
        <v>120</v>
      </c>
      <c r="GE38" s="11">
        <v>120</v>
      </c>
      <c r="GF38" s="11">
        <v>120</v>
      </c>
      <c r="GG38" s="11">
        <v>120</v>
      </c>
      <c r="GH38" s="26">
        <f t="shared" si="15"/>
        <v>1340</v>
      </c>
      <c r="GI38" s="11">
        <v>120</v>
      </c>
      <c r="GJ38" s="11">
        <v>120</v>
      </c>
      <c r="GK38" s="11">
        <v>120</v>
      </c>
      <c r="GL38" s="11">
        <v>120</v>
      </c>
      <c r="GM38" s="11">
        <v>120</v>
      </c>
      <c r="GN38" s="11">
        <v>120</v>
      </c>
      <c r="GO38" s="11">
        <v>120</v>
      </c>
      <c r="GP38" s="11">
        <v>120</v>
      </c>
      <c r="GQ38" s="11">
        <v>120</v>
      </c>
      <c r="GR38" s="11">
        <v>120</v>
      </c>
      <c r="GS38" s="11">
        <v>120</v>
      </c>
      <c r="GT38" s="11">
        <v>120</v>
      </c>
      <c r="GU38" s="26">
        <f t="shared" si="16"/>
        <v>1440</v>
      </c>
      <c r="GV38" s="11">
        <v>80</v>
      </c>
      <c r="GW38" s="11">
        <v>80</v>
      </c>
      <c r="GX38" s="11">
        <v>80</v>
      </c>
      <c r="GY38" s="11">
        <v>80</v>
      </c>
      <c r="GZ38" s="11">
        <v>80</v>
      </c>
      <c r="HA38" s="11">
        <v>80</v>
      </c>
      <c r="HB38" s="11">
        <v>80</v>
      </c>
      <c r="HC38" s="11">
        <v>80</v>
      </c>
      <c r="HD38" s="11">
        <v>80</v>
      </c>
      <c r="HE38" s="11">
        <v>80</v>
      </c>
      <c r="HF38" s="11">
        <v>80</v>
      </c>
      <c r="HG38" s="11">
        <v>80</v>
      </c>
      <c r="HH38" s="26">
        <f t="shared" si="17"/>
        <v>960</v>
      </c>
      <c r="HI38" s="11">
        <v>30</v>
      </c>
      <c r="HJ38" s="11">
        <v>30</v>
      </c>
      <c r="HK38" s="11">
        <v>30</v>
      </c>
      <c r="HL38" s="11">
        <v>30</v>
      </c>
      <c r="HM38" s="11">
        <v>30</v>
      </c>
      <c r="HN38" s="11">
        <v>30</v>
      </c>
      <c r="HO38" s="11">
        <v>30</v>
      </c>
      <c r="HP38" s="11">
        <v>30</v>
      </c>
      <c r="HQ38" s="11">
        <v>30</v>
      </c>
      <c r="HR38" s="11">
        <v>30</v>
      </c>
      <c r="HS38" s="11">
        <v>30</v>
      </c>
      <c r="HT38" s="11">
        <v>30</v>
      </c>
      <c r="HU38" s="26">
        <f t="shared" si="18"/>
        <v>360</v>
      </c>
      <c r="HV38" s="11">
        <v>10</v>
      </c>
      <c r="HW38" s="11">
        <v>10</v>
      </c>
      <c r="HX38" s="11">
        <v>10</v>
      </c>
      <c r="HY38" s="11">
        <v>10</v>
      </c>
      <c r="HZ38" s="11">
        <v>10</v>
      </c>
      <c r="IA38" s="11">
        <v>10</v>
      </c>
      <c r="IB38" s="11">
        <v>10</v>
      </c>
      <c r="IC38" s="11">
        <v>10</v>
      </c>
      <c r="ID38" s="11">
        <v>10</v>
      </c>
      <c r="IE38" s="11">
        <v>10</v>
      </c>
      <c r="IF38" s="11">
        <v>10</v>
      </c>
      <c r="IG38" s="11">
        <v>10</v>
      </c>
      <c r="IH38" s="26">
        <f t="shared" si="19"/>
        <v>120</v>
      </c>
      <c r="II38" s="9">
        <f t="shared" si="20"/>
        <v>150540</v>
      </c>
      <c r="IJ38" s="9">
        <f t="shared" si="21"/>
        <v>1440</v>
      </c>
      <c r="IK38" s="11">
        <v>83882</v>
      </c>
      <c r="IL38" s="11">
        <v>81359</v>
      </c>
      <c r="IM38" s="11">
        <v>76438</v>
      </c>
      <c r="IN38" s="11">
        <v>84335</v>
      </c>
      <c r="IO38" s="11">
        <v>81859</v>
      </c>
      <c r="IP38" s="11">
        <v>80746</v>
      </c>
      <c r="IQ38" s="11">
        <v>88829</v>
      </c>
      <c r="IR38" s="11">
        <v>82467</v>
      </c>
      <c r="IS38" s="11">
        <v>74550</v>
      </c>
      <c r="IT38" s="11">
        <v>87817</v>
      </c>
      <c r="IU38" s="11">
        <v>82097</v>
      </c>
      <c r="IV38" s="11">
        <v>89630</v>
      </c>
      <c r="IW38" s="27">
        <f t="shared" si="22"/>
        <v>994009</v>
      </c>
      <c r="IX38" s="11">
        <v>35200</v>
      </c>
      <c r="IY38" s="11">
        <v>35541</v>
      </c>
      <c r="IZ38" s="11">
        <v>33759</v>
      </c>
      <c r="JA38" s="11">
        <v>37102</v>
      </c>
      <c r="JB38" s="11">
        <v>36444</v>
      </c>
      <c r="JC38" s="11">
        <v>35849</v>
      </c>
      <c r="JD38" s="11">
        <v>36851</v>
      </c>
      <c r="JE38" s="11">
        <v>34484</v>
      </c>
      <c r="JF38" s="11">
        <v>34048</v>
      </c>
      <c r="JG38" s="11">
        <v>37728</v>
      </c>
      <c r="JH38" s="11">
        <v>33617</v>
      </c>
      <c r="JI38" s="11">
        <v>37222</v>
      </c>
      <c r="JJ38" s="27">
        <f t="shared" si="23"/>
        <v>427845</v>
      </c>
      <c r="JK38" s="11">
        <v>46389</v>
      </c>
      <c r="JL38" s="11">
        <v>43666</v>
      </c>
      <c r="JM38" s="11">
        <v>40692</v>
      </c>
      <c r="JN38" s="11">
        <v>44633</v>
      </c>
      <c r="JO38" s="11">
        <v>42736</v>
      </c>
      <c r="JP38" s="11">
        <v>42373</v>
      </c>
      <c r="JQ38" s="11">
        <v>49271</v>
      </c>
      <c r="JR38" s="11">
        <v>45639</v>
      </c>
      <c r="JS38" s="11">
        <v>38248</v>
      </c>
      <c r="JT38" s="11">
        <v>47530</v>
      </c>
      <c r="JU38" s="11">
        <v>45982</v>
      </c>
      <c r="JV38" s="11">
        <v>49943</v>
      </c>
      <c r="JW38" s="27">
        <f t="shared" si="24"/>
        <v>537102</v>
      </c>
      <c r="JX38" s="11">
        <v>2293</v>
      </c>
      <c r="JY38" s="11">
        <v>2152</v>
      </c>
      <c r="JZ38" s="11">
        <v>1987</v>
      </c>
      <c r="KA38" s="11">
        <v>2600</v>
      </c>
      <c r="KB38" s="11">
        <v>2679</v>
      </c>
      <c r="KC38" s="11">
        <v>2524</v>
      </c>
      <c r="KD38" s="11">
        <v>2707</v>
      </c>
      <c r="KE38" s="11">
        <v>2344</v>
      </c>
      <c r="KF38" s="11">
        <v>2254</v>
      </c>
      <c r="KG38" s="11">
        <v>2559</v>
      </c>
      <c r="KH38" s="11">
        <v>2498</v>
      </c>
      <c r="KI38" s="11">
        <v>2465</v>
      </c>
      <c r="KJ38" s="27">
        <f t="shared" si="25"/>
        <v>29062</v>
      </c>
      <c r="KK38" s="11">
        <v>1288</v>
      </c>
      <c r="KL38" s="11">
        <v>1392</v>
      </c>
      <c r="KM38" s="11">
        <v>1418</v>
      </c>
      <c r="KN38" s="11">
        <v>1601</v>
      </c>
      <c r="KO38" s="11">
        <v>1564</v>
      </c>
      <c r="KP38" s="11">
        <v>1427</v>
      </c>
      <c r="KQ38" s="11">
        <v>1604</v>
      </c>
      <c r="KR38" s="11">
        <v>1478</v>
      </c>
      <c r="KS38" s="11">
        <v>1399</v>
      </c>
      <c r="KT38" s="11">
        <v>1682</v>
      </c>
      <c r="KU38" s="11">
        <v>1233</v>
      </c>
      <c r="KV38" s="11">
        <v>1257</v>
      </c>
      <c r="KW38" s="27">
        <f t="shared" si="26"/>
        <v>17343</v>
      </c>
      <c r="KX38" s="11">
        <v>1246</v>
      </c>
      <c r="KY38" s="11">
        <v>1352</v>
      </c>
      <c r="KZ38" s="11">
        <v>1396</v>
      </c>
      <c r="LA38" s="11">
        <v>1590</v>
      </c>
      <c r="LB38" s="11">
        <v>1544</v>
      </c>
      <c r="LC38" s="11">
        <v>1353</v>
      </c>
      <c r="LD38" s="11">
        <v>1530</v>
      </c>
      <c r="LE38" s="11">
        <v>1458</v>
      </c>
      <c r="LF38" s="11">
        <v>1379</v>
      </c>
      <c r="LG38" s="11">
        <v>1665</v>
      </c>
      <c r="LH38" s="11">
        <v>1220</v>
      </c>
      <c r="LI38" s="11">
        <v>1245</v>
      </c>
      <c r="LJ38" s="27">
        <f t="shared" si="27"/>
        <v>16978</v>
      </c>
      <c r="LK38" s="11">
        <v>36</v>
      </c>
      <c r="LL38" s="11">
        <v>39</v>
      </c>
      <c r="LM38" s="11">
        <v>21</v>
      </c>
      <c r="LN38" s="11">
        <v>10</v>
      </c>
      <c r="LO38" s="11">
        <v>18</v>
      </c>
      <c r="LP38" s="11">
        <v>68</v>
      </c>
      <c r="LQ38" s="11">
        <v>67</v>
      </c>
      <c r="LR38" s="11">
        <v>15</v>
      </c>
      <c r="LS38" s="11">
        <v>16</v>
      </c>
      <c r="LT38" s="11">
        <v>13</v>
      </c>
      <c r="LU38" s="11">
        <v>10</v>
      </c>
      <c r="LV38" s="11">
        <v>10</v>
      </c>
      <c r="LW38" s="27">
        <f t="shared" si="28"/>
        <v>323</v>
      </c>
      <c r="LX38" s="11">
        <v>6</v>
      </c>
      <c r="LY38" s="11">
        <v>1</v>
      </c>
      <c r="LZ38" s="11">
        <v>1</v>
      </c>
      <c r="MA38" s="11">
        <v>1</v>
      </c>
      <c r="MB38" s="11">
        <v>2</v>
      </c>
      <c r="MC38" s="11">
        <v>6</v>
      </c>
      <c r="MD38" s="11">
        <v>7</v>
      </c>
      <c r="ME38" s="11">
        <v>5</v>
      </c>
      <c r="MF38" s="11">
        <v>4</v>
      </c>
      <c r="MG38" s="11">
        <v>4</v>
      </c>
      <c r="MH38" s="11">
        <v>3</v>
      </c>
      <c r="MI38" s="11">
        <v>2</v>
      </c>
      <c r="MJ38" s="27">
        <f t="shared" si="29"/>
        <v>42</v>
      </c>
      <c r="MK38" s="11">
        <v>3313</v>
      </c>
      <c r="ML38" s="11">
        <v>3255</v>
      </c>
      <c r="MM38" s="11">
        <v>3224</v>
      </c>
      <c r="MN38" s="11">
        <v>3371</v>
      </c>
      <c r="MO38" s="11">
        <v>3482</v>
      </c>
      <c r="MP38" s="11">
        <v>3147</v>
      </c>
      <c r="MQ38" s="11">
        <v>3338</v>
      </c>
      <c r="MR38" s="11">
        <v>2874</v>
      </c>
      <c r="MS38" s="11">
        <v>3268</v>
      </c>
      <c r="MT38" s="11">
        <v>3528</v>
      </c>
      <c r="MU38" s="11">
        <v>3209</v>
      </c>
      <c r="MV38" s="11">
        <v>3495</v>
      </c>
      <c r="MW38" s="27">
        <f t="shared" si="30"/>
        <v>39504</v>
      </c>
      <c r="MX38" s="11">
        <v>2493</v>
      </c>
      <c r="MY38" s="11">
        <v>2480</v>
      </c>
      <c r="MZ38" s="11">
        <v>2361</v>
      </c>
      <c r="NA38" s="11">
        <v>2465</v>
      </c>
      <c r="NB38" s="11">
        <v>2589</v>
      </c>
      <c r="NC38" s="11">
        <v>2482</v>
      </c>
      <c r="ND38" s="11">
        <v>2551</v>
      </c>
      <c r="NE38" s="11">
        <v>2218</v>
      </c>
      <c r="NF38" s="11">
        <v>2463</v>
      </c>
      <c r="NG38" s="11">
        <v>2695</v>
      </c>
      <c r="NH38" s="11">
        <v>2360</v>
      </c>
      <c r="NI38" s="11">
        <v>2657</v>
      </c>
      <c r="NJ38" s="27">
        <f t="shared" si="31"/>
        <v>29814</v>
      </c>
      <c r="NK38" s="11">
        <v>478</v>
      </c>
      <c r="NL38" s="11">
        <v>475</v>
      </c>
      <c r="NM38" s="11">
        <v>491</v>
      </c>
      <c r="NN38" s="11">
        <v>516</v>
      </c>
      <c r="NO38" s="11">
        <v>481</v>
      </c>
      <c r="NP38" s="11">
        <v>409</v>
      </c>
      <c r="NQ38" s="11">
        <v>484</v>
      </c>
      <c r="NR38" s="11">
        <v>343</v>
      </c>
      <c r="NS38" s="11">
        <v>458</v>
      </c>
      <c r="NT38" s="11">
        <v>438</v>
      </c>
      <c r="NU38" s="11">
        <v>549</v>
      </c>
      <c r="NV38" s="11">
        <v>537</v>
      </c>
      <c r="NW38" s="27">
        <f t="shared" si="32"/>
        <v>5659</v>
      </c>
      <c r="NX38" s="11">
        <v>342</v>
      </c>
      <c r="NY38" s="11">
        <v>300</v>
      </c>
      <c r="NZ38" s="11">
        <v>372</v>
      </c>
      <c r="OA38" s="11">
        <v>390</v>
      </c>
      <c r="OB38" s="11">
        <v>412</v>
      </c>
      <c r="OC38" s="11">
        <v>256</v>
      </c>
      <c r="OD38" s="11">
        <v>313</v>
      </c>
      <c r="OE38" s="11">
        <v>313</v>
      </c>
      <c r="OF38" s="11">
        <v>347</v>
      </c>
      <c r="OG38" s="11">
        <v>395</v>
      </c>
      <c r="OH38" s="11">
        <v>300</v>
      </c>
      <c r="OI38" s="11">
        <v>301</v>
      </c>
      <c r="OJ38" s="27">
        <f t="shared" si="33"/>
        <v>4041</v>
      </c>
      <c r="OK38" s="11">
        <v>3394</v>
      </c>
      <c r="OL38" s="11">
        <v>3566</v>
      </c>
      <c r="OM38" s="11">
        <v>3200</v>
      </c>
      <c r="ON38" s="11">
        <v>3555</v>
      </c>
      <c r="OO38" s="11">
        <v>3654</v>
      </c>
      <c r="OP38" s="11">
        <v>3734</v>
      </c>
      <c r="OQ38" s="11">
        <v>3828</v>
      </c>
      <c r="OR38" s="11">
        <v>3637</v>
      </c>
      <c r="OS38" s="11">
        <v>3801</v>
      </c>
      <c r="OT38" s="11">
        <v>3954</v>
      </c>
      <c r="OU38" s="11">
        <v>3736</v>
      </c>
      <c r="OV38" s="11">
        <v>3960</v>
      </c>
      <c r="OW38" s="27">
        <f t="shared" si="34"/>
        <v>44019</v>
      </c>
      <c r="OX38" s="11">
        <v>2845</v>
      </c>
      <c r="OY38" s="11">
        <v>3011</v>
      </c>
      <c r="OZ38" s="11">
        <v>2676</v>
      </c>
      <c r="PA38" s="11">
        <v>2949</v>
      </c>
      <c r="PB38" s="11">
        <v>3039</v>
      </c>
      <c r="PC38" s="11">
        <v>3136</v>
      </c>
      <c r="PD38" s="11">
        <v>3250</v>
      </c>
      <c r="PE38" s="11">
        <v>3136</v>
      </c>
      <c r="PF38" s="11">
        <v>3226</v>
      </c>
      <c r="PG38" s="11">
        <v>3471</v>
      </c>
      <c r="PH38" s="11">
        <v>3204</v>
      </c>
      <c r="PI38" s="11">
        <v>3442</v>
      </c>
      <c r="PJ38" s="27">
        <f t="shared" si="35"/>
        <v>37385</v>
      </c>
      <c r="PK38" s="11">
        <v>381</v>
      </c>
      <c r="PL38" s="11">
        <v>386</v>
      </c>
      <c r="PM38" s="11">
        <v>374</v>
      </c>
      <c r="PN38" s="11">
        <v>425</v>
      </c>
      <c r="PO38" s="11">
        <v>420</v>
      </c>
      <c r="PP38" s="11">
        <v>396</v>
      </c>
      <c r="PQ38" s="11">
        <v>406</v>
      </c>
      <c r="PR38" s="11">
        <v>345</v>
      </c>
      <c r="PS38" s="11">
        <v>394</v>
      </c>
      <c r="PT38" s="11">
        <v>337</v>
      </c>
      <c r="PU38" s="11">
        <v>391</v>
      </c>
      <c r="PV38" s="11">
        <v>366</v>
      </c>
      <c r="PW38" s="27">
        <f t="shared" si="36"/>
        <v>4621</v>
      </c>
      <c r="PX38" s="11">
        <v>168</v>
      </c>
      <c r="PY38" s="11">
        <v>169</v>
      </c>
      <c r="PZ38" s="11">
        <v>150</v>
      </c>
      <c r="QA38" s="11">
        <v>181</v>
      </c>
      <c r="QB38" s="11">
        <v>195</v>
      </c>
      <c r="QC38" s="11">
        <v>202</v>
      </c>
      <c r="QD38" s="11">
        <v>172</v>
      </c>
      <c r="QE38" s="11">
        <v>156</v>
      </c>
      <c r="QF38" s="11">
        <v>181</v>
      </c>
      <c r="QG38" s="11">
        <v>146</v>
      </c>
      <c r="QH38" s="11">
        <v>141</v>
      </c>
      <c r="QI38" s="11">
        <v>152</v>
      </c>
      <c r="QJ38" s="27">
        <f t="shared" si="37"/>
        <v>2013</v>
      </c>
      <c r="QK38" s="11">
        <v>161482</v>
      </c>
      <c r="QL38" s="11">
        <v>151966</v>
      </c>
      <c r="QM38" s="11">
        <v>139348</v>
      </c>
      <c r="QN38" s="11">
        <v>155642</v>
      </c>
      <c r="QO38" s="11">
        <v>154795</v>
      </c>
      <c r="QP38" s="11">
        <v>152824</v>
      </c>
      <c r="QQ38" s="11">
        <v>165914</v>
      </c>
      <c r="QR38" s="11">
        <v>153276</v>
      </c>
      <c r="QS38" s="11">
        <v>123806</v>
      </c>
      <c r="QT38" s="11">
        <v>156913</v>
      </c>
      <c r="QU38" s="11">
        <v>156502</v>
      </c>
      <c r="QV38" s="11">
        <v>161426</v>
      </c>
      <c r="QW38" s="27">
        <f t="shared" si="38"/>
        <v>1833894</v>
      </c>
      <c r="QX38" s="11">
        <v>13640</v>
      </c>
      <c r="QY38" s="11">
        <v>13769</v>
      </c>
      <c r="QZ38" s="11">
        <v>13110</v>
      </c>
      <c r="RA38" s="11">
        <v>13708</v>
      </c>
      <c r="RB38" s="11">
        <v>12368</v>
      </c>
      <c r="RC38" s="11">
        <v>13055</v>
      </c>
      <c r="RD38" s="11">
        <v>15378</v>
      </c>
      <c r="RE38" s="11">
        <v>14171</v>
      </c>
      <c r="RF38" s="11">
        <v>10805</v>
      </c>
      <c r="RG38" s="11">
        <v>14036</v>
      </c>
      <c r="RH38" s="11">
        <v>13488</v>
      </c>
      <c r="RI38" s="11">
        <v>15858</v>
      </c>
      <c r="RJ38" s="27">
        <f t="shared" si="39"/>
        <v>163386</v>
      </c>
      <c r="RK38" s="11">
        <v>0</v>
      </c>
      <c r="RL38" s="11">
        <v>0</v>
      </c>
      <c r="RM38" s="11">
        <v>0</v>
      </c>
      <c r="RN38" s="11">
        <v>0</v>
      </c>
      <c r="RO38" s="11">
        <v>0</v>
      </c>
      <c r="RP38" s="11">
        <v>0</v>
      </c>
      <c r="RQ38" s="11">
        <v>0</v>
      </c>
      <c r="RR38" s="11">
        <v>0</v>
      </c>
      <c r="RS38" s="11">
        <v>0</v>
      </c>
      <c r="RT38" s="11">
        <v>0</v>
      </c>
      <c r="RU38" s="11">
        <v>0</v>
      </c>
      <c r="RV38" s="11">
        <v>0</v>
      </c>
      <c r="RW38" s="27">
        <f t="shared" si="40"/>
        <v>0</v>
      </c>
      <c r="RX38" s="11">
        <v>0</v>
      </c>
      <c r="RY38" s="11">
        <v>0</v>
      </c>
      <c r="RZ38" s="11">
        <v>0</v>
      </c>
      <c r="SA38" s="11">
        <v>0</v>
      </c>
      <c r="SB38" s="11">
        <v>0</v>
      </c>
      <c r="SC38" s="11">
        <v>0</v>
      </c>
      <c r="SD38" s="11">
        <v>0</v>
      </c>
      <c r="SE38" s="11">
        <v>0</v>
      </c>
      <c r="SF38" s="11">
        <v>0</v>
      </c>
      <c r="SG38" s="11">
        <v>0</v>
      </c>
      <c r="SH38" s="11">
        <v>0</v>
      </c>
      <c r="SI38" s="11">
        <v>0</v>
      </c>
      <c r="SJ38" s="27">
        <f t="shared" si="41"/>
        <v>0</v>
      </c>
      <c r="SK38" s="11">
        <v>0</v>
      </c>
      <c r="SL38" s="11">
        <v>0</v>
      </c>
      <c r="SM38" s="11">
        <v>0</v>
      </c>
      <c r="SN38" s="11">
        <v>0</v>
      </c>
      <c r="SO38" s="11">
        <v>0</v>
      </c>
      <c r="SP38" s="11">
        <v>0</v>
      </c>
      <c r="SQ38" s="11">
        <v>0</v>
      </c>
      <c r="SR38" s="11">
        <v>0</v>
      </c>
      <c r="SS38" s="11">
        <v>0</v>
      </c>
      <c r="ST38" s="11">
        <v>0</v>
      </c>
      <c r="SU38" s="11">
        <v>0</v>
      </c>
      <c r="SV38" s="11">
        <v>0</v>
      </c>
      <c r="SW38" s="27">
        <f t="shared" si="42"/>
        <v>0</v>
      </c>
      <c r="SX38" s="28" t="s">
        <v>2676</v>
      </c>
      <c r="SY38" s="11">
        <v>13167</v>
      </c>
      <c r="SZ38" s="11">
        <v>13296</v>
      </c>
      <c r="TA38" s="11">
        <v>12538</v>
      </c>
      <c r="TB38" s="11">
        <v>13628</v>
      </c>
      <c r="TC38" s="11">
        <v>11060</v>
      </c>
      <c r="TD38" s="11">
        <v>11474</v>
      </c>
      <c r="TE38" s="11">
        <v>13980</v>
      </c>
      <c r="TF38" s="11">
        <v>12463</v>
      </c>
      <c r="TG38" s="11">
        <v>9511</v>
      </c>
      <c r="TH38" s="11">
        <v>11472</v>
      </c>
      <c r="TI38" s="11">
        <v>10527</v>
      </c>
      <c r="TJ38" s="11">
        <v>11747</v>
      </c>
      <c r="TK38" s="27">
        <f t="shared" si="43"/>
        <v>144863</v>
      </c>
      <c r="TL38" s="11">
        <v>36360</v>
      </c>
      <c r="TM38" s="11">
        <v>35804</v>
      </c>
      <c r="TN38" s="11">
        <v>28709</v>
      </c>
      <c r="TO38" s="11">
        <v>26457</v>
      </c>
      <c r="TP38" s="11">
        <v>26144</v>
      </c>
      <c r="TQ38" s="11">
        <v>25044</v>
      </c>
      <c r="TR38" s="11">
        <v>29744</v>
      </c>
      <c r="TS38" s="11">
        <v>26669</v>
      </c>
      <c r="TT38" s="11">
        <v>18981</v>
      </c>
      <c r="TU38" s="11">
        <v>33871</v>
      </c>
      <c r="TV38" s="11">
        <v>34275</v>
      </c>
      <c r="TW38" s="11">
        <v>34927</v>
      </c>
      <c r="TX38" s="27">
        <f t="shared" si="44"/>
        <v>356985</v>
      </c>
      <c r="TY38" s="11">
        <v>220</v>
      </c>
      <c r="TZ38" s="11">
        <v>20</v>
      </c>
      <c r="UA38" s="11">
        <v>50</v>
      </c>
    </row>
    <row r="39" spans="1:547" ht="16" customHeight="1" x14ac:dyDescent="0.35">
      <c r="A39" s="11" t="s">
        <v>2677</v>
      </c>
      <c r="B39" s="11">
        <v>47558</v>
      </c>
      <c r="C39" s="11">
        <v>4953</v>
      </c>
      <c r="D39" s="11">
        <v>34643</v>
      </c>
      <c r="E39" s="11">
        <v>7962</v>
      </c>
      <c r="F39" s="11">
        <v>131</v>
      </c>
      <c r="G39" s="11">
        <v>150</v>
      </c>
      <c r="H39" s="11">
        <v>141</v>
      </c>
      <c r="I39" s="11">
        <v>149</v>
      </c>
      <c r="J39" s="11">
        <v>143</v>
      </c>
      <c r="K39" s="11">
        <v>148</v>
      </c>
      <c r="L39" s="11">
        <v>200</v>
      </c>
      <c r="M39" s="11">
        <v>162</v>
      </c>
      <c r="N39" s="11">
        <v>145</v>
      </c>
      <c r="O39" s="11">
        <v>217</v>
      </c>
      <c r="P39" s="11" t="s">
        <v>2866</v>
      </c>
      <c r="Q39" s="11">
        <v>169</v>
      </c>
      <c r="R39" s="11">
        <v>198</v>
      </c>
      <c r="S39" s="26">
        <f t="shared" si="0"/>
        <v>1953</v>
      </c>
      <c r="T39" s="11">
        <v>14</v>
      </c>
      <c r="U39" s="11">
        <v>17</v>
      </c>
      <c r="V39" s="11">
        <v>17</v>
      </c>
      <c r="W39" s="11">
        <v>24</v>
      </c>
      <c r="X39" s="11">
        <v>32</v>
      </c>
      <c r="Y39" s="11">
        <v>32</v>
      </c>
      <c r="Z39" s="11">
        <v>34</v>
      </c>
      <c r="AA39" s="11">
        <v>33</v>
      </c>
      <c r="AB39" s="11">
        <v>31</v>
      </c>
      <c r="AC39" s="11">
        <v>36</v>
      </c>
      <c r="AD39" s="11">
        <v>28</v>
      </c>
      <c r="AE39" s="11">
        <v>37</v>
      </c>
      <c r="AF39" s="26">
        <f t="shared" si="1"/>
        <v>335</v>
      </c>
      <c r="AG39" s="11">
        <v>117</v>
      </c>
      <c r="AH39" s="11">
        <v>133</v>
      </c>
      <c r="AI39" s="11">
        <v>124</v>
      </c>
      <c r="AJ39" s="11">
        <v>125</v>
      </c>
      <c r="AK39" s="11">
        <v>111</v>
      </c>
      <c r="AL39" s="11">
        <v>116</v>
      </c>
      <c r="AM39" s="11">
        <v>166</v>
      </c>
      <c r="AN39" s="11">
        <v>129</v>
      </c>
      <c r="AO39" s="11">
        <v>114</v>
      </c>
      <c r="AP39" s="11">
        <v>181</v>
      </c>
      <c r="AQ39" s="11">
        <v>141</v>
      </c>
      <c r="AR39" s="11">
        <v>161</v>
      </c>
      <c r="AS39" s="26">
        <f t="shared" si="2"/>
        <v>1618</v>
      </c>
      <c r="AT39" s="11">
        <v>0</v>
      </c>
      <c r="AU39" s="11">
        <v>0</v>
      </c>
      <c r="AV39" s="11">
        <v>0</v>
      </c>
      <c r="AW39" s="11">
        <v>0</v>
      </c>
      <c r="AX39" s="11">
        <v>0</v>
      </c>
      <c r="AY39" s="11">
        <v>0</v>
      </c>
      <c r="AZ39" s="11">
        <v>0</v>
      </c>
      <c r="BA39" s="11">
        <v>0</v>
      </c>
      <c r="BB39" s="11">
        <v>0</v>
      </c>
      <c r="BC39" s="11">
        <v>0</v>
      </c>
      <c r="BD39" s="11">
        <v>0</v>
      </c>
      <c r="BE39" s="11">
        <v>0</v>
      </c>
      <c r="BF39" s="26">
        <f t="shared" si="3"/>
        <v>0</v>
      </c>
      <c r="BG39" s="11">
        <v>0</v>
      </c>
      <c r="BH39" s="11">
        <v>0</v>
      </c>
      <c r="BI39" s="11">
        <v>0</v>
      </c>
      <c r="BJ39" s="11">
        <v>0</v>
      </c>
      <c r="BK39" s="11">
        <v>0</v>
      </c>
      <c r="BL39" s="11">
        <v>0</v>
      </c>
      <c r="BM39" s="11">
        <v>0</v>
      </c>
      <c r="BN39" s="11">
        <v>0</v>
      </c>
      <c r="BO39" s="11">
        <v>0</v>
      </c>
      <c r="BP39" s="11">
        <v>0</v>
      </c>
      <c r="BQ39" s="11">
        <v>0</v>
      </c>
      <c r="BR39" s="11">
        <v>0</v>
      </c>
      <c r="BS39" s="26">
        <f t="shared" si="4"/>
        <v>0</v>
      </c>
      <c r="BT39" s="11">
        <v>0</v>
      </c>
      <c r="BU39" s="11">
        <v>0</v>
      </c>
      <c r="BV39" s="11">
        <v>0</v>
      </c>
      <c r="BW39" s="11">
        <v>0</v>
      </c>
      <c r="BX39" s="11">
        <v>0</v>
      </c>
      <c r="BY39" s="11">
        <v>0</v>
      </c>
      <c r="BZ39" s="11">
        <v>0</v>
      </c>
      <c r="CA39" s="11">
        <v>0</v>
      </c>
      <c r="CB39" s="11">
        <v>0</v>
      </c>
      <c r="CC39" s="11">
        <v>0</v>
      </c>
      <c r="CD39" s="11">
        <v>0</v>
      </c>
      <c r="CE39" s="11">
        <v>0</v>
      </c>
      <c r="CF39" s="26">
        <f t="shared" si="5"/>
        <v>0</v>
      </c>
      <c r="CG39" s="11">
        <v>0</v>
      </c>
      <c r="CH39" s="11">
        <v>0</v>
      </c>
      <c r="CI39" s="11">
        <v>0</v>
      </c>
      <c r="CJ39" s="11">
        <v>0</v>
      </c>
      <c r="CK39" s="11">
        <v>0</v>
      </c>
      <c r="CL39" s="11">
        <v>0</v>
      </c>
      <c r="CM39" s="11">
        <v>0</v>
      </c>
      <c r="CN39" s="11">
        <v>0</v>
      </c>
      <c r="CO39" s="11">
        <v>0</v>
      </c>
      <c r="CP39" s="11">
        <v>0</v>
      </c>
      <c r="CQ39" s="11">
        <v>0</v>
      </c>
      <c r="CR39" s="11">
        <v>0</v>
      </c>
      <c r="CS39" s="26">
        <f t="shared" si="6"/>
        <v>0</v>
      </c>
      <c r="CT39" s="11">
        <v>0</v>
      </c>
      <c r="CU39" s="11">
        <v>0</v>
      </c>
      <c r="CV39" s="11">
        <v>0</v>
      </c>
      <c r="CW39" s="11">
        <v>0</v>
      </c>
      <c r="CX39" s="11">
        <v>0</v>
      </c>
      <c r="CY39" s="11">
        <v>0</v>
      </c>
      <c r="CZ39" s="11">
        <v>0</v>
      </c>
      <c r="DA39" s="11">
        <v>0</v>
      </c>
      <c r="DB39" s="11">
        <v>0</v>
      </c>
      <c r="DC39" s="11">
        <v>0</v>
      </c>
      <c r="DD39" s="11">
        <v>0</v>
      </c>
      <c r="DE39" s="11">
        <v>0</v>
      </c>
      <c r="DF39" s="26">
        <f t="shared" si="7"/>
        <v>0</v>
      </c>
      <c r="DG39" s="11">
        <v>0</v>
      </c>
      <c r="DH39" s="11">
        <v>0</v>
      </c>
      <c r="DI39" s="11">
        <v>0</v>
      </c>
      <c r="DJ39" s="11">
        <v>0</v>
      </c>
      <c r="DK39" s="11">
        <v>0</v>
      </c>
      <c r="DL39" s="11">
        <v>0</v>
      </c>
      <c r="DM39" s="11">
        <v>0</v>
      </c>
      <c r="DN39" s="11">
        <v>0</v>
      </c>
      <c r="DO39" s="11">
        <v>0</v>
      </c>
      <c r="DP39" s="11">
        <v>0</v>
      </c>
      <c r="DQ39" s="11">
        <v>0</v>
      </c>
      <c r="DR39" s="11">
        <v>0</v>
      </c>
      <c r="DS39" s="26">
        <f t="shared" si="8"/>
        <v>0</v>
      </c>
      <c r="DT39" s="11">
        <v>0</v>
      </c>
      <c r="DU39" s="11">
        <v>0</v>
      </c>
      <c r="DV39" s="11">
        <v>0</v>
      </c>
      <c r="DW39" s="11">
        <v>0</v>
      </c>
      <c r="DX39" s="11">
        <v>0</v>
      </c>
      <c r="DY39" s="11">
        <v>0</v>
      </c>
      <c r="DZ39" s="11">
        <v>0</v>
      </c>
      <c r="EA39" s="11">
        <v>0</v>
      </c>
      <c r="EB39" s="11">
        <v>0</v>
      </c>
      <c r="EC39" s="11">
        <v>0</v>
      </c>
      <c r="ED39" s="11">
        <v>0</v>
      </c>
      <c r="EE39" s="11">
        <v>0</v>
      </c>
      <c r="EF39" s="26">
        <f t="shared" si="9"/>
        <v>0</v>
      </c>
      <c r="EG39" s="9">
        <f t="shared" si="10"/>
        <v>1953</v>
      </c>
      <c r="EH39" s="9">
        <f t="shared" si="11"/>
        <v>0</v>
      </c>
      <c r="EI39" s="11">
        <v>1421</v>
      </c>
      <c r="EJ39" s="11">
        <v>1809</v>
      </c>
      <c r="EK39" s="11">
        <v>1506</v>
      </c>
      <c r="EL39" s="11">
        <v>1484</v>
      </c>
      <c r="EM39" s="11">
        <v>1434</v>
      </c>
      <c r="EN39" s="11">
        <v>1440</v>
      </c>
      <c r="EO39" s="11">
        <v>2384</v>
      </c>
      <c r="EP39" s="11">
        <v>1612</v>
      </c>
      <c r="EQ39" s="11">
        <v>1299</v>
      </c>
      <c r="ER39" s="11">
        <v>2555</v>
      </c>
      <c r="ES39" s="11">
        <v>1887</v>
      </c>
      <c r="ET39" s="11">
        <v>2058</v>
      </c>
      <c r="EU39" s="26">
        <f t="shared" si="12"/>
        <v>20889</v>
      </c>
      <c r="EV39" s="11">
        <v>135</v>
      </c>
      <c r="EW39" s="11">
        <v>216</v>
      </c>
      <c r="EX39" s="11">
        <v>110</v>
      </c>
      <c r="EY39" s="11">
        <v>135</v>
      </c>
      <c r="EZ39" s="11">
        <v>148</v>
      </c>
      <c r="FA39" s="11">
        <v>196</v>
      </c>
      <c r="FB39" s="11">
        <v>234</v>
      </c>
      <c r="FC39" s="11">
        <v>182</v>
      </c>
      <c r="FD39" s="11">
        <v>159</v>
      </c>
      <c r="FE39" s="11">
        <v>204</v>
      </c>
      <c r="FF39" s="11">
        <v>168</v>
      </c>
      <c r="FG39" s="11">
        <v>286</v>
      </c>
      <c r="FH39" s="26">
        <f t="shared" si="13"/>
        <v>2173</v>
      </c>
      <c r="FI39" s="11">
        <v>1286</v>
      </c>
      <c r="FJ39" s="11">
        <v>1593</v>
      </c>
      <c r="FK39" s="11">
        <v>1396</v>
      </c>
      <c r="FL39" s="11">
        <v>1349</v>
      </c>
      <c r="FM39" s="11">
        <v>1286</v>
      </c>
      <c r="FN39" s="11">
        <v>1244</v>
      </c>
      <c r="FO39" s="11">
        <v>2150</v>
      </c>
      <c r="FP39" s="11">
        <v>1430</v>
      </c>
      <c r="FQ39" s="11">
        <v>1140</v>
      </c>
      <c r="FR39" s="11">
        <v>2351</v>
      </c>
      <c r="FS39" s="11">
        <v>1719</v>
      </c>
      <c r="FT39" s="11">
        <v>1772</v>
      </c>
      <c r="FU39" s="26">
        <f t="shared" si="14"/>
        <v>18716</v>
      </c>
      <c r="FV39" s="11">
        <v>0</v>
      </c>
      <c r="FW39" s="11">
        <v>0</v>
      </c>
      <c r="FX39" s="11">
        <v>0</v>
      </c>
      <c r="FY39" s="11">
        <v>0</v>
      </c>
      <c r="FZ39" s="11">
        <v>0</v>
      </c>
      <c r="GA39" s="11">
        <v>0</v>
      </c>
      <c r="GB39" s="11">
        <v>0</v>
      </c>
      <c r="GC39" s="11">
        <v>0</v>
      </c>
      <c r="GD39" s="11">
        <v>0</v>
      </c>
      <c r="GE39" s="11">
        <v>0</v>
      </c>
      <c r="GF39" s="11">
        <v>0</v>
      </c>
      <c r="GG39" s="11">
        <v>0</v>
      </c>
      <c r="GH39" s="26">
        <f t="shared" si="15"/>
        <v>0</v>
      </c>
      <c r="GI39" s="11">
        <v>0</v>
      </c>
      <c r="GJ39" s="11">
        <v>0</v>
      </c>
      <c r="GK39" s="11">
        <v>0</v>
      </c>
      <c r="GL39" s="11">
        <v>0</v>
      </c>
      <c r="GM39" s="11">
        <v>0</v>
      </c>
      <c r="GN39" s="11">
        <v>0</v>
      </c>
      <c r="GO39" s="11">
        <v>0</v>
      </c>
      <c r="GP39" s="11">
        <v>0</v>
      </c>
      <c r="GQ39" s="11">
        <v>0</v>
      </c>
      <c r="GR39" s="11">
        <v>0</v>
      </c>
      <c r="GS39" s="11">
        <v>0</v>
      </c>
      <c r="GT39" s="11">
        <v>0</v>
      </c>
      <c r="GU39" s="26">
        <f t="shared" si="16"/>
        <v>0</v>
      </c>
      <c r="GV39" s="11">
        <v>0</v>
      </c>
      <c r="GW39" s="11">
        <v>0</v>
      </c>
      <c r="GX39" s="11">
        <v>0</v>
      </c>
      <c r="GY39" s="11">
        <v>0</v>
      </c>
      <c r="GZ39" s="11">
        <v>0</v>
      </c>
      <c r="HA39" s="11">
        <v>0</v>
      </c>
      <c r="HB39" s="11">
        <v>0</v>
      </c>
      <c r="HC39" s="11">
        <v>0</v>
      </c>
      <c r="HD39" s="11">
        <v>0</v>
      </c>
      <c r="HE39" s="11">
        <v>0</v>
      </c>
      <c r="HF39" s="11">
        <v>0</v>
      </c>
      <c r="HG39" s="11">
        <v>0</v>
      </c>
      <c r="HH39" s="26">
        <f t="shared" si="17"/>
        <v>0</v>
      </c>
      <c r="HI39" s="11">
        <v>0</v>
      </c>
      <c r="HJ39" s="11">
        <v>0</v>
      </c>
      <c r="HK39" s="11">
        <v>0</v>
      </c>
      <c r="HL39" s="11">
        <v>0</v>
      </c>
      <c r="HM39" s="11">
        <v>0</v>
      </c>
      <c r="HN39" s="11">
        <v>0</v>
      </c>
      <c r="HO39" s="11">
        <v>0</v>
      </c>
      <c r="HP39" s="11">
        <v>0</v>
      </c>
      <c r="HQ39" s="11">
        <v>0</v>
      </c>
      <c r="HR39" s="11">
        <v>0</v>
      </c>
      <c r="HS39" s="11">
        <v>0</v>
      </c>
      <c r="HT39" s="11">
        <v>0</v>
      </c>
      <c r="HU39" s="26">
        <f t="shared" si="18"/>
        <v>0</v>
      </c>
      <c r="HV39" s="11">
        <v>0</v>
      </c>
      <c r="HW39" s="11">
        <v>0</v>
      </c>
      <c r="HX39" s="11">
        <v>0</v>
      </c>
      <c r="HY39" s="11">
        <v>0</v>
      </c>
      <c r="HZ39" s="11">
        <v>0</v>
      </c>
      <c r="IA39" s="11">
        <v>0</v>
      </c>
      <c r="IB39" s="11">
        <v>0</v>
      </c>
      <c r="IC39" s="11">
        <v>0</v>
      </c>
      <c r="ID39" s="11">
        <v>0</v>
      </c>
      <c r="IE39" s="11">
        <v>0</v>
      </c>
      <c r="IF39" s="11">
        <v>0</v>
      </c>
      <c r="IG39" s="11">
        <v>0</v>
      </c>
      <c r="IH39" s="26">
        <f t="shared" si="19"/>
        <v>0</v>
      </c>
      <c r="II39" s="9">
        <f t="shared" si="20"/>
        <v>20889</v>
      </c>
      <c r="IJ39" s="9">
        <f t="shared" si="21"/>
        <v>0</v>
      </c>
      <c r="IK39" s="11">
        <v>32267</v>
      </c>
      <c r="IL39" s="11">
        <v>29868</v>
      </c>
      <c r="IM39" s="11">
        <v>31472</v>
      </c>
      <c r="IN39" s="11">
        <v>35513</v>
      </c>
      <c r="IO39" s="11">
        <v>34030</v>
      </c>
      <c r="IP39" s="11">
        <v>32964</v>
      </c>
      <c r="IQ39" s="11">
        <v>35595</v>
      </c>
      <c r="IR39" s="11">
        <v>31246</v>
      </c>
      <c r="IS39" s="11">
        <v>26670</v>
      </c>
      <c r="IT39" s="11">
        <v>34948</v>
      </c>
      <c r="IU39" s="11">
        <v>30207</v>
      </c>
      <c r="IV39" s="11">
        <v>31581</v>
      </c>
      <c r="IW39" s="27">
        <f t="shared" si="22"/>
        <v>386361</v>
      </c>
      <c r="IX39" s="11">
        <v>14988</v>
      </c>
      <c r="IY39" s="11">
        <v>13409</v>
      </c>
      <c r="IZ39" s="11">
        <v>14946</v>
      </c>
      <c r="JA39" s="11">
        <v>16924</v>
      </c>
      <c r="JB39" s="11">
        <v>16541</v>
      </c>
      <c r="JC39" s="11">
        <v>14891</v>
      </c>
      <c r="JD39" s="11">
        <v>15989</v>
      </c>
      <c r="JE39" s="11">
        <v>13405</v>
      </c>
      <c r="JF39" s="11">
        <v>13029</v>
      </c>
      <c r="JG39" s="11">
        <v>16105</v>
      </c>
      <c r="JH39" s="11">
        <v>13557</v>
      </c>
      <c r="JI39" s="11">
        <v>14550</v>
      </c>
      <c r="JJ39" s="27">
        <f t="shared" si="23"/>
        <v>178334</v>
      </c>
      <c r="JK39" s="11">
        <v>17194</v>
      </c>
      <c r="JL39" s="11">
        <v>16371</v>
      </c>
      <c r="JM39" s="11">
        <v>16380</v>
      </c>
      <c r="JN39" s="11">
        <v>18445</v>
      </c>
      <c r="JO39" s="11">
        <v>17360</v>
      </c>
      <c r="JP39" s="11">
        <v>17933</v>
      </c>
      <c r="JQ39" s="11">
        <v>19487</v>
      </c>
      <c r="JR39" s="11">
        <v>17725</v>
      </c>
      <c r="JS39" s="11">
        <v>13526</v>
      </c>
      <c r="JT39" s="11">
        <v>18727</v>
      </c>
      <c r="JU39" s="11">
        <v>16527</v>
      </c>
      <c r="JV39" s="11">
        <v>16919</v>
      </c>
      <c r="JW39" s="27">
        <f t="shared" si="24"/>
        <v>206594</v>
      </c>
      <c r="JX39" s="11">
        <v>85</v>
      </c>
      <c r="JY39" s="11">
        <v>88</v>
      </c>
      <c r="JZ39" s="11">
        <v>146</v>
      </c>
      <c r="KA39" s="11">
        <v>144</v>
      </c>
      <c r="KB39" s="11">
        <v>129</v>
      </c>
      <c r="KC39" s="11">
        <v>140</v>
      </c>
      <c r="KD39" s="11">
        <v>119</v>
      </c>
      <c r="KE39" s="11">
        <v>116</v>
      </c>
      <c r="KF39" s="11">
        <v>115</v>
      </c>
      <c r="KG39" s="11">
        <v>116</v>
      </c>
      <c r="KH39" s="11">
        <v>123</v>
      </c>
      <c r="KI39" s="11">
        <v>112</v>
      </c>
      <c r="KJ39" s="27">
        <f t="shared" si="25"/>
        <v>1433</v>
      </c>
      <c r="KK39" s="11">
        <v>823</v>
      </c>
      <c r="KL39" s="11">
        <v>151</v>
      </c>
      <c r="KM39" s="11">
        <v>471</v>
      </c>
      <c r="KN39" s="11">
        <v>991</v>
      </c>
      <c r="KO39" s="11">
        <v>762</v>
      </c>
      <c r="KP39" s="11">
        <v>589</v>
      </c>
      <c r="KQ39" s="11">
        <v>774</v>
      </c>
      <c r="KR39" s="11">
        <v>674</v>
      </c>
      <c r="KS39" s="11">
        <v>673</v>
      </c>
      <c r="KT39" s="11">
        <v>730</v>
      </c>
      <c r="KU39" s="11">
        <v>755</v>
      </c>
      <c r="KV39" s="11">
        <v>687</v>
      </c>
      <c r="KW39" s="27">
        <f t="shared" si="26"/>
        <v>8080</v>
      </c>
      <c r="KX39" s="11">
        <v>801</v>
      </c>
      <c r="KY39" s="11">
        <v>132</v>
      </c>
      <c r="KZ39" s="11">
        <v>461</v>
      </c>
      <c r="LA39" s="11">
        <v>959</v>
      </c>
      <c r="LB39" s="11">
        <v>740</v>
      </c>
      <c r="LC39" s="11">
        <v>571</v>
      </c>
      <c r="LD39" s="11">
        <v>757</v>
      </c>
      <c r="LE39" s="11">
        <v>652</v>
      </c>
      <c r="LF39" s="11">
        <v>648</v>
      </c>
      <c r="LG39" s="11">
        <v>715</v>
      </c>
      <c r="LH39" s="11">
        <v>737</v>
      </c>
      <c r="LI39" s="11">
        <v>674</v>
      </c>
      <c r="LJ39" s="27">
        <f t="shared" si="27"/>
        <v>7847</v>
      </c>
      <c r="LK39" s="11">
        <v>22</v>
      </c>
      <c r="LL39" s="11">
        <v>19</v>
      </c>
      <c r="LM39" s="11">
        <v>10</v>
      </c>
      <c r="LN39" s="11">
        <v>32</v>
      </c>
      <c r="LO39" s="11">
        <v>22</v>
      </c>
      <c r="LP39" s="11">
        <v>18</v>
      </c>
      <c r="LQ39" s="11">
        <v>17</v>
      </c>
      <c r="LR39" s="11">
        <v>22</v>
      </c>
      <c r="LS39" s="11">
        <v>25</v>
      </c>
      <c r="LT39" s="11">
        <v>15</v>
      </c>
      <c r="LU39" s="11">
        <v>18</v>
      </c>
      <c r="LV39" s="11">
        <v>13</v>
      </c>
      <c r="LW39" s="27">
        <f t="shared" si="28"/>
        <v>233</v>
      </c>
      <c r="LX39" s="11">
        <v>0</v>
      </c>
      <c r="LY39" s="11">
        <v>0</v>
      </c>
      <c r="LZ39" s="11">
        <v>0</v>
      </c>
      <c r="MA39" s="11">
        <v>0</v>
      </c>
      <c r="MB39" s="11">
        <v>0</v>
      </c>
      <c r="MC39" s="11">
        <v>0</v>
      </c>
      <c r="MD39" s="11">
        <v>0</v>
      </c>
      <c r="ME39" s="11">
        <v>0</v>
      </c>
      <c r="MF39" s="11">
        <v>0</v>
      </c>
      <c r="MG39" s="11">
        <v>0</v>
      </c>
      <c r="MH39" s="11">
        <v>0</v>
      </c>
      <c r="MI39" s="11">
        <v>0</v>
      </c>
      <c r="MJ39" s="27">
        <f t="shared" si="29"/>
        <v>0</v>
      </c>
      <c r="MK39" s="11">
        <v>3884</v>
      </c>
      <c r="ML39" s="11">
        <v>4036</v>
      </c>
      <c r="MM39" s="11">
        <v>3542</v>
      </c>
      <c r="MN39" s="11">
        <v>3783</v>
      </c>
      <c r="MO39" s="11">
        <v>3937</v>
      </c>
      <c r="MP39" s="11">
        <v>3821</v>
      </c>
      <c r="MQ39" s="11">
        <v>3906</v>
      </c>
      <c r="MR39" s="11">
        <v>3746</v>
      </c>
      <c r="MS39" s="11">
        <v>3954</v>
      </c>
      <c r="MT39" s="11">
        <v>3863</v>
      </c>
      <c r="MU39" s="11">
        <v>3534</v>
      </c>
      <c r="MV39" s="11">
        <v>3860</v>
      </c>
      <c r="MW39" s="27">
        <f t="shared" si="30"/>
        <v>45866</v>
      </c>
      <c r="MX39" s="11">
        <v>3091</v>
      </c>
      <c r="MY39" s="11">
        <v>3139</v>
      </c>
      <c r="MZ39" s="11">
        <v>2721</v>
      </c>
      <c r="NA39" s="11">
        <v>2898</v>
      </c>
      <c r="NB39" s="11">
        <v>2986</v>
      </c>
      <c r="NC39" s="11">
        <v>2985</v>
      </c>
      <c r="ND39" s="11">
        <v>3067</v>
      </c>
      <c r="NE39" s="11">
        <v>2954</v>
      </c>
      <c r="NF39" s="11">
        <v>3079</v>
      </c>
      <c r="NG39" s="11">
        <v>3158</v>
      </c>
      <c r="NH39" s="11">
        <v>2884</v>
      </c>
      <c r="NI39" s="11">
        <v>3058</v>
      </c>
      <c r="NJ39" s="27">
        <f t="shared" si="31"/>
        <v>36020</v>
      </c>
      <c r="NK39" s="11">
        <v>451</v>
      </c>
      <c r="NL39" s="11">
        <v>594</v>
      </c>
      <c r="NM39" s="11">
        <v>558</v>
      </c>
      <c r="NN39" s="11">
        <v>596</v>
      </c>
      <c r="NO39" s="11">
        <v>659</v>
      </c>
      <c r="NP39" s="11">
        <v>565</v>
      </c>
      <c r="NQ39" s="11">
        <v>570</v>
      </c>
      <c r="NR39" s="11">
        <v>532</v>
      </c>
      <c r="NS39" s="11">
        <v>598</v>
      </c>
      <c r="NT39" s="11">
        <v>411</v>
      </c>
      <c r="NU39" s="11">
        <v>389</v>
      </c>
      <c r="NV39" s="11">
        <v>513</v>
      </c>
      <c r="NW39" s="27">
        <f t="shared" si="32"/>
        <v>6436</v>
      </c>
      <c r="NX39" s="11">
        <v>342</v>
      </c>
      <c r="NY39" s="11">
        <v>303</v>
      </c>
      <c r="NZ39" s="11">
        <v>263</v>
      </c>
      <c r="OA39" s="11">
        <v>289</v>
      </c>
      <c r="OB39" s="11">
        <v>292</v>
      </c>
      <c r="OC39" s="11">
        <v>271</v>
      </c>
      <c r="OD39" s="11">
        <v>269</v>
      </c>
      <c r="OE39" s="11">
        <v>260</v>
      </c>
      <c r="OF39" s="11">
        <v>277</v>
      </c>
      <c r="OG39" s="11">
        <v>294</v>
      </c>
      <c r="OH39" s="11">
        <v>261</v>
      </c>
      <c r="OI39" s="11">
        <v>289</v>
      </c>
      <c r="OJ39" s="27">
        <f t="shared" si="33"/>
        <v>3410</v>
      </c>
      <c r="OK39" s="11">
        <v>3815</v>
      </c>
      <c r="OL39" s="11">
        <v>4016</v>
      </c>
      <c r="OM39" s="11">
        <v>3516</v>
      </c>
      <c r="ON39" s="11">
        <v>3779</v>
      </c>
      <c r="OO39" s="11">
        <v>4039</v>
      </c>
      <c r="OP39" s="11">
        <v>3946</v>
      </c>
      <c r="OQ39" s="11">
        <v>4067</v>
      </c>
      <c r="OR39" s="11">
        <v>3688</v>
      </c>
      <c r="OS39" s="11">
        <v>3907</v>
      </c>
      <c r="OT39" s="11">
        <v>4123</v>
      </c>
      <c r="OU39" s="11">
        <v>3788</v>
      </c>
      <c r="OV39" s="11">
        <v>4506</v>
      </c>
      <c r="OW39" s="27">
        <f t="shared" si="34"/>
        <v>47190</v>
      </c>
      <c r="OX39" s="11">
        <v>3463</v>
      </c>
      <c r="OY39" s="11">
        <v>3618</v>
      </c>
      <c r="OZ39" s="11">
        <v>3198</v>
      </c>
      <c r="PA39" s="11">
        <v>3388</v>
      </c>
      <c r="PB39" s="11">
        <v>3606</v>
      </c>
      <c r="PC39" s="11">
        <v>3620</v>
      </c>
      <c r="PD39" s="11">
        <v>3701</v>
      </c>
      <c r="PE39" s="11">
        <v>3401</v>
      </c>
      <c r="PF39" s="11">
        <v>3478</v>
      </c>
      <c r="PG39" s="11">
        <v>3736</v>
      </c>
      <c r="PH39" s="11">
        <v>3434</v>
      </c>
      <c r="PI39" s="11">
        <v>4138</v>
      </c>
      <c r="PJ39" s="27">
        <f t="shared" si="35"/>
        <v>42781</v>
      </c>
      <c r="PK39" s="11">
        <v>209</v>
      </c>
      <c r="PL39" s="11">
        <v>277</v>
      </c>
      <c r="PM39" s="11">
        <v>216</v>
      </c>
      <c r="PN39" s="11">
        <v>262</v>
      </c>
      <c r="PO39" s="11">
        <v>296</v>
      </c>
      <c r="PP39" s="11">
        <v>224</v>
      </c>
      <c r="PQ39" s="11">
        <v>229</v>
      </c>
      <c r="PR39" s="11">
        <v>144</v>
      </c>
      <c r="PS39" s="11">
        <v>271</v>
      </c>
      <c r="PT39" s="11">
        <v>252</v>
      </c>
      <c r="PU39" s="11">
        <v>222</v>
      </c>
      <c r="PV39" s="11">
        <v>190</v>
      </c>
      <c r="PW39" s="27">
        <f t="shared" si="36"/>
        <v>2792</v>
      </c>
      <c r="PX39" s="11">
        <v>143</v>
      </c>
      <c r="PY39" s="11">
        <v>121</v>
      </c>
      <c r="PZ39" s="11">
        <v>102</v>
      </c>
      <c r="QA39" s="11">
        <v>129</v>
      </c>
      <c r="QB39" s="11">
        <v>137</v>
      </c>
      <c r="QC39" s="11">
        <v>102</v>
      </c>
      <c r="QD39" s="11">
        <v>137</v>
      </c>
      <c r="QE39" s="11">
        <v>143</v>
      </c>
      <c r="QF39" s="11">
        <v>158</v>
      </c>
      <c r="QG39" s="11">
        <v>135</v>
      </c>
      <c r="QH39" s="11">
        <v>132</v>
      </c>
      <c r="QI39" s="11">
        <v>178</v>
      </c>
      <c r="QJ39" s="27">
        <f t="shared" si="37"/>
        <v>1617</v>
      </c>
      <c r="QK39" s="11">
        <v>65362</v>
      </c>
      <c r="QL39" s="11">
        <v>69197</v>
      </c>
      <c r="QM39" s="11">
        <v>61708</v>
      </c>
      <c r="QN39" s="11">
        <v>54733</v>
      </c>
      <c r="QO39" s="11">
        <v>53475</v>
      </c>
      <c r="QP39" s="11">
        <v>62431</v>
      </c>
      <c r="QQ39" s="11">
        <v>64646</v>
      </c>
      <c r="QR39" s="11">
        <v>57347</v>
      </c>
      <c r="QS39" s="11">
        <v>45756</v>
      </c>
      <c r="QT39" s="11">
        <v>61768</v>
      </c>
      <c r="QU39" s="11">
        <v>58457</v>
      </c>
      <c r="QV39" s="11">
        <v>64894</v>
      </c>
      <c r="QW39" s="27">
        <f t="shared" si="38"/>
        <v>719774</v>
      </c>
      <c r="QX39" s="11">
        <v>0</v>
      </c>
      <c r="QY39" s="11">
        <v>0</v>
      </c>
      <c r="QZ39" s="11">
        <v>0</v>
      </c>
      <c r="RA39" s="11">
        <v>0</v>
      </c>
      <c r="RB39" s="11">
        <v>0</v>
      </c>
      <c r="RC39" s="11">
        <v>0</v>
      </c>
      <c r="RD39" s="11">
        <v>0</v>
      </c>
      <c r="RE39" s="11">
        <v>0</v>
      </c>
      <c r="RF39" s="11">
        <v>0</v>
      </c>
      <c r="RG39" s="11">
        <v>0</v>
      </c>
      <c r="RH39" s="11">
        <v>0</v>
      </c>
      <c r="RI39" s="11">
        <v>0</v>
      </c>
      <c r="RJ39" s="27">
        <f t="shared" si="39"/>
        <v>0</v>
      </c>
      <c r="RK39" s="11">
        <v>0</v>
      </c>
      <c r="RL39" s="11">
        <v>0</v>
      </c>
      <c r="RM39" s="11">
        <v>0</v>
      </c>
      <c r="RN39" s="11">
        <v>0</v>
      </c>
      <c r="RO39" s="11">
        <v>0</v>
      </c>
      <c r="RP39" s="11">
        <v>0</v>
      </c>
      <c r="RQ39" s="11">
        <v>0</v>
      </c>
      <c r="RR39" s="11">
        <v>0</v>
      </c>
      <c r="RS39" s="11">
        <v>0</v>
      </c>
      <c r="RT39" s="11">
        <v>0</v>
      </c>
      <c r="RU39" s="11">
        <v>0</v>
      </c>
      <c r="RV39" s="11">
        <v>0</v>
      </c>
      <c r="RW39" s="27">
        <f t="shared" si="40"/>
        <v>0</v>
      </c>
      <c r="RX39" s="11">
        <v>0</v>
      </c>
      <c r="RY39" s="11">
        <v>0</v>
      </c>
      <c r="RZ39" s="11">
        <v>0</v>
      </c>
      <c r="SA39" s="11">
        <v>0</v>
      </c>
      <c r="SB39" s="11">
        <v>0</v>
      </c>
      <c r="SC39" s="11">
        <v>0</v>
      </c>
      <c r="SD39" s="11">
        <v>0</v>
      </c>
      <c r="SE39" s="11">
        <v>0</v>
      </c>
      <c r="SF39" s="11">
        <v>0</v>
      </c>
      <c r="SG39" s="11">
        <v>0</v>
      </c>
      <c r="SH39" s="11">
        <v>0</v>
      </c>
      <c r="SI39" s="11">
        <v>0</v>
      </c>
      <c r="SJ39" s="27">
        <f t="shared" si="41"/>
        <v>0</v>
      </c>
      <c r="SK39" s="11">
        <v>311</v>
      </c>
      <c r="SL39" s="11">
        <v>104</v>
      </c>
      <c r="SM39" s="11">
        <v>268</v>
      </c>
      <c r="SN39" s="11">
        <v>337</v>
      </c>
      <c r="SO39" s="11">
        <v>287</v>
      </c>
      <c r="SP39" s="11">
        <v>300</v>
      </c>
      <c r="SQ39" s="11">
        <v>326</v>
      </c>
      <c r="SR39" s="11">
        <v>296</v>
      </c>
      <c r="SS39" s="11">
        <v>296</v>
      </c>
      <c r="ST39" s="11">
        <v>336</v>
      </c>
      <c r="SU39" s="11">
        <v>287</v>
      </c>
      <c r="SV39" s="11">
        <v>284</v>
      </c>
      <c r="SW39" s="27">
        <f t="shared" si="42"/>
        <v>3432</v>
      </c>
      <c r="SX39" s="28" t="s">
        <v>2678</v>
      </c>
      <c r="SY39" s="11">
        <v>9546</v>
      </c>
      <c r="SZ39" s="11">
        <v>9977</v>
      </c>
      <c r="TA39" s="11">
        <v>9335</v>
      </c>
      <c r="TB39" s="11">
        <v>9999</v>
      </c>
      <c r="TC39" s="11">
        <v>9593</v>
      </c>
      <c r="TD39" s="11">
        <v>11057</v>
      </c>
      <c r="TE39" s="11">
        <v>11401</v>
      </c>
      <c r="TF39" s="11">
        <v>8554</v>
      </c>
      <c r="TG39" s="11">
        <v>7990</v>
      </c>
      <c r="TH39" s="11">
        <v>10848</v>
      </c>
      <c r="TI39" s="11">
        <v>10124</v>
      </c>
      <c r="TJ39" s="11">
        <v>10660</v>
      </c>
      <c r="TK39" s="27">
        <f t="shared" si="43"/>
        <v>119084</v>
      </c>
      <c r="TL39" s="11">
        <v>0</v>
      </c>
      <c r="TM39" s="11">
        <v>0</v>
      </c>
      <c r="TN39" s="11">
        <v>0</v>
      </c>
      <c r="TO39" s="11">
        <v>0</v>
      </c>
      <c r="TP39" s="11">
        <v>0</v>
      </c>
      <c r="TQ39" s="11">
        <v>0</v>
      </c>
      <c r="TR39" s="11">
        <v>0</v>
      </c>
      <c r="TS39" s="11">
        <v>0</v>
      </c>
      <c r="TT39" s="11">
        <v>0</v>
      </c>
      <c r="TU39" s="11">
        <v>0</v>
      </c>
      <c r="TV39" s="11">
        <v>0</v>
      </c>
      <c r="TW39" s="11">
        <v>0</v>
      </c>
      <c r="TX39" s="27">
        <f t="shared" si="44"/>
        <v>0</v>
      </c>
      <c r="TY39" s="11">
        <v>196</v>
      </c>
      <c r="TZ39" s="11">
        <v>0</v>
      </c>
      <c r="UA39" s="11">
        <v>0</v>
      </c>
    </row>
    <row r="40" spans="1:547" ht="16" customHeight="1" x14ac:dyDescent="0.35">
      <c r="A40" s="11" t="s">
        <v>1480</v>
      </c>
      <c r="B40" s="11">
        <v>147413</v>
      </c>
      <c r="C40" s="11"/>
      <c r="D40" s="11"/>
      <c r="E40" s="11"/>
      <c r="F40" s="11">
        <v>1564</v>
      </c>
      <c r="G40" s="11">
        <v>1557</v>
      </c>
      <c r="H40" s="11">
        <v>1534</v>
      </c>
      <c r="I40" s="11">
        <v>1590</v>
      </c>
      <c r="J40" s="11">
        <v>1640</v>
      </c>
      <c r="K40" s="11">
        <v>1485</v>
      </c>
      <c r="L40" s="11">
        <v>1736</v>
      </c>
      <c r="M40" s="11">
        <v>1619</v>
      </c>
      <c r="N40" s="11">
        <v>1376</v>
      </c>
      <c r="O40" s="11">
        <v>1627</v>
      </c>
      <c r="P40" s="11" t="s">
        <v>2862</v>
      </c>
      <c r="Q40" s="11">
        <v>1659</v>
      </c>
      <c r="R40" s="11">
        <v>1694</v>
      </c>
      <c r="S40" s="26">
        <f t="shared" si="0"/>
        <v>19081</v>
      </c>
      <c r="T40" s="11">
        <v>355</v>
      </c>
      <c r="U40" s="11">
        <v>368</v>
      </c>
      <c r="V40" s="11">
        <v>357</v>
      </c>
      <c r="W40" s="11">
        <v>381</v>
      </c>
      <c r="X40" s="11">
        <v>323</v>
      </c>
      <c r="Y40" s="11">
        <v>343</v>
      </c>
      <c r="Z40" s="11">
        <v>381</v>
      </c>
      <c r="AA40" s="11">
        <v>362</v>
      </c>
      <c r="AB40" s="11">
        <v>302</v>
      </c>
      <c r="AC40" s="11">
        <v>369</v>
      </c>
      <c r="AD40" s="11">
        <v>353</v>
      </c>
      <c r="AE40" s="11">
        <v>376</v>
      </c>
      <c r="AF40" s="26">
        <f t="shared" si="1"/>
        <v>4270</v>
      </c>
      <c r="AG40" s="11">
        <v>723</v>
      </c>
      <c r="AH40" s="11">
        <v>717</v>
      </c>
      <c r="AI40" s="11">
        <v>743</v>
      </c>
      <c r="AJ40" s="11">
        <v>763</v>
      </c>
      <c r="AK40" s="11">
        <v>745</v>
      </c>
      <c r="AL40" s="11">
        <v>720</v>
      </c>
      <c r="AM40" s="11">
        <v>839</v>
      </c>
      <c r="AN40" s="11">
        <v>814</v>
      </c>
      <c r="AO40" s="11">
        <v>658</v>
      </c>
      <c r="AP40" s="11">
        <v>794</v>
      </c>
      <c r="AQ40" s="11">
        <v>776</v>
      </c>
      <c r="AR40" s="11">
        <v>898</v>
      </c>
      <c r="AS40" s="26">
        <f t="shared" si="2"/>
        <v>9190</v>
      </c>
      <c r="AT40" s="11">
        <v>464</v>
      </c>
      <c r="AU40" s="11">
        <v>454</v>
      </c>
      <c r="AV40" s="11">
        <v>417</v>
      </c>
      <c r="AW40" s="11">
        <v>434</v>
      </c>
      <c r="AX40" s="11">
        <v>563</v>
      </c>
      <c r="AY40" s="11">
        <v>410</v>
      </c>
      <c r="AZ40" s="11">
        <v>503</v>
      </c>
      <c r="BA40" s="11">
        <v>434</v>
      </c>
      <c r="BB40" s="11">
        <v>407</v>
      </c>
      <c r="BC40" s="11">
        <v>454</v>
      </c>
      <c r="BD40" s="11">
        <v>445</v>
      </c>
      <c r="BE40" s="11">
        <v>405</v>
      </c>
      <c r="BF40" s="26">
        <f t="shared" si="3"/>
        <v>5390</v>
      </c>
      <c r="BG40" s="11">
        <v>22</v>
      </c>
      <c r="BH40" s="11">
        <v>18</v>
      </c>
      <c r="BI40" s="11">
        <v>17</v>
      </c>
      <c r="BJ40" s="11">
        <v>13</v>
      </c>
      <c r="BK40" s="11">
        <v>9</v>
      </c>
      <c r="BL40" s="11">
        <v>12</v>
      </c>
      <c r="BM40" s="11">
        <v>13</v>
      </c>
      <c r="BN40" s="11">
        <v>9</v>
      </c>
      <c r="BO40" s="11">
        <v>9</v>
      </c>
      <c r="BP40" s="11">
        <v>10</v>
      </c>
      <c r="BQ40" s="11">
        <v>85</v>
      </c>
      <c r="BR40" s="11">
        <v>15</v>
      </c>
      <c r="BS40" s="26">
        <f t="shared" si="4"/>
        <v>232</v>
      </c>
      <c r="BT40" s="11">
        <v>1</v>
      </c>
      <c r="BU40" s="11">
        <v>1</v>
      </c>
      <c r="BV40" s="11">
        <v>1</v>
      </c>
      <c r="BW40" s="11">
        <v>1</v>
      </c>
      <c r="BX40" s="11">
        <v>1</v>
      </c>
      <c r="BY40" s="11">
        <v>1</v>
      </c>
      <c r="BZ40" s="11">
        <v>1</v>
      </c>
      <c r="CA40" s="11">
        <v>1</v>
      </c>
      <c r="CB40" s="11">
        <v>1</v>
      </c>
      <c r="CC40" s="11">
        <v>1</v>
      </c>
      <c r="CD40" s="11">
        <v>1</v>
      </c>
      <c r="CE40" s="11">
        <v>1</v>
      </c>
      <c r="CF40" s="26">
        <f t="shared" si="5"/>
        <v>12</v>
      </c>
      <c r="CG40" s="11">
        <v>1</v>
      </c>
      <c r="CH40" s="11">
        <v>1</v>
      </c>
      <c r="CI40" s="11">
        <v>1</v>
      </c>
      <c r="CJ40" s="11">
        <v>1</v>
      </c>
      <c r="CK40" s="11">
        <v>1</v>
      </c>
      <c r="CL40" s="11">
        <v>1</v>
      </c>
      <c r="CM40" s="11">
        <v>1</v>
      </c>
      <c r="CN40" s="11">
        <v>1</v>
      </c>
      <c r="CO40" s="11">
        <v>1</v>
      </c>
      <c r="CP40" s="11">
        <v>1</v>
      </c>
      <c r="CQ40" s="11">
        <v>1</v>
      </c>
      <c r="CR40" s="11">
        <v>1</v>
      </c>
      <c r="CS40" s="26">
        <f t="shared" si="6"/>
        <v>12</v>
      </c>
      <c r="CT40" s="11">
        <v>0</v>
      </c>
      <c r="CU40" s="11">
        <v>0</v>
      </c>
      <c r="CV40" s="11">
        <v>0</v>
      </c>
      <c r="CW40" s="11">
        <v>0</v>
      </c>
      <c r="CX40" s="11">
        <v>0</v>
      </c>
      <c r="CY40" s="11">
        <v>0</v>
      </c>
      <c r="CZ40" s="11">
        <v>0</v>
      </c>
      <c r="DA40" s="11">
        <v>0</v>
      </c>
      <c r="DB40" s="11">
        <v>0</v>
      </c>
      <c r="DC40" s="11">
        <v>0</v>
      </c>
      <c r="DD40" s="11">
        <v>0</v>
      </c>
      <c r="DE40" s="11">
        <v>0</v>
      </c>
      <c r="DF40" s="26">
        <f t="shared" si="7"/>
        <v>0</v>
      </c>
      <c r="DG40" s="11">
        <v>0</v>
      </c>
      <c r="DH40" s="11">
        <v>0</v>
      </c>
      <c r="DI40" s="11">
        <v>0</v>
      </c>
      <c r="DJ40" s="11">
        <v>0</v>
      </c>
      <c r="DK40" s="11">
        <v>0</v>
      </c>
      <c r="DL40" s="11">
        <v>0</v>
      </c>
      <c r="DM40" s="11">
        <v>0</v>
      </c>
      <c r="DN40" s="11">
        <v>0</v>
      </c>
      <c r="DO40" s="11">
        <v>0</v>
      </c>
      <c r="DP40" s="11">
        <v>0</v>
      </c>
      <c r="DQ40" s="11">
        <v>0</v>
      </c>
      <c r="DR40" s="11">
        <v>0</v>
      </c>
      <c r="DS40" s="26">
        <f t="shared" si="8"/>
        <v>0</v>
      </c>
      <c r="DT40" s="11">
        <v>0</v>
      </c>
      <c r="DU40" s="11">
        <v>0</v>
      </c>
      <c r="DV40" s="11">
        <v>0</v>
      </c>
      <c r="DW40" s="11">
        <v>0</v>
      </c>
      <c r="DX40" s="11">
        <v>0</v>
      </c>
      <c r="DY40" s="11">
        <v>0</v>
      </c>
      <c r="DZ40" s="11">
        <v>0</v>
      </c>
      <c r="EA40" s="11">
        <v>0</v>
      </c>
      <c r="EB40" s="11">
        <v>0</v>
      </c>
      <c r="EC40" s="11">
        <v>0</v>
      </c>
      <c r="ED40" s="11">
        <v>0</v>
      </c>
      <c r="EE40" s="11">
        <v>0</v>
      </c>
      <c r="EF40" s="26">
        <f t="shared" si="9"/>
        <v>0</v>
      </c>
      <c r="EG40" s="9">
        <f t="shared" si="10"/>
        <v>19082</v>
      </c>
      <c r="EH40" s="9">
        <f t="shared" si="11"/>
        <v>12</v>
      </c>
      <c r="EI40" s="11">
        <v>33161</v>
      </c>
      <c r="EJ40" s="11">
        <v>29748</v>
      </c>
      <c r="EK40" s="11">
        <v>28334</v>
      </c>
      <c r="EL40" s="11">
        <v>32865</v>
      </c>
      <c r="EM40" s="11">
        <v>32982</v>
      </c>
      <c r="EN40" s="11">
        <v>28743</v>
      </c>
      <c r="EO40" s="11">
        <v>36868</v>
      </c>
      <c r="EP40" s="11">
        <v>31995</v>
      </c>
      <c r="EQ40" s="11">
        <v>24012</v>
      </c>
      <c r="ER40" s="11">
        <v>32381</v>
      </c>
      <c r="ES40" s="11">
        <v>35233</v>
      </c>
      <c r="ET40" s="11">
        <v>33786</v>
      </c>
      <c r="EU40" s="26">
        <f t="shared" si="12"/>
        <v>380108</v>
      </c>
      <c r="EV40" s="11">
        <v>4117</v>
      </c>
      <c r="EW40" s="11">
        <v>3825</v>
      </c>
      <c r="EX40" s="11">
        <v>3430</v>
      </c>
      <c r="EY40" s="11">
        <v>3978</v>
      </c>
      <c r="EZ40" s="11">
        <v>3433</v>
      </c>
      <c r="FA40" s="11">
        <v>3498</v>
      </c>
      <c r="FB40" s="11">
        <v>4080</v>
      </c>
      <c r="FC40" s="11">
        <v>3749</v>
      </c>
      <c r="FD40" s="11">
        <v>3043</v>
      </c>
      <c r="FE40" s="11">
        <v>3795</v>
      </c>
      <c r="FF40" s="11">
        <v>5700</v>
      </c>
      <c r="FG40" s="11">
        <v>4134</v>
      </c>
      <c r="FH40" s="26">
        <f t="shared" si="13"/>
        <v>46782</v>
      </c>
      <c r="FI40" s="11">
        <v>19058</v>
      </c>
      <c r="FJ40" s="11">
        <v>17651</v>
      </c>
      <c r="FK40" s="11">
        <v>18063</v>
      </c>
      <c r="FL40" s="11">
        <v>37443</v>
      </c>
      <c r="FM40" s="11">
        <v>18179</v>
      </c>
      <c r="FN40" s="11">
        <v>18133</v>
      </c>
      <c r="FO40" s="11">
        <v>22682</v>
      </c>
      <c r="FP40" s="11">
        <v>19940</v>
      </c>
      <c r="FQ40" s="11">
        <v>14475</v>
      </c>
      <c r="FR40" s="11">
        <v>20309</v>
      </c>
      <c r="FS40" s="11">
        <v>21463</v>
      </c>
      <c r="FT40" s="11">
        <v>22940</v>
      </c>
      <c r="FU40" s="26">
        <f t="shared" si="14"/>
        <v>250336</v>
      </c>
      <c r="FV40" s="11">
        <v>9986</v>
      </c>
      <c r="FW40" s="11">
        <v>8272</v>
      </c>
      <c r="FX40" s="11">
        <v>6841</v>
      </c>
      <c r="FY40" s="11">
        <v>8341</v>
      </c>
      <c r="FZ40" s="11">
        <v>11370</v>
      </c>
      <c r="GA40" s="11">
        <v>7112</v>
      </c>
      <c r="GB40" s="11">
        <v>10106</v>
      </c>
      <c r="GC40" s="11">
        <v>8306</v>
      </c>
      <c r="GD40" s="11">
        <v>6494</v>
      </c>
      <c r="GE40" s="11">
        <v>8277</v>
      </c>
      <c r="GF40" s="11">
        <v>8070</v>
      </c>
      <c r="GG40" s="11">
        <v>6712</v>
      </c>
      <c r="GH40" s="26">
        <f t="shared" si="15"/>
        <v>99887</v>
      </c>
      <c r="GI40" s="11">
        <v>7</v>
      </c>
      <c r="GJ40" s="11">
        <v>6</v>
      </c>
      <c r="GK40" s="11">
        <v>7</v>
      </c>
      <c r="GL40" s="11">
        <v>11</v>
      </c>
      <c r="GM40" s="11">
        <v>9</v>
      </c>
      <c r="GN40" s="11">
        <v>13</v>
      </c>
      <c r="GO40" s="11">
        <v>10</v>
      </c>
      <c r="GP40" s="11">
        <v>8</v>
      </c>
      <c r="GQ40" s="11">
        <v>6</v>
      </c>
      <c r="GR40" s="11">
        <v>11</v>
      </c>
      <c r="GS40" s="11">
        <v>0</v>
      </c>
      <c r="GT40" s="11">
        <v>7</v>
      </c>
      <c r="GU40" s="26">
        <f t="shared" si="16"/>
        <v>95</v>
      </c>
      <c r="GV40" s="11">
        <v>7</v>
      </c>
      <c r="GW40" s="11">
        <v>6</v>
      </c>
      <c r="GX40" s="11">
        <v>7</v>
      </c>
      <c r="GY40" s="11">
        <v>11</v>
      </c>
      <c r="GZ40" s="11">
        <v>9</v>
      </c>
      <c r="HA40" s="11">
        <v>13</v>
      </c>
      <c r="HB40" s="11">
        <v>10</v>
      </c>
      <c r="HC40" s="11">
        <v>8</v>
      </c>
      <c r="HD40" s="11">
        <v>6</v>
      </c>
      <c r="HE40" s="11">
        <v>11</v>
      </c>
      <c r="HF40" s="11">
        <v>0</v>
      </c>
      <c r="HG40" s="11">
        <v>7</v>
      </c>
      <c r="HH40" s="26">
        <f t="shared" si="17"/>
        <v>95</v>
      </c>
      <c r="HI40" s="11">
        <v>0</v>
      </c>
      <c r="HJ40" s="11">
        <v>0</v>
      </c>
      <c r="HK40" s="11">
        <v>0</v>
      </c>
      <c r="HL40" s="11">
        <v>0</v>
      </c>
      <c r="HM40" s="11">
        <v>0</v>
      </c>
      <c r="HN40" s="11">
        <v>0</v>
      </c>
      <c r="HO40" s="11">
        <v>0</v>
      </c>
      <c r="HP40" s="11">
        <v>0</v>
      </c>
      <c r="HQ40" s="11">
        <v>0</v>
      </c>
      <c r="HR40" s="11">
        <v>0</v>
      </c>
      <c r="HS40" s="11">
        <v>0</v>
      </c>
      <c r="HT40" s="11">
        <v>0</v>
      </c>
      <c r="HU40" s="26">
        <f t="shared" si="18"/>
        <v>0</v>
      </c>
      <c r="HV40" s="11">
        <v>0</v>
      </c>
      <c r="HW40" s="11">
        <v>0</v>
      </c>
      <c r="HX40" s="11">
        <v>0</v>
      </c>
      <c r="HY40" s="11">
        <v>0</v>
      </c>
      <c r="HZ40" s="11">
        <v>0</v>
      </c>
      <c r="IA40" s="11">
        <v>0</v>
      </c>
      <c r="IB40" s="11">
        <v>0</v>
      </c>
      <c r="IC40" s="11">
        <v>0</v>
      </c>
      <c r="ID40" s="11">
        <v>0</v>
      </c>
      <c r="IE40" s="11">
        <v>0</v>
      </c>
      <c r="IF40" s="11">
        <v>0</v>
      </c>
      <c r="IG40" s="11">
        <v>0</v>
      </c>
      <c r="IH40" s="26">
        <f t="shared" si="19"/>
        <v>0</v>
      </c>
      <c r="II40" s="9">
        <f t="shared" si="20"/>
        <v>397005</v>
      </c>
      <c r="IJ40" s="9">
        <f t="shared" si="21"/>
        <v>95</v>
      </c>
      <c r="IK40" s="11">
        <v>302823</v>
      </c>
      <c r="IL40" s="11">
        <v>298995</v>
      </c>
      <c r="IM40" s="11">
        <v>274270</v>
      </c>
      <c r="IN40" s="11">
        <v>344601</v>
      </c>
      <c r="IO40" s="11">
        <v>369844</v>
      </c>
      <c r="IP40" s="11">
        <v>291499</v>
      </c>
      <c r="IQ40" s="11">
        <v>309707</v>
      </c>
      <c r="IR40" s="11">
        <v>288187</v>
      </c>
      <c r="IS40" s="11">
        <v>249294</v>
      </c>
      <c r="IT40" s="11">
        <v>274708</v>
      </c>
      <c r="IU40" s="11">
        <v>260436</v>
      </c>
      <c r="IV40" s="11">
        <v>275840</v>
      </c>
      <c r="IW40" s="27">
        <f t="shared" si="22"/>
        <v>3540204</v>
      </c>
      <c r="IX40" s="11">
        <v>144340</v>
      </c>
      <c r="IY40" s="11">
        <v>145793</v>
      </c>
      <c r="IZ40" s="11">
        <v>136745</v>
      </c>
      <c r="JA40" s="11">
        <v>150873</v>
      </c>
      <c r="JB40" s="11">
        <v>158559</v>
      </c>
      <c r="JC40" s="11">
        <v>136915</v>
      </c>
      <c r="JD40" s="11">
        <v>147025</v>
      </c>
      <c r="JE40" s="11">
        <v>138887</v>
      </c>
      <c r="JF40" s="11">
        <v>127313</v>
      </c>
      <c r="JG40" s="11">
        <v>137584</v>
      </c>
      <c r="JH40" s="11">
        <v>123511</v>
      </c>
      <c r="JI40" s="11">
        <v>132731</v>
      </c>
      <c r="JJ40" s="27">
        <f t="shared" si="23"/>
        <v>1680276</v>
      </c>
      <c r="JK40" s="11">
        <v>152554</v>
      </c>
      <c r="JL40" s="11">
        <v>147501</v>
      </c>
      <c r="JM40" s="11">
        <v>132173</v>
      </c>
      <c r="JN40" s="11">
        <v>186058</v>
      </c>
      <c r="JO40" s="11">
        <v>203195</v>
      </c>
      <c r="JP40" s="11">
        <v>148716</v>
      </c>
      <c r="JQ40" s="11">
        <v>156686</v>
      </c>
      <c r="JR40" s="11">
        <v>144069</v>
      </c>
      <c r="JS40" s="11">
        <v>117249</v>
      </c>
      <c r="JT40" s="11">
        <v>132356</v>
      </c>
      <c r="JU40" s="11">
        <v>132312</v>
      </c>
      <c r="JV40" s="11">
        <v>138204</v>
      </c>
      <c r="JW40" s="27">
        <f t="shared" si="24"/>
        <v>1791073</v>
      </c>
      <c r="JX40" s="11">
        <v>5929</v>
      </c>
      <c r="JY40" s="11">
        <v>5701</v>
      </c>
      <c r="JZ40" s="11">
        <v>5352</v>
      </c>
      <c r="KA40" s="11">
        <v>7670</v>
      </c>
      <c r="KB40" s="11">
        <v>8090</v>
      </c>
      <c r="KC40" s="11">
        <v>5868</v>
      </c>
      <c r="KD40" s="11">
        <v>5996</v>
      </c>
      <c r="KE40" s="11">
        <v>5231</v>
      </c>
      <c r="KF40" s="11">
        <v>4732</v>
      </c>
      <c r="KG40" s="11">
        <v>4768</v>
      </c>
      <c r="KH40" s="11">
        <v>4613</v>
      </c>
      <c r="KI40" s="11">
        <v>4905</v>
      </c>
      <c r="KJ40" s="27">
        <f t="shared" si="25"/>
        <v>68855</v>
      </c>
      <c r="KK40" s="11">
        <v>4462</v>
      </c>
      <c r="KL40" s="11">
        <v>3895</v>
      </c>
      <c r="KM40" s="11">
        <v>3768</v>
      </c>
      <c r="KN40" s="11">
        <v>4575</v>
      </c>
      <c r="KO40" s="11">
        <v>4779</v>
      </c>
      <c r="KP40" s="11">
        <v>3753</v>
      </c>
      <c r="KQ40" s="11">
        <v>4101</v>
      </c>
      <c r="KR40" s="11">
        <v>3851</v>
      </c>
      <c r="KS40" s="11">
        <v>3370</v>
      </c>
      <c r="KT40" s="11">
        <v>3615</v>
      </c>
      <c r="KU40" s="11">
        <v>3252</v>
      </c>
      <c r="KV40" s="11">
        <v>3639</v>
      </c>
      <c r="KW40" s="27">
        <f t="shared" si="26"/>
        <v>47060</v>
      </c>
      <c r="KX40" s="11">
        <v>3416</v>
      </c>
      <c r="KY40" s="11">
        <v>2977</v>
      </c>
      <c r="KZ40" s="11">
        <v>2924</v>
      </c>
      <c r="LA40" s="11">
        <v>3169</v>
      </c>
      <c r="LB40" s="11">
        <v>3218</v>
      </c>
      <c r="LC40" s="11">
        <v>2826</v>
      </c>
      <c r="LD40" s="11">
        <v>3152</v>
      </c>
      <c r="LE40" s="11">
        <v>3034</v>
      </c>
      <c r="LF40" s="11">
        <v>2754</v>
      </c>
      <c r="LG40" s="11">
        <v>3022</v>
      </c>
      <c r="LH40" s="11">
        <v>2547</v>
      </c>
      <c r="LI40" s="11">
        <v>2912</v>
      </c>
      <c r="LJ40" s="27">
        <f t="shared" si="27"/>
        <v>35951</v>
      </c>
      <c r="LK40" s="11">
        <v>986</v>
      </c>
      <c r="LL40" s="11">
        <v>843</v>
      </c>
      <c r="LM40" s="11">
        <v>793</v>
      </c>
      <c r="LN40" s="11">
        <v>1334</v>
      </c>
      <c r="LO40" s="11">
        <v>1465</v>
      </c>
      <c r="LP40" s="11">
        <v>861</v>
      </c>
      <c r="LQ40" s="11">
        <v>909</v>
      </c>
      <c r="LR40" s="11">
        <v>764</v>
      </c>
      <c r="LS40" s="11">
        <v>582</v>
      </c>
      <c r="LT40" s="11">
        <v>568</v>
      </c>
      <c r="LU40" s="11">
        <v>678</v>
      </c>
      <c r="LV40" s="11">
        <v>698</v>
      </c>
      <c r="LW40" s="27">
        <f t="shared" si="28"/>
        <v>10481</v>
      </c>
      <c r="LX40" s="11">
        <v>60</v>
      </c>
      <c r="LY40" s="11">
        <v>75</v>
      </c>
      <c r="LZ40" s="11">
        <v>51</v>
      </c>
      <c r="MA40" s="11">
        <v>72</v>
      </c>
      <c r="MB40" s="11">
        <v>96</v>
      </c>
      <c r="MC40" s="11">
        <v>66</v>
      </c>
      <c r="MD40" s="11">
        <v>40</v>
      </c>
      <c r="ME40" s="11">
        <v>53</v>
      </c>
      <c r="MF40" s="11">
        <v>34</v>
      </c>
      <c r="MG40" s="11">
        <v>25</v>
      </c>
      <c r="MH40" s="11">
        <v>27</v>
      </c>
      <c r="MI40" s="11">
        <v>29</v>
      </c>
      <c r="MJ40" s="27">
        <f t="shared" si="29"/>
        <v>628</v>
      </c>
      <c r="MK40" s="11">
        <v>40138</v>
      </c>
      <c r="ML40" s="11">
        <v>40669</v>
      </c>
      <c r="MM40" s="11">
        <v>38937</v>
      </c>
      <c r="MN40" s="11">
        <v>41237</v>
      </c>
      <c r="MO40" s="11">
        <v>43130</v>
      </c>
      <c r="MP40" s="11">
        <v>40649</v>
      </c>
      <c r="MQ40" s="11">
        <v>41313</v>
      </c>
      <c r="MR40" s="11">
        <v>38917</v>
      </c>
      <c r="MS40" s="11">
        <v>38801</v>
      </c>
      <c r="MT40" s="11">
        <v>40833</v>
      </c>
      <c r="MU40" s="11">
        <v>37560</v>
      </c>
      <c r="MV40" s="11">
        <v>40920</v>
      </c>
      <c r="MW40" s="27">
        <f t="shared" si="30"/>
        <v>483104</v>
      </c>
      <c r="MX40" s="11">
        <v>35174</v>
      </c>
      <c r="MY40" s="11">
        <v>35822</v>
      </c>
      <c r="MZ40" s="11">
        <v>34412</v>
      </c>
      <c r="NA40" s="11">
        <v>35960</v>
      </c>
      <c r="NB40" s="11">
        <v>37544</v>
      </c>
      <c r="NC40" s="11">
        <v>35675</v>
      </c>
      <c r="ND40" s="11">
        <v>36288</v>
      </c>
      <c r="NE40" s="11">
        <v>34206</v>
      </c>
      <c r="NF40" s="11">
        <v>34151</v>
      </c>
      <c r="NG40" s="11">
        <v>35884</v>
      </c>
      <c r="NH40" s="11">
        <v>32648</v>
      </c>
      <c r="NI40" s="11">
        <v>35834</v>
      </c>
      <c r="NJ40" s="27">
        <f t="shared" si="31"/>
        <v>423598</v>
      </c>
      <c r="NK40" s="11">
        <v>3600</v>
      </c>
      <c r="NL40" s="11">
        <v>3530</v>
      </c>
      <c r="NM40" s="11">
        <v>3180</v>
      </c>
      <c r="NN40" s="11">
        <v>3866</v>
      </c>
      <c r="NO40" s="11">
        <v>4085</v>
      </c>
      <c r="NP40" s="11">
        <v>3565</v>
      </c>
      <c r="NQ40" s="11">
        <v>3705</v>
      </c>
      <c r="NR40" s="11">
        <v>3435</v>
      </c>
      <c r="NS40" s="11">
        <v>3402</v>
      </c>
      <c r="NT40" s="11">
        <v>3599</v>
      </c>
      <c r="NU40" s="11">
        <v>3593</v>
      </c>
      <c r="NV40" s="11">
        <v>3756</v>
      </c>
      <c r="NW40" s="27">
        <f t="shared" si="32"/>
        <v>43316</v>
      </c>
      <c r="NX40" s="11">
        <v>1364</v>
      </c>
      <c r="NY40" s="11">
        <v>1317</v>
      </c>
      <c r="NZ40" s="11">
        <v>1345</v>
      </c>
      <c r="OA40" s="11">
        <v>1411</v>
      </c>
      <c r="OB40" s="11">
        <v>1501</v>
      </c>
      <c r="OC40" s="11">
        <v>1409</v>
      </c>
      <c r="OD40" s="11">
        <v>1320</v>
      </c>
      <c r="OE40" s="11">
        <v>1276</v>
      </c>
      <c r="OF40" s="11">
        <v>1248</v>
      </c>
      <c r="OG40" s="11">
        <v>1350</v>
      </c>
      <c r="OH40" s="11">
        <v>1319</v>
      </c>
      <c r="OI40" s="11">
        <v>1330</v>
      </c>
      <c r="OJ40" s="27">
        <f t="shared" si="33"/>
        <v>16190</v>
      </c>
      <c r="OK40" s="11">
        <v>63769</v>
      </c>
      <c r="OL40" s="11">
        <v>65348</v>
      </c>
      <c r="OM40" s="11">
        <v>62194</v>
      </c>
      <c r="ON40" s="11">
        <v>65725</v>
      </c>
      <c r="OO40" s="11">
        <v>68078</v>
      </c>
      <c r="OP40" s="11">
        <v>64632</v>
      </c>
      <c r="OQ40" s="11">
        <v>67483</v>
      </c>
      <c r="OR40" s="11">
        <v>64094</v>
      </c>
      <c r="OS40" s="11">
        <v>63852</v>
      </c>
      <c r="OT40" s="11">
        <v>69193</v>
      </c>
      <c r="OU40" s="11">
        <v>63638</v>
      </c>
      <c r="OV40" s="11">
        <v>69652</v>
      </c>
      <c r="OW40" s="27">
        <f t="shared" si="34"/>
        <v>787658</v>
      </c>
      <c r="OX40" s="11">
        <v>49275</v>
      </c>
      <c r="OY40" s="11">
        <v>51071</v>
      </c>
      <c r="OZ40" s="11">
        <v>49205</v>
      </c>
      <c r="PA40" s="11">
        <v>50913</v>
      </c>
      <c r="PB40" s="11">
        <v>51748</v>
      </c>
      <c r="PC40" s="11">
        <v>50876</v>
      </c>
      <c r="PD40" s="11">
        <v>53175</v>
      </c>
      <c r="PE40" s="11">
        <v>50438</v>
      </c>
      <c r="PF40" s="11">
        <v>49639</v>
      </c>
      <c r="PG40" s="11">
        <v>54311</v>
      </c>
      <c r="PH40" s="11">
        <v>49764</v>
      </c>
      <c r="PI40" s="11">
        <v>55127</v>
      </c>
      <c r="PJ40" s="27">
        <f t="shared" si="35"/>
        <v>615542</v>
      </c>
      <c r="PK40" s="11">
        <v>12113</v>
      </c>
      <c r="PL40" s="11">
        <v>11874</v>
      </c>
      <c r="PM40" s="11">
        <v>10701</v>
      </c>
      <c r="PN40" s="11">
        <v>12273</v>
      </c>
      <c r="PO40" s="11">
        <v>13744</v>
      </c>
      <c r="PP40" s="11">
        <v>11548</v>
      </c>
      <c r="PQ40" s="11">
        <v>12066</v>
      </c>
      <c r="PR40" s="11">
        <v>11269</v>
      </c>
      <c r="PS40" s="11">
        <v>11994</v>
      </c>
      <c r="PT40" s="11">
        <v>12620</v>
      </c>
      <c r="PU40" s="11">
        <v>11688</v>
      </c>
      <c r="PV40" s="11">
        <v>12099</v>
      </c>
      <c r="PW40" s="27">
        <f t="shared" si="36"/>
        <v>143989</v>
      </c>
      <c r="PX40" s="11">
        <v>2381</v>
      </c>
      <c r="PY40" s="11">
        <v>2403</v>
      </c>
      <c r="PZ40" s="11">
        <v>2288</v>
      </c>
      <c r="QA40" s="11">
        <v>2539</v>
      </c>
      <c r="QB40" s="11">
        <v>2586</v>
      </c>
      <c r="QC40" s="11">
        <v>2208</v>
      </c>
      <c r="QD40" s="11">
        <v>2242</v>
      </c>
      <c r="QE40" s="11">
        <v>2387</v>
      </c>
      <c r="QF40" s="11">
        <v>2219</v>
      </c>
      <c r="QG40" s="11">
        <v>2262</v>
      </c>
      <c r="QH40" s="11">
        <v>2186</v>
      </c>
      <c r="QI40" s="11">
        <v>2426</v>
      </c>
      <c r="QJ40" s="27">
        <f t="shared" si="37"/>
        <v>28127</v>
      </c>
      <c r="QK40" s="11">
        <v>208131</v>
      </c>
      <c r="QL40" s="11">
        <v>201967</v>
      </c>
      <c r="QM40" s="11">
        <v>188061</v>
      </c>
      <c r="QN40" s="11">
        <v>226489</v>
      </c>
      <c r="QO40" s="11">
        <v>232002</v>
      </c>
      <c r="QP40" s="11">
        <v>202088</v>
      </c>
      <c r="QQ40" s="11">
        <v>220768</v>
      </c>
      <c r="QR40" s="11">
        <v>203262</v>
      </c>
      <c r="QS40" s="11">
        <v>168515</v>
      </c>
      <c r="QT40" s="11">
        <v>199500</v>
      </c>
      <c r="QU40" s="11">
        <v>190215</v>
      </c>
      <c r="QV40" s="11">
        <v>199468</v>
      </c>
      <c r="QW40" s="27">
        <f t="shared" si="38"/>
        <v>2440466</v>
      </c>
      <c r="QX40" s="11">
        <v>84902</v>
      </c>
      <c r="QY40" s="11">
        <v>80856</v>
      </c>
      <c r="QZ40" s="11">
        <v>74523</v>
      </c>
      <c r="RA40" s="11">
        <v>91513</v>
      </c>
      <c r="RB40" s="11">
        <v>90098</v>
      </c>
      <c r="RC40" s="11">
        <v>81164</v>
      </c>
      <c r="RD40" s="11">
        <v>87273</v>
      </c>
      <c r="RE40" s="11">
        <v>86077</v>
      </c>
      <c r="RF40" s="11">
        <v>68995</v>
      </c>
      <c r="RG40" s="11">
        <v>82017</v>
      </c>
      <c r="RH40" s="11">
        <v>82694</v>
      </c>
      <c r="RI40" s="11">
        <v>81181</v>
      </c>
      <c r="RJ40" s="27">
        <f t="shared" si="39"/>
        <v>991293</v>
      </c>
      <c r="RK40" s="11">
        <v>13441</v>
      </c>
      <c r="RL40" s="11">
        <v>13184</v>
      </c>
      <c r="RM40" s="11">
        <v>12651</v>
      </c>
      <c r="RN40" s="11">
        <v>14603</v>
      </c>
      <c r="RO40" s="11">
        <v>14801</v>
      </c>
      <c r="RP40" s="11">
        <v>13844</v>
      </c>
      <c r="RQ40" s="11">
        <v>14224</v>
      </c>
      <c r="RR40" s="11">
        <v>12484</v>
      </c>
      <c r="RS40" s="11">
        <v>9717</v>
      </c>
      <c r="RT40" s="11">
        <v>13838</v>
      </c>
      <c r="RU40" s="11">
        <v>12358</v>
      </c>
      <c r="RV40" s="11">
        <v>12377</v>
      </c>
      <c r="RW40" s="27">
        <f t="shared" si="40"/>
        <v>157522</v>
      </c>
      <c r="RX40" s="11">
        <v>0</v>
      </c>
      <c r="RY40" s="11">
        <v>0</v>
      </c>
      <c r="RZ40" s="11">
        <v>0</v>
      </c>
      <c r="SA40" s="11">
        <v>0</v>
      </c>
      <c r="SB40" s="11">
        <v>0</v>
      </c>
      <c r="SC40" s="11">
        <v>0</v>
      </c>
      <c r="SD40" s="11">
        <v>0</v>
      </c>
      <c r="SE40" s="11">
        <v>0</v>
      </c>
      <c r="SF40" s="11">
        <v>0</v>
      </c>
      <c r="SG40" s="11">
        <v>0</v>
      </c>
      <c r="SH40" s="11">
        <v>0</v>
      </c>
      <c r="SI40" s="11">
        <v>0</v>
      </c>
      <c r="SJ40" s="27">
        <f t="shared" si="41"/>
        <v>0</v>
      </c>
      <c r="SK40" s="11">
        <v>295</v>
      </c>
      <c r="SL40" s="11">
        <v>292</v>
      </c>
      <c r="SM40" s="11">
        <v>274</v>
      </c>
      <c r="SN40" s="11">
        <v>308</v>
      </c>
      <c r="SO40" s="11">
        <v>305</v>
      </c>
      <c r="SP40" s="11">
        <v>301</v>
      </c>
      <c r="SQ40" s="11">
        <v>293</v>
      </c>
      <c r="SR40" s="11">
        <v>312</v>
      </c>
      <c r="SS40" s="11">
        <v>281</v>
      </c>
      <c r="ST40" s="11">
        <v>328</v>
      </c>
      <c r="SU40" s="11">
        <v>289</v>
      </c>
      <c r="SV40" s="11">
        <v>304</v>
      </c>
      <c r="SW40" s="27">
        <f t="shared" si="42"/>
        <v>3582</v>
      </c>
      <c r="SX40" s="11" t="s">
        <v>1481</v>
      </c>
      <c r="SY40" s="11">
        <v>8741</v>
      </c>
      <c r="SZ40" s="11">
        <v>8482</v>
      </c>
      <c r="TA40" s="11">
        <v>8106</v>
      </c>
      <c r="TB40" s="11">
        <v>8914</v>
      </c>
      <c r="TC40" s="11">
        <v>8775</v>
      </c>
      <c r="TD40" s="11">
        <v>8963</v>
      </c>
      <c r="TE40" s="11">
        <v>9494</v>
      </c>
      <c r="TF40" s="11">
        <v>8750</v>
      </c>
      <c r="TG40" s="11">
        <v>6930</v>
      </c>
      <c r="TH40" s="11">
        <v>8729</v>
      </c>
      <c r="TI40" s="11">
        <v>7981</v>
      </c>
      <c r="TJ40" s="11">
        <v>8402</v>
      </c>
      <c r="TK40" s="27">
        <f>ROUND(SUM(SY40:TJ40),0)</f>
        <v>102267</v>
      </c>
      <c r="TL40" s="11">
        <v>0</v>
      </c>
      <c r="TM40" s="11">
        <v>0</v>
      </c>
      <c r="TN40" s="11">
        <v>0</v>
      </c>
      <c r="TO40" s="11">
        <v>0</v>
      </c>
      <c r="TP40" s="11">
        <v>0</v>
      </c>
      <c r="TQ40" s="11">
        <v>0</v>
      </c>
      <c r="TR40" s="11">
        <v>0</v>
      </c>
      <c r="TS40" s="11">
        <v>0</v>
      </c>
      <c r="TT40" s="11">
        <v>0</v>
      </c>
      <c r="TU40" s="11">
        <v>0</v>
      </c>
      <c r="TV40" s="11">
        <v>0</v>
      </c>
      <c r="TW40" s="11">
        <v>0</v>
      </c>
      <c r="TX40" s="27">
        <f t="shared" si="44"/>
        <v>0</v>
      </c>
      <c r="TY40" s="11">
        <v>202</v>
      </c>
      <c r="TZ40" s="11"/>
      <c r="UA40" s="11"/>
    </row>
    <row r="41" spans="1:547" ht="16" customHeight="1" x14ac:dyDescent="0.35">
      <c r="A41" s="11" t="s">
        <v>2679</v>
      </c>
      <c r="B41" s="11">
        <v>34273</v>
      </c>
      <c r="C41" s="11" t="s">
        <v>1432</v>
      </c>
      <c r="D41" s="11" t="s">
        <v>1432</v>
      </c>
      <c r="E41" s="11" t="s">
        <v>1432</v>
      </c>
      <c r="F41" s="11">
        <v>180</v>
      </c>
      <c r="G41" s="11">
        <v>189</v>
      </c>
      <c r="H41" s="11">
        <v>170</v>
      </c>
      <c r="I41" s="11">
        <v>182</v>
      </c>
      <c r="J41" s="11">
        <v>214</v>
      </c>
      <c r="K41" s="11">
        <v>179</v>
      </c>
      <c r="L41" s="11">
        <v>223</v>
      </c>
      <c r="M41" s="11">
        <v>217</v>
      </c>
      <c r="N41" s="11">
        <v>130</v>
      </c>
      <c r="O41" s="11">
        <v>134</v>
      </c>
      <c r="P41" s="11" t="s">
        <v>2866</v>
      </c>
      <c r="Q41" s="11">
        <v>154</v>
      </c>
      <c r="R41" s="11">
        <v>206</v>
      </c>
      <c r="S41" s="26">
        <f t="shared" si="0"/>
        <v>2178</v>
      </c>
      <c r="T41" s="11">
        <v>57</v>
      </c>
      <c r="U41" s="11">
        <v>79</v>
      </c>
      <c r="V41" s="11">
        <v>63</v>
      </c>
      <c r="W41" s="11">
        <v>66</v>
      </c>
      <c r="X41" s="11">
        <v>73</v>
      </c>
      <c r="Y41" s="11">
        <v>71</v>
      </c>
      <c r="Z41" s="11">
        <v>83</v>
      </c>
      <c r="AA41" s="11">
        <v>74</v>
      </c>
      <c r="AB41" s="11">
        <v>41</v>
      </c>
      <c r="AC41" s="11">
        <v>50</v>
      </c>
      <c r="AD41" s="11">
        <v>46</v>
      </c>
      <c r="AE41" s="11">
        <v>76</v>
      </c>
      <c r="AF41" s="26">
        <f t="shared" si="1"/>
        <v>779</v>
      </c>
      <c r="AG41" s="11">
        <v>99</v>
      </c>
      <c r="AH41" s="11">
        <v>108</v>
      </c>
      <c r="AI41" s="11">
        <v>96</v>
      </c>
      <c r="AJ41" s="11">
        <v>103</v>
      </c>
      <c r="AK41" s="11">
        <v>122</v>
      </c>
      <c r="AL41" s="11">
        <v>104</v>
      </c>
      <c r="AM41" s="11">
        <v>129</v>
      </c>
      <c r="AN41" s="11">
        <v>131</v>
      </c>
      <c r="AO41" s="11">
        <v>50</v>
      </c>
      <c r="AP41" s="11">
        <v>79</v>
      </c>
      <c r="AQ41" s="11">
        <v>88</v>
      </c>
      <c r="AR41" s="11">
        <v>115</v>
      </c>
      <c r="AS41" s="26">
        <f t="shared" si="2"/>
        <v>1224</v>
      </c>
      <c r="AT41" s="11">
        <v>14</v>
      </c>
      <c r="AU41" s="11">
        <v>2</v>
      </c>
      <c r="AV41" s="11">
        <v>0</v>
      </c>
      <c r="AW41" s="11">
        <v>0</v>
      </c>
      <c r="AX41" s="11">
        <v>0</v>
      </c>
      <c r="AY41" s="11">
        <v>0</v>
      </c>
      <c r="AZ41" s="11">
        <v>0</v>
      </c>
      <c r="BA41" s="11">
        <v>1</v>
      </c>
      <c r="BB41" s="11">
        <v>0</v>
      </c>
      <c r="BC41" s="11">
        <v>1</v>
      </c>
      <c r="BD41" s="11">
        <v>12</v>
      </c>
      <c r="BE41" s="11">
        <v>2</v>
      </c>
      <c r="BF41" s="26">
        <f t="shared" si="3"/>
        <v>32</v>
      </c>
      <c r="BG41" s="11">
        <v>10</v>
      </c>
      <c r="BH41" s="11">
        <v>0</v>
      </c>
      <c r="BI41" s="11">
        <v>11</v>
      </c>
      <c r="BJ41" s="11">
        <v>13</v>
      </c>
      <c r="BK41" s="11">
        <v>19</v>
      </c>
      <c r="BL41" s="11">
        <v>4</v>
      </c>
      <c r="BM41" s="11">
        <v>11</v>
      </c>
      <c r="BN41" s="11">
        <v>11</v>
      </c>
      <c r="BO41" s="11">
        <v>9</v>
      </c>
      <c r="BP41" s="11">
        <v>4</v>
      </c>
      <c r="BQ41" s="11">
        <v>8</v>
      </c>
      <c r="BR41" s="11">
        <v>13</v>
      </c>
      <c r="BS41" s="26">
        <f t="shared" si="4"/>
        <v>113</v>
      </c>
      <c r="BT41" s="11">
        <v>0</v>
      </c>
      <c r="BU41" s="11">
        <v>0</v>
      </c>
      <c r="BV41" s="11">
        <v>0</v>
      </c>
      <c r="BW41" s="11">
        <v>0</v>
      </c>
      <c r="BX41" s="11">
        <v>0</v>
      </c>
      <c r="BY41" s="11">
        <v>22</v>
      </c>
      <c r="BZ41" s="11">
        <v>0</v>
      </c>
      <c r="CA41" s="11">
        <v>7</v>
      </c>
      <c r="CB41" s="11">
        <v>0</v>
      </c>
      <c r="CC41" s="11">
        <v>1</v>
      </c>
      <c r="CD41" s="11">
        <v>0</v>
      </c>
      <c r="CE41" s="11">
        <v>0</v>
      </c>
      <c r="CF41" s="26">
        <f t="shared" si="5"/>
        <v>30</v>
      </c>
      <c r="CG41" s="11">
        <v>0</v>
      </c>
      <c r="CH41" s="11">
        <v>0</v>
      </c>
      <c r="CI41" s="11">
        <v>0</v>
      </c>
      <c r="CJ41" s="11">
        <v>0</v>
      </c>
      <c r="CK41" s="11">
        <v>0</v>
      </c>
      <c r="CL41" s="11">
        <v>0</v>
      </c>
      <c r="CM41" s="11">
        <v>0</v>
      </c>
      <c r="CN41" s="11">
        <v>5</v>
      </c>
      <c r="CO41" s="11">
        <v>0</v>
      </c>
      <c r="CP41" s="11">
        <v>1</v>
      </c>
      <c r="CQ41" s="11">
        <v>0</v>
      </c>
      <c r="CR41" s="11">
        <v>0</v>
      </c>
      <c r="CS41" s="26">
        <f t="shared" si="6"/>
        <v>6</v>
      </c>
      <c r="CT41" s="11">
        <v>0</v>
      </c>
      <c r="CU41" s="11">
        <v>0</v>
      </c>
      <c r="CV41" s="11">
        <v>0</v>
      </c>
      <c r="CW41" s="11">
        <v>0</v>
      </c>
      <c r="CX41" s="11">
        <v>0</v>
      </c>
      <c r="CY41" s="11">
        <v>22</v>
      </c>
      <c r="CZ41" s="11">
        <v>0</v>
      </c>
      <c r="DA41" s="11">
        <v>2</v>
      </c>
      <c r="DB41" s="11">
        <v>0</v>
      </c>
      <c r="DC41" s="11">
        <v>0</v>
      </c>
      <c r="DD41" s="11">
        <v>0</v>
      </c>
      <c r="DE41" s="11">
        <v>0</v>
      </c>
      <c r="DF41" s="26">
        <f t="shared" si="7"/>
        <v>24</v>
      </c>
      <c r="DG41" s="11">
        <v>0</v>
      </c>
      <c r="DH41" s="11">
        <v>0</v>
      </c>
      <c r="DI41" s="11">
        <v>0</v>
      </c>
      <c r="DJ41" s="11">
        <v>0</v>
      </c>
      <c r="DK41" s="11">
        <v>0</v>
      </c>
      <c r="DL41" s="11">
        <v>0</v>
      </c>
      <c r="DM41" s="11">
        <v>0</v>
      </c>
      <c r="DN41" s="11">
        <v>0</v>
      </c>
      <c r="DO41" s="11">
        <v>0</v>
      </c>
      <c r="DP41" s="11">
        <v>0</v>
      </c>
      <c r="DQ41" s="11">
        <v>0</v>
      </c>
      <c r="DR41" s="11">
        <v>0</v>
      </c>
      <c r="DS41" s="26">
        <f t="shared" si="8"/>
        <v>0</v>
      </c>
      <c r="DT41" s="11">
        <v>0</v>
      </c>
      <c r="DU41" s="11">
        <v>0</v>
      </c>
      <c r="DV41" s="11">
        <v>0</v>
      </c>
      <c r="DW41" s="11">
        <v>0</v>
      </c>
      <c r="DX41" s="11">
        <v>0</v>
      </c>
      <c r="DY41" s="11">
        <v>0</v>
      </c>
      <c r="DZ41" s="11">
        <v>0</v>
      </c>
      <c r="EA41" s="11">
        <v>0</v>
      </c>
      <c r="EB41" s="11">
        <v>0</v>
      </c>
      <c r="EC41" s="11">
        <v>0</v>
      </c>
      <c r="ED41" s="11">
        <v>0</v>
      </c>
      <c r="EE41" s="11">
        <v>0</v>
      </c>
      <c r="EF41" s="26">
        <f t="shared" si="9"/>
        <v>0</v>
      </c>
      <c r="EG41" s="9">
        <f t="shared" si="10"/>
        <v>2148</v>
      </c>
      <c r="EH41" s="9">
        <f t="shared" si="11"/>
        <v>30</v>
      </c>
      <c r="EI41" s="11">
        <v>2798</v>
      </c>
      <c r="EJ41" s="11">
        <v>2800</v>
      </c>
      <c r="EK41" s="11">
        <v>2485</v>
      </c>
      <c r="EL41" s="11">
        <v>3177</v>
      </c>
      <c r="EM41" s="11">
        <v>3502</v>
      </c>
      <c r="EN41" s="11">
        <v>2250</v>
      </c>
      <c r="EO41" s="11">
        <v>3303</v>
      </c>
      <c r="EP41" s="11">
        <v>4205</v>
      </c>
      <c r="EQ41" s="11">
        <v>1965</v>
      </c>
      <c r="ER41" s="11">
        <v>1979</v>
      </c>
      <c r="ES41" s="11">
        <v>1192</v>
      </c>
      <c r="ET41" s="11">
        <v>3331</v>
      </c>
      <c r="EU41" s="26">
        <f t="shared" si="12"/>
        <v>32987</v>
      </c>
      <c r="EV41" s="11">
        <v>537</v>
      </c>
      <c r="EW41" s="11">
        <v>664</v>
      </c>
      <c r="EX41" s="11">
        <v>687</v>
      </c>
      <c r="EY41" s="11">
        <v>1128</v>
      </c>
      <c r="EZ41" s="11">
        <v>1254</v>
      </c>
      <c r="FA41" s="11">
        <v>633</v>
      </c>
      <c r="FB41" s="11">
        <v>698</v>
      </c>
      <c r="FC41" s="11">
        <v>1250</v>
      </c>
      <c r="FD41" s="11">
        <v>487</v>
      </c>
      <c r="FE41" s="11">
        <v>430</v>
      </c>
      <c r="FF41" s="11">
        <v>891</v>
      </c>
      <c r="FG41" s="11">
        <v>849</v>
      </c>
      <c r="FH41" s="26">
        <f t="shared" si="13"/>
        <v>9508</v>
      </c>
      <c r="FI41" s="11">
        <v>2012</v>
      </c>
      <c r="FJ41" s="11">
        <v>2136</v>
      </c>
      <c r="FK41" s="11">
        <v>1978</v>
      </c>
      <c r="FL41" s="11">
        <v>2049</v>
      </c>
      <c r="FM41" s="11">
        <v>2248</v>
      </c>
      <c r="FN41" s="11">
        <v>1617</v>
      </c>
      <c r="FO41" s="11">
        <v>2600</v>
      </c>
      <c r="FP41" s="11">
        <v>2955</v>
      </c>
      <c r="FQ41" s="11">
        <v>1478</v>
      </c>
      <c r="FR41" s="11">
        <v>1514</v>
      </c>
      <c r="FS41" s="11">
        <v>1885</v>
      </c>
      <c r="FT41" s="11">
        <v>2459</v>
      </c>
      <c r="FU41" s="26">
        <f t="shared" si="14"/>
        <v>24931</v>
      </c>
      <c r="FV41" s="11">
        <v>249</v>
      </c>
      <c r="FW41" s="11">
        <v>0</v>
      </c>
      <c r="FX41" s="11">
        <v>0</v>
      </c>
      <c r="FY41" s="11">
        <v>0</v>
      </c>
      <c r="FZ41" s="11">
        <v>0</v>
      </c>
      <c r="GA41" s="11">
        <v>0</v>
      </c>
      <c r="GB41" s="11">
        <v>5</v>
      </c>
      <c r="GC41" s="11">
        <v>10</v>
      </c>
      <c r="GD41" s="11">
        <v>0</v>
      </c>
      <c r="GE41" s="11">
        <v>0</v>
      </c>
      <c r="GF41" s="11">
        <v>416</v>
      </c>
      <c r="GG41" s="11">
        <v>23</v>
      </c>
      <c r="GH41" s="26">
        <f t="shared" si="15"/>
        <v>703</v>
      </c>
      <c r="GI41" s="11">
        <v>0</v>
      </c>
      <c r="GJ41" s="11">
        <v>0</v>
      </c>
      <c r="GK41" s="11">
        <v>0</v>
      </c>
      <c r="GL41" s="11">
        <v>0</v>
      </c>
      <c r="GM41" s="11">
        <v>0</v>
      </c>
      <c r="GN41" s="11">
        <v>0</v>
      </c>
      <c r="GO41" s="11">
        <v>0</v>
      </c>
      <c r="GP41" s="11">
        <v>814</v>
      </c>
      <c r="GQ41" s="11">
        <v>0</v>
      </c>
      <c r="GR41" s="11">
        <v>33</v>
      </c>
      <c r="GS41" s="11">
        <v>0</v>
      </c>
      <c r="GT41" s="11">
        <v>0</v>
      </c>
      <c r="GU41" s="26">
        <f t="shared" si="16"/>
        <v>847</v>
      </c>
      <c r="GV41" s="11">
        <v>0</v>
      </c>
      <c r="GW41" s="11">
        <v>0</v>
      </c>
      <c r="GX41" s="11">
        <v>0</v>
      </c>
      <c r="GY41" s="11">
        <v>0</v>
      </c>
      <c r="GZ41" s="11">
        <v>0</v>
      </c>
      <c r="HA41" s="11">
        <v>0</v>
      </c>
      <c r="HB41" s="11">
        <v>0</v>
      </c>
      <c r="HC41" s="11">
        <v>68</v>
      </c>
      <c r="HD41" s="11">
        <v>0</v>
      </c>
      <c r="HE41" s="11">
        <v>33</v>
      </c>
      <c r="HF41" s="11">
        <v>0</v>
      </c>
      <c r="HG41" s="11">
        <v>0</v>
      </c>
      <c r="HH41" s="26">
        <f t="shared" si="17"/>
        <v>101</v>
      </c>
      <c r="HI41" s="11">
        <v>0</v>
      </c>
      <c r="HJ41" s="11">
        <v>0</v>
      </c>
      <c r="HK41" s="11">
        <v>0</v>
      </c>
      <c r="HL41" s="11">
        <v>0</v>
      </c>
      <c r="HM41" s="11">
        <v>0</v>
      </c>
      <c r="HN41" s="11">
        <v>0</v>
      </c>
      <c r="HO41" s="11">
        <v>0</v>
      </c>
      <c r="HP41" s="11">
        <v>746</v>
      </c>
      <c r="HQ41" s="11">
        <v>0</v>
      </c>
      <c r="HR41" s="11">
        <v>0</v>
      </c>
      <c r="HS41" s="11">
        <v>0</v>
      </c>
      <c r="HT41" s="11">
        <v>0</v>
      </c>
      <c r="HU41" s="26">
        <f t="shared" si="18"/>
        <v>746</v>
      </c>
      <c r="HV41" s="11">
        <v>0</v>
      </c>
      <c r="HW41" s="11">
        <v>0</v>
      </c>
      <c r="HX41" s="11">
        <v>0</v>
      </c>
      <c r="HY41" s="11">
        <v>0</v>
      </c>
      <c r="HZ41" s="11">
        <v>0</v>
      </c>
      <c r="IA41" s="11">
        <v>0</v>
      </c>
      <c r="IB41" s="11">
        <v>0</v>
      </c>
      <c r="IC41" s="11">
        <v>0</v>
      </c>
      <c r="ID41" s="11">
        <v>0</v>
      </c>
      <c r="IE41" s="11">
        <v>0</v>
      </c>
      <c r="IF41" s="11">
        <v>0</v>
      </c>
      <c r="IG41" s="11">
        <v>0</v>
      </c>
      <c r="IH41" s="26">
        <f t="shared" si="19"/>
        <v>0</v>
      </c>
      <c r="II41" s="9">
        <f t="shared" si="20"/>
        <v>35142</v>
      </c>
      <c r="IJ41" s="9">
        <f t="shared" si="21"/>
        <v>847</v>
      </c>
      <c r="IK41" s="11">
        <v>42806</v>
      </c>
      <c r="IL41" s="11">
        <v>44735</v>
      </c>
      <c r="IM41" s="11">
        <v>47351</v>
      </c>
      <c r="IN41" s="11">
        <v>49999</v>
      </c>
      <c r="IO41" s="11">
        <v>50529</v>
      </c>
      <c r="IP41" s="11">
        <v>46869</v>
      </c>
      <c r="IQ41" s="11">
        <v>52609</v>
      </c>
      <c r="IR41" s="11">
        <v>54302</v>
      </c>
      <c r="IS41" s="11">
        <v>47591</v>
      </c>
      <c r="IT41" s="11">
        <v>50572</v>
      </c>
      <c r="IU41" s="11">
        <v>47717</v>
      </c>
      <c r="IV41" s="11">
        <v>42995</v>
      </c>
      <c r="IW41" s="27">
        <f t="shared" si="22"/>
        <v>578075</v>
      </c>
      <c r="IX41" s="11">
        <v>19128</v>
      </c>
      <c r="IY41" s="11">
        <v>19231</v>
      </c>
      <c r="IZ41" s="11">
        <v>20882</v>
      </c>
      <c r="JA41" s="11">
        <v>21313</v>
      </c>
      <c r="JB41" s="11">
        <v>22052</v>
      </c>
      <c r="JC41" s="11">
        <v>21384</v>
      </c>
      <c r="JD41" s="11">
        <v>22582</v>
      </c>
      <c r="JE41" s="11">
        <v>21727</v>
      </c>
      <c r="JF41" s="11">
        <v>20634</v>
      </c>
      <c r="JG41" s="11">
        <v>21418</v>
      </c>
      <c r="JH41" s="11">
        <v>20517</v>
      </c>
      <c r="JI41" s="11">
        <v>19309</v>
      </c>
      <c r="JJ41" s="27">
        <f t="shared" si="23"/>
        <v>250177</v>
      </c>
      <c r="JK41" s="11">
        <v>22061</v>
      </c>
      <c r="JL41" s="11">
        <v>23732</v>
      </c>
      <c r="JM41" s="11">
        <v>24531</v>
      </c>
      <c r="JN41" s="11">
        <v>26874</v>
      </c>
      <c r="JO41" s="11">
        <v>26677</v>
      </c>
      <c r="JP41" s="11">
        <v>23796</v>
      </c>
      <c r="JQ41" s="11">
        <v>27995</v>
      </c>
      <c r="JR41" s="11">
        <v>30528</v>
      </c>
      <c r="JS41" s="11">
        <v>25208</v>
      </c>
      <c r="JT41" s="11">
        <v>27341</v>
      </c>
      <c r="JU41" s="11">
        <v>25509</v>
      </c>
      <c r="JV41" s="11">
        <v>22143</v>
      </c>
      <c r="JW41" s="27">
        <f t="shared" si="24"/>
        <v>306395</v>
      </c>
      <c r="JX41" s="11">
        <v>895</v>
      </c>
      <c r="JY41" s="11">
        <v>961</v>
      </c>
      <c r="JZ41" s="11">
        <v>970</v>
      </c>
      <c r="KA41" s="11">
        <v>999</v>
      </c>
      <c r="KB41" s="11">
        <v>945</v>
      </c>
      <c r="KC41" s="11">
        <v>1003</v>
      </c>
      <c r="KD41" s="11">
        <v>1222</v>
      </c>
      <c r="KE41" s="11">
        <v>1448</v>
      </c>
      <c r="KF41" s="11">
        <v>1054</v>
      </c>
      <c r="KG41" s="11">
        <v>1033</v>
      </c>
      <c r="KH41" s="11">
        <v>972</v>
      </c>
      <c r="KI41" s="11">
        <v>952</v>
      </c>
      <c r="KJ41" s="27">
        <f t="shared" si="25"/>
        <v>12454</v>
      </c>
      <c r="KK41" s="11">
        <v>331</v>
      </c>
      <c r="KL41" s="11">
        <v>412</v>
      </c>
      <c r="KM41" s="11">
        <v>532</v>
      </c>
      <c r="KN41" s="11">
        <v>404</v>
      </c>
      <c r="KO41" s="11">
        <v>361</v>
      </c>
      <c r="KP41" s="11">
        <v>326</v>
      </c>
      <c r="KQ41" s="11">
        <v>398</v>
      </c>
      <c r="KR41" s="11">
        <v>310</v>
      </c>
      <c r="KS41" s="11">
        <v>286</v>
      </c>
      <c r="KT41" s="11">
        <v>349</v>
      </c>
      <c r="KU41" s="11">
        <v>345</v>
      </c>
      <c r="KV41" s="11">
        <v>254</v>
      </c>
      <c r="KW41" s="27">
        <f t="shared" si="26"/>
        <v>4308</v>
      </c>
      <c r="KX41" s="11">
        <v>300</v>
      </c>
      <c r="KY41" s="11">
        <v>393</v>
      </c>
      <c r="KZ41" s="11">
        <v>501</v>
      </c>
      <c r="LA41" s="11">
        <v>346</v>
      </c>
      <c r="LB41" s="11">
        <v>308</v>
      </c>
      <c r="LC41" s="11">
        <v>296</v>
      </c>
      <c r="LD41" s="11">
        <v>359</v>
      </c>
      <c r="LE41" s="11">
        <v>251</v>
      </c>
      <c r="LF41" s="11">
        <v>253</v>
      </c>
      <c r="LG41" s="11">
        <v>312</v>
      </c>
      <c r="LH41" s="11">
        <v>311</v>
      </c>
      <c r="LI41" s="11">
        <v>219</v>
      </c>
      <c r="LJ41" s="27">
        <f t="shared" si="27"/>
        <v>3849</v>
      </c>
      <c r="LK41" s="11">
        <v>31</v>
      </c>
      <c r="LL41" s="11">
        <v>19</v>
      </c>
      <c r="LM41" s="11">
        <v>31</v>
      </c>
      <c r="LN41" s="11">
        <v>58</v>
      </c>
      <c r="LO41" s="11">
        <v>53</v>
      </c>
      <c r="LP41" s="11">
        <v>30</v>
      </c>
      <c r="LQ41" s="11">
        <v>39</v>
      </c>
      <c r="LR41" s="11">
        <v>59</v>
      </c>
      <c r="LS41" s="11">
        <v>33</v>
      </c>
      <c r="LT41" s="11">
        <v>37</v>
      </c>
      <c r="LU41" s="11">
        <v>34</v>
      </c>
      <c r="LV41" s="11">
        <v>35</v>
      </c>
      <c r="LW41" s="27">
        <f t="shared" si="28"/>
        <v>459</v>
      </c>
      <c r="LX41" s="11">
        <v>0</v>
      </c>
      <c r="LY41" s="11">
        <v>0</v>
      </c>
      <c r="LZ41" s="11">
        <v>0</v>
      </c>
      <c r="MA41" s="11">
        <v>0</v>
      </c>
      <c r="MB41" s="11">
        <v>0</v>
      </c>
      <c r="MC41" s="11">
        <v>0</v>
      </c>
      <c r="MD41" s="11">
        <v>0</v>
      </c>
      <c r="ME41" s="11">
        <v>0</v>
      </c>
      <c r="MF41" s="11">
        <v>0</v>
      </c>
      <c r="MG41" s="11">
        <v>0</v>
      </c>
      <c r="MH41" s="11">
        <v>0</v>
      </c>
      <c r="MI41" s="11">
        <v>0</v>
      </c>
      <c r="MJ41" s="27">
        <f t="shared" si="29"/>
        <v>0</v>
      </c>
      <c r="MK41" s="11">
        <v>2075</v>
      </c>
      <c r="ML41" s="11">
        <v>2262</v>
      </c>
      <c r="MM41" s="11">
        <v>2170</v>
      </c>
      <c r="MN41" s="11">
        <v>2560</v>
      </c>
      <c r="MO41" s="11">
        <v>2327</v>
      </c>
      <c r="MP41" s="11">
        <v>2189</v>
      </c>
      <c r="MQ41" s="11">
        <v>2338</v>
      </c>
      <c r="MR41" s="11">
        <v>2161</v>
      </c>
      <c r="MS41" s="11">
        <v>2254</v>
      </c>
      <c r="MT41" s="11">
        <v>2348</v>
      </c>
      <c r="MU41" s="11">
        <v>2123</v>
      </c>
      <c r="MV41" s="11">
        <v>2147</v>
      </c>
      <c r="MW41" s="27">
        <f t="shared" si="30"/>
        <v>26954</v>
      </c>
      <c r="MX41" s="11">
        <v>0</v>
      </c>
      <c r="MY41" s="11">
        <v>0</v>
      </c>
      <c r="MZ41" s="11">
        <v>0</v>
      </c>
      <c r="NA41" s="11">
        <v>0</v>
      </c>
      <c r="NB41" s="11">
        <v>0</v>
      </c>
      <c r="NC41" s="11">
        <v>0</v>
      </c>
      <c r="ND41" s="11">
        <v>0</v>
      </c>
      <c r="NE41" s="11">
        <v>0</v>
      </c>
      <c r="NF41" s="11">
        <v>0</v>
      </c>
      <c r="NG41" s="11">
        <v>0</v>
      </c>
      <c r="NH41" s="11">
        <v>0</v>
      </c>
      <c r="NI41" s="11">
        <v>0</v>
      </c>
      <c r="NJ41" s="27">
        <f t="shared" si="31"/>
        <v>0</v>
      </c>
      <c r="NK41" s="11">
        <v>0</v>
      </c>
      <c r="NL41" s="11">
        <v>0</v>
      </c>
      <c r="NM41" s="11">
        <v>0</v>
      </c>
      <c r="NN41" s="11">
        <v>0</v>
      </c>
      <c r="NO41" s="11">
        <v>0</v>
      </c>
      <c r="NP41" s="11">
        <v>0</v>
      </c>
      <c r="NQ41" s="11">
        <v>0</v>
      </c>
      <c r="NR41" s="11">
        <v>0</v>
      </c>
      <c r="NS41" s="11">
        <v>0</v>
      </c>
      <c r="NT41" s="11">
        <v>0</v>
      </c>
      <c r="NU41" s="11">
        <v>0</v>
      </c>
      <c r="NV41" s="11">
        <v>0</v>
      </c>
      <c r="NW41" s="27">
        <f t="shared" si="32"/>
        <v>0</v>
      </c>
      <c r="NX41" s="11">
        <v>0</v>
      </c>
      <c r="NY41" s="11">
        <v>0</v>
      </c>
      <c r="NZ41" s="11">
        <v>0</v>
      </c>
      <c r="OA41" s="11">
        <v>0</v>
      </c>
      <c r="OB41" s="11">
        <v>0</v>
      </c>
      <c r="OC41" s="11">
        <v>0</v>
      </c>
      <c r="OD41" s="11">
        <v>0</v>
      </c>
      <c r="OE41" s="11">
        <v>0</v>
      </c>
      <c r="OF41" s="11">
        <v>0</v>
      </c>
      <c r="OG41" s="11">
        <v>0</v>
      </c>
      <c r="OH41" s="11">
        <v>0</v>
      </c>
      <c r="OI41" s="11">
        <v>0</v>
      </c>
      <c r="OJ41" s="27">
        <f t="shared" si="33"/>
        <v>0</v>
      </c>
      <c r="OK41" s="11">
        <v>1123</v>
      </c>
      <c r="OL41" s="11">
        <v>1114</v>
      </c>
      <c r="OM41" s="11">
        <v>1132</v>
      </c>
      <c r="ON41" s="11">
        <v>1021</v>
      </c>
      <c r="OO41" s="11">
        <v>1166</v>
      </c>
      <c r="OP41" s="11">
        <v>1276</v>
      </c>
      <c r="OQ41" s="11">
        <v>1218</v>
      </c>
      <c r="OR41" s="11">
        <v>1178</v>
      </c>
      <c r="OS41" s="11">
        <v>1269</v>
      </c>
      <c r="OT41" s="11">
        <v>1331</v>
      </c>
      <c r="OU41" s="11">
        <v>1146</v>
      </c>
      <c r="OV41" s="11">
        <v>1244</v>
      </c>
      <c r="OW41" s="27">
        <f t="shared" si="34"/>
        <v>14218</v>
      </c>
      <c r="OX41" s="11">
        <v>0</v>
      </c>
      <c r="OY41" s="11">
        <v>0</v>
      </c>
      <c r="OZ41" s="11">
        <v>0</v>
      </c>
      <c r="PA41" s="11">
        <v>0</v>
      </c>
      <c r="PB41" s="11">
        <v>0</v>
      </c>
      <c r="PC41" s="11">
        <v>0</v>
      </c>
      <c r="PD41" s="11">
        <v>0</v>
      </c>
      <c r="PE41" s="11">
        <v>0</v>
      </c>
      <c r="PF41" s="11">
        <v>0</v>
      </c>
      <c r="PG41" s="11">
        <v>0</v>
      </c>
      <c r="PH41" s="11">
        <v>0</v>
      </c>
      <c r="PI41" s="11">
        <v>0</v>
      </c>
      <c r="PJ41" s="27">
        <f t="shared" si="35"/>
        <v>0</v>
      </c>
      <c r="PK41" s="11">
        <v>0</v>
      </c>
      <c r="PL41" s="11">
        <v>0</v>
      </c>
      <c r="PM41" s="11">
        <v>0</v>
      </c>
      <c r="PN41" s="11">
        <v>0</v>
      </c>
      <c r="PO41" s="11">
        <v>0</v>
      </c>
      <c r="PP41" s="11">
        <v>0</v>
      </c>
      <c r="PQ41" s="11">
        <v>0</v>
      </c>
      <c r="PR41" s="11">
        <v>0</v>
      </c>
      <c r="PS41" s="11">
        <v>0</v>
      </c>
      <c r="PT41" s="11">
        <v>0</v>
      </c>
      <c r="PU41" s="11">
        <v>0</v>
      </c>
      <c r="PV41" s="11">
        <v>0</v>
      </c>
      <c r="PW41" s="27">
        <f t="shared" si="36"/>
        <v>0</v>
      </c>
      <c r="PX41" s="11">
        <v>0</v>
      </c>
      <c r="PY41" s="11">
        <v>0</v>
      </c>
      <c r="PZ41" s="11">
        <v>0</v>
      </c>
      <c r="QA41" s="11">
        <v>0</v>
      </c>
      <c r="QB41" s="11">
        <v>0</v>
      </c>
      <c r="QC41" s="11">
        <v>0</v>
      </c>
      <c r="QD41" s="11">
        <v>0</v>
      </c>
      <c r="QE41" s="11">
        <v>0</v>
      </c>
      <c r="QF41" s="11">
        <v>0</v>
      </c>
      <c r="QG41" s="11">
        <v>0</v>
      </c>
      <c r="QH41" s="11">
        <v>0</v>
      </c>
      <c r="QI41" s="11">
        <v>0</v>
      </c>
      <c r="QJ41" s="27">
        <f t="shared" si="37"/>
        <v>0</v>
      </c>
      <c r="QK41" s="11">
        <v>43298</v>
      </c>
      <c r="QL41" s="11">
        <v>42598</v>
      </c>
      <c r="QM41" s="11">
        <v>36737</v>
      </c>
      <c r="QN41" s="11">
        <v>40235</v>
      </c>
      <c r="QO41" s="11">
        <v>40952</v>
      </c>
      <c r="QP41" s="11">
        <v>37968</v>
      </c>
      <c r="QQ41" s="11">
        <v>43316</v>
      </c>
      <c r="QR41" s="11">
        <v>40199</v>
      </c>
      <c r="QS41" s="11">
        <v>37358</v>
      </c>
      <c r="QT41" s="11">
        <v>37129</v>
      </c>
      <c r="QU41" s="11">
        <v>39423</v>
      </c>
      <c r="QV41" s="11">
        <v>41480</v>
      </c>
      <c r="QW41" s="27">
        <f t="shared" si="38"/>
        <v>480693</v>
      </c>
      <c r="QX41" s="11">
        <v>0</v>
      </c>
      <c r="QY41" s="11">
        <v>0</v>
      </c>
      <c r="QZ41" s="11">
        <v>0</v>
      </c>
      <c r="RA41" s="11">
        <v>0</v>
      </c>
      <c r="RB41" s="11">
        <v>0</v>
      </c>
      <c r="RC41" s="11">
        <v>0</v>
      </c>
      <c r="RD41" s="11">
        <v>0</v>
      </c>
      <c r="RE41" s="11">
        <v>0</v>
      </c>
      <c r="RF41" s="11">
        <v>0</v>
      </c>
      <c r="RG41" s="11">
        <v>0</v>
      </c>
      <c r="RH41" s="11">
        <v>0</v>
      </c>
      <c r="RI41" s="11">
        <v>0</v>
      </c>
      <c r="RJ41" s="27">
        <f t="shared" si="39"/>
        <v>0</v>
      </c>
      <c r="RK41" s="11">
        <v>0</v>
      </c>
      <c r="RL41" s="11">
        <v>0</v>
      </c>
      <c r="RM41" s="11">
        <v>0</v>
      </c>
      <c r="RN41" s="11">
        <v>0</v>
      </c>
      <c r="RO41" s="11">
        <v>0</v>
      </c>
      <c r="RP41" s="11">
        <v>0</v>
      </c>
      <c r="RQ41" s="11">
        <v>0</v>
      </c>
      <c r="RR41" s="11">
        <v>0</v>
      </c>
      <c r="RS41" s="11">
        <v>0</v>
      </c>
      <c r="RT41" s="11">
        <v>0</v>
      </c>
      <c r="RU41" s="11">
        <v>0</v>
      </c>
      <c r="RV41" s="11">
        <v>0</v>
      </c>
      <c r="RW41" s="27">
        <f t="shared" si="40"/>
        <v>0</v>
      </c>
      <c r="RX41" s="11">
        <v>0</v>
      </c>
      <c r="RY41" s="11">
        <v>0</v>
      </c>
      <c r="RZ41" s="11">
        <v>0</v>
      </c>
      <c r="SA41" s="11">
        <v>0</v>
      </c>
      <c r="SB41" s="11">
        <v>0</v>
      </c>
      <c r="SC41" s="11">
        <v>0</v>
      </c>
      <c r="SD41" s="11">
        <v>0</v>
      </c>
      <c r="SE41" s="11">
        <v>0</v>
      </c>
      <c r="SF41" s="11">
        <v>0</v>
      </c>
      <c r="SG41" s="11">
        <v>0</v>
      </c>
      <c r="SH41" s="11">
        <v>0</v>
      </c>
      <c r="SI41" s="11">
        <v>0</v>
      </c>
      <c r="SJ41" s="27">
        <f t="shared" si="41"/>
        <v>0</v>
      </c>
      <c r="SK41" s="11">
        <v>331</v>
      </c>
      <c r="SL41" s="11">
        <v>322</v>
      </c>
      <c r="SM41" s="11">
        <v>323</v>
      </c>
      <c r="SN41" s="11">
        <v>317</v>
      </c>
      <c r="SO41" s="11">
        <v>328</v>
      </c>
      <c r="SP41" s="11">
        <v>320</v>
      </c>
      <c r="SQ41" s="11">
        <v>312</v>
      </c>
      <c r="SR41" s="11">
        <v>319</v>
      </c>
      <c r="SS41" s="11">
        <v>318</v>
      </c>
      <c r="ST41" s="11">
        <v>311</v>
      </c>
      <c r="SU41" s="11">
        <v>320</v>
      </c>
      <c r="SV41" s="11">
        <v>331</v>
      </c>
      <c r="SW41" s="27">
        <f t="shared" si="42"/>
        <v>3852</v>
      </c>
      <c r="SX41" s="11" t="s">
        <v>2680</v>
      </c>
      <c r="SY41" s="11">
        <v>2791</v>
      </c>
      <c r="SZ41" s="11">
        <v>2749</v>
      </c>
      <c r="TA41" s="11">
        <v>2366</v>
      </c>
      <c r="TB41" s="11">
        <v>2654</v>
      </c>
      <c r="TC41" s="11">
        <v>3020</v>
      </c>
      <c r="TD41" s="11">
        <v>2559</v>
      </c>
      <c r="TE41" s="11">
        <v>2771</v>
      </c>
      <c r="TF41" s="11">
        <v>2808</v>
      </c>
      <c r="TG41" s="11">
        <v>2316</v>
      </c>
      <c r="TH41" s="11">
        <v>2373</v>
      </c>
      <c r="TI41" s="11">
        <v>2697</v>
      </c>
      <c r="TJ41" s="11">
        <v>2645</v>
      </c>
      <c r="TK41" s="27">
        <f t="shared" si="43"/>
        <v>31749</v>
      </c>
      <c r="TL41" s="11">
        <v>10909</v>
      </c>
      <c r="TM41" s="11">
        <v>10992</v>
      </c>
      <c r="TN41" s="11">
        <v>7852</v>
      </c>
      <c r="TO41" s="11">
        <v>4024</v>
      </c>
      <c r="TP41" s="11">
        <v>6236</v>
      </c>
      <c r="TQ41" s="11">
        <v>5261</v>
      </c>
      <c r="TR41" s="11">
        <v>6404</v>
      </c>
      <c r="TS41" s="11">
        <v>7964</v>
      </c>
      <c r="TT41" s="11">
        <v>6896</v>
      </c>
      <c r="TU41" s="11">
        <v>8020</v>
      </c>
      <c r="TV41" s="11">
        <v>8340</v>
      </c>
      <c r="TW41" s="11">
        <v>9061</v>
      </c>
      <c r="TX41" s="27">
        <f t="shared" si="44"/>
        <v>91959</v>
      </c>
      <c r="TY41" s="11">
        <v>64</v>
      </c>
      <c r="TZ41" s="11">
        <v>0</v>
      </c>
      <c r="UA41" s="11">
        <v>0</v>
      </c>
    </row>
    <row r="42" spans="1:547" ht="16" customHeight="1" x14ac:dyDescent="0.35">
      <c r="A42" s="11" t="s">
        <v>1486</v>
      </c>
      <c r="B42" s="11">
        <v>3253</v>
      </c>
      <c r="C42" s="11">
        <v>842</v>
      </c>
      <c r="D42" s="11">
        <v>2330</v>
      </c>
      <c r="E42" s="11">
        <v>81</v>
      </c>
      <c r="F42" s="11">
        <v>98</v>
      </c>
      <c r="G42" s="11">
        <v>101</v>
      </c>
      <c r="H42" s="11">
        <v>103</v>
      </c>
      <c r="I42" s="11">
        <v>107</v>
      </c>
      <c r="J42" s="11">
        <v>118</v>
      </c>
      <c r="K42" s="11">
        <v>110</v>
      </c>
      <c r="L42" s="11">
        <v>90</v>
      </c>
      <c r="M42" s="11">
        <v>95</v>
      </c>
      <c r="N42" s="11">
        <v>76</v>
      </c>
      <c r="O42" s="11">
        <v>106</v>
      </c>
      <c r="P42" s="11" t="s">
        <v>2865</v>
      </c>
      <c r="Q42" s="11">
        <v>85</v>
      </c>
      <c r="R42" s="11">
        <v>105</v>
      </c>
      <c r="S42" s="26">
        <f t="shared" si="0"/>
        <v>1194</v>
      </c>
      <c r="T42" s="11">
        <v>36</v>
      </c>
      <c r="U42" s="11">
        <v>40</v>
      </c>
      <c r="V42" s="11">
        <v>44</v>
      </c>
      <c r="W42" s="11">
        <v>43</v>
      </c>
      <c r="X42" s="11">
        <v>53</v>
      </c>
      <c r="Y42" s="11">
        <v>46</v>
      </c>
      <c r="Z42" s="11">
        <v>37</v>
      </c>
      <c r="AA42" s="11">
        <v>37</v>
      </c>
      <c r="AB42" s="11">
        <v>30</v>
      </c>
      <c r="AC42" s="11">
        <v>50</v>
      </c>
      <c r="AD42" s="11">
        <v>35</v>
      </c>
      <c r="AE42" s="11">
        <v>40</v>
      </c>
      <c r="AF42" s="26">
        <f t="shared" si="1"/>
        <v>491</v>
      </c>
      <c r="AG42" s="11">
        <v>54</v>
      </c>
      <c r="AH42" s="11">
        <v>53</v>
      </c>
      <c r="AI42" s="11">
        <v>51</v>
      </c>
      <c r="AJ42" s="11">
        <v>55</v>
      </c>
      <c r="AK42" s="11">
        <v>57</v>
      </c>
      <c r="AL42" s="11">
        <v>55</v>
      </c>
      <c r="AM42" s="11">
        <v>44</v>
      </c>
      <c r="AN42" s="11">
        <v>49</v>
      </c>
      <c r="AO42" s="11">
        <v>40</v>
      </c>
      <c r="AP42" s="11">
        <v>48</v>
      </c>
      <c r="AQ42" s="11">
        <v>42</v>
      </c>
      <c r="AR42" s="11">
        <v>55</v>
      </c>
      <c r="AS42" s="26">
        <f t="shared" si="2"/>
        <v>603</v>
      </c>
      <c r="AT42" s="11">
        <v>8</v>
      </c>
      <c r="AU42" s="11">
        <v>8</v>
      </c>
      <c r="AV42" s="11">
        <v>8</v>
      </c>
      <c r="AW42" s="11">
        <v>8</v>
      </c>
      <c r="AX42" s="11">
        <v>9</v>
      </c>
      <c r="AY42" s="11">
        <v>8</v>
      </c>
      <c r="AZ42" s="11">
        <v>9</v>
      </c>
      <c r="BA42" s="11">
        <v>9</v>
      </c>
      <c r="BB42" s="11">
        <v>9</v>
      </c>
      <c r="BC42" s="11">
        <v>9</v>
      </c>
      <c r="BD42" s="11">
        <v>6</v>
      </c>
      <c r="BE42" s="11">
        <v>10</v>
      </c>
      <c r="BF42" s="26">
        <f t="shared" si="3"/>
        <v>101</v>
      </c>
      <c r="BG42" s="11">
        <v>0</v>
      </c>
      <c r="BH42" s="11">
        <v>0</v>
      </c>
      <c r="BI42" s="11">
        <v>0</v>
      </c>
      <c r="BJ42" s="11">
        <v>0</v>
      </c>
      <c r="BK42" s="11">
        <v>0</v>
      </c>
      <c r="BL42" s="11">
        <v>0</v>
      </c>
      <c r="BM42" s="11">
        <v>0</v>
      </c>
      <c r="BN42" s="11">
        <v>0</v>
      </c>
      <c r="BO42" s="11">
        <v>0</v>
      </c>
      <c r="BP42" s="11">
        <v>0</v>
      </c>
      <c r="BQ42" s="11">
        <v>0</v>
      </c>
      <c r="BR42" s="11">
        <v>0</v>
      </c>
      <c r="BS42" s="26">
        <f t="shared" si="4"/>
        <v>0</v>
      </c>
      <c r="BT42" s="11">
        <v>1</v>
      </c>
      <c r="BU42" s="11">
        <v>1</v>
      </c>
      <c r="BV42" s="11">
        <v>0</v>
      </c>
      <c r="BW42" s="11">
        <v>1</v>
      </c>
      <c r="BX42" s="11">
        <v>2</v>
      </c>
      <c r="BY42" s="11">
        <v>0</v>
      </c>
      <c r="BZ42" s="11">
        <v>1</v>
      </c>
      <c r="CA42" s="11">
        <v>1</v>
      </c>
      <c r="CB42" s="11">
        <v>0</v>
      </c>
      <c r="CC42" s="11">
        <v>0</v>
      </c>
      <c r="CD42" s="11">
        <v>1</v>
      </c>
      <c r="CE42" s="11">
        <v>1</v>
      </c>
      <c r="CF42" s="26">
        <f t="shared" si="5"/>
        <v>9</v>
      </c>
      <c r="CG42" s="11">
        <v>1</v>
      </c>
      <c r="CH42" s="11">
        <v>1</v>
      </c>
      <c r="CI42" s="11">
        <v>0</v>
      </c>
      <c r="CJ42" s="11">
        <v>1</v>
      </c>
      <c r="CK42" s="11">
        <v>1</v>
      </c>
      <c r="CL42" s="11">
        <v>0</v>
      </c>
      <c r="CM42" s="11">
        <v>1</v>
      </c>
      <c r="CN42" s="11">
        <v>1</v>
      </c>
      <c r="CO42" s="11">
        <v>0</v>
      </c>
      <c r="CP42" s="11">
        <v>0</v>
      </c>
      <c r="CQ42" s="11">
        <v>1</v>
      </c>
      <c r="CR42" s="11">
        <v>1</v>
      </c>
      <c r="CS42" s="26">
        <f t="shared" si="6"/>
        <v>8</v>
      </c>
      <c r="CT42" s="11">
        <v>0</v>
      </c>
      <c r="CU42" s="11">
        <v>0</v>
      </c>
      <c r="CV42" s="11">
        <v>0</v>
      </c>
      <c r="CW42" s="11">
        <v>0</v>
      </c>
      <c r="CX42" s="11">
        <v>1</v>
      </c>
      <c r="CY42" s="11">
        <v>0</v>
      </c>
      <c r="CZ42" s="11">
        <v>0</v>
      </c>
      <c r="DA42" s="11">
        <v>0</v>
      </c>
      <c r="DB42" s="11">
        <v>0</v>
      </c>
      <c r="DC42" s="11">
        <v>0</v>
      </c>
      <c r="DD42" s="11">
        <v>0</v>
      </c>
      <c r="DE42" s="11">
        <v>0</v>
      </c>
      <c r="DF42" s="26">
        <f t="shared" si="7"/>
        <v>1</v>
      </c>
      <c r="DG42" s="11">
        <v>0</v>
      </c>
      <c r="DH42" s="11">
        <v>0</v>
      </c>
      <c r="DI42" s="11">
        <v>0</v>
      </c>
      <c r="DJ42" s="11">
        <v>0</v>
      </c>
      <c r="DK42" s="11">
        <v>0</v>
      </c>
      <c r="DL42" s="11">
        <v>0</v>
      </c>
      <c r="DM42" s="11">
        <v>0</v>
      </c>
      <c r="DN42" s="11">
        <v>0</v>
      </c>
      <c r="DO42" s="11">
        <v>0</v>
      </c>
      <c r="DP42" s="11">
        <v>0</v>
      </c>
      <c r="DQ42" s="11">
        <v>0</v>
      </c>
      <c r="DR42" s="11">
        <v>0</v>
      </c>
      <c r="DS42" s="26">
        <f t="shared" si="8"/>
        <v>0</v>
      </c>
      <c r="DT42" s="11">
        <v>0</v>
      </c>
      <c r="DU42" s="11">
        <v>0</v>
      </c>
      <c r="DV42" s="11">
        <v>0</v>
      </c>
      <c r="DW42" s="11">
        <v>0</v>
      </c>
      <c r="DX42" s="11">
        <v>0</v>
      </c>
      <c r="DY42" s="11">
        <v>0</v>
      </c>
      <c r="DZ42" s="11">
        <v>0</v>
      </c>
      <c r="EA42" s="11">
        <v>0</v>
      </c>
      <c r="EB42" s="11">
        <v>0</v>
      </c>
      <c r="EC42" s="11">
        <v>0</v>
      </c>
      <c r="ED42" s="11">
        <v>0</v>
      </c>
      <c r="EE42" s="11">
        <v>0</v>
      </c>
      <c r="EF42" s="26">
        <f t="shared" si="9"/>
        <v>0</v>
      </c>
      <c r="EG42" s="9">
        <f t="shared" si="10"/>
        <v>1195</v>
      </c>
      <c r="EH42" s="9">
        <f t="shared" si="11"/>
        <v>9</v>
      </c>
      <c r="EI42" s="11">
        <v>2842</v>
      </c>
      <c r="EJ42" s="11">
        <v>1809</v>
      </c>
      <c r="EK42" s="11">
        <v>2241</v>
      </c>
      <c r="EL42" s="11">
        <v>3203</v>
      </c>
      <c r="EM42" s="11">
        <v>4596</v>
      </c>
      <c r="EN42" s="11">
        <v>1920</v>
      </c>
      <c r="EO42" s="11">
        <v>1740</v>
      </c>
      <c r="EP42" s="11">
        <v>1854</v>
      </c>
      <c r="EQ42" s="11">
        <v>1171</v>
      </c>
      <c r="ER42" s="11">
        <v>1925</v>
      </c>
      <c r="ES42" s="11">
        <v>1404</v>
      </c>
      <c r="ET42" s="11">
        <v>2970</v>
      </c>
      <c r="EU42" s="26">
        <f t="shared" si="12"/>
        <v>27675</v>
      </c>
      <c r="EV42" s="11">
        <v>876</v>
      </c>
      <c r="EW42" s="11">
        <v>447</v>
      </c>
      <c r="EX42" s="11">
        <v>750</v>
      </c>
      <c r="EY42" s="11">
        <v>786</v>
      </c>
      <c r="EZ42" s="11">
        <v>1661</v>
      </c>
      <c r="FA42" s="11">
        <v>633</v>
      </c>
      <c r="FB42" s="11">
        <v>675</v>
      </c>
      <c r="FC42" s="11">
        <v>540</v>
      </c>
      <c r="FD42" s="11">
        <v>463</v>
      </c>
      <c r="FE42" s="11">
        <v>590</v>
      </c>
      <c r="FF42" s="11">
        <v>437</v>
      </c>
      <c r="FG42" s="11">
        <v>683</v>
      </c>
      <c r="FH42" s="26">
        <f t="shared" si="13"/>
        <v>8541</v>
      </c>
      <c r="FI42" s="11">
        <v>1691</v>
      </c>
      <c r="FJ42" s="11">
        <v>1168</v>
      </c>
      <c r="FK42" s="11">
        <v>1299</v>
      </c>
      <c r="FL42" s="11">
        <v>2140</v>
      </c>
      <c r="FM42" s="11">
        <v>2750</v>
      </c>
      <c r="FN42" s="11">
        <v>1116</v>
      </c>
      <c r="FO42" s="11">
        <v>875</v>
      </c>
      <c r="FP42" s="11">
        <v>1127</v>
      </c>
      <c r="FQ42" s="11">
        <v>489</v>
      </c>
      <c r="FR42" s="11">
        <v>1163</v>
      </c>
      <c r="FS42" s="11">
        <v>727</v>
      </c>
      <c r="FT42" s="11">
        <v>2037</v>
      </c>
      <c r="FU42" s="26">
        <f t="shared" si="14"/>
        <v>16582</v>
      </c>
      <c r="FV42" s="11">
        <v>275</v>
      </c>
      <c r="FW42" s="11">
        <v>194</v>
      </c>
      <c r="FX42" s="11">
        <v>192</v>
      </c>
      <c r="FY42" s="11">
        <v>277</v>
      </c>
      <c r="FZ42" s="11">
        <v>185</v>
      </c>
      <c r="GA42" s="11">
        <v>171</v>
      </c>
      <c r="GB42" s="11">
        <v>190</v>
      </c>
      <c r="GC42" s="11">
        <v>187</v>
      </c>
      <c r="GD42" s="11">
        <v>219</v>
      </c>
      <c r="GE42" s="11">
        <v>172</v>
      </c>
      <c r="GF42" s="11">
        <v>240</v>
      </c>
      <c r="GG42" s="11">
        <v>250</v>
      </c>
      <c r="GH42" s="26">
        <f t="shared" si="15"/>
        <v>2552</v>
      </c>
      <c r="GI42" s="11">
        <v>7</v>
      </c>
      <c r="GJ42" s="11">
        <v>7</v>
      </c>
      <c r="GK42" s="11">
        <v>0</v>
      </c>
      <c r="GL42" s="11">
        <v>7</v>
      </c>
      <c r="GM42" s="11">
        <v>35</v>
      </c>
      <c r="GN42" s="11">
        <v>0</v>
      </c>
      <c r="GO42" s="11">
        <v>5</v>
      </c>
      <c r="GP42" s="11">
        <v>6</v>
      </c>
      <c r="GQ42" s="11">
        <v>0</v>
      </c>
      <c r="GR42" s="11">
        <v>0</v>
      </c>
      <c r="GS42" s="11">
        <v>5</v>
      </c>
      <c r="GT42" s="11">
        <v>6</v>
      </c>
      <c r="GU42" s="26">
        <f t="shared" si="16"/>
        <v>78</v>
      </c>
      <c r="GV42" s="11">
        <v>7</v>
      </c>
      <c r="GW42" s="11">
        <v>7</v>
      </c>
      <c r="GX42" s="11">
        <v>0</v>
      </c>
      <c r="GY42" s="11">
        <v>7</v>
      </c>
      <c r="GZ42" s="11">
        <v>7</v>
      </c>
      <c r="HA42" s="11">
        <v>0</v>
      </c>
      <c r="HB42" s="11">
        <v>5</v>
      </c>
      <c r="HC42" s="11">
        <v>6</v>
      </c>
      <c r="HD42" s="11">
        <v>0</v>
      </c>
      <c r="HE42" s="11">
        <v>0</v>
      </c>
      <c r="HF42" s="11">
        <v>5</v>
      </c>
      <c r="HG42" s="11">
        <v>6</v>
      </c>
      <c r="HH42" s="26">
        <f t="shared" si="17"/>
        <v>50</v>
      </c>
      <c r="HI42" s="11">
        <v>0</v>
      </c>
      <c r="HJ42" s="11">
        <v>0</v>
      </c>
      <c r="HK42" s="11">
        <v>0</v>
      </c>
      <c r="HL42" s="11">
        <v>0</v>
      </c>
      <c r="HM42" s="11">
        <v>28</v>
      </c>
      <c r="HN42" s="11">
        <v>0</v>
      </c>
      <c r="HO42" s="11">
        <v>0</v>
      </c>
      <c r="HP42" s="11">
        <v>0</v>
      </c>
      <c r="HQ42" s="11">
        <v>0</v>
      </c>
      <c r="HR42" s="11">
        <v>0</v>
      </c>
      <c r="HS42" s="11">
        <v>0</v>
      </c>
      <c r="HT42" s="11">
        <v>0</v>
      </c>
      <c r="HU42" s="26">
        <f t="shared" si="18"/>
        <v>28</v>
      </c>
      <c r="HV42" s="11">
        <v>0</v>
      </c>
      <c r="HW42" s="11">
        <v>0</v>
      </c>
      <c r="HX42" s="11">
        <v>0</v>
      </c>
      <c r="HY42" s="11">
        <v>0</v>
      </c>
      <c r="HZ42" s="11">
        <v>0</v>
      </c>
      <c r="IA42" s="11">
        <v>0</v>
      </c>
      <c r="IB42" s="11">
        <v>0</v>
      </c>
      <c r="IC42" s="11">
        <v>0</v>
      </c>
      <c r="ID42" s="11">
        <v>0</v>
      </c>
      <c r="IE42" s="11">
        <v>0</v>
      </c>
      <c r="IF42" s="11">
        <v>0</v>
      </c>
      <c r="IG42" s="11">
        <v>0</v>
      </c>
      <c r="IH42" s="26">
        <f t="shared" si="19"/>
        <v>0</v>
      </c>
      <c r="II42" s="9">
        <f t="shared" si="20"/>
        <v>27675</v>
      </c>
      <c r="IJ42" s="9">
        <f t="shared" si="21"/>
        <v>78</v>
      </c>
      <c r="IK42" s="11">
        <v>6865</v>
      </c>
      <c r="IL42" s="11">
        <v>7239</v>
      </c>
      <c r="IM42" s="11">
        <v>6141</v>
      </c>
      <c r="IN42" s="11">
        <v>7783</v>
      </c>
      <c r="IO42" s="11">
        <v>8462</v>
      </c>
      <c r="IP42" s="11">
        <v>6719</v>
      </c>
      <c r="IQ42" s="11">
        <v>7076</v>
      </c>
      <c r="IR42" s="11">
        <v>6196</v>
      </c>
      <c r="IS42" s="11">
        <v>6129</v>
      </c>
      <c r="IT42" s="11">
        <v>7286</v>
      </c>
      <c r="IU42" s="11">
        <v>5960</v>
      </c>
      <c r="IV42" s="11">
        <v>6025</v>
      </c>
      <c r="IW42" s="27">
        <f t="shared" si="22"/>
        <v>81881</v>
      </c>
      <c r="IX42" s="11">
        <v>5623</v>
      </c>
      <c r="IY42" s="11">
        <v>6145</v>
      </c>
      <c r="IZ42" s="11">
        <v>5324</v>
      </c>
      <c r="JA42" s="11">
        <v>6061</v>
      </c>
      <c r="JB42" s="11">
        <v>6279</v>
      </c>
      <c r="JC42" s="11">
        <v>5671</v>
      </c>
      <c r="JD42" s="11">
        <v>5869</v>
      </c>
      <c r="JE42" s="11">
        <v>5343</v>
      </c>
      <c r="JF42" s="11">
        <v>5431</v>
      </c>
      <c r="JG42" s="11">
        <v>6404</v>
      </c>
      <c r="JH42" s="11">
        <v>4882</v>
      </c>
      <c r="JI42" s="11">
        <v>5052</v>
      </c>
      <c r="JJ42" s="27">
        <f t="shared" si="23"/>
        <v>68084</v>
      </c>
      <c r="JK42" s="11">
        <v>1185</v>
      </c>
      <c r="JL42" s="11">
        <v>1046</v>
      </c>
      <c r="JM42" s="11">
        <v>795</v>
      </c>
      <c r="JN42" s="11">
        <v>1686</v>
      </c>
      <c r="JO42" s="11">
        <v>2133</v>
      </c>
      <c r="JP42" s="11">
        <v>1010</v>
      </c>
      <c r="JQ42" s="11">
        <v>1164</v>
      </c>
      <c r="JR42" s="11">
        <v>831</v>
      </c>
      <c r="JS42" s="11">
        <v>666</v>
      </c>
      <c r="JT42" s="11">
        <v>837</v>
      </c>
      <c r="JU42" s="11">
        <v>1038</v>
      </c>
      <c r="JV42" s="11">
        <v>931</v>
      </c>
      <c r="JW42" s="27">
        <f t="shared" si="24"/>
        <v>13322</v>
      </c>
      <c r="JX42" s="11">
        <v>57</v>
      </c>
      <c r="JY42" s="11">
        <v>48</v>
      </c>
      <c r="JZ42" s="11">
        <v>22</v>
      </c>
      <c r="KA42" s="11">
        <v>36</v>
      </c>
      <c r="KB42" s="11">
        <v>50</v>
      </c>
      <c r="KC42" s="11">
        <v>38</v>
      </c>
      <c r="KD42" s="11">
        <v>43</v>
      </c>
      <c r="KE42" s="11">
        <v>22</v>
      </c>
      <c r="KF42" s="11">
        <v>32</v>
      </c>
      <c r="KG42" s="11">
        <v>45</v>
      </c>
      <c r="KH42" s="11">
        <v>40</v>
      </c>
      <c r="KI42" s="11">
        <v>42</v>
      </c>
      <c r="KJ42" s="27">
        <f t="shared" si="25"/>
        <v>475</v>
      </c>
      <c r="KK42" s="11">
        <v>176</v>
      </c>
      <c r="KL42" s="11">
        <v>192</v>
      </c>
      <c r="KM42" s="11">
        <v>244</v>
      </c>
      <c r="KN42" s="11">
        <v>211</v>
      </c>
      <c r="KO42" s="11">
        <v>160</v>
      </c>
      <c r="KP42" s="11">
        <v>212</v>
      </c>
      <c r="KQ42" s="11">
        <v>213</v>
      </c>
      <c r="KR42" s="11">
        <v>182</v>
      </c>
      <c r="KS42" s="11">
        <v>227</v>
      </c>
      <c r="KT42" s="11">
        <v>277</v>
      </c>
      <c r="KU42" s="11">
        <v>212</v>
      </c>
      <c r="KV42" s="11">
        <v>178</v>
      </c>
      <c r="KW42" s="27">
        <f t="shared" si="26"/>
        <v>2484</v>
      </c>
      <c r="KX42" s="11">
        <v>176</v>
      </c>
      <c r="KY42" s="11">
        <v>192</v>
      </c>
      <c r="KZ42" s="11">
        <v>244</v>
      </c>
      <c r="LA42" s="11">
        <v>207</v>
      </c>
      <c r="LB42" s="11">
        <v>158</v>
      </c>
      <c r="LC42" s="11">
        <v>211</v>
      </c>
      <c r="LD42" s="11">
        <v>213</v>
      </c>
      <c r="LE42" s="11">
        <v>182</v>
      </c>
      <c r="LF42" s="11">
        <v>227</v>
      </c>
      <c r="LG42" s="11">
        <v>277</v>
      </c>
      <c r="LH42" s="11">
        <v>212</v>
      </c>
      <c r="LI42" s="11">
        <v>178</v>
      </c>
      <c r="LJ42" s="27">
        <f t="shared" si="27"/>
        <v>2477</v>
      </c>
      <c r="LK42" s="11">
        <v>0</v>
      </c>
      <c r="LL42" s="11">
        <v>0</v>
      </c>
      <c r="LM42" s="11">
        <v>0</v>
      </c>
      <c r="LN42" s="11">
        <v>4</v>
      </c>
      <c r="LO42" s="11">
        <v>2</v>
      </c>
      <c r="LP42" s="11">
        <v>1</v>
      </c>
      <c r="LQ42" s="11">
        <v>0</v>
      </c>
      <c r="LR42" s="11">
        <v>0</v>
      </c>
      <c r="LS42" s="11">
        <v>0</v>
      </c>
      <c r="LT42" s="11">
        <v>0</v>
      </c>
      <c r="LU42" s="11">
        <v>0</v>
      </c>
      <c r="LV42" s="11">
        <v>0</v>
      </c>
      <c r="LW42" s="27">
        <f t="shared" si="28"/>
        <v>7</v>
      </c>
      <c r="LX42" s="11">
        <v>0</v>
      </c>
      <c r="LY42" s="11">
        <v>0</v>
      </c>
      <c r="LZ42" s="11">
        <v>0</v>
      </c>
      <c r="MA42" s="11">
        <v>0</v>
      </c>
      <c r="MB42" s="11">
        <v>0</v>
      </c>
      <c r="MC42" s="11">
        <v>0</v>
      </c>
      <c r="MD42" s="11">
        <v>0</v>
      </c>
      <c r="ME42" s="11">
        <v>0</v>
      </c>
      <c r="MF42" s="11">
        <v>0</v>
      </c>
      <c r="MG42" s="11">
        <v>0</v>
      </c>
      <c r="MH42" s="11">
        <v>0</v>
      </c>
      <c r="MI42" s="11">
        <v>0</v>
      </c>
      <c r="MJ42" s="27">
        <f t="shared" si="29"/>
        <v>0</v>
      </c>
      <c r="MK42" s="11">
        <v>1003</v>
      </c>
      <c r="ML42" s="11">
        <v>1051</v>
      </c>
      <c r="MM42" s="11">
        <v>977</v>
      </c>
      <c r="MN42" s="11">
        <v>1075</v>
      </c>
      <c r="MO42" s="11">
        <v>1047</v>
      </c>
      <c r="MP42" s="11">
        <v>1047</v>
      </c>
      <c r="MQ42" s="11">
        <v>1049</v>
      </c>
      <c r="MR42" s="11">
        <v>978</v>
      </c>
      <c r="MS42" s="11">
        <v>898</v>
      </c>
      <c r="MT42" s="11">
        <v>1026</v>
      </c>
      <c r="MU42" s="11">
        <v>883</v>
      </c>
      <c r="MV42" s="11">
        <v>928</v>
      </c>
      <c r="MW42" s="27">
        <f t="shared" si="30"/>
        <v>11962</v>
      </c>
      <c r="MX42" s="11">
        <v>971</v>
      </c>
      <c r="MY42" s="11">
        <v>1005</v>
      </c>
      <c r="MZ42" s="11">
        <v>938</v>
      </c>
      <c r="NA42" s="11">
        <v>1006</v>
      </c>
      <c r="NB42" s="11">
        <v>976</v>
      </c>
      <c r="NC42" s="11">
        <v>991</v>
      </c>
      <c r="ND42" s="11">
        <v>990</v>
      </c>
      <c r="NE42" s="11">
        <v>942</v>
      </c>
      <c r="NF42" s="11">
        <v>848</v>
      </c>
      <c r="NG42" s="11">
        <v>976</v>
      </c>
      <c r="NH42" s="11">
        <v>842</v>
      </c>
      <c r="NI42" s="11">
        <v>903</v>
      </c>
      <c r="NJ42" s="27">
        <f t="shared" si="31"/>
        <v>11388</v>
      </c>
      <c r="NK42" s="11">
        <v>19</v>
      </c>
      <c r="NL42" s="11">
        <v>18</v>
      </c>
      <c r="NM42" s="11">
        <v>26</v>
      </c>
      <c r="NN42" s="11">
        <v>46</v>
      </c>
      <c r="NO42" s="11">
        <v>41</v>
      </c>
      <c r="NP42" s="11">
        <v>16</v>
      </c>
      <c r="NQ42" s="11">
        <v>16</v>
      </c>
      <c r="NR42" s="11">
        <v>18</v>
      </c>
      <c r="NS42" s="11">
        <v>30</v>
      </c>
      <c r="NT42" s="11">
        <v>37</v>
      </c>
      <c r="NU42" s="11">
        <v>26</v>
      </c>
      <c r="NV42" s="11">
        <v>10</v>
      </c>
      <c r="NW42" s="27">
        <f t="shared" si="32"/>
        <v>303</v>
      </c>
      <c r="NX42" s="11">
        <v>13</v>
      </c>
      <c r="NY42" s="11">
        <v>28</v>
      </c>
      <c r="NZ42" s="11">
        <v>13</v>
      </c>
      <c r="OA42" s="11">
        <v>23</v>
      </c>
      <c r="OB42" s="11">
        <v>30</v>
      </c>
      <c r="OC42" s="11">
        <v>40</v>
      </c>
      <c r="OD42" s="11">
        <v>43</v>
      </c>
      <c r="OE42" s="11">
        <v>18</v>
      </c>
      <c r="OF42" s="11">
        <v>20</v>
      </c>
      <c r="OG42" s="11">
        <v>13</v>
      </c>
      <c r="OH42" s="11">
        <v>15</v>
      </c>
      <c r="OI42" s="11">
        <v>15</v>
      </c>
      <c r="OJ42" s="27">
        <f t="shared" si="33"/>
        <v>271</v>
      </c>
      <c r="OK42" s="11">
        <v>1294</v>
      </c>
      <c r="OL42" s="11">
        <v>1490</v>
      </c>
      <c r="OM42" s="11">
        <v>1323</v>
      </c>
      <c r="ON42" s="11">
        <v>1428</v>
      </c>
      <c r="OO42" s="11">
        <v>1360</v>
      </c>
      <c r="OP42" s="11">
        <v>1372</v>
      </c>
      <c r="OQ42" s="11">
        <v>1277</v>
      </c>
      <c r="OR42" s="11">
        <v>1369</v>
      </c>
      <c r="OS42" s="11">
        <v>1239</v>
      </c>
      <c r="OT42" s="11">
        <v>1439</v>
      </c>
      <c r="OU42" s="11">
        <v>1271</v>
      </c>
      <c r="OV42" s="11">
        <v>1387</v>
      </c>
      <c r="OW42" s="27">
        <f t="shared" si="34"/>
        <v>16249</v>
      </c>
      <c r="OX42" s="11">
        <v>1221</v>
      </c>
      <c r="OY42" s="11">
        <v>1424</v>
      </c>
      <c r="OZ42" s="11">
        <v>1255</v>
      </c>
      <c r="PA42" s="11">
        <v>1354</v>
      </c>
      <c r="PB42" s="11">
        <v>1288</v>
      </c>
      <c r="PC42" s="11">
        <v>1309</v>
      </c>
      <c r="PD42" s="11">
        <v>1225</v>
      </c>
      <c r="PE42" s="11">
        <v>1281</v>
      </c>
      <c r="PF42" s="11">
        <v>1167</v>
      </c>
      <c r="PG42" s="11">
        <v>1339</v>
      </c>
      <c r="PH42" s="11">
        <v>1197</v>
      </c>
      <c r="PI42" s="11">
        <v>1319</v>
      </c>
      <c r="PJ42" s="27">
        <f t="shared" si="35"/>
        <v>15379</v>
      </c>
      <c r="PK42" s="11">
        <v>51</v>
      </c>
      <c r="PL42" s="11">
        <v>51</v>
      </c>
      <c r="PM42" s="11">
        <v>48</v>
      </c>
      <c r="PN42" s="11">
        <v>56</v>
      </c>
      <c r="PO42" s="11">
        <v>50</v>
      </c>
      <c r="PP42" s="11">
        <v>47</v>
      </c>
      <c r="PQ42" s="11">
        <v>31</v>
      </c>
      <c r="PR42" s="11">
        <v>58</v>
      </c>
      <c r="PS42" s="11">
        <v>48</v>
      </c>
      <c r="PT42" s="11">
        <v>69</v>
      </c>
      <c r="PU42" s="11">
        <v>51</v>
      </c>
      <c r="PV42" s="11">
        <v>47</v>
      </c>
      <c r="PW42" s="27">
        <f t="shared" si="36"/>
        <v>607</v>
      </c>
      <c r="PX42" s="11">
        <v>22</v>
      </c>
      <c r="PY42" s="11">
        <v>15</v>
      </c>
      <c r="PZ42" s="11">
        <v>20</v>
      </c>
      <c r="QA42" s="11">
        <v>18</v>
      </c>
      <c r="QB42" s="11">
        <v>22</v>
      </c>
      <c r="QC42" s="11">
        <v>16</v>
      </c>
      <c r="QD42" s="11">
        <v>21</v>
      </c>
      <c r="QE42" s="11">
        <v>30</v>
      </c>
      <c r="QF42" s="11">
        <v>24</v>
      </c>
      <c r="QG42" s="11">
        <v>31</v>
      </c>
      <c r="QH42" s="11">
        <v>23</v>
      </c>
      <c r="QI42" s="11">
        <v>21</v>
      </c>
      <c r="QJ42" s="27">
        <f t="shared" si="37"/>
        <v>263</v>
      </c>
      <c r="QK42" s="11">
        <v>21066</v>
      </c>
      <c r="QL42" s="11">
        <v>22982</v>
      </c>
      <c r="QM42" s="11">
        <v>19192</v>
      </c>
      <c r="QN42" s="11">
        <v>22821</v>
      </c>
      <c r="QO42" s="11">
        <v>18036</v>
      </c>
      <c r="QP42" s="11">
        <v>23456</v>
      </c>
      <c r="QQ42" s="11">
        <v>27424</v>
      </c>
      <c r="QR42" s="11">
        <v>23635</v>
      </c>
      <c r="QS42" s="11">
        <v>19934</v>
      </c>
      <c r="QT42" s="11">
        <v>20363</v>
      </c>
      <c r="QU42" s="11">
        <v>20910</v>
      </c>
      <c r="QV42" s="11">
        <v>23729</v>
      </c>
      <c r="QW42" s="27">
        <f t="shared" si="38"/>
        <v>263548</v>
      </c>
      <c r="QX42" s="11">
        <v>0</v>
      </c>
      <c r="QY42" s="11">
        <v>0</v>
      </c>
      <c r="QZ42" s="11">
        <v>0</v>
      </c>
      <c r="RA42" s="11">
        <v>0</v>
      </c>
      <c r="RB42" s="11">
        <v>0</v>
      </c>
      <c r="RC42" s="11">
        <v>0</v>
      </c>
      <c r="RD42" s="11">
        <v>0</v>
      </c>
      <c r="RE42" s="11">
        <v>0</v>
      </c>
      <c r="RF42" s="11">
        <v>0</v>
      </c>
      <c r="RG42" s="11">
        <v>0</v>
      </c>
      <c r="RH42" s="11">
        <v>0</v>
      </c>
      <c r="RI42" s="11">
        <v>0</v>
      </c>
      <c r="RJ42" s="27">
        <f t="shared" si="39"/>
        <v>0</v>
      </c>
      <c r="RK42" s="11">
        <v>0</v>
      </c>
      <c r="RL42" s="11">
        <v>0</v>
      </c>
      <c r="RM42" s="11">
        <v>0</v>
      </c>
      <c r="RN42" s="11">
        <v>0</v>
      </c>
      <c r="RO42" s="11">
        <v>0</v>
      </c>
      <c r="RP42" s="11">
        <v>0</v>
      </c>
      <c r="RQ42" s="11">
        <v>0</v>
      </c>
      <c r="RR42" s="11">
        <v>0</v>
      </c>
      <c r="RS42" s="11">
        <v>0</v>
      </c>
      <c r="RT42" s="11">
        <v>0</v>
      </c>
      <c r="RU42" s="11">
        <v>0</v>
      </c>
      <c r="RV42" s="11">
        <v>0</v>
      </c>
      <c r="RW42" s="27">
        <f t="shared" si="40"/>
        <v>0</v>
      </c>
      <c r="RX42" s="11">
        <v>0</v>
      </c>
      <c r="RY42" s="11">
        <v>0</v>
      </c>
      <c r="RZ42" s="11">
        <v>0</v>
      </c>
      <c r="SA42" s="11">
        <v>0</v>
      </c>
      <c r="SB42" s="11">
        <v>0</v>
      </c>
      <c r="SC42" s="11">
        <v>0</v>
      </c>
      <c r="SD42" s="11">
        <v>0</v>
      </c>
      <c r="SE42" s="11">
        <v>0</v>
      </c>
      <c r="SF42" s="11">
        <v>0</v>
      </c>
      <c r="SG42" s="11">
        <v>0</v>
      </c>
      <c r="SH42" s="11">
        <v>0</v>
      </c>
      <c r="SI42" s="11">
        <v>0</v>
      </c>
      <c r="SJ42" s="27">
        <f t="shared" si="41"/>
        <v>0</v>
      </c>
      <c r="SK42" s="11">
        <v>334</v>
      </c>
      <c r="SL42" s="11">
        <v>335</v>
      </c>
      <c r="SM42" s="11">
        <v>334</v>
      </c>
      <c r="SN42" s="11">
        <v>336</v>
      </c>
      <c r="SO42" s="11">
        <v>335</v>
      </c>
      <c r="SP42" s="11">
        <v>332</v>
      </c>
      <c r="SQ42" s="11">
        <v>319</v>
      </c>
      <c r="SR42" s="11">
        <v>330</v>
      </c>
      <c r="SS42" s="11">
        <v>330</v>
      </c>
      <c r="ST42" s="11">
        <v>328</v>
      </c>
      <c r="SU42" s="11">
        <v>317</v>
      </c>
      <c r="SV42" s="11">
        <v>321</v>
      </c>
      <c r="SW42" s="27">
        <f t="shared" si="42"/>
        <v>3951</v>
      </c>
      <c r="SX42" s="11" t="s">
        <v>2681</v>
      </c>
      <c r="SY42" s="11">
        <v>742</v>
      </c>
      <c r="SZ42" s="11">
        <v>734</v>
      </c>
      <c r="TA42" s="11">
        <v>790</v>
      </c>
      <c r="TB42" s="11">
        <v>896</v>
      </c>
      <c r="TC42" s="11">
        <v>849</v>
      </c>
      <c r="TD42" s="11">
        <v>852</v>
      </c>
      <c r="TE42" s="11">
        <v>977</v>
      </c>
      <c r="TF42" s="11">
        <v>1133</v>
      </c>
      <c r="TG42" s="11">
        <v>711</v>
      </c>
      <c r="TH42" s="11">
        <v>1104</v>
      </c>
      <c r="TI42" s="11">
        <v>1116</v>
      </c>
      <c r="TJ42" s="11">
        <v>1198</v>
      </c>
      <c r="TK42" s="27">
        <f t="shared" si="43"/>
        <v>11102</v>
      </c>
      <c r="TL42" s="11">
        <v>0</v>
      </c>
      <c r="TM42" s="11">
        <v>0</v>
      </c>
      <c r="TN42" s="11">
        <v>0</v>
      </c>
      <c r="TO42" s="11">
        <v>0</v>
      </c>
      <c r="TP42" s="11">
        <v>0</v>
      </c>
      <c r="TQ42" s="11">
        <v>0</v>
      </c>
      <c r="TR42" s="11">
        <v>0</v>
      </c>
      <c r="TS42" s="11">
        <v>0</v>
      </c>
      <c r="TT42" s="11">
        <v>0</v>
      </c>
      <c r="TU42" s="11">
        <v>0</v>
      </c>
      <c r="TV42" s="11">
        <v>0</v>
      </c>
      <c r="TW42" s="11">
        <v>0</v>
      </c>
      <c r="TX42" s="27">
        <f t="shared" si="44"/>
        <v>0</v>
      </c>
      <c r="TY42" s="11">
        <v>44</v>
      </c>
      <c r="TZ42" s="11">
        <v>0</v>
      </c>
      <c r="UA42" s="11">
        <v>0</v>
      </c>
    </row>
    <row r="43" spans="1:547" ht="16" customHeight="1" x14ac:dyDescent="0.35">
      <c r="A43" s="11" t="s">
        <v>2682</v>
      </c>
      <c r="B43" s="11">
        <v>30506</v>
      </c>
      <c r="C43" s="11"/>
      <c r="D43" s="11">
        <v>17971</v>
      </c>
      <c r="E43" s="11"/>
      <c r="F43" s="11">
        <v>314</v>
      </c>
      <c r="G43" s="11">
        <v>342</v>
      </c>
      <c r="H43" s="11">
        <v>313</v>
      </c>
      <c r="I43" s="11">
        <v>296</v>
      </c>
      <c r="J43" s="11">
        <v>225</v>
      </c>
      <c r="K43" s="11">
        <v>267</v>
      </c>
      <c r="L43" s="11">
        <v>383</v>
      </c>
      <c r="M43" s="11">
        <v>377</v>
      </c>
      <c r="N43" s="11">
        <v>273</v>
      </c>
      <c r="O43" s="11">
        <v>332</v>
      </c>
      <c r="P43" s="11" t="s">
        <v>2862</v>
      </c>
      <c r="Q43" s="11">
        <v>299</v>
      </c>
      <c r="R43" s="11">
        <v>340</v>
      </c>
      <c r="S43" s="26">
        <f t="shared" si="0"/>
        <v>3761</v>
      </c>
      <c r="T43" s="11">
        <v>0</v>
      </c>
      <c r="U43" s="11">
        <v>0</v>
      </c>
      <c r="V43" s="11">
        <v>0</v>
      </c>
      <c r="W43" s="11">
        <v>0</v>
      </c>
      <c r="X43" s="11">
        <v>0</v>
      </c>
      <c r="Y43" s="11">
        <v>0</v>
      </c>
      <c r="Z43" s="11">
        <v>0</v>
      </c>
      <c r="AA43" s="11">
        <v>0</v>
      </c>
      <c r="AB43" s="11">
        <v>0</v>
      </c>
      <c r="AC43" s="11">
        <v>0</v>
      </c>
      <c r="AD43" s="11">
        <v>0</v>
      </c>
      <c r="AE43" s="11">
        <v>0</v>
      </c>
      <c r="AF43" s="26">
        <f t="shared" si="1"/>
        <v>0</v>
      </c>
      <c r="AG43" s="11">
        <v>0</v>
      </c>
      <c r="AH43" s="11">
        <v>0</v>
      </c>
      <c r="AI43" s="11">
        <v>0</v>
      </c>
      <c r="AJ43" s="11">
        <v>0</v>
      </c>
      <c r="AK43" s="11">
        <v>0</v>
      </c>
      <c r="AL43" s="11">
        <v>0</v>
      </c>
      <c r="AM43" s="11">
        <v>0</v>
      </c>
      <c r="AN43" s="11">
        <v>0</v>
      </c>
      <c r="AO43" s="11">
        <v>0</v>
      </c>
      <c r="AP43" s="11">
        <v>0</v>
      </c>
      <c r="AQ43" s="11">
        <v>0</v>
      </c>
      <c r="AR43" s="11">
        <v>0</v>
      </c>
      <c r="AS43" s="26">
        <f t="shared" si="2"/>
        <v>0</v>
      </c>
      <c r="AT43" s="11">
        <v>0</v>
      </c>
      <c r="AU43" s="11">
        <v>0</v>
      </c>
      <c r="AV43" s="11">
        <v>0</v>
      </c>
      <c r="AW43" s="11">
        <v>0</v>
      </c>
      <c r="AX43" s="11">
        <v>0</v>
      </c>
      <c r="AY43" s="11">
        <v>0</v>
      </c>
      <c r="AZ43" s="11">
        <v>0</v>
      </c>
      <c r="BA43" s="11">
        <v>0</v>
      </c>
      <c r="BB43" s="11">
        <v>0</v>
      </c>
      <c r="BC43" s="11">
        <v>0</v>
      </c>
      <c r="BD43" s="11">
        <v>0</v>
      </c>
      <c r="BE43" s="11">
        <v>0</v>
      </c>
      <c r="BF43" s="26">
        <f t="shared" si="3"/>
        <v>0</v>
      </c>
      <c r="BG43" s="11">
        <v>0</v>
      </c>
      <c r="BH43" s="11">
        <v>0</v>
      </c>
      <c r="BI43" s="11">
        <v>0</v>
      </c>
      <c r="BJ43" s="11">
        <v>0</v>
      </c>
      <c r="BK43" s="11">
        <v>0</v>
      </c>
      <c r="BL43" s="11">
        <v>0</v>
      </c>
      <c r="BM43" s="11">
        <v>0</v>
      </c>
      <c r="BN43" s="11">
        <v>0</v>
      </c>
      <c r="BO43" s="11">
        <v>0</v>
      </c>
      <c r="BP43" s="11">
        <v>0</v>
      </c>
      <c r="BQ43" s="11">
        <v>0</v>
      </c>
      <c r="BR43" s="11">
        <v>0</v>
      </c>
      <c r="BS43" s="26">
        <f t="shared" si="4"/>
        <v>0</v>
      </c>
      <c r="BT43" s="11">
        <v>2</v>
      </c>
      <c r="BU43" s="11">
        <v>2</v>
      </c>
      <c r="BV43" s="11">
        <v>1</v>
      </c>
      <c r="BW43" s="11">
        <v>4</v>
      </c>
      <c r="BX43" s="11">
        <v>2</v>
      </c>
      <c r="BY43" s="11">
        <v>2</v>
      </c>
      <c r="BZ43" s="11">
        <v>2</v>
      </c>
      <c r="CA43" s="11">
        <v>3</v>
      </c>
      <c r="CB43" s="11">
        <v>1</v>
      </c>
      <c r="CC43" s="11">
        <v>1</v>
      </c>
      <c r="CD43" s="11">
        <v>2</v>
      </c>
      <c r="CE43" s="11">
        <v>3</v>
      </c>
      <c r="CF43" s="26">
        <f t="shared" si="5"/>
        <v>25</v>
      </c>
      <c r="CG43" s="11">
        <v>1</v>
      </c>
      <c r="CH43" s="11">
        <v>1</v>
      </c>
      <c r="CI43" s="11">
        <v>1</v>
      </c>
      <c r="CJ43" s="11">
        <v>4</v>
      </c>
      <c r="CK43" s="11">
        <v>2</v>
      </c>
      <c r="CL43" s="11">
        <v>2</v>
      </c>
      <c r="CM43" s="11">
        <v>2</v>
      </c>
      <c r="CN43" s="11">
        <v>2</v>
      </c>
      <c r="CO43" s="11">
        <v>1</v>
      </c>
      <c r="CP43" s="11">
        <v>1</v>
      </c>
      <c r="CQ43" s="11">
        <v>2</v>
      </c>
      <c r="CR43" s="11">
        <v>2</v>
      </c>
      <c r="CS43" s="26">
        <f t="shared" si="6"/>
        <v>21</v>
      </c>
      <c r="CT43" s="11">
        <v>1</v>
      </c>
      <c r="CU43" s="11">
        <v>1</v>
      </c>
      <c r="CV43" s="11">
        <v>0</v>
      </c>
      <c r="CW43" s="11">
        <v>0</v>
      </c>
      <c r="CX43" s="11">
        <v>0</v>
      </c>
      <c r="CY43" s="11">
        <v>0</v>
      </c>
      <c r="CZ43" s="11">
        <v>0</v>
      </c>
      <c r="DA43" s="11">
        <v>1</v>
      </c>
      <c r="DB43" s="11">
        <v>0</v>
      </c>
      <c r="DC43" s="11">
        <v>0</v>
      </c>
      <c r="DD43" s="11">
        <v>0</v>
      </c>
      <c r="DE43" s="11">
        <v>1</v>
      </c>
      <c r="DF43" s="26">
        <f t="shared" si="7"/>
        <v>4</v>
      </c>
      <c r="DG43" s="11">
        <v>0</v>
      </c>
      <c r="DH43" s="11">
        <v>0</v>
      </c>
      <c r="DI43" s="11">
        <v>0</v>
      </c>
      <c r="DJ43" s="11">
        <v>0</v>
      </c>
      <c r="DK43" s="11">
        <v>0</v>
      </c>
      <c r="DL43" s="11">
        <v>0</v>
      </c>
      <c r="DM43" s="11">
        <v>0</v>
      </c>
      <c r="DN43" s="11">
        <v>0</v>
      </c>
      <c r="DO43" s="11">
        <v>0</v>
      </c>
      <c r="DP43" s="11">
        <v>0</v>
      </c>
      <c r="DQ43" s="11">
        <v>0</v>
      </c>
      <c r="DR43" s="11">
        <v>0</v>
      </c>
      <c r="DS43" s="26">
        <f t="shared" si="8"/>
        <v>0</v>
      </c>
      <c r="DT43" s="11">
        <v>0</v>
      </c>
      <c r="DU43" s="11">
        <v>0</v>
      </c>
      <c r="DV43" s="11">
        <v>0</v>
      </c>
      <c r="DW43" s="11">
        <v>0</v>
      </c>
      <c r="DX43" s="11">
        <v>0</v>
      </c>
      <c r="DY43" s="11">
        <v>0</v>
      </c>
      <c r="DZ43" s="11">
        <v>0</v>
      </c>
      <c r="EA43" s="11">
        <v>0</v>
      </c>
      <c r="EB43" s="11">
        <v>0</v>
      </c>
      <c r="EC43" s="11">
        <v>0</v>
      </c>
      <c r="ED43" s="11">
        <v>0</v>
      </c>
      <c r="EE43" s="11">
        <v>0</v>
      </c>
      <c r="EF43" s="26">
        <f t="shared" si="9"/>
        <v>0</v>
      </c>
      <c r="EG43" s="9">
        <f t="shared" si="10"/>
        <v>0</v>
      </c>
      <c r="EH43" s="9">
        <f t="shared" si="11"/>
        <v>25</v>
      </c>
      <c r="EI43" s="11">
        <v>5881</v>
      </c>
      <c r="EJ43" s="11">
        <v>4347</v>
      </c>
      <c r="EK43" s="11">
        <v>3784</v>
      </c>
      <c r="EL43" s="11">
        <v>4383</v>
      </c>
      <c r="EM43" s="11">
        <v>4329</v>
      </c>
      <c r="EN43" s="11">
        <v>3009</v>
      </c>
      <c r="EO43" s="11">
        <v>4453</v>
      </c>
      <c r="EP43" s="11">
        <v>3681</v>
      </c>
      <c r="EQ43" s="11">
        <v>3673</v>
      </c>
      <c r="ER43" s="11">
        <v>3537</v>
      </c>
      <c r="ES43" s="11">
        <v>6515</v>
      </c>
      <c r="ET43" s="11">
        <v>4251</v>
      </c>
      <c r="EU43" s="26">
        <f t="shared" si="12"/>
        <v>51843</v>
      </c>
      <c r="EV43" s="11">
        <v>4045</v>
      </c>
      <c r="EW43" s="11">
        <v>2075</v>
      </c>
      <c r="EX43" s="11">
        <v>1711</v>
      </c>
      <c r="EY43" s="11">
        <v>1973</v>
      </c>
      <c r="EZ43" s="11">
        <v>1609</v>
      </c>
      <c r="FA43" s="11">
        <v>1318</v>
      </c>
      <c r="FB43" s="11">
        <v>2148</v>
      </c>
      <c r="FC43" s="11">
        <v>1819</v>
      </c>
      <c r="FD43" s="11">
        <v>1890</v>
      </c>
      <c r="FE43" s="11">
        <v>1807</v>
      </c>
      <c r="FF43" s="11">
        <v>4060</v>
      </c>
      <c r="FG43" s="11">
        <v>1920</v>
      </c>
      <c r="FH43" s="26">
        <f t="shared" si="13"/>
        <v>26375</v>
      </c>
      <c r="FI43" s="11">
        <v>1836</v>
      </c>
      <c r="FJ43" s="11">
        <v>2272</v>
      </c>
      <c r="FK43" s="11">
        <v>2073</v>
      </c>
      <c r="FL43" s="11">
        <v>2410</v>
      </c>
      <c r="FM43" s="11">
        <v>2720</v>
      </c>
      <c r="FN43" s="11">
        <v>1691</v>
      </c>
      <c r="FO43" s="11">
        <v>2305</v>
      </c>
      <c r="FP43" s="11">
        <v>1862</v>
      </c>
      <c r="FQ43" s="11">
        <v>1783</v>
      </c>
      <c r="FR43" s="11">
        <v>1730</v>
      </c>
      <c r="FS43" s="11">
        <v>2455</v>
      </c>
      <c r="FT43" s="11">
        <v>2331</v>
      </c>
      <c r="FU43" s="26">
        <f t="shared" si="14"/>
        <v>25468</v>
      </c>
      <c r="FV43" s="11">
        <v>0</v>
      </c>
      <c r="FW43" s="11">
        <v>0</v>
      </c>
      <c r="FX43" s="11">
        <v>0</v>
      </c>
      <c r="FY43" s="11">
        <v>0</v>
      </c>
      <c r="FZ43" s="11">
        <v>0</v>
      </c>
      <c r="GA43" s="11">
        <v>0</v>
      </c>
      <c r="GB43" s="11">
        <v>0</v>
      </c>
      <c r="GC43" s="11">
        <v>0</v>
      </c>
      <c r="GD43" s="11">
        <v>0</v>
      </c>
      <c r="GE43" s="11">
        <v>0</v>
      </c>
      <c r="GF43" s="11">
        <v>0</v>
      </c>
      <c r="GG43" s="11">
        <v>0</v>
      </c>
      <c r="GH43" s="26">
        <f t="shared" si="15"/>
        <v>0</v>
      </c>
      <c r="GI43" s="11">
        <v>1028</v>
      </c>
      <c r="GJ43" s="11">
        <v>1092</v>
      </c>
      <c r="GK43" s="11">
        <v>8</v>
      </c>
      <c r="GL43" s="11">
        <v>32</v>
      </c>
      <c r="GM43" s="11">
        <v>11</v>
      </c>
      <c r="GN43" s="11">
        <v>9</v>
      </c>
      <c r="GO43" s="11">
        <v>22</v>
      </c>
      <c r="GP43" s="11">
        <v>859</v>
      </c>
      <c r="GQ43" s="11">
        <v>13</v>
      </c>
      <c r="GR43" s="11">
        <v>8</v>
      </c>
      <c r="GS43" s="11">
        <v>16</v>
      </c>
      <c r="GT43" s="11">
        <v>1451</v>
      </c>
      <c r="GU43" s="26">
        <f t="shared" si="16"/>
        <v>4549</v>
      </c>
      <c r="GV43" s="11">
        <v>0</v>
      </c>
      <c r="GW43" s="11">
        <v>0</v>
      </c>
      <c r="GX43" s="11">
        <v>0</v>
      </c>
      <c r="GY43" s="11">
        <v>0</v>
      </c>
      <c r="GZ43" s="11">
        <v>0</v>
      </c>
      <c r="HA43" s="11">
        <v>0</v>
      </c>
      <c r="HB43" s="11">
        <v>0</v>
      </c>
      <c r="HC43" s="11">
        <v>0</v>
      </c>
      <c r="HD43" s="11">
        <v>0</v>
      </c>
      <c r="HE43" s="11">
        <v>0</v>
      </c>
      <c r="HF43" s="11">
        <v>0</v>
      </c>
      <c r="HG43" s="11">
        <v>0</v>
      </c>
      <c r="HH43" s="26">
        <f t="shared" si="17"/>
        <v>0</v>
      </c>
      <c r="HI43" s="11">
        <v>0</v>
      </c>
      <c r="HJ43" s="11">
        <v>0</v>
      </c>
      <c r="HK43" s="11">
        <v>0</v>
      </c>
      <c r="HL43" s="11">
        <v>0</v>
      </c>
      <c r="HM43" s="11">
        <v>0</v>
      </c>
      <c r="HN43" s="11">
        <v>0</v>
      </c>
      <c r="HO43" s="11">
        <v>0</v>
      </c>
      <c r="HP43" s="11">
        <v>0</v>
      </c>
      <c r="HQ43" s="11">
        <v>0</v>
      </c>
      <c r="HR43" s="11">
        <v>0</v>
      </c>
      <c r="HS43" s="11">
        <v>0</v>
      </c>
      <c r="HT43" s="11">
        <v>0</v>
      </c>
      <c r="HU43" s="26">
        <f t="shared" si="18"/>
        <v>0</v>
      </c>
      <c r="HV43" s="11">
        <v>0</v>
      </c>
      <c r="HW43" s="11">
        <v>0</v>
      </c>
      <c r="HX43" s="11">
        <v>0</v>
      </c>
      <c r="HY43" s="11">
        <v>0</v>
      </c>
      <c r="HZ43" s="11">
        <v>0</v>
      </c>
      <c r="IA43" s="11">
        <v>0</v>
      </c>
      <c r="IB43" s="11">
        <v>0</v>
      </c>
      <c r="IC43" s="11">
        <v>0</v>
      </c>
      <c r="ID43" s="11">
        <v>0</v>
      </c>
      <c r="IE43" s="11">
        <v>0</v>
      </c>
      <c r="IF43" s="11">
        <v>0</v>
      </c>
      <c r="IG43" s="11">
        <v>0</v>
      </c>
      <c r="IH43" s="26">
        <f t="shared" si="19"/>
        <v>0</v>
      </c>
      <c r="II43" s="9">
        <f t="shared" si="20"/>
        <v>51843</v>
      </c>
      <c r="IJ43" s="9">
        <f t="shared" si="21"/>
        <v>0</v>
      </c>
      <c r="IK43" s="11">
        <v>68908</v>
      </c>
      <c r="IL43" s="11">
        <v>65966</v>
      </c>
      <c r="IM43" s="11">
        <v>51940</v>
      </c>
      <c r="IN43" s="11">
        <v>53141</v>
      </c>
      <c r="IO43" s="11">
        <v>62128</v>
      </c>
      <c r="IP43" s="11">
        <v>51009</v>
      </c>
      <c r="IQ43" s="11">
        <v>55911</v>
      </c>
      <c r="IR43" s="11">
        <v>51084</v>
      </c>
      <c r="IS43" s="11">
        <v>41775</v>
      </c>
      <c r="IT43" s="11">
        <v>47716</v>
      </c>
      <c r="IU43" s="11">
        <v>44769</v>
      </c>
      <c r="IV43" s="11">
        <v>45190</v>
      </c>
      <c r="IW43" s="27">
        <f t="shared" si="22"/>
        <v>639537</v>
      </c>
      <c r="IX43" s="11">
        <v>0</v>
      </c>
      <c r="IY43" s="11">
        <v>0</v>
      </c>
      <c r="IZ43" s="11">
        <v>0</v>
      </c>
      <c r="JA43" s="11">
        <v>0</v>
      </c>
      <c r="JB43" s="11">
        <v>0</v>
      </c>
      <c r="JC43" s="11">
        <v>0</v>
      </c>
      <c r="JD43" s="11">
        <v>0</v>
      </c>
      <c r="JE43" s="11">
        <v>0</v>
      </c>
      <c r="JF43" s="11">
        <v>0</v>
      </c>
      <c r="JG43" s="11">
        <v>0</v>
      </c>
      <c r="JH43" s="11">
        <v>0</v>
      </c>
      <c r="JI43" s="11">
        <v>0</v>
      </c>
      <c r="JJ43" s="27">
        <f t="shared" si="23"/>
        <v>0</v>
      </c>
      <c r="JK43" s="11">
        <v>0</v>
      </c>
      <c r="JL43" s="11">
        <v>0</v>
      </c>
      <c r="JM43" s="11">
        <v>0</v>
      </c>
      <c r="JN43" s="11">
        <v>0</v>
      </c>
      <c r="JO43" s="11">
        <v>0</v>
      </c>
      <c r="JP43" s="11">
        <v>0</v>
      </c>
      <c r="JQ43" s="11">
        <v>0</v>
      </c>
      <c r="JR43" s="11">
        <v>0</v>
      </c>
      <c r="JS43" s="11">
        <v>0</v>
      </c>
      <c r="JT43" s="11">
        <v>0</v>
      </c>
      <c r="JU43" s="11">
        <v>0</v>
      </c>
      <c r="JV43" s="11">
        <v>0</v>
      </c>
      <c r="JW43" s="27">
        <f t="shared" si="24"/>
        <v>0</v>
      </c>
      <c r="JX43" s="11">
        <v>0</v>
      </c>
      <c r="JY43" s="11">
        <v>0</v>
      </c>
      <c r="JZ43" s="11">
        <v>0</v>
      </c>
      <c r="KA43" s="11">
        <v>0</v>
      </c>
      <c r="KB43" s="11">
        <v>0</v>
      </c>
      <c r="KC43" s="11">
        <v>0</v>
      </c>
      <c r="KD43" s="11">
        <v>0</v>
      </c>
      <c r="KE43" s="11">
        <v>0</v>
      </c>
      <c r="KF43" s="11">
        <v>0</v>
      </c>
      <c r="KG43" s="11">
        <v>0</v>
      </c>
      <c r="KH43" s="11">
        <v>0</v>
      </c>
      <c r="KI43" s="11">
        <v>0</v>
      </c>
      <c r="KJ43" s="27">
        <f t="shared" si="25"/>
        <v>0</v>
      </c>
      <c r="KK43" s="11">
        <v>0</v>
      </c>
      <c r="KL43" s="11">
        <v>0</v>
      </c>
      <c r="KM43" s="11">
        <v>0</v>
      </c>
      <c r="KN43" s="11">
        <v>0</v>
      </c>
      <c r="KO43" s="11">
        <v>0</v>
      </c>
      <c r="KP43" s="11">
        <v>0</v>
      </c>
      <c r="KQ43" s="11">
        <v>0</v>
      </c>
      <c r="KR43" s="11">
        <v>0</v>
      </c>
      <c r="KS43" s="11">
        <v>0</v>
      </c>
      <c r="KT43" s="11">
        <v>0</v>
      </c>
      <c r="KU43" s="11">
        <v>0</v>
      </c>
      <c r="KV43" s="11">
        <v>0</v>
      </c>
      <c r="KW43" s="27">
        <f t="shared" si="26"/>
        <v>0</v>
      </c>
      <c r="KX43" s="11">
        <v>0</v>
      </c>
      <c r="KY43" s="11">
        <v>0</v>
      </c>
      <c r="KZ43" s="11">
        <v>0</v>
      </c>
      <c r="LA43" s="11">
        <v>0</v>
      </c>
      <c r="LB43" s="11">
        <v>0</v>
      </c>
      <c r="LC43" s="11">
        <v>0</v>
      </c>
      <c r="LD43" s="11">
        <v>0</v>
      </c>
      <c r="LE43" s="11">
        <v>0</v>
      </c>
      <c r="LF43" s="11">
        <v>0</v>
      </c>
      <c r="LG43" s="11">
        <v>0</v>
      </c>
      <c r="LH43" s="11">
        <v>0</v>
      </c>
      <c r="LI43" s="11">
        <v>0</v>
      </c>
      <c r="LJ43" s="27">
        <f t="shared" si="27"/>
        <v>0</v>
      </c>
      <c r="LK43" s="11">
        <v>0</v>
      </c>
      <c r="LL43" s="11">
        <v>0</v>
      </c>
      <c r="LM43" s="11">
        <v>0</v>
      </c>
      <c r="LN43" s="11">
        <v>0</v>
      </c>
      <c r="LO43" s="11">
        <v>0</v>
      </c>
      <c r="LP43" s="11">
        <v>0</v>
      </c>
      <c r="LQ43" s="11">
        <v>0</v>
      </c>
      <c r="LR43" s="11">
        <v>0</v>
      </c>
      <c r="LS43" s="11">
        <v>0</v>
      </c>
      <c r="LT43" s="11">
        <v>0</v>
      </c>
      <c r="LU43" s="11">
        <v>0</v>
      </c>
      <c r="LV43" s="11">
        <v>0</v>
      </c>
      <c r="LW43" s="27">
        <f t="shared" si="28"/>
        <v>0</v>
      </c>
      <c r="LX43" s="11">
        <v>0</v>
      </c>
      <c r="LY43" s="11">
        <v>0</v>
      </c>
      <c r="LZ43" s="11">
        <v>0</v>
      </c>
      <c r="MA43" s="11">
        <v>0</v>
      </c>
      <c r="MB43" s="11">
        <v>0</v>
      </c>
      <c r="MC43" s="11">
        <v>0</v>
      </c>
      <c r="MD43" s="11">
        <v>0</v>
      </c>
      <c r="ME43" s="11">
        <v>0</v>
      </c>
      <c r="MF43" s="11">
        <v>0</v>
      </c>
      <c r="MG43" s="11">
        <v>0</v>
      </c>
      <c r="MH43" s="11">
        <v>0</v>
      </c>
      <c r="MI43" s="11">
        <v>0</v>
      </c>
      <c r="MJ43" s="27">
        <f t="shared" si="29"/>
        <v>0</v>
      </c>
      <c r="MK43" s="11">
        <v>2310</v>
      </c>
      <c r="ML43" s="11">
        <v>2422</v>
      </c>
      <c r="MM43" s="11">
        <v>2279</v>
      </c>
      <c r="MN43" s="11">
        <v>2485</v>
      </c>
      <c r="MO43" s="11">
        <v>2681</v>
      </c>
      <c r="MP43" s="11">
        <v>2505</v>
      </c>
      <c r="MQ43" s="11">
        <v>2475</v>
      </c>
      <c r="MR43" s="11">
        <v>2380</v>
      </c>
      <c r="MS43" s="11">
        <v>2238</v>
      </c>
      <c r="MT43" s="11">
        <v>2429</v>
      </c>
      <c r="MU43" s="11">
        <v>2090</v>
      </c>
      <c r="MV43" s="11">
        <v>2201</v>
      </c>
      <c r="MW43" s="27">
        <f t="shared" si="30"/>
        <v>28495</v>
      </c>
      <c r="MX43" s="11">
        <v>0</v>
      </c>
      <c r="MY43" s="11">
        <v>0</v>
      </c>
      <c r="MZ43" s="11">
        <v>0</v>
      </c>
      <c r="NA43" s="11">
        <v>0</v>
      </c>
      <c r="NB43" s="11">
        <v>0</v>
      </c>
      <c r="NC43" s="11">
        <v>0</v>
      </c>
      <c r="ND43" s="11">
        <v>0</v>
      </c>
      <c r="NE43" s="11">
        <v>0</v>
      </c>
      <c r="NF43" s="11">
        <v>0</v>
      </c>
      <c r="NG43" s="11">
        <v>0</v>
      </c>
      <c r="NH43" s="11">
        <v>0</v>
      </c>
      <c r="NI43" s="11">
        <v>0</v>
      </c>
      <c r="NJ43" s="27">
        <f t="shared" si="31"/>
        <v>0</v>
      </c>
      <c r="NK43" s="11">
        <v>0</v>
      </c>
      <c r="NL43" s="11">
        <v>0</v>
      </c>
      <c r="NM43" s="11">
        <v>0</v>
      </c>
      <c r="NN43" s="11">
        <v>0</v>
      </c>
      <c r="NO43" s="11">
        <v>0</v>
      </c>
      <c r="NP43" s="11">
        <v>0</v>
      </c>
      <c r="NQ43" s="11">
        <v>0</v>
      </c>
      <c r="NR43" s="11">
        <v>0</v>
      </c>
      <c r="NS43" s="11">
        <v>0</v>
      </c>
      <c r="NT43" s="11">
        <v>0</v>
      </c>
      <c r="NU43" s="11">
        <v>0</v>
      </c>
      <c r="NV43" s="11">
        <v>0</v>
      </c>
      <c r="NW43" s="27">
        <f t="shared" si="32"/>
        <v>0</v>
      </c>
      <c r="NX43" s="11">
        <v>0</v>
      </c>
      <c r="NY43" s="11">
        <v>0</v>
      </c>
      <c r="NZ43" s="11">
        <v>0</v>
      </c>
      <c r="OA43" s="11">
        <v>0</v>
      </c>
      <c r="OB43" s="11">
        <v>0</v>
      </c>
      <c r="OC43" s="11">
        <v>0</v>
      </c>
      <c r="OD43" s="11">
        <v>0</v>
      </c>
      <c r="OE43" s="11">
        <v>0</v>
      </c>
      <c r="OF43" s="11">
        <v>0</v>
      </c>
      <c r="OG43" s="11">
        <v>0</v>
      </c>
      <c r="OH43" s="11">
        <v>0</v>
      </c>
      <c r="OI43" s="11">
        <v>0</v>
      </c>
      <c r="OJ43" s="27">
        <f t="shared" si="33"/>
        <v>0</v>
      </c>
      <c r="OK43" s="11">
        <v>2596</v>
      </c>
      <c r="OL43" s="11">
        <v>1959</v>
      </c>
      <c r="OM43" s="11">
        <v>2496</v>
      </c>
      <c r="ON43" s="11">
        <v>2723</v>
      </c>
      <c r="OO43" s="11">
        <v>2763</v>
      </c>
      <c r="OP43" s="11">
        <v>2828</v>
      </c>
      <c r="OQ43" s="11">
        <v>2837</v>
      </c>
      <c r="OR43" s="11">
        <v>3112</v>
      </c>
      <c r="OS43" s="11">
        <v>2763</v>
      </c>
      <c r="OT43" s="11">
        <v>2966</v>
      </c>
      <c r="OU43" s="11">
        <v>2671</v>
      </c>
      <c r="OV43" s="11">
        <v>2997</v>
      </c>
      <c r="OW43" s="27">
        <f t="shared" si="34"/>
        <v>32711</v>
      </c>
      <c r="OX43" s="11">
        <v>0</v>
      </c>
      <c r="OY43" s="11">
        <v>0</v>
      </c>
      <c r="OZ43" s="11">
        <v>0</v>
      </c>
      <c r="PA43" s="11">
        <v>0</v>
      </c>
      <c r="PB43" s="11">
        <v>0</v>
      </c>
      <c r="PC43" s="11">
        <v>0</v>
      </c>
      <c r="PD43" s="11">
        <v>0</v>
      </c>
      <c r="PE43" s="11">
        <v>0</v>
      </c>
      <c r="PF43" s="11">
        <v>0</v>
      </c>
      <c r="PG43" s="11">
        <v>0</v>
      </c>
      <c r="PH43" s="11">
        <v>0</v>
      </c>
      <c r="PI43" s="11">
        <v>0</v>
      </c>
      <c r="PJ43" s="27">
        <f t="shared" si="35"/>
        <v>0</v>
      </c>
      <c r="PK43" s="11">
        <v>0</v>
      </c>
      <c r="PL43" s="11">
        <v>0</v>
      </c>
      <c r="PM43" s="11">
        <v>0</v>
      </c>
      <c r="PN43" s="11">
        <v>0</v>
      </c>
      <c r="PO43" s="11">
        <v>0</v>
      </c>
      <c r="PP43" s="11">
        <v>0</v>
      </c>
      <c r="PQ43" s="11">
        <v>0</v>
      </c>
      <c r="PR43" s="11">
        <v>0</v>
      </c>
      <c r="PS43" s="11">
        <v>0</v>
      </c>
      <c r="PT43" s="11">
        <v>0</v>
      </c>
      <c r="PU43" s="11">
        <v>0</v>
      </c>
      <c r="PV43" s="11">
        <v>0</v>
      </c>
      <c r="PW43" s="27">
        <f t="shared" si="36"/>
        <v>0</v>
      </c>
      <c r="PX43" s="11">
        <v>0</v>
      </c>
      <c r="PY43" s="11">
        <v>0</v>
      </c>
      <c r="PZ43" s="11">
        <v>0</v>
      </c>
      <c r="QA43" s="11">
        <v>0</v>
      </c>
      <c r="QB43" s="11">
        <v>0</v>
      </c>
      <c r="QC43" s="11">
        <v>0</v>
      </c>
      <c r="QD43" s="11">
        <v>0</v>
      </c>
      <c r="QE43" s="11">
        <v>0</v>
      </c>
      <c r="QF43" s="11">
        <v>0</v>
      </c>
      <c r="QG43" s="11">
        <v>0</v>
      </c>
      <c r="QH43" s="11">
        <v>0</v>
      </c>
      <c r="QI43" s="11">
        <v>0</v>
      </c>
      <c r="QJ43" s="27">
        <f t="shared" si="37"/>
        <v>0</v>
      </c>
      <c r="QK43" s="11">
        <v>91448</v>
      </c>
      <c r="QL43" s="11">
        <v>89615</v>
      </c>
      <c r="QM43" s="11">
        <v>82529</v>
      </c>
      <c r="QN43" s="11">
        <v>91837</v>
      </c>
      <c r="QO43" s="11">
        <v>87215</v>
      </c>
      <c r="QP43" s="11">
        <v>80568</v>
      </c>
      <c r="QQ43" s="11">
        <v>85791</v>
      </c>
      <c r="QR43" s="11">
        <v>84397</v>
      </c>
      <c r="QS43" s="11">
        <v>66493</v>
      </c>
      <c r="QT43" s="11">
        <v>86368</v>
      </c>
      <c r="QU43" s="11">
        <v>80397</v>
      </c>
      <c r="QV43" s="11">
        <v>88815</v>
      </c>
      <c r="QW43" s="27">
        <f t="shared" si="38"/>
        <v>1015473</v>
      </c>
      <c r="QX43" s="11">
        <v>0</v>
      </c>
      <c r="QY43" s="11">
        <v>0</v>
      </c>
      <c r="QZ43" s="11">
        <v>0</v>
      </c>
      <c r="RA43" s="11">
        <v>0</v>
      </c>
      <c r="RB43" s="11">
        <v>0</v>
      </c>
      <c r="RC43" s="11">
        <v>0</v>
      </c>
      <c r="RD43" s="11">
        <v>0</v>
      </c>
      <c r="RE43" s="11">
        <v>0</v>
      </c>
      <c r="RF43" s="11">
        <v>0</v>
      </c>
      <c r="RG43" s="11">
        <v>0</v>
      </c>
      <c r="RH43" s="11">
        <v>0</v>
      </c>
      <c r="RI43" s="11">
        <v>0</v>
      </c>
      <c r="RJ43" s="27">
        <f t="shared" si="39"/>
        <v>0</v>
      </c>
      <c r="RK43" s="11">
        <v>0</v>
      </c>
      <c r="RL43" s="11">
        <v>0</v>
      </c>
      <c r="RM43" s="11">
        <v>0</v>
      </c>
      <c r="RN43" s="11">
        <v>0</v>
      </c>
      <c r="RO43" s="11">
        <v>0</v>
      </c>
      <c r="RP43" s="11">
        <v>0</v>
      </c>
      <c r="RQ43" s="11">
        <v>0</v>
      </c>
      <c r="RR43" s="11">
        <v>0</v>
      </c>
      <c r="RS43" s="11">
        <v>0</v>
      </c>
      <c r="RT43" s="11">
        <v>0</v>
      </c>
      <c r="RU43" s="11">
        <v>0</v>
      </c>
      <c r="RV43" s="11">
        <v>0</v>
      </c>
      <c r="RW43" s="27">
        <f t="shared" si="40"/>
        <v>0</v>
      </c>
      <c r="RX43" s="11">
        <v>0</v>
      </c>
      <c r="RY43" s="11">
        <v>0</v>
      </c>
      <c r="RZ43" s="11">
        <v>0</v>
      </c>
      <c r="SA43" s="11">
        <v>0</v>
      </c>
      <c r="SB43" s="11">
        <v>0</v>
      </c>
      <c r="SC43" s="11">
        <v>0</v>
      </c>
      <c r="SD43" s="11">
        <v>0</v>
      </c>
      <c r="SE43" s="11">
        <v>0</v>
      </c>
      <c r="SF43" s="11">
        <v>0</v>
      </c>
      <c r="SG43" s="11">
        <v>0</v>
      </c>
      <c r="SH43" s="11">
        <v>0</v>
      </c>
      <c r="SI43" s="11">
        <v>0</v>
      </c>
      <c r="SJ43" s="27">
        <f t="shared" si="41"/>
        <v>0</v>
      </c>
      <c r="SK43" s="11">
        <v>21</v>
      </c>
      <c r="SL43" s="11">
        <v>21</v>
      </c>
      <c r="SM43" s="11">
        <v>21</v>
      </c>
      <c r="SN43" s="11">
        <v>21</v>
      </c>
      <c r="SO43" s="11">
        <v>21</v>
      </c>
      <c r="SP43" s="11">
        <v>21</v>
      </c>
      <c r="SQ43" s="11">
        <v>21</v>
      </c>
      <c r="SR43" s="11">
        <v>21</v>
      </c>
      <c r="SS43" s="11">
        <v>21</v>
      </c>
      <c r="ST43" s="11">
        <v>21</v>
      </c>
      <c r="SU43" s="11">
        <v>21</v>
      </c>
      <c r="SV43" s="11">
        <v>21</v>
      </c>
      <c r="SW43" s="27">
        <f t="shared" si="42"/>
        <v>252</v>
      </c>
      <c r="SX43" s="11" t="s">
        <v>1374</v>
      </c>
      <c r="SY43" s="11"/>
      <c r="SZ43" s="11"/>
      <c r="TA43" s="11">
        <v>0</v>
      </c>
      <c r="TB43" s="11"/>
      <c r="TC43" s="11">
        <v>0</v>
      </c>
      <c r="TD43" s="11">
        <v>0</v>
      </c>
      <c r="TE43" s="11">
        <v>0</v>
      </c>
      <c r="TF43" s="11">
        <v>0</v>
      </c>
      <c r="TG43" s="11">
        <v>0</v>
      </c>
      <c r="TH43" s="11">
        <v>0</v>
      </c>
      <c r="TI43" s="11">
        <v>0</v>
      </c>
      <c r="TJ43" s="11">
        <v>0</v>
      </c>
      <c r="TK43" s="27">
        <f t="shared" si="43"/>
        <v>0</v>
      </c>
      <c r="TL43" s="11">
        <v>6525</v>
      </c>
      <c r="TM43" s="11">
        <v>6505</v>
      </c>
      <c r="TN43" s="11">
        <v>5139</v>
      </c>
      <c r="TO43" s="11">
        <v>3033</v>
      </c>
      <c r="TP43" s="11">
        <v>2639</v>
      </c>
      <c r="TQ43" s="11">
        <v>2956</v>
      </c>
      <c r="TR43" s="11">
        <v>3406</v>
      </c>
      <c r="TS43" s="11">
        <v>3503</v>
      </c>
      <c r="TT43" s="11">
        <v>2685</v>
      </c>
      <c r="TU43" s="11">
        <v>4050</v>
      </c>
      <c r="TV43" s="11">
        <v>3872</v>
      </c>
      <c r="TW43" s="11">
        <v>4853</v>
      </c>
      <c r="TX43" s="27">
        <f t="shared" si="44"/>
        <v>49166</v>
      </c>
      <c r="TY43" s="11">
        <v>115</v>
      </c>
      <c r="TZ43" s="11">
        <v>0</v>
      </c>
      <c r="UA43" s="11">
        <v>0</v>
      </c>
    </row>
    <row r="44" spans="1:547" ht="16" customHeight="1" x14ac:dyDescent="0.35">
      <c r="A44" s="11" t="s">
        <v>1525</v>
      </c>
      <c r="B44" s="11">
        <v>13108</v>
      </c>
      <c r="C44" s="11">
        <v>2951</v>
      </c>
      <c r="D44" s="11">
        <v>9169</v>
      </c>
      <c r="E44" s="11">
        <v>772</v>
      </c>
      <c r="F44" s="11">
        <v>89</v>
      </c>
      <c r="G44" s="11">
        <v>87</v>
      </c>
      <c r="H44" s="11">
        <v>99</v>
      </c>
      <c r="I44" s="11">
        <v>72</v>
      </c>
      <c r="J44" s="11">
        <v>92</v>
      </c>
      <c r="K44" s="11">
        <v>32</v>
      </c>
      <c r="L44" s="11">
        <v>79</v>
      </c>
      <c r="M44" s="11">
        <v>91</v>
      </c>
      <c r="N44" s="11">
        <v>68</v>
      </c>
      <c r="O44" s="11">
        <v>66</v>
      </c>
      <c r="P44" s="11" t="s">
        <v>2863</v>
      </c>
      <c r="Q44" s="11">
        <v>69</v>
      </c>
      <c r="R44" s="11">
        <v>105</v>
      </c>
      <c r="S44" s="26">
        <f t="shared" si="0"/>
        <v>949</v>
      </c>
      <c r="T44" s="11">
        <v>0</v>
      </c>
      <c r="U44" s="11">
        <v>0</v>
      </c>
      <c r="V44" s="11">
        <v>0</v>
      </c>
      <c r="W44" s="11">
        <v>0</v>
      </c>
      <c r="X44" s="11">
        <v>0</v>
      </c>
      <c r="Y44" s="11">
        <v>0</v>
      </c>
      <c r="Z44" s="11">
        <v>0</v>
      </c>
      <c r="AA44" s="11">
        <v>0</v>
      </c>
      <c r="AB44" s="11">
        <v>0</v>
      </c>
      <c r="AC44" s="11">
        <v>0</v>
      </c>
      <c r="AD44" s="11">
        <v>0</v>
      </c>
      <c r="AE44" s="11">
        <v>0</v>
      </c>
      <c r="AF44" s="26">
        <f t="shared" si="1"/>
        <v>0</v>
      </c>
      <c r="AG44" s="11">
        <v>0</v>
      </c>
      <c r="AH44" s="11">
        <v>0</v>
      </c>
      <c r="AI44" s="11">
        <v>0</v>
      </c>
      <c r="AJ44" s="11">
        <v>0</v>
      </c>
      <c r="AK44" s="11">
        <v>0</v>
      </c>
      <c r="AL44" s="11">
        <v>0</v>
      </c>
      <c r="AM44" s="11">
        <v>0</v>
      </c>
      <c r="AN44" s="11">
        <v>0</v>
      </c>
      <c r="AO44" s="11">
        <v>0</v>
      </c>
      <c r="AP44" s="11">
        <v>0</v>
      </c>
      <c r="AQ44" s="11">
        <v>0</v>
      </c>
      <c r="AR44" s="11">
        <v>0</v>
      </c>
      <c r="AS44" s="26">
        <f t="shared" si="2"/>
        <v>0</v>
      </c>
      <c r="AT44" s="11">
        <v>0</v>
      </c>
      <c r="AU44" s="11">
        <v>0</v>
      </c>
      <c r="AV44" s="11">
        <v>0</v>
      </c>
      <c r="AW44" s="11">
        <v>0</v>
      </c>
      <c r="AX44" s="11">
        <v>0</v>
      </c>
      <c r="AY44" s="11">
        <v>0</v>
      </c>
      <c r="AZ44" s="11">
        <v>0</v>
      </c>
      <c r="BA44" s="11">
        <v>0</v>
      </c>
      <c r="BB44" s="11">
        <v>0</v>
      </c>
      <c r="BC44" s="11">
        <v>0</v>
      </c>
      <c r="BD44" s="11">
        <v>0</v>
      </c>
      <c r="BE44" s="11">
        <v>0</v>
      </c>
      <c r="BF44" s="26">
        <f t="shared" si="3"/>
        <v>0</v>
      </c>
      <c r="BG44" s="11">
        <v>0</v>
      </c>
      <c r="BH44" s="11">
        <v>0</v>
      </c>
      <c r="BI44" s="11">
        <v>0</v>
      </c>
      <c r="BJ44" s="11">
        <v>0</v>
      </c>
      <c r="BK44" s="11">
        <v>0</v>
      </c>
      <c r="BL44" s="11">
        <v>0</v>
      </c>
      <c r="BM44" s="11">
        <v>0</v>
      </c>
      <c r="BN44" s="11">
        <v>0</v>
      </c>
      <c r="BO44" s="11">
        <v>0</v>
      </c>
      <c r="BP44" s="11">
        <v>0</v>
      </c>
      <c r="BQ44" s="11">
        <v>0</v>
      </c>
      <c r="BR44" s="11">
        <v>0</v>
      </c>
      <c r="BS44" s="26">
        <f t="shared" si="4"/>
        <v>0</v>
      </c>
      <c r="BT44" s="11">
        <v>0</v>
      </c>
      <c r="BU44" s="11">
        <v>0</v>
      </c>
      <c r="BV44" s="11">
        <v>0</v>
      </c>
      <c r="BW44" s="11">
        <v>0</v>
      </c>
      <c r="BX44" s="11">
        <v>0</v>
      </c>
      <c r="BY44" s="11">
        <v>0</v>
      </c>
      <c r="BZ44" s="11">
        <v>0</v>
      </c>
      <c r="CA44" s="11">
        <v>0</v>
      </c>
      <c r="CB44" s="11">
        <v>0</v>
      </c>
      <c r="CC44" s="11">
        <v>0</v>
      </c>
      <c r="CD44" s="11">
        <v>0</v>
      </c>
      <c r="CE44" s="11">
        <v>0</v>
      </c>
      <c r="CF44" s="26">
        <f t="shared" si="5"/>
        <v>0</v>
      </c>
      <c r="CG44" s="11">
        <v>0</v>
      </c>
      <c r="CH44" s="11">
        <v>0</v>
      </c>
      <c r="CI44" s="11">
        <v>0</v>
      </c>
      <c r="CJ44" s="11">
        <v>0</v>
      </c>
      <c r="CK44" s="11">
        <v>0</v>
      </c>
      <c r="CL44" s="11">
        <v>0</v>
      </c>
      <c r="CM44" s="11">
        <v>0</v>
      </c>
      <c r="CN44" s="11">
        <v>0</v>
      </c>
      <c r="CO44" s="11">
        <v>0</v>
      </c>
      <c r="CP44" s="11">
        <v>0</v>
      </c>
      <c r="CQ44" s="11">
        <v>0</v>
      </c>
      <c r="CR44" s="11">
        <v>0</v>
      </c>
      <c r="CS44" s="26">
        <f t="shared" si="6"/>
        <v>0</v>
      </c>
      <c r="CT44" s="11">
        <v>0</v>
      </c>
      <c r="CU44" s="11">
        <v>0</v>
      </c>
      <c r="CV44" s="11">
        <v>0</v>
      </c>
      <c r="CW44" s="11">
        <v>0</v>
      </c>
      <c r="CX44" s="11">
        <v>0</v>
      </c>
      <c r="CY44" s="11">
        <v>0</v>
      </c>
      <c r="CZ44" s="11">
        <v>0</v>
      </c>
      <c r="DA44" s="11">
        <v>0</v>
      </c>
      <c r="DB44" s="11">
        <v>0</v>
      </c>
      <c r="DC44" s="11">
        <v>0</v>
      </c>
      <c r="DD44" s="11">
        <v>0</v>
      </c>
      <c r="DE44" s="11">
        <v>0</v>
      </c>
      <c r="DF44" s="26">
        <f t="shared" si="7"/>
        <v>0</v>
      </c>
      <c r="DG44" s="11">
        <v>0</v>
      </c>
      <c r="DH44" s="11">
        <v>0</v>
      </c>
      <c r="DI44" s="11">
        <v>0</v>
      </c>
      <c r="DJ44" s="11">
        <v>0</v>
      </c>
      <c r="DK44" s="11">
        <v>0</v>
      </c>
      <c r="DL44" s="11">
        <v>0</v>
      </c>
      <c r="DM44" s="11">
        <v>0</v>
      </c>
      <c r="DN44" s="11">
        <v>0</v>
      </c>
      <c r="DO44" s="11">
        <v>0</v>
      </c>
      <c r="DP44" s="11">
        <v>0</v>
      </c>
      <c r="DQ44" s="11">
        <v>0</v>
      </c>
      <c r="DR44" s="11">
        <v>0</v>
      </c>
      <c r="DS44" s="26">
        <f t="shared" si="8"/>
        <v>0</v>
      </c>
      <c r="DT44" s="11">
        <v>0</v>
      </c>
      <c r="DU44" s="11">
        <v>0</v>
      </c>
      <c r="DV44" s="11">
        <v>0</v>
      </c>
      <c r="DW44" s="11">
        <v>0</v>
      </c>
      <c r="DX44" s="11">
        <v>0</v>
      </c>
      <c r="DY44" s="11">
        <v>0</v>
      </c>
      <c r="DZ44" s="11">
        <v>0</v>
      </c>
      <c r="EA44" s="11">
        <v>0</v>
      </c>
      <c r="EB44" s="11">
        <v>0</v>
      </c>
      <c r="EC44" s="11">
        <v>0</v>
      </c>
      <c r="ED44" s="11">
        <v>0</v>
      </c>
      <c r="EE44" s="11">
        <v>0</v>
      </c>
      <c r="EF44" s="26">
        <f t="shared" si="9"/>
        <v>0</v>
      </c>
      <c r="EG44" s="9">
        <f t="shared" si="10"/>
        <v>0</v>
      </c>
      <c r="EH44" s="9">
        <f t="shared" si="11"/>
        <v>0</v>
      </c>
      <c r="EI44" s="11">
        <v>546</v>
      </c>
      <c r="EJ44" s="11">
        <v>602</v>
      </c>
      <c r="EK44" s="11">
        <v>903</v>
      </c>
      <c r="EL44" s="11">
        <v>1285</v>
      </c>
      <c r="EM44" s="11">
        <v>1973</v>
      </c>
      <c r="EN44" s="11">
        <v>100</v>
      </c>
      <c r="EO44" s="11">
        <v>909</v>
      </c>
      <c r="EP44" s="11">
        <v>672</v>
      </c>
      <c r="EQ44" s="11">
        <v>526</v>
      </c>
      <c r="ER44" s="11">
        <v>502</v>
      </c>
      <c r="ES44" s="11">
        <v>627</v>
      </c>
      <c r="ET44" s="11">
        <v>521</v>
      </c>
      <c r="EU44" s="26">
        <f t="shared" si="12"/>
        <v>9166</v>
      </c>
      <c r="EV44" s="11">
        <v>378</v>
      </c>
      <c r="EW44" s="11">
        <v>339</v>
      </c>
      <c r="EX44" s="11">
        <v>547</v>
      </c>
      <c r="EY44" s="11">
        <v>480</v>
      </c>
      <c r="EZ44" s="11">
        <v>635</v>
      </c>
      <c r="FA44" s="11">
        <v>66</v>
      </c>
      <c r="FB44" s="11">
        <v>470</v>
      </c>
      <c r="FC44" s="11">
        <v>367</v>
      </c>
      <c r="FD44" s="11">
        <v>350</v>
      </c>
      <c r="FE44" s="11">
        <v>258</v>
      </c>
      <c r="FF44" s="11">
        <v>349</v>
      </c>
      <c r="FG44" s="11">
        <v>521</v>
      </c>
      <c r="FH44" s="26">
        <f t="shared" si="13"/>
        <v>4760</v>
      </c>
      <c r="FI44" s="11">
        <v>168</v>
      </c>
      <c r="FJ44" s="11">
        <v>263</v>
      </c>
      <c r="FK44" s="11">
        <v>356</v>
      </c>
      <c r="FL44" s="11">
        <v>805</v>
      </c>
      <c r="FM44" s="11">
        <v>1338</v>
      </c>
      <c r="FN44" s="11">
        <v>34</v>
      </c>
      <c r="FO44" s="11">
        <v>439</v>
      </c>
      <c r="FP44" s="11">
        <v>305</v>
      </c>
      <c r="FQ44" s="11">
        <v>176</v>
      </c>
      <c r="FR44" s="11">
        <v>244</v>
      </c>
      <c r="FS44" s="11">
        <v>278</v>
      </c>
      <c r="FT44" s="11">
        <v>469</v>
      </c>
      <c r="FU44" s="26">
        <f t="shared" si="14"/>
        <v>4875</v>
      </c>
      <c r="FV44" s="11"/>
      <c r="FW44" s="11">
        <v>0</v>
      </c>
      <c r="FX44" s="11">
        <v>0</v>
      </c>
      <c r="FY44" s="11">
        <v>0</v>
      </c>
      <c r="FZ44" s="11">
        <v>0</v>
      </c>
      <c r="GA44" s="11">
        <v>0</v>
      </c>
      <c r="GB44" s="11">
        <v>0</v>
      </c>
      <c r="GC44" s="11">
        <v>0</v>
      </c>
      <c r="GD44" s="11">
        <v>0</v>
      </c>
      <c r="GE44" s="11">
        <v>0</v>
      </c>
      <c r="GF44" s="11">
        <v>0</v>
      </c>
      <c r="GG44" s="11">
        <v>0</v>
      </c>
      <c r="GH44" s="26">
        <f t="shared" si="15"/>
        <v>0</v>
      </c>
      <c r="GI44" s="11">
        <v>0</v>
      </c>
      <c r="GJ44" s="11">
        <v>0</v>
      </c>
      <c r="GK44" s="11">
        <v>0</v>
      </c>
      <c r="GL44" s="11">
        <v>0</v>
      </c>
      <c r="GM44" s="11">
        <v>0</v>
      </c>
      <c r="GN44" s="11">
        <v>0</v>
      </c>
      <c r="GO44" s="11">
        <v>0</v>
      </c>
      <c r="GP44" s="11">
        <v>0</v>
      </c>
      <c r="GQ44" s="11">
        <v>0</v>
      </c>
      <c r="GR44" s="11">
        <v>0</v>
      </c>
      <c r="GS44" s="11">
        <v>0</v>
      </c>
      <c r="GT44" s="11">
        <v>0</v>
      </c>
      <c r="GU44" s="26">
        <f t="shared" si="16"/>
        <v>0</v>
      </c>
      <c r="GV44" s="11">
        <v>0</v>
      </c>
      <c r="GW44" s="11">
        <v>0</v>
      </c>
      <c r="GX44" s="11">
        <v>0</v>
      </c>
      <c r="GY44" s="11">
        <v>0</v>
      </c>
      <c r="GZ44" s="11">
        <v>0</v>
      </c>
      <c r="HA44" s="11">
        <v>0</v>
      </c>
      <c r="HB44" s="11">
        <v>0</v>
      </c>
      <c r="HC44" s="11">
        <v>0</v>
      </c>
      <c r="HD44" s="11">
        <v>0</v>
      </c>
      <c r="HE44" s="11">
        <v>0</v>
      </c>
      <c r="HF44" s="11">
        <v>0</v>
      </c>
      <c r="HG44" s="11">
        <v>0</v>
      </c>
      <c r="HH44" s="26">
        <f t="shared" si="17"/>
        <v>0</v>
      </c>
      <c r="HI44" s="11">
        <v>0</v>
      </c>
      <c r="HJ44" s="11">
        <v>0</v>
      </c>
      <c r="HK44" s="11">
        <v>0</v>
      </c>
      <c r="HL44" s="11">
        <v>0</v>
      </c>
      <c r="HM44" s="11">
        <v>0</v>
      </c>
      <c r="HN44" s="11">
        <v>0</v>
      </c>
      <c r="HO44" s="11">
        <v>0</v>
      </c>
      <c r="HP44" s="11">
        <v>0</v>
      </c>
      <c r="HQ44" s="11">
        <v>0</v>
      </c>
      <c r="HR44" s="11">
        <v>0</v>
      </c>
      <c r="HS44" s="11">
        <v>0</v>
      </c>
      <c r="HT44" s="11">
        <v>0</v>
      </c>
      <c r="HU44" s="26">
        <f t="shared" si="18"/>
        <v>0</v>
      </c>
      <c r="HV44" s="11">
        <v>0</v>
      </c>
      <c r="HW44" s="11">
        <v>0</v>
      </c>
      <c r="HX44" s="11">
        <v>0</v>
      </c>
      <c r="HY44" s="11">
        <v>0</v>
      </c>
      <c r="HZ44" s="11">
        <v>0</v>
      </c>
      <c r="IA44" s="11">
        <v>0</v>
      </c>
      <c r="IB44" s="11">
        <v>0</v>
      </c>
      <c r="IC44" s="11">
        <v>0</v>
      </c>
      <c r="ID44" s="11">
        <v>0</v>
      </c>
      <c r="IE44" s="11">
        <v>0</v>
      </c>
      <c r="IF44" s="11">
        <v>0</v>
      </c>
      <c r="IG44" s="11">
        <v>0</v>
      </c>
      <c r="IH44" s="26">
        <f t="shared" si="19"/>
        <v>0</v>
      </c>
      <c r="II44" s="9">
        <f t="shared" si="20"/>
        <v>9635</v>
      </c>
      <c r="IJ44" s="9">
        <f t="shared" si="21"/>
        <v>0</v>
      </c>
      <c r="IK44" s="11">
        <v>0</v>
      </c>
      <c r="IL44" s="11">
        <v>0</v>
      </c>
      <c r="IM44" s="11">
        <v>77161</v>
      </c>
      <c r="IN44" s="11">
        <v>0</v>
      </c>
      <c r="IO44" s="11">
        <v>0</v>
      </c>
      <c r="IP44" s="11">
        <v>84376</v>
      </c>
      <c r="IQ44" s="11">
        <v>0</v>
      </c>
      <c r="IR44" s="11">
        <v>0</v>
      </c>
      <c r="IS44" s="11">
        <v>74718</v>
      </c>
      <c r="IT44" s="11">
        <v>0</v>
      </c>
      <c r="IU44" s="11">
        <v>0</v>
      </c>
      <c r="IV44" s="11">
        <v>78251</v>
      </c>
      <c r="IW44" s="27">
        <f t="shared" si="22"/>
        <v>314506</v>
      </c>
      <c r="IX44" s="11">
        <v>0</v>
      </c>
      <c r="IY44" s="11">
        <v>0</v>
      </c>
      <c r="IZ44" s="11">
        <v>55907</v>
      </c>
      <c r="JA44" s="11">
        <v>0</v>
      </c>
      <c r="JB44" s="11">
        <v>0</v>
      </c>
      <c r="JC44" s="11">
        <v>58064</v>
      </c>
      <c r="JD44" s="11">
        <v>0</v>
      </c>
      <c r="JE44" s="11">
        <v>0</v>
      </c>
      <c r="JF44" s="11">
        <v>54275</v>
      </c>
      <c r="JG44" s="11">
        <v>0</v>
      </c>
      <c r="JH44" s="11">
        <v>0</v>
      </c>
      <c r="JI44" s="11">
        <v>56243</v>
      </c>
      <c r="JJ44" s="27">
        <f t="shared" si="23"/>
        <v>224489</v>
      </c>
      <c r="JK44" s="11">
        <v>0</v>
      </c>
      <c r="JL44" s="11">
        <v>0</v>
      </c>
      <c r="JM44" s="11">
        <v>20376</v>
      </c>
      <c r="JN44" s="11">
        <v>0</v>
      </c>
      <c r="JO44" s="11">
        <v>0</v>
      </c>
      <c r="JP44" s="11">
        <v>25234</v>
      </c>
      <c r="JQ44" s="11">
        <v>0</v>
      </c>
      <c r="JR44" s="11">
        <v>0</v>
      </c>
      <c r="JS44" s="11">
        <v>19515</v>
      </c>
      <c r="JT44" s="11">
        <v>0</v>
      </c>
      <c r="JU44" s="11">
        <v>0</v>
      </c>
      <c r="JV44" s="11">
        <v>21208</v>
      </c>
      <c r="JW44" s="27">
        <f t="shared" si="24"/>
        <v>86333</v>
      </c>
      <c r="JX44" s="11">
        <v>0</v>
      </c>
      <c r="JY44" s="11">
        <v>0</v>
      </c>
      <c r="JZ44" s="11">
        <v>878</v>
      </c>
      <c r="KA44" s="11">
        <v>0</v>
      </c>
      <c r="KB44" s="11">
        <v>0</v>
      </c>
      <c r="KC44" s="11">
        <v>1078</v>
      </c>
      <c r="KD44" s="11">
        <v>0</v>
      </c>
      <c r="KE44" s="11">
        <v>0</v>
      </c>
      <c r="KF44" s="11">
        <v>928</v>
      </c>
      <c r="KG44" s="11">
        <v>0</v>
      </c>
      <c r="KH44" s="11">
        <v>0</v>
      </c>
      <c r="KI44" s="11">
        <v>800</v>
      </c>
      <c r="KJ44" s="27">
        <f t="shared" si="25"/>
        <v>3684</v>
      </c>
      <c r="KK44" s="11"/>
      <c r="KL44" s="11">
        <v>0</v>
      </c>
      <c r="KM44" s="11">
        <v>1114</v>
      </c>
      <c r="KN44" s="11">
        <v>0</v>
      </c>
      <c r="KO44" s="11">
        <v>0</v>
      </c>
      <c r="KP44" s="11">
        <v>1219</v>
      </c>
      <c r="KQ44" s="11">
        <v>0</v>
      </c>
      <c r="KR44" s="11">
        <v>0</v>
      </c>
      <c r="KS44" s="11">
        <v>1130</v>
      </c>
      <c r="KT44" s="11">
        <v>0</v>
      </c>
      <c r="KU44" s="11">
        <v>0</v>
      </c>
      <c r="KV44" s="11">
        <v>1161</v>
      </c>
      <c r="KW44" s="27">
        <f t="shared" si="26"/>
        <v>4624</v>
      </c>
      <c r="KX44" s="11">
        <v>0</v>
      </c>
      <c r="KY44" s="11">
        <v>0</v>
      </c>
      <c r="KZ44" s="11">
        <v>1088</v>
      </c>
      <c r="LA44" s="11">
        <v>0</v>
      </c>
      <c r="LB44" s="11">
        <v>0</v>
      </c>
      <c r="LC44" s="11">
        <v>1183</v>
      </c>
      <c r="LD44" s="11">
        <v>0</v>
      </c>
      <c r="LE44" s="11">
        <v>0</v>
      </c>
      <c r="LF44" s="11">
        <v>1107</v>
      </c>
      <c r="LG44" s="11">
        <v>0</v>
      </c>
      <c r="LH44" s="11">
        <v>0</v>
      </c>
      <c r="LI44" s="11">
        <v>1126</v>
      </c>
      <c r="LJ44" s="27">
        <f t="shared" si="27"/>
        <v>4504</v>
      </c>
      <c r="LK44" s="11">
        <v>0</v>
      </c>
      <c r="LL44" s="11">
        <v>0</v>
      </c>
      <c r="LM44" s="11">
        <v>0</v>
      </c>
      <c r="LN44" s="11">
        <v>0</v>
      </c>
      <c r="LO44" s="11">
        <v>0</v>
      </c>
      <c r="LP44" s="11">
        <v>0</v>
      </c>
      <c r="LQ44" s="11">
        <v>0</v>
      </c>
      <c r="LR44" s="11">
        <v>0</v>
      </c>
      <c r="LS44" s="11">
        <v>0</v>
      </c>
      <c r="LT44" s="11">
        <v>0</v>
      </c>
      <c r="LU44" s="11">
        <v>0</v>
      </c>
      <c r="LV44" s="11">
        <v>0</v>
      </c>
      <c r="LW44" s="27">
        <f t="shared" si="28"/>
        <v>0</v>
      </c>
      <c r="LX44" s="11">
        <v>0</v>
      </c>
      <c r="LY44" s="11">
        <v>0</v>
      </c>
      <c r="LZ44" s="11">
        <v>26</v>
      </c>
      <c r="MA44" s="11">
        <v>0</v>
      </c>
      <c r="MB44" s="11">
        <v>0</v>
      </c>
      <c r="MC44" s="11">
        <v>36</v>
      </c>
      <c r="MD44" s="11">
        <v>0</v>
      </c>
      <c r="ME44" s="11">
        <v>0</v>
      </c>
      <c r="MF44" s="11">
        <v>23</v>
      </c>
      <c r="MG44" s="11">
        <v>0</v>
      </c>
      <c r="MH44" s="11">
        <v>0</v>
      </c>
      <c r="MI44" s="11">
        <v>35</v>
      </c>
      <c r="MJ44" s="27">
        <f t="shared" si="29"/>
        <v>120</v>
      </c>
      <c r="MK44" s="11">
        <v>0</v>
      </c>
      <c r="ML44" s="11">
        <v>0</v>
      </c>
      <c r="MM44" s="11">
        <v>6211</v>
      </c>
      <c r="MN44" s="11">
        <v>0</v>
      </c>
      <c r="MO44" s="11">
        <v>0</v>
      </c>
      <c r="MP44" s="11">
        <v>6846</v>
      </c>
      <c r="MQ44" s="11">
        <v>0</v>
      </c>
      <c r="MR44" s="11">
        <v>0</v>
      </c>
      <c r="MS44" s="11">
        <v>7155</v>
      </c>
      <c r="MT44" s="11">
        <v>0</v>
      </c>
      <c r="MU44" s="11">
        <v>0</v>
      </c>
      <c r="MV44" s="11">
        <v>7319</v>
      </c>
      <c r="MW44" s="27">
        <f t="shared" si="30"/>
        <v>27531</v>
      </c>
      <c r="MX44" s="11">
        <v>0</v>
      </c>
      <c r="MY44" s="11">
        <v>0</v>
      </c>
      <c r="MZ44" s="11">
        <v>5597</v>
      </c>
      <c r="NA44" s="11">
        <v>0</v>
      </c>
      <c r="NB44" s="11">
        <v>0</v>
      </c>
      <c r="NC44" s="11">
        <v>6092</v>
      </c>
      <c r="ND44" s="11">
        <v>0</v>
      </c>
      <c r="NE44" s="11">
        <v>0</v>
      </c>
      <c r="NF44" s="11">
        <v>6491</v>
      </c>
      <c r="NG44" s="11">
        <v>0</v>
      </c>
      <c r="NH44" s="11">
        <v>0</v>
      </c>
      <c r="NI44" s="11">
        <v>6607</v>
      </c>
      <c r="NJ44" s="27">
        <f t="shared" si="31"/>
        <v>24787</v>
      </c>
      <c r="NK44" s="11">
        <v>0</v>
      </c>
      <c r="NL44" s="11">
        <v>0</v>
      </c>
      <c r="NM44" s="11">
        <v>257</v>
      </c>
      <c r="NN44" s="11">
        <v>0</v>
      </c>
      <c r="NO44" s="11">
        <v>0</v>
      </c>
      <c r="NP44" s="11">
        <v>310</v>
      </c>
      <c r="NQ44" s="11">
        <v>0</v>
      </c>
      <c r="NR44" s="11">
        <v>0</v>
      </c>
      <c r="NS44" s="11">
        <v>253</v>
      </c>
      <c r="NT44" s="11">
        <v>0</v>
      </c>
      <c r="NU44" s="11">
        <v>0</v>
      </c>
      <c r="NV44" s="11">
        <v>292</v>
      </c>
      <c r="NW44" s="27">
        <f t="shared" si="32"/>
        <v>1112</v>
      </c>
      <c r="NX44" s="11">
        <v>0</v>
      </c>
      <c r="NY44" s="11">
        <v>0</v>
      </c>
      <c r="NZ44" s="11">
        <v>357</v>
      </c>
      <c r="OA44" s="11">
        <v>0</v>
      </c>
      <c r="OB44" s="11">
        <v>0</v>
      </c>
      <c r="OC44" s="11">
        <v>444</v>
      </c>
      <c r="OD44" s="11">
        <v>0</v>
      </c>
      <c r="OE44" s="11">
        <v>0</v>
      </c>
      <c r="OF44" s="11">
        <v>411</v>
      </c>
      <c r="OG44" s="11">
        <v>0</v>
      </c>
      <c r="OH44" s="11">
        <v>0</v>
      </c>
      <c r="OI44" s="11">
        <v>420</v>
      </c>
      <c r="OJ44" s="27">
        <f t="shared" si="33"/>
        <v>1632</v>
      </c>
      <c r="OK44" s="11">
        <v>0</v>
      </c>
      <c r="OL44" s="11">
        <v>0</v>
      </c>
      <c r="OM44" s="11">
        <v>70789</v>
      </c>
      <c r="ON44" s="11">
        <v>0</v>
      </c>
      <c r="OO44" s="11">
        <v>0</v>
      </c>
      <c r="OP44" s="11">
        <v>71585</v>
      </c>
      <c r="OQ44" s="11">
        <v>0</v>
      </c>
      <c r="OR44" s="11">
        <v>0</v>
      </c>
      <c r="OS44" s="11">
        <v>57991</v>
      </c>
      <c r="OT44" s="11">
        <v>0</v>
      </c>
      <c r="OU44" s="11">
        <v>0</v>
      </c>
      <c r="OV44" s="11">
        <v>44232</v>
      </c>
      <c r="OW44" s="27">
        <f t="shared" si="34"/>
        <v>244597</v>
      </c>
      <c r="OX44" s="11">
        <v>0</v>
      </c>
      <c r="OY44" s="11">
        <v>0</v>
      </c>
      <c r="OZ44" s="11">
        <v>57463</v>
      </c>
      <c r="PA44" s="11">
        <v>0</v>
      </c>
      <c r="PB44" s="11">
        <v>0</v>
      </c>
      <c r="PC44" s="11">
        <v>58073</v>
      </c>
      <c r="PD44" s="11">
        <v>0</v>
      </c>
      <c r="PE44" s="11">
        <v>0</v>
      </c>
      <c r="PF44" s="11">
        <v>47185</v>
      </c>
      <c r="PG44" s="11">
        <v>0</v>
      </c>
      <c r="PH44" s="11">
        <v>0</v>
      </c>
      <c r="PI44" s="11">
        <v>35976</v>
      </c>
      <c r="PJ44" s="27">
        <f t="shared" si="35"/>
        <v>198697</v>
      </c>
      <c r="PK44" s="11">
        <v>0</v>
      </c>
      <c r="PL44" s="11">
        <v>0</v>
      </c>
      <c r="PM44" s="11">
        <v>2757</v>
      </c>
      <c r="PN44" s="11">
        <v>0</v>
      </c>
      <c r="PO44" s="11">
        <v>0</v>
      </c>
      <c r="PP44" s="11">
        <v>2791</v>
      </c>
      <c r="PQ44" s="11">
        <v>0</v>
      </c>
      <c r="PR44" s="11">
        <v>0</v>
      </c>
      <c r="PS44" s="11">
        <v>2212</v>
      </c>
      <c r="PT44" s="11">
        <v>0</v>
      </c>
      <c r="PU44" s="11">
        <v>0</v>
      </c>
      <c r="PV44" s="11">
        <v>1738</v>
      </c>
      <c r="PW44" s="27">
        <f t="shared" si="36"/>
        <v>9498</v>
      </c>
      <c r="PX44" s="11">
        <v>0</v>
      </c>
      <c r="PY44" s="11">
        <v>0</v>
      </c>
      <c r="PZ44" s="11">
        <v>10569</v>
      </c>
      <c r="QA44" s="11">
        <v>0</v>
      </c>
      <c r="QB44" s="11">
        <v>0</v>
      </c>
      <c r="QC44" s="11">
        <v>10721</v>
      </c>
      <c r="QD44" s="11">
        <v>0</v>
      </c>
      <c r="QE44" s="11">
        <v>0</v>
      </c>
      <c r="QF44" s="11">
        <v>8594</v>
      </c>
      <c r="QG44" s="11">
        <v>0</v>
      </c>
      <c r="QH44" s="11">
        <v>0</v>
      </c>
      <c r="QI44" s="11">
        <v>6518</v>
      </c>
      <c r="QJ44" s="27">
        <f t="shared" si="37"/>
        <v>36402</v>
      </c>
      <c r="QK44" s="11">
        <v>20963</v>
      </c>
      <c r="QL44" s="11">
        <v>19974</v>
      </c>
      <c r="QM44" s="11">
        <v>19250</v>
      </c>
      <c r="QN44" s="11">
        <v>21334</v>
      </c>
      <c r="QO44" s="11">
        <v>20989</v>
      </c>
      <c r="QP44" s="11">
        <v>23941</v>
      </c>
      <c r="QQ44" s="11">
        <v>21951</v>
      </c>
      <c r="QR44" s="11">
        <v>21528</v>
      </c>
      <c r="QS44" s="11">
        <v>20066</v>
      </c>
      <c r="QT44" s="11">
        <v>23968</v>
      </c>
      <c r="QU44" s="11">
        <v>22912</v>
      </c>
      <c r="QV44" s="11">
        <v>22513</v>
      </c>
      <c r="QW44" s="27">
        <f t="shared" si="38"/>
        <v>259389</v>
      </c>
      <c r="QX44" s="11">
        <v>0</v>
      </c>
      <c r="QY44" s="11">
        <v>0</v>
      </c>
      <c r="QZ44" s="11">
        <v>0</v>
      </c>
      <c r="RA44" s="11">
        <v>0</v>
      </c>
      <c r="RB44" s="11">
        <v>0</v>
      </c>
      <c r="RC44" s="11">
        <v>0</v>
      </c>
      <c r="RD44" s="11">
        <v>0</v>
      </c>
      <c r="RE44" s="11">
        <v>0</v>
      </c>
      <c r="RF44" s="11">
        <v>0</v>
      </c>
      <c r="RG44" s="11">
        <v>0</v>
      </c>
      <c r="RH44" s="11">
        <v>0</v>
      </c>
      <c r="RI44" s="11">
        <v>0</v>
      </c>
      <c r="RJ44" s="27">
        <f t="shared" si="39"/>
        <v>0</v>
      </c>
      <c r="RK44" s="11">
        <v>13</v>
      </c>
      <c r="RL44" s="11">
        <v>6</v>
      </c>
      <c r="RM44" s="11">
        <v>3</v>
      </c>
      <c r="RN44" s="11">
        <v>6</v>
      </c>
      <c r="RO44" s="11">
        <v>12</v>
      </c>
      <c r="RP44" s="11">
        <v>9</v>
      </c>
      <c r="RQ44" s="11">
        <v>6</v>
      </c>
      <c r="RR44" s="11">
        <v>5</v>
      </c>
      <c r="RS44" s="11">
        <v>6</v>
      </c>
      <c r="RT44" s="11">
        <v>7</v>
      </c>
      <c r="RU44" s="11">
        <v>7</v>
      </c>
      <c r="RV44" s="11">
        <v>5</v>
      </c>
      <c r="RW44" s="27">
        <f t="shared" si="40"/>
        <v>85</v>
      </c>
      <c r="RX44" s="11">
        <v>0</v>
      </c>
      <c r="RY44" s="11">
        <v>0</v>
      </c>
      <c r="RZ44" s="11">
        <v>0</v>
      </c>
      <c r="SA44" s="11">
        <v>0</v>
      </c>
      <c r="SB44" s="11">
        <v>0</v>
      </c>
      <c r="SC44" s="11">
        <v>0</v>
      </c>
      <c r="SD44" s="11">
        <v>0</v>
      </c>
      <c r="SE44" s="11">
        <v>0</v>
      </c>
      <c r="SF44" s="11">
        <v>0</v>
      </c>
      <c r="SG44" s="11">
        <v>0</v>
      </c>
      <c r="SH44" s="11">
        <v>0</v>
      </c>
      <c r="SI44" s="11">
        <v>0</v>
      </c>
      <c r="SJ44" s="27">
        <f t="shared" si="41"/>
        <v>0</v>
      </c>
      <c r="SK44" s="11">
        <v>36</v>
      </c>
      <c r="SL44" s="11">
        <v>72</v>
      </c>
      <c r="SM44" s="11">
        <v>51</v>
      </c>
      <c r="SN44" s="11">
        <v>67</v>
      </c>
      <c r="SO44" s="11">
        <v>70</v>
      </c>
      <c r="SP44" s="11">
        <v>75</v>
      </c>
      <c r="SQ44" s="11">
        <v>64</v>
      </c>
      <c r="SR44" s="11">
        <v>60</v>
      </c>
      <c r="SS44" s="11">
        <v>60</v>
      </c>
      <c r="ST44" s="11">
        <v>42</v>
      </c>
      <c r="SU44" s="11">
        <v>63</v>
      </c>
      <c r="SV44" s="11">
        <v>63</v>
      </c>
      <c r="SW44" s="27">
        <f t="shared" si="42"/>
        <v>723</v>
      </c>
      <c r="SX44" s="11" t="s">
        <v>2683</v>
      </c>
      <c r="SY44" s="11">
        <v>1236</v>
      </c>
      <c r="SZ44" s="11">
        <v>1123</v>
      </c>
      <c r="TA44" s="11">
        <v>21510</v>
      </c>
      <c r="TB44" s="11">
        <v>1313</v>
      </c>
      <c r="TC44" s="11">
        <v>1264</v>
      </c>
      <c r="TD44" s="11">
        <v>1249</v>
      </c>
      <c r="TE44" s="11">
        <v>1416</v>
      </c>
      <c r="TF44" s="11">
        <v>1309</v>
      </c>
      <c r="TG44" s="11">
        <v>1133</v>
      </c>
      <c r="TH44" s="11">
        <v>1361</v>
      </c>
      <c r="TI44" s="11">
        <v>1252</v>
      </c>
      <c r="TJ44" s="11">
        <v>1234</v>
      </c>
      <c r="TK44" s="27">
        <f t="shared" si="43"/>
        <v>35400</v>
      </c>
      <c r="TL44" s="11">
        <v>0</v>
      </c>
      <c r="TM44" s="11">
        <v>0</v>
      </c>
      <c r="TN44" s="11">
        <v>0</v>
      </c>
      <c r="TO44" s="11">
        <v>0</v>
      </c>
      <c r="TP44" s="11">
        <v>0</v>
      </c>
      <c r="TQ44" s="11">
        <v>0</v>
      </c>
      <c r="TR44" s="11">
        <v>0</v>
      </c>
      <c r="TS44" s="11">
        <v>0</v>
      </c>
      <c r="TT44" s="11">
        <v>0</v>
      </c>
      <c r="TU44" s="11">
        <v>0</v>
      </c>
      <c r="TV44" s="11">
        <v>0</v>
      </c>
      <c r="TW44" s="11">
        <v>0</v>
      </c>
      <c r="TX44" s="27">
        <f t="shared" si="44"/>
        <v>0</v>
      </c>
      <c r="TY44" s="11">
        <v>33</v>
      </c>
      <c r="TZ44" s="11">
        <v>0</v>
      </c>
      <c r="UA44" s="11">
        <v>0</v>
      </c>
    </row>
    <row r="45" spans="1:547" ht="16" customHeight="1" x14ac:dyDescent="0.35">
      <c r="A45" s="11" t="s">
        <v>1545</v>
      </c>
      <c r="B45" s="11">
        <v>31455</v>
      </c>
      <c r="C45" s="11">
        <v>11922</v>
      </c>
      <c r="D45" s="11">
        <v>16097</v>
      </c>
      <c r="E45" s="11">
        <v>3436</v>
      </c>
      <c r="F45" s="11">
        <v>594</v>
      </c>
      <c r="G45" s="11">
        <v>655</v>
      </c>
      <c r="H45" s="11">
        <v>674</v>
      </c>
      <c r="I45" s="11">
        <v>711</v>
      </c>
      <c r="J45" s="11">
        <v>479</v>
      </c>
      <c r="K45" s="11">
        <v>632</v>
      </c>
      <c r="L45" s="11">
        <v>809</v>
      </c>
      <c r="M45" s="11">
        <v>758</v>
      </c>
      <c r="N45" s="11">
        <v>557</v>
      </c>
      <c r="O45" s="11">
        <v>730</v>
      </c>
      <c r="P45" s="11" t="s">
        <v>2866</v>
      </c>
      <c r="Q45" s="11">
        <v>685</v>
      </c>
      <c r="R45" s="11">
        <v>696</v>
      </c>
      <c r="S45" s="26">
        <f t="shared" si="0"/>
        <v>7980</v>
      </c>
      <c r="T45" s="11">
        <v>265</v>
      </c>
      <c r="U45" s="11">
        <v>276</v>
      </c>
      <c r="V45" s="11">
        <v>252</v>
      </c>
      <c r="W45" s="11">
        <v>278</v>
      </c>
      <c r="X45" s="11">
        <v>211</v>
      </c>
      <c r="Y45" s="11">
        <v>268</v>
      </c>
      <c r="Z45" s="11">
        <v>322</v>
      </c>
      <c r="AA45" s="11">
        <v>321</v>
      </c>
      <c r="AB45" s="11">
        <v>206</v>
      </c>
      <c r="AC45" s="11">
        <v>300</v>
      </c>
      <c r="AD45" s="11">
        <v>277</v>
      </c>
      <c r="AE45" s="11">
        <v>243</v>
      </c>
      <c r="AF45" s="26">
        <f t="shared" si="1"/>
        <v>3219</v>
      </c>
      <c r="AG45" s="11">
        <v>194</v>
      </c>
      <c r="AH45" s="11">
        <v>240</v>
      </c>
      <c r="AI45" s="11">
        <v>281</v>
      </c>
      <c r="AJ45" s="11">
        <v>278</v>
      </c>
      <c r="AK45" s="11">
        <v>114</v>
      </c>
      <c r="AL45" s="11">
        <v>208</v>
      </c>
      <c r="AM45" s="11">
        <v>291</v>
      </c>
      <c r="AN45" s="11">
        <v>266</v>
      </c>
      <c r="AO45" s="11">
        <v>217</v>
      </c>
      <c r="AP45" s="11">
        <v>257</v>
      </c>
      <c r="AQ45" s="11">
        <v>255</v>
      </c>
      <c r="AR45" s="11">
        <v>320</v>
      </c>
      <c r="AS45" s="26">
        <f t="shared" si="2"/>
        <v>2921</v>
      </c>
      <c r="AT45" s="11">
        <v>33</v>
      </c>
      <c r="AU45" s="11">
        <v>31</v>
      </c>
      <c r="AV45" s="11">
        <v>31</v>
      </c>
      <c r="AW45" s="11">
        <v>36</v>
      </c>
      <c r="AX45" s="11">
        <v>21</v>
      </c>
      <c r="AY45" s="11">
        <v>27</v>
      </c>
      <c r="AZ45" s="11">
        <v>40</v>
      </c>
      <c r="BA45" s="11">
        <v>35</v>
      </c>
      <c r="BB45" s="11">
        <v>26</v>
      </c>
      <c r="BC45" s="11">
        <v>33</v>
      </c>
      <c r="BD45" s="11">
        <v>33</v>
      </c>
      <c r="BE45" s="11">
        <v>25</v>
      </c>
      <c r="BF45" s="26">
        <f t="shared" si="3"/>
        <v>371</v>
      </c>
      <c r="BG45" s="11">
        <v>102</v>
      </c>
      <c r="BH45" s="11">
        <v>108</v>
      </c>
      <c r="BI45" s="11">
        <v>110</v>
      </c>
      <c r="BJ45" s="11">
        <v>119</v>
      </c>
      <c r="BK45" s="11">
        <v>133</v>
      </c>
      <c r="BL45" s="11">
        <v>129</v>
      </c>
      <c r="BM45" s="11">
        <v>156</v>
      </c>
      <c r="BN45" s="11">
        <v>136</v>
      </c>
      <c r="BO45" s="11">
        <v>108</v>
      </c>
      <c r="BP45" s="11">
        <v>140</v>
      </c>
      <c r="BQ45" s="11">
        <v>120</v>
      </c>
      <c r="BR45" s="11">
        <v>108</v>
      </c>
      <c r="BS45" s="26">
        <f t="shared" si="4"/>
        <v>1469</v>
      </c>
      <c r="BT45" s="11">
        <v>2</v>
      </c>
      <c r="BU45" s="11">
        <v>4</v>
      </c>
      <c r="BV45" s="11">
        <v>6</v>
      </c>
      <c r="BW45" s="11">
        <v>3</v>
      </c>
      <c r="BX45" s="11">
        <v>0</v>
      </c>
      <c r="BY45" s="11">
        <v>0</v>
      </c>
      <c r="BZ45" s="11">
        <v>4</v>
      </c>
      <c r="CA45" s="11">
        <v>4</v>
      </c>
      <c r="CB45" s="11">
        <v>2</v>
      </c>
      <c r="CC45" s="11">
        <v>4</v>
      </c>
      <c r="CD45" s="11">
        <v>1</v>
      </c>
      <c r="CE45" s="11">
        <v>0</v>
      </c>
      <c r="CF45" s="26">
        <f t="shared" si="5"/>
        <v>30</v>
      </c>
      <c r="CG45" s="11">
        <v>0</v>
      </c>
      <c r="CH45" s="11">
        <v>0</v>
      </c>
      <c r="CI45" s="11">
        <v>0</v>
      </c>
      <c r="CJ45" s="11">
        <v>0</v>
      </c>
      <c r="CK45" s="11">
        <v>0</v>
      </c>
      <c r="CL45" s="11">
        <v>0</v>
      </c>
      <c r="CM45" s="11">
        <v>0</v>
      </c>
      <c r="CN45" s="11">
        <v>0</v>
      </c>
      <c r="CO45" s="11">
        <v>0</v>
      </c>
      <c r="CP45" s="11">
        <v>0</v>
      </c>
      <c r="CQ45" s="11">
        <v>0</v>
      </c>
      <c r="CR45" s="11">
        <v>0</v>
      </c>
      <c r="CS45" s="26">
        <f t="shared" si="6"/>
        <v>0</v>
      </c>
      <c r="CT45" s="11">
        <v>1</v>
      </c>
      <c r="CU45" s="11">
        <v>3</v>
      </c>
      <c r="CV45" s="11">
        <v>5</v>
      </c>
      <c r="CW45" s="11">
        <v>3</v>
      </c>
      <c r="CX45" s="11">
        <v>0</v>
      </c>
      <c r="CY45" s="11">
        <v>0</v>
      </c>
      <c r="CZ45" s="11">
        <v>4</v>
      </c>
      <c r="DA45" s="11">
        <v>4</v>
      </c>
      <c r="DB45" s="11">
        <v>2</v>
      </c>
      <c r="DC45" s="11">
        <v>4</v>
      </c>
      <c r="DD45" s="11">
        <v>1</v>
      </c>
      <c r="DE45" s="11">
        <v>0</v>
      </c>
      <c r="DF45" s="26">
        <f t="shared" si="7"/>
        <v>27</v>
      </c>
      <c r="DG45" s="11">
        <v>0</v>
      </c>
      <c r="DH45" s="11">
        <v>0</v>
      </c>
      <c r="DI45" s="11">
        <v>0</v>
      </c>
      <c r="DJ45" s="11">
        <v>0</v>
      </c>
      <c r="DK45" s="11">
        <v>0</v>
      </c>
      <c r="DL45" s="11">
        <v>0</v>
      </c>
      <c r="DM45" s="11">
        <v>0</v>
      </c>
      <c r="DN45" s="11">
        <v>0</v>
      </c>
      <c r="DO45" s="11">
        <v>0</v>
      </c>
      <c r="DP45" s="11">
        <v>0</v>
      </c>
      <c r="DQ45" s="11">
        <v>0</v>
      </c>
      <c r="DR45" s="11">
        <v>0</v>
      </c>
      <c r="DS45" s="26">
        <f t="shared" si="8"/>
        <v>0</v>
      </c>
      <c r="DT45" s="11">
        <v>0</v>
      </c>
      <c r="DU45" s="11">
        <v>0</v>
      </c>
      <c r="DV45" s="11">
        <v>0</v>
      </c>
      <c r="DW45" s="11">
        <v>0</v>
      </c>
      <c r="DX45" s="11">
        <v>0</v>
      </c>
      <c r="DY45" s="11">
        <v>0</v>
      </c>
      <c r="DZ45" s="11">
        <v>0</v>
      </c>
      <c r="EA45" s="11">
        <v>0</v>
      </c>
      <c r="EB45" s="11">
        <v>0</v>
      </c>
      <c r="EC45" s="11">
        <v>0</v>
      </c>
      <c r="ED45" s="11">
        <v>0</v>
      </c>
      <c r="EE45" s="11">
        <v>0</v>
      </c>
      <c r="EF45" s="26">
        <f t="shared" si="9"/>
        <v>0</v>
      </c>
      <c r="EG45" s="9">
        <f t="shared" si="10"/>
        <v>7980</v>
      </c>
      <c r="EH45" s="9">
        <f t="shared" si="11"/>
        <v>27</v>
      </c>
      <c r="EI45" s="11">
        <v>8439</v>
      </c>
      <c r="EJ45" s="11">
        <v>7160</v>
      </c>
      <c r="EK45" s="11">
        <v>10296</v>
      </c>
      <c r="EL45" s="11">
        <v>13352</v>
      </c>
      <c r="EM45" s="11">
        <v>4947</v>
      </c>
      <c r="EN45" s="11">
        <v>7082</v>
      </c>
      <c r="EO45" s="11">
        <v>10956</v>
      </c>
      <c r="EP45" s="11">
        <v>9768</v>
      </c>
      <c r="EQ45" s="11">
        <v>7333</v>
      </c>
      <c r="ER45" s="11">
        <v>9236</v>
      </c>
      <c r="ES45" s="11">
        <v>9429</v>
      </c>
      <c r="ET45" s="11">
        <v>9335</v>
      </c>
      <c r="EU45" s="26">
        <f t="shared" si="12"/>
        <v>107333</v>
      </c>
      <c r="EV45" s="11">
        <v>2403</v>
      </c>
      <c r="EW45" s="11">
        <v>2451</v>
      </c>
      <c r="EX45" s="11">
        <v>2142</v>
      </c>
      <c r="EY45" s="11">
        <v>2333</v>
      </c>
      <c r="EZ45" s="11">
        <v>1527</v>
      </c>
      <c r="FA45" s="11">
        <v>2256</v>
      </c>
      <c r="FB45" s="11">
        <v>2881</v>
      </c>
      <c r="FC45" s="11">
        <v>3063</v>
      </c>
      <c r="FD45" s="11">
        <v>1633</v>
      </c>
      <c r="FE45" s="11">
        <v>2435</v>
      </c>
      <c r="FF45" s="11">
        <v>2475</v>
      </c>
      <c r="FG45" s="11">
        <v>2204</v>
      </c>
      <c r="FH45" s="26">
        <f t="shared" si="13"/>
        <v>27803</v>
      </c>
      <c r="FI45" s="11">
        <v>3110</v>
      </c>
      <c r="FJ45" s="11">
        <v>3411</v>
      </c>
      <c r="FK45" s="11">
        <v>5740</v>
      </c>
      <c r="FL45" s="11">
        <v>9491</v>
      </c>
      <c r="FM45" s="11">
        <v>1390</v>
      </c>
      <c r="FN45" s="11">
        <v>2539</v>
      </c>
      <c r="FO45" s="11">
        <v>4440</v>
      </c>
      <c r="FP45" s="11">
        <v>3907</v>
      </c>
      <c r="FQ45" s="11">
        <v>2987</v>
      </c>
      <c r="FR45" s="11">
        <v>3439</v>
      </c>
      <c r="FS45" s="11">
        <v>2588</v>
      </c>
      <c r="FT45" s="11">
        <v>5100</v>
      </c>
      <c r="FU45" s="26">
        <f t="shared" si="14"/>
        <v>48142</v>
      </c>
      <c r="FV45" s="11">
        <v>560</v>
      </c>
      <c r="FW45" s="11">
        <v>594</v>
      </c>
      <c r="FX45" s="11">
        <v>736</v>
      </c>
      <c r="FY45" s="11">
        <v>688</v>
      </c>
      <c r="FZ45" s="11">
        <v>331</v>
      </c>
      <c r="GA45" s="11">
        <v>433</v>
      </c>
      <c r="GB45" s="11">
        <v>759</v>
      </c>
      <c r="GC45" s="11">
        <v>736</v>
      </c>
      <c r="GD45" s="11">
        <v>434</v>
      </c>
      <c r="GE45" s="11">
        <v>466</v>
      </c>
      <c r="GF45" s="11">
        <v>547</v>
      </c>
      <c r="GG45" s="11">
        <v>450</v>
      </c>
      <c r="GH45" s="26">
        <f t="shared" si="15"/>
        <v>6734</v>
      </c>
      <c r="GI45" s="11">
        <v>6</v>
      </c>
      <c r="GJ45" s="11">
        <v>20</v>
      </c>
      <c r="GK45" s="11">
        <v>4786</v>
      </c>
      <c r="GL45" s="11">
        <v>5241</v>
      </c>
      <c r="GM45" s="11">
        <v>0</v>
      </c>
      <c r="GN45" s="11">
        <v>0</v>
      </c>
      <c r="GO45" s="11">
        <v>30</v>
      </c>
      <c r="GP45" s="11">
        <v>33</v>
      </c>
      <c r="GQ45" s="11">
        <v>14</v>
      </c>
      <c r="GR45" s="11">
        <v>31</v>
      </c>
      <c r="GS45" s="11">
        <v>9</v>
      </c>
      <c r="GT45" s="11">
        <v>0</v>
      </c>
      <c r="GU45" s="26">
        <f t="shared" si="16"/>
        <v>10170</v>
      </c>
      <c r="GV45" s="11">
        <v>0</v>
      </c>
      <c r="GW45" s="11">
        <v>0</v>
      </c>
      <c r="GX45" s="11">
        <v>0</v>
      </c>
      <c r="GY45" s="11">
        <v>0</v>
      </c>
      <c r="GZ45" s="11">
        <v>0</v>
      </c>
      <c r="HA45" s="11">
        <v>0</v>
      </c>
      <c r="HB45" s="11">
        <v>0</v>
      </c>
      <c r="HC45" s="11">
        <v>0</v>
      </c>
      <c r="HD45" s="11">
        <v>0</v>
      </c>
      <c r="HE45" s="11">
        <v>0</v>
      </c>
      <c r="HF45" s="11">
        <v>0</v>
      </c>
      <c r="HG45" s="11">
        <v>0</v>
      </c>
      <c r="HH45" s="26">
        <f t="shared" si="17"/>
        <v>0</v>
      </c>
      <c r="HI45" s="11">
        <v>5</v>
      </c>
      <c r="HJ45" s="11">
        <v>15</v>
      </c>
      <c r="HK45" s="11">
        <v>4784</v>
      </c>
      <c r="HL45" s="11">
        <v>5241</v>
      </c>
      <c r="HM45" s="11">
        <v>0</v>
      </c>
      <c r="HN45" s="11">
        <v>0</v>
      </c>
      <c r="HO45" s="11">
        <v>30</v>
      </c>
      <c r="HP45" s="11">
        <v>33</v>
      </c>
      <c r="HQ45" s="11">
        <v>14</v>
      </c>
      <c r="HR45" s="11">
        <v>31</v>
      </c>
      <c r="HS45" s="11">
        <v>9</v>
      </c>
      <c r="HT45" s="11">
        <v>0</v>
      </c>
      <c r="HU45" s="26">
        <f t="shared" si="18"/>
        <v>10162</v>
      </c>
      <c r="HV45" s="11">
        <v>1</v>
      </c>
      <c r="HW45" s="11">
        <v>5</v>
      </c>
      <c r="HX45" s="11">
        <v>2</v>
      </c>
      <c r="HY45" s="11">
        <v>0</v>
      </c>
      <c r="HZ45" s="11">
        <v>0</v>
      </c>
      <c r="IA45" s="11">
        <v>0</v>
      </c>
      <c r="IB45" s="11">
        <v>0</v>
      </c>
      <c r="IC45" s="11">
        <v>0</v>
      </c>
      <c r="ID45" s="11">
        <v>0</v>
      </c>
      <c r="IE45" s="11">
        <v>0</v>
      </c>
      <c r="IF45" s="11">
        <v>0</v>
      </c>
      <c r="IG45" s="11">
        <v>0</v>
      </c>
      <c r="IH45" s="26">
        <f t="shared" si="19"/>
        <v>8</v>
      </c>
      <c r="II45" s="9">
        <f t="shared" si="20"/>
        <v>82679</v>
      </c>
      <c r="IJ45" s="9">
        <f t="shared" si="21"/>
        <v>10170</v>
      </c>
      <c r="IK45" s="11">
        <v>62075</v>
      </c>
      <c r="IL45" s="11">
        <v>59385</v>
      </c>
      <c r="IM45" s="11">
        <v>58349</v>
      </c>
      <c r="IN45" s="11">
        <v>75032</v>
      </c>
      <c r="IO45" s="11">
        <v>86095</v>
      </c>
      <c r="IP45" s="11">
        <v>62155</v>
      </c>
      <c r="IQ45" s="11">
        <v>62704</v>
      </c>
      <c r="IR45" s="11">
        <v>59581</v>
      </c>
      <c r="IS45" s="11">
        <v>52980</v>
      </c>
      <c r="IT45" s="11">
        <v>59563</v>
      </c>
      <c r="IU45" s="11">
        <v>56828</v>
      </c>
      <c r="IV45" s="11">
        <v>59474</v>
      </c>
      <c r="IW45" s="27">
        <f t="shared" si="22"/>
        <v>754221</v>
      </c>
      <c r="IX45" s="11">
        <v>23644</v>
      </c>
      <c r="IY45" s="11">
        <v>23093</v>
      </c>
      <c r="IZ45" s="11">
        <v>23375</v>
      </c>
      <c r="JA45" s="11">
        <v>24735</v>
      </c>
      <c r="JB45" s="11">
        <v>27357</v>
      </c>
      <c r="JC45" s="11">
        <v>22744</v>
      </c>
      <c r="JD45" s="11">
        <v>23273</v>
      </c>
      <c r="JE45" s="11">
        <v>22548</v>
      </c>
      <c r="JF45" s="11">
        <v>20362</v>
      </c>
      <c r="JG45" s="11">
        <v>22845</v>
      </c>
      <c r="JH45" s="11">
        <v>21227</v>
      </c>
      <c r="JI45" s="11">
        <v>22025</v>
      </c>
      <c r="JJ45" s="27">
        <f t="shared" si="23"/>
        <v>277228</v>
      </c>
      <c r="JK45" s="11">
        <v>36790</v>
      </c>
      <c r="JL45" s="11">
        <v>34807</v>
      </c>
      <c r="JM45" s="11">
        <v>33549</v>
      </c>
      <c r="JN45" s="11">
        <v>48427</v>
      </c>
      <c r="JO45" s="11">
        <v>56461</v>
      </c>
      <c r="JP45" s="11">
        <v>37781</v>
      </c>
      <c r="JQ45" s="11">
        <v>37962</v>
      </c>
      <c r="JR45" s="11">
        <v>35831</v>
      </c>
      <c r="JS45" s="11">
        <v>31517</v>
      </c>
      <c r="JT45" s="11">
        <v>35465</v>
      </c>
      <c r="JU45" s="11">
        <v>34386</v>
      </c>
      <c r="JV45" s="11">
        <v>35976</v>
      </c>
      <c r="JW45" s="27">
        <f t="shared" si="24"/>
        <v>458952</v>
      </c>
      <c r="JX45" s="11">
        <v>1621</v>
      </c>
      <c r="JY45" s="11">
        <v>1485</v>
      </c>
      <c r="JZ45" s="11">
        <v>1425</v>
      </c>
      <c r="KA45" s="11">
        <v>1870</v>
      </c>
      <c r="KB45" s="11">
        <v>2277</v>
      </c>
      <c r="KC45" s="11">
        <v>1630</v>
      </c>
      <c r="KD45" s="11">
        <v>1469</v>
      </c>
      <c r="KE45" s="11">
        <v>1202</v>
      </c>
      <c r="KF45" s="11">
        <v>1101</v>
      </c>
      <c r="KG45" s="11">
        <v>1253</v>
      </c>
      <c r="KH45" s="11">
        <v>1215</v>
      </c>
      <c r="KI45" s="11">
        <v>1473</v>
      </c>
      <c r="KJ45" s="27">
        <f t="shared" si="25"/>
        <v>18021</v>
      </c>
      <c r="KK45" s="11">
        <v>1009</v>
      </c>
      <c r="KL45" s="11">
        <v>962</v>
      </c>
      <c r="KM45" s="11">
        <v>812</v>
      </c>
      <c r="KN45" s="11">
        <v>981</v>
      </c>
      <c r="KO45" s="11">
        <v>996</v>
      </c>
      <c r="KP45" s="11">
        <v>879</v>
      </c>
      <c r="KQ45" s="11">
        <v>807</v>
      </c>
      <c r="KR45" s="11">
        <v>840</v>
      </c>
      <c r="KS45" s="11">
        <v>683</v>
      </c>
      <c r="KT45" s="11">
        <v>936</v>
      </c>
      <c r="KU45" s="11">
        <v>778</v>
      </c>
      <c r="KV45" s="11">
        <v>687</v>
      </c>
      <c r="KW45" s="27">
        <f t="shared" si="26"/>
        <v>10370</v>
      </c>
      <c r="KX45" s="11">
        <v>815</v>
      </c>
      <c r="KY45" s="11">
        <v>777</v>
      </c>
      <c r="KZ45" s="11">
        <v>607</v>
      </c>
      <c r="LA45" s="11">
        <v>705</v>
      </c>
      <c r="LB45" s="11">
        <v>739</v>
      </c>
      <c r="LC45" s="11">
        <v>707</v>
      </c>
      <c r="LD45" s="11">
        <v>654</v>
      </c>
      <c r="LE45" s="11">
        <v>698</v>
      </c>
      <c r="LF45" s="11">
        <v>543</v>
      </c>
      <c r="LG45" s="11">
        <v>787</v>
      </c>
      <c r="LH45" s="11">
        <v>630</v>
      </c>
      <c r="LI45" s="11">
        <v>519</v>
      </c>
      <c r="LJ45" s="27">
        <f t="shared" si="27"/>
        <v>8181</v>
      </c>
      <c r="LK45" s="11">
        <v>194</v>
      </c>
      <c r="LL45" s="11">
        <v>185</v>
      </c>
      <c r="LM45" s="11">
        <v>205</v>
      </c>
      <c r="LN45" s="11">
        <v>276</v>
      </c>
      <c r="LO45" s="11">
        <v>257</v>
      </c>
      <c r="LP45" s="11">
        <v>172</v>
      </c>
      <c r="LQ45" s="11">
        <v>153</v>
      </c>
      <c r="LR45" s="11">
        <v>142</v>
      </c>
      <c r="LS45" s="11">
        <v>140</v>
      </c>
      <c r="LT45" s="11">
        <v>149</v>
      </c>
      <c r="LU45" s="11">
        <v>148</v>
      </c>
      <c r="LV45" s="11">
        <v>168</v>
      </c>
      <c r="LW45" s="27">
        <f t="shared" si="28"/>
        <v>2189</v>
      </c>
      <c r="LX45" s="11">
        <v>0</v>
      </c>
      <c r="LY45" s="11">
        <v>0</v>
      </c>
      <c r="LZ45" s="11">
        <v>0</v>
      </c>
      <c r="MA45" s="11">
        <v>0</v>
      </c>
      <c r="MB45" s="11">
        <v>0</v>
      </c>
      <c r="MC45" s="11">
        <v>0</v>
      </c>
      <c r="MD45" s="11">
        <v>0</v>
      </c>
      <c r="ME45" s="11">
        <v>0</v>
      </c>
      <c r="MF45" s="11">
        <v>0</v>
      </c>
      <c r="MG45" s="11">
        <v>0</v>
      </c>
      <c r="MH45" s="11">
        <v>0</v>
      </c>
      <c r="MI45" s="11">
        <v>0</v>
      </c>
      <c r="MJ45" s="27">
        <f t="shared" si="29"/>
        <v>0</v>
      </c>
      <c r="MK45" s="11">
        <v>2178</v>
      </c>
      <c r="ML45" s="11">
        <v>2296</v>
      </c>
      <c r="MM45" s="11">
        <v>2188</v>
      </c>
      <c r="MN45" s="11">
        <v>2250</v>
      </c>
      <c r="MO45" s="11">
        <v>2339</v>
      </c>
      <c r="MP45" s="11">
        <v>2187</v>
      </c>
      <c r="MQ45" s="11">
        <v>2205</v>
      </c>
      <c r="MR45" s="11">
        <v>2083</v>
      </c>
      <c r="MS45" s="11">
        <v>2128</v>
      </c>
      <c r="MT45" s="11">
        <v>2002</v>
      </c>
      <c r="MU45" s="11">
        <v>1782</v>
      </c>
      <c r="MV45" s="11">
        <v>2118</v>
      </c>
      <c r="MW45" s="27">
        <f t="shared" si="30"/>
        <v>25756</v>
      </c>
      <c r="MX45" s="11">
        <v>1790</v>
      </c>
      <c r="MY45" s="11">
        <v>1844</v>
      </c>
      <c r="MZ45" s="11">
        <v>1802</v>
      </c>
      <c r="NA45" s="11">
        <v>1858</v>
      </c>
      <c r="NB45" s="11">
        <v>1945</v>
      </c>
      <c r="NC45" s="11">
        <v>1791</v>
      </c>
      <c r="ND45" s="11">
        <v>1771</v>
      </c>
      <c r="NE45" s="11">
        <v>1693</v>
      </c>
      <c r="NF45" s="11">
        <v>1669</v>
      </c>
      <c r="NG45" s="11">
        <v>1699</v>
      </c>
      <c r="NH45" s="11">
        <v>1510</v>
      </c>
      <c r="NI45" s="11">
        <v>1748</v>
      </c>
      <c r="NJ45" s="27">
        <f t="shared" si="31"/>
        <v>21120</v>
      </c>
      <c r="NK45" s="11">
        <v>297</v>
      </c>
      <c r="NL45" s="11">
        <v>354</v>
      </c>
      <c r="NM45" s="11">
        <v>291</v>
      </c>
      <c r="NN45" s="11">
        <v>281</v>
      </c>
      <c r="NO45" s="11">
        <v>267</v>
      </c>
      <c r="NP45" s="11">
        <v>313</v>
      </c>
      <c r="NQ45" s="11">
        <v>331</v>
      </c>
      <c r="NR45" s="11">
        <v>319</v>
      </c>
      <c r="NS45" s="11">
        <v>353</v>
      </c>
      <c r="NT45" s="11">
        <v>226</v>
      </c>
      <c r="NU45" s="11">
        <v>209</v>
      </c>
      <c r="NV45" s="11">
        <v>276</v>
      </c>
      <c r="NW45" s="27">
        <f t="shared" si="32"/>
        <v>3517</v>
      </c>
      <c r="NX45" s="11">
        <v>91</v>
      </c>
      <c r="NY45" s="11">
        <v>98</v>
      </c>
      <c r="NZ45" s="11">
        <v>95</v>
      </c>
      <c r="OA45" s="11">
        <v>111</v>
      </c>
      <c r="OB45" s="11">
        <v>127</v>
      </c>
      <c r="OC45" s="11">
        <v>83</v>
      </c>
      <c r="OD45" s="11">
        <v>103</v>
      </c>
      <c r="OE45" s="11">
        <v>71</v>
      </c>
      <c r="OF45" s="11">
        <v>106</v>
      </c>
      <c r="OG45" s="11">
        <v>77</v>
      </c>
      <c r="OH45" s="11">
        <v>63</v>
      </c>
      <c r="OI45" s="11">
        <v>94</v>
      </c>
      <c r="OJ45" s="27">
        <f t="shared" si="33"/>
        <v>1119</v>
      </c>
      <c r="OK45" s="11">
        <v>3816</v>
      </c>
      <c r="OL45" s="11">
        <v>3918</v>
      </c>
      <c r="OM45" s="11">
        <v>3699</v>
      </c>
      <c r="ON45" s="11">
        <v>3752</v>
      </c>
      <c r="OO45" s="11">
        <v>3794</v>
      </c>
      <c r="OP45" s="11">
        <v>3764</v>
      </c>
      <c r="OQ45" s="11">
        <v>3895</v>
      </c>
      <c r="OR45" s="11">
        <v>3687</v>
      </c>
      <c r="OS45" s="11">
        <v>3777</v>
      </c>
      <c r="OT45" s="11">
        <v>4068</v>
      </c>
      <c r="OU45" s="11">
        <v>3660</v>
      </c>
      <c r="OV45" s="11">
        <v>4150</v>
      </c>
      <c r="OW45" s="27">
        <f t="shared" si="34"/>
        <v>45980</v>
      </c>
      <c r="OX45" s="11">
        <v>3017</v>
      </c>
      <c r="OY45" s="11">
        <v>3052</v>
      </c>
      <c r="OZ45" s="11">
        <v>2818</v>
      </c>
      <c r="PA45" s="11">
        <v>2896</v>
      </c>
      <c r="PB45" s="11">
        <v>2917</v>
      </c>
      <c r="PC45" s="11">
        <v>2938</v>
      </c>
      <c r="PD45" s="11">
        <v>3027</v>
      </c>
      <c r="PE45" s="11">
        <v>2945</v>
      </c>
      <c r="PF45" s="11">
        <v>2990</v>
      </c>
      <c r="PG45" s="11">
        <v>3229</v>
      </c>
      <c r="PH45" s="11">
        <v>2908</v>
      </c>
      <c r="PI45" s="11">
        <v>3311</v>
      </c>
      <c r="PJ45" s="27">
        <f t="shared" si="35"/>
        <v>36048</v>
      </c>
      <c r="PK45" s="11">
        <v>682</v>
      </c>
      <c r="PL45" s="11">
        <v>710</v>
      </c>
      <c r="PM45" s="11">
        <v>770</v>
      </c>
      <c r="PN45" s="11">
        <v>717</v>
      </c>
      <c r="PO45" s="11">
        <v>738</v>
      </c>
      <c r="PP45" s="11">
        <v>710</v>
      </c>
      <c r="PQ45" s="11">
        <v>729</v>
      </c>
      <c r="PR45" s="11">
        <v>607</v>
      </c>
      <c r="PS45" s="11">
        <v>661</v>
      </c>
      <c r="PT45" s="11">
        <v>706</v>
      </c>
      <c r="PU45" s="11">
        <v>640</v>
      </c>
      <c r="PV45" s="11">
        <v>690</v>
      </c>
      <c r="PW45" s="27">
        <f t="shared" si="36"/>
        <v>8360</v>
      </c>
      <c r="PX45" s="11">
        <v>117</v>
      </c>
      <c r="PY45" s="11">
        <v>156</v>
      </c>
      <c r="PZ45" s="11">
        <v>111</v>
      </c>
      <c r="QA45" s="11">
        <v>139</v>
      </c>
      <c r="QB45" s="11">
        <v>139</v>
      </c>
      <c r="QC45" s="11">
        <v>116</v>
      </c>
      <c r="QD45" s="11">
        <v>139</v>
      </c>
      <c r="QE45" s="11">
        <v>135</v>
      </c>
      <c r="QF45" s="11">
        <v>126</v>
      </c>
      <c r="QG45" s="11">
        <v>133</v>
      </c>
      <c r="QH45" s="11">
        <v>112</v>
      </c>
      <c r="QI45" s="11">
        <v>149</v>
      </c>
      <c r="QJ45" s="27">
        <f t="shared" si="37"/>
        <v>1572</v>
      </c>
      <c r="QK45" s="11">
        <v>69772</v>
      </c>
      <c r="QL45" s="11">
        <v>70992</v>
      </c>
      <c r="QM45" s="11">
        <v>64964</v>
      </c>
      <c r="QN45" s="11">
        <v>74966</v>
      </c>
      <c r="QO45" s="11">
        <v>71636</v>
      </c>
      <c r="QP45" s="11">
        <v>70949</v>
      </c>
      <c r="QQ45" s="11">
        <v>78311</v>
      </c>
      <c r="QR45" s="11">
        <v>75092</v>
      </c>
      <c r="QS45" s="11">
        <v>61118</v>
      </c>
      <c r="QT45" s="11">
        <v>74150</v>
      </c>
      <c r="QU45" s="11">
        <v>70277</v>
      </c>
      <c r="QV45" s="11">
        <v>75048</v>
      </c>
      <c r="QW45" s="27">
        <f t="shared" si="38"/>
        <v>857275</v>
      </c>
      <c r="QX45" s="11">
        <v>17954</v>
      </c>
      <c r="QY45" s="11">
        <v>18249</v>
      </c>
      <c r="QZ45" s="11">
        <v>18124</v>
      </c>
      <c r="RA45" s="11">
        <v>19595</v>
      </c>
      <c r="RB45" s="11">
        <v>18497</v>
      </c>
      <c r="RC45" s="11">
        <v>18608</v>
      </c>
      <c r="RD45" s="11">
        <v>20437</v>
      </c>
      <c r="RE45" s="11">
        <v>19600</v>
      </c>
      <c r="RF45" s="11">
        <v>14823</v>
      </c>
      <c r="RG45" s="11">
        <v>19616</v>
      </c>
      <c r="RH45" s="11">
        <v>18013</v>
      </c>
      <c r="RI45" s="11">
        <v>19264</v>
      </c>
      <c r="RJ45" s="27">
        <f t="shared" si="39"/>
        <v>222780</v>
      </c>
      <c r="RK45" s="11">
        <v>0</v>
      </c>
      <c r="RL45" s="11">
        <v>0</v>
      </c>
      <c r="RM45" s="11">
        <v>0</v>
      </c>
      <c r="RN45" s="11">
        <v>0</v>
      </c>
      <c r="RO45" s="11">
        <v>0</v>
      </c>
      <c r="RP45" s="11">
        <v>0</v>
      </c>
      <c r="RQ45" s="11">
        <v>0</v>
      </c>
      <c r="RR45" s="11">
        <v>0</v>
      </c>
      <c r="RS45" s="11">
        <v>0</v>
      </c>
      <c r="RT45" s="11">
        <v>0</v>
      </c>
      <c r="RU45" s="11">
        <v>0</v>
      </c>
      <c r="RV45" s="11">
        <v>0</v>
      </c>
      <c r="RW45" s="27">
        <f t="shared" si="40"/>
        <v>0</v>
      </c>
      <c r="RX45" s="11">
        <v>412</v>
      </c>
      <c r="RY45" s="11">
        <v>764</v>
      </c>
      <c r="RZ45" s="11">
        <v>1072</v>
      </c>
      <c r="SA45" s="11">
        <v>860</v>
      </c>
      <c r="SB45" s="11">
        <v>221</v>
      </c>
      <c r="SC45" s="11">
        <v>961</v>
      </c>
      <c r="SD45" s="11">
        <v>882</v>
      </c>
      <c r="SE45" s="11">
        <v>1009</v>
      </c>
      <c r="SF45" s="11">
        <v>744</v>
      </c>
      <c r="SG45" s="11">
        <v>918</v>
      </c>
      <c r="SH45" s="11">
        <v>755</v>
      </c>
      <c r="SI45" s="11">
        <v>1047</v>
      </c>
      <c r="SJ45" s="27">
        <f t="shared" si="41"/>
        <v>9645</v>
      </c>
      <c r="SK45" s="11">
        <v>89</v>
      </c>
      <c r="SL45" s="11">
        <v>68</v>
      </c>
      <c r="SM45" s="11">
        <v>91</v>
      </c>
      <c r="SN45" s="11">
        <v>94</v>
      </c>
      <c r="SO45" s="11">
        <v>81</v>
      </c>
      <c r="SP45" s="11">
        <v>96</v>
      </c>
      <c r="SQ45" s="11">
        <v>92</v>
      </c>
      <c r="SR45" s="11">
        <v>76</v>
      </c>
      <c r="SS45" s="11">
        <v>62</v>
      </c>
      <c r="ST45" s="11">
        <v>66</v>
      </c>
      <c r="SU45" s="11">
        <v>85</v>
      </c>
      <c r="SV45" s="11">
        <v>88</v>
      </c>
      <c r="SW45" s="27">
        <f t="shared" si="42"/>
        <v>988</v>
      </c>
      <c r="SX45" s="11"/>
      <c r="SY45" s="11">
        <v>9083</v>
      </c>
      <c r="SZ45" s="11">
        <v>9001</v>
      </c>
      <c r="TA45" s="11">
        <v>8624</v>
      </c>
      <c r="TB45" s="11">
        <v>9125</v>
      </c>
      <c r="TC45" s="11">
        <v>8888</v>
      </c>
      <c r="TD45" s="11">
        <v>9226</v>
      </c>
      <c r="TE45" s="11">
        <v>10348</v>
      </c>
      <c r="TF45" s="11">
        <v>9775</v>
      </c>
      <c r="TG45" s="11">
        <v>7985</v>
      </c>
      <c r="TH45" s="11">
        <v>9622</v>
      </c>
      <c r="TI45" s="11">
        <v>8988</v>
      </c>
      <c r="TJ45" s="11">
        <v>9026</v>
      </c>
      <c r="TK45" s="27">
        <f t="shared" si="43"/>
        <v>109691</v>
      </c>
      <c r="TL45" s="11">
        <v>0</v>
      </c>
      <c r="TM45" s="11">
        <v>0</v>
      </c>
      <c r="TN45" s="11">
        <v>0</v>
      </c>
      <c r="TO45" s="11">
        <v>0</v>
      </c>
      <c r="TP45" s="11">
        <v>0</v>
      </c>
      <c r="TQ45" s="11">
        <v>0</v>
      </c>
      <c r="TR45" s="11">
        <v>0</v>
      </c>
      <c r="TS45" s="11">
        <v>0</v>
      </c>
      <c r="TT45" s="11">
        <v>0</v>
      </c>
      <c r="TU45" s="11">
        <v>0</v>
      </c>
      <c r="TV45" s="11">
        <v>0</v>
      </c>
      <c r="TW45" s="11">
        <v>0</v>
      </c>
      <c r="TX45" s="27">
        <f t="shared" si="44"/>
        <v>0</v>
      </c>
      <c r="TY45" s="11">
        <v>174</v>
      </c>
      <c r="TZ45" s="11">
        <v>0</v>
      </c>
      <c r="UA45" s="11">
        <v>0</v>
      </c>
    </row>
    <row r="46" spans="1:547" ht="16" customHeight="1" x14ac:dyDescent="0.35">
      <c r="A46" s="11" t="s">
        <v>1530</v>
      </c>
      <c r="B46" s="11">
        <v>9696</v>
      </c>
      <c r="C46" s="11"/>
      <c r="D46" s="11"/>
      <c r="E46" s="11"/>
      <c r="F46" s="11">
        <v>240</v>
      </c>
      <c r="G46" s="11">
        <v>226</v>
      </c>
      <c r="H46" s="11">
        <v>260</v>
      </c>
      <c r="I46" s="11">
        <v>201</v>
      </c>
      <c r="J46" s="11">
        <v>204</v>
      </c>
      <c r="K46" s="11">
        <v>204</v>
      </c>
      <c r="L46" s="11">
        <v>181</v>
      </c>
      <c r="M46" s="11">
        <v>1192</v>
      </c>
      <c r="N46" s="11">
        <v>156</v>
      </c>
      <c r="O46" s="11">
        <v>205</v>
      </c>
      <c r="P46" s="11" t="s">
        <v>2864</v>
      </c>
      <c r="Q46" s="11">
        <v>229</v>
      </c>
      <c r="R46" s="11">
        <v>194</v>
      </c>
      <c r="S46" s="26">
        <f t="shared" si="0"/>
        <v>3492</v>
      </c>
      <c r="T46" s="11">
        <v>150</v>
      </c>
      <c r="U46" s="11">
        <v>139</v>
      </c>
      <c r="V46" s="11">
        <v>159</v>
      </c>
      <c r="W46" s="11">
        <v>141</v>
      </c>
      <c r="X46" s="11">
        <v>117</v>
      </c>
      <c r="Y46" s="11">
        <v>137</v>
      </c>
      <c r="Z46" s="11">
        <v>113</v>
      </c>
      <c r="AA46" s="11">
        <v>125</v>
      </c>
      <c r="AB46" s="11">
        <v>95</v>
      </c>
      <c r="AC46" s="11">
        <v>135</v>
      </c>
      <c r="AD46" s="11">
        <v>142</v>
      </c>
      <c r="AE46" s="11">
        <v>120</v>
      </c>
      <c r="AF46" s="26">
        <f t="shared" si="1"/>
        <v>1573</v>
      </c>
      <c r="AG46" s="11">
        <v>90</v>
      </c>
      <c r="AH46" s="11">
        <v>87</v>
      </c>
      <c r="AI46" s="11">
        <v>101</v>
      </c>
      <c r="AJ46" s="11">
        <v>60</v>
      </c>
      <c r="AK46" s="11">
        <v>87</v>
      </c>
      <c r="AL46" s="11">
        <v>67</v>
      </c>
      <c r="AM46" s="11">
        <v>68</v>
      </c>
      <c r="AN46" s="11">
        <v>67</v>
      </c>
      <c r="AO46" s="11">
        <v>61</v>
      </c>
      <c r="AP46" s="11">
        <v>70</v>
      </c>
      <c r="AQ46" s="11">
        <v>87</v>
      </c>
      <c r="AR46" s="11">
        <v>74</v>
      </c>
      <c r="AS46" s="26">
        <f t="shared" si="2"/>
        <v>919</v>
      </c>
      <c r="AT46" s="11">
        <v>0</v>
      </c>
      <c r="AU46" s="11">
        <v>0</v>
      </c>
      <c r="AV46" s="11">
        <v>0</v>
      </c>
      <c r="AW46" s="11">
        <v>0</v>
      </c>
      <c r="AX46" s="11">
        <v>0</v>
      </c>
      <c r="AY46" s="11">
        <v>0</v>
      </c>
      <c r="AZ46" s="11">
        <v>0</v>
      </c>
      <c r="BA46" s="11">
        <v>0</v>
      </c>
      <c r="BB46" s="11">
        <v>0</v>
      </c>
      <c r="BC46" s="11">
        <v>0</v>
      </c>
      <c r="BD46" s="11">
        <v>0</v>
      </c>
      <c r="BE46" s="11">
        <v>0</v>
      </c>
      <c r="BF46" s="26">
        <f t="shared" si="3"/>
        <v>0</v>
      </c>
      <c r="BG46" s="11">
        <v>0</v>
      </c>
      <c r="BH46" s="11">
        <v>0</v>
      </c>
      <c r="BI46" s="11">
        <v>0</v>
      </c>
      <c r="BJ46" s="11">
        <v>0</v>
      </c>
      <c r="BK46" s="11">
        <v>0</v>
      </c>
      <c r="BL46" s="11">
        <v>0</v>
      </c>
      <c r="BM46" s="11">
        <v>0</v>
      </c>
      <c r="BN46" s="11">
        <v>0</v>
      </c>
      <c r="BO46" s="11">
        <v>0</v>
      </c>
      <c r="BP46" s="11">
        <v>0</v>
      </c>
      <c r="BQ46" s="11">
        <v>0</v>
      </c>
      <c r="BR46" s="11">
        <v>0</v>
      </c>
      <c r="BS46" s="26">
        <f t="shared" si="4"/>
        <v>0</v>
      </c>
      <c r="BT46" s="11">
        <v>0</v>
      </c>
      <c r="BU46" s="11">
        <v>0</v>
      </c>
      <c r="BV46" s="11">
        <v>0</v>
      </c>
      <c r="BW46" s="11">
        <v>0</v>
      </c>
      <c r="BX46" s="11">
        <v>0</v>
      </c>
      <c r="BY46" s="11">
        <v>0</v>
      </c>
      <c r="BZ46" s="11">
        <v>0</v>
      </c>
      <c r="CA46" s="11">
        <v>0</v>
      </c>
      <c r="CB46" s="11">
        <v>0</v>
      </c>
      <c r="CC46" s="11">
        <v>0</v>
      </c>
      <c r="CD46" s="11">
        <v>0</v>
      </c>
      <c r="CE46" s="11">
        <v>0</v>
      </c>
      <c r="CF46" s="26">
        <f t="shared" si="5"/>
        <v>0</v>
      </c>
      <c r="CG46" s="11">
        <v>0</v>
      </c>
      <c r="CH46" s="11">
        <v>0</v>
      </c>
      <c r="CI46" s="11">
        <v>0</v>
      </c>
      <c r="CJ46" s="11">
        <v>0</v>
      </c>
      <c r="CK46" s="11">
        <v>0</v>
      </c>
      <c r="CL46" s="11">
        <v>0</v>
      </c>
      <c r="CM46" s="11">
        <v>0</v>
      </c>
      <c r="CN46" s="11">
        <v>0</v>
      </c>
      <c r="CO46" s="11">
        <v>0</v>
      </c>
      <c r="CP46" s="11">
        <v>0</v>
      </c>
      <c r="CQ46" s="11">
        <v>0</v>
      </c>
      <c r="CR46" s="11">
        <v>0</v>
      </c>
      <c r="CS46" s="26">
        <f t="shared" si="6"/>
        <v>0</v>
      </c>
      <c r="CT46" s="11">
        <v>0</v>
      </c>
      <c r="CU46" s="11">
        <v>0</v>
      </c>
      <c r="CV46" s="11">
        <v>0</v>
      </c>
      <c r="CW46" s="11">
        <v>0</v>
      </c>
      <c r="CX46" s="11">
        <v>0</v>
      </c>
      <c r="CY46" s="11">
        <v>0</v>
      </c>
      <c r="CZ46" s="11">
        <v>0</v>
      </c>
      <c r="DA46" s="11">
        <v>0</v>
      </c>
      <c r="DB46" s="11">
        <v>0</v>
      </c>
      <c r="DC46" s="11">
        <v>0</v>
      </c>
      <c r="DD46" s="11">
        <v>0</v>
      </c>
      <c r="DE46" s="11">
        <v>0</v>
      </c>
      <c r="DF46" s="26">
        <f t="shared" si="7"/>
        <v>0</v>
      </c>
      <c r="DG46" s="11">
        <v>0</v>
      </c>
      <c r="DH46" s="11">
        <v>0</v>
      </c>
      <c r="DI46" s="11">
        <v>0</v>
      </c>
      <c r="DJ46" s="11">
        <v>0</v>
      </c>
      <c r="DK46" s="11">
        <v>0</v>
      </c>
      <c r="DL46" s="11">
        <v>0</v>
      </c>
      <c r="DM46" s="11">
        <v>0</v>
      </c>
      <c r="DN46" s="11">
        <v>0</v>
      </c>
      <c r="DO46" s="11">
        <v>0</v>
      </c>
      <c r="DP46" s="11">
        <v>0</v>
      </c>
      <c r="DQ46" s="11">
        <v>0</v>
      </c>
      <c r="DR46" s="11">
        <v>0</v>
      </c>
      <c r="DS46" s="26">
        <f t="shared" si="8"/>
        <v>0</v>
      </c>
      <c r="DT46" s="11">
        <v>0</v>
      </c>
      <c r="DU46" s="11">
        <v>0</v>
      </c>
      <c r="DV46" s="11">
        <v>0</v>
      </c>
      <c r="DW46" s="11">
        <v>0</v>
      </c>
      <c r="DX46" s="11">
        <v>0</v>
      </c>
      <c r="DY46" s="11">
        <v>0</v>
      </c>
      <c r="DZ46" s="11">
        <v>0</v>
      </c>
      <c r="EA46" s="11">
        <v>0</v>
      </c>
      <c r="EB46" s="11">
        <v>0</v>
      </c>
      <c r="EC46" s="11">
        <v>0</v>
      </c>
      <c r="ED46" s="11">
        <v>0</v>
      </c>
      <c r="EE46" s="11">
        <v>0</v>
      </c>
      <c r="EF46" s="26">
        <f t="shared" si="9"/>
        <v>0</v>
      </c>
      <c r="EG46" s="9">
        <f t="shared" si="10"/>
        <v>2492</v>
      </c>
      <c r="EH46" s="9">
        <f t="shared" si="11"/>
        <v>0</v>
      </c>
      <c r="EI46" s="11">
        <v>2334</v>
      </c>
      <c r="EJ46" s="11">
        <v>2543</v>
      </c>
      <c r="EK46" s="11">
        <v>2478</v>
      </c>
      <c r="EL46" s="11">
        <v>2473</v>
      </c>
      <c r="EM46" s="11">
        <v>2697</v>
      </c>
      <c r="EN46" s="11">
        <v>2864</v>
      </c>
      <c r="EO46" s="11">
        <v>2924</v>
      </c>
      <c r="EP46" s="11">
        <v>2366</v>
      </c>
      <c r="EQ46" s="11">
        <v>1516</v>
      </c>
      <c r="ER46" s="11">
        <v>2038</v>
      </c>
      <c r="ES46" s="11">
        <v>2103</v>
      </c>
      <c r="ET46" s="11">
        <v>1731</v>
      </c>
      <c r="EU46" s="26">
        <f t="shared" si="12"/>
        <v>28067</v>
      </c>
      <c r="EV46" s="11">
        <v>1149</v>
      </c>
      <c r="EW46" s="11">
        <v>1243</v>
      </c>
      <c r="EX46" s="11">
        <v>1278</v>
      </c>
      <c r="EY46" s="11">
        <v>1402</v>
      </c>
      <c r="EZ46" s="11">
        <v>1048</v>
      </c>
      <c r="FA46" s="11">
        <v>1958</v>
      </c>
      <c r="FB46" s="11">
        <v>1632</v>
      </c>
      <c r="FC46" s="11">
        <v>1489</v>
      </c>
      <c r="FD46" s="11">
        <v>956</v>
      </c>
      <c r="FE46" s="11">
        <v>1204</v>
      </c>
      <c r="FF46" s="11">
        <v>1191</v>
      </c>
      <c r="FG46" s="11">
        <v>1039</v>
      </c>
      <c r="FH46" s="26">
        <f t="shared" si="13"/>
        <v>15589</v>
      </c>
      <c r="FI46" s="11">
        <v>1185</v>
      </c>
      <c r="FJ46" s="11">
        <v>1300</v>
      </c>
      <c r="FK46" s="11">
        <v>1200</v>
      </c>
      <c r="FL46" s="11">
        <v>1071</v>
      </c>
      <c r="FM46" s="11">
        <v>1649</v>
      </c>
      <c r="FN46" s="11">
        <v>906</v>
      </c>
      <c r="FO46" s="11">
        <v>1292</v>
      </c>
      <c r="FP46" s="11">
        <v>877</v>
      </c>
      <c r="FQ46" s="11">
        <v>560</v>
      </c>
      <c r="FR46" s="11">
        <v>834</v>
      </c>
      <c r="FS46" s="11">
        <v>912</v>
      </c>
      <c r="FT46" s="11">
        <v>692</v>
      </c>
      <c r="FU46" s="26">
        <f t="shared" si="14"/>
        <v>12478</v>
      </c>
      <c r="FV46" s="11">
        <v>0</v>
      </c>
      <c r="FW46" s="11">
        <v>0</v>
      </c>
      <c r="FX46" s="11">
        <v>0</v>
      </c>
      <c r="FY46" s="11">
        <v>0</v>
      </c>
      <c r="FZ46" s="11">
        <v>0</v>
      </c>
      <c r="GA46" s="11">
        <v>0</v>
      </c>
      <c r="GB46" s="11">
        <v>0</v>
      </c>
      <c r="GC46" s="11">
        <v>0</v>
      </c>
      <c r="GD46" s="11">
        <v>0</v>
      </c>
      <c r="GE46" s="11">
        <v>0</v>
      </c>
      <c r="GF46" s="11">
        <v>0</v>
      </c>
      <c r="GG46" s="11">
        <v>0</v>
      </c>
      <c r="GH46" s="26">
        <f t="shared" si="15"/>
        <v>0</v>
      </c>
      <c r="GI46" s="11">
        <v>0</v>
      </c>
      <c r="GJ46" s="11">
        <v>0</v>
      </c>
      <c r="GK46" s="11">
        <v>0</v>
      </c>
      <c r="GL46" s="11">
        <v>0</v>
      </c>
      <c r="GM46" s="11">
        <v>0</v>
      </c>
      <c r="GN46" s="11">
        <v>0</v>
      </c>
      <c r="GO46" s="11">
        <v>0</v>
      </c>
      <c r="GP46" s="11">
        <v>0</v>
      </c>
      <c r="GQ46" s="11">
        <v>0</v>
      </c>
      <c r="GR46" s="11">
        <v>0</v>
      </c>
      <c r="GS46" s="11">
        <v>0</v>
      </c>
      <c r="GT46" s="11">
        <v>0</v>
      </c>
      <c r="GU46" s="26">
        <f t="shared" si="16"/>
        <v>0</v>
      </c>
      <c r="GV46" s="11">
        <v>0</v>
      </c>
      <c r="GW46" s="11">
        <v>0</v>
      </c>
      <c r="GX46" s="11">
        <v>0</v>
      </c>
      <c r="GY46" s="11">
        <v>0</v>
      </c>
      <c r="GZ46" s="11">
        <v>0</v>
      </c>
      <c r="HA46" s="11">
        <v>0</v>
      </c>
      <c r="HB46" s="11">
        <v>0</v>
      </c>
      <c r="HC46" s="11">
        <v>0</v>
      </c>
      <c r="HD46" s="11">
        <v>0</v>
      </c>
      <c r="HE46" s="11">
        <v>0</v>
      </c>
      <c r="HF46" s="11">
        <v>0</v>
      </c>
      <c r="HG46" s="11">
        <v>0</v>
      </c>
      <c r="HH46" s="26">
        <f t="shared" si="17"/>
        <v>0</v>
      </c>
      <c r="HI46" s="11">
        <v>0</v>
      </c>
      <c r="HJ46" s="11">
        <v>0</v>
      </c>
      <c r="HK46" s="11">
        <v>0</v>
      </c>
      <c r="HL46" s="11">
        <v>0</v>
      </c>
      <c r="HM46" s="11">
        <v>0</v>
      </c>
      <c r="HN46" s="11">
        <v>0</v>
      </c>
      <c r="HO46" s="11">
        <v>0</v>
      </c>
      <c r="HP46" s="11">
        <v>0</v>
      </c>
      <c r="HQ46" s="11">
        <v>0</v>
      </c>
      <c r="HR46" s="11">
        <v>0</v>
      </c>
      <c r="HS46" s="11">
        <v>0</v>
      </c>
      <c r="HT46" s="11">
        <v>0</v>
      </c>
      <c r="HU46" s="26">
        <f t="shared" si="18"/>
        <v>0</v>
      </c>
      <c r="HV46" s="11">
        <v>0</v>
      </c>
      <c r="HW46" s="11">
        <v>0</v>
      </c>
      <c r="HX46" s="11">
        <v>0</v>
      </c>
      <c r="HY46" s="11">
        <v>0</v>
      </c>
      <c r="HZ46" s="11">
        <v>0</v>
      </c>
      <c r="IA46" s="11">
        <v>0</v>
      </c>
      <c r="IB46" s="11">
        <v>0</v>
      </c>
      <c r="IC46" s="11">
        <v>0</v>
      </c>
      <c r="ID46" s="11">
        <v>0</v>
      </c>
      <c r="IE46" s="11">
        <v>0</v>
      </c>
      <c r="IF46" s="11">
        <v>0</v>
      </c>
      <c r="IG46" s="11">
        <v>0</v>
      </c>
      <c r="IH46" s="26">
        <f t="shared" si="19"/>
        <v>0</v>
      </c>
      <c r="II46" s="9">
        <f t="shared" si="20"/>
        <v>28067</v>
      </c>
      <c r="IJ46" s="9">
        <f t="shared" si="21"/>
        <v>0</v>
      </c>
      <c r="IK46" s="11">
        <v>27992</v>
      </c>
      <c r="IL46" s="11">
        <v>27193</v>
      </c>
      <c r="IM46" s="11">
        <v>26266</v>
      </c>
      <c r="IN46" s="11">
        <v>29713</v>
      </c>
      <c r="IO46" s="11">
        <v>32931</v>
      </c>
      <c r="IP46" s="11">
        <v>27228</v>
      </c>
      <c r="IQ46" s="11">
        <v>26500</v>
      </c>
      <c r="IR46" s="11">
        <v>24385</v>
      </c>
      <c r="IS46" s="11">
        <v>17919</v>
      </c>
      <c r="IT46" s="11">
        <v>25057</v>
      </c>
      <c r="IU46" s="11">
        <v>23603</v>
      </c>
      <c r="IV46" s="11">
        <v>23435</v>
      </c>
      <c r="IW46" s="27">
        <f t="shared" si="22"/>
        <v>312222</v>
      </c>
      <c r="IX46" s="11">
        <v>19910</v>
      </c>
      <c r="IY46" s="11">
        <v>20343</v>
      </c>
      <c r="IZ46" s="11">
        <v>19506</v>
      </c>
      <c r="JA46" s="11">
        <v>19901</v>
      </c>
      <c r="JB46" s="11">
        <v>20090</v>
      </c>
      <c r="JC46" s="11">
        <v>19622</v>
      </c>
      <c r="JD46" s="11">
        <v>18609</v>
      </c>
      <c r="JE46" s="11">
        <v>17250</v>
      </c>
      <c r="JF46" s="11">
        <v>13615</v>
      </c>
      <c r="JG46" s="11">
        <v>18551</v>
      </c>
      <c r="JH46" s="11">
        <v>16962</v>
      </c>
      <c r="JI46" s="11">
        <v>17177</v>
      </c>
      <c r="JJ46" s="27">
        <f t="shared" si="23"/>
        <v>221536</v>
      </c>
      <c r="JK46" s="11">
        <v>7766</v>
      </c>
      <c r="JL46" s="11">
        <v>6560</v>
      </c>
      <c r="JM46" s="11">
        <v>6472</v>
      </c>
      <c r="JN46" s="11">
        <v>9423</v>
      </c>
      <c r="JO46" s="11">
        <v>12361</v>
      </c>
      <c r="JP46" s="11">
        <v>7300</v>
      </c>
      <c r="JQ46" s="11">
        <v>7550</v>
      </c>
      <c r="JR46" s="11">
        <v>6848</v>
      </c>
      <c r="JS46" s="11">
        <v>4135</v>
      </c>
      <c r="JT46" s="11">
        <v>6287</v>
      </c>
      <c r="JU46" s="11">
        <v>6395</v>
      </c>
      <c r="JV46" s="11">
        <v>5984</v>
      </c>
      <c r="JW46" s="27">
        <f t="shared" si="24"/>
        <v>87081</v>
      </c>
      <c r="JX46" s="11">
        <v>316</v>
      </c>
      <c r="JY46" s="11">
        <v>290</v>
      </c>
      <c r="JZ46" s="11">
        <v>288</v>
      </c>
      <c r="KA46" s="11">
        <v>389</v>
      </c>
      <c r="KB46" s="11">
        <v>480</v>
      </c>
      <c r="KC46" s="11">
        <v>306</v>
      </c>
      <c r="KD46" s="11">
        <v>341</v>
      </c>
      <c r="KE46" s="11">
        <v>287</v>
      </c>
      <c r="KF46" s="11">
        <v>169</v>
      </c>
      <c r="KG46" s="11">
        <v>219</v>
      </c>
      <c r="KH46" s="11">
        <v>246</v>
      </c>
      <c r="KI46" s="11">
        <v>274</v>
      </c>
      <c r="KJ46" s="27">
        <f t="shared" si="25"/>
        <v>3605</v>
      </c>
      <c r="KK46" s="11">
        <v>425</v>
      </c>
      <c r="KL46" s="11">
        <v>524</v>
      </c>
      <c r="KM46" s="11">
        <v>446</v>
      </c>
      <c r="KN46" s="11">
        <v>500</v>
      </c>
      <c r="KO46" s="11">
        <v>540</v>
      </c>
      <c r="KP46" s="11">
        <v>547</v>
      </c>
      <c r="KQ46" s="11">
        <v>459</v>
      </c>
      <c r="KR46" s="11">
        <v>457</v>
      </c>
      <c r="KS46" s="11">
        <v>358</v>
      </c>
      <c r="KT46" s="11">
        <v>476</v>
      </c>
      <c r="KU46" s="11">
        <v>514</v>
      </c>
      <c r="KV46" s="11">
        <v>531</v>
      </c>
      <c r="KW46" s="27">
        <f t="shared" si="26"/>
        <v>5777</v>
      </c>
      <c r="KX46" s="11">
        <v>409</v>
      </c>
      <c r="KY46" s="11">
        <v>507</v>
      </c>
      <c r="KZ46" s="11">
        <v>421</v>
      </c>
      <c r="LA46" s="11">
        <v>467</v>
      </c>
      <c r="LB46" s="11">
        <v>508</v>
      </c>
      <c r="LC46" s="11">
        <v>528</v>
      </c>
      <c r="LD46" s="11">
        <v>445</v>
      </c>
      <c r="LE46" s="11">
        <v>444</v>
      </c>
      <c r="LF46" s="11">
        <v>342</v>
      </c>
      <c r="LG46" s="11">
        <v>475</v>
      </c>
      <c r="LH46" s="11">
        <v>485</v>
      </c>
      <c r="LI46" s="11">
        <v>514</v>
      </c>
      <c r="LJ46" s="27">
        <f t="shared" si="27"/>
        <v>5545</v>
      </c>
      <c r="LK46" s="11">
        <v>16</v>
      </c>
      <c r="LL46" s="11">
        <v>17</v>
      </c>
      <c r="LM46" s="11">
        <v>25</v>
      </c>
      <c r="LN46" s="11">
        <v>31</v>
      </c>
      <c r="LO46" s="11">
        <v>32</v>
      </c>
      <c r="LP46" s="11">
        <v>18</v>
      </c>
      <c r="LQ46" s="11">
        <v>14</v>
      </c>
      <c r="LR46" s="11">
        <v>13</v>
      </c>
      <c r="LS46" s="11">
        <v>16</v>
      </c>
      <c r="LT46" s="11">
        <v>19</v>
      </c>
      <c r="LU46" s="11">
        <v>29</v>
      </c>
      <c r="LV46" s="11">
        <v>17</v>
      </c>
      <c r="LW46" s="27">
        <f t="shared" si="28"/>
        <v>247</v>
      </c>
      <c r="LX46" s="11">
        <v>0</v>
      </c>
      <c r="LY46" s="11">
        <v>0</v>
      </c>
      <c r="LZ46" s="11">
        <v>0</v>
      </c>
      <c r="MA46" s="11">
        <v>2</v>
      </c>
      <c r="MB46" s="11">
        <v>0</v>
      </c>
      <c r="MC46" s="11">
        <v>1</v>
      </c>
      <c r="MD46" s="11">
        <v>0</v>
      </c>
      <c r="ME46" s="11">
        <v>0</v>
      </c>
      <c r="MF46" s="11">
        <v>0</v>
      </c>
      <c r="MG46" s="11">
        <v>0</v>
      </c>
      <c r="MH46" s="11">
        <v>0</v>
      </c>
      <c r="MI46" s="11">
        <v>0</v>
      </c>
      <c r="MJ46" s="27">
        <f t="shared" si="29"/>
        <v>3</v>
      </c>
      <c r="MK46" s="11">
        <v>1104</v>
      </c>
      <c r="ML46" s="11">
        <v>1049</v>
      </c>
      <c r="MM46" s="11">
        <v>981</v>
      </c>
      <c r="MN46" s="11">
        <v>1206</v>
      </c>
      <c r="MO46" s="11">
        <v>1314</v>
      </c>
      <c r="MP46" s="11">
        <v>1153</v>
      </c>
      <c r="MQ46" s="11">
        <v>1197</v>
      </c>
      <c r="MR46" s="11">
        <v>1210</v>
      </c>
      <c r="MS46" s="11">
        <v>1088</v>
      </c>
      <c r="MT46" s="11">
        <v>1166</v>
      </c>
      <c r="MU46" s="11">
        <v>978</v>
      </c>
      <c r="MV46" s="11">
        <v>1138</v>
      </c>
      <c r="MW46" s="27">
        <f t="shared" si="30"/>
        <v>13584</v>
      </c>
      <c r="MX46" s="11">
        <v>0</v>
      </c>
      <c r="MY46" s="11">
        <v>0</v>
      </c>
      <c r="MZ46" s="11">
        <v>0</v>
      </c>
      <c r="NA46" s="11">
        <v>0</v>
      </c>
      <c r="NB46" s="11">
        <v>0</v>
      </c>
      <c r="NC46" s="11">
        <v>0</v>
      </c>
      <c r="ND46" s="11">
        <v>0</v>
      </c>
      <c r="NE46" s="11">
        <v>0</v>
      </c>
      <c r="NF46" s="11">
        <v>0</v>
      </c>
      <c r="NG46" s="11">
        <v>0</v>
      </c>
      <c r="NH46" s="11">
        <v>0</v>
      </c>
      <c r="NI46" s="11">
        <v>0</v>
      </c>
      <c r="NJ46" s="27">
        <f t="shared" si="31"/>
        <v>0</v>
      </c>
      <c r="NK46" s="11">
        <v>0</v>
      </c>
      <c r="NL46" s="11">
        <v>0</v>
      </c>
      <c r="NM46" s="11">
        <v>0</v>
      </c>
      <c r="NN46" s="11">
        <v>0</v>
      </c>
      <c r="NO46" s="11">
        <v>0</v>
      </c>
      <c r="NP46" s="11">
        <v>0</v>
      </c>
      <c r="NQ46" s="11">
        <v>0</v>
      </c>
      <c r="NR46" s="11">
        <v>0</v>
      </c>
      <c r="NS46" s="11">
        <v>0</v>
      </c>
      <c r="NT46" s="11">
        <v>0</v>
      </c>
      <c r="NU46" s="11">
        <v>0</v>
      </c>
      <c r="NV46" s="11">
        <v>0</v>
      </c>
      <c r="NW46" s="27">
        <f t="shared" si="32"/>
        <v>0</v>
      </c>
      <c r="NX46" s="11">
        <v>0</v>
      </c>
      <c r="NY46" s="11">
        <v>0</v>
      </c>
      <c r="NZ46" s="11">
        <v>0</v>
      </c>
      <c r="OA46" s="11">
        <v>0</v>
      </c>
      <c r="OB46" s="11">
        <v>0</v>
      </c>
      <c r="OC46" s="11">
        <v>0</v>
      </c>
      <c r="OD46" s="11">
        <v>0</v>
      </c>
      <c r="OE46" s="11">
        <v>0</v>
      </c>
      <c r="OF46" s="11">
        <v>0</v>
      </c>
      <c r="OG46" s="11">
        <v>0</v>
      </c>
      <c r="OH46" s="11">
        <v>0</v>
      </c>
      <c r="OI46" s="11">
        <v>0</v>
      </c>
      <c r="OJ46" s="27">
        <f t="shared" si="33"/>
        <v>0</v>
      </c>
      <c r="OK46" s="11">
        <v>2339</v>
      </c>
      <c r="OL46" s="11">
        <v>2335</v>
      </c>
      <c r="OM46" s="11">
        <v>2422</v>
      </c>
      <c r="ON46" s="11">
        <v>2569</v>
      </c>
      <c r="OO46" s="11">
        <v>2620</v>
      </c>
      <c r="OP46" s="11">
        <v>2547</v>
      </c>
      <c r="OQ46" s="11">
        <v>2609</v>
      </c>
      <c r="OR46" s="11">
        <v>2567</v>
      </c>
      <c r="OS46" s="11">
        <v>2442</v>
      </c>
      <c r="OT46" s="11">
        <v>2747</v>
      </c>
      <c r="OU46" s="11">
        <v>2483</v>
      </c>
      <c r="OV46" s="11">
        <v>2701</v>
      </c>
      <c r="OW46" s="27">
        <f t="shared" si="34"/>
        <v>30381</v>
      </c>
      <c r="OX46" s="11">
        <v>0</v>
      </c>
      <c r="OY46" s="11">
        <v>0</v>
      </c>
      <c r="OZ46" s="11">
        <v>0</v>
      </c>
      <c r="PA46" s="11">
        <v>0</v>
      </c>
      <c r="PB46" s="11">
        <v>0</v>
      </c>
      <c r="PC46" s="11">
        <v>0</v>
      </c>
      <c r="PD46" s="11">
        <v>0</v>
      </c>
      <c r="PE46" s="11">
        <v>0</v>
      </c>
      <c r="PF46" s="11">
        <v>0</v>
      </c>
      <c r="PG46" s="11">
        <v>0</v>
      </c>
      <c r="PH46" s="11">
        <v>0</v>
      </c>
      <c r="PI46" s="11">
        <v>0</v>
      </c>
      <c r="PJ46" s="27">
        <f t="shared" si="35"/>
        <v>0</v>
      </c>
      <c r="PK46" s="11">
        <v>0</v>
      </c>
      <c r="PL46" s="11">
        <v>0</v>
      </c>
      <c r="PM46" s="11">
        <v>0</v>
      </c>
      <c r="PN46" s="11">
        <v>0</v>
      </c>
      <c r="PO46" s="11">
        <v>0</v>
      </c>
      <c r="PP46" s="11">
        <v>0</v>
      </c>
      <c r="PQ46" s="11">
        <v>0</v>
      </c>
      <c r="PR46" s="11">
        <v>0</v>
      </c>
      <c r="PS46" s="11">
        <v>0</v>
      </c>
      <c r="PT46" s="11">
        <v>0</v>
      </c>
      <c r="PU46" s="11">
        <v>0</v>
      </c>
      <c r="PV46" s="11">
        <v>0</v>
      </c>
      <c r="PW46" s="27">
        <f t="shared" si="36"/>
        <v>0</v>
      </c>
      <c r="PX46" s="11">
        <v>0</v>
      </c>
      <c r="PY46" s="11">
        <v>0</v>
      </c>
      <c r="PZ46" s="11">
        <v>0</v>
      </c>
      <c r="QA46" s="11">
        <v>0</v>
      </c>
      <c r="QB46" s="11">
        <v>0</v>
      </c>
      <c r="QC46" s="11">
        <v>0</v>
      </c>
      <c r="QD46" s="11">
        <v>0</v>
      </c>
      <c r="QE46" s="11">
        <v>0</v>
      </c>
      <c r="QF46" s="11">
        <v>0</v>
      </c>
      <c r="QG46" s="11">
        <v>0</v>
      </c>
      <c r="QH46" s="11">
        <v>0</v>
      </c>
      <c r="QI46" s="11">
        <v>0</v>
      </c>
      <c r="QJ46" s="27">
        <f t="shared" si="37"/>
        <v>0</v>
      </c>
      <c r="QK46" s="11">
        <v>20004</v>
      </c>
      <c r="QL46" s="11">
        <v>20749</v>
      </c>
      <c r="QM46" s="11">
        <v>19593</v>
      </c>
      <c r="QN46" s="11">
        <v>17776</v>
      </c>
      <c r="QO46" s="11">
        <v>21076</v>
      </c>
      <c r="QP46" s="11">
        <v>18816</v>
      </c>
      <c r="QQ46" s="11">
        <v>16388</v>
      </c>
      <c r="QR46" s="11">
        <v>17540</v>
      </c>
      <c r="QS46" s="11">
        <v>12000</v>
      </c>
      <c r="QT46" s="11">
        <v>16177</v>
      </c>
      <c r="QU46" s="11">
        <v>16157</v>
      </c>
      <c r="QV46" s="11">
        <v>17490</v>
      </c>
      <c r="QW46" s="27">
        <f t="shared" si="38"/>
        <v>213766</v>
      </c>
      <c r="QX46" s="11">
        <v>13768</v>
      </c>
      <c r="QY46" s="11">
        <v>15457</v>
      </c>
      <c r="QZ46" s="11">
        <v>15411</v>
      </c>
      <c r="RA46" s="11">
        <v>16310</v>
      </c>
      <c r="RB46" s="11">
        <v>19818</v>
      </c>
      <c r="RC46" s="11">
        <v>16106</v>
      </c>
      <c r="RD46" s="11">
        <v>17703</v>
      </c>
      <c r="RE46" s="11">
        <v>18720</v>
      </c>
      <c r="RF46" s="11">
        <v>13443</v>
      </c>
      <c r="RG46" s="11">
        <v>16750</v>
      </c>
      <c r="RH46" s="11">
        <v>14556</v>
      </c>
      <c r="RI46" s="11">
        <v>12512</v>
      </c>
      <c r="RJ46" s="27">
        <f t="shared" si="39"/>
        <v>190554</v>
      </c>
      <c r="RK46" s="11">
        <v>0</v>
      </c>
      <c r="RL46" s="11">
        <v>0</v>
      </c>
      <c r="RM46" s="11">
        <v>0</v>
      </c>
      <c r="RN46" s="11">
        <v>0</v>
      </c>
      <c r="RO46" s="11">
        <v>0</v>
      </c>
      <c r="RP46" s="11">
        <v>0</v>
      </c>
      <c r="RQ46" s="11">
        <v>0</v>
      </c>
      <c r="RR46" s="11">
        <v>0</v>
      </c>
      <c r="RS46" s="11">
        <v>0</v>
      </c>
      <c r="RT46" s="11">
        <v>0</v>
      </c>
      <c r="RU46" s="11">
        <v>0</v>
      </c>
      <c r="RV46" s="11">
        <v>0</v>
      </c>
      <c r="RW46" s="27">
        <f t="shared" si="40"/>
        <v>0</v>
      </c>
      <c r="RX46" s="11">
        <v>0</v>
      </c>
      <c r="RY46" s="11">
        <v>0</v>
      </c>
      <c r="RZ46" s="11">
        <v>0</v>
      </c>
      <c r="SA46" s="11">
        <v>0</v>
      </c>
      <c r="SB46" s="11">
        <v>0</v>
      </c>
      <c r="SC46" s="11">
        <v>0</v>
      </c>
      <c r="SD46" s="11">
        <v>0</v>
      </c>
      <c r="SE46" s="11">
        <v>0</v>
      </c>
      <c r="SF46" s="11">
        <v>0</v>
      </c>
      <c r="SG46" s="11">
        <v>0</v>
      </c>
      <c r="SH46" s="11">
        <v>0</v>
      </c>
      <c r="SI46" s="11">
        <v>0</v>
      </c>
      <c r="SJ46" s="27">
        <f t="shared" si="41"/>
        <v>0</v>
      </c>
      <c r="SK46" s="11">
        <v>99</v>
      </c>
      <c r="SL46" s="11">
        <v>78</v>
      </c>
      <c r="SM46" s="11">
        <v>98</v>
      </c>
      <c r="SN46" s="11">
        <v>85</v>
      </c>
      <c r="SO46" s="11">
        <v>67</v>
      </c>
      <c r="SP46" s="11">
        <v>84</v>
      </c>
      <c r="SQ46" s="11">
        <v>0</v>
      </c>
      <c r="SR46" s="11">
        <v>28</v>
      </c>
      <c r="SS46" s="11">
        <v>38</v>
      </c>
      <c r="ST46" s="11">
        <v>74</v>
      </c>
      <c r="SU46" s="11">
        <v>95</v>
      </c>
      <c r="SV46" s="11">
        <v>96</v>
      </c>
      <c r="SW46" s="27">
        <f t="shared" si="42"/>
        <v>842</v>
      </c>
      <c r="SX46" s="11" t="s">
        <v>2684</v>
      </c>
      <c r="SY46" s="11">
        <v>0</v>
      </c>
      <c r="SZ46" s="11">
        <v>0</v>
      </c>
      <c r="TA46" s="11">
        <v>0</v>
      </c>
      <c r="TB46" s="11">
        <v>0</v>
      </c>
      <c r="TC46" s="11">
        <v>0</v>
      </c>
      <c r="TD46" s="11">
        <v>0</v>
      </c>
      <c r="TE46" s="11">
        <v>0</v>
      </c>
      <c r="TF46" s="11">
        <v>0</v>
      </c>
      <c r="TG46" s="11">
        <v>0</v>
      </c>
      <c r="TH46" s="11">
        <v>0</v>
      </c>
      <c r="TI46" s="11">
        <v>0</v>
      </c>
      <c r="TJ46" s="11">
        <v>0</v>
      </c>
      <c r="TK46" s="27">
        <f t="shared" si="43"/>
        <v>0</v>
      </c>
      <c r="TL46" s="11">
        <v>0</v>
      </c>
      <c r="TM46" s="11">
        <v>0</v>
      </c>
      <c r="TN46" s="11">
        <v>0</v>
      </c>
      <c r="TO46" s="11">
        <v>0</v>
      </c>
      <c r="TP46" s="11">
        <v>0</v>
      </c>
      <c r="TQ46" s="11">
        <v>0</v>
      </c>
      <c r="TR46" s="11">
        <v>0</v>
      </c>
      <c r="TS46" s="11">
        <v>0</v>
      </c>
      <c r="TT46" s="11">
        <v>0</v>
      </c>
      <c r="TU46" s="11">
        <v>0</v>
      </c>
      <c r="TV46" s="11">
        <v>0</v>
      </c>
      <c r="TW46" s="11">
        <v>0</v>
      </c>
      <c r="TX46" s="27">
        <f t="shared" si="44"/>
        <v>0</v>
      </c>
      <c r="TY46" s="11">
        <v>48</v>
      </c>
      <c r="TZ46" s="11">
        <v>0</v>
      </c>
      <c r="UA46" s="11">
        <v>0</v>
      </c>
    </row>
    <row r="47" spans="1:547" ht="16" customHeight="1" x14ac:dyDescent="0.35">
      <c r="A47" s="11" t="s">
        <v>1493</v>
      </c>
      <c r="B47" s="11">
        <v>120725</v>
      </c>
      <c r="C47" s="11">
        <v>62259</v>
      </c>
      <c r="D47" s="11">
        <v>101500</v>
      </c>
      <c r="E47" s="11">
        <v>18932</v>
      </c>
      <c r="F47" s="11">
        <v>1379</v>
      </c>
      <c r="G47" s="11">
        <v>1404</v>
      </c>
      <c r="H47" s="11">
        <v>1488</v>
      </c>
      <c r="I47" s="11">
        <v>1497</v>
      </c>
      <c r="J47" s="11">
        <v>1258</v>
      </c>
      <c r="K47" s="11">
        <v>1343</v>
      </c>
      <c r="L47" s="11">
        <v>1698</v>
      </c>
      <c r="M47" s="11">
        <v>1638</v>
      </c>
      <c r="N47" s="11">
        <v>1057</v>
      </c>
      <c r="O47" s="11">
        <v>1650</v>
      </c>
      <c r="P47" s="11" t="s">
        <v>2862</v>
      </c>
      <c r="Q47" s="11">
        <v>1450</v>
      </c>
      <c r="R47" s="11">
        <v>1682</v>
      </c>
      <c r="S47" s="26">
        <f t="shared" si="0"/>
        <v>17544</v>
      </c>
      <c r="T47" s="11">
        <v>794</v>
      </c>
      <c r="U47" s="11">
        <v>799</v>
      </c>
      <c r="V47" s="11">
        <v>840</v>
      </c>
      <c r="W47" s="11">
        <v>877</v>
      </c>
      <c r="X47" s="11">
        <v>722</v>
      </c>
      <c r="Y47" s="11">
        <v>848</v>
      </c>
      <c r="Z47" s="11">
        <v>1023</v>
      </c>
      <c r="AA47" s="11">
        <v>890</v>
      </c>
      <c r="AB47" s="11">
        <v>535</v>
      </c>
      <c r="AC47" s="11">
        <v>875</v>
      </c>
      <c r="AD47" s="11">
        <v>765</v>
      </c>
      <c r="AE47" s="11">
        <v>817</v>
      </c>
      <c r="AF47" s="26">
        <f t="shared" si="1"/>
        <v>9785</v>
      </c>
      <c r="AG47" s="11">
        <v>585</v>
      </c>
      <c r="AH47" s="11">
        <v>605</v>
      </c>
      <c r="AI47" s="11">
        <v>648</v>
      </c>
      <c r="AJ47" s="11">
        <v>620</v>
      </c>
      <c r="AK47" s="11">
        <v>536</v>
      </c>
      <c r="AL47" s="11">
        <v>495</v>
      </c>
      <c r="AM47" s="11">
        <v>675</v>
      </c>
      <c r="AN47" s="11">
        <v>748</v>
      </c>
      <c r="AO47" s="11">
        <v>522</v>
      </c>
      <c r="AP47" s="11">
        <v>767</v>
      </c>
      <c r="AQ47" s="11">
        <v>677</v>
      </c>
      <c r="AR47" s="11">
        <v>859</v>
      </c>
      <c r="AS47" s="26">
        <f t="shared" si="2"/>
        <v>7737</v>
      </c>
      <c r="AT47" s="11">
        <v>0</v>
      </c>
      <c r="AU47" s="11">
        <v>0</v>
      </c>
      <c r="AV47" s="11">
        <v>0</v>
      </c>
      <c r="AW47" s="11">
        <v>0</v>
      </c>
      <c r="AX47" s="11">
        <v>0</v>
      </c>
      <c r="AY47" s="11">
        <v>0</v>
      </c>
      <c r="AZ47" s="11">
        <v>0</v>
      </c>
      <c r="BA47" s="11">
        <v>0</v>
      </c>
      <c r="BB47" s="11">
        <v>0</v>
      </c>
      <c r="BC47" s="11">
        <v>8</v>
      </c>
      <c r="BD47" s="11">
        <v>8</v>
      </c>
      <c r="BE47" s="11">
        <v>6</v>
      </c>
      <c r="BF47" s="26">
        <f t="shared" si="3"/>
        <v>22</v>
      </c>
      <c r="BG47" s="11">
        <v>0</v>
      </c>
      <c r="BH47" s="11">
        <v>0</v>
      </c>
      <c r="BI47" s="11">
        <v>0</v>
      </c>
      <c r="BJ47" s="11">
        <v>0</v>
      </c>
      <c r="BK47" s="11">
        <v>0</v>
      </c>
      <c r="BL47" s="11">
        <v>0</v>
      </c>
      <c r="BM47" s="11">
        <v>0</v>
      </c>
      <c r="BN47" s="11">
        <v>0</v>
      </c>
      <c r="BO47" s="11">
        <v>0</v>
      </c>
      <c r="BP47" s="11">
        <v>0</v>
      </c>
      <c r="BQ47" s="11">
        <v>0</v>
      </c>
      <c r="BR47" s="11">
        <v>0</v>
      </c>
      <c r="BS47" s="26">
        <f t="shared" si="4"/>
        <v>0</v>
      </c>
      <c r="BT47" s="11">
        <v>0</v>
      </c>
      <c r="BU47" s="11">
        <v>0</v>
      </c>
      <c r="BV47" s="11">
        <v>0</v>
      </c>
      <c r="BW47" s="11">
        <v>0</v>
      </c>
      <c r="BX47" s="11">
        <v>0</v>
      </c>
      <c r="BY47" s="11">
        <v>0</v>
      </c>
      <c r="BZ47" s="11">
        <v>0</v>
      </c>
      <c r="CA47" s="11">
        <v>0</v>
      </c>
      <c r="CB47" s="11">
        <v>0</v>
      </c>
      <c r="CC47" s="11">
        <v>0</v>
      </c>
      <c r="CD47" s="11">
        <v>0</v>
      </c>
      <c r="CE47" s="11">
        <v>0</v>
      </c>
      <c r="CF47" s="26">
        <f t="shared" si="5"/>
        <v>0</v>
      </c>
      <c r="CG47" s="11">
        <v>0</v>
      </c>
      <c r="CH47" s="11">
        <v>0</v>
      </c>
      <c r="CI47" s="11">
        <v>0</v>
      </c>
      <c r="CJ47" s="11">
        <v>0</v>
      </c>
      <c r="CK47" s="11">
        <v>0</v>
      </c>
      <c r="CL47" s="11">
        <v>0</v>
      </c>
      <c r="CM47" s="11">
        <v>0</v>
      </c>
      <c r="CN47" s="11">
        <v>0</v>
      </c>
      <c r="CO47" s="11">
        <v>0</v>
      </c>
      <c r="CP47" s="11">
        <v>0</v>
      </c>
      <c r="CQ47" s="11">
        <v>0</v>
      </c>
      <c r="CR47" s="11">
        <v>0</v>
      </c>
      <c r="CS47" s="26">
        <f t="shared" si="6"/>
        <v>0</v>
      </c>
      <c r="CT47" s="11">
        <v>0</v>
      </c>
      <c r="CU47" s="11">
        <v>0</v>
      </c>
      <c r="CV47" s="11">
        <v>0</v>
      </c>
      <c r="CW47" s="11">
        <v>0</v>
      </c>
      <c r="CX47" s="11">
        <v>0</v>
      </c>
      <c r="CY47" s="11">
        <v>0</v>
      </c>
      <c r="CZ47" s="11">
        <v>0</v>
      </c>
      <c r="DA47" s="11">
        <v>0</v>
      </c>
      <c r="DB47" s="11">
        <v>0</v>
      </c>
      <c r="DC47" s="11">
        <v>0</v>
      </c>
      <c r="DD47" s="11">
        <v>0</v>
      </c>
      <c r="DE47" s="11">
        <v>0</v>
      </c>
      <c r="DF47" s="26">
        <f t="shared" si="7"/>
        <v>0</v>
      </c>
      <c r="DG47" s="11">
        <v>0</v>
      </c>
      <c r="DH47" s="11">
        <v>0</v>
      </c>
      <c r="DI47" s="11">
        <v>0</v>
      </c>
      <c r="DJ47" s="11">
        <v>0</v>
      </c>
      <c r="DK47" s="11">
        <v>0</v>
      </c>
      <c r="DL47" s="11">
        <v>0</v>
      </c>
      <c r="DM47" s="11">
        <v>0</v>
      </c>
      <c r="DN47" s="11">
        <v>0</v>
      </c>
      <c r="DO47" s="11">
        <v>0</v>
      </c>
      <c r="DP47" s="11">
        <v>0</v>
      </c>
      <c r="DQ47" s="11">
        <v>0</v>
      </c>
      <c r="DR47" s="11">
        <v>0</v>
      </c>
      <c r="DS47" s="26">
        <f t="shared" si="8"/>
        <v>0</v>
      </c>
      <c r="DT47" s="11">
        <v>0</v>
      </c>
      <c r="DU47" s="11">
        <v>0</v>
      </c>
      <c r="DV47" s="11">
        <v>0</v>
      </c>
      <c r="DW47" s="11">
        <v>0</v>
      </c>
      <c r="DX47" s="11">
        <v>0</v>
      </c>
      <c r="DY47" s="11">
        <v>0</v>
      </c>
      <c r="DZ47" s="11">
        <v>0</v>
      </c>
      <c r="EA47" s="11">
        <v>0</v>
      </c>
      <c r="EB47" s="11">
        <v>0</v>
      </c>
      <c r="EC47" s="11">
        <v>0</v>
      </c>
      <c r="ED47" s="11">
        <v>0</v>
      </c>
      <c r="EE47" s="11">
        <v>0</v>
      </c>
      <c r="EF47" s="26">
        <f t="shared" si="9"/>
        <v>0</v>
      </c>
      <c r="EG47" s="9">
        <f t="shared" si="10"/>
        <v>17544</v>
      </c>
      <c r="EH47" s="9">
        <f t="shared" si="11"/>
        <v>0</v>
      </c>
      <c r="EI47" s="11">
        <v>14858</v>
      </c>
      <c r="EJ47" s="11">
        <v>14554</v>
      </c>
      <c r="EK47" s="11">
        <v>19761</v>
      </c>
      <c r="EL47" s="11">
        <v>27617</v>
      </c>
      <c r="EM47" s="11">
        <v>14050</v>
      </c>
      <c r="EN47" s="11">
        <v>12900</v>
      </c>
      <c r="EO47" s="11">
        <v>19332</v>
      </c>
      <c r="EP47" s="11">
        <v>17743</v>
      </c>
      <c r="EQ47" s="11">
        <v>11749</v>
      </c>
      <c r="ER47" s="11">
        <v>19510</v>
      </c>
      <c r="ES47" s="11">
        <v>18361</v>
      </c>
      <c r="ET47" s="11">
        <v>22194</v>
      </c>
      <c r="EU47" s="26">
        <f t="shared" si="12"/>
        <v>212629</v>
      </c>
      <c r="EV47" s="11">
        <v>4302</v>
      </c>
      <c r="EW47" s="11">
        <v>4027</v>
      </c>
      <c r="EX47" s="11">
        <v>4628</v>
      </c>
      <c r="EY47" s="11">
        <v>8523</v>
      </c>
      <c r="EZ47" s="11">
        <v>4346</v>
      </c>
      <c r="FA47" s="11">
        <v>4664</v>
      </c>
      <c r="FB47" s="11">
        <v>6054</v>
      </c>
      <c r="FC47" s="11">
        <v>4968</v>
      </c>
      <c r="FD47" s="11">
        <v>3694</v>
      </c>
      <c r="FE47" s="11">
        <v>6443</v>
      </c>
      <c r="FF47" s="11">
        <v>5953</v>
      </c>
      <c r="FG47" s="11">
        <v>6521</v>
      </c>
      <c r="FH47" s="26">
        <f t="shared" si="13"/>
        <v>64123</v>
      </c>
      <c r="FI47" s="11">
        <v>10556</v>
      </c>
      <c r="FJ47" s="11">
        <v>10527</v>
      </c>
      <c r="FK47" s="11">
        <v>15133</v>
      </c>
      <c r="FL47" s="11">
        <v>19094</v>
      </c>
      <c r="FM47" s="11">
        <v>9704</v>
      </c>
      <c r="FN47" s="11">
        <v>8236</v>
      </c>
      <c r="FO47" s="11">
        <v>13278</v>
      </c>
      <c r="FP47" s="11">
        <v>12775</v>
      </c>
      <c r="FQ47" s="11">
        <v>8055</v>
      </c>
      <c r="FR47" s="11">
        <v>12992</v>
      </c>
      <c r="FS47" s="11">
        <v>12343</v>
      </c>
      <c r="FT47" s="11">
        <v>15646</v>
      </c>
      <c r="FU47" s="26">
        <f t="shared" si="14"/>
        <v>148339</v>
      </c>
      <c r="FV47" s="11">
        <v>0</v>
      </c>
      <c r="FW47" s="11">
        <v>0</v>
      </c>
      <c r="FX47" s="11">
        <v>0</v>
      </c>
      <c r="FY47" s="11">
        <v>0</v>
      </c>
      <c r="FZ47" s="11">
        <v>0</v>
      </c>
      <c r="GA47" s="11">
        <v>0</v>
      </c>
      <c r="GB47" s="11">
        <v>0</v>
      </c>
      <c r="GC47" s="11">
        <v>0</v>
      </c>
      <c r="GD47" s="11">
        <v>0</v>
      </c>
      <c r="GE47" s="11">
        <v>75</v>
      </c>
      <c r="GF47" s="11">
        <v>65</v>
      </c>
      <c r="GG47" s="11">
        <v>27</v>
      </c>
      <c r="GH47" s="26">
        <f t="shared" si="15"/>
        <v>167</v>
      </c>
      <c r="GI47" s="11">
        <v>0</v>
      </c>
      <c r="GJ47" s="11">
        <v>0</v>
      </c>
      <c r="GK47" s="11">
        <v>0</v>
      </c>
      <c r="GL47" s="11">
        <v>0</v>
      </c>
      <c r="GM47" s="11">
        <v>0</v>
      </c>
      <c r="GN47" s="11">
        <v>0</v>
      </c>
      <c r="GO47" s="11">
        <v>0</v>
      </c>
      <c r="GP47" s="11">
        <v>0</v>
      </c>
      <c r="GQ47" s="11">
        <v>0</v>
      </c>
      <c r="GR47" s="11">
        <v>0</v>
      </c>
      <c r="GS47" s="11">
        <v>0</v>
      </c>
      <c r="GT47" s="11">
        <v>0</v>
      </c>
      <c r="GU47" s="26">
        <f t="shared" si="16"/>
        <v>0</v>
      </c>
      <c r="GV47" s="11">
        <v>0</v>
      </c>
      <c r="GW47" s="11">
        <v>0</v>
      </c>
      <c r="GX47" s="11">
        <v>0</v>
      </c>
      <c r="GY47" s="11">
        <v>0</v>
      </c>
      <c r="GZ47" s="11">
        <v>0</v>
      </c>
      <c r="HA47" s="11">
        <v>0</v>
      </c>
      <c r="HB47" s="11">
        <v>0</v>
      </c>
      <c r="HC47" s="11">
        <v>0</v>
      </c>
      <c r="HD47" s="11">
        <v>0</v>
      </c>
      <c r="HE47" s="11">
        <v>0</v>
      </c>
      <c r="HF47" s="11">
        <v>0</v>
      </c>
      <c r="HG47" s="11">
        <v>0</v>
      </c>
      <c r="HH47" s="26">
        <f t="shared" si="17"/>
        <v>0</v>
      </c>
      <c r="HI47" s="11">
        <v>0</v>
      </c>
      <c r="HJ47" s="11">
        <v>0</v>
      </c>
      <c r="HK47" s="11">
        <v>0</v>
      </c>
      <c r="HL47" s="11">
        <v>0</v>
      </c>
      <c r="HM47" s="11">
        <v>0</v>
      </c>
      <c r="HN47" s="11">
        <v>0</v>
      </c>
      <c r="HO47" s="11">
        <v>0</v>
      </c>
      <c r="HP47" s="11">
        <v>0</v>
      </c>
      <c r="HQ47" s="11">
        <v>0</v>
      </c>
      <c r="HR47" s="11">
        <v>0</v>
      </c>
      <c r="HS47" s="11">
        <v>0</v>
      </c>
      <c r="HT47" s="11">
        <v>0</v>
      </c>
      <c r="HU47" s="26">
        <f t="shared" si="18"/>
        <v>0</v>
      </c>
      <c r="HV47" s="11">
        <v>0</v>
      </c>
      <c r="HW47" s="11">
        <v>0</v>
      </c>
      <c r="HX47" s="11">
        <v>0</v>
      </c>
      <c r="HY47" s="11">
        <v>0</v>
      </c>
      <c r="HZ47" s="11">
        <v>0</v>
      </c>
      <c r="IA47" s="11">
        <v>0</v>
      </c>
      <c r="IB47" s="11">
        <v>0</v>
      </c>
      <c r="IC47" s="11">
        <v>0</v>
      </c>
      <c r="ID47" s="11">
        <v>0</v>
      </c>
      <c r="IE47" s="11">
        <v>0</v>
      </c>
      <c r="IF47" s="11">
        <v>0</v>
      </c>
      <c r="IG47" s="11">
        <v>0</v>
      </c>
      <c r="IH47" s="26">
        <f t="shared" si="19"/>
        <v>0</v>
      </c>
      <c r="II47" s="9">
        <f t="shared" si="20"/>
        <v>212629</v>
      </c>
      <c r="IJ47" s="9">
        <f t="shared" si="21"/>
        <v>0</v>
      </c>
      <c r="IK47" s="11">
        <v>261923</v>
      </c>
      <c r="IL47" s="11">
        <v>219678</v>
      </c>
      <c r="IM47" s="11">
        <v>214206</v>
      </c>
      <c r="IN47" s="11">
        <v>287742</v>
      </c>
      <c r="IO47" s="11">
        <v>307252</v>
      </c>
      <c r="IP47" s="11">
        <v>250736</v>
      </c>
      <c r="IQ47" s="11">
        <v>264679</v>
      </c>
      <c r="IR47" s="11">
        <v>241727</v>
      </c>
      <c r="IS47" s="11">
        <v>200917</v>
      </c>
      <c r="IT47" s="11">
        <v>235373</v>
      </c>
      <c r="IU47" s="11">
        <v>230383</v>
      </c>
      <c r="IV47" s="11">
        <v>241794</v>
      </c>
      <c r="IW47" s="27">
        <f t="shared" si="22"/>
        <v>2956410</v>
      </c>
      <c r="IX47" s="11">
        <v>116061</v>
      </c>
      <c r="IY47" s="11">
        <v>100156</v>
      </c>
      <c r="IZ47" s="11">
        <v>104025</v>
      </c>
      <c r="JA47" s="11">
        <v>116037</v>
      </c>
      <c r="JB47" s="11">
        <v>120624</v>
      </c>
      <c r="JC47" s="11">
        <v>109783</v>
      </c>
      <c r="JD47" s="11">
        <v>118548</v>
      </c>
      <c r="JE47" s="11">
        <v>109962</v>
      </c>
      <c r="JF47" s="11">
        <v>99204</v>
      </c>
      <c r="JG47" s="11">
        <v>109796</v>
      </c>
      <c r="JH47" s="11">
        <v>99648</v>
      </c>
      <c r="JI47" s="11">
        <v>108701</v>
      </c>
      <c r="JJ47" s="27">
        <f t="shared" si="23"/>
        <v>1312545</v>
      </c>
      <c r="JK47" s="11">
        <v>143752</v>
      </c>
      <c r="JL47" s="11">
        <v>118048</v>
      </c>
      <c r="JM47" s="11">
        <v>109733</v>
      </c>
      <c r="JN47" s="11">
        <v>168978</v>
      </c>
      <c r="JO47" s="11">
        <v>183515</v>
      </c>
      <c r="JP47" s="11">
        <v>138840</v>
      </c>
      <c r="JQ47" s="11">
        <v>143958</v>
      </c>
      <c r="JR47" s="11">
        <v>130230</v>
      </c>
      <c r="JS47" s="11">
        <v>100387</v>
      </c>
      <c r="JT47" s="11">
        <v>123694</v>
      </c>
      <c r="JU47" s="11">
        <v>128521</v>
      </c>
      <c r="JV47" s="11">
        <v>130726</v>
      </c>
      <c r="JW47" s="27">
        <f t="shared" si="24"/>
        <v>1620382</v>
      </c>
      <c r="JX47" s="11">
        <v>2110</v>
      </c>
      <c r="JY47" s="11">
        <v>1474</v>
      </c>
      <c r="JZ47" s="11">
        <v>448</v>
      </c>
      <c r="KA47" s="11">
        <v>2727</v>
      </c>
      <c r="KB47" s="11">
        <v>3113</v>
      </c>
      <c r="KC47" s="11">
        <v>2113</v>
      </c>
      <c r="KD47" s="11">
        <v>2173</v>
      </c>
      <c r="KE47" s="11">
        <v>1535</v>
      </c>
      <c r="KF47" s="11">
        <v>1326</v>
      </c>
      <c r="KG47" s="11">
        <v>1883</v>
      </c>
      <c r="KH47" s="11">
        <v>2214</v>
      </c>
      <c r="KI47" s="11">
        <v>2367</v>
      </c>
      <c r="KJ47" s="27">
        <f t="shared" si="25"/>
        <v>23483</v>
      </c>
      <c r="KK47" s="11">
        <v>3544</v>
      </c>
      <c r="KL47" s="11">
        <v>3005</v>
      </c>
      <c r="KM47" s="11">
        <v>3403</v>
      </c>
      <c r="KN47" s="11">
        <v>3946</v>
      </c>
      <c r="KO47" s="11">
        <v>3381</v>
      </c>
      <c r="KP47" s="11">
        <v>3337</v>
      </c>
      <c r="KQ47" s="11">
        <v>3731</v>
      </c>
      <c r="KR47" s="11">
        <v>3035</v>
      </c>
      <c r="KS47" s="11">
        <v>2966</v>
      </c>
      <c r="KT47" s="11">
        <v>3284</v>
      </c>
      <c r="KU47" s="11">
        <v>3035</v>
      </c>
      <c r="KV47" s="11">
        <v>3069</v>
      </c>
      <c r="KW47" s="27">
        <f t="shared" si="26"/>
        <v>39736</v>
      </c>
      <c r="KX47" s="11">
        <v>3183</v>
      </c>
      <c r="KY47" s="11">
        <v>2727</v>
      </c>
      <c r="KZ47" s="11">
        <v>3078</v>
      </c>
      <c r="LA47" s="11">
        <v>3490</v>
      </c>
      <c r="LB47" s="11">
        <v>2957</v>
      </c>
      <c r="LC47" s="11">
        <v>2979</v>
      </c>
      <c r="LD47" s="11">
        <v>3422</v>
      </c>
      <c r="LE47" s="11">
        <v>2743</v>
      </c>
      <c r="LF47" s="11">
        <v>2714</v>
      </c>
      <c r="LG47" s="11">
        <v>3029</v>
      </c>
      <c r="LH47" s="11">
        <v>2803</v>
      </c>
      <c r="LI47" s="11">
        <v>2823</v>
      </c>
      <c r="LJ47" s="27">
        <f t="shared" si="27"/>
        <v>35948</v>
      </c>
      <c r="LK47" s="11">
        <v>355</v>
      </c>
      <c r="LL47" s="11">
        <v>277</v>
      </c>
      <c r="LM47" s="11">
        <v>325</v>
      </c>
      <c r="LN47" s="11">
        <v>452</v>
      </c>
      <c r="LO47" s="11">
        <v>420</v>
      </c>
      <c r="LP47" s="11">
        <v>356</v>
      </c>
      <c r="LQ47" s="11">
        <v>309</v>
      </c>
      <c r="LR47" s="11">
        <v>291</v>
      </c>
      <c r="LS47" s="11">
        <v>250</v>
      </c>
      <c r="LT47" s="11">
        <v>254</v>
      </c>
      <c r="LU47" s="11">
        <v>228</v>
      </c>
      <c r="LV47" s="11">
        <v>245</v>
      </c>
      <c r="LW47" s="27">
        <f t="shared" si="28"/>
        <v>3762</v>
      </c>
      <c r="LX47" s="11">
        <v>6</v>
      </c>
      <c r="LY47" s="11">
        <v>1</v>
      </c>
      <c r="LZ47" s="11">
        <v>0</v>
      </c>
      <c r="MA47" s="11">
        <v>4</v>
      </c>
      <c r="MB47" s="11">
        <v>4</v>
      </c>
      <c r="MC47" s="11">
        <v>2</v>
      </c>
      <c r="MD47" s="11">
        <v>0</v>
      </c>
      <c r="ME47" s="11">
        <v>1</v>
      </c>
      <c r="MF47" s="11">
        <v>2</v>
      </c>
      <c r="MG47" s="11">
        <v>1</v>
      </c>
      <c r="MH47" s="11">
        <v>4</v>
      </c>
      <c r="MI47" s="11">
        <v>1</v>
      </c>
      <c r="MJ47" s="27">
        <f t="shared" si="29"/>
        <v>26</v>
      </c>
      <c r="MK47" s="11">
        <v>43701</v>
      </c>
      <c r="ML47" s="11">
        <v>43817</v>
      </c>
      <c r="MM47" s="11">
        <v>42426</v>
      </c>
      <c r="MN47" s="11">
        <v>43929</v>
      </c>
      <c r="MO47" s="11">
        <v>45476</v>
      </c>
      <c r="MP47" s="11">
        <v>42992</v>
      </c>
      <c r="MQ47" s="11">
        <v>44457</v>
      </c>
      <c r="MR47" s="11">
        <v>42020</v>
      </c>
      <c r="MS47" s="11">
        <v>42137</v>
      </c>
      <c r="MT47" s="11">
        <v>46017</v>
      </c>
      <c r="MU47" s="11">
        <v>41655</v>
      </c>
      <c r="MV47" s="11">
        <v>43040</v>
      </c>
      <c r="MW47" s="27">
        <f t="shared" si="30"/>
        <v>521667</v>
      </c>
      <c r="MX47" s="11">
        <v>0</v>
      </c>
      <c r="MY47" s="11">
        <v>0</v>
      </c>
      <c r="MZ47" s="11">
        <v>0</v>
      </c>
      <c r="NA47" s="11">
        <v>0</v>
      </c>
      <c r="NB47" s="11">
        <v>0</v>
      </c>
      <c r="NC47" s="11">
        <v>0</v>
      </c>
      <c r="ND47" s="11">
        <v>0</v>
      </c>
      <c r="NE47" s="11">
        <v>0</v>
      </c>
      <c r="NF47" s="11">
        <v>0</v>
      </c>
      <c r="NG47" s="11">
        <v>0</v>
      </c>
      <c r="NH47" s="11">
        <v>0</v>
      </c>
      <c r="NI47" s="11">
        <v>0</v>
      </c>
      <c r="NJ47" s="27">
        <f t="shared" si="31"/>
        <v>0</v>
      </c>
      <c r="NK47" s="11">
        <v>0</v>
      </c>
      <c r="NL47" s="11">
        <v>0</v>
      </c>
      <c r="NM47" s="11">
        <v>0</v>
      </c>
      <c r="NN47" s="11">
        <v>0</v>
      </c>
      <c r="NO47" s="11">
        <v>0</v>
      </c>
      <c r="NP47" s="11">
        <v>0</v>
      </c>
      <c r="NQ47" s="11">
        <v>0</v>
      </c>
      <c r="NR47" s="11">
        <v>0</v>
      </c>
      <c r="NS47" s="11">
        <v>0</v>
      </c>
      <c r="NT47" s="11">
        <v>0</v>
      </c>
      <c r="NU47" s="11">
        <v>0</v>
      </c>
      <c r="NV47" s="11">
        <v>0</v>
      </c>
      <c r="NW47" s="27">
        <f t="shared" si="32"/>
        <v>0</v>
      </c>
      <c r="NX47" s="11">
        <v>0</v>
      </c>
      <c r="NY47" s="11">
        <v>0</v>
      </c>
      <c r="NZ47" s="11">
        <v>0</v>
      </c>
      <c r="OA47" s="11">
        <v>0</v>
      </c>
      <c r="OB47" s="11">
        <v>0</v>
      </c>
      <c r="OC47" s="11">
        <v>0</v>
      </c>
      <c r="OD47" s="11">
        <v>0</v>
      </c>
      <c r="OE47" s="11">
        <v>0</v>
      </c>
      <c r="OF47" s="11">
        <v>0</v>
      </c>
      <c r="OG47" s="11">
        <v>0</v>
      </c>
      <c r="OH47" s="11">
        <v>0</v>
      </c>
      <c r="OI47" s="11">
        <v>0</v>
      </c>
      <c r="OJ47" s="27">
        <f t="shared" si="33"/>
        <v>0</v>
      </c>
      <c r="OK47" s="11">
        <v>36832</v>
      </c>
      <c r="OL47" s="11">
        <v>37523</v>
      </c>
      <c r="OM47" s="11">
        <v>35969</v>
      </c>
      <c r="ON47" s="11">
        <v>37648</v>
      </c>
      <c r="OO47" s="11">
        <v>39230</v>
      </c>
      <c r="OP47" s="11">
        <v>38502</v>
      </c>
      <c r="OQ47" s="11">
        <v>39254</v>
      </c>
      <c r="OR47" s="11">
        <v>38751</v>
      </c>
      <c r="OS47" s="11">
        <v>37950</v>
      </c>
      <c r="OT47" s="11">
        <v>43103</v>
      </c>
      <c r="OU47" s="11">
        <v>39806</v>
      </c>
      <c r="OV47" s="11">
        <v>42733</v>
      </c>
      <c r="OW47" s="27">
        <f t="shared" si="34"/>
        <v>467301</v>
      </c>
      <c r="OX47" s="11">
        <v>0</v>
      </c>
      <c r="OY47" s="11">
        <v>0</v>
      </c>
      <c r="OZ47" s="11">
        <v>0</v>
      </c>
      <c r="PA47" s="11">
        <v>0</v>
      </c>
      <c r="PB47" s="11">
        <v>0</v>
      </c>
      <c r="PC47" s="11">
        <v>0</v>
      </c>
      <c r="PD47" s="11">
        <v>0</v>
      </c>
      <c r="PE47" s="11">
        <v>0</v>
      </c>
      <c r="PF47" s="11">
        <v>0</v>
      </c>
      <c r="PG47" s="11">
        <v>0</v>
      </c>
      <c r="PH47" s="11">
        <v>0</v>
      </c>
      <c r="PI47" s="11">
        <v>0</v>
      </c>
      <c r="PJ47" s="27">
        <f t="shared" si="35"/>
        <v>0</v>
      </c>
      <c r="PK47" s="11">
        <v>0</v>
      </c>
      <c r="PL47" s="11">
        <v>0</v>
      </c>
      <c r="PM47" s="11">
        <v>0</v>
      </c>
      <c r="PN47" s="11">
        <v>0</v>
      </c>
      <c r="PO47" s="11">
        <v>0</v>
      </c>
      <c r="PP47" s="11">
        <v>0</v>
      </c>
      <c r="PQ47" s="11">
        <v>0</v>
      </c>
      <c r="PR47" s="11">
        <v>0</v>
      </c>
      <c r="PS47" s="11">
        <v>0</v>
      </c>
      <c r="PT47" s="11">
        <v>0</v>
      </c>
      <c r="PU47" s="11">
        <v>0</v>
      </c>
      <c r="PV47" s="11">
        <v>0</v>
      </c>
      <c r="PW47" s="27">
        <f t="shared" si="36"/>
        <v>0</v>
      </c>
      <c r="PX47" s="11">
        <v>0</v>
      </c>
      <c r="PY47" s="11">
        <v>0</v>
      </c>
      <c r="PZ47" s="11">
        <v>0</v>
      </c>
      <c r="QA47" s="11">
        <v>0</v>
      </c>
      <c r="QB47" s="11">
        <v>0</v>
      </c>
      <c r="QC47" s="11">
        <v>0</v>
      </c>
      <c r="QD47" s="11">
        <v>0</v>
      </c>
      <c r="QE47" s="11">
        <v>0</v>
      </c>
      <c r="QF47" s="11">
        <v>0</v>
      </c>
      <c r="QG47" s="11">
        <v>0</v>
      </c>
      <c r="QH47" s="11">
        <v>0</v>
      </c>
      <c r="QI47" s="11">
        <v>0</v>
      </c>
      <c r="QJ47" s="27">
        <f t="shared" si="37"/>
        <v>0</v>
      </c>
      <c r="QK47" s="11">
        <v>149907</v>
      </c>
      <c r="QL47" s="11">
        <v>145103</v>
      </c>
      <c r="QM47" s="11">
        <v>136419</v>
      </c>
      <c r="QN47" s="11">
        <v>162816</v>
      </c>
      <c r="QO47" s="11">
        <v>164623</v>
      </c>
      <c r="QP47" s="11">
        <v>144639</v>
      </c>
      <c r="QQ47" s="11">
        <v>158722</v>
      </c>
      <c r="QR47" s="11">
        <v>147006</v>
      </c>
      <c r="QS47" s="11">
        <v>115221</v>
      </c>
      <c r="QT47" s="11">
        <v>146239</v>
      </c>
      <c r="QU47" s="11">
        <v>139079</v>
      </c>
      <c r="QV47" s="11">
        <v>149747</v>
      </c>
      <c r="QW47" s="27">
        <f t="shared" si="38"/>
        <v>1759521</v>
      </c>
      <c r="QX47" s="11">
        <v>116441</v>
      </c>
      <c r="QY47" s="11">
        <v>117827</v>
      </c>
      <c r="QZ47" s="11">
        <v>107642</v>
      </c>
      <c r="RA47" s="11">
        <v>135805</v>
      </c>
      <c r="RB47" s="11">
        <v>132354</v>
      </c>
      <c r="RC47" s="11">
        <v>114188</v>
      </c>
      <c r="RD47" s="11">
        <v>123808</v>
      </c>
      <c r="RE47" s="11">
        <v>119932</v>
      </c>
      <c r="RF47" s="11">
        <v>99327</v>
      </c>
      <c r="RG47" s="11">
        <v>116938</v>
      </c>
      <c r="RH47" s="11">
        <v>115307</v>
      </c>
      <c r="RI47" s="11">
        <v>121753</v>
      </c>
      <c r="RJ47" s="27">
        <f t="shared" si="39"/>
        <v>1421322</v>
      </c>
      <c r="RK47" s="11">
        <v>0</v>
      </c>
      <c r="RL47" s="11">
        <v>0</v>
      </c>
      <c r="RM47" s="11">
        <v>0</v>
      </c>
      <c r="RN47" s="11">
        <v>0</v>
      </c>
      <c r="RO47" s="11">
        <v>0</v>
      </c>
      <c r="RP47" s="11">
        <v>0</v>
      </c>
      <c r="RQ47" s="11">
        <v>0</v>
      </c>
      <c r="RR47" s="11">
        <v>0</v>
      </c>
      <c r="RS47" s="11">
        <v>0</v>
      </c>
      <c r="RT47" s="11">
        <v>0</v>
      </c>
      <c r="RU47" s="11">
        <v>0</v>
      </c>
      <c r="RV47" s="11">
        <v>0</v>
      </c>
      <c r="RW47" s="27">
        <f t="shared" si="40"/>
        <v>0</v>
      </c>
      <c r="RX47" s="11">
        <v>2593</v>
      </c>
      <c r="RY47" s="11">
        <v>2896</v>
      </c>
      <c r="RZ47" s="11">
        <v>2487</v>
      </c>
      <c r="SA47" s="11">
        <v>2620</v>
      </c>
      <c r="SB47" s="11">
        <v>2615</v>
      </c>
      <c r="SC47" s="11">
        <v>2137</v>
      </c>
      <c r="SD47" s="11">
        <v>3013</v>
      </c>
      <c r="SE47" s="11">
        <v>3082</v>
      </c>
      <c r="SF47" s="11">
        <v>1877</v>
      </c>
      <c r="SG47" s="11">
        <v>2979</v>
      </c>
      <c r="SH47" s="11">
        <v>2270</v>
      </c>
      <c r="SI47" s="11">
        <v>2226</v>
      </c>
      <c r="SJ47" s="27">
        <f t="shared" si="41"/>
        <v>30795</v>
      </c>
      <c r="SK47" s="11">
        <v>0</v>
      </c>
      <c r="SL47" s="11">
        <v>0</v>
      </c>
      <c r="SM47" s="11">
        <v>0</v>
      </c>
      <c r="SN47" s="11">
        <v>0</v>
      </c>
      <c r="SO47" s="11">
        <v>0</v>
      </c>
      <c r="SP47" s="11">
        <v>0</v>
      </c>
      <c r="SQ47" s="11">
        <v>0</v>
      </c>
      <c r="SR47" s="11">
        <v>0</v>
      </c>
      <c r="SS47" s="11">
        <v>0</v>
      </c>
      <c r="ST47" s="11">
        <v>0</v>
      </c>
      <c r="SU47" s="11">
        <v>0</v>
      </c>
      <c r="SV47" s="11">
        <v>0</v>
      </c>
      <c r="SW47" s="27">
        <f t="shared" si="42"/>
        <v>0</v>
      </c>
      <c r="SX47" s="11" t="s">
        <v>2685</v>
      </c>
      <c r="SY47" s="11">
        <v>15323</v>
      </c>
      <c r="SZ47" s="11">
        <v>15476</v>
      </c>
      <c r="TA47" s="11">
        <v>14328</v>
      </c>
      <c r="TB47" s="11">
        <v>15490</v>
      </c>
      <c r="TC47" s="11">
        <v>14875</v>
      </c>
      <c r="TD47" s="11">
        <v>14797</v>
      </c>
      <c r="TE47" s="11">
        <v>16076</v>
      </c>
      <c r="TF47" s="11">
        <v>14857</v>
      </c>
      <c r="TG47" s="11">
        <v>12016</v>
      </c>
      <c r="TH47" s="11">
        <v>14799</v>
      </c>
      <c r="TI47" s="11">
        <v>14294</v>
      </c>
      <c r="TJ47" s="11">
        <v>15487</v>
      </c>
      <c r="TK47" s="27">
        <f t="shared" si="43"/>
        <v>177818</v>
      </c>
      <c r="TL47" s="11">
        <v>9974</v>
      </c>
      <c r="TM47" s="11">
        <v>10198</v>
      </c>
      <c r="TN47" s="11">
        <v>9009</v>
      </c>
      <c r="TO47" s="11">
        <v>9347</v>
      </c>
      <c r="TP47" s="11">
        <v>9179</v>
      </c>
      <c r="TQ47" s="11">
        <v>9445</v>
      </c>
      <c r="TR47" s="11">
        <v>10391</v>
      </c>
      <c r="TS47" s="11">
        <v>9374</v>
      </c>
      <c r="TT47" s="11">
        <v>7631</v>
      </c>
      <c r="TU47" s="11">
        <v>9254</v>
      </c>
      <c r="TV47" s="11">
        <v>8584</v>
      </c>
      <c r="TW47" s="11">
        <v>9345</v>
      </c>
      <c r="TX47" s="27">
        <f t="shared" si="44"/>
        <v>111731</v>
      </c>
      <c r="TY47" s="11">
        <v>498</v>
      </c>
      <c r="TZ47" s="11">
        <v>0</v>
      </c>
      <c r="UA47" s="11">
        <v>0</v>
      </c>
    </row>
    <row r="48" spans="1:547" ht="16" customHeight="1" x14ac:dyDescent="0.35">
      <c r="A48" s="11" t="s">
        <v>1420</v>
      </c>
      <c r="B48" s="11"/>
      <c r="C48" s="11"/>
      <c r="D48" s="11"/>
      <c r="E48" s="11"/>
      <c r="F48" s="11">
        <v>133</v>
      </c>
      <c r="G48" s="11">
        <v>189</v>
      </c>
      <c r="H48" s="11">
        <v>223</v>
      </c>
      <c r="I48" s="11">
        <v>164</v>
      </c>
      <c r="J48" s="11">
        <v>202</v>
      </c>
      <c r="K48" s="11">
        <v>155</v>
      </c>
      <c r="L48" s="11">
        <v>153</v>
      </c>
      <c r="M48" s="11">
        <v>162</v>
      </c>
      <c r="N48" s="11">
        <v>201</v>
      </c>
      <c r="O48" s="11">
        <v>172</v>
      </c>
      <c r="P48" s="11" t="s">
        <v>2865</v>
      </c>
      <c r="Q48" s="11">
        <v>155</v>
      </c>
      <c r="R48" s="11">
        <v>167</v>
      </c>
      <c r="S48" s="26">
        <f t="shared" si="0"/>
        <v>2076</v>
      </c>
      <c r="T48" s="11">
        <v>13</v>
      </c>
      <c r="U48" s="11">
        <v>28</v>
      </c>
      <c r="V48" s="11">
        <v>21</v>
      </c>
      <c r="W48" s="11">
        <v>13</v>
      </c>
      <c r="X48" s="11">
        <v>13</v>
      </c>
      <c r="Y48" s="11">
        <v>13</v>
      </c>
      <c r="Z48" s="11">
        <v>10</v>
      </c>
      <c r="AA48" s="11">
        <v>17</v>
      </c>
      <c r="AB48" s="11">
        <v>17</v>
      </c>
      <c r="AC48" s="11">
        <v>10</v>
      </c>
      <c r="AD48" s="11">
        <v>11</v>
      </c>
      <c r="AE48" s="11">
        <v>9</v>
      </c>
      <c r="AF48" s="26">
        <f t="shared" si="1"/>
        <v>175</v>
      </c>
      <c r="AG48" s="11">
        <v>61</v>
      </c>
      <c r="AH48" s="11">
        <v>81</v>
      </c>
      <c r="AI48" s="11">
        <v>109</v>
      </c>
      <c r="AJ48" s="11">
        <v>98</v>
      </c>
      <c r="AK48" s="11">
        <v>99</v>
      </c>
      <c r="AL48" s="11">
        <v>75</v>
      </c>
      <c r="AM48" s="11">
        <v>83</v>
      </c>
      <c r="AN48" s="11">
        <v>80</v>
      </c>
      <c r="AO48" s="11">
        <v>114</v>
      </c>
      <c r="AP48" s="11">
        <v>94</v>
      </c>
      <c r="AQ48" s="11">
        <v>93</v>
      </c>
      <c r="AR48" s="11">
        <v>95</v>
      </c>
      <c r="AS48" s="26">
        <f t="shared" si="2"/>
        <v>1082</v>
      </c>
      <c r="AT48" s="11">
        <v>42</v>
      </c>
      <c r="AU48" s="11">
        <v>63</v>
      </c>
      <c r="AV48" s="11">
        <v>78</v>
      </c>
      <c r="AW48" s="11">
        <v>48</v>
      </c>
      <c r="AX48" s="11">
        <v>87</v>
      </c>
      <c r="AY48" s="11">
        <v>65</v>
      </c>
      <c r="AZ48" s="11">
        <v>58</v>
      </c>
      <c r="BA48" s="11">
        <v>63</v>
      </c>
      <c r="BB48" s="11">
        <v>66</v>
      </c>
      <c r="BC48" s="11">
        <v>58</v>
      </c>
      <c r="BD48" s="11">
        <v>48</v>
      </c>
      <c r="BE48" s="11">
        <v>60</v>
      </c>
      <c r="BF48" s="26">
        <f t="shared" si="3"/>
        <v>736</v>
      </c>
      <c r="BG48" s="11">
        <v>17</v>
      </c>
      <c r="BH48" s="11">
        <v>17</v>
      </c>
      <c r="BI48" s="11">
        <v>15</v>
      </c>
      <c r="BJ48" s="11">
        <v>5</v>
      </c>
      <c r="BK48" s="11">
        <v>3</v>
      </c>
      <c r="BL48" s="11">
        <v>2</v>
      </c>
      <c r="BM48" s="11">
        <v>2</v>
      </c>
      <c r="BN48" s="11">
        <v>2</v>
      </c>
      <c r="BO48" s="11">
        <v>4</v>
      </c>
      <c r="BP48" s="11">
        <v>10</v>
      </c>
      <c r="BQ48" s="11">
        <v>3</v>
      </c>
      <c r="BR48" s="11">
        <v>3</v>
      </c>
      <c r="BS48" s="26">
        <f t="shared" si="4"/>
        <v>83</v>
      </c>
      <c r="BT48" s="11">
        <v>10</v>
      </c>
      <c r="BU48" s="11">
        <v>13</v>
      </c>
      <c r="BV48" s="11">
        <v>9</v>
      </c>
      <c r="BW48" s="11">
        <v>8</v>
      </c>
      <c r="BX48" s="11">
        <v>9</v>
      </c>
      <c r="BY48" s="11">
        <v>8</v>
      </c>
      <c r="BZ48" s="11">
        <v>9</v>
      </c>
      <c r="CA48" s="11">
        <v>10</v>
      </c>
      <c r="CB48" s="11">
        <v>7</v>
      </c>
      <c r="CC48" s="11">
        <v>9</v>
      </c>
      <c r="CD48" s="11">
        <v>11</v>
      </c>
      <c r="CE48" s="11">
        <v>8</v>
      </c>
      <c r="CF48" s="26">
        <f t="shared" si="5"/>
        <v>111</v>
      </c>
      <c r="CG48" s="11">
        <v>0</v>
      </c>
      <c r="CH48" s="11">
        <v>0</v>
      </c>
      <c r="CI48" s="11">
        <v>0</v>
      </c>
      <c r="CJ48" s="11">
        <v>0</v>
      </c>
      <c r="CK48" s="11">
        <v>0</v>
      </c>
      <c r="CL48" s="11">
        <v>0</v>
      </c>
      <c r="CM48" s="11">
        <v>0</v>
      </c>
      <c r="CN48" s="11">
        <v>0</v>
      </c>
      <c r="CO48" s="11">
        <v>0</v>
      </c>
      <c r="CP48" s="11">
        <v>0</v>
      </c>
      <c r="CQ48" s="11">
        <v>0</v>
      </c>
      <c r="CR48" s="11">
        <v>0</v>
      </c>
      <c r="CS48" s="26">
        <f t="shared" si="6"/>
        <v>0</v>
      </c>
      <c r="CT48" s="11">
        <v>0</v>
      </c>
      <c r="CU48" s="11">
        <v>0</v>
      </c>
      <c r="CV48" s="11">
        <v>0</v>
      </c>
      <c r="CW48" s="11">
        <v>0</v>
      </c>
      <c r="CX48" s="11">
        <v>0</v>
      </c>
      <c r="CY48" s="11">
        <v>0</v>
      </c>
      <c r="CZ48" s="11">
        <v>0</v>
      </c>
      <c r="DA48" s="11">
        <v>0</v>
      </c>
      <c r="DB48" s="11">
        <v>0</v>
      </c>
      <c r="DC48" s="11">
        <v>0</v>
      </c>
      <c r="DD48" s="11">
        <v>0</v>
      </c>
      <c r="DE48" s="11">
        <v>0</v>
      </c>
      <c r="DF48" s="26">
        <f t="shared" si="7"/>
        <v>0</v>
      </c>
      <c r="DG48" s="11">
        <v>0</v>
      </c>
      <c r="DH48" s="11">
        <v>0</v>
      </c>
      <c r="DI48" s="11">
        <v>0</v>
      </c>
      <c r="DJ48" s="11">
        <v>0</v>
      </c>
      <c r="DK48" s="11">
        <v>0</v>
      </c>
      <c r="DL48" s="11">
        <v>0</v>
      </c>
      <c r="DM48" s="11">
        <v>0</v>
      </c>
      <c r="DN48" s="11">
        <v>0</v>
      </c>
      <c r="DO48" s="11">
        <v>0</v>
      </c>
      <c r="DP48" s="11">
        <v>0</v>
      </c>
      <c r="DQ48" s="11">
        <v>0</v>
      </c>
      <c r="DR48" s="11">
        <v>0</v>
      </c>
      <c r="DS48" s="26">
        <f t="shared" si="8"/>
        <v>0</v>
      </c>
      <c r="DT48" s="11">
        <v>0</v>
      </c>
      <c r="DU48" s="11">
        <v>0</v>
      </c>
      <c r="DV48" s="11">
        <v>0</v>
      </c>
      <c r="DW48" s="11">
        <v>0</v>
      </c>
      <c r="DX48" s="11">
        <v>0</v>
      </c>
      <c r="DY48" s="11">
        <v>0</v>
      </c>
      <c r="DZ48" s="11">
        <v>0</v>
      </c>
      <c r="EA48" s="11">
        <v>0</v>
      </c>
      <c r="EB48" s="11">
        <v>0</v>
      </c>
      <c r="EC48" s="11">
        <v>0</v>
      </c>
      <c r="ED48" s="11">
        <v>0</v>
      </c>
      <c r="EE48" s="11">
        <v>0</v>
      </c>
      <c r="EF48" s="26">
        <f t="shared" si="9"/>
        <v>0</v>
      </c>
      <c r="EG48" s="9">
        <f t="shared" si="10"/>
        <v>2076</v>
      </c>
      <c r="EH48" s="9">
        <f t="shared" si="11"/>
        <v>0</v>
      </c>
      <c r="EI48" s="11">
        <v>841</v>
      </c>
      <c r="EJ48" s="11">
        <v>958</v>
      </c>
      <c r="EK48" s="11">
        <v>4589</v>
      </c>
      <c r="EL48" s="11">
        <v>1558</v>
      </c>
      <c r="EM48" s="11">
        <v>1229</v>
      </c>
      <c r="EN48" s="11">
        <v>825</v>
      </c>
      <c r="EO48" s="11">
        <v>1094</v>
      </c>
      <c r="EP48" s="11">
        <v>1026</v>
      </c>
      <c r="EQ48" s="11">
        <v>898</v>
      </c>
      <c r="ER48" s="11">
        <v>868</v>
      </c>
      <c r="ES48" s="11">
        <v>1540</v>
      </c>
      <c r="ET48" s="11">
        <v>1582</v>
      </c>
      <c r="EU48" s="26">
        <f t="shared" si="12"/>
        <v>17008</v>
      </c>
      <c r="EV48" s="11">
        <v>294</v>
      </c>
      <c r="EW48" s="11">
        <v>317</v>
      </c>
      <c r="EX48" s="11">
        <v>815</v>
      </c>
      <c r="EY48" s="11">
        <v>614</v>
      </c>
      <c r="EZ48" s="11">
        <v>347</v>
      </c>
      <c r="FA48" s="11">
        <v>254</v>
      </c>
      <c r="FB48" s="11">
        <v>395</v>
      </c>
      <c r="FC48" s="11">
        <v>387</v>
      </c>
      <c r="FD48" s="11">
        <v>222</v>
      </c>
      <c r="FE48" s="11">
        <v>387</v>
      </c>
      <c r="FF48" s="11">
        <v>550</v>
      </c>
      <c r="FG48" s="11">
        <v>668</v>
      </c>
      <c r="FH48" s="26">
        <f t="shared" si="13"/>
        <v>5250</v>
      </c>
      <c r="FI48" s="11">
        <v>484</v>
      </c>
      <c r="FJ48" s="11">
        <v>557</v>
      </c>
      <c r="FK48" s="11">
        <v>2003</v>
      </c>
      <c r="FL48" s="11">
        <v>847</v>
      </c>
      <c r="FM48" s="11">
        <v>718</v>
      </c>
      <c r="FN48" s="11">
        <v>441</v>
      </c>
      <c r="FO48" s="11">
        <v>572</v>
      </c>
      <c r="FP48" s="11">
        <v>522</v>
      </c>
      <c r="FQ48" s="11">
        <v>535</v>
      </c>
      <c r="FR48" s="11">
        <v>387</v>
      </c>
      <c r="FS48" s="11">
        <v>889</v>
      </c>
      <c r="FT48" s="11">
        <v>897</v>
      </c>
      <c r="FU48" s="26">
        <f t="shared" si="14"/>
        <v>8852</v>
      </c>
      <c r="FV48" s="11">
        <v>63</v>
      </c>
      <c r="FW48" s="11">
        <v>84</v>
      </c>
      <c r="FX48" s="11">
        <v>1771</v>
      </c>
      <c r="FY48" s="11">
        <v>97</v>
      </c>
      <c r="FZ48" s="11">
        <v>164</v>
      </c>
      <c r="GA48" s="11">
        <v>130</v>
      </c>
      <c r="GB48" s="11">
        <v>127</v>
      </c>
      <c r="GC48" s="11">
        <v>117</v>
      </c>
      <c r="GD48" s="11">
        <v>141</v>
      </c>
      <c r="GE48" s="11">
        <v>94</v>
      </c>
      <c r="GF48" s="11">
        <v>101</v>
      </c>
      <c r="GG48" s="11">
        <v>17</v>
      </c>
      <c r="GH48" s="26">
        <f t="shared" si="15"/>
        <v>2906</v>
      </c>
      <c r="GI48" s="11">
        <v>48</v>
      </c>
      <c r="GJ48" s="11">
        <v>33</v>
      </c>
      <c r="GK48" s="11">
        <v>35</v>
      </c>
      <c r="GL48" s="11">
        <v>26</v>
      </c>
      <c r="GM48" s="11">
        <v>37</v>
      </c>
      <c r="GN48" s="11">
        <v>26</v>
      </c>
      <c r="GO48" s="11">
        <v>35</v>
      </c>
      <c r="GP48" s="11">
        <v>30</v>
      </c>
      <c r="GQ48" s="11">
        <v>24</v>
      </c>
      <c r="GR48" s="11">
        <v>34</v>
      </c>
      <c r="GS48" s="11">
        <v>38</v>
      </c>
      <c r="GT48" s="11">
        <v>35</v>
      </c>
      <c r="GU48" s="26">
        <f t="shared" si="16"/>
        <v>401</v>
      </c>
      <c r="GV48" s="11">
        <v>0</v>
      </c>
      <c r="GW48" s="11">
        <v>0</v>
      </c>
      <c r="GX48" s="11">
        <v>0</v>
      </c>
      <c r="GY48" s="11">
        <v>0</v>
      </c>
      <c r="GZ48" s="11">
        <v>0</v>
      </c>
      <c r="HA48" s="11">
        <v>0</v>
      </c>
      <c r="HB48" s="11">
        <v>0</v>
      </c>
      <c r="HC48" s="11">
        <v>0</v>
      </c>
      <c r="HD48" s="11">
        <v>0</v>
      </c>
      <c r="HE48" s="11">
        <v>0</v>
      </c>
      <c r="HF48" s="11">
        <v>0</v>
      </c>
      <c r="HG48" s="11">
        <v>0</v>
      </c>
      <c r="HH48" s="26">
        <f t="shared" si="17"/>
        <v>0</v>
      </c>
      <c r="HI48" s="11">
        <v>0</v>
      </c>
      <c r="HJ48" s="11">
        <v>0</v>
      </c>
      <c r="HK48" s="11">
        <v>0</v>
      </c>
      <c r="HL48" s="11">
        <v>0</v>
      </c>
      <c r="HM48" s="11">
        <v>0</v>
      </c>
      <c r="HN48" s="11">
        <v>0</v>
      </c>
      <c r="HO48" s="11">
        <v>0</v>
      </c>
      <c r="HP48" s="11">
        <v>0</v>
      </c>
      <c r="HQ48" s="11">
        <v>0</v>
      </c>
      <c r="HR48" s="11">
        <v>0</v>
      </c>
      <c r="HS48" s="11">
        <v>0</v>
      </c>
      <c r="HT48" s="11">
        <v>0</v>
      </c>
      <c r="HU48" s="26">
        <f t="shared" si="18"/>
        <v>0</v>
      </c>
      <c r="HV48" s="11">
        <v>0</v>
      </c>
      <c r="HW48" s="11">
        <v>0</v>
      </c>
      <c r="HX48" s="11">
        <v>0</v>
      </c>
      <c r="HY48" s="11">
        <v>0</v>
      </c>
      <c r="HZ48" s="11">
        <v>0</v>
      </c>
      <c r="IA48" s="11">
        <v>0</v>
      </c>
      <c r="IB48" s="11">
        <v>0</v>
      </c>
      <c r="IC48" s="11">
        <v>0</v>
      </c>
      <c r="ID48" s="11">
        <v>0</v>
      </c>
      <c r="IE48" s="11">
        <v>0</v>
      </c>
      <c r="IF48" s="11">
        <v>0</v>
      </c>
      <c r="IG48" s="11">
        <v>0</v>
      </c>
      <c r="IH48" s="26">
        <f t="shared" si="19"/>
        <v>0</v>
      </c>
      <c r="II48" s="9">
        <f t="shared" si="20"/>
        <v>17008</v>
      </c>
      <c r="IJ48" s="9">
        <f t="shared" si="21"/>
        <v>0</v>
      </c>
      <c r="IK48" s="11">
        <v>21758</v>
      </c>
      <c r="IL48" s="11">
        <v>21070</v>
      </c>
      <c r="IM48" s="11">
        <v>21900</v>
      </c>
      <c r="IN48" s="11">
        <v>24833</v>
      </c>
      <c r="IO48" s="11">
        <v>26301</v>
      </c>
      <c r="IP48" s="11">
        <v>22091</v>
      </c>
      <c r="IQ48" s="11">
        <v>20475</v>
      </c>
      <c r="IR48" s="11">
        <v>21354</v>
      </c>
      <c r="IS48" s="11">
        <v>16818</v>
      </c>
      <c r="IT48" s="11">
        <v>20938</v>
      </c>
      <c r="IU48" s="11">
        <v>21038</v>
      </c>
      <c r="IV48" s="11">
        <v>22398</v>
      </c>
      <c r="IW48" s="27">
        <f t="shared" si="22"/>
        <v>260974</v>
      </c>
      <c r="IX48" s="11">
        <v>13756</v>
      </c>
      <c r="IY48" s="11">
        <v>14418</v>
      </c>
      <c r="IZ48" s="11">
        <v>14484</v>
      </c>
      <c r="JA48" s="11">
        <v>15388</v>
      </c>
      <c r="JB48" s="11">
        <v>15897</v>
      </c>
      <c r="JC48" s="11">
        <v>15321</v>
      </c>
      <c r="JD48" s="11">
        <v>14185</v>
      </c>
      <c r="JE48" s="11">
        <v>14354</v>
      </c>
      <c r="JF48" s="11">
        <v>12203</v>
      </c>
      <c r="JG48" s="11">
        <v>14335</v>
      </c>
      <c r="JH48" s="11">
        <v>13813</v>
      </c>
      <c r="JI48" s="11">
        <v>14626</v>
      </c>
      <c r="JJ48" s="27">
        <f t="shared" si="23"/>
        <v>172780</v>
      </c>
      <c r="JK48" s="11">
        <v>7420</v>
      </c>
      <c r="JL48" s="11">
        <v>6243</v>
      </c>
      <c r="JM48" s="11">
        <v>6857</v>
      </c>
      <c r="JN48" s="11">
        <v>8814</v>
      </c>
      <c r="JO48" s="11">
        <v>9783</v>
      </c>
      <c r="JP48" s="11">
        <v>6362</v>
      </c>
      <c r="JQ48" s="11">
        <v>5916</v>
      </c>
      <c r="JR48" s="11">
        <v>6629</v>
      </c>
      <c r="JS48" s="11">
        <v>4264</v>
      </c>
      <c r="JT48" s="11">
        <v>6210</v>
      </c>
      <c r="JU48" s="11">
        <v>6752</v>
      </c>
      <c r="JV48" s="11">
        <v>7298</v>
      </c>
      <c r="JW48" s="27">
        <f t="shared" si="24"/>
        <v>82548</v>
      </c>
      <c r="JX48" s="11">
        <v>582</v>
      </c>
      <c r="JY48" s="11">
        <v>409</v>
      </c>
      <c r="JZ48" s="11">
        <v>559</v>
      </c>
      <c r="KA48" s="11">
        <v>631</v>
      </c>
      <c r="KB48" s="11">
        <v>621</v>
      </c>
      <c r="KC48" s="11">
        <v>408</v>
      </c>
      <c r="KD48" s="11">
        <v>374</v>
      </c>
      <c r="KE48" s="11">
        <v>371</v>
      </c>
      <c r="KF48" s="11">
        <v>351</v>
      </c>
      <c r="KG48" s="11">
        <v>393</v>
      </c>
      <c r="KH48" s="11">
        <v>473</v>
      </c>
      <c r="KI48" s="11">
        <v>474</v>
      </c>
      <c r="KJ48" s="27">
        <f t="shared" si="25"/>
        <v>5646</v>
      </c>
      <c r="KK48" s="11">
        <v>539</v>
      </c>
      <c r="KL48" s="11">
        <v>557</v>
      </c>
      <c r="KM48" s="11">
        <v>467</v>
      </c>
      <c r="KN48" s="11">
        <v>497</v>
      </c>
      <c r="KO48" s="11">
        <v>598</v>
      </c>
      <c r="KP48" s="11">
        <v>538</v>
      </c>
      <c r="KQ48" s="11">
        <v>486</v>
      </c>
      <c r="KR48" s="11">
        <v>514</v>
      </c>
      <c r="KS48" s="11">
        <v>423</v>
      </c>
      <c r="KT48" s="11">
        <v>443</v>
      </c>
      <c r="KU48" s="11">
        <v>410</v>
      </c>
      <c r="KV48" s="11">
        <v>462</v>
      </c>
      <c r="KW48" s="27">
        <f t="shared" si="26"/>
        <v>5934</v>
      </c>
      <c r="KX48" s="11">
        <v>438</v>
      </c>
      <c r="KY48" s="11">
        <v>526</v>
      </c>
      <c r="KZ48" s="11">
        <v>446</v>
      </c>
      <c r="LA48" s="11">
        <v>443</v>
      </c>
      <c r="LB48" s="11">
        <v>544</v>
      </c>
      <c r="LC48" s="11">
        <v>494</v>
      </c>
      <c r="LD48" s="11">
        <v>460</v>
      </c>
      <c r="LE48" s="11">
        <v>491</v>
      </c>
      <c r="LF48" s="11">
        <v>390</v>
      </c>
      <c r="LG48" s="11">
        <v>433</v>
      </c>
      <c r="LH48" s="11">
        <v>377</v>
      </c>
      <c r="LI48" s="11">
        <v>437</v>
      </c>
      <c r="LJ48" s="27">
        <f t="shared" si="27"/>
        <v>5479</v>
      </c>
      <c r="LK48" s="11">
        <v>101</v>
      </c>
      <c r="LL48" s="11">
        <v>31</v>
      </c>
      <c r="LM48" s="11">
        <v>21</v>
      </c>
      <c r="LN48" s="11">
        <v>54</v>
      </c>
      <c r="LO48" s="11">
        <v>54</v>
      </c>
      <c r="LP48" s="11">
        <v>44</v>
      </c>
      <c r="LQ48" s="11">
        <v>26</v>
      </c>
      <c r="LR48" s="11">
        <v>23</v>
      </c>
      <c r="LS48" s="11">
        <v>33</v>
      </c>
      <c r="LT48" s="11">
        <v>10</v>
      </c>
      <c r="LU48" s="11">
        <v>33</v>
      </c>
      <c r="LV48" s="11">
        <v>25</v>
      </c>
      <c r="LW48" s="27">
        <f t="shared" si="28"/>
        <v>455</v>
      </c>
      <c r="LX48" s="11">
        <v>0</v>
      </c>
      <c r="LY48" s="11">
        <v>0</v>
      </c>
      <c r="LZ48" s="11">
        <v>0</v>
      </c>
      <c r="MA48" s="11">
        <v>0</v>
      </c>
      <c r="MB48" s="11">
        <v>0</v>
      </c>
      <c r="MC48" s="11">
        <v>0</v>
      </c>
      <c r="MD48" s="11">
        <v>0</v>
      </c>
      <c r="ME48" s="11">
        <v>0</v>
      </c>
      <c r="MF48" s="11">
        <v>0</v>
      </c>
      <c r="MG48" s="11">
        <v>0</v>
      </c>
      <c r="MH48" s="11">
        <v>0</v>
      </c>
      <c r="MI48" s="11">
        <v>0</v>
      </c>
      <c r="MJ48" s="27">
        <f t="shared" si="29"/>
        <v>0</v>
      </c>
      <c r="MK48" s="11">
        <v>1110</v>
      </c>
      <c r="ML48" s="11">
        <v>1137</v>
      </c>
      <c r="MM48" s="11">
        <v>1077</v>
      </c>
      <c r="MN48" s="11">
        <v>1175</v>
      </c>
      <c r="MO48" s="11">
        <v>1205</v>
      </c>
      <c r="MP48" s="11">
        <v>1193</v>
      </c>
      <c r="MQ48" s="11">
        <v>1158</v>
      </c>
      <c r="MR48" s="11">
        <v>1091</v>
      </c>
      <c r="MS48" s="11">
        <v>1075</v>
      </c>
      <c r="MT48" s="11">
        <v>1264</v>
      </c>
      <c r="MU48" s="11">
        <v>1215</v>
      </c>
      <c r="MV48" s="11">
        <v>1354</v>
      </c>
      <c r="MW48" s="27">
        <f t="shared" si="30"/>
        <v>14054</v>
      </c>
      <c r="MX48" s="11">
        <v>1021</v>
      </c>
      <c r="MY48" s="11">
        <v>1036</v>
      </c>
      <c r="MZ48" s="11">
        <v>989</v>
      </c>
      <c r="NA48" s="11">
        <v>1046</v>
      </c>
      <c r="NB48" s="11">
        <v>1082</v>
      </c>
      <c r="NC48" s="11">
        <v>1098</v>
      </c>
      <c r="ND48" s="11">
        <v>1068</v>
      </c>
      <c r="NE48" s="11">
        <v>1003</v>
      </c>
      <c r="NF48" s="11">
        <v>991</v>
      </c>
      <c r="NG48" s="11">
        <v>1160</v>
      </c>
      <c r="NH48" s="11">
        <v>1132</v>
      </c>
      <c r="NI48" s="11">
        <v>1258</v>
      </c>
      <c r="NJ48" s="27">
        <f t="shared" si="31"/>
        <v>12884</v>
      </c>
      <c r="NK48" s="11">
        <v>57</v>
      </c>
      <c r="NL48" s="11">
        <v>62</v>
      </c>
      <c r="NM48" s="11">
        <v>55</v>
      </c>
      <c r="NN48" s="11">
        <v>84</v>
      </c>
      <c r="NO48" s="11">
        <v>77</v>
      </c>
      <c r="NP48" s="11">
        <v>59</v>
      </c>
      <c r="NQ48" s="11">
        <v>58</v>
      </c>
      <c r="NR48" s="11">
        <v>65</v>
      </c>
      <c r="NS48" s="11">
        <v>62</v>
      </c>
      <c r="NT48" s="11">
        <v>63</v>
      </c>
      <c r="NU48" s="11">
        <v>61</v>
      </c>
      <c r="NV48" s="11">
        <v>60</v>
      </c>
      <c r="NW48" s="27">
        <f t="shared" si="32"/>
        <v>763</v>
      </c>
      <c r="NX48" s="11">
        <v>32</v>
      </c>
      <c r="NY48" s="11">
        <v>39</v>
      </c>
      <c r="NZ48" s="11">
        <v>33</v>
      </c>
      <c r="OA48" s="11">
        <v>45</v>
      </c>
      <c r="OB48" s="11">
        <v>46</v>
      </c>
      <c r="OC48" s="11">
        <v>36</v>
      </c>
      <c r="OD48" s="11">
        <v>32</v>
      </c>
      <c r="OE48" s="11">
        <v>23</v>
      </c>
      <c r="OF48" s="11">
        <v>22</v>
      </c>
      <c r="OG48" s="11">
        <v>41</v>
      </c>
      <c r="OH48" s="11">
        <v>22</v>
      </c>
      <c r="OI48" s="11">
        <v>36</v>
      </c>
      <c r="OJ48" s="27">
        <f t="shared" si="33"/>
        <v>407</v>
      </c>
      <c r="OK48" s="11">
        <v>1650</v>
      </c>
      <c r="OL48" s="11">
        <v>1716</v>
      </c>
      <c r="OM48" s="11">
        <v>1596</v>
      </c>
      <c r="ON48" s="11">
        <v>1721</v>
      </c>
      <c r="OO48" s="11">
        <v>1828</v>
      </c>
      <c r="OP48" s="11">
        <v>1723</v>
      </c>
      <c r="OQ48" s="11">
        <v>1799</v>
      </c>
      <c r="OR48" s="11">
        <v>1806</v>
      </c>
      <c r="OS48" s="11">
        <v>1690</v>
      </c>
      <c r="OT48" s="11">
        <v>1970</v>
      </c>
      <c r="OU48" s="11">
        <v>1843</v>
      </c>
      <c r="OV48" s="11">
        <v>2019</v>
      </c>
      <c r="OW48" s="27">
        <f t="shared" si="34"/>
        <v>21361</v>
      </c>
      <c r="OX48" s="11">
        <v>1406</v>
      </c>
      <c r="OY48" s="11">
        <v>1482</v>
      </c>
      <c r="OZ48" s="11">
        <v>1383</v>
      </c>
      <c r="PA48" s="11">
        <v>1481</v>
      </c>
      <c r="PB48" s="11">
        <v>1568</v>
      </c>
      <c r="PC48" s="11">
        <v>1501</v>
      </c>
      <c r="PD48" s="11">
        <v>1611</v>
      </c>
      <c r="PE48" s="11">
        <v>1585</v>
      </c>
      <c r="PF48" s="11">
        <v>1494</v>
      </c>
      <c r="PG48" s="11">
        <v>1775</v>
      </c>
      <c r="PH48" s="11">
        <v>1634</v>
      </c>
      <c r="PI48" s="11">
        <v>1769</v>
      </c>
      <c r="PJ48" s="27">
        <f t="shared" si="35"/>
        <v>18689</v>
      </c>
      <c r="PK48" s="11">
        <v>164</v>
      </c>
      <c r="PL48" s="11">
        <v>154</v>
      </c>
      <c r="PM48" s="11">
        <v>140</v>
      </c>
      <c r="PN48" s="11">
        <v>170</v>
      </c>
      <c r="PO48" s="11">
        <v>167</v>
      </c>
      <c r="PP48" s="11">
        <v>159</v>
      </c>
      <c r="PQ48" s="11">
        <v>132</v>
      </c>
      <c r="PR48" s="11">
        <v>158</v>
      </c>
      <c r="PS48" s="11">
        <v>136</v>
      </c>
      <c r="PT48" s="11">
        <v>134</v>
      </c>
      <c r="PU48" s="11">
        <v>141</v>
      </c>
      <c r="PV48" s="11">
        <v>170</v>
      </c>
      <c r="PW48" s="27">
        <f t="shared" si="36"/>
        <v>1825</v>
      </c>
      <c r="PX48" s="11">
        <v>80</v>
      </c>
      <c r="PY48" s="11">
        <v>80</v>
      </c>
      <c r="PZ48" s="11">
        <v>73</v>
      </c>
      <c r="QA48" s="11">
        <v>70</v>
      </c>
      <c r="QB48" s="11">
        <v>93</v>
      </c>
      <c r="QC48" s="11">
        <v>63</v>
      </c>
      <c r="QD48" s="11">
        <v>56</v>
      </c>
      <c r="QE48" s="11">
        <v>63</v>
      </c>
      <c r="QF48" s="11">
        <v>60</v>
      </c>
      <c r="QG48" s="11">
        <v>61</v>
      </c>
      <c r="QH48" s="11">
        <v>68</v>
      </c>
      <c r="QI48" s="11">
        <v>80</v>
      </c>
      <c r="QJ48" s="27">
        <f t="shared" si="37"/>
        <v>847</v>
      </c>
      <c r="QK48" s="11">
        <v>33306</v>
      </c>
      <c r="QL48" s="11">
        <v>31238</v>
      </c>
      <c r="QM48" s="11">
        <v>34573</v>
      </c>
      <c r="QN48" s="11">
        <v>42895</v>
      </c>
      <c r="QO48" s="11">
        <v>44162</v>
      </c>
      <c r="QP48" s="11">
        <v>42472</v>
      </c>
      <c r="QQ48" s="11">
        <v>33601</v>
      </c>
      <c r="QR48" s="11">
        <v>34145</v>
      </c>
      <c r="QS48" s="11">
        <v>29456</v>
      </c>
      <c r="QT48" s="11">
        <v>35473</v>
      </c>
      <c r="QU48" s="11">
        <v>35277</v>
      </c>
      <c r="QV48" s="11">
        <v>38581</v>
      </c>
      <c r="QW48" s="27">
        <f t="shared" si="38"/>
        <v>435179</v>
      </c>
      <c r="QX48" s="11">
        <v>5460</v>
      </c>
      <c r="QY48" s="11">
        <v>6236</v>
      </c>
      <c r="QZ48" s="11">
        <v>6244</v>
      </c>
      <c r="RA48" s="11">
        <v>6870</v>
      </c>
      <c r="RB48" s="11">
        <v>7124</v>
      </c>
      <c r="RC48" s="11">
        <v>6767</v>
      </c>
      <c r="RD48" s="11">
        <v>5836</v>
      </c>
      <c r="RE48" s="11">
        <v>6404</v>
      </c>
      <c r="RF48" s="11">
        <v>4615</v>
      </c>
      <c r="RG48" s="11">
        <v>6120</v>
      </c>
      <c r="RH48" s="11">
        <v>6715</v>
      </c>
      <c r="RI48" s="11">
        <v>7409</v>
      </c>
      <c r="RJ48" s="27">
        <f t="shared" si="39"/>
        <v>75800</v>
      </c>
      <c r="RK48" s="11">
        <v>0</v>
      </c>
      <c r="RL48" s="11">
        <v>0</v>
      </c>
      <c r="RM48" s="11">
        <v>0</v>
      </c>
      <c r="RN48" s="11">
        <v>0</v>
      </c>
      <c r="RO48" s="11">
        <v>0</v>
      </c>
      <c r="RP48" s="11">
        <v>0</v>
      </c>
      <c r="RQ48" s="11">
        <v>0</v>
      </c>
      <c r="RR48" s="11">
        <v>0</v>
      </c>
      <c r="RS48" s="11">
        <v>0</v>
      </c>
      <c r="RT48" s="11">
        <v>0</v>
      </c>
      <c r="RU48" s="11">
        <v>0</v>
      </c>
      <c r="RV48" s="11">
        <v>0</v>
      </c>
      <c r="RW48" s="27">
        <f t="shared" si="40"/>
        <v>0</v>
      </c>
      <c r="RX48" s="11">
        <v>0</v>
      </c>
      <c r="RY48" s="11">
        <v>0</v>
      </c>
      <c r="RZ48" s="11">
        <v>0</v>
      </c>
      <c r="SA48" s="11">
        <v>0</v>
      </c>
      <c r="SB48" s="11">
        <v>0</v>
      </c>
      <c r="SC48" s="11">
        <v>0</v>
      </c>
      <c r="SD48" s="11">
        <v>0</v>
      </c>
      <c r="SE48" s="11">
        <v>0</v>
      </c>
      <c r="SF48" s="11">
        <v>0</v>
      </c>
      <c r="SG48" s="11">
        <v>0</v>
      </c>
      <c r="SH48" s="11">
        <v>0</v>
      </c>
      <c r="SI48" s="11">
        <v>0</v>
      </c>
      <c r="SJ48" s="27">
        <f t="shared" si="41"/>
        <v>0</v>
      </c>
      <c r="SK48" s="11">
        <v>107</v>
      </c>
      <c r="SL48" s="11">
        <v>121</v>
      </c>
      <c r="SM48" s="11">
        <v>101</v>
      </c>
      <c r="SN48" s="11">
        <v>107</v>
      </c>
      <c r="SO48" s="11">
        <v>142</v>
      </c>
      <c r="SP48" s="11">
        <v>102</v>
      </c>
      <c r="SQ48" s="11">
        <v>138</v>
      </c>
      <c r="SR48" s="11">
        <v>115</v>
      </c>
      <c r="SS48" s="11">
        <v>90</v>
      </c>
      <c r="ST48" s="11">
        <v>103</v>
      </c>
      <c r="SU48" s="11">
        <v>127</v>
      </c>
      <c r="SV48" s="11">
        <v>102</v>
      </c>
      <c r="SW48" s="27">
        <f t="shared" si="42"/>
        <v>1355</v>
      </c>
      <c r="SX48" s="11" t="s">
        <v>2686</v>
      </c>
      <c r="SY48" s="11">
        <v>534</v>
      </c>
      <c r="SZ48" s="11">
        <v>503</v>
      </c>
      <c r="TA48" s="11">
        <v>509</v>
      </c>
      <c r="TB48" s="11">
        <v>659</v>
      </c>
      <c r="TC48" s="11">
        <v>616</v>
      </c>
      <c r="TD48" s="11">
        <v>590</v>
      </c>
      <c r="TE48" s="11">
        <v>582</v>
      </c>
      <c r="TF48" s="11">
        <v>578</v>
      </c>
      <c r="TG48" s="11">
        <v>376</v>
      </c>
      <c r="TH48" s="11">
        <v>592</v>
      </c>
      <c r="TI48" s="11">
        <v>730</v>
      </c>
      <c r="TJ48" s="11">
        <v>882</v>
      </c>
      <c r="TK48" s="27">
        <f t="shared" si="43"/>
        <v>7151</v>
      </c>
      <c r="TL48" s="11">
        <v>0</v>
      </c>
      <c r="TM48" s="11">
        <v>0</v>
      </c>
      <c r="TN48" s="11">
        <v>0</v>
      </c>
      <c r="TO48" s="11">
        <v>0</v>
      </c>
      <c r="TP48" s="11">
        <v>0</v>
      </c>
      <c r="TQ48" s="11">
        <v>0</v>
      </c>
      <c r="TR48" s="11">
        <v>0</v>
      </c>
      <c r="TS48" s="11">
        <v>0</v>
      </c>
      <c r="TT48" s="11">
        <v>0</v>
      </c>
      <c r="TU48" s="11">
        <v>0</v>
      </c>
      <c r="TV48" s="11">
        <v>0</v>
      </c>
      <c r="TW48" s="11">
        <v>0</v>
      </c>
      <c r="TX48" s="27">
        <f t="shared" si="44"/>
        <v>0</v>
      </c>
      <c r="TY48" s="11">
        <v>175</v>
      </c>
      <c r="TZ48" s="11">
        <v>0</v>
      </c>
      <c r="UA48" s="11">
        <v>0</v>
      </c>
    </row>
    <row r="49" spans="1:547" ht="16" customHeight="1" x14ac:dyDescent="0.35">
      <c r="A49" s="11" t="s">
        <v>2687</v>
      </c>
      <c r="B49" s="11">
        <v>15990</v>
      </c>
      <c r="C49" s="11"/>
      <c r="D49" s="11"/>
      <c r="E49" s="11"/>
      <c r="F49" s="11">
        <v>0</v>
      </c>
      <c r="G49" s="11">
        <v>532</v>
      </c>
      <c r="H49" s="11">
        <v>0</v>
      </c>
      <c r="I49" s="11"/>
      <c r="J49" s="11"/>
      <c r="K49" s="11"/>
      <c r="L49" s="11"/>
      <c r="M49" s="11"/>
      <c r="N49" s="11"/>
      <c r="O49" s="11"/>
      <c r="P49" s="11" t="s">
        <v>2866</v>
      </c>
      <c r="Q49" s="11"/>
      <c r="R49" s="11"/>
      <c r="S49" s="26">
        <f t="shared" si="0"/>
        <v>532</v>
      </c>
      <c r="T49" s="11">
        <v>0</v>
      </c>
      <c r="U49" s="11">
        <v>274</v>
      </c>
      <c r="V49" s="11">
        <v>0</v>
      </c>
      <c r="W49" s="11"/>
      <c r="X49" s="11"/>
      <c r="Y49" s="11"/>
      <c r="Z49" s="11"/>
      <c r="AA49" s="11"/>
      <c r="AB49" s="11"/>
      <c r="AC49" s="11"/>
      <c r="AD49" s="11"/>
      <c r="AE49" s="11"/>
      <c r="AF49" s="26">
        <f t="shared" si="1"/>
        <v>274</v>
      </c>
      <c r="AG49" s="11">
        <v>0</v>
      </c>
      <c r="AH49" s="11">
        <v>258</v>
      </c>
      <c r="AI49" s="11">
        <v>0</v>
      </c>
      <c r="AJ49" s="11"/>
      <c r="AK49" s="11"/>
      <c r="AL49" s="11"/>
      <c r="AM49" s="11"/>
      <c r="AN49" s="11"/>
      <c r="AO49" s="11"/>
      <c r="AP49" s="11"/>
      <c r="AQ49" s="11"/>
      <c r="AR49" s="11"/>
      <c r="AS49" s="26">
        <f t="shared" si="2"/>
        <v>258</v>
      </c>
      <c r="AT49" s="11">
        <v>0</v>
      </c>
      <c r="AU49" s="11">
        <v>0</v>
      </c>
      <c r="AV49" s="11">
        <v>0</v>
      </c>
      <c r="AW49" s="11"/>
      <c r="AX49" s="11"/>
      <c r="AY49" s="11"/>
      <c r="AZ49" s="11"/>
      <c r="BA49" s="11"/>
      <c r="BB49" s="11"/>
      <c r="BC49" s="11"/>
      <c r="BD49" s="11"/>
      <c r="BE49" s="11"/>
      <c r="BF49" s="26">
        <f t="shared" si="3"/>
        <v>0</v>
      </c>
      <c r="BG49" s="11">
        <v>0</v>
      </c>
      <c r="BH49" s="11">
        <v>0</v>
      </c>
      <c r="BI49" s="11">
        <v>0</v>
      </c>
      <c r="BJ49" s="11"/>
      <c r="BK49" s="11"/>
      <c r="BL49" s="11"/>
      <c r="BM49" s="11"/>
      <c r="BN49" s="11"/>
      <c r="BO49" s="11"/>
      <c r="BP49" s="11"/>
      <c r="BQ49" s="11"/>
      <c r="BR49" s="11"/>
      <c r="BS49" s="26">
        <f t="shared" si="4"/>
        <v>0</v>
      </c>
      <c r="BT49" s="11">
        <v>0</v>
      </c>
      <c r="BU49" s="11">
        <v>0</v>
      </c>
      <c r="BV49" s="11">
        <v>0</v>
      </c>
      <c r="BW49" s="11"/>
      <c r="BX49" s="11"/>
      <c r="BY49" s="11"/>
      <c r="BZ49" s="11"/>
      <c r="CA49" s="11"/>
      <c r="CB49" s="11"/>
      <c r="CC49" s="11"/>
      <c r="CD49" s="11"/>
      <c r="CE49" s="11"/>
      <c r="CF49" s="26">
        <f t="shared" si="5"/>
        <v>0</v>
      </c>
      <c r="CG49" s="11">
        <v>0</v>
      </c>
      <c r="CH49" s="11">
        <v>0</v>
      </c>
      <c r="CI49" s="11">
        <v>0</v>
      </c>
      <c r="CJ49" s="11"/>
      <c r="CK49" s="11"/>
      <c r="CL49" s="11"/>
      <c r="CM49" s="11"/>
      <c r="CN49" s="11"/>
      <c r="CO49" s="11"/>
      <c r="CP49" s="11"/>
      <c r="CQ49" s="11"/>
      <c r="CR49" s="11"/>
      <c r="CS49" s="26">
        <f t="shared" si="6"/>
        <v>0</v>
      </c>
      <c r="CT49" s="11">
        <v>0</v>
      </c>
      <c r="CU49" s="11">
        <v>0</v>
      </c>
      <c r="CV49" s="11">
        <v>0</v>
      </c>
      <c r="CW49" s="11"/>
      <c r="CX49" s="11"/>
      <c r="CY49" s="11"/>
      <c r="CZ49" s="11"/>
      <c r="DA49" s="11"/>
      <c r="DB49" s="11"/>
      <c r="DC49" s="11"/>
      <c r="DD49" s="11"/>
      <c r="DE49" s="11"/>
      <c r="DF49" s="26">
        <f t="shared" si="7"/>
        <v>0</v>
      </c>
      <c r="DG49" s="11">
        <v>0</v>
      </c>
      <c r="DH49" s="11">
        <v>0</v>
      </c>
      <c r="DI49" s="11">
        <v>0</v>
      </c>
      <c r="DJ49" s="11"/>
      <c r="DK49" s="11"/>
      <c r="DL49" s="11"/>
      <c r="DM49" s="11"/>
      <c r="DN49" s="11"/>
      <c r="DO49" s="11"/>
      <c r="DP49" s="11"/>
      <c r="DQ49" s="11"/>
      <c r="DR49" s="11"/>
      <c r="DS49" s="26">
        <f t="shared" si="8"/>
        <v>0</v>
      </c>
      <c r="DT49" s="11">
        <v>0</v>
      </c>
      <c r="DU49" s="11">
        <v>0</v>
      </c>
      <c r="DV49" s="11">
        <v>0</v>
      </c>
      <c r="DW49" s="11"/>
      <c r="DX49" s="11"/>
      <c r="DY49" s="11"/>
      <c r="DZ49" s="11"/>
      <c r="EA49" s="11"/>
      <c r="EB49" s="11"/>
      <c r="EC49" s="11"/>
      <c r="ED49" s="11"/>
      <c r="EE49" s="11"/>
      <c r="EF49" s="26">
        <f t="shared" si="9"/>
        <v>0</v>
      </c>
      <c r="EG49" s="9">
        <f t="shared" si="10"/>
        <v>532</v>
      </c>
      <c r="EH49" s="9">
        <f t="shared" si="11"/>
        <v>0</v>
      </c>
      <c r="EI49" s="11">
        <v>0</v>
      </c>
      <c r="EJ49" s="11">
        <v>0</v>
      </c>
      <c r="EK49" s="11">
        <v>7048</v>
      </c>
      <c r="EL49" s="11">
        <v>0</v>
      </c>
      <c r="EM49" s="11">
        <v>0</v>
      </c>
      <c r="EN49" s="11">
        <v>6458</v>
      </c>
      <c r="EO49" s="11">
        <v>0</v>
      </c>
      <c r="EP49" s="11">
        <v>0</v>
      </c>
      <c r="EQ49" s="11">
        <v>5839</v>
      </c>
      <c r="ER49" s="11">
        <v>0</v>
      </c>
      <c r="ES49" s="11">
        <v>0</v>
      </c>
      <c r="ET49" s="11">
        <v>6764</v>
      </c>
      <c r="EU49" s="26">
        <f t="shared" si="12"/>
        <v>26109</v>
      </c>
      <c r="EV49" s="11">
        <v>0</v>
      </c>
      <c r="EW49" s="11">
        <v>0</v>
      </c>
      <c r="EX49" s="11">
        <v>2685</v>
      </c>
      <c r="EY49" s="11">
        <v>0</v>
      </c>
      <c r="EZ49" s="11">
        <v>0</v>
      </c>
      <c r="FA49" s="11">
        <v>2817</v>
      </c>
      <c r="FB49" s="11">
        <v>0</v>
      </c>
      <c r="FC49" s="11">
        <v>0</v>
      </c>
      <c r="FD49" s="11">
        <v>2174</v>
      </c>
      <c r="FE49" s="11">
        <v>0</v>
      </c>
      <c r="FF49" s="11">
        <v>0</v>
      </c>
      <c r="FG49" s="11">
        <v>2303</v>
      </c>
      <c r="FH49" s="26">
        <f t="shared" si="13"/>
        <v>9979</v>
      </c>
      <c r="FI49" s="11">
        <v>0</v>
      </c>
      <c r="FJ49" s="11">
        <v>0</v>
      </c>
      <c r="FK49" s="11">
        <v>4363</v>
      </c>
      <c r="FL49" s="11">
        <v>0</v>
      </c>
      <c r="FM49" s="11">
        <v>0</v>
      </c>
      <c r="FN49" s="11">
        <v>3641</v>
      </c>
      <c r="FO49" s="11">
        <v>0</v>
      </c>
      <c r="FP49" s="11">
        <v>0</v>
      </c>
      <c r="FQ49" s="11">
        <v>3665</v>
      </c>
      <c r="FR49" s="11">
        <v>0</v>
      </c>
      <c r="FS49" s="11">
        <v>0</v>
      </c>
      <c r="FT49" s="11">
        <v>4461</v>
      </c>
      <c r="FU49" s="26">
        <f t="shared" si="14"/>
        <v>16130</v>
      </c>
      <c r="FV49" s="11">
        <v>0</v>
      </c>
      <c r="FW49" s="11">
        <v>0</v>
      </c>
      <c r="FX49" s="11">
        <v>0</v>
      </c>
      <c r="FY49" s="11">
        <v>0</v>
      </c>
      <c r="FZ49" s="11">
        <v>0</v>
      </c>
      <c r="GA49" s="11">
        <v>0</v>
      </c>
      <c r="GB49" s="11">
        <v>0</v>
      </c>
      <c r="GC49" s="11">
        <v>0</v>
      </c>
      <c r="GD49" s="11">
        <v>0</v>
      </c>
      <c r="GE49" s="11">
        <v>0</v>
      </c>
      <c r="GF49" s="11">
        <v>0</v>
      </c>
      <c r="GG49" s="11">
        <v>0</v>
      </c>
      <c r="GH49" s="26">
        <f t="shared" si="15"/>
        <v>0</v>
      </c>
      <c r="GI49" s="11">
        <v>0</v>
      </c>
      <c r="GJ49" s="11">
        <v>0</v>
      </c>
      <c r="GK49" s="11">
        <v>0</v>
      </c>
      <c r="GL49" s="11">
        <v>0</v>
      </c>
      <c r="GM49" s="11">
        <v>0</v>
      </c>
      <c r="GN49" s="11">
        <v>0</v>
      </c>
      <c r="GO49" s="11">
        <v>0</v>
      </c>
      <c r="GP49" s="11">
        <v>0</v>
      </c>
      <c r="GQ49" s="11">
        <v>0</v>
      </c>
      <c r="GR49" s="11">
        <v>0</v>
      </c>
      <c r="GS49" s="11">
        <v>0</v>
      </c>
      <c r="GT49" s="11">
        <v>0</v>
      </c>
      <c r="GU49" s="26">
        <f t="shared" si="16"/>
        <v>0</v>
      </c>
      <c r="GV49" s="11">
        <v>0</v>
      </c>
      <c r="GW49" s="11">
        <v>0</v>
      </c>
      <c r="GX49" s="11">
        <v>0</v>
      </c>
      <c r="GY49" s="11">
        <v>0</v>
      </c>
      <c r="GZ49" s="11">
        <v>0</v>
      </c>
      <c r="HA49" s="11">
        <v>0</v>
      </c>
      <c r="HB49" s="11">
        <v>0</v>
      </c>
      <c r="HC49" s="11">
        <v>0</v>
      </c>
      <c r="HD49" s="11">
        <v>0</v>
      </c>
      <c r="HE49" s="11">
        <v>0</v>
      </c>
      <c r="HF49" s="11">
        <v>0</v>
      </c>
      <c r="HG49" s="11">
        <v>0</v>
      </c>
      <c r="HH49" s="26">
        <f t="shared" si="17"/>
        <v>0</v>
      </c>
      <c r="HI49" s="11">
        <v>0</v>
      </c>
      <c r="HJ49" s="11">
        <v>0</v>
      </c>
      <c r="HK49" s="11">
        <v>0</v>
      </c>
      <c r="HL49" s="11">
        <v>0</v>
      </c>
      <c r="HM49" s="11">
        <v>0</v>
      </c>
      <c r="HN49" s="11">
        <v>0</v>
      </c>
      <c r="HO49" s="11">
        <v>0</v>
      </c>
      <c r="HP49" s="11">
        <v>0</v>
      </c>
      <c r="HQ49" s="11">
        <v>0</v>
      </c>
      <c r="HR49" s="11">
        <v>0</v>
      </c>
      <c r="HS49" s="11">
        <v>0</v>
      </c>
      <c r="HT49" s="11">
        <v>0</v>
      </c>
      <c r="HU49" s="26">
        <f t="shared" si="18"/>
        <v>0</v>
      </c>
      <c r="HV49" s="11">
        <v>0</v>
      </c>
      <c r="HW49" s="11">
        <v>0</v>
      </c>
      <c r="HX49" s="11">
        <v>0</v>
      </c>
      <c r="HY49" s="11">
        <v>0</v>
      </c>
      <c r="HZ49" s="11">
        <v>0</v>
      </c>
      <c r="IA49" s="11">
        <v>0</v>
      </c>
      <c r="IB49" s="11">
        <v>0</v>
      </c>
      <c r="IC49" s="11">
        <v>0</v>
      </c>
      <c r="ID49" s="11">
        <v>0</v>
      </c>
      <c r="IE49" s="11">
        <v>0</v>
      </c>
      <c r="IF49" s="11">
        <v>0</v>
      </c>
      <c r="IG49" s="11">
        <v>0</v>
      </c>
      <c r="IH49" s="26">
        <f t="shared" si="19"/>
        <v>0</v>
      </c>
      <c r="II49" s="9">
        <f t="shared" si="20"/>
        <v>26109</v>
      </c>
      <c r="IJ49" s="9">
        <f t="shared" si="21"/>
        <v>0</v>
      </c>
      <c r="IK49" s="11">
        <v>53230</v>
      </c>
      <c r="IL49" s="11">
        <v>52331</v>
      </c>
      <c r="IM49" s="11">
        <v>50776</v>
      </c>
      <c r="IN49" s="11">
        <v>59251</v>
      </c>
      <c r="IO49" s="11">
        <v>58963</v>
      </c>
      <c r="IP49" s="11">
        <v>48042</v>
      </c>
      <c r="IQ49" s="11">
        <v>49783</v>
      </c>
      <c r="IR49" s="11">
        <v>51340</v>
      </c>
      <c r="IS49" s="11">
        <v>42905</v>
      </c>
      <c r="IT49" s="11">
        <v>52639</v>
      </c>
      <c r="IU49" s="11">
        <v>49084</v>
      </c>
      <c r="IV49" s="11">
        <v>52581</v>
      </c>
      <c r="IW49" s="27">
        <f t="shared" si="22"/>
        <v>620925</v>
      </c>
      <c r="IX49" s="11">
        <v>15178</v>
      </c>
      <c r="IY49" s="11">
        <v>15506</v>
      </c>
      <c r="IZ49" s="11">
        <v>15284</v>
      </c>
      <c r="JA49" s="11">
        <v>16327</v>
      </c>
      <c r="JB49" s="11">
        <v>16061</v>
      </c>
      <c r="JC49" s="11">
        <v>12698</v>
      </c>
      <c r="JD49" s="11">
        <v>13066</v>
      </c>
      <c r="JE49" s="11">
        <v>13919</v>
      </c>
      <c r="JF49" s="11">
        <v>12685</v>
      </c>
      <c r="JG49" s="11">
        <v>14742</v>
      </c>
      <c r="JH49" s="11">
        <v>13044</v>
      </c>
      <c r="JI49" s="11">
        <v>14835</v>
      </c>
      <c r="JJ49" s="27">
        <f t="shared" si="23"/>
        <v>173345</v>
      </c>
      <c r="JK49" s="11">
        <v>36085</v>
      </c>
      <c r="JL49" s="11">
        <v>34916</v>
      </c>
      <c r="JM49" s="11">
        <v>33756</v>
      </c>
      <c r="JN49" s="11">
        <v>40685</v>
      </c>
      <c r="JO49" s="11">
        <v>40552</v>
      </c>
      <c r="JP49" s="11">
        <v>33503</v>
      </c>
      <c r="JQ49" s="11">
        <v>34944</v>
      </c>
      <c r="JR49" s="11">
        <v>35493</v>
      </c>
      <c r="JS49" s="11">
        <v>28572</v>
      </c>
      <c r="JT49" s="11">
        <v>36019</v>
      </c>
      <c r="JU49" s="11">
        <v>34163</v>
      </c>
      <c r="JV49" s="11">
        <v>35705</v>
      </c>
      <c r="JW49" s="27">
        <f t="shared" si="24"/>
        <v>424393</v>
      </c>
      <c r="JX49" s="11">
        <v>1967</v>
      </c>
      <c r="JY49" s="11">
        <v>1909</v>
      </c>
      <c r="JZ49" s="11">
        <v>1736</v>
      </c>
      <c r="KA49" s="11">
        <v>2239</v>
      </c>
      <c r="KB49" s="11">
        <v>2350</v>
      </c>
      <c r="KC49" s="11">
        <v>1841</v>
      </c>
      <c r="KD49" s="11">
        <v>1773</v>
      </c>
      <c r="KE49" s="11">
        <v>1928</v>
      </c>
      <c r="KF49" s="11">
        <v>1648</v>
      </c>
      <c r="KG49" s="11">
        <v>1878</v>
      </c>
      <c r="KH49" s="11">
        <v>1877</v>
      </c>
      <c r="KI49" s="11">
        <v>2041</v>
      </c>
      <c r="KJ49" s="27">
        <f t="shared" si="25"/>
        <v>23187</v>
      </c>
      <c r="KK49" s="11">
        <v>223</v>
      </c>
      <c r="KL49" s="11">
        <v>213</v>
      </c>
      <c r="KM49" s="11">
        <v>193</v>
      </c>
      <c r="KN49" s="11">
        <v>115</v>
      </c>
      <c r="KO49" s="11">
        <v>195</v>
      </c>
      <c r="KP49" s="11">
        <v>139</v>
      </c>
      <c r="KQ49" s="11">
        <v>153</v>
      </c>
      <c r="KR49" s="11">
        <v>178</v>
      </c>
      <c r="KS49" s="11">
        <v>127</v>
      </c>
      <c r="KT49" s="11">
        <v>181</v>
      </c>
      <c r="KU49" s="11">
        <v>122</v>
      </c>
      <c r="KV49" s="11">
        <v>0</v>
      </c>
      <c r="KW49" s="27">
        <f t="shared" si="26"/>
        <v>1839</v>
      </c>
      <c r="KX49" s="11">
        <v>123</v>
      </c>
      <c r="KY49" s="11">
        <v>122</v>
      </c>
      <c r="KZ49" s="11">
        <v>115</v>
      </c>
      <c r="LA49" s="11">
        <v>94</v>
      </c>
      <c r="LB49" s="11">
        <v>97</v>
      </c>
      <c r="LC49" s="11">
        <v>73</v>
      </c>
      <c r="LD49" s="11">
        <v>85</v>
      </c>
      <c r="LE49" s="11">
        <v>99</v>
      </c>
      <c r="LF49" s="11">
        <v>86</v>
      </c>
      <c r="LG49" s="11">
        <v>129</v>
      </c>
      <c r="LH49" s="11">
        <v>85</v>
      </c>
      <c r="LI49" s="11">
        <v>109</v>
      </c>
      <c r="LJ49" s="27">
        <f t="shared" si="27"/>
        <v>1217</v>
      </c>
      <c r="LK49" s="11">
        <v>100</v>
      </c>
      <c r="LL49" s="11">
        <v>91</v>
      </c>
      <c r="LM49" s="11">
        <v>78</v>
      </c>
      <c r="LN49" s="11">
        <v>121</v>
      </c>
      <c r="LO49" s="11">
        <v>98</v>
      </c>
      <c r="LP49" s="11">
        <v>66</v>
      </c>
      <c r="LQ49" s="11">
        <v>68</v>
      </c>
      <c r="LR49" s="11">
        <v>79</v>
      </c>
      <c r="LS49" s="11">
        <v>41</v>
      </c>
      <c r="LT49" s="11">
        <v>52</v>
      </c>
      <c r="LU49" s="11">
        <v>37</v>
      </c>
      <c r="LV49" s="11">
        <v>62</v>
      </c>
      <c r="LW49" s="27">
        <f t="shared" si="28"/>
        <v>893</v>
      </c>
      <c r="LX49" s="11">
        <v>0</v>
      </c>
      <c r="LY49" s="11">
        <v>0</v>
      </c>
      <c r="LZ49" s="11">
        <v>0</v>
      </c>
      <c r="MA49" s="11">
        <v>0</v>
      </c>
      <c r="MB49" s="11">
        <v>0</v>
      </c>
      <c r="MC49" s="11">
        <v>0</v>
      </c>
      <c r="MD49" s="11">
        <v>0</v>
      </c>
      <c r="ME49" s="11">
        <v>0</v>
      </c>
      <c r="MF49" s="11">
        <v>0</v>
      </c>
      <c r="MG49" s="11">
        <v>0</v>
      </c>
      <c r="MH49" s="11">
        <v>0</v>
      </c>
      <c r="MI49" s="11">
        <v>0</v>
      </c>
      <c r="MJ49" s="27">
        <f t="shared" si="29"/>
        <v>0</v>
      </c>
      <c r="MK49" s="11">
        <v>3175</v>
      </c>
      <c r="ML49" s="11">
        <v>3429</v>
      </c>
      <c r="MM49" s="11">
        <v>3045</v>
      </c>
      <c r="MN49" s="11">
        <v>3152</v>
      </c>
      <c r="MO49" s="11">
        <v>3661</v>
      </c>
      <c r="MP49" s="11">
        <v>3160</v>
      </c>
      <c r="MQ49" s="11">
        <v>3180</v>
      </c>
      <c r="MR49" s="11">
        <v>2840</v>
      </c>
      <c r="MS49" s="11">
        <v>2998</v>
      </c>
      <c r="MT49" s="11">
        <v>3187</v>
      </c>
      <c r="MU49" s="11">
        <v>2973</v>
      </c>
      <c r="MV49" s="11">
        <v>3249</v>
      </c>
      <c r="MW49" s="27">
        <f t="shared" si="30"/>
        <v>38049</v>
      </c>
      <c r="MX49" s="11">
        <v>0</v>
      </c>
      <c r="MY49" s="11">
        <v>0</v>
      </c>
      <c r="MZ49" s="11">
        <v>0</v>
      </c>
      <c r="NA49" s="11">
        <v>0</v>
      </c>
      <c r="NB49" s="11">
        <v>0</v>
      </c>
      <c r="NC49" s="11">
        <v>0</v>
      </c>
      <c r="ND49" s="11">
        <v>0</v>
      </c>
      <c r="NE49" s="11">
        <v>0</v>
      </c>
      <c r="NF49" s="11">
        <v>0</v>
      </c>
      <c r="NG49" s="11">
        <v>0</v>
      </c>
      <c r="NH49" s="11">
        <v>0</v>
      </c>
      <c r="NI49" s="11">
        <v>0</v>
      </c>
      <c r="NJ49" s="27">
        <f t="shared" si="31"/>
        <v>0</v>
      </c>
      <c r="NK49" s="11">
        <v>0</v>
      </c>
      <c r="NL49" s="11">
        <v>0</v>
      </c>
      <c r="NM49" s="11">
        <v>0</v>
      </c>
      <c r="NN49" s="11">
        <v>0</v>
      </c>
      <c r="NO49" s="11">
        <v>0</v>
      </c>
      <c r="NP49" s="11">
        <v>0</v>
      </c>
      <c r="NQ49" s="11">
        <v>0</v>
      </c>
      <c r="NR49" s="11">
        <v>0</v>
      </c>
      <c r="NS49" s="11">
        <v>0</v>
      </c>
      <c r="NT49" s="11">
        <v>0</v>
      </c>
      <c r="NU49" s="11">
        <v>0</v>
      </c>
      <c r="NV49" s="11">
        <v>0</v>
      </c>
      <c r="NW49" s="27">
        <f t="shared" si="32"/>
        <v>0</v>
      </c>
      <c r="NX49" s="11">
        <v>0</v>
      </c>
      <c r="NY49" s="11">
        <v>0</v>
      </c>
      <c r="NZ49" s="11">
        <v>0</v>
      </c>
      <c r="OA49" s="11">
        <v>0</v>
      </c>
      <c r="OB49" s="11">
        <v>0</v>
      </c>
      <c r="OC49" s="11">
        <v>0</v>
      </c>
      <c r="OD49" s="11">
        <v>0</v>
      </c>
      <c r="OE49" s="11">
        <v>0</v>
      </c>
      <c r="OF49" s="11">
        <v>0</v>
      </c>
      <c r="OG49" s="11">
        <v>0</v>
      </c>
      <c r="OH49" s="11">
        <v>0</v>
      </c>
      <c r="OI49" s="11">
        <v>0</v>
      </c>
      <c r="OJ49" s="27">
        <f t="shared" si="33"/>
        <v>0</v>
      </c>
      <c r="OK49" s="11">
        <v>3539</v>
      </c>
      <c r="OL49" s="11">
        <v>3458</v>
      </c>
      <c r="OM49" s="11">
        <v>3133</v>
      </c>
      <c r="ON49" s="11">
        <v>3486</v>
      </c>
      <c r="OO49" s="11">
        <v>36998</v>
      </c>
      <c r="OP49" s="11">
        <v>3647</v>
      </c>
      <c r="OQ49" s="11">
        <v>3929</v>
      </c>
      <c r="OR49" s="11">
        <v>3745</v>
      </c>
      <c r="OS49" s="11">
        <v>3737</v>
      </c>
      <c r="OT49" s="11">
        <v>3903</v>
      </c>
      <c r="OU49" s="11">
        <v>3682</v>
      </c>
      <c r="OV49" s="11">
        <v>4213</v>
      </c>
      <c r="OW49" s="27">
        <f t="shared" si="34"/>
        <v>77470</v>
      </c>
      <c r="OX49" s="11">
        <v>0</v>
      </c>
      <c r="OY49" s="11">
        <v>0</v>
      </c>
      <c r="OZ49" s="11">
        <v>0</v>
      </c>
      <c r="PA49" s="11">
        <v>0</v>
      </c>
      <c r="PB49" s="11">
        <v>0</v>
      </c>
      <c r="PC49" s="11">
        <v>0</v>
      </c>
      <c r="PD49" s="11">
        <v>0</v>
      </c>
      <c r="PE49" s="11">
        <v>0</v>
      </c>
      <c r="PF49" s="11">
        <v>0</v>
      </c>
      <c r="PG49" s="11">
        <v>0</v>
      </c>
      <c r="PH49" s="11">
        <v>0</v>
      </c>
      <c r="PI49" s="11">
        <v>0</v>
      </c>
      <c r="PJ49" s="27">
        <f t="shared" si="35"/>
        <v>0</v>
      </c>
      <c r="PK49" s="11">
        <v>0</v>
      </c>
      <c r="PL49" s="11">
        <v>0</v>
      </c>
      <c r="PM49" s="11">
        <v>0</v>
      </c>
      <c r="PN49" s="11">
        <v>0</v>
      </c>
      <c r="PO49" s="11">
        <v>0</v>
      </c>
      <c r="PP49" s="11">
        <v>0</v>
      </c>
      <c r="PQ49" s="11">
        <v>0</v>
      </c>
      <c r="PR49" s="11">
        <v>0</v>
      </c>
      <c r="PS49" s="11">
        <v>0</v>
      </c>
      <c r="PT49" s="11">
        <v>0</v>
      </c>
      <c r="PU49" s="11">
        <v>0</v>
      </c>
      <c r="PV49" s="11">
        <v>0</v>
      </c>
      <c r="PW49" s="27">
        <f t="shared" si="36"/>
        <v>0</v>
      </c>
      <c r="PX49" s="11">
        <v>0</v>
      </c>
      <c r="PY49" s="11">
        <v>0</v>
      </c>
      <c r="PZ49" s="11">
        <v>0</v>
      </c>
      <c r="QA49" s="11">
        <v>0</v>
      </c>
      <c r="QB49" s="11">
        <v>0</v>
      </c>
      <c r="QC49" s="11">
        <v>0</v>
      </c>
      <c r="QD49" s="11">
        <v>0</v>
      </c>
      <c r="QE49" s="11">
        <v>0</v>
      </c>
      <c r="QF49" s="11">
        <v>0</v>
      </c>
      <c r="QG49" s="11">
        <v>0</v>
      </c>
      <c r="QH49" s="11">
        <v>0</v>
      </c>
      <c r="QI49" s="11">
        <v>0</v>
      </c>
      <c r="QJ49" s="27">
        <f t="shared" si="37"/>
        <v>0</v>
      </c>
      <c r="QK49" s="11">
        <v>23605</v>
      </c>
      <c r="QL49" s="11">
        <v>23285</v>
      </c>
      <c r="QM49" s="11">
        <v>25261</v>
      </c>
      <c r="QN49" s="11">
        <v>26397</v>
      </c>
      <c r="QO49" s="11">
        <v>26104</v>
      </c>
      <c r="QP49" s="11">
        <v>20428</v>
      </c>
      <c r="QQ49" s="11">
        <v>23482</v>
      </c>
      <c r="QR49" s="11">
        <v>22712</v>
      </c>
      <c r="QS49" s="11">
        <v>19139</v>
      </c>
      <c r="QT49" s="11">
        <v>22029</v>
      </c>
      <c r="QU49" s="11">
        <v>21526</v>
      </c>
      <c r="QV49" s="11">
        <v>22980</v>
      </c>
      <c r="QW49" s="27">
        <f t="shared" si="38"/>
        <v>276948</v>
      </c>
      <c r="QX49" s="11">
        <v>0</v>
      </c>
      <c r="QY49" s="11">
        <v>0</v>
      </c>
      <c r="QZ49" s="11">
        <v>0</v>
      </c>
      <c r="RA49" s="11">
        <v>0</v>
      </c>
      <c r="RB49" s="11">
        <v>0</v>
      </c>
      <c r="RC49" s="11">
        <v>0</v>
      </c>
      <c r="RD49" s="11">
        <v>0</v>
      </c>
      <c r="RE49" s="11">
        <v>0</v>
      </c>
      <c r="RF49" s="11">
        <v>0</v>
      </c>
      <c r="RG49" s="11">
        <v>0</v>
      </c>
      <c r="RH49" s="11">
        <v>0</v>
      </c>
      <c r="RI49" s="11">
        <v>0</v>
      </c>
      <c r="RJ49" s="27">
        <f t="shared" si="39"/>
        <v>0</v>
      </c>
      <c r="RK49" s="11">
        <v>0</v>
      </c>
      <c r="RL49" s="11">
        <v>0</v>
      </c>
      <c r="RM49" s="11">
        <v>0</v>
      </c>
      <c r="RN49" s="11">
        <v>0</v>
      </c>
      <c r="RO49" s="11">
        <v>0</v>
      </c>
      <c r="RP49" s="11">
        <v>0</v>
      </c>
      <c r="RQ49" s="11">
        <v>0</v>
      </c>
      <c r="RR49" s="11">
        <v>0</v>
      </c>
      <c r="RS49" s="11">
        <v>0</v>
      </c>
      <c r="RT49" s="11">
        <v>0</v>
      </c>
      <c r="RU49" s="11">
        <v>0</v>
      </c>
      <c r="RV49" s="11">
        <v>0</v>
      </c>
      <c r="RW49" s="27">
        <f t="shared" si="40"/>
        <v>0</v>
      </c>
      <c r="RX49" s="11">
        <v>0</v>
      </c>
      <c r="RY49" s="11">
        <v>0</v>
      </c>
      <c r="RZ49" s="11">
        <v>0</v>
      </c>
      <c r="SA49" s="11">
        <v>0</v>
      </c>
      <c r="SB49" s="11">
        <v>0</v>
      </c>
      <c r="SC49" s="11">
        <v>0</v>
      </c>
      <c r="SD49" s="11">
        <v>0</v>
      </c>
      <c r="SE49" s="11">
        <v>0</v>
      </c>
      <c r="SF49" s="11">
        <v>0</v>
      </c>
      <c r="SG49" s="11">
        <v>0</v>
      </c>
      <c r="SH49" s="11">
        <v>0</v>
      </c>
      <c r="SI49" s="11">
        <v>0</v>
      </c>
      <c r="SJ49" s="27">
        <f t="shared" si="41"/>
        <v>0</v>
      </c>
      <c r="SK49" s="11">
        <v>271</v>
      </c>
      <c r="SL49" s="11">
        <v>279</v>
      </c>
      <c r="SM49" s="11">
        <v>326</v>
      </c>
      <c r="SN49" s="11">
        <v>334</v>
      </c>
      <c r="SO49" s="11">
        <v>340</v>
      </c>
      <c r="SP49" s="11">
        <v>343</v>
      </c>
      <c r="SQ49" s="11">
        <v>232</v>
      </c>
      <c r="SR49" s="11">
        <v>242</v>
      </c>
      <c r="SS49" s="11">
        <v>244</v>
      </c>
      <c r="ST49" s="11">
        <v>257</v>
      </c>
      <c r="SU49" s="11">
        <v>257</v>
      </c>
      <c r="SV49" s="11">
        <v>247</v>
      </c>
      <c r="SW49" s="27">
        <f t="shared" si="42"/>
        <v>3372</v>
      </c>
      <c r="SX49" s="11" t="s">
        <v>2688</v>
      </c>
      <c r="SY49" s="11">
        <v>1555</v>
      </c>
      <c r="SZ49" s="11">
        <v>1504</v>
      </c>
      <c r="TA49" s="11">
        <v>1497</v>
      </c>
      <c r="TB49" s="11">
        <v>1727</v>
      </c>
      <c r="TC49" s="11">
        <v>1671</v>
      </c>
      <c r="TD49" s="11">
        <v>1522</v>
      </c>
      <c r="TE49" s="11">
        <v>1738</v>
      </c>
      <c r="TF49" s="11">
        <v>1568</v>
      </c>
      <c r="TG49" s="11">
        <v>1176</v>
      </c>
      <c r="TH49" s="11">
        <v>1571</v>
      </c>
      <c r="TI49" s="11">
        <v>1455</v>
      </c>
      <c r="TJ49" s="11">
        <v>1622</v>
      </c>
      <c r="TK49" s="27">
        <f t="shared" si="43"/>
        <v>18606</v>
      </c>
      <c r="TL49" s="11">
        <v>0</v>
      </c>
      <c r="TM49" s="11">
        <v>0</v>
      </c>
      <c r="TN49" s="11">
        <v>0</v>
      </c>
      <c r="TO49" s="11">
        <v>0</v>
      </c>
      <c r="TP49" s="11">
        <v>0</v>
      </c>
      <c r="TQ49" s="11">
        <v>0</v>
      </c>
      <c r="TR49" s="11">
        <v>0</v>
      </c>
      <c r="TS49" s="11">
        <v>0</v>
      </c>
      <c r="TT49" s="11">
        <v>0</v>
      </c>
      <c r="TU49" s="11">
        <v>0</v>
      </c>
      <c r="TV49" s="11">
        <v>0</v>
      </c>
      <c r="TW49" s="11">
        <v>0</v>
      </c>
      <c r="TX49" s="27">
        <f t="shared" si="44"/>
        <v>0</v>
      </c>
      <c r="TY49" s="11">
        <v>43</v>
      </c>
      <c r="TZ49" s="11">
        <v>0</v>
      </c>
      <c r="UA49" s="11">
        <v>0</v>
      </c>
    </row>
    <row r="50" spans="1:547" ht="16" customHeight="1" x14ac:dyDescent="0.35">
      <c r="A50" s="11" t="s">
        <v>1522</v>
      </c>
      <c r="B50" s="11">
        <v>40737</v>
      </c>
      <c r="C50" s="11">
        <v>0</v>
      </c>
      <c r="D50" s="11">
        <v>0</v>
      </c>
      <c r="E50" s="11">
        <v>0</v>
      </c>
      <c r="F50" s="11">
        <v>738</v>
      </c>
      <c r="G50" s="11">
        <v>755</v>
      </c>
      <c r="H50" s="11">
        <v>746</v>
      </c>
      <c r="I50" s="11">
        <v>748</v>
      </c>
      <c r="J50" s="11">
        <v>707</v>
      </c>
      <c r="K50" s="11">
        <v>759</v>
      </c>
      <c r="L50" s="11">
        <v>852</v>
      </c>
      <c r="M50" s="11">
        <v>822</v>
      </c>
      <c r="N50" s="11">
        <v>595</v>
      </c>
      <c r="O50" s="11">
        <v>697</v>
      </c>
      <c r="P50" s="11" t="s">
        <v>2865</v>
      </c>
      <c r="Q50" s="11">
        <v>755</v>
      </c>
      <c r="R50" s="11">
        <v>885</v>
      </c>
      <c r="S50" s="26">
        <f t="shared" si="0"/>
        <v>9059</v>
      </c>
      <c r="T50" s="11">
        <v>471</v>
      </c>
      <c r="U50" s="11">
        <v>509</v>
      </c>
      <c r="V50" s="11">
        <v>476</v>
      </c>
      <c r="W50" s="11">
        <v>492</v>
      </c>
      <c r="X50" s="11">
        <v>436</v>
      </c>
      <c r="Y50" s="11">
        <v>511</v>
      </c>
      <c r="Z50" s="11">
        <v>570</v>
      </c>
      <c r="AA50" s="11">
        <v>558</v>
      </c>
      <c r="AB50" s="11">
        <v>395</v>
      </c>
      <c r="AC50" s="11">
        <v>455</v>
      </c>
      <c r="AD50" s="11">
        <v>501</v>
      </c>
      <c r="AE50" s="11">
        <v>582</v>
      </c>
      <c r="AF50" s="26">
        <f t="shared" si="1"/>
        <v>5956</v>
      </c>
      <c r="AG50" s="11">
        <v>255</v>
      </c>
      <c r="AH50" s="11">
        <v>236</v>
      </c>
      <c r="AI50" s="11">
        <v>261</v>
      </c>
      <c r="AJ50" s="11">
        <v>251</v>
      </c>
      <c r="AK50" s="11">
        <v>261</v>
      </c>
      <c r="AL50" s="11">
        <v>237</v>
      </c>
      <c r="AM50" s="11">
        <v>271</v>
      </c>
      <c r="AN50" s="11">
        <v>258</v>
      </c>
      <c r="AO50" s="11">
        <v>192</v>
      </c>
      <c r="AP50" s="11">
        <v>235</v>
      </c>
      <c r="AQ50" s="11">
        <v>243</v>
      </c>
      <c r="AR50" s="11">
        <v>278</v>
      </c>
      <c r="AS50" s="26">
        <f t="shared" si="2"/>
        <v>2978</v>
      </c>
      <c r="AT50" s="11">
        <v>12</v>
      </c>
      <c r="AU50" s="11">
        <v>10</v>
      </c>
      <c r="AV50" s="11">
        <v>9</v>
      </c>
      <c r="AW50" s="11">
        <v>5</v>
      </c>
      <c r="AX50" s="11">
        <v>10</v>
      </c>
      <c r="AY50" s="11">
        <v>11</v>
      </c>
      <c r="AZ50" s="11">
        <v>11</v>
      </c>
      <c r="BA50" s="11">
        <v>6</v>
      </c>
      <c r="BB50" s="11">
        <v>8</v>
      </c>
      <c r="BC50" s="11">
        <v>7</v>
      </c>
      <c r="BD50" s="11">
        <v>11</v>
      </c>
      <c r="BE50" s="11">
        <v>25</v>
      </c>
      <c r="BF50" s="26">
        <f t="shared" si="3"/>
        <v>125</v>
      </c>
      <c r="BG50" s="11">
        <v>0</v>
      </c>
      <c r="BH50" s="11">
        <v>0</v>
      </c>
      <c r="BI50" s="11">
        <v>0</v>
      </c>
      <c r="BJ50" s="11">
        <v>0</v>
      </c>
      <c r="BK50" s="11">
        <v>0</v>
      </c>
      <c r="BL50" s="11">
        <v>0</v>
      </c>
      <c r="BM50" s="11">
        <v>0</v>
      </c>
      <c r="BN50" s="11">
        <v>0</v>
      </c>
      <c r="BO50" s="11">
        <v>0</v>
      </c>
      <c r="BP50" s="11">
        <v>0</v>
      </c>
      <c r="BQ50" s="11">
        <v>0</v>
      </c>
      <c r="BR50" s="11">
        <v>0</v>
      </c>
      <c r="BS50" s="26">
        <f t="shared" si="4"/>
        <v>0</v>
      </c>
      <c r="BT50" s="11">
        <v>0</v>
      </c>
      <c r="BU50" s="11">
        <v>0</v>
      </c>
      <c r="BV50" s="11">
        <v>0</v>
      </c>
      <c r="BW50" s="11">
        <v>0</v>
      </c>
      <c r="BX50" s="11">
        <v>0</v>
      </c>
      <c r="BY50" s="11">
        <v>0</v>
      </c>
      <c r="BZ50" s="11">
        <v>0</v>
      </c>
      <c r="CA50" s="11">
        <v>0</v>
      </c>
      <c r="CB50" s="11">
        <v>0</v>
      </c>
      <c r="CC50" s="11">
        <v>0</v>
      </c>
      <c r="CD50" s="11">
        <v>0</v>
      </c>
      <c r="CE50" s="11">
        <v>0</v>
      </c>
      <c r="CF50" s="26">
        <f t="shared" si="5"/>
        <v>0</v>
      </c>
      <c r="CG50" s="11">
        <v>0</v>
      </c>
      <c r="CH50" s="11">
        <v>0</v>
      </c>
      <c r="CI50" s="11">
        <v>0</v>
      </c>
      <c r="CJ50" s="11">
        <v>0</v>
      </c>
      <c r="CK50" s="11">
        <v>0</v>
      </c>
      <c r="CL50" s="11">
        <v>0</v>
      </c>
      <c r="CM50" s="11">
        <v>0</v>
      </c>
      <c r="CN50" s="11">
        <v>0</v>
      </c>
      <c r="CO50" s="11">
        <v>0</v>
      </c>
      <c r="CP50" s="11">
        <v>0</v>
      </c>
      <c r="CQ50" s="11">
        <v>0</v>
      </c>
      <c r="CR50" s="11">
        <v>0</v>
      </c>
      <c r="CS50" s="26">
        <f t="shared" si="6"/>
        <v>0</v>
      </c>
      <c r="CT50" s="11">
        <v>0</v>
      </c>
      <c r="CU50" s="11">
        <v>0</v>
      </c>
      <c r="CV50" s="11">
        <v>0</v>
      </c>
      <c r="CW50" s="11">
        <v>0</v>
      </c>
      <c r="CX50" s="11">
        <v>0</v>
      </c>
      <c r="CY50" s="11">
        <v>0</v>
      </c>
      <c r="CZ50" s="11">
        <v>0</v>
      </c>
      <c r="DA50" s="11">
        <v>0</v>
      </c>
      <c r="DB50" s="11">
        <v>0</v>
      </c>
      <c r="DC50" s="11">
        <v>0</v>
      </c>
      <c r="DD50" s="11">
        <v>0</v>
      </c>
      <c r="DE50" s="11">
        <v>0</v>
      </c>
      <c r="DF50" s="26">
        <f t="shared" si="7"/>
        <v>0</v>
      </c>
      <c r="DG50" s="11">
        <v>0</v>
      </c>
      <c r="DH50" s="11">
        <v>0</v>
      </c>
      <c r="DI50" s="11">
        <v>0</v>
      </c>
      <c r="DJ50" s="11">
        <v>0</v>
      </c>
      <c r="DK50" s="11">
        <v>0</v>
      </c>
      <c r="DL50" s="11">
        <v>0</v>
      </c>
      <c r="DM50" s="11">
        <v>0</v>
      </c>
      <c r="DN50" s="11">
        <v>0</v>
      </c>
      <c r="DO50" s="11">
        <v>0</v>
      </c>
      <c r="DP50" s="11">
        <v>0</v>
      </c>
      <c r="DQ50" s="11">
        <v>0</v>
      </c>
      <c r="DR50" s="11">
        <v>0</v>
      </c>
      <c r="DS50" s="26">
        <f t="shared" si="8"/>
        <v>0</v>
      </c>
      <c r="DT50" s="11">
        <v>0</v>
      </c>
      <c r="DU50" s="11">
        <v>0</v>
      </c>
      <c r="DV50" s="11">
        <v>0</v>
      </c>
      <c r="DW50" s="11">
        <v>0</v>
      </c>
      <c r="DX50" s="11">
        <v>0</v>
      </c>
      <c r="DY50" s="11">
        <v>0</v>
      </c>
      <c r="DZ50" s="11">
        <v>0</v>
      </c>
      <c r="EA50" s="11">
        <v>0</v>
      </c>
      <c r="EB50" s="11">
        <v>0</v>
      </c>
      <c r="EC50" s="11">
        <v>0</v>
      </c>
      <c r="ED50" s="11">
        <v>0</v>
      </c>
      <c r="EE50" s="11">
        <v>0</v>
      </c>
      <c r="EF50" s="26">
        <f t="shared" si="9"/>
        <v>0</v>
      </c>
      <c r="EG50" s="9">
        <f t="shared" si="10"/>
        <v>9059</v>
      </c>
      <c r="EH50" s="9">
        <f t="shared" si="11"/>
        <v>0</v>
      </c>
      <c r="EI50" s="11">
        <v>11251</v>
      </c>
      <c r="EJ50" s="11">
        <v>11089</v>
      </c>
      <c r="EK50" s="11">
        <v>11134</v>
      </c>
      <c r="EL50" s="11">
        <v>11774</v>
      </c>
      <c r="EM50" s="11">
        <v>9470</v>
      </c>
      <c r="EN50" s="11">
        <v>11200</v>
      </c>
      <c r="EO50" s="11">
        <v>12962</v>
      </c>
      <c r="EP50" s="11">
        <v>12614</v>
      </c>
      <c r="EQ50" s="11">
        <v>8750</v>
      </c>
      <c r="ER50" s="11">
        <v>9411</v>
      </c>
      <c r="ES50" s="11">
        <v>10724</v>
      </c>
      <c r="ET50" s="11">
        <v>13071</v>
      </c>
      <c r="EU50" s="26">
        <f t="shared" si="12"/>
        <v>133450</v>
      </c>
      <c r="EV50" s="11">
        <v>7114</v>
      </c>
      <c r="EW50" s="11">
        <v>7287</v>
      </c>
      <c r="EX50" s="11">
        <v>6945</v>
      </c>
      <c r="EY50" s="11">
        <v>7158</v>
      </c>
      <c r="EZ50" s="11">
        <v>5784</v>
      </c>
      <c r="FA50" s="11">
        <v>7236</v>
      </c>
      <c r="FB50" s="11">
        <v>8257</v>
      </c>
      <c r="FC50" s="11">
        <v>7584</v>
      </c>
      <c r="FD50" s="11">
        <v>5910</v>
      </c>
      <c r="FE50" s="11">
        <v>6095</v>
      </c>
      <c r="FF50" s="11">
        <v>7053</v>
      </c>
      <c r="FG50" s="11">
        <v>8284</v>
      </c>
      <c r="FH50" s="26">
        <f t="shared" si="13"/>
        <v>84707</v>
      </c>
      <c r="FI50" s="11">
        <v>3923</v>
      </c>
      <c r="FJ50" s="11">
        <v>3774</v>
      </c>
      <c r="FK50" s="11">
        <v>4104</v>
      </c>
      <c r="FL50" s="11">
        <v>4599</v>
      </c>
      <c r="FM50" s="11">
        <v>3636</v>
      </c>
      <c r="FN50" s="11">
        <v>3925</v>
      </c>
      <c r="FO50" s="11">
        <v>4667</v>
      </c>
      <c r="FP50" s="11">
        <v>5002</v>
      </c>
      <c r="FQ50" s="11">
        <v>2812</v>
      </c>
      <c r="FR50" s="11">
        <v>3286</v>
      </c>
      <c r="FS50" s="11">
        <v>3618</v>
      </c>
      <c r="FT50" s="11">
        <v>4667</v>
      </c>
      <c r="FU50" s="26">
        <f t="shared" si="14"/>
        <v>48013</v>
      </c>
      <c r="FV50" s="11">
        <v>214</v>
      </c>
      <c r="FW50" s="11">
        <v>28</v>
      </c>
      <c r="FX50" s="11">
        <v>85</v>
      </c>
      <c r="FY50" s="11">
        <v>17</v>
      </c>
      <c r="FZ50" s="11">
        <v>50</v>
      </c>
      <c r="GA50" s="11">
        <v>39</v>
      </c>
      <c r="GB50" s="11">
        <v>38</v>
      </c>
      <c r="GC50" s="11">
        <v>28</v>
      </c>
      <c r="GD50" s="11">
        <v>28</v>
      </c>
      <c r="GE50" s="11">
        <v>30</v>
      </c>
      <c r="GF50" s="11">
        <v>53</v>
      </c>
      <c r="GG50" s="11">
        <v>120</v>
      </c>
      <c r="GH50" s="26">
        <f t="shared" si="15"/>
        <v>730</v>
      </c>
      <c r="GI50" s="11">
        <v>0</v>
      </c>
      <c r="GJ50" s="11">
        <v>0</v>
      </c>
      <c r="GK50" s="11">
        <v>0</v>
      </c>
      <c r="GL50" s="11">
        <v>0</v>
      </c>
      <c r="GM50" s="11">
        <v>0</v>
      </c>
      <c r="GN50" s="11">
        <v>0</v>
      </c>
      <c r="GO50" s="11">
        <v>0</v>
      </c>
      <c r="GP50" s="11">
        <v>0</v>
      </c>
      <c r="GQ50" s="11">
        <v>0</v>
      </c>
      <c r="GR50" s="11">
        <v>0</v>
      </c>
      <c r="GS50" s="11">
        <v>0</v>
      </c>
      <c r="GT50" s="11">
        <v>0</v>
      </c>
      <c r="GU50" s="26">
        <f t="shared" si="16"/>
        <v>0</v>
      </c>
      <c r="GV50" s="11">
        <v>0</v>
      </c>
      <c r="GW50" s="11">
        <v>0</v>
      </c>
      <c r="GX50" s="11">
        <v>0</v>
      </c>
      <c r="GY50" s="11">
        <v>0</v>
      </c>
      <c r="GZ50" s="11">
        <v>0</v>
      </c>
      <c r="HA50" s="11">
        <v>0</v>
      </c>
      <c r="HB50" s="11">
        <v>0</v>
      </c>
      <c r="HC50" s="11">
        <v>0</v>
      </c>
      <c r="HD50" s="11">
        <v>0</v>
      </c>
      <c r="HE50" s="11">
        <v>0</v>
      </c>
      <c r="HF50" s="11">
        <v>0</v>
      </c>
      <c r="HG50" s="11">
        <v>0</v>
      </c>
      <c r="HH50" s="26">
        <f t="shared" si="17"/>
        <v>0</v>
      </c>
      <c r="HI50" s="11">
        <v>0</v>
      </c>
      <c r="HJ50" s="11">
        <v>0</v>
      </c>
      <c r="HK50" s="11">
        <v>0</v>
      </c>
      <c r="HL50" s="11">
        <v>0</v>
      </c>
      <c r="HM50" s="11">
        <v>0</v>
      </c>
      <c r="HN50" s="11">
        <v>0</v>
      </c>
      <c r="HO50" s="11">
        <v>0</v>
      </c>
      <c r="HP50" s="11">
        <v>0</v>
      </c>
      <c r="HQ50" s="11">
        <v>0</v>
      </c>
      <c r="HR50" s="11">
        <v>0</v>
      </c>
      <c r="HS50" s="11">
        <v>0</v>
      </c>
      <c r="HT50" s="11">
        <v>0</v>
      </c>
      <c r="HU50" s="26">
        <f t="shared" si="18"/>
        <v>0</v>
      </c>
      <c r="HV50" s="11">
        <v>0</v>
      </c>
      <c r="HW50" s="11">
        <v>0</v>
      </c>
      <c r="HX50" s="11">
        <v>0</v>
      </c>
      <c r="HY50" s="11">
        <v>0</v>
      </c>
      <c r="HZ50" s="11">
        <v>0</v>
      </c>
      <c r="IA50" s="11">
        <v>0</v>
      </c>
      <c r="IB50" s="11">
        <v>0</v>
      </c>
      <c r="IC50" s="11">
        <v>0</v>
      </c>
      <c r="ID50" s="11">
        <v>0</v>
      </c>
      <c r="IE50" s="11">
        <v>0</v>
      </c>
      <c r="IF50" s="11">
        <v>0</v>
      </c>
      <c r="IG50" s="11">
        <v>0</v>
      </c>
      <c r="IH50" s="26">
        <f t="shared" si="19"/>
        <v>0</v>
      </c>
      <c r="II50" s="9">
        <f t="shared" si="20"/>
        <v>133450</v>
      </c>
      <c r="IJ50" s="9">
        <f t="shared" si="21"/>
        <v>0</v>
      </c>
      <c r="IK50" s="11">
        <v>67300</v>
      </c>
      <c r="IL50" s="11">
        <v>67761</v>
      </c>
      <c r="IM50" s="11">
        <v>65801</v>
      </c>
      <c r="IN50" s="11">
        <v>68952</v>
      </c>
      <c r="IO50" s="11">
        <v>75794</v>
      </c>
      <c r="IP50" s="11">
        <v>68801</v>
      </c>
      <c r="IQ50" s="11">
        <v>73761</v>
      </c>
      <c r="IR50" s="11">
        <v>67460</v>
      </c>
      <c r="IS50" s="11">
        <v>52800</v>
      </c>
      <c r="IT50" s="11">
        <v>60306</v>
      </c>
      <c r="IU50" s="11">
        <v>61438</v>
      </c>
      <c r="IV50" s="11">
        <v>65371</v>
      </c>
      <c r="IW50" s="27">
        <f t="shared" si="22"/>
        <v>795545</v>
      </c>
      <c r="IX50" s="11">
        <v>31208</v>
      </c>
      <c r="IY50" s="11">
        <v>31845</v>
      </c>
      <c r="IZ50" s="11">
        <v>31493</v>
      </c>
      <c r="JA50" s="11">
        <v>32171</v>
      </c>
      <c r="JB50" s="11">
        <v>33625</v>
      </c>
      <c r="JC50" s="11">
        <v>30781</v>
      </c>
      <c r="JD50" s="11">
        <v>33883</v>
      </c>
      <c r="JE50" s="11">
        <v>31975</v>
      </c>
      <c r="JF50" s="11">
        <v>25582</v>
      </c>
      <c r="JG50" s="11">
        <v>29831</v>
      </c>
      <c r="JH50" s="11">
        <v>29078</v>
      </c>
      <c r="JI50" s="11">
        <v>30394</v>
      </c>
      <c r="JJ50" s="27">
        <f t="shared" si="23"/>
        <v>371866</v>
      </c>
      <c r="JK50" s="11">
        <v>35042</v>
      </c>
      <c r="JL50" s="11">
        <v>34751</v>
      </c>
      <c r="JM50" s="11">
        <v>33148</v>
      </c>
      <c r="JN50" s="11">
        <v>35468</v>
      </c>
      <c r="JO50" s="11">
        <v>40720</v>
      </c>
      <c r="JP50" s="11">
        <v>36794</v>
      </c>
      <c r="JQ50" s="11">
        <v>38584</v>
      </c>
      <c r="JR50" s="11">
        <v>34388</v>
      </c>
      <c r="JS50" s="11">
        <v>26363</v>
      </c>
      <c r="JT50" s="11">
        <v>29517</v>
      </c>
      <c r="JU50" s="11">
        <v>31342</v>
      </c>
      <c r="JV50" s="11">
        <v>33997</v>
      </c>
      <c r="JW50" s="27">
        <f t="shared" si="24"/>
        <v>410114</v>
      </c>
      <c r="JX50" s="11">
        <v>1050</v>
      </c>
      <c r="JY50" s="11">
        <v>1165</v>
      </c>
      <c r="JZ50" s="11">
        <v>1160</v>
      </c>
      <c r="KA50" s="11">
        <v>1313</v>
      </c>
      <c r="KB50" s="11">
        <v>1449</v>
      </c>
      <c r="KC50" s="11">
        <v>1226</v>
      </c>
      <c r="KD50" s="11">
        <v>1294</v>
      </c>
      <c r="KE50" s="11">
        <v>1097</v>
      </c>
      <c r="KF50" s="11">
        <v>855</v>
      </c>
      <c r="KG50" s="11">
        <v>958</v>
      </c>
      <c r="KH50" s="11">
        <v>1018</v>
      </c>
      <c r="KI50" s="11">
        <v>980</v>
      </c>
      <c r="KJ50" s="27">
        <f t="shared" si="25"/>
        <v>13565</v>
      </c>
      <c r="KK50" s="11">
        <v>1547</v>
      </c>
      <c r="KL50" s="11">
        <v>1519</v>
      </c>
      <c r="KM50" s="11">
        <v>1558</v>
      </c>
      <c r="KN50" s="11">
        <v>1470</v>
      </c>
      <c r="KO50" s="11">
        <v>1629</v>
      </c>
      <c r="KP50" s="11">
        <v>1443</v>
      </c>
      <c r="KQ50" s="11">
        <v>1566</v>
      </c>
      <c r="KR50" s="11">
        <v>1498</v>
      </c>
      <c r="KS50" s="11">
        <v>1347</v>
      </c>
      <c r="KT50" s="11">
        <v>1757</v>
      </c>
      <c r="KU50" s="11">
        <v>1494</v>
      </c>
      <c r="KV50" s="11">
        <v>1320</v>
      </c>
      <c r="KW50" s="27">
        <f t="shared" si="26"/>
        <v>18148</v>
      </c>
      <c r="KX50" s="11">
        <v>1378</v>
      </c>
      <c r="KY50" s="11">
        <v>1375</v>
      </c>
      <c r="KZ50" s="11">
        <v>1421</v>
      </c>
      <c r="LA50" s="11">
        <v>1333</v>
      </c>
      <c r="LB50" s="11">
        <v>1510</v>
      </c>
      <c r="LC50" s="11">
        <v>1307</v>
      </c>
      <c r="LD50" s="11">
        <v>1414</v>
      </c>
      <c r="LE50" s="11">
        <v>1378</v>
      </c>
      <c r="LF50" s="11">
        <v>1223</v>
      </c>
      <c r="LG50" s="11">
        <v>1600</v>
      </c>
      <c r="LH50" s="11">
        <v>1267</v>
      </c>
      <c r="LI50" s="11">
        <v>1185</v>
      </c>
      <c r="LJ50" s="27">
        <f t="shared" si="27"/>
        <v>16391</v>
      </c>
      <c r="LK50" s="11">
        <v>169</v>
      </c>
      <c r="LL50" s="11">
        <v>144</v>
      </c>
      <c r="LM50" s="11">
        <v>137</v>
      </c>
      <c r="LN50" s="11">
        <v>137</v>
      </c>
      <c r="LO50" s="11">
        <v>119</v>
      </c>
      <c r="LP50" s="11">
        <v>136</v>
      </c>
      <c r="LQ50" s="11">
        <v>152</v>
      </c>
      <c r="LR50" s="11">
        <v>120</v>
      </c>
      <c r="LS50" s="11">
        <v>124</v>
      </c>
      <c r="LT50" s="11">
        <v>157</v>
      </c>
      <c r="LU50" s="11">
        <v>227</v>
      </c>
      <c r="LV50" s="11">
        <v>135</v>
      </c>
      <c r="LW50" s="27">
        <f t="shared" si="28"/>
        <v>1757</v>
      </c>
      <c r="LX50" s="11">
        <v>0</v>
      </c>
      <c r="LY50" s="11">
        <v>0</v>
      </c>
      <c r="LZ50" s="11">
        <v>0</v>
      </c>
      <c r="MA50" s="11">
        <v>0</v>
      </c>
      <c r="MB50" s="11">
        <v>0</v>
      </c>
      <c r="MC50" s="11">
        <v>0</v>
      </c>
      <c r="MD50" s="11">
        <v>0</v>
      </c>
      <c r="ME50" s="11">
        <v>0</v>
      </c>
      <c r="MF50" s="11">
        <v>0</v>
      </c>
      <c r="MG50" s="11">
        <v>0</v>
      </c>
      <c r="MH50" s="11">
        <v>0</v>
      </c>
      <c r="MI50" s="11">
        <v>0</v>
      </c>
      <c r="MJ50" s="27">
        <f t="shared" si="29"/>
        <v>0</v>
      </c>
      <c r="MK50" s="11">
        <v>5951</v>
      </c>
      <c r="ML50" s="11">
        <v>5789</v>
      </c>
      <c r="MM50" s="11">
        <v>5524</v>
      </c>
      <c r="MN50" s="11">
        <v>5880</v>
      </c>
      <c r="MO50" s="11">
        <v>5905</v>
      </c>
      <c r="MP50" s="11">
        <v>5589</v>
      </c>
      <c r="MQ50" s="11">
        <v>5328</v>
      </c>
      <c r="MR50" s="11">
        <v>5009</v>
      </c>
      <c r="MS50" s="11">
        <v>5178</v>
      </c>
      <c r="MT50" s="11">
        <v>5483</v>
      </c>
      <c r="MU50" s="11">
        <v>4940</v>
      </c>
      <c r="MV50" s="11">
        <v>5489</v>
      </c>
      <c r="MW50" s="27">
        <f t="shared" si="30"/>
        <v>66065</v>
      </c>
      <c r="MX50" s="11">
        <v>5039</v>
      </c>
      <c r="MY50" s="11">
        <v>4972</v>
      </c>
      <c r="MZ50" s="11">
        <v>4752</v>
      </c>
      <c r="NA50" s="11">
        <v>4999</v>
      </c>
      <c r="NB50" s="11">
        <v>5058</v>
      </c>
      <c r="NC50" s="11">
        <v>4872</v>
      </c>
      <c r="ND50" s="11">
        <v>4682</v>
      </c>
      <c r="NE50" s="11">
        <v>4300</v>
      </c>
      <c r="NF50" s="11">
        <v>4445</v>
      </c>
      <c r="NG50" s="11">
        <v>4787</v>
      </c>
      <c r="NH50" s="11">
        <v>4334</v>
      </c>
      <c r="NI50" s="11">
        <v>4768</v>
      </c>
      <c r="NJ50" s="27">
        <f t="shared" si="31"/>
        <v>57008</v>
      </c>
      <c r="NK50" s="11">
        <v>535</v>
      </c>
      <c r="NL50" s="11">
        <v>481</v>
      </c>
      <c r="NM50" s="11">
        <v>412</v>
      </c>
      <c r="NN50" s="11">
        <v>533</v>
      </c>
      <c r="NO50" s="11">
        <v>489</v>
      </c>
      <c r="NP50" s="11">
        <v>403</v>
      </c>
      <c r="NQ50" s="11">
        <v>338</v>
      </c>
      <c r="NR50" s="11">
        <v>434</v>
      </c>
      <c r="NS50" s="11">
        <v>490</v>
      </c>
      <c r="NT50" s="11">
        <v>409</v>
      </c>
      <c r="NU50" s="11">
        <v>358</v>
      </c>
      <c r="NV50" s="11">
        <v>406</v>
      </c>
      <c r="NW50" s="27">
        <f t="shared" si="32"/>
        <v>5288</v>
      </c>
      <c r="NX50" s="11">
        <v>377</v>
      </c>
      <c r="NY50" s="11">
        <v>336</v>
      </c>
      <c r="NZ50" s="11">
        <v>360</v>
      </c>
      <c r="OA50" s="11">
        <v>348</v>
      </c>
      <c r="OB50" s="11">
        <v>358</v>
      </c>
      <c r="OC50" s="11">
        <v>314</v>
      </c>
      <c r="OD50" s="11">
        <v>308</v>
      </c>
      <c r="OE50" s="11">
        <v>275</v>
      </c>
      <c r="OF50" s="11">
        <v>243</v>
      </c>
      <c r="OG50" s="11">
        <v>287</v>
      </c>
      <c r="OH50" s="11">
        <v>248</v>
      </c>
      <c r="OI50" s="11">
        <v>315</v>
      </c>
      <c r="OJ50" s="27">
        <f t="shared" si="33"/>
        <v>3769</v>
      </c>
      <c r="OK50" s="11">
        <v>3262</v>
      </c>
      <c r="OL50" s="11">
        <v>3187</v>
      </c>
      <c r="OM50" s="11">
        <v>3304</v>
      </c>
      <c r="ON50" s="11">
        <v>3452</v>
      </c>
      <c r="OO50" s="11">
        <v>3352</v>
      </c>
      <c r="OP50" s="11">
        <v>2999</v>
      </c>
      <c r="OQ50" s="11">
        <v>2980</v>
      </c>
      <c r="OR50" s="11">
        <v>3117</v>
      </c>
      <c r="OS50" s="11">
        <v>2961</v>
      </c>
      <c r="OT50" s="11">
        <v>3241</v>
      </c>
      <c r="OU50" s="11">
        <v>3054</v>
      </c>
      <c r="OV50" s="11">
        <v>3317</v>
      </c>
      <c r="OW50" s="27">
        <f t="shared" si="34"/>
        <v>38226</v>
      </c>
      <c r="OX50" s="11">
        <v>2451</v>
      </c>
      <c r="OY50" s="11">
        <v>2398</v>
      </c>
      <c r="OZ50" s="11">
        <v>2554</v>
      </c>
      <c r="PA50" s="11">
        <v>2574</v>
      </c>
      <c r="PB50" s="11">
        <v>2490</v>
      </c>
      <c r="PC50" s="11">
        <v>2237</v>
      </c>
      <c r="PD50" s="11">
        <v>2227</v>
      </c>
      <c r="PE50" s="11">
        <v>2295</v>
      </c>
      <c r="PF50" s="11">
        <v>2164</v>
      </c>
      <c r="PG50" s="11">
        <v>2440</v>
      </c>
      <c r="PH50" s="11">
        <v>2356</v>
      </c>
      <c r="PI50" s="11">
        <v>2504</v>
      </c>
      <c r="PJ50" s="27">
        <f t="shared" si="35"/>
        <v>28690</v>
      </c>
      <c r="PK50" s="11">
        <v>549</v>
      </c>
      <c r="PL50" s="11">
        <v>513</v>
      </c>
      <c r="PM50" s="11">
        <v>512</v>
      </c>
      <c r="PN50" s="11">
        <v>611</v>
      </c>
      <c r="PO50" s="11">
        <v>639</v>
      </c>
      <c r="PP50" s="11">
        <v>520</v>
      </c>
      <c r="PQ50" s="11">
        <v>550</v>
      </c>
      <c r="PR50" s="11">
        <v>625</v>
      </c>
      <c r="PS50" s="11">
        <v>590</v>
      </c>
      <c r="PT50" s="11">
        <v>547</v>
      </c>
      <c r="PU50" s="11">
        <v>507</v>
      </c>
      <c r="PV50" s="11">
        <v>554</v>
      </c>
      <c r="PW50" s="27">
        <f t="shared" si="36"/>
        <v>6717</v>
      </c>
      <c r="PX50" s="11">
        <v>262</v>
      </c>
      <c r="PY50" s="11">
        <v>276</v>
      </c>
      <c r="PZ50" s="11">
        <v>238</v>
      </c>
      <c r="QA50" s="11">
        <v>267</v>
      </c>
      <c r="QB50" s="11">
        <v>223</v>
      </c>
      <c r="QC50" s="11">
        <v>242</v>
      </c>
      <c r="QD50" s="11">
        <v>203</v>
      </c>
      <c r="QE50" s="11">
        <v>197</v>
      </c>
      <c r="QF50" s="11">
        <v>207</v>
      </c>
      <c r="QG50" s="11">
        <v>254</v>
      </c>
      <c r="QH50" s="11">
        <v>191</v>
      </c>
      <c r="QI50" s="11">
        <v>259</v>
      </c>
      <c r="QJ50" s="27">
        <f t="shared" si="37"/>
        <v>2819</v>
      </c>
      <c r="QK50" s="11">
        <v>40826</v>
      </c>
      <c r="QL50" s="11">
        <v>44110</v>
      </c>
      <c r="QM50" s="11">
        <v>40757</v>
      </c>
      <c r="QN50" s="11">
        <v>46434</v>
      </c>
      <c r="QO50" s="11">
        <v>44377</v>
      </c>
      <c r="QP50" s="11">
        <v>45665</v>
      </c>
      <c r="QQ50" s="11">
        <v>46307</v>
      </c>
      <c r="QR50" s="11">
        <v>45064</v>
      </c>
      <c r="QS50" s="11">
        <v>34307</v>
      </c>
      <c r="QT50" s="11">
        <v>38992</v>
      </c>
      <c r="QU50" s="11">
        <v>39667</v>
      </c>
      <c r="QV50" s="11">
        <v>43741</v>
      </c>
      <c r="QW50" s="27">
        <f t="shared" si="38"/>
        <v>510247</v>
      </c>
      <c r="QX50" s="11">
        <v>30987</v>
      </c>
      <c r="QY50" s="11">
        <v>32716</v>
      </c>
      <c r="QZ50" s="11">
        <v>30332</v>
      </c>
      <c r="RA50" s="11">
        <v>34257</v>
      </c>
      <c r="RB50" s="11">
        <v>35517</v>
      </c>
      <c r="RC50" s="11">
        <v>34518</v>
      </c>
      <c r="RD50" s="11">
        <v>37978</v>
      </c>
      <c r="RE50" s="11">
        <v>34580</v>
      </c>
      <c r="RF50" s="11">
        <v>29035</v>
      </c>
      <c r="RG50" s="11">
        <v>34373</v>
      </c>
      <c r="RH50" s="11">
        <v>33070</v>
      </c>
      <c r="RI50" s="11">
        <v>34477</v>
      </c>
      <c r="RJ50" s="27">
        <f t="shared" si="39"/>
        <v>401840</v>
      </c>
      <c r="RK50" s="11">
        <v>0</v>
      </c>
      <c r="RL50" s="11">
        <v>0</v>
      </c>
      <c r="RM50" s="11">
        <v>0</v>
      </c>
      <c r="RN50" s="11">
        <v>0</v>
      </c>
      <c r="RO50" s="11">
        <v>0</v>
      </c>
      <c r="RP50" s="11">
        <v>0</v>
      </c>
      <c r="RQ50" s="11">
        <v>0</v>
      </c>
      <c r="RR50" s="11">
        <v>0</v>
      </c>
      <c r="RS50" s="11">
        <v>0</v>
      </c>
      <c r="RT50" s="11">
        <v>0</v>
      </c>
      <c r="RU50" s="11">
        <v>0</v>
      </c>
      <c r="RV50" s="11">
        <v>0</v>
      </c>
      <c r="RW50" s="27">
        <f t="shared" si="40"/>
        <v>0</v>
      </c>
      <c r="RX50" s="11">
        <v>0</v>
      </c>
      <c r="RY50" s="11">
        <v>0</v>
      </c>
      <c r="RZ50" s="11">
        <v>0</v>
      </c>
      <c r="SA50" s="11">
        <v>0</v>
      </c>
      <c r="SB50" s="11">
        <v>0</v>
      </c>
      <c r="SC50" s="11">
        <v>0</v>
      </c>
      <c r="SD50" s="11">
        <v>0</v>
      </c>
      <c r="SE50" s="11">
        <v>0</v>
      </c>
      <c r="SF50" s="11">
        <v>0</v>
      </c>
      <c r="SG50" s="11">
        <v>0</v>
      </c>
      <c r="SH50" s="11">
        <v>0</v>
      </c>
      <c r="SI50" s="11">
        <v>0</v>
      </c>
      <c r="SJ50" s="27">
        <f t="shared" si="41"/>
        <v>0</v>
      </c>
      <c r="SK50" s="11">
        <v>667</v>
      </c>
      <c r="SL50" s="11">
        <v>684</v>
      </c>
      <c r="SM50" s="11">
        <v>686</v>
      </c>
      <c r="SN50" s="11">
        <v>694</v>
      </c>
      <c r="SO50" s="11">
        <v>693</v>
      </c>
      <c r="SP50" s="11">
        <v>707</v>
      </c>
      <c r="SQ50" s="11">
        <v>716</v>
      </c>
      <c r="SR50" s="11">
        <v>716</v>
      </c>
      <c r="SS50" s="11">
        <v>713</v>
      </c>
      <c r="ST50" s="11">
        <v>723</v>
      </c>
      <c r="SU50" s="11">
        <v>740</v>
      </c>
      <c r="SV50" s="11">
        <v>799</v>
      </c>
      <c r="SW50" s="27">
        <f t="shared" si="42"/>
        <v>8538</v>
      </c>
      <c r="SX50" s="28" t="s">
        <v>2689</v>
      </c>
      <c r="SY50" s="11">
        <v>0</v>
      </c>
      <c r="SZ50" s="11">
        <v>0</v>
      </c>
      <c r="TA50" s="11">
        <v>0</v>
      </c>
      <c r="TB50" s="11">
        <v>0</v>
      </c>
      <c r="TC50" s="11">
        <v>0</v>
      </c>
      <c r="TD50" s="11">
        <v>0</v>
      </c>
      <c r="TE50" s="11">
        <v>0</v>
      </c>
      <c r="TF50" s="11">
        <v>0</v>
      </c>
      <c r="TG50" s="11">
        <v>0</v>
      </c>
      <c r="TH50" s="11">
        <v>0</v>
      </c>
      <c r="TI50" s="11">
        <v>0</v>
      </c>
      <c r="TJ50" s="11">
        <v>0</v>
      </c>
      <c r="TK50" s="27">
        <f t="shared" si="43"/>
        <v>0</v>
      </c>
      <c r="TL50" s="11">
        <v>0</v>
      </c>
      <c r="TM50" s="11">
        <v>0</v>
      </c>
      <c r="TN50" s="11">
        <v>0</v>
      </c>
      <c r="TO50" s="11">
        <v>0</v>
      </c>
      <c r="TP50" s="11">
        <v>0</v>
      </c>
      <c r="TQ50" s="11">
        <v>0</v>
      </c>
      <c r="TR50" s="11">
        <v>0</v>
      </c>
      <c r="TS50" s="11">
        <v>0</v>
      </c>
      <c r="TT50" s="11">
        <v>0</v>
      </c>
      <c r="TU50" s="11">
        <v>0</v>
      </c>
      <c r="TV50" s="11">
        <v>0</v>
      </c>
      <c r="TW50" s="11">
        <v>0</v>
      </c>
      <c r="TX50" s="27">
        <f t="shared" si="44"/>
        <v>0</v>
      </c>
      <c r="TY50" s="11">
        <v>225</v>
      </c>
      <c r="TZ50" s="11">
        <v>0</v>
      </c>
      <c r="UA50" s="11">
        <v>0</v>
      </c>
    </row>
    <row r="51" spans="1:547" ht="16" customHeight="1" x14ac:dyDescent="0.35">
      <c r="A51" s="11" t="s">
        <v>2690</v>
      </c>
      <c r="B51" s="11">
        <v>7101</v>
      </c>
      <c r="C51" s="11">
        <v>2514</v>
      </c>
      <c r="D51" s="11">
        <v>4226</v>
      </c>
      <c r="E51" s="11">
        <v>361</v>
      </c>
      <c r="F51" s="11">
        <v>365</v>
      </c>
      <c r="G51" s="11">
        <v>291</v>
      </c>
      <c r="H51" s="11">
        <v>289</v>
      </c>
      <c r="I51" s="11">
        <v>279</v>
      </c>
      <c r="J51" s="11">
        <v>294</v>
      </c>
      <c r="K51" s="11">
        <v>281</v>
      </c>
      <c r="L51" s="11">
        <v>340</v>
      </c>
      <c r="M51" s="11">
        <v>274</v>
      </c>
      <c r="N51" s="11">
        <v>225</v>
      </c>
      <c r="O51" s="11">
        <v>295</v>
      </c>
      <c r="P51" s="11" t="s">
        <v>2865</v>
      </c>
      <c r="Q51" s="11">
        <v>287</v>
      </c>
      <c r="R51" s="11">
        <v>304</v>
      </c>
      <c r="S51" s="26">
        <f t="shared" si="0"/>
        <v>3524</v>
      </c>
      <c r="T51" s="11">
        <v>227</v>
      </c>
      <c r="U51" s="11">
        <v>198</v>
      </c>
      <c r="V51" s="11">
        <v>164</v>
      </c>
      <c r="W51" s="11">
        <v>137</v>
      </c>
      <c r="X51" s="11">
        <v>135</v>
      </c>
      <c r="Y51" s="11">
        <v>170</v>
      </c>
      <c r="Z51" s="11">
        <v>214</v>
      </c>
      <c r="AA51" s="11">
        <v>164</v>
      </c>
      <c r="AB51" s="11">
        <v>135</v>
      </c>
      <c r="AC51" s="11">
        <v>162</v>
      </c>
      <c r="AD51" s="11">
        <v>155</v>
      </c>
      <c r="AE51" s="11">
        <v>160</v>
      </c>
      <c r="AF51" s="26">
        <f t="shared" si="1"/>
        <v>2021</v>
      </c>
      <c r="AG51" s="11">
        <v>138</v>
      </c>
      <c r="AH51" s="11">
        <v>93</v>
      </c>
      <c r="AI51" s="11">
        <v>125</v>
      </c>
      <c r="AJ51" s="11">
        <v>142</v>
      </c>
      <c r="AK51" s="11">
        <v>159</v>
      </c>
      <c r="AL51" s="11">
        <v>111</v>
      </c>
      <c r="AM51" s="11">
        <v>126</v>
      </c>
      <c r="AN51" s="11">
        <v>110</v>
      </c>
      <c r="AO51" s="11">
        <v>90</v>
      </c>
      <c r="AP51" s="11">
        <v>133</v>
      </c>
      <c r="AQ51" s="11">
        <v>132</v>
      </c>
      <c r="AR51" s="11">
        <v>144</v>
      </c>
      <c r="AS51" s="26">
        <f t="shared" si="2"/>
        <v>1503</v>
      </c>
      <c r="AT51" s="11">
        <v>0</v>
      </c>
      <c r="AU51" s="11">
        <v>0</v>
      </c>
      <c r="AV51" s="11">
        <v>0</v>
      </c>
      <c r="AW51" s="11">
        <v>0</v>
      </c>
      <c r="AX51" s="11">
        <v>0</v>
      </c>
      <c r="AY51" s="11">
        <v>0</v>
      </c>
      <c r="AZ51" s="11">
        <v>0</v>
      </c>
      <c r="BA51" s="11">
        <v>0</v>
      </c>
      <c r="BB51" s="11">
        <v>0</v>
      </c>
      <c r="BC51" s="11">
        <v>0</v>
      </c>
      <c r="BD51" s="11">
        <v>0</v>
      </c>
      <c r="BE51" s="11">
        <v>0</v>
      </c>
      <c r="BF51" s="26">
        <f t="shared" si="3"/>
        <v>0</v>
      </c>
      <c r="BG51" s="11">
        <v>0</v>
      </c>
      <c r="BH51" s="11">
        <v>0</v>
      </c>
      <c r="BI51" s="11">
        <v>0</v>
      </c>
      <c r="BJ51" s="11">
        <v>0</v>
      </c>
      <c r="BK51" s="11">
        <v>0</v>
      </c>
      <c r="BL51" s="11">
        <v>0</v>
      </c>
      <c r="BM51" s="11">
        <v>0</v>
      </c>
      <c r="BN51" s="11">
        <v>0</v>
      </c>
      <c r="BO51" s="11">
        <v>0</v>
      </c>
      <c r="BP51" s="11">
        <v>0</v>
      </c>
      <c r="BQ51" s="11">
        <v>0</v>
      </c>
      <c r="BR51" s="11">
        <v>0</v>
      </c>
      <c r="BS51" s="26">
        <f t="shared" si="4"/>
        <v>0</v>
      </c>
      <c r="BT51" s="11">
        <v>0</v>
      </c>
      <c r="BU51" s="11">
        <v>0</v>
      </c>
      <c r="BV51" s="11">
        <v>0</v>
      </c>
      <c r="BW51" s="11">
        <v>0</v>
      </c>
      <c r="BX51" s="11">
        <v>0</v>
      </c>
      <c r="BY51" s="11">
        <v>0</v>
      </c>
      <c r="BZ51" s="11">
        <v>0</v>
      </c>
      <c r="CA51" s="11">
        <v>0</v>
      </c>
      <c r="CB51" s="11">
        <v>0</v>
      </c>
      <c r="CC51" s="11">
        <v>0</v>
      </c>
      <c r="CD51" s="11">
        <v>0</v>
      </c>
      <c r="CE51" s="11">
        <v>0</v>
      </c>
      <c r="CF51" s="26">
        <f t="shared" si="5"/>
        <v>0</v>
      </c>
      <c r="CG51" s="11">
        <v>0</v>
      </c>
      <c r="CH51" s="11">
        <v>0</v>
      </c>
      <c r="CI51" s="11">
        <v>0</v>
      </c>
      <c r="CJ51" s="11">
        <v>0</v>
      </c>
      <c r="CK51" s="11">
        <v>0</v>
      </c>
      <c r="CL51" s="11">
        <v>0</v>
      </c>
      <c r="CM51" s="11">
        <v>0</v>
      </c>
      <c r="CN51" s="11">
        <v>0</v>
      </c>
      <c r="CO51" s="11">
        <v>0</v>
      </c>
      <c r="CP51" s="11">
        <v>0</v>
      </c>
      <c r="CQ51" s="11">
        <v>0</v>
      </c>
      <c r="CR51" s="11">
        <v>0</v>
      </c>
      <c r="CS51" s="26">
        <f t="shared" si="6"/>
        <v>0</v>
      </c>
      <c r="CT51" s="11">
        <v>0</v>
      </c>
      <c r="CU51" s="11">
        <v>0</v>
      </c>
      <c r="CV51" s="11">
        <v>0</v>
      </c>
      <c r="CW51" s="11">
        <v>0</v>
      </c>
      <c r="CX51" s="11">
        <v>0</v>
      </c>
      <c r="CY51" s="11">
        <v>0</v>
      </c>
      <c r="CZ51" s="11">
        <v>0</v>
      </c>
      <c r="DA51" s="11">
        <v>0</v>
      </c>
      <c r="DB51" s="11">
        <v>0</v>
      </c>
      <c r="DC51" s="11">
        <v>0</v>
      </c>
      <c r="DD51" s="11">
        <v>0</v>
      </c>
      <c r="DE51" s="11">
        <v>0</v>
      </c>
      <c r="DF51" s="26">
        <f t="shared" si="7"/>
        <v>0</v>
      </c>
      <c r="DG51" s="11">
        <v>0</v>
      </c>
      <c r="DH51" s="11">
        <v>0</v>
      </c>
      <c r="DI51" s="11">
        <v>0</v>
      </c>
      <c r="DJ51" s="11">
        <v>0</v>
      </c>
      <c r="DK51" s="11">
        <v>0</v>
      </c>
      <c r="DL51" s="11">
        <v>0</v>
      </c>
      <c r="DM51" s="11">
        <v>0</v>
      </c>
      <c r="DN51" s="11">
        <v>0</v>
      </c>
      <c r="DO51" s="11">
        <v>0</v>
      </c>
      <c r="DP51" s="11">
        <v>0</v>
      </c>
      <c r="DQ51" s="11">
        <v>0</v>
      </c>
      <c r="DR51" s="11">
        <v>0</v>
      </c>
      <c r="DS51" s="26">
        <f t="shared" si="8"/>
        <v>0</v>
      </c>
      <c r="DT51" s="11">
        <v>0</v>
      </c>
      <c r="DU51" s="11">
        <v>0</v>
      </c>
      <c r="DV51" s="11">
        <v>0</v>
      </c>
      <c r="DW51" s="11">
        <v>0</v>
      </c>
      <c r="DX51" s="11">
        <v>0</v>
      </c>
      <c r="DY51" s="11">
        <v>0</v>
      </c>
      <c r="DZ51" s="11">
        <v>0</v>
      </c>
      <c r="EA51" s="11">
        <v>0</v>
      </c>
      <c r="EB51" s="11">
        <v>0</v>
      </c>
      <c r="EC51" s="11">
        <v>0</v>
      </c>
      <c r="ED51" s="11">
        <v>0</v>
      </c>
      <c r="EE51" s="11">
        <v>0</v>
      </c>
      <c r="EF51" s="26">
        <f t="shared" si="9"/>
        <v>0</v>
      </c>
      <c r="EG51" s="9">
        <f t="shared" si="10"/>
        <v>3524</v>
      </c>
      <c r="EH51" s="9">
        <f t="shared" si="11"/>
        <v>0</v>
      </c>
      <c r="EI51" s="11">
        <v>4734</v>
      </c>
      <c r="EJ51" s="11">
        <v>3305</v>
      </c>
      <c r="EK51" s="11">
        <v>2853</v>
      </c>
      <c r="EL51" s="11">
        <v>4030</v>
      </c>
      <c r="EM51" s="11">
        <v>7153</v>
      </c>
      <c r="EN51" s="11">
        <v>3027</v>
      </c>
      <c r="EO51" s="11">
        <v>3956</v>
      </c>
      <c r="EP51" s="11">
        <v>2993</v>
      </c>
      <c r="EQ51" s="11">
        <v>2918</v>
      </c>
      <c r="ER51" s="11">
        <v>2460</v>
      </c>
      <c r="ES51" s="11">
        <v>3809</v>
      </c>
      <c r="ET51" s="11">
        <v>3899</v>
      </c>
      <c r="EU51" s="26">
        <f t="shared" si="12"/>
        <v>45137</v>
      </c>
      <c r="EV51" s="11">
        <v>1406</v>
      </c>
      <c r="EW51" s="11">
        <v>1249</v>
      </c>
      <c r="EX51" s="11">
        <v>1064</v>
      </c>
      <c r="EY51" s="11">
        <v>882</v>
      </c>
      <c r="EZ51" s="11">
        <v>863</v>
      </c>
      <c r="FA51" s="11">
        <v>1255</v>
      </c>
      <c r="FB51" s="11">
        <v>1204</v>
      </c>
      <c r="FC51" s="11">
        <v>1107</v>
      </c>
      <c r="FD51" s="11">
        <v>1541</v>
      </c>
      <c r="FE51" s="11">
        <v>883</v>
      </c>
      <c r="FF51" s="11">
        <v>998</v>
      </c>
      <c r="FG51" s="11">
        <v>1041</v>
      </c>
      <c r="FH51" s="26">
        <f t="shared" si="13"/>
        <v>13493</v>
      </c>
      <c r="FI51" s="11">
        <v>3328</v>
      </c>
      <c r="FJ51" s="11">
        <v>2056</v>
      </c>
      <c r="FK51" s="11">
        <v>1789</v>
      </c>
      <c r="FL51" s="11">
        <v>3148</v>
      </c>
      <c r="FM51" s="11">
        <v>6290</v>
      </c>
      <c r="FN51" s="11">
        <v>1772</v>
      </c>
      <c r="FO51" s="11">
        <v>2752</v>
      </c>
      <c r="FP51" s="11">
        <v>1886</v>
      </c>
      <c r="FQ51" s="11">
        <v>1377</v>
      </c>
      <c r="FR51" s="11">
        <v>1577</v>
      </c>
      <c r="FS51" s="11">
        <v>2811</v>
      </c>
      <c r="FT51" s="11">
        <v>2858</v>
      </c>
      <c r="FU51" s="26">
        <f t="shared" si="14"/>
        <v>31644</v>
      </c>
      <c r="FV51" s="11">
        <v>0</v>
      </c>
      <c r="FW51" s="11">
        <v>0</v>
      </c>
      <c r="FX51" s="11">
        <v>0</v>
      </c>
      <c r="FY51" s="11">
        <v>0</v>
      </c>
      <c r="FZ51" s="11">
        <v>0</v>
      </c>
      <c r="GA51" s="11">
        <v>0</v>
      </c>
      <c r="GB51" s="11">
        <v>0</v>
      </c>
      <c r="GC51" s="11">
        <v>0</v>
      </c>
      <c r="GD51" s="11">
        <v>0</v>
      </c>
      <c r="GE51" s="11">
        <v>0</v>
      </c>
      <c r="GF51" s="11">
        <v>0</v>
      </c>
      <c r="GG51" s="11">
        <v>0</v>
      </c>
      <c r="GH51" s="26">
        <f t="shared" si="15"/>
        <v>0</v>
      </c>
      <c r="GI51" s="11">
        <v>0</v>
      </c>
      <c r="GJ51" s="11">
        <v>0</v>
      </c>
      <c r="GK51" s="11">
        <v>0</v>
      </c>
      <c r="GL51" s="11">
        <v>0</v>
      </c>
      <c r="GM51" s="11">
        <v>0</v>
      </c>
      <c r="GN51" s="11">
        <v>0</v>
      </c>
      <c r="GO51" s="11">
        <v>0</v>
      </c>
      <c r="GP51" s="11">
        <v>0</v>
      </c>
      <c r="GQ51" s="11">
        <v>0</v>
      </c>
      <c r="GR51" s="11">
        <v>0</v>
      </c>
      <c r="GS51" s="11">
        <v>0</v>
      </c>
      <c r="GT51" s="11">
        <v>0</v>
      </c>
      <c r="GU51" s="26">
        <f t="shared" si="16"/>
        <v>0</v>
      </c>
      <c r="GV51" s="11">
        <v>0</v>
      </c>
      <c r="GW51" s="11">
        <v>0</v>
      </c>
      <c r="GX51" s="11">
        <v>0</v>
      </c>
      <c r="GY51" s="11">
        <v>0</v>
      </c>
      <c r="GZ51" s="11">
        <v>0</v>
      </c>
      <c r="HA51" s="11">
        <v>0</v>
      </c>
      <c r="HB51" s="11">
        <v>0</v>
      </c>
      <c r="HC51" s="11">
        <v>0</v>
      </c>
      <c r="HD51" s="11">
        <v>0</v>
      </c>
      <c r="HE51" s="11">
        <v>0</v>
      </c>
      <c r="HF51" s="11">
        <v>0</v>
      </c>
      <c r="HG51" s="11">
        <v>0</v>
      </c>
      <c r="HH51" s="26">
        <f t="shared" si="17"/>
        <v>0</v>
      </c>
      <c r="HI51" s="11">
        <v>0</v>
      </c>
      <c r="HJ51" s="11">
        <v>0</v>
      </c>
      <c r="HK51" s="11">
        <v>0</v>
      </c>
      <c r="HL51" s="11">
        <v>0</v>
      </c>
      <c r="HM51" s="11">
        <v>0</v>
      </c>
      <c r="HN51" s="11">
        <v>0</v>
      </c>
      <c r="HO51" s="11">
        <v>0</v>
      </c>
      <c r="HP51" s="11">
        <v>0</v>
      </c>
      <c r="HQ51" s="11">
        <v>0</v>
      </c>
      <c r="HR51" s="11">
        <v>0</v>
      </c>
      <c r="HS51" s="11">
        <v>0</v>
      </c>
      <c r="HT51" s="11">
        <v>0</v>
      </c>
      <c r="HU51" s="26">
        <f t="shared" si="18"/>
        <v>0</v>
      </c>
      <c r="HV51" s="11">
        <v>0</v>
      </c>
      <c r="HW51" s="11">
        <v>0</v>
      </c>
      <c r="HX51" s="11">
        <v>0</v>
      </c>
      <c r="HY51" s="11">
        <v>0</v>
      </c>
      <c r="HZ51" s="11">
        <v>0</v>
      </c>
      <c r="IA51" s="11">
        <v>0</v>
      </c>
      <c r="IB51" s="11">
        <v>0</v>
      </c>
      <c r="IC51" s="11">
        <v>0</v>
      </c>
      <c r="ID51" s="11">
        <v>0</v>
      </c>
      <c r="IE51" s="11">
        <v>0</v>
      </c>
      <c r="IF51" s="11">
        <v>0</v>
      </c>
      <c r="IG51" s="11">
        <v>0</v>
      </c>
      <c r="IH51" s="26">
        <f t="shared" si="19"/>
        <v>0</v>
      </c>
      <c r="II51" s="9">
        <f t="shared" si="20"/>
        <v>45137</v>
      </c>
      <c r="IJ51" s="9">
        <f t="shared" si="21"/>
        <v>0</v>
      </c>
      <c r="IK51" s="11">
        <v>11437</v>
      </c>
      <c r="IL51" s="11">
        <v>11168</v>
      </c>
      <c r="IM51" s="11">
        <v>10692</v>
      </c>
      <c r="IN51" s="11">
        <v>12967</v>
      </c>
      <c r="IO51" s="11">
        <v>14277</v>
      </c>
      <c r="IP51" s="11">
        <v>11378</v>
      </c>
      <c r="IQ51" s="11">
        <v>11789</v>
      </c>
      <c r="IR51" s="11">
        <v>10658</v>
      </c>
      <c r="IS51" s="11">
        <v>7537</v>
      </c>
      <c r="IT51" s="11">
        <v>1157</v>
      </c>
      <c r="IU51" s="11">
        <v>10682</v>
      </c>
      <c r="IV51" s="11">
        <v>10820</v>
      </c>
      <c r="IW51" s="27">
        <f t="shared" si="22"/>
        <v>124562</v>
      </c>
      <c r="IX51" s="11">
        <v>7048</v>
      </c>
      <c r="IY51" s="11">
        <v>6642</v>
      </c>
      <c r="IZ51" s="11">
        <v>6597</v>
      </c>
      <c r="JA51" s="11">
        <v>7180</v>
      </c>
      <c r="JB51" s="11">
        <v>7233</v>
      </c>
      <c r="JC51" s="11">
        <v>6659</v>
      </c>
      <c r="JD51" s="11">
        <v>6913</v>
      </c>
      <c r="JE51" s="11">
        <v>6323</v>
      </c>
      <c r="JF51" s="11">
        <v>5397</v>
      </c>
      <c r="JG51" s="11">
        <v>6851</v>
      </c>
      <c r="JH51" s="11">
        <v>6021</v>
      </c>
      <c r="JI51" s="11">
        <v>6307</v>
      </c>
      <c r="JJ51" s="27">
        <f t="shared" si="23"/>
        <v>79171</v>
      </c>
      <c r="JK51" s="11">
        <v>4262</v>
      </c>
      <c r="JL51" s="11">
        <v>4385</v>
      </c>
      <c r="JM51" s="11">
        <v>3969</v>
      </c>
      <c r="JN51" s="11">
        <v>5568</v>
      </c>
      <c r="JO51" s="11">
        <v>6815</v>
      </c>
      <c r="JP51" s="11">
        <v>4523</v>
      </c>
      <c r="JQ51" s="11">
        <v>4672</v>
      </c>
      <c r="JR51" s="11">
        <v>4161</v>
      </c>
      <c r="JS51" s="11">
        <v>2029</v>
      </c>
      <c r="JT51" s="11">
        <v>4091</v>
      </c>
      <c r="JU51" s="11">
        <v>4481</v>
      </c>
      <c r="JV51" s="11">
        <v>4351</v>
      </c>
      <c r="JW51" s="27">
        <f t="shared" si="24"/>
        <v>53307</v>
      </c>
      <c r="JX51" s="11">
        <v>127</v>
      </c>
      <c r="JY51" s="11">
        <v>141</v>
      </c>
      <c r="JZ51" s="11">
        <v>126</v>
      </c>
      <c r="KA51" s="11">
        <v>219</v>
      </c>
      <c r="KB51" s="11">
        <v>229</v>
      </c>
      <c r="KC51" s="11">
        <v>196</v>
      </c>
      <c r="KD51" s="11">
        <v>204</v>
      </c>
      <c r="KE51" s="11">
        <v>174</v>
      </c>
      <c r="KF51" s="11">
        <v>111</v>
      </c>
      <c r="KG51" s="11">
        <v>215</v>
      </c>
      <c r="KH51" s="11">
        <v>180</v>
      </c>
      <c r="KI51" s="11">
        <v>162</v>
      </c>
      <c r="KJ51" s="27">
        <f t="shared" si="25"/>
        <v>2084</v>
      </c>
      <c r="KK51" s="11">
        <v>267</v>
      </c>
      <c r="KL51" s="11">
        <v>233</v>
      </c>
      <c r="KM51" s="11">
        <v>259</v>
      </c>
      <c r="KN51" s="11">
        <v>288</v>
      </c>
      <c r="KO51" s="11">
        <v>270</v>
      </c>
      <c r="KP51" s="11">
        <v>251</v>
      </c>
      <c r="KQ51" s="11">
        <v>336</v>
      </c>
      <c r="KR51" s="11">
        <v>328</v>
      </c>
      <c r="KS51" s="11">
        <v>253</v>
      </c>
      <c r="KT51" s="11">
        <v>375</v>
      </c>
      <c r="KU51" s="11">
        <v>240</v>
      </c>
      <c r="KV51" s="11">
        <v>264</v>
      </c>
      <c r="KW51" s="27">
        <f t="shared" si="26"/>
        <v>3364</v>
      </c>
      <c r="KX51" s="11">
        <v>267</v>
      </c>
      <c r="KY51" s="11">
        <v>233</v>
      </c>
      <c r="KZ51" s="11">
        <v>259</v>
      </c>
      <c r="LA51" s="11">
        <v>288</v>
      </c>
      <c r="LB51" s="11">
        <v>270</v>
      </c>
      <c r="LC51" s="11">
        <v>251</v>
      </c>
      <c r="LD51" s="11">
        <v>336</v>
      </c>
      <c r="LE51" s="11">
        <v>328</v>
      </c>
      <c r="LF51" s="11">
        <v>253</v>
      </c>
      <c r="LG51" s="11">
        <v>375</v>
      </c>
      <c r="LH51" s="11">
        <v>240</v>
      </c>
      <c r="LI51" s="11">
        <v>264</v>
      </c>
      <c r="LJ51" s="27">
        <f t="shared" si="27"/>
        <v>3364</v>
      </c>
      <c r="LK51" s="11">
        <v>0</v>
      </c>
      <c r="LL51" s="11">
        <v>0</v>
      </c>
      <c r="LM51" s="11">
        <v>0</v>
      </c>
      <c r="LN51" s="11">
        <v>0</v>
      </c>
      <c r="LO51" s="11">
        <v>0</v>
      </c>
      <c r="LP51" s="11">
        <v>0</v>
      </c>
      <c r="LQ51" s="11">
        <v>0</v>
      </c>
      <c r="LR51" s="11">
        <v>0</v>
      </c>
      <c r="LS51" s="11">
        <v>0</v>
      </c>
      <c r="LT51" s="11">
        <v>0</v>
      </c>
      <c r="LU51" s="11">
        <v>0</v>
      </c>
      <c r="LV51" s="11">
        <v>0</v>
      </c>
      <c r="LW51" s="27">
        <f t="shared" si="28"/>
        <v>0</v>
      </c>
      <c r="LX51" s="11">
        <v>0</v>
      </c>
      <c r="LY51" s="11">
        <v>0</v>
      </c>
      <c r="LZ51" s="11">
        <v>0</v>
      </c>
      <c r="MA51" s="11">
        <v>0</v>
      </c>
      <c r="MB51" s="11">
        <v>0</v>
      </c>
      <c r="MC51" s="11">
        <v>0</v>
      </c>
      <c r="MD51" s="11">
        <v>0</v>
      </c>
      <c r="ME51" s="11">
        <v>0</v>
      </c>
      <c r="MF51" s="11">
        <v>0</v>
      </c>
      <c r="MG51" s="11">
        <v>0</v>
      </c>
      <c r="MH51" s="11">
        <v>0</v>
      </c>
      <c r="MI51" s="11">
        <v>0</v>
      </c>
      <c r="MJ51" s="27">
        <f t="shared" si="29"/>
        <v>0</v>
      </c>
      <c r="MK51" s="11">
        <v>934</v>
      </c>
      <c r="ML51" s="11">
        <v>924</v>
      </c>
      <c r="MM51" s="11">
        <v>903</v>
      </c>
      <c r="MN51" s="11">
        <v>891</v>
      </c>
      <c r="MO51" s="11">
        <v>914</v>
      </c>
      <c r="MP51" s="11">
        <v>954</v>
      </c>
      <c r="MQ51" s="11">
        <v>867</v>
      </c>
      <c r="MR51" s="11">
        <v>787</v>
      </c>
      <c r="MS51" s="11">
        <v>756</v>
      </c>
      <c r="MT51" s="11">
        <v>881</v>
      </c>
      <c r="MU51" s="11">
        <v>889</v>
      </c>
      <c r="MV51" s="11">
        <v>904</v>
      </c>
      <c r="MW51" s="27">
        <f t="shared" si="30"/>
        <v>10604</v>
      </c>
      <c r="MX51" s="11">
        <v>934</v>
      </c>
      <c r="MY51" s="11">
        <v>924</v>
      </c>
      <c r="MZ51" s="11">
        <v>903</v>
      </c>
      <c r="NA51" s="11">
        <v>891</v>
      </c>
      <c r="NB51" s="11">
        <v>914</v>
      </c>
      <c r="NC51" s="11">
        <v>954</v>
      </c>
      <c r="ND51" s="11">
        <v>867</v>
      </c>
      <c r="NE51" s="11">
        <v>787</v>
      </c>
      <c r="NF51" s="11">
        <v>756</v>
      </c>
      <c r="NG51" s="11">
        <v>881</v>
      </c>
      <c r="NH51" s="11">
        <v>889</v>
      </c>
      <c r="NI51" s="11">
        <v>904</v>
      </c>
      <c r="NJ51" s="27">
        <f t="shared" si="31"/>
        <v>10604</v>
      </c>
      <c r="NK51" s="11">
        <v>0</v>
      </c>
      <c r="NL51" s="11">
        <v>0</v>
      </c>
      <c r="NM51" s="11">
        <v>0</v>
      </c>
      <c r="NN51" s="11">
        <v>0</v>
      </c>
      <c r="NO51" s="11">
        <v>0</v>
      </c>
      <c r="NP51" s="11">
        <v>0</v>
      </c>
      <c r="NQ51" s="11">
        <v>0</v>
      </c>
      <c r="NR51" s="11">
        <v>0</v>
      </c>
      <c r="NS51" s="11">
        <v>0</v>
      </c>
      <c r="NT51" s="11">
        <v>0</v>
      </c>
      <c r="NU51" s="11">
        <v>0</v>
      </c>
      <c r="NV51" s="11">
        <v>0</v>
      </c>
      <c r="NW51" s="27">
        <f t="shared" si="32"/>
        <v>0</v>
      </c>
      <c r="NX51" s="11">
        <v>0</v>
      </c>
      <c r="NY51" s="11">
        <v>0</v>
      </c>
      <c r="NZ51" s="11">
        <v>0</v>
      </c>
      <c r="OA51" s="11">
        <v>0</v>
      </c>
      <c r="OB51" s="11">
        <v>0</v>
      </c>
      <c r="OC51" s="11">
        <v>0</v>
      </c>
      <c r="OD51" s="11">
        <v>0</v>
      </c>
      <c r="OE51" s="11">
        <v>0</v>
      </c>
      <c r="OF51" s="11">
        <v>0</v>
      </c>
      <c r="OG51" s="11">
        <v>0</v>
      </c>
      <c r="OH51" s="11">
        <v>0</v>
      </c>
      <c r="OI51" s="11">
        <v>0</v>
      </c>
      <c r="OJ51" s="27">
        <f t="shared" si="33"/>
        <v>0</v>
      </c>
      <c r="OK51" s="11">
        <v>1069</v>
      </c>
      <c r="OL51" s="11">
        <v>1153</v>
      </c>
      <c r="OM51" s="11">
        <v>1062</v>
      </c>
      <c r="ON51" s="11">
        <v>1079</v>
      </c>
      <c r="OO51" s="11">
        <v>1165</v>
      </c>
      <c r="OP51" s="11">
        <v>1081</v>
      </c>
      <c r="OQ51" s="11">
        <v>1253</v>
      </c>
      <c r="OR51" s="11">
        <v>1093</v>
      </c>
      <c r="OS51" s="11">
        <v>1098</v>
      </c>
      <c r="OT51" s="11">
        <v>1305</v>
      </c>
      <c r="OU51" s="11">
        <v>1219</v>
      </c>
      <c r="OV51" s="11">
        <v>1314</v>
      </c>
      <c r="OW51" s="27">
        <f t="shared" si="34"/>
        <v>13891</v>
      </c>
      <c r="OX51" s="11">
        <v>1069</v>
      </c>
      <c r="OY51" s="11">
        <v>1153</v>
      </c>
      <c r="OZ51" s="11">
        <v>1062</v>
      </c>
      <c r="PA51" s="11">
        <v>1079</v>
      </c>
      <c r="PB51" s="11">
        <v>1165</v>
      </c>
      <c r="PC51" s="11">
        <v>1081</v>
      </c>
      <c r="PD51" s="11">
        <v>1253</v>
      </c>
      <c r="PE51" s="11">
        <v>1094</v>
      </c>
      <c r="PF51" s="11">
        <v>1098</v>
      </c>
      <c r="PG51" s="11">
        <v>1305</v>
      </c>
      <c r="PH51" s="11">
        <v>1219</v>
      </c>
      <c r="PI51" s="11">
        <v>1314</v>
      </c>
      <c r="PJ51" s="27">
        <f t="shared" si="35"/>
        <v>13892</v>
      </c>
      <c r="PK51" s="11">
        <v>0</v>
      </c>
      <c r="PL51" s="11">
        <v>0</v>
      </c>
      <c r="PM51" s="11">
        <v>0</v>
      </c>
      <c r="PN51" s="11">
        <v>0</v>
      </c>
      <c r="PO51" s="11">
        <v>0</v>
      </c>
      <c r="PP51" s="11">
        <v>0</v>
      </c>
      <c r="PQ51" s="11">
        <v>0</v>
      </c>
      <c r="PR51" s="11">
        <v>0</v>
      </c>
      <c r="PS51" s="11">
        <v>0</v>
      </c>
      <c r="PT51" s="11">
        <v>0</v>
      </c>
      <c r="PU51" s="11">
        <v>0</v>
      </c>
      <c r="PV51" s="11">
        <v>0</v>
      </c>
      <c r="PW51" s="27">
        <f t="shared" si="36"/>
        <v>0</v>
      </c>
      <c r="PX51" s="11">
        <v>0</v>
      </c>
      <c r="PY51" s="11">
        <v>0</v>
      </c>
      <c r="PZ51" s="11">
        <v>0</v>
      </c>
      <c r="QA51" s="11">
        <v>0</v>
      </c>
      <c r="QB51" s="11">
        <v>0</v>
      </c>
      <c r="QC51" s="11">
        <v>0</v>
      </c>
      <c r="QD51" s="11">
        <v>0</v>
      </c>
      <c r="QE51" s="11">
        <v>0</v>
      </c>
      <c r="QF51" s="11">
        <v>0</v>
      </c>
      <c r="QG51" s="11">
        <v>0</v>
      </c>
      <c r="QH51" s="11">
        <v>0</v>
      </c>
      <c r="QI51" s="11">
        <v>0</v>
      </c>
      <c r="QJ51" s="27">
        <f t="shared" si="37"/>
        <v>0</v>
      </c>
      <c r="QK51" s="11">
        <v>0</v>
      </c>
      <c r="QL51" s="11">
        <v>0</v>
      </c>
      <c r="QM51" s="11">
        <v>0</v>
      </c>
      <c r="QN51" s="11">
        <v>0</v>
      </c>
      <c r="QO51" s="11">
        <v>0</v>
      </c>
      <c r="QP51" s="11">
        <v>0</v>
      </c>
      <c r="QQ51" s="11">
        <v>0</v>
      </c>
      <c r="QR51" s="11">
        <v>0</v>
      </c>
      <c r="QS51" s="11">
        <v>0</v>
      </c>
      <c r="QT51" s="11">
        <v>0</v>
      </c>
      <c r="QU51" s="11">
        <v>0</v>
      </c>
      <c r="QV51" s="11">
        <v>0</v>
      </c>
      <c r="QW51" s="27">
        <f t="shared" si="38"/>
        <v>0</v>
      </c>
      <c r="QX51" s="11">
        <v>18632</v>
      </c>
      <c r="QY51" s="11">
        <v>18790</v>
      </c>
      <c r="QZ51" s="11">
        <v>15832</v>
      </c>
      <c r="RA51" s="11">
        <v>19602</v>
      </c>
      <c r="RB51" s="11">
        <v>23150</v>
      </c>
      <c r="RC51" s="11">
        <v>16740</v>
      </c>
      <c r="RD51" s="11">
        <v>20466</v>
      </c>
      <c r="RE51" s="11">
        <v>18066</v>
      </c>
      <c r="RF51" s="11">
        <v>17227</v>
      </c>
      <c r="RG51" s="11">
        <v>19916</v>
      </c>
      <c r="RH51" s="11">
        <v>17703</v>
      </c>
      <c r="RI51" s="11">
        <v>18038</v>
      </c>
      <c r="RJ51" s="27">
        <f t="shared" si="39"/>
        <v>224162</v>
      </c>
      <c r="RK51" s="11">
        <v>0</v>
      </c>
      <c r="RL51" s="11">
        <v>0</v>
      </c>
      <c r="RM51" s="11">
        <v>0</v>
      </c>
      <c r="RN51" s="11">
        <v>0</v>
      </c>
      <c r="RO51" s="11">
        <v>0</v>
      </c>
      <c r="RP51" s="11">
        <v>0</v>
      </c>
      <c r="RQ51" s="11">
        <v>0</v>
      </c>
      <c r="RR51" s="11">
        <v>0</v>
      </c>
      <c r="RS51" s="11">
        <v>0</v>
      </c>
      <c r="RT51" s="11">
        <v>0</v>
      </c>
      <c r="RU51" s="11">
        <v>0</v>
      </c>
      <c r="RV51" s="11">
        <v>0</v>
      </c>
      <c r="RW51" s="27">
        <f t="shared" si="40"/>
        <v>0</v>
      </c>
      <c r="RX51" s="11">
        <v>0</v>
      </c>
      <c r="RY51" s="11">
        <v>0</v>
      </c>
      <c r="RZ51" s="11">
        <v>0</v>
      </c>
      <c r="SA51" s="11">
        <v>0</v>
      </c>
      <c r="SB51" s="11">
        <v>0</v>
      </c>
      <c r="SC51" s="11">
        <v>0</v>
      </c>
      <c r="SD51" s="11">
        <v>0</v>
      </c>
      <c r="SE51" s="11">
        <v>0</v>
      </c>
      <c r="SF51" s="11">
        <v>0</v>
      </c>
      <c r="SG51" s="11">
        <v>0</v>
      </c>
      <c r="SH51" s="11">
        <v>0</v>
      </c>
      <c r="SI51" s="11">
        <v>0</v>
      </c>
      <c r="SJ51" s="27">
        <f t="shared" si="41"/>
        <v>0</v>
      </c>
      <c r="SK51" s="11">
        <v>827</v>
      </c>
      <c r="SL51" s="11">
        <v>671</v>
      </c>
      <c r="SM51" s="11">
        <v>689</v>
      </c>
      <c r="SN51" s="11">
        <v>681</v>
      </c>
      <c r="SO51" s="11">
        <v>767</v>
      </c>
      <c r="SP51" s="11">
        <v>550</v>
      </c>
      <c r="SQ51" s="11">
        <v>756</v>
      </c>
      <c r="SR51" s="11">
        <v>737</v>
      </c>
      <c r="SS51" s="11">
        <v>714</v>
      </c>
      <c r="ST51" s="11">
        <v>691</v>
      </c>
      <c r="SU51" s="11">
        <v>626</v>
      </c>
      <c r="SV51" s="11">
        <v>685</v>
      </c>
      <c r="SW51" s="27">
        <f t="shared" si="42"/>
        <v>8394</v>
      </c>
      <c r="SX51" s="11" t="s">
        <v>2664</v>
      </c>
      <c r="SY51" s="11">
        <v>1365</v>
      </c>
      <c r="SZ51" s="11">
        <v>1352</v>
      </c>
      <c r="TA51" s="11">
        <v>1306</v>
      </c>
      <c r="TB51" s="11">
        <v>1408</v>
      </c>
      <c r="TC51" s="11">
        <v>1406</v>
      </c>
      <c r="TD51" s="11">
        <v>1438</v>
      </c>
      <c r="TE51" s="11">
        <v>1711</v>
      </c>
      <c r="TF51" s="11">
        <v>1600</v>
      </c>
      <c r="TG51" s="11">
        <v>1060</v>
      </c>
      <c r="TH51" s="11">
        <v>1496</v>
      </c>
      <c r="TI51" s="11">
        <v>1356</v>
      </c>
      <c r="TJ51" s="11">
        <v>1401</v>
      </c>
      <c r="TK51" s="27">
        <f t="shared" si="43"/>
        <v>16899</v>
      </c>
      <c r="TL51" s="11">
        <v>1483</v>
      </c>
      <c r="TM51" s="11">
        <v>1608</v>
      </c>
      <c r="TN51" s="11">
        <v>1480</v>
      </c>
      <c r="TO51" s="11">
        <v>1728</v>
      </c>
      <c r="TP51" s="11">
        <v>1732</v>
      </c>
      <c r="TQ51" s="11">
        <v>1744</v>
      </c>
      <c r="TR51" s="11">
        <v>1930</v>
      </c>
      <c r="TS51" s="11">
        <v>1872</v>
      </c>
      <c r="TT51" s="11">
        <v>1632</v>
      </c>
      <c r="TU51" s="11">
        <v>1980</v>
      </c>
      <c r="TV51" s="11">
        <v>1977</v>
      </c>
      <c r="TW51" s="11">
        <v>2132</v>
      </c>
      <c r="TX51" s="27">
        <f t="shared" si="44"/>
        <v>21298</v>
      </c>
      <c r="TY51" s="11">
        <v>44</v>
      </c>
      <c r="TZ51" s="11">
        <v>0</v>
      </c>
      <c r="UA51" s="11">
        <v>0</v>
      </c>
    </row>
    <row r="52" spans="1:547" ht="16" customHeight="1" x14ac:dyDescent="0.35">
      <c r="A52" s="11" t="s">
        <v>2691</v>
      </c>
      <c r="B52" s="11">
        <v>55062</v>
      </c>
      <c r="C52" s="11">
        <v>18533</v>
      </c>
      <c r="D52" s="11">
        <v>30566</v>
      </c>
      <c r="E52" s="11">
        <v>5963</v>
      </c>
      <c r="F52" s="11">
        <v>284</v>
      </c>
      <c r="G52" s="11">
        <v>288</v>
      </c>
      <c r="H52" s="11">
        <v>344</v>
      </c>
      <c r="I52" s="11">
        <v>480</v>
      </c>
      <c r="J52" s="11">
        <v>292</v>
      </c>
      <c r="K52" s="11">
        <v>312</v>
      </c>
      <c r="L52" s="11">
        <v>484</v>
      </c>
      <c r="M52" s="11">
        <v>440</v>
      </c>
      <c r="N52" s="11">
        <v>356</v>
      </c>
      <c r="O52" s="11">
        <v>404</v>
      </c>
      <c r="P52" s="11" t="s">
        <v>2863</v>
      </c>
      <c r="Q52" s="11">
        <v>444</v>
      </c>
      <c r="R52" s="11">
        <v>432</v>
      </c>
      <c r="S52" s="26">
        <f t="shared" si="0"/>
        <v>4560</v>
      </c>
      <c r="T52" s="11">
        <v>56</v>
      </c>
      <c r="U52" s="11">
        <v>52</v>
      </c>
      <c r="V52" s="11">
        <v>48</v>
      </c>
      <c r="W52" s="11">
        <v>44</v>
      </c>
      <c r="X52" s="11">
        <v>48</v>
      </c>
      <c r="Y52" s="11">
        <v>44</v>
      </c>
      <c r="Z52" s="11">
        <v>112</v>
      </c>
      <c r="AA52" s="11">
        <v>80</v>
      </c>
      <c r="AB52" s="11">
        <v>60</v>
      </c>
      <c r="AC52" s="11">
        <v>48</v>
      </c>
      <c r="AD52" s="11">
        <v>64</v>
      </c>
      <c r="AE52" s="11">
        <v>60</v>
      </c>
      <c r="AF52" s="26">
        <f t="shared" si="1"/>
        <v>716</v>
      </c>
      <c r="AG52" s="11">
        <v>196</v>
      </c>
      <c r="AH52" s="11">
        <v>164</v>
      </c>
      <c r="AI52" s="11">
        <v>244</v>
      </c>
      <c r="AJ52" s="11">
        <v>356</v>
      </c>
      <c r="AK52" s="11">
        <v>204</v>
      </c>
      <c r="AL52" s="11">
        <v>216</v>
      </c>
      <c r="AM52" s="11">
        <v>320</v>
      </c>
      <c r="AN52" s="11">
        <v>300</v>
      </c>
      <c r="AO52" s="11">
        <v>232</v>
      </c>
      <c r="AP52" s="11">
        <v>292</v>
      </c>
      <c r="AQ52" s="11">
        <v>328</v>
      </c>
      <c r="AR52" s="11">
        <v>328</v>
      </c>
      <c r="AS52" s="26">
        <f t="shared" si="2"/>
        <v>3180</v>
      </c>
      <c r="AT52" s="11">
        <v>8</v>
      </c>
      <c r="AU52" s="11">
        <v>32</v>
      </c>
      <c r="AV52" s="11">
        <v>8</v>
      </c>
      <c r="AW52" s="11">
        <v>8</v>
      </c>
      <c r="AX52" s="11">
        <v>8</v>
      </c>
      <c r="AY52" s="11">
        <v>8</v>
      </c>
      <c r="AZ52" s="11">
        <v>8</v>
      </c>
      <c r="BA52" s="11">
        <v>8</v>
      </c>
      <c r="BB52" s="11">
        <v>8</v>
      </c>
      <c r="BC52" s="11">
        <v>8</v>
      </c>
      <c r="BD52" s="11">
        <v>8</v>
      </c>
      <c r="BE52" s="11">
        <v>8</v>
      </c>
      <c r="BF52" s="26">
        <f t="shared" si="3"/>
        <v>120</v>
      </c>
      <c r="BG52" s="11">
        <v>24</v>
      </c>
      <c r="BH52" s="11">
        <v>40</v>
      </c>
      <c r="BI52" s="11">
        <v>44</v>
      </c>
      <c r="BJ52" s="11">
        <v>72</v>
      </c>
      <c r="BK52" s="11">
        <v>32</v>
      </c>
      <c r="BL52" s="11">
        <v>44</v>
      </c>
      <c r="BM52" s="11">
        <v>44</v>
      </c>
      <c r="BN52" s="11">
        <v>52</v>
      </c>
      <c r="BO52" s="11">
        <v>56</v>
      </c>
      <c r="BP52" s="11">
        <v>56</v>
      </c>
      <c r="BQ52" s="11">
        <v>44</v>
      </c>
      <c r="BR52" s="11">
        <v>36</v>
      </c>
      <c r="BS52" s="26">
        <f t="shared" si="4"/>
        <v>544</v>
      </c>
      <c r="BT52" s="11">
        <v>0</v>
      </c>
      <c r="BU52" s="11">
        <v>0</v>
      </c>
      <c r="BV52" s="11">
        <v>0</v>
      </c>
      <c r="BW52" s="11">
        <v>0</v>
      </c>
      <c r="BX52" s="11">
        <v>0</v>
      </c>
      <c r="BY52" s="11">
        <v>0</v>
      </c>
      <c r="BZ52" s="11">
        <v>0</v>
      </c>
      <c r="CA52" s="11">
        <v>0</v>
      </c>
      <c r="CB52" s="11">
        <v>0</v>
      </c>
      <c r="CC52" s="11">
        <v>0</v>
      </c>
      <c r="CD52" s="11">
        <v>0</v>
      </c>
      <c r="CE52" s="11">
        <v>0</v>
      </c>
      <c r="CF52" s="26">
        <f t="shared" si="5"/>
        <v>0</v>
      </c>
      <c r="CG52" s="11">
        <v>0</v>
      </c>
      <c r="CH52" s="11">
        <v>0</v>
      </c>
      <c r="CI52" s="11">
        <v>0</v>
      </c>
      <c r="CJ52" s="11">
        <v>0</v>
      </c>
      <c r="CK52" s="11">
        <v>0</v>
      </c>
      <c r="CL52" s="11">
        <v>0</v>
      </c>
      <c r="CM52" s="11">
        <v>0</v>
      </c>
      <c r="CN52" s="11">
        <v>0</v>
      </c>
      <c r="CO52" s="11">
        <v>0</v>
      </c>
      <c r="CP52" s="11">
        <v>0</v>
      </c>
      <c r="CQ52" s="11">
        <v>0</v>
      </c>
      <c r="CR52" s="11">
        <v>0</v>
      </c>
      <c r="CS52" s="26">
        <f t="shared" si="6"/>
        <v>0</v>
      </c>
      <c r="CT52" s="11">
        <v>0</v>
      </c>
      <c r="CU52" s="11">
        <v>0</v>
      </c>
      <c r="CV52" s="11">
        <v>0</v>
      </c>
      <c r="CW52" s="11">
        <v>0</v>
      </c>
      <c r="CX52" s="11">
        <v>0</v>
      </c>
      <c r="CY52" s="11">
        <v>0</v>
      </c>
      <c r="CZ52" s="11">
        <v>0</v>
      </c>
      <c r="DA52" s="11">
        <v>0</v>
      </c>
      <c r="DB52" s="11">
        <v>0</v>
      </c>
      <c r="DC52" s="11">
        <v>0</v>
      </c>
      <c r="DD52" s="11">
        <v>0</v>
      </c>
      <c r="DE52" s="11">
        <v>0</v>
      </c>
      <c r="DF52" s="26">
        <f t="shared" si="7"/>
        <v>0</v>
      </c>
      <c r="DG52" s="11">
        <v>0</v>
      </c>
      <c r="DH52" s="11">
        <v>0</v>
      </c>
      <c r="DI52" s="11">
        <v>0</v>
      </c>
      <c r="DJ52" s="11">
        <v>0</v>
      </c>
      <c r="DK52" s="11">
        <v>0</v>
      </c>
      <c r="DL52" s="11">
        <v>0</v>
      </c>
      <c r="DM52" s="11">
        <v>0</v>
      </c>
      <c r="DN52" s="11">
        <v>0</v>
      </c>
      <c r="DO52" s="11">
        <v>0</v>
      </c>
      <c r="DP52" s="11">
        <v>0</v>
      </c>
      <c r="DQ52" s="11">
        <v>0</v>
      </c>
      <c r="DR52" s="11">
        <v>0</v>
      </c>
      <c r="DS52" s="26">
        <f t="shared" si="8"/>
        <v>0</v>
      </c>
      <c r="DT52" s="11">
        <v>0</v>
      </c>
      <c r="DU52" s="11">
        <v>0</v>
      </c>
      <c r="DV52" s="11">
        <v>0</v>
      </c>
      <c r="DW52" s="11">
        <v>0</v>
      </c>
      <c r="DX52" s="11">
        <v>0</v>
      </c>
      <c r="DY52" s="11">
        <v>0</v>
      </c>
      <c r="DZ52" s="11">
        <v>0</v>
      </c>
      <c r="EA52" s="11">
        <v>0</v>
      </c>
      <c r="EB52" s="11">
        <v>0</v>
      </c>
      <c r="EC52" s="11">
        <v>0</v>
      </c>
      <c r="ED52" s="11">
        <v>0</v>
      </c>
      <c r="EE52" s="11">
        <v>0</v>
      </c>
      <c r="EF52" s="26">
        <f t="shared" si="9"/>
        <v>0</v>
      </c>
      <c r="EG52" s="9">
        <f t="shared" si="10"/>
        <v>4560</v>
      </c>
      <c r="EH52" s="9">
        <f t="shared" si="11"/>
        <v>0</v>
      </c>
      <c r="EI52" s="11">
        <v>5084</v>
      </c>
      <c r="EJ52" s="11">
        <v>4544</v>
      </c>
      <c r="EK52" s="11">
        <v>3776</v>
      </c>
      <c r="EL52" s="11">
        <v>8048</v>
      </c>
      <c r="EM52" s="11">
        <v>5204</v>
      </c>
      <c r="EN52" s="11">
        <v>3860</v>
      </c>
      <c r="EO52" s="11">
        <v>7568</v>
      </c>
      <c r="EP52" s="11">
        <v>11408</v>
      </c>
      <c r="EQ52" s="11">
        <v>4252</v>
      </c>
      <c r="ER52" s="11">
        <v>4832</v>
      </c>
      <c r="ES52" s="11">
        <v>5644</v>
      </c>
      <c r="ET52" s="11">
        <v>4624</v>
      </c>
      <c r="EU52" s="26">
        <f t="shared" si="12"/>
        <v>68844</v>
      </c>
      <c r="EV52" s="11">
        <v>920</v>
      </c>
      <c r="EW52" s="11">
        <v>824</v>
      </c>
      <c r="EX52" s="11">
        <v>716</v>
      </c>
      <c r="EY52" s="11">
        <v>908</v>
      </c>
      <c r="EZ52" s="11">
        <v>912</v>
      </c>
      <c r="FA52" s="11">
        <v>796</v>
      </c>
      <c r="FB52" s="11">
        <v>1648</v>
      </c>
      <c r="FC52" s="11">
        <v>2948</v>
      </c>
      <c r="FD52" s="11">
        <v>852</v>
      </c>
      <c r="FE52" s="11">
        <v>876</v>
      </c>
      <c r="FF52" s="11">
        <v>1048</v>
      </c>
      <c r="FG52" s="11">
        <v>892</v>
      </c>
      <c r="FH52" s="26">
        <f t="shared" si="13"/>
        <v>13340</v>
      </c>
      <c r="FI52" s="11">
        <v>4020</v>
      </c>
      <c r="FJ52" s="11">
        <v>3632</v>
      </c>
      <c r="FK52" s="11">
        <v>2968</v>
      </c>
      <c r="FL52" s="11">
        <v>6876</v>
      </c>
      <c r="FM52" s="11">
        <v>4092</v>
      </c>
      <c r="FN52" s="11">
        <v>2940</v>
      </c>
      <c r="FO52" s="11">
        <v>5664</v>
      </c>
      <c r="FP52" s="11">
        <v>7964</v>
      </c>
      <c r="FQ52" s="11">
        <v>3036</v>
      </c>
      <c r="FR52" s="11">
        <v>3884</v>
      </c>
      <c r="FS52" s="11">
        <v>4492</v>
      </c>
      <c r="FT52" s="11">
        <v>3636</v>
      </c>
      <c r="FU52" s="26">
        <f t="shared" si="14"/>
        <v>53204</v>
      </c>
      <c r="FV52" s="11">
        <v>144</v>
      </c>
      <c r="FW52" s="11">
        <v>88</v>
      </c>
      <c r="FX52" s="11">
        <v>92</v>
      </c>
      <c r="FY52" s="11">
        <v>264</v>
      </c>
      <c r="FZ52" s="11">
        <v>200</v>
      </c>
      <c r="GA52" s="11">
        <v>124</v>
      </c>
      <c r="GB52" s="11">
        <v>256</v>
      </c>
      <c r="GC52" s="11">
        <v>496</v>
      </c>
      <c r="GD52" s="11">
        <v>364</v>
      </c>
      <c r="GE52" s="11">
        <v>72</v>
      </c>
      <c r="GF52" s="11">
        <v>104</v>
      </c>
      <c r="GG52" s="11">
        <v>96</v>
      </c>
      <c r="GH52" s="26">
        <f t="shared" si="15"/>
        <v>2300</v>
      </c>
      <c r="GI52" s="11">
        <v>0</v>
      </c>
      <c r="GJ52" s="11">
        <v>0</v>
      </c>
      <c r="GK52" s="11">
        <v>0</v>
      </c>
      <c r="GL52" s="11">
        <v>0</v>
      </c>
      <c r="GM52" s="11">
        <v>0</v>
      </c>
      <c r="GN52" s="11">
        <v>0</v>
      </c>
      <c r="GO52" s="11">
        <v>0</v>
      </c>
      <c r="GP52" s="11">
        <v>0</v>
      </c>
      <c r="GQ52" s="11">
        <v>0</v>
      </c>
      <c r="GR52" s="11">
        <v>0</v>
      </c>
      <c r="GS52" s="11">
        <v>0</v>
      </c>
      <c r="GT52" s="11">
        <v>0</v>
      </c>
      <c r="GU52" s="26">
        <f t="shared" si="16"/>
        <v>0</v>
      </c>
      <c r="GV52" s="11">
        <v>0</v>
      </c>
      <c r="GW52" s="11">
        <v>0</v>
      </c>
      <c r="GX52" s="11">
        <v>0</v>
      </c>
      <c r="GY52" s="11">
        <v>0</v>
      </c>
      <c r="GZ52" s="11">
        <v>0</v>
      </c>
      <c r="HA52" s="11">
        <v>0</v>
      </c>
      <c r="HB52" s="11">
        <v>0</v>
      </c>
      <c r="HC52" s="11">
        <v>0</v>
      </c>
      <c r="HD52" s="11">
        <v>0</v>
      </c>
      <c r="HE52" s="11">
        <v>0</v>
      </c>
      <c r="HF52" s="11">
        <v>0</v>
      </c>
      <c r="HG52" s="11">
        <v>0</v>
      </c>
      <c r="HH52" s="26">
        <f t="shared" si="17"/>
        <v>0</v>
      </c>
      <c r="HI52" s="11">
        <v>0</v>
      </c>
      <c r="HJ52" s="11">
        <v>0</v>
      </c>
      <c r="HK52" s="11">
        <v>0</v>
      </c>
      <c r="HL52" s="11">
        <v>0</v>
      </c>
      <c r="HM52" s="11">
        <v>0</v>
      </c>
      <c r="HN52" s="11">
        <v>0</v>
      </c>
      <c r="HO52" s="11">
        <v>0</v>
      </c>
      <c r="HP52" s="11">
        <v>0</v>
      </c>
      <c r="HQ52" s="11">
        <v>0</v>
      </c>
      <c r="HR52" s="11">
        <v>0</v>
      </c>
      <c r="HS52" s="11">
        <v>0</v>
      </c>
      <c r="HT52" s="11">
        <v>0</v>
      </c>
      <c r="HU52" s="26">
        <f t="shared" si="18"/>
        <v>0</v>
      </c>
      <c r="HV52" s="11">
        <v>0</v>
      </c>
      <c r="HW52" s="11">
        <v>0</v>
      </c>
      <c r="HX52" s="11">
        <v>0</v>
      </c>
      <c r="HY52" s="11">
        <v>0</v>
      </c>
      <c r="HZ52" s="11">
        <v>0</v>
      </c>
      <c r="IA52" s="11">
        <v>0</v>
      </c>
      <c r="IB52" s="11">
        <v>0</v>
      </c>
      <c r="IC52" s="11">
        <v>0</v>
      </c>
      <c r="ID52" s="11">
        <v>0</v>
      </c>
      <c r="IE52" s="11">
        <v>0</v>
      </c>
      <c r="IF52" s="11">
        <v>0</v>
      </c>
      <c r="IG52" s="11">
        <v>0</v>
      </c>
      <c r="IH52" s="26">
        <f t="shared" si="19"/>
        <v>0</v>
      </c>
      <c r="II52" s="9">
        <f t="shared" si="20"/>
        <v>68844</v>
      </c>
      <c r="IJ52" s="9">
        <f t="shared" si="21"/>
        <v>0</v>
      </c>
      <c r="IK52" s="11">
        <v>46312</v>
      </c>
      <c r="IL52" s="11">
        <v>49384</v>
      </c>
      <c r="IM52" s="11">
        <v>45376</v>
      </c>
      <c r="IN52" s="11">
        <v>63233</v>
      </c>
      <c r="IO52" s="11">
        <v>56533</v>
      </c>
      <c r="IP52" s="11">
        <v>44633</v>
      </c>
      <c r="IQ52" s="11">
        <v>52397</v>
      </c>
      <c r="IR52" s="11">
        <v>51680</v>
      </c>
      <c r="IS52" s="11">
        <v>39623</v>
      </c>
      <c r="IT52" s="11">
        <v>49655</v>
      </c>
      <c r="IU52" s="11">
        <v>47407</v>
      </c>
      <c r="IV52" s="11">
        <v>48716</v>
      </c>
      <c r="IW52" s="27">
        <f t="shared" si="22"/>
        <v>594949</v>
      </c>
      <c r="IX52" s="11">
        <v>19729</v>
      </c>
      <c r="IY52" s="11">
        <v>19058</v>
      </c>
      <c r="IZ52" s="11">
        <v>19004</v>
      </c>
      <c r="JA52" s="11">
        <v>21352</v>
      </c>
      <c r="JB52" s="11">
        <v>20123</v>
      </c>
      <c r="JC52" s="11">
        <v>17784</v>
      </c>
      <c r="JD52" s="11">
        <v>19739</v>
      </c>
      <c r="JE52" s="11">
        <v>23325</v>
      </c>
      <c r="JF52" s="11">
        <v>16683</v>
      </c>
      <c r="JG52" s="11">
        <v>20596</v>
      </c>
      <c r="JH52" s="11">
        <v>17530</v>
      </c>
      <c r="JI52" s="11">
        <v>19298</v>
      </c>
      <c r="JJ52" s="27">
        <f t="shared" si="23"/>
        <v>234221</v>
      </c>
      <c r="JK52" s="11">
        <v>24813</v>
      </c>
      <c r="JL52" s="11">
        <v>28152</v>
      </c>
      <c r="JM52" s="11">
        <v>24430</v>
      </c>
      <c r="JN52" s="11">
        <v>38661</v>
      </c>
      <c r="JO52" s="11">
        <v>33879</v>
      </c>
      <c r="JP52" s="11">
        <v>25205</v>
      </c>
      <c r="JQ52" s="11">
        <v>30517</v>
      </c>
      <c r="JR52" s="11">
        <v>26569</v>
      </c>
      <c r="JS52" s="11">
        <v>21542</v>
      </c>
      <c r="JT52" s="11">
        <v>27104</v>
      </c>
      <c r="JU52" s="11">
        <v>27761</v>
      </c>
      <c r="JV52" s="11">
        <v>27268</v>
      </c>
      <c r="JW52" s="27">
        <f t="shared" si="24"/>
        <v>335901</v>
      </c>
      <c r="JX52" s="11">
        <v>0</v>
      </c>
      <c r="JY52" s="11">
        <v>0</v>
      </c>
      <c r="JZ52" s="11">
        <v>0</v>
      </c>
      <c r="KA52" s="11">
        <v>0</v>
      </c>
      <c r="KB52" s="11">
        <v>0</v>
      </c>
      <c r="KC52" s="11">
        <v>0</v>
      </c>
      <c r="KD52" s="11">
        <v>0</v>
      </c>
      <c r="KE52" s="11">
        <v>0</v>
      </c>
      <c r="KF52" s="11">
        <v>0</v>
      </c>
      <c r="KG52" s="11">
        <v>0</v>
      </c>
      <c r="KH52" s="11">
        <v>0</v>
      </c>
      <c r="KI52" s="11">
        <v>0</v>
      </c>
      <c r="KJ52" s="27">
        <f t="shared" si="25"/>
        <v>0</v>
      </c>
      <c r="KK52" s="11">
        <v>277</v>
      </c>
      <c r="KL52" s="11">
        <v>244</v>
      </c>
      <c r="KM52" s="11">
        <v>202</v>
      </c>
      <c r="KN52" s="11">
        <v>274</v>
      </c>
      <c r="KO52" s="11">
        <v>304</v>
      </c>
      <c r="KP52" s="11">
        <v>163</v>
      </c>
      <c r="KQ52" s="11">
        <v>219</v>
      </c>
      <c r="KR52" s="11">
        <v>300</v>
      </c>
      <c r="KS52" s="11">
        <v>206</v>
      </c>
      <c r="KT52" s="11">
        <v>220</v>
      </c>
      <c r="KU52" s="11">
        <v>291</v>
      </c>
      <c r="KV52" s="11">
        <v>216</v>
      </c>
      <c r="KW52" s="27">
        <f t="shared" si="26"/>
        <v>2916</v>
      </c>
      <c r="KX52" s="11">
        <v>277</v>
      </c>
      <c r="KY52" s="11">
        <v>242</v>
      </c>
      <c r="KZ52" s="11">
        <v>202</v>
      </c>
      <c r="LA52" s="11">
        <v>269</v>
      </c>
      <c r="LB52" s="11">
        <v>299</v>
      </c>
      <c r="LC52" s="11">
        <v>158</v>
      </c>
      <c r="LD52" s="11">
        <v>212</v>
      </c>
      <c r="LE52" s="11">
        <v>296</v>
      </c>
      <c r="LF52" s="11">
        <v>205</v>
      </c>
      <c r="LG52" s="11">
        <v>219</v>
      </c>
      <c r="LH52" s="11">
        <v>286</v>
      </c>
      <c r="LI52" s="11">
        <v>214</v>
      </c>
      <c r="LJ52" s="27">
        <f t="shared" si="27"/>
        <v>2879</v>
      </c>
      <c r="LK52" s="11">
        <v>0</v>
      </c>
      <c r="LL52" s="11">
        <v>2</v>
      </c>
      <c r="LM52" s="11">
        <v>0</v>
      </c>
      <c r="LN52" s="11">
        <v>5</v>
      </c>
      <c r="LO52" s="11">
        <v>5</v>
      </c>
      <c r="LP52" s="11">
        <v>5</v>
      </c>
      <c r="LQ52" s="11">
        <v>7</v>
      </c>
      <c r="LR52" s="11">
        <v>4</v>
      </c>
      <c r="LS52" s="11">
        <v>1</v>
      </c>
      <c r="LT52" s="11">
        <v>1</v>
      </c>
      <c r="LU52" s="11">
        <v>3</v>
      </c>
      <c r="LV52" s="11">
        <v>2</v>
      </c>
      <c r="LW52" s="27">
        <f t="shared" si="28"/>
        <v>35</v>
      </c>
      <c r="LX52" s="11">
        <v>0</v>
      </c>
      <c r="LY52" s="11">
        <v>0</v>
      </c>
      <c r="LZ52" s="11">
        <v>0</v>
      </c>
      <c r="MA52" s="11">
        <v>0</v>
      </c>
      <c r="MB52" s="11">
        <v>0</v>
      </c>
      <c r="MC52" s="11">
        <v>0</v>
      </c>
      <c r="MD52" s="11">
        <v>0</v>
      </c>
      <c r="ME52" s="11">
        <v>0</v>
      </c>
      <c r="MF52" s="11">
        <v>0</v>
      </c>
      <c r="MG52" s="11">
        <v>0</v>
      </c>
      <c r="MH52" s="11">
        <v>0</v>
      </c>
      <c r="MI52" s="11">
        <v>0</v>
      </c>
      <c r="MJ52" s="27">
        <f t="shared" si="29"/>
        <v>0</v>
      </c>
      <c r="MK52" s="11">
        <v>4616</v>
      </c>
      <c r="ML52" s="11">
        <v>4760</v>
      </c>
      <c r="MM52" s="11">
        <v>4600</v>
      </c>
      <c r="MN52" s="11">
        <v>4905</v>
      </c>
      <c r="MO52" s="11">
        <v>4941</v>
      </c>
      <c r="MP52" s="11">
        <v>4611</v>
      </c>
      <c r="MQ52" s="11">
        <v>4706</v>
      </c>
      <c r="MR52" s="11">
        <v>4530</v>
      </c>
      <c r="MS52" s="11">
        <v>4729</v>
      </c>
      <c r="MT52" s="11">
        <v>4988</v>
      </c>
      <c r="MU52" s="11">
        <v>4311</v>
      </c>
      <c r="MV52" s="11">
        <v>4502</v>
      </c>
      <c r="MW52" s="27">
        <f t="shared" si="30"/>
        <v>56199</v>
      </c>
      <c r="MX52" s="11">
        <v>0</v>
      </c>
      <c r="MY52" s="11">
        <v>0</v>
      </c>
      <c r="MZ52" s="11">
        <v>0</v>
      </c>
      <c r="NA52" s="11">
        <v>0</v>
      </c>
      <c r="NB52" s="11">
        <v>0</v>
      </c>
      <c r="NC52" s="11">
        <v>0</v>
      </c>
      <c r="ND52" s="11">
        <v>0</v>
      </c>
      <c r="NE52" s="11">
        <v>0</v>
      </c>
      <c r="NF52" s="11">
        <v>0</v>
      </c>
      <c r="NG52" s="11">
        <v>0</v>
      </c>
      <c r="NH52" s="11">
        <v>0</v>
      </c>
      <c r="NI52" s="11">
        <v>0</v>
      </c>
      <c r="NJ52" s="27">
        <f t="shared" si="31"/>
        <v>0</v>
      </c>
      <c r="NK52" s="11">
        <v>0</v>
      </c>
      <c r="NL52" s="11">
        <v>0</v>
      </c>
      <c r="NM52" s="11">
        <v>0</v>
      </c>
      <c r="NN52" s="11">
        <v>0</v>
      </c>
      <c r="NO52" s="11">
        <v>0</v>
      </c>
      <c r="NP52" s="11">
        <v>0</v>
      </c>
      <c r="NQ52" s="11">
        <v>0</v>
      </c>
      <c r="NR52" s="11">
        <v>0</v>
      </c>
      <c r="NS52" s="11">
        <v>0</v>
      </c>
      <c r="NT52" s="11">
        <v>0</v>
      </c>
      <c r="NU52" s="11">
        <v>0</v>
      </c>
      <c r="NV52" s="11">
        <v>0</v>
      </c>
      <c r="NW52" s="27">
        <f t="shared" si="32"/>
        <v>0</v>
      </c>
      <c r="NX52" s="11">
        <v>0</v>
      </c>
      <c r="NY52" s="11">
        <v>0</v>
      </c>
      <c r="NZ52" s="11">
        <v>0</v>
      </c>
      <c r="OA52" s="11">
        <v>0</v>
      </c>
      <c r="OB52" s="11">
        <v>0</v>
      </c>
      <c r="OC52" s="11">
        <v>0</v>
      </c>
      <c r="OD52" s="11">
        <v>0</v>
      </c>
      <c r="OE52" s="11">
        <v>0</v>
      </c>
      <c r="OF52" s="11">
        <v>0</v>
      </c>
      <c r="OG52" s="11">
        <v>0</v>
      </c>
      <c r="OH52" s="11">
        <v>0</v>
      </c>
      <c r="OI52" s="11">
        <v>0</v>
      </c>
      <c r="OJ52" s="27">
        <f t="shared" si="33"/>
        <v>0</v>
      </c>
      <c r="OK52" s="11">
        <v>1452</v>
      </c>
      <c r="OL52" s="11">
        <v>1599</v>
      </c>
      <c r="OM52" s="11">
        <v>1518</v>
      </c>
      <c r="ON52" s="11">
        <v>1548</v>
      </c>
      <c r="OO52" s="11">
        <v>1577</v>
      </c>
      <c r="OP52" s="11">
        <v>1614</v>
      </c>
      <c r="OQ52" s="11">
        <v>1562</v>
      </c>
      <c r="OR52" s="11">
        <v>1593</v>
      </c>
      <c r="OS52" s="11">
        <v>1814</v>
      </c>
      <c r="OT52" s="11">
        <v>1998</v>
      </c>
      <c r="OU52" s="11">
        <v>1767</v>
      </c>
      <c r="OV52" s="11">
        <v>1792</v>
      </c>
      <c r="OW52" s="27">
        <f t="shared" si="34"/>
        <v>19834</v>
      </c>
      <c r="OX52" s="11">
        <v>0</v>
      </c>
      <c r="OY52" s="11">
        <v>0</v>
      </c>
      <c r="OZ52" s="11">
        <v>0</v>
      </c>
      <c r="PA52" s="11">
        <v>0</v>
      </c>
      <c r="PB52" s="11">
        <v>0</v>
      </c>
      <c r="PC52" s="11">
        <v>0</v>
      </c>
      <c r="PD52" s="11">
        <v>0</v>
      </c>
      <c r="PE52" s="11">
        <v>0</v>
      </c>
      <c r="PF52" s="11">
        <v>0</v>
      </c>
      <c r="PG52" s="11">
        <v>0</v>
      </c>
      <c r="PH52" s="11">
        <v>0</v>
      </c>
      <c r="PI52" s="11">
        <v>0</v>
      </c>
      <c r="PJ52" s="27">
        <f t="shared" si="35"/>
        <v>0</v>
      </c>
      <c r="PK52" s="11">
        <v>0</v>
      </c>
      <c r="PL52" s="11">
        <v>0</v>
      </c>
      <c r="PM52" s="11">
        <v>0</v>
      </c>
      <c r="PN52" s="11">
        <v>0</v>
      </c>
      <c r="PO52" s="11">
        <v>0</v>
      </c>
      <c r="PP52" s="11">
        <v>0</v>
      </c>
      <c r="PQ52" s="11">
        <v>0</v>
      </c>
      <c r="PR52" s="11">
        <v>0</v>
      </c>
      <c r="PS52" s="11">
        <v>0</v>
      </c>
      <c r="PT52" s="11">
        <v>0</v>
      </c>
      <c r="PU52" s="11">
        <v>0</v>
      </c>
      <c r="PV52" s="11">
        <v>0</v>
      </c>
      <c r="PW52" s="27">
        <f t="shared" si="36"/>
        <v>0</v>
      </c>
      <c r="PX52" s="11">
        <v>0</v>
      </c>
      <c r="PY52" s="11">
        <v>0</v>
      </c>
      <c r="PZ52" s="11">
        <v>0</v>
      </c>
      <c r="QA52" s="11">
        <v>0</v>
      </c>
      <c r="QB52" s="11">
        <v>0</v>
      </c>
      <c r="QC52" s="11">
        <v>0</v>
      </c>
      <c r="QD52" s="11">
        <v>0</v>
      </c>
      <c r="QE52" s="11">
        <v>0</v>
      </c>
      <c r="QF52" s="11">
        <v>0</v>
      </c>
      <c r="QG52" s="11">
        <v>0</v>
      </c>
      <c r="QH52" s="11">
        <v>0</v>
      </c>
      <c r="QI52" s="11">
        <v>0</v>
      </c>
      <c r="QJ52" s="27">
        <f t="shared" si="37"/>
        <v>0</v>
      </c>
      <c r="QK52" s="11">
        <v>8537</v>
      </c>
      <c r="QL52" s="11">
        <v>9197</v>
      </c>
      <c r="QM52" s="11">
        <v>8297</v>
      </c>
      <c r="QN52" s="11">
        <v>10004</v>
      </c>
      <c r="QO52" s="11">
        <v>9339</v>
      </c>
      <c r="QP52" s="11">
        <v>9850</v>
      </c>
      <c r="QQ52" s="11">
        <v>9149</v>
      </c>
      <c r="QR52" s="11">
        <v>9117</v>
      </c>
      <c r="QS52" s="11">
        <v>6221</v>
      </c>
      <c r="QT52" s="11">
        <v>8068</v>
      </c>
      <c r="QU52" s="11">
        <v>9190</v>
      </c>
      <c r="QV52" s="11">
        <v>8327</v>
      </c>
      <c r="QW52" s="27">
        <f t="shared" si="38"/>
        <v>105296</v>
      </c>
      <c r="QX52" s="11">
        <v>85701</v>
      </c>
      <c r="QY52" s="11">
        <v>88543</v>
      </c>
      <c r="QZ52" s="11">
        <v>81949</v>
      </c>
      <c r="RA52" s="11">
        <v>104111</v>
      </c>
      <c r="RB52" s="11">
        <v>87046</v>
      </c>
      <c r="RC52" s="11">
        <v>79086</v>
      </c>
      <c r="RD52" s="11">
        <v>84736</v>
      </c>
      <c r="RE52" s="11">
        <v>83079</v>
      </c>
      <c r="RF52" s="11">
        <v>67452</v>
      </c>
      <c r="RG52" s="11">
        <v>88711</v>
      </c>
      <c r="RH52" s="11">
        <v>82122</v>
      </c>
      <c r="RI52" s="11">
        <v>91904</v>
      </c>
      <c r="RJ52" s="27">
        <f t="shared" si="39"/>
        <v>1024440</v>
      </c>
      <c r="RK52" s="11">
        <v>0</v>
      </c>
      <c r="RL52" s="11">
        <v>0</v>
      </c>
      <c r="RM52" s="11">
        <v>0</v>
      </c>
      <c r="RN52" s="11">
        <v>0</v>
      </c>
      <c r="RO52" s="11">
        <v>0</v>
      </c>
      <c r="RP52" s="11">
        <v>0</v>
      </c>
      <c r="RQ52" s="11">
        <v>0</v>
      </c>
      <c r="RR52" s="11">
        <v>0</v>
      </c>
      <c r="RS52" s="11">
        <v>0</v>
      </c>
      <c r="RT52" s="11">
        <v>0</v>
      </c>
      <c r="RU52" s="11">
        <v>0</v>
      </c>
      <c r="RV52" s="11">
        <v>0</v>
      </c>
      <c r="RW52" s="27">
        <f t="shared" si="40"/>
        <v>0</v>
      </c>
      <c r="RX52" s="11">
        <v>0</v>
      </c>
      <c r="RY52" s="11">
        <v>406</v>
      </c>
      <c r="RZ52" s="11">
        <v>1279</v>
      </c>
      <c r="SA52" s="11">
        <v>220</v>
      </c>
      <c r="SB52" s="11">
        <v>964</v>
      </c>
      <c r="SC52" s="11">
        <v>473</v>
      </c>
      <c r="SD52" s="11">
        <v>942</v>
      </c>
      <c r="SE52" s="11">
        <v>845</v>
      </c>
      <c r="SF52" s="11">
        <v>475</v>
      </c>
      <c r="SG52" s="11">
        <v>1251</v>
      </c>
      <c r="SH52" s="11">
        <v>0</v>
      </c>
      <c r="SI52" s="11">
        <v>0</v>
      </c>
      <c r="SJ52" s="27">
        <f t="shared" si="41"/>
        <v>6855</v>
      </c>
      <c r="SK52" s="11">
        <v>655</v>
      </c>
      <c r="SL52" s="11">
        <v>374</v>
      </c>
      <c r="SM52" s="11">
        <v>468</v>
      </c>
      <c r="SN52" s="11">
        <v>689</v>
      </c>
      <c r="SO52" s="11">
        <v>348</v>
      </c>
      <c r="SP52" s="11">
        <v>54</v>
      </c>
      <c r="SQ52" s="11">
        <v>267</v>
      </c>
      <c r="SR52" s="11">
        <v>1161</v>
      </c>
      <c r="SS52" s="11">
        <v>167</v>
      </c>
      <c r="ST52" s="11">
        <v>351</v>
      </c>
      <c r="SU52" s="11">
        <v>382</v>
      </c>
      <c r="SV52" s="11">
        <v>631</v>
      </c>
      <c r="SW52" s="27">
        <f t="shared" si="42"/>
        <v>5547</v>
      </c>
      <c r="SX52" s="11" t="s">
        <v>1377</v>
      </c>
      <c r="SY52" s="11">
        <v>7364</v>
      </c>
      <c r="SZ52" s="11">
        <v>8132</v>
      </c>
      <c r="TA52" s="11">
        <v>7216</v>
      </c>
      <c r="TB52" s="11">
        <v>7925</v>
      </c>
      <c r="TC52" s="11">
        <v>7015</v>
      </c>
      <c r="TD52" s="11">
        <v>6874</v>
      </c>
      <c r="TE52" s="11">
        <v>6417</v>
      </c>
      <c r="TF52" s="11">
        <v>7800</v>
      </c>
      <c r="TG52" s="11">
        <v>5950</v>
      </c>
      <c r="TH52" s="11">
        <v>7514</v>
      </c>
      <c r="TI52" s="11">
        <v>8596</v>
      </c>
      <c r="TJ52" s="11">
        <v>8485</v>
      </c>
      <c r="TK52" s="27">
        <f t="shared" si="43"/>
        <v>89288</v>
      </c>
      <c r="TL52" s="11">
        <v>0</v>
      </c>
      <c r="TM52" s="11">
        <v>0</v>
      </c>
      <c r="TN52" s="11">
        <v>27243</v>
      </c>
      <c r="TO52" s="11">
        <v>0</v>
      </c>
      <c r="TP52" s="11">
        <v>0</v>
      </c>
      <c r="TQ52" s="11">
        <v>24608</v>
      </c>
      <c r="TR52" s="11">
        <v>0</v>
      </c>
      <c r="TS52" s="11">
        <v>0</v>
      </c>
      <c r="TT52" s="11">
        <v>22859</v>
      </c>
      <c r="TU52" s="11">
        <v>0</v>
      </c>
      <c r="TV52" s="11">
        <v>0</v>
      </c>
      <c r="TW52" s="11">
        <v>24167</v>
      </c>
      <c r="TX52" s="27">
        <f t="shared" si="44"/>
        <v>98877</v>
      </c>
      <c r="TY52" s="11">
        <v>124</v>
      </c>
      <c r="TZ52" s="11">
        <v>40</v>
      </c>
      <c r="UA52" s="11">
        <v>55</v>
      </c>
    </row>
    <row r="53" spans="1:547" ht="16" customHeight="1" x14ac:dyDescent="0.35">
      <c r="A53" s="11" t="s">
        <v>2692</v>
      </c>
      <c r="B53" s="11">
        <v>17351</v>
      </c>
      <c r="C53" s="11">
        <v>5109</v>
      </c>
      <c r="D53" s="11">
        <v>10757</v>
      </c>
      <c r="E53" s="11">
        <v>1485</v>
      </c>
      <c r="F53" s="11">
        <v>115</v>
      </c>
      <c r="G53" s="11">
        <v>126</v>
      </c>
      <c r="H53" s="11">
        <v>115</v>
      </c>
      <c r="I53" s="11">
        <v>127</v>
      </c>
      <c r="J53" s="11">
        <v>141</v>
      </c>
      <c r="K53" s="11">
        <v>123</v>
      </c>
      <c r="L53" s="11">
        <v>128</v>
      </c>
      <c r="M53" s="11">
        <v>143</v>
      </c>
      <c r="N53" s="11">
        <v>108</v>
      </c>
      <c r="O53" s="11">
        <v>120</v>
      </c>
      <c r="P53" s="11" t="s">
        <v>2866</v>
      </c>
      <c r="Q53" s="11">
        <v>130</v>
      </c>
      <c r="R53" s="11">
        <v>184</v>
      </c>
      <c r="S53" s="26">
        <f t="shared" si="0"/>
        <v>1560</v>
      </c>
      <c r="T53" s="11">
        <v>21</v>
      </c>
      <c r="U53" s="11">
        <v>32</v>
      </c>
      <c r="V53" s="11">
        <v>25</v>
      </c>
      <c r="W53" s="11">
        <v>36</v>
      </c>
      <c r="X53" s="11">
        <v>28</v>
      </c>
      <c r="Y53" s="11">
        <v>34</v>
      </c>
      <c r="Z53" s="11">
        <v>41</v>
      </c>
      <c r="AA53" s="11">
        <v>59</v>
      </c>
      <c r="AB53" s="11">
        <v>29</v>
      </c>
      <c r="AC53" s="11">
        <v>30</v>
      </c>
      <c r="AD53" s="11">
        <v>38</v>
      </c>
      <c r="AE53" s="11">
        <v>73</v>
      </c>
      <c r="AF53" s="26">
        <f t="shared" si="1"/>
        <v>446</v>
      </c>
      <c r="AG53" s="11">
        <v>90</v>
      </c>
      <c r="AH53" s="11">
        <v>89</v>
      </c>
      <c r="AI53" s="11">
        <v>86</v>
      </c>
      <c r="AJ53" s="11">
        <v>90</v>
      </c>
      <c r="AK53" s="11">
        <v>108</v>
      </c>
      <c r="AL53" s="11">
        <v>81</v>
      </c>
      <c r="AM53" s="11">
        <v>80</v>
      </c>
      <c r="AN53" s="11">
        <v>75</v>
      </c>
      <c r="AO53" s="11">
        <v>71</v>
      </c>
      <c r="AP53" s="11">
        <v>83</v>
      </c>
      <c r="AQ53" s="11">
        <v>80</v>
      </c>
      <c r="AR53" s="11">
        <v>94</v>
      </c>
      <c r="AS53" s="26">
        <f t="shared" si="2"/>
        <v>1027</v>
      </c>
      <c r="AT53" s="11">
        <v>4</v>
      </c>
      <c r="AU53" s="11">
        <v>5</v>
      </c>
      <c r="AV53" s="11">
        <v>4</v>
      </c>
      <c r="AW53" s="11">
        <v>1</v>
      </c>
      <c r="AX53" s="11">
        <v>5</v>
      </c>
      <c r="AY53" s="11">
        <v>8</v>
      </c>
      <c r="AZ53" s="11">
        <v>0</v>
      </c>
      <c r="BA53" s="11">
        <v>9</v>
      </c>
      <c r="BB53" s="11">
        <v>8</v>
      </c>
      <c r="BC53" s="11">
        <v>7</v>
      </c>
      <c r="BD53" s="11">
        <v>12</v>
      </c>
      <c r="BE53" s="11">
        <v>17</v>
      </c>
      <c r="BF53" s="26">
        <f t="shared" si="3"/>
        <v>80</v>
      </c>
      <c r="BG53" s="11">
        <v>0</v>
      </c>
      <c r="BH53" s="11">
        <v>0</v>
      </c>
      <c r="BI53" s="11">
        <v>0</v>
      </c>
      <c r="BJ53" s="11">
        <v>0</v>
      </c>
      <c r="BK53" s="11">
        <v>0</v>
      </c>
      <c r="BL53" s="11">
        <v>0</v>
      </c>
      <c r="BM53" s="11">
        <v>0</v>
      </c>
      <c r="BN53" s="11">
        <v>0</v>
      </c>
      <c r="BO53" s="11">
        <v>0</v>
      </c>
      <c r="BP53" s="11">
        <v>0</v>
      </c>
      <c r="BQ53" s="11">
        <v>0</v>
      </c>
      <c r="BR53" s="11">
        <v>0</v>
      </c>
      <c r="BS53" s="26">
        <f t="shared" si="4"/>
        <v>0</v>
      </c>
      <c r="BT53" s="11">
        <v>2</v>
      </c>
      <c r="BU53" s="11">
        <v>2</v>
      </c>
      <c r="BV53" s="11">
        <v>0</v>
      </c>
      <c r="BW53" s="11">
        <v>0</v>
      </c>
      <c r="BX53" s="11">
        <v>4</v>
      </c>
      <c r="BY53" s="11">
        <v>5</v>
      </c>
      <c r="BZ53" s="11">
        <v>5</v>
      </c>
      <c r="CA53" s="11">
        <v>8</v>
      </c>
      <c r="CB53" s="11">
        <v>9</v>
      </c>
      <c r="CC53" s="11">
        <v>11</v>
      </c>
      <c r="CD53" s="11">
        <v>12</v>
      </c>
      <c r="CE53" s="11">
        <v>13</v>
      </c>
      <c r="CF53" s="26">
        <f t="shared" si="5"/>
        <v>71</v>
      </c>
      <c r="CG53" s="11">
        <v>0</v>
      </c>
      <c r="CH53" s="11">
        <v>0</v>
      </c>
      <c r="CI53" s="11">
        <v>0</v>
      </c>
      <c r="CJ53" s="11">
        <v>0</v>
      </c>
      <c r="CK53" s="11">
        <v>0</v>
      </c>
      <c r="CL53" s="11">
        <v>0</v>
      </c>
      <c r="CM53" s="11">
        <v>0</v>
      </c>
      <c r="CN53" s="11">
        <v>4</v>
      </c>
      <c r="CO53" s="11">
        <v>4</v>
      </c>
      <c r="CP53" s="11">
        <v>5</v>
      </c>
      <c r="CQ53" s="11">
        <v>4</v>
      </c>
      <c r="CR53" s="11">
        <v>4</v>
      </c>
      <c r="CS53" s="26">
        <f t="shared" si="6"/>
        <v>21</v>
      </c>
      <c r="CT53" s="11">
        <v>0</v>
      </c>
      <c r="CU53" s="11">
        <v>0</v>
      </c>
      <c r="CV53" s="11">
        <v>0</v>
      </c>
      <c r="CW53" s="11">
        <v>0</v>
      </c>
      <c r="CX53" s="11">
        <v>0</v>
      </c>
      <c r="CY53" s="11">
        <v>0</v>
      </c>
      <c r="CZ53" s="11">
        <v>0</v>
      </c>
      <c r="DA53" s="11">
        <v>0</v>
      </c>
      <c r="DB53" s="11">
        <v>0</v>
      </c>
      <c r="DC53" s="11">
        <v>0</v>
      </c>
      <c r="DD53" s="11">
        <v>0</v>
      </c>
      <c r="DE53" s="11">
        <v>0</v>
      </c>
      <c r="DF53" s="26">
        <f t="shared" si="7"/>
        <v>0</v>
      </c>
      <c r="DG53" s="11">
        <v>2</v>
      </c>
      <c r="DH53" s="11">
        <v>2</v>
      </c>
      <c r="DI53" s="11">
        <v>0</v>
      </c>
      <c r="DJ53" s="11">
        <v>0</v>
      </c>
      <c r="DK53" s="11">
        <v>4</v>
      </c>
      <c r="DL53" s="11">
        <v>5</v>
      </c>
      <c r="DM53" s="11">
        <v>5</v>
      </c>
      <c r="DN53" s="11">
        <v>4</v>
      </c>
      <c r="DO53" s="11">
        <v>5</v>
      </c>
      <c r="DP53" s="11">
        <v>6</v>
      </c>
      <c r="DQ53" s="11">
        <v>8</v>
      </c>
      <c r="DR53" s="11">
        <v>9</v>
      </c>
      <c r="DS53" s="26">
        <f t="shared" si="8"/>
        <v>50</v>
      </c>
      <c r="DT53" s="11">
        <v>0</v>
      </c>
      <c r="DU53" s="11">
        <v>0</v>
      </c>
      <c r="DV53" s="11">
        <v>0</v>
      </c>
      <c r="DW53" s="11">
        <v>0</v>
      </c>
      <c r="DX53" s="11">
        <v>0</v>
      </c>
      <c r="DY53" s="11">
        <v>0</v>
      </c>
      <c r="DZ53" s="11">
        <v>0</v>
      </c>
      <c r="EA53" s="11">
        <v>0</v>
      </c>
      <c r="EB53" s="11">
        <v>0</v>
      </c>
      <c r="EC53" s="11">
        <v>0</v>
      </c>
      <c r="ED53" s="11">
        <v>0</v>
      </c>
      <c r="EE53" s="11">
        <v>0</v>
      </c>
      <c r="EF53" s="26">
        <f t="shared" si="9"/>
        <v>0</v>
      </c>
      <c r="EG53" s="9">
        <f t="shared" si="10"/>
        <v>1553</v>
      </c>
      <c r="EH53" s="9">
        <f t="shared" si="11"/>
        <v>71</v>
      </c>
      <c r="EI53" s="11">
        <v>2834</v>
      </c>
      <c r="EJ53" s="11">
        <v>2534</v>
      </c>
      <c r="EK53" s="11">
        <v>2753</v>
      </c>
      <c r="EL53" s="11">
        <v>3052</v>
      </c>
      <c r="EM53" s="11">
        <v>3260</v>
      </c>
      <c r="EN53" s="11">
        <v>3207</v>
      </c>
      <c r="EO53" s="11">
        <v>3813</v>
      </c>
      <c r="EP53" s="11">
        <v>3479</v>
      </c>
      <c r="EQ53" s="11">
        <v>2223</v>
      </c>
      <c r="ER53" s="11">
        <v>2973</v>
      </c>
      <c r="ES53" s="11">
        <v>3432</v>
      </c>
      <c r="ET53" s="11">
        <v>820</v>
      </c>
      <c r="EU53" s="26">
        <f t="shared" si="12"/>
        <v>34380</v>
      </c>
      <c r="EV53" s="11">
        <v>659</v>
      </c>
      <c r="EW53" s="11">
        <v>367</v>
      </c>
      <c r="EX53" s="11">
        <v>553</v>
      </c>
      <c r="EY53" s="11">
        <v>672</v>
      </c>
      <c r="EZ53" s="11">
        <v>580</v>
      </c>
      <c r="FA53" s="11">
        <v>665</v>
      </c>
      <c r="FB53" s="11">
        <v>1034</v>
      </c>
      <c r="FC53" s="11">
        <v>843</v>
      </c>
      <c r="FD53" s="11">
        <v>312</v>
      </c>
      <c r="FE53" s="11">
        <v>361</v>
      </c>
      <c r="FF53" s="11">
        <v>639</v>
      </c>
      <c r="FG53" s="11">
        <v>545</v>
      </c>
      <c r="FH53" s="26">
        <f t="shared" si="13"/>
        <v>7230</v>
      </c>
      <c r="FI53" s="11">
        <v>2081</v>
      </c>
      <c r="FJ53" s="11">
        <v>2096</v>
      </c>
      <c r="FK53" s="11">
        <v>2136</v>
      </c>
      <c r="FL53" s="11">
        <v>2361</v>
      </c>
      <c r="FM53" s="11">
        <v>2566</v>
      </c>
      <c r="FN53" s="11">
        <v>2457</v>
      </c>
      <c r="FO53" s="11">
        <v>2631</v>
      </c>
      <c r="FP53" s="11">
        <v>2529</v>
      </c>
      <c r="FQ53" s="11">
        <v>1861</v>
      </c>
      <c r="FR53" s="11">
        <v>2607</v>
      </c>
      <c r="FS53" s="11">
        <v>2675</v>
      </c>
      <c r="FT53" s="11">
        <v>2801</v>
      </c>
      <c r="FU53" s="26">
        <f t="shared" si="14"/>
        <v>28801</v>
      </c>
      <c r="FV53" s="11">
        <v>94</v>
      </c>
      <c r="FW53" s="11">
        <v>71</v>
      </c>
      <c r="FX53" s="11">
        <v>64</v>
      </c>
      <c r="FY53" s="11">
        <v>19</v>
      </c>
      <c r="FZ53" s="11">
        <v>114</v>
      </c>
      <c r="GA53" s="11">
        <v>85</v>
      </c>
      <c r="GB53" s="11">
        <v>148</v>
      </c>
      <c r="GC53" s="11">
        <v>107</v>
      </c>
      <c r="GD53" s="11">
        <v>50</v>
      </c>
      <c r="GE53" s="11">
        <v>5</v>
      </c>
      <c r="GF53" s="11">
        <v>118</v>
      </c>
      <c r="GG53" s="11">
        <v>104</v>
      </c>
      <c r="GH53" s="26">
        <f t="shared" si="15"/>
        <v>979</v>
      </c>
      <c r="GI53" s="11">
        <v>4</v>
      </c>
      <c r="GJ53" s="11">
        <v>4</v>
      </c>
      <c r="GK53" s="11">
        <v>0</v>
      </c>
      <c r="GL53" s="11">
        <v>0</v>
      </c>
      <c r="GM53" s="11">
        <v>15</v>
      </c>
      <c r="GN53" s="11">
        <v>12</v>
      </c>
      <c r="GO53" s="11">
        <v>64</v>
      </c>
      <c r="GP53" s="11">
        <v>66</v>
      </c>
      <c r="GQ53" s="11">
        <v>29</v>
      </c>
      <c r="GR53" s="11">
        <v>32</v>
      </c>
      <c r="GS53" s="11">
        <v>61</v>
      </c>
      <c r="GT53" s="11">
        <v>24</v>
      </c>
      <c r="GU53" s="26">
        <f t="shared" si="16"/>
        <v>311</v>
      </c>
      <c r="GV53" s="11">
        <v>0</v>
      </c>
      <c r="GW53" s="11">
        <v>0</v>
      </c>
      <c r="GX53" s="11">
        <v>0</v>
      </c>
      <c r="GY53" s="11">
        <v>0</v>
      </c>
      <c r="GZ53" s="11">
        <v>0</v>
      </c>
      <c r="HA53" s="11">
        <v>0</v>
      </c>
      <c r="HB53" s="11">
        <v>0</v>
      </c>
      <c r="HC53" s="11">
        <v>4</v>
      </c>
      <c r="HD53" s="11">
        <v>1</v>
      </c>
      <c r="HE53" s="11">
        <v>6</v>
      </c>
      <c r="HF53" s="11">
        <v>7</v>
      </c>
      <c r="HG53" s="11">
        <v>10</v>
      </c>
      <c r="HH53" s="26">
        <f t="shared" si="17"/>
        <v>28</v>
      </c>
      <c r="HI53" s="11">
        <v>0</v>
      </c>
      <c r="HJ53" s="11">
        <v>0</v>
      </c>
      <c r="HK53" s="11">
        <v>0</v>
      </c>
      <c r="HL53" s="11">
        <v>0</v>
      </c>
      <c r="HM53" s="11">
        <v>0</v>
      </c>
      <c r="HN53" s="11">
        <v>0</v>
      </c>
      <c r="HO53" s="11">
        <v>0</v>
      </c>
      <c r="HP53" s="11">
        <v>0</v>
      </c>
      <c r="HQ53" s="11">
        <v>0</v>
      </c>
      <c r="HR53" s="11">
        <v>0</v>
      </c>
      <c r="HS53" s="11">
        <v>0</v>
      </c>
      <c r="HT53" s="11">
        <v>0</v>
      </c>
      <c r="HU53" s="26">
        <f t="shared" si="18"/>
        <v>0</v>
      </c>
      <c r="HV53" s="11">
        <v>4</v>
      </c>
      <c r="HW53" s="11">
        <v>4</v>
      </c>
      <c r="HX53" s="11">
        <v>0</v>
      </c>
      <c r="HY53" s="11">
        <v>0</v>
      </c>
      <c r="HZ53" s="11">
        <v>15</v>
      </c>
      <c r="IA53" s="11">
        <v>12</v>
      </c>
      <c r="IB53" s="11">
        <v>64</v>
      </c>
      <c r="IC53" s="11">
        <v>62</v>
      </c>
      <c r="ID53" s="11">
        <v>28</v>
      </c>
      <c r="IE53" s="11">
        <v>26</v>
      </c>
      <c r="IF53" s="11">
        <v>54</v>
      </c>
      <c r="IG53" s="11">
        <v>14</v>
      </c>
      <c r="IH53" s="26">
        <f t="shared" si="19"/>
        <v>283</v>
      </c>
      <c r="II53" s="9">
        <f t="shared" si="20"/>
        <v>37010</v>
      </c>
      <c r="IJ53" s="9">
        <f t="shared" si="21"/>
        <v>311</v>
      </c>
      <c r="IK53" s="11">
        <v>59478</v>
      </c>
      <c r="IL53" s="11">
        <v>54597</v>
      </c>
      <c r="IM53" s="11">
        <v>54963</v>
      </c>
      <c r="IN53" s="11">
        <v>59911</v>
      </c>
      <c r="IO53" s="11">
        <v>60651</v>
      </c>
      <c r="IP53" s="11">
        <v>59079</v>
      </c>
      <c r="IQ53" s="11">
        <v>60816</v>
      </c>
      <c r="IR53" s="11">
        <v>59219</v>
      </c>
      <c r="IS53" s="11">
        <v>44798</v>
      </c>
      <c r="IT53" s="11">
        <v>61491</v>
      </c>
      <c r="IU53" s="11">
        <v>50585</v>
      </c>
      <c r="IV53" s="11">
        <v>56039</v>
      </c>
      <c r="IW53" s="27">
        <f t="shared" si="22"/>
        <v>681627</v>
      </c>
      <c r="IX53" s="11">
        <v>17223</v>
      </c>
      <c r="IY53" s="11">
        <v>15683</v>
      </c>
      <c r="IZ53" s="11">
        <v>16130</v>
      </c>
      <c r="JA53" s="11">
        <v>17152</v>
      </c>
      <c r="JB53" s="11">
        <v>16723</v>
      </c>
      <c r="JC53" s="11">
        <v>16123</v>
      </c>
      <c r="JD53" s="11">
        <v>17246</v>
      </c>
      <c r="JE53" s="11">
        <v>16223</v>
      </c>
      <c r="JF53" s="11">
        <v>14010</v>
      </c>
      <c r="JG53" s="11">
        <v>17760</v>
      </c>
      <c r="JH53" s="11">
        <v>14771</v>
      </c>
      <c r="JI53" s="11">
        <v>16204</v>
      </c>
      <c r="JJ53" s="27">
        <f t="shared" si="23"/>
        <v>195248</v>
      </c>
      <c r="JK53" s="11">
        <v>40574</v>
      </c>
      <c r="JL53" s="11">
        <v>37204</v>
      </c>
      <c r="JM53" s="11">
        <v>37078</v>
      </c>
      <c r="JN53" s="11">
        <v>40915</v>
      </c>
      <c r="JO53" s="11">
        <v>41910</v>
      </c>
      <c r="JP53" s="11">
        <v>41035</v>
      </c>
      <c r="JQ53" s="11">
        <v>41785</v>
      </c>
      <c r="JR53" s="11">
        <v>41224</v>
      </c>
      <c r="JS53" s="11">
        <v>29352</v>
      </c>
      <c r="JT53" s="11">
        <v>41967</v>
      </c>
      <c r="JU53" s="11">
        <v>34349</v>
      </c>
      <c r="JV53" s="11">
        <v>38340</v>
      </c>
      <c r="JW53" s="27">
        <f t="shared" si="24"/>
        <v>465733</v>
      </c>
      <c r="JX53" s="11">
        <v>1681</v>
      </c>
      <c r="JY53" s="11">
        <v>1710</v>
      </c>
      <c r="JZ53" s="11">
        <v>1755</v>
      </c>
      <c r="KA53" s="11">
        <v>1844</v>
      </c>
      <c r="KB53" s="11">
        <v>2018</v>
      </c>
      <c r="KC53" s="11">
        <v>1921</v>
      </c>
      <c r="KD53" s="11">
        <v>1785</v>
      </c>
      <c r="KE53" s="11">
        <v>1772</v>
      </c>
      <c r="KF53" s="11">
        <v>1436</v>
      </c>
      <c r="KG53" s="11">
        <v>1764</v>
      </c>
      <c r="KH53" s="11">
        <v>1465</v>
      </c>
      <c r="KI53" s="11">
        <v>1495</v>
      </c>
      <c r="KJ53" s="27">
        <f t="shared" si="25"/>
        <v>20646</v>
      </c>
      <c r="KK53" s="11">
        <v>59</v>
      </c>
      <c r="KL53" s="11">
        <v>61</v>
      </c>
      <c r="KM53" s="11">
        <v>53</v>
      </c>
      <c r="KN53" s="11">
        <v>70</v>
      </c>
      <c r="KO53" s="11">
        <v>73</v>
      </c>
      <c r="KP53" s="11">
        <v>71</v>
      </c>
      <c r="KQ53" s="11">
        <v>72</v>
      </c>
      <c r="KR53" s="11">
        <v>54</v>
      </c>
      <c r="KS53" s="11">
        <v>42</v>
      </c>
      <c r="KT53" s="11">
        <v>66</v>
      </c>
      <c r="KU53" s="11">
        <v>51</v>
      </c>
      <c r="KV53" s="11">
        <v>44</v>
      </c>
      <c r="KW53" s="27">
        <f t="shared" si="26"/>
        <v>716</v>
      </c>
      <c r="KX53" s="11">
        <v>0</v>
      </c>
      <c r="KY53" s="11">
        <v>0</v>
      </c>
      <c r="KZ53" s="11">
        <v>0</v>
      </c>
      <c r="LA53" s="11">
        <v>0</v>
      </c>
      <c r="LB53" s="11">
        <v>0</v>
      </c>
      <c r="LC53" s="11">
        <v>0</v>
      </c>
      <c r="LD53" s="11">
        <v>0</v>
      </c>
      <c r="LE53" s="11">
        <v>0</v>
      </c>
      <c r="LF53" s="11">
        <v>0</v>
      </c>
      <c r="LG53" s="11">
        <v>0</v>
      </c>
      <c r="LH53" s="11">
        <v>0</v>
      </c>
      <c r="LI53" s="11">
        <v>0</v>
      </c>
      <c r="LJ53" s="27">
        <f t="shared" si="27"/>
        <v>0</v>
      </c>
      <c r="LK53" s="11">
        <v>59</v>
      </c>
      <c r="LL53" s="11">
        <v>61</v>
      </c>
      <c r="LM53" s="11">
        <v>53</v>
      </c>
      <c r="LN53" s="11">
        <v>70</v>
      </c>
      <c r="LO53" s="11">
        <v>73</v>
      </c>
      <c r="LP53" s="11">
        <v>71</v>
      </c>
      <c r="LQ53" s="11">
        <v>72</v>
      </c>
      <c r="LR53" s="11">
        <v>54</v>
      </c>
      <c r="LS53" s="11">
        <v>42</v>
      </c>
      <c r="LT53" s="11">
        <v>66</v>
      </c>
      <c r="LU53" s="11">
        <v>51</v>
      </c>
      <c r="LV53" s="11">
        <v>44</v>
      </c>
      <c r="LW53" s="27">
        <f t="shared" si="28"/>
        <v>716</v>
      </c>
      <c r="LX53" s="11">
        <v>0</v>
      </c>
      <c r="LY53" s="11">
        <v>0</v>
      </c>
      <c r="LZ53" s="11">
        <v>0</v>
      </c>
      <c r="MA53" s="11">
        <v>0</v>
      </c>
      <c r="MB53" s="11">
        <v>0</v>
      </c>
      <c r="MC53" s="11">
        <v>0</v>
      </c>
      <c r="MD53" s="11">
        <v>0</v>
      </c>
      <c r="ME53" s="11">
        <v>0</v>
      </c>
      <c r="MF53" s="11">
        <v>0</v>
      </c>
      <c r="MG53" s="11">
        <v>0</v>
      </c>
      <c r="MH53" s="11">
        <v>0</v>
      </c>
      <c r="MI53" s="11">
        <v>0</v>
      </c>
      <c r="MJ53" s="27">
        <f t="shared" si="29"/>
        <v>0</v>
      </c>
      <c r="MK53" s="11">
        <v>3628</v>
      </c>
      <c r="ML53" s="11">
        <v>3928</v>
      </c>
      <c r="MM53" s="11">
        <v>3736</v>
      </c>
      <c r="MN53" s="11">
        <v>4128</v>
      </c>
      <c r="MO53" s="11">
        <v>4428</v>
      </c>
      <c r="MP53" s="11">
        <v>4247</v>
      </c>
      <c r="MQ53" s="11">
        <v>4396</v>
      </c>
      <c r="MR53" s="11">
        <v>4204</v>
      </c>
      <c r="MS53" s="11">
        <v>4245</v>
      </c>
      <c r="MT53" s="11">
        <v>4519</v>
      </c>
      <c r="MU53" s="11">
        <v>4057</v>
      </c>
      <c r="MV53" s="11">
        <v>4046</v>
      </c>
      <c r="MW53" s="27">
        <f t="shared" si="30"/>
        <v>49562</v>
      </c>
      <c r="MX53" s="11">
        <v>2735</v>
      </c>
      <c r="MY53" s="11">
        <v>3015</v>
      </c>
      <c r="MZ53" s="11">
        <v>2948</v>
      </c>
      <c r="NA53" s="11">
        <v>3217</v>
      </c>
      <c r="NB53" s="11">
        <v>3448</v>
      </c>
      <c r="NC53" s="11">
        <v>3336</v>
      </c>
      <c r="ND53" s="11">
        <v>3521</v>
      </c>
      <c r="NE53" s="11">
        <v>3308</v>
      </c>
      <c r="NF53" s="11">
        <v>3320</v>
      </c>
      <c r="NG53" s="11">
        <v>3446</v>
      </c>
      <c r="NH53" s="11">
        <v>2988</v>
      </c>
      <c r="NI53" s="11">
        <v>3239</v>
      </c>
      <c r="NJ53" s="27">
        <f t="shared" si="31"/>
        <v>38521</v>
      </c>
      <c r="NK53" s="11">
        <v>602</v>
      </c>
      <c r="NL53" s="11">
        <v>620</v>
      </c>
      <c r="NM53" s="11">
        <v>495</v>
      </c>
      <c r="NN53" s="11">
        <v>582</v>
      </c>
      <c r="NO53" s="11">
        <v>604</v>
      </c>
      <c r="NP53" s="11">
        <v>568</v>
      </c>
      <c r="NQ53" s="11">
        <v>552</v>
      </c>
      <c r="NR53" s="11">
        <v>589</v>
      </c>
      <c r="NS53" s="11">
        <v>648</v>
      </c>
      <c r="NT53" s="11">
        <v>700</v>
      </c>
      <c r="NU53" s="11">
        <v>662</v>
      </c>
      <c r="NV53" s="11">
        <v>512</v>
      </c>
      <c r="NW53" s="27">
        <f t="shared" si="32"/>
        <v>7134</v>
      </c>
      <c r="NX53" s="11">
        <v>291</v>
      </c>
      <c r="NY53" s="11">
        <v>293</v>
      </c>
      <c r="NZ53" s="11">
        <v>293</v>
      </c>
      <c r="OA53" s="11">
        <v>329</v>
      </c>
      <c r="OB53" s="11">
        <v>376</v>
      </c>
      <c r="OC53" s="11">
        <v>343</v>
      </c>
      <c r="OD53" s="11">
        <v>323</v>
      </c>
      <c r="OE53" s="11">
        <v>307</v>
      </c>
      <c r="OF53" s="11">
        <v>277</v>
      </c>
      <c r="OG53" s="11">
        <v>373</v>
      </c>
      <c r="OH53" s="11">
        <v>407</v>
      </c>
      <c r="OI53" s="11">
        <v>295</v>
      </c>
      <c r="OJ53" s="27">
        <f t="shared" si="33"/>
        <v>3907</v>
      </c>
      <c r="OK53" s="11">
        <v>4000</v>
      </c>
      <c r="OL53" s="11">
        <v>4213</v>
      </c>
      <c r="OM53" s="11">
        <v>3982</v>
      </c>
      <c r="ON53" s="11">
        <v>4427</v>
      </c>
      <c r="OO53" s="11">
        <v>4940</v>
      </c>
      <c r="OP53" s="11">
        <v>4769</v>
      </c>
      <c r="OQ53" s="11">
        <v>5070</v>
      </c>
      <c r="OR53" s="11">
        <v>4679</v>
      </c>
      <c r="OS53" s="11">
        <v>4773</v>
      </c>
      <c r="OT53" s="11">
        <v>4994</v>
      </c>
      <c r="OU53" s="11">
        <v>4676</v>
      </c>
      <c r="OV53" s="11">
        <v>5202</v>
      </c>
      <c r="OW53" s="27">
        <f t="shared" si="34"/>
        <v>55725</v>
      </c>
      <c r="OX53" s="11">
        <v>3559</v>
      </c>
      <c r="OY53" s="11">
        <v>3732</v>
      </c>
      <c r="OZ53" s="11">
        <v>3537</v>
      </c>
      <c r="PA53" s="11">
        <v>3915</v>
      </c>
      <c r="PB53" s="11">
        <v>4372</v>
      </c>
      <c r="PC53" s="11">
        <v>4243</v>
      </c>
      <c r="PD53" s="11">
        <v>4558</v>
      </c>
      <c r="PE53" s="11">
        <v>4227</v>
      </c>
      <c r="PF53" s="11">
        <v>4284</v>
      </c>
      <c r="PG53" s="11">
        <v>4539</v>
      </c>
      <c r="PH53" s="11">
        <v>4157</v>
      </c>
      <c r="PI53" s="11">
        <v>4693</v>
      </c>
      <c r="PJ53" s="27">
        <f t="shared" si="35"/>
        <v>49816</v>
      </c>
      <c r="PK53" s="11">
        <v>272</v>
      </c>
      <c r="PL53" s="11">
        <v>333</v>
      </c>
      <c r="PM53" s="11">
        <v>301</v>
      </c>
      <c r="PN53" s="11">
        <v>359</v>
      </c>
      <c r="PO53" s="11">
        <v>402</v>
      </c>
      <c r="PP53" s="11">
        <v>370</v>
      </c>
      <c r="PQ53" s="11">
        <v>357</v>
      </c>
      <c r="PR53" s="11">
        <v>303</v>
      </c>
      <c r="PS53" s="11">
        <v>343</v>
      </c>
      <c r="PT53" s="11">
        <v>336</v>
      </c>
      <c r="PU53" s="11">
        <v>352</v>
      </c>
      <c r="PV53" s="11">
        <v>364</v>
      </c>
      <c r="PW53" s="27">
        <f t="shared" si="36"/>
        <v>4092</v>
      </c>
      <c r="PX53" s="11">
        <v>169</v>
      </c>
      <c r="PY53" s="11">
        <v>148</v>
      </c>
      <c r="PZ53" s="11">
        <v>144</v>
      </c>
      <c r="QA53" s="11">
        <v>153</v>
      </c>
      <c r="QB53" s="11">
        <v>166</v>
      </c>
      <c r="QC53" s="11">
        <v>156</v>
      </c>
      <c r="QD53" s="11">
        <v>155</v>
      </c>
      <c r="QE53" s="11">
        <v>149</v>
      </c>
      <c r="QF53" s="11">
        <v>146</v>
      </c>
      <c r="QG53" s="11">
        <v>119</v>
      </c>
      <c r="QH53" s="11">
        <v>167</v>
      </c>
      <c r="QI53" s="11">
        <v>145</v>
      </c>
      <c r="QJ53" s="27">
        <f t="shared" si="37"/>
        <v>1817</v>
      </c>
      <c r="QK53" s="11">
        <v>72905</v>
      </c>
      <c r="QL53" s="11">
        <v>79145</v>
      </c>
      <c r="QM53" s="11">
        <v>84577</v>
      </c>
      <c r="QN53" s="11">
        <v>88630</v>
      </c>
      <c r="QO53" s="11">
        <v>81478</v>
      </c>
      <c r="QP53" s="11">
        <v>90228</v>
      </c>
      <c r="QQ53" s="11">
        <v>96768</v>
      </c>
      <c r="QR53" s="11">
        <v>97291</v>
      </c>
      <c r="QS53" s="11">
        <v>67898</v>
      </c>
      <c r="QT53" s="11">
        <v>100246</v>
      </c>
      <c r="QU53" s="11">
        <v>90558</v>
      </c>
      <c r="QV53" s="11">
        <v>94440</v>
      </c>
      <c r="QW53" s="27">
        <f t="shared" si="38"/>
        <v>1044164</v>
      </c>
      <c r="QX53" s="11">
        <v>22693</v>
      </c>
      <c r="QY53" s="11">
        <v>24776</v>
      </c>
      <c r="QZ53" s="11">
        <v>21991</v>
      </c>
      <c r="RA53" s="11">
        <v>23153</v>
      </c>
      <c r="RB53" s="11">
        <v>23153</v>
      </c>
      <c r="RC53" s="11">
        <v>19035</v>
      </c>
      <c r="RD53" s="11">
        <v>23062</v>
      </c>
      <c r="RE53" s="11">
        <v>25673</v>
      </c>
      <c r="RF53" s="11">
        <v>16723</v>
      </c>
      <c r="RG53" s="11">
        <v>23714</v>
      </c>
      <c r="RH53" s="11">
        <v>23030</v>
      </c>
      <c r="RI53" s="11">
        <v>27082</v>
      </c>
      <c r="RJ53" s="27">
        <f t="shared" si="39"/>
        <v>274085</v>
      </c>
      <c r="RK53" s="11">
        <v>0</v>
      </c>
      <c r="RL53" s="11">
        <v>0</v>
      </c>
      <c r="RM53" s="11">
        <v>0</v>
      </c>
      <c r="RN53" s="11">
        <v>0</v>
      </c>
      <c r="RO53" s="11">
        <v>0</v>
      </c>
      <c r="RP53" s="11">
        <v>0</v>
      </c>
      <c r="RQ53" s="11">
        <v>0</v>
      </c>
      <c r="RR53" s="11">
        <v>0</v>
      </c>
      <c r="RS53" s="11">
        <v>0</v>
      </c>
      <c r="RT53" s="11">
        <v>0</v>
      </c>
      <c r="RU53" s="11">
        <v>0</v>
      </c>
      <c r="RV53" s="11">
        <v>0</v>
      </c>
      <c r="RW53" s="27">
        <f t="shared" si="40"/>
        <v>0</v>
      </c>
      <c r="RX53" s="11">
        <v>0</v>
      </c>
      <c r="RY53" s="11">
        <v>0</v>
      </c>
      <c r="RZ53" s="11">
        <v>0</v>
      </c>
      <c r="SA53" s="11">
        <v>0</v>
      </c>
      <c r="SB53" s="11">
        <v>0</v>
      </c>
      <c r="SC53" s="11">
        <v>0</v>
      </c>
      <c r="SD53" s="11">
        <v>0</v>
      </c>
      <c r="SE53" s="11">
        <v>0</v>
      </c>
      <c r="SF53" s="11">
        <v>0</v>
      </c>
      <c r="SG53" s="11">
        <v>0</v>
      </c>
      <c r="SH53" s="11">
        <v>0</v>
      </c>
      <c r="SI53" s="11">
        <v>0</v>
      </c>
      <c r="SJ53" s="27">
        <f t="shared" si="41"/>
        <v>0</v>
      </c>
      <c r="SK53" s="11">
        <v>0</v>
      </c>
      <c r="SL53" s="11">
        <v>0</v>
      </c>
      <c r="SM53" s="11">
        <v>0</v>
      </c>
      <c r="SN53" s="11">
        <v>0</v>
      </c>
      <c r="SO53" s="11">
        <v>0</v>
      </c>
      <c r="SP53" s="11">
        <v>0</v>
      </c>
      <c r="SQ53" s="11">
        <v>0</v>
      </c>
      <c r="SR53" s="11">
        <v>0</v>
      </c>
      <c r="SS53" s="11">
        <v>0</v>
      </c>
      <c r="ST53" s="11">
        <v>0</v>
      </c>
      <c r="SU53" s="11">
        <v>0</v>
      </c>
      <c r="SV53" s="11">
        <v>0</v>
      </c>
      <c r="SW53" s="27">
        <f t="shared" si="42"/>
        <v>0</v>
      </c>
      <c r="SX53" s="11" t="s">
        <v>2693</v>
      </c>
      <c r="SY53" s="11">
        <v>2487</v>
      </c>
      <c r="SZ53" s="11">
        <v>2567</v>
      </c>
      <c r="TA53" s="11">
        <v>2265</v>
      </c>
      <c r="TB53" s="11">
        <v>2282</v>
      </c>
      <c r="TC53" s="11">
        <v>2440</v>
      </c>
      <c r="TD53" s="11">
        <v>2462</v>
      </c>
      <c r="TE53" s="11">
        <v>2469</v>
      </c>
      <c r="TF53" s="11">
        <v>2361</v>
      </c>
      <c r="TG53" s="11">
        <v>2212</v>
      </c>
      <c r="TH53" s="11">
        <v>2727</v>
      </c>
      <c r="TI53" s="11">
        <v>2765</v>
      </c>
      <c r="TJ53" s="11">
        <v>1679</v>
      </c>
      <c r="TK53" s="27">
        <f t="shared" si="43"/>
        <v>28716</v>
      </c>
      <c r="TL53" s="11">
        <v>1436</v>
      </c>
      <c r="TM53" s="11">
        <v>1266</v>
      </c>
      <c r="TN53" s="11">
        <v>1110</v>
      </c>
      <c r="TO53" s="11">
        <v>863</v>
      </c>
      <c r="TP53" s="11">
        <v>1257</v>
      </c>
      <c r="TQ53" s="11">
        <v>1279</v>
      </c>
      <c r="TR53" s="11">
        <v>1444</v>
      </c>
      <c r="TS53" s="11">
        <v>1200</v>
      </c>
      <c r="TT53" s="11">
        <v>901</v>
      </c>
      <c r="TU53" s="11">
        <v>1068</v>
      </c>
      <c r="TV53" s="11">
        <v>1265</v>
      </c>
      <c r="TW53" s="11">
        <v>1391</v>
      </c>
      <c r="TX53" s="27">
        <f t="shared" si="44"/>
        <v>14480</v>
      </c>
      <c r="TY53" s="11">
        <v>96</v>
      </c>
      <c r="TZ53" s="11">
        <v>0</v>
      </c>
      <c r="UA53" s="11">
        <v>0</v>
      </c>
    </row>
    <row r="54" spans="1:547" ht="16" customHeight="1" x14ac:dyDescent="0.35">
      <c r="A54" s="11" t="s">
        <v>1415</v>
      </c>
      <c r="B54" s="11">
        <v>43877</v>
      </c>
      <c r="C54" s="11">
        <v>11844</v>
      </c>
      <c r="D54" s="11">
        <v>29057</v>
      </c>
      <c r="E54" s="11">
        <v>2976</v>
      </c>
      <c r="F54" s="11">
        <v>640</v>
      </c>
      <c r="G54" s="11">
        <v>521</v>
      </c>
      <c r="H54" s="11">
        <v>550</v>
      </c>
      <c r="I54" s="11">
        <v>635</v>
      </c>
      <c r="J54" s="11">
        <v>643</v>
      </c>
      <c r="K54" s="11">
        <v>556</v>
      </c>
      <c r="L54" s="11">
        <v>599</v>
      </c>
      <c r="M54" s="11">
        <v>488</v>
      </c>
      <c r="N54" s="11">
        <v>473</v>
      </c>
      <c r="O54" s="11">
        <v>576</v>
      </c>
      <c r="P54" s="11" t="s">
        <v>2865</v>
      </c>
      <c r="Q54" s="11">
        <v>566</v>
      </c>
      <c r="R54" s="11">
        <v>549</v>
      </c>
      <c r="S54" s="26">
        <f t="shared" si="0"/>
        <v>6796</v>
      </c>
      <c r="T54" s="11">
        <v>0</v>
      </c>
      <c r="U54" s="11">
        <v>0</v>
      </c>
      <c r="V54" s="11">
        <v>0</v>
      </c>
      <c r="W54" s="11">
        <v>0</v>
      </c>
      <c r="X54" s="11">
        <v>0</v>
      </c>
      <c r="Y54" s="11">
        <v>0</v>
      </c>
      <c r="Z54" s="11">
        <v>0</v>
      </c>
      <c r="AA54" s="11">
        <v>0</v>
      </c>
      <c r="AB54" s="11">
        <v>0</v>
      </c>
      <c r="AC54" s="11">
        <v>0</v>
      </c>
      <c r="AD54" s="11">
        <v>0</v>
      </c>
      <c r="AE54" s="11">
        <v>0</v>
      </c>
      <c r="AF54" s="26">
        <f t="shared" si="1"/>
        <v>0</v>
      </c>
      <c r="AG54" s="11">
        <v>0</v>
      </c>
      <c r="AH54" s="11">
        <v>0</v>
      </c>
      <c r="AI54" s="11">
        <v>0</v>
      </c>
      <c r="AJ54" s="11">
        <v>0</v>
      </c>
      <c r="AK54" s="11">
        <v>0</v>
      </c>
      <c r="AL54" s="11">
        <v>0</v>
      </c>
      <c r="AM54" s="11">
        <v>0</v>
      </c>
      <c r="AN54" s="11">
        <v>0</v>
      </c>
      <c r="AO54" s="11">
        <v>0</v>
      </c>
      <c r="AP54" s="11">
        <v>0</v>
      </c>
      <c r="AQ54" s="11">
        <v>0</v>
      </c>
      <c r="AR54" s="11">
        <v>0</v>
      </c>
      <c r="AS54" s="26">
        <f t="shared" si="2"/>
        <v>0</v>
      </c>
      <c r="AT54" s="11">
        <v>0</v>
      </c>
      <c r="AU54" s="11">
        <v>0</v>
      </c>
      <c r="AV54" s="11">
        <v>0</v>
      </c>
      <c r="AW54" s="11">
        <v>0</v>
      </c>
      <c r="AX54" s="11">
        <v>0</v>
      </c>
      <c r="AY54" s="11">
        <v>0</v>
      </c>
      <c r="AZ54" s="11">
        <v>0</v>
      </c>
      <c r="BA54" s="11">
        <v>0</v>
      </c>
      <c r="BB54" s="11">
        <v>0</v>
      </c>
      <c r="BC54" s="11">
        <v>0</v>
      </c>
      <c r="BD54" s="11">
        <v>0</v>
      </c>
      <c r="BE54" s="11">
        <v>0</v>
      </c>
      <c r="BF54" s="26">
        <f t="shared" si="3"/>
        <v>0</v>
      </c>
      <c r="BG54" s="11">
        <v>0</v>
      </c>
      <c r="BH54" s="11">
        <v>0</v>
      </c>
      <c r="BI54" s="11">
        <v>0</v>
      </c>
      <c r="BJ54" s="11">
        <v>0</v>
      </c>
      <c r="BK54" s="11">
        <v>0</v>
      </c>
      <c r="BL54" s="11">
        <v>0</v>
      </c>
      <c r="BM54" s="11">
        <v>0</v>
      </c>
      <c r="BN54" s="11">
        <v>0</v>
      </c>
      <c r="BO54" s="11">
        <v>0</v>
      </c>
      <c r="BP54" s="11">
        <v>0</v>
      </c>
      <c r="BQ54" s="11">
        <v>0</v>
      </c>
      <c r="BR54" s="11">
        <v>0</v>
      </c>
      <c r="BS54" s="26">
        <f t="shared" si="4"/>
        <v>0</v>
      </c>
      <c r="BT54" s="11">
        <v>0</v>
      </c>
      <c r="BU54" s="11">
        <v>0</v>
      </c>
      <c r="BV54" s="11">
        <v>0</v>
      </c>
      <c r="BW54" s="11">
        <v>0</v>
      </c>
      <c r="BX54" s="11">
        <v>0</v>
      </c>
      <c r="BY54" s="11">
        <v>0</v>
      </c>
      <c r="BZ54" s="11">
        <v>0</v>
      </c>
      <c r="CA54" s="11">
        <v>0</v>
      </c>
      <c r="CB54" s="11">
        <v>0</v>
      </c>
      <c r="CC54" s="11">
        <v>0</v>
      </c>
      <c r="CD54" s="11">
        <v>0</v>
      </c>
      <c r="CE54" s="11">
        <v>0</v>
      </c>
      <c r="CF54" s="26">
        <f t="shared" si="5"/>
        <v>0</v>
      </c>
      <c r="CG54" s="11">
        <v>0</v>
      </c>
      <c r="CH54" s="11">
        <v>0</v>
      </c>
      <c r="CI54" s="11">
        <v>0</v>
      </c>
      <c r="CJ54" s="11">
        <v>0</v>
      </c>
      <c r="CK54" s="11">
        <v>0</v>
      </c>
      <c r="CL54" s="11">
        <v>0</v>
      </c>
      <c r="CM54" s="11">
        <v>0</v>
      </c>
      <c r="CN54" s="11">
        <v>0</v>
      </c>
      <c r="CO54" s="11">
        <v>0</v>
      </c>
      <c r="CP54" s="11">
        <v>0</v>
      </c>
      <c r="CQ54" s="11">
        <v>0</v>
      </c>
      <c r="CR54" s="11">
        <v>0</v>
      </c>
      <c r="CS54" s="26">
        <f t="shared" si="6"/>
        <v>0</v>
      </c>
      <c r="CT54" s="11">
        <v>0</v>
      </c>
      <c r="CU54" s="11">
        <v>0</v>
      </c>
      <c r="CV54" s="11">
        <v>0</v>
      </c>
      <c r="CW54" s="11">
        <v>0</v>
      </c>
      <c r="CX54" s="11">
        <v>0</v>
      </c>
      <c r="CY54" s="11">
        <v>0</v>
      </c>
      <c r="CZ54" s="11">
        <v>0</v>
      </c>
      <c r="DA54" s="11">
        <v>0</v>
      </c>
      <c r="DB54" s="11">
        <v>0</v>
      </c>
      <c r="DC54" s="11">
        <v>0</v>
      </c>
      <c r="DD54" s="11">
        <v>0</v>
      </c>
      <c r="DE54" s="11">
        <v>0</v>
      </c>
      <c r="DF54" s="26">
        <f t="shared" si="7"/>
        <v>0</v>
      </c>
      <c r="DG54" s="11">
        <v>0</v>
      </c>
      <c r="DH54" s="11">
        <v>0</v>
      </c>
      <c r="DI54" s="11">
        <v>0</v>
      </c>
      <c r="DJ54" s="11">
        <v>0</v>
      </c>
      <c r="DK54" s="11">
        <v>0</v>
      </c>
      <c r="DL54" s="11">
        <v>0</v>
      </c>
      <c r="DM54" s="11">
        <v>0</v>
      </c>
      <c r="DN54" s="11">
        <v>0</v>
      </c>
      <c r="DO54" s="11">
        <v>0</v>
      </c>
      <c r="DP54" s="11">
        <v>0</v>
      </c>
      <c r="DQ54" s="11">
        <v>0</v>
      </c>
      <c r="DR54" s="11">
        <v>0</v>
      </c>
      <c r="DS54" s="26">
        <f t="shared" si="8"/>
        <v>0</v>
      </c>
      <c r="DT54" s="11">
        <v>0</v>
      </c>
      <c r="DU54" s="11">
        <v>0</v>
      </c>
      <c r="DV54" s="11">
        <v>0</v>
      </c>
      <c r="DW54" s="11">
        <v>0</v>
      </c>
      <c r="DX54" s="11">
        <v>0</v>
      </c>
      <c r="DY54" s="11">
        <v>0</v>
      </c>
      <c r="DZ54" s="11">
        <v>0</v>
      </c>
      <c r="EA54" s="11">
        <v>0</v>
      </c>
      <c r="EB54" s="11">
        <v>0</v>
      </c>
      <c r="EC54" s="11">
        <v>0</v>
      </c>
      <c r="ED54" s="11">
        <v>0</v>
      </c>
      <c r="EE54" s="11">
        <v>0</v>
      </c>
      <c r="EF54" s="26">
        <f t="shared" si="9"/>
        <v>0</v>
      </c>
      <c r="EG54" s="9">
        <f t="shared" si="10"/>
        <v>0</v>
      </c>
      <c r="EH54" s="9">
        <f t="shared" si="11"/>
        <v>0</v>
      </c>
      <c r="EI54" s="11">
        <v>8084</v>
      </c>
      <c r="EJ54" s="11">
        <v>6370</v>
      </c>
      <c r="EK54" s="11">
        <v>6666</v>
      </c>
      <c r="EL54" s="11">
        <v>9012</v>
      </c>
      <c r="EM54" s="11">
        <v>7652</v>
      </c>
      <c r="EN54" s="11">
        <v>7036</v>
      </c>
      <c r="EO54" s="11">
        <v>7177</v>
      </c>
      <c r="EP54" s="11">
        <v>6232</v>
      </c>
      <c r="EQ54" s="11">
        <v>4494</v>
      </c>
      <c r="ER54" s="11">
        <v>6107</v>
      </c>
      <c r="ES54" s="11">
        <v>6620</v>
      </c>
      <c r="ET54" s="11">
        <v>6693</v>
      </c>
      <c r="EU54" s="26">
        <f t="shared" si="12"/>
        <v>82143</v>
      </c>
      <c r="EV54" s="11">
        <v>0</v>
      </c>
      <c r="EW54" s="11">
        <v>0</v>
      </c>
      <c r="EX54" s="11">
        <v>0</v>
      </c>
      <c r="EY54" s="11">
        <v>0</v>
      </c>
      <c r="EZ54" s="11">
        <v>0</v>
      </c>
      <c r="FA54" s="11">
        <v>0</v>
      </c>
      <c r="FB54" s="11">
        <v>0</v>
      </c>
      <c r="FC54" s="11">
        <v>0</v>
      </c>
      <c r="FD54" s="11">
        <v>0</v>
      </c>
      <c r="FE54" s="11">
        <v>0</v>
      </c>
      <c r="FF54" s="11">
        <v>0</v>
      </c>
      <c r="FG54" s="11">
        <v>0</v>
      </c>
      <c r="FH54" s="26">
        <f t="shared" si="13"/>
        <v>0</v>
      </c>
      <c r="FI54" s="11">
        <v>0</v>
      </c>
      <c r="FJ54" s="11">
        <v>0</v>
      </c>
      <c r="FK54" s="11">
        <v>0</v>
      </c>
      <c r="FL54" s="11">
        <v>0</v>
      </c>
      <c r="FM54" s="11">
        <v>0</v>
      </c>
      <c r="FN54" s="11">
        <v>0</v>
      </c>
      <c r="FO54" s="11">
        <v>0</v>
      </c>
      <c r="FP54" s="11">
        <v>0</v>
      </c>
      <c r="FQ54" s="11">
        <v>0</v>
      </c>
      <c r="FR54" s="11">
        <v>0</v>
      </c>
      <c r="FS54" s="11">
        <v>0</v>
      </c>
      <c r="FT54" s="11">
        <v>0</v>
      </c>
      <c r="FU54" s="26">
        <f t="shared" si="14"/>
        <v>0</v>
      </c>
      <c r="FV54" s="11">
        <v>0</v>
      </c>
      <c r="FW54" s="11">
        <v>0</v>
      </c>
      <c r="FX54" s="11">
        <v>0</v>
      </c>
      <c r="FY54" s="11">
        <v>0</v>
      </c>
      <c r="FZ54" s="11">
        <v>0</v>
      </c>
      <c r="GA54" s="11">
        <v>0</v>
      </c>
      <c r="GB54" s="11">
        <v>0</v>
      </c>
      <c r="GC54" s="11">
        <v>0</v>
      </c>
      <c r="GD54" s="11">
        <v>0</v>
      </c>
      <c r="GE54" s="11">
        <v>0</v>
      </c>
      <c r="GF54" s="11">
        <v>0</v>
      </c>
      <c r="GG54" s="11">
        <v>0</v>
      </c>
      <c r="GH54" s="26">
        <f t="shared" si="15"/>
        <v>0</v>
      </c>
      <c r="GI54" s="11">
        <v>0</v>
      </c>
      <c r="GJ54" s="11">
        <v>0</v>
      </c>
      <c r="GK54" s="11">
        <v>0</v>
      </c>
      <c r="GL54" s="11">
        <v>0</v>
      </c>
      <c r="GM54" s="11">
        <v>0</v>
      </c>
      <c r="GN54" s="11">
        <v>0</v>
      </c>
      <c r="GO54" s="11">
        <v>0</v>
      </c>
      <c r="GP54" s="11">
        <v>0</v>
      </c>
      <c r="GQ54" s="11">
        <v>0</v>
      </c>
      <c r="GR54" s="11">
        <v>0</v>
      </c>
      <c r="GS54" s="11">
        <v>0</v>
      </c>
      <c r="GT54" s="11">
        <v>0</v>
      </c>
      <c r="GU54" s="26">
        <f t="shared" si="16"/>
        <v>0</v>
      </c>
      <c r="GV54" s="11">
        <v>0</v>
      </c>
      <c r="GW54" s="11">
        <v>0</v>
      </c>
      <c r="GX54" s="11">
        <v>0</v>
      </c>
      <c r="GY54" s="11">
        <v>0</v>
      </c>
      <c r="GZ54" s="11">
        <v>0</v>
      </c>
      <c r="HA54" s="11">
        <v>0</v>
      </c>
      <c r="HB54" s="11">
        <v>0</v>
      </c>
      <c r="HC54" s="11">
        <v>0</v>
      </c>
      <c r="HD54" s="11">
        <v>0</v>
      </c>
      <c r="HE54" s="11">
        <v>0</v>
      </c>
      <c r="HF54" s="11">
        <v>0</v>
      </c>
      <c r="HG54" s="11">
        <v>0</v>
      </c>
      <c r="HH54" s="26">
        <f t="shared" si="17"/>
        <v>0</v>
      </c>
      <c r="HI54" s="11">
        <v>0</v>
      </c>
      <c r="HJ54" s="11">
        <v>0</v>
      </c>
      <c r="HK54" s="11">
        <v>0</v>
      </c>
      <c r="HL54" s="11">
        <v>0</v>
      </c>
      <c r="HM54" s="11">
        <v>0</v>
      </c>
      <c r="HN54" s="11">
        <v>0</v>
      </c>
      <c r="HO54" s="11">
        <v>0</v>
      </c>
      <c r="HP54" s="11">
        <v>0</v>
      </c>
      <c r="HQ54" s="11">
        <v>0</v>
      </c>
      <c r="HR54" s="11">
        <v>0</v>
      </c>
      <c r="HS54" s="11">
        <v>0</v>
      </c>
      <c r="HT54" s="11">
        <v>0</v>
      </c>
      <c r="HU54" s="26">
        <f t="shared" si="18"/>
        <v>0</v>
      </c>
      <c r="HV54" s="11">
        <v>0</v>
      </c>
      <c r="HW54" s="11">
        <v>0</v>
      </c>
      <c r="HX54" s="11">
        <v>0</v>
      </c>
      <c r="HY54" s="11">
        <v>0</v>
      </c>
      <c r="HZ54" s="11">
        <v>0</v>
      </c>
      <c r="IA54" s="11">
        <v>0</v>
      </c>
      <c r="IB54" s="11">
        <v>0</v>
      </c>
      <c r="IC54" s="11">
        <v>0</v>
      </c>
      <c r="ID54" s="11">
        <v>0</v>
      </c>
      <c r="IE54" s="11">
        <v>0</v>
      </c>
      <c r="IF54" s="11">
        <v>0</v>
      </c>
      <c r="IG54" s="11">
        <v>0</v>
      </c>
      <c r="IH54" s="26">
        <f t="shared" si="19"/>
        <v>0</v>
      </c>
      <c r="II54" s="9">
        <f t="shared" si="20"/>
        <v>0</v>
      </c>
      <c r="IJ54" s="9">
        <f t="shared" si="21"/>
        <v>0</v>
      </c>
      <c r="IK54" s="11">
        <v>139121</v>
      </c>
      <c r="IL54" s="11">
        <v>133250</v>
      </c>
      <c r="IM54" s="11">
        <v>122643</v>
      </c>
      <c r="IN54" s="11">
        <v>142472</v>
      </c>
      <c r="IO54" s="11">
        <v>149361</v>
      </c>
      <c r="IP54" s="11">
        <v>128588</v>
      </c>
      <c r="IQ54" s="11">
        <v>141630</v>
      </c>
      <c r="IR54" s="11">
        <v>129251</v>
      </c>
      <c r="IS54" s="11">
        <v>111178</v>
      </c>
      <c r="IT54" s="11">
        <v>130617</v>
      </c>
      <c r="IU54" s="11">
        <v>120788</v>
      </c>
      <c r="IV54" s="11">
        <v>127936</v>
      </c>
      <c r="IW54" s="27">
        <f t="shared" si="22"/>
        <v>1576835</v>
      </c>
      <c r="IX54" s="11">
        <v>87258</v>
      </c>
      <c r="IY54" s="11">
        <v>87905</v>
      </c>
      <c r="IZ54" s="11">
        <v>81307</v>
      </c>
      <c r="JA54" s="11">
        <v>90548</v>
      </c>
      <c r="JB54" s="11">
        <v>92230</v>
      </c>
      <c r="JC54" s="11">
        <v>81911</v>
      </c>
      <c r="JD54" s="11">
        <v>91024</v>
      </c>
      <c r="JE54" s="11">
        <v>84582</v>
      </c>
      <c r="JF54" s="11">
        <v>76270</v>
      </c>
      <c r="JG54" s="11">
        <v>89653</v>
      </c>
      <c r="JH54" s="11">
        <v>77790</v>
      </c>
      <c r="JI54" s="11">
        <v>83347</v>
      </c>
      <c r="JJ54" s="27">
        <f t="shared" si="23"/>
        <v>1023825</v>
      </c>
      <c r="JK54" s="11">
        <v>46315</v>
      </c>
      <c r="JL54" s="11">
        <v>42811</v>
      </c>
      <c r="JM54" s="11">
        <v>39084</v>
      </c>
      <c r="JN54" s="11">
        <v>49219</v>
      </c>
      <c r="JO54" s="11">
        <v>54171</v>
      </c>
      <c r="JP54" s="11">
        <v>44275</v>
      </c>
      <c r="JQ54" s="11">
        <v>48304</v>
      </c>
      <c r="JR54" s="11">
        <v>42720</v>
      </c>
      <c r="JS54" s="11">
        <v>33183</v>
      </c>
      <c r="JT54" s="11">
        <v>39094</v>
      </c>
      <c r="JU54" s="11">
        <v>41149</v>
      </c>
      <c r="JV54" s="11">
        <v>42483</v>
      </c>
      <c r="JW54" s="27">
        <f t="shared" si="24"/>
        <v>522808</v>
      </c>
      <c r="JX54" s="11">
        <v>2548</v>
      </c>
      <c r="JY54" s="11">
        <v>2534</v>
      </c>
      <c r="JZ54" s="11">
        <v>2252</v>
      </c>
      <c r="KA54" s="11">
        <v>2705</v>
      </c>
      <c r="KB54" s="11">
        <v>2960</v>
      </c>
      <c r="KC54" s="11">
        <v>2402</v>
      </c>
      <c r="KD54" s="11">
        <v>2302</v>
      </c>
      <c r="KE54" s="11">
        <v>1949</v>
      </c>
      <c r="KF54" s="11">
        <v>1725</v>
      </c>
      <c r="KG54" s="11">
        <v>1870</v>
      </c>
      <c r="KH54" s="11">
        <v>1849</v>
      </c>
      <c r="KI54" s="11">
        <v>2106</v>
      </c>
      <c r="KJ54" s="27">
        <f t="shared" si="25"/>
        <v>27202</v>
      </c>
      <c r="KK54" s="11">
        <v>4972</v>
      </c>
      <c r="KL54" s="11">
        <v>4684</v>
      </c>
      <c r="KM54" s="11">
        <v>4263</v>
      </c>
      <c r="KN54" s="11">
        <v>4933</v>
      </c>
      <c r="KO54" s="11">
        <v>4763</v>
      </c>
      <c r="KP54" s="11">
        <v>4182</v>
      </c>
      <c r="KQ54" s="11">
        <v>4971</v>
      </c>
      <c r="KR54" s="11">
        <v>4857</v>
      </c>
      <c r="KS54" s="11">
        <v>4306</v>
      </c>
      <c r="KT54" s="11">
        <v>5422</v>
      </c>
      <c r="KU54" s="11">
        <v>4365</v>
      </c>
      <c r="KV54" s="11">
        <v>4483</v>
      </c>
      <c r="KW54" s="27">
        <f t="shared" si="26"/>
        <v>56201</v>
      </c>
      <c r="KX54" s="11">
        <v>4648</v>
      </c>
      <c r="KY54" s="11">
        <v>4380</v>
      </c>
      <c r="KZ54" s="11">
        <v>3960</v>
      </c>
      <c r="LA54" s="11">
        <v>4569</v>
      </c>
      <c r="LB54" s="11">
        <v>4361</v>
      </c>
      <c r="LC54" s="11">
        <v>3899</v>
      </c>
      <c r="LD54" s="11">
        <v>4617</v>
      </c>
      <c r="LE54" s="11">
        <v>4642</v>
      </c>
      <c r="LF54" s="11">
        <v>3972</v>
      </c>
      <c r="LG54" s="11">
        <v>5152</v>
      </c>
      <c r="LH54" s="11">
        <v>4127</v>
      </c>
      <c r="LI54" s="11">
        <v>4184</v>
      </c>
      <c r="LJ54" s="27">
        <f t="shared" si="27"/>
        <v>52511</v>
      </c>
      <c r="LK54" s="11">
        <v>305</v>
      </c>
      <c r="LL54" s="11">
        <v>279</v>
      </c>
      <c r="LM54" s="11">
        <v>280</v>
      </c>
      <c r="LN54" s="11">
        <v>332</v>
      </c>
      <c r="LO54" s="11">
        <v>361</v>
      </c>
      <c r="LP54" s="11">
        <v>246</v>
      </c>
      <c r="LQ54" s="11">
        <v>322</v>
      </c>
      <c r="LR54" s="11">
        <v>193</v>
      </c>
      <c r="LS54" s="11">
        <v>300</v>
      </c>
      <c r="LT54" s="11">
        <v>248</v>
      </c>
      <c r="LU54" s="11">
        <v>213</v>
      </c>
      <c r="LV54" s="11">
        <v>273</v>
      </c>
      <c r="LW54" s="27">
        <f t="shared" si="28"/>
        <v>3352</v>
      </c>
      <c r="LX54" s="11">
        <v>19</v>
      </c>
      <c r="LY54" s="11">
        <v>25</v>
      </c>
      <c r="LZ54" s="11">
        <v>23</v>
      </c>
      <c r="MA54" s="11">
        <v>32</v>
      </c>
      <c r="MB54" s="11">
        <v>41</v>
      </c>
      <c r="MC54" s="11">
        <v>37</v>
      </c>
      <c r="MD54" s="11">
        <v>32</v>
      </c>
      <c r="ME54" s="11">
        <v>22</v>
      </c>
      <c r="MF54" s="11">
        <v>34</v>
      </c>
      <c r="MG54" s="11">
        <v>22</v>
      </c>
      <c r="MH54" s="11">
        <v>25</v>
      </c>
      <c r="MI54" s="11">
        <v>26</v>
      </c>
      <c r="MJ54" s="27">
        <f t="shared" si="29"/>
        <v>338</v>
      </c>
      <c r="MK54" s="11">
        <v>11585</v>
      </c>
      <c r="ML54" s="11">
        <v>11867</v>
      </c>
      <c r="MM54" s="11">
        <v>11489</v>
      </c>
      <c r="MN54" s="11">
        <v>12095</v>
      </c>
      <c r="MO54" s="11">
        <v>12200</v>
      </c>
      <c r="MP54" s="11">
        <v>11645</v>
      </c>
      <c r="MQ54" s="11">
        <v>11902</v>
      </c>
      <c r="MR54" s="11">
        <v>11383</v>
      </c>
      <c r="MS54" s="11">
        <v>11825</v>
      </c>
      <c r="MT54" s="11">
        <v>12749</v>
      </c>
      <c r="MU54" s="11">
        <v>11834</v>
      </c>
      <c r="MV54" s="11">
        <v>12334</v>
      </c>
      <c r="MW54" s="27">
        <f t="shared" si="30"/>
        <v>142908</v>
      </c>
      <c r="MX54" s="11">
        <v>0</v>
      </c>
      <c r="MY54" s="11">
        <v>0</v>
      </c>
      <c r="MZ54" s="11">
        <v>0</v>
      </c>
      <c r="NA54" s="11">
        <v>0</v>
      </c>
      <c r="NB54" s="11">
        <v>0</v>
      </c>
      <c r="NC54" s="11">
        <v>0</v>
      </c>
      <c r="ND54" s="11">
        <v>0</v>
      </c>
      <c r="NE54" s="11">
        <v>0</v>
      </c>
      <c r="NF54" s="11">
        <v>0</v>
      </c>
      <c r="NG54" s="11">
        <v>0</v>
      </c>
      <c r="NH54" s="11">
        <v>0</v>
      </c>
      <c r="NI54" s="11">
        <v>0</v>
      </c>
      <c r="NJ54" s="27">
        <f t="shared" si="31"/>
        <v>0</v>
      </c>
      <c r="NK54" s="11">
        <v>0</v>
      </c>
      <c r="NL54" s="11">
        <v>0</v>
      </c>
      <c r="NM54" s="11">
        <v>0</v>
      </c>
      <c r="NN54" s="11">
        <v>0</v>
      </c>
      <c r="NO54" s="11">
        <v>0</v>
      </c>
      <c r="NP54" s="11">
        <v>0</v>
      </c>
      <c r="NQ54" s="11">
        <v>0</v>
      </c>
      <c r="NR54" s="11">
        <v>0</v>
      </c>
      <c r="NS54" s="11">
        <v>0</v>
      </c>
      <c r="NT54" s="11">
        <v>0</v>
      </c>
      <c r="NU54" s="11">
        <v>0</v>
      </c>
      <c r="NV54" s="11">
        <v>0</v>
      </c>
      <c r="NW54" s="27">
        <f t="shared" si="32"/>
        <v>0</v>
      </c>
      <c r="NX54" s="11">
        <v>0</v>
      </c>
      <c r="NY54" s="11">
        <v>0</v>
      </c>
      <c r="NZ54" s="11">
        <v>0</v>
      </c>
      <c r="OA54" s="11">
        <v>0</v>
      </c>
      <c r="OB54" s="11">
        <v>0</v>
      </c>
      <c r="OC54" s="11">
        <v>0</v>
      </c>
      <c r="OD54" s="11">
        <v>0</v>
      </c>
      <c r="OE54" s="11">
        <v>0</v>
      </c>
      <c r="OF54" s="11">
        <v>0</v>
      </c>
      <c r="OG54" s="11">
        <v>0</v>
      </c>
      <c r="OH54" s="11">
        <v>0</v>
      </c>
      <c r="OI54" s="11">
        <v>0</v>
      </c>
      <c r="OJ54" s="27">
        <f t="shared" si="33"/>
        <v>0</v>
      </c>
      <c r="OK54" s="11">
        <v>10031</v>
      </c>
      <c r="OL54" s="11">
        <v>10032</v>
      </c>
      <c r="OM54" s="11">
        <v>9706</v>
      </c>
      <c r="ON54" s="11">
        <v>10167</v>
      </c>
      <c r="OO54" s="11">
        <v>10707</v>
      </c>
      <c r="OP54" s="11">
        <v>10594</v>
      </c>
      <c r="OQ54" s="11">
        <v>11247</v>
      </c>
      <c r="OR54" s="11">
        <v>10907</v>
      </c>
      <c r="OS54" s="11">
        <v>10985</v>
      </c>
      <c r="OT54" s="11">
        <v>12539</v>
      </c>
      <c r="OU54" s="11">
        <v>11582</v>
      </c>
      <c r="OV54" s="11">
        <v>12835</v>
      </c>
      <c r="OW54" s="27">
        <f t="shared" si="34"/>
        <v>131332</v>
      </c>
      <c r="OX54" s="11">
        <v>0</v>
      </c>
      <c r="OY54" s="11">
        <v>0</v>
      </c>
      <c r="OZ54" s="11">
        <v>0</v>
      </c>
      <c r="PA54" s="11">
        <v>0</v>
      </c>
      <c r="PB54" s="11">
        <v>0</v>
      </c>
      <c r="PC54" s="11">
        <v>0</v>
      </c>
      <c r="PD54" s="11">
        <v>0</v>
      </c>
      <c r="PE54" s="11">
        <v>0</v>
      </c>
      <c r="PF54" s="11">
        <v>0</v>
      </c>
      <c r="PG54" s="11">
        <v>0</v>
      </c>
      <c r="PH54" s="11">
        <v>0</v>
      </c>
      <c r="PI54" s="11">
        <v>0</v>
      </c>
      <c r="PJ54" s="27">
        <f t="shared" si="35"/>
        <v>0</v>
      </c>
      <c r="PK54" s="11">
        <v>0</v>
      </c>
      <c r="PL54" s="11">
        <v>0</v>
      </c>
      <c r="PM54" s="11">
        <v>0</v>
      </c>
      <c r="PN54" s="11">
        <v>0</v>
      </c>
      <c r="PO54" s="11">
        <v>0</v>
      </c>
      <c r="PP54" s="11">
        <v>0</v>
      </c>
      <c r="PQ54" s="11">
        <v>0</v>
      </c>
      <c r="PR54" s="11">
        <v>0</v>
      </c>
      <c r="PS54" s="11">
        <v>0</v>
      </c>
      <c r="PT54" s="11">
        <v>0</v>
      </c>
      <c r="PU54" s="11">
        <v>0</v>
      </c>
      <c r="PV54" s="11">
        <v>0</v>
      </c>
      <c r="PW54" s="27">
        <f t="shared" si="36"/>
        <v>0</v>
      </c>
      <c r="PX54" s="11">
        <v>0</v>
      </c>
      <c r="PY54" s="11">
        <v>0</v>
      </c>
      <c r="PZ54" s="11">
        <v>0</v>
      </c>
      <c r="QA54" s="11">
        <v>0</v>
      </c>
      <c r="QB54" s="11">
        <v>0</v>
      </c>
      <c r="QC54" s="11">
        <v>0</v>
      </c>
      <c r="QD54" s="11">
        <v>0</v>
      </c>
      <c r="QE54" s="11">
        <v>0</v>
      </c>
      <c r="QF54" s="11">
        <v>0</v>
      </c>
      <c r="QG54" s="11">
        <v>0</v>
      </c>
      <c r="QH54" s="11">
        <v>0</v>
      </c>
      <c r="QI54" s="11">
        <v>0</v>
      </c>
      <c r="QJ54" s="27">
        <f t="shared" si="37"/>
        <v>0</v>
      </c>
      <c r="QK54" s="11">
        <v>89123</v>
      </c>
      <c r="QL54" s="11">
        <v>83887</v>
      </c>
      <c r="QM54" s="11">
        <v>79551</v>
      </c>
      <c r="QN54" s="11">
        <v>89981</v>
      </c>
      <c r="QO54" s="11">
        <v>92872</v>
      </c>
      <c r="QP54" s="11">
        <v>85939</v>
      </c>
      <c r="QQ54" s="11">
        <v>94137</v>
      </c>
      <c r="QR54" s="11">
        <v>86936</v>
      </c>
      <c r="QS54" s="11">
        <v>73564</v>
      </c>
      <c r="QT54" s="11">
        <v>88638</v>
      </c>
      <c r="QU54" s="11">
        <v>86394</v>
      </c>
      <c r="QV54" s="11">
        <v>89887</v>
      </c>
      <c r="QW54" s="27">
        <f t="shared" si="38"/>
        <v>1040909</v>
      </c>
      <c r="QX54" s="11">
        <v>0</v>
      </c>
      <c r="QY54" s="11">
        <v>0</v>
      </c>
      <c r="QZ54" s="11">
        <v>0</v>
      </c>
      <c r="RA54" s="11">
        <v>0</v>
      </c>
      <c r="RB54" s="11">
        <v>0</v>
      </c>
      <c r="RC54" s="11">
        <v>0</v>
      </c>
      <c r="RD54" s="11">
        <v>0</v>
      </c>
      <c r="RE54" s="11">
        <v>0</v>
      </c>
      <c r="RF54" s="11">
        <v>0</v>
      </c>
      <c r="RG54" s="11">
        <v>0</v>
      </c>
      <c r="RH54" s="11">
        <v>0</v>
      </c>
      <c r="RI54" s="11">
        <v>0</v>
      </c>
      <c r="RJ54" s="27">
        <f t="shared" si="39"/>
        <v>0</v>
      </c>
      <c r="RK54" s="11">
        <v>0</v>
      </c>
      <c r="RL54" s="11">
        <v>0</v>
      </c>
      <c r="RM54" s="11">
        <v>0</v>
      </c>
      <c r="RN54" s="11">
        <v>0</v>
      </c>
      <c r="RO54" s="11">
        <v>0</v>
      </c>
      <c r="RP54" s="11">
        <v>0</v>
      </c>
      <c r="RQ54" s="11">
        <v>0</v>
      </c>
      <c r="RR54" s="11">
        <v>0</v>
      </c>
      <c r="RS54" s="11">
        <v>0</v>
      </c>
      <c r="RT54" s="11">
        <v>0</v>
      </c>
      <c r="RU54" s="11">
        <v>0</v>
      </c>
      <c r="RV54" s="11">
        <v>0</v>
      </c>
      <c r="RW54" s="27">
        <f t="shared" si="40"/>
        <v>0</v>
      </c>
      <c r="RX54" s="11">
        <v>5576</v>
      </c>
      <c r="RY54" s="11">
        <v>6311</v>
      </c>
      <c r="RZ54" s="11">
        <v>4865</v>
      </c>
      <c r="SA54" s="11">
        <v>5049</v>
      </c>
      <c r="SB54" s="11">
        <v>5028</v>
      </c>
      <c r="SC54" s="11">
        <v>4448</v>
      </c>
      <c r="SD54" s="11">
        <v>7091</v>
      </c>
      <c r="SE54" s="11">
        <v>5201</v>
      </c>
      <c r="SF54" s="11">
        <v>4524</v>
      </c>
      <c r="SG54" s="11">
        <v>6221</v>
      </c>
      <c r="SH54" s="11">
        <v>4862</v>
      </c>
      <c r="SI54" s="11">
        <v>5434</v>
      </c>
      <c r="SJ54" s="27">
        <f t="shared" si="41"/>
        <v>64610</v>
      </c>
      <c r="SK54" s="11">
        <v>571</v>
      </c>
      <c r="SL54" s="11">
        <v>547</v>
      </c>
      <c r="SM54" s="11">
        <v>539</v>
      </c>
      <c r="SN54" s="11">
        <v>584</v>
      </c>
      <c r="SO54" s="11">
        <v>565</v>
      </c>
      <c r="SP54" s="11">
        <v>516</v>
      </c>
      <c r="SQ54" s="11">
        <v>577</v>
      </c>
      <c r="SR54" s="11">
        <v>575</v>
      </c>
      <c r="SS54" s="11">
        <v>502</v>
      </c>
      <c r="ST54" s="11">
        <v>549</v>
      </c>
      <c r="SU54" s="11">
        <v>535</v>
      </c>
      <c r="SV54" s="11">
        <v>543</v>
      </c>
      <c r="SW54" s="27">
        <f t="shared" si="42"/>
        <v>6603</v>
      </c>
      <c r="SX54" s="11" t="s">
        <v>2694</v>
      </c>
      <c r="SY54" s="11">
        <v>6453</v>
      </c>
      <c r="SZ54" s="11">
        <v>6377</v>
      </c>
      <c r="TA54" s="11">
        <v>5982</v>
      </c>
      <c r="TB54" s="11">
        <v>6656</v>
      </c>
      <c r="TC54" s="11">
        <v>6810</v>
      </c>
      <c r="TD54" s="11">
        <v>5768</v>
      </c>
      <c r="TE54" s="11">
        <v>6656</v>
      </c>
      <c r="TF54" s="11">
        <v>6274</v>
      </c>
      <c r="TG54" s="11">
        <v>5101</v>
      </c>
      <c r="TH54" s="11">
        <v>6384</v>
      </c>
      <c r="TI54" s="11">
        <v>6110</v>
      </c>
      <c r="TJ54" s="11">
        <v>6025</v>
      </c>
      <c r="TK54" s="27">
        <f t="shared" si="43"/>
        <v>74596</v>
      </c>
      <c r="TL54" s="11">
        <v>4362</v>
      </c>
      <c r="TM54" s="11">
        <v>4365</v>
      </c>
      <c r="TN54" s="11">
        <v>3994</v>
      </c>
      <c r="TO54" s="11">
        <v>3621</v>
      </c>
      <c r="TP54" s="11">
        <v>3625</v>
      </c>
      <c r="TQ54" s="11">
        <v>3802</v>
      </c>
      <c r="TR54" s="11">
        <v>4075</v>
      </c>
      <c r="TS54" s="11">
        <v>4251</v>
      </c>
      <c r="TT54" s="11">
        <v>3576</v>
      </c>
      <c r="TU54" s="11">
        <v>5348</v>
      </c>
      <c r="TV54" s="11">
        <v>4615</v>
      </c>
      <c r="TW54" s="11">
        <v>5098</v>
      </c>
      <c r="TX54" s="27">
        <f t="shared" si="44"/>
        <v>50732</v>
      </c>
      <c r="TY54" s="11">
        <v>188</v>
      </c>
      <c r="TZ54" s="11">
        <v>6</v>
      </c>
      <c r="UA54" s="11">
        <v>350</v>
      </c>
    </row>
    <row r="55" spans="1:547" ht="16" customHeight="1" x14ac:dyDescent="0.35">
      <c r="A55" s="11" t="s">
        <v>1460</v>
      </c>
      <c r="B55" s="11">
        <v>29775</v>
      </c>
      <c r="C55" s="11">
        <v>6138</v>
      </c>
      <c r="D55" s="11">
        <v>2270</v>
      </c>
      <c r="E55" s="11">
        <v>21367</v>
      </c>
      <c r="F55" s="11">
        <v>172</v>
      </c>
      <c r="G55" s="11">
        <v>130</v>
      </c>
      <c r="H55" s="11">
        <v>173</v>
      </c>
      <c r="I55" s="11">
        <v>144</v>
      </c>
      <c r="J55" s="11">
        <v>119</v>
      </c>
      <c r="K55" s="11">
        <v>142</v>
      </c>
      <c r="L55" s="11">
        <v>127</v>
      </c>
      <c r="M55" s="11">
        <v>138</v>
      </c>
      <c r="N55" s="11">
        <v>128</v>
      </c>
      <c r="O55" s="11">
        <v>180</v>
      </c>
      <c r="P55" s="11" t="s">
        <v>2865</v>
      </c>
      <c r="Q55" s="11">
        <v>187</v>
      </c>
      <c r="R55" s="11">
        <v>250</v>
      </c>
      <c r="S55" s="26">
        <f t="shared" si="0"/>
        <v>1890</v>
      </c>
      <c r="T55" s="11">
        <v>0</v>
      </c>
      <c r="U55" s="11">
        <v>0</v>
      </c>
      <c r="V55" s="11">
        <v>0</v>
      </c>
      <c r="W55" s="11">
        <v>0</v>
      </c>
      <c r="X55" s="11">
        <v>0</v>
      </c>
      <c r="Y55" s="11">
        <v>0</v>
      </c>
      <c r="Z55" s="11">
        <v>0</v>
      </c>
      <c r="AA55" s="11">
        <v>0</v>
      </c>
      <c r="AB55" s="11">
        <v>0</v>
      </c>
      <c r="AC55" s="11">
        <v>0</v>
      </c>
      <c r="AD55" s="11">
        <v>0</v>
      </c>
      <c r="AE55" s="11">
        <v>0</v>
      </c>
      <c r="AF55" s="26">
        <f t="shared" si="1"/>
        <v>0</v>
      </c>
      <c r="AG55" s="11">
        <v>0</v>
      </c>
      <c r="AH55" s="11">
        <v>0</v>
      </c>
      <c r="AI55" s="11">
        <v>0</v>
      </c>
      <c r="AJ55" s="11">
        <v>0</v>
      </c>
      <c r="AK55" s="11">
        <v>0</v>
      </c>
      <c r="AL55" s="11">
        <v>0</v>
      </c>
      <c r="AM55" s="11">
        <v>0</v>
      </c>
      <c r="AN55" s="11">
        <v>0</v>
      </c>
      <c r="AO55" s="11">
        <v>0</v>
      </c>
      <c r="AP55" s="11">
        <v>0</v>
      </c>
      <c r="AQ55" s="11">
        <v>0</v>
      </c>
      <c r="AR55" s="11">
        <v>0</v>
      </c>
      <c r="AS55" s="26">
        <f t="shared" si="2"/>
        <v>0</v>
      </c>
      <c r="AT55" s="11">
        <v>0</v>
      </c>
      <c r="AU55" s="11">
        <v>0</v>
      </c>
      <c r="AV55" s="11">
        <v>0</v>
      </c>
      <c r="AW55" s="11">
        <v>0</v>
      </c>
      <c r="AX55" s="11">
        <v>0</v>
      </c>
      <c r="AY55" s="11">
        <v>0</v>
      </c>
      <c r="AZ55" s="11">
        <v>0</v>
      </c>
      <c r="BA55" s="11">
        <v>0</v>
      </c>
      <c r="BB55" s="11">
        <v>0</v>
      </c>
      <c r="BC55" s="11">
        <v>0</v>
      </c>
      <c r="BD55" s="11">
        <v>0</v>
      </c>
      <c r="BE55" s="11">
        <v>0</v>
      </c>
      <c r="BF55" s="26">
        <f t="shared" si="3"/>
        <v>0</v>
      </c>
      <c r="BG55" s="11">
        <v>0</v>
      </c>
      <c r="BH55" s="11">
        <v>0</v>
      </c>
      <c r="BI55" s="11">
        <v>0</v>
      </c>
      <c r="BJ55" s="11">
        <v>0</v>
      </c>
      <c r="BK55" s="11">
        <v>0</v>
      </c>
      <c r="BL55" s="11">
        <v>0</v>
      </c>
      <c r="BM55" s="11">
        <v>0</v>
      </c>
      <c r="BN55" s="11">
        <v>0</v>
      </c>
      <c r="BO55" s="11">
        <v>0</v>
      </c>
      <c r="BP55" s="11">
        <v>0</v>
      </c>
      <c r="BQ55" s="11">
        <v>0</v>
      </c>
      <c r="BR55" s="11">
        <v>0</v>
      </c>
      <c r="BS55" s="26">
        <f t="shared" si="4"/>
        <v>0</v>
      </c>
      <c r="BT55" s="11">
        <v>0</v>
      </c>
      <c r="BU55" s="11">
        <v>0</v>
      </c>
      <c r="BV55" s="11">
        <v>0</v>
      </c>
      <c r="BW55" s="11">
        <v>0</v>
      </c>
      <c r="BX55" s="11">
        <v>0</v>
      </c>
      <c r="BY55" s="11">
        <v>0</v>
      </c>
      <c r="BZ55" s="11">
        <v>0</v>
      </c>
      <c r="CA55" s="11">
        <v>0</v>
      </c>
      <c r="CB55" s="11">
        <v>0</v>
      </c>
      <c r="CC55" s="11">
        <v>0</v>
      </c>
      <c r="CD55" s="11">
        <v>0</v>
      </c>
      <c r="CE55" s="11">
        <v>0</v>
      </c>
      <c r="CF55" s="26">
        <f t="shared" si="5"/>
        <v>0</v>
      </c>
      <c r="CG55" s="11">
        <v>0</v>
      </c>
      <c r="CH55" s="11">
        <v>0</v>
      </c>
      <c r="CI55" s="11">
        <v>0</v>
      </c>
      <c r="CJ55" s="11">
        <v>0</v>
      </c>
      <c r="CK55" s="11">
        <v>0</v>
      </c>
      <c r="CL55" s="11">
        <v>0</v>
      </c>
      <c r="CM55" s="11">
        <v>0</v>
      </c>
      <c r="CN55" s="11">
        <v>0</v>
      </c>
      <c r="CO55" s="11">
        <v>0</v>
      </c>
      <c r="CP55" s="11">
        <v>0</v>
      </c>
      <c r="CQ55" s="11">
        <v>0</v>
      </c>
      <c r="CR55" s="11">
        <v>0</v>
      </c>
      <c r="CS55" s="26">
        <f t="shared" si="6"/>
        <v>0</v>
      </c>
      <c r="CT55" s="11">
        <v>0</v>
      </c>
      <c r="CU55" s="11">
        <v>0</v>
      </c>
      <c r="CV55" s="11">
        <v>0</v>
      </c>
      <c r="CW55" s="11">
        <v>0</v>
      </c>
      <c r="CX55" s="11">
        <v>0</v>
      </c>
      <c r="CY55" s="11">
        <v>0</v>
      </c>
      <c r="CZ55" s="11">
        <v>0</v>
      </c>
      <c r="DA55" s="11">
        <v>0</v>
      </c>
      <c r="DB55" s="11">
        <v>0</v>
      </c>
      <c r="DC55" s="11">
        <v>0</v>
      </c>
      <c r="DD55" s="11">
        <v>0</v>
      </c>
      <c r="DE55" s="11">
        <v>0</v>
      </c>
      <c r="DF55" s="26">
        <f t="shared" si="7"/>
        <v>0</v>
      </c>
      <c r="DG55" s="11">
        <v>0</v>
      </c>
      <c r="DH55" s="11">
        <v>0</v>
      </c>
      <c r="DI55" s="11">
        <v>0</v>
      </c>
      <c r="DJ55" s="11">
        <v>0</v>
      </c>
      <c r="DK55" s="11">
        <v>0</v>
      </c>
      <c r="DL55" s="11">
        <v>0</v>
      </c>
      <c r="DM55" s="11">
        <v>0</v>
      </c>
      <c r="DN55" s="11">
        <v>0</v>
      </c>
      <c r="DO55" s="11">
        <v>0</v>
      </c>
      <c r="DP55" s="11">
        <v>0</v>
      </c>
      <c r="DQ55" s="11">
        <v>0</v>
      </c>
      <c r="DR55" s="11">
        <v>0</v>
      </c>
      <c r="DS55" s="26">
        <f t="shared" si="8"/>
        <v>0</v>
      </c>
      <c r="DT55" s="11">
        <v>0</v>
      </c>
      <c r="DU55" s="11">
        <v>0</v>
      </c>
      <c r="DV55" s="11">
        <v>0</v>
      </c>
      <c r="DW55" s="11">
        <v>0</v>
      </c>
      <c r="DX55" s="11">
        <v>0</v>
      </c>
      <c r="DY55" s="11">
        <v>0</v>
      </c>
      <c r="DZ55" s="11">
        <v>0</v>
      </c>
      <c r="EA55" s="11">
        <v>0</v>
      </c>
      <c r="EB55" s="11">
        <v>0</v>
      </c>
      <c r="EC55" s="11">
        <v>0</v>
      </c>
      <c r="ED55" s="11">
        <v>0</v>
      </c>
      <c r="EE55" s="11">
        <v>0</v>
      </c>
      <c r="EF55" s="26">
        <f t="shared" si="9"/>
        <v>0</v>
      </c>
      <c r="EG55" s="9">
        <f t="shared" si="10"/>
        <v>0</v>
      </c>
      <c r="EH55" s="9">
        <f t="shared" si="11"/>
        <v>0</v>
      </c>
      <c r="EI55" s="11">
        <v>1999</v>
      </c>
      <c r="EJ55" s="11">
        <v>1858</v>
      </c>
      <c r="EK55" s="11">
        <v>2049</v>
      </c>
      <c r="EL55" s="11">
        <v>1587</v>
      </c>
      <c r="EM55" s="11">
        <v>1493</v>
      </c>
      <c r="EN55" s="11">
        <v>1260</v>
      </c>
      <c r="EO55" s="11">
        <v>2306</v>
      </c>
      <c r="EP55" s="11">
        <v>2182</v>
      </c>
      <c r="EQ55" s="11">
        <v>1771</v>
      </c>
      <c r="ER55" s="11">
        <v>2054</v>
      </c>
      <c r="ES55" s="11">
        <v>2645</v>
      </c>
      <c r="ET55" s="11">
        <v>4072</v>
      </c>
      <c r="EU55" s="26">
        <f t="shared" si="12"/>
        <v>25276</v>
      </c>
      <c r="EV55" s="11">
        <v>0</v>
      </c>
      <c r="EW55" s="11">
        <v>0</v>
      </c>
      <c r="EX55" s="11">
        <v>0</v>
      </c>
      <c r="EY55" s="11">
        <v>0</v>
      </c>
      <c r="EZ55" s="11">
        <v>0</v>
      </c>
      <c r="FA55" s="11">
        <v>0</v>
      </c>
      <c r="FB55" s="11">
        <v>0</v>
      </c>
      <c r="FC55" s="11">
        <v>0</v>
      </c>
      <c r="FD55" s="11">
        <v>0</v>
      </c>
      <c r="FE55" s="11">
        <v>0</v>
      </c>
      <c r="FF55" s="11">
        <v>0</v>
      </c>
      <c r="FG55" s="11">
        <v>0</v>
      </c>
      <c r="FH55" s="26">
        <f t="shared" si="13"/>
        <v>0</v>
      </c>
      <c r="FI55" s="11">
        <v>0</v>
      </c>
      <c r="FJ55" s="11">
        <v>0</v>
      </c>
      <c r="FK55" s="11">
        <v>0</v>
      </c>
      <c r="FL55" s="11">
        <v>0</v>
      </c>
      <c r="FM55" s="11">
        <v>0</v>
      </c>
      <c r="FN55" s="11">
        <v>0</v>
      </c>
      <c r="FO55" s="11">
        <v>0</v>
      </c>
      <c r="FP55" s="11">
        <v>0</v>
      </c>
      <c r="FQ55" s="11">
        <v>0</v>
      </c>
      <c r="FR55" s="11">
        <v>0</v>
      </c>
      <c r="FS55" s="11">
        <v>0</v>
      </c>
      <c r="FT55" s="11">
        <v>0</v>
      </c>
      <c r="FU55" s="26">
        <f t="shared" si="14"/>
        <v>0</v>
      </c>
      <c r="FV55" s="11">
        <v>0</v>
      </c>
      <c r="FW55" s="11">
        <v>0</v>
      </c>
      <c r="FX55" s="11">
        <v>0</v>
      </c>
      <c r="FY55" s="11">
        <v>0</v>
      </c>
      <c r="FZ55" s="11">
        <v>0</v>
      </c>
      <c r="GA55" s="11">
        <v>0</v>
      </c>
      <c r="GB55" s="11">
        <v>0</v>
      </c>
      <c r="GC55" s="11">
        <v>0</v>
      </c>
      <c r="GD55" s="11">
        <v>0</v>
      </c>
      <c r="GE55" s="11">
        <v>0</v>
      </c>
      <c r="GF55" s="11">
        <v>0</v>
      </c>
      <c r="GG55" s="11">
        <v>0</v>
      </c>
      <c r="GH55" s="26">
        <f t="shared" si="15"/>
        <v>0</v>
      </c>
      <c r="GI55" s="11">
        <v>0</v>
      </c>
      <c r="GJ55" s="11">
        <v>0</v>
      </c>
      <c r="GK55" s="11">
        <v>0</v>
      </c>
      <c r="GL55" s="11">
        <v>0</v>
      </c>
      <c r="GM55" s="11">
        <v>0</v>
      </c>
      <c r="GN55" s="11">
        <v>0</v>
      </c>
      <c r="GO55" s="11">
        <v>0</v>
      </c>
      <c r="GP55" s="11">
        <v>0</v>
      </c>
      <c r="GQ55" s="11">
        <v>0</v>
      </c>
      <c r="GR55" s="11">
        <v>0</v>
      </c>
      <c r="GS55" s="11">
        <v>0</v>
      </c>
      <c r="GT55" s="11">
        <v>0</v>
      </c>
      <c r="GU55" s="26">
        <f t="shared" si="16"/>
        <v>0</v>
      </c>
      <c r="GV55" s="11">
        <v>0</v>
      </c>
      <c r="GW55" s="11">
        <v>0</v>
      </c>
      <c r="GX55" s="11">
        <v>0</v>
      </c>
      <c r="GY55" s="11">
        <v>0</v>
      </c>
      <c r="GZ55" s="11">
        <v>0</v>
      </c>
      <c r="HA55" s="11">
        <v>0</v>
      </c>
      <c r="HB55" s="11">
        <v>0</v>
      </c>
      <c r="HC55" s="11">
        <v>0</v>
      </c>
      <c r="HD55" s="11">
        <v>0</v>
      </c>
      <c r="HE55" s="11">
        <v>0</v>
      </c>
      <c r="HF55" s="11">
        <v>0</v>
      </c>
      <c r="HG55" s="11">
        <v>0</v>
      </c>
      <c r="HH55" s="26">
        <f t="shared" si="17"/>
        <v>0</v>
      </c>
      <c r="HI55" s="11">
        <v>0</v>
      </c>
      <c r="HJ55" s="11">
        <v>0</v>
      </c>
      <c r="HK55" s="11">
        <v>0</v>
      </c>
      <c r="HL55" s="11">
        <v>0</v>
      </c>
      <c r="HM55" s="11">
        <v>0</v>
      </c>
      <c r="HN55" s="11">
        <v>0</v>
      </c>
      <c r="HO55" s="11">
        <v>0</v>
      </c>
      <c r="HP55" s="11">
        <v>0</v>
      </c>
      <c r="HQ55" s="11">
        <v>0</v>
      </c>
      <c r="HR55" s="11">
        <v>0</v>
      </c>
      <c r="HS55" s="11">
        <v>0</v>
      </c>
      <c r="HT55" s="11">
        <v>0</v>
      </c>
      <c r="HU55" s="26">
        <f t="shared" si="18"/>
        <v>0</v>
      </c>
      <c r="HV55" s="11">
        <v>0</v>
      </c>
      <c r="HW55" s="11">
        <v>0</v>
      </c>
      <c r="HX55" s="11">
        <v>0</v>
      </c>
      <c r="HY55" s="11">
        <v>0</v>
      </c>
      <c r="HZ55" s="11">
        <v>0</v>
      </c>
      <c r="IA55" s="11">
        <v>0</v>
      </c>
      <c r="IB55" s="11">
        <v>0</v>
      </c>
      <c r="IC55" s="11">
        <v>0</v>
      </c>
      <c r="ID55" s="11">
        <v>0</v>
      </c>
      <c r="IE55" s="11">
        <v>0</v>
      </c>
      <c r="IF55" s="11">
        <v>0</v>
      </c>
      <c r="IG55" s="11">
        <v>0</v>
      </c>
      <c r="IH55" s="26">
        <f t="shared" si="19"/>
        <v>0</v>
      </c>
      <c r="II55" s="9">
        <f t="shared" si="20"/>
        <v>0</v>
      </c>
      <c r="IJ55" s="9">
        <f t="shared" si="21"/>
        <v>0</v>
      </c>
      <c r="IK55" s="11">
        <v>54588</v>
      </c>
      <c r="IL55" s="11">
        <v>52643</v>
      </c>
      <c r="IM55" s="11">
        <v>49864</v>
      </c>
      <c r="IN55" s="11">
        <v>55466</v>
      </c>
      <c r="IO55" s="11">
        <v>51819</v>
      </c>
      <c r="IP55" s="11">
        <v>52158</v>
      </c>
      <c r="IQ55" s="11">
        <v>53527</v>
      </c>
      <c r="IR55" s="11">
        <v>47144</v>
      </c>
      <c r="IS55" s="11">
        <v>37724</v>
      </c>
      <c r="IT55" s="11">
        <v>51880</v>
      </c>
      <c r="IU55" s="11">
        <v>49552</v>
      </c>
      <c r="IV55" s="11">
        <v>50645</v>
      </c>
      <c r="IW55" s="27">
        <f t="shared" si="22"/>
        <v>607010</v>
      </c>
      <c r="IX55" s="11">
        <v>0</v>
      </c>
      <c r="IY55" s="11">
        <v>0</v>
      </c>
      <c r="IZ55" s="11">
        <v>0</v>
      </c>
      <c r="JA55" s="11">
        <v>0</v>
      </c>
      <c r="JB55" s="11">
        <v>0</v>
      </c>
      <c r="JC55" s="11">
        <v>0</v>
      </c>
      <c r="JD55" s="11">
        <v>0</v>
      </c>
      <c r="JE55" s="11">
        <v>0</v>
      </c>
      <c r="JF55" s="11">
        <v>0</v>
      </c>
      <c r="JG55" s="11">
        <v>0</v>
      </c>
      <c r="JH55" s="11">
        <v>0</v>
      </c>
      <c r="JI55" s="11">
        <v>0</v>
      </c>
      <c r="JJ55" s="27">
        <f t="shared" si="23"/>
        <v>0</v>
      </c>
      <c r="JK55" s="11">
        <v>0</v>
      </c>
      <c r="JL55" s="11">
        <v>0</v>
      </c>
      <c r="JM55" s="11">
        <v>0</v>
      </c>
      <c r="JN55" s="11">
        <v>0</v>
      </c>
      <c r="JO55" s="11">
        <v>0</v>
      </c>
      <c r="JP55" s="11">
        <v>0</v>
      </c>
      <c r="JQ55" s="11">
        <v>0</v>
      </c>
      <c r="JR55" s="11">
        <v>0</v>
      </c>
      <c r="JS55" s="11">
        <v>0</v>
      </c>
      <c r="JT55" s="11">
        <v>0</v>
      </c>
      <c r="JU55" s="11">
        <v>0</v>
      </c>
      <c r="JV55" s="11">
        <v>0</v>
      </c>
      <c r="JW55" s="27">
        <f t="shared" si="24"/>
        <v>0</v>
      </c>
      <c r="JX55" s="11">
        <v>0</v>
      </c>
      <c r="JY55" s="11">
        <v>0</v>
      </c>
      <c r="JZ55" s="11">
        <v>0</v>
      </c>
      <c r="KA55" s="11">
        <v>0</v>
      </c>
      <c r="KB55" s="11">
        <v>0</v>
      </c>
      <c r="KC55" s="11">
        <v>0</v>
      </c>
      <c r="KD55" s="11">
        <v>0</v>
      </c>
      <c r="KE55" s="11">
        <v>0</v>
      </c>
      <c r="KF55" s="11">
        <v>0</v>
      </c>
      <c r="KG55" s="11">
        <v>0</v>
      </c>
      <c r="KH55" s="11">
        <v>0</v>
      </c>
      <c r="KI55" s="11">
        <v>0</v>
      </c>
      <c r="KJ55" s="27">
        <f t="shared" si="25"/>
        <v>0</v>
      </c>
      <c r="KK55" s="11">
        <v>0</v>
      </c>
      <c r="KL55" s="11">
        <v>0</v>
      </c>
      <c r="KM55" s="11">
        <v>0</v>
      </c>
      <c r="KN55" s="11">
        <v>0</v>
      </c>
      <c r="KO55" s="11">
        <v>0</v>
      </c>
      <c r="KP55" s="11">
        <v>0</v>
      </c>
      <c r="KQ55" s="11">
        <v>0</v>
      </c>
      <c r="KR55" s="11">
        <v>0</v>
      </c>
      <c r="KS55" s="11">
        <v>0</v>
      </c>
      <c r="KT55" s="11">
        <v>0</v>
      </c>
      <c r="KU55" s="11">
        <v>0</v>
      </c>
      <c r="KV55" s="11">
        <v>0</v>
      </c>
      <c r="KW55" s="27">
        <f t="shared" si="26"/>
        <v>0</v>
      </c>
      <c r="KX55" s="11">
        <v>0</v>
      </c>
      <c r="KY55" s="11">
        <v>0</v>
      </c>
      <c r="KZ55" s="11">
        <v>0</v>
      </c>
      <c r="LA55" s="11">
        <v>0</v>
      </c>
      <c r="LB55" s="11">
        <v>0</v>
      </c>
      <c r="LC55" s="11">
        <v>0</v>
      </c>
      <c r="LD55" s="11">
        <v>0</v>
      </c>
      <c r="LE55" s="11">
        <v>0</v>
      </c>
      <c r="LF55" s="11">
        <v>0</v>
      </c>
      <c r="LG55" s="11">
        <v>0</v>
      </c>
      <c r="LH55" s="11">
        <v>0</v>
      </c>
      <c r="LI55" s="11">
        <v>0</v>
      </c>
      <c r="LJ55" s="27">
        <f t="shared" si="27"/>
        <v>0</v>
      </c>
      <c r="LK55" s="11">
        <v>0</v>
      </c>
      <c r="LL55" s="11">
        <v>0</v>
      </c>
      <c r="LM55" s="11">
        <v>0</v>
      </c>
      <c r="LN55" s="11">
        <v>0</v>
      </c>
      <c r="LO55" s="11">
        <v>0</v>
      </c>
      <c r="LP55" s="11">
        <v>0</v>
      </c>
      <c r="LQ55" s="11">
        <v>0</v>
      </c>
      <c r="LR55" s="11">
        <v>0</v>
      </c>
      <c r="LS55" s="11">
        <v>0</v>
      </c>
      <c r="LT55" s="11">
        <v>0</v>
      </c>
      <c r="LU55" s="11">
        <v>0</v>
      </c>
      <c r="LV55" s="11">
        <v>0</v>
      </c>
      <c r="LW55" s="27">
        <f t="shared" si="28"/>
        <v>0</v>
      </c>
      <c r="LX55" s="11">
        <v>0</v>
      </c>
      <c r="LY55" s="11">
        <v>0</v>
      </c>
      <c r="LZ55" s="11">
        <v>0</v>
      </c>
      <c r="MA55" s="11">
        <v>0</v>
      </c>
      <c r="MB55" s="11">
        <v>0</v>
      </c>
      <c r="MC55" s="11">
        <v>0</v>
      </c>
      <c r="MD55" s="11">
        <v>0</v>
      </c>
      <c r="ME55" s="11">
        <v>0</v>
      </c>
      <c r="MF55" s="11">
        <v>0</v>
      </c>
      <c r="MG55" s="11">
        <v>0</v>
      </c>
      <c r="MH55" s="11">
        <v>0</v>
      </c>
      <c r="MI55" s="11">
        <v>0</v>
      </c>
      <c r="MJ55" s="27">
        <f t="shared" si="29"/>
        <v>0</v>
      </c>
      <c r="MK55" s="11"/>
      <c r="ML55" s="11"/>
      <c r="MM55" s="11"/>
      <c r="MN55" s="11"/>
      <c r="MO55" s="11"/>
      <c r="MP55" s="11"/>
      <c r="MQ55" s="11"/>
      <c r="MR55" s="11"/>
      <c r="MS55" s="11"/>
      <c r="MT55" s="11"/>
      <c r="MU55" s="11"/>
      <c r="MV55" s="11"/>
      <c r="MW55" s="27">
        <f t="shared" si="30"/>
        <v>0</v>
      </c>
      <c r="MX55" s="11"/>
      <c r="MY55" s="11"/>
      <c r="MZ55" s="11"/>
      <c r="NA55" s="11"/>
      <c r="NB55" s="11"/>
      <c r="NC55" s="11"/>
      <c r="ND55" s="11"/>
      <c r="NE55" s="11"/>
      <c r="NF55" s="11"/>
      <c r="NG55" s="11"/>
      <c r="NH55" s="11"/>
      <c r="NI55" s="11"/>
      <c r="NJ55" s="27">
        <f t="shared" si="31"/>
        <v>0</v>
      </c>
      <c r="NK55" s="11"/>
      <c r="NL55" s="11"/>
      <c r="NM55" s="11"/>
      <c r="NN55" s="11"/>
      <c r="NO55" s="11"/>
      <c r="NP55" s="11"/>
      <c r="NQ55" s="11"/>
      <c r="NR55" s="11"/>
      <c r="NS55" s="11"/>
      <c r="NT55" s="11"/>
      <c r="NU55" s="11"/>
      <c r="NV55" s="11"/>
      <c r="NW55" s="27">
        <f t="shared" si="32"/>
        <v>0</v>
      </c>
      <c r="NX55" s="11"/>
      <c r="NY55" s="11"/>
      <c r="NZ55" s="11"/>
      <c r="OA55" s="11"/>
      <c r="OB55" s="11"/>
      <c r="OC55" s="11"/>
      <c r="OD55" s="11"/>
      <c r="OE55" s="11"/>
      <c r="OF55" s="11"/>
      <c r="OG55" s="11"/>
      <c r="OH55" s="11"/>
      <c r="OI55" s="11"/>
      <c r="OJ55" s="27">
        <f t="shared" si="33"/>
        <v>0</v>
      </c>
      <c r="OK55" s="11"/>
      <c r="OL55" s="11"/>
      <c r="OM55" s="11"/>
      <c r="ON55" s="11"/>
      <c r="OO55" s="11"/>
      <c r="OP55" s="11"/>
      <c r="OQ55" s="11"/>
      <c r="OR55" s="11"/>
      <c r="OS55" s="11"/>
      <c r="OT55" s="11"/>
      <c r="OU55" s="11"/>
      <c r="OV55" s="11"/>
      <c r="OW55" s="27">
        <f t="shared" si="34"/>
        <v>0</v>
      </c>
      <c r="OX55" s="11"/>
      <c r="OY55" s="11"/>
      <c r="OZ55" s="11"/>
      <c r="PA55" s="11"/>
      <c r="PB55" s="11"/>
      <c r="PC55" s="11"/>
      <c r="PD55" s="11"/>
      <c r="PE55" s="11"/>
      <c r="PF55" s="11"/>
      <c r="PG55" s="11"/>
      <c r="PH55" s="11"/>
      <c r="PI55" s="11"/>
      <c r="PJ55" s="27">
        <f t="shared" si="35"/>
        <v>0</v>
      </c>
      <c r="PK55" s="11"/>
      <c r="PL55" s="11"/>
      <c r="PM55" s="11"/>
      <c r="PN55" s="11"/>
      <c r="PO55" s="11"/>
      <c r="PP55" s="11"/>
      <c r="PQ55" s="11"/>
      <c r="PR55" s="11"/>
      <c r="PS55" s="11"/>
      <c r="PT55" s="11"/>
      <c r="PU55" s="11"/>
      <c r="PV55" s="11"/>
      <c r="PW55" s="27">
        <f t="shared" si="36"/>
        <v>0</v>
      </c>
      <c r="PX55" s="11"/>
      <c r="PY55" s="11"/>
      <c r="PZ55" s="11"/>
      <c r="QA55" s="11"/>
      <c r="QB55" s="11"/>
      <c r="QC55" s="11"/>
      <c r="QD55" s="11"/>
      <c r="QE55" s="11"/>
      <c r="QF55" s="11"/>
      <c r="QG55" s="11"/>
      <c r="QH55" s="11"/>
      <c r="QI55" s="11"/>
      <c r="QJ55" s="27">
        <f t="shared" si="37"/>
        <v>0</v>
      </c>
      <c r="QK55" s="11">
        <v>104653</v>
      </c>
      <c r="QL55" s="11">
        <v>100616</v>
      </c>
      <c r="QM55" s="11">
        <v>91618</v>
      </c>
      <c r="QN55" s="11">
        <v>104594</v>
      </c>
      <c r="QO55" s="11">
        <v>89948</v>
      </c>
      <c r="QP55" s="11">
        <v>86657</v>
      </c>
      <c r="QQ55" s="11">
        <v>40319</v>
      </c>
      <c r="QR55" s="11">
        <v>37253</v>
      </c>
      <c r="QS55" s="11">
        <v>32826</v>
      </c>
      <c r="QT55" s="11">
        <v>42912</v>
      </c>
      <c r="QU55" s="11">
        <v>43209</v>
      </c>
      <c r="QV55" s="11">
        <v>38565</v>
      </c>
      <c r="QW55" s="27">
        <f t="shared" si="38"/>
        <v>813170</v>
      </c>
      <c r="QX55" s="11">
        <v>0</v>
      </c>
      <c r="QY55" s="11">
        <v>0</v>
      </c>
      <c r="QZ55" s="11">
        <v>0</v>
      </c>
      <c r="RA55" s="11">
        <v>0</v>
      </c>
      <c r="RB55" s="11">
        <v>0</v>
      </c>
      <c r="RC55" s="11">
        <v>0</v>
      </c>
      <c r="RD55" s="11">
        <v>0</v>
      </c>
      <c r="RE55" s="11">
        <v>0</v>
      </c>
      <c r="RF55" s="11">
        <v>0</v>
      </c>
      <c r="RG55" s="11">
        <v>0</v>
      </c>
      <c r="RH55" s="11">
        <v>0</v>
      </c>
      <c r="RI55" s="11">
        <v>0</v>
      </c>
      <c r="RJ55" s="27">
        <f t="shared" si="39"/>
        <v>0</v>
      </c>
      <c r="RK55" s="11">
        <v>0</v>
      </c>
      <c r="RL55" s="11">
        <v>0</v>
      </c>
      <c r="RM55" s="11">
        <v>0</v>
      </c>
      <c r="RN55" s="11">
        <v>0</v>
      </c>
      <c r="RO55" s="11">
        <v>0</v>
      </c>
      <c r="RP55" s="11">
        <v>0</v>
      </c>
      <c r="RQ55" s="11">
        <v>0</v>
      </c>
      <c r="RR55" s="11">
        <v>0</v>
      </c>
      <c r="RS55" s="11">
        <v>0</v>
      </c>
      <c r="RT55" s="11">
        <v>0</v>
      </c>
      <c r="RU55" s="11">
        <v>0</v>
      </c>
      <c r="RV55" s="11">
        <v>0</v>
      </c>
      <c r="RW55" s="27">
        <f t="shared" si="40"/>
        <v>0</v>
      </c>
      <c r="RX55" s="11">
        <v>0</v>
      </c>
      <c r="RY55" s="11">
        <v>0</v>
      </c>
      <c r="RZ55" s="11">
        <v>0</v>
      </c>
      <c r="SA55" s="11">
        <v>0</v>
      </c>
      <c r="SB55" s="11">
        <v>0</v>
      </c>
      <c r="SC55" s="11">
        <v>0</v>
      </c>
      <c r="SD55" s="11">
        <v>0</v>
      </c>
      <c r="SE55" s="11">
        <v>0</v>
      </c>
      <c r="SF55" s="11">
        <v>0</v>
      </c>
      <c r="SG55" s="11">
        <v>0</v>
      </c>
      <c r="SH55" s="11">
        <v>0</v>
      </c>
      <c r="SI55" s="11">
        <v>0</v>
      </c>
      <c r="SJ55" s="27">
        <f t="shared" si="41"/>
        <v>0</v>
      </c>
      <c r="SK55" s="11">
        <v>0</v>
      </c>
      <c r="SL55" s="11">
        <v>0</v>
      </c>
      <c r="SM55" s="11">
        <v>0</v>
      </c>
      <c r="SN55" s="11">
        <v>0</v>
      </c>
      <c r="SO55" s="11">
        <v>0</v>
      </c>
      <c r="SP55" s="11">
        <v>0</v>
      </c>
      <c r="SQ55" s="11">
        <v>0</v>
      </c>
      <c r="SR55" s="11">
        <v>0</v>
      </c>
      <c r="SS55" s="11">
        <v>0</v>
      </c>
      <c r="ST55" s="11">
        <v>0</v>
      </c>
      <c r="SU55" s="11">
        <v>0</v>
      </c>
      <c r="SV55" s="11">
        <v>0</v>
      </c>
      <c r="SW55" s="27">
        <f t="shared" si="42"/>
        <v>0</v>
      </c>
      <c r="SX55" s="11" t="s">
        <v>1384</v>
      </c>
      <c r="SY55" s="11">
        <v>2350</v>
      </c>
      <c r="SZ55" s="11">
        <v>2313</v>
      </c>
      <c r="TA55" s="11">
        <v>2038</v>
      </c>
      <c r="TB55" s="11">
        <v>2044</v>
      </c>
      <c r="TC55" s="11">
        <v>1763</v>
      </c>
      <c r="TD55" s="11">
        <v>1782</v>
      </c>
      <c r="TE55" s="11">
        <v>1863</v>
      </c>
      <c r="TF55" s="11">
        <v>1598</v>
      </c>
      <c r="TG55" s="11">
        <v>1297</v>
      </c>
      <c r="TH55" s="11">
        <v>2045</v>
      </c>
      <c r="TI55" s="11">
        <v>2087</v>
      </c>
      <c r="TJ55" s="11">
        <v>2295</v>
      </c>
      <c r="TK55" s="27">
        <f t="shared" si="43"/>
        <v>23475</v>
      </c>
      <c r="TL55" s="11">
        <v>0</v>
      </c>
      <c r="TM55" s="11">
        <v>0</v>
      </c>
      <c r="TN55" s="11">
        <v>0</v>
      </c>
      <c r="TO55" s="11">
        <v>0</v>
      </c>
      <c r="TP55" s="11">
        <v>0</v>
      </c>
      <c r="TQ55" s="11">
        <v>0</v>
      </c>
      <c r="TR55" s="11">
        <v>0</v>
      </c>
      <c r="TS55" s="11">
        <v>0</v>
      </c>
      <c r="TT55" s="11">
        <v>0</v>
      </c>
      <c r="TU55" s="11">
        <v>0</v>
      </c>
      <c r="TV55" s="11">
        <v>0</v>
      </c>
      <c r="TW55" s="11">
        <v>0</v>
      </c>
      <c r="TX55" s="27">
        <f t="shared" si="44"/>
        <v>0</v>
      </c>
      <c r="TY55" s="11" t="s">
        <v>1432</v>
      </c>
      <c r="TZ55" s="11">
        <v>0</v>
      </c>
      <c r="UA55" s="11">
        <v>0</v>
      </c>
    </row>
    <row r="56" spans="1:547" ht="16" customHeight="1" x14ac:dyDescent="0.35">
      <c r="A56" s="11" t="s">
        <v>2695</v>
      </c>
      <c r="B56" s="11" t="s">
        <v>1432</v>
      </c>
      <c r="C56" s="11" t="s">
        <v>1432</v>
      </c>
      <c r="D56" s="11" t="s">
        <v>1432</v>
      </c>
      <c r="E56" s="11" t="s">
        <v>1432</v>
      </c>
      <c r="F56" s="11"/>
      <c r="G56" s="11"/>
      <c r="H56" s="11"/>
      <c r="I56" s="11"/>
      <c r="J56" s="11"/>
      <c r="K56" s="11"/>
      <c r="L56" s="11"/>
      <c r="M56" s="11"/>
      <c r="N56" s="11"/>
      <c r="O56" s="11"/>
      <c r="P56" s="11" t="s">
        <v>2866</v>
      </c>
      <c r="Q56" s="11"/>
      <c r="R56" s="11"/>
      <c r="S56" s="26">
        <f t="shared" si="0"/>
        <v>0</v>
      </c>
      <c r="T56" s="11"/>
      <c r="U56" s="11"/>
      <c r="V56" s="11"/>
      <c r="W56" s="11"/>
      <c r="X56" s="11"/>
      <c r="Y56" s="11"/>
      <c r="Z56" s="11"/>
      <c r="AA56" s="11"/>
      <c r="AB56" s="11"/>
      <c r="AC56" s="11"/>
      <c r="AD56" s="11"/>
      <c r="AE56" s="11"/>
      <c r="AF56" s="26">
        <f t="shared" si="1"/>
        <v>0</v>
      </c>
      <c r="AG56" s="11"/>
      <c r="AH56" s="11"/>
      <c r="AI56" s="11"/>
      <c r="AJ56" s="11"/>
      <c r="AK56" s="11"/>
      <c r="AL56" s="11"/>
      <c r="AM56" s="11"/>
      <c r="AN56" s="11"/>
      <c r="AO56" s="11"/>
      <c r="AP56" s="11"/>
      <c r="AQ56" s="11"/>
      <c r="AR56" s="11"/>
      <c r="AS56" s="26">
        <f t="shared" si="2"/>
        <v>0</v>
      </c>
      <c r="AT56" s="11">
        <v>0</v>
      </c>
      <c r="AU56" s="11">
        <v>0</v>
      </c>
      <c r="AV56" s="11">
        <v>0</v>
      </c>
      <c r="AW56" s="11">
        <v>0</v>
      </c>
      <c r="AX56" s="11">
        <v>0</v>
      </c>
      <c r="AY56" s="11">
        <v>0</v>
      </c>
      <c r="AZ56" s="11">
        <v>0</v>
      </c>
      <c r="BA56" s="11">
        <v>0</v>
      </c>
      <c r="BB56" s="11">
        <v>0</v>
      </c>
      <c r="BC56" s="11">
        <v>0</v>
      </c>
      <c r="BD56" s="11">
        <v>0</v>
      </c>
      <c r="BE56" s="11">
        <v>0</v>
      </c>
      <c r="BF56" s="26">
        <f t="shared" si="3"/>
        <v>0</v>
      </c>
      <c r="BG56" s="11">
        <v>0</v>
      </c>
      <c r="BH56" s="11">
        <v>0</v>
      </c>
      <c r="BI56" s="11"/>
      <c r="BJ56" s="11"/>
      <c r="BK56" s="11"/>
      <c r="BL56" s="11"/>
      <c r="BM56" s="11"/>
      <c r="BN56" s="11"/>
      <c r="BO56" s="11"/>
      <c r="BP56" s="11"/>
      <c r="BQ56" s="11"/>
      <c r="BR56" s="11"/>
      <c r="BS56" s="26">
        <f t="shared" si="4"/>
        <v>0</v>
      </c>
      <c r="BT56" s="11">
        <v>0</v>
      </c>
      <c r="BU56" s="11">
        <v>0</v>
      </c>
      <c r="BV56" s="11">
        <v>0</v>
      </c>
      <c r="BW56" s="11">
        <v>0</v>
      </c>
      <c r="BX56" s="11">
        <v>0</v>
      </c>
      <c r="BY56" s="11">
        <v>0</v>
      </c>
      <c r="BZ56" s="11">
        <v>0</v>
      </c>
      <c r="CA56" s="11">
        <v>0</v>
      </c>
      <c r="CB56" s="11">
        <v>0</v>
      </c>
      <c r="CC56" s="11">
        <v>0</v>
      </c>
      <c r="CD56" s="11">
        <v>0</v>
      </c>
      <c r="CE56" s="11">
        <v>0</v>
      </c>
      <c r="CF56" s="26">
        <f t="shared" si="5"/>
        <v>0</v>
      </c>
      <c r="CG56" s="11">
        <v>0</v>
      </c>
      <c r="CH56" s="11">
        <v>0</v>
      </c>
      <c r="CI56" s="11">
        <v>0</v>
      </c>
      <c r="CJ56" s="11">
        <v>0</v>
      </c>
      <c r="CK56" s="11">
        <v>0</v>
      </c>
      <c r="CL56" s="11">
        <v>0</v>
      </c>
      <c r="CM56" s="11">
        <v>0</v>
      </c>
      <c r="CN56" s="11">
        <v>0</v>
      </c>
      <c r="CO56" s="11">
        <v>0</v>
      </c>
      <c r="CP56" s="11">
        <v>0</v>
      </c>
      <c r="CQ56" s="11">
        <v>0</v>
      </c>
      <c r="CR56" s="11">
        <v>0</v>
      </c>
      <c r="CS56" s="26">
        <f t="shared" si="6"/>
        <v>0</v>
      </c>
      <c r="CT56" s="11">
        <v>0</v>
      </c>
      <c r="CU56" s="11">
        <v>0</v>
      </c>
      <c r="CV56" s="11">
        <v>0</v>
      </c>
      <c r="CW56" s="11">
        <v>0</v>
      </c>
      <c r="CX56" s="11">
        <v>0</v>
      </c>
      <c r="CY56" s="11">
        <v>0</v>
      </c>
      <c r="CZ56" s="11">
        <v>0</v>
      </c>
      <c r="DA56" s="11">
        <v>0</v>
      </c>
      <c r="DB56" s="11">
        <v>0</v>
      </c>
      <c r="DC56" s="11">
        <v>0</v>
      </c>
      <c r="DD56" s="11">
        <v>0</v>
      </c>
      <c r="DE56" s="11">
        <v>0</v>
      </c>
      <c r="DF56" s="26">
        <f t="shared" si="7"/>
        <v>0</v>
      </c>
      <c r="DG56" s="11">
        <v>0</v>
      </c>
      <c r="DH56" s="11">
        <v>0</v>
      </c>
      <c r="DI56" s="11">
        <v>0</v>
      </c>
      <c r="DJ56" s="11">
        <v>0</v>
      </c>
      <c r="DK56" s="11">
        <v>0</v>
      </c>
      <c r="DL56" s="11">
        <v>0</v>
      </c>
      <c r="DM56" s="11">
        <v>0</v>
      </c>
      <c r="DN56" s="11">
        <v>0</v>
      </c>
      <c r="DO56" s="11">
        <v>0</v>
      </c>
      <c r="DP56" s="11">
        <v>0</v>
      </c>
      <c r="DQ56" s="11">
        <v>0</v>
      </c>
      <c r="DR56" s="11">
        <v>0</v>
      </c>
      <c r="DS56" s="26">
        <f t="shared" si="8"/>
        <v>0</v>
      </c>
      <c r="DT56" s="11">
        <v>0</v>
      </c>
      <c r="DU56" s="11">
        <v>0</v>
      </c>
      <c r="DV56" s="11">
        <v>0</v>
      </c>
      <c r="DW56" s="11">
        <v>0</v>
      </c>
      <c r="DX56" s="11">
        <v>0</v>
      </c>
      <c r="DY56" s="11">
        <v>0</v>
      </c>
      <c r="DZ56" s="11">
        <v>0</v>
      </c>
      <c r="EA56" s="11">
        <v>0</v>
      </c>
      <c r="EB56" s="11">
        <v>0</v>
      </c>
      <c r="EC56" s="11">
        <v>0</v>
      </c>
      <c r="ED56" s="11">
        <v>0</v>
      </c>
      <c r="EE56" s="11">
        <v>0</v>
      </c>
      <c r="EF56" s="26">
        <f t="shared" si="9"/>
        <v>0</v>
      </c>
      <c r="EG56" s="9">
        <f t="shared" si="10"/>
        <v>0</v>
      </c>
      <c r="EH56" s="9">
        <f t="shared" si="11"/>
        <v>0</v>
      </c>
      <c r="EI56" s="11">
        <v>0</v>
      </c>
      <c r="EJ56" s="11">
        <v>0</v>
      </c>
      <c r="EK56" s="11">
        <v>0</v>
      </c>
      <c r="EL56" s="11">
        <v>0</v>
      </c>
      <c r="EM56" s="11">
        <v>0</v>
      </c>
      <c r="EN56" s="11">
        <v>0</v>
      </c>
      <c r="EO56" s="11">
        <v>0</v>
      </c>
      <c r="EP56" s="11">
        <v>0</v>
      </c>
      <c r="EQ56" s="11">
        <v>0</v>
      </c>
      <c r="ER56" s="11">
        <v>0</v>
      </c>
      <c r="ES56" s="11">
        <v>0</v>
      </c>
      <c r="ET56" s="11">
        <v>0</v>
      </c>
      <c r="EU56" s="26">
        <f t="shared" si="12"/>
        <v>0</v>
      </c>
      <c r="EV56" s="11">
        <v>0</v>
      </c>
      <c r="EW56" s="11">
        <v>0</v>
      </c>
      <c r="EX56" s="11">
        <v>0</v>
      </c>
      <c r="EY56" s="11">
        <v>0</v>
      </c>
      <c r="EZ56" s="11">
        <v>0</v>
      </c>
      <c r="FA56" s="11">
        <v>0</v>
      </c>
      <c r="FB56" s="11">
        <v>0</v>
      </c>
      <c r="FC56" s="11">
        <v>0</v>
      </c>
      <c r="FD56" s="11">
        <v>0</v>
      </c>
      <c r="FE56" s="11">
        <v>0</v>
      </c>
      <c r="FF56" s="11">
        <v>0</v>
      </c>
      <c r="FG56" s="11">
        <v>0</v>
      </c>
      <c r="FH56" s="26">
        <f t="shared" si="13"/>
        <v>0</v>
      </c>
      <c r="FI56" s="11">
        <v>0</v>
      </c>
      <c r="FJ56" s="11">
        <v>0</v>
      </c>
      <c r="FK56" s="11">
        <v>0</v>
      </c>
      <c r="FL56" s="11">
        <v>0</v>
      </c>
      <c r="FM56" s="11">
        <v>0</v>
      </c>
      <c r="FN56" s="11">
        <v>0</v>
      </c>
      <c r="FO56" s="11">
        <v>0</v>
      </c>
      <c r="FP56" s="11">
        <v>0</v>
      </c>
      <c r="FQ56" s="11">
        <v>0</v>
      </c>
      <c r="FR56" s="11">
        <v>0</v>
      </c>
      <c r="FS56" s="11">
        <v>0</v>
      </c>
      <c r="FT56" s="11">
        <v>0</v>
      </c>
      <c r="FU56" s="26">
        <f t="shared" si="14"/>
        <v>0</v>
      </c>
      <c r="FV56" s="11">
        <v>0</v>
      </c>
      <c r="FW56" s="11">
        <v>0</v>
      </c>
      <c r="FX56" s="11">
        <v>0</v>
      </c>
      <c r="FY56" s="11">
        <v>0</v>
      </c>
      <c r="FZ56" s="11">
        <v>0</v>
      </c>
      <c r="GA56" s="11">
        <v>0</v>
      </c>
      <c r="GB56" s="11">
        <v>0</v>
      </c>
      <c r="GC56" s="11">
        <v>0</v>
      </c>
      <c r="GD56" s="11">
        <v>0</v>
      </c>
      <c r="GE56" s="11">
        <v>0</v>
      </c>
      <c r="GF56" s="11">
        <v>0</v>
      </c>
      <c r="GG56" s="11">
        <v>0</v>
      </c>
      <c r="GH56" s="26">
        <f t="shared" si="15"/>
        <v>0</v>
      </c>
      <c r="GI56" s="11">
        <v>0</v>
      </c>
      <c r="GJ56" s="11">
        <v>0</v>
      </c>
      <c r="GK56" s="11">
        <v>0</v>
      </c>
      <c r="GL56" s="11">
        <v>0</v>
      </c>
      <c r="GM56" s="11">
        <v>0</v>
      </c>
      <c r="GN56" s="11">
        <v>0</v>
      </c>
      <c r="GO56" s="11">
        <v>0</v>
      </c>
      <c r="GP56" s="11">
        <v>0</v>
      </c>
      <c r="GQ56" s="11">
        <v>0</v>
      </c>
      <c r="GR56" s="11">
        <v>0</v>
      </c>
      <c r="GS56" s="11">
        <v>0</v>
      </c>
      <c r="GT56" s="11">
        <v>0</v>
      </c>
      <c r="GU56" s="26">
        <f t="shared" si="16"/>
        <v>0</v>
      </c>
      <c r="GV56" s="11">
        <v>0</v>
      </c>
      <c r="GW56" s="11">
        <v>0</v>
      </c>
      <c r="GX56" s="11">
        <v>0</v>
      </c>
      <c r="GY56" s="11">
        <v>0</v>
      </c>
      <c r="GZ56" s="11">
        <v>0</v>
      </c>
      <c r="HA56" s="11">
        <v>0</v>
      </c>
      <c r="HB56" s="11">
        <v>0</v>
      </c>
      <c r="HC56" s="11">
        <v>0</v>
      </c>
      <c r="HD56" s="11">
        <v>0</v>
      </c>
      <c r="HE56" s="11">
        <v>0</v>
      </c>
      <c r="HF56" s="11">
        <v>0</v>
      </c>
      <c r="HG56" s="11">
        <v>0</v>
      </c>
      <c r="HH56" s="26">
        <f t="shared" si="17"/>
        <v>0</v>
      </c>
      <c r="HI56" s="11">
        <v>0</v>
      </c>
      <c r="HJ56" s="11">
        <v>0</v>
      </c>
      <c r="HK56" s="11">
        <v>0</v>
      </c>
      <c r="HL56" s="11">
        <v>0</v>
      </c>
      <c r="HM56" s="11">
        <v>0</v>
      </c>
      <c r="HN56" s="11">
        <v>0</v>
      </c>
      <c r="HO56" s="11">
        <v>0</v>
      </c>
      <c r="HP56" s="11">
        <v>0</v>
      </c>
      <c r="HQ56" s="11">
        <v>0</v>
      </c>
      <c r="HR56" s="11">
        <v>0</v>
      </c>
      <c r="HS56" s="11">
        <v>0</v>
      </c>
      <c r="HT56" s="11">
        <v>0</v>
      </c>
      <c r="HU56" s="26">
        <f t="shared" si="18"/>
        <v>0</v>
      </c>
      <c r="HV56" s="11">
        <v>0</v>
      </c>
      <c r="HW56" s="11">
        <v>0</v>
      </c>
      <c r="HX56" s="11">
        <v>0</v>
      </c>
      <c r="HY56" s="11">
        <v>0</v>
      </c>
      <c r="HZ56" s="11">
        <v>0</v>
      </c>
      <c r="IA56" s="11">
        <v>0</v>
      </c>
      <c r="IB56" s="11">
        <v>0</v>
      </c>
      <c r="IC56" s="11">
        <v>0</v>
      </c>
      <c r="ID56" s="11">
        <v>0</v>
      </c>
      <c r="IE56" s="11">
        <v>0</v>
      </c>
      <c r="IF56" s="11">
        <v>0</v>
      </c>
      <c r="IG56" s="11">
        <v>0</v>
      </c>
      <c r="IH56" s="26">
        <f t="shared" si="19"/>
        <v>0</v>
      </c>
      <c r="II56" s="9">
        <f t="shared" si="20"/>
        <v>0</v>
      </c>
      <c r="IJ56" s="9">
        <f t="shared" si="21"/>
        <v>0</v>
      </c>
      <c r="IK56" s="11">
        <v>0</v>
      </c>
      <c r="IL56" s="11">
        <v>0</v>
      </c>
      <c r="IM56" s="11">
        <v>0</v>
      </c>
      <c r="IN56" s="11">
        <v>0</v>
      </c>
      <c r="IO56" s="11">
        <v>0</v>
      </c>
      <c r="IP56" s="11">
        <v>0</v>
      </c>
      <c r="IQ56" s="11">
        <v>0</v>
      </c>
      <c r="IR56" s="11">
        <v>0</v>
      </c>
      <c r="IS56" s="11">
        <v>0</v>
      </c>
      <c r="IT56" s="11">
        <v>0</v>
      </c>
      <c r="IU56" s="11">
        <v>0</v>
      </c>
      <c r="IV56" s="11">
        <v>0</v>
      </c>
      <c r="IW56" s="27">
        <f t="shared" si="22"/>
        <v>0</v>
      </c>
      <c r="IX56" s="11">
        <v>0</v>
      </c>
      <c r="IY56" s="11">
        <v>0</v>
      </c>
      <c r="IZ56" s="11">
        <v>0</v>
      </c>
      <c r="JA56" s="11">
        <v>0</v>
      </c>
      <c r="JB56" s="11">
        <v>0</v>
      </c>
      <c r="JC56" s="11">
        <v>0</v>
      </c>
      <c r="JD56" s="11">
        <v>0</v>
      </c>
      <c r="JE56" s="11">
        <v>0</v>
      </c>
      <c r="JF56" s="11">
        <v>0</v>
      </c>
      <c r="JG56" s="11">
        <v>0</v>
      </c>
      <c r="JH56" s="11">
        <v>0</v>
      </c>
      <c r="JI56" s="11">
        <v>0</v>
      </c>
      <c r="JJ56" s="27">
        <f t="shared" si="23"/>
        <v>0</v>
      </c>
      <c r="JK56" s="11">
        <v>0</v>
      </c>
      <c r="JL56" s="11">
        <v>0</v>
      </c>
      <c r="JM56" s="11">
        <v>0</v>
      </c>
      <c r="JN56" s="11">
        <v>0</v>
      </c>
      <c r="JO56" s="11">
        <v>0</v>
      </c>
      <c r="JP56" s="11">
        <v>0</v>
      </c>
      <c r="JQ56" s="11">
        <v>0</v>
      </c>
      <c r="JR56" s="11">
        <v>0</v>
      </c>
      <c r="JS56" s="11">
        <v>0</v>
      </c>
      <c r="JT56" s="11">
        <v>0</v>
      </c>
      <c r="JU56" s="11">
        <v>0</v>
      </c>
      <c r="JV56" s="11">
        <v>0</v>
      </c>
      <c r="JW56" s="27">
        <f t="shared" si="24"/>
        <v>0</v>
      </c>
      <c r="JX56" s="11">
        <v>0</v>
      </c>
      <c r="JY56" s="11">
        <v>0</v>
      </c>
      <c r="JZ56" s="11">
        <v>0</v>
      </c>
      <c r="KA56" s="11">
        <v>0</v>
      </c>
      <c r="KB56" s="11">
        <v>0</v>
      </c>
      <c r="KC56" s="11">
        <v>0</v>
      </c>
      <c r="KD56" s="11">
        <v>0</v>
      </c>
      <c r="KE56" s="11">
        <v>0</v>
      </c>
      <c r="KF56" s="11">
        <v>0</v>
      </c>
      <c r="KG56" s="11">
        <v>0</v>
      </c>
      <c r="KH56" s="11">
        <v>0</v>
      </c>
      <c r="KI56" s="11">
        <v>0</v>
      </c>
      <c r="KJ56" s="27">
        <f t="shared" si="25"/>
        <v>0</v>
      </c>
      <c r="KK56" s="11">
        <v>0</v>
      </c>
      <c r="KL56" s="11">
        <v>0</v>
      </c>
      <c r="KM56" s="11">
        <v>0</v>
      </c>
      <c r="KN56" s="11">
        <v>0</v>
      </c>
      <c r="KO56" s="11">
        <v>0</v>
      </c>
      <c r="KP56" s="11">
        <v>0</v>
      </c>
      <c r="KQ56" s="11">
        <v>0</v>
      </c>
      <c r="KR56" s="11">
        <v>0</v>
      </c>
      <c r="KS56" s="11">
        <v>0</v>
      </c>
      <c r="KT56" s="11">
        <v>0</v>
      </c>
      <c r="KU56" s="11">
        <v>0</v>
      </c>
      <c r="KV56" s="11">
        <v>0</v>
      </c>
      <c r="KW56" s="27">
        <f t="shared" si="26"/>
        <v>0</v>
      </c>
      <c r="KX56" s="11">
        <v>0</v>
      </c>
      <c r="KY56" s="11">
        <v>0</v>
      </c>
      <c r="KZ56" s="11">
        <v>0</v>
      </c>
      <c r="LA56" s="11">
        <v>0</v>
      </c>
      <c r="LB56" s="11">
        <v>0</v>
      </c>
      <c r="LC56" s="11">
        <v>0</v>
      </c>
      <c r="LD56" s="11">
        <v>0</v>
      </c>
      <c r="LE56" s="11">
        <v>0</v>
      </c>
      <c r="LF56" s="11">
        <v>0</v>
      </c>
      <c r="LG56" s="11">
        <v>0</v>
      </c>
      <c r="LH56" s="11">
        <v>0</v>
      </c>
      <c r="LI56" s="11">
        <v>0</v>
      </c>
      <c r="LJ56" s="27">
        <f t="shared" si="27"/>
        <v>0</v>
      </c>
      <c r="LK56" s="11">
        <v>0</v>
      </c>
      <c r="LL56" s="11">
        <v>0</v>
      </c>
      <c r="LM56" s="11">
        <v>0</v>
      </c>
      <c r="LN56" s="11">
        <v>0</v>
      </c>
      <c r="LO56" s="11">
        <v>0</v>
      </c>
      <c r="LP56" s="11">
        <v>0</v>
      </c>
      <c r="LQ56" s="11">
        <v>0</v>
      </c>
      <c r="LR56" s="11">
        <v>0</v>
      </c>
      <c r="LS56" s="11">
        <v>0</v>
      </c>
      <c r="LT56" s="11">
        <v>0</v>
      </c>
      <c r="LU56" s="11">
        <v>0</v>
      </c>
      <c r="LV56" s="11">
        <v>0</v>
      </c>
      <c r="LW56" s="27">
        <f t="shared" si="28"/>
        <v>0</v>
      </c>
      <c r="LX56" s="11">
        <v>0</v>
      </c>
      <c r="LY56" s="11">
        <v>0</v>
      </c>
      <c r="LZ56" s="11">
        <v>0</v>
      </c>
      <c r="MA56" s="11">
        <v>0</v>
      </c>
      <c r="MB56" s="11">
        <v>0</v>
      </c>
      <c r="MC56" s="11">
        <v>0</v>
      </c>
      <c r="MD56" s="11">
        <v>0</v>
      </c>
      <c r="ME56" s="11">
        <v>0</v>
      </c>
      <c r="MF56" s="11">
        <v>0</v>
      </c>
      <c r="MG56" s="11">
        <v>0</v>
      </c>
      <c r="MH56" s="11">
        <v>0</v>
      </c>
      <c r="MI56" s="11">
        <v>0</v>
      </c>
      <c r="MJ56" s="27">
        <f t="shared" si="29"/>
        <v>0</v>
      </c>
      <c r="MK56" s="11">
        <v>2010</v>
      </c>
      <c r="ML56" s="11">
        <v>2018</v>
      </c>
      <c r="MM56" s="11">
        <v>1952</v>
      </c>
      <c r="MN56" s="11">
        <v>1905</v>
      </c>
      <c r="MO56" s="11">
        <v>2015</v>
      </c>
      <c r="MP56" s="11">
        <v>1781</v>
      </c>
      <c r="MQ56" s="11">
        <v>2009</v>
      </c>
      <c r="MR56" s="11">
        <v>2127</v>
      </c>
      <c r="MS56" s="11">
        <v>2117</v>
      </c>
      <c r="MT56" s="11">
        <v>2152</v>
      </c>
      <c r="MU56" s="11">
        <v>1881</v>
      </c>
      <c r="MV56" s="11">
        <v>1892</v>
      </c>
      <c r="MW56" s="27">
        <f t="shared" si="30"/>
        <v>23859</v>
      </c>
      <c r="MX56" s="11">
        <v>0</v>
      </c>
      <c r="MY56" s="11">
        <v>0</v>
      </c>
      <c r="MZ56" s="11">
        <v>0</v>
      </c>
      <c r="NA56" s="11">
        <v>0</v>
      </c>
      <c r="NB56" s="11">
        <v>0</v>
      </c>
      <c r="NC56" s="11">
        <v>0</v>
      </c>
      <c r="ND56" s="11">
        <v>0</v>
      </c>
      <c r="NE56" s="11">
        <v>0</v>
      </c>
      <c r="NF56" s="11">
        <v>0</v>
      </c>
      <c r="NG56" s="11">
        <v>0</v>
      </c>
      <c r="NH56" s="11">
        <v>0</v>
      </c>
      <c r="NI56" s="11">
        <v>0</v>
      </c>
      <c r="NJ56" s="27">
        <f t="shared" si="31"/>
        <v>0</v>
      </c>
      <c r="NK56" s="11">
        <v>0</v>
      </c>
      <c r="NL56" s="11">
        <v>0</v>
      </c>
      <c r="NM56" s="11">
        <v>0</v>
      </c>
      <c r="NN56" s="11">
        <v>0</v>
      </c>
      <c r="NO56" s="11">
        <v>0</v>
      </c>
      <c r="NP56" s="11">
        <v>0</v>
      </c>
      <c r="NQ56" s="11">
        <v>0</v>
      </c>
      <c r="NR56" s="11">
        <v>0</v>
      </c>
      <c r="NS56" s="11">
        <v>0</v>
      </c>
      <c r="NT56" s="11">
        <v>0</v>
      </c>
      <c r="NU56" s="11">
        <v>0</v>
      </c>
      <c r="NV56" s="11">
        <v>0</v>
      </c>
      <c r="NW56" s="27">
        <f t="shared" si="32"/>
        <v>0</v>
      </c>
      <c r="NX56" s="11"/>
      <c r="NY56" s="11">
        <v>0</v>
      </c>
      <c r="NZ56" s="11">
        <v>0</v>
      </c>
      <c r="OA56" s="11">
        <v>0</v>
      </c>
      <c r="OB56" s="11">
        <v>0</v>
      </c>
      <c r="OC56" s="11">
        <v>0</v>
      </c>
      <c r="OD56" s="11">
        <v>0</v>
      </c>
      <c r="OE56" s="11">
        <v>0</v>
      </c>
      <c r="OF56" s="11">
        <v>0</v>
      </c>
      <c r="OG56" s="11">
        <v>0</v>
      </c>
      <c r="OH56" s="11">
        <v>0</v>
      </c>
      <c r="OI56" s="11">
        <v>0</v>
      </c>
      <c r="OJ56" s="27">
        <f t="shared" si="33"/>
        <v>0</v>
      </c>
      <c r="OK56" s="11">
        <v>1509</v>
      </c>
      <c r="OL56" s="11">
        <v>1455</v>
      </c>
      <c r="OM56" s="11">
        <v>1369</v>
      </c>
      <c r="ON56" s="11">
        <v>1455</v>
      </c>
      <c r="OO56" s="11">
        <v>1660</v>
      </c>
      <c r="OP56" s="11">
        <v>1706</v>
      </c>
      <c r="OQ56" s="11">
        <v>1572</v>
      </c>
      <c r="OR56" s="11">
        <v>1692</v>
      </c>
      <c r="OS56" s="11">
        <v>1894</v>
      </c>
      <c r="OT56" s="11">
        <v>1851</v>
      </c>
      <c r="OU56" s="11">
        <v>1583</v>
      </c>
      <c r="OV56" s="11">
        <v>1941</v>
      </c>
      <c r="OW56" s="27">
        <f t="shared" si="34"/>
        <v>19687</v>
      </c>
      <c r="OX56" s="11">
        <v>0</v>
      </c>
      <c r="OY56" s="11">
        <v>0</v>
      </c>
      <c r="OZ56" s="11">
        <v>0</v>
      </c>
      <c r="PA56" s="11">
        <v>0</v>
      </c>
      <c r="PB56" s="11">
        <v>0</v>
      </c>
      <c r="PC56" s="11">
        <v>0</v>
      </c>
      <c r="PD56" s="11">
        <v>0</v>
      </c>
      <c r="PE56" s="11">
        <v>0</v>
      </c>
      <c r="PF56" s="11">
        <v>0</v>
      </c>
      <c r="PG56" s="11">
        <v>0</v>
      </c>
      <c r="PH56" s="11">
        <v>0</v>
      </c>
      <c r="PI56" s="11">
        <v>0</v>
      </c>
      <c r="PJ56" s="27">
        <f t="shared" si="35"/>
        <v>0</v>
      </c>
      <c r="PK56" s="11">
        <v>0</v>
      </c>
      <c r="PL56" s="11">
        <v>0</v>
      </c>
      <c r="PM56" s="11">
        <v>0</v>
      </c>
      <c r="PN56" s="11">
        <v>0</v>
      </c>
      <c r="PO56" s="11">
        <v>0</v>
      </c>
      <c r="PP56" s="11">
        <v>0</v>
      </c>
      <c r="PQ56" s="11">
        <v>0</v>
      </c>
      <c r="PR56" s="11">
        <v>0</v>
      </c>
      <c r="PS56" s="11">
        <v>0</v>
      </c>
      <c r="PT56" s="11">
        <v>0</v>
      </c>
      <c r="PU56" s="11">
        <v>0</v>
      </c>
      <c r="PV56" s="11">
        <v>0</v>
      </c>
      <c r="PW56" s="27">
        <f t="shared" si="36"/>
        <v>0</v>
      </c>
      <c r="PX56" s="11">
        <v>0</v>
      </c>
      <c r="PY56" s="11">
        <v>0</v>
      </c>
      <c r="PZ56" s="11">
        <v>0</v>
      </c>
      <c r="QA56" s="11">
        <v>0</v>
      </c>
      <c r="QB56" s="11">
        <v>0</v>
      </c>
      <c r="QC56" s="11">
        <v>0</v>
      </c>
      <c r="QD56" s="11">
        <v>0</v>
      </c>
      <c r="QE56" s="11">
        <v>0</v>
      </c>
      <c r="QF56" s="11">
        <v>0</v>
      </c>
      <c r="QG56" s="11">
        <v>0</v>
      </c>
      <c r="QH56" s="11">
        <v>0</v>
      </c>
      <c r="QI56" s="11">
        <v>0</v>
      </c>
      <c r="QJ56" s="27">
        <f t="shared" si="37"/>
        <v>0</v>
      </c>
      <c r="QK56" s="11">
        <v>8751</v>
      </c>
      <c r="QL56" s="11">
        <v>8232</v>
      </c>
      <c r="QM56" s="11">
        <v>7921</v>
      </c>
      <c r="QN56" s="11">
        <v>8130</v>
      </c>
      <c r="QO56" s="11">
        <v>9131</v>
      </c>
      <c r="QP56" s="11">
        <v>9144</v>
      </c>
      <c r="QQ56" s="11">
        <v>10389</v>
      </c>
      <c r="QR56" s="11">
        <v>9821</v>
      </c>
      <c r="QS56" s="11">
        <v>8790</v>
      </c>
      <c r="QT56" s="11">
        <v>9859</v>
      </c>
      <c r="QU56" s="11">
        <v>8535</v>
      </c>
      <c r="QV56" s="11">
        <v>9825</v>
      </c>
      <c r="QW56" s="27">
        <f t="shared" si="38"/>
        <v>108528</v>
      </c>
      <c r="QX56" s="11">
        <v>9482</v>
      </c>
      <c r="QY56" s="11">
        <v>14799</v>
      </c>
      <c r="QZ56" s="11">
        <v>21249</v>
      </c>
      <c r="RA56" s="11">
        <v>21331</v>
      </c>
      <c r="RB56" s="11">
        <v>18237</v>
      </c>
      <c r="RC56" s="11">
        <v>18289</v>
      </c>
      <c r="RD56" s="11">
        <v>18394</v>
      </c>
      <c r="RE56" s="11">
        <v>18408</v>
      </c>
      <c r="RF56" s="11">
        <v>17969</v>
      </c>
      <c r="RG56" s="11">
        <v>18306</v>
      </c>
      <c r="RH56" s="11">
        <v>15957</v>
      </c>
      <c r="RI56" s="11">
        <v>16863</v>
      </c>
      <c r="RJ56" s="27">
        <f t="shared" si="39"/>
        <v>209284</v>
      </c>
      <c r="RK56" s="11">
        <v>0</v>
      </c>
      <c r="RL56" s="11">
        <v>0</v>
      </c>
      <c r="RM56" s="11">
        <v>0</v>
      </c>
      <c r="RN56" s="11">
        <v>0</v>
      </c>
      <c r="RO56" s="11">
        <v>0</v>
      </c>
      <c r="RP56" s="11">
        <v>0</v>
      </c>
      <c r="RQ56" s="11">
        <v>0</v>
      </c>
      <c r="RR56" s="11">
        <v>0</v>
      </c>
      <c r="RS56" s="11">
        <v>0</v>
      </c>
      <c r="RT56" s="11">
        <v>0</v>
      </c>
      <c r="RU56" s="11">
        <v>0</v>
      </c>
      <c r="RV56" s="11">
        <v>0</v>
      </c>
      <c r="RW56" s="27">
        <f t="shared" si="40"/>
        <v>0</v>
      </c>
      <c r="RX56" s="11">
        <v>0</v>
      </c>
      <c r="RY56" s="11">
        <v>0</v>
      </c>
      <c r="RZ56" s="11">
        <v>0</v>
      </c>
      <c r="SA56" s="11">
        <v>0</v>
      </c>
      <c r="SB56" s="11">
        <v>0</v>
      </c>
      <c r="SC56" s="11">
        <v>0</v>
      </c>
      <c r="SD56" s="11">
        <v>0</v>
      </c>
      <c r="SE56" s="11">
        <v>0</v>
      </c>
      <c r="SF56" s="11">
        <v>0</v>
      </c>
      <c r="SG56" s="11">
        <v>0</v>
      </c>
      <c r="SH56" s="11">
        <v>0</v>
      </c>
      <c r="SI56" s="11">
        <v>0</v>
      </c>
      <c r="SJ56" s="27">
        <f t="shared" si="41"/>
        <v>0</v>
      </c>
      <c r="SK56" s="11">
        <v>0</v>
      </c>
      <c r="SL56" s="11">
        <v>0</v>
      </c>
      <c r="SM56" s="11">
        <v>0</v>
      </c>
      <c r="SN56" s="11">
        <v>0</v>
      </c>
      <c r="SO56" s="11">
        <v>0</v>
      </c>
      <c r="SP56" s="11">
        <v>0</v>
      </c>
      <c r="SQ56" s="11">
        <v>0</v>
      </c>
      <c r="SR56" s="11">
        <v>0</v>
      </c>
      <c r="SS56" s="11">
        <v>0</v>
      </c>
      <c r="ST56" s="11">
        <v>0</v>
      </c>
      <c r="SU56" s="11">
        <v>0</v>
      </c>
      <c r="SV56" s="11">
        <v>0</v>
      </c>
      <c r="SW56" s="27">
        <f t="shared" si="42"/>
        <v>0</v>
      </c>
      <c r="SX56" s="28" t="s">
        <v>2696</v>
      </c>
      <c r="SY56" s="11">
        <v>2396</v>
      </c>
      <c r="SZ56" s="11">
        <v>2973</v>
      </c>
      <c r="TA56" s="11">
        <v>2780</v>
      </c>
      <c r="TB56" s="11">
        <v>3071</v>
      </c>
      <c r="TC56" s="11">
        <v>3559</v>
      </c>
      <c r="TD56" s="11">
        <v>3103</v>
      </c>
      <c r="TE56" s="11">
        <v>3511</v>
      </c>
      <c r="TF56" s="11">
        <v>3111</v>
      </c>
      <c r="TG56" s="11">
        <v>2887</v>
      </c>
      <c r="TH56" s="11">
        <v>3166</v>
      </c>
      <c r="TI56" s="11">
        <v>3342</v>
      </c>
      <c r="TJ56" s="11">
        <v>3476</v>
      </c>
      <c r="TK56" s="27">
        <f t="shared" si="43"/>
        <v>37375</v>
      </c>
      <c r="TL56" s="11">
        <v>0</v>
      </c>
      <c r="TM56" s="11">
        <v>0</v>
      </c>
      <c r="TN56" s="11">
        <v>0</v>
      </c>
      <c r="TO56" s="11">
        <v>0</v>
      </c>
      <c r="TP56" s="11">
        <v>0</v>
      </c>
      <c r="TQ56" s="11">
        <v>0</v>
      </c>
      <c r="TR56" s="11">
        <v>0</v>
      </c>
      <c r="TS56" s="11">
        <v>0</v>
      </c>
      <c r="TT56" s="11">
        <v>0</v>
      </c>
      <c r="TU56" s="11">
        <v>0</v>
      </c>
      <c r="TV56" s="11">
        <v>0</v>
      </c>
      <c r="TW56" s="11">
        <v>0</v>
      </c>
      <c r="TX56" s="27">
        <f t="shared" si="44"/>
        <v>0</v>
      </c>
      <c r="TY56" s="11">
        <v>50</v>
      </c>
      <c r="TZ56" s="11">
        <v>0</v>
      </c>
      <c r="UA56" s="11">
        <v>0</v>
      </c>
    </row>
    <row r="57" spans="1:547" ht="15.5" customHeight="1" x14ac:dyDescent="0.35">
      <c r="A57" s="11" t="s">
        <v>2697</v>
      </c>
      <c r="B57" s="11">
        <v>82599</v>
      </c>
      <c r="C57" s="11">
        <v>14399</v>
      </c>
      <c r="D57" s="11">
        <v>59382</v>
      </c>
      <c r="E57" s="11">
        <v>8818</v>
      </c>
      <c r="F57" s="11">
        <v>1151</v>
      </c>
      <c r="G57" s="11">
        <v>1098</v>
      </c>
      <c r="H57" s="11">
        <v>1070</v>
      </c>
      <c r="I57" s="11">
        <v>1173</v>
      </c>
      <c r="J57" s="11">
        <v>1120</v>
      </c>
      <c r="K57" s="11">
        <v>1272</v>
      </c>
      <c r="L57" s="11">
        <v>1561</v>
      </c>
      <c r="M57" s="11">
        <v>1506</v>
      </c>
      <c r="N57" s="11">
        <v>1174</v>
      </c>
      <c r="O57" s="11">
        <v>1442</v>
      </c>
      <c r="P57" s="11" t="s">
        <v>2865</v>
      </c>
      <c r="Q57" s="11">
        <v>1418</v>
      </c>
      <c r="R57" s="11">
        <v>1324</v>
      </c>
      <c r="S57" s="26">
        <f t="shared" si="0"/>
        <v>15309</v>
      </c>
      <c r="T57" s="11">
        <v>0</v>
      </c>
      <c r="U57" s="11">
        <v>0</v>
      </c>
      <c r="V57" s="11">
        <v>0</v>
      </c>
      <c r="W57" s="11">
        <v>0</v>
      </c>
      <c r="X57" s="11">
        <v>0</v>
      </c>
      <c r="Y57" s="11">
        <v>0</v>
      </c>
      <c r="Z57" s="11">
        <v>0</v>
      </c>
      <c r="AA57" s="11">
        <v>0</v>
      </c>
      <c r="AB57" s="11">
        <v>0</v>
      </c>
      <c r="AC57" s="11">
        <v>0</v>
      </c>
      <c r="AD57" s="11">
        <v>0</v>
      </c>
      <c r="AE57" s="11">
        <v>0</v>
      </c>
      <c r="AF57" s="26">
        <f t="shared" si="1"/>
        <v>0</v>
      </c>
      <c r="AG57" s="11">
        <v>0</v>
      </c>
      <c r="AH57" s="11">
        <v>0</v>
      </c>
      <c r="AI57" s="11">
        <v>0</v>
      </c>
      <c r="AJ57" s="11">
        <v>0</v>
      </c>
      <c r="AK57" s="11">
        <v>0</v>
      </c>
      <c r="AL57" s="11">
        <v>0</v>
      </c>
      <c r="AM57" s="11">
        <v>0</v>
      </c>
      <c r="AN57" s="11">
        <v>0</v>
      </c>
      <c r="AO57" s="11">
        <v>0</v>
      </c>
      <c r="AP57" s="11">
        <v>0</v>
      </c>
      <c r="AQ57" s="11">
        <v>0</v>
      </c>
      <c r="AR57" s="11">
        <v>0</v>
      </c>
      <c r="AS57" s="26">
        <f t="shared" si="2"/>
        <v>0</v>
      </c>
      <c r="AT57" s="11">
        <v>0</v>
      </c>
      <c r="AU57" s="11">
        <v>0</v>
      </c>
      <c r="AV57" s="11">
        <v>0</v>
      </c>
      <c r="AW57" s="11">
        <v>0</v>
      </c>
      <c r="AX57" s="11">
        <v>0</v>
      </c>
      <c r="AY57" s="11">
        <v>0</v>
      </c>
      <c r="AZ57" s="11">
        <v>0</v>
      </c>
      <c r="BA57" s="11">
        <v>0</v>
      </c>
      <c r="BB57" s="11">
        <v>0</v>
      </c>
      <c r="BC57" s="11">
        <v>0</v>
      </c>
      <c r="BD57" s="11">
        <v>0</v>
      </c>
      <c r="BE57" s="11">
        <v>0</v>
      </c>
      <c r="BF57" s="26">
        <f t="shared" si="3"/>
        <v>0</v>
      </c>
      <c r="BG57" s="11">
        <v>17376</v>
      </c>
      <c r="BH57" s="11">
        <v>21697</v>
      </c>
      <c r="BI57" s="11">
        <v>17974</v>
      </c>
      <c r="BJ57" s="11">
        <v>18174</v>
      </c>
      <c r="BK57" s="11">
        <v>15926</v>
      </c>
      <c r="BL57" s="11">
        <v>18943</v>
      </c>
      <c r="BM57" s="11">
        <v>28103</v>
      </c>
      <c r="BN57" s="11">
        <v>25274</v>
      </c>
      <c r="BO57" s="11">
        <v>21396</v>
      </c>
      <c r="BP57" s="11">
        <v>21135</v>
      </c>
      <c r="BQ57" s="11">
        <v>23945</v>
      </c>
      <c r="BR57" s="11">
        <v>25103</v>
      </c>
      <c r="BS57" s="26">
        <f t="shared" si="4"/>
        <v>255046</v>
      </c>
      <c r="BT57" s="11">
        <v>0</v>
      </c>
      <c r="BU57" s="11">
        <v>0</v>
      </c>
      <c r="BV57" s="11">
        <v>0</v>
      </c>
      <c r="BW57" s="11">
        <v>0</v>
      </c>
      <c r="BX57" s="11">
        <v>0</v>
      </c>
      <c r="BY57" s="11">
        <v>0</v>
      </c>
      <c r="BZ57" s="11">
        <v>0</v>
      </c>
      <c r="CA57" s="11">
        <v>0</v>
      </c>
      <c r="CB57" s="11">
        <v>4</v>
      </c>
      <c r="CC57" s="11">
        <v>10</v>
      </c>
      <c r="CD57" s="11">
        <v>12</v>
      </c>
      <c r="CE57" s="11">
        <v>11</v>
      </c>
      <c r="CF57" s="26">
        <f t="shared" si="5"/>
        <v>37</v>
      </c>
      <c r="CG57" s="11">
        <v>0</v>
      </c>
      <c r="CH57" s="11">
        <v>0</v>
      </c>
      <c r="CI57" s="11">
        <v>0</v>
      </c>
      <c r="CJ57" s="11">
        <v>0</v>
      </c>
      <c r="CK57" s="11">
        <v>0</v>
      </c>
      <c r="CL57" s="11">
        <v>0</v>
      </c>
      <c r="CM57" s="11">
        <v>0</v>
      </c>
      <c r="CN57" s="11">
        <v>0</v>
      </c>
      <c r="CO57" s="11">
        <v>0</v>
      </c>
      <c r="CP57" s="11">
        <v>0</v>
      </c>
      <c r="CQ57" s="11">
        <v>0</v>
      </c>
      <c r="CR57" s="11">
        <v>0</v>
      </c>
      <c r="CS57" s="26">
        <f t="shared" si="6"/>
        <v>0</v>
      </c>
      <c r="CT57" s="11">
        <v>0</v>
      </c>
      <c r="CU57" s="11">
        <v>0</v>
      </c>
      <c r="CV57" s="11">
        <v>0</v>
      </c>
      <c r="CW57" s="11">
        <v>0</v>
      </c>
      <c r="CX57" s="11">
        <v>0</v>
      </c>
      <c r="CY57" s="11">
        <v>0</v>
      </c>
      <c r="CZ57" s="11">
        <v>0</v>
      </c>
      <c r="DA57" s="11">
        <v>0</v>
      </c>
      <c r="DB57" s="11">
        <v>0</v>
      </c>
      <c r="DC57" s="11">
        <v>0</v>
      </c>
      <c r="DD57" s="11">
        <v>0</v>
      </c>
      <c r="DE57" s="11">
        <v>0</v>
      </c>
      <c r="DF57" s="26">
        <f t="shared" si="7"/>
        <v>0</v>
      </c>
      <c r="DG57" s="11">
        <v>0</v>
      </c>
      <c r="DH57" s="11">
        <v>0</v>
      </c>
      <c r="DI57" s="11">
        <v>0</v>
      </c>
      <c r="DJ57" s="11">
        <v>0</v>
      </c>
      <c r="DK57" s="11">
        <v>0</v>
      </c>
      <c r="DL57" s="11">
        <v>0</v>
      </c>
      <c r="DM57" s="11">
        <v>0</v>
      </c>
      <c r="DN57" s="11">
        <v>0</v>
      </c>
      <c r="DO57" s="11">
        <v>0</v>
      </c>
      <c r="DP57" s="11">
        <v>0</v>
      </c>
      <c r="DQ57" s="11">
        <v>0</v>
      </c>
      <c r="DR57" s="11">
        <v>0</v>
      </c>
      <c r="DS57" s="26">
        <f t="shared" si="8"/>
        <v>0</v>
      </c>
      <c r="DT57" s="11">
        <v>0</v>
      </c>
      <c r="DU57" s="11">
        <v>0</v>
      </c>
      <c r="DV57" s="11">
        <v>0</v>
      </c>
      <c r="DW57" s="11">
        <v>0</v>
      </c>
      <c r="DX57" s="11">
        <v>0</v>
      </c>
      <c r="DY57" s="11">
        <v>0</v>
      </c>
      <c r="DZ57" s="11">
        <v>0</v>
      </c>
      <c r="EA57" s="11">
        <v>0</v>
      </c>
      <c r="EB57" s="11">
        <v>86</v>
      </c>
      <c r="EC57" s="11">
        <v>145</v>
      </c>
      <c r="ED57" s="11">
        <v>124</v>
      </c>
      <c r="EE57" s="11">
        <v>105</v>
      </c>
      <c r="EF57" s="26">
        <f t="shared" si="9"/>
        <v>460</v>
      </c>
      <c r="EG57" s="9">
        <f t="shared" si="10"/>
        <v>255046</v>
      </c>
      <c r="EH57" s="9">
        <f t="shared" si="11"/>
        <v>460</v>
      </c>
      <c r="EI57" s="11">
        <v>0</v>
      </c>
      <c r="EJ57" s="11">
        <v>0</v>
      </c>
      <c r="EK57" s="11">
        <v>0</v>
      </c>
      <c r="EL57" s="11">
        <v>0</v>
      </c>
      <c r="EM57" s="11">
        <v>0</v>
      </c>
      <c r="EN57" s="11">
        <v>0</v>
      </c>
      <c r="EO57" s="11">
        <v>0</v>
      </c>
      <c r="EP57" s="11">
        <v>0</v>
      </c>
      <c r="EQ57" s="11">
        <v>0</v>
      </c>
      <c r="ER57" s="11">
        <v>0</v>
      </c>
      <c r="ES57" s="11">
        <v>0</v>
      </c>
      <c r="ET57" s="11">
        <v>0</v>
      </c>
      <c r="EU57" s="26">
        <f t="shared" si="12"/>
        <v>0</v>
      </c>
      <c r="EV57" s="11">
        <v>0</v>
      </c>
      <c r="EW57" s="11">
        <v>0</v>
      </c>
      <c r="EX57" s="11">
        <v>0</v>
      </c>
      <c r="EY57" s="11">
        <v>0</v>
      </c>
      <c r="EZ57" s="11">
        <v>0</v>
      </c>
      <c r="FA57" s="11">
        <v>0</v>
      </c>
      <c r="FB57" s="11">
        <v>0</v>
      </c>
      <c r="FC57" s="11">
        <v>0</v>
      </c>
      <c r="FD57" s="11">
        <v>0</v>
      </c>
      <c r="FE57" s="11">
        <v>0</v>
      </c>
      <c r="FF57" s="11">
        <v>0</v>
      </c>
      <c r="FG57" s="11">
        <v>0</v>
      </c>
      <c r="FH57" s="26">
        <f t="shared" si="13"/>
        <v>0</v>
      </c>
      <c r="FI57" s="11">
        <v>0</v>
      </c>
      <c r="FJ57" s="11">
        <v>0</v>
      </c>
      <c r="FK57" s="11">
        <v>0</v>
      </c>
      <c r="FL57" s="11">
        <v>0</v>
      </c>
      <c r="FM57" s="11">
        <v>0</v>
      </c>
      <c r="FN57" s="11">
        <v>0</v>
      </c>
      <c r="FO57" s="11">
        <v>0</v>
      </c>
      <c r="FP57" s="11">
        <v>0</v>
      </c>
      <c r="FQ57" s="11">
        <v>0</v>
      </c>
      <c r="FR57" s="11">
        <v>0</v>
      </c>
      <c r="FS57" s="11">
        <v>0</v>
      </c>
      <c r="FT57" s="11">
        <v>0</v>
      </c>
      <c r="FU57" s="26">
        <f t="shared" si="14"/>
        <v>0</v>
      </c>
      <c r="FV57" s="11">
        <v>0</v>
      </c>
      <c r="FW57" s="11">
        <v>0</v>
      </c>
      <c r="FX57" s="11">
        <v>0</v>
      </c>
      <c r="FY57" s="11">
        <v>0</v>
      </c>
      <c r="FZ57" s="11">
        <v>0</v>
      </c>
      <c r="GA57" s="11">
        <v>0</v>
      </c>
      <c r="GB57" s="11">
        <v>0</v>
      </c>
      <c r="GC57" s="11">
        <v>0</v>
      </c>
      <c r="GD57" s="11">
        <v>0</v>
      </c>
      <c r="GE57" s="11">
        <v>0</v>
      </c>
      <c r="GF57" s="11">
        <v>0</v>
      </c>
      <c r="GG57" s="11">
        <v>0</v>
      </c>
      <c r="GH57" s="26">
        <f t="shared" si="15"/>
        <v>0</v>
      </c>
      <c r="GI57" s="11">
        <v>0</v>
      </c>
      <c r="GJ57" s="11">
        <v>0</v>
      </c>
      <c r="GK57" s="11">
        <v>0</v>
      </c>
      <c r="GL57" s="11">
        <v>0</v>
      </c>
      <c r="GM57" s="11">
        <v>0</v>
      </c>
      <c r="GN57" s="11">
        <v>0</v>
      </c>
      <c r="GO57" s="11">
        <v>0</v>
      </c>
      <c r="GP57" s="11">
        <v>0</v>
      </c>
      <c r="GQ57" s="11">
        <v>0</v>
      </c>
      <c r="GR57" s="11">
        <v>0</v>
      </c>
      <c r="GS57" s="11">
        <v>0</v>
      </c>
      <c r="GT57" s="11">
        <v>0</v>
      </c>
      <c r="GU57" s="26">
        <f t="shared" si="16"/>
        <v>0</v>
      </c>
      <c r="GV57" s="11">
        <v>0</v>
      </c>
      <c r="GW57" s="11">
        <v>0</v>
      </c>
      <c r="GX57" s="11">
        <v>0</v>
      </c>
      <c r="GY57" s="11">
        <v>0</v>
      </c>
      <c r="GZ57" s="11">
        <v>0</v>
      </c>
      <c r="HA57" s="11">
        <v>0</v>
      </c>
      <c r="HB57" s="11">
        <v>0</v>
      </c>
      <c r="HC57" s="11">
        <v>0</v>
      </c>
      <c r="HD57" s="11">
        <v>0</v>
      </c>
      <c r="HE57" s="11">
        <v>0</v>
      </c>
      <c r="HF57" s="11">
        <v>0</v>
      </c>
      <c r="HG57" s="11">
        <v>0</v>
      </c>
      <c r="HH57" s="26">
        <f t="shared" si="17"/>
        <v>0</v>
      </c>
      <c r="HI57" s="11">
        <v>0</v>
      </c>
      <c r="HJ57" s="11">
        <v>0</v>
      </c>
      <c r="HK57" s="11">
        <v>0</v>
      </c>
      <c r="HL57" s="11">
        <v>0</v>
      </c>
      <c r="HM57" s="11">
        <v>0</v>
      </c>
      <c r="HN57" s="11">
        <v>0</v>
      </c>
      <c r="HO57" s="11">
        <v>0</v>
      </c>
      <c r="HP57" s="11">
        <v>0</v>
      </c>
      <c r="HQ57" s="11">
        <v>0</v>
      </c>
      <c r="HR57" s="11">
        <v>0</v>
      </c>
      <c r="HS57" s="11">
        <v>0</v>
      </c>
      <c r="HT57" s="11">
        <v>0</v>
      </c>
      <c r="HU57" s="26">
        <f t="shared" si="18"/>
        <v>0</v>
      </c>
      <c r="HV57" s="11">
        <v>0</v>
      </c>
      <c r="HW57" s="11">
        <v>0</v>
      </c>
      <c r="HX57" s="11">
        <v>0</v>
      </c>
      <c r="HY57" s="11">
        <v>0</v>
      </c>
      <c r="HZ57" s="11">
        <v>0</v>
      </c>
      <c r="IA57" s="11">
        <v>0</v>
      </c>
      <c r="IB57" s="11">
        <v>0</v>
      </c>
      <c r="IC57" s="11">
        <v>0</v>
      </c>
      <c r="ID57" s="11">
        <v>0</v>
      </c>
      <c r="IE57" s="11">
        <v>0</v>
      </c>
      <c r="IF57" s="11">
        <v>0</v>
      </c>
      <c r="IG57" s="11">
        <v>0</v>
      </c>
      <c r="IH57" s="26">
        <f t="shared" si="19"/>
        <v>0</v>
      </c>
      <c r="II57" s="9">
        <f t="shared" si="20"/>
        <v>0</v>
      </c>
      <c r="IJ57" s="9">
        <f t="shared" si="21"/>
        <v>0</v>
      </c>
      <c r="IK57" s="11">
        <v>61839</v>
      </c>
      <c r="IL57" s="11">
        <v>61543</v>
      </c>
      <c r="IM57" s="11">
        <v>57381</v>
      </c>
      <c r="IN57" s="11">
        <v>68638</v>
      </c>
      <c r="IO57" s="11">
        <v>72616</v>
      </c>
      <c r="IP57" s="11">
        <v>62737</v>
      </c>
      <c r="IQ57" s="11">
        <v>68007</v>
      </c>
      <c r="IR57" s="11">
        <v>61888</v>
      </c>
      <c r="IS57" s="11">
        <v>51414</v>
      </c>
      <c r="IT57" s="11">
        <v>60269</v>
      </c>
      <c r="IU57" s="11">
        <v>58398</v>
      </c>
      <c r="IV57" s="11">
        <v>57378</v>
      </c>
      <c r="IW57" s="27">
        <f t="shared" si="22"/>
        <v>742108</v>
      </c>
      <c r="IX57" s="11">
        <v>46078</v>
      </c>
      <c r="IY57" s="11">
        <v>46318</v>
      </c>
      <c r="IZ57" s="11">
        <v>43613</v>
      </c>
      <c r="JA57" s="11">
        <v>50231</v>
      </c>
      <c r="JB57" s="11">
        <v>52573</v>
      </c>
      <c r="JC57" s="11">
        <v>47969</v>
      </c>
      <c r="JD57" s="11">
        <v>50971</v>
      </c>
      <c r="JE57" s="11">
        <v>47249</v>
      </c>
      <c r="JF57" s="11">
        <v>39552</v>
      </c>
      <c r="JG57" s="11">
        <v>46737</v>
      </c>
      <c r="JH57" s="11">
        <v>43959</v>
      </c>
      <c r="JI57" s="11">
        <v>44726</v>
      </c>
      <c r="JJ57" s="27">
        <f t="shared" si="23"/>
        <v>559976</v>
      </c>
      <c r="JK57" s="11">
        <v>14167</v>
      </c>
      <c r="JL57" s="11">
        <v>13750</v>
      </c>
      <c r="JM57" s="11">
        <v>12282</v>
      </c>
      <c r="JN57" s="11">
        <v>16574</v>
      </c>
      <c r="JO57" s="11">
        <v>18050</v>
      </c>
      <c r="JP57" s="11">
        <v>13214</v>
      </c>
      <c r="JQ57" s="11">
        <v>15373</v>
      </c>
      <c r="JR57" s="11">
        <v>13212</v>
      </c>
      <c r="JS57" s="11">
        <v>10569</v>
      </c>
      <c r="JT57" s="11">
        <v>12101</v>
      </c>
      <c r="JU57" s="11">
        <v>13095</v>
      </c>
      <c r="JV57" s="11">
        <v>11252</v>
      </c>
      <c r="JW57" s="27">
        <f t="shared" si="24"/>
        <v>163639</v>
      </c>
      <c r="JX57" s="11">
        <v>1594</v>
      </c>
      <c r="JY57" s="11">
        <v>1475</v>
      </c>
      <c r="JZ57" s="11">
        <v>1486</v>
      </c>
      <c r="KA57" s="11">
        <v>1833</v>
      </c>
      <c r="KB57" s="11">
        <v>1993</v>
      </c>
      <c r="KC57" s="11">
        <v>1554</v>
      </c>
      <c r="KD57" s="11">
        <v>1663</v>
      </c>
      <c r="KE57" s="11">
        <v>1427</v>
      </c>
      <c r="KF57" s="11">
        <v>1293</v>
      </c>
      <c r="KG57" s="11">
        <v>1431</v>
      </c>
      <c r="KH57" s="11">
        <v>1344</v>
      </c>
      <c r="KI57" s="11">
        <v>1400</v>
      </c>
      <c r="KJ57" s="27">
        <f t="shared" si="25"/>
        <v>18493</v>
      </c>
      <c r="KK57" s="11">
        <v>1018</v>
      </c>
      <c r="KL57" s="11">
        <v>1031</v>
      </c>
      <c r="KM57" s="11">
        <v>541</v>
      </c>
      <c r="KN57" s="11">
        <v>960</v>
      </c>
      <c r="KO57" s="11">
        <v>1198</v>
      </c>
      <c r="KP57" s="11">
        <v>1292</v>
      </c>
      <c r="KQ57" s="11">
        <v>940</v>
      </c>
      <c r="KR57" s="11">
        <v>1309</v>
      </c>
      <c r="KS57" s="11">
        <v>935</v>
      </c>
      <c r="KT57" s="11">
        <v>1256</v>
      </c>
      <c r="KU57" s="11">
        <v>1048</v>
      </c>
      <c r="KV57" s="11">
        <v>1119</v>
      </c>
      <c r="KW57" s="27">
        <f t="shared" si="26"/>
        <v>12647</v>
      </c>
      <c r="KX57" s="11">
        <v>970</v>
      </c>
      <c r="KY57" s="11">
        <v>982</v>
      </c>
      <c r="KZ57" s="11">
        <v>511</v>
      </c>
      <c r="LA57" s="11">
        <v>906</v>
      </c>
      <c r="LB57" s="11">
        <v>1141</v>
      </c>
      <c r="LC57" s="11">
        <v>1250</v>
      </c>
      <c r="LD57" s="11">
        <v>901</v>
      </c>
      <c r="LE57" s="11">
        <v>1263</v>
      </c>
      <c r="LF57" s="11">
        <v>908</v>
      </c>
      <c r="LG57" s="11">
        <v>1225</v>
      </c>
      <c r="LH57" s="11">
        <v>1021</v>
      </c>
      <c r="LI57" s="11">
        <v>1092</v>
      </c>
      <c r="LJ57" s="27">
        <f t="shared" si="27"/>
        <v>12170</v>
      </c>
      <c r="LK57" s="11">
        <v>46</v>
      </c>
      <c r="LL57" s="11">
        <v>47</v>
      </c>
      <c r="LM57" s="11">
        <v>25</v>
      </c>
      <c r="LN57" s="11">
        <v>51</v>
      </c>
      <c r="LO57" s="11">
        <v>56</v>
      </c>
      <c r="LP57" s="11">
        <v>39</v>
      </c>
      <c r="LQ57" s="11">
        <v>36</v>
      </c>
      <c r="LR57" s="11">
        <v>43</v>
      </c>
      <c r="LS57" s="11">
        <v>27</v>
      </c>
      <c r="LT57" s="11">
        <v>30</v>
      </c>
      <c r="LU57" s="11">
        <v>27</v>
      </c>
      <c r="LV57" s="11">
        <v>27</v>
      </c>
      <c r="LW57" s="27">
        <f t="shared" si="28"/>
        <v>454</v>
      </c>
      <c r="LX57" s="11">
        <v>2</v>
      </c>
      <c r="LY57" s="11">
        <v>2</v>
      </c>
      <c r="LZ57" s="11">
        <v>5</v>
      </c>
      <c r="MA57" s="11">
        <v>3</v>
      </c>
      <c r="MB57" s="11">
        <v>1</v>
      </c>
      <c r="MC57" s="11">
        <v>3</v>
      </c>
      <c r="MD57" s="11">
        <v>3</v>
      </c>
      <c r="ME57" s="11">
        <v>3</v>
      </c>
      <c r="MF57" s="11">
        <v>0</v>
      </c>
      <c r="MG57" s="11">
        <v>1</v>
      </c>
      <c r="MH57" s="11">
        <v>0</v>
      </c>
      <c r="MI57" s="11">
        <v>0</v>
      </c>
      <c r="MJ57" s="27">
        <f t="shared" si="29"/>
        <v>23</v>
      </c>
      <c r="MK57" s="11">
        <v>9858</v>
      </c>
      <c r="ML57" s="11">
        <v>10082</v>
      </c>
      <c r="MM57" s="11">
        <v>9682</v>
      </c>
      <c r="MN57" s="11">
        <v>9907</v>
      </c>
      <c r="MO57" s="11">
        <v>9970</v>
      </c>
      <c r="MP57" s="11">
        <v>9727</v>
      </c>
      <c r="MQ57" s="11">
        <v>9980</v>
      </c>
      <c r="MR57" s="11">
        <v>9236</v>
      </c>
      <c r="MS57" s="11">
        <v>9798</v>
      </c>
      <c r="MT57" s="11">
        <v>9638</v>
      </c>
      <c r="MU57" s="11">
        <v>8607</v>
      </c>
      <c r="MV57" s="11">
        <v>9121</v>
      </c>
      <c r="MW57" s="27">
        <f t="shared" si="30"/>
        <v>115606</v>
      </c>
      <c r="MX57" s="11">
        <v>8300</v>
      </c>
      <c r="MY57" s="11">
        <v>8441</v>
      </c>
      <c r="MZ57" s="11">
        <v>8225</v>
      </c>
      <c r="NA57" s="11">
        <v>8328</v>
      </c>
      <c r="NB57" s="11">
        <v>8337</v>
      </c>
      <c r="NC57" s="11">
        <v>8262</v>
      </c>
      <c r="ND57" s="11">
        <v>8394</v>
      </c>
      <c r="NE57" s="11">
        <v>7725</v>
      </c>
      <c r="NF57" s="11">
        <v>8291</v>
      </c>
      <c r="NG57" s="11">
        <v>8168</v>
      </c>
      <c r="NH57" s="11">
        <v>7451</v>
      </c>
      <c r="NI57" s="11">
        <v>7846</v>
      </c>
      <c r="NJ57" s="27">
        <f t="shared" si="31"/>
        <v>97768</v>
      </c>
      <c r="NK57" s="11">
        <v>955</v>
      </c>
      <c r="NL57" s="11">
        <v>1031</v>
      </c>
      <c r="NM57" s="11">
        <v>850</v>
      </c>
      <c r="NN57" s="11">
        <v>969</v>
      </c>
      <c r="NO57" s="11">
        <v>1037</v>
      </c>
      <c r="NP57" s="11">
        <v>869</v>
      </c>
      <c r="NQ57" s="11">
        <v>960</v>
      </c>
      <c r="NR57" s="11">
        <v>955</v>
      </c>
      <c r="NS57" s="11">
        <v>908</v>
      </c>
      <c r="NT57" s="11">
        <v>865</v>
      </c>
      <c r="NU57" s="11">
        <v>654</v>
      </c>
      <c r="NV57" s="11">
        <v>734</v>
      </c>
      <c r="NW57" s="27">
        <f t="shared" si="32"/>
        <v>10787</v>
      </c>
      <c r="NX57" s="11">
        <v>603</v>
      </c>
      <c r="NY57" s="11">
        <v>610</v>
      </c>
      <c r="NZ57" s="11">
        <v>607</v>
      </c>
      <c r="OA57" s="11">
        <v>610</v>
      </c>
      <c r="OB57" s="11">
        <v>596</v>
      </c>
      <c r="OC57" s="11">
        <v>596</v>
      </c>
      <c r="OD57" s="11">
        <v>626</v>
      </c>
      <c r="OE57" s="11">
        <v>556</v>
      </c>
      <c r="OF57" s="11">
        <v>599</v>
      </c>
      <c r="OG57" s="11">
        <v>605</v>
      </c>
      <c r="OH57" s="11">
        <v>502</v>
      </c>
      <c r="OI57" s="11">
        <v>541</v>
      </c>
      <c r="OJ57" s="27">
        <f t="shared" si="33"/>
        <v>7051</v>
      </c>
      <c r="OK57" s="11">
        <v>15041</v>
      </c>
      <c r="OL57" s="11">
        <v>15244</v>
      </c>
      <c r="OM57" s="11">
        <v>14492</v>
      </c>
      <c r="ON57" s="11">
        <v>15196</v>
      </c>
      <c r="OO57" s="11">
        <v>15312</v>
      </c>
      <c r="OP57" s="11">
        <v>15379</v>
      </c>
      <c r="OQ57" s="11">
        <v>16094</v>
      </c>
      <c r="OR57" s="11">
        <v>15097</v>
      </c>
      <c r="OS57" s="11">
        <v>15417</v>
      </c>
      <c r="OT57" s="11">
        <v>16309</v>
      </c>
      <c r="OU57" s="11">
        <v>14445</v>
      </c>
      <c r="OV57" s="11">
        <v>15472</v>
      </c>
      <c r="OW57" s="27">
        <f t="shared" si="34"/>
        <v>183498</v>
      </c>
      <c r="OX57" s="11">
        <v>12141</v>
      </c>
      <c r="OY57" s="11">
        <v>12232</v>
      </c>
      <c r="OZ57" s="11">
        <v>11803</v>
      </c>
      <c r="PA57" s="11">
        <v>12152</v>
      </c>
      <c r="PB57" s="11">
        <v>12180</v>
      </c>
      <c r="PC57" s="11">
        <v>12459</v>
      </c>
      <c r="PD57" s="11">
        <v>13073</v>
      </c>
      <c r="PE57" s="11">
        <v>12160</v>
      </c>
      <c r="PF57" s="11">
        <v>12349</v>
      </c>
      <c r="PG57" s="11">
        <v>13280</v>
      </c>
      <c r="PH57" s="11">
        <v>11649</v>
      </c>
      <c r="PI57" s="11">
        <v>12413</v>
      </c>
      <c r="PJ57" s="27">
        <f t="shared" si="35"/>
        <v>147891</v>
      </c>
      <c r="PK57" s="11">
        <v>2048</v>
      </c>
      <c r="PL57" s="11">
        <v>2093</v>
      </c>
      <c r="PM57" s="11">
        <v>1836</v>
      </c>
      <c r="PN57" s="11">
        <v>2137</v>
      </c>
      <c r="PO57" s="11">
        <v>2258</v>
      </c>
      <c r="PP57" s="11">
        <v>2136</v>
      </c>
      <c r="PQ57" s="11">
        <v>2148</v>
      </c>
      <c r="PR57" s="11">
        <v>2027</v>
      </c>
      <c r="PS57" s="11">
        <v>2228</v>
      </c>
      <c r="PT57" s="11">
        <v>2177</v>
      </c>
      <c r="PU57" s="11">
        <v>2019</v>
      </c>
      <c r="PV57" s="11">
        <v>2245</v>
      </c>
      <c r="PW57" s="27">
        <f t="shared" si="36"/>
        <v>25352</v>
      </c>
      <c r="PX57" s="11">
        <v>852</v>
      </c>
      <c r="PY57" s="11">
        <v>919</v>
      </c>
      <c r="PZ57" s="11">
        <v>853</v>
      </c>
      <c r="QA57" s="11">
        <v>907</v>
      </c>
      <c r="QB57" s="11">
        <v>874</v>
      </c>
      <c r="QC57" s="11">
        <v>784</v>
      </c>
      <c r="QD57" s="11">
        <v>873</v>
      </c>
      <c r="QE57" s="11">
        <v>910</v>
      </c>
      <c r="QF57" s="11">
        <v>840</v>
      </c>
      <c r="QG57" s="11">
        <v>852</v>
      </c>
      <c r="QH57" s="11">
        <v>777</v>
      </c>
      <c r="QI57" s="11">
        <v>814</v>
      </c>
      <c r="QJ57" s="27">
        <f t="shared" si="37"/>
        <v>10255</v>
      </c>
      <c r="QK57" s="11">
        <v>171477</v>
      </c>
      <c r="QL57" s="11">
        <v>167164</v>
      </c>
      <c r="QM57" s="11">
        <v>142108</v>
      </c>
      <c r="QN57" s="11">
        <v>155082</v>
      </c>
      <c r="QO57" s="11">
        <v>140085</v>
      </c>
      <c r="QP57" s="11">
        <v>146568</v>
      </c>
      <c r="QQ57" s="11">
        <v>164010</v>
      </c>
      <c r="QR57" s="11">
        <v>143195</v>
      </c>
      <c r="QS57" s="11">
        <v>116684</v>
      </c>
      <c r="QT57" s="11">
        <v>150491</v>
      </c>
      <c r="QU57" s="11">
        <v>143421</v>
      </c>
      <c r="QV57" s="11">
        <v>143789</v>
      </c>
      <c r="QW57" s="27">
        <f t="shared" si="38"/>
        <v>1784074</v>
      </c>
      <c r="QX57" s="11">
        <v>95622</v>
      </c>
      <c r="QY57" s="11">
        <v>98722</v>
      </c>
      <c r="QZ57" s="11">
        <v>97301</v>
      </c>
      <c r="RA57" s="11">
        <v>104997</v>
      </c>
      <c r="RB57" s="11">
        <v>90255</v>
      </c>
      <c r="RC57" s="11">
        <v>99703</v>
      </c>
      <c r="RD57" s="11">
        <v>114220</v>
      </c>
      <c r="RE57" s="11">
        <v>106450</v>
      </c>
      <c r="RF57" s="11">
        <v>85234</v>
      </c>
      <c r="RG57" s="11">
        <v>102321</v>
      </c>
      <c r="RH57" s="11">
        <v>113794</v>
      </c>
      <c r="RI57" s="11">
        <v>103738</v>
      </c>
      <c r="RJ57" s="27">
        <f t="shared" si="39"/>
        <v>1212357</v>
      </c>
      <c r="RK57" s="11">
        <v>0</v>
      </c>
      <c r="RL57" s="11">
        <v>0</v>
      </c>
      <c r="RM57" s="11">
        <v>0</v>
      </c>
      <c r="RN57" s="11">
        <v>0</v>
      </c>
      <c r="RO57" s="11">
        <v>0</v>
      </c>
      <c r="RP57" s="11">
        <v>0</v>
      </c>
      <c r="RQ57" s="11">
        <v>0</v>
      </c>
      <c r="RR57" s="11">
        <v>0</v>
      </c>
      <c r="RS57" s="11">
        <v>0</v>
      </c>
      <c r="RT57" s="11">
        <v>0</v>
      </c>
      <c r="RU57" s="11">
        <v>0</v>
      </c>
      <c r="RV57" s="11">
        <v>0</v>
      </c>
      <c r="RW57" s="27">
        <f t="shared" si="40"/>
        <v>0</v>
      </c>
      <c r="RX57" s="11">
        <v>0</v>
      </c>
      <c r="RY57" s="11">
        <v>0</v>
      </c>
      <c r="RZ57" s="11">
        <v>0</v>
      </c>
      <c r="SA57" s="11">
        <v>0</v>
      </c>
      <c r="SB57" s="11">
        <v>0</v>
      </c>
      <c r="SC57" s="11">
        <v>0</v>
      </c>
      <c r="SD57" s="11">
        <v>0</v>
      </c>
      <c r="SE57" s="11">
        <v>0</v>
      </c>
      <c r="SF57" s="11">
        <v>0</v>
      </c>
      <c r="SG57" s="11">
        <v>0</v>
      </c>
      <c r="SH57" s="11">
        <v>0</v>
      </c>
      <c r="SI57" s="11">
        <v>0</v>
      </c>
      <c r="SJ57" s="27">
        <f t="shared" si="41"/>
        <v>0</v>
      </c>
      <c r="SK57" s="11">
        <v>415</v>
      </c>
      <c r="SL57" s="11">
        <v>429</v>
      </c>
      <c r="SM57" s="11">
        <v>218</v>
      </c>
      <c r="SN57" s="11">
        <v>289</v>
      </c>
      <c r="SO57" s="11">
        <v>459</v>
      </c>
      <c r="SP57" s="11">
        <v>466</v>
      </c>
      <c r="SQ57" s="11">
        <v>439</v>
      </c>
      <c r="SR57" s="11">
        <v>491</v>
      </c>
      <c r="SS57" s="11">
        <v>280</v>
      </c>
      <c r="ST57" s="11">
        <v>434</v>
      </c>
      <c r="SU57" s="11">
        <v>412</v>
      </c>
      <c r="SV57" s="11">
        <v>443</v>
      </c>
      <c r="SW57" s="27">
        <f t="shared" si="42"/>
        <v>4775</v>
      </c>
      <c r="SX57" s="11" t="s">
        <v>2658</v>
      </c>
      <c r="SY57" s="11">
        <v>28586</v>
      </c>
      <c r="SZ57" s="11">
        <v>29156</v>
      </c>
      <c r="TA57" s="11">
        <v>26480</v>
      </c>
      <c r="TB57" s="11">
        <v>28551</v>
      </c>
      <c r="TC57" s="11">
        <v>26459</v>
      </c>
      <c r="TD57" s="11">
        <v>26425</v>
      </c>
      <c r="TE57" s="11">
        <v>30720</v>
      </c>
      <c r="TF57" s="11">
        <v>27586</v>
      </c>
      <c r="TG57" s="11">
        <v>23861</v>
      </c>
      <c r="TH57" s="11">
        <v>26395</v>
      </c>
      <c r="TI57" s="11">
        <v>26420</v>
      </c>
      <c r="TJ57" s="11">
        <v>26935</v>
      </c>
      <c r="TK57" s="27">
        <f t="shared" si="43"/>
        <v>327574</v>
      </c>
      <c r="TL57" s="11">
        <v>22269</v>
      </c>
      <c r="TM57" s="11">
        <v>22688</v>
      </c>
      <c r="TN57" s="11">
        <v>21400</v>
      </c>
      <c r="TO57" s="11">
        <v>23122</v>
      </c>
      <c r="TP57" s="11">
        <v>21767</v>
      </c>
      <c r="TQ57" s="11">
        <v>21785</v>
      </c>
      <c r="TR57" s="11">
        <v>24944</v>
      </c>
      <c r="TS57" s="11">
        <v>22537</v>
      </c>
      <c r="TT57" s="11">
        <v>18395</v>
      </c>
      <c r="TU57" s="11">
        <v>21953</v>
      </c>
      <c r="TV57" s="11">
        <v>22099</v>
      </c>
      <c r="TW57" s="11">
        <v>22023</v>
      </c>
      <c r="TX57" s="27">
        <f t="shared" si="44"/>
        <v>264982</v>
      </c>
      <c r="TY57" s="11">
        <v>455</v>
      </c>
      <c r="TZ57" s="11"/>
      <c r="UA57" s="11"/>
    </row>
    <row r="58" spans="1:547" ht="16" customHeight="1" x14ac:dyDescent="0.35">
      <c r="A58" s="11" t="s">
        <v>1438</v>
      </c>
      <c r="B58" s="11">
        <v>60695</v>
      </c>
      <c r="C58" s="11"/>
      <c r="D58" s="11"/>
      <c r="E58" s="11"/>
      <c r="F58" s="11">
        <v>656</v>
      </c>
      <c r="G58" s="11">
        <v>729</v>
      </c>
      <c r="H58" s="11">
        <v>772</v>
      </c>
      <c r="I58" s="11">
        <v>736</v>
      </c>
      <c r="J58" s="11">
        <v>539</v>
      </c>
      <c r="K58" s="11">
        <v>694</v>
      </c>
      <c r="L58" s="11">
        <v>882</v>
      </c>
      <c r="M58" s="11">
        <v>875</v>
      </c>
      <c r="N58" s="11">
        <v>503</v>
      </c>
      <c r="O58" s="11">
        <v>708</v>
      </c>
      <c r="P58" s="11" t="s">
        <v>2866</v>
      </c>
      <c r="Q58" s="11">
        <v>716</v>
      </c>
      <c r="R58" s="11">
        <v>799</v>
      </c>
      <c r="S58" s="26">
        <f t="shared" si="0"/>
        <v>8609</v>
      </c>
      <c r="T58" s="11">
        <v>382</v>
      </c>
      <c r="U58" s="11">
        <v>401</v>
      </c>
      <c r="V58" s="11">
        <v>420</v>
      </c>
      <c r="W58" s="11">
        <v>371</v>
      </c>
      <c r="X58" s="11">
        <v>289</v>
      </c>
      <c r="Y58" s="11">
        <v>363</v>
      </c>
      <c r="Z58" s="11">
        <v>488</v>
      </c>
      <c r="AA58" s="11">
        <v>492</v>
      </c>
      <c r="AB58" s="11">
        <v>263</v>
      </c>
      <c r="AC58" s="11">
        <v>404</v>
      </c>
      <c r="AD58" s="11">
        <v>379</v>
      </c>
      <c r="AE58" s="11">
        <v>450</v>
      </c>
      <c r="AF58" s="26">
        <f t="shared" si="1"/>
        <v>4702</v>
      </c>
      <c r="AG58" s="11">
        <v>236</v>
      </c>
      <c r="AH58" s="11">
        <v>281</v>
      </c>
      <c r="AI58" s="11">
        <v>292</v>
      </c>
      <c r="AJ58" s="11">
        <v>315</v>
      </c>
      <c r="AK58" s="11">
        <v>212</v>
      </c>
      <c r="AL58" s="11">
        <v>267</v>
      </c>
      <c r="AM58" s="11">
        <v>335</v>
      </c>
      <c r="AN58" s="11">
        <v>321</v>
      </c>
      <c r="AO58" s="11">
        <v>202</v>
      </c>
      <c r="AP58" s="11">
        <v>250</v>
      </c>
      <c r="AQ58" s="11">
        <v>291</v>
      </c>
      <c r="AR58" s="11">
        <v>291</v>
      </c>
      <c r="AS58" s="26">
        <f t="shared" si="2"/>
        <v>3293</v>
      </c>
      <c r="AT58" s="11">
        <v>1</v>
      </c>
      <c r="AU58" s="11">
        <v>0</v>
      </c>
      <c r="AV58" s="11">
        <v>4</v>
      </c>
      <c r="AW58" s="11">
        <v>5</v>
      </c>
      <c r="AX58" s="11">
        <v>2</v>
      </c>
      <c r="AY58" s="11">
        <v>3</v>
      </c>
      <c r="AZ58" s="11">
        <v>5</v>
      </c>
      <c r="BA58" s="11">
        <v>6</v>
      </c>
      <c r="BB58" s="11">
        <v>4</v>
      </c>
      <c r="BC58" s="11">
        <v>8</v>
      </c>
      <c r="BD58" s="11">
        <v>7</v>
      </c>
      <c r="BE58" s="11">
        <v>9</v>
      </c>
      <c r="BF58" s="26">
        <f t="shared" si="3"/>
        <v>54</v>
      </c>
      <c r="BG58" s="11">
        <v>37</v>
      </c>
      <c r="BH58" s="11">
        <v>47</v>
      </c>
      <c r="BI58" s="11">
        <v>56</v>
      </c>
      <c r="BJ58" s="11">
        <v>45</v>
      </c>
      <c r="BK58" s="11">
        <v>36</v>
      </c>
      <c r="BL58" s="11">
        <v>61</v>
      </c>
      <c r="BM58" s="11">
        <v>54</v>
      </c>
      <c r="BN58" s="11">
        <v>56</v>
      </c>
      <c r="BO58" s="11">
        <v>34</v>
      </c>
      <c r="BP58" s="11">
        <v>46</v>
      </c>
      <c r="BQ58" s="11">
        <v>39</v>
      </c>
      <c r="BR58" s="11">
        <v>49</v>
      </c>
      <c r="BS58" s="26">
        <f t="shared" si="4"/>
        <v>560</v>
      </c>
      <c r="BT58" s="11">
        <v>0</v>
      </c>
      <c r="BU58" s="11">
        <v>0</v>
      </c>
      <c r="BV58" s="11">
        <v>0</v>
      </c>
      <c r="BW58" s="11">
        <v>0</v>
      </c>
      <c r="BX58" s="11">
        <v>0</v>
      </c>
      <c r="BY58" s="11">
        <v>0</v>
      </c>
      <c r="BZ58" s="11">
        <v>0</v>
      </c>
      <c r="CA58" s="11">
        <v>0</v>
      </c>
      <c r="CB58" s="11">
        <v>0</v>
      </c>
      <c r="CC58" s="11">
        <v>0</v>
      </c>
      <c r="CD58" s="11">
        <v>0</v>
      </c>
      <c r="CE58" s="11">
        <v>0</v>
      </c>
      <c r="CF58" s="26">
        <f t="shared" si="5"/>
        <v>0</v>
      </c>
      <c r="CG58" s="11">
        <v>0</v>
      </c>
      <c r="CH58" s="11">
        <v>0</v>
      </c>
      <c r="CI58" s="11">
        <v>0</v>
      </c>
      <c r="CJ58" s="11">
        <v>0</v>
      </c>
      <c r="CK58" s="11">
        <v>0</v>
      </c>
      <c r="CL58" s="11">
        <v>0</v>
      </c>
      <c r="CM58" s="11">
        <v>0</v>
      </c>
      <c r="CN58" s="11">
        <v>0</v>
      </c>
      <c r="CO58" s="11">
        <v>0</v>
      </c>
      <c r="CP58" s="11">
        <v>0</v>
      </c>
      <c r="CQ58" s="11">
        <v>0</v>
      </c>
      <c r="CR58" s="11">
        <v>0</v>
      </c>
      <c r="CS58" s="26">
        <f t="shared" si="6"/>
        <v>0</v>
      </c>
      <c r="CT58" s="11">
        <v>0</v>
      </c>
      <c r="CU58" s="11">
        <v>0</v>
      </c>
      <c r="CV58" s="11">
        <v>0</v>
      </c>
      <c r="CW58" s="11">
        <v>0</v>
      </c>
      <c r="CX58" s="11">
        <v>0</v>
      </c>
      <c r="CY58" s="11">
        <v>0</v>
      </c>
      <c r="CZ58" s="11">
        <v>0</v>
      </c>
      <c r="DA58" s="11">
        <v>0</v>
      </c>
      <c r="DB58" s="11">
        <v>0</v>
      </c>
      <c r="DC58" s="11">
        <v>0</v>
      </c>
      <c r="DD58" s="11">
        <v>0</v>
      </c>
      <c r="DE58" s="11">
        <v>0</v>
      </c>
      <c r="DF58" s="26">
        <f t="shared" si="7"/>
        <v>0</v>
      </c>
      <c r="DG58" s="11">
        <v>0</v>
      </c>
      <c r="DH58" s="11">
        <v>0</v>
      </c>
      <c r="DI58" s="11">
        <v>0</v>
      </c>
      <c r="DJ58" s="11">
        <v>0</v>
      </c>
      <c r="DK58" s="11">
        <v>0</v>
      </c>
      <c r="DL58" s="11">
        <v>0</v>
      </c>
      <c r="DM58" s="11">
        <v>0</v>
      </c>
      <c r="DN58" s="11">
        <v>0</v>
      </c>
      <c r="DO58" s="11">
        <v>0</v>
      </c>
      <c r="DP58" s="11">
        <v>0</v>
      </c>
      <c r="DQ58" s="11">
        <v>0</v>
      </c>
      <c r="DR58" s="11">
        <v>0</v>
      </c>
      <c r="DS58" s="26">
        <f t="shared" si="8"/>
        <v>0</v>
      </c>
      <c r="DT58" s="11">
        <v>0</v>
      </c>
      <c r="DU58" s="11">
        <v>0</v>
      </c>
      <c r="DV58" s="11">
        <v>0</v>
      </c>
      <c r="DW58" s="11">
        <v>0</v>
      </c>
      <c r="DX58" s="11">
        <v>0</v>
      </c>
      <c r="DY58" s="11">
        <v>0</v>
      </c>
      <c r="DZ58" s="11">
        <v>0</v>
      </c>
      <c r="EA58" s="11">
        <v>0</v>
      </c>
      <c r="EB58" s="11">
        <v>0</v>
      </c>
      <c r="EC58" s="11">
        <v>0</v>
      </c>
      <c r="ED58" s="11">
        <v>0</v>
      </c>
      <c r="EE58" s="11">
        <v>0</v>
      </c>
      <c r="EF58" s="26">
        <f t="shared" si="9"/>
        <v>0</v>
      </c>
      <c r="EG58" s="9">
        <f t="shared" si="10"/>
        <v>8609</v>
      </c>
      <c r="EH58" s="9">
        <f t="shared" si="11"/>
        <v>0</v>
      </c>
      <c r="EI58" s="11">
        <v>8679</v>
      </c>
      <c r="EJ58" s="11">
        <v>9195</v>
      </c>
      <c r="EK58" s="11">
        <v>9338</v>
      </c>
      <c r="EL58" s="11">
        <v>9407</v>
      </c>
      <c r="EM58" s="11">
        <v>8036</v>
      </c>
      <c r="EN58" s="11">
        <v>8268</v>
      </c>
      <c r="EO58" s="11">
        <v>11345</v>
      </c>
      <c r="EP58" s="11">
        <v>11460</v>
      </c>
      <c r="EQ58" s="11">
        <v>8447</v>
      </c>
      <c r="ER58" s="11">
        <v>8362</v>
      </c>
      <c r="ES58" s="11">
        <v>8596</v>
      </c>
      <c r="ET58" s="11">
        <v>10883</v>
      </c>
      <c r="EU58" s="26">
        <f t="shared" si="12"/>
        <v>112016</v>
      </c>
      <c r="EV58" s="11">
        <v>3642</v>
      </c>
      <c r="EW58" s="11">
        <v>3114</v>
      </c>
      <c r="EX58" s="11">
        <v>4285</v>
      </c>
      <c r="EY58" s="11">
        <v>3435</v>
      </c>
      <c r="EZ58" s="11">
        <v>4300</v>
      </c>
      <c r="FA58" s="11">
        <v>2979</v>
      </c>
      <c r="FB58" s="11">
        <v>5128</v>
      </c>
      <c r="FC58" s="11">
        <v>5314</v>
      </c>
      <c r="FD58" s="11">
        <v>2688</v>
      </c>
      <c r="FE58" s="11">
        <v>3290</v>
      </c>
      <c r="FF58" s="11">
        <v>3448</v>
      </c>
      <c r="FG58" s="11">
        <v>4479</v>
      </c>
      <c r="FH58" s="26">
        <f t="shared" si="13"/>
        <v>46102</v>
      </c>
      <c r="FI58" s="11">
        <v>4083</v>
      </c>
      <c r="FJ58" s="11">
        <v>4882</v>
      </c>
      <c r="FK58" s="11">
        <v>3355</v>
      </c>
      <c r="FL58" s="11">
        <v>4895</v>
      </c>
      <c r="FM58" s="11">
        <v>2843</v>
      </c>
      <c r="FN58" s="11">
        <v>3882</v>
      </c>
      <c r="FO58" s="11">
        <v>4961</v>
      </c>
      <c r="FP58" s="11">
        <v>4791</v>
      </c>
      <c r="FQ58" s="11">
        <v>4572</v>
      </c>
      <c r="FR58" s="11">
        <v>3831</v>
      </c>
      <c r="FS58" s="11">
        <v>4015</v>
      </c>
      <c r="FT58" s="11">
        <v>5081</v>
      </c>
      <c r="FU58" s="26">
        <f t="shared" si="14"/>
        <v>51191</v>
      </c>
      <c r="FV58" s="11">
        <v>10</v>
      </c>
      <c r="FW58" s="11">
        <v>0</v>
      </c>
      <c r="FX58" s="11">
        <v>12</v>
      </c>
      <c r="FY58" s="11">
        <v>79</v>
      </c>
      <c r="FZ58" s="11">
        <v>0</v>
      </c>
      <c r="GA58" s="11">
        <v>45</v>
      </c>
      <c r="GB58" s="11">
        <v>139</v>
      </c>
      <c r="GC58" s="11">
        <v>81</v>
      </c>
      <c r="GD58" s="11">
        <v>63</v>
      </c>
      <c r="GE58" s="11">
        <v>84</v>
      </c>
      <c r="GF58" s="11">
        <v>104</v>
      </c>
      <c r="GG58" s="11">
        <v>162</v>
      </c>
      <c r="GH58" s="26">
        <f t="shared" si="15"/>
        <v>779</v>
      </c>
      <c r="GI58" s="11">
        <v>0</v>
      </c>
      <c r="GJ58" s="11">
        <v>0</v>
      </c>
      <c r="GK58" s="11">
        <v>0</v>
      </c>
      <c r="GL58" s="11">
        <v>0</v>
      </c>
      <c r="GM58" s="11">
        <v>0</v>
      </c>
      <c r="GN58" s="11">
        <v>0</v>
      </c>
      <c r="GO58" s="11">
        <v>0</v>
      </c>
      <c r="GP58" s="11">
        <v>0</v>
      </c>
      <c r="GQ58" s="11">
        <v>0</v>
      </c>
      <c r="GR58" s="11">
        <v>0</v>
      </c>
      <c r="GS58" s="11">
        <v>0</v>
      </c>
      <c r="GT58" s="11">
        <v>0</v>
      </c>
      <c r="GU58" s="26">
        <f t="shared" si="16"/>
        <v>0</v>
      </c>
      <c r="GV58" s="11">
        <v>0</v>
      </c>
      <c r="GW58" s="11">
        <v>0</v>
      </c>
      <c r="GX58" s="11">
        <v>0</v>
      </c>
      <c r="GY58" s="11">
        <v>0</v>
      </c>
      <c r="GZ58" s="11">
        <v>0</v>
      </c>
      <c r="HA58" s="11">
        <v>0</v>
      </c>
      <c r="HB58" s="11">
        <v>0</v>
      </c>
      <c r="HC58" s="11">
        <v>0</v>
      </c>
      <c r="HD58" s="11">
        <v>0</v>
      </c>
      <c r="HE58" s="11">
        <v>0</v>
      </c>
      <c r="HF58" s="11">
        <v>0</v>
      </c>
      <c r="HG58" s="11">
        <v>0</v>
      </c>
      <c r="HH58" s="26">
        <f t="shared" si="17"/>
        <v>0</v>
      </c>
      <c r="HI58" s="11">
        <v>0</v>
      </c>
      <c r="HJ58" s="11">
        <v>0</v>
      </c>
      <c r="HK58" s="11">
        <v>0</v>
      </c>
      <c r="HL58" s="11">
        <v>0</v>
      </c>
      <c r="HM58" s="11">
        <v>0</v>
      </c>
      <c r="HN58" s="11">
        <v>0</v>
      </c>
      <c r="HO58" s="11">
        <v>0</v>
      </c>
      <c r="HP58" s="11">
        <v>0</v>
      </c>
      <c r="HQ58" s="11">
        <v>0</v>
      </c>
      <c r="HR58" s="11">
        <v>0</v>
      </c>
      <c r="HS58" s="11">
        <v>0</v>
      </c>
      <c r="HT58" s="11">
        <v>0</v>
      </c>
      <c r="HU58" s="26">
        <f t="shared" si="18"/>
        <v>0</v>
      </c>
      <c r="HV58" s="11">
        <v>0</v>
      </c>
      <c r="HW58" s="11">
        <v>0</v>
      </c>
      <c r="HX58" s="11">
        <v>0</v>
      </c>
      <c r="HY58" s="11">
        <v>0</v>
      </c>
      <c r="HZ58" s="11">
        <v>0</v>
      </c>
      <c r="IA58" s="11">
        <v>0</v>
      </c>
      <c r="IB58" s="11">
        <v>0</v>
      </c>
      <c r="IC58" s="11">
        <v>0</v>
      </c>
      <c r="ID58" s="11">
        <v>0</v>
      </c>
      <c r="IE58" s="11">
        <v>0</v>
      </c>
      <c r="IF58" s="11">
        <v>0</v>
      </c>
      <c r="IG58" s="11">
        <v>0</v>
      </c>
      <c r="IH58" s="26">
        <f t="shared" si="19"/>
        <v>0</v>
      </c>
      <c r="II58" s="9">
        <f t="shared" si="20"/>
        <v>98072</v>
      </c>
      <c r="IJ58" s="9">
        <f t="shared" si="21"/>
        <v>0</v>
      </c>
      <c r="IK58" s="11">
        <v>49184</v>
      </c>
      <c r="IL58" s="11">
        <v>48517</v>
      </c>
      <c r="IM58" s="11">
        <v>45093</v>
      </c>
      <c r="IN58" s="11">
        <v>54322</v>
      </c>
      <c r="IO58" s="11">
        <v>55631</v>
      </c>
      <c r="IP58" s="11">
        <v>48021</v>
      </c>
      <c r="IQ58" s="11">
        <v>54140</v>
      </c>
      <c r="IR58" s="11">
        <v>50449</v>
      </c>
      <c r="IS58" s="11">
        <v>44386</v>
      </c>
      <c r="IT58" s="11">
        <v>47811</v>
      </c>
      <c r="IU58" s="11">
        <v>46064</v>
      </c>
      <c r="IV58" s="11">
        <v>49003</v>
      </c>
      <c r="IW58" s="27">
        <f t="shared" si="22"/>
        <v>592621</v>
      </c>
      <c r="IX58" s="11">
        <v>19250</v>
      </c>
      <c r="IY58" s="11">
        <v>18625</v>
      </c>
      <c r="IZ58" s="11">
        <v>18220</v>
      </c>
      <c r="JA58" s="11">
        <v>18993</v>
      </c>
      <c r="JB58" s="11">
        <v>19822</v>
      </c>
      <c r="JC58" s="11">
        <v>18847</v>
      </c>
      <c r="JD58" s="11">
        <v>21627</v>
      </c>
      <c r="JE58" s="11">
        <v>19208</v>
      </c>
      <c r="JF58" s="11">
        <v>18424</v>
      </c>
      <c r="JG58" s="11">
        <v>18840</v>
      </c>
      <c r="JH58" s="11">
        <v>17060</v>
      </c>
      <c r="JI58" s="11">
        <v>18202</v>
      </c>
      <c r="JJ58" s="27">
        <f t="shared" si="23"/>
        <v>227118</v>
      </c>
      <c r="JK58" s="11">
        <v>28869</v>
      </c>
      <c r="JL58" s="11">
        <v>29033</v>
      </c>
      <c r="JM58" s="11">
        <v>26066</v>
      </c>
      <c r="JN58" s="11">
        <v>34283</v>
      </c>
      <c r="JO58" s="11">
        <v>34581</v>
      </c>
      <c r="JP58" s="11">
        <v>28187</v>
      </c>
      <c r="JQ58" s="11">
        <v>31366</v>
      </c>
      <c r="JR58" s="11">
        <v>29696</v>
      </c>
      <c r="JS58" s="11">
        <v>25308</v>
      </c>
      <c r="JT58" s="11">
        <v>27981</v>
      </c>
      <c r="JU58" s="11">
        <v>28100</v>
      </c>
      <c r="JV58" s="11">
        <v>29906</v>
      </c>
      <c r="JW58" s="27">
        <f t="shared" si="24"/>
        <v>353376</v>
      </c>
      <c r="JX58" s="11">
        <v>1021</v>
      </c>
      <c r="JY58" s="11">
        <v>877</v>
      </c>
      <c r="JZ58" s="11">
        <v>875</v>
      </c>
      <c r="KA58" s="11">
        <v>1012</v>
      </c>
      <c r="KB58" s="11">
        <v>1210</v>
      </c>
      <c r="KC58" s="11">
        <v>970</v>
      </c>
      <c r="KD58" s="11">
        <v>1115</v>
      </c>
      <c r="KE58" s="11">
        <v>1125</v>
      </c>
      <c r="KF58" s="11">
        <v>1010</v>
      </c>
      <c r="KG58" s="11">
        <v>983</v>
      </c>
      <c r="KH58" s="11">
        <v>896</v>
      </c>
      <c r="KI58" s="11">
        <v>887</v>
      </c>
      <c r="KJ58" s="27">
        <f t="shared" si="25"/>
        <v>11981</v>
      </c>
      <c r="KK58" s="11">
        <v>165</v>
      </c>
      <c r="KL58" s="11">
        <v>127</v>
      </c>
      <c r="KM58" s="11">
        <v>143</v>
      </c>
      <c r="KN58" s="11">
        <v>126</v>
      </c>
      <c r="KO58" s="11">
        <v>170</v>
      </c>
      <c r="KP58" s="11">
        <v>193</v>
      </c>
      <c r="KQ58" s="11">
        <v>399</v>
      </c>
      <c r="KR58" s="11">
        <v>209</v>
      </c>
      <c r="KS58" s="11">
        <v>154</v>
      </c>
      <c r="KT58" s="11">
        <v>173</v>
      </c>
      <c r="KU58" s="11">
        <v>142</v>
      </c>
      <c r="KV58" s="11">
        <v>139</v>
      </c>
      <c r="KW58" s="27">
        <f t="shared" si="26"/>
        <v>2140</v>
      </c>
      <c r="KX58" s="11">
        <v>0</v>
      </c>
      <c r="KY58" s="11">
        <v>0</v>
      </c>
      <c r="KZ58" s="11">
        <v>0</v>
      </c>
      <c r="LA58" s="11">
        <v>0</v>
      </c>
      <c r="LB58" s="11">
        <v>0</v>
      </c>
      <c r="LC58" s="11">
        <v>0</v>
      </c>
      <c r="LD58" s="11">
        <v>0</v>
      </c>
      <c r="LE58" s="11">
        <v>0</v>
      </c>
      <c r="LF58" s="11">
        <v>0</v>
      </c>
      <c r="LG58" s="11">
        <v>0</v>
      </c>
      <c r="LH58" s="11">
        <v>0</v>
      </c>
      <c r="LI58" s="11">
        <v>0</v>
      </c>
      <c r="LJ58" s="27">
        <f t="shared" si="27"/>
        <v>0</v>
      </c>
      <c r="LK58" s="11">
        <v>0</v>
      </c>
      <c r="LL58" s="11">
        <v>0</v>
      </c>
      <c r="LM58" s="11">
        <v>0</v>
      </c>
      <c r="LN58" s="11">
        <v>0</v>
      </c>
      <c r="LO58" s="11">
        <v>0</v>
      </c>
      <c r="LP58" s="11">
        <v>0</v>
      </c>
      <c r="LQ58" s="11">
        <v>0</v>
      </c>
      <c r="LR58" s="11">
        <v>0</v>
      </c>
      <c r="LS58" s="11">
        <v>0</v>
      </c>
      <c r="LT58" s="11">
        <v>0</v>
      </c>
      <c r="LU58" s="11">
        <v>0</v>
      </c>
      <c r="LV58" s="11">
        <v>0</v>
      </c>
      <c r="LW58" s="27">
        <f t="shared" si="28"/>
        <v>0</v>
      </c>
      <c r="LX58" s="11">
        <v>0</v>
      </c>
      <c r="LY58" s="11">
        <v>0</v>
      </c>
      <c r="LZ58" s="11">
        <v>0</v>
      </c>
      <c r="MA58" s="11">
        <v>0</v>
      </c>
      <c r="MB58" s="11">
        <v>0</v>
      </c>
      <c r="MC58" s="11">
        <v>0</v>
      </c>
      <c r="MD58" s="11">
        <v>0</v>
      </c>
      <c r="ME58" s="11">
        <v>0</v>
      </c>
      <c r="MF58" s="11">
        <v>0</v>
      </c>
      <c r="MG58" s="11">
        <v>0</v>
      </c>
      <c r="MH58" s="11">
        <v>0</v>
      </c>
      <c r="MI58" s="11">
        <v>0</v>
      </c>
      <c r="MJ58" s="27">
        <f t="shared" si="29"/>
        <v>0</v>
      </c>
      <c r="MK58" s="11">
        <v>4032</v>
      </c>
      <c r="ML58" s="11">
        <v>4140</v>
      </c>
      <c r="MM58" s="11">
        <v>3901</v>
      </c>
      <c r="MN58" s="11">
        <v>4379</v>
      </c>
      <c r="MO58" s="11">
        <v>4525</v>
      </c>
      <c r="MP58" s="11">
        <v>4215</v>
      </c>
      <c r="MQ58" s="11">
        <v>4282</v>
      </c>
      <c r="MR58" s="11">
        <v>4186</v>
      </c>
      <c r="MS58" s="11">
        <v>3948</v>
      </c>
      <c r="MT58" s="11">
        <v>4404</v>
      </c>
      <c r="MU58" s="11">
        <v>4185</v>
      </c>
      <c r="MV58" s="11">
        <v>4227</v>
      </c>
      <c r="MW58" s="27">
        <f t="shared" si="30"/>
        <v>50424</v>
      </c>
      <c r="MX58" s="11">
        <v>2664</v>
      </c>
      <c r="MY58" s="11">
        <v>2790</v>
      </c>
      <c r="MZ58" s="11">
        <v>2597</v>
      </c>
      <c r="NA58" s="11">
        <v>2928</v>
      </c>
      <c r="NB58" s="11">
        <v>3062</v>
      </c>
      <c r="NC58" s="11">
        <v>2782</v>
      </c>
      <c r="ND58" s="11">
        <v>2972</v>
      </c>
      <c r="NE58" s="11">
        <v>2841</v>
      </c>
      <c r="NF58" s="11">
        <v>2603</v>
      </c>
      <c r="NG58" s="11">
        <v>2928</v>
      </c>
      <c r="NH58" s="11">
        <v>2745</v>
      </c>
      <c r="NI58" s="11">
        <v>2893</v>
      </c>
      <c r="NJ58" s="27">
        <f t="shared" si="31"/>
        <v>33805</v>
      </c>
      <c r="NK58" s="11">
        <v>667</v>
      </c>
      <c r="NL58" s="11">
        <v>655</v>
      </c>
      <c r="NM58" s="11">
        <v>583</v>
      </c>
      <c r="NN58" s="11">
        <v>651</v>
      </c>
      <c r="NO58" s="11">
        <v>782</v>
      </c>
      <c r="NP58" s="11">
        <v>698</v>
      </c>
      <c r="NQ58" s="11">
        <v>581</v>
      </c>
      <c r="NR58" s="11">
        <v>690</v>
      </c>
      <c r="NS58" s="11">
        <v>718</v>
      </c>
      <c r="NT58" s="11">
        <v>697</v>
      </c>
      <c r="NU58" s="11">
        <v>739</v>
      </c>
      <c r="NV58" s="11">
        <v>623</v>
      </c>
      <c r="NW58" s="27">
        <f t="shared" si="32"/>
        <v>8084</v>
      </c>
      <c r="NX58" s="11">
        <v>394</v>
      </c>
      <c r="NY58" s="11">
        <v>417</v>
      </c>
      <c r="NZ58" s="11">
        <v>420</v>
      </c>
      <c r="OA58" s="11">
        <v>498</v>
      </c>
      <c r="OB58" s="11">
        <v>350</v>
      </c>
      <c r="OC58" s="11">
        <v>435</v>
      </c>
      <c r="OD58" s="11">
        <v>439</v>
      </c>
      <c r="OE58" s="11">
        <v>345</v>
      </c>
      <c r="OF58" s="11">
        <v>300</v>
      </c>
      <c r="OG58" s="11">
        <v>402</v>
      </c>
      <c r="OH58" s="11">
        <v>388</v>
      </c>
      <c r="OI58" s="11">
        <v>354</v>
      </c>
      <c r="OJ58" s="27">
        <f t="shared" si="33"/>
        <v>4742</v>
      </c>
      <c r="OK58" s="11">
        <v>2766</v>
      </c>
      <c r="OL58" s="11">
        <v>2766</v>
      </c>
      <c r="OM58" s="11">
        <v>2728</v>
      </c>
      <c r="ON58" s="11">
        <v>3055</v>
      </c>
      <c r="OO58" s="11">
        <v>3228</v>
      </c>
      <c r="OP58" s="11">
        <v>2868</v>
      </c>
      <c r="OQ58" s="11">
        <v>3126</v>
      </c>
      <c r="OR58" s="11">
        <v>3025</v>
      </c>
      <c r="OS58" s="11">
        <v>2837</v>
      </c>
      <c r="OT58" s="11">
        <v>3228</v>
      </c>
      <c r="OU58" s="11">
        <v>3092</v>
      </c>
      <c r="OV58" s="11">
        <v>3337</v>
      </c>
      <c r="OW58" s="27">
        <f t="shared" si="34"/>
        <v>36056</v>
      </c>
      <c r="OX58" s="11">
        <v>1545</v>
      </c>
      <c r="OY58" s="11">
        <v>1563</v>
      </c>
      <c r="OZ58" s="11">
        <v>1465</v>
      </c>
      <c r="PA58" s="11">
        <v>1610</v>
      </c>
      <c r="PB58" s="11">
        <v>1802</v>
      </c>
      <c r="PC58" s="11">
        <v>1618</v>
      </c>
      <c r="PD58" s="11">
        <v>1737</v>
      </c>
      <c r="PE58" s="11">
        <v>1632</v>
      </c>
      <c r="PF58" s="11">
        <v>1446</v>
      </c>
      <c r="PG58" s="11">
        <v>1658</v>
      </c>
      <c r="PH58" s="11">
        <v>1613</v>
      </c>
      <c r="PI58" s="11">
        <v>1768</v>
      </c>
      <c r="PJ58" s="27">
        <f t="shared" si="35"/>
        <v>19457</v>
      </c>
      <c r="PK58" s="11">
        <v>347</v>
      </c>
      <c r="PL58" s="11">
        <v>312</v>
      </c>
      <c r="PM58" s="11">
        <v>297</v>
      </c>
      <c r="PN58" s="11">
        <v>356</v>
      </c>
      <c r="PO58" s="11">
        <v>369</v>
      </c>
      <c r="PP58" s="11">
        <v>262</v>
      </c>
      <c r="PQ58" s="11">
        <v>342</v>
      </c>
      <c r="PR58" s="11">
        <v>299</v>
      </c>
      <c r="PS58" s="11">
        <v>273</v>
      </c>
      <c r="PT58" s="11">
        <v>289</v>
      </c>
      <c r="PU58" s="11">
        <v>311</v>
      </c>
      <c r="PV58" s="11">
        <v>345</v>
      </c>
      <c r="PW58" s="27">
        <f t="shared" si="36"/>
        <v>3802</v>
      </c>
      <c r="PX58" s="11">
        <v>101</v>
      </c>
      <c r="PY58" s="11">
        <v>104</v>
      </c>
      <c r="PZ58" s="11">
        <v>127</v>
      </c>
      <c r="QA58" s="11">
        <v>122</v>
      </c>
      <c r="QB58" s="11">
        <v>102</v>
      </c>
      <c r="QC58" s="11">
        <v>101</v>
      </c>
      <c r="QD58" s="11">
        <v>134</v>
      </c>
      <c r="QE58" s="11">
        <v>124</v>
      </c>
      <c r="QF58" s="11">
        <v>146</v>
      </c>
      <c r="QG58" s="11">
        <v>147</v>
      </c>
      <c r="QH58" s="11">
        <v>44</v>
      </c>
      <c r="QI58" s="11">
        <v>135</v>
      </c>
      <c r="QJ58" s="27">
        <f t="shared" si="37"/>
        <v>1387</v>
      </c>
      <c r="QK58" s="11">
        <v>79507</v>
      </c>
      <c r="QL58" s="11">
        <v>80726</v>
      </c>
      <c r="QM58" s="11">
        <v>78044</v>
      </c>
      <c r="QN58" s="11">
        <v>85926</v>
      </c>
      <c r="QO58" s="11">
        <v>70768</v>
      </c>
      <c r="QP58" s="11">
        <v>79670</v>
      </c>
      <c r="QQ58" s="11">
        <v>81929</v>
      </c>
      <c r="QR58" s="11">
        <v>79552</v>
      </c>
      <c r="QS58" s="11">
        <v>64179</v>
      </c>
      <c r="QT58" s="11">
        <v>78103</v>
      </c>
      <c r="QU58" s="11">
        <v>76733</v>
      </c>
      <c r="QV58" s="11">
        <v>84198</v>
      </c>
      <c r="QW58" s="27">
        <f t="shared" si="38"/>
        <v>939335</v>
      </c>
      <c r="QX58" s="11">
        <v>0</v>
      </c>
      <c r="QY58" s="11">
        <v>0</v>
      </c>
      <c r="QZ58" s="11">
        <v>0</v>
      </c>
      <c r="RA58" s="11">
        <v>0</v>
      </c>
      <c r="RB58" s="11">
        <v>0</v>
      </c>
      <c r="RC58" s="11">
        <v>0</v>
      </c>
      <c r="RD58" s="11">
        <v>0</v>
      </c>
      <c r="RE58" s="11">
        <v>0</v>
      </c>
      <c r="RF58" s="11">
        <v>0</v>
      </c>
      <c r="RG58" s="11">
        <v>0</v>
      </c>
      <c r="RH58" s="11">
        <v>0</v>
      </c>
      <c r="RI58" s="11">
        <v>0</v>
      </c>
      <c r="RJ58" s="27">
        <f t="shared" si="39"/>
        <v>0</v>
      </c>
      <c r="RK58" s="11">
        <v>0</v>
      </c>
      <c r="RL58" s="11">
        <v>0</v>
      </c>
      <c r="RM58" s="11">
        <v>0</v>
      </c>
      <c r="RN58" s="11">
        <v>0</v>
      </c>
      <c r="RO58" s="11">
        <v>0</v>
      </c>
      <c r="RP58" s="11">
        <v>0</v>
      </c>
      <c r="RQ58" s="11">
        <v>0</v>
      </c>
      <c r="RR58" s="11">
        <v>0</v>
      </c>
      <c r="RS58" s="11">
        <v>0</v>
      </c>
      <c r="RT58" s="11">
        <v>0</v>
      </c>
      <c r="RU58" s="11">
        <v>0</v>
      </c>
      <c r="RV58" s="11">
        <v>0</v>
      </c>
      <c r="RW58" s="27">
        <f t="shared" si="40"/>
        <v>0</v>
      </c>
      <c r="RX58" s="11">
        <v>0</v>
      </c>
      <c r="RY58" s="11">
        <v>0</v>
      </c>
      <c r="RZ58" s="11">
        <v>0</v>
      </c>
      <c r="SA58" s="11">
        <v>0</v>
      </c>
      <c r="SB58" s="11">
        <v>0</v>
      </c>
      <c r="SC58" s="11">
        <v>0</v>
      </c>
      <c r="SD58" s="11">
        <v>0</v>
      </c>
      <c r="SE58" s="11">
        <v>0</v>
      </c>
      <c r="SF58" s="11">
        <v>0</v>
      </c>
      <c r="SG58" s="11">
        <v>0</v>
      </c>
      <c r="SH58" s="11">
        <v>0</v>
      </c>
      <c r="SI58" s="11">
        <v>0</v>
      </c>
      <c r="SJ58" s="27">
        <f t="shared" si="41"/>
        <v>0</v>
      </c>
      <c r="SK58" s="11">
        <v>242</v>
      </c>
      <c r="SL58" s="11">
        <v>232</v>
      </c>
      <c r="SM58" s="11">
        <v>228</v>
      </c>
      <c r="SN58" s="11">
        <v>165</v>
      </c>
      <c r="SO58" s="11">
        <v>381</v>
      </c>
      <c r="SP58" s="11">
        <v>1307</v>
      </c>
      <c r="SQ58" s="11">
        <v>976</v>
      </c>
      <c r="SR58" s="11">
        <v>217</v>
      </c>
      <c r="SS58" s="11">
        <v>220</v>
      </c>
      <c r="ST58" s="11">
        <v>340</v>
      </c>
      <c r="SU58" s="11">
        <v>278</v>
      </c>
      <c r="SV58" s="11">
        <v>193</v>
      </c>
      <c r="SW58" s="27">
        <f t="shared" si="42"/>
        <v>4779</v>
      </c>
      <c r="SX58" s="11" t="s">
        <v>2698</v>
      </c>
      <c r="SY58" s="11">
        <v>0</v>
      </c>
      <c r="SZ58" s="11">
        <v>0</v>
      </c>
      <c r="TA58" s="11">
        <v>23362</v>
      </c>
      <c r="TB58" s="11">
        <v>0</v>
      </c>
      <c r="TC58" s="11">
        <v>0</v>
      </c>
      <c r="TD58" s="11">
        <v>22987</v>
      </c>
      <c r="TE58" s="11">
        <v>0</v>
      </c>
      <c r="TF58" s="11">
        <v>0</v>
      </c>
      <c r="TG58" s="11">
        <v>23585</v>
      </c>
      <c r="TH58" s="11">
        <v>0</v>
      </c>
      <c r="TI58" s="11">
        <v>0</v>
      </c>
      <c r="TJ58" s="11">
        <v>23435</v>
      </c>
      <c r="TK58" s="27">
        <f t="shared" si="43"/>
        <v>93369</v>
      </c>
      <c r="TL58" s="11">
        <v>0</v>
      </c>
      <c r="TM58" s="11">
        <v>0</v>
      </c>
      <c r="TN58" s="11">
        <v>5675</v>
      </c>
      <c r="TO58" s="11">
        <v>0</v>
      </c>
      <c r="TP58" s="11">
        <v>0</v>
      </c>
      <c r="TQ58" s="11">
        <v>5562</v>
      </c>
      <c r="TR58" s="11">
        <v>0</v>
      </c>
      <c r="TS58" s="11">
        <v>0</v>
      </c>
      <c r="TT58" s="11">
        <v>5643</v>
      </c>
      <c r="TU58" s="11">
        <v>0</v>
      </c>
      <c r="TV58" s="11">
        <v>0</v>
      </c>
      <c r="TW58" s="11">
        <v>5825</v>
      </c>
      <c r="TX58" s="27">
        <f t="shared" si="44"/>
        <v>22705</v>
      </c>
      <c r="TY58" s="11">
        <v>169</v>
      </c>
      <c r="TZ58" s="11">
        <v>85</v>
      </c>
      <c r="UA58" s="11">
        <v>302</v>
      </c>
    </row>
    <row r="59" spans="1:547" ht="16" customHeight="1" x14ac:dyDescent="0.35">
      <c r="A59" s="11" t="s">
        <v>1378</v>
      </c>
      <c r="B59" s="11"/>
      <c r="C59" s="11"/>
      <c r="D59" s="11"/>
      <c r="E59" s="11"/>
      <c r="F59" s="11">
        <v>196</v>
      </c>
      <c r="G59" s="11">
        <v>192</v>
      </c>
      <c r="H59" s="11">
        <v>185</v>
      </c>
      <c r="I59" s="11">
        <v>213</v>
      </c>
      <c r="J59" s="11">
        <v>170</v>
      </c>
      <c r="K59" s="11">
        <v>173</v>
      </c>
      <c r="L59" s="11">
        <v>235</v>
      </c>
      <c r="M59" s="11">
        <v>219</v>
      </c>
      <c r="N59" s="11">
        <v>146</v>
      </c>
      <c r="O59" s="11">
        <v>216</v>
      </c>
      <c r="P59" s="11" t="s">
        <v>2862</v>
      </c>
      <c r="Q59" s="11">
        <v>225</v>
      </c>
      <c r="R59" s="11">
        <v>228</v>
      </c>
      <c r="S59" s="26">
        <f t="shared" si="0"/>
        <v>2398</v>
      </c>
      <c r="T59" s="11">
        <v>63</v>
      </c>
      <c r="U59" s="11">
        <v>57</v>
      </c>
      <c r="V59" s="11">
        <v>55</v>
      </c>
      <c r="W59" s="11">
        <v>55</v>
      </c>
      <c r="X59" s="11">
        <v>53</v>
      </c>
      <c r="Y59" s="11">
        <v>53</v>
      </c>
      <c r="Z59" s="11">
        <v>54</v>
      </c>
      <c r="AA59" s="11">
        <v>59</v>
      </c>
      <c r="AB59" s="11">
        <v>57</v>
      </c>
      <c r="AC59" s="11">
        <v>68</v>
      </c>
      <c r="AD59" s="11">
        <v>57</v>
      </c>
      <c r="AE59" s="11">
        <v>55</v>
      </c>
      <c r="AF59" s="26">
        <f t="shared" si="1"/>
        <v>686</v>
      </c>
      <c r="AG59" s="11">
        <v>129</v>
      </c>
      <c r="AH59" s="11">
        <v>128</v>
      </c>
      <c r="AI59" s="11">
        <v>133</v>
      </c>
      <c r="AJ59" s="11">
        <v>151</v>
      </c>
      <c r="AK59" s="11">
        <v>141</v>
      </c>
      <c r="AL59" s="11">
        <v>120</v>
      </c>
      <c r="AM59" s="11">
        <v>149</v>
      </c>
      <c r="AN59" s="11">
        <v>147</v>
      </c>
      <c r="AO59" s="11">
        <v>125</v>
      </c>
      <c r="AP59" s="11">
        <v>130</v>
      </c>
      <c r="AQ59" s="11">
        <v>133</v>
      </c>
      <c r="AR59" s="11">
        <v>139</v>
      </c>
      <c r="AS59" s="26">
        <f t="shared" si="2"/>
        <v>1625</v>
      </c>
      <c r="AT59" s="11">
        <v>5</v>
      </c>
      <c r="AU59" s="11">
        <v>4</v>
      </c>
      <c r="AV59" s="11">
        <v>4</v>
      </c>
      <c r="AW59" s="11">
        <v>6</v>
      </c>
      <c r="AX59" s="11">
        <v>1</v>
      </c>
      <c r="AY59" s="11">
        <v>6</v>
      </c>
      <c r="AZ59" s="11">
        <v>4</v>
      </c>
      <c r="BA59" s="11">
        <v>5</v>
      </c>
      <c r="BB59" s="11">
        <v>2</v>
      </c>
      <c r="BC59" s="11">
        <v>3</v>
      </c>
      <c r="BD59" s="11">
        <v>4</v>
      </c>
      <c r="BE59" s="11">
        <v>4</v>
      </c>
      <c r="BF59" s="26">
        <f t="shared" si="3"/>
        <v>48</v>
      </c>
      <c r="BG59" s="11">
        <v>4</v>
      </c>
      <c r="BH59" s="11">
        <v>3</v>
      </c>
      <c r="BI59" s="11"/>
      <c r="BJ59" s="11">
        <v>6</v>
      </c>
      <c r="BK59" s="11">
        <v>3</v>
      </c>
      <c r="BL59" s="11">
        <v>3</v>
      </c>
      <c r="BM59" s="11">
        <v>2</v>
      </c>
      <c r="BN59" s="11"/>
      <c r="BO59" s="11">
        <v>4</v>
      </c>
      <c r="BP59" s="11"/>
      <c r="BQ59" s="11">
        <v>9</v>
      </c>
      <c r="BR59" s="11">
        <v>5</v>
      </c>
      <c r="BS59" s="26">
        <f t="shared" si="4"/>
        <v>39</v>
      </c>
      <c r="BT59" s="11">
        <v>0</v>
      </c>
      <c r="BU59" s="11">
        <v>0</v>
      </c>
      <c r="BV59" s="11">
        <v>0</v>
      </c>
      <c r="BW59" s="11">
        <v>0</v>
      </c>
      <c r="BX59" s="11">
        <v>0</v>
      </c>
      <c r="BY59" s="11">
        <v>0</v>
      </c>
      <c r="BZ59" s="11">
        <v>0</v>
      </c>
      <c r="CA59" s="11">
        <v>0</v>
      </c>
      <c r="CB59" s="11">
        <v>0</v>
      </c>
      <c r="CC59" s="11">
        <v>0</v>
      </c>
      <c r="CD59" s="11">
        <v>0</v>
      </c>
      <c r="CE59" s="11">
        <v>0</v>
      </c>
      <c r="CF59" s="26">
        <f t="shared" si="5"/>
        <v>0</v>
      </c>
      <c r="CG59" s="11">
        <v>0</v>
      </c>
      <c r="CH59" s="11">
        <v>0</v>
      </c>
      <c r="CI59" s="11">
        <v>0</v>
      </c>
      <c r="CJ59" s="11">
        <v>0</v>
      </c>
      <c r="CK59" s="11">
        <v>0</v>
      </c>
      <c r="CL59" s="11">
        <v>0</v>
      </c>
      <c r="CM59" s="11">
        <v>0</v>
      </c>
      <c r="CN59" s="11">
        <v>0</v>
      </c>
      <c r="CO59" s="11">
        <v>0</v>
      </c>
      <c r="CP59" s="11">
        <v>0</v>
      </c>
      <c r="CQ59" s="11">
        <v>0</v>
      </c>
      <c r="CR59" s="11">
        <v>0</v>
      </c>
      <c r="CS59" s="26">
        <f t="shared" si="6"/>
        <v>0</v>
      </c>
      <c r="CT59" s="11">
        <v>0</v>
      </c>
      <c r="CU59" s="11">
        <v>0</v>
      </c>
      <c r="CV59" s="11">
        <v>0</v>
      </c>
      <c r="CW59" s="11">
        <v>0</v>
      </c>
      <c r="CX59" s="11">
        <v>0</v>
      </c>
      <c r="CY59" s="11">
        <v>0</v>
      </c>
      <c r="CZ59" s="11">
        <v>0</v>
      </c>
      <c r="DA59" s="11">
        <v>0</v>
      </c>
      <c r="DB59" s="11">
        <v>0</v>
      </c>
      <c r="DC59" s="11">
        <v>0</v>
      </c>
      <c r="DD59" s="11">
        <v>0</v>
      </c>
      <c r="DE59" s="11">
        <v>0</v>
      </c>
      <c r="DF59" s="26">
        <f t="shared" si="7"/>
        <v>0</v>
      </c>
      <c r="DG59" s="11">
        <v>0</v>
      </c>
      <c r="DH59" s="11">
        <v>0</v>
      </c>
      <c r="DI59" s="11">
        <v>0</v>
      </c>
      <c r="DJ59" s="11">
        <v>0</v>
      </c>
      <c r="DK59" s="11">
        <v>0</v>
      </c>
      <c r="DL59" s="11">
        <v>0</v>
      </c>
      <c r="DM59" s="11">
        <v>0</v>
      </c>
      <c r="DN59" s="11">
        <v>0</v>
      </c>
      <c r="DO59" s="11">
        <v>0</v>
      </c>
      <c r="DP59" s="11">
        <v>0</v>
      </c>
      <c r="DQ59" s="11">
        <v>0</v>
      </c>
      <c r="DR59" s="11">
        <v>0</v>
      </c>
      <c r="DS59" s="26">
        <f t="shared" si="8"/>
        <v>0</v>
      </c>
      <c r="DT59" s="11">
        <v>0</v>
      </c>
      <c r="DU59" s="11">
        <v>0</v>
      </c>
      <c r="DV59" s="11">
        <v>0</v>
      </c>
      <c r="DW59" s="11">
        <v>0</v>
      </c>
      <c r="DX59" s="11">
        <v>0</v>
      </c>
      <c r="DY59" s="11">
        <v>0</v>
      </c>
      <c r="DZ59" s="11">
        <v>0</v>
      </c>
      <c r="EA59" s="11">
        <v>0</v>
      </c>
      <c r="EB59" s="11">
        <v>0</v>
      </c>
      <c r="EC59" s="11">
        <v>0</v>
      </c>
      <c r="ED59" s="11">
        <v>0</v>
      </c>
      <c r="EE59" s="11">
        <v>0</v>
      </c>
      <c r="EF59" s="26">
        <f t="shared" si="9"/>
        <v>0</v>
      </c>
      <c r="EG59" s="9">
        <f t="shared" si="10"/>
        <v>2398</v>
      </c>
      <c r="EH59" s="9">
        <f t="shared" si="11"/>
        <v>0</v>
      </c>
      <c r="EI59" s="11">
        <v>5687</v>
      </c>
      <c r="EJ59" s="11">
        <v>5164</v>
      </c>
      <c r="EK59" s="11">
        <v>5198</v>
      </c>
      <c r="EL59" s="11">
        <v>10900</v>
      </c>
      <c r="EM59" s="11">
        <v>3326</v>
      </c>
      <c r="EN59" s="11">
        <v>4411</v>
      </c>
      <c r="EO59" s="11">
        <v>6005</v>
      </c>
      <c r="EP59" s="11">
        <v>5436</v>
      </c>
      <c r="EQ59" s="11">
        <v>3720</v>
      </c>
      <c r="ER59" s="11">
        <v>5767</v>
      </c>
      <c r="ES59" s="11">
        <v>5228</v>
      </c>
      <c r="ET59" s="11">
        <v>5630</v>
      </c>
      <c r="EU59" s="26">
        <f t="shared" si="12"/>
        <v>66472</v>
      </c>
      <c r="EV59" s="11">
        <v>3415</v>
      </c>
      <c r="EW59" s="11">
        <v>2762</v>
      </c>
      <c r="EX59" s="11">
        <v>2409</v>
      </c>
      <c r="EY59" s="11">
        <v>2556</v>
      </c>
      <c r="EZ59" s="11">
        <v>1730</v>
      </c>
      <c r="FA59" s="11">
        <v>2514</v>
      </c>
      <c r="FB59" s="11">
        <v>3086</v>
      </c>
      <c r="FC59" s="11">
        <v>2716</v>
      </c>
      <c r="FD59" s="11">
        <v>2113</v>
      </c>
      <c r="FE59" s="11">
        <v>3312</v>
      </c>
      <c r="FF59" s="11">
        <v>2902</v>
      </c>
      <c r="FG59" s="11">
        <v>2269</v>
      </c>
      <c r="FH59" s="26">
        <f t="shared" si="13"/>
        <v>31784</v>
      </c>
      <c r="FI59" s="11">
        <v>2235</v>
      </c>
      <c r="FJ59" s="11">
        <v>2393</v>
      </c>
      <c r="FK59" s="11">
        <v>2772</v>
      </c>
      <c r="FL59" s="11">
        <v>8245</v>
      </c>
      <c r="FM59" s="11">
        <v>1596</v>
      </c>
      <c r="FN59" s="11">
        <v>1808</v>
      </c>
      <c r="FO59" s="11">
        <v>2892</v>
      </c>
      <c r="FP59" s="11">
        <v>2687</v>
      </c>
      <c r="FQ59" s="11">
        <v>1589</v>
      </c>
      <c r="FR59" s="11">
        <v>2438</v>
      </c>
      <c r="FS59" s="11">
        <v>2311</v>
      </c>
      <c r="FT59" s="11">
        <v>3339</v>
      </c>
      <c r="FU59" s="26">
        <f t="shared" si="14"/>
        <v>34305</v>
      </c>
      <c r="FV59" s="11">
        <v>37</v>
      </c>
      <c r="FW59" s="11">
        <v>9</v>
      </c>
      <c r="FX59" s="11">
        <v>17</v>
      </c>
      <c r="FY59" s="11">
        <v>99</v>
      </c>
      <c r="FZ59" s="11">
        <v>0</v>
      </c>
      <c r="GA59" s="11">
        <v>89</v>
      </c>
      <c r="GB59" s="11">
        <v>27</v>
      </c>
      <c r="GC59" s="11">
        <v>33</v>
      </c>
      <c r="GD59" s="11">
        <v>18</v>
      </c>
      <c r="GE59" s="11">
        <v>17</v>
      </c>
      <c r="GF59" s="11">
        <v>15</v>
      </c>
      <c r="GG59" s="11">
        <v>22</v>
      </c>
      <c r="GH59" s="26">
        <f t="shared" si="15"/>
        <v>383</v>
      </c>
      <c r="GI59" s="11">
        <v>0</v>
      </c>
      <c r="GJ59" s="11">
        <v>0</v>
      </c>
      <c r="GK59" s="11">
        <v>0</v>
      </c>
      <c r="GL59" s="11">
        <v>0</v>
      </c>
      <c r="GM59" s="11">
        <v>0</v>
      </c>
      <c r="GN59" s="11">
        <v>0</v>
      </c>
      <c r="GO59" s="11">
        <v>0</v>
      </c>
      <c r="GP59" s="11">
        <v>0</v>
      </c>
      <c r="GQ59" s="11">
        <v>0</v>
      </c>
      <c r="GR59" s="11">
        <v>0</v>
      </c>
      <c r="GS59" s="11">
        <v>0</v>
      </c>
      <c r="GT59" s="11">
        <v>0</v>
      </c>
      <c r="GU59" s="26">
        <f t="shared" si="16"/>
        <v>0</v>
      </c>
      <c r="GV59" s="11">
        <v>0</v>
      </c>
      <c r="GW59" s="11">
        <v>0</v>
      </c>
      <c r="GX59" s="11">
        <v>0</v>
      </c>
      <c r="GY59" s="11">
        <v>0</v>
      </c>
      <c r="GZ59" s="11">
        <v>0</v>
      </c>
      <c r="HA59" s="11">
        <v>0</v>
      </c>
      <c r="HB59" s="11">
        <v>0</v>
      </c>
      <c r="HC59" s="11">
        <v>0</v>
      </c>
      <c r="HD59" s="11">
        <v>0</v>
      </c>
      <c r="HE59" s="11">
        <v>0</v>
      </c>
      <c r="HF59" s="11">
        <v>0</v>
      </c>
      <c r="HG59" s="11">
        <v>0</v>
      </c>
      <c r="HH59" s="26">
        <f t="shared" si="17"/>
        <v>0</v>
      </c>
      <c r="HI59" s="11">
        <v>0</v>
      </c>
      <c r="HJ59" s="11">
        <v>0</v>
      </c>
      <c r="HK59" s="11">
        <v>0</v>
      </c>
      <c r="HL59" s="11">
        <v>0</v>
      </c>
      <c r="HM59" s="11">
        <v>0</v>
      </c>
      <c r="HN59" s="11">
        <v>0</v>
      </c>
      <c r="HO59" s="11">
        <v>0</v>
      </c>
      <c r="HP59" s="11">
        <v>0</v>
      </c>
      <c r="HQ59" s="11">
        <v>0</v>
      </c>
      <c r="HR59" s="11">
        <v>0</v>
      </c>
      <c r="HS59" s="11">
        <v>0</v>
      </c>
      <c r="HT59" s="11">
        <v>0</v>
      </c>
      <c r="HU59" s="26">
        <f t="shared" si="18"/>
        <v>0</v>
      </c>
      <c r="HV59" s="11">
        <v>0</v>
      </c>
      <c r="HW59" s="11">
        <v>0</v>
      </c>
      <c r="HX59" s="11">
        <v>0</v>
      </c>
      <c r="HY59" s="11">
        <v>0</v>
      </c>
      <c r="HZ59" s="11">
        <v>0</v>
      </c>
      <c r="IA59" s="11">
        <v>0</v>
      </c>
      <c r="IB59" s="11">
        <v>0</v>
      </c>
      <c r="IC59" s="11">
        <v>0</v>
      </c>
      <c r="ID59" s="11">
        <v>0</v>
      </c>
      <c r="IE59" s="11">
        <v>0</v>
      </c>
      <c r="IF59" s="11">
        <v>0</v>
      </c>
      <c r="IG59" s="11">
        <v>0</v>
      </c>
      <c r="IH59" s="26">
        <f t="shared" si="19"/>
        <v>0</v>
      </c>
      <c r="II59" s="9">
        <f t="shared" si="20"/>
        <v>66472</v>
      </c>
      <c r="IJ59" s="9">
        <f t="shared" si="21"/>
        <v>0</v>
      </c>
      <c r="IK59" s="11">
        <v>61996</v>
      </c>
      <c r="IL59" s="11">
        <v>60852</v>
      </c>
      <c r="IM59" s="11">
        <v>53847</v>
      </c>
      <c r="IN59" s="11">
        <v>56063</v>
      </c>
      <c r="IO59" s="11">
        <v>72751</v>
      </c>
      <c r="IP59" s="11">
        <v>60281</v>
      </c>
      <c r="IQ59" s="11">
        <v>65985</v>
      </c>
      <c r="IR59" s="11">
        <v>59475</v>
      </c>
      <c r="IS59" s="11">
        <v>44528</v>
      </c>
      <c r="IT59" s="11">
        <v>61535</v>
      </c>
      <c r="IU59" s="11">
        <v>57560</v>
      </c>
      <c r="IV59" s="11">
        <v>59122</v>
      </c>
      <c r="IW59" s="27">
        <f t="shared" si="22"/>
        <v>713995</v>
      </c>
      <c r="IX59" s="11">
        <v>20591</v>
      </c>
      <c r="IY59" s="11">
        <v>20857</v>
      </c>
      <c r="IZ59" s="11">
        <v>19331</v>
      </c>
      <c r="JA59" s="11">
        <v>18503</v>
      </c>
      <c r="JB59" s="11">
        <v>23265</v>
      </c>
      <c r="JC59" s="11">
        <v>20302</v>
      </c>
      <c r="JD59" s="11">
        <v>21841</v>
      </c>
      <c r="JE59" s="11">
        <v>19549</v>
      </c>
      <c r="JF59" s="11">
        <v>15290</v>
      </c>
      <c r="JG59" s="11">
        <v>20612</v>
      </c>
      <c r="JH59" s="11">
        <v>18500</v>
      </c>
      <c r="JI59" s="11">
        <v>19366</v>
      </c>
      <c r="JJ59" s="27">
        <f t="shared" si="23"/>
        <v>238007</v>
      </c>
      <c r="JK59" s="11">
        <v>39930</v>
      </c>
      <c r="JL59" s="11">
        <v>38639</v>
      </c>
      <c r="JM59" s="11">
        <v>33352</v>
      </c>
      <c r="JN59" s="11">
        <v>36080</v>
      </c>
      <c r="JO59" s="11">
        <v>47467</v>
      </c>
      <c r="JP59" s="11">
        <v>38466</v>
      </c>
      <c r="JQ59" s="11">
        <v>42677</v>
      </c>
      <c r="JR59" s="11">
        <v>38523</v>
      </c>
      <c r="JS59" s="11">
        <v>28144</v>
      </c>
      <c r="JT59" s="11">
        <v>39475</v>
      </c>
      <c r="JU59" s="11">
        <v>37765</v>
      </c>
      <c r="JV59" s="11">
        <v>38389</v>
      </c>
      <c r="JW59" s="27">
        <f t="shared" si="24"/>
        <v>458907</v>
      </c>
      <c r="JX59" s="11">
        <v>1475</v>
      </c>
      <c r="JY59" s="11">
        <v>1356</v>
      </c>
      <c r="JZ59" s="11">
        <v>1164</v>
      </c>
      <c r="KA59" s="11">
        <v>1480</v>
      </c>
      <c r="KB59" s="11">
        <v>2019</v>
      </c>
      <c r="KC59" s="11">
        <v>1513</v>
      </c>
      <c r="KD59" s="11">
        <v>1467</v>
      </c>
      <c r="KE59" s="11">
        <v>1403</v>
      </c>
      <c r="KF59" s="11">
        <v>1094</v>
      </c>
      <c r="KG59" s="11">
        <v>1448</v>
      </c>
      <c r="KH59" s="11">
        <v>1295</v>
      </c>
      <c r="KI59" s="11">
        <v>1367</v>
      </c>
      <c r="KJ59" s="27">
        <f t="shared" si="25"/>
        <v>17081</v>
      </c>
      <c r="KK59" s="11">
        <v>276</v>
      </c>
      <c r="KL59" s="11">
        <v>219</v>
      </c>
      <c r="KM59" s="11">
        <v>213</v>
      </c>
      <c r="KN59" s="11">
        <v>209</v>
      </c>
      <c r="KO59" s="11">
        <v>210</v>
      </c>
      <c r="KP59" s="11">
        <v>213</v>
      </c>
      <c r="KQ59" s="11">
        <v>230</v>
      </c>
      <c r="KR59" s="11">
        <v>244</v>
      </c>
      <c r="KS59" s="11">
        <v>151</v>
      </c>
      <c r="KT59" s="11">
        <v>186</v>
      </c>
      <c r="KU59" s="11">
        <v>219</v>
      </c>
      <c r="KV59" s="11">
        <v>161</v>
      </c>
      <c r="KW59" s="27">
        <f t="shared" si="26"/>
        <v>2531</v>
      </c>
      <c r="KX59" s="11">
        <v>269</v>
      </c>
      <c r="KY59" s="11">
        <v>213</v>
      </c>
      <c r="KZ59" s="11">
        <v>206</v>
      </c>
      <c r="LA59" s="11">
        <v>200</v>
      </c>
      <c r="LB59" s="11">
        <v>199</v>
      </c>
      <c r="LC59" s="11">
        <v>204</v>
      </c>
      <c r="LD59" s="11">
        <v>221</v>
      </c>
      <c r="LE59" s="11">
        <v>234</v>
      </c>
      <c r="LF59" s="11">
        <v>143</v>
      </c>
      <c r="LG59" s="11">
        <v>177</v>
      </c>
      <c r="LH59" s="11">
        <v>213</v>
      </c>
      <c r="LI59" s="11">
        <v>158</v>
      </c>
      <c r="LJ59" s="27">
        <f t="shared" si="27"/>
        <v>2437</v>
      </c>
      <c r="LK59" s="11">
        <v>7</v>
      </c>
      <c r="LL59" s="11">
        <v>6</v>
      </c>
      <c r="LM59" s="11">
        <v>7</v>
      </c>
      <c r="LN59" s="11">
        <v>9</v>
      </c>
      <c r="LO59" s="11">
        <v>11</v>
      </c>
      <c r="LP59" s="11">
        <v>9</v>
      </c>
      <c r="LQ59" s="11">
        <v>9</v>
      </c>
      <c r="LR59" s="11">
        <v>10</v>
      </c>
      <c r="LS59" s="11">
        <v>8</v>
      </c>
      <c r="LT59" s="11">
        <v>9</v>
      </c>
      <c r="LU59" s="11">
        <v>6</v>
      </c>
      <c r="LV59" s="11">
        <v>3</v>
      </c>
      <c r="LW59" s="27">
        <f t="shared" si="28"/>
        <v>94</v>
      </c>
      <c r="LX59" s="11">
        <v>0</v>
      </c>
      <c r="LY59" s="11">
        <v>0</v>
      </c>
      <c r="LZ59" s="11">
        <v>0</v>
      </c>
      <c r="MA59" s="11">
        <v>0</v>
      </c>
      <c r="MB59" s="11">
        <v>0</v>
      </c>
      <c r="MC59" s="11">
        <v>0</v>
      </c>
      <c r="MD59" s="11">
        <v>0</v>
      </c>
      <c r="ME59" s="11">
        <v>0</v>
      </c>
      <c r="MF59" s="11">
        <v>0</v>
      </c>
      <c r="MG59" s="11">
        <v>0</v>
      </c>
      <c r="MH59" s="11">
        <v>0</v>
      </c>
      <c r="MI59" s="11">
        <v>0</v>
      </c>
      <c r="MJ59" s="27">
        <f t="shared" si="29"/>
        <v>0</v>
      </c>
      <c r="MK59" s="11">
        <v>1393</v>
      </c>
      <c r="ML59" s="11">
        <v>1329</v>
      </c>
      <c r="MM59" s="11">
        <v>1254</v>
      </c>
      <c r="MN59" s="11">
        <v>1420</v>
      </c>
      <c r="MO59" s="11">
        <v>1440</v>
      </c>
      <c r="MP59" s="11">
        <v>1339</v>
      </c>
      <c r="MQ59" s="11">
        <v>1430</v>
      </c>
      <c r="MR59" s="11">
        <v>1373</v>
      </c>
      <c r="MS59" s="11">
        <v>1356</v>
      </c>
      <c r="MT59" s="11">
        <v>1619</v>
      </c>
      <c r="MU59" s="11">
        <v>1488</v>
      </c>
      <c r="MV59" s="11">
        <v>1528</v>
      </c>
      <c r="MW59" s="27">
        <f t="shared" si="30"/>
        <v>16969</v>
      </c>
      <c r="MX59" s="11">
        <v>0</v>
      </c>
      <c r="MY59" s="11">
        <v>0</v>
      </c>
      <c r="MZ59" s="11">
        <v>0</v>
      </c>
      <c r="NA59" s="11">
        <v>0</v>
      </c>
      <c r="NB59" s="11">
        <v>0</v>
      </c>
      <c r="NC59" s="11">
        <v>0</v>
      </c>
      <c r="ND59" s="11">
        <v>0</v>
      </c>
      <c r="NE59" s="11">
        <v>0</v>
      </c>
      <c r="NF59" s="11">
        <v>0</v>
      </c>
      <c r="NG59" s="11">
        <v>0</v>
      </c>
      <c r="NH59" s="11">
        <v>0</v>
      </c>
      <c r="NI59" s="11">
        <v>0</v>
      </c>
      <c r="NJ59" s="27">
        <f t="shared" si="31"/>
        <v>0</v>
      </c>
      <c r="NK59" s="11">
        <v>0</v>
      </c>
      <c r="NL59" s="11">
        <v>0</v>
      </c>
      <c r="NM59" s="11">
        <v>0</v>
      </c>
      <c r="NN59" s="11">
        <v>0</v>
      </c>
      <c r="NO59" s="11">
        <v>0</v>
      </c>
      <c r="NP59" s="11">
        <v>0</v>
      </c>
      <c r="NQ59" s="11">
        <v>0</v>
      </c>
      <c r="NR59" s="11">
        <v>0</v>
      </c>
      <c r="NS59" s="11">
        <v>0</v>
      </c>
      <c r="NT59" s="11">
        <v>0</v>
      </c>
      <c r="NU59" s="11">
        <v>0</v>
      </c>
      <c r="NV59" s="11">
        <v>0</v>
      </c>
      <c r="NW59" s="27">
        <f t="shared" si="32"/>
        <v>0</v>
      </c>
      <c r="NX59" s="11">
        <v>0</v>
      </c>
      <c r="NY59" s="11">
        <v>0</v>
      </c>
      <c r="NZ59" s="11">
        <v>0</v>
      </c>
      <c r="OA59" s="11">
        <v>0</v>
      </c>
      <c r="OB59" s="11">
        <v>0</v>
      </c>
      <c r="OC59" s="11">
        <v>0</v>
      </c>
      <c r="OD59" s="11">
        <v>0</v>
      </c>
      <c r="OE59" s="11">
        <v>0</v>
      </c>
      <c r="OF59" s="11">
        <v>0</v>
      </c>
      <c r="OG59" s="11">
        <v>0</v>
      </c>
      <c r="OH59" s="11">
        <v>0</v>
      </c>
      <c r="OI59" s="11">
        <v>0</v>
      </c>
      <c r="OJ59" s="27">
        <f t="shared" si="33"/>
        <v>0</v>
      </c>
      <c r="OK59" s="11">
        <v>2838</v>
      </c>
      <c r="OL59" s="11">
        <v>2726</v>
      </c>
      <c r="OM59" s="11">
        <v>2654</v>
      </c>
      <c r="ON59" s="11">
        <v>2758</v>
      </c>
      <c r="OO59" s="11">
        <v>2854</v>
      </c>
      <c r="OP59" s="11">
        <v>2816</v>
      </c>
      <c r="OQ59" s="11">
        <v>2951</v>
      </c>
      <c r="OR59" s="11">
        <v>2896</v>
      </c>
      <c r="OS59" s="11">
        <v>2648</v>
      </c>
      <c r="OT59" s="11">
        <v>3119</v>
      </c>
      <c r="OU59" s="11">
        <v>2877</v>
      </c>
      <c r="OV59" s="11">
        <v>3110</v>
      </c>
      <c r="OW59" s="27">
        <f t="shared" si="34"/>
        <v>34247</v>
      </c>
      <c r="OX59" s="11">
        <v>0</v>
      </c>
      <c r="OY59" s="11">
        <v>0</v>
      </c>
      <c r="OZ59" s="11">
        <v>0</v>
      </c>
      <c r="PA59" s="11">
        <v>0</v>
      </c>
      <c r="PB59" s="11">
        <v>0</v>
      </c>
      <c r="PC59" s="11">
        <v>0</v>
      </c>
      <c r="PD59" s="11">
        <v>0</v>
      </c>
      <c r="PE59" s="11">
        <v>0</v>
      </c>
      <c r="PF59" s="11">
        <v>0</v>
      </c>
      <c r="PG59" s="11">
        <v>0</v>
      </c>
      <c r="PH59" s="11">
        <v>0</v>
      </c>
      <c r="PI59" s="11">
        <v>0</v>
      </c>
      <c r="PJ59" s="27">
        <f t="shared" si="35"/>
        <v>0</v>
      </c>
      <c r="PK59" s="11">
        <v>0</v>
      </c>
      <c r="PL59" s="11">
        <v>0</v>
      </c>
      <c r="PM59" s="11">
        <v>0</v>
      </c>
      <c r="PN59" s="11">
        <v>0</v>
      </c>
      <c r="PO59" s="11">
        <v>0</v>
      </c>
      <c r="PP59" s="11">
        <v>0</v>
      </c>
      <c r="PQ59" s="11">
        <v>0</v>
      </c>
      <c r="PR59" s="11">
        <v>0</v>
      </c>
      <c r="PS59" s="11">
        <v>0</v>
      </c>
      <c r="PT59" s="11">
        <v>0</v>
      </c>
      <c r="PU59" s="11">
        <v>0</v>
      </c>
      <c r="PV59" s="11">
        <v>0</v>
      </c>
      <c r="PW59" s="27">
        <f t="shared" si="36"/>
        <v>0</v>
      </c>
      <c r="PX59" s="11">
        <v>0</v>
      </c>
      <c r="PY59" s="11">
        <v>0</v>
      </c>
      <c r="PZ59" s="11">
        <v>0</v>
      </c>
      <c r="QA59" s="11">
        <v>0</v>
      </c>
      <c r="QB59" s="11">
        <v>0</v>
      </c>
      <c r="QC59" s="11">
        <v>0</v>
      </c>
      <c r="QD59" s="11">
        <v>0</v>
      </c>
      <c r="QE59" s="11">
        <v>0</v>
      </c>
      <c r="QF59" s="11">
        <v>0</v>
      </c>
      <c r="QG59" s="11">
        <v>0</v>
      </c>
      <c r="QH59" s="11">
        <v>0</v>
      </c>
      <c r="QI59" s="11">
        <v>0</v>
      </c>
      <c r="QJ59" s="27">
        <f t="shared" si="37"/>
        <v>0</v>
      </c>
      <c r="QK59" s="11">
        <v>42842</v>
      </c>
      <c r="QL59" s="11">
        <v>46363</v>
      </c>
      <c r="QM59" s="11">
        <v>36487</v>
      </c>
      <c r="QN59" s="11">
        <v>40460</v>
      </c>
      <c r="QO59" s="11">
        <v>42688</v>
      </c>
      <c r="QP59" s="11">
        <v>37872</v>
      </c>
      <c r="QQ59" s="11">
        <v>43045</v>
      </c>
      <c r="QR59" s="11">
        <v>38999</v>
      </c>
      <c r="QS59" s="11">
        <v>28668</v>
      </c>
      <c r="QT59" s="11">
        <v>40332</v>
      </c>
      <c r="QU59" s="11">
        <v>38631</v>
      </c>
      <c r="QV59" s="11">
        <v>38722</v>
      </c>
      <c r="QW59" s="27">
        <f t="shared" si="38"/>
        <v>475109</v>
      </c>
      <c r="QX59" s="11">
        <v>1591</v>
      </c>
      <c r="QY59" s="11">
        <v>1615</v>
      </c>
      <c r="QZ59" s="11">
        <v>1513</v>
      </c>
      <c r="RA59" s="11">
        <v>1521</v>
      </c>
      <c r="RB59" s="11">
        <v>1672</v>
      </c>
      <c r="RC59" s="11">
        <v>1745</v>
      </c>
      <c r="RD59" s="11">
        <v>1674</v>
      </c>
      <c r="RE59" s="11">
        <v>1597</v>
      </c>
      <c r="RF59" s="11">
        <v>1121</v>
      </c>
      <c r="RG59" s="11">
        <v>1737</v>
      </c>
      <c r="RH59" s="11">
        <v>1660</v>
      </c>
      <c r="RI59" s="11">
        <v>1793</v>
      </c>
      <c r="RJ59" s="27">
        <f t="shared" si="39"/>
        <v>19239</v>
      </c>
      <c r="RK59" s="11">
        <v>0</v>
      </c>
      <c r="RL59" s="11">
        <v>0</v>
      </c>
      <c r="RM59" s="11">
        <v>0</v>
      </c>
      <c r="RN59" s="11">
        <v>0</v>
      </c>
      <c r="RO59" s="11">
        <v>0</v>
      </c>
      <c r="RP59" s="11">
        <v>0</v>
      </c>
      <c r="RQ59" s="11">
        <v>0</v>
      </c>
      <c r="RR59" s="11">
        <v>0</v>
      </c>
      <c r="RS59" s="11">
        <v>0</v>
      </c>
      <c r="RT59" s="11">
        <v>0</v>
      </c>
      <c r="RU59" s="11">
        <v>0</v>
      </c>
      <c r="RV59" s="11">
        <v>0</v>
      </c>
      <c r="RW59" s="27">
        <f t="shared" si="40"/>
        <v>0</v>
      </c>
      <c r="RX59" s="11">
        <v>0</v>
      </c>
      <c r="RY59" s="11">
        <v>0</v>
      </c>
      <c r="RZ59" s="11">
        <v>0</v>
      </c>
      <c r="SA59" s="11">
        <v>0</v>
      </c>
      <c r="SB59" s="11">
        <v>0</v>
      </c>
      <c r="SC59" s="11">
        <v>0</v>
      </c>
      <c r="SD59" s="11">
        <v>0</v>
      </c>
      <c r="SE59" s="11">
        <v>0</v>
      </c>
      <c r="SF59" s="11">
        <v>0</v>
      </c>
      <c r="SG59" s="11">
        <v>0</v>
      </c>
      <c r="SH59" s="11">
        <v>0</v>
      </c>
      <c r="SI59" s="11">
        <v>0</v>
      </c>
      <c r="SJ59" s="27">
        <f t="shared" si="41"/>
        <v>0</v>
      </c>
      <c r="SK59" s="11">
        <v>59</v>
      </c>
      <c r="SL59" s="11">
        <v>55</v>
      </c>
      <c r="SM59" s="11">
        <v>57</v>
      </c>
      <c r="SN59" s="11">
        <v>60</v>
      </c>
      <c r="SO59" s="11">
        <v>58</v>
      </c>
      <c r="SP59" s="11">
        <v>57</v>
      </c>
      <c r="SQ59" s="11">
        <v>65</v>
      </c>
      <c r="SR59" s="11">
        <v>63</v>
      </c>
      <c r="SS59" s="11">
        <v>54</v>
      </c>
      <c r="ST59" s="11">
        <v>63</v>
      </c>
      <c r="SU59" s="11">
        <v>60</v>
      </c>
      <c r="SV59" s="11">
        <v>66</v>
      </c>
      <c r="SW59" s="27">
        <f t="shared" si="42"/>
        <v>717</v>
      </c>
      <c r="SX59" s="11" t="s">
        <v>2699</v>
      </c>
      <c r="SY59" s="11">
        <v>1054</v>
      </c>
      <c r="SZ59" s="11">
        <v>981</v>
      </c>
      <c r="TA59" s="11">
        <v>961</v>
      </c>
      <c r="TB59" s="11">
        <v>1068</v>
      </c>
      <c r="TC59" s="11">
        <v>1011</v>
      </c>
      <c r="TD59" s="11">
        <v>1027</v>
      </c>
      <c r="TE59" s="11">
        <v>1134</v>
      </c>
      <c r="TF59" s="11">
        <v>1031</v>
      </c>
      <c r="TG59" s="11">
        <v>786</v>
      </c>
      <c r="TH59" s="11">
        <v>956</v>
      </c>
      <c r="TI59" s="11">
        <v>949</v>
      </c>
      <c r="TJ59" s="11">
        <v>980</v>
      </c>
      <c r="TK59" s="27">
        <f>ROUND(SUM(SY59:TJ59),0)</f>
        <v>11938</v>
      </c>
      <c r="TL59" s="11">
        <v>5026</v>
      </c>
      <c r="TM59" s="11">
        <v>4939</v>
      </c>
      <c r="TN59" s="11">
        <v>3927</v>
      </c>
      <c r="TO59" s="11">
        <v>3486</v>
      </c>
      <c r="TP59" s="11">
        <v>3706</v>
      </c>
      <c r="TQ59" s="11">
        <v>3830</v>
      </c>
      <c r="TR59" s="11">
        <v>4320</v>
      </c>
      <c r="TS59" s="11">
        <v>4310</v>
      </c>
      <c r="TT59" s="11">
        <v>3897</v>
      </c>
      <c r="TU59" s="11">
        <v>4367</v>
      </c>
      <c r="TV59" s="11">
        <v>4366</v>
      </c>
      <c r="TW59" s="11">
        <v>4573</v>
      </c>
      <c r="TX59" s="27">
        <f t="shared" si="44"/>
        <v>50747</v>
      </c>
      <c r="TY59" s="11">
        <v>20</v>
      </c>
      <c r="TZ59" s="11">
        <v>0</v>
      </c>
      <c r="UA59" s="11" t="s">
        <v>1432</v>
      </c>
    </row>
    <row r="60" spans="1:547" ht="16" customHeight="1" x14ac:dyDescent="0.35">
      <c r="A60" s="11" t="s">
        <v>1488</v>
      </c>
      <c r="B60" s="11">
        <v>13228</v>
      </c>
      <c r="C60" s="11"/>
      <c r="D60" s="11">
        <v>9825</v>
      </c>
      <c r="E60" s="11"/>
      <c r="F60" s="11">
        <v>132</v>
      </c>
      <c r="G60" s="11">
        <v>194</v>
      </c>
      <c r="H60" s="11">
        <v>213</v>
      </c>
      <c r="I60" s="11">
        <v>226</v>
      </c>
      <c r="J60" s="11">
        <v>259</v>
      </c>
      <c r="K60" s="11">
        <v>214</v>
      </c>
      <c r="L60" s="11">
        <v>0</v>
      </c>
      <c r="M60" s="11">
        <v>0</v>
      </c>
      <c r="N60" s="11">
        <v>0</v>
      </c>
      <c r="O60" s="11">
        <v>0</v>
      </c>
      <c r="P60" s="11" t="s">
        <v>2865</v>
      </c>
      <c r="Q60" s="11">
        <v>0</v>
      </c>
      <c r="R60" s="11">
        <v>0</v>
      </c>
      <c r="S60" s="26">
        <f t="shared" si="0"/>
        <v>1238</v>
      </c>
      <c r="T60" s="11">
        <v>0</v>
      </c>
      <c r="U60" s="11">
        <v>0</v>
      </c>
      <c r="V60" s="11">
        <v>0</v>
      </c>
      <c r="W60" s="11">
        <v>0</v>
      </c>
      <c r="X60" s="11">
        <v>0</v>
      </c>
      <c r="Y60" s="11">
        <v>0</v>
      </c>
      <c r="Z60" s="11">
        <v>0</v>
      </c>
      <c r="AA60" s="11">
        <v>0</v>
      </c>
      <c r="AB60" s="11">
        <v>0</v>
      </c>
      <c r="AC60" s="11">
        <v>0</v>
      </c>
      <c r="AD60" s="11">
        <v>0</v>
      </c>
      <c r="AE60" s="11">
        <v>0</v>
      </c>
      <c r="AF60" s="26">
        <f t="shared" si="1"/>
        <v>0</v>
      </c>
      <c r="AG60" s="11">
        <v>0</v>
      </c>
      <c r="AH60" s="11">
        <v>0</v>
      </c>
      <c r="AI60" s="11">
        <v>0</v>
      </c>
      <c r="AJ60" s="11">
        <v>0</v>
      </c>
      <c r="AK60" s="11">
        <v>0</v>
      </c>
      <c r="AL60" s="11">
        <v>0</v>
      </c>
      <c r="AM60" s="11">
        <v>0</v>
      </c>
      <c r="AN60" s="11">
        <v>0</v>
      </c>
      <c r="AO60" s="11">
        <v>0</v>
      </c>
      <c r="AP60" s="11">
        <v>0</v>
      </c>
      <c r="AQ60" s="11">
        <v>0</v>
      </c>
      <c r="AR60" s="11">
        <v>0</v>
      </c>
      <c r="AS60" s="26">
        <f t="shared" si="2"/>
        <v>0</v>
      </c>
      <c r="AT60" s="11">
        <v>0</v>
      </c>
      <c r="AU60" s="11">
        <v>0</v>
      </c>
      <c r="AV60" s="11">
        <v>0</v>
      </c>
      <c r="AW60" s="11">
        <v>0</v>
      </c>
      <c r="AX60" s="11">
        <v>0</v>
      </c>
      <c r="AY60" s="11">
        <v>0</v>
      </c>
      <c r="AZ60" s="11">
        <v>0</v>
      </c>
      <c r="BA60" s="11">
        <v>0</v>
      </c>
      <c r="BB60" s="11">
        <v>0</v>
      </c>
      <c r="BC60" s="11">
        <v>0</v>
      </c>
      <c r="BD60" s="11">
        <v>0</v>
      </c>
      <c r="BE60" s="11">
        <v>0</v>
      </c>
      <c r="BF60" s="26">
        <f t="shared" si="3"/>
        <v>0</v>
      </c>
      <c r="BG60" s="11">
        <v>0</v>
      </c>
      <c r="BH60" s="11">
        <v>0</v>
      </c>
      <c r="BI60" s="11">
        <v>0</v>
      </c>
      <c r="BJ60" s="11">
        <v>0</v>
      </c>
      <c r="BK60" s="11">
        <v>0</v>
      </c>
      <c r="BL60" s="11">
        <v>0</v>
      </c>
      <c r="BM60" s="11">
        <v>0</v>
      </c>
      <c r="BN60" s="11">
        <v>0</v>
      </c>
      <c r="BO60" s="11">
        <v>0</v>
      </c>
      <c r="BP60" s="11">
        <v>0</v>
      </c>
      <c r="BQ60" s="11">
        <v>0</v>
      </c>
      <c r="BR60" s="11">
        <v>0</v>
      </c>
      <c r="BS60" s="26">
        <f t="shared" si="4"/>
        <v>0</v>
      </c>
      <c r="BT60" s="11">
        <v>0</v>
      </c>
      <c r="BU60" s="11">
        <v>0</v>
      </c>
      <c r="BV60" s="11">
        <v>0</v>
      </c>
      <c r="BW60" s="11">
        <v>0</v>
      </c>
      <c r="BX60" s="11">
        <v>0</v>
      </c>
      <c r="BY60" s="11">
        <v>0</v>
      </c>
      <c r="BZ60" s="11">
        <v>0</v>
      </c>
      <c r="CA60" s="11">
        <v>0</v>
      </c>
      <c r="CB60" s="11">
        <v>0</v>
      </c>
      <c r="CC60" s="11">
        <v>0</v>
      </c>
      <c r="CD60" s="11">
        <v>0</v>
      </c>
      <c r="CE60" s="11">
        <v>0</v>
      </c>
      <c r="CF60" s="26">
        <f t="shared" si="5"/>
        <v>0</v>
      </c>
      <c r="CG60" s="11">
        <v>0</v>
      </c>
      <c r="CH60" s="11">
        <v>0</v>
      </c>
      <c r="CI60" s="11">
        <v>0</v>
      </c>
      <c r="CJ60" s="11">
        <v>0</v>
      </c>
      <c r="CK60" s="11">
        <v>0</v>
      </c>
      <c r="CL60" s="11">
        <v>0</v>
      </c>
      <c r="CM60" s="11">
        <v>0</v>
      </c>
      <c r="CN60" s="11">
        <v>0</v>
      </c>
      <c r="CO60" s="11">
        <v>0</v>
      </c>
      <c r="CP60" s="11">
        <v>0</v>
      </c>
      <c r="CQ60" s="11">
        <v>0</v>
      </c>
      <c r="CR60" s="11">
        <v>0</v>
      </c>
      <c r="CS60" s="26">
        <f t="shared" si="6"/>
        <v>0</v>
      </c>
      <c r="CT60" s="11">
        <v>0</v>
      </c>
      <c r="CU60" s="11">
        <v>0</v>
      </c>
      <c r="CV60" s="11">
        <v>0</v>
      </c>
      <c r="CW60" s="11">
        <v>0</v>
      </c>
      <c r="CX60" s="11">
        <v>0</v>
      </c>
      <c r="CY60" s="11">
        <v>0</v>
      </c>
      <c r="CZ60" s="11">
        <v>0</v>
      </c>
      <c r="DA60" s="11">
        <v>0</v>
      </c>
      <c r="DB60" s="11">
        <v>0</v>
      </c>
      <c r="DC60" s="11">
        <v>0</v>
      </c>
      <c r="DD60" s="11">
        <v>0</v>
      </c>
      <c r="DE60" s="11">
        <v>0</v>
      </c>
      <c r="DF60" s="26">
        <f t="shared" si="7"/>
        <v>0</v>
      </c>
      <c r="DG60" s="11">
        <v>0</v>
      </c>
      <c r="DH60" s="11">
        <v>0</v>
      </c>
      <c r="DI60" s="11">
        <v>0</v>
      </c>
      <c r="DJ60" s="11">
        <v>0</v>
      </c>
      <c r="DK60" s="11">
        <v>0</v>
      </c>
      <c r="DL60" s="11">
        <v>0</v>
      </c>
      <c r="DM60" s="11">
        <v>0</v>
      </c>
      <c r="DN60" s="11">
        <v>0</v>
      </c>
      <c r="DO60" s="11">
        <v>0</v>
      </c>
      <c r="DP60" s="11">
        <v>0</v>
      </c>
      <c r="DQ60" s="11">
        <v>0</v>
      </c>
      <c r="DR60" s="11">
        <v>0</v>
      </c>
      <c r="DS60" s="26">
        <f t="shared" si="8"/>
        <v>0</v>
      </c>
      <c r="DT60" s="11">
        <v>0</v>
      </c>
      <c r="DU60" s="11">
        <v>0</v>
      </c>
      <c r="DV60" s="11">
        <v>0</v>
      </c>
      <c r="DW60" s="11">
        <v>0</v>
      </c>
      <c r="DX60" s="11">
        <v>0</v>
      </c>
      <c r="DY60" s="11">
        <v>0</v>
      </c>
      <c r="DZ60" s="11">
        <v>0</v>
      </c>
      <c r="EA60" s="11">
        <v>0</v>
      </c>
      <c r="EB60" s="11">
        <v>0</v>
      </c>
      <c r="EC60" s="11">
        <v>0</v>
      </c>
      <c r="ED60" s="11">
        <v>0</v>
      </c>
      <c r="EE60" s="11">
        <v>0</v>
      </c>
      <c r="EF60" s="26">
        <f t="shared" si="9"/>
        <v>0</v>
      </c>
      <c r="EG60" s="9">
        <f t="shared" si="10"/>
        <v>0</v>
      </c>
      <c r="EH60" s="9">
        <f t="shared" si="11"/>
        <v>0</v>
      </c>
      <c r="EI60" s="11">
        <v>1218</v>
      </c>
      <c r="EJ60" s="11">
        <v>2387</v>
      </c>
      <c r="EK60" s="11">
        <v>1948</v>
      </c>
      <c r="EL60" s="11">
        <v>2048</v>
      </c>
      <c r="EM60" s="11">
        <v>2216</v>
      </c>
      <c r="EN60" s="11">
        <v>1798</v>
      </c>
      <c r="EO60" s="11">
        <v>0</v>
      </c>
      <c r="EP60" s="11">
        <v>0</v>
      </c>
      <c r="EQ60" s="11">
        <v>0</v>
      </c>
      <c r="ER60" s="11">
        <v>0</v>
      </c>
      <c r="ES60" s="11">
        <v>0</v>
      </c>
      <c r="ET60" s="11">
        <v>0</v>
      </c>
      <c r="EU60" s="26">
        <f t="shared" si="12"/>
        <v>11615</v>
      </c>
      <c r="EV60" s="11">
        <v>0</v>
      </c>
      <c r="EW60" s="11">
        <v>0</v>
      </c>
      <c r="EX60" s="11">
        <v>0</v>
      </c>
      <c r="EY60" s="11">
        <v>0</v>
      </c>
      <c r="EZ60" s="11">
        <v>0</v>
      </c>
      <c r="FA60" s="11">
        <v>0</v>
      </c>
      <c r="FB60" s="11">
        <v>0</v>
      </c>
      <c r="FC60" s="11">
        <v>0</v>
      </c>
      <c r="FD60" s="11">
        <v>0</v>
      </c>
      <c r="FE60" s="11">
        <v>0</v>
      </c>
      <c r="FF60" s="11">
        <v>0</v>
      </c>
      <c r="FG60" s="11">
        <v>0</v>
      </c>
      <c r="FH60" s="26">
        <f t="shared" si="13"/>
        <v>0</v>
      </c>
      <c r="FI60" s="11">
        <v>0</v>
      </c>
      <c r="FJ60" s="11">
        <v>0</v>
      </c>
      <c r="FK60" s="11">
        <v>0</v>
      </c>
      <c r="FL60" s="11">
        <v>0</v>
      </c>
      <c r="FM60" s="11">
        <v>0</v>
      </c>
      <c r="FN60" s="11">
        <v>0</v>
      </c>
      <c r="FO60" s="11">
        <v>0</v>
      </c>
      <c r="FP60" s="11">
        <v>0</v>
      </c>
      <c r="FQ60" s="11">
        <v>0</v>
      </c>
      <c r="FR60" s="11">
        <v>0</v>
      </c>
      <c r="FS60" s="11">
        <v>0</v>
      </c>
      <c r="FT60" s="11">
        <v>0</v>
      </c>
      <c r="FU60" s="26">
        <f t="shared" si="14"/>
        <v>0</v>
      </c>
      <c r="FV60" s="11">
        <v>0</v>
      </c>
      <c r="FW60" s="11">
        <v>0</v>
      </c>
      <c r="FX60" s="11">
        <v>0</v>
      </c>
      <c r="FY60" s="11">
        <v>0</v>
      </c>
      <c r="FZ60" s="11">
        <v>0</v>
      </c>
      <c r="GA60" s="11">
        <v>0</v>
      </c>
      <c r="GB60" s="11">
        <v>0</v>
      </c>
      <c r="GC60" s="11">
        <v>0</v>
      </c>
      <c r="GD60" s="11">
        <v>0</v>
      </c>
      <c r="GE60" s="11">
        <v>0</v>
      </c>
      <c r="GF60" s="11">
        <v>0</v>
      </c>
      <c r="GG60" s="11">
        <v>0</v>
      </c>
      <c r="GH60" s="26">
        <f t="shared" si="15"/>
        <v>0</v>
      </c>
      <c r="GI60" s="11">
        <v>0</v>
      </c>
      <c r="GJ60" s="11">
        <v>0</v>
      </c>
      <c r="GK60" s="11">
        <v>0</v>
      </c>
      <c r="GL60" s="11">
        <v>0</v>
      </c>
      <c r="GM60" s="11">
        <v>0</v>
      </c>
      <c r="GN60" s="11">
        <v>0</v>
      </c>
      <c r="GO60" s="11">
        <v>0</v>
      </c>
      <c r="GP60" s="11">
        <v>0</v>
      </c>
      <c r="GQ60" s="11">
        <v>0</v>
      </c>
      <c r="GR60" s="11">
        <v>0</v>
      </c>
      <c r="GS60" s="11">
        <v>0</v>
      </c>
      <c r="GT60" s="11">
        <v>0</v>
      </c>
      <c r="GU60" s="26">
        <f t="shared" si="16"/>
        <v>0</v>
      </c>
      <c r="GV60" s="11">
        <v>0</v>
      </c>
      <c r="GW60" s="11">
        <v>0</v>
      </c>
      <c r="GX60" s="11">
        <v>0</v>
      </c>
      <c r="GY60" s="11">
        <v>0</v>
      </c>
      <c r="GZ60" s="11">
        <v>0</v>
      </c>
      <c r="HA60" s="11">
        <v>0</v>
      </c>
      <c r="HB60" s="11">
        <v>0</v>
      </c>
      <c r="HC60" s="11">
        <v>0</v>
      </c>
      <c r="HD60" s="11">
        <v>0</v>
      </c>
      <c r="HE60" s="11">
        <v>0</v>
      </c>
      <c r="HF60" s="11">
        <v>0</v>
      </c>
      <c r="HG60" s="11">
        <v>0</v>
      </c>
      <c r="HH60" s="26">
        <f t="shared" si="17"/>
        <v>0</v>
      </c>
      <c r="HI60" s="11">
        <v>0</v>
      </c>
      <c r="HJ60" s="11">
        <v>0</v>
      </c>
      <c r="HK60" s="11">
        <v>0</v>
      </c>
      <c r="HL60" s="11">
        <v>0</v>
      </c>
      <c r="HM60" s="11">
        <v>0</v>
      </c>
      <c r="HN60" s="11">
        <v>0</v>
      </c>
      <c r="HO60" s="11">
        <v>0</v>
      </c>
      <c r="HP60" s="11">
        <v>0</v>
      </c>
      <c r="HQ60" s="11">
        <v>0</v>
      </c>
      <c r="HR60" s="11">
        <v>0</v>
      </c>
      <c r="HS60" s="11">
        <v>0</v>
      </c>
      <c r="HT60" s="11">
        <v>0</v>
      </c>
      <c r="HU60" s="26">
        <f t="shared" si="18"/>
        <v>0</v>
      </c>
      <c r="HV60" s="11">
        <v>0</v>
      </c>
      <c r="HW60" s="11">
        <v>0</v>
      </c>
      <c r="HX60" s="11">
        <v>0</v>
      </c>
      <c r="HY60" s="11">
        <v>0</v>
      </c>
      <c r="HZ60" s="11">
        <v>0</v>
      </c>
      <c r="IA60" s="11">
        <v>0</v>
      </c>
      <c r="IB60" s="11">
        <v>0</v>
      </c>
      <c r="IC60" s="11">
        <v>0</v>
      </c>
      <c r="ID60" s="11">
        <v>0</v>
      </c>
      <c r="IE60" s="11">
        <v>0</v>
      </c>
      <c r="IF60" s="11">
        <v>0</v>
      </c>
      <c r="IG60" s="11">
        <v>0</v>
      </c>
      <c r="IH60" s="26">
        <f t="shared" si="19"/>
        <v>0</v>
      </c>
      <c r="II60" s="9">
        <f t="shared" si="20"/>
        <v>0</v>
      </c>
      <c r="IJ60" s="9">
        <f t="shared" si="21"/>
        <v>0</v>
      </c>
      <c r="IK60" s="11">
        <v>21279</v>
      </c>
      <c r="IL60" s="11">
        <v>20485</v>
      </c>
      <c r="IM60" s="11">
        <v>17121</v>
      </c>
      <c r="IN60" s="11">
        <v>22696</v>
      </c>
      <c r="IO60" s="11">
        <v>22442</v>
      </c>
      <c r="IP60" s="11">
        <v>19263</v>
      </c>
      <c r="IQ60" s="11">
        <v>20871</v>
      </c>
      <c r="IR60" s="11">
        <v>19320</v>
      </c>
      <c r="IS60" s="11">
        <v>15110</v>
      </c>
      <c r="IT60" s="11">
        <v>22363</v>
      </c>
      <c r="IU60" s="11">
        <v>15324</v>
      </c>
      <c r="IV60" s="11">
        <v>21510</v>
      </c>
      <c r="IW60" s="27">
        <f t="shared" si="22"/>
        <v>237784</v>
      </c>
      <c r="IX60" s="11">
        <v>0</v>
      </c>
      <c r="IY60" s="11">
        <v>0</v>
      </c>
      <c r="IZ60" s="11">
        <v>0</v>
      </c>
      <c r="JA60" s="11">
        <v>0</v>
      </c>
      <c r="JB60" s="11">
        <v>0</v>
      </c>
      <c r="JC60" s="11">
        <v>0</v>
      </c>
      <c r="JD60" s="11">
        <v>0</v>
      </c>
      <c r="JE60" s="11">
        <v>0</v>
      </c>
      <c r="JF60" s="11">
        <v>0</v>
      </c>
      <c r="JG60" s="11">
        <v>0</v>
      </c>
      <c r="JH60" s="11">
        <v>0</v>
      </c>
      <c r="JI60" s="11">
        <v>0</v>
      </c>
      <c r="JJ60" s="27">
        <f t="shared" si="23"/>
        <v>0</v>
      </c>
      <c r="JK60" s="11">
        <v>0</v>
      </c>
      <c r="JL60" s="11">
        <v>0</v>
      </c>
      <c r="JM60" s="11">
        <v>0</v>
      </c>
      <c r="JN60" s="11">
        <v>0</v>
      </c>
      <c r="JO60" s="11">
        <v>0</v>
      </c>
      <c r="JP60" s="11">
        <v>0</v>
      </c>
      <c r="JQ60" s="11">
        <v>0</v>
      </c>
      <c r="JR60" s="11">
        <v>0</v>
      </c>
      <c r="JS60" s="11">
        <v>0</v>
      </c>
      <c r="JT60" s="11">
        <v>0</v>
      </c>
      <c r="JU60" s="11">
        <v>0</v>
      </c>
      <c r="JV60" s="11">
        <v>0</v>
      </c>
      <c r="JW60" s="27">
        <f t="shared" si="24"/>
        <v>0</v>
      </c>
      <c r="JX60" s="11">
        <v>0</v>
      </c>
      <c r="JY60" s="11">
        <v>0</v>
      </c>
      <c r="JZ60" s="11">
        <v>0</v>
      </c>
      <c r="KA60" s="11">
        <v>0</v>
      </c>
      <c r="KB60" s="11">
        <v>0</v>
      </c>
      <c r="KC60" s="11">
        <v>0</v>
      </c>
      <c r="KD60" s="11">
        <v>0</v>
      </c>
      <c r="KE60" s="11">
        <v>0</v>
      </c>
      <c r="KF60" s="11">
        <v>0</v>
      </c>
      <c r="KG60" s="11">
        <v>0</v>
      </c>
      <c r="KH60" s="11">
        <v>0</v>
      </c>
      <c r="KI60" s="11">
        <v>0</v>
      </c>
      <c r="KJ60" s="27">
        <f t="shared" si="25"/>
        <v>0</v>
      </c>
      <c r="KK60" s="11">
        <v>4464</v>
      </c>
      <c r="KL60" s="11">
        <v>4697</v>
      </c>
      <c r="KM60" s="11">
        <v>4407</v>
      </c>
      <c r="KN60" s="11">
        <v>4815</v>
      </c>
      <c r="KO60" s="11">
        <v>5056</v>
      </c>
      <c r="KP60" s="11">
        <v>5025</v>
      </c>
      <c r="KQ60" s="11">
        <v>5135</v>
      </c>
      <c r="KR60" s="11">
        <v>4731</v>
      </c>
      <c r="KS60" s="11">
        <v>4655</v>
      </c>
      <c r="KT60" s="11">
        <v>5184</v>
      </c>
      <c r="KU60" s="11">
        <v>4542</v>
      </c>
      <c r="KV60" s="11">
        <v>4819</v>
      </c>
      <c r="KW60" s="27">
        <f t="shared" si="26"/>
        <v>57530</v>
      </c>
      <c r="KX60" s="11">
        <v>0</v>
      </c>
      <c r="KY60" s="11">
        <v>0</v>
      </c>
      <c r="KZ60" s="11">
        <v>0</v>
      </c>
      <c r="LA60" s="11">
        <v>0</v>
      </c>
      <c r="LB60" s="11">
        <v>0</v>
      </c>
      <c r="LC60" s="11">
        <v>0</v>
      </c>
      <c r="LD60" s="11">
        <v>0</v>
      </c>
      <c r="LE60" s="11">
        <v>0</v>
      </c>
      <c r="LF60" s="11">
        <v>0</v>
      </c>
      <c r="LG60" s="11">
        <v>0</v>
      </c>
      <c r="LH60" s="11">
        <v>0</v>
      </c>
      <c r="LI60" s="11">
        <v>0</v>
      </c>
      <c r="LJ60" s="27">
        <f t="shared" si="27"/>
        <v>0</v>
      </c>
      <c r="LK60" s="11">
        <v>0</v>
      </c>
      <c r="LL60" s="11">
        <v>0</v>
      </c>
      <c r="LM60" s="11">
        <v>0</v>
      </c>
      <c r="LN60" s="11">
        <v>0</v>
      </c>
      <c r="LO60" s="11">
        <v>0</v>
      </c>
      <c r="LP60" s="11">
        <v>0</v>
      </c>
      <c r="LQ60" s="11">
        <v>0</v>
      </c>
      <c r="LR60" s="11">
        <v>0</v>
      </c>
      <c r="LS60" s="11">
        <v>0</v>
      </c>
      <c r="LT60" s="11">
        <v>0</v>
      </c>
      <c r="LU60" s="11">
        <v>0</v>
      </c>
      <c r="LV60" s="11">
        <v>0</v>
      </c>
      <c r="LW60" s="27">
        <f t="shared" si="28"/>
        <v>0</v>
      </c>
      <c r="LX60" s="11">
        <v>0</v>
      </c>
      <c r="LY60" s="11">
        <v>0</v>
      </c>
      <c r="LZ60" s="11">
        <v>0</v>
      </c>
      <c r="MA60" s="11">
        <v>0</v>
      </c>
      <c r="MB60" s="11">
        <v>0</v>
      </c>
      <c r="MC60" s="11">
        <v>0</v>
      </c>
      <c r="MD60" s="11">
        <v>0</v>
      </c>
      <c r="ME60" s="11">
        <v>0</v>
      </c>
      <c r="MF60" s="11">
        <v>0</v>
      </c>
      <c r="MG60" s="11">
        <v>0</v>
      </c>
      <c r="MH60" s="11">
        <v>0</v>
      </c>
      <c r="MI60" s="11">
        <v>0</v>
      </c>
      <c r="MJ60" s="27">
        <f t="shared" si="29"/>
        <v>0</v>
      </c>
      <c r="MK60" s="11">
        <v>2648</v>
      </c>
      <c r="ML60" s="11">
        <v>2702</v>
      </c>
      <c r="MM60" s="11">
        <v>2633</v>
      </c>
      <c r="MN60" s="11">
        <v>2845</v>
      </c>
      <c r="MO60" s="11">
        <v>3052</v>
      </c>
      <c r="MP60" s="11">
        <v>2973</v>
      </c>
      <c r="MQ60" s="11">
        <v>2956</v>
      </c>
      <c r="MR60" s="11">
        <v>2865</v>
      </c>
      <c r="MS60" s="11">
        <v>2808</v>
      </c>
      <c r="MT60" s="11">
        <v>3094</v>
      </c>
      <c r="MU60" s="11">
        <v>2645</v>
      </c>
      <c r="MV60" s="11">
        <v>2857</v>
      </c>
      <c r="MW60" s="27">
        <f t="shared" si="30"/>
        <v>34078</v>
      </c>
      <c r="MX60" s="11">
        <v>0</v>
      </c>
      <c r="MY60" s="11">
        <v>0</v>
      </c>
      <c r="MZ60" s="11">
        <v>0</v>
      </c>
      <c r="NA60" s="11">
        <v>0</v>
      </c>
      <c r="NB60" s="11">
        <v>0</v>
      </c>
      <c r="NC60" s="11">
        <v>0</v>
      </c>
      <c r="ND60" s="11">
        <v>0</v>
      </c>
      <c r="NE60" s="11">
        <v>0</v>
      </c>
      <c r="NF60" s="11">
        <v>0</v>
      </c>
      <c r="NG60" s="11">
        <v>0</v>
      </c>
      <c r="NH60" s="11">
        <v>0</v>
      </c>
      <c r="NI60" s="11">
        <v>0</v>
      </c>
      <c r="NJ60" s="27">
        <f t="shared" si="31"/>
        <v>0</v>
      </c>
      <c r="NK60" s="11">
        <v>0</v>
      </c>
      <c r="NL60" s="11">
        <v>0</v>
      </c>
      <c r="NM60" s="11">
        <v>0</v>
      </c>
      <c r="NN60" s="11">
        <v>0</v>
      </c>
      <c r="NO60" s="11">
        <v>0</v>
      </c>
      <c r="NP60" s="11">
        <v>0</v>
      </c>
      <c r="NQ60" s="11">
        <v>0</v>
      </c>
      <c r="NR60" s="11">
        <v>0</v>
      </c>
      <c r="NS60" s="11">
        <v>0</v>
      </c>
      <c r="NT60" s="11">
        <v>0</v>
      </c>
      <c r="NU60" s="11">
        <v>0</v>
      </c>
      <c r="NV60" s="11">
        <v>0</v>
      </c>
      <c r="NW60" s="27">
        <f t="shared" si="32"/>
        <v>0</v>
      </c>
      <c r="NX60" s="11">
        <v>0</v>
      </c>
      <c r="NY60" s="11">
        <v>0</v>
      </c>
      <c r="NZ60" s="11">
        <v>0</v>
      </c>
      <c r="OA60" s="11">
        <v>0</v>
      </c>
      <c r="OB60" s="11">
        <v>0</v>
      </c>
      <c r="OC60" s="11">
        <v>0</v>
      </c>
      <c r="OD60" s="11">
        <v>0</v>
      </c>
      <c r="OE60" s="11">
        <v>0</v>
      </c>
      <c r="OF60" s="11">
        <v>0</v>
      </c>
      <c r="OG60" s="11">
        <v>0</v>
      </c>
      <c r="OH60" s="11">
        <v>0</v>
      </c>
      <c r="OI60" s="11">
        <v>0</v>
      </c>
      <c r="OJ60" s="27">
        <f t="shared" si="33"/>
        <v>0</v>
      </c>
      <c r="OK60" s="11">
        <v>4464</v>
      </c>
      <c r="OL60" s="11">
        <v>4697</v>
      </c>
      <c r="OM60" s="11">
        <v>4407</v>
      </c>
      <c r="ON60" s="11">
        <v>4815</v>
      </c>
      <c r="OO60" s="11">
        <v>5056</v>
      </c>
      <c r="OP60" s="11">
        <v>5025</v>
      </c>
      <c r="OQ60" s="11">
        <v>5135</v>
      </c>
      <c r="OR60" s="11">
        <v>4731</v>
      </c>
      <c r="OS60" s="11">
        <v>4655</v>
      </c>
      <c r="OT60" s="11">
        <v>5184</v>
      </c>
      <c r="OU60" s="11">
        <v>4542</v>
      </c>
      <c r="OV60" s="11">
        <v>4819</v>
      </c>
      <c r="OW60" s="27">
        <f t="shared" si="34"/>
        <v>57530</v>
      </c>
      <c r="OX60" s="11">
        <v>0</v>
      </c>
      <c r="OY60" s="11">
        <v>0</v>
      </c>
      <c r="OZ60" s="11">
        <v>0</v>
      </c>
      <c r="PA60" s="11">
        <v>0</v>
      </c>
      <c r="PB60" s="11">
        <v>0</v>
      </c>
      <c r="PC60" s="11">
        <v>0</v>
      </c>
      <c r="PD60" s="11">
        <v>0</v>
      </c>
      <c r="PE60" s="11">
        <v>0</v>
      </c>
      <c r="PF60" s="11">
        <v>0</v>
      </c>
      <c r="PG60" s="11">
        <v>0</v>
      </c>
      <c r="PH60" s="11">
        <v>0</v>
      </c>
      <c r="PI60" s="11">
        <v>0</v>
      </c>
      <c r="PJ60" s="27">
        <f t="shared" si="35"/>
        <v>0</v>
      </c>
      <c r="PK60" s="11">
        <v>0</v>
      </c>
      <c r="PL60" s="11">
        <v>0</v>
      </c>
      <c r="PM60" s="11">
        <v>0</v>
      </c>
      <c r="PN60" s="11">
        <v>0</v>
      </c>
      <c r="PO60" s="11">
        <v>0</v>
      </c>
      <c r="PP60" s="11">
        <v>0</v>
      </c>
      <c r="PQ60" s="11">
        <v>0</v>
      </c>
      <c r="PR60" s="11">
        <v>0</v>
      </c>
      <c r="PS60" s="11">
        <v>0</v>
      </c>
      <c r="PT60" s="11">
        <v>0</v>
      </c>
      <c r="PU60" s="11">
        <v>0</v>
      </c>
      <c r="PV60" s="11">
        <v>0</v>
      </c>
      <c r="PW60" s="27">
        <f t="shared" si="36"/>
        <v>0</v>
      </c>
      <c r="PX60" s="11">
        <v>0</v>
      </c>
      <c r="PY60" s="11">
        <v>0</v>
      </c>
      <c r="PZ60" s="11">
        <v>0</v>
      </c>
      <c r="QA60" s="11">
        <v>0</v>
      </c>
      <c r="QB60" s="11">
        <v>0</v>
      </c>
      <c r="QC60" s="11">
        <v>0</v>
      </c>
      <c r="QD60" s="11">
        <v>0</v>
      </c>
      <c r="QE60" s="11">
        <v>0</v>
      </c>
      <c r="QF60" s="11">
        <v>0</v>
      </c>
      <c r="QG60" s="11">
        <v>0</v>
      </c>
      <c r="QH60" s="11">
        <v>0</v>
      </c>
      <c r="QI60" s="11">
        <v>0</v>
      </c>
      <c r="QJ60" s="27">
        <f t="shared" si="37"/>
        <v>0</v>
      </c>
      <c r="QK60" s="11">
        <v>49525</v>
      </c>
      <c r="QL60" s="11">
        <v>47101</v>
      </c>
      <c r="QM60" s="11">
        <v>43612</v>
      </c>
      <c r="QN60" s="11">
        <v>50895</v>
      </c>
      <c r="QO60" s="11">
        <v>47312</v>
      </c>
      <c r="QP60" s="11">
        <v>46209</v>
      </c>
      <c r="QQ60" s="11">
        <v>53407</v>
      </c>
      <c r="QR60" s="11">
        <v>50973</v>
      </c>
      <c r="QS60" s="11">
        <v>40299</v>
      </c>
      <c r="QT60" s="11">
        <v>53816</v>
      </c>
      <c r="QU60" s="11">
        <v>49081</v>
      </c>
      <c r="QV60" s="11">
        <v>66876</v>
      </c>
      <c r="QW60" s="27">
        <f t="shared" si="38"/>
        <v>599106</v>
      </c>
      <c r="QX60" s="11">
        <v>0</v>
      </c>
      <c r="QY60" s="11">
        <v>0</v>
      </c>
      <c r="QZ60" s="11">
        <v>0</v>
      </c>
      <c r="RA60" s="11">
        <v>0</v>
      </c>
      <c r="RB60" s="11">
        <v>0</v>
      </c>
      <c r="RC60" s="11">
        <v>0</v>
      </c>
      <c r="RD60" s="11">
        <v>0</v>
      </c>
      <c r="RE60" s="11">
        <v>0</v>
      </c>
      <c r="RF60" s="11">
        <v>0</v>
      </c>
      <c r="RG60" s="11">
        <v>0</v>
      </c>
      <c r="RH60" s="11">
        <v>0</v>
      </c>
      <c r="RI60" s="11">
        <v>0</v>
      </c>
      <c r="RJ60" s="27">
        <f t="shared" si="39"/>
        <v>0</v>
      </c>
      <c r="RK60" s="11">
        <v>0</v>
      </c>
      <c r="RL60" s="11">
        <v>0</v>
      </c>
      <c r="RM60" s="11">
        <v>0</v>
      </c>
      <c r="RN60" s="11">
        <v>0</v>
      </c>
      <c r="RO60" s="11">
        <v>0</v>
      </c>
      <c r="RP60" s="11">
        <v>0</v>
      </c>
      <c r="RQ60" s="11">
        <v>0</v>
      </c>
      <c r="RR60" s="11">
        <v>0</v>
      </c>
      <c r="RS60" s="11">
        <v>0</v>
      </c>
      <c r="RT60" s="11">
        <v>0</v>
      </c>
      <c r="RU60" s="11">
        <v>0</v>
      </c>
      <c r="RV60" s="11">
        <v>0</v>
      </c>
      <c r="RW60" s="27">
        <f t="shared" si="40"/>
        <v>0</v>
      </c>
      <c r="RX60" s="11">
        <v>0</v>
      </c>
      <c r="RY60" s="11">
        <v>0</v>
      </c>
      <c r="RZ60" s="11">
        <v>0</v>
      </c>
      <c r="SA60" s="11">
        <v>0</v>
      </c>
      <c r="SB60" s="11">
        <v>0</v>
      </c>
      <c r="SC60" s="11">
        <v>0</v>
      </c>
      <c r="SD60" s="11">
        <v>0</v>
      </c>
      <c r="SE60" s="11">
        <v>0</v>
      </c>
      <c r="SF60" s="11">
        <v>0</v>
      </c>
      <c r="SG60" s="11">
        <v>0</v>
      </c>
      <c r="SH60" s="11">
        <v>0</v>
      </c>
      <c r="SI60" s="11">
        <v>0</v>
      </c>
      <c r="SJ60" s="27">
        <f t="shared" si="41"/>
        <v>0</v>
      </c>
      <c r="SK60" s="11">
        <v>0</v>
      </c>
      <c r="SL60" s="11">
        <v>0</v>
      </c>
      <c r="SM60" s="11">
        <v>0</v>
      </c>
      <c r="SN60" s="11">
        <v>0</v>
      </c>
      <c r="SO60" s="11">
        <v>0</v>
      </c>
      <c r="SP60" s="11">
        <v>0</v>
      </c>
      <c r="SQ60" s="11">
        <v>0</v>
      </c>
      <c r="SR60" s="11">
        <v>0</v>
      </c>
      <c r="SS60" s="11">
        <v>0</v>
      </c>
      <c r="ST60" s="11">
        <v>0</v>
      </c>
      <c r="SU60" s="11">
        <v>0</v>
      </c>
      <c r="SV60" s="11">
        <v>0</v>
      </c>
      <c r="SW60" s="27">
        <f t="shared" si="42"/>
        <v>0</v>
      </c>
      <c r="SX60" s="11" t="s">
        <v>2700</v>
      </c>
      <c r="SY60" s="11">
        <v>8661</v>
      </c>
      <c r="SZ60" s="11">
        <v>8648</v>
      </c>
      <c r="TA60" s="11">
        <v>7560</v>
      </c>
      <c r="TB60" s="11">
        <v>8741</v>
      </c>
      <c r="TC60" s="11">
        <v>8285</v>
      </c>
      <c r="TD60" s="11">
        <v>8778</v>
      </c>
      <c r="TE60" s="11">
        <v>7318</v>
      </c>
      <c r="TF60" s="11">
        <v>8018</v>
      </c>
      <c r="TG60" s="11">
        <v>5737</v>
      </c>
      <c r="TH60" s="11">
        <v>7469</v>
      </c>
      <c r="TI60" s="11">
        <v>6481</v>
      </c>
      <c r="TJ60" s="11">
        <v>6319</v>
      </c>
      <c r="TK60" s="27">
        <f t="shared" si="43"/>
        <v>92015</v>
      </c>
      <c r="TL60" s="11">
        <v>0</v>
      </c>
      <c r="TM60" s="11">
        <v>0</v>
      </c>
      <c r="TN60" s="11">
        <v>0</v>
      </c>
      <c r="TO60" s="11">
        <v>0</v>
      </c>
      <c r="TP60" s="11">
        <v>0</v>
      </c>
      <c r="TQ60" s="11">
        <v>0</v>
      </c>
      <c r="TR60" s="11">
        <v>0</v>
      </c>
      <c r="TS60" s="11">
        <v>0</v>
      </c>
      <c r="TT60" s="11">
        <v>0</v>
      </c>
      <c r="TU60" s="11">
        <v>0</v>
      </c>
      <c r="TV60" s="11">
        <v>0</v>
      </c>
      <c r="TW60" s="11">
        <v>0</v>
      </c>
      <c r="TX60" s="27">
        <f t="shared" si="44"/>
        <v>0</v>
      </c>
      <c r="TY60" s="11">
        <v>238</v>
      </c>
      <c r="TZ60" s="11">
        <v>6</v>
      </c>
      <c r="UA60" s="11">
        <v>52</v>
      </c>
    </row>
    <row r="61" spans="1:547" ht="16" customHeight="1" x14ac:dyDescent="0.35">
      <c r="A61" s="11" t="s">
        <v>1451</v>
      </c>
      <c r="B61" s="11">
        <v>4993</v>
      </c>
      <c r="C61" s="11">
        <v>1399</v>
      </c>
      <c r="D61" s="11">
        <v>3361</v>
      </c>
      <c r="E61" s="11">
        <v>233</v>
      </c>
      <c r="F61" s="11">
        <v>37</v>
      </c>
      <c r="G61" s="11">
        <v>42</v>
      </c>
      <c r="H61" s="11">
        <v>51</v>
      </c>
      <c r="I61" s="11">
        <v>49</v>
      </c>
      <c r="J61" s="11">
        <v>45</v>
      </c>
      <c r="K61" s="11">
        <v>35</v>
      </c>
      <c r="L61" s="11">
        <v>58</v>
      </c>
      <c r="M61" s="11">
        <v>50</v>
      </c>
      <c r="N61" s="11">
        <v>25</v>
      </c>
      <c r="O61" s="11">
        <v>48</v>
      </c>
      <c r="P61" s="11" t="s">
        <v>2865</v>
      </c>
      <c r="Q61" s="11">
        <v>54</v>
      </c>
      <c r="R61" s="11">
        <v>49</v>
      </c>
      <c r="S61" s="26">
        <f t="shared" si="0"/>
        <v>543</v>
      </c>
      <c r="T61" s="11">
        <v>7</v>
      </c>
      <c r="U61" s="11">
        <v>12</v>
      </c>
      <c r="V61" s="11">
        <v>14</v>
      </c>
      <c r="W61" s="11">
        <v>13</v>
      </c>
      <c r="X61" s="11">
        <v>12</v>
      </c>
      <c r="Y61" s="11">
        <v>7</v>
      </c>
      <c r="Z61" s="11">
        <v>17</v>
      </c>
      <c r="AA61" s="11">
        <v>16</v>
      </c>
      <c r="AB61" s="11">
        <v>5</v>
      </c>
      <c r="AC61" s="11">
        <v>14</v>
      </c>
      <c r="AD61" s="11">
        <v>19</v>
      </c>
      <c r="AE61" s="11">
        <v>12</v>
      </c>
      <c r="AF61" s="26">
        <f t="shared" si="1"/>
        <v>148</v>
      </c>
      <c r="AG61" s="11">
        <v>30</v>
      </c>
      <c r="AH61" s="11">
        <v>30</v>
      </c>
      <c r="AI61" s="11">
        <v>37</v>
      </c>
      <c r="AJ61" s="11">
        <v>36</v>
      </c>
      <c r="AK61" s="11">
        <v>33</v>
      </c>
      <c r="AL61" s="11">
        <v>28</v>
      </c>
      <c r="AM61" s="11">
        <v>41</v>
      </c>
      <c r="AN61" s="11">
        <v>34</v>
      </c>
      <c r="AO61" s="11">
        <v>20</v>
      </c>
      <c r="AP61" s="11">
        <v>20</v>
      </c>
      <c r="AQ61" s="11">
        <v>34</v>
      </c>
      <c r="AR61" s="11">
        <v>37</v>
      </c>
      <c r="AS61" s="26">
        <f t="shared" si="2"/>
        <v>380</v>
      </c>
      <c r="AT61" s="11">
        <v>0</v>
      </c>
      <c r="AU61" s="11">
        <v>0</v>
      </c>
      <c r="AV61" s="11">
        <v>0</v>
      </c>
      <c r="AW61" s="11">
        <v>0</v>
      </c>
      <c r="AX61" s="11">
        <v>0</v>
      </c>
      <c r="AY61" s="11">
        <v>0</v>
      </c>
      <c r="AZ61" s="11">
        <v>0</v>
      </c>
      <c r="BA61" s="11">
        <v>0</v>
      </c>
      <c r="BB61" s="11">
        <v>0</v>
      </c>
      <c r="BC61" s="11">
        <v>0</v>
      </c>
      <c r="BD61" s="11">
        <v>2</v>
      </c>
      <c r="BE61" s="11">
        <v>1</v>
      </c>
      <c r="BF61" s="26">
        <f t="shared" si="3"/>
        <v>3</v>
      </c>
      <c r="BG61" s="11">
        <v>0</v>
      </c>
      <c r="BH61" s="11">
        <v>0</v>
      </c>
      <c r="BI61" s="11">
        <v>0</v>
      </c>
      <c r="BJ61" s="11">
        <v>0</v>
      </c>
      <c r="BK61" s="11">
        <v>0</v>
      </c>
      <c r="BL61" s="11">
        <v>0</v>
      </c>
      <c r="BM61" s="11">
        <v>0</v>
      </c>
      <c r="BN61" s="11">
        <v>0</v>
      </c>
      <c r="BO61" s="11">
        <v>0</v>
      </c>
      <c r="BP61" s="11">
        <v>0</v>
      </c>
      <c r="BQ61" s="11">
        <v>0</v>
      </c>
      <c r="BR61" s="11">
        <v>0</v>
      </c>
      <c r="BS61" s="26">
        <f t="shared" si="4"/>
        <v>0</v>
      </c>
      <c r="BT61" s="11">
        <v>1</v>
      </c>
      <c r="BU61" s="11">
        <v>5</v>
      </c>
      <c r="BV61" s="11">
        <v>6</v>
      </c>
      <c r="BW61" s="11">
        <v>10</v>
      </c>
      <c r="BX61" s="11">
        <v>7</v>
      </c>
      <c r="BY61" s="11">
        <v>5</v>
      </c>
      <c r="BZ61" s="11">
        <v>6</v>
      </c>
      <c r="CA61" s="11">
        <v>10</v>
      </c>
      <c r="CB61" s="11">
        <v>9</v>
      </c>
      <c r="CC61" s="11">
        <v>8</v>
      </c>
      <c r="CD61" s="11">
        <v>5</v>
      </c>
      <c r="CE61" s="11">
        <v>9</v>
      </c>
      <c r="CF61" s="26">
        <f t="shared" si="5"/>
        <v>81</v>
      </c>
      <c r="CG61" s="11">
        <v>1</v>
      </c>
      <c r="CH61" s="11">
        <v>5</v>
      </c>
      <c r="CI61" s="11">
        <v>6</v>
      </c>
      <c r="CJ61" s="11">
        <v>10</v>
      </c>
      <c r="CK61" s="11">
        <v>7</v>
      </c>
      <c r="CL61" s="11">
        <v>5</v>
      </c>
      <c r="CM61" s="11">
        <v>6</v>
      </c>
      <c r="CN61" s="11">
        <v>10</v>
      </c>
      <c r="CO61" s="11">
        <v>9</v>
      </c>
      <c r="CP61" s="11">
        <v>8</v>
      </c>
      <c r="CQ61" s="11">
        <v>5</v>
      </c>
      <c r="CR61" s="11">
        <v>9</v>
      </c>
      <c r="CS61" s="26">
        <f t="shared" si="6"/>
        <v>81</v>
      </c>
      <c r="CT61" s="11">
        <v>0</v>
      </c>
      <c r="CU61" s="11">
        <v>0</v>
      </c>
      <c r="CV61" s="11">
        <v>0</v>
      </c>
      <c r="CW61" s="11">
        <v>0</v>
      </c>
      <c r="CX61" s="11">
        <v>0</v>
      </c>
      <c r="CY61" s="11">
        <v>0</v>
      </c>
      <c r="CZ61" s="11">
        <v>0</v>
      </c>
      <c r="DA61" s="11">
        <v>0</v>
      </c>
      <c r="DB61" s="11">
        <v>0</v>
      </c>
      <c r="DC61" s="11">
        <v>0</v>
      </c>
      <c r="DD61" s="11">
        <v>0</v>
      </c>
      <c r="DE61" s="11">
        <v>0</v>
      </c>
      <c r="DF61" s="26">
        <f t="shared" si="7"/>
        <v>0</v>
      </c>
      <c r="DG61" s="11">
        <v>0</v>
      </c>
      <c r="DH61" s="11">
        <v>0</v>
      </c>
      <c r="DI61" s="11">
        <v>0</v>
      </c>
      <c r="DJ61" s="11">
        <v>0</v>
      </c>
      <c r="DK61" s="11">
        <v>0</v>
      </c>
      <c r="DL61" s="11">
        <v>0</v>
      </c>
      <c r="DM61" s="11">
        <v>0</v>
      </c>
      <c r="DN61" s="11">
        <v>0</v>
      </c>
      <c r="DO61" s="11">
        <v>0</v>
      </c>
      <c r="DP61" s="11">
        <v>0</v>
      </c>
      <c r="DQ61" s="11">
        <v>0</v>
      </c>
      <c r="DR61" s="11">
        <v>0</v>
      </c>
      <c r="DS61" s="26">
        <f t="shared" si="8"/>
        <v>0</v>
      </c>
      <c r="DT61" s="11">
        <v>0</v>
      </c>
      <c r="DU61" s="11">
        <v>0</v>
      </c>
      <c r="DV61" s="11">
        <v>0</v>
      </c>
      <c r="DW61" s="11">
        <v>0</v>
      </c>
      <c r="DX61" s="11">
        <v>0</v>
      </c>
      <c r="DY61" s="11">
        <v>0</v>
      </c>
      <c r="DZ61" s="11">
        <v>0</v>
      </c>
      <c r="EA61" s="11">
        <v>0</v>
      </c>
      <c r="EB61" s="11">
        <v>0</v>
      </c>
      <c r="EC61" s="11">
        <v>0</v>
      </c>
      <c r="ED61" s="11">
        <v>0</v>
      </c>
      <c r="EE61" s="11">
        <v>0</v>
      </c>
      <c r="EF61" s="26">
        <f t="shared" si="9"/>
        <v>0</v>
      </c>
      <c r="EG61" s="9">
        <f t="shared" si="10"/>
        <v>531</v>
      </c>
      <c r="EH61" s="9">
        <f t="shared" si="11"/>
        <v>81</v>
      </c>
      <c r="EI61" s="11">
        <v>632</v>
      </c>
      <c r="EJ61" s="11">
        <v>1059</v>
      </c>
      <c r="EK61" s="11">
        <v>1068</v>
      </c>
      <c r="EL61" s="11">
        <v>1032</v>
      </c>
      <c r="EM61" s="11">
        <v>667</v>
      </c>
      <c r="EN61" s="11">
        <v>702</v>
      </c>
      <c r="EO61" s="11">
        <v>1404</v>
      </c>
      <c r="EP61" s="11">
        <v>1002</v>
      </c>
      <c r="EQ61" s="11">
        <v>490</v>
      </c>
      <c r="ER61" s="11">
        <v>2072</v>
      </c>
      <c r="ES61" s="11">
        <v>1269</v>
      </c>
      <c r="ET61" s="11">
        <v>1248</v>
      </c>
      <c r="EU61" s="26">
        <f t="shared" si="12"/>
        <v>12645</v>
      </c>
      <c r="EV61" s="11">
        <v>341</v>
      </c>
      <c r="EW61" s="11">
        <v>752</v>
      </c>
      <c r="EX61" s="11">
        <v>625</v>
      </c>
      <c r="EY61" s="11">
        <v>618</v>
      </c>
      <c r="EZ61" s="11">
        <v>370</v>
      </c>
      <c r="FA61" s="11">
        <v>402</v>
      </c>
      <c r="FB61" s="11">
        <v>792</v>
      </c>
      <c r="FC61" s="11">
        <v>630</v>
      </c>
      <c r="FD61" s="11">
        <v>261</v>
      </c>
      <c r="FE61" s="11">
        <v>530</v>
      </c>
      <c r="FF61" s="11">
        <v>508</v>
      </c>
      <c r="FG61" s="11">
        <v>554</v>
      </c>
      <c r="FH61" s="26">
        <f t="shared" si="13"/>
        <v>6383</v>
      </c>
      <c r="FI61" s="11">
        <v>291</v>
      </c>
      <c r="FJ61" s="11">
        <v>307</v>
      </c>
      <c r="FK61" s="11">
        <v>443</v>
      </c>
      <c r="FL61" s="11">
        <v>414</v>
      </c>
      <c r="FM61" s="11">
        <v>297</v>
      </c>
      <c r="FN61" s="11">
        <v>300</v>
      </c>
      <c r="FO61" s="11">
        <v>612</v>
      </c>
      <c r="FP61" s="11">
        <v>372</v>
      </c>
      <c r="FQ61" s="11">
        <v>229</v>
      </c>
      <c r="FR61" s="11">
        <v>342</v>
      </c>
      <c r="FS61" s="11">
        <v>461</v>
      </c>
      <c r="FT61" s="11">
        <v>694</v>
      </c>
      <c r="FU61" s="26">
        <f t="shared" si="14"/>
        <v>4762</v>
      </c>
      <c r="FV61" s="11">
        <v>0</v>
      </c>
      <c r="FW61" s="11">
        <v>0</v>
      </c>
      <c r="FX61" s="11">
        <v>0</v>
      </c>
      <c r="FY61" s="11">
        <v>0</v>
      </c>
      <c r="FZ61" s="11">
        <v>0</v>
      </c>
      <c r="GA61" s="11">
        <v>0</v>
      </c>
      <c r="GB61" s="11">
        <v>0</v>
      </c>
      <c r="GC61" s="11">
        <v>0</v>
      </c>
      <c r="GD61" s="11">
        <v>0</v>
      </c>
      <c r="GE61" s="11">
        <v>1200</v>
      </c>
      <c r="GF61" s="11">
        <v>300</v>
      </c>
      <c r="GG61" s="11">
        <v>0</v>
      </c>
      <c r="GH61" s="26">
        <f t="shared" si="15"/>
        <v>1500</v>
      </c>
      <c r="GI61" s="11">
        <v>4</v>
      </c>
      <c r="GJ61" s="11">
        <v>16</v>
      </c>
      <c r="GK61" s="11">
        <v>22</v>
      </c>
      <c r="GL61" s="11">
        <v>15</v>
      </c>
      <c r="GM61" s="11">
        <v>11</v>
      </c>
      <c r="GN61" s="11">
        <v>6</v>
      </c>
      <c r="GO61" s="11">
        <v>16</v>
      </c>
      <c r="GP61" s="11">
        <v>16</v>
      </c>
      <c r="GQ61" s="11">
        <v>11</v>
      </c>
      <c r="GR61" s="11">
        <v>11</v>
      </c>
      <c r="GS61" s="11">
        <v>9</v>
      </c>
      <c r="GT61" s="11">
        <v>28</v>
      </c>
      <c r="GU61" s="26">
        <f t="shared" si="16"/>
        <v>165</v>
      </c>
      <c r="GV61" s="11">
        <v>4</v>
      </c>
      <c r="GW61" s="11">
        <v>16</v>
      </c>
      <c r="GX61" s="11">
        <v>22</v>
      </c>
      <c r="GY61" s="11">
        <v>15</v>
      </c>
      <c r="GZ61" s="11">
        <v>11</v>
      </c>
      <c r="HA61" s="11">
        <v>6</v>
      </c>
      <c r="HB61" s="11">
        <v>16</v>
      </c>
      <c r="HC61" s="11">
        <v>16</v>
      </c>
      <c r="HD61" s="11">
        <v>11</v>
      </c>
      <c r="HE61" s="11">
        <v>11</v>
      </c>
      <c r="HF61" s="11">
        <v>9</v>
      </c>
      <c r="HG61" s="11">
        <v>28</v>
      </c>
      <c r="HH61" s="26">
        <f t="shared" si="17"/>
        <v>165</v>
      </c>
      <c r="HI61" s="11">
        <v>0</v>
      </c>
      <c r="HJ61" s="11">
        <v>0</v>
      </c>
      <c r="HK61" s="11">
        <v>0</v>
      </c>
      <c r="HL61" s="11">
        <v>0</v>
      </c>
      <c r="HM61" s="11">
        <v>0</v>
      </c>
      <c r="HN61" s="11">
        <v>0</v>
      </c>
      <c r="HO61" s="11">
        <v>0</v>
      </c>
      <c r="HP61" s="11">
        <v>0</v>
      </c>
      <c r="HQ61" s="11">
        <v>0</v>
      </c>
      <c r="HR61" s="11">
        <v>0</v>
      </c>
      <c r="HS61" s="11">
        <v>0</v>
      </c>
      <c r="HT61" s="11">
        <v>0</v>
      </c>
      <c r="HU61" s="26">
        <f t="shared" si="18"/>
        <v>0</v>
      </c>
      <c r="HV61" s="11">
        <v>0</v>
      </c>
      <c r="HW61" s="11">
        <v>0</v>
      </c>
      <c r="HX61" s="11">
        <v>0</v>
      </c>
      <c r="HY61" s="11">
        <v>0</v>
      </c>
      <c r="HZ61" s="11">
        <v>0</v>
      </c>
      <c r="IA61" s="11">
        <v>0</v>
      </c>
      <c r="IB61" s="11">
        <v>0</v>
      </c>
      <c r="IC61" s="11">
        <v>0</v>
      </c>
      <c r="ID61" s="11">
        <v>0</v>
      </c>
      <c r="IE61" s="11">
        <v>0</v>
      </c>
      <c r="IF61" s="11">
        <v>0</v>
      </c>
      <c r="IG61" s="11">
        <v>0</v>
      </c>
      <c r="IH61" s="26">
        <f t="shared" si="19"/>
        <v>0</v>
      </c>
      <c r="II61" s="9">
        <f t="shared" si="20"/>
        <v>12645</v>
      </c>
      <c r="IJ61" s="9">
        <f t="shared" si="21"/>
        <v>165</v>
      </c>
      <c r="IK61" s="11">
        <v>15794</v>
      </c>
      <c r="IL61" s="11">
        <v>15174</v>
      </c>
      <c r="IM61" s="11">
        <v>14004</v>
      </c>
      <c r="IN61" s="11">
        <v>17063</v>
      </c>
      <c r="IO61" s="11">
        <v>15432</v>
      </c>
      <c r="IP61" s="11">
        <v>16620</v>
      </c>
      <c r="IQ61" s="11">
        <v>14151</v>
      </c>
      <c r="IR61" s="11">
        <v>16343</v>
      </c>
      <c r="IS61" s="11">
        <v>11676</v>
      </c>
      <c r="IT61" s="11">
        <v>15761</v>
      </c>
      <c r="IU61" s="11">
        <v>13871</v>
      </c>
      <c r="IV61" s="11">
        <v>14859</v>
      </c>
      <c r="IW61" s="27">
        <f t="shared" si="22"/>
        <v>180748</v>
      </c>
      <c r="IX61" s="11">
        <v>11558</v>
      </c>
      <c r="IY61" s="11">
        <v>10903</v>
      </c>
      <c r="IZ61" s="11">
        <v>10482</v>
      </c>
      <c r="JA61" s="11">
        <v>12150</v>
      </c>
      <c r="JB61" s="11">
        <v>11249</v>
      </c>
      <c r="JC61" s="11">
        <v>12025</v>
      </c>
      <c r="JD61" s="11">
        <v>10353</v>
      </c>
      <c r="JE61" s="11">
        <v>11215</v>
      </c>
      <c r="JF61" s="11">
        <v>8950</v>
      </c>
      <c r="JG61" s="11">
        <v>11701</v>
      </c>
      <c r="JH61" s="11">
        <v>9763</v>
      </c>
      <c r="JI61" s="11">
        <v>11065</v>
      </c>
      <c r="JJ61" s="27">
        <f t="shared" si="23"/>
        <v>131414</v>
      </c>
      <c r="JK61" s="11">
        <v>3978</v>
      </c>
      <c r="JL61" s="11">
        <v>4037</v>
      </c>
      <c r="JM61" s="11">
        <v>3299</v>
      </c>
      <c r="JN61" s="11">
        <v>4624</v>
      </c>
      <c r="JO61" s="11">
        <v>3979</v>
      </c>
      <c r="JP61" s="11">
        <v>4346</v>
      </c>
      <c r="JQ61" s="11">
        <v>3616</v>
      </c>
      <c r="JR61" s="11">
        <v>4808</v>
      </c>
      <c r="JS61" s="11">
        <v>2581</v>
      </c>
      <c r="JT61" s="11">
        <v>3841</v>
      </c>
      <c r="JU61" s="11">
        <v>3856</v>
      </c>
      <c r="JV61" s="11">
        <v>3531</v>
      </c>
      <c r="JW61" s="27">
        <f t="shared" si="24"/>
        <v>46496</v>
      </c>
      <c r="JX61" s="11">
        <v>258</v>
      </c>
      <c r="JY61" s="11">
        <v>234</v>
      </c>
      <c r="JZ61" s="11">
        <v>223</v>
      </c>
      <c r="KA61" s="11">
        <v>289</v>
      </c>
      <c r="KB61" s="11">
        <v>204</v>
      </c>
      <c r="KC61" s="11">
        <v>249</v>
      </c>
      <c r="KD61" s="11">
        <v>182</v>
      </c>
      <c r="KE61" s="11">
        <v>320</v>
      </c>
      <c r="KF61" s="11">
        <v>145</v>
      </c>
      <c r="KG61" s="11">
        <v>219</v>
      </c>
      <c r="KH61" s="11">
        <v>252</v>
      </c>
      <c r="KI61" s="11">
        <v>263</v>
      </c>
      <c r="KJ61" s="27">
        <f t="shared" si="25"/>
        <v>2838</v>
      </c>
      <c r="KK61" s="11">
        <v>579</v>
      </c>
      <c r="KL61" s="11">
        <v>586</v>
      </c>
      <c r="KM61" s="11">
        <v>650</v>
      </c>
      <c r="KN61" s="11">
        <v>611</v>
      </c>
      <c r="KO61" s="11">
        <v>601</v>
      </c>
      <c r="KP61" s="11">
        <v>616</v>
      </c>
      <c r="KQ61" s="11">
        <v>596</v>
      </c>
      <c r="KR61" s="11">
        <v>641</v>
      </c>
      <c r="KS61" s="11">
        <v>525</v>
      </c>
      <c r="KT61" s="11">
        <v>606</v>
      </c>
      <c r="KU61" s="11">
        <v>630</v>
      </c>
      <c r="KV61" s="11">
        <v>634</v>
      </c>
      <c r="KW61" s="27">
        <f t="shared" si="26"/>
        <v>7275</v>
      </c>
      <c r="KX61" s="11">
        <v>544</v>
      </c>
      <c r="KY61" s="11">
        <v>552</v>
      </c>
      <c r="KZ61" s="11">
        <v>619</v>
      </c>
      <c r="LA61" s="11">
        <v>555</v>
      </c>
      <c r="LB61" s="11">
        <v>574</v>
      </c>
      <c r="LC61" s="11">
        <v>576</v>
      </c>
      <c r="LD61" s="11">
        <v>566</v>
      </c>
      <c r="LE61" s="11">
        <v>612</v>
      </c>
      <c r="LF61" s="11">
        <v>504</v>
      </c>
      <c r="LG61" s="11">
        <v>577</v>
      </c>
      <c r="LH61" s="11">
        <v>593</v>
      </c>
      <c r="LI61" s="11">
        <v>594</v>
      </c>
      <c r="LJ61" s="27">
        <f t="shared" si="27"/>
        <v>6866</v>
      </c>
      <c r="LK61" s="11">
        <v>35</v>
      </c>
      <c r="LL61" s="11">
        <v>34</v>
      </c>
      <c r="LM61" s="11">
        <v>31</v>
      </c>
      <c r="LN61" s="11">
        <v>56</v>
      </c>
      <c r="LO61" s="11">
        <v>27</v>
      </c>
      <c r="LP61" s="11">
        <v>40</v>
      </c>
      <c r="LQ61" s="11">
        <v>30</v>
      </c>
      <c r="LR61" s="11">
        <v>29</v>
      </c>
      <c r="LS61" s="11">
        <v>21</v>
      </c>
      <c r="LT61" s="11">
        <v>29</v>
      </c>
      <c r="LU61" s="11">
        <v>37</v>
      </c>
      <c r="LV61" s="11">
        <v>40</v>
      </c>
      <c r="LW61" s="27">
        <f t="shared" si="28"/>
        <v>409</v>
      </c>
      <c r="LX61" s="11">
        <v>0</v>
      </c>
      <c r="LY61" s="11">
        <v>0</v>
      </c>
      <c r="LZ61" s="11">
        <v>0</v>
      </c>
      <c r="MA61" s="11">
        <v>0</v>
      </c>
      <c r="MB61" s="11">
        <v>0</v>
      </c>
      <c r="MC61" s="11">
        <v>0</v>
      </c>
      <c r="MD61" s="11">
        <v>0</v>
      </c>
      <c r="ME61" s="11">
        <v>0</v>
      </c>
      <c r="MF61" s="11">
        <v>0</v>
      </c>
      <c r="MG61" s="11">
        <v>0</v>
      </c>
      <c r="MH61" s="11">
        <v>0</v>
      </c>
      <c r="MI61" s="11">
        <v>0</v>
      </c>
      <c r="MJ61" s="27">
        <f t="shared" si="29"/>
        <v>0</v>
      </c>
      <c r="MK61" s="11">
        <v>194</v>
      </c>
      <c r="ML61" s="11">
        <v>220</v>
      </c>
      <c r="MM61" s="11">
        <v>180</v>
      </c>
      <c r="MN61" s="11">
        <v>218</v>
      </c>
      <c r="MO61" s="11">
        <v>212</v>
      </c>
      <c r="MP61" s="11">
        <v>239</v>
      </c>
      <c r="MQ61" s="11">
        <v>241</v>
      </c>
      <c r="MR61" s="11">
        <v>216</v>
      </c>
      <c r="MS61" s="11">
        <v>176</v>
      </c>
      <c r="MT61" s="11">
        <v>237</v>
      </c>
      <c r="MU61" s="11">
        <v>245</v>
      </c>
      <c r="MV61" s="11">
        <v>256</v>
      </c>
      <c r="MW61" s="27">
        <f t="shared" si="30"/>
        <v>2634</v>
      </c>
      <c r="MX61" s="11">
        <v>183</v>
      </c>
      <c r="MY61" s="11">
        <v>192</v>
      </c>
      <c r="MZ61" s="11">
        <v>168</v>
      </c>
      <c r="NA61" s="11">
        <v>206</v>
      </c>
      <c r="NB61" s="11">
        <v>196</v>
      </c>
      <c r="NC61" s="11">
        <v>216</v>
      </c>
      <c r="ND61" s="11">
        <v>212</v>
      </c>
      <c r="NE61" s="11">
        <v>196</v>
      </c>
      <c r="NF61" s="11">
        <v>156</v>
      </c>
      <c r="NG61" s="11">
        <v>191</v>
      </c>
      <c r="NH61" s="11">
        <v>181</v>
      </c>
      <c r="NI61" s="11">
        <v>210</v>
      </c>
      <c r="NJ61" s="27">
        <f t="shared" si="31"/>
        <v>2307</v>
      </c>
      <c r="NK61" s="11">
        <v>8</v>
      </c>
      <c r="NL61" s="11">
        <v>23</v>
      </c>
      <c r="NM61" s="11">
        <v>11</v>
      </c>
      <c r="NN61" s="11">
        <v>9</v>
      </c>
      <c r="NO61" s="11">
        <v>16</v>
      </c>
      <c r="NP61" s="11">
        <v>15</v>
      </c>
      <c r="NQ61" s="11">
        <v>28</v>
      </c>
      <c r="NR61" s="11">
        <v>16</v>
      </c>
      <c r="NS61" s="11">
        <v>16</v>
      </c>
      <c r="NT61" s="11">
        <v>25</v>
      </c>
      <c r="NU61" s="11">
        <v>25</v>
      </c>
      <c r="NV61" s="11">
        <v>24</v>
      </c>
      <c r="NW61" s="27">
        <f t="shared" si="32"/>
        <v>216</v>
      </c>
      <c r="NX61" s="11">
        <v>3</v>
      </c>
      <c r="NY61" s="11">
        <v>5</v>
      </c>
      <c r="NZ61" s="11">
        <v>1</v>
      </c>
      <c r="OA61" s="11">
        <v>3</v>
      </c>
      <c r="OB61" s="11">
        <v>0</v>
      </c>
      <c r="OC61" s="11">
        <v>8</v>
      </c>
      <c r="OD61" s="11">
        <v>1</v>
      </c>
      <c r="OE61" s="11">
        <v>4</v>
      </c>
      <c r="OF61" s="11">
        <v>4</v>
      </c>
      <c r="OG61" s="11">
        <v>21</v>
      </c>
      <c r="OH61" s="11">
        <v>39</v>
      </c>
      <c r="OI61" s="11">
        <v>22</v>
      </c>
      <c r="OJ61" s="27">
        <f t="shared" si="33"/>
        <v>111</v>
      </c>
      <c r="OK61" s="11">
        <v>756</v>
      </c>
      <c r="OL61" s="11">
        <v>840</v>
      </c>
      <c r="OM61" s="11">
        <v>741</v>
      </c>
      <c r="ON61" s="11">
        <v>830</v>
      </c>
      <c r="OO61" s="11">
        <v>870</v>
      </c>
      <c r="OP61" s="11">
        <v>921</v>
      </c>
      <c r="OQ61" s="11">
        <v>1003</v>
      </c>
      <c r="OR61" s="11">
        <v>880</v>
      </c>
      <c r="OS61" s="11">
        <v>861</v>
      </c>
      <c r="OT61" s="11">
        <v>1030</v>
      </c>
      <c r="OU61" s="11">
        <v>958</v>
      </c>
      <c r="OV61" s="11">
        <v>969</v>
      </c>
      <c r="OW61" s="27">
        <f t="shared" si="34"/>
        <v>10659</v>
      </c>
      <c r="OX61" s="11">
        <v>688</v>
      </c>
      <c r="OY61" s="11">
        <v>745</v>
      </c>
      <c r="OZ61" s="11">
        <v>668</v>
      </c>
      <c r="PA61" s="11">
        <v>751</v>
      </c>
      <c r="PB61" s="11">
        <v>787</v>
      </c>
      <c r="PC61" s="11">
        <v>840</v>
      </c>
      <c r="PD61" s="11">
        <v>925</v>
      </c>
      <c r="PE61" s="11">
        <v>821</v>
      </c>
      <c r="PF61" s="11">
        <v>797</v>
      </c>
      <c r="PG61" s="11">
        <v>927</v>
      </c>
      <c r="PH61" s="11">
        <v>844</v>
      </c>
      <c r="PI61" s="11">
        <v>831</v>
      </c>
      <c r="PJ61" s="27">
        <f t="shared" si="35"/>
        <v>9624</v>
      </c>
      <c r="PK61" s="11">
        <v>49</v>
      </c>
      <c r="PL61" s="11">
        <v>67</v>
      </c>
      <c r="PM61" s="11">
        <v>52</v>
      </c>
      <c r="PN61" s="11">
        <v>54</v>
      </c>
      <c r="PO61" s="11">
        <v>62</v>
      </c>
      <c r="PP61" s="11">
        <v>59</v>
      </c>
      <c r="PQ61" s="11">
        <v>57</v>
      </c>
      <c r="PR61" s="11">
        <v>37</v>
      </c>
      <c r="PS61" s="11">
        <v>45</v>
      </c>
      <c r="PT61" s="11">
        <v>89</v>
      </c>
      <c r="PU61" s="11">
        <v>83</v>
      </c>
      <c r="PV61" s="11">
        <v>114</v>
      </c>
      <c r="PW61" s="27">
        <f t="shared" si="36"/>
        <v>768</v>
      </c>
      <c r="PX61" s="11">
        <v>19</v>
      </c>
      <c r="PY61" s="11">
        <v>28</v>
      </c>
      <c r="PZ61" s="11">
        <v>21</v>
      </c>
      <c r="QA61" s="11">
        <v>25</v>
      </c>
      <c r="QB61" s="11">
        <v>21</v>
      </c>
      <c r="QC61" s="11">
        <v>22</v>
      </c>
      <c r="QD61" s="11">
        <v>21</v>
      </c>
      <c r="QE61" s="11">
        <v>22</v>
      </c>
      <c r="QF61" s="11">
        <v>19</v>
      </c>
      <c r="QG61" s="11">
        <v>14</v>
      </c>
      <c r="QH61" s="11">
        <v>31</v>
      </c>
      <c r="QI61" s="11">
        <v>24</v>
      </c>
      <c r="QJ61" s="27">
        <f t="shared" si="37"/>
        <v>267</v>
      </c>
      <c r="QK61" s="11">
        <v>11864</v>
      </c>
      <c r="QL61" s="11">
        <v>13303</v>
      </c>
      <c r="QM61" s="11">
        <v>12251</v>
      </c>
      <c r="QN61" s="11">
        <v>14255</v>
      </c>
      <c r="QO61" s="11">
        <v>14034</v>
      </c>
      <c r="QP61" s="11">
        <v>12337</v>
      </c>
      <c r="QQ61" s="11">
        <v>14450</v>
      </c>
      <c r="QR61" s="11">
        <v>12196</v>
      </c>
      <c r="QS61" s="11">
        <v>8419</v>
      </c>
      <c r="QT61" s="11">
        <v>12741</v>
      </c>
      <c r="QU61" s="11">
        <v>12079</v>
      </c>
      <c r="QV61" s="11">
        <v>12724</v>
      </c>
      <c r="QW61" s="27">
        <f t="shared" si="38"/>
        <v>150653</v>
      </c>
      <c r="QX61" s="11">
        <v>0</v>
      </c>
      <c r="QY61" s="11">
        <v>0</v>
      </c>
      <c r="QZ61" s="11">
        <v>0</v>
      </c>
      <c r="RA61" s="11">
        <v>0</v>
      </c>
      <c r="RB61" s="11">
        <v>0</v>
      </c>
      <c r="RC61" s="11">
        <v>0</v>
      </c>
      <c r="RD61" s="11">
        <v>0</v>
      </c>
      <c r="RE61" s="11">
        <v>0</v>
      </c>
      <c r="RF61" s="11">
        <v>0</v>
      </c>
      <c r="RG61" s="11">
        <v>0</v>
      </c>
      <c r="RH61" s="11">
        <v>0</v>
      </c>
      <c r="RI61" s="11">
        <v>0</v>
      </c>
      <c r="RJ61" s="27">
        <f t="shared" si="39"/>
        <v>0</v>
      </c>
      <c r="RK61" s="11">
        <v>0</v>
      </c>
      <c r="RL61" s="11">
        <v>0</v>
      </c>
      <c r="RM61" s="11">
        <v>0</v>
      </c>
      <c r="RN61" s="11">
        <v>0</v>
      </c>
      <c r="RO61" s="11">
        <v>0</v>
      </c>
      <c r="RP61" s="11">
        <v>0</v>
      </c>
      <c r="RQ61" s="11">
        <v>0</v>
      </c>
      <c r="RR61" s="11">
        <v>0</v>
      </c>
      <c r="RS61" s="11">
        <v>0</v>
      </c>
      <c r="RT61" s="11">
        <v>0</v>
      </c>
      <c r="RU61" s="11">
        <v>0</v>
      </c>
      <c r="RV61" s="11">
        <v>0</v>
      </c>
      <c r="RW61" s="27">
        <f t="shared" si="40"/>
        <v>0</v>
      </c>
      <c r="RX61" s="11">
        <v>0</v>
      </c>
      <c r="RY61" s="11">
        <v>0</v>
      </c>
      <c r="RZ61" s="11">
        <v>0</v>
      </c>
      <c r="SA61" s="11">
        <v>0</v>
      </c>
      <c r="SB61" s="11">
        <v>0</v>
      </c>
      <c r="SC61" s="11">
        <v>0</v>
      </c>
      <c r="SD61" s="11">
        <v>0</v>
      </c>
      <c r="SE61" s="11">
        <v>0</v>
      </c>
      <c r="SF61" s="11">
        <v>0</v>
      </c>
      <c r="SG61" s="11">
        <v>0</v>
      </c>
      <c r="SH61" s="11">
        <v>0</v>
      </c>
      <c r="SI61" s="11">
        <v>0</v>
      </c>
      <c r="SJ61" s="27">
        <f t="shared" si="41"/>
        <v>0</v>
      </c>
      <c r="SK61" s="11">
        <v>1468</v>
      </c>
      <c r="SL61" s="11">
        <v>1028</v>
      </c>
      <c r="SM61" s="11">
        <v>1014</v>
      </c>
      <c r="SN61" s="11">
        <v>1477</v>
      </c>
      <c r="SO61" s="11">
        <v>775</v>
      </c>
      <c r="SP61" s="11">
        <v>1513</v>
      </c>
      <c r="SQ61" s="11">
        <v>1279</v>
      </c>
      <c r="SR61" s="11">
        <v>1249</v>
      </c>
      <c r="SS61" s="11">
        <v>652</v>
      </c>
      <c r="ST61" s="11">
        <v>1199</v>
      </c>
      <c r="SU61" s="11">
        <v>1279</v>
      </c>
      <c r="SV61" s="11">
        <v>1401</v>
      </c>
      <c r="SW61" s="27">
        <f t="shared" si="42"/>
        <v>14334</v>
      </c>
      <c r="SX61" s="11" t="s">
        <v>2701</v>
      </c>
      <c r="SY61" s="11">
        <v>542</v>
      </c>
      <c r="SZ61" s="11">
        <v>560</v>
      </c>
      <c r="TA61" s="11">
        <v>483</v>
      </c>
      <c r="TB61" s="11">
        <v>562</v>
      </c>
      <c r="TC61" s="11">
        <v>188</v>
      </c>
      <c r="TD61" s="11">
        <v>458</v>
      </c>
      <c r="TE61" s="11">
        <v>518</v>
      </c>
      <c r="TF61" s="11">
        <v>474</v>
      </c>
      <c r="TG61" s="11">
        <v>343</v>
      </c>
      <c r="TH61" s="11">
        <v>631</v>
      </c>
      <c r="TI61" s="11">
        <v>685</v>
      </c>
      <c r="TJ61" s="11">
        <v>658</v>
      </c>
      <c r="TK61" s="27">
        <f>ROUND(SUM(SY61:TJ61),0)</f>
        <v>6102</v>
      </c>
      <c r="TL61" s="11">
        <v>0</v>
      </c>
      <c r="TM61" s="11">
        <v>0</v>
      </c>
      <c r="TN61" s="11">
        <v>0</v>
      </c>
      <c r="TO61" s="11">
        <v>0</v>
      </c>
      <c r="TP61" s="11">
        <v>0</v>
      </c>
      <c r="TQ61" s="11">
        <v>0</v>
      </c>
      <c r="TR61" s="11">
        <v>0</v>
      </c>
      <c r="TS61" s="11">
        <v>0</v>
      </c>
      <c r="TT61" s="11">
        <v>0</v>
      </c>
      <c r="TU61" s="11">
        <v>0</v>
      </c>
      <c r="TV61" s="11">
        <v>0</v>
      </c>
      <c r="TW61" s="11">
        <v>0</v>
      </c>
      <c r="TX61" s="27">
        <f t="shared" si="44"/>
        <v>0</v>
      </c>
      <c r="TY61" s="11">
        <v>28</v>
      </c>
      <c r="TZ61" s="11">
        <v>0</v>
      </c>
      <c r="UA61" s="11">
        <v>0</v>
      </c>
    </row>
    <row r="62" spans="1:547" ht="16" customHeight="1" x14ac:dyDescent="0.35">
      <c r="A62" s="11" t="s">
        <v>1371</v>
      </c>
      <c r="B62" s="11">
        <v>16113</v>
      </c>
      <c r="C62" s="11">
        <v>5530</v>
      </c>
      <c r="D62" s="11">
        <v>1279</v>
      </c>
      <c r="E62" s="11">
        <v>9304</v>
      </c>
      <c r="F62" s="11">
        <v>105</v>
      </c>
      <c r="G62" s="11">
        <v>82</v>
      </c>
      <c r="H62" s="11">
        <v>93</v>
      </c>
      <c r="I62" s="11">
        <v>96</v>
      </c>
      <c r="J62" s="11">
        <v>116</v>
      </c>
      <c r="K62" s="11">
        <v>70</v>
      </c>
      <c r="L62" s="11">
        <v>84</v>
      </c>
      <c r="M62" s="11">
        <v>73</v>
      </c>
      <c r="N62" s="11">
        <v>47</v>
      </c>
      <c r="O62" s="11">
        <v>39</v>
      </c>
      <c r="P62" s="11" t="s">
        <v>2865</v>
      </c>
      <c r="Q62" s="11">
        <v>55</v>
      </c>
      <c r="R62" s="11">
        <v>40</v>
      </c>
      <c r="S62" s="26">
        <f t="shared" si="0"/>
        <v>900</v>
      </c>
      <c r="T62" s="11">
        <v>61</v>
      </c>
      <c r="U62" s="11">
        <v>53</v>
      </c>
      <c r="V62" s="11">
        <v>57</v>
      </c>
      <c r="W62" s="11">
        <v>59</v>
      </c>
      <c r="X62" s="11">
        <v>57</v>
      </c>
      <c r="Y62" s="11">
        <v>51</v>
      </c>
      <c r="Z62" s="11">
        <v>47</v>
      </c>
      <c r="AA62" s="11">
        <v>52</v>
      </c>
      <c r="AB62" s="11">
        <v>28</v>
      </c>
      <c r="AC62" s="11">
        <v>25</v>
      </c>
      <c r="AD62" s="11">
        <v>16</v>
      </c>
      <c r="AE62" s="11">
        <v>20</v>
      </c>
      <c r="AF62" s="26">
        <f t="shared" si="1"/>
        <v>526</v>
      </c>
      <c r="AG62" s="11">
        <v>55</v>
      </c>
      <c r="AH62" s="11">
        <v>32</v>
      </c>
      <c r="AI62" s="11">
        <v>36</v>
      </c>
      <c r="AJ62" s="11">
        <v>38</v>
      </c>
      <c r="AK62" s="11">
        <v>81</v>
      </c>
      <c r="AL62" s="11">
        <v>19</v>
      </c>
      <c r="AM62" s="11">
        <v>36</v>
      </c>
      <c r="AN62" s="11">
        <v>27</v>
      </c>
      <c r="AO62" s="11">
        <v>19</v>
      </c>
      <c r="AP62" s="11">
        <v>22</v>
      </c>
      <c r="AQ62" s="11">
        <v>39</v>
      </c>
      <c r="AR62" s="11">
        <v>20</v>
      </c>
      <c r="AS62" s="26">
        <f t="shared" si="2"/>
        <v>424</v>
      </c>
      <c r="AT62" s="11">
        <v>30</v>
      </c>
      <c r="AU62" s="11">
        <v>25</v>
      </c>
      <c r="AV62" s="11">
        <v>19</v>
      </c>
      <c r="AW62" s="11">
        <v>21</v>
      </c>
      <c r="AX62" s="11">
        <v>45</v>
      </c>
      <c r="AY62" s="11">
        <v>16</v>
      </c>
      <c r="AZ62" s="11">
        <v>26</v>
      </c>
      <c r="BA62" s="11">
        <v>22</v>
      </c>
      <c r="BB62" s="11">
        <v>12</v>
      </c>
      <c r="BC62" s="11">
        <v>18</v>
      </c>
      <c r="BD62" s="11">
        <v>18</v>
      </c>
      <c r="BE62" s="11">
        <v>10</v>
      </c>
      <c r="BF62" s="26">
        <f t="shared" si="3"/>
        <v>262</v>
      </c>
      <c r="BG62" s="11">
        <v>10</v>
      </c>
      <c r="BH62" s="11">
        <v>3</v>
      </c>
      <c r="BI62" s="11">
        <v>0</v>
      </c>
      <c r="BJ62" s="11">
        <v>2</v>
      </c>
      <c r="BK62" s="11">
        <v>22</v>
      </c>
      <c r="BL62" s="11">
        <v>0</v>
      </c>
      <c r="BM62" s="11">
        <v>0</v>
      </c>
      <c r="BN62" s="11">
        <v>8</v>
      </c>
      <c r="BO62" s="11">
        <v>0</v>
      </c>
      <c r="BP62" s="11">
        <v>8</v>
      </c>
      <c r="BQ62" s="11">
        <v>0</v>
      </c>
      <c r="BR62" s="11">
        <v>0</v>
      </c>
      <c r="BS62" s="26">
        <f t="shared" si="4"/>
        <v>53</v>
      </c>
      <c r="BT62" s="11">
        <v>0</v>
      </c>
      <c r="BU62" s="11">
        <v>0</v>
      </c>
      <c r="BV62" s="11">
        <v>0</v>
      </c>
      <c r="BW62" s="11">
        <v>0</v>
      </c>
      <c r="BX62" s="11">
        <v>0</v>
      </c>
      <c r="BY62" s="11">
        <v>0</v>
      </c>
      <c r="BZ62" s="11">
        <v>0</v>
      </c>
      <c r="CA62" s="11">
        <v>0</v>
      </c>
      <c r="CB62" s="11">
        <v>0</v>
      </c>
      <c r="CC62" s="11">
        <v>0</v>
      </c>
      <c r="CD62" s="11">
        <v>0</v>
      </c>
      <c r="CE62" s="11">
        <v>0</v>
      </c>
      <c r="CF62" s="26">
        <f t="shared" si="5"/>
        <v>0</v>
      </c>
      <c r="CG62" s="11">
        <v>0</v>
      </c>
      <c r="CH62" s="11">
        <v>0</v>
      </c>
      <c r="CI62" s="11">
        <v>0</v>
      </c>
      <c r="CJ62" s="11">
        <v>0</v>
      </c>
      <c r="CK62" s="11">
        <v>0</v>
      </c>
      <c r="CL62" s="11">
        <v>0</v>
      </c>
      <c r="CM62" s="11">
        <v>0</v>
      </c>
      <c r="CN62" s="11">
        <v>0</v>
      </c>
      <c r="CO62" s="11">
        <v>0</v>
      </c>
      <c r="CP62" s="11">
        <v>0</v>
      </c>
      <c r="CQ62" s="11">
        <v>0</v>
      </c>
      <c r="CR62" s="11">
        <v>0</v>
      </c>
      <c r="CS62" s="26">
        <f t="shared" si="6"/>
        <v>0</v>
      </c>
      <c r="CT62" s="11">
        <v>0</v>
      </c>
      <c r="CU62" s="11">
        <v>0</v>
      </c>
      <c r="CV62" s="11">
        <v>0</v>
      </c>
      <c r="CW62" s="11">
        <v>0</v>
      </c>
      <c r="CX62" s="11">
        <v>0</v>
      </c>
      <c r="CY62" s="11">
        <v>0</v>
      </c>
      <c r="CZ62" s="11">
        <v>0</v>
      </c>
      <c r="DA62" s="11">
        <v>0</v>
      </c>
      <c r="DB62" s="11">
        <v>0</v>
      </c>
      <c r="DC62" s="11">
        <v>0</v>
      </c>
      <c r="DD62" s="11">
        <v>0</v>
      </c>
      <c r="DE62" s="11">
        <v>0</v>
      </c>
      <c r="DF62" s="26">
        <f t="shared" si="7"/>
        <v>0</v>
      </c>
      <c r="DG62" s="11">
        <v>0</v>
      </c>
      <c r="DH62" s="11">
        <v>0</v>
      </c>
      <c r="DI62" s="11">
        <v>0</v>
      </c>
      <c r="DJ62" s="11">
        <v>0</v>
      </c>
      <c r="DK62" s="11">
        <v>0</v>
      </c>
      <c r="DL62" s="11">
        <v>0</v>
      </c>
      <c r="DM62" s="11">
        <v>0</v>
      </c>
      <c r="DN62" s="11">
        <v>0</v>
      </c>
      <c r="DO62" s="11">
        <v>0</v>
      </c>
      <c r="DP62" s="11">
        <v>0</v>
      </c>
      <c r="DQ62" s="11">
        <v>0</v>
      </c>
      <c r="DR62" s="11">
        <v>0</v>
      </c>
      <c r="DS62" s="26">
        <f t="shared" si="8"/>
        <v>0</v>
      </c>
      <c r="DT62" s="11">
        <v>0</v>
      </c>
      <c r="DU62" s="11">
        <v>0</v>
      </c>
      <c r="DV62" s="11">
        <v>0</v>
      </c>
      <c r="DW62" s="11">
        <v>0</v>
      </c>
      <c r="DX62" s="11">
        <v>0</v>
      </c>
      <c r="DY62" s="11">
        <v>0</v>
      </c>
      <c r="DZ62" s="11">
        <v>0</v>
      </c>
      <c r="EA62" s="11">
        <v>0</v>
      </c>
      <c r="EB62" s="11">
        <v>0</v>
      </c>
      <c r="EC62" s="11">
        <v>0</v>
      </c>
      <c r="ED62" s="11">
        <v>0</v>
      </c>
      <c r="EE62" s="11">
        <v>0</v>
      </c>
      <c r="EF62" s="26">
        <f t="shared" si="9"/>
        <v>0</v>
      </c>
      <c r="EG62" s="9">
        <f t="shared" si="10"/>
        <v>1265</v>
      </c>
      <c r="EH62" s="9">
        <f t="shared" si="11"/>
        <v>0</v>
      </c>
      <c r="EI62" s="11">
        <v>0</v>
      </c>
      <c r="EJ62" s="11">
        <v>0</v>
      </c>
      <c r="EK62" s="11">
        <v>0</v>
      </c>
      <c r="EL62" s="11">
        <v>0</v>
      </c>
      <c r="EM62" s="11">
        <v>0</v>
      </c>
      <c r="EN62" s="11">
        <v>0</v>
      </c>
      <c r="EO62" s="11">
        <v>0</v>
      </c>
      <c r="EP62" s="11">
        <v>0</v>
      </c>
      <c r="EQ62" s="11">
        <v>0</v>
      </c>
      <c r="ER62" s="11">
        <v>0</v>
      </c>
      <c r="ES62" s="11">
        <v>0</v>
      </c>
      <c r="ET62" s="11">
        <v>0</v>
      </c>
      <c r="EU62" s="26">
        <f t="shared" si="12"/>
        <v>0</v>
      </c>
      <c r="EV62" s="11">
        <v>0</v>
      </c>
      <c r="EW62" s="11">
        <v>0</v>
      </c>
      <c r="EX62" s="11">
        <v>0</v>
      </c>
      <c r="EY62" s="11">
        <v>0</v>
      </c>
      <c r="EZ62" s="11">
        <v>0</v>
      </c>
      <c r="FA62" s="11">
        <v>0</v>
      </c>
      <c r="FB62" s="11">
        <v>0</v>
      </c>
      <c r="FC62" s="11">
        <v>0</v>
      </c>
      <c r="FD62" s="11">
        <v>0</v>
      </c>
      <c r="FE62" s="11">
        <v>0</v>
      </c>
      <c r="FF62" s="11">
        <v>0</v>
      </c>
      <c r="FG62" s="11">
        <v>0</v>
      </c>
      <c r="FH62" s="26">
        <f t="shared" si="13"/>
        <v>0</v>
      </c>
      <c r="FI62" s="11">
        <v>0</v>
      </c>
      <c r="FJ62" s="11">
        <v>0</v>
      </c>
      <c r="FK62" s="11">
        <v>0</v>
      </c>
      <c r="FL62" s="11">
        <v>0</v>
      </c>
      <c r="FM62" s="11">
        <v>0</v>
      </c>
      <c r="FN62" s="11">
        <v>0</v>
      </c>
      <c r="FO62" s="11">
        <v>0</v>
      </c>
      <c r="FP62" s="11">
        <v>0</v>
      </c>
      <c r="FQ62" s="11">
        <v>0</v>
      </c>
      <c r="FR62" s="11">
        <v>0</v>
      </c>
      <c r="FS62" s="11">
        <v>0</v>
      </c>
      <c r="FT62" s="11">
        <v>0</v>
      </c>
      <c r="FU62" s="26">
        <f t="shared" si="14"/>
        <v>0</v>
      </c>
      <c r="FV62" s="11">
        <v>0</v>
      </c>
      <c r="FW62" s="11">
        <v>0</v>
      </c>
      <c r="FX62" s="11">
        <v>0</v>
      </c>
      <c r="FY62" s="11">
        <v>0</v>
      </c>
      <c r="FZ62" s="11">
        <v>0</v>
      </c>
      <c r="GA62" s="11">
        <v>0</v>
      </c>
      <c r="GB62" s="11">
        <v>0</v>
      </c>
      <c r="GC62" s="11">
        <v>0</v>
      </c>
      <c r="GD62" s="11">
        <v>0</v>
      </c>
      <c r="GE62" s="11">
        <v>0</v>
      </c>
      <c r="GF62" s="11">
        <v>0</v>
      </c>
      <c r="GG62" s="11">
        <v>0</v>
      </c>
      <c r="GH62" s="26">
        <f t="shared" si="15"/>
        <v>0</v>
      </c>
      <c r="GI62" s="11">
        <v>0</v>
      </c>
      <c r="GJ62" s="11">
        <v>0</v>
      </c>
      <c r="GK62" s="11">
        <v>0</v>
      </c>
      <c r="GL62" s="11">
        <v>0</v>
      </c>
      <c r="GM62" s="11">
        <v>0</v>
      </c>
      <c r="GN62" s="11">
        <v>0</v>
      </c>
      <c r="GO62" s="11">
        <v>0</v>
      </c>
      <c r="GP62" s="11">
        <v>0</v>
      </c>
      <c r="GQ62" s="11">
        <v>0</v>
      </c>
      <c r="GR62" s="11">
        <v>0</v>
      </c>
      <c r="GS62" s="11">
        <v>0</v>
      </c>
      <c r="GT62" s="11">
        <v>0</v>
      </c>
      <c r="GU62" s="26">
        <f t="shared" si="16"/>
        <v>0</v>
      </c>
      <c r="GV62" s="11">
        <v>0</v>
      </c>
      <c r="GW62" s="11">
        <v>0</v>
      </c>
      <c r="GX62" s="11">
        <v>0</v>
      </c>
      <c r="GY62" s="11">
        <v>0</v>
      </c>
      <c r="GZ62" s="11">
        <v>0</v>
      </c>
      <c r="HA62" s="11">
        <v>0</v>
      </c>
      <c r="HB62" s="11">
        <v>0</v>
      </c>
      <c r="HC62" s="11">
        <v>0</v>
      </c>
      <c r="HD62" s="11">
        <v>0</v>
      </c>
      <c r="HE62" s="11">
        <v>0</v>
      </c>
      <c r="HF62" s="11">
        <v>0</v>
      </c>
      <c r="HG62" s="11">
        <v>0</v>
      </c>
      <c r="HH62" s="26">
        <f t="shared" si="17"/>
        <v>0</v>
      </c>
      <c r="HI62" s="11">
        <v>0</v>
      </c>
      <c r="HJ62" s="11">
        <v>0</v>
      </c>
      <c r="HK62" s="11">
        <v>0</v>
      </c>
      <c r="HL62" s="11">
        <v>0</v>
      </c>
      <c r="HM62" s="11">
        <v>0</v>
      </c>
      <c r="HN62" s="11">
        <v>0</v>
      </c>
      <c r="HO62" s="11">
        <v>0</v>
      </c>
      <c r="HP62" s="11">
        <v>0</v>
      </c>
      <c r="HQ62" s="11">
        <v>0</v>
      </c>
      <c r="HR62" s="11">
        <v>0</v>
      </c>
      <c r="HS62" s="11">
        <v>0</v>
      </c>
      <c r="HT62" s="11">
        <v>0</v>
      </c>
      <c r="HU62" s="26">
        <f t="shared" si="18"/>
        <v>0</v>
      </c>
      <c r="HV62" s="11">
        <v>0</v>
      </c>
      <c r="HW62" s="11">
        <v>0</v>
      </c>
      <c r="HX62" s="11">
        <v>0</v>
      </c>
      <c r="HY62" s="11">
        <v>0</v>
      </c>
      <c r="HZ62" s="11">
        <v>0</v>
      </c>
      <c r="IA62" s="11">
        <v>0</v>
      </c>
      <c r="IB62" s="11">
        <v>0</v>
      </c>
      <c r="IC62" s="11">
        <v>0</v>
      </c>
      <c r="ID62" s="11">
        <v>0</v>
      </c>
      <c r="IE62" s="11">
        <v>0</v>
      </c>
      <c r="IF62" s="11">
        <v>0</v>
      </c>
      <c r="IG62" s="11">
        <v>0</v>
      </c>
      <c r="IH62" s="26">
        <f t="shared" si="19"/>
        <v>0</v>
      </c>
      <c r="II62" s="9">
        <f t="shared" si="20"/>
        <v>0</v>
      </c>
      <c r="IJ62" s="9">
        <f t="shared" si="21"/>
        <v>0</v>
      </c>
      <c r="IK62" s="11">
        <v>13658</v>
      </c>
      <c r="IL62" s="11">
        <v>12638</v>
      </c>
      <c r="IM62" s="11">
        <v>11305</v>
      </c>
      <c r="IN62" s="11">
        <v>16337</v>
      </c>
      <c r="IO62" s="11">
        <v>17104</v>
      </c>
      <c r="IP62" s="11">
        <v>12248</v>
      </c>
      <c r="IQ62" s="11">
        <v>13903</v>
      </c>
      <c r="IR62" s="11">
        <v>12275</v>
      </c>
      <c r="IS62" s="11">
        <v>9170</v>
      </c>
      <c r="IT62" s="11">
        <v>11938</v>
      </c>
      <c r="IU62" s="11">
        <v>11502</v>
      </c>
      <c r="IV62" s="11">
        <v>12107</v>
      </c>
      <c r="IW62" s="27">
        <f t="shared" si="22"/>
        <v>154185</v>
      </c>
      <c r="IX62" s="11">
        <v>8105</v>
      </c>
      <c r="IY62" s="11">
        <v>7566</v>
      </c>
      <c r="IZ62" s="11">
        <v>6846</v>
      </c>
      <c r="JA62" s="11">
        <v>7845</v>
      </c>
      <c r="JB62" s="11">
        <v>8211</v>
      </c>
      <c r="JC62" s="11">
        <v>7102</v>
      </c>
      <c r="JD62" s="11">
        <v>7751</v>
      </c>
      <c r="JE62" s="11">
        <v>6962</v>
      </c>
      <c r="JF62" s="11">
        <v>6237</v>
      </c>
      <c r="JG62" s="11">
        <v>7157</v>
      </c>
      <c r="JH62" s="11">
        <v>6483</v>
      </c>
      <c r="JI62" s="11">
        <v>7135</v>
      </c>
      <c r="JJ62" s="27">
        <f t="shared" si="23"/>
        <v>87400</v>
      </c>
      <c r="JK62" s="11">
        <v>5487</v>
      </c>
      <c r="JL62" s="11">
        <v>5018</v>
      </c>
      <c r="JM62" s="11">
        <v>4416</v>
      </c>
      <c r="JN62" s="11">
        <v>8394</v>
      </c>
      <c r="JO62" s="11">
        <v>8804</v>
      </c>
      <c r="JP62" s="11">
        <v>5099</v>
      </c>
      <c r="JQ62" s="11">
        <v>6068</v>
      </c>
      <c r="JR62" s="11">
        <v>5255</v>
      </c>
      <c r="JS62" s="11">
        <v>2898</v>
      </c>
      <c r="JT62" s="11">
        <v>4726</v>
      </c>
      <c r="JU62" s="11">
        <v>4975</v>
      </c>
      <c r="JV62" s="11">
        <v>4912</v>
      </c>
      <c r="JW62" s="27">
        <f t="shared" si="24"/>
        <v>66052</v>
      </c>
      <c r="JX62" s="11">
        <v>66</v>
      </c>
      <c r="JY62" s="11">
        <v>54</v>
      </c>
      <c r="JZ62" s="11">
        <v>43</v>
      </c>
      <c r="KA62" s="11">
        <v>98</v>
      </c>
      <c r="KB62" s="11">
        <v>89</v>
      </c>
      <c r="KC62" s="11">
        <v>47</v>
      </c>
      <c r="KD62" s="11">
        <v>84</v>
      </c>
      <c r="KE62" s="11">
        <v>58</v>
      </c>
      <c r="KF62" s="11">
        <v>35</v>
      </c>
      <c r="KG62" s="11">
        <v>55</v>
      </c>
      <c r="KH62" s="11">
        <v>44</v>
      </c>
      <c r="KI62" s="11">
        <v>60</v>
      </c>
      <c r="KJ62" s="27">
        <f t="shared" si="25"/>
        <v>733</v>
      </c>
      <c r="KK62" s="11">
        <v>267</v>
      </c>
      <c r="KL62" s="11">
        <v>251</v>
      </c>
      <c r="KM62" s="11">
        <v>211</v>
      </c>
      <c r="KN62" s="11">
        <v>263</v>
      </c>
      <c r="KO62" s="11">
        <v>254</v>
      </c>
      <c r="KP62" s="11">
        <v>188</v>
      </c>
      <c r="KQ62" s="11">
        <v>285</v>
      </c>
      <c r="KR62" s="11">
        <v>202</v>
      </c>
      <c r="KS62" s="11">
        <v>235</v>
      </c>
      <c r="KT62" s="11">
        <v>206</v>
      </c>
      <c r="KU62" s="11">
        <v>151</v>
      </c>
      <c r="KV62" s="11">
        <v>159</v>
      </c>
      <c r="KW62" s="27">
        <f t="shared" si="26"/>
        <v>2672</v>
      </c>
      <c r="KX62" s="11">
        <v>266</v>
      </c>
      <c r="KY62" s="11">
        <v>249</v>
      </c>
      <c r="KZ62" s="11">
        <v>210</v>
      </c>
      <c r="LA62" s="11">
        <v>256</v>
      </c>
      <c r="LB62" s="11">
        <v>253</v>
      </c>
      <c r="LC62" s="11">
        <v>187</v>
      </c>
      <c r="LD62" s="11">
        <v>282</v>
      </c>
      <c r="LE62" s="11">
        <v>202</v>
      </c>
      <c r="LF62" s="11">
        <v>235</v>
      </c>
      <c r="LG62" s="11">
        <v>205</v>
      </c>
      <c r="LH62" s="11">
        <v>151</v>
      </c>
      <c r="LI62" s="11">
        <v>157</v>
      </c>
      <c r="LJ62" s="27">
        <f t="shared" si="27"/>
        <v>2653</v>
      </c>
      <c r="LK62" s="11">
        <v>1</v>
      </c>
      <c r="LL62" s="11">
        <v>2</v>
      </c>
      <c r="LM62" s="11">
        <v>1</v>
      </c>
      <c r="LN62" s="11">
        <v>7</v>
      </c>
      <c r="LO62" s="11">
        <v>1</v>
      </c>
      <c r="LP62" s="11">
        <v>1</v>
      </c>
      <c r="LQ62" s="11">
        <v>3</v>
      </c>
      <c r="LR62" s="11">
        <v>0</v>
      </c>
      <c r="LS62" s="11">
        <v>0</v>
      </c>
      <c r="LT62" s="11">
        <v>1</v>
      </c>
      <c r="LU62" s="11">
        <v>0</v>
      </c>
      <c r="LV62" s="11">
        <v>2</v>
      </c>
      <c r="LW62" s="27">
        <f t="shared" si="28"/>
        <v>19</v>
      </c>
      <c r="LX62" s="11">
        <v>0</v>
      </c>
      <c r="LY62" s="11">
        <v>0</v>
      </c>
      <c r="LZ62" s="11">
        <v>0</v>
      </c>
      <c r="MA62" s="11">
        <v>0</v>
      </c>
      <c r="MB62" s="11">
        <v>0</v>
      </c>
      <c r="MC62" s="11">
        <v>0</v>
      </c>
      <c r="MD62" s="11">
        <v>0</v>
      </c>
      <c r="ME62" s="11">
        <v>0</v>
      </c>
      <c r="MF62" s="11">
        <v>0</v>
      </c>
      <c r="MG62" s="11">
        <v>0</v>
      </c>
      <c r="MH62" s="11">
        <v>0</v>
      </c>
      <c r="MI62" s="11">
        <v>0</v>
      </c>
      <c r="MJ62" s="27">
        <f t="shared" si="29"/>
        <v>0</v>
      </c>
      <c r="MK62" s="11">
        <v>2145</v>
      </c>
      <c r="ML62" s="11">
        <v>2163</v>
      </c>
      <c r="MM62" s="11">
        <v>2049</v>
      </c>
      <c r="MN62" s="11">
        <v>2163</v>
      </c>
      <c r="MO62" s="11">
        <v>2261</v>
      </c>
      <c r="MP62" s="11">
        <v>2083</v>
      </c>
      <c r="MQ62" s="11">
        <v>2128</v>
      </c>
      <c r="MR62" s="11">
        <v>1973</v>
      </c>
      <c r="MS62" s="11">
        <v>2017</v>
      </c>
      <c r="MT62" s="11">
        <v>2123</v>
      </c>
      <c r="MU62" s="11">
        <v>1928</v>
      </c>
      <c r="MV62" s="11">
        <v>2129</v>
      </c>
      <c r="MW62" s="27">
        <f t="shared" si="30"/>
        <v>25162</v>
      </c>
      <c r="MX62" s="11">
        <v>1967</v>
      </c>
      <c r="MY62" s="11">
        <v>1972</v>
      </c>
      <c r="MZ62" s="11">
        <v>1875</v>
      </c>
      <c r="NA62" s="11">
        <v>1966</v>
      </c>
      <c r="NB62" s="11">
        <v>2046</v>
      </c>
      <c r="NC62" s="11">
        <v>1928</v>
      </c>
      <c r="ND62" s="11">
        <v>1936</v>
      </c>
      <c r="NE62" s="11">
        <v>1769</v>
      </c>
      <c r="NF62" s="11">
        <v>1836</v>
      </c>
      <c r="NG62" s="11">
        <v>1972</v>
      </c>
      <c r="NH62" s="11">
        <v>1765</v>
      </c>
      <c r="NI62" s="11">
        <v>1929</v>
      </c>
      <c r="NJ62" s="27">
        <f t="shared" si="31"/>
        <v>22961</v>
      </c>
      <c r="NK62" s="11">
        <v>122</v>
      </c>
      <c r="NL62" s="11">
        <v>125</v>
      </c>
      <c r="NM62" s="11">
        <v>110</v>
      </c>
      <c r="NN62" s="11">
        <v>106</v>
      </c>
      <c r="NO62" s="11">
        <v>135</v>
      </c>
      <c r="NP62" s="11">
        <v>103</v>
      </c>
      <c r="NQ62" s="11">
        <v>132</v>
      </c>
      <c r="NR62" s="11">
        <v>141</v>
      </c>
      <c r="NS62" s="11">
        <v>117</v>
      </c>
      <c r="NT62" s="11">
        <v>97</v>
      </c>
      <c r="NU62" s="11">
        <v>103</v>
      </c>
      <c r="NV62" s="11">
        <v>124</v>
      </c>
      <c r="NW62" s="27">
        <f t="shared" si="32"/>
        <v>1415</v>
      </c>
      <c r="NX62" s="11">
        <v>56</v>
      </c>
      <c r="NY62" s="11">
        <v>66</v>
      </c>
      <c r="NZ62" s="11">
        <v>64</v>
      </c>
      <c r="OA62" s="11">
        <v>91</v>
      </c>
      <c r="OB62" s="11">
        <v>80</v>
      </c>
      <c r="OC62" s="11">
        <v>52</v>
      </c>
      <c r="OD62" s="11">
        <v>60</v>
      </c>
      <c r="OE62" s="11">
        <v>63</v>
      </c>
      <c r="OF62" s="11">
        <v>64</v>
      </c>
      <c r="OG62" s="11">
        <v>54</v>
      </c>
      <c r="OH62" s="11">
        <v>60</v>
      </c>
      <c r="OI62" s="11">
        <v>67</v>
      </c>
      <c r="OJ62" s="27">
        <f t="shared" si="33"/>
        <v>777</v>
      </c>
      <c r="OK62" s="11">
        <v>2380</v>
      </c>
      <c r="OL62" s="11">
        <v>2429</v>
      </c>
      <c r="OM62" s="11">
        <v>2435</v>
      </c>
      <c r="ON62" s="11">
        <v>2468</v>
      </c>
      <c r="OO62" s="11">
        <v>2760</v>
      </c>
      <c r="OP62" s="11">
        <v>2496</v>
      </c>
      <c r="OQ62" s="11">
        <v>2748</v>
      </c>
      <c r="OR62" s="11">
        <v>2646</v>
      </c>
      <c r="OS62" s="11">
        <v>2447</v>
      </c>
      <c r="OT62" s="11">
        <v>2743</v>
      </c>
      <c r="OU62" s="11">
        <v>2611</v>
      </c>
      <c r="OV62" s="11">
        <v>2687</v>
      </c>
      <c r="OW62" s="27">
        <f t="shared" si="34"/>
        <v>30850</v>
      </c>
      <c r="OX62" s="11">
        <v>2053</v>
      </c>
      <c r="OY62" s="11">
        <v>2127</v>
      </c>
      <c r="OZ62" s="11">
        <v>2124</v>
      </c>
      <c r="PA62" s="11">
        <v>2151</v>
      </c>
      <c r="PB62" s="11">
        <v>2337</v>
      </c>
      <c r="PC62" s="11">
        <v>2201</v>
      </c>
      <c r="PD62" s="11">
        <v>2375</v>
      </c>
      <c r="PE62" s="11">
        <v>2250</v>
      </c>
      <c r="PF62" s="11">
        <v>2116</v>
      </c>
      <c r="PG62" s="11">
        <v>2418</v>
      </c>
      <c r="PH62" s="11">
        <v>2295</v>
      </c>
      <c r="PI62" s="11">
        <v>2344</v>
      </c>
      <c r="PJ62" s="27">
        <f t="shared" si="35"/>
        <v>26791</v>
      </c>
      <c r="PK62" s="11">
        <v>271</v>
      </c>
      <c r="PL62" s="11">
        <v>243</v>
      </c>
      <c r="PM62" s="11">
        <v>246</v>
      </c>
      <c r="PN62" s="11">
        <v>232</v>
      </c>
      <c r="PO62" s="11">
        <v>356</v>
      </c>
      <c r="PP62" s="11">
        <v>235</v>
      </c>
      <c r="PQ62" s="11">
        <v>302</v>
      </c>
      <c r="PR62" s="11">
        <v>326</v>
      </c>
      <c r="PS62" s="11">
        <v>289</v>
      </c>
      <c r="PT62" s="11">
        <v>248</v>
      </c>
      <c r="PU62" s="11">
        <v>256</v>
      </c>
      <c r="PV62" s="11">
        <v>271</v>
      </c>
      <c r="PW62" s="27">
        <f t="shared" si="36"/>
        <v>3275</v>
      </c>
      <c r="PX62" s="11">
        <v>56</v>
      </c>
      <c r="PY62" s="11">
        <v>59</v>
      </c>
      <c r="PZ62" s="11">
        <v>65</v>
      </c>
      <c r="QA62" s="11">
        <v>85</v>
      </c>
      <c r="QB62" s="11">
        <v>67</v>
      </c>
      <c r="QC62" s="11">
        <v>60</v>
      </c>
      <c r="QD62" s="11">
        <v>71</v>
      </c>
      <c r="QE62" s="11">
        <v>70</v>
      </c>
      <c r="QF62" s="11">
        <v>42</v>
      </c>
      <c r="QG62" s="11">
        <v>77</v>
      </c>
      <c r="QH62" s="11">
        <v>60</v>
      </c>
      <c r="QI62" s="11">
        <v>72</v>
      </c>
      <c r="QJ62" s="27">
        <f t="shared" si="37"/>
        <v>784</v>
      </c>
      <c r="QK62" s="11">
        <v>1587</v>
      </c>
      <c r="QL62" s="11">
        <v>1951</v>
      </c>
      <c r="QM62" s="11">
        <v>1733</v>
      </c>
      <c r="QN62" s="11">
        <v>1809</v>
      </c>
      <c r="QO62" s="11">
        <v>1925</v>
      </c>
      <c r="QP62" s="11">
        <v>2316</v>
      </c>
      <c r="QQ62" s="11">
        <v>1976</v>
      </c>
      <c r="QR62" s="11">
        <v>2403</v>
      </c>
      <c r="QS62" s="11">
        <v>1313</v>
      </c>
      <c r="QT62" s="11">
        <v>2231</v>
      </c>
      <c r="QU62" s="11">
        <v>1622</v>
      </c>
      <c r="QV62" s="11">
        <v>1813</v>
      </c>
      <c r="QW62" s="27">
        <f t="shared" si="38"/>
        <v>22679</v>
      </c>
      <c r="QX62" s="11">
        <v>32132</v>
      </c>
      <c r="QY62" s="11">
        <v>29822</v>
      </c>
      <c r="QZ62" s="11">
        <v>27562</v>
      </c>
      <c r="RA62" s="11">
        <v>29244</v>
      </c>
      <c r="RB62" s="11">
        <v>38820</v>
      </c>
      <c r="RC62" s="11">
        <v>39681</v>
      </c>
      <c r="RD62" s="11">
        <v>43531</v>
      </c>
      <c r="RE62" s="11">
        <v>40546</v>
      </c>
      <c r="RF62" s="11">
        <v>30436</v>
      </c>
      <c r="RG62" s="11">
        <v>42317</v>
      </c>
      <c r="RH62" s="11">
        <v>39091</v>
      </c>
      <c r="RI62" s="11">
        <v>39533</v>
      </c>
      <c r="RJ62" s="27">
        <f t="shared" si="39"/>
        <v>432715</v>
      </c>
      <c r="RK62" s="11">
        <v>0</v>
      </c>
      <c r="RL62" s="11">
        <v>0</v>
      </c>
      <c r="RM62" s="11">
        <v>0</v>
      </c>
      <c r="RN62" s="11">
        <v>0</v>
      </c>
      <c r="RO62" s="11">
        <v>0</v>
      </c>
      <c r="RP62" s="11">
        <v>0</v>
      </c>
      <c r="RQ62" s="11">
        <v>0</v>
      </c>
      <c r="RR62" s="11">
        <v>0</v>
      </c>
      <c r="RS62" s="11">
        <v>0</v>
      </c>
      <c r="RT62" s="11">
        <v>0</v>
      </c>
      <c r="RU62" s="11">
        <v>0</v>
      </c>
      <c r="RV62" s="11">
        <v>0</v>
      </c>
      <c r="RW62" s="27">
        <f t="shared" si="40"/>
        <v>0</v>
      </c>
      <c r="RX62" s="11">
        <v>676</v>
      </c>
      <c r="RY62" s="11">
        <v>802</v>
      </c>
      <c r="RZ62" s="11">
        <v>803</v>
      </c>
      <c r="SA62" s="11">
        <v>460</v>
      </c>
      <c r="SB62" s="11">
        <v>471</v>
      </c>
      <c r="SC62" s="11">
        <v>1190</v>
      </c>
      <c r="SD62" s="11">
        <v>733</v>
      </c>
      <c r="SE62" s="11">
        <v>864</v>
      </c>
      <c r="SF62" s="11">
        <v>558</v>
      </c>
      <c r="SG62" s="11">
        <v>876</v>
      </c>
      <c r="SH62" s="11">
        <v>482</v>
      </c>
      <c r="SI62" s="11">
        <v>529</v>
      </c>
      <c r="SJ62" s="27">
        <f t="shared" si="41"/>
        <v>8444</v>
      </c>
      <c r="SK62" s="11">
        <v>134</v>
      </c>
      <c r="SL62" s="11">
        <v>97</v>
      </c>
      <c r="SM62" s="11">
        <v>101</v>
      </c>
      <c r="SN62" s="11">
        <v>114</v>
      </c>
      <c r="SO62" s="11">
        <v>139</v>
      </c>
      <c r="SP62" s="11">
        <v>173</v>
      </c>
      <c r="SQ62" s="11">
        <v>126</v>
      </c>
      <c r="SR62" s="11">
        <v>125</v>
      </c>
      <c r="SS62" s="11">
        <v>82</v>
      </c>
      <c r="ST62" s="11">
        <v>129</v>
      </c>
      <c r="SU62" s="11">
        <v>62</v>
      </c>
      <c r="SV62" s="11">
        <v>120</v>
      </c>
      <c r="SW62" s="27">
        <f t="shared" si="42"/>
        <v>1402</v>
      </c>
      <c r="SX62" s="11" t="s">
        <v>2702</v>
      </c>
      <c r="SY62" s="11">
        <v>899</v>
      </c>
      <c r="SZ62" s="11">
        <v>828</v>
      </c>
      <c r="TA62" s="11">
        <v>713</v>
      </c>
      <c r="TB62" s="11">
        <v>775</v>
      </c>
      <c r="TC62" s="11">
        <v>766</v>
      </c>
      <c r="TD62" s="11">
        <v>749</v>
      </c>
      <c r="TE62" s="11">
        <v>757</v>
      </c>
      <c r="TF62" s="11">
        <v>626</v>
      </c>
      <c r="TG62" s="11">
        <v>501</v>
      </c>
      <c r="TH62" s="11">
        <v>601</v>
      </c>
      <c r="TI62" s="11">
        <v>642</v>
      </c>
      <c r="TJ62" s="11">
        <v>628</v>
      </c>
      <c r="TK62" s="27">
        <f t="shared" si="43"/>
        <v>8485</v>
      </c>
      <c r="TL62" s="11">
        <v>0</v>
      </c>
      <c r="TM62" s="11">
        <v>0</v>
      </c>
      <c r="TN62" s="11">
        <v>0</v>
      </c>
      <c r="TO62" s="11">
        <v>0</v>
      </c>
      <c r="TP62" s="11">
        <v>0</v>
      </c>
      <c r="TQ62" s="11">
        <v>0</v>
      </c>
      <c r="TR62" s="11">
        <v>0</v>
      </c>
      <c r="TS62" s="11">
        <v>0</v>
      </c>
      <c r="TT62" s="11">
        <v>0</v>
      </c>
      <c r="TU62" s="11">
        <v>0</v>
      </c>
      <c r="TV62" s="11">
        <v>0</v>
      </c>
      <c r="TW62" s="11">
        <v>0</v>
      </c>
      <c r="TX62" s="27">
        <f t="shared" si="44"/>
        <v>0</v>
      </c>
      <c r="TY62" s="11">
        <v>39</v>
      </c>
      <c r="TZ62" s="11">
        <v>36</v>
      </c>
      <c r="UA62" s="11">
        <v>789</v>
      </c>
    </row>
    <row r="63" spans="1:547" ht="16" customHeight="1" x14ac:dyDescent="0.35">
      <c r="A63" s="11" t="s">
        <v>1386</v>
      </c>
      <c r="B63" s="11">
        <v>17741</v>
      </c>
      <c r="C63" s="11">
        <v>6592</v>
      </c>
      <c r="D63" s="11">
        <v>10081</v>
      </c>
      <c r="E63" s="11">
        <v>1058</v>
      </c>
      <c r="F63" s="11">
        <v>241</v>
      </c>
      <c r="G63" s="11">
        <v>259</v>
      </c>
      <c r="H63" s="11">
        <v>264</v>
      </c>
      <c r="I63" s="11">
        <v>187</v>
      </c>
      <c r="J63" s="11">
        <v>129</v>
      </c>
      <c r="K63" s="11">
        <v>139</v>
      </c>
      <c r="L63" s="11">
        <v>206</v>
      </c>
      <c r="M63" s="11">
        <v>199</v>
      </c>
      <c r="N63" s="11">
        <v>117</v>
      </c>
      <c r="O63" s="11">
        <v>201</v>
      </c>
      <c r="P63" s="11" t="s">
        <v>2863</v>
      </c>
      <c r="Q63" s="11">
        <v>194</v>
      </c>
      <c r="R63" s="11">
        <v>227</v>
      </c>
      <c r="S63" s="26">
        <f t="shared" si="0"/>
        <v>2363</v>
      </c>
      <c r="T63" s="11">
        <v>0</v>
      </c>
      <c r="U63" s="11">
        <v>0</v>
      </c>
      <c r="V63" s="11">
        <v>0</v>
      </c>
      <c r="W63" s="11">
        <v>0</v>
      </c>
      <c r="X63" s="11">
        <v>0</v>
      </c>
      <c r="Y63" s="11">
        <v>0</v>
      </c>
      <c r="Z63" s="11">
        <v>0</v>
      </c>
      <c r="AA63" s="11">
        <v>0</v>
      </c>
      <c r="AB63" s="11">
        <v>0</v>
      </c>
      <c r="AC63" s="11">
        <v>0</v>
      </c>
      <c r="AD63" s="11">
        <v>0</v>
      </c>
      <c r="AE63" s="11">
        <v>0</v>
      </c>
      <c r="AF63" s="26">
        <f t="shared" si="1"/>
        <v>0</v>
      </c>
      <c r="AG63" s="11">
        <v>0</v>
      </c>
      <c r="AH63" s="11">
        <v>0</v>
      </c>
      <c r="AI63" s="11">
        <v>0</v>
      </c>
      <c r="AJ63" s="11">
        <v>410</v>
      </c>
      <c r="AK63" s="11">
        <v>54</v>
      </c>
      <c r="AL63" s="11">
        <v>3</v>
      </c>
      <c r="AM63" s="11">
        <v>0</v>
      </c>
      <c r="AN63" s="11">
        <v>0</v>
      </c>
      <c r="AO63" s="11">
        <v>0</v>
      </c>
      <c r="AP63" s="11">
        <v>0</v>
      </c>
      <c r="AQ63" s="11">
        <v>0</v>
      </c>
      <c r="AR63" s="11">
        <v>0</v>
      </c>
      <c r="AS63" s="26">
        <f t="shared" si="2"/>
        <v>467</v>
      </c>
      <c r="AT63" s="11">
        <v>0</v>
      </c>
      <c r="AU63" s="11">
        <v>0</v>
      </c>
      <c r="AV63" s="11">
        <v>0</v>
      </c>
      <c r="AW63" s="11">
        <v>0</v>
      </c>
      <c r="AX63" s="11">
        <v>0</v>
      </c>
      <c r="AY63" s="11">
        <v>0</v>
      </c>
      <c r="AZ63" s="11">
        <v>0</v>
      </c>
      <c r="BA63" s="11">
        <v>0</v>
      </c>
      <c r="BB63" s="11">
        <v>0</v>
      </c>
      <c r="BC63" s="11">
        <v>0</v>
      </c>
      <c r="BD63" s="11">
        <v>0</v>
      </c>
      <c r="BE63" s="11">
        <v>0</v>
      </c>
      <c r="BF63" s="26">
        <f t="shared" si="3"/>
        <v>0</v>
      </c>
      <c r="BG63" s="11">
        <v>0</v>
      </c>
      <c r="BH63" s="11">
        <v>0</v>
      </c>
      <c r="BI63" s="11">
        <v>0</v>
      </c>
      <c r="BJ63" s="11">
        <v>0</v>
      </c>
      <c r="BK63" s="11">
        <v>0</v>
      </c>
      <c r="BL63" s="11">
        <v>0</v>
      </c>
      <c r="BM63" s="11">
        <v>0</v>
      </c>
      <c r="BN63" s="11">
        <v>0</v>
      </c>
      <c r="BO63" s="11">
        <v>0</v>
      </c>
      <c r="BP63" s="11">
        <v>0</v>
      </c>
      <c r="BQ63" s="11">
        <v>0</v>
      </c>
      <c r="BR63" s="11">
        <v>0</v>
      </c>
      <c r="BS63" s="26">
        <f t="shared" si="4"/>
        <v>0</v>
      </c>
      <c r="BT63" s="11">
        <v>0</v>
      </c>
      <c r="BU63" s="11">
        <v>0</v>
      </c>
      <c r="BV63" s="11">
        <v>0</v>
      </c>
      <c r="BW63" s="11">
        <v>0</v>
      </c>
      <c r="BX63" s="11">
        <v>0</v>
      </c>
      <c r="BY63" s="11">
        <v>0</v>
      </c>
      <c r="BZ63" s="11">
        <v>0</v>
      </c>
      <c r="CA63" s="11">
        <v>0</v>
      </c>
      <c r="CB63" s="11">
        <v>0</v>
      </c>
      <c r="CC63" s="11">
        <v>0</v>
      </c>
      <c r="CD63" s="11">
        <v>0</v>
      </c>
      <c r="CE63" s="11">
        <v>0</v>
      </c>
      <c r="CF63" s="26">
        <f t="shared" si="5"/>
        <v>0</v>
      </c>
      <c r="CG63" s="11">
        <v>0</v>
      </c>
      <c r="CH63" s="11">
        <v>0</v>
      </c>
      <c r="CI63" s="11">
        <v>0</v>
      </c>
      <c r="CJ63" s="11">
        <v>0</v>
      </c>
      <c r="CK63" s="11">
        <v>0</v>
      </c>
      <c r="CL63" s="11">
        <v>0</v>
      </c>
      <c r="CM63" s="11">
        <v>0</v>
      </c>
      <c r="CN63" s="11">
        <v>0</v>
      </c>
      <c r="CO63" s="11">
        <v>0</v>
      </c>
      <c r="CP63" s="11">
        <v>0</v>
      </c>
      <c r="CQ63" s="11">
        <v>0</v>
      </c>
      <c r="CR63" s="11">
        <v>0</v>
      </c>
      <c r="CS63" s="26">
        <f t="shared" si="6"/>
        <v>0</v>
      </c>
      <c r="CT63" s="11">
        <v>0</v>
      </c>
      <c r="CU63" s="11">
        <v>0</v>
      </c>
      <c r="CV63" s="11">
        <v>0</v>
      </c>
      <c r="CW63" s="11">
        <v>0</v>
      </c>
      <c r="CX63" s="11">
        <v>0</v>
      </c>
      <c r="CY63" s="11">
        <v>0</v>
      </c>
      <c r="CZ63" s="11">
        <v>0</v>
      </c>
      <c r="DA63" s="11">
        <v>0</v>
      </c>
      <c r="DB63" s="11">
        <v>0</v>
      </c>
      <c r="DC63" s="11">
        <v>0</v>
      </c>
      <c r="DD63" s="11">
        <v>0</v>
      </c>
      <c r="DE63" s="11">
        <v>0</v>
      </c>
      <c r="DF63" s="26">
        <f t="shared" si="7"/>
        <v>0</v>
      </c>
      <c r="DG63" s="11">
        <v>0</v>
      </c>
      <c r="DH63" s="11">
        <v>0</v>
      </c>
      <c r="DI63" s="11">
        <v>0</v>
      </c>
      <c r="DJ63" s="11">
        <v>0</v>
      </c>
      <c r="DK63" s="11">
        <v>0</v>
      </c>
      <c r="DL63" s="11">
        <v>0</v>
      </c>
      <c r="DM63" s="11">
        <v>0</v>
      </c>
      <c r="DN63" s="11">
        <v>0</v>
      </c>
      <c r="DO63" s="11">
        <v>0</v>
      </c>
      <c r="DP63" s="11">
        <v>0</v>
      </c>
      <c r="DQ63" s="11">
        <v>0</v>
      </c>
      <c r="DR63" s="11">
        <v>0</v>
      </c>
      <c r="DS63" s="26">
        <f t="shared" si="8"/>
        <v>0</v>
      </c>
      <c r="DT63" s="11">
        <v>0</v>
      </c>
      <c r="DU63" s="11">
        <v>0</v>
      </c>
      <c r="DV63" s="11">
        <v>0</v>
      </c>
      <c r="DW63" s="11">
        <v>0</v>
      </c>
      <c r="DX63" s="11">
        <v>0</v>
      </c>
      <c r="DY63" s="11">
        <v>0</v>
      </c>
      <c r="DZ63" s="11">
        <v>0</v>
      </c>
      <c r="EA63" s="11">
        <v>0</v>
      </c>
      <c r="EB63" s="11">
        <v>0</v>
      </c>
      <c r="EC63" s="11">
        <v>0</v>
      </c>
      <c r="ED63" s="11">
        <v>0</v>
      </c>
      <c r="EE63" s="11">
        <v>0</v>
      </c>
      <c r="EF63" s="26">
        <f t="shared" si="9"/>
        <v>0</v>
      </c>
      <c r="EG63" s="9">
        <f t="shared" si="10"/>
        <v>467</v>
      </c>
      <c r="EH63" s="9">
        <f t="shared" si="11"/>
        <v>0</v>
      </c>
      <c r="EI63" s="11">
        <v>2595</v>
      </c>
      <c r="EJ63" s="11">
        <v>2596</v>
      </c>
      <c r="EK63" s="11">
        <v>3460</v>
      </c>
      <c r="EL63" s="11">
        <v>3806</v>
      </c>
      <c r="EM63" s="11">
        <v>3461</v>
      </c>
      <c r="EN63" s="11">
        <v>2768</v>
      </c>
      <c r="EO63" s="11">
        <v>2597</v>
      </c>
      <c r="EP63" s="11">
        <v>2598</v>
      </c>
      <c r="EQ63" s="11">
        <v>1557</v>
      </c>
      <c r="ER63" s="11">
        <v>2599</v>
      </c>
      <c r="ES63" s="11">
        <v>2600</v>
      </c>
      <c r="ET63" s="11">
        <v>2601</v>
      </c>
      <c r="EU63" s="26">
        <f t="shared" si="12"/>
        <v>33238</v>
      </c>
      <c r="EV63" s="11">
        <v>0</v>
      </c>
      <c r="EW63" s="11">
        <v>0</v>
      </c>
      <c r="EX63" s="11">
        <v>0</v>
      </c>
      <c r="EY63" s="11">
        <v>442</v>
      </c>
      <c r="EZ63" s="11">
        <v>509</v>
      </c>
      <c r="FA63" s="11">
        <v>162</v>
      </c>
      <c r="FB63" s="11">
        <v>0</v>
      </c>
      <c r="FC63" s="11">
        <v>0</v>
      </c>
      <c r="FD63" s="11">
        <v>0</v>
      </c>
      <c r="FE63" s="11">
        <v>0</v>
      </c>
      <c r="FF63" s="11">
        <v>0</v>
      </c>
      <c r="FG63" s="11">
        <v>0</v>
      </c>
      <c r="FH63" s="26">
        <f t="shared" si="13"/>
        <v>1113</v>
      </c>
      <c r="FI63" s="11">
        <v>0</v>
      </c>
      <c r="FJ63" s="11">
        <v>0</v>
      </c>
      <c r="FK63" s="11">
        <v>0</v>
      </c>
      <c r="FL63" s="11">
        <v>676</v>
      </c>
      <c r="FM63" s="11">
        <v>783</v>
      </c>
      <c r="FN63" s="11">
        <v>213</v>
      </c>
      <c r="FO63" s="11">
        <v>0</v>
      </c>
      <c r="FP63" s="11">
        <v>0</v>
      </c>
      <c r="FQ63" s="11">
        <v>0</v>
      </c>
      <c r="FR63" s="11">
        <v>0</v>
      </c>
      <c r="FS63" s="11">
        <v>0</v>
      </c>
      <c r="FT63" s="11">
        <v>0</v>
      </c>
      <c r="FU63" s="26">
        <f t="shared" si="14"/>
        <v>1672</v>
      </c>
      <c r="FV63" s="11">
        <v>0</v>
      </c>
      <c r="FW63" s="11">
        <v>0</v>
      </c>
      <c r="FX63" s="11">
        <v>0</v>
      </c>
      <c r="FY63" s="11">
        <v>0</v>
      </c>
      <c r="FZ63" s="11">
        <v>0</v>
      </c>
      <c r="GA63" s="11">
        <v>0</v>
      </c>
      <c r="GB63" s="11">
        <v>0</v>
      </c>
      <c r="GC63" s="11">
        <v>0</v>
      </c>
      <c r="GD63" s="11">
        <v>0</v>
      </c>
      <c r="GE63" s="11">
        <v>0</v>
      </c>
      <c r="GF63" s="11">
        <v>0</v>
      </c>
      <c r="GG63" s="11">
        <v>0</v>
      </c>
      <c r="GH63" s="26">
        <f t="shared" si="15"/>
        <v>0</v>
      </c>
      <c r="GI63" s="11">
        <v>0</v>
      </c>
      <c r="GJ63" s="11">
        <v>0</v>
      </c>
      <c r="GK63" s="11">
        <v>0</v>
      </c>
      <c r="GL63" s="11">
        <v>0</v>
      </c>
      <c r="GM63" s="11">
        <v>0</v>
      </c>
      <c r="GN63" s="11">
        <v>0</v>
      </c>
      <c r="GO63" s="11">
        <v>0</v>
      </c>
      <c r="GP63" s="11">
        <v>0</v>
      </c>
      <c r="GQ63" s="11">
        <v>0</v>
      </c>
      <c r="GR63" s="11">
        <v>0</v>
      </c>
      <c r="GS63" s="11">
        <v>0</v>
      </c>
      <c r="GT63" s="11">
        <v>0</v>
      </c>
      <c r="GU63" s="26">
        <f t="shared" si="16"/>
        <v>0</v>
      </c>
      <c r="GV63" s="11">
        <v>0</v>
      </c>
      <c r="GW63" s="11">
        <v>0</v>
      </c>
      <c r="GX63" s="11">
        <v>0</v>
      </c>
      <c r="GY63" s="11">
        <v>0</v>
      </c>
      <c r="GZ63" s="11">
        <v>0</v>
      </c>
      <c r="HA63" s="11">
        <v>0</v>
      </c>
      <c r="HB63" s="11">
        <v>0</v>
      </c>
      <c r="HC63" s="11">
        <v>0</v>
      </c>
      <c r="HD63" s="11">
        <v>0</v>
      </c>
      <c r="HE63" s="11">
        <v>0</v>
      </c>
      <c r="HF63" s="11">
        <v>0</v>
      </c>
      <c r="HG63" s="11">
        <v>0</v>
      </c>
      <c r="HH63" s="26">
        <f t="shared" si="17"/>
        <v>0</v>
      </c>
      <c r="HI63" s="11">
        <v>0</v>
      </c>
      <c r="HJ63" s="11">
        <v>0</v>
      </c>
      <c r="HK63" s="11">
        <v>0</v>
      </c>
      <c r="HL63" s="11">
        <v>0</v>
      </c>
      <c r="HM63" s="11">
        <v>0</v>
      </c>
      <c r="HN63" s="11">
        <v>0</v>
      </c>
      <c r="HO63" s="11">
        <v>0</v>
      </c>
      <c r="HP63" s="11">
        <v>0</v>
      </c>
      <c r="HQ63" s="11">
        <v>0</v>
      </c>
      <c r="HR63" s="11">
        <v>0</v>
      </c>
      <c r="HS63" s="11">
        <v>0</v>
      </c>
      <c r="HT63" s="11">
        <v>0</v>
      </c>
      <c r="HU63" s="26">
        <f t="shared" si="18"/>
        <v>0</v>
      </c>
      <c r="HV63" s="11">
        <v>0</v>
      </c>
      <c r="HW63" s="11">
        <v>0</v>
      </c>
      <c r="HX63" s="11">
        <v>0</v>
      </c>
      <c r="HY63" s="11">
        <v>0</v>
      </c>
      <c r="HZ63" s="11">
        <v>0</v>
      </c>
      <c r="IA63" s="11">
        <v>0</v>
      </c>
      <c r="IB63" s="11">
        <v>0</v>
      </c>
      <c r="IC63" s="11">
        <v>0</v>
      </c>
      <c r="ID63" s="11">
        <v>0</v>
      </c>
      <c r="IE63" s="11">
        <v>0</v>
      </c>
      <c r="IF63" s="11">
        <v>0</v>
      </c>
      <c r="IG63" s="11">
        <v>0</v>
      </c>
      <c r="IH63" s="26">
        <f t="shared" si="19"/>
        <v>0</v>
      </c>
      <c r="II63" s="9">
        <f t="shared" si="20"/>
        <v>2785</v>
      </c>
      <c r="IJ63" s="9">
        <f t="shared" si="21"/>
        <v>0</v>
      </c>
      <c r="IK63" s="11">
        <v>21572</v>
      </c>
      <c r="IL63" s="11">
        <v>19414</v>
      </c>
      <c r="IM63" s="11">
        <v>17158</v>
      </c>
      <c r="IN63" s="11">
        <v>24746</v>
      </c>
      <c r="IO63" s="11">
        <v>261</v>
      </c>
      <c r="IP63" s="11">
        <v>17562</v>
      </c>
      <c r="IQ63" s="11">
        <v>22038</v>
      </c>
      <c r="IR63" s="11">
        <v>18484</v>
      </c>
      <c r="IS63" s="11">
        <v>13627</v>
      </c>
      <c r="IT63" s="11">
        <v>19362</v>
      </c>
      <c r="IU63" s="11">
        <v>18116</v>
      </c>
      <c r="IV63" s="11">
        <v>16432</v>
      </c>
      <c r="IW63" s="27">
        <f t="shared" si="22"/>
        <v>208772</v>
      </c>
      <c r="IX63" s="11">
        <v>10438</v>
      </c>
      <c r="IY63" s="11">
        <v>10211</v>
      </c>
      <c r="IZ63" s="11">
        <v>9208</v>
      </c>
      <c r="JA63" s="11">
        <v>10331</v>
      </c>
      <c r="JB63" s="11">
        <v>8449</v>
      </c>
      <c r="JC63" s="11">
        <v>8907</v>
      </c>
      <c r="JD63" s="11">
        <v>11238</v>
      </c>
      <c r="JE63" s="11">
        <v>9625</v>
      </c>
      <c r="JF63" s="11">
        <v>7985</v>
      </c>
      <c r="JG63" s="11">
        <v>10850</v>
      </c>
      <c r="JH63" s="11">
        <v>9398</v>
      </c>
      <c r="JI63" s="11">
        <v>8900</v>
      </c>
      <c r="JJ63" s="27">
        <f t="shared" si="23"/>
        <v>115540</v>
      </c>
      <c r="JK63" s="11">
        <v>10358</v>
      </c>
      <c r="JL63" s="11">
        <v>8575</v>
      </c>
      <c r="JM63" s="11">
        <v>7286</v>
      </c>
      <c r="JN63" s="11">
        <v>13530</v>
      </c>
      <c r="JO63" s="11">
        <v>12104</v>
      </c>
      <c r="JP63" s="11">
        <v>5068</v>
      </c>
      <c r="JQ63" s="11">
        <v>10201</v>
      </c>
      <c r="JR63" s="11">
        <v>8321</v>
      </c>
      <c r="JS63" s="11">
        <v>5287</v>
      </c>
      <c r="JT63" s="11">
        <v>8014</v>
      </c>
      <c r="JU63" s="11">
        <v>8245</v>
      </c>
      <c r="JV63" s="11">
        <v>7312</v>
      </c>
      <c r="JW63" s="27">
        <f t="shared" si="24"/>
        <v>104301</v>
      </c>
      <c r="JX63" s="11">
        <v>760</v>
      </c>
      <c r="JY63" s="11">
        <v>624</v>
      </c>
      <c r="JZ63" s="11">
        <v>651</v>
      </c>
      <c r="KA63" s="11">
        <v>846</v>
      </c>
      <c r="KB63" s="11">
        <v>754</v>
      </c>
      <c r="KC63" s="11">
        <v>558</v>
      </c>
      <c r="KD63" s="11">
        <v>586</v>
      </c>
      <c r="KE63" s="11">
        <v>512</v>
      </c>
      <c r="KF63" s="11">
        <v>341</v>
      </c>
      <c r="KG63" s="11">
        <v>512</v>
      </c>
      <c r="KH63" s="11">
        <v>464</v>
      </c>
      <c r="KI63" s="11">
        <v>220</v>
      </c>
      <c r="KJ63" s="27">
        <f t="shared" si="25"/>
        <v>6828</v>
      </c>
      <c r="KK63" s="11">
        <v>210</v>
      </c>
      <c r="KL63" s="11">
        <v>223</v>
      </c>
      <c r="KM63" s="11">
        <v>186</v>
      </c>
      <c r="KN63" s="11">
        <v>189</v>
      </c>
      <c r="KO63" s="11">
        <v>182</v>
      </c>
      <c r="KP63" s="11">
        <v>165</v>
      </c>
      <c r="KQ63" s="11">
        <v>218</v>
      </c>
      <c r="KR63" s="11">
        <v>278</v>
      </c>
      <c r="KS63" s="11">
        <v>192</v>
      </c>
      <c r="KT63" s="11">
        <v>206</v>
      </c>
      <c r="KU63" s="11">
        <v>248</v>
      </c>
      <c r="KV63" s="11">
        <v>238</v>
      </c>
      <c r="KW63" s="27">
        <f t="shared" si="26"/>
        <v>2535</v>
      </c>
      <c r="KX63" s="11">
        <v>204</v>
      </c>
      <c r="KY63" s="11">
        <v>216</v>
      </c>
      <c r="KZ63" s="11">
        <v>181</v>
      </c>
      <c r="LA63" s="11">
        <v>184</v>
      </c>
      <c r="LB63" s="11">
        <v>166</v>
      </c>
      <c r="LC63" s="11">
        <v>165</v>
      </c>
      <c r="LD63" s="11">
        <v>214</v>
      </c>
      <c r="LE63" s="11">
        <v>277</v>
      </c>
      <c r="LF63" s="11">
        <v>186</v>
      </c>
      <c r="LG63" s="11">
        <v>204</v>
      </c>
      <c r="LH63" s="11">
        <v>240</v>
      </c>
      <c r="LI63" s="11">
        <v>230</v>
      </c>
      <c r="LJ63" s="27">
        <f t="shared" si="27"/>
        <v>2467</v>
      </c>
      <c r="LK63" s="11">
        <v>6</v>
      </c>
      <c r="LL63" s="11">
        <v>7</v>
      </c>
      <c r="LM63" s="11">
        <v>5</v>
      </c>
      <c r="LN63" s="11">
        <v>5</v>
      </c>
      <c r="LO63" s="11">
        <v>16</v>
      </c>
      <c r="LP63" s="11">
        <v>0</v>
      </c>
      <c r="LQ63" s="11">
        <v>4</v>
      </c>
      <c r="LR63" s="11">
        <v>1</v>
      </c>
      <c r="LS63" s="11">
        <v>6</v>
      </c>
      <c r="LT63" s="11">
        <v>2</v>
      </c>
      <c r="LU63" s="11">
        <v>8</v>
      </c>
      <c r="LV63" s="11">
        <v>8</v>
      </c>
      <c r="LW63" s="27">
        <f t="shared" si="28"/>
        <v>68</v>
      </c>
      <c r="LX63" s="11">
        <v>0</v>
      </c>
      <c r="LY63" s="11">
        <v>0</v>
      </c>
      <c r="LZ63" s="11">
        <v>0</v>
      </c>
      <c r="MA63" s="11">
        <v>0</v>
      </c>
      <c r="MB63" s="11">
        <v>0</v>
      </c>
      <c r="MC63" s="11">
        <v>0</v>
      </c>
      <c r="MD63" s="11">
        <v>0</v>
      </c>
      <c r="ME63" s="11">
        <v>0</v>
      </c>
      <c r="MF63" s="11">
        <v>0</v>
      </c>
      <c r="MG63" s="11">
        <v>0</v>
      </c>
      <c r="MH63" s="11">
        <v>0</v>
      </c>
      <c r="MI63" s="11">
        <v>0</v>
      </c>
      <c r="MJ63" s="27">
        <f t="shared" si="29"/>
        <v>0</v>
      </c>
      <c r="MK63" s="11">
        <v>4593</v>
      </c>
      <c r="ML63" s="11">
        <v>4666</v>
      </c>
      <c r="MM63" s="11">
        <v>4349</v>
      </c>
      <c r="MN63" s="11">
        <v>4831</v>
      </c>
      <c r="MO63" s="11">
        <v>4759</v>
      </c>
      <c r="MP63" s="11">
        <v>4635</v>
      </c>
      <c r="MQ63" s="11">
        <v>4527</v>
      </c>
      <c r="MR63" s="11">
        <v>4267</v>
      </c>
      <c r="MS63" s="11">
        <v>4272</v>
      </c>
      <c r="MT63" s="11">
        <v>4469</v>
      </c>
      <c r="MU63" s="11">
        <v>4016</v>
      </c>
      <c r="MV63" s="11">
        <v>4375</v>
      </c>
      <c r="MW63" s="27">
        <f t="shared" si="30"/>
        <v>53759</v>
      </c>
      <c r="MX63" s="11">
        <v>4022</v>
      </c>
      <c r="MY63" s="11">
        <v>4089</v>
      </c>
      <c r="MZ63" s="11">
        <v>3823</v>
      </c>
      <c r="NA63" s="11">
        <v>4123</v>
      </c>
      <c r="NB63" s="11">
        <v>4051</v>
      </c>
      <c r="NC63" s="11">
        <v>3963</v>
      </c>
      <c r="ND63" s="11">
        <v>3889</v>
      </c>
      <c r="NE63" s="11">
        <v>3677</v>
      </c>
      <c r="NF63" s="11">
        <v>3699</v>
      </c>
      <c r="NG63" s="11">
        <v>3870</v>
      </c>
      <c r="NH63" s="11">
        <v>3458</v>
      </c>
      <c r="NI63" s="11">
        <v>3757</v>
      </c>
      <c r="NJ63" s="27">
        <f t="shared" si="31"/>
        <v>46421</v>
      </c>
      <c r="NK63" s="11">
        <v>389</v>
      </c>
      <c r="NL63" s="11">
        <v>402</v>
      </c>
      <c r="NM63" s="11">
        <v>360</v>
      </c>
      <c r="NN63" s="11">
        <v>500</v>
      </c>
      <c r="NO63" s="11">
        <v>500</v>
      </c>
      <c r="NP63" s="11">
        <v>378</v>
      </c>
      <c r="NQ63" s="11">
        <v>463</v>
      </c>
      <c r="NR63" s="11">
        <v>430</v>
      </c>
      <c r="NS63" s="11">
        <v>413</v>
      </c>
      <c r="NT63" s="11">
        <v>400</v>
      </c>
      <c r="NU63" s="11">
        <v>364</v>
      </c>
      <c r="NV63" s="11">
        <v>411</v>
      </c>
      <c r="NW63" s="27">
        <f t="shared" si="32"/>
        <v>5010</v>
      </c>
      <c r="NX63" s="11">
        <v>182</v>
      </c>
      <c r="NY63" s="11">
        <v>175</v>
      </c>
      <c r="NZ63" s="11">
        <v>166</v>
      </c>
      <c r="OA63" s="11">
        <v>208</v>
      </c>
      <c r="OB63" s="11">
        <v>208</v>
      </c>
      <c r="OC63" s="11">
        <v>170</v>
      </c>
      <c r="OD63" s="11">
        <v>175</v>
      </c>
      <c r="OE63" s="11">
        <v>160</v>
      </c>
      <c r="OF63" s="11">
        <v>159</v>
      </c>
      <c r="OG63" s="11">
        <v>200</v>
      </c>
      <c r="OH63" s="11">
        <v>194</v>
      </c>
      <c r="OI63" s="11">
        <v>206</v>
      </c>
      <c r="OJ63" s="27">
        <f t="shared" si="33"/>
        <v>2203</v>
      </c>
      <c r="OK63" s="11">
        <v>8195</v>
      </c>
      <c r="OL63" s="11">
        <v>8247</v>
      </c>
      <c r="OM63" s="11">
        <v>7965</v>
      </c>
      <c r="ON63" s="11">
        <v>8583</v>
      </c>
      <c r="OO63" s="11">
        <v>8864</v>
      </c>
      <c r="OP63" s="11">
        <v>8608</v>
      </c>
      <c r="OQ63" s="11">
        <v>8632</v>
      </c>
      <c r="OR63" s="11">
        <v>8404</v>
      </c>
      <c r="OS63" s="11">
        <v>8308</v>
      </c>
      <c r="OT63" s="11">
        <v>9201</v>
      </c>
      <c r="OU63" s="11">
        <v>8536</v>
      </c>
      <c r="OV63" s="11">
        <v>8756</v>
      </c>
      <c r="OW63" s="27">
        <f t="shared" si="34"/>
        <v>102299</v>
      </c>
      <c r="OX63" s="11">
        <v>6920</v>
      </c>
      <c r="OY63" s="11">
        <v>7024</v>
      </c>
      <c r="OZ63" s="11">
        <v>6854</v>
      </c>
      <c r="PA63" s="11">
        <v>7257</v>
      </c>
      <c r="PB63" s="11">
        <v>7400</v>
      </c>
      <c r="PC63" s="11">
        <v>7276</v>
      </c>
      <c r="PD63" s="11">
        <v>7247</v>
      </c>
      <c r="PE63" s="11">
        <v>7005</v>
      </c>
      <c r="PF63" s="11">
        <v>6910</v>
      </c>
      <c r="PG63" s="11">
        <v>7726</v>
      </c>
      <c r="PH63" s="11">
        <v>7156</v>
      </c>
      <c r="PI63" s="11">
        <v>8019</v>
      </c>
      <c r="PJ63" s="27">
        <f t="shared" si="35"/>
        <v>86794</v>
      </c>
      <c r="PK63" s="11">
        <v>1012</v>
      </c>
      <c r="PL63" s="11">
        <v>957</v>
      </c>
      <c r="PM63" s="11">
        <v>866</v>
      </c>
      <c r="PN63" s="11">
        <v>1018</v>
      </c>
      <c r="PO63" s="11">
        <v>1177</v>
      </c>
      <c r="PP63" s="11">
        <v>1052</v>
      </c>
      <c r="PQ63" s="11">
        <v>1094</v>
      </c>
      <c r="PR63" s="11">
        <v>1116</v>
      </c>
      <c r="PS63" s="11">
        <v>1114</v>
      </c>
      <c r="PT63" s="11">
        <v>1158</v>
      </c>
      <c r="PU63" s="11">
        <v>1043</v>
      </c>
      <c r="PV63" s="11">
        <v>402</v>
      </c>
      <c r="PW63" s="27">
        <f t="shared" si="36"/>
        <v>12009</v>
      </c>
      <c r="PX63" s="11">
        <v>262</v>
      </c>
      <c r="PY63" s="11">
        <v>265</v>
      </c>
      <c r="PZ63" s="11">
        <v>245</v>
      </c>
      <c r="QA63" s="11">
        <v>308</v>
      </c>
      <c r="QB63" s="11">
        <v>287</v>
      </c>
      <c r="QC63" s="11">
        <v>279</v>
      </c>
      <c r="QD63" s="11">
        <v>290</v>
      </c>
      <c r="QE63" s="11">
        <v>283</v>
      </c>
      <c r="QF63" s="11">
        <v>283</v>
      </c>
      <c r="QG63" s="11">
        <v>317</v>
      </c>
      <c r="QH63" s="11">
        <v>337</v>
      </c>
      <c r="QI63" s="11">
        <v>334</v>
      </c>
      <c r="QJ63" s="27">
        <f t="shared" si="37"/>
        <v>3490</v>
      </c>
      <c r="QK63" s="11">
        <v>27562</v>
      </c>
      <c r="QL63" s="11">
        <v>24696</v>
      </c>
      <c r="QM63" s="11">
        <v>23776</v>
      </c>
      <c r="QN63" s="11">
        <v>39895</v>
      </c>
      <c r="QO63" s="11">
        <v>23419</v>
      </c>
      <c r="QP63" s="11">
        <v>27509</v>
      </c>
      <c r="QQ63" s="11">
        <v>31021</v>
      </c>
      <c r="QR63" s="11">
        <v>24306</v>
      </c>
      <c r="QS63" s="11">
        <v>28359</v>
      </c>
      <c r="QT63" s="11">
        <v>24760</v>
      </c>
      <c r="QU63" s="11">
        <v>26226</v>
      </c>
      <c r="QV63" s="11">
        <v>28149</v>
      </c>
      <c r="QW63" s="27">
        <f t="shared" si="38"/>
        <v>329678</v>
      </c>
      <c r="QX63" s="11">
        <v>26694</v>
      </c>
      <c r="QY63" s="11">
        <v>24430</v>
      </c>
      <c r="QZ63" s="11">
        <v>24429</v>
      </c>
      <c r="RA63" s="11">
        <v>26885</v>
      </c>
      <c r="RB63" s="11">
        <v>25799</v>
      </c>
      <c r="RC63" s="11">
        <v>22788</v>
      </c>
      <c r="RD63" s="11">
        <v>28803</v>
      </c>
      <c r="RE63" s="11">
        <v>26642</v>
      </c>
      <c r="RF63" s="11">
        <v>21418</v>
      </c>
      <c r="RG63" s="11">
        <v>26734</v>
      </c>
      <c r="RH63" s="11">
        <v>26160</v>
      </c>
      <c r="RI63" s="11">
        <v>27528</v>
      </c>
      <c r="RJ63" s="27">
        <f t="shared" si="39"/>
        <v>308310</v>
      </c>
      <c r="RK63" s="11">
        <v>0</v>
      </c>
      <c r="RL63" s="11">
        <v>0</v>
      </c>
      <c r="RM63" s="11">
        <v>0</v>
      </c>
      <c r="RN63" s="11">
        <v>0</v>
      </c>
      <c r="RO63" s="11">
        <v>0</v>
      </c>
      <c r="RP63" s="11">
        <v>0</v>
      </c>
      <c r="RQ63" s="11">
        <v>0</v>
      </c>
      <c r="RR63" s="11">
        <v>0</v>
      </c>
      <c r="RS63" s="11">
        <v>0</v>
      </c>
      <c r="RT63" s="11">
        <v>0</v>
      </c>
      <c r="RU63" s="11">
        <v>0</v>
      </c>
      <c r="RV63" s="11">
        <v>0</v>
      </c>
      <c r="RW63" s="27">
        <f t="shared" si="40"/>
        <v>0</v>
      </c>
      <c r="RX63" s="11">
        <v>0</v>
      </c>
      <c r="RY63" s="11">
        <v>0</v>
      </c>
      <c r="RZ63" s="11">
        <v>0</v>
      </c>
      <c r="SA63" s="11">
        <v>0</v>
      </c>
      <c r="SB63" s="11">
        <v>0</v>
      </c>
      <c r="SC63" s="11">
        <v>0</v>
      </c>
      <c r="SD63" s="11">
        <v>0</v>
      </c>
      <c r="SE63" s="11">
        <v>0</v>
      </c>
      <c r="SF63" s="11">
        <v>0</v>
      </c>
      <c r="SG63" s="11">
        <v>0</v>
      </c>
      <c r="SH63" s="11">
        <v>0</v>
      </c>
      <c r="SI63" s="11">
        <v>0</v>
      </c>
      <c r="SJ63" s="27">
        <f t="shared" si="41"/>
        <v>0</v>
      </c>
      <c r="SK63" s="11">
        <v>187</v>
      </c>
      <c r="SL63" s="11">
        <v>187</v>
      </c>
      <c r="SM63" s="11">
        <v>187</v>
      </c>
      <c r="SN63" s="11">
        <v>187</v>
      </c>
      <c r="SO63" s="11">
        <v>187</v>
      </c>
      <c r="SP63" s="11">
        <v>187</v>
      </c>
      <c r="SQ63" s="11">
        <v>187</v>
      </c>
      <c r="SR63" s="11">
        <v>187</v>
      </c>
      <c r="SS63" s="11">
        <v>187</v>
      </c>
      <c r="ST63" s="11">
        <v>187</v>
      </c>
      <c r="SU63" s="11">
        <v>187</v>
      </c>
      <c r="SV63" s="11">
        <v>187</v>
      </c>
      <c r="SW63" s="27">
        <f t="shared" si="42"/>
        <v>2244</v>
      </c>
      <c r="SX63" s="11" t="s">
        <v>2703</v>
      </c>
      <c r="SY63" s="11">
        <v>2600</v>
      </c>
      <c r="SZ63" s="11">
        <v>1800</v>
      </c>
      <c r="TA63" s="11">
        <v>1625</v>
      </c>
      <c r="TB63" s="11">
        <v>1734</v>
      </c>
      <c r="TC63" s="11">
        <v>1701</v>
      </c>
      <c r="TD63" s="11">
        <v>1572</v>
      </c>
      <c r="TE63" s="11">
        <v>1956</v>
      </c>
      <c r="TF63" s="11">
        <v>1849</v>
      </c>
      <c r="TG63" s="11">
        <v>1875</v>
      </c>
      <c r="TH63" s="11">
        <v>2228</v>
      </c>
      <c r="TI63" s="11">
        <v>2270</v>
      </c>
      <c r="TJ63" s="11">
        <v>2463</v>
      </c>
      <c r="TK63" s="27">
        <f t="shared" si="43"/>
        <v>23673</v>
      </c>
      <c r="TL63" s="11">
        <v>4997</v>
      </c>
      <c r="TM63" s="11">
        <v>4731</v>
      </c>
      <c r="TN63" s="11">
        <v>4619</v>
      </c>
      <c r="TO63" s="11">
        <v>4298</v>
      </c>
      <c r="TP63" s="11">
        <v>3942</v>
      </c>
      <c r="TQ63" s="11">
        <v>4655</v>
      </c>
      <c r="TR63" s="11">
        <v>4964</v>
      </c>
      <c r="TS63" s="11">
        <v>5513</v>
      </c>
      <c r="TT63" s="11">
        <v>5131</v>
      </c>
      <c r="TU63" s="11">
        <v>5866</v>
      </c>
      <c r="TV63" s="11">
        <v>5580</v>
      </c>
      <c r="TW63" s="11">
        <v>5905</v>
      </c>
      <c r="TX63" s="27">
        <f t="shared" si="44"/>
        <v>60201</v>
      </c>
      <c r="TY63" s="11">
        <v>57</v>
      </c>
      <c r="TZ63" s="11">
        <v>0</v>
      </c>
      <c r="UA63" s="11">
        <v>0</v>
      </c>
    </row>
    <row r="64" spans="1:547" ht="16" customHeight="1" x14ac:dyDescent="0.35">
      <c r="A64" s="11" t="s">
        <v>1467</v>
      </c>
      <c r="B64" s="11">
        <v>27385</v>
      </c>
      <c r="C64" s="11">
        <v>7212</v>
      </c>
      <c r="D64" s="11">
        <v>18929</v>
      </c>
      <c r="E64" s="11">
        <v>1244</v>
      </c>
      <c r="F64" s="11">
        <v>0</v>
      </c>
      <c r="G64" s="11">
        <v>0</v>
      </c>
      <c r="H64" s="11">
        <v>0</v>
      </c>
      <c r="I64" s="11">
        <v>0</v>
      </c>
      <c r="J64" s="11">
        <v>0</v>
      </c>
      <c r="K64" s="11">
        <v>0</v>
      </c>
      <c r="L64" s="11">
        <v>0</v>
      </c>
      <c r="M64" s="11">
        <v>0</v>
      </c>
      <c r="N64" s="11">
        <v>0</v>
      </c>
      <c r="O64" s="11">
        <v>0</v>
      </c>
      <c r="P64" s="11" t="s">
        <v>2864</v>
      </c>
      <c r="Q64" s="11">
        <v>0</v>
      </c>
      <c r="R64" s="11">
        <v>0</v>
      </c>
      <c r="S64" s="26">
        <f t="shared" si="0"/>
        <v>0</v>
      </c>
      <c r="T64" s="11">
        <v>0</v>
      </c>
      <c r="U64" s="11">
        <v>0</v>
      </c>
      <c r="V64" s="11">
        <v>475</v>
      </c>
      <c r="W64" s="11">
        <v>0</v>
      </c>
      <c r="X64" s="11">
        <v>0</v>
      </c>
      <c r="Y64" s="11">
        <v>475</v>
      </c>
      <c r="Z64" s="11">
        <v>0</v>
      </c>
      <c r="AA64" s="11">
        <v>0</v>
      </c>
      <c r="AB64" s="11">
        <v>525</v>
      </c>
      <c r="AC64" s="11">
        <v>0</v>
      </c>
      <c r="AD64" s="11">
        <v>0</v>
      </c>
      <c r="AE64" s="11">
        <v>455</v>
      </c>
      <c r="AF64" s="26">
        <f t="shared" si="1"/>
        <v>1930</v>
      </c>
      <c r="AG64" s="11">
        <v>0</v>
      </c>
      <c r="AH64" s="11">
        <v>0</v>
      </c>
      <c r="AI64" s="11">
        <v>466</v>
      </c>
      <c r="AJ64" s="11">
        <v>0</v>
      </c>
      <c r="AK64" s="11">
        <v>0</v>
      </c>
      <c r="AL64" s="11">
        <v>472</v>
      </c>
      <c r="AM64" s="11">
        <v>0</v>
      </c>
      <c r="AN64" s="11">
        <v>0</v>
      </c>
      <c r="AO64" s="11">
        <v>482</v>
      </c>
      <c r="AP64" s="11">
        <v>0</v>
      </c>
      <c r="AQ64" s="11">
        <v>0</v>
      </c>
      <c r="AR64" s="11">
        <v>426</v>
      </c>
      <c r="AS64" s="26">
        <f t="shared" si="2"/>
        <v>1846</v>
      </c>
      <c r="AT64" s="11">
        <v>0</v>
      </c>
      <c r="AU64" s="11">
        <v>0</v>
      </c>
      <c r="AV64" s="11">
        <v>18</v>
      </c>
      <c r="AW64" s="11">
        <v>0</v>
      </c>
      <c r="AX64" s="11">
        <v>0</v>
      </c>
      <c r="AY64" s="11">
        <v>4</v>
      </c>
      <c r="AZ64" s="11">
        <v>0</v>
      </c>
      <c r="BA64" s="11">
        <v>0</v>
      </c>
      <c r="BB64" s="11">
        <v>6</v>
      </c>
      <c r="BC64" s="11">
        <v>0</v>
      </c>
      <c r="BD64" s="11">
        <v>0</v>
      </c>
      <c r="BE64" s="11">
        <v>4</v>
      </c>
      <c r="BF64" s="26">
        <f t="shared" si="3"/>
        <v>32</v>
      </c>
      <c r="BG64" s="11">
        <v>0</v>
      </c>
      <c r="BH64" s="11">
        <v>0</v>
      </c>
      <c r="BI64" s="11">
        <v>0</v>
      </c>
      <c r="BJ64" s="11">
        <v>0</v>
      </c>
      <c r="BK64" s="11">
        <v>0</v>
      </c>
      <c r="BL64" s="11">
        <v>0</v>
      </c>
      <c r="BM64" s="11">
        <v>0</v>
      </c>
      <c r="BN64" s="11">
        <v>0</v>
      </c>
      <c r="BO64" s="11">
        <v>0</v>
      </c>
      <c r="BP64" s="11">
        <v>0</v>
      </c>
      <c r="BQ64" s="11">
        <v>0</v>
      </c>
      <c r="BR64" s="11">
        <v>0</v>
      </c>
      <c r="BS64" s="26">
        <f t="shared" si="4"/>
        <v>0</v>
      </c>
      <c r="BT64" s="11">
        <v>0</v>
      </c>
      <c r="BU64" s="11">
        <v>0</v>
      </c>
      <c r="BV64" s="11">
        <v>0</v>
      </c>
      <c r="BW64" s="11">
        <v>0</v>
      </c>
      <c r="BX64" s="11">
        <v>0</v>
      </c>
      <c r="BY64" s="11">
        <v>0</v>
      </c>
      <c r="BZ64" s="11">
        <v>0</v>
      </c>
      <c r="CA64" s="11">
        <v>0</v>
      </c>
      <c r="CB64" s="11">
        <v>0</v>
      </c>
      <c r="CC64" s="11">
        <v>0</v>
      </c>
      <c r="CD64" s="11">
        <v>0</v>
      </c>
      <c r="CE64" s="11">
        <v>0</v>
      </c>
      <c r="CF64" s="26">
        <f t="shared" si="5"/>
        <v>0</v>
      </c>
      <c r="CG64" s="11">
        <v>0</v>
      </c>
      <c r="CH64" s="11">
        <v>0</v>
      </c>
      <c r="CI64" s="11">
        <v>0</v>
      </c>
      <c r="CJ64" s="11">
        <v>0</v>
      </c>
      <c r="CK64" s="11">
        <v>0</v>
      </c>
      <c r="CL64" s="11">
        <v>0</v>
      </c>
      <c r="CM64" s="11">
        <v>0</v>
      </c>
      <c r="CN64" s="11">
        <v>0</v>
      </c>
      <c r="CO64" s="11">
        <v>0</v>
      </c>
      <c r="CP64" s="11">
        <v>0</v>
      </c>
      <c r="CQ64" s="11">
        <v>0</v>
      </c>
      <c r="CR64" s="11">
        <v>0</v>
      </c>
      <c r="CS64" s="26">
        <f t="shared" si="6"/>
        <v>0</v>
      </c>
      <c r="CT64" s="11">
        <v>0</v>
      </c>
      <c r="CU64" s="11">
        <v>0</v>
      </c>
      <c r="CV64" s="11">
        <v>0</v>
      </c>
      <c r="CW64" s="11">
        <v>0</v>
      </c>
      <c r="CX64" s="11">
        <v>0</v>
      </c>
      <c r="CY64" s="11">
        <v>0</v>
      </c>
      <c r="CZ64" s="11">
        <v>0</v>
      </c>
      <c r="DA64" s="11">
        <v>0</v>
      </c>
      <c r="DB64" s="11">
        <v>0</v>
      </c>
      <c r="DC64" s="11">
        <v>0</v>
      </c>
      <c r="DD64" s="11">
        <v>0</v>
      </c>
      <c r="DE64" s="11">
        <v>0</v>
      </c>
      <c r="DF64" s="26">
        <f t="shared" si="7"/>
        <v>0</v>
      </c>
      <c r="DG64" s="11">
        <v>0</v>
      </c>
      <c r="DH64" s="11">
        <v>0</v>
      </c>
      <c r="DI64" s="11">
        <v>0</v>
      </c>
      <c r="DJ64" s="11">
        <v>0</v>
      </c>
      <c r="DK64" s="11">
        <v>0</v>
      </c>
      <c r="DL64" s="11">
        <v>0</v>
      </c>
      <c r="DM64" s="11">
        <v>0</v>
      </c>
      <c r="DN64" s="11">
        <v>0</v>
      </c>
      <c r="DO64" s="11">
        <v>0</v>
      </c>
      <c r="DP64" s="11">
        <v>0</v>
      </c>
      <c r="DQ64" s="11">
        <v>0</v>
      </c>
      <c r="DR64" s="11">
        <v>0</v>
      </c>
      <c r="DS64" s="26">
        <f t="shared" si="8"/>
        <v>0</v>
      </c>
      <c r="DT64" s="11">
        <v>0</v>
      </c>
      <c r="DU64" s="11">
        <v>0</v>
      </c>
      <c r="DV64" s="11">
        <v>0</v>
      </c>
      <c r="DW64" s="11">
        <v>0</v>
      </c>
      <c r="DX64" s="11">
        <v>0</v>
      </c>
      <c r="DY64" s="11">
        <v>0</v>
      </c>
      <c r="DZ64" s="11">
        <v>0</v>
      </c>
      <c r="EA64" s="11">
        <v>0</v>
      </c>
      <c r="EB64" s="11">
        <v>0</v>
      </c>
      <c r="EC64" s="11">
        <v>0</v>
      </c>
      <c r="ED64" s="11">
        <v>0</v>
      </c>
      <c r="EE64" s="11">
        <v>0</v>
      </c>
      <c r="EF64" s="26">
        <f t="shared" si="9"/>
        <v>0</v>
      </c>
      <c r="EG64" s="9">
        <f t="shared" si="10"/>
        <v>3808</v>
      </c>
      <c r="EH64" s="9">
        <f t="shared" si="11"/>
        <v>0</v>
      </c>
      <c r="EI64" s="11">
        <v>0</v>
      </c>
      <c r="EJ64" s="11">
        <v>0</v>
      </c>
      <c r="EK64" s="11">
        <v>9787</v>
      </c>
      <c r="EL64" s="11">
        <v>0</v>
      </c>
      <c r="EM64" s="11">
        <v>0</v>
      </c>
      <c r="EN64" s="11">
        <v>11648</v>
      </c>
      <c r="EO64" s="11">
        <v>0</v>
      </c>
      <c r="EP64" s="11">
        <v>0</v>
      </c>
      <c r="EQ64" s="11">
        <v>9472</v>
      </c>
      <c r="ER64" s="11">
        <v>0</v>
      </c>
      <c r="ES64" s="11">
        <v>0</v>
      </c>
      <c r="ET64" s="11">
        <v>9192</v>
      </c>
      <c r="EU64" s="26">
        <f t="shared" si="12"/>
        <v>40099</v>
      </c>
      <c r="EV64" s="11">
        <v>0</v>
      </c>
      <c r="EW64" s="11">
        <v>0</v>
      </c>
      <c r="EX64" s="11">
        <v>5318</v>
      </c>
      <c r="EY64" s="11">
        <v>0</v>
      </c>
      <c r="EZ64" s="11">
        <v>0</v>
      </c>
      <c r="FA64" s="11">
        <v>5124</v>
      </c>
      <c r="FB64" s="11">
        <v>0</v>
      </c>
      <c r="FC64" s="11">
        <v>0</v>
      </c>
      <c r="FD64" s="11">
        <v>5282</v>
      </c>
      <c r="FE64" s="11">
        <v>0</v>
      </c>
      <c r="FF64" s="11">
        <v>0</v>
      </c>
      <c r="FG64" s="11">
        <v>5181</v>
      </c>
      <c r="FH64" s="26">
        <f t="shared" si="13"/>
        <v>20905</v>
      </c>
      <c r="FI64" s="11">
        <v>0</v>
      </c>
      <c r="FJ64" s="11">
        <v>0</v>
      </c>
      <c r="FK64" s="11">
        <v>4469</v>
      </c>
      <c r="FL64" s="11">
        <v>0</v>
      </c>
      <c r="FM64" s="11">
        <v>0</v>
      </c>
      <c r="FN64" s="11">
        <v>6524</v>
      </c>
      <c r="FO64" s="11">
        <v>0</v>
      </c>
      <c r="FP64" s="11">
        <v>0</v>
      </c>
      <c r="FQ64" s="11">
        <v>4190</v>
      </c>
      <c r="FR64" s="11">
        <v>0</v>
      </c>
      <c r="FS64" s="11">
        <v>0</v>
      </c>
      <c r="FT64" s="11">
        <v>4011</v>
      </c>
      <c r="FU64" s="26">
        <f t="shared" si="14"/>
        <v>19194</v>
      </c>
      <c r="FV64" s="11">
        <v>0</v>
      </c>
      <c r="FW64" s="11">
        <v>0</v>
      </c>
      <c r="FX64" s="11">
        <v>0</v>
      </c>
      <c r="FY64" s="11">
        <v>0</v>
      </c>
      <c r="FZ64" s="11">
        <v>0</v>
      </c>
      <c r="GA64" s="11">
        <v>0</v>
      </c>
      <c r="GB64" s="11">
        <v>0</v>
      </c>
      <c r="GC64" s="11">
        <v>0</v>
      </c>
      <c r="GD64" s="11">
        <v>0</v>
      </c>
      <c r="GE64" s="11">
        <v>0</v>
      </c>
      <c r="GF64" s="11">
        <v>0</v>
      </c>
      <c r="GG64" s="11">
        <v>0</v>
      </c>
      <c r="GH64" s="26">
        <f t="shared" si="15"/>
        <v>0</v>
      </c>
      <c r="GI64" s="11">
        <v>0</v>
      </c>
      <c r="GJ64" s="11">
        <v>0</v>
      </c>
      <c r="GK64" s="11">
        <v>0</v>
      </c>
      <c r="GL64" s="11">
        <v>0</v>
      </c>
      <c r="GM64" s="11">
        <v>0</v>
      </c>
      <c r="GN64" s="11">
        <v>0</v>
      </c>
      <c r="GO64" s="11">
        <v>0</v>
      </c>
      <c r="GP64" s="11">
        <v>0</v>
      </c>
      <c r="GQ64" s="11">
        <v>0</v>
      </c>
      <c r="GR64" s="11">
        <v>0</v>
      </c>
      <c r="GS64" s="11">
        <v>0</v>
      </c>
      <c r="GT64" s="11">
        <v>0</v>
      </c>
      <c r="GU64" s="26">
        <f t="shared" si="16"/>
        <v>0</v>
      </c>
      <c r="GV64" s="11">
        <v>0</v>
      </c>
      <c r="GW64" s="11">
        <v>0</v>
      </c>
      <c r="GX64" s="11">
        <v>0</v>
      </c>
      <c r="GY64" s="11">
        <v>0</v>
      </c>
      <c r="GZ64" s="11">
        <v>0</v>
      </c>
      <c r="HA64" s="11">
        <v>0</v>
      </c>
      <c r="HB64" s="11">
        <v>0</v>
      </c>
      <c r="HC64" s="11">
        <v>0</v>
      </c>
      <c r="HD64" s="11">
        <v>0</v>
      </c>
      <c r="HE64" s="11">
        <v>0</v>
      </c>
      <c r="HF64" s="11">
        <v>0</v>
      </c>
      <c r="HG64" s="11">
        <v>0</v>
      </c>
      <c r="HH64" s="26">
        <f t="shared" si="17"/>
        <v>0</v>
      </c>
      <c r="HI64" s="11">
        <v>0</v>
      </c>
      <c r="HJ64" s="11">
        <v>0</v>
      </c>
      <c r="HK64" s="11">
        <v>0</v>
      </c>
      <c r="HL64" s="11">
        <v>0</v>
      </c>
      <c r="HM64" s="11">
        <v>0</v>
      </c>
      <c r="HN64" s="11">
        <v>0</v>
      </c>
      <c r="HO64" s="11">
        <v>0</v>
      </c>
      <c r="HP64" s="11">
        <v>0</v>
      </c>
      <c r="HQ64" s="11">
        <v>0</v>
      </c>
      <c r="HR64" s="11">
        <v>0</v>
      </c>
      <c r="HS64" s="11">
        <v>0</v>
      </c>
      <c r="HT64" s="11">
        <v>0</v>
      </c>
      <c r="HU64" s="26">
        <f t="shared" si="18"/>
        <v>0</v>
      </c>
      <c r="HV64" s="11">
        <v>0</v>
      </c>
      <c r="HW64" s="11">
        <v>0</v>
      </c>
      <c r="HX64" s="11">
        <v>0</v>
      </c>
      <c r="HY64" s="11">
        <v>0</v>
      </c>
      <c r="HZ64" s="11">
        <v>0</v>
      </c>
      <c r="IA64" s="11">
        <v>0</v>
      </c>
      <c r="IB64" s="11">
        <v>0</v>
      </c>
      <c r="IC64" s="11">
        <v>0</v>
      </c>
      <c r="ID64" s="11">
        <v>0</v>
      </c>
      <c r="IE64" s="11">
        <v>0</v>
      </c>
      <c r="IF64" s="11">
        <v>0</v>
      </c>
      <c r="IG64" s="11">
        <v>0</v>
      </c>
      <c r="IH64" s="26">
        <f t="shared" si="19"/>
        <v>0</v>
      </c>
      <c r="II64" s="9">
        <f t="shared" si="20"/>
        <v>40099</v>
      </c>
      <c r="IJ64" s="9">
        <f t="shared" si="21"/>
        <v>0</v>
      </c>
      <c r="IK64" s="11">
        <v>49311</v>
      </c>
      <c r="IL64" s="11">
        <v>32724</v>
      </c>
      <c r="IM64" s="11">
        <v>36445</v>
      </c>
      <c r="IN64" s="11">
        <v>48664</v>
      </c>
      <c r="IO64" s="11">
        <v>54972</v>
      </c>
      <c r="IP64" s="11">
        <v>44973</v>
      </c>
      <c r="IQ64" s="11">
        <v>46860</v>
      </c>
      <c r="IR64" s="11">
        <v>43199</v>
      </c>
      <c r="IS64" s="11">
        <v>36657</v>
      </c>
      <c r="IT64" s="11">
        <v>41777</v>
      </c>
      <c r="IU64" s="11">
        <v>39117</v>
      </c>
      <c r="IV64" s="11">
        <v>40669</v>
      </c>
      <c r="IW64" s="27">
        <f t="shared" si="22"/>
        <v>515368</v>
      </c>
      <c r="IX64" s="11">
        <v>24114</v>
      </c>
      <c r="IY64" s="11">
        <v>17002</v>
      </c>
      <c r="IZ64" s="11">
        <v>20277</v>
      </c>
      <c r="JA64" s="11">
        <v>23557</v>
      </c>
      <c r="JB64" s="11">
        <v>25460</v>
      </c>
      <c r="JC64" s="11">
        <v>24083</v>
      </c>
      <c r="JD64" s="11">
        <v>25189</v>
      </c>
      <c r="JE64" s="11">
        <v>23852</v>
      </c>
      <c r="JF64" s="11">
        <v>22261</v>
      </c>
      <c r="JG64" s="11">
        <v>24224</v>
      </c>
      <c r="JH64" s="11">
        <v>21645</v>
      </c>
      <c r="JI64" s="11">
        <v>23304</v>
      </c>
      <c r="JJ64" s="27">
        <f t="shared" si="23"/>
        <v>274968</v>
      </c>
      <c r="JK64" s="11">
        <v>23537</v>
      </c>
      <c r="JL64" s="11">
        <v>14522</v>
      </c>
      <c r="JM64" s="11">
        <v>15726</v>
      </c>
      <c r="JN64" s="11">
        <v>24519</v>
      </c>
      <c r="JO64" s="11">
        <v>28970</v>
      </c>
      <c r="JP64" s="11">
        <v>20426</v>
      </c>
      <c r="JQ64" s="11">
        <v>21067</v>
      </c>
      <c r="JR64" s="11">
        <v>18911</v>
      </c>
      <c r="JS64" s="11">
        <v>13966</v>
      </c>
      <c r="JT64" s="11">
        <v>17072</v>
      </c>
      <c r="JU64" s="11">
        <v>17108</v>
      </c>
      <c r="JV64" s="11">
        <v>16989</v>
      </c>
      <c r="JW64" s="27">
        <f t="shared" si="24"/>
        <v>232813</v>
      </c>
      <c r="JX64" s="11">
        <v>0</v>
      </c>
      <c r="JY64" s="11">
        <v>0</v>
      </c>
      <c r="JZ64" s="11">
        <v>0</v>
      </c>
      <c r="KA64" s="11">
        <v>0</v>
      </c>
      <c r="KB64" s="11">
        <v>0</v>
      </c>
      <c r="KC64" s="11">
        <v>0</v>
      </c>
      <c r="KD64" s="11">
        <v>0</v>
      </c>
      <c r="KE64" s="11">
        <v>0</v>
      </c>
      <c r="KF64" s="11">
        <v>0</v>
      </c>
      <c r="KG64" s="11">
        <v>0</v>
      </c>
      <c r="KH64" s="11">
        <v>0</v>
      </c>
      <c r="KI64" s="11">
        <v>0</v>
      </c>
      <c r="KJ64" s="27">
        <f t="shared" si="25"/>
        <v>0</v>
      </c>
      <c r="KK64" s="11">
        <v>618</v>
      </c>
      <c r="KL64" s="11">
        <v>41</v>
      </c>
      <c r="KM64" s="11">
        <v>561</v>
      </c>
      <c r="KN64" s="11">
        <v>776</v>
      </c>
      <c r="KO64" s="11">
        <v>777</v>
      </c>
      <c r="KP64" s="11">
        <v>631</v>
      </c>
      <c r="KQ64" s="11">
        <v>765</v>
      </c>
      <c r="KR64" s="11">
        <v>556</v>
      </c>
      <c r="KS64" s="11">
        <v>511</v>
      </c>
      <c r="KT64" s="11">
        <v>623</v>
      </c>
      <c r="KU64" s="11">
        <v>515</v>
      </c>
      <c r="KV64" s="11">
        <v>494</v>
      </c>
      <c r="KW64" s="27">
        <f t="shared" si="26"/>
        <v>6868</v>
      </c>
      <c r="KX64" s="11">
        <v>364</v>
      </c>
      <c r="KY64" s="11">
        <v>33</v>
      </c>
      <c r="KZ64" s="11">
        <v>413</v>
      </c>
      <c r="LA64" s="11">
        <v>516</v>
      </c>
      <c r="LB64" s="11">
        <v>443</v>
      </c>
      <c r="LC64" s="11">
        <v>400</v>
      </c>
      <c r="LD64" s="11">
        <v>542</v>
      </c>
      <c r="LE64" s="11">
        <v>359</v>
      </c>
      <c r="LF64" s="11">
        <v>365</v>
      </c>
      <c r="LG64" s="11">
        <v>434</v>
      </c>
      <c r="LH64" s="11">
        <v>314</v>
      </c>
      <c r="LI64" s="11">
        <v>323</v>
      </c>
      <c r="LJ64" s="27">
        <f t="shared" si="27"/>
        <v>4506</v>
      </c>
      <c r="LK64" s="11">
        <v>254</v>
      </c>
      <c r="LL64" s="11">
        <v>8</v>
      </c>
      <c r="LM64" s="11">
        <v>148</v>
      </c>
      <c r="LN64" s="11">
        <v>260</v>
      </c>
      <c r="LO64" s="11">
        <v>334</v>
      </c>
      <c r="LP64" s="11">
        <v>231</v>
      </c>
      <c r="LQ64" s="11">
        <v>223</v>
      </c>
      <c r="LR64" s="11">
        <v>197</v>
      </c>
      <c r="LS64" s="11">
        <v>146</v>
      </c>
      <c r="LT64" s="11">
        <v>189</v>
      </c>
      <c r="LU64" s="11">
        <v>189</v>
      </c>
      <c r="LV64" s="11">
        <v>171</v>
      </c>
      <c r="LW64" s="27">
        <f t="shared" si="28"/>
        <v>2350</v>
      </c>
      <c r="LX64" s="11">
        <v>0</v>
      </c>
      <c r="LY64" s="11">
        <v>0</v>
      </c>
      <c r="LZ64" s="11">
        <v>0</v>
      </c>
      <c r="MA64" s="11">
        <v>0</v>
      </c>
      <c r="MB64" s="11">
        <v>0</v>
      </c>
      <c r="MC64" s="11">
        <v>0</v>
      </c>
      <c r="MD64" s="11">
        <v>0</v>
      </c>
      <c r="ME64" s="11">
        <v>0</v>
      </c>
      <c r="MF64" s="11">
        <v>0</v>
      </c>
      <c r="MG64" s="11">
        <v>0</v>
      </c>
      <c r="MH64" s="11">
        <v>0</v>
      </c>
      <c r="MI64" s="11">
        <v>0</v>
      </c>
      <c r="MJ64" s="27">
        <f t="shared" si="29"/>
        <v>0</v>
      </c>
      <c r="MK64" s="11">
        <v>2769</v>
      </c>
      <c r="ML64" s="11">
        <v>2858</v>
      </c>
      <c r="MM64" s="11">
        <v>2714</v>
      </c>
      <c r="MN64" s="11">
        <v>2729</v>
      </c>
      <c r="MO64" s="11">
        <v>2714</v>
      </c>
      <c r="MP64" s="11">
        <v>2670</v>
      </c>
      <c r="MQ64" s="11">
        <v>2708</v>
      </c>
      <c r="MR64" s="11">
        <v>2473</v>
      </c>
      <c r="MS64" s="11">
        <v>2598</v>
      </c>
      <c r="MT64" s="11">
        <v>2769</v>
      </c>
      <c r="MU64" s="11">
        <v>2432</v>
      </c>
      <c r="MV64" s="11">
        <v>2711</v>
      </c>
      <c r="MW64" s="27">
        <f t="shared" si="30"/>
        <v>32145</v>
      </c>
      <c r="MX64" s="11">
        <v>0</v>
      </c>
      <c r="MY64" s="11">
        <v>0</v>
      </c>
      <c r="MZ64" s="11">
        <v>0</v>
      </c>
      <c r="NA64" s="11">
        <v>0</v>
      </c>
      <c r="NB64" s="11">
        <v>0</v>
      </c>
      <c r="NC64" s="11">
        <v>0</v>
      </c>
      <c r="ND64" s="11">
        <v>0</v>
      </c>
      <c r="NE64" s="11">
        <v>0</v>
      </c>
      <c r="NF64" s="11">
        <v>0</v>
      </c>
      <c r="NG64" s="11">
        <v>0</v>
      </c>
      <c r="NH64" s="11">
        <v>0</v>
      </c>
      <c r="NI64" s="11">
        <v>0</v>
      </c>
      <c r="NJ64" s="27">
        <f t="shared" si="31"/>
        <v>0</v>
      </c>
      <c r="NK64" s="11">
        <v>0</v>
      </c>
      <c r="NL64" s="11">
        <v>0</v>
      </c>
      <c r="NM64" s="11">
        <v>0</v>
      </c>
      <c r="NN64" s="11">
        <v>0</v>
      </c>
      <c r="NO64" s="11">
        <v>0</v>
      </c>
      <c r="NP64" s="11">
        <v>0</v>
      </c>
      <c r="NQ64" s="11">
        <v>0</v>
      </c>
      <c r="NR64" s="11">
        <v>0</v>
      </c>
      <c r="NS64" s="11">
        <v>0</v>
      </c>
      <c r="NT64" s="11">
        <v>0</v>
      </c>
      <c r="NU64" s="11">
        <v>0</v>
      </c>
      <c r="NV64" s="11">
        <v>0</v>
      </c>
      <c r="NW64" s="27">
        <f t="shared" si="32"/>
        <v>0</v>
      </c>
      <c r="NX64" s="11">
        <v>0</v>
      </c>
      <c r="NY64" s="11">
        <v>0</v>
      </c>
      <c r="NZ64" s="11">
        <v>0</v>
      </c>
      <c r="OA64" s="11">
        <v>0</v>
      </c>
      <c r="OB64" s="11">
        <v>0</v>
      </c>
      <c r="OC64" s="11">
        <v>0</v>
      </c>
      <c r="OD64" s="11">
        <v>0</v>
      </c>
      <c r="OE64" s="11">
        <v>0</v>
      </c>
      <c r="OF64" s="11">
        <v>0</v>
      </c>
      <c r="OG64" s="11">
        <v>0</v>
      </c>
      <c r="OH64" s="11">
        <v>0</v>
      </c>
      <c r="OI64" s="11">
        <v>0</v>
      </c>
      <c r="OJ64" s="27">
        <f t="shared" si="33"/>
        <v>0</v>
      </c>
      <c r="OK64" s="11">
        <v>7750</v>
      </c>
      <c r="OL64" s="11">
        <v>8087</v>
      </c>
      <c r="OM64" s="11">
        <v>7784</v>
      </c>
      <c r="ON64" s="11">
        <v>8292</v>
      </c>
      <c r="OO64" s="11">
        <v>8577</v>
      </c>
      <c r="OP64" s="11">
        <v>8022</v>
      </c>
      <c r="OQ64" s="11">
        <v>8397</v>
      </c>
      <c r="OR64" s="11">
        <v>8281</v>
      </c>
      <c r="OS64" s="11">
        <v>8388</v>
      </c>
      <c r="OT64" s="11">
        <v>8881</v>
      </c>
      <c r="OU64" s="11">
        <v>8053</v>
      </c>
      <c r="OV64" s="11">
        <v>9025</v>
      </c>
      <c r="OW64" s="27">
        <f t="shared" si="34"/>
        <v>99537</v>
      </c>
      <c r="OX64" s="11">
        <v>0</v>
      </c>
      <c r="OY64" s="11">
        <v>0</v>
      </c>
      <c r="OZ64" s="11">
        <v>0</v>
      </c>
      <c r="PA64" s="11">
        <v>0</v>
      </c>
      <c r="PB64" s="11">
        <v>0</v>
      </c>
      <c r="PC64" s="11">
        <v>0</v>
      </c>
      <c r="PD64" s="11">
        <v>0</v>
      </c>
      <c r="PE64" s="11">
        <v>0</v>
      </c>
      <c r="PF64" s="11">
        <v>0</v>
      </c>
      <c r="PG64" s="11">
        <v>0</v>
      </c>
      <c r="PH64" s="11">
        <v>0</v>
      </c>
      <c r="PI64" s="11">
        <v>0</v>
      </c>
      <c r="PJ64" s="27">
        <f t="shared" si="35"/>
        <v>0</v>
      </c>
      <c r="PK64" s="11">
        <v>0</v>
      </c>
      <c r="PL64" s="11">
        <v>0</v>
      </c>
      <c r="PM64" s="11">
        <v>0</v>
      </c>
      <c r="PN64" s="11">
        <v>0</v>
      </c>
      <c r="PO64" s="11">
        <v>0</v>
      </c>
      <c r="PP64" s="11">
        <v>0</v>
      </c>
      <c r="PQ64" s="11">
        <v>0</v>
      </c>
      <c r="PR64" s="11">
        <v>0</v>
      </c>
      <c r="PS64" s="11">
        <v>0</v>
      </c>
      <c r="PT64" s="11">
        <v>0</v>
      </c>
      <c r="PU64" s="11">
        <v>0</v>
      </c>
      <c r="PV64" s="11">
        <v>0</v>
      </c>
      <c r="PW64" s="27">
        <f t="shared" si="36"/>
        <v>0</v>
      </c>
      <c r="PX64" s="11">
        <v>0</v>
      </c>
      <c r="PY64" s="11">
        <v>0</v>
      </c>
      <c r="PZ64" s="11">
        <v>0</v>
      </c>
      <c r="QA64" s="11">
        <v>0</v>
      </c>
      <c r="QB64" s="11">
        <v>0</v>
      </c>
      <c r="QC64" s="11">
        <v>0</v>
      </c>
      <c r="QD64" s="11">
        <v>0</v>
      </c>
      <c r="QE64" s="11">
        <v>0</v>
      </c>
      <c r="QF64" s="11">
        <v>0</v>
      </c>
      <c r="QG64" s="11">
        <v>0</v>
      </c>
      <c r="QH64" s="11">
        <v>0</v>
      </c>
      <c r="QI64" s="11">
        <v>0</v>
      </c>
      <c r="QJ64" s="27">
        <f t="shared" si="37"/>
        <v>0</v>
      </c>
      <c r="QK64" s="11">
        <v>19551</v>
      </c>
      <c r="QL64" s="11">
        <v>16707</v>
      </c>
      <c r="QM64" s="11">
        <v>15803</v>
      </c>
      <c r="QN64" s="11">
        <v>22172</v>
      </c>
      <c r="QO64" s="11">
        <v>20486</v>
      </c>
      <c r="QP64" s="11">
        <v>18857</v>
      </c>
      <c r="QQ64" s="11">
        <v>20043</v>
      </c>
      <c r="QR64" s="11">
        <v>18473</v>
      </c>
      <c r="QS64" s="11">
        <v>13321</v>
      </c>
      <c r="QT64" s="11">
        <v>18672</v>
      </c>
      <c r="QU64" s="11">
        <v>18093</v>
      </c>
      <c r="QV64" s="11">
        <v>17530</v>
      </c>
      <c r="QW64" s="27">
        <f t="shared" si="38"/>
        <v>219708</v>
      </c>
      <c r="QX64" s="11">
        <v>16896</v>
      </c>
      <c r="QY64" s="11">
        <v>15263</v>
      </c>
      <c r="QZ64" s="11">
        <v>15274</v>
      </c>
      <c r="RA64" s="11">
        <v>18200</v>
      </c>
      <c r="RB64" s="11">
        <v>17931</v>
      </c>
      <c r="RC64" s="11">
        <v>17244</v>
      </c>
      <c r="RD64" s="11">
        <v>16725</v>
      </c>
      <c r="RE64" s="11">
        <v>15111</v>
      </c>
      <c r="RF64" s="11">
        <v>14292</v>
      </c>
      <c r="RG64" s="11">
        <v>14583</v>
      </c>
      <c r="RH64" s="11">
        <v>15673</v>
      </c>
      <c r="RI64" s="11">
        <v>15941</v>
      </c>
      <c r="RJ64" s="27">
        <f t="shared" si="39"/>
        <v>193133</v>
      </c>
      <c r="RK64" s="11">
        <v>0</v>
      </c>
      <c r="RL64" s="11">
        <v>0</v>
      </c>
      <c r="RM64" s="11">
        <v>0</v>
      </c>
      <c r="RN64" s="11">
        <v>0</v>
      </c>
      <c r="RO64" s="11">
        <v>0</v>
      </c>
      <c r="RP64" s="11">
        <v>0</v>
      </c>
      <c r="RQ64" s="11">
        <v>0</v>
      </c>
      <c r="RR64" s="11">
        <v>0</v>
      </c>
      <c r="RS64" s="11">
        <v>0</v>
      </c>
      <c r="RT64" s="11">
        <v>0</v>
      </c>
      <c r="RU64" s="11">
        <v>0</v>
      </c>
      <c r="RV64" s="11">
        <v>0</v>
      </c>
      <c r="RW64" s="27">
        <f t="shared" si="40"/>
        <v>0</v>
      </c>
      <c r="RX64" s="11">
        <v>524</v>
      </c>
      <c r="RY64" s="11">
        <v>553</v>
      </c>
      <c r="RZ64" s="11">
        <v>345</v>
      </c>
      <c r="SA64" s="11">
        <v>164</v>
      </c>
      <c r="SB64" s="11">
        <v>413</v>
      </c>
      <c r="SC64" s="11">
        <v>449</v>
      </c>
      <c r="SD64" s="11">
        <v>457</v>
      </c>
      <c r="SE64" s="11">
        <v>359</v>
      </c>
      <c r="SF64" s="11">
        <v>263</v>
      </c>
      <c r="SG64" s="11">
        <v>329</v>
      </c>
      <c r="SH64" s="11">
        <v>297</v>
      </c>
      <c r="SI64" s="11">
        <v>210</v>
      </c>
      <c r="SJ64" s="27">
        <f t="shared" si="41"/>
        <v>4363</v>
      </c>
      <c r="SK64" s="11">
        <v>61</v>
      </c>
      <c r="SL64" s="11">
        <v>114</v>
      </c>
      <c r="SM64" s="11">
        <v>74</v>
      </c>
      <c r="SN64" s="11">
        <v>79</v>
      </c>
      <c r="SO64" s="11">
        <v>90</v>
      </c>
      <c r="SP64" s="11">
        <v>115</v>
      </c>
      <c r="SQ64" s="11">
        <v>114</v>
      </c>
      <c r="SR64" s="11">
        <v>115</v>
      </c>
      <c r="SS64" s="11">
        <v>131</v>
      </c>
      <c r="ST64" s="11">
        <v>123</v>
      </c>
      <c r="SU64" s="11">
        <v>144</v>
      </c>
      <c r="SV64" s="11">
        <v>134</v>
      </c>
      <c r="SW64" s="27">
        <f t="shared" si="42"/>
        <v>1294</v>
      </c>
      <c r="SX64" s="11" t="s">
        <v>2704</v>
      </c>
      <c r="SY64" s="11">
        <v>2845</v>
      </c>
      <c r="SZ64" s="11">
        <v>2619</v>
      </c>
      <c r="TA64" s="11">
        <v>2572</v>
      </c>
      <c r="TB64" s="11">
        <v>2776</v>
      </c>
      <c r="TC64" s="11">
        <v>2528</v>
      </c>
      <c r="TD64" s="11">
        <v>2476</v>
      </c>
      <c r="TE64" s="11">
        <v>2657</v>
      </c>
      <c r="TF64" s="11">
        <v>2561</v>
      </c>
      <c r="TG64" s="11">
        <v>2000</v>
      </c>
      <c r="TH64" s="11">
        <v>2533</v>
      </c>
      <c r="TI64" s="11">
        <v>2553</v>
      </c>
      <c r="TJ64" s="11">
        <v>2814</v>
      </c>
      <c r="TK64" s="27">
        <f t="shared" si="43"/>
        <v>30934</v>
      </c>
      <c r="TL64" s="11">
        <v>0</v>
      </c>
      <c r="TM64" s="11">
        <v>0</v>
      </c>
      <c r="TN64" s="11">
        <v>0</v>
      </c>
      <c r="TO64" s="11">
        <v>0</v>
      </c>
      <c r="TP64" s="11">
        <v>0</v>
      </c>
      <c r="TQ64" s="11">
        <v>0</v>
      </c>
      <c r="TR64" s="11">
        <v>0</v>
      </c>
      <c r="TS64" s="11">
        <v>0</v>
      </c>
      <c r="TT64" s="11">
        <v>0</v>
      </c>
      <c r="TU64" s="11">
        <v>0</v>
      </c>
      <c r="TV64" s="11">
        <v>0</v>
      </c>
      <c r="TW64" s="11">
        <v>0</v>
      </c>
      <c r="TX64" s="27">
        <f t="shared" si="44"/>
        <v>0</v>
      </c>
      <c r="TY64" s="11">
        <v>80</v>
      </c>
      <c r="TZ64" s="11"/>
      <c r="UA64" s="11"/>
    </row>
    <row r="65" spans="1:547" ht="16" customHeight="1" x14ac:dyDescent="0.35">
      <c r="A65" s="11" t="s">
        <v>1457</v>
      </c>
      <c r="B65" s="11">
        <v>27634</v>
      </c>
      <c r="C65" s="11">
        <v>9448</v>
      </c>
      <c r="D65" s="11">
        <v>16321</v>
      </c>
      <c r="E65" s="11">
        <v>1865</v>
      </c>
      <c r="F65" s="11">
        <v>309</v>
      </c>
      <c r="G65" s="11">
        <v>339</v>
      </c>
      <c r="H65" s="11">
        <v>318</v>
      </c>
      <c r="I65" s="11">
        <v>295</v>
      </c>
      <c r="J65" s="11">
        <v>377</v>
      </c>
      <c r="K65" s="11">
        <v>291</v>
      </c>
      <c r="L65" s="11">
        <v>420</v>
      </c>
      <c r="M65" s="11">
        <v>466</v>
      </c>
      <c r="N65" s="11">
        <v>287</v>
      </c>
      <c r="O65" s="11">
        <v>350</v>
      </c>
      <c r="P65" s="11" t="s">
        <v>2865</v>
      </c>
      <c r="Q65" s="11">
        <v>466</v>
      </c>
      <c r="R65" s="11">
        <v>477</v>
      </c>
      <c r="S65" s="26">
        <f t="shared" si="0"/>
        <v>4395</v>
      </c>
      <c r="T65" s="11">
        <v>0</v>
      </c>
      <c r="U65" s="11">
        <v>0</v>
      </c>
      <c r="V65" s="11">
        <v>0</v>
      </c>
      <c r="W65" s="11">
        <v>0</v>
      </c>
      <c r="X65" s="11">
        <v>0</v>
      </c>
      <c r="Y65" s="11">
        <v>0</v>
      </c>
      <c r="Z65" s="11">
        <v>0</v>
      </c>
      <c r="AA65" s="11">
        <v>0</v>
      </c>
      <c r="AB65" s="11">
        <v>0</v>
      </c>
      <c r="AC65" s="11">
        <v>0</v>
      </c>
      <c r="AD65" s="11">
        <v>0</v>
      </c>
      <c r="AE65" s="11">
        <v>0</v>
      </c>
      <c r="AF65" s="26">
        <f t="shared" si="1"/>
        <v>0</v>
      </c>
      <c r="AG65" s="11">
        <v>0</v>
      </c>
      <c r="AH65" s="11">
        <v>0</v>
      </c>
      <c r="AI65" s="11">
        <v>0</v>
      </c>
      <c r="AJ65" s="11">
        <v>0</v>
      </c>
      <c r="AK65" s="11">
        <v>0</v>
      </c>
      <c r="AL65" s="11">
        <v>0</v>
      </c>
      <c r="AM65" s="11">
        <v>0</v>
      </c>
      <c r="AN65" s="11">
        <v>0</v>
      </c>
      <c r="AO65" s="11">
        <v>0</v>
      </c>
      <c r="AP65" s="11">
        <v>0</v>
      </c>
      <c r="AQ65" s="11">
        <v>0</v>
      </c>
      <c r="AR65" s="11">
        <v>0</v>
      </c>
      <c r="AS65" s="26">
        <f t="shared" si="2"/>
        <v>0</v>
      </c>
      <c r="AT65" s="11">
        <v>0</v>
      </c>
      <c r="AU65" s="11">
        <v>0</v>
      </c>
      <c r="AV65" s="11">
        <v>0</v>
      </c>
      <c r="AW65" s="11">
        <v>0</v>
      </c>
      <c r="AX65" s="11">
        <v>0</v>
      </c>
      <c r="AY65" s="11">
        <v>0</v>
      </c>
      <c r="AZ65" s="11">
        <v>0</v>
      </c>
      <c r="BA65" s="11">
        <v>0</v>
      </c>
      <c r="BB65" s="11">
        <v>0</v>
      </c>
      <c r="BC65" s="11">
        <v>0</v>
      </c>
      <c r="BD65" s="11">
        <v>0</v>
      </c>
      <c r="BE65" s="11">
        <v>0</v>
      </c>
      <c r="BF65" s="26">
        <f t="shared" si="3"/>
        <v>0</v>
      </c>
      <c r="BG65" s="11">
        <v>0</v>
      </c>
      <c r="BH65" s="11">
        <v>0</v>
      </c>
      <c r="BI65" s="11">
        <v>0</v>
      </c>
      <c r="BJ65" s="11">
        <v>0</v>
      </c>
      <c r="BK65" s="11">
        <v>0</v>
      </c>
      <c r="BL65" s="11">
        <v>0</v>
      </c>
      <c r="BM65" s="11">
        <v>0</v>
      </c>
      <c r="BN65" s="11">
        <v>0</v>
      </c>
      <c r="BO65" s="11">
        <v>0</v>
      </c>
      <c r="BP65" s="11">
        <v>0</v>
      </c>
      <c r="BQ65" s="11">
        <v>0</v>
      </c>
      <c r="BR65" s="11">
        <v>0</v>
      </c>
      <c r="BS65" s="26">
        <f t="shared" si="4"/>
        <v>0</v>
      </c>
      <c r="BT65" s="11">
        <v>0</v>
      </c>
      <c r="BU65" s="11">
        <v>0</v>
      </c>
      <c r="BV65" s="11">
        <v>0</v>
      </c>
      <c r="BW65" s="11">
        <v>0</v>
      </c>
      <c r="BX65" s="11">
        <v>0</v>
      </c>
      <c r="BY65" s="11">
        <v>0</v>
      </c>
      <c r="BZ65" s="11">
        <v>0</v>
      </c>
      <c r="CA65" s="11">
        <v>0</v>
      </c>
      <c r="CB65" s="11">
        <v>0</v>
      </c>
      <c r="CC65" s="11">
        <v>0</v>
      </c>
      <c r="CD65" s="11">
        <v>0</v>
      </c>
      <c r="CE65" s="11">
        <v>0</v>
      </c>
      <c r="CF65" s="26">
        <f t="shared" si="5"/>
        <v>0</v>
      </c>
      <c r="CG65" s="11">
        <v>0</v>
      </c>
      <c r="CH65" s="11">
        <v>0</v>
      </c>
      <c r="CI65" s="11">
        <v>0</v>
      </c>
      <c r="CJ65" s="11">
        <v>0</v>
      </c>
      <c r="CK65" s="11">
        <v>0</v>
      </c>
      <c r="CL65" s="11">
        <v>0</v>
      </c>
      <c r="CM65" s="11">
        <v>0</v>
      </c>
      <c r="CN65" s="11">
        <v>0</v>
      </c>
      <c r="CO65" s="11">
        <v>0</v>
      </c>
      <c r="CP65" s="11">
        <v>0</v>
      </c>
      <c r="CQ65" s="11">
        <v>0</v>
      </c>
      <c r="CR65" s="11">
        <v>0</v>
      </c>
      <c r="CS65" s="26">
        <f t="shared" si="6"/>
        <v>0</v>
      </c>
      <c r="CT65" s="11">
        <v>0</v>
      </c>
      <c r="CU65" s="11">
        <v>0</v>
      </c>
      <c r="CV65" s="11">
        <v>0</v>
      </c>
      <c r="CW65" s="11">
        <v>0</v>
      </c>
      <c r="CX65" s="11">
        <v>0</v>
      </c>
      <c r="CY65" s="11">
        <v>0</v>
      </c>
      <c r="CZ65" s="11">
        <v>0</v>
      </c>
      <c r="DA65" s="11">
        <v>0</v>
      </c>
      <c r="DB65" s="11">
        <v>0</v>
      </c>
      <c r="DC65" s="11">
        <v>0</v>
      </c>
      <c r="DD65" s="11">
        <v>0</v>
      </c>
      <c r="DE65" s="11">
        <v>0</v>
      </c>
      <c r="DF65" s="26">
        <f t="shared" si="7"/>
        <v>0</v>
      </c>
      <c r="DG65" s="11">
        <v>0</v>
      </c>
      <c r="DH65" s="11">
        <v>0</v>
      </c>
      <c r="DI65" s="11">
        <v>0</v>
      </c>
      <c r="DJ65" s="11">
        <v>0</v>
      </c>
      <c r="DK65" s="11">
        <v>0</v>
      </c>
      <c r="DL65" s="11">
        <v>0</v>
      </c>
      <c r="DM65" s="11">
        <v>0</v>
      </c>
      <c r="DN65" s="11">
        <v>0</v>
      </c>
      <c r="DO65" s="11">
        <v>0</v>
      </c>
      <c r="DP65" s="11">
        <v>0</v>
      </c>
      <c r="DQ65" s="11">
        <v>0</v>
      </c>
      <c r="DR65" s="11">
        <v>0</v>
      </c>
      <c r="DS65" s="26">
        <f t="shared" si="8"/>
        <v>0</v>
      </c>
      <c r="DT65" s="11">
        <v>0</v>
      </c>
      <c r="DU65" s="11">
        <v>0</v>
      </c>
      <c r="DV65" s="11">
        <v>0</v>
      </c>
      <c r="DW65" s="11">
        <v>0</v>
      </c>
      <c r="DX65" s="11">
        <v>0</v>
      </c>
      <c r="DY65" s="11">
        <v>0</v>
      </c>
      <c r="DZ65" s="11">
        <v>0</v>
      </c>
      <c r="EA65" s="11">
        <v>0</v>
      </c>
      <c r="EB65" s="11">
        <v>0</v>
      </c>
      <c r="EC65" s="11">
        <v>0</v>
      </c>
      <c r="ED65" s="11">
        <v>0</v>
      </c>
      <c r="EE65" s="11">
        <v>0</v>
      </c>
      <c r="EF65" s="26">
        <f t="shared" si="9"/>
        <v>0</v>
      </c>
      <c r="EG65" s="9">
        <f t="shared" si="10"/>
        <v>0</v>
      </c>
      <c r="EH65" s="9">
        <f t="shared" si="11"/>
        <v>0</v>
      </c>
      <c r="EI65" s="11">
        <v>4016</v>
      </c>
      <c r="EJ65" s="11">
        <v>4407</v>
      </c>
      <c r="EK65" s="11">
        <v>4131</v>
      </c>
      <c r="EL65" s="11">
        <v>3834</v>
      </c>
      <c r="EM65" s="11">
        <v>4900</v>
      </c>
      <c r="EN65" s="11">
        <v>3787</v>
      </c>
      <c r="EO65" s="11">
        <v>5457</v>
      </c>
      <c r="EP65" s="11">
        <v>6052</v>
      </c>
      <c r="EQ65" s="11">
        <v>3730</v>
      </c>
      <c r="ER65" s="11">
        <v>4552</v>
      </c>
      <c r="ES65" s="11">
        <v>6057</v>
      </c>
      <c r="ET65" s="11">
        <v>6206</v>
      </c>
      <c r="EU65" s="26">
        <f t="shared" si="12"/>
        <v>57129</v>
      </c>
      <c r="EV65" s="11">
        <v>1887</v>
      </c>
      <c r="EW65" s="11">
        <v>2014</v>
      </c>
      <c r="EX65" s="11">
        <v>1565</v>
      </c>
      <c r="EY65" s="11">
        <v>1942</v>
      </c>
      <c r="EZ65" s="11">
        <v>2572</v>
      </c>
      <c r="FA65" s="11">
        <v>1771</v>
      </c>
      <c r="FB65" s="11">
        <v>2289</v>
      </c>
      <c r="FC65" s="11">
        <v>2281</v>
      </c>
      <c r="FD65" s="11">
        <v>1744</v>
      </c>
      <c r="FE65" s="11">
        <v>2113</v>
      </c>
      <c r="FF65" s="11">
        <v>2460</v>
      </c>
      <c r="FG65" s="11">
        <v>2482</v>
      </c>
      <c r="FH65" s="26">
        <f t="shared" si="13"/>
        <v>25120</v>
      </c>
      <c r="FI65" s="11">
        <v>2129</v>
      </c>
      <c r="FJ65" s="11">
        <v>2393</v>
      </c>
      <c r="FK65" s="11">
        <v>2566</v>
      </c>
      <c r="FL65" s="11">
        <v>1892</v>
      </c>
      <c r="FM65" s="11">
        <v>2328</v>
      </c>
      <c r="FN65" s="11">
        <v>2016</v>
      </c>
      <c r="FO65" s="11">
        <v>3168</v>
      </c>
      <c r="FP65" s="11">
        <v>3776</v>
      </c>
      <c r="FQ65" s="11">
        <v>1986</v>
      </c>
      <c r="FR65" s="11">
        <v>2557</v>
      </c>
      <c r="FS65" s="11">
        <v>3597</v>
      </c>
      <c r="FT65" s="11">
        <v>3724</v>
      </c>
      <c r="FU65" s="26">
        <f t="shared" si="14"/>
        <v>32132</v>
      </c>
      <c r="FV65" s="11">
        <v>0</v>
      </c>
      <c r="FW65" s="11">
        <v>0</v>
      </c>
      <c r="FX65" s="11">
        <v>0</v>
      </c>
      <c r="FY65" s="11">
        <v>0</v>
      </c>
      <c r="FZ65" s="11">
        <v>0</v>
      </c>
      <c r="GA65" s="11">
        <v>0</v>
      </c>
      <c r="GB65" s="11">
        <v>0</v>
      </c>
      <c r="GC65" s="11">
        <v>0</v>
      </c>
      <c r="GD65" s="11">
        <v>0</v>
      </c>
      <c r="GE65" s="11">
        <v>0</v>
      </c>
      <c r="GF65" s="11">
        <v>0</v>
      </c>
      <c r="GG65" s="11">
        <v>0</v>
      </c>
      <c r="GH65" s="26">
        <f t="shared" si="15"/>
        <v>0</v>
      </c>
      <c r="GI65" s="11">
        <v>0</v>
      </c>
      <c r="GJ65" s="11">
        <v>0</v>
      </c>
      <c r="GK65" s="11">
        <v>0</v>
      </c>
      <c r="GL65" s="11">
        <v>0</v>
      </c>
      <c r="GM65" s="11">
        <v>0</v>
      </c>
      <c r="GN65" s="11">
        <v>0</v>
      </c>
      <c r="GO65" s="11">
        <v>0</v>
      </c>
      <c r="GP65" s="11">
        <v>0</v>
      </c>
      <c r="GQ65" s="11">
        <v>0</v>
      </c>
      <c r="GR65" s="11">
        <v>0</v>
      </c>
      <c r="GS65" s="11">
        <v>0</v>
      </c>
      <c r="GT65" s="11">
        <v>0</v>
      </c>
      <c r="GU65" s="26">
        <f t="shared" si="16"/>
        <v>0</v>
      </c>
      <c r="GV65" s="11">
        <v>0</v>
      </c>
      <c r="GW65" s="11">
        <v>0</v>
      </c>
      <c r="GX65" s="11">
        <v>0</v>
      </c>
      <c r="GY65" s="11">
        <v>0</v>
      </c>
      <c r="GZ65" s="11">
        <v>0</v>
      </c>
      <c r="HA65" s="11">
        <v>0</v>
      </c>
      <c r="HB65" s="11">
        <v>0</v>
      </c>
      <c r="HC65" s="11">
        <v>0</v>
      </c>
      <c r="HD65" s="11">
        <v>0</v>
      </c>
      <c r="HE65" s="11">
        <v>0</v>
      </c>
      <c r="HF65" s="11">
        <v>0</v>
      </c>
      <c r="HG65" s="11">
        <v>0</v>
      </c>
      <c r="HH65" s="26">
        <f t="shared" si="17"/>
        <v>0</v>
      </c>
      <c r="HI65" s="11">
        <v>0</v>
      </c>
      <c r="HJ65" s="11">
        <v>0</v>
      </c>
      <c r="HK65" s="11">
        <v>0</v>
      </c>
      <c r="HL65" s="11">
        <v>0</v>
      </c>
      <c r="HM65" s="11">
        <v>0</v>
      </c>
      <c r="HN65" s="11">
        <v>0</v>
      </c>
      <c r="HO65" s="11">
        <v>0</v>
      </c>
      <c r="HP65" s="11">
        <v>0</v>
      </c>
      <c r="HQ65" s="11">
        <v>0</v>
      </c>
      <c r="HR65" s="11">
        <v>0</v>
      </c>
      <c r="HS65" s="11">
        <v>0</v>
      </c>
      <c r="HT65" s="11">
        <v>0</v>
      </c>
      <c r="HU65" s="26">
        <f t="shared" si="18"/>
        <v>0</v>
      </c>
      <c r="HV65" s="11">
        <v>0</v>
      </c>
      <c r="HW65" s="11">
        <v>0</v>
      </c>
      <c r="HX65" s="11">
        <v>0</v>
      </c>
      <c r="HY65" s="11">
        <v>0</v>
      </c>
      <c r="HZ65" s="11">
        <v>0</v>
      </c>
      <c r="IA65" s="11">
        <v>0</v>
      </c>
      <c r="IB65" s="11">
        <v>0</v>
      </c>
      <c r="IC65" s="11">
        <v>0</v>
      </c>
      <c r="ID65" s="11">
        <v>0</v>
      </c>
      <c r="IE65" s="11">
        <v>0</v>
      </c>
      <c r="IF65" s="11">
        <v>0</v>
      </c>
      <c r="IG65" s="11">
        <v>0</v>
      </c>
      <c r="IH65" s="26">
        <f t="shared" si="19"/>
        <v>0</v>
      </c>
      <c r="II65" s="9">
        <f t="shared" si="20"/>
        <v>57252</v>
      </c>
      <c r="IJ65" s="9">
        <f t="shared" si="21"/>
        <v>0</v>
      </c>
      <c r="IK65" s="11">
        <v>43740</v>
      </c>
      <c r="IL65" s="11">
        <v>36082</v>
      </c>
      <c r="IM65" s="11">
        <v>30791</v>
      </c>
      <c r="IN65" s="11">
        <v>45378</v>
      </c>
      <c r="IO65" s="11">
        <v>4449</v>
      </c>
      <c r="IP65" s="11">
        <v>34324</v>
      </c>
      <c r="IQ65" s="11">
        <v>38606</v>
      </c>
      <c r="IR65" s="11">
        <v>34097</v>
      </c>
      <c r="IS65" s="11">
        <v>30718</v>
      </c>
      <c r="IT65" s="11">
        <v>44960</v>
      </c>
      <c r="IU65" s="11">
        <v>34289</v>
      </c>
      <c r="IV65" s="11">
        <v>33584</v>
      </c>
      <c r="IW65" s="27">
        <f t="shared" si="22"/>
        <v>411018</v>
      </c>
      <c r="IX65" s="11">
        <v>23659</v>
      </c>
      <c r="IY65" s="11">
        <v>23405</v>
      </c>
      <c r="IZ65" s="11">
        <v>21701</v>
      </c>
      <c r="JA65" s="11">
        <v>24065</v>
      </c>
      <c r="JB65" s="11">
        <v>24353</v>
      </c>
      <c r="JC65" s="11">
        <v>2182</v>
      </c>
      <c r="JD65" s="11">
        <v>24573</v>
      </c>
      <c r="JE65" s="11">
        <v>23055</v>
      </c>
      <c r="JF65" s="11">
        <v>18766</v>
      </c>
      <c r="JG65" s="11">
        <v>23638</v>
      </c>
      <c r="JH65" s="11">
        <v>20858</v>
      </c>
      <c r="JI65" s="11">
        <v>22150</v>
      </c>
      <c r="JJ65" s="27">
        <f t="shared" si="23"/>
        <v>252405</v>
      </c>
      <c r="JK65" s="11">
        <v>19266</v>
      </c>
      <c r="JL65" s="11">
        <v>11687</v>
      </c>
      <c r="JM65" s="11">
        <v>8717</v>
      </c>
      <c r="JN65" s="11">
        <v>19959</v>
      </c>
      <c r="JO65" s="11">
        <v>19567</v>
      </c>
      <c r="JP65" s="11">
        <v>11846</v>
      </c>
      <c r="JQ65" s="11">
        <v>13366</v>
      </c>
      <c r="JR65" s="11">
        <v>10665</v>
      </c>
      <c r="JS65" s="11">
        <v>11655</v>
      </c>
      <c r="JT65" s="11">
        <v>19860</v>
      </c>
      <c r="JU65" s="11">
        <v>13030</v>
      </c>
      <c r="JV65" s="11">
        <v>10988</v>
      </c>
      <c r="JW65" s="27">
        <f t="shared" si="24"/>
        <v>170606</v>
      </c>
      <c r="JX65" s="11">
        <v>819</v>
      </c>
      <c r="JY65" s="11">
        <v>1004</v>
      </c>
      <c r="JZ65" s="11">
        <v>382</v>
      </c>
      <c r="KA65" s="11">
        <v>1374</v>
      </c>
      <c r="KB65" s="11">
        <v>559</v>
      </c>
      <c r="KC65" s="11">
        <v>515</v>
      </c>
      <c r="KD65" s="11">
        <v>675</v>
      </c>
      <c r="KE65" s="11">
        <v>389</v>
      </c>
      <c r="KF65" s="11">
        <v>314</v>
      </c>
      <c r="KG65" s="11">
        <v>1477</v>
      </c>
      <c r="KH65" s="11">
        <v>408</v>
      </c>
      <c r="KI65" s="11">
        <v>452</v>
      </c>
      <c r="KJ65" s="27">
        <f t="shared" si="25"/>
        <v>8368</v>
      </c>
      <c r="KK65" s="11">
        <v>553</v>
      </c>
      <c r="KL65" s="11">
        <v>481</v>
      </c>
      <c r="KM65" s="11">
        <v>509</v>
      </c>
      <c r="KN65" s="11">
        <v>580</v>
      </c>
      <c r="KO65" s="11">
        <v>482</v>
      </c>
      <c r="KP65" s="11">
        <v>412</v>
      </c>
      <c r="KQ65" s="11">
        <v>593</v>
      </c>
      <c r="KR65" s="11">
        <v>555</v>
      </c>
      <c r="KS65" s="11">
        <v>532</v>
      </c>
      <c r="KT65" s="11">
        <v>595</v>
      </c>
      <c r="KU65" s="11">
        <v>505</v>
      </c>
      <c r="KV65" s="11">
        <v>523</v>
      </c>
      <c r="KW65" s="27">
        <f t="shared" si="26"/>
        <v>6320</v>
      </c>
      <c r="KX65" s="11">
        <v>539</v>
      </c>
      <c r="KY65" s="11">
        <v>470</v>
      </c>
      <c r="KZ65" s="11">
        <v>504</v>
      </c>
      <c r="LA65" s="11">
        <v>559</v>
      </c>
      <c r="LB65" s="11">
        <v>459</v>
      </c>
      <c r="LC65" s="11">
        <v>400</v>
      </c>
      <c r="LD65" s="11">
        <v>581</v>
      </c>
      <c r="LE65" s="11">
        <v>545</v>
      </c>
      <c r="LF65" s="11">
        <v>519</v>
      </c>
      <c r="LG65" s="11">
        <v>588</v>
      </c>
      <c r="LH65" s="11">
        <v>499</v>
      </c>
      <c r="LI65" s="11">
        <v>521</v>
      </c>
      <c r="LJ65" s="27">
        <f t="shared" si="27"/>
        <v>6184</v>
      </c>
      <c r="LK65" s="11">
        <v>14</v>
      </c>
      <c r="LL65" s="11">
        <v>11</v>
      </c>
      <c r="LM65" s="11">
        <v>5</v>
      </c>
      <c r="LN65" s="11">
        <v>21</v>
      </c>
      <c r="LO65" s="11">
        <v>23</v>
      </c>
      <c r="LP65" s="11">
        <v>12</v>
      </c>
      <c r="LQ65" s="11">
        <v>12</v>
      </c>
      <c r="LR65" s="11">
        <v>10</v>
      </c>
      <c r="LS65" s="11">
        <v>1</v>
      </c>
      <c r="LT65" s="11">
        <v>7</v>
      </c>
      <c r="LU65" s="11">
        <v>6</v>
      </c>
      <c r="LV65" s="11">
        <v>2</v>
      </c>
      <c r="LW65" s="27">
        <f t="shared" si="28"/>
        <v>124</v>
      </c>
      <c r="LX65" s="11">
        <v>0</v>
      </c>
      <c r="LY65" s="11">
        <v>0</v>
      </c>
      <c r="LZ65" s="11">
        <v>0</v>
      </c>
      <c r="MA65" s="11">
        <v>0</v>
      </c>
      <c r="MB65" s="11">
        <v>0</v>
      </c>
      <c r="MC65" s="11">
        <v>0</v>
      </c>
      <c r="MD65" s="11">
        <v>0</v>
      </c>
      <c r="ME65" s="11">
        <v>0</v>
      </c>
      <c r="MF65" s="11">
        <v>0</v>
      </c>
      <c r="MG65" s="11">
        <v>0</v>
      </c>
      <c r="MH65" s="11">
        <v>0</v>
      </c>
      <c r="MI65" s="11">
        <v>0</v>
      </c>
      <c r="MJ65" s="27">
        <f t="shared" si="29"/>
        <v>0</v>
      </c>
      <c r="MK65" s="11">
        <v>1742</v>
      </c>
      <c r="ML65" s="11">
        <v>1812</v>
      </c>
      <c r="MM65" s="11">
        <v>1781</v>
      </c>
      <c r="MN65" s="11">
        <v>1782</v>
      </c>
      <c r="MO65" s="11">
        <v>1750</v>
      </c>
      <c r="MP65" s="11">
        <v>1806</v>
      </c>
      <c r="MQ65" s="11">
        <v>1824</v>
      </c>
      <c r="MR65" s="11">
        <v>1760</v>
      </c>
      <c r="MS65" s="11">
        <v>1683</v>
      </c>
      <c r="MT65" s="11">
        <v>1775</v>
      </c>
      <c r="MU65" s="11">
        <v>1547</v>
      </c>
      <c r="MV65" s="11">
        <v>1736</v>
      </c>
      <c r="MW65" s="27">
        <f t="shared" si="30"/>
        <v>20998</v>
      </c>
      <c r="MX65" s="11">
        <v>158</v>
      </c>
      <c r="MY65" s="11">
        <v>1583</v>
      </c>
      <c r="MZ65" s="11">
        <v>1587</v>
      </c>
      <c r="NA65" s="11">
        <v>1580</v>
      </c>
      <c r="NB65" s="11">
        <v>1552</v>
      </c>
      <c r="NC65" s="11">
        <v>1591</v>
      </c>
      <c r="ND65" s="11">
        <v>1633</v>
      </c>
      <c r="NE65" s="11">
        <v>1551</v>
      </c>
      <c r="NF65" s="11">
        <v>1489</v>
      </c>
      <c r="NG65" s="11">
        <v>1586</v>
      </c>
      <c r="NH65" s="11">
        <v>1365</v>
      </c>
      <c r="NI65" s="11">
        <v>1519</v>
      </c>
      <c r="NJ65" s="27">
        <f t="shared" si="31"/>
        <v>17194</v>
      </c>
      <c r="NK65" s="11">
        <v>129</v>
      </c>
      <c r="NL65" s="11">
        <v>158</v>
      </c>
      <c r="NM65" s="11">
        <v>101</v>
      </c>
      <c r="NN65" s="11">
        <v>119</v>
      </c>
      <c r="NO65" s="11">
        <v>114</v>
      </c>
      <c r="NP65" s="11">
        <v>126</v>
      </c>
      <c r="NQ65" s="11">
        <v>130</v>
      </c>
      <c r="NR65" s="11">
        <v>140</v>
      </c>
      <c r="NS65" s="11">
        <v>142</v>
      </c>
      <c r="NT65" s="11">
        <v>106</v>
      </c>
      <c r="NU65" s="11">
        <v>92</v>
      </c>
      <c r="NV65" s="11">
        <v>138</v>
      </c>
      <c r="NW65" s="27">
        <f t="shared" si="32"/>
        <v>1495</v>
      </c>
      <c r="NX65" s="11">
        <v>75</v>
      </c>
      <c r="NY65" s="11">
        <v>71</v>
      </c>
      <c r="NZ65" s="11">
        <v>96</v>
      </c>
      <c r="OA65" s="11">
        <v>83</v>
      </c>
      <c r="OB65" s="11">
        <v>84</v>
      </c>
      <c r="OC65" s="11">
        <v>88</v>
      </c>
      <c r="OD65" s="11">
        <v>61</v>
      </c>
      <c r="OE65" s="11">
        <v>78</v>
      </c>
      <c r="OF65" s="11">
        <v>52</v>
      </c>
      <c r="OG65" s="11">
        <v>83</v>
      </c>
      <c r="OH65" s="11">
        <v>90</v>
      </c>
      <c r="OI65" s="11">
        <v>79</v>
      </c>
      <c r="OJ65" s="27">
        <f t="shared" si="33"/>
        <v>940</v>
      </c>
      <c r="OK65" s="11">
        <v>3238</v>
      </c>
      <c r="OL65" s="11">
        <v>3297</v>
      </c>
      <c r="OM65" s="11">
        <v>3221</v>
      </c>
      <c r="ON65" s="11">
        <v>3420</v>
      </c>
      <c r="OO65" s="11">
        <v>3466</v>
      </c>
      <c r="OP65" s="11">
        <v>3369</v>
      </c>
      <c r="OQ65" s="11">
        <v>3446</v>
      </c>
      <c r="OR65" s="11">
        <v>3325</v>
      </c>
      <c r="OS65" s="11">
        <v>3323</v>
      </c>
      <c r="OT65" s="11">
        <v>3469</v>
      </c>
      <c r="OU65" s="11">
        <v>3351</v>
      </c>
      <c r="OV65" s="11">
        <v>3685</v>
      </c>
      <c r="OW65" s="27">
        <f t="shared" si="34"/>
        <v>40610</v>
      </c>
      <c r="OX65" s="11">
        <v>2583</v>
      </c>
      <c r="OY65" s="11">
        <v>2599</v>
      </c>
      <c r="OZ65" s="11">
        <v>2592</v>
      </c>
      <c r="PA65" s="11">
        <v>2651</v>
      </c>
      <c r="PB65" s="11">
        <v>2711</v>
      </c>
      <c r="PC65" s="11">
        <v>2730</v>
      </c>
      <c r="PD65" s="11">
        <v>2795</v>
      </c>
      <c r="PE65" s="11">
        <v>2677</v>
      </c>
      <c r="PF65" s="11">
        <v>2693</v>
      </c>
      <c r="PG65" s="11">
        <v>2815</v>
      </c>
      <c r="PH65" s="11">
        <v>2670</v>
      </c>
      <c r="PI65" s="11">
        <v>3035</v>
      </c>
      <c r="PJ65" s="27">
        <f t="shared" si="35"/>
        <v>32551</v>
      </c>
      <c r="PK65" s="11">
        <v>501</v>
      </c>
      <c r="PL65" s="11">
        <v>535</v>
      </c>
      <c r="PM65" s="11">
        <v>483</v>
      </c>
      <c r="PN65" s="11">
        <v>602</v>
      </c>
      <c r="PO65" s="11">
        <v>592</v>
      </c>
      <c r="PP65" s="11">
        <v>496</v>
      </c>
      <c r="PQ65" s="11">
        <v>506</v>
      </c>
      <c r="PR65" s="11">
        <v>509</v>
      </c>
      <c r="PS65" s="11">
        <v>514</v>
      </c>
      <c r="PT65" s="11">
        <v>518</v>
      </c>
      <c r="PU65" s="11">
        <v>532</v>
      </c>
      <c r="PV65" s="11">
        <v>506</v>
      </c>
      <c r="PW65" s="27">
        <f t="shared" si="36"/>
        <v>6294</v>
      </c>
      <c r="PX65" s="11">
        <v>154</v>
      </c>
      <c r="PY65" s="11">
        <v>163</v>
      </c>
      <c r="PZ65" s="11">
        <v>149</v>
      </c>
      <c r="QA65" s="11">
        <v>167</v>
      </c>
      <c r="QB65" s="11">
        <v>163</v>
      </c>
      <c r="QC65" s="11">
        <v>143</v>
      </c>
      <c r="QD65" s="11">
        <v>145</v>
      </c>
      <c r="QE65" s="11">
        <v>139</v>
      </c>
      <c r="QF65" s="11">
        <v>116</v>
      </c>
      <c r="QG65" s="11">
        <v>136</v>
      </c>
      <c r="QH65" s="11">
        <v>149</v>
      </c>
      <c r="QI65" s="11">
        <v>144</v>
      </c>
      <c r="QJ65" s="27">
        <f t="shared" si="37"/>
        <v>1768</v>
      </c>
      <c r="QK65" s="11">
        <v>7784</v>
      </c>
      <c r="QL65" s="11">
        <v>7572</v>
      </c>
      <c r="QM65" s="11">
        <v>7695</v>
      </c>
      <c r="QN65" s="11">
        <v>7954</v>
      </c>
      <c r="QO65" s="11">
        <v>8548</v>
      </c>
      <c r="QP65" s="11">
        <v>6812</v>
      </c>
      <c r="QQ65" s="11">
        <v>8471</v>
      </c>
      <c r="QR65" s="11">
        <v>8284</v>
      </c>
      <c r="QS65" s="11">
        <v>5513</v>
      </c>
      <c r="QT65" s="11">
        <v>8363</v>
      </c>
      <c r="QU65" s="11">
        <v>7995</v>
      </c>
      <c r="QV65" s="11">
        <v>8686</v>
      </c>
      <c r="QW65" s="27">
        <f t="shared" si="38"/>
        <v>93677</v>
      </c>
      <c r="QX65" s="11">
        <v>92018</v>
      </c>
      <c r="QY65" s="11">
        <v>90035</v>
      </c>
      <c r="QZ65" s="11">
        <v>86391</v>
      </c>
      <c r="RA65" s="11">
        <v>102346</v>
      </c>
      <c r="RB65" s="11">
        <v>8994</v>
      </c>
      <c r="RC65" s="11">
        <v>100976</v>
      </c>
      <c r="RD65" s="11">
        <v>95612</v>
      </c>
      <c r="RE65" s="11">
        <v>79746</v>
      </c>
      <c r="RF65" s="11">
        <v>97109</v>
      </c>
      <c r="RG65" s="11">
        <v>93626</v>
      </c>
      <c r="RH65" s="11">
        <v>94800</v>
      </c>
      <c r="RI65" s="11">
        <v>0</v>
      </c>
      <c r="RJ65" s="27">
        <f t="shared" si="39"/>
        <v>941653</v>
      </c>
      <c r="RK65" s="11">
        <v>0</v>
      </c>
      <c r="RL65" s="11">
        <v>0</v>
      </c>
      <c r="RM65" s="11">
        <v>0</v>
      </c>
      <c r="RN65" s="11">
        <v>0</v>
      </c>
      <c r="RO65" s="11">
        <v>0</v>
      </c>
      <c r="RP65" s="11">
        <v>0</v>
      </c>
      <c r="RQ65" s="11">
        <v>0</v>
      </c>
      <c r="RR65" s="11">
        <v>0</v>
      </c>
      <c r="RS65" s="11">
        <v>0</v>
      </c>
      <c r="RT65" s="11">
        <v>0</v>
      </c>
      <c r="RU65" s="11">
        <v>0</v>
      </c>
      <c r="RV65" s="11">
        <v>0</v>
      </c>
      <c r="RW65" s="27">
        <f t="shared" si="40"/>
        <v>0</v>
      </c>
      <c r="RX65" s="11">
        <v>1022</v>
      </c>
      <c r="RY65" s="11">
        <v>1033</v>
      </c>
      <c r="RZ65" s="11">
        <v>828</v>
      </c>
      <c r="SA65" s="11">
        <v>1041</v>
      </c>
      <c r="SB65" s="11">
        <v>873</v>
      </c>
      <c r="SC65" s="11">
        <v>377</v>
      </c>
      <c r="SD65" s="11">
        <v>1317</v>
      </c>
      <c r="SE65" s="11">
        <v>828</v>
      </c>
      <c r="SF65" s="11">
        <v>831</v>
      </c>
      <c r="SG65" s="11">
        <v>1314</v>
      </c>
      <c r="SH65" s="11">
        <v>802</v>
      </c>
      <c r="SI65" s="11">
        <v>1175</v>
      </c>
      <c r="SJ65" s="27">
        <f t="shared" si="41"/>
        <v>11441</v>
      </c>
      <c r="SK65" s="11">
        <v>919</v>
      </c>
      <c r="SL65" s="11">
        <v>858</v>
      </c>
      <c r="SM65" s="11">
        <v>984</v>
      </c>
      <c r="SN65" s="11">
        <v>1252</v>
      </c>
      <c r="SO65" s="11">
        <v>914</v>
      </c>
      <c r="SP65" s="11">
        <v>736</v>
      </c>
      <c r="SQ65" s="11">
        <v>1281</v>
      </c>
      <c r="SR65" s="11">
        <v>1084</v>
      </c>
      <c r="SS65" s="11">
        <v>832</v>
      </c>
      <c r="ST65" s="11">
        <v>876</v>
      </c>
      <c r="SU65" s="11">
        <v>647</v>
      </c>
      <c r="SV65" s="11">
        <v>845</v>
      </c>
      <c r="SW65" s="27">
        <f t="shared" si="42"/>
        <v>11228</v>
      </c>
      <c r="SX65" s="11"/>
      <c r="SY65" s="11">
        <v>4672</v>
      </c>
      <c r="SZ65" s="11">
        <v>4389</v>
      </c>
      <c r="TA65" s="11">
        <v>3689</v>
      </c>
      <c r="TB65" s="11">
        <v>4348</v>
      </c>
      <c r="TC65" s="11">
        <v>4335</v>
      </c>
      <c r="TD65" s="11">
        <v>4376</v>
      </c>
      <c r="TE65" s="11">
        <v>4800</v>
      </c>
      <c r="TF65" s="11">
        <v>4495</v>
      </c>
      <c r="TG65" s="11">
        <v>3623</v>
      </c>
      <c r="TH65" s="11">
        <v>4752</v>
      </c>
      <c r="TI65" s="11">
        <v>4614</v>
      </c>
      <c r="TJ65" s="11">
        <v>4855</v>
      </c>
      <c r="TK65" s="27">
        <f t="shared" si="43"/>
        <v>52948</v>
      </c>
      <c r="TL65" s="11">
        <v>4389</v>
      </c>
      <c r="TM65" s="11">
        <v>4591</v>
      </c>
      <c r="TN65" s="11">
        <v>3866</v>
      </c>
      <c r="TO65" s="11">
        <v>5525</v>
      </c>
      <c r="TP65" s="11">
        <v>5264</v>
      </c>
      <c r="TQ65" s="11">
        <v>3455</v>
      </c>
      <c r="TR65" s="11">
        <v>4122</v>
      </c>
      <c r="TS65" s="11">
        <v>6065</v>
      </c>
      <c r="TT65" s="11">
        <v>5933</v>
      </c>
      <c r="TU65" s="11">
        <v>6710</v>
      </c>
      <c r="TV65" s="11">
        <v>4922</v>
      </c>
      <c r="TW65" s="11">
        <v>5411</v>
      </c>
      <c r="TX65" s="27">
        <f t="shared" si="44"/>
        <v>60253</v>
      </c>
      <c r="TY65" s="11">
        <v>125</v>
      </c>
      <c r="TZ65" s="11">
        <v>0</v>
      </c>
      <c r="UA65" s="11">
        <v>0</v>
      </c>
    </row>
    <row r="66" spans="1:547" ht="16" customHeight="1" x14ac:dyDescent="0.35">
      <c r="A66" s="11" t="s">
        <v>1446</v>
      </c>
      <c r="B66" s="11">
        <v>55895</v>
      </c>
      <c r="C66" s="11"/>
      <c r="D66" s="11"/>
      <c r="E66" s="11"/>
      <c r="F66" s="11">
        <v>982</v>
      </c>
      <c r="G66" s="11">
        <v>1070</v>
      </c>
      <c r="H66" s="11">
        <v>992</v>
      </c>
      <c r="I66" s="11">
        <v>1070</v>
      </c>
      <c r="J66" s="11">
        <v>894</v>
      </c>
      <c r="K66" s="11">
        <v>948</v>
      </c>
      <c r="L66" s="11">
        <v>1102</v>
      </c>
      <c r="M66" s="11">
        <v>1047</v>
      </c>
      <c r="N66" s="11">
        <v>723</v>
      </c>
      <c r="O66" s="11">
        <v>788</v>
      </c>
      <c r="P66" s="11" t="s">
        <v>2865</v>
      </c>
      <c r="Q66" s="11">
        <v>688</v>
      </c>
      <c r="R66" s="11">
        <v>418</v>
      </c>
      <c r="S66" s="26">
        <f t="shared" si="0"/>
        <v>10722</v>
      </c>
      <c r="T66" s="11">
        <v>0</v>
      </c>
      <c r="U66" s="11">
        <v>0</v>
      </c>
      <c r="V66" s="11">
        <v>0</v>
      </c>
      <c r="W66" s="11">
        <v>0</v>
      </c>
      <c r="X66" s="11">
        <v>0</v>
      </c>
      <c r="Y66" s="11">
        <v>0</v>
      </c>
      <c r="Z66" s="11">
        <v>0</v>
      </c>
      <c r="AA66" s="11">
        <v>0</v>
      </c>
      <c r="AB66" s="11">
        <v>0</v>
      </c>
      <c r="AC66" s="11">
        <v>0</v>
      </c>
      <c r="AD66" s="11">
        <v>0</v>
      </c>
      <c r="AE66" s="11">
        <v>0</v>
      </c>
      <c r="AF66" s="26">
        <f t="shared" si="1"/>
        <v>0</v>
      </c>
      <c r="AG66" s="11">
        <v>0</v>
      </c>
      <c r="AH66" s="11">
        <v>0</v>
      </c>
      <c r="AI66" s="11">
        <v>0</v>
      </c>
      <c r="AJ66" s="11">
        <v>0</v>
      </c>
      <c r="AK66" s="11">
        <v>0</v>
      </c>
      <c r="AL66" s="11">
        <v>0</v>
      </c>
      <c r="AM66" s="11">
        <v>0</v>
      </c>
      <c r="AN66" s="11">
        <v>0</v>
      </c>
      <c r="AO66" s="11">
        <v>0</v>
      </c>
      <c r="AP66" s="11">
        <v>0</v>
      </c>
      <c r="AQ66" s="11">
        <v>0</v>
      </c>
      <c r="AR66" s="11">
        <v>0</v>
      </c>
      <c r="AS66" s="26">
        <f t="shared" si="2"/>
        <v>0</v>
      </c>
      <c r="AT66" s="11">
        <v>0</v>
      </c>
      <c r="AU66" s="11">
        <v>0</v>
      </c>
      <c r="AV66" s="11">
        <v>0</v>
      </c>
      <c r="AW66" s="11">
        <v>0</v>
      </c>
      <c r="AX66" s="11">
        <v>0</v>
      </c>
      <c r="AY66" s="11">
        <v>0</v>
      </c>
      <c r="AZ66" s="11">
        <v>0</v>
      </c>
      <c r="BA66" s="11">
        <v>0</v>
      </c>
      <c r="BB66" s="11">
        <v>0</v>
      </c>
      <c r="BC66" s="11">
        <v>0</v>
      </c>
      <c r="BD66" s="11">
        <v>0</v>
      </c>
      <c r="BE66" s="11">
        <v>0</v>
      </c>
      <c r="BF66" s="26">
        <f t="shared" si="3"/>
        <v>0</v>
      </c>
      <c r="BG66" s="11">
        <v>0</v>
      </c>
      <c r="BH66" s="11">
        <v>0</v>
      </c>
      <c r="BI66" s="11">
        <v>0</v>
      </c>
      <c r="BJ66" s="11">
        <v>0</v>
      </c>
      <c r="BK66" s="11">
        <v>0</v>
      </c>
      <c r="BL66" s="11">
        <v>0</v>
      </c>
      <c r="BM66" s="11">
        <v>0</v>
      </c>
      <c r="BN66" s="11">
        <v>0</v>
      </c>
      <c r="BO66" s="11">
        <v>0</v>
      </c>
      <c r="BP66" s="11">
        <v>0</v>
      </c>
      <c r="BQ66" s="11">
        <v>0</v>
      </c>
      <c r="BR66" s="11">
        <v>0</v>
      </c>
      <c r="BS66" s="26">
        <f t="shared" si="4"/>
        <v>0</v>
      </c>
      <c r="BT66" s="11">
        <v>0</v>
      </c>
      <c r="BU66" s="11">
        <v>0</v>
      </c>
      <c r="BV66" s="11">
        <v>0</v>
      </c>
      <c r="BW66" s="11">
        <v>0</v>
      </c>
      <c r="BX66" s="11">
        <v>0</v>
      </c>
      <c r="BY66" s="11">
        <v>0</v>
      </c>
      <c r="BZ66" s="11">
        <v>0</v>
      </c>
      <c r="CA66" s="11">
        <v>0</v>
      </c>
      <c r="CB66" s="11">
        <v>0</v>
      </c>
      <c r="CC66" s="11">
        <v>0</v>
      </c>
      <c r="CD66" s="11">
        <v>0</v>
      </c>
      <c r="CE66" s="11">
        <v>0</v>
      </c>
      <c r="CF66" s="26">
        <f t="shared" si="5"/>
        <v>0</v>
      </c>
      <c r="CG66" s="11">
        <v>0</v>
      </c>
      <c r="CH66" s="11">
        <v>0</v>
      </c>
      <c r="CI66" s="11">
        <v>0</v>
      </c>
      <c r="CJ66" s="11">
        <v>0</v>
      </c>
      <c r="CK66" s="11">
        <v>0</v>
      </c>
      <c r="CL66" s="11">
        <v>0</v>
      </c>
      <c r="CM66" s="11">
        <v>0</v>
      </c>
      <c r="CN66" s="11">
        <v>0</v>
      </c>
      <c r="CO66" s="11">
        <v>0</v>
      </c>
      <c r="CP66" s="11">
        <v>0</v>
      </c>
      <c r="CQ66" s="11">
        <v>0</v>
      </c>
      <c r="CR66" s="11">
        <v>0</v>
      </c>
      <c r="CS66" s="26">
        <f t="shared" si="6"/>
        <v>0</v>
      </c>
      <c r="CT66" s="11">
        <v>0</v>
      </c>
      <c r="CU66" s="11">
        <v>0</v>
      </c>
      <c r="CV66" s="11">
        <v>0</v>
      </c>
      <c r="CW66" s="11">
        <v>0</v>
      </c>
      <c r="CX66" s="11">
        <v>0</v>
      </c>
      <c r="CY66" s="11">
        <v>0</v>
      </c>
      <c r="CZ66" s="11">
        <v>0</v>
      </c>
      <c r="DA66" s="11">
        <v>0</v>
      </c>
      <c r="DB66" s="11">
        <v>0</v>
      </c>
      <c r="DC66" s="11">
        <v>0</v>
      </c>
      <c r="DD66" s="11">
        <v>0</v>
      </c>
      <c r="DE66" s="11">
        <v>0</v>
      </c>
      <c r="DF66" s="26">
        <f t="shared" si="7"/>
        <v>0</v>
      </c>
      <c r="DG66" s="11">
        <v>0</v>
      </c>
      <c r="DH66" s="11">
        <v>0</v>
      </c>
      <c r="DI66" s="11">
        <v>0</v>
      </c>
      <c r="DJ66" s="11">
        <v>0</v>
      </c>
      <c r="DK66" s="11">
        <v>0</v>
      </c>
      <c r="DL66" s="11">
        <v>0</v>
      </c>
      <c r="DM66" s="11">
        <v>0</v>
      </c>
      <c r="DN66" s="11">
        <v>0</v>
      </c>
      <c r="DO66" s="11">
        <v>0</v>
      </c>
      <c r="DP66" s="11">
        <v>0</v>
      </c>
      <c r="DQ66" s="11">
        <v>0</v>
      </c>
      <c r="DR66" s="11">
        <v>0</v>
      </c>
      <c r="DS66" s="26">
        <f t="shared" si="8"/>
        <v>0</v>
      </c>
      <c r="DT66" s="11">
        <v>0</v>
      </c>
      <c r="DU66" s="11">
        <v>0</v>
      </c>
      <c r="DV66" s="11">
        <v>0</v>
      </c>
      <c r="DW66" s="11">
        <v>0</v>
      </c>
      <c r="DX66" s="11">
        <v>0</v>
      </c>
      <c r="DY66" s="11">
        <v>0</v>
      </c>
      <c r="DZ66" s="11">
        <v>0</v>
      </c>
      <c r="EA66" s="11">
        <v>0</v>
      </c>
      <c r="EB66" s="11">
        <v>0</v>
      </c>
      <c r="EC66" s="11">
        <v>0</v>
      </c>
      <c r="ED66" s="11">
        <v>0</v>
      </c>
      <c r="EE66" s="11">
        <v>0</v>
      </c>
      <c r="EF66" s="26">
        <f t="shared" si="9"/>
        <v>0</v>
      </c>
      <c r="EG66" s="9">
        <f t="shared" si="10"/>
        <v>0</v>
      </c>
      <c r="EH66" s="9">
        <f t="shared" si="11"/>
        <v>0</v>
      </c>
      <c r="EI66" s="11">
        <v>13259</v>
      </c>
      <c r="EJ66" s="11">
        <v>13325</v>
      </c>
      <c r="EK66" s="11">
        <v>13385</v>
      </c>
      <c r="EL66" s="11">
        <v>21200</v>
      </c>
      <c r="EM66" s="11">
        <v>10961</v>
      </c>
      <c r="EN66" s="11">
        <v>11914</v>
      </c>
      <c r="EO66" s="11">
        <v>14794</v>
      </c>
      <c r="EP66" s="11">
        <v>15178</v>
      </c>
      <c r="EQ66" s="11">
        <v>12372</v>
      </c>
      <c r="ER66" s="11">
        <v>11262</v>
      </c>
      <c r="ES66" s="11">
        <v>8778</v>
      </c>
      <c r="ET66" s="11">
        <v>3155</v>
      </c>
      <c r="EU66" s="26">
        <f t="shared" si="12"/>
        <v>149583</v>
      </c>
      <c r="EV66" s="11">
        <v>0</v>
      </c>
      <c r="EW66" s="11">
        <v>0</v>
      </c>
      <c r="EX66" s="11">
        <v>0</v>
      </c>
      <c r="EY66" s="11">
        <v>0</v>
      </c>
      <c r="EZ66" s="11">
        <v>0</v>
      </c>
      <c r="FA66" s="11">
        <v>0</v>
      </c>
      <c r="FB66" s="11">
        <v>0</v>
      </c>
      <c r="FC66" s="11">
        <v>0</v>
      </c>
      <c r="FD66" s="11">
        <v>0</v>
      </c>
      <c r="FE66" s="11">
        <v>0</v>
      </c>
      <c r="FF66" s="11">
        <v>0</v>
      </c>
      <c r="FG66" s="11">
        <v>0</v>
      </c>
      <c r="FH66" s="26">
        <f t="shared" si="13"/>
        <v>0</v>
      </c>
      <c r="FI66" s="11">
        <v>0</v>
      </c>
      <c r="FJ66" s="11">
        <v>0</v>
      </c>
      <c r="FK66" s="11">
        <v>0</v>
      </c>
      <c r="FL66" s="11">
        <v>0</v>
      </c>
      <c r="FM66" s="11">
        <v>0</v>
      </c>
      <c r="FN66" s="11">
        <v>0</v>
      </c>
      <c r="FO66" s="11">
        <v>0</v>
      </c>
      <c r="FP66" s="11">
        <v>0</v>
      </c>
      <c r="FQ66" s="11">
        <v>0</v>
      </c>
      <c r="FR66" s="11">
        <v>0</v>
      </c>
      <c r="FS66" s="11">
        <v>0</v>
      </c>
      <c r="FT66" s="11">
        <v>0</v>
      </c>
      <c r="FU66" s="26">
        <f t="shared" si="14"/>
        <v>0</v>
      </c>
      <c r="FV66" s="11">
        <v>0</v>
      </c>
      <c r="FW66" s="11">
        <v>0</v>
      </c>
      <c r="FX66" s="11">
        <v>0</v>
      </c>
      <c r="FY66" s="11">
        <v>0</v>
      </c>
      <c r="FZ66" s="11">
        <v>0</v>
      </c>
      <c r="GA66" s="11">
        <v>0</v>
      </c>
      <c r="GB66" s="11">
        <v>0</v>
      </c>
      <c r="GC66" s="11">
        <v>0</v>
      </c>
      <c r="GD66" s="11">
        <v>0</v>
      </c>
      <c r="GE66" s="11">
        <v>0</v>
      </c>
      <c r="GF66" s="11">
        <v>0</v>
      </c>
      <c r="GG66" s="11">
        <v>0</v>
      </c>
      <c r="GH66" s="26">
        <f t="shared" si="15"/>
        <v>0</v>
      </c>
      <c r="GI66" s="11">
        <v>0</v>
      </c>
      <c r="GJ66" s="11">
        <v>0</v>
      </c>
      <c r="GK66" s="11">
        <v>0</v>
      </c>
      <c r="GL66" s="11">
        <v>0</v>
      </c>
      <c r="GM66" s="11">
        <v>0</v>
      </c>
      <c r="GN66" s="11">
        <v>0</v>
      </c>
      <c r="GO66" s="11">
        <v>0</v>
      </c>
      <c r="GP66" s="11">
        <v>0</v>
      </c>
      <c r="GQ66" s="11">
        <v>0</v>
      </c>
      <c r="GR66" s="11">
        <v>0</v>
      </c>
      <c r="GS66" s="11">
        <v>0</v>
      </c>
      <c r="GT66" s="11">
        <v>0</v>
      </c>
      <c r="GU66" s="26">
        <f t="shared" si="16"/>
        <v>0</v>
      </c>
      <c r="GV66" s="11">
        <v>0</v>
      </c>
      <c r="GW66" s="11">
        <v>0</v>
      </c>
      <c r="GX66" s="11">
        <v>0</v>
      </c>
      <c r="GY66" s="11">
        <v>0</v>
      </c>
      <c r="GZ66" s="11">
        <v>0</v>
      </c>
      <c r="HA66" s="11">
        <v>0</v>
      </c>
      <c r="HB66" s="11">
        <v>0</v>
      </c>
      <c r="HC66" s="11">
        <v>0</v>
      </c>
      <c r="HD66" s="11">
        <v>0</v>
      </c>
      <c r="HE66" s="11">
        <v>0</v>
      </c>
      <c r="HF66" s="11">
        <v>0</v>
      </c>
      <c r="HG66" s="11">
        <v>0</v>
      </c>
      <c r="HH66" s="26">
        <f t="shared" si="17"/>
        <v>0</v>
      </c>
      <c r="HI66" s="11">
        <v>0</v>
      </c>
      <c r="HJ66" s="11">
        <v>0</v>
      </c>
      <c r="HK66" s="11">
        <v>0</v>
      </c>
      <c r="HL66" s="11">
        <v>0</v>
      </c>
      <c r="HM66" s="11">
        <v>0</v>
      </c>
      <c r="HN66" s="11">
        <v>0</v>
      </c>
      <c r="HO66" s="11">
        <v>0</v>
      </c>
      <c r="HP66" s="11">
        <v>0</v>
      </c>
      <c r="HQ66" s="11">
        <v>0</v>
      </c>
      <c r="HR66" s="11">
        <v>0</v>
      </c>
      <c r="HS66" s="11">
        <v>0</v>
      </c>
      <c r="HT66" s="11">
        <v>0</v>
      </c>
      <c r="HU66" s="26">
        <f t="shared" si="18"/>
        <v>0</v>
      </c>
      <c r="HV66" s="11">
        <v>0</v>
      </c>
      <c r="HW66" s="11">
        <v>0</v>
      </c>
      <c r="HX66" s="11">
        <v>0</v>
      </c>
      <c r="HY66" s="11">
        <v>0</v>
      </c>
      <c r="HZ66" s="11">
        <v>0</v>
      </c>
      <c r="IA66" s="11">
        <v>0</v>
      </c>
      <c r="IB66" s="11">
        <v>0</v>
      </c>
      <c r="IC66" s="11">
        <v>0</v>
      </c>
      <c r="ID66" s="11">
        <v>0</v>
      </c>
      <c r="IE66" s="11">
        <v>0</v>
      </c>
      <c r="IF66" s="11">
        <v>0</v>
      </c>
      <c r="IG66" s="11">
        <v>0</v>
      </c>
      <c r="IH66" s="26">
        <f t="shared" si="19"/>
        <v>0</v>
      </c>
      <c r="II66" s="9">
        <f t="shared" si="20"/>
        <v>0</v>
      </c>
      <c r="IJ66" s="9">
        <f t="shared" si="21"/>
        <v>0</v>
      </c>
      <c r="IK66" s="11">
        <v>135804</v>
      </c>
      <c r="IL66" s="11">
        <v>128781</v>
      </c>
      <c r="IM66" s="11">
        <v>125203</v>
      </c>
      <c r="IN66" s="11">
        <v>152350</v>
      </c>
      <c r="IO66" s="11">
        <v>164961</v>
      </c>
      <c r="IP66" s="11">
        <v>129775</v>
      </c>
      <c r="IQ66" s="11">
        <v>138470</v>
      </c>
      <c r="IR66" s="11">
        <v>128952</v>
      </c>
      <c r="IS66" s="11">
        <v>86507</v>
      </c>
      <c r="IT66" s="11">
        <v>132788</v>
      </c>
      <c r="IU66" s="11">
        <v>118602</v>
      </c>
      <c r="IV66" s="11">
        <v>129955</v>
      </c>
      <c r="IW66" s="27">
        <f t="shared" si="22"/>
        <v>1572148</v>
      </c>
      <c r="IX66" s="11">
        <v>0</v>
      </c>
      <c r="IY66" s="11">
        <v>0</v>
      </c>
      <c r="IZ66" s="11">
        <v>0</v>
      </c>
      <c r="JA66" s="11">
        <v>0</v>
      </c>
      <c r="JB66" s="11">
        <v>0</v>
      </c>
      <c r="JC66" s="11">
        <v>0</v>
      </c>
      <c r="JD66" s="11">
        <v>0</v>
      </c>
      <c r="JE66" s="11">
        <v>0</v>
      </c>
      <c r="JF66" s="11">
        <v>0</v>
      </c>
      <c r="JG66" s="11">
        <v>0</v>
      </c>
      <c r="JH66" s="11">
        <v>0</v>
      </c>
      <c r="JI66" s="11">
        <v>0</v>
      </c>
      <c r="JJ66" s="27">
        <f t="shared" si="23"/>
        <v>0</v>
      </c>
      <c r="JK66" s="11">
        <v>0</v>
      </c>
      <c r="JL66" s="11">
        <v>0</v>
      </c>
      <c r="JM66" s="11">
        <v>0</v>
      </c>
      <c r="JN66" s="11">
        <v>0</v>
      </c>
      <c r="JO66" s="11">
        <v>0</v>
      </c>
      <c r="JP66" s="11">
        <v>0</v>
      </c>
      <c r="JQ66" s="11">
        <v>0</v>
      </c>
      <c r="JR66" s="11">
        <v>0</v>
      </c>
      <c r="JS66" s="11">
        <v>0</v>
      </c>
      <c r="JT66" s="11">
        <v>0</v>
      </c>
      <c r="JU66" s="11">
        <v>0</v>
      </c>
      <c r="JV66" s="11">
        <v>0</v>
      </c>
      <c r="JW66" s="27">
        <f t="shared" si="24"/>
        <v>0</v>
      </c>
      <c r="JX66" s="11">
        <v>0</v>
      </c>
      <c r="JY66" s="11">
        <v>0</v>
      </c>
      <c r="JZ66" s="11">
        <v>0</v>
      </c>
      <c r="KA66" s="11">
        <v>0</v>
      </c>
      <c r="KB66" s="11">
        <v>0</v>
      </c>
      <c r="KC66" s="11">
        <v>0</v>
      </c>
      <c r="KD66" s="11">
        <v>0</v>
      </c>
      <c r="KE66" s="11">
        <v>0</v>
      </c>
      <c r="KF66" s="11">
        <v>0</v>
      </c>
      <c r="KG66" s="11">
        <v>0</v>
      </c>
      <c r="KH66" s="11">
        <v>0</v>
      </c>
      <c r="KI66" s="11">
        <v>0</v>
      </c>
      <c r="KJ66" s="27">
        <f t="shared" si="25"/>
        <v>0</v>
      </c>
      <c r="KK66" s="11">
        <v>2473</v>
      </c>
      <c r="KL66" s="11">
        <v>2419</v>
      </c>
      <c r="KM66" s="11">
        <v>2361</v>
      </c>
      <c r="KN66" s="11">
        <v>2787</v>
      </c>
      <c r="KO66" s="11">
        <v>2769</v>
      </c>
      <c r="KP66" s="11">
        <v>2613</v>
      </c>
      <c r="KQ66" s="11">
        <v>2734</v>
      </c>
      <c r="KR66" s="11">
        <v>2461</v>
      </c>
      <c r="KS66" s="11">
        <v>2047</v>
      </c>
      <c r="KT66" s="11">
        <v>2600</v>
      </c>
      <c r="KU66" s="11">
        <v>2170</v>
      </c>
      <c r="KV66" s="11">
        <v>3278</v>
      </c>
      <c r="KW66" s="27">
        <f t="shared" si="26"/>
        <v>30712</v>
      </c>
      <c r="KX66" s="11">
        <v>0</v>
      </c>
      <c r="KY66" s="11">
        <v>0</v>
      </c>
      <c r="KZ66" s="11">
        <v>0</v>
      </c>
      <c r="LA66" s="11">
        <v>0</v>
      </c>
      <c r="LB66" s="11">
        <v>0</v>
      </c>
      <c r="LC66" s="11">
        <v>0</v>
      </c>
      <c r="LD66" s="11">
        <v>0</v>
      </c>
      <c r="LE66" s="11">
        <v>0</v>
      </c>
      <c r="LF66" s="11">
        <v>0</v>
      </c>
      <c r="LG66" s="11">
        <v>0</v>
      </c>
      <c r="LH66" s="11">
        <v>0</v>
      </c>
      <c r="LI66" s="11">
        <v>0</v>
      </c>
      <c r="LJ66" s="27">
        <f t="shared" si="27"/>
        <v>0</v>
      </c>
      <c r="LK66" s="11">
        <v>0</v>
      </c>
      <c r="LL66" s="11">
        <v>0</v>
      </c>
      <c r="LM66" s="11">
        <v>0</v>
      </c>
      <c r="LN66" s="11">
        <v>0</v>
      </c>
      <c r="LO66" s="11">
        <v>0</v>
      </c>
      <c r="LP66" s="11">
        <v>0</v>
      </c>
      <c r="LQ66" s="11">
        <v>0</v>
      </c>
      <c r="LR66" s="11">
        <v>0</v>
      </c>
      <c r="LS66" s="11">
        <v>0</v>
      </c>
      <c r="LT66" s="11">
        <v>0</v>
      </c>
      <c r="LU66" s="11">
        <v>0</v>
      </c>
      <c r="LV66" s="11">
        <v>0</v>
      </c>
      <c r="LW66" s="27">
        <f t="shared" si="28"/>
        <v>0</v>
      </c>
      <c r="LX66" s="11">
        <v>0</v>
      </c>
      <c r="LY66" s="11">
        <v>0</v>
      </c>
      <c r="LZ66" s="11">
        <v>0</v>
      </c>
      <c r="MA66" s="11">
        <v>0</v>
      </c>
      <c r="MB66" s="11">
        <v>0</v>
      </c>
      <c r="MC66" s="11">
        <v>0</v>
      </c>
      <c r="MD66" s="11">
        <v>0</v>
      </c>
      <c r="ME66" s="11">
        <v>0</v>
      </c>
      <c r="MF66" s="11">
        <v>0</v>
      </c>
      <c r="MG66" s="11">
        <v>0</v>
      </c>
      <c r="MH66" s="11">
        <v>0</v>
      </c>
      <c r="MI66" s="11">
        <v>0</v>
      </c>
      <c r="MJ66" s="27">
        <f t="shared" si="29"/>
        <v>0</v>
      </c>
      <c r="MK66" s="11">
        <v>17921</v>
      </c>
      <c r="ML66" s="11">
        <v>17706</v>
      </c>
      <c r="MM66" s="11">
        <v>17224</v>
      </c>
      <c r="MN66" s="11">
        <v>17884</v>
      </c>
      <c r="MO66" s="11">
        <v>18326</v>
      </c>
      <c r="MP66" s="11">
        <v>17513</v>
      </c>
      <c r="MQ66" s="11">
        <v>18002</v>
      </c>
      <c r="MR66" s="11">
        <v>17345</v>
      </c>
      <c r="MS66" s="11">
        <v>17256</v>
      </c>
      <c r="MT66" s="11">
        <v>18851</v>
      </c>
      <c r="MU66" s="11">
        <v>17410</v>
      </c>
      <c r="MV66" s="11">
        <v>18862</v>
      </c>
      <c r="MW66" s="27">
        <f t="shared" si="30"/>
        <v>214300</v>
      </c>
      <c r="MX66" s="11">
        <v>0</v>
      </c>
      <c r="MY66" s="11">
        <v>0</v>
      </c>
      <c r="MZ66" s="11">
        <v>0</v>
      </c>
      <c r="NA66" s="11">
        <v>0</v>
      </c>
      <c r="NB66" s="11">
        <v>0</v>
      </c>
      <c r="NC66" s="11">
        <v>0</v>
      </c>
      <c r="ND66" s="11">
        <v>0</v>
      </c>
      <c r="NE66" s="11">
        <v>0</v>
      </c>
      <c r="NF66" s="11">
        <v>0</v>
      </c>
      <c r="NG66" s="11">
        <v>0</v>
      </c>
      <c r="NH66" s="11">
        <v>0</v>
      </c>
      <c r="NI66" s="11">
        <v>0</v>
      </c>
      <c r="NJ66" s="27">
        <f t="shared" si="31"/>
        <v>0</v>
      </c>
      <c r="NK66" s="11">
        <v>0</v>
      </c>
      <c r="NL66" s="11">
        <v>0</v>
      </c>
      <c r="NM66" s="11">
        <v>0</v>
      </c>
      <c r="NN66" s="11">
        <v>0</v>
      </c>
      <c r="NO66" s="11">
        <v>0</v>
      </c>
      <c r="NP66" s="11">
        <v>0</v>
      </c>
      <c r="NQ66" s="11">
        <v>0</v>
      </c>
      <c r="NR66" s="11">
        <v>0</v>
      </c>
      <c r="NS66" s="11">
        <v>0</v>
      </c>
      <c r="NT66" s="11">
        <v>0</v>
      </c>
      <c r="NU66" s="11">
        <v>0</v>
      </c>
      <c r="NV66" s="11">
        <v>0</v>
      </c>
      <c r="NW66" s="27">
        <f t="shared" si="32"/>
        <v>0</v>
      </c>
      <c r="NX66" s="11">
        <v>0</v>
      </c>
      <c r="NY66" s="11">
        <v>0</v>
      </c>
      <c r="NZ66" s="11">
        <v>0</v>
      </c>
      <c r="OA66" s="11">
        <v>0</v>
      </c>
      <c r="OB66" s="11">
        <v>0</v>
      </c>
      <c r="OC66" s="11">
        <v>0</v>
      </c>
      <c r="OD66" s="11">
        <v>0</v>
      </c>
      <c r="OE66" s="11">
        <v>0</v>
      </c>
      <c r="OF66" s="11">
        <v>0</v>
      </c>
      <c r="OG66" s="11">
        <v>0</v>
      </c>
      <c r="OH66" s="11">
        <v>0</v>
      </c>
      <c r="OI66" s="11">
        <v>0</v>
      </c>
      <c r="OJ66" s="27">
        <f t="shared" si="33"/>
        <v>0</v>
      </c>
      <c r="OK66" s="11">
        <v>15082</v>
      </c>
      <c r="OL66" s="11">
        <v>15733</v>
      </c>
      <c r="OM66" s="11">
        <v>14992</v>
      </c>
      <c r="ON66" s="11">
        <v>15956</v>
      </c>
      <c r="OO66" s="11">
        <v>16709</v>
      </c>
      <c r="OP66" s="11">
        <v>16500</v>
      </c>
      <c r="OQ66" s="11">
        <v>17366</v>
      </c>
      <c r="OR66" s="11">
        <v>16682</v>
      </c>
      <c r="OS66" s="11">
        <v>16451</v>
      </c>
      <c r="OT66" s="11">
        <v>18508</v>
      </c>
      <c r="OU66" s="11">
        <v>17316</v>
      </c>
      <c r="OV66" s="11">
        <v>18635</v>
      </c>
      <c r="OW66" s="27">
        <f t="shared" si="34"/>
        <v>199930</v>
      </c>
      <c r="OX66" s="11">
        <v>0</v>
      </c>
      <c r="OY66" s="11">
        <v>0</v>
      </c>
      <c r="OZ66" s="11">
        <v>0</v>
      </c>
      <c r="PA66" s="11">
        <v>0</v>
      </c>
      <c r="PB66" s="11">
        <v>0</v>
      </c>
      <c r="PC66" s="11">
        <v>0</v>
      </c>
      <c r="PD66" s="11">
        <v>0</v>
      </c>
      <c r="PE66" s="11">
        <v>0</v>
      </c>
      <c r="PF66" s="11">
        <v>0</v>
      </c>
      <c r="PG66" s="11">
        <v>0</v>
      </c>
      <c r="PH66" s="11">
        <v>0</v>
      </c>
      <c r="PI66" s="11">
        <v>0</v>
      </c>
      <c r="PJ66" s="27">
        <f t="shared" si="35"/>
        <v>0</v>
      </c>
      <c r="PK66" s="11">
        <v>0</v>
      </c>
      <c r="PL66" s="11">
        <v>0</v>
      </c>
      <c r="PM66" s="11">
        <v>0</v>
      </c>
      <c r="PN66" s="11">
        <v>0</v>
      </c>
      <c r="PO66" s="11">
        <v>0</v>
      </c>
      <c r="PP66" s="11">
        <v>0</v>
      </c>
      <c r="PQ66" s="11">
        <v>0</v>
      </c>
      <c r="PR66" s="11">
        <v>0</v>
      </c>
      <c r="PS66" s="11">
        <v>0</v>
      </c>
      <c r="PT66" s="11">
        <v>0</v>
      </c>
      <c r="PU66" s="11">
        <v>0</v>
      </c>
      <c r="PV66" s="11">
        <v>0</v>
      </c>
      <c r="PW66" s="27">
        <f t="shared" si="36"/>
        <v>0</v>
      </c>
      <c r="PX66" s="11">
        <v>0</v>
      </c>
      <c r="PY66" s="11">
        <v>0</v>
      </c>
      <c r="PZ66" s="11">
        <v>0</v>
      </c>
      <c r="QA66" s="11">
        <v>0</v>
      </c>
      <c r="QB66" s="11">
        <v>0</v>
      </c>
      <c r="QC66" s="11">
        <v>0</v>
      </c>
      <c r="QD66" s="11">
        <v>0</v>
      </c>
      <c r="QE66" s="11">
        <v>0</v>
      </c>
      <c r="QF66" s="11">
        <v>0</v>
      </c>
      <c r="QG66" s="11">
        <v>0</v>
      </c>
      <c r="QH66" s="11">
        <v>0</v>
      </c>
      <c r="QI66" s="11">
        <v>0</v>
      </c>
      <c r="QJ66" s="27">
        <f t="shared" si="37"/>
        <v>0</v>
      </c>
      <c r="QK66" s="11">
        <v>143536</v>
      </c>
      <c r="QL66" s="11">
        <v>151168</v>
      </c>
      <c r="QM66" s="11">
        <v>143431</v>
      </c>
      <c r="QN66" s="11">
        <v>166973</v>
      </c>
      <c r="QO66" s="11">
        <v>170749</v>
      </c>
      <c r="QP66" s="11">
        <v>144184</v>
      </c>
      <c r="QQ66" s="11">
        <v>159532</v>
      </c>
      <c r="QR66" s="11">
        <v>150945</v>
      </c>
      <c r="QS66" s="11">
        <v>120635</v>
      </c>
      <c r="QT66" s="11">
        <v>148238</v>
      </c>
      <c r="QU66" s="11">
        <v>146622</v>
      </c>
      <c r="QV66" s="11">
        <v>151319</v>
      </c>
      <c r="QW66" s="27">
        <f t="shared" si="38"/>
        <v>1797332</v>
      </c>
      <c r="QX66" s="11">
        <v>0</v>
      </c>
      <c r="QY66" s="11">
        <v>0</v>
      </c>
      <c r="QZ66" s="11">
        <v>0</v>
      </c>
      <c r="RA66" s="11">
        <v>0</v>
      </c>
      <c r="RB66" s="11">
        <v>0</v>
      </c>
      <c r="RC66" s="11">
        <v>0</v>
      </c>
      <c r="RD66" s="11">
        <v>0</v>
      </c>
      <c r="RE66" s="11">
        <v>0</v>
      </c>
      <c r="RF66" s="11">
        <v>0</v>
      </c>
      <c r="RG66" s="11">
        <v>0</v>
      </c>
      <c r="RH66" s="11">
        <v>0</v>
      </c>
      <c r="RI66" s="11">
        <v>0</v>
      </c>
      <c r="RJ66" s="27">
        <f t="shared" si="39"/>
        <v>0</v>
      </c>
      <c r="RK66" s="11">
        <v>0</v>
      </c>
      <c r="RL66" s="11">
        <v>0</v>
      </c>
      <c r="RM66" s="11">
        <v>0</v>
      </c>
      <c r="RN66" s="11">
        <v>0</v>
      </c>
      <c r="RO66" s="11">
        <v>0</v>
      </c>
      <c r="RP66" s="11">
        <v>0</v>
      </c>
      <c r="RQ66" s="11">
        <v>0</v>
      </c>
      <c r="RR66" s="11">
        <v>0</v>
      </c>
      <c r="RS66" s="11">
        <v>0</v>
      </c>
      <c r="RT66" s="11">
        <v>0</v>
      </c>
      <c r="RU66" s="11">
        <v>0</v>
      </c>
      <c r="RV66" s="11">
        <v>0</v>
      </c>
      <c r="RW66" s="27">
        <f t="shared" si="40"/>
        <v>0</v>
      </c>
      <c r="RX66" s="11">
        <v>387</v>
      </c>
      <c r="RY66" s="11">
        <v>534</v>
      </c>
      <c r="RZ66" s="11">
        <v>430</v>
      </c>
      <c r="SA66" s="11">
        <v>488</v>
      </c>
      <c r="SB66" s="11">
        <v>274</v>
      </c>
      <c r="SC66" s="11">
        <v>474</v>
      </c>
      <c r="SD66" s="11">
        <v>390</v>
      </c>
      <c r="SE66" s="11">
        <v>320</v>
      </c>
      <c r="SF66" s="11">
        <v>469</v>
      </c>
      <c r="SG66" s="11">
        <v>528</v>
      </c>
      <c r="SH66" s="11">
        <v>429</v>
      </c>
      <c r="SI66" s="11">
        <v>574</v>
      </c>
      <c r="SJ66" s="27">
        <f t="shared" si="41"/>
        <v>5297</v>
      </c>
      <c r="SK66" s="11">
        <v>0</v>
      </c>
      <c r="SL66" s="11">
        <v>0</v>
      </c>
      <c r="SM66" s="11">
        <v>0</v>
      </c>
      <c r="SN66" s="11">
        <v>0</v>
      </c>
      <c r="SO66" s="11">
        <v>0</v>
      </c>
      <c r="SP66" s="11">
        <v>0</v>
      </c>
      <c r="SQ66" s="11">
        <v>0</v>
      </c>
      <c r="SR66" s="11">
        <v>0</v>
      </c>
      <c r="SS66" s="11">
        <v>0</v>
      </c>
      <c r="ST66" s="11">
        <v>0</v>
      </c>
      <c r="SU66" s="11">
        <v>0</v>
      </c>
      <c r="SV66" s="11">
        <v>0</v>
      </c>
      <c r="SW66" s="27">
        <f t="shared" si="42"/>
        <v>0</v>
      </c>
      <c r="SX66" s="11" t="s">
        <v>2705</v>
      </c>
      <c r="SY66" s="11">
        <v>9136</v>
      </c>
      <c r="SZ66" s="11">
        <v>8778</v>
      </c>
      <c r="TA66" s="11">
        <v>9364</v>
      </c>
      <c r="TB66" s="11">
        <v>9792</v>
      </c>
      <c r="TC66" s="11">
        <v>7992</v>
      </c>
      <c r="TD66" s="11">
        <v>8490</v>
      </c>
      <c r="TE66" s="11">
        <v>9586</v>
      </c>
      <c r="TF66" s="11">
        <v>8631</v>
      </c>
      <c r="TG66" s="11">
        <v>6200</v>
      </c>
      <c r="TH66" s="11">
        <v>8974</v>
      </c>
      <c r="TI66" s="11">
        <v>10239</v>
      </c>
      <c r="TJ66" s="11">
        <v>10590</v>
      </c>
      <c r="TK66" s="27">
        <f t="shared" si="43"/>
        <v>107772</v>
      </c>
      <c r="TL66" s="11">
        <v>119740</v>
      </c>
      <c r="TM66" s="11">
        <v>132399</v>
      </c>
      <c r="TN66" s="11">
        <v>104379</v>
      </c>
      <c r="TO66" s="11">
        <v>138392</v>
      </c>
      <c r="TP66" s="11">
        <v>132178</v>
      </c>
      <c r="TQ66" s="11">
        <v>143226</v>
      </c>
      <c r="TR66" s="11">
        <v>164535</v>
      </c>
      <c r="TS66" s="11">
        <v>153236</v>
      </c>
      <c r="TT66" s="11">
        <v>115138</v>
      </c>
      <c r="TU66" s="11">
        <v>137518</v>
      </c>
      <c r="TV66" s="11">
        <v>134891</v>
      </c>
      <c r="TW66" s="11">
        <v>145162</v>
      </c>
      <c r="TX66" s="27">
        <f t="shared" si="44"/>
        <v>1620794</v>
      </c>
      <c r="TY66" s="11">
        <v>317</v>
      </c>
      <c r="TZ66" s="11">
        <v>0</v>
      </c>
      <c r="UA66" s="11">
        <v>0</v>
      </c>
    </row>
    <row r="67" spans="1:547" ht="16" customHeight="1" x14ac:dyDescent="0.35">
      <c r="A67" s="11" t="s">
        <v>1448</v>
      </c>
      <c r="B67" s="11">
        <v>20016</v>
      </c>
      <c r="C67" s="11" t="s">
        <v>2706</v>
      </c>
      <c r="D67" s="11">
        <v>12957</v>
      </c>
      <c r="E67" s="11" t="s">
        <v>2706</v>
      </c>
      <c r="F67" s="11">
        <v>268</v>
      </c>
      <c r="G67" s="11">
        <v>247</v>
      </c>
      <c r="H67" s="11">
        <v>262</v>
      </c>
      <c r="I67" s="11">
        <v>264</v>
      </c>
      <c r="J67" s="11">
        <v>280</v>
      </c>
      <c r="K67" s="11">
        <v>262</v>
      </c>
      <c r="L67" s="11">
        <v>362</v>
      </c>
      <c r="M67" s="11">
        <v>319</v>
      </c>
      <c r="N67" s="11">
        <v>214</v>
      </c>
      <c r="O67" s="11">
        <v>279</v>
      </c>
      <c r="P67" s="11" t="s">
        <v>2865</v>
      </c>
      <c r="Q67" s="11">
        <v>314</v>
      </c>
      <c r="R67" s="11">
        <v>312</v>
      </c>
      <c r="S67" s="26">
        <f t="shared" si="0"/>
        <v>3383</v>
      </c>
      <c r="T67" s="11">
        <v>157</v>
      </c>
      <c r="U67" s="11">
        <v>149</v>
      </c>
      <c r="V67" s="11">
        <v>146</v>
      </c>
      <c r="W67" s="11">
        <v>139</v>
      </c>
      <c r="X67" s="11">
        <v>149</v>
      </c>
      <c r="Y67" s="11">
        <v>169</v>
      </c>
      <c r="Z67" s="11">
        <v>200</v>
      </c>
      <c r="AA67" s="11">
        <v>178</v>
      </c>
      <c r="AB67" s="11">
        <v>118</v>
      </c>
      <c r="AC67" s="11">
        <v>164</v>
      </c>
      <c r="AD67" s="11">
        <v>156</v>
      </c>
      <c r="AE67" s="11">
        <v>160</v>
      </c>
      <c r="AF67" s="26">
        <f t="shared" si="1"/>
        <v>1885</v>
      </c>
      <c r="AG67" s="11">
        <v>111</v>
      </c>
      <c r="AH67" s="11">
        <v>98</v>
      </c>
      <c r="AI67" s="11">
        <v>116</v>
      </c>
      <c r="AJ67" s="11">
        <v>125</v>
      </c>
      <c r="AK67" s="11">
        <v>131</v>
      </c>
      <c r="AL67" s="11">
        <v>93</v>
      </c>
      <c r="AM67" s="11">
        <v>162</v>
      </c>
      <c r="AN67" s="11">
        <v>141</v>
      </c>
      <c r="AO67" s="11">
        <v>96</v>
      </c>
      <c r="AP67" s="11">
        <v>115</v>
      </c>
      <c r="AQ67" s="11">
        <v>158</v>
      </c>
      <c r="AR67" s="11">
        <v>152</v>
      </c>
      <c r="AS67" s="26">
        <f t="shared" si="2"/>
        <v>1498</v>
      </c>
      <c r="AT67" s="11">
        <v>0</v>
      </c>
      <c r="AU67" s="11">
        <v>0</v>
      </c>
      <c r="AV67" s="11">
        <v>0</v>
      </c>
      <c r="AW67" s="11">
        <v>0</v>
      </c>
      <c r="AX67" s="11">
        <v>0</v>
      </c>
      <c r="AY67" s="11">
        <v>0</v>
      </c>
      <c r="AZ67" s="11">
        <v>0</v>
      </c>
      <c r="BA67" s="11">
        <v>0</v>
      </c>
      <c r="BB67" s="11">
        <v>0</v>
      </c>
      <c r="BC67" s="11">
        <v>0</v>
      </c>
      <c r="BD67" s="11">
        <v>0</v>
      </c>
      <c r="BE67" s="11">
        <v>0</v>
      </c>
      <c r="BF67" s="26">
        <f t="shared" si="3"/>
        <v>0</v>
      </c>
      <c r="BG67" s="11">
        <v>0</v>
      </c>
      <c r="BH67" s="11">
        <v>0</v>
      </c>
      <c r="BI67" s="11">
        <v>0</v>
      </c>
      <c r="BJ67" s="11">
        <v>0</v>
      </c>
      <c r="BK67" s="11">
        <v>0</v>
      </c>
      <c r="BL67" s="11">
        <v>0</v>
      </c>
      <c r="BM67" s="11">
        <v>0</v>
      </c>
      <c r="BN67" s="11">
        <v>0</v>
      </c>
      <c r="BO67" s="11">
        <v>0</v>
      </c>
      <c r="BP67" s="11">
        <v>0</v>
      </c>
      <c r="BQ67" s="11">
        <v>0</v>
      </c>
      <c r="BR67" s="11">
        <v>0</v>
      </c>
      <c r="BS67" s="26">
        <f t="shared" si="4"/>
        <v>0</v>
      </c>
      <c r="BT67" s="11">
        <v>0</v>
      </c>
      <c r="BU67" s="11">
        <v>0</v>
      </c>
      <c r="BV67" s="11">
        <v>0</v>
      </c>
      <c r="BW67" s="11">
        <v>0</v>
      </c>
      <c r="BX67" s="11">
        <v>0</v>
      </c>
      <c r="BY67" s="11">
        <v>0</v>
      </c>
      <c r="BZ67" s="11">
        <v>0</v>
      </c>
      <c r="CA67" s="11">
        <v>0</v>
      </c>
      <c r="CB67" s="11">
        <v>0</v>
      </c>
      <c r="CC67" s="11">
        <v>0</v>
      </c>
      <c r="CD67" s="11">
        <v>0</v>
      </c>
      <c r="CE67" s="11">
        <v>0</v>
      </c>
      <c r="CF67" s="26">
        <f t="shared" si="5"/>
        <v>0</v>
      </c>
      <c r="CG67" s="11">
        <v>0</v>
      </c>
      <c r="CH67" s="11">
        <v>0</v>
      </c>
      <c r="CI67" s="11">
        <v>0</v>
      </c>
      <c r="CJ67" s="11">
        <v>0</v>
      </c>
      <c r="CK67" s="11">
        <v>0</v>
      </c>
      <c r="CL67" s="11">
        <v>0</v>
      </c>
      <c r="CM67" s="11">
        <v>0</v>
      </c>
      <c r="CN67" s="11">
        <v>0</v>
      </c>
      <c r="CO67" s="11">
        <v>0</v>
      </c>
      <c r="CP67" s="11">
        <v>0</v>
      </c>
      <c r="CQ67" s="11">
        <v>0</v>
      </c>
      <c r="CR67" s="11">
        <v>0</v>
      </c>
      <c r="CS67" s="26">
        <f t="shared" si="6"/>
        <v>0</v>
      </c>
      <c r="CT67" s="11">
        <v>0</v>
      </c>
      <c r="CU67" s="11">
        <v>0</v>
      </c>
      <c r="CV67" s="11">
        <v>0</v>
      </c>
      <c r="CW67" s="11">
        <v>0</v>
      </c>
      <c r="CX67" s="11">
        <v>0</v>
      </c>
      <c r="CY67" s="11">
        <v>0</v>
      </c>
      <c r="CZ67" s="11">
        <v>0</v>
      </c>
      <c r="DA67" s="11">
        <v>0</v>
      </c>
      <c r="DB67" s="11">
        <v>0</v>
      </c>
      <c r="DC67" s="11">
        <v>0</v>
      </c>
      <c r="DD67" s="11">
        <v>0</v>
      </c>
      <c r="DE67" s="11">
        <v>0</v>
      </c>
      <c r="DF67" s="26">
        <f t="shared" si="7"/>
        <v>0</v>
      </c>
      <c r="DG67" s="11">
        <v>0</v>
      </c>
      <c r="DH67" s="11">
        <v>0</v>
      </c>
      <c r="DI67" s="11">
        <v>0</v>
      </c>
      <c r="DJ67" s="11">
        <v>0</v>
      </c>
      <c r="DK67" s="11">
        <v>0</v>
      </c>
      <c r="DL67" s="11">
        <v>0</v>
      </c>
      <c r="DM67" s="11">
        <v>0</v>
      </c>
      <c r="DN67" s="11">
        <v>0</v>
      </c>
      <c r="DO67" s="11">
        <v>0</v>
      </c>
      <c r="DP67" s="11">
        <v>0</v>
      </c>
      <c r="DQ67" s="11">
        <v>0</v>
      </c>
      <c r="DR67" s="11">
        <v>0</v>
      </c>
      <c r="DS67" s="26">
        <f t="shared" si="8"/>
        <v>0</v>
      </c>
      <c r="DT67" s="11">
        <v>0</v>
      </c>
      <c r="DU67" s="11">
        <v>0</v>
      </c>
      <c r="DV67" s="11">
        <v>0</v>
      </c>
      <c r="DW67" s="11">
        <v>0</v>
      </c>
      <c r="DX67" s="11">
        <v>0</v>
      </c>
      <c r="DY67" s="11">
        <v>0</v>
      </c>
      <c r="DZ67" s="11">
        <v>0</v>
      </c>
      <c r="EA67" s="11">
        <v>0</v>
      </c>
      <c r="EB67" s="11">
        <v>0</v>
      </c>
      <c r="EC67" s="11">
        <v>0</v>
      </c>
      <c r="ED67" s="11">
        <v>0</v>
      </c>
      <c r="EE67" s="11">
        <v>0</v>
      </c>
      <c r="EF67" s="26">
        <f t="shared" si="9"/>
        <v>0</v>
      </c>
      <c r="EG67" s="9">
        <f t="shared" si="10"/>
        <v>3383</v>
      </c>
      <c r="EH67" s="9">
        <f t="shared" si="11"/>
        <v>0</v>
      </c>
      <c r="EI67" s="11">
        <v>2522</v>
      </c>
      <c r="EJ67" s="11">
        <v>1875</v>
      </c>
      <c r="EK67" s="11">
        <v>2112</v>
      </c>
      <c r="EL67" s="11">
        <v>2248</v>
      </c>
      <c r="EM67" s="11">
        <v>2371</v>
      </c>
      <c r="EN67" s="11">
        <v>1950</v>
      </c>
      <c r="EO67" s="11">
        <v>3025</v>
      </c>
      <c r="EP67" s="11">
        <v>2339</v>
      </c>
      <c r="EQ67" s="11">
        <v>1651</v>
      </c>
      <c r="ER67" s="11">
        <v>2260</v>
      </c>
      <c r="ES67" s="11">
        <v>2601</v>
      </c>
      <c r="ET67" s="11">
        <v>2524</v>
      </c>
      <c r="EU67" s="26">
        <f t="shared" si="12"/>
        <v>27478</v>
      </c>
      <c r="EV67" s="11">
        <v>1052</v>
      </c>
      <c r="EW67" s="11">
        <v>891</v>
      </c>
      <c r="EX67" s="11">
        <v>1013</v>
      </c>
      <c r="EY67" s="11">
        <v>959</v>
      </c>
      <c r="EZ67" s="11">
        <v>1099</v>
      </c>
      <c r="FA67" s="11">
        <v>1154</v>
      </c>
      <c r="FB67" s="11">
        <v>1445</v>
      </c>
      <c r="FC67" s="11">
        <v>1182</v>
      </c>
      <c r="FD67" s="11">
        <v>766</v>
      </c>
      <c r="FE67" s="11">
        <v>1236</v>
      </c>
      <c r="FF67" s="11">
        <v>1080</v>
      </c>
      <c r="FG67" s="11">
        <v>1091</v>
      </c>
      <c r="FH67" s="26">
        <f t="shared" si="13"/>
        <v>12968</v>
      </c>
      <c r="FI67" s="11">
        <v>1470</v>
      </c>
      <c r="FJ67" s="11">
        <v>984</v>
      </c>
      <c r="FK67" s="11">
        <v>1099</v>
      </c>
      <c r="FL67" s="11">
        <v>1289</v>
      </c>
      <c r="FM67" s="11">
        <v>1272</v>
      </c>
      <c r="FN67" s="11">
        <v>796</v>
      </c>
      <c r="FO67" s="11">
        <v>1580</v>
      </c>
      <c r="FP67" s="11">
        <v>1157</v>
      </c>
      <c r="FQ67" s="11">
        <v>885</v>
      </c>
      <c r="FR67" s="11">
        <v>1024</v>
      </c>
      <c r="FS67" s="11">
        <v>1521</v>
      </c>
      <c r="FT67" s="11">
        <v>1433</v>
      </c>
      <c r="FU67" s="26">
        <f t="shared" si="14"/>
        <v>14510</v>
      </c>
      <c r="FV67" s="11">
        <v>0</v>
      </c>
      <c r="FW67" s="11">
        <v>0</v>
      </c>
      <c r="FX67" s="11">
        <v>0</v>
      </c>
      <c r="FY67" s="11">
        <v>0</v>
      </c>
      <c r="FZ67" s="11">
        <v>0</v>
      </c>
      <c r="GA67" s="11">
        <v>0</v>
      </c>
      <c r="GB67" s="11">
        <v>0</v>
      </c>
      <c r="GC67" s="11">
        <v>0</v>
      </c>
      <c r="GD67" s="11">
        <v>0</v>
      </c>
      <c r="GE67" s="11">
        <v>0</v>
      </c>
      <c r="GF67" s="11">
        <v>0</v>
      </c>
      <c r="GG67" s="11">
        <v>0</v>
      </c>
      <c r="GH67" s="26">
        <f t="shared" si="15"/>
        <v>0</v>
      </c>
      <c r="GI67" s="11">
        <v>0</v>
      </c>
      <c r="GJ67" s="11">
        <v>0</v>
      </c>
      <c r="GK67" s="11">
        <v>0</v>
      </c>
      <c r="GL67" s="11">
        <v>0</v>
      </c>
      <c r="GM67" s="11">
        <v>0</v>
      </c>
      <c r="GN67" s="11">
        <v>0</v>
      </c>
      <c r="GO67" s="11">
        <v>0</v>
      </c>
      <c r="GP67" s="11">
        <v>0</v>
      </c>
      <c r="GQ67" s="11">
        <v>0</v>
      </c>
      <c r="GR67" s="11">
        <v>0</v>
      </c>
      <c r="GS67" s="11">
        <v>0</v>
      </c>
      <c r="GT67" s="11">
        <v>0</v>
      </c>
      <c r="GU67" s="26">
        <f t="shared" si="16"/>
        <v>0</v>
      </c>
      <c r="GV67" s="11">
        <v>0</v>
      </c>
      <c r="GW67" s="11">
        <v>0</v>
      </c>
      <c r="GX67" s="11">
        <v>0</v>
      </c>
      <c r="GY67" s="11">
        <v>0</v>
      </c>
      <c r="GZ67" s="11">
        <v>0</v>
      </c>
      <c r="HA67" s="11">
        <v>0</v>
      </c>
      <c r="HB67" s="11">
        <v>0</v>
      </c>
      <c r="HC67" s="11">
        <v>0</v>
      </c>
      <c r="HD67" s="11">
        <v>0</v>
      </c>
      <c r="HE67" s="11">
        <v>0</v>
      </c>
      <c r="HF67" s="11">
        <v>0</v>
      </c>
      <c r="HG67" s="11">
        <v>0</v>
      </c>
      <c r="HH67" s="26">
        <f t="shared" si="17"/>
        <v>0</v>
      </c>
      <c r="HI67" s="11">
        <v>0</v>
      </c>
      <c r="HJ67" s="11">
        <v>0</v>
      </c>
      <c r="HK67" s="11">
        <v>0</v>
      </c>
      <c r="HL67" s="11">
        <v>0</v>
      </c>
      <c r="HM67" s="11">
        <v>0</v>
      </c>
      <c r="HN67" s="11">
        <v>0</v>
      </c>
      <c r="HO67" s="11">
        <v>0</v>
      </c>
      <c r="HP67" s="11">
        <v>0</v>
      </c>
      <c r="HQ67" s="11">
        <v>0</v>
      </c>
      <c r="HR67" s="11">
        <v>0</v>
      </c>
      <c r="HS67" s="11">
        <v>0</v>
      </c>
      <c r="HT67" s="11">
        <v>0</v>
      </c>
      <c r="HU67" s="26">
        <f t="shared" si="18"/>
        <v>0</v>
      </c>
      <c r="HV67" s="11">
        <v>0</v>
      </c>
      <c r="HW67" s="11">
        <v>0</v>
      </c>
      <c r="HX67" s="11">
        <v>0</v>
      </c>
      <c r="HY67" s="11">
        <v>0</v>
      </c>
      <c r="HZ67" s="11">
        <v>0</v>
      </c>
      <c r="IA67" s="11">
        <v>0</v>
      </c>
      <c r="IB67" s="11">
        <v>0</v>
      </c>
      <c r="IC67" s="11">
        <v>0</v>
      </c>
      <c r="ID67" s="11">
        <v>0</v>
      </c>
      <c r="IE67" s="11">
        <v>0</v>
      </c>
      <c r="IF67" s="11">
        <v>0</v>
      </c>
      <c r="IG67" s="11">
        <v>0</v>
      </c>
      <c r="IH67" s="26">
        <f t="shared" si="19"/>
        <v>0</v>
      </c>
      <c r="II67" s="9">
        <f t="shared" si="20"/>
        <v>27478</v>
      </c>
      <c r="IJ67" s="9">
        <f t="shared" si="21"/>
        <v>0</v>
      </c>
      <c r="IK67" s="11">
        <v>40619</v>
      </c>
      <c r="IL67" s="11">
        <v>38910</v>
      </c>
      <c r="IM67" s="11">
        <v>35791</v>
      </c>
      <c r="IN67" s="11">
        <v>45570</v>
      </c>
      <c r="IO67" s="11">
        <v>47698</v>
      </c>
      <c r="IP67" s="11">
        <v>41216</v>
      </c>
      <c r="IQ67" s="11">
        <v>43217</v>
      </c>
      <c r="IR67" s="11">
        <v>39055</v>
      </c>
      <c r="IS67" s="11">
        <v>29743</v>
      </c>
      <c r="IT67" s="11">
        <v>38533</v>
      </c>
      <c r="IU67" s="11">
        <v>36986</v>
      </c>
      <c r="IV67" s="11">
        <v>37615</v>
      </c>
      <c r="IW67" s="27">
        <f t="shared" si="22"/>
        <v>474953</v>
      </c>
      <c r="IX67" s="11">
        <v>25495</v>
      </c>
      <c r="IY67" s="11">
        <v>24818</v>
      </c>
      <c r="IZ67" s="11">
        <v>23180</v>
      </c>
      <c r="JA67" s="11">
        <v>26009</v>
      </c>
      <c r="JB67" s="11">
        <v>26290</v>
      </c>
      <c r="JC67" s="11">
        <v>24572</v>
      </c>
      <c r="JD67" s="11">
        <v>26239</v>
      </c>
      <c r="JE67" s="11">
        <v>24144</v>
      </c>
      <c r="JF67" s="11">
        <v>20147</v>
      </c>
      <c r="JG67" s="11">
        <v>25048</v>
      </c>
      <c r="JH67" s="11">
        <v>22918</v>
      </c>
      <c r="JI67" s="11">
        <v>22952</v>
      </c>
      <c r="JJ67" s="27">
        <f t="shared" si="23"/>
        <v>291812</v>
      </c>
      <c r="JK67" s="11">
        <v>14749</v>
      </c>
      <c r="JL67" s="11">
        <v>13766</v>
      </c>
      <c r="JM67" s="11">
        <v>12281</v>
      </c>
      <c r="JN67" s="11">
        <v>19119</v>
      </c>
      <c r="JO67" s="11">
        <v>20886</v>
      </c>
      <c r="JP67" s="11">
        <v>16206</v>
      </c>
      <c r="JQ67" s="11">
        <v>16573</v>
      </c>
      <c r="JR67" s="11">
        <v>14629</v>
      </c>
      <c r="JS67" s="11">
        <v>9329</v>
      </c>
      <c r="JT67" s="11">
        <v>13201</v>
      </c>
      <c r="JU67" s="11">
        <v>13789</v>
      </c>
      <c r="JV67" s="11">
        <v>14351</v>
      </c>
      <c r="JW67" s="27">
        <f t="shared" si="24"/>
        <v>178879</v>
      </c>
      <c r="JX67" s="11">
        <v>375</v>
      </c>
      <c r="JY67" s="11">
        <v>326</v>
      </c>
      <c r="JZ67" s="11">
        <v>330</v>
      </c>
      <c r="KA67" s="11">
        <v>442</v>
      </c>
      <c r="KB67" s="11">
        <v>522</v>
      </c>
      <c r="KC67" s="11">
        <v>438</v>
      </c>
      <c r="KD67" s="11">
        <v>405</v>
      </c>
      <c r="KE67" s="11">
        <v>282</v>
      </c>
      <c r="KF67" s="11">
        <v>267</v>
      </c>
      <c r="KG67" s="11">
        <v>284</v>
      </c>
      <c r="KH67" s="11">
        <v>279</v>
      </c>
      <c r="KI67" s="11">
        <v>312</v>
      </c>
      <c r="KJ67" s="27">
        <f t="shared" si="25"/>
        <v>4262</v>
      </c>
      <c r="KK67" s="11">
        <v>705</v>
      </c>
      <c r="KL67" s="11">
        <v>619</v>
      </c>
      <c r="KM67" s="11">
        <v>523</v>
      </c>
      <c r="KN67" s="11">
        <v>611</v>
      </c>
      <c r="KO67" s="11">
        <v>572</v>
      </c>
      <c r="KP67" s="11">
        <v>559</v>
      </c>
      <c r="KQ67" s="11">
        <v>533</v>
      </c>
      <c r="KR67" s="11">
        <v>560</v>
      </c>
      <c r="KS67" s="11">
        <v>410</v>
      </c>
      <c r="KT67" s="11">
        <v>522</v>
      </c>
      <c r="KU67" s="11">
        <v>437</v>
      </c>
      <c r="KV67" s="11">
        <v>470</v>
      </c>
      <c r="KW67" s="27">
        <f t="shared" si="26"/>
        <v>6521</v>
      </c>
      <c r="KX67" s="11">
        <v>643</v>
      </c>
      <c r="KY67" s="11">
        <v>574</v>
      </c>
      <c r="KZ67" s="11">
        <v>495</v>
      </c>
      <c r="LA67" s="11">
        <v>554</v>
      </c>
      <c r="LB67" s="11">
        <v>482</v>
      </c>
      <c r="LC67" s="11">
        <v>500</v>
      </c>
      <c r="LD67" s="11">
        <v>497</v>
      </c>
      <c r="LE67" s="11">
        <v>532</v>
      </c>
      <c r="LF67" s="11">
        <v>386</v>
      </c>
      <c r="LG67" s="11">
        <v>490</v>
      </c>
      <c r="LH67" s="11">
        <v>410</v>
      </c>
      <c r="LI67" s="11">
        <v>439</v>
      </c>
      <c r="LJ67" s="27">
        <f t="shared" si="27"/>
        <v>6002</v>
      </c>
      <c r="LK67" s="11">
        <v>62</v>
      </c>
      <c r="LL67" s="11">
        <v>45</v>
      </c>
      <c r="LM67" s="11">
        <v>28</v>
      </c>
      <c r="LN67" s="11">
        <v>57</v>
      </c>
      <c r="LO67" s="11">
        <v>90</v>
      </c>
      <c r="LP67" s="11">
        <v>59</v>
      </c>
      <c r="LQ67" s="11">
        <v>36</v>
      </c>
      <c r="LR67" s="11">
        <v>28</v>
      </c>
      <c r="LS67" s="11">
        <v>24</v>
      </c>
      <c r="LT67" s="11">
        <v>32</v>
      </c>
      <c r="LU67" s="11">
        <v>27</v>
      </c>
      <c r="LV67" s="11">
        <v>31</v>
      </c>
      <c r="LW67" s="27">
        <f t="shared" si="28"/>
        <v>519</v>
      </c>
      <c r="LX67" s="11">
        <v>0</v>
      </c>
      <c r="LY67" s="11">
        <v>0</v>
      </c>
      <c r="LZ67" s="11">
        <v>0</v>
      </c>
      <c r="MA67" s="11">
        <v>0</v>
      </c>
      <c r="MB67" s="11">
        <v>0</v>
      </c>
      <c r="MC67" s="11">
        <v>0</v>
      </c>
      <c r="MD67" s="11">
        <v>0</v>
      </c>
      <c r="ME67" s="11">
        <v>0</v>
      </c>
      <c r="MF67" s="11">
        <v>0</v>
      </c>
      <c r="MG67" s="11">
        <v>0</v>
      </c>
      <c r="MH67" s="11">
        <v>0</v>
      </c>
      <c r="MI67" s="11">
        <v>0</v>
      </c>
      <c r="MJ67" s="27">
        <f t="shared" si="29"/>
        <v>0</v>
      </c>
      <c r="MK67" s="11">
        <v>3927</v>
      </c>
      <c r="ML67" s="11">
        <v>3927</v>
      </c>
      <c r="MM67" s="11">
        <v>3805</v>
      </c>
      <c r="MN67" s="11">
        <v>4008</v>
      </c>
      <c r="MO67" s="11">
        <v>4211</v>
      </c>
      <c r="MP67" s="11">
        <v>3817</v>
      </c>
      <c r="MQ67" s="11">
        <v>3938</v>
      </c>
      <c r="MR67" s="11">
        <v>3747</v>
      </c>
      <c r="MS67" s="11">
        <v>3573</v>
      </c>
      <c r="MT67" s="11">
        <v>3623</v>
      </c>
      <c r="MU67" s="11">
        <v>3333</v>
      </c>
      <c r="MV67" s="11">
        <v>3826</v>
      </c>
      <c r="MW67" s="27">
        <f t="shared" si="30"/>
        <v>45735</v>
      </c>
      <c r="MX67" s="11">
        <v>3636</v>
      </c>
      <c r="MY67" s="11">
        <v>3672</v>
      </c>
      <c r="MZ67" s="11">
        <v>3476</v>
      </c>
      <c r="NA67" s="11">
        <v>3651</v>
      </c>
      <c r="NB67" s="11">
        <v>3785</v>
      </c>
      <c r="NC67" s="11">
        <v>3511</v>
      </c>
      <c r="ND67" s="11">
        <v>3629</v>
      </c>
      <c r="NE67" s="11">
        <v>3391</v>
      </c>
      <c r="NF67" s="11">
        <v>3269</v>
      </c>
      <c r="NG67" s="11">
        <v>3277</v>
      </c>
      <c r="NH67" s="11">
        <v>3012</v>
      </c>
      <c r="NI67" s="11">
        <v>3469</v>
      </c>
      <c r="NJ67" s="27">
        <f t="shared" si="31"/>
        <v>41778</v>
      </c>
      <c r="NK67" s="11">
        <v>160</v>
      </c>
      <c r="NL67" s="11">
        <v>143</v>
      </c>
      <c r="NM67" s="11">
        <v>184</v>
      </c>
      <c r="NN67" s="11">
        <v>186</v>
      </c>
      <c r="NO67" s="11">
        <v>233</v>
      </c>
      <c r="NP67" s="11">
        <v>157</v>
      </c>
      <c r="NQ67" s="11">
        <v>172</v>
      </c>
      <c r="NR67" s="11">
        <v>199</v>
      </c>
      <c r="NS67" s="11">
        <v>157</v>
      </c>
      <c r="NT67" s="11">
        <v>196</v>
      </c>
      <c r="NU67" s="11">
        <v>179</v>
      </c>
      <c r="NV67" s="11">
        <v>195</v>
      </c>
      <c r="NW67" s="27">
        <f t="shared" si="32"/>
        <v>2161</v>
      </c>
      <c r="NX67" s="11">
        <v>131</v>
      </c>
      <c r="NY67" s="11">
        <v>112</v>
      </c>
      <c r="NZ67" s="11">
        <v>145</v>
      </c>
      <c r="OA67" s="11">
        <v>171</v>
      </c>
      <c r="OB67" s="11">
        <v>193</v>
      </c>
      <c r="OC67" s="11">
        <v>149</v>
      </c>
      <c r="OD67" s="11">
        <v>137</v>
      </c>
      <c r="OE67" s="11">
        <v>157</v>
      </c>
      <c r="OF67" s="11">
        <v>147</v>
      </c>
      <c r="OG67" s="11">
        <v>150</v>
      </c>
      <c r="OH67" s="11">
        <v>142</v>
      </c>
      <c r="OI67" s="11">
        <v>162</v>
      </c>
      <c r="OJ67" s="27">
        <f t="shared" si="33"/>
        <v>1796</v>
      </c>
      <c r="OK67" s="11">
        <v>6682</v>
      </c>
      <c r="OL67" s="11">
        <v>6750</v>
      </c>
      <c r="OM67" s="11">
        <v>6569</v>
      </c>
      <c r="ON67" s="11">
        <v>7139</v>
      </c>
      <c r="OO67" s="11">
        <v>7542</v>
      </c>
      <c r="OP67" s="11">
        <v>7185</v>
      </c>
      <c r="OQ67" s="11">
        <v>7399</v>
      </c>
      <c r="OR67" s="11">
        <v>7056</v>
      </c>
      <c r="OS67" s="11">
        <v>6906</v>
      </c>
      <c r="OT67" s="11">
        <v>7199</v>
      </c>
      <c r="OU67" s="11">
        <v>6649</v>
      </c>
      <c r="OV67" s="11">
        <v>7333</v>
      </c>
      <c r="OW67" s="27">
        <f t="shared" si="34"/>
        <v>84409</v>
      </c>
      <c r="OX67" s="11">
        <v>5538</v>
      </c>
      <c r="OY67" s="11">
        <v>5634</v>
      </c>
      <c r="OZ67" s="11">
        <v>5459</v>
      </c>
      <c r="PA67" s="11">
        <v>5884</v>
      </c>
      <c r="PB67" s="11">
        <v>6026</v>
      </c>
      <c r="PC67" s="11">
        <v>5905</v>
      </c>
      <c r="PD67" s="11">
        <v>6074</v>
      </c>
      <c r="PE67" s="11">
        <v>5709</v>
      </c>
      <c r="PF67" s="11">
        <v>5539</v>
      </c>
      <c r="PG67" s="11">
        <v>5847</v>
      </c>
      <c r="PH67" s="11">
        <v>5434</v>
      </c>
      <c r="PI67" s="11">
        <v>6076</v>
      </c>
      <c r="PJ67" s="27">
        <f t="shared" si="35"/>
        <v>69125</v>
      </c>
      <c r="PK67" s="11">
        <v>970</v>
      </c>
      <c r="PL67" s="11">
        <v>929</v>
      </c>
      <c r="PM67" s="11">
        <v>891</v>
      </c>
      <c r="PN67" s="11">
        <v>1050</v>
      </c>
      <c r="PO67" s="11">
        <v>1280</v>
      </c>
      <c r="PP67" s="11">
        <v>1055</v>
      </c>
      <c r="PQ67" s="11">
        <v>1074</v>
      </c>
      <c r="PR67" s="11">
        <v>1083</v>
      </c>
      <c r="PS67" s="11">
        <v>1116</v>
      </c>
      <c r="PT67" s="11">
        <v>1094</v>
      </c>
      <c r="PU67" s="11">
        <v>993</v>
      </c>
      <c r="PV67" s="11">
        <v>1027</v>
      </c>
      <c r="PW67" s="27">
        <f t="shared" si="36"/>
        <v>12562</v>
      </c>
      <c r="PX67" s="11">
        <v>174</v>
      </c>
      <c r="PY67" s="11">
        <v>187</v>
      </c>
      <c r="PZ67" s="11">
        <v>219</v>
      </c>
      <c r="QA67" s="11">
        <v>205</v>
      </c>
      <c r="QB67" s="11">
        <v>236</v>
      </c>
      <c r="QC67" s="11">
        <v>225</v>
      </c>
      <c r="QD67" s="11">
        <v>251</v>
      </c>
      <c r="QE67" s="11">
        <v>264</v>
      </c>
      <c r="QF67" s="11">
        <v>251</v>
      </c>
      <c r="QG67" s="11">
        <v>258</v>
      </c>
      <c r="QH67" s="11">
        <v>222</v>
      </c>
      <c r="QI67" s="11">
        <v>230</v>
      </c>
      <c r="QJ67" s="27">
        <f t="shared" si="37"/>
        <v>2722</v>
      </c>
      <c r="QK67" s="11">
        <v>0</v>
      </c>
      <c r="QL67" s="11">
        <v>0</v>
      </c>
      <c r="QM67" s="11">
        <v>0</v>
      </c>
      <c r="QN67" s="11">
        <v>0</v>
      </c>
      <c r="QO67" s="11">
        <v>0</v>
      </c>
      <c r="QP67" s="11">
        <v>0</v>
      </c>
      <c r="QQ67" s="11">
        <v>0</v>
      </c>
      <c r="QR67" s="11">
        <v>0</v>
      </c>
      <c r="QS67" s="11">
        <v>0</v>
      </c>
      <c r="QT67" s="11">
        <v>0</v>
      </c>
      <c r="QU67" s="11">
        <v>0</v>
      </c>
      <c r="QV67" s="11">
        <v>0</v>
      </c>
      <c r="QW67" s="27">
        <f t="shared" si="38"/>
        <v>0</v>
      </c>
      <c r="QX67" s="11">
        <v>0</v>
      </c>
      <c r="QY67" s="11">
        <v>0</v>
      </c>
      <c r="QZ67" s="11">
        <v>0</v>
      </c>
      <c r="RA67" s="11">
        <v>0</v>
      </c>
      <c r="RB67" s="11">
        <v>0</v>
      </c>
      <c r="RC67" s="11">
        <v>0</v>
      </c>
      <c r="RD67" s="11">
        <v>0</v>
      </c>
      <c r="RE67" s="11">
        <v>0</v>
      </c>
      <c r="RF67" s="11">
        <v>0</v>
      </c>
      <c r="RG67" s="11">
        <v>0</v>
      </c>
      <c r="RH67" s="11">
        <v>0</v>
      </c>
      <c r="RI67" s="11">
        <v>0</v>
      </c>
      <c r="RJ67" s="27">
        <f t="shared" si="39"/>
        <v>0</v>
      </c>
      <c r="RK67" s="11">
        <v>0</v>
      </c>
      <c r="RL67" s="11">
        <v>0</v>
      </c>
      <c r="RM67" s="11">
        <v>0</v>
      </c>
      <c r="RN67" s="11">
        <v>0</v>
      </c>
      <c r="RO67" s="11">
        <v>0</v>
      </c>
      <c r="RP67" s="11">
        <v>0</v>
      </c>
      <c r="RQ67" s="11">
        <v>0</v>
      </c>
      <c r="RR67" s="11">
        <v>0</v>
      </c>
      <c r="RS67" s="11">
        <v>0</v>
      </c>
      <c r="RT67" s="11">
        <v>0</v>
      </c>
      <c r="RU67" s="11">
        <v>0</v>
      </c>
      <c r="RV67" s="11">
        <v>0</v>
      </c>
      <c r="RW67" s="27">
        <f t="shared" si="40"/>
        <v>0</v>
      </c>
      <c r="RX67" s="11">
        <v>0</v>
      </c>
      <c r="RY67" s="11">
        <v>0</v>
      </c>
      <c r="RZ67" s="11">
        <v>0</v>
      </c>
      <c r="SA67" s="11">
        <v>0</v>
      </c>
      <c r="SB67" s="11">
        <v>0</v>
      </c>
      <c r="SC67" s="11">
        <v>0</v>
      </c>
      <c r="SD67" s="11">
        <v>0</v>
      </c>
      <c r="SE67" s="11">
        <v>0</v>
      </c>
      <c r="SF67" s="11">
        <v>0</v>
      </c>
      <c r="SG67" s="11">
        <v>0</v>
      </c>
      <c r="SH67" s="11">
        <v>0</v>
      </c>
      <c r="SI67" s="11">
        <v>0</v>
      </c>
      <c r="SJ67" s="27">
        <f t="shared" si="41"/>
        <v>0</v>
      </c>
      <c r="SK67" s="11">
        <v>0</v>
      </c>
      <c r="SL67" s="11">
        <v>0</v>
      </c>
      <c r="SM67" s="11">
        <v>0</v>
      </c>
      <c r="SN67" s="11">
        <v>0</v>
      </c>
      <c r="SO67" s="11">
        <v>0</v>
      </c>
      <c r="SP67" s="11">
        <v>0</v>
      </c>
      <c r="SQ67" s="11">
        <v>0</v>
      </c>
      <c r="SR67" s="11">
        <v>0</v>
      </c>
      <c r="SS67" s="11">
        <v>0</v>
      </c>
      <c r="ST67" s="11">
        <v>0</v>
      </c>
      <c r="SU67" s="11">
        <v>0</v>
      </c>
      <c r="SV67" s="11">
        <v>0</v>
      </c>
      <c r="SW67" s="27">
        <f t="shared" si="42"/>
        <v>0</v>
      </c>
      <c r="SX67" s="11" t="s">
        <v>2707</v>
      </c>
      <c r="SY67" s="11">
        <v>2133</v>
      </c>
      <c r="SZ67" s="11">
        <v>2030</v>
      </c>
      <c r="TA67" s="11">
        <v>1934</v>
      </c>
      <c r="TB67" s="11">
        <v>1969</v>
      </c>
      <c r="TC67" s="11">
        <v>2065</v>
      </c>
      <c r="TD67" s="11">
        <v>2050</v>
      </c>
      <c r="TE67" s="11">
        <v>2335</v>
      </c>
      <c r="TF67" s="11">
        <v>2236</v>
      </c>
      <c r="TG67" s="11">
        <v>1644</v>
      </c>
      <c r="TH67" s="11">
        <v>2352</v>
      </c>
      <c r="TI67" s="11">
        <v>2305</v>
      </c>
      <c r="TJ67" s="11">
        <v>2213</v>
      </c>
      <c r="TK67" s="27">
        <f t="shared" si="43"/>
        <v>25266</v>
      </c>
      <c r="TL67" s="11">
        <v>0</v>
      </c>
      <c r="TM67" s="11">
        <v>0</v>
      </c>
      <c r="TN67" s="11">
        <v>0</v>
      </c>
      <c r="TO67" s="11">
        <v>0</v>
      </c>
      <c r="TP67" s="11">
        <v>0</v>
      </c>
      <c r="TQ67" s="11">
        <v>0</v>
      </c>
      <c r="TR67" s="11">
        <v>0</v>
      </c>
      <c r="TS67" s="11">
        <v>0</v>
      </c>
      <c r="TT67" s="11">
        <v>0</v>
      </c>
      <c r="TU67" s="11">
        <v>0</v>
      </c>
      <c r="TV67" s="11">
        <v>0</v>
      </c>
      <c r="TW67" s="11">
        <v>0</v>
      </c>
      <c r="TX67" s="27">
        <f t="shared" si="44"/>
        <v>0</v>
      </c>
      <c r="TY67" s="11">
        <v>111</v>
      </c>
      <c r="TZ67" s="11">
        <v>0</v>
      </c>
      <c r="UA67" s="11">
        <v>0</v>
      </c>
    </row>
    <row r="68" spans="1:547" ht="16" customHeight="1" x14ac:dyDescent="0.35">
      <c r="A68" s="11" t="s">
        <v>1551</v>
      </c>
      <c r="B68" s="11">
        <v>39896</v>
      </c>
      <c r="C68" s="11">
        <v>9284</v>
      </c>
      <c r="D68" s="11">
        <v>26702</v>
      </c>
      <c r="E68" s="11">
        <v>3910</v>
      </c>
      <c r="F68" s="11">
        <v>374</v>
      </c>
      <c r="G68" s="11">
        <v>412</v>
      </c>
      <c r="H68" s="11">
        <v>447</v>
      </c>
      <c r="I68" s="11">
        <v>373</v>
      </c>
      <c r="J68" s="11">
        <v>371</v>
      </c>
      <c r="K68" s="11">
        <v>391</v>
      </c>
      <c r="L68" s="11">
        <v>487</v>
      </c>
      <c r="M68" s="11">
        <v>452</v>
      </c>
      <c r="N68" s="11">
        <v>324</v>
      </c>
      <c r="O68" s="11">
        <v>419</v>
      </c>
      <c r="P68" s="11" t="s">
        <v>2863</v>
      </c>
      <c r="Q68" s="11">
        <v>411</v>
      </c>
      <c r="R68" s="11">
        <v>472</v>
      </c>
      <c r="S68" s="26">
        <f t="shared" si="0"/>
        <v>4933</v>
      </c>
      <c r="T68" s="11">
        <v>201</v>
      </c>
      <c r="U68" s="11">
        <v>221</v>
      </c>
      <c r="V68" s="11">
        <v>254</v>
      </c>
      <c r="W68" s="11">
        <v>203</v>
      </c>
      <c r="X68" s="11">
        <v>196</v>
      </c>
      <c r="Y68" s="11">
        <v>217</v>
      </c>
      <c r="Z68" s="11">
        <v>273</v>
      </c>
      <c r="AA68" s="11">
        <v>246</v>
      </c>
      <c r="AB68" s="11">
        <v>191</v>
      </c>
      <c r="AC68" s="11">
        <v>246</v>
      </c>
      <c r="AD68" s="11">
        <v>218</v>
      </c>
      <c r="AE68" s="11">
        <v>241</v>
      </c>
      <c r="AF68" s="26">
        <f t="shared" si="1"/>
        <v>2707</v>
      </c>
      <c r="AG68" s="11">
        <v>173</v>
      </c>
      <c r="AH68" s="11">
        <v>191</v>
      </c>
      <c r="AI68" s="11">
        <v>193</v>
      </c>
      <c r="AJ68" s="11">
        <v>170</v>
      </c>
      <c r="AK68" s="11">
        <v>175</v>
      </c>
      <c r="AL68" s="11">
        <v>174</v>
      </c>
      <c r="AM68" s="11">
        <v>214</v>
      </c>
      <c r="AN68" s="11">
        <v>206</v>
      </c>
      <c r="AO68" s="11">
        <v>133</v>
      </c>
      <c r="AP68" s="11">
        <v>173</v>
      </c>
      <c r="AQ68" s="11">
        <v>193</v>
      </c>
      <c r="AR68" s="11">
        <v>231</v>
      </c>
      <c r="AS68" s="26">
        <f t="shared" si="2"/>
        <v>2226</v>
      </c>
      <c r="AT68" s="11">
        <v>0</v>
      </c>
      <c r="AU68" s="11">
        <v>0</v>
      </c>
      <c r="AV68" s="11">
        <v>0</v>
      </c>
      <c r="AW68" s="11">
        <v>0</v>
      </c>
      <c r="AX68" s="11">
        <v>0</v>
      </c>
      <c r="AY68" s="11">
        <v>0</v>
      </c>
      <c r="AZ68" s="11">
        <v>0</v>
      </c>
      <c r="BA68" s="11">
        <v>0</v>
      </c>
      <c r="BB68" s="11">
        <v>0</v>
      </c>
      <c r="BC68" s="11">
        <v>0</v>
      </c>
      <c r="BD68" s="11">
        <v>0</v>
      </c>
      <c r="BE68" s="11">
        <v>0</v>
      </c>
      <c r="BF68" s="26">
        <f t="shared" si="3"/>
        <v>0</v>
      </c>
      <c r="BG68" s="11">
        <v>0</v>
      </c>
      <c r="BH68" s="11">
        <v>0</v>
      </c>
      <c r="BI68" s="11">
        <v>0</v>
      </c>
      <c r="BJ68" s="11">
        <v>0</v>
      </c>
      <c r="BK68" s="11">
        <v>0</v>
      </c>
      <c r="BL68" s="11">
        <v>0</v>
      </c>
      <c r="BM68" s="11">
        <v>0</v>
      </c>
      <c r="BN68" s="11">
        <v>0</v>
      </c>
      <c r="BO68" s="11">
        <v>0</v>
      </c>
      <c r="BP68" s="11">
        <v>0</v>
      </c>
      <c r="BQ68" s="11">
        <v>0</v>
      </c>
      <c r="BR68" s="11">
        <v>0</v>
      </c>
      <c r="BS68" s="26">
        <f t="shared" si="4"/>
        <v>0</v>
      </c>
      <c r="BT68" s="11">
        <v>0</v>
      </c>
      <c r="BU68" s="11">
        <v>19</v>
      </c>
      <c r="BV68" s="11">
        <v>45</v>
      </c>
      <c r="BW68" s="11">
        <v>33</v>
      </c>
      <c r="BX68" s="11">
        <v>4</v>
      </c>
      <c r="BY68" s="11">
        <v>16</v>
      </c>
      <c r="BZ68" s="11">
        <v>16</v>
      </c>
      <c r="CA68" s="11">
        <v>15</v>
      </c>
      <c r="CB68" s="11">
        <v>14</v>
      </c>
      <c r="CC68" s="11">
        <v>3</v>
      </c>
      <c r="CD68" s="11">
        <v>3</v>
      </c>
      <c r="CE68" s="11">
        <v>4</v>
      </c>
      <c r="CF68" s="26">
        <f t="shared" si="5"/>
        <v>172</v>
      </c>
      <c r="CG68" s="11">
        <v>0</v>
      </c>
      <c r="CH68" s="11">
        <v>19</v>
      </c>
      <c r="CI68" s="11">
        <v>45</v>
      </c>
      <c r="CJ68" s="11">
        <v>33</v>
      </c>
      <c r="CK68" s="11">
        <v>4</v>
      </c>
      <c r="CL68" s="11">
        <v>16</v>
      </c>
      <c r="CM68" s="11">
        <v>16</v>
      </c>
      <c r="CN68" s="11">
        <v>15</v>
      </c>
      <c r="CO68" s="11">
        <v>14</v>
      </c>
      <c r="CP68" s="11">
        <v>3</v>
      </c>
      <c r="CQ68" s="11">
        <v>3</v>
      </c>
      <c r="CR68" s="11">
        <v>4</v>
      </c>
      <c r="CS68" s="26">
        <f t="shared" si="6"/>
        <v>172</v>
      </c>
      <c r="CT68" s="11">
        <v>0</v>
      </c>
      <c r="CU68" s="11">
        <v>0</v>
      </c>
      <c r="CV68" s="11">
        <v>0</v>
      </c>
      <c r="CW68" s="11">
        <v>0</v>
      </c>
      <c r="CX68" s="11">
        <v>0</v>
      </c>
      <c r="CY68" s="11">
        <v>0</v>
      </c>
      <c r="CZ68" s="11">
        <v>0</v>
      </c>
      <c r="DA68" s="11">
        <v>0</v>
      </c>
      <c r="DB68" s="11">
        <v>0</v>
      </c>
      <c r="DC68" s="11">
        <v>0</v>
      </c>
      <c r="DD68" s="11">
        <v>0</v>
      </c>
      <c r="DE68" s="11">
        <v>0</v>
      </c>
      <c r="DF68" s="26">
        <f t="shared" si="7"/>
        <v>0</v>
      </c>
      <c r="DG68" s="11">
        <v>0</v>
      </c>
      <c r="DH68" s="11">
        <v>0</v>
      </c>
      <c r="DI68" s="11">
        <v>0</v>
      </c>
      <c r="DJ68" s="11">
        <v>0</v>
      </c>
      <c r="DK68" s="11">
        <v>0</v>
      </c>
      <c r="DL68" s="11">
        <v>0</v>
      </c>
      <c r="DM68" s="11">
        <v>0</v>
      </c>
      <c r="DN68" s="11">
        <v>0</v>
      </c>
      <c r="DO68" s="11">
        <v>0</v>
      </c>
      <c r="DP68" s="11">
        <v>0</v>
      </c>
      <c r="DQ68" s="11">
        <v>0</v>
      </c>
      <c r="DR68" s="11">
        <v>0</v>
      </c>
      <c r="DS68" s="26">
        <f t="shared" si="8"/>
        <v>0</v>
      </c>
      <c r="DT68" s="11">
        <v>0</v>
      </c>
      <c r="DU68" s="11">
        <v>0</v>
      </c>
      <c r="DV68" s="11">
        <v>0</v>
      </c>
      <c r="DW68" s="11">
        <v>0</v>
      </c>
      <c r="DX68" s="11">
        <v>0</v>
      </c>
      <c r="DY68" s="11">
        <v>0</v>
      </c>
      <c r="DZ68" s="11">
        <v>0</v>
      </c>
      <c r="EA68" s="11">
        <v>0</v>
      </c>
      <c r="EB68" s="11">
        <v>0</v>
      </c>
      <c r="EC68" s="11">
        <v>0</v>
      </c>
      <c r="ED68" s="11">
        <v>0</v>
      </c>
      <c r="EE68" s="11">
        <v>0</v>
      </c>
      <c r="EF68" s="26">
        <f t="shared" si="9"/>
        <v>0</v>
      </c>
      <c r="EG68" s="9">
        <f t="shared" si="10"/>
        <v>4933</v>
      </c>
      <c r="EH68" s="9">
        <f t="shared" si="11"/>
        <v>172</v>
      </c>
      <c r="EI68" s="11">
        <v>7106</v>
      </c>
      <c r="EJ68" s="11">
        <v>7342</v>
      </c>
      <c r="EK68" s="11">
        <v>8263</v>
      </c>
      <c r="EL68" s="11">
        <v>6509</v>
      </c>
      <c r="EM68" s="11">
        <v>6479</v>
      </c>
      <c r="EN68" s="11">
        <v>6672</v>
      </c>
      <c r="EO68" s="11">
        <v>8575</v>
      </c>
      <c r="EP68" s="11">
        <v>7049</v>
      </c>
      <c r="EQ68" s="11">
        <v>5164</v>
      </c>
      <c r="ER68" s="11">
        <v>5816</v>
      </c>
      <c r="ES68" s="11">
        <v>8246</v>
      </c>
      <c r="ET68" s="11">
        <v>7976</v>
      </c>
      <c r="EU68" s="26">
        <f t="shared" si="12"/>
        <v>85197</v>
      </c>
      <c r="EV68" s="11">
        <v>3793</v>
      </c>
      <c r="EW68" s="11">
        <v>4228</v>
      </c>
      <c r="EX68" s="11">
        <v>4919</v>
      </c>
      <c r="EY68" s="11">
        <v>3800</v>
      </c>
      <c r="EZ68" s="11">
        <v>3463</v>
      </c>
      <c r="FA68" s="11">
        <v>4056</v>
      </c>
      <c r="FB68" s="11">
        <v>4843</v>
      </c>
      <c r="FC68" s="11">
        <v>3944</v>
      </c>
      <c r="FD68" s="11">
        <v>2903</v>
      </c>
      <c r="FE68" s="11">
        <v>3505</v>
      </c>
      <c r="FF68" s="11">
        <v>4620</v>
      </c>
      <c r="FG68" s="11">
        <v>4173</v>
      </c>
      <c r="FH68" s="26">
        <f t="shared" si="13"/>
        <v>48247</v>
      </c>
      <c r="FI68" s="11">
        <v>3313</v>
      </c>
      <c r="FJ68" s="11">
        <v>3114</v>
      </c>
      <c r="FK68" s="11">
        <v>3344</v>
      </c>
      <c r="FL68" s="11">
        <v>2709</v>
      </c>
      <c r="FM68" s="11">
        <v>3016</v>
      </c>
      <c r="FN68" s="11">
        <v>2616</v>
      </c>
      <c r="FO68" s="11">
        <v>3732</v>
      </c>
      <c r="FP68" s="11">
        <v>3105</v>
      </c>
      <c r="FQ68" s="11">
        <v>2261</v>
      </c>
      <c r="FR68" s="11">
        <v>2311</v>
      </c>
      <c r="FS68" s="11">
        <v>3626</v>
      </c>
      <c r="FT68" s="11">
        <v>3803</v>
      </c>
      <c r="FU68" s="26">
        <f t="shared" si="14"/>
        <v>36950</v>
      </c>
      <c r="FV68" s="11">
        <v>0</v>
      </c>
      <c r="FW68" s="11">
        <v>0</v>
      </c>
      <c r="FX68" s="11">
        <v>0</v>
      </c>
      <c r="FY68" s="11">
        <v>0</v>
      </c>
      <c r="FZ68" s="11">
        <v>0</v>
      </c>
      <c r="GA68" s="11">
        <v>0</v>
      </c>
      <c r="GB68" s="11">
        <v>0</v>
      </c>
      <c r="GC68" s="11">
        <v>0</v>
      </c>
      <c r="GD68" s="11">
        <v>0</v>
      </c>
      <c r="GE68" s="11">
        <v>0</v>
      </c>
      <c r="GF68" s="11">
        <v>0</v>
      </c>
      <c r="GG68" s="11">
        <v>0</v>
      </c>
      <c r="GH68" s="26">
        <f t="shared" si="15"/>
        <v>0</v>
      </c>
      <c r="GI68" s="11">
        <v>19</v>
      </c>
      <c r="GJ68" s="11">
        <v>146</v>
      </c>
      <c r="GK68" s="11">
        <v>87</v>
      </c>
      <c r="GL68" s="11">
        <v>9</v>
      </c>
      <c r="GM68" s="11">
        <v>79</v>
      </c>
      <c r="GN68" s="11">
        <v>77</v>
      </c>
      <c r="GO68" s="11">
        <v>67</v>
      </c>
      <c r="GP68" s="11">
        <v>59</v>
      </c>
      <c r="GQ68" s="11">
        <v>3</v>
      </c>
      <c r="GR68" s="11">
        <v>3</v>
      </c>
      <c r="GS68" s="11">
        <v>7</v>
      </c>
      <c r="GT68" s="11">
        <v>0</v>
      </c>
      <c r="GU68" s="26">
        <f t="shared" si="16"/>
        <v>556</v>
      </c>
      <c r="GV68" s="11">
        <v>19</v>
      </c>
      <c r="GW68" s="11">
        <v>146</v>
      </c>
      <c r="GX68" s="11">
        <v>87</v>
      </c>
      <c r="GY68" s="11">
        <v>9</v>
      </c>
      <c r="GZ68" s="11">
        <v>79</v>
      </c>
      <c r="HA68" s="11">
        <v>77</v>
      </c>
      <c r="HB68" s="11">
        <v>67</v>
      </c>
      <c r="HC68" s="11">
        <v>59</v>
      </c>
      <c r="HD68" s="11">
        <v>3</v>
      </c>
      <c r="HE68" s="11">
        <v>3</v>
      </c>
      <c r="HF68" s="11">
        <v>11</v>
      </c>
      <c r="HG68" s="11">
        <v>0</v>
      </c>
      <c r="HH68" s="26">
        <f t="shared" si="17"/>
        <v>560</v>
      </c>
      <c r="HI68" s="11">
        <v>0</v>
      </c>
      <c r="HJ68" s="11">
        <v>0</v>
      </c>
      <c r="HK68" s="11">
        <v>0</v>
      </c>
      <c r="HL68" s="11">
        <v>0</v>
      </c>
      <c r="HM68" s="11">
        <v>0</v>
      </c>
      <c r="HN68" s="11">
        <v>0</v>
      </c>
      <c r="HO68" s="11">
        <v>0</v>
      </c>
      <c r="HP68" s="11">
        <v>0</v>
      </c>
      <c r="HQ68" s="11">
        <v>0</v>
      </c>
      <c r="HR68" s="11">
        <v>0</v>
      </c>
      <c r="HS68" s="11">
        <v>0</v>
      </c>
      <c r="HT68" s="11">
        <v>0</v>
      </c>
      <c r="HU68" s="26">
        <f t="shared" si="18"/>
        <v>0</v>
      </c>
      <c r="HV68" s="11">
        <v>0</v>
      </c>
      <c r="HW68" s="11">
        <v>0</v>
      </c>
      <c r="HX68" s="11">
        <v>0</v>
      </c>
      <c r="HY68" s="11">
        <v>0</v>
      </c>
      <c r="HZ68" s="11">
        <v>0</v>
      </c>
      <c r="IA68" s="11">
        <v>0</v>
      </c>
      <c r="IB68" s="11">
        <v>0</v>
      </c>
      <c r="IC68" s="11">
        <v>0</v>
      </c>
      <c r="ID68" s="11">
        <v>0</v>
      </c>
      <c r="IE68" s="11">
        <v>0</v>
      </c>
      <c r="IF68" s="11">
        <v>0</v>
      </c>
      <c r="IG68" s="11">
        <v>0</v>
      </c>
      <c r="IH68" s="26">
        <f t="shared" si="19"/>
        <v>0</v>
      </c>
      <c r="II68" s="9">
        <f t="shared" si="20"/>
        <v>85197</v>
      </c>
      <c r="IJ68" s="9">
        <f t="shared" si="21"/>
        <v>560</v>
      </c>
      <c r="IK68" s="11">
        <v>41424</v>
      </c>
      <c r="IL68" s="11">
        <v>39295</v>
      </c>
      <c r="IM68" s="11">
        <v>34134</v>
      </c>
      <c r="IN68" s="11">
        <v>41367</v>
      </c>
      <c r="IO68" s="11">
        <v>45701</v>
      </c>
      <c r="IP68" s="11">
        <v>36111</v>
      </c>
      <c r="IQ68" s="11">
        <v>40542</v>
      </c>
      <c r="IR68" s="11">
        <v>27076</v>
      </c>
      <c r="IS68" s="11">
        <v>26607</v>
      </c>
      <c r="IT68" s="11">
        <v>34866</v>
      </c>
      <c r="IU68" s="11">
        <v>32663</v>
      </c>
      <c r="IV68" s="11">
        <v>33658</v>
      </c>
      <c r="IW68" s="27">
        <f t="shared" si="22"/>
        <v>433444</v>
      </c>
      <c r="IX68" s="11">
        <v>19745</v>
      </c>
      <c r="IY68" s="11">
        <v>19150</v>
      </c>
      <c r="IZ68" s="11">
        <v>17867</v>
      </c>
      <c r="JA68" s="11">
        <v>19467</v>
      </c>
      <c r="JB68" s="11">
        <v>19914</v>
      </c>
      <c r="JC68" s="11">
        <v>18071</v>
      </c>
      <c r="JD68" s="11">
        <v>19197</v>
      </c>
      <c r="JE68" s="11">
        <v>13240</v>
      </c>
      <c r="JF68" s="11">
        <v>13471</v>
      </c>
      <c r="JG68" s="11">
        <v>17257</v>
      </c>
      <c r="JH68" s="11">
        <v>14813</v>
      </c>
      <c r="JI68" s="11">
        <v>16102</v>
      </c>
      <c r="JJ68" s="27">
        <f t="shared" si="23"/>
        <v>208294</v>
      </c>
      <c r="JK68" s="11">
        <v>19451</v>
      </c>
      <c r="JL68" s="11">
        <v>18223</v>
      </c>
      <c r="JM68" s="11">
        <v>14558</v>
      </c>
      <c r="JN68" s="11">
        <v>19588</v>
      </c>
      <c r="JO68" s="11">
        <v>22972</v>
      </c>
      <c r="JP68" s="11">
        <v>16334</v>
      </c>
      <c r="JQ68" s="11">
        <v>19059</v>
      </c>
      <c r="JR68" s="11">
        <v>13093</v>
      </c>
      <c r="JS68" s="11">
        <v>12409</v>
      </c>
      <c r="JT68" s="11">
        <v>16691</v>
      </c>
      <c r="JU68" s="11">
        <v>16875</v>
      </c>
      <c r="JV68" s="11">
        <v>16613</v>
      </c>
      <c r="JW68" s="27">
        <f t="shared" si="24"/>
        <v>205866</v>
      </c>
      <c r="JX68" s="11">
        <v>2228</v>
      </c>
      <c r="JY68" s="11">
        <v>1922</v>
      </c>
      <c r="JZ68" s="11">
        <v>1709</v>
      </c>
      <c r="KA68" s="11">
        <v>2312</v>
      </c>
      <c r="KB68" s="11">
        <v>2815</v>
      </c>
      <c r="KC68" s="11">
        <v>1706</v>
      </c>
      <c r="KD68" s="11">
        <v>2286</v>
      </c>
      <c r="KE68" s="11">
        <v>743</v>
      </c>
      <c r="KF68" s="11">
        <v>727</v>
      </c>
      <c r="KG68" s="11">
        <v>918</v>
      </c>
      <c r="KH68" s="11">
        <v>975</v>
      </c>
      <c r="KI68" s="11">
        <v>943</v>
      </c>
      <c r="KJ68" s="27">
        <f t="shared" si="25"/>
        <v>19284</v>
      </c>
      <c r="KK68" s="11">
        <v>641</v>
      </c>
      <c r="KL68" s="11">
        <v>723</v>
      </c>
      <c r="KM68" s="11">
        <v>584</v>
      </c>
      <c r="KN68" s="11">
        <v>531</v>
      </c>
      <c r="KO68" s="11">
        <v>631</v>
      </c>
      <c r="KP68" s="11">
        <v>480</v>
      </c>
      <c r="KQ68" s="11">
        <v>738</v>
      </c>
      <c r="KR68" s="11">
        <v>435</v>
      </c>
      <c r="KS68" s="11">
        <v>466</v>
      </c>
      <c r="KT68" s="11">
        <v>555</v>
      </c>
      <c r="KU68" s="11">
        <v>503</v>
      </c>
      <c r="KV68" s="11">
        <v>504</v>
      </c>
      <c r="KW68" s="27">
        <f t="shared" si="26"/>
        <v>6791</v>
      </c>
      <c r="KX68" s="11">
        <v>586</v>
      </c>
      <c r="KY68" s="11">
        <v>642</v>
      </c>
      <c r="KZ68" s="11">
        <v>468</v>
      </c>
      <c r="LA68" s="11">
        <v>439</v>
      </c>
      <c r="LB68" s="11">
        <v>531</v>
      </c>
      <c r="LC68" s="11">
        <v>366</v>
      </c>
      <c r="LD68" s="11">
        <v>577</v>
      </c>
      <c r="LE68" s="11">
        <v>275</v>
      </c>
      <c r="LF68" s="11">
        <v>357</v>
      </c>
      <c r="LG68" s="11">
        <v>473</v>
      </c>
      <c r="LH68" s="11">
        <v>427</v>
      </c>
      <c r="LI68" s="11">
        <v>435</v>
      </c>
      <c r="LJ68" s="27">
        <f t="shared" si="27"/>
        <v>5576</v>
      </c>
      <c r="LK68" s="11">
        <v>155</v>
      </c>
      <c r="LL68" s="11">
        <v>81</v>
      </c>
      <c r="LM68" s="11">
        <v>116</v>
      </c>
      <c r="LN68" s="11">
        <v>92</v>
      </c>
      <c r="LO68" s="11">
        <v>100</v>
      </c>
      <c r="LP68" s="11">
        <v>114</v>
      </c>
      <c r="LQ68" s="11">
        <v>161</v>
      </c>
      <c r="LR68" s="11">
        <v>60</v>
      </c>
      <c r="LS68" s="11">
        <v>109</v>
      </c>
      <c r="LT68" s="11">
        <v>82</v>
      </c>
      <c r="LU68" s="11">
        <v>76</v>
      </c>
      <c r="LV68" s="11">
        <v>69</v>
      </c>
      <c r="LW68" s="27">
        <f t="shared" si="28"/>
        <v>1215</v>
      </c>
      <c r="LX68" s="11">
        <v>0</v>
      </c>
      <c r="LY68" s="11">
        <v>0</v>
      </c>
      <c r="LZ68" s="11">
        <v>0</v>
      </c>
      <c r="MA68" s="11">
        <v>0</v>
      </c>
      <c r="MB68" s="11">
        <v>0</v>
      </c>
      <c r="MC68" s="11">
        <v>0</v>
      </c>
      <c r="MD68" s="11">
        <v>0</v>
      </c>
      <c r="ME68" s="11">
        <v>0</v>
      </c>
      <c r="MF68" s="11">
        <v>0</v>
      </c>
      <c r="MG68" s="11">
        <v>0</v>
      </c>
      <c r="MH68" s="11">
        <v>0</v>
      </c>
      <c r="MI68" s="11">
        <v>0</v>
      </c>
      <c r="MJ68" s="27">
        <f t="shared" si="29"/>
        <v>0</v>
      </c>
      <c r="MK68" s="11">
        <v>2217</v>
      </c>
      <c r="ML68" s="11">
        <v>2284</v>
      </c>
      <c r="MM68" s="11">
        <v>2326</v>
      </c>
      <c r="MN68" s="11">
        <v>2295</v>
      </c>
      <c r="MO68" s="11">
        <v>2310</v>
      </c>
      <c r="MP68" s="11">
        <v>2143</v>
      </c>
      <c r="MQ68" s="11">
        <v>2109</v>
      </c>
      <c r="MR68" s="11">
        <v>1956</v>
      </c>
      <c r="MS68" s="11">
        <v>2185</v>
      </c>
      <c r="MT68" s="11">
        <v>2265</v>
      </c>
      <c r="MU68" s="11">
        <v>2056</v>
      </c>
      <c r="MV68" s="11">
        <v>2294</v>
      </c>
      <c r="MW68" s="27">
        <f t="shared" si="30"/>
        <v>26440</v>
      </c>
      <c r="MX68" s="11">
        <v>1875</v>
      </c>
      <c r="MY68" s="11">
        <v>1931</v>
      </c>
      <c r="MZ68" s="11">
        <v>1945</v>
      </c>
      <c r="NA68" s="11">
        <v>1958</v>
      </c>
      <c r="NB68" s="11">
        <v>1955</v>
      </c>
      <c r="NC68" s="11">
        <v>1891</v>
      </c>
      <c r="ND68" s="11">
        <v>1843</v>
      </c>
      <c r="NE68" s="11">
        <v>1648</v>
      </c>
      <c r="NF68" s="11">
        <v>1854</v>
      </c>
      <c r="NG68" s="11">
        <v>1970</v>
      </c>
      <c r="NH68" s="11">
        <v>1767</v>
      </c>
      <c r="NI68" s="11">
        <v>1994</v>
      </c>
      <c r="NJ68" s="27">
        <f t="shared" si="31"/>
        <v>22631</v>
      </c>
      <c r="NK68" s="11">
        <v>215</v>
      </c>
      <c r="NL68" s="11">
        <v>209</v>
      </c>
      <c r="NM68" s="11">
        <v>211</v>
      </c>
      <c r="NN68" s="11">
        <v>174</v>
      </c>
      <c r="NO68" s="11">
        <v>230</v>
      </c>
      <c r="NP68" s="11">
        <v>135</v>
      </c>
      <c r="NQ68" s="11">
        <v>160</v>
      </c>
      <c r="NR68" s="11">
        <v>186</v>
      </c>
      <c r="NS68" s="11">
        <v>175</v>
      </c>
      <c r="NT68" s="11">
        <v>172</v>
      </c>
      <c r="NU68" s="11">
        <v>156</v>
      </c>
      <c r="NV68" s="11">
        <v>173</v>
      </c>
      <c r="NW68" s="27">
        <f t="shared" si="32"/>
        <v>2196</v>
      </c>
      <c r="NX68" s="11">
        <v>127</v>
      </c>
      <c r="NY68" s="11">
        <v>144</v>
      </c>
      <c r="NZ68" s="11">
        <v>170</v>
      </c>
      <c r="OA68" s="11">
        <v>163</v>
      </c>
      <c r="OB68" s="11">
        <v>125</v>
      </c>
      <c r="OC68" s="11">
        <v>117</v>
      </c>
      <c r="OD68" s="11">
        <v>106</v>
      </c>
      <c r="OE68" s="11">
        <v>122</v>
      </c>
      <c r="OF68" s="11">
        <v>156</v>
      </c>
      <c r="OG68" s="11">
        <v>123</v>
      </c>
      <c r="OH68" s="11">
        <v>133</v>
      </c>
      <c r="OI68" s="11">
        <v>127</v>
      </c>
      <c r="OJ68" s="27">
        <f t="shared" si="33"/>
        <v>1613</v>
      </c>
      <c r="OK68" s="11">
        <v>3818</v>
      </c>
      <c r="OL68" s="11">
        <v>3982</v>
      </c>
      <c r="OM68" s="11">
        <v>3871</v>
      </c>
      <c r="ON68" s="11">
        <v>3902</v>
      </c>
      <c r="OO68" s="11">
        <v>4122</v>
      </c>
      <c r="OP68" s="11">
        <v>3929</v>
      </c>
      <c r="OQ68" s="11">
        <v>4094</v>
      </c>
      <c r="OR68" s="11">
        <v>3652</v>
      </c>
      <c r="OS68" s="11">
        <v>3710</v>
      </c>
      <c r="OT68" s="11">
        <v>4098</v>
      </c>
      <c r="OU68" s="11">
        <v>3975</v>
      </c>
      <c r="OV68" s="11">
        <v>4255</v>
      </c>
      <c r="OW68" s="27">
        <f t="shared" si="34"/>
        <v>47408</v>
      </c>
      <c r="OX68" s="11">
        <v>2210</v>
      </c>
      <c r="OY68" s="11">
        <v>2319</v>
      </c>
      <c r="OZ68" s="11">
        <v>2297</v>
      </c>
      <c r="PA68" s="11">
        <v>2344</v>
      </c>
      <c r="PB68" s="11">
        <v>2456</v>
      </c>
      <c r="PC68" s="11">
        <v>2495</v>
      </c>
      <c r="PD68" s="11">
        <v>2464</v>
      </c>
      <c r="PE68" s="11">
        <v>2245</v>
      </c>
      <c r="PF68" s="11">
        <v>2197</v>
      </c>
      <c r="PG68" s="11">
        <v>2456</v>
      </c>
      <c r="PH68" s="11">
        <v>2359</v>
      </c>
      <c r="PI68" s="11">
        <v>2646</v>
      </c>
      <c r="PJ68" s="27">
        <f t="shared" si="35"/>
        <v>28488</v>
      </c>
      <c r="PK68" s="11">
        <v>376</v>
      </c>
      <c r="PL68" s="11">
        <v>330</v>
      </c>
      <c r="PM68" s="11">
        <v>294</v>
      </c>
      <c r="PN68" s="11">
        <v>364</v>
      </c>
      <c r="PO68" s="11">
        <v>453</v>
      </c>
      <c r="PP68" s="11">
        <v>338</v>
      </c>
      <c r="PQ68" s="11">
        <v>336</v>
      </c>
      <c r="PR68" s="11">
        <v>320</v>
      </c>
      <c r="PS68" s="11">
        <v>326</v>
      </c>
      <c r="PT68" s="11">
        <v>408</v>
      </c>
      <c r="PU68" s="11">
        <v>388</v>
      </c>
      <c r="PV68" s="11">
        <v>419</v>
      </c>
      <c r="PW68" s="27">
        <f t="shared" si="36"/>
        <v>4352</v>
      </c>
      <c r="PX68" s="11">
        <v>131</v>
      </c>
      <c r="PY68" s="11">
        <v>170</v>
      </c>
      <c r="PZ68" s="11">
        <v>164</v>
      </c>
      <c r="QA68" s="11">
        <v>180</v>
      </c>
      <c r="QB68" s="11">
        <v>150</v>
      </c>
      <c r="QC68" s="11">
        <v>148</v>
      </c>
      <c r="QD68" s="11">
        <v>166</v>
      </c>
      <c r="QE68" s="11">
        <v>164</v>
      </c>
      <c r="QF68" s="11">
        <v>154</v>
      </c>
      <c r="QG68" s="11">
        <v>163</v>
      </c>
      <c r="QH68" s="11">
        <v>160</v>
      </c>
      <c r="QI68" s="11">
        <v>190</v>
      </c>
      <c r="QJ68" s="27">
        <f t="shared" si="37"/>
        <v>1940</v>
      </c>
      <c r="QK68" s="11">
        <v>50435</v>
      </c>
      <c r="QL68" s="11">
        <v>47345</v>
      </c>
      <c r="QM68" s="11">
        <v>41967</v>
      </c>
      <c r="QN68" s="11">
        <v>43301</v>
      </c>
      <c r="QO68" s="11">
        <v>42538</v>
      </c>
      <c r="QP68" s="11">
        <v>43829</v>
      </c>
      <c r="QQ68" s="11">
        <v>51044</v>
      </c>
      <c r="QR68" s="11">
        <v>42988</v>
      </c>
      <c r="QS68" s="11">
        <v>34669</v>
      </c>
      <c r="QT68" s="11">
        <v>41487</v>
      </c>
      <c r="QU68" s="11">
        <v>45876</v>
      </c>
      <c r="QV68" s="11">
        <v>45290</v>
      </c>
      <c r="QW68" s="27">
        <f t="shared" si="38"/>
        <v>530769</v>
      </c>
      <c r="QX68" s="11">
        <v>13659</v>
      </c>
      <c r="QY68" s="11">
        <v>14937</v>
      </c>
      <c r="QZ68" s="11">
        <v>14149</v>
      </c>
      <c r="RA68" s="11">
        <v>14006</v>
      </c>
      <c r="RB68" s="11">
        <v>14825</v>
      </c>
      <c r="RC68" s="11">
        <v>14144</v>
      </c>
      <c r="RD68" s="11">
        <v>18405</v>
      </c>
      <c r="RE68" s="11">
        <v>13943</v>
      </c>
      <c r="RF68" s="11">
        <v>15679</v>
      </c>
      <c r="RG68" s="11">
        <v>15148</v>
      </c>
      <c r="RH68" s="11">
        <v>16240</v>
      </c>
      <c r="RI68" s="11">
        <v>13312</v>
      </c>
      <c r="RJ68" s="27">
        <f t="shared" si="39"/>
        <v>178447</v>
      </c>
      <c r="RK68" s="11">
        <v>0</v>
      </c>
      <c r="RL68" s="11">
        <v>0</v>
      </c>
      <c r="RM68" s="11">
        <v>0</v>
      </c>
      <c r="RN68" s="11">
        <v>0</v>
      </c>
      <c r="RO68" s="11">
        <v>0</v>
      </c>
      <c r="RP68" s="11">
        <v>0</v>
      </c>
      <c r="RQ68" s="11">
        <v>0</v>
      </c>
      <c r="RR68" s="11">
        <v>0</v>
      </c>
      <c r="RS68" s="11">
        <v>0</v>
      </c>
      <c r="RT68" s="11">
        <v>0</v>
      </c>
      <c r="RU68" s="11">
        <v>0</v>
      </c>
      <c r="RV68" s="11">
        <v>0</v>
      </c>
      <c r="RW68" s="27">
        <f t="shared" si="40"/>
        <v>0</v>
      </c>
      <c r="RX68" s="11">
        <v>0</v>
      </c>
      <c r="RY68" s="11">
        <v>0</v>
      </c>
      <c r="RZ68" s="11">
        <v>0</v>
      </c>
      <c r="SA68" s="11">
        <v>0</v>
      </c>
      <c r="SB68" s="11">
        <v>0</v>
      </c>
      <c r="SC68" s="11">
        <v>0</v>
      </c>
      <c r="SD68" s="11">
        <v>0</v>
      </c>
      <c r="SE68" s="11">
        <v>0</v>
      </c>
      <c r="SF68" s="11">
        <v>0</v>
      </c>
      <c r="SG68" s="11">
        <v>0</v>
      </c>
      <c r="SH68" s="11">
        <v>0</v>
      </c>
      <c r="SI68" s="11">
        <v>0</v>
      </c>
      <c r="SJ68" s="27">
        <f t="shared" si="41"/>
        <v>0</v>
      </c>
      <c r="SK68" s="11">
        <v>0</v>
      </c>
      <c r="SL68" s="11">
        <v>0</v>
      </c>
      <c r="SM68" s="11">
        <v>0</v>
      </c>
      <c r="SN68" s="11">
        <v>0</v>
      </c>
      <c r="SO68" s="11">
        <v>0</v>
      </c>
      <c r="SP68" s="11">
        <v>0</v>
      </c>
      <c r="SQ68" s="11">
        <v>0</v>
      </c>
      <c r="SR68" s="11">
        <v>0</v>
      </c>
      <c r="SS68" s="11">
        <v>0</v>
      </c>
      <c r="ST68" s="11">
        <v>0</v>
      </c>
      <c r="SU68" s="11">
        <v>0</v>
      </c>
      <c r="SV68" s="11">
        <v>0</v>
      </c>
      <c r="SW68" s="27">
        <f t="shared" si="42"/>
        <v>0</v>
      </c>
      <c r="SX68" s="28" t="s">
        <v>2708</v>
      </c>
      <c r="SY68" s="11">
        <v>9664</v>
      </c>
      <c r="SZ68" s="11">
        <v>9551</v>
      </c>
      <c r="TA68" s="11">
        <v>8795</v>
      </c>
      <c r="TB68" s="11">
        <v>9233</v>
      </c>
      <c r="TC68" s="11">
        <v>12531</v>
      </c>
      <c r="TD68" s="11">
        <v>10534</v>
      </c>
      <c r="TE68" s="11">
        <v>10234</v>
      </c>
      <c r="TF68" s="11">
        <v>8903</v>
      </c>
      <c r="TG68" s="11">
        <v>6507</v>
      </c>
      <c r="TH68" s="11">
        <v>9268</v>
      </c>
      <c r="TI68" s="11">
        <v>9492</v>
      </c>
      <c r="TJ68" s="11">
        <v>6996</v>
      </c>
      <c r="TK68" s="27">
        <f t="shared" si="43"/>
        <v>111708</v>
      </c>
      <c r="TL68" s="11">
        <v>0</v>
      </c>
      <c r="TM68" s="11">
        <v>0</v>
      </c>
      <c r="TN68" s="11">
        <v>0</v>
      </c>
      <c r="TO68" s="11">
        <v>0</v>
      </c>
      <c r="TP68" s="11">
        <v>0</v>
      </c>
      <c r="TQ68" s="11">
        <v>0</v>
      </c>
      <c r="TR68" s="11">
        <v>0</v>
      </c>
      <c r="TS68" s="11">
        <v>0</v>
      </c>
      <c r="TT68" s="11">
        <v>0</v>
      </c>
      <c r="TU68" s="11">
        <v>0</v>
      </c>
      <c r="TV68" s="11">
        <v>0</v>
      </c>
      <c r="TW68" s="11">
        <v>0</v>
      </c>
      <c r="TX68" s="27">
        <f t="shared" si="44"/>
        <v>0</v>
      </c>
      <c r="TY68" s="11">
        <v>172</v>
      </c>
      <c r="TZ68" s="11">
        <v>0</v>
      </c>
      <c r="UA68" s="11">
        <v>0</v>
      </c>
    </row>
    <row r="69" spans="1:547" ht="16" customHeight="1" x14ac:dyDescent="0.35">
      <c r="A69" s="11" t="s">
        <v>1503</v>
      </c>
      <c r="B69" s="11">
        <v>108690</v>
      </c>
      <c r="C69" s="11">
        <v>37961</v>
      </c>
      <c r="D69" s="11">
        <v>63174</v>
      </c>
      <c r="E69" s="11">
        <v>7555</v>
      </c>
      <c r="F69" s="11">
        <v>1727</v>
      </c>
      <c r="G69" s="11">
        <v>1751</v>
      </c>
      <c r="H69" s="11">
        <v>1748</v>
      </c>
      <c r="I69" s="11">
        <v>1838</v>
      </c>
      <c r="J69" s="11">
        <v>1572</v>
      </c>
      <c r="K69" s="11">
        <v>1650</v>
      </c>
      <c r="L69" s="11">
        <v>2017</v>
      </c>
      <c r="M69" s="11">
        <v>1852</v>
      </c>
      <c r="N69" s="11">
        <v>1403</v>
      </c>
      <c r="O69" s="11">
        <v>2020</v>
      </c>
      <c r="P69" s="11" t="s">
        <v>2863</v>
      </c>
      <c r="Q69" s="11">
        <v>1895</v>
      </c>
      <c r="R69" s="11">
        <v>2265</v>
      </c>
      <c r="S69" s="26">
        <f t="shared" ref="S69:S117" si="45">SUM(F69:R69)</f>
        <v>21738</v>
      </c>
      <c r="T69" s="11">
        <v>0</v>
      </c>
      <c r="U69" s="11">
        <v>0</v>
      </c>
      <c r="V69" s="11">
        <v>0</v>
      </c>
      <c r="W69" s="11">
        <v>0</v>
      </c>
      <c r="X69" s="11">
        <v>0</v>
      </c>
      <c r="Y69" s="11">
        <v>0</v>
      </c>
      <c r="Z69" s="11">
        <v>0</v>
      </c>
      <c r="AA69" s="11">
        <v>0</v>
      </c>
      <c r="AB69" s="11">
        <v>0</v>
      </c>
      <c r="AC69" s="11">
        <v>0</v>
      </c>
      <c r="AD69" s="11">
        <v>0</v>
      </c>
      <c r="AE69" s="11">
        <v>0</v>
      </c>
      <c r="AF69" s="26">
        <f t="shared" ref="AF69:AF117" si="46">SUM(T69:AE69)</f>
        <v>0</v>
      </c>
      <c r="AG69" s="11">
        <v>0</v>
      </c>
      <c r="AH69" s="11">
        <v>0</v>
      </c>
      <c r="AI69" s="11">
        <v>0</v>
      </c>
      <c r="AJ69" s="11">
        <v>0</v>
      </c>
      <c r="AK69" s="11">
        <v>0</v>
      </c>
      <c r="AL69" s="11">
        <v>0</v>
      </c>
      <c r="AM69" s="11">
        <v>0</v>
      </c>
      <c r="AN69" s="11">
        <v>0</v>
      </c>
      <c r="AO69" s="11">
        <v>0</v>
      </c>
      <c r="AP69" s="11">
        <v>0</v>
      </c>
      <c r="AQ69" s="11">
        <v>0</v>
      </c>
      <c r="AR69" s="11">
        <v>0</v>
      </c>
      <c r="AS69" s="26">
        <f t="shared" ref="AS69:AS117" si="47">SUM(AG69:AR69)</f>
        <v>0</v>
      </c>
      <c r="AT69" s="11">
        <v>0</v>
      </c>
      <c r="AU69" s="11">
        <v>0</v>
      </c>
      <c r="AV69" s="11">
        <v>0</v>
      </c>
      <c r="AW69" s="11">
        <v>0</v>
      </c>
      <c r="AX69" s="11">
        <v>0</v>
      </c>
      <c r="AY69" s="11">
        <v>0</v>
      </c>
      <c r="AZ69" s="11">
        <v>0</v>
      </c>
      <c r="BA69" s="11">
        <v>0</v>
      </c>
      <c r="BB69" s="11">
        <v>0</v>
      </c>
      <c r="BC69" s="11">
        <v>0</v>
      </c>
      <c r="BD69" s="11">
        <v>0</v>
      </c>
      <c r="BE69" s="11">
        <v>0</v>
      </c>
      <c r="BF69" s="26">
        <f t="shared" ref="BF69:BF117" si="48">SUM(AT69:BE69)</f>
        <v>0</v>
      </c>
      <c r="BG69" s="11">
        <v>0</v>
      </c>
      <c r="BH69" s="11">
        <v>0</v>
      </c>
      <c r="BI69" s="11">
        <v>0</v>
      </c>
      <c r="BJ69" s="11">
        <v>0</v>
      </c>
      <c r="BK69" s="11">
        <v>0</v>
      </c>
      <c r="BL69" s="11">
        <v>0</v>
      </c>
      <c r="BM69" s="11">
        <v>0</v>
      </c>
      <c r="BN69" s="11">
        <v>0</v>
      </c>
      <c r="BO69" s="11">
        <v>0</v>
      </c>
      <c r="BP69" s="11">
        <v>0</v>
      </c>
      <c r="BQ69" s="11">
        <v>0</v>
      </c>
      <c r="BR69" s="11">
        <v>0</v>
      </c>
      <c r="BS69" s="26">
        <f t="shared" ref="BS69:BS117" si="49">SUM(BG69:BR69)</f>
        <v>0</v>
      </c>
      <c r="BT69" s="11">
        <v>19</v>
      </c>
      <c r="BU69" s="11">
        <v>26</v>
      </c>
      <c r="BV69" s="11">
        <v>33</v>
      </c>
      <c r="BW69" s="11">
        <v>31</v>
      </c>
      <c r="BX69" s="11">
        <v>10</v>
      </c>
      <c r="BY69" s="11">
        <v>18</v>
      </c>
      <c r="BZ69" s="11">
        <v>6</v>
      </c>
      <c r="CA69" s="11">
        <v>5</v>
      </c>
      <c r="CB69" s="11">
        <v>3</v>
      </c>
      <c r="CC69" s="11">
        <v>36</v>
      </c>
      <c r="CD69" s="11">
        <v>4</v>
      </c>
      <c r="CE69" s="11">
        <v>9</v>
      </c>
      <c r="CF69" s="26">
        <f t="shared" ref="CF69:CF117" si="50">SUM(BT69:CE69)</f>
        <v>200</v>
      </c>
      <c r="CG69" s="11">
        <v>0</v>
      </c>
      <c r="CH69" s="11">
        <v>0</v>
      </c>
      <c r="CI69" s="11">
        <v>0</v>
      </c>
      <c r="CJ69" s="11">
        <v>0</v>
      </c>
      <c r="CK69" s="11">
        <v>0</v>
      </c>
      <c r="CL69" s="11">
        <v>0</v>
      </c>
      <c r="CM69" s="11">
        <v>0</v>
      </c>
      <c r="CN69" s="11">
        <v>0</v>
      </c>
      <c r="CO69" s="11">
        <v>0</v>
      </c>
      <c r="CP69" s="11">
        <v>0</v>
      </c>
      <c r="CQ69" s="11">
        <v>0</v>
      </c>
      <c r="CR69" s="11">
        <v>0</v>
      </c>
      <c r="CS69" s="26">
        <f t="shared" ref="CS69:CS117" si="51">SUM(CG69:CR69)</f>
        <v>0</v>
      </c>
      <c r="CT69" s="11">
        <v>0</v>
      </c>
      <c r="CU69" s="11">
        <v>0</v>
      </c>
      <c r="CV69" s="11">
        <v>0</v>
      </c>
      <c r="CW69" s="11">
        <v>0</v>
      </c>
      <c r="CX69" s="11">
        <v>0</v>
      </c>
      <c r="CY69" s="11">
        <v>0</v>
      </c>
      <c r="CZ69" s="11">
        <v>0</v>
      </c>
      <c r="DA69" s="11">
        <v>0</v>
      </c>
      <c r="DB69" s="11">
        <v>0</v>
      </c>
      <c r="DC69" s="11">
        <v>0</v>
      </c>
      <c r="DD69" s="11">
        <v>0</v>
      </c>
      <c r="DE69" s="11">
        <v>0</v>
      </c>
      <c r="DF69" s="26">
        <f t="shared" ref="DF69:DF117" si="52">SUM(CT69:DE69)</f>
        <v>0</v>
      </c>
      <c r="DG69" s="11">
        <v>0</v>
      </c>
      <c r="DH69" s="11">
        <v>0</v>
      </c>
      <c r="DI69" s="11">
        <v>0</v>
      </c>
      <c r="DJ69" s="11">
        <v>0</v>
      </c>
      <c r="DK69" s="11">
        <v>0</v>
      </c>
      <c r="DL69" s="11">
        <v>0</v>
      </c>
      <c r="DM69" s="11">
        <v>0</v>
      </c>
      <c r="DN69" s="11">
        <v>0</v>
      </c>
      <c r="DO69" s="11">
        <v>0</v>
      </c>
      <c r="DP69" s="11">
        <v>0</v>
      </c>
      <c r="DQ69" s="11">
        <v>0</v>
      </c>
      <c r="DR69" s="11">
        <v>0</v>
      </c>
      <c r="DS69" s="26">
        <f t="shared" ref="DS69:DS117" si="53">SUM(DG69:DR69)</f>
        <v>0</v>
      </c>
      <c r="DT69" s="11">
        <v>0</v>
      </c>
      <c r="DU69" s="11">
        <v>0</v>
      </c>
      <c r="DV69" s="11">
        <v>0</v>
      </c>
      <c r="DW69" s="11">
        <v>0</v>
      </c>
      <c r="DX69" s="11">
        <v>0</v>
      </c>
      <c r="DY69" s="11">
        <v>0</v>
      </c>
      <c r="DZ69" s="11">
        <v>0</v>
      </c>
      <c r="EA69" s="11">
        <v>0</v>
      </c>
      <c r="EB69" s="11">
        <v>0</v>
      </c>
      <c r="EC69" s="11">
        <v>0</v>
      </c>
      <c r="ED69" s="11">
        <v>0</v>
      </c>
      <c r="EE69" s="11">
        <v>0</v>
      </c>
      <c r="EF69" s="26">
        <f t="shared" ref="EF69:EF117" si="54">SUM(DT69:EE69)</f>
        <v>0</v>
      </c>
      <c r="EG69" s="9">
        <f t="shared" ref="EG69:EG117" si="55">SUM(AF69,AS69,BF69,BS69)</f>
        <v>0</v>
      </c>
      <c r="EH69" s="9">
        <f t="shared" ref="EH69:EH117" si="56">SUM(CS69,DF69,DS69,EF69)</f>
        <v>0</v>
      </c>
      <c r="EI69" s="11">
        <v>23811</v>
      </c>
      <c r="EJ69" s="11">
        <v>24717</v>
      </c>
      <c r="EK69" s="11">
        <v>25756</v>
      </c>
      <c r="EL69" s="11">
        <v>31047</v>
      </c>
      <c r="EM69" s="11">
        <v>24689</v>
      </c>
      <c r="EN69" s="11">
        <v>25695</v>
      </c>
      <c r="EO69" s="11">
        <v>29855</v>
      </c>
      <c r="EP69" s="11">
        <v>33796</v>
      </c>
      <c r="EQ69" s="11">
        <v>18433</v>
      </c>
      <c r="ER69" s="11">
        <v>25912</v>
      </c>
      <c r="ES69" s="11">
        <v>50032</v>
      </c>
      <c r="ET69" s="11">
        <v>30849</v>
      </c>
      <c r="EU69" s="26">
        <f t="shared" ref="EU69:EU117" si="57">SUM(EI69:ET69)</f>
        <v>344592</v>
      </c>
      <c r="EV69" s="11">
        <v>0</v>
      </c>
      <c r="EW69" s="11">
        <v>0</v>
      </c>
      <c r="EX69" s="11">
        <v>0</v>
      </c>
      <c r="EY69" s="11">
        <v>0</v>
      </c>
      <c r="EZ69" s="11">
        <v>0</v>
      </c>
      <c r="FA69" s="11">
        <v>0</v>
      </c>
      <c r="FB69" s="11">
        <v>0</v>
      </c>
      <c r="FC69" s="11">
        <v>0</v>
      </c>
      <c r="FD69" s="11">
        <v>0</v>
      </c>
      <c r="FE69" s="11">
        <v>0</v>
      </c>
      <c r="FF69" s="11">
        <v>0</v>
      </c>
      <c r="FG69" s="11">
        <v>0</v>
      </c>
      <c r="FH69" s="26">
        <f t="shared" ref="FH69:FH117" si="58">SUM(EV69:FG69)</f>
        <v>0</v>
      </c>
      <c r="FI69" s="11">
        <v>0</v>
      </c>
      <c r="FJ69" s="11">
        <v>0</v>
      </c>
      <c r="FK69" s="11">
        <v>0</v>
      </c>
      <c r="FL69" s="11">
        <v>0</v>
      </c>
      <c r="FM69" s="11">
        <v>0</v>
      </c>
      <c r="FN69" s="11">
        <v>0</v>
      </c>
      <c r="FO69" s="11">
        <v>0</v>
      </c>
      <c r="FP69" s="11">
        <v>0</v>
      </c>
      <c r="FQ69" s="11">
        <v>0</v>
      </c>
      <c r="FR69" s="11">
        <v>0</v>
      </c>
      <c r="FS69" s="11">
        <v>0</v>
      </c>
      <c r="FT69" s="11">
        <v>0</v>
      </c>
      <c r="FU69" s="26">
        <f t="shared" ref="FU69:FU117" si="59">SUM(FI69:FT69)</f>
        <v>0</v>
      </c>
      <c r="FV69" s="11">
        <v>0</v>
      </c>
      <c r="FW69" s="11">
        <v>0</v>
      </c>
      <c r="FX69" s="11">
        <v>0</v>
      </c>
      <c r="FY69" s="11">
        <v>0</v>
      </c>
      <c r="FZ69" s="11">
        <v>0</v>
      </c>
      <c r="GA69" s="11">
        <v>0</v>
      </c>
      <c r="GB69" s="11">
        <v>0</v>
      </c>
      <c r="GC69" s="11">
        <v>0</v>
      </c>
      <c r="GD69" s="11">
        <v>0</v>
      </c>
      <c r="GE69" s="11">
        <v>0</v>
      </c>
      <c r="GF69" s="11">
        <v>0</v>
      </c>
      <c r="GG69" s="11">
        <v>0</v>
      </c>
      <c r="GH69" s="26">
        <f t="shared" ref="GH69:GH117" si="60">SUM(FV69:GG69)</f>
        <v>0</v>
      </c>
      <c r="GI69" s="11">
        <v>3626</v>
      </c>
      <c r="GJ69" s="11">
        <v>1249</v>
      </c>
      <c r="GK69" s="11">
        <v>701</v>
      </c>
      <c r="GL69" s="11">
        <v>698</v>
      </c>
      <c r="GM69" s="11">
        <v>86</v>
      </c>
      <c r="GN69" s="11">
        <v>9</v>
      </c>
      <c r="GO69" s="11">
        <v>13</v>
      </c>
      <c r="GP69" s="11">
        <v>7</v>
      </c>
      <c r="GQ69" s="11">
        <v>8</v>
      </c>
      <c r="GR69" s="11">
        <v>3</v>
      </c>
      <c r="GS69" s="11">
        <v>17</v>
      </c>
      <c r="GT69" s="11">
        <v>2017</v>
      </c>
      <c r="GU69" s="26">
        <f t="shared" ref="GU69:GU117" si="61">SUM(GI69:GT69)</f>
        <v>8434</v>
      </c>
      <c r="GV69" s="11">
        <v>0</v>
      </c>
      <c r="GW69" s="11">
        <v>0</v>
      </c>
      <c r="GX69" s="11">
        <v>0</v>
      </c>
      <c r="GY69" s="11">
        <v>0</v>
      </c>
      <c r="GZ69" s="11">
        <v>0</v>
      </c>
      <c r="HA69" s="11">
        <v>0</v>
      </c>
      <c r="HB69" s="11">
        <v>0</v>
      </c>
      <c r="HC69" s="11">
        <v>0</v>
      </c>
      <c r="HD69" s="11">
        <v>0</v>
      </c>
      <c r="HE69" s="11">
        <v>0</v>
      </c>
      <c r="HF69" s="11">
        <v>0</v>
      </c>
      <c r="HG69" s="11">
        <v>0</v>
      </c>
      <c r="HH69" s="26">
        <f t="shared" ref="HH69:HH117" si="62">SUM(GV69:HG69)</f>
        <v>0</v>
      </c>
      <c r="HI69" s="11">
        <v>0</v>
      </c>
      <c r="HJ69" s="11">
        <v>0</v>
      </c>
      <c r="HK69" s="11">
        <v>0</v>
      </c>
      <c r="HL69" s="11">
        <v>0</v>
      </c>
      <c r="HM69" s="11">
        <v>0</v>
      </c>
      <c r="HN69" s="11">
        <v>0</v>
      </c>
      <c r="HO69" s="11">
        <v>0</v>
      </c>
      <c r="HP69" s="11">
        <v>0</v>
      </c>
      <c r="HQ69" s="11">
        <v>0</v>
      </c>
      <c r="HR69" s="11">
        <v>0</v>
      </c>
      <c r="HS69" s="11">
        <v>0</v>
      </c>
      <c r="HT69" s="11">
        <v>0</v>
      </c>
      <c r="HU69" s="26">
        <f t="shared" ref="HU69:HU117" si="63">SUM(HI69:HT69)</f>
        <v>0</v>
      </c>
      <c r="HV69" s="11">
        <v>0</v>
      </c>
      <c r="HW69" s="11">
        <v>0</v>
      </c>
      <c r="HX69" s="11">
        <v>0</v>
      </c>
      <c r="HY69" s="11">
        <v>0</v>
      </c>
      <c r="HZ69" s="11">
        <v>0</v>
      </c>
      <c r="IA69" s="11">
        <v>0</v>
      </c>
      <c r="IB69" s="11">
        <v>0</v>
      </c>
      <c r="IC69" s="11">
        <v>0</v>
      </c>
      <c r="ID69" s="11">
        <v>0</v>
      </c>
      <c r="IE69" s="11">
        <v>0</v>
      </c>
      <c r="IF69" s="11">
        <v>0</v>
      </c>
      <c r="IG69" s="11">
        <v>0</v>
      </c>
      <c r="IH69" s="26">
        <f t="shared" ref="IH69:IH117" si="64">SUM(HV69:IG69)</f>
        <v>0</v>
      </c>
      <c r="II69" s="9">
        <f t="shared" ref="II69:II117" si="65">SUM(FH69,FU69,GH69)</f>
        <v>0</v>
      </c>
      <c r="IJ69" s="9">
        <f t="shared" ref="IJ69:IJ117" si="66">SUM(HH69,HU69,IH69)</f>
        <v>0</v>
      </c>
      <c r="IK69" s="11">
        <v>179282</v>
      </c>
      <c r="IL69" s="11">
        <v>172728</v>
      </c>
      <c r="IM69" s="11">
        <v>161980</v>
      </c>
      <c r="IN69" s="11">
        <v>187284</v>
      </c>
      <c r="IO69" s="11">
        <v>211216</v>
      </c>
      <c r="IP69" s="11">
        <v>173732</v>
      </c>
      <c r="IQ69" s="11">
        <v>181566</v>
      </c>
      <c r="IR69" s="11">
        <v>131869</v>
      </c>
      <c r="IS69" s="11">
        <v>105182</v>
      </c>
      <c r="IT69" s="11">
        <v>163547</v>
      </c>
      <c r="IU69" s="11">
        <v>150432</v>
      </c>
      <c r="IV69" s="11">
        <v>160432</v>
      </c>
      <c r="IW69" s="27">
        <f t="shared" ref="IW69:IW117" si="67">SUM(IK69:IV69)</f>
        <v>1979250</v>
      </c>
      <c r="IX69" s="11">
        <v>0</v>
      </c>
      <c r="IY69" s="11">
        <v>0</v>
      </c>
      <c r="IZ69" s="11">
        <v>0</v>
      </c>
      <c r="JA69" s="11">
        <v>0</v>
      </c>
      <c r="JB69" s="11">
        <v>0</v>
      </c>
      <c r="JC69" s="11">
        <v>0</v>
      </c>
      <c r="JD69" s="11">
        <v>0</v>
      </c>
      <c r="JE69" s="11">
        <v>69748</v>
      </c>
      <c r="JF69" s="11">
        <v>59789</v>
      </c>
      <c r="JG69" s="11">
        <v>89455</v>
      </c>
      <c r="JH69" s="11">
        <v>76000</v>
      </c>
      <c r="JI69" s="11">
        <v>83174</v>
      </c>
      <c r="JJ69" s="27">
        <f t="shared" ref="JJ69:JJ117" si="68">SUM(IX69:JI69)</f>
        <v>378166</v>
      </c>
      <c r="JK69" s="11">
        <v>0</v>
      </c>
      <c r="JL69" s="11">
        <v>0</v>
      </c>
      <c r="JM69" s="11">
        <v>0</v>
      </c>
      <c r="JN69" s="11">
        <v>0</v>
      </c>
      <c r="JO69" s="11">
        <v>0</v>
      </c>
      <c r="JP69" s="11">
        <v>0</v>
      </c>
      <c r="JQ69" s="11">
        <v>0</v>
      </c>
      <c r="JR69" s="11">
        <v>61052</v>
      </c>
      <c r="JS69" s="11">
        <v>44401</v>
      </c>
      <c r="JT69" s="11">
        <v>72525</v>
      </c>
      <c r="JU69" s="11">
        <v>73055</v>
      </c>
      <c r="JV69" s="11">
        <v>75842</v>
      </c>
      <c r="JW69" s="27">
        <f t="shared" ref="JW69:JW117" si="69">SUM(JK69:JV69)</f>
        <v>326875</v>
      </c>
      <c r="JX69" s="11">
        <v>0</v>
      </c>
      <c r="JY69" s="11">
        <v>0</v>
      </c>
      <c r="JZ69" s="11">
        <v>0</v>
      </c>
      <c r="KA69" s="11">
        <v>0</v>
      </c>
      <c r="KB69" s="11">
        <v>0</v>
      </c>
      <c r="KC69" s="11">
        <v>0</v>
      </c>
      <c r="KD69" s="11">
        <v>0</v>
      </c>
      <c r="KE69" s="11">
        <v>1069</v>
      </c>
      <c r="KF69" s="11">
        <v>992</v>
      </c>
      <c r="KG69" s="11">
        <v>1567</v>
      </c>
      <c r="KH69" s="11">
        <v>1377</v>
      </c>
      <c r="KI69" s="11">
        <v>1416</v>
      </c>
      <c r="KJ69" s="27">
        <f t="shared" ref="KJ69:KJ117" si="70">SUM(JX69:KI69)</f>
        <v>6421</v>
      </c>
      <c r="KK69" s="11">
        <v>3226</v>
      </c>
      <c r="KL69" s="11">
        <v>3144</v>
      </c>
      <c r="KM69" s="11">
        <v>2881</v>
      </c>
      <c r="KN69" s="11">
        <v>3250</v>
      </c>
      <c r="KO69" s="11">
        <v>3255</v>
      </c>
      <c r="KP69" s="11">
        <v>2957</v>
      </c>
      <c r="KQ69" s="11">
        <v>3004</v>
      </c>
      <c r="KR69" s="11">
        <v>2509</v>
      </c>
      <c r="KS69" s="11">
        <v>2018</v>
      </c>
      <c r="KT69" s="11">
        <v>2886</v>
      </c>
      <c r="KU69" s="11">
        <v>2571</v>
      </c>
      <c r="KV69" s="11">
        <v>2642</v>
      </c>
      <c r="KW69" s="27">
        <f t="shared" ref="KW69:KW117" si="71">SUM(KK69:KV69)</f>
        <v>34343</v>
      </c>
      <c r="KX69" s="11">
        <v>0</v>
      </c>
      <c r="KY69" s="11">
        <v>0</v>
      </c>
      <c r="KZ69" s="11">
        <v>0</v>
      </c>
      <c r="LA69" s="11">
        <v>0</v>
      </c>
      <c r="LB69" s="11">
        <v>0</v>
      </c>
      <c r="LC69" s="11">
        <v>0</v>
      </c>
      <c r="LD69" s="11">
        <v>0</v>
      </c>
      <c r="LE69" s="11">
        <v>2230</v>
      </c>
      <c r="LF69" s="11">
        <v>1784</v>
      </c>
      <c r="LG69" s="11">
        <v>2521</v>
      </c>
      <c r="LH69" s="11">
        <v>2149</v>
      </c>
      <c r="LI69" s="11">
        <v>2298</v>
      </c>
      <c r="LJ69" s="27">
        <f t="shared" ref="LJ69:LJ117" si="72">SUM(KX69:LI69)</f>
        <v>10982</v>
      </c>
      <c r="LK69" s="11">
        <v>0</v>
      </c>
      <c r="LL69" s="11">
        <v>0</v>
      </c>
      <c r="LM69" s="11">
        <v>0</v>
      </c>
      <c r="LN69" s="11">
        <v>0</v>
      </c>
      <c r="LO69" s="11">
        <v>0</v>
      </c>
      <c r="LP69" s="11">
        <v>0</v>
      </c>
      <c r="LQ69" s="11">
        <v>0</v>
      </c>
      <c r="LR69" s="11">
        <v>271</v>
      </c>
      <c r="LS69" s="11">
        <v>227</v>
      </c>
      <c r="LT69" s="11">
        <v>359</v>
      </c>
      <c r="LU69" s="11">
        <v>377</v>
      </c>
      <c r="LV69" s="11">
        <v>293</v>
      </c>
      <c r="LW69" s="27">
        <f t="shared" ref="LW69:LW117" si="73">SUM(LK69:LV69)</f>
        <v>1527</v>
      </c>
      <c r="LX69" s="11">
        <v>0</v>
      </c>
      <c r="LY69" s="11">
        <v>0</v>
      </c>
      <c r="LZ69" s="11">
        <v>0</v>
      </c>
      <c r="MA69" s="11">
        <v>0</v>
      </c>
      <c r="MB69" s="11">
        <v>0</v>
      </c>
      <c r="MC69" s="11">
        <v>0</v>
      </c>
      <c r="MD69" s="11">
        <v>0</v>
      </c>
      <c r="ME69" s="11">
        <v>0</v>
      </c>
      <c r="MF69" s="11">
        <v>0</v>
      </c>
      <c r="MG69" s="11">
        <v>0</v>
      </c>
      <c r="MH69" s="11">
        <v>0</v>
      </c>
      <c r="MI69" s="11">
        <v>0</v>
      </c>
      <c r="MJ69" s="27">
        <f t="shared" ref="MJ69:MJ117" si="74">SUM(LX69:MI69)</f>
        <v>0</v>
      </c>
      <c r="MK69" s="11">
        <v>5862</v>
      </c>
      <c r="ML69" s="11">
        <v>6216</v>
      </c>
      <c r="MM69" s="11">
        <v>6157</v>
      </c>
      <c r="MN69" s="11">
        <v>6404</v>
      </c>
      <c r="MO69" s="11">
        <v>6619</v>
      </c>
      <c r="MP69" s="11">
        <v>6605</v>
      </c>
      <c r="MQ69" s="11">
        <v>6893</v>
      </c>
      <c r="MR69" s="11">
        <v>6735</v>
      </c>
      <c r="MS69" s="11">
        <v>6591</v>
      </c>
      <c r="MT69" s="11">
        <v>7277</v>
      </c>
      <c r="MU69" s="11">
        <v>6358</v>
      </c>
      <c r="MV69" s="11">
        <v>7423</v>
      </c>
      <c r="MW69" s="27">
        <f t="shared" ref="MW69:MW117" si="75">SUM(MK69:MV69)</f>
        <v>79140</v>
      </c>
      <c r="MX69" s="11">
        <v>5179</v>
      </c>
      <c r="MY69" s="11">
        <v>5498</v>
      </c>
      <c r="MZ69" s="11">
        <v>5454</v>
      </c>
      <c r="NA69" s="11">
        <v>5673</v>
      </c>
      <c r="NB69" s="11">
        <v>5815</v>
      </c>
      <c r="NC69" s="11">
        <v>5910</v>
      </c>
      <c r="ND69" s="11">
        <v>6087</v>
      </c>
      <c r="NE69" s="11">
        <v>5977</v>
      </c>
      <c r="NF69" s="11">
        <v>5830</v>
      </c>
      <c r="NG69" s="11">
        <v>6527</v>
      </c>
      <c r="NH69" s="11">
        <v>5603</v>
      </c>
      <c r="NI69" s="11">
        <v>6428</v>
      </c>
      <c r="NJ69" s="27">
        <f t="shared" ref="NJ69:NJ117" si="76">SUM(MX69:NI69)</f>
        <v>69981</v>
      </c>
      <c r="NK69" s="11">
        <v>443</v>
      </c>
      <c r="NL69" s="11">
        <v>460</v>
      </c>
      <c r="NM69" s="11">
        <v>460</v>
      </c>
      <c r="NN69" s="11">
        <v>459</v>
      </c>
      <c r="NO69" s="11">
        <v>534</v>
      </c>
      <c r="NP69" s="11">
        <v>460</v>
      </c>
      <c r="NQ69" s="11">
        <v>510</v>
      </c>
      <c r="NR69" s="11">
        <v>520</v>
      </c>
      <c r="NS69" s="11">
        <v>531</v>
      </c>
      <c r="NT69" s="11">
        <v>523</v>
      </c>
      <c r="NU69" s="11">
        <v>511</v>
      </c>
      <c r="NV69" s="11">
        <v>732</v>
      </c>
      <c r="NW69" s="27">
        <f t="shared" ref="NW69:NW117" si="77">SUM(NK69:NV69)</f>
        <v>6143</v>
      </c>
      <c r="NX69" s="11">
        <v>240</v>
      </c>
      <c r="NY69" s="11">
        <v>258</v>
      </c>
      <c r="NZ69" s="11">
        <v>243</v>
      </c>
      <c r="OA69" s="11">
        <v>272</v>
      </c>
      <c r="OB69" s="11">
        <v>270</v>
      </c>
      <c r="OC69" s="11">
        <v>235</v>
      </c>
      <c r="OD69" s="11">
        <v>296</v>
      </c>
      <c r="OE69" s="11">
        <v>238</v>
      </c>
      <c r="OF69" s="11">
        <v>230</v>
      </c>
      <c r="OG69" s="11">
        <v>227</v>
      </c>
      <c r="OH69" s="11">
        <v>244</v>
      </c>
      <c r="OI69" s="11">
        <v>263</v>
      </c>
      <c r="OJ69" s="27">
        <f t="shared" ref="OJ69:OJ117" si="78">SUM(NX69:OI69)</f>
        <v>3016</v>
      </c>
      <c r="OK69" s="11">
        <v>9455</v>
      </c>
      <c r="OL69" s="11">
        <v>10141</v>
      </c>
      <c r="OM69" s="11">
        <v>9643</v>
      </c>
      <c r="ON69" s="11">
        <v>10057</v>
      </c>
      <c r="OO69" s="11">
        <v>10535</v>
      </c>
      <c r="OP69" s="11">
        <v>10183</v>
      </c>
      <c r="OQ69" s="11">
        <v>10711</v>
      </c>
      <c r="OR69" s="11">
        <v>9721</v>
      </c>
      <c r="OS69" s="11">
        <v>10219</v>
      </c>
      <c r="OT69" s="11">
        <v>11081</v>
      </c>
      <c r="OU69" s="11">
        <v>10280</v>
      </c>
      <c r="OV69" s="11">
        <v>11476</v>
      </c>
      <c r="OW69" s="27">
        <f t="shared" ref="OW69:OW117" si="79">SUM(OK69:OV69)</f>
        <v>123502</v>
      </c>
      <c r="OX69" s="11">
        <v>7801</v>
      </c>
      <c r="OY69" s="11">
        <v>8285</v>
      </c>
      <c r="OZ69" s="11">
        <v>7956</v>
      </c>
      <c r="PA69" s="11">
        <v>8353</v>
      </c>
      <c r="PB69" s="11">
        <v>8640</v>
      </c>
      <c r="PC69" s="11">
        <v>8494</v>
      </c>
      <c r="PD69" s="11">
        <v>8831</v>
      </c>
      <c r="PE69" s="11">
        <v>8028</v>
      </c>
      <c r="PF69" s="11">
        <v>8421</v>
      </c>
      <c r="PG69" s="11">
        <v>9246</v>
      </c>
      <c r="PH69" s="11">
        <v>8632</v>
      </c>
      <c r="PI69" s="11">
        <v>9664</v>
      </c>
      <c r="PJ69" s="27">
        <f t="shared" ref="PJ69:PJ117" si="80">SUM(OX69:PI69)</f>
        <v>102351</v>
      </c>
      <c r="PK69" s="11">
        <v>1074</v>
      </c>
      <c r="PL69" s="11">
        <v>1408</v>
      </c>
      <c r="PM69" s="11">
        <v>1284</v>
      </c>
      <c r="PN69" s="11">
        <v>1334</v>
      </c>
      <c r="PO69" s="11">
        <v>1459</v>
      </c>
      <c r="PP69" s="11">
        <v>1309</v>
      </c>
      <c r="PQ69" s="11">
        <v>1494</v>
      </c>
      <c r="PR69" s="11">
        <v>1362</v>
      </c>
      <c r="PS69" s="11">
        <v>1462</v>
      </c>
      <c r="PT69" s="11">
        <v>1437</v>
      </c>
      <c r="PU69" s="11">
        <v>1288</v>
      </c>
      <c r="PV69" s="11">
        <v>1448</v>
      </c>
      <c r="PW69" s="27">
        <f t="shared" ref="PW69:PW117" si="81">SUM(PK69:PV69)</f>
        <v>16359</v>
      </c>
      <c r="PX69" s="11">
        <v>580</v>
      </c>
      <c r="PY69" s="11">
        <v>448</v>
      </c>
      <c r="PZ69" s="11">
        <v>403</v>
      </c>
      <c r="QA69" s="11">
        <v>370</v>
      </c>
      <c r="QB69" s="11">
        <v>436</v>
      </c>
      <c r="QC69" s="11">
        <v>380</v>
      </c>
      <c r="QD69" s="11">
        <v>386</v>
      </c>
      <c r="QE69" s="11">
        <v>331</v>
      </c>
      <c r="QF69" s="11">
        <v>336</v>
      </c>
      <c r="QG69" s="11">
        <v>398</v>
      </c>
      <c r="QH69" s="11">
        <v>360</v>
      </c>
      <c r="QI69" s="11">
        <v>364</v>
      </c>
      <c r="QJ69" s="27">
        <f t="shared" ref="QJ69:QJ117" si="82">SUM(PX69:QI69)</f>
        <v>4792</v>
      </c>
      <c r="QK69" s="11">
        <v>152214</v>
      </c>
      <c r="QL69" s="11">
        <v>150395</v>
      </c>
      <c r="QM69" s="11">
        <v>140044</v>
      </c>
      <c r="QN69" s="11">
        <v>152922</v>
      </c>
      <c r="QO69" s="11">
        <v>162848</v>
      </c>
      <c r="QP69" s="11">
        <v>155746</v>
      </c>
      <c r="QQ69" s="11">
        <v>166676</v>
      </c>
      <c r="QR69" s="11">
        <v>163711</v>
      </c>
      <c r="QS69" s="11">
        <v>120583</v>
      </c>
      <c r="QT69" s="11">
        <v>163874</v>
      </c>
      <c r="QU69" s="11">
        <v>155005</v>
      </c>
      <c r="QV69" s="11">
        <v>157414</v>
      </c>
      <c r="QW69" s="27">
        <f t="shared" ref="QW69:QW117" si="83">SUM(QK69:QV69)</f>
        <v>1841432</v>
      </c>
      <c r="QX69" s="11">
        <v>0</v>
      </c>
      <c r="QY69" s="11">
        <v>0</v>
      </c>
      <c r="QZ69" s="11">
        <v>0</v>
      </c>
      <c r="RA69" s="11">
        <v>0</v>
      </c>
      <c r="RB69" s="11">
        <v>0</v>
      </c>
      <c r="RC69" s="11">
        <v>0</v>
      </c>
      <c r="RD69" s="11">
        <v>0</v>
      </c>
      <c r="RE69" s="11">
        <v>0</v>
      </c>
      <c r="RF69" s="11">
        <v>0</v>
      </c>
      <c r="RG69" s="11">
        <v>0</v>
      </c>
      <c r="RH69" s="11">
        <v>0</v>
      </c>
      <c r="RI69" s="11">
        <v>0</v>
      </c>
      <c r="RJ69" s="27">
        <f t="shared" ref="RJ69:RJ117" si="84">SUM(QX69:RI69)</f>
        <v>0</v>
      </c>
      <c r="RK69" s="11">
        <v>0</v>
      </c>
      <c r="RL69" s="11">
        <v>0</v>
      </c>
      <c r="RM69" s="11">
        <v>0</v>
      </c>
      <c r="RN69" s="11">
        <v>0</v>
      </c>
      <c r="RO69" s="11">
        <v>0</v>
      </c>
      <c r="RP69" s="11">
        <v>0</v>
      </c>
      <c r="RQ69" s="11">
        <v>0</v>
      </c>
      <c r="RR69" s="11">
        <v>0</v>
      </c>
      <c r="RS69" s="11">
        <v>0</v>
      </c>
      <c r="RT69" s="11">
        <v>0</v>
      </c>
      <c r="RU69" s="11">
        <v>0</v>
      </c>
      <c r="RV69" s="11">
        <v>0</v>
      </c>
      <c r="RW69" s="27">
        <f t="shared" ref="RW69:RW117" si="85">SUM(RK69:RV69)</f>
        <v>0</v>
      </c>
      <c r="RX69" s="11">
        <v>2441</v>
      </c>
      <c r="RY69" s="11">
        <v>2524</v>
      </c>
      <c r="RZ69" s="11">
        <v>2398</v>
      </c>
      <c r="SA69" s="11">
        <v>2647</v>
      </c>
      <c r="SB69" s="11">
        <v>2727</v>
      </c>
      <c r="SC69" s="11">
        <v>2583</v>
      </c>
      <c r="SD69" s="11">
        <v>2110</v>
      </c>
      <c r="SE69" s="11">
        <v>2396</v>
      </c>
      <c r="SF69" s="11">
        <v>2273</v>
      </c>
      <c r="SG69" s="11">
        <v>2516</v>
      </c>
      <c r="SH69" s="11">
        <v>1570</v>
      </c>
      <c r="SI69" s="11">
        <v>2389</v>
      </c>
      <c r="SJ69" s="27">
        <f t="shared" ref="SJ69:SJ117" si="86">SUM(RX69:SI69)</f>
        <v>28574</v>
      </c>
      <c r="SK69" s="11">
        <v>0</v>
      </c>
      <c r="SL69" s="11">
        <v>0</v>
      </c>
      <c r="SM69" s="11">
        <v>0</v>
      </c>
      <c r="SN69" s="11">
        <v>0</v>
      </c>
      <c r="SO69" s="11">
        <v>0</v>
      </c>
      <c r="SP69" s="11">
        <v>0</v>
      </c>
      <c r="SQ69" s="11">
        <v>0</v>
      </c>
      <c r="SR69" s="11">
        <v>0</v>
      </c>
      <c r="SS69" s="11">
        <v>0</v>
      </c>
      <c r="ST69" s="11">
        <v>0</v>
      </c>
      <c r="SU69" s="11">
        <v>0</v>
      </c>
      <c r="SV69" s="11">
        <v>0</v>
      </c>
      <c r="SW69" s="27">
        <f t="shared" ref="SW69:SW117" si="87">SUM(SK69:SV69)</f>
        <v>0</v>
      </c>
      <c r="SX69" s="28" t="s">
        <v>2709</v>
      </c>
      <c r="SY69" s="11">
        <v>7891</v>
      </c>
      <c r="SZ69" s="11">
        <v>7458</v>
      </c>
      <c r="TA69" s="11">
        <v>7750</v>
      </c>
      <c r="TB69" s="11">
        <v>8005</v>
      </c>
      <c r="TC69" s="11">
        <v>8470</v>
      </c>
      <c r="TD69" s="11">
        <v>8560</v>
      </c>
      <c r="TE69" s="11">
        <v>9523</v>
      </c>
      <c r="TF69" s="11">
        <v>8975</v>
      </c>
      <c r="TG69" s="11">
        <v>5687</v>
      </c>
      <c r="TH69" s="11">
        <v>8413</v>
      </c>
      <c r="TI69" s="11">
        <v>8291</v>
      </c>
      <c r="TJ69" s="11">
        <v>9265</v>
      </c>
      <c r="TK69" s="27">
        <f t="shared" ref="TK69:TK117" si="88">SUM(SY69:TJ69)</f>
        <v>98288</v>
      </c>
      <c r="TL69" s="11">
        <v>14232</v>
      </c>
      <c r="TM69" s="11">
        <v>15442</v>
      </c>
      <c r="TN69" s="11">
        <v>13501</v>
      </c>
      <c r="TO69" s="11">
        <v>11330</v>
      </c>
      <c r="TP69" s="11">
        <v>9805</v>
      </c>
      <c r="TQ69" s="11">
        <v>13521</v>
      </c>
      <c r="TR69" s="11">
        <v>14203</v>
      </c>
      <c r="TS69" s="11">
        <v>12570</v>
      </c>
      <c r="TT69" s="11">
        <v>6471</v>
      </c>
      <c r="TU69" s="11">
        <v>5994</v>
      </c>
      <c r="TV69" s="11">
        <v>4506</v>
      </c>
      <c r="TW69" s="11">
        <v>5351</v>
      </c>
      <c r="TX69" s="27">
        <f t="shared" ref="TX69:TX117" si="89">SUM(TL69:TW69)</f>
        <v>126926</v>
      </c>
      <c r="TY69" s="11">
        <v>282</v>
      </c>
      <c r="TZ69" s="11">
        <v>0</v>
      </c>
      <c r="UA69" s="11">
        <v>0</v>
      </c>
    </row>
    <row r="70" spans="1:547" ht="16" customHeight="1" x14ac:dyDescent="0.35">
      <c r="A70" s="11" t="s">
        <v>1544</v>
      </c>
      <c r="B70" s="11">
        <v>14794</v>
      </c>
      <c r="C70" s="11">
        <v>5622</v>
      </c>
      <c r="D70" s="11">
        <v>7808</v>
      </c>
      <c r="E70" s="11">
        <v>1364</v>
      </c>
      <c r="F70" s="11">
        <v>387</v>
      </c>
      <c r="G70" s="11">
        <v>389</v>
      </c>
      <c r="H70" s="11">
        <v>394</v>
      </c>
      <c r="I70" s="11">
        <v>444</v>
      </c>
      <c r="J70" s="11">
        <v>420</v>
      </c>
      <c r="K70" s="11">
        <v>374</v>
      </c>
      <c r="L70" s="11">
        <v>430</v>
      </c>
      <c r="M70" s="11">
        <v>362</v>
      </c>
      <c r="N70" s="11">
        <v>335</v>
      </c>
      <c r="O70" s="11">
        <v>380</v>
      </c>
      <c r="P70" s="11" t="s">
        <v>2865</v>
      </c>
      <c r="Q70" s="11">
        <v>392</v>
      </c>
      <c r="R70" s="11">
        <v>391</v>
      </c>
      <c r="S70" s="26">
        <f t="shared" si="45"/>
        <v>4698</v>
      </c>
      <c r="T70" s="11">
        <v>274</v>
      </c>
      <c r="U70" s="11">
        <v>292</v>
      </c>
      <c r="V70" s="11">
        <v>294</v>
      </c>
      <c r="W70" s="11">
        <v>338</v>
      </c>
      <c r="X70" s="11">
        <v>289</v>
      </c>
      <c r="Y70" s="11">
        <v>284</v>
      </c>
      <c r="Z70" s="11">
        <v>318</v>
      </c>
      <c r="AA70" s="11">
        <v>256</v>
      </c>
      <c r="AB70" s="11">
        <v>225</v>
      </c>
      <c r="AC70" s="11">
        <v>281</v>
      </c>
      <c r="AD70" s="11">
        <v>278</v>
      </c>
      <c r="AE70" s="11">
        <v>288</v>
      </c>
      <c r="AF70" s="26">
        <f t="shared" si="46"/>
        <v>3417</v>
      </c>
      <c r="AG70" s="11">
        <v>67</v>
      </c>
      <c r="AH70" s="11">
        <v>63</v>
      </c>
      <c r="AI70" s="11">
        <v>65</v>
      </c>
      <c r="AJ70" s="11">
        <v>64</v>
      </c>
      <c r="AK70" s="11">
        <v>60</v>
      </c>
      <c r="AL70" s="11">
        <v>64</v>
      </c>
      <c r="AM70" s="11">
        <v>73</v>
      </c>
      <c r="AN70" s="11">
        <v>68</v>
      </c>
      <c r="AO70" s="11">
        <v>55</v>
      </c>
      <c r="AP70" s="11">
        <v>69</v>
      </c>
      <c r="AQ70" s="11">
        <v>62</v>
      </c>
      <c r="AR70" s="11">
        <v>71</v>
      </c>
      <c r="AS70" s="26">
        <f t="shared" si="47"/>
        <v>781</v>
      </c>
      <c r="AT70" s="11">
        <v>3</v>
      </c>
      <c r="AU70" s="11">
        <v>1</v>
      </c>
      <c r="AV70" s="11">
        <v>1</v>
      </c>
      <c r="AW70" s="11">
        <v>1</v>
      </c>
      <c r="AX70" s="11">
        <v>5</v>
      </c>
      <c r="AY70" s="11">
        <v>1</v>
      </c>
      <c r="AZ70" s="11">
        <v>2</v>
      </c>
      <c r="BA70" s="11">
        <v>2</v>
      </c>
      <c r="BB70" s="11">
        <v>1</v>
      </c>
      <c r="BC70" s="11">
        <v>1</v>
      </c>
      <c r="BD70" s="11">
        <v>1</v>
      </c>
      <c r="BE70" s="11">
        <v>2</v>
      </c>
      <c r="BF70" s="26">
        <f t="shared" si="48"/>
        <v>21</v>
      </c>
      <c r="BG70" s="11">
        <v>43</v>
      </c>
      <c r="BH70" s="11">
        <v>33</v>
      </c>
      <c r="BI70" s="11">
        <v>34</v>
      </c>
      <c r="BJ70" s="11">
        <v>41</v>
      </c>
      <c r="BK70" s="11">
        <v>66</v>
      </c>
      <c r="BL70" s="11">
        <v>25</v>
      </c>
      <c r="BM70" s="11">
        <v>37</v>
      </c>
      <c r="BN70" s="11">
        <v>36</v>
      </c>
      <c r="BO70" s="11">
        <v>54</v>
      </c>
      <c r="BP70" s="11">
        <v>29</v>
      </c>
      <c r="BQ70" s="11">
        <v>51</v>
      </c>
      <c r="BR70" s="11">
        <v>30</v>
      </c>
      <c r="BS70" s="26">
        <f t="shared" si="49"/>
        <v>479</v>
      </c>
      <c r="BT70" s="11">
        <v>0</v>
      </c>
      <c r="BU70" s="11">
        <v>0</v>
      </c>
      <c r="BV70" s="11">
        <v>0</v>
      </c>
      <c r="BW70" s="11">
        <v>0</v>
      </c>
      <c r="BX70" s="11">
        <v>0</v>
      </c>
      <c r="BY70" s="11">
        <v>0</v>
      </c>
      <c r="BZ70" s="11">
        <v>0</v>
      </c>
      <c r="CA70" s="11">
        <v>0</v>
      </c>
      <c r="CB70" s="11">
        <v>0</v>
      </c>
      <c r="CC70" s="11">
        <v>0</v>
      </c>
      <c r="CD70" s="11">
        <v>0</v>
      </c>
      <c r="CE70" s="11">
        <v>0</v>
      </c>
      <c r="CF70" s="26">
        <f t="shared" si="50"/>
        <v>0</v>
      </c>
      <c r="CG70" s="11">
        <v>0</v>
      </c>
      <c r="CH70" s="11">
        <v>0</v>
      </c>
      <c r="CI70" s="11">
        <v>0</v>
      </c>
      <c r="CJ70" s="11">
        <v>0</v>
      </c>
      <c r="CK70" s="11">
        <v>0</v>
      </c>
      <c r="CL70" s="11">
        <v>0</v>
      </c>
      <c r="CM70" s="11">
        <v>0</v>
      </c>
      <c r="CN70" s="11">
        <v>0</v>
      </c>
      <c r="CO70" s="11">
        <v>0</v>
      </c>
      <c r="CP70" s="11">
        <v>0</v>
      </c>
      <c r="CQ70" s="11">
        <v>0</v>
      </c>
      <c r="CR70" s="11">
        <v>0</v>
      </c>
      <c r="CS70" s="26">
        <f t="shared" si="51"/>
        <v>0</v>
      </c>
      <c r="CT70" s="11">
        <v>0</v>
      </c>
      <c r="CU70" s="11">
        <v>0</v>
      </c>
      <c r="CV70" s="11">
        <v>0</v>
      </c>
      <c r="CW70" s="11">
        <v>0</v>
      </c>
      <c r="CX70" s="11">
        <v>0</v>
      </c>
      <c r="CY70" s="11">
        <v>0</v>
      </c>
      <c r="CZ70" s="11">
        <v>0</v>
      </c>
      <c r="DA70" s="11">
        <v>0</v>
      </c>
      <c r="DB70" s="11">
        <v>0</v>
      </c>
      <c r="DC70" s="11">
        <v>0</v>
      </c>
      <c r="DD70" s="11">
        <v>0</v>
      </c>
      <c r="DE70" s="11">
        <v>0</v>
      </c>
      <c r="DF70" s="26">
        <f t="shared" si="52"/>
        <v>0</v>
      </c>
      <c r="DG70" s="11">
        <v>0</v>
      </c>
      <c r="DH70" s="11">
        <v>0</v>
      </c>
      <c r="DI70" s="11">
        <v>0</v>
      </c>
      <c r="DJ70" s="11">
        <v>0</v>
      </c>
      <c r="DK70" s="11">
        <v>0</v>
      </c>
      <c r="DL70" s="11">
        <v>0</v>
      </c>
      <c r="DM70" s="11">
        <v>0</v>
      </c>
      <c r="DN70" s="11">
        <v>0</v>
      </c>
      <c r="DO70" s="11">
        <v>0</v>
      </c>
      <c r="DP70" s="11">
        <v>0</v>
      </c>
      <c r="DQ70" s="11">
        <v>0</v>
      </c>
      <c r="DR70" s="11">
        <v>0</v>
      </c>
      <c r="DS70" s="26">
        <f t="shared" si="53"/>
        <v>0</v>
      </c>
      <c r="DT70" s="11">
        <v>0</v>
      </c>
      <c r="DU70" s="11">
        <v>0</v>
      </c>
      <c r="DV70" s="11">
        <v>0</v>
      </c>
      <c r="DW70" s="11">
        <v>0</v>
      </c>
      <c r="DX70" s="11">
        <v>0</v>
      </c>
      <c r="DY70" s="11">
        <v>0</v>
      </c>
      <c r="DZ70" s="11">
        <v>0</v>
      </c>
      <c r="EA70" s="11">
        <v>0</v>
      </c>
      <c r="EB70" s="11">
        <v>0</v>
      </c>
      <c r="EC70" s="11">
        <v>0</v>
      </c>
      <c r="ED70" s="11">
        <v>0</v>
      </c>
      <c r="EE70" s="11">
        <v>0</v>
      </c>
      <c r="EF70" s="26">
        <f t="shared" si="54"/>
        <v>0</v>
      </c>
      <c r="EG70" s="9">
        <f t="shared" si="55"/>
        <v>4698</v>
      </c>
      <c r="EH70" s="9">
        <f t="shared" si="56"/>
        <v>0</v>
      </c>
      <c r="EI70" s="11">
        <v>5335</v>
      </c>
      <c r="EJ70" s="11">
        <v>6080</v>
      </c>
      <c r="EK70" s="11">
        <v>5829</v>
      </c>
      <c r="EL70" s="11">
        <v>6853</v>
      </c>
      <c r="EM70" s="11">
        <v>5580</v>
      </c>
      <c r="EN70" s="11">
        <v>4819</v>
      </c>
      <c r="EO70" s="11">
        <v>5260</v>
      </c>
      <c r="EP70" s="11">
        <v>4615</v>
      </c>
      <c r="EQ70" s="11">
        <v>5399</v>
      </c>
      <c r="ER70" s="11">
        <v>7397</v>
      </c>
      <c r="ES70" s="11">
        <v>7110</v>
      </c>
      <c r="ET70" s="11">
        <v>4869</v>
      </c>
      <c r="EU70" s="26">
        <f t="shared" si="57"/>
        <v>69146</v>
      </c>
      <c r="EV70" s="11">
        <v>3636</v>
      </c>
      <c r="EW70" s="11">
        <v>4506</v>
      </c>
      <c r="EX70" s="11">
        <v>3777</v>
      </c>
      <c r="EY70" s="11">
        <v>5050</v>
      </c>
      <c r="EZ70" s="11">
        <v>4028</v>
      </c>
      <c r="FA70" s="11">
        <v>3320</v>
      </c>
      <c r="FB70" s="11">
        <v>3584</v>
      </c>
      <c r="FC70" s="11">
        <v>3186</v>
      </c>
      <c r="FD70" s="11">
        <v>3336</v>
      </c>
      <c r="FE70" s="11">
        <v>5125</v>
      </c>
      <c r="FF70" s="11">
        <v>4386</v>
      </c>
      <c r="FG70" s="11">
        <v>3317</v>
      </c>
      <c r="FH70" s="26">
        <f t="shared" si="58"/>
        <v>47251</v>
      </c>
      <c r="FI70" s="11">
        <v>1655</v>
      </c>
      <c r="FJ70" s="11">
        <v>1556</v>
      </c>
      <c r="FK70" s="11">
        <v>2035</v>
      </c>
      <c r="FL70" s="11">
        <v>1799</v>
      </c>
      <c r="FM70" s="11">
        <v>1467</v>
      </c>
      <c r="FN70" s="11">
        <v>1475</v>
      </c>
      <c r="FO70" s="11">
        <v>1650</v>
      </c>
      <c r="FP70" s="11">
        <v>1403</v>
      </c>
      <c r="FQ70" s="11">
        <v>2059</v>
      </c>
      <c r="FR70" s="11">
        <v>2259</v>
      </c>
      <c r="FS70" s="11">
        <v>2706</v>
      </c>
      <c r="FT70" s="11">
        <v>1539</v>
      </c>
      <c r="FU70" s="26">
        <f t="shared" si="59"/>
        <v>21603</v>
      </c>
      <c r="FV70" s="11">
        <v>44</v>
      </c>
      <c r="FW70" s="11">
        <v>18</v>
      </c>
      <c r="FX70" s="11">
        <v>17</v>
      </c>
      <c r="FY70" s="11">
        <v>4</v>
      </c>
      <c r="FZ70" s="11">
        <v>85</v>
      </c>
      <c r="GA70" s="11">
        <v>24</v>
      </c>
      <c r="GB70" s="11">
        <v>26</v>
      </c>
      <c r="GC70" s="11">
        <v>26</v>
      </c>
      <c r="GD70" s="11">
        <v>4</v>
      </c>
      <c r="GE70" s="11">
        <v>13</v>
      </c>
      <c r="GF70" s="11">
        <v>18</v>
      </c>
      <c r="GG70" s="11">
        <v>13</v>
      </c>
      <c r="GH70" s="26">
        <f t="shared" si="60"/>
        <v>292</v>
      </c>
      <c r="GI70" s="11">
        <v>0</v>
      </c>
      <c r="GJ70" s="11">
        <v>0</v>
      </c>
      <c r="GK70" s="11">
        <v>0</v>
      </c>
      <c r="GL70" s="11">
        <v>0</v>
      </c>
      <c r="GM70" s="11">
        <v>0</v>
      </c>
      <c r="GN70" s="11">
        <v>0</v>
      </c>
      <c r="GO70" s="11">
        <v>0</v>
      </c>
      <c r="GP70" s="11">
        <v>0</v>
      </c>
      <c r="GQ70" s="11">
        <v>0</v>
      </c>
      <c r="GR70" s="11">
        <v>0</v>
      </c>
      <c r="GS70" s="11">
        <v>0</v>
      </c>
      <c r="GT70" s="11">
        <v>0</v>
      </c>
      <c r="GU70" s="26">
        <f t="shared" si="61"/>
        <v>0</v>
      </c>
      <c r="GV70" s="11">
        <v>0</v>
      </c>
      <c r="GW70" s="11">
        <v>0</v>
      </c>
      <c r="GX70" s="11">
        <v>0</v>
      </c>
      <c r="GY70" s="11">
        <v>0</v>
      </c>
      <c r="GZ70" s="11">
        <v>0</v>
      </c>
      <c r="HA70" s="11">
        <v>0</v>
      </c>
      <c r="HB70" s="11">
        <v>0</v>
      </c>
      <c r="HC70" s="11">
        <v>0</v>
      </c>
      <c r="HD70" s="11">
        <v>0</v>
      </c>
      <c r="HE70" s="11">
        <v>0</v>
      </c>
      <c r="HF70" s="11">
        <v>0</v>
      </c>
      <c r="HG70" s="11">
        <v>0</v>
      </c>
      <c r="HH70" s="26">
        <f t="shared" si="62"/>
        <v>0</v>
      </c>
      <c r="HI70" s="11">
        <v>0</v>
      </c>
      <c r="HJ70" s="11">
        <v>0</v>
      </c>
      <c r="HK70" s="11">
        <v>0</v>
      </c>
      <c r="HL70" s="11">
        <v>0</v>
      </c>
      <c r="HM70" s="11">
        <v>0</v>
      </c>
      <c r="HN70" s="11">
        <v>0</v>
      </c>
      <c r="HO70" s="11">
        <v>0</v>
      </c>
      <c r="HP70" s="11">
        <v>0</v>
      </c>
      <c r="HQ70" s="11">
        <v>0</v>
      </c>
      <c r="HR70" s="11">
        <v>0</v>
      </c>
      <c r="HS70" s="11">
        <v>0</v>
      </c>
      <c r="HT70" s="11">
        <v>0</v>
      </c>
      <c r="HU70" s="26">
        <f t="shared" si="63"/>
        <v>0</v>
      </c>
      <c r="HV70" s="11">
        <v>0</v>
      </c>
      <c r="HW70" s="11">
        <v>0</v>
      </c>
      <c r="HX70" s="11">
        <v>0</v>
      </c>
      <c r="HY70" s="11">
        <v>0</v>
      </c>
      <c r="HZ70" s="11">
        <v>0</v>
      </c>
      <c r="IA70" s="11">
        <v>0</v>
      </c>
      <c r="IB70" s="11">
        <v>0</v>
      </c>
      <c r="IC70" s="11">
        <v>0</v>
      </c>
      <c r="ID70" s="11">
        <v>0</v>
      </c>
      <c r="IE70" s="11">
        <v>0</v>
      </c>
      <c r="IF70" s="11">
        <v>0</v>
      </c>
      <c r="IG70" s="11">
        <v>0</v>
      </c>
      <c r="IH70" s="26">
        <f t="shared" si="64"/>
        <v>0</v>
      </c>
      <c r="II70" s="9">
        <f t="shared" si="65"/>
        <v>69146</v>
      </c>
      <c r="IJ70" s="9">
        <f t="shared" si="66"/>
        <v>0</v>
      </c>
      <c r="IK70" s="11">
        <v>19468</v>
      </c>
      <c r="IL70" s="11">
        <v>19012</v>
      </c>
      <c r="IM70" s="11">
        <v>17151</v>
      </c>
      <c r="IN70" s="11">
        <v>22717</v>
      </c>
      <c r="IO70" s="11">
        <v>24399</v>
      </c>
      <c r="IP70" s="11">
        <v>19189</v>
      </c>
      <c r="IQ70" s="11">
        <v>21960</v>
      </c>
      <c r="IR70" s="11">
        <v>19126</v>
      </c>
      <c r="IS70" s="11">
        <v>14007</v>
      </c>
      <c r="IT70" s="11">
        <v>19392</v>
      </c>
      <c r="IU70" s="11">
        <v>18356</v>
      </c>
      <c r="IV70" s="11">
        <v>17963</v>
      </c>
      <c r="IW70" s="27">
        <f t="shared" si="67"/>
        <v>232740</v>
      </c>
      <c r="IX70" s="11">
        <v>10616</v>
      </c>
      <c r="IY70" s="11">
        <v>10390</v>
      </c>
      <c r="IZ70" s="11">
        <v>9495</v>
      </c>
      <c r="JA70" s="11">
        <v>10916</v>
      </c>
      <c r="JB70" s="11">
        <v>11014</v>
      </c>
      <c r="JC70" s="11">
        <v>10822</v>
      </c>
      <c r="JD70" s="11">
        <v>11594</v>
      </c>
      <c r="JE70" s="11">
        <v>10611</v>
      </c>
      <c r="JF70" s="11">
        <v>8273</v>
      </c>
      <c r="JG70" s="11">
        <v>11160</v>
      </c>
      <c r="JH70" s="11">
        <v>10944</v>
      </c>
      <c r="JI70" s="11">
        <v>11621</v>
      </c>
      <c r="JJ70" s="27">
        <f t="shared" si="68"/>
        <v>127456</v>
      </c>
      <c r="JK70" s="11">
        <v>8611</v>
      </c>
      <c r="JL70" s="11">
        <v>8386</v>
      </c>
      <c r="JM70" s="11">
        <v>7430</v>
      </c>
      <c r="JN70" s="11">
        <v>11471</v>
      </c>
      <c r="JO70" s="11">
        <v>13060</v>
      </c>
      <c r="JP70" s="11">
        <v>8144</v>
      </c>
      <c r="JQ70" s="11">
        <v>10131</v>
      </c>
      <c r="JR70" s="11">
        <v>8304</v>
      </c>
      <c r="JS70" s="11">
        <v>5588</v>
      </c>
      <c r="JT70" s="11">
        <v>8067</v>
      </c>
      <c r="JU70" s="11">
        <v>7213</v>
      </c>
      <c r="JV70" s="11">
        <v>6178</v>
      </c>
      <c r="JW70" s="27">
        <f t="shared" si="69"/>
        <v>102583</v>
      </c>
      <c r="JX70" s="11">
        <v>241</v>
      </c>
      <c r="JY70" s="11">
        <v>236</v>
      </c>
      <c r="JZ70" s="11">
        <v>226</v>
      </c>
      <c r="KA70" s="11">
        <v>330</v>
      </c>
      <c r="KB70" s="11">
        <v>325</v>
      </c>
      <c r="KC70" s="11">
        <v>223</v>
      </c>
      <c r="KD70" s="11">
        <v>235</v>
      </c>
      <c r="KE70" s="11">
        <v>211</v>
      </c>
      <c r="KF70" s="11">
        <v>146</v>
      </c>
      <c r="KG70" s="11">
        <v>165</v>
      </c>
      <c r="KH70" s="11">
        <v>199</v>
      </c>
      <c r="KI70" s="11">
        <v>164</v>
      </c>
      <c r="KJ70" s="27">
        <f t="shared" si="70"/>
        <v>2701</v>
      </c>
      <c r="KK70" s="11">
        <v>101</v>
      </c>
      <c r="KL70" s="11">
        <v>78</v>
      </c>
      <c r="KM70" s="11">
        <v>75</v>
      </c>
      <c r="KN70" s="11">
        <v>79</v>
      </c>
      <c r="KO70" s="11">
        <v>94</v>
      </c>
      <c r="KP70" s="11">
        <v>81</v>
      </c>
      <c r="KQ70" s="11">
        <v>90</v>
      </c>
      <c r="KR70" s="11">
        <v>77</v>
      </c>
      <c r="KS70" s="11">
        <v>68</v>
      </c>
      <c r="KT70" s="11">
        <v>78</v>
      </c>
      <c r="KU70" s="11">
        <v>105</v>
      </c>
      <c r="KV70" s="11">
        <v>71</v>
      </c>
      <c r="KW70" s="27">
        <f t="shared" si="71"/>
        <v>997</v>
      </c>
      <c r="KX70" s="11">
        <v>97</v>
      </c>
      <c r="KY70" s="11">
        <v>73</v>
      </c>
      <c r="KZ70" s="11">
        <v>71</v>
      </c>
      <c r="LA70" s="11">
        <v>65</v>
      </c>
      <c r="LB70" s="11">
        <v>83</v>
      </c>
      <c r="LC70" s="11">
        <v>67</v>
      </c>
      <c r="LD70" s="11">
        <v>82</v>
      </c>
      <c r="LE70" s="11">
        <v>71</v>
      </c>
      <c r="LF70" s="11">
        <v>65</v>
      </c>
      <c r="LG70" s="11">
        <v>73</v>
      </c>
      <c r="LH70" s="11">
        <v>95</v>
      </c>
      <c r="LI70" s="11">
        <v>64</v>
      </c>
      <c r="LJ70" s="27">
        <f t="shared" si="72"/>
        <v>906</v>
      </c>
      <c r="LK70" s="11">
        <v>4</v>
      </c>
      <c r="LL70" s="11">
        <v>5</v>
      </c>
      <c r="LM70" s="11">
        <v>3</v>
      </c>
      <c r="LN70" s="11">
        <v>14</v>
      </c>
      <c r="LO70" s="11">
        <v>11</v>
      </c>
      <c r="LP70" s="11">
        <v>13</v>
      </c>
      <c r="LQ70" s="11">
        <v>8</v>
      </c>
      <c r="LR70" s="11">
        <v>6</v>
      </c>
      <c r="LS70" s="11">
        <v>3</v>
      </c>
      <c r="LT70" s="11">
        <v>5</v>
      </c>
      <c r="LU70" s="11">
        <v>9</v>
      </c>
      <c r="LV70" s="11">
        <v>7</v>
      </c>
      <c r="LW70" s="27">
        <f t="shared" si="73"/>
        <v>88</v>
      </c>
      <c r="LX70" s="11">
        <v>0</v>
      </c>
      <c r="LY70" s="11">
        <v>0</v>
      </c>
      <c r="LZ70" s="11">
        <v>1</v>
      </c>
      <c r="MA70" s="11">
        <v>0</v>
      </c>
      <c r="MB70" s="11">
        <v>0</v>
      </c>
      <c r="MC70" s="11">
        <v>1</v>
      </c>
      <c r="MD70" s="11">
        <v>0</v>
      </c>
      <c r="ME70" s="11">
        <v>0</v>
      </c>
      <c r="MF70" s="11">
        <v>0</v>
      </c>
      <c r="MG70" s="11">
        <v>0</v>
      </c>
      <c r="MH70" s="11">
        <v>1</v>
      </c>
      <c r="MI70" s="11">
        <v>0</v>
      </c>
      <c r="MJ70" s="27">
        <f t="shared" si="74"/>
        <v>3</v>
      </c>
      <c r="MK70" s="11">
        <v>3600</v>
      </c>
      <c r="ML70" s="11">
        <v>3906</v>
      </c>
      <c r="MM70" s="11">
        <v>3725</v>
      </c>
      <c r="MN70" s="11">
        <v>3739</v>
      </c>
      <c r="MO70" s="11">
        <v>3996</v>
      </c>
      <c r="MP70" s="11">
        <v>3708</v>
      </c>
      <c r="MQ70" s="11">
        <v>3578</v>
      </c>
      <c r="MR70" s="11">
        <v>3506</v>
      </c>
      <c r="MS70" s="11">
        <v>3546</v>
      </c>
      <c r="MT70" s="11">
        <v>3821</v>
      </c>
      <c r="MU70" s="11">
        <v>3275</v>
      </c>
      <c r="MV70" s="11">
        <v>3396</v>
      </c>
      <c r="MW70" s="27">
        <f t="shared" si="75"/>
        <v>43796</v>
      </c>
      <c r="MX70" s="11">
        <v>3236</v>
      </c>
      <c r="MY70" s="11">
        <v>3517</v>
      </c>
      <c r="MZ70" s="11">
        <v>3385</v>
      </c>
      <c r="NA70" s="11">
        <v>3315</v>
      </c>
      <c r="NB70" s="11">
        <v>3602</v>
      </c>
      <c r="NC70" s="11">
        <v>3385</v>
      </c>
      <c r="ND70" s="11">
        <v>3220</v>
      </c>
      <c r="NE70" s="11">
        <v>3103</v>
      </c>
      <c r="NF70" s="11">
        <v>3122</v>
      </c>
      <c r="NG70" s="11">
        <v>3403</v>
      </c>
      <c r="NH70" s="11">
        <v>2938</v>
      </c>
      <c r="NI70" s="11">
        <v>3099</v>
      </c>
      <c r="NJ70" s="27">
        <f t="shared" si="76"/>
        <v>39325</v>
      </c>
      <c r="NK70" s="11">
        <v>205</v>
      </c>
      <c r="NL70" s="11">
        <v>194</v>
      </c>
      <c r="NM70" s="11">
        <v>185</v>
      </c>
      <c r="NN70" s="11">
        <v>266</v>
      </c>
      <c r="NO70" s="11">
        <v>232</v>
      </c>
      <c r="NP70" s="11">
        <v>181</v>
      </c>
      <c r="NQ70" s="11">
        <v>218</v>
      </c>
      <c r="NR70" s="11">
        <v>228</v>
      </c>
      <c r="NS70" s="11">
        <v>236</v>
      </c>
      <c r="NT70" s="11">
        <v>193</v>
      </c>
      <c r="NU70" s="11">
        <v>164</v>
      </c>
      <c r="NV70" s="11">
        <v>129</v>
      </c>
      <c r="NW70" s="27">
        <f t="shared" si="77"/>
        <v>2431</v>
      </c>
      <c r="NX70" s="11">
        <v>159</v>
      </c>
      <c r="NY70" s="11">
        <v>195</v>
      </c>
      <c r="NZ70" s="11">
        <v>155</v>
      </c>
      <c r="OA70" s="11">
        <v>158</v>
      </c>
      <c r="OB70" s="11">
        <v>162</v>
      </c>
      <c r="OC70" s="11">
        <v>142</v>
      </c>
      <c r="OD70" s="11">
        <v>140</v>
      </c>
      <c r="OE70" s="11">
        <v>175</v>
      </c>
      <c r="OF70" s="11">
        <v>188</v>
      </c>
      <c r="OG70" s="11">
        <v>225</v>
      </c>
      <c r="OH70" s="11">
        <v>173</v>
      </c>
      <c r="OI70" s="11">
        <v>168</v>
      </c>
      <c r="OJ70" s="27">
        <f t="shared" si="78"/>
        <v>2040</v>
      </c>
      <c r="OK70" s="11">
        <v>4556</v>
      </c>
      <c r="OL70" s="11">
        <v>4728</v>
      </c>
      <c r="OM70" s="11">
        <v>4747</v>
      </c>
      <c r="ON70" s="11">
        <v>4815</v>
      </c>
      <c r="OO70" s="11">
        <v>4944</v>
      </c>
      <c r="OP70" s="11">
        <v>4727</v>
      </c>
      <c r="OQ70" s="11">
        <v>4913</v>
      </c>
      <c r="OR70" s="11">
        <v>4694</v>
      </c>
      <c r="OS70" s="11">
        <v>4425</v>
      </c>
      <c r="OT70" s="11">
        <v>4919</v>
      </c>
      <c r="OU70" s="11">
        <v>4503</v>
      </c>
      <c r="OV70" s="11">
        <v>4782</v>
      </c>
      <c r="OW70" s="27">
        <f t="shared" si="79"/>
        <v>56753</v>
      </c>
      <c r="OX70" s="11">
        <v>4006</v>
      </c>
      <c r="OY70" s="11">
        <v>4186</v>
      </c>
      <c r="OZ70" s="11">
        <v>4252</v>
      </c>
      <c r="PA70" s="11">
        <v>4262</v>
      </c>
      <c r="PB70" s="11">
        <v>4358</v>
      </c>
      <c r="PC70" s="11">
        <v>4175</v>
      </c>
      <c r="PD70" s="11">
        <v>4309</v>
      </c>
      <c r="PE70" s="11">
        <v>4135</v>
      </c>
      <c r="PF70" s="11">
        <v>3882</v>
      </c>
      <c r="PG70" s="11">
        <v>4311</v>
      </c>
      <c r="PH70" s="11">
        <v>3978</v>
      </c>
      <c r="PI70" s="11">
        <v>4179</v>
      </c>
      <c r="PJ70" s="27">
        <f t="shared" si="80"/>
        <v>50033</v>
      </c>
      <c r="PK70" s="11">
        <v>366</v>
      </c>
      <c r="PL70" s="11">
        <v>379</v>
      </c>
      <c r="PM70" s="11">
        <v>301</v>
      </c>
      <c r="PN70" s="11">
        <v>328</v>
      </c>
      <c r="PO70" s="11">
        <v>372</v>
      </c>
      <c r="PP70" s="11">
        <v>374</v>
      </c>
      <c r="PQ70" s="11">
        <v>347</v>
      </c>
      <c r="PR70" s="11">
        <v>373</v>
      </c>
      <c r="PS70" s="11">
        <v>393</v>
      </c>
      <c r="PT70" s="11">
        <v>412</v>
      </c>
      <c r="PU70" s="11">
        <v>365</v>
      </c>
      <c r="PV70" s="11">
        <v>415</v>
      </c>
      <c r="PW70" s="27">
        <f t="shared" si="81"/>
        <v>4425</v>
      </c>
      <c r="PX70" s="11">
        <v>184</v>
      </c>
      <c r="PY70" s="11">
        <v>163</v>
      </c>
      <c r="PZ70" s="11">
        <v>194</v>
      </c>
      <c r="QA70" s="11">
        <v>225</v>
      </c>
      <c r="QB70" s="11">
        <v>214</v>
      </c>
      <c r="QC70" s="11">
        <v>178</v>
      </c>
      <c r="QD70" s="11">
        <v>167</v>
      </c>
      <c r="QE70" s="11">
        <v>186</v>
      </c>
      <c r="QF70" s="11">
        <v>150</v>
      </c>
      <c r="QG70" s="11">
        <v>196</v>
      </c>
      <c r="QH70" s="11">
        <v>160</v>
      </c>
      <c r="QI70" s="11">
        <v>188</v>
      </c>
      <c r="QJ70" s="27">
        <f t="shared" si="82"/>
        <v>2205</v>
      </c>
      <c r="QK70" s="11">
        <v>15713</v>
      </c>
      <c r="QL70" s="11">
        <v>14873</v>
      </c>
      <c r="QM70" s="11">
        <v>13429</v>
      </c>
      <c r="QN70" s="11">
        <v>18214</v>
      </c>
      <c r="QO70" s="11">
        <v>16659</v>
      </c>
      <c r="QP70" s="11">
        <v>14032</v>
      </c>
      <c r="QQ70" s="11">
        <v>15454</v>
      </c>
      <c r="QR70" s="11">
        <v>14057</v>
      </c>
      <c r="QS70" s="11">
        <v>10256</v>
      </c>
      <c r="QT70" s="11">
        <v>13974</v>
      </c>
      <c r="QU70" s="11">
        <v>14714</v>
      </c>
      <c r="QV70" s="11">
        <v>14872</v>
      </c>
      <c r="QW70" s="27">
        <f t="shared" si="83"/>
        <v>176247</v>
      </c>
      <c r="QX70" s="11">
        <v>54372</v>
      </c>
      <c r="QY70" s="11">
        <v>59639</v>
      </c>
      <c r="QZ70" s="11">
        <v>52581</v>
      </c>
      <c r="RA70" s="11">
        <v>52576</v>
      </c>
      <c r="RB70" s="11">
        <v>45991</v>
      </c>
      <c r="RC70" s="11">
        <v>51541</v>
      </c>
      <c r="RD70" s="11">
        <v>61353</v>
      </c>
      <c r="RE70" s="11">
        <v>60335</v>
      </c>
      <c r="RF70" s="11">
        <v>46736</v>
      </c>
      <c r="RG70" s="11">
        <v>59666</v>
      </c>
      <c r="RH70" s="11">
        <v>60115</v>
      </c>
      <c r="RI70" s="11">
        <v>58548</v>
      </c>
      <c r="RJ70" s="27">
        <f t="shared" si="84"/>
        <v>663453</v>
      </c>
      <c r="RK70" s="11">
        <v>1</v>
      </c>
      <c r="RL70" s="11">
        <v>0</v>
      </c>
      <c r="RM70" s="11">
        <v>2</v>
      </c>
      <c r="RN70" s="11">
        <v>1</v>
      </c>
      <c r="RO70" s="11">
        <v>2</v>
      </c>
      <c r="RP70" s="11">
        <v>1</v>
      </c>
      <c r="RQ70" s="11">
        <v>2</v>
      </c>
      <c r="RR70" s="11">
        <v>0</v>
      </c>
      <c r="RS70" s="11">
        <v>1</v>
      </c>
      <c r="RT70" s="11">
        <v>1</v>
      </c>
      <c r="RU70" s="11">
        <v>1</v>
      </c>
      <c r="RV70" s="11">
        <v>1</v>
      </c>
      <c r="RW70" s="27">
        <f t="shared" si="85"/>
        <v>13</v>
      </c>
      <c r="RX70" s="11">
        <v>0</v>
      </c>
      <c r="RY70" s="11">
        <v>0</v>
      </c>
      <c r="RZ70" s="11">
        <v>0</v>
      </c>
      <c r="SA70" s="11">
        <v>0</v>
      </c>
      <c r="SB70" s="11">
        <v>0</v>
      </c>
      <c r="SC70" s="11">
        <v>0</v>
      </c>
      <c r="SD70" s="11">
        <v>0</v>
      </c>
      <c r="SE70" s="11">
        <v>0</v>
      </c>
      <c r="SF70" s="11">
        <v>0</v>
      </c>
      <c r="SG70" s="11">
        <v>0</v>
      </c>
      <c r="SH70" s="11">
        <v>0</v>
      </c>
      <c r="SI70" s="11">
        <v>0</v>
      </c>
      <c r="SJ70" s="27">
        <f t="shared" si="86"/>
        <v>0</v>
      </c>
      <c r="SK70" s="11">
        <v>6</v>
      </c>
      <c r="SL70" s="11">
        <v>9</v>
      </c>
      <c r="SM70" s="11">
        <v>6</v>
      </c>
      <c r="SN70" s="11">
        <v>6</v>
      </c>
      <c r="SO70" s="11">
        <v>7</v>
      </c>
      <c r="SP70" s="11">
        <v>8</v>
      </c>
      <c r="SQ70" s="11">
        <v>5</v>
      </c>
      <c r="SR70" s="11">
        <v>3</v>
      </c>
      <c r="SS70" s="11">
        <v>4</v>
      </c>
      <c r="ST70" s="11">
        <v>4</v>
      </c>
      <c r="SU70" s="11">
        <v>6</v>
      </c>
      <c r="SV70" s="11">
        <v>3</v>
      </c>
      <c r="SW70" s="27">
        <f t="shared" si="87"/>
        <v>67</v>
      </c>
      <c r="SX70" s="11" t="s">
        <v>1374</v>
      </c>
      <c r="SY70" s="11">
        <v>7068</v>
      </c>
      <c r="SZ70" s="11">
        <v>6758</v>
      </c>
      <c r="TA70" s="11">
        <v>6116</v>
      </c>
      <c r="TB70" s="11">
        <v>6409</v>
      </c>
      <c r="TC70" s="11">
        <v>6447</v>
      </c>
      <c r="TD70" s="11">
        <v>6251</v>
      </c>
      <c r="TE70" s="11">
        <v>6565</v>
      </c>
      <c r="TF70" s="11">
        <v>6104</v>
      </c>
      <c r="TG70" s="11">
        <v>5059</v>
      </c>
      <c r="TH70" s="11">
        <v>6562</v>
      </c>
      <c r="TI70" s="11">
        <v>6514</v>
      </c>
      <c r="TJ70" s="11">
        <v>6555</v>
      </c>
      <c r="TK70" s="27">
        <f t="shared" si="88"/>
        <v>76408</v>
      </c>
      <c r="TL70" s="11">
        <v>0</v>
      </c>
      <c r="TM70" s="11">
        <v>0</v>
      </c>
      <c r="TN70" s="11">
        <v>0</v>
      </c>
      <c r="TO70" s="11">
        <v>0</v>
      </c>
      <c r="TP70" s="11">
        <v>0</v>
      </c>
      <c r="TQ70" s="11">
        <v>0</v>
      </c>
      <c r="TR70" s="11">
        <v>0</v>
      </c>
      <c r="TS70" s="11">
        <v>0</v>
      </c>
      <c r="TT70" s="11">
        <v>0</v>
      </c>
      <c r="TU70" s="11">
        <v>0</v>
      </c>
      <c r="TV70" s="11">
        <v>0</v>
      </c>
      <c r="TW70" s="11">
        <v>0</v>
      </c>
      <c r="TX70" s="27">
        <f t="shared" si="89"/>
        <v>0</v>
      </c>
      <c r="TY70" s="11">
        <v>226</v>
      </c>
      <c r="TZ70" s="11">
        <v>145</v>
      </c>
      <c r="UA70" s="11">
        <v>382</v>
      </c>
    </row>
    <row r="71" spans="1:547" ht="16" customHeight="1" x14ac:dyDescent="0.35">
      <c r="A71" s="11" t="s">
        <v>1442</v>
      </c>
      <c r="B71" s="11">
        <v>68809</v>
      </c>
      <c r="C71" s="11">
        <v>25964</v>
      </c>
      <c r="D71" s="11">
        <v>38302</v>
      </c>
      <c r="E71" s="11">
        <v>4543</v>
      </c>
      <c r="F71" s="11">
        <v>1011</v>
      </c>
      <c r="G71" s="11">
        <v>1095</v>
      </c>
      <c r="H71" s="11">
        <v>1050</v>
      </c>
      <c r="I71" s="11">
        <v>1091</v>
      </c>
      <c r="J71" s="11">
        <v>862</v>
      </c>
      <c r="K71" s="11">
        <v>958</v>
      </c>
      <c r="L71" s="11">
        <v>1272</v>
      </c>
      <c r="M71" s="11">
        <v>1230</v>
      </c>
      <c r="N71" s="11">
        <v>897</v>
      </c>
      <c r="O71" s="11">
        <v>1050</v>
      </c>
      <c r="P71" s="11" t="s">
        <v>2864</v>
      </c>
      <c r="Q71" s="11">
        <v>1128</v>
      </c>
      <c r="R71" s="11">
        <v>1235</v>
      </c>
      <c r="S71" s="26">
        <f t="shared" si="45"/>
        <v>12879</v>
      </c>
      <c r="T71" s="11">
        <v>340</v>
      </c>
      <c r="U71" s="11">
        <v>442</v>
      </c>
      <c r="V71" s="11">
        <v>373</v>
      </c>
      <c r="W71" s="11">
        <v>349</v>
      </c>
      <c r="X71" s="11">
        <v>316</v>
      </c>
      <c r="Y71" s="11">
        <v>389</v>
      </c>
      <c r="Z71" s="11">
        <v>478</v>
      </c>
      <c r="AA71" s="11">
        <v>438</v>
      </c>
      <c r="AB71" s="11">
        <v>308</v>
      </c>
      <c r="AC71" s="11">
        <v>408</v>
      </c>
      <c r="AD71" s="11">
        <v>397</v>
      </c>
      <c r="AE71" s="11">
        <v>412</v>
      </c>
      <c r="AF71" s="26">
        <f t="shared" si="46"/>
        <v>4650</v>
      </c>
      <c r="AG71" s="11">
        <v>671</v>
      </c>
      <c r="AH71" s="11">
        <v>653</v>
      </c>
      <c r="AI71" s="11">
        <v>677</v>
      </c>
      <c r="AJ71" s="11">
        <v>742</v>
      </c>
      <c r="AK71" s="11">
        <v>546</v>
      </c>
      <c r="AL71" s="11">
        <v>569</v>
      </c>
      <c r="AM71" s="11">
        <v>794</v>
      </c>
      <c r="AN71" s="11">
        <v>792</v>
      </c>
      <c r="AO71" s="11">
        <v>589</v>
      </c>
      <c r="AP71" s="11">
        <v>642</v>
      </c>
      <c r="AQ71" s="11">
        <v>731</v>
      </c>
      <c r="AR71" s="11">
        <v>823</v>
      </c>
      <c r="AS71" s="26">
        <f t="shared" si="47"/>
        <v>8229</v>
      </c>
      <c r="AT71" s="11">
        <v>0</v>
      </c>
      <c r="AU71" s="11">
        <v>0</v>
      </c>
      <c r="AV71" s="11">
        <v>0</v>
      </c>
      <c r="AW71" s="11">
        <v>0</v>
      </c>
      <c r="AX71" s="11">
        <v>0</v>
      </c>
      <c r="AY71" s="11">
        <v>0</v>
      </c>
      <c r="AZ71" s="11">
        <v>0</v>
      </c>
      <c r="BA71" s="11">
        <v>0</v>
      </c>
      <c r="BB71" s="11">
        <v>0</v>
      </c>
      <c r="BC71" s="11">
        <v>0</v>
      </c>
      <c r="BD71" s="11">
        <v>0</v>
      </c>
      <c r="BE71" s="11">
        <v>0</v>
      </c>
      <c r="BF71" s="26">
        <f t="shared" si="48"/>
        <v>0</v>
      </c>
      <c r="BG71" s="11">
        <v>0</v>
      </c>
      <c r="BH71" s="11">
        <v>0</v>
      </c>
      <c r="BI71" s="11">
        <v>0</v>
      </c>
      <c r="BJ71" s="11">
        <v>0</v>
      </c>
      <c r="BK71" s="11">
        <v>0</v>
      </c>
      <c r="BL71" s="11">
        <v>0</v>
      </c>
      <c r="BM71" s="11">
        <v>0</v>
      </c>
      <c r="BN71" s="11">
        <v>0</v>
      </c>
      <c r="BO71" s="11">
        <v>0</v>
      </c>
      <c r="BP71" s="11">
        <v>0</v>
      </c>
      <c r="BQ71" s="11">
        <v>0</v>
      </c>
      <c r="BR71" s="11">
        <v>0</v>
      </c>
      <c r="BS71" s="26">
        <f t="shared" si="49"/>
        <v>0</v>
      </c>
      <c r="BT71" s="11">
        <v>0</v>
      </c>
      <c r="BU71" s="11">
        <v>0</v>
      </c>
      <c r="BV71" s="11">
        <v>0</v>
      </c>
      <c r="BW71" s="11">
        <v>0</v>
      </c>
      <c r="BX71" s="11">
        <v>0</v>
      </c>
      <c r="BY71" s="11">
        <v>0</v>
      </c>
      <c r="BZ71" s="11">
        <v>0</v>
      </c>
      <c r="CA71" s="11">
        <v>0</v>
      </c>
      <c r="CB71" s="11">
        <v>0</v>
      </c>
      <c r="CC71" s="11">
        <v>0</v>
      </c>
      <c r="CD71" s="11">
        <v>0</v>
      </c>
      <c r="CE71" s="11">
        <v>0</v>
      </c>
      <c r="CF71" s="26">
        <f t="shared" si="50"/>
        <v>0</v>
      </c>
      <c r="CG71" s="11">
        <v>0</v>
      </c>
      <c r="CH71" s="11">
        <v>0</v>
      </c>
      <c r="CI71" s="11">
        <v>0</v>
      </c>
      <c r="CJ71" s="11">
        <v>0</v>
      </c>
      <c r="CK71" s="11">
        <v>0</v>
      </c>
      <c r="CL71" s="11">
        <v>0</v>
      </c>
      <c r="CM71" s="11">
        <v>0</v>
      </c>
      <c r="CN71" s="11">
        <v>0</v>
      </c>
      <c r="CO71" s="11">
        <v>0</v>
      </c>
      <c r="CP71" s="11">
        <v>0</v>
      </c>
      <c r="CQ71" s="11">
        <v>0</v>
      </c>
      <c r="CR71" s="11">
        <v>0</v>
      </c>
      <c r="CS71" s="26">
        <f t="shared" si="51"/>
        <v>0</v>
      </c>
      <c r="CT71" s="11">
        <v>0</v>
      </c>
      <c r="CU71" s="11">
        <v>0</v>
      </c>
      <c r="CV71" s="11">
        <v>0</v>
      </c>
      <c r="CW71" s="11">
        <v>0</v>
      </c>
      <c r="CX71" s="11">
        <v>0</v>
      </c>
      <c r="CY71" s="11">
        <v>0</v>
      </c>
      <c r="CZ71" s="11">
        <v>0</v>
      </c>
      <c r="DA71" s="11">
        <v>0</v>
      </c>
      <c r="DB71" s="11">
        <v>0</v>
      </c>
      <c r="DC71" s="11">
        <v>0</v>
      </c>
      <c r="DD71" s="11">
        <v>0</v>
      </c>
      <c r="DE71" s="11">
        <v>0</v>
      </c>
      <c r="DF71" s="26">
        <f t="shared" si="52"/>
        <v>0</v>
      </c>
      <c r="DG71" s="11">
        <v>0</v>
      </c>
      <c r="DH71" s="11">
        <v>0</v>
      </c>
      <c r="DI71" s="11">
        <v>0</v>
      </c>
      <c r="DJ71" s="11">
        <v>0</v>
      </c>
      <c r="DK71" s="11">
        <v>0</v>
      </c>
      <c r="DL71" s="11">
        <v>0</v>
      </c>
      <c r="DM71" s="11">
        <v>0</v>
      </c>
      <c r="DN71" s="11">
        <v>0</v>
      </c>
      <c r="DO71" s="11">
        <v>0</v>
      </c>
      <c r="DP71" s="11">
        <v>0</v>
      </c>
      <c r="DQ71" s="11">
        <v>0</v>
      </c>
      <c r="DR71" s="11">
        <v>0</v>
      </c>
      <c r="DS71" s="26">
        <f t="shared" si="53"/>
        <v>0</v>
      </c>
      <c r="DT71" s="11">
        <v>0</v>
      </c>
      <c r="DU71" s="11">
        <v>0</v>
      </c>
      <c r="DV71" s="11">
        <v>0</v>
      </c>
      <c r="DW71" s="11">
        <v>0</v>
      </c>
      <c r="DX71" s="11">
        <v>0</v>
      </c>
      <c r="DY71" s="11">
        <v>0</v>
      </c>
      <c r="DZ71" s="11">
        <v>0</v>
      </c>
      <c r="EA71" s="11">
        <v>0</v>
      </c>
      <c r="EB71" s="11">
        <v>0</v>
      </c>
      <c r="EC71" s="11">
        <v>0</v>
      </c>
      <c r="ED71" s="11">
        <v>0</v>
      </c>
      <c r="EE71" s="11">
        <v>0</v>
      </c>
      <c r="EF71" s="26">
        <f t="shared" si="54"/>
        <v>0</v>
      </c>
      <c r="EG71" s="9">
        <f t="shared" si="55"/>
        <v>12879</v>
      </c>
      <c r="EH71" s="9">
        <f t="shared" si="56"/>
        <v>0</v>
      </c>
      <c r="EI71" s="11">
        <v>16734</v>
      </c>
      <c r="EJ71" s="11">
        <v>18536</v>
      </c>
      <c r="EK71" s="11">
        <v>18555</v>
      </c>
      <c r="EL71" s="11">
        <v>26726</v>
      </c>
      <c r="EM71" s="11">
        <v>15059</v>
      </c>
      <c r="EN71" s="11">
        <v>15311</v>
      </c>
      <c r="EO71" s="11">
        <v>19875</v>
      </c>
      <c r="EP71" s="11">
        <v>20480</v>
      </c>
      <c r="EQ71" s="11">
        <v>17047</v>
      </c>
      <c r="ER71" s="11">
        <v>16981</v>
      </c>
      <c r="ES71" s="11">
        <v>19223</v>
      </c>
      <c r="ET71" s="11">
        <v>20047</v>
      </c>
      <c r="EU71" s="26">
        <f t="shared" si="57"/>
        <v>224574</v>
      </c>
      <c r="EV71" s="11">
        <v>2584</v>
      </c>
      <c r="EW71" s="11">
        <v>6167</v>
      </c>
      <c r="EX71" s="11">
        <v>3805</v>
      </c>
      <c r="EY71" s="11">
        <v>2686</v>
      </c>
      <c r="EZ71" s="11">
        <v>2476</v>
      </c>
      <c r="FA71" s="11">
        <v>3673</v>
      </c>
      <c r="FB71" s="11">
        <v>4394</v>
      </c>
      <c r="FC71" s="11">
        <v>5150</v>
      </c>
      <c r="FD71" s="11">
        <v>4064</v>
      </c>
      <c r="FE71" s="11">
        <v>4438</v>
      </c>
      <c r="FF71" s="11">
        <v>4027</v>
      </c>
      <c r="FG71" s="11">
        <v>4693</v>
      </c>
      <c r="FH71" s="26">
        <f t="shared" si="58"/>
        <v>48157</v>
      </c>
      <c r="FI71" s="11">
        <v>14150</v>
      </c>
      <c r="FJ71" s="11">
        <v>12369</v>
      </c>
      <c r="FK71" s="11">
        <v>14750</v>
      </c>
      <c r="FL71" s="11">
        <v>24040</v>
      </c>
      <c r="FM71" s="11">
        <v>12583</v>
      </c>
      <c r="FN71" s="11">
        <v>11638</v>
      </c>
      <c r="FO71" s="11">
        <v>15481</v>
      </c>
      <c r="FP71" s="11">
        <v>15330</v>
      </c>
      <c r="FQ71" s="11">
        <v>12983</v>
      </c>
      <c r="FR71" s="11">
        <v>12543</v>
      </c>
      <c r="FS71" s="11">
        <v>15196</v>
      </c>
      <c r="FT71" s="11">
        <v>15354</v>
      </c>
      <c r="FU71" s="26">
        <f t="shared" si="59"/>
        <v>176417</v>
      </c>
      <c r="FV71" s="11">
        <v>0</v>
      </c>
      <c r="FW71" s="11">
        <v>0</v>
      </c>
      <c r="FX71" s="11">
        <v>0</v>
      </c>
      <c r="FY71" s="11">
        <v>0</v>
      </c>
      <c r="FZ71" s="11">
        <v>0</v>
      </c>
      <c r="GA71" s="11">
        <v>0</v>
      </c>
      <c r="GB71" s="11">
        <v>0</v>
      </c>
      <c r="GC71" s="11">
        <v>0</v>
      </c>
      <c r="GD71" s="11">
        <v>0</v>
      </c>
      <c r="GE71" s="11">
        <v>0</v>
      </c>
      <c r="GF71" s="11">
        <v>0</v>
      </c>
      <c r="GG71" s="11">
        <v>0</v>
      </c>
      <c r="GH71" s="26">
        <f t="shared" si="60"/>
        <v>0</v>
      </c>
      <c r="GI71" s="11">
        <v>0</v>
      </c>
      <c r="GJ71" s="11">
        <v>0</v>
      </c>
      <c r="GK71" s="11">
        <v>0</v>
      </c>
      <c r="GL71" s="11">
        <v>0</v>
      </c>
      <c r="GM71" s="11">
        <v>0</v>
      </c>
      <c r="GN71" s="11">
        <v>0</v>
      </c>
      <c r="GO71" s="11">
        <v>0</v>
      </c>
      <c r="GP71" s="11">
        <v>0</v>
      </c>
      <c r="GQ71" s="11">
        <v>0</v>
      </c>
      <c r="GR71" s="11">
        <v>0</v>
      </c>
      <c r="GS71" s="11">
        <v>0</v>
      </c>
      <c r="GT71" s="11">
        <v>0</v>
      </c>
      <c r="GU71" s="26">
        <f t="shared" si="61"/>
        <v>0</v>
      </c>
      <c r="GV71" s="11">
        <v>0</v>
      </c>
      <c r="GW71" s="11">
        <v>0</v>
      </c>
      <c r="GX71" s="11">
        <v>0</v>
      </c>
      <c r="GY71" s="11">
        <v>0</v>
      </c>
      <c r="GZ71" s="11">
        <v>0</v>
      </c>
      <c r="HA71" s="11">
        <v>0</v>
      </c>
      <c r="HB71" s="11">
        <v>0</v>
      </c>
      <c r="HC71" s="11">
        <v>0</v>
      </c>
      <c r="HD71" s="11">
        <v>0</v>
      </c>
      <c r="HE71" s="11">
        <v>0</v>
      </c>
      <c r="HF71" s="11">
        <v>0</v>
      </c>
      <c r="HG71" s="11">
        <v>0</v>
      </c>
      <c r="HH71" s="26">
        <f t="shared" si="62"/>
        <v>0</v>
      </c>
      <c r="HI71" s="11">
        <v>0</v>
      </c>
      <c r="HJ71" s="11">
        <v>0</v>
      </c>
      <c r="HK71" s="11">
        <v>0</v>
      </c>
      <c r="HL71" s="11">
        <v>0</v>
      </c>
      <c r="HM71" s="11">
        <v>0</v>
      </c>
      <c r="HN71" s="11">
        <v>0</v>
      </c>
      <c r="HO71" s="11">
        <v>0</v>
      </c>
      <c r="HP71" s="11">
        <v>0</v>
      </c>
      <c r="HQ71" s="11">
        <v>0</v>
      </c>
      <c r="HR71" s="11">
        <v>0</v>
      </c>
      <c r="HS71" s="11">
        <v>0</v>
      </c>
      <c r="HT71" s="11">
        <v>0</v>
      </c>
      <c r="HU71" s="26">
        <f t="shared" si="63"/>
        <v>0</v>
      </c>
      <c r="HV71" s="11">
        <v>0</v>
      </c>
      <c r="HW71" s="11">
        <v>0</v>
      </c>
      <c r="HX71" s="11">
        <v>0</v>
      </c>
      <c r="HY71" s="11">
        <v>0</v>
      </c>
      <c r="HZ71" s="11">
        <v>0</v>
      </c>
      <c r="IA71" s="11">
        <v>0</v>
      </c>
      <c r="IB71" s="11">
        <v>0</v>
      </c>
      <c r="IC71" s="11">
        <v>0</v>
      </c>
      <c r="ID71" s="11">
        <v>0</v>
      </c>
      <c r="IE71" s="11">
        <v>0</v>
      </c>
      <c r="IF71" s="11">
        <v>0</v>
      </c>
      <c r="IG71" s="11">
        <v>0</v>
      </c>
      <c r="IH71" s="26">
        <f t="shared" si="64"/>
        <v>0</v>
      </c>
      <c r="II71" s="9">
        <f t="shared" si="65"/>
        <v>224574</v>
      </c>
      <c r="IJ71" s="9">
        <f t="shared" si="66"/>
        <v>0</v>
      </c>
      <c r="IK71" s="11">
        <v>261368</v>
      </c>
      <c r="IL71" s="11">
        <v>246806</v>
      </c>
      <c r="IM71" s="11">
        <v>238715</v>
      </c>
      <c r="IN71" s="11">
        <v>269454</v>
      </c>
      <c r="IO71" s="11">
        <v>279766</v>
      </c>
      <c r="IP71" s="11">
        <v>260131</v>
      </c>
      <c r="IQ71" s="11">
        <v>260308</v>
      </c>
      <c r="IR71" s="11">
        <v>251334</v>
      </c>
      <c r="IS71" s="11">
        <v>190729</v>
      </c>
      <c r="IT71" s="11">
        <v>260451</v>
      </c>
      <c r="IU71" s="11">
        <v>221892</v>
      </c>
      <c r="IV71" s="11">
        <v>235327</v>
      </c>
      <c r="IW71" s="27">
        <f t="shared" si="67"/>
        <v>2976281</v>
      </c>
      <c r="IX71" s="11">
        <v>120188</v>
      </c>
      <c r="IY71" s="11">
        <v>115554</v>
      </c>
      <c r="IZ71" s="11">
        <v>111775</v>
      </c>
      <c r="JA71" s="11">
        <v>119507</v>
      </c>
      <c r="JB71" s="11">
        <v>120118</v>
      </c>
      <c r="JC71" s="11">
        <v>115099</v>
      </c>
      <c r="JD71" s="11">
        <v>117656</v>
      </c>
      <c r="JE71" s="11">
        <v>113020</v>
      </c>
      <c r="JF71" s="11">
        <v>91102</v>
      </c>
      <c r="JG71" s="11">
        <v>124253</v>
      </c>
      <c r="JH71" s="11">
        <v>97963</v>
      </c>
      <c r="JI71" s="11">
        <v>110463</v>
      </c>
      <c r="JJ71" s="27">
        <f t="shared" si="68"/>
        <v>1356698</v>
      </c>
      <c r="JK71" s="11">
        <v>141180</v>
      </c>
      <c r="JL71" s="11">
        <v>131252</v>
      </c>
      <c r="JM71" s="11">
        <v>126940</v>
      </c>
      <c r="JN71" s="11">
        <v>149947</v>
      </c>
      <c r="JO71" s="11">
        <v>159648</v>
      </c>
      <c r="JP71" s="11">
        <v>145032</v>
      </c>
      <c r="JQ71" s="11">
        <v>142652</v>
      </c>
      <c r="JR71" s="11">
        <v>138314</v>
      </c>
      <c r="JS71" s="11">
        <v>99627</v>
      </c>
      <c r="JT71" s="11">
        <v>136198</v>
      </c>
      <c r="JU71" s="11">
        <v>123929</v>
      </c>
      <c r="JV71" s="11">
        <v>124864</v>
      </c>
      <c r="JW71" s="27">
        <f t="shared" si="69"/>
        <v>1619583</v>
      </c>
      <c r="JX71" s="11">
        <v>0</v>
      </c>
      <c r="JY71" s="11">
        <v>0</v>
      </c>
      <c r="JZ71" s="11">
        <v>0</v>
      </c>
      <c r="KA71" s="11">
        <v>0</v>
      </c>
      <c r="KB71" s="11">
        <v>0</v>
      </c>
      <c r="KC71" s="11">
        <v>0</v>
      </c>
      <c r="KD71" s="11">
        <v>0</v>
      </c>
      <c r="KE71" s="11">
        <v>0</v>
      </c>
      <c r="KF71" s="11">
        <v>0</v>
      </c>
      <c r="KG71" s="11">
        <v>0</v>
      </c>
      <c r="KH71" s="11">
        <v>0</v>
      </c>
      <c r="KI71" s="11">
        <v>0</v>
      </c>
      <c r="KJ71" s="27">
        <f t="shared" si="70"/>
        <v>0</v>
      </c>
      <c r="KK71" s="11">
        <v>956</v>
      </c>
      <c r="KL71" s="11">
        <v>1000</v>
      </c>
      <c r="KM71" s="11">
        <v>811</v>
      </c>
      <c r="KN71" s="11">
        <v>986</v>
      </c>
      <c r="KO71" s="11">
        <v>987</v>
      </c>
      <c r="KP71" s="11">
        <v>855</v>
      </c>
      <c r="KQ71" s="11">
        <v>908</v>
      </c>
      <c r="KR71" s="11">
        <v>896</v>
      </c>
      <c r="KS71" s="11">
        <v>814</v>
      </c>
      <c r="KT71" s="11">
        <v>989</v>
      </c>
      <c r="KU71" s="11">
        <v>810</v>
      </c>
      <c r="KV71" s="11">
        <v>864</v>
      </c>
      <c r="KW71" s="27">
        <f t="shared" si="71"/>
        <v>10876</v>
      </c>
      <c r="KX71" s="11">
        <v>0</v>
      </c>
      <c r="KY71" s="11">
        <v>0</v>
      </c>
      <c r="KZ71" s="11">
        <v>0</v>
      </c>
      <c r="LA71" s="11">
        <v>0</v>
      </c>
      <c r="LB71" s="11">
        <v>0</v>
      </c>
      <c r="LC71" s="11">
        <v>0</v>
      </c>
      <c r="LD71" s="11">
        <v>0</v>
      </c>
      <c r="LE71" s="11">
        <v>0</v>
      </c>
      <c r="LF71" s="11">
        <v>0</v>
      </c>
      <c r="LG71" s="11">
        <v>0</v>
      </c>
      <c r="LH71" s="11">
        <v>0</v>
      </c>
      <c r="LI71" s="11">
        <v>0</v>
      </c>
      <c r="LJ71" s="27">
        <f t="shared" si="72"/>
        <v>0</v>
      </c>
      <c r="LK71" s="11">
        <v>0</v>
      </c>
      <c r="LL71" s="11">
        <v>0</v>
      </c>
      <c r="LM71" s="11">
        <v>0</v>
      </c>
      <c r="LN71" s="11">
        <v>0</v>
      </c>
      <c r="LO71" s="11">
        <v>0</v>
      </c>
      <c r="LP71" s="11">
        <v>0</v>
      </c>
      <c r="LQ71" s="11">
        <v>0</v>
      </c>
      <c r="LR71" s="11">
        <v>0</v>
      </c>
      <c r="LS71" s="11">
        <v>0</v>
      </c>
      <c r="LT71" s="11">
        <v>0</v>
      </c>
      <c r="LU71" s="11">
        <v>0</v>
      </c>
      <c r="LV71" s="11">
        <v>0</v>
      </c>
      <c r="LW71" s="27">
        <f t="shared" si="73"/>
        <v>0</v>
      </c>
      <c r="LX71" s="11">
        <v>0</v>
      </c>
      <c r="LY71" s="11">
        <v>0</v>
      </c>
      <c r="LZ71" s="11">
        <v>0</v>
      </c>
      <c r="MA71" s="11">
        <v>0</v>
      </c>
      <c r="MB71" s="11">
        <v>0</v>
      </c>
      <c r="MC71" s="11">
        <v>0</v>
      </c>
      <c r="MD71" s="11">
        <v>0</v>
      </c>
      <c r="ME71" s="11">
        <v>0</v>
      </c>
      <c r="MF71" s="11">
        <v>0</v>
      </c>
      <c r="MG71" s="11">
        <v>0</v>
      </c>
      <c r="MH71" s="11">
        <v>0</v>
      </c>
      <c r="MI71" s="11">
        <v>0</v>
      </c>
      <c r="MJ71" s="27">
        <f t="shared" si="74"/>
        <v>0</v>
      </c>
      <c r="MK71" s="11">
        <v>14453</v>
      </c>
      <c r="ML71" s="11">
        <v>14676</v>
      </c>
      <c r="MM71" s="11">
        <v>14064</v>
      </c>
      <c r="MN71" s="11">
        <v>14998</v>
      </c>
      <c r="MO71" s="11">
        <v>15619</v>
      </c>
      <c r="MP71" s="11">
        <v>14388</v>
      </c>
      <c r="MQ71" s="11">
        <v>14906</v>
      </c>
      <c r="MR71" s="11">
        <v>14036</v>
      </c>
      <c r="MS71" s="11">
        <v>15770</v>
      </c>
      <c r="MT71" s="11">
        <v>16453</v>
      </c>
      <c r="MU71" s="11">
        <v>15155</v>
      </c>
      <c r="MV71" s="11">
        <v>16150</v>
      </c>
      <c r="MW71" s="27">
        <f t="shared" si="75"/>
        <v>180668</v>
      </c>
      <c r="MX71" s="11">
        <v>0</v>
      </c>
      <c r="MY71" s="11">
        <v>0</v>
      </c>
      <c r="MZ71" s="11">
        <v>0</v>
      </c>
      <c r="NA71" s="11">
        <v>0</v>
      </c>
      <c r="NB71" s="11">
        <v>0</v>
      </c>
      <c r="NC71" s="11">
        <v>0</v>
      </c>
      <c r="ND71" s="11">
        <v>0</v>
      </c>
      <c r="NE71" s="11">
        <v>0</v>
      </c>
      <c r="NF71" s="11">
        <v>0</v>
      </c>
      <c r="NG71" s="11">
        <v>0</v>
      </c>
      <c r="NH71" s="11">
        <v>0</v>
      </c>
      <c r="NI71" s="11">
        <v>0</v>
      </c>
      <c r="NJ71" s="27">
        <f t="shared" si="76"/>
        <v>0</v>
      </c>
      <c r="NK71" s="11">
        <v>0</v>
      </c>
      <c r="NL71" s="11">
        <v>0</v>
      </c>
      <c r="NM71" s="11">
        <v>0</v>
      </c>
      <c r="NN71" s="11">
        <v>0</v>
      </c>
      <c r="NO71" s="11">
        <v>0</v>
      </c>
      <c r="NP71" s="11">
        <v>0</v>
      </c>
      <c r="NQ71" s="11">
        <v>0</v>
      </c>
      <c r="NR71" s="11">
        <v>0</v>
      </c>
      <c r="NS71" s="11">
        <v>0</v>
      </c>
      <c r="NT71" s="11">
        <v>0</v>
      </c>
      <c r="NU71" s="11">
        <v>0</v>
      </c>
      <c r="NV71" s="11">
        <v>0</v>
      </c>
      <c r="NW71" s="27">
        <f t="shared" si="77"/>
        <v>0</v>
      </c>
      <c r="NX71" s="11">
        <v>0</v>
      </c>
      <c r="NY71" s="11">
        <v>0</v>
      </c>
      <c r="NZ71" s="11">
        <v>0</v>
      </c>
      <c r="OA71" s="11">
        <v>0</v>
      </c>
      <c r="OB71" s="11">
        <v>0</v>
      </c>
      <c r="OC71" s="11">
        <v>0</v>
      </c>
      <c r="OD71" s="11">
        <v>0</v>
      </c>
      <c r="OE71" s="11">
        <v>0</v>
      </c>
      <c r="OF71" s="11">
        <v>0</v>
      </c>
      <c r="OG71" s="11">
        <v>0</v>
      </c>
      <c r="OH71" s="11">
        <v>0</v>
      </c>
      <c r="OI71" s="11">
        <v>0</v>
      </c>
      <c r="OJ71" s="27">
        <f t="shared" si="78"/>
        <v>0</v>
      </c>
      <c r="OK71" s="11">
        <v>14316</v>
      </c>
      <c r="OL71" s="11">
        <v>14434</v>
      </c>
      <c r="OM71" s="11">
        <v>13948</v>
      </c>
      <c r="ON71" s="11">
        <v>15136</v>
      </c>
      <c r="OO71" s="11">
        <v>15620</v>
      </c>
      <c r="OP71" s="11">
        <v>14729</v>
      </c>
      <c r="OQ71" s="11">
        <v>15842</v>
      </c>
      <c r="OR71" s="11">
        <v>14954</v>
      </c>
      <c r="OS71" s="11">
        <v>15123</v>
      </c>
      <c r="OT71" s="11">
        <v>16555</v>
      </c>
      <c r="OU71" s="11">
        <v>15099</v>
      </c>
      <c r="OV71" s="11">
        <v>16586</v>
      </c>
      <c r="OW71" s="27">
        <f t="shared" si="79"/>
        <v>182342</v>
      </c>
      <c r="OX71" s="11">
        <v>0</v>
      </c>
      <c r="OY71" s="11">
        <v>0</v>
      </c>
      <c r="OZ71" s="11">
        <v>0</v>
      </c>
      <c r="PA71" s="11">
        <v>0</v>
      </c>
      <c r="PB71" s="11">
        <v>0</v>
      </c>
      <c r="PC71" s="11">
        <v>0</v>
      </c>
      <c r="PD71" s="11">
        <v>0</v>
      </c>
      <c r="PE71" s="11">
        <v>0</v>
      </c>
      <c r="PF71" s="11">
        <v>0</v>
      </c>
      <c r="PG71" s="11">
        <v>0</v>
      </c>
      <c r="PH71" s="11">
        <v>0</v>
      </c>
      <c r="PI71" s="11">
        <v>0</v>
      </c>
      <c r="PJ71" s="27">
        <f t="shared" si="80"/>
        <v>0</v>
      </c>
      <c r="PK71" s="11">
        <v>0</v>
      </c>
      <c r="PL71" s="11">
        <v>0</v>
      </c>
      <c r="PM71" s="11">
        <v>0</v>
      </c>
      <c r="PN71" s="11">
        <v>0</v>
      </c>
      <c r="PO71" s="11">
        <v>0</v>
      </c>
      <c r="PP71" s="11">
        <v>0</v>
      </c>
      <c r="PQ71" s="11">
        <v>0</v>
      </c>
      <c r="PR71" s="11">
        <v>0</v>
      </c>
      <c r="PS71" s="11">
        <v>0</v>
      </c>
      <c r="PT71" s="11">
        <v>0</v>
      </c>
      <c r="PU71" s="11">
        <v>0</v>
      </c>
      <c r="PV71" s="11">
        <v>0</v>
      </c>
      <c r="PW71" s="27">
        <f t="shared" si="81"/>
        <v>0</v>
      </c>
      <c r="PX71" s="11">
        <v>0</v>
      </c>
      <c r="PY71" s="11">
        <v>0</v>
      </c>
      <c r="PZ71" s="11">
        <v>0</v>
      </c>
      <c r="QA71" s="11">
        <v>0</v>
      </c>
      <c r="QB71" s="11">
        <v>0</v>
      </c>
      <c r="QC71" s="11">
        <v>0</v>
      </c>
      <c r="QD71" s="11">
        <v>0</v>
      </c>
      <c r="QE71" s="11">
        <v>0</v>
      </c>
      <c r="QF71" s="11">
        <v>0</v>
      </c>
      <c r="QG71" s="11">
        <v>0</v>
      </c>
      <c r="QH71" s="11">
        <v>0</v>
      </c>
      <c r="QI71" s="11">
        <v>0</v>
      </c>
      <c r="QJ71" s="27">
        <f t="shared" si="82"/>
        <v>0</v>
      </c>
      <c r="QK71" s="11">
        <v>174059</v>
      </c>
      <c r="QL71" s="11">
        <v>169442</v>
      </c>
      <c r="QM71" s="11">
        <v>157298</v>
      </c>
      <c r="QN71" s="11">
        <v>186400</v>
      </c>
      <c r="QO71" s="11">
        <v>174932</v>
      </c>
      <c r="QP71" s="11">
        <v>162910</v>
      </c>
      <c r="QQ71" s="11">
        <v>181617</v>
      </c>
      <c r="QR71" s="11">
        <v>175342</v>
      </c>
      <c r="QS71" s="11">
        <v>137047</v>
      </c>
      <c r="QT71" s="11">
        <v>172761</v>
      </c>
      <c r="QU71" s="11">
        <v>165456</v>
      </c>
      <c r="QV71" s="11">
        <v>164677</v>
      </c>
      <c r="QW71" s="27">
        <f t="shared" si="83"/>
        <v>2021941</v>
      </c>
      <c r="QX71" s="11">
        <v>0</v>
      </c>
      <c r="QY71" s="11">
        <v>0</v>
      </c>
      <c r="QZ71" s="11">
        <v>0</v>
      </c>
      <c r="RA71" s="11">
        <v>0</v>
      </c>
      <c r="RB71" s="11">
        <v>0</v>
      </c>
      <c r="RC71" s="11">
        <v>0</v>
      </c>
      <c r="RD71" s="11">
        <v>0</v>
      </c>
      <c r="RE71" s="11">
        <v>0</v>
      </c>
      <c r="RF71" s="11">
        <v>0</v>
      </c>
      <c r="RG71" s="11">
        <v>0</v>
      </c>
      <c r="RH71" s="11">
        <v>0</v>
      </c>
      <c r="RI71" s="11">
        <v>0</v>
      </c>
      <c r="RJ71" s="27">
        <f t="shared" si="84"/>
        <v>0</v>
      </c>
      <c r="RK71" s="11">
        <v>0</v>
      </c>
      <c r="RL71" s="11">
        <v>0</v>
      </c>
      <c r="RM71" s="11">
        <v>0</v>
      </c>
      <c r="RN71" s="11">
        <v>0</v>
      </c>
      <c r="RO71" s="11">
        <v>0</v>
      </c>
      <c r="RP71" s="11">
        <v>0</v>
      </c>
      <c r="RQ71" s="11">
        <v>0</v>
      </c>
      <c r="RR71" s="11">
        <v>0</v>
      </c>
      <c r="RS71" s="11">
        <v>0</v>
      </c>
      <c r="RT71" s="11">
        <v>0</v>
      </c>
      <c r="RU71" s="11">
        <v>0</v>
      </c>
      <c r="RV71" s="11">
        <v>0</v>
      </c>
      <c r="RW71" s="27">
        <f t="shared" si="85"/>
        <v>0</v>
      </c>
      <c r="RX71" s="11">
        <v>0</v>
      </c>
      <c r="RY71" s="11">
        <v>0</v>
      </c>
      <c r="RZ71" s="11">
        <v>0</v>
      </c>
      <c r="SA71" s="11">
        <v>0</v>
      </c>
      <c r="SB71" s="11">
        <v>0</v>
      </c>
      <c r="SC71" s="11">
        <v>0</v>
      </c>
      <c r="SD71" s="11">
        <v>0</v>
      </c>
      <c r="SE71" s="11">
        <v>0</v>
      </c>
      <c r="SF71" s="11">
        <v>0</v>
      </c>
      <c r="SG71" s="11">
        <v>0</v>
      </c>
      <c r="SH71" s="11">
        <v>0</v>
      </c>
      <c r="SI71" s="11">
        <v>0</v>
      </c>
      <c r="SJ71" s="27">
        <f t="shared" si="86"/>
        <v>0</v>
      </c>
      <c r="SK71" s="11">
        <v>1228</v>
      </c>
      <c r="SL71" s="11">
        <v>1228</v>
      </c>
      <c r="SM71" s="11">
        <v>1228</v>
      </c>
      <c r="SN71" s="11">
        <v>1228</v>
      </c>
      <c r="SO71" s="11">
        <v>1228</v>
      </c>
      <c r="SP71" s="11">
        <v>1228</v>
      </c>
      <c r="SQ71" s="11">
        <v>1228</v>
      </c>
      <c r="SR71" s="11">
        <v>1228</v>
      </c>
      <c r="SS71" s="11">
        <v>1228</v>
      </c>
      <c r="ST71" s="11">
        <v>1228</v>
      </c>
      <c r="SU71" s="11">
        <v>1228</v>
      </c>
      <c r="SV71" s="11">
        <v>1228</v>
      </c>
      <c r="SW71" s="27">
        <f t="shared" si="87"/>
        <v>14736</v>
      </c>
      <c r="SX71" s="28" t="s">
        <v>2710</v>
      </c>
      <c r="SY71" s="11">
        <v>7918</v>
      </c>
      <c r="SZ71" s="11">
        <v>7650</v>
      </c>
      <c r="TA71" s="11">
        <v>7444</v>
      </c>
      <c r="TB71" s="11">
        <v>7027</v>
      </c>
      <c r="TC71" s="11">
        <v>5817</v>
      </c>
      <c r="TD71" s="11">
        <v>5959</v>
      </c>
      <c r="TE71" s="11">
        <v>6400</v>
      </c>
      <c r="TF71" s="11">
        <v>5932</v>
      </c>
      <c r="TG71" s="11">
        <v>4669</v>
      </c>
      <c r="TH71" s="11">
        <v>5557</v>
      </c>
      <c r="TI71" s="11">
        <v>5066</v>
      </c>
      <c r="TJ71" s="11">
        <v>5154</v>
      </c>
      <c r="TK71" s="27">
        <f t="shared" si="88"/>
        <v>74593</v>
      </c>
      <c r="TL71" s="11">
        <v>6328</v>
      </c>
      <c r="TM71" s="11">
        <v>6328</v>
      </c>
      <c r="TN71" s="11">
        <v>6328</v>
      </c>
      <c r="TO71" s="11">
        <v>6328</v>
      </c>
      <c r="TP71" s="11">
        <v>6328</v>
      </c>
      <c r="TQ71" s="11">
        <v>6328</v>
      </c>
      <c r="TR71" s="11">
        <v>16728</v>
      </c>
      <c r="TS71" s="11">
        <v>17373</v>
      </c>
      <c r="TT71" s="11">
        <v>17294</v>
      </c>
      <c r="TU71" s="11">
        <v>18504</v>
      </c>
      <c r="TV71" s="11">
        <v>18460</v>
      </c>
      <c r="TW71" s="11">
        <v>19360</v>
      </c>
      <c r="TX71" s="27">
        <f t="shared" si="89"/>
        <v>145687</v>
      </c>
      <c r="TY71" s="11">
        <v>287</v>
      </c>
      <c r="TZ71" s="11">
        <v>0</v>
      </c>
      <c r="UA71" s="11">
        <v>0</v>
      </c>
    </row>
    <row r="72" spans="1:547" ht="16" customHeight="1" x14ac:dyDescent="0.35">
      <c r="A72" s="11" t="s">
        <v>1375</v>
      </c>
      <c r="B72" s="11">
        <v>14690</v>
      </c>
      <c r="C72" s="11">
        <v>3441</v>
      </c>
      <c r="D72" s="11">
        <v>10177</v>
      </c>
      <c r="E72" s="11">
        <v>1072</v>
      </c>
      <c r="F72" s="11">
        <v>160</v>
      </c>
      <c r="G72" s="11">
        <v>137</v>
      </c>
      <c r="H72" s="11">
        <v>133</v>
      </c>
      <c r="I72" s="11">
        <v>108</v>
      </c>
      <c r="J72" s="11">
        <v>90</v>
      </c>
      <c r="K72" s="11">
        <v>107</v>
      </c>
      <c r="L72" s="11">
        <v>134</v>
      </c>
      <c r="M72" s="11">
        <v>143</v>
      </c>
      <c r="N72" s="11">
        <v>90</v>
      </c>
      <c r="O72" s="11">
        <v>153</v>
      </c>
      <c r="P72" s="11" t="s">
        <v>2862</v>
      </c>
      <c r="Q72" s="11">
        <v>135</v>
      </c>
      <c r="R72" s="11">
        <v>151</v>
      </c>
      <c r="S72" s="26">
        <f t="shared" si="45"/>
        <v>1541</v>
      </c>
      <c r="T72" s="11">
        <v>50</v>
      </c>
      <c r="U72" s="11">
        <v>31</v>
      </c>
      <c r="V72" s="11">
        <v>37</v>
      </c>
      <c r="W72" s="11">
        <v>27</v>
      </c>
      <c r="X72" s="11">
        <v>18</v>
      </c>
      <c r="Y72" s="11">
        <v>32</v>
      </c>
      <c r="Z72" s="11">
        <v>38</v>
      </c>
      <c r="AA72" s="11">
        <v>33</v>
      </c>
      <c r="AB72" s="11">
        <v>11</v>
      </c>
      <c r="AC72" s="11">
        <v>41</v>
      </c>
      <c r="AD72" s="11">
        <v>41</v>
      </c>
      <c r="AE72" s="11">
        <v>51</v>
      </c>
      <c r="AF72" s="26">
        <f t="shared" si="46"/>
        <v>410</v>
      </c>
      <c r="AG72" s="11">
        <v>107</v>
      </c>
      <c r="AH72" s="11">
        <v>105</v>
      </c>
      <c r="AI72" s="11">
        <v>94</v>
      </c>
      <c r="AJ72" s="11">
        <v>80</v>
      </c>
      <c r="AK72" s="11">
        <v>71</v>
      </c>
      <c r="AL72" s="11">
        <v>73</v>
      </c>
      <c r="AM72" s="11">
        <v>95</v>
      </c>
      <c r="AN72" s="11">
        <v>106</v>
      </c>
      <c r="AO72" s="11">
        <v>71</v>
      </c>
      <c r="AP72" s="11">
        <v>106</v>
      </c>
      <c r="AQ72" s="11">
        <v>91</v>
      </c>
      <c r="AR72" s="11">
        <v>98</v>
      </c>
      <c r="AS72" s="26">
        <f t="shared" si="47"/>
        <v>1097</v>
      </c>
      <c r="AT72" s="11">
        <v>0</v>
      </c>
      <c r="AU72" s="11">
        <v>0</v>
      </c>
      <c r="AV72" s="11">
        <v>0</v>
      </c>
      <c r="AW72" s="11">
        <v>0</v>
      </c>
      <c r="AX72" s="11">
        <v>0</v>
      </c>
      <c r="AY72" s="11">
        <v>0</v>
      </c>
      <c r="AZ72" s="11">
        <v>0</v>
      </c>
      <c r="BA72" s="11">
        <v>0</v>
      </c>
      <c r="BB72" s="11">
        <v>0</v>
      </c>
      <c r="BC72" s="11">
        <v>0</v>
      </c>
      <c r="BD72" s="11">
        <v>0</v>
      </c>
      <c r="BE72" s="11">
        <v>0</v>
      </c>
      <c r="BF72" s="26">
        <f t="shared" si="48"/>
        <v>0</v>
      </c>
      <c r="BG72" s="11">
        <v>3</v>
      </c>
      <c r="BH72" s="11">
        <v>1</v>
      </c>
      <c r="BI72" s="11">
        <v>2</v>
      </c>
      <c r="BJ72" s="11">
        <v>1</v>
      </c>
      <c r="BK72" s="11">
        <v>1</v>
      </c>
      <c r="BL72" s="11">
        <v>2</v>
      </c>
      <c r="BM72" s="11">
        <v>1</v>
      </c>
      <c r="BN72" s="11">
        <v>4</v>
      </c>
      <c r="BO72" s="11">
        <v>8</v>
      </c>
      <c r="BP72" s="11">
        <v>6</v>
      </c>
      <c r="BQ72" s="11">
        <v>3</v>
      </c>
      <c r="BR72" s="11">
        <v>2</v>
      </c>
      <c r="BS72" s="26">
        <f t="shared" si="49"/>
        <v>34</v>
      </c>
      <c r="BT72" s="11">
        <v>0</v>
      </c>
      <c r="BU72" s="11">
        <v>0</v>
      </c>
      <c r="BV72" s="11">
        <v>0</v>
      </c>
      <c r="BW72" s="11">
        <v>0</v>
      </c>
      <c r="BX72" s="11">
        <v>0</v>
      </c>
      <c r="BY72" s="11">
        <v>0</v>
      </c>
      <c r="BZ72" s="11">
        <v>0</v>
      </c>
      <c r="CA72" s="11">
        <v>0</v>
      </c>
      <c r="CB72" s="11">
        <v>0</v>
      </c>
      <c r="CC72" s="11">
        <v>0</v>
      </c>
      <c r="CD72" s="11">
        <v>0</v>
      </c>
      <c r="CE72" s="11">
        <v>0</v>
      </c>
      <c r="CF72" s="26">
        <f t="shared" si="50"/>
        <v>0</v>
      </c>
      <c r="CG72" s="11">
        <v>0</v>
      </c>
      <c r="CH72" s="11">
        <v>0</v>
      </c>
      <c r="CI72" s="11">
        <v>0</v>
      </c>
      <c r="CJ72" s="11">
        <v>0</v>
      </c>
      <c r="CK72" s="11">
        <v>0</v>
      </c>
      <c r="CL72" s="11">
        <v>0</v>
      </c>
      <c r="CM72" s="11">
        <v>0</v>
      </c>
      <c r="CN72" s="11">
        <v>0</v>
      </c>
      <c r="CO72" s="11">
        <v>0</v>
      </c>
      <c r="CP72" s="11">
        <v>0</v>
      </c>
      <c r="CQ72" s="11">
        <v>0</v>
      </c>
      <c r="CR72" s="11">
        <v>0</v>
      </c>
      <c r="CS72" s="26">
        <f t="shared" si="51"/>
        <v>0</v>
      </c>
      <c r="CT72" s="11">
        <v>0</v>
      </c>
      <c r="CU72" s="11">
        <v>0</v>
      </c>
      <c r="CV72" s="11">
        <v>0</v>
      </c>
      <c r="CW72" s="11">
        <v>0</v>
      </c>
      <c r="CX72" s="11">
        <v>0</v>
      </c>
      <c r="CY72" s="11">
        <v>0</v>
      </c>
      <c r="CZ72" s="11">
        <v>0</v>
      </c>
      <c r="DA72" s="11">
        <v>0</v>
      </c>
      <c r="DB72" s="11">
        <v>0</v>
      </c>
      <c r="DC72" s="11">
        <v>0</v>
      </c>
      <c r="DD72" s="11">
        <v>0</v>
      </c>
      <c r="DE72" s="11">
        <v>0</v>
      </c>
      <c r="DF72" s="26">
        <f t="shared" si="52"/>
        <v>0</v>
      </c>
      <c r="DG72" s="11">
        <v>0</v>
      </c>
      <c r="DH72" s="11">
        <v>0</v>
      </c>
      <c r="DI72" s="11">
        <v>0</v>
      </c>
      <c r="DJ72" s="11">
        <v>0</v>
      </c>
      <c r="DK72" s="11">
        <v>0</v>
      </c>
      <c r="DL72" s="11">
        <v>0</v>
      </c>
      <c r="DM72" s="11">
        <v>0</v>
      </c>
      <c r="DN72" s="11">
        <v>0</v>
      </c>
      <c r="DO72" s="11">
        <v>0</v>
      </c>
      <c r="DP72" s="11">
        <v>0</v>
      </c>
      <c r="DQ72" s="11">
        <v>0</v>
      </c>
      <c r="DR72" s="11">
        <v>0</v>
      </c>
      <c r="DS72" s="26">
        <f t="shared" si="53"/>
        <v>0</v>
      </c>
      <c r="DT72" s="11">
        <v>0</v>
      </c>
      <c r="DU72" s="11">
        <v>0</v>
      </c>
      <c r="DV72" s="11">
        <v>0</v>
      </c>
      <c r="DW72" s="11">
        <v>0</v>
      </c>
      <c r="DX72" s="11">
        <v>0</v>
      </c>
      <c r="DY72" s="11">
        <v>0</v>
      </c>
      <c r="DZ72" s="11">
        <v>0</v>
      </c>
      <c r="EA72" s="11">
        <v>0</v>
      </c>
      <c r="EB72" s="11">
        <v>0</v>
      </c>
      <c r="EC72" s="11">
        <v>0</v>
      </c>
      <c r="ED72" s="11">
        <v>0</v>
      </c>
      <c r="EE72" s="11">
        <v>0</v>
      </c>
      <c r="EF72" s="26">
        <f t="shared" si="54"/>
        <v>0</v>
      </c>
      <c r="EG72" s="9">
        <f t="shared" si="55"/>
        <v>1541</v>
      </c>
      <c r="EH72" s="9">
        <f t="shared" si="56"/>
        <v>0</v>
      </c>
      <c r="EI72" s="11">
        <v>160</v>
      </c>
      <c r="EJ72" s="11">
        <v>137</v>
      </c>
      <c r="EK72" s="11">
        <v>133</v>
      </c>
      <c r="EL72" s="11">
        <v>108</v>
      </c>
      <c r="EM72" s="11">
        <v>90</v>
      </c>
      <c r="EN72" s="11">
        <v>107</v>
      </c>
      <c r="EO72" s="11">
        <v>134</v>
      </c>
      <c r="EP72" s="11">
        <v>143</v>
      </c>
      <c r="EQ72" s="11">
        <v>90</v>
      </c>
      <c r="ER72" s="11">
        <v>153</v>
      </c>
      <c r="ES72" s="11">
        <v>135</v>
      </c>
      <c r="ET72" s="11">
        <v>151</v>
      </c>
      <c r="EU72" s="26">
        <f t="shared" si="57"/>
        <v>1541</v>
      </c>
      <c r="EV72" s="11">
        <v>50</v>
      </c>
      <c r="EW72" s="11">
        <v>31</v>
      </c>
      <c r="EX72" s="11">
        <v>37</v>
      </c>
      <c r="EY72" s="11">
        <v>27</v>
      </c>
      <c r="EZ72" s="11">
        <v>18</v>
      </c>
      <c r="FA72" s="11">
        <v>32</v>
      </c>
      <c r="FB72" s="11">
        <v>38</v>
      </c>
      <c r="FC72" s="11">
        <v>33</v>
      </c>
      <c r="FD72" s="11">
        <v>11</v>
      </c>
      <c r="FE72" s="11">
        <v>41</v>
      </c>
      <c r="FF72" s="11">
        <v>41</v>
      </c>
      <c r="FG72" s="11">
        <v>51</v>
      </c>
      <c r="FH72" s="26">
        <f t="shared" si="58"/>
        <v>410</v>
      </c>
      <c r="FI72" s="11">
        <v>107</v>
      </c>
      <c r="FJ72" s="11">
        <v>105</v>
      </c>
      <c r="FK72" s="11">
        <v>94</v>
      </c>
      <c r="FL72" s="11">
        <v>80</v>
      </c>
      <c r="FM72" s="11">
        <v>71</v>
      </c>
      <c r="FN72" s="11">
        <v>73</v>
      </c>
      <c r="FO72" s="11">
        <v>95</v>
      </c>
      <c r="FP72" s="11">
        <v>106</v>
      </c>
      <c r="FQ72" s="11">
        <v>71</v>
      </c>
      <c r="FR72" s="11">
        <v>106</v>
      </c>
      <c r="FS72" s="11">
        <v>91</v>
      </c>
      <c r="FT72" s="11">
        <v>98</v>
      </c>
      <c r="FU72" s="26">
        <f t="shared" si="59"/>
        <v>1097</v>
      </c>
      <c r="FV72" s="11">
        <v>0</v>
      </c>
      <c r="FW72" s="11">
        <v>0</v>
      </c>
      <c r="FX72" s="11">
        <v>0</v>
      </c>
      <c r="FY72" s="11">
        <v>0</v>
      </c>
      <c r="FZ72" s="11">
        <v>0</v>
      </c>
      <c r="GA72" s="11">
        <v>0</v>
      </c>
      <c r="GB72" s="11">
        <v>0</v>
      </c>
      <c r="GC72" s="11">
        <v>0</v>
      </c>
      <c r="GD72" s="11">
        <v>0</v>
      </c>
      <c r="GE72" s="11">
        <v>0</v>
      </c>
      <c r="GF72" s="11">
        <v>0</v>
      </c>
      <c r="GG72" s="11">
        <v>0</v>
      </c>
      <c r="GH72" s="26">
        <f t="shared" si="60"/>
        <v>0</v>
      </c>
      <c r="GI72" s="11">
        <v>0</v>
      </c>
      <c r="GJ72" s="11">
        <v>0</v>
      </c>
      <c r="GK72" s="11">
        <v>0</v>
      </c>
      <c r="GL72" s="11">
        <v>0</v>
      </c>
      <c r="GM72" s="11">
        <v>0</v>
      </c>
      <c r="GN72" s="11">
        <v>0</v>
      </c>
      <c r="GO72" s="11">
        <v>0</v>
      </c>
      <c r="GP72" s="11">
        <v>0</v>
      </c>
      <c r="GQ72" s="11">
        <v>0</v>
      </c>
      <c r="GR72" s="11">
        <v>0</v>
      </c>
      <c r="GS72" s="11">
        <v>0</v>
      </c>
      <c r="GT72" s="11">
        <v>0</v>
      </c>
      <c r="GU72" s="26">
        <f t="shared" si="61"/>
        <v>0</v>
      </c>
      <c r="GV72" s="11">
        <v>0</v>
      </c>
      <c r="GW72" s="11">
        <v>0</v>
      </c>
      <c r="GX72" s="11">
        <v>0</v>
      </c>
      <c r="GY72" s="11">
        <v>0</v>
      </c>
      <c r="GZ72" s="11">
        <v>0</v>
      </c>
      <c r="HA72" s="11">
        <v>0</v>
      </c>
      <c r="HB72" s="11">
        <v>0</v>
      </c>
      <c r="HC72" s="11">
        <v>0</v>
      </c>
      <c r="HD72" s="11">
        <v>0</v>
      </c>
      <c r="HE72" s="11">
        <v>0</v>
      </c>
      <c r="HF72" s="11">
        <v>0</v>
      </c>
      <c r="HG72" s="11">
        <v>0</v>
      </c>
      <c r="HH72" s="26">
        <f t="shared" si="62"/>
        <v>0</v>
      </c>
      <c r="HI72" s="11">
        <v>0</v>
      </c>
      <c r="HJ72" s="11">
        <v>0</v>
      </c>
      <c r="HK72" s="11">
        <v>0</v>
      </c>
      <c r="HL72" s="11">
        <v>0</v>
      </c>
      <c r="HM72" s="11">
        <v>0</v>
      </c>
      <c r="HN72" s="11">
        <v>0</v>
      </c>
      <c r="HO72" s="11">
        <v>0</v>
      </c>
      <c r="HP72" s="11">
        <v>0</v>
      </c>
      <c r="HQ72" s="11">
        <v>0</v>
      </c>
      <c r="HR72" s="11">
        <v>0</v>
      </c>
      <c r="HS72" s="11">
        <v>0</v>
      </c>
      <c r="HT72" s="11">
        <v>0</v>
      </c>
      <c r="HU72" s="26">
        <f t="shared" si="63"/>
        <v>0</v>
      </c>
      <c r="HV72" s="11">
        <v>0</v>
      </c>
      <c r="HW72" s="11">
        <v>0</v>
      </c>
      <c r="HX72" s="11">
        <v>0</v>
      </c>
      <c r="HY72" s="11">
        <v>0</v>
      </c>
      <c r="HZ72" s="11">
        <v>0</v>
      </c>
      <c r="IA72" s="11">
        <v>0</v>
      </c>
      <c r="IB72" s="11">
        <v>0</v>
      </c>
      <c r="IC72" s="11">
        <v>0</v>
      </c>
      <c r="ID72" s="11">
        <v>0</v>
      </c>
      <c r="IE72" s="11">
        <v>0</v>
      </c>
      <c r="IF72" s="11">
        <v>0</v>
      </c>
      <c r="IG72" s="11">
        <v>0</v>
      </c>
      <c r="IH72" s="26">
        <f t="shared" si="64"/>
        <v>0</v>
      </c>
      <c r="II72" s="9">
        <f t="shared" si="65"/>
        <v>1507</v>
      </c>
      <c r="IJ72" s="9">
        <f t="shared" si="66"/>
        <v>0</v>
      </c>
      <c r="IK72" s="11">
        <v>20046</v>
      </c>
      <c r="IL72" s="11">
        <v>19207</v>
      </c>
      <c r="IM72" s="11">
        <v>18262</v>
      </c>
      <c r="IN72" s="11">
        <v>21793</v>
      </c>
      <c r="IO72" s="11">
        <v>24727</v>
      </c>
      <c r="IP72" s="11">
        <v>21384</v>
      </c>
      <c r="IQ72" s="11">
        <v>20214</v>
      </c>
      <c r="IR72" s="11">
        <v>17841</v>
      </c>
      <c r="IS72" s="11">
        <v>15238</v>
      </c>
      <c r="IT72" s="11">
        <v>16414</v>
      </c>
      <c r="IU72" s="11">
        <v>16814</v>
      </c>
      <c r="IV72" s="11">
        <v>17214</v>
      </c>
      <c r="IW72" s="27">
        <f t="shared" si="67"/>
        <v>229154</v>
      </c>
      <c r="IX72" s="11">
        <v>9718</v>
      </c>
      <c r="IY72" s="11">
        <v>9547</v>
      </c>
      <c r="IZ72" s="11">
        <v>9162</v>
      </c>
      <c r="JA72" s="11">
        <v>9862</v>
      </c>
      <c r="JB72" s="11">
        <v>10555</v>
      </c>
      <c r="JC72" s="11">
        <v>9740</v>
      </c>
      <c r="JD72" s="11">
        <v>9486</v>
      </c>
      <c r="JE72" s="11">
        <v>8961</v>
      </c>
      <c r="JF72" s="11">
        <v>7358</v>
      </c>
      <c r="JG72" s="11">
        <v>8454</v>
      </c>
      <c r="JH72" s="11">
        <v>8439</v>
      </c>
      <c r="JI72" s="11">
        <v>8425</v>
      </c>
      <c r="JJ72" s="27">
        <f t="shared" si="68"/>
        <v>109707</v>
      </c>
      <c r="JK72" s="11">
        <v>9987</v>
      </c>
      <c r="JL72" s="11">
        <v>9352</v>
      </c>
      <c r="JM72" s="11">
        <v>8768</v>
      </c>
      <c r="JN72" s="11">
        <v>11511</v>
      </c>
      <c r="JO72" s="11">
        <v>13663</v>
      </c>
      <c r="JP72" s="11">
        <v>11284</v>
      </c>
      <c r="JQ72" s="11">
        <v>10322</v>
      </c>
      <c r="JR72" s="11">
        <v>8542</v>
      </c>
      <c r="JS72" s="11">
        <v>7624</v>
      </c>
      <c r="JT72" s="11">
        <v>7679</v>
      </c>
      <c r="JU72" s="11">
        <v>8115</v>
      </c>
      <c r="JV72" s="11">
        <v>8552</v>
      </c>
      <c r="JW72" s="27">
        <f t="shared" si="69"/>
        <v>115399</v>
      </c>
      <c r="JX72" s="11">
        <v>341</v>
      </c>
      <c r="JY72" s="11">
        <v>308</v>
      </c>
      <c r="JZ72" s="11">
        <v>332</v>
      </c>
      <c r="KA72" s="11">
        <v>420</v>
      </c>
      <c r="KB72" s="11">
        <v>509</v>
      </c>
      <c r="KC72" s="11">
        <v>360</v>
      </c>
      <c r="KD72" s="11">
        <v>406</v>
      </c>
      <c r="KE72" s="11">
        <v>338</v>
      </c>
      <c r="KF72" s="11">
        <v>256</v>
      </c>
      <c r="KG72" s="11">
        <v>281</v>
      </c>
      <c r="KH72" s="11">
        <v>260</v>
      </c>
      <c r="KI72" s="11">
        <v>237</v>
      </c>
      <c r="KJ72" s="27">
        <f t="shared" si="70"/>
        <v>4048</v>
      </c>
      <c r="KK72" s="11">
        <v>334</v>
      </c>
      <c r="KL72" s="11">
        <v>314</v>
      </c>
      <c r="KM72" s="11">
        <v>269</v>
      </c>
      <c r="KN72" s="11">
        <v>285</v>
      </c>
      <c r="KO72" s="11">
        <v>299</v>
      </c>
      <c r="KP72" s="11">
        <v>295</v>
      </c>
      <c r="KQ72" s="11">
        <v>331</v>
      </c>
      <c r="KR72" s="11">
        <v>327</v>
      </c>
      <c r="KS72" s="11">
        <v>276</v>
      </c>
      <c r="KT72" s="11">
        <v>310</v>
      </c>
      <c r="KU72" s="11">
        <v>125</v>
      </c>
      <c r="KV72" s="11">
        <v>305</v>
      </c>
      <c r="KW72" s="27">
        <f t="shared" si="71"/>
        <v>3470</v>
      </c>
      <c r="KX72" s="11">
        <v>308</v>
      </c>
      <c r="KY72" s="11">
        <v>301</v>
      </c>
      <c r="KZ72" s="11">
        <v>243</v>
      </c>
      <c r="LA72" s="11">
        <v>269</v>
      </c>
      <c r="LB72" s="11">
        <v>272</v>
      </c>
      <c r="LC72" s="11">
        <v>282</v>
      </c>
      <c r="LD72" s="11">
        <v>305</v>
      </c>
      <c r="LE72" s="11">
        <v>317</v>
      </c>
      <c r="LF72" s="11">
        <v>260</v>
      </c>
      <c r="LG72" s="11">
        <v>294</v>
      </c>
      <c r="LH72" s="11">
        <v>120</v>
      </c>
      <c r="LI72" s="11">
        <v>281</v>
      </c>
      <c r="LJ72" s="27">
        <f t="shared" si="72"/>
        <v>3252</v>
      </c>
      <c r="LK72" s="11">
        <v>26</v>
      </c>
      <c r="LL72" s="11">
        <v>13</v>
      </c>
      <c r="LM72" s="11">
        <v>26</v>
      </c>
      <c r="LN72" s="11">
        <v>16</v>
      </c>
      <c r="LO72" s="11">
        <v>27</v>
      </c>
      <c r="LP72" s="11">
        <v>13</v>
      </c>
      <c r="LQ72" s="11">
        <v>26</v>
      </c>
      <c r="LR72" s="11">
        <v>10</v>
      </c>
      <c r="LS72" s="11">
        <v>16</v>
      </c>
      <c r="LT72" s="11">
        <v>16</v>
      </c>
      <c r="LU72" s="11">
        <v>5</v>
      </c>
      <c r="LV72" s="11">
        <v>24</v>
      </c>
      <c r="LW72" s="27">
        <f t="shared" si="73"/>
        <v>218</v>
      </c>
      <c r="LX72" s="11">
        <v>0</v>
      </c>
      <c r="LY72" s="11">
        <v>0</v>
      </c>
      <c r="LZ72" s="11">
        <v>0</v>
      </c>
      <c r="MA72" s="11">
        <v>0</v>
      </c>
      <c r="MB72" s="11">
        <v>0</v>
      </c>
      <c r="MC72" s="11">
        <v>0</v>
      </c>
      <c r="MD72" s="11">
        <v>0</v>
      </c>
      <c r="ME72" s="11">
        <v>0</v>
      </c>
      <c r="MF72" s="11">
        <v>0</v>
      </c>
      <c r="MG72" s="11">
        <v>0</v>
      </c>
      <c r="MH72" s="11">
        <v>0</v>
      </c>
      <c r="MI72" s="11">
        <v>0</v>
      </c>
      <c r="MJ72" s="27">
        <f t="shared" si="74"/>
        <v>0</v>
      </c>
      <c r="MK72" s="11">
        <v>1340</v>
      </c>
      <c r="ML72" s="11">
        <v>1342</v>
      </c>
      <c r="MM72" s="11">
        <v>1361</v>
      </c>
      <c r="MN72" s="11">
        <v>1489</v>
      </c>
      <c r="MO72" s="11">
        <v>1438</v>
      </c>
      <c r="MP72" s="11">
        <v>1274</v>
      </c>
      <c r="MQ72" s="11">
        <v>1372</v>
      </c>
      <c r="MR72" s="11">
        <v>1293</v>
      </c>
      <c r="MS72" s="11">
        <v>1269</v>
      </c>
      <c r="MT72" s="11">
        <v>1352</v>
      </c>
      <c r="MU72" s="11">
        <v>1261</v>
      </c>
      <c r="MV72" s="11">
        <v>1223</v>
      </c>
      <c r="MW72" s="27">
        <f t="shared" si="75"/>
        <v>16014</v>
      </c>
      <c r="MX72" s="11">
        <v>1167</v>
      </c>
      <c r="MY72" s="11">
        <v>1189</v>
      </c>
      <c r="MZ72" s="11">
        <v>1206</v>
      </c>
      <c r="NA72" s="11">
        <v>1289</v>
      </c>
      <c r="NB72" s="11">
        <v>1233</v>
      </c>
      <c r="NC72" s="11">
        <v>1102</v>
      </c>
      <c r="ND72" s="11">
        <v>1173</v>
      </c>
      <c r="NE72" s="11">
        <v>1108</v>
      </c>
      <c r="NF72" s="11">
        <v>1088</v>
      </c>
      <c r="NG72" s="11">
        <v>1195</v>
      </c>
      <c r="NH72" s="11">
        <v>1121</v>
      </c>
      <c r="NI72" s="11">
        <v>1088</v>
      </c>
      <c r="NJ72" s="27">
        <f t="shared" si="76"/>
        <v>13959</v>
      </c>
      <c r="NK72" s="11">
        <v>137</v>
      </c>
      <c r="NL72" s="11">
        <v>111</v>
      </c>
      <c r="NM72" s="11">
        <v>117</v>
      </c>
      <c r="NN72" s="11">
        <v>158</v>
      </c>
      <c r="NO72" s="11">
        <v>160</v>
      </c>
      <c r="NP72" s="11">
        <v>144</v>
      </c>
      <c r="NQ72" s="11">
        <v>169</v>
      </c>
      <c r="NR72" s="11">
        <v>153</v>
      </c>
      <c r="NS72" s="11">
        <v>149</v>
      </c>
      <c r="NT72" s="11">
        <v>121</v>
      </c>
      <c r="NU72" s="11">
        <v>108</v>
      </c>
      <c r="NV72" s="11">
        <v>109</v>
      </c>
      <c r="NW72" s="27">
        <f t="shared" si="77"/>
        <v>1636</v>
      </c>
      <c r="NX72" s="11">
        <v>36</v>
      </c>
      <c r="NY72" s="11">
        <v>42</v>
      </c>
      <c r="NZ72" s="11">
        <v>38</v>
      </c>
      <c r="OA72" s="11">
        <v>42</v>
      </c>
      <c r="OB72" s="11">
        <v>45</v>
      </c>
      <c r="OC72" s="11">
        <v>28</v>
      </c>
      <c r="OD72" s="11">
        <v>30</v>
      </c>
      <c r="OE72" s="11">
        <v>32</v>
      </c>
      <c r="OF72" s="11">
        <v>32</v>
      </c>
      <c r="OG72" s="11">
        <v>36</v>
      </c>
      <c r="OH72" s="11">
        <v>32</v>
      </c>
      <c r="OI72" s="11">
        <v>26</v>
      </c>
      <c r="OJ72" s="27">
        <f t="shared" si="78"/>
        <v>419</v>
      </c>
      <c r="OK72" s="11">
        <v>1680</v>
      </c>
      <c r="OL72" s="11">
        <v>1759</v>
      </c>
      <c r="OM72" s="11">
        <v>1650</v>
      </c>
      <c r="ON72" s="11">
        <v>1814</v>
      </c>
      <c r="OO72" s="11">
        <v>1913</v>
      </c>
      <c r="OP72" s="11">
        <v>1678</v>
      </c>
      <c r="OQ72" s="11">
        <v>1771</v>
      </c>
      <c r="OR72" s="11">
        <v>1724</v>
      </c>
      <c r="OS72" s="11">
        <v>1633</v>
      </c>
      <c r="OT72" s="11">
        <v>1800</v>
      </c>
      <c r="OU72" s="11">
        <v>1791</v>
      </c>
      <c r="OV72" s="11">
        <v>1845</v>
      </c>
      <c r="OW72" s="27">
        <f t="shared" si="79"/>
        <v>21058</v>
      </c>
      <c r="OX72" s="11">
        <v>1420</v>
      </c>
      <c r="OY72" s="11">
        <v>1479</v>
      </c>
      <c r="OZ72" s="11">
        <v>1391</v>
      </c>
      <c r="PA72" s="11">
        <v>1529</v>
      </c>
      <c r="PB72" s="11">
        <v>1541</v>
      </c>
      <c r="PC72" s="11">
        <v>1403</v>
      </c>
      <c r="PD72" s="11">
        <v>1450</v>
      </c>
      <c r="PE72" s="11">
        <v>1393</v>
      </c>
      <c r="PF72" s="11">
        <v>1364</v>
      </c>
      <c r="PG72" s="11">
        <v>1526</v>
      </c>
      <c r="PH72" s="11">
        <v>1502</v>
      </c>
      <c r="PI72" s="11">
        <v>1576</v>
      </c>
      <c r="PJ72" s="27">
        <f t="shared" si="80"/>
        <v>17574</v>
      </c>
      <c r="PK72" s="11">
        <v>207</v>
      </c>
      <c r="PL72" s="11">
        <v>222</v>
      </c>
      <c r="PM72" s="11">
        <v>189</v>
      </c>
      <c r="PN72" s="11">
        <v>225</v>
      </c>
      <c r="PO72" s="11">
        <v>319</v>
      </c>
      <c r="PP72" s="11">
        <v>224</v>
      </c>
      <c r="PQ72" s="11">
        <v>280</v>
      </c>
      <c r="PR72" s="11">
        <v>284</v>
      </c>
      <c r="PS72" s="11">
        <v>227</v>
      </c>
      <c r="PT72" s="11">
        <v>215</v>
      </c>
      <c r="PU72" s="11">
        <v>222</v>
      </c>
      <c r="PV72" s="11">
        <v>192</v>
      </c>
      <c r="PW72" s="27">
        <f t="shared" si="81"/>
        <v>2806</v>
      </c>
      <c r="PX72" s="11">
        <v>53</v>
      </c>
      <c r="PY72" s="11">
        <v>58</v>
      </c>
      <c r="PZ72" s="11">
        <v>70</v>
      </c>
      <c r="QA72" s="11">
        <v>60</v>
      </c>
      <c r="QB72" s="11">
        <v>53</v>
      </c>
      <c r="QC72" s="11">
        <v>51</v>
      </c>
      <c r="QD72" s="11">
        <v>41</v>
      </c>
      <c r="QE72" s="11">
        <v>47</v>
      </c>
      <c r="QF72" s="11">
        <v>42</v>
      </c>
      <c r="QG72" s="11">
        <v>59</v>
      </c>
      <c r="QH72" s="11">
        <v>67</v>
      </c>
      <c r="QI72" s="11">
        <v>77</v>
      </c>
      <c r="QJ72" s="27">
        <f t="shared" si="82"/>
        <v>678</v>
      </c>
      <c r="QK72" s="11">
        <v>12339</v>
      </c>
      <c r="QL72" s="11">
        <v>12506</v>
      </c>
      <c r="QM72" s="11">
        <v>12845</v>
      </c>
      <c r="QN72" s="11">
        <v>13353</v>
      </c>
      <c r="QO72" s="11">
        <v>12349</v>
      </c>
      <c r="QP72" s="11">
        <v>12337</v>
      </c>
      <c r="QQ72" s="11">
        <v>14255</v>
      </c>
      <c r="QR72" s="11">
        <v>12604</v>
      </c>
      <c r="QS72" s="11">
        <v>9695</v>
      </c>
      <c r="QT72" s="11">
        <v>11915</v>
      </c>
      <c r="QU72" s="11">
        <v>12711</v>
      </c>
      <c r="QV72" s="11">
        <v>0</v>
      </c>
      <c r="QW72" s="27">
        <f t="shared" si="83"/>
        <v>136909</v>
      </c>
      <c r="QX72" s="11">
        <v>3168</v>
      </c>
      <c r="QY72" s="11">
        <v>3311</v>
      </c>
      <c r="QZ72" s="11">
        <v>1999</v>
      </c>
      <c r="RA72" s="11">
        <v>2364</v>
      </c>
      <c r="RB72" s="11">
        <v>2325</v>
      </c>
      <c r="RC72" s="11">
        <v>2250</v>
      </c>
      <c r="RD72" s="11">
        <v>2419</v>
      </c>
      <c r="RE72" s="11">
        <v>2307</v>
      </c>
      <c r="RF72" s="11">
        <v>1634</v>
      </c>
      <c r="RG72" s="11">
        <v>2240</v>
      </c>
      <c r="RH72" s="11">
        <v>2235</v>
      </c>
      <c r="RI72" s="11">
        <v>0</v>
      </c>
      <c r="RJ72" s="27">
        <f t="shared" si="84"/>
        <v>26252</v>
      </c>
      <c r="RK72" s="11">
        <v>0</v>
      </c>
      <c r="RL72" s="11">
        <v>0</v>
      </c>
      <c r="RM72" s="11">
        <v>0</v>
      </c>
      <c r="RN72" s="11">
        <v>0</v>
      </c>
      <c r="RO72" s="11">
        <v>0</v>
      </c>
      <c r="RP72" s="11">
        <v>0</v>
      </c>
      <c r="RQ72" s="11">
        <v>0</v>
      </c>
      <c r="RR72" s="11">
        <v>0</v>
      </c>
      <c r="RS72" s="11">
        <v>0</v>
      </c>
      <c r="RT72" s="11">
        <v>0</v>
      </c>
      <c r="RU72" s="11">
        <v>0</v>
      </c>
      <c r="RV72" s="11">
        <v>0</v>
      </c>
      <c r="RW72" s="27">
        <f t="shared" si="85"/>
        <v>0</v>
      </c>
      <c r="RX72" s="11">
        <v>333</v>
      </c>
      <c r="RY72" s="11">
        <v>292</v>
      </c>
      <c r="RZ72" s="11">
        <v>289</v>
      </c>
      <c r="SA72" s="11">
        <v>267</v>
      </c>
      <c r="SB72" s="11">
        <v>145</v>
      </c>
      <c r="SC72" s="11">
        <v>305</v>
      </c>
      <c r="SD72" s="11">
        <v>387</v>
      </c>
      <c r="SE72" s="11">
        <v>293</v>
      </c>
      <c r="SF72" s="11">
        <v>177</v>
      </c>
      <c r="SG72" s="11">
        <v>0</v>
      </c>
      <c r="SH72" s="11">
        <v>0</v>
      </c>
      <c r="SI72" s="11">
        <v>321</v>
      </c>
      <c r="SJ72" s="27">
        <f t="shared" si="86"/>
        <v>2809</v>
      </c>
      <c r="SK72" s="11">
        <v>0</v>
      </c>
      <c r="SL72" s="11">
        <v>0</v>
      </c>
      <c r="SM72" s="11">
        <v>0</v>
      </c>
      <c r="SN72" s="11">
        <v>0</v>
      </c>
      <c r="SO72" s="11">
        <v>0</v>
      </c>
      <c r="SP72" s="11">
        <v>0</v>
      </c>
      <c r="SQ72" s="11">
        <v>0</v>
      </c>
      <c r="SR72" s="11">
        <v>0</v>
      </c>
      <c r="SS72" s="11">
        <v>0</v>
      </c>
      <c r="ST72" s="11">
        <v>0</v>
      </c>
      <c r="SU72" s="11">
        <v>0</v>
      </c>
      <c r="SV72" s="11">
        <v>0</v>
      </c>
      <c r="SW72" s="27">
        <f t="shared" si="87"/>
        <v>0</v>
      </c>
      <c r="SX72" s="28" t="s">
        <v>2711</v>
      </c>
      <c r="SY72" s="11">
        <v>0</v>
      </c>
      <c r="SZ72" s="11">
        <v>0</v>
      </c>
      <c r="TA72" s="11">
        <v>0</v>
      </c>
      <c r="TB72" s="11">
        <v>0</v>
      </c>
      <c r="TC72" s="11">
        <v>0</v>
      </c>
      <c r="TD72" s="11">
        <v>0</v>
      </c>
      <c r="TE72" s="11">
        <v>0</v>
      </c>
      <c r="TF72" s="11">
        <v>0</v>
      </c>
      <c r="TG72" s="11">
        <v>0</v>
      </c>
      <c r="TH72" s="11">
        <v>0</v>
      </c>
      <c r="TI72" s="11">
        <v>0</v>
      </c>
      <c r="TJ72" s="11">
        <v>0</v>
      </c>
      <c r="TK72" s="27">
        <f t="shared" si="88"/>
        <v>0</v>
      </c>
      <c r="TL72" s="11">
        <v>2430</v>
      </c>
      <c r="TM72" s="11">
        <v>2517</v>
      </c>
      <c r="TN72" s="11">
        <v>2154</v>
      </c>
      <c r="TO72" s="11">
        <v>2024</v>
      </c>
      <c r="TP72" s="11">
        <v>1748</v>
      </c>
      <c r="TQ72" s="11">
        <v>1850</v>
      </c>
      <c r="TR72" s="11">
        <v>2451</v>
      </c>
      <c r="TS72" s="11">
        <v>2512</v>
      </c>
      <c r="TT72" s="11">
        <v>1805</v>
      </c>
      <c r="TU72" s="11">
        <v>2194</v>
      </c>
      <c r="TV72" s="11">
        <v>2240</v>
      </c>
      <c r="TW72" s="11">
        <v>2293</v>
      </c>
      <c r="TX72" s="27">
        <f t="shared" si="89"/>
        <v>26218</v>
      </c>
      <c r="TY72" s="11">
        <v>0</v>
      </c>
      <c r="TZ72" s="11">
        <v>0</v>
      </c>
      <c r="UA72" s="11">
        <v>0</v>
      </c>
    </row>
    <row r="73" spans="1:547" ht="16" customHeight="1" x14ac:dyDescent="0.35">
      <c r="A73" s="11" t="s">
        <v>1429</v>
      </c>
      <c r="B73" s="11">
        <v>17176</v>
      </c>
      <c r="C73" s="11"/>
      <c r="D73" s="11"/>
      <c r="E73" s="11"/>
      <c r="F73" s="11">
        <v>73</v>
      </c>
      <c r="G73" s="11">
        <v>90</v>
      </c>
      <c r="H73" s="11">
        <v>100</v>
      </c>
      <c r="I73" s="11">
        <v>105</v>
      </c>
      <c r="J73" s="11">
        <v>90</v>
      </c>
      <c r="K73" s="11">
        <v>72</v>
      </c>
      <c r="L73" s="11">
        <v>72</v>
      </c>
      <c r="M73" s="11">
        <v>72</v>
      </c>
      <c r="N73" s="11">
        <v>54</v>
      </c>
      <c r="O73" s="11">
        <v>90</v>
      </c>
      <c r="P73" s="11" t="s">
        <v>2862</v>
      </c>
      <c r="Q73" s="11">
        <v>82</v>
      </c>
      <c r="R73" s="11">
        <v>90</v>
      </c>
      <c r="S73" s="26">
        <f t="shared" si="45"/>
        <v>990</v>
      </c>
      <c r="T73" s="11">
        <v>14</v>
      </c>
      <c r="U73" s="11">
        <v>20</v>
      </c>
      <c r="V73" s="11">
        <v>20</v>
      </c>
      <c r="W73" s="11">
        <v>20</v>
      </c>
      <c r="X73" s="11">
        <v>20</v>
      </c>
      <c r="Y73" s="11">
        <v>16</v>
      </c>
      <c r="Z73" s="11">
        <v>16</v>
      </c>
      <c r="AA73" s="11">
        <v>16</v>
      </c>
      <c r="AB73" s="11">
        <v>12</v>
      </c>
      <c r="AC73" s="11">
        <v>20</v>
      </c>
      <c r="AD73" s="11">
        <v>16</v>
      </c>
      <c r="AE73" s="11">
        <v>20</v>
      </c>
      <c r="AF73" s="26">
        <f t="shared" si="46"/>
        <v>210</v>
      </c>
      <c r="AG73" s="11">
        <v>59</v>
      </c>
      <c r="AH73" s="11">
        <v>70</v>
      </c>
      <c r="AI73" s="11">
        <v>80</v>
      </c>
      <c r="AJ73" s="11">
        <v>85</v>
      </c>
      <c r="AK73" s="11">
        <v>70</v>
      </c>
      <c r="AL73" s="11">
        <v>56</v>
      </c>
      <c r="AM73" s="11">
        <v>56</v>
      </c>
      <c r="AN73" s="11">
        <v>56</v>
      </c>
      <c r="AO73" s="11">
        <v>42</v>
      </c>
      <c r="AP73" s="11">
        <v>70</v>
      </c>
      <c r="AQ73" s="11">
        <v>66</v>
      </c>
      <c r="AR73" s="11">
        <v>70</v>
      </c>
      <c r="AS73" s="26">
        <f t="shared" si="47"/>
        <v>780</v>
      </c>
      <c r="AT73" s="11">
        <v>0</v>
      </c>
      <c r="AU73" s="11">
        <v>0</v>
      </c>
      <c r="AV73" s="11">
        <v>0</v>
      </c>
      <c r="AW73" s="11">
        <v>0</v>
      </c>
      <c r="AX73" s="11">
        <v>0</v>
      </c>
      <c r="AY73" s="11">
        <v>0</v>
      </c>
      <c r="AZ73" s="11">
        <v>0</v>
      </c>
      <c r="BA73" s="11">
        <v>0</v>
      </c>
      <c r="BB73" s="11">
        <v>0</v>
      </c>
      <c r="BC73" s="11">
        <v>0</v>
      </c>
      <c r="BD73" s="11">
        <v>0</v>
      </c>
      <c r="BE73" s="11">
        <v>0</v>
      </c>
      <c r="BF73" s="26">
        <f t="shared" si="48"/>
        <v>0</v>
      </c>
      <c r="BG73" s="11">
        <v>0</v>
      </c>
      <c r="BH73" s="11">
        <v>0</v>
      </c>
      <c r="BI73" s="11">
        <v>0</v>
      </c>
      <c r="BJ73" s="11">
        <v>0</v>
      </c>
      <c r="BK73" s="11">
        <v>0</v>
      </c>
      <c r="BL73" s="11">
        <v>0</v>
      </c>
      <c r="BM73" s="11">
        <v>0</v>
      </c>
      <c r="BN73" s="11">
        <v>0</v>
      </c>
      <c r="BO73" s="11">
        <v>0</v>
      </c>
      <c r="BP73" s="11">
        <v>0</v>
      </c>
      <c r="BQ73" s="11">
        <v>0</v>
      </c>
      <c r="BR73" s="11">
        <v>0</v>
      </c>
      <c r="BS73" s="26">
        <f t="shared" si="49"/>
        <v>0</v>
      </c>
      <c r="BT73" s="11">
        <v>0</v>
      </c>
      <c r="BU73" s="11">
        <v>0</v>
      </c>
      <c r="BV73" s="11">
        <v>0</v>
      </c>
      <c r="BW73" s="11">
        <v>0</v>
      </c>
      <c r="BX73" s="11">
        <v>0</v>
      </c>
      <c r="BY73" s="11">
        <v>0</v>
      </c>
      <c r="BZ73" s="11">
        <v>0</v>
      </c>
      <c r="CA73" s="11">
        <v>0</v>
      </c>
      <c r="CB73" s="11">
        <v>0</v>
      </c>
      <c r="CC73" s="11">
        <v>0</v>
      </c>
      <c r="CD73" s="11">
        <v>0</v>
      </c>
      <c r="CE73" s="11">
        <v>0</v>
      </c>
      <c r="CF73" s="26">
        <f t="shared" si="50"/>
        <v>0</v>
      </c>
      <c r="CG73" s="11">
        <v>0</v>
      </c>
      <c r="CH73" s="11">
        <v>0</v>
      </c>
      <c r="CI73" s="11">
        <v>0</v>
      </c>
      <c r="CJ73" s="11">
        <v>0</v>
      </c>
      <c r="CK73" s="11">
        <v>0</v>
      </c>
      <c r="CL73" s="11">
        <v>0</v>
      </c>
      <c r="CM73" s="11">
        <v>0</v>
      </c>
      <c r="CN73" s="11">
        <v>0</v>
      </c>
      <c r="CO73" s="11">
        <v>0</v>
      </c>
      <c r="CP73" s="11">
        <v>0</v>
      </c>
      <c r="CQ73" s="11">
        <v>0</v>
      </c>
      <c r="CR73" s="11">
        <v>0</v>
      </c>
      <c r="CS73" s="26">
        <f t="shared" si="51"/>
        <v>0</v>
      </c>
      <c r="CT73" s="11">
        <v>0</v>
      </c>
      <c r="CU73" s="11">
        <v>0</v>
      </c>
      <c r="CV73" s="11">
        <v>0</v>
      </c>
      <c r="CW73" s="11">
        <v>0</v>
      </c>
      <c r="CX73" s="11">
        <v>0</v>
      </c>
      <c r="CY73" s="11">
        <v>0</v>
      </c>
      <c r="CZ73" s="11">
        <v>0</v>
      </c>
      <c r="DA73" s="11">
        <v>0</v>
      </c>
      <c r="DB73" s="11">
        <v>0</v>
      </c>
      <c r="DC73" s="11">
        <v>0</v>
      </c>
      <c r="DD73" s="11">
        <v>0</v>
      </c>
      <c r="DE73" s="11">
        <v>0</v>
      </c>
      <c r="DF73" s="26">
        <f t="shared" si="52"/>
        <v>0</v>
      </c>
      <c r="DG73" s="11">
        <v>0</v>
      </c>
      <c r="DH73" s="11">
        <v>0</v>
      </c>
      <c r="DI73" s="11">
        <v>0</v>
      </c>
      <c r="DJ73" s="11">
        <v>0</v>
      </c>
      <c r="DK73" s="11">
        <v>0</v>
      </c>
      <c r="DL73" s="11">
        <v>0</v>
      </c>
      <c r="DM73" s="11">
        <v>0</v>
      </c>
      <c r="DN73" s="11">
        <v>0</v>
      </c>
      <c r="DO73" s="11">
        <v>0</v>
      </c>
      <c r="DP73" s="11">
        <v>0</v>
      </c>
      <c r="DQ73" s="11">
        <v>0</v>
      </c>
      <c r="DR73" s="11">
        <v>0</v>
      </c>
      <c r="DS73" s="26">
        <f t="shared" si="53"/>
        <v>0</v>
      </c>
      <c r="DT73" s="11">
        <v>0</v>
      </c>
      <c r="DU73" s="11">
        <v>0</v>
      </c>
      <c r="DV73" s="11">
        <v>0</v>
      </c>
      <c r="DW73" s="11">
        <v>0</v>
      </c>
      <c r="DX73" s="11">
        <v>0</v>
      </c>
      <c r="DY73" s="11">
        <v>0</v>
      </c>
      <c r="DZ73" s="11">
        <v>0</v>
      </c>
      <c r="EA73" s="11">
        <v>0</v>
      </c>
      <c r="EB73" s="11">
        <v>0</v>
      </c>
      <c r="EC73" s="11">
        <v>0</v>
      </c>
      <c r="ED73" s="11">
        <v>0</v>
      </c>
      <c r="EE73" s="11">
        <v>0</v>
      </c>
      <c r="EF73" s="26">
        <f t="shared" si="54"/>
        <v>0</v>
      </c>
      <c r="EG73" s="9">
        <f t="shared" si="55"/>
        <v>990</v>
      </c>
      <c r="EH73" s="9">
        <f t="shared" si="56"/>
        <v>0</v>
      </c>
      <c r="EI73" s="11">
        <v>2866</v>
      </c>
      <c r="EJ73" s="11">
        <v>2913</v>
      </c>
      <c r="EK73" s="11">
        <v>2403</v>
      </c>
      <c r="EL73" s="11">
        <v>2868</v>
      </c>
      <c r="EM73" s="11">
        <v>3233</v>
      </c>
      <c r="EN73" s="11">
        <v>2575</v>
      </c>
      <c r="EO73" s="11">
        <v>3774</v>
      </c>
      <c r="EP73" s="11">
        <v>2546</v>
      </c>
      <c r="EQ73" s="11">
        <v>1831</v>
      </c>
      <c r="ER73" s="11">
        <v>2346</v>
      </c>
      <c r="ES73" s="11">
        <v>2382</v>
      </c>
      <c r="ET73" s="11">
        <v>2919</v>
      </c>
      <c r="EU73" s="26">
        <f t="shared" si="57"/>
        <v>32656</v>
      </c>
      <c r="EV73" s="11">
        <v>1499</v>
      </c>
      <c r="EW73" s="11">
        <v>1366</v>
      </c>
      <c r="EX73" s="11">
        <v>1153</v>
      </c>
      <c r="EY73" s="11">
        <v>1381</v>
      </c>
      <c r="EZ73" s="11">
        <v>1542</v>
      </c>
      <c r="FA73" s="11">
        <v>1268</v>
      </c>
      <c r="FB73" s="11">
        <v>1692</v>
      </c>
      <c r="FC73" s="11">
        <v>1202</v>
      </c>
      <c r="FD73" s="11">
        <v>911</v>
      </c>
      <c r="FE73" s="11">
        <v>1157</v>
      </c>
      <c r="FF73" s="11">
        <v>1147</v>
      </c>
      <c r="FG73" s="11">
        <v>1312</v>
      </c>
      <c r="FH73" s="26">
        <f t="shared" si="58"/>
        <v>15630</v>
      </c>
      <c r="FI73" s="11">
        <v>1367</v>
      </c>
      <c r="FJ73" s="11">
        <v>1547</v>
      </c>
      <c r="FK73" s="11">
        <v>1250</v>
      </c>
      <c r="FL73" s="11">
        <v>1487</v>
      </c>
      <c r="FM73" s="11">
        <v>1691</v>
      </c>
      <c r="FN73" s="11">
        <v>1307</v>
      </c>
      <c r="FO73" s="11">
        <v>2082</v>
      </c>
      <c r="FP73" s="11">
        <v>1344</v>
      </c>
      <c r="FQ73" s="11">
        <v>920</v>
      </c>
      <c r="FR73" s="11">
        <v>1189</v>
      </c>
      <c r="FS73" s="11">
        <v>1235</v>
      </c>
      <c r="FT73" s="11">
        <v>1607</v>
      </c>
      <c r="FU73" s="26">
        <f t="shared" si="59"/>
        <v>17026</v>
      </c>
      <c r="FV73" s="11">
        <v>0</v>
      </c>
      <c r="FW73" s="11">
        <v>0</v>
      </c>
      <c r="FX73" s="11">
        <v>0</v>
      </c>
      <c r="FY73" s="11">
        <v>0</v>
      </c>
      <c r="FZ73" s="11">
        <v>0</v>
      </c>
      <c r="GA73" s="11">
        <v>0</v>
      </c>
      <c r="GB73" s="11">
        <v>0</v>
      </c>
      <c r="GC73" s="11">
        <v>0</v>
      </c>
      <c r="GD73" s="11">
        <v>0</v>
      </c>
      <c r="GE73" s="11">
        <v>0</v>
      </c>
      <c r="GF73" s="11">
        <v>0</v>
      </c>
      <c r="GG73" s="11">
        <v>0</v>
      </c>
      <c r="GH73" s="26">
        <f t="shared" si="60"/>
        <v>0</v>
      </c>
      <c r="GI73" s="11">
        <v>0</v>
      </c>
      <c r="GJ73" s="11">
        <v>0</v>
      </c>
      <c r="GK73" s="11">
        <v>0</v>
      </c>
      <c r="GL73" s="11">
        <v>0</v>
      </c>
      <c r="GM73" s="11">
        <v>0</v>
      </c>
      <c r="GN73" s="11">
        <v>0</v>
      </c>
      <c r="GO73" s="11">
        <v>0</v>
      </c>
      <c r="GP73" s="11">
        <v>0</v>
      </c>
      <c r="GQ73" s="11">
        <v>0</v>
      </c>
      <c r="GR73" s="11">
        <v>0</v>
      </c>
      <c r="GS73" s="11">
        <v>0</v>
      </c>
      <c r="GT73" s="11">
        <v>0</v>
      </c>
      <c r="GU73" s="26">
        <f t="shared" si="61"/>
        <v>0</v>
      </c>
      <c r="GV73" s="11">
        <v>0</v>
      </c>
      <c r="GW73" s="11">
        <v>0</v>
      </c>
      <c r="GX73" s="11">
        <v>0</v>
      </c>
      <c r="GY73" s="11">
        <v>0</v>
      </c>
      <c r="GZ73" s="11">
        <v>0</v>
      </c>
      <c r="HA73" s="11">
        <v>0</v>
      </c>
      <c r="HB73" s="11">
        <v>0</v>
      </c>
      <c r="HC73" s="11">
        <v>0</v>
      </c>
      <c r="HD73" s="11">
        <v>0</v>
      </c>
      <c r="HE73" s="11">
        <v>0</v>
      </c>
      <c r="HF73" s="11">
        <v>0</v>
      </c>
      <c r="HG73" s="11">
        <v>0</v>
      </c>
      <c r="HH73" s="26">
        <f t="shared" si="62"/>
        <v>0</v>
      </c>
      <c r="HI73" s="11">
        <v>0</v>
      </c>
      <c r="HJ73" s="11">
        <v>0</v>
      </c>
      <c r="HK73" s="11">
        <v>0</v>
      </c>
      <c r="HL73" s="11">
        <v>0</v>
      </c>
      <c r="HM73" s="11">
        <v>0</v>
      </c>
      <c r="HN73" s="11">
        <v>0</v>
      </c>
      <c r="HO73" s="11">
        <v>0</v>
      </c>
      <c r="HP73" s="11">
        <v>0</v>
      </c>
      <c r="HQ73" s="11">
        <v>0</v>
      </c>
      <c r="HR73" s="11">
        <v>0</v>
      </c>
      <c r="HS73" s="11">
        <v>0</v>
      </c>
      <c r="HT73" s="11">
        <v>0</v>
      </c>
      <c r="HU73" s="26">
        <f t="shared" si="63"/>
        <v>0</v>
      </c>
      <c r="HV73" s="11">
        <v>0</v>
      </c>
      <c r="HW73" s="11">
        <v>0</v>
      </c>
      <c r="HX73" s="11">
        <v>0</v>
      </c>
      <c r="HY73" s="11">
        <v>0</v>
      </c>
      <c r="HZ73" s="11">
        <v>0</v>
      </c>
      <c r="IA73" s="11">
        <v>0</v>
      </c>
      <c r="IB73" s="11">
        <v>0</v>
      </c>
      <c r="IC73" s="11">
        <v>0</v>
      </c>
      <c r="ID73" s="11">
        <v>0</v>
      </c>
      <c r="IE73" s="11">
        <v>0</v>
      </c>
      <c r="IF73" s="11">
        <v>0</v>
      </c>
      <c r="IG73" s="11">
        <v>0</v>
      </c>
      <c r="IH73" s="26">
        <f t="shared" si="64"/>
        <v>0</v>
      </c>
      <c r="II73" s="9">
        <f t="shared" si="65"/>
        <v>32656</v>
      </c>
      <c r="IJ73" s="9">
        <f t="shared" si="66"/>
        <v>0</v>
      </c>
      <c r="IK73" s="11">
        <v>33287</v>
      </c>
      <c r="IL73" s="11">
        <v>32332</v>
      </c>
      <c r="IM73" s="11">
        <v>28916</v>
      </c>
      <c r="IN73" s="11">
        <v>30981</v>
      </c>
      <c r="IO73" s="11">
        <v>37155</v>
      </c>
      <c r="IP73" s="11">
        <v>30302</v>
      </c>
      <c r="IQ73" s="11">
        <v>34050</v>
      </c>
      <c r="IR73" s="11">
        <v>32285</v>
      </c>
      <c r="IS73" s="11">
        <v>24098</v>
      </c>
      <c r="IT73" s="11">
        <v>33181</v>
      </c>
      <c r="IU73" s="11">
        <v>29722</v>
      </c>
      <c r="IV73" s="11">
        <v>31123</v>
      </c>
      <c r="IW73" s="27">
        <f t="shared" si="67"/>
        <v>377432</v>
      </c>
      <c r="IX73" s="11">
        <v>15935</v>
      </c>
      <c r="IY73" s="11">
        <v>15942</v>
      </c>
      <c r="IZ73" s="11">
        <v>14056</v>
      </c>
      <c r="JA73" s="11">
        <v>13403</v>
      </c>
      <c r="JB73" s="11">
        <v>17017</v>
      </c>
      <c r="JC73" s="11">
        <v>14466</v>
      </c>
      <c r="JD73" s="11">
        <v>16449</v>
      </c>
      <c r="JE73" s="11">
        <v>14907</v>
      </c>
      <c r="JF73" s="11">
        <v>12211</v>
      </c>
      <c r="JG73" s="11">
        <v>16374</v>
      </c>
      <c r="JH73" s="11">
        <v>14211</v>
      </c>
      <c r="JI73" s="11">
        <v>15215</v>
      </c>
      <c r="JJ73" s="27">
        <f t="shared" si="68"/>
        <v>180186</v>
      </c>
      <c r="JK73" s="11">
        <v>16958</v>
      </c>
      <c r="JL73" s="11">
        <v>16036</v>
      </c>
      <c r="JM73" s="11">
        <v>14513</v>
      </c>
      <c r="JN73" s="11">
        <v>17230</v>
      </c>
      <c r="JO73" s="11">
        <v>19618</v>
      </c>
      <c r="JP73" s="11">
        <v>15540</v>
      </c>
      <c r="JQ73" s="11">
        <v>17398</v>
      </c>
      <c r="JR73" s="11">
        <v>17044</v>
      </c>
      <c r="JS73" s="11">
        <v>11631</v>
      </c>
      <c r="JT73" s="11">
        <v>16522</v>
      </c>
      <c r="JU73" s="11">
        <v>15220</v>
      </c>
      <c r="JV73" s="11">
        <v>15595</v>
      </c>
      <c r="JW73" s="27">
        <f t="shared" si="69"/>
        <v>193305</v>
      </c>
      <c r="JX73" s="11">
        <v>394</v>
      </c>
      <c r="JY73" s="11">
        <v>354</v>
      </c>
      <c r="JZ73" s="11">
        <v>347</v>
      </c>
      <c r="KA73" s="11">
        <v>348</v>
      </c>
      <c r="KB73" s="11">
        <v>520</v>
      </c>
      <c r="KC73" s="11">
        <v>296</v>
      </c>
      <c r="KD73" s="11">
        <v>203</v>
      </c>
      <c r="KE73" s="11">
        <v>334</v>
      </c>
      <c r="KF73" s="11">
        <v>256</v>
      </c>
      <c r="KG73" s="11">
        <v>285</v>
      </c>
      <c r="KH73" s="11">
        <v>291</v>
      </c>
      <c r="KI73" s="11">
        <v>313</v>
      </c>
      <c r="KJ73" s="27">
        <f t="shared" si="70"/>
        <v>3941</v>
      </c>
      <c r="KK73" s="11">
        <v>418</v>
      </c>
      <c r="KL73" s="11">
        <v>361</v>
      </c>
      <c r="KM73" s="11">
        <v>277</v>
      </c>
      <c r="KN73" s="11">
        <v>404</v>
      </c>
      <c r="KO73" s="11">
        <v>371</v>
      </c>
      <c r="KP73" s="11">
        <v>296</v>
      </c>
      <c r="KQ73" s="11">
        <v>370</v>
      </c>
      <c r="KR73" s="11">
        <v>404</v>
      </c>
      <c r="KS73" s="11">
        <v>386</v>
      </c>
      <c r="KT73" s="11">
        <v>415</v>
      </c>
      <c r="KU73" s="11">
        <v>337</v>
      </c>
      <c r="KV73" s="11">
        <v>512</v>
      </c>
      <c r="KW73" s="27">
        <f t="shared" si="71"/>
        <v>4551</v>
      </c>
      <c r="KX73" s="11">
        <v>341</v>
      </c>
      <c r="KY73" s="11">
        <v>292</v>
      </c>
      <c r="KZ73" s="11">
        <v>240</v>
      </c>
      <c r="LA73" s="11">
        <v>363</v>
      </c>
      <c r="LB73" s="11">
        <v>317</v>
      </c>
      <c r="LC73" s="11">
        <v>242</v>
      </c>
      <c r="LD73" s="11">
        <v>323</v>
      </c>
      <c r="LE73" s="11">
        <v>359</v>
      </c>
      <c r="LF73" s="11">
        <v>352</v>
      </c>
      <c r="LG73" s="11">
        <v>338</v>
      </c>
      <c r="LH73" s="11">
        <v>281</v>
      </c>
      <c r="LI73" s="11">
        <v>463</v>
      </c>
      <c r="LJ73" s="27">
        <f t="shared" si="72"/>
        <v>3911</v>
      </c>
      <c r="LK73" s="11">
        <v>77</v>
      </c>
      <c r="LL73" s="11">
        <v>69</v>
      </c>
      <c r="LM73" s="11">
        <v>37</v>
      </c>
      <c r="LN73" s="11">
        <v>41</v>
      </c>
      <c r="LO73" s="11">
        <v>54</v>
      </c>
      <c r="LP73" s="11">
        <v>54</v>
      </c>
      <c r="LQ73" s="11">
        <v>47</v>
      </c>
      <c r="LR73" s="11">
        <v>45</v>
      </c>
      <c r="LS73" s="11">
        <v>34</v>
      </c>
      <c r="LT73" s="11">
        <v>77</v>
      </c>
      <c r="LU73" s="11">
        <v>56</v>
      </c>
      <c r="LV73" s="11">
        <v>46</v>
      </c>
      <c r="LW73" s="27">
        <f t="shared" si="73"/>
        <v>637</v>
      </c>
      <c r="LX73" s="11">
        <v>0</v>
      </c>
      <c r="LY73" s="11">
        <v>0</v>
      </c>
      <c r="LZ73" s="11">
        <v>0</v>
      </c>
      <c r="MA73" s="11">
        <v>0</v>
      </c>
      <c r="MB73" s="11">
        <v>0</v>
      </c>
      <c r="MC73" s="11">
        <v>0</v>
      </c>
      <c r="MD73" s="11">
        <v>0</v>
      </c>
      <c r="ME73" s="11">
        <v>0</v>
      </c>
      <c r="MF73" s="11">
        <v>0</v>
      </c>
      <c r="MG73" s="11">
        <v>0</v>
      </c>
      <c r="MH73" s="11">
        <v>0</v>
      </c>
      <c r="MI73" s="11">
        <v>3</v>
      </c>
      <c r="MJ73" s="27">
        <f t="shared" si="74"/>
        <v>3</v>
      </c>
      <c r="MK73" s="11">
        <v>2044</v>
      </c>
      <c r="ML73" s="11">
        <v>2190</v>
      </c>
      <c r="MM73" s="11">
        <v>1850</v>
      </c>
      <c r="MN73" s="11">
        <v>2207</v>
      </c>
      <c r="MO73" s="11">
        <v>2379</v>
      </c>
      <c r="MP73" s="11">
        <v>2291</v>
      </c>
      <c r="MQ73" s="11">
        <v>2192</v>
      </c>
      <c r="MR73" s="11">
        <v>1865</v>
      </c>
      <c r="MS73" s="11">
        <v>2280</v>
      </c>
      <c r="MT73" s="11">
        <v>2187</v>
      </c>
      <c r="MU73" s="11">
        <v>2057</v>
      </c>
      <c r="MV73" s="11">
        <v>1958</v>
      </c>
      <c r="MW73" s="27">
        <f t="shared" si="75"/>
        <v>25500</v>
      </c>
      <c r="MX73" s="11">
        <v>0</v>
      </c>
      <c r="MY73" s="11">
        <v>0</v>
      </c>
      <c r="MZ73" s="11">
        <v>0</v>
      </c>
      <c r="NA73" s="11">
        <v>0</v>
      </c>
      <c r="NB73" s="11">
        <v>0</v>
      </c>
      <c r="NC73" s="11">
        <v>0</v>
      </c>
      <c r="ND73" s="11">
        <v>0</v>
      </c>
      <c r="NE73" s="11">
        <v>0</v>
      </c>
      <c r="NF73" s="11">
        <v>0</v>
      </c>
      <c r="NG73" s="11">
        <v>0</v>
      </c>
      <c r="NH73" s="11">
        <v>0</v>
      </c>
      <c r="NI73" s="11">
        <v>0</v>
      </c>
      <c r="NJ73" s="27">
        <f t="shared" si="76"/>
        <v>0</v>
      </c>
      <c r="NK73" s="11">
        <v>0</v>
      </c>
      <c r="NL73" s="11">
        <v>0</v>
      </c>
      <c r="NM73" s="11">
        <v>0</v>
      </c>
      <c r="NN73" s="11">
        <v>0</v>
      </c>
      <c r="NO73" s="11">
        <v>0</v>
      </c>
      <c r="NP73" s="11">
        <v>0</v>
      </c>
      <c r="NQ73" s="11">
        <v>0</v>
      </c>
      <c r="NR73" s="11">
        <v>0</v>
      </c>
      <c r="NS73" s="11">
        <v>0</v>
      </c>
      <c r="NT73" s="11">
        <v>0</v>
      </c>
      <c r="NU73" s="11">
        <v>0</v>
      </c>
      <c r="NV73" s="11">
        <v>0</v>
      </c>
      <c r="NW73" s="27">
        <f t="shared" si="77"/>
        <v>0</v>
      </c>
      <c r="NX73" s="11">
        <v>0</v>
      </c>
      <c r="NY73" s="11">
        <v>0</v>
      </c>
      <c r="NZ73" s="11">
        <v>0</v>
      </c>
      <c r="OA73" s="11">
        <v>0</v>
      </c>
      <c r="OB73" s="11">
        <v>0</v>
      </c>
      <c r="OC73" s="11">
        <v>0</v>
      </c>
      <c r="OD73" s="11">
        <v>0</v>
      </c>
      <c r="OE73" s="11">
        <v>0</v>
      </c>
      <c r="OF73" s="11">
        <v>0</v>
      </c>
      <c r="OG73" s="11">
        <v>0</v>
      </c>
      <c r="OH73" s="11">
        <v>0</v>
      </c>
      <c r="OI73" s="11">
        <v>0</v>
      </c>
      <c r="OJ73" s="27">
        <f t="shared" si="78"/>
        <v>0</v>
      </c>
      <c r="OK73" s="11">
        <v>2059</v>
      </c>
      <c r="OL73" s="11">
        <v>2162</v>
      </c>
      <c r="OM73" s="11">
        <v>2123</v>
      </c>
      <c r="ON73" s="11">
        <v>2241</v>
      </c>
      <c r="OO73" s="11">
        <v>2328</v>
      </c>
      <c r="OP73" s="11">
        <v>2224</v>
      </c>
      <c r="OQ73" s="11">
        <v>2331</v>
      </c>
      <c r="OR73" s="11">
        <v>2196</v>
      </c>
      <c r="OS73" s="11">
        <v>2212</v>
      </c>
      <c r="OT73" s="11">
        <v>2469</v>
      </c>
      <c r="OU73" s="11">
        <v>2132</v>
      </c>
      <c r="OV73" s="11">
        <v>2188</v>
      </c>
      <c r="OW73" s="27">
        <f t="shared" si="79"/>
        <v>26665</v>
      </c>
      <c r="OX73" s="11">
        <v>0</v>
      </c>
      <c r="OY73" s="11">
        <v>0</v>
      </c>
      <c r="OZ73" s="11">
        <v>0</v>
      </c>
      <c r="PA73" s="11">
        <v>0</v>
      </c>
      <c r="PB73" s="11">
        <v>0</v>
      </c>
      <c r="PC73" s="11">
        <v>0</v>
      </c>
      <c r="PD73" s="11">
        <v>0</v>
      </c>
      <c r="PE73" s="11">
        <v>0</v>
      </c>
      <c r="PF73" s="11">
        <v>0</v>
      </c>
      <c r="PG73" s="11">
        <v>0</v>
      </c>
      <c r="PH73" s="11">
        <v>0</v>
      </c>
      <c r="PI73" s="11">
        <v>0</v>
      </c>
      <c r="PJ73" s="27">
        <f t="shared" si="80"/>
        <v>0</v>
      </c>
      <c r="PK73" s="11">
        <v>0</v>
      </c>
      <c r="PL73" s="11">
        <v>0</v>
      </c>
      <c r="PM73" s="11">
        <v>0</v>
      </c>
      <c r="PN73" s="11">
        <v>0</v>
      </c>
      <c r="PO73" s="11">
        <v>0</v>
      </c>
      <c r="PP73" s="11">
        <v>0</v>
      </c>
      <c r="PQ73" s="11">
        <v>0</v>
      </c>
      <c r="PR73" s="11">
        <v>0</v>
      </c>
      <c r="PS73" s="11">
        <v>0</v>
      </c>
      <c r="PT73" s="11">
        <v>0</v>
      </c>
      <c r="PU73" s="11">
        <v>0</v>
      </c>
      <c r="PV73" s="11">
        <v>0</v>
      </c>
      <c r="PW73" s="27">
        <f t="shared" si="81"/>
        <v>0</v>
      </c>
      <c r="PX73" s="11">
        <v>0</v>
      </c>
      <c r="PY73" s="11">
        <v>0</v>
      </c>
      <c r="PZ73" s="11">
        <v>0</v>
      </c>
      <c r="QA73" s="11">
        <v>0</v>
      </c>
      <c r="QB73" s="11">
        <v>0</v>
      </c>
      <c r="QC73" s="11">
        <v>0</v>
      </c>
      <c r="QD73" s="11">
        <v>0</v>
      </c>
      <c r="QE73" s="11">
        <v>0</v>
      </c>
      <c r="QF73" s="11">
        <v>0</v>
      </c>
      <c r="QG73" s="11">
        <v>0</v>
      </c>
      <c r="QH73" s="11">
        <v>0</v>
      </c>
      <c r="QI73" s="11">
        <v>0</v>
      </c>
      <c r="QJ73" s="27">
        <f t="shared" si="82"/>
        <v>0</v>
      </c>
      <c r="QK73" s="11">
        <v>24280</v>
      </c>
      <c r="QL73" s="11">
        <v>24964</v>
      </c>
      <c r="QM73" s="11">
        <v>21628</v>
      </c>
      <c r="QN73" s="11">
        <v>23555</v>
      </c>
      <c r="QO73" s="11">
        <v>27114</v>
      </c>
      <c r="QP73" s="11">
        <v>23929</v>
      </c>
      <c r="QQ73" s="11">
        <v>26251</v>
      </c>
      <c r="QR73" s="11">
        <v>24462</v>
      </c>
      <c r="QS73" s="11">
        <v>16648</v>
      </c>
      <c r="QT73" s="11">
        <v>19734</v>
      </c>
      <c r="QU73" s="11">
        <v>24520</v>
      </c>
      <c r="QV73" s="11">
        <v>25770</v>
      </c>
      <c r="QW73" s="27">
        <f t="shared" si="83"/>
        <v>282855</v>
      </c>
      <c r="QX73" s="11">
        <v>1793</v>
      </c>
      <c r="QY73" s="11">
        <v>2129</v>
      </c>
      <c r="QZ73" s="11">
        <v>2113</v>
      </c>
      <c r="RA73" s="11">
        <v>2525</v>
      </c>
      <c r="RB73" s="11">
        <v>2205</v>
      </c>
      <c r="RC73" s="11">
        <v>2098</v>
      </c>
      <c r="RD73" s="11">
        <v>2465</v>
      </c>
      <c r="RE73" s="11">
        <v>2288</v>
      </c>
      <c r="RF73" s="11">
        <v>1760</v>
      </c>
      <c r="RG73" s="11">
        <v>2101</v>
      </c>
      <c r="RH73" s="11">
        <v>2112</v>
      </c>
      <c r="RI73" s="11">
        <v>2709</v>
      </c>
      <c r="RJ73" s="27">
        <f t="shared" si="84"/>
        <v>26298</v>
      </c>
      <c r="RK73" s="11">
        <v>0</v>
      </c>
      <c r="RL73" s="11">
        <v>0</v>
      </c>
      <c r="RM73" s="11">
        <v>0</v>
      </c>
      <c r="RN73" s="11">
        <v>0</v>
      </c>
      <c r="RO73" s="11">
        <v>0</v>
      </c>
      <c r="RP73" s="11">
        <v>0</v>
      </c>
      <c r="RQ73" s="11">
        <v>0</v>
      </c>
      <c r="RR73" s="11">
        <v>0</v>
      </c>
      <c r="RS73" s="11">
        <v>0</v>
      </c>
      <c r="RT73" s="11">
        <v>0</v>
      </c>
      <c r="RU73" s="11">
        <v>0</v>
      </c>
      <c r="RV73" s="11">
        <v>0</v>
      </c>
      <c r="RW73" s="27">
        <f t="shared" si="85"/>
        <v>0</v>
      </c>
      <c r="RX73" s="11">
        <v>0</v>
      </c>
      <c r="RY73" s="11">
        <v>0</v>
      </c>
      <c r="RZ73" s="11">
        <v>0</v>
      </c>
      <c r="SA73" s="11">
        <v>0</v>
      </c>
      <c r="SB73" s="11">
        <v>0</v>
      </c>
      <c r="SC73" s="11">
        <v>0</v>
      </c>
      <c r="SD73" s="11">
        <v>0</v>
      </c>
      <c r="SE73" s="11">
        <v>0</v>
      </c>
      <c r="SF73" s="11">
        <v>0</v>
      </c>
      <c r="SG73" s="11">
        <v>0</v>
      </c>
      <c r="SH73" s="11">
        <v>0</v>
      </c>
      <c r="SI73" s="11">
        <v>0</v>
      </c>
      <c r="SJ73" s="27">
        <f t="shared" si="86"/>
        <v>0</v>
      </c>
      <c r="SK73" s="11">
        <v>224</v>
      </c>
      <c r="SL73" s="11">
        <v>238</v>
      </c>
      <c r="SM73" s="11">
        <v>232</v>
      </c>
      <c r="SN73" s="11">
        <v>250</v>
      </c>
      <c r="SO73" s="11">
        <v>262</v>
      </c>
      <c r="SP73" s="11">
        <v>194</v>
      </c>
      <c r="SQ73" s="11">
        <v>276</v>
      </c>
      <c r="SR73" s="11">
        <v>212</v>
      </c>
      <c r="SS73" s="11">
        <v>248</v>
      </c>
      <c r="ST73" s="11">
        <v>242</v>
      </c>
      <c r="SU73" s="11">
        <v>224</v>
      </c>
      <c r="SV73" s="11">
        <v>254</v>
      </c>
      <c r="SW73" s="27">
        <f t="shared" si="87"/>
        <v>2856</v>
      </c>
      <c r="SX73" s="11"/>
      <c r="SY73" s="11">
        <v>1985</v>
      </c>
      <c r="SZ73" s="11">
        <v>1882</v>
      </c>
      <c r="TA73" s="11">
        <v>1864</v>
      </c>
      <c r="TB73" s="11">
        <v>1887</v>
      </c>
      <c r="TC73" s="11">
        <v>2180</v>
      </c>
      <c r="TD73" s="11">
        <v>1552</v>
      </c>
      <c r="TE73" s="11">
        <v>1926</v>
      </c>
      <c r="TF73" s="11">
        <v>1744</v>
      </c>
      <c r="TG73" s="11">
        <v>1489</v>
      </c>
      <c r="TH73" s="11">
        <v>1805</v>
      </c>
      <c r="TI73" s="11">
        <v>2138</v>
      </c>
      <c r="TJ73" s="11">
        <v>2028</v>
      </c>
      <c r="TK73" s="27">
        <f t="shared" si="88"/>
        <v>22480</v>
      </c>
      <c r="TL73" s="11">
        <v>929</v>
      </c>
      <c r="TM73" s="11">
        <v>826</v>
      </c>
      <c r="TN73" s="11">
        <v>873</v>
      </c>
      <c r="TO73" s="11">
        <v>437</v>
      </c>
      <c r="TP73" s="11">
        <v>616</v>
      </c>
      <c r="TQ73" s="11">
        <v>750</v>
      </c>
      <c r="TR73" s="11">
        <v>929</v>
      </c>
      <c r="TS73" s="11">
        <v>915</v>
      </c>
      <c r="TT73" s="11">
        <v>554</v>
      </c>
      <c r="TU73" s="11">
        <v>759</v>
      </c>
      <c r="TV73" s="11">
        <v>743</v>
      </c>
      <c r="TW73" s="11">
        <v>839</v>
      </c>
      <c r="TX73" s="27">
        <f t="shared" si="89"/>
        <v>9170</v>
      </c>
      <c r="TY73" s="11">
        <v>104</v>
      </c>
      <c r="TZ73" s="11">
        <v>20</v>
      </c>
      <c r="UA73" s="11">
        <v>146</v>
      </c>
    </row>
    <row r="74" spans="1:547" ht="16" customHeight="1" x14ac:dyDescent="0.35">
      <c r="A74" s="11" t="s">
        <v>2712</v>
      </c>
      <c r="B74" s="11">
        <v>15465</v>
      </c>
      <c r="C74" s="11">
        <v>3270</v>
      </c>
      <c r="D74" s="11">
        <v>10221</v>
      </c>
      <c r="E74" s="11">
        <v>1974</v>
      </c>
      <c r="F74" s="11">
        <v>543</v>
      </c>
      <c r="G74" s="11">
        <v>347</v>
      </c>
      <c r="H74" s="11">
        <v>281</v>
      </c>
      <c r="I74" s="11">
        <v>295</v>
      </c>
      <c r="J74" s="11">
        <v>382</v>
      </c>
      <c r="K74" s="11">
        <v>364</v>
      </c>
      <c r="L74" s="11">
        <v>481</v>
      </c>
      <c r="M74" s="11">
        <v>398</v>
      </c>
      <c r="N74" s="11">
        <v>350</v>
      </c>
      <c r="O74" s="11">
        <v>406</v>
      </c>
      <c r="P74" s="11" t="s">
        <v>2862</v>
      </c>
      <c r="Q74" s="11">
        <v>415</v>
      </c>
      <c r="R74" s="11">
        <v>500</v>
      </c>
      <c r="S74" s="26">
        <f t="shared" si="45"/>
        <v>4762</v>
      </c>
      <c r="T74" s="11">
        <v>151</v>
      </c>
      <c r="U74" s="11">
        <v>114</v>
      </c>
      <c r="V74" s="11">
        <v>111</v>
      </c>
      <c r="W74" s="11">
        <v>112</v>
      </c>
      <c r="X74" s="11">
        <v>147</v>
      </c>
      <c r="Y74" s="11">
        <v>177</v>
      </c>
      <c r="Z74" s="11">
        <v>180</v>
      </c>
      <c r="AA74" s="11">
        <v>179</v>
      </c>
      <c r="AB74" s="11">
        <v>188</v>
      </c>
      <c r="AC74" s="11">
        <v>189</v>
      </c>
      <c r="AD74" s="11">
        <v>188</v>
      </c>
      <c r="AE74" s="11">
        <v>221</v>
      </c>
      <c r="AF74" s="26">
        <f t="shared" si="46"/>
        <v>1957</v>
      </c>
      <c r="AG74" s="11">
        <v>383</v>
      </c>
      <c r="AH74" s="11">
        <v>230</v>
      </c>
      <c r="AI74" s="11">
        <v>161</v>
      </c>
      <c r="AJ74" s="11">
        <v>162</v>
      </c>
      <c r="AK74" s="11">
        <v>221</v>
      </c>
      <c r="AL74" s="11">
        <v>177</v>
      </c>
      <c r="AM74" s="11">
        <v>281</v>
      </c>
      <c r="AN74" s="11">
        <v>214</v>
      </c>
      <c r="AO74" s="11">
        <v>161</v>
      </c>
      <c r="AP74" s="11">
        <v>211</v>
      </c>
      <c r="AQ74" s="11">
        <v>222</v>
      </c>
      <c r="AR74" s="11">
        <v>274</v>
      </c>
      <c r="AS74" s="26">
        <f t="shared" si="47"/>
        <v>2697</v>
      </c>
      <c r="AT74" s="11">
        <v>0</v>
      </c>
      <c r="AU74" s="11">
        <v>0</v>
      </c>
      <c r="AV74" s="11">
        <v>0</v>
      </c>
      <c r="AW74" s="11">
        <v>0</v>
      </c>
      <c r="AX74" s="11">
        <v>2</v>
      </c>
      <c r="AY74" s="11">
        <v>0</v>
      </c>
      <c r="AZ74" s="11">
        <v>1</v>
      </c>
      <c r="BA74" s="11">
        <v>0</v>
      </c>
      <c r="BB74" s="11">
        <v>1</v>
      </c>
      <c r="BC74" s="11">
        <v>0</v>
      </c>
      <c r="BD74" s="11">
        <v>1</v>
      </c>
      <c r="BE74" s="11">
        <v>1</v>
      </c>
      <c r="BF74" s="26">
        <f t="shared" si="48"/>
        <v>6</v>
      </c>
      <c r="BG74" s="11">
        <v>9</v>
      </c>
      <c r="BH74" s="11">
        <v>3</v>
      </c>
      <c r="BI74" s="11">
        <v>0</v>
      </c>
      <c r="BJ74" s="11">
        <v>21</v>
      </c>
      <c r="BK74" s="11">
        <v>12</v>
      </c>
      <c r="BL74" s="11">
        <v>10</v>
      </c>
      <c r="BM74" s="11">
        <v>19</v>
      </c>
      <c r="BN74" s="11">
        <v>5</v>
      </c>
      <c r="BO74" s="11">
        <v>0</v>
      </c>
      <c r="BP74" s="11">
        <v>6</v>
      </c>
      <c r="BQ74" s="11">
        <v>4</v>
      </c>
      <c r="BR74" s="11">
        <v>4</v>
      </c>
      <c r="BS74" s="26">
        <f t="shared" si="49"/>
        <v>93</v>
      </c>
      <c r="BT74" s="11">
        <v>0</v>
      </c>
      <c r="BU74" s="11">
        <v>0</v>
      </c>
      <c r="BV74" s="11">
        <v>0</v>
      </c>
      <c r="BW74" s="11">
        <v>0</v>
      </c>
      <c r="BX74" s="11">
        <v>0</v>
      </c>
      <c r="BY74" s="11">
        <v>0</v>
      </c>
      <c r="BZ74" s="11">
        <v>0</v>
      </c>
      <c r="CA74" s="11">
        <v>0</v>
      </c>
      <c r="CB74" s="11">
        <v>0</v>
      </c>
      <c r="CC74" s="11">
        <v>0</v>
      </c>
      <c r="CD74" s="11">
        <v>0</v>
      </c>
      <c r="CE74" s="11">
        <v>0</v>
      </c>
      <c r="CF74" s="26">
        <f t="shared" si="50"/>
        <v>0</v>
      </c>
      <c r="CG74" s="11">
        <v>0</v>
      </c>
      <c r="CH74" s="11">
        <v>0</v>
      </c>
      <c r="CI74" s="11">
        <v>0</v>
      </c>
      <c r="CJ74" s="11">
        <v>0</v>
      </c>
      <c r="CK74" s="11">
        <v>0</v>
      </c>
      <c r="CL74" s="11">
        <v>0</v>
      </c>
      <c r="CM74" s="11">
        <v>0</v>
      </c>
      <c r="CN74" s="11">
        <v>0</v>
      </c>
      <c r="CO74" s="11">
        <v>0</v>
      </c>
      <c r="CP74" s="11">
        <v>0</v>
      </c>
      <c r="CQ74" s="11">
        <v>0</v>
      </c>
      <c r="CR74" s="11">
        <v>0</v>
      </c>
      <c r="CS74" s="26">
        <f t="shared" si="51"/>
        <v>0</v>
      </c>
      <c r="CT74" s="11">
        <v>0</v>
      </c>
      <c r="CU74" s="11">
        <v>0</v>
      </c>
      <c r="CV74" s="11">
        <v>0</v>
      </c>
      <c r="CW74" s="11">
        <v>0</v>
      </c>
      <c r="CX74" s="11">
        <v>0</v>
      </c>
      <c r="CY74" s="11">
        <v>0</v>
      </c>
      <c r="CZ74" s="11">
        <v>0</v>
      </c>
      <c r="DA74" s="11">
        <v>0</v>
      </c>
      <c r="DB74" s="11">
        <v>0</v>
      </c>
      <c r="DC74" s="11">
        <v>0</v>
      </c>
      <c r="DD74" s="11">
        <v>0</v>
      </c>
      <c r="DE74" s="11">
        <v>0</v>
      </c>
      <c r="DF74" s="26">
        <f t="shared" si="52"/>
        <v>0</v>
      </c>
      <c r="DG74" s="11">
        <v>0</v>
      </c>
      <c r="DH74" s="11">
        <v>0</v>
      </c>
      <c r="DI74" s="11">
        <v>0</v>
      </c>
      <c r="DJ74" s="11">
        <v>0</v>
      </c>
      <c r="DK74" s="11">
        <v>0</v>
      </c>
      <c r="DL74" s="11">
        <v>0</v>
      </c>
      <c r="DM74" s="11">
        <v>0</v>
      </c>
      <c r="DN74" s="11">
        <v>0</v>
      </c>
      <c r="DO74" s="11">
        <v>0</v>
      </c>
      <c r="DP74" s="11">
        <v>0</v>
      </c>
      <c r="DQ74" s="11">
        <v>0</v>
      </c>
      <c r="DR74" s="11">
        <v>0</v>
      </c>
      <c r="DS74" s="26">
        <f t="shared" si="53"/>
        <v>0</v>
      </c>
      <c r="DT74" s="11">
        <v>0</v>
      </c>
      <c r="DU74" s="11">
        <v>0</v>
      </c>
      <c r="DV74" s="11">
        <v>0</v>
      </c>
      <c r="DW74" s="11">
        <v>0</v>
      </c>
      <c r="DX74" s="11">
        <v>0</v>
      </c>
      <c r="DY74" s="11">
        <v>0</v>
      </c>
      <c r="DZ74" s="11">
        <v>0</v>
      </c>
      <c r="EA74" s="11">
        <v>0</v>
      </c>
      <c r="EB74" s="11">
        <v>0</v>
      </c>
      <c r="EC74" s="11">
        <v>0</v>
      </c>
      <c r="ED74" s="11">
        <v>0</v>
      </c>
      <c r="EE74" s="11">
        <v>0</v>
      </c>
      <c r="EF74" s="26">
        <f t="shared" si="54"/>
        <v>0</v>
      </c>
      <c r="EG74" s="9">
        <f t="shared" si="55"/>
        <v>4753</v>
      </c>
      <c r="EH74" s="9">
        <f t="shared" si="56"/>
        <v>0</v>
      </c>
      <c r="EI74" s="11">
        <v>29370</v>
      </c>
      <c r="EJ74" s="11">
        <v>14504</v>
      </c>
      <c r="EK74" s="11">
        <v>6574</v>
      </c>
      <c r="EL74" s="11">
        <v>10590</v>
      </c>
      <c r="EM74" s="11">
        <v>7399</v>
      </c>
      <c r="EN74" s="11">
        <v>4752</v>
      </c>
      <c r="EO74" s="11">
        <v>8133</v>
      </c>
      <c r="EP74" s="11">
        <v>8012</v>
      </c>
      <c r="EQ74" s="11">
        <v>3060</v>
      </c>
      <c r="ER74" s="11">
        <v>9874</v>
      </c>
      <c r="ES74" s="11">
        <v>5126</v>
      </c>
      <c r="ET74" s="11">
        <v>15612</v>
      </c>
      <c r="EU74" s="26">
        <f t="shared" si="57"/>
        <v>123006</v>
      </c>
      <c r="EV74" s="11">
        <v>561</v>
      </c>
      <c r="EW74" s="11">
        <v>642</v>
      </c>
      <c r="EX74" s="11">
        <v>479</v>
      </c>
      <c r="EY74" s="11">
        <v>509</v>
      </c>
      <c r="EZ74" s="11">
        <v>340</v>
      </c>
      <c r="FA74" s="11">
        <v>472</v>
      </c>
      <c r="FB74" s="11">
        <v>727</v>
      </c>
      <c r="FC74" s="11">
        <v>1851</v>
      </c>
      <c r="FD74" s="11">
        <v>454</v>
      </c>
      <c r="FE74" s="11">
        <v>2365</v>
      </c>
      <c r="FF74" s="11">
        <v>729</v>
      </c>
      <c r="FG74" s="11">
        <v>7031</v>
      </c>
      <c r="FH74" s="26">
        <f t="shared" si="58"/>
        <v>16160</v>
      </c>
      <c r="FI74" s="11">
        <v>4104</v>
      </c>
      <c r="FJ74" s="11">
        <v>3569</v>
      </c>
      <c r="FK74" s="11">
        <v>4350</v>
      </c>
      <c r="FL74" s="11">
        <v>3922</v>
      </c>
      <c r="FM74" s="11">
        <v>3581</v>
      </c>
      <c r="FN74" s="11">
        <v>3598</v>
      </c>
      <c r="FO74" s="11">
        <v>5809</v>
      </c>
      <c r="FP74" s="11">
        <v>4383</v>
      </c>
      <c r="FQ74" s="11">
        <v>11</v>
      </c>
      <c r="FR74" s="11">
        <v>3948</v>
      </c>
      <c r="FS74" s="11">
        <v>4356</v>
      </c>
      <c r="FT74" s="11">
        <v>5916</v>
      </c>
      <c r="FU74" s="26">
        <f t="shared" si="59"/>
        <v>47547</v>
      </c>
      <c r="FV74" s="11">
        <v>0</v>
      </c>
      <c r="FW74" s="11">
        <v>0</v>
      </c>
      <c r="FX74" s="11">
        <v>0</v>
      </c>
      <c r="FY74" s="11">
        <v>0</v>
      </c>
      <c r="FZ74" s="11">
        <v>34</v>
      </c>
      <c r="GA74" s="11">
        <v>0</v>
      </c>
      <c r="GB74" s="11">
        <v>3</v>
      </c>
      <c r="GC74" s="11">
        <v>0</v>
      </c>
      <c r="GD74" s="11">
        <v>10</v>
      </c>
      <c r="GE74" s="11">
        <v>0</v>
      </c>
      <c r="GF74" s="11">
        <v>9</v>
      </c>
      <c r="GG74" s="11">
        <v>130</v>
      </c>
      <c r="GH74" s="26">
        <f t="shared" si="60"/>
        <v>186</v>
      </c>
      <c r="GI74" s="11">
        <v>159</v>
      </c>
      <c r="GJ74" s="11">
        <v>0</v>
      </c>
      <c r="GK74" s="11">
        <v>0</v>
      </c>
      <c r="GL74" s="11">
        <v>0</v>
      </c>
      <c r="GM74" s="11">
        <v>0</v>
      </c>
      <c r="GN74" s="11">
        <v>0</v>
      </c>
      <c r="GO74" s="11">
        <v>0</v>
      </c>
      <c r="GP74" s="11">
        <v>0</v>
      </c>
      <c r="GQ74" s="11">
        <v>0</v>
      </c>
      <c r="GR74" s="11">
        <v>0</v>
      </c>
      <c r="GS74" s="11">
        <v>0</v>
      </c>
      <c r="GT74" s="11">
        <v>0</v>
      </c>
      <c r="GU74" s="26">
        <f t="shared" si="61"/>
        <v>159</v>
      </c>
      <c r="GV74" s="11">
        <v>0</v>
      </c>
      <c r="GW74" s="11">
        <v>0</v>
      </c>
      <c r="GX74" s="11">
        <v>0</v>
      </c>
      <c r="GY74" s="11">
        <v>0</v>
      </c>
      <c r="GZ74" s="11">
        <v>0</v>
      </c>
      <c r="HA74" s="11">
        <v>0</v>
      </c>
      <c r="HB74" s="11">
        <v>0</v>
      </c>
      <c r="HC74" s="11">
        <v>0</v>
      </c>
      <c r="HD74" s="11">
        <v>0</v>
      </c>
      <c r="HE74" s="11">
        <v>0</v>
      </c>
      <c r="HF74" s="11">
        <v>0</v>
      </c>
      <c r="HG74" s="11">
        <v>0</v>
      </c>
      <c r="HH74" s="26">
        <f t="shared" si="62"/>
        <v>0</v>
      </c>
      <c r="HI74" s="11">
        <v>159</v>
      </c>
      <c r="HJ74" s="11">
        <v>0</v>
      </c>
      <c r="HK74" s="11">
        <v>0</v>
      </c>
      <c r="HL74" s="11">
        <v>0</v>
      </c>
      <c r="HM74" s="11">
        <v>0</v>
      </c>
      <c r="HN74" s="11">
        <v>0</v>
      </c>
      <c r="HO74" s="11">
        <v>0</v>
      </c>
      <c r="HP74" s="11">
        <v>0</v>
      </c>
      <c r="HQ74" s="11">
        <v>0</v>
      </c>
      <c r="HR74" s="11">
        <v>0</v>
      </c>
      <c r="HS74" s="11">
        <v>0</v>
      </c>
      <c r="HT74" s="11">
        <v>0</v>
      </c>
      <c r="HU74" s="26">
        <f t="shared" si="63"/>
        <v>159</v>
      </c>
      <c r="HV74" s="11">
        <v>0</v>
      </c>
      <c r="HW74" s="11">
        <v>0</v>
      </c>
      <c r="HX74" s="11">
        <v>0</v>
      </c>
      <c r="HY74" s="11">
        <v>0</v>
      </c>
      <c r="HZ74" s="11">
        <v>0</v>
      </c>
      <c r="IA74" s="11">
        <v>0</v>
      </c>
      <c r="IB74" s="11">
        <v>0</v>
      </c>
      <c r="IC74" s="11">
        <v>0</v>
      </c>
      <c r="ID74" s="11">
        <v>0</v>
      </c>
      <c r="IE74" s="11">
        <v>0</v>
      </c>
      <c r="IF74" s="11">
        <v>0</v>
      </c>
      <c r="IG74" s="11">
        <v>0</v>
      </c>
      <c r="IH74" s="26">
        <f t="shared" si="64"/>
        <v>0</v>
      </c>
      <c r="II74" s="9">
        <f t="shared" si="65"/>
        <v>63893</v>
      </c>
      <c r="IJ74" s="9">
        <f t="shared" si="66"/>
        <v>159</v>
      </c>
      <c r="IK74" s="11">
        <v>97568</v>
      </c>
      <c r="IL74" s="11">
        <v>96536</v>
      </c>
      <c r="IM74" s="11">
        <v>90280</v>
      </c>
      <c r="IN74" s="11">
        <v>97051</v>
      </c>
      <c r="IO74" s="11">
        <v>112972</v>
      </c>
      <c r="IP74" s="11">
        <v>93284</v>
      </c>
      <c r="IQ74" s="11">
        <v>99929</v>
      </c>
      <c r="IR74" s="11">
        <v>91994</v>
      </c>
      <c r="IS74" s="11">
        <v>87040</v>
      </c>
      <c r="IT74" s="11">
        <v>92527</v>
      </c>
      <c r="IU74" s="11">
        <v>86619</v>
      </c>
      <c r="IV74" s="11">
        <v>92890</v>
      </c>
      <c r="IW74" s="27">
        <f t="shared" si="67"/>
        <v>1138690</v>
      </c>
      <c r="IX74" s="11">
        <v>35635</v>
      </c>
      <c r="IY74" s="11">
        <v>35535</v>
      </c>
      <c r="IZ74" s="11">
        <v>35670</v>
      </c>
      <c r="JA74" s="11">
        <v>36280</v>
      </c>
      <c r="JB74" s="11">
        <v>40516</v>
      </c>
      <c r="JC74" s="11">
        <v>34649</v>
      </c>
      <c r="JD74" s="11">
        <v>36045</v>
      </c>
      <c r="JE74" s="11">
        <v>34473</v>
      </c>
      <c r="JF74" s="11">
        <v>33469</v>
      </c>
      <c r="JG74" s="11">
        <v>36013</v>
      </c>
      <c r="JH74" s="11">
        <v>32089</v>
      </c>
      <c r="JI74" s="11">
        <v>35400</v>
      </c>
      <c r="JJ74" s="27">
        <f t="shared" si="68"/>
        <v>425774</v>
      </c>
      <c r="JK74" s="11">
        <v>60689</v>
      </c>
      <c r="JL74" s="11">
        <v>59798</v>
      </c>
      <c r="JM74" s="11">
        <v>53501</v>
      </c>
      <c r="JN74" s="11">
        <v>59399</v>
      </c>
      <c r="JO74" s="11">
        <v>70735</v>
      </c>
      <c r="JP74" s="11">
        <v>57394</v>
      </c>
      <c r="JQ74" s="11">
        <v>62636</v>
      </c>
      <c r="JR74" s="11">
        <v>56295</v>
      </c>
      <c r="JS74" s="11">
        <v>52411</v>
      </c>
      <c r="JT74" s="11">
        <v>55217</v>
      </c>
      <c r="JU74" s="11">
        <v>53435</v>
      </c>
      <c r="JV74" s="11">
        <v>56297</v>
      </c>
      <c r="JW74" s="27">
        <f t="shared" si="69"/>
        <v>697807</v>
      </c>
      <c r="JX74" s="11">
        <v>1244</v>
      </c>
      <c r="JY74" s="11">
        <v>1203</v>
      </c>
      <c r="JZ74" s="11">
        <v>1109</v>
      </c>
      <c r="KA74" s="11">
        <v>1372</v>
      </c>
      <c r="KB74" s="11">
        <v>1721</v>
      </c>
      <c r="KC74" s="11">
        <v>1241</v>
      </c>
      <c r="KD74" s="11">
        <v>1248</v>
      </c>
      <c r="KE74" s="11">
        <v>1226</v>
      </c>
      <c r="KF74" s="11">
        <v>1160</v>
      </c>
      <c r="KG74" s="11">
        <v>1297</v>
      </c>
      <c r="KH74" s="11">
        <v>1095</v>
      </c>
      <c r="KI74" s="11">
        <v>1193</v>
      </c>
      <c r="KJ74" s="27">
        <f t="shared" si="70"/>
        <v>15109</v>
      </c>
      <c r="KK74" s="11">
        <v>353</v>
      </c>
      <c r="KL74" s="11">
        <v>291</v>
      </c>
      <c r="KM74" s="11">
        <v>286</v>
      </c>
      <c r="KN74" s="11">
        <v>290</v>
      </c>
      <c r="KO74" s="11">
        <v>231</v>
      </c>
      <c r="KP74" s="11">
        <v>349</v>
      </c>
      <c r="KQ74" s="11">
        <v>327</v>
      </c>
      <c r="KR74" s="11">
        <v>277</v>
      </c>
      <c r="KS74" s="11">
        <v>197</v>
      </c>
      <c r="KT74" s="11">
        <v>280</v>
      </c>
      <c r="KU74" s="11">
        <v>197</v>
      </c>
      <c r="KV74" s="11">
        <v>211</v>
      </c>
      <c r="KW74" s="27">
        <f t="shared" si="71"/>
        <v>3289</v>
      </c>
      <c r="KX74" s="11">
        <v>342</v>
      </c>
      <c r="KY74" s="11">
        <v>278</v>
      </c>
      <c r="KZ74" s="11">
        <v>274</v>
      </c>
      <c r="LA74" s="11">
        <v>279</v>
      </c>
      <c r="LB74" s="11">
        <v>202</v>
      </c>
      <c r="LC74" s="11">
        <v>312</v>
      </c>
      <c r="LD74" s="11">
        <v>302</v>
      </c>
      <c r="LE74" s="11">
        <v>261</v>
      </c>
      <c r="LF74" s="11">
        <v>183</v>
      </c>
      <c r="LG74" s="11">
        <v>267</v>
      </c>
      <c r="LH74" s="11">
        <v>189</v>
      </c>
      <c r="LI74" s="11">
        <v>195</v>
      </c>
      <c r="LJ74" s="27">
        <f t="shared" si="72"/>
        <v>3084</v>
      </c>
      <c r="LK74" s="11">
        <v>11</v>
      </c>
      <c r="LL74" s="11">
        <v>13</v>
      </c>
      <c r="LM74" s="11">
        <v>12</v>
      </c>
      <c r="LN74" s="11">
        <v>11</v>
      </c>
      <c r="LO74" s="11">
        <v>29</v>
      </c>
      <c r="LP74" s="11">
        <v>37</v>
      </c>
      <c r="LQ74" s="11">
        <v>25</v>
      </c>
      <c r="LR74" s="11">
        <v>16</v>
      </c>
      <c r="LS74" s="11">
        <v>14</v>
      </c>
      <c r="LT74" s="11">
        <v>13</v>
      </c>
      <c r="LU74" s="11">
        <v>8</v>
      </c>
      <c r="LV74" s="11">
        <v>16</v>
      </c>
      <c r="LW74" s="27">
        <f t="shared" si="73"/>
        <v>205</v>
      </c>
      <c r="LX74" s="11">
        <v>0</v>
      </c>
      <c r="LY74" s="11">
        <v>0</v>
      </c>
      <c r="LZ74" s="11">
        <v>0</v>
      </c>
      <c r="MA74" s="11">
        <v>0</v>
      </c>
      <c r="MB74" s="11">
        <v>0</v>
      </c>
      <c r="MC74" s="11">
        <v>0</v>
      </c>
      <c r="MD74" s="11">
        <v>0</v>
      </c>
      <c r="ME74" s="11">
        <v>0</v>
      </c>
      <c r="MF74" s="11">
        <v>0</v>
      </c>
      <c r="MG74" s="11">
        <v>0</v>
      </c>
      <c r="MH74" s="11">
        <v>0</v>
      </c>
      <c r="MI74" s="11">
        <v>0</v>
      </c>
      <c r="MJ74" s="27">
        <f t="shared" si="74"/>
        <v>0</v>
      </c>
      <c r="MK74" s="11">
        <v>2014</v>
      </c>
      <c r="ML74" s="11">
        <v>2283</v>
      </c>
      <c r="MM74" s="11">
        <v>2120</v>
      </c>
      <c r="MN74" s="11">
        <v>2215</v>
      </c>
      <c r="MO74" s="11">
        <v>2502</v>
      </c>
      <c r="MP74" s="11">
        <v>2413</v>
      </c>
      <c r="MQ74" s="11">
        <v>2422</v>
      </c>
      <c r="MR74" s="11">
        <v>2123</v>
      </c>
      <c r="MS74" s="11">
        <v>2359</v>
      </c>
      <c r="MT74" s="11">
        <v>2587</v>
      </c>
      <c r="MU74" s="11">
        <v>2127</v>
      </c>
      <c r="MV74" s="11">
        <v>2289</v>
      </c>
      <c r="MW74" s="27">
        <f t="shared" si="75"/>
        <v>27454</v>
      </c>
      <c r="MX74" s="11">
        <v>1655</v>
      </c>
      <c r="MY74" s="11">
        <v>1811</v>
      </c>
      <c r="MZ74" s="11">
        <v>1706</v>
      </c>
      <c r="NA74" s="11">
        <v>1817</v>
      </c>
      <c r="NB74" s="11">
        <v>1978</v>
      </c>
      <c r="NC74" s="11">
        <v>2013</v>
      </c>
      <c r="ND74" s="11">
        <v>2006</v>
      </c>
      <c r="NE74" s="11">
        <v>1718</v>
      </c>
      <c r="NF74" s="11">
        <v>1955</v>
      </c>
      <c r="NG74" s="11">
        <v>2137</v>
      </c>
      <c r="NH74" s="11">
        <v>1768</v>
      </c>
      <c r="NI74" s="11">
        <v>1893</v>
      </c>
      <c r="NJ74" s="27">
        <f t="shared" si="76"/>
        <v>22457</v>
      </c>
      <c r="NK74" s="11">
        <v>229</v>
      </c>
      <c r="NL74" s="11">
        <v>324</v>
      </c>
      <c r="NM74" s="11">
        <v>269</v>
      </c>
      <c r="NN74" s="11">
        <v>263</v>
      </c>
      <c r="NO74" s="11">
        <v>366</v>
      </c>
      <c r="NP74" s="11">
        <v>253</v>
      </c>
      <c r="NQ74" s="11">
        <v>278</v>
      </c>
      <c r="NR74" s="11">
        <v>254</v>
      </c>
      <c r="NS74" s="11">
        <v>263</v>
      </c>
      <c r="NT74" s="11">
        <v>277</v>
      </c>
      <c r="NU74" s="11">
        <v>132</v>
      </c>
      <c r="NV74" s="11">
        <v>251</v>
      </c>
      <c r="NW74" s="27">
        <f t="shared" si="77"/>
        <v>3159</v>
      </c>
      <c r="NX74" s="11">
        <v>130</v>
      </c>
      <c r="NY74" s="11">
        <v>148</v>
      </c>
      <c r="NZ74" s="11">
        <v>145</v>
      </c>
      <c r="OA74" s="11">
        <v>135</v>
      </c>
      <c r="OB74" s="11">
        <v>158</v>
      </c>
      <c r="OC74" s="11">
        <v>147</v>
      </c>
      <c r="OD74" s="11">
        <v>138</v>
      </c>
      <c r="OE74" s="11">
        <v>151</v>
      </c>
      <c r="OF74" s="11">
        <v>141</v>
      </c>
      <c r="OG74" s="11">
        <v>173</v>
      </c>
      <c r="OH74" s="11">
        <v>128</v>
      </c>
      <c r="OI74" s="11">
        <v>145</v>
      </c>
      <c r="OJ74" s="27">
        <f t="shared" si="78"/>
        <v>1739</v>
      </c>
      <c r="OK74" s="11">
        <v>5027</v>
      </c>
      <c r="OL74" s="11">
        <v>4934</v>
      </c>
      <c r="OM74" s="11">
        <v>4253</v>
      </c>
      <c r="ON74" s="11">
        <v>4452</v>
      </c>
      <c r="OO74" s="11">
        <v>4766</v>
      </c>
      <c r="OP74" s="11">
        <v>4572</v>
      </c>
      <c r="OQ74" s="11">
        <v>4980</v>
      </c>
      <c r="OR74" s="11">
        <v>4490</v>
      </c>
      <c r="OS74" s="11">
        <v>4696</v>
      </c>
      <c r="OT74" s="11">
        <v>5262</v>
      </c>
      <c r="OU74" s="11">
        <v>4517</v>
      </c>
      <c r="OV74" s="11">
        <v>4857</v>
      </c>
      <c r="OW74" s="27">
        <f t="shared" si="79"/>
        <v>56806</v>
      </c>
      <c r="OX74" s="11">
        <v>3800</v>
      </c>
      <c r="OY74" s="11">
        <v>3708</v>
      </c>
      <c r="OZ74" s="11">
        <v>3286</v>
      </c>
      <c r="PA74" s="11">
        <v>3454</v>
      </c>
      <c r="PB74" s="11">
        <v>3701</v>
      </c>
      <c r="PC74" s="11">
        <v>3383</v>
      </c>
      <c r="PD74" s="11">
        <v>3814</v>
      </c>
      <c r="PE74" s="11">
        <v>3293</v>
      </c>
      <c r="PF74" s="11">
        <v>3608</v>
      </c>
      <c r="PG74" s="11">
        <v>3985</v>
      </c>
      <c r="PH74" s="11">
        <v>3530</v>
      </c>
      <c r="PI74" s="11">
        <v>3853</v>
      </c>
      <c r="PJ74" s="27">
        <f t="shared" si="80"/>
        <v>43415</v>
      </c>
      <c r="PK74" s="11">
        <v>772</v>
      </c>
      <c r="PL74" s="11">
        <v>783</v>
      </c>
      <c r="PM74" s="11">
        <v>578</v>
      </c>
      <c r="PN74" s="11">
        <v>641</v>
      </c>
      <c r="PO74" s="11">
        <v>689</v>
      </c>
      <c r="PP74" s="11">
        <v>732</v>
      </c>
      <c r="PQ74" s="11">
        <v>746</v>
      </c>
      <c r="PR74" s="11">
        <v>776</v>
      </c>
      <c r="PS74" s="11">
        <v>771</v>
      </c>
      <c r="PT74" s="11">
        <v>879</v>
      </c>
      <c r="PU74" s="11">
        <v>694</v>
      </c>
      <c r="PV74" s="11">
        <v>678</v>
      </c>
      <c r="PW74" s="27">
        <f t="shared" si="81"/>
        <v>8739</v>
      </c>
      <c r="PX74" s="11">
        <v>455</v>
      </c>
      <c r="PY74" s="11">
        <v>443</v>
      </c>
      <c r="PZ74" s="11">
        <v>389</v>
      </c>
      <c r="QA74" s="11">
        <v>357</v>
      </c>
      <c r="QB74" s="11">
        <v>376</v>
      </c>
      <c r="QC74" s="11">
        <v>457</v>
      </c>
      <c r="QD74" s="11">
        <v>420</v>
      </c>
      <c r="QE74" s="11">
        <v>421</v>
      </c>
      <c r="QF74" s="11">
        <v>317</v>
      </c>
      <c r="QG74" s="11">
        <v>398</v>
      </c>
      <c r="QH74" s="11">
        <v>293</v>
      </c>
      <c r="QI74" s="11">
        <v>326</v>
      </c>
      <c r="QJ74" s="27">
        <f t="shared" si="82"/>
        <v>4652</v>
      </c>
      <c r="QK74" s="11">
        <v>51894</v>
      </c>
      <c r="QL74" s="11">
        <v>34991</v>
      </c>
      <c r="QM74" s="11">
        <v>32655</v>
      </c>
      <c r="QN74" s="11">
        <v>34912</v>
      </c>
      <c r="QO74" s="11">
        <v>36712</v>
      </c>
      <c r="QP74" s="11">
        <v>42182</v>
      </c>
      <c r="QQ74" s="11">
        <v>43410</v>
      </c>
      <c r="QR74" s="11">
        <v>47524</v>
      </c>
      <c r="QS74" s="11">
        <v>40976</v>
      </c>
      <c r="QT74" s="11">
        <v>49429</v>
      </c>
      <c r="QU74" s="11">
        <v>50932</v>
      </c>
      <c r="QV74" s="11">
        <v>58113</v>
      </c>
      <c r="QW74" s="27">
        <f t="shared" si="83"/>
        <v>523730</v>
      </c>
      <c r="QX74" s="11">
        <v>58554</v>
      </c>
      <c r="QY74" s="11">
        <v>64232</v>
      </c>
      <c r="QZ74" s="11">
        <v>57177</v>
      </c>
      <c r="RA74" s="11">
        <v>54920</v>
      </c>
      <c r="RB74" s="11">
        <v>54987</v>
      </c>
      <c r="RC74" s="11">
        <v>46698</v>
      </c>
      <c r="RD74" s="11">
        <v>55229</v>
      </c>
      <c r="RE74" s="11">
        <v>55948</v>
      </c>
      <c r="RF74" s="11">
        <v>44929</v>
      </c>
      <c r="RG74" s="11">
        <v>57380</v>
      </c>
      <c r="RH74" s="11">
        <v>56961</v>
      </c>
      <c r="RI74" s="11">
        <v>55415</v>
      </c>
      <c r="RJ74" s="27">
        <f t="shared" si="84"/>
        <v>662430</v>
      </c>
      <c r="RK74" s="11">
        <v>0</v>
      </c>
      <c r="RL74" s="11">
        <v>0</v>
      </c>
      <c r="RM74" s="11">
        <v>0</v>
      </c>
      <c r="RN74" s="11">
        <v>0</v>
      </c>
      <c r="RO74" s="11">
        <v>0</v>
      </c>
      <c r="RP74" s="11">
        <v>0</v>
      </c>
      <c r="RQ74" s="11">
        <v>0</v>
      </c>
      <c r="RR74" s="11">
        <v>0</v>
      </c>
      <c r="RS74" s="11">
        <v>0</v>
      </c>
      <c r="RT74" s="11">
        <v>0</v>
      </c>
      <c r="RU74" s="11">
        <v>0</v>
      </c>
      <c r="RV74" s="11">
        <v>0</v>
      </c>
      <c r="RW74" s="27">
        <f t="shared" si="85"/>
        <v>0</v>
      </c>
      <c r="RX74" s="11">
        <v>0</v>
      </c>
      <c r="RY74" s="11">
        <v>0</v>
      </c>
      <c r="RZ74" s="11">
        <v>0</v>
      </c>
      <c r="SA74" s="11">
        <v>0</v>
      </c>
      <c r="SB74" s="11">
        <v>0</v>
      </c>
      <c r="SC74" s="11">
        <v>0</v>
      </c>
      <c r="SD74" s="11">
        <v>0</v>
      </c>
      <c r="SE74" s="11">
        <v>0</v>
      </c>
      <c r="SF74" s="11">
        <v>0</v>
      </c>
      <c r="SG74" s="11">
        <v>0</v>
      </c>
      <c r="SH74" s="11">
        <v>0</v>
      </c>
      <c r="SI74" s="11">
        <v>0</v>
      </c>
      <c r="SJ74" s="27">
        <f t="shared" si="86"/>
        <v>0</v>
      </c>
      <c r="SK74" s="11">
        <v>15</v>
      </c>
      <c r="SL74" s="11">
        <v>17</v>
      </c>
      <c r="SM74" s="11">
        <v>16</v>
      </c>
      <c r="SN74" s="11">
        <v>21</v>
      </c>
      <c r="SO74" s="11">
        <v>14</v>
      </c>
      <c r="SP74" s="11">
        <v>26</v>
      </c>
      <c r="SQ74" s="11">
        <v>32</v>
      </c>
      <c r="SR74" s="11">
        <v>17</v>
      </c>
      <c r="SS74" s="11">
        <v>18</v>
      </c>
      <c r="ST74" s="11">
        <v>12</v>
      </c>
      <c r="SU74" s="11">
        <v>16</v>
      </c>
      <c r="SV74" s="11">
        <v>13</v>
      </c>
      <c r="SW74" s="27">
        <f t="shared" si="87"/>
        <v>217</v>
      </c>
      <c r="SX74" s="11"/>
      <c r="SY74" s="11">
        <v>7725</v>
      </c>
      <c r="SZ74" s="11">
        <v>8070</v>
      </c>
      <c r="TA74" s="11">
        <v>6782</v>
      </c>
      <c r="TB74" s="11">
        <v>6900</v>
      </c>
      <c r="TC74" s="11">
        <v>7661</v>
      </c>
      <c r="TD74" s="11">
        <v>7274</v>
      </c>
      <c r="TE74" s="11">
        <v>7501</v>
      </c>
      <c r="TF74" s="11">
        <v>7560</v>
      </c>
      <c r="TG74" s="11">
        <v>9258</v>
      </c>
      <c r="TH74" s="11">
        <v>8320</v>
      </c>
      <c r="TI74" s="11">
        <v>7441</v>
      </c>
      <c r="TJ74" s="11">
        <v>7908</v>
      </c>
      <c r="TK74" s="27">
        <f t="shared" si="88"/>
        <v>92400</v>
      </c>
      <c r="TL74" s="11">
        <v>24526</v>
      </c>
      <c r="TM74" s="11">
        <v>25118</v>
      </c>
      <c r="TN74" s="11">
        <v>19785</v>
      </c>
      <c r="TO74" s="11">
        <v>16451</v>
      </c>
      <c r="TP74" s="11">
        <v>14951</v>
      </c>
      <c r="TQ74" s="11">
        <v>19915</v>
      </c>
      <c r="TR74" s="11">
        <v>23492</v>
      </c>
      <c r="TS74" s="11">
        <v>23904</v>
      </c>
      <c r="TT74" s="11">
        <v>20265</v>
      </c>
      <c r="TU74" s="11">
        <v>23949</v>
      </c>
      <c r="TV74" s="11">
        <v>23141</v>
      </c>
      <c r="TW74" s="11">
        <v>25149</v>
      </c>
      <c r="TX74" s="27">
        <f t="shared" si="89"/>
        <v>260646</v>
      </c>
      <c r="TY74" s="11">
        <v>127</v>
      </c>
      <c r="TZ74" s="11">
        <v>14</v>
      </c>
      <c r="UA74" s="11">
        <v>9</v>
      </c>
    </row>
    <row r="75" spans="1:547" ht="16" customHeight="1" x14ac:dyDescent="0.35">
      <c r="A75" s="11" t="s">
        <v>2713</v>
      </c>
      <c r="B75" s="11">
        <v>5870</v>
      </c>
      <c r="C75" s="11">
        <v>1596</v>
      </c>
      <c r="D75" s="11">
        <v>4189</v>
      </c>
      <c r="E75" s="11">
        <v>85</v>
      </c>
      <c r="F75" s="11">
        <v>0</v>
      </c>
      <c r="G75" s="11">
        <v>0</v>
      </c>
      <c r="H75" s="11">
        <v>0</v>
      </c>
      <c r="I75" s="11">
        <v>0</v>
      </c>
      <c r="J75" s="11">
        <v>0</v>
      </c>
      <c r="K75" s="11">
        <v>0</v>
      </c>
      <c r="L75" s="11">
        <v>0</v>
      </c>
      <c r="M75" s="11">
        <v>0</v>
      </c>
      <c r="N75" s="11">
        <v>0</v>
      </c>
      <c r="O75" s="11">
        <v>0</v>
      </c>
      <c r="P75" s="11" t="s">
        <v>2865</v>
      </c>
      <c r="Q75" s="11">
        <v>0</v>
      </c>
      <c r="R75" s="11">
        <v>0</v>
      </c>
      <c r="S75" s="26">
        <f t="shared" si="45"/>
        <v>0</v>
      </c>
      <c r="T75" s="11">
        <v>0</v>
      </c>
      <c r="U75" s="11">
        <v>0</v>
      </c>
      <c r="V75" s="11">
        <v>0</v>
      </c>
      <c r="W75" s="11">
        <v>0</v>
      </c>
      <c r="X75" s="11">
        <v>0</v>
      </c>
      <c r="Y75" s="11">
        <v>0</v>
      </c>
      <c r="Z75" s="11">
        <v>0</v>
      </c>
      <c r="AA75" s="11">
        <v>0</v>
      </c>
      <c r="AB75" s="11">
        <v>0</v>
      </c>
      <c r="AC75" s="11">
        <v>0</v>
      </c>
      <c r="AD75" s="11">
        <v>0</v>
      </c>
      <c r="AE75" s="11">
        <v>0</v>
      </c>
      <c r="AF75" s="26">
        <f t="shared" si="46"/>
        <v>0</v>
      </c>
      <c r="AG75" s="11">
        <v>0</v>
      </c>
      <c r="AH75" s="11">
        <v>0</v>
      </c>
      <c r="AI75" s="11">
        <v>0</v>
      </c>
      <c r="AJ75" s="11">
        <v>0</v>
      </c>
      <c r="AK75" s="11">
        <v>0</v>
      </c>
      <c r="AL75" s="11">
        <v>0</v>
      </c>
      <c r="AM75" s="11">
        <v>0</v>
      </c>
      <c r="AN75" s="11">
        <v>0</v>
      </c>
      <c r="AO75" s="11">
        <v>0</v>
      </c>
      <c r="AP75" s="11">
        <v>0</v>
      </c>
      <c r="AQ75" s="11">
        <v>0</v>
      </c>
      <c r="AR75" s="11">
        <v>0</v>
      </c>
      <c r="AS75" s="26">
        <f t="shared" si="47"/>
        <v>0</v>
      </c>
      <c r="AT75" s="11">
        <v>0</v>
      </c>
      <c r="AU75" s="11">
        <v>0</v>
      </c>
      <c r="AV75" s="11">
        <v>0</v>
      </c>
      <c r="AW75" s="11">
        <v>0</v>
      </c>
      <c r="AX75" s="11">
        <v>0</v>
      </c>
      <c r="AY75" s="11">
        <v>0</v>
      </c>
      <c r="AZ75" s="11">
        <v>0</v>
      </c>
      <c r="BA75" s="11">
        <v>0</v>
      </c>
      <c r="BB75" s="11">
        <v>0</v>
      </c>
      <c r="BC75" s="11">
        <v>0</v>
      </c>
      <c r="BD75" s="11">
        <v>0</v>
      </c>
      <c r="BE75" s="11">
        <v>0</v>
      </c>
      <c r="BF75" s="26">
        <f t="shared" si="48"/>
        <v>0</v>
      </c>
      <c r="BG75" s="11">
        <v>0</v>
      </c>
      <c r="BH75" s="11">
        <v>0</v>
      </c>
      <c r="BI75" s="11">
        <v>0</v>
      </c>
      <c r="BJ75" s="11">
        <v>0</v>
      </c>
      <c r="BK75" s="11">
        <v>0</v>
      </c>
      <c r="BL75" s="11">
        <v>0</v>
      </c>
      <c r="BM75" s="11">
        <v>0</v>
      </c>
      <c r="BN75" s="11">
        <v>0</v>
      </c>
      <c r="BO75" s="11">
        <v>0</v>
      </c>
      <c r="BP75" s="11">
        <v>0</v>
      </c>
      <c r="BQ75" s="11">
        <v>0</v>
      </c>
      <c r="BR75" s="11">
        <v>0</v>
      </c>
      <c r="BS75" s="26">
        <f t="shared" si="49"/>
        <v>0</v>
      </c>
      <c r="BT75" s="11">
        <v>0</v>
      </c>
      <c r="BU75" s="11">
        <v>0</v>
      </c>
      <c r="BV75" s="11">
        <v>0</v>
      </c>
      <c r="BW75" s="11">
        <v>0</v>
      </c>
      <c r="BX75" s="11">
        <v>0</v>
      </c>
      <c r="BY75" s="11">
        <v>0</v>
      </c>
      <c r="BZ75" s="11">
        <v>0</v>
      </c>
      <c r="CA75" s="11">
        <v>0</v>
      </c>
      <c r="CB75" s="11">
        <v>0</v>
      </c>
      <c r="CC75" s="11">
        <v>0</v>
      </c>
      <c r="CD75" s="11">
        <v>0</v>
      </c>
      <c r="CE75" s="11">
        <v>0</v>
      </c>
      <c r="CF75" s="26">
        <f t="shared" si="50"/>
        <v>0</v>
      </c>
      <c r="CG75" s="11">
        <v>0</v>
      </c>
      <c r="CH75" s="11">
        <v>0</v>
      </c>
      <c r="CI75" s="11">
        <v>0</v>
      </c>
      <c r="CJ75" s="11">
        <v>0</v>
      </c>
      <c r="CK75" s="11">
        <v>0</v>
      </c>
      <c r="CL75" s="11">
        <v>0</v>
      </c>
      <c r="CM75" s="11">
        <v>0</v>
      </c>
      <c r="CN75" s="11">
        <v>0</v>
      </c>
      <c r="CO75" s="11">
        <v>0</v>
      </c>
      <c r="CP75" s="11">
        <v>0</v>
      </c>
      <c r="CQ75" s="11">
        <v>0</v>
      </c>
      <c r="CR75" s="11">
        <v>0</v>
      </c>
      <c r="CS75" s="26">
        <f t="shared" si="51"/>
        <v>0</v>
      </c>
      <c r="CT75" s="11">
        <v>0</v>
      </c>
      <c r="CU75" s="11">
        <v>0</v>
      </c>
      <c r="CV75" s="11">
        <v>0</v>
      </c>
      <c r="CW75" s="11">
        <v>0</v>
      </c>
      <c r="CX75" s="11">
        <v>0</v>
      </c>
      <c r="CY75" s="11">
        <v>0</v>
      </c>
      <c r="CZ75" s="11">
        <v>0</v>
      </c>
      <c r="DA75" s="11">
        <v>0</v>
      </c>
      <c r="DB75" s="11">
        <v>0</v>
      </c>
      <c r="DC75" s="11">
        <v>0</v>
      </c>
      <c r="DD75" s="11">
        <v>0</v>
      </c>
      <c r="DE75" s="11">
        <v>0</v>
      </c>
      <c r="DF75" s="26">
        <f t="shared" si="52"/>
        <v>0</v>
      </c>
      <c r="DG75" s="11">
        <v>0</v>
      </c>
      <c r="DH75" s="11">
        <v>0</v>
      </c>
      <c r="DI75" s="11">
        <v>0</v>
      </c>
      <c r="DJ75" s="11">
        <v>0</v>
      </c>
      <c r="DK75" s="11">
        <v>0</v>
      </c>
      <c r="DL75" s="11">
        <v>0</v>
      </c>
      <c r="DM75" s="11">
        <v>0</v>
      </c>
      <c r="DN75" s="11">
        <v>0</v>
      </c>
      <c r="DO75" s="11">
        <v>0</v>
      </c>
      <c r="DP75" s="11">
        <v>0</v>
      </c>
      <c r="DQ75" s="11">
        <v>0</v>
      </c>
      <c r="DR75" s="11">
        <v>0</v>
      </c>
      <c r="DS75" s="26">
        <f t="shared" si="53"/>
        <v>0</v>
      </c>
      <c r="DT75" s="11">
        <v>0</v>
      </c>
      <c r="DU75" s="11">
        <v>0</v>
      </c>
      <c r="DV75" s="11">
        <v>0</v>
      </c>
      <c r="DW75" s="11">
        <v>0</v>
      </c>
      <c r="DX75" s="11">
        <v>0</v>
      </c>
      <c r="DY75" s="11">
        <v>0</v>
      </c>
      <c r="DZ75" s="11">
        <v>0</v>
      </c>
      <c r="EA75" s="11">
        <v>0</v>
      </c>
      <c r="EB75" s="11">
        <v>0</v>
      </c>
      <c r="EC75" s="11">
        <v>0</v>
      </c>
      <c r="ED75" s="11">
        <v>0</v>
      </c>
      <c r="EE75" s="11">
        <v>0</v>
      </c>
      <c r="EF75" s="26">
        <f t="shared" si="54"/>
        <v>0</v>
      </c>
      <c r="EG75" s="9">
        <f t="shared" si="55"/>
        <v>0</v>
      </c>
      <c r="EH75" s="9">
        <f t="shared" si="56"/>
        <v>0</v>
      </c>
      <c r="EI75" s="11">
        <v>2757</v>
      </c>
      <c r="EJ75" s="11">
        <v>2068</v>
      </c>
      <c r="EK75" s="11">
        <v>2361</v>
      </c>
      <c r="EL75" s="11">
        <v>2552</v>
      </c>
      <c r="EM75" s="11">
        <v>2717</v>
      </c>
      <c r="EN75" s="11">
        <v>2293</v>
      </c>
      <c r="EO75" s="11">
        <v>2971</v>
      </c>
      <c r="EP75" s="11">
        <v>3376</v>
      </c>
      <c r="EQ75" s="11">
        <v>3383</v>
      </c>
      <c r="ER75" s="11">
        <v>2870</v>
      </c>
      <c r="ES75" s="11">
        <v>3454</v>
      </c>
      <c r="ET75" s="11">
        <v>3587</v>
      </c>
      <c r="EU75" s="26">
        <f t="shared" si="57"/>
        <v>34389</v>
      </c>
      <c r="EV75" s="11">
        <v>1773</v>
      </c>
      <c r="EW75" s="11">
        <v>1527</v>
      </c>
      <c r="EX75" s="11">
        <v>1658</v>
      </c>
      <c r="EY75" s="11">
        <v>1904</v>
      </c>
      <c r="EZ75" s="11">
        <v>1900</v>
      </c>
      <c r="FA75" s="11">
        <v>1812</v>
      </c>
      <c r="FB75" s="11">
        <v>1752</v>
      </c>
      <c r="FC75" s="11">
        <v>2256</v>
      </c>
      <c r="FD75" s="11">
        <v>2059</v>
      </c>
      <c r="FE75" s="11">
        <v>2026</v>
      </c>
      <c r="FF75" s="11">
        <v>2167</v>
      </c>
      <c r="FG75" s="11">
        <v>2074</v>
      </c>
      <c r="FH75" s="26">
        <f t="shared" si="58"/>
        <v>22908</v>
      </c>
      <c r="FI75" s="11">
        <v>0</v>
      </c>
      <c r="FJ75" s="11">
        <v>0</v>
      </c>
      <c r="FK75" s="11">
        <v>0</v>
      </c>
      <c r="FL75" s="11">
        <v>0</v>
      </c>
      <c r="FM75" s="11">
        <v>0</v>
      </c>
      <c r="FN75" s="11">
        <v>0</v>
      </c>
      <c r="FO75" s="11">
        <v>0</v>
      </c>
      <c r="FP75" s="11">
        <v>0</v>
      </c>
      <c r="FQ75" s="11">
        <v>0</v>
      </c>
      <c r="FR75" s="11">
        <v>0</v>
      </c>
      <c r="FS75" s="11">
        <v>0</v>
      </c>
      <c r="FT75" s="11">
        <v>0</v>
      </c>
      <c r="FU75" s="26">
        <f t="shared" si="59"/>
        <v>0</v>
      </c>
      <c r="FV75" s="11">
        <v>0</v>
      </c>
      <c r="FW75" s="11">
        <v>0</v>
      </c>
      <c r="FX75" s="11">
        <v>0</v>
      </c>
      <c r="FY75" s="11">
        <v>0</v>
      </c>
      <c r="FZ75" s="11">
        <v>0</v>
      </c>
      <c r="GA75" s="11">
        <v>0</v>
      </c>
      <c r="GB75" s="11">
        <v>0</v>
      </c>
      <c r="GC75" s="11">
        <v>0</v>
      </c>
      <c r="GD75" s="11">
        <v>0</v>
      </c>
      <c r="GE75" s="11">
        <v>0</v>
      </c>
      <c r="GF75" s="11">
        <v>0</v>
      </c>
      <c r="GG75" s="11">
        <v>0</v>
      </c>
      <c r="GH75" s="26">
        <f t="shared" si="60"/>
        <v>0</v>
      </c>
      <c r="GI75" s="11">
        <v>0</v>
      </c>
      <c r="GJ75" s="11">
        <v>0</v>
      </c>
      <c r="GK75" s="11">
        <v>0</v>
      </c>
      <c r="GL75" s="11">
        <v>0</v>
      </c>
      <c r="GM75" s="11">
        <v>0</v>
      </c>
      <c r="GN75" s="11">
        <v>0</v>
      </c>
      <c r="GO75" s="11">
        <v>0</v>
      </c>
      <c r="GP75" s="11">
        <v>0</v>
      </c>
      <c r="GQ75" s="11">
        <v>0</v>
      </c>
      <c r="GR75" s="11">
        <v>0</v>
      </c>
      <c r="GS75" s="11">
        <v>0</v>
      </c>
      <c r="GT75" s="11">
        <v>0</v>
      </c>
      <c r="GU75" s="26">
        <f t="shared" si="61"/>
        <v>0</v>
      </c>
      <c r="GV75" s="11">
        <v>0</v>
      </c>
      <c r="GW75" s="11">
        <v>0</v>
      </c>
      <c r="GX75" s="11">
        <v>0</v>
      </c>
      <c r="GY75" s="11">
        <v>0</v>
      </c>
      <c r="GZ75" s="11">
        <v>0</v>
      </c>
      <c r="HA75" s="11">
        <v>0</v>
      </c>
      <c r="HB75" s="11">
        <v>0</v>
      </c>
      <c r="HC75" s="11">
        <v>0</v>
      </c>
      <c r="HD75" s="11">
        <v>0</v>
      </c>
      <c r="HE75" s="11">
        <v>0</v>
      </c>
      <c r="HF75" s="11">
        <v>0</v>
      </c>
      <c r="HG75" s="11">
        <v>0</v>
      </c>
      <c r="HH75" s="26">
        <f t="shared" si="62"/>
        <v>0</v>
      </c>
      <c r="HI75" s="11">
        <v>0</v>
      </c>
      <c r="HJ75" s="11">
        <v>0</v>
      </c>
      <c r="HK75" s="11">
        <v>0</v>
      </c>
      <c r="HL75" s="11">
        <v>0</v>
      </c>
      <c r="HM75" s="11">
        <v>0</v>
      </c>
      <c r="HN75" s="11">
        <v>0</v>
      </c>
      <c r="HO75" s="11">
        <v>0</v>
      </c>
      <c r="HP75" s="11">
        <v>0</v>
      </c>
      <c r="HQ75" s="11">
        <v>0</v>
      </c>
      <c r="HR75" s="11">
        <v>0</v>
      </c>
      <c r="HS75" s="11">
        <v>0</v>
      </c>
      <c r="HT75" s="11">
        <v>0</v>
      </c>
      <c r="HU75" s="26">
        <f t="shared" si="63"/>
        <v>0</v>
      </c>
      <c r="HV75" s="11">
        <v>0</v>
      </c>
      <c r="HW75" s="11">
        <v>0</v>
      </c>
      <c r="HX75" s="11">
        <v>0</v>
      </c>
      <c r="HY75" s="11">
        <v>0</v>
      </c>
      <c r="HZ75" s="11">
        <v>0</v>
      </c>
      <c r="IA75" s="11">
        <v>0</v>
      </c>
      <c r="IB75" s="11">
        <v>0</v>
      </c>
      <c r="IC75" s="11">
        <v>0</v>
      </c>
      <c r="ID75" s="11">
        <v>0</v>
      </c>
      <c r="IE75" s="11">
        <v>0</v>
      </c>
      <c r="IF75" s="11">
        <v>0</v>
      </c>
      <c r="IG75" s="11">
        <v>0</v>
      </c>
      <c r="IH75" s="26">
        <f t="shared" si="64"/>
        <v>0</v>
      </c>
      <c r="II75" s="9">
        <f t="shared" si="65"/>
        <v>22908</v>
      </c>
      <c r="IJ75" s="9">
        <f t="shared" si="66"/>
        <v>0</v>
      </c>
      <c r="IK75" s="11">
        <v>9724</v>
      </c>
      <c r="IL75" s="11">
        <v>9317</v>
      </c>
      <c r="IM75" s="11">
        <v>8331</v>
      </c>
      <c r="IN75" s="11">
        <v>9655</v>
      </c>
      <c r="IO75" s="11">
        <v>10112</v>
      </c>
      <c r="IP75" s="11">
        <v>8919</v>
      </c>
      <c r="IQ75" s="11">
        <v>9517</v>
      </c>
      <c r="IR75" s="11">
        <v>8562</v>
      </c>
      <c r="IS75" s="11">
        <v>5997</v>
      </c>
      <c r="IT75" s="11">
        <v>9382</v>
      </c>
      <c r="IU75" s="11">
        <v>8485</v>
      </c>
      <c r="IV75" s="11">
        <v>8950</v>
      </c>
      <c r="IW75" s="27">
        <f t="shared" si="67"/>
        <v>106951</v>
      </c>
      <c r="IX75" s="11">
        <v>0</v>
      </c>
      <c r="IY75" s="11">
        <v>0</v>
      </c>
      <c r="IZ75" s="11">
        <v>0</v>
      </c>
      <c r="JA75" s="11">
        <v>0</v>
      </c>
      <c r="JB75" s="11">
        <v>0</v>
      </c>
      <c r="JC75" s="11">
        <v>0</v>
      </c>
      <c r="JD75" s="11">
        <v>0</v>
      </c>
      <c r="JE75" s="11">
        <v>0</v>
      </c>
      <c r="JF75" s="11">
        <v>0</v>
      </c>
      <c r="JG75" s="11">
        <v>0</v>
      </c>
      <c r="JH75" s="11">
        <v>0</v>
      </c>
      <c r="JI75" s="11">
        <v>0</v>
      </c>
      <c r="JJ75" s="27">
        <f t="shared" si="68"/>
        <v>0</v>
      </c>
      <c r="JK75" s="11">
        <v>0</v>
      </c>
      <c r="JL75" s="11">
        <v>0</v>
      </c>
      <c r="JM75" s="11">
        <v>0</v>
      </c>
      <c r="JN75" s="11">
        <v>0</v>
      </c>
      <c r="JO75" s="11">
        <v>0</v>
      </c>
      <c r="JP75" s="11">
        <v>0</v>
      </c>
      <c r="JQ75" s="11">
        <v>0</v>
      </c>
      <c r="JR75" s="11">
        <v>0</v>
      </c>
      <c r="JS75" s="11">
        <v>0</v>
      </c>
      <c r="JT75" s="11">
        <v>0</v>
      </c>
      <c r="JU75" s="11">
        <v>0</v>
      </c>
      <c r="JV75" s="11">
        <v>0</v>
      </c>
      <c r="JW75" s="27">
        <f t="shared" si="69"/>
        <v>0</v>
      </c>
      <c r="JX75" s="11">
        <v>0</v>
      </c>
      <c r="JY75" s="11">
        <v>0</v>
      </c>
      <c r="JZ75" s="11">
        <v>0</v>
      </c>
      <c r="KA75" s="11">
        <v>0</v>
      </c>
      <c r="KB75" s="11">
        <v>0</v>
      </c>
      <c r="KC75" s="11">
        <v>0</v>
      </c>
      <c r="KD75" s="11">
        <v>0</v>
      </c>
      <c r="KE75" s="11">
        <v>0</v>
      </c>
      <c r="KF75" s="11">
        <v>0</v>
      </c>
      <c r="KG75" s="11">
        <v>0</v>
      </c>
      <c r="KH75" s="11">
        <v>0</v>
      </c>
      <c r="KI75" s="11">
        <v>0</v>
      </c>
      <c r="KJ75" s="27">
        <f t="shared" si="70"/>
        <v>0</v>
      </c>
      <c r="KK75" s="11">
        <v>0</v>
      </c>
      <c r="KL75" s="11">
        <v>0</v>
      </c>
      <c r="KM75" s="11">
        <v>0</v>
      </c>
      <c r="KN75" s="11">
        <v>0</v>
      </c>
      <c r="KO75" s="11">
        <v>0</v>
      </c>
      <c r="KP75" s="11">
        <v>0</v>
      </c>
      <c r="KQ75" s="11">
        <v>0</v>
      </c>
      <c r="KR75" s="11">
        <v>0</v>
      </c>
      <c r="KS75" s="11">
        <v>0</v>
      </c>
      <c r="KT75" s="11">
        <v>0</v>
      </c>
      <c r="KU75" s="11">
        <v>0</v>
      </c>
      <c r="KV75" s="11">
        <v>0</v>
      </c>
      <c r="KW75" s="27">
        <f t="shared" si="71"/>
        <v>0</v>
      </c>
      <c r="KX75" s="11">
        <v>0</v>
      </c>
      <c r="KY75" s="11">
        <v>0</v>
      </c>
      <c r="KZ75" s="11">
        <v>0</v>
      </c>
      <c r="LA75" s="11">
        <v>0</v>
      </c>
      <c r="LB75" s="11">
        <v>0</v>
      </c>
      <c r="LC75" s="11">
        <v>0</v>
      </c>
      <c r="LD75" s="11">
        <v>0</v>
      </c>
      <c r="LE75" s="11">
        <v>0</v>
      </c>
      <c r="LF75" s="11">
        <v>0</v>
      </c>
      <c r="LG75" s="11">
        <v>0</v>
      </c>
      <c r="LH75" s="11">
        <v>0</v>
      </c>
      <c r="LI75" s="11">
        <v>0</v>
      </c>
      <c r="LJ75" s="27">
        <f t="shared" si="72"/>
        <v>0</v>
      </c>
      <c r="LK75" s="11">
        <v>0</v>
      </c>
      <c r="LL75" s="11">
        <v>0</v>
      </c>
      <c r="LM75" s="11">
        <v>0</v>
      </c>
      <c r="LN75" s="11">
        <v>0</v>
      </c>
      <c r="LO75" s="11">
        <v>0</v>
      </c>
      <c r="LP75" s="11">
        <v>0</v>
      </c>
      <c r="LQ75" s="11">
        <v>0</v>
      </c>
      <c r="LR75" s="11">
        <v>0</v>
      </c>
      <c r="LS75" s="11">
        <v>0</v>
      </c>
      <c r="LT75" s="11">
        <v>0</v>
      </c>
      <c r="LU75" s="11">
        <v>0</v>
      </c>
      <c r="LV75" s="11">
        <v>0</v>
      </c>
      <c r="LW75" s="27">
        <f t="shared" si="73"/>
        <v>0</v>
      </c>
      <c r="LX75" s="11">
        <v>0</v>
      </c>
      <c r="LY75" s="11">
        <v>0</v>
      </c>
      <c r="LZ75" s="11">
        <v>0</v>
      </c>
      <c r="MA75" s="11">
        <v>0</v>
      </c>
      <c r="MB75" s="11">
        <v>0</v>
      </c>
      <c r="MC75" s="11">
        <v>0</v>
      </c>
      <c r="MD75" s="11">
        <v>0</v>
      </c>
      <c r="ME75" s="11">
        <v>0</v>
      </c>
      <c r="MF75" s="11">
        <v>0</v>
      </c>
      <c r="MG75" s="11">
        <v>0</v>
      </c>
      <c r="MH75" s="11">
        <v>0</v>
      </c>
      <c r="MI75" s="11">
        <v>0</v>
      </c>
      <c r="MJ75" s="27">
        <f t="shared" si="74"/>
        <v>0</v>
      </c>
      <c r="MK75" s="11">
        <v>765</v>
      </c>
      <c r="ML75" s="11">
        <v>760</v>
      </c>
      <c r="MM75" s="11">
        <v>773</v>
      </c>
      <c r="MN75" s="11">
        <v>815</v>
      </c>
      <c r="MO75" s="11">
        <v>851</v>
      </c>
      <c r="MP75" s="11">
        <v>871</v>
      </c>
      <c r="MQ75" s="11">
        <v>936</v>
      </c>
      <c r="MR75" s="11">
        <v>827</v>
      </c>
      <c r="MS75" s="11">
        <v>749</v>
      </c>
      <c r="MT75" s="11">
        <v>846</v>
      </c>
      <c r="MU75" s="11">
        <v>695</v>
      </c>
      <c r="MV75" s="11">
        <v>765</v>
      </c>
      <c r="MW75" s="27">
        <f t="shared" si="75"/>
        <v>9653</v>
      </c>
      <c r="MX75" s="11">
        <v>690</v>
      </c>
      <c r="MY75" s="11">
        <v>685</v>
      </c>
      <c r="MZ75" s="11">
        <v>722</v>
      </c>
      <c r="NA75" s="11">
        <v>754</v>
      </c>
      <c r="NB75" s="11">
        <v>787</v>
      </c>
      <c r="NC75" s="11">
        <v>787</v>
      </c>
      <c r="ND75" s="11">
        <v>861</v>
      </c>
      <c r="NE75" s="11">
        <v>750</v>
      </c>
      <c r="NF75" s="11">
        <v>680</v>
      </c>
      <c r="NG75" s="11">
        <v>755</v>
      </c>
      <c r="NH75" s="11">
        <v>630</v>
      </c>
      <c r="NI75" s="11">
        <v>681</v>
      </c>
      <c r="NJ75" s="27">
        <f t="shared" si="76"/>
        <v>8782</v>
      </c>
      <c r="NK75" s="11">
        <v>46</v>
      </c>
      <c r="NL75" s="11">
        <v>37</v>
      </c>
      <c r="NM75" s="11">
        <v>23</v>
      </c>
      <c r="NN75" s="11">
        <v>35</v>
      </c>
      <c r="NO75" s="11">
        <v>45</v>
      </c>
      <c r="NP75" s="11">
        <v>58</v>
      </c>
      <c r="NQ75" s="11">
        <v>51</v>
      </c>
      <c r="NR75" s="11">
        <v>56</v>
      </c>
      <c r="NS75" s="11">
        <v>47</v>
      </c>
      <c r="NT75" s="11">
        <v>50</v>
      </c>
      <c r="NU75" s="11">
        <v>38</v>
      </c>
      <c r="NV75" s="11">
        <v>46</v>
      </c>
      <c r="NW75" s="27">
        <f t="shared" si="77"/>
        <v>532</v>
      </c>
      <c r="NX75" s="11">
        <v>29</v>
      </c>
      <c r="NY75" s="11">
        <v>38</v>
      </c>
      <c r="NZ75" s="11">
        <v>28</v>
      </c>
      <c r="OA75" s="11">
        <v>26</v>
      </c>
      <c r="OB75" s="11">
        <v>19</v>
      </c>
      <c r="OC75" s="11">
        <v>26</v>
      </c>
      <c r="OD75" s="11">
        <v>24</v>
      </c>
      <c r="OE75" s="11">
        <v>21</v>
      </c>
      <c r="OF75" s="11">
        <v>22</v>
      </c>
      <c r="OG75" s="11">
        <v>41</v>
      </c>
      <c r="OH75" s="11">
        <v>27</v>
      </c>
      <c r="OI75" s="11">
        <v>38</v>
      </c>
      <c r="OJ75" s="27">
        <f t="shared" si="78"/>
        <v>339</v>
      </c>
      <c r="OK75" s="11">
        <v>1025</v>
      </c>
      <c r="OL75" s="11">
        <v>993</v>
      </c>
      <c r="OM75" s="11">
        <v>1080</v>
      </c>
      <c r="ON75" s="11">
        <v>1113</v>
      </c>
      <c r="OO75" s="11">
        <v>1063</v>
      </c>
      <c r="OP75" s="11">
        <v>1115</v>
      </c>
      <c r="OQ75" s="11">
        <v>1125</v>
      </c>
      <c r="OR75" s="11">
        <v>1089</v>
      </c>
      <c r="OS75" s="11">
        <v>1129</v>
      </c>
      <c r="OT75" s="11">
        <v>1223</v>
      </c>
      <c r="OU75" s="11">
        <v>1151</v>
      </c>
      <c r="OV75" s="11">
        <v>1227</v>
      </c>
      <c r="OW75" s="27">
        <f t="shared" si="79"/>
        <v>13333</v>
      </c>
      <c r="OX75" s="11">
        <v>891</v>
      </c>
      <c r="OY75" s="11">
        <v>870</v>
      </c>
      <c r="OZ75" s="11">
        <v>952</v>
      </c>
      <c r="PA75" s="11">
        <v>957</v>
      </c>
      <c r="PB75" s="11">
        <v>914</v>
      </c>
      <c r="PC75" s="11">
        <v>974</v>
      </c>
      <c r="PD75" s="11">
        <v>989</v>
      </c>
      <c r="PE75" s="11">
        <v>933</v>
      </c>
      <c r="PF75" s="11">
        <v>1007</v>
      </c>
      <c r="PG75" s="11">
        <v>1063</v>
      </c>
      <c r="PH75" s="11">
        <v>1028</v>
      </c>
      <c r="PI75" s="11">
        <v>1096</v>
      </c>
      <c r="PJ75" s="27">
        <f t="shared" si="80"/>
        <v>11674</v>
      </c>
      <c r="PK75" s="11">
        <v>74</v>
      </c>
      <c r="PL75" s="11">
        <v>62</v>
      </c>
      <c r="PM75" s="11">
        <v>62</v>
      </c>
      <c r="PN75" s="11">
        <v>87</v>
      </c>
      <c r="PO75" s="11">
        <v>84</v>
      </c>
      <c r="PP75" s="11">
        <v>92</v>
      </c>
      <c r="PQ75" s="11">
        <v>81</v>
      </c>
      <c r="PR75" s="11">
        <v>102</v>
      </c>
      <c r="PS75" s="11">
        <v>77</v>
      </c>
      <c r="PT75" s="11">
        <v>101</v>
      </c>
      <c r="PU75" s="11">
        <v>76</v>
      </c>
      <c r="PV75" s="11">
        <v>83</v>
      </c>
      <c r="PW75" s="27">
        <f t="shared" si="81"/>
        <v>981</v>
      </c>
      <c r="PX75" s="11">
        <v>60</v>
      </c>
      <c r="PY75" s="11">
        <v>61</v>
      </c>
      <c r="PZ75" s="11">
        <v>66</v>
      </c>
      <c r="QA75" s="11">
        <v>69</v>
      </c>
      <c r="QB75" s="11">
        <v>65</v>
      </c>
      <c r="QC75" s="11">
        <v>49</v>
      </c>
      <c r="QD75" s="11">
        <v>55</v>
      </c>
      <c r="QE75" s="11">
        <v>54</v>
      </c>
      <c r="QF75" s="11">
        <v>45</v>
      </c>
      <c r="QG75" s="11">
        <v>59</v>
      </c>
      <c r="QH75" s="11">
        <v>47</v>
      </c>
      <c r="QI75" s="11">
        <v>48</v>
      </c>
      <c r="QJ75" s="27">
        <f t="shared" si="82"/>
        <v>678</v>
      </c>
      <c r="QK75" s="11">
        <v>24331</v>
      </c>
      <c r="QL75" s="11">
        <v>22075</v>
      </c>
      <c r="QM75" s="11">
        <v>15373</v>
      </c>
      <c r="QN75" s="11">
        <v>22519</v>
      </c>
      <c r="QO75" s="11">
        <v>20510</v>
      </c>
      <c r="QP75" s="11">
        <v>19717</v>
      </c>
      <c r="QQ75" s="11">
        <v>23245</v>
      </c>
      <c r="QR75" s="11">
        <v>20178</v>
      </c>
      <c r="QS75" s="11">
        <v>15769</v>
      </c>
      <c r="QT75" s="11">
        <v>19197</v>
      </c>
      <c r="QU75" s="11">
        <v>19036</v>
      </c>
      <c r="QV75" s="11">
        <v>20674</v>
      </c>
      <c r="QW75" s="27">
        <f t="shared" si="83"/>
        <v>242624</v>
      </c>
      <c r="QX75" s="11">
        <v>0</v>
      </c>
      <c r="QY75" s="11">
        <v>0</v>
      </c>
      <c r="QZ75" s="11">
        <v>0</v>
      </c>
      <c r="RA75" s="11">
        <v>0</v>
      </c>
      <c r="RB75" s="11">
        <v>0</v>
      </c>
      <c r="RC75" s="11">
        <v>0</v>
      </c>
      <c r="RD75" s="11">
        <v>0</v>
      </c>
      <c r="RE75" s="11">
        <v>0</v>
      </c>
      <c r="RF75" s="11">
        <v>0</v>
      </c>
      <c r="RG75" s="11">
        <v>0</v>
      </c>
      <c r="RH75" s="11">
        <v>0</v>
      </c>
      <c r="RI75" s="11">
        <v>0</v>
      </c>
      <c r="RJ75" s="27">
        <f t="shared" si="84"/>
        <v>0</v>
      </c>
      <c r="RK75" s="11">
        <v>0</v>
      </c>
      <c r="RL75" s="11">
        <v>0</v>
      </c>
      <c r="RM75" s="11">
        <v>0</v>
      </c>
      <c r="RN75" s="11">
        <v>0</v>
      </c>
      <c r="RO75" s="11">
        <v>0</v>
      </c>
      <c r="RP75" s="11">
        <v>0</v>
      </c>
      <c r="RQ75" s="11">
        <v>0</v>
      </c>
      <c r="RR75" s="11">
        <v>0</v>
      </c>
      <c r="RS75" s="11">
        <v>0</v>
      </c>
      <c r="RT75" s="11">
        <v>0</v>
      </c>
      <c r="RU75" s="11">
        <v>0</v>
      </c>
      <c r="RV75" s="11">
        <v>0</v>
      </c>
      <c r="RW75" s="27">
        <f t="shared" si="85"/>
        <v>0</v>
      </c>
      <c r="RX75" s="11">
        <v>0</v>
      </c>
      <c r="RY75" s="11">
        <v>0</v>
      </c>
      <c r="RZ75" s="11">
        <v>0</v>
      </c>
      <c r="SA75" s="11">
        <v>0</v>
      </c>
      <c r="SB75" s="11">
        <v>0</v>
      </c>
      <c r="SC75" s="11">
        <v>0</v>
      </c>
      <c r="SD75" s="11">
        <v>0</v>
      </c>
      <c r="SE75" s="11">
        <v>0</v>
      </c>
      <c r="SF75" s="11">
        <v>0</v>
      </c>
      <c r="SG75" s="11">
        <v>0</v>
      </c>
      <c r="SH75" s="11">
        <v>0</v>
      </c>
      <c r="SI75" s="11">
        <v>0</v>
      </c>
      <c r="SJ75" s="27">
        <f t="shared" si="86"/>
        <v>0</v>
      </c>
      <c r="SK75" s="11">
        <v>104</v>
      </c>
      <c r="SL75" s="11">
        <v>80</v>
      </c>
      <c r="SM75" s="11">
        <v>85</v>
      </c>
      <c r="SN75" s="11">
        <v>85</v>
      </c>
      <c r="SO75" s="11">
        <v>95</v>
      </c>
      <c r="SP75" s="11">
        <v>104</v>
      </c>
      <c r="SQ75" s="11">
        <v>113</v>
      </c>
      <c r="SR75" s="11">
        <v>98</v>
      </c>
      <c r="SS75" s="11">
        <v>87</v>
      </c>
      <c r="ST75" s="11">
        <v>94</v>
      </c>
      <c r="SU75" s="11">
        <v>76</v>
      </c>
      <c r="SV75" s="11">
        <v>54</v>
      </c>
      <c r="SW75" s="27">
        <f t="shared" si="87"/>
        <v>1075</v>
      </c>
      <c r="SX75" s="11" t="s">
        <v>2714</v>
      </c>
      <c r="SY75" s="11">
        <v>0</v>
      </c>
      <c r="SZ75" s="11">
        <v>0</v>
      </c>
      <c r="TA75" s="11">
        <v>0</v>
      </c>
      <c r="TB75" s="11">
        <v>0</v>
      </c>
      <c r="TC75" s="11">
        <v>0</v>
      </c>
      <c r="TD75" s="11">
        <v>0</v>
      </c>
      <c r="TE75" s="11">
        <v>0</v>
      </c>
      <c r="TF75" s="11">
        <v>0</v>
      </c>
      <c r="TG75" s="11">
        <v>0</v>
      </c>
      <c r="TH75" s="11">
        <v>0</v>
      </c>
      <c r="TI75" s="11">
        <v>0</v>
      </c>
      <c r="TJ75" s="11">
        <v>0</v>
      </c>
      <c r="TK75" s="27">
        <f t="shared" si="88"/>
        <v>0</v>
      </c>
      <c r="TL75" s="11">
        <v>980</v>
      </c>
      <c r="TM75" s="11">
        <v>1031</v>
      </c>
      <c r="TN75" s="11">
        <v>989</v>
      </c>
      <c r="TO75" s="11">
        <v>1096</v>
      </c>
      <c r="TP75" s="11">
        <v>980</v>
      </c>
      <c r="TQ75" s="11">
        <v>1059</v>
      </c>
      <c r="TR75" s="11">
        <v>1014</v>
      </c>
      <c r="TS75" s="11">
        <v>914</v>
      </c>
      <c r="TT75" s="11">
        <v>614</v>
      </c>
      <c r="TU75" s="11">
        <v>942</v>
      </c>
      <c r="TV75" s="11">
        <v>852</v>
      </c>
      <c r="TW75" s="11">
        <v>950</v>
      </c>
      <c r="TX75" s="27">
        <f t="shared" si="89"/>
        <v>11421</v>
      </c>
      <c r="TY75" s="11">
        <v>80</v>
      </c>
      <c r="TZ75" s="11">
        <v>0</v>
      </c>
      <c r="UA75" s="11">
        <v>0</v>
      </c>
    </row>
    <row r="76" spans="1:547" ht="16" customHeight="1" x14ac:dyDescent="0.35">
      <c r="A76" s="11" t="s">
        <v>1518</v>
      </c>
      <c r="B76" s="11">
        <v>28403</v>
      </c>
      <c r="C76" s="11">
        <v>6688</v>
      </c>
      <c r="D76" s="11">
        <v>19967</v>
      </c>
      <c r="E76" s="11">
        <v>1748</v>
      </c>
      <c r="F76" s="11">
        <v>212</v>
      </c>
      <c r="G76" s="11">
        <v>157</v>
      </c>
      <c r="H76" s="11">
        <v>167</v>
      </c>
      <c r="I76" s="11">
        <v>155</v>
      </c>
      <c r="J76" s="11">
        <v>120</v>
      </c>
      <c r="K76" s="11">
        <v>121</v>
      </c>
      <c r="L76" s="11">
        <v>174</v>
      </c>
      <c r="M76" s="11">
        <v>165</v>
      </c>
      <c r="N76" s="11">
        <v>114</v>
      </c>
      <c r="O76" s="11">
        <v>160</v>
      </c>
      <c r="P76" s="11" t="s">
        <v>2866</v>
      </c>
      <c r="Q76" s="11">
        <v>149</v>
      </c>
      <c r="R76" s="11">
        <v>157</v>
      </c>
      <c r="S76" s="26">
        <f t="shared" si="45"/>
        <v>1851</v>
      </c>
      <c r="T76" s="11">
        <v>104</v>
      </c>
      <c r="U76" s="11">
        <v>66</v>
      </c>
      <c r="V76" s="11">
        <v>73</v>
      </c>
      <c r="W76" s="11">
        <v>59</v>
      </c>
      <c r="X76" s="11">
        <v>28</v>
      </c>
      <c r="Y76" s="11">
        <v>38</v>
      </c>
      <c r="Z76" s="11">
        <v>69</v>
      </c>
      <c r="AA76" s="11">
        <v>73</v>
      </c>
      <c r="AB76" s="11">
        <v>31</v>
      </c>
      <c r="AC76" s="11">
        <v>61</v>
      </c>
      <c r="AD76" s="11">
        <v>56</v>
      </c>
      <c r="AE76" s="11">
        <v>67</v>
      </c>
      <c r="AF76" s="26">
        <f t="shared" si="46"/>
        <v>725</v>
      </c>
      <c r="AG76" s="11">
        <v>108</v>
      </c>
      <c r="AH76" s="11">
        <v>91</v>
      </c>
      <c r="AI76" s="11">
        <v>94</v>
      </c>
      <c r="AJ76" s="11">
        <v>96</v>
      </c>
      <c r="AK76" s="11">
        <v>92</v>
      </c>
      <c r="AL76" s="11">
        <v>83</v>
      </c>
      <c r="AM76" s="11">
        <v>105</v>
      </c>
      <c r="AN76" s="11">
        <v>92</v>
      </c>
      <c r="AO76" s="11">
        <v>83</v>
      </c>
      <c r="AP76" s="11">
        <v>99</v>
      </c>
      <c r="AQ76" s="11">
        <v>93</v>
      </c>
      <c r="AR76" s="11">
        <v>90</v>
      </c>
      <c r="AS76" s="26">
        <f t="shared" si="47"/>
        <v>1126</v>
      </c>
      <c r="AT76" s="11">
        <v>0</v>
      </c>
      <c r="AU76" s="11">
        <v>0</v>
      </c>
      <c r="AV76" s="11">
        <v>0</v>
      </c>
      <c r="AW76" s="11">
        <v>0</v>
      </c>
      <c r="AX76" s="11">
        <v>0</v>
      </c>
      <c r="AY76" s="11">
        <v>0</v>
      </c>
      <c r="AZ76" s="11">
        <v>0</v>
      </c>
      <c r="BA76" s="11">
        <v>0</v>
      </c>
      <c r="BB76" s="11">
        <v>0</v>
      </c>
      <c r="BC76" s="11">
        <v>0</v>
      </c>
      <c r="BD76" s="11">
        <v>0</v>
      </c>
      <c r="BE76" s="11">
        <v>0</v>
      </c>
      <c r="BF76" s="26">
        <f t="shared" si="48"/>
        <v>0</v>
      </c>
      <c r="BG76" s="11">
        <v>0</v>
      </c>
      <c r="BH76" s="11">
        <v>0</v>
      </c>
      <c r="BI76" s="11">
        <v>0</v>
      </c>
      <c r="BJ76" s="11">
        <v>0</v>
      </c>
      <c r="BK76" s="11">
        <v>0</v>
      </c>
      <c r="BL76" s="11">
        <v>0</v>
      </c>
      <c r="BM76" s="11">
        <v>0</v>
      </c>
      <c r="BN76" s="11">
        <v>0</v>
      </c>
      <c r="BO76" s="11">
        <v>0</v>
      </c>
      <c r="BP76" s="11">
        <v>0</v>
      </c>
      <c r="BQ76" s="11">
        <v>0</v>
      </c>
      <c r="BR76" s="11">
        <v>0</v>
      </c>
      <c r="BS76" s="26">
        <f t="shared" si="49"/>
        <v>0</v>
      </c>
      <c r="BT76" s="11">
        <v>0</v>
      </c>
      <c r="BU76" s="11">
        <v>0</v>
      </c>
      <c r="BV76" s="11">
        <v>0</v>
      </c>
      <c r="BW76" s="11">
        <v>0</v>
      </c>
      <c r="BX76" s="11">
        <v>0</v>
      </c>
      <c r="BY76" s="11">
        <v>0</v>
      </c>
      <c r="BZ76" s="11">
        <v>0</v>
      </c>
      <c r="CA76" s="11">
        <v>0</v>
      </c>
      <c r="CB76" s="11">
        <v>0</v>
      </c>
      <c r="CC76" s="11">
        <v>0</v>
      </c>
      <c r="CD76" s="11">
        <v>0</v>
      </c>
      <c r="CE76" s="11">
        <v>0</v>
      </c>
      <c r="CF76" s="26">
        <f t="shared" si="50"/>
        <v>0</v>
      </c>
      <c r="CG76" s="11">
        <v>0</v>
      </c>
      <c r="CH76" s="11">
        <v>0</v>
      </c>
      <c r="CI76" s="11">
        <v>0</v>
      </c>
      <c r="CJ76" s="11">
        <v>0</v>
      </c>
      <c r="CK76" s="11">
        <v>0</v>
      </c>
      <c r="CL76" s="11">
        <v>0</v>
      </c>
      <c r="CM76" s="11">
        <v>0</v>
      </c>
      <c r="CN76" s="11">
        <v>0</v>
      </c>
      <c r="CO76" s="11">
        <v>0</v>
      </c>
      <c r="CP76" s="11">
        <v>0</v>
      </c>
      <c r="CQ76" s="11">
        <v>0</v>
      </c>
      <c r="CR76" s="11">
        <v>0</v>
      </c>
      <c r="CS76" s="26">
        <f t="shared" si="51"/>
        <v>0</v>
      </c>
      <c r="CT76" s="11">
        <v>0</v>
      </c>
      <c r="CU76" s="11">
        <v>0</v>
      </c>
      <c r="CV76" s="11">
        <v>0</v>
      </c>
      <c r="CW76" s="11">
        <v>0</v>
      </c>
      <c r="CX76" s="11">
        <v>0</v>
      </c>
      <c r="CY76" s="11">
        <v>0</v>
      </c>
      <c r="CZ76" s="11">
        <v>0</v>
      </c>
      <c r="DA76" s="11">
        <v>0</v>
      </c>
      <c r="DB76" s="11">
        <v>0</v>
      </c>
      <c r="DC76" s="11">
        <v>0</v>
      </c>
      <c r="DD76" s="11">
        <v>0</v>
      </c>
      <c r="DE76" s="11">
        <v>0</v>
      </c>
      <c r="DF76" s="26">
        <f t="shared" si="52"/>
        <v>0</v>
      </c>
      <c r="DG76" s="11">
        <v>0</v>
      </c>
      <c r="DH76" s="11">
        <v>0</v>
      </c>
      <c r="DI76" s="11">
        <v>0</v>
      </c>
      <c r="DJ76" s="11">
        <v>0</v>
      </c>
      <c r="DK76" s="11">
        <v>0</v>
      </c>
      <c r="DL76" s="11">
        <v>0</v>
      </c>
      <c r="DM76" s="11">
        <v>0</v>
      </c>
      <c r="DN76" s="11">
        <v>0</v>
      </c>
      <c r="DO76" s="11">
        <v>0</v>
      </c>
      <c r="DP76" s="11">
        <v>0</v>
      </c>
      <c r="DQ76" s="11">
        <v>0</v>
      </c>
      <c r="DR76" s="11">
        <v>0</v>
      </c>
      <c r="DS76" s="26">
        <f t="shared" si="53"/>
        <v>0</v>
      </c>
      <c r="DT76" s="11">
        <v>0</v>
      </c>
      <c r="DU76" s="11">
        <v>0</v>
      </c>
      <c r="DV76" s="11">
        <v>0</v>
      </c>
      <c r="DW76" s="11">
        <v>0</v>
      </c>
      <c r="DX76" s="11">
        <v>0</v>
      </c>
      <c r="DY76" s="11">
        <v>0</v>
      </c>
      <c r="DZ76" s="11">
        <v>0</v>
      </c>
      <c r="EA76" s="11">
        <v>0</v>
      </c>
      <c r="EB76" s="11">
        <v>0</v>
      </c>
      <c r="EC76" s="11">
        <v>0</v>
      </c>
      <c r="ED76" s="11">
        <v>0</v>
      </c>
      <c r="EE76" s="11">
        <v>0</v>
      </c>
      <c r="EF76" s="26">
        <f t="shared" si="54"/>
        <v>0</v>
      </c>
      <c r="EG76" s="9">
        <f t="shared" si="55"/>
        <v>1851</v>
      </c>
      <c r="EH76" s="9">
        <f t="shared" si="56"/>
        <v>0</v>
      </c>
      <c r="EI76" s="11">
        <v>2178</v>
      </c>
      <c r="EJ76" s="11">
        <v>1616</v>
      </c>
      <c r="EK76" s="11">
        <v>1644</v>
      </c>
      <c r="EL76" s="11">
        <v>1507</v>
      </c>
      <c r="EM76" s="11">
        <v>1145</v>
      </c>
      <c r="EN76" s="11">
        <v>1549</v>
      </c>
      <c r="EO76" s="11">
        <v>1921</v>
      </c>
      <c r="EP76" s="11">
        <v>1854</v>
      </c>
      <c r="EQ76" s="11">
        <v>1150</v>
      </c>
      <c r="ER76" s="11">
        <v>1861</v>
      </c>
      <c r="ES76" s="11">
        <v>1999</v>
      </c>
      <c r="ET76" s="11">
        <v>2105</v>
      </c>
      <c r="EU76" s="26">
        <f t="shared" si="57"/>
        <v>20529</v>
      </c>
      <c r="EV76" s="11">
        <v>993</v>
      </c>
      <c r="EW76" s="11">
        <v>600</v>
      </c>
      <c r="EX76" s="11">
        <v>563</v>
      </c>
      <c r="EY76" s="11">
        <v>460</v>
      </c>
      <c r="EZ76" s="11">
        <v>145</v>
      </c>
      <c r="FA76" s="11">
        <v>387</v>
      </c>
      <c r="FB76" s="11">
        <v>568</v>
      </c>
      <c r="FC76" s="11">
        <v>762</v>
      </c>
      <c r="FD76" s="11">
        <v>220</v>
      </c>
      <c r="FE76" s="11">
        <v>623</v>
      </c>
      <c r="FF76" s="11">
        <v>646</v>
      </c>
      <c r="FG76" s="11">
        <v>772</v>
      </c>
      <c r="FH76" s="26">
        <f t="shared" si="58"/>
        <v>6739</v>
      </c>
      <c r="FI76" s="11">
        <v>1185</v>
      </c>
      <c r="FJ76" s="11">
        <v>1016</v>
      </c>
      <c r="FK76" s="11">
        <v>1081</v>
      </c>
      <c r="FL76" s="11">
        <v>1047</v>
      </c>
      <c r="FM76" s="11">
        <v>1000</v>
      </c>
      <c r="FN76" s="11">
        <v>1162</v>
      </c>
      <c r="FO76" s="11">
        <v>1353</v>
      </c>
      <c r="FP76" s="11">
        <v>1092</v>
      </c>
      <c r="FQ76" s="11">
        <v>930</v>
      </c>
      <c r="FR76" s="11">
        <v>1238</v>
      </c>
      <c r="FS76" s="11">
        <v>1353</v>
      </c>
      <c r="FT76" s="11">
        <v>1333</v>
      </c>
      <c r="FU76" s="26">
        <f t="shared" si="59"/>
        <v>13790</v>
      </c>
      <c r="FV76" s="11">
        <v>0</v>
      </c>
      <c r="FW76" s="11">
        <v>0</v>
      </c>
      <c r="FX76" s="11">
        <v>0</v>
      </c>
      <c r="FY76" s="11">
        <v>0</v>
      </c>
      <c r="FZ76" s="11">
        <v>0</v>
      </c>
      <c r="GA76" s="11">
        <v>0</v>
      </c>
      <c r="GB76" s="11">
        <v>0</v>
      </c>
      <c r="GC76" s="11">
        <v>0</v>
      </c>
      <c r="GD76" s="11">
        <v>0</v>
      </c>
      <c r="GE76" s="11">
        <v>0</v>
      </c>
      <c r="GF76" s="11">
        <v>0</v>
      </c>
      <c r="GG76" s="11">
        <v>0</v>
      </c>
      <c r="GH76" s="26">
        <f t="shared" si="60"/>
        <v>0</v>
      </c>
      <c r="GI76" s="11">
        <v>0</v>
      </c>
      <c r="GJ76" s="11">
        <v>0</v>
      </c>
      <c r="GK76" s="11">
        <v>0</v>
      </c>
      <c r="GL76" s="11">
        <v>0</v>
      </c>
      <c r="GM76" s="11">
        <v>0</v>
      </c>
      <c r="GN76" s="11">
        <v>0</v>
      </c>
      <c r="GO76" s="11">
        <v>0</v>
      </c>
      <c r="GP76" s="11">
        <v>0</v>
      </c>
      <c r="GQ76" s="11">
        <v>0</v>
      </c>
      <c r="GR76" s="11">
        <v>0</v>
      </c>
      <c r="GS76" s="11">
        <v>0</v>
      </c>
      <c r="GT76" s="11">
        <v>0</v>
      </c>
      <c r="GU76" s="26">
        <f t="shared" si="61"/>
        <v>0</v>
      </c>
      <c r="GV76" s="11">
        <v>0</v>
      </c>
      <c r="GW76" s="11">
        <v>0</v>
      </c>
      <c r="GX76" s="11">
        <v>0</v>
      </c>
      <c r="GY76" s="11">
        <v>0</v>
      </c>
      <c r="GZ76" s="11">
        <v>0</v>
      </c>
      <c r="HA76" s="11">
        <v>0</v>
      </c>
      <c r="HB76" s="11">
        <v>0</v>
      </c>
      <c r="HC76" s="11">
        <v>0</v>
      </c>
      <c r="HD76" s="11">
        <v>0</v>
      </c>
      <c r="HE76" s="11">
        <v>0</v>
      </c>
      <c r="HF76" s="11">
        <v>0</v>
      </c>
      <c r="HG76" s="11">
        <v>0</v>
      </c>
      <c r="HH76" s="26">
        <f t="shared" si="62"/>
        <v>0</v>
      </c>
      <c r="HI76" s="11">
        <v>0</v>
      </c>
      <c r="HJ76" s="11">
        <v>0</v>
      </c>
      <c r="HK76" s="11">
        <v>0</v>
      </c>
      <c r="HL76" s="11">
        <v>0</v>
      </c>
      <c r="HM76" s="11">
        <v>0</v>
      </c>
      <c r="HN76" s="11">
        <v>0</v>
      </c>
      <c r="HO76" s="11">
        <v>0</v>
      </c>
      <c r="HP76" s="11">
        <v>0</v>
      </c>
      <c r="HQ76" s="11">
        <v>0</v>
      </c>
      <c r="HR76" s="11">
        <v>0</v>
      </c>
      <c r="HS76" s="11">
        <v>0</v>
      </c>
      <c r="HT76" s="11">
        <v>0</v>
      </c>
      <c r="HU76" s="26">
        <f t="shared" si="63"/>
        <v>0</v>
      </c>
      <c r="HV76" s="11">
        <v>0</v>
      </c>
      <c r="HW76" s="11">
        <v>0</v>
      </c>
      <c r="HX76" s="11">
        <v>0</v>
      </c>
      <c r="HY76" s="11">
        <v>0</v>
      </c>
      <c r="HZ76" s="11">
        <v>0</v>
      </c>
      <c r="IA76" s="11">
        <v>0</v>
      </c>
      <c r="IB76" s="11">
        <v>0</v>
      </c>
      <c r="IC76" s="11">
        <v>0</v>
      </c>
      <c r="ID76" s="11">
        <v>0</v>
      </c>
      <c r="IE76" s="11">
        <v>0</v>
      </c>
      <c r="IF76" s="11">
        <v>0</v>
      </c>
      <c r="IG76" s="11">
        <v>0</v>
      </c>
      <c r="IH76" s="26">
        <f t="shared" si="64"/>
        <v>0</v>
      </c>
      <c r="II76" s="9">
        <f t="shared" si="65"/>
        <v>20529</v>
      </c>
      <c r="IJ76" s="9">
        <f t="shared" si="66"/>
        <v>0</v>
      </c>
      <c r="IK76" s="11">
        <v>81964</v>
      </c>
      <c r="IL76" s="11">
        <v>68074</v>
      </c>
      <c r="IM76" s="11">
        <v>66421</v>
      </c>
      <c r="IN76" s="11">
        <v>86443</v>
      </c>
      <c r="IO76" s="11">
        <v>89235</v>
      </c>
      <c r="IP76" s="11">
        <v>80355</v>
      </c>
      <c r="IQ76" s="11">
        <v>82802</v>
      </c>
      <c r="IR76" s="11">
        <v>77010</v>
      </c>
      <c r="IS76" s="11">
        <v>70159</v>
      </c>
      <c r="IT76" s="11">
        <v>77241</v>
      </c>
      <c r="IU76" s="11">
        <v>73060</v>
      </c>
      <c r="IV76" s="11">
        <v>77121</v>
      </c>
      <c r="IW76" s="27">
        <f t="shared" si="67"/>
        <v>929885</v>
      </c>
      <c r="IX76" s="11">
        <v>35617</v>
      </c>
      <c r="IY76" s="11">
        <v>30490</v>
      </c>
      <c r="IZ76" s="11">
        <v>30527</v>
      </c>
      <c r="JA76" s="11">
        <v>35221</v>
      </c>
      <c r="JB76" s="11">
        <v>36954</v>
      </c>
      <c r="JC76" s="11">
        <v>34523</v>
      </c>
      <c r="JD76" s="11">
        <v>35657</v>
      </c>
      <c r="JE76" s="11">
        <v>33923</v>
      </c>
      <c r="JF76" s="11">
        <v>32525</v>
      </c>
      <c r="JG76" s="11">
        <v>35315</v>
      </c>
      <c r="JH76" s="11">
        <v>32298</v>
      </c>
      <c r="JI76" s="11">
        <v>35551</v>
      </c>
      <c r="JJ76" s="27">
        <f t="shared" si="68"/>
        <v>408601</v>
      </c>
      <c r="JK76" s="11">
        <v>43786</v>
      </c>
      <c r="JL76" s="11">
        <v>35583</v>
      </c>
      <c r="JM76" s="11">
        <v>34017</v>
      </c>
      <c r="JN76" s="11">
        <v>48153</v>
      </c>
      <c r="JO76" s="11">
        <v>49002</v>
      </c>
      <c r="JP76" s="11">
        <v>43352</v>
      </c>
      <c r="JQ76" s="11">
        <v>44600</v>
      </c>
      <c r="JR76" s="11">
        <v>40918</v>
      </c>
      <c r="JS76" s="11">
        <v>35406</v>
      </c>
      <c r="JT76" s="11">
        <v>39748</v>
      </c>
      <c r="JU76" s="11">
        <v>38561</v>
      </c>
      <c r="JV76" s="11">
        <v>39431</v>
      </c>
      <c r="JW76" s="27">
        <f t="shared" si="69"/>
        <v>492557</v>
      </c>
      <c r="JX76" s="11">
        <v>2561</v>
      </c>
      <c r="JY76" s="11">
        <v>2001</v>
      </c>
      <c r="JZ76" s="11">
        <v>1877</v>
      </c>
      <c r="KA76" s="11">
        <v>3069</v>
      </c>
      <c r="KB76" s="11">
        <v>3279</v>
      </c>
      <c r="KC76" s="11">
        <v>2480</v>
      </c>
      <c r="KD76" s="11">
        <v>2545</v>
      </c>
      <c r="KE76" s="11">
        <v>2169</v>
      </c>
      <c r="KF76" s="11">
        <v>2228</v>
      </c>
      <c r="KG76" s="11">
        <v>2178</v>
      </c>
      <c r="KH76" s="11">
        <v>2201</v>
      </c>
      <c r="KI76" s="11">
        <v>2139</v>
      </c>
      <c r="KJ76" s="27">
        <f t="shared" si="70"/>
        <v>28727</v>
      </c>
      <c r="KK76" s="11">
        <v>565</v>
      </c>
      <c r="KL76" s="11">
        <v>481</v>
      </c>
      <c r="KM76" s="11">
        <v>444</v>
      </c>
      <c r="KN76" s="11">
        <v>541</v>
      </c>
      <c r="KO76" s="11">
        <v>528</v>
      </c>
      <c r="KP76" s="11">
        <v>506</v>
      </c>
      <c r="KQ76" s="11">
        <v>491</v>
      </c>
      <c r="KR76" s="11">
        <v>448</v>
      </c>
      <c r="KS76" s="11">
        <v>465</v>
      </c>
      <c r="KT76" s="11">
        <v>501</v>
      </c>
      <c r="KU76" s="11">
        <v>411</v>
      </c>
      <c r="KV76" s="11">
        <v>496</v>
      </c>
      <c r="KW76" s="27">
        <f t="shared" si="71"/>
        <v>5877</v>
      </c>
      <c r="KX76" s="11">
        <v>371</v>
      </c>
      <c r="KY76" s="11">
        <v>327</v>
      </c>
      <c r="KZ76" s="11">
        <v>323</v>
      </c>
      <c r="LA76" s="11">
        <v>350</v>
      </c>
      <c r="LB76" s="11">
        <v>307</v>
      </c>
      <c r="LC76" s="11">
        <v>366</v>
      </c>
      <c r="LD76" s="11">
        <v>337</v>
      </c>
      <c r="LE76" s="11">
        <v>320</v>
      </c>
      <c r="LF76" s="11">
        <v>349</v>
      </c>
      <c r="LG76" s="11">
        <v>386</v>
      </c>
      <c r="LH76" s="11">
        <v>288</v>
      </c>
      <c r="LI76" s="11">
        <v>370</v>
      </c>
      <c r="LJ76" s="27">
        <f t="shared" si="72"/>
        <v>4094</v>
      </c>
      <c r="LK76" s="11">
        <v>194</v>
      </c>
      <c r="LL76" s="11">
        <v>154</v>
      </c>
      <c r="LM76" s="11">
        <v>121</v>
      </c>
      <c r="LN76" s="11">
        <v>190</v>
      </c>
      <c r="LO76" s="11">
        <v>220</v>
      </c>
      <c r="LP76" s="11">
        <v>139</v>
      </c>
      <c r="LQ76" s="11">
        <v>153</v>
      </c>
      <c r="LR76" s="11">
        <v>128</v>
      </c>
      <c r="LS76" s="11">
        <v>115</v>
      </c>
      <c r="LT76" s="11">
        <v>115</v>
      </c>
      <c r="LU76" s="11">
        <v>123</v>
      </c>
      <c r="LV76" s="11">
        <v>124</v>
      </c>
      <c r="LW76" s="27">
        <f t="shared" si="73"/>
        <v>1776</v>
      </c>
      <c r="LX76" s="11">
        <v>0</v>
      </c>
      <c r="LY76" s="11">
        <v>0</v>
      </c>
      <c r="LZ76" s="11">
        <v>0</v>
      </c>
      <c r="MA76" s="11">
        <v>1</v>
      </c>
      <c r="MB76" s="11">
        <v>1</v>
      </c>
      <c r="MC76" s="11">
        <v>1</v>
      </c>
      <c r="MD76" s="11">
        <v>1</v>
      </c>
      <c r="ME76" s="11">
        <v>0</v>
      </c>
      <c r="MF76" s="11">
        <v>1</v>
      </c>
      <c r="MG76" s="11">
        <v>0</v>
      </c>
      <c r="MH76" s="11">
        <v>0</v>
      </c>
      <c r="MI76" s="11">
        <v>2</v>
      </c>
      <c r="MJ76" s="27">
        <f t="shared" si="74"/>
        <v>7</v>
      </c>
      <c r="MK76" s="11">
        <v>4663</v>
      </c>
      <c r="ML76" s="11">
        <v>4591</v>
      </c>
      <c r="MM76" s="11">
        <v>4217</v>
      </c>
      <c r="MN76" s="11">
        <v>4585</v>
      </c>
      <c r="MO76" s="11">
        <v>4931</v>
      </c>
      <c r="MP76" s="11">
        <v>4494</v>
      </c>
      <c r="MQ76" s="11">
        <v>4956</v>
      </c>
      <c r="MR76" s="11">
        <v>4117</v>
      </c>
      <c r="MS76" s="11">
        <v>4561</v>
      </c>
      <c r="MT76" s="11">
        <v>4688</v>
      </c>
      <c r="MU76" s="11">
        <v>4565</v>
      </c>
      <c r="MV76" s="11">
        <v>4599</v>
      </c>
      <c r="MW76" s="27">
        <f t="shared" si="75"/>
        <v>54967</v>
      </c>
      <c r="MX76" s="11">
        <v>0</v>
      </c>
      <c r="MY76" s="11">
        <v>0</v>
      </c>
      <c r="MZ76" s="11">
        <v>0</v>
      </c>
      <c r="NA76" s="11">
        <v>0</v>
      </c>
      <c r="NB76" s="11">
        <v>0</v>
      </c>
      <c r="NC76" s="11">
        <v>0</v>
      </c>
      <c r="ND76" s="11">
        <v>0</v>
      </c>
      <c r="NE76" s="11">
        <v>0</v>
      </c>
      <c r="NF76" s="11">
        <v>0</v>
      </c>
      <c r="NG76" s="11">
        <v>0</v>
      </c>
      <c r="NH76" s="11">
        <v>0</v>
      </c>
      <c r="NI76" s="11">
        <v>0</v>
      </c>
      <c r="NJ76" s="27">
        <f t="shared" si="76"/>
        <v>0</v>
      </c>
      <c r="NK76" s="11">
        <v>0</v>
      </c>
      <c r="NL76" s="11">
        <v>0</v>
      </c>
      <c r="NM76" s="11">
        <v>0</v>
      </c>
      <c r="NN76" s="11">
        <v>0</v>
      </c>
      <c r="NO76" s="11">
        <v>0</v>
      </c>
      <c r="NP76" s="11">
        <v>0</v>
      </c>
      <c r="NQ76" s="11">
        <v>0</v>
      </c>
      <c r="NR76" s="11">
        <v>0</v>
      </c>
      <c r="NS76" s="11">
        <v>0</v>
      </c>
      <c r="NT76" s="11">
        <v>0</v>
      </c>
      <c r="NU76" s="11">
        <v>0</v>
      </c>
      <c r="NV76" s="11">
        <v>0</v>
      </c>
      <c r="NW76" s="27">
        <f t="shared" si="77"/>
        <v>0</v>
      </c>
      <c r="NX76" s="11">
        <v>0</v>
      </c>
      <c r="NY76" s="11">
        <v>0</v>
      </c>
      <c r="NZ76" s="11">
        <v>0</v>
      </c>
      <c r="OA76" s="11">
        <v>0</v>
      </c>
      <c r="OB76" s="11">
        <v>0</v>
      </c>
      <c r="OC76" s="11">
        <v>0</v>
      </c>
      <c r="OD76" s="11">
        <v>0</v>
      </c>
      <c r="OE76" s="11">
        <v>0</v>
      </c>
      <c r="OF76" s="11">
        <v>0</v>
      </c>
      <c r="OG76" s="11">
        <v>0</v>
      </c>
      <c r="OH76" s="11">
        <v>0</v>
      </c>
      <c r="OI76" s="11">
        <v>0</v>
      </c>
      <c r="OJ76" s="27">
        <f t="shared" si="78"/>
        <v>0</v>
      </c>
      <c r="OK76" s="11">
        <v>5296</v>
      </c>
      <c r="OL76" s="11">
        <v>5521</v>
      </c>
      <c r="OM76" s="11">
        <v>5233</v>
      </c>
      <c r="ON76" s="11">
        <v>5680</v>
      </c>
      <c r="OO76" s="11">
        <v>5773</v>
      </c>
      <c r="OP76" s="11">
        <v>5694</v>
      </c>
      <c r="OQ76" s="11">
        <v>5961</v>
      </c>
      <c r="OR76" s="11">
        <v>6011</v>
      </c>
      <c r="OS76" s="11">
        <v>5938</v>
      </c>
      <c r="OT76" s="11">
        <v>6576</v>
      </c>
      <c r="OU76" s="11">
        <v>5895</v>
      </c>
      <c r="OV76" s="11">
        <v>6262</v>
      </c>
      <c r="OW76" s="27">
        <f t="shared" si="79"/>
        <v>69840</v>
      </c>
      <c r="OX76" s="11">
        <v>0</v>
      </c>
      <c r="OY76" s="11">
        <v>0</v>
      </c>
      <c r="OZ76" s="11">
        <v>0</v>
      </c>
      <c r="PA76" s="11">
        <v>0</v>
      </c>
      <c r="PB76" s="11">
        <v>0</v>
      </c>
      <c r="PC76" s="11">
        <v>0</v>
      </c>
      <c r="PD76" s="11">
        <v>0</v>
      </c>
      <c r="PE76" s="11">
        <v>0</v>
      </c>
      <c r="PF76" s="11">
        <v>0</v>
      </c>
      <c r="PG76" s="11">
        <v>0</v>
      </c>
      <c r="PH76" s="11">
        <v>0</v>
      </c>
      <c r="PI76" s="11">
        <v>0</v>
      </c>
      <c r="PJ76" s="27">
        <f t="shared" si="80"/>
        <v>0</v>
      </c>
      <c r="PK76" s="11">
        <v>0</v>
      </c>
      <c r="PL76" s="11">
        <v>0</v>
      </c>
      <c r="PM76" s="11">
        <v>0</v>
      </c>
      <c r="PN76" s="11">
        <v>0</v>
      </c>
      <c r="PO76" s="11">
        <v>0</v>
      </c>
      <c r="PP76" s="11">
        <v>0</v>
      </c>
      <c r="PQ76" s="11">
        <v>0</v>
      </c>
      <c r="PR76" s="11">
        <v>0</v>
      </c>
      <c r="PS76" s="11">
        <v>0</v>
      </c>
      <c r="PT76" s="11">
        <v>0</v>
      </c>
      <c r="PU76" s="11">
        <v>0</v>
      </c>
      <c r="PV76" s="11">
        <v>0</v>
      </c>
      <c r="PW76" s="27">
        <f t="shared" si="81"/>
        <v>0</v>
      </c>
      <c r="PX76" s="11">
        <v>0</v>
      </c>
      <c r="PY76" s="11">
        <v>0</v>
      </c>
      <c r="PZ76" s="11">
        <v>0</v>
      </c>
      <c r="QA76" s="11">
        <v>0</v>
      </c>
      <c r="QB76" s="11">
        <v>0</v>
      </c>
      <c r="QC76" s="11">
        <v>0</v>
      </c>
      <c r="QD76" s="11">
        <v>0</v>
      </c>
      <c r="QE76" s="11">
        <v>0</v>
      </c>
      <c r="QF76" s="11">
        <v>0</v>
      </c>
      <c r="QG76" s="11">
        <v>0</v>
      </c>
      <c r="QH76" s="11">
        <v>0</v>
      </c>
      <c r="QI76" s="11">
        <v>0</v>
      </c>
      <c r="QJ76" s="27">
        <f t="shared" si="82"/>
        <v>0</v>
      </c>
      <c r="QK76" s="11">
        <v>84018</v>
      </c>
      <c r="QL76" s="11">
        <v>82611</v>
      </c>
      <c r="QM76" s="11">
        <v>73324</v>
      </c>
      <c r="QN76" s="11">
        <v>77414</v>
      </c>
      <c r="QO76" s="11">
        <v>76112</v>
      </c>
      <c r="QP76" s="11">
        <v>76164</v>
      </c>
      <c r="QQ76" s="11">
        <v>83641</v>
      </c>
      <c r="QR76" s="11">
        <v>77328</v>
      </c>
      <c r="QS76" s="11">
        <v>68217</v>
      </c>
      <c r="QT76" s="11">
        <v>82923</v>
      </c>
      <c r="QU76" s="11">
        <v>78131</v>
      </c>
      <c r="QV76" s="11">
        <v>82283</v>
      </c>
      <c r="QW76" s="27">
        <f t="shared" si="83"/>
        <v>942166</v>
      </c>
      <c r="QX76" s="11">
        <v>0</v>
      </c>
      <c r="QY76" s="11">
        <v>0</v>
      </c>
      <c r="QZ76" s="11">
        <v>0</v>
      </c>
      <c r="RA76" s="11">
        <v>0</v>
      </c>
      <c r="RB76" s="11">
        <v>0</v>
      </c>
      <c r="RC76" s="11">
        <v>0</v>
      </c>
      <c r="RD76" s="11">
        <v>0</v>
      </c>
      <c r="RE76" s="11">
        <v>0</v>
      </c>
      <c r="RF76" s="11">
        <v>0</v>
      </c>
      <c r="RG76" s="11">
        <v>0</v>
      </c>
      <c r="RH76" s="11">
        <v>0</v>
      </c>
      <c r="RI76" s="11">
        <v>0</v>
      </c>
      <c r="RJ76" s="27">
        <f t="shared" si="84"/>
        <v>0</v>
      </c>
      <c r="RK76" s="11">
        <v>0</v>
      </c>
      <c r="RL76" s="11">
        <v>0</v>
      </c>
      <c r="RM76" s="11">
        <v>0</v>
      </c>
      <c r="RN76" s="11">
        <v>0</v>
      </c>
      <c r="RO76" s="11">
        <v>0</v>
      </c>
      <c r="RP76" s="11">
        <v>0</v>
      </c>
      <c r="RQ76" s="11">
        <v>0</v>
      </c>
      <c r="RR76" s="11">
        <v>0</v>
      </c>
      <c r="RS76" s="11">
        <v>0</v>
      </c>
      <c r="RT76" s="11">
        <v>0</v>
      </c>
      <c r="RU76" s="11">
        <v>0</v>
      </c>
      <c r="RV76" s="11">
        <v>0</v>
      </c>
      <c r="RW76" s="27">
        <f t="shared" si="85"/>
        <v>0</v>
      </c>
      <c r="RX76" s="11">
        <v>0</v>
      </c>
      <c r="RY76" s="11">
        <v>0</v>
      </c>
      <c r="RZ76" s="11">
        <v>0</v>
      </c>
      <c r="SA76" s="11">
        <v>0</v>
      </c>
      <c r="SB76" s="11">
        <v>0</v>
      </c>
      <c r="SC76" s="11">
        <v>0</v>
      </c>
      <c r="SD76" s="11">
        <v>0</v>
      </c>
      <c r="SE76" s="11">
        <v>0</v>
      </c>
      <c r="SF76" s="11">
        <v>0</v>
      </c>
      <c r="SG76" s="11">
        <v>0</v>
      </c>
      <c r="SH76" s="11">
        <v>0</v>
      </c>
      <c r="SI76" s="11">
        <v>0</v>
      </c>
      <c r="SJ76" s="27">
        <f t="shared" si="86"/>
        <v>0</v>
      </c>
      <c r="SK76" s="11">
        <v>78</v>
      </c>
      <c r="SL76" s="11">
        <v>78</v>
      </c>
      <c r="SM76" s="11">
        <v>78</v>
      </c>
      <c r="SN76" s="11">
        <v>78</v>
      </c>
      <c r="SO76" s="11">
        <v>78</v>
      </c>
      <c r="SP76" s="11">
        <v>78</v>
      </c>
      <c r="SQ76" s="11">
        <v>78</v>
      </c>
      <c r="SR76" s="11">
        <v>78</v>
      </c>
      <c r="SS76" s="11">
        <v>78</v>
      </c>
      <c r="ST76" s="11">
        <v>78</v>
      </c>
      <c r="SU76" s="11">
        <v>78</v>
      </c>
      <c r="SV76" s="11">
        <v>78</v>
      </c>
      <c r="SW76" s="27">
        <f t="shared" si="87"/>
        <v>936</v>
      </c>
      <c r="SX76" s="11" t="s">
        <v>2715</v>
      </c>
      <c r="SY76" s="11">
        <v>4345</v>
      </c>
      <c r="SZ76" s="11">
        <v>3888</v>
      </c>
      <c r="TA76" s="11">
        <v>3787</v>
      </c>
      <c r="TB76" s="11">
        <v>4119</v>
      </c>
      <c r="TC76" s="11">
        <v>3860</v>
      </c>
      <c r="TD76" s="11">
        <v>3957</v>
      </c>
      <c r="TE76" s="11">
        <v>4171</v>
      </c>
      <c r="TF76" s="11">
        <v>4050</v>
      </c>
      <c r="TG76" s="11">
        <v>3400</v>
      </c>
      <c r="TH76" s="11">
        <v>4200</v>
      </c>
      <c r="TI76" s="11">
        <v>4050</v>
      </c>
      <c r="TJ76" s="11">
        <v>4224</v>
      </c>
      <c r="TK76" s="27">
        <f t="shared" si="88"/>
        <v>48051</v>
      </c>
      <c r="TL76" s="11">
        <v>0</v>
      </c>
      <c r="TM76" s="11">
        <v>0</v>
      </c>
      <c r="TN76" s="11">
        <v>0</v>
      </c>
      <c r="TO76" s="11">
        <v>0</v>
      </c>
      <c r="TP76" s="11">
        <v>0</v>
      </c>
      <c r="TQ76" s="11">
        <v>0</v>
      </c>
      <c r="TR76" s="11">
        <v>0</v>
      </c>
      <c r="TS76" s="11">
        <v>0</v>
      </c>
      <c r="TT76" s="11">
        <v>0</v>
      </c>
      <c r="TU76" s="11">
        <v>0</v>
      </c>
      <c r="TV76" s="11">
        <v>0</v>
      </c>
      <c r="TW76" s="11">
        <v>0</v>
      </c>
      <c r="TX76" s="27">
        <f t="shared" si="89"/>
        <v>0</v>
      </c>
      <c r="TY76" s="11">
        <v>100</v>
      </c>
      <c r="TZ76" s="11">
        <v>9</v>
      </c>
      <c r="UA76" s="11">
        <v>309</v>
      </c>
    </row>
    <row r="77" spans="1:547" ht="16" customHeight="1" x14ac:dyDescent="0.35">
      <c r="A77" s="11" t="s">
        <v>2716</v>
      </c>
      <c r="B77" s="11">
        <v>11716</v>
      </c>
      <c r="C77" s="11">
        <v>4281</v>
      </c>
      <c r="D77" s="11">
        <v>6383</v>
      </c>
      <c r="E77" s="11">
        <v>1052</v>
      </c>
      <c r="F77" s="11">
        <v>323</v>
      </c>
      <c r="G77" s="11">
        <v>305</v>
      </c>
      <c r="H77" s="11">
        <v>302</v>
      </c>
      <c r="I77" s="11">
        <v>322</v>
      </c>
      <c r="J77" s="11">
        <v>268</v>
      </c>
      <c r="K77" s="11">
        <v>312</v>
      </c>
      <c r="L77" s="11">
        <v>301</v>
      </c>
      <c r="M77" s="11">
        <v>384</v>
      </c>
      <c r="N77" s="11">
        <v>332</v>
      </c>
      <c r="O77" s="11">
        <v>417</v>
      </c>
      <c r="P77" s="11" t="s">
        <v>2865</v>
      </c>
      <c r="Q77" s="11">
        <v>456</v>
      </c>
      <c r="R77" s="11">
        <v>486</v>
      </c>
      <c r="S77" s="26">
        <f t="shared" si="45"/>
        <v>4208</v>
      </c>
      <c r="T77" s="11">
        <v>188</v>
      </c>
      <c r="U77" s="11">
        <v>179</v>
      </c>
      <c r="V77" s="11">
        <v>169</v>
      </c>
      <c r="W77" s="11">
        <v>200</v>
      </c>
      <c r="X77" s="11">
        <v>166</v>
      </c>
      <c r="Y77" s="11">
        <v>193</v>
      </c>
      <c r="Z77" s="11">
        <v>163</v>
      </c>
      <c r="AA77" s="11">
        <v>236</v>
      </c>
      <c r="AB77" s="11">
        <v>179</v>
      </c>
      <c r="AC77" s="11">
        <v>262</v>
      </c>
      <c r="AD77" s="11">
        <v>279</v>
      </c>
      <c r="AE77" s="11">
        <v>317</v>
      </c>
      <c r="AF77" s="26">
        <f t="shared" si="46"/>
        <v>2531</v>
      </c>
      <c r="AG77" s="11">
        <v>126</v>
      </c>
      <c r="AH77" s="11">
        <v>118</v>
      </c>
      <c r="AI77" s="11">
        <v>123</v>
      </c>
      <c r="AJ77" s="11">
        <v>111</v>
      </c>
      <c r="AK77" s="11">
        <v>94</v>
      </c>
      <c r="AL77" s="11">
        <v>115</v>
      </c>
      <c r="AM77" s="11">
        <v>132</v>
      </c>
      <c r="AN77" s="11">
        <v>137</v>
      </c>
      <c r="AO77" s="11">
        <v>140</v>
      </c>
      <c r="AP77" s="11">
        <v>147</v>
      </c>
      <c r="AQ77" s="11">
        <v>166</v>
      </c>
      <c r="AR77" s="11">
        <v>168</v>
      </c>
      <c r="AS77" s="26">
        <f t="shared" si="47"/>
        <v>1577</v>
      </c>
      <c r="AT77" s="11">
        <v>4</v>
      </c>
      <c r="AU77" s="11">
        <v>3</v>
      </c>
      <c r="AV77" s="11">
        <v>6</v>
      </c>
      <c r="AW77" s="11">
        <v>3</v>
      </c>
      <c r="AX77" s="11">
        <v>4</v>
      </c>
      <c r="AY77" s="11">
        <v>2</v>
      </c>
      <c r="AZ77" s="11">
        <v>4</v>
      </c>
      <c r="BA77" s="11">
        <v>7</v>
      </c>
      <c r="BB77" s="11">
        <v>9</v>
      </c>
      <c r="BC77" s="11">
        <v>5</v>
      </c>
      <c r="BD77" s="11">
        <v>0</v>
      </c>
      <c r="BE77" s="11">
        <v>0</v>
      </c>
      <c r="BF77" s="26">
        <f t="shared" si="48"/>
        <v>47</v>
      </c>
      <c r="BG77" s="11">
        <v>5</v>
      </c>
      <c r="BH77" s="11">
        <v>5</v>
      </c>
      <c r="BI77" s="11">
        <v>4</v>
      </c>
      <c r="BJ77" s="11">
        <v>8</v>
      </c>
      <c r="BK77" s="11">
        <v>4</v>
      </c>
      <c r="BL77" s="11">
        <v>2</v>
      </c>
      <c r="BM77" s="11">
        <v>2</v>
      </c>
      <c r="BN77" s="11">
        <v>4</v>
      </c>
      <c r="BO77" s="11">
        <v>4</v>
      </c>
      <c r="BP77" s="11">
        <v>3</v>
      </c>
      <c r="BQ77" s="11">
        <v>11</v>
      </c>
      <c r="BR77" s="11">
        <v>1</v>
      </c>
      <c r="BS77" s="26">
        <f t="shared" si="49"/>
        <v>53</v>
      </c>
      <c r="BT77" s="11">
        <v>36</v>
      </c>
      <c r="BU77" s="11">
        <v>20</v>
      </c>
      <c r="BV77" s="11">
        <v>35</v>
      </c>
      <c r="BW77" s="11">
        <v>40</v>
      </c>
      <c r="BX77" s="11">
        <v>23</v>
      </c>
      <c r="BY77" s="11">
        <v>34</v>
      </c>
      <c r="BZ77" s="11">
        <v>34</v>
      </c>
      <c r="CA77" s="11">
        <v>39</v>
      </c>
      <c r="CB77" s="11">
        <v>27</v>
      </c>
      <c r="CC77" s="11">
        <v>54</v>
      </c>
      <c r="CD77" s="11">
        <v>55</v>
      </c>
      <c r="CE77" s="11">
        <v>61</v>
      </c>
      <c r="CF77" s="26">
        <f t="shared" si="50"/>
        <v>458</v>
      </c>
      <c r="CG77" s="11">
        <v>36</v>
      </c>
      <c r="CH77" s="11">
        <v>20</v>
      </c>
      <c r="CI77" s="11">
        <v>35</v>
      </c>
      <c r="CJ77" s="11">
        <v>40</v>
      </c>
      <c r="CK77" s="11">
        <v>23</v>
      </c>
      <c r="CL77" s="11">
        <v>34</v>
      </c>
      <c r="CM77" s="11">
        <v>34</v>
      </c>
      <c r="CN77" s="11">
        <v>39</v>
      </c>
      <c r="CO77" s="11">
        <v>27</v>
      </c>
      <c r="CP77" s="11">
        <v>54</v>
      </c>
      <c r="CQ77" s="11">
        <v>55</v>
      </c>
      <c r="CR77" s="11">
        <v>61</v>
      </c>
      <c r="CS77" s="26">
        <f t="shared" si="51"/>
        <v>458</v>
      </c>
      <c r="CT77" s="11">
        <v>0</v>
      </c>
      <c r="CU77" s="11">
        <v>0</v>
      </c>
      <c r="CV77" s="11">
        <v>0</v>
      </c>
      <c r="CW77" s="11">
        <v>0</v>
      </c>
      <c r="CX77" s="11">
        <v>0</v>
      </c>
      <c r="CY77" s="11">
        <v>0</v>
      </c>
      <c r="CZ77" s="11">
        <v>0</v>
      </c>
      <c r="DA77" s="11">
        <v>0</v>
      </c>
      <c r="DB77" s="11">
        <v>0</v>
      </c>
      <c r="DC77" s="11">
        <v>0</v>
      </c>
      <c r="DD77" s="11">
        <v>0</v>
      </c>
      <c r="DE77" s="11">
        <v>0</v>
      </c>
      <c r="DF77" s="26">
        <f t="shared" si="52"/>
        <v>0</v>
      </c>
      <c r="DG77" s="11">
        <v>0</v>
      </c>
      <c r="DH77" s="11">
        <v>0</v>
      </c>
      <c r="DI77" s="11">
        <v>0</v>
      </c>
      <c r="DJ77" s="11">
        <v>0</v>
      </c>
      <c r="DK77" s="11">
        <v>0</v>
      </c>
      <c r="DL77" s="11">
        <v>0</v>
      </c>
      <c r="DM77" s="11">
        <v>0</v>
      </c>
      <c r="DN77" s="11">
        <v>0</v>
      </c>
      <c r="DO77" s="11">
        <v>0</v>
      </c>
      <c r="DP77" s="11">
        <v>0</v>
      </c>
      <c r="DQ77" s="11">
        <v>0</v>
      </c>
      <c r="DR77" s="11">
        <v>0</v>
      </c>
      <c r="DS77" s="26">
        <f t="shared" si="53"/>
        <v>0</v>
      </c>
      <c r="DT77" s="11">
        <v>0</v>
      </c>
      <c r="DU77" s="11">
        <v>0</v>
      </c>
      <c r="DV77" s="11">
        <v>0</v>
      </c>
      <c r="DW77" s="11">
        <v>0</v>
      </c>
      <c r="DX77" s="11">
        <v>0</v>
      </c>
      <c r="DY77" s="11">
        <v>0</v>
      </c>
      <c r="DZ77" s="11">
        <v>0</v>
      </c>
      <c r="EA77" s="11">
        <v>0</v>
      </c>
      <c r="EB77" s="11">
        <v>0</v>
      </c>
      <c r="EC77" s="11">
        <v>0</v>
      </c>
      <c r="ED77" s="11">
        <v>0</v>
      </c>
      <c r="EE77" s="11">
        <v>0</v>
      </c>
      <c r="EF77" s="26">
        <f t="shared" si="54"/>
        <v>0</v>
      </c>
      <c r="EG77" s="9">
        <f t="shared" si="55"/>
        <v>4208</v>
      </c>
      <c r="EH77" s="9">
        <f t="shared" si="56"/>
        <v>458</v>
      </c>
      <c r="EI77" s="11">
        <v>4451</v>
      </c>
      <c r="EJ77" s="11">
        <v>4208</v>
      </c>
      <c r="EK77" s="11">
        <v>4070</v>
      </c>
      <c r="EL77" s="11">
        <v>3581</v>
      </c>
      <c r="EM77" s="11">
        <v>3008</v>
      </c>
      <c r="EN77" s="11">
        <v>3936</v>
      </c>
      <c r="EO77" s="11">
        <v>4516</v>
      </c>
      <c r="EP77" s="11">
        <v>4327</v>
      </c>
      <c r="EQ77" s="11">
        <v>3378</v>
      </c>
      <c r="ER77" s="11">
        <v>5395</v>
      </c>
      <c r="ES77" s="11">
        <v>5736</v>
      </c>
      <c r="ET77" s="11">
        <v>5950</v>
      </c>
      <c r="EU77" s="26">
        <f t="shared" si="57"/>
        <v>52556</v>
      </c>
      <c r="EV77" s="11">
        <v>2917</v>
      </c>
      <c r="EW77" s="11">
        <v>2827</v>
      </c>
      <c r="EX77" s="11">
        <v>2758</v>
      </c>
      <c r="EY77" s="11">
        <v>2489</v>
      </c>
      <c r="EZ77" s="11">
        <v>2068</v>
      </c>
      <c r="FA77" s="11">
        <v>2645</v>
      </c>
      <c r="FB77" s="11">
        <v>2893</v>
      </c>
      <c r="FC77" s="11">
        <v>2831</v>
      </c>
      <c r="FD77" s="11">
        <v>1923</v>
      </c>
      <c r="FE77" s="11">
        <v>3749</v>
      </c>
      <c r="FF77" s="11">
        <v>3940</v>
      </c>
      <c r="FG77" s="11">
        <v>4068</v>
      </c>
      <c r="FH77" s="26">
        <f t="shared" si="58"/>
        <v>35108</v>
      </c>
      <c r="FI77" s="11">
        <v>1325</v>
      </c>
      <c r="FJ77" s="11">
        <v>1191</v>
      </c>
      <c r="FK77" s="11">
        <v>1133</v>
      </c>
      <c r="FL77" s="11">
        <v>970</v>
      </c>
      <c r="FM77" s="11">
        <v>738</v>
      </c>
      <c r="FN77" s="11">
        <v>1064</v>
      </c>
      <c r="FO77" s="11">
        <v>1463</v>
      </c>
      <c r="FP77" s="11">
        <v>1251</v>
      </c>
      <c r="FQ77" s="11">
        <v>1202</v>
      </c>
      <c r="FR77" s="11">
        <v>1429</v>
      </c>
      <c r="FS77" s="11">
        <v>1574</v>
      </c>
      <c r="FT77" s="11">
        <v>1588</v>
      </c>
      <c r="FU77" s="26">
        <f t="shared" si="59"/>
        <v>14928</v>
      </c>
      <c r="FV77" s="11">
        <v>0</v>
      </c>
      <c r="FW77" s="11">
        <v>0</v>
      </c>
      <c r="FX77" s="11">
        <v>0</v>
      </c>
      <c r="FY77" s="11">
        <v>0</v>
      </c>
      <c r="FZ77" s="11">
        <v>0</v>
      </c>
      <c r="GA77" s="11">
        <v>0</v>
      </c>
      <c r="GB77" s="11">
        <v>0</v>
      </c>
      <c r="GC77" s="11">
        <v>0</v>
      </c>
      <c r="GD77" s="11">
        <v>0</v>
      </c>
      <c r="GE77" s="11">
        <v>0</v>
      </c>
      <c r="GF77" s="11">
        <v>0</v>
      </c>
      <c r="GG77" s="11">
        <v>0</v>
      </c>
      <c r="GH77" s="26">
        <f t="shared" si="60"/>
        <v>0</v>
      </c>
      <c r="GI77" s="11">
        <v>188</v>
      </c>
      <c r="GJ77" s="11">
        <v>146</v>
      </c>
      <c r="GK77" s="11">
        <v>180</v>
      </c>
      <c r="GL77" s="11">
        <v>214</v>
      </c>
      <c r="GM77" s="11">
        <v>120</v>
      </c>
      <c r="GN77" s="11">
        <v>167</v>
      </c>
      <c r="GO77" s="11">
        <v>218</v>
      </c>
      <c r="GP77" s="11">
        <v>227</v>
      </c>
      <c r="GQ77" s="11">
        <v>128</v>
      </c>
      <c r="GR77" s="11">
        <v>317</v>
      </c>
      <c r="GS77" s="11">
        <v>282</v>
      </c>
      <c r="GT77" s="11">
        <v>342</v>
      </c>
      <c r="GU77" s="26">
        <f t="shared" si="61"/>
        <v>2529</v>
      </c>
      <c r="GV77" s="11">
        <v>188</v>
      </c>
      <c r="GW77" s="11">
        <v>146</v>
      </c>
      <c r="GX77" s="11">
        <v>180</v>
      </c>
      <c r="GY77" s="11">
        <v>214</v>
      </c>
      <c r="GZ77" s="11">
        <v>120</v>
      </c>
      <c r="HA77" s="11">
        <v>167</v>
      </c>
      <c r="HB77" s="11">
        <v>206</v>
      </c>
      <c r="HC77" s="11">
        <v>207</v>
      </c>
      <c r="HD77" s="11">
        <v>104</v>
      </c>
      <c r="HE77" s="11">
        <v>287</v>
      </c>
      <c r="HF77" s="11">
        <v>262</v>
      </c>
      <c r="HG77" s="11">
        <v>324</v>
      </c>
      <c r="HH77" s="26">
        <f t="shared" si="62"/>
        <v>2405</v>
      </c>
      <c r="HI77" s="11">
        <v>0</v>
      </c>
      <c r="HJ77" s="11">
        <v>0</v>
      </c>
      <c r="HK77" s="11">
        <v>0</v>
      </c>
      <c r="HL77" s="11">
        <v>0</v>
      </c>
      <c r="HM77" s="11">
        <v>0</v>
      </c>
      <c r="HN77" s="11">
        <v>0</v>
      </c>
      <c r="HO77" s="11">
        <v>12</v>
      </c>
      <c r="HP77" s="11">
        <v>20</v>
      </c>
      <c r="HQ77" s="11">
        <v>24</v>
      </c>
      <c r="HR77" s="11">
        <v>30</v>
      </c>
      <c r="HS77" s="11">
        <v>20</v>
      </c>
      <c r="HT77" s="11">
        <v>18</v>
      </c>
      <c r="HU77" s="26">
        <f t="shared" si="63"/>
        <v>124</v>
      </c>
      <c r="HV77" s="11">
        <v>0</v>
      </c>
      <c r="HW77" s="11">
        <v>0</v>
      </c>
      <c r="HX77" s="11">
        <v>0</v>
      </c>
      <c r="HY77" s="11">
        <v>0</v>
      </c>
      <c r="HZ77" s="11">
        <v>0</v>
      </c>
      <c r="IA77" s="11">
        <v>0</v>
      </c>
      <c r="IB77" s="11">
        <v>0</v>
      </c>
      <c r="IC77" s="11">
        <v>0</v>
      </c>
      <c r="ID77" s="11">
        <v>0</v>
      </c>
      <c r="IE77" s="11">
        <v>0</v>
      </c>
      <c r="IF77" s="11">
        <v>0</v>
      </c>
      <c r="IG77" s="11">
        <v>0</v>
      </c>
      <c r="IH77" s="26">
        <f t="shared" si="64"/>
        <v>0</v>
      </c>
      <c r="II77" s="9">
        <f t="shared" si="65"/>
        <v>50036</v>
      </c>
      <c r="IJ77" s="9">
        <f t="shared" si="66"/>
        <v>2529</v>
      </c>
      <c r="IK77" s="11">
        <v>22823</v>
      </c>
      <c r="IL77" s="11">
        <v>22484</v>
      </c>
      <c r="IM77" s="11">
        <v>20833</v>
      </c>
      <c r="IN77" s="11">
        <v>24518</v>
      </c>
      <c r="IO77" s="11">
        <v>25024</v>
      </c>
      <c r="IP77" s="11">
        <v>21718</v>
      </c>
      <c r="IQ77" s="11">
        <v>23858</v>
      </c>
      <c r="IR77" s="11">
        <v>21626</v>
      </c>
      <c r="IS77" s="11">
        <v>16191</v>
      </c>
      <c r="IT77" s="11">
        <v>22495</v>
      </c>
      <c r="IU77" s="11">
        <v>21254</v>
      </c>
      <c r="IV77" s="11">
        <v>21942</v>
      </c>
      <c r="IW77" s="27">
        <f t="shared" si="67"/>
        <v>264766</v>
      </c>
      <c r="IX77" s="11">
        <v>11295</v>
      </c>
      <c r="IY77" s="11">
        <v>11358</v>
      </c>
      <c r="IZ77" s="11">
        <v>10544</v>
      </c>
      <c r="JA77" s="11">
        <v>12322</v>
      </c>
      <c r="JB77" s="11">
        <v>12354</v>
      </c>
      <c r="JC77" s="11">
        <v>11584</v>
      </c>
      <c r="JD77" s="11">
        <v>12329</v>
      </c>
      <c r="JE77" s="11">
        <v>11352</v>
      </c>
      <c r="JF77" s="11">
        <v>9077</v>
      </c>
      <c r="JG77" s="11">
        <v>11684</v>
      </c>
      <c r="JH77" s="11">
        <v>10116</v>
      </c>
      <c r="JI77" s="11">
        <v>10469</v>
      </c>
      <c r="JJ77" s="27">
        <f t="shared" si="68"/>
        <v>134484</v>
      </c>
      <c r="JK77" s="11">
        <v>11298</v>
      </c>
      <c r="JL77" s="11">
        <v>10886</v>
      </c>
      <c r="JM77" s="11">
        <v>10049</v>
      </c>
      <c r="JN77" s="11">
        <v>11890</v>
      </c>
      <c r="JO77" s="11">
        <v>12358</v>
      </c>
      <c r="JP77" s="11">
        <v>9889</v>
      </c>
      <c r="JQ77" s="11">
        <v>11225</v>
      </c>
      <c r="JR77" s="11">
        <v>10067</v>
      </c>
      <c r="JS77" s="11">
        <v>6920</v>
      </c>
      <c r="JT77" s="11">
        <v>10572</v>
      </c>
      <c r="JU77" s="11">
        <v>10913</v>
      </c>
      <c r="JV77" s="11">
        <v>11253</v>
      </c>
      <c r="JW77" s="27">
        <f t="shared" si="69"/>
        <v>127320</v>
      </c>
      <c r="JX77" s="11">
        <v>230</v>
      </c>
      <c r="JY77" s="11">
        <v>240</v>
      </c>
      <c r="JZ77" s="11">
        <v>289</v>
      </c>
      <c r="KA77" s="11">
        <v>306</v>
      </c>
      <c r="KB77" s="11">
        <v>312</v>
      </c>
      <c r="KC77" s="11">
        <v>245</v>
      </c>
      <c r="KD77" s="11">
        <v>304</v>
      </c>
      <c r="KE77" s="11">
        <v>207</v>
      </c>
      <c r="KF77" s="11">
        <v>194</v>
      </c>
      <c r="KG77" s="11">
        <v>239</v>
      </c>
      <c r="KH77" s="11">
        <v>225</v>
      </c>
      <c r="KI77" s="11">
        <v>220</v>
      </c>
      <c r="KJ77" s="27">
        <f t="shared" si="70"/>
        <v>3011</v>
      </c>
      <c r="KK77" s="11">
        <v>440</v>
      </c>
      <c r="KL77" s="11">
        <v>305</v>
      </c>
      <c r="KM77" s="11">
        <v>274</v>
      </c>
      <c r="KN77" s="11">
        <v>523</v>
      </c>
      <c r="KO77" s="11">
        <v>457</v>
      </c>
      <c r="KP77" s="11">
        <v>363</v>
      </c>
      <c r="KQ77" s="11">
        <v>818</v>
      </c>
      <c r="KR77" s="11">
        <v>344</v>
      </c>
      <c r="KS77" s="11">
        <v>431</v>
      </c>
      <c r="KT77" s="11">
        <v>427</v>
      </c>
      <c r="KU77" s="11">
        <v>442</v>
      </c>
      <c r="KV77" s="11">
        <v>252</v>
      </c>
      <c r="KW77" s="27">
        <f t="shared" si="71"/>
        <v>5076</v>
      </c>
      <c r="KX77" s="11">
        <v>433</v>
      </c>
      <c r="KY77" s="11">
        <v>305</v>
      </c>
      <c r="KZ77" s="11">
        <v>274</v>
      </c>
      <c r="LA77" s="11">
        <v>523</v>
      </c>
      <c r="LB77" s="11">
        <v>456</v>
      </c>
      <c r="LC77" s="11">
        <v>361</v>
      </c>
      <c r="LD77" s="11">
        <v>817</v>
      </c>
      <c r="LE77" s="11">
        <v>342</v>
      </c>
      <c r="LF77" s="11">
        <v>429</v>
      </c>
      <c r="LG77" s="11">
        <v>425</v>
      </c>
      <c r="LH77" s="11">
        <v>442</v>
      </c>
      <c r="LI77" s="11">
        <v>250</v>
      </c>
      <c r="LJ77" s="27">
        <f t="shared" si="72"/>
        <v>5057</v>
      </c>
      <c r="LK77" s="11">
        <v>0</v>
      </c>
      <c r="LL77" s="11">
        <v>0</v>
      </c>
      <c r="LM77" s="11">
        <v>0</v>
      </c>
      <c r="LN77" s="11">
        <v>2</v>
      </c>
      <c r="LO77" s="11">
        <v>1</v>
      </c>
      <c r="LP77" s="11">
        <v>2</v>
      </c>
      <c r="LQ77" s="11">
        <v>1</v>
      </c>
      <c r="LR77" s="11">
        <v>2</v>
      </c>
      <c r="LS77" s="11">
        <v>2</v>
      </c>
      <c r="LT77" s="11">
        <v>2</v>
      </c>
      <c r="LU77" s="11">
        <v>0</v>
      </c>
      <c r="LV77" s="11">
        <v>2</v>
      </c>
      <c r="LW77" s="27">
        <f t="shared" si="73"/>
        <v>14</v>
      </c>
      <c r="LX77" s="11">
        <v>0</v>
      </c>
      <c r="LY77" s="11">
        <v>0</v>
      </c>
      <c r="LZ77" s="11">
        <v>0</v>
      </c>
      <c r="MA77" s="11">
        <v>0</v>
      </c>
      <c r="MB77" s="11">
        <v>0</v>
      </c>
      <c r="MC77" s="11">
        <v>0</v>
      </c>
      <c r="MD77" s="11">
        <v>0</v>
      </c>
      <c r="ME77" s="11">
        <v>0</v>
      </c>
      <c r="MF77" s="11">
        <v>0</v>
      </c>
      <c r="MG77" s="11">
        <v>0</v>
      </c>
      <c r="MH77" s="11">
        <v>0</v>
      </c>
      <c r="MI77" s="11">
        <v>0</v>
      </c>
      <c r="MJ77" s="27">
        <f t="shared" si="74"/>
        <v>0</v>
      </c>
      <c r="MK77" s="11"/>
      <c r="ML77" s="11"/>
      <c r="MM77" s="11"/>
      <c r="MN77" s="11"/>
      <c r="MO77" s="11"/>
      <c r="MP77" s="11"/>
      <c r="MQ77" s="11"/>
      <c r="MR77" s="11"/>
      <c r="MS77" s="11"/>
      <c r="MT77" s="11"/>
      <c r="MU77" s="11"/>
      <c r="MV77" s="11"/>
      <c r="MW77" s="27">
        <f t="shared" si="75"/>
        <v>0</v>
      </c>
      <c r="MX77" s="11"/>
      <c r="MY77" s="11"/>
      <c r="MZ77" s="11"/>
      <c r="NA77" s="11"/>
      <c r="NB77" s="11"/>
      <c r="NC77" s="11"/>
      <c r="ND77" s="11"/>
      <c r="NE77" s="11"/>
      <c r="NF77" s="11"/>
      <c r="NG77" s="11"/>
      <c r="NH77" s="11"/>
      <c r="NI77" s="11"/>
      <c r="NJ77" s="27">
        <f t="shared" si="76"/>
        <v>0</v>
      </c>
      <c r="NK77" s="11"/>
      <c r="NL77" s="11"/>
      <c r="NM77" s="11"/>
      <c r="NN77" s="11"/>
      <c r="NO77" s="11"/>
      <c r="NP77" s="11"/>
      <c r="NQ77" s="11"/>
      <c r="NR77" s="11"/>
      <c r="NS77" s="11"/>
      <c r="NT77" s="11"/>
      <c r="NU77" s="11"/>
      <c r="NV77" s="11"/>
      <c r="NW77" s="27">
        <f t="shared" si="77"/>
        <v>0</v>
      </c>
      <c r="NX77" s="11"/>
      <c r="NY77" s="11"/>
      <c r="NZ77" s="11"/>
      <c r="OA77" s="11"/>
      <c r="OB77" s="11"/>
      <c r="OC77" s="11"/>
      <c r="OD77" s="11"/>
      <c r="OE77" s="11"/>
      <c r="OF77" s="11"/>
      <c r="OG77" s="11"/>
      <c r="OH77" s="11"/>
      <c r="OI77" s="11"/>
      <c r="OJ77" s="27">
        <f t="shared" si="78"/>
        <v>0</v>
      </c>
      <c r="OK77" s="11"/>
      <c r="OL77" s="11"/>
      <c r="OM77" s="11"/>
      <c r="ON77" s="11"/>
      <c r="OO77" s="11"/>
      <c r="OP77" s="11"/>
      <c r="OQ77" s="11"/>
      <c r="OR77" s="11"/>
      <c r="OS77" s="11"/>
      <c r="OT77" s="11"/>
      <c r="OU77" s="11"/>
      <c r="OV77" s="11"/>
      <c r="OW77" s="27">
        <f t="shared" si="79"/>
        <v>0</v>
      </c>
      <c r="OX77" s="11"/>
      <c r="OY77" s="11"/>
      <c r="OZ77" s="11"/>
      <c r="PA77" s="11"/>
      <c r="PB77" s="11"/>
      <c r="PC77" s="11"/>
      <c r="PD77" s="11"/>
      <c r="PE77" s="11"/>
      <c r="PF77" s="11"/>
      <c r="PG77" s="11"/>
      <c r="PH77" s="11"/>
      <c r="PI77" s="11"/>
      <c r="PJ77" s="27">
        <f t="shared" si="80"/>
        <v>0</v>
      </c>
      <c r="PK77" s="11"/>
      <c r="PL77" s="11"/>
      <c r="PM77" s="11"/>
      <c r="PN77" s="11"/>
      <c r="PO77" s="11"/>
      <c r="PP77" s="11"/>
      <c r="PQ77" s="11"/>
      <c r="PR77" s="11"/>
      <c r="PS77" s="11"/>
      <c r="PT77" s="11"/>
      <c r="PU77" s="11"/>
      <c r="PV77" s="11"/>
      <c r="PW77" s="27">
        <f t="shared" si="81"/>
        <v>0</v>
      </c>
      <c r="PX77" s="11"/>
      <c r="PY77" s="11"/>
      <c r="PZ77" s="11"/>
      <c r="QA77" s="11"/>
      <c r="QB77" s="11"/>
      <c r="QC77" s="11"/>
      <c r="QD77" s="11"/>
      <c r="QE77" s="11"/>
      <c r="QF77" s="11"/>
      <c r="QG77" s="11"/>
      <c r="QH77" s="11"/>
      <c r="QI77" s="11"/>
      <c r="QJ77" s="27">
        <f t="shared" si="82"/>
        <v>0</v>
      </c>
      <c r="QK77" s="11">
        <v>20156</v>
      </c>
      <c r="QL77" s="11">
        <v>22137</v>
      </c>
      <c r="QM77" s="11">
        <v>12731</v>
      </c>
      <c r="QN77" s="11">
        <v>12493</v>
      </c>
      <c r="QO77" s="11">
        <v>12067</v>
      </c>
      <c r="QP77" s="11">
        <v>12414</v>
      </c>
      <c r="QQ77" s="11">
        <v>15254</v>
      </c>
      <c r="QR77" s="11">
        <v>13124</v>
      </c>
      <c r="QS77" s="11">
        <v>11941</v>
      </c>
      <c r="QT77" s="11">
        <v>21256</v>
      </c>
      <c r="QU77" s="11">
        <v>22508</v>
      </c>
      <c r="QV77" s="11">
        <v>28180</v>
      </c>
      <c r="QW77" s="27">
        <f t="shared" si="83"/>
        <v>204261</v>
      </c>
      <c r="QX77" s="11">
        <v>0</v>
      </c>
      <c r="QY77" s="11">
        <v>0</v>
      </c>
      <c r="QZ77" s="11">
        <v>0</v>
      </c>
      <c r="RA77" s="11">
        <v>0</v>
      </c>
      <c r="RB77" s="11">
        <v>0</v>
      </c>
      <c r="RC77" s="11">
        <v>0</v>
      </c>
      <c r="RD77" s="11">
        <v>0</v>
      </c>
      <c r="RE77" s="11">
        <v>0</v>
      </c>
      <c r="RF77" s="11">
        <v>0</v>
      </c>
      <c r="RG77" s="11">
        <v>0</v>
      </c>
      <c r="RH77" s="11">
        <v>0</v>
      </c>
      <c r="RI77" s="11">
        <v>0</v>
      </c>
      <c r="RJ77" s="27">
        <f t="shared" si="84"/>
        <v>0</v>
      </c>
      <c r="RK77" s="11">
        <v>0</v>
      </c>
      <c r="RL77" s="11">
        <v>0</v>
      </c>
      <c r="RM77" s="11">
        <v>0</v>
      </c>
      <c r="RN77" s="11">
        <v>0</v>
      </c>
      <c r="RO77" s="11">
        <v>0</v>
      </c>
      <c r="RP77" s="11">
        <v>0</v>
      </c>
      <c r="RQ77" s="11">
        <v>0</v>
      </c>
      <c r="RR77" s="11">
        <v>0</v>
      </c>
      <c r="RS77" s="11">
        <v>0</v>
      </c>
      <c r="RT77" s="11">
        <v>0</v>
      </c>
      <c r="RU77" s="11">
        <v>0</v>
      </c>
      <c r="RV77" s="11">
        <v>0</v>
      </c>
      <c r="RW77" s="27">
        <f t="shared" si="85"/>
        <v>0</v>
      </c>
      <c r="RX77" s="11">
        <v>90</v>
      </c>
      <c r="RY77" s="11">
        <v>92</v>
      </c>
      <c r="RZ77" s="11">
        <v>89</v>
      </c>
      <c r="SA77" s="11">
        <v>90</v>
      </c>
      <c r="SB77" s="11">
        <v>85</v>
      </c>
      <c r="SC77" s="11">
        <v>88</v>
      </c>
      <c r="SD77" s="11">
        <v>86</v>
      </c>
      <c r="SE77" s="11">
        <v>87</v>
      </c>
      <c r="SF77" s="11">
        <v>90</v>
      </c>
      <c r="SG77" s="11">
        <v>92</v>
      </c>
      <c r="SH77" s="11">
        <v>90</v>
      </c>
      <c r="SI77" s="11">
        <v>89</v>
      </c>
      <c r="SJ77" s="27">
        <f t="shared" si="86"/>
        <v>1068</v>
      </c>
      <c r="SK77" s="11">
        <v>0</v>
      </c>
      <c r="SL77" s="11">
        <v>0</v>
      </c>
      <c r="SM77" s="11">
        <v>0</v>
      </c>
      <c r="SN77" s="11">
        <v>0</v>
      </c>
      <c r="SO77" s="11">
        <v>0</v>
      </c>
      <c r="SP77" s="11">
        <v>0</v>
      </c>
      <c r="SQ77" s="11">
        <v>0</v>
      </c>
      <c r="SR77" s="11">
        <v>0</v>
      </c>
      <c r="SS77" s="11">
        <v>0</v>
      </c>
      <c r="ST77" s="11">
        <v>0</v>
      </c>
      <c r="SU77" s="11">
        <v>0</v>
      </c>
      <c r="SV77" s="11">
        <v>0</v>
      </c>
      <c r="SW77" s="27">
        <f t="shared" si="87"/>
        <v>0</v>
      </c>
      <c r="SX77" s="11" t="s">
        <v>2664</v>
      </c>
      <c r="SY77" s="11">
        <v>4634</v>
      </c>
      <c r="SZ77" s="11">
        <v>4215</v>
      </c>
      <c r="TA77" s="11">
        <v>3821</v>
      </c>
      <c r="TB77" s="11">
        <v>4439</v>
      </c>
      <c r="TC77" s="11">
        <v>4185</v>
      </c>
      <c r="TD77" s="11">
        <v>3929</v>
      </c>
      <c r="TE77" s="11">
        <v>3759</v>
      </c>
      <c r="TF77" s="11">
        <v>4076</v>
      </c>
      <c r="TG77" s="11">
        <v>2693</v>
      </c>
      <c r="TH77" s="11">
        <v>3621</v>
      </c>
      <c r="TI77" s="11">
        <v>3615</v>
      </c>
      <c r="TJ77" s="11">
        <v>4265</v>
      </c>
      <c r="TK77" s="27">
        <f t="shared" si="88"/>
        <v>47252</v>
      </c>
      <c r="TL77" s="11">
        <v>0</v>
      </c>
      <c r="TM77" s="11">
        <v>0</v>
      </c>
      <c r="TN77" s="11">
        <v>0</v>
      </c>
      <c r="TO77" s="11">
        <v>0</v>
      </c>
      <c r="TP77" s="11">
        <v>0</v>
      </c>
      <c r="TQ77" s="11">
        <v>0</v>
      </c>
      <c r="TR77" s="11">
        <v>0</v>
      </c>
      <c r="TS77" s="11">
        <v>0</v>
      </c>
      <c r="TT77" s="11">
        <v>0</v>
      </c>
      <c r="TU77" s="11">
        <v>0</v>
      </c>
      <c r="TV77" s="11">
        <v>0</v>
      </c>
      <c r="TW77" s="11">
        <v>0</v>
      </c>
      <c r="TX77" s="27">
        <f t="shared" si="89"/>
        <v>0</v>
      </c>
      <c r="TY77" s="11">
        <v>189</v>
      </c>
      <c r="TZ77" s="11">
        <v>201</v>
      </c>
      <c r="UA77" s="11">
        <v>772</v>
      </c>
    </row>
    <row r="78" spans="1:547" ht="16" customHeight="1" x14ac:dyDescent="0.35">
      <c r="A78" s="11" t="s">
        <v>1373</v>
      </c>
      <c r="B78" s="11">
        <v>15719</v>
      </c>
      <c r="C78" s="11">
        <v>6768</v>
      </c>
      <c r="D78" s="11">
        <v>7978</v>
      </c>
      <c r="E78" s="11">
        <v>973</v>
      </c>
      <c r="F78" s="11">
        <v>0</v>
      </c>
      <c r="G78" s="11">
        <v>0</v>
      </c>
      <c r="H78" s="11">
        <v>0</v>
      </c>
      <c r="I78" s="11">
        <v>0</v>
      </c>
      <c r="J78" s="11">
        <v>0</v>
      </c>
      <c r="K78" s="11">
        <v>0</v>
      </c>
      <c r="L78" s="11">
        <v>0</v>
      </c>
      <c r="M78" s="11">
        <v>0</v>
      </c>
      <c r="N78" s="11">
        <v>0</v>
      </c>
      <c r="O78" s="11">
        <v>0</v>
      </c>
      <c r="P78" s="11" t="s">
        <v>2865</v>
      </c>
      <c r="Q78" s="11">
        <v>0</v>
      </c>
      <c r="R78" s="11">
        <v>0</v>
      </c>
      <c r="S78" s="26">
        <f t="shared" si="45"/>
        <v>0</v>
      </c>
      <c r="T78" s="11">
        <v>0</v>
      </c>
      <c r="U78" s="11">
        <v>0</v>
      </c>
      <c r="V78" s="11">
        <v>0</v>
      </c>
      <c r="W78" s="11">
        <v>0</v>
      </c>
      <c r="X78" s="11">
        <v>0</v>
      </c>
      <c r="Y78" s="11">
        <v>0</v>
      </c>
      <c r="Z78" s="11">
        <v>0</v>
      </c>
      <c r="AA78" s="11">
        <v>0</v>
      </c>
      <c r="AB78" s="11">
        <v>0</v>
      </c>
      <c r="AC78" s="11">
        <v>0</v>
      </c>
      <c r="AD78" s="11">
        <v>0</v>
      </c>
      <c r="AE78" s="11">
        <v>0</v>
      </c>
      <c r="AF78" s="26">
        <f t="shared" si="46"/>
        <v>0</v>
      </c>
      <c r="AG78" s="11">
        <v>0</v>
      </c>
      <c r="AH78" s="11">
        <v>0</v>
      </c>
      <c r="AI78" s="11">
        <v>0</v>
      </c>
      <c r="AJ78" s="11">
        <v>0</v>
      </c>
      <c r="AK78" s="11">
        <v>0</v>
      </c>
      <c r="AL78" s="11">
        <v>0</v>
      </c>
      <c r="AM78" s="11">
        <v>0</v>
      </c>
      <c r="AN78" s="11">
        <v>0</v>
      </c>
      <c r="AO78" s="11">
        <v>0</v>
      </c>
      <c r="AP78" s="11">
        <v>0</v>
      </c>
      <c r="AQ78" s="11">
        <v>0</v>
      </c>
      <c r="AR78" s="11">
        <v>0</v>
      </c>
      <c r="AS78" s="26">
        <f t="shared" si="47"/>
        <v>0</v>
      </c>
      <c r="AT78" s="11">
        <v>0</v>
      </c>
      <c r="AU78" s="11">
        <v>0</v>
      </c>
      <c r="AV78" s="11">
        <v>0</v>
      </c>
      <c r="AW78" s="11">
        <v>0</v>
      </c>
      <c r="AX78" s="11">
        <v>0</v>
      </c>
      <c r="AY78" s="11">
        <v>0</v>
      </c>
      <c r="AZ78" s="11">
        <v>0</v>
      </c>
      <c r="BA78" s="11">
        <v>0</v>
      </c>
      <c r="BB78" s="11">
        <v>0</v>
      </c>
      <c r="BC78" s="11">
        <v>0</v>
      </c>
      <c r="BD78" s="11">
        <v>0</v>
      </c>
      <c r="BE78" s="11">
        <v>0</v>
      </c>
      <c r="BF78" s="26">
        <f t="shared" si="48"/>
        <v>0</v>
      </c>
      <c r="BG78" s="11">
        <v>0</v>
      </c>
      <c r="BH78" s="11">
        <v>0</v>
      </c>
      <c r="BI78" s="11">
        <v>0</v>
      </c>
      <c r="BJ78" s="11">
        <v>0</v>
      </c>
      <c r="BK78" s="11">
        <v>0</v>
      </c>
      <c r="BL78" s="11">
        <v>0</v>
      </c>
      <c r="BM78" s="11">
        <v>0</v>
      </c>
      <c r="BN78" s="11">
        <v>0</v>
      </c>
      <c r="BO78" s="11">
        <v>0</v>
      </c>
      <c r="BP78" s="11">
        <v>0</v>
      </c>
      <c r="BQ78" s="11">
        <v>0</v>
      </c>
      <c r="BR78" s="11">
        <v>0</v>
      </c>
      <c r="BS78" s="26">
        <f t="shared" si="49"/>
        <v>0</v>
      </c>
      <c r="BT78" s="11">
        <v>0</v>
      </c>
      <c r="BU78" s="11">
        <v>0</v>
      </c>
      <c r="BV78" s="11">
        <v>0</v>
      </c>
      <c r="BW78" s="11">
        <v>0</v>
      </c>
      <c r="BX78" s="11">
        <v>0</v>
      </c>
      <c r="BY78" s="11">
        <v>0</v>
      </c>
      <c r="BZ78" s="11">
        <v>0</v>
      </c>
      <c r="CA78" s="11">
        <v>0</v>
      </c>
      <c r="CB78" s="11">
        <v>0</v>
      </c>
      <c r="CC78" s="11">
        <v>0</v>
      </c>
      <c r="CD78" s="11">
        <v>0</v>
      </c>
      <c r="CE78" s="11">
        <v>0</v>
      </c>
      <c r="CF78" s="26">
        <f t="shared" si="50"/>
        <v>0</v>
      </c>
      <c r="CG78" s="11">
        <v>0</v>
      </c>
      <c r="CH78" s="11">
        <v>0</v>
      </c>
      <c r="CI78" s="11">
        <v>0</v>
      </c>
      <c r="CJ78" s="11">
        <v>0</v>
      </c>
      <c r="CK78" s="11">
        <v>0</v>
      </c>
      <c r="CL78" s="11">
        <v>0</v>
      </c>
      <c r="CM78" s="11">
        <v>0</v>
      </c>
      <c r="CN78" s="11">
        <v>0</v>
      </c>
      <c r="CO78" s="11">
        <v>0</v>
      </c>
      <c r="CP78" s="11">
        <v>0</v>
      </c>
      <c r="CQ78" s="11">
        <v>0</v>
      </c>
      <c r="CR78" s="11">
        <v>0</v>
      </c>
      <c r="CS78" s="26">
        <f t="shared" si="51"/>
        <v>0</v>
      </c>
      <c r="CT78" s="11">
        <v>0</v>
      </c>
      <c r="CU78" s="11">
        <v>0</v>
      </c>
      <c r="CV78" s="11">
        <v>0</v>
      </c>
      <c r="CW78" s="11">
        <v>0</v>
      </c>
      <c r="CX78" s="11">
        <v>0</v>
      </c>
      <c r="CY78" s="11">
        <v>0</v>
      </c>
      <c r="CZ78" s="11">
        <v>0</v>
      </c>
      <c r="DA78" s="11">
        <v>0</v>
      </c>
      <c r="DB78" s="11">
        <v>0</v>
      </c>
      <c r="DC78" s="11">
        <v>0</v>
      </c>
      <c r="DD78" s="11">
        <v>0</v>
      </c>
      <c r="DE78" s="11">
        <v>0</v>
      </c>
      <c r="DF78" s="26">
        <f t="shared" si="52"/>
        <v>0</v>
      </c>
      <c r="DG78" s="11">
        <v>0</v>
      </c>
      <c r="DH78" s="11">
        <v>0</v>
      </c>
      <c r="DI78" s="11">
        <v>0</v>
      </c>
      <c r="DJ78" s="11">
        <v>0</v>
      </c>
      <c r="DK78" s="11">
        <v>0</v>
      </c>
      <c r="DL78" s="11">
        <v>0</v>
      </c>
      <c r="DM78" s="11">
        <v>0</v>
      </c>
      <c r="DN78" s="11">
        <v>0</v>
      </c>
      <c r="DO78" s="11">
        <v>0</v>
      </c>
      <c r="DP78" s="11">
        <v>0</v>
      </c>
      <c r="DQ78" s="11">
        <v>0</v>
      </c>
      <c r="DR78" s="11">
        <v>0</v>
      </c>
      <c r="DS78" s="26">
        <f t="shared" si="53"/>
        <v>0</v>
      </c>
      <c r="DT78" s="11">
        <v>0</v>
      </c>
      <c r="DU78" s="11">
        <v>0</v>
      </c>
      <c r="DV78" s="11">
        <v>0</v>
      </c>
      <c r="DW78" s="11">
        <v>0</v>
      </c>
      <c r="DX78" s="11">
        <v>0</v>
      </c>
      <c r="DY78" s="11">
        <v>0</v>
      </c>
      <c r="DZ78" s="11">
        <v>0</v>
      </c>
      <c r="EA78" s="11">
        <v>0</v>
      </c>
      <c r="EB78" s="11">
        <v>0</v>
      </c>
      <c r="EC78" s="11">
        <v>0</v>
      </c>
      <c r="ED78" s="11">
        <v>0</v>
      </c>
      <c r="EE78" s="11">
        <v>0</v>
      </c>
      <c r="EF78" s="26">
        <f t="shared" si="54"/>
        <v>0</v>
      </c>
      <c r="EG78" s="9">
        <f t="shared" si="55"/>
        <v>0</v>
      </c>
      <c r="EH78" s="9">
        <f t="shared" si="56"/>
        <v>0</v>
      </c>
      <c r="EI78" s="11">
        <v>11442</v>
      </c>
      <c r="EJ78" s="11">
        <v>10475</v>
      </c>
      <c r="EK78" s="11">
        <v>9704</v>
      </c>
      <c r="EL78" s="11">
        <v>10955</v>
      </c>
      <c r="EM78" s="11">
        <v>11040</v>
      </c>
      <c r="EN78" s="11">
        <v>11228</v>
      </c>
      <c r="EO78" s="11">
        <v>12160</v>
      </c>
      <c r="EP78" s="11">
        <v>11164</v>
      </c>
      <c r="EQ78" s="11">
        <v>8183</v>
      </c>
      <c r="ER78" s="11">
        <v>10476</v>
      </c>
      <c r="ES78" s="11">
        <v>12412</v>
      </c>
      <c r="ET78" s="11">
        <v>13713</v>
      </c>
      <c r="EU78" s="26">
        <f t="shared" si="57"/>
        <v>132952</v>
      </c>
      <c r="EV78" s="11">
        <v>7075</v>
      </c>
      <c r="EW78" s="11">
        <v>6228</v>
      </c>
      <c r="EX78" s="11">
        <v>6140</v>
      </c>
      <c r="EY78" s="11">
        <v>6297</v>
      </c>
      <c r="EZ78" s="11">
        <v>6575</v>
      </c>
      <c r="FA78" s="11">
        <v>6991</v>
      </c>
      <c r="FB78" s="11">
        <v>7906</v>
      </c>
      <c r="FC78" s="11">
        <v>7143</v>
      </c>
      <c r="FD78" s="11">
        <v>5290</v>
      </c>
      <c r="FE78" s="11">
        <v>6508</v>
      </c>
      <c r="FF78" s="11">
        <v>7599</v>
      </c>
      <c r="FG78" s="11">
        <v>7923</v>
      </c>
      <c r="FH78" s="26">
        <f t="shared" si="58"/>
        <v>81675</v>
      </c>
      <c r="FI78" s="11">
        <v>4367</v>
      </c>
      <c r="FJ78" s="11">
        <v>4247</v>
      </c>
      <c r="FK78" s="11">
        <v>3564</v>
      </c>
      <c r="FL78" s="11">
        <v>4658</v>
      </c>
      <c r="FM78" s="11">
        <v>4465</v>
      </c>
      <c r="FN78" s="11">
        <v>4237</v>
      </c>
      <c r="FO78" s="11">
        <v>4254</v>
      </c>
      <c r="FP78" s="11">
        <v>4021</v>
      </c>
      <c r="FQ78" s="11">
        <v>2893</v>
      </c>
      <c r="FR78" s="11">
        <v>3968</v>
      </c>
      <c r="FS78" s="11">
        <v>4813</v>
      </c>
      <c r="FT78" s="11">
        <v>5790</v>
      </c>
      <c r="FU78" s="26">
        <f t="shared" si="59"/>
        <v>51277</v>
      </c>
      <c r="FV78" s="11">
        <v>0</v>
      </c>
      <c r="FW78" s="11">
        <v>0</v>
      </c>
      <c r="FX78" s="11">
        <v>0</v>
      </c>
      <c r="FY78" s="11">
        <v>0</v>
      </c>
      <c r="FZ78" s="11">
        <v>0</v>
      </c>
      <c r="GA78" s="11">
        <v>0</v>
      </c>
      <c r="GB78" s="11">
        <v>0</v>
      </c>
      <c r="GC78" s="11">
        <v>0</v>
      </c>
      <c r="GD78" s="11">
        <v>0</v>
      </c>
      <c r="GE78" s="11">
        <v>0</v>
      </c>
      <c r="GF78" s="11">
        <v>0</v>
      </c>
      <c r="GG78" s="11">
        <v>0</v>
      </c>
      <c r="GH78" s="26">
        <f t="shared" si="60"/>
        <v>0</v>
      </c>
      <c r="GI78" s="11">
        <v>0</v>
      </c>
      <c r="GJ78" s="11">
        <v>0</v>
      </c>
      <c r="GK78" s="11">
        <v>0</v>
      </c>
      <c r="GL78" s="11">
        <v>0</v>
      </c>
      <c r="GM78" s="11">
        <v>0</v>
      </c>
      <c r="GN78" s="11">
        <v>0</v>
      </c>
      <c r="GO78" s="11">
        <v>0</v>
      </c>
      <c r="GP78" s="11">
        <v>0</v>
      </c>
      <c r="GQ78" s="11">
        <v>0</v>
      </c>
      <c r="GR78" s="11">
        <v>0</v>
      </c>
      <c r="GS78" s="11">
        <v>0</v>
      </c>
      <c r="GT78" s="11">
        <v>0</v>
      </c>
      <c r="GU78" s="26">
        <f t="shared" si="61"/>
        <v>0</v>
      </c>
      <c r="GV78" s="11">
        <v>0</v>
      </c>
      <c r="GW78" s="11">
        <v>0</v>
      </c>
      <c r="GX78" s="11">
        <v>0</v>
      </c>
      <c r="GY78" s="11">
        <v>0</v>
      </c>
      <c r="GZ78" s="11">
        <v>0</v>
      </c>
      <c r="HA78" s="11">
        <v>0</v>
      </c>
      <c r="HB78" s="11">
        <v>0</v>
      </c>
      <c r="HC78" s="11">
        <v>0</v>
      </c>
      <c r="HD78" s="11">
        <v>0</v>
      </c>
      <c r="HE78" s="11">
        <v>0</v>
      </c>
      <c r="HF78" s="11">
        <v>0</v>
      </c>
      <c r="HG78" s="11">
        <v>0</v>
      </c>
      <c r="HH78" s="26">
        <f t="shared" si="62"/>
        <v>0</v>
      </c>
      <c r="HI78" s="11">
        <v>0</v>
      </c>
      <c r="HJ78" s="11">
        <v>0</v>
      </c>
      <c r="HK78" s="11">
        <v>0</v>
      </c>
      <c r="HL78" s="11">
        <v>0</v>
      </c>
      <c r="HM78" s="11">
        <v>0</v>
      </c>
      <c r="HN78" s="11">
        <v>0</v>
      </c>
      <c r="HO78" s="11">
        <v>0</v>
      </c>
      <c r="HP78" s="11">
        <v>0</v>
      </c>
      <c r="HQ78" s="11">
        <v>0</v>
      </c>
      <c r="HR78" s="11">
        <v>0</v>
      </c>
      <c r="HS78" s="11">
        <v>0</v>
      </c>
      <c r="HT78" s="11">
        <v>0</v>
      </c>
      <c r="HU78" s="26">
        <f t="shared" si="63"/>
        <v>0</v>
      </c>
      <c r="HV78" s="11">
        <v>0</v>
      </c>
      <c r="HW78" s="11">
        <v>0</v>
      </c>
      <c r="HX78" s="11">
        <v>0</v>
      </c>
      <c r="HY78" s="11">
        <v>0</v>
      </c>
      <c r="HZ78" s="11">
        <v>0</v>
      </c>
      <c r="IA78" s="11">
        <v>0</v>
      </c>
      <c r="IB78" s="11">
        <v>0</v>
      </c>
      <c r="IC78" s="11">
        <v>0</v>
      </c>
      <c r="ID78" s="11">
        <v>0</v>
      </c>
      <c r="IE78" s="11">
        <v>0</v>
      </c>
      <c r="IF78" s="11">
        <v>0</v>
      </c>
      <c r="IG78" s="11">
        <v>0</v>
      </c>
      <c r="IH78" s="26">
        <f t="shared" si="64"/>
        <v>0</v>
      </c>
      <c r="II78" s="9">
        <f t="shared" si="65"/>
        <v>132952</v>
      </c>
      <c r="IJ78" s="9">
        <f t="shared" si="66"/>
        <v>0</v>
      </c>
      <c r="IK78" s="11">
        <v>31566</v>
      </c>
      <c r="IL78" s="11">
        <v>25223</v>
      </c>
      <c r="IM78" s="11">
        <v>21985</v>
      </c>
      <c r="IN78" s="11">
        <v>34372</v>
      </c>
      <c r="IO78" s="11">
        <v>31080</v>
      </c>
      <c r="IP78" s="11">
        <v>27559</v>
      </c>
      <c r="IQ78" s="11">
        <v>28357</v>
      </c>
      <c r="IR78" s="11">
        <v>23878</v>
      </c>
      <c r="IS78" s="11">
        <v>22586</v>
      </c>
      <c r="IT78" s="11">
        <v>24742</v>
      </c>
      <c r="IU78" s="11">
        <v>26740</v>
      </c>
      <c r="IV78" s="11">
        <v>27944</v>
      </c>
      <c r="IW78" s="27">
        <f t="shared" si="67"/>
        <v>326032</v>
      </c>
      <c r="IX78" s="11">
        <v>13207</v>
      </c>
      <c r="IY78" s="11">
        <v>12181</v>
      </c>
      <c r="IZ78" s="11">
        <v>11648</v>
      </c>
      <c r="JA78" s="11">
        <v>13818</v>
      </c>
      <c r="JB78" s="11">
        <v>13640</v>
      </c>
      <c r="JC78" s="11">
        <v>12817</v>
      </c>
      <c r="JD78" s="11">
        <v>13569</v>
      </c>
      <c r="JE78" s="11">
        <v>12119</v>
      </c>
      <c r="JF78" s="11">
        <v>9297</v>
      </c>
      <c r="JG78" s="11">
        <v>12633</v>
      </c>
      <c r="JH78" s="11">
        <v>11521</v>
      </c>
      <c r="JI78" s="11">
        <v>12883</v>
      </c>
      <c r="JJ78" s="27">
        <f t="shared" si="68"/>
        <v>149333</v>
      </c>
      <c r="JK78" s="11">
        <v>17972</v>
      </c>
      <c r="JL78" s="11">
        <v>12724</v>
      </c>
      <c r="JM78" s="11">
        <v>10006</v>
      </c>
      <c r="JN78" s="11">
        <v>20076</v>
      </c>
      <c r="JO78" s="11">
        <v>16984</v>
      </c>
      <c r="JP78" s="11">
        <v>14359</v>
      </c>
      <c r="JQ78" s="11">
        <v>14397</v>
      </c>
      <c r="JR78" s="11">
        <v>11433</v>
      </c>
      <c r="JS78" s="11">
        <v>13099</v>
      </c>
      <c r="JT78" s="11">
        <v>11839</v>
      </c>
      <c r="JU78" s="11">
        <v>14847</v>
      </c>
      <c r="JV78" s="11">
        <v>14677</v>
      </c>
      <c r="JW78" s="27">
        <f t="shared" si="69"/>
        <v>172413</v>
      </c>
      <c r="JX78" s="11">
        <v>387</v>
      </c>
      <c r="JY78" s="11">
        <v>318</v>
      </c>
      <c r="JZ78" s="11">
        <v>331</v>
      </c>
      <c r="KA78" s="11">
        <v>478</v>
      </c>
      <c r="KB78" s="11">
        <v>456</v>
      </c>
      <c r="KC78" s="11">
        <v>383</v>
      </c>
      <c r="KD78" s="11">
        <v>391</v>
      </c>
      <c r="KE78" s="11">
        <v>326</v>
      </c>
      <c r="KF78" s="11">
        <v>190</v>
      </c>
      <c r="KG78" s="11">
        <v>270</v>
      </c>
      <c r="KH78" s="11">
        <v>372</v>
      </c>
      <c r="KI78" s="11">
        <v>384</v>
      </c>
      <c r="KJ78" s="27">
        <f t="shared" si="70"/>
        <v>4286</v>
      </c>
      <c r="KK78" s="11">
        <v>676</v>
      </c>
      <c r="KL78" s="11">
        <v>527</v>
      </c>
      <c r="KM78" s="11">
        <v>582</v>
      </c>
      <c r="KN78" s="11">
        <v>623</v>
      </c>
      <c r="KO78" s="11">
        <v>603</v>
      </c>
      <c r="KP78" s="11">
        <v>368</v>
      </c>
      <c r="KQ78" s="11">
        <v>558</v>
      </c>
      <c r="KR78" s="11">
        <v>478</v>
      </c>
      <c r="KS78" s="11">
        <v>363</v>
      </c>
      <c r="KT78" s="11">
        <v>565</v>
      </c>
      <c r="KU78" s="11">
        <v>499</v>
      </c>
      <c r="KV78" s="11">
        <v>629</v>
      </c>
      <c r="KW78" s="27">
        <f t="shared" si="71"/>
        <v>6471</v>
      </c>
      <c r="KX78" s="11">
        <v>621</v>
      </c>
      <c r="KY78" s="11">
        <v>482</v>
      </c>
      <c r="KZ78" s="11">
        <v>560</v>
      </c>
      <c r="LA78" s="11">
        <v>597</v>
      </c>
      <c r="LB78" s="11">
        <v>572</v>
      </c>
      <c r="LC78" s="11">
        <v>557</v>
      </c>
      <c r="LD78" s="11">
        <v>543</v>
      </c>
      <c r="LE78" s="11">
        <v>461</v>
      </c>
      <c r="LF78" s="11">
        <v>352</v>
      </c>
      <c r="LG78" s="11">
        <v>549</v>
      </c>
      <c r="LH78" s="11">
        <v>476</v>
      </c>
      <c r="LI78" s="11">
        <v>618</v>
      </c>
      <c r="LJ78" s="27">
        <f t="shared" si="72"/>
        <v>6388</v>
      </c>
      <c r="LK78" s="11">
        <v>55</v>
      </c>
      <c r="LL78" s="11">
        <v>45</v>
      </c>
      <c r="LM78" s="11">
        <v>22</v>
      </c>
      <c r="LN78" s="11">
        <v>26</v>
      </c>
      <c r="LO78" s="11">
        <v>31</v>
      </c>
      <c r="LP78" s="11">
        <v>11</v>
      </c>
      <c r="LQ78" s="11">
        <v>15</v>
      </c>
      <c r="LR78" s="11">
        <v>17</v>
      </c>
      <c r="LS78" s="11">
        <v>11</v>
      </c>
      <c r="LT78" s="11">
        <v>16</v>
      </c>
      <c r="LU78" s="11">
        <v>23</v>
      </c>
      <c r="LV78" s="11">
        <v>11</v>
      </c>
      <c r="LW78" s="27">
        <f t="shared" si="73"/>
        <v>283</v>
      </c>
      <c r="LX78" s="11">
        <v>0</v>
      </c>
      <c r="LY78" s="11">
        <v>0</v>
      </c>
      <c r="LZ78" s="11">
        <v>0</v>
      </c>
      <c r="MA78" s="11">
        <v>0</v>
      </c>
      <c r="MB78" s="11">
        <v>0</v>
      </c>
      <c r="MC78" s="11">
        <v>0</v>
      </c>
      <c r="MD78" s="11">
        <v>0</v>
      </c>
      <c r="ME78" s="11">
        <v>0</v>
      </c>
      <c r="MF78" s="11">
        <v>0</v>
      </c>
      <c r="MG78" s="11">
        <v>0</v>
      </c>
      <c r="MH78" s="11">
        <v>0</v>
      </c>
      <c r="MI78" s="11">
        <v>0</v>
      </c>
      <c r="MJ78" s="27">
        <f t="shared" si="74"/>
        <v>0</v>
      </c>
      <c r="MK78" s="11">
        <v>1967</v>
      </c>
      <c r="ML78" s="11">
        <v>2060</v>
      </c>
      <c r="MM78" s="11">
        <v>1948</v>
      </c>
      <c r="MN78" s="11">
        <v>2094</v>
      </c>
      <c r="MO78" s="11">
        <v>2130</v>
      </c>
      <c r="MP78" s="11">
        <v>1873</v>
      </c>
      <c r="MQ78" s="11">
        <v>1886</v>
      </c>
      <c r="MR78" s="11">
        <v>1695</v>
      </c>
      <c r="MS78" s="11">
        <v>1747</v>
      </c>
      <c r="MT78" s="11">
        <v>1753</v>
      </c>
      <c r="MU78" s="11">
        <v>1602</v>
      </c>
      <c r="MV78" s="11">
        <v>1542</v>
      </c>
      <c r="MW78" s="27">
        <f t="shared" si="75"/>
        <v>22297</v>
      </c>
      <c r="MX78" s="11">
        <v>0</v>
      </c>
      <c r="MY78" s="11">
        <v>0</v>
      </c>
      <c r="MZ78" s="11">
        <v>0</v>
      </c>
      <c r="NA78" s="11">
        <v>0</v>
      </c>
      <c r="NB78" s="11">
        <v>0</v>
      </c>
      <c r="NC78" s="11">
        <v>0</v>
      </c>
      <c r="ND78" s="11">
        <v>0</v>
      </c>
      <c r="NE78" s="11">
        <v>0</v>
      </c>
      <c r="NF78" s="11">
        <v>0</v>
      </c>
      <c r="NG78" s="11">
        <v>0</v>
      </c>
      <c r="NH78" s="11">
        <v>0</v>
      </c>
      <c r="NI78" s="11">
        <v>0</v>
      </c>
      <c r="NJ78" s="27">
        <f t="shared" si="76"/>
        <v>0</v>
      </c>
      <c r="NK78" s="11">
        <v>0</v>
      </c>
      <c r="NL78" s="11">
        <v>0</v>
      </c>
      <c r="NM78" s="11">
        <v>0</v>
      </c>
      <c r="NN78" s="11">
        <v>0</v>
      </c>
      <c r="NO78" s="11">
        <v>0</v>
      </c>
      <c r="NP78" s="11">
        <v>0</v>
      </c>
      <c r="NQ78" s="11">
        <v>0</v>
      </c>
      <c r="NR78" s="11">
        <v>0</v>
      </c>
      <c r="NS78" s="11">
        <v>0</v>
      </c>
      <c r="NT78" s="11">
        <v>0</v>
      </c>
      <c r="NU78" s="11">
        <v>0</v>
      </c>
      <c r="NV78" s="11">
        <v>0</v>
      </c>
      <c r="NW78" s="27">
        <f t="shared" si="77"/>
        <v>0</v>
      </c>
      <c r="NX78" s="11">
        <v>0</v>
      </c>
      <c r="NY78" s="11">
        <v>0</v>
      </c>
      <c r="NZ78" s="11">
        <v>0</v>
      </c>
      <c r="OA78" s="11">
        <v>0</v>
      </c>
      <c r="OB78" s="11">
        <v>0</v>
      </c>
      <c r="OC78" s="11">
        <v>0</v>
      </c>
      <c r="OD78" s="11">
        <v>0</v>
      </c>
      <c r="OE78" s="11">
        <v>0</v>
      </c>
      <c r="OF78" s="11">
        <v>0</v>
      </c>
      <c r="OG78" s="11">
        <v>0</v>
      </c>
      <c r="OH78" s="11">
        <v>0</v>
      </c>
      <c r="OI78" s="11">
        <v>0</v>
      </c>
      <c r="OJ78" s="27">
        <f t="shared" si="78"/>
        <v>0</v>
      </c>
      <c r="OK78" s="11">
        <v>1151</v>
      </c>
      <c r="OL78" s="11">
        <v>1180</v>
      </c>
      <c r="OM78" s="11">
        <v>1077</v>
      </c>
      <c r="ON78" s="11">
        <v>1138</v>
      </c>
      <c r="OO78" s="11">
        <v>1120</v>
      </c>
      <c r="OP78" s="11">
        <v>1065</v>
      </c>
      <c r="OQ78" s="11">
        <v>1104</v>
      </c>
      <c r="OR78" s="11">
        <v>1035</v>
      </c>
      <c r="OS78" s="11">
        <v>1021</v>
      </c>
      <c r="OT78" s="11">
        <v>1183</v>
      </c>
      <c r="OU78" s="11">
        <v>1122</v>
      </c>
      <c r="OV78" s="11">
        <v>1190</v>
      </c>
      <c r="OW78" s="27">
        <f t="shared" si="79"/>
        <v>13386</v>
      </c>
      <c r="OX78" s="11">
        <v>0</v>
      </c>
      <c r="OY78" s="11">
        <v>0</v>
      </c>
      <c r="OZ78" s="11">
        <v>0</v>
      </c>
      <c r="PA78" s="11">
        <v>0</v>
      </c>
      <c r="PB78" s="11">
        <v>0</v>
      </c>
      <c r="PC78" s="11">
        <v>0</v>
      </c>
      <c r="PD78" s="11">
        <v>0</v>
      </c>
      <c r="PE78" s="11">
        <v>0</v>
      </c>
      <c r="PF78" s="11">
        <v>0</v>
      </c>
      <c r="PG78" s="11">
        <v>0</v>
      </c>
      <c r="PH78" s="11">
        <v>0</v>
      </c>
      <c r="PI78" s="11">
        <v>0</v>
      </c>
      <c r="PJ78" s="27">
        <f t="shared" si="80"/>
        <v>0</v>
      </c>
      <c r="PK78" s="11">
        <v>0</v>
      </c>
      <c r="PL78" s="11">
        <v>0</v>
      </c>
      <c r="PM78" s="11">
        <v>0</v>
      </c>
      <c r="PN78" s="11">
        <v>0</v>
      </c>
      <c r="PO78" s="11">
        <v>0</v>
      </c>
      <c r="PP78" s="11">
        <v>0</v>
      </c>
      <c r="PQ78" s="11">
        <v>0</v>
      </c>
      <c r="PR78" s="11">
        <v>0</v>
      </c>
      <c r="PS78" s="11">
        <v>0</v>
      </c>
      <c r="PT78" s="11">
        <v>0</v>
      </c>
      <c r="PU78" s="11">
        <v>0</v>
      </c>
      <c r="PV78" s="11">
        <v>0</v>
      </c>
      <c r="PW78" s="27">
        <f t="shared" si="81"/>
        <v>0</v>
      </c>
      <c r="PX78" s="11">
        <v>0</v>
      </c>
      <c r="PY78" s="11">
        <v>0</v>
      </c>
      <c r="PZ78" s="11">
        <v>0</v>
      </c>
      <c r="QA78" s="11">
        <v>0</v>
      </c>
      <c r="QB78" s="11">
        <v>0</v>
      </c>
      <c r="QC78" s="11">
        <v>0</v>
      </c>
      <c r="QD78" s="11">
        <v>0</v>
      </c>
      <c r="QE78" s="11">
        <v>0</v>
      </c>
      <c r="QF78" s="11">
        <v>0</v>
      </c>
      <c r="QG78" s="11">
        <v>0</v>
      </c>
      <c r="QH78" s="11">
        <v>0</v>
      </c>
      <c r="QI78" s="11">
        <v>0</v>
      </c>
      <c r="QJ78" s="27">
        <f t="shared" si="82"/>
        <v>0</v>
      </c>
      <c r="QK78" s="11">
        <v>33194</v>
      </c>
      <c r="QL78" s="11">
        <v>32680</v>
      </c>
      <c r="QM78" s="11">
        <v>30094</v>
      </c>
      <c r="QN78" s="11">
        <v>33263</v>
      </c>
      <c r="QO78" s="11">
        <v>32878</v>
      </c>
      <c r="QP78" s="11">
        <v>32779</v>
      </c>
      <c r="QQ78" s="11">
        <v>35896</v>
      </c>
      <c r="QR78" s="11">
        <v>34865</v>
      </c>
      <c r="QS78" s="11">
        <v>23673</v>
      </c>
      <c r="QT78" s="11">
        <v>32399</v>
      </c>
      <c r="QU78" s="11">
        <v>34804</v>
      </c>
      <c r="QV78" s="11">
        <v>37723</v>
      </c>
      <c r="QW78" s="27">
        <f t="shared" si="83"/>
        <v>394248</v>
      </c>
      <c r="QX78" s="11">
        <v>19975</v>
      </c>
      <c r="QY78" s="11">
        <v>17855</v>
      </c>
      <c r="QZ78" s="11">
        <v>17722</v>
      </c>
      <c r="RA78" s="11">
        <v>19726</v>
      </c>
      <c r="RB78" s="11">
        <v>19545</v>
      </c>
      <c r="RC78" s="11">
        <v>19632</v>
      </c>
      <c r="RD78" s="11">
        <v>21456</v>
      </c>
      <c r="RE78" s="11">
        <v>20070</v>
      </c>
      <c r="RF78" s="11">
        <v>13795</v>
      </c>
      <c r="RG78" s="11">
        <v>19128</v>
      </c>
      <c r="RH78" s="11">
        <v>20587</v>
      </c>
      <c r="RI78" s="11">
        <v>21474</v>
      </c>
      <c r="RJ78" s="27">
        <f t="shared" si="84"/>
        <v>230965</v>
      </c>
      <c r="RK78" s="11">
        <v>0</v>
      </c>
      <c r="RL78" s="11">
        <v>0</v>
      </c>
      <c r="RM78" s="11">
        <v>0</v>
      </c>
      <c r="RN78" s="11">
        <v>0</v>
      </c>
      <c r="RO78" s="11">
        <v>0</v>
      </c>
      <c r="RP78" s="11">
        <v>0</v>
      </c>
      <c r="RQ78" s="11">
        <v>0</v>
      </c>
      <c r="RR78" s="11">
        <v>0</v>
      </c>
      <c r="RS78" s="11">
        <v>0</v>
      </c>
      <c r="RT78" s="11">
        <v>0</v>
      </c>
      <c r="RU78" s="11">
        <v>0</v>
      </c>
      <c r="RV78" s="11">
        <v>0</v>
      </c>
      <c r="RW78" s="27">
        <f t="shared" si="85"/>
        <v>0</v>
      </c>
      <c r="RX78" s="11">
        <v>0</v>
      </c>
      <c r="RY78" s="11">
        <v>0</v>
      </c>
      <c r="RZ78" s="11">
        <v>0</v>
      </c>
      <c r="SA78" s="11">
        <v>0</v>
      </c>
      <c r="SB78" s="11">
        <v>0</v>
      </c>
      <c r="SC78" s="11">
        <v>0</v>
      </c>
      <c r="SD78" s="11">
        <v>0</v>
      </c>
      <c r="SE78" s="11">
        <v>0</v>
      </c>
      <c r="SF78" s="11">
        <v>0</v>
      </c>
      <c r="SG78" s="11">
        <v>0</v>
      </c>
      <c r="SH78" s="11">
        <v>0</v>
      </c>
      <c r="SI78" s="11">
        <v>0</v>
      </c>
      <c r="SJ78" s="27">
        <f t="shared" si="86"/>
        <v>0</v>
      </c>
      <c r="SK78" s="11">
        <v>185</v>
      </c>
      <c r="SL78" s="11">
        <v>178</v>
      </c>
      <c r="SM78" s="11">
        <v>197</v>
      </c>
      <c r="SN78" s="11">
        <v>186</v>
      </c>
      <c r="SO78" s="11">
        <v>164</v>
      </c>
      <c r="SP78" s="11">
        <v>177</v>
      </c>
      <c r="SQ78" s="11">
        <v>185</v>
      </c>
      <c r="SR78" s="11">
        <v>131</v>
      </c>
      <c r="SS78" s="11">
        <v>129</v>
      </c>
      <c r="ST78" s="11">
        <v>178</v>
      </c>
      <c r="SU78" s="11">
        <v>172</v>
      </c>
      <c r="SV78" s="11">
        <v>180</v>
      </c>
      <c r="SW78" s="27">
        <f t="shared" si="87"/>
        <v>2062</v>
      </c>
      <c r="SX78" s="11" t="s">
        <v>2717</v>
      </c>
      <c r="SY78" s="11">
        <v>3522</v>
      </c>
      <c r="SZ78" s="11">
        <v>3255</v>
      </c>
      <c r="TA78" s="11">
        <v>2803</v>
      </c>
      <c r="TB78" s="11">
        <v>3335</v>
      </c>
      <c r="TC78" s="11">
        <v>3293</v>
      </c>
      <c r="TD78" s="11">
        <v>3352</v>
      </c>
      <c r="TE78" s="11">
        <v>3701</v>
      </c>
      <c r="TF78" s="11">
        <v>4015</v>
      </c>
      <c r="TG78" s="11">
        <v>24310</v>
      </c>
      <c r="TH78" s="11">
        <v>3444</v>
      </c>
      <c r="TI78" s="11">
        <v>3267</v>
      </c>
      <c r="TJ78" s="11">
        <v>2798</v>
      </c>
      <c r="TK78" s="27">
        <f t="shared" si="88"/>
        <v>61095</v>
      </c>
      <c r="TL78" s="11">
        <v>0</v>
      </c>
      <c r="TM78" s="11">
        <v>0</v>
      </c>
      <c r="TN78" s="11">
        <v>0</v>
      </c>
      <c r="TO78" s="11">
        <v>0</v>
      </c>
      <c r="TP78" s="11">
        <v>0</v>
      </c>
      <c r="TQ78" s="11">
        <v>0</v>
      </c>
      <c r="TR78" s="11">
        <v>0</v>
      </c>
      <c r="TS78" s="11">
        <v>0</v>
      </c>
      <c r="TT78" s="11">
        <v>0</v>
      </c>
      <c r="TU78" s="11">
        <v>0</v>
      </c>
      <c r="TV78" s="11">
        <v>0</v>
      </c>
      <c r="TW78" s="11">
        <v>0</v>
      </c>
      <c r="TX78" s="27">
        <f t="shared" si="89"/>
        <v>0</v>
      </c>
      <c r="TY78" s="11">
        <v>112</v>
      </c>
      <c r="TZ78" s="11">
        <v>0</v>
      </c>
      <c r="UA78" s="11">
        <v>0</v>
      </c>
    </row>
    <row r="79" spans="1:547" ht="16" customHeight="1" x14ac:dyDescent="0.35">
      <c r="A79" s="11" t="s">
        <v>1553</v>
      </c>
      <c r="B79" s="11">
        <v>5860</v>
      </c>
      <c r="C79" s="11">
        <v>1263</v>
      </c>
      <c r="D79" s="11">
        <v>4125</v>
      </c>
      <c r="E79" s="11">
        <v>354</v>
      </c>
      <c r="F79" s="11">
        <v>9</v>
      </c>
      <c r="G79" s="11">
        <v>4</v>
      </c>
      <c r="H79" s="11">
        <v>4</v>
      </c>
      <c r="I79" s="11">
        <v>12</v>
      </c>
      <c r="J79" s="11">
        <v>9</v>
      </c>
      <c r="K79" s="11">
        <v>4</v>
      </c>
      <c r="L79" s="11">
        <v>4</v>
      </c>
      <c r="M79" s="11">
        <v>5</v>
      </c>
      <c r="N79" s="11">
        <v>3</v>
      </c>
      <c r="O79" s="11">
        <v>4</v>
      </c>
      <c r="P79" s="11" t="s">
        <v>2865</v>
      </c>
      <c r="Q79" s="11">
        <v>4</v>
      </c>
      <c r="R79" s="11">
        <v>5</v>
      </c>
      <c r="S79" s="26">
        <f t="shared" si="45"/>
        <v>67</v>
      </c>
      <c r="T79" s="11">
        <v>0</v>
      </c>
      <c r="U79" s="11">
        <v>1</v>
      </c>
      <c r="V79" s="11">
        <v>0</v>
      </c>
      <c r="W79" s="11">
        <v>0</v>
      </c>
      <c r="X79" s="11">
        <v>0</v>
      </c>
      <c r="Y79" s="11">
        <v>0</v>
      </c>
      <c r="Z79" s="11">
        <v>0</v>
      </c>
      <c r="AA79" s="11">
        <v>0</v>
      </c>
      <c r="AB79" s="11">
        <v>0</v>
      </c>
      <c r="AC79" s="11">
        <v>0</v>
      </c>
      <c r="AD79" s="11">
        <v>0</v>
      </c>
      <c r="AE79" s="11">
        <v>0</v>
      </c>
      <c r="AF79" s="26">
        <f t="shared" si="46"/>
        <v>1</v>
      </c>
      <c r="AG79" s="11">
        <v>9</v>
      </c>
      <c r="AH79" s="11">
        <v>3</v>
      </c>
      <c r="AI79" s="11">
        <v>4</v>
      </c>
      <c r="AJ79" s="11">
        <v>12</v>
      </c>
      <c r="AK79" s="11">
        <v>7</v>
      </c>
      <c r="AL79" s="11">
        <v>4</v>
      </c>
      <c r="AM79" s="11">
        <v>4</v>
      </c>
      <c r="AN79" s="11">
        <v>5</v>
      </c>
      <c r="AO79" s="11">
        <v>3</v>
      </c>
      <c r="AP79" s="11">
        <v>4</v>
      </c>
      <c r="AQ79" s="11">
        <v>4</v>
      </c>
      <c r="AR79" s="11">
        <v>5</v>
      </c>
      <c r="AS79" s="26">
        <f t="shared" si="47"/>
        <v>64</v>
      </c>
      <c r="AT79" s="11">
        <v>0</v>
      </c>
      <c r="AU79" s="11">
        <v>0</v>
      </c>
      <c r="AV79" s="11">
        <v>0</v>
      </c>
      <c r="AW79" s="11">
        <v>0</v>
      </c>
      <c r="AX79" s="11">
        <v>0</v>
      </c>
      <c r="AY79" s="11">
        <v>0</v>
      </c>
      <c r="AZ79" s="11">
        <v>0</v>
      </c>
      <c r="BA79" s="11">
        <v>0</v>
      </c>
      <c r="BB79" s="11">
        <v>0</v>
      </c>
      <c r="BC79" s="11">
        <v>0</v>
      </c>
      <c r="BD79" s="11">
        <v>0</v>
      </c>
      <c r="BE79" s="11">
        <v>0</v>
      </c>
      <c r="BF79" s="26">
        <f t="shared" si="48"/>
        <v>0</v>
      </c>
      <c r="BG79" s="11">
        <v>0</v>
      </c>
      <c r="BH79" s="11">
        <v>0</v>
      </c>
      <c r="BI79" s="11">
        <v>0</v>
      </c>
      <c r="BJ79" s="11">
        <v>0</v>
      </c>
      <c r="BK79" s="11">
        <v>2</v>
      </c>
      <c r="BL79" s="11">
        <v>0</v>
      </c>
      <c r="BM79" s="11">
        <v>0</v>
      </c>
      <c r="BN79" s="11">
        <v>0</v>
      </c>
      <c r="BO79" s="11">
        <v>0</v>
      </c>
      <c r="BP79" s="11">
        <v>0</v>
      </c>
      <c r="BQ79" s="11">
        <v>0</v>
      </c>
      <c r="BR79" s="11">
        <v>0</v>
      </c>
      <c r="BS79" s="26">
        <f t="shared" si="49"/>
        <v>2</v>
      </c>
      <c r="BT79" s="11">
        <v>0</v>
      </c>
      <c r="BU79" s="11">
        <v>0</v>
      </c>
      <c r="BV79" s="11">
        <v>0</v>
      </c>
      <c r="BW79" s="11">
        <v>0</v>
      </c>
      <c r="BX79" s="11">
        <v>0</v>
      </c>
      <c r="BY79" s="11">
        <v>0</v>
      </c>
      <c r="BZ79" s="11">
        <v>0</v>
      </c>
      <c r="CA79" s="11">
        <v>0</v>
      </c>
      <c r="CB79" s="11">
        <v>0</v>
      </c>
      <c r="CC79" s="11">
        <v>0</v>
      </c>
      <c r="CD79" s="11">
        <v>0</v>
      </c>
      <c r="CE79" s="11">
        <v>0</v>
      </c>
      <c r="CF79" s="26">
        <f t="shared" si="50"/>
        <v>0</v>
      </c>
      <c r="CG79" s="11">
        <v>0</v>
      </c>
      <c r="CH79" s="11">
        <v>0</v>
      </c>
      <c r="CI79" s="11">
        <v>0</v>
      </c>
      <c r="CJ79" s="11">
        <v>0</v>
      </c>
      <c r="CK79" s="11">
        <v>0</v>
      </c>
      <c r="CL79" s="11">
        <v>0</v>
      </c>
      <c r="CM79" s="11">
        <v>0</v>
      </c>
      <c r="CN79" s="11">
        <v>0</v>
      </c>
      <c r="CO79" s="11">
        <v>0</v>
      </c>
      <c r="CP79" s="11">
        <v>0</v>
      </c>
      <c r="CQ79" s="11">
        <v>0</v>
      </c>
      <c r="CR79" s="11">
        <v>0</v>
      </c>
      <c r="CS79" s="26">
        <f t="shared" si="51"/>
        <v>0</v>
      </c>
      <c r="CT79" s="11">
        <v>0</v>
      </c>
      <c r="CU79" s="11">
        <v>0</v>
      </c>
      <c r="CV79" s="11">
        <v>0</v>
      </c>
      <c r="CW79" s="11">
        <v>0</v>
      </c>
      <c r="CX79" s="11">
        <v>0</v>
      </c>
      <c r="CY79" s="11">
        <v>0</v>
      </c>
      <c r="CZ79" s="11">
        <v>0</v>
      </c>
      <c r="DA79" s="11">
        <v>0</v>
      </c>
      <c r="DB79" s="11">
        <v>0</v>
      </c>
      <c r="DC79" s="11">
        <v>0</v>
      </c>
      <c r="DD79" s="11">
        <v>0</v>
      </c>
      <c r="DE79" s="11">
        <v>0</v>
      </c>
      <c r="DF79" s="26">
        <f t="shared" si="52"/>
        <v>0</v>
      </c>
      <c r="DG79" s="11">
        <v>0</v>
      </c>
      <c r="DH79" s="11">
        <v>0</v>
      </c>
      <c r="DI79" s="11">
        <v>0</v>
      </c>
      <c r="DJ79" s="11">
        <v>0</v>
      </c>
      <c r="DK79" s="11">
        <v>0</v>
      </c>
      <c r="DL79" s="11">
        <v>0</v>
      </c>
      <c r="DM79" s="11">
        <v>0</v>
      </c>
      <c r="DN79" s="11">
        <v>0</v>
      </c>
      <c r="DO79" s="11">
        <v>0</v>
      </c>
      <c r="DP79" s="11">
        <v>0</v>
      </c>
      <c r="DQ79" s="11">
        <v>0</v>
      </c>
      <c r="DR79" s="11">
        <v>0</v>
      </c>
      <c r="DS79" s="26">
        <f t="shared" si="53"/>
        <v>0</v>
      </c>
      <c r="DT79" s="11">
        <v>0</v>
      </c>
      <c r="DU79" s="11">
        <v>0</v>
      </c>
      <c r="DV79" s="11">
        <v>0</v>
      </c>
      <c r="DW79" s="11">
        <v>0</v>
      </c>
      <c r="DX79" s="11">
        <v>0</v>
      </c>
      <c r="DY79" s="11">
        <v>0</v>
      </c>
      <c r="DZ79" s="11">
        <v>0</v>
      </c>
      <c r="EA79" s="11">
        <v>0</v>
      </c>
      <c r="EB79" s="11">
        <v>0</v>
      </c>
      <c r="EC79" s="11">
        <v>0</v>
      </c>
      <c r="ED79" s="11">
        <v>0</v>
      </c>
      <c r="EE79" s="11">
        <v>0</v>
      </c>
      <c r="EF79" s="26">
        <f t="shared" si="54"/>
        <v>0</v>
      </c>
      <c r="EG79" s="9">
        <f t="shared" si="55"/>
        <v>67</v>
      </c>
      <c r="EH79" s="9">
        <f t="shared" si="56"/>
        <v>0</v>
      </c>
      <c r="EI79" s="11">
        <v>238</v>
      </c>
      <c r="EJ79" s="11">
        <v>43</v>
      </c>
      <c r="EK79" s="11">
        <v>35</v>
      </c>
      <c r="EL79" s="11">
        <v>72</v>
      </c>
      <c r="EM79" s="11">
        <v>98</v>
      </c>
      <c r="EN79" s="11">
        <v>31</v>
      </c>
      <c r="EO79" s="11">
        <v>27</v>
      </c>
      <c r="EP79" s="11">
        <v>34</v>
      </c>
      <c r="EQ79" s="11">
        <v>13</v>
      </c>
      <c r="ER79" s="11">
        <v>31</v>
      </c>
      <c r="ES79" s="11">
        <v>23</v>
      </c>
      <c r="ET79" s="11">
        <v>38</v>
      </c>
      <c r="EU79" s="26">
        <f t="shared" si="57"/>
        <v>683</v>
      </c>
      <c r="EV79" s="11">
        <v>87</v>
      </c>
      <c r="EW79" s="11">
        <v>28</v>
      </c>
      <c r="EX79" s="11">
        <v>13</v>
      </c>
      <c r="EY79" s="11">
        <v>20</v>
      </c>
      <c r="EZ79" s="11">
        <v>38</v>
      </c>
      <c r="FA79" s="11">
        <v>11</v>
      </c>
      <c r="FB79" s="11">
        <v>10</v>
      </c>
      <c r="FC79" s="11">
        <v>13</v>
      </c>
      <c r="FD79" s="11">
        <v>5</v>
      </c>
      <c r="FE79" s="11">
        <v>11</v>
      </c>
      <c r="FF79" s="11">
        <v>9</v>
      </c>
      <c r="FG79" s="11">
        <v>14</v>
      </c>
      <c r="FH79" s="26">
        <f t="shared" si="58"/>
        <v>259</v>
      </c>
      <c r="FI79" s="11">
        <v>0</v>
      </c>
      <c r="FJ79" s="11">
        <v>0</v>
      </c>
      <c r="FK79" s="11">
        <v>0</v>
      </c>
      <c r="FL79" s="11">
        <v>0</v>
      </c>
      <c r="FM79" s="11">
        <v>0</v>
      </c>
      <c r="FN79" s="11">
        <v>0</v>
      </c>
      <c r="FO79" s="11">
        <v>0</v>
      </c>
      <c r="FP79" s="11">
        <v>0</v>
      </c>
      <c r="FQ79" s="11">
        <v>0</v>
      </c>
      <c r="FR79" s="11">
        <v>0</v>
      </c>
      <c r="FS79" s="11">
        <v>0</v>
      </c>
      <c r="FT79" s="11">
        <v>0</v>
      </c>
      <c r="FU79" s="26">
        <f t="shared" si="59"/>
        <v>0</v>
      </c>
      <c r="FV79" s="11">
        <v>0</v>
      </c>
      <c r="FW79" s="11">
        <v>0</v>
      </c>
      <c r="FX79" s="11">
        <v>0</v>
      </c>
      <c r="FY79" s="11">
        <v>0</v>
      </c>
      <c r="FZ79" s="11">
        <v>0</v>
      </c>
      <c r="GA79" s="11">
        <v>0</v>
      </c>
      <c r="GB79" s="11">
        <v>0</v>
      </c>
      <c r="GC79" s="11">
        <v>0</v>
      </c>
      <c r="GD79" s="11">
        <v>0</v>
      </c>
      <c r="GE79" s="11">
        <v>0</v>
      </c>
      <c r="GF79" s="11">
        <v>0</v>
      </c>
      <c r="GG79" s="11">
        <v>0</v>
      </c>
      <c r="GH79" s="26">
        <f t="shared" si="60"/>
        <v>0</v>
      </c>
      <c r="GI79" s="11">
        <v>0</v>
      </c>
      <c r="GJ79" s="11">
        <v>0</v>
      </c>
      <c r="GK79" s="11">
        <v>0</v>
      </c>
      <c r="GL79" s="11">
        <v>0</v>
      </c>
      <c r="GM79" s="11">
        <v>0</v>
      </c>
      <c r="GN79" s="11">
        <v>0</v>
      </c>
      <c r="GO79" s="11">
        <v>0</v>
      </c>
      <c r="GP79" s="11">
        <v>0</v>
      </c>
      <c r="GQ79" s="11">
        <v>0</v>
      </c>
      <c r="GR79" s="11">
        <v>0</v>
      </c>
      <c r="GS79" s="11">
        <v>0</v>
      </c>
      <c r="GT79" s="11">
        <v>0</v>
      </c>
      <c r="GU79" s="26">
        <f t="shared" si="61"/>
        <v>0</v>
      </c>
      <c r="GV79" s="11">
        <v>0</v>
      </c>
      <c r="GW79" s="11">
        <v>0</v>
      </c>
      <c r="GX79" s="11">
        <v>0</v>
      </c>
      <c r="GY79" s="11">
        <v>0</v>
      </c>
      <c r="GZ79" s="11">
        <v>0</v>
      </c>
      <c r="HA79" s="11">
        <v>0</v>
      </c>
      <c r="HB79" s="11">
        <v>0</v>
      </c>
      <c r="HC79" s="11">
        <v>0</v>
      </c>
      <c r="HD79" s="11">
        <v>0</v>
      </c>
      <c r="HE79" s="11">
        <v>0</v>
      </c>
      <c r="HF79" s="11">
        <v>0</v>
      </c>
      <c r="HG79" s="11">
        <v>0</v>
      </c>
      <c r="HH79" s="26">
        <f t="shared" si="62"/>
        <v>0</v>
      </c>
      <c r="HI79" s="11">
        <v>0</v>
      </c>
      <c r="HJ79" s="11">
        <v>0</v>
      </c>
      <c r="HK79" s="11">
        <v>0</v>
      </c>
      <c r="HL79" s="11">
        <v>0</v>
      </c>
      <c r="HM79" s="11">
        <v>0</v>
      </c>
      <c r="HN79" s="11">
        <v>0</v>
      </c>
      <c r="HO79" s="11">
        <v>0</v>
      </c>
      <c r="HP79" s="11">
        <v>0</v>
      </c>
      <c r="HQ79" s="11">
        <v>0</v>
      </c>
      <c r="HR79" s="11">
        <v>0</v>
      </c>
      <c r="HS79" s="11">
        <v>0</v>
      </c>
      <c r="HT79" s="11">
        <v>0</v>
      </c>
      <c r="HU79" s="26">
        <f t="shared" si="63"/>
        <v>0</v>
      </c>
      <c r="HV79" s="11">
        <v>0</v>
      </c>
      <c r="HW79" s="11">
        <v>0</v>
      </c>
      <c r="HX79" s="11">
        <v>0</v>
      </c>
      <c r="HY79" s="11">
        <v>0</v>
      </c>
      <c r="HZ79" s="11">
        <v>0</v>
      </c>
      <c r="IA79" s="11">
        <v>0</v>
      </c>
      <c r="IB79" s="11">
        <v>0</v>
      </c>
      <c r="IC79" s="11">
        <v>0</v>
      </c>
      <c r="ID79" s="11">
        <v>0</v>
      </c>
      <c r="IE79" s="11">
        <v>0</v>
      </c>
      <c r="IF79" s="11">
        <v>0</v>
      </c>
      <c r="IG79" s="11">
        <v>0</v>
      </c>
      <c r="IH79" s="26">
        <f t="shared" si="64"/>
        <v>0</v>
      </c>
      <c r="II79" s="9">
        <f t="shared" si="65"/>
        <v>259</v>
      </c>
      <c r="IJ79" s="9">
        <f t="shared" si="66"/>
        <v>0</v>
      </c>
      <c r="IK79" s="11">
        <v>10618</v>
      </c>
      <c r="IL79" s="11">
        <v>9299</v>
      </c>
      <c r="IM79" s="11">
        <v>9192</v>
      </c>
      <c r="IN79" s="11">
        <v>11524</v>
      </c>
      <c r="IO79" s="11">
        <v>11198</v>
      </c>
      <c r="IP79" s="11">
        <v>9217</v>
      </c>
      <c r="IQ79" s="11">
        <v>10651</v>
      </c>
      <c r="IR79" s="11">
        <v>8474</v>
      </c>
      <c r="IS79" s="11">
        <v>6519</v>
      </c>
      <c r="IT79" s="11">
        <v>9043</v>
      </c>
      <c r="IU79" s="11">
        <v>6058</v>
      </c>
      <c r="IV79" s="11">
        <v>8240</v>
      </c>
      <c r="IW79" s="27">
        <f t="shared" si="67"/>
        <v>110033</v>
      </c>
      <c r="IX79" s="11">
        <v>5915</v>
      </c>
      <c r="IY79" s="11">
        <v>5772</v>
      </c>
      <c r="IZ79" s="11">
        <v>5420</v>
      </c>
      <c r="JA79" s="11">
        <v>6334</v>
      </c>
      <c r="JB79" s="11">
        <v>6002</v>
      </c>
      <c r="JC79" s="11">
        <v>5544</v>
      </c>
      <c r="JD79" s="11">
        <v>6166</v>
      </c>
      <c r="JE79" s="11">
        <v>5107</v>
      </c>
      <c r="JF79" s="11">
        <v>4148</v>
      </c>
      <c r="JG79" s="11">
        <v>5601</v>
      </c>
      <c r="JH79" s="11">
        <v>3524</v>
      </c>
      <c r="JI79" s="11">
        <v>4980</v>
      </c>
      <c r="JJ79" s="27">
        <f t="shared" si="68"/>
        <v>64513</v>
      </c>
      <c r="JK79" s="11">
        <v>0</v>
      </c>
      <c r="JL79" s="11">
        <v>0</v>
      </c>
      <c r="JM79" s="11">
        <v>0</v>
      </c>
      <c r="JN79" s="11">
        <v>0</v>
      </c>
      <c r="JO79" s="11">
        <v>0</v>
      </c>
      <c r="JP79" s="11">
        <v>0</v>
      </c>
      <c r="JQ79" s="11">
        <v>0</v>
      </c>
      <c r="JR79" s="11">
        <v>0</v>
      </c>
      <c r="JS79" s="11">
        <v>0</v>
      </c>
      <c r="JT79" s="11">
        <v>0</v>
      </c>
      <c r="JU79" s="11">
        <v>0</v>
      </c>
      <c r="JV79" s="11">
        <v>0</v>
      </c>
      <c r="JW79" s="27">
        <f t="shared" si="69"/>
        <v>0</v>
      </c>
      <c r="JX79" s="11">
        <v>0</v>
      </c>
      <c r="JY79" s="11">
        <v>0</v>
      </c>
      <c r="JZ79" s="11">
        <v>0</v>
      </c>
      <c r="KA79" s="11">
        <v>0</v>
      </c>
      <c r="KB79" s="11">
        <v>0</v>
      </c>
      <c r="KC79" s="11">
        <v>0</v>
      </c>
      <c r="KD79" s="11">
        <v>0</v>
      </c>
      <c r="KE79" s="11">
        <v>0</v>
      </c>
      <c r="KF79" s="11">
        <v>0</v>
      </c>
      <c r="KG79" s="11">
        <v>0</v>
      </c>
      <c r="KH79" s="11">
        <v>0</v>
      </c>
      <c r="KI79" s="11">
        <v>0</v>
      </c>
      <c r="KJ79" s="27">
        <f t="shared" si="70"/>
        <v>0</v>
      </c>
      <c r="KK79" s="11">
        <v>301</v>
      </c>
      <c r="KL79" s="11">
        <v>307</v>
      </c>
      <c r="KM79" s="11">
        <v>285</v>
      </c>
      <c r="KN79" s="11">
        <v>284</v>
      </c>
      <c r="KO79" s="11">
        <v>342</v>
      </c>
      <c r="KP79" s="11">
        <v>239</v>
      </c>
      <c r="KQ79" s="11">
        <v>314</v>
      </c>
      <c r="KR79" s="11">
        <v>254</v>
      </c>
      <c r="KS79" s="11">
        <v>223</v>
      </c>
      <c r="KT79" s="11">
        <v>250</v>
      </c>
      <c r="KU79" s="11">
        <v>159</v>
      </c>
      <c r="KV79" s="11">
        <v>208</v>
      </c>
      <c r="KW79" s="27">
        <f t="shared" si="71"/>
        <v>3166</v>
      </c>
      <c r="KX79" s="11">
        <v>246</v>
      </c>
      <c r="KY79" s="11">
        <v>266</v>
      </c>
      <c r="KZ79" s="11">
        <v>251</v>
      </c>
      <c r="LA79" s="11">
        <v>224</v>
      </c>
      <c r="LB79" s="11">
        <v>266</v>
      </c>
      <c r="LC79" s="11">
        <v>206</v>
      </c>
      <c r="LD79" s="11">
        <v>271</v>
      </c>
      <c r="LE79" s="11">
        <v>231</v>
      </c>
      <c r="LF79" s="11">
        <v>194</v>
      </c>
      <c r="LG79" s="11">
        <v>203</v>
      </c>
      <c r="LH79" s="11">
        <v>135</v>
      </c>
      <c r="LI79" s="11">
        <v>184</v>
      </c>
      <c r="LJ79" s="27">
        <f t="shared" si="72"/>
        <v>2677</v>
      </c>
      <c r="LK79" s="11">
        <v>0</v>
      </c>
      <c r="LL79" s="11">
        <v>0</v>
      </c>
      <c r="LM79" s="11">
        <v>0</v>
      </c>
      <c r="LN79" s="11">
        <v>0</v>
      </c>
      <c r="LO79" s="11">
        <v>0</v>
      </c>
      <c r="LP79" s="11">
        <v>0</v>
      </c>
      <c r="LQ79" s="11">
        <v>0</v>
      </c>
      <c r="LR79" s="11">
        <v>0</v>
      </c>
      <c r="LS79" s="11">
        <v>0</v>
      </c>
      <c r="LT79" s="11">
        <v>0</v>
      </c>
      <c r="LU79" s="11">
        <v>0</v>
      </c>
      <c r="LV79" s="11">
        <v>0</v>
      </c>
      <c r="LW79" s="27">
        <f t="shared" si="73"/>
        <v>0</v>
      </c>
      <c r="LX79" s="11">
        <v>0</v>
      </c>
      <c r="LY79" s="11">
        <v>0</v>
      </c>
      <c r="LZ79" s="11">
        <v>0</v>
      </c>
      <c r="MA79" s="11">
        <v>0</v>
      </c>
      <c r="MB79" s="11">
        <v>0</v>
      </c>
      <c r="MC79" s="11">
        <v>0</v>
      </c>
      <c r="MD79" s="11">
        <v>0</v>
      </c>
      <c r="ME79" s="11">
        <v>0</v>
      </c>
      <c r="MF79" s="11">
        <v>0</v>
      </c>
      <c r="MG79" s="11">
        <v>0</v>
      </c>
      <c r="MH79" s="11">
        <v>0</v>
      </c>
      <c r="MI79" s="11">
        <v>0</v>
      </c>
      <c r="MJ79" s="27">
        <f t="shared" si="74"/>
        <v>0</v>
      </c>
      <c r="MK79" s="11">
        <v>617</v>
      </c>
      <c r="ML79" s="11">
        <v>675</v>
      </c>
      <c r="MM79" s="11">
        <v>674</v>
      </c>
      <c r="MN79" s="11">
        <v>580</v>
      </c>
      <c r="MO79" s="11">
        <v>605</v>
      </c>
      <c r="MP79" s="11">
        <v>594</v>
      </c>
      <c r="MQ79" s="11">
        <v>661</v>
      </c>
      <c r="MR79" s="11">
        <v>607</v>
      </c>
      <c r="MS79" s="11">
        <v>619</v>
      </c>
      <c r="MT79" s="11">
        <v>572</v>
      </c>
      <c r="MU79" s="11">
        <v>523</v>
      </c>
      <c r="MV79" s="11">
        <v>634</v>
      </c>
      <c r="MW79" s="27">
        <f t="shared" si="75"/>
        <v>7361</v>
      </c>
      <c r="MX79" s="11">
        <v>561</v>
      </c>
      <c r="MY79" s="11">
        <v>610</v>
      </c>
      <c r="MZ79" s="11">
        <v>603</v>
      </c>
      <c r="NA79" s="11">
        <v>514</v>
      </c>
      <c r="NB79" s="11">
        <v>513</v>
      </c>
      <c r="NC79" s="11">
        <v>520</v>
      </c>
      <c r="ND79" s="11">
        <v>544</v>
      </c>
      <c r="NE79" s="11">
        <v>517</v>
      </c>
      <c r="NF79" s="11">
        <v>554</v>
      </c>
      <c r="NG79" s="11">
        <v>493</v>
      </c>
      <c r="NH79" s="11">
        <v>452</v>
      </c>
      <c r="NI79" s="11">
        <v>556</v>
      </c>
      <c r="NJ79" s="27">
        <f t="shared" si="76"/>
        <v>6437</v>
      </c>
      <c r="NK79" s="11">
        <v>0</v>
      </c>
      <c r="NL79" s="11">
        <v>0</v>
      </c>
      <c r="NM79" s="11">
        <v>0</v>
      </c>
      <c r="NN79" s="11">
        <v>0</v>
      </c>
      <c r="NO79" s="11">
        <v>0</v>
      </c>
      <c r="NP79" s="11">
        <v>0</v>
      </c>
      <c r="NQ79" s="11">
        <v>0</v>
      </c>
      <c r="NR79" s="11">
        <v>0</v>
      </c>
      <c r="NS79" s="11">
        <v>0</v>
      </c>
      <c r="NT79" s="11">
        <v>0</v>
      </c>
      <c r="NU79" s="11">
        <v>0</v>
      </c>
      <c r="NV79" s="11">
        <v>0</v>
      </c>
      <c r="NW79" s="27">
        <f t="shared" si="77"/>
        <v>0</v>
      </c>
      <c r="NX79" s="11">
        <v>0</v>
      </c>
      <c r="NY79" s="11">
        <v>0</v>
      </c>
      <c r="NZ79" s="11">
        <v>0</v>
      </c>
      <c r="OA79" s="11">
        <v>0</v>
      </c>
      <c r="OB79" s="11">
        <v>0</v>
      </c>
      <c r="OC79" s="11">
        <v>0</v>
      </c>
      <c r="OD79" s="11">
        <v>0</v>
      </c>
      <c r="OE79" s="11">
        <v>0</v>
      </c>
      <c r="OF79" s="11">
        <v>0</v>
      </c>
      <c r="OG79" s="11">
        <v>0</v>
      </c>
      <c r="OH79" s="11">
        <v>0</v>
      </c>
      <c r="OI79" s="11">
        <v>0</v>
      </c>
      <c r="OJ79" s="27">
        <f t="shared" si="78"/>
        <v>0</v>
      </c>
      <c r="OK79" s="11">
        <v>1378</v>
      </c>
      <c r="OL79" s="11">
        <v>1348</v>
      </c>
      <c r="OM79" s="11">
        <v>1359</v>
      </c>
      <c r="ON79" s="11">
        <v>1497</v>
      </c>
      <c r="OO79" s="11">
        <v>1506</v>
      </c>
      <c r="OP79" s="11">
        <v>1511</v>
      </c>
      <c r="OQ79" s="11">
        <v>1488</v>
      </c>
      <c r="OR79" s="11">
        <v>1292</v>
      </c>
      <c r="OS79" s="11">
        <v>1322</v>
      </c>
      <c r="OT79" s="11">
        <v>1408</v>
      </c>
      <c r="OU79" s="11">
        <v>1328</v>
      </c>
      <c r="OV79" s="11">
        <v>1408</v>
      </c>
      <c r="OW79" s="27">
        <f t="shared" si="79"/>
        <v>16845</v>
      </c>
      <c r="OX79" s="11">
        <v>1116</v>
      </c>
      <c r="OY79" s="11">
        <v>1080</v>
      </c>
      <c r="OZ79" s="11">
        <v>1070</v>
      </c>
      <c r="PA79" s="11">
        <v>1177</v>
      </c>
      <c r="PB79" s="11">
        <v>1125</v>
      </c>
      <c r="PC79" s="11">
        <v>1229</v>
      </c>
      <c r="PD79" s="11">
        <v>1157</v>
      </c>
      <c r="PE79" s="11">
        <v>1032</v>
      </c>
      <c r="PF79" s="11">
        <v>1034</v>
      </c>
      <c r="PG79" s="11">
        <v>1149</v>
      </c>
      <c r="PH79" s="11">
        <v>1060</v>
      </c>
      <c r="PI79" s="11">
        <v>1104</v>
      </c>
      <c r="PJ79" s="27">
        <f t="shared" si="80"/>
        <v>13333</v>
      </c>
      <c r="PK79" s="11">
        <v>0</v>
      </c>
      <c r="PL79" s="11">
        <v>0</v>
      </c>
      <c r="PM79" s="11">
        <v>0</v>
      </c>
      <c r="PN79" s="11">
        <v>0</v>
      </c>
      <c r="PO79" s="11">
        <v>0</v>
      </c>
      <c r="PP79" s="11">
        <v>0</v>
      </c>
      <c r="PQ79" s="11">
        <v>0</v>
      </c>
      <c r="PR79" s="11">
        <v>0</v>
      </c>
      <c r="PS79" s="11">
        <v>0</v>
      </c>
      <c r="PT79" s="11">
        <v>0</v>
      </c>
      <c r="PU79" s="11">
        <v>0</v>
      </c>
      <c r="PV79" s="11">
        <v>0</v>
      </c>
      <c r="PW79" s="27">
        <f t="shared" si="81"/>
        <v>0</v>
      </c>
      <c r="PX79" s="11">
        <v>0</v>
      </c>
      <c r="PY79" s="11">
        <v>0</v>
      </c>
      <c r="PZ79" s="11">
        <v>0</v>
      </c>
      <c r="QA79" s="11">
        <v>0</v>
      </c>
      <c r="QB79" s="11">
        <v>0</v>
      </c>
      <c r="QC79" s="11">
        <v>0</v>
      </c>
      <c r="QD79" s="11">
        <v>0</v>
      </c>
      <c r="QE79" s="11">
        <v>0</v>
      </c>
      <c r="QF79" s="11">
        <v>0</v>
      </c>
      <c r="QG79" s="11">
        <v>0</v>
      </c>
      <c r="QH79" s="11">
        <v>0</v>
      </c>
      <c r="QI79" s="11">
        <v>0</v>
      </c>
      <c r="QJ79" s="27">
        <f t="shared" si="82"/>
        <v>0</v>
      </c>
      <c r="QK79" s="11">
        <v>8854</v>
      </c>
      <c r="QL79" s="11">
        <v>7774</v>
      </c>
      <c r="QM79" s="11">
        <v>7079</v>
      </c>
      <c r="QN79" s="11">
        <v>8107</v>
      </c>
      <c r="QO79" s="11">
        <v>8445</v>
      </c>
      <c r="QP79" s="11">
        <v>7225</v>
      </c>
      <c r="QQ79" s="11">
        <v>7970</v>
      </c>
      <c r="QR79" s="11">
        <v>7136</v>
      </c>
      <c r="QS79" s="11">
        <v>4855</v>
      </c>
      <c r="QT79" s="11">
        <v>7619</v>
      </c>
      <c r="QU79" s="11">
        <v>6669</v>
      </c>
      <c r="QV79" s="11">
        <v>7189</v>
      </c>
      <c r="QW79" s="27">
        <f t="shared" si="83"/>
        <v>88922</v>
      </c>
      <c r="QX79" s="11">
        <v>0</v>
      </c>
      <c r="QY79" s="11">
        <v>0</v>
      </c>
      <c r="QZ79" s="11">
        <v>0</v>
      </c>
      <c r="RA79" s="11">
        <v>0</v>
      </c>
      <c r="RB79" s="11">
        <v>0</v>
      </c>
      <c r="RC79" s="11">
        <v>0</v>
      </c>
      <c r="RD79" s="11">
        <v>0</v>
      </c>
      <c r="RE79" s="11">
        <v>0</v>
      </c>
      <c r="RF79" s="11">
        <v>0</v>
      </c>
      <c r="RG79" s="11">
        <v>0</v>
      </c>
      <c r="RH79" s="11">
        <v>0</v>
      </c>
      <c r="RI79" s="11">
        <v>0</v>
      </c>
      <c r="RJ79" s="27">
        <f t="shared" si="84"/>
        <v>0</v>
      </c>
      <c r="RK79" s="11">
        <v>0</v>
      </c>
      <c r="RL79" s="11">
        <v>0</v>
      </c>
      <c r="RM79" s="11">
        <v>0</v>
      </c>
      <c r="RN79" s="11">
        <v>0</v>
      </c>
      <c r="RO79" s="11">
        <v>0</v>
      </c>
      <c r="RP79" s="11">
        <v>0</v>
      </c>
      <c r="RQ79" s="11">
        <v>0</v>
      </c>
      <c r="RR79" s="11">
        <v>0</v>
      </c>
      <c r="RS79" s="11">
        <v>0</v>
      </c>
      <c r="RT79" s="11">
        <v>0</v>
      </c>
      <c r="RU79" s="11">
        <v>0</v>
      </c>
      <c r="RV79" s="11">
        <v>0</v>
      </c>
      <c r="RW79" s="27">
        <f t="shared" si="85"/>
        <v>0</v>
      </c>
      <c r="RX79" s="11">
        <v>0</v>
      </c>
      <c r="RY79" s="11">
        <v>0</v>
      </c>
      <c r="RZ79" s="11">
        <v>0</v>
      </c>
      <c r="SA79" s="11">
        <v>0</v>
      </c>
      <c r="SB79" s="11">
        <v>0</v>
      </c>
      <c r="SC79" s="11">
        <v>0</v>
      </c>
      <c r="SD79" s="11">
        <v>0</v>
      </c>
      <c r="SE79" s="11">
        <v>0</v>
      </c>
      <c r="SF79" s="11">
        <v>0</v>
      </c>
      <c r="SG79" s="11">
        <v>0</v>
      </c>
      <c r="SH79" s="11">
        <v>0</v>
      </c>
      <c r="SI79" s="11">
        <v>0</v>
      </c>
      <c r="SJ79" s="27">
        <f t="shared" si="86"/>
        <v>0</v>
      </c>
      <c r="SK79" s="11">
        <v>196</v>
      </c>
      <c r="SL79" s="11">
        <v>192</v>
      </c>
      <c r="SM79" s="11">
        <v>170</v>
      </c>
      <c r="SN79" s="11">
        <v>206</v>
      </c>
      <c r="SO79" s="11">
        <v>196</v>
      </c>
      <c r="SP79" s="11">
        <v>146</v>
      </c>
      <c r="SQ79" s="11">
        <v>225</v>
      </c>
      <c r="SR79" s="11">
        <v>5</v>
      </c>
      <c r="SS79" s="11">
        <v>4</v>
      </c>
      <c r="ST79" s="11">
        <v>11</v>
      </c>
      <c r="SU79" s="11">
        <v>7</v>
      </c>
      <c r="SV79" s="11">
        <v>12</v>
      </c>
      <c r="SW79" s="27">
        <f t="shared" si="87"/>
        <v>1370</v>
      </c>
      <c r="SX79" s="11" t="s">
        <v>2718</v>
      </c>
      <c r="SY79" s="11">
        <v>455</v>
      </c>
      <c r="SZ79" s="11">
        <v>379</v>
      </c>
      <c r="TA79" s="11">
        <v>402</v>
      </c>
      <c r="TB79" s="11">
        <v>385</v>
      </c>
      <c r="TC79" s="11">
        <v>463</v>
      </c>
      <c r="TD79" s="11">
        <v>381</v>
      </c>
      <c r="TE79" s="11">
        <v>420</v>
      </c>
      <c r="TF79" s="11">
        <v>414</v>
      </c>
      <c r="TG79" s="11">
        <v>251</v>
      </c>
      <c r="TH79" s="11">
        <v>478</v>
      </c>
      <c r="TI79" s="11">
        <v>350</v>
      </c>
      <c r="TJ79" s="11">
        <v>452</v>
      </c>
      <c r="TK79" s="27">
        <f t="shared" si="88"/>
        <v>4830</v>
      </c>
      <c r="TL79" s="11">
        <v>0</v>
      </c>
      <c r="TM79" s="11">
        <v>0</v>
      </c>
      <c r="TN79" s="11">
        <v>0</v>
      </c>
      <c r="TO79" s="11">
        <v>0</v>
      </c>
      <c r="TP79" s="11">
        <v>0</v>
      </c>
      <c r="TQ79" s="11">
        <v>0</v>
      </c>
      <c r="TR79" s="11">
        <v>0</v>
      </c>
      <c r="TS79" s="11">
        <v>0</v>
      </c>
      <c r="TT79" s="11">
        <v>0</v>
      </c>
      <c r="TU79" s="11">
        <v>0</v>
      </c>
      <c r="TV79" s="11">
        <v>0</v>
      </c>
      <c r="TW79" s="11">
        <v>0</v>
      </c>
      <c r="TX79" s="27">
        <f t="shared" si="89"/>
        <v>0</v>
      </c>
      <c r="TY79" s="11">
        <v>22</v>
      </c>
      <c r="TZ79" s="11">
        <v>0</v>
      </c>
      <c r="UA79" s="11">
        <v>0</v>
      </c>
    </row>
    <row r="80" spans="1:547" ht="16" customHeight="1" x14ac:dyDescent="0.35">
      <c r="A80" s="11" t="s">
        <v>2719</v>
      </c>
      <c r="B80" s="11">
        <v>18495</v>
      </c>
      <c r="C80" s="11"/>
      <c r="D80" s="11"/>
      <c r="E80" s="11"/>
      <c r="F80" s="11">
        <v>0</v>
      </c>
      <c r="G80" s="11">
        <v>0</v>
      </c>
      <c r="H80" s="11">
        <v>1157</v>
      </c>
      <c r="I80" s="11">
        <v>0</v>
      </c>
      <c r="J80" s="11">
        <v>0</v>
      </c>
      <c r="K80" s="11">
        <v>1088</v>
      </c>
      <c r="L80" s="11">
        <v>0</v>
      </c>
      <c r="M80" s="11">
        <v>0</v>
      </c>
      <c r="N80" s="11">
        <v>1276</v>
      </c>
      <c r="O80" s="11">
        <v>0</v>
      </c>
      <c r="P80" s="11" t="s">
        <v>2865</v>
      </c>
      <c r="Q80" s="11">
        <v>0</v>
      </c>
      <c r="R80" s="11">
        <v>1321</v>
      </c>
      <c r="S80" s="26">
        <f t="shared" si="45"/>
        <v>4842</v>
      </c>
      <c r="T80" s="11">
        <v>0</v>
      </c>
      <c r="U80" s="11">
        <v>0</v>
      </c>
      <c r="V80" s="11">
        <v>0</v>
      </c>
      <c r="W80" s="11">
        <v>0</v>
      </c>
      <c r="X80" s="11">
        <v>0</v>
      </c>
      <c r="Y80" s="11">
        <v>0</v>
      </c>
      <c r="Z80" s="11">
        <v>0</v>
      </c>
      <c r="AA80" s="11">
        <v>0</v>
      </c>
      <c r="AB80" s="11">
        <v>0</v>
      </c>
      <c r="AC80" s="11">
        <v>0</v>
      </c>
      <c r="AD80" s="11">
        <v>0</v>
      </c>
      <c r="AE80" s="11">
        <v>0</v>
      </c>
      <c r="AF80" s="26">
        <f t="shared" si="46"/>
        <v>0</v>
      </c>
      <c r="AG80" s="11">
        <v>0</v>
      </c>
      <c r="AH80" s="11">
        <v>0</v>
      </c>
      <c r="AI80" s="11">
        <v>0</v>
      </c>
      <c r="AJ80" s="11">
        <v>0</v>
      </c>
      <c r="AK80" s="11">
        <v>0</v>
      </c>
      <c r="AL80" s="11">
        <v>0</v>
      </c>
      <c r="AM80" s="11">
        <v>0</v>
      </c>
      <c r="AN80" s="11">
        <v>0</v>
      </c>
      <c r="AO80" s="11">
        <v>0</v>
      </c>
      <c r="AP80" s="11">
        <v>0</v>
      </c>
      <c r="AQ80" s="11">
        <v>0</v>
      </c>
      <c r="AR80" s="11">
        <v>0</v>
      </c>
      <c r="AS80" s="26">
        <f t="shared" si="47"/>
        <v>0</v>
      </c>
      <c r="AT80" s="11">
        <v>0</v>
      </c>
      <c r="AU80" s="11">
        <v>0</v>
      </c>
      <c r="AV80" s="11">
        <v>0</v>
      </c>
      <c r="AW80" s="11">
        <v>0</v>
      </c>
      <c r="AX80" s="11">
        <v>0</v>
      </c>
      <c r="AY80" s="11">
        <v>0</v>
      </c>
      <c r="AZ80" s="11">
        <v>0</v>
      </c>
      <c r="BA80" s="11">
        <v>0</v>
      </c>
      <c r="BB80" s="11">
        <v>0</v>
      </c>
      <c r="BC80" s="11">
        <v>0</v>
      </c>
      <c r="BD80" s="11">
        <v>0</v>
      </c>
      <c r="BE80" s="11">
        <v>0</v>
      </c>
      <c r="BF80" s="26">
        <f t="shared" si="48"/>
        <v>0</v>
      </c>
      <c r="BG80" s="11">
        <v>0</v>
      </c>
      <c r="BH80" s="11">
        <v>0</v>
      </c>
      <c r="BI80" s="11">
        <v>0</v>
      </c>
      <c r="BJ80" s="11">
        <v>0</v>
      </c>
      <c r="BK80" s="11">
        <v>0</v>
      </c>
      <c r="BL80" s="11">
        <v>0</v>
      </c>
      <c r="BM80" s="11">
        <v>0</v>
      </c>
      <c r="BN80" s="11">
        <v>0</v>
      </c>
      <c r="BO80" s="11">
        <v>0</v>
      </c>
      <c r="BP80" s="11">
        <v>0</v>
      </c>
      <c r="BQ80" s="11">
        <v>0</v>
      </c>
      <c r="BR80" s="11">
        <v>0</v>
      </c>
      <c r="BS80" s="26">
        <f t="shared" si="49"/>
        <v>0</v>
      </c>
      <c r="BT80" s="11">
        <v>0</v>
      </c>
      <c r="BU80" s="11">
        <v>0</v>
      </c>
      <c r="BV80" s="11">
        <v>0</v>
      </c>
      <c r="BW80" s="11">
        <v>0</v>
      </c>
      <c r="BX80" s="11">
        <v>0</v>
      </c>
      <c r="BY80" s="11">
        <v>0</v>
      </c>
      <c r="BZ80" s="11">
        <v>0</v>
      </c>
      <c r="CA80" s="11">
        <v>0</v>
      </c>
      <c r="CB80" s="11">
        <v>0</v>
      </c>
      <c r="CC80" s="11">
        <v>0</v>
      </c>
      <c r="CD80" s="11">
        <v>0</v>
      </c>
      <c r="CE80" s="11">
        <v>0</v>
      </c>
      <c r="CF80" s="26">
        <f t="shared" si="50"/>
        <v>0</v>
      </c>
      <c r="CG80" s="11">
        <v>0</v>
      </c>
      <c r="CH80" s="11">
        <v>0</v>
      </c>
      <c r="CI80" s="11">
        <v>0</v>
      </c>
      <c r="CJ80" s="11">
        <v>0</v>
      </c>
      <c r="CK80" s="11">
        <v>0</v>
      </c>
      <c r="CL80" s="11">
        <v>0</v>
      </c>
      <c r="CM80" s="11">
        <v>0</v>
      </c>
      <c r="CN80" s="11">
        <v>0</v>
      </c>
      <c r="CO80" s="11">
        <v>0</v>
      </c>
      <c r="CP80" s="11">
        <v>0</v>
      </c>
      <c r="CQ80" s="11">
        <v>0</v>
      </c>
      <c r="CR80" s="11">
        <v>0</v>
      </c>
      <c r="CS80" s="26">
        <f t="shared" si="51"/>
        <v>0</v>
      </c>
      <c r="CT80" s="11">
        <v>0</v>
      </c>
      <c r="CU80" s="11">
        <v>0</v>
      </c>
      <c r="CV80" s="11">
        <v>0</v>
      </c>
      <c r="CW80" s="11">
        <v>0</v>
      </c>
      <c r="CX80" s="11">
        <v>0</v>
      </c>
      <c r="CY80" s="11">
        <v>0</v>
      </c>
      <c r="CZ80" s="11">
        <v>0</v>
      </c>
      <c r="DA80" s="11">
        <v>0</v>
      </c>
      <c r="DB80" s="11">
        <v>0</v>
      </c>
      <c r="DC80" s="11">
        <v>0</v>
      </c>
      <c r="DD80" s="11">
        <v>0</v>
      </c>
      <c r="DE80" s="11">
        <v>0</v>
      </c>
      <c r="DF80" s="26">
        <f t="shared" si="52"/>
        <v>0</v>
      </c>
      <c r="DG80" s="11">
        <v>0</v>
      </c>
      <c r="DH80" s="11">
        <v>0</v>
      </c>
      <c r="DI80" s="11">
        <v>0</v>
      </c>
      <c r="DJ80" s="11">
        <v>0</v>
      </c>
      <c r="DK80" s="11">
        <v>0</v>
      </c>
      <c r="DL80" s="11">
        <v>0</v>
      </c>
      <c r="DM80" s="11">
        <v>0</v>
      </c>
      <c r="DN80" s="11">
        <v>0</v>
      </c>
      <c r="DO80" s="11">
        <v>0</v>
      </c>
      <c r="DP80" s="11">
        <v>0</v>
      </c>
      <c r="DQ80" s="11">
        <v>0</v>
      </c>
      <c r="DR80" s="11">
        <v>0</v>
      </c>
      <c r="DS80" s="26">
        <f t="shared" si="53"/>
        <v>0</v>
      </c>
      <c r="DT80" s="11">
        <v>0</v>
      </c>
      <c r="DU80" s="11">
        <v>0</v>
      </c>
      <c r="DV80" s="11">
        <v>0</v>
      </c>
      <c r="DW80" s="11">
        <v>0</v>
      </c>
      <c r="DX80" s="11">
        <v>0</v>
      </c>
      <c r="DY80" s="11">
        <v>0</v>
      </c>
      <c r="DZ80" s="11">
        <v>0</v>
      </c>
      <c r="EA80" s="11">
        <v>0</v>
      </c>
      <c r="EB80" s="11">
        <v>0</v>
      </c>
      <c r="EC80" s="11">
        <v>0</v>
      </c>
      <c r="ED80" s="11">
        <v>0</v>
      </c>
      <c r="EE80" s="11">
        <v>0</v>
      </c>
      <c r="EF80" s="26">
        <f t="shared" si="54"/>
        <v>0</v>
      </c>
      <c r="EG80" s="9">
        <f t="shared" si="55"/>
        <v>0</v>
      </c>
      <c r="EH80" s="9">
        <f t="shared" si="56"/>
        <v>0</v>
      </c>
      <c r="EI80" s="11">
        <v>0</v>
      </c>
      <c r="EJ80" s="11">
        <v>0</v>
      </c>
      <c r="EK80" s="11">
        <v>11012</v>
      </c>
      <c r="EL80" s="11">
        <v>0</v>
      </c>
      <c r="EM80" s="11">
        <v>0</v>
      </c>
      <c r="EN80" s="11">
        <v>11186</v>
      </c>
      <c r="EO80" s="11">
        <v>0</v>
      </c>
      <c r="EP80" s="11">
        <v>0</v>
      </c>
      <c r="EQ80" s="11">
        <v>13374</v>
      </c>
      <c r="ER80" s="11">
        <v>0</v>
      </c>
      <c r="ES80" s="11">
        <v>0</v>
      </c>
      <c r="ET80" s="11">
        <v>12498</v>
      </c>
      <c r="EU80" s="26">
        <f t="shared" si="57"/>
        <v>48070</v>
      </c>
      <c r="EV80" s="11">
        <v>0</v>
      </c>
      <c r="EW80" s="11">
        <v>0</v>
      </c>
      <c r="EX80" s="11">
        <v>0</v>
      </c>
      <c r="EY80" s="11">
        <v>0</v>
      </c>
      <c r="EZ80" s="11">
        <v>0</v>
      </c>
      <c r="FA80" s="11">
        <v>0</v>
      </c>
      <c r="FB80" s="11">
        <v>0</v>
      </c>
      <c r="FC80" s="11">
        <v>0</v>
      </c>
      <c r="FD80" s="11">
        <v>0</v>
      </c>
      <c r="FE80" s="11">
        <v>0</v>
      </c>
      <c r="FF80" s="11">
        <v>0</v>
      </c>
      <c r="FG80" s="11">
        <v>0</v>
      </c>
      <c r="FH80" s="26">
        <f t="shared" si="58"/>
        <v>0</v>
      </c>
      <c r="FI80" s="11">
        <v>0</v>
      </c>
      <c r="FJ80" s="11">
        <v>0</v>
      </c>
      <c r="FK80" s="11">
        <v>0</v>
      </c>
      <c r="FL80" s="11">
        <v>0</v>
      </c>
      <c r="FM80" s="11">
        <v>0</v>
      </c>
      <c r="FN80" s="11">
        <v>0</v>
      </c>
      <c r="FO80" s="11">
        <v>0</v>
      </c>
      <c r="FP80" s="11">
        <v>0</v>
      </c>
      <c r="FQ80" s="11">
        <v>0</v>
      </c>
      <c r="FR80" s="11">
        <v>0</v>
      </c>
      <c r="FS80" s="11">
        <v>0</v>
      </c>
      <c r="FT80" s="11">
        <v>0</v>
      </c>
      <c r="FU80" s="26">
        <f t="shared" si="59"/>
        <v>0</v>
      </c>
      <c r="FV80" s="11">
        <v>0</v>
      </c>
      <c r="FW80" s="11">
        <v>0</v>
      </c>
      <c r="FX80" s="11">
        <v>0</v>
      </c>
      <c r="FY80" s="11">
        <v>0</v>
      </c>
      <c r="FZ80" s="11">
        <v>0</v>
      </c>
      <c r="GA80" s="11">
        <v>0</v>
      </c>
      <c r="GB80" s="11">
        <v>0</v>
      </c>
      <c r="GC80" s="11">
        <v>0</v>
      </c>
      <c r="GD80" s="11">
        <v>0</v>
      </c>
      <c r="GE80" s="11">
        <v>0</v>
      </c>
      <c r="GF80" s="11">
        <v>0</v>
      </c>
      <c r="GG80" s="11">
        <v>0</v>
      </c>
      <c r="GH80" s="26">
        <f t="shared" si="60"/>
        <v>0</v>
      </c>
      <c r="GI80" s="11">
        <v>0</v>
      </c>
      <c r="GJ80" s="11">
        <v>0</v>
      </c>
      <c r="GK80" s="11">
        <v>0</v>
      </c>
      <c r="GL80" s="11">
        <v>0</v>
      </c>
      <c r="GM80" s="11">
        <v>0</v>
      </c>
      <c r="GN80" s="11">
        <v>0</v>
      </c>
      <c r="GO80" s="11">
        <v>0</v>
      </c>
      <c r="GP80" s="11">
        <v>0</v>
      </c>
      <c r="GQ80" s="11">
        <v>0</v>
      </c>
      <c r="GR80" s="11">
        <v>0</v>
      </c>
      <c r="GS80" s="11">
        <v>0</v>
      </c>
      <c r="GT80" s="11">
        <v>0</v>
      </c>
      <c r="GU80" s="26">
        <f t="shared" si="61"/>
        <v>0</v>
      </c>
      <c r="GV80" s="11">
        <v>0</v>
      </c>
      <c r="GW80" s="11">
        <v>0</v>
      </c>
      <c r="GX80" s="11">
        <v>0</v>
      </c>
      <c r="GY80" s="11">
        <v>0</v>
      </c>
      <c r="GZ80" s="11">
        <v>0</v>
      </c>
      <c r="HA80" s="11">
        <v>0</v>
      </c>
      <c r="HB80" s="11">
        <v>0</v>
      </c>
      <c r="HC80" s="11">
        <v>0</v>
      </c>
      <c r="HD80" s="11">
        <v>0</v>
      </c>
      <c r="HE80" s="11">
        <v>0</v>
      </c>
      <c r="HF80" s="11">
        <v>0</v>
      </c>
      <c r="HG80" s="11">
        <v>0</v>
      </c>
      <c r="HH80" s="26">
        <f t="shared" si="62"/>
        <v>0</v>
      </c>
      <c r="HI80" s="11">
        <v>0</v>
      </c>
      <c r="HJ80" s="11">
        <v>0</v>
      </c>
      <c r="HK80" s="11">
        <v>0</v>
      </c>
      <c r="HL80" s="11">
        <v>0</v>
      </c>
      <c r="HM80" s="11">
        <v>0</v>
      </c>
      <c r="HN80" s="11">
        <v>0</v>
      </c>
      <c r="HO80" s="11">
        <v>0</v>
      </c>
      <c r="HP80" s="11">
        <v>0</v>
      </c>
      <c r="HQ80" s="11">
        <v>0</v>
      </c>
      <c r="HR80" s="11">
        <v>0</v>
      </c>
      <c r="HS80" s="11">
        <v>0</v>
      </c>
      <c r="HT80" s="11">
        <v>0</v>
      </c>
      <c r="HU80" s="26">
        <f t="shared" si="63"/>
        <v>0</v>
      </c>
      <c r="HV80" s="11">
        <v>0</v>
      </c>
      <c r="HW80" s="11">
        <v>0</v>
      </c>
      <c r="HX80" s="11">
        <v>0</v>
      </c>
      <c r="HY80" s="11">
        <v>0</v>
      </c>
      <c r="HZ80" s="11">
        <v>0</v>
      </c>
      <c r="IA80" s="11">
        <v>0</v>
      </c>
      <c r="IB80" s="11">
        <v>0</v>
      </c>
      <c r="IC80" s="11">
        <v>0</v>
      </c>
      <c r="ID80" s="11">
        <v>0</v>
      </c>
      <c r="IE80" s="11">
        <v>0</v>
      </c>
      <c r="IF80" s="11">
        <v>0</v>
      </c>
      <c r="IG80" s="11">
        <v>0</v>
      </c>
      <c r="IH80" s="26">
        <f t="shared" si="64"/>
        <v>0</v>
      </c>
      <c r="II80" s="9">
        <f t="shared" si="65"/>
        <v>0</v>
      </c>
      <c r="IJ80" s="9">
        <f t="shared" si="66"/>
        <v>0</v>
      </c>
      <c r="IK80" s="11">
        <v>26993</v>
      </c>
      <c r="IL80" s="11">
        <v>24320</v>
      </c>
      <c r="IM80" s="11">
        <v>24403</v>
      </c>
      <c r="IN80" s="11">
        <v>27353</v>
      </c>
      <c r="IO80" s="11">
        <v>27809</v>
      </c>
      <c r="IP80" s="11">
        <v>24872</v>
      </c>
      <c r="IQ80" s="11">
        <v>25767</v>
      </c>
      <c r="IR80" s="11">
        <v>23627</v>
      </c>
      <c r="IS80" s="11">
        <v>18596</v>
      </c>
      <c r="IT80" s="11">
        <v>23529</v>
      </c>
      <c r="IU80" s="11">
        <v>22269</v>
      </c>
      <c r="IV80" s="11">
        <v>20688</v>
      </c>
      <c r="IW80" s="27">
        <f t="shared" si="67"/>
        <v>290226</v>
      </c>
      <c r="IX80" s="11">
        <v>12946</v>
      </c>
      <c r="IY80" s="11">
        <v>10563</v>
      </c>
      <c r="IZ80" s="11">
        <v>9352</v>
      </c>
      <c r="JA80" s="11">
        <v>12302</v>
      </c>
      <c r="JB80" s="11">
        <v>11092</v>
      </c>
      <c r="JC80" s="11">
        <v>12892</v>
      </c>
      <c r="JD80" s="11">
        <v>12452</v>
      </c>
      <c r="JE80" s="11">
        <v>12009</v>
      </c>
      <c r="JF80" s="11">
        <v>9161</v>
      </c>
      <c r="JG80" s="11">
        <v>12034</v>
      </c>
      <c r="JH80" s="11">
        <v>11697</v>
      </c>
      <c r="JI80" s="11">
        <v>10105</v>
      </c>
      <c r="JJ80" s="27">
        <f t="shared" si="68"/>
        <v>136605</v>
      </c>
      <c r="JK80" s="11">
        <v>13646</v>
      </c>
      <c r="JL80" s="11">
        <v>13378</v>
      </c>
      <c r="JM80" s="11">
        <v>11919</v>
      </c>
      <c r="JN80" s="11">
        <v>14606</v>
      </c>
      <c r="JO80" s="11">
        <v>16291</v>
      </c>
      <c r="JP80" s="11">
        <v>11613</v>
      </c>
      <c r="JQ80" s="11">
        <v>12951</v>
      </c>
      <c r="JR80" s="11">
        <v>11274</v>
      </c>
      <c r="JS80" s="11">
        <v>9182</v>
      </c>
      <c r="JT80" s="11">
        <v>11199</v>
      </c>
      <c r="JU80" s="11">
        <v>10272</v>
      </c>
      <c r="JV80" s="11">
        <v>10322</v>
      </c>
      <c r="JW80" s="27">
        <f t="shared" si="69"/>
        <v>146653</v>
      </c>
      <c r="JX80" s="11">
        <v>401</v>
      </c>
      <c r="JY80" s="11">
        <v>379</v>
      </c>
      <c r="JZ80" s="11">
        <v>279</v>
      </c>
      <c r="KA80" s="11">
        <v>445</v>
      </c>
      <c r="KB80" s="11">
        <v>426</v>
      </c>
      <c r="KC80" s="11">
        <v>367</v>
      </c>
      <c r="KD80" s="11">
        <v>364</v>
      </c>
      <c r="KE80" s="11">
        <v>344</v>
      </c>
      <c r="KF80" s="11">
        <v>253</v>
      </c>
      <c r="KG80" s="11">
        <v>296</v>
      </c>
      <c r="KH80" s="11">
        <v>300</v>
      </c>
      <c r="KI80" s="11">
        <v>261</v>
      </c>
      <c r="KJ80" s="27">
        <f t="shared" si="70"/>
        <v>4115</v>
      </c>
      <c r="KK80" s="11">
        <v>1677</v>
      </c>
      <c r="KL80" s="11">
        <v>693</v>
      </c>
      <c r="KM80" s="11">
        <v>1639</v>
      </c>
      <c r="KN80" s="11">
        <v>1197</v>
      </c>
      <c r="KO80" s="11">
        <v>859</v>
      </c>
      <c r="KP80" s="11">
        <v>1639</v>
      </c>
      <c r="KQ80" s="11">
        <v>1173</v>
      </c>
      <c r="KR80" s="11">
        <v>1314</v>
      </c>
      <c r="KS80" s="11">
        <v>975</v>
      </c>
      <c r="KT80" s="11">
        <v>1348</v>
      </c>
      <c r="KU80" s="11">
        <v>1266</v>
      </c>
      <c r="KV80" s="11">
        <v>1147</v>
      </c>
      <c r="KW80" s="27">
        <f t="shared" si="71"/>
        <v>14927</v>
      </c>
      <c r="KX80" s="11">
        <v>1668</v>
      </c>
      <c r="KY80" s="11">
        <v>681</v>
      </c>
      <c r="KZ80" s="11">
        <v>1630</v>
      </c>
      <c r="LA80" s="11">
        <v>1191</v>
      </c>
      <c r="LB80" s="11">
        <v>846</v>
      </c>
      <c r="LC80" s="11">
        <v>1636</v>
      </c>
      <c r="LD80" s="11">
        <v>1158</v>
      </c>
      <c r="LE80" s="11">
        <v>1309</v>
      </c>
      <c r="LF80" s="11">
        <v>968</v>
      </c>
      <c r="LG80" s="11">
        <v>1344</v>
      </c>
      <c r="LH80" s="11">
        <v>1263</v>
      </c>
      <c r="LI80" s="11">
        <v>1141</v>
      </c>
      <c r="LJ80" s="27">
        <f t="shared" si="72"/>
        <v>14835</v>
      </c>
      <c r="LK80" s="11">
        <v>9</v>
      </c>
      <c r="LL80" s="11">
        <v>12</v>
      </c>
      <c r="LM80" s="11">
        <v>9</v>
      </c>
      <c r="LN80" s="11">
        <v>6</v>
      </c>
      <c r="LO80" s="11">
        <v>12</v>
      </c>
      <c r="LP80" s="11">
        <v>2</v>
      </c>
      <c r="LQ80" s="11">
        <v>15</v>
      </c>
      <c r="LR80" s="11">
        <v>5</v>
      </c>
      <c r="LS80" s="11">
        <v>7</v>
      </c>
      <c r="LT80" s="11">
        <v>4</v>
      </c>
      <c r="LU80" s="11">
        <v>3</v>
      </c>
      <c r="LV80" s="11">
        <v>6</v>
      </c>
      <c r="LW80" s="27">
        <f t="shared" si="73"/>
        <v>90</v>
      </c>
      <c r="LX80" s="11">
        <v>0</v>
      </c>
      <c r="LY80" s="11">
        <v>0</v>
      </c>
      <c r="LZ80" s="11">
        <v>0</v>
      </c>
      <c r="MA80" s="11">
        <v>0</v>
      </c>
      <c r="MB80" s="11">
        <v>0</v>
      </c>
      <c r="MC80" s="11">
        <v>0</v>
      </c>
      <c r="MD80" s="11">
        <v>0</v>
      </c>
      <c r="ME80" s="11">
        <v>0</v>
      </c>
      <c r="MF80" s="11">
        <v>0</v>
      </c>
      <c r="MG80" s="11">
        <v>0</v>
      </c>
      <c r="MH80" s="11">
        <v>0</v>
      </c>
      <c r="MI80" s="11">
        <v>0</v>
      </c>
      <c r="MJ80" s="27">
        <f t="shared" si="74"/>
        <v>0</v>
      </c>
      <c r="MK80" s="11">
        <v>2795</v>
      </c>
      <c r="ML80" s="11">
        <v>2980</v>
      </c>
      <c r="MM80" s="11">
        <v>2765</v>
      </c>
      <c r="MN80" s="11">
        <v>2778</v>
      </c>
      <c r="MO80" s="11">
        <v>2858</v>
      </c>
      <c r="MP80" s="11">
        <v>2666</v>
      </c>
      <c r="MQ80" s="11">
        <v>2645</v>
      </c>
      <c r="MR80" s="11">
        <v>2459</v>
      </c>
      <c r="MS80" s="11">
        <v>2488</v>
      </c>
      <c r="MT80" s="11">
        <v>2770</v>
      </c>
      <c r="MU80" s="11">
        <v>2375</v>
      </c>
      <c r="MV80" s="11">
        <v>2627</v>
      </c>
      <c r="MW80" s="27">
        <f t="shared" si="75"/>
        <v>32206</v>
      </c>
      <c r="MX80" s="11">
        <v>0</v>
      </c>
      <c r="MY80" s="11">
        <v>0</v>
      </c>
      <c r="MZ80" s="11">
        <v>0</v>
      </c>
      <c r="NA80" s="11">
        <v>0</v>
      </c>
      <c r="NB80" s="11">
        <v>0</v>
      </c>
      <c r="NC80" s="11">
        <v>0</v>
      </c>
      <c r="ND80" s="11">
        <v>0</v>
      </c>
      <c r="NE80" s="11">
        <v>0</v>
      </c>
      <c r="NF80" s="11">
        <v>0</v>
      </c>
      <c r="NG80" s="11">
        <v>0</v>
      </c>
      <c r="NH80" s="11">
        <v>0</v>
      </c>
      <c r="NI80" s="11">
        <v>0</v>
      </c>
      <c r="NJ80" s="27">
        <f t="shared" si="76"/>
        <v>0</v>
      </c>
      <c r="NK80" s="11">
        <v>0</v>
      </c>
      <c r="NL80" s="11">
        <v>0</v>
      </c>
      <c r="NM80" s="11">
        <v>0</v>
      </c>
      <c r="NN80" s="11">
        <v>0</v>
      </c>
      <c r="NO80" s="11">
        <v>0</v>
      </c>
      <c r="NP80" s="11">
        <v>0</v>
      </c>
      <c r="NQ80" s="11">
        <v>0</v>
      </c>
      <c r="NR80" s="11">
        <v>0</v>
      </c>
      <c r="NS80" s="11">
        <v>0</v>
      </c>
      <c r="NT80" s="11">
        <v>0</v>
      </c>
      <c r="NU80" s="11">
        <v>0</v>
      </c>
      <c r="NV80" s="11">
        <v>0</v>
      </c>
      <c r="NW80" s="27">
        <f t="shared" si="77"/>
        <v>0</v>
      </c>
      <c r="NX80" s="11">
        <v>0</v>
      </c>
      <c r="NY80" s="11">
        <v>0</v>
      </c>
      <c r="NZ80" s="11">
        <v>0</v>
      </c>
      <c r="OA80" s="11">
        <v>0</v>
      </c>
      <c r="OB80" s="11">
        <v>0</v>
      </c>
      <c r="OC80" s="11">
        <v>0</v>
      </c>
      <c r="OD80" s="11">
        <v>0</v>
      </c>
      <c r="OE80" s="11">
        <v>0</v>
      </c>
      <c r="OF80" s="11">
        <v>0</v>
      </c>
      <c r="OG80" s="11">
        <v>0</v>
      </c>
      <c r="OH80" s="11">
        <v>0</v>
      </c>
      <c r="OI80" s="11">
        <v>0</v>
      </c>
      <c r="OJ80" s="27">
        <f t="shared" si="78"/>
        <v>0</v>
      </c>
      <c r="OK80" s="11">
        <v>3870</v>
      </c>
      <c r="OL80" s="11">
        <v>4169</v>
      </c>
      <c r="OM80" s="11">
        <v>4061</v>
      </c>
      <c r="ON80" s="11">
        <v>4075</v>
      </c>
      <c r="OO80" s="11">
        <v>4329</v>
      </c>
      <c r="OP80" s="11">
        <v>4238</v>
      </c>
      <c r="OQ80" s="11">
        <v>4296</v>
      </c>
      <c r="OR80" s="11">
        <v>3886</v>
      </c>
      <c r="OS80" s="11">
        <v>4235</v>
      </c>
      <c r="OT80" s="11">
        <v>4579</v>
      </c>
      <c r="OU80" s="11">
        <v>4020</v>
      </c>
      <c r="OV80" s="11">
        <v>4512</v>
      </c>
      <c r="OW80" s="27">
        <f t="shared" si="79"/>
        <v>50270</v>
      </c>
      <c r="OX80" s="11">
        <v>0</v>
      </c>
      <c r="OY80" s="11">
        <v>0</v>
      </c>
      <c r="OZ80" s="11">
        <v>0</v>
      </c>
      <c r="PA80" s="11">
        <v>0</v>
      </c>
      <c r="PB80" s="11">
        <v>0</v>
      </c>
      <c r="PC80" s="11">
        <v>0</v>
      </c>
      <c r="PD80" s="11">
        <v>0</v>
      </c>
      <c r="PE80" s="11">
        <v>0</v>
      </c>
      <c r="PF80" s="11">
        <v>0</v>
      </c>
      <c r="PG80" s="11">
        <v>0</v>
      </c>
      <c r="PH80" s="11">
        <v>0</v>
      </c>
      <c r="PI80" s="11">
        <v>0</v>
      </c>
      <c r="PJ80" s="27">
        <f t="shared" si="80"/>
        <v>0</v>
      </c>
      <c r="PK80" s="11">
        <v>0</v>
      </c>
      <c r="PL80" s="11">
        <v>0</v>
      </c>
      <c r="PM80" s="11">
        <v>0</v>
      </c>
      <c r="PN80" s="11">
        <v>0</v>
      </c>
      <c r="PO80" s="11">
        <v>0</v>
      </c>
      <c r="PP80" s="11">
        <v>0</v>
      </c>
      <c r="PQ80" s="11">
        <v>0</v>
      </c>
      <c r="PR80" s="11">
        <v>0</v>
      </c>
      <c r="PS80" s="11">
        <v>0</v>
      </c>
      <c r="PT80" s="11">
        <v>0</v>
      </c>
      <c r="PU80" s="11">
        <v>0</v>
      </c>
      <c r="PV80" s="11">
        <v>0</v>
      </c>
      <c r="PW80" s="27">
        <f t="shared" si="81"/>
        <v>0</v>
      </c>
      <c r="PX80" s="11">
        <v>0</v>
      </c>
      <c r="PY80" s="11">
        <v>0</v>
      </c>
      <c r="PZ80" s="11">
        <v>0</v>
      </c>
      <c r="QA80" s="11">
        <v>0</v>
      </c>
      <c r="QB80" s="11">
        <v>0</v>
      </c>
      <c r="QC80" s="11">
        <v>0</v>
      </c>
      <c r="QD80" s="11">
        <v>0</v>
      </c>
      <c r="QE80" s="11">
        <v>0</v>
      </c>
      <c r="QF80" s="11">
        <v>0</v>
      </c>
      <c r="QG80" s="11">
        <v>0</v>
      </c>
      <c r="QH80" s="11">
        <v>0</v>
      </c>
      <c r="QI80" s="11">
        <v>0</v>
      </c>
      <c r="QJ80" s="27">
        <f t="shared" si="82"/>
        <v>0</v>
      </c>
      <c r="QK80" s="11">
        <v>6442</v>
      </c>
      <c r="QL80" s="11">
        <v>6507</v>
      </c>
      <c r="QM80" s="11">
        <v>6550</v>
      </c>
      <c r="QN80" s="11">
        <v>6808</v>
      </c>
      <c r="QO80" s="11">
        <v>6138</v>
      </c>
      <c r="QP80" s="11">
        <v>7295</v>
      </c>
      <c r="QQ80" s="11">
        <v>6945</v>
      </c>
      <c r="QR80" s="11">
        <v>7335</v>
      </c>
      <c r="QS80" s="11">
        <v>6311</v>
      </c>
      <c r="QT80" s="11">
        <v>6286</v>
      </c>
      <c r="QU80" s="11">
        <v>6631</v>
      </c>
      <c r="QV80" s="11">
        <v>6190</v>
      </c>
      <c r="QW80" s="27">
        <f t="shared" si="83"/>
        <v>79438</v>
      </c>
      <c r="QX80" s="11">
        <v>59230</v>
      </c>
      <c r="QY80" s="11">
        <v>61300</v>
      </c>
      <c r="QZ80" s="11">
        <v>60418</v>
      </c>
      <c r="RA80" s="11">
        <v>56039</v>
      </c>
      <c r="RB80" s="11">
        <v>58350</v>
      </c>
      <c r="RC80" s="11">
        <v>60200</v>
      </c>
      <c r="RD80" s="11">
        <v>61469</v>
      </c>
      <c r="RE80" s="11">
        <v>60673</v>
      </c>
      <c r="RF80" s="11">
        <v>48452</v>
      </c>
      <c r="RG80" s="11">
        <v>59449</v>
      </c>
      <c r="RH80" s="11">
        <v>63599</v>
      </c>
      <c r="RI80" s="11">
        <v>715224</v>
      </c>
      <c r="RJ80" s="27">
        <f t="shared" si="84"/>
        <v>1364403</v>
      </c>
      <c r="RK80" s="11">
        <v>0</v>
      </c>
      <c r="RL80" s="11">
        <v>0</v>
      </c>
      <c r="RM80" s="11">
        <v>0</v>
      </c>
      <c r="RN80" s="11">
        <v>0</v>
      </c>
      <c r="RO80" s="11">
        <v>0</v>
      </c>
      <c r="RP80" s="11">
        <v>0</v>
      </c>
      <c r="RQ80" s="11">
        <v>0</v>
      </c>
      <c r="RR80" s="11">
        <v>0</v>
      </c>
      <c r="RS80" s="11">
        <v>0</v>
      </c>
      <c r="RT80" s="11">
        <v>0</v>
      </c>
      <c r="RU80" s="11">
        <v>0</v>
      </c>
      <c r="RV80" s="11">
        <v>0</v>
      </c>
      <c r="RW80" s="27">
        <f t="shared" si="85"/>
        <v>0</v>
      </c>
      <c r="RX80" s="11">
        <v>0</v>
      </c>
      <c r="RY80" s="11">
        <v>0</v>
      </c>
      <c r="RZ80" s="11">
        <v>0</v>
      </c>
      <c r="SA80" s="11">
        <v>0</v>
      </c>
      <c r="SB80" s="11">
        <v>0</v>
      </c>
      <c r="SC80" s="11">
        <v>0</v>
      </c>
      <c r="SD80" s="11">
        <v>0</v>
      </c>
      <c r="SE80" s="11">
        <v>0</v>
      </c>
      <c r="SF80" s="11">
        <v>0</v>
      </c>
      <c r="SG80" s="11">
        <v>0</v>
      </c>
      <c r="SH80" s="11">
        <v>0</v>
      </c>
      <c r="SI80" s="11">
        <v>0</v>
      </c>
      <c r="SJ80" s="27">
        <f t="shared" si="86"/>
        <v>0</v>
      </c>
      <c r="SK80" s="11">
        <v>230</v>
      </c>
      <c r="SL80" s="11">
        <v>133</v>
      </c>
      <c r="SM80" s="11">
        <v>227</v>
      </c>
      <c r="SN80" s="11">
        <v>184</v>
      </c>
      <c r="SO80" s="11">
        <v>115</v>
      </c>
      <c r="SP80" s="11">
        <v>222</v>
      </c>
      <c r="SQ80" s="11">
        <v>210</v>
      </c>
      <c r="SR80" s="11">
        <v>187</v>
      </c>
      <c r="SS80" s="11">
        <v>176</v>
      </c>
      <c r="ST80" s="11">
        <v>198</v>
      </c>
      <c r="SU80" s="11">
        <v>177</v>
      </c>
      <c r="SV80" s="11">
        <v>178</v>
      </c>
      <c r="SW80" s="27">
        <f t="shared" si="87"/>
        <v>2237</v>
      </c>
      <c r="SX80" s="11" t="s">
        <v>2720</v>
      </c>
      <c r="SY80" s="11">
        <v>0</v>
      </c>
      <c r="SZ80" s="11">
        <v>0</v>
      </c>
      <c r="TA80" s="11">
        <v>22463</v>
      </c>
      <c r="TB80" s="11">
        <v>0</v>
      </c>
      <c r="TC80" s="11">
        <v>0</v>
      </c>
      <c r="TD80" s="11">
        <v>21842</v>
      </c>
      <c r="TE80" s="11">
        <v>0</v>
      </c>
      <c r="TF80" s="11">
        <v>0</v>
      </c>
      <c r="TG80" s="11">
        <v>21244</v>
      </c>
      <c r="TH80" s="11">
        <v>0</v>
      </c>
      <c r="TI80" s="11">
        <v>0</v>
      </c>
      <c r="TJ80" s="11">
        <v>22869</v>
      </c>
      <c r="TK80" s="27">
        <f t="shared" si="88"/>
        <v>88418</v>
      </c>
      <c r="TL80" s="11">
        <v>0</v>
      </c>
      <c r="TM80" s="11">
        <v>0</v>
      </c>
      <c r="TN80" s="11">
        <v>0</v>
      </c>
      <c r="TO80" s="11">
        <v>0</v>
      </c>
      <c r="TP80" s="11">
        <v>0</v>
      </c>
      <c r="TQ80" s="11">
        <v>0</v>
      </c>
      <c r="TR80" s="11">
        <v>0</v>
      </c>
      <c r="TS80" s="11">
        <v>0</v>
      </c>
      <c r="TT80" s="11">
        <v>0</v>
      </c>
      <c r="TU80" s="11">
        <v>0</v>
      </c>
      <c r="TV80" s="11">
        <v>0</v>
      </c>
      <c r="TW80" s="11">
        <v>0</v>
      </c>
      <c r="TX80" s="27">
        <f t="shared" si="89"/>
        <v>0</v>
      </c>
      <c r="TY80" s="11">
        <v>201</v>
      </c>
      <c r="TZ80" s="11">
        <v>0</v>
      </c>
      <c r="UA80" s="11">
        <v>0</v>
      </c>
    </row>
    <row r="81" spans="1:547" ht="16" customHeight="1" x14ac:dyDescent="0.35">
      <c r="A81" s="11" t="s">
        <v>1423</v>
      </c>
      <c r="B81" s="11">
        <v>22585</v>
      </c>
      <c r="C81" s="11">
        <v>6497</v>
      </c>
      <c r="D81" s="11">
        <v>13590</v>
      </c>
      <c r="E81" s="11">
        <v>2498</v>
      </c>
      <c r="F81" s="11">
        <v>1005</v>
      </c>
      <c r="G81" s="11">
        <v>971</v>
      </c>
      <c r="H81" s="11">
        <v>1000</v>
      </c>
      <c r="I81" s="11">
        <v>1095</v>
      </c>
      <c r="J81" s="11">
        <v>990</v>
      </c>
      <c r="K81" s="11">
        <v>935</v>
      </c>
      <c r="L81" s="11">
        <v>1251</v>
      </c>
      <c r="M81" s="11">
        <v>1156</v>
      </c>
      <c r="N81" s="11">
        <v>887</v>
      </c>
      <c r="O81" s="11">
        <v>1143</v>
      </c>
      <c r="P81" s="11" t="s">
        <v>2863</v>
      </c>
      <c r="Q81" s="11">
        <v>1114</v>
      </c>
      <c r="R81" s="11">
        <v>1219</v>
      </c>
      <c r="S81" s="26">
        <f t="shared" si="45"/>
        <v>12766</v>
      </c>
      <c r="T81" s="11">
        <v>357</v>
      </c>
      <c r="U81" s="11">
        <v>373</v>
      </c>
      <c r="V81" s="11">
        <v>407</v>
      </c>
      <c r="W81" s="11">
        <v>352</v>
      </c>
      <c r="X81" s="11">
        <v>159</v>
      </c>
      <c r="Y81" s="11">
        <v>319</v>
      </c>
      <c r="Z81" s="11">
        <v>422</v>
      </c>
      <c r="AA81" s="11">
        <v>440</v>
      </c>
      <c r="AB81" s="11">
        <v>391</v>
      </c>
      <c r="AC81" s="11">
        <v>536</v>
      </c>
      <c r="AD81" s="11">
        <v>350</v>
      </c>
      <c r="AE81" s="11">
        <v>473</v>
      </c>
      <c r="AF81" s="26">
        <f t="shared" si="46"/>
        <v>4579</v>
      </c>
      <c r="AG81" s="11">
        <v>648</v>
      </c>
      <c r="AH81" s="11">
        <v>598</v>
      </c>
      <c r="AI81" s="11">
        <v>593</v>
      </c>
      <c r="AJ81" s="11">
        <v>743</v>
      </c>
      <c r="AK81" s="11">
        <v>831</v>
      </c>
      <c r="AL81" s="11">
        <v>616</v>
      </c>
      <c r="AM81" s="11">
        <v>829</v>
      </c>
      <c r="AN81" s="11">
        <v>716</v>
      </c>
      <c r="AO81" s="11">
        <v>496</v>
      </c>
      <c r="AP81" s="11">
        <v>607</v>
      </c>
      <c r="AQ81" s="11">
        <v>764</v>
      </c>
      <c r="AR81" s="11">
        <v>746</v>
      </c>
      <c r="AS81" s="26">
        <f t="shared" si="47"/>
        <v>8187</v>
      </c>
      <c r="AT81" s="11">
        <v>0</v>
      </c>
      <c r="AU81" s="11">
        <v>0</v>
      </c>
      <c r="AV81" s="11">
        <v>0</v>
      </c>
      <c r="AW81" s="11">
        <v>0</v>
      </c>
      <c r="AX81" s="11">
        <v>0</v>
      </c>
      <c r="AY81" s="11">
        <v>0</v>
      </c>
      <c r="AZ81" s="11">
        <v>0</v>
      </c>
      <c r="BA81" s="11">
        <v>0</v>
      </c>
      <c r="BB81" s="11">
        <v>0</v>
      </c>
      <c r="BC81" s="11">
        <v>0</v>
      </c>
      <c r="BD81" s="11">
        <v>0</v>
      </c>
      <c r="BE81" s="11">
        <v>0</v>
      </c>
      <c r="BF81" s="26">
        <f t="shared" si="48"/>
        <v>0</v>
      </c>
      <c r="BG81" s="11">
        <v>0</v>
      </c>
      <c r="BH81" s="11">
        <v>0</v>
      </c>
      <c r="BI81" s="11">
        <v>0</v>
      </c>
      <c r="BJ81" s="11">
        <v>0</v>
      </c>
      <c r="BK81" s="11">
        <v>0</v>
      </c>
      <c r="BL81" s="11">
        <v>0</v>
      </c>
      <c r="BM81" s="11">
        <v>0</v>
      </c>
      <c r="BN81" s="11">
        <v>0</v>
      </c>
      <c r="BO81" s="11">
        <v>0</v>
      </c>
      <c r="BP81" s="11">
        <v>0</v>
      </c>
      <c r="BQ81" s="11">
        <v>0</v>
      </c>
      <c r="BR81" s="11">
        <v>0</v>
      </c>
      <c r="BS81" s="26">
        <f t="shared" si="49"/>
        <v>0</v>
      </c>
      <c r="BT81" s="11">
        <v>0</v>
      </c>
      <c r="BU81" s="11">
        <v>0</v>
      </c>
      <c r="BV81" s="11">
        <v>0</v>
      </c>
      <c r="BW81" s="11">
        <v>0</v>
      </c>
      <c r="BX81" s="11">
        <v>0</v>
      </c>
      <c r="BY81" s="11">
        <v>0</v>
      </c>
      <c r="BZ81" s="11">
        <v>0</v>
      </c>
      <c r="CA81" s="11">
        <v>0</v>
      </c>
      <c r="CB81" s="11">
        <v>0</v>
      </c>
      <c r="CC81" s="11">
        <v>0</v>
      </c>
      <c r="CD81" s="11">
        <v>0</v>
      </c>
      <c r="CE81" s="11">
        <v>0</v>
      </c>
      <c r="CF81" s="26">
        <f t="shared" si="50"/>
        <v>0</v>
      </c>
      <c r="CG81" s="11">
        <v>0</v>
      </c>
      <c r="CH81" s="11">
        <v>0</v>
      </c>
      <c r="CI81" s="11">
        <v>0</v>
      </c>
      <c r="CJ81" s="11">
        <v>0</v>
      </c>
      <c r="CK81" s="11">
        <v>0</v>
      </c>
      <c r="CL81" s="11">
        <v>0</v>
      </c>
      <c r="CM81" s="11">
        <v>0</v>
      </c>
      <c r="CN81" s="11">
        <v>0</v>
      </c>
      <c r="CO81" s="11">
        <v>0</v>
      </c>
      <c r="CP81" s="11">
        <v>0</v>
      </c>
      <c r="CQ81" s="11">
        <v>0</v>
      </c>
      <c r="CR81" s="11">
        <v>0</v>
      </c>
      <c r="CS81" s="26">
        <f t="shared" si="51"/>
        <v>0</v>
      </c>
      <c r="CT81" s="11">
        <v>0</v>
      </c>
      <c r="CU81" s="11">
        <v>0</v>
      </c>
      <c r="CV81" s="11">
        <v>0</v>
      </c>
      <c r="CW81" s="11">
        <v>0</v>
      </c>
      <c r="CX81" s="11">
        <v>0</v>
      </c>
      <c r="CY81" s="11">
        <v>0</v>
      </c>
      <c r="CZ81" s="11">
        <v>0</v>
      </c>
      <c r="DA81" s="11">
        <v>0</v>
      </c>
      <c r="DB81" s="11">
        <v>0</v>
      </c>
      <c r="DC81" s="11">
        <v>0</v>
      </c>
      <c r="DD81" s="11">
        <v>0</v>
      </c>
      <c r="DE81" s="11">
        <v>0</v>
      </c>
      <c r="DF81" s="26">
        <f t="shared" si="52"/>
        <v>0</v>
      </c>
      <c r="DG81" s="11">
        <v>0</v>
      </c>
      <c r="DH81" s="11">
        <v>0</v>
      </c>
      <c r="DI81" s="11">
        <v>0</v>
      </c>
      <c r="DJ81" s="11">
        <v>0</v>
      </c>
      <c r="DK81" s="11">
        <v>0</v>
      </c>
      <c r="DL81" s="11">
        <v>0</v>
      </c>
      <c r="DM81" s="11">
        <v>0</v>
      </c>
      <c r="DN81" s="11">
        <v>0</v>
      </c>
      <c r="DO81" s="11">
        <v>0</v>
      </c>
      <c r="DP81" s="11">
        <v>0</v>
      </c>
      <c r="DQ81" s="11">
        <v>0</v>
      </c>
      <c r="DR81" s="11">
        <v>0</v>
      </c>
      <c r="DS81" s="26">
        <f t="shared" si="53"/>
        <v>0</v>
      </c>
      <c r="DT81" s="11">
        <v>0</v>
      </c>
      <c r="DU81" s="11">
        <v>0</v>
      </c>
      <c r="DV81" s="11">
        <v>0</v>
      </c>
      <c r="DW81" s="11">
        <v>0</v>
      </c>
      <c r="DX81" s="11">
        <v>0</v>
      </c>
      <c r="DY81" s="11">
        <v>0</v>
      </c>
      <c r="DZ81" s="11">
        <v>0</v>
      </c>
      <c r="EA81" s="11">
        <v>0</v>
      </c>
      <c r="EB81" s="11">
        <v>0</v>
      </c>
      <c r="EC81" s="11">
        <v>0</v>
      </c>
      <c r="ED81" s="11">
        <v>0</v>
      </c>
      <c r="EE81" s="11">
        <v>0</v>
      </c>
      <c r="EF81" s="26">
        <f t="shared" si="54"/>
        <v>0</v>
      </c>
      <c r="EG81" s="9">
        <f t="shared" si="55"/>
        <v>12766</v>
      </c>
      <c r="EH81" s="9">
        <f t="shared" si="56"/>
        <v>0</v>
      </c>
      <c r="EI81" s="11">
        <v>13377</v>
      </c>
      <c r="EJ81" s="11">
        <v>14216</v>
      </c>
      <c r="EK81" s="11">
        <v>14457</v>
      </c>
      <c r="EL81" s="11">
        <v>21299</v>
      </c>
      <c r="EM81" s="11">
        <v>13818</v>
      </c>
      <c r="EN81" s="11">
        <v>11258</v>
      </c>
      <c r="EO81" s="11">
        <v>18814</v>
      </c>
      <c r="EP81" s="11">
        <v>14724</v>
      </c>
      <c r="EQ81" s="11">
        <v>11399</v>
      </c>
      <c r="ER81" s="11">
        <v>13623</v>
      </c>
      <c r="ES81" s="11">
        <v>16778</v>
      </c>
      <c r="ET81" s="11">
        <v>18075</v>
      </c>
      <c r="EU81" s="26">
        <f t="shared" si="57"/>
        <v>181838</v>
      </c>
      <c r="EV81" s="11">
        <v>2051</v>
      </c>
      <c r="EW81" s="11">
        <v>6964</v>
      </c>
      <c r="EX81" s="11">
        <v>6881</v>
      </c>
      <c r="EY81" s="11">
        <v>13874</v>
      </c>
      <c r="EZ81" s="11">
        <v>2502</v>
      </c>
      <c r="FA81" s="11">
        <v>6269</v>
      </c>
      <c r="FB81" s="11">
        <v>11370</v>
      </c>
      <c r="FC81" s="11">
        <v>5957</v>
      </c>
      <c r="FD81" s="11">
        <v>3056</v>
      </c>
      <c r="FE81" s="11">
        <v>3871</v>
      </c>
      <c r="FF81" s="11">
        <v>3899</v>
      </c>
      <c r="FG81" s="11">
        <v>4513</v>
      </c>
      <c r="FH81" s="26">
        <f t="shared" si="58"/>
        <v>71207</v>
      </c>
      <c r="FI81" s="11">
        <v>11326</v>
      </c>
      <c r="FJ81" s="11">
        <v>7252</v>
      </c>
      <c r="FK81" s="11">
        <v>7576</v>
      </c>
      <c r="FL81" s="11">
        <v>7425</v>
      </c>
      <c r="FM81" s="11">
        <v>11316</v>
      </c>
      <c r="FN81" s="11">
        <v>4989</v>
      </c>
      <c r="FO81" s="11">
        <v>7444</v>
      </c>
      <c r="FP81" s="11">
        <v>8767</v>
      </c>
      <c r="FQ81" s="11">
        <v>8343</v>
      </c>
      <c r="FR81" s="11">
        <v>9752</v>
      </c>
      <c r="FS81" s="11">
        <v>12879</v>
      </c>
      <c r="FT81" s="11">
        <v>13562</v>
      </c>
      <c r="FU81" s="26">
        <f t="shared" si="59"/>
        <v>110631</v>
      </c>
      <c r="FV81" s="11">
        <v>0</v>
      </c>
      <c r="FW81" s="11">
        <v>0</v>
      </c>
      <c r="FX81" s="11">
        <v>0</v>
      </c>
      <c r="FY81" s="11">
        <v>0</v>
      </c>
      <c r="FZ81" s="11">
        <v>0</v>
      </c>
      <c r="GA81" s="11">
        <v>0</v>
      </c>
      <c r="GB81" s="11">
        <v>0</v>
      </c>
      <c r="GC81" s="11">
        <v>0</v>
      </c>
      <c r="GD81" s="11">
        <v>0</v>
      </c>
      <c r="GE81" s="11">
        <v>0</v>
      </c>
      <c r="GF81" s="11">
        <v>0</v>
      </c>
      <c r="GG81" s="11">
        <v>0</v>
      </c>
      <c r="GH81" s="26">
        <f t="shared" si="60"/>
        <v>0</v>
      </c>
      <c r="GI81" s="11">
        <v>0</v>
      </c>
      <c r="GJ81" s="11">
        <v>0</v>
      </c>
      <c r="GK81" s="11">
        <v>0</v>
      </c>
      <c r="GL81" s="11">
        <v>0</v>
      </c>
      <c r="GM81" s="11">
        <v>0</v>
      </c>
      <c r="GN81" s="11">
        <v>0</v>
      </c>
      <c r="GO81" s="11">
        <v>0</v>
      </c>
      <c r="GP81" s="11">
        <v>0</v>
      </c>
      <c r="GQ81" s="11">
        <v>0</v>
      </c>
      <c r="GR81" s="11">
        <v>0</v>
      </c>
      <c r="GS81" s="11">
        <v>0</v>
      </c>
      <c r="GT81" s="11">
        <v>0</v>
      </c>
      <c r="GU81" s="26">
        <f t="shared" si="61"/>
        <v>0</v>
      </c>
      <c r="GV81" s="11">
        <v>0</v>
      </c>
      <c r="GW81" s="11">
        <v>0</v>
      </c>
      <c r="GX81" s="11">
        <v>0</v>
      </c>
      <c r="GY81" s="11">
        <v>0</v>
      </c>
      <c r="GZ81" s="11">
        <v>0</v>
      </c>
      <c r="HA81" s="11">
        <v>0</v>
      </c>
      <c r="HB81" s="11">
        <v>0</v>
      </c>
      <c r="HC81" s="11">
        <v>0</v>
      </c>
      <c r="HD81" s="11">
        <v>0</v>
      </c>
      <c r="HE81" s="11">
        <v>0</v>
      </c>
      <c r="HF81" s="11">
        <v>0</v>
      </c>
      <c r="HG81" s="11">
        <v>0</v>
      </c>
      <c r="HH81" s="26">
        <f t="shared" si="62"/>
        <v>0</v>
      </c>
      <c r="HI81" s="11">
        <v>0</v>
      </c>
      <c r="HJ81" s="11">
        <v>0</v>
      </c>
      <c r="HK81" s="11">
        <v>0</v>
      </c>
      <c r="HL81" s="11">
        <v>0</v>
      </c>
      <c r="HM81" s="11">
        <v>0</v>
      </c>
      <c r="HN81" s="11">
        <v>0</v>
      </c>
      <c r="HO81" s="11">
        <v>0</v>
      </c>
      <c r="HP81" s="11">
        <v>0</v>
      </c>
      <c r="HQ81" s="11">
        <v>0</v>
      </c>
      <c r="HR81" s="11">
        <v>0</v>
      </c>
      <c r="HS81" s="11">
        <v>0</v>
      </c>
      <c r="HT81" s="11">
        <v>0</v>
      </c>
      <c r="HU81" s="26">
        <f t="shared" si="63"/>
        <v>0</v>
      </c>
      <c r="HV81" s="11">
        <v>0</v>
      </c>
      <c r="HW81" s="11">
        <v>0</v>
      </c>
      <c r="HX81" s="11">
        <v>0</v>
      </c>
      <c r="HY81" s="11">
        <v>0</v>
      </c>
      <c r="HZ81" s="11">
        <v>0</v>
      </c>
      <c r="IA81" s="11">
        <v>0</v>
      </c>
      <c r="IB81" s="11">
        <v>0</v>
      </c>
      <c r="IC81" s="11">
        <v>0</v>
      </c>
      <c r="ID81" s="11">
        <v>0</v>
      </c>
      <c r="IE81" s="11">
        <v>0</v>
      </c>
      <c r="IF81" s="11">
        <v>0</v>
      </c>
      <c r="IG81" s="11">
        <v>0</v>
      </c>
      <c r="IH81" s="26">
        <f t="shared" si="64"/>
        <v>0</v>
      </c>
      <c r="II81" s="9">
        <f t="shared" si="65"/>
        <v>181838</v>
      </c>
      <c r="IJ81" s="9">
        <f t="shared" si="66"/>
        <v>0</v>
      </c>
      <c r="IK81" s="11">
        <v>36229</v>
      </c>
      <c r="IL81" s="11">
        <v>35785</v>
      </c>
      <c r="IM81" s="11">
        <v>33523</v>
      </c>
      <c r="IN81" s="11">
        <v>39771</v>
      </c>
      <c r="IO81" s="11">
        <v>42550</v>
      </c>
      <c r="IP81" s="11">
        <v>38213</v>
      </c>
      <c r="IQ81" s="11">
        <v>39462</v>
      </c>
      <c r="IR81" s="11">
        <v>34682</v>
      </c>
      <c r="IS81" s="11">
        <v>28162</v>
      </c>
      <c r="IT81" s="11">
        <v>37594</v>
      </c>
      <c r="IU81" s="11">
        <v>35424</v>
      </c>
      <c r="IV81" s="11">
        <v>37102</v>
      </c>
      <c r="IW81" s="27">
        <f t="shared" si="67"/>
        <v>438497</v>
      </c>
      <c r="IX81" s="11">
        <v>19385</v>
      </c>
      <c r="IY81" s="11">
        <v>19164</v>
      </c>
      <c r="IZ81" s="11">
        <v>19075</v>
      </c>
      <c r="JA81" s="11">
        <v>21169</v>
      </c>
      <c r="JB81" s="11">
        <v>22264</v>
      </c>
      <c r="JC81" s="11">
        <v>20879</v>
      </c>
      <c r="JD81" s="11">
        <v>21213</v>
      </c>
      <c r="JE81" s="11">
        <v>19423</v>
      </c>
      <c r="JF81" s="11">
        <v>17125</v>
      </c>
      <c r="JG81" s="11">
        <v>22126</v>
      </c>
      <c r="JH81" s="11">
        <v>19286</v>
      </c>
      <c r="JI81" s="11">
        <v>21455</v>
      </c>
      <c r="JJ81" s="27">
        <f t="shared" si="68"/>
        <v>242564</v>
      </c>
      <c r="JK81" s="11">
        <v>16844</v>
      </c>
      <c r="JL81" s="11">
        <v>16621</v>
      </c>
      <c r="JM81" s="11">
        <v>14448</v>
      </c>
      <c r="JN81" s="11">
        <v>18602</v>
      </c>
      <c r="JO81" s="11">
        <v>20286</v>
      </c>
      <c r="JP81" s="11">
        <v>17334</v>
      </c>
      <c r="JQ81" s="11">
        <v>18249</v>
      </c>
      <c r="JR81" s="11">
        <v>15259</v>
      </c>
      <c r="JS81" s="11">
        <v>11037</v>
      </c>
      <c r="JT81" s="11">
        <v>15468</v>
      </c>
      <c r="JU81" s="11">
        <v>16138</v>
      </c>
      <c r="JV81" s="11">
        <v>15647</v>
      </c>
      <c r="JW81" s="27">
        <f t="shared" si="69"/>
        <v>195933</v>
      </c>
      <c r="JX81" s="11">
        <v>0</v>
      </c>
      <c r="JY81" s="11">
        <v>0</v>
      </c>
      <c r="JZ81" s="11">
        <v>0</v>
      </c>
      <c r="KA81" s="11">
        <v>0</v>
      </c>
      <c r="KB81" s="11">
        <v>0</v>
      </c>
      <c r="KC81" s="11">
        <v>0</v>
      </c>
      <c r="KD81" s="11">
        <v>0</v>
      </c>
      <c r="KE81" s="11">
        <v>0</v>
      </c>
      <c r="KF81" s="11">
        <v>0</v>
      </c>
      <c r="KG81" s="11">
        <v>0</v>
      </c>
      <c r="KH81" s="11">
        <v>0</v>
      </c>
      <c r="KI81" s="11">
        <v>0</v>
      </c>
      <c r="KJ81" s="27">
        <f t="shared" si="70"/>
        <v>0</v>
      </c>
      <c r="KK81" s="11">
        <v>0</v>
      </c>
      <c r="KL81" s="11">
        <v>0</v>
      </c>
      <c r="KM81" s="11">
        <v>0</v>
      </c>
      <c r="KN81" s="11">
        <v>0</v>
      </c>
      <c r="KO81" s="11">
        <v>0</v>
      </c>
      <c r="KP81" s="11">
        <v>0</v>
      </c>
      <c r="KQ81" s="11">
        <v>0</v>
      </c>
      <c r="KR81" s="11">
        <v>0</v>
      </c>
      <c r="KS81" s="11">
        <v>0</v>
      </c>
      <c r="KT81" s="11">
        <v>0</v>
      </c>
      <c r="KU81" s="11">
        <v>0</v>
      </c>
      <c r="KV81" s="11">
        <v>0</v>
      </c>
      <c r="KW81" s="27">
        <f t="shared" si="71"/>
        <v>0</v>
      </c>
      <c r="KX81" s="11">
        <v>0</v>
      </c>
      <c r="KY81" s="11">
        <v>0</v>
      </c>
      <c r="KZ81" s="11">
        <v>0</v>
      </c>
      <c r="LA81" s="11">
        <v>0</v>
      </c>
      <c r="LB81" s="11">
        <v>0</v>
      </c>
      <c r="LC81" s="11">
        <v>0</v>
      </c>
      <c r="LD81" s="11">
        <v>0</v>
      </c>
      <c r="LE81" s="11">
        <v>0</v>
      </c>
      <c r="LF81" s="11">
        <v>0</v>
      </c>
      <c r="LG81" s="11">
        <v>0</v>
      </c>
      <c r="LH81" s="11">
        <v>0</v>
      </c>
      <c r="LI81" s="11">
        <v>0</v>
      </c>
      <c r="LJ81" s="27">
        <f t="shared" si="72"/>
        <v>0</v>
      </c>
      <c r="LK81" s="11">
        <v>0</v>
      </c>
      <c r="LL81" s="11">
        <v>0</v>
      </c>
      <c r="LM81" s="11">
        <v>0</v>
      </c>
      <c r="LN81" s="11">
        <v>0</v>
      </c>
      <c r="LO81" s="11">
        <v>0</v>
      </c>
      <c r="LP81" s="11">
        <v>0</v>
      </c>
      <c r="LQ81" s="11">
        <v>0</v>
      </c>
      <c r="LR81" s="11">
        <v>0</v>
      </c>
      <c r="LS81" s="11">
        <v>0</v>
      </c>
      <c r="LT81" s="11">
        <v>0</v>
      </c>
      <c r="LU81" s="11">
        <v>0</v>
      </c>
      <c r="LV81" s="11">
        <v>0</v>
      </c>
      <c r="LW81" s="27">
        <f t="shared" si="73"/>
        <v>0</v>
      </c>
      <c r="LX81" s="11">
        <v>0</v>
      </c>
      <c r="LY81" s="11">
        <v>0</v>
      </c>
      <c r="LZ81" s="11">
        <v>0</v>
      </c>
      <c r="MA81" s="11">
        <v>0</v>
      </c>
      <c r="MB81" s="11">
        <v>0</v>
      </c>
      <c r="MC81" s="11">
        <v>0</v>
      </c>
      <c r="MD81" s="11">
        <v>0</v>
      </c>
      <c r="ME81" s="11">
        <v>0</v>
      </c>
      <c r="MF81" s="11">
        <v>0</v>
      </c>
      <c r="MG81" s="11">
        <v>0</v>
      </c>
      <c r="MH81" s="11">
        <v>0</v>
      </c>
      <c r="MI81" s="11">
        <v>0</v>
      </c>
      <c r="MJ81" s="27">
        <f t="shared" si="74"/>
        <v>0</v>
      </c>
      <c r="MK81" s="11">
        <v>875</v>
      </c>
      <c r="ML81" s="11">
        <v>973</v>
      </c>
      <c r="MM81" s="11">
        <v>963</v>
      </c>
      <c r="MN81" s="11">
        <v>947</v>
      </c>
      <c r="MO81" s="11">
        <v>882</v>
      </c>
      <c r="MP81" s="11">
        <v>845</v>
      </c>
      <c r="MQ81" s="11">
        <v>842</v>
      </c>
      <c r="MR81" s="11">
        <v>793</v>
      </c>
      <c r="MS81" s="11">
        <v>770</v>
      </c>
      <c r="MT81" s="11">
        <v>756</v>
      </c>
      <c r="MU81" s="11">
        <v>651</v>
      </c>
      <c r="MV81" s="11">
        <v>694</v>
      </c>
      <c r="MW81" s="27">
        <f t="shared" si="75"/>
        <v>9991</v>
      </c>
      <c r="MX81" s="11">
        <v>767</v>
      </c>
      <c r="MY81" s="11">
        <v>777</v>
      </c>
      <c r="MZ81" s="11">
        <v>783</v>
      </c>
      <c r="NA81" s="11">
        <v>772</v>
      </c>
      <c r="NB81" s="11">
        <v>718</v>
      </c>
      <c r="NC81" s="11">
        <v>726</v>
      </c>
      <c r="ND81" s="11">
        <v>709</v>
      </c>
      <c r="NE81" s="11">
        <v>666</v>
      </c>
      <c r="NF81" s="11">
        <v>671</v>
      </c>
      <c r="NG81" s="11">
        <v>658</v>
      </c>
      <c r="NH81" s="11">
        <v>558</v>
      </c>
      <c r="NI81" s="11">
        <v>559</v>
      </c>
      <c r="NJ81" s="27">
        <f t="shared" si="76"/>
        <v>8364</v>
      </c>
      <c r="NK81" s="11">
        <v>62</v>
      </c>
      <c r="NL81" s="11">
        <v>134</v>
      </c>
      <c r="NM81" s="11">
        <v>116</v>
      </c>
      <c r="NN81" s="11">
        <v>111</v>
      </c>
      <c r="NO81" s="11">
        <v>101</v>
      </c>
      <c r="NP81" s="11">
        <v>68</v>
      </c>
      <c r="NQ81" s="11">
        <v>92</v>
      </c>
      <c r="NR81" s="11">
        <v>81</v>
      </c>
      <c r="NS81" s="11">
        <v>61</v>
      </c>
      <c r="NT81" s="11">
        <v>62</v>
      </c>
      <c r="NU81" s="11">
        <v>54</v>
      </c>
      <c r="NV81" s="11">
        <v>81</v>
      </c>
      <c r="NW81" s="27">
        <f t="shared" si="77"/>
        <v>1023</v>
      </c>
      <c r="NX81" s="11">
        <v>46</v>
      </c>
      <c r="NY81" s="11">
        <v>62</v>
      </c>
      <c r="NZ81" s="11">
        <v>64</v>
      </c>
      <c r="OA81" s="11">
        <v>64</v>
      </c>
      <c r="OB81" s="11">
        <v>63</v>
      </c>
      <c r="OC81" s="11">
        <v>51</v>
      </c>
      <c r="OD81" s="11">
        <v>41</v>
      </c>
      <c r="OE81" s="11">
        <v>46</v>
      </c>
      <c r="OF81" s="11">
        <v>38</v>
      </c>
      <c r="OG81" s="11">
        <v>36</v>
      </c>
      <c r="OH81" s="11">
        <v>39</v>
      </c>
      <c r="OI81" s="11">
        <v>54</v>
      </c>
      <c r="OJ81" s="27">
        <f t="shared" si="78"/>
        <v>604</v>
      </c>
      <c r="OK81" s="11">
        <v>2052</v>
      </c>
      <c r="OL81" s="11">
        <v>2024</v>
      </c>
      <c r="OM81" s="11">
        <v>1986</v>
      </c>
      <c r="ON81" s="11">
        <v>2037</v>
      </c>
      <c r="OO81" s="11">
        <v>2067</v>
      </c>
      <c r="OP81" s="11">
        <v>1985</v>
      </c>
      <c r="OQ81" s="11">
        <v>2117</v>
      </c>
      <c r="OR81" s="11">
        <v>1990</v>
      </c>
      <c r="OS81" s="11">
        <v>1980</v>
      </c>
      <c r="OT81" s="11">
        <v>2051</v>
      </c>
      <c r="OU81" s="11">
        <v>1903</v>
      </c>
      <c r="OV81" s="11">
        <v>2091</v>
      </c>
      <c r="OW81" s="27">
        <f t="shared" si="79"/>
        <v>24283</v>
      </c>
      <c r="OX81" s="11">
        <v>1720</v>
      </c>
      <c r="OY81" s="11">
        <v>1676</v>
      </c>
      <c r="OZ81" s="11">
        <v>1697</v>
      </c>
      <c r="PA81" s="11">
        <v>1752</v>
      </c>
      <c r="PB81" s="11">
        <v>1712</v>
      </c>
      <c r="PC81" s="11">
        <v>1658</v>
      </c>
      <c r="PD81" s="11">
        <v>1796</v>
      </c>
      <c r="PE81" s="11">
        <v>1670</v>
      </c>
      <c r="PF81" s="11">
        <v>1647</v>
      </c>
      <c r="PG81" s="11">
        <v>1692</v>
      </c>
      <c r="PH81" s="11">
        <v>1607</v>
      </c>
      <c r="PI81" s="11">
        <v>1754</v>
      </c>
      <c r="PJ81" s="27">
        <f t="shared" si="80"/>
        <v>20381</v>
      </c>
      <c r="PK81" s="11">
        <v>264</v>
      </c>
      <c r="PL81" s="11">
        <v>269</v>
      </c>
      <c r="PM81" s="11">
        <v>222</v>
      </c>
      <c r="PN81" s="11">
        <v>212</v>
      </c>
      <c r="PO81" s="11">
        <v>292</v>
      </c>
      <c r="PP81" s="11">
        <v>273</v>
      </c>
      <c r="PQ81" s="11">
        <v>252</v>
      </c>
      <c r="PR81" s="11">
        <v>259</v>
      </c>
      <c r="PS81" s="11">
        <v>273</v>
      </c>
      <c r="PT81" s="11">
        <v>293</v>
      </c>
      <c r="PU81" s="11">
        <v>224</v>
      </c>
      <c r="PV81" s="11">
        <v>255</v>
      </c>
      <c r="PW81" s="27">
        <f t="shared" si="81"/>
        <v>3088</v>
      </c>
      <c r="PX81" s="11">
        <v>68</v>
      </c>
      <c r="PY81" s="11">
        <v>79</v>
      </c>
      <c r="PZ81" s="11">
        <v>67</v>
      </c>
      <c r="QA81" s="11">
        <v>73</v>
      </c>
      <c r="QB81" s="11">
        <v>63</v>
      </c>
      <c r="QC81" s="11">
        <v>190</v>
      </c>
      <c r="QD81" s="11">
        <v>69</v>
      </c>
      <c r="QE81" s="11">
        <v>61</v>
      </c>
      <c r="QF81" s="11">
        <v>60</v>
      </c>
      <c r="QG81" s="11">
        <v>66</v>
      </c>
      <c r="QH81" s="11">
        <v>72</v>
      </c>
      <c r="QI81" s="11">
        <v>82</v>
      </c>
      <c r="QJ81" s="27">
        <f t="shared" si="82"/>
        <v>950</v>
      </c>
      <c r="QK81" s="11">
        <v>45102</v>
      </c>
      <c r="QL81" s="11">
        <v>45140</v>
      </c>
      <c r="QM81" s="11">
        <v>46523</v>
      </c>
      <c r="QN81" s="11">
        <v>60087</v>
      </c>
      <c r="QO81" s="11">
        <v>49891</v>
      </c>
      <c r="QP81" s="11">
        <v>47056</v>
      </c>
      <c r="QQ81" s="11">
        <v>52980</v>
      </c>
      <c r="QR81" s="11">
        <v>47671</v>
      </c>
      <c r="QS81" s="11">
        <v>41055</v>
      </c>
      <c r="QT81" s="11">
        <v>48166</v>
      </c>
      <c r="QU81" s="11">
        <v>51011</v>
      </c>
      <c r="QV81" s="11">
        <v>54484</v>
      </c>
      <c r="QW81" s="27">
        <f t="shared" si="83"/>
        <v>589166</v>
      </c>
      <c r="QX81" s="11">
        <v>13510</v>
      </c>
      <c r="QY81" s="11">
        <v>12802</v>
      </c>
      <c r="QZ81" s="11">
        <v>12649</v>
      </c>
      <c r="RA81" s="11">
        <v>13460</v>
      </c>
      <c r="RB81" s="11">
        <v>12826</v>
      </c>
      <c r="RC81" s="11">
        <v>12695</v>
      </c>
      <c r="RD81" s="11">
        <v>13148</v>
      </c>
      <c r="RE81" s="11">
        <v>9831</v>
      </c>
      <c r="RF81" s="11">
        <v>8553</v>
      </c>
      <c r="RG81" s="11">
        <v>10605</v>
      </c>
      <c r="RH81" s="11">
        <v>10668</v>
      </c>
      <c r="RI81" s="11">
        <v>10375</v>
      </c>
      <c r="RJ81" s="27">
        <f t="shared" si="84"/>
        <v>141122</v>
      </c>
      <c r="RK81" s="11">
        <v>0</v>
      </c>
      <c r="RL81" s="11">
        <v>0</v>
      </c>
      <c r="RM81" s="11">
        <v>0</v>
      </c>
      <c r="RN81" s="11">
        <v>0</v>
      </c>
      <c r="RO81" s="11">
        <v>0</v>
      </c>
      <c r="RP81" s="11">
        <v>0</v>
      </c>
      <c r="RQ81" s="11">
        <v>0</v>
      </c>
      <c r="RR81" s="11">
        <v>0</v>
      </c>
      <c r="RS81" s="11">
        <v>0</v>
      </c>
      <c r="RT81" s="11">
        <v>0</v>
      </c>
      <c r="RU81" s="11">
        <v>0</v>
      </c>
      <c r="RV81" s="11">
        <v>0</v>
      </c>
      <c r="RW81" s="27">
        <f t="shared" si="85"/>
        <v>0</v>
      </c>
      <c r="RX81" s="11">
        <v>0</v>
      </c>
      <c r="RY81" s="11">
        <v>0</v>
      </c>
      <c r="RZ81" s="11">
        <v>0</v>
      </c>
      <c r="SA81" s="11">
        <v>0</v>
      </c>
      <c r="SB81" s="11">
        <v>0</v>
      </c>
      <c r="SC81" s="11">
        <v>0</v>
      </c>
      <c r="SD81" s="11">
        <v>0</v>
      </c>
      <c r="SE81" s="11">
        <v>0</v>
      </c>
      <c r="SF81" s="11">
        <v>0</v>
      </c>
      <c r="SG81" s="11">
        <v>0</v>
      </c>
      <c r="SH81" s="11">
        <v>0</v>
      </c>
      <c r="SI81" s="11">
        <v>0</v>
      </c>
      <c r="SJ81" s="27">
        <f t="shared" si="86"/>
        <v>0</v>
      </c>
      <c r="SK81" s="11">
        <v>0</v>
      </c>
      <c r="SL81" s="11">
        <v>0</v>
      </c>
      <c r="SM81" s="11">
        <v>0</v>
      </c>
      <c r="SN81" s="11">
        <v>0</v>
      </c>
      <c r="SO81" s="11">
        <v>0</v>
      </c>
      <c r="SP81" s="11">
        <v>0</v>
      </c>
      <c r="SQ81" s="11">
        <v>0</v>
      </c>
      <c r="SR81" s="11">
        <v>0</v>
      </c>
      <c r="SS81" s="11">
        <v>0</v>
      </c>
      <c r="ST81" s="11">
        <v>0</v>
      </c>
      <c r="SU81" s="11">
        <v>0</v>
      </c>
      <c r="SV81" s="11">
        <v>0</v>
      </c>
      <c r="SW81" s="27">
        <f t="shared" si="87"/>
        <v>0</v>
      </c>
      <c r="SX81" s="11" t="s">
        <v>2721</v>
      </c>
      <c r="SY81" s="11">
        <v>7047</v>
      </c>
      <c r="SZ81" s="11">
        <v>6703</v>
      </c>
      <c r="TA81" s="11">
        <v>6370</v>
      </c>
      <c r="TB81" s="11">
        <v>7246</v>
      </c>
      <c r="TC81" s="11">
        <v>7077</v>
      </c>
      <c r="TD81" s="11">
        <v>5054</v>
      </c>
      <c r="TE81" s="11">
        <v>7417</v>
      </c>
      <c r="TF81" s="11">
        <v>6948</v>
      </c>
      <c r="TG81" s="11">
        <v>5540</v>
      </c>
      <c r="TH81" s="11">
        <v>7253</v>
      </c>
      <c r="TI81" s="11">
        <v>6687</v>
      </c>
      <c r="TJ81" s="11">
        <v>7016</v>
      </c>
      <c r="TK81" s="27">
        <f t="shared" si="88"/>
        <v>80358</v>
      </c>
      <c r="TL81" s="11">
        <v>15291</v>
      </c>
      <c r="TM81" s="11">
        <v>8960</v>
      </c>
      <c r="TN81" s="11">
        <v>8843</v>
      </c>
      <c r="TO81" s="11">
        <v>8586</v>
      </c>
      <c r="TP81" s="11">
        <v>7576</v>
      </c>
      <c r="TQ81" s="11">
        <v>5774</v>
      </c>
      <c r="TR81" s="11">
        <v>8489</v>
      </c>
      <c r="TS81" s="11">
        <v>7847</v>
      </c>
      <c r="TT81" s="11">
        <v>6625</v>
      </c>
      <c r="TU81" s="11">
        <v>7916</v>
      </c>
      <c r="TV81" s="11">
        <v>8435</v>
      </c>
      <c r="TW81" s="11">
        <v>8117</v>
      </c>
      <c r="TX81" s="27">
        <f t="shared" si="89"/>
        <v>102459</v>
      </c>
      <c r="TY81" s="11">
        <v>140</v>
      </c>
      <c r="TZ81" s="11">
        <v>0</v>
      </c>
      <c r="UA81" s="11">
        <v>0</v>
      </c>
    </row>
    <row r="82" spans="1:547" ht="16" customHeight="1" x14ac:dyDescent="0.35">
      <c r="A82" s="11" t="s">
        <v>1364</v>
      </c>
      <c r="B82" s="11">
        <v>192095</v>
      </c>
      <c r="C82" s="11">
        <v>13578</v>
      </c>
      <c r="D82" s="11">
        <v>164409</v>
      </c>
      <c r="E82" s="11">
        <v>1408</v>
      </c>
      <c r="F82" s="11">
        <v>765</v>
      </c>
      <c r="G82" s="11">
        <v>704</v>
      </c>
      <c r="H82" s="11">
        <v>561</v>
      </c>
      <c r="I82" s="11"/>
      <c r="J82" s="11"/>
      <c r="K82" s="11"/>
      <c r="L82" s="11"/>
      <c r="M82" s="11"/>
      <c r="N82" s="11"/>
      <c r="O82" s="11"/>
      <c r="P82" s="11" t="s">
        <v>2865</v>
      </c>
      <c r="Q82" s="11"/>
      <c r="R82" s="11"/>
      <c r="S82" s="26">
        <f t="shared" si="45"/>
        <v>2030</v>
      </c>
      <c r="T82" s="11">
        <v>522</v>
      </c>
      <c r="U82" s="11">
        <v>457</v>
      </c>
      <c r="V82" s="11">
        <v>290</v>
      </c>
      <c r="W82" s="11"/>
      <c r="X82" s="11"/>
      <c r="Y82" s="11"/>
      <c r="Z82" s="11"/>
      <c r="AA82" s="11"/>
      <c r="AB82" s="11"/>
      <c r="AC82" s="11"/>
      <c r="AD82" s="11"/>
      <c r="AE82" s="11"/>
      <c r="AF82" s="26">
        <f t="shared" si="46"/>
        <v>1269</v>
      </c>
      <c r="AG82" s="11">
        <v>220</v>
      </c>
      <c r="AH82" s="11">
        <v>225</v>
      </c>
      <c r="AI82" s="11">
        <v>254</v>
      </c>
      <c r="AJ82" s="11"/>
      <c r="AK82" s="11"/>
      <c r="AL82" s="11"/>
      <c r="AM82" s="11"/>
      <c r="AN82" s="11"/>
      <c r="AO82" s="11"/>
      <c r="AP82" s="11"/>
      <c r="AQ82" s="11"/>
      <c r="AR82" s="11"/>
      <c r="AS82" s="26">
        <f t="shared" si="47"/>
        <v>699</v>
      </c>
      <c r="AT82" s="11">
        <v>23</v>
      </c>
      <c r="AU82" s="11">
        <v>22</v>
      </c>
      <c r="AV82" s="11">
        <v>17</v>
      </c>
      <c r="AW82" s="11"/>
      <c r="AX82" s="11"/>
      <c r="AY82" s="11"/>
      <c r="AZ82" s="11"/>
      <c r="BA82" s="11"/>
      <c r="BB82" s="11"/>
      <c r="BC82" s="11"/>
      <c r="BD82" s="11"/>
      <c r="BE82" s="11"/>
      <c r="BF82" s="26">
        <f t="shared" si="48"/>
        <v>62</v>
      </c>
      <c r="BG82" s="11">
        <v>0</v>
      </c>
      <c r="BH82" s="11">
        <v>0</v>
      </c>
      <c r="BI82" s="11">
        <v>0</v>
      </c>
      <c r="BJ82" s="11"/>
      <c r="BK82" s="11"/>
      <c r="BL82" s="11"/>
      <c r="BM82" s="11"/>
      <c r="BN82" s="11"/>
      <c r="BO82" s="11"/>
      <c r="BP82" s="11"/>
      <c r="BQ82" s="11"/>
      <c r="BR82" s="11"/>
      <c r="BS82" s="26">
        <f t="shared" si="49"/>
        <v>0</v>
      </c>
      <c r="BT82" s="11">
        <v>0</v>
      </c>
      <c r="BU82" s="11">
        <v>0</v>
      </c>
      <c r="BV82" s="11">
        <v>0</v>
      </c>
      <c r="BW82" s="11"/>
      <c r="BX82" s="11"/>
      <c r="BY82" s="11"/>
      <c r="BZ82" s="11"/>
      <c r="CA82" s="11"/>
      <c r="CB82" s="11"/>
      <c r="CC82" s="11"/>
      <c r="CD82" s="11"/>
      <c r="CE82" s="11"/>
      <c r="CF82" s="26">
        <f t="shared" si="50"/>
        <v>0</v>
      </c>
      <c r="CG82" s="11">
        <v>0</v>
      </c>
      <c r="CH82" s="11">
        <v>0</v>
      </c>
      <c r="CI82" s="11">
        <v>0</v>
      </c>
      <c r="CJ82" s="11"/>
      <c r="CK82" s="11"/>
      <c r="CL82" s="11"/>
      <c r="CM82" s="11"/>
      <c r="CN82" s="11"/>
      <c r="CO82" s="11"/>
      <c r="CP82" s="11"/>
      <c r="CQ82" s="11"/>
      <c r="CR82" s="11"/>
      <c r="CS82" s="26">
        <f t="shared" si="51"/>
        <v>0</v>
      </c>
      <c r="CT82" s="11">
        <v>0</v>
      </c>
      <c r="CU82" s="11">
        <v>0</v>
      </c>
      <c r="CV82" s="11">
        <v>0</v>
      </c>
      <c r="CW82" s="11"/>
      <c r="CX82" s="11"/>
      <c r="CY82" s="11"/>
      <c r="CZ82" s="11"/>
      <c r="DA82" s="11"/>
      <c r="DB82" s="11"/>
      <c r="DC82" s="11"/>
      <c r="DD82" s="11"/>
      <c r="DE82" s="11"/>
      <c r="DF82" s="26">
        <f t="shared" si="52"/>
        <v>0</v>
      </c>
      <c r="DG82" s="11">
        <v>0</v>
      </c>
      <c r="DH82" s="11">
        <v>0</v>
      </c>
      <c r="DI82" s="11">
        <v>0</v>
      </c>
      <c r="DJ82" s="11"/>
      <c r="DK82" s="11"/>
      <c r="DL82" s="11"/>
      <c r="DM82" s="11"/>
      <c r="DN82" s="11"/>
      <c r="DO82" s="11"/>
      <c r="DP82" s="11"/>
      <c r="DQ82" s="11"/>
      <c r="DR82" s="11"/>
      <c r="DS82" s="26">
        <f t="shared" si="53"/>
        <v>0</v>
      </c>
      <c r="DT82" s="11">
        <v>0</v>
      </c>
      <c r="DU82" s="11">
        <v>0</v>
      </c>
      <c r="DV82" s="11">
        <v>0</v>
      </c>
      <c r="DW82" s="11"/>
      <c r="DX82" s="11"/>
      <c r="DY82" s="11"/>
      <c r="DZ82" s="11"/>
      <c r="EA82" s="11"/>
      <c r="EB82" s="11"/>
      <c r="EC82" s="11"/>
      <c r="ED82" s="11"/>
      <c r="EE82" s="11"/>
      <c r="EF82" s="26">
        <f t="shared" si="54"/>
        <v>0</v>
      </c>
      <c r="EG82" s="9">
        <f t="shared" si="55"/>
        <v>2030</v>
      </c>
      <c r="EH82" s="9">
        <f t="shared" si="56"/>
        <v>0</v>
      </c>
      <c r="EI82" s="11">
        <v>8312</v>
      </c>
      <c r="EJ82" s="11">
        <v>6008</v>
      </c>
      <c r="EK82" s="11">
        <v>6541</v>
      </c>
      <c r="EL82" s="11">
        <v>3863</v>
      </c>
      <c r="EM82" s="11">
        <v>3068</v>
      </c>
      <c r="EN82" s="11">
        <v>1670</v>
      </c>
      <c r="EO82" s="11">
        <v>1812</v>
      </c>
      <c r="EP82" s="11">
        <v>2184</v>
      </c>
      <c r="EQ82" s="11">
        <v>4282</v>
      </c>
      <c r="ER82" s="11">
        <v>8097</v>
      </c>
      <c r="ES82" s="11">
        <v>8704</v>
      </c>
      <c r="ET82" s="11">
        <v>9065</v>
      </c>
      <c r="EU82" s="26">
        <f t="shared" si="57"/>
        <v>63606</v>
      </c>
      <c r="EV82" s="11">
        <v>3234</v>
      </c>
      <c r="EW82" s="11">
        <v>2600</v>
      </c>
      <c r="EX82" s="11">
        <v>2967</v>
      </c>
      <c r="EY82" s="11">
        <v>1175</v>
      </c>
      <c r="EZ82" s="11">
        <v>197</v>
      </c>
      <c r="FA82" s="11">
        <v>301</v>
      </c>
      <c r="FB82" s="11">
        <v>301</v>
      </c>
      <c r="FC82" s="11">
        <v>1426</v>
      </c>
      <c r="FD82" s="11">
        <v>2243</v>
      </c>
      <c r="FE82" s="11">
        <v>3899</v>
      </c>
      <c r="FF82" s="11">
        <v>4257</v>
      </c>
      <c r="FG82" s="11">
        <v>3937</v>
      </c>
      <c r="FH82" s="26">
        <f t="shared" si="58"/>
        <v>26537</v>
      </c>
      <c r="FI82" s="11">
        <v>5055</v>
      </c>
      <c r="FJ82" s="11">
        <v>3335</v>
      </c>
      <c r="FK82" s="11">
        <v>3574</v>
      </c>
      <c r="FL82" s="11">
        <v>2641</v>
      </c>
      <c r="FM82" s="11">
        <v>2835</v>
      </c>
      <c r="FN82" s="11">
        <v>1213</v>
      </c>
      <c r="FO82" s="11">
        <v>1363</v>
      </c>
      <c r="FP82" s="11">
        <v>750</v>
      </c>
      <c r="FQ82" s="11">
        <v>1864</v>
      </c>
      <c r="FR82" s="11">
        <v>4034</v>
      </c>
      <c r="FS82" s="11">
        <v>4242</v>
      </c>
      <c r="FT82" s="11">
        <v>5095</v>
      </c>
      <c r="FU82" s="26">
        <f t="shared" si="59"/>
        <v>36001</v>
      </c>
      <c r="FV82" s="11">
        <v>23</v>
      </c>
      <c r="FW82" s="11">
        <v>73</v>
      </c>
      <c r="FX82" s="11">
        <v>20</v>
      </c>
      <c r="FY82" s="11">
        <v>47</v>
      </c>
      <c r="FZ82" s="11">
        <v>36</v>
      </c>
      <c r="GA82" s="11">
        <v>156</v>
      </c>
      <c r="GB82" s="11">
        <v>148</v>
      </c>
      <c r="GC82" s="11">
        <v>8</v>
      </c>
      <c r="GD82" s="11">
        <v>175</v>
      </c>
      <c r="GE82" s="11">
        <v>164</v>
      </c>
      <c r="GF82" s="11">
        <v>205</v>
      </c>
      <c r="GG82" s="11">
        <v>33</v>
      </c>
      <c r="GH82" s="26">
        <f t="shared" si="60"/>
        <v>1088</v>
      </c>
      <c r="GI82" s="11">
        <v>0</v>
      </c>
      <c r="GJ82" s="11">
        <v>0</v>
      </c>
      <c r="GK82" s="11">
        <v>0</v>
      </c>
      <c r="GL82" s="11">
        <v>0</v>
      </c>
      <c r="GM82" s="11">
        <v>0</v>
      </c>
      <c r="GN82" s="11">
        <v>0</v>
      </c>
      <c r="GO82" s="11">
        <v>0</v>
      </c>
      <c r="GP82" s="11">
        <v>0</v>
      </c>
      <c r="GQ82" s="11">
        <v>0</v>
      </c>
      <c r="GR82" s="11">
        <v>0</v>
      </c>
      <c r="GS82" s="11">
        <v>0</v>
      </c>
      <c r="GT82" s="11">
        <v>0</v>
      </c>
      <c r="GU82" s="26">
        <f t="shared" si="61"/>
        <v>0</v>
      </c>
      <c r="GV82" s="11">
        <v>0</v>
      </c>
      <c r="GW82" s="11">
        <v>0</v>
      </c>
      <c r="GX82" s="11">
        <v>0</v>
      </c>
      <c r="GY82" s="11">
        <v>0</v>
      </c>
      <c r="GZ82" s="11">
        <v>0</v>
      </c>
      <c r="HA82" s="11">
        <v>0</v>
      </c>
      <c r="HB82" s="11">
        <v>0</v>
      </c>
      <c r="HC82" s="11">
        <v>0</v>
      </c>
      <c r="HD82" s="11">
        <v>0</v>
      </c>
      <c r="HE82" s="11">
        <v>0</v>
      </c>
      <c r="HF82" s="11">
        <v>0</v>
      </c>
      <c r="HG82" s="11">
        <v>0</v>
      </c>
      <c r="HH82" s="26">
        <f t="shared" si="62"/>
        <v>0</v>
      </c>
      <c r="HI82" s="11">
        <v>0</v>
      </c>
      <c r="HJ82" s="11">
        <v>0</v>
      </c>
      <c r="HK82" s="11">
        <v>0</v>
      </c>
      <c r="HL82" s="11">
        <v>0</v>
      </c>
      <c r="HM82" s="11">
        <v>0</v>
      </c>
      <c r="HN82" s="11">
        <v>0</v>
      </c>
      <c r="HO82" s="11">
        <v>0</v>
      </c>
      <c r="HP82" s="11">
        <v>0</v>
      </c>
      <c r="HQ82" s="11">
        <v>0</v>
      </c>
      <c r="HR82" s="11">
        <v>0</v>
      </c>
      <c r="HS82" s="11">
        <v>0</v>
      </c>
      <c r="HT82" s="11">
        <v>0</v>
      </c>
      <c r="HU82" s="26">
        <f t="shared" si="63"/>
        <v>0</v>
      </c>
      <c r="HV82" s="11">
        <v>0</v>
      </c>
      <c r="HW82" s="11">
        <v>0</v>
      </c>
      <c r="HX82" s="11">
        <v>0</v>
      </c>
      <c r="HY82" s="11">
        <v>0</v>
      </c>
      <c r="HZ82" s="11">
        <v>0</v>
      </c>
      <c r="IA82" s="11">
        <v>0</v>
      </c>
      <c r="IB82" s="11">
        <v>0</v>
      </c>
      <c r="IC82" s="11">
        <v>0</v>
      </c>
      <c r="ID82" s="11">
        <v>0</v>
      </c>
      <c r="IE82" s="11">
        <v>0</v>
      </c>
      <c r="IF82" s="11">
        <v>0</v>
      </c>
      <c r="IG82" s="11">
        <v>0</v>
      </c>
      <c r="IH82" s="26">
        <f t="shared" si="64"/>
        <v>0</v>
      </c>
      <c r="II82" s="9">
        <f t="shared" si="65"/>
        <v>63626</v>
      </c>
      <c r="IJ82" s="9">
        <f t="shared" si="66"/>
        <v>0</v>
      </c>
      <c r="IK82" s="11">
        <v>0</v>
      </c>
      <c r="IL82" s="11">
        <v>0</v>
      </c>
      <c r="IM82" s="11">
        <v>69901</v>
      </c>
      <c r="IN82" s="11">
        <v>0</v>
      </c>
      <c r="IO82" s="11">
        <v>0</v>
      </c>
      <c r="IP82" s="11">
        <v>87678</v>
      </c>
      <c r="IQ82" s="11">
        <v>0</v>
      </c>
      <c r="IR82" s="11">
        <v>0</v>
      </c>
      <c r="IS82" s="11">
        <v>60391</v>
      </c>
      <c r="IT82" s="11">
        <v>0</v>
      </c>
      <c r="IU82" s="11">
        <v>0</v>
      </c>
      <c r="IV82" s="11">
        <v>64871</v>
      </c>
      <c r="IW82" s="27">
        <f t="shared" si="67"/>
        <v>282841</v>
      </c>
      <c r="IX82" s="11">
        <v>0</v>
      </c>
      <c r="IY82" s="11">
        <v>0</v>
      </c>
      <c r="IZ82" s="11">
        <v>0</v>
      </c>
      <c r="JA82" s="11">
        <v>0</v>
      </c>
      <c r="JB82" s="11">
        <v>0</v>
      </c>
      <c r="JC82" s="11">
        <v>0</v>
      </c>
      <c r="JD82" s="11">
        <v>0</v>
      </c>
      <c r="JE82" s="11">
        <v>0</v>
      </c>
      <c r="JF82" s="11">
        <v>0</v>
      </c>
      <c r="JG82" s="11">
        <v>0</v>
      </c>
      <c r="JH82" s="11">
        <v>0</v>
      </c>
      <c r="JI82" s="11">
        <v>0</v>
      </c>
      <c r="JJ82" s="27">
        <f t="shared" si="68"/>
        <v>0</v>
      </c>
      <c r="JK82" s="11">
        <v>0</v>
      </c>
      <c r="JL82" s="11">
        <v>0</v>
      </c>
      <c r="JM82" s="11">
        <v>0</v>
      </c>
      <c r="JN82" s="11">
        <v>0</v>
      </c>
      <c r="JO82" s="11">
        <v>0</v>
      </c>
      <c r="JP82" s="11">
        <v>0</v>
      </c>
      <c r="JQ82" s="11">
        <v>0</v>
      </c>
      <c r="JR82" s="11">
        <v>0</v>
      </c>
      <c r="JS82" s="11">
        <v>0</v>
      </c>
      <c r="JT82" s="11">
        <v>0</v>
      </c>
      <c r="JU82" s="11">
        <v>0</v>
      </c>
      <c r="JV82" s="11">
        <v>0</v>
      </c>
      <c r="JW82" s="27">
        <f t="shared" si="69"/>
        <v>0</v>
      </c>
      <c r="JX82" s="11">
        <v>0</v>
      </c>
      <c r="JY82" s="11">
        <v>0</v>
      </c>
      <c r="JZ82" s="11">
        <v>0</v>
      </c>
      <c r="KA82" s="11">
        <v>0</v>
      </c>
      <c r="KB82" s="11">
        <v>0</v>
      </c>
      <c r="KC82" s="11">
        <v>0</v>
      </c>
      <c r="KD82" s="11">
        <v>0</v>
      </c>
      <c r="KE82" s="11">
        <v>0</v>
      </c>
      <c r="KF82" s="11">
        <v>0</v>
      </c>
      <c r="KG82" s="11">
        <v>0</v>
      </c>
      <c r="KH82" s="11">
        <v>0</v>
      </c>
      <c r="KI82" s="11">
        <v>0</v>
      </c>
      <c r="KJ82" s="27">
        <f t="shared" si="70"/>
        <v>0</v>
      </c>
      <c r="KK82" s="11">
        <v>0</v>
      </c>
      <c r="KL82" s="11">
        <v>0</v>
      </c>
      <c r="KM82" s="11">
        <v>0</v>
      </c>
      <c r="KN82" s="11">
        <v>0</v>
      </c>
      <c r="KO82" s="11">
        <v>0</v>
      </c>
      <c r="KP82" s="11">
        <v>0</v>
      </c>
      <c r="KQ82" s="11">
        <v>0</v>
      </c>
      <c r="KR82" s="11">
        <v>0</v>
      </c>
      <c r="KS82" s="11">
        <v>0</v>
      </c>
      <c r="KT82" s="11">
        <v>0</v>
      </c>
      <c r="KU82" s="11">
        <v>0</v>
      </c>
      <c r="KV82" s="11">
        <v>0</v>
      </c>
      <c r="KW82" s="27">
        <f t="shared" si="71"/>
        <v>0</v>
      </c>
      <c r="KX82" s="11">
        <v>0</v>
      </c>
      <c r="KY82" s="11">
        <v>0</v>
      </c>
      <c r="KZ82" s="11">
        <v>0</v>
      </c>
      <c r="LA82" s="11">
        <v>0</v>
      </c>
      <c r="LB82" s="11">
        <v>0</v>
      </c>
      <c r="LC82" s="11">
        <v>0</v>
      </c>
      <c r="LD82" s="11">
        <v>0</v>
      </c>
      <c r="LE82" s="11">
        <v>0</v>
      </c>
      <c r="LF82" s="11">
        <v>0</v>
      </c>
      <c r="LG82" s="11">
        <v>0</v>
      </c>
      <c r="LH82" s="11">
        <v>0</v>
      </c>
      <c r="LI82" s="11">
        <v>0</v>
      </c>
      <c r="LJ82" s="27">
        <f t="shared" si="72"/>
        <v>0</v>
      </c>
      <c r="LK82" s="11">
        <v>0</v>
      </c>
      <c r="LL82" s="11">
        <v>0</v>
      </c>
      <c r="LM82" s="11">
        <v>0</v>
      </c>
      <c r="LN82" s="11">
        <v>0</v>
      </c>
      <c r="LO82" s="11">
        <v>0</v>
      </c>
      <c r="LP82" s="11">
        <v>0</v>
      </c>
      <c r="LQ82" s="11">
        <v>0</v>
      </c>
      <c r="LR82" s="11">
        <v>0</v>
      </c>
      <c r="LS82" s="11">
        <v>0</v>
      </c>
      <c r="LT82" s="11">
        <v>0</v>
      </c>
      <c r="LU82" s="11">
        <v>0</v>
      </c>
      <c r="LV82" s="11">
        <v>0</v>
      </c>
      <c r="LW82" s="27">
        <f t="shared" si="73"/>
        <v>0</v>
      </c>
      <c r="LX82" s="11">
        <v>0</v>
      </c>
      <c r="LY82" s="11">
        <v>0</v>
      </c>
      <c r="LZ82" s="11">
        <v>0</v>
      </c>
      <c r="MA82" s="11">
        <v>0</v>
      </c>
      <c r="MB82" s="11">
        <v>0</v>
      </c>
      <c r="MC82" s="11">
        <v>0</v>
      </c>
      <c r="MD82" s="11">
        <v>0</v>
      </c>
      <c r="ME82" s="11">
        <v>0</v>
      </c>
      <c r="MF82" s="11">
        <v>0</v>
      </c>
      <c r="MG82" s="11">
        <v>0</v>
      </c>
      <c r="MH82" s="11">
        <v>0</v>
      </c>
      <c r="MI82" s="11">
        <v>0</v>
      </c>
      <c r="MJ82" s="27">
        <f t="shared" si="74"/>
        <v>0</v>
      </c>
      <c r="MK82" s="11">
        <v>0</v>
      </c>
      <c r="ML82" s="11">
        <v>0</v>
      </c>
      <c r="MM82" s="11">
        <v>52632</v>
      </c>
      <c r="MN82" s="11">
        <v>0</v>
      </c>
      <c r="MO82" s="11">
        <v>0</v>
      </c>
      <c r="MP82" s="11">
        <v>57883</v>
      </c>
      <c r="MQ82" s="11">
        <v>0</v>
      </c>
      <c r="MR82" s="11">
        <v>0</v>
      </c>
      <c r="MS82" s="11">
        <v>65645</v>
      </c>
      <c r="MT82" s="11">
        <v>0</v>
      </c>
      <c r="MU82" s="11">
        <v>0</v>
      </c>
      <c r="MV82" s="11">
        <v>75244</v>
      </c>
      <c r="MW82" s="27">
        <f t="shared" si="75"/>
        <v>251404</v>
      </c>
      <c r="MX82" s="11">
        <v>0</v>
      </c>
      <c r="MY82" s="11">
        <v>0</v>
      </c>
      <c r="MZ82" s="11">
        <v>0</v>
      </c>
      <c r="NA82" s="11">
        <v>0</v>
      </c>
      <c r="NB82" s="11">
        <v>0</v>
      </c>
      <c r="NC82" s="11">
        <v>0</v>
      </c>
      <c r="ND82" s="11">
        <v>0</v>
      </c>
      <c r="NE82" s="11">
        <v>0</v>
      </c>
      <c r="NF82" s="11">
        <v>0</v>
      </c>
      <c r="NG82" s="11">
        <v>0</v>
      </c>
      <c r="NH82" s="11">
        <v>0</v>
      </c>
      <c r="NI82" s="11">
        <v>0</v>
      </c>
      <c r="NJ82" s="27">
        <f t="shared" si="76"/>
        <v>0</v>
      </c>
      <c r="NK82" s="11">
        <v>0</v>
      </c>
      <c r="NL82" s="11">
        <v>0</v>
      </c>
      <c r="NM82" s="11">
        <v>0</v>
      </c>
      <c r="NN82" s="11">
        <v>0</v>
      </c>
      <c r="NO82" s="11">
        <v>0</v>
      </c>
      <c r="NP82" s="11">
        <v>0</v>
      </c>
      <c r="NQ82" s="11">
        <v>0</v>
      </c>
      <c r="NR82" s="11">
        <v>0</v>
      </c>
      <c r="NS82" s="11">
        <v>0</v>
      </c>
      <c r="NT82" s="11">
        <v>0</v>
      </c>
      <c r="NU82" s="11">
        <v>0</v>
      </c>
      <c r="NV82" s="11">
        <v>0</v>
      </c>
      <c r="NW82" s="27">
        <f t="shared" si="77"/>
        <v>0</v>
      </c>
      <c r="NX82" s="11">
        <v>0</v>
      </c>
      <c r="NY82" s="11">
        <v>0</v>
      </c>
      <c r="NZ82" s="11">
        <v>0</v>
      </c>
      <c r="OA82" s="11">
        <v>0</v>
      </c>
      <c r="OB82" s="11">
        <v>0</v>
      </c>
      <c r="OC82" s="11">
        <v>0</v>
      </c>
      <c r="OD82" s="11">
        <v>0</v>
      </c>
      <c r="OE82" s="11">
        <v>0</v>
      </c>
      <c r="OF82" s="11">
        <v>0</v>
      </c>
      <c r="OG82" s="11">
        <v>0</v>
      </c>
      <c r="OH82" s="11">
        <v>0</v>
      </c>
      <c r="OI82" s="11">
        <v>0</v>
      </c>
      <c r="OJ82" s="27">
        <f t="shared" si="78"/>
        <v>0</v>
      </c>
      <c r="OK82" s="11">
        <v>0</v>
      </c>
      <c r="OL82" s="11">
        <v>0</v>
      </c>
      <c r="OM82" s="11">
        <v>0</v>
      </c>
      <c r="ON82" s="11">
        <v>0</v>
      </c>
      <c r="OO82" s="11">
        <v>0</v>
      </c>
      <c r="OP82" s="11">
        <v>0</v>
      </c>
      <c r="OQ82" s="11">
        <v>0</v>
      </c>
      <c r="OR82" s="11">
        <v>0</v>
      </c>
      <c r="OS82" s="11">
        <v>0</v>
      </c>
      <c r="OT82" s="11">
        <v>0</v>
      </c>
      <c r="OU82" s="11">
        <v>0</v>
      </c>
      <c r="OV82" s="11">
        <v>0</v>
      </c>
      <c r="OW82" s="27">
        <f t="shared" si="79"/>
        <v>0</v>
      </c>
      <c r="OX82" s="11">
        <v>0</v>
      </c>
      <c r="OY82" s="11">
        <v>0</v>
      </c>
      <c r="OZ82" s="11">
        <v>0</v>
      </c>
      <c r="PA82" s="11">
        <v>0</v>
      </c>
      <c r="PB82" s="11">
        <v>0</v>
      </c>
      <c r="PC82" s="11">
        <v>0</v>
      </c>
      <c r="PD82" s="11">
        <v>0</v>
      </c>
      <c r="PE82" s="11">
        <v>0</v>
      </c>
      <c r="PF82" s="11">
        <v>0</v>
      </c>
      <c r="PG82" s="11">
        <v>0</v>
      </c>
      <c r="PH82" s="11">
        <v>0</v>
      </c>
      <c r="PI82" s="11">
        <v>0</v>
      </c>
      <c r="PJ82" s="27">
        <f t="shared" si="80"/>
        <v>0</v>
      </c>
      <c r="PK82" s="11">
        <v>0</v>
      </c>
      <c r="PL82" s="11">
        <v>0</v>
      </c>
      <c r="PM82" s="11">
        <v>0</v>
      </c>
      <c r="PN82" s="11">
        <v>0</v>
      </c>
      <c r="PO82" s="11">
        <v>0</v>
      </c>
      <c r="PP82" s="11">
        <v>0</v>
      </c>
      <c r="PQ82" s="11">
        <v>0</v>
      </c>
      <c r="PR82" s="11">
        <v>0</v>
      </c>
      <c r="PS82" s="11">
        <v>0</v>
      </c>
      <c r="PT82" s="11">
        <v>0</v>
      </c>
      <c r="PU82" s="11">
        <v>0</v>
      </c>
      <c r="PV82" s="11">
        <v>0</v>
      </c>
      <c r="PW82" s="27">
        <f t="shared" si="81"/>
        <v>0</v>
      </c>
      <c r="PX82" s="11">
        <v>0</v>
      </c>
      <c r="PY82" s="11">
        <v>0</v>
      </c>
      <c r="PZ82" s="11">
        <v>0</v>
      </c>
      <c r="QA82" s="11">
        <v>0</v>
      </c>
      <c r="QB82" s="11">
        <v>0</v>
      </c>
      <c r="QC82" s="11">
        <v>0</v>
      </c>
      <c r="QD82" s="11">
        <v>0</v>
      </c>
      <c r="QE82" s="11">
        <v>0</v>
      </c>
      <c r="QF82" s="11">
        <v>0</v>
      </c>
      <c r="QG82" s="11">
        <v>0</v>
      </c>
      <c r="QH82" s="11">
        <v>0</v>
      </c>
      <c r="QI82" s="11">
        <v>0</v>
      </c>
      <c r="QJ82" s="27">
        <f t="shared" si="82"/>
        <v>0</v>
      </c>
      <c r="QK82" s="11">
        <v>0</v>
      </c>
      <c r="QL82" s="11">
        <v>0</v>
      </c>
      <c r="QM82" s="11">
        <v>508530</v>
      </c>
      <c r="QN82" s="11">
        <v>0</v>
      </c>
      <c r="QO82" s="11">
        <v>0</v>
      </c>
      <c r="QP82" s="11">
        <v>58854</v>
      </c>
      <c r="QQ82" s="11">
        <v>0</v>
      </c>
      <c r="QR82" s="11">
        <v>0</v>
      </c>
      <c r="QS82" s="11">
        <v>53081</v>
      </c>
      <c r="QT82" s="11">
        <v>0</v>
      </c>
      <c r="QU82" s="11">
        <v>0</v>
      </c>
      <c r="QV82" s="11">
        <v>48253</v>
      </c>
      <c r="QW82" s="27">
        <f t="shared" si="83"/>
        <v>668718</v>
      </c>
      <c r="QX82" s="11">
        <v>0</v>
      </c>
      <c r="QY82" s="11">
        <v>0</v>
      </c>
      <c r="QZ82" s="11">
        <v>56221</v>
      </c>
      <c r="RA82" s="11">
        <v>0</v>
      </c>
      <c r="RB82" s="11">
        <v>0</v>
      </c>
      <c r="RC82" s="11">
        <v>93250</v>
      </c>
      <c r="RD82" s="11">
        <v>0</v>
      </c>
      <c r="RE82" s="11">
        <v>0</v>
      </c>
      <c r="RF82" s="11">
        <v>87956</v>
      </c>
      <c r="RG82" s="11">
        <v>0</v>
      </c>
      <c r="RH82" s="11">
        <v>0</v>
      </c>
      <c r="RI82" s="11">
        <v>7444</v>
      </c>
      <c r="RJ82" s="27">
        <f t="shared" si="84"/>
        <v>244871</v>
      </c>
      <c r="RK82" s="11">
        <v>0</v>
      </c>
      <c r="RL82" s="11">
        <v>0</v>
      </c>
      <c r="RM82" s="11">
        <v>0</v>
      </c>
      <c r="RN82" s="11">
        <v>0</v>
      </c>
      <c r="RO82" s="11">
        <v>0</v>
      </c>
      <c r="RP82" s="11">
        <v>0</v>
      </c>
      <c r="RQ82" s="11">
        <v>0</v>
      </c>
      <c r="RR82" s="11">
        <v>0</v>
      </c>
      <c r="RS82" s="11">
        <v>0</v>
      </c>
      <c r="RT82" s="11">
        <v>0</v>
      </c>
      <c r="RU82" s="11">
        <v>0</v>
      </c>
      <c r="RV82" s="11">
        <v>0</v>
      </c>
      <c r="RW82" s="27">
        <f t="shared" si="85"/>
        <v>0</v>
      </c>
      <c r="RX82" s="11">
        <v>0</v>
      </c>
      <c r="RY82" s="11">
        <v>0</v>
      </c>
      <c r="RZ82" s="11">
        <v>0</v>
      </c>
      <c r="SA82" s="11">
        <v>0</v>
      </c>
      <c r="SB82" s="11">
        <v>0</v>
      </c>
      <c r="SC82" s="11">
        <v>0</v>
      </c>
      <c r="SD82" s="11">
        <v>0</v>
      </c>
      <c r="SE82" s="11">
        <v>0</v>
      </c>
      <c r="SF82" s="11">
        <v>0</v>
      </c>
      <c r="SG82" s="11">
        <v>0</v>
      </c>
      <c r="SH82" s="11">
        <v>0</v>
      </c>
      <c r="SI82" s="11">
        <v>0</v>
      </c>
      <c r="SJ82" s="27">
        <f t="shared" si="86"/>
        <v>0</v>
      </c>
      <c r="SK82" s="11">
        <v>0</v>
      </c>
      <c r="SL82" s="11">
        <v>0</v>
      </c>
      <c r="SM82" s="11">
        <v>0</v>
      </c>
      <c r="SN82" s="11">
        <v>0</v>
      </c>
      <c r="SO82" s="11">
        <v>0</v>
      </c>
      <c r="SP82" s="11">
        <v>0</v>
      </c>
      <c r="SQ82" s="11">
        <v>0</v>
      </c>
      <c r="SR82" s="11">
        <v>0</v>
      </c>
      <c r="SS82" s="11">
        <v>0</v>
      </c>
      <c r="ST82" s="11">
        <v>0</v>
      </c>
      <c r="SU82" s="11">
        <v>0</v>
      </c>
      <c r="SV82" s="11">
        <v>0</v>
      </c>
      <c r="SW82" s="27">
        <f t="shared" si="87"/>
        <v>0</v>
      </c>
      <c r="SX82" s="11" t="s">
        <v>2722</v>
      </c>
      <c r="SY82" s="11">
        <v>2863</v>
      </c>
      <c r="SZ82" s="11">
        <v>2393</v>
      </c>
      <c r="TA82" s="11">
        <v>2371</v>
      </c>
      <c r="TB82" s="11">
        <v>2875</v>
      </c>
      <c r="TC82" s="11">
        <v>2731</v>
      </c>
      <c r="TD82" s="11">
        <v>2508</v>
      </c>
      <c r="TE82" s="11">
        <v>2753</v>
      </c>
      <c r="TF82" s="11">
        <v>2574</v>
      </c>
      <c r="TG82" s="11">
        <v>1789</v>
      </c>
      <c r="TH82" s="11">
        <v>2639</v>
      </c>
      <c r="TI82" s="11">
        <v>2530</v>
      </c>
      <c r="TJ82" s="11">
        <v>2621</v>
      </c>
      <c r="TK82" s="27">
        <f t="shared" si="88"/>
        <v>30647</v>
      </c>
      <c r="TL82" s="11">
        <v>0</v>
      </c>
      <c r="TM82" s="11">
        <v>0</v>
      </c>
      <c r="TN82" s="11">
        <v>0</v>
      </c>
      <c r="TO82" s="11">
        <v>0</v>
      </c>
      <c r="TP82" s="11">
        <v>0</v>
      </c>
      <c r="TQ82" s="11">
        <v>0</v>
      </c>
      <c r="TR82" s="11">
        <v>0</v>
      </c>
      <c r="TS82" s="11">
        <v>0</v>
      </c>
      <c r="TT82" s="11">
        <v>0</v>
      </c>
      <c r="TU82" s="11">
        <v>0</v>
      </c>
      <c r="TV82" s="11">
        <v>0</v>
      </c>
      <c r="TW82" s="11">
        <v>0</v>
      </c>
      <c r="TX82" s="27">
        <f t="shared" si="89"/>
        <v>0</v>
      </c>
      <c r="TY82" s="11">
        <v>80</v>
      </c>
      <c r="TZ82" s="11">
        <v>12</v>
      </c>
      <c r="UA82" s="11">
        <v>4</v>
      </c>
    </row>
    <row r="83" spans="1:547" ht="16" customHeight="1" x14ac:dyDescent="0.35">
      <c r="A83" s="11" t="s">
        <v>1461</v>
      </c>
      <c r="B83" s="11">
        <v>62798</v>
      </c>
      <c r="C83" s="11">
        <v>21323</v>
      </c>
      <c r="D83" s="11">
        <v>40343</v>
      </c>
      <c r="E83" s="11">
        <v>1132</v>
      </c>
      <c r="F83" s="11">
        <v>70</v>
      </c>
      <c r="G83" s="11">
        <v>231</v>
      </c>
      <c r="H83" s="11">
        <v>237</v>
      </c>
      <c r="I83" s="11">
        <v>214</v>
      </c>
      <c r="J83" s="11">
        <v>149</v>
      </c>
      <c r="K83" s="11">
        <v>227</v>
      </c>
      <c r="L83" s="11">
        <v>297</v>
      </c>
      <c r="M83" s="11">
        <v>282</v>
      </c>
      <c r="N83" s="11">
        <v>199</v>
      </c>
      <c r="O83" s="11">
        <v>230</v>
      </c>
      <c r="P83" s="11" t="s">
        <v>2865</v>
      </c>
      <c r="Q83" s="11">
        <v>284</v>
      </c>
      <c r="R83" s="11">
        <v>307</v>
      </c>
      <c r="S83" s="26">
        <f t="shared" si="45"/>
        <v>2727</v>
      </c>
      <c r="T83" s="11">
        <v>33</v>
      </c>
      <c r="U83" s="11">
        <v>97</v>
      </c>
      <c r="V83" s="11">
        <v>85</v>
      </c>
      <c r="W83" s="11">
        <v>86</v>
      </c>
      <c r="X83" s="11">
        <v>69</v>
      </c>
      <c r="Y83" s="11">
        <v>104</v>
      </c>
      <c r="Z83" s="11">
        <v>136</v>
      </c>
      <c r="AA83" s="11">
        <v>128</v>
      </c>
      <c r="AB83" s="11">
        <v>101</v>
      </c>
      <c r="AC83" s="11">
        <v>104</v>
      </c>
      <c r="AD83" s="11">
        <v>135</v>
      </c>
      <c r="AE83" s="11">
        <v>138</v>
      </c>
      <c r="AF83" s="26">
        <f t="shared" si="46"/>
        <v>1216</v>
      </c>
      <c r="AG83" s="11">
        <v>37</v>
      </c>
      <c r="AH83" s="11">
        <v>133</v>
      </c>
      <c r="AI83" s="11">
        <v>141</v>
      </c>
      <c r="AJ83" s="11">
        <v>128</v>
      </c>
      <c r="AK83" s="11">
        <v>80</v>
      </c>
      <c r="AL83" s="11">
        <v>123</v>
      </c>
      <c r="AM83" s="11">
        <v>159</v>
      </c>
      <c r="AN83" s="11">
        <v>153</v>
      </c>
      <c r="AO83" s="11">
        <v>95</v>
      </c>
      <c r="AP83" s="11">
        <v>121</v>
      </c>
      <c r="AQ83" s="11">
        <v>146</v>
      </c>
      <c r="AR83" s="11">
        <v>168</v>
      </c>
      <c r="AS83" s="26">
        <f t="shared" si="47"/>
        <v>1484</v>
      </c>
      <c r="AT83" s="11">
        <v>0</v>
      </c>
      <c r="AU83" s="11">
        <v>0</v>
      </c>
      <c r="AV83" s="11">
        <v>0</v>
      </c>
      <c r="AW83" s="11">
        <v>0</v>
      </c>
      <c r="AX83" s="11">
        <v>0</v>
      </c>
      <c r="AY83" s="11">
        <v>0</v>
      </c>
      <c r="AZ83" s="11">
        <v>0</v>
      </c>
      <c r="BA83" s="11">
        <v>0</v>
      </c>
      <c r="BB83" s="11">
        <v>0</v>
      </c>
      <c r="BC83" s="11">
        <v>0</v>
      </c>
      <c r="BD83" s="11">
        <v>0</v>
      </c>
      <c r="BE83" s="11">
        <v>0</v>
      </c>
      <c r="BF83" s="26">
        <f t="shared" si="48"/>
        <v>0</v>
      </c>
      <c r="BG83" s="11">
        <v>0</v>
      </c>
      <c r="BH83" s="11">
        <v>1</v>
      </c>
      <c r="BI83" s="11">
        <v>11</v>
      </c>
      <c r="BJ83" s="11">
        <v>0</v>
      </c>
      <c r="BK83" s="11">
        <v>0</v>
      </c>
      <c r="BL83" s="11">
        <v>0</v>
      </c>
      <c r="BM83" s="11">
        <v>2</v>
      </c>
      <c r="BN83" s="11">
        <v>1</v>
      </c>
      <c r="BO83" s="11">
        <v>3</v>
      </c>
      <c r="BP83" s="11">
        <v>5</v>
      </c>
      <c r="BQ83" s="11">
        <v>3</v>
      </c>
      <c r="BR83" s="11">
        <v>1</v>
      </c>
      <c r="BS83" s="26">
        <f t="shared" si="49"/>
        <v>27</v>
      </c>
      <c r="BT83" s="11">
        <v>0</v>
      </c>
      <c r="BU83" s="11">
        <v>0</v>
      </c>
      <c r="BV83" s="11">
        <v>0</v>
      </c>
      <c r="BW83" s="11">
        <v>0</v>
      </c>
      <c r="BX83" s="11">
        <v>0</v>
      </c>
      <c r="BY83" s="11">
        <v>0</v>
      </c>
      <c r="BZ83" s="11">
        <v>0</v>
      </c>
      <c r="CA83" s="11">
        <v>0</v>
      </c>
      <c r="CB83" s="11">
        <v>0</v>
      </c>
      <c r="CC83" s="11">
        <v>0</v>
      </c>
      <c r="CD83" s="11">
        <v>0</v>
      </c>
      <c r="CE83" s="11">
        <v>0</v>
      </c>
      <c r="CF83" s="26">
        <f t="shared" si="50"/>
        <v>0</v>
      </c>
      <c r="CG83" s="11">
        <v>0</v>
      </c>
      <c r="CH83" s="11">
        <v>0</v>
      </c>
      <c r="CI83" s="11">
        <v>0</v>
      </c>
      <c r="CJ83" s="11">
        <v>0</v>
      </c>
      <c r="CK83" s="11">
        <v>0</v>
      </c>
      <c r="CL83" s="11">
        <v>0</v>
      </c>
      <c r="CM83" s="11">
        <v>0</v>
      </c>
      <c r="CN83" s="11">
        <v>0</v>
      </c>
      <c r="CO83" s="11">
        <v>0</v>
      </c>
      <c r="CP83" s="11">
        <v>0</v>
      </c>
      <c r="CQ83" s="11">
        <v>0</v>
      </c>
      <c r="CR83" s="11">
        <v>0</v>
      </c>
      <c r="CS83" s="26">
        <f t="shared" si="51"/>
        <v>0</v>
      </c>
      <c r="CT83" s="11">
        <v>0</v>
      </c>
      <c r="CU83" s="11">
        <v>0</v>
      </c>
      <c r="CV83" s="11">
        <v>0</v>
      </c>
      <c r="CW83" s="11">
        <v>0</v>
      </c>
      <c r="CX83" s="11">
        <v>0</v>
      </c>
      <c r="CY83" s="11">
        <v>0</v>
      </c>
      <c r="CZ83" s="11">
        <v>0</v>
      </c>
      <c r="DA83" s="11">
        <v>0</v>
      </c>
      <c r="DB83" s="11">
        <v>0</v>
      </c>
      <c r="DC83" s="11">
        <v>0</v>
      </c>
      <c r="DD83" s="11">
        <v>0</v>
      </c>
      <c r="DE83" s="11">
        <v>0</v>
      </c>
      <c r="DF83" s="26">
        <f t="shared" si="52"/>
        <v>0</v>
      </c>
      <c r="DG83" s="11">
        <v>0</v>
      </c>
      <c r="DH83" s="11">
        <v>0</v>
      </c>
      <c r="DI83" s="11">
        <v>0</v>
      </c>
      <c r="DJ83" s="11">
        <v>0</v>
      </c>
      <c r="DK83" s="11">
        <v>0</v>
      </c>
      <c r="DL83" s="11">
        <v>0</v>
      </c>
      <c r="DM83" s="11">
        <v>0</v>
      </c>
      <c r="DN83" s="11">
        <v>0</v>
      </c>
      <c r="DO83" s="11">
        <v>0</v>
      </c>
      <c r="DP83" s="11">
        <v>0</v>
      </c>
      <c r="DQ83" s="11">
        <v>0</v>
      </c>
      <c r="DR83" s="11">
        <v>0</v>
      </c>
      <c r="DS83" s="26">
        <f t="shared" si="53"/>
        <v>0</v>
      </c>
      <c r="DT83" s="11">
        <v>0</v>
      </c>
      <c r="DU83" s="11">
        <v>0</v>
      </c>
      <c r="DV83" s="11">
        <v>0</v>
      </c>
      <c r="DW83" s="11">
        <v>0</v>
      </c>
      <c r="DX83" s="11">
        <v>0</v>
      </c>
      <c r="DY83" s="11">
        <v>0</v>
      </c>
      <c r="DZ83" s="11">
        <v>0</v>
      </c>
      <c r="EA83" s="11">
        <v>0</v>
      </c>
      <c r="EB83" s="11">
        <v>0</v>
      </c>
      <c r="EC83" s="11">
        <v>0</v>
      </c>
      <c r="ED83" s="11">
        <v>0</v>
      </c>
      <c r="EE83" s="11">
        <v>0</v>
      </c>
      <c r="EF83" s="26">
        <f t="shared" si="54"/>
        <v>0</v>
      </c>
      <c r="EG83" s="9">
        <f t="shared" si="55"/>
        <v>2727</v>
      </c>
      <c r="EH83" s="9">
        <f t="shared" si="56"/>
        <v>0</v>
      </c>
      <c r="EI83" s="11">
        <v>1124</v>
      </c>
      <c r="EJ83" s="11">
        <v>4587</v>
      </c>
      <c r="EK83" s="11">
        <v>4553</v>
      </c>
      <c r="EL83" s="11">
        <v>6932</v>
      </c>
      <c r="EM83" s="11">
        <v>2906</v>
      </c>
      <c r="EN83" s="11">
        <v>4184</v>
      </c>
      <c r="EO83" s="11">
        <v>6241</v>
      </c>
      <c r="EP83" s="11">
        <v>4855</v>
      </c>
      <c r="EQ83" s="11">
        <v>4553</v>
      </c>
      <c r="ER83" s="11">
        <v>3676</v>
      </c>
      <c r="ES83" s="11">
        <v>4924</v>
      </c>
      <c r="ET83" s="11">
        <v>4553</v>
      </c>
      <c r="EU83" s="26">
        <f t="shared" si="57"/>
        <v>53088</v>
      </c>
      <c r="EV83" s="11">
        <v>578</v>
      </c>
      <c r="EW83" s="11">
        <v>2312</v>
      </c>
      <c r="EX83" s="11">
        <v>2242</v>
      </c>
      <c r="EY83" s="11">
        <v>3872</v>
      </c>
      <c r="EZ83" s="11">
        <v>1826</v>
      </c>
      <c r="FA83" s="11">
        <v>2614</v>
      </c>
      <c r="FB83" s="11">
        <v>3966</v>
      </c>
      <c r="FC83" s="11">
        <v>2433</v>
      </c>
      <c r="FD83" s="11">
        <v>2631</v>
      </c>
      <c r="FE83" s="11">
        <v>2057</v>
      </c>
      <c r="FF83" s="11">
        <v>3122</v>
      </c>
      <c r="FG83" s="11">
        <v>2149</v>
      </c>
      <c r="FH83" s="26">
        <f t="shared" si="58"/>
        <v>29802</v>
      </c>
      <c r="FI83" s="11">
        <v>546</v>
      </c>
      <c r="FJ83" s="11">
        <v>2275</v>
      </c>
      <c r="FK83" s="11">
        <v>2311</v>
      </c>
      <c r="FL83" s="11">
        <v>3060</v>
      </c>
      <c r="FM83" s="11">
        <v>1080</v>
      </c>
      <c r="FN83" s="11">
        <v>1570</v>
      </c>
      <c r="FO83" s="11">
        <v>2275</v>
      </c>
      <c r="FP83" s="11">
        <v>2422</v>
      </c>
      <c r="FQ83" s="11">
        <v>1922</v>
      </c>
      <c r="FR83" s="11">
        <v>1619</v>
      </c>
      <c r="FS83" s="11">
        <v>1802</v>
      </c>
      <c r="FT83" s="11">
        <v>2266</v>
      </c>
      <c r="FU83" s="26">
        <f t="shared" si="59"/>
        <v>23148</v>
      </c>
      <c r="FV83" s="11">
        <v>0</v>
      </c>
      <c r="FW83" s="11">
        <v>0</v>
      </c>
      <c r="FX83" s="11">
        <v>0</v>
      </c>
      <c r="FY83" s="11">
        <v>0</v>
      </c>
      <c r="FZ83" s="11">
        <v>0</v>
      </c>
      <c r="GA83" s="11">
        <v>0</v>
      </c>
      <c r="GB83" s="11">
        <v>0</v>
      </c>
      <c r="GC83" s="11">
        <v>0</v>
      </c>
      <c r="GD83" s="11">
        <v>0</v>
      </c>
      <c r="GE83" s="11">
        <v>0</v>
      </c>
      <c r="GF83" s="11">
        <v>0</v>
      </c>
      <c r="GG83" s="11">
        <v>0</v>
      </c>
      <c r="GH83" s="26">
        <f t="shared" si="60"/>
        <v>0</v>
      </c>
      <c r="GI83" s="11">
        <v>0</v>
      </c>
      <c r="GJ83" s="11">
        <v>0</v>
      </c>
      <c r="GK83" s="11">
        <v>0</v>
      </c>
      <c r="GL83" s="11">
        <v>0</v>
      </c>
      <c r="GM83" s="11">
        <v>0</v>
      </c>
      <c r="GN83" s="11">
        <v>0</v>
      </c>
      <c r="GO83" s="11">
        <v>0</v>
      </c>
      <c r="GP83" s="11">
        <v>0</v>
      </c>
      <c r="GQ83" s="11">
        <v>0</v>
      </c>
      <c r="GR83" s="11">
        <v>0</v>
      </c>
      <c r="GS83" s="11">
        <v>0</v>
      </c>
      <c r="GT83" s="11">
        <v>0</v>
      </c>
      <c r="GU83" s="26">
        <f t="shared" si="61"/>
        <v>0</v>
      </c>
      <c r="GV83" s="11">
        <v>0</v>
      </c>
      <c r="GW83" s="11">
        <v>0</v>
      </c>
      <c r="GX83" s="11">
        <v>0</v>
      </c>
      <c r="GY83" s="11">
        <v>0</v>
      </c>
      <c r="GZ83" s="11">
        <v>0</v>
      </c>
      <c r="HA83" s="11">
        <v>0</v>
      </c>
      <c r="HB83" s="11">
        <v>0</v>
      </c>
      <c r="HC83" s="11">
        <v>0</v>
      </c>
      <c r="HD83" s="11">
        <v>0</v>
      </c>
      <c r="HE83" s="11">
        <v>0</v>
      </c>
      <c r="HF83" s="11">
        <v>0</v>
      </c>
      <c r="HG83" s="11">
        <v>0</v>
      </c>
      <c r="HH83" s="26">
        <f t="shared" si="62"/>
        <v>0</v>
      </c>
      <c r="HI83" s="11">
        <v>0</v>
      </c>
      <c r="HJ83" s="11">
        <v>0</v>
      </c>
      <c r="HK83" s="11">
        <v>0</v>
      </c>
      <c r="HL83" s="11">
        <v>0</v>
      </c>
      <c r="HM83" s="11">
        <v>0</v>
      </c>
      <c r="HN83" s="11">
        <v>0</v>
      </c>
      <c r="HO83" s="11">
        <v>0</v>
      </c>
      <c r="HP83" s="11">
        <v>0</v>
      </c>
      <c r="HQ83" s="11">
        <v>0</v>
      </c>
      <c r="HR83" s="11">
        <v>0</v>
      </c>
      <c r="HS83" s="11">
        <v>0</v>
      </c>
      <c r="HT83" s="11">
        <v>0</v>
      </c>
      <c r="HU83" s="26">
        <f t="shared" si="63"/>
        <v>0</v>
      </c>
      <c r="HV83" s="11">
        <v>0</v>
      </c>
      <c r="HW83" s="11">
        <v>0</v>
      </c>
      <c r="HX83" s="11">
        <v>0</v>
      </c>
      <c r="HY83" s="11">
        <v>0</v>
      </c>
      <c r="HZ83" s="11">
        <v>0</v>
      </c>
      <c r="IA83" s="11">
        <v>0</v>
      </c>
      <c r="IB83" s="11">
        <v>0</v>
      </c>
      <c r="IC83" s="11">
        <v>0</v>
      </c>
      <c r="ID83" s="11">
        <v>0</v>
      </c>
      <c r="IE83" s="11">
        <v>0</v>
      </c>
      <c r="IF83" s="11">
        <v>0</v>
      </c>
      <c r="IG83" s="11">
        <v>0</v>
      </c>
      <c r="IH83" s="26">
        <f t="shared" si="64"/>
        <v>0</v>
      </c>
      <c r="II83" s="9">
        <f t="shared" si="65"/>
        <v>52950</v>
      </c>
      <c r="IJ83" s="9">
        <f t="shared" si="66"/>
        <v>0</v>
      </c>
      <c r="IK83" s="11">
        <v>83418</v>
      </c>
      <c r="IL83" s="11">
        <v>76914</v>
      </c>
      <c r="IM83" s="11">
        <v>73312</v>
      </c>
      <c r="IN83" s="11">
        <v>79278</v>
      </c>
      <c r="IO83" s="11">
        <v>81312</v>
      </c>
      <c r="IP83" s="11">
        <v>73296</v>
      </c>
      <c r="IQ83" s="11">
        <v>80710</v>
      </c>
      <c r="IR83" s="11">
        <v>75885</v>
      </c>
      <c r="IS83" s="11">
        <v>53217</v>
      </c>
      <c r="IT83" s="11">
        <v>72890</v>
      </c>
      <c r="IU83" s="11">
        <v>72121</v>
      </c>
      <c r="IV83" s="11">
        <v>75819</v>
      </c>
      <c r="IW83" s="27">
        <f t="shared" si="67"/>
        <v>898172</v>
      </c>
      <c r="IX83" s="11">
        <v>42848</v>
      </c>
      <c r="IY83" s="11">
        <v>40526</v>
      </c>
      <c r="IZ83" s="11">
        <v>38959</v>
      </c>
      <c r="JA83" s="11">
        <v>40740</v>
      </c>
      <c r="JB83" s="11">
        <v>40254</v>
      </c>
      <c r="JC83" s="11">
        <v>37567</v>
      </c>
      <c r="JD83" s="11">
        <v>40751</v>
      </c>
      <c r="JE83" s="11">
        <v>39477</v>
      </c>
      <c r="JF83" s="11">
        <v>28723</v>
      </c>
      <c r="JG83" s="11">
        <v>38908</v>
      </c>
      <c r="JH83" s="11">
        <v>36771</v>
      </c>
      <c r="JI83" s="11">
        <v>39979</v>
      </c>
      <c r="JJ83" s="27">
        <f t="shared" si="68"/>
        <v>465503</v>
      </c>
      <c r="JK83" s="11">
        <v>39995</v>
      </c>
      <c r="JL83" s="11">
        <v>35798</v>
      </c>
      <c r="JM83" s="11">
        <v>33882</v>
      </c>
      <c r="JN83" s="11">
        <v>38056</v>
      </c>
      <c r="JO83" s="11">
        <v>40469</v>
      </c>
      <c r="JP83" s="11">
        <v>35111</v>
      </c>
      <c r="JQ83" s="11">
        <v>39348</v>
      </c>
      <c r="JR83" s="11">
        <v>35834</v>
      </c>
      <c r="JS83" s="11">
        <v>24069</v>
      </c>
      <c r="JT83" s="11">
        <v>33469</v>
      </c>
      <c r="JU83" s="11">
        <v>34974</v>
      </c>
      <c r="JV83" s="11">
        <v>35295</v>
      </c>
      <c r="JW83" s="27">
        <f t="shared" si="69"/>
        <v>426300</v>
      </c>
      <c r="JX83" s="11">
        <v>575</v>
      </c>
      <c r="JY83" s="11">
        <v>590</v>
      </c>
      <c r="JZ83" s="11">
        <v>471</v>
      </c>
      <c r="KA83" s="11">
        <v>482</v>
      </c>
      <c r="KB83" s="11">
        <v>589</v>
      </c>
      <c r="KC83" s="11">
        <v>618</v>
      </c>
      <c r="KD83" s="11">
        <v>611</v>
      </c>
      <c r="KE83" s="11">
        <v>574</v>
      </c>
      <c r="KF83" s="11">
        <v>425</v>
      </c>
      <c r="KG83" s="11">
        <v>513</v>
      </c>
      <c r="KH83" s="11">
        <v>376</v>
      </c>
      <c r="KI83" s="11">
        <v>545</v>
      </c>
      <c r="KJ83" s="27">
        <f t="shared" si="70"/>
        <v>6369</v>
      </c>
      <c r="KK83" s="11">
        <v>782</v>
      </c>
      <c r="KL83" s="11">
        <v>708</v>
      </c>
      <c r="KM83" s="11">
        <v>727</v>
      </c>
      <c r="KN83" s="11">
        <v>763</v>
      </c>
      <c r="KO83" s="11">
        <v>778</v>
      </c>
      <c r="KP83" s="11">
        <v>672</v>
      </c>
      <c r="KQ83" s="11">
        <v>732</v>
      </c>
      <c r="KR83" s="11">
        <v>720</v>
      </c>
      <c r="KS83" s="11">
        <v>517</v>
      </c>
      <c r="KT83" s="11">
        <v>660</v>
      </c>
      <c r="KU83" s="11">
        <v>693</v>
      </c>
      <c r="KV83" s="11">
        <v>682</v>
      </c>
      <c r="KW83" s="27">
        <f t="shared" si="71"/>
        <v>8434</v>
      </c>
      <c r="KX83" s="11">
        <v>664</v>
      </c>
      <c r="KY83" s="11">
        <v>572</v>
      </c>
      <c r="KZ83" s="11">
        <v>621</v>
      </c>
      <c r="LA83" s="11">
        <v>642</v>
      </c>
      <c r="LB83" s="11">
        <v>657</v>
      </c>
      <c r="LC83" s="11">
        <v>586</v>
      </c>
      <c r="LD83" s="11">
        <v>640</v>
      </c>
      <c r="LE83" s="11">
        <v>623</v>
      </c>
      <c r="LF83" s="11">
        <v>457</v>
      </c>
      <c r="LG83" s="11">
        <v>587</v>
      </c>
      <c r="LH83" s="11">
        <v>602</v>
      </c>
      <c r="LI83" s="11">
        <v>622</v>
      </c>
      <c r="LJ83" s="27">
        <f t="shared" si="72"/>
        <v>7273</v>
      </c>
      <c r="LK83" s="11">
        <v>118</v>
      </c>
      <c r="LL83" s="11">
        <v>136</v>
      </c>
      <c r="LM83" s="11">
        <v>106</v>
      </c>
      <c r="LN83" s="11">
        <v>121</v>
      </c>
      <c r="LO83" s="11">
        <v>121</v>
      </c>
      <c r="LP83" s="11">
        <v>86</v>
      </c>
      <c r="LQ83" s="11">
        <v>92</v>
      </c>
      <c r="LR83" s="11">
        <v>97</v>
      </c>
      <c r="LS83" s="11">
        <v>60</v>
      </c>
      <c r="LT83" s="11">
        <v>73</v>
      </c>
      <c r="LU83" s="11">
        <v>91</v>
      </c>
      <c r="LV83" s="11">
        <v>60</v>
      </c>
      <c r="LW83" s="27">
        <f t="shared" si="73"/>
        <v>1161</v>
      </c>
      <c r="LX83" s="11">
        <v>0</v>
      </c>
      <c r="LY83" s="11">
        <v>0</v>
      </c>
      <c r="LZ83" s="11">
        <v>0</v>
      </c>
      <c r="MA83" s="11">
        <v>0</v>
      </c>
      <c r="MB83" s="11">
        <v>0</v>
      </c>
      <c r="MC83" s="11">
        <v>0</v>
      </c>
      <c r="MD83" s="11">
        <v>0</v>
      </c>
      <c r="ME83" s="11">
        <v>0</v>
      </c>
      <c r="MF83" s="11">
        <v>0</v>
      </c>
      <c r="MG83" s="11">
        <v>0</v>
      </c>
      <c r="MH83" s="11">
        <v>0</v>
      </c>
      <c r="MI83" s="11">
        <v>0</v>
      </c>
      <c r="MJ83" s="27">
        <f t="shared" si="74"/>
        <v>0</v>
      </c>
      <c r="MK83" s="11">
        <v>3992</v>
      </c>
      <c r="ML83" s="11">
        <v>3911</v>
      </c>
      <c r="MM83" s="11">
        <v>3905</v>
      </c>
      <c r="MN83" s="11">
        <v>3977</v>
      </c>
      <c r="MO83" s="11">
        <v>4208</v>
      </c>
      <c r="MP83" s="11">
        <v>3744</v>
      </c>
      <c r="MQ83" s="11">
        <v>3966</v>
      </c>
      <c r="MR83" s="11">
        <v>3568</v>
      </c>
      <c r="MS83" s="11">
        <v>3695</v>
      </c>
      <c r="MT83" s="11">
        <v>3894</v>
      </c>
      <c r="MU83" s="11">
        <v>3698</v>
      </c>
      <c r="MV83" s="11">
        <v>3824</v>
      </c>
      <c r="MW83" s="27">
        <f t="shared" si="75"/>
        <v>46382</v>
      </c>
      <c r="MX83" s="11">
        <v>3562</v>
      </c>
      <c r="MY83" s="11">
        <v>3523</v>
      </c>
      <c r="MZ83" s="11">
        <v>3579</v>
      </c>
      <c r="NA83" s="11">
        <v>3536</v>
      </c>
      <c r="NB83" s="11">
        <v>3716</v>
      </c>
      <c r="NC83" s="11">
        <v>3534</v>
      </c>
      <c r="ND83" s="11">
        <v>3578</v>
      </c>
      <c r="NE83" s="11">
        <v>3257</v>
      </c>
      <c r="NF83" s="11">
        <v>3309</v>
      </c>
      <c r="NG83" s="11">
        <v>3531</v>
      </c>
      <c r="NH83" s="11">
        <v>3228</v>
      </c>
      <c r="NI83" s="11">
        <v>3422</v>
      </c>
      <c r="NJ83" s="27">
        <f t="shared" si="76"/>
        <v>41775</v>
      </c>
      <c r="NK83" s="11">
        <v>216</v>
      </c>
      <c r="NL83" s="11">
        <v>246</v>
      </c>
      <c r="NM83" s="11">
        <v>193</v>
      </c>
      <c r="NN83" s="11">
        <v>250</v>
      </c>
      <c r="NO83" s="11">
        <v>339</v>
      </c>
      <c r="NP83" s="11">
        <v>283</v>
      </c>
      <c r="NQ83" s="11">
        <v>287</v>
      </c>
      <c r="NR83" s="11">
        <v>217</v>
      </c>
      <c r="NS83" s="11">
        <v>267</v>
      </c>
      <c r="NT83" s="11">
        <v>238</v>
      </c>
      <c r="NU83" s="11">
        <v>311</v>
      </c>
      <c r="NV83" s="11">
        <v>247</v>
      </c>
      <c r="NW83" s="27">
        <f t="shared" si="77"/>
        <v>3094</v>
      </c>
      <c r="NX83" s="11">
        <v>214</v>
      </c>
      <c r="NY83" s="11">
        <v>142</v>
      </c>
      <c r="NZ83" s="11">
        <v>133</v>
      </c>
      <c r="OA83" s="11">
        <v>191</v>
      </c>
      <c r="OB83" s="11">
        <v>153</v>
      </c>
      <c r="OC83" s="11">
        <v>127</v>
      </c>
      <c r="OD83" s="11">
        <v>101</v>
      </c>
      <c r="OE83" s="11">
        <v>94</v>
      </c>
      <c r="OF83" s="11">
        <v>119</v>
      </c>
      <c r="OG83" s="11">
        <v>125</v>
      </c>
      <c r="OH83" s="11">
        <v>159</v>
      </c>
      <c r="OI83" s="11">
        <v>155</v>
      </c>
      <c r="OJ83" s="27">
        <f t="shared" si="78"/>
        <v>1713</v>
      </c>
      <c r="OK83" s="11">
        <v>2734</v>
      </c>
      <c r="OL83" s="11">
        <v>2684</v>
      </c>
      <c r="OM83" s="11">
        <v>2598</v>
      </c>
      <c r="ON83" s="11">
        <v>2951</v>
      </c>
      <c r="OO83" s="11">
        <v>3102</v>
      </c>
      <c r="OP83" s="11">
        <v>2807</v>
      </c>
      <c r="OQ83" s="11">
        <v>3090</v>
      </c>
      <c r="OR83" s="11">
        <v>2859</v>
      </c>
      <c r="OS83" s="11">
        <v>2982</v>
      </c>
      <c r="OT83" s="11">
        <v>3235</v>
      </c>
      <c r="OU83" s="11">
        <v>3150</v>
      </c>
      <c r="OV83" s="11">
        <v>3359</v>
      </c>
      <c r="OW83" s="27">
        <f t="shared" si="79"/>
        <v>35551</v>
      </c>
      <c r="OX83" s="11">
        <v>2195</v>
      </c>
      <c r="OY83" s="11">
        <v>2199</v>
      </c>
      <c r="OZ83" s="11">
        <v>2162</v>
      </c>
      <c r="PA83" s="11">
        <v>2423</v>
      </c>
      <c r="PB83" s="11">
        <v>2471</v>
      </c>
      <c r="PC83" s="11">
        <v>2438</v>
      </c>
      <c r="PD83" s="11">
        <v>2564</v>
      </c>
      <c r="PE83" s="11">
        <v>2454</v>
      </c>
      <c r="PF83" s="11">
        <v>25550</v>
      </c>
      <c r="PG83" s="11">
        <v>2839</v>
      </c>
      <c r="PH83" s="11">
        <v>2693</v>
      </c>
      <c r="PI83" s="11">
        <v>2861</v>
      </c>
      <c r="PJ83" s="27">
        <f t="shared" si="80"/>
        <v>52849</v>
      </c>
      <c r="PK83" s="11">
        <v>451</v>
      </c>
      <c r="PL83" s="11">
        <v>387</v>
      </c>
      <c r="PM83" s="11">
        <v>377</v>
      </c>
      <c r="PN83" s="11">
        <v>456</v>
      </c>
      <c r="PO83" s="11">
        <v>549</v>
      </c>
      <c r="PP83" s="11">
        <v>289</v>
      </c>
      <c r="PQ83" s="11">
        <v>430</v>
      </c>
      <c r="PR83" s="11">
        <v>336</v>
      </c>
      <c r="PS83" s="11">
        <v>369</v>
      </c>
      <c r="PT83" s="11">
        <v>322</v>
      </c>
      <c r="PU83" s="11">
        <v>359</v>
      </c>
      <c r="PV83" s="11">
        <v>409</v>
      </c>
      <c r="PW83" s="27">
        <f t="shared" si="81"/>
        <v>4734</v>
      </c>
      <c r="PX83" s="11">
        <v>88</v>
      </c>
      <c r="PY83" s="11">
        <v>98</v>
      </c>
      <c r="PZ83" s="11">
        <v>59</v>
      </c>
      <c r="QA83" s="11">
        <v>72</v>
      </c>
      <c r="QB83" s="11">
        <v>82</v>
      </c>
      <c r="QC83" s="11">
        <v>80</v>
      </c>
      <c r="QD83" s="11">
        <v>96</v>
      </c>
      <c r="QE83" s="11">
        <v>69</v>
      </c>
      <c r="QF83" s="11">
        <v>63</v>
      </c>
      <c r="QG83" s="11">
        <v>74</v>
      </c>
      <c r="QH83" s="11">
        <v>98</v>
      </c>
      <c r="QI83" s="11">
        <v>89</v>
      </c>
      <c r="QJ83" s="27">
        <f t="shared" si="82"/>
        <v>968</v>
      </c>
      <c r="QK83" s="11">
        <v>19893</v>
      </c>
      <c r="QL83" s="11">
        <v>20294</v>
      </c>
      <c r="QM83" s="11">
        <v>21655</v>
      </c>
      <c r="QN83" s="11">
        <v>23762</v>
      </c>
      <c r="QO83" s="11">
        <v>22190</v>
      </c>
      <c r="QP83" s="11">
        <v>27225</v>
      </c>
      <c r="QQ83" s="11">
        <v>31175</v>
      </c>
      <c r="QR83" s="11">
        <v>28157</v>
      </c>
      <c r="QS83" s="11">
        <v>22132</v>
      </c>
      <c r="QT83" s="11">
        <v>27177</v>
      </c>
      <c r="QU83" s="11">
        <v>26759</v>
      </c>
      <c r="QV83" s="11">
        <v>29887</v>
      </c>
      <c r="QW83" s="27">
        <f t="shared" si="83"/>
        <v>300306</v>
      </c>
      <c r="QX83" s="11">
        <v>49691</v>
      </c>
      <c r="QY83" s="11">
        <v>56370</v>
      </c>
      <c r="QZ83" s="11">
        <v>50818</v>
      </c>
      <c r="RA83" s="11">
        <v>58809</v>
      </c>
      <c r="RB83" s="11">
        <v>62701</v>
      </c>
      <c r="RC83" s="11">
        <v>56311</v>
      </c>
      <c r="RD83" s="11">
        <v>64025</v>
      </c>
      <c r="RE83" s="11">
        <v>53764</v>
      </c>
      <c r="RF83" s="11">
        <v>47053</v>
      </c>
      <c r="RG83" s="11">
        <v>49936</v>
      </c>
      <c r="RH83" s="11">
        <v>54936</v>
      </c>
      <c r="RI83" s="11">
        <v>55607</v>
      </c>
      <c r="RJ83" s="27">
        <f t="shared" si="84"/>
        <v>660021</v>
      </c>
      <c r="RK83" s="11">
        <v>0</v>
      </c>
      <c r="RL83" s="11">
        <v>0</v>
      </c>
      <c r="RM83" s="11">
        <v>0</v>
      </c>
      <c r="RN83" s="11">
        <v>0</v>
      </c>
      <c r="RO83" s="11">
        <v>0</v>
      </c>
      <c r="RP83" s="11">
        <v>0</v>
      </c>
      <c r="RQ83" s="11">
        <v>0</v>
      </c>
      <c r="RR83" s="11">
        <v>0</v>
      </c>
      <c r="RS83" s="11">
        <v>0</v>
      </c>
      <c r="RT83" s="11">
        <v>0</v>
      </c>
      <c r="RU83" s="11">
        <v>0</v>
      </c>
      <c r="RV83" s="11">
        <v>0</v>
      </c>
      <c r="RW83" s="27">
        <f t="shared" si="85"/>
        <v>0</v>
      </c>
      <c r="RX83" s="11">
        <v>0</v>
      </c>
      <c r="RY83" s="11">
        <v>0</v>
      </c>
      <c r="RZ83" s="11">
        <v>0</v>
      </c>
      <c r="SA83" s="11">
        <v>0</v>
      </c>
      <c r="SB83" s="11">
        <v>0</v>
      </c>
      <c r="SC83" s="11">
        <v>0</v>
      </c>
      <c r="SD83" s="11">
        <v>0</v>
      </c>
      <c r="SE83" s="11">
        <v>0</v>
      </c>
      <c r="SF83" s="11">
        <v>0</v>
      </c>
      <c r="SG83" s="11">
        <v>0</v>
      </c>
      <c r="SH83" s="11">
        <v>0</v>
      </c>
      <c r="SI83" s="11">
        <v>0</v>
      </c>
      <c r="SJ83" s="27">
        <f t="shared" si="86"/>
        <v>0</v>
      </c>
      <c r="SK83" s="11">
        <v>1951</v>
      </c>
      <c r="SL83" s="11">
        <v>1704</v>
      </c>
      <c r="SM83" s="11">
        <v>1615</v>
      </c>
      <c r="SN83" s="11">
        <v>1806</v>
      </c>
      <c r="SO83" s="11">
        <v>1720</v>
      </c>
      <c r="SP83" s="11">
        <v>1703</v>
      </c>
      <c r="SQ83" s="11">
        <v>1752</v>
      </c>
      <c r="SR83" s="11">
        <v>1752</v>
      </c>
      <c r="SS83" s="11">
        <v>1343</v>
      </c>
      <c r="ST83" s="11">
        <v>1475</v>
      </c>
      <c r="SU83" s="11">
        <v>1727</v>
      </c>
      <c r="SV83" s="11">
        <v>1744</v>
      </c>
      <c r="SW83" s="27">
        <f t="shared" si="87"/>
        <v>20292</v>
      </c>
      <c r="SX83" s="11" t="s">
        <v>2723</v>
      </c>
      <c r="SY83" s="11">
        <v>7008</v>
      </c>
      <c r="SZ83" s="11">
        <v>6677</v>
      </c>
      <c r="TA83" s="11">
        <v>5973</v>
      </c>
      <c r="TB83" s="11">
        <v>6963</v>
      </c>
      <c r="TC83" s="11">
        <v>6509</v>
      </c>
      <c r="TD83" s="11">
        <v>6620</v>
      </c>
      <c r="TE83" s="11">
        <v>6846</v>
      </c>
      <c r="TF83" s="11">
        <v>6117</v>
      </c>
      <c r="TG83" s="11">
        <v>4484</v>
      </c>
      <c r="TH83" s="11">
        <v>5719</v>
      </c>
      <c r="TI83" s="11">
        <v>6083</v>
      </c>
      <c r="TJ83" s="11">
        <v>6525</v>
      </c>
      <c r="TK83" s="27">
        <f t="shared" si="88"/>
        <v>75524</v>
      </c>
      <c r="TL83" s="11">
        <v>0</v>
      </c>
      <c r="TM83" s="11">
        <v>0</v>
      </c>
      <c r="TN83" s="11">
        <v>0</v>
      </c>
      <c r="TO83" s="11">
        <v>0</v>
      </c>
      <c r="TP83" s="11">
        <v>0</v>
      </c>
      <c r="TQ83" s="11">
        <v>0</v>
      </c>
      <c r="TR83" s="11">
        <v>0</v>
      </c>
      <c r="TS83" s="11">
        <v>0</v>
      </c>
      <c r="TT83" s="11">
        <v>0</v>
      </c>
      <c r="TU83" s="11">
        <v>0</v>
      </c>
      <c r="TV83" s="11">
        <v>0</v>
      </c>
      <c r="TW83" s="11">
        <v>0</v>
      </c>
      <c r="TX83" s="27">
        <f t="shared" si="89"/>
        <v>0</v>
      </c>
      <c r="TY83" s="11">
        <v>210</v>
      </c>
      <c r="TZ83" s="11">
        <v>0</v>
      </c>
      <c r="UA83" s="11">
        <v>0</v>
      </c>
    </row>
    <row r="84" spans="1:547" ht="16" customHeight="1" x14ac:dyDescent="0.35">
      <c r="A84" s="11" t="s">
        <v>1387</v>
      </c>
      <c r="B84" s="11">
        <v>34509</v>
      </c>
      <c r="C84" s="11"/>
      <c r="D84" s="11"/>
      <c r="E84" s="11"/>
      <c r="F84" s="11">
        <v>454</v>
      </c>
      <c r="G84" s="11">
        <v>471</v>
      </c>
      <c r="H84" s="11">
        <v>444</v>
      </c>
      <c r="I84" s="11">
        <v>518</v>
      </c>
      <c r="J84" s="11">
        <v>551</v>
      </c>
      <c r="K84" s="11">
        <v>538</v>
      </c>
      <c r="L84" s="11">
        <v>601</v>
      </c>
      <c r="M84" s="11">
        <v>591</v>
      </c>
      <c r="N84" s="11">
        <v>374</v>
      </c>
      <c r="O84" s="11">
        <v>519</v>
      </c>
      <c r="P84" s="11" t="s">
        <v>2863</v>
      </c>
      <c r="Q84" s="11">
        <v>597</v>
      </c>
      <c r="R84" s="11">
        <v>641</v>
      </c>
      <c r="S84" s="26">
        <f t="shared" si="45"/>
        <v>6299</v>
      </c>
      <c r="T84" s="11">
        <v>277</v>
      </c>
      <c r="U84" s="11">
        <v>267</v>
      </c>
      <c r="V84" s="11">
        <v>251</v>
      </c>
      <c r="W84" s="11">
        <v>275</v>
      </c>
      <c r="X84" s="11">
        <v>274</v>
      </c>
      <c r="Y84" s="11">
        <v>323</v>
      </c>
      <c r="Z84" s="11">
        <v>365</v>
      </c>
      <c r="AA84" s="11">
        <v>350</v>
      </c>
      <c r="AB84" s="11">
        <v>216</v>
      </c>
      <c r="AC84" s="11">
        <v>305</v>
      </c>
      <c r="AD84" s="11">
        <v>330</v>
      </c>
      <c r="AE84" s="11">
        <v>352</v>
      </c>
      <c r="AF84" s="26">
        <f t="shared" si="46"/>
        <v>3585</v>
      </c>
      <c r="AG84" s="11">
        <v>110</v>
      </c>
      <c r="AH84" s="11">
        <v>116</v>
      </c>
      <c r="AI84" s="11">
        <v>114</v>
      </c>
      <c r="AJ84" s="11">
        <v>167</v>
      </c>
      <c r="AK84" s="11">
        <v>186</v>
      </c>
      <c r="AL84" s="11">
        <v>127</v>
      </c>
      <c r="AM84" s="11">
        <v>156</v>
      </c>
      <c r="AN84" s="11">
        <v>139</v>
      </c>
      <c r="AO84" s="11">
        <v>98</v>
      </c>
      <c r="AP84" s="11">
        <v>127</v>
      </c>
      <c r="AQ84" s="11">
        <v>155</v>
      </c>
      <c r="AR84" s="11">
        <v>162</v>
      </c>
      <c r="AS84" s="26">
        <f t="shared" si="47"/>
        <v>1657</v>
      </c>
      <c r="AT84" s="11">
        <v>10</v>
      </c>
      <c r="AU84" s="11">
        <v>12</v>
      </c>
      <c r="AV84" s="11">
        <v>12</v>
      </c>
      <c r="AW84" s="11">
        <v>12</v>
      </c>
      <c r="AX84" s="11">
        <v>7</v>
      </c>
      <c r="AY84" s="11">
        <v>9</v>
      </c>
      <c r="AZ84" s="11">
        <v>8</v>
      </c>
      <c r="BA84" s="11">
        <v>8</v>
      </c>
      <c r="BB84" s="11">
        <v>6</v>
      </c>
      <c r="BC84" s="11">
        <v>6</v>
      </c>
      <c r="BD84" s="11">
        <v>9</v>
      </c>
      <c r="BE84" s="11">
        <v>11</v>
      </c>
      <c r="BF84" s="26">
        <f t="shared" si="48"/>
        <v>110</v>
      </c>
      <c r="BG84" s="11">
        <v>34</v>
      </c>
      <c r="BH84" s="11">
        <v>42</v>
      </c>
      <c r="BI84" s="11">
        <v>38</v>
      </c>
      <c r="BJ84" s="11">
        <v>47</v>
      </c>
      <c r="BK84" s="11">
        <v>68</v>
      </c>
      <c r="BL84" s="11">
        <v>61</v>
      </c>
      <c r="BM84" s="11">
        <v>45</v>
      </c>
      <c r="BN84" s="11">
        <v>51</v>
      </c>
      <c r="BO84" s="11">
        <v>31</v>
      </c>
      <c r="BP84" s="11">
        <v>46</v>
      </c>
      <c r="BQ84" s="11">
        <v>54</v>
      </c>
      <c r="BR84" s="11">
        <v>55</v>
      </c>
      <c r="BS84" s="26">
        <f t="shared" si="49"/>
        <v>572</v>
      </c>
      <c r="BT84" s="11">
        <v>0</v>
      </c>
      <c r="BU84" s="11">
        <v>0</v>
      </c>
      <c r="BV84" s="11">
        <v>1</v>
      </c>
      <c r="BW84" s="11">
        <v>0</v>
      </c>
      <c r="BX84" s="11">
        <v>1</v>
      </c>
      <c r="BY84" s="11">
        <v>0</v>
      </c>
      <c r="BZ84" s="11">
        <v>1</v>
      </c>
      <c r="CA84" s="11">
        <v>0</v>
      </c>
      <c r="CB84" s="11">
        <v>0</v>
      </c>
      <c r="CC84" s="11">
        <v>0</v>
      </c>
      <c r="CD84" s="11">
        <v>0</v>
      </c>
      <c r="CE84" s="11">
        <v>0</v>
      </c>
      <c r="CF84" s="26">
        <f t="shared" si="50"/>
        <v>3</v>
      </c>
      <c r="CG84" s="11">
        <v>0</v>
      </c>
      <c r="CH84" s="11">
        <v>0</v>
      </c>
      <c r="CI84" s="11">
        <v>1</v>
      </c>
      <c r="CJ84" s="11">
        <v>0</v>
      </c>
      <c r="CK84" s="11">
        <v>0</v>
      </c>
      <c r="CL84" s="11">
        <v>0</v>
      </c>
      <c r="CM84" s="11">
        <v>0</v>
      </c>
      <c r="CN84" s="11">
        <v>0</v>
      </c>
      <c r="CO84" s="11">
        <v>0</v>
      </c>
      <c r="CP84" s="11">
        <v>0</v>
      </c>
      <c r="CQ84" s="11">
        <v>0</v>
      </c>
      <c r="CR84" s="11">
        <v>0</v>
      </c>
      <c r="CS84" s="26">
        <f t="shared" si="51"/>
        <v>1</v>
      </c>
      <c r="CT84" s="11">
        <v>0</v>
      </c>
      <c r="CU84" s="11">
        <v>0</v>
      </c>
      <c r="CV84" s="11">
        <v>0</v>
      </c>
      <c r="CW84" s="11">
        <v>0</v>
      </c>
      <c r="CX84" s="11">
        <v>1</v>
      </c>
      <c r="CY84" s="11">
        <v>0</v>
      </c>
      <c r="CZ84" s="11">
        <v>1</v>
      </c>
      <c r="DA84" s="11">
        <v>0</v>
      </c>
      <c r="DB84" s="11">
        <v>0</v>
      </c>
      <c r="DC84" s="11">
        <v>0</v>
      </c>
      <c r="DD84" s="11">
        <v>0</v>
      </c>
      <c r="DE84" s="11">
        <v>0</v>
      </c>
      <c r="DF84" s="26">
        <f t="shared" si="52"/>
        <v>2</v>
      </c>
      <c r="DG84" s="11">
        <v>0</v>
      </c>
      <c r="DH84" s="11">
        <v>0</v>
      </c>
      <c r="DI84" s="11">
        <v>0</v>
      </c>
      <c r="DJ84" s="11">
        <v>0</v>
      </c>
      <c r="DK84" s="11">
        <v>0</v>
      </c>
      <c r="DL84" s="11">
        <v>0</v>
      </c>
      <c r="DM84" s="11">
        <v>0</v>
      </c>
      <c r="DN84" s="11">
        <v>0</v>
      </c>
      <c r="DO84" s="11">
        <v>0</v>
      </c>
      <c r="DP84" s="11">
        <v>0</v>
      </c>
      <c r="DQ84" s="11">
        <v>0</v>
      </c>
      <c r="DR84" s="11">
        <v>0</v>
      </c>
      <c r="DS84" s="26">
        <f t="shared" si="53"/>
        <v>0</v>
      </c>
      <c r="DT84" s="11">
        <v>0</v>
      </c>
      <c r="DU84" s="11">
        <v>0</v>
      </c>
      <c r="DV84" s="11">
        <v>0</v>
      </c>
      <c r="DW84" s="11">
        <v>0</v>
      </c>
      <c r="DX84" s="11">
        <v>0</v>
      </c>
      <c r="DY84" s="11">
        <v>0</v>
      </c>
      <c r="DZ84" s="11">
        <v>0</v>
      </c>
      <c r="EA84" s="11">
        <v>0</v>
      </c>
      <c r="EB84" s="11">
        <v>0</v>
      </c>
      <c r="EC84" s="11">
        <v>0</v>
      </c>
      <c r="ED84" s="11">
        <v>0</v>
      </c>
      <c r="EE84" s="11">
        <v>0</v>
      </c>
      <c r="EF84" s="26">
        <f t="shared" si="54"/>
        <v>0</v>
      </c>
      <c r="EG84" s="9">
        <f t="shared" si="55"/>
        <v>5924</v>
      </c>
      <c r="EH84" s="9">
        <f t="shared" si="56"/>
        <v>3</v>
      </c>
      <c r="EI84" s="11">
        <v>5417</v>
      </c>
      <c r="EJ84" s="11">
        <v>4849</v>
      </c>
      <c r="EK84" s="11">
        <v>5916</v>
      </c>
      <c r="EL84" s="11">
        <v>8220</v>
      </c>
      <c r="EM84" s="11">
        <v>6762</v>
      </c>
      <c r="EN84" s="11">
        <v>5214</v>
      </c>
      <c r="EO84" s="11">
        <v>6741</v>
      </c>
      <c r="EP84" s="11">
        <v>7118</v>
      </c>
      <c r="EQ84" s="11">
        <v>4197</v>
      </c>
      <c r="ER84" s="11">
        <v>5222</v>
      </c>
      <c r="ES84" s="11">
        <v>7014</v>
      </c>
      <c r="ET84" s="11">
        <v>7130</v>
      </c>
      <c r="EU84" s="26">
        <f t="shared" si="57"/>
        <v>73800</v>
      </c>
      <c r="EV84" s="11">
        <v>3704</v>
      </c>
      <c r="EW84" s="11">
        <v>3282</v>
      </c>
      <c r="EX84" s="11">
        <v>3775</v>
      </c>
      <c r="EY84" s="11">
        <v>4062</v>
      </c>
      <c r="EZ84" s="11">
        <v>4277</v>
      </c>
      <c r="FA84" s="11">
        <v>3609</v>
      </c>
      <c r="FB84" s="11">
        <v>4538</v>
      </c>
      <c r="FC84" s="11">
        <v>4917</v>
      </c>
      <c r="FD84" s="11">
        <v>2785</v>
      </c>
      <c r="FE84" s="11">
        <v>3696</v>
      </c>
      <c r="FF84" s="11">
        <v>4855</v>
      </c>
      <c r="FG84" s="11">
        <v>4929</v>
      </c>
      <c r="FH84" s="26">
        <f t="shared" si="58"/>
        <v>48429</v>
      </c>
      <c r="FI84" s="11"/>
      <c r="FJ84" s="11"/>
      <c r="FK84" s="11"/>
      <c r="FL84" s="11"/>
      <c r="FM84" s="11"/>
      <c r="FN84" s="11"/>
      <c r="FO84" s="11"/>
      <c r="FP84" s="11"/>
      <c r="FQ84" s="11"/>
      <c r="FR84" s="11"/>
      <c r="FS84" s="11"/>
      <c r="FT84" s="11"/>
      <c r="FU84" s="26">
        <f t="shared" si="59"/>
        <v>0</v>
      </c>
      <c r="FV84" s="11"/>
      <c r="FW84" s="11"/>
      <c r="FX84" s="11"/>
      <c r="FY84" s="11"/>
      <c r="FZ84" s="11"/>
      <c r="GA84" s="11"/>
      <c r="GB84" s="11"/>
      <c r="GC84" s="11"/>
      <c r="GD84" s="11"/>
      <c r="GE84" s="11"/>
      <c r="GF84" s="11"/>
      <c r="GG84" s="11"/>
      <c r="GH84" s="26">
        <f t="shared" si="60"/>
        <v>0</v>
      </c>
      <c r="GI84" s="11">
        <v>0</v>
      </c>
      <c r="GJ84" s="11">
        <v>0</v>
      </c>
      <c r="GK84" s="11">
        <v>2</v>
      </c>
      <c r="GL84" s="11">
        <v>0</v>
      </c>
      <c r="GM84" s="11">
        <v>2</v>
      </c>
      <c r="GN84" s="11">
        <v>0</v>
      </c>
      <c r="GO84" s="11">
        <v>2</v>
      </c>
      <c r="GP84" s="11">
        <v>0</v>
      </c>
      <c r="GQ84" s="11">
        <v>0</v>
      </c>
      <c r="GR84" s="11">
        <v>0</v>
      </c>
      <c r="GS84" s="11">
        <v>0</v>
      </c>
      <c r="GT84" s="11">
        <v>0</v>
      </c>
      <c r="GU84" s="26">
        <f t="shared" si="61"/>
        <v>6</v>
      </c>
      <c r="GV84" s="11">
        <v>0</v>
      </c>
      <c r="GW84" s="11">
        <v>0</v>
      </c>
      <c r="GX84" s="11">
        <v>2</v>
      </c>
      <c r="GY84" s="11">
        <v>0</v>
      </c>
      <c r="GZ84" s="11">
        <v>0</v>
      </c>
      <c r="HA84" s="11">
        <v>0</v>
      </c>
      <c r="HB84" s="11">
        <v>0</v>
      </c>
      <c r="HC84" s="11">
        <v>0</v>
      </c>
      <c r="HD84" s="11">
        <v>0</v>
      </c>
      <c r="HE84" s="11">
        <v>0</v>
      </c>
      <c r="HF84" s="11">
        <v>0</v>
      </c>
      <c r="HG84" s="11">
        <v>0</v>
      </c>
      <c r="HH84" s="26">
        <f t="shared" si="62"/>
        <v>2</v>
      </c>
      <c r="HI84" s="11">
        <v>0</v>
      </c>
      <c r="HJ84" s="11">
        <v>0</v>
      </c>
      <c r="HK84" s="11">
        <v>0</v>
      </c>
      <c r="HL84" s="11">
        <v>0</v>
      </c>
      <c r="HM84" s="11">
        <v>2</v>
      </c>
      <c r="HN84" s="11">
        <v>0</v>
      </c>
      <c r="HO84" s="11">
        <v>2</v>
      </c>
      <c r="HP84" s="11">
        <v>0</v>
      </c>
      <c r="HQ84" s="11">
        <v>0</v>
      </c>
      <c r="HR84" s="11">
        <v>0</v>
      </c>
      <c r="HS84" s="11">
        <v>0</v>
      </c>
      <c r="HT84" s="11">
        <v>0</v>
      </c>
      <c r="HU84" s="26">
        <f t="shared" si="63"/>
        <v>4</v>
      </c>
      <c r="HV84" s="11">
        <v>0</v>
      </c>
      <c r="HW84" s="11">
        <v>0</v>
      </c>
      <c r="HX84" s="11">
        <v>0</v>
      </c>
      <c r="HY84" s="11">
        <v>0</v>
      </c>
      <c r="HZ84" s="11">
        <v>0</v>
      </c>
      <c r="IA84" s="11">
        <v>0</v>
      </c>
      <c r="IB84" s="11">
        <v>0</v>
      </c>
      <c r="IC84" s="11">
        <v>0</v>
      </c>
      <c r="ID84" s="11">
        <v>0</v>
      </c>
      <c r="IE84" s="11">
        <v>0</v>
      </c>
      <c r="IF84" s="11">
        <v>0</v>
      </c>
      <c r="IG84" s="11">
        <v>0</v>
      </c>
      <c r="IH84" s="26">
        <f t="shared" si="64"/>
        <v>0</v>
      </c>
      <c r="II84" s="9">
        <f t="shared" si="65"/>
        <v>48429</v>
      </c>
      <c r="IJ84" s="9">
        <f t="shared" si="66"/>
        <v>6</v>
      </c>
      <c r="IK84" s="11">
        <v>52594</v>
      </c>
      <c r="IL84" s="11">
        <v>50666</v>
      </c>
      <c r="IM84" s="11">
        <v>47405</v>
      </c>
      <c r="IN84" s="11">
        <v>56319</v>
      </c>
      <c r="IO84" s="11">
        <v>61160</v>
      </c>
      <c r="IP84" s="11">
        <v>51564</v>
      </c>
      <c r="IQ84" s="11">
        <v>53253</v>
      </c>
      <c r="IR84" s="11">
        <v>49548</v>
      </c>
      <c r="IS84" s="11">
        <v>35363</v>
      </c>
      <c r="IT84" s="11">
        <v>52786</v>
      </c>
      <c r="IU84" s="11">
        <v>45975</v>
      </c>
      <c r="IV84" s="11">
        <v>48469</v>
      </c>
      <c r="IW84" s="27">
        <f t="shared" si="67"/>
        <v>605102</v>
      </c>
      <c r="IX84" s="11">
        <v>35195</v>
      </c>
      <c r="IY84" s="11">
        <v>34414</v>
      </c>
      <c r="IZ84" s="11">
        <v>32372</v>
      </c>
      <c r="JA84" s="11">
        <v>35190</v>
      </c>
      <c r="JB84" s="11">
        <v>37437</v>
      </c>
      <c r="JC84" s="11">
        <v>33956</v>
      </c>
      <c r="JD84" s="11">
        <v>35490</v>
      </c>
      <c r="JE84" s="11">
        <v>33690</v>
      </c>
      <c r="JF84" s="11">
        <v>25953</v>
      </c>
      <c r="JG84" s="11">
        <v>36987</v>
      </c>
      <c r="JH84" s="11">
        <v>30481</v>
      </c>
      <c r="JI84" s="11">
        <v>32659</v>
      </c>
      <c r="JJ84" s="27">
        <f t="shared" si="68"/>
        <v>403824</v>
      </c>
      <c r="JK84" s="11">
        <v>15974</v>
      </c>
      <c r="JL84" s="11">
        <v>14978</v>
      </c>
      <c r="JM84" s="11">
        <v>13856</v>
      </c>
      <c r="JN84" s="11">
        <v>19307</v>
      </c>
      <c r="JO84" s="11">
        <v>21650</v>
      </c>
      <c r="JP84" s="11">
        <v>16082</v>
      </c>
      <c r="JQ84" s="11">
        <v>16232</v>
      </c>
      <c r="JR84" s="11">
        <v>14539</v>
      </c>
      <c r="JS84" s="11">
        <v>8518</v>
      </c>
      <c r="JT84" s="11">
        <v>14415</v>
      </c>
      <c r="JU84" s="11">
        <v>14070</v>
      </c>
      <c r="JV84" s="11">
        <v>14460</v>
      </c>
      <c r="JW84" s="27">
        <f t="shared" si="69"/>
        <v>184081</v>
      </c>
      <c r="JX84" s="11">
        <v>1425</v>
      </c>
      <c r="JY84" s="11">
        <v>1274</v>
      </c>
      <c r="JZ84" s="11">
        <v>1177</v>
      </c>
      <c r="KA84" s="11">
        <v>1822</v>
      </c>
      <c r="KB84" s="11">
        <v>2073</v>
      </c>
      <c r="KC84" s="11">
        <v>1526</v>
      </c>
      <c r="KD84" s="11">
        <v>1531</v>
      </c>
      <c r="KE84" s="11">
        <v>1319</v>
      </c>
      <c r="KF84" s="11">
        <v>892</v>
      </c>
      <c r="KG84" s="11">
        <v>1384</v>
      </c>
      <c r="KH84" s="11">
        <v>1424</v>
      </c>
      <c r="KI84" s="11">
        <v>1350</v>
      </c>
      <c r="KJ84" s="27">
        <f t="shared" si="70"/>
        <v>17197</v>
      </c>
      <c r="KK84" s="11">
        <v>734</v>
      </c>
      <c r="KL84" s="11">
        <v>759</v>
      </c>
      <c r="KM84" s="11">
        <v>621</v>
      </c>
      <c r="KN84" s="11">
        <v>684</v>
      </c>
      <c r="KO84" s="11">
        <v>785</v>
      </c>
      <c r="KP84" s="11">
        <v>655</v>
      </c>
      <c r="KQ84" s="11">
        <v>726</v>
      </c>
      <c r="KR84" s="11">
        <v>633</v>
      </c>
      <c r="KS84" s="11">
        <v>532</v>
      </c>
      <c r="KT84" s="11">
        <v>703</v>
      </c>
      <c r="KU84" s="11">
        <v>589</v>
      </c>
      <c r="KV84" s="11">
        <v>655</v>
      </c>
      <c r="KW84" s="27">
        <f t="shared" si="71"/>
        <v>8076</v>
      </c>
      <c r="KX84" s="11">
        <v>595</v>
      </c>
      <c r="KY84" s="11">
        <v>626</v>
      </c>
      <c r="KZ84" s="11">
        <v>526</v>
      </c>
      <c r="LA84" s="11">
        <v>542</v>
      </c>
      <c r="LB84" s="11">
        <v>622</v>
      </c>
      <c r="LC84" s="11">
        <v>542</v>
      </c>
      <c r="LD84" s="11">
        <v>607</v>
      </c>
      <c r="LE84" s="11">
        <v>551</v>
      </c>
      <c r="LF84" s="11">
        <v>449</v>
      </c>
      <c r="LG84" s="11">
        <v>623</v>
      </c>
      <c r="LH84" s="11">
        <v>488</v>
      </c>
      <c r="LI84" s="11">
        <v>564</v>
      </c>
      <c r="LJ84" s="27">
        <f t="shared" si="72"/>
        <v>6735</v>
      </c>
      <c r="LK84" s="11">
        <v>139</v>
      </c>
      <c r="LL84" s="11">
        <v>133</v>
      </c>
      <c r="LM84" s="11">
        <v>95</v>
      </c>
      <c r="LN84" s="11">
        <v>142</v>
      </c>
      <c r="LO84" s="11">
        <v>163</v>
      </c>
      <c r="LP84" s="11">
        <v>113</v>
      </c>
      <c r="LQ84" s="11">
        <v>119</v>
      </c>
      <c r="LR84" s="11">
        <v>82</v>
      </c>
      <c r="LS84" s="11">
        <v>83</v>
      </c>
      <c r="LT84" s="11">
        <v>80</v>
      </c>
      <c r="LU84" s="11">
        <v>101</v>
      </c>
      <c r="LV84" s="11">
        <v>91</v>
      </c>
      <c r="LW84" s="27">
        <f t="shared" si="73"/>
        <v>1341</v>
      </c>
      <c r="LX84" s="11">
        <v>0</v>
      </c>
      <c r="LY84" s="11">
        <v>0</v>
      </c>
      <c r="LZ84" s="11">
        <v>0</v>
      </c>
      <c r="MA84" s="11">
        <v>0</v>
      </c>
      <c r="MB84" s="11">
        <v>0</v>
      </c>
      <c r="MC84" s="11">
        <v>0</v>
      </c>
      <c r="MD84" s="11">
        <v>0</v>
      </c>
      <c r="ME84" s="11">
        <v>0</v>
      </c>
      <c r="MF84" s="11">
        <v>0</v>
      </c>
      <c r="MG84" s="11">
        <v>0</v>
      </c>
      <c r="MH84" s="11">
        <v>0</v>
      </c>
      <c r="MI84" s="11">
        <v>0</v>
      </c>
      <c r="MJ84" s="27">
        <f t="shared" si="74"/>
        <v>0</v>
      </c>
      <c r="MK84" s="11">
        <v>3809</v>
      </c>
      <c r="ML84" s="11">
        <v>3947</v>
      </c>
      <c r="MM84" s="11">
        <v>3993</v>
      </c>
      <c r="MN84" s="11">
        <v>3980</v>
      </c>
      <c r="MO84" s="11">
        <v>4111</v>
      </c>
      <c r="MP84" s="11">
        <v>3811</v>
      </c>
      <c r="MQ84" s="11">
        <v>3956</v>
      </c>
      <c r="MR84" s="11">
        <v>3736</v>
      </c>
      <c r="MS84" s="11">
        <v>3707</v>
      </c>
      <c r="MT84" s="11">
        <v>4054</v>
      </c>
      <c r="MU84" s="11">
        <v>3624</v>
      </c>
      <c r="MV84" s="11">
        <v>3991</v>
      </c>
      <c r="MW84" s="27">
        <f t="shared" si="75"/>
        <v>46719</v>
      </c>
      <c r="MX84" s="11">
        <v>0</v>
      </c>
      <c r="MY84" s="11">
        <v>0</v>
      </c>
      <c r="MZ84" s="11">
        <v>0</v>
      </c>
      <c r="NA84" s="11">
        <v>0</v>
      </c>
      <c r="NB84" s="11">
        <v>0</v>
      </c>
      <c r="NC84" s="11">
        <v>0</v>
      </c>
      <c r="ND84" s="11">
        <v>0</v>
      </c>
      <c r="NE84" s="11">
        <v>0</v>
      </c>
      <c r="NF84" s="11">
        <v>0</v>
      </c>
      <c r="NG84" s="11">
        <v>0</v>
      </c>
      <c r="NH84" s="11">
        <v>0</v>
      </c>
      <c r="NI84" s="11">
        <v>0</v>
      </c>
      <c r="NJ84" s="27">
        <f t="shared" si="76"/>
        <v>0</v>
      </c>
      <c r="NK84" s="11">
        <v>0</v>
      </c>
      <c r="NL84" s="11">
        <v>0</v>
      </c>
      <c r="NM84" s="11">
        <v>0</v>
      </c>
      <c r="NN84" s="11">
        <v>0</v>
      </c>
      <c r="NO84" s="11">
        <v>0</v>
      </c>
      <c r="NP84" s="11">
        <v>0</v>
      </c>
      <c r="NQ84" s="11">
        <v>0</v>
      </c>
      <c r="NR84" s="11">
        <v>0</v>
      </c>
      <c r="NS84" s="11">
        <v>0</v>
      </c>
      <c r="NT84" s="11">
        <v>0</v>
      </c>
      <c r="NU84" s="11">
        <v>0</v>
      </c>
      <c r="NV84" s="11">
        <v>0</v>
      </c>
      <c r="NW84" s="27">
        <f t="shared" si="77"/>
        <v>0</v>
      </c>
      <c r="NX84" s="11">
        <v>0</v>
      </c>
      <c r="NY84" s="11">
        <v>0</v>
      </c>
      <c r="NZ84" s="11">
        <v>0</v>
      </c>
      <c r="OA84" s="11">
        <v>0</v>
      </c>
      <c r="OB84" s="11">
        <v>0</v>
      </c>
      <c r="OC84" s="11">
        <v>0</v>
      </c>
      <c r="OD84" s="11">
        <v>0</v>
      </c>
      <c r="OE84" s="11">
        <v>0</v>
      </c>
      <c r="OF84" s="11">
        <v>0</v>
      </c>
      <c r="OG84" s="11">
        <v>0</v>
      </c>
      <c r="OH84" s="11">
        <v>0</v>
      </c>
      <c r="OI84" s="11">
        <v>0</v>
      </c>
      <c r="OJ84" s="27">
        <f t="shared" si="78"/>
        <v>0</v>
      </c>
      <c r="OK84" s="11">
        <v>2718</v>
      </c>
      <c r="OL84" s="11">
        <v>2684</v>
      </c>
      <c r="OM84" s="11">
        <v>2477</v>
      </c>
      <c r="ON84" s="11">
        <v>2648</v>
      </c>
      <c r="OO84" s="11">
        <v>2764</v>
      </c>
      <c r="OP84" s="11">
        <v>2616</v>
      </c>
      <c r="OQ84" s="11">
        <v>2867</v>
      </c>
      <c r="OR84" s="11">
        <v>2710</v>
      </c>
      <c r="OS84" s="11">
        <v>2561</v>
      </c>
      <c r="OT84" s="11">
        <v>2894</v>
      </c>
      <c r="OU84" s="11">
        <v>2725</v>
      </c>
      <c r="OV84" s="11">
        <v>3131</v>
      </c>
      <c r="OW84" s="27">
        <f t="shared" si="79"/>
        <v>32795</v>
      </c>
      <c r="OX84" s="11">
        <v>0</v>
      </c>
      <c r="OY84" s="11">
        <v>0</v>
      </c>
      <c r="OZ84" s="11">
        <v>0</v>
      </c>
      <c r="PA84" s="11">
        <v>0</v>
      </c>
      <c r="PB84" s="11">
        <v>0</v>
      </c>
      <c r="PC84" s="11">
        <v>0</v>
      </c>
      <c r="PD84" s="11">
        <v>0</v>
      </c>
      <c r="PE84" s="11">
        <v>0</v>
      </c>
      <c r="PF84" s="11">
        <v>0</v>
      </c>
      <c r="PG84" s="11">
        <v>0</v>
      </c>
      <c r="PH84" s="11">
        <v>0</v>
      </c>
      <c r="PI84" s="11">
        <v>0</v>
      </c>
      <c r="PJ84" s="27">
        <f t="shared" si="80"/>
        <v>0</v>
      </c>
      <c r="PK84" s="11">
        <v>0</v>
      </c>
      <c r="PL84" s="11">
        <v>0</v>
      </c>
      <c r="PM84" s="11">
        <v>0</v>
      </c>
      <c r="PN84" s="11">
        <v>0</v>
      </c>
      <c r="PO84" s="11">
        <v>0</v>
      </c>
      <c r="PP84" s="11">
        <v>0</v>
      </c>
      <c r="PQ84" s="11">
        <v>0</v>
      </c>
      <c r="PR84" s="11">
        <v>0</v>
      </c>
      <c r="PS84" s="11">
        <v>0</v>
      </c>
      <c r="PT84" s="11">
        <v>0</v>
      </c>
      <c r="PU84" s="11">
        <v>0</v>
      </c>
      <c r="PV84" s="11">
        <v>0</v>
      </c>
      <c r="PW84" s="27">
        <f t="shared" si="81"/>
        <v>0</v>
      </c>
      <c r="PX84" s="11">
        <v>0</v>
      </c>
      <c r="PY84" s="11">
        <v>0</v>
      </c>
      <c r="PZ84" s="11">
        <v>0</v>
      </c>
      <c r="QA84" s="11">
        <v>0</v>
      </c>
      <c r="QB84" s="11">
        <v>0</v>
      </c>
      <c r="QC84" s="11">
        <v>0</v>
      </c>
      <c r="QD84" s="11">
        <v>0</v>
      </c>
      <c r="QE84" s="11">
        <v>0</v>
      </c>
      <c r="QF84" s="11">
        <v>0</v>
      </c>
      <c r="QG84" s="11">
        <v>0</v>
      </c>
      <c r="QH84" s="11">
        <v>0</v>
      </c>
      <c r="QI84" s="11">
        <v>0</v>
      </c>
      <c r="QJ84" s="27">
        <f t="shared" si="82"/>
        <v>0</v>
      </c>
      <c r="QK84" s="11">
        <v>38806</v>
      </c>
      <c r="QL84" s="11">
        <v>36055</v>
      </c>
      <c r="QM84" s="11">
        <v>32518</v>
      </c>
      <c r="QN84" s="11">
        <v>42892</v>
      </c>
      <c r="QO84" s="11">
        <v>42213</v>
      </c>
      <c r="QP84" s="11">
        <v>37402</v>
      </c>
      <c r="QQ84" s="11">
        <v>41881</v>
      </c>
      <c r="QR84" s="11">
        <v>36063</v>
      </c>
      <c r="QS84" s="11">
        <v>24482</v>
      </c>
      <c r="QT84" s="11">
        <v>40885</v>
      </c>
      <c r="QU84" s="11">
        <v>38453</v>
      </c>
      <c r="QV84" s="11">
        <v>39863</v>
      </c>
      <c r="QW84" s="27">
        <f t="shared" si="83"/>
        <v>451513</v>
      </c>
      <c r="QX84" s="11">
        <v>14134</v>
      </c>
      <c r="QY84" s="11">
        <v>14410</v>
      </c>
      <c r="QZ84" s="11">
        <v>14766</v>
      </c>
      <c r="RA84" s="11">
        <v>16089</v>
      </c>
      <c r="RB84" s="11">
        <v>16492</v>
      </c>
      <c r="RC84" s="11">
        <v>14695</v>
      </c>
      <c r="RD84" s="11">
        <v>16445</v>
      </c>
      <c r="RE84" s="11">
        <v>15073</v>
      </c>
      <c r="RF84" s="11">
        <v>12145</v>
      </c>
      <c r="RG84" s="11">
        <v>13801</v>
      </c>
      <c r="RH84" s="11">
        <v>13952</v>
      </c>
      <c r="RI84" s="11">
        <v>15002</v>
      </c>
      <c r="RJ84" s="27">
        <f t="shared" si="84"/>
        <v>177004</v>
      </c>
      <c r="RK84" s="11">
        <v>0</v>
      </c>
      <c r="RL84" s="11">
        <v>0</v>
      </c>
      <c r="RM84" s="11">
        <v>0</v>
      </c>
      <c r="RN84" s="11">
        <v>0</v>
      </c>
      <c r="RO84" s="11">
        <v>0</v>
      </c>
      <c r="RP84" s="11">
        <v>0</v>
      </c>
      <c r="RQ84" s="11">
        <v>0</v>
      </c>
      <c r="RR84" s="11">
        <v>0</v>
      </c>
      <c r="RS84" s="11">
        <v>0</v>
      </c>
      <c r="RT84" s="11">
        <v>0</v>
      </c>
      <c r="RU84" s="11">
        <v>0</v>
      </c>
      <c r="RV84" s="11">
        <v>0</v>
      </c>
      <c r="RW84" s="27">
        <f t="shared" si="85"/>
        <v>0</v>
      </c>
      <c r="RX84" s="11">
        <v>1924</v>
      </c>
      <c r="RY84" s="11">
        <v>1924</v>
      </c>
      <c r="RZ84" s="11">
        <v>1924</v>
      </c>
      <c r="SA84" s="11">
        <v>1924</v>
      </c>
      <c r="SB84" s="11">
        <v>1924</v>
      </c>
      <c r="SC84" s="11">
        <v>1924</v>
      </c>
      <c r="SD84" s="11">
        <v>1924</v>
      </c>
      <c r="SE84" s="11">
        <v>1924</v>
      </c>
      <c r="SF84" s="11">
        <v>1924</v>
      </c>
      <c r="SG84" s="11">
        <v>1924</v>
      </c>
      <c r="SH84" s="11">
        <v>1924</v>
      </c>
      <c r="SI84" s="11">
        <v>1924</v>
      </c>
      <c r="SJ84" s="27">
        <f t="shared" si="86"/>
        <v>23088</v>
      </c>
      <c r="SK84" s="11">
        <v>118</v>
      </c>
      <c r="SL84" s="11">
        <v>118</v>
      </c>
      <c r="SM84" s="11">
        <v>118</v>
      </c>
      <c r="SN84" s="11">
        <v>118</v>
      </c>
      <c r="SO84" s="11">
        <v>118</v>
      </c>
      <c r="SP84" s="11">
        <v>118</v>
      </c>
      <c r="SQ84" s="11">
        <v>118</v>
      </c>
      <c r="SR84" s="11">
        <v>118</v>
      </c>
      <c r="SS84" s="11">
        <v>118</v>
      </c>
      <c r="ST84" s="11">
        <v>118</v>
      </c>
      <c r="SU84" s="11">
        <v>118</v>
      </c>
      <c r="SV84" s="11">
        <v>118</v>
      </c>
      <c r="SW84" s="27">
        <f t="shared" si="87"/>
        <v>1416</v>
      </c>
      <c r="SX84" s="28" t="s">
        <v>2724</v>
      </c>
      <c r="SY84" s="11">
        <v>2409</v>
      </c>
      <c r="SZ84" s="11">
        <v>2176</v>
      </c>
      <c r="TA84" s="11">
        <v>2257</v>
      </c>
      <c r="TB84" s="11">
        <v>2158</v>
      </c>
      <c r="TC84" s="11">
        <v>1939</v>
      </c>
      <c r="TD84" s="11">
        <v>2070</v>
      </c>
      <c r="TE84" s="11">
        <v>2400</v>
      </c>
      <c r="TF84" s="11">
        <v>2272</v>
      </c>
      <c r="TG84" s="11">
        <v>1448</v>
      </c>
      <c r="TH84" s="11">
        <v>2025</v>
      </c>
      <c r="TI84" s="11">
        <v>2149</v>
      </c>
      <c r="TJ84" s="11">
        <v>2153</v>
      </c>
      <c r="TK84" s="27">
        <f t="shared" si="88"/>
        <v>25456</v>
      </c>
      <c r="TL84" s="11"/>
      <c r="TM84" s="11"/>
      <c r="TN84" s="11"/>
      <c r="TO84" s="11"/>
      <c r="TP84" s="11"/>
      <c r="TQ84" s="11"/>
      <c r="TR84" s="11"/>
      <c r="TS84" s="11"/>
      <c r="TT84" s="11"/>
      <c r="TU84" s="11"/>
      <c r="TV84" s="11"/>
      <c r="TW84" s="11"/>
      <c r="TX84" s="27">
        <f t="shared" si="89"/>
        <v>0</v>
      </c>
      <c r="TY84" s="11">
        <v>90</v>
      </c>
      <c r="TZ84" s="11">
        <v>0</v>
      </c>
      <c r="UA84" s="11">
        <v>0</v>
      </c>
    </row>
    <row r="85" spans="1:547" ht="16" customHeight="1" x14ac:dyDescent="0.35">
      <c r="A85" s="11" t="s">
        <v>1404</v>
      </c>
      <c r="B85" s="11">
        <v>41159</v>
      </c>
      <c r="C85" s="11">
        <v>14515</v>
      </c>
      <c r="D85" s="11">
        <v>24599</v>
      </c>
      <c r="E85" s="11">
        <v>2045</v>
      </c>
      <c r="F85" s="11">
        <v>303</v>
      </c>
      <c r="G85" s="11">
        <v>337</v>
      </c>
      <c r="H85" s="11">
        <v>302</v>
      </c>
      <c r="I85" s="11">
        <v>344</v>
      </c>
      <c r="J85" s="11">
        <v>260</v>
      </c>
      <c r="K85" s="11">
        <v>270</v>
      </c>
      <c r="L85" s="11">
        <v>346</v>
      </c>
      <c r="M85" s="11">
        <v>315</v>
      </c>
      <c r="N85" s="11">
        <v>258</v>
      </c>
      <c r="O85" s="11">
        <v>339</v>
      </c>
      <c r="P85" s="11" t="s">
        <v>2864</v>
      </c>
      <c r="Q85" s="11">
        <v>294</v>
      </c>
      <c r="R85" s="11">
        <v>343</v>
      </c>
      <c r="S85" s="26">
        <f t="shared" si="45"/>
        <v>3711</v>
      </c>
      <c r="T85" s="11">
        <v>92</v>
      </c>
      <c r="U85" s="11">
        <v>114</v>
      </c>
      <c r="V85" s="11">
        <v>86</v>
      </c>
      <c r="W85" s="11">
        <v>83</v>
      </c>
      <c r="X85" s="11">
        <v>75</v>
      </c>
      <c r="Y85" s="11">
        <v>83</v>
      </c>
      <c r="Z85" s="11">
        <v>92</v>
      </c>
      <c r="AA85" s="11">
        <v>88</v>
      </c>
      <c r="AB85" s="11">
        <v>84</v>
      </c>
      <c r="AC85" s="11">
        <v>99</v>
      </c>
      <c r="AD85" s="11">
        <v>85</v>
      </c>
      <c r="AE85" s="11">
        <v>103</v>
      </c>
      <c r="AF85" s="26">
        <f t="shared" si="46"/>
        <v>1084</v>
      </c>
      <c r="AG85" s="11">
        <v>210</v>
      </c>
      <c r="AH85" s="11">
        <v>222</v>
      </c>
      <c r="AI85" s="11">
        <v>214</v>
      </c>
      <c r="AJ85" s="11">
        <v>261</v>
      </c>
      <c r="AK85" s="11">
        <v>185</v>
      </c>
      <c r="AL85" s="11">
        <v>187</v>
      </c>
      <c r="AM85" s="11">
        <v>253</v>
      </c>
      <c r="AN85" s="11">
        <v>226</v>
      </c>
      <c r="AO85" s="11">
        <v>173</v>
      </c>
      <c r="AP85" s="11">
        <v>239</v>
      </c>
      <c r="AQ85" s="11">
        <v>208</v>
      </c>
      <c r="AR85" s="11">
        <v>240</v>
      </c>
      <c r="AS85" s="26">
        <f t="shared" si="47"/>
        <v>2618</v>
      </c>
      <c r="AT85" s="11">
        <v>1</v>
      </c>
      <c r="AU85" s="11">
        <v>1</v>
      </c>
      <c r="AV85" s="11">
        <v>2</v>
      </c>
      <c r="AW85" s="11">
        <v>0</v>
      </c>
      <c r="AX85" s="11">
        <v>0</v>
      </c>
      <c r="AY85" s="11">
        <v>0</v>
      </c>
      <c r="AZ85" s="11">
        <v>1</v>
      </c>
      <c r="BA85" s="11">
        <v>1</v>
      </c>
      <c r="BB85" s="11">
        <v>1</v>
      </c>
      <c r="BC85" s="11">
        <v>1</v>
      </c>
      <c r="BD85" s="11">
        <v>1</v>
      </c>
      <c r="BE85" s="11">
        <v>0</v>
      </c>
      <c r="BF85" s="26">
        <f t="shared" si="48"/>
        <v>9</v>
      </c>
      <c r="BG85" s="11">
        <v>0</v>
      </c>
      <c r="BH85" s="11">
        <v>0</v>
      </c>
      <c r="BI85" s="11">
        <v>0</v>
      </c>
      <c r="BJ85" s="11">
        <v>0</v>
      </c>
      <c r="BK85" s="11">
        <v>0</v>
      </c>
      <c r="BL85" s="11">
        <v>0</v>
      </c>
      <c r="BM85" s="11">
        <v>0</v>
      </c>
      <c r="BN85" s="11">
        <v>0</v>
      </c>
      <c r="BO85" s="11">
        <v>0</v>
      </c>
      <c r="BP85" s="11">
        <v>0</v>
      </c>
      <c r="BQ85" s="11">
        <v>0</v>
      </c>
      <c r="BR85" s="11">
        <v>0</v>
      </c>
      <c r="BS85" s="26">
        <f t="shared" si="49"/>
        <v>0</v>
      </c>
      <c r="BT85" s="11">
        <v>0</v>
      </c>
      <c r="BU85" s="11">
        <v>0</v>
      </c>
      <c r="BV85" s="11">
        <v>0</v>
      </c>
      <c r="BW85" s="11">
        <v>0</v>
      </c>
      <c r="BX85" s="11">
        <v>0</v>
      </c>
      <c r="BY85" s="11">
        <v>0</v>
      </c>
      <c r="BZ85" s="11">
        <v>0</v>
      </c>
      <c r="CA85" s="11">
        <v>0</v>
      </c>
      <c r="CB85" s="11">
        <v>0</v>
      </c>
      <c r="CC85" s="11">
        <v>0</v>
      </c>
      <c r="CD85" s="11">
        <v>0</v>
      </c>
      <c r="CE85" s="11">
        <v>0</v>
      </c>
      <c r="CF85" s="26">
        <f t="shared" si="50"/>
        <v>0</v>
      </c>
      <c r="CG85" s="11">
        <v>0</v>
      </c>
      <c r="CH85" s="11">
        <v>0</v>
      </c>
      <c r="CI85" s="11">
        <v>0</v>
      </c>
      <c r="CJ85" s="11">
        <v>0</v>
      </c>
      <c r="CK85" s="11">
        <v>0</v>
      </c>
      <c r="CL85" s="11">
        <v>0</v>
      </c>
      <c r="CM85" s="11">
        <v>0</v>
      </c>
      <c r="CN85" s="11">
        <v>0</v>
      </c>
      <c r="CO85" s="11">
        <v>0</v>
      </c>
      <c r="CP85" s="11">
        <v>0</v>
      </c>
      <c r="CQ85" s="11">
        <v>0</v>
      </c>
      <c r="CR85" s="11">
        <v>0</v>
      </c>
      <c r="CS85" s="26">
        <f t="shared" si="51"/>
        <v>0</v>
      </c>
      <c r="CT85" s="11">
        <v>0</v>
      </c>
      <c r="CU85" s="11">
        <v>0</v>
      </c>
      <c r="CV85" s="11">
        <v>0</v>
      </c>
      <c r="CW85" s="11">
        <v>0</v>
      </c>
      <c r="CX85" s="11">
        <v>0</v>
      </c>
      <c r="CY85" s="11">
        <v>0</v>
      </c>
      <c r="CZ85" s="11">
        <v>0</v>
      </c>
      <c r="DA85" s="11">
        <v>0</v>
      </c>
      <c r="DB85" s="11">
        <v>0</v>
      </c>
      <c r="DC85" s="11">
        <v>0</v>
      </c>
      <c r="DD85" s="11">
        <v>0</v>
      </c>
      <c r="DE85" s="11">
        <v>0</v>
      </c>
      <c r="DF85" s="26">
        <f t="shared" si="52"/>
        <v>0</v>
      </c>
      <c r="DG85" s="11">
        <v>0</v>
      </c>
      <c r="DH85" s="11">
        <v>0</v>
      </c>
      <c r="DI85" s="11">
        <v>0</v>
      </c>
      <c r="DJ85" s="11">
        <v>0</v>
      </c>
      <c r="DK85" s="11">
        <v>0</v>
      </c>
      <c r="DL85" s="11">
        <v>0</v>
      </c>
      <c r="DM85" s="11">
        <v>0</v>
      </c>
      <c r="DN85" s="11">
        <v>0</v>
      </c>
      <c r="DO85" s="11">
        <v>0</v>
      </c>
      <c r="DP85" s="11">
        <v>0</v>
      </c>
      <c r="DQ85" s="11">
        <v>0</v>
      </c>
      <c r="DR85" s="11">
        <v>0</v>
      </c>
      <c r="DS85" s="26">
        <f t="shared" si="53"/>
        <v>0</v>
      </c>
      <c r="DT85" s="11">
        <v>0</v>
      </c>
      <c r="DU85" s="11">
        <v>0</v>
      </c>
      <c r="DV85" s="11">
        <v>0</v>
      </c>
      <c r="DW85" s="11">
        <v>0</v>
      </c>
      <c r="DX85" s="11">
        <v>0</v>
      </c>
      <c r="DY85" s="11">
        <v>0</v>
      </c>
      <c r="DZ85" s="11">
        <v>0</v>
      </c>
      <c r="EA85" s="11">
        <v>0</v>
      </c>
      <c r="EB85" s="11">
        <v>0</v>
      </c>
      <c r="EC85" s="11">
        <v>0</v>
      </c>
      <c r="ED85" s="11">
        <v>0</v>
      </c>
      <c r="EE85" s="11">
        <v>0</v>
      </c>
      <c r="EF85" s="26">
        <f t="shared" si="54"/>
        <v>0</v>
      </c>
      <c r="EG85" s="9">
        <f t="shared" si="55"/>
        <v>3711</v>
      </c>
      <c r="EH85" s="9">
        <f t="shared" si="56"/>
        <v>0</v>
      </c>
      <c r="EI85" s="11">
        <v>5173</v>
      </c>
      <c r="EJ85" s="11">
        <v>4838</v>
      </c>
      <c r="EK85" s="11">
        <v>7686</v>
      </c>
      <c r="EL85" s="11">
        <v>20105</v>
      </c>
      <c r="EM85" s="11">
        <v>3771</v>
      </c>
      <c r="EN85" s="11">
        <v>3928</v>
      </c>
      <c r="EO85" s="11">
        <v>6360</v>
      </c>
      <c r="EP85" s="11">
        <v>4275</v>
      </c>
      <c r="EQ85" s="11">
        <v>3007</v>
      </c>
      <c r="ER85" s="11">
        <v>4132</v>
      </c>
      <c r="ES85" s="11">
        <v>5704</v>
      </c>
      <c r="ET85" s="11">
        <v>5583</v>
      </c>
      <c r="EU85" s="26">
        <f t="shared" si="57"/>
        <v>74562</v>
      </c>
      <c r="EV85" s="11">
        <v>800</v>
      </c>
      <c r="EW85" s="11">
        <v>592</v>
      </c>
      <c r="EX85" s="11">
        <v>867</v>
      </c>
      <c r="EY85" s="11">
        <v>542</v>
      </c>
      <c r="EZ85" s="11">
        <v>516</v>
      </c>
      <c r="FA85" s="11">
        <v>719</v>
      </c>
      <c r="FB85" s="11">
        <v>935</v>
      </c>
      <c r="FC85" s="11">
        <v>683</v>
      </c>
      <c r="FD85" s="11">
        <v>637</v>
      </c>
      <c r="FE85" s="11">
        <v>676</v>
      </c>
      <c r="FF85" s="11">
        <v>815</v>
      </c>
      <c r="FG85" s="11">
        <v>848</v>
      </c>
      <c r="FH85" s="26">
        <f t="shared" si="58"/>
        <v>8630</v>
      </c>
      <c r="FI85" s="11">
        <v>4369</v>
      </c>
      <c r="FJ85" s="11">
        <v>4241</v>
      </c>
      <c r="FK85" s="11">
        <v>6809</v>
      </c>
      <c r="FL85" s="11">
        <v>19563</v>
      </c>
      <c r="FM85" s="11">
        <v>3255</v>
      </c>
      <c r="FN85" s="11">
        <v>3209</v>
      </c>
      <c r="FO85" s="11">
        <v>5421</v>
      </c>
      <c r="FP85" s="11">
        <v>3588</v>
      </c>
      <c r="FQ85" s="11">
        <v>2366</v>
      </c>
      <c r="FR85" s="11">
        <v>3452</v>
      </c>
      <c r="FS85" s="11">
        <v>4883</v>
      </c>
      <c r="FT85" s="11">
        <v>4735</v>
      </c>
      <c r="FU85" s="26">
        <f t="shared" si="59"/>
        <v>65891</v>
      </c>
      <c r="FV85" s="11">
        <v>4</v>
      </c>
      <c r="FW85" s="11">
        <v>5</v>
      </c>
      <c r="FX85" s="11">
        <v>10</v>
      </c>
      <c r="FY85" s="11">
        <v>0</v>
      </c>
      <c r="FZ85" s="11">
        <v>0</v>
      </c>
      <c r="GA85" s="11">
        <v>0</v>
      </c>
      <c r="GB85" s="11">
        <v>4</v>
      </c>
      <c r="GC85" s="11">
        <v>4</v>
      </c>
      <c r="GD85" s="11">
        <v>4</v>
      </c>
      <c r="GE85" s="11">
        <v>4</v>
      </c>
      <c r="GF85" s="11">
        <v>6</v>
      </c>
      <c r="GG85" s="11">
        <v>0</v>
      </c>
      <c r="GH85" s="26">
        <f t="shared" si="60"/>
        <v>41</v>
      </c>
      <c r="GI85" s="11">
        <v>0</v>
      </c>
      <c r="GJ85" s="11">
        <v>0</v>
      </c>
      <c r="GK85" s="11">
        <v>0</v>
      </c>
      <c r="GL85" s="11">
        <v>0</v>
      </c>
      <c r="GM85" s="11">
        <v>0</v>
      </c>
      <c r="GN85" s="11">
        <v>0</v>
      </c>
      <c r="GO85" s="11">
        <v>0</v>
      </c>
      <c r="GP85" s="11">
        <v>0</v>
      </c>
      <c r="GQ85" s="11">
        <v>0</v>
      </c>
      <c r="GR85" s="11">
        <v>0</v>
      </c>
      <c r="GS85" s="11">
        <v>0</v>
      </c>
      <c r="GT85" s="11">
        <v>0</v>
      </c>
      <c r="GU85" s="26">
        <f t="shared" si="61"/>
        <v>0</v>
      </c>
      <c r="GV85" s="11">
        <v>0</v>
      </c>
      <c r="GW85" s="11">
        <v>0</v>
      </c>
      <c r="GX85" s="11">
        <v>0</v>
      </c>
      <c r="GY85" s="11">
        <v>0</v>
      </c>
      <c r="GZ85" s="11">
        <v>0</v>
      </c>
      <c r="HA85" s="11">
        <v>0</v>
      </c>
      <c r="HB85" s="11">
        <v>0</v>
      </c>
      <c r="HC85" s="11">
        <v>0</v>
      </c>
      <c r="HD85" s="11">
        <v>0</v>
      </c>
      <c r="HE85" s="11">
        <v>0</v>
      </c>
      <c r="HF85" s="11">
        <v>0</v>
      </c>
      <c r="HG85" s="11">
        <v>0</v>
      </c>
      <c r="HH85" s="26">
        <f t="shared" si="62"/>
        <v>0</v>
      </c>
      <c r="HI85" s="11">
        <v>0</v>
      </c>
      <c r="HJ85" s="11">
        <v>0</v>
      </c>
      <c r="HK85" s="11">
        <v>0</v>
      </c>
      <c r="HL85" s="11">
        <v>0</v>
      </c>
      <c r="HM85" s="11">
        <v>0</v>
      </c>
      <c r="HN85" s="11">
        <v>0</v>
      </c>
      <c r="HO85" s="11">
        <v>0</v>
      </c>
      <c r="HP85" s="11">
        <v>0</v>
      </c>
      <c r="HQ85" s="11">
        <v>0</v>
      </c>
      <c r="HR85" s="11">
        <v>0</v>
      </c>
      <c r="HS85" s="11">
        <v>0</v>
      </c>
      <c r="HT85" s="11">
        <v>0</v>
      </c>
      <c r="HU85" s="26">
        <f t="shared" si="63"/>
        <v>0</v>
      </c>
      <c r="HV85" s="11">
        <v>0</v>
      </c>
      <c r="HW85" s="11">
        <v>0</v>
      </c>
      <c r="HX85" s="11">
        <v>0</v>
      </c>
      <c r="HY85" s="11">
        <v>0</v>
      </c>
      <c r="HZ85" s="11">
        <v>0</v>
      </c>
      <c r="IA85" s="11">
        <v>0</v>
      </c>
      <c r="IB85" s="11">
        <v>0</v>
      </c>
      <c r="IC85" s="11">
        <v>0</v>
      </c>
      <c r="ID85" s="11">
        <v>0</v>
      </c>
      <c r="IE85" s="11">
        <v>0</v>
      </c>
      <c r="IF85" s="11">
        <v>0</v>
      </c>
      <c r="IG85" s="11">
        <v>0</v>
      </c>
      <c r="IH85" s="26">
        <f t="shared" si="64"/>
        <v>0</v>
      </c>
      <c r="II85" s="9">
        <f t="shared" si="65"/>
        <v>74562</v>
      </c>
      <c r="IJ85" s="9">
        <f t="shared" si="66"/>
        <v>0</v>
      </c>
      <c r="IK85" s="11">
        <v>72141</v>
      </c>
      <c r="IL85" s="11">
        <v>47046</v>
      </c>
      <c r="IM85" s="11">
        <v>49399</v>
      </c>
      <c r="IN85" s="11">
        <v>71243</v>
      </c>
      <c r="IO85" s="11">
        <v>78315</v>
      </c>
      <c r="IP85" s="11">
        <v>63726</v>
      </c>
      <c r="IQ85" s="11">
        <v>65406</v>
      </c>
      <c r="IR85" s="11">
        <v>59252</v>
      </c>
      <c r="IS85" s="11">
        <v>48994</v>
      </c>
      <c r="IT85" s="11">
        <v>59741</v>
      </c>
      <c r="IU85" s="11">
        <v>54840</v>
      </c>
      <c r="IV85" s="11">
        <v>59965</v>
      </c>
      <c r="IW85" s="27">
        <f t="shared" si="67"/>
        <v>730068</v>
      </c>
      <c r="IX85" s="11">
        <v>30550</v>
      </c>
      <c r="IY85" s="11">
        <v>20922</v>
      </c>
      <c r="IZ85" s="11">
        <v>21141</v>
      </c>
      <c r="JA85" s="11">
        <v>26954</v>
      </c>
      <c r="JB85" s="11">
        <v>29026</v>
      </c>
      <c r="JC85" s="11">
        <v>27208</v>
      </c>
      <c r="JD85" s="11">
        <v>27728</v>
      </c>
      <c r="JE85" s="11">
        <v>26213</v>
      </c>
      <c r="JF85" s="11">
        <v>23915</v>
      </c>
      <c r="JG85" s="11">
        <v>26434</v>
      </c>
      <c r="JH85" s="11">
        <v>24265</v>
      </c>
      <c r="JI85" s="11">
        <v>26845</v>
      </c>
      <c r="JJ85" s="27">
        <f t="shared" si="68"/>
        <v>311201</v>
      </c>
      <c r="JK85" s="11">
        <v>40166</v>
      </c>
      <c r="JL85" s="11">
        <v>25152</v>
      </c>
      <c r="JM85" s="11">
        <v>27235</v>
      </c>
      <c r="JN85" s="11">
        <v>42834</v>
      </c>
      <c r="JO85" s="11">
        <v>47705</v>
      </c>
      <c r="JP85" s="11">
        <v>35266</v>
      </c>
      <c r="JQ85" s="11">
        <v>36357</v>
      </c>
      <c r="JR85" s="11">
        <v>31904</v>
      </c>
      <c r="JS85" s="11">
        <v>24110</v>
      </c>
      <c r="JT85" s="11">
        <v>32161</v>
      </c>
      <c r="JU85" s="11">
        <v>29497</v>
      </c>
      <c r="JV85" s="11">
        <v>31896</v>
      </c>
      <c r="JW85" s="27">
        <f t="shared" si="69"/>
        <v>404283</v>
      </c>
      <c r="JX85" s="11">
        <v>1425</v>
      </c>
      <c r="JY85" s="11">
        <v>972</v>
      </c>
      <c r="JZ85" s="11">
        <v>1023</v>
      </c>
      <c r="KA85" s="11">
        <v>1455</v>
      </c>
      <c r="KB85" s="11">
        <v>1584</v>
      </c>
      <c r="KC85" s="11">
        <v>1252</v>
      </c>
      <c r="KD85" s="11">
        <v>1321</v>
      </c>
      <c r="KE85" s="11">
        <v>1135</v>
      </c>
      <c r="KF85" s="11">
        <v>969</v>
      </c>
      <c r="KG85" s="11">
        <v>1146</v>
      </c>
      <c r="KH85" s="11">
        <v>1078</v>
      </c>
      <c r="KI85" s="11">
        <v>1224</v>
      </c>
      <c r="KJ85" s="27">
        <f t="shared" si="70"/>
        <v>14584</v>
      </c>
      <c r="KK85" s="11">
        <v>1459</v>
      </c>
      <c r="KL85" s="11">
        <v>914</v>
      </c>
      <c r="KM85" s="11">
        <v>1086</v>
      </c>
      <c r="KN85" s="11">
        <v>1328</v>
      </c>
      <c r="KO85" s="11">
        <v>1356</v>
      </c>
      <c r="KP85" s="11">
        <v>1119</v>
      </c>
      <c r="KQ85" s="11">
        <v>1274</v>
      </c>
      <c r="KR85" s="11">
        <v>1091</v>
      </c>
      <c r="KS85" s="11">
        <v>935</v>
      </c>
      <c r="KT85" s="11">
        <v>1179</v>
      </c>
      <c r="KU85" s="11">
        <v>974</v>
      </c>
      <c r="KV85" s="11">
        <v>1095</v>
      </c>
      <c r="KW85" s="27">
        <f t="shared" si="71"/>
        <v>13810</v>
      </c>
      <c r="KX85" s="11">
        <v>1108</v>
      </c>
      <c r="KY85" s="11">
        <v>671</v>
      </c>
      <c r="KZ85" s="11">
        <v>852</v>
      </c>
      <c r="LA85" s="11">
        <v>994</v>
      </c>
      <c r="LB85" s="11">
        <v>885</v>
      </c>
      <c r="LC85" s="11">
        <v>826</v>
      </c>
      <c r="LD85" s="11">
        <v>968</v>
      </c>
      <c r="LE85" s="11">
        <v>861</v>
      </c>
      <c r="LF85" s="11">
        <v>740</v>
      </c>
      <c r="LG85" s="11">
        <v>894</v>
      </c>
      <c r="LH85" s="11">
        <v>705</v>
      </c>
      <c r="LI85" s="11">
        <v>832</v>
      </c>
      <c r="LJ85" s="27">
        <f t="shared" si="72"/>
        <v>10336</v>
      </c>
      <c r="LK85" s="11">
        <v>351</v>
      </c>
      <c r="LL85" s="11">
        <v>243</v>
      </c>
      <c r="LM85" s="11">
        <v>234</v>
      </c>
      <c r="LN85" s="11">
        <v>334</v>
      </c>
      <c r="LO85" s="11">
        <v>471</v>
      </c>
      <c r="LP85" s="11">
        <v>293</v>
      </c>
      <c r="LQ85" s="11">
        <v>306</v>
      </c>
      <c r="LR85" s="11">
        <v>230</v>
      </c>
      <c r="LS85" s="11">
        <v>195</v>
      </c>
      <c r="LT85" s="11">
        <v>285</v>
      </c>
      <c r="LU85" s="11">
        <v>269</v>
      </c>
      <c r="LV85" s="11">
        <v>263</v>
      </c>
      <c r="LW85" s="27">
        <f t="shared" si="73"/>
        <v>3474</v>
      </c>
      <c r="LX85" s="11">
        <v>0</v>
      </c>
      <c r="LY85" s="11">
        <v>0</v>
      </c>
      <c r="LZ85" s="11">
        <v>0</v>
      </c>
      <c r="MA85" s="11">
        <v>0</v>
      </c>
      <c r="MB85" s="11">
        <v>0</v>
      </c>
      <c r="MC85" s="11">
        <v>0</v>
      </c>
      <c r="MD85" s="11">
        <v>0</v>
      </c>
      <c r="ME85" s="11">
        <v>0</v>
      </c>
      <c r="MF85" s="11">
        <v>0</v>
      </c>
      <c r="MG85" s="11">
        <v>0</v>
      </c>
      <c r="MH85" s="11">
        <v>0</v>
      </c>
      <c r="MI85" s="11">
        <v>0</v>
      </c>
      <c r="MJ85" s="27">
        <f t="shared" si="74"/>
        <v>0</v>
      </c>
      <c r="MK85" s="11">
        <v>2540</v>
      </c>
      <c r="ML85" s="11">
        <v>2828</v>
      </c>
      <c r="MM85" s="11">
        <v>2621</v>
      </c>
      <c r="MN85" s="11">
        <v>2689</v>
      </c>
      <c r="MO85" s="11">
        <v>2791</v>
      </c>
      <c r="MP85" s="11">
        <v>2708</v>
      </c>
      <c r="MQ85" s="11">
        <v>2628</v>
      </c>
      <c r="MR85" s="11">
        <v>2446</v>
      </c>
      <c r="MS85" s="11">
        <v>2458</v>
      </c>
      <c r="MT85" s="11">
        <v>2743</v>
      </c>
      <c r="MU85" s="11">
        <v>2470</v>
      </c>
      <c r="MV85" s="11">
        <v>2762</v>
      </c>
      <c r="MW85" s="27">
        <f t="shared" si="75"/>
        <v>31684</v>
      </c>
      <c r="MX85" s="11">
        <v>0</v>
      </c>
      <c r="MY85" s="11">
        <v>0</v>
      </c>
      <c r="MZ85" s="11">
        <v>0</v>
      </c>
      <c r="NA85" s="11">
        <v>0</v>
      </c>
      <c r="NB85" s="11">
        <v>0</v>
      </c>
      <c r="NC85" s="11">
        <v>0</v>
      </c>
      <c r="ND85" s="11">
        <v>0</v>
      </c>
      <c r="NE85" s="11">
        <v>0</v>
      </c>
      <c r="NF85" s="11">
        <v>0</v>
      </c>
      <c r="NG85" s="11">
        <v>0</v>
      </c>
      <c r="NH85" s="11">
        <v>0</v>
      </c>
      <c r="NI85" s="11">
        <v>0</v>
      </c>
      <c r="NJ85" s="27">
        <f t="shared" si="76"/>
        <v>0</v>
      </c>
      <c r="NK85" s="11">
        <v>0</v>
      </c>
      <c r="NL85" s="11">
        <v>0</v>
      </c>
      <c r="NM85" s="11">
        <v>0</v>
      </c>
      <c r="NN85" s="11">
        <v>0</v>
      </c>
      <c r="NO85" s="11">
        <v>0</v>
      </c>
      <c r="NP85" s="11">
        <v>0</v>
      </c>
      <c r="NQ85" s="11">
        <v>0</v>
      </c>
      <c r="NR85" s="11">
        <v>0</v>
      </c>
      <c r="NS85" s="11">
        <v>0</v>
      </c>
      <c r="NT85" s="11">
        <v>0</v>
      </c>
      <c r="NU85" s="11">
        <v>0</v>
      </c>
      <c r="NV85" s="11">
        <v>0</v>
      </c>
      <c r="NW85" s="27">
        <f t="shared" si="77"/>
        <v>0</v>
      </c>
      <c r="NX85" s="11">
        <v>0</v>
      </c>
      <c r="NY85" s="11">
        <v>0</v>
      </c>
      <c r="NZ85" s="11">
        <v>0</v>
      </c>
      <c r="OA85" s="11">
        <v>0</v>
      </c>
      <c r="OB85" s="11">
        <v>0</v>
      </c>
      <c r="OC85" s="11">
        <v>0</v>
      </c>
      <c r="OD85" s="11">
        <v>0</v>
      </c>
      <c r="OE85" s="11">
        <v>0</v>
      </c>
      <c r="OF85" s="11">
        <v>0</v>
      </c>
      <c r="OG85" s="11">
        <v>0</v>
      </c>
      <c r="OH85" s="11">
        <v>0</v>
      </c>
      <c r="OI85" s="11">
        <v>0</v>
      </c>
      <c r="OJ85" s="27">
        <f t="shared" si="78"/>
        <v>0</v>
      </c>
      <c r="OK85" s="11">
        <v>8696</v>
      </c>
      <c r="OL85" s="11">
        <v>9047</v>
      </c>
      <c r="OM85" s="11">
        <v>8480</v>
      </c>
      <c r="ON85" s="11">
        <v>9275</v>
      </c>
      <c r="OO85" s="11">
        <v>9600</v>
      </c>
      <c r="OP85" s="11">
        <v>9180</v>
      </c>
      <c r="OQ85" s="11">
        <v>9412</v>
      </c>
      <c r="OR85" s="11">
        <v>9422</v>
      </c>
      <c r="OS85" s="11">
        <v>9233</v>
      </c>
      <c r="OT85" s="11">
        <v>9861</v>
      </c>
      <c r="OU85" s="11">
        <v>9260</v>
      </c>
      <c r="OV85" s="11">
        <v>10298</v>
      </c>
      <c r="OW85" s="27">
        <f t="shared" si="79"/>
        <v>111764</v>
      </c>
      <c r="OX85" s="11">
        <v>0</v>
      </c>
      <c r="OY85" s="11">
        <v>0</v>
      </c>
      <c r="OZ85" s="11">
        <v>0</v>
      </c>
      <c r="PA85" s="11">
        <v>0</v>
      </c>
      <c r="PB85" s="11">
        <v>0</v>
      </c>
      <c r="PC85" s="11">
        <v>0</v>
      </c>
      <c r="PD85" s="11">
        <v>0</v>
      </c>
      <c r="PE85" s="11">
        <v>0</v>
      </c>
      <c r="PF85" s="11">
        <v>0</v>
      </c>
      <c r="PG85" s="11">
        <v>0</v>
      </c>
      <c r="PH85" s="11">
        <v>0</v>
      </c>
      <c r="PI85" s="11">
        <v>0</v>
      </c>
      <c r="PJ85" s="27">
        <f t="shared" si="80"/>
        <v>0</v>
      </c>
      <c r="PK85" s="11">
        <v>0</v>
      </c>
      <c r="PL85" s="11">
        <v>0</v>
      </c>
      <c r="PM85" s="11">
        <v>0</v>
      </c>
      <c r="PN85" s="11">
        <v>0</v>
      </c>
      <c r="PO85" s="11">
        <v>0</v>
      </c>
      <c r="PP85" s="11">
        <v>0</v>
      </c>
      <c r="PQ85" s="11">
        <v>0</v>
      </c>
      <c r="PR85" s="11">
        <v>0</v>
      </c>
      <c r="PS85" s="11">
        <v>0</v>
      </c>
      <c r="PT85" s="11">
        <v>0</v>
      </c>
      <c r="PU85" s="11">
        <v>0</v>
      </c>
      <c r="PV85" s="11">
        <v>0</v>
      </c>
      <c r="PW85" s="27">
        <f t="shared" si="81"/>
        <v>0</v>
      </c>
      <c r="PX85" s="11">
        <v>0</v>
      </c>
      <c r="PY85" s="11">
        <v>0</v>
      </c>
      <c r="PZ85" s="11">
        <v>0</v>
      </c>
      <c r="QA85" s="11">
        <v>0</v>
      </c>
      <c r="QB85" s="11">
        <v>0</v>
      </c>
      <c r="QC85" s="11">
        <v>0</v>
      </c>
      <c r="QD85" s="11">
        <v>0</v>
      </c>
      <c r="QE85" s="11">
        <v>0</v>
      </c>
      <c r="QF85" s="11">
        <v>0</v>
      </c>
      <c r="QG85" s="11">
        <v>0</v>
      </c>
      <c r="QH85" s="11">
        <v>0</v>
      </c>
      <c r="QI85" s="11">
        <v>0</v>
      </c>
      <c r="QJ85" s="27">
        <f t="shared" si="82"/>
        <v>0</v>
      </c>
      <c r="QK85" s="11">
        <v>53548</v>
      </c>
      <c r="QL85" s="11">
        <v>47115</v>
      </c>
      <c r="QM85" s="11">
        <v>41619</v>
      </c>
      <c r="QN85" s="11">
        <v>59197</v>
      </c>
      <c r="QO85" s="11">
        <v>59835</v>
      </c>
      <c r="QP85" s="11">
        <v>49556</v>
      </c>
      <c r="QQ85" s="11">
        <v>53947</v>
      </c>
      <c r="QR85" s="11">
        <v>46591</v>
      </c>
      <c r="QS85" s="11">
        <v>35692</v>
      </c>
      <c r="QT85" s="11">
        <v>47261</v>
      </c>
      <c r="QU85" s="11">
        <v>45686</v>
      </c>
      <c r="QV85" s="11">
        <v>48479</v>
      </c>
      <c r="QW85" s="27">
        <f t="shared" si="83"/>
        <v>588526</v>
      </c>
      <c r="QX85" s="11">
        <v>0</v>
      </c>
      <c r="QY85" s="11">
        <v>0</v>
      </c>
      <c r="QZ85" s="11">
        <v>0</v>
      </c>
      <c r="RA85" s="11">
        <v>0</v>
      </c>
      <c r="RB85" s="11">
        <v>0</v>
      </c>
      <c r="RC85" s="11">
        <v>0</v>
      </c>
      <c r="RD85" s="11">
        <v>0</v>
      </c>
      <c r="RE85" s="11">
        <v>0</v>
      </c>
      <c r="RF85" s="11">
        <v>0</v>
      </c>
      <c r="RG85" s="11">
        <v>0</v>
      </c>
      <c r="RH85" s="11">
        <v>0</v>
      </c>
      <c r="RI85" s="11">
        <v>0</v>
      </c>
      <c r="RJ85" s="27">
        <f t="shared" si="84"/>
        <v>0</v>
      </c>
      <c r="RK85" s="11">
        <v>0</v>
      </c>
      <c r="RL85" s="11">
        <v>0</v>
      </c>
      <c r="RM85" s="11">
        <v>0</v>
      </c>
      <c r="RN85" s="11">
        <v>0</v>
      </c>
      <c r="RO85" s="11">
        <v>0</v>
      </c>
      <c r="RP85" s="11">
        <v>0</v>
      </c>
      <c r="RQ85" s="11">
        <v>0</v>
      </c>
      <c r="RR85" s="11">
        <v>0</v>
      </c>
      <c r="RS85" s="11">
        <v>0</v>
      </c>
      <c r="RT85" s="11">
        <v>0</v>
      </c>
      <c r="RU85" s="11">
        <v>0</v>
      </c>
      <c r="RV85" s="11">
        <v>0</v>
      </c>
      <c r="RW85" s="27">
        <f t="shared" si="85"/>
        <v>0</v>
      </c>
      <c r="RX85" s="11">
        <v>0</v>
      </c>
      <c r="RY85" s="11">
        <v>0</v>
      </c>
      <c r="RZ85" s="11">
        <v>0</v>
      </c>
      <c r="SA85" s="11">
        <v>0</v>
      </c>
      <c r="SB85" s="11">
        <v>0</v>
      </c>
      <c r="SC85" s="11">
        <v>0</v>
      </c>
      <c r="SD85" s="11">
        <v>0</v>
      </c>
      <c r="SE85" s="11">
        <v>0</v>
      </c>
      <c r="SF85" s="11">
        <v>0</v>
      </c>
      <c r="SG85" s="11">
        <v>0</v>
      </c>
      <c r="SH85" s="11">
        <v>0</v>
      </c>
      <c r="SI85" s="11">
        <v>0</v>
      </c>
      <c r="SJ85" s="27">
        <f t="shared" si="86"/>
        <v>0</v>
      </c>
      <c r="SK85" s="11">
        <v>0</v>
      </c>
      <c r="SL85" s="11">
        <v>0</v>
      </c>
      <c r="SM85" s="11">
        <v>0</v>
      </c>
      <c r="SN85" s="11">
        <v>0</v>
      </c>
      <c r="SO85" s="11">
        <v>0</v>
      </c>
      <c r="SP85" s="11">
        <v>0</v>
      </c>
      <c r="SQ85" s="11">
        <v>0</v>
      </c>
      <c r="SR85" s="11">
        <v>0</v>
      </c>
      <c r="SS85" s="11">
        <v>0</v>
      </c>
      <c r="ST85" s="11">
        <v>0</v>
      </c>
      <c r="SU85" s="11">
        <v>0</v>
      </c>
      <c r="SV85" s="11">
        <v>1308</v>
      </c>
      <c r="SW85" s="27">
        <f t="shared" si="87"/>
        <v>1308</v>
      </c>
      <c r="SX85" s="28" t="s">
        <v>2725</v>
      </c>
      <c r="SY85" s="11">
        <v>4381</v>
      </c>
      <c r="SZ85" s="11">
        <v>4549</v>
      </c>
      <c r="TA85" s="11">
        <v>3448</v>
      </c>
      <c r="TB85" s="11">
        <v>3719</v>
      </c>
      <c r="TC85" s="11">
        <v>3867</v>
      </c>
      <c r="TD85" s="11">
        <v>3871</v>
      </c>
      <c r="TE85" s="11">
        <v>4347</v>
      </c>
      <c r="TF85" s="11">
        <v>3914</v>
      </c>
      <c r="TG85" s="11">
        <v>3267</v>
      </c>
      <c r="TH85" s="11">
        <v>4142</v>
      </c>
      <c r="TI85" s="11">
        <v>4147</v>
      </c>
      <c r="TJ85" s="11">
        <v>4486</v>
      </c>
      <c r="TK85" s="27">
        <f t="shared" si="88"/>
        <v>48138</v>
      </c>
      <c r="TL85" s="11">
        <v>0</v>
      </c>
      <c r="TM85" s="11">
        <v>0</v>
      </c>
      <c r="TN85" s="11">
        <v>0</v>
      </c>
      <c r="TO85" s="11">
        <v>0</v>
      </c>
      <c r="TP85" s="11">
        <v>0</v>
      </c>
      <c r="TQ85" s="11">
        <v>0</v>
      </c>
      <c r="TR85" s="11">
        <v>0</v>
      </c>
      <c r="TS85" s="11">
        <v>0</v>
      </c>
      <c r="TT85" s="11">
        <v>0</v>
      </c>
      <c r="TU85" s="11">
        <v>0</v>
      </c>
      <c r="TV85" s="11">
        <v>0</v>
      </c>
      <c r="TW85" s="11">
        <v>0</v>
      </c>
      <c r="TX85" s="27">
        <f t="shared" si="89"/>
        <v>0</v>
      </c>
      <c r="TY85" s="11">
        <v>129</v>
      </c>
      <c r="TZ85" s="11">
        <v>0</v>
      </c>
      <c r="UA85" s="11">
        <v>0</v>
      </c>
    </row>
    <row r="86" spans="1:547" ht="16" customHeight="1" x14ac:dyDescent="0.35">
      <c r="A86" s="11" t="s">
        <v>1532</v>
      </c>
      <c r="B86" s="11">
        <v>15443</v>
      </c>
      <c r="C86" s="11">
        <v>4902</v>
      </c>
      <c r="D86" s="11">
        <v>8751</v>
      </c>
      <c r="E86" s="11">
        <v>1790</v>
      </c>
      <c r="F86" s="11">
        <v>92</v>
      </c>
      <c r="G86" s="11">
        <v>81</v>
      </c>
      <c r="H86" s="11">
        <v>88</v>
      </c>
      <c r="I86" s="11">
        <v>90</v>
      </c>
      <c r="J86" s="11">
        <v>115</v>
      </c>
      <c r="K86" s="11">
        <v>101</v>
      </c>
      <c r="L86" s="11">
        <v>130</v>
      </c>
      <c r="M86" s="11">
        <v>119</v>
      </c>
      <c r="N86" s="11">
        <v>127</v>
      </c>
      <c r="O86" s="11">
        <v>136</v>
      </c>
      <c r="P86" s="11" t="s">
        <v>2865</v>
      </c>
      <c r="Q86" s="11">
        <v>122</v>
      </c>
      <c r="R86" s="11">
        <v>114</v>
      </c>
      <c r="S86" s="26">
        <f t="shared" si="45"/>
        <v>1315</v>
      </c>
      <c r="T86" s="11">
        <v>340</v>
      </c>
      <c r="U86" s="11">
        <v>35</v>
      </c>
      <c r="V86" s="11">
        <v>39</v>
      </c>
      <c r="W86" s="11">
        <v>39</v>
      </c>
      <c r="X86" s="11">
        <v>46</v>
      </c>
      <c r="Y86" s="11">
        <v>67</v>
      </c>
      <c r="Z86" s="11">
        <v>73</v>
      </c>
      <c r="AA86" s="11">
        <v>65</v>
      </c>
      <c r="AB86" s="11">
        <v>50</v>
      </c>
      <c r="AC86" s="11">
        <v>72</v>
      </c>
      <c r="AD86" s="11">
        <v>55</v>
      </c>
      <c r="AE86" s="11">
        <v>80</v>
      </c>
      <c r="AF86" s="26">
        <f t="shared" si="46"/>
        <v>961</v>
      </c>
      <c r="AG86" s="11">
        <v>46</v>
      </c>
      <c r="AH86" s="11">
        <v>41</v>
      </c>
      <c r="AI86" s="11">
        <v>35</v>
      </c>
      <c r="AJ86" s="11">
        <v>45</v>
      </c>
      <c r="AK86" s="11">
        <v>60</v>
      </c>
      <c r="AL86" s="11">
        <v>31</v>
      </c>
      <c r="AM86" s="11">
        <v>45</v>
      </c>
      <c r="AN86" s="11">
        <v>41</v>
      </c>
      <c r="AO86" s="11">
        <v>70</v>
      </c>
      <c r="AP86" s="11">
        <v>55</v>
      </c>
      <c r="AQ86" s="11">
        <v>59</v>
      </c>
      <c r="AR86" s="11">
        <v>52</v>
      </c>
      <c r="AS86" s="26">
        <f t="shared" si="47"/>
        <v>580</v>
      </c>
      <c r="AT86" s="11">
        <v>6</v>
      </c>
      <c r="AU86" s="11">
        <v>4</v>
      </c>
      <c r="AV86" s="11">
        <v>5</v>
      </c>
      <c r="AW86" s="11">
        <v>2</v>
      </c>
      <c r="AX86" s="11">
        <v>4</v>
      </c>
      <c r="AY86" s="11">
        <v>2</v>
      </c>
      <c r="AZ86" s="11">
        <v>8</v>
      </c>
      <c r="BA86" s="11">
        <v>8</v>
      </c>
      <c r="BB86" s="11">
        <v>3</v>
      </c>
      <c r="BC86" s="11">
        <v>0</v>
      </c>
      <c r="BD86" s="11">
        <v>6</v>
      </c>
      <c r="BE86" s="11">
        <v>7</v>
      </c>
      <c r="BF86" s="26">
        <f t="shared" si="48"/>
        <v>55</v>
      </c>
      <c r="BG86" s="11">
        <v>6</v>
      </c>
      <c r="BH86" s="11">
        <v>1</v>
      </c>
      <c r="BI86" s="11">
        <v>9</v>
      </c>
      <c r="BJ86" s="11">
        <v>4</v>
      </c>
      <c r="BK86" s="11">
        <v>5</v>
      </c>
      <c r="BL86" s="11">
        <v>1</v>
      </c>
      <c r="BM86" s="11">
        <v>4</v>
      </c>
      <c r="BN86" s="11">
        <v>4</v>
      </c>
      <c r="BO86" s="11">
        <v>4</v>
      </c>
      <c r="BP86" s="11">
        <v>9</v>
      </c>
      <c r="BQ86" s="11">
        <v>6</v>
      </c>
      <c r="BR86" s="11">
        <v>5</v>
      </c>
      <c r="BS86" s="26">
        <f t="shared" si="49"/>
        <v>58</v>
      </c>
      <c r="BT86" s="11">
        <v>0</v>
      </c>
      <c r="BU86" s="11">
        <v>0</v>
      </c>
      <c r="BV86" s="11">
        <v>0</v>
      </c>
      <c r="BW86" s="11">
        <v>0</v>
      </c>
      <c r="BX86" s="11">
        <v>0</v>
      </c>
      <c r="BY86" s="11">
        <v>0</v>
      </c>
      <c r="BZ86" s="11">
        <v>0</v>
      </c>
      <c r="CA86" s="11">
        <v>0</v>
      </c>
      <c r="CB86" s="11">
        <v>0</v>
      </c>
      <c r="CC86" s="11">
        <v>0</v>
      </c>
      <c r="CD86" s="11">
        <v>0</v>
      </c>
      <c r="CE86" s="11">
        <v>0</v>
      </c>
      <c r="CF86" s="26">
        <f t="shared" si="50"/>
        <v>0</v>
      </c>
      <c r="CG86" s="11">
        <v>0</v>
      </c>
      <c r="CH86" s="11">
        <v>0</v>
      </c>
      <c r="CI86" s="11">
        <v>0</v>
      </c>
      <c r="CJ86" s="11">
        <v>0</v>
      </c>
      <c r="CK86" s="11">
        <v>0</v>
      </c>
      <c r="CL86" s="11">
        <v>0</v>
      </c>
      <c r="CM86" s="11">
        <v>0</v>
      </c>
      <c r="CN86" s="11">
        <v>0</v>
      </c>
      <c r="CO86" s="11">
        <v>0</v>
      </c>
      <c r="CP86" s="11">
        <v>0</v>
      </c>
      <c r="CQ86" s="11">
        <v>0</v>
      </c>
      <c r="CR86" s="11">
        <v>0</v>
      </c>
      <c r="CS86" s="26">
        <f t="shared" si="51"/>
        <v>0</v>
      </c>
      <c r="CT86" s="11">
        <v>0</v>
      </c>
      <c r="CU86" s="11">
        <v>0</v>
      </c>
      <c r="CV86" s="11">
        <v>0</v>
      </c>
      <c r="CW86" s="11">
        <v>0</v>
      </c>
      <c r="CX86" s="11">
        <v>0</v>
      </c>
      <c r="CY86" s="11">
        <v>0</v>
      </c>
      <c r="CZ86" s="11">
        <v>0</v>
      </c>
      <c r="DA86" s="11">
        <v>0</v>
      </c>
      <c r="DB86" s="11">
        <v>0</v>
      </c>
      <c r="DC86" s="11">
        <v>0</v>
      </c>
      <c r="DD86" s="11">
        <v>0</v>
      </c>
      <c r="DE86" s="11">
        <v>0</v>
      </c>
      <c r="DF86" s="26">
        <f t="shared" si="52"/>
        <v>0</v>
      </c>
      <c r="DG86" s="11">
        <v>0</v>
      </c>
      <c r="DH86" s="11">
        <v>0</v>
      </c>
      <c r="DI86" s="11">
        <v>0</v>
      </c>
      <c r="DJ86" s="11">
        <v>0</v>
      </c>
      <c r="DK86" s="11">
        <v>0</v>
      </c>
      <c r="DL86" s="11">
        <v>0</v>
      </c>
      <c r="DM86" s="11">
        <v>0</v>
      </c>
      <c r="DN86" s="11">
        <v>0</v>
      </c>
      <c r="DO86" s="11">
        <v>0</v>
      </c>
      <c r="DP86" s="11">
        <v>0</v>
      </c>
      <c r="DQ86" s="11">
        <v>0</v>
      </c>
      <c r="DR86" s="11">
        <v>0</v>
      </c>
      <c r="DS86" s="26">
        <f t="shared" si="53"/>
        <v>0</v>
      </c>
      <c r="DT86" s="11">
        <v>0</v>
      </c>
      <c r="DU86" s="11">
        <v>0</v>
      </c>
      <c r="DV86" s="11">
        <v>0</v>
      </c>
      <c r="DW86" s="11">
        <v>0</v>
      </c>
      <c r="DX86" s="11">
        <v>0</v>
      </c>
      <c r="DY86" s="11">
        <v>0</v>
      </c>
      <c r="DZ86" s="11">
        <v>0</v>
      </c>
      <c r="EA86" s="11">
        <v>0</v>
      </c>
      <c r="EB86" s="11">
        <v>0</v>
      </c>
      <c r="EC86" s="11">
        <v>0</v>
      </c>
      <c r="ED86" s="11">
        <v>0</v>
      </c>
      <c r="EE86" s="11">
        <v>0</v>
      </c>
      <c r="EF86" s="26">
        <f t="shared" si="54"/>
        <v>0</v>
      </c>
      <c r="EG86" s="9">
        <f t="shared" si="55"/>
        <v>1654</v>
      </c>
      <c r="EH86" s="9">
        <f t="shared" si="56"/>
        <v>0</v>
      </c>
      <c r="EI86" s="11">
        <v>2664</v>
      </c>
      <c r="EJ86" s="11">
        <v>2742</v>
      </c>
      <c r="EK86" s="11">
        <v>4051</v>
      </c>
      <c r="EL86" s="11">
        <v>4564</v>
      </c>
      <c r="EM86" s="11">
        <v>2089</v>
      </c>
      <c r="EN86" s="11">
        <v>2523</v>
      </c>
      <c r="EO86" s="11">
        <v>4331</v>
      </c>
      <c r="EP86" s="11">
        <v>3176</v>
      </c>
      <c r="EQ86" s="11">
        <v>2464</v>
      </c>
      <c r="ER86" s="11">
        <v>2946</v>
      </c>
      <c r="ES86" s="11">
        <v>3608</v>
      </c>
      <c r="ET86" s="11">
        <v>3584</v>
      </c>
      <c r="EU86" s="26">
        <f t="shared" si="57"/>
        <v>38742</v>
      </c>
      <c r="EV86" s="11">
        <v>0</v>
      </c>
      <c r="EW86" s="11">
        <v>0</v>
      </c>
      <c r="EX86" s="11">
        <v>0</v>
      </c>
      <c r="EY86" s="11">
        <v>0</v>
      </c>
      <c r="EZ86" s="11">
        <v>0</v>
      </c>
      <c r="FA86" s="11">
        <v>0</v>
      </c>
      <c r="FB86" s="11">
        <v>0</v>
      </c>
      <c r="FC86" s="11">
        <v>0</v>
      </c>
      <c r="FD86" s="11">
        <v>0</v>
      </c>
      <c r="FE86" s="11">
        <v>0</v>
      </c>
      <c r="FF86" s="11">
        <v>0</v>
      </c>
      <c r="FG86" s="11">
        <v>0</v>
      </c>
      <c r="FH86" s="26">
        <f t="shared" si="58"/>
        <v>0</v>
      </c>
      <c r="FI86" s="11">
        <v>0</v>
      </c>
      <c r="FJ86" s="11">
        <v>0</v>
      </c>
      <c r="FK86" s="11">
        <v>0</v>
      </c>
      <c r="FL86" s="11">
        <v>0</v>
      </c>
      <c r="FM86" s="11">
        <v>0</v>
      </c>
      <c r="FN86" s="11">
        <v>0</v>
      </c>
      <c r="FO86" s="11">
        <v>0</v>
      </c>
      <c r="FP86" s="11">
        <v>0</v>
      </c>
      <c r="FQ86" s="11">
        <v>0</v>
      </c>
      <c r="FR86" s="11">
        <v>0</v>
      </c>
      <c r="FS86" s="11">
        <v>0</v>
      </c>
      <c r="FT86" s="11">
        <v>0</v>
      </c>
      <c r="FU86" s="26">
        <f t="shared" si="59"/>
        <v>0</v>
      </c>
      <c r="FV86" s="11">
        <v>0</v>
      </c>
      <c r="FW86" s="11">
        <v>0</v>
      </c>
      <c r="FX86" s="11">
        <v>0</v>
      </c>
      <c r="FY86" s="11">
        <v>0</v>
      </c>
      <c r="FZ86" s="11">
        <v>0</v>
      </c>
      <c r="GA86" s="11">
        <v>0</v>
      </c>
      <c r="GB86" s="11">
        <v>0</v>
      </c>
      <c r="GC86" s="11">
        <v>0</v>
      </c>
      <c r="GD86" s="11">
        <v>0</v>
      </c>
      <c r="GE86" s="11">
        <v>0</v>
      </c>
      <c r="GF86" s="11">
        <v>0</v>
      </c>
      <c r="GG86" s="11">
        <v>0</v>
      </c>
      <c r="GH86" s="26">
        <f t="shared" si="60"/>
        <v>0</v>
      </c>
      <c r="GI86" s="11">
        <v>0</v>
      </c>
      <c r="GJ86" s="11">
        <v>0</v>
      </c>
      <c r="GK86" s="11">
        <v>0</v>
      </c>
      <c r="GL86" s="11">
        <v>0</v>
      </c>
      <c r="GM86" s="11">
        <v>0</v>
      </c>
      <c r="GN86" s="11">
        <v>0</v>
      </c>
      <c r="GO86" s="11">
        <v>0</v>
      </c>
      <c r="GP86" s="11">
        <v>0</v>
      </c>
      <c r="GQ86" s="11">
        <v>0</v>
      </c>
      <c r="GR86" s="11">
        <v>0</v>
      </c>
      <c r="GS86" s="11">
        <v>0</v>
      </c>
      <c r="GT86" s="11">
        <v>0</v>
      </c>
      <c r="GU86" s="26">
        <f t="shared" si="61"/>
        <v>0</v>
      </c>
      <c r="GV86" s="11">
        <v>0</v>
      </c>
      <c r="GW86" s="11">
        <v>0</v>
      </c>
      <c r="GX86" s="11">
        <v>0</v>
      </c>
      <c r="GY86" s="11">
        <v>0</v>
      </c>
      <c r="GZ86" s="11">
        <v>0</v>
      </c>
      <c r="HA86" s="11">
        <v>0</v>
      </c>
      <c r="HB86" s="11">
        <v>0</v>
      </c>
      <c r="HC86" s="11">
        <v>0</v>
      </c>
      <c r="HD86" s="11">
        <v>0</v>
      </c>
      <c r="HE86" s="11">
        <v>0</v>
      </c>
      <c r="HF86" s="11">
        <v>0</v>
      </c>
      <c r="HG86" s="11">
        <v>0</v>
      </c>
      <c r="HH86" s="26">
        <f t="shared" si="62"/>
        <v>0</v>
      </c>
      <c r="HI86" s="11">
        <v>0</v>
      </c>
      <c r="HJ86" s="11">
        <v>0</v>
      </c>
      <c r="HK86" s="11">
        <v>0</v>
      </c>
      <c r="HL86" s="11">
        <v>0</v>
      </c>
      <c r="HM86" s="11">
        <v>0</v>
      </c>
      <c r="HN86" s="11">
        <v>0</v>
      </c>
      <c r="HO86" s="11">
        <v>0</v>
      </c>
      <c r="HP86" s="11">
        <v>0</v>
      </c>
      <c r="HQ86" s="11">
        <v>0</v>
      </c>
      <c r="HR86" s="11">
        <v>0</v>
      </c>
      <c r="HS86" s="11">
        <v>0</v>
      </c>
      <c r="HT86" s="11">
        <v>0</v>
      </c>
      <c r="HU86" s="26">
        <f t="shared" si="63"/>
        <v>0</v>
      </c>
      <c r="HV86" s="11">
        <v>0</v>
      </c>
      <c r="HW86" s="11">
        <v>0</v>
      </c>
      <c r="HX86" s="11">
        <v>0</v>
      </c>
      <c r="HY86" s="11">
        <v>0</v>
      </c>
      <c r="HZ86" s="11">
        <v>0</v>
      </c>
      <c r="IA86" s="11">
        <v>0</v>
      </c>
      <c r="IB86" s="11">
        <v>0</v>
      </c>
      <c r="IC86" s="11">
        <v>0</v>
      </c>
      <c r="ID86" s="11">
        <v>0</v>
      </c>
      <c r="IE86" s="11">
        <v>0</v>
      </c>
      <c r="IF86" s="11">
        <v>0</v>
      </c>
      <c r="IG86" s="11">
        <v>0</v>
      </c>
      <c r="IH86" s="26">
        <f t="shared" si="64"/>
        <v>0</v>
      </c>
      <c r="II86" s="9">
        <f t="shared" si="65"/>
        <v>0</v>
      </c>
      <c r="IJ86" s="9">
        <f t="shared" si="66"/>
        <v>0</v>
      </c>
      <c r="IK86" s="11">
        <v>20475</v>
      </c>
      <c r="IL86" s="11">
        <v>18464</v>
      </c>
      <c r="IM86" s="11">
        <v>16793</v>
      </c>
      <c r="IN86" s="11">
        <v>19510</v>
      </c>
      <c r="IO86" s="11">
        <v>20572</v>
      </c>
      <c r="IP86" s="11">
        <v>17427</v>
      </c>
      <c r="IQ86" s="11">
        <v>19081</v>
      </c>
      <c r="IR86" s="11">
        <v>17597</v>
      </c>
      <c r="IS86" s="11">
        <v>13268</v>
      </c>
      <c r="IT86" s="11">
        <v>18263</v>
      </c>
      <c r="IU86" s="11">
        <v>17791</v>
      </c>
      <c r="IV86" s="11">
        <v>16691</v>
      </c>
      <c r="IW86" s="27">
        <f t="shared" si="67"/>
        <v>215932</v>
      </c>
      <c r="IX86" s="11">
        <v>12639</v>
      </c>
      <c r="IY86" s="11">
        <v>11712</v>
      </c>
      <c r="IZ86" s="11">
        <v>11069</v>
      </c>
      <c r="JA86" s="11">
        <v>11945</v>
      </c>
      <c r="JB86" s="11">
        <v>12409</v>
      </c>
      <c r="JC86" s="11">
        <v>11385</v>
      </c>
      <c r="JD86" s="11">
        <v>12143</v>
      </c>
      <c r="JE86" s="11">
        <v>11311</v>
      </c>
      <c r="JF86" s="11">
        <v>8723</v>
      </c>
      <c r="JG86" s="11">
        <v>11775</v>
      </c>
      <c r="JH86" s="11">
        <v>10769</v>
      </c>
      <c r="JI86" s="11">
        <v>10801</v>
      </c>
      <c r="JJ86" s="27">
        <f t="shared" si="68"/>
        <v>136681</v>
      </c>
      <c r="JK86" s="11">
        <v>7296</v>
      </c>
      <c r="JL86" s="11">
        <v>6252</v>
      </c>
      <c r="JM86" s="11">
        <v>5250</v>
      </c>
      <c r="JN86" s="11">
        <v>7114</v>
      </c>
      <c r="JO86" s="11">
        <v>7637</v>
      </c>
      <c r="JP86" s="11">
        <v>5620</v>
      </c>
      <c r="JQ86" s="11">
        <v>6471</v>
      </c>
      <c r="JR86" s="11">
        <v>5824</v>
      </c>
      <c r="JS86" s="11">
        <v>4179</v>
      </c>
      <c r="JT86" s="11">
        <v>6094</v>
      </c>
      <c r="JU86" s="11">
        <v>6430</v>
      </c>
      <c r="JV86" s="11">
        <v>5339</v>
      </c>
      <c r="JW86" s="27">
        <f t="shared" si="69"/>
        <v>73506</v>
      </c>
      <c r="JX86" s="11">
        <v>121</v>
      </c>
      <c r="JY86" s="11">
        <v>158</v>
      </c>
      <c r="JZ86" s="11">
        <v>134</v>
      </c>
      <c r="KA86" s="11">
        <v>120</v>
      </c>
      <c r="KB86" s="11">
        <v>196</v>
      </c>
      <c r="KC86" s="11">
        <v>99</v>
      </c>
      <c r="KD86" s="11">
        <v>140</v>
      </c>
      <c r="KE86" s="11">
        <v>118</v>
      </c>
      <c r="KF86" s="11">
        <v>98</v>
      </c>
      <c r="KG86" s="11">
        <v>126</v>
      </c>
      <c r="KH86" s="11">
        <v>149</v>
      </c>
      <c r="KI86" s="11">
        <v>159</v>
      </c>
      <c r="KJ86" s="27">
        <f t="shared" si="70"/>
        <v>1618</v>
      </c>
      <c r="KK86" s="11">
        <v>360</v>
      </c>
      <c r="KL86" s="11">
        <v>342</v>
      </c>
      <c r="KM86" s="11">
        <v>340</v>
      </c>
      <c r="KN86" s="11">
        <v>331</v>
      </c>
      <c r="KO86" s="11">
        <v>330</v>
      </c>
      <c r="KP86" s="11">
        <v>333</v>
      </c>
      <c r="KQ86" s="11">
        <v>327</v>
      </c>
      <c r="KR86" s="11">
        <v>344</v>
      </c>
      <c r="KS86" s="11">
        <v>268</v>
      </c>
      <c r="KT86" s="11">
        <v>268</v>
      </c>
      <c r="KU86" s="11">
        <v>443</v>
      </c>
      <c r="KV86" s="11">
        <v>392</v>
      </c>
      <c r="KW86" s="27">
        <f t="shared" si="71"/>
        <v>4078</v>
      </c>
      <c r="KX86" s="11">
        <v>0</v>
      </c>
      <c r="KY86" s="11">
        <v>0</v>
      </c>
      <c r="KZ86" s="11">
        <v>0</v>
      </c>
      <c r="LA86" s="11">
        <v>0</v>
      </c>
      <c r="LB86" s="11">
        <v>0</v>
      </c>
      <c r="LC86" s="11">
        <v>0</v>
      </c>
      <c r="LD86" s="11">
        <v>0</v>
      </c>
      <c r="LE86" s="11">
        <v>0</v>
      </c>
      <c r="LF86" s="11">
        <v>0</v>
      </c>
      <c r="LG86" s="11">
        <v>0</v>
      </c>
      <c r="LH86" s="11">
        <v>0</v>
      </c>
      <c r="LI86" s="11">
        <v>0</v>
      </c>
      <c r="LJ86" s="27">
        <f t="shared" si="72"/>
        <v>0</v>
      </c>
      <c r="LK86" s="11">
        <v>0</v>
      </c>
      <c r="LL86" s="11">
        <v>0</v>
      </c>
      <c r="LM86" s="11">
        <v>0</v>
      </c>
      <c r="LN86" s="11">
        <v>0</v>
      </c>
      <c r="LO86" s="11">
        <v>0</v>
      </c>
      <c r="LP86" s="11">
        <v>0</v>
      </c>
      <c r="LQ86" s="11">
        <v>0</v>
      </c>
      <c r="LR86" s="11">
        <v>0</v>
      </c>
      <c r="LS86" s="11">
        <v>0</v>
      </c>
      <c r="LT86" s="11">
        <v>0</v>
      </c>
      <c r="LU86" s="11">
        <v>0</v>
      </c>
      <c r="LV86" s="11">
        <v>0</v>
      </c>
      <c r="LW86" s="27">
        <f t="shared" si="73"/>
        <v>0</v>
      </c>
      <c r="LX86" s="11">
        <v>0</v>
      </c>
      <c r="LY86" s="11">
        <v>0</v>
      </c>
      <c r="LZ86" s="11">
        <v>0</v>
      </c>
      <c r="MA86" s="11">
        <v>0</v>
      </c>
      <c r="MB86" s="11">
        <v>0</v>
      </c>
      <c r="MC86" s="11">
        <v>0</v>
      </c>
      <c r="MD86" s="11">
        <v>0</v>
      </c>
      <c r="ME86" s="11">
        <v>0</v>
      </c>
      <c r="MF86" s="11">
        <v>0</v>
      </c>
      <c r="MG86" s="11">
        <v>0</v>
      </c>
      <c r="MH86" s="11">
        <v>0</v>
      </c>
      <c r="MI86" s="11">
        <v>0</v>
      </c>
      <c r="MJ86" s="27">
        <f t="shared" si="74"/>
        <v>0</v>
      </c>
      <c r="MK86" s="11">
        <v>1618</v>
      </c>
      <c r="ML86" s="11">
        <v>1733</v>
      </c>
      <c r="MM86" s="11">
        <v>1721</v>
      </c>
      <c r="MN86" s="11">
        <v>1810</v>
      </c>
      <c r="MO86" s="11">
        <v>1830</v>
      </c>
      <c r="MP86" s="11">
        <v>1705</v>
      </c>
      <c r="MQ86" s="11">
        <v>1640</v>
      </c>
      <c r="MR86" s="11">
        <v>1578</v>
      </c>
      <c r="MS86" s="11">
        <v>1576</v>
      </c>
      <c r="MT86" s="11">
        <v>1685</v>
      </c>
      <c r="MU86" s="11">
        <v>1392</v>
      </c>
      <c r="MV86" s="11">
        <v>1722</v>
      </c>
      <c r="MW86" s="27">
        <f t="shared" si="75"/>
        <v>20010</v>
      </c>
      <c r="MX86" s="11">
        <v>0</v>
      </c>
      <c r="MY86" s="11">
        <v>0</v>
      </c>
      <c r="MZ86" s="11">
        <v>0</v>
      </c>
      <c r="NA86" s="11">
        <v>0</v>
      </c>
      <c r="NB86" s="11">
        <v>0</v>
      </c>
      <c r="NC86" s="11">
        <v>0</v>
      </c>
      <c r="ND86" s="11">
        <v>0</v>
      </c>
      <c r="NE86" s="11">
        <v>0</v>
      </c>
      <c r="NF86" s="11">
        <v>0</v>
      </c>
      <c r="NG86" s="11">
        <v>0</v>
      </c>
      <c r="NH86" s="11">
        <v>0</v>
      </c>
      <c r="NI86" s="11">
        <v>0</v>
      </c>
      <c r="NJ86" s="27">
        <f t="shared" si="76"/>
        <v>0</v>
      </c>
      <c r="NK86" s="11">
        <v>0</v>
      </c>
      <c r="NL86" s="11">
        <v>0</v>
      </c>
      <c r="NM86" s="11">
        <v>0</v>
      </c>
      <c r="NN86" s="11">
        <v>0</v>
      </c>
      <c r="NO86" s="11">
        <v>0</v>
      </c>
      <c r="NP86" s="11">
        <v>0</v>
      </c>
      <c r="NQ86" s="11">
        <v>0</v>
      </c>
      <c r="NR86" s="11">
        <v>0</v>
      </c>
      <c r="NS86" s="11">
        <v>0</v>
      </c>
      <c r="NT86" s="11">
        <v>0</v>
      </c>
      <c r="NU86" s="11">
        <v>0</v>
      </c>
      <c r="NV86" s="11">
        <v>0</v>
      </c>
      <c r="NW86" s="27">
        <f t="shared" si="77"/>
        <v>0</v>
      </c>
      <c r="NX86" s="11">
        <v>0</v>
      </c>
      <c r="NY86" s="11">
        <v>0</v>
      </c>
      <c r="NZ86" s="11">
        <v>0</v>
      </c>
      <c r="OA86" s="11">
        <v>0</v>
      </c>
      <c r="OB86" s="11">
        <v>0</v>
      </c>
      <c r="OC86" s="11">
        <v>0</v>
      </c>
      <c r="OD86" s="11">
        <v>0</v>
      </c>
      <c r="OE86" s="11">
        <v>0</v>
      </c>
      <c r="OF86" s="11">
        <v>0</v>
      </c>
      <c r="OG86" s="11">
        <v>0</v>
      </c>
      <c r="OH86" s="11">
        <v>0</v>
      </c>
      <c r="OI86" s="11">
        <v>0</v>
      </c>
      <c r="OJ86" s="27">
        <f t="shared" si="78"/>
        <v>0</v>
      </c>
      <c r="OK86" s="11">
        <v>1916</v>
      </c>
      <c r="OL86" s="11">
        <v>1959</v>
      </c>
      <c r="OM86" s="11">
        <v>2156</v>
      </c>
      <c r="ON86" s="11">
        <v>2116</v>
      </c>
      <c r="OO86" s="11">
        <v>2181</v>
      </c>
      <c r="OP86" s="11">
        <v>2035</v>
      </c>
      <c r="OQ86" s="11">
        <v>2147</v>
      </c>
      <c r="OR86" s="11">
        <v>2026</v>
      </c>
      <c r="OS86" s="11">
        <v>1883</v>
      </c>
      <c r="OT86" s="11">
        <v>2121</v>
      </c>
      <c r="OU86" s="11">
        <v>1361</v>
      </c>
      <c r="OV86" s="11">
        <v>2147</v>
      </c>
      <c r="OW86" s="27">
        <f t="shared" si="79"/>
        <v>24048</v>
      </c>
      <c r="OX86" s="11">
        <v>0</v>
      </c>
      <c r="OY86" s="11">
        <v>0</v>
      </c>
      <c r="OZ86" s="11">
        <v>0</v>
      </c>
      <c r="PA86" s="11">
        <v>0</v>
      </c>
      <c r="PB86" s="11">
        <v>0</v>
      </c>
      <c r="PC86" s="11">
        <v>0</v>
      </c>
      <c r="PD86" s="11">
        <v>0</v>
      </c>
      <c r="PE86" s="11">
        <v>0</v>
      </c>
      <c r="PF86" s="11">
        <v>0</v>
      </c>
      <c r="PG86" s="11">
        <v>0</v>
      </c>
      <c r="PH86" s="11">
        <v>0</v>
      </c>
      <c r="PI86" s="11">
        <v>0</v>
      </c>
      <c r="PJ86" s="27">
        <f t="shared" si="80"/>
        <v>0</v>
      </c>
      <c r="PK86" s="11">
        <v>0</v>
      </c>
      <c r="PL86" s="11">
        <v>0</v>
      </c>
      <c r="PM86" s="11">
        <v>0</v>
      </c>
      <c r="PN86" s="11">
        <v>0</v>
      </c>
      <c r="PO86" s="11">
        <v>0</v>
      </c>
      <c r="PP86" s="11">
        <v>0</v>
      </c>
      <c r="PQ86" s="11">
        <v>0</v>
      </c>
      <c r="PR86" s="11">
        <v>0</v>
      </c>
      <c r="PS86" s="11">
        <v>0</v>
      </c>
      <c r="PT86" s="11">
        <v>0</v>
      </c>
      <c r="PU86" s="11">
        <v>0</v>
      </c>
      <c r="PV86" s="11">
        <v>0</v>
      </c>
      <c r="PW86" s="27">
        <f t="shared" si="81"/>
        <v>0</v>
      </c>
      <c r="PX86" s="11">
        <v>0</v>
      </c>
      <c r="PY86" s="11">
        <v>0</v>
      </c>
      <c r="PZ86" s="11">
        <v>0</v>
      </c>
      <c r="QA86" s="11">
        <v>0</v>
      </c>
      <c r="QB86" s="11">
        <v>0</v>
      </c>
      <c r="QC86" s="11">
        <v>0</v>
      </c>
      <c r="QD86" s="11">
        <v>0</v>
      </c>
      <c r="QE86" s="11">
        <v>0</v>
      </c>
      <c r="QF86" s="11">
        <v>0</v>
      </c>
      <c r="QG86" s="11">
        <v>0</v>
      </c>
      <c r="QH86" s="11">
        <v>0</v>
      </c>
      <c r="QI86" s="11">
        <v>0</v>
      </c>
      <c r="QJ86" s="27">
        <f t="shared" si="82"/>
        <v>0</v>
      </c>
      <c r="QK86" s="11">
        <v>28000</v>
      </c>
      <c r="QL86" s="11">
        <v>30000</v>
      </c>
      <c r="QM86" s="11">
        <v>22000</v>
      </c>
      <c r="QN86" s="11">
        <v>30000</v>
      </c>
      <c r="QO86" s="11">
        <v>33012</v>
      </c>
      <c r="QP86" s="11">
        <v>19748</v>
      </c>
      <c r="QQ86" s="11">
        <v>23381</v>
      </c>
      <c r="QR86" s="11">
        <v>22464</v>
      </c>
      <c r="QS86" s="11">
        <v>18767</v>
      </c>
      <c r="QT86" s="11">
        <v>20629</v>
      </c>
      <c r="QU86" s="11">
        <v>23014</v>
      </c>
      <c r="QV86" s="11">
        <v>22260</v>
      </c>
      <c r="QW86" s="27">
        <f t="shared" si="83"/>
        <v>293275</v>
      </c>
      <c r="QX86" s="11">
        <v>0</v>
      </c>
      <c r="QY86" s="11">
        <v>0</v>
      </c>
      <c r="QZ86" s="11">
        <v>0</v>
      </c>
      <c r="RA86" s="11">
        <v>0</v>
      </c>
      <c r="RB86" s="11">
        <v>0</v>
      </c>
      <c r="RC86" s="11">
        <v>0</v>
      </c>
      <c r="RD86" s="11">
        <v>0</v>
      </c>
      <c r="RE86" s="11">
        <v>0</v>
      </c>
      <c r="RF86" s="11">
        <v>0</v>
      </c>
      <c r="RG86" s="11">
        <v>0</v>
      </c>
      <c r="RH86" s="11">
        <v>0</v>
      </c>
      <c r="RI86" s="11">
        <v>0</v>
      </c>
      <c r="RJ86" s="27">
        <f t="shared" si="84"/>
        <v>0</v>
      </c>
      <c r="RK86" s="11">
        <v>0</v>
      </c>
      <c r="RL86" s="11">
        <v>0</v>
      </c>
      <c r="RM86" s="11">
        <v>0</v>
      </c>
      <c r="RN86" s="11">
        <v>0</v>
      </c>
      <c r="RO86" s="11">
        <v>0</v>
      </c>
      <c r="RP86" s="11">
        <v>0</v>
      </c>
      <c r="RQ86" s="11">
        <v>0</v>
      </c>
      <c r="RR86" s="11">
        <v>0</v>
      </c>
      <c r="RS86" s="11">
        <v>0</v>
      </c>
      <c r="RT86" s="11">
        <v>0</v>
      </c>
      <c r="RU86" s="11">
        <v>0</v>
      </c>
      <c r="RV86" s="11">
        <v>0</v>
      </c>
      <c r="RW86" s="27">
        <f t="shared" si="85"/>
        <v>0</v>
      </c>
      <c r="RX86" s="11">
        <v>0</v>
      </c>
      <c r="RY86" s="11">
        <v>0</v>
      </c>
      <c r="RZ86" s="11">
        <v>0</v>
      </c>
      <c r="SA86" s="11">
        <v>0</v>
      </c>
      <c r="SB86" s="11">
        <v>0</v>
      </c>
      <c r="SC86" s="11">
        <v>0</v>
      </c>
      <c r="SD86" s="11">
        <v>0</v>
      </c>
      <c r="SE86" s="11">
        <v>0</v>
      </c>
      <c r="SF86" s="11">
        <v>0</v>
      </c>
      <c r="SG86" s="11">
        <v>0</v>
      </c>
      <c r="SH86" s="11">
        <v>0</v>
      </c>
      <c r="SI86" s="11">
        <v>0</v>
      </c>
      <c r="SJ86" s="27">
        <f t="shared" si="86"/>
        <v>0</v>
      </c>
      <c r="SK86" s="11">
        <v>131</v>
      </c>
      <c r="SL86" s="11">
        <v>128</v>
      </c>
      <c r="SM86" s="11">
        <v>128</v>
      </c>
      <c r="SN86" s="11">
        <v>132</v>
      </c>
      <c r="SO86" s="11">
        <v>134</v>
      </c>
      <c r="SP86" s="11">
        <v>135</v>
      </c>
      <c r="SQ86" s="11">
        <v>134</v>
      </c>
      <c r="SR86" s="11">
        <v>130</v>
      </c>
      <c r="SS86" s="11">
        <v>131</v>
      </c>
      <c r="ST86" s="11">
        <v>128</v>
      </c>
      <c r="SU86" s="11">
        <v>132</v>
      </c>
      <c r="SV86" s="11">
        <v>134</v>
      </c>
      <c r="SW86" s="27">
        <f t="shared" si="87"/>
        <v>1577</v>
      </c>
      <c r="SX86" s="11" t="s">
        <v>2726</v>
      </c>
      <c r="SY86" s="11">
        <v>3933</v>
      </c>
      <c r="SZ86" s="11">
        <v>3754</v>
      </c>
      <c r="TA86" s="11">
        <v>3358</v>
      </c>
      <c r="TB86" s="11">
        <v>3598</v>
      </c>
      <c r="TC86" s="11">
        <v>3507</v>
      </c>
      <c r="TD86" s="11">
        <v>3625</v>
      </c>
      <c r="TE86" s="11">
        <v>3787</v>
      </c>
      <c r="TF86" s="11">
        <v>3849</v>
      </c>
      <c r="TG86" s="11">
        <v>3121</v>
      </c>
      <c r="TH86" s="11">
        <v>4103</v>
      </c>
      <c r="TI86" s="11">
        <v>3794</v>
      </c>
      <c r="TJ86" s="11">
        <v>4182</v>
      </c>
      <c r="TK86" s="27">
        <f t="shared" si="88"/>
        <v>44611</v>
      </c>
      <c r="TL86" s="11">
        <v>8038</v>
      </c>
      <c r="TM86" s="11">
        <v>8923</v>
      </c>
      <c r="TN86" s="11">
        <v>8438</v>
      </c>
      <c r="TO86" s="11">
        <v>8094</v>
      </c>
      <c r="TP86" s="11">
        <v>7056</v>
      </c>
      <c r="TQ86" s="11">
        <v>7271</v>
      </c>
      <c r="TR86" s="11">
        <v>7853</v>
      </c>
      <c r="TS86" s="11">
        <v>7635</v>
      </c>
      <c r="TT86" s="11">
        <v>6410</v>
      </c>
      <c r="TU86" s="11">
        <v>6892</v>
      </c>
      <c r="TV86" s="11">
        <v>7130</v>
      </c>
      <c r="TW86" s="11">
        <v>8140</v>
      </c>
      <c r="TX86" s="27">
        <f t="shared" si="89"/>
        <v>91880</v>
      </c>
      <c r="TY86" s="11">
        <v>105</v>
      </c>
      <c r="TZ86" s="11">
        <v>0</v>
      </c>
      <c r="UA86" s="11">
        <v>0</v>
      </c>
    </row>
    <row r="87" spans="1:547" ht="16" customHeight="1" x14ac:dyDescent="0.35">
      <c r="A87" s="11" t="s">
        <v>1408</v>
      </c>
      <c r="B87" s="11">
        <v>32160</v>
      </c>
      <c r="C87" s="11"/>
      <c r="D87" s="11"/>
      <c r="E87" s="11"/>
      <c r="F87" s="11">
        <v>1053</v>
      </c>
      <c r="G87" s="11">
        <v>1206</v>
      </c>
      <c r="H87" s="11">
        <v>1316</v>
      </c>
      <c r="I87" s="11">
        <v>1502</v>
      </c>
      <c r="J87" s="11">
        <v>1299</v>
      </c>
      <c r="K87" s="11">
        <v>1401</v>
      </c>
      <c r="L87" s="11">
        <v>943</v>
      </c>
      <c r="M87" s="11">
        <v>1168</v>
      </c>
      <c r="N87" s="11">
        <v>886</v>
      </c>
      <c r="O87" s="11">
        <v>1232</v>
      </c>
      <c r="P87" s="11" t="s">
        <v>2866</v>
      </c>
      <c r="Q87" s="11">
        <v>1118</v>
      </c>
      <c r="R87" s="11">
        <v>1376</v>
      </c>
      <c r="S87" s="26">
        <f t="shared" si="45"/>
        <v>14500</v>
      </c>
      <c r="T87" s="11">
        <v>0</v>
      </c>
      <c r="U87" s="11">
        <v>0</v>
      </c>
      <c r="V87" s="11">
        <v>0</v>
      </c>
      <c r="W87" s="11">
        <v>0</v>
      </c>
      <c r="X87" s="11">
        <v>0</v>
      </c>
      <c r="Y87" s="11">
        <v>0</v>
      </c>
      <c r="Z87" s="11">
        <v>0</v>
      </c>
      <c r="AA87" s="11">
        <v>0</v>
      </c>
      <c r="AB87" s="11">
        <v>0</v>
      </c>
      <c r="AC87" s="11">
        <v>0</v>
      </c>
      <c r="AD87" s="11">
        <v>0</v>
      </c>
      <c r="AE87" s="11">
        <v>0</v>
      </c>
      <c r="AF87" s="26">
        <f t="shared" si="46"/>
        <v>0</v>
      </c>
      <c r="AG87" s="11">
        <v>0</v>
      </c>
      <c r="AH87" s="11">
        <v>0</v>
      </c>
      <c r="AI87" s="11">
        <v>0</v>
      </c>
      <c r="AJ87" s="11">
        <v>0</v>
      </c>
      <c r="AK87" s="11">
        <v>0</v>
      </c>
      <c r="AL87" s="11">
        <v>0</v>
      </c>
      <c r="AM87" s="11">
        <v>0</v>
      </c>
      <c r="AN87" s="11">
        <v>0</v>
      </c>
      <c r="AO87" s="11">
        <v>0</v>
      </c>
      <c r="AP87" s="11">
        <v>0</v>
      </c>
      <c r="AQ87" s="11">
        <v>0</v>
      </c>
      <c r="AR87" s="11">
        <v>0</v>
      </c>
      <c r="AS87" s="26">
        <f t="shared" si="47"/>
        <v>0</v>
      </c>
      <c r="AT87" s="11">
        <v>0</v>
      </c>
      <c r="AU87" s="11">
        <v>0</v>
      </c>
      <c r="AV87" s="11">
        <v>0</v>
      </c>
      <c r="AW87" s="11">
        <v>0</v>
      </c>
      <c r="AX87" s="11">
        <v>0</v>
      </c>
      <c r="AY87" s="11">
        <v>0</v>
      </c>
      <c r="AZ87" s="11">
        <v>0</v>
      </c>
      <c r="BA87" s="11">
        <v>0</v>
      </c>
      <c r="BB87" s="11">
        <v>0</v>
      </c>
      <c r="BC87" s="11">
        <v>0</v>
      </c>
      <c r="BD87" s="11">
        <v>0</v>
      </c>
      <c r="BE87" s="11">
        <v>0</v>
      </c>
      <c r="BF87" s="26">
        <f t="shared" si="48"/>
        <v>0</v>
      </c>
      <c r="BG87" s="11">
        <v>0</v>
      </c>
      <c r="BH87" s="11">
        <v>0</v>
      </c>
      <c r="BI87" s="11">
        <v>0</v>
      </c>
      <c r="BJ87" s="11">
        <v>0</v>
      </c>
      <c r="BK87" s="11">
        <v>0</v>
      </c>
      <c r="BL87" s="11">
        <v>0</v>
      </c>
      <c r="BM87" s="11">
        <v>0</v>
      </c>
      <c r="BN87" s="11">
        <v>0</v>
      </c>
      <c r="BO87" s="11">
        <v>0</v>
      </c>
      <c r="BP87" s="11">
        <v>0</v>
      </c>
      <c r="BQ87" s="11">
        <v>0</v>
      </c>
      <c r="BR87" s="11">
        <v>0</v>
      </c>
      <c r="BS87" s="26">
        <f t="shared" si="49"/>
        <v>0</v>
      </c>
      <c r="BT87" s="11">
        <v>0</v>
      </c>
      <c r="BU87" s="11">
        <v>0</v>
      </c>
      <c r="BV87" s="11">
        <v>0</v>
      </c>
      <c r="BW87" s="11">
        <v>0</v>
      </c>
      <c r="BX87" s="11">
        <v>0</v>
      </c>
      <c r="BY87" s="11">
        <v>0</v>
      </c>
      <c r="BZ87" s="11">
        <v>0</v>
      </c>
      <c r="CA87" s="11">
        <v>0</v>
      </c>
      <c r="CB87" s="11">
        <v>0</v>
      </c>
      <c r="CC87" s="11">
        <v>0</v>
      </c>
      <c r="CD87" s="11">
        <v>0</v>
      </c>
      <c r="CE87" s="11">
        <v>0</v>
      </c>
      <c r="CF87" s="26">
        <f t="shared" si="50"/>
        <v>0</v>
      </c>
      <c r="CG87" s="11">
        <v>0</v>
      </c>
      <c r="CH87" s="11">
        <v>0</v>
      </c>
      <c r="CI87" s="11">
        <v>0</v>
      </c>
      <c r="CJ87" s="11">
        <v>0</v>
      </c>
      <c r="CK87" s="11">
        <v>0</v>
      </c>
      <c r="CL87" s="11">
        <v>0</v>
      </c>
      <c r="CM87" s="11">
        <v>0</v>
      </c>
      <c r="CN87" s="11">
        <v>0</v>
      </c>
      <c r="CO87" s="11">
        <v>0</v>
      </c>
      <c r="CP87" s="11">
        <v>0</v>
      </c>
      <c r="CQ87" s="11">
        <v>0</v>
      </c>
      <c r="CR87" s="11">
        <v>0</v>
      </c>
      <c r="CS87" s="26">
        <f t="shared" si="51"/>
        <v>0</v>
      </c>
      <c r="CT87" s="11">
        <v>0</v>
      </c>
      <c r="CU87" s="11">
        <v>0</v>
      </c>
      <c r="CV87" s="11">
        <v>0</v>
      </c>
      <c r="CW87" s="11">
        <v>0</v>
      </c>
      <c r="CX87" s="11">
        <v>0</v>
      </c>
      <c r="CY87" s="11">
        <v>0</v>
      </c>
      <c r="CZ87" s="11">
        <v>0</v>
      </c>
      <c r="DA87" s="11">
        <v>0</v>
      </c>
      <c r="DB87" s="11">
        <v>0</v>
      </c>
      <c r="DC87" s="11">
        <v>0</v>
      </c>
      <c r="DD87" s="11">
        <v>0</v>
      </c>
      <c r="DE87" s="11">
        <v>0</v>
      </c>
      <c r="DF87" s="26">
        <f t="shared" si="52"/>
        <v>0</v>
      </c>
      <c r="DG87" s="11">
        <v>0</v>
      </c>
      <c r="DH87" s="11">
        <v>0</v>
      </c>
      <c r="DI87" s="11">
        <v>0</v>
      </c>
      <c r="DJ87" s="11">
        <v>0</v>
      </c>
      <c r="DK87" s="11">
        <v>0</v>
      </c>
      <c r="DL87" s="11">
        <v>0</v>
      </c>
      <c r="DM87" s="11">
        <v>0</v>
      </c>
      <c r="DN87" s="11">
        <v>0</v>
      </c>
      <c r="DO87" s="11">
        <v>0</v>
      </c>
      <c r="DP87" s="11">
        <v>0</v>
      </c>
      <c r="DQ87" s="11">
        <v>0</v>
      </c>
      <c r="DR87" s="11">
        <v>0</v>
      </c>
      <c r="DS87" s="26">
        <f t="shared" si="53"/>
        <v>0</v>
      </c>
      <c r="DT87" s="11">
        <v>0</v>
      </c>
      <c r="DU87" s="11">
        <v>0</v>
      </c>
      <c r="DV87" s="11">
        <v>0</v>
      </c>
      <c r="DW87" s="11">
        <v>0</v>
      </c>
      <c r="DX87" s="11">
        <v>0</v>
      </c>
      <c r="DY87" s="11">
        <v>0</v>
      </c>
      <c r="DZ87" s="11">
        <v>0</v>
      </c>
      <c r="EA87" s="11">
        <v>0</v>
      </c>
      <c r="EB87" s="11">
        <v>0</v>
      </c>
      <c r="EC87" s="11">
        <v>0</v>
      </c>
      <c r="ED87" s="11">
        <v>0</v>
      </c>
      <c r="EE87" s="11">
        <v>0</v>
      </c>
      <c r="EF87" s="26">
        <f t="shared" si="54"/>
        <v>0</v>
      </c>
      <c r="EG87" s="9">
        <f t="shared" si="55"/>
        <v>0</v>
      </c>
      <c r="EH87" s="9">
        <f t="shared" si="56"/>
        <v>0</v>
      </c>
      <c r="EI87" s="11">
        <v>7782</v>
      </c>
      <c r="EJ87" s="11">
        <v>8570</v>
      </c>
      <c r="EK87" s="11">
        <v>9678</v>
      </c>
      <c r="EL87" s="11">
        <v>8297</v>
      </c>
      <c r="EM87" s="11">
        <v>5026</v>
      </c>
      <c r="EN87" s="11">
        <v>7677</v>
      </c>
      <c r="EO87" s="11">
        <v>9383</v>
      </c>
      <c r="EP87" s="11">
        <v>9869</v>
      </c>
      <c r="EQ87" s="11">
        <v>6552</v>
      </c>
      <c r="ER87" s="11">
        <v>9160</v>
      </c>
      <c r="ES87" s="11">
        <v>9019</v>
      </c>
      <c r="ET87" s="11">
        <v>11373</v>
      </c>
      <c r="EU87" s="26">
        <f t="shared" si="57"/>
        <v>102386</v>
      </c>
      <c r="EV87" s="11">
        <v>0</v>
      </c>
      <c r="EW87" s="11">
        <v>0</v>
      </c>
      <c r="EX87" s="11">
        <v>0</v>
      </c>
      <c r="EY87" s="11">
        <v>0</v>
      </c>
      <c r="EZ87" s="11">
        <v>0</v>
      </c>
      <c r="FA87" s="11">
        <v>0</v>
      </c>
      <c r="FB87" s="11">
        <v>0</v>
      </c>
      <c r="FC87" s="11">
        <v>0</v>
      </c>
      <c r="FD87" s="11">
        <v>0</v>
      </c>
      <c r="FE87" s="11">
        <v>0</v>
      </c>
      <c r="FF87" s="11">
        <v>0</v>
      </c>
      <c r="FG87" s="11">
        <v>0</v>
      </c>
      <c r="FH87" s="26">
        <f t="shared" si="58"/>
        <v>0</v>
      </c>
      <c r="FI87" s="11">
        <v>0</v>
      </c>
      <c r="FJ87" s="11">
        <v>0</v>
      </c>
      <c r="FK87" s="11">
        <v>0</v>
      </c>
      <c r="FL87" s="11">
        <v>0</v>
      </c>
      <c r="FM87" s="11">
        <v>0</v>
      </c>
      <c r="FN87" s="11">
        <v>0</v>
      </c>
      <c r="FO87" s="11">
        <v>0</v>
      </c>
      <c r="FP87" s="11">
        <v>0</v>
      </c>
      <c r="FQ87" s="11">
        <v>0</v>
      </c>
      <c r="FR87" s="11">
        <v>0</v>
      </c>
      <c r="FS87" s="11">
        <v>0</v>
      </c>
      <c r="FT87" s="11">
        <v>0</v>
      </c>
      <c r="FU87" s="26">
        <f t="shared" si="59"/>
        <v>0</v>
      </c>
      <c r="FV87" s="11">
        <v>0</v>
      </c>
      <c r="FW87" s="11">
        <v>0</v>
      </c>
      <c r="FX87" s="11">
        <v>0</v>
      </c>
      <c r="FY87" s="11">
        <v>0</v>
      </c>
      <c r="FZ87" s="11">
        <v>0</v>
      </c>
      <c r="GA87" s="11">
        <v>0</v>
      </c>
      <c r="GB87" s="11">
        <v>0</v>
      </c>
      <c r="GC87" s="11">
        <v>0</v>
      </c>
      <c r="GD87" s="11">
        <v>0</v>
      </c>
      <c r="GE87" s="11">
        <v>0</v>
      </c>
      <c r="GF87" s="11">
        <v>0</v>
      </c>
      <c r="GG87" s="11">
        <v>0</v>
      </c>
      <c r="GH87" s="26">
        <f t="shared" si="60"/>
        <v>0</v>
      </c>
      <c r="GI87" s="11">
        <v>0</v>
      </c>
      <c r="GJ87" s="11">
        <v>0</v>
      </c>
      <c r="GK87" s="11">
        <v>0</v>
      </c>
      <c r="GL87" s="11">
        <v>0</v>
      </c>
      <c r="GM87" s="11">
        <v>0</v>
      </c>
      <c r="GN87" s="11">
        <v>0</v>
      </c>
      <c r="GO87" s="11">
        <v>0</v>
      </c>
      <c r="GP87" s="11">
        <v>0</v>
      </c>
      <c r="GQ87" s="11">
        <v>0</v>
      </c>
      <c r="GR87" s="11">
        <v>0</v>
      </c>
      <c r="GS87" s="11">
        <v>0</v>
      </c>
      <c r="GT87" s="11">
        <v>0</v>
      </c>
      <c r="GU87" s="26">
        <f t="shared" si="61"/>
        <v>0</v>
      </c>
      <c r="GV87" s="11">
        <v>0</v>
      </c>
      <c r="GW87" s="11">
        <v>0</v>
      </c>
      <c r="GX87" s="11">
        <v>0</v>
      </c>
      <c r="GY87" s="11">
        <v>0</v>
      </c>
      <c r="GZ87" s="11">
        <v>0</v>
      </c>
      <c r="HA87" s="11">
        <v>0</v>
      </c>
      <c r="HB87" s="11">
        <v>0</v>
      </c>
      <c r="HC87" s="11">
        <v>0</v>
      </c>
      <c r="HD87" s="11">
        <v>0</v>
      </c>
      <c r="HE87" s="11">
        <v>0</v>
      </c>
      <c r="HF87" s="11">
        <v>0</v>
      </c>
      <c r="HG87" s="11">
        <v>0</v>
      </c>
      <c r="HH87" s="26">
        <f t="shared" si="62"/>
        <v>0</v>
      </c>
      <c r="HI87" s="11">
        <v>0</v>
      </c>
      <c r="HJ87" s="11">
        <v>0</v>
      </c>
      <c r="HK87" s="11">
        <v>0</v>
      </c>
      <c r="HL87" s="11">
        <v>0</v>
      </c>
      <c r="HM87" s="11">
        <v>0</v>
      </c>
      <c r="HN87" s="11">
        <v>0</v>
      </c>
      <c r="HO87" s="11">
        <v>0</v>
      </c>
      <c r="HP87" s="11">
        <v>0</v>
      </c>
      <c r="HQ87" s="11">
        <v>0</v>
      </c>
      <c r="HR87" s="11">
        <v>0</v>
      </c>
      <c r="HS87" s="11">
        <v>0</v>
      </c>
      <c r="HT87" s="11">
        <v>0</v>
      </c>
      <c r="HU87" s="26">
        <f t="shared" si="63"/>
        <v>0</v>
      </c>
      <c r="HV87" s="11">
        <v>0</v>
      </c>
      <c r="HW87" s="11">
        <v>0</v>
      </c>
      <c r="HX87" s="11">
        <v>0</v>
      </c>
      <c r="HY87" s="11">
        <v>0</v>
      </c>
      <c r="HZ87" s="11">
        <v>0</v>
      </c>
      <c r="IA87" s="11">
        <v>0</v>
      </c>
      <c r="IB87" s="11">
        <v>0</v>
      </c>
      <c r="IC87" s="11">
        <v>0</v>
      </c>
      <c r="ID87" s="11">
        <v>0</v>
      </c>
      <c r="IE87" s="11">
        <v>0</v>
      </c>
      <c r="IF87" s="11">
        <v>0</v>
      </c>
      <c r="IG87" s="11">
        <v>0</v>
      </c>
      <c r="IH87" s="26">
        <f t="shared" si="64"/>
        <v>0</v>
      </c>
      <c r="II87" s="9">
        <f t="shared" si="65"/>
        <v>0</v>
      </c>
      <c r="IJ87" s="9">
        <f t="shared" si="66"/>
        <v>0</v>
      </c>
      <c r="IK87" s="11">
        <v>80826</v>
      </c>
      <c r="IL87" s="11">
        <v>66670</v>
      </c>
      <c r="IM87" s="11">
        <v>66044</v>
      </c>
      <c r="IN87" s="11">
        <v>56433</v>
      </c>
      <c r="IO87" s="11">
        <v>82346</v>
      </c>
      <c r="IP87" s="11">
        <v>80793</v>
      </c>
      <c r="IQ87" s="11">
        <v>84222</v>
      </c>
      <c r="IR87" s="11">
        <v>80975</v>
      </c>
      <c r="IS87" s="11">
        <v>66576</v>
      </c>
      <c r="IT87" s="11">
        <v>80603</v>
      </c>
      <c r="IU87" s="11">
        <v>77149</v>
      </c>
      <c r="IV87" s="11">
        <v>82291</v>
      </c>
      <c r="IW87" s="27">
        <f t="shared" si="67"/>
        <v>904928</v>
      </c>
      <c r="IX87" s="11">
        <v>0</v>
      </c>
      <c r="IY87" s="11">
        <v>0</v>
      </c>
      <c r="IZ87" s="11">
        <v>0</v>
      </c>
      <c r="JA87" s="11">
        <v>0</v>
      </c>
      <c r="JB87" s="11">
        <v>0</v>
      </c>
      <c r="JC87" s="11">
        <v>0</v>
      </c>
      <c r="JD87" s="11">
        <v>0</v>
      </c>
      <c r="JE87" s="11">
        <v>0</v>
      </c>
      <c r="JF87" s="11">
        <v>0</v>
      </c>
      <c r="JG87" s="11">
        <v>0</v>
      </c>
      <c r="JH87" s="11">
        <v>0</v>
      </c>
      <c r="JI87" s="11">
        <v>0</v>
      </c>
      <c r="JJ87" s="27">
        <f t="shared" si="68"/>
        <v>0</v>
      </c>
      <c r="JK87" s="11">
        <v>0</v>
      </c>
      <c r="JL87" s="11">
        <v>0</v>
      </c>
      <c r="JM87" s="11">
        <v>0</v>
      </c>
      <c r="JN87" s="11">
        <v>0</v>
      </c>
      <c r="JO87" s="11">
        <v>0</v>
      </c>
      <c r="JP87" s="11">
        <v>0</v>
      </c>
      <c r="JQ87" s="11">
        <v>0</v>
      </c>
      <c r="JR87" s="11">
        <v>0</v>
      </c>
      <c r="JS87" s="11">
        <v>0</v>
      </c>
      <c r="JT87" s="11">
        <v>0</v>
      </c>
      <c r="JU87" s="11">
        <v>0</v>
      </c>
      <c r="JV87" s="11">
        <v>0</v>
      </c>
      <c r="JW87" s="27">
        <f t="shared" si="69"/>
        <v>0</v>
      </c>
      <c r="JX87" s="11">
        <v>0</v>
      </c>
      <c r="JY87" s="11">
        <v>0</v>
      </c>
      <c r="JZ87" s="11">
        <v>0</v>
      </c>
      <c r="KA87" s="11">
        <v>0</v>
      </c>
      <c r="KB87" s="11">
        <v>0</v>
      </c>
      <c r="KC87" s="11">
        <v>0</v>
      </c>
      <c r="KD87" s="11">
        <v>0</v>
      </c>
      <c r="KE87" s="11">
        <v>0</v>
      </c>
      <c r="KF87" s="11">
        <v>0</v>
      </c>
      <c r="KG87" s="11">
        <v>0</v>
      </c>
      <c r="KH87" s="11">
        <v>0</v>
      </c>
      <c r="KI87" s="11">
        <v>0</v>
      </c>
      <c r="KJ87" s="27">
        <f t="shared" si="70"/>
        <v>0</v>
      </c>
      <c r="KK87" s="11">
        <v>453</v>
      </c>
      <c r="KL87" s="11">
        <v>507</v>
      </c>
      <c r="KM87" s="11">
        <v>342</v>
      </c>
      <c r="KN87" s="11">
        <v>412</v>
      </c>
      <c r="KO87" s="11">
        <v>470</v>
      </c>
      <c r="KP87" s="11">
        <v>415</v>
      </c>
      <c r="KQ87" s="11">
        <v>416</v>
      </c>
      <c r="KR87" s="11">
        <v>476</v>
      </c>
      <c r="KS87" s="11">
        <v>601</v>
      </c>
      <c r="KT87" s="11">
        <v>565</v>
      </c>
      <c r="KU87" s="11">
        <v>489</v>
      </c>
      <c r="KV87" s="11">
        <v>478</v>
      </c>
      <c r="KW87" s="27">
        <f t="shared" si="71"/>
        <v>5624</v>
      </c>
      <c r="KX87" s="11">
        <v>0</v>
      </c>
      <c r="KY87" s="11">
        <v>0</v>
      </c>
      <c r="KZ87" s="11">
        <v>0</v>
      </c>
      <c r="LA87" s="11">
        <v>0</v>
      </c>
      <c r="LB87" s="11">
        <v>0</v>
      </c>
      <c r="LC87" s="11">
        <v>0</v>
      </c>
      <c r="LD87" s="11">
        <v>0</v>
      </c>
      <c r="LE87" s="11">
        <v>0</v>
      </c>
      <c r="LF87" s="11">
        <v>0</v>
      </c>
      <c r="LG87" s="11">
        <v>0</v>
      </c>
      <c r="LH87" s="11">
        <v>0</v>
      </c>
      <c r="LI87" s="11">
        <v>0</v>
      </c>
      <c r="LJ87" s="27">
        <f t="shared" si="72"/>
        <v>0</v>
      </c>
      <c r="LK87" s="11">
        <v>0</v>
      </c>
      <c r="LL87" s="11">
        <v>0</v>
      </c>
      <c r="LM87" s="11">
        <v>0</v>
      </c>
      <c r="LN87" s="11">
        <v>0</v>
      </c>
      <c r="LO87" s="11">
        <v>0</v>
      </c>
      <c r="LP87" s="11">
        <v>0</v>
      </c>
      <c r="LQ87" s="11">
        <v>0</v>
      </c>
      <c r="LR87" s="11">
        <v>0</v>
      </c>
      <c r="LS87" s="11">
        <v>0</v>
      </c>
      <c r="LT87" s="11">
        <v>0</v>
      </c>
      <c r="LU87" s="11">
        <v>0</v>
      </c>
      <c r="LV87" s="11">
        <v>0</v>
      </c>
      <c r="LW87" s="27">
        <f t="shared" si="73"/>
        <v>0</v>
      </c>
      <c r="LX87" s="11">
        <v>0</v>
      </c>
      <c r="LY87" s="11">
        <v>0</v>
      </c>
      <c r="LZ87" s="11">
        <v>0</v>
      </c>
      <c r="MA87" s="11">
        <v>0</v>
      </c>
      <c r="MB87" s="11">
        <v>0</v>
      </c>
      <c r="MC87" s="11">
        <v>0</v>
      </c>
      <c r="MD87" s="11">
        <v>0</v>
      </c>
      <c r="ME87" s="11">
        <v>0</v>
      </c>
      <c r="MF87" s="11">
        <v>0</v>
      </c>
      <c r="MG87" s="11">
        <v>0</v>
      </c>
      <c r="MH87" s="11">
        <v>0</v>
      </c>
      <c r="MI87" s="11">
        <v>0</v>
      </c>
      <c r="MJ87" s="27">
        <f t="shared" si="74"/>
        <v>0</v>
      </c>
      <c r="MK87" s="11">
        <v>7136</v>
      </c>
      <c r="ML87" s="11">
        <v>7060</v>
      </c>
      <c r="MM87" s="11">
        <v>6546</v>
      </c>
      <c r="MN87" s="11">
        <v>6857</v>
      </c>
      <c r="MO87" s="11">
        <v>7480</v>
      </c>
      <c r="MP87" s="11">
        <v>7384</v>
      </c>
      <c r="MQ87" s="11">
        <v>7205</v>
      </c>
      <c r="MR87" s="11">
        <v>6355</v>
      </c>
      <c r="MS87" s="11">
        <v>6730</v>
      </c>
      <c r="MT87" s="11">
        <v>7089</v>
      </c>
      <c r="MU87" s="11">
        <v>6431</v>
      </c>
      <c r="MV87" s="11">
        <v>6890</v>
      </c>
      <c r="MW87" s="27">
        <f t="shared" si="75"/>
        <v>83163</v>
      </c>
      <c r="MX87" s="11">
        <v>0</v>
      </c>
      <c r="MY87" s="11">
        <v>0</v>
      </c>
      <c r="MZ87" s="11">
        <v>0</v>
      </c>
      <c r="NA87" s="11">
        <v>0</v>
      </c>
      <c r="NB87" s="11">
        <v>0</v>
      </c>
      <c r="NC87" s="11">
        <v>0</v>
      </c>
      <c r="ND87" s="11">
        <v>0</v>
      </c>
      <c r="NE87" s="11">
        <v>0</v>
      </c>
      <c r="NF87" s="11">
        <v>0</v>
      </c>
      <c r="NG87" s="11">
        <v>0</v>
      </c>
      <c r="NH87" s="11">
        <v>0</v>
      </c>
      <c r="NI87" s="11">
        <v>0</v>
      </c>
      <c r="NJ87" s="27">
        <f t="shared" si="76"/>
        <v>0</v>
      </c>
      <c r="NK87" s="11">
        <v>0</v>
      </c>
      <c r="NL87" s="11">
        <v>0</v>
      </c>
      <c r="NM87" s="11">
        <v>0</v>
      </c>
      <c r="NN87" s="11">
        <v>0</v>
      </c>
      <c r="NO87" s="11">
        <v>0</v>
      </c>
      <c r="NP87" s="11">
        <v>0</v>
      </c>
      <c r="NQ87" s="11">
        <v>0</v>
      </c>
      <c r="NR87" s="11">
        <v>0</v>
      </c>
      <c r="NS87" s="11">
        <v>0</v>
      </c>
      <c r="NT87" s="11">
        <v>0</v>
      </c>
      <c r="NU87" s="11">
        <v>0</v>
      </c>
      <c r="NV87" s="11">
        <v>0</v>
      </c>
      <c r="NW87" s="27">
        <f t="shared" si="77"/>
        <v>0</v>
      </c>
      <c r="NX87" s="11">
        <v>0</v>
      </c>
      <c r="NY87" s="11">
        <v>0</v>
      </c>
      <c r="NZ87" s="11">
        <v>0</v>
      </c>
      <c r="OA87" s="11">
        <v>0</v>
      </c>
      <c r="OB87" s="11">
        <v>0</v>
      </c>
      <c r="OC87" s="11">
        <v>0</v>
      </c>
      <c r="OD87" s="11">
        <v>0</v>
      </c>
      <c r="OE87" s="11">
        <v>0</v>
      </c>
      <c r="OF87" s="11">
        <v>0</v>
      </c>
      <c r="OG87" s="11">
        <v>0</v>
      </c>
      <c r="OH87" s="11">
        <v>0</v>
      </c>
      <c r="OI87" s="11">
        <v>0</v>
      </c>
      <c r="OJ87" s="27">
        <f t="shared" si="78"/>
        <v>0</v>
      </c>
      <c r="OK87" s="11">
        <v>12648</v>
      </c>
      <c r="OL87" s="11">
        <v>12507</v>
      </c>
      <c r="OM87" s="11">
        <v>11512</v>
      </c>
      <c r="ON87" s="11">
        <v>12183</v>
      </c>
      <c r="OO87" s="11">
        <v>12566</v>
      </c>
      <c r="OP87" s="11">
        <v>12169</v>
      </c>
      <c r="OQ87" s="11">
        <v>12609</v>
      </c>
      <c r="OR87" s="11">
        <v>11878</v>
      </c>
      <c r="OS87" s="11">
        <v>12209</v>
      </c>
      <c r="OT87" s="11">
        <v>13211</v>
      </c>
      <c r="OU87" s="11">
        <v>12095</v>
      </c>
      <c r="OV87" s="11">
        <v>13022</v>
      </c>
      <c r="OW87" s="27">
        <f t="shared" si="79"/>
        <v>148609</v>
      </c>
      <c r="OX87" s="11">
        <v>0</v>
      </c>
      <c r="OY87" s="11">
        <v>0</v>
      </c>
      <c r="OZ87" s="11">
        <v>0</v>
      </c>
      <c r="PA87" s="11">
        <v>0</v>
      </c>
      <c r="PB87" s="11">
        <v>0</v>
      </c>
      <c r="PC87" s="11">
        <v>0</v>
      </c>
      <c r="PD87" s="11">
        <v>0</v>
      </c>
      <c r="PE87" s="11">
        <v>0</v>
      </c>
      <c r="PF87" s="11">
        <v>0</v>
      </c>
      <c r="PG87" s="11">
        <v>0</v>
      </c>
      <c r="PH87" s="11">
        <v>0</v>
      </c>
      <c r="PI87" s="11">
        <v>0</v>
      </c>
      <c r="PJ87" s="27">
        <f t="shared" si="80"/>
        <v>0</v>
      </c>
      <c r="PK87" s="11">
        <v>0</v>
      </c>
      <c r="PL87" s="11">
        <v>0</v>
      </c>
      <c r="PM87" s="11">
        <v>0</v>
      </c>
      <c r="PN87" s="11">
        <v>0</v>
      </c>
      <c r="PO87" s="11">
        <v>0</v>
      </c>
      <c r="PP87" s="11">
        <v>0</v>
      </c>
      <c r="PQ87" s="11">
        <v>0</v>
      </c>
      <c r="PR87" s="11">
        <v>0</v>
      </c>
      <c r="PS87" s="11">
        <v>0</v>
      </c>
      <c r="PT87" s="11">
        <v>0</v>
      </c>
      <c r="PU87" s="11">
        <v>0</v>
      </c>
      <c r="PV87" s="11">
        <v>0</v>
      </c>
      <c r="PW87" s="27">
        <f t="shared" si="81"/>
        <v>0</v>
      </c>
      <c r="PX87" s="11">
        <v>0</v>
      </c>
      <c r="PY87" s="11">
        <v>0</v>
      </c>
      <c r="PZ87" s="11">
        <v>0</v>
      </c>
      <c r="QA87" s="11">
        <v>0</v>
      </c>
      <c r="QB87" s="11">
        <v>0</v>
      </c>
      <c r="QC87" s="11">
        <v>0</v>
      </c>
      <c r="QD87" s="11">
        <v>0</v>
      </c>
      <c r="QE87" s="11">
        <v>0</v>
      </c>
      <c r="QF87" s="11">
        <v>0</v>
      </c>
      <c r="QG87" s="11">
        <v>0</v>
      </c>
      <c r="QH87" s="11">
        <v>0</v>
      </c>
      <c r="QI87" s="11">
        <v>0</v>
      </c>
      <c r="QJ87" s="27">
        <f t="shared" si="82"/>
        <v>0</v>
      </c>
      <c r="QK87" s="11">
        <v>120043</v>
      </c>
      <c r="QL87" s="11">
        <v>112011</v>
      </c>
      <c r="QM87" s="11">
        <v>101497</v>
      </c>
      <c r="QN87" s="11">
        <v>102351</v>
      </c>
      <c r="QO87" s="11">
        <v>98195</v>
      </c>
      <c r="QP87" s="11">
        <v>103486</v>
      </c>
      <c r="QQ87" s="11">
        <v>116346</v>
      </c>
      <c r="QR87" s="11">
        <v>107280</v>
      </c>
      <c r="QS87" s="11">
        <v>85641</v>
      </c>
      <c r="QT87" s="11">
        <v>109515</v>
      </c>
      <c r="QU87" s="11">
        <v>106251</v>
      </c>
      <c r="QV87" s="11">
        <v>118359</v>
      </c>
      <c r="QW87" s="27">
        <f t="shared" si="83"/>
        <v>1280975</v>
      </c>
      <c r="QX87" s="11">
        <v>28580</v>
      </c>
      <c r="QY87" s="11">
        <v>28761</v>
      </c>
      <c r="QZ87" s="11">
        <v>27022</v>
      </c>
      <c r="RA87" s="11">
        <v>28841</v>
      </c>
      <c r="RB87" s="11">
        <v>24084</v>
      </c>
      <c r="RC87" s="11">
        <v>26531</v>
      </c>
      <c r="RD87" s="11">
        <v>29647</v>
      </c>
      <c r="RE87" s="11">
        <v>26853</v>
      </c>
      <c r="RF87" s="11">
        <v>21267</v>
      </c>
      <c r="RG87" s="11">
        <v>28259</v>
      </c>
      <c r="RH87" s="11">
        <v>26720</v>
      </c>
      <c r="RI87" s="11">
        <v>28784</v>
      </c>
      <c r="RJ87" s="27">
        <f t="shared" si="84"/>
        <v>325349</v>
      </c>
      <c r="RK87" s="11">
        <v>0</v>
      </c>
      <c r="RL87" s="11">
        <v>0</v>
      </c>
      <c r="RM87" s="11">
        <v>0</v>
      </c>
      <c r="RN87" s="11">
        <v>0</v>
      </c>
      <c r="RO87" s="11">
        <v>0</v>
      </c>
      <c r="RP87" s="11">
        <v>0</v>
      </c>
      <c r="RQ87" s="11">
        <v>0</v>
      </c>
      <c r="RR87" s="11">
        <v>0</v>
      </c>
      <c r="RS87" s="11">
        <v>0</v>
      </c>
      <c r="RT87" s="11">
        <v>0</v>
      </c>
      <c r="RU87" s="11">
        <v>0</v>
      </c>
      <c r="RV87" s="11">
        <v>0</v>
      </c>
      <c r="RW87" s="27">
        <f t="shared" si="85"/>
        <v>0</v>
      </c>
      <c r="RX87" s="11">
        <v>0</v>
      </c>
      <c r="RY87" s="11">
        <v>0</v>
      </c>
      <c r="RZ87" s="11">
        <v>0</v>
      </c>
      <c r="SA87" s="11">
        <v>0</v>
      </c>
      <c r="SB87" s="11">
        <v>0</v>
      </c>
      <c r="SC87" s="11">
        <v>0</v>
      </c>
      <c r="SD87" s="11">
        <v>0</v>
      </c>
      <c r="SE87" s="11">
        <v>0</v>
      </c>
      <c r="SF87" s="11">
        <v>0</v>
      </c>
      <c r="SG87" s="11">
        <v>0</v>
      </c>
      <c r="SH87" s="11">
        <v>0</v>
      </c>
      <c r="SI87" s="11">
        <v>0</v>
      </c>
      <c r="SJ87" s="27">
        <f t="shared" si="86"/>
        <v>0</v>
      </c>
      <c r="SK87" s="11">
        <v>147</v>
      </c>
      <c r="SL87" s="11">
        <v>155</v>
      </c>
      <c r="SM87" s="11">
        <v>161</v>
      </c>
      <c r="SN87" s="11">
        <v>105</v>
      </c>
      <c r="SO87" s="11">
        <v>163</v>
      </c>
      <c r="SP87" s="11">
        <v>155</v>
      </c>
      <c r="SQ87" s="11">
        <v>162</v>
      </c>
      <c r="SR87" s="11">
        <v>170</v>
      </c>
      <c r="SS87" s="11">
        <v>155</v>
      </c>
      <c r="ST87" s="11">
        <v>178</v>
      </c>
      <c r="SU87" s="11">
        <v>163</v>
      </c>
      <c r="SV87" s="11">
        <v>172</v>
      </c>
      <c r="SW87" s="27">
        <f t="shared" si="87"/>
        <v>1886</v>
      </c>
      <c r="SX87" s="11" t="s">
        <v>2727</v>
      </c>
      <c r="SY87" s="11">
        <v>11984</v>
      </c>
      <c r="SZ87" s="11">
        <v>11621</v>
      </c>
      <c r="TA87" s="11">
        <v>9642</v>
      </c>
      <c r="TB87" s="11">
        <v>11670</v>
      </c>
      <c r="TC87" s="11">
        <v>11161</v>
      </c>
      <c r="TD87" s="11">
        <v>11156</v>
      </c>
      <c r="TE87" s="11">
        <v>12071</v>
      </c>
      <c r="TF87" s="11">
        <v>10903</v>
      </c>
      <c r="TG87" s="11">
        <v>9572</v>
      </c>
      <c r="TH87" s="11">
        <v>11971</v>
      </c>
      <c r="TI87" s="11">
        <v>10024</v>
      </c>
      <c r="TJ87" s="11">
        <v>11571</v>
      </c>
      <c r="TK87" s="27">
        <f t="shared" si="88"/>
        <v>133346</v>
      </c>
      <c r="TL87" s="11">
        <v>58805</v>
      </c>
      <c r="TM87" s="11">
        <v>57741</v>
      </c>
      <c r="TN87" s="11">
        <v>47284</v>
      </c>
      <c r="TO87" s="11">
        <v>42326</v>
      </c>
      <c r="TP87" s="11">
        <v>41479</v>
      </c>
      <c r="TQ87" s="11">
        <v>42046</v>
      </c>
      <c r="TR87" s="11">
        <v>54747</v>
      </c>
      <c r="TS87" s="11">
        <v>50877</v>
      </c>
      <c r="TT87" s="11">
        <v>44279</v>
      </c>
      <c r="TU87" s="11">
        <v>61316</v>
      </c>
      <c r="TV87" s="11">
        <v>57916</v>
      </c>
      <c r="TW87" s="11">
        <v>65281</v>
      </c>
      <c r="TX87" s="27">
        <f t="shared" si="89"/>
        <v>624097</v>
      </c>
      <c r="TY87" s="11">
        <v>180</v>
      </c>
      <c r="TZ87" s="11">
        <v>0</v>
      </c>
      <c r="UA87" s="11">
        <v>0</v>
      </c>
    </row>
    <row r="88" spans="1:547" ht="16" customHeight="1" x14ac:dyDescent="0.35">
      <c r="A88" s="11" t="s">
        <v>1417</v>
      </c>
      <c r="B88" s="11">
        <v>25987</v>
      </c>
      <c r="C88" s="11">
        <v>3105</v>
      </c>
      <c r="D88" s="11">
        <v>5512</v>
      </c>
      <c r="E88" s="11">
        <v>462</v>
      </c>
      <c r="F88" s="11">
        <v>220</v>
      </c>
      <c r="G88" s="11">
        <v>217</v>
      </c>
      <c r="H88" s="11">
        <v>221</v>
      </c>
      <c r="I88" s="11">
        <v>266</v>
      </c>
      <c r="J88" s="11">
        <v>247</v>
      </c>
      <c r="K88" s="11">
        <v>255</v>
      </c>
      <c r="L88" s="11">
        <v>299</v>
      </c>
      <c r="M88" s="11">
        <v>327</v>
      </c>
      <c r="N88" s="11">
        <v>244</v>
      </c>
      <c r="O88" s="11">
        <v>323</v>
      </c>
      <c r="P88" s="11" t="s">
        <v>2865</v>
      </c>
      <c r="Q88" s="11">
        <v>343</v>
      </c>
      <c r="R88" s="11">
        <v>349</v>
      </c>
      <c r="S88" s="26">
        <f t="shared" si="45"/>
        <v>3311</v>
      </c>
      <c r="T88" s="11">
        <v>0</v>
      </c>
      <c r="U88" s="11">
        <v>0</v>
      </c>
      <c r="V88" s="11">
        <v>0</v>
      </c>
      <c r="W88" s="11">
        <v>0</v>
      </c>
      <c r="X88" s="11">
        <v>0</v>
      </c>
      <c r="Y88" s="11">
        <v>0</v>
      </c>
      <c r="Z88" s="11">
        <v>0</v>
      </c>
      <c r="AA88" s="11">
        <v>0</v>
      </c>
      <c r="AB88" s="11">
        <v>0</v>
      </c>
      <c r="AC88" s="11">
        <v>0</v>
      </c>
      <c r="AD88" s="11">
        <v>0</v>
      </c>
      <c r="AE88" s="11">
        <v>0</v>
      </c>
      <c r="AF88" s="26">
        <f t="shared" si="46"/>
        <v>0</v>
      </c>
      <c r="AG88" s="11">
        <v>0</v>
      </c>
      <c r="AH88" s="11">
        <v>0</v>
      </c>
      <c r="AI88" s="11">
        <v>0</v>
      </c>
      <c r="AJ88" s="11">
        <v>0</v>
      </c>
      <c r="AK88" s="11">
        <v>0</v>
      </c>
      <c r="AL88" s="11">
        <v>0</v>
      </c>
      <c r="AM88" s="11">
        <v>0</v>
      </c>
      <c r="AN88" s="11">
        <v>0</v>
      </c>
      <c r="AO88" s="11">
        <v>0</v>
      </c>
      <c r="AP88" s="11">
        <v>0</v>
      </c>
      <c r="AQ88" s="11">
        <v>0</v>
      </c>
      <c r="AR88" s="11">
        <v>0</v>
      </c>
      <c r="AS88" s="26">
        <f t="shared" si="47"/>
        <v>0</v>
      </c>
      <c r="AT88" s="11">
        <v>0</v>
      </c>
      <c r="AU88" s="11">
        <v>0</v>
      </c>
      <c r="AV88" s="11">
        <v>0</v>
      </c>
      <c r="AW88" s="11">
        <v>0</v>
      </c>
      <c r="AX88" s="11">
        <v>0</v>
      </c>
      <c r="AY88" s="11">
        <v>0</v>
      </c>
      <c r="AZ88" s="11">
        <v>0</v>
      </c>
      <c r="BA88" s="11">
        <v>0</v>
      </c>
      <c r="BB88" s="11">
        <v>0</v>
      </c>
      <c r="BC88" s="11">
        <v>0</v>
      </c>
      <c r="BD88" s="11">
        <v>0</v>
      </c>
      <c r="BE88" s="11">
        <v>0</v>
      </c>
      <c r="BF88" s="26">
        <f t="shared" si="48"/>
        <v>0</v>
      </c>
      <c r="BG88" s="11">
        <v>0</v>
      </c>
      <c r="BH88" s="11">
        <v>0</v>
      </c>
      <c r="BI88" s="11">
        <v>0</v>
      </c>
      <c r="BJ88" s="11">
        <v>0</v>
      </c>
      <c r="BK88" s="11">
        <v>0</v>
      </c>
      <c r="BL88" s="11">
        <v>0</v>
      </c>
      <c r="BM88" s="11">
        <v>0</v>
      </c>
      <c r="BN88" s="11">
        <v>0</v>
      </c>
      <c r="BO88" s="11">
        <v>0</v>
      </c>
      <c r="BP88" s="11">
        <v>0</v>
      </c>
      <c r="BQ88" s="11">
        <v>0</v>
      </c>
      <c r="BR88" s="11">
        <v>0</v>
      </c>
      <c r="BS88" s="26">
        <f t="shared" si="49"/>
        <v>0</v>
      </c>
      <c r="BT88" s="11">
        <v>0</v>
      </c>
      <c r="BU88" s="11">
        <v>0</v>
      </c>
      <c r="BV88" s="11">
        <v>0</v>
      </c>
      <c r="BW88" s="11">
        <v>0</v>
      </c>
      <c r="BX88" s="11">
        <v>0</v>
      </c>
      <c r="BY88" s="11">
        <v>0</v>
      </c>
      <c r="BZ88" s="11">
        <v>0</v>
      </c>
      <c r="CA88" s="11">
        <v>0</v>
      </c>
      <c r="CB88" s="11">
        <v>0</v>
      </c>
      <c r="CC88" s="11">
        <v>0</v>
      </c>
      <c r="CD88" s="11">
        <v>0</v>
      </c>
      <c r="CE88" s="11">
        <v>0</v>
      </c>
      <c r="CF88" s="26">
        <f t="shared" si="50"/>
        <v>0</v>
      </c>
      <c r="CG88" s="11">
        <v>0</v>
      </c>
      <c r="CH88" s="11">
        <v>0</v>
      </c>
      <c r="CI88" s="11">
        <v>0</v>
      </c>
      <c r="CJ88" s="11">
        <v>0</v>
      </c>
      <c r="CK88" s="11">
        <v>0</v>
      </c>
      <c r="CL88" s="11">
        <v>0</v>
      </c>
      <c r="CM88" s="11">
        <v>0</v>
      </c>
      <c r="CN88" s="11">
        <v>0</v>
      </c>
      <c r="CO88" s="11">
        <v>0</v>
      </c>
      <c r="CP88" s="11">
        <v>0</v>
      </c>
      <c r="CQ88" s="11">
        <v>0</v>
      </c>
      <c r="CR88" s="11">
        <v>0</v>
      </c>
      <c r="CS88" s="26">
        <f t="shared" si="51"/>
        <v>0</v>
      </c>
      <c r="CT88" s="11">
        <v>0</v>
      </c>
      <c r="CU88" s="11">
        <v>0</v>
      </c>
      <c r="CV88" s="11">
        <v>0</v>
      </c>
      <c r="CW88" s="11">
        <v>0</v>
      </c>
      <c r="CX88" s="11">
        <v>0</v>
      </c>
      <c r="CY88" s="11">
        <v>0</v>
      </c>
      <c r="CZ88" s="11">
        <v>0</v>
      </c>
      <c r="DA88" s="11">
        <v>0</v>
      </c>
      <c r="DB88" s="11">
        <v>0</v>
      </c>
      <c r="DC88" s="11">
        <v>0</v>
      </c>
      <c r="DD88" s="11">
        <v>0</v>
      </c>
      <c r="DE88" s="11">
        <v>0</v>
      </c>
      <c r="DF88" s="26">
        <f t="shared" si="52"/>
        <v>0</v>
      </c>
      <c r="DG88" s="11">
        <v>0</v>
      </c>
      <c r="DH88" s="11">
        <v>0</v>
      </c>
      <c r="DI88" s="11">
        <v>0</v>
      </c>
      <c r="DJ88" s="11">
        <v>0</v>
      </c>
      <c r="DK88" s="11">
        <v>0</v>
      </c>
      <c r="DL88" s="11">
        <v>0</v>
      </c>
      <c r="DM88" s="11">
        <v>0</v>
      </c>
      <c r="DN88" s="11">
        <v>0</v>
      </c>
      <c r="DO88" s="11">
        <v>0</v>
      </c>
      <c r="DP88" s="11">
        <v>0</v>
      </c>
      <c r="DQ88" s="11">
        <v>0</v>
      </c>
      <c r="DR88" s="11">
        <v>0</v>
      </c>
      <c r="DS88" s="26">
        <f t="shared" si="53"/>
        <v>0</v>
      </c>
      <c r="DT88" s="11">
        <v>0</v>
      </c>
      <c r="DU88" s="11">
        <v>0</v>
      </c>
      <c r="DV88" s="11">
        <v>0</v>
      </c>
      <c r="DW88" s="11">
        <v>0</v>
      </c>
      <c r="DX88" s="11">
        <v>0</v>
      </c>
      <c r="DY88" s="11">
        <v>0</v>
      </c>
      <c r="DZ88" s="11">
        <v>0</v>
      </c>
      <c r="EA88" s="11">
        <v>0</v>
      </c>
      <c r="EB88" s="11">
        <v>0</v>
      </c>
      <c r="EC88" s="11">
        <v>0</v>
      </c>
      <c r="ED88" s="11">
        <v>0</v>
      </c>
      <c r="EE88" s="11">
        <v>0</v>
      </c>
      <c r="EF88" s="26">
        <f t="shared" si="54"/>
        <v>0</v>
      </c>
      <c r="EG88" s="9">
        <f t="shared" si="55"/>
        <v>0</v>
      </c>
      <c r="EH88" s="9">
        <f t="shared" si="56"/>
        <v>0</v>
      </c>
      <c r="EI88" s="11">
        <v>3640</v>
      </c>
      <c r="EJ88" s="11">
        <v>3602</v>
      </c>
      <c r="EK88" s="11">
        <v>3847</v>
      </c>
      <c r="EL88" s="11">
        <v>8069</v>
      </c>
      <c r="EM88" s="11">
        <v>4039</v>
      </c>
      <c r="EN88" s="11">
        <v>4693</v>
      </c>
      <c r="EO88" s="11">
        <v>4583</v>
      </c>
      <c r="EP88" s="11">
        <v>4481</v>
      </c>
      <c r="EQ88" s="11">
        <v>2814</v>
      </c>
      <c r="ER88" s="11">
        <v>3759</v>
      </c>
      <c r="ES88" s="11">
        <v>5782</v>
      </c>
      <c r="ET88" s="11">
        <v>6595</v>
      </c>
      <c r="EU88" s="26">
        <f t="shared" si="57"/>
        <v>55904</v>
      </c>
      <c r="EV88" s="11">
        <v>0</v>
      </c>
      <c r="EW88" s="11">
        <v>0</v>
      </c>
      <c r="EX88" s="11">
        <v>0</v>
      </c>
      <c r="EY88" s="11">
        <v>0</v>
      </c>
      <c r="EZ88" s="11">
        <v>0</v>
      </c>
      <c r="FA88" s="11">
        <v>0</v>
      </c>
      <c r="FB88" s="11">
        <v>0</v>
      </c>
      <c r="FC88" s="11">
        <v>0</v>
      </c>
      <c r="FD88" s="11">
        <v>0</v>
      </c>
      <c r="FE88" s="11">
        <v>0</v>
      </c>
      <c r="FF88" s="11">
        <v>0</v>
      </c>
      <c r="FG88" s="11">
        <v>0</v>
      </c>
      <c r="FH88" s="26">
        <f t="shared" si="58"/>
        <v>0</v>
      </c>
      <c r="FI88" s="11">
        <v>0</v>
      </c>
      <c r="FJ88" s="11">
        <v>0</v>
      </c>
      <c r="FK88" s="11">
        <v>0</v>
      </c>
      <c r="FL88" s="11">
        <v>0</v>
      </c>
      <c r="FM88" s="11">
        <v>0</v>
      </c>
      <c r="FN88" s="11">
        <v>0</v>
      </c>
      <c r="FO88" s="11">
        <v>0</v>
      </c>
      <c r="FP88" s="11">
        <v>0</v>
      </c>
      <c r="FQ88" s="11">
        <v>0</v>
      </c>
      <c r="FR88" s="11">
        <v>0</v>
      </c>
      <c r="FS88" s="11">
        <v>0</v>
      </c>
      <c r="FT88" s="11">
        <v>0</v>
      </c>
      <c r="FU88" s="26">
        <f t="shared" si="59"/>
        <v>0</v>
      </c>
      <c r="FV88" s="11">
        <v>0</v>
      </c>
      <c r="FW88" s="11">
        <v>0</v>
      </c>
      <c r="FX88" s="11">
        <v>0</v>
      </c>
      <c r="FY88" s="11">
        <v>0</v>
      </c>
      <c r="FZ88" s="11">
        <v>0</v>
      </c>
      <c r="GA88" s="11">
        <v>0</v>
      </c>
      <c r="GB88" s="11">
        <v>0</v>
      </c>
      <c r="GC88" s="11">
        <v>0</v>
      </c>
      <c r="GD88" s="11">
        <v>0</v>
      </c>
      <c r="GE88" s="11">
        <v>0</v>
      </c>
      <c r="GF88" s="11">
        <v>0</v>
      </c>
      <c r="GG88" s="11">
        <v>0</v>
      </c>
      <c r="GH88" s="26">
        <f t="shared" si="60"/>
        <v>0</v>
      </c>
      <c r="GI88" s="11">
        <v>0</v>
      </c>
      <c r="GJ88" s="11">
        <v>0</v>
      </c>
      <c r="GK88" s="11">
        <v>0</v>
      </c>
      <c r="GL88" s="11">
        <v>0</v>
      </c>
      <c r="GM88" s="11">
        <v>0</v>
      </c>
      <c r="GN88" s="11">
        <v>0</v>
      </c>
      <c r="GO88" s="11">
        <v>0</v>
      </c>
      <c r="GP88" s="11">
        <v>0</v>
      </c>
      <c r="GQ88" s="11">
        <v>0</v>
      </c>
      <c r="GR88" s="11">
        <v>0</v>
      </c>
      <c r="GS88" s="11">
        <v>0</v>
      </c>
      <c r="GT88" s="11">
        <v>0</v>
      </c>
      <c r="GU88" s="26">
        <f t="shared" si="61"/>
        <v>0</v>
      </c>
      <c r="GV88" s="11">
        <v>0</v>
      </c>
      <c r="GW88" s="11">
        <v>0</v>
      </c>
      <c r="GX88" s="11">
        <v>0</v>
      </c>
      <c r="GY88" s="11">
        <v>0</v>
      </c>
      <c r="GZ88" s="11">
        <v>0</v>
      </c>
      <c r="HA88" s="11">
        <v>0</v>
      </c>
      <c r="HB88" s="11">
        <v>0</v>
      </c>
      <c r="HC88" s="11">
        <v>0</v>
      </c>
      <c r="HD88" s="11">
        <v>0</v>
      </c>
      <c r="HE88" s="11">
        <v>0</v>
      </c>
      <c r="HF88" s="11">
        <v>0</v>
      </c>
      <c r="HG88" s="11">
        <v>0</v>
      </c>
      <c r="HH88" s="26">
        <f t="shared" si="62"/>
        <v>0</v>
      </c>
      <c r="HI88" s="11">
        <v>0</v>
      </c>
      <c r="HJ88" s="11">
        <v>0</v>
      </c>
      <c r="HK88" s="11">
        <v>0</v>
      </c>
      <c r="HL88" s="11">
        <v>0</v>
      </c>
      <c r="HM88" s="11">
        <v>0</v>
      </c>
      <c r="HN88" s="11">
        <v>0</v>
      </c>
      <c r="HO88" s="11">
        <v>0</v>
      </c>
      <c r="HP88" s="11">
        <v>0</v>
      </c>
      <c r="HQ88" s="11">
        <v>0</v>
      </c>
      <c r="HR88" s="11">
        <v>0</v>
      </c>
      <c r="HS88" s="11">
        <v>0</v>
      </c>
      <c r="HT88" s="11">
        <v>0</v>
      </c>
      <c r="HU88" s="26">
        <f t="shared" si="63"/>
        <v>0</v>
      </c>
      <c r="HV88" s="11">
        <v>0</v>
      </c>
      <c r="HW88" s="11">
        <v>0</v>
      </c>
      <c r="HX88" s="11">
        <v>0</v>
      </c>
      <c r="HY88" s="11">
        <v>0</v>
      </c>
      <c r="HZ88" s="11">
        <v>0</v>
      </c>
      <c r="IA88" s="11">
        <v>0</v>
      </c>
      <c r="IB88" s="11">
        <v>0</v>
      </c>
      <c r="IC88" s="11">
        <v>0</v>
      </c>
      <c r="ID88" s="11">
        <v>0</v>
      </c>
      <c r="IE88" s="11">
        <v>0</v>
      </c>
      <c r="IF88" s="11">
        <v>0</v>
      </c>
      <c r="IG88" s="11">
        <v>0</v>
      </c>
      <c r="IH88" s="26">
        <f t="shared" si="64"/>
        <v>0</v>
      </c>
      <c r="II88" s="9">
        <f t="shared" si="65"/>
        <v>0</v>
      </c>
      <c r="IJ88" s="9">
        <f t="shared" si="66"/>
        <v>0</v>
      </c>
      <c r="IK88" s="11">
        <v>36414</v>
      </c>
      <c r="IL88" s="11">
        <v>21083</v>
      </c>
      <c r="IM88" s="11">
        <v>18895</v>
      </c>
      <c r="IN88" s="11">
        <v>25378</v>
      </c>
      <c r="IO88" s="11">
        <v>36752</v>
      </c>
      <c r="IP88" s="11">
        <v>29506</v>
      </c>
      <c r="IQ88" s="11">
        <v>22671</v>
      </c>
      <c r="IR88" s="11">
        <v>21030</v>
      </c>
      <c r="IS88" s="11">
        <v>23365</v>
      </c>
      <c r="IT88" s="11">
        <v>26828</v>
      </c>
      <c r="IU88" s="11">
        <v>20587</v>
      </c>
      <c r="IV88" s="11">
        <v>19599</v>
      </c>
      <c r="IW88" s="27">
        <f t="shared" si="67"/>
        <v>302108</v>
      </c>
      <c r="IX88" s="11">
        <v>11241</v>
      </c>
      <c r="IY88" s="11">
        <v>10938</v>
      </c>
      <c r="IZ88" s="11">
        <v>10693</v>
      </c>
      <c r="JA88" s="11">
        <v>12197</v>
      </c>
      <c r="JB88" s="11">
        <v>12048</v>
      </c>
      <c r="JC88" s="11">
        <v>10203</v>
      </c>
      <c r="JD88" s="11">
        <v>11521</v>
      </c>
      <c r="JE88" s="11">
        <v>11000</v>
      </c>
      <c r="JF88" s="11">
        <v>8713</v>
      </c>
      <c r="JG88" s="11">
        <v>11351</v>
      </c>
      <c r="JH88" s="11">
        <v>10137</v>
      </c>
      <c r="JI88" s="11">
        <v>10705</v>
      </c>
      <c r="JJ88" s="27">
        <f t="shared" si="68"/>
        <v>130747</v>
      </c>
      <c r="JK88" s="11">
        <v>24200</v>
      </c>
      <c r="JL88" s="11">
        <v>10003</v>
      </c>
      <c r="JM88" s="11">
        <v>8086</v>
      </c>
      <c r="JN88" s="11">
        <v>12920</v>
      </c>
      <c r="JO88" s="11">
        <v>24521</v>
      </c>
      <c r="JP88" s="11">
        <v>19182</v>
      </c>
      <c r="JQ88" s="11">
        <v>10967</v>
      </c>
      <c r="JR88" s="11">
        <v>9909</v>
      </c>
      <c r="JS88" s="11">
        <v>14552</v>
      </c>
      <c r="JT88" s="11">
        <v>15276</v>
      </c>
      <c r="JU88" s="11">
        <v>10307</v>
      </c>
      <c r="JV88" s="11">
        <v>8768</v>
      </c>
      <c r="JW88" s="27">
        <f t="shared" si="69"/>
        <v>168691</v>
      </c>
      <c r="JX88" s="11">
        <v>973</v>
      </c>
      <c r="JY88" s="11">
        <v>142</v>
      </c>
      <c r="JZ88" s="11">
        <v>116</v>
      </c>
      <c r="KA88" s="11">
        <v>261</v>
      </c>
      <c r="KB88" s="11">
        <v>183</v>
      </c>
      <c r="KC88" s="11">
        <v>121</v>
      </c>
      <c r="KD88" s="11">
        <v>183</v>
      </c>
      <c r="KE88" s="11">
        <v>121</v>
      </c>
      <c r="KF88" s="11">
        <v>100</v>
      </c>
      <c r="KG88" s="11">
        <v>201</v>
      </c>
      <c r="KH88" s="11">
        <v>143</v>
      </c>
      <c r="KI88" s="11">
        <v>126</v>
      </c>
      <c r="KJ88" s="27">
        <f t="shared" si="70"/>
        <v>2670</v>
      </c>
      <c r="KK88" s="11">
        <v>400</v>
      </c>
      <c r="KL88" s="11">
        <v>518</v>
      </c>
      <c r="KM88" s="11">
        <v>526</v>
      </c>
      <c r="KN88" s="11">
        <v>879</v>
      </c>
      <c r="KO88" s="11">
        <v>772</v>
      </c>
      <c r="KP88" s="11">
        <v>259</v>
      </c>
      <c r="KQ88" s="11">
        <v>630</v>
      </c>
      <c r="KR88" s="11">
        <v>590</v>
      </c>
      <c r="KS88" s="11">
        <v>589</v>
      </c>
      <c r="KT88" s="11">
        <v>643</v>
      </c>
      <c r="KU88" s="11">
        <v>577</v>
      </c>
      <c r="KV88" s="11">
        <v>653</v>
      </c>
      <c r="KW88" s="27">
        <f t="shared" si="71"/>
        <v>7036</v>
      </c>
      <c r="KX88" s="11">
        <v>400</v>
      </c>
      <c r="KY88" s="11">
        <v>518</v>
      </c>
      <c r="KZ88" s="11">
        <v>526</v>
      </c>
      <c r="LA88" s="11">
        <v>879</v>
      </c>
      <c r="LB88" s="11">
        <v>772</v>
      </c>
      <c r="LC88" s="11">
        <v>259</v>
      </c>
      <c r="LD88" s="11">
        <v>630</v>
      </c>
      <c r="LE88" s="11">
        <v>590</v>
      </c>
      <c r="LF88" s="11">
        <v>589</v>
      </c>
      <c r="LG88" s="11">
        <v>643</v>
      </c>
      <c r="LH88" s="11">
        <v>577</v>
      </c>
      <c r="LI88" s="11">
        <v>653</v>
      </c>
      <c r="LJ88" s="27">
        <f t="shared" si="72"/>
        <v>7036</v>
      </c>
      <c r="LK88" s="11">
        <v>0</v>
      </c>
      <c r="LL88" s="11">
        <v>0</v>
      </c>
      <c r="LM88" s="11">
        <v>0</v>
      </c>
      <c r="LN88" s="11">
        <v>0</v>
      </c>
      <c r="LO88" s="11">
        <v>0</v>
      </c>
      <c r="LP88" s="11">
        <v>0</v>
      </c>
      <c r="LQ88" s="11">
        <v>0</v>
      </c>
      <c r="LR88" s="11">
        <v>0</v>
      </c>
      <c r="LS88" s="11">
        <v>0</v>
      </c>
      <c r="LT88" s="11">
        <v>0</v>
      </c>
      <c r="LU88" s="11">
        <v>0</v>
      </c>
      <c r="LV88" s="11">
        <v>0</v>
      </c>
      <c r="LW88" s="27">
        <f t="shared" si="73"/>
        <v>0</v>
      </c>
      <c r="LX88" s="11">
        <v>0</v>
      </c>
      <c r="LY88" s="11">
        <v>0</v>
      </c>
      <c r="LZ88" s="11">
        <v>0</v>
      </c>
      <c r="MA88" s="11">
        <v>0</v>
      </c>
      <c r="MB88" s="11">
        <v>0</v>
      </c>
      <c r="MC88" s="11">
        <v>0</v>
      </c>
      <c r="MD88" s="11">
        <v>0</v>
      </c>
      <c r="ME88" s="11">
        <v>0</v>
      </c>
      <c r="MF88" s="11">
        <v>0</v>
      </c>
      <c r="MG88" s="11">
        <v>0</v>
      </c>
      <c r="MH88" s="11">
        <v>0</v>
      </c>
      <c r="MI88" s="11">
        <v>0</v>
      </c>
      <c r="MJ88" s="27">
        <f t="shared" si="74"/>
        <v>0</v>
      </c>
      <c r="MK88" s="11">
        <v>2080</v>
      </c>
      <c r="ML88" s="11">
        <v>2194</v>
      </c>
      <c r="MM88" s="11">
        <v>2271</v>
      </c>
      <c r="MN88" s="11">
        <v>2356</v>
      </c>
      <c r="MO88" s="11">
        <v>2282</v>
      </c>
      <c r="MP88" s="11">
        <v>2112</v>
      </c>
      <c r="MQ88" s="11">
        <v>2197</v>
      </c>
      <c r="MR88" s="11">
        <v>2147</v>
      </c>
      <c r="MS88" s="11">
        <v>2008</v>
      </c>
      <c r="MT88" s="11">
        <v>2143</v>
      </c>
      <c r="MU88" s="11">
        <v>2074</v>
      </c>
      <c r="MV88" s="11">
        <v>2200</v>
      </c>
      <c r="MW88" s="27">
        <f t="shared" si="75"/>
        <v>26064</v>
      </c>
      <c r="MX88" s="11">
        <v>0</v>
      </c>
      <c r="MY88" s="11">
        <v>0</v>
      </c>
      <c r="MZ88" s="11">
        <v>0</v>
      </c>
      <c r="NA88" s="11">
        <v>0</v>
      </c>
      <c r="NB88" s="11">
        <v>0</v>
      </c>
      <c r="NC88" s="11">
        <v>0</v>
      </c>
      <c r="ND88" s="11">
        <v>0</v>
      </c>
      <c r="NE88" s="11">
        <v>0</v>
      </c>
      <c r="NF88" s="11">
        <v>0</v>
      </c>
      <c r="NG88" s="11">
        <v>0</v>
      </c>
      <c r="NH88" s="11">
        <v>0</v>
      </c>
      <c r="NI88" s="11">
        <v>0</v>
      </c>
      <c r="NJ88" s="27">
        <f t="shared" si="76"/>
        <v>0</v>
      </c>
      <c r="NK88" s="11">
        <v>0</v>
      </c>
      <c r="NL88" s="11">
        <v>0</v>
      </c>
      <c r="NM88" s="11">
        <v>0</v>
      </c>
      <c r="NN88" s="11">
        <v>0</v>
      </c>
      <c r="NO88" s="11">
        <v>0</v>
      </c>
      <c r="NP88" s="11">
        <v>0</v>
      </c>
      <c r="NQ88" s="11">
        <v>0</v>
      </c>
      <c r="NR88" s="11">
        <v>0</v>
      </c>
      <c r="NS88" s="11">
        <v>0</v>
      </c>
      <c r="NT88" s="11">
        <v>0</v>
      </c>
      <c r="NU88" s="11">
        <v>0</v>
      </c>
      <c r="NV88" s="11">
        <v>0</v>
      </c>
      <c r="NW88" s="27">
        <f t="shared" si="77"/>
        <v>0</v>
      </c>
      <c r="NX88" s="11">
        <v>0</v>
      </c>
      <c r="NY88" s="11">
        <v>0</v>
      </c>
      <c r="NZ88" s="11">
        <v>0</v>
      </c>
      <c r="OA88" s="11">
        <v>0</v>
      </c>
      <c r="OB88" s="11">
        <v>0</v>
      </c>
      <c r="OC88" s="11">
        <v>0</v>
      </c>
      <c r="OD88" s="11">
        <v>0</v>
      </c>
      <c r="OE88" s="11">
        <v>0</v>
      </c>
      <c r="OF88" s="11">
        <v>0</v>
      </c>
      <c r="OG88" s="11">
        <v>0</v>
      </c>
      <c r="OH88" s="11">
        <v>0</v>
      </c>
      <c r="OI88" s="11">
        <v>0</v>
      </c>
      <c r="OJ88" s="27">
        <f t="shared" si="78"/>
        <v>0</v>
      </c>
      <c r="OK88" s="11">
        <v>2428</v>
      </c>
      <c r="OL88" s="11">
        <v>2560</v>
      </c>
      <c r="OM88" s="11">
        <v>2537</v>
      </c>
      <c r="ON88" s="11">
        <v>2665</v>
      </c>
      <c r="OO88" s="11">
        <v>2759</v>
      </c>
      <c r="OP88" s="11">
        <v>2546</v>
      </c>
      <c r="OQ88" s="11">
        <v>2869</v>
      </c>
      <c r="OR88" s="11">
        <v>2612</v>
      </c>
      <c r="OS88" s="11">
        <v>2463</v>
      </c>
      <c r="OT88" s="11">
        <v>2759</v>
      </c>
      <c r="OU88" s="11">
        <v>2901</v>
      </c>
      <c r="OV88" s="11">
        <v>2935</v>
      </c>
      <c r="OW88" s="27">
        <f t="shared" si="79"/>
        <v>32034</v>
      </c>
      <c r="OX88" s="11">
        <v>0</v>
      </c>
      <c r="OY88" s="11">
        <v>0</v>
      </c>
      <c r="OZ88" s="11">
        <v>0</v>
      </c>
      <c r="PA88" s="11">
        <v>0</v>
      </c>
      <c r="PB88" s="11">
        <v>0</v>
      </c>
      <c r="PC88" s="11">
        <v>0</v>
      </c>
      <c r="PD88" s="11">
        <v>0</v>
      </c>
      <c r="PE88" s="11">
        <v>0</v>
      </c>
      <c r="PF88" s="11">
        <v>0</v>
      </c>
      <c r="PG88" s="11">
        <v>0</v>
      </c>
      <c r="PH88" s="11">
        <v>0</v>
      </c>
      <c r="PI88" s="11">
        <v>0</v>
      </c>
      <c r="PJ88" s="27">
        <f t="shared" si="80"/>
        <v>0</v>
      </c>
      <c r="PK88" s="11">
        <v>0</v>
      </c>
      <c r="PL88" s="11">
        <v>0</v>
      </c>
      <c r="PM88" s="11">
        <v>0</v>
      </c>
      <c r="PN88" s="11">
        <v>0</v>
      </c>
      <c r="PO88" s="11">
        <v>0</v>
      </c>
      <c r="PP88" s="11">
        <v>0</v>
      </c>
      <c r="PQ88" s="11">
        <v>0</v>
      </c>
      <c r="PR88" s="11">
        <v>0</v>
      </c>
      <c r="PS88" s="11">
        <v>0</v>
      </c>
      <c r="PT88" s="11">
        <v>0</v>
      </c>
      <c r="PU88" s="11">
        <v>0</v>
      </c>
      <c r="PV88" s="11">
        <v>0</v>
      </c>
      <c r="PW88" s="27">
        <f t="shared" si="81"/>
        <v>0</v>
      </c>
      <c r="PX88" s="11">
        <v>0</v>
      </c>
      <c r="PY88" s="11">
        <v>0</v>
      </c>
      <c r="PZ88" s="11">
        <v>0</v>
      </c>
      <c r="QA88" s="11">
        <v>0</v>
      </c>
      <c r="QB88" s="11">
        <v>0</v>
      </c>
      <c r="QC88" s="11">
        <v>0</v>
      </c>
      <c r="QD88" s="11">
        <v>0</v>
      </c>
      <c r="QE88" s="11">
        <v>0</v>
      </c>
      <c r="QF88" s="11">
        <v>0</v>
      </c>
      <c r="QG88" s="11">
        <v>0</v>
      </c>
      <c r="QH88" s="11">
        <v>0</v>
      </c>
      <c r="QI88" s="11">
        <v>0</v>
      </c>
      <c r="QJ88" s="27">
        <f t="shared" si="82"/>
        <v>0</v>
      </c>
      <c r="QK88" s="11">
        <v>12883</v>
      </c>
      <c r="QL88" s="11">
        <v>11698</v>
      </c>
      <c r="QM88" s="11">
        <v>11404</v>
      </c>
      <c r="QN88" s="11">
        <v>14557</v>
      </c>
      <c r="QO88" s="11">
        <v>14990</v>
      </c>
      <c r="QP88" s="11">
        <v>15032</v>
      </c>
      <c r="QQ88" s="11">
        <v>14854</v>
      </c>
      <c r="QR88" s="11">
        <v>13372</v>
      </c>
      <c r="QS88" s="11">
        <v>10293</v>
      </c>
      <c r="QT88" s="11">
        <v>12269</v>
      </c>
      <c r="QU88" s="11">
        <v>13347</v>
      </c>
      <c r="QV88" s="11">
        <v>13461</v>
      </c>
      <c r="QW88" s="27">
        <f t="shared" si="83"/>
        <v>158160</v>
      </c>
      <c r="QX88" s="11">
        <v>6135</v>
      </c>
      <c r="QY88" s="11">
        <v>5903</v>
      </c>
      <c r="QZ88" s="11">
        <v>6073</v>
      </c>
      <c r="RA88" s="11">
        <v>6362</v>
      </c>
      <c r="RB88" s="11">
        <v>9026</v>
      </c>
      <c r="RC88" s="11">
        <v>5948</v>
      </c>
      <c r="RD88" s="11">
        <v>6426</v>
      </c>
      <c r="RE88" s="11">
        <v>5164</v>
      </c>
      <c r="RF88" s="11">
        <v>4813</v>
      </c>
      <c r="RG88" s="11">
        <v>4940</v>
      </c>
      <c r="RH88" s="11">
        <v>5695</v>
      </c>
      <c r="RI88" s="11">
        <v>6167</v>
      </c>
      <c r="RJ88" s="27">
        <f t="shared" si="84"/>
        <v>72652</v>
      </c>
      <c r="RK88" s="11">
        <v>0</v>
      </c>
      <c r="RL88" s="11">
        <v>0</v>
      </c>
      <c r="RM88" s="11">
        <v>0</v>
      </c>
      <c r="RN88" s="11">
        <v>0</v>
      </c>
      <c r="RO88" s="11">
        <v>0</v>
      </c>
      <c r="RP88" s="11">
        <v>0</v>
      </c>
      <c r="RQ88" s="11">
        <v>0</v>
      </c>
      <c r="RR88" s="11">
        <v>0</v>
      </c>
      <c r="RS88" s="11">
        <v>0</v>
      </c>
      <c r="RT88" s="11">
        <v>0</v>
      </c>
      <c r="RU88" s="11">
        <v>0</v>
      </c>
      <c r="RV88" s="11">
        <v>0</v>
      </c>
      <c r="RW88" s="27">
        <f t="shared" si="85"/>
        <v>0</v>
      </c>
      <c r="RX88" s="11">
        <v>0</v>
      </c>
      <c r="RY88" s="11">
        <v>0</v>
      </c>
      <c r="RZ88" s="11">
        <v>0</v>
      </c>
      <c r="SA88" s="11">
        <v>0</v>
      </c>
      <c r="SB88" s="11">
        <v>0</v>
      </c>
      <c r="SC88" s="11">
        <v>0</v>
      </c>
      <c r="SD88" s="11">
        <v>0</v>
      </c>
      <c r="SE88" s="11">
        <v>0</v>
      </c>
      <c r="SF88" s="11">
        <v>0</v>
      </c>
      <c r="SG88" s="11">
        <v>0</v>
      </c>
      <c r="SH88" s="11">
        <v>0</v>
      </c>
      <c r="SI88" s="11">
        <v>0</v>
      </c>
      <c r="SJ88" s="27">
        <f t="shared" si="86"/>
        <v>0</v>
      </c>
      <c r="SK88" s="11">
        <v>1090</v>
      </c>
      <c r="SL88" s="11">
        <v>849</v>
      </c>
      <c r="SM88" s="11">
        <v>837</v>
      </c>
      <c r="SN88" s="11">
        <v>1307</v>
      </c>
      <c r="SO88" s="11">
        <v>2186</v>
      </c>
      <c r="SP88" s="11">
        <v>665</v>
      </c>
      <c r="SQ88" s="11">
        <v>2090</v>
      </c>
      <c r="SR88" s="11">
        <v>2092</v>
      </c>
      <c r="SS88" s="11">
        <v>1566</v>
      </c>
      <c r="ST88" s="11">
        <v>1741</v>
      </c>
      <c r="SU88" s="11">
        <v>1722</v>
      </c>
      <c r="SV88" s="11">
        <v>2090</v>
      </c>
      <c r="SW88" s="27">
        <f t="shared" si="87"/>
        <v>18235</v>
      </c>
      <c r="SX88" s="11" t="s">
        <v>2728</v>
      </c>
      <c r="SY88" s="11">
        <v>0</v>
      </c>
      <c r="SZ88" s="11">
        <v>0</v>
      </c>
      <c r="TA88" s="11">
        <v>0</v>
      </c>
      <c r="TB88" s="11">
        <v>0</v>
      </c>
      <c r="TC88" s="11">
        <v>0</v>
      </c>
      <c r="TD88" s="11">
        <v>0</v>
      </c>
      <c r="TE88" s="11">
        <v>0</v>
      </c>
      <c r="TF88" s="11">
        <v>0</v>
      </c>
      <c r="TG88" s="11">
        <v>0</v>
      </c>
      <c r="TH88" s="11">
        <v>0</v>
      </c>
      <c r="TI88" s="11">
        <v>0</v>
      </c>
      <c r="TJ88" s="11">
        <v>0</v>
      </c>
      <c r="TK88" s="27">
        <f t="shared" si="88"/>
        <v>0</v>
      </c>
      <c r="TL88" s="11">
        <v>0</v>
      </c>
      <c r="TM88" s="11">
        <v>0</v>
      </c>
      <c r="TN88" s="11">
        <v>0</v>
      </c>
      <c r="TO88" s="11">
        <v>0</v>
      </c>
      <c r="TP88" s="11">
        <v>0</v>
      </c>
      <c r="TQ88" s="11">
        <v>0</v>
      </c>
      <c r="TR88" s="11">
        <v>0</v>
      </c>
      <c r="TS88" s="11">
        <v>0</v>
      </c>
      <c r="TT88" s="11">
        <v>0</v>
      </c>
      <c r="TU88" s="11">
        <v>0</v>
      </c>
      <c r="TV88" s="11">
        <v>0</v>
      </c>
      <c r="TW88" s="11">
        <v>0</v>
      </c>
      <c r="TX88" s="27">
        <f t="shared" si="89"/>
        <v>0</v>
      </c>
      <c r="TY88" s="11">
        <v>54</v>
      </c>
      <c r="TZ88" s="11">
        <v>0</v>
      </c>
      <c r="UA88" s="11">
        <v>0</v>
      </c>
    </row>
    <row r="89" spans="1:547" ht="16" customHeight="1" x14ac:dyDescent="0.35">
      <c r="A89" s="11" t="s">
        <v>1471</v>
      </c>
      <c r="B89" s="11">
        <v>66041</v>
      </c>
      <c r="C89" s="11">
        <v>25461</v>
      </c>
      <c r="D89" s="11">
        <v>33392</v>
      </c>
      <c r="E89" s="11">
        <v>4347</v>
      </c>
      <c r="F89" s="11">
        <v>847</v>
      </c>
      <c r="G89" s="11">
        <v>924</v>
      </c>
      <c r="H89" s="11">
        <v>905</v>
      </c>
      <c r="I89" s="11">
        <v>885</v>
      </c>
      <c r="J89" s="11">
        <v>697</v>
      </c>
      <c r="K89" s="11">
        <v>723</v>
      </c>
      <c r="L89" s="11">
        <v>887</v>
      </c>
      <c r="M89" s="11">
        <v>813</v>
      </c>
      <c r="N89" s="11">
        <v>594</v>
      </c>
      <c r="O89" s="11">
        <v>871</v>
      </c>
      <c r="P89" s="11" t="s">
        <v>2863</v>
      </c>
      <c r="Q89" s="11">
        <v>902</v>
      </c>
      <c r="R89" s="11">
        <v>961</v>
      </c>
      <c r="S89" s="26">
        <f t="shared" si="45"/>
        <v>10009</v>
      </c>
      <c r="T89" s="11">
        <v>0</v>
      </c>
      <c r="U89" s="11">
        <v>0</v>
      </c>
      <c r="V89" s="11">
        <v>0</v>
      </c>
      <c r="W89" s="11">
        <v>0</v>
      </c>
      <c r="X89" s="11">
        <v>0</v>
      </c>
      <c r="Y89" s="11">
        <v>0</v>
      </c>
      <c r="Z89" s="11">
        <v>0</v>
      </c>
      <c r="AA89" s="11">
        <v>0</v>
      </c>
      <c r="AB89" s="11">
        <v>0</v>
      </c>
      <c r="AC89" s="11">
        <v>0</v>
      </c>
      <c r="AD89" s="11">
        <v>0</v>
      </c>
      <c r="AE89" s="11">
        <v>0</v>
      </c>
      <c r="AF89" s="26">
        <f t="shared" si="46"/>
        <v>0</v>
      </c>
      <c r="AG89" s="11">
        <v>0</v>
      </c>
      <c r="AH89" s="11">
        <v>0</v>
      </c>
      <c r="AI89" s="11">
        <v>0</v>
      </c>
      <c r="AJ89" s="11">
        <v>0</v>
      </c>
      <c r="AK89" s="11">
        <v>0</v>
      </c>
      <c r="AL89" s="11">
        <v>0</v>
      </c>
      <c r="AM89" s="11">
        <v>0</v>
      </c>
      <c r="AN89" s="11">
        <v>0</v>
      </c>
      <c r="AO89" s="11">
        <v>0</v>
      </c>
      <c r="AP89" s="11">
        <v>0</v>
      </c>
      <c r="AQ89" s="11">
        <v>0</v>
      </c>
      <c r="AR89" s="11">
        <v>0</v>
      </c>
      <c r="AS89" s="26">
        <f t="shared" si="47"/>
        <v>0</v>
      </c>
      <c r="AT89" s="11">
        <v>0</v>
      </c>
      <c r="AU89" s="11">
        <v>0</v>
      </c>
      <c r="AV89" s="11">
        <v>0</v>
      </c>
      <c r="AW89" s="11">
        <v>0</v>
      </c>
      <c r="AX89" s="11">
        <v>0</v>
      </c>
      <c r="AY89" s="11">
        <v>0</v>
      </c>
      <c r="AZ89" s="11">
        <v>0</v>
      </c>
      <c r="BA89" s="11">
        <v>0</v>
      </c>
      <c r="BB89" s="11">
        <v>0</v>
      </c>
      <c r="BC89" s="11">
        <v>0</v>
      </c>
      <c r="BD89" s="11">
        <v>0</v>
      </c>
      <c r="BE89" s="11">
        <v>0</v>
      </c>
      <c r="BF89" s="26">
        <f t="shared" si="48"/>
        <v>0</v>
      </c>
      <c r="BG89" s="11">
        <v>0</v>
      </c>
      <c r="BH89" s="11">
        <v>0</v>
      </c>
      <c r="BI89" s="11">
        <v>0</v>
      </c>
      <c r="BJ89" s="11">
        <v>0</v>
      </c>
      <c r="BK89" s="11">
        <v>0</v>
      </c>
      <c r="BL89" s="11">
        <v>0</v>
      </c>
      <c r="BM89" s="11">
        <v>0</v>
      </c>
      <c r="BN89" s="11">
        <v>0</v>
      </c>
      <c r="BO89" s="11">
        <v>0</v>
      </c>
      <c r="BP89" s="11">
        <v>0</v>
      </c>
      <c r="BQ89" s="11">
        <v>0</v>
      </c>
      <c r="BR89" s="11">
        <v>0</v>
      </c>
      <c r="BS89" s="26">
        <f t="shared" si="49"/>
        <v>0</v>
      </c>
      <c r="BT89" s="11">
        <v>0</v>
      </c>
      <c r="BU89" s="11">
        <v>4</v>
      </c>
      <c r="BV89" s="11">
        <v>2</v>
      </c>
      <c r="BW89" s="11">
        <v>2</v>
      </c>
      <c r="BX89" s="11">
        <v>1</v>
      </c>
      <c r="BY89" s="11">
        <v>1</v>
      </c>
      <c r="BZ89" s="11">
        <v>1</v>
      </c>
      <c r="CA89" s="11">
        <v>1</v>
      </c>
      <c r="CB89" s="11">
        <v>0</v>
      </c>
      <c r="CC89" s="11">
        <v>1</v>
      </c>
      <c r="CD89" s="11">
        <v>2</v>
      </c>
      <c r="CE89" s="11">
        <v>0</v>
      </c>
      <c r="CF89" s="26">
        <f t="shared" si="50"/>
        <v>15</v>
      </c>
      <c r="CG89" s="11">
        <v>0</v>
      </c>
      <c r="CH89" s="11">
        <v>4</v>
      </c>
      <c r="CI89" s="11">
        <v>2</v>
      </c>
      <c r="CJ89" s="11">
        <v>2</v>
      </c>
      <c r="CK89" s="11">
        <v>1</v>
      </c>
      <c r="CL89" s="11">
        <v>1</v>
      </c>
      <c r="CM89" s="11">
        <v>1</v>
      </c>
      <c r="CN89" s="11">
        <v>1</v>
      </c>
      <c r="CO89" s="11">
        <v>0</v>
      </c>
      <c r="CP89" s="11">
        <v>1</v>
      </c>
      <c r="CQ89" s="11">
        <v>2</v>
      </c>
      <c r="CR89" s="11">
        <v>0</v>
      </c>
      <c r="CS89" s="26">
        <f t="shared" si="51"/>
        <v>15</v>
      </c>
      <c r="CT89" s="11">
        <v>0</v>
      </c>
      <c r="CU89" s="11">
        <v>0</v>
      </c>
      <c r="CV89" s="11">
        <v>0</v>
      </c>
      <c r="CW89" s="11">
        <v>0</v>
      </c>
      <c r="CX89" s="11">
        <v>0</v>
      </c>
      <c r="CY89" s="11">
        <v>0</v>
      </c>
      <c r="CZ89" s="11">
        <v>0</v>
      </c>
      <c r="DA89" s="11">
        <v>0</v>
      </c>
      <c r="DB89" s="11">
        <v>0</v>
      </c>
      <c r="DC89" s="11">
        <v>0</v>
      </c>
      <c r="DD89" s="11">
        <v>0</v>
      </c>
      <c r="DE89" s="11">
        <v>0</v>
      </c>
      <c r="DF89" s="26">
        <f t="shared" si="52"/>
        <v>0</v>
      </c>
      <c r="DG89" s="11">
        <v>0</v>
      </c>
      <c r="DH89" s="11">
        <v>0</v>
      </c>
      <c r="DI89" s="11">
        <v>0</v>
      </c>
      <c r="DJ89" s="11">
        <v>0</v>
      </c>
      <c r="DK89" s="11">
        <v>0</v>
      </c>
      <c r="DL89" s="11">
        <v>0</v>
      </c>
      <c r="DM89" s="11">
        <v>0</v>
      </c>
      <c r="DN89" s="11">
        <v>0</v>
      </c>
      <c r="DO89" s="11">
        <v>0</v>
      </c>
      <c r="DP89" s="11">
        <v>0</v>
      </c>
      <c r="DQ89" s="11">
        <v>0</v>
      </c>
      <c r="DR89" s="11">
        <v>0</v>
      </c>
      <c r="DS89" s="26">
        <f t="shared" si="53"/>
        <v>0</v>
      </c>
      <c r="DT89" s="11">
        <v>0</v>
      </c>
      <c r="DU89" s="11">
        <v>0</v>
      </c>
      <c r="DV89" s="11">
        <v>0</v>
      </c>
      <c r="DW89" s="11">
        <v>0</v>
      </c>
      <c r="DX89" s="11">
        <v>0</v>
      </c>
      <c r="DY89" s="11">
        <v>0</v>
      </c>
      <c r="DZ89" s="11">
        <v>0</v>
      </c>
      <c r="EA89" s="11">
        <v>0</v>
      </c>
      <c r="EB89" s="11">
        <v>0</v>
      </c>
      <c r="EC89" s="11">
        <v>0</v>
      </c>
      <c r="ED89" s="11">
        <v>0</v>
      </c>
      <c r="EE89" s="11">
        <v>0</v>
      </c>
      <c r="EF89" s="26">
        <f t="shared" si="54"/>
        <v>0</v>
      </c>
      <c r="EG89" s="9">
        <f t="shared" si="55"/>
        <v>0</v>
      </c>
      <c r="EH89" s="9">
        <f t="shared" si="56"/>
        <v>15</v>
      </c>
      <c r="EI89" s="11">
        <v>11026</v>
      </c>
      <c r="EJ89" s="11">
        <v>12998</v>
      </c>
      <c r="EK89" s="11">
        <v>13968</v>
      </c>
      <c r="EL89" s="11">
        <v>21970</v>
      </c>
      <c r="EM89" s="11">
        <v>10669</v>
      </c>
      <c r="EN89" s="11">
        <v>7799</v>
      </c>
      <c r="EO89" s="11">
        <v>12189</v>
      </c>
      <c r="EP89" s="11">
        <v>11147</v>
      </c>
      <c r="EQ89" s="11">
        <v>7152</v>
      </c>
      <c r="ER89" s="11">
        <v>11133</v>
      </c>
      <c r="ES89" s="11">
        <v>13141</v>
      </c>
      <c r="ET89" s="11">
        <v>12584</v>
      </c>
      <c r="EU89" s="26">
        <f t="shared" si="57"/>
        <v>145776</v>
      </c>
      <c r="EV89" s="11">
        <v>6450</v>
      </c>
      <c r="EW89" s="11">
        <v>7507</v>
      </c>
      <c r="EX89" s="11">
        <v>6642</v>
      </c>
      <c r="EY89" s="11">
        <v>5884</v>
      </c>
      <c r="EZ89" s="11">
        <v>5698</v>
      </c>
      <c r="FA89" s="11">
        <v>4708</v>
      </c>
      <c r="FB89" s="11">
        <v>7324</v>
      </c>
      <c r="FC89" s="11">
        <v>6072</v>
      </c>
      <c r="FD89" s="11">
        <v>4156</v>
      </c>
      <c r="FE89" s="11">
        <v>6137</v>
      </c>
      <c r="FF89" s="11">
        <v>7335</v>
      </c>
      <c r="FG89" s="11">
        <v>7570</v>
      </c>
      <c r="FH89" s="26">
        <f t="shared" si="58"/>
        <v>75483</v>
      </c>
      <c r="FI89" s="11">
        <v>4401</v>
      </c>
      <c r="FJ89" s="11">
        <v>5170</v>
      </c>
      <c r="FK89" s="11">
        <v>7191</v>
      </c>
      <c r="FL89" s="11">
        <v>15943</v>
      </c>
      <c r="FM89" s="11">
        <v>4779</v>
      </c>
      <c r="FN89" s="11">
        <v>3059</v>
      </c>
      <c r="FO89" s="11">
        <v>4759</v>
      </c>
      <c r="FP89" s="11">
        <v>5021</v>
      </c>
      <c r="FQ89" s="11">
        <v>2962</v>
      </c>
      <c r="FR89" s="11">
        <v>4982</v>
      </c>
      <c r="FS89" s="11">
        <v>5711</v>
      </c>
      <c r="FT89" s="11">
        <v>4816</v>
      </c>
      <c r="FU89" s="26">
        <f t="shared" si="59"/>
        <v>68794</v>
      </c>
      <c r="FV89" s="11">
        <v>175</v>
      </c>
      <c r="FW89" s="11">
        <v>321</v>
      </c>
      <c r="FX89" s="11">
        <v>135</v>
      </c>
      <c r="FY89" s="11">
        <v>143</v>
      </c>
      <c r="FZ89" s="11">
        <v>192</v>
      </c>
      <c r="GA89" s="11">
        <v>32</v>
      </c>
      <c r="GB89" s="11">
        <v>106</v>
      </c>
      <c r="GC89" s="11">
        <v>54</v>
      </c>
      <c r="GD89" s="11">
        <v>34</v>
      </c>
      <c r="GE89" s="11">
        <v>14</v>
      </c>
      <c r="GF89" s="11">
        <v>95</v>
      </c>
      <c r="GG89" s="11">
        <v>198</v>
      </c>
      <c r="GH89" s="26">
        <f t="shared" si="60"/>
        <v>1499</v>
      </c>
      <c r="GI89" s="11">
        <v>0</v>
      </c>
      <c r="GJ89" s="11">
        <v>6525</v>
      </c>
      <c r="GK89" s="11">
        <v>2328</v>
      </c>
      <c r="GL89" s="11">
        <v>4076</v>
      </c>
      <c r="GM89" s="11">
        <v>2100</v>
      </c>
      <c r="GN89" s="11">
        <v>994</v>
      </c>
      <c r="GO89" s="11">
        <v>3113</v>
      </c>
      <c r="GP89" s="11">
        <v>2766</v>
      </c>
      <c r="GQ89" s="11">
        <v>0</v>
      </c>
      <c r="GR89" s="11">
        <v>2012</v>
      </c>
      <c r="GS89" s="11">
        <v>5409</v>
      </c>
      <c r="GT89" s="11">
        <v>0</v>
      </c>
      <c r="GU89" s="26">
        <f t="shared" si="61"/>
        <v>29323</v>
      </c>
      <c r="GV89" s="11">
        <v>0</v>
      </c>
      <c r="GW89" s="11">
        <v>0</v>
      </c>
      <c r="GX89" s="11">
        <v>0</v>
      </c>
      <c r="GY89" s="11">
        <v>0</v>
      </c>
      <c r="GZ89" s="11">
        <v>0</v>
      </c>
      <c r="HA89" s="11">
        <v>0</v>
      </c>
      <c r="HB89" s="11">
        <v>0</v>
      </c>
      <c r="HC89" s="11">
        <v>0</v>
      </c>
      <c r="HD89" s="11">
        <v>0</v>
      </c>
      <c r="HE89" s="11">
        <v>0</v>
      </c>
      <c r="HF89" s="11">
        <v>0</v>
      </c>
      <c r="HG89" s="11">
        <v>0</v>
      </c>
      <c r="HH89" s="26">
        <f t="shared" si="62"/>
        <v>0</v>
      </c>
      <c r="HI89" s="11">
        <v>0</v>
      </c>
      <c r="HJ89" s="11">
        <v>0</v>
      </c>
      <c r="HK89" s="11">
        <v>0</v>
      </c>
      <c r="HL89" s="11">
        <v>0</v>
      </c>
      <c r="HM89" s="11">
        <v>0</v>
      </c>
      <c r="HN89" s="11">
        <v>0</v>
      </c>
      <c r="HO89" s="11">
        <v>0</v>
      </c>
      <c r="HP89" s="11">
        <v>0</v>
      </c>
      <c r="HQ89" s="11">
        <v>0</v>
      </c>
      <c r="HR89" s="11">
        <v>0</v>
      </c>
      <c r="HS89" s="11">
        <v>0</v>
      </c>
      <c r="HT89" s="11">
        <v>0</v>
      </c>
      <c r="HU89" s="26">
        <f t="shared" si="63"/>
        <v>0</v>
      </c>
      <c r="HV89" s="11">
        <v>0</v>
      </c>
      <c r="HW89" s="11">
        <v>0</v>
      </c>
      <c r="HX89" s="11">
        <v>0</v>
      </c>
      <c r="HY89" s="11">
        <v>0</v>
      </c>
      <c r="HZ89" s="11">
        <v>0</v>
      </c>
      <c r="IA89" s="11">
        <v>0</v>
      </c>
      <c r="IB89" s="11">
        <v>0</v>
      </c>
      <c r="IC89" s="11">
        <v>0</v>
      </c>
      <c r="ID89" s="11">
        <v>0</v>
      </c>
      <c r="IE89" s="11">
        <v>0</v>
      </c>
      <c r="IF89" s="11">
        <v>0</v>
      </c>
      <c r="IG89" s="11">
        <v>0</v>
      </c>
      <c r="IH89" s="26">
        <f t="shared" si="64"/>
        <v>0</v>
      </c>
      <c r="II89" s="9">
        <f t="shared" si="65"/>
        <v>145776</v>
      </c>
      <c r="IJ89" s="9">
        <f t="shared" si="66"/>
        <v>0</v>
      </c>
      <c r="IK89" s="11">
        <v>124670</v>
      </c>
      <c r="IL89" s="11">
        <v>120641</v>
      </c>
      <c r="IM89" s="11">
        <v>114651</v>
      </c>
      <c r="IN89" s="11">
        <v>139428</v>
      </c>
      <c r="IO89" s="11">
        <v>155693</v>
      </c>
      <c r="IP89" s="11">
        <v>127044</v>
      </c>
      <c r="IQ89" s="11">
        <v>127068</v>
      </c>
      <c r="IR89" s="11">
        <v>121774</v>
      </c>
      <c r="IS89" s="11">
        <v>98384</v>
      </c>
      <c r="IT89" s="11">
        <v>131192</v>
      </c>
      <c r="IU89" s="11">
        <v>122065</v>
      </c>
      <c r="IV89" s="11">
        <v>126141</v>
      </c>
      <c r="IW89" s="27">
        <f t="shared" si="67"/>
        <v>1508751</v>
      </c>
      <c r="IX89" s="11">
        <v>70172</v>
      </c>
      <c r="IY89" s="11">
        <v>69482</v>
      </c>
      <c r="IZ89" s="11">
        <v>67454</v>
      </c>
      <c r="JA89" s="11">
        <v>69546</v>
      </c>
      <c r="JB89" s="11">
        <v>81184</v>
      </c>
      <c r="JC89" s="11">
        <v>75504</v>
      </c>
      <c r="JD89" s="11">
        <v>75207</v>
      </c>
      <c r="JE89" s="11">
        <v>72762</v>
      </c>
      <c r="JF89" s="11">
        <v>64798</v>
      </c>
      <c r="JG89" s="11">
        <v>78440</v>
      </c>
      <c r="JH89" s="11">
        <v>69376</v>
      </c>
      <c r="JI89" s="11">
        <v>75239</v>
      </c>
      <c r="JJ89" s="27">
        <f t="shared" si="68"/>
        <v>869164</v>
      </c>
      <c r="JK89" s="11">
        <v>53861</v>
      </c>
      <c r="JL89" s="11">
        <v>50525</v>
      </c>
      <c r="JM89" s="11">
        <v>46591</v>
      </c>
      <c r="JN89" s="11">
        <v>69074</v>
      </c>
      <c r="JO89" s="11">
        <v>73662</v>
      </c>
      <c r="JP89" s="11">
        <v>50879</v>
      </c>
      <c r="JQ89" s="11">
        <v>51131</v>
      </c>
      <c r="JR89" s="11">
        <v>48350</v>
      </c>
      <c r="JS89" s="11">
        <v>33084</v>
      </c>
      <c r="JT89" s="11">
        <v>52097</v>
      </c>
      <c r="JU89" s="11">
        <v>52008</v>
      </c>
      <c r="JV89" s="11">
        <v>50291</v>
      </c>
      <c r="JW89" s="27">
        <f t="shared" si="69"/>
        <v>631553</v>
      </c>
      <c r="JX89" s="11">
        <v>637</v>
      </c>
      <c r="JY89" s="11">
        <v>634</v>
      </c>
      <c r="JZ89" s="11">
        <v>606</v>
      </c>
      <c r="KA89" s="11">
        <v>808</v>
      </c>
      <c r="KB89" s="11">
        <v>847</v>
      </c>
      <c r="KC89" s="11">
        <v>661</v>
      </c>
      <c r="KD89" s="11">
        <v>730</v>
      </c>
      <c r="KE89" s="11">
        <v>662</v>
      </c>
      <c r="KF89" s="11">
        <v>502</v>
      </c>
      <c r="KG89" s="11">
        <v>655</v>
      </c>
      <c r="KH89" s="11">
        <v>681</v>
      </c>
      <c r="KI89" s="11">
        <v>611</v>
      </c>
      <c r="KJ89" s="27">
        <f t="shared" si="70"/>
        <v>8034</v>
      </c>
      <c r="KK89" s="11">
        <v>2156</v>
      </c>
      <c r="KL89" s="11">
        <v>2536</v>
      </c>
      <c r="KM89" s="11">
        <v>2718</v>
      </c>
      <c r="KN89" s="11">
        <v>2663</v>
      </c>
      <c r="KO89" s="11">
        <v>2453</v>
      </c>
      <c r="KP89" s="11">
        <v>2416</v>
      </c>
      <c r="KQ89" s="11">
        <v>1842</v>
      </c>
      <c r="KR89" s="11">
        <v>2622</v>
      </c>
      <c r="KS89" s="11">
        <v>1846</v>
      </c>
      <c r="KT89" s="11">
        <v>2570</v>
      </c>
      <c r="KU89" s="11">
        <v>2136</v>
      </c>
      <c r="KV89" s="11">
        <v>1859</v>
      </c>
      <c r="KW89" s="27">
        <f t="shared" si="71"/>
        <v>27817</v>
      </c>
      <c r="KX89" s="11">
        <v>1964</v>
      </c>
      <c r="KY89" s="11">
        <v>2350</v>
      </c>
      <c r="KZ89" s="11">
        <v>2591</v>
      </c>
      <c r="LA89" s="11">
        <v>2458</v>
      </c>
      <c r="LB89" s="11">
        <v>2209</v>
      </c>
      <c r="LC89" s="11">
        <v>2290</v>
      </c>
      <c r="LD89" s="11">
        <v>1731</v>
      </c>
      <c r="LE89" s="11">
        <v>2470</v>
      </c>
      <c r="LF89" s="11">
        <v>1734</v>
      </c>
      <c r="LG89" s="11">
        <v>2410</v>
      </c>
      <c r="LH89" s="11">
        <v>1954</v>
      </c>
      <c r="LI89" s="11">
        <v>1726</v>
      </c>
      <c r="LJ89" s="27">
        <f t="shared" si="72"/>
        <v>25887</v>
      </c>
      <c r="LK89" s="11">
        <v>192</v>
      </c>
      <c r="LL89" s="11">
        <v>186</v>
      </c>
      <c r="LM89" s="11">
        <v>127</v>
      </c>
      <c r="LN89" s="11">
        <v>205</v>
      </c>
      <c r="LO89" s="11">
        <v>244</v>
      </c>
      <c r="LP89" s="11">
        <v>126</v>
      </c>
      <c r="LQ89" s="11">
        <v>111</v>
      </c>
      <c r="LR89" s="11">
        <v>152</v>
      </c>
      <c r="LS89" s="11">
        <v>112</v>
      </c>
      <c r="LT89" s="11">
        <v>160</v>
      </c>
      <c r="LU89" s="11">
        <v>182</v>
      </c>
      <c r="LV89" s="11">
        <v>133</v>
      </c>
      <c r="LW89" s="27">
        <f t="shared" si="73"/>
        <v>1930</v>
      </c>
      <c r="LX89" s="11">
        <v>0</v>
      </c>
      <c r="LY89" s="11">
        <v>0</v>
      </c>
      <c r="LZ89" s="11">
        <v>0</v>
      </c>
      <c r="MA89" s="11">
        <v>0</v>
      </c>
      <c r="MB89" s="11">
        <v>0</v>
      </c>
      <c r="MC89" s="11">
        <v>0</v>
      </c>
      <c r="MD89" s="11">
        <v>0</v>
      </c>
      <c r="ME89" s="11">
        <v>0</v>
      </c>
      <c r="MF89" s="11">
        <v>0</v>
      </c>
      <c r="MG89" s="11">
        <v>0</v>
      </c>
      <c r="MH89" s="11">
        <v>0</v>
      </c>
      <c r="MI89" s="11">
        <v>0</v>
      </c>
      <c r="MJ89" s="27">
        <f t="shared" si="74"/>
        <v>0</v>
      </c>
      <c r="MK89" s="11">
        <v>8192</v>
      </c>
      <c r="ML89" s="11">
        <v>8169</v>
      </c>
      <c r="MM89" s="11">
        <v>7934</v>
      </c>
      <c r="MN89" s="11">
        <v>8447</v>
      </c>
      <c r="MO89" s="11">
        <v>8943</v>
      </c>
      <c r="MP89" s="11">
        <v>8501</v>
      </c>
      <c r="MQ89" s="11">
        <v>8561</v>
      </c>
      <c r="MR89" s="11">
        <v>8360</v>
      </c>
      <c r="MS89" s="11">
        <v>8328</v>
      </c>
      <c r="MT89" s="11">
        <v>8676</v>
      </c>
      <c r="MU89" s="11">
        <v>7749</v>
      </c>
      <c r="MV89" s="11">
        <v>14493</v>
      </c>
      <c r="MW89" s="27">
        <f t="shared" si="75"/>
        <v>106353</v>
      </c>
      <c r="MX89" s="11">
        <v>7291</v>
      </c>
      <c r="MY89" s="11">
        <v>7266</v>
      </c>
      <c r="MZ89" s="11">
        <v>7131</v>
      </c>
      <c r="NA89" s="11">
        <v>7488</v>
      </c>
      <c r="NB89" s="11">
        <v>7808</v>
      </c>
      <c r="NC89" s="11">
        <v>7628</v>
      </c>
      <c r="ND89" s="11">
        <v>7646</v>
      </c>
      <c r="NE89" s="11">
        <v>7381</v>
      </c>
      <c r="NF89" s="11">
        <v>7443</v>
      </c>
      <c r="NG89" s="11">
        <v>7798</v>
      </c>
      <c r="NH89" s="11">
        <v>6848</v>
      </c>
      <c r="NI89" s="11">
        <v>12547</v>
      </c>
      <c r="NJ89" s="27">
        <f t="shared" si="76"/>
        <v>94275</v>
      </c>
      <c r="NK89" s="11">
        <v>492</v>
      </c>
      <c r="NL89" s="11">
        <v>471</v>
      </c>
      <c r="NM89" s="11">
        <v>439</v>
      </c>
      <c r="NN89" s="11">
        <v>593</v>
      </c>
      <c r="NO89" s="11">
        <v>729</v>
      </c>
      <c r="NP89" s="11">
        <v>541</v>
      </c>
      <c r="NQ89" s="11">
        <v>596</v>
      </c>
      <c r="NR89" s="11">
        <v>672</v>
      </c>
      <c r="NS89" s="11">
        <v>557</v>
      </c>
      <c r="NT89" s="11">
        <v>576</v>
      </c>
      <c r="NU89" s="11">
        <v>601</v>
      </c>
      <c r="NV89" s="11">
        <v>1449</v>
      </c>
      <c r="NW89" s="27">
        <f t="shared" si="77"/>
        <v>7716</v>
      </c>
      <c r="NX89" s="11">
        <v>409</v>
      </c>
      <c r="NY89" s="11">
        <v>432</v>
      </c>
      <c r="NZ89" s="11">
        <v>364</v>
      </c>
      <c r="OA89" s="11">
        <v>366</v>
      </c>
      <c r="OB89" s="11">
        <v>406</v>
      </c>
      <c r="OC89" s="11">
        <v>332</v>
      </c>
      <c r="OD89" s="11">
        <v>319</v>
      </c>
      <c r="OE89" s="11">
        <v>307</v>
      </c>
      <c r="OF89" s="11">
        <v>328</v>
      </c>
      <c r="OG89" s="11">
        <v>302</v>
      </c>
      <c r="OH89" s="11">
        <v>300</v>
      </c>
      <c r="OI89" s="11">
        <v>497</v>
      </c>
      <c r="OJ89" s="27">
        <f t="shared" si="78"/>
        <v>4362</v>
      </c>
      <c r="OK89" s="11">
        <v>9129</v>
      </c>
      <c r="OL89" s="11">
        <v>9435</v>
      </c>
      <c r="OM89" s="11">
        <v>9421</v>
      </c>
      <c r="ON89" s="11">
        <v>9996</v>
      </c>
      <c r="OO89" s="11">
        <v>10168</v>
      </c>
      <c r="OP89" s="11">
        <v>9820</v>
      </c>
      <c r="OQ89" s="11">
        <v>10307</v>
      </c>
      <c r="OR89" s="11">
        <v>9925</v>
      </c>
      <c r="OS89" s="11">
        <v>9729</v>
      </c>
      <c r="OT89" s="11">
        <v>10522</v>
      </c>
      <c r="OU89" s="11">
        <v>9739</v>
      </c>
      <c r="OV89" s="11">
        <v>10494</v>
      </c>
      <c r="OW89" s="27">
        <f t="shared" si="79"/>
        <v>118685</v>
      </c>
      <c r="OX89" s="11">
        <v>7930</v>
      </c>
      <c r="OY89" s="11">
        <v>8311</v>
      </c>
      <c r="OZ89" s="11">
        <v>8208</v>
      </c>
      <c r="PA89" s="11">
        <v>8616</v>
      </c>
      <c r="PB89" s="11">
        <v>8420</v>
      </c>
      <c r="PC89" s="11">
        <v>8398</v>
      </c>
      <c r="PD89" s="11">
        <v>8951</v>
      </c>
      <c r="PE89" s="11">
        <v>8585</v>
      </c>
      <c r="PF89" s="11">
        <v>8421</v>
      </c>
      <c r="PG89" s="11">
        <v>9166</v>
      </c>
      <c r="PH89" s="11">
        <v>8438</v>
      </c>
      <c r="PI89" s="11">
        <v>9528</v>
      </c>
      <c r="PJ89" s="27">
        <f t="shared" si="80"/>
        <v>102972</v>
      </c>
      <c r="PK89" s="11">
        <v>835</v>
      </c>
      <c r="PL89" s="11">
        <v>818</v>
      </c>
      <c r="PM89" s="11">
        <v>859</v>
      </c>
      <c r="PN89" s="11">
        <v>996</v>
      </c>
      <c r="PO89" s="11">
        <v>1324</v>
      </c>
      <c r="PP89" s="11">
        <v>1046</v>
      </c>
      <c r="PQ89" s="11">
        <v>1031</v>
      </c>
      <c r="PR89" s="11">
        <v>987</v>
      </c>
      <c r="PS89" s="11">
        <v>1012</v>
      </c>
      <c r="PT89" s="11">
        <v>1005</v>
      </c>
      <c r="PU89" s="11">
        <v>939</v>
      </c>
      <c r="PV89" s="11">
        <v>598</v>
      </c>
      <c r="PW89" s="27">
        <f t="shared" si="81"/>
        <v>11450</v>
      </c>
      <c r="PX89" s="11">
        <v>364</v>
      </c>
      <c r="PY89" s="11">
        <v>306</v>
      </c>
      <c r="PZ89" s="11">
        <v>354</v>
      </c>
      <c r="QA89" s="11">
        <v>384</v>
      </c>
      <c r="QB89" s="11">
        <v>424</v>
      </c>
      <c r="QC89" s="11">
        <v>376</v>
      </c>
      <c r="QD89" s="11">
        <v>325</v>
      </c>
      <c r="QE89" s="11">
        <v>353</v>
      </c>
      <c r="QF89" s="11">
        <v>296</v>
      </c>
      <c r="QG89" s="11">
        <v>351</v>
      </c>
      <c r="QH89" s="11">
        <v>362</v>
      </c>
      <c r="QI89" s="11">
        <v>368</v>
      </c>
      <c r="QJ89" s="27">
        <f t="shared" si="82"/>
        <v>4263</v>
      </c>
      <c r="QK89" s="11">
        <v>63542</v>
      </c>
      <c r="QL89" s="11">
        <v>62203</v>
      </c>
      <c r="QM89" s="11">
        <v>57010</v>
      </c>
      <c r="QN89" s="11">
        <v>72371</v>
      </c>
      <c r="QO89" s="11">
        <v>69938</v>
      </c>
      <c r="QP89" s="11">
        <v>58339</v>
      </c>
      <c r="QQ89" s="11">
        <v>66988</v>
      </c>
      <c r="QR89" s="11">
        <v>60700</v>
      </c>
      <c r="QS89" s="11">
        <v>48165</v>
      </c>
      <c r="QT89" s="11">
        <v>59817</v>
      </c>
      <c r="QU89" s="11">
        <v>61406</v>
      </c>
      <c r="QV89" s="11">
        <v>63437</v>
      </c>
      <c r="QW89" s="27">
        <f t="shared" si="83"/>
        <v>743916</v>
      </c>
      <c r="QX89" s="11">
        <v>105348</v>
      </c>
      <c r="QY89" s="11">
        <v>97372</v>
      </c>
      <c r="QZ89" s="11">
        <v>95698</v>
      </c>
      <c r="RA89" s="11">
        <v>110999</v>
      </c>
      <c r="RB89" s="11">
        <v>106543</v>
      </c>
      <c r="RC89" s="11">
        <v>95751</v>
      </c>
      <c r="RD89" s="11">
        <v>95272</v>
      </c>
      <c r="RE89" s="11">
        <v>94822</v>
      </c>
      <c r="RF89" s="11">
        <v>80897</v>
      </c>
      <c r="RG89" s="11">
        <v>97620</v>
      </c>
      <c r="RH89" s="11">
        <v>95760</v>
      </c>
      <c r="RI89" s="11">
        <v>98787</v>
      </c>
      <c r="RJ89" s="27">
        <f t="shared" si="84"/>
        <v>1174869</v>
      </c>
      <c r="RK89" s="11">
        <v>0</v>
      </c>
      <c r="RL89" s="11">
        <v>0</v>
      </c>
      <c r="RM89" s="11">
        <v>0</v>
      </c>
      <c r="RN89" s="11">
        <v>0</v>
      </c>
      <c r="RO89" s="11">
        <v>0</v>
      </c>
      <c r="RP89" s="11">
        <v>0</v>
      </c>
      <c r="RQ89" s="11">
        <v>0</v>
      </c>
      <c r="RR89" s="11">
        <v>0</v>
      </c>
      <c r="RS89" s="11">
        <v>0</v>
      </c>
      <c r="RT89" s="11">
        <v>0</v>
      </c>
      <c r="RU89" s="11">
        <v>0</v>
      </c>
      <c r="RV89" s="11">
        <v>0</v>
      </c>
      <c r="RW89" s="27">
        <f t="shared" si="85"/>
        <v>0</v>
      </c>
      <c r="RX89" s="11">
        <v>724</v>
      </c>
      <c r="RY89" s="11">
        <v>697</v>
      </c>
      <c r="RZ89" s="11">
        <v>599</v>
      </c>
      <c r="SA89" s="11">
        <v>689</v>
      </c>
      <c r="SB89" s="11">
        <v>568</v>
      </c>
      <c r="SC89" s="11">
        <v>603</v>
      </c>
      <c r="SD89" s="11">
        <v>651</v>
      </c>
      <c r="SE89" s="11">
        <v>588</v>
      </c>
      <c r="SF89" s="11">
        <v>542</v>
      </c>
      <c r="SG89" s="11">
        <v>715</v>
      </c>
      <c r="SH89" s="11">
        <v>649</v>
      </c>
      <c r="SI89" s="11">
        <v>702</v>
      </c>
      <c r="SJ89" s="27">
        <f t="shared" si="86"/>
        <v>7727</v>
      </c>
      <c r="SK89" s="11">
        <v>72</v>
      </c>
      <c r="SL89" s="11">
        <v>73</v>
      </c>
      <c r="SM89" s="11">
        <v>74</v>
      </c>
      <c r="SN89" s="11">
        <v>74</v>
      </c>
      <c r="SO89" s="11">
        <v>73</v>
      </c>
      <c r="SP89" s="11">
        <v>74</v>
      </c>
      <c r="SQ89" s="11">
        <v>74</v>
      </c>
      <c r="SR89" s="11">
        <v>74</v>
      </c>
      <c r="SS89" s="11">
        <v>73</v>
      </c>
      <c r="ST89" s="11">
        <v>74</v>
      </c>
      <c r="SU89" s="11">
        <v>74</v>
      </c>
      <c r="SV89" s="11">
        <v>75</v>
      </c>
      <c r="SW89" s="27">
        <f t="shared" si="87"/>
        <v>884</v>
      </c>
      <c r="SX89" s="11" t="s">
        <v>2729</v>
      </c>
      <c r="SY89" s="11">
        <v>0</v>
      </c>
      <c r="SZ89" s="11">
        <v>0</v>
      </c>
      <c r="TA89" s="11">
        <v>29473</v>
      </c>
      <c r="TB89" s="11">
        <v>0</v>
      </c>
      <c r="TC89" s="11">
        <v>0</v>
      </c>
      <c r="TD89" s="11">
        <v>26767</v>
      </c>
      <c r="TE89" s="11">
        <v>0</v>
      </c>
      <c r="TF89" s="11">
        <v>0</v>
      </c>
      <c r="TG89" s="11">
        <v>27898</v>
      </c>
      <c r="TH89" s="11">
        <v>0</v>
      </c>
      <c r="TI89" s="11">
        <v>0</v>
      </c>
      <c r="TJ89" s="11">
        <v>31145</v>
      </c>
      <c r="TK89" s="27">
        <f t="shared" si="88"/>
        <v>115283</v>
      </c>
      <c r="TL89" s="11">
        <v>0</v>
      </c>
      <c r="TM89" s="11">
        <v>0</v>
      </c>
      <c r="TN89" s="11">
        <v>0</v>
      </c>
      <c r="TO89" s="11">
        <v>0</v>
      </c>
      <c r="TP89" s="11">
        <v>0</v>
      </c>
      <c r="TQ89" s="11">
        <v>0</v>
      </c>
      <c r="TR89" s="11">
        <v>0</v>
      </c>
      <c r="TS89" s="11">
        <v>0</v>
      </c>
      <c r="TT89" s="11">
        <v>0</v>
      </c>
      <c r="TU89" s="11">
        <v>0</v>
      </c>
      <c r="TV89" s="11">
        <v>0</v>
      </c>
      <c r="TW89" s="11">
        <v>0</v>
      </c>
      <c r="TX89" s="27">
        <f t="shared" si="89"/>
        <v>0</v>
      </c>
      <c r="TY89" s="11">
        <v>360</v>
      </c>
      <c r="TZ89" s="11">
        <v>0</v>
      </c>
      <c r="UA89" s="11">
        <v>0</v>
      </c>
    </row>
    <row r="90" spans="1:547" ht="16" customHeight="1" x14ac:dyDescent="0.35">
      <c r="A90" s="11" t="s">
        <v>1550</v>
      </c>
      <c r="B90" s="11">
        <v>14565</v>
      </c>
      <c r="C90" s="11">
        <v>4723</v>
      </c>
      <c r="D90" s="11">
        <v>9560</v>
      </c>
      <c r="E90" s="11">
        <v>282</v>
      </c>
      <c r="F90" s="11">
        <v>277</v>
      </c>
      <c r="G90" s="11">
        <v>300</v>
      </c>
      <c r="H90" s="11">
        <v>301</v>
      </c>
      <c r="I90" s="11">
        <v>345</v>
      </c>
      <c r="J90" s="11">
        <v>250</v>
      </c>
      <c r="K90" s="11">
        <v>348</v>
      </c>
      <c r="L90" s="11">
        <v>382</v>
      </c>
      <c r="M90" s="11">
        <v>347</v>
      </c>
      <c r="N90" s="11">
        <v>304</v>
      </c>
      <c r="O90" s="11">
        <v>436</v>
      </c>
      <c r="P90" s="11" t="s">
        <v>2865</v>
      </c>
      <c r="Q90" s="11">
        <v>445</v>
      </c>
      <c r="R90" s="11">
        <v>440</v>
      </c>
      <c r="S90" s="26">
        <f t="shared" si="45"/>
        <v>4175</v>
      </c>
      <c r="T90" s="11">
        <v>0</v>
      </c>
      <c r="U90" s="11">
        <v>0</v>
      </c>
      <c r="V90" s="11">
        <v>0</v>
      </c>
      <c r="W90" s="11">
        <v>0</v>
      </c>
      <c r="X90" s="11">
        <v>0</v>
      </c>
      <c r="Y90" s="11">
        <v>0</v>
      </c>
      <c r="Z90" s="11">
        <v>0</v>
      </c>
      <c r="AA90" s="11">
        <v>0</v>
      </c>
      <c r="AB90" s="11">
        <v>0</v>
      </c>
      <c r="AC90" s="11">
        <v>0</v>
      </c>
      <c r="AD90" s="11">
        <v>0</v>
      </c>
      <c r="AE90" s="11">
        <v>0</v>
      </c>
      <c r="AF90" s="26">
        <f t="shared" si="46"/>
        <v>0</v>
      </c>
      <c r="AG90" s="11">
        <v>0</v>
      </c>
      <c r="AH90" s="11">
        <v>0</v>
      </c>
      <c r="AI90" s="11">
        <v>0</v>
      </c>
      <c r="AJ90" s="11">
        <v>0</v>
      </c>
      <c r="AK90" s="11">
        <v>0</v>
      </c>
      <c r="AL90" s="11">
        <v>0</v>
      </c>
      <c r="AM90" s="11">
        <v>0</v>
      </c>
      <c r="AN90" s="11">
        <v>0</v>
      </c>
      <c r="AO90" s="11">
        <v>0</v>
      </c>
      <c r="AP90" s="11">
        <v>0</v>
      </c>
      <c r="AQ90" s="11">
        <v>0</v>
      </c>
      <c r="AR90" s="11">
        <v>0</v>
      </c>
      <c r="AS90" s="26">
        <f t="shared" si="47"/>
        <v>0</v>
      </c>
      <c r="AT90" s="11">
        <v>0</v>
      </c>
      <c r="AU90" s="11">
        <v>0</v>
      </c>
      <c r="AV90" s="11">
        <v>0</v>
      </c>
      <c r="AW90" s="11">
        <v>0</v>
      </c>
      <c r="AX90" s="11">
        <v>0</v>
      </c>
      <c r="AY90" s="11">
        <v>0</v>
      </c>
      <c r="AZ90" s="11">
        <v>0</v>
      </c>
      <c r="BA90" s="11">
        <v>0</v>
      </c>
      <c r="BB90" s="11">
        <v>0</v>
      </c>
      <c r="BC90" s="11">
        <v>0</v>
      </c>
      <c r="BD90" s="11">
        <v>0</v>
      </c>
      <c r="BE90" s="11">
        <v>0</v>
      </c>
      <c r="BF90" s="26">
        <f t="shared" si="48"/>
        <v>0</v>
      </c>
      <c r="BG90" s="11">
        <v>0</v>
      </c>
      <c r="BH90" s="11">
        <v>0</v>
      </c>
      <c r="BI90" s="11">
        <v>0</v>
      </c>
      <c r="BJ90" s="11">
        <v>0</v>
      </c>
      <c r="BK90" s="11">
        <v>0</v>
      </c>
      <c r="BL90" s="11">
        <v>0</v>
      </c>
      <c r="BM90" s="11">
        <v>0</v>
      </c>
      <c r="BN90" s="11">
        <v>0</v>
      </c>
      <c r="BO90" s="11">
        <v>0</v>
      </c>
      <c r="BP90" s="11">
        <v>0</v>
      </c>
      <c r="BQ90" s="11">
        <v>0</v>
      </c>
      <c r="BR90" s="11">
        <v>0</v>
      </c>
      <c r="BS90" s="26">
        <f t="shared" si="49"/>
        <v>0</v>
      </c>
      <c r="BT90" s="11">
        <v>0</v>
      </c>
      <c r="BU90" s="11">
        <v>0</v>
      </c>
      <c r="BV90" s="11">
        <v>0</v>
      </c>
      <c r="BW90" s="11">
        <v>0</v>
      </c>
      <c r="BX90" s="11">
        <v>0</v>
      </c>
      <c r="BY90" s="11">
        <v>0</v>
      </c>
      <c r="BZ90" s="11">
        <v>0</v>
      </c>
      <c r="CA90" s="11">
        <v>0</v>
      </c>
      <c r="CB90" s="11">
        <v>0</v>
      </c>
      <c r="CC90" s="11">
        <v>0</v>
      </c>
      <c r="CD90" s="11">
        <v>0</v>
      </c>
      <c r="CE90" s="11">
        <v>0</v>
      </c>
      <c r="CF90" s="26">
        <f t="shared" si="50"/>
        <v>0</v>
      </c>
      <c r="CG90" s="11">
        <v>0</v>
      </c>
      <c r="CH90" s="11">
        <v>0</v>
      </c>
      <c r="CI90" s="11">
        <v>0</v>
      </c>
      <c r="CJ90" s="11">
        <v>0</v>
      </c>
      <c r="CK90" s="11">
        <v>0</v>
      </c>
      <c r="CL90" s="11">
        <v>0</v>
      </c>
      <c r="CM90" s="11">
        <v>0</v>
      </c>
      <c r="CN90" s="11">
        <v>0</v>
      </c>
      <c r="CO90" s="11">
        <v>0</v>
      </c>
      <c r="CP90" s="11">
        <v>0</v>
      </c>
      <c r="CQ90" s="11">
        <v>0</v>
      </c>
      <c r="CR90" s="11">
        <v>0</v>
      </c>
      <c r="CS90" s="26">
        <f t="shared" si="51"/>
        <v>0</v>
      </c>
      <c r="CT90" s="11">
        <v>0</v>
      </c>
      <c r="CU90" s="11">
        <v>0</v>
      </c>
      <c r="CV90" s="11">
        <v>0</v>
      </c>
      <c r="CW90" s="11">
        <v>0</v>
      </c>
      <c r="CX90" s="11">
        <v>0</v>
      </c>
      <c r="CY90" s="11">
        <v>0</v>
      </c>
      <c r="CZ90" s="11">
        <v>0</v>
      </c>
      <c r="DA90" s="11">
        <v>0</v>
      </c>
      <c r="DB90" s="11">
        <v>0</v>
      </c>
      <c r="DC90" s="11">
        <v>0</v>
      </c>
      <c r="DD90" s="11">
        <v>0</v>
      </c>
      <c r="DE90" s="11">
        <v>0</v>
      </c>
      <c r="DF90" s="26">
        <f t="shared" si="52"/>
        <v>0</v>
      </c>
      <c r="DG90" s="11">
        <v>0</v>
      </c>
      <c r="DH90" s="11">
        <v>0</v>
      </c>
      <c r="DI90" s="11">
        <v>0</v>
      </c>
      <c r="DJ90" s="11">
        <v>0</v>
      </c>
      <c r="DK90" s="11">
        <v>0</v>
      </c>
      <c r="DL90" s="11">
        <v>0</v>
      </c>
      <c r="DM90" s="11">
        <v>0</v>
      </c>
      <c r="DN90" s="11">
        <v>0</v>
      </c>
      <c r="DO90" s="11">
        <v>0</v>
      </c>
      <c r="DP90" s="11">
        <v>0</v>
      </c>
      <c r="DQ90" s="11">
        <v>0</v>
      </c>
      <c r="DR90" s="11">
        <v>0</v>
      </c>
      <c r="DS90" s="26">
        <f t="shared" si="53"/>
        <v>0</v>
      </c>
      <c r="DT90" s="11">
        <v>0</v>
      </c>
      <c r="DU90" s="11">
        <v>0</v>
      </c>
      <c r="DV90" s="11">
        <v>0</v>
      </c>
      <c r="DW90" s="11">
        <v>0</v>
      </c>
      <c r="DX90" s="11">
        <v>0</v>
      </c>
      <c r="DY90" s="11">
        <v>0</v>
      </c>
      <c r="DZ90" s="11">
        <v>0</v>
      </c>
      <c r="EA90" s="11">
        <v>0</v>
      </c>
      <c r="EB90" s="11">
        <v>0</v>
      </c>
      <c r="EC90" s="11">
        <v>0</v>
      </c>
      <c r="ED90" s="11">
        <v>0</v>
      </c>
      <c r="EE90" s="11">
        <v>0</v>
      </c>
      <c r="EF90" s="26">
        <f t="shared" si="54"/>
        <v>0</v>
      </c>
      <c r="EG90" s="9">
        <f t="shared" si="55"/>
        <v>0</v>
      </c>
      <c r="EH90" s="9">
        <f t="shared" si="56"/>
        <v>0</v>
      </c>
      <c r="EI90" s="11">
        <v>1278</v>
      </c>
      <c r="EJ90" s="11">
        <v>1432</v>
      </c>
      <c r="EK90" s="11">
        <v>1192</v>
      </c>
      <c r="EL90" s="11">
        <v>3736</v>
      </c>
      <c r="EM90" s="11">
        <v>1454</v>
      </c>
      <c r="EN90" s="11">
        <v>3978</v>
      </c>
      <c r="EO90" s="11">
        <v>1457</v>
      </c>
      <c r="EP90" s="11">
        <v>1678</v>
      </c>
      <c r="EQ90" s="11">
        <v>1949</v>
      </c>
      <c r="ER90" s="11">
        <v>1965</v>
      </c>
      <c r="ES90" s="11">
        <v>1641</v>
      </c>
      <c r="ET90" s="11">
        <v>1870</v>
      </c>
      <c r="EU90" s="26">
        <f t="shared" si="57"/>
        <v>23630</v>
      </c>
      <c r="EV90" s="11">
        <v>0</v>
      </c>
      <c r="EW90" s="11">
        <v>0</v>
      </c>
      <c r="EX90" s="11">
        <v>0</v>
      </c>
      <c r="EY90" s="11">
        <v>0</v>
      </c>
      <c r="EZ90" s="11">
        <v>0</v>
      </c>
      <c r="FA90" s="11">
        <v>0</v>
      </c>
      <c r="FB90" s="11">
        <v>0</v>
      </c>
      <c r="FC90" s="11">
        <v>0</v>
      </c>
      <c r="FD90" s="11">
        <v>0</v>
      </c>
      <c r="FE90" s="11">
        <v>0</v>
      </c>
      <c r="FF90" s="11">
        <v>0</v>
      </c>
      <c r="FG90" s="11">
        <v>0</v>
      </c>
      <c r="FH90" s="26">
        <f t="shared" si="58"/>
        <v>0</v>
      </c>
      <c r="FI90" s="11">
        <v>0</v>
      </c>
      <c r="FJ90" s="11">
        <v>0</v>
      </c>
      <c r="FK90" s="11">
        <v>0</v>
      </c>
      <c r="FL90" s="11">
        <v>0</v>
      </c>
      <c r="FM90" s="11">
        <v>0</v>
      </c>
      <c r="FN90" s="11">
        <v>0</v>
      </c>
      <c r="FO90" s="11">
        <v>0</v>
      </c>
      <c r="FP90" s="11">
        <v>0</v>
      </c>
      <c r="FQ90" s="11">
        <v>0</v>
      </c>
      <c r="FR90" s="11">
        <v>0</v>
      </c>
      <c r="FS90" s="11">
        <v>0</v>
      </c>
      <c r="FT90" s="11">
        <v>0</v>
      </c>
      <c r="FU90" s="26">
        <f t="shared" si="59"/>
        <v>0</v>
      </c>
      <c r="FV90" s="11">
        <v>0</v>
      </c>
      <c r="FW90" s="11">
        <v>0</v>
      </c>
      <c r="FX90" s="11">
        <v>0</v>
      </c>
      <c r="FY90" s="11">
        <v>0</v>
      </c>
      <c r="FZ90" s="11">
        <v>0</v>
      </c>
      <c r="GA90" s="11">
        <v>0</v>
      </c>
      <c r="GB90" s="11">
        <v>0</v>
      </c>
      <c r="GC90" s="11">
        <v>0</v>
      </c>
      <c r="GD90" s="11">
        <v>0</v>
      </c>
      <c r="GE90" s="11">
        <v>0</v>
      </c>
      <c r="GF90" s="11">
        <v>0</v>
      </c>
      <c r="GG90" s="11">
        <v>0</v>
      </c>
      <c r="GH90" s="26">
        <f t="shared" si="60"/>
        <v>0</v>
      </c>
      <c r="GI90" s="11">
        <v>0</v>
      </c>
      <c r="GJ90" s="11">
        <v>0</v>
      </c>
      <c r="GK90" s="11">
        <v>0</v>
      </c>
      <c r="GL90" s="11">
        <v>0</v>
      </c>
      <c r="GM90" s="11">
        <v>0</v>
      </c>
      <c r="GN90" s="11">
        <v>0</v>
      </c>
      <c r="GO90" s="11">
        <v>0</v>
      </c>
      <c r="GP90" s="11">
        <v>0</v>
      </c>
      <c r="GQ90" s="11">
        <v>0</v>
      </c>
      <c r="GR90" s="11">
        <v>0</v>
      </c>
      <c r="GS90" s="11">
        <v>0</v>
      </c>
      <c r="GT90" s="11">
        <v>0</v>
      </c>
      <c r="GU90" s="26">
        <f t="shared" si="61"/>
        <v>0</v>
      </c>
      <c r="GV90" s="11">
        <v>0</v>
      </c>
      <c r="GW90" s="11">
        <v>0</v>
      </c>
      <c r="GX90" s="11">
        <v>0</v>
      </c>
      <c r="GY90" s="11">
        <v>0</v>
      </c>
      <c r="GZ90" s="11">
        <v>0</v>
      </c>
      <c r="HA90" s="11">
        <v>0</v>
      </c>
      <c r="HB90" s="11">
        <v>0</v>
      </c>
      <c r="HC90" s="11">
        <v>0</v>
      </c>
      <c r="HD90" s="11">
        <v>0</v>
      </c>
      <c r="HE90" s="11">
        <v>0</v>
      </c>
      <c r="HF90" s="11">
        <v>0</v>
      </c>
      <c r="HG90" s="11">
        <v>0</v>
      </c>
      <c r="HH90" s="26">
        <f t="shared" si="62"/>
        <v>0</v>
      </c>
      <c r="HI90" s="11">
        <v>0</v>
      </c>
      <c r="HJ90" s="11">
        <v>0</v>
      </c>
      <c r="HK90" s="11">
        <v>0</v>
      </c>
      <c r="HL90" s="11">
        <v>0</v>
      </c>
      <c r="HM90" s="11">
        <v>0</v>
      </c>
      <c r="HN90" s="11">
        <v>0</v>
      </c>
      <c r="HO90" s="11">
        <v>0</v>
      </c>
      <c r="HP90" s="11">
        <v>0</v>
      </c>
      <c r="HQ90" s="11">
        <v>0</v>
      </c>
      <c r="HR90" s="11">
        <v>0</v>
      </c>
      <c r="HS90" s="11">
        <v>0</v>
      </c>
      <c r="HT90" s="11">
        <v>0</v>
      </c>
      <c r="HU90" s="26">
        <f t="shared" si="63"/>
        <v>0</v>
      </c>
      <c r="HV90" s="11">
        <v>0</v>
      </c>
      <c r="HW90" s="11">
        <v>0</v>
      </c>
      <c r="HX90" s="11">
        <v>0</v>
      </c>
      <c r="HY90" s="11">
        <v>0</v>
      </c>
      <c r="HZ90" s="11">
        <v>0</v>
      </c>
      <c r="IA90" s="11">
        <v>0</v>
      </c>
      <c r="IB90" s="11">
        <v>0</v>
      </c>
      <c r="IC90" s="11">
        <v>0</v>
      </c>
      <c r="ID90" s="11">
        <v>0</v>
      </c>
      <c r="IE90" s="11">
        <v>0</v>
      </c>
      <c r="IF90" s="11">
        <v>0</v>
      </c>
      <c r="IG90" s="11">
        <v>0</v>
      </c>
      <c r="IH90" s="26">
        <f t="shared" si="64"/>
        <v>0</v>
      </c>
      <c r="II90" s="9">
        <f t="shared" si="65"/>
        <v>0</v>
      </c>
      <c r="IJ90" s="9">
        <f t="shared" si="66"/>
        <v>0</v>
      </c>
      <c r="IK90" s="11">
        <v>25566</v>
      </c>
      <c r="IL90" s="11">
        <v>24212</v>
      </c>
      <c r="IM90" s="11">
        <v>219000</v>
      </c>
      <c r="IN90" s="11">
        <v>26900</v>
      </c>
      <c r="IO90" s="11">
        <v>29533</v>
      </c>
      <c r="IP90" s="11">
        <v>22837</v>
      </c>
      <c r="IQ90" s="11">
        <v>24765</v>
      </c>
      <c r="IR90" s="11">
        <v>22052</v>
      </c>
      <c r="IS90" s="11">
        <v>16359</v>
      </c>
      <c r="IT90" s="11">
        <v>23192</v>
      </c>
      <c r="IU90" s="11">
        <v>21624</v>
      </c>
      <c r="IV90" s="11">
        <v>20650</v>
      </c>
      <c r="IW90" s="27">
        <f t="shared" si="67"/>
        <v>476690</v>
      </c>
      <c r="IX90" s="11">
        <v>18026</v>
      </c>
      <c r="IY90" s="11">
        <v>17832</v>
      </c>
      <c r="IZ90" s="11">
        <v>16545</v>
      </c>
      <c r="JA90" s="11">
        <v>18320</v>
      </c>
      <c r="JB90" s="11">
        <v>19130</v>
      </c>
      <c r="JC90" s="11">
        <v>16550</v>
      </c>
      <c r="JD90" s="11">
        <v>18324</v>
      </c>
      <c r="JE90" s="11">
        <v>16831</v>
      </c>
      <c r="JF90" s="11">
        <v>12713</v>
      </c>
      <c r="JG90" s="11">
        <v>17911</v>
      </c>
      <c r="JH90" s="11">
        <v>15635</v>
      </c>
      <c r="JI90" s="11">
        <v>15038</v>
      </c>
      <c r="JJ90" s="27">
        <f t="shared" si="68"/>
        <v>202855</v>
      </c>
      <c r="JK90" s="11">
        <v>7279</v>
      </c>
      <c r="JL90" s="11">
        <v>6145</v>
      </c>
      <c r="JM90" s="11">
        <v>5209</v>
      </c>
      <c r="JN90" s="11">
        <v>8261</v>
      </c>
      <c r="JO90" s="11">
        <v>10022</v>
      </c>
      <c r="JP90" s="11">
        <v>6111</v>
      </c>
      <c r="JQ90" s="11">
        <v>6341</v>
      </c>
      <c r="JR90" s="11">
        <v>5123</v>
      </c>
      <c r="JS90" s="11">
        <v>3568</v>
      </c>
      <c r="JT90" s="11">
        <v>5180</v>
      </c>
      <c r="JU90" s="11">
        <v>5863</v>
      </c>
      <c r="JV90" s="11">
        <v>5493</v>
      </c>
      <c r="JW90" s="27">
        <f t="shared" si="69"/>
        <v>74595</v>
      </c>
      <c r="JX90" s="11">
        <v>261</v>
      </c>
      <c r="JY90" s="11">
        <v>235</v>
      </c>
      <c r="JZ90" s="11">
        <v>146</v>
      </c>
      <c r="KA90" s="11">
        <v>319</v>
      </c>
      <c r="KB90" s="11">
        <v>381</v>
      </c>
      <c r="KC90" s="11">
        <v>176</v>
      </c>
      <c r="KD90" s="11">
        <v>100</v>
      </c>
      <c r="KE90" s="11">
        <v>98</v>
      </c>
      <c r="KF90" s="11">
        <v>78</v>
      </c>
      <c r="KG90" s="11">
        <v>101</v>
      </c>
      <c r="KH90" s="11">
        <v>126</v>
      </c>
      <c r="KI90" s="11">
        <v>119</v>
      </c>
      <c r="KJ90" s="27">
        <f t="shared" si="70"/>
        <v>2140</v>
      </c>
      <c r="KK90" s="11">
        <v>850</v>
      </c>
      <c r="KL90" s="11">
        <v>793</v>
      </c>
      <c r="KM90" s="11">
        <v>868</v>
      </c>
      <c r="KN90" s="11">
        <v>802</v>
      </c>
      <c r="KO90" s="11">
        <v>779</v>
      </c>
      <c r="KP90" s="11">
        <v>713</v>
      </c>
      <c r="KQ90" s="11">
        <v>879</v>
      </c>
      <c r="KR90" s="11">
        <v>723</v>
      </c>
      <c r="KS90" s="11">
        <v>509</v>
      </c>
      <c r="KT90" s="11">
        <v>761</v>
      </c>
      <c r="KU90" s="11">
        <v>807</v>
      </c>
      <c r="KV90" s="11">
        <v>659</v>
      </c>
      <c r="KW90" s="27">
        <f t="shared" si="71"/>
        <v>9143</v>
      </c>
      <c r="KX90" s="11">
        <v>847</v>
      </c>
      <c r="KY90" s="11">
        <v>787</v>
      </c>
      <c r="KZ90" s="11">
        <v>861</v>
      </c>
      <c r="LA90" s="11">
        <v>795</v>
      </c>
      <c r="LB90" s="11">
        <v>775</v>
      </c>
      <c r="LC90" s="11">
        <v>709</v>
      </c>
      <c r="LD90" s="11">
        <v>874</v>
      </c>
      <c r="LE90" s="11">
        <v>718</v>
      </c>
      <c r="LF90" s="11">
        <v>504</v>
      </c>
      <c r="LG90" s="11">
        <v>758</v>
      </c>
      <c r="LH90" s="11">
        <v>805</v>
      </c>
      <c r="LI90" s="11">
        <v>657</v>
      </c>
      <c r="LJ90" s="27">
        <f t="shared" si="72"/>
        <v>9090</v>
      </c>
      <c r="LK90" s="11">
        <v>3</v>
      </c>
      <c r="LL90" s="11">
        <v>6</v>
      </c>
      <c r="LM90" s="11">
        <v>7</v>
      </c>
      <c r="LN90" s="11">
        <v>7</v>
      </c>
      <c r="LO90" s="11">
        <v>4</v>
      </c>
      <c r="LP90" s="11">
        <v>4</v>
      </c>
      <c r="LQ90" s="11">
        <v>4</v>
      </c>
      <c r="LR90" s="11">
        <v>5</v>
      </c>
      <c r="LS90" s="11">
        <v>5</v>
      </c>
      <c r="LT90" s="11">
        <v>3</v>
      </c>
      <c r="LU90" s="11">
        <v>2</v>
      </c>
      <c r="LV90" s="11">
        <v>2</v>
      </c>
      <c r="LW90" s="27">
        <f t="shared" si="73"/>
        <v>52</v>
      </c>
      <c r="LX90" s="11">
        <v>0</v>
      </c>
      <c r="LY90" s="11">
        <v>0</v>
      </c>
      <c r="LZ90" s="11">
        <v>0</v>
      </c>
      <c r="MA90" s="11">
        <v>0</v>
      </c>
      <c r="MB90" s="11">
        <v>0</v>
      </c>
      <c r="MC90" s="11">
        <v>0</v>
      </c>
      <c r="MD90" s="11">
        <v>1</v>
      </c>
      <c r="ME90" s="11">
        <v>0</v>
      </c>
      <c r="MF90" s="11">
        <v>0</v>
      </c>
      <c r="MG90" s="11">
        <v>0</v>
      </c>
      <c r="MH90" s="11">
        <v>0</v>
      </c>
      <c r="MI90" s="11">
        <v>0</v>
      </c>
      <c r="MJ90" s="27">
        <f t="shared" si="74"/>
        <v>1</v>
      </c>
      <c r="MK90" s="11">
        <v>3137</v>
      </c>
      <c r="ML90" s="11">
        <v>3143</v>
      </c>
      <c r="MM90" s="11">
        <v>3256</v>
      </c>
      <c r="MN90" s="11">
        <v>3466</v>
      </c>
      <c r="MO90" s="11">
        <v>3432</v>
      </c>
      <c r="MP90" s="11">
        <v>3117</v>
      </c>
      <c r="MQ90" s="11">
        <v>3262</v>
      </c>
      <c r="MR90" s="11">
        <v>3034</v>
      </c>
      <c r="MS90" s="11">
        <v>3034</v>
      </c>
      <c r="MT90" s="11">
        <v>3318</v>
      </c>
      <c r="MU90" s="11">
        <v>2992</v>
      </c>
      <c r="MV90" s="11">
        <v>3214</v>
      </c>
      <c r="MW90" s="27">
        <f t="shared" si="75"/>
        <v>38405</v>
      </c>
      <c r="MX90" s="11">
        <v>2932</v>
      </c>
      <c r="MY90" s="11">
        <v>2963</v>
      </c>
      <c r="MZ90" s="11">
        <v>3056</v>
      </c>
      <c r="NA90" s="11">
        <v>3252</v>
      </c>
      <c r="NB90" s="11">
        <v>3244</v>
      </c>
      <c r="NC90" s="11">
        <v>2958</v>
      </c>
      <c r="ND90" s="11">
        <v>3068</v>
      </c>
      <c r="NE90" s="11">
        <v>2847</v>
      </c>
      <c r="NF90" s="11">
        <v>2832</v>
      </c>
      <c r="NG90" s="11">
        <v>3084</v>
      </c>
      <c r="NH90" s="11">
        <v>2767</v>
      </c>
      <c r="NI90" s="11">
        <v>3007</v>
      </c>
      <c r="NJ90" s="27">
        <f t="shared" si="76"/>
        <v>36010</v>
      </c>
      <c r="NK90" s="11">
        <v>77</v>
      </c>
      <c r="NL90" s="11">
        <v>59</v>
      </c>
      <c r="NM90" s="11">
        <v>67</v>
      </c>
      <c r="NN90" s="11">
        <v>90</v>
      </c>
      <c r="NO90" s="11">
        <v>90</v>
      </c>
      <c r="NP90" s="11">
        <v>63</v>
      </c>
      <c r="NQ90" s="11">
        <v>69</v>
      </c>
      <c r="NR90" s="11">
        <v>89</v>
      </c>
      <c r="NS90" s="11">
        <v>138</v>
      </c>
      <c r="NT90" s="11">
        <v>121</v>
      </c>
      <c r="NU90" s="11">
        <v>125</v>
      </c>
      <c r="NV90" s="11">
        <v>104</v>
      </c>
      <c r="NW90" s="27">
        <f t="shared" si="77"/>
        <v>1092</v>
      </c>
      <c r="NX90" s="11">
        <v>128</v>
      </c>
      <c r="NY90" s="11">
        <v>121</v>
      </c>
      <c r="NZ90" s="11">
        <v>133</v>
      </c>
      <c r="OA90" s="11">
        <v>124</v>
      </c>
      <c r="OB90" s="11">
        <v>98</v>
      </c>
      <c r="OC90" s="11">
        <v>96</v>
      </c>
      <c r="OD90" s="11">
        <v>125</v>
      </c>
      <c r="OE90" s="11">
        <v>98</v>
      </c>
      <c r="OF90" s="11">
        <v>64</v>
      </c>
      <c r="OG90" s="11">
        <v>113</v>
      </c>
      <c r="OH90" s="11">
        <v>100</v>
      </c>
      <c r="OI90" s="11">
        <v>103</v>
      </c>
      <c r="OJ90" s="27">
        <f t="shared" si="78"/>
        <v>1303</v>
      </c>
      <c r="OK90" s="11">
        <v>1856</v>
      </c>
      <c r="OL90" s="11">
        <v>1876</v>
      </c>
      <c r="OM90" s="11">
        <v>1794</v>
      </c>
      <c r="ON90" s="11">
        <v>2034</v>
      </c>
      <c r="OO90" s="11">
        <v>2048</v>
      </c>
      <c r="OP90" s="11">
        <v>2202</v>
      </c>
      <c r="OQ90" s="11">
        <v>2187</v>
      </c>
      <c r="OR90" s="11">
        <v>2065</v>
      </c>
      <c r="OS90" s="11">
        <v>1975</v>
      </c>
      <c r="OT90" s="11">
        <v>2397</v>
      </c>
      <c r="OU90" s="11">
        <v>2140</v>
      </c>
      <c r="OV90" s="11">
        <v>2537</v>
      </c>
      <c r="OW90" s="27">
        <f t="shared" si="79"/>
        <v>25111</v>
      </c>
      <c r="OX90" s="11">
        <v>1673</v>
      </c>
      <c r="OY90" s="11">
        <v>1689</v>
      </c>
      <c r="OZ90" s="11">
        <v>1636</v>
      </c>
      <c r="PA90" s="11">
        <v>1763</v>
      </c>
      <c r="PB90" s="11">
        <v>1829</v>
      </c>
      <c r="PC90" s="11">
        <v>1981</v>
      </c>
      <c r="PD90" s="11">
        <v>1954</v>
      </c>
      <c r="PE90" s="11">
        <v>1845</v>
      </c>
      <c r="PF90" s="11">
        <v>1771</v>
      </c>
      <c r="PG90" s="11">
        <v>2169</v>
      </c>
      <c r="PH90" s="11">
        <v>1926</v>
      </c>
      <c r="PI90" s="11">
        <v>2261</v>
      </c>
      <c r="PJ90" s="27">
        <f t="shared" si="80"/>
        <v>22497</v>
      </c>
      <c r="PK90" s="11">
        <v>132</v>
      </c>
      <c r="PL90" s="11">
        <v>125</v>
      </c>
      <c r="PM90" s="11">
        <v>107</v>
      </c>
      <c r="PN90" s="11">
        <v>221</v>
      </c>
      <c r="PO90" s="11">
        <v>168</v>
      </c>
      <c r="PP90" s="11">
        <v>172</v>
      </c>
      <c r="PQ90" s="11">
        <v>153</v>
      </c>
      <c r="PR90" s="11">
        <v>165</v>
      </c>
      <c r="PS90" s="11">
        <v>153</v>
      </c>
      <c r="PT90" s="11">
        <v>156</v>
      </c>
      <c r="PU90" s="11">
        <v>151</v>
      </c>
      <c r="PV90" s="11">
        <v>165</v>
      </c>
      <c r="PW90" s="27">
        <f t="shared" si="81"/>
        <v>1868</v>
      </c>
      <c r="PX90" s="11">
        <v>51</v>
      </c>
      <c r="PY90" s="11">
        <v>62</v>
      </c>
      <c r="PZ90" s="11">
        <v>51</v>
      </c>
      <c r="QA90" s="11">
        <v>50</v>
      </c>
      <c r="QB90" s="11">
        <v>51</v>
      </c>
      <c r="QC90" s="11">
        <v>49</v>
      </c>
      <c r="QD90" s="11">
        <v>80</v>
      </c>
      <c r="QE90" s="11">
        <v>55</v>
      </c>
      <c r="QF90" s="11">
        <v>51</v>
      </c>
      <c r="QG90" s="11">
        <v>72</v>
      </c>
      <c r="QH90" s="11">
        <v>63</v>
      </c>
      <c r="QI90" s="11">
        <v>111</v>
      </c>
      <c r="QJ90" s="27">
        <f t="shared" si="82"/>
        <v>746</v>
      </c>
      <c r="QK90" s="11">
        <v>3055</v>
      </c>
      <c r="QL90" s="11">
        <v>2447</v>
      </c>
      <c r="QM90" s="11">
        <v>2258</v>
      </c>
      <c r="QN90" s="11">
        <v>2682</v>
      </c>
      <c r="QO90" s="11">
        <v>2655</v>
      </c>
      <c r="QP90" s="11">
        <v>2267</v>
      </c>
      <c r="QQ90" s="11">
        <v>2287</v>
      </c>
      <c r="QR90" s="11">
        <v>2587</v>
      </c>
      <c r="QS90" s="11">
        <v>2028</v>
      </c>
      <c r="QT90" s="11">
        <v>2055</v>
      </c>
      <c r="QU90" s="11">
        <v>2396</v>
      </c>
      <c r="QV90" s="11">
        <v>2538</v>
      </c>
      <c r="QW90" s="27">
        <f t="shared" si="83"/>
        <v>29255</v>
      </c>
      <c r="QX90" s="11">
        <v>34009</v>
      </c>
      <c r="QY90" s="11">
        <v>33585</v>
      </c>
      <c r="QZ90" s="11">
        <v>31057</v>
      </c>
      <c r="RA90" s="11">
        <v>38019</v>
      </c>
      <c r="RB90" s="11">
        <v>36246</v>
      </c>
      <c r="RC90" s="11">
        <v>36371</v>
      </c>
      <c r="RD90" s="11">
        <v>27995</v>
      </c>
      <c r="RE90" s="11">
        <v>31225</v>
      </c>
      <c r="RF90" s="11">
        <v>25455</v>
      </c>
      <c r="RG90" s="11">
        <v>27949</v>
      </c>
      <c r="RH90" s="11">
        <v>30877</v>
      </c>
      <c r="RI90" s="11">
        <v>33142</v>
      </c>
      <c r="RJ90" s="27">
        <f t="shared" si="84"/>
        <v>385930</v>
      </c>
      <c r="RK90" s="11">
        <v>4827</v>
      </c>
      <c r="RL90" s="11">
        <v>4716</v>
      </c>
      <c r="RM90" s="11">
        <v>4639</v>
      </c>
      <c r="RN90" s="11">
        <v>4952</v>
      </c>
      <c r="RO90" s="11">
        <v>4544</v>
      </c>
      <c r="RP90" s="11">
        <v>4648</v>
      </c>
      <c r="RQ90" s="11">
        <v>5060</v>
      </c>
      <c r="RR90" s="11">
        <v>4397</v>
      </c>
      <c r="RS90" s="11">
        <v>2965</v>
      </c>
      <c r="RT90" s="11">
        <v>5079</v>
      </c>
      <c r="RU90" s="11">
        <v>4488</v>
      </c>
      <c r="RV90" s="11">
        <v>4380</v>
      </c>
      <c r="RW90" s="27">
        <f t="shared" si="85"/>
        <v>54695</v>
      </c>
      <c r="RX90" s="11">
        <v>1024</v>
      </c>
      <c r="RY90" s="11">
        <v>584</v>
      </c>
      <c r="RZ90" s="11">
        <v>863</v>
      </c>
      <c r="SA90" s="11">
        <v>454</v>
      </c>
      <c r="SB90" s="11">
        <v>775</v>
      </c>
      <c r="SC90" s="11">
        <v>1231</v>
      </c>
      <c r="SD90" s="11">
        <v>452</v>
      </c>
      <c r="SE90" s="11">
        <v>232</v>
      </c>
      <c r="SF90" s="11">
        <v>438</v>
      </c>
      <c r="SG90" s="11">
        <v>1091</v>
      </c>
      <c r="SH90" s="11">
        <v>545</v>
      </c>
      <c r="SI90" s="11">
        <v>1710</v>
      </c>
      <c r="SJ90" s="27">
        <f t="shared" si="86"/>
        <v>9399</v>
      </c>
      <c r="SK90" s="11">
        <v>307</v>
      </c>
      <c r="SL90" s="11">
        <v>377</v>
      </c>
      <c r="SM90" s="11">
        <v>324</v>
      </c>
      <c r="SN90" s="11">
        <v>373</v>
      </c>
      <c r="SO90" s="11">
        <v>214</v>
      </c>
      <c r="SP90" s="11">
        <v>409</v>
      </c>
      <c r="SQ90" s="11">
        <v>322</v>
      </c>
      <c r="SR90" s="11">
        <v>358</v>
      </c>
      <c r="SS90" s="11">
        <v>255</v>
      </c>
      <c r="ST90" s="11">
        <v>360</v>
      </c>
      <c r="SU90" s="11">
        <v>344</v>
      </c>
      <c r="SV90" s="11">
        <v>386</v>
      </c>
      <c r="SW90" s="27">
        <f t="shared" si="87"/>
        <v>4029</v>
      </c>
      <c r="SX90" s="11"/>
      <c r="SY90" s="11">
        <v>2907</v>
      </c>
      <c r="SZ90" s="11">
        <v>2807</v>
      </c>
      <c r="TA90" s="11">
        <v>2631</v>
      </c>
      <c r="TB90" s="11">
        <v>2842</v>
      </c>
      <c r="TC90" s="11">
        <v>2475</v>
      </c>
      <c r="TD90" s="11">
        <v>2496</v>
      </c>
      <c r="TE90" s="11">
        <v>2688</v>
      </c>
      <c r="TF90" s="11">
        <v>2315</v>
      </c>
      <c r="TG90" s="11">
        <v>2035</v>
      </c>
      <c r="TH90" s="11">
        <v>2484</v>
      </c>
      <c r="TI90" s="11">
        <v>2564</v>
      </c>
      <c r="TJ90" s="11">
        <v>2532</v>
      </c>
      <c r="TK90" s="27">
        <f t="shared" si="88"/>
        <v>30776</v>
      </c>
      <c r="TL90" s="11">
        <v>0</v>
      </c>
      <c r="TM90" s="11">
        <v>0</v>
      </c>
      <c r="TN90" s="11">
        <v>0</v>
      </c>
      <c r="TO90" s="11">
        <v>0</v>
      </c>
      <c r="TP90" s="11">
        <v>0</v>
      </c>
      <c r="TQ90" s="11">
        <v>0</v>
      </c>
      <c r="TR90" s="11">
        <v>0</v>
      </c>
      <c r="TS90" s="11">
        <v>0</v>
      </c>
      <c r="TT90" s="11">
        <v>0</v>
      </c>
      <c r="TU90" s="11">
        <v>0</v>
      </c>
      <c r="TV90" s="11">
        <v>0</v>
      </c>
      <c r="TW90" s="11">
        <v>0</v>
      </c>
      <c r="TX90" s="27">
        <f t="shared" si="89"/>
        <v>0</v>
      </c>
      <c r="TY90" s="11">
        <v>89</v>
      </c>
      <c r="TZ90" s="11">
        <v>0</v>
      </c>
      <c r="UA90" s="11">
        <v>0</v>
      </c>
    </row>
    <row r="91" spans="1:547" ht="16" customHeight="1" x14ac:dyDescent="0.35">
      <c r="A91" s="11" t="s">
        <v>1482</v>
      </c>
      <c r="B91" s="11">
        <v>15455</v>
      </c>
      <c r="C91" s="11">
        <v>4683</v>
      </c>
      <c r="D91" s="11">
        <v>8787</v>
      </c>
      <c r="E91" s="11">
        <v>1985</v>
      </c>
      <c r="F91" s="11">
        <v>182</v>
      </c>
      <c r="G91" s="11">
        <v>176</v>
      </c>
      <c r="H91" s="11">
        <v>197</v>
      </c>
      <c r="I91" s="11">
        <v>221</v>
      </c>
      <c r="J91" s="11">
        <v>202</v>
      </c>
      <c r="K91" s="11">
        <v>189</v>
      </c>
      <c r="L91" s="11">
        <v>226</v>
      </c>
      <c r="M91" s="11">
        <v>213</v>
      </c>
      <c r="N91" s="11">
        <v>177</v>
      </c>
      <c r="O91" s="11">
        <v>265</v>
      </c>
      <c r="P91" s="11" t="s">
        <v>2863</v>
      </c>
      <c r="Q91" s="11">
        <v>208</v>
      </c>
      <c r="R91" s="11">
        <v>218</v>
      </c>
      <c r="S91" s="26">
        <f t="shared" si="45"/>
        <v>2474</v>
      </c>
      <c r="T91" s="11">
        <v>0</v>
      </c>
      <c r="U91" s="11">
        <v>0</v>
      </c>
      <c r="V91" s="11">
        <v>0</v>
      </c>
      <c r="W91" s="11">
        <v>0</v>
      </c>
      <c r="X91" s="11">
        <v>0</v>
      </c>
      <c r="Y91" s="11">
        <v>0</v>
      </c>
      <c r="Z91" s="11">
        <v>0</v>
      </c>
      <c r="AA91" s="11">
        <v>0</v>
      </c>
      <c r="AB91" s="11">
        <v>0</v>
      </c>
      <c r="AC91" s="11">
        <v>0</v>
      </c>
      <c r="AD91" s="11">
        <v>0</v>
      </c>
      <c r="AE91" s="11">
        <v>0</v>
      </c>
      <c r="AF91" s="26">
        <f t="shared" si="46"/>
        <v>0</v>
      </c>
      <c r="AG91" s="11">
        <v>0</v>
      </c>
      <c r="AH91" s="11">
        <v>0</v>
      </c>
      <c r="AI91" s="11">
        <v>0</v>
      </c>
      <c r="AJ91" s="11">
        <v>0</v>
      </c>
      <c r="AK91" s="11">
        <v>0</v>
      </c>
      <c r="AL91" s="11">
        <v>0</v>
      </c>
      <c r="AM91" s="11">
        <v>0</v>
      </c>
      <c r="AN91" s="11">
        <v>0</v>
      </c>
      <c r="AO91" s="11">
        <v>0</v>
      </c>
      <c r="AP91" s="11">
        <v>0</v>
      </c>
      <c r="AQ91" s="11">
        <v>0</v>
      </c>
      <c r="AR91" s="11">
        <v>0</v>
      </c>
      <c r="AS91" s="26">
        <f t="shared" si="47"/>
        <v>0</v>
      </c>
      <c r="AT91" s="11">
        <v>0</v>
      </c>
      <c r="AU91" s="11">
        <v>0</v>
      </c>
      <c r="AV91" s="11">
        <v>0</v>
      </c>
      <c r="AW91" s="11">
        <v>0</v>
      </c>
      <c r="AX91" s="11">
        <v>0</v>
      </c>
      <c r="AY91" s="11">
        <v>0</v>
      </c>
      <c r="AZ91" s="11">
        <v>0</v>
      </c>
      <c r="BA91" s="11">
        <v>0</v>
      </c>
      <c r="BB91" s="11">
        <v>0</v>
      </c>
      <c r="BC91" s="11">
        <v>0</v>
      </c>
      <c r="BD91" s="11">
        <v>0</v>
      </c>
      <c r="BE91" s="11">
        <v>0</v>
      </c>
      <c r="BF91" s="26">
        <f t="shared" si="48"/>
        <v>0</v>
      </c>
      <c r="BG91" s="11">
        <v>0</v>
      </c>
      <c r="BH91" s="11">
        <v>0</v>
      </c>
      <c r="BI91" s="11">
        <v>0</v>
      </c>
      <c r="BJ91" s="11">
        <v>0</v>
      </c>
      <c r="BK91" s="11">
        <v>0</v>
      </c>
      <c r="BL91" s="11">
        <v>0</v>
      </c>
      <c r="BM91" s="11">
        <v>0</v>
      </c>
      <c r="BN91" s="11">
        <v>0</v>
      </c>
      <c r="BO91" s="11">
        <v>0</v>
      </c>
      <c r="BP91" s="11">
        <v>0</v>
      </c>
      <c r="BQ91" s="11">
        <v>0</v>
      </c>
      <c r="BR91" s="11">
        <v>0</v>
      </c>
      <c r="BS91" s="26">
        <f t="shared" si="49"/>
        <v>0</v>
      </c>
      <c r="BT91" s="11">
        <v>0</v>
      </c>
      <c r="BU91" s="11">
        <v>0</v>
      </c>
      <c r="BV91" s="11">
        <v>0</v>
      </c>
      <c r="BW91" s="11">
        <v>0</v>
      </c>
      <c r="BX91" s="11">
        <v>0</v>
      </c>
      <c r="BY91" s="11">
        <v>0</v>
      </c>
      <c r="BZ91" s="11">
        <v>0</v>
      </c>
      <c r="CA91" s="11">
        <v>0</v>
      </c>
      <c r="CB91" s="11">
        <v>0</v>
      </c>
      <c r="CC91" s="11">
        <v>0</v>
      </c>
      <c r="CD91" s="11">
        <v>0</v>
      </c>
      <c r="CE91" s="11">
        <v>0</v>
      </c>
      <c r="CF91" s="26">
        <f t="shared" si="50"/>
        <v>0</v>
      </c>
      <c r="CG91" s="11">
        <v>0</v>
      </c>
      <c r="CH91" s="11">
        <v>0</v>
      </c>
      <c r="CI91" s="11">
        <v>0</v>
      </c>
      <c r="CJ91" s="11">
        <v>0</v>
      </c>
      <c r="CK91" s="11">
        <v>0</v>
      </c>
      <c r="CL91" s="11">
        <v>0</v>
      </c>
      <c r="CM91" s="11">
        <v>0</v>
      </c>
      <c r="CN91" s="11">
        <v>0</v>
      </c>
      <c r="CO91" s="11">
        <v>0</v>
      </c>
      <c r="CP91" s="11">
        <v>0</v>
      </c>
      <c r="CQ91" s="11">
        <v>0</v>
      </c>
      <c r="CR91" s="11">
        <v>0</v>
      </c>
      <c r="CS91" s="26">
        <f t="shared" si="51"/>
        <v>0</v>
      </c>
      <c r="CT91" s="11">
        <v>0</v>
      </c>
      <c r="CU91" s="11">
        <v>0</v>
      </c>
      <c r="CV91" s="11">
        <v>0</v>
      </c>
      <c r="CW91" s="11">
        <v>0</v>
      </c>
      <c r="CX91" s="11">
        <v>0</v>
      </c>
      <c r="CY91" s="11">
        <v>0</v>
      </c>
      <c r="CZ91" s="11">
        <v>0</v>
      </c>
      <c r="DA91" s="11">
        <v>0</v>
      </c>
      <c r="DB91" s="11">
        <v>0</v>
      </c>
      <c r="DC91" s="11">
        <v>0</v>
      </c>
      <c r="DD91" s="11">
        <v>0</v>
      </c>
      <c r="DE91" s="11">
        <v>0</v>
      </c>
      <c r="DF91" s="26">
        <f t="shared" si="52"/>
        <v>0</v>
      </c>
      <c r="DG91" s="11">
        <v>0</v>
      </c>
      <c r="DH91" s="11">
        <v>0</v>
      </c>
      <c r="DI91" s="11">
        <v>0</v>
      </c>
      <c r="DJ91" s="11">
        <v>0</v>
      </c>
      <c r="DK91" s="11">
        <v>0</v>
      </c>
      <c r="DL91" s="11">
        <v>0</v>
      </c>
      <c r="DM91" s="11">
        <v>0</v>
      </c>
      <c r="DN91" s="11">
        <v>0</v>
      </c>
      <c r="DO91" s="11">
        <v>0</v>
      </c>
      <c r="DP91" s="11">
        <v>0</v>
      </c>
      <c r="DQ91" s="11">
        <v>0</v>
      </c>
      <c r="DR91" s="11">
        <v>0</v>
      </c>
      <c r="DS91" s="26">
        <f t="shared" si="53"/>
        <v>0</v>
      </c>
      <c r="DT91" s="11">
        <v>0</v>
      </c>
      <c r="DU91" s="11">
        <v>0</v>
      </c>
      <c r="DV91" s="11">
        <v>0</v>
      </c>
      <c r="DW91" s="11">
        <v>0</v>
      </c>
      <c r="DX91" s="11">
        <v>0</v>
      </c>
      <c r="DY91" s="11">
        <v>0</v>
      </c>
      <c r="DZ91" s="11">
        <v>0</v>
      </c>
      <c r="EA91" s="11">
        <v>0</v>
      </c>
      <c r="EB91" s="11">
        <v>0</v>
      </c>
      <c r="EC91" s="11">
        <v>0</v>
      </c>
      <c r="ED91" s="11">
        <v>0</v>
      </c>
      <c r="EE91" s="11">
        <v>0</v>
      </c>
      <c r="EF91" s="26">
        <f t="shared" si="54"/>
        <v>0</v>
      </c>
      <c r="EG91" s="9">
        <f t="shared" si="55"/>
        <v>0</v>
      </c>
      <c r="EH91" s="9">
        <f t="shared" si="56"/>
        <v>0</v>
      </c>
      <c r="EI91" s="11">
        <v>3196</v>
      </c>
      <c r="EJ91" s="11">
        <v>3032</v>
      </c>
      <c r="EK91" s="11">
        <v>3100</v>
      </c>
      <c r="EL91" s="11">
        <v>3693</v>
      </c>
      <c r="EM91" s="11">
        <v>2734</v>
      </c>
      <c r="EN91" s="11">
        <v>2662</v>
      </c>
      <c r="EO91" s="11">
        <v>3640</v>
      </c>
      <c r="EP91" s="11">
        <v>3341</v>
      </c>
      <c r="EQ91" s="11">
        <v>1898</v>
      </c>
      <c r="ER91" s="11">
        <v>2981</v>
      </c>
      <c r="ES91" s="11">
        <v>3065</v>
      </c>
      <c r="ET91" s="11">
        <v>4938</v>
      </c>
      <c r="EU91" s="26">
        <f t="shared" si="57"/>
        <v>38280</v>
      </c>
      <c r="EV91" s="11">
        <v>0</v>
      </c>
      <c r="EW91" s="11">
        <v>0</v>
      </c>
      <c r="EX91" s="11">
        <v>0</v>
      </c>
      <c r="EY91" s="11">
        <v>0</v>
      </c>
      <c r="EZ91" s="11">
        <v>0</v>
      </c>
      <c r="FA91" s="11">
        <v>0</v>
      </c>
      <c r="FB91" s="11">
        <v>0</v>
      </c>
      <c r="FC91" s="11">
        <v>0</v>
      </c>
      <c r="FD91" s="11">
        <v>0</v>
      </c>
      <c r="FE91" s="11">
        <v>0</v>
      </c>
      <c r="FF91" s="11">
        <v>0</v>
      </c>
      <c r="FG91" s="11">
        <v>0</v>
      </c>
      <c r="FH91" s="26">
        <f t="shared" si="58"/>
        <v>0</v>
      </c>
      <c r="FI91" s="11">
        <v>0</v>
      </c>
      <c r="FJ91" s="11">
        <v>0</v>
      </c>
      <c r="FK91" s="11">
        <v>0</v>
      </c>
      <c r="FL91" s="11">
        <v>0</v>
      </c>
      <c r="FM91" s="11">
        <v>0</v>
      </c>
      <c r="FN91" s="11">
        <v>0</v>
      </c>
      <c r="FO91" s="11">
        <v>0</v>
      </c>
      <c r="FP91" s="11">
        <v>0</v>
      </c>
      <c r="FQ91" s="11">
        <v>0</v>
      </c>
      <c r="FR91" s="11">
        <v>0</v>
      </c>
      <c r="FS91" s="11">
        <v>0</v>
      </c>
      <c r="FT91" s="11">
        <v>0</v>
      </c>
      <c r="FU91" s="26">
        <f t="shared" si="59"/>
        <v>0</v>
      </c>
      <c r="FV91" s="11">
        <v>0</v>
      </c>
      <c r="FW91" s="11">
        <v>0</v>
      </c>
      <c r="FX91" s="11">
        <v>0</v>
      </c>
      <c r="FY91" s="11">
        <v>0</v>
      </c>
      <c r="FZ91" s="11">
        <v>0</v>
      </c>
      <c r="GA91" s="11">
        <v>0</v>
      </c>
      <c r="GB91" s="11">
        <v>0</v>
      </c>
      <c r="GC91" s="11">
        <v>0</v>
      </c>
      <c r="GD91" s="11">
        <v>0</v>
      </c>
      <c r="GE91" s="11">
        <v>0</v>
      </c>
      <c r="GF91" s="11">
        <v>0</v>
      </c>
      <c r="GG91" s="11">
        <v>0</v>
      </c>
      <c r="GH91" s="26">
        <f t="shared" si="60"/>
        <v>0</v>
      </c>
      <c r="GI91" s="11">
        <v>0</v>
      </c>
      <c r="GJ91" s="11">
        <v>0</v>
      </c>
      <c r="GK91" s="11">
        <v>0</v>
      </c>
      <c r="GL91" s="11">
        <v>0</v>
      </c>
      <c r="GM91" s="11">
        <v>0</v>
      </c>
      <c r="GN91" s="11">
        <v>0</v>
      </c>
      <c r="GO91" s="11">
        <v>0</v>
      </c>
      <c r="GP91" s="11">
        <v>0</v>
      </c>
      <c r="GQ91" s="11">
        <v>0</v>
      </c>
      <c r="GR91" s="11">
        <v>0</v>
      </c>
      <c r="GS91" s="11">
        <v>0</v>
      </c>
      <c r="GT91" s="11">
        <v>0</v>
      </c>
      <c r="GU91" s="26">
        <f t="shared" si="61"/>
        <v>0</v>
      </c>
      <c r="GV91" s="11">
        <v>0</v>
      </c>
      <c r="GW91" s="11">
        <v>0</v>
      </c>
      <c r="GX91" s="11">
        <v>0</v>
      </c>
      <c r="GY91" s="11">
        <v>0</v>
      </c>
      <c r="GZ91" s="11">
        <v>0</v>
      </c>
      <c r="HA91" s="11">
        <v>0</v>
      </c>
      <c r="HB91" s="11">
        <v>0</v>
      </c>
      <c r="HC91" s="11">
        <v>0</v>
      </c>
      <c r="HD91" s="11">
        <v>0</v>
      </c>
      <c r="HE91" s="11">
        <v>0</v>
      </c>
      <c r="HF91" s="11">
        <v>0</v>
      </c>
      <c r="HG91" s="11">
        <v>0</v>
      </c>
      <c r="HH91" s="26">
        <f t="shared" si="62"/>
        <v>0</v>
      </c>
      <c r="HI91" s="11">
        <v>0</v>
      </c>
      <c r="HJ91" s="11">
        <v>0</v>
      </c>
      <c r="HK91" s="11">
        <v>0</v>
      </c>
      <c r="HL91" s="11">
        <v>0</v>
      </c>
      <c r="HM91" s="11">
        <v>0</v>
      </c>
      <c r="HN91" s="11">
        <v>0</v>
      </c>
      <c r="HO91" s="11">
        <v>0</v>
      </c>
      <c r="HP91" s="11">
        <v>0</v>
      </c>
      <c r="HQ91" s="11">
        <v>0</v>
      </c>
      <c r="HR91" s="11">
        <v>0</v>
      </c>
      <c r="HS91" s="11">
        <v>0</v>
      </c>
      <c r="HT91" s="11">
        <v>0</v>
      </c>
      <c r="HU91" s="26">
        <f t="shared" si="63"/>
        <v>0</v>
      </c>
      <c r="HV91" s="11">
        <v>0</v>
      </c>
      <c r="HW91" s="11">
        <v>0</v>
      </c>
      <c r="HX91" s="11">
        <v>0</v>
      </c>
      <c r="HY91" s="11">
        <v>0</v>
      </c>
      <c r="HZ91" s="11">
        <v>0</v>
      </c>
      <c r="IA91" s="11">
        <v>0</v>
      </c>
      <c r="IB91" s="11">
        <v>0</v>
      </c>
      <c r="IC91" s="11">
        <v>0</v>
      </c>
      <c r="ID91" s="11">
        <v>0</v>
      </c>
      <c r="IE91" s="11">
        <v>0</v>
      </c>
      <c r="IF91" s="11">
        <v>0</v>
      </c>
      <c r="IG91" s="11">
        <v>0</v>
      </c>
      <c r="IH91" s="26">
        <f t="shared" si="64"/>
        <v>0</v>
      </c>
      <c r="II91" s="9">
        <f t="shared" si="65"/>
        <v>0</v>
      </c>
      <c r="IJ91" s="9">
        <f t="shared" si="66"/>
        <v>0</v>
      </c>
      <c r="IK91" s="11">
        <v>21592</v>
      </c>
      <c r="IL91" s="11">
        <v>20440</v>
      </c>
      <c r="IM91" s="11">
        <v>18927</v>
      </c>
      <c r="IN91" s="11">
        <v>21960</v>
      </c>
      <c r="IO91" s="11">
        <v>23076</v>
      </c>
      <c r="IP91" s="11">
        <v>20210</v>
      </c>
      <c r="IQ91" s="11">
        <v>20552</v>
      </c>
      <c r="IR91" s="11">
        <v>19045</v>
      </c>
      <c r="IS91" s="11">
        <v>13731</v>
      </c>
      <c r="IT91" s="11">
        <v>19968</v>
      </c>
      <c r="IU91" s="11">
        <v>18655</v>
      </c>
      <c r="IV91" s="11">
        <v>20959</v>
      </c>
      <c r="IW91" s="27">
        <f t="shared" si="67"/>
        <v>239115</v>
      </c>
      <c r="IX91" s="11">
        <v>0</v>
      </c>
      <c r="IY91" s="11">
        <v>0</v>
      </c>
      <c r="IZ91" s="11">
        <v>0</v>
      </c>
      <c r="JA91" s="11">
        <v>0</v>
      </c>
      <c r="JB91" s="11">
        <v>0</v>
      </c>
      <c r="JC91" s="11">
        <v>0</v>
      </c>
      <c r="JD91" s="11">
        <v>0</v>
      </c>
      <c r="JE91" s="11">
        <v>0</v>
      </c>
      <c r="JF91" s="11">
        <v>0</v>
      </c>
      <c r="JG91" s="11">
        <v>0</v>
      </c>
      <c r="JH91" s="11">
        <v>0</v>
      </c>
      <c r="JI91" s="11">
        <v>0</v>
      </c>
      <c r="JJ91" s="27">
        <f t="shared" si="68"/>
        <v>0</v>
      </c>
      <c r="JK91" s="11">
        <v>0</v>
      </c>
      <c r="JL91" s="11">
        <v>0</v>
      </c>
      <c r="JM91" s="11">
        <v>0</v>
      </c>
      <c r="JN91" s="11">
        <v>0</v>
      </c>
      <c r="JO91" s="11">
        <v>0</v>
      </c>
      <c r="JP91" s="11">
        <v>0</v>
      </c>
      <c r="JQ91" s="11">
        <v>0</v>
      </c>
      <c r="JR91" s="11">
        <v>0</v>
      </c>
      <c r="JS91" s="11">
        <v>0</v>
      </c>
      <c r="JT91" s="11">
        <v>0</v>
      </c>
      <c r="JU91" s="11">
        <v>0</v>
      </c>
      <c r="JV91" s="11">
        <v>0</v>
      </c>
      <c r="JW91" s="27">
        <f t="shared" si="69"/>
        <v>0</v>
      </c>
      <c r="JX91" s="11">
        <v>0</v>
      </c>
      <c r="JY91" s="11">
        <v>0</v>
      </c>
      <c r="JZ91" s="11">
        <v>0</v>
      </c>
      <c r="KA91" s="11">
        <v>0</v>
      </c>
      <c r="KB91" s="11">
        <v>0</v>
      </c>
      <c r="KC91" s="11">
        <v>0</v>
      </c>
      <c r="KD91" s="11">
        <v>0</v>
      </c>
      <c r="KE91" s="11">
        <v>0</v>
      </c>
      <c r="KF91" s="11">
        <v>0</v>
      </c>
      <c r="KG91" s="11">
        <v>0</v>
      </c>
      <c r="KH91" s="11">
        <v>0</v>
      </c>
      <c r="KI91" s="11">
        <v>0</v>
      </c>
      <c r="KJ91" s="27">
        <f t="shared" si="70"/>
        <v>0</v>
      </c>
      <c r="KK91" s="11">
        <v>668</v>
      </c>
      <c r="KL91" s="11">
        <v>573</v>
      </c>
      <c r="KM91" s="11">
        <v>763</v>
      </c>
      <c r="KN91" s="11">
        <v>631</v>
      </c>
      <c r="KO91" s="11">
        <v>848</v>
      </c>
      <c r="KP91" s="11">
        <v>479</v>
      </c>
      <c r="KQ91" s="11">
        <v>783</v>
      </c>
      <c r="KR91" s="11">
        <v>584</v>
      </c>
      <c r="KS91" s="11">
        <v>480</v>
      </c>
      <c r="KT91" s="11">
        <v>668</v>
      </c>
      <c r="KU91" s="11">
        <v>569</v>
      </c>
      <c r="KV91" s="11">
        <v>755</v>
      </c>
      <c r="KW91" s="27">
        <f t="shared" si="71"/>
        <v>7801</v>
      </c>
      <c r="KX91" s="11">
        <v>0</v>
      </c>
      <c r="KY91" s="11">
        <v>0</v>
      </c>
      <c r="KZ91" s="11">
        <v>0</v>
      </c>
      <c r="LA91" s="11">
        <v>0</v>
      </c>
      <c r="LB91" s="11">
        <v>0</v>
      </c>
      <c r="LC91" s="11">
        <v>0</v>
      </c>
      <c r="LD91" s="11">
        <v>0</v>
      </c>
      <c r="LE91" s="11">
        <v>0</v>
      </c>
      <c r="LF91" s="11">
        <v>0</v>
      </c>
      <c r="LG91" s="11">
        <v>0</v>
      </c>
      <c r="LH91" s="11">
        <v>0</v>
      </c>
      <c r="LI91" s="11">
        <v>0</v>
      </c>
      <c r="LJ91" s="27">
        <f t="shared" si="72"/>
        <v>0</v>
      </c>
      <c r="LK91" s="11">
        <v>0</v>
      </c>
      <c r="LL91" s="11">
        <v>0</v>
      </c>
      <c r="LM91" s="11">
        <v>0</v>
      </c>
      <c r="LN91" s="11">
        <v>0</v>
      </c>
      <c r="LO91" s="11">
        <v>0</v>
      </c>
      <c r="LP91" s="11">
        <v>0</v>
      </c>
      <c r="LQ91" s="11">
        <v>0</v>
      </c>
      <c r="LR91" s="11">
        <v>0</v>
      </c>
      <c r="LS91" s="11">
        <v>0</v>
      </c>
      <c r="LT91" s="11">
        <v>0</v>
      </c>
      <c r="LU91" s="11">
        <v>0</v>
      </c>
      <c r="LV91" s="11">
        <v>0</v>
      </c>
      <c r="LW91" s="27">
        <f t="shared" si="73"/>
        <v>0</v>
      </c>
      <c r="LX91" s="11">
        <v>0</v>
      </c>
      <c r="LY91" s="11">
        <v>0</v>
      </c>
      <c r="LZ91" s="11">
        <v>0</v>
      </c>
      <c r="MA91" s="11">
        <v>0</v>
      </c>
      <c r="MB91" s="11">
        <v>0</v>
      </c>
      <c r="MC91" s="11">
        <v>0</v>
      </c>
      <c r="MD91" s="11">
        <v>0</v>
      </c>
      <c r="ME91" s="11">
        <v>0</v>
      </c>
      <c r="MF91" s="11">
        <v>0</v>
      </c>
      <c r="MG91" s="11">
        <v>0</v>
      </c>
      <c r="MH91" s="11">
        <v>0</v>
      </c>
      <c r="MI91" s="11">
        <v>0</v>
      </c>
      <c r="MJ91" s="27">
        <f t="shared" si="74"/>
        <v>0</v>
      </c>
      <c r="MK91" s="11">
        <v>924</v>
      </c>
      <c r="ML91" s="11">
        <v>846</v>
      </c>
      <c r="MM91" s="11">
        <v>865</v>
      </c>
      <c r="MN91" s="11">
        <v>916</v>
      </c>
      <c r="MO91" s="11">
        <v>915</v>
      </c>
      <c r="MP91" s="11">
        <v>837</v>
      </c>
      <c r="MQ91" s="11">
        <v>885</v>
      </c>
      <c r="MR91" s="11">
        <v>862</v>
      </c>
      <c r="MS91" s="11">
        <v>894</v>
      </c>
      <c r="MT91" s="11">
        <v>999</v>
      </c>
      <c r="MU91" s="11">
        <v>968</v>
      </c>
      <c r="MV91" s="11">
        <v>1061</v>
      </c>
      <c r="MW91" s="27">
        <f t="shared" si="75"/>
        <v>10972</v>
      </c>
      <c r="MX91" s="11">
        <v>0</v>
      </c>
      <c r="MY91" s="11">
        <v>0</v>
      </c>
      <c r="MZ91" s="11">
        <v>0</v>
      </c>
      <c r="NA91" s="11">
        <v>0</v>
      </c>
      <c r="NB91" s="11">
        <v>0</v>
      </c>
      <c r="NC91" s="11">
        <v>0</v>
      </c>
      <c r="ND91" s="11">
        <v>0</v>
      </c>
      <c r="NE91" s="11">
        <v>0</v>
      </c>
      <c r="NF91" s="11">
        <v>0</v>
      </c>
      <c r="NG91" s="11">
        <v>0</v>
      </c>
      <c r="NH91" s="11">
        <v>0</v>
      </c>
      <c r="NI91" s="11">
        <v>0</v>
      </c>
      <c r="NJ91" s="27">
        <f t="shared" si="76"/>
        <v>0</v>
      </c>
      <c r="NK91" s="11">
        <v>0</v>
      </c>
      <c r="NL91" s="11">
        <v>0</v>
      </c>
      <c r="NM91" s="11">
        <v>0</v>
      </c>
      <c r="NN91" s="11">
        <v>0</v>
      </c>
      <c r="NO91" s="11">
        <v>0</v>
      </c>
      <c r="NP91" s="11">
        <v>0</v>
      </c>
      <c r="NQ91" s="11">
        <v>0</v>
      </c>
      <c r="NR91" s="11">
        <v>0</v>
      </c>
      <c r="NS91" s="11">
        <v>0</v>
      </c>
      <c r="NT91" s="11">
        <v>0</v>
      </c>
      <c r="NU91" s="11">
        <v>0</v>
      </c>
      <c r="NV91" s="11">
        <v>0</v>
      </c>
      <c r="NW91" s="27">
        <f t="shared" si="77"/>
        <v>0</v>
      </c>
      <c r="NX91" s="11">
        <v>0</v>
      </c>
      <c r="NY91" s="11">
        <v>0</v>
      </c>
      <c r="NZ91" s="11">
        <v>0</v>
      </c>
      <c r="OA91" s="11">
        <v>0</v>
      </c>
      <c r="OB91" s="11">
        <v>0</v>
      </c>
      <c r="OC91" s="11">
        <v>0</v>
      </c>
      <c r="OD91" s="11">
        <v>0</v>
      </c>
      <c r="OE91" s="11">
        <v>0</v>
      </c>
      <c r="OF91" s="11">
        <v>0</v>
      </c>
      <c r="OG91" s="11">
        <v>0</v>
      </c>
      <c r="OH91" s="11">
        <v>0</v>
      </c>
      <c r="OI91" s="11">
        <v>0</v>
      </c>
      <c r="OJ91" s="27">
        <f t="shared" si="78"/>
        <v>0</v>
      </c>
      <c r="OK91" s="11">
        <v>1260</v>
      </c>
      <c r="OL91" s="11">
        <v>1293</v>
      </c>
      <c r="OM91" s="11">
        <v>1235</v>
      </c>
      <c r="ON91" s="11">
        <v>1278</v>
      </c>
      <c r="OO91" s="11">
        <v>1320</v>
      </c>
      <c r="OP91" s="11">
        <v>1274</v>
      </c>
      <c r="OQ91" s="11">
        <v>1280</v>
      </c>
      <c r="OR91" s="11">
        <v>1258</v>
      </c>
      <c r="OS91" s="11">
        <v>1172</v>
      </c>
      <c r="OT91" s="11">
        <v>1356</v>
      </c>
      <c r="OU91" s="11">
        <v>1248</v>
      </c>
      <c r="OV91" s="11">
        <v>1484</v>
      </c>
      <c r="OW91" s="27">
        <f t="shared" si="79"/>
        <v>15458</v>
      </c>
      <c r="OX91" s="11">
        <v>0</v>
      </c>
      <c r="OY91" s="11">
        <v>0</v>
      </c>
      <c r="OZ91" s="11">
        <v>0</v>
      </c>
      <c r="PA91" s="11">
        <v>0</v>
      </c>
      <c r="PB91" s="11">
        <v>0</v>
      </c>
      <c r="PC91" s="11">
        <v>0</v>
      </c>
      <c r="PD91" s="11">
        <v>0</v>
      </c>
      <c r="PE91" s="11">
        <v>0</v>
      </c>
      <c r="PF91" s="11">
        <v>0</v>
      </c>
      <c r="PG91" s="11">
        <v>0</v>
      </c>
      <c r="PH91" s="11">
        <v>0</v>
      </c>
      <c r="PI91" s="11">
        <v>0</v>
      </c>
      <c r="PJ91" s="27">
        <f t="shared" si="80"/>
        <v>0</v>
      </c>
      <c r="PK91" s="11">
        <v>0</v>
      </c>
      <c r="PL91" s="11">
        <v>0</v>
      </c>
      <c r="PM91" s="11">
        <v>0</v>
      </c>
      <c r="PN91" s="11">
        <v>0</v>
      </c>
      <c r="PO91" s="11">
        <v>0</v>
      </c>
      <c r="PP91" s="11">
        <v>0</v>
      </c>
      <c r="PQ91" s="11">
        <v>0</v>
      </c>
      <c r="PR91" s="11">
        <v>0</v>
      </c>
      <c r="PS91" s="11">
        <v>0</v>
      </c>
      <c r="PT91" s="11">
        <v>0</v>
      </c>
      <c r="PU91" s="11">
        <v>0</v>
      </c>
      <c r="PV91" s="11">
        <v>0</v>
      </c>
      <c r="PW91" s="27">
        <f t="shared" si="81"/>
        <v>0</v>
      </c>
      <c r="PX91" s="11">
        <v>0</v>
      </c>
      <c r="PY91" s="11">
        <v>0</v>
      </c>
      <c r="PZ91" s="11">
        <v>0</v>
      </c>
      <c r="QA91" s="11">
        <v>0</v>
      </c>
      <c r="QB91" s="11">
        <v>0</v>
      </c>
      <c r="QC91" s="11">
        <v>0</v>
      </c>
      <c r="QD91" s="11">
        <v>0</v>
      </c>
      <c r="QE91" s="11">
        <v>0</v>
      </c>
      <c r="QF91" s="11">
        <v>0</v>
      </c>
      <c r="QG91" s="11">
        <v>0</v>
      </c>
      <c r="QH91" s="11">
        <v>0</v>
      </c>
      <c r="QI91" s="11">
        <v>0</v>
      </c>
      <c r="QJ91" s="27">
        <f t="shared" si="82"/>
        <v>0</v>
      </c>
      <c r="QK91" s="11">
        <v>20451</v>
      </c>
      <c r="QL91" s="11">
        <v>20159</v>
      </c>
      <c r="QM91" s="11">
        <v>23576</v>
      </c>
      <c r="QN91" s="11">
        <v>22693</v>
      </c>
      <c r="QO91" s="11">
        <v>22378</v>
      </c>
      <c r="QP91" s="11">
        <v>20338</v>
      </c>
      <c r="QQ91" s="11">
        <v>22311</v>
      </c>
      <c r="QR91" s="11">
        <v>2270</v>
      </c>
      <c r="QS91" s="11">
        <v>14134</v>
      </c>
      <c r="QT91" s="11">
        <v>15368</v>
      </c>
      <c r="QU91" s="11">
        <v>14787</v>
      </c>
      <c r="QV91" s="11">
        <v>16082</v>
      </c>
      <c r="QW91" s="27">
        <f t="shared" si="83"/>
        <v>214547</v>
      </c>
      <c r="QX91" s="11">
        <v>0</v>
      </c>
      <c r="QY91" s="11">
        <v>0</v>
      </c>
      <c r="QZ91" s="11">
        <v>0</v>
      </c>
      <c r="RA91" s="11">
        <v>0</v>
      </c>
      <c r="RB91" s="11">
        <v>0</v>
      </c>
      <c r="RC91" s="11">
        <v>0</v>
      </c>
      <c r="RD91" s="11">
        <v>0</v>
      </c>
      <c r="RE91" s="11">
        <v>0</v>
      </c>
      <c r="RF91" s="11">
        <v>0</v>
      </c>
      <c r="RG91" s="11">
        <v>5981</v>
      </c>
      <c r="RH91" s="11">
        <v>6139</v>
      </c>
      <c r="RI91" s="11">
        <v>6865</v>
      </c>
      <c r="RJ91" s="27">
        <f t="shared" si="84"/>
        <v>18985</v>
      </c>
      <c r="RK91" s="11">
        <v>0</v>
      </c>
      <c r="RL91" s="11">
        <v>0</v>
      </c>
      <c r="RM91" s="11">
        <v>0</v>
      </c>
      <c r="RN91" s="11">
        <v>0</v>
      </c>
      <c r="RO91" s="11">
        <v>0</v>
      </c>
      <c r="RP91" s="11">
        <v>0</v>
      </c>
      <c r="RQ91" s="11">
        <v>0</v>
      </c>
      <c r="RR91" s="11">
        <v>0</v>
      </c>
      <c r="RS91" s="11">
        <v>0</v>
      </c>
      <c r="RT91" s="11">
        <v>0</v>
      </c>
      <c r="RU91" s="11">
        <v>0</v>
      </c>
      <c r="RV91" s="11">
        <v>0</v>
      </c>
      <c r="RW91" s="27">
        <f t="shared" si="85"/>
        <v>0</v>
      </c>
      <c r="RX91" s="11">
        <v>0</v>
      </c>
      <c r="RY91" s="11">
        <v>0</v>
      </c>
      <c r="RZ91" s="11">
        <v>0</v>
      </c>
      <c r="SA91" s="11">
        <v>0</v>
      </c>
      <c r="SB91" s="11">
        <v>0</v>
      </c>
      <c r="SC91" s="11">
        <v>0</v>
      </c>
      <c r="SD91" s="11">
        <v>0</v>
      </c>
      <c r="SE91" s="11">
        <v>0</v>
      </c>
      <c r="SF91" s="11">
        <v>0</v>
      </c>
      <c r="SG91" s="11">
        <v>0</v>
      </c>
      <c r="SH91" s="11">
        <v>0</v>
      </c>
      <c r="SI91" s="11">
        <v>0</v>
      </c>
      <c r="SJ91" s="27">
        <f t="shared" si="86"/>
        <v>0</v>
      </c>
      <c r="SK91" s="11">
        <v>134</v>
      </c>
      <c r="SL91" s="11">
        <v>116</v>
      </c>
      <c r="SM91" s="11">
        <v>105</v>
      </c>
      <c r="SN91" s="11">
        <v>110</v>
      </c>
      <c r="SO91" s="11">
        <v>72</v>
      </c>
      <c r="SP91" s="11">
        <v>103</v>
      </c>
      <c r="SQ91" s="11">
        <v>88</v>
      </c>
      <c r="SR91" s="11">
        <v>108</v>
      </c>
      <c r="SS91" s="11">
        <v>71</v>
      </c>
      <c r="ST91" s="11">
        <v>104</v>
      </c>
      <c r="SU91" s="11">
        <v>98</v>
      </c>
      <c r="SV91" s="11">
        <v>104</v>
      </c>
      <c r="SW91" s="27">
        <f t="shared" si="87"/>
        <v>1213</v>
      </c>
      <c r="SX91" s="11" t="s">
        <v>2730</v>
      </c>
      <c r="SY91" s="11">
        <v>3873</v>
      </c>
      <c r="SZ91" s="11">
        <v>3638</v>
      </c>
      <c r="TA91" s="11">
        <v>3705</v>
      </c>
      <c r="TB91" s="11">
        <v>4048</v>
      </c>
      <c r="TC91" s="11">
        <v>4146</v>
      </c>
      <c r="TD91" s="11">
        <v>3760</v>
      </c>
      <c r="TE91" s="11">
        <v>3667</v>
      </c>
      <c r="TF91" s="11">
        <v>3968</v>
      </c>
      <c r="TG91" s="11">
        <v>2716</v>
      </c>
      <c r="TH91" s="11">
        <v>3721</v>
      </c>
      <c r="TI91" s="11">
        <v>3505</v>
      </c>
      <c r="TJ91" s="11">
        <v>4255</v>
      </c>
      <c r="TK91" s="27">
        <f t="shared" si="88"/>
        <v>45002</v>
      </c>
      <c r="TL91" s="11">
        <v>1574</v>
      </c>
      <c r="TM91" s="11">
        <v>1666</v>
      </c>
      <c r="TN91" s="11">
        <v>1336</v>
      </c>
      <c r="TO91" s="11">
        <v>1642</v>
      </c>
      <c r="TP91" s="11">
        <v>1513</v>
      </c>
      <c r="TQ91" s="11">
        <v>1566</v>
      </c>
      <c r="TR91" s="11">
        <v>1448</v>
      </c>
      <c r="TS91" s="11">
        <v>1106</v>
      </c>
      <c r="TT91" s="11">
        <v>1136</v>
      </c>
      <c r="TU91" s="11">
        <v>1603</v>
      </c>
      <c r="TV91" s="11">
        <v>1982</v>
      </c>
      <c r="TW91" s="11">
        <v>1952</v>
      </c>
      <c r="TX91" s="27">
        <f t="shared" si="89"/>
        <v>18524</v>
      </c>
      <c r="TY91" s="11">
        <v>84</v>
      </c>
      <c r="TZ91" s="11">
        <v>0</v>
      </c>
      <c r="UA91" s="11">
        <v>0</v>
      </c>
    </row>
    <row r="92" spans="1:547" ht="16" customHeight="1" x14ac:dyDescent="0.35">
      <c r="A92" s="11" t="s">
        <v>2731</v>
      </c>
      <c r="B92" s="11">
        <v>39147</v>
      </c>
      <c r="C92" s="11">
        <v>6489</v>
      </c>
      <c r="D92" s="11">
        <v>27100</v>
      </c>
      <c r="E92" s="11">
        <v>5558</v>
      </c>
      <c r="F92" s="11">
        <v>26</v>
      </c>
      <c r="G92" s="11">
        <v>18</v>
      </c>
      <c r="H92" s="11">
        <v>17</v>
      </c>
      <c r="I92" s="11">
        <v>19</v>
      </c>
      <c r="J92" s="11">
        <v>64</v>
      </c>
      <c r="K92" s="11">
        <v>45</v>
      </c>
      <c r="L92" s="11">
        <v>61</v>
      </c>
      <c r="M92" s="11">
        <v>67</v>
      </c>
      <c r="N92" s="11">
        <v>42</v>
      </c>
      <c r="O92" s="11">
        <v>38</v>
      </c>
      <c r="P92" s="11" t="s">
        <v>2865</v>
      </c>
      <c r="Q92" s="11">
        <v>45</v>
      </c>
      <c r="R92" s="11">
        <v>32</v>
      </c>
      <c r="S92" s="26">
        <f t="shared" si="45"/>
        <v>474</v>
      </c>
      <c r="T92" s="11">
        <v>7</v>
      </c>
      <c r="U92" s="11">
        <v>5</v>
      </c>
      <c r="V92" s="11">
        <v>5</v>
      </c>
      <c r="W92" s="11">
        <v>6</v>
      </c>
      <c r="X92" s="11">
        <v>13</v>
      </c>
      <c r="Y92" s="11">
        <v>26</v>
      </c>
      <c r="Z92" s="11">
        <v>26</v>
      </c>
      <c r="AA92" s="11">
        <v>32</v>
      </c>
      <c r="AB92" s="11">
        <v>15</v>
      </c>
      <c r="AC92" s="11">
        <v>13</v>
      </c>
      <c r="AD92" s="11">
        <v>20</v>
      </c>
      <c r="AE92" s="11">
        <v>11</v>
      </c>
      <c r="AF92" s="26">
        <f t="shared" si="46"/>
        <v>179</v>
      </c>
      <c r="AG92" s="11">
        <v>19</v>
      </c>
      <c r="AH92" s="11">
        <v>13</v>
      </c>
      <c r="AI92" s="11">
        <v>12</v>
      </c>
      <c r="AJ92" s="11">
        <v>13</v>
      </c>
      <c r="AK92" s="11">
        <v>51</v>
      </c>
      <c r="AL92" s="11">
        <v>19</v>
      </c>
      <c r="AM92" s="11">
        <v>35</v>
      </c>
      <c r="AN92" s="11">
        <v>35</v>
      </c>
      <c r="AO92" s="11">
        <v>27</v>
      </c>
      <c r="AP92" s="11">
        <v>25</v>
      </c>
      <c r="AQ92" s="11">
        <v>25</v>
      </c>
      <c r="AR92" s="11">
        <v>21</v>
      </c>
      <c r="AS92" s="26">
        <f t="shared" si="47"/>
        <v>295</v>
      </c>
      <c r="AT92" s="11">
        <v>0</v>
      </c>
      <c r="AU92" s="11">
        <v>0</v>
      </c>
      <c r="AV92" s="11">
        <v>0</v>
      </c>
      <c r="AW92" s="11">
        <v>0</v>
      </c>
      <c r="AX92" s="11">
        <v>0</v>
      </c>
      <c r="AY92" s="11">
        <v>0</v>
      </c>
      <c r="AZ92" s="11">
        <v>0</v>
      </c>
      <c r="BA92" s="11">
        <v>0</v>
      </c>
      <c r="BB92" s="11">
        <v>0</v>
      </c>
      <c r="BC92" s="11">
        <v>0</v>
      </c>
      <c r="BD92" s="11">
        <v>0</v>
      </c>
      <c r="BE92" s="11">
        <v>0</v>
      </c>
      <c r="BF92" s="26">
        <f t="shared" si="48"/>
        <v>0</v>
      </c>
      <c r="BG92" s="11">
        <v>0</v>
      </c>
      <c r="BH92" s="11">
        <v>0</v>
      </c>
      <c r="BI92" s="11">
        <v>0</v>
      </c>
      <c r="BJ92" s="11">
        <v>0</v>
      </c>
      <c r="BK92" s="11">
        <v>0</v>
      </c>
      <c r="BL92" s="11">
        <v>0</v>
      </c>
      <c r="BM92" s="11">
        <v>0</v>
      </c>
      <c r="BN92" s="11">
        <v>0</v>
      </c>
      <c r="BO92" s="11">
        <v>0</v>
      </c>
      <c r="BP92" s="11">
        <v>0</v>
      </c>
      <c r="BQ92" s="11">
        <v>0</v>
      </c>
      <c r="BR92" s="11">
        <v>0</v>
      </c>
      <c r="BS92" s="26">
        <f t="shared" si="49"/>
        <v>0</v>
      </c>
      <c r="BT92" s="11">
        <v>0</v>
      </c>
      <c r="BU92" s="11">
        <v>0</v>
      </c>
      <c r="BV92" s="11">
        <v>0</v>
      </c>
      <c r="BW92" s="11">
        <v>0</v>
      </c>
      <c r="BX92" s="11">
        <v>0</v>
      </c>
      <c r="BY92" s="11">
        <v>0</v>
      </c>
      <c r="BZ92" s="11">
        <v>0</v>
      </c>
      <c r="CA92" s="11">
        <v>0</v>
      </c>
      <c r="CB92" s="11">
        <v>0</v>
      </c>
      <c r="CC92" s="11">
        <v>0</v>
      </c>
      <c r="CD92" s="11">
        <v>0</v>
      </c>
      <c r="CE92" s="11">
        <v>0</v>
      </c>
      <c r="CF92" s="26">
        <f t="shared" si="50"/>
        <v>0</v>
      </c>
      <c r="CG92" s="11">
        <v>0</v>
      </c>
      <c r="CH92" s="11">
        <v>0</v>
      </c>
      <c r="CI92" s="11">
        <v>0</v>
      </c>
      <c r="CJ92" s="11">
        <v>0</v>
      </c>
      <c r="CK92" s="11">
        <v>0</v>
      </c>
      <c r="CL92" s="11">
        <v>0</v>
      </c>
      <c r="CM92" s="11">
        <v>0</v>
      </c>
      <c r="CN92" s="11">
        <v>0</v>
      </c>
      <c r="CO92" s="11">
        <v>0</v>
      </c>
      <c r="CP92" s="11">
        <v>0</v>
      </c>
      <c r="CQ92" s="11">
        <v>0</v>
      </c>
      <c r="CR92" s="11">
        <v>0</v>
      </c>
      <c r="CS92" s="26">
        <f t="shared" si="51"/>
        <v>0</v>
      </c>
      <c r="CT92" s="11">
        <v>0</v>
      </c>
      <c r="CU92" s="11">
        <v>0</v>
      </c>
      <c r="CV92" s="11">
        <v>0</v>
      </c>
      <c r="CW92" s="11">
        <v>0</v>
      </c>
      <c r="CX92" s="11">
        <v>0</v>
      </c>
      <c r="CY92" s="11">
        <v>0</v>
      </c>
      <c r="CZ92" s="11">
        <v>0</v>
      </c>
      <c r="DA92" s="11">
        <v>0</v>
      </c>
      <c r="DB92" s="11">
        <v>0</v>
      </c>
      <c r="DC92" s="11">
        <v>0</v>
      </c>
      <c r="DD92" s="11">
        <v>0</v>
      </c>
      <c r="DE92" s="11">
        <v>0</v>
      </c>
      <c r="DF92" s="26">
        <f t="shared" si="52"/>
        <v>0</v>
      </c>
      <c r="DG92" s="11">
        <v>0</v>
      </c>
      <c r="DH92" s="11">
        <v>0</v>
      </c>
      <c r="DI92" s="11">
        <v>0</v>
      </c>
      <c r="DJ92" s="11">
        <v>0</v>
      </c>
      <c r="DK92" s="11">
        <v>0</v>
      </c>
      <c r="DL92" s="11">
        <v>0</v>
      </c>
      <c r="DM92" s="11">
        <v>0</v>
      </c>
      <c r="DN92" s="11">
        <v>0</v>
      </c>
      <c r="DO92" s="11">
        <v>0</v>
      </c>
      <c r="DP92" s="11">
        <v>0</v>
      </c>
      <c r="DQ92" s="11">
        <v>0</v>
      </c>
      <c r="DR92" s="11">
        <v>0</v>
      </c>
      <c r="DS92" s="26">
        <f t="shared" si="53"/>
        <v>0</v>
      </c>
      <c r="DT92" s="11">
        <v>0</v>
      </c>
      <c r="DU92" s="11">
        <v>0</v>
      </c>
      <c r="DV92" s="11">
        <v>0</v>
      </c>
      <c r="DW92" s="11">
        <v>0</v>
      </c>
      <c r="DX92" s="11">
        <v>0</v>
      </c>
      <c r="DY92" s="11">
        <v>0</v>
      </c>
      <c r="DZ92" s="11">
        <v>0</v>
      </c>
      <c r="EA92" s="11">
        <v>0</v>
      </c>
      <c r="EB92" s="11">
        <v>0</v>
      </c>
      <c r="EC92" s="11">
        <v>0</v>
      </c>
      <c r="ED92" s="11">
        <v>0</v>
      </c>
      <c r="EE92" s="11">
        <v>0</v>
      </c>
      <c r="EF92" s="26">
        <f t="shared" si="54"/>
        <v>0</v>
      </c>
      <c r="EG92" s="9">
        <f t="shared" si="55"/>
        <v>474</v>
      </c>
      <c r="EH92" s="9">
        <f t="shared" si="56"/>
        <v>0</v>
      </c>
      <c r="EI92" s="11">
        <v>396</v>
      </c>
      <c r="EJ92" s="11">
        <v>193</v>
      </c>
      <c r="EK92" s="11">
        <v>227</v>
      </c>
      <c r="EL92" s="11">
        <v>285</v>
      </c>
      <c r="EM92" s="11">
        <v>1094</v>
      </c>
      <c r="EN92" s="11">
        <v>347</v>
      </c>
      <c r="EO92" s="11">
        <v>761</v>
      </c>
      <c r="EP92" s="11">
        <v>819</v>
      </c>
      <c r="EQ92" s="11">
        <v>645</v>
      </c>
      <c r="ER92" s="11">
        <v>441</v>
      </c>
      <c r="ES92" s="11">
        <v>763</v>
      </c>
      <c r="ET92" s="11">
        <v>577</v>
      </c>
      <c r="EU92" s="26">
        <f t="shared" si="57"/>
        <v>6548</v>
      </c>
      <c r="EV92" s="11">
        <v>213</v>
      </c>
      <c r="EW92" s="11">
        <v>111</v>
      </c>
      <c r="EX92" s="11">
        <v>104</v>
      </c>
      <c r="EY92" s="11">
        <v>143</v>
      </c>
      <c r="EZ92" s="11">
        <v>530</v>
      </c>
      <c r="FA92" s="11">
        <v>187</v>
      </c>
      <c r="FB92" s="11">
        <v>340</v>
      </c>
      <c r="FC92" s="11">
        <v>279</v>
      </c>
      <c r="FD92" s="11">
        <v>306</v>
      </c>
      <c r="FE92" s="11">
        <v>197</v>
      </c>
      <c r="FF92" s="11">
        <v>322</v>
      </c>
      <c r="FG92" s="11">
        <v>220</v>
      </c>
      <c r="FH92" s="26">
        <f t="shared" si="58"/>
        <v>2952</v>
      </c>
      <c r="FI92" s="11">
        <v>183</v>
      </c>
      <c r="FJ92" s="11">
        <v>82</v>
      </c>
      <c r="FK92" s="11">
        <v>123</v>
      </c>
      <c r="FL92" s="11">
        <v>142</v>
      </c>
      <c r="FM92" s="11">
        <v>564</v>
      </c>
      <c r="FN92" s="11">
        <v>160</v>
      </c>
      <c r="FO92" s="11">
        <v>421</v>
      </c>
      <c r="FP92" s="11">
        <v>540</v>
      </c>
      <c r="FQ92" s="11">
        <v>339</v>
      </c>
      <c r="FR92" s="11">
        <v>244</v>
      </c>
      <c r="FS92" s="11">
        <v>441</v>
      </c>
      <c r="FT92" s="11">
        <v>357</v>
      </c>
      <c r="FU92" s="26">
        <f t="shared" si="59"/>
        <v>3596</v>
      </c>
      <c r="FV92" s="11">
        <v>0</v>
      </c>
      <c r="FW92" s="11">
        <v>0</v>
      </c>
      <c r="FX92" s="11">
        <v>0</v>
      </c>
      <c r="FY92" s="11">
        <v>0</v>
      </c>
      <c r="FZ92" s="11">
        <v>0</v>
      </c>
      <c r="GA92" s="11">
        <v>0</v>
      </c>
      <c r="GB92" s="11">
        <v>0</v>
      </c>
      <c r="GC92" s="11">
        <v>0</v>
      </c>
      <c r="GD92" s="11">
        <v>0</v>
      </c>
      <c r="GE92" s="11">
        <v>0</v>
      </c>
      <c r="GF92" s="11">
        <v>0</v>
      </c>
      <c r="GG92" s="11">
        <v>0</v>
      </c>
      <c r="GH92" s="26">
        <f t="shared" si="60"/>
        <v>0</v>
      </c>
      <c r="GI92" s="11">
        <v>0</v>
      </c>
      <c r="GJ92" s="11">
        <v>0</v>
      </c>
      <c r="GK92" s="11">
        <v>0</v>
      </c>
      <c r="GL92" s="11">
        <v>0</v>
      </c>
      <c r="GM92" s="11">
        <v>0</v>
      </c>
      <c r="GN92" s="11">
        <v>0</v>
      </c>
      <c r="GO92" s="11">
        <v>0</v>
      </c>
      <c r="GP92" s="11">
        <v>0</v>
      </c>
      <c r="GQ92" s="11">
        <v>0</v>
      </c>
      <c r="GR92" s="11">
        <v>0</v>
      </c>
      <c r="GS92" s="11">
        <v>0</v>
      </c>
      <c r="GT92" s="11">
        <v>0</v>
      </c>
      <c r="GU92" s="26">
        <f t="shared" si="61"/>
        <v>0</v>
      </c>
      <c r="GV92" s="11">
        <v>0</v>
      </c>
      <c r="GW92" s="11">
        <v>0</v>
      </c>
      <c r="GX92" s="11">
        <v>0</v>
      </c>
      <c r="GY92" s="11">
        <v>0</v>
      </c>
      <c r="GZ92" s="11">
        <v>0</v>
      </c>
      <c r="HA92" s="11">
        <v>0</v>
      </c>
      <c r="HB92" s="11">
        <v>0</v>
      </c>
      <c r="HC92" s="11">
        <v>0</v>
      </c>
      <c r="HD92" s="11">
        <v>0</v>
      </c>
      <c r="HE92" s="11">
        <v>0</v>
      </c>
      <c r="HF92" s="11">
        <v>0</v>
      </c>
      <c r="HG92" s="11">
        <v>0</v>
      </c>
      <c r="HH92" s="26">
        <f t="shared" si="62"/>
        <v>0</v>
      </c>
      <c r="HI92" s="11">
        <v>0</v>
      </c>
      <c r="HJ92" s="11">
        <v>0</v>
      </c>
      <c r="HK92" s="11">
        <v>0</v>
      </c>
      <c r="HL92" s="11">
        <v>0</v>
      </c>
      <c r="HM92" s="11">
        <v>0</v>
      </c>
      <c r="HN92" s="11">
        <v>0</v>
      </c>
      <c r="HO92" s="11">
        <v>0</v>
      </c>
      <c r="HP92" s="11">
        <v>0</v>
      </c>
      <c r="HQ92" s="11">
        <v>0</v>
      </c>
      <c r="HR92" s="11">
        <v>0</v>
      </c>
      <c r="HS92" s="11">
        <v>0</v>
      </c>
      <c r="HT92" s="11">
        <v>0</v>
      </c>
      <c r="HU92" s="26">
        <f t="shared" si="63"/>
        <v>0</v>
      </c>
      <c r="HV92" s="11">
        <v>0</v>
      </c>
      <c r="HW92" s="11">
        <v>0</v>
      </c>
      <c r="HX92" s="11">
        <v>0</v>
      </c>
      <c r="HY92" s="11">
        <v>0</v>
      </c>
      <c r="HZ92" s="11">
        <v>0</v>
      </c>
      <c r="IA92" s="11">
        <v>0</v>
      </c>
      <c r="IB92" s="11">
        <v>0</v>
      </c>
      <c r="IC92" s="11">
        <v>0</v>
      </c>
      <c r="ID92" s="11">
        <v>0</v>
      </c>
      <c r="IE92" s="11">
        <v>0</v>
      </c>
      <c r="IF92" s="11">
        <v>0</v>
      </c>
      <c r="IG92" s="11">
        <v>0</v>
      </c>
      <c r="IH92" s="26">
        <f t="shared" si="64"/>
        <v>0</v>
      </c>
      <c r="II92" s="9">
        <f t="shared" si="65"/>
        <v>6548</v>
      </c>
      <c r="IJ92" s="9">
        <f t="shared" si="66"/>
        <v>0</v>
      </c>
      <c r="IK92" s="11">
        <v>6829</v>
      </c>
      <c r="IL92" s="11">
        <v>6690</v>
      </c>
      <c r="IM92" s="11">
        <v>4621</v>
      </c>
      <c r="IN92" s="11">
        <v>6891</v>
      </c>
      <c r="IO92" s="11">
        <v>11982</v>
      </c>
      <c r="IP92" s="11">
        <v>10798</v>
      </c>
      <c r="IQ92" s="11">
        <v>11363</v>
      </c>
      <c r="IR92" s="11">
        <v>10442</v>
      </c>
      <c r="IS92" s="11">
        <v>8687</v>
      </c>
      <c r="IT92" s="11">
        <v>10171</v>
      </c>
      <c r="IU92" s="11">
        <v>10284</v>
      </c>
      <c r="IV92" s="11">
        <v>10796</v>
      </c>
      <c r="IW92" s="27">
        <f t="shared" si="67"/>
        <v>109554</v>
      </c>
      <c r="IX92" s="11">
        <v>5219</v>
      </c>
      <c r="IY92" s="11">
        <v>5421</v>
      </c>
      <c r="IZ92" s="11">
        <v>3943</v>
      </c>
      <c r="JA92" s="11">
        <v>4595</v>
      </c>
      <c r="JB92" s="11">
        <v>7274</v>
      </c>
      <c r="JC92" s="11">
        <v>7753</v>
      </c>
      <c r="JD92" s="11">
        <v>8017</v>
      </c>
      <c r="JE92" s="11">
        <v>7825</v>
      </c>
      <c r="JF92" s="11">
        <v>6678</v>
      </c>
      <c r="JG92" s="11">
        <v>7593</v>
      </c>
      <c r="JH92" s="11">
        <v>7312</v>
      </c>
      <c r="JI92" s="11">
        <v>7830</v>
      </c>
      <c r="JJ92" s="27">
        <f t="shared" si="68"/>
        <v>79460</v>
      </c>
      <c r="JK92" s="11">
        <v>1610</v>
      </c>
      <c r="JL92" s="11">
        <v>1269</v>
      </c>
      <c r="JM92" s="11">
        <v>678</v>
      </c>
      <c r="JN92" s="11">
        <v>2296</v>
      </c>
      <c r="JO92" s="11">
        <v>4708</v>
      </c>
      <c r="JP92" s="11">
        <v>3045</v>
      </c>
      <c r="JQ92" s="11">
        <v>3346</v>
      </c>
      <c r="JR92" s="11">
        <v>2617</v>
      </c>
      <c r="JS92" s="11">
        <v>2009</v>
      </c>
      <c r="JT92" s="11">
        <v>2578</v>
      </c>
      <c r="JU92" s="11">
        <v>2972</v>
      </c>
      <c r="JV92" s="11">
        <v>2966</v>
      </c>
      <c r="JW92" s="27">
        <f t="shared" si="69"/>
        <v>30094</v>
      </c>
      <c r="JX92" s="11">
        <v>0</v>
      </c>
      <c r="JY92" s="11">
        <v>0</v>
      </c>
      <c r="JZ92" s="11">
        <v>0</v>
      </c>
      <c r="KA92" s="11">
        <v>0</v>
      </c>
      <c r="KB92" s="11">
        <v>0</v>
      </c>
      <c r="KC92" s="11">
        <v>0</v>
      </c>
      <c r="KD92" s="11">
        <v>0</v>
      </c>
      <c r="KE92" s="11">
        <v>0</v>
      </c>
      <c r="KF92" s="11">
        <v>0</v>
      </c>
      <c r="KG92" s="11">
        <v>0</v>
      </c>
      <c r="KH92" s="11">
        <v>0</v>
      </c>
      <c r="KI92" s="11">
        <v>0</v>
      </c>
      <c r="KJ92" s="27">
        <f t="shared" si="70"/>
        <v>0</v>
      </c>
      <c r="KK92" s="11">
        <v>320</v>
      </c>
      <c r="KL92" s="11">
        <v>290</v>
      </c>
      <c r="KM92" s="11">
        <v>249</v>
      </c>
      <c r="KN92" s="11">
        <v>96</v>
      </c>
      <c r="KO92" s="11">
        <v>336</v>
      </c>
      <c r="KP92" s="11">
        <v>274</v>
      </c>
      <c r="KQ92" s="11">
        <v>362</v>
      </c>
      <c r="KR92" s="11">
        <v>349</v>
      </c>
      <c r="KS92" s="11">
        <v>232</v>
      </c>
      <c r="KT92" s="11">
        <v>215</v>
      </c>
      <c r="KU92" s="11">
        <v>351</v>
      </c>
      <c r="KV92" s="11">
        <v>219</v>
      </c>
      <c r="KW92" s="27">
        <f t="shared" si="71"/>
        <v>3293</v>
      </c>
      <c r="KX92" s="11">
        <v>318</v>
      </c>
      <c r="KY92" s="11">
        <v>285</v>
      </c>
      <c r="KZ92" s="11">
        <v>248</v>
      </c>
      <c r="LA92" s="11">
        <v>94</v>
      </c>
      <c r="LB92" s="11">
        <v>333</v>
      </c>
      <c r="LC92" s="11">
        <v>271</v>
      </c>
      <c r="LD92" s="11">
        <v>360</v>
      </c>
      <c r="LE92" s="11">
        <v>346</v>
      </c>
      <c r="LF92" s="11">
        <v>230</v>
      </c>
      <c r="LG92" s="11">
        <v>210</v>
      </c>
      <c r="LH92" s="11">
        <v>351</v>
      </c>
      <c r="LI92" s="11">
        <v>219</v>
      </c>
      <c r="LJ92" s="27">
        <f t="shared" si="72"/>
        <v>3265</v>
      </c>
      <c r="LK92" s="11">
        <v>2</v>
      </c>
      <c r="LL92" s="11">
        <v>5</v>
      </c>
      <c r="LM92" s="11">
        <v>1</v>
      </c>
      <c r="LN92" s="11">
        <v>2</v>
      </c>
      <c r="LO92" s="11">
        <v>3</v>
      </c>
      <c r="LP92" s="11">
        <v>3</v>
      </c>
      <c r="LQ92" s="11">
        <v>2</v>
      </c>
      <c r="LR92" s="11">
        <v>3</v>
      </c>
      <c r="LS92" s="11">
        <v>2</v>
      </c>
      <c r="LT92" s="11">
        <v>5</v>
      </c>
      <c r="LU92" s="11">
        <v>0</v>
      </c>
      <c r="LV92" s="11">
        <v>0</v>
      </c>
      <c r="LW92" s="27">
        <f t="shared" si="73"/>
        <v>28</v>
      </c>
      <c r="LX92" s="11">
        <v>0</v>
      </c>
      <c r="LY92" s="11">
        <v>0</v>
      </c>
      <c r="LZ92" s="11">
        <v>0</v>
      </c>
      <c r="MA92" s="11">
        <v>0</v>
      </c>
      <c r="MB92" s="11">
        <v>0</v>
      </c>
      <c r="MC92" s="11">
        <v>0</v>
      </c>
      <c r="MD92" s="11">
        <v>0</v>
      </c>
      <c r="ME92" s="11">
        <v>0</v>
      </c>
      <c r="MF92" s="11">
        <v>0</v>
      </c>
      <c r="MG92" s="11">
        <v>0</v>
      </c>
      <c r="MH92" s="11">
        <v>0</v>
      </c>
      <c r="MI92" s="11">
        <v>0</v>
      </c>
      <c r="MJ92" s="27">
        <f t="shared" si="74"/>
        <v>0</v>
      </c>
      <c r="MK92" s="11">
        <v>1440</v>
      </c>
      <c r="ML92" s="11">
        <v>1413</v>
      </c>
      <c r="MM92" s="11">
        <v>1332</v>
      </c>
      <c r="MN92" s="11">
        <v>1432</v>
      </c>
      <c r="MO92" s="11">
        <v>1400</v>
      </c>
      <c r="MP92" s="11">
        <v>1220</v>
      </c>
      <c r="MQ92" s="11">
        <v>1284</v>
      </c>
      <c r="MR92" s="11">
        <v>1197</v>
      </c>
      <c r="MS92" s="11">
        <v>1121</v>
      </c>
      <c r="MT92" s="11">
        <v>1852</v>
      </c>
      <c r="MU92" s="11">
        <v>1139</v>
      </c>
      <c r="MV92" s="11">
        <v>1204</v>
      </c>
      <c r="MW92" s="27">
        <f t="shared" si="75"/>
        <v>16034</v>
      </c>
      <c r="MX92" s="11">
        <v>0</v>
      </c>
      <c r="MY92" s="11">
        <v>0</v>
      </c>
      <c r="MZ92" s="11">
        <v>0</v>
      </c>
      <c r="NA92" s="11">
        <v>0</v>
      </c>
      <c r="NB92" s="11">
        <v>0</v>
      </c>
      <c r="NC92" s="11">
        <v>0</v>
      </c>
      <c r="ND92" s="11">
        <v>0</v>
      </c>
      <c r="NE92" s="11">
        <v>0</v>
      </c>
      <c r="NF92" s="11">
        <v>0</v>
      </c>
      <c r="NG92" s="11">
        <v>0</v>
      </c>
      <c r="NH92" s="11">
        <v>0</v>
      </c>
      <c r="NI92" s="11">
        <v>0</v>
      </c>
      <c r="NJ92" s="27">
        <f t="shared" si="76"/>
        <v>0</v>
      </c>
      <c r="NK92" s="11">
        <v>0</v>
      </c>
      <c r="NL92" s="11">
        <v>0</v>
      </c>
      <c r="NM92" s="11">
        <v>0</v>
      </c>
      <c r="NN92" s="11">
        <v>0</v>
      </c>
      <c r="NO92" s="11">
        <v>0</v>
      </c>
      <c r="NP92" s="11">
        <v>0</v>
      </c>
      <c r="NQ92" s="11">
        <v>0</v>
      </c>
      <c r="NR92" s="11">
        <v>0</v>
      </c>
      <c r="NS92" s="11">
        <v>0</v>
      </c>
      <c r="NT92" s="11">
        <v>0</v>
      </c>
      <c r="NU92" s="11">
        <v>0</v>
      </c>
      <c r="NV92" s="11">
        <v>0</v>
      </c>
      <c r="NW92" s="27">
        <f t="shared" si="77"/>
        <v>0</v>
      </c>
      <c r="NX92" s="11">
        <v>0</v>
      </c>
      <c r="NY92" s="11">
        <v>0</v>
      </c>
      <c r="NZ92" s="11">
        <v>0</v>
      </c>
      <c r="OA92" s="11">
        <v>0</v>
      </c>
      <c r="OB92" s="11">
        <v>0</v>
      </c>
      <c r="OC92" s="11">
        <v>0</v>
      </c>
      <c r="OD92" s="11">
        <v>0</v>
      </c>
      <c r="OE92" s="11">
        <v>0</v>
      </c>
      <c r="OF92" s="11">
        <v>0</v>
      </c>
      <c r="OG92" s="11">
        <v>0</v>
      </c>
      <c r="OH92" s="11">
        <v>0</v>
      </c>
      <c r="OI92" s="11">
        <v>0</v>
      </c>
      <c r="OJ92" s="27">
        <f t="shared" si="78"/>
        <v>0</v>
      </c>
      <c r="OK92" s="11">
        <v>1736</v>
      </c>
      <c r="OL92" s="11">
        <v>1734</v>
      </c>
      <c r="OM92" s="11">
        <v>1681</v>
      </c>
      <c r="ON92" s="11">
        <v>1722</v>
      </c>
      <c r="OO92" s="11">
        <v>1828</v>
      </c>
      <c r="OP92" s="11">
        <v>1815</v>
      </c>
      <c r="OQ92" s="11">
        <v>1868</v>
      </c>
      <c r="OR92" s="11">
        <v>1486</v>
      </c>
      <c r="OS92" s="11">
        <v>1722</v>
      </c>
      <c r="OT92" s="11">
        <v>1221</v>
      </c>
      <c r="OU92" s="11">
        <v>1840</v>
      </c>
      <c r="OV92" s="11">
        <v>1926</v>
      </c>
      <c r="OW92" s="27">
        <f t="shared" si="79"/>
        <v>20579</v>
      </c>
      <c r="OX92" s="11">
        <v>0</v>
      </c>
      <c r="OY92" s="11">
        <v>0</v>
      </c>
      <c r="OZ92" s="11">
        <v>0</v>
      </c>
      <c r="PA92" s="11">
        <v>0</v>
      </c>
      <c r="PB92" s="11">
        <v>0</v>
      </c>
      <c r="PC92" s="11">
        <v>0</v>
      </c>
      <c r="PD92" s="11">
        <v>0</v>
      </c>
      <c r="PE92" s="11">
        <v>0</v>
      </c>
      <c r="PF92" s="11">
        <v>0</v>
      </c>
      <c r="PG92" s="11">
        <v>0</v>
      </c>
      <c r="PH92" s="11">
        <v>0</v>
      </c>
      <c r="PI92" s="11">
        <v>0</v>
      </c>
      <c r="PJ92" s="27">
        <f t="shared" si="80"/>
        <v>0</v>
      </c>
      <c r="PK92" s="11">
        <v>0</v>
      </c>
      <c r="PL92" s="11">
        <v>0</v>
      </c>
      <c r="PM92" s="11">
        <v>0</v>
      </c>
      <c r="PN92" s="11">
        <v>0</v>
      </c>
      <c r="PO92" s="11">
        <v>0</v>
      </c>
      <c r="PP92" s="11">
        <v>0</v>
      </c>
      <c r="PQ92" s="11">
        <v>0</v>
      </c>
      <c r="PR92" s="11">
        <v>0</v>
      </c>
      <c r="PS92" s="11">
        <v>0</v>
      </c>
      <c r="PT92" s="11">
        <v>0</v>
      </c>
      <c r="PU92" s="11">
        <v>0</v>
      </c>
      <c r="PV92" s="11">
        <v>0</v>
      </c>
      <c r="PW92" s="27">
        <f t="shared" si="81"/>
        <v>0</v>
      </c>
      <c r="PX92" s="11">
        <v>0</v>
      </c>
      <c r="PY92" s="11">
        <v>0</v>
      </c>
      <c r="PZ92" s="11">
        <v>0</v>
      </c>
      <c r="QA92" s="11">
        <v>0</v>
      </c>
      <c r="QB92" s="11">
        <v>0</v>
      </c>
      <c r="QC92" s="11">
        <v>0</v>
      </c>
      <c r="QD92" s="11">
        <v>0</v>
      </c>
      <c r="QE92" s="11">
        <v>0</v>
      </c>
      <c r="QF92" s="11">
        <v>0</v>
      </c>
      <c r="QG92" s="11">
        <v>0</v>
      </c>
      <c r="QH92" s="11">
        <v>0</v>
      </c>
      <c r="QI92" s="11">
        <v>0</v>
      </c>
      <c r="QJ92" s="27">
        <f t="shared" si="82"/>
        <v>0</v>
      </c>
      <c r="QK92" s="11">
        <v>0</v>
      </c>
      <c r="QL92" s="11">
        <v>0</v>
      </c>
      <c r="QM92" s="11">
        <v>0</v>
      </c>
      <c r="QN92" s="11">
        <v>0</v>
      </c>
      <c r="QO92" s="11">
        <v>0</v>
      </c>
      <c r="QP92" s="11">
        <v>0</v>
      </c>
      <c r="QQ92" s="11">
        <v>0</v>
      </c>
      <c r="QR92" s="11">
        <v>0</v>
      </c>
      <c r="QS92" s="11">
        <v>0</v>
      </c>
      <c r="QT92" s="11">
        <v>0</v>
      </c>
      <c r="QU92" s="11">
        <v>0</v>
      </c>
      <c r="QV92" s="11">
        <v>0</v>
      </c>
      <c r="QW92" s="27">
        <f t="shared" si="83"/>
        <v>0</v>
      </c>
      <c r="QX92" s="11">
        <v>0</v>
      </c>
      <c r="QY92" s="11">
        <v>0</v>
      </c>
      <c r="QZ92" s="11">
        <v>0</v>
      </c>
      <c r="RA92" s="11">
        <v>0</v>
      </c>
      <c r="RB92" s="11">
        <v>0</v>
      </c>
      <c r="RC92" s="11">
        <v>0</v>
      </c>
      <c r="RD92" s="11">
        <v>0</v>
      </c>
      <c r="RE92" s="11">
        <v>0</v>
      </c>
      <c r="RF92" s="11">
        <v>0</v>
      </c>
      <c r="RG92" s="11">
        <v>0</v>
      </c>
      <c r="RH92" s="11">
        <v>0</v>
      </c>
      <c r="RI92" s="11">
        <v>0</v>
      </c>
      <c r="RJ92" s="27">
        <f t="shared" si="84"/>
        <v>0</v>
      </c>
      <c r="RK92" s="11">
        <v>0</v>
      </c>
      <c r="RL92" s="11">
        <v>0</v>
      </c>
      <c r="RM92" s="11">
        <v>0</v>
      </c>
      <c r="RN92" s="11">
        <v>0</v>
      </c>
      <c r="RO92" s="11">
        <v>0</v>
      </c>
      <c r="RP92" s="11">
        <v>0</v>
      </c>
      <c r="RQ92" s="11">
        <v>0</v>
      </c>
      <c r="RR92" s="11">
        <v>0</v>
      </c>
      <c r="RS92" s="11">
        <v>0</v>
      </c>
      <c r="RT92" s="11">
        <v>0</v>
      </c>
      <c r="RU92" s="11">
        <v>0</v>
      </c>
      <c r="RV92" s="11">
        <v>0</v>
      </c>
      <c r="RW92" s="27">
        <f t="shared" si="85"/>
        <v>0</v>
      </c>
      <c r="RX92" s="11">
        <v>0</v>
      </c>
      <c r="RY92" s="11">
        <v>0</v>
      </c>
      <c r="RZ92" s="11">
        <v>0</v>
      </c>
      <c r="SA92" s="11">
        <v>0</v>
      </c>
      <c r="SB92" s="11">
        <v>0</v>
      </c>
      <c r="SC92" s="11">
        <v>0</v>
      </c>
      <c r="SD92" s="11">
        <v>0</v>
      </c>
      <c r="SE92" s="11">
        <v>0</v>
      </c>
      <c r="SF92" s="11">
        <v>0</v>
      </c>
      <c r="SG92" s="11">
        <v>0</v>
      </c>
      <c r="SH92" s="11">
        <v>0</v>
      </c>
      <c r="SI92" s="11">
        <v>0</v>
      </c>
      <c r="SJ92" s="27">
        <f t="shared" si="86"/>
        <v>0</v>
      </c>
      <c r="SK92" s="11">
        <v>201</v>
      </c>
      <c r="SL92" s="11">
        <v>189</v>
      </c>
      <c r="SM92" s="11">
        <v>170</v>
      </c>
      <c r="SN92" s="11">
        <v>111</v>
      </c>
      <c r="SO92" s="11">
        <v>118</v>
      </c>
      <c r="SP92" s="11">
        <v>126</v>
      </c>
      <c r="SQ92" s="11">
        <v>133</v>
      </c>
      <c r="SR92" s="11">
        <v>99</v>
      </c>
      <c r="SS92" s="11">
        <v>105</v>
      </c>
      <c r="ST92" s="11">
        <v>111</v>
      </c>
      <c r="SU92" s="11">
        <v>96</v>
      </c>
      <c r="SV92" s="11">
        <v>107</v>
      </c>
      <c r="SW92" s="27">
        <f t="shared" si="87"/>
        <v>1566</v>
      </c>
      <c r="SX92" s="11" t="s">
        <v>2732</v>
      </c>
      <c r="SY92" s="11">
        <v>0</v>
      </c>
      <c r="SZ92" s="11">
        <v>0</v>
      </c>
      <c r="TA92" s="11">
        <v>0</v>
      </c>
      <c r="TB92" s="11">
        <v>0</v>
      </c>
      <c r="TC92" s="11">
        <v>0</v>
      </c>
      <c r="TD92" s="11">
        <v>0</v>
      </c>
      <c r="TE92" s="11">
        <v>0</v>
      </c>
      <c r="TF92" s="11">
        <v>0</v>
      </c>
      <c r="TG92" s="11">
        <v>0</v>
      </c>
      <c r="TH92" s="11">
        <v>0</v>
      </c>
      <c r="TI92" s="11">
        <v>0</v>
      </c>
      <c r="TJ92" s="11">
        <v>0</v>
      </c>
      <c r="TK92" s="27">
        <f t="shared" si="88"/>
        <v>0</v>
      </c>
      <c r="TL92" s="11">
        <v>0</v>
      </c>
      <c r="TM92" s="11">
        <v>0</v>
      </c>
      <c r="TN92" s="11">
        <v>0</v>
      </c>
      <c r="TO92" s="11">
        <v>0</v>
      </c>
      <c r="TP92" s="11">
        <v>0</v>
      </c>
      <c r="TQ92" s="11">
        <v>0</v>
      </c>
      <c r="TR92" s="11">
        <v>0</v>
      </c>
      <c r="TS92" s="11">
        <v>0</v>
      </c>
      <c r="TT92" s="11">
        <v>0</v>
      </c>
      <c r="TU92" s="11">
        <v>0</v>
      </c>
      <c r="TV92" s="11">
        <v>0</v>
      </c>
      <c r="TW92" s="11">
        <v>0</v>
      </c>
      <c r="TX92" s="27">
        <f t="shared" si="89"/>
        <v>0</v>
      </c>
      <c r="TY92" s="11">
        <v>36</v>
      </c>
      <c r="TZ92" s="11" t="s">
        <v>1432</v>
      </c>
      <c r="UA92" s="11" t="s">
        <v>1432</v>
      </c>
    </row>
    <row r="93" spans="1:547" ht="16" customHeight="1" x14ac:dyDescent="0.35">
      <c r="A93" s="11" t="s">
        <v>1453</v>
      </c>
      <c r="B93" s="11">
        <v>179677</v>
      </c>
      <c r="C93" s="11">
        <v>43438</v>
      </c>
      <c r="D93" s="11">
        <v>125182</v>
      </c>
      <c r="E93" s="11">
        <v>11057</v>
      </c>
      <c r="F93" s="11">
        <v>970</v>
      </c>
      <c r="G93" s="11">
        <v>1008</v>
      </c>
      <c r="H93" s="11">
        <v>991</v>
      </c>
      <c r="I93" s="11">
        <v>1053</v>
      </c>
      <c r="J93" s="11">
        <v>1076</v>
      </c>
      <c r="K93" s="11">
        <v>886</v>
      </c>
      <c r="L93" s="11">
        <v>1197</v>
      </c>
      <c r="M93" s="11">
        <v>1065</v>
      </c>
      <c r="N93" s="11">
        <v>867</v>
      </c>
      <c r="O93" s="11">
        <v>1095</v>
      </c>
      <c r="P93" s="11" t="s">
        <v>2862</v>
      </c>
      <c r="Q93" s="11">
        <v>1212</v>
      </c>
      <c r="R93" s="11">
        <v>1248</v>
      </c>
      <c r="S93" s="26">
        <f t="shared" si="45"/>
        <v>12668</v>
      </c>
      <c r="T93" s="11">
        <v>153</v>
      </c>
      <c r="U93" s="11">
        <v>199</v>
      </c>
      <c r="V93" s="11">
        <v>150</v>
      </c>
      <c r="W93" s="11">
        <v>135</v>
      </c>
      <c r="X93" s="11">
        <v>117</v>
      </c>
      <c r="Y93" s="11">
        <v>138</v>
      </c>
      <c r="Z93" s="11">
        <v>197</v>
      </c>
      <c r="AA93" s="11">
        <v>206</v>
      </c>
      <c r="AB93" s="11">
        <v>155</v>
      </c>
      <c r="AC93" s="11">
        <v>204</v>
      </c>
      <c r="AD93" s="11">
        <v>188</v>
      </c>
      <c r="AE93" s="11">
        <v>173</v>
      </c>
      <c r="AF93" s="26">
        <f t="shared" si="46"/>
        <v>2015</v>
      </c>
      <c r="AG93" s="11">
        <v>578</v>
      </c>
      <c r="AH93" s="11">
        <v>598</v>
      </c>
      <c r="AI93" s="11">
        <v>613</v>
      </c>
      <c r="AJ93" s="11">
        <v>701</v>
      </c>
      <c r="AK93" s="11">
        <v>698</v>
      </c>
      <c r="AL93" s="11">
        <v>534</v>
      </c>
      <c r="AM93" s="11">
        <v>697</v>
      </c>
      <c r="AN93" s="11">
        <v>632</v>
      </c>
      <c r="AO93" s="11">
        <v>522</v>
      </c>
      <c r="AP93" s="11">
        <v>656</v>
      </c>
      <c r="AQ93" s="11">
        <v>744</v>
      </c>
      <c r="AR93" s="11">
        <v>750</v>
      </c>
      <c r="AS93" s="26">
        <f t="shared" si="47"/>
        <v>7723</v>
      </c>
      <c r="AT93" s="11">
        <v>9</v>
      </c>
      <c r="AU93" s="11">
        <v>6</v>
      </c>
      <c r="AV93" s="11">
        <v>8</v>
      </c>
      <c r="AW93" s="11">
        <v>7</v>
      </c>
      <c r="AX93" s="11">
        <v>9</v>
      </c>
      <c r="AY93" s="11">
        <v>5</v>
      </c>
      <c r="AZ93" s="11">
        <v>11</v>
      </c>
      <c r="BA93" s="11">
        <v>7</v>
      </c>
      <c r="BB93" s="11">
        <v>10</v>
      </c>
      <c r="BC93" s="11">
        <v>9</v>
      </c>
      <c r="BD93" s="11">
        <v>10</v>
      </c>
      <c r="BE93" s="11">
        <v>17</v>
      </c>
      <c r="BF93" s="26">
        <f t="shared" si="48"/>
        <v>108</v>
      </c>
      <c r="BG93" s="11">
        <v>230</v>
      </c>
      <c r="BH93" s="11">
        <v>205</v>
      </c>
      <c r="BI93" s="11">
        <v>220</v>
      </c>
      <c r="BJ93" s="11">
        <v>210</v>
      </c>
      <c r="BK93" s="11">
        <v>252</v>
      </c>
      <c r="BL93" s="11">
        <v>209</v>
      </c>
      <c r="BM93" s="11">
        <v>292</v>
      </c>
      <c r="BN93" s="11">
        <v>220</v>
      </c>
      <c r="BO93" s="11">
        <v>180</v>
      </c>
      <c r="BP93" s="11">
        <v>226</v>
      </c>
      <c r="BQ93" s="11">
        <v>270</v>
      </c>
      <c r="BR93" s="11">
        <v>308</v>
      </c>
      <c r="BS93" s="26">
        <f t="shared" si="49"/>
        <v>2822</v>
      </c>
      <c r="BT93" s="11">
        <v>0</v>
      </c>
      <c r="BU93" s="11">
        <v>0</v>
      </c>
      <c r="BV93" s="11">
        <v>0</v>
      </c>
      <c r="BW93" s="11">
        <v>0</v>
      </c>
      <c r="BX93" s="11">
        <v>0</v>
      </c>
      <c r="BY93" s="11">
        <v>0</v>
      </c>
      <c r="BZ93" s="11">
        <v>0</v>
      </c>
      <c r="CA93" s="11">
        <v>0</v>
      </c>
      <c r="CB93" s="11">
        <v>0</v>
      </c>
      <c r="CC93" s="11">
        <v>0</v>
      </c>
      <c r="CD93" s="11">
        <v>0</v>
      </c>
      <c r="CE93" s="11">
        <v>0</v>
      </c>
      <c r="CF93" s="26">
        <f t="shared" si="50"/>
        <v>0</v>
      </c>
      <c r="CG93" s="11">
        <v>0</v>
      </c>
      <c r="CH93" s="11">
        <v>0</v>
      </c>
      <c r="CI93" s="11">
        <v>0</v>
      </c>
      <c r="CJ93" s="11">
        <v>0</v>
      </c>
      <c r="CK93" s="11">
        <v>0</v>
      </c>
      <c r="CL93" s="11">
        <v>0</v>
      </c>
      <c r="CM93" s="11">
        <v>0</v>
      </c>
      <c r="CN93" s="11">
        <v>0</v>
      </c>
      <c r="CO93" s="11">
        <v>0</v>
      </c>
      <c r="CP93" s="11">
        <v>0</v>
      </c>
      <c r="CQ93" s="11">
        <v>0</v>
      </c>
      <c r="CR93" s="11">
        <v>0</v>
      </c>
      <c r="CS93" s="26">
        <f t="shared" si="51"/>
        <v>0</v>
      </c>
      <c r="CT93" s="11">
        <v>0</v>
      </c>
      <c r="CU93" s="11">
        <v>0</v>
      </c>
      <c r="CV93" s="11">
        <v>0</v>
      </c>
      <c r="CW93" s="11">
        <v>0</v>
      </c>
      <c r="CX93" s="11">
        <v>0</v>
      </c>
      <c r="CY93" s="11">
        <v>0</v>
      </c>
      <c r="CZ93" s="11">
        <v>0</v>
      </c>
      <c r="DA93" s="11">
        <v>0</v>
      </c>
      <c r="DB93" s="11">
        <v>0</v>
      </c>
      <c r="DC93" s="11">
        <v>0</v>
      </c>
      <c r="DD93" s="11">
        <v>0</v>
      </c>
      <c r="DE93" s="11">
        <v>0</v>
      </c>
      <c r="DF93" s="26">
        <f t="shared" si="52"/>
        <v>0</v>
      </c>
      <c r="DG93" s="11">
        <v>0</v>
      </c>
      <c r="DH93" s="11">
        <v>0</v>
      </c>
      <c r="DI93" s="11">
        <v>0</v>
      </c>
      <c r="DJ93" s="11">
        <v>0</v>
      </c>
      <c r="DK93" s="11">
        <v>0</v>
      </c>
      <c r="DL93" s="11">
        <v>0</v>
      </c>
      <c r="DM93" s="11">
        <v>0</v>
      </c>
      <c r="DN93" s="11">
        <v>0</v>
      </c>
      <c r="DO93" s="11">
        <v>0</v>
      </c>
      <c r="DP93" s="11">
        <v>0</v>
      </c>
      <c r="DQ93" s="11">
        <v>0</v>
      </c>
      <c r="DR93" s="11">
        <v>0</v>
      </c>
      <c r="DS93" s="26">
        <f t="shared" si="53"/>
        <v>0</v>
      </c>
      <c r="DT93" s="11">
        <v>0</v>
      </c>
      <c r="DU93" s="11">
        <v>0</v>
      </c>
      <c r="DV93" s="11">
        <v>0</v>
      </c>
      <c r="DW93" s="11">
        <v>0</v>
      </c>
      <c r="DX93" s="11">
        <v>0</v>
      </c>
      <c r="DY93" s="11">
        <v>0</v>
      </c>
      <c r="DZ93" s="11">
        <v>0</v>
      </c>
      <c r="EA93" s="11">
        <v>0</v>
      </c>
      <c r="EB93" s="11">
        <v>0</v>
      </c>
      <c r="EC93" s="11">
        <v>0</v>
      </c>
      <c r="ED93" s="11">
        <v>0</v>
      </c>
      <c r="EE93" s="11">
        <v>0</v>
      </c>
      <c r="EF93" s="26">
        <f t="shared" si="54"/>
        <v>0</v>
      </c>
      <c r="EG93" s="9">
        <f t="shared" si="55"/>
        <v>12668</v>
      </c>
      <c r="EH93" s="9">
        <f t="shared" si="56"/>
        <v>0</v>
      </c>
      <c r="EI93" s="11">
        <v>16913</v>
      </c>
      <c r="EJ93" s="11">
        <v>17215</v>
      </c>
      <c r="EK93" s="11">
        <v>22341</v>
      </c>
      <c r="EL93" s="11">
        <v>32128</v>
      </c>
      <c r="EM93" s="11">
        <v>17738</v>
      </c>
      <c r="EN93" s="11">
        <v>15049</v>
      </c>
      <c r="EO93" s="11">
        <v>21650</v>
      </c>
      <c r="EP93" s="11">
        <v>18348</v>
      </c>
      <c r="EQ93" s="11">
        <v>12631</v>
      </c>
      <c r="ER93" s="11">
        <v>18212</v>
      </c>
      <c r="ES93" s="11">
        <v>24339</v>
      </c>
      <c r="ET93" s="11">
        <v>21450</v>
      </c>
      <c r="EU93" s="26">
        <f t="shared" si="57"/>
        <v>238014</v>
      </c>
      <c r="EV93" s="11">
        <v>8808</v>
      </c>
      <c r="EW93" s="11">
        <v>8923</v>
      </c>
      <c r="EX93" s="11">
        <v>8746</v>
      </c>
      <c r="EY93" s="11">
        <v>9481</v>
      </c>
      <c r="EZ93" s="11">
        <v>8985</v>
      </c>
      <c r="FA93" s="11">
        <v>8051</v>
      </c>
      <c r="FB93" s="11">
        <v>10936</v>
      </c>
      <c r="FC93" s="11">
        <v>9325</v>
      </c>
      <c r="FD93" s="11">
        <v>6512</v>
      </c>
      <c r="FE93" s="11">
        <v>9250</v>
      </c>
      <c r="FF93" s="11">
        <v>12191</v>
      </c>
      <c r="FG93" s="11">
        <v>10633</v>
      </c>
      <c r="FH93" s="26">
        <f t="shared" si="58"/>
        <v>111841</v>
      </c>
      <c r="FI93" s="11">
        <v>8105</v>
      </c>
      <c r="FJ93" s="11">
        <v>8292</v>
      </c>
      <c r="FK93" s="11">
        <v>13595</v>
      </c>
      <c r="FL93" s="11">
        <v>22647</v>
      </c>
      <c r="FM93" s="11">
        <v>8753</v>
      </c>
      <c r="FN93" s="11">
        <v>6998</v>
      </c>
      <c r="FO93" s="11">
        <v>10714</v>
      </c>
      <c r="FP93" s="11">
        <v>9023</v>
      </c>
      <c r="FQ93" s="11">
        <v>6119</v>
      </c>
      <c r="FR93" s="11">
        <v>8962</v>
      </c>
      <c r="FS93" s="11">
        <v>12148</v>
      </c>
      <c r="FT93" s="11">
        <v>10817</v>
      </c>
      <c r="FU93" s="26">
        <f t="shared" si="59"/>
        <v>126173</v>
      </c>
      <c r="FV93" s="11">
        <v>0</v>
      </c>
      <c r="FW93" s="11">
        <v>0</v>
      </c>
      <c r="FX93" s="11">
        <v>0</v>
      </c>
      <c r="FY93" s="11">
        <v>0</v>
      </c>
      <c r="FZ93" s="11">
        <v>0</v>
      </c>
      <c r="GA93" s="11">
        <v>0</v>
      </c>
      <c r="GB93" s="11">
        <v>0</v>
      </c>
      <c r="GC93" s="11">
        <v>0</v>
      </c>
      <c r="GD93" s="11">
        <v>0</v>
      </c>
      <c r="GE93" s="11">
        <v>0</v>
      </c>
      <c r="GF93" s="11">
        <v>0</v>
      </c>
      <c r="GG93" s="11">
        <v>0</v>
      </c>
      <c r="GH93" s="26">
        <f t="shared" si="60"/>
        <v>0</v>
      </c>
      <c r="GI93" s="11">
        <v>0</v>
      </c>
      <c r="GJ93" s="11">
        <v>0</v>
      </c>
      <c r="GK93" s="11">
        <v>0</v>
      </c>
      <c r="GL93" s="11">
        <v>0</v>
      </c>
      <c r="GM93" s="11">
        <v>0</v>
      </c>
      <c r="GN93" s="11">
        <v>0</v>
      </c>
      <c r="GO93" s="11">
        <v>0</v>
      </c>
      <c r="GP93" s="11">
        <v>0</v>
      </c>
      <c r="GQ93" s="11">
        <v>0</v>
      </c>
      <c r="GR93" s="11">
        <v>0</v>
      </c>
      <c r="GS93" s="11">
        <v>0</v>
      </c>
      <c r="GT93" s="11">
        <v>0</v>
      </c>
      <c r="GU93" s="26">
        <f t="shared" si="61"/>
        <v>0</v>
      </c>
      <c r="GV93" s="11">
        <v>0</v>
      </c>
      <c r="GW93" s="11">
        <v>0</v>
      </c>
      <c r="GX93" s="11">
        <v>0</v>
      </c>
      <c r="GY93" s="11">
        <v>0</v>
      </c>
      <c r="GZ93" s="11">
        <v>0</v>
      </c>
      <c r="HA93" s="11">
        <v>0</v>
      </c>
      <c r="HB93" s="11">
        <v>0</v>
      </c>
      <c r="HC93" s="11">
        <v>0</v>
      </c>
      <c r="HD93" s="11">
        <v>0</v>
      </c>
      <c r="HE93" s="11">
        <v>0</v>
      </c>
      <c r="HF93" s="11">
        <v>0</v>
      </c>
      <c r="HG93" s="11">
        <v>0</v>
      </c>
      <c r="HH93" s="26">
        <f t="shared" si="62"/>
        <v>0</v>
      </c>
      <c r="HI93" s="11">
        <v>0</v>
      </c>
      <c r="HJ93" s="11">
        <v>0</v>
      </c>
      <c r="HK93" s="11">
        <v>0</v>
      </c>
      <c r="HL93" s="11">
        <v>0</v>
      </c>
      <c r="HM93" s="11">
        <v>0</v>
      </c>
      <c r="HN93" s="11">
        <v>0</v>
      </c>
      <c r="HO93" s="11">
        <v>0</v>
      </c>
      <c r="HP93" s="11">
        <v>0</v>
      </c>
      <c r="HQ93" s="11">
        <v>0</v>
      </c>
      <c r="HR93" s="11">
        <v>0</v>
      </c>
      <c r="HS93" s="11">
        <v>0</v>
      </c>
      <c r="HT93" s="11">
        <v>0</v>
      </c>
      <c r="HU93" s="26">
        <f t="shared" si="63"/>
        <v>0</v>
      </c>
      <c r="HV93" s="11">
        <v>0</v>
      </c>
      <c r="HW93" s="11">
        <v>0</v>
      </c>
      <c r="HX93" s="11">
        <v>0</v>
      </c>
      <c r="HY93" s="11">
        <v>0</v>
      </c>
      <c r="HZ93" s="11">
        <v>0</v>
      </c>
      <c r="IA93" s="11">
        <v>0</v>
      </c>
      <c r="IB93" s="11">
        <v>0</v>
      </c>
      <c r="IC93" s="11">
        <v>0</v>
      </c>
      <c r="ID93" s="11">
        <v>0</v>
      </c>
      <c r="IE93" s="11">
        <v>0</v>
      </c>
      <c r="IF93" s="11">
        <v>0</v>
      </c>
      <c r="IG93" s="11">
        <v>0</v>
      </c>
      <c r="IH93" s="26">
        <f t="shared" si="64"/>
        <v>0</v>
      </c>
      <c r="II93" s="9">
        <f t="shared" si="65"/>
        <v>238014</v>
      </c>
      <c r="IJ93" s="9">
        <f t="shared" si="66"/>
        <v>0</v>
      </c>
      <c r="IK93" s="11">
        <v>351194</v>
      </c>
      <c r="IL93" s="11">
        <v>352946</v>
      </c>
      <c r="IM93" s="11">
        <v>325623</v>
      </c>
      <c r="IN93" s="11">
        <v>383751</v>
      </c>
      <c r="IO93" s="11">
        <v>397983</v>
      </c>
      <c r="IP93" s="11">
        <v>343097</v>
      </c>
      <c r="IQ93" s="11">
        <v>354729</v>
      </c>
      <c r="IR93" s="11">
        <v>322650</v>
      </c>
      <c r="IS93" s="11">
        <v>275103</v>
      </c>
      <c r="IT93" s="11">
        <v>316426</v>
      </c>
      <c r="IU93" s="11">
        <v>297897</v>
      </c>
      <c r="IV93" s="11">
        <v>313532</v>
      </c>
      <c r="IW93" s="27">
        <f t="shared" si="67"/>
        <v>4034931</v>
      </c>
      <c r="IX93" s="11">
        <v>153472</v>
      </c>
      <c r="IY93" s="11">
        <v>156613</v>
      </c>
      <c r="IZ93" s="11">
        <v>148425</v>
      </c>
      <c r="JA93" s="11">
        <v>161681</v>
      </c>
      <c r="JB93" s="11">
        <v>162227</v>
      </c>
      <c r="JC93" s="11">
        <v>146174</v>
      </c>
      <c r="JD93" s="11">
        <v>147435</v>
      </c>
      <c r="JE93" s="11">
        <v>136008</v>
      </c>
      <c r="JF93" s="11">
        <v>124479</v>
      </c>
      <c r="JG93" s="11">
        <v>137638</v>
      </c>
      <c r="JH93" s="11">
        <v>126875</v>
      </c>
      <c r="JI93" s="11">
        <v>137735</v>
      </c>
      <c r="JJ93" s="27">
        <f t="shared" si="68"/>
        <v>1738762</v>
      </c>
      <c r="JK93" s="11">
        <v>191242</v>
      </c>
      <c r="JL93" s="11">
        <v>189749</v>
      </c>
      <c r="JM93" s="11">
        <v>171120</v>
      </c>
      <c r="JN93" s="11">
        <v>214167</v>
      </c>
      <c r="JO93" s="11">
        <v>226729</v>
      </c>
      <c r="JP93" s="11">
        <v>190040</v>
      </c>
      <c r="JQ93" s="11">
        <v>200224</v>
      </c>
      <c r="JR93" s="11">
        <v>180824</v>
      </c>
      <c r="JS93" s="11">
        <v>145512</v>
      </c>
      <c r="JT93" s="11">
        <v>173313</v>
      </c>
      <c r="JU93" s="11">
        <v>166095</v>
      </c>
      <c r="JV93" s="11">
        <v>170241</v>
      </c>
      <c r="JW93" s="27">
        <f t="shared" si="69"/>
        <v>2219256</v>
      </c>
      <c r="JX93" s="11">
        <v>6480</v>
      </c>
      <c r="JY93" s="11">
        <v>6584</v>
      </c>
      <c r="JZ93" s="11">
        <v>6078</v>
      </c>
      <c r="KA93" s="11">
        <v>7903</v>
      </c>
      <c r="KB93" s="11">
        <v>9027</v>
      </c>
      <c r="KC93" s="11">
        <v>6883</v>
      </c>
      <c r="KD93" s="11">
        <v>7070</v>
      </c>
      <c r="KE93" s="11">
        <v>5818</v>
      </c>
      <c r="KF93" s="11">
        <v>5112</v>
      </c>
      <c r="KG93" s="11">
        <v>5475</v>
      </c>
      <c r="KH93" s="11">
        <v>4927</v>
      </c>
      <c r="KI93" s="11">
        <v>5556</v>
      </c>
      <c r="KJ93" s="27">
        <f t="shared" si="70"/>
        <v>76913</v>
      </c>
      <c r="KK93" s="11">
        <v>1743</v>
      </c>
      <c r="KL93" s="11">
        <v>1757</v>
      </c>
      <c r="KM93" s="11">
        <v>1564</v>
      </c>
      <c r="KN93" s="11">
        <v>1637</v>
      </c>
      <c r="KO93" s="11">
        <v>1874</v>
      </c>
      <c r="KP93" s="11">
        <v>1549</v>
      </c>
      <c r="KQ93" s="11">
        <v>1577</v>
      </c>
      <c r="KR93" s="11">
        <v>1398</v>
      </c>
      <c r="KS93" s="11">
        <v>1246</v>
      </c>
      <c r="KT93" s="11">
        <v>1480</v>
      </c>
      <c r="KU93" s="11">
        <v>1420</v>
      </c>
      <c r="KV93" s="11">
        <v>1397</v>
      </c>
      <c r="KW93" s="27">
        <f t="shared" si="71"/>
        <v>18642</v>
      </c>
      <c r="KX93" s="11">
        <v>1151</v>
      </c>
      <c r="KY93" s="11">
        <v>1145</v>
      </c>
      <c r="KZ93" s="11">
        <v>1109</v>
      </c>
      <c r="LA93" s="11">
        <v>1035</v>
      </c>
      <c r="LB93" s="11">
        <v>1162</v>
      </c>
      <c r="LC93" s="11">
        <v>1060</v>
      </c>
      <c r="LD93" s="11">
        <v>1091</v>
      </c>
      <c r="LE93" s="11">
        <v>1068</v>
      </c>
      <c r="LF93" s="11">
        <v>935</v>
      </c>
      <c r="LG93" s="11">
        <v>1119</v>
      </c>
      <c r="LH93" s="11">
        <v>1020</v>
      </c>
      <c r="LI93" s="11">
        <v>1000</v>
      </c>
      <c r="LJ93" s="27">
        <f t="shared" si="72"/>
        <v>12895</v>
      </c>
      <c r="LK93" s="11">
        <v>564</v>
      </c>
      <c r="LL93" s="11">
        <v>592</v>
      </c>
      <c r="LM93" s="11">
        <v>429</v>
      </c>
      <c r="LN93" s="11">
        <v>578</v>
      </c>
      <c r="LO93" s="11">
        <v>689</v>
      </c>
      <c r="LP93" s="11">
        <v>470</v>
      </c>
      <c r="LQ93" s="11">
        <v>464</v>
      </c>
      <c r="LR93" s="11">
        <v>316</v>
      </c>
      <c r="LS93" s="11">
        <v>303</v>
      </c>
      <c r="LT93" s="11">
        <v>355</v>
      </c>
      <c r="LU93" s="11">
        <v>391</v>
      </c>
      <c r="LV93" s="11">
        <v>382</v>
      </c>
      <c r="LW93" s="27">
        <f t="shared" si="73"/>
        <v>5533</v>
      </c>
      <c r="LX93" s="11">
        <v>28</v>
      </c>
      <c r="LY93" s="11">
        <v>20</v>
      </c>
      <c r="LZ93" s="11">
        <v>26</v>
      </c>
      <c r="MA93" s="11">
        <v>24</v>
      </c>
      <c r="MB93" s="11">
        <v>23</v>
      </c>
      <c r="MC93" s="11">
        <v>19</v>
      </c>
      <c r="MD93" s="11">
        <v>22</v>
      </c>
      <c r="ME93" s="11">
        <v>14</v>
      </c>
      <c r="MF93" s="11">
        <v>8</v>
      </c>
      <c r="MG93" s="11">
        <v>6</v>
      </c>
      <c r="MH93" s="11">
        <v>9</v>
      </c>
      <c r="MI93" s="11">
        <v>15</v>
      </c>
      <c r="MJ93" s="27">
        <f t="shared" si="74"/>
        <v>214</v>
      </c>
      <c r="MK93" s="11">
        <v>10559</v>
      </c>
      <c r="ML93" s="11">
        <v>10929</v>
      </c>
      <c r="MM93" s="11">
        <v>10911</v>
      </c>
      <c r="MN93" s="11">
        <v>11439</v>
      </c>
      <c r="MO93" s="11">
        <v>12199</v>
      </c>
      <c r="MP93" s="11">
        <v>10914</v>
      </c>
      <c r="MQ93" s="11">
        <v>11713</v>
      </c>
      <c r="MR93" s="11">
        <v>10482</v>
      </c>
      <c r="MS93" s="11">
        <v>10912</v>
      </c>
      <c r="MT93" s="11">
        <v>11859</v>
      </c>
      <c r="MU93" s="11">
        <v>10401</v>
      </c>
      <c r="MV93" s="11">
        <v>11458</v>
      </c>
      <c r="MW93" s="27">
        <f t="shared" si="75"/>
        <v>133776</v>
      </c>
      <c r="MX93" s="11">
        <v>8985</v>
      </c>
      <c r="MY93" s="11">
        <v>9175</v>
      </c>
      <c r="MZ93" s="11">
        <v>9408</v>
      </c>
      <c r="NA93" s="11">
        <v>9557</v>
      </c>
      <c r="NB93" s="11">
        <v>10322</v>
      </c>
      <c r="NC93" s="11">
        <v>9302</v>
      </c>
      <c r="ND93" s="11">
        <v>9763</v>
      </c>
      <c r="NE93" s="11">
        <v>8890</v>
      </c>
      <c r="NF93" s="11">
        <v>9085</v>
      </c>
      <c r="NG93" s="11">
        <v>9943</v>
      </c>
      <c r="NH93" s="11">
        <v>8399</v>
      </c>
      <c r="NI93" s="11">
        <v>9353</v>
      </c>
      <c r="NJ93" s="27">
        <f t="shared" si="76"/>
        <v>112182</v>
      </c>
      <c r="NK93" s="11">
        <v>1003</v>
      </c>
      <c r="NL93" s="11">
        <v>1155</v>
      </c>
      <c r="NM93" s="11">
        <v>928</v>
      </c>
      <c r="NN93" s="11">
        <v>1281</v>
      </c>
      <c r="NO93" s="11">
        <v>1250</v>
      </c>
      <c r="NP93" s="11">
        <v>1066</v>
      </c>
      <c r="NQ93" s="11">
        <v>1355</v>
      </c>
      <c r="NR93" s="11">
        <v>1119</v>
      </c>
      <c r="NS93" s="11">
        <v>1269</v>
      </c>
      <c r="NT93" s="11">
        <v>1320</v>
      </c>
      <c r="NU93" s="11">
        <v>1387</v>
      </c>
      <c r="NV93" s="11">
        <v>1395</v>
      </c>
      <c r="NW93" s="27">
        <f t="shared" si="77"/>
        <v>14528</v>
      </c>
      <c r="NX93" s="11">
        <v>571</v>
      </c>
      <c r="NY93" s="11">
        <v>599</v>
      </c>
      <c r="NZ93" s="11">
        <v>575</v>
      </c>
      <c r="OA93" s="11">
        <v>601</v>
      </c>
      <c r="OB93" s="11">
        <v>627</v>
      </c>
      <c r="OC93" s="11">
        <v>546</v>
      </c>
      <c r="OD93" s="11">
        <v>595</v>
      </c>
      <c r="OE93" s="11">
        <v>473</v>
      </c>
      <c r="OF93" s="11">
        <v>558</v>
      </c>
      <c r="OG93" s="11">
        <v>596</v>
      </c>
      <c r="OH93" s="11">
        <v>615</v>
      </c>
      <c r="OI93" s="11">
        <v>710</v>
      </c>
      <c r="OJ93" s="27">
        <f t="shared" si="78"/>
        <v>7066</v>
      </c>
      <c r="OK93" s="11">
        <v>15943</v>
      </c>
      <c r="OL93" s="11">
        <v>16074</v>
      </c>
      <c r="OM93" s="11">
        <v>15464</v>
      </c>
      <c r="ON93" s="11">
        <v>16223</v>
      </c>
      <c r="OO93" s="11">
        <v>16863</v>
      </c>
      <c r="OP93" s="11">
        <v>15940</v>
      </c>
      <c r="OQ93" s="11">
        <v>16783</v>
      </c>
      <c r="OR93" s="11">
        <v>16049</v>
      </c>
      <c r="OS93" s="11">
        <v>15559</v>
      </c>
      <c r="OT93" s="11">
        <v>17564</v>
      </c>
      <c r="OU93" s="11">
        <v>15724</v>
      </c>
      <c r="OV93" s="11">
        <v>17419</v>
      </c>
      <c r="OW93" s="27">
        <f t="shared" si="79"/>
        <v>195605</v>
      </c>
      <c r="OX93" s="11">
        <v>12569</v>
      </c>
      <c r="OY93" s="11">
        <v>12651</v>
      </c>
      <c r="OZ93" s="11">
        <v>12166</v>
      </c>
      <c r="PA93" s="11">
        <v>12667</v>
      </c>
      <c r="PB93" s="11">
        <v>13018</v>
      </c>
      <c r="PC93" s="11">
        <v>12733</v>
      </c>
      <c r="PD93" s="11">
        <v>13409</v>
      </c>
      <c r="PE93" s="11">
        <v>12760</v>
      </c>
      <c r="PF93" s="11">
        <v>12262</v>
      </c>
      <c r="PG93" s="11">
        <v>14094</v>
      </c>
      <c r="PH93" s="11">
        <v>12423</v>
      </c>
      <c r="PI93" s="11">
        <v>14172</v>
      </c>
      <c r="PJ93" s="27">
        <f t="shared" si="80"/>
        <v>154924</v>
      </c>
      <c r="PK93" s="11">
        <v>2763</v>
      </c>
      <c r="PL93" s="11">
        <v>2750</v>
      </c>
      <c r="PM93" s="11">
        <v>2608</v>
      </c>
      <c r="PN93" s="11">
        <v>2878</v>
      </c>
      <c r="PO93" s="11">
        <v>3147</v>
      </c>
      <c r="PP93" s="11">
        <v>2629</v>
      </c>
      <c r="PQ93" s="11">
        <v>2816</v>
      </c>
      <c r="PR93" s="11">
        <v>2702</v>
      </c>
      <c r="PS93" s="11">
        <v>2718</v>
      </c>
      <c r="PT93" s="11">
        <v>2798</v>
      </c>
      <c r="PU93" s="11">
        <v>2652</v>
      </c>
      <c r="PV93" s="11">
        <v>2669</v>
      </c>
      <c r="PW93" s="27">
        <f t="shared" si="81"/>
        <v>33130</v>
      </c>
      <c r="PX93" s="11">
        <v>611</v>
      </c>
      <c r="PY93" s="11">
        <v>673</v>
      </c>
      <c r="PZ93" s="11">
        <v>690</v>
      </c>
      <c r="QA93" s="11">
        <v>678</v>
      </c>
      <c r="QB93" s="11">
        <v>698</v>
      </c>
      <c r="QC93" s="11">
        <v>578</v>
      </c>
      <c r="QD93" s="11">
        <v>558</v>
      </c>
      <c r="QE93" s="11">
        <v>587</v>
      </c>
      <c r="QF93" s="11">
        <v>579</v>
      </c>
      <c r="QG93" s="11">
        <v>672</v>
      </c>
      <c r="QH93" s="11">
        <v>649</v>
      </c>
      <c r="QI93" s="11">
        <v>578</v>
      </c>
      <c r="QJ93" s="27">
        <f t="shared" si="82"/>
        <v>7551</v>
      </c>
      <c r="QK93" s="11">
        <v>220894</v>
      </c>
      <c r="QL93" s="11">
        <v>197990</v>
      </c>
      <c r="QM93" s="11">
        <v>194702</v>
      </c>
      <c r="QN93" s="11">
        <v>189664</v>
      </c>
      <c r="QO93" s="11">
        <v>234470</v>
      </c>
      <c r="QP93" s="11">
        <v>189796</v>
      </c>
      <c r="QQ93" s="11">
        <v>201506</v>
      </c>
      <c r="QR93" s="11">
        <v>178521</v>
      </c>
      <c r="QS93" s="11">
        <v>146720</v>
      </c>
      <c r="QT93" s="11">
        <v>200130</v>
      </c>
      <c r="QU93" s="11">
        <v>197684</v>
      </c>
      <c r="QV93" s="11">
        <v>212012</v>
      </c>
      <c r="QW93" s="27">
        <f t="shared" si="83"/>
        <v>2364089</v>
      </c>
      <c r="QX93" s="11">
        <v>4479</v>
      </c>
      <c r="QY93" s="11">
        <v>4652</v>
      </c>
      <c r="QZ93" s="11">
        <v>4416</v>
      </c>
      <c r="RA93" s="11">
        <v>6637</v>
      </c>
      <c r="RB93" s="11">
        <v>5441</v>
      </c>
      <c r="RC93" s="11">
        <v>4205</v>
      </c>
      <c r="RD93" s="11">
        <v>5110</v>
      </c>
      <c r="RE93" s="11">
        <v>4342</v>
      </c>
      <c r="RF93" s="11">
        <v>3100</v>
      </c>
      <c r="RG93" s="11">
        <v>3996</v>
      </c>
      <c r="RH93" s="11">
        <v>4083</v>
      </c>
      <c r="RI93" s="11">
        <v>4896</v>
      </c>
      <c r="RJ93" s="27">
        <f t="shared" si="84"/>
        <v>55357</v>
      </c>
      <c r="RK93" s="11">
        <v>0</v>
      </c>
      <c r="RL93" s="11">
        <v>0</v>
      </c>
      <c r="RM93" s="11">
        <v>0</v>
      </c>
      <c r="RN93" s="11">
        <v>0</v>
      </c>
      <c r="RO93" s="11">
        <v>0</v>
      </c>
      <c r="RP93" s="11">
        <v>0</v>
      </c>
      <c r="RQ93" s="11">
        <v>0</v>
      </c>
      <c r="RR93" s="11">
        <v>0</v>
      </c>
      <c r="RS93" s="11">
        <v>0</v>
      </c>
      <c r="RT93" s="11">
        <v>0</v>
      </c>
      <c r="RU93" s="11">
        <v>0</v>
      </c>
      <c r="RV93" s="11">
        <v>0</v>
      </c>
      <c r="RW93" s="27">
        <f t="shared" si="85"/>
        <v>0</v>
      </c>
      <c r="RX93" s="11">
        <v>0</v>
      </c>
      <c r="RY93" s="11">
        <v>0</v>
      </c>
      <c r="RZ93" s="11">
        <v>0</v>
      </c>
      <c r="SA93" s="11">
        <v>0</v>
      </c>
      <c r="SB93" s="11">
        <v>0</v>
      </c>
      <c r="SC93" s="11">
        <v>0</v>
      </c>
      <c r="SD93" s="11">
        <v>0</v>
      </c>
      <c r="SE93" s="11">
        <v>0</v>
      </c>
      <c r="SF93" s="11">
        <v>0</v>
      </c>
      <c r="SG93" s="11">
        <v>0</v>
      </c>
      <c r="SH93" s="11">
        <v>0</v>
      </c>
      <c r="SI93" s="11">
        <v>0</v>
      </c>
      <c r="SJ93" s="27">
        <f t="shared" si="86"/>
        <v>0</v>
      </c>
      <c r="SK93" s="11">
        <v>148</v>
      </c>
      <c r="SL93" s="11">
        <v>144</v>
      </c>
      <c r="SM93" s="11">
        <v>142</v>
      </c>
      <c r="SN93" s="11">
        <v>141</v>
      </c>
      <c r="SO93" s="11">
        <v>148</v>
      </c>
      <c r="SP93" s="11">
        <v>154</v>
      </c>
      <c r="SQ93" s="11">
        <v>158</v>
      </c>
      <c r="SR93" s="11">
        <v>152</v>
      </c>
      <c r="SS93" s="11">
        <v>156</v>
      </c>
      <c r="ST93" s="11">
        <v>153</v>
      </c>
      <c r="SU93" s="11">
        <v>154</v>
      </c>
      <c r="SV93" s="11">
        <v>162</v>
      </c>
      <c r="SW93" s="27">
        <f t="shared" si="87"/>
        <v>1812</v>
      </c>
      <c r="SX93" s="11" t="s">
        <v>1481</v>
      </c>
      <c r="SY93" s="11">
        <v>12310</v>
      </c>
      <c r="SZ93" s="11">
        <v>12182</v>
      </c>
      <c r="TA93" s="11">
        <v>11226</v>
      </c>
      <c r="TB93" s="11">
        <v>12955</v>
      </c>
      <c r="TC93" s="11">
        <v>12379</v>
      </c>
      <c r="TD93" s="11">
        <v>11432</v>
      </c>
      <c r="TE93" s="11">
        <v>12174</v>
      </c>
      <c r="TF93" s="11">
        <v>9792</v>
      </c>
      <c r="TG93" s="11">
        <v>8438</v>
      </c>
      <c r="TH93" s="11">
        <v>11865</v>
      </c>
      <c r="TI93" s="11">
        <v>12171</v>
      </c>
      <c r="TJ93" s="11">
        <v>11868</v>
      </c>
      <c r="TK93" s="27">
        <f t="shared" si="88"/>
        <v>138792</v>
      </c>
      <c r="TL93" s="11">
        <v>0</v>
      </c>
      <c r="TM93" s="11">
        <v>0</v>
      </c>
      <c r="TN93" s="11">
        <v>0</v>
      </c>
      <c r="TO93" s="11">
        <v>0</v>
      </c>
      <c r="TP93" s="11">
        <v>0</v>
      </c>
      <c r="TQ93" s="11">
        <v>0</v>
      </c>
      <c r="TR93" s="11">
        <v>0</v>
      </c>
      <c r="TS93" s="11">
        <v>0</v>
      </c>
      <c r="TT93" s="11">
        <v>0</v>
      </c>
      <c r="TU93" s="11">
        <v>0</v>
      </c>
      <c r="TV93" s="11">
        <v>0</v>
      </c>
      <c r="TW93" s="11">
        <v>0</v>
      </c>
      <c r="TX93" s="27">
        <f t="shared" si="89"/>
        <v>0</v>
      </c>
      <c r="TY93" s="11">
        <v>351</v>
      </c>
      <c r="TZ93" s="11">
        <v>57</v>
      </c>
      <c r="UA93" s="11">
        <v>258</v>
      </c>
    </row>
    <row r="94" spans="1:547" ht="16" customHeight="1" x14ac:dyDescent="0.35">
      <c r="A94" s="11" t="s">
        <v>1431</v>
      </c>
      <c r="B94" s="11">
        <v>34714</v>
      </c>
      <c r="C94" s="11">
        <v>8606</v>
      </c>
      <c r="D94" s="11">
        <v>22797</v>
      </c>
      <c r="E94" s="11">
        <v>3311</v>
      </c>
      <c r="F94" s="11">
        <v>72</v>
      </c>
      <c r="G94" s="11">
        <v>66</v>
      </c>
      <c r="H94" s="11">
        <v>71</v>
      </c>
      <c r="I94" s="11">
        <v>67</v>
      </c>
      <c r="J94" s="11">
        <v>41</v>
      </c>
      <c r="K94" s="11">
        <v>63</v>
      </c>
      <c r="L94" s="11">
        <v>90</v>
      </c>
      <c r="M94" s="11">
        <v>69</v>
      </c>
      <c r="N94" s="11">
        <v>49</v>
      </c>
      <c r="O94" s="11">
        <v>60</v>
      </c>
      <c r="P94" s="11" t="s">
        <v>2866</v>
      </c>
      <c r="Q94" s="11">
        <v>62</v>
      </c>
      <c r="R94" s="11">
        <v>62</v>
      </c>
      <c r="S94" s="26">
        <f t="shared" si="45"/>
        <v>772</v>
      </c>
      <c r="T94" s="11">
        <v>44</v>
      </c>
      <c r="U94" s="11">
        <v>41</v>
      </c>
      <c r="V94" s="11">
        <v>49</v>
      </c>
      <c r="W94" s="11">
        <v>36</v>
      </c>
      <c r="X94" s="11">
        <v>18</v>
      </c>
      <c r="Y94" s="11">
        <v>46</v>
      </c>
      <c r="Z94" s="11">
        <v>44</v>
      </c>
      <c r="AA94" s="11">
        <v>45</v>
      </c>
      <c r="AB94" s="11">
        <v>33</v>
      </c>
      <c r="AC94" s="11">
        <v>42</v>
      </c>
      <c r="AD94" s="11">
        <v>39</v>
      </c>
      <c r="AE94" s="11">
        <v>41</v>
      </c>
      <c r="AF94" s="26">
        <f t="shared" si="46"/>
        <v>478</v>
      </c>
      <c r="AG94" s="11">
        <v>28</v>
      </c>
      <c r="AH94" s="11">
        <v>25</v>
      </c>
      <c r="AI94" s="11">
        <v>22</v>
      </c>
      <c r="AJ94" s="11">
        <v>31</v>
      </c>
      <c r="AK94" s="11">
        <v>23</v>
      </c>
      <c r="AL94" s="11">
        <v>17</v>
      </c>
      <c r="AM94" s="11">
        <v>46</v>
      </c>
      <c r="AN94" s="11">
        <v>24</v>
      </c>
      <c r="AO94" s="11">
        <v>16</v>
      </c>
      <c r="AP94" s="11">
        <v>18</v>
      </c>
      <c r="AQ94" s="11">
        <v>23</v>
      </c>
      <c r="AR94" s="11">
        <v>21</v>
      </c>
      <c r="AS94" s="26">
        <f t="shared" si="47"/>
        <v>294</v>
      </c>
      <c r="AT94" s="11">
        <v>0</v>
      </c>
      <c r="AU94" s="11">
        <v>0</v>
      </c>
      <c r="AV94" s="11">
        <v>0</v>
      </c>
      <c r="AW94" s="11">
        <v>0</v>
      </c>
      <c r="AX94" s="11">
        <v>0</v>
      </c>
      <c r="AY94" s="11">
        <v>0</v>
      </c>
      <c r="AZ94" s="11">
        <v>0</v>
      </c>
      <c r="BA94" s="11">
        <v>0</v>
      </c>
      <c r="BB94" s="11">
        <v>0</v>
      </c>
      <c r="BC94" s="11">
        <v>0</v>
      </c>
      <c r="BD94" s="11">
        <v>0</v>
      </c>
      <c r="BE94" s="11">
        <v>0</v>
      </c>
      <c r="BF94" s="26">
        <f t="shared" si="48"/>
        <v>0</v>
      </c>
      <c r="BG94" s="11">
        <v>0</v>
      </c>
      <c r="BH94" s="11">
        <v>0</v>
      </c>
      <c r="BI94" s="11">
        <v>0</v>
      </c>
      <c r="BJ94" s="11">
        <v>0</v>
      </c>
      <c r="BK94" s="11">
        <v>0</v>
      </c>
      <c r="BL94" s="11">
        <v>0</v>
      </c>
      <c r="BM94" s="11">
        <v>0</v>
      </c>
      <c r="BN94" s="11">
        <v>0</v>
      </c>
      <c r="BO94" s="11">
        <v>0</v>
      </c>
      <c r="BP94" s="11">
        <v>0</v>
      </c>
      <c r="BQ94" s="11">
        <v>0</v>
      </c>
      <c r="BR94" s="11">
        <v>0</v>
      </c>
      <c r="BS94" s="26">
        <f t="shared" si="49"/>
        <v>0</v>
      </c>
      <c r="BT94" s="11">
        <v>0</v>
      </c>
      <c r="BU94" s="11">
        <v>0</v>
      </c>
      <c r="BV94" s="11">
        <v>0</v>
      </c>
      <c r="BW94" s="11">
        <v>0</v>
      </c>
      <c r="BX94" s="11">
        <v>0</v>
      </c>
      <c r="BY94" s="11">
        <v>0</v>
      </c>
      <c r="BZ94" s="11">
        <v>0</v>
      </c>
      <c r="CA94" s="11">
        <v>0</v>
      </c>
      <c r="CB94" s="11">
        <v>0</v>
      </c>
      <c r="CC94" s="11">
        <v>0</v>
      </c>
      <c r="CD94" s="11">
        <v>0</v>
      </c>
      <c r="CE94" s="11">
        <v>0</v>
      </c>
      <c r="CF94" s="26">
        <f t="shared" si="50"/>
        <v>0</v>
      </c>
      <c r="CG94" s="11">
        <v>0</v>
      </c>
      <c r="CH94" s="11">
        <v>0</v>
      </c>
      <c r="CI94" s="11">
        <v>0</v>
      </c>
      <c r="CJ94" s="11">
        <v>0</v>
      </c>
      <c r="CK94" s="11">
        <v>0</v>
      </c>
      <c r="CL94" s="11">
        <v>0</v>
      </c>
      <c r="CM94" s="11">
        <v>0</v>
      </c>
      <c r="CN94" s="11">
        <v>0</v>
      </c>
      <c r="CO94" s="11">
        <v>0</v>
      </c>
      <c r="CP94" s="11">
        <v>0</v>
      </c>
      <c r="CQ94" s="11">
        <v>0</v>
      </c>
      <c r="CR94" s="11">
        <v>0</v>
      </c>
      <c r="CS94" s="26">
        <f t="shared" si="51"/>
        <v>0</v>
      </c>
      <c r="CT94" s="11">
        <v>0</v>
      </c>
      <c r="CU94" s="11">
        <v>0</v>
      </c>
      <c r="CV94" s="11">
        <v>0</v>
      </c>
      <c r="CW94" s="11">
        <v>0</v>
      </c>
      <c r="CX94" s="11">
        <v>0</v>
      </c>
      <c r="CY94" s="11">
        <v>0</v>
      </c>
      <c r="CZ94" s="11">
        <v>0</v>
      </c>
      <c r="DA94" s="11">
        <v>0</v>
      </c>
      <c r="DB94" s="11">
        <v>0</v>
      </c>
      <c r="DC94" s="11">
        <v>0</v>
      </c>
      <c r="DD94" s="11">
        <v>0</v>
      </c>
      <c r="DE94" s="11">
        <v>0</v>
      </c>
      <c r="DF94" s="26">
        <f t="shared" si="52"/>
        <v>0</v>
      </c>
      <c r="DG94" s="11">
        <v>0</v>
      </c>
      <c r="DH94" s="11">
        <v>0</v>
      </c>
      <c r="DI94" s="11">
        <v>0</v>
      </c>
      <c r="DJ94" s="11">
        <v>0</v>
      </c>
      <c r="DK94" s="11">
        <v>0</v>
      </c>
      <c r="DL94" s="11">
        <v>0</v>
      </c>
      <c r="DM94" s="11">
        <v>0</v>
      </c>
      <c r="DN94" s="11">
        <v>0</v>
      </c>
      <c r="DO94" s="11">
        <v>0</v>
      </c>
      <c r="DP94" s="11">
        <v>0</v>
      </c>
      <c r="DQ94" s="11">
        <v>0</v>
      </c>
      <c r="DR94" s="11">
        <v>0</v>
      </c>
      <c r="DS94" s="26">
        <f t="shared" si="53"/>
        <v>0</v>
      </c>
      <c r="DT94" s="11">
        <v>0</v>
      </c>
      <c r="DU94" s="11">
        <v>0</v>
      </c>
      <c r="DV94" s="11">
        <v>0</v>
      </c>
      <c r="DW94" s="11">
        <v>0</v>
      </c>
      <c r="DX94" s="11">
        <v>0</v>
      </c>
      <c r="DY94" s="11">
        <v>0</v>
      </c>
      <c r="DZ94" s="11">
        <v>0</v>
      </c>
      <c r="EA94" s="11">
        <v>0</v>
      </c>
      <c r="EB94" s="11">
        <v>0</v>
      </c>
      <c r="EC94" s="11">
        <v>0</v>
      </c>
      <c r="ED94" s="11">
        <v>0</v>
      </c>
      <c r="EE94" s="11">
        <v>0</v>
      </c>
      <c r="EF94" s="26">
        <f t="shared" si="54"/>
        <v>0</v>
      </c>
      <c r="EG94" s="9">
        <f t="shared" si="55"/>
        <v>772</v>
      </c>
      <c r="EH94" s="9">
        <f t="shared" si="56"/>
        <v>0</v>
      </c>
      <c r="EI94" s="11">
        <v>1650</v>
      </c>
      <c r="EJ94" s="11">
        <v>1556</v>
      </c>
      <c r="EK94" s="11">
        <v>1569</v>
      </c>
      <c r="EL94" s="11">
        <v>2410</v>
      </c>
      <c r="EM94" s="11">
        <v>1183</v>
      </c>
      <c r="EN94" s="11">
        <v>2658</v>
      </c>
      <c r="EO94" s="11">
        <v>3522</v>
      </c>
      <c r="EP94" s="11">
        <v>1848</v>
      </c>
      <c r="EQ94" s="11">
        <v>2218</v>
      </c>
      <c r="ER94" s="11">
        <v>3445</v>
      </c>
      <c r="ES94" s="11">
        <v>1544</v>
      </c>
      <c r="ET94" s="11">
        <v>1435</v>
      </c>
      <c r="EU94" s="26">
        <f t="shared" si="57"/>
        <v>25038</v>
      </c>
      <c r="EV94" s="11">
        <v>373</v>
      </c>
      <c r="EW94" s="11">
        <v>542</v>
      </c>
      <c r="EX94" s="11">
        <v>681</v>
      </c>
      <c r="EY94" s="11">
        <v>378</v>
      </c>
      <c r="EZ94" s="11">
        <v>219</v>
      </c>
      <c r="FA94" s="11">
        <v>1782</v>
      </c>
      <c r="FB94" s="11">
        <v>625</v>
      </c>
      <c r="FC94" s="11">
        <v>726</v>
      </c>
      <c r="FD94" s="11">
        <v>1458</v>
      </c>
      <c r="FE94" s="11">
        <v>2556</v>
      </c>
      <c r="FF94" s="11">
        <v>495</v>
      </c>
      <c r="FG94" s="11">
        <v>385</v>
      </c>
      <c r="FH94" s="26">
        <f t="shared" si="58"/>
        <v>10220</v>
      </c>
      <c r="FI94" s="11">
        <v>1277</v>
      </c>
      <c r="FJ94" s="11">
        <v>1014</v>
      </c>
      <c r="FK94" s="11">
        <v>888</v>
      </c>
      <c r="FL94" s="11">
        <v>2032</v>
      </c>
      <c r="FM94" s="11">
        <v>964</v>
      </c>
      <c r="FN94" s="11">
        <v>876</v>
      </c>
      <c r="FO94" s="11">
        <v>2897</v>
      </c>
      <c r="FP94" s="11">
        <v>1122</v>
      </c>
      <c r="FQ94" s="11">
        <v>760</v>
      </c>
      <c r="FR94" s="11">
        <v>889</v>
      </c>
      <c r="FS94" s="11">
        <v>1049</v>
      </c>
      <c r="FT94" s="11">
        <v>1050</v>
      </c>
      <c r="FU94" s="26">
        <f t="shared" si="59"/>
        <v>14818</v>
      </c>
      <c r="FV94" s="11">
        <v>0</v>
      </c>
      <c r="FW94" s="11">
        <v>0</v>
      </c>
      <c r="FX94" s="11">
        <v>0</v>
      </c>
      <c r="FY94" s="11">
        <v>0</v>
      </c>
      <c r="FZ94" s="11">
        <v>0</v>
      </c>
      <c r="GA94" s="11">
        <v>0</v>
      </c>
      <c r="GB94" s="11">
        <v>0</v>
      </c>
      <c r="GC94" s="11">
        <v>0</v>
      </c>
      <c r="GD94" s="11">
        <v>0</v>
      </c>
      <c r="GE94" s="11">
        <v>0</v>
      </c>
      <c r="GF94" s="11">
        <v>0</v>
      </c>
      <c r="GG94" s="11">
        <v>0</v>
      </c>
      <c r="GH94" s="26">
        <f t="shared" si="60"/>
        <v>0</v>
      </c>
      <c r="GI94" s="11">
        <v>0</v>
      </c>
      <c r="GJ94" s="11">
        <v>0</v>
      </c>
      <c r="GK94" s="11">
        <v>0</v>
      </c>
      <c r="GL94" s="11">
        <v>0</v>
      </c>
      <c r="GM94" s="11">
        <v>0</v>
      </c>
      <c r="GN94" s="11">
        <v>0</v>
      </c>
      <c r="GO94" s="11">
        <v>0</v>
      </c>
      <c r="GP94" s="11">
        <v>0</v>
      </c>
      <c r="GQ94" s="11">
        <v>0</v>
      </c>
      <c r="GR94" s="11">
        <v>0</v>
      </c>
      <c r="GS94" s="11">
        <v>0</v>
      </c>
      <c r="GT94" s="11">
        <v>0</v>
      </c>
      <c r="GU94" s="26">
        <f t="shared" si="61"/>
        <v>0</v>
      </c>
      <c r="GV94" s="11">
        <v>0</v>
      </c>
      <c r="GW94" s="11">
        <v>0</v>
      </c>
      <c r="GX94" s="11">
        <v>0</v>
      </c>
      <c r="GY94" s="11">
        <v>0</v>
      </c>
      <c r="GZ94" s="11">
        <v>0</v>
      </c>
      <c r="HA94" s="11">
        <v>0</v>
      </c>
      <c r="HB94" s="11">
        <v>0</v>
      </c>
      <c r="HC94" s="11">
        <v>0</v>
      </c>
      <c r="HD94" s="11">
        <v>0</v>
      </c>
      <c r="HE94" s="11">
        <v>0</v>
      </c>
      <c r="HF94" s="11">
        <v>0</v>
      </c>
      <c r="HG94" s="11">
        <v>0</v>
      </c>
      <c r="HH94" s="26">
        <f t="shared" si="62"/>
        <v>0</v>
      </c>
      <c r="HI94" s="11">
        <v>0</v>
      </c>
      <c r="HJ94" s="11">
        <v>0</v>
      </c>
      <c r="HK94" s="11">
        <v>0</v>
      </c>
      <c r="HL94" s="11">
        <v>0</v>
      </c>
      <c r="HM94" s="11">
        <v>0</v>
      </c>
      <c r="HN94" s="11">
        <v>0</v>
      </c>
      <c r="HO94" s="11">
        <v>0</v>
      </c>
      <c r="HP94" s="11">
        <v>0</v>
      </c>
      <c r="HQ94" s="11">
        <v>0</v>
      </c>
      <c r="HR94" s="11">
        <v>0</v>
      </c>
      <c r="HS94" s="11">
        <v>0</v>
      </c>
      <c r="HT94" s="11">
        <v>0</v>
      </c>
      <c r="HU94" s="26">
        <f t="shared" si="63"/>
        <v>0</v>
      </c>
      <c r="HV94" s="11">
        <v>0</v>
      </c>
      <c r="HW94" s="11">
        <v>0</v>
      </c>
      <c r="HX94" s="11">
        <v>0</v>
      </c>
      <c r="HY94" s="11">
        <v>0</v>
      </c>
      <c r="HZ94" s="11">
        <v>0</v>
      </c>
      <c r="IA94" s="11">
        <v>0</v>
      </c>
      <c r="IB94" s="11">
        <v>0</v>
      </c>
      <c r="IC94" s="11">
        <v>0</v>
      </c>
      <c r="ID94" s="11">
        <v>0</v>
      </c>
      <c r="IE94" s="11">
        <v>0</v>
      </c>
      <c r="IF94" s="11">
        <v>0</v>
      </c>
      <c r="IG94" s="11">
        <v>0</v>
      </c>
      <c r="IH94" s="26">
        <f t="shared" si="64"/>
        <v>0</v>
      </c>
      <c r="II94" s="9">
        <f t="shared" si="65"/>
        <v>25038</v>
      </c>
      <c r="IJ94" s="9">
        <f t="shared" si="66"/>
        <v>0</v>
      </c>
      <c r="IK94" s="11">
        <v>69731</v>
      </c>
      <c r="IL94" s="11">
        <v>67589</v>
      </c>
      <c r="IM94" s="11">
        <v>62578</v>
      </c>
      <c r="IN94" s="11">
        <v>68369</v>
      </c>
      <c r="IO94" s="11">
        <v>69529</v>
      </c>
      <c r="IP94" s="11">
        <v>64827</v>
      </c>
      <c r="IQ94" s="11">
        <v>68984</v>
      </c>
      <c r="IR94" s="11">
        <v>66290</v>
      </c>
      <c r="IS94" s="11">
        <v>61049</v>
      </c>
      <c r="IT94" s="11">
        <v>63985</v>
      </c>
      <c r="IU94" s="11">
        <v>60599</v>
      </c>
      <c r="IV94" s="11">
        <v>65753</v>
      </c>
      <c r="IW94" s="27">
        <f t="shared" si="67"/>
        <v>789283</v>
      </c>
      <c r="IX94" s="11">
        <v>19415</v>
      </c>
      <c r="IY94" s="11">
        <v>19990</v>
      </c>
      <c r="IZ94" s="11">
        <v>18533</v>
      </c>
      <c r="JA94" s="11">
        <v>20233</v>
      </c>
      <c r="JB94" s="11">
        <v>20187</v>
      </c>
      <c r="JC94" s="11">
        <v>18780</v>
      </c>
      <c r="JD94" s="11">
        <v>19947</v>
      </c>
      <c r="JE94" s="11">
        <v>18980</v>
      </c>
      <c r="JF94" s="11">
        <v>17695</v>
      </c>
      <c r="JG94" s="11">
        <v>18511</v>
      </c>
      <c r="JH94" s="11">
        <v>17078</v>
      </c>
      <c r="JI94" s="11">
        <v>18574</v>
      </c>
      <c r="JJ94" s="27">
        <f t="shared" si="68"/>
        <v>227923</v>
      </c>
      <c r="JK94" s="11">
        <v>48801</v>
      </c>
      <c r="JL94" s="11">
        <v>46057</v>
      </c>
      <c r="JM94" s="11">
        <v>42670</v>
      </c>
      <c r="JN94" s="11">
        <v>46221</v>
      </c>
      <c r="JO94" s="11">
        <v>47268</v>
      </c>
      <c r="JP94" s="11">
        <v>44298</v>
      </c>
      <c r="JQ94" s="11">
        <v>47333</v>
      </c>
      <c r="JR94" s="11">
        <v>45634</v>
      </c>
      <c r="JS94" s="11">
        <v>41823</v>
      </c>
      <c r="JT94" s="11">
        <v>43906</v>
      </c>
      <c r="JU94" s="11">
        <v>42052</v>
      </c>
      <c r="JV94" s="11">
        <v>45437</v>
      </c>
      <c r="JW94" s="27">
        <f t="shared" si="69"/>
        <v>541500</v>
      </c>
      <c r="JX94" s="11">
        <v>1515</v>
      </c>
      <c r="JY94" s="11">
        <v>1542</v>
      </c>
      <c r="JZ94" s="11">
        <v>1375</v>
      </c>
      <c r="KA94" s="11">
        <v>1915</v>
      </c>
      <c r="KB94" s="11">
        <v>2074</v>
      </c>
      <c r="KC94" s="11">
        <v>1749</v>
      </c>
      <c r="KD94" s="11">
        <v>1704</v>
      </c>
      <c r="KE94" s="11">
        <v>1676</v>
      </c>
      <c r="KF94" s="11">
        <v>1531</v>
      </c>
      <c r="KG94" s="11">
        <v>1568</v>
      </c>
      <c r="KH94" s="11">
        <v>1469</v>
      </c>
      <c r="KI94" s="11">
        <v>1742</v>
      </c>
      <c r="KJ94" s="27">
        <f t="shared" si="70"/>
        <v>19860</v>
      </c>
      <c r="KK94" s="11">
        <v>188</v>
      </c>
      <c r="KL94" s="11">
        <v>171</v>
      </c>
      <c r="KM94" s="11">
        <v>230</v>
      </c>
      <c r="KN94" s="11">
        <v>149</v>
      </c>
      <c r="KO94" s="11">
        <v>181</v>
      </c>
      <c r="KP94" s="11">
        <v>163</v>
      </c>
      <c r="KQ94" s="11">
        <v>193</v>
      </c>
      <c r="KR94" s="11">
        <v>167</v>
      </c>
      <c r="KS94" s="11">
        <v>155</v>
      </c>
      <c r="KT94" s="11">
        <v>201</v>
      </c>
      <c r="KU94" s="11">
        <v>152</v>
      </c>
      <c r="KV94" s="11">
        <v>267</v>
      </c>
      <c r="KW94" s="27">
        <f t="shared" si="71"/>
        <v>2217</v>
      </c>
      <c r="KX94" s="11">
        <v>188</v>
      </c>
      <c r="KY94" s="11">
        <v>170</v>
      </c>
      <c r="KZ94" s="11">
        <v>229</v>
      </c>
      <c r="LA94" s="11">
        <v>149</v>
      </c>
      <c r="LB94" s="11">
        <v>176</v>
      </c>
      <c r="LC94" s="11">
        <v>163</v>
      </c>
      <c r="LD94" s="11">
        <v>193</v>
      </c>
      <c r="LE94" s="11">
        <v>167</v>
      </c>
      <c r="LF94" s="11">
        <v>155</v>
      </c>
      <c r="LG94" s="11">
        <v>195</v>
      </c>
      <c r="LH94" s="11">
        <v>152</v>
      </c>
      <c r="LI94" s="11">
        <v>267</v>
      </c>
      <c r="LJ94" s="27">
        <f t="shared" si="72"/>
        <v>2204</v>
      </c>
      <c r="LK94" s="11">
        <v>0</v>
      </c>
      <c r="LL94" s="11">
        <v>1</v>
      </c>
      <c r="LM94" s="11">
        <v>1</v>
      </c>
      <c r="LN94" s="11">
        <v>0</v>
      </c>
      <c r="LO94" s="11">
        <v>5</v>
      </c>
      <c r="LP94" s="11">
        <v>0</v>
      </c>
      <c r="LQ94" s="11">
        <v>0</v>
      </c>
      <c r="LR94" s="11">
        <v>0</v>
      </c>
      <c r="LS94" s="11">
        <v>0</v>
      </c>
      <c r="LT94" s="11">
        <v>6</v>
      </c>
      <c r="LU94" s="11">
        <v>0</v>
      </c>
      <c r="LV94" s="11">
        <v>0</v>
      </c>
      <c r="LW94" s="27">
        <f t="shared" si="73"/>
        <v>13</v>
      </c>
      <c r="LX94" s="11">
        <v>0</v>
      </c>
      <c r="LY94" s="11">
        <v>0</v>
      </c>
      <c r="LZ94" s="11">
        <v>0</v>
      </c>
      <c r="MA94" s="11">
        <v>0</v>
      </c>
      <c r="MB94" s="11">
        <v>0</v>
      </c>
      <c r="MC94" s="11">
        <v>0</v>
      </c>
      <c r="MD94" s="11">
        <v>0</v>
      </c>
      <c r="ME94" s="11">
        <v>0</v>
      </c>
      <c r="MF94" s="11">
        <v>0</v>
      </c>
      <c r="MG94" s="11">
        <v>0</v>
      </c>
      <c r="MH94" s="11">
        <v>0</v>
      </c>
      <c r="MI94" s="11">
        <v>0</v>
      </c>
      <c r="MJ94" s="27">
        <f t="shared" si="74"/>
        <v>0</v>
      </c>
      <c r="MK94" s="11">
        <v>3330</v>
      </c>
      <c r="ML94" s="11">
        <v>3445</v>
      </c>
      <c r="MM94" s="11">
        <v>3166</v>
      </c>
      <c r="MN94" s="11">
        <v>3462</v>
      </c>
      <c r="MO94" s="11">
        <v>3780</v>
      </c>
      <c r="MP94" s="11">
        <v>3168</v>
      </c>
      <c r="MQ94" s="11">
        <v>3428</v>
      </c>
      <c r="MR94" s="11">
        <v>3054</v>
      </c>
      <c r="MS94" s="11">
        <v>3278</v>
      </c>
      <c r="MT94" s="11">
        <v>3335</v>
      </c>
      <c r="MU94" s="11">
        <v>2915</v>
      </c>
      <c r="MV94" s="11">
        <v>3235</v>
      </c>
      <c r="MW94" s="27">
        <f t="shared" si="75"/>
        <v>39596</v>
      </c>
      <c r="MX94" s="11">
        <v>2295</v>
      </c>
      <c r="MY94" s="11">
        <v>2375</v>
      </c>
      <c r="MZ94" s="11">
        <v>2304</v>
      </c>
      <c r="NA94" s="11">
        <v>2385</v>
      </c>
      <c r="NB94" s="11">
        <v>2530</v>
      </c>
      <c r="NC94" s="11">
        <v>2327</v>
      </c>
      <c r="ND94" s="11">
        <v>2436</v>
      </c>
      <c r="NE94" s="11">
        <v>2210</v>
      </c>
      <c r="NF94" s="11">
        <v>2360</v>
      </c>
      <c r="NG94" s="11">
        <v>2421</v>
      </c>
      <c r="NH94" s="11">
        <v>2037</v>
      </c>
      <c r="NI94" s="11">
        <v>2281</v>
      </c>
      <c r="NJ94" s="27">
        <f t="shared" si="76"/>
        <v>27961</v>
      </c>
      <c r="NK94" s="11">
        <v>645</v>
      </c>
      <c r="NL94" s="11">
        <v>690</v>
      </c>
      <c r="NM94" s="11">
        <v>513</v>
      </c>
      <c r="NN94" s="11">
        <v>677</v>
      </c>
      <c r="NO94" s="11">
        <v>800</v>
      </c>
      <c r="NP94" s="11">
        <v>553</v>
      </c>
      <c r="NQ94" s="11">
        <v>673</v>
      </c>
      <c r="NR94" s="11">
        <v>547</v>
      </c>
      <c r="NS94" s="11">
        <v>630</v>
      </c>
      <c r="NT94" s="11">
        <v>659</v>
      </c>
      <c r="NU94" s="11">
        <v>618</v>
      </c>
      <c r="NV94" s="11">
        <v>695</v>
      </c>
      <c r="NW94" s="27">
        <f t="shared" si="77"/>
        <v>7700</v>
      </c>
      <c r="NX94" s="11">
        <v>390</v>
      </c>
      <c r="NY94" s="11">
        <v>380</v>
      </c>
      <c r="NZ94" s="11">
        <v>349</v>
      </c>
      <c r="OA94" s="11">
        <v>400</v>
      </c>
      <c r="OB94" s="11">
        <v>450</v>
      </c>
      <c r="OC94" s="11">
        <v>288</v>
      </c>
      <c r="OD94" s="11">
        <v>319</v>
      </c>
      <c r="OE94" s="11">
        <v>297</v>
      </c>
      <c r="OF94" s="11">
        <v>288</v>
      </c>
      <c r="OG94" s="11">
        <v>255</v>
      </c>
      <c r="OH94" s="11">
        <v>260</v>
      </c>
      <c r="OI94" s="11">
        <v>259</v>
      </c>
      <c r="OJ94" s="27">
        <f t="shared" si="78"/>
        <v>3935</v>
      </c>
      <c r="OK94" s="11">
        <v>2798</v>
      </c>
      <c r="OL94" s="11">
        <v>2790</v>
      </c>
      <c r="OM94" s="11">
        <v>2840</v>
      </c>
      <c r="ON94" s="11">
        <v>2875</v>
      </c>
      <c r="OO94" s="11">
        <v>3069</v>
      </c>
      <c r="OP94" s="11">
        <v>2895</v>
      </c>
      <c r="OQ94" s="11">
        <v>3102</v>
      </c>
      <c r="OR94" s="11">
        <v>2929</v>
      </c>
      <c r="OS94" s="11">
        <v>3039</v>
      </c>
      <c r="OT94" s="11">
        <v>3169</v>
      </c>
      <c r="OU94" s="11">
        <v>2833</v>
      </c>
      <c r="OV94" s="11">
        <v>3177</v>
      </c>
      <c r="OW94" s="27">
        <f t="shared" si="79"/>
        <v>35516</v>
      </c>
      <c r="OX94" s="11">
        <v>2137</v>
      </c>
      <c r="OY94" s="11">
        <v>2136</v>
      </c>
      <c r="OZ94" s="11">
        <v>2275</v>
      </c>
      <c r="PA94" s="11">
        <v>2205</v>
      </c>
      <c r="PB94" s="11">
        <v>2263</v>
      </c>
      <c r="PC94" s="11">
        <v>2286</v>
      </c>
      <c r="PD94" s="11">
        <v>2384</v>
      </c>
      <c r="PE94" s="11">
        <v>2321</v>
      </c>
      <c r="PF94" s="11">
        <v>2386</v>
      </c>
      <c r="PG94" s="11">
        <v>2496</v>
      </c>
      <c r="PH94" s="11">
        <v>2219</v>
      </c>
      <c r="PI94" s="11">
        <v>2546</v>
      </c>
      <c r="PJ94" s="27">
        <f t="shared" si="80"/>
        <v>27654</v>
      </c>
      <c r="PK94" s="11">
        <v>457</v>
      </c>
      <c r="PL94" s="11">
        <v>450</v>
      </c>
      <c r="PM94" s="11">
        <v>386</v>
      </c>
      <c r="PN94" s="11">
        <v>474</v>
      </c>
      <c r="PO94" s="11">
        <v>606</v>
      </c>
      <c r="PP94" s="11">
        <v>437</v>
      </c>
      <c r="PQ94" s="11">
        <v>523</v>
      </c>
      <c r="PR94" s="11">
        <v>431</v>
      </c>
      <c r="PS94" s="11">
        <v>457</v>
      </c>
      <c r="PT94" s="11">
        <v>470</v>
      </c>
      <c r="PU94" s="11">
        <v>418</v>
      </c>
      <c r="PV94" s="11">
        <v>472</v>
      </c>
      <c r="PW94" s="27">
        <f t="shared" si="81"/>
        <v>5581</v>
      </c>
      <c r="PX94" s="11">
        <v>204</v>
      </c>
      <c r="PY94" s="11">
        <v>204</v>
      </c>
      <c r="PZ94" s="11">
        <v>179</v>
      </c>
      <c r="QA94" s="11">
        <v>196</v>
      </c>
      <c r="QB94" s="11">
        <v>200</v>
      </c>
      <c r="QC94" s="11">
        <v>172</v>
      </c>
      <c r="QD94" s="11">
        <v>195</v>
      </c>
      <c r="QE94" s="11">
        <v>177</v>
      </c>
      <c r="QF94" s="11">
        <v>196</v>
      </c>
      <c r="QG94" s="11">
        <v>203</v>
      </c>
      <c r="QH94" s="11">
        <v>196</v>
      </c>
      <c r="QI94" s="11">
        <v>159</v>
      </c>
      <c r="QJ94" s="27">
        <f t="shared" si="82"/>
        <v>2281</v>
      </c>
      <c r="QK94" s="11">
        <v>58208</v>
      </c>
      <c r="QL94" s="11">
        <v>62298</v>
      </c>
      <c r="QM94" s="11">
        <v>54057</v>
      </c>
      <c r="QN94" s="11">
        <v>49396</v>
      </c>
      <c r="QO94" s="11">
        <v>46286</v>
      </c>
      <c r="QP94" s="11">
        <v>47380</v>
      </c>
      <c r="QQ94" s="11">
        <v>56740</v>
      </c>
      <c r="QR94" s="11">
        <v>53978</v>
      </c>
      <c r="QS94" s="11">
        <v>43730</v>
      </c>
      <c r="QT94" s="11">
        <v>59455</v>
      </c>
      <c r="QU94" s="11">
        <v>55795</v>
      </c>
      <c r="QV94" s="11">
        <v>61452</v>
      </c>
      <c r="QW94" s="27">
        <f t="shared" si="83"/>
        <v>648775</v>
      </c>
      <c r="QX94" s="11">
        <v>23907</v>
      </c>
      <c r="QY94" s="11">
        <v>23865</v>
      </c>
      <c r="QZ94" s="11">
        <v>20807</v>
      </c>
      <c r="RA94" s="11">
        <v>22742</v>
      </c>
      <c r="RB94" s="11">
        <v>18492</v>
      </c>
      <c r="RC94" s="11">
        <v>21868</v>
      </c>
      <c r="RD94" s="11">
        <v>21581</v>
      </c>
      <c r="RE94" s="11">
        <v>21109</v>
      </c>
      <c r="RF94" s="11">
        <v>16949</v>
      </c>
      <c r="RG94" s="11">
        <v>20548</v>
      </c>
      <c r="RH94" s="11">
        <v>21385</v>
      </c>
      <c r="RI94" s="11">
        <v>22001</v>
      </c>
      <c r="RJ94" s="27">
        <f t="shared" si="84"/>
        <v>255254</v>
      </c>
      <c r="RK94" s="11">
        <v>0</v>
      </c>
      <c r="RL94" s="11">
        <v>0</v>
      </c>
      <c r="RM94" s="11">
        <v>0</v>
      </c>
      <c r="RN94" s="11">
        <v>0</v>
      </c>
      <c r="RO94" s="11">
        <v>0</v>
      </c>
      <c r="RP94" s="11">
        <v>0</v>
      </c>
      <c r="RQ94" s="11">
        <v>0</v>
      </c>
      <c r="RR94" s="11">
        <v>0</v>
      </c>
      <c r="RS94" s="11">
        <v>0</v>
      </c>
      <c r="RT94" s="11">
        <v>0</v>
      </c>
      <c r="RU94" s="11">
        <v>0</v>
      </c>
      <c r="RV94" s="11">
        <v>0</v>
      </c>
      <c r="RW94" s="27">
        <f t="shared" si="85"/>
        <v>0</v>
      </c>
      <c r="RX94" s="11">
        <v>0</v>
      </c>
      <c r="RY94" s="11">
        <v>0</v>
      </c>
      <c r="RZ94" s="11">
        <v>0</v>
      </c>
      <c r="SA94" s="11">
        <v>0</v>
      </c>
      <c r="SB94" s="11">
        <v>0</v>
      </c>
      <c r="SC94" s="11">
        <v>0</v>
      </c>
      <c r="SD94" s="11">
        <v>0</v>
      </c>
      <c r="SE94" s="11">
        <v>0</v>
      </c>
      <c r="SF94" s="11">
        <v>0</v>
      </c>
      <c r="SG94" s="11">
        <v>0</v>
      </c>
      <c r="SH94" s="11">
        <v>0</v>
      </c>
      <c r="SI94" s="11">
        <v>0</v>
      </c>
      <c r="SJ94" s="27">
        <f t="shared" si="86"/>
        <v>0</v>
      </c>
      <c r="SK94" s="11">
        <v>28</v>
      </c>
      <c r="SL94" s="11">
        <v>28</v>
      </c>
      <c r="SM94" s="11">
        <v>28</v>
      </c>
      <c r="SN94" s="11">
        <v>28</v>
      </c>
      <c r="SO94" s="11">
        <v>28</v>
      </c>
      <c r="SP94" s="11">
        <v>28</v>
      </c>
      <c r="SQ94" s="11">
        <v>28</v>
      </c>
      <c r="SR94" s="11">
        <v>28</v>
      </c>
      <c r="SS94" s="11">
        <v>28</v>
      </c>
      <c r="ST94" s="11">
        <v>28</v>
      </c>
      <c r="SU94" s="11">
        <v>28</v>
      </c>
      <c r="SV94" s="11">
        <v>28</v>
      </c>
      <c r="SW94" s="27">
        <f t="shared" si="87"/>
        <v>336</v>
      </c>
      <c r="SX94" s="11" t="s">
        <v>2733</v>
      </c>
      <c r="SY94" s="11">
        <v>3863</v>
      </c>
      <c r="SZ94" s="11">
        <v>3872</v>
      </c>
      <c r="TA94" s="11">
        <v>3530</v>
      </c>
      <c r="TB94" s="11">
        <v>3812</v>
      </c>
      <c r="TC94" s="11">
        <v>3850</v>
      </c>
      <c r="TD94" s="11">
        <v>3829</v>
      </c>
      <c r="TE94" s="11">
        <v>4809</v>
      </c>
      <c r="TF94" s="11">
        <v>4438</v>
      </c>
      <c r="TG94" s="11">
        <v>4098</v>
      </c>
      <c r="TH94" s="11">
        <v>4665</v>
      </c>
      <c r="TI94" s="11">
        <v>4744</v>
      </c>
      <c r="TJ94" s="11">
        <v>5408</v>
      </c>
      <c r="TK94" s="27">
        <f>ROUND(SUM(SY94:TJ94),0)</f>
        <v>50918</v>
      </c>
      <c r="TL94" s="11">
        <v>0</v>
      </c>
      <c r="TM94" s="11">
        <v>0</v>
      </c>
      <c r="TN94" s="11">
        <v>0</v>
      </c>
      <c r="TO94" s="11">
        <v>0</v>
      </c>
      <c r="TP94" s="11">
        <v>0</v>
      </c>
      <c r="TQ94" s="11">
        <v>0</v>
      </c>
      <c r="TR94" s="11">
        <v>0</v>
      </c>
      <c r="TS94" s="11">
        <v>0</v>
      </c>
      <c r="TT94" s="11">
        <v>0</v>
      </c>
      <c r="TU94" s="11">
        <v>0</v>
      </c>
      <c r="TV94" s="11">
        <v>0</v>
      </c>
      <c r="TW94" s="11">
        <v>0</v>
      </c>
      <c r="TX94" s="27">
        <f t="shared" si="89"/>
        <v>0</v>
      </c>
      <c r="TY94" s="11">
        <v>66</v>
      </c>
      <c r="TZ94" s="11">
        <v>0</v>
      </c>
      <c r="UA94" s="11">
        <v>0</v>
      </c>
    </row>
    <row r="95" spans="1:547" ht="16" customHeight="1" x14ac:dyDescent="0.35">
      <c r="A95" s="11" t="s">
        <v>1495</v>
      </c>
      <c r="B95" s="11"/>
      <c r="C95" s="11"/>
      <c r="D95" s="11"/>
      <c r="E95" s="11"/>
      <c r="F95" s="11">
        <v>134</v>
      </c>
      <c r="G95" s="11">
        <v>126</v>
      </c>
      <c r="H95" s="11">
        <v>117</v>
      </c>
      <c r="I95" s="11">
        <v>115</v>
      </c>
      <c r="J95" s="11">
        <v>125</v>
      </c>
      <c r="K95" s="11">
        <v>111</v>
      </c>
      <c r="L95" s="11">
        <v>146</v>
      </c>
      <c r="M95" s="11">
        <v>131</v>
      </c>
      <c r="N95" s="11">
        <v>105</v>
      </c>
      <c r="O95" s="11">
        <v>143</v>
      </c>
      <c r="P95" s="11" t="s">
        <v>2865</v>
      </c>
      <c r="Q95" s="11">
        <v>133</v>
      </c>
      <c r="R95" s="11">
        <v>122</v>
      </c>
      <c r="S95" s="26">
        <f t="shared" si="45"/>
        <v>1508</v>
      </c>
      <c r="T95" s="11">
        <v>58</v>
      </c>
      <c r="U95" s="11">
        <v>66</v>
      </c>
      <c r="V95" s="11">
        <v>62</v>
      </c>
      <c r="W95" s="11">
        <v>62</v>
      </c>
      <c r="X95" s="11">
        <v>65</v>
      </c>
      <c r="Y95" s="11">
        <v>65</v>
      </c>
      <c r="Z95" s="11">
        <v>69</v>
      </c>
      <c r="AA95" s="11">
        <v>65</v>
      </c>
      <c r="AB95" s="11">
        <v>54</v>
      </c>
      <c r="AC95" s="11">
        <v>81</v>
      </c>
      <c r="AD95" s="11">
        <v>65</v>
      </c>
      <c r="AE95" s="11">
        <v>63</v>
      </c>
      <c r="AF95" s="26">
        <f t="shared" si="46"/>
        <v>775</v>
      </c>
      <c r="AG95" s="11">
        <v>75</v>
      </c>
      <c r="AH95" s="11">
        <v>58</v>
      </c>
      <c r="AI95" s="11">
        <v>49</v>
      </c>
      <c r="AJ95" s="11">
        <v>52</v>
      </c>
      <c r="AK95" s="11">
        <v>58</v>
      </c>
      <c r="AL95" s="11">
        <v>45</v>
      </c>
      <c r="AM95" s="11">
        <v>75</v>
      </c>
      <c r="AN95" s="11">
        <v>65</v>
      </c>
      <c r="AO95" s="11">
        <v>50</v>
      </c>
      <c r="AP95" s="11">
        <v>62</v>
      </c>
      <c r="AQ95" s="11">
        <v>69</v>
      </c>
      <c r="AR95" s="11">
        <v>57</v>
      </c>
      <c r="AS95" s="26">
        <f t="shared" si="47"/>
        <v>715</v>
      </c>
      <c r="AT95" s="11">
        <v>0</v>
      </c>
      <c r="AU95" s="11">
        <v>0</v>
      </c>
      <c r="AV95" s="11">
        <v>0</v>
      </c>
      <c r="AW95" s="11">
        <v>0</v>
      </c>
      <c r="AX95" s="11">
        <v>0</v>
      </c>
      <c r="AY95" s="11">
        <v>1</v>
      </c>
      <c r="AZ95" s="11">
        <v>1</v>
      </c>
      <c r="BA95" s="11">
        <v>1</v>
      </c>
      <c r="BB95" s="11">
        <v>1</v>
      </c>
      <c r="BC95" s="11">
        <v>0</v>
      </c>
      <c r="BD95" s="11">
        <v>1</v>
      </c>
      <c r="BE95" s="11">
        <v>0</v>
      </c>
      <c r="BF95" s="26">
        <f t="shared" si="48"/>
        <v>5</v>
      </c>
      <c r="BG95" s="11">
        <v>1</v>
      </c>
      <c r="BH95" s="11">
        <v>2</v>
      </c>
      <c r="BI95" s="11">
        <v>6</v>
      </c>
      <c r="BJ95" s="11">
        <v>0</v>
      </c>
      <c r="BK95" s="11">
        <v>2</v>
      </c>
      <c r="BL95" s="11">
        <v>0</v>
      </c>
      <c r="BM95" s="11">
        <v>1</v>
      </c>
      <c r="BN95" s="11">
        <v>0</v>
      </c>
      <c r="BO95" s="11">
        <v>0</v>
      </c>
      <c r="BP95" s="11">
        <v>0</v>
      </c>
      <c r="BQ95" s="11">
        <v>0</v>
      </c>
      <c r="BR95" s="11">
        <v>0</v>
      </c>
      <c r="BS95" s="26">
        <f t="shared" si="49"/>
        <v>12</v>
      </c>
      <c r="BT95" s="11">
        <v>4</v>
      </c>
      <c r="BU95" s="11">
        <v>2</v>
      </c>
      <c r="BV95" s="11">
        <v>0</v>
      </c>
      <c r="BW95" s="11">
        <v>1</v>
      </c>
      <c r="BX95" s="11">
        <v>0</v>
      </c>
      <c r="BY95" s="11">
        <v>0</v>
      </c>
      <c r="BZ95" s="11">
        <v>4</v>
      </c>
      <c r="CA95" s="11">
        <v>4</v>
      </c>
      <c r="CB95" s="11">
        <v>3</v>
      </c>
      <c r="CC95" s="11">
        <v>7</v>
      </c>
      <c r="CD95" s="11">
        <v>7</v>
      </c>
      <c r="CE95" s="11">
        <v>7</v>
      </c>
      <c r="CF95" s="26">
        <f t="shared" si="50"/>
        <v>39</v>
      </c>
      <c r="CG95" s="11">
        <v>0</v>
      </c>
      <c r="CH95" s="11">
        <v>0</v>
      </c>
      <c r="CI95" s="11">
        <v>0</v>
      </c>
      <c r="CJ95" s="11">
        <v>0</v>
      </c>
      <c r="CK95" s="11">
        <v>0</v>
      </c>
      <c r="CL95" s="11">
        <v>0</v>
      </c>
      <c r="CM95" s="11">
        <v>0</v>
      </c>
      <c r="CN95" s="11">
        <v>0</v>
      </c>
      <c r="CO95" s="11">
        <v>0</v>
      </c>
      <c r="CP95" s="11">
        <v>0</v>
      </c>
      <c r="CQ95" s="11">
        <v>0</v>
      </c>
      <c r="CR95" s="11">
        <v>0</v>
      </c>
      <c r="CS95" s="26">
        <f t="shared" si="51"/>
        <v>0</v>
      </c>
      <c r="CT95" s="11">
        <v>4</v>
      </c>
      <c r="CU95" s="11">
        <v>2</v>
      </c>
      <c r="CV95" s="11">
        <v>0</v>
      </c>
      <c r="CW95" s="11">
        <v>1</v>
      </c>
      <c r="CX95" s="11">
        <v>0</v>
      </c>
      <c r="CY95" s="11">
        <v>0</v>
      </c>
      <c r="CZ95" s="11">
        <v>4</v>
      </c>
      <c r="DA95" s="11">
        <v>4</v>
      </c>
      <c r="DB95" s="11">
        <v>3</v>
      </c>
      <c r="DC95" s="11">
        <v>4</v>
      </c>
      <c r="DD95" s="11">
        <v>4</v>
      </c>
      <c r="DE95" s="11">
        <v>4</v>
      </c>
      <c r="DF95" s="26">
        <f t="shared" si="52"/>
        <v>30</v>
      </c>
      <c r="DG95" s="11">
        <v>0</v>
      </c>
      <c r="DH95" s="11">
        <v>0</v>
      </c>
      <c r="DI95" s="11">
        <v>0</v>
      </c>
      <c r="DJ95" s="11">
        <v>0</v>
      </c>
      <c r="DK95" s="11">
        <v>0</v>
      </c>
      <c r="DL95" s="11">
        <v>0</v>
      </c>
      <c r="DM95" s="11">
        <v>0</v>
      </c>
      <c r="DN95" s="11">
        <v>0</v>
      </c>
      <c r="DO95" s="11">
        <v>0</v>
      </c>
      <c r="DP95" s="11">
        <v>0</v>
      </c>
      <c r="DQ95" s="11">
        <v>0</v>
      </c>
      <c r="DR95" s="11">
        <v>0</v>
      </c>
      <c r="DS95" s="26">
        <f t="shared" si="53"/>
        <v>0</v>
      </c>
      <c r="DT95" s="11">
        <v>0</v>
      </c>
      <c r="DU95" s="11">
        <v>0</v>
      </c>
      <c r="DV95" s="11">
        <v>0</v>
      </c>
      <c r="DW95" s="11">
        <v>0</v>
      </c>
      <c r="DX95" s="11">
        <v>0</v>
      </c>
      <c r="DY95" s="11">
        <v>0</v>
      </c>
      <c r="DZ95" s="11">
        <v>0</v>
      </c>
      <c r="EA95" s="11">
        <v>0</v>
      </c>
      <c r="EB95" s="11">
        <v>0</v>
      </c>
      <c r="EC95" s="11">
        <v>0</v>
      </c>
      <c r="ED95" s="11">
        <v>0</v>
      </c>
      <c r="EE95" s="11">
        <v>0</v>
      </c>
      <c r="EF95" s="26">
        <f t="shared" si="54"/>
        <v>0</v>
      </c>
      <c r="EG95" s="9">
        <f t="shared" si="55"/>
        <v>1507</v>
      </c>
      <c r="EH95" s="9">
        <f t="shared" si="56"/>
        <v>30</v>
      </c>
      <c r="EI95" s="11">
        <v>1838</v>
      </c>
      <c r="EJ95" s="11">
        <v>1288</v>
      </c>
      <c r="EK95" s="11">
        <v>1124</v>
      </c>
      <c r="EL95" s="11">
        <v>965</v>
      </c>
      <c r="EM95" s="11">
        <v>1032</v>
      </c>
      <c r="EN95" s="11">
        <v>897</v>
      </c>
      <c r="EO95" s="11">
        <v>1558</v>
      </c>
      <c r="EP95" s="11">
        <v>1300</v>
      </c>
      <c r="EQ95" s="11">
        <v>759</v>
      </c>
      <c r="ER95" s="11">
        <v>1098</v>
      </c>
      <c r="ES95" s="11">
        <v>1550</v>
      </c>
      <c r="ET95" s="11">
        <v>1416</v>
      </c>
      <c r="EU95" s="26">
        <f t="shared" si="57"/>
        <v>14825</v>
      </c>
      <c r="EV95" s="11">
        <v>558</v>
      </c>
      <c r="EW95" s="11">
        <v>345</v>
      </c>
      <c r="EX95" s="11">
        <v>585</v>
      </c>
      <c r="EY95" s="11">
        <v>588</v>
      </c>
      <c r="EZ95" s="11">
        <v>644</v>
      </c>
      <c r="FA95" s="11">
        <v>447</v>
      </c>
      <c r="FB95" s="11">
        <v>1014</v>
      </c>
      <c r="FC95" s="11">
        <v>875</v>
      </c>
      <c r="FD95" s="11">
        <v>469</v>
      </c>
      <c r="FE95" s="11">
        <v>565</v>
      </c>
      <c r="FF95" s="11">
        <v>983</v>
      </c>
      <c r="FG95" s="11">
        <v>799</v>
      </c>
      <c r="FH95" s="26">
        <f t="shared" si="58"/>
        <v>7872</v>
      </c>
      <c r="FI95" s="11">
        <v>1280</v>
      </c>
      <c r="FJ95" s="11">
        <v>933</v>
      </c>
      <c r="FK95" s="11">
        <v>585</v>
      </c>
      <c r="FL95" s="11">
        <v>588</v>
      </c>
      <c r="FM95" s="11">
        <v>644</v>
      </c>
      <c r="FN95" s="11">
        <v>447</v>
      </c>
      <c r="FO95" s="11">
        <v>1014</v>
      </c>
      <c r="FP95" s="11">
        <v>875</v>
      </c>
      <c r="FQ95" s="11">
        <v>469</v>
      </c>
      <c r="FR95" s="11">
        <v>565</v>
      </c>
      <c r="FS95" s="11">
        <v>983</v>
      </c>
      <c r="FT95" s="11">
        <v>799</v>
      </c>
      <c r="FU95" s="26">
        <f t="shared" si="59"/>
        <v>9182</v>
      </c>
      <c r="FV95" s="11">
        <v>0</v>
      </c>
      <c r="FW95" s="11">
        <v>10</v>
      </c>
      <c r="FX95" s="11">
        <v>0</v>
      </c>
      <c r="FY95" s="11">
        <v>0</v>
      </c>
      <c r="FZ95" s="11">
        <v>0</v>
      </c>
      <c r="GA95" s="11">
        <v>9</v>
      </c>
      <c r="GB95" s="11">
        <v>6</v>
      </c>
      <c r="GC95" s="11">
        <v>6</v>
      </c>
      <c r="GD95" s="11">
        <v>3</v>
      </c>
      <c r="GE95" s="11">
        <v>0</v>
      </c>
      <c r="GF95" s="11">
        <v>0</v>
      </c>
      <c r="GG95" s="11">
        <v>0</v>
      </c>
      <c r="GH95" s="26">
        <f t="shared" si="60"/>
        <v>34</v>
      </c>
      <c r="GI95" s="11">
        <v>1758</v>
      </c>
      <c r="GJ95" s="11">
        <v>1743</v>
      </c>
      <c r="GK95" s="11">
        <v>0</v>
      </c>
      <c r="GL95" s="11">
        <v>4</v>
      </c>
      <c r="GM95" s="11">
        <v>0</v>
      </c>
      <c r="GN95" s="11">
        <v>0</v>
      </c>
      <c r="GO95" s="11">
        <v>3948</v>
      </c>
      <c r="GP95" s="11">
        <v>2779</v>
      </c>
      <c r="GQ95" s="11">
        <v>2038</v>
      </c>
      <c r="GR95" s="11">
        <v>973</v>
      </c>
      <c r="GS95" s="11">
        <v>3006</v>
      </c>
      <c r="GT95" s="11">
        <v>3222</v>
      </c>
      <c r="GU95" s="26">
        <f t="shared" si="61"/>
        <v>19471</v>
      </c>
      <c r="GV95" s="11"/>
      <c r="GW95" s="11">
        <v>0</v>
      </c>
      <c r="GX95" s="11">
        <v>0</v>
      </c>
      <c r="GY95" s="11">
        <v>4</v>
      </c>
      <c r="GZ95" s="11">
        <v>0</v>
      </c>
      <c r="HA95" s="11">
        <v>0</v>
      </c>
      <c r="HB95" s="11">
        <v>0</v>
      </c>
      <c r="HC95" s="11">
        <v>0</v>
      </c>
      <c r="HD95" s="11">
        <v>0</v>
      </c>
      <c r="HE95" s="11">
        <v>18</v>
      </c>
      <c r="HF95" s="11">
        <v>13</v>
      </c>
      <c r="HG95" s="11">
        <v>18</v>
      </c>
      <c r="HH95" s="26">
        <f t="shared" si="62"/>
        <v>53</v>
      </c>
      <c r="HI95" s="11">
        <v>1758</v>
      </c>
      <c r="HJ95" s="11">
        <v>1743</v>
      </c>
      <c r="HK95" s="11">
        <v>0</v>
      </c>
      <c r="HL95" s="11">
        <v>0</v>
      </c>
      <c r="HM95" s="11">
        <v>0</v>
      </c>
      <c r="HN95" s="11">
        <v>0</v>
      </c>
      <c r="HO95" s="11">
        <v>3948</v>
      </c>
      <c r="HP95" s="11">
        <v>2779</v>
      </c>
      <c r="HQ95" s="11">
        <v>2038</v>
      </c>
      <c r="HR95" s="11">
        <v>955</v>
      </c>
      <c r="HS95" s="11">
        <v>2993</v>
      </c>
      <c r="HT95" s="11">
        <v>3204</v>
      </c>
      <c r="HU95" s="26">
        <f t="shared" si="63"/>
        <v>19418</v>
      </c>
      <c r="HV95" s="11">
        <v>0</v>
      </c>
      <c r="HW95" s="11">
        <v>0</v>
      </c>
      <c r="HX95" s="11">
        <v>0</v>
      </c>
      <c r="HY95" s="11">
        <v>0</v>
      </c>
      <c r="HZ95" s="11">
        <v>0</v>
      </c>
      <c r="IA95" s="11">
        <v>0</v>
      </c>
      <c r="IB95" s="11">
        <v>0</v>
      </c>
      <c r="IC95" s="11">
        <v>0</v>
      </c>
      <c r="ID95" s="11">
        <v>0</v>
      </c>
      <c r="IE95" s="11">
        <v>0</v>
      </c>
      <c r="IF95" s="11">
        <v>0</v>
      </c>
      <c r="IG95" s="11">
        <v>0</v>
      </c>
      <c r="IH95" s="26">
        <f t="shared" si="64"/>
        <v>0</v>
      </c>
      <c r="II95" s="9">
        <f t="shared" si="65"/>
        <v>17088</v>
      </c>
      <c r="IJ95" s="9">
        <f t="shared" si="66"/>
        <v>19471</v>
      </c>
      <c r="IK95" s="11">
        <v>30662</v>
      </c>
      <c r="IL95" s="11">
        <v>28808</v>
      </c>
      <c r="IM95" s="11">
        <v>27378</v>
      </c>
      <c r="IN95" s="11">
        <v>34199</v>
      </c>
      <c r="IO95" s="11">
        <v>40115</v>
      </c>
      <c r="IP95" s="11">
        <v>31056</v>
      </c>
      <c r="IQ95" s="11">
        <v>31946</v>
      </c>
      <c r="IR95" s="11">
        <v>28690</v>
      </c>
      <c r="IS95" s="11">
        <v>21104</v>
      </c>
      <c r="IT95" s="11">
        <v>29966</v>
      </c>
      <c r="IU95" s="11">
        <v>27285</v>
      </c>
      <c r="IV95" s="11">
        <v>28892</v>
      </c>
      <c r="IW95" s="27">
        <f t="shared" si="67"/>
        <v>360101</v>
      </c>
      <c r="IX95" s="11">
        <v>16844</v>
      </c>
      <c r="IY95" s="11">
        <v>16154</v>
      </c>
      <c r="IZ95" s="11">
        <v>15359</v>
      </c>
      <c r="JA95" s="11">
        <v>17184</v>
      </c>
      <c r="JB95" s="11">
        <v>18095</v>
      </c>
      <c r="JC95" s="11">
        <v>16589</v>
      </c>
      <c r="JD95" s="11">
        <v>17251</v>
      </c>
      <c r="JE95" s="11">
        <v>16229</v>
      </c>
      <c r="JF95" s="11">
        <v>12943</v>
      </c>
      <c r="JG95" s="11">
        <v>17899</v>
      </c>
      <c r="JH95" s="11">
        <v>15008</v>
      </c>
      <c r="JI95" s="11">
        <v>16022</v>
      </c>
      <c r="JJ95" s="27">
        <f t="shared" si="68"/>
        <v>195577</v>
      </c>
      <c r="JK95" s="11">
        <v>13109</v>
      </c>
      <c r="JL95" s="11">
        <v>11984</v>
      </c>
      <c r="JM95" s="11">
        <v>11411</v>
      </c>
      <c r="JN95" s="11">
        <v>16097</v>
      </c>
      <c r="JO95" s="11">
        <v>20922</v>
      </c>
      <c r="JP95" s="11">
        <v>13674</v>
      </c>
      <c r="JQ95" s="11">
        <v>13886</v>
      </c>
      <c r="JR95" s="11">
        <v>11793</v>
      </c>
      <c r="JS95" s="11">
        <v>7723</v>
      </c>
      <c r="JT95" s="11">
        <v>11416</v>
      </c>
      <c r="JU95" s="11">
        <v>11627</v>
      </c>
      <c r="JV95" s="11">
        <v>12196</v>
      </c>
      <c r="JW95" s="27">
        <f t="shared" si="69"/>
        <v>155838</v>
      </c>
      <c r="JX95" s="11">
        <v>799</v>
      </c>
      <c r="JY95" s="11">
        <v>670</v>
      </c>
      <c r="JZ95" s="11">
        <v>608</v>
      </c>
      <c r="KA95" s="11">
        <v>918</v>
      </c>
      <c r="KB95" s="11">
        <v>1098</v>
      </c>
      <c r="KC95" s="11">
        <v>793</v>
      </c>
      <c r="KD95" s="11">
        <v>809</v>
      </c>
      <c r="KE95" s="11">
        <v>668</v>
      </c>
      <c r="KF95" s="11">
        <v>438</v>
      </c>
      <c r="KG95" s="11">
        <v>651</v>
      </c>
      <c r="KH95" s="11">
        <v>650</v>
      </c>
      <c r="KI95" s="11">
        <v>674</v>
      </c>
      <c r="KJ95" s="27">
        <f t="shared" si="70"/>
        <v>8776</v>
      </c>
      <c r="KK95" s="11">
        <v>293</v>
      </c>
      <c r="KL95" s="11">
        <v>247</v>
      </c>
      <c r="KM95" s="11">
        <v>221</v>
      </c>
      <c r="KN95" s="11">
        <v>290</v>
      </c>
      <c r="KO95" s="11">
        <v>257</v>
      </c>
      <c r="KP95" s="11">
        <v>267</v>
      </c>
      <c r="KQ95" s="11">
        <v>348</v>
      </c>
      <c r="KR95" s="11">
        <v>258</v>
      </c>
      <c r="KS95" s="11">
        <v>230</v>
      </c>
      <c r="KT95" s="11">
        <v>339</v>
      </c>
      <c r="KU95" s="11">
        <v>256</v>
      </c>
      <c r="KV95" s="11">
        <v>251</v>
      </c>
      <c r="KW95" s="27">
        <f t="shared" si="71"/>
        <v>3257</v>
      </c>
      <c r="KX95" s="11">
        <v>288</v>
      </c>
      <c r="KY95" s="11">
        <v>245</v>
      </c>
      <c r="KZ95" s="11">
        <v>201</v>
      </c>
      <c r="LA95" s="11">
        <v>288</v>
      </c>
      <c r="LB95" s="11">
        <v>238</v>
      </c>
      <c r="LC95" s="11">
        <v>265</v>
      </c>
      <c r="LD95" s="11">
        <v>347</v>
      </c>
      <c r="LE95" s="11">
        <v>256</v>
      </c>
      <c r="LF95" s="11">
        <v>227</v>
      </c>
      <c r="LG95" s="11">
        <v>339</v>
      </c>
      <c r="LH95" s="11">
        <v>256</v>
      </c>
      <c r="LI95" s="11">
        <v>250</v>
      </c>
      <c r="LJ95" s="27">
        <f t="shared" si="72"/>
        <v>3200</v>
      </c>
      <c r="LK95" s="11">
        <v>5</v>
      </c>
      <c r="LL95" s="11">
        <v>2</v>
      </c>
      <c r="LM95" s="11">
        <v>10</v>
      </c>
      <c r="LN95" s="11">
        <v>2</v>
      </c>
      <c r="LO95" s="11">
        <v>19</v>
      </c>
      <c r="LP95" s="11">
        <v>2</v>
      </c>
      <c r="LQ95" s="11">
        <v>1</v>
      </c>
      <c r="LR95" s="11">
        <v>2</v>
      </c>
      <c r="LS95" s="11">
        <v>3</v>
      </c>
      <c r="LT95" s="11">
        <v>0</v>
      </c>
      <c r="LU95" s="11">
        <v>0</v>
      </c>
      <c r="LV95" s="11">
        <v>1</v>
      </c>
      <c r="LW95" s="27">
        <f t="shared" si="73"/>
        <v>47</v>
      </c>
      <c r="LX95" s="11">
        <v>0</v>
      </c>
      <c r="LY95" s="11">
        <v>0</v>
      </c>
      <c r="LZ95" s="11">
        <v>0</v>
      </c>
      <c r="MA95" s="11">
        <v>0</v>
      </c>
      <c r="MB95" s="11">
        <v>0</v>
      </c>
      <c r="MC95" s="11">
        <v>0</v>
      </c>
      <c r="MD95" s="11">
        <v>0</v>
      </c>
      <c r="ME95" s="11">
        <v>0</v>
      </c>
      <c r="MF95" s="11">
        <v>0</v>
      </c>
      <c r="MG95" s="11">
        <v>0</v>
      </c>
      <c r="MH95" s="11">
        <v>0</v>
      </c>
      <c r="MI95" s="11">
        <v>0</v>
      </c>
      <c r="MJ95" s="27">
        <f t="shared" si="74"/>
        <v>0</v>
      </c>
      <c r="MK95" s="11">
        <v>2712</v>
      </c>
      <c r="ML95" s="11">
        <v>2776</v>
      </c>
      <c r="MM95" s="11">
        <v>2693</v>
      </c>
      <c r="MN95" s="11">
        <v>2596</v>
      </c>
      <c r="MO95" s="11">
        <v>2627</v>
      </c>
      <c r="MP95" s="11">
        <v>2718</v>
      </c>
      <c r="MQ95" s="11">
        <v>2753</v>
      </c>
      <c r="MR95" s="11">
        <v>2610</v>
      </c>
      <c r="MS95" s="11">
        <v>2577</v>
      </c>
      <c r="MT95" s="11">
        <v>2703</v>
      </c>
      <c r="MU95" s="11">
        <v>2436</v>
      </c>
      <c r="MV95" s="11">
        <v>2631</v>
      </c>
      <c r="MW95" s="27">
        <f t="shared" si="75"/>
        <v>31832</v>
      </c>
      <c r="MX95" s="11">
        <v>2309</v>
      </c>
      <c r="MY95" s="11">
        <v>2357</v>
      </c>
      <c r="MZ95" s="11">
        <v>2337</v>
      </c>
      <c r="NA95" s="11">
        <v>2207</v>
      </c>
      <c r="NB95" s="11">
        <v>2255</v>
      </c>
      <c r="NC95" s="11">
        <v>2235</v>
      </c>
      <c r="ND95" s="11">
        <v>2272</v>
      </c>
      <c r="NE95" s="11">
        <v>2212</v>
      </c>
      <c r="NF95" s="11">
        <v>2175</v>
      </c>
      <c r="NG95" s="11">
        <v>2242</v>
      </c>
      <c r="NH95" s="11">
        <v>2049</v>
      </c>
      <c r="NI95" s="11">
        <v>2252</v>
      </c>
      <c r="NJ95" s="27">
        <f t="shared" si="76"/>
        <v>26902</v>
      </c>
      <c r="NK95" s="11">
        <v>261</v>
      </c>
      <c r="NL95" s="11">
        <v>269</v>
      </c>
      <c r="NM95" s="11">
        <v>227</v>
      </c>
      <c r="NN95" s="11">
        <v>256</v>
      </c>
      <c r="NO95" s="11">
        <v>216</v>
      </c>
      <c r="NP95" s="11">
        <v>347</v>
      </c>
      <c r="NQ95" s="11">
        <v>362</v>
      </c>
      <c r="NR95" s="11">
        <v>275</v>
      </c>
      <c r="NS95" s="11">
        <v>289</v>
      </c>
      <c r="NT95" s="11">
        <v>285</v>
      </c>
      <c r="NU95" s="11">
        <v>265</v>
      </c>
      <c r="NV95" s="11">
        <v>221</v>
      </c>
      <c r="NW95" s="27">
        <f t="shared" si="77"/>
        <v>3273</v>
      </c>
      <c r="NX95" s="11">
        <v>142</v>
      </c>
      <c r="NY95" s="11">
        <v>150</v>
      </c>
      <c r="NZ95" s="11">
        <v>129</v>
      </c>
      <c r="OA95" s="11">
        <v>133</v>
      </c>
      <c r="OB95" s="11">
        <v>156</v>
      </c>
      <c r="OC95" s="11">
        <v>136</v>
      </c>
      <c r="OD95" s="11">
        <v>119</v>
      </c>
      <c r="OE95" s="11">
        <v>123</v>
      </c>
      <c r="OF95" s="11">
        <v>113</v>
      </c>
      <c r="OG95" s="11">
        <v>176</v>
      </c>
      <c r="OH95" s="11">
        <v>122</v>
      </c>
      <c r="OI95" s="11">
        <v>158</v>
      </c>
      <c r="OJ95" s="27">
        <f t="shared" si="78"/>
        <v>1657</v>
      </c>
      <c r="OK95" s="11">
        <v>3304</v>
      </c>
      <c r="OL95" s="11">
        <v>3522</v>
      </c>
      <c r="OM95" s="11">
        <v>3348</v>
      </c>
      <c r="ON95" s="11">
        <v>3286</v>
      </c>
      <c r="OO95" s="11">
        <v>3539</v>
      </c>
      <c r="OP95" s="11">
        <v>3463</v>
      </c>
      <c r="OQ95" s="11">
        <v>3463</v>
      </c>
      <c r="OR95" s="11">
        <v>3405</v>
      </c>
      <c r="OS95" s="11">
        <v>3333</v>
      </c>
      <c r="OT95" s="11">
        <v>3632</v>
      </c>
      <c r="OU95" s="11">
        <v>3267</v>
      </c>
      <c r="OV95" s="11">
        <v>3492</v>
      </c>
      <c r="OW95" s="27">
        <f t="shared" si="79"/>
        <v>41054</v>
      </c>
      <c r="OX95" s="11">
        <v>2730</v>
      </c>
      <c r="OY95" s="11">
        <v>2924</v>
      </c>
      <c r="OZ95" s="11">
        <v>2795</v>
      </c>
      <c r="PA95" s="11">
        <v>2742</v>
      </c>
      <c r="PB95" s="11">
        <v>2944</v>
      </c>
      <c r="PC95" s="11">
        <v>2897</v>
      </c>
      <c r="PD95" s="11">
        <v>2861</v>
      </c>
      <c r="PE95" s="11">
        <v>2849</v>
      </c>
      <c r="PF95" s="11">
        <v>2774</v>
      </c>
      <c r="PG95" s="11">
        <v>3044</v>
      </c>
      <c r="PH95" s="11">
        <v>2810</v>
      </c>
      <c r="PI95" s="11">
        <v>3002</v>
      </c>
      <c r="PJ95" s="27">
        <f t="shared" si="80"/>
        <v>34372</v>
      </c>
      <c r="PK95" s="11">
        <v>430</v>
      </c>
      <c r="PL95" s="11">
        <v>457</v>
      </c>
      <c r="PM95" s="11">
        <v>408</v>
      </c>
      <c r="PN95" s="11">
        <v>394</v>
      </c>
      <c r="PO95" s="11">
        <v>428</v>
      </c>
      <c r="PP95" s="11">
        <v>413</v>
      </c>
      <c r="PQ95" s="11">
        <v>415</v>
      </c>
      <c r="PR95" s="11">
        <v>376</v>
      </c>
      <c r="PS95" s="11">
        <v>405</v>
      </c>
      <c r="PT95" s="11">
        <v>458</v>
      </c>
      <c r="PU95" s="11">
        <v>343</v>
      </c>
      <c r="PV95" s="11">
        <v>346</v>
      </c>
      <c r="PW95" s="27">
        <f t="shared" si="81"/>
        <v>4873</v>
      </c>
      <c r="PX95" s="11">
        <v>144</v>
      </c>
      <c r="PY95" s="11">
        <v>141</v>
      </c>
      <c r="PZ95" s="11">
        <v>145</v>
      </c>
      <c r="QA95" s="11">
        <v>150</v>
      </c>
      <c r="QB95" s="11">
        <v>167</v>
      </c>
      <c r="QC95" s="11">
        <v>153</v>
      </c>
      <c r="QD95" s="11">
        <v>187</v>
      </c>
      <c r="QE95" s="11">
        <v>180</v>
      </c>
      <c r="QF95" s="11">
        <v>154</v>
      </c>
      <c r="QG95" s="11">
        <v>130</v>
      </c>
      <c r="QH95" s="11">
        <v>114</v>
      </c>
      <c r="QI95" s="11">
        <v>144</v>
      </c>
      <c r="QJ95" s="27">
        <f t="shared" si="82"/>
        <v>1809</v>
      </c>
      <c r="QK95" s="11">
        <v>4263</v>
      </c>
      <c r="QL95" s="11">
        <v>4939</v>
      </c>
      <c r="QM95" s="11">
        <v>4552</v>
      </c>
      <c r="QN95" s="11">
        <v>5884</v>
      </c>
      <c r="QO95" s="11">
        <v>5547</v>
      </c>
      <c r="QP95" s="11">
        <v>5068</v>
      </c>
      <c r="QQ95" s="11">
        <v>5529</v>
      </c>
      <c r="QR95" s="11">
        <v>4872</v>
      </c>
      <c r="QS95" s="11">
        <v>3569</v>
      </c>
      <c r="QT95" s="11">
        <v>4767</v>
      </c>
      <c r="QU95" s="11">
        <v>4491</v>
      </c>
      <c r="QV95" s="11">
        <v>5059</v>
      </c>
      <c r="QW95" s="27">
        <f t="shared" si="83"/>
        <v>58540</v>
      </c>
      <c r="QX95" s="11">
        <v>28012</v>
      </c>
      <c r="QY95" s="11">
        <v>26507</v>
      </c>
      <c r="QZ95" s="11">
        <v>24256</v>
      </c>
      <c r="RA95" s="11">
        <v>28099</v>
      </c>
      <c r="RB95" s="11">
        <v>29665</v>
      </c>
      <c r="RC95" s="11">
        <v>26738</v>
      </c>
      <c r="RD95" s="11">
        <v>29057</v>
      </c>
      <c r="RE95" s="11">
        <v>26086</v>
      </c>
      <c r="RF95" s="11">
        <v>18085</v>
      </c>
      <c r="RG95" s="11">
        <v>27000</v>
      </c>
      <c r="RH95" s="11">
        <v>26030</v>
      </c>
      <c r="RI95" s="11">
        <v>27990</v>
      </c>
      <c r="RJ95" s="27">
        <f t="shared" si="84"/>
        <v>317525</v>
      </c>
      <c r="RK95" s="11">
        <v>0</v>
      </c>
      <c r="RL95" s="11">
        <v>0</v>
      </c>
      <c r="RM95" s="11">
        <v>0</v>
      </c>
      <c r="RN95" s="11">
        <v>0</v>
      </c>
      <c r="RO95" s="11">
        <v>0</v>
      </c>
      <c r="RP95" s="11">
        <v>0</v>
      </c>
      <c r="RQ95" s="11">
        <v>0</v>
      </c>
      <c r="RR95" s="11">
        <v>0</v>
      </c>
      <c r="RS95" s="11">
        <v>0</v>
      </c>
      <c r="RT95" s="11">
        <v>0</v>
      </c>
      <c r="RU95" s="11">
        <v>0</v>
      </c>
      <c r="RV95" s="11">
        <v>0</v>
      </c>
      <c r="RW95" s="27">
        <f t="shared" si="85"/>
        <v>0</v>
      </c>
      <c r="RX95" s="11">
        <v>0</v>
      </c>
      <c r="RY95" s="11">
        <v>0</v>
      </c>
      <c r="RZ95" s="11">
        <v>0</v>
      </c>
      <c r="SA95" s="11">
        <v>0</v>
      </c>
      <c r="SB95" s="11">
        <v>0</v>
      </c>
      <c r="SC95" s="11">
        <v>0</v>
      </c>
      <c r="SD95" s="11">
        <v>0</v>
      </c>
      <c r="SE95" s="11">
        <v>0</v>
      </c>
      <c r="SF95" s="11">
        <v>0</v>
      </c>
      <c r="SG95" s="11">
        <v>0</v>
      </c>
      <c r="SH95" s="11">
        <v>0</v>
      </c>
      <c r="SI95" s="11">
        <v>0</v>
      </c>
      <c r="SJ95" s="27">
        <f t="shared" si="86"/>
        <v>0</v>
      </c>
      <c r="SK95" s="11">
        <v>187</v>
      </c>
      <c r="SL95" s="11">
        <v>189</v>
      </c>
      <c r="SM95" s="11">
        <v>174</v>
      </c>
      <c r="SN95" s="11">
        <v>211</v>
      </c>
      <c r="SO95" s="11">
        <v>191</v>
      </c>
      <c r="SP95" s="11">
        <v>188</v>
      </c>
      <c r="SQ95" s="11">
        <v>178</v>
      </c>
      <c r="SR95" s="11">
        <v>197</v>
      </c>
      <c r="SS95" s="11">
        <v>143</v>
      </c>
      <c r="ST95" s="11">
        <v>206</v>
      </c>
      <c r="SU95" s="11">
        <v>184</v>
      </c>
      <c r="SV95" s="11">
        <v>186</v>
      </c>
      <c r="SW95" s="27">
        <f t="shared" si="87"/>
        <v>2234</v>
      </c>
      <c r="SX95" s="11" t="s">
        <v>2734</v>
      </c>
      <c r="SY95" s="11">
        <v>4090</v>
      </c>
      <c r="SZ95" s="11">
        <v>3897</v>
      </c>
      <c r="TA95" s="11">
        <v>3986</v>
      </c>
      <c r="TB95" s="11">
        <v>4661</v>
      </c>
      <c r="TC95" s="11">
        <v>4678</v>
      </c>
      <c r="TD95" s="11">
        <v>4614</v>
      </c>
      <c r="TE95" s="11">
        <v>4640</v>
      </c>
      <c r="TF95" s="11">
        <v>4284</v>
      </c>
      <c r="TG95" s="11">
        <v>3654</v>
      </c>
      <c r="TH95" s="11">
        <v>4203</v>
      </c>
      <c r="TI95" s="11">
        <v>3928</v>
      </c>
      <c r="TJ95" s="11">
        <v>4143</v>
      </c>
      <c r="TK95" s="27">
        <f t="shared" si="88"/>
        <v>50778</v>
      </c>
      <c r="TL95" s="11">
        <v>0</v>
      </c>
      <c r="TM95" s="11">
        <v>0</v>
      </c>
      <c r="TN95" s="11">
        <v>0</v>
      </c>
      <c r="TO95" s="11">
        <v>0</v>
      </c>
      <c r="TP95" s="11">
        <v>0</v>
      </c>
      <c r="TQ95" s="11">
        <v>0</v>
      </c>
      <c r="TR95" s="11">
        <v>0</v>
      </c>
      <c r="TS95" s="11">
        <v>0</v>
      </c>
      <c r="TT95" s="11">
        <v>0</v>
      </c>
      <c r="TU95" s="11">
        <v>0</v>
      </c>
      <c r="TV95" s="11">
        <v>0</v>
      </c>
      <c r="TW95" s="11">
        <v>0</v>
      </c>
      <c r="TX95" s="27">
        <f t="shared" si="89"/>
        <v>0</v>
      </c>
      <c r="TY95" s="11">
        <v>108</v>
      </c>
      <c r="TZ95" s="11"/>
      <c r="UA95" s="11"/>
    </row>
    <row r="96" spans="1:547" ht="16" customHeight="1" x14ac:dyDescent="0.35">
      <c r="A96" s="11" t="s">
        <v>1537</v>
      </c>
      <c r="B96" s="11">
        <v>9664</v>
      </c>
      <c r="C96" s="11"/>
      <c r="D96" s="11"/>
      <c r="E96" s="11"/>
      <c r="F96" s="11">
        <v>15</v>
      </c>
      <c r="G96" s="11">
        <v>16</v>
      </c>
      <c r="H96" s="11">
        <v>21</v>
      </c>
      <c r="I96" s="11">
        <v>21</v>
      </c>
      <c r="J96" s="11">
        <v>20</v>
      </c>
      <c r="K96" s="11">
        <v>14</v>
      </c>
      <c r="L96" s="11">
        <v>20</v>
      </c>
      <c r="M96" s="11">
        <v>22</v>
      </c>
      <c r="N96" s="11">
        <v>13</v>
      </c>
      <c r="O96" s="11">
        <v>14</v>
      </c>
      <c r="P96" s="11" t="s">
        <v>2863</v>
      </c>
      <c r="Q96" s="11">
        <v>18</v>
      </c>
      <c r="R96" s="11">
        <v>22</v>
      </c>
      <c r="S96" s="26">
        <f t="shared" si="45"/>
        <v>216</v>
      </c>
      <c r="T96" s="11">
        <v>0</v>
      </c>
      <c r="U96" s="11">
        <v>0</v>
      </c>
      <c r="V96" s="11">
        <v>0</v>
      </c>
      <c r="W96" s="11">
        <v>0</v>
      </c>
      <c r="X96" s="11">
        <v>0</v>
      </c>
      <c r="Y96" s="11">
        <v>0</v>
      </c>
      <c r="Z96" s="11">
        <v>0</v>
      </c>
      <c r="AA96" s="11">
        <v>0</v>
      </c>
      <c r="AB96" s="11">
        <v>0</v>
      </c>
      <c r="AC96" s="11">
        <v>0</v>
      </c>
      <c r="AD96" s="11">
        <v>0</v>
      </c>
      <c r="AE96" s="11">
        <v>0</v>
      </c>
      <c r="AF96" s="26">
        <f t="shared" si="46"/>
        <v>0</v>
      </c>
      <c r="AG96" s="11">
        <v>15</v>
      </c>
      <c r="AH96" s="11">
        <v>16</v>
      </c>
      <c r="AI96" s="11">
        <v>21</v>
      </c>
      <c r="AJ96" s="11">
        <v>21</v>
      </c>
      <c r="AK96" s="11">
        <v>20</v>
      </c>
      <c r="AL96" s="11">
        <v>14</v>
      </c>
      <c r="AM96" s="11">
        <v>20</v>
      </c>
      <c r="AN96" s="11">
        <v>22</v>
      </c>
      <c r="AO96" s="11">
        <v>13</v>
      </c>
      <c r="AP96" s="11">
        <v>14</v>
      </c>
      <c r="AQ96" s="11">
        <v>18</v>
      </c>
      <c r="AR96" s="11">
        <v>22</v>
      </c>
      <c r="AS96" s="26">
        <f t="shared" si="47"/>
        <v>216</v>
      </c>
      <c r="AT96" s="11">
        <v>0</v>
      </c>
      <c r="AU96" s="11">
        <v>0</v>
      </c>
      <c r="AV96" s="11">
        <v>0</v>
      </c>
      <c r="AW96" s="11">
        <v>0</v>
      </c>
      <c r="AX96" s="11">
        <v>0</v>
      </c>
      <c r="AY96" s="11">
        <v>0</v>
      </c>
      <c r="AZ96" s="11">
        <v>0</v>
      </c>
      <c r="BA96" s="11">
        <v>0</v>
      </c>
      <c r="BB96" s="11">
        <v>0</v>
      </c>
      <c r="BC96" s="11">
        <v>0</v>
      </c>
      <c r="BD96" s="11">
        <v>0</v>
      </c>
      <c r="BE96" s="11">
        <v>0</v>
      </c>
      <c r="BF96" s="26">
        <f t="shared" si="48"/>
        <v>0</v>
      </c>
      <c r="BG96" s="11">
        <v>0</v>
      </c>
      <c r="BH96" s="11">
        <v>0</v>
      </c>
      <c r="BI96" s="11">
        <v>0</v>
      </c>
      <c r="BJ96" s="11">
        <v>0</v>
      </c>
      <c r="BK96" s="11">
        <v>0</v>
      </c>
      <c r="BL96" s="11">
        <v>0</v>
      </c>
      <c r="BM96" s="11">
        <v>0</v>
      </c>
      <c r="BN96" s="11">
        <v>0</v>
      </c>
      <c r="BO96" s="11">
        <v>0</v>
      </c>
      <c r="BP96" s="11">
        <v>0</v>
      </c>
      <c r="BQ96" s="11">
        <v>0</v>
      </c>
      <c r="BR96" s="11">
        <v>0</v>
      </c>
      <c r="BS96" s="26">
        <f t="shared" si="49"/>
        <v>0</v>
      </c>
      <c r="BT96" s="11">
        <v>0</v>
      </c>
      <c r="BU96" s="11">
        <v>0</v>
      </c>
      <c r="BV96" s="11">
        <v>0</v>
      </c>
      <c r="BW96" s="11">
        <v>0</v>
      </c>
      <c r="BX96" s="11">
        <v>0</v>
      </c>
      <c r="BY96" s="11">
        <v>0</v>
      </c>
      <c r="BZ96" s="11">
        <v>0</v>
      </c>
      <c r="CA96" s="11">
        <v>0</v>
      </c>
      <c r="CB96" s="11">
        <v>0</v>
      </c>
      <c r="CC96" s="11">
        <v>0</v>
      </c>
      <c r="CD96" s="11">
        <v>0</v>
      </c>
      <c r="CE96" s="11">
        <v>0</v>
      </c>
      <c r="CF96" s="26">
        <f t="shared" si="50"/>
        <v>0</v>
      </c>
      <c r="CG96" s="11">
        <v>0</v>
      </c>
      <c r="CH96" s="11">
        <v>0</v>
      </c>
      <c r="CI96" s="11">
        <v>0</v>
      </c>
      <c r="CJ96" s="11">
        <v>0</v>
      </c>
      <c r="CK96" s="11">
        <v>0</v>
      </c>
      <c r="CL96" s="11">
        <v>0</v>
      </c>
      <c r="CM96" s="11">
        <v>0</v>
      </c>
      <c r="CN96" s="11">
        <v>0</v>
      </c>
      <c r="CO96" s="11">
        <v>0</v>
      </c>
      <c r="CP96" s="11">
        <v>0</v>
      </c>
      <c r="CQ96" s="11">
        <v>0</v>
      </c>
      <c r="CR96" s="11">
        <v>0</v>
      </c>
      <c r="CS96" s="26">
        <f t="shared" si="51"/>
        <v>0</v>
      </c>
      <c r="CT96" s="11">
        <v>0</v>
      </c>
      <c r="CU96" s="11">
        <v>0</v>
      </c>
      <c r="CV96" s="11">
        <v>0</v>
      </c>
      <c r="CW96" s="11">
        <v>0</v>
      </c>
      <c r="CX96" s="11">
        <v>0</v>
      </c>
      <c r="CY96" s="11">
        <v>0</v>
      </c>
      <c r="CZ96" s="11">
        <v>0</v>
      </c>
      <c r="DA96" s="11">
        <v>0</v>
      </c>
      <c r="DB96" s="11">
        <v>0</v>
      </c>
      <c r="DC96" s="11">
        <v>0</v>
      </c>
      <c r="DD96" s="11">
        <v>0</v>
      </c>
      <c r="DE96" s="11">
        <v>0</v>
      </c>
      <c r="DF96" s="26">
        <f t="shared" si="52"/>
        <v>0</v>
      </c>
      <c r="DG96" s="11">
        <v>0</v>
      </c>
      <c r="DH96" s="11">
        <v>0</v>
      </c>
      <c r="DI96" s="11">
        <v>0</v>
      </c>
      <c r="DJ96" s="11">
        <v>0</v>
      </c>
      <c r="DK96" s="11">
        <v>0</v>
      </c>
      <c r="DL96" s="11">
        <v>0</v>
      </c>
      <c r="DM96" s="11">
        <v>0</v>
      </c>
      <c r="DN96" s="11">
        <v>0</v>
      </c>
      <c r="DO96" s="11">
        <v>0</v>
      </c>
      <c r="DP96" s="11">
        <v>0</v>
      </c>
      <c r="DQ96" s="11">
        <v>0</v>
      </c>
      <c r="DR96" s="11">
        <v>0</v>
      </c>
      <c r="DS96" s="26">
        <f t="shared" si="53"/>
        <v>0</v>
      </c>
      <c r="DT96" s="11">
        <v>0</v>
      </c>
      <c r="DU96" s="11">
        <v>0</v>
      </c>
      <c r="DV96" s="11">
        <v>0</v>
      </c>
      <c r="DW96" s="11">
        <v>0</v>
      </c>
      <c r="DX96" s="11">
        <v>0</v>
      </c>
      <c r="DY96" s="11">
        <v>0</v>
      </c>
      <c r="DZ96" s="11">
        <v>0</v>
      </c>
      <c r="EA96" s="11">
        <v>0</v>
      </c>
      <c r="EB96" s="11">
        <v>0</v>
      </c>
      <c r="EC96" s="11">
        <v>0</v>
      </c>
      <c r="ED96" s="11">
        <v>0</v>
      </c>
      <c r="EE96" s="11">
        <v>0</v>
      </c>
      <c r="EF96" s="26">
        <f t="shared" si="54"/>
        <v>0</v>
      </c>
      <c r="EG96" s="9">
        <f t="shared" si="55"/>
        <v>216</v>
      </c>
      <c r="EH96" s="9">
        <f t="shared" si="56"/>
        <v>0</v>
      </c>
      <c r="EI96" s="11">
        <v>343</v>
      </c>
      <c r="EJ96" s="11">
        <v>422</v>
      </c>
      <c r="EK96" s="11">
        <v>395</v>
      </c>
      <c r="EL96" s="11">
        <v>526</v>
      </c>
      <c r="EM96" s="11">
        <v>375</v>
      </c>
      <c r="EN96" s="11">
        <v>268</v>
      </c>
      <c r="EO96" s="11">
        <v>486</v>
      </c>
      <c r="EP96" s="11">
        <v>442</v>
      </c>
      <c r="EQ96" s="11">
        <v>369</v>
      </c>
      <c r="ER96" s="11">
        <v>373</v>
      </c>
      <c r="ES96" s="11">
        <v>444</v>
      </c>
      <c r="ET96" s="11">
        <v>482</v>
      </c>
      <c r="EU96" s="26">
        <f t="shared" si="57"/>
        <v>4925</v>
      </c>
      <c r="EV96" s="11">
        <v>141</v>
      </c>
      <c r="EW96" s="11">
        <v>145</v>
      </c>
      <c r="EX96" s="11">
        <v>165</v>
      </c>
      <c r="EY96" s="11">
        <v>155</v>
      </c>
      <c r="EZ96" s="11">
        <v>172</v>
      </c>
      <c r="FA96" s="11">
        <v>128</v>
      </c>
      <c r="FB96" s="11">
        <v>216</v>
      </c>
      <c r="FC96" s="11">
        <v>179</v>
      </c>
      <c r="FD96" s="11">
        <v>133</v>
      </c>
      <c r="FE96" s="11">
        <v>175</v>
      </c>
      <c r="FF96" s="11">
        <v>200</v>
      </c>
      <c r="FG96" s="11">
        <v>235</v>
      </c>
      <c r="FH96" s="26">
        <f t="shared" si="58"/>
        <v>2044</v>
      </c>
      <c r="FI96" s="11">
        <v>202</v>
      </c>
      <c r="FJ96" s="11">
        <v>277</v>
      </c>
      <c r="FK96" s="11">
        <v>230</v>
      </c>
      <c r="FL96" s="11">
        <v>371</v>
      </c>
      <c r="FM96" s="11">
        <v>203</v>
      </c>
      <c r="FN96" s="11">
        <v>140</v>
      </c>
      <c r="FO96" s="11">
        <v>270</v>
      </c>
      <c r="FP96" s="11">
        <v>263</v>
      </c>
      <c r="FQ96" s="11">
        <v>236</v>
      </c>
      <c r="FR96" s="11">
        <v>198</v>
      </c>
      <c r="FS96" s="11">
        <v>244</v>
      </c>
      <c r="FT96" s="11">
        <v>247</v>
      </c>
      <c r="FU96" s="26">
        <f t="shared" si="59"/>
        <v>2881</v>
      </c>
      <c r="FV96" s="11">
        <v>0</v>
      </c>
      <c r="FW96" s="11">
        <v>0</v>
      </c>
      <c r="FX96" s="11">
        <v>0</v>
      </c>
      <c r="FY96" s="11">
        <v>0</v>
      </c>
      <c r="FZ96" s="11">
        <v>0</v>
      </c>
      <c r="GA96" s="11">
        <v>0</v>
      </c>
      <c r="GB96" s="11">
        <v>0</v>
      </c>
      <c r="GC96" s="11">
        <v>0</v>
      </c>
      <c r="GD96" s="11">
        <v>0</v>
      </c>
      <c r="GE96" s="11">
        <v>0</v>
      </c>
      <c r="GF96" s="11">
        <v>0</v>
      </c>
      <c r="GG96" s="11">
        <v>0</v>
      </c>
      <c r="GH96" s="26">
        <f t="shared" si="60"/>
        <v>0</v>
      </c>
      <c r="GI96" s="11">
        <v>0</v>
      </c>
      <c r="GJ96" s="11">
        <v>0</v>
      </c>
      <c r="GK96" s="11">
        <v>0</v>
      </c>
      <c r="GL96" s="11">
        <v>0</v>
      </c>
      <c r="GM96" s="11">
        <v>0</v>
      </c>
      <c r="GN96" s="11">
        <v>0</v>
      </c>
      <c r="GO96" s="11">
        <v>0</v>
      </c>
      <c r="GP96" s="11">
        <v>0</v>
      </c>
      <c r="GQ96" s="11">
        <v>0</v>
      </c>
      <c r="GR96" s="11">
        <v>0</v>
      </c>
      <c r="GS96" s="11">
        <v>0</v>
      </c>
      <c r="GT96" s="11">
        <v>0</v>
      </c>
      <c r="GU96" s="26">
        <f t="shared" si="61"/>
        <v>0</v>
      </c>
      <c r="GV96" s="11">
        <v>0</v>
      </c>
      <c r="GW96" s="11">
        <v>0</v>
      </c>
      <c r="GX96" s="11">
        <v>0</v>
      </c>
      <c r="GY96" s="11">
        <v>0</v>
      </c>
      <c r="GZ96" s="11">
        <v>0</v>
      </c>
      <c r="HA96" s="11">
        <v>0</v>
      </c>
      <c r="HB96" s="11">
        <v>0</v>
      </c>
      <c r="HC96" s="11">
        <v>0</v>
      </c>
      <c r="HD96" s="11">
        <v>0</v>
      </c>
      <c r="HE96" s="11">
        <v>0</v>
      </c>
      <c r="HF96" s="11">
        <v>0</v>
      </c>
      <c r="HG96" s="11">
        <v>0</v>
      </c>
      <c r="HH96" s="26">
        <f t="shared" si="62"/>
        <v>0</v>
      </c>
      <c r="HI96" s="11">
        <v>0</v>
      </c>
      <c r="HJ96" s="11">
        <v>0</v>
      </c>
      <c r="HK96" s="11">
        <v>0</v>
      </c>
      <c r="HL96" s="11">
        <v>0</v>
      </c>
      <c r="HM96" s="11">
        <v>0</v>
      </c>
      <c r="HN96" s="11">
        <v>0</v>
      </c>
      <c r="HO96" s="11">
        <v>0</v>
      </c>
      <c r="HP96" s="11">
        <v>0</v>
      </c>
      <c r="HQ96" s="11">
        <v>0</v>
      </c>
      <c r="HR96" s="11">
        <v>0</v>
      </c>
      <c r="HS96" s="11">
        <v>0</v>
      </c>
      <c r="HT96" s="11">
        <v>0</v>
      </c>
      <c r="HU96" s="26">
        <f t="shared" si="63"/>
        <v>0</v>
      </c>
      <c r="HV96" s="11">
        <v>0</v>
      </c>
      <c r="HW96" s="11">
        <v>0</v>
      </c>
      <c r="HX96" s="11">
        <v>0</v>
      </c>
      <c r="HY96" s="11">
        <v>0</v>
      </c>
      <c r="HZ96" s="11">
        <v>0</v>
      </c>
      <c r="IA96" s="11">
        <v>0</v>
      </c>
      <c r="IB96" s="11">
        <v>0</v>
      </c>
      <c r="IC96" s="11">
        <v>0</v>
      </c>
      <c r="ID96" s="11">
        <v>0</v>
      </c>
      <c r="IE96" s="11">
        <v>0</v>
      </c>
      <c r="IF96" s="11">
        <v>0</v>
      </c>
      <c r="IG96" s="11">
        <v>0</v>
      </c>
      <c r="IH96" s="26">
        <f t="shared" si="64"/>
        <v>0</v>
      </c>
      <c r="II96" s="9">
        <f t="shared" si="65"/>
        <v>4925</v>
      </c>
      <c r="IJ96" s="9">
        <f t="shared" si="66"/>
        <v>0</v>
      </c>
      <c r="IK96" s="11">
        <v>13503</v>
      </c>
      <c r="IL96" s="11">
        <v>13252</v>
      </c>
      <c r="IM96" s="11">
        <v>11068</v>
      </c>
      <c r="IN96" s="11">
        <v>14824</v>
      </c>
      <c r="IO96" s="11">
        <v>14881</v>
      </c>
      <c r="IP96" s="11">
        <v>12293</v>
      </c>
      <c r="IQ96" s="11">
        <v>13038</v>
      </c>
      <c r="IR96" s="11">
        <v>11144</v>
      </c>
      <c r="IS96" s="11">
        <v>7052</v>
      </c>
      <c r="IT96" s="11">
        <v>11686</v>
      </c>
      <c r="IU96" s="11">
        <v>11146</v>
      </c>
      <c r="IV96" s="11">
        <v>10660</v>
      </c>
      <c r="IW96" s="27">
        <f t="shared" si="67"/>
        <v>144547</v>
      </c>
      <c r="IX96" s="11">
        <v>7335</v>
      </c>
      <c r="IY96" s="11">
        <v>7597</v>
      </c>
      <c r="IZ96" s="11">
        <v>6397</v>
      </c>
      <c r="JA96" s="11">
        <v>7716</v>
      </c>
      <c r="JB96" s="11">
        <v>7408</v>
      </c>
      <c r="JC96" s="11">
        <v>7042</v>
      </c>
      <c r="JD96" s="11">
        <v>7105</v>
      </c>
      <c r="JE96" s="11">
        <v>6287</v>
      </c>
      <c r="JF96" s="11">
        <v>4377</v>
      </c>
      <c r="JG96" s="11">
        <v>6457</v>
      </c>
      <c r="JH96" s="11">
        <v>6028</v>
      </c>
      <c r="JI96" s="11">
        <v>6201</v>
      </c>
      <c r="JJ96" s="27">
        <f t="shared" si="68"/>
        <v>79950</v>
      </c>
      <c r="JK96" s="11">
        <v>5896</v>
      </c>
      <c r="JL96" s="11">
        <v>5411</v>
      </c>
      <c r="JM96" s="11">
        <v>4467</v>
      </c>
      <c r="JN96" s="11">
        <v>6778</v>
      </c>
      <c r="JO96" s="11">
        <v>7089</v>
      </c>
      <c r="JP96" s="11">
        <v>4992</v>
      </c>
      <c r="JQ96" s="11">
        <v>5697</v>
      </c>
      <c r="JR96" s="11">
        <v>4641</v>
      </c>
      <c r="JS96" s="11">
        <v>2557</v>
      </c>
      <c r="JT96" s="11">
        <v>5025</v>
      </c>
      <c r="JU96" s="11">
        <v>4927</v>
      </c>
      <c r="JV96" s="11">
        <v>4262</v>
      </c>
      <c r="JW96" s="27">
        <f t="shared" si="69"/>
        <v>61742</v>
      </c>
      <c r="JX96" s="11">
        <v>272</v>
      </c>
      <c r="JY96" s="11">
        <v>244</v>
      </c>
      <c r="JZ96" s="11">
        <v>204</v>
      </c>
      <c r="KA96" s="11">
        <v>330</v>
      </c>
      <c r="KB96" s="11">
        <v>384</v>
      </c>
      <c r="KC96" s="11">
        <v>259</v>
      </c>
      <c r="KD96" s="11">
        <v>236</v>
      </c>
      <c r="KE96" s="11">
        <v>216</v>
      </c>
      <c r="KF96" s="11">
        <v>118</v>
      </c>
      <c r="KG96" s="11">
        <v>204</v>
      </c>
      <c r="KH96" s="11">
        <v>191</v>
      </c>
      <c r="KI96" s="11">
        <v>197</v>
      </c>
      <c r="KJ96" s="27">
        <f t="shared" si="70"/>
        <v>2855</v>
      </c>
      <c r="KK96" s="11">
        <v>408</v>
      </c>
      <c r="KL96" s="11">
        <v>411</v>
      </c>
      <c r="KM96" s="11">
        <v>388</v>
      </c>
      <c r="KN96" s="11">
        <v>473</v>
      </c>
      <c r="KO96" s="11">
        <v>439</v>
      </c>
      <c r="KP96" s="11">
        <v>464</v>
      </c>
      <c r="KQ96" s="11">
        <v>345</v>
      </c>
      <c r="KR96" s="11">
        <v>318</v>
      </c>
      <c r="KS96" s="11">
        <v>283</v>
      </c>
      <c r="KT96" s="11">
        <v>386</v>
      </c>
      <c r="KU96" s="11">
        <v>341</v>
      </c>
      <c r="KV96" s="11">
        <v>312</v>
      </c>
      <c r="KW96" s="27">
        <f t="shared" si="71"/>
        <v>4568</v>
      </c>
      <c r="KX96" s="11">
        <v>382</v>
      </c>
      <c r="KY96" s="11">
        <v>382</v>
      </c>
      <c r="KZ96" s="11">
        <v>361</v>
      </c>
      <c r="LA96" s="11">
        <v>450</v>
      </c>
      <c r="LB96" s="11">
        <v>401</v>
      </c>
      <c r="LC96" s="11">
        <v>439</v>
      </c>
      <c r="LD96" s="11">
        <v>322</v>
      </c>
      <c r="LE96" s="11">
        <v>308</v>
      </c>
      <c r="LF96" s="11">
        <v>275</v>
      </c>
      <c r="LG96" s="11">
        <v>373</v>
      </c>
      <c r="LH96" s="11">
        <v>323</v>
      </c>
      <c r="LI96" s="11">
        <v>302</v>
      </c>
      <c r="LJ96" s="27">
        <f t="shared" si="72"/>
        <v>4318</v>
      </c>
      <c r="LK96" s="11">
        <v>26</v>
      </c>
      <c r="LL96" s="11">
        <v>27</v>
      </c>
      <c r="LM96" s="11">
        <v>26</v>
      </c>
      <c r="LN96" s="11">
        <v>22</v>
      </c>
      <c r="LO96" s="11">
        <v>38</v>
      </c>
      <c r="LP96" s="11">
        <v>22</v>
      </c>
      <c r="LQ96" s="11">
        <v>22</v>
      </c>
      <c r="LR96" s="11">
        <v>9</v>
      </c>
      <c r="LS96" s="11">
        <v>7</v>
      </c>
      <c r="LT96" s="11">
        <v>12</v>
      </c>
      <c r="LU96" s="11">
        <v>18</v>
      </c>
      <c r="LV96" s="11">
        <v>9</v>
      </c>
      <c r="LW96" s="27">
        <f t="shared" si="73"/>
        <v>238</v>
      </c>
      <c r="LX96" s="11">
        <v>0</v>
      </c>
      <c r="LY96" s="11">
        <v>2</v>
      </c>
      <c r="LZ96" s="11">
        <v>1</v>
      </c>
      <c r="MA96" s="11">
        <v>1</v>
      </c>
      <c r="MB96" s="11">
        <v>0</v>
      </c>
      <c r="MC96" s="11">
        <v>3</v>
      </c>
      <c r="MD96" s="11">
        <v>1</v>
      </c>
      <c r="ME96" s="11">
        <v>1</v>
      </c>
      <c r="MF96" s="11">
        <v>1</v>
      </c>
      <c r="MG96" s="11">
        <v>1</v>
      </c>
      <c r="MH96" s="11">
        <v>0</v>
      </c>
      <c r="MI96" s="11">
        <v>1</v>
      </c>
      <c r="MJ96" s="27">
        <f t="shared" si="74"/>
        <v>12</v>
      </c>
      <c r="MK96" s="11">
        <v>556</v>
      </c>
      <c r="ML96" s="11">
        <v>570</v>
      </c>
      <c r="MM96" s="11">
        <v>484</v>
      </c>
      <c r="MN96" s="11">
        <v>624</v>
      </c>
      <c r="MO96" s="11">
        <v>641</v>
      </c>
      <c r="MP96" s="11">
        <v>585</v>
      </c>
      <c r="MQ96" s="11">
        <v>570</v>
      </c>
      <c r="MR96" s="11">
        <v>536</v>
      </c>
      <c r="MS96" s="11">
        <v>628</v>
      </c>
      <c r="MT96" s="11">
        <v>670</v>
      </c>
      <c r="MU96" s="11">
        <v>541</v>
      </c>
      <c r="MV96" s="11">
        <v>613</v>
      </c>
      <c r="MW96" s="27">
        <f t="shared" si="75"/>
        <v>7018</v>
      </c>
      <c r="MX96" s="11">
        <v>0</v>
      </c>
      <c r="MY96" s="11">
        <v>0</v>
      </c>
      <c r="MZ96" s="11">
        <v>0</v>
      </c>
      <c r="NA96" s="11">
        <v>0</v>
      </c>
      <c r="NB96" s="11">
        <v>0</v>
      </c>
      <c r="NC96" s="11">
        <v>0</v>
      </c>
      <c r="ND96" s="11">
        <v>0</v>
      </c>
      <c r="NE96" s="11">
        <v>0</v>
      </c>
      <c r="NF96" s="11">
        <v>0</v>
      </c>
      <c r="NG96" s="11">
        <v>0</v>
      </c>
      <c r="NH96" s="11">
        <v>0</v>
      </c>
      <c r="NI96" s="11">
        <v>0</v>
      </c>
      <c r="NJ96" s="27">
        <f t="shared" si="76"/>
        <v>0</v>
      </c>
      <c r="NK96" s="11">
        <v>0</v>
      </c>
      <c r="NL96" s="11">
        <v>0</v>
      </c>
      <c r="NM96" s="11">
        <v>0</v>
      </c>
      <c r="NN96" s="11">
        <v>0</v>
      </c>
      <c r="NO96" s="11">
        <v>0</v>
      </c>
      <c r="NP96" s="11">
        <v>0</v>
      </c>
      <c r="NQ96" s="11">
        <v>0</v>
      </c>
      <c r="NR96" s="11">
        <v>0</v>
      </c>
      <c r="NS96" s="11">
        <v>0</v>
      </c>
      <c r="NT96" s="11">
        <v>0</v>
      </c>
      <c r="NU96" s="11">
        <v>0</v>
      </c>
      <c r="NV96" s="11">
        <v>0</v>
      </c>
      <c r="NW96" s="27">
        <f t="shared" si="77"/>
        <v>0</v>
      </c>
      <c r="NX96" s="11">
        <v>0</v>
      </c>
      <c r="NY96" s="11">
        <v>0</v>
      </c>
      <c r="NZ96" s="11">
        <v>0</v>
      </c>
      <c r="OA96" s="11">
        <v>0</v>
      </c>
      <c r="OB96" s="11">
        <v>0</v>
      </c>
      <c r="OC96" s="11">
        <v>0</v>
      </c>
      <c r="OD96" s="11">
        <v>0</v>
      </c>
      <c r="OE96" s="11">
        <v>0</v>
      </c>
      <c r="OF96" s="11">
        <v>0</v>
      </c>
      <c r="OG96" s="11">
        <v>0</v>
      </c>
      <c r="OH96" s="11">
        <v>0</v>
      </c>
      <c r="OI96" s="11">
        <v>0</v>
      </c>
      <c r="OJ96" s="27">
        <f t="shared" si="78"/>
        <v>0</v>
      </c>
      <c r="OK96" s="11">
        <v>861</v>
      </c>
      <c r="OL96" s="11">
        <v>852</v>
      </c>
      <c r="OM96" s="11">
        <v>894</v>
      </c>
      <c r="ON96" s="11">
        <v>1005</v>
      </c>
      <c r="OO96" s="11">
        <v>1021</v>
      </c>
      <c r="OP96" s="11">
        <v>999</v>
      </c>
      <c r="OQ96" s="11">
        <v>922</v>
      </c>
      <c r="OR96" s="11">
        <v>902</v>
      </c>
      <c r="OS96" s="11">
        <v>897</v>
      </c>
      <c r="OT96" s="11">
        <v>1104</v>
      </c>
      <c r="OU96" s="11">
        <v>1091</v>
      </c>
      <c r="OV96" s="11">
        <v>1147</v>
      </c>
      <c r="OW96" s="27">
        <f t="shared" si="79"/>
        <v>11695</v>
      </c>
      <c r="OX96" s="11">
        <v>0</v>
      </c>
      <c r="OY96" s="11">
        <v>0</v>
      </c>
      <c r="OZ96" s="11">
        <v>0</v>
      </c>
      <c r="PA96" s="11">
        <v>0</v>
      </c>
      <c r="PB96" s="11">
        <v>0</v>
      </c>
      <c r="PC96" s="11">
        <v>0</v>
      </c>
      <c r="PD96" s="11">
        <v>0</v>
      </c>
      <c r="PE96" s="11">
        <v>0</v>
      </c>
      <c r="PF96" s="11">
        <v>0</v>
      </c>
      <c r="PG96" s="11">
        <v>0</v>
      </c>
      <c r="PH96" s="11">
        <v>0</v>
      </c>
      <c r="PI96" s="11">
        <v>0</v>
      </c>
      <c r="PJ96" s="27">
        <f t="shared" si="80"/>
        <v>0</v>
      </c>
      <c r="PK96" s="11">
        <v>0</v>
      </c>
      <c r="PL96" s="11">
        <v>0</v>
      </c>
      <c r="PM96" s="11">
        <v>0</v>
      </c>
      <c r="PN96" s="11">
        <v>0</v>
      </c>
      <c r="PO96" s="11">
        <v>0</v>
      </c>
      <c r="PP96" s="11">
        <v>0</v>
      </c>
      <c r="PQ96" s="11">
        <v>0</v>
      </c>
      <c r="PR96" s="11">
        <v>0</v>
      </c>
      <c r="PS96" s="11">
        <v>0</v>
      </c>
      <c r="PT96" s="11">
        <v>0</v>
      </c>
      <c r="PU96" s="11">
        <v>0</v>
      </c>
      <c r="PV96" s="11">
        <v>0</v>
      </c>
      <c r="PW96" s="27">
        <f t="shared" si="81"/>
        <v>0</v>
      </c>
      <c r="PX96" s="11">
        <v>0</v>
      </c>
      <c r="PY96" s="11">
        <v>0</v>
      </c>
      <c r="PZ96" s="11">
        <v>0</v>
      </c>
      <c r="QA96" s="11">
        <v>0</v>
      </c>
      <c r="QB96" s="11">
        <v>0</v>
      </c>
      <c r="QC96" s="11">
        <v>0</v>
      </c>
      <c r="QD96" s="11">
        <v>0</v>
      </c>
      <c r="QE96" s="11">
        <v>0</v>
      </c>
      <c r="QF96" s="11">
        <v>0</v>
      </c>
      <c r="QG96" s="11">
        <v>0</v>
      </c>
      <c r="QH96" s="11">
        <v>0</v>
      </c>
      <c r="QI96" s="11">
        <v>0</v>
      </c>
      <c r="QJ96" s="27">
        <f t="shared" si="82"/>
        <v>0</v>
      </c>
      <c r="QK96" s="11">
        <v>0</v>
      </c>
      <c r="QL96" s="11">
        <v>0</v>
      </c>
      <c r="QM96" s="11">
        <v>0</v>
      </c>
      <c r="QN96" s="11">
        <v>0</v>
      </c>
      <c r="QO96" s="11">
        <v>0</v>
      </c>
      <c r="QP96" s="11">
        <v>0</v>
      </c>
      <c r="QQ96" s="11">
        <v>0</v>
      </c>
      <c r="QR96" s="11">
        <v>0</v>
      </c>
      <c r="QS96" s="11">
        <v>0</v>
      </c>
      <c r="QT96" s="11">
        <v>0</v>
      </c>
      <c r="QU96" s="11">
        <v>0</v>
      </c>
      <c r="QV96" s="11">
        <v>0</v>
      </c>
      <c r="QW96" s="27">
        <f t="shared" si="83"/>
        <v>0</v>
      </c>
      <c r="QX96" s="11">
        <v>0</v>
      </c>
      <c r="QY96" s="11">
        <v>0</v>
      </c>
      <c r="QZ96" s="11">
        <v>0</v>
      </c>
      <c r="RA96" s="11">
        <v>0</v>
      </c>
      <c r="RB96" s="11">
        <v>0</v>
      </c>
      <c r="RC96" s="11">
        <v>0</v>
      </c>
      <c r="RD96" s="11">
        <v>0</v>
      </c>
      <c r="RE96" s="11">
        <v>0</v>
      </c>
      <c r="RF96" s="11">
        <v>0</v>
      </c>
      <c r="RG96" s="11">
        <v>0</v>
      </c>
      <c r="RH96" s="11">
        <v>0</v>
      </c>
      <c r="RI96" s="11">
        <v>0</v>
      </c>
      <c r="RJ96" s="27">
        <f t="shared" si="84"/>
        <v>0</v>
      </c>
      <c r="RK96" s="11">
        <v>0</v>
      </c>
      <c r="RL96" s="11">
        <v>0</v>
      </c>
      <c r="RM96" s="11">
        <v>0</v>
      </c>
      <c r="RN96" s="11">
        <v>0</v>
      </c>
      <c r="RO96" s="11">
        <v>0</v>
      </c>
      <c r="RP96" s="11">
        <v>0</v>
      </c>
      <c r="RQ96" s="11">
        <v>0</v>
      </c>
      <c r="RR96" s="11">
        <v>0</v>
      </c>
      <c r="RS96" s="11">
        <v>0</v>
      </c>
      <c r="RT96" s="11">
        <v>0</v>
      </c>
      <c r="RU96" s="11">
        <v>0</v>
      </c>
      <c r="RV96" s="11">
        <v>0</v>
      </c>
      <c r="RW96" s="27">
        <f t="shared" si="85"/>
        <v>0</v>
      </c>
      <c r="RX96" s="11">
        <v>0</v>
      </c>
      <c r="RY96" s="11">
        <v>0</v>
      </c>
      <c r="RZ96" s="11">
        <v>0</v>
      </c>
      <c r="SA96" s="11">
        <v>0</v>
      </c>
      <c r="SB96" s="11">
        <v>0</v>
      </c>
      <c r="SC96" s="11">
        <v>0</v>
      </c>
      <c r="SD96" s="11">
        <v>0</v>
      </c>
      <c r="SE96" s="11">
        <v>0</v>
      </c>
      <c r="SF96" s="11">
        <v>0</v>
      </c>
      <c r="SG96" s="11">
        <v>0</v>
      </c>
      <c r="SH96" s="11">
        <v>0</v>
      </c>
      <c r="SI96" s="11">
        <v>0</v>
      </c>
      <c r="SJ96" s="27">
        <f t="shared" si="86"/>
        <v>0</v>
      </c>
      <c r="SK96" s="11">
        <v>80</v>
      </c>
      <c r="SL96" s="11">
        <v>40</v>
      </c>
      <c r="SM96" s="11">
        <v>80</v>
      </c>
      <c r="SN96" s="11">
        <v>40</v>
      </c>
      <c r="SO96" s="11">
        <v>78</v>
      </c>
      <c r="SP96" s="11">
        <v>39</v>
      </c>
      <c r="SQ96" s="11">
        <v>78</v>
      </c>
      <c r="SR96" s="11">
        <v>39</v>
      </c>
      <c r="SS96" s="11">
        <v>39</v>
      </c>
      <c r="ST96" s="11">
        <v>39</v>
      </c>
      <c r="SU96" s="11">
        <v>39</v>
      </c>
      <c r="SV96" s="11">
        <v>39</v>
      </c>
      <c r="SW96" s="27">
        <f t="shared" si="87"/>
        <v>630</v>
      </c>
      <c r="SX96" s="11" t="s">
        <v>2735</v>
      </c>
      <c r="SY96" s="11">
        <v>1442</v>
      </c>
      <c r="SZ96" s="11">
        <v>1470</v>
      </c>
      <c r="TA96" s="11">
        <v>1501</v>
      </c>
      <c r="TB96" s="11">
        <v>1679</v>
      </c>
      <c r="TC96" s="11">
        <v>1860</v>
      </c>
      <c r="TD96" s="11">
        <v>1602</v>
      </c>
      <c r="TE96" s="11">
        <v>1669</v>
      </c>
      <c r="TF96" s="11">
        <v>1108</v>
      </c>
      <c r="TG96" s="11">
        <v>1083</v>
      </c>
      <c r="TH96" s="11">
        <v>1584</v>
      </c>
      <c r="TI96" s="11">
        <v>1567</v>
      </c>
      <c r="TJ96" s="11">
        <v>1852</v>
      </c>
      <c r="TK96" s="27">
        <f t="shared" si="88"/>
        <v>18417</v>
      </c>
      <c r="TL96" s="11">
        <v>0</v>
      </c>
      <c r="TM96" s="11">
        <v>0</v>
      </c>
      <c r="TN96" s="11">
        <v>0</v>
      </c>
      <c r="TO96" s="11">
        <v>0</v>
      </c>
      <c r="TP96" s="11">
        <v>0</v>
      </c>
      <c r="TQ96" s="11">
        <v>0</v>
      </c>
      <c r="TR96" s="11">
        <v>0</v>
      </c>
      <c r="TS96" s="11">
        <v>0</v>
      </c>
      <c r="TT96" s="11">
        <v>0</v>
      </c>
      <c r="TU96" s="11">
        <v>0</v>
      </c>
      <c r="TV96" s="11">
        <v>0</v>
      </c>
      <c r="TW96" s="11">
        <v>0</v>
      </c>
      <c r="TX96" s="27">
        <f t="shared" si="89"/>
        <v>0</v>
      </c>
      <c r="TY96" s="11">
        <v>66</v>
      </c>
      <c r="TZ96" s="11">
        <v>33</v>
      </c>
      <c r="UA96" s="11">
        <v>61</v>
      </c>
    </row>
    <row r="97" spans="1:547" ht="16" customHeight="1" x14ac:dyDescent="0.35">
      <c r="A97" s="11" t="s">
        <v>1535</v>
      </c>
      <c r="B97" s="11">
        <v>24422</v>
      </c>
      <c r="C97" s="11">
        <v>6168</v>
      </c>
      <c r="D97" s="11">
        <v>14835</v>
      </c>
      <c r="E97" s="11">
        <v>3419</v>
      </c>
      <c r="F97" s="11">
        <v>0</v>
      </c>
      <c r="G97" s="11">
        <v>0</v>
      </c>
      <c r="H97" s="11">
        <v>0</v>
      </c>
      <c r="I97" s="11">
        <v>0</v>
      </c>
      <c r="J97" s="11">
        <v>0</v>
      </c>
      <c r="K97" s="11">
        <v>0</v>
      </c>
      <c r="L97" s="11">
        <v>0</v>
      </c>
      <c r="M97" s="11">
        <v>0</v>
      </c>
      <c r="N97" s="11">
        <v>0</v>
      </c>
      <c r="O97" s="11">
        <v>0</v>
      </c>
      <c r="P97" s="11" t="s">
        <v>2862</v>
      </c>
      <c r="Q97" s="11">
        <v>0</v>
      </c>
      <c r="R97" s="11">
        <v>3140</v>
      </c>
      <c r="S97" s="26">
        <f t="shared" si="45"/>
        <v>3140</v>
      </c>
      <c r="T97" s="11">
        <v>0</v>
      </c>
      <c r="U97" s="11">
        <v>0</v>
      </c>
      <c r="V97" s="11">
        <v>0</v>
      </c>
      <c r="W97" s="11">
        <v>0</v>
      </c>
      <c r="X97" s="11">
        <v>0</v>
      </c>
      <c r="Y97" s="11">
        <v>0</v>
      </c>
      <c r="Z97" s="11">
        <v>0</v>
      </c>
      <c r="AA97" s="11">
        <v>0</v>
      </c>
      <c r="AB97" s="11">
        <v>0</v>
      </c>
      <c r="AC97" s="11">
        <v>0</v>
      </c>
      <c r="AD97" s="11">
        <v>0</v>
      </c>
      <c r="AE97" s="11">
        <v>0</v>
      </c>
      <c r="AF97" s="26">
        <f t="shared" si="46"/>
        <v>0</v>
      </c>
      <c r="AG97" s="11">
        <v>0</v>
      </c>
      <c r="AH97" s="11">
        <v>0</v>
      </c>
      <c r="AI97" s="11">
        <v>0</v>
      </c>
      <c r="AJ97" s="11">
        <v>0</v>
      </c>
      <c r="AK97" s="11">
        <v>0</v>
      </c>
      <c r="AL97" s="11">
        <v>0</v>
      </c>
      <c r="AM97" s="11">
        <v>0</v>
      </c>
      <c r="AN97" s="11">
        <v>0</v>
      </c>
      <c r="AO97" s="11">
        <v>0</v>
      </c>
      <c r="AP97" s="11">
        <v>0</v>
      </c>
      <c r="AQ97" s="11">
        <v>0</v>
      </c>
      <c r="AR97" s="11">
        <v>0</v>
      </c>
      <c r="AS97" s="26">
        <f t="shared" si="47"/>
        <v>0</v>
      </c>
      <c r="AT97" s="11">
        <v>0</v>
      </c>
      <c r="AU97" s="11">
        <v>0</v>
      </c>
      <c r="AV97" s="11">
        <v>0</v>
      </c>
      <c r="AW97" s="11">
        <v>0</v>
      </c>
      <c r="AX97" s="11">
        <v>0</v>
      </c>
      <c r="AY97" s="11">
        <v>0</v>
      </c>
      <c r="AZ97" s="11">
        <v>0</v>
      </c>
      <c r="BA97" s="11">
        <v>0</v>
      </c>
      <c r="BB97" s="11">
        <v>0</v>
      </c>
      <c r="BC97" s="11">
        <v>0</v>
      </c>
      <c r="BD97" s="11">
        <v>0</v>
      </c>
      <c r="BE97" s="11">
        <v>0</v>
      </c>
      <c r="BF97" s="26">
        <f t="shared" si="48"/>
        <v>0</v>
      </c>
      <c r="BG97" s="11">
        <v>0</v>
      </c>
      <c r="BH97" s="11">
        <v>0</v>
      </c>
      <c r="BI97" s="11">
        <v>0</v>
      </c>
      <c r="BJ97" s="11">
        <v>0</v>
      </c>
      <c r="BK97" s="11">
        <v>0</v>
      </c>
      <c r="BL97" s="11">
        <v>0</v>
      </c>
      <c r="BM97" s="11">
        <v>0</v>
      </c>
      <c r="BN97" s="11">
        <v>0</v>
      </c>
      <c r="BO97" s="11">
        <v>0</v>
      </c>
      <c r="BP97" s="11">
        <v>0</v>
      </c>
      <c r="BQ97" s="11">
        <v>0</v>
      </c>
      <c r="BR97" s="11">
        <v>0</v>
      </c>
      <c r="BS97" s="26">
        <f t="shared" si="49"/>
        <v>0</v>
      </c>
      <c r="BT97" s="11">
        <v>0</v>
      </c>
      <c r="BU97" s="11">
        <v>0</v>
      </c>
      <c r="BV97" s="11">
        <v>0</v>
      </c>
      <c r="BW97" s="11">
        <v>0</v>
      </c>
      <c r="BX97" s="11">
        <v>0</v>
      </c>
      <c r="BY97" s="11">
        <v>0</v>
      </c>
      <c r="BZ97" s="11">
        <v>0</v>
      </c>
      <c r="CA97" s="11">
        <v>0</v>
      </c>
      <c r="CB97" s="11">
        <v>0</v>
      </c>
      <c r="CC97" s="11">
        <v>0</v>
      </c>
      <c r="CD97" s="11">
        <v>0</v>
      </c>
      <c r="CE97" s="11">
        <v>0</v>
      </c>
      <c r="CF97" s="26">
        <f t="shared" si="50"/>
        <v>0</v>
      </c>
      <c r="CG97" s="11">
        <v>0</v>
      </c>
      <c r="CH97" s="11">
        <v>0</v>
      </c>
      <c r="CI97" s="11">
        <v>0</v>
      </c>
      <c r="CJ97" s="11">
        <v>0</v>
      </c>
      <c r="CK97" s="11">
        <v>0</v>
      </c>
      <c r="CL97" s="11">
        <v>0</v>
      </c>
      <c r="CM97" s="11">
        <v>0</v>
      </c>
      <c r="CN97" s="11">
        <v>0</v>
      </c>
      <c r="CO97" s="11">
        <v>0</v>
      </c>
      <c r="CP97" s="11">
        <v>0</v>
      </c>
      <c r="CQ97" s="11">
        <v>0</v>
      </c>
      <c r="CR97" s="11">
        <v>0</v>
      </c>
      <c r="CS97" s="26">
        <f t="shared" si="51"/>
        <v>0</v>
      </c>
      <c r="CT97" s="11">
        <v>0</v>
      </c>
      <c r="CU97" s="11">
        <v>0</v>
      </c>
      <c r="CV97" s="11">
        <v>0</v>
      </c>
      <c r="CW97" s="11">
        <v>0</v>
      </c>
      <c r="CX97" s="11">
        <v>0</v>
      </c>
      <c r="CY97" s="11">
        <v>0</v>
      </c>
      <c r="CZ97" s="11">
        <v>0</v>
      </c>
      <c r="DA97" s="11">
        <v>0</v>
      </c>
      <c r="DB97" s="11">
        <v>0</v>
      </c>
      <c r="DC97" s="11">
        <v>0</v>
      </c>
      <c r="DD97" s="11">
        <v>0</v>
      </c>
      <c r="DE97" s="11">
        <v>0</v>
      </c>
      <c r="DF97" s="26">
        <f t="shared" si="52"/>
        <v>0</v>
      </c>
      <c r="DG97" s="11">
        <v>0</v>
      </c>
      <c r="DH97" s="11">
        <v>0</v>
      </c>
      <c r="DI97" s="11">
        <v>0</v>
      </c>
      <c r="DJ97" s="11">
        <v>0</v>
      </c>
      <c r="DK97" s="11">
        <v>0</v>
      </c>
      <c r="DL97" s="11">
        <v>0</v>
      </c>
      <c r="DM97" s="11">
        <v>0</v>
      </c>
      <c r="DN97" s="11">
        <v>0</v>
      </c>
      <c r="DO97" s="11">
        <v>0</v>
      </c>
      <c r="DP97" s="11">
        <v>0</v>
      </c>
      <c r="DQ97" s="11">
        <v>0</v>
      </c>
      <c r="DR97" s="11">
        <v>0</v>
      </c>
      <c r="DS97" s="26">
        <f t="shared" si="53"/>
        <v>0</v>
      </c>
      <c r="DT97" s="11">
        <v>0</v>
      </c>
      <c r="DU97" s="11">
        <v>0</v>
      </c>
      <c r="DV97" s="11">
        <v>0</v>
      </c>
      <c r="DW97" s="11">
        <v>0</v>
      </c>
      <c r="DX97" s="11">
        <v>0</v>
      </c>
      <c r="DY97" s="11">
        <v>0</v>
      </c>
      <c r="DZ97" s="11">
        <v>0</v>
      </c>
      <c r="EA97" s="11">
        <v>0</v>
      </c>
      <c r="EB97" s="11">
        <v>0</v>
      </c>
      <c r="EC97" s="11">
        <v>0</v>
      </c>
      <c r="ED97" s="11">
        <v>0</v>
      </c>
      <c r="EE97" s="11">
        <v>0</v>
      </c>
      <c r="EF97" s="26">
        <f t="shared" si="54"/>
        <v>0</v>
      </c>
      <c r="EG97" s="9">
        <f t="shared" si="55"/>
        <v>0</v>
      </c>
      <c r="EH97" s="9">
        <f t="shared" si="56"/>
        <v>0</v>
      </c>
      <c r="EI97" s="11">
        <v>0</v>
      </c>
      <c r="EJ97" s="11">
        <v>0</v>
      </c>
      <c r="EK97" s="11">
        <v>0</v>
      </c>
      <c r="EL97" s="11">
        <v>0</v>
      </c>
      <c r="EM97" s="11">
        <v>0</v>
      </c>
      <c r="EN97" s="11">
        <v>0</v>
      </c>
      <c r="EO97" s="11">
        <v>0</v>
      </c>
      <c r="EP97" s="11">
        <v>0</v>
      </c>
      <c r="EQ97" s="11">
        <v>0</v>
      </c>
      <c r="ER97" s="11">
        <v>0</v>
      </c>
      <c r="ES97" s="11">
        <v>0</v>
      </c>
      <c r="ET97" s="11">
        <v>41303</v>
      </c>
      <c r="EU97" s="26">
        <f t="shared" si="57"/>
        <v>41303</v>
      </c>
      <c r="EV97" s="11">
        <v>0</v>
      </c>
      <c r="EW97" s="11">
        <v>0</v>
      </c>
      <c r="EX97" s="11">
        <v>0</v>
      </c>
      <c r="EY97" s="11">
        <v>0</v>
      </c>
      <c r="EZ97" s="11">
        <v>0</v>
      </c>
      <c r="FA97" s="11">
        <v>0</v>
      </c>
      <c r="FB97" s="11">
        <v>0</v>
      </c>
      <c r="FC97" s="11">
        <v>0</v>
      </c>
      <c r="FD97" s="11">
        <v>0</v>
      </c>
      <c r="FE97" s="11">
        <v>0</v>
      </c>
      <c r="FF97" s="11">
        <v>0</v>
      </c>
      <c r="FG97" s="11">
        <v>0</v>
      </c>
      <c r="FH97" s="26">
        <f t="shared" si="58"/>
        <v>0</v>
      </c>
      <c r="FI97" s="11">
        <v>0</v>
      </c>
      <c r="FJ97" s="11">
        <v>0</v>
      </c>
      <c r="FK97" s="11">
        <v>0</v>
      </c>
      <c r="FL97" s="11">
        <v>0</v>
      </c>
      <c r="FM97" s="11">
        <v>0</v>
      </c>
      <c r="FN97" s="11">
        <v>0</v>
      </c>
      <c r="FO97" s="11">
        <v>0</v>
      </c>
      <c r="FP97" s="11">
        <v>0</v>
      </c>
      <c r="FQ97" s="11">
        <v>0</v>
      </c>
      <c r="FR97" s="11">
        <v>0</v>
      </c>
      <c r="FS97" s="11">
        <v>0</v>
      </c>
      <c r="FT97" s="11">
        <v>0</v>
      </c>
      <c r="FU97" s="26">
        <f t="shared" si="59"/>
        <v>0</v>
      </c>
      <c r="FV97" s="11">
        <v>0</v>
      </c>
      <c r="FW97" s="11">
        <v>0</v>
      </c>
      <c r="FX97" s="11">
        <v>0</v>
      </c>
      <c r="FY97" s="11">
        <v>0</v>
      </c>
      <c r="FZ97" s="11">
        <v>0</v>
      </c>
      <c r="GA97" s="11">
        <v>0</v>
      </c>
      <c r="GB97" s="11">
        <v>0</v>
      </c>
      <c r="GC97" s="11">
        <v>0</v>
      </c>
      <c r="GD97" s="11">
        <v>0</v>
      </c>
      <c r="GE97" s="11">
        <v>0</v>
      </c>
      <c r="GF97" s="11">
        <v>0</v>
      </c>
      <c r="GG97" s="11">
        <v>0</v>
      </c>
      <c r="GH97" s="26">
        <f t="shared" si="60"/>
        <v>0</v>
      </c>
      <c r="GI97" s="11">
        <v>0</v>
      </c>
      <c r="GJ97" s="11">
        <v>0</v>
      </c>
      <c r="GK97" s="11">
        <v>0</v>
      </c>
      <c r="GL97" s="11">
        <v>0</v>
      </c>
      <c r="GM97" s="11">
        <v>0</v>
      </c>
      <c r="GN97" s="11">
        <v>0</v>
      </c>
      <c r="GO97" s="11">
        <v>0</v>
      </c>
      <c r="GP97" s="11">
        <v>0</v>
      </c>
      <c r="GQ97" s="11">
        <v>0</v>
      </c>
      <c r="GR97" s="11">
        <v>0</v>
      </c>
      <c r="GS97" s="11">
        <v>0</v>
      </c>
      <c r="GT97" s="11">
        <v>0</v>
      </c>
      <c r="GU97" s="26">
        <f t="shared" si="61"/>
        <v>0</v>
      </c>
      <c r="GV97" s="11">
        <v>0</v>
      </c>
      <c r="GW97" s="11">
        <v>0</v>
      </c>
      <c r="GX97" s="11">
        <v>0</v>
      </c>
      <c r="GY97" s="11">
        <v>0</v>
      </c>
      <c r="GZ97" s="11">
        <v>0</v>
      </c>
      <c r="HA97" s="11">
        <v>0</v>
      </c>
      <c r="HB97" s="11">
        <v>0</v>
      </c>
      <c r="HC97" s="11">
        <v>0</v>
      </c>
      <c r="HD97" s="11">
        <v>0</v>
      </c>
      <c r="HE97" s="11">
        <v>0</v>
      </c>
      <c r="HF97" s="11">
        <v>0</v>
      </c>
      <c r="HG97" s="11">
        <v>0</v>
      </c>
      <c r="HH97" s="26">
        <f t="shared" si="62"/>
        <v>0</v>
      </c>
      <c r="HI97" s="11">
        <v>0</v>
      </c>
      <c r="HJ97" s="11">
        <v>0</v>
      </c>
      <c r="HK97" s="11">
        <v>0</v>
      </c>
      <c r="HL97" s="11">
        <v>0</v>
      </c>
      <c r="HM97" s="11">
        <v>0</v>
      </c>
      <c r="HN97" s="11">
        <v>0</v>
      </c>
      <c r="HO97" s="11">
        <v>0</v>
      </c>
      <c r="HP97" s="11">
        <v>0</v>
      </c>
      <c r="HQ97" s="11">
        <v>0</v>
      </c>
      <c r="HR97" s="11">
        <v>0</v>
      </c>
      <c r="HS97" s="11">
        <v>0</v>
      </c>
      <c r="HT97" s="11">
        <v>0</v>
      </c>
      <c r="HU97" s="26">
        <f t="shared" si="63"/>
        <v>0</v>
      </c>
      <c r="HV97" s="11">
        <v>0</v>
      </c>
      <c r="HW97" s="11">
        <v>0</v>
      </c>
      <c r="HX97" s="11">
        <v>0</v>
      </c>
      <c r="HY97" s="11">
        <v>0</v>
      </c>
      <c r="HZ97" s="11">
        <v>0</v>
      </c>
      <c r="IA97" s="11">
        <v>0</v>
      </c>
      <c r="IB97" s="11">
        <v>0</v>
      </c>
      <c r="IC97" s="11">
        <v>0</v>
      </c>
      <c r="ID97" s="11">
        <v>0</v>
      </c>
      <c r="IE97" s="11">
        <v>0</v>
      </c>
      <c r="IF97" s="11">
        <v>0</v>
      </c>
      <c r="IG97" s="11">
        <v>0</v>
      </c>
      <c r="IH97" s="26">
        <f t="shared" si="64"/>
        <v>0</v>
      </c>
      <c r="II97" s="9">
        <f t="shared" si="65"/>
        <v>0</v>
      </c>
      <c r="IJ97" s="9">
        <f t="shared" si="66"/>
        <v>0</v>
      </c>
      <c r="IK97" s="11">
        <v>212960</v>
      </c>
      <c r="IL97" s="11">
        <v>19948</v>
      </c>
      <c r="IM97" s="11">
        <v>18906</v>
      </c>
      <c r="IN97" s="11">
        <v>26445</v>
      </c>
      <c r="IO97" s="11">
        <v>30028</v>
      </c>
      <c r="IP97" s="11">
        <v>22087</v>
      </c>
      <c r="IQ97" s="11">
        <v>23526</v>
      </c>
      <c r="IR97" s="11">
        <v>21048</v>
      </c>
      <c r="IS97" s="11">
        <v>18602</v>
      </c>
      <c r="IT97" s="11">
        <v>22429</v>
      </c>
      <c r="IU97" s="11">
        <v>20355</v>
      </c>
      <c r="IV97" s="11">
        <v>21995</v>
      </c>
      <c r="IW97" s="27">
        <f t="shared" si="67"/>
        <v>458329</v>
      </c>
      <c r="IX97" s="11">
        <v>8478</v>
      </c>
      <c r="IY97" s="11">
        <v>8687</v>
      </c>
      <c r="IZ97" s="11">
        <v>7902</v>
      </c>
      <c r="JA97" s="11">
        <v>9127</v>
      </c>
      <c r="JB97" s="11">
        <v>9203</v>
      </c>
      <c r="JC97" s="11">
        <v>8942</v>
      </c>
      <c r="JD97" s="11">
        <v>9534</v>
      </c>
      <c r="JE97" s="11">
        <v>9144</v>
      </c>
      <c r="JF97" s="11">
        <v>8098</v>
      </c>
      <c r="JG97" s="11">
        <v>9118</v>
      </c>
      <c r="JH97" s="11">
        <v>7954</v>
      </c>
      <c r="JI97" s="11">
        <v>8603</v>
      </c>
      <c r="JJ97" s="27">
        <f t="shared" si="68"/>
        <v>104790</v>
      </c>
      <c r="JK97" s="11">
        <v>12788</v>
      </c>
      <c r="JL97" s="11">
        <v>11238</v>
      </c>
      <c r="JM97" s="11">
        <v>10976</v>
      </c>
      <c r="JN97" s="11">
        <v>17280</v>
      </c>
      <c r="JO97" s="11">
        <v>20785</v>
      </c>
      <c r="JP97" s="11">
        <v>13123</v>
      </c>
      <c r="JQ97" s="11">
        <v>13947</v>
      </c>
      <c r="JR97" s="11">
        <v>11868</v>
      </c>
      <c r="JS97" s="11">
        <v>10435</v>
      </c>
      <c r="JT97" s="11">
        <v>13267</v>
      </c>
      <c r="JU97" s="11">
        <v>12355</v>
      </c>
      <c r="JV97" s="11">
        <v>13337</v>
      </c>
      <c r="JW97" s="27">
        <f t="shared" si="69"/>
        <v>161399</v>
      </c>
      <c r="JX97" s="11">
        <v>30</v>
      </c>
      <c r="JY97" s="11">
        <v>23</v>
      </c>
      <c r="JZ97" s="11">
        <v>28</v>
      </c>
      <c r="KA97" s="11">
        <v>38</v>
      </c>
      <c r="KB97" s="11">
        <v>40</v>
      </c>
      <c r="KC97" s="11">
        <v>22</v>
      </c>
      <c r="KD97" s="11">
        <v>45</v>
      </c>
      <c r="KE97" s="11">
        <v>36</v>
      </c>
      <c r="KF97" s="11">
        <v>69</v>
      </c>
      <c r="KG97" s="11">
        <v>44</v>
      </c>
      <c r="KH97" s="11">
        <v>46</v>
      </c>
      <c r="KI97" s="11">
        <v>55</v>
      </c>
      <c r="KJ97" s="27">
        <f t="shared" si="70"/>
        <v>476</v>
      </c>
      <c r="KK97" s="11">
        <v>258</v>
      </c>
      <c r="KL97" s="11">
        <v>304</v>
      </c>
      <c r="KM97" s="11">
        <v>222</v>
      </c>
      <c r="KN97" s="11">
        <v>323</v>
      </c>
      <c r="KO97" s="11">
        <v>248</v>
      </c>
      <c r="KP97" s="11">
        <v>243</v>
      </c>
      <c r="KQ97" s="11">
        <v>304</v>
      </c>
      <c r="KR97" s="11">
        <v>234</v>
      </c>
      <c r="KS97" s="11">
        <v>237</v>
      </c>
      <c r="KT97" s="11">
        <v>289</v>
      </c>
      <c r="KU97" s="11">
        <v>279</v>
      </c>
      <c r="KV97" s="11">
        <v>279</v>
      </c>
      <c r="KW97" s="27">
        <f t="shared" si="71"/>
        <v>3220</v>
      </c>
      <c r="KX97" s="11">
        <v>0</v>
      </c>
      <c r="KY97" s="11">
        <v>0</v>
      </c>
      <c r="KZ97" s="11">
        <v>0</v>
      </c>
      <c r="LA97" s="11">
        <v>0</v>
      </c>
      <c r="LB97" s="11">
        <v>0</v>
      </c>
      <c r="LC97" s="11">
        <v>0</v>
      </c>
      <c r="LD97" s="11">
        <v>0</v>
      </c>
      <c r="LE97" s="11">
        <v>0</v>
      </c>
      <c r="LF97" s="11">
        <v>0</v>
      </c>
      <c r="LG97" s="11">
        <v>0</v>
      </c>
      <c r="LH97" s="11">
        <v>0</v>
      </c>
      <c r="LI97" s="11">
        <v>0</v>
      </c>
      <c r="LJ97" s="27">
        <f t="shared" si="72"/>
        <v>0</v>
      </c>
      <c r="LK97" s="11">
        <v>0</v>
      </c>
      <c r="LL97" s="11">
        <v>0</v>
      </c>
      <c r="LM97" s="11">
        <v>0</v>
      </c>
      <c r="LN97" s="11">
        <v>0</v>
      </c>
      <c r="LO97" s="11">
        <v>0</v>
      </c>
      <c r="LP97" s="11">
        <v>0</v>
      </c>
      <c r="LQ97" s="11">
        <v>0</v>
      </c>
      <c r="LR97" s="11">
        <v>0</v>
      </c>
      <c r="LS97" s="11">
        <v>0</v>
      </c>
      <c r="LT97" s="11">
        <v>0</v>
      </c>
      <c r="LU97" s="11">
        <v>0</v>
      </c>
      <c r="LV97" s="11">
        <v>0</v>
      </c>
      <c r="LW97" s="27">
        <f t="shared" si="73"/>
        <v>0</v>
      </c>
      <c r="LX97" s="11">
        <v>0</v>
      </c>
      <c r="LY97" s="11">
        <v>0</v>
      </c>
      <c r="LZ97" s="11">
        <v>0</v>
      </c>
      <c r="MA97" s="11">
        <v>0</v>
      </c>
      <c r="MB97" s="11">
        <v>0</v>
      </c>
      <c r="MC97" s="11">
        <v>0</v>
      </c>
      <c r="MD97" s="11">
        <v>0</v>
      </c>
      <c r="ME97" s="11">
        <v>0</v>
      </c>
      <c r="MF97" s="11">
        <v>0</v>
      </c>
      <c r="MG97" s="11">
        <v>0</v>
      </c>
      <c r="MH97" s="11">
        <v>0</v>
      </c>
      <c r="MI97" s="11">
        <v>0</v>
      </c>
      <c r="MJ97" s="27">
        <f t="shared" si="74"/>
        <v>0</v>
      </c>
      <c r="MK97" s="11"/>
      <c r="ML97" s="11"/>
      <c r="MM97" s="11"/>
      <c r="MN97" s="11"/>
      <c r="MO97" s="11"/>
      <c r="MP97" s="11"/>
      <c r="MQ97" s="11"/>
      <c r="MR97" s="11"/>
      <c r="MS97" s="11"/>
      <c r="MT97" s="11"/>
      <c r="MU97" s="11"/>
      <c r="MV97" s="11"/>
      <c r="MW97" s="27">
        <f t="shared" si="75"/>
        <v>0</v>
      </c>
      <c r="MX97" s="11"/>
      <c r="MY97" s="11"/>
      <c r="MZ97" s="11"/>
      <c r="NA97" s="11"/>
      <c r="NB97" s="11"/>
      <c r="NC97" s="11"/>
      <c r="ND97" s="11"/>
      <c r="NE97" s="11"/>
      <c r="NF97" s="11"/>
      <c r="NG97" s="11"/>
      <c r="NH97" s="11"/>
      <c r="NI97" s="11"/>
      <c r="NJ97" s="27">
        <f t="shared" si="76"/>
        <v>0</v>
      </c>
      <c r="NK97" s="11"/>
      <c r="NL97" s="11"/>
      <c r="NM97" s="11"/>
      <c r="NN97" s="11"/>
      <c r="NO97" s="11"/>
      <c r="NP97" s="11"/>
      <c r="NQ97" s="11"/>
      <c r="NR97" s="11"/>
      <c r="NS97" s="11"/>
      <c r="NT97" s="11"/>
      <c r="NU97" s="11"/>
      <c r="NV97" s="11"/>
      <c r="NW97" s="27">
        <f t="shared" si="77"/>
        <v>0</v>
      </c>
      <c r="NX97" s="11"/>
      <c r="NY97" s="11"/>
      <c r="NZ97" s="11"/>
      <c r="OA97" s="11"/>
      <c r="OB97" s="11"/>
      <c r="OC97" s="11"/>
      <c r="OD97" s="11"/>
      <c r="OE97" s="11"/>
      <c r="OF97" s="11"/>
      <c r="OG97" s="11"/>
      <c r="OH97" s="11"/>
      <c r="OI97" s="11"/>
      <c r="OJ97" s="27">
        <f t="shared" si="78"/>
        <v>0</v>
      </c>
      <c r="OK97" s="11"/>
      <c r="OL97" s="11"/>
      <c r="OM97" s="11"/>
      <c r="ON97" s="11"/>
      <c r="OO97" s="11"/>
      <c r="OP97" s="11"/>
      <c r="OQ97" s="11"/>
      <c r="OR97" s="11"/>
      <c r="OS97" s="11"/>
      <c r="OT97" s="11"/>
      <c r="OU97" s="11"/>
      <c r="OV97" s="11"/>
      <c r="OW97" s="27">
        <f t="shared" si="79"/>
        <v>0</v>
      </c>
      <c r="OX97" s="11"/>
      <c r="OY97" s="11"/>
      <c r="OZ97" s="11"/>
      <c r="PA97" s="11"/>
      <c r="PB97" s="11"/>
      <c r="PC97" s="11"/>
      <c r="PD97" s="11"/>
      <c r="PE97" s="11"/>
      <c r="PF97" s="11"/>
      <c r="PG97" s="11"/>
      <c r="PH97" s="11"/>
      <c r="PI97" s="11"/>
      <c r="PJ97" s="27">
        <f t="shared" si="80"/>
        <v>0</v>
      </c>
      <c r="PK97" s="11"/>
      <c r="PL97" s="11"/>
      <c r="PM97" s="11"/>
      <c r="PN97" s="11"/>
      <c r="PO97" s="11"/>
      <c r="PP97" s="11"/>
      <c r="PQ97" s="11"/>
      <c r="PR97" s="11"/>
      <c r="PS97" s="11"/>
      <c r="PT97" s="11"/>
      <c r="PU97" s="11"/>
      <c r="PV97" s="11"/>
      <c r="PW97" s="27">
        <f t="shared" si="81"/>
        <v>0</v>
      </c>
      <c r="PX97" s="11"/>
      <c r="PY97" s="11"/>
      <c r="PZ97" s="11"/>
      <c r="QA97" s="11"/>
      <c r="QB97" s="11"/>
      <c r="QC97" s="11"/>
      <c r="QD97" s="11"/>
      <c r="QE97" s="11"/>
      <c r="QF97" s="11"/>
      <c r="QG97" s="11"/>
      <c r="QH97" s="11"/>
      <c r="QI97" s="11"/>
      <c r="QJ97" s="27">
        <f t="shared" si="82"/>
        <v>0</v>
      </c>
      <c r="QK97" s="11">
        <v>23277</v>
      </c>
      <c r="QL97" s="11">
        <v>24905</v>
      </c>
      <c r="QM97" s="11">
        <v>21487</v>
      </c>
      <c r="QN97" s="11">
        <v>31076</v>
      </c>
      <c r="QO97" s="11">
        <v>30508</v>
      </c>
      <c r="QP97" s="11">
        <v>24763</v>
      </c>
      <c r="QQ97" s="11">
        <v>26183</v>
      </c>
      <c r="QR97" s="11">
        <v>22020</v>
      </c>
      <c r="QS97" s="11">
        <v>19325</v>
      </c>
      <c r="QT97" s="11">
        <v>22770</v>
      </c>
      <c r="QU97" s="11">
        <v>23463</v>
      </c>
      <c r="QV97" s="11">
        <v>25413</v>
      </c>
      <c r="QW97" s="27">
        <f t="shared" si="83"/>
        <v>295190</v>
      </c>
      <c r="QX97" s="11">
        <v>23236</v>
      </c>
      <c r="QY97" s="11">
        <v>22291</v>
      </c>
      <c r="QZ97" s="11">
        <v>22653</v>
      </c>
      <c r="RA97" s="11">
        <v>23465</v>
      </c>
      <c r="RB97" s="11">
        <v>16921</v>
      </c>
      <c r="RC97" s="11">
        <v>20096</v>
      </c>
      <c r="RD97" s="11">
        <v>22145</v>
      </c>
      <c r="RE97" s="11">
        <v>20154</v>
      </c>
      <c r="RF97" s="11">
        <v>28523</v>
      </c>
      <c r="RG97" s="11">
        <v>22193</v>
      </c>
      <c r="RH97" s="11">
        <v>22543</v>
      </c>
      <c r="RI97" s="11">
        <v>26329</v>
      </c>
      <c r="RJ97" s="27">
        <f t="shared" si="84"/>
        <v>270549</v>
      </c>
      <c r="RK97" s="11">
        <v>0</v>
      </c>
      <c r="RL97" s="11">
        <v>0</v>
      </c>
      <c r="RM97" s="11">
        <v>0</v>
      </c>
      <c r="RN97" s="11">
        <v>0</v>
      </c>
      <c r="RO97" s="11">
        <v>0</v>
      </c>
      <c r="RP97" s="11">
        <v>0</v>
      </c>
      <c r="RQ97" s="11">
        <v>0</v>
      </c>
      <c r="RR97" s="11">
        <v>0</v>
      </c>
      <c r="RS97" s="11">
        <v>0</v>
      </c>
      <c r="RT97" s="11">
        <v>0</v>
      </c>
      <c r="RU97" s="11">
        <v>0</v>
      </c>
      <c r="RV97" s="11">
        <v>0</v>
      </c>
      <c r="RW97" s="27">
        <f t="shared" si="85"/>
        <v>0</v>
      </c>
      <c r="RX97" s="11">
        <v>0</v>
      </c>
      <c r="RY97" s="11">
        <v>0</v>
      </c>
      <c r="RZ97" s="11">
        <v>0</v>
      </c>
      <c r="SA97" s="11">
        <v>0</v>
      </c>
      <c r="SB97" s="11">
        <v>0</v>
      </c>
      <c r="SC97" s="11">
        <v>0</v>
      </c>
      <c r="SD97" s="11">
        <v>0</v>
      </c>
      <c r="SE97" s="11">
        <v>0</v>
      </c>
      <c r="SF97" s="11">
        <v>0</v>
      </c>
      <c r="SG97" s="11">
        <v>0</v>
      </c>
      <c r="SH97" s="11">
        <v>0</v>
      </c>
      <c r="SI97" s="11">
        <v>0</v>
      </c>
      <c r="SJ97" s="27">
        <f t="shared" si="86"/>
        <v>0</v>
      </c>
      <c r="SK97" s="11">
        <v>73</v>
      </c>
      <c r="SL97" s="11">
        <v>73</v>
      </c>
      <c r="SM97" s="11">
        <v>73</v>
      </c>
      <c r="SN97" s="11">
        <v>73</v>
      </c>
      <c r="SO97" s="11">
        <v>73</v>
      </c>
      <c r="SP97" s="11">
        <v>73</v>
      </c>
      <c r="SQ97" s="11">
        <v>73</v>
      </c>
      <c r="SR97" s="11">
        <v>73</v>
      </c>
      <c r="SS97" s="11">
        <v>73</v>
      </c>
      <c r="ST97" s="11">
        <v>73</v>
      </c>
      <c r="SU97" s="11">
        <v>73</v>
      </c>
      <c r="SV97" s="11">
        <v>73</v>
      </c>
      <c r="SW97" s="27">
        <f t="shared" si="87"/>
        <v>876</v>
      </c>
      <c r="SX97" s="11" t="s">
        <v>2736</v>
      </c>
      <c r="SY97" s="11">
        <v>0</v>
      </c>
      <c r="SZ97" s="11">
        <v>0</v>
      </c>
      <c r="TA97" s="11">
        <v>0</v>
      </c>
      <c r="TB97" s="11">
        <v>0</v>
      </c>
      <c r="TC97" s="11">
        <v>0</v>
      </c>
      <c r="TD97" s="11">
        <v>0</v>
      </c>
      <c r="TE97" s="11">
        <v>0</v>
      </c>
      <c r="TF97" s="11">
        <v>0</v>
      </c>
      <c r="TG97" s="11">
        <v>0</v>
      </c>
      <c r="TH97" s="11">
        <v>0</v>
      </c>
      <c r="TI97" s="11">
        <v>0</v>
      </c>
      <c r="TJ97" s="11">
        <v>23103</v>
      </c>
      <c r="TK97" s="27">
        <f t="shared" si="88"/>
        <v>23103</v>
      </c>
      <c r="TL97" s="11">
        <v>0</v>
      </c>
      <c r="TM97" s="11">
        <v>0</v>
      </c>
      <c r="TN97" s="11">
        <v>0</v>
      </c>
      <c r="TO97" s="11">
        <v>0</v>
      </c>
      <c r="TP97" s="11">
        <v>0</v>
      </c>
      <c r="TQ97" s="11">
        <v>0</v>
      </c>
      <c r="TR97" s="11">
        <v>0</v>
      </c>
      <c r="TS97" s="11">
        <v>0</v>
      </c>
      <c r="TT97" s="11">
        <v>0</v>
      </c>
      <c r="TU97" s="11">
        <v>0</v>
      </c>
      <c r="TV97" s="11">
        <v>0</v>
      </c>
      <c r="TW97" s="11">
        <v>0</v>
      </c>
      <c r="TX97" s="27">
        <f t="shared" si="89"/>
        <v>0</v>
      </c>
      <c r="TY97" s="11">
        <v>78</v>
      </c>
      <c r="TZ97" s="11">
        <v>0</v>
      </c>
      <c r="UA97" s="11">
        <v>0</v>
      </c>
    </row>
    <row r="98" spans="1:547" ht="16" customHeight="1" x14ac:dyDescent="0.35">
      <c r="A98" s="11" t="s">
        <v>1477</v>
      </c>
      <c r="B98" s="11">
        <v>15539</v>
      </c>
      <c r="C98" s="11">
        <v>3157</v>
      </c>
      <c r="D98" s="11">
        <v>11351</v>
      </c>
      <c r="E98" s="11">
        <v>1031</v>
      </c>
      <c r="F98" s="11">
        <v>127</v>
      </c>
      <c r="G98" s="11">
        <v>133</v>
      </c>
      <c r="H98" s="11">
        <v>149</v>
      </c>
      <c r="I98" s="11">
        <v>141</v>
      </c>
      <c r="J98" s="11">
        <v>150</v>
      </c>
      <c r="K98" s="11">
        <v>130</v>
      </c>
      <c r="L98" s="11">
        <v>164</v>
      </c>
      <c r="M98" s="11">
        <v>143</v>
      </c>
      <c r="N98" s="11">
        <v>126</v>
      </c>
      <c r="O98" s="11">
        <v>126</v>
      </c>
      <c r="P98" s="11" t="s">
        <v>2864</v>
      </c>
      <c r="Q98" s="11">
        <v>164</v>
      </c>
      <c r="R98" s="11">
        <v>168</v>
      </c>
      <c r="S98" s="26">
        <f t="shared" si="45"/>
        <v>1721</v>
      </c>
      <c r="T98" s="11">
        <v>36</v>
      </c>
      <c r="U98" s="11">
        <v>65</v>
      </c>
      <c r="V98" s="11">
        <v>77</v>
      </c>
      <c r="W98" s="11">
        <v>57</v>
      </c>
      <c r="X98" s="11">
        <v>57</v>
      </c>
      <c r="Y98" s="11">
        <v>45</v>
      </c>
      <c r="Z98" s="11">
        <v>54</v>
      </c>
      <c r="AA98" s="11">
        <v>50</v>
      </c>
      <c r="AB98" s="11">
        <v>38</v>
      </c>
      <c r="AC98" s="11">
        <v>42</v>
      </c>
      <c r="AD98" s="11">
        <v>61</v>
      </c>
      <c r="AE98" s="11">
        <v>72</v>
      </c>
      <c r="AF98" s="26">
        <f t="shared" si="46"/>
        <v>654</v>
      </c>
      <c r="AG98" s="11">
        <v>41</v>
      </c>
      <c r="AH98" s="11">
        <v>50</v>
      </c>
      <c r="AI98" s="11">
        <v>49</v>
      </c>
      <c r="AJ98" s="11">
        <v>65</v>
      </c>
      <c r="AK98" s="11">
        <v>50</v>
      </c>
      <c r="AL98" s="11">
        <v>54</v>
      </c>
      <c r="AM98" s="11">
        <v>70</v>
      </c>
      <c r="AN98" s="11">
        <v>66</v>
      </c>
      <c r="AO98" s="11">
        <v>60</v>
      </c>
      <c r="AP98" s="11">
        <v>48</v>
      </c>
      <c r="AQ98" s="11">
        <v>65</v>
      </c>
      <c r="AR98" s="11">
        <v>73</v>
      </c>
      <c r="AS98" s="26">
        <f t="shared" si="47"/>
        <v>691</v>
      </c>
      <c r="AT98" s="11">
        <v>2</v>
      </c>
      <c r="AU98" s="11">
        <v>0</v>
      </c>
      <c r="AV98" s="11">
        <v>0</v>
      </c>
      <c r="AW98" s="11">
        <v>2</v>
      </c>
      <c r="AX98" s="11">
        <v>0</v>
      </c>
      <c r="AY98" s="11">
        <v>3</v>
      </c>
      <c r="AZ98" s="11">
        <v>0</v>
      </c>
      <c r="BA98" s="11">
        <v>0</v>
      </c>
      <c r="BB98" s="11">
        <v>0</v>
      </c>
      <c r="BC98" s="11">
        <v>1</v>
      </c>
      <c r="BD98" s="11">
        <v>0</v>
      </c>
      <c r="BE98" s="11">
        <v>1</v>
      </c>
      <c r="BF98" s="26">
        <f t="shared" si="48"/>
        <v>9</v>
      </c>
      <c r="BG98" s="11">
        <v>48</v>
      </c>
      <c r="BH98" s="11">
        <v>18</v>
      </c>
      <c r="BI98" s="11">
        <v>23</v>
      </c>
      <c r="BJ98" s="11">
        <v>17</v>
      </c>
      <c r="BK98" s="11">
        <v>43</v>
      </c>
      <c r="BL98" s="11">
        <v>31</v>
      </c>
      <c r="BM98" s="11">
        <v>37</v>
      </c>
      <c r="BN98" s="11">
        <v>27</v>
      </c>
      <c r="BO98" s="11">
        <v>28</v>
      </c>
      <c r="BP98" s="11">
        <v>35</v>
      </c>
      <c r="BQ98" s="11">
        <v>38</v>
      </c>
      <c r="BR98" s="11">
        <v>22</v>
      </c>
      <c r="BS98" s="26">
        <f t="shared" si="49"/>
        <v>367</v>
      </c>
      <c r="BT98" s="11">
        <v>0</v>
      </c>
      <c r="BU98" s="11">
        <v>0</v>
      </c>
      <c r="BV98" s="11">
        <v>0</v>
      </c>
      <c r="BW98" s="11">
        <v>0</v>
      </c>
      <c r="BX98" s="11">
        <v>0</v>
      </c>
      <c r="BY98" s="11">
        <v>0</v>
      </c>
      <c r="BZ98" s="11">
        <v>0</v>
      </c>
      <c r="CA98" s="11">
        <v>0</v>
      </c>
      <c r="CB98" s="11">
        <v>0</v>
      </c>
      <c r="CC98" s="11">
        <v>0</v>
      </c>
      <c r="CD98" s="11">
        <v>0</v>
      </c>
      <c r="CE98" s="11">
        <v>0</v>
      </c>
      <c r="CF98" s="26">
        <f t="shared" si="50"/>
        <v>0</v>
      </c>
      <c r="CG98" s="11">
        <v>0</v>
      </c>
      <c r="CH98" s="11">
        <v>0</v>
      </c>
      <c r="CI98" s="11">
        <v>0</v>
      </c>
      <c r="CJ98" s="11">
        <v>0</v>
      </c>
      <c r="CK98" s="11">
        <v>0</v>
      </c>
      <c r="CL98" s="11">
        <v>0</v>
      </c>
      <c r="CM98" s="11">
        <v>0</v>
      </c>
      <c r="CN98" s="11">
        <v>0</v>
      </c>
      <c r="CO98" s="11">
        <v>0</v>
      </c>
      <c r="CP98" s="11">
        <v>0</v>
      </c>
      <c r="CQ98" s="11">
        <v>0</v>
      </c>
      <c r="CR98" s="11">
        <v>0</v>
      </c>
      <c r="CS98" s="26">
        <f t="shared" si="51"/>
        <v>0</v>
      </c>
      <c r="CT98" s="11">
        <v>0</v>
      </c>
      <c r="CU98" s="11">
        <v>0</v>
      </c>
      <c r="CV98" s="11">
        <v>0</v>
      </c>
      <c r="CW98" s="11">
        <v>0</v>
      </c>
      <c r="CX98" s="11">
        <v>0</v>
      </c>
      <c r="CY98" s="11">
        <v>0</v>
      </c>
      <c r="CZ98" s="11">
        <v>0</v>
      </c>
      <c r="DA98" s="11">
        <v>0</v>
      </c>
      <c r="DB98" s="11">
        <v>0</v>
      </c>
      <c r="DC98" s="11">
        <v>0</v>
      </c>
      <c r="DD98" s="11">
        <v>0</v>
      </c>
      <c r="DE98" s="11">
        <v>0</v>
      </c>
      <c r="DF98" s="26">
        <f t="shared" si="52"/>
        <v>0</v>
      </c>
      <c r="DG98" s="11">
        <v>0</v>
      </c>
      <c r="DH98" s="11">
        <v>0</v>
      </c>
      <c r="DI98" s="11">
        <v>0</v>
      </c>
      <c r="DJ98" s="11">
        <v>0</v>
      </c>
      <c r="DK98" s="11">
        <v>0</v>
      </c>
      <c r="DL98" s="11">
        <v>0</v>
      </c>
      <c r="DM98" s="11">
        <v>0</v>
      </c>
      <c r="DN98" s="11">
        <v>0</v>
      </c>
      <c r="DO98" s="11">
        <v>0</v>
      </c>
      <c r="DP98" s="11">
        <v>0</v>
      </c>
      <c r="DQ98" s="11">
        <v>0</v>
      </c>
      <c r="DR98" s="11">
        <v>0</v>
      </c>
      <c r="DS98" s="26">
        <f t="shared" si="53"/>
        <v>0</v>
      </c>
      <c r="DT98" s="11">
        <v>0</v>
      </c>
      <c r="DU98" s="11">
        <v>0</v>
      </c>
      <c r="DV98" s="11">
        <v>0</v>
      </c>
      <c r="DW98" s="11">
        <v>0</v>
      </c>
      <c r="DX98" s="11">
        <v>0</v>
      </c>
      <c r="DY98" s="11">
        <v>0</v>
      </c>
      <c r="DZ98" s="11">
        <v>0</v>
      </c>
      <c r="EA98" s="11">
        <v>0</v>
      </c>
      <c r="EB98" s="11">
        <v>0</v>
      </c>
      <c r="EC98" s="11">
        <v>0</v>
      </c>
      <c r="ED98" s="11">
        <v>0</v>
      </c>
      <c r="EE98" s="11">
        <v>0</v>
      </c>
      <c r="EF98" s="26">
        <f t="shared" si="54"/>
        <v>0</v>
      </c>
      <c r="EG98" s="9">
        <f t="shared" si="55"/>
        <v>1721</v>
      </c>
      <c r="EH98" s="9">
        <f t="shared" si="56"/>
        <v>0</v>
      </c>
      <c r="EI98" s="11">
        <v>1499</v>
      </c>
      <c r="EJ98" s="11">
        <v>891</v>
      </c>
      <c r="EK98" s="11">
        <v>1458</v>
      </c>
      <c r="EL98" s="11">
        <v>4897</v>
      </c>
      <c r="EM98" s="11">
        <v>1350</v>
      </c>
      <c r="EN98" s="11">
        <v>977</v>
      </c>
      <c r="EO98" s="11">
        <v>1498</v>
      </c>
      <c r="EP98" s="11">
        <v>1563</v>
      </c>
      <c r="EQ98" s="11">
        <v>1431</v>
      </c>
      <c r="ER98" s="11">
        <v>818</v>
      </c>
      <c r="ES98" s="11">
        <v>1507</v>
      </c>
      <c r="ET98" s="11">
        <v>2008</v>
      </c>
      <c r="EU98" s="26">
        <f t="shared" si="57"/>
        <v>19897</v>
      </c>
      <c r="EV98" s="11">
        <v>1372</v>
      </c>
      <c r="EW98" s="11">
        <v>758</v>
      </c>
      <c r="EX98" s="11">
        <v>1309</v>
      </c>
      <c r="EY98" s="11">
        <v>4756</v>
      </c>
      <c r="EZ98" s="11">
        <v>1200</v>
      </c>
      <c r="FA98" s="11">
        <v>847</v>
      </c>
      <c r="FB98" s="11">
        <v>1334</v>
      </c>
      <c r="FC98" s="11">
        <v>1420</v>
      </c>
      <c r="FD98" s="11">
        <v>1305</v>
      </c>
      <c r="FE98" s="11">
        <v>692</v>
      </c>
      <c r="FF98" s="11">
        <v>1343</v>
      </c>
      <c r="FG98" s="11">
        <v>1840</v>
      </c>
      <c r="FH98" s="26">
        <f t="shared" si="58"/>
        <v>18176</v>
      </c>
      <c r="FI98" s="11">
        <v>127</v>
      </c>
      <c r="FJ98" s="11">
        <v>133</v>
      </c>
      <c r="FK98" s="11">
        <v>149</v>
      </c>
      <c r="FL98" s="11">
        <v>141</v>
      </c>
      <c r="FM98" s="11">
        <v>150</v>
      </c>
      <c r="FN98" s="11">
        <v>130</v>
      </c>
      <c r="FO98" s="11">
        <v>164</v>
      </c>
      <c r="FP98" s="11">
        <v>143</v>
      </c>
      <c r="FQ98" s="11">
        <v>126</v>
      </c>
      <c r="FR98" s="11">
        <v>126</v>
      </c>
      <c r="FS98" s="11">
        <v>164</v>
      </c>
      <c r="FT98" s="11">
        <v>168</v>
      </c>
      <c r="FU98" s="26">
        <f t="shared" si="59"/>
        <v>1721</v>
      </c>
      <c r="FV98" s="11">
        <v>0</v>
      </c>
      <c r="FW98" s="11">
        <v>0</v>
      </c>
      <c r="FX98" s="11">
        <v>0</v>
      </c>
      <c r="FY98" s="11">
        <v>0</v>
      </c>
      <c r="FZ98" s="11">
        <v>0</v>
      </c>
      <c r="GA98" s="11">
        <v>0</v>
      </c>
      <c r="GB98" s="11">
        <v>0</v>
      </c>
      <c r="GC98" s="11">
        <v>0</v>
      </c>
      <c r="GD98" s="11">
        <v>0</v>
      </c>
      <c r="GE98" s="11">
        <v>0</v>
      </c>
      <c r="GF98" s="11">
        <v>0</v>
      </c>
      <c r="GG98" s="11">
        <v>0</v>
      </c>
      <c r="GH98" s="26">
        <f t="shared" si="60"/>
        <v>0</v>
      </c>
      <c r="GI98" s="11">
        <v>0</v>
      </c>
      <c r="GJ98" s="11">
        <v>0</v>
      </c>
      <c r="GK98" s="11">
        <v>0</v>
      </c>
      <c r="GL98" s="11">
        <v>0</v>
      </c>
      <c r="GM98" s="11">
        <v>0</v>
      </c>
      <c r="GN98" s="11">
        <v>0</v>
      </c>
      <c r="GO98" s="11">
        <v>0</v>
      </c>
      <c r="GP98" s="11">
        <v>0</v>
      </c>
      <c r="GQ98" s="11">
        <v>0</v>
      </c>
      <c r="GR98" s="11">
        <v>0</v>
      </c>
      <c r="GS98" s="11">
        <v>0</v>
      </c>
      <c r="GT98" s="11">
        <v>0</v>
      </c>
      <c r="GU98" s="26">
        <f t="shared" si="61"/>
        <v>0</v>
      </c>
      <c r="GV98" s="11">
        <v>0</v>
      </c>
      <c r="GW98" s="11">
        <v>0</v>
      </c>
      <c r="GX98" s="11">
        <v>0</v>
      </c>
      <c r="GY98" s="11">
        <v>0</v>
      </c>
      <c r="GZ98" s="11">
        <v>0</v>
      </c>
      <c r="HA98" s="11">
        <v>0</v>
      </c>
      <c r="HB98" s="11">
        <v>0</v>
      </c>
      <c r="HC98" s="11">
        <v>0</v>
      </c>
      <c r="HD98" s="11">
        <v>0</v>
      </c>
      <c r="HE98" s="11">
        <v>0</v>
      </c>
      <c r="HF98" s="11">
        <v>0</v>
      </c>
      <c r="HG98" s="11">
        <v>0</v>
      </c>
      <c r="HH98" s="26">
        <f t="shared" si="62"/>
        <v>0</v>
      </c>
      <c r="HI98" s="11">
        <v>0</v>
      </c>
      <c r="HJ98" s="11">
        <v>0</v>
      </c>
      <c r="HK98" s="11">
        <v>0</v>
      </c>
      <c r="HL98" s="11">
        <v>0</v>
      </c>
      <c r="HM98" s="11">
        <v>0</v>
      </c>
      <c r="HN98" s="11">
        <v>0</v>
      </c>
      <c r="HO98" s="11">
        <v>0</v>
      </c>
      <c r="HP98" s="11">
        <v>0</v>
      </c>
      <c r="HQ98" s="11">
        <v>0</v>
      </c>
      <c r="HR98" s="11">
        <v>0</v>
      </c>
      <c r="HS98" s="11">
        <v>0</v>
      </c>
      <c r="HT98" s="11">
        <v>0</v>
      </c>
      <c r="HU98" s="26">
        <f t="shared" si="63"/>
        <v>0</v>
      </c>
      <c r="HV98" s="11">
        <v>0</v>
      </c>
      <c r="HW98" s="11">
        <v>0</v>
      </c>
      <c r="HX98" s="11">
        <v>0</v>
      </c>
      <c r="HY98" s="11">
        <v>0</v>
      </c>
      <c r="HZ98" s="11">
        <v>0</v>
      </c>
      <c r="IA98" s="11">
        <v>0</v>
      </c>
      <c r="IB98" s="11">
        <v>0</v>
      </c>
      <c r="IC98" s="11">
        <v>0</v>
      </c>
      <c r="ID98" s="11">
        <v>0</v>
      </c>
      <c r="IE98" s="11">
        <v>0</v>
      </c>
      <c r="IF98" s="11">
        <v>0</v>
      </c>
      <c r="IG98" s="11">
        <v>0</v>
      </c>
      <c r="IH98" s="26">
        <f t="shared" si="64"/>
        <v>0</v>
      </c>
      <c r="II98" s="9">
        <f t="shared" si="65"/>
        <v>19897</v>
      </c>
      <c r="IJ98" s="9">
        <f t="shared" si="66"/>
        <v>0</v>
      </c>
      <c r="IK98" s="11">
        <v>16660</v>
      </c>
      <c r="IL98" s="11">
        <v>14874</v>
      </c>
      <c r="IM98" s="11">
        <v>14362</v>
      </c>
      <c r="IN98" s="11">
        <v>17709</v>
      </c>
      <c r="IO98" s="11">
        <v>19375</v>
      </c>
      <c r="IP98" s="11">
        <v>15585</v>
      </c>
      <c r="IQ98" s="11">
        <v>16331</v>
      </c>
      <c r="IR98" s="11">
        <v>14233</v>
      </c>
      <c r="IS98" s="11">
        <v>10121</v>
      </c>
      <c r="IT98" s="11">
        <v>13475</v>
      </c>
      <c r="IU98" s="11">
        <v>13961</v>
      </c>
      <c r="IV98" s="11">
        <v>14009</v>
      </c>
      <c r="IW98" s="27">
        <f t="shared" si="67"/>
        <v>180695</v>
      </c>
      <c r="IX98" s="11">
        <v>9532</v>
      </c>
      <c r="IY98" s="11">
        <v>9158</v>
      </c>
      <c r="IZ98" s="11">
        <v>8884</v>
      </c>
      <c r="JA98" s="11">
        <v>9617</v>
      </c>
      <c r="JB98" s="11">
        <v>9954</v>
      </c>
      <c r="JC98" s="11">
        <v>8946</v>
      </c>
      <c r="JD98" s="11">
        <v>9677</v>
      </c>
      <c r="JE98" s="11">
        <v>8726</v>
      </c>
      <c r="JF98" s="11">
        <v>6931</v>
      </c>
      <c r="JG98" s="11">
        <v>8340</v>
      </c>
      <c r="JH98" s="11">
        <v>8099</v>
      </c>
      <c r="JI98" s="11">
        <v>8766</v>
      </c>
      <c r="JJ98" s="27">
        <f t="shared" si="68"/>
        <v>106630</v>
      </c>
      <c r="JK98" s="11">
        <v>6905</v>
      </c>
      <c r="JL98" s="11">
        <v>5527</v>
      </c>
      <c r="JM98" s="11">
        <v>5272</v>
      </c>
      <c r="JN98" s="11">
        <v>7871</v>
      </c>
      <c r="JO98" s="11">
        <v>9083</v>
      </c>
      <c r="JP98" s="11">
        <v>6432</v>
      </c>
      <c r="JQ98" s="11">
        <v>6376</v>
      </c>
      <c r="JR98" s="11">
        <v>5300</v>
      </c>
      <c r="JS98" s="11">
        <v>3059</v>
      </c>
      <c r="JT98" s="11">
        <v>4938</v>
      </c>
      <c r="JU98" s="11">
        <v>5647</v>
      </c>
      <c r="JV98" s="11">
        <v>5058</v>
      </c>
      <c r="JW98" s="27">
        <f t="shared" si="69"/>
        <v>71468</v>
      </c>
      <c r="JX98" s="11">
        <v>223</v>
      </c>
      <c r="JY98" s="11">
        <v>189</v>
      </c>
      <c r="JZ98" s="11">
        <v>206</v>
      </c>
      <c r="KA98" s="11">
        <v>221</v>
      </c>
      <c r="KB98" s="11">
        <v>338</v>
      </c>
      <c r="KC98" s="11">
        <v>207</v>
      </c>
      <c r="KD98" s="11">
        <v>278</v>
      </c>
      <c r="KE98" s="11">
        <v>207</v>
      </c>
      <c r="KF98" s="11">
        <v>131</v>
      </c>
      <c r="KG98" s="11">
        <v>197</v>
      </c>
      <c r="KH98" s="11">
        <v>215</v>
      </c>
      <c r="KI98" s="11">
        <v>185</v>
      </c>
      <c r="KJ98" s="27">
        <f t="shared" si="70"/>
        <v>2597</v>
      </c>
      <c r="KK98" s="11">
        <v>360</v>
      </c>
      <c r="KL98" s="11">
        <v>274</v>
      </c>
      <c r="KM98" s="11">
        <v>288</v>
      </c>
      <c r="KN98" s="11">
        <v>324</v>
      </c>
      <c r="KO98" s="11">
        <v>344</v>
      </c>
      <c r="KP98" s="11">
        <v>313</v>
      </c>
      <c r="KQ98" s="11">
        <v>361</v>
      </c>
      <c r="KR98" s="11">
        <v>332</v>
      </c>
      <c r="KS98" s="11">
        <v>251</v>
      </c>
      <c r="KT98" s="11">
        <v>326</v>
      </c>
      <c r="KU98" s="11">
        <v>295</v>
      </c>
      <c r="KV98" s="11">
        <v>267</v>
      </c>
      <c r="KW98" s="27">
        <f t="shared" si="71"/>
        <v>3735</v>
      </c>
      <c r="KX98" s="11">
        <v>321</v>
      </c>
      <c r="KY98" s="11">
        <v>250</v>
      </c>
      <c r="KZ98" s="11">
        <v>271</v>
      </c>
      <c r="LA98" s="11">
        <v>286</v>
      </c>
      <c r="LB98" s="11">
        <v>290</v>
      </c>
      <c r="LC98" s="11">
        <v>283</v>
      </c>
      <c r="LD98" s="11">
        <v>340</v>
      </c>
      <c r="LE98" s="11">
        <v>315</v>
      </c>
      <c r="LF98" s="11">
        <v>229</v>
      </c>
      <c r="LG98" s="11">
        <v>273</v>
      </c>
      <c r="LH98" s="11">
        <v>259</v>
      </c>
      <c r="LI98" s="11">
        <v>243</v>
      </c>
      <c r="LJ98" s="27">
        <f t="shared" si="72"/>
        <v>3360</v>
      </c>
      <c r="LK98" s="11">
        <v>39</v>
      </c>
      <c r="LL98" s="11">
        <v>24</v>
      </c>
      <c r="LM98" s="11">
        <v>17</v>
      </c>
      <c r="LN98" s="11">
        <v>38</v>
      </c>
      <c r="LO98" s="11">
        <v>54</v>
      </c>
      <c r="LP98" s="11">
        <v>30</v>
      </c>
      <c r="LQ98" s="11">
        <v>21</v>
      </c>
      <c r="LR98" s="11">
        <v>17</v>
      </c>
      <c r="LS98" s="11">
        <v>22</v>
      </c>
      <c r="LT98" s="11">
        <v>53</v>
      </c>
      <c r="LU98" s="11">
        <v>36</v>
      </c>
      <c r="LV98" s="11">
        <v>24</v>
      </c>
      <c r="LW98" s="27">
        <f t="shared" si="73"/>
        <v>375</v>
      </c>
      <c r="LX98" s="11">
        <v>0</v>
      </c>
      <c r="LY98" s="11">
        <v>0</v>
      </c>
      <c r="LZ98" s="11">
        <v>0</v>
      </c>
      <c r="MA98" s="11">
        <v>0</v>
      </c>
      <c r="MB98" s="11">
        <v>0</v>
      </c>
      <c r="MC98" s="11">
        <v>0</v>
      </c>
      <c r="MD98" s="11">
        <v>0</v>
      </c>
      <c r="ME98" s="11">
        <v>0</v>
      </c>
      <c r="MF98" s="11">
        <v>0</v>
      </c>
      <c r="MG98" s="11">
        <v>0</v>
      </c>
      <c r="MH98" s="11">
        <v>0</v>
      </c>
      <c r="MI98" s="11">
        <v>0</v>
      </c>
      <c r="MJ98" s="27">
        <f t="shared" si="74"/>
        <v>0</v>
      </c>
      <c r="MK98" s="11"/>
      <c r="ML98" s="11"/>
      <c r="MM98" s="11"/>
      <c r="MN98" s="11"/>
      <c r="MO98" s="11"/>
      <c r="MP98" s="11"/>
      <c r="MQ98" s="11"/>
      <c r="MR98" s="11"/>
      <c r="MS98" s="11"/>
      <c r="MT98" s="11"/>
      <c r="MU98" s="11"/>
      <c r="MV98" s="11"/>
      <c r="MW98" s="27">
        <f t="shared" si="75"/>
        <v>0</v>
      </c>
      <c r="MX98" s="11"/>
      <c r="MY98" s="11"/>
      <c r="MZ98" s="11"/>
      <c r="NA98" s="11"/>
      <c r="NB98" s="11"/>
      <c r="NC98" s="11"/>
      <c r="ND98" s="11"/>
      <c r="NE98" s="11"/>
      <c r="NF98" s="11"/>
      <c r="NG98" s="11"/>
      <c r="NH98" s="11"/>
      <c r="NI98" s="11"/>
      <c r="NJ98" s="27">
        <f t="shared" si="76"/>
        <v>0</v>
      </c>
      <c r="NK98" s="11"/>
      <c r="NL98" s="11"/>
      <c r="NM98" s="11"/>
      <c r="NN98" s="11"/>
      <c r="NO98" s="11"/>
      <c r="NP98" s="11"/>
      <c r="NQ98" s="11"/>
      <c r="NR98" s="11"/>
      <c r="NS98" s="11"/>
      <c r="NT98" s="11"/>
      <c r="NU98" s="11"/>
      <c r="NV98" s="11"/>
      <c r="NW98" s="27">
        <f t="shared" si="77"/>
        <v>0</v>
      </c>
      <c r="NX98" s="11"/>
      <c r="NY98" s="11"/>
      <c r="NZ98" s="11"/>
      <c r="OA98" s="11"/>
      <c r="OB98" s="11"/>
      <c r="OC98" s="11"/>
      <c r="OD98" s="11"/>
      <c r="OE98" s="11"/>
      <c r="OF98" s="11"/>
      <c r="OG98" s="11"/>
      <c r="OH98" s="11"/>
      <c r="OI98" s="11"/>
      <c r="OJ98" s="27">
        <f t="shared" si="78"/>
        <v>0</v>
      </c>
      <c r="OK98" s="11"/>
      <c r="OL98" s="11"/>
      <c r="OM98" s="11"/>
      <c r="ON98" s="11"/>
      <c r="OO98" s="11"/>
      <c r="OP98" s="11"/>
      <c r="OQ98" s="11"/>
      <c r="OR98" s="11"/>
      <c r="OS98" s="11"/>
      <c r="OT98" s="11"/>
      <c r="OU98" s="11"/>
      <c r="OV98" s="11"/>
      <c r="OW98" s="27">
        <f t="shared" si="79"/>
        <v>0</v>
      </c>
      <c r="OX98" s="11"/>
      <c r="OY98" s="11"/>
      <c r="OZ98" s="11"/>
      <c r="PA98" s="11"/>
      <c r="PB98" s="11"/>
      <c r="PC98" s="11"/>
      <c r="PD98" s="11"/>
      <c r="PE98" s="11"/>
      <c r="PF98" s="11"/>
      <c r="PG98" s="11"/>
      <c r="PH98" s="11"/>
      <c r="PI98" s="11"/>
      <c r="PJ98" s="27">
        <f t="shared" si="80"/>
        <v>0</v>
      </c>
      <c r="PK98" s="11"/>
      <c r="PL98" s="11"/>
      <c r="PM98" s="11"/>
      <c r="PN98" s="11"/>
      <c r="PO98" s="11"/>
      <c r="PP98" s="11"/>
      <c r="PQ98" s="11"/>
      <c r="PR98" s="11"/>
      <c r="PS98" s="11"/>
      <c r="PT98" s="11"/>
      <c r="PU98" s="11"/>
      <c r="PV98" s="11"/>
      <c r="PW98" s="27">
        <f t="shared" si="81"/>
        <v>0</v>
      </c>
      <c r="PX98" s="11"/>
      <c r="PY98" s="11"/>
      <c r="PZ98" s="11"/>
      <c r="QA98" s="11"/>
      <c r="QB98" s="11"/>
      <c r="QC98" s="11"/>
      <c r="QD98" s="11"/>
      <c r="QE98" s="11"/>
      <c r="QF98" s="11"/>
      <c r="QG98" s="11"/>
      <c r="QH98" s="11"/>
      <c r="QI98" s="11"/>
      <c r="QJ98" s="27">
        <f t="shared" si="82"/>
        <v>0</v>
      </c>
      <c r="QK98" s="11">
        <v>189407</v>
      </c>
      <c r="QL98" s="11">
        <v>186349</v>
      </c>
      <c r="QM98" s="11">
        <v>171632</v>
      </c>
      <c r="QN98" s="11">
        <v>199138</v>
      </c>
      <c r="QO98" s="11">
        <v>202000</v>
      </c>
      <c r="QP98" s="11">
        <v>193624</v>
      </c>
      <c r="QQ98" s="11">
        <v>201650</v>
      </c>
      <c r="QR98" s="11">
        <v>188082</v>
      </c>
      <c r="QS98" s="11">
        <v>142646</v>
      </c>
      <c r="QT98" s="11">
        <v>189584</v>
      </c>
      <c r="QU98" s="11">
        <v>164948</v>
      </c>
      <c r="QV98" s="11">
        <v>186615</v>
      </c>
      <c r="QW98" s="27">
        <f t="shared" si="83"/>
        <v>2215675</v>
      </c>
      <c r="QX98" s="11">
        <v>0</v>
      </c>
      <c r="QY98" s="11">
        <v>0</v>
      </c>
      <c r="QZ98" s="11">
        <v>0</v>
      </c>
      <c r="RA98" s="11">
        <v>0</v>
      </c>
      <c r="RB98" s="11">
        <v>0</v>
      </c>
      <c r="RC98" s="11">
        <v>0</v>
      </c>
      <c r="RD98" s="11">
        <v>0</v>
      </c>
      <c r="RE98" s="11">
        <v>0</v>
      </c>
      <c r="RF98" s="11">
        <v>0</v>
      </c>
      <c r="RG98" s="11">
        <v>0</v>
      </c>
      <c r="RH98" s="11">
        <v>0</v>
      </c>
      <c r="RI98" s="11">
        <v>0</v>
      </c>
      <c r="RJ98" s="27">
        <f t="shared" si="84"/>
        <v>0</v>
      </c>
      <c r="RK98" s="11">
        <v>0</v>
      </c>
      <c r="RL98" s="11">
        <v>0</v>
      </c>
      <c r="RM98" s="11">
        <v>0</v>
      </c>
      <c r="RN98" s="11">
        <v>0</v>
      </c>
      <c r="RO98" s="11">
        <v>0</v>
      </c>
      <c r="RP98" s="11">
        <v>0</v>
      </c>
      <c r="RQ98" s="11">
        <v>0</v>
      </c>
      <c r="RR98" s="11">
        <v>0</v>
      </c>
      <c r="RS98" s="11">
        <v>0</v>
      </c>
      <c r="RT98" s="11">
        <v>0</v>
      </c>
      <c r="RU98" s="11">
        <v>0</v>
      </c>
      <c r="RV98" s="11">
        <v>0</v>
      </c>
      <c r="RW98" s="27">
        <f t="shared" si="85"/>
        <v>0</v>
      </c>
      <c r="RX98" s="11">
        <v>0</v>
      </c>
      <c r="RY98" s="11">
        <v>0</v>
      </c>
      <c r="RZ98" s="11">
        <v>0</v>
      </c>
      <c r="SA98" s="11">
        <v>0</v>
      </c>
      <c r="SB98" s="11">
        <v>0</v>
      </c>
      <c r="SC98" s="11">
        <v>0</v>
      </c>
      <c r="SD98" s="11">
        <v>0</v>
      </c>
      <c r="SE98" s="11">
        <v>0</v>
      </c>
      <c r="SF98" s="11">
        <v>0</v>
      </c>
      <c r="SG98" s="11">
        <v>0</v>
      </c>
      <c r="SH98" s="11">
        <v>0</v>
      </c>
      <c r="SI98" s="11">
        <v>0</v>
      </c>
      <c r="SJ98" s="27">
        <f t="shared" si="86"/>
        <v>0</v>
      </c>
      <c r="SK98" s="11">
        <v>0</v>
      </c>
      <c r="SL98" s="11">
        <v>0</v>
      </c>
      <c r="SM98" s="11">
        <v>0</v>
      </c>
      <c r="SN98" s="11">
        <v>0</v>
      </c>
      <c r="SO98" s="11">
        <v>0</v>
      </c>
      <c r="SP98" s="11">
        <v>0</v>
      </c>
      <c r="SQ98" s="11">
        <v>0</v>
      </c>
      <c r="SR98" s="11">
        <v>0</v>
      </c>
      <c r="SS98" s="11">
        <v>0</v>
      </c>
      <c r="ST98" s="11">
        <v>0</v>
      </c>
      <c r="SU98" s="11">
        <v>0</v>
      </c>
      <c r="SV98" s="11">
        <v>0</v>
      </c>
      <c r="SW98" s="27">
        <f t="shared" si="87"/>
        <v>0</v>
      </c>
      <c r="SX98" s="11" t="s">
        <v>2737</v>
      </c>
      <c r="SY98" s="11">
        <v>0</v>
      </c>
      <c r="SZ98" s="11">
        <v>0</v>
      </c>
      <c r="TA98" s="11">
        <v>0</v>
      </c>
      <c r="TB98" s="11">
        <v>0</v>
      </c>
      <c r="TC98" s="11">
        <v>0</v>
      </c>
      <c r="TD98" s="11">
        <v>0</v>
      </c>
      <c r="TE98" s="11">
        <v>0</v>
      </c>
      <c r="TF98" s="11">
        <v>0</v>
      </c>
      <c r="TG98" s="11">
        <v>0</v>
      </c>
      <c r="TH98" s="11">
        <v>0</v>
      </c>
      <c r="TI98" s="11">
        <v>0</v>
      </c>
      <c r="TJ98" s="11">
        <v>0</v>
      </c>
      <c r="TK98" s="27">
        <f t="shared" si="88"/>
        <v>0</v>
      </c>
      <c r="TL98" s="11">
        <v>2297</v>
      </c>
      <c r="TM98" s="11">
        <v>2216</v>
      </c>
      <c r="TN98" s="11">
        <v>2104</v>
      </c>
      <c r="TO98" s="11">
        <v>2305</v>
      </c>
      <c r="TP98" s="11">
        <v>2207</v>
      </c>
      <c r="TQ98" s="11">
        <v>2448</v>
      </c>
      <c r="TR98" s="11">
        <v>2460</v>
      </c>
      <c r="TS98" s="11">
        <v>2347</v>
      </c>
      <c r="TT98" s="11">
        <v>1706</v>
      </c>
      <c r="TU98" s="11">
        <v>2190</v>
      </c>
      <c r="TV98" s="11">
        <v>2156</v>
      </c>
      <c r="TW98" s="11">
        <v>2317</v>
      </c>
      <c r="TX98" s="27">
        <f t="shared" si="89"/>
        <v>26753</v>
      </c>
      <c r="TY98" s="11">
        <v>62</v>
      </c>
      <c r="TZ98" s="11">
        <v>0</v>
      </c>
      <c r="UA98" s="11">
        <v>0</v>
      </c>
    </row>
    <row r="99" spans="1:547" ht="16" customHeight="1" x14ac:dyDescent="0.35">
      <c r="A99" s="11" t="s">
        <v>2738</v>
      </c>
      <c r="B99" s="11">
        <v>25458</v>
      </c>
      <c r="C99" s="11">
        <v>3991</v>
      </c>
      <c r="D99" s="11">
        <v>19185</v>
      </c>
      <c r="E99" s="11">
        <v>2278</v>
      </c>
      <c r="F99" s="11">
        <v>49</v>
      </c>
      <c r="G99" s="11">
        <v>45</v>
      </c>
      <c r="H99" s="11">
        <v>39</v>
      </c>
      <c r="I99" s="11">
        <v>52</v>
      </c>
      <c r="J99" s="11">
        <v>64</v>
      </c>
      <c r="K99" s="11">
        <v>36</v>
      </c>
      <c r="L99" s="11">
        <v>45</v>
      </c>
      <c r="M99" s="11">
        <v>71</v>
      </c>
      <c r="N99" s="11">
        <v>48</v>
      </c>
      <c r="O99" s="11">
        <v>48</v>
      </c>
      <c r="P99" s="11" t="s">
        <v>2866</v>
      </c>
      <c r="Q99" s="11">
        <v>51</v>
      </c>
      <c r="R99" s="11">
        <v>53</v>
      </c>
      <c r="S99" s="26">
        <f t="shared" si="45"/>
        <v>601</v>
      </c>
      <c r="T99" s="11">
        <v>16</v>
      </c>
      <c r="U99" s="11">
        <v>15</v>
      </c>
      <c r="V99" s="11">
        <v>15</v>
      </c>
      <c r="W99" s="11">
        <v>16</v>
      </c>
      <c r="X99" s="11">
        <v>15</v>
      </c>
      <c r="Y99" s="11">
        <v>15</v>
      </c>
      <c r="Z99" s="11">
        <v>19</v>
      </c>
      <c r="AA99" s="11">
        <v>45</v>
      </c>
      <c r="AB99" s="11">
        <v>17</v>
      </c>
      <c r="AC99" s="11">
        <v>16</v>
      </c>
      <c r="AD99" s="11">
        <v>17</v>
      </c>
      <c r="AE99" s="11">
        <v>17</v>
      </c>
      <c r="AF99" s="26">
        <f t="shared" si="46"/>
        <v>223</v>
      </c>
      <c r="AG99" s="11">
        <v>30</v>
      </c>
      <c r="AH99" s="11">
        <v>33</v>
      </c>
      <c r="AI99" s="11">
        <v>24</v>
      </c>
      <c r="AJ99" s="11">
        <v>36</v>
      </c>
      <c r="AK99" s="11">
        <v>49</v>
      </c>
      <c r="AL99" s="11">
        <v>21</v>
      </c>
      <c r="AM99" s="11">
        <v>38</v>
      </c>
      <c r="AN99" s="11">
        <v>26</v>
      </c>
      <c r="AO99" s="11">
        <v>31</v>
      </c>
      <c r="AP99" s="11">
        <v>32</v>
      </c>
      <c r="AQ99" s="11">
        <v>34</v>
      </c>
      <c r="AR99" s="11">
        <v>36</v>
      </c>
      <c r="AS99" s="26">
        <f t="shared" si="47"/>
        <v>390</v>
      </c>
      <c r="AT99" s="11">
        <v>0</v>
      </c>
      <c r="AU99" s="11">
        <v>0</v>
      </c>
      <c r="AV99" s="11">
        <v>0</v>
      </c>
      <c r="AW99" s="11">
        <v>0</v>
      </c>
      <c r="AX99" s="11">
        <v>0</v>
      </c>
      <c r="AY99" s="11">
        <v>0</v>
      </c>
      <c r="AZ99" s="11">
        <v>0</v>
      </c>
      <c r="BA99" s="11">
        <v>0</v>
      </c>
      <c r="BB99" s="11">
        <v>0</v>
      </c>
      <c r="BC99" s="11">
        <v>0</v>
      </c>
      <c r="BD99" s="11">
        <v>0</v>
      </c>
      <c r="BE99" s="11">
        <v>0</v>
      </c>
      <c r="BF99" s="26">
        <f t="shared" si="48"/>
        <v>0</v>
      </c>
      <c r="BG99" s="11">
        <v>0</v>
      </c>
      <c r="BH99" s="11">
        <v>0</v>
      </c>
      <c r="BI99" s="11">
        <v>0</v>
      </c>
      <c r="BJ99" s="11">
        <v>0</v>
      </c>
      <c r="BK99" s="11">
        <v>0</v>
      </c>
      <c r="BL99" s="11">
        <v>0</v>
      </c>
      <c r="BM99" s="11">
        <v>0</v>
      </c>
      <c r="BN99" s="11">
        <v>0</v>
      </c>
      <c r="BO99" s="11">
        <v>0</v>
      </c>
      <c r="BP99" s="11">
        <v>0</v>
      </c>
      <c r="BQ99" s="11">
        <v>0</v>
      </c>
      <c r="BR99" s="11">
        <v>0</v>
      </c>
      <c r="BS99" s="26">
        <f t="shared" si="49"/>
        <v>0</v>
      </c>
      <c r="BT99" s="11">
        <v>0</v>
      </c>
      <c r="BU99" s="11">
        <v>0</v>
      </c>
      <c r="BV99" s="11">
        <v>0</v>
      </c>
      <c r="BW99" s="11">
        <v>0</v>
      </c>
      <c r="BX99" s="11">
        <v>0</v>
      </c>
      <c r="BY99" s="11">
        <v>0</v>
      </c>
      <c r="BZ99" s="11">
        <v>16</v>
      </c>
      <c r="CA99" s="11">
        <v>0</v>
      </c>
      <c r="CB99" s="11">
        <v>0</v>
      </c>
      <c r="CC99" s="11">
        <v>0</v>
      </c>
      <c r="CD99" s="11">
        <v>0</v>
      </c>
      <c r="CE99" s="11">
        <v>0</v>
      </c>
      <c r="CF99" s="26">
        <f t="shared" si="50"/>
        <v>16</v>
      </c>
      <c r="CG99" s="11">
        <v>0</v>
      </c>
      <c r="CH99" s="11">
        <v>0</v>
      </c>
      <c r="CI99" s="11">
        <v>0</v>
      </c>
      <c r="CJ99" s="11">
        <v>0</v>
      </c>
      <c r="CK99" s="11">
        <v>0</v>
      </c>
      <c r="CL99" s="11">
        <v>0</v>
      </c>
      <c r="CM99" s="11">
        <v>15</v>
      </c>
      <c r="CN99" s="11">
        <v>0</v>
      </c>
      <c r="CO99" s="11">
        <v>0</v>
      </c>
      <c r="CP99" s="11">
        <v>0</v>
      </c>
      <c r="CQ99" s="11">
        <v>0</v>
      </c>
      <c r="CR99" s="11">
        <v>0</v>
      </c>
      <c r="CS99" s="26">
        <f t="shared" si="51"/>
        <v>15</v>
      </c>
      <c r="CT99" s="11">
        <v>0</v>
      </c>
      <c r="CU99" s="11">
        <v>0</v>
      </c>
      <c r="CV99" s="11">
        <v>0</v>
      </c>
      <c r="CW99" s="11">
        <v>0</v>
      </c>
      <c r="CX99" s="11">
        <v>0</v>
      </c>
      <c r="CY99" s="11">
        <v>0</v>
      </c>
      <c r="CZ99" s="11">
        <v>1</v>
      </c>
      <c r="DA99" s="11">
        <v>0</v>
      </c>
      <c r="DB99" s="11">
        <v>0</v>
      </c>
      <c r="DC99" s="11">
        <v>0</v>
      </c>
      <c r="DD99" s="11">
        <v>0</v>
      </c>
      <c r="DE99" s="11">
        <v>0</v>
      </c>
      <c r="DF99" s="26">
        <f t="shared" si="52"/>
        <v>1</v>
      </c>
      <c r="DG99" s="11">
        <v>0</v>
      </c>
      <c r="DH99" s="11">
        <v>0</v>
      </c>
      <c r="DI99" s="11">
        <v>0</v>
      </c>
      <c r="DJ99" s="11">
        <v>0</v>
      </c>
      <c r="DK99" s="11">
        <v>0</v>
      </c>
      <c r="DL99" s="11">
        <v>0</v>
      </c>
      <c r="DM99" s="11"/>
      <c r="DN99" s="11">
        <v>0</v>
      </c>
      <c r="DO99" s="11">
        <v>0</v>
      </c>
      <c r="DP99" s="11">
        <v>0</v>
      </c>
      <c r="DQ99" s="11">
        <v>0</v>
      </c>
      <c r="DR99" s="11">
        <v>0</v>
      </c>
      <c r="DS99" s="26">
        <f t="shared" si="53"/>
        <v>0</v>
      </c>
      <c r="DT99" s="11">
        <v>0</v>
      </c>
      <c r="DU99" s="11">
        <v>0</v>
      </c>
      <c r="DV99" s="11">
        <v>0</v>
      </c>
      <c r="DW99" s="11">
        <v>0</v>
      </c>
      <c r="DX99" s="11">
        <v>0</v>
      </c>
      <c r="DY99" s="11">
        <v>0</v>
      </c>
      <c r="DZ99" s="11">
        <v>0</v>
      </c>
      <c r="EA99" s="11">
        <v>0</v>
      </c>
      <c r="EB99" s="11">
        <v>0</v>
      </c>
      <c r="EC99" s="11">
        <v>0</v>
      </c>
      <c r="ED99" s="11">
        <v>0</v>
      </c>
      <c r="EE99" s="11">
        <v>0</v>
      </c>
      <c r="EF99" s="26">
        <f t="shared" si="54"/>
        <v>0</v>
      </c>
      <c r="EG99" s="9">
        <f t="shared" si="55"/>
        <v>613</v>
      </c>
      <c r="EH99" s="9">
        <f t="shared" si="56"/>
        <v>16</v>
      </c>
      <c r="EI99" s="11">
        <v>4460</v>
      </c>
      <c r="EJ99" s="11">
        <v>4375</v>
      </c>
      <c r="EK99" s="11">
        <v>3832</v>
      </c>
      <c r="EL99" s="11">
        <v>5013</v>
      </c>
      <c r="EM99" s="11">
        <v>5198</v>
      </c>
      <c r="EN99" s="11">
        <v>3784</v>
      </c>
      <c r="EO99" s="11">
        <v>5212</v>
      </c>
      <c r="EP99" s="11">
        <v>6300</v>
      </c>
      <c r="EQ99" s="11">
        <v>3749</v>
      </c>
      <c r="ER99" s="11">
        <v>4786</v>
      </c>
      <c r="ES99" s="11">
        <v>4950</v>
      </c>
      <c r="ET99" s="11">
        <v>5029</v>
      </c>
      <c r="EU99" s="26">
        <f t="shared" si="57"/>
        <v>56688</v>
      </c>
      <c r="EV99" s="11">
        <v>351</v>
      </c>
      <c r="EW99" s="11">
        <v>362</v>
      </c>
      <c r="EX99" s="11">
        <v>396</v>
      </c>
      <c r="EY99" s="11">
        <v>409</v>
      </c>
      <c r="EZ99" s="11">
        <v>303</v>
      </c>
      <c r="FA99" s="11">
        <v>366</v>
      </c>
      <c r="FB99" s="11">
        <v>550</v>
      </c>
      <c r="FC99" s="11">
        <v>1616</v>
      </c>
      <c r="FD99" s="11">
        <v>316</v>
      </c>
      <c r="FE99" s="11">
        <v>374</v>
      </c>
      <c r="FF99" s="11">
        <v>363</v>
      </c>
      <c r="FG99" s="11">
        <v>440</v>
      </c>
      <c r="FH99" s="26">
        <f t="shared" si="58"/>
        <v>5846</v>
      </c>
      <c r="FI99" s="11">
        <v>4109</v>
      </c>
      <c r="FJ99" s="11">
        <v>4013</v>
      </c>
      <c r="FK99" s="11">
        <v>3436</v>
      </c>
      <c r="FL99" s="11">
        <v>4604</v>
      </c>
      <c r="FM99" s="11">
        <v>4895</v>
      </c>
      <c r="FN99" s="11">
        <v>3418</v>
      </c>
      <c r="FO99" s="11">
        <v>4662</v>
      </c>
      <c r="FP99" s="11">
        <v>4684</v>
      </c>
      <c r="FQ99" s="11">
        <v>3433</v>
      </c>
      <c r="FR99" s="11">
        <v>4412</v>
      </c>
      <c r="FS99" s="11">
        <v>4587</v>
      </c>
      <c r="FT99" s="11">
        <v>4589</v>
      </c>
      <c r="FU99" s="26">
        <f t="shared" si="59"/>
        <v>50842</v>
      </c>
      <c r="FV99" s="11">
        <v>0</v>
      </c>
      <c r="FW99" s="11">
        <v>0</v>
      </c>
      <c r="FX99" s="11">
        <v>0</v>
      </c>
      <c r="FY99" s="11">
        <v>0</v>
      </c>
      <c r="FZ99" s="11">
        <v>0</v>
      </c>
      <c r="GA99" s="11">
        <v>0</v>
      </c>
      <c r="GB99" s="11">
        <v>0</v>
      </c>
      <c r="GC99" s="11">
        <v>0</v>
      </c>
      <c r="GD99" s="11">
        <v>0</v>
      </c>
      <c r="GE99" s="11">
        <v>0</v>
      </c>
      <c r="GF99" s="11">
        <v>0</v>
      </c>
      <c r="GG99" s="11">
        <v>0</v>
      </c>
      <c r="GH99" s="26">
        <f t="shared" si="60"/>
        <v>0</v>
      </c>
      <c r="GI99" s="11">
        <v>0</v>
      </c>
      <c r="GJ99" s="11">
        <v>0</v>
      </c>
      <c r="GK99" s="11">
        <v>0</v>
      </c>
      <c r="GL99" s="11">
        <v>0</v>
      </c>
      <c r="GM99" s="11">
        <v>0</v>
      </c>
      <c r="GN99" s="11">
        <v>0</v>
      </c>
      <c r="GO99" s="11">
        <v>80</v>
      </c>
      <c r="GP99" s="11">
        <v>0</v>
      </c>
      <c r="GQ99" s="11">
        <v>0</v>
      </c>
      <c r="GR99" s="11">
        <v>0</v>
      </c>
      <c r="GS99" s="11">
        <v>0</v>
      </c>
      <c r="GT99" s="11">
        <v>0</v>
      </c>
      <c r="GU99" s="26">
        <f t="shared" si="61"/>
        <v>80</v>
      </c>
      <c r="GV99" s="11">
        <v>0</v>
      </c>
      <c r="GW99" s="11">
        <v>0</v>
      </c>
      <c r="GX99" s="11">
        <v>0</v>
      </c>
      <c r="GY99" s="11">
        <v>0</v>
      </c>
      <c r="GZ99" s="11">
        <v>0</v>
      </c>
      <c r="HA99" s="11">
        <v>0</v>
      </c>
      <c r="HB99" s="11">
        <v>60</v>
      </c>
      <c r="HC99" s="11">
        <v>0</v>
      </c>
      <c r="HD99" s="11">
        <v>0</v>
      </c>
      <c r="HE99" s="11">
        <v>0</v>
      </c>
      <c r="HF99" s="11">
        <v>0</v>
      </c>
      <c r="HG99" s="11">
        <v>0</v>
      </c>
      <c r="HH99" s="26">
        <f t="shared" si="62"/>
        <v>60</v>
      </c>
      <c r="HI99" s="11">
        <v>0</v>
      </c>
      <c r="HJ99" s="11">
        <v>0</v>
      </c>
      <c r="HK99" s="11">
        <v>0</v>
      </c>
      <c r="HL99" s="11">
        <v>0</v>
      </c>
      <c r="HM99" s="11">
        <v>0</v>
      </c>
      <c r="HN99" s="11">
        <v>0</v>
      </c>
      <c r="HO99" s="11">
        <v>20</v>
      </c>
      <c r="HP99" s="11">
        <v>0</v>
      </c>
      <c r="HQ99" s="11">
        <v>0</v>
      </c>
      <c r="HR99" s="11">
        <v>0</v>
      </c>
      <c r="HS99" s="11">
        <v>0</v>
      </c>
      <c r="HT99" s="11">
        <v>0</v>
      </c>
      <c r="HU99" s="26">
        <f t="shared" si="63"/>
        <v>20</v>
      </c>
      <c r="HV99" s="11">
        <v>0</v>
      </c>
      <c r="HW99" s="11">
        <v>0</v>
      </c>
      <c r="HX99" s="11">
        <v>0</v>
      </c>
      <c r="HY99" s="11">
        <v>0</v>
      </c>
      <c r="HZ99" s="11">
        <v>0</v>
      </c>
      <c r="IA99" s="11">
        <v>0</v>
      </c>
      <c r="IB99" s="11">
        <v>0</v>
      </c>
      <c r="IC99" s="11">
        <v>0</v>
      </c>
      <c r="ID99" s="11">
        <v>0</v>
      </c>
      <c r="IE99" s="11">
        <v>0</v>
      </c>
      <c r="IF99" s="11">
        <v>0</v>
      </c>
      <c r="IG99" s="11">
        <v>0</v>
      </c>
      <c r="IH99" s="26">
        <f t="shared" si="64"/>
        <v>0</v>
      </c>
      <c r="II99" s="9">
        <f t="shared" si="65"/>
        <v>56688</v>
      </c>
      <c r="IJ99" s="9">
        <f t="shared" si="66"/>
        <v>80</v>
      </c>
      <c r="IK99" s="11">
        <v>56955</v>
      </c>
      <c r="IL99" s="11">
        <v>60310</v>
      </c>
      <c r="IM99" s="11">
        <v>56480</v>
      </c>
      <c r="IN99" s="11">
        <v>67058</v>
      </c>
      <c r="IO99" s="11">
        <v>66673</v>
      </c>
      <c r="IP99" s="11">
        <v>60420</v>
      </c>
      <c r="IQ99" s="11">
        <v>66267</v>
      </c>
      <c r="IR99" s="11">
        <v>62108</v>
      </c>
      <c r="IS99" s="11">
        <v>50821</v>
      </c>
      <c r="IT99" s="11">
        <v>63912</v>
      </c>
      <c r="IU99" s="11">
        <v>59160</v>
      </c>
      <c r="IV99" s="11">
        <v>58351</v>
      </c>
      <c r="IW99" s="27">
        <f t="shared" si="67"/>
        <v>728515</v>
      </c>
      <c r="IX99" s="11">
        <v>23630</v>
      </c>
      <c r="IY99" s="11">
        <v>24745</v>
      </c>
      <c r="IZ99" s="11">
        <v>24511</v>
      </c>
      <c r="JA99" s="11">
        <v>26501</v>
      </c>
      <c r="JB99" s="11">
        <v>25875</v>
      </c>
      <c r="JC99" s="11">
        <v>26015</v>
      </c>
      <c r="JD99" s="11">
        <v>27328</v>
      </c>
      <c r="JE99" s="11">
        <v>25975</v>
      </c>
      <c r="JF99" s="11">
        <v>23420</v>
      </c>
      <c r="JG99" s="11">
        <v>26879</v>
      </c>
      <c r="JH99" s="11">
        <v>24516</v>
      </c>
      <c r="JI99" s="11">
        <v>26500</v>
      </c>
      <c r="JJ99" s="27">
        <f t="shared" si="68"/>
        <v>305895</v>
      </c>
      <c r="JK99" s="11">
        <v>32163</v>
      </c>
      <c r="JL99" s="11">
        <v>33913</v>
      </c>
      <c r="JM99" s="11">
        <v>30431</v>
      </c>
      <c r="JN99" s="11">
        <v>39573</v>
      </c>
      <c r="JO99" s="11">
        <v>39429</v>
      </c>
      <c r="JP99" s="11">
        <v>33271</v>
      </c>
      <c r="JQ99" s="11">
        <v>37363</v>
      </c>
      <c r="JR99" s="11">
        <v>34622</v>
      </c>
      <c r="JS99" s="11">
        <v>30721</v>
      </c>
      <c r="JT99" s="11">
        <v>35554</v>
      </c>
      <c r="JU99" s="11">
        <v>33120</v>
      </c>
      <c r="JV99" s="11">
        <v>32163</v>
      </c>
      <c r="JW99" s="27">
        <f t="shared" si="69"/>
        <v>412323</v>
      </c>
      <c r="JX99" s="11">
        <v>0</v>
      </c>
      <c r="JY99" s="11">
        <v>0</v>
      </c>
      <c r="JZ99" s="11">
        <v>0</v>
      </c>
      <c r="KA99" s="11">
        <v>0</v>
      </c>
      <c r="KB99" s="11">
        <v>0</v>
      </c>
      <c r="KC99" s="11">
        <v>0</v>
      </c>
      <c r="KD99" s="11">
        <v>0</v>
      </c>
      <c r="KE99" s="11">
        <v>0</v>
      </c>
      <c r="KF99" s="11">
        <v>0</v>
      </c>
      <c r="KG99" s="11">
        <v>0</v>
      </c>
      <c r="KH99" s="11">
        <v>0</v>
      </c>
      <c r="KI99" s="11">
        <v>0</v>
      </c>
      <c r="KJ99" s="27">
        <f t="shared" si="70"/>
        <v>0</v>
      </c>
      <c r="KK99" s="11">
        <v>202</v>
      </c>
      <c r="KL99" s="11">
        <v>218</v>
      </c>
      <c r="KM99" s="11">
        <v>160</v>
      </c>
      <c r="KN99" s="11">
        <v>186</v>
      </c>
      <c r="KO99" s="11">
        <v>205</v>
      </c>
      <c r="KP99" s="11">
        <v>155</v>
      </c>
      <c r="KQ99" s="11">
        <v>195</v>
      </c>
      <c r="KR99" s="11">
        <v>127</v>
      </c>
      <c r="KS99" s="11">
        <v>86</v>
      </c>
      <c r="KT99" s="11">
        <v>107</v>
      </c>
      <c r="KU99" s="11">
        <v>126</v>
      </c>
      <c r="KV99" s="11">
        <v>124</v>
      </c>
      <c r="KW99" s="27">
        <f t="shared" si="71"/>
        <v>1891</v>
      </c>
      <c r="KX99" s="11">
        <v>173</v>
      </c>
      <c r="KY99" s="11">
        <v>192</v>
      </c>
      <c r="KZ99" s="11">
        <v>144</v>
      </c>
      <c r="LA99" s="11">
        <v>159</v>
      </c>
      <c r="LB99" s="11">
        <v>188</v>
      </c>
      <c r="LC99" s="11">
        <v>130</v>
      </c>
      <c r="LD99" s="11">
        <v>180</v>
      </c>
      <c r="LE99" s="11">
        <v>102</v>
      </c>
      <c r="LF99" s="11">
        <v>73</v>
      </c>
      <c r="LG99" s="11">
        <v>86</v>
      </c>
      <c r="LH99" s="11">
        <v>99</v>
      </c>
      <c r="LI99" s="11">
        <v>110</v>
      </c>
      <c r="LJ99" s="27">
        <f t="shared" si="72"/>
        <v>1636</v>
      </c>
      <c r="LK99" s="11">
        <v>29</v>
      </c>
      <c r="LL99" s="11">
        <v>26</v>
      </c>
      <c r="LM99" s="11">
        <v>16</v>
      </c>
      <c r="LN99" s="11">
        <v>27</v>
      </c>
      <c r="LO99" s="11">
        <v>17</v>
      </c>
      <c r="LP99" s="11">
        <v>25</v>
      </c>
      <c r="LQ99" s="11">
        <v>15</v>
      </c>
      <c r="LR99" s="11">
        <v>25</v>
      </c>
      <c r="LS99" s="11">
        <v>13</v>
      </c>
      <c r="LT99" s="11">
        <v>21</v>
      </c>
      <c r="LU99" s="11">
        <v>27</v>
      </c>
      <c r="LV99" s="11">
        <v>14</v>
      </c>
      <c r="LW99" s="27">
        <f t="shared" si="73"/>
        <v>255</v>
      </c>
      <c r="LX99" s="11">
        <v>0</v>
      </c>
      <c r="LY99" s="11">
        <v>0</v>
      </c>
      <c r="LZ99" s="11">
        <v>0</v>
      </c>
      <c r="MA99" s="11">
        <v>0</v>
      </c>
      <c r="MB99" s="11">
        <v>0</v>
      </c>
      <c r="MC99" s="11">
        <v>0</v>
      </c>
      <c r="MD99" s="11">
        <v>0</v>
      </c>
      <c r="ME99" s="11">
        <v>0</v>
      </c>
      <c r="MF99" s="11">
        <v>0</v>
      </c>
      <c r="MG99" s="11">
        <v>0</v>
      </c>
      <c r="MH99" s="11">
        <v>0</v>
      </c>
      <c r="MI99" s="11">
        <v>0</v>
      </c>
      <c r="MJ99" s="27">
        <f t="shared" si="74"/>
        <v>0</v>
      </c>
      <c r="MK99" s="11">
        <v>4879</v>
      </c>
      <c r="ML99" s="11">
        <v>5084</v>
      </c>
      <c r="MM99" s="11">
        <v>4253</v>
      </c>
      <c r="MN99" s="11">
        <v>4007</v>
      </c>
      <c r="MO99" s="11">
        <v>4109</v>
      </c>
      <c r="MP99" s="11">
        <v>4041</v>
      </c>
      <c r="MQ99" s="11">
        <v>3987</v>
      </c>
      <c r="MR99" s="11">
        <v>3897</v>
      </c>
      <c r="MS99" s="11">
        <v>4208</v>
      </c>
      <c r="MT99" s="11">
        <v>4034</v>
      </c>
      <c r="MU99" s="11">
        <v>3538</v>
      </c>
      <c r="MV99" s="11">
        <v>4092</v>
      </c>
      <c r="MW99" s="27">
        <f t="shared" si="75"/>
        <v>50129</v>
      </c>
      <c r="MX99" s="11">
        <v>3317</v>
      </c>
      <c r="MY99" s="11">
        <v>3405</v>
      </c>
      <c r="MZ99" s="11">
        <v>3028</v>
      </c>
      <c r="NA99" s="11">
        <v>3067</v>
      </c>
      <c r="NB99" s="11">
        <v>3077</v>
      </c>
      <c r="NC99" s="11">
        <v>3070</v>
      </c>
      <c r="ND99" s="11">
        <v>3177</v>
      </c>
      <c r="NE99" s="11">
        <v>2935</v>
      </c>
      <c r="NF99" s="11">
        <v>3287</v>
      </c>
      <c r="NG99" s="11">
        <v>3136</v>
      </c>
      <c r="NH99" s="11">
        <v>2807</v>
      </c>
      <c r="NI99" s="11">
        <v>3043</v>
      </c>
      <c r="NJ99" s="27">
        <f t="shared" si="76"/>
        <v>37349</v>
      </c>
      <c r="NK99" s="11">
        <v>1116</v>
      </c>
      <c r="NL99" s="11">
        <v>1219</v>
      </c>
      <c r="NM99" s="11">
        <v>809</v>
      </c>
      <c r="NN99" s="11">
        <v>805</v>
      </c>
      <c r="NO99" s="11">
        <v>898</v>
      </c>
      <c r="NP99" s="11">
        <v>812</v>
      </c>
      <c r="NQ99" s="11">
        <v>742</v>
      </c>
      <c r="NR99" s="11">
        <v>831</v>
      </c>
      <c r="NS99" s="11">
        <v>908</v>
      </c>
      <c r="NT99" s="11">
        <v>802</v>
      </c>
      <c r="NU99" s="11">
        <v>702</v>
      </c>
      <c r="NV99" s="11">
        <v>966</v>
      </c>
      <c r="NW99" s="27">
        <f t="shared" si="77"/>
        <v>10610</v>
      </c>
      <c r="NX99" s="11">
        <v>0</v>
      </c>
      <c r="NY99" s="11">
        <v>0</v>
      </c>
      <c r="NZ99" s="11">
        <v>0</v>
      </c>
      <c r="OA99" s="11">
        <v>0</v>
      </c>
      <c r="OB99" s="11">
        <v>0</v>
      </c>
      <c r="OC99" s="11">
        <v>0</v>
      </c>
      <c r="OD99" s="11">
        <v>0</v>
      </c>
      <c r="OE99" s="11">
        <v>0</v>
      </c>
      <c r="OF99" s="11">
        <v>0</v>
      </c>
      <c r="OG99" s="11">
        <v>0</v>
      </c>
      <c r="OH99" s="11">
        <v>0</v>
      </c>
      <c r="OI99" s="11">
        <v>0</v>
      </c>
      <c r="OJ99" s="27">
        <f t="shared" si="78"/>
        <v>0</v>
      </c>
      <c r="OK99" s="11">
        <v>4328</v>
      </c>
      <c r="OL99" s="11">
        <v>4423</v>
      </c>
      <c r="OM99" s="11">
        <v>3984</v>
      </c>
      <c r="ON99" s="11">
        <v>3880</v>
      </c>
      <c r="OO99" s="11">
        <v>4193</v>
      </c>
      <c r="OP99" s="11">
        <v>4239</v>
      </c>
      <c r="OQ99" s="11">
        <v>4276</v>
      </c>
      <c r="OR99" s="11">
        <v>4178</v>
      </c>
      <c r="OS99" s="11">
        <v>4274</v>
      </c>
      <c r="OT99" s="11">
        <v>4582</v>
      </c>
      <c r="OU99" s="11">
        <v>4061</v>
      </c>
      <c r="OV99" s="11">
        <v>4745</v>
      </c>
      <c r="OW99" s="27">
        <f t="shared" si="79"/>
        <v>51163</v>
      </c>
      <c r="OX99" s="11">
        <v>2591</v>
      </c>
      <c r="OY99" s="11">
        <v>2560</v>
      </c>
      <c r="OZ99" s="11">
        <v>2376</v>
      </c>
      <c r="PA99" s="11">
        <v>2190</v>
      </c>
      <c r="PB99" s="11">
        <v>2502</v>
      </c>
      <c r="PC99" s="11">
        <v>2610</v>
      </c>
      <c r="PD99" s="11">
        <v>2594</v>
      </c>
      <c r="PE99" s="11">
        <v>2514</v>
      </c>
      <c r="PF99" s="11">
        <v>2590</v>
      </c>
      <c r="PG99" s="11">
        <v>2836</v>
      </c>
      <c r="PH99" s="11">
        <v>2453</v>
      </c>
      <c r="PI99" s="11">
        <v>3013</v>
      </c>
      <c r="PJ99" s="27">
        <f t="shared" si="80"/>
        <v>30829</v>
      </c>
      <c r="PK99" s="11">
        <v>559</v>
      </c>
      <c r="PL99" s="11">
        <v>499</v>
      </c>
      <c r="PM99" s="11">
        <v>503</v>
      </c>
      <c r="PN99" s="11">
        <v>346</v>
      </c>
      <c r="PO99" s="11">
        <v>563</v>
      </c>
      <c r="PP99" s="11">
        <v>531</v>
      </c>
      <c r="PQ99" s="11">
        <v>655</v>
      </c>
      <c r="PR99" s="11">
        <v>516</v>
      </c>
      <c r="PS99" s="11">
        <v>619</v>
      </c>
      <c r="PT99" s="11">
        <v>693</v>
      </c>
      <c r="PU99" s="11">
        <v>712</v>
      </c>
      <c r="PV99" s="11">
        <v>735</v>
      </c>
      <c r="PW99" s="27">
        <f t="shared" si="81"/>
        <v>6931</v>
      </c>
      <c r="PX99" s="11">
        <v>0</v>
      </c>
      <c r="PY99" s="11">
        <v>0</v>
      </c>
      <c r="PZ99" s="11">
        <v>0</v>
      </c>
      <c r="QA99" s="11">
        <v>0</v>
      </c>
      <c r="QB99" s="11">
        <v>0</v>
      </c>
      <c r="QC99" s="11">
        <v>0</v>
      </c>
      <c r="QD99" s="11">
        <v>0</v>
      </c>
      <c r="QE99" s="11">
        <v>0</v>
      </c>
      <c r="QF99" s="11">
        <v>0</v>
      </c>
      <c r="QG99" s="11">
        <v>0</v>
      </c>
      <c r="QH99" s="11">
        <v>0</v>
      </c>
      <c r="QI99" s="11">
        <v>0</v>
      </c>
      <c r="QJ99" s="27">
        <f t="shared" si="82"/>
        <v>0</v>
      </c>
      <c r="QK99" s="11">
        <v>10451</v>
      </c>
      <c r="QL99" s="11">
        <v>10573</v>
      </c>
      <c r="QM99" s="11">
        <v>9253</v>
      </c>
      <c r="QN99" s="11">
        <v>10361</v>
      </c>
      <c r="QO99" s="11">
        <v>9808</v>
      </c>
      <c r="QP99" s="11">
        <v>10468</v>
      </c>
      <c r="QQ99" s="11">
        <v>11593</v>
      </c>
      <c r="QR99" s="11">
        <v>10877</v>
      </c>
      <c r="QS99" s="11">
        <v>7748</v>
      </c>
      <c r="QT99" s="11">
        <v>11471</v>
      </c>
      <c r="QU99" s="11">
        <v>12583</v>
      </c>
      <c r="QV99" s="11">
        <v>11857</v>
      </c>
      <c r="QW99" s="27">
        <f t="shared" si="83"/>
        <v>127043</v>
      </c>
      <c r="QX99" s="11">
        <v>116069</v>
      </c>
      <c r="QY99" s="11">
        <v>124459</v>
      </c>
      <c r="QZ99" s="11">
        <v>109318</v>
      </c>
      <c r="RA99" s="11">
        <v>116241</v>
      </c>
      <c r="RB99" s="11">
        <v>108878</v>
      </c>
      <c r="RC99" s="11">
        <v>110875</v>
      </c>
      <c r="RD99" s="11">
        <v>123212</v>
      </c>
      <c r="RE99" s="11">
        <v>115153</v>
      </c>
      <c r="RF99" s="11">
        <v>92356</v>
      </c>
      <c r="RG99" s="11">
        <v>117848</v>
      </c>
      <c r="RH99" s="11">
        <v>115030</v>
      </c>
      <c r="RI99" s="11">
        <v>110556</v>
      </c>
      <c r="RJ99" s="27">
        <f t="shared" si="84"/>
        <v>1359995</v>
      </c>
      <c r="RK99" s="11">
        <v>0</v>
      </c>
      <c r="RL99" s="11">
        <v>0</v>
      </c>
      <c r="RM99" s="11">
        <v>0</v>
      </c>
      <c r="RN99" s="11">
        <v>0</v>
      </c>
      <c r="RO99" s="11">
        <v>0</v>
      </c>
      <c r="RP99" s="11">
        <v>0</v>
      </c>
      <c r="RQ99" s="11">
        <v>0</v>
      </c>
      <c r="RR99" s="11">
        <v>0</v>
      </c>
      <c r="RS99" s="11">
        <v>0</v>
      </c>
      <c r="RT99" s="11">
        <v>0</v>
      </c>
      <c r="RU99" s="11">
        <v>0</v>
      </c>
      <c r="RV99" s="11">
        <v>0</v>
      </c>
      <c r="RW99" s="27">
        <f t="shared" si="85"/>
        <v>0</v>
      </c>
      <c r="RX99" s="11">
        <v>0</v>
      </c>
      <c r="RY99" s="11">
        <v>0</v>
      </c>
      <c r="RZ99" s="11">
        <v>0</v>
      </c>
      <c r="SA99" s="11">
        <v>0</v>
      </c>
      <c r="SB99" s="11">
        <v>0</v>
      </c>
      <c r="SC99" s="11">
        <v>0</v>
      </c>
      <c r="SD99" s="11">
        <v>0</v>
      </c>
      <c r="SE99" s="11">
        <v>0</v>
      </c>
      <c r="SF99" s="11">
        <v>0</v>
      </c>
      <c r="SG99" s="11">
        <v>0</v>
      </c>
      <c r="SH99" s="11">
        <v>0</v>
      </c>
      <c r="SI99" s="11">
        <v>0</v>
      </c>
      <c r="SJ99" s="27">
        <f t="shared" si="86"/>
        <v>0</v>
      </c>
      <c r="SK99" s="11">
        <v>0</v>
      </c>
      <c r="SL99" s="11">
        <v>0</v>
      </c>
      <c r="SM99" s="11">
        <v>0</v>
      </c>
      <c r="SN99" s="11">
        <v>0</v>
      </c>
      <c r="SO99" s="11">
        <v>0</v>
      </c>
      <c r="SP99" s="11">
        <v>0</v>
      </c>
      <c r="SQ99" s="11">
        <v>0</v>
      </c>
      <c r="SR99" s="11">
        <v>0</v>
      </c>
      <c r="SS99" s="11">
        <v>0</v>
      </c>
      <c r="ST99" s="11">
        <v>0</v>
      </c>
      <c r="SU99" s="11">
        <v>0</v>
      </c>
      <c r="SV99" s="11">
        <v>0</v>
      </c>
      <c r="SW99" s="27">
        <f t="shared" si="87"/>
        <v>0</v>
      </c>
      <c r="SX99" s="28" t="s">
        <v>2739</v>
      </c>
      <c r="SY99" s="11">
        <v>0</v>
      </c>
      <c r="SZ99" s="11">
        <v>0</v>
      </c>
      <c r="TA99" s="11">
        <v>0</v>
      </c>
      <c r="TB99" s="11">
        <v>0</v>
      </c>
      <c r="TC99" s="11">
        <v>0</v>
      </c>
      <c r="TD99" s="11">
        <v>0</v>
      </c>
      <c r="TE99" s="11">
        <v>0</v>
      </c>
      <c r="TF99" s="11">
        <v>0</v>
      </c>
      <c r="TG99" s="11">
        <v>0</v>
      </c>
      <c r="TH99" s="11">
        <v>0</v>
      </c>
      <c r="TI99" s="11">
        <v>0</v>
      </c>
      <c r="TJ99" s="11">
        <v>0</v>
      </c>
      <c r="TK99" s="27">
        <f t="shared" si="88"/>
        <v>0</v>
      </c>
      <c r="TL99" s="11">
        <v>0</v>
      </c>
      <c r="TM99" s="11">
        <v>0</v>
      </c>
      <c r="TN99" s="11">
        <v>0</v>
      </c>
      <c r="TO99" s="11">
        <v>0</v>
      </c>
      <c r="TP99" s="11">
        <v>0</v>
      </c>
      <c r="TQ99" s="11">
        <v>0</v>
      </c>
      <c r="TR99" s="11">
        <v>0</v>
      </c>
      <c r="TS99" s="11">
        <v>0</v>
      </c>
      <c r="TT99" s="11">
        <v>0</v>
      </c>
      <c r="TU99" s="11">
        <v>0</v>
      </c>
      <c r="TV99" s="11">
        <v>0</v>
      </c>
      <c r="TW99" s="11">
        <v>0</v>
      </c>
      <c r="TX99" s="27">
        <f t="shared" si="89"/>
        <v>0</v>
      </c>
      <c r="TY99" s="11">
        <v>90</v>
      </c>
      <c r="TZ99" s="11">
        <v>48</v>
      </c>
      <c r="UA99" s="11">
        <v>48</v>
      </c>
    </row>
    <row r="100" spans="1:547" ht="16" customHeight="1" x14ac:dyDescent="0.35">
      <c r="A100" s="11" t="s">
        <v>1554</v>
      </c>
      <c r="B100" s="11">
        <v>18001</v>
      </c>
      <c r="C100" s="11">
        <v>5646</v>
      </c>
      <c r="D100" s="11">
        <v>8723</v>
      </c>
      <c r="E100" s="11">
        <v>3632</v>
      </c>
      <c r="F100" s="11">
        <v>457</v>
      </c>
      <c r="G100" s="11">
        <v>459</v>
      </c>
      <c r="H100" s="11">
        <v>448</v>
      </c>
      <c r="I100" s="11">
        <v>462</v>
      </c>
      <c r="J100" s="11">
        <v>458</v>
      </c>
      <c r="K100" s="11">
        <v>435</v>
      </c>
      <c r="L100" s="11">
        <v>478</v>
      </c>
      <c r="M100" s="11">
        <v>456</v>
      </c>
      <c r="N100" s="11">
        <v>432</v>
      </c>
      <c r="O100" s="11">
        <v>470</v>
      </c>
      <c r="P100" s="11" t="s">
        <v>2865</v>
      </c>
      <c r="Q100" s="11">
        <v>509</v>
      </c>
      <c r="R100" s="11">
        <v>469</v>
      </c>
      <c r="S100" s="26">
        <f t="shared" si="45"/>
        <v>5533</v>
      </c>
      <c r="T100" s="11">
        <v>0</v>
      </c>
      <c r="U100" s="11">
        <v>0</v>
      </c>
      <c r="V100" s="11">
        <v>0</v>
      </c>
      <c r="W100" s="11">
        <v>0</v>
      </c>
      <c r="X100" s="11">
        <v>0</v>
      </c>
      <c r="Y100" s="11">
        <v>0</v>
      </c>
      <c r="Z100" s="11">
        <v>0</v>
      </c>
      <c r="AA100" s="11">
        <v>0</v>
      </c>
      <c r="AB100" s="11">
        <v>0</v>
      </c>
      <c r="AC100" s="11">
        <v>0</v>
      </c>
      <c r="AD100" s="11">
        <v>0</v>
      </c>
      <c r="AE100" s="11">
        <v>0</v>
      </c>
      <c r="AF100" s="26">
        <f t="shared" si="46"/>
        <v>0</v>
      </c>
      <c r="AG100" s="11">
        <v>0</v>
      </c>
      <c r="AH100" s="11">
        <v>0</v>
      </c>
      <c r="AI100" s="11">
        <v>0</v>
      </c>
      <c r="AJ100" s="11">
        <v>0</v>
      </c>
      <c r="AK100" s="11">
        <v>0</v>
      </c>
      <c r="AL100" s="11">
        <v>0</v>
      </c>
      <c r="AM100" s="11">
        <v>0</v>
      </c>
      <c r="AN100" s="11">
        <v>0</v>
      </c>
      <c r="AO100" s="11">
        <v>0</v>
      </c>
      <c r="AP100" s="11">
        <v>0</v>
      </c>
      <c r="AQ100" s="11">
        <v>0</v>
      </c>
      <c r="AR100" s="11">
        <v>0</v>
      </c>
      <c r="AS100" s="26">
        <f t="shared" si="47"/>
        <v>0</v>
      </c>
      <c r="AT100" s="11">
        <v>0</v>
      </c>
      <c r="AU100" s="11">
        <v>0</v>
      </c>
      <c r="AV100" s="11">
        <v>0</v>
      </c>
      <c r="AW100" s="11">
        <v>0</v>
      </c>
      <c r="AX100" s="11">
        <v>0</v>
      </c>
      <c r="AY100" s="11">
        <v>0</v>
      </c>
      <c r="AZ100" s="11">
        <v>0</v>
      </c>
      <c r="BA100" s="11">
        <v>0</v>
      </c>
      <c r="BB100" s="11">
        <v>0</v>
      </c>
      <c r="BC100" s="11">
        <v>0</v>
      </c>
      <c r="BD100" s="11">
        <v>0</v>
      </c>
      <c r="BE100" s="11">
        <v>0</v>
      </c>
      <c r="BF100" s="26">
        <f t="shared" si="48"/>
        <v>0</v>
      </c>
      <c r="BG100" s="11">
        <v>0</v>
      </c>
      <c r="BH100" s="11">
        <v>0</v>
      </c>
      <c r="BI100" s="11">
        <v>0</v>
      </c>
      <c r="BJ100" s="11">
        <v>0</v>
      </c>
      <c r="BK100" s="11">
        <v>0</v>
      </c>
      <c r="BL100" s="11">
        <v>0</v>
      </c>
      <c r="BM100" s="11">
        <v>0</v>
      </c>
      <c r="BN100" s="11">
        <v>0</v>
      </c>
      <c r="BO100" s="11">
        <v>0</v>
      </c>
      <c r="BP100" s="11">
        <v>0</v>
      </c>
      <c r="BQ100" s="11">
        <v>0</v>
      </c>
      <c r="BR100" s="11">
        <v>0</v>
      </c>
      <c r="BS100" s="26">
        <f t="shared" si="49"/>
        <v>0</v>
      </c>
      <c r="BT100" s="11">
        <v>0</v>
      </c>
      <c r="BU100" s="11">
        <v>0</v>
      </c>
      <c r="BV100" s="11">
        <v>0</v>
      </c>
      <c r="BW100" s="11">
        <v>0</v>
      </c>
      <c r="BX100" s="11">
        <v>0</v>
      </c>
      <c r="BY100" s="11">
        <v>0</v>
      </c>
      <c r="BZ100" s="11">
        <v>0</v>
      </c>
      <c r="CA100" s="11">
        <v>0</v>
      </c>
      <c r="CB100" s="11">
        <v>0</v>
      </c>
      <c r="CC100" s="11">
        <v>0</v>
      </c>
      <c r="CD100" s="11">
        <v>0</v>
      </c>
      <c r="CE100" s="11">
        <v>0</v>
      </c>
      <c r="CF100" s="26">
        <f t="shared" si="50"/>
        <v>0</v>
      </c>
      <c r="CG100" s="11">
        <v>0</v>
      </c>
      <c r="CH100" s="11">
        <v>0</v>
      </c>
      <c r="CI100" s="11">
        <v>0</v>
      </c>
      <c r="CJ100" s="11">
        <v>0</v>
      </c>
      <c r="CK100" s="11">
        <v>0</v>
      </c>
      <c r="CL100" s="11">
        <v>0</v>
      </c>
      <c r="CM100" s="11">
        <v>0</v>
      </c>
      <c r="CN100" s="11">
        <v>0</v>
      </c>
      <c r="CO100" s="11">
        <v>0</v>
      </c>
      <c r="CP100" s="11">
        <v>0</v>
      </c>
      <c r="CQ100" s="11">
        <v>0</v>
      </c>
      <c r="CR100" s="11">
        <v>0</v>
      </c>
      <c r="CS100" s="26">
        <f t="shared" si="51"/>
        <v>0</v>
      </c>
      <c r="CT100" s="11">
        <v>0</v>
      </c>
      <c r="CU100" s="11">
        <v>0</v>
      </c>
      <c r="CV100" s="11">
        <v>0</v>
      </c>
      <c r="CW100" s="11">
        <v>0</v>
      </c>
      <c r="CX100" s="11">
        <v>0</v>
      </c>
      <c r="CY100" s="11">
        <v>0</v>
      </c>
      <c r="CZ100" s="11">
        <v>0</v>
      </c>
      <c r="DA100" s="11">
        <v>0</v>
      </c>
      <c r="DB100" s="11">
        <v>0</v>
      </c>
      <c r="DC100" s="11">
        <v>0</v>
      </c>
      <c r="DD100" s="11">
        <v>0</v>
      </c>
      <c r="DE100" s="11">
        <v>0</v>
      </c>
      <c r="DF100" s="26">
        <f t="shared" si="52"/>
        <v>0</v>
      </c>
      <c r="DG100" s="11">
        <v>0</v>
      </c>
      <c r="DH100" s="11">
        <v>0</v>
      </c>
      <c r="DI100" s="11">
        <v>0</v>
      </c>
      <c r="DJ100" s="11">
        <v>0</v>
      </c>
      <c r="DK100" s="11">
        <v>0</v>
      </c>
      <c r="DL100" s="11">
        <v>0</v>
      </c>
      <c r="DM100" s="11">
        <v>0</v>
      </c>
      <c r="DN100" s="11">
        <v>0</v>
      </c>
      <c r="DO100" s="11">
        <v>0</v>
      </c>
      <c r="DP100" s="11">
        <v>0</v>
      </c>
      <c r="DQ100" s="11">
        <v>0</v>
      </c>
      <c r="DR100" s="11">
        <v>0</v>
      </c>
      <c r="DS100" s="26">
        <f t="shared" si="53"/>
        <v>0</v>
      </c>
      <c r="DT100" s="11">
        <v>0</v>
      </c>
      <c r="DU100" s="11">
        <v>0</v>
      </c>
      <c r="DV100" s="11">
        <v>0</v>
      </c>
      <c r="DW100" s="11">
        <v>0</v>
      </c>
      <c r="DX100" s="11">
        <v>0</v>
      </c>
      <c r="DY100" s="11">
        <v>0</v>
      </c>
      <c r="DZ100" s="11">
        <v>0</v>
      </c>
      <c r="EA100" s="11">
        <v>0</v>
      </c>
      <c r="EB100" s="11">
        <v>0</v>
      </c>
      <c r="EC100" s="11">
        <v>0</v>
      </c>
      <c r="ED100" s="11">
        <v>0</v>
      </c>
      <c r="EE100" s="11">
        <v>0</v>
      </c>
      <c r="EF100" s="26">
        <f t="shared" si="54"/>
        <v>0</v>
      </c>
      <c r="EG100" s="9">
        <f t="shared" si="55"/>
        <v>0</v>
      </c>
      <c r="EH100" s="9">
        <f t="shared" si="56"/>
        <v>0</v>
      </c>
      <c r="EI100" s="11">
        <v>3336</v>
      </c>
      <c r="EJ100" s="11">
        <v>3069</v>
      </c>
      <c r="EK100" s="11">
        <v>3276</v>
      </c>
      <c r="EL100" s="11">
        <v>4624</v>
      </c>
      <c r="EM100" s="11">
        <v>3173</v>
      </c>
      <c r="EN100" s="11">
        <v>3037</v>
      </c>
      <c r="EO100" s="11">
        <v>4171</v>
      </c>
      <c r="EP100" s="11">
        <v>3377</v>
      </c>
      <c r="EQ100" s="11">
        <v>2544</v>
      </c>
      <c r="ER100" s="11">
        <v>3232</v>
      </c>
      <c r="ES100" s="11">
        <v>4438</v>
      </c>
      <c r="ET100" s="11">
        <v>4149</v>
      </c>
      <c r="EU100" s="26">
        <f t="shared" si="57"/>
        <v>42426</v>
      </c>
      <c r="EV100" s="11">
        <v>0</v>
      </c>
      <c r="EW100" s="11">
        <v>0</v>
      </c>
      <c r="EX100" s="11">
        <v>0</v>
      </c>
      <c r="EY100" s="11">
        <v>0</v>
      </c>
      <c r="EZ100" s="11">
        <v>0</v>
      </c>
      <c r="FA100" s="11">
        <v>0</v>
      </c>
      <c r="FB100" s="11">
        <v>0</v>
      </c>
      <c r="FC100" s="11">
        <v>0</v>
      </c>
      <c r="FD100" s="11">
        <v>0</v>
      </c>
      <c r="FE100" s="11">
        <v>0</v>
      </c>
      <c r="FF100" s="11">
        <v>0</v>
      </c>
      <c r="FG100" s="11">
        <v>0</v>
      </c>
      <c r="FH100" s="26">
        <f t="shared" si="58"/>
        <v>0</v>
      </c>
      <c r="FI100" s="11">
        <v>0</v>
      </c>
      <c r="FJ100" s="11">
        <v>0</v>
      </c>
      <c r="FK100" s="11">
        <v>0</v>
      </c>
      <c r="FL100" s="11">
        <v>0</v>
      </c>
      <c r="FM100" s="11">
        <v>0</v>
      </c>
      <c r="FN100" s="11">
        <v>0</v>
      </c>
      <c r="FO100" s="11">
        <v>0</v>
      </c>
      <c r="FP100" s="11">
        <v>0</v>
      </c>
      <c r="FQ100" s="11">
        <v>0</v>
      </c>
      <c r="FR100" s="11">
        <v>0</v>
      </c>
      <c r="FS100" s="11">
        <v>0</v>
      </c>
      <c r="FT100" s="11">
        <v>0</v>
      </c>
      <c r="FU100" s="26">
        <f t="shared" si="59"/>
        <v>0</v>
      </c>
      <c r="FV100" s="11">
        <v>0</v>
      </c>
      <c r="FW100" s="11">
        <v>0</v>
      </c>
      <c r="FX100" s="11">
        <v>0</v>
      </c>
      <c r="FY100" s="11">
        <v>0</v>
      </c>
      <c r="FZ100" s="11">
        <v>0</v>
      </c>
      <c r="GA100" s="11">
        <v>0</v>
      </c>
      <c r="GB100" s="11">
        <v>0</v>
      </c>
      <c r="GC100" s="11">
        <v>0</v>
      </c>
      <c r="GD100" s="11">
        <v>0</v>
      </c>
      <c r="GE100" s="11">
        <v>0</v>
      </c>
      <c r="GF100" s="11">
        <v>0</v>
      </c>
      <c r="GG100" s="11">
        <v>0</v>
      </c>
      <c r="GH100" s="26">
        <f t="shared" si="60"/>
        <v>0</v>
      </c>
      <c r="GI100" s="11">
        <v>0</v>
      </c>
      <c r="GJ100" s="11">
        <v>0</v>
      </c>
      <c r="GK100" s="11">
        <v>0</v>
      </c>
      <c r="GL100" s="11">
        <v>0</v>
      </c>
      <c r="GM100" s="11">
        <v>0</v>
      </c>
      <c r="GN100" s="11">
        <v>0</v>
      </c>
      <c r="GO100" s="11">
        <v>0</v>
      </c>
      <c r="GP100" s="11">
        <v>0</v>
      </c>
      <c r="GQ100" s="11">
        <v>0</v>
      </c>
      <c r="GR100" s="11">
        <v>0</v>
      </c>
      <c r="GS100" s="11">
        <v>0</v>
      </c>
      <c r="GT100" s="11">
        <v>0</v>
      </c>
      <c r="GU100" s="26">
        <f t="shared" si="61"/>
        <v>0</v>
      </c>
      <c r="GV100" s="11">
        <v>0</v>
      </c>
      <c r="GW100" s="11">
        <v>0</v>
      </c>
      <c r="GX100" s="11">
        <v>0</v>
      </c>
      <c r="GY100" s="11">
        <v>0</v>
      </c>
      <c r="GZ100" s="11">
        <v>0</v>
      </c>
      <c r="HA100" s="11">
        <v>0</v>
      </c>
      <c r="HB100" s="11">
        <v>0</v>
      </c>
      <c r="HC100" s="11">
        <v>0</v>
      </c>
      <c r="HD100" s="11">
        <v>0</v>
      </c>
      <c r="HE100" s="11">
        <v>0</v>
      </c>
      <c r="HF100" s="11">
        <v>0</v>
      </c>
      <c r="HG100" s="11">
        <v>0</v>
      </c>
      <c r="HH100" s="26">
        <f t="shared" si="62"/>
        <v>0</v>
      </c>
      <c r="HI100" s="11">
        <v>0</v>
      </c>
      <c r="HJ100" s="11">
        <v>0</v>
      </c>
      <c r="HK100" s="11">
        <v>0</v>
      </c>
      <c r="HL100" s="11">
        <v>0</v>
      </c>
      <c r="HM100" s="11">
        <v>0</v>
      </c>
      <c r="HN100" s="11">
        <v>0</v>
      </c>
      <c r="HO100" s="11">
        <v>0</v>
      </c>
      <c r="HP100" s="11">
        <v>0</v>
      </c>
      <c r="HQ100" s="11">
        <v>0</v>
      </c>
      <c r="HR100" s="11">
        <v>0</v>
      </c>
      <c r="HS100" s="11">
        <v>0</v>
      </c>
      <c r="HT100" s="11">
        <v>0</v>
      </c>
      <c r="HU100" s="26">
        <f t="shared" si="63"/>
        <v>0</v>
      </c>
      <c r="HV100" s="11">
        <v>0</v>
      </c>
      <c r="HW100" s="11">
        <v>0</v>
      </c>
      <c r="HX100" s="11">
        <v>0</v>
      </c>
      <c r="HY100" s="11">
        <v>0</v>
      </c>
      <c r="HZ100" s="11">
        <v>0</v>
      </c>
      <c r="IA100" s="11">
        <v>0</v>
      </c>
      <c r="IB100" s="11">
        <v>0</v>
      </c>
      <c r="IC100" s="11">
        <v>0</v>
      </c>
      <c r="ID100" s="11">
        <v>0</v>
      </c>
      <c r="IE100" s="11">
        <v>0</v>
      </c>
      <c r="IF100" s="11">
        <v>0</v>
      </c>
      <c r="IG100" s="11">
        <v>0</v>
      </c>
      <c r="IH100" s="26">
        <f t="shared" si="64"/>
        <v>0</v>
      </c>
      <c r="II100" s="9">
        <f t="shared" si="65"/>
        <v>0</v>
      </c>
      <c r="IJ100" s="9">
        <f t="shared" si="66"/>
        <v>0</v>
      </c>
      <c r="IK100" s="11">
        <v>37254</v>
      </c>
      <c r="IL100" s="11">
        <v>35271</v>
      </c>
      <c r="IM100" s="11">
        <v>34099</v>
      </c>
      <c r="IN100" s="11">
        <v>41140</v>
      </c>
      <c r="IO100" s="11">
        <v>44120</v>
      </c>
      <c r="IP100" s="11">
        <v>36536</v>
      </c>
      <c r="IQ100" s="11">
        <v>39197</v>
      </c>
      <c r="IR100" s="11">
        <v>36671</v>
      </c>
      <c r="IS100" s="11">
        <v>27962</v>
      </c>
      <c r="IT100" s="11">
        <v>35500</v>
      </c>
      <c r="IU100" s="11">
        <v>35446</v>
      </c>
      <c r="IV100" s="11">
        <v>34768</v>
      </c>
      <c r="IW100" s="27">
        <f t="shared" si="67"/>
        <v>437964</v>
      </c>
      <c r="IX100" s="11">
        <v>14781</v>
      </c>
      <c r="IY100" s="11">
        <v>14381</v>
      </c>
      <c r="IZ100" s="11">
        <v>14191</v>
      </c>
      <c r="JA100" s="11">
        <v>15970</v>
      </c>
      <c r="JB100" s="11">
        <v>15713</v>
      </c>
      <c r="JC100" s="11">
        <v>14538</v>
      </c>
      <c r="JD100" s="11">
        <v>15671</v>
      </c>
      <c r="JE100" s="11">
        <v>14850</v>
      </c>
      <c r="JF100" s="11">
        <v>11979</v>
      </c>
      <c r="JG100" s="11">
        <v>14676</v>
      </c>
      <c r="JH100" s="11">
        <v>13795</v>
      </c>
      <c r="JI100" s="11">
        <v>14340</v>
      </c>
      <c r="JJ100" s="27">
        <f t="shared" si="68"/>
        <v>174885</v>
      </c>
      <c r="JK100" s="11">
        <v>21545</v>
      </c>
      <c r="JL100" s="11">
        <v>20092</v>
      </c>
      <c r="JM100" s="11">
        <v>19169</v>
      </c>
      <c r="JN100" s="11">
        <v>24019</v>
      </c>
      <c r="JO100" s="11">
        <v>27049</v>
      </c>
      <c r="JP100" s="11">
        <v>21095</v>
      </c>
      <c r="JQ100" s="11">
        <v>22546</v>
      </c>
      <c r="JR100" s="11">
        <v>20941</v>
      </c>
      <c r="JS100" s="11">
        <v>15280</v>
      </c>
      <c r="JT100" s="11">
        <v>19983</v>
      </c>
      <c r="JU100" s="11">
        <v>20826</v>
      </c>
      <c r="JV100" s="11">
        <v>19667</v>
      </c>
      <c r="JW100" s="27">
        <f t="shared" si="69"/>
        <v>252212</v>
      </c>
      <c r="JX100" s="11">
        <v>928</v>
      </c>
      <c r="JY100" s="11">
        <v>798</v>
      </c>
      <c r="JZ100" s="11">
        <v>739</v>
      </c>
      <c r="KA100" s="11">
        <v>1151</v>
      </c>
      <c r="KB100" s="11">
        <v>1358</v>
      </c>
      <c r="KC100" s="11">
        <v>1358</v>
      </c>
      <c r="KD100" s="11">
        <v>980</v>
      </c>
      <c r="KE100" s="11">
        <v>880</v>
      </c>
      <c r="KF100" s="11">
        <v>703</v>
      </c>
      <c r="KG100" s="11">
        <v>841</v>
      </c>
      <c r="KH100" s="11">
        <v>825</v>
      </c>
      <c r="KI100" s="11">
        <v>761</v>
      </c>
      <c r="KJ100" s="27">
        <f t="shared" si="70"/>
        <v>11322</v>
      </c>
      <c r="KK100" s="11">
        <v>308</v>
      </c>
      <c r="KL100" s="11">
        <v>244</v>
      </c>
      <c r="KM100" s="11">
        <v>210</v>
      </c>
      <c r="KN100" s="11">
        <v>226</v>
      </c>
      <c r="KO100" s="11">
        <v>284</v>
      </c>
      <c r="KP100" s="11">
        <v>258</v>
      </c>
      <c r="KQ100" s="11">
        <v>285</v>
      </c>
      <c r="KR100" s="11">
        <v>245</v>
      </c>
      <c r="KS100" s="11">
        <v>225</v>
      </c>
      <c r="KT100" s="11">
        <v>267</v>
      </c>
      <c r="KU100" s="11">
        <v>232</v>
      </c>
      <c r="KV100" s="11">
        <v>320</v>
      </c>
      <c r="KW100" s="27">
        <f t="shared" si="71"/>
        <v>3104</v>
      </c>
      <c r="KX100" s="11">
        <v>286</v>
      </c>
      <c r="KY100" s="11">
        <v>201</v>
      </c>
      <c r="KZ100" s="11">
        <v>189</v>
      </c>
      <c r="LA100" s="11">
        <v>146</v>
      </c>
      <c r="LB100" s="11">
        <v>268</v>
      </c>
      <c r="LC100" s="11">
        <v>245</v>
      </c>
      <c r="LD100" s="11">
        <v>254</v>
      </c>
      <c r="LE100" s="11">
        <v>222</v>
      </c>
      <c r="LF100" s="11">
        <v>196</v>
      </c>
      <c r="LG100" s="11">
        <v>224</v>
      </c>
      <c r="LH100" s="11">
        <v>200</v>
      </c>
      <c r="LI100" s="11">
        <v>301</v>
      </c>
      <c r="LJ100" s="27">
        <f t="shared" si="72"/>
        <v>2732</v>
      </c>
      <c r="LK100" s="11">
        <v>22</v>
      </c>
      <c r="LL100" s="11">
        <v>43</v>
      </c>
      <c r="LM100" s="11">
        <v>21</v>
      </c>
      <c r="LN100" s="11">
        <v>80</v>
      </c>
      <c r="LO100" s="11">
        <v>16</v>
      </c>
      <c r="LP100" s="11">
        <v>13</v>
      </c>
      <c r="LQ100" s="11">
        <v>31</v>
      </c>
      <c r="LR100" s="11">
        <v>23</v>
      </c>
      <c r="LS100" s="11">
        <v>29</v>
      </c>
      <c r="LT100" s="11">
        <v>43</v>
      </c>
      <c r="LU100" s="11">
        <v>32</v>
      </c>
      <c r="LV100" s="11">
        <v>19</v>
      </c>
      <c r="LW100" s="27">
        <f t="shared" si="73"/>
        <v>372</v>
      </c>
      <c r="LX100" s="11">
        <v>0</v>
      </c>
      <c r="LY100" s="11">
        <v>0</v>
      </c>
      <c r="LZ100" s="11">
        <v>0</v>
      </c>
      <c r="MA100" s="11">
        <v>0</v>
      </c>
      <c r="MB100" s="11">
        <v>0</v>
      </c>
      <c r="MC100" s="11">
        <v>0</v>
      </c>
      <c r="MD100" s="11">
        <v>0</v>
      </c>
      <c r="ME100" s="11">
        <v>0</v>
      </c>
      <c r="MF100" s="11">
        <v>0</v>
      </c>
      <c r="MG100" s="11">
        <v>0</v>
      </c>
      <c r="MH100" s="11">
        <v>0</v>
      </c>
      <c r="MI100" s="11">
        <v>0</v>
      </c>
      <c r="MJ100" s="27">
        <f t="shared" si="74"/>
        <v>0</v>
      </c>
      <c r="MK100" s="11">
        <v>4138</v>
      </c>
      <c r="ML100" s="11">
        <v>4301</v>
      </c>
      <c r="MM100" s="11">
        <v>4233</v>
      </c>
      <c r="MN100" s="11">
        <v>4302</v>
      </c>
      <c r="MO100" s="11">
        <v>4453</v>
      </c>
      <c r="MP100" s="11">
        <v>3942</v>
      </c>
      <c r="MQ100" s="11">
        <v>4061</v>
      </c>
      <c r="MR100" s="11">
        <v>3547</v>
      </c>
      <c r="MS100" s="11">
        <v>3656</v>
      </c>
      <c r="MT100" s="11">
        <v>3705</v>
      </c>
      <c r="MU100" s="11">
        <v>3202</v>
      </c>
      <c r="MV100" s="11">
        <v>3495</v>
      </c>
      <c r="MW100" s="27">
        <f t="shared" si="75"/>
        <v>47035</v>
      </c>
      <c r="MX100" s="11">
        <v>3258</v>
      </c>
      <c r="MY100" s="11">
        <v>3402</v>
      </c>
      <c r="MZ100" s="11">
        <v>3378</v>
      </c>
      <c r="NA100" s="11">
        <v>3287</v>
      </c>
      <c r="NB100" s="11">
        <v>3386</v>
      </c>
      <c r="NC100" s="11">
        <v>3082</v>
      </c>
      <c r="ND100" s="11">
        <v>3085</v>
      </c>
      <c r="NE100" s="11">
        <v>2826</v>
      </c>
      <c r="NF100" s="11">
        <v>2845</v>
      </c>
      <c r="NG100" s="11">
        <v>2989</v>
      </c>
      <c r="NH100" s="11">
        <v>2571</v>
      </c>
      <c r="NI100" s="11">
        <v>2743</v>
      </c>
      <c r="NJ100" s="27">
        <f t="shared" si="76"/>
        <v>36852</v>
      </c>
      <c r="NK100" s="11">
        <v>662</v>
      </c>
      <c r="NL100" s="11">
        <v>694</v>
      </c>
      <c r="NM100" s="11">
        <v>609</v>
      </c>
      <c r="NN100" s="11">
        <v>744</v>
      </c>
      <c r="NO100" s="11">
        <v>749</v>
      </c>
      <c r="NP100" s="11">
        <v>616</v>
      </c>
      <c r="NQ100" s="11">
        <v>663</v>
      </c>
      <c r="NR100" s="11">
        <v>483</v>
      </c>
      <c r="NS100" s="11">
        <v>522</v>
      </c>
      <c r="NT100" s="11">
        <v>469</v>
      </c>
      <c r="NU100" s="11">
        <v>428</v>
      </c>
      <c r="NV100" s="11">
        <v>544</v>
      </c>
      <c r="NW100" s="27">
        <f t="shared" si="77"/>
        <v>7183</v>
      </c>
      <c r="NX100" s="11">
        <v>218</v>
      </c>
      <c r="NY100" s="11">
        <v>205</v>
      </c>
      <c r="NZ100" s="11">
        <v>246</v>
      </c>
      <c r="OA100" s="11">
        <v>271</v>
      </c>
      <c r="OB100" s="11">
        <v>318</v>
      </c>
      <c r="OC100" s="11">
        <v>244</v>
      </c>
      <c r="OD100" s="11">
        <v>313</v>
      </c>
      <c r="OE100" s="11">
        <v>238</v>
      </c>
      <c r="OF100" s="11">
        <v>289</v>
      </c>
      <c r="OG100" s="11">
        <v>247</v>
      </c>
      <c r="OH100" s="11">
        <v>203</v>
      </c>
      <c r="OI100" s="11">
        <v>208</v>
      </c>
      <c r="OJ100" s="27">
        <f t="shared" si="78"/>
        <v>3000</v>
      </c>
      <c r="OK100" s="11">
        <v>6258</v>
      </c>
      <c r="OL100" s="11">
        <v>6433</v>
      </c>
      <c r="OM100" s="11">
        <v>6310</v>
      </c>
      <c r="ON100" s="11">
        <v>6548</v>
      </c>
      <c r="OO100" s="11">
        <v>6761</v>
      </c>
      <c r="OP100" s="11">
        <v>6353</v>
      </c>
      <c r="OQ100" s="11">
        <v>6594</v>
      </c>
      <c r="OR100" s="11">
        <v>6147</v>
      </c>
      <c r="OS100" s="11">
        <v>5927</v>
      </c>
      <c r="OT100" s="11">
        <v>6041</v>
      </c>
      <c r="OU100" s="11">
        <v>5642</v>
      </c>
      <c r="OV100" s="11">
        <v>6087</v>
      </c>
      <c r="OW100" s="27">
        <f t="shared" si="79"/>
        <v>75101</v>
      </c>
      <c r="OX100" s="11">
        <v>4656</v>
      </c>
      <c r="OY100" s="11">
        <v>4764</v>
      </c>
      <c r="OZ100" s="11">
        <v>4680</v>
      </c>
      <c r="PA100" s="11">
        <v>4471</v>
      </c>
      <c r="PB100" s="11">
        <v>4965</v>
      </c>
      <c r="PC100" s="11">
        <v>4840</v>
      </c>
      <c r="PD100" s="11">
        <v>4900</v>
      </c>
      <c r="PE100" s="11">
        <v>4605</v>
      </c>
      <c r="PF100" s="11">
        <v>4429</v>
      </c>
      <c r="PG100" s="11">
        <v>4630</v>
      </c>
      <c r="PH100" s="11">
        <v>4283</v>
      </c>
      <c r="PI100" s="11">
        <v>4668</v>
      </c>
      <c r="PJ100" s="27">
        <f t="shared" si="80"/>
        <v>55891</v>
      </c>
      <c r="PK100" s="11">
        <v>1344</v>
      </c>
      <c r="PL100" s="11">
        <v>1381</v>
      </c>
      <c r="PM100" s="11">
        <v>1351</v>
      </c>
      <c r="PN100" s="11">
        <v>1469</v>
      </c>
      <c r="PO100" s="11">
        <v>1503</v>
      </c>
      <c r="PP100" s="11">
        <v>1236</v>
      </c>
      <c r="PQ100" s="11">
        <v>1382</v>
      </c>
      <c r="PR100" s="11">
        <v>1245</v>
      </c>
      <c r="PS100" s="11">
        <v>1234</v>
      </c>
      <c r="PT100" s="11">
        <v>1118</v>
      </c>
      <c r="PU100" s="11">
        <v>1110</v>
      </c>
      <c r="PV100" s="11">
        <v>1176</v>
      </c>
      <c r="PW100" s="27">
        <f t="shared" si="81"/>
        <v>15549</v>
      </c>
      <c r="PX100" s="11">
        <v>258</v>
      </c>
      <c r="PY100" s="11">
        <v>288</v>
      </c>
      <c r="PZ100" s="11">
        <v>279</v>
      </c>
      <c r="QA100" s="11">
        <v>308</v>
      </c>
      <c r="QB100" s="11">
        <v>293</v>
      </c>
      <c r="QC100" s="11">
        <v>277</v>
      </c>
      <c r="QD100" s="11">
        <v>312</v>
      </c>
      <c r="QE100" s="11">
        <v>297</v>
      </c>
      <c r="QF100" s="11">
        <v>264</v>
      </c>
      <c r="QG100" s="11">
        <v>293</v>
      </c>
      <c r="QH100" s="11">
        <v>249</v>
      </c>
      <c r="QI100" s="11">
        <v>243</v>
      </c>
      <c r="QJ100" s="27">
        <f t="shared" si="82"/>
        <v>3361</v>
      </c>
      <c r="QK100" s="11">
        <v>46763</v>
      </c>
      <c r="QL100" s="11">
        <v>48656</v>
      </c>
      <c r="QM100" s="11">
        <v>46729</v>
      </c>
      <c r="QN100" s="11">
        <v>51963</v>
      </c>
      <c r="QO100" s="11">
        <v>44999</v>
      </c>
      <c r="QP100" s="11">
        <v>44418</v>
      </c>
      <c r="QQ100" s="11">
        <v>50210</v>
      </c>
      <c r="QR100" s="11">
        <v>52438</v>
      </c>
      <c r="QS100" s="11">
        <v>40109</v>
      </c>
      <c r="QT100" s="11">
        <v>47624</v>
      </c>
      <c r="QU100" s="11">
        <v>48650</v>
      </c>
      <c r="QV100" s="11">
        <v>49696</v>
      </c>
      <c r="QW100" s="27">
        <f t="shared" si="83"/>
        <v>572255</v>
      </c>
      <c r="QX100" s="11">
        <v>0</v>
      </c>
      <c r="QY100" s="11">
        <v>0</v>
      </c>
      <c r="QZ100" s="11">
        <v>0</v>
      </c>
      <c r="RA100" s="11">
        <v>0</v>
      </c>
      <c r="RB100" s="11">
        <v>0</v>
      </c>
      <c r="RC100" s="11">
        <v>0</v>
      </c>
      <c r="RD100" s="11">
        <v>0</v>
      </c>
      <c r="RE100" s="11">
        <v>0</v>
      </c>
      <c r="RF100" s="11">
        <v>0</v>
      </c>
      <c r="RG100" s="11">
        <v>0</v>
      </c>
      <c r="RH100" s="11">
        <v>0</v>
      </c>
      <c r="RI100" s="11">
        <v>0</v>
      </c>
      <c r="RJ100" s="27">
        <f t="shared" si="84"/>
        <v>0</v>
      </c>
      <c r="RK100" s="11">
        <v>6371</v>
      </c>
      <c r="RL100" s="11">
        <v>6111</v>
      </c>
      <c r="RM100" s="11">
        <v>6297</v>
      </c>
      <c r="RN100" s="11">
        <v>6909</v>
      </c>
      <c r="RO100" s="11">
        <v>6982</v>
      </c>
      <c r="RP100" s="11">
        <v>6772</v>
      </c>
      <c r="RQ100" s="11">
        <v>7583</v>
      </c>
      <c r="RR100" s="11">
        <v>6515</v>
      </c>
      <c r="RS100" s="11">
        <v>4873</v>
      </c>
      <c r="RT100" s="11">
        <v>7368</v>
      </c>
      <c r="RU100" s="11">
        <v>6636</v>
      </c>
      <c r="RV100" s="11">
        <v>6414</v>
      </c>
      <c r="RW100" s="27">
        <f t="shared" si="85"/>
        <v>78831</v>
      </c>
      <c r="RX100" s="11">
        <v>0</v>
      </c>
      <c r="RY100" s="11">
        <v>0</v>
      </c>
      <c r="RZ100" s="11">
        <v>0</v>
      </c>
      <c r="SA100" s="11">
        <v>0</v>
      </c>
      <c r="SB100" s="11">
        <v>0</v>
      </c>
      <c r="SC100" s="11">
        <v>0</v>
      </c>
      <c r="SD100" s="11">
        <v>0</v>
      </c>
      <c r="SE100" s="11">
        <v>0</v>
      </c>
      <c r="SF100" s="11">
        <v>0</v>
      </c>
      <c r="SG100" s="11">
        <v>0</v>
      </c>
      <c r="SH100" s="11">
        <v>0</v>
      </c>
      <c r="SI100" s="11">
        <v>0</v>
      </c>
      <c r="SJ100" s="27">
        <f t="shared" si="86"/>
        <v>0</v>
      </c>
      <c r="SK100" s="11">
        <v>82</v>
      </c>
      <c r="SL100" s="11">
        <v>94</v>
      </c>
      <c r="SM100" s="11">
        <v>91</v>
      </c>
      <c r="SN100" s="11">
        <v>120</v>
      </c>
      <c r="SO100" s="11">
        <v>87</v>
      </c>
      <c r="SP100" s="11">
        <v>94</v>
      </c>
      <c r="SQ100" s="11">
        <v>102</v>
      </c>
      <c r="SR100" s="11">
        <v>111</v>
      </c>
      <c r="SS100" s="11">
        <v>115</v>
      </c>
      <c r="ST100" s="11">
        <v>96</v>
      </c>
      <c r="SU100" s="11">
        <v>83</v>
      </c>
      <c r="SV100" s="11">
        <v>99</v>
      </c>
      <c r="SW100" s="27">
        <f t="shared" si="87"/>
        <v>1174</v>
      </c>
      <c r="SX100" s="11" t="s">
        <v>2740</v>
      </c>
      <c r="SY100" s="11">
        <v>2012</v>
      </c>
      <c r="SZ100" s="11">
        <v>1868</v>
      </c>
      <c r="TA100" s="11">
        <v>1877</v>
      </c>
      <c r="TB100" s="11">
        <v>1890</v>
      </c>
      <c r="TC100" s="11">
        <v>1776</v>
      </c>
      <c r="TD100" s="11">
        <v>1829</v>
      </c>
      <c r="TE100" s="11">
        <v>1893</v>
      </c>
      <c r="TF100" s="11">
        <v>1819</v>
      </c>
      <c r="TG100" s="11">
        <v>1351</v>
      </c>
      <c r="TH100" s="11">
        <v>1918</v>
      </c>
      <c r="TI100" s="11">
        <v>1687</v>
      </c>
      <c r="TJ100" s="11">
        <v>1670</v>
      </c>
      <c r="TK100" s="27">
        <f t="shared" si="88"/>
        <v>21590</v>
      </c>
      <c r="TL100" s="11">
        <v>0</v>
      </c>
      <c r="TM100" s="11">
        <v>0</v>
      </c>
      <c r="TN100" s="11">
        <v>0</v>
      </c>
      <c r="TO100" s="11">
        <v>0</v>
      </c>
      <c r="TP100" s="11">
        <v>0</v>
      </c>
      <c r="TQ100" s="11">
        <v>0</v>
      </c>
      <c r="TR100" s="11">
        <v>0</v>
      </c>
      <c r="TS100" s="11">
        <v>0</v>
      </c>
      <c r="TT100" s="11">
        <v>0</v>
      </c>
      <c r="TU100" s="11">
        <v>0</v>
      </c>
      <c r="TV100" s="11">
        <v>0</v>
      </c>
      <c r="TW100" s="11">
        <v>0</v>
      </c>
      <c r="TX100" s="27">
        <f t="shared" si="89"/>
        <v>0</v>
      </c>
      <c r="TY100" s="11">
        <v>65</v>
      </c>
      <c r="TZ100" s="11">
        <v>41</v>
      </c>
      <c r="UA100" s="11">
        <v>150</v>
      </c>
    </row>
    <row r="101" spans="1:547" ht="16" customHeight="1" x14ac:dyDescent="0.35">
      <c r="A101" s="11" t="s">
        <v>1490</v>
      </c>
      <c r="B101" s="11">
        <v>29972</v>
      </c>
      <c r="C101" s="11">
        <v>7074</v>
      </c>
      <c r="D101" s="11">
        <v>20787</v>
      </c>
      <c r="E101" s="11">
        <v>2111</v>
      </c>
      <c r="F101" s="11">
        <v>670</v>
      </c>
      <c r="G101" s="11">
        <v>671</v>
      </c>
      <c r="H101" s="11">
        <v>635</v>
      </c>
      <c r="I101" s="11">
        <v>711</v>
      </c>
      <c r="J101" s="11">
        <v>703</v>
      </c>
      <c r="K101" s="11">
        <v>640</v>
      </c>
      <c r="L101" s="11">
        <v>782</v>
      </c>
      <c r="M101" s="11">
        <v>762</v>
      </c>
      <c r="N101" s="11">
        <v>513</v>
      </c>
      <c r="O101" s="11">
        <v>735</v>
      </c>
      <c r="P101" s="11" t="s">
        <v>2865</v>
      </c>
      <c r="Q101" s="11">
        <v>890</v>
      </c>
      <c r="R101" s="11">
        <v>829</v>
      </c>
      <c r="S101" s="26">
        <f t="shared" si="45"/>
        <v>8541</v>
      </c>
      <c r="T101" s="11">
        <v>445</v>
      </c>
      <c r="U101" s="11">
        <v>427</v>
      </c>
      <c r="V101" s="11">
        <v>418</v>
      </c>
      <c r="W101" s="11">
        <v>434</v>
      </c>
      <c r="X101" s="11">
        <v>366</v>
      </c>
      <c r="Y101" s="11">
        <v>424</v>
      </c>
      <c r="Z101" s="11">
        <v>491</v>
      </c>
      <c r="AA101" s="11">
        <v>489</v>
      </c>
      <c r="AB101" s="11">
        <v>324</v>
      </c>
      <c r="AC101" s="11">
        <v>477</v>
      </c>
      <c r="AD101" s="11">
        <v>528</v>
      </c>
      <c r="AE101" s="11">
        <v>537</v>
      </c>
      <c r="AF101" s="26">
        <f t="shared" si="46"/>
        <v>5360</v>
      </c>
      <c r="AG101" s="11">
        <v>224</v>
      </c>
      <c r="AH101" s="11">
        <v>243</v>
      </c>
      <c r="AI101" s="11">
        <v>217</v>
      </c>
      <c r="AJ101" s="11">
        <v>277</v>
      </c>
      <c r="AK101" s="11">
        <v>337</v>
      </c>
      <c r="AL101" s="11">
        <v>215</v>
      </c>
      <c r="AM101" s="11">
        <v>291</v>
      </c>
      <c r="AN101" s="11">
        <v>273</v>
      </c>
      <c r="AO101" s="11">
        <v>186</v>
      </c>
      <c r="AP101" s="11">
        <v>253</v>
      </c>
      <c r="AQ101" s="11">
        <v>357</v>
      </c>
      <c r="AR101" s="11">
        <v>288</v>
      </c>
      <c r="AS101" s="26">
        <f t="shared" si="47"/>
        <v>3161</v>
      </c>
      <c r="AT101" s="11">
        <v>1</v>
      </c>
      <c r="AU101" s="11">
        <v>1</v>
      </c>
      <c r="AV101" s="11">
        <v>0</v>
      </c>
      <c r="AW101" s="11">
        <v>0</v>
      </c>
      <c r="AX101" s="11">
        <v>0</v>
      </c>
      <c r="AY101" s="11">
        <v>1</v>
      </c>
      <c r="AZ101" s="11">
        <v>0</v>
      </c>
      <c r="BA101" s="11">
        <v>0</v>
      </c>
      <c r="BB101" s="11">
        <v>3</v>
      </c>
      <c r="BC101" s="11">
        <v>5</v>
      </c>
      <c r="BD101" s="11">
        <v>5</v>
      </c>
      <c r="BE101" s="11">
        <v>4</v>
      </c>
      <c r="BF101" s="26">
        <f t="shared" si="48"/>
        <v>20</v>
      </c>
      <c r="BG101" s="11">
        <v>670</v>
      </c>
      <c r="BH101" s="11">
        <v>671</v>
      </c>
      <c r="BI101" s="11">
        <v>635</v>
      </c>
      <c r="BJ101" s="11">
        <v>711</v>
      </c>
      <c r="BK101" s="11">
        <v>703</v>
      </c>
      <c r="BL101" s="11">
        <v>640</v>
      </c>
      <c r="BM101" s="11">
        <v>782</v>
      </c>
      <c r="BN101" s="11">
        <v>762</v>
      </c>
      <c r="BO101" s="11">
        <v>513</v>
      </c>
      <c r="BP101" s="11">
        <v>735</v>
      </c>
      <c r="BQ101" s="11">
        <v>890</v>
      </c>
      <c r="BR101" s="11">
        <v>829</v>
      </c>
      <c r="BS101" s="26">
        <f t="shared" si="49"/>
        <v>8541</v>
      </c>
      <c r="BT101" s="11">
        <v>0</v>
      </c>
      <c r="BU101" s="11">
        <v>0</v>
      </c>
      <c r="BV101" s="11">
        <v>0</v>
      </c>
      <c r="BW101" s="11">
        <v>0</v>
      </c>
      <c r="BX101" s="11">
        <v>0</v>
      </c>
      <c r="BY101" s="11">
        <v>0</v>
      </c>
      <c r="BZ101" s="11">
        <v>0</v>
      </c>
      <c r="CA101" s="11">
        <v>0</v>
      </c>
      <c r="CB101" s="11">
        <v>0</v>
      </c>
      <c r="CC101" s="11">
        <v>0</v>
      </c>
      <c r="CD101" s="11">
        <v>0</v>
      </c>
      <c r="CE101" s="11">
        <v>0</v>
      </c>
      <c r="CF101" s="26">
        <f t="shared" si="50"/>
        <v>0</v>
      </c>
      <c r="CG101" s="11">
        <v>0</v>
      </c>
      <c r="CH101" s="11">
        <v>0</v>
      </c>
      <c r="CI101" s="11">
        <v>0</v>
      </c>
      <c r="CJ101" s="11">
        <v>0</v>
      </c>
      <c r="CK101" s="11">
        <v>0</v>
      </c>
      <c r="CL101" s="11">
        <v>0</v>
      </c>
      <c r="CM101" s="11">
        <v>0</v>
      </c>
      <c r="CN101" s="11">
        <v>0</v>
      </c>
      <c r="CO101" s="11">
        <v>0</v>
      </c>
      <c r="CP101" s="11">
        <v>0</v>
      </c>
      <c r="CQ101" s="11">
        <v>0</v>
      </c>
      <c r="CR101" s="11">
        <v>0</v>
      </c>
      <c r="CS101" s="26">
        <f t="shared" si="51"/>
        <v>0</v>
      </c>
      <c r="CT101" s="11">
        <v>0</v>
      </c>
      <c r="CU101" s="11">
        <v>0</v>
      </c>
      <c r="CV101" s="11">
        <v>0</v>
      </c>
      <c r="CW101" s="11">
        <v>0</v>
      </c>
      <c r="CX101" s="11">
        <v>0</v>
      </c>
      <c r="CY101" s="11">
        <v>0</v>
      </c>
      <c r="CZ101" s="11">
        <v>0</v>
      </c>
      <c r="DA101" s="11">
        <v>0</v>
      </c>
      <c r="DB101" s="11">
        <v>0</v>
      </c>
      <c r="DC101" s="11">
        <v>0</v>
      </c>
      <c r="DD101" s="11">
        <v>0</v>
      </c>
      <c r="DE101" s="11">
        <v>0</v>
      </c>
      <c r="DF101" s="26">
        <f t="shared" si="52"/>
        <v>0</v>
      </c>
      <c r="DG101" s="11">
        <v>0</v>
      </c>
      <c r="DH101" s="11">
        <v>0</v>
      </c>
      <c r="DI101" s="11">
        <v>0</v>
      </c>
      <c r="DJ101" s="11">
        <v>0</v>
      </c>
      <c r="DK101" s="11">
        <v>0</v>
      </c>
      <c r="DL101" s="11">
        <v>0</v>
      </c>
      <c r="DM101" s="11">
        <v>0</v>
      </c>
      <c r="DN101" s="11">
        <v>0</v>
      </c>
      <c r="DO101" s="11">
        <v>0</v>
      </c>
      <c r="DP101" s="11">
        <v>0</v>
      </c>
      <c r="DQ101" s="11">
        <v>0</v>
      </c>
      <c r="DR101" s="11">
        <v>0</v>
      </c>
      <c r="DS101" s="26">
        <f t="shared" si="53"/>
        <v>0</v>
      </c>
      <c r="DT101" s="11">
        <v>0</v>
      </c>
      <c r="DU101" s="11">
        <v>0</v>
      </c>
      <c r="DV101" s="11">
        <v>0</v>
      </c>
      <c r="DW101" s="11">
        <v>0</v>
      </c>
      <c r="DX101" s="11">
        <v>0</v>
      </c>
      <c r="DY101" s="11">
        <v>0</v>
      </c>
      <c r="DZ101" s="11">
        <v>0</v>
      </c>
      <c r="EA101" s="11">
        <v>0</v>
      </c>
      <c r="EB101" s="11">
        <v>0</v>
      </c>
      <c r="EC101" s="11">
        <v>0</v>
      </c>
      <c r="ED101" s="11">
        <v>0</v>
      </c>
      <c r="EE101" s="11">
        <v>0</v>
      </c>
      <c r="EF101" s="26">
        <f t="shared" si="54"/>
        <v>0</v>
      </c>
      <c r="EG101" s="9">
        <f t="shared" si="55"/>
        <v>17082</v>
      </c>
      <c r="EH101" s="9">
        <f t="shared" si="56"/>
        <v>0</v>
      </c>
      <c r="EI101" s="11">
        <v>9085</v>
      </c>
      <c r="EJ101" s="11">
        <v>8817</v>
      </c>
      <c r="EK101" s="11">
        <v>7912</v>
      </c>
      <c r="EL101" s="11">
        <v>5773</v>
      </c>
      <c r="EM101" s="11">
        <v>11764</v>
      </c>
      <c r="EN101" s="11">
        <v>7509</v>
      </c>
      <c r="EO101" s="11">
        <v>11026</v>
      </c>
      <c r="EP101" s="11">
        <v>9984</v>
      </c>
      <c r="EQ101" s="11">
        <v>7112</v>
      </c>
      <c r="ER101" s="11">
        <v>8358</v>
      </c>
      <c r="ES101" s="11">
        <v>10957</v>
      </c>
      <c r="ET101" s="11">
        <v>10723</v>
      </c>
      <c r="EU101" s="26">
        <f t="shared" si="57"/>
        <v>109020</v>
      </c>
      <c r="EV101" s="11">
        <v>6094</v>
      </c>
      <c r="EW101" s="11">
        <v>5933</v>
      </c>
      <c r="EX101" s="11">
        <v>5204</v>
      </c>
      <c r="EY101" s="11">
        <v>2562</v>
      </c>
      <c r="EZ101" s="11">
        <v>6662</v>
      </c>
      <c r="FA101" s="11">
        <v>5147</v>
      </c>
      <c r="FB101" s="11">
        <v>7061</v>
      </c>
      <c r="FC101" s="11">
        <v>6267</v>
      </c>
      <c r="FD101" s="11">
        <v>4711</v>
      </c>
      <c r="FE101" s="11">
        <v>5538</v>
      </c>
      <c r="FF101" s="11">
        <v>6995</v>
      </c>
      <c r="FG101" s="11">
        <v>6877</v>
      </c>
      <c r="FH101" s="26">
        <f t="shared" si="58"/>
        <v>69051</v>
      </c>
      <c r="FI101" s="11">
        <v>2991</v>
      </c>
      <c r="FJ101" s="11">
        <v>2884</v>
      </c>
      <c r="FK101" s="11">
        <v>2708</v>
      </c>
      <c r="FL101" s="11">
        <v>3211</v>
      </c>
      <c r="FM101" s="11">
        <v>5102</v>
      </c>
      <c r="FN101" s="11">
        <v>2362</v>
      </c>
      <c r="FO101" s="11">
        <v>3965</v>
      </c>
      <c r="FP101" s="11">
        <v>3717</v>
      </c>
      <c r="FQ101" s="11">
        <v>2401</v>
      </c>
      <c r="FR101" s="11">
        <v>2820</v>
      </c>
      <c r="FS101" s="11">
        <v>3962</v>
      </c>
      <c r="FT101" s="11">
        <v>3846</v>
      </c>
      <c r="FU101" s="26">
        <f t="shared" si="59"/>
        <v>39969</v>
      </c>
      <c r="FV101" s="11">
        <v>0</v>
      </c>
      <c r="FW101" s="11">
        <v>0</v>
      </c>
      <c r="FX101" s="11">
        <v>0</v>
      </c>
      <c r="FY101" s="11">
        <v>0</v>
      </c>
      <c r="FZ101" s="11">
        <v>0</v>
      </c>
      <c r="GA101" s="11">
        <v>0</v>
      </c>
      <c r="GB101" s="11">
        <v>0</v>
      </c>
      <c r="GC101" s="11">
        <v>0</v>
      </c>
      <c r="GD101" s="11">
        <v>0</v>
      </c>
      <c r="GE101" s="11">
        <v>0</v>
      </c>
      <c r="GF101" s="11">
        <v>0</v>
      </c>
      <c r="GG101" s="11">
        <v>0</v>
      </c>
      <c r="GH101" s="26">
        <f t="shared" si="60"/>
        <v>0</v>
      </c>
      <c r="GI101" s="11">
        <v>0</v>
      </c>
      <c r="GJ101" s="11">
        <v>0</v>
      </c>
      <c r="GK101" s="11">
        <v>0</v>
      </c>
      <c r="GL101" s="11">
        <v>0</v>
      </c>
      <c r="GM101" s="11">
        <v>0</v>
      </c>
      <c r="GN101" s="11">
        <v>0</v>
      </c>
      <c r="GO101" s="11">
        <v>0</v>
      </c>
      <c r="GP101" s="11">
        <v>0</v>
      </c>
      <c r="GQ101" s="11">
        <v>0</v>
      </c>
      <c r="GR101" s="11">
        <v>0</v>
      </c>
      <c r="GS101" s="11">
        <v>0</v>
      </c>
      <c r="GT101" s="11">
        <v>0</v>
      </c>
      <c r="GU101" s="26">
        <f t="shared" si="61"/>
        <v>0</v>
      </c>
      <c r="GV101" s="11">
        <v>0</v>
      </c>
      <c r="GW101" s="11">
        <v>0</v>
      </c>
      <c r="GX101" s="11">
        <v>0</v>
      </c>
      <c r="GY101" s="11">
        <v>0</v>
      </c>
      <c r="GZ101" s="11">
        <v>0</v>
      </c>
      <c r="HA101" s="11">
        <v>0</v>
      </c>
      <c r="HB101" s="11">
        <v>0</v>
      </c>
      <c r="HC101" s="11">
        <v>0</v>
      </c>
      <c r="HD101" s="11">
        <v>0</v>
      </c>
      <c r="HE101" s="11">
        <v>0</v>
      </c>
      <c r="HF101" s="11">
        <v>0</v>
      </c>
      <c r="HG101" s="11">
        <v>0</v>
      </c>
      <c r="HH101" s="26">
        <f t="shared" si="62"/>
        <v>0</v>
      </c>
      <c r="HI101" s="11">
        <v>0</v>
      </c>
      <c r="HJ101" s="11">
        <v>0</v>
      </c>
      <c r="HK101" s="11">
        <v>0</v>
      </c>
      <c r="HL101" s="11">
        <v>0</v>
      </c>
      <c r="HM101" s="11">
        <v>0</v>
      </c>
      <c r="HN101" s="11">
        <v>0</v>
      </c>
      <c r="HO101" s="11">
        <v>0</v>
      </c>
      <c r="HP101" s="11">
        <v>0</v>
      </c>
      <c r="HQ101" s="11">
        <v>0</v>
      </c>
      <c r="HR101" s="11">
        <v>0</v>
      </c>
      <c r="HS101" s="11">
        <v>0</v>
      </c>
      <c r="HT101" s="11">
        <v>0</v>
      </c>
      <c r="HU101" s="26">
        <f t="shared" si="63"/>
        <v>0</v>
      </c>
      <c r="HV101" s="11">
        <v>0</v>
      </c>
      <c r="HW101" s="11">
        <v>0</v>
      </c>
      <c r="HX101" s="11">
        <v>0</v>
      </c>
      <c r="HY101" s="11">
        <v>0</v>
      </c>
      <c r="HZ101" s="11">
        <v>0</v>
      </c>
      <c r="IA101" s="11">
        <v>0</v>
      </c>
      <c r="IB101" s="11">
        <v>0</v>
      </c>
      <c r="IC101" s="11">
        <v>0</v>
      </c>
      <c r="ID101" s="11">
        <v>0</v>
      </c>
      <c r="IE101" s="11">
        <v>0</v>
      </c>
      <c r="IF101" s="11">
        <v>0</v>
      </c>
      <c r="IG101" s="11">
        <v>0</v>
      </c>
      <c r="IH101" s="26">
        <f t="shared" si="64"/>
        <v>0</v>
      </c>
      <c r="II101" s="9">
        <f t="shared" si="65"/>
        <v>109020</v>
      </c>
      <c r="IJ101" s="9">
        <f t="shared" si="66"/>
        <v>0</v>
      </c>
      <c r="IK101" s="11">
        <v>45182</v>
      </c>
      <c r="IL101" s="11">
        <v>40288</v>
      </c>
      <c r="IM101" s="11">
        <v>36869</v>
      </c>
      <c r="IN101" s="11">
        <v>52137</v>
      </c>
      <c r="IO101" s="11">
        <v>53665</v>
      </c>
      <c r="IP101" s="11">
        <v>42779</v>
      </c>
      <c r="IQ101" s="11">
        <v>46806</v>
      </c>
      <c r="IR101" s="11">
        <v>46351</v>
      </c>
      <c r="IS101" s="11">
        <v>33766</v>
      </c>
      <c r="IT101" s="11">
        <v>42672</v>
      </c>
      <c r="IU101" s="11">
        <v>41456</v>
      </c>
      <c r="IV101" s="11">
        <v>47125</v>
      </c>
      <c r="IW101" s="27">
        <f t="shared" si="67"/>
        <v>529096</v>
      </c>
      <c r="IX101" s="11">
        <v>22920</v>
      </c>
      <c r="IY101" s="11">
        <v>22765</v>
      </c>
      <c r="IZ101" s="11">
        <v>20651</v>
      </c>
      <c r="JA101" s="11">
        <v>23347</v>
      </c>
      <c r="JB101" s="11">
        <v>23490</v>
      </c>
      <c r="JC101" s="11">
        <v>22002</v>
      </c>
      <c r="JD101" s="11">
        <v>23892</v>
      </c>
      <c r="JE101" s="11">
        <v>21856</v>
      </c>
      <c r="JF101" s="11">
        <v>18079</v>
      </c>
      <c r="JG101" s="11">
        <v>25638</v>
      </c>
      <c r="JH101" s="11">
        <v>23246</v>
      </c>
      <c r="JI101" s="11">
        <v>23458</v>
      </c>
      <c r="JJ101" s="27">
        <f t="shared" si="68"/>
        <v>271344</v>
      </c>
      <c r="JK101" s="11">
        <v>21219</v>
      </c>
      <c r="JL101" s="11">
        <v>16775</v>
      </c>
      <c r="JM101" s="11">
        <v>15432</v>
      </c>
      <c r="JN101" s="11">
        <v>27651</v>
      </c>
      <c r="JO101" s="11">
        <v>28742</v>
      </c>
      <c r="JP101" s="11">
        <v>19711</v>
      </c>
      <c r="JQ101" s="11">
        <v>21898</v>
      </c>
      <c r="JR101" s="11">
        <v>23180</v>
      </c>
      <c r="JS101" s="11">
        <v>14969</v>
      </c>
      <c r="JT101" s="11">
        <v>16194</v>
      </c>
      <c r="JU101" s="11">
        <v>17344</v>
      </c>
      <c r="JV101" s="11">
        <v>22629</v>
      </c>
      <c r="JW101" s="27">
        <f t="shared" si="69"/>
        <v>245744</v>
      </c>
      <c r="JX101" s="11">
        <v>1043</v>
      </c>
      <c r="JY101" s="11">
        <v>748</v>
      </c>
      <c r="JZ101" s="11">
        <v>786</v>
      </c>
      <c r="KA101" s="11">
        <v>1139</v>
      </c>
      <c r="KB101" s="11">
        <v>1433</v>
      </c>
      <c r="KC101" s="11">
        <v>1066</v>
      </c>
      <c r="KD101" s="11">
        <v>1016</v>
      </c>
      <c r="KE101" s="11">
        <v>1315</v>
      </c>
      <c r="KF101" s="11">
        <v>718</v>
      </c>
      <c r="KG101" s="11">
        <v>840</v>
      </c>
      <c r="KH101" s="11">
        <v>866</v>
      </c>
      <c r="KI101" s="11">
        <v>1038</v>
      </c>
      <c r="KJ101" s="27">
        <f t="shared" si="70"/>
        <v>12008</v>
      </c>
      <c r="KK101" s="11">
        <v>892</v>
      </c>
      <c r="KL101" s="11">
        <v>792</v>
      </c>
      <c r="KM101" s="11">
        <v>736</v>
      </c>
      <c r="KN101" s="11">
        <v>815</v>
      </c>
      <c r="KO101" s="11">
        <v>791</v>
      </c>
      <c r="KP101" s="11">
        <v>861</v>
      </c>
      <c r="KQ101" s="11">
        <v>741</v>
      </c>
      <c r="KR101" s="11">
        <v>770</v>
      </c>
      <c r="KS101" s="11">
        <v>669</v>
      </c>
      <c r="KT101" s="11">
        <v>1228</v>
      </c>
      <c r="KU101" s="11">
        <v>678</v>
      </c>
      <c r="KV101" s="11">
        <v>832</v>
      </c>
      <c r="KW101" s="27">
        <f t="shared" si="71"/>
        <v>9805</v>
      </c>
      <c r="KX101" s="11">
        <v>801</v>
      </c>
      <c r="KY101" s="11">
        <v>733</v>
      </c>
      <c r="KZ101" s="11">
        <v>662</v>
      </c>
      <c r="LA101" s="11">
        <v>734</v>
      </c>
      <c r="LB101" s="11">
        <v>713</v>
      </c>
      <c r="LC101" s="11">
        <v>776</v>
      </c>
      <c r="LD101" s="11">
        <v>646</v>
      </c>
      <c r="LE101" s="11">
        <v>704</v>
      </c>
      <c r="LF101" s="11">
        <v>628</v>
      </c>
      <c r="LG101" s="11">
        <v>1131</v>
      </c>
      <c r="LH101" s="11">
        <v>627</v>
      </c>
      <c r="LI101" s="11">
        <v>737</v>
      </c>
      <c r="LJ101" s="27">
        <f t="shared" si="72"/>
        <v>8892</v>
      </c>
      <c r="LK101" s="11">
        <v>86</v>
      </c>
      <c r="LL101" s="11">
        <v>55</v>
      </c>
      <c r="LM101" s="11">
        <v>69</v>
      </c>
      <c r="LN101" s="11">
        <v>72</v>
      </c>
      <c r="LO101" s="11">
        <v>77</v>
      </c>
      <c r="LP101" s="11">
        <v>85</v>
      </c>
      <c r="LQ101" s="11">
        <v>94</v>
      </c>
      <c r="LR101" s="11">
        <v>64</v>
      </c>
      <c r="LS101" s="11">
        <v>40</v>
      </c>
      <c r="LT101" s="11">
        <v>92</v>
      </c>
      <c r="LU101" s="11">
        <v>50</v>
      </c>
      <c r="LV101" s="11">
        <v>88</v>
      </c>
      <c r="LW101" s="27">
        <f t="shared" si="73"/>
        <v>872</v>
      </c>
      <c r="LX101" s="11">
        <v>5</v>
      </c>
      <c r="LY101" s="11">
        <v>4</v>
      </c>
      <c r="LZ101" s="11">
        <v>5</v>
      </c>
      <c r="MA101" s="11">
        <v>9</v>
      </c>
      <c r="MB101" s="11">
        <v>1</v>
      </c>
      <c r="MC101" s="11">
        <v>0</v>
      </c>
      <c r="MD101" s="11">
        <v>1</v>
      </c>
      <c r="ME101" s="11">
        <v>2</v>
      </c>
      <c r="MF101" s="11">
        <v>1</v>
      </c>
      <c r="MG101" s="11">
        <v>5</v>
      </c>
      <c r="MH101" s="11">
        <v>1</v>
      </c>
      <c r="MI101" s="11">
        <v>7</v>
      </c>
      <c r="MJ101" s="27">
        <f t="shared" si="74"/>
        <v>41</v>
      </c>
      <c r="MK101" s="11">
        <v>1033</v>
      </c>
      <c r="ML101" s="11">
        <v>1087</v>
      </c>
      <c r="MM101" s="11">
        <v>999</v>
      </c>
      <c r="MN101" s="11">
        <v>1066</v>
      </c>
      <c r="MO101" s="11">
        <v>1176</v>
      </c>
      <c r="MP101" s="11">
        <v>1083</v>
      </c>
      <c r="MQ101" s="11">
        <v>1144</v>
      </c>
      <c r="MR101" s="11">
        <v>1049</v>
      </c>
      <c r="MS101" s="11">
        <v>1075</v>
      </c>
      <c r="MT101" s="11">
        <v>1086</v>
      </c>
      <c r="MU101" s="11">
        <v>999</v>
      </c>
      <c r="MV101" s="11">
        <v>1174</v>
      </c>
      <c r="MW101" s="27">
        <f t="shared" si="75"/>
        <v>12971</v>
      </c>
      <c r="MX101" s="11">
        <v>913</v>
      </c>
      <c r="MY101" s="11">
        <v>954</v>
      </c>
      <c r="MZ101" s="11">
        <v>857</v>
      </c>
      <c r="NA101" s="11">
        <v>888</v>
      </c>
      <c r="NB101" s="11">
        <v>1000</v>
      </c>
      <c r="NC101" s="11">
        <v>979</v>
      </c>
      <c r="ND101" s="11">
        <v>1020</v>
      </c>
      <c r="NE101" s="11">
        <v>960</v>
      </c>
      <c r="NF101" s="11">
        <v>960</v>
      </c>
      <c r="NG101" s="11">
        <v>988</v>
      </c>
      <c r="NH101" s="11">
        <v>895</v>
      </c>
      <c r="NI101" s="11">
        <v>1034</v>
      </c>
      <c r="NJ101" s="27">
        <f t="shared" si="76"/>
        <v>11448</v>
      </c>
      <c r="NK101" s="11">
        <v>67</v>
      </c>
      <c r="NL101" s="11">
        <v>68</v>
      </c>
      <c r="NM101" s="11">
        <v>91</v>
      </c>
      <c r="NN101" s="11">
        <v>109</v>
      </c>
      <c r="NO101" s="11">
        <v>110</v>
      </c>
      <c r="NP101" s="11">
        <v>56</v>
      </c>
      <c r="NQ101" s="11">
        <v>77</v>
      </c>
      <c r="NR101" s="11">
        <v>54</v>
      </c>
      <c r="NS101" s="11">
        <v>65</v>
      </c>
      <c r="NT101" s="11">
        <v>49</v>
      </c>
      <c r="NU101" s="11">
        <v>63</v>
      </c>
      <c r="NV101" s="11">
        <v>77</v>
      </c>
      <c r="NW101" s="27">
        <f t="shared" si="77"/>
        <v>886</v>
      </c>
      <c r="NX101" s="11">
        <v>53</v>
      </c>
      <c r="NY101" s="11">
        <v>65</v>
      </c>
      <c r="NZ101" s="11">
        <v>51</v>
      </c>
      <c r="OA101" s="11">
        <v>69</v>
      </c>
      <c r="OB101" s="11">
        <v>66</v>
      </c>
      <c r="OC101" s="11">
        <v>48</v>
      </c>
      <c r="OD101" s="11">
        <v>47</v>
      </c>
      <c r="OE101" s="11">
        <v>35</v>
      </c>
      <c r="OF101" s="11">
        <v>50</v>
      </c>
      <c r="OG101" s="11">
        <v>49</v>
      </c>
      <c r="OH101" s="11">
        <v>41</v>
      </c>
      <c r="OI101" s="11">
        <v>63</v>
      </c>
      <c r="OJ101" s="27">
        <f t="shared" si="78"/>
        <v>637</v>
      </c>
      <c r="OK101" s="11">
        <v>2205</v>
      </c>
      <c r="OL101" s="11">
        <v>2316</v>
      </c>
      <c r="OM101" s="11">
        <v>2127</v>
      </c>
      <c r="ON101" s="11">
        <v>2233</v>
      </c>
      <c r="OO101" s="11">
        <v>2351</v>
      </c>
      <c r="OP101" s="11">
        <v>2170</v>
      </c>
      <c r="OQ101" s="11">
        <v>2357</v>
      </c>
      <c r="OR101" s="11">
        <v>2305</v>
      </c>
      <c r="OS101" s="11">
        <v>2192</v>
      </c>
      <c r="OT101" s="11">
        <v>2575</v>
      </c>
      <c r="OU101" s="11">
        <v>2452</v>
      </c>
      <c r="OV101" s="11">
        <v>2734</v>
      </c>
      <c r="OW101" s="27">
        <f t="shared" si="79"/>
        <v>28017</v>
      </c>
      <c r="OX101" s="11">
        <v>1891</v>
      </c>
      <c r="OY101" s="11">
        <v>1989</v>
      </c>
      <c r="OZ101" s="11">
        <v>1806</v>
      </c>
      <c r="PA101" s="11">
        <v>1898</v>
      </c>
      <c r="PB101" s="11">
        <v>1990</v>
      </c>
      <c r="PC101" s="11">
        <v>1917</v>
      </c>
      <c r="PD101" s="11">
        <v>2065</v>
      </c>
      <c r="PE101" s="11">
        <v>1967</v>
      </c>
      <c r="PF101" s="11">
        <v>1909</v>
      </c>
      <c r="PG101" s="11">
        <v>2235</v>
      </c>
      <c r="PH101" s="11">
        <v>2167</v>
      </c>
      <c r="PI101" s="11">
        <v>2400</v>
      </c>
      <c r="PJ101" s="27">
        <f t="shared" si="80"/>
        <v>24234</v>
      </c>
      <c r="PK101" s="11">
        <v>240</v>
      </c>
      <c r="PL101" s="11">
        <v>246</v>
      </c>
      <c r="PM101" s="11">
        <v>251</v>
      </c>
      <c r="PN101" s="11">
        <v>255</v>
      </c>
      <c r="PO101" s="11">
        <v>270</v>
      </c>
      <c r="PP101" s="11">
        <v>197</v>
      </c>
      <c r="PQ101" s="11">
        <v>248</v>
      </c>
      <c r="PR101" s="11">
        <v>275</v>
      </c>
      <c r="PS101" s="11">
        <v>219</v>
      </c>
      <c r="PT101" s="11">
        <v>252</v>
      </c>
      <c r="PU101" s="11">
        <v>205</v>
      </c>
      <c r="PV101" s="11">
        <v>238</v>
      </c>
      <c r="PW101" s="27">
        <f t="shared" si="81"/>
        <v>2896</v>
      </c>
      <c r="PX101" s="11">
        <v>74</v>
      </c>
      <c r="PY101" s="11">
        <v>81</v>
      </c>
      <c r="PZ101" s="11">
        <v>70</v>
      </c>
      <c r="QA101" s="11">
        <v>80</v>
      </c>
      <c r="QB101" s="11">
        <v>91</v>
      </c>
      <c r="QC101" s="11">
        <v>56</v>
      </c>
      <c r="QD101" s="11">
        <v>44</v>
      </c>
      <c r="QE101" s="11">
        <v>63</v>
      </c>
      <c r="QF101" s="11">
        <v>64</v>
      </c>
      <c r="QG101" s="11">
        <v>88</v>
      </c>
      <c r="QH101" s="11">
        <v>80</v>
      </c>
      <c r="QI101" s="11">
        <v>96</v>
      </c>
      <c r="QJ101" s="27">
        <f t="shared" si="82"/>
        <v>887</v>
      </c>
      <c r="QK101" s="11">
        <v>65520</v>
      </c>
      <c r="QL101" s="11">
        <v>63591</v>
      </c>
      <c r="QM101" s="11">
        <v>59657</v>
      </c>
      <c r="QN101" s="11">
        <v>67396</v>
      </c>
      <c r="QO101" s="11">
        <v>70677</v>
      </c>
      <c r="QP101" s="11">
        <v>61678</v>
      </c>
      <c r="QQ101" s="11">
        <v>72367</v>
      </c>
      <c r="QR101" s="11">
        <v>74211</v>
      </c>
      <c r="QS101" s="11">
        <v>50157</v>
      </c>
      <c r="QT101" s="11">
        <v>69025</v>
      </c>
      <c r="QU101" s="11">
        <v>70547</v>
      </c>
      <c r="QV101" s="11">
        <v>71129</v>
      </c>
      <c r="QW101" s="27">
        <f t="shared" si="83"/>
        <v>795955</v>
      </c>
      <c r="QX101" s="11">
        <v>0</v>
      </c>
      <c r="QY101" s="11">
        <v>0</v>
      </c>
      <c r="QZ101" s="11">
        <v>0</v>
      </c>
      <c r="RA101" s="11">
        <v>0</v>
      </c>
      <c r="RB101" s="11">
        <v>0</v>
      </c>
      <c r="RC101" s="11">
        <v>0</v>
      </c>
      <c r="RD101" s="11">
        <v>0</v>
      </c>
      <c r="RE101" s="11">
        <v>0</v>
      </c>
      <c r="RF101" s="11">
        <v>0</v>
      </c>
      <c r="RG101" s="11">
        <v>0</v>
      </c>
      <c r="RH101" s="11">
        <v>0</v>
      </c>
      <c r="RI101" s="11">
        <v>0</v>
      </c>
      <c r="RJ101" s="27">
        <f t="shared" si="84"/>
        <v>0</v>
      </c>
      <c r="RK101" s="11">
        <v>0</v>
      </c>
      <c r="RL101" s="11">
        <v>0</v>
      </c>
      <c r="RM101" s="11">
        <v>0</v>
      </c>
      <c r="RN101" s="11">
        <v>0</v>
      </c>
      <c r="RO101" s="11">
        <v>0</v>
      </c>
      <c r="RP101" s="11">
        <v>0</v>
      </c>
      <c r="RQ101" s="11">
        <v>0</v>
      </c>
      <c r="RR101" s="11">
        <v>0</v>
      </c>
      <c r="RS101" s="11">
        <v>0</v>
      </c>
      <c r="RT101" s="11">
        <v>0</v>
      </c>
      <c r="RU101" s="11">
        <v>0</v>
      </c>
      <c r="RV101" s="11">
        <v>0</v>
      </c>
      <c r="RW101" s="27">
        <f t="shared" si="85"/>
        <v>0</v>
      </c>
      <c r="RX101" s="11">
        <v>94</v>
      </c>
      <c r="RY101" s="11">
        <v>79</v>
      </c>
      <c r="RZ101" s="11">
        <v>56</v>
      </c>
      <c r="SA101" s="11">
        <v>74</v>
      </c>
      <c r="SB101" s="11">
        <v>65</v>
      </c>
      <c r="SC101" s="11">
        <v>19</v>
      </c>
      <c r="SD101" s="11">
        <v>44</v>
      </c>
      <c r="SE101" s="11">
        <v>41</v>
      </c>
      <c r="SF101" s="11">
        <v>10</v>
      </c>
      <c r="SG101" s="11">
        <v>52</v>
      </c>
      <c r="SH101" s="11">
        <v>63</v>
      </c>
      <c r="SI101" s="11">
        <v>50</v>
      </c>
      <c r="SJ101" s="27">
        <f t="shared" si="86"/>
        <v>647</v>
      </c>
      <c r="SK101" s="11">
        <v>157</v>
      </c>
      <c r="SL101" s="11">
        <v>173</v>
      </c>
      <c r="SM101" s="11">
        <v>128</v>
      </c>
      <c r="SN101" s="11">
        <v>159</v>
      </c>
      <c r="SO101" s="11">
        <v>186</v>
      </c>
      <c r="SP101" s="11">
        <v>193</v>
      </c>
      <c r="SQ101" s="11">
        <v>186</v>
      </c>
      <c r="SR101" s="11">
        <v>150</v>
      </c>
      <c r="SS101" s="11">
        <v>198</v>
      </c>
      <c r="ST101" s="11">
        <v>132</v>
      </c>
      <c r="SU101" s="11">
        <v>129</v>
      </c>
      <c r="SV101" s="11">
        <v>131</v>
      </c>
      <c r="SW101" s="27">
        <f t="shared" si="87"/>
        <v>1922</v>
      </c>
      <c r="SX101" s="11"/>
      <c r="SY101" s="11">
        <v>5188</v>
      </c>
      <c r="SZ101" s="11">
        <v>5051</v>
      </c>
      <c r="TA101" s="11">
        <v>4823</v>
      </c>
      <c r="TB101" s="11">
        <v>5324</v>
      </c>
      <c r="TC101" s="11">
        <v>5022</v>
      </c>
      <c r="TD101" s="11">
        <v>7906</v>
      </c>
      <c r="TE101" s="11">
        <v>6457</v>
      </c>
      <c r="TF101" s="11">
        <v>8641</v>
      </c>
      <c r="TG101" s="11">
        <v>3902</v>
      </c>
      <c r="TH101" s="11">
        <v>5353</v>
      </c>
      <c r="TI101" s="11">
        <v>5308</v>
      </c>
      <c r="TJ101" s="11">
        <v>5621</v>
      </c>
      <c r="TK101" s="27">
        <f t="shared" si="88"/>
        <v>68596</v>
      </c>
      <c r="TL101" s="11">
        <v>5352</v>
      </c>
      <c r="TM101" s="11">
        <v>6493</v>
      </c>
      <c r="TN101" s="11">
        <v>1941</v>
      </c>
      <c r="TO101" s="11">
        <v>3672</v>
      </c>
      <c r="TP101" s="11">
        <v>4179</v>
      </c>
      <c r="TQ101" s="11">
        <v>1647</v>
      </c>
      <c r="TR101" s="11">
        <v>3328</v>
      </c>
      <c r="TS101" s="11">
        <v>5490</v>
      </c>
      <c r="TT101" s="11">
        <v>0</v>
      </c>
      <c r="TU101" s="11">
        <v>0</v>
      </c>
      <c r="TV101" s="11">
        <v>187</v>
      </c>
      <c r="TW101" s="11">
        <v>433</v>
      </c>
      <c r="TX101" s="27">
        <f t="shared" si="89"/>
        <v>32722</v>
      </c>
      <c r="TY101" s="11">
        <v>210</v>
      </c>
      <c r="TZ101" s="11">
        <v>0</v>
      </c>
      <c r="UA101" s="11">
        <v>0</v>
      </c>
    </row>
    <row r="102" spans="1:547" ht="16" customHeight="1" x14ac:dyDescent="0.35">
      <c r="A102" s="11" t="s">
        <v>2741</v>
      </c>
      <c r="B102" s="11">
        <v>18334</v>
      </c>
      <c r="C102" s="11">
        <v>8461</v>
      </c>
      <c r="D102" s="11">
        <v>8441</v>
      </c>
      <c r="E102" s="11">
        <v>1432</v>
      </c>
      <c r="F102" s="11">
        <v>188</v>
      </c>
      <c r="G102" s="11">
        <v>205</v>
      </c>
      <c r="H102" s="11">
        <v>224</v>
      </c>
      <c r="I102" s="11">
        <v>197</v>
      </c>
      <c r="J102" s="11">
        <v>190</v>
      </c>
      <c r="K102" s="11">
        <v>168</v>
      </c>
      <c r="L102" s="11">
        <v>223</v>
      </c>
      <c r="M102" s="11">
        <v>222</v>
      </c>
      <c r="N102" s="11">
        <v>147</v>
      </c>
      <c r="O102" s="11">
        <v>193</v>
      </c>
      <c r="P102" s="11" t="s">
        <v>2863</v>
      </c>
      <c r="Q102" s="11">
        <v>176</v>
      </c>
      <c r="R102" s="11">
        <v>207</v>
      </c>
      <c r="S102" s="26">
        <f t="shared" si="45"/>
        <v>2340</v>
      </c>
      <c r="T102" s="11">
        <v>78</v>
      </c>
      <c r="U102" s="11">
        <v>77</v>
      </c>
      <c r="V102" s="11">
        <v>75</v>
      </c>
      <c r="W102" s="11">
        <v>73</v>
      </c>
      <c r="X102" s="11">
        <v>77</v>
      </c>
      <c r="Y102" s="11">
        <v>74</v>
      </c>
      <c r="Z102" s="11">
        <v>90</v>
      </c>
      <c r="AA102" s="11">
        <v>82</v>
      </c>
      <c r="AB102" s="11">
        <v>61</v>
      </c>
      <c r="AC102" s="11">
        <v>73</v>
      </c>
      <c r="AD102" s="11">
        <v>75</v>
      </c>
      <c r="AE102" s="11">
        <v>79</v>
      </c>
      <c r="AF102" s="26">
        <f t="shared" si="46"/>
        <v>914</v>
      </c>
      <c r="AG102" s="11">
        <v>74</v>
      </c>
      <c r="AH102" s="11">
        <v>96</v>
      </c>
      <c r="AI102" s="11">
        <v>113</v>
      </c>
      <c r="AJ102" s="11">
        <v>90</v>
      </c>
      <c r="AK102" s="11">
        <v>50</v>
      </c>
      <c r="AL102" s="11">
        <v>70</v>
      </c>
      <c r="AM102" s="11">
        <v>98</v>
      </c>
      <c r="AN102" s="11">
        <v>112</v>
      </c>
      <c r="AO102" s="11">
        <v>65</v>
      </c>
      <c r="AP102" s="11">
        <v>94</v>
      </c>
      <c r="AQ102" s="11">
        <v>81</v>
      </c>
      <c r="AR102" s="11">
        <v>100</v>
      </c>
      <c r="AS102" s="26">
        <f t="shared" si="47"/>
        <v>1043</v>
      </c>
      <c r="AT102" s="11">
        <v>1</v>
      </c>
      <c r="AU102" s="11">
        <v>1</v>
      </c>
      <c r="AV102" s="11">
        <v>1</v>
      </c>
      <c r="AW102" s="11">
        <v>1</v>
      </c>
      <c r="AX102" s="11">
        <v>1</v>
      </c>
      <c r="AY102" s="11">
        <v>1</v>
      </c>
      <c r="AZ102" s="11">
        <v>1</v>
      </c>
      <c r="BA102" s="11">
        <v>2</v>
      </c>
      <c r="BB102" s="11">
        <v>1</v>
      </c>
      <c r="BC102" s="11">
        <v>1</v>
      </c>
      <c r="BD102" s="11">
        <v>1</v>
      </c>
      <c r="BE102" s="11">
        <v>1</v>
      </c>
      <c r="BF102" s="26">
        <f t="shared" si="48"/>
        <v>13</v>
      </c>
      <c r="BG102" s="11">
        <v>35</v>
      </c>
      <c r="BH102" s="11">
        <v>31</v>
      </c>
      <c r="BI102" s="11">
        <v>35</v>
      </c>
      <c r="BJ102" s="11">
        <v>33</v>
      </c>
      <c r="BK102" s="11">
        <v>62</v>
      </c>
      <c r="BL102" s="11">
        <v>23</v>
      </c>
      <c r="BM102" s="11">
        <v>34</v>
      </c>
      <c r="BN102" s="11">
        <v>26</v>
      </c>
      <c r="BO102" s="11">
        <v>20</v>
      </c>
      <c r="BP102" s="11">
        <v>25</v>
      </c>
      <c r="BQ102" s="11">
        <v>19</v>
      </c>
      <c r="BR102" s="11">
        <v>27</v>
      </c>
      <c r="BS102" s="26">
        <f t="shared" si="49"/>
        <v>370</v>
      </c>
      <c r="BT102" s="11">
        <v>10</v>
      </c>
      <c r="BU102" s="11">
        <v>8</v>
      </c>
      <c r="BV102" s="11">
        <v>8</v>
      </c>
      <c r="BW102" s="11">
        <v>7</v>
      </c>
      <c r="BX102" s="11">
        <v>2</v>
      </c>
      <c r="BY102" s="11">
        <v>5</v>
      </c>
      <c r="BZ102" s="11">
        <v>20</v>
      </c>
      <c r="CA102" s="11">
        <v>14</v>
      </c>
      <c r="CB102" s="11">
        <v>7</v>
      </c>
      <c r="CC102" s="11">
        <v>12</v>
      </c>
      <c r="CD102" s="11">
        <v>9</v>
      </c>
      <c r="CE102" s="11">
        <v>21</v>
      </c>
      <c r="CF102" s="26">
        <f t="shared" si="50"/>
        <v>123</v>
      </c>
      <c r="CG102" s="11">
        <v>10</v>
      </c>
      <c r="CH102" s="11">
        <v>8</v>
      </c>
      <c r="CI102" s="11">
        <v>8</v>
      </c>
      <c r="CJ102" s="11">
        <v>7</v>
      </c>
      <c r="CK102" s="11">
        <v>2</v>
      </c>
      <c r="CL102" s="11">
        <v>5</v>
      </c>
      <c r="CM102" s="11">
        <v>20</v>
      </c>
      <c r="CN102" s="11">
        <v>14</v>
      </c>
      <c r="CO102" s="11">
        <v>7</v>
      </c>
      <c r="CP102" s="11">
        <v>12</v>
      </c>
      <c r="CQ102" s="11">
        <v>9</v>
      </c>
      <c r="CR102" s="11">
        <v>21</v>
      </c>
      <c r="CS102" s="26">
        <f t="shared" si="51"/>
        <v>123</v>
      </c>
      <c r="CT102" s="11">
        <v>0</v>
      </c>
      <c r="CU102" s="11">
        <v>0</v>
      </c>
      <c r="CV102" s="11">
        <v>0</v>
      </c>
      <c r="CW102" s="11">
        <v>0</v>
      </c>
      <c r="CX102" s="11">
        <v>0</v>
      </c>
      <c r="CY102" s="11">
        <v>0</v>
      </c>
      <c r="CZ102" s="11">
        <v>0</v>
      </c>
      <c r="DA102" s="11">
        <v>0</v>
      </c>
      <c r="DB102" s="11">
        <v>0</v>
      </c>
      <c r="DC102" s="11">
        <v>0</v>
      </c>
      <c r="DD102" s="11">
        <v>0</v>
      </c>
      <c r="DE102" s="11">
        <v>0</v>
      </c>
      <c r="DF102" s="26">
        <f t="shared" si="52"/>
        <v>0</v>
      </c>
      <c r="DG102" s="11">
        <v>0</v>
      </c>
      <c r="DH102" s="11">
        <v>0</v>
      </c>
      <c r="DI102" s="11">
        <v>0</v>
      </c>
      <c r="DJ102" s="11">
        <v>0</v>
      </c>
      <c r="DK102" s="11">
        <v>0</v>
      </c>
      <c r="DL102" s="11">
        <v>0</v>
      </c>
      <c r="DM102" s="11">
        <v>0</v>
      </c>
      <c r="DN102" s="11">
        <v>0</v>
      </c>
      <c r="DO102" s="11">
        <v>0</v>
      </c>
      <c r="DP102" s="11">
        <v>0</v>
      </c>
      <c r="DQ102" s="11">
        <v>0</v>
      </c>
      <c r="DR102" s="11">
        <v>0</v>
      </c>
      <c r="DS102" s="26">
        <f t="shared" si="53"/>
        <v>0</v>
      </c>
      <c r="DT102" s="11">
        <v>0</v>
      </c>
      <c r="DU102" s="11">
        <v>0</v>
      </c>
      <c r="DV102" s="11">
        <v>0</v>
      </c>
      <c r="DW102" s="11">
        <v>0</v>
      </c>
      <c r="DX102" s="11">
        <v>0</v>
      </c>
      <c r="DY102" s="11">
        <v>0</v>
      </c>
      <c r="DZ102" s="11">
        <v>0</v>
      </c>
      <c r="EA102" s="11">
        <v>0</v>
      </c>
      <c r="EB102" s="11">
        <v>0</v>
      </c>
      <c r="EC102" s="11">
        <v>0</v>
      </c>
      <c r="ED102" s="11">
        <v>0</v>
      </c>
      <c r="EE102" s="11">
        <v>0</v>
      </c>
      <c r="EF102" s="26">
        <f t="shared" si="54"/>
        <v>0</v>
      </c>
      <c r="EG102" s="9">
        <f t="shared" si="55"/>
        <v>2340</v>
      </c>
      <c r="EH102" s="9">
        <f t="shared" si="56"/>
        <v>123</v>
      </c>
      <c r="EI102" s="11">
        <v>2602</v>
      </c>
      <c r="EJ102" s="11">
        <v>3495</v>
      </c>
      <c r="EK102" s="11">
        <v>3792</v>
      </c>
      <c r="EL102" s="11">
        <v>4727</v>
      </c>
      <c r="EM102" s="11">
        <v>2276</v>
      </c>
      <c r="EN102" s="11">
        <v>2223</v>
      </c>
      <c r="EO102" s="11">
        <v>3671</v>
      </c>
      <c r="EP102" s="11">
        <v>3266</v>
      </c>
      <c r="EQ102" s="11">
        <v>1939</v>
      </c>
      <c r="ER102" s="11">
        <v>2812</v>
      </c>
      <c r="ES102" s="11">
        <v>2689</v>
      </c>
      <c r="ET102" s="11">
        <v>3452</v>
      </c>
      <c r="EU102" s="26">
        <f t="shared" si="57"/>
        <v>36944</v>
      </c>
      <c r="EV102" s="11">
        <v>1215</v>
      </c>
      <c r="EW102" s="11">
        <v>1839</v>
      </c>
      <c r="EX102" s="11">
        <v>1879</v>
      </c>
      <c r="EY102" s="11">
        <v>2432</v>
      </c>
      <c r="EZ102" s="11">
        <v>1239</v>
      </c>
      <c r="FA102" s="11">
        <v>1136</v>
      </c>
      <c r="FB102" s="11">
        <v>1514</v>
      </c>
      <c r="FC102" s="11">
        <v>1525</v>
      </c>
      <c r="FD102" s="11">
        <v>861</v>
      </c>
      <c r="FE102" s="11">
        <v>1225</v>
      </c>
      <c r="FF102" s="11">
        <v>1300</v>
      </c>
      <c r="FG102" s="11">
        <v>1355</v>
      </c>
      <c r="FH102" s="26">
        <f t="shared" si="58"/>
        <v>17520</v>
      </c>
      <c r="FI102" s="11">
        <v>1315</v>
      </c>
      <c r="FJ102" s="11">
        <v>1561</v>
      </c>
      <c r="FK102" s="11">
        <v>1903</v>
      </c>
      <c r="FL102" s="11">
        <v>2249</v>
      </c>
      <c r="FM102" s="11">
        <v>930</v>
      </c>
      <c r="FN102" s="11">
        <v>1075</v>
      </c>
      <c r="FO102" s="11">
        <v>2080</v>
      </c>
      <c r="FP102" s="11">
        <v>1708</v>
      </c>
      <c r="FQ102" s="11">
        <v>1059</v>
      </c>
      <c r="FR102" s="11">
        <v>1554</v>
      </c>
      <c r="FS102" s="11">
        <v>1329</v>
      </c>
      <c r="FT102" s="11">
        <v>2071</v>
      </c>
      <c r="FU102" s="26">
        <f t="shared" si="59"/>
        <v>18834</v>
      </c>
      <c r="FV102" s="11">
        <v>72</v>
      </c>
      <c r="FW102" s="11">
        <v>95</v>
      </c>
      <c r="FX102" s="11">
        <v>10</v>
      </c>
      <c r="FY102" s="11">
        <v>46</v>
      </c>
      <c r="FZ102" s="11">
        <v>107</v>
      </c>
      <c r="GA102" s="11">
        <v>12</v>
      </c>
      <c r="GB102" s="11">
        <v>77</v>
      </c>
      <c r="GC102" s="11">
        <v>33</v>
      </c>
      <c r="GD102" s="11">
        <v>19</v>
      </c>
      <c r="GE102" s="11">
        <v>33</v>
      </c>
      <c r="GF102" s="11">
        <v>60</v>
      </c>
      <c r="GG102" s="11">
        <v>26</v>
      </c>
      <c r="GH102" s="26">
        <f t="shared" si="60"/>
        <v>590</v>
      </c>
      <c r="GI102" s="11">
        <v>41</v>
      </c>
      <c r="GJ102" s="11">
        <v>40</v>
      </c>
      <c r="GK102" s="11">
        <v>44</v>
      </c>
      <c r="GL102" s="11">
        <v>40</v>
      </c>
      <c r="GM102" s="11">
        <v>8</v>
      </c>
      <c r="GN102" s="11">
        <v>33</v>
      </c>
      <c r="GO102" s="11">
        <v>48</v>
      </c>
      <c r="GP102" s="11">
        <v>34</v>
      </c>
      <c r="GQ102" s="11">
        <v>26</v>
      </c>
      <c r="GR102" s="11">
        <v>29</v>
      </c>
      <c r="GS102" s="11">
        <v>48</v>
      </c>
      <c r="GT102" s="11">
        <v>49</v>
      </c>
      <c r="GU102" s="26">
        <f t="shared" si="61"/>
        <v>440</v>
      </c>
      <c r="GV102" s="11">
        <v>41</v>
      </c>
      <c r="GW102" s="11">
        <v>40</v>
      </c>
      <c r="GX102" s="11">
        <v>44</v>
      </c>
      <c r="GY102" s="11">
        <v>40</v>
      </c>
      <c r="GZ102" s="11">
        <v>8</v>
      </c>
      <c r="HA102" s="11">
        <v>33</v>
      </c>
      <c r="HB102" s="11">
        <v>48</v>
      </c>
      <c r="HC102" s="11">
        <v>34</v>
      </c>
      <c r="HD102" s="11">
        <v>26</v>
      </c>
      <c r="HE102" s="11">
        <v>29</v>
      </c>
      <c r="HF102" s="11">
        <v>48</v>
      </c>
      <c r="HG102" s="11">
        <v>49</v>
      </c>
      <c r="HH102" s="26">
        <f t="shared" si="62"/>
        <v>440</v>
      </c>
      <c r="HI102" s="11">
        <v>0</v>
      </c>
      <c r="HJ102" s="11">
        <v>0</v>
      </c>
      <c r="HK102" s="11">
        <v>0</v>
      </c>
      <c r="HL102" s="11">
        <v>0</v>
      </c>
      <c r="HM102" s="11">
        <v>0</v>
      </c>
      <c r="HN102" s="11">
        <v>0</v>
      </c>
      <c r="HO102" s="11">
        <v>0</v>
      </c>
      <c r="HP102" s="11">
        <v>0</v>
      </c>
      <c r="HQ102" s="11">
        <v>0</v>
      </c>
      <c r="HR102" s="11">
        <v>0</v>
      </c>
      <c r="HS102" s="11">
        <v>0</v>
      </c>
      <c r="HT102" s="11">
        <v>0</v>
      </c>
      <c r="HU102" s="26">
        <f t="shared" si="63"/>
        <v>0</v>
      </c>
      <c r="HV102" s="11">
        <v>0</v>
      </c>
      <c r="HW102" s="11">
        <v>0</v>
      </c>
      <c r="HX102" s="11">
        <v>0</v>
      </c>
      <c r="HY102" s="11">
        <v>0</v>
      </c>
      <c r="HZ102" s="11">
        <v>0</v>
      </c>
      <c r="IA102" s="11">
        <v>0</v>
      </c>
      <c r="IB102" s="11">
        <v>0</v>
      </c>
      <c r="IC102" s="11">
        <v>0</v>
      </c>
      <c r="ID102" s="11">
        <v>0</v>
      </c>
      <c r="IE102" s="11">
        <v>0</v>
      </c>
      <c r="IF102" s="11">
        <v>0</v>
      </c>
      <c r="IG102" s="11">
        <v>0</v>
      </c>
      <c r="IH102" s="26">
        <f t="shared" si="64"/>
        <v>0</v>
      </c>
      <c r="II102" s="9">
        <f t="shared" si="65"/>
        <v>36944</v>
      </c>
      <c r="IJ102" s="9">
        <f t="shared" si="66"/>
        <v>440</v>
      </c>
      <c r="IK102" s="11">
        <v>21064</v>
      </c>
      <c r="IL102" s="11">
        <v>21197</v>
      </c>
      <c r="IM102" s="11">
        <v>18930</v>
      </c>
      <c r="IN102" s="11">
        <v>24325</v>
      </c>
      <c r="IO102" s="11">
        <v>26333</v>
      </c>
      <c r="IP102" s="11">
        <v>18947</v>
      </c>
      <c r="IQ102" s="11">
        <v>22173</v>
      </c>
      <c r="IR102" s="11">
        <v>18934</v>
      </c>
      <c r="IS102" s="11">
        <v>13920</v>
      </c>
      <c r="IT102" s="11">
        <v>21752</v>
      </c>
      <c r="IU102" s="11">
        <v>19334</v>
      </c>
      <c r="IV102" s="11">
        <v>18656</v>
      </c>
      <c r="IW102" s="27">
        <f t="shared" si="67"/>
        <v>245565</v>
      </c>
      <c r="IX102" s="11">
        <v>10795</v>
      </c>
      <c r="IY102" s="11">
        <v>10696</v>
      </c>
      <c r="IZ102" s="11">
        <v>9744</v>
      </c>
      <c r="JA102" s="11">
        <v>11644</v>
      </c>
      <c r="JB102" s="11">
        <v>11582</v>
      </c>
      <c r="JC102" s="11">
        <v>9331</v>
      </c>
      <c r="JD102" s="11">
        <v>11065</v>
      </c>
      <c r="JE102" s="11">
        <v>10106</v>
      </c>
      <c r="JF102" s="11">
        <v>8165</v>
      </c>
      <c r="JG102" s="11">
        <v>12201</v>
      </c>
      <c r="JH102" s="11">
        <v>9770</v>
      </c>
      <c r="JI102" s="11">
        <v>9816</v>
      </c>
      <c r="JJ102" s="27">
        <f t="shared" si="68"/>
        <v>124915</v>
      </c>
      <c r="JK102" s="11">
        <v>9622</v>
      </c>
      <c r="JL102" s="11">
        <v>9705</v>
      </c>
      <c r="JM102" s="11">
        <v>8632</v>
      </c>
      <c r="JN102" s="11">
        <v>11673</v>
      </c>
      <c r="JO102" s="11">
        <v>13618</v>
      </c>
      <c r="JP102" s="11">
        <v>8989</v>
      </c>
      <c r="JQ102" s="11">
        <v>10433</v>
      </c>
      <c r="JR102" s="11">
        <v>8262</v>
      </c>
      <c r="JS102" s="11">
        <v>5267</v>
      </c>
      <c r="JT102" s="11">
        <v>8982</v>
      </c>
      <c r="JU102" s="11">
        <v>9063</v>
      </c>
      <c r="JV102" s="11">
        <v>8325</v>
      </c>
      <c r="JW102" s="27">
        <f t="shared" si="69"/>
        <v>112571</v>
      </c>
      <c r="JX102" s="11">
        <v>647</v>
      </c>
      <c r="JY102" s="11">
        <v>796</v>
      </c>
      <c r="JZ102" s="11">
        <v>554</v>
      </c>
      <c r="KA102" s="11">
        <v>1008</v>
      </c>
      <c r="KB102" s="11">
        <v>1133</v>
      </c>
      <c r="KC102" s="11">
        <v>627</v>
      </c>
      <c r="KD102" s="11">
        <v>675</v>
      </c>
      <c r="KE102" s="11">
        <v>566</v>
      </c>
      <c r="KF102" s="11">
        <v>488</v>
      </c>
      <c r="KG102" s="11">
        <v>569</v>
      </c>
      <c r="KH102" s="11">
        <v>501</v>
      </c>
      <c r="KI102" s="11">
        <v>515</v>
      </c>
      <c r="KJ102" s="27">
        <f t="shared" si="70"/>
        <v>8079</v>
      </c>
      <c r="KK102" s="11">
        <v>464</v>
      </c>
      <c r="KL102" s="11">
        <v>449</v>
      </c>
      <c r="KM102" s="11">
        <v>405</v>
      </c>
      <c r="KN102" s="11">
        <v>574</v>
      </c>
      <c r="KO102" s="11">
        <v>406</v>
      </c>
      <c r="KP102" s="11">
        <v>345</v>
      </c>
      <c r="KQ102" s="11">
        <v>446</v>
      </c>
      <c r="KR102" s="11">
        <v>538</v>
      </c>
      <c r="KS102" s="11">
        <v>485</v>
      </c>
      <c r="KT102" s="11">
        <v>557</v>
      </c>
      <c r="KU102" s="11">
        <v>587</v>
      </c>
      <c r="KV102" s="11">
        <v>572</v>
      </c>
      <c r="KW102" s="27">
        <f t="shared" si="71"/>
        <v>5828</v>
      </c>
      <c r="KX102" s="11">
        <v>452</v>
      </c>
      <c r="KY102" s="11">
        <v>442</v>
      </c>
      <c r="KZ102" s="11">
        <v>391</v>
      </c>
      <c r="LA102" s="11">
        <v>560</v>
      </c>
      <c r="LB102" s="11">
        <v>391</v>
      </c>
      <c r="LC102" s="11">
        <v>340</v>
      </c>
      <c r="LD102" s="11">
        <v>433</v>
      </c>
      <c r="LE102" s="11">
        <v>517</v>
      </c>
      <c r="LF102" s="11">
        <v>482</v>
      </c>
      <c r="LG102" s="11">
        <v>549</v>
      </c>
      <c r="LH102" s="11">
        <v>581</v>
      </c>
      <c r="LI102" s="11">
        <v>566</v>
      </c>
      <c r="LJ102" s="27">
        <f t="shared" si="72"/>
        <v>5704</v>
      </c>
      <c r="LK102" s="11">
        <v>10</v>
      </c>
      <c r="LL102" s="11">
        <v>6</v>
      </c>
      <c r="LM102" s="11">
        <v>11</v>
      </c>
      <c r="LN102" s="11">
        <v>14</v>
      </c>
      <c r="LO102" s="11">
        <v>12</v>
      </c>
      <c r="LP102" s="11">
        <v>5</v>
      </c>
      <c r="LQ102" s="11">
        <v>12</v>
      </c>
      <c r="LR102" s="11">
        <v>16</v>
      </c>
      <c r="LS102" s="11">
        <v>1</v>
      </c>
      <c r="LT102" s="11">
        <v>5</v>
      </c>
      <c r="LU102" s="11">
        <v>6</v>
      </c>
      <c r="LV102" s="11">
        <v>6</v>
      </c>
      <c r="LW102" s="27">
        <f t="shared" si="73"/>
        <v>104</v>
      </c>
      <c r="LX102" s="11">
        <v>2</v>
      </c>
      <c r="LY102" s="11">
        <v>1</v>
      </c>
      <c r="LZ102" s="11">
        <v>3</v>
      </c>
      <c r="MA102" s="11">
        <v>0</v>
      </c>
      <c r="MB102" s="11">
        <v>3</v>
      </c>
      <c r="MC102" s="11">
        <v>0</v>
      </c>
      <c r="MD102" s="11">
        <v>1</v>
      </c>
      <c r="ME102" s="11">
        <v>5</v>
      </c>
      <c r="MF102" s="11">
        <v>2</v>
      </c>
      <c r="MG102" s="11">
        <v>3</v>
      </c>
      <c r="MH102" s="11">
        <v>0</v>
      </c>
      <c r="MI102" s="11">
        <v>0</v>
      </c>
      <c r="MJ102" s="27">
        <f t="shared" si="74"/>
        <v>20</v>
      </c>
      <c r="MK102" s="11">
        <v>424</v>
      </c>
      <c r="ML102" s="11">
        <v>433</v>
      </c>
      <c r="MM102" s="11">
        <v>430</v>
      </c>
      <c r="MN102" s="11">
        <v>412</v>
      </c>
      <c r="MO102" s="11">
        <v>379</v>
      </c>
      <c r="MP102" s="11">
        <v>390</v>
      </c>
      <c r="MQ102" s="11">
        <v>393</v>
      </c>
      <c r="MR102" s="11">
        <v>367</v>
      </c>
      <c r="MS102" s="11">
        <v>358</v>
      </c>
      <c r="MT102" s="11">
        <v>350</v>
      </c>
      <c r="MU102" s="11">
        <v>304</v>
      </c>
      <c r="MV102" s="11">
        <v>387</v>
      </c>
      <c r="MW102" s="27">
        <f t="shared" si="75"/>
        <v>4627</v>
      </c>
      <c r="MX102" s="11">
        <v>0</v>
      </c>
      <c r="MY102" s="11">
        <v>0</v>
      </c>
      <c r="MZ102" s="11">
        <v>0</v>
      </c>
      <c r="NA102" s="11">
        <v>0</v>
      </c>
      <c r="NB102" s="11">
        <v>0</v>
      </c>
      <c r="NC102" s="11">
        <v>0</v>
      </c>
      <c r="ND102" s="11">
        <v>0</v>
      </c>
      <c r="NE102" s="11">
        <v>0</v>
      </c>
      <c r="NF102" s="11">
        <v>0</v>
      </c>
      <c r="NG102" s="11">
        <v>0</v>
      </c>
      <c r="NH102" s="11">
        <v>0</v>
      </c>
      <c r="NI102" s="11">
        <v>0</v>
      </c>
      <c r="NJ102" s="27">
        <f t="shared" si="76"/>
        <v>0</v>
      </c>
      <c r="NK102" s="11">
        <v>0</v>
      </c>
      <c r="NL102" s="11">
        <v>0</v>
      </c>
      <c r="NM102" s="11">
        <v>0</v>
      </c>
      <c r="NN102" s="11">
        <v>0</v>
      </c>
      <c r="NO102" s="11">
        <v>0</v>
      </c>
      <c r="NP102" s="11">
        <v>0</v>
      </c>
      <c r="NQ102" s="11">
        <v>0</v>
      </c>
      <c r="NR102" s="11">
        <v>0</v>
      </c>
      <c r="NS102" s="11">
        <v>0</v>
      </c>
      <c r="NT102" s="11">
        <v>0</v>
      </c>
      <c r="NU102" s="11">
        <v>0</v>
      </c>
      <c r="NV102" s="11">
        <v>0</v>
      </c>
      <c r="NW102" s="27">
        <f t="shared" si="77"/>
        <v>0</v>
      </c>
      <c r="NX102" s="11">
        <v>0</v>
      </c>
      <c r="NY102" s="11">
        <v>0</v>
      </c>
      <c r="NZ102" s="11">
        <v>0</v>
      </c>
      <c r="OA102" s="11">
        <v>0</v>
      </c>
      <c r="OB102" s="11">
        <v>0</v>
      </c>
      <c r="OC102" s="11">
        <v>0</v>
      </c>
      <c r="OD102" s="11">
        <v>0</v>
      </c>
      <c r="OE102" s="11">
        <v>0</v>
      </c>
      <c r="OF102" s="11">
        <v>0</v>
      </c>
      <c r="OG102" s="11">
        <v>0</v>
      </c>
      <c r="OH102" s="11">
        <v>0</v>
      </c>
      <c r="OI102" s="11">
        <v>0</v>
      </c>
      <c r="OJ102" s="27">
        <f t="shared" si="78"/>
        <v>0</v>
      </c>
      <c r="OK102" s="11">
        <v>1295</v>
      </c>
      <c r="OL102" s="11">
        <v>1222</v>
      </c>
      <c r="OM102" s="11">
        <v>1186</v>
      </c>
      <c r="ON102" s="11">
        <v>1182</v>
      </c>
      <c r="OO102" s="11">
        <v>1199</v>
      </c>
      <c r="OP102" s="11">
        <v>1139</v>
      </c>
      <c r="OQ102" s="11">
        <v>1216</v>
      </c>
      <c r="OR102" s="11">
        <v>1071</v>
      </c>
      <c r="OS102" s="11">
        <v>1105</v>
      </c>
      <c r="OT102" s="11">
        <v>1213</v>
      </c>
      <c r="OU102" s="11">
        <v>1163</v>
      </c>
      <c r="OV102" s="11">
        <v>1170</v>
      </c>
      <c r="OW102" s="27">
        <f t="shared" si="79"/>
        <v>14161</v>
      </c>
      <c r="OX102" s="11">
        <v>0</v>
      </c>
      <c r="OY102" s="11">
        <v>0</v>
      </c>
      <c r="OZ102" s="11">
        <v>0</v>
      </c>
      <c r="PA102" s="11">
        <v>0</v>
      </c>
      <c r="PB102" s="11">
        <v>0</v>
      </c>
      <c r="PC102" s="11">
        <v>0</v>
      </c>
      <c r="PD102" s="11">
        <v>0</v>
      </c>
      <c r="PE102" s="11">
        <v>0</v>
      </c>
      <c r="PF102" s="11">
        <v>0</v>
      </c>
      <c r="PG102" s="11">
        <v>0</v>
      </c>
      <c r="PH102" s="11">
        <v>0</v>
      </c>
      <c r="PI102" s="11">
        <v>0</v>
      </c>
      <c r="PJ102" s="27">
        <f t="shared" si="80"/>
        <v>0</v>
      </c>
      <c r="PK102" s="11">
        <v>0</v>
      </c>
      <c r="PL102" s="11">
        <v>0</v>
      </c>
      <c r="PM102" s="11">
        <v>0</v>
      </c>
      <c r="PN102" s="11">
        <v>0</v>
      </c>
      <c r="PO102" s="11">
        <v>0</v>
      </c>
      <c r="PP102" s="11">
        <v>0</v>
      </c>
      <c r="PQ102" s="11">
        <v>0</v>
      </c>
      <c r="PR102" s="11">
        <v>0</v>
      </c>
      <c r="PS102" s="11">
        <v>0</v>
      </c>
      <c r="PT102" s="11">
        <v>0</v>
      </c>
      <c r="PU102" s="11">
        <v>0</v>
      </c>
      <c r="PV102" s="11">
        <v>0</v>
      </c>
      <c r="PW102" s="27">
        <f t="shared" si="81"/>
        <v>0</v>
      </c>
      <c r="PX102" s="11">
        <v>0</v>
      </c>
      <c r="PY102" s="11">
        <v>0</v>
      </c>
      <c r="PZ102" s="11">
        <v>0</v>
      </c>
      <c r="QA102" s="11">
        <v>0</v>
      </c>
      <c r="QB102" s="11">
        <v>0</v>
      </c>
      <c r="QC102" s="11">
        <v>0</v>
      </c>
      <c r="QD102" s="11">
        <v>0</v>
      </c>
      <c r="QE102" s="11">
        <v>0</v>
      </c>
      <c r="QF102" s="11">
        <v>0</v>
      </c>
      <c r="QG102" s="11">
        <v>0</v>
      </c>
      <c r="QH102" s="11">
        <v>0</v>
      </c>
      <c r="QI102" s="11">
        <v>0</v>
      </c>
      <c r="QJ102" s="27">
        <f t="shared" si="82"/>
        <v>0</v>
      </c>
      <c r="QK102" s="11">
        <v>31003</v>
      </c>
      <c r="QL102" s="11">
        <v>29269</v>
      </c>
      <c r="QM102" s="11">
        <v>25034</v>
      </c>
      <c r="QN102" s="11">
        <v>27626</v>
      </c>
      <c r="QO102" s="11">
        <v>28623</v>
      </c>
      <c r="QP102" s="11">
        <v>26920</v>
      </c>
      <c r="QQ102" s="11">
        <v>32813</v>
      </c>
      <c r="QR102" s="11">
        <v>33855</v>
      </c>
      <c r="QS102" s="11">
        <v>25498</v>
      </c>
      <c r="QT102" s="11">
        <v>40035</v>
      </c>
      <c r="QU102" s="11">
        <v>31098</v>
      </c>
      <c r="QV102" s="11">
        <v>26117</v>
      </c>
      <c r="QW102" s="27">
        <f t="shared" si="83"/>
        <v>357891</v>
      </c>
      <c r="QX102" s="11">
        <v>19907</v>
      </c>
      <c r="QY102" s="11">
        <v>21271</v>
      </c>
      <c r="QZ102" s="11">
        <v>18558</v>
      </c>
      <c r="RA102" s="11">
        <v>21797</v>
      </c>
      <c r="RB102" s="11">
        <v>20853</v>
      </c>
      <c r="RC102" s="11">
        <v>18847</v>
      </c>
      <c r="RD102" s="11">
        <v>10194</v>
      </c>
      <c r="RE102" s="11">
        <v>19958</v>
      </c>
      <c r="RF102" s="11">
        <v>16302</v>
      </c>
      <c r="RG102" s="11">
        <v>23230</v>
      </c>
      <c r="RH102" s="11">
        <v>23144</v>
      </c>
      <c r="RI102" s="11">
        <v>22911</v>
      </c>
      <c r="RJ102" s="27">
        <f t="shared" si="84"/>
        <v>236972</v>
      </c>
      <c r="RK102" s="11">
        <v>0</v>
      </c>
      <c r="RL102" s="11">
        <v>0</v>
      </c>
      <c r="RM102" s="11">
        <v>0</v>
      </c>
      <c r="RN102" s="11">
        <v>0</v>
      </c>
      <c r="RO102" s="11">
        <v>0</v>
      </c>
      <c r="RP102" s="11">
        <v>0</v>
      </c>
      <c r="RQ102" s="11">
        <v>0</v>
      </c>
      <c r="RR102" s="11">
        <v>0</v>
      </c>
      <c r="RS102" s="11">
        <v>0</v>
      </c>
      <c r="RT102" s="11">
        <v>0</v>
      </c>
      <c r="RU102" s="11">
        <v>0</v>
      </c>
      <c r="RV102" s="11">
        <v>0</v>
      </c>
      <c r="RW102" s="27">
        <f t="shared" si="85"/>
        <v>0</v>
      </c>
      <c r="RX102" s="11">
        <v>3163</v>
      </c>
      <c r="RY102" s="11">
        <v>2714</v>
      </c>
      <c r="RZ102" s="11">
        <v>2892</v>
      </c>
      <c r="SA102" s="11">
        <v>2516</v>
      </c>
      <c r="SB102" s="11">
        <v>1567</v>
      </c>
      <c r="SC102" s="11">
        <v>2453</v>
      </c>
      <c r="SD102" s="11">
        <v>2955</v>
      </c>
      <c r="SE102" s="11">
        <v>2715</v>
      </c>
      <c r="SF102" s="11">
        <v>2032</v>
      </c>
      <c r="SG102" s="11">
        <v>2961</v>
      </c>
      <c r="SH102" s="11">
        <v>2440</v>
      </c>
      <c r="SI102" s="11">
        <v>2498</v>
      </c>
      <c r="SJ102" s="27">
        <f t="shared" si="86"/>
        <v>30906</v>
      </c>
      <c r="SK102" s="11">
        <v>3764</v>
      </c>
      <c r="SL102" s="11">
        <v>3953</v>
      </c>
      <c r="SM102" s="11">
        <v>3350</v>
      </c>
      <c r="SN102" s="11">
        <v>3706</v>
      </c>
      <c r="SO102" s="11">
        <v>3754</v>
      </c>
      <c r="SP102" s="11">
        <v>3786</v>
      </c>
      <c r="SQ102" s="11">
        <v>3855</v>
      </c>
      <c r="SR102" s="11">
        <v>3947</v>
      </c>
      <c r="SS102" s="11">
        <v>2897</v>
      </c>
      <c r="ST102" s="11">
        <v>732</v>
      </c>
      <c r="SU102" s="11">
        <v>636</v>
      </c>
      <c r="SV102" s="11">
        <v>648</v>
      </c>
      <c r="SW102" s="27">
        <f t="shared" si="87"/>
        <v>35028</v>
      </c>
      <c r="SX102" s="11" t="s">
        <v>2742</v>
      </c>
      <c r="SY102" s="11">
        <v>5255</v>
      </c>
      <c r="SZ102" s="11">
        <v>5161</v>
      </c>
      <c r="TA102" s="11">
        <v>4625</v>
      </c>
      <c r="TB102" s="11">
        <v>6052</v>
      </c>
      <c r="TC102" s="11">
        <v>5340</v>
      </c>
      <c r="TD102" s="11">
        <v>4600</v>
      </c>
      <c r="TE102" s="11">
        <v>4294</v>
      </c>
      <c r="TF102" s="11">
        <v>5404</v>
      </c>
      <c r="TG102" s="11">
        <v>3814</v>
      </c>
      <c r="TH102" s="11">
        <v>5204</v>
      </c>
      <c r="TI102" s="11">
        <v>4614</v>
      </c>
      <c r="TJ102" s="11">
        <v>5222</v>
      </c>
      <c r="TK102" s="27">
        <f t="shared" si="88"/>
        <v>59585</v>
      </c>
      <c r="TL102" s="11">
        <v>0</v>
      </c>
      <c r="TM102" s="11">
        <v>0</v>
      </c>
      <c r="TN102" s="11">
        <v>0</v>
      </c>
      <c r="TO102" s="11">
        <v>0</v>
      </c>
      <c r="TP102" s="11">
        <v>0</v>
      </c>
      <c r="TQ102" s="11">
        <v>0</v>
      </c>
      <c r="TR102" s="11">
        <v>0</v>
      </c>
      <c r="TS102" s="11">
        <v>0</v>
      </c>
      <c r="TT102" s="11">
        <v>0</v>
      </c>
      <c r="TU102" s="11">
        <v>0</v>
      </c>
      <c r="TV102" s="11">
        <v>0</v>
      </c>
      <c r="TW102" s="11">
        <v>0</v>
      </c>
      <c r="TX102" s="27">
        <f t="shared" si="89"/>
        <v>0</v>
      </c>
      <c r="TY102" s="11">
        <v>165</v>
      </c>
      <c r="TZ102" s="11">
        <v>0</v>
      </c>
      <c r="UA102" s="11">
        <v>0</v>
      </c>
    </row>
    <row r="103" spans="1:547" ht="16" customHeight="1" x14ac:dyDescent="0.35">
      <c r="A103" s="11" t="s">
        <v>1445</v>
      </c>
      <c r="B103" s="11">
        <v>33360</v>
      </c>
      <c r="C103" s="11"/>
      <c r="D103" s="11"/>
      <c r="E103" s="11"/>
      <c r="F103" s="11">
        <v>612</v>
      </c>
      <c r="G103" s="11">
        <v>611</v>
      </c>
      <c r="H103" s="11">
        <v>603</v>
      </c>
      <c r="I103" s="11">
        <v>576</v>
      </c>
      <c r="J103" s="11">
        <v>549</v>
      </c>
      <c r="K103" s="11">
        <v>588</v>
      </c>
      <c r="L103" s="11">
        <v>600</v>
      </c>
      <c r="M103" s="11">
        <v>674</v>
      </c>
      <c r="N103" s="11">
        <v>577</v>
      </c>
      <c r="O103" s="11">
        <v>619</v>
      </c>
      <c r="P103" s="11" t="s">
        <v>2866</v>
      </c>
      <c r="Q103" s="11">
        <v>559</v>
      </c>
      <c r="R103" s="11">
        <v>513</v>
      </c>
      <c r="S103" s="26">
        <f t="shared" si="45"/>
        <v>7081</v>
      </c>
      <c r="T103" s="11">
        <v>167</v>
      </c>
      <c r="U103" s="11">
        <v>176</v>
      </c>
      <c r="V103" s="11">
        <v>167</v>
      </c>
      <c r="W103" s="11">
        <v>148</v>
      </c>
      <c r="X103" s="11">
        <v>149</v>
      </c>
      <c r="Y103" s="11">
        <v>164</v>
      </c>
      <c r="Z103" s="11">
        <v>162</v>
      </c>
      <c r="AA103" s="11">
        <v>174</v>
      </c>
      <c r="AB103" s="11">
        <v>158</v>
      </c>
      <c r="AC103" s="11">
        <v>167</v>
      </c>
      <c r="AD103" s="11">
        <v>147</v>
      </c>
      <c r="AE103" s="11">
        <v>154</v>
      </c>
      <c r="AF103" s="26">
        <f t="shared" si="46"/>
        <v>1933</v>
      </c>
      <c r="AG103" s="11">
        <v>445</v>
      </c>
      <c r="AH103" s="11">
        <v>435</v>
      </c>
      <c r="AI103" s="11">
        <v>436</v>
      </c>
      <c r="AJ103" s="11">
        <v>428</v>
      </c>
      <c r="AK103" s="11">
        <v>400</v>
      </c>
      <c r="AL103" s="11">
        <v>424</v>
      </c>
      <c r="AM103" s="11">
        <v>438</v>
      </c>
      <c r="AN103" s="11">
        <v>500</v>
      </c>
      <c r="AO103" s="11">
        <v>419</v>
      </c>
      <c r="AP103" s="11">
        <v>452</v>
      </c>
      <c r="AQ103" s="11">
        <v>412</v>
      </c>
      <c r="AR103" s="11">
        <v>359</v>
      </c>
      <c r="AS103" s="26">
        <f t="shared" si="47"/>
        <v>5148</v>
      </c>
      <c r="AT103" s="11">
        <v>2</v>
      </c>
      <c r="AU103" s="11">
        <v>2</v>
      </c>
      <c r="AV103" s="11">
        <v>2</v>
      </c>
      <c r="AW103" s="11">
        <v>2</v>
      </c>
      <c r="AX103" s="11">
        <v>2</v>
      </c>
      <c r="AY103" s="11">
        <v>2</v>
      </c>
      <c r="AZ103" s="11">
        <v>2</v>
      </c>
      <c r="BA103" s="11">
        <v>2</v>
      </c>
      <c r="BB103" s="11">
        <v>2</v>
      </c>
      <c r="BC103" s="11">
        <v>2</v>
      </c>
      <c r="BD103" s="11">
        <v>2</v>
      </c>
      <c r="BE103" s="11">
        <v>2</v>
      </c>
      <c r="BF103" s="26">
        <f t="shared" si="48"/>
        <v>24</v>
      </c>
      <c r="BG103" s="11">
        <v>0</v>
      </c>
      <c r="BH103" s="11">
        <v>0</v>
      </c>
      <c r="BI103" s="11">
        <v>0</v>
      </c>
      <c r="BJ103" s="11">
        <v>0</v>
      </c>
      <c r="BK103" s="11">
        <v>0</v>
      </c>
      <c r="BL103" s="11">
        <v>0</v>
      </c>
      <c r="BM103" s="11">
        <v>0</v>
      </c>
      <c r="BN103" s="11">
        <v>0</v>
      </c>
      <c r="BO103" s="11">
        <v>0</v>
      </c>
      <c r="BP103" s="11">
        <v>0</v>
      </c>
      <c r="BQ103" s="11">
        <v>0</v>
      </c>
      <c r="BR103" s="11">
        <v>0</v>
      </c>
      <c r="BS103" s="26">
        <f t="shared" si="49"/>
        <v>0</v>
      </c>
      <c r="BT103" s="11">
        <v>0</v>
      </c>
      <c r="BU103" s="11">
        <v>0</v>
      </c>
      <c r="BV103" s="11">
        <v>0</v>
      </c>
      <c r="BW103" s="11">
        <v>0</v>
      </c>
      <c r="BX103" s="11">
        <v>0</v>
      </c>
      <c r="BY103" s="11">
        <v>0</v>
      </c>
      <c r="BZ103" s="11">
        <v>0</v>
      </c>
      <c r="CA103" s="11">
        <v>0</v>
      </c>
      <c r="CB103" s="11">
        <v>0</v>
      </c>
      <c r="CC103" s="11">
        <v>0</v>
      </c>
      <c r="CD103" s="11">
        <v>0</v>
      </c>
      <c r="CE103" s="11">
        <v>0</v>
      </c>
      <c r="CF103" s="26">
        <f t="shared" si="50"/>
        <v>0</v>
      </c>
      <c r="CG103" s="11">
        <v>0</v>
      </c>
      <c r="CH103" s="11">
        <v>0</v>
      </c>
      <c r="CI103" s="11">
        <v>0</v>
      </c>
      <c r="CJ103" s="11">
        <v>0</v>
      </c>
      <c r="CK103" s="11">
        <v>0</v>
      </c>
      <c r="CL103" s="11">
        <v>0</v>
      </c>
      <c r="CM103" s="11">
        <v>0</v>
      </c>
      <c r="CN103" s="11">
        <v>0</v>
      </c>
      <c r="CO103" s="11">
        <v>0</v>
      </c>
      <c r="CP103" s="11">
        <v>0</v>
      </c>
      <c r="CQ103" s="11">
        <v>0</v>
      </c>
      <c r="CR103" s="11">
        <v>0</v>
      </c>
      <c r="CS103" s="26">
        <f t="shared" si="51"/>
        <v>0</v>
      </c>
      <c r="CT103" s="11">
        <v>0</v>
      </c>
      <c r="CU103" s="11">
        <v>0</v>
      </c>
      <c r="CV103" s="11">
        <v>0</v>
      </c>
      <c r="CW103" s="11">
        <v>0</v>
      </c>
      <c r="CX103" s="11">
        <v>0</v>
      </c>
      <c r="CY103" s="11">
        <v>0</v>
      </c>
      <c r="CZ103" s="11">
        <v>0</v>
      </c>
      <c r="DA103" s="11">
        <v>0</v>
      </c>
      <c r="DB103" s="11">
        <v>0</v>
      </c>
      <c r="DC103" s="11">
        <v>0</v>
      </c>
      <c r="DD103" s="11">
        <v>0</v>
      </c>
      <c r="DE103" s="11">
        <v>0</v>
      </c>
      <c r="DF103" s="26">
        <f t="shared" si="52"/>
        <v>0</v>
      </c>
      <c r="DG103" s="11">
        <v>0</v>
      </c>
      <c r="DH103" s="11">
        <v>0</v>
      </c>
      <c r="DI103" s="11">
        <v>0</v>
      </c>
      <c r="DJ103" s="11">
        <v>0</v>
      </c>
      <c r="DK103" s="11">
        <v>0</v>
      </c>
      <c r="DL103" s="11">
        <v>0</v>
      </c>
      <c r="DM103" s="11">
        <v>0</v>
      </c>
      <c r="DN103" s="11">
        <v>0</v>
      </c>
      <c r="DO103" s="11">
        <v>0</v>
      </c>
      <c r="DP103" s="11">
        <v>0</v>
      </c>
      <c r="DQ103" s="11">
        <v>0</v>
      </c>
      <c r="DR103" s="11">
        <v>0</v>
      </c>
      <c r="DS103" s="26">
        <f t="shared" si="53"/>
        <v>0</v>
      </c>
      <c r="DT103" s="11">
        <v>0</v>
      </c>
      <c r="DU103" s="11">
        <v>0</v>
      </c>
      <c r="DV103" s="11">
        <v>0</v>
      </c>
      <c r="DW103" s="11">
        <v>0</v>
      </c>
      <c r="DX103" s="11">
        <v>0</v>
      </c>
      <c r="DY103" s="11">
        <v>0</v>
      </c>
      <c r="DZ103" s="11">
        <v>0</v>
      </c>
      <c r="EA103" s="11">
        <v>0</v>
      </c>
      <c r="EB103" s="11">
        <v>0</v>
      </c>
      <c r="EC103" s="11">
        <v>0</v>
      </c>
      <c r="ED103" s="11">
        <v>0</v>
      </c>
      <c r="EE103" s="11">
        <v>0</v>
      </c>
      <c r="EF103" s="26">
        <f t="shared" si="54"/>
        <v>0</v>
      </c>
      <c r="EG103" s="9">
        <f t="shared" si="55"/>
        <v>7105</v>
      </c>
      <c r="EH103" s="9">
        <f t="shared" si="56"/>
        <v>0</v>
      </c>
      <c r="EI103" s="11">
        <v>13975</v>
      </c>
      <c r="EJ103" s="11">
        <v>12490</v>
      </c>
      <c r="EK103" s="11">
        <v>11390</v>
      </c>
      <c r="EL103" s="11">
        <v>12507</v>
      </c>
      <c r="EM103" s="11">
        <v>10349</v>
      </c>
      <c r="EN103" s="11">
        <v>11754</v>
      </c>
      <c r="EO103" s="11">
        <v>12995</v>
      </c>
      <c r="EP103" s="11">
        <v>12381</v>
      </c>
      <c r="EQ103" s="11">
        <v>10204</v>
      </c>
      <c r="ER103" s="11">
        <v>12833</v>
      </c>
      <c r="ES103" s="11">
        <v>12796</v>
      </c>
      <c r="ET103" s="11">
        <v>15595</v>
      </c>
      <c r="EU103" s="26">
        <f t="shared" si="57"/>
        <v>149269</v>
      </c>
      <c r="EV103" s="11">
        <v>6657</v>
      </c>
      <c r="EW103" s="11">
        <v>5776</v>
      </c>
      <c r="EX103" s="11">
        <v>5351</v>
      </c>
      <c r="EY103" s="11">
        <v>5861</v>
      </c>
      <c r="EZ103" s="11">
        <v>4862</v>
      </c>
      <c r="FA103" s="11">
        <v>5588</v>
      </c>
      <c r="FB103" s="11">
        <v>6011</v>
      </c>
      <c r="FC103" s="11">
        <v>5799</v>
      </c>
      <c r="FD103" s="11">
        <v>4539</v>
      </c>
      <c r="FE103" s="11">
        <v>5975</v>
      </c>
      <c r="FF103" s="11">
        <v>5860</v>
      </c>
      <c r="FG103" s="11">
        <v>7953</v>
      </c>
      <c r="FH103" s="26">
        <f t="shared" si="58"/>
        <v>70232</v>
      </c>
      <c r="FI103" s="11">
        <v>7318</v>
      </c>
      <c r="FJ103" s="11">
        <v>6714</v>
      </c>
      <c r="FK103" s="11">
        <v>6039</v>
      </c>
      <c r="FL103" s="11">
        <v>6646</v>
      </c>
      <c r="FM103" s="11">
        <v>5487</v>
      </c>
      <c r="FN103" s="11">
        <v>6166</v>
      </c>
      <c r="FO103" s="11">
        <v>6984</v>
      </c>
      <c r="FP103" s="11">
        <v>6582</v>
      </c>
      <c r="FQ103" s="11">
        <v>5611</v>
      </c>
      <c r="FR103" s="11">
        <v>6858</v>
      </c>
      <c r="FS103" s="11">
        <v>6936</v>
      </c>
      <c r="FT103" s="11">
        <v>7642</v>
      </c>
      <c r="FU103" s="26">
        <f t="shared" si="59"/>
        <v>78983</v>
      </c>
      <c r="FV103" s="11">
        <v>0</v>
      </c>
      <c r="FW103" s="11">
        <v>0</v>
      </c>
      <c r="FX103" s="11">
        <v>0</v>
      </c>
      <c r="FY103" s="11">
        <v>0</v>
      </c>
      <c r="FZ103" s="11">
        <v>0</v>
      </c>
      <c r="GA103" s="11">
        <v>0</v>
      </c>
      <c r="GB103" s="11">
        <v>0</v>
      </c>
      <c r="GC103" s="11">
        <v>0</v>
      </c>
      <c r="GD103" s="11">
        <v>0</v>
      </c>
      <c r="GE103" s="11">
        <v>0</v>
      </c>
      <c r="GF103" s="11">
        <v>0</v>
      </c>
      <c r="GG103" s="11">
        <v>0</v>
      </c>
      <c r="GH103" s="26">
        <f t="shared" si="60"/>
        <v>0</v>
      </c>
      <c r="GI103" s="11">
        <v>0</v>
      </c>
      <c r="GJ103" s="11">
        <v>0</v>
      </c>
      <c r="GK103" s="11">
        <v>0</v>
      </c>
      <c r="GL103" s="11">
        <v>0</v>
      </c>
      <c r="GM103" s="11">
        <v>0</v>
      </c>
      <c r="GN103" s="11">
        <v>0</v>
      </c>
      <c r="GO103" s="11">
        <v>0</v>
      </c>
      <c r="GP103" s="11">
        <v>0</v>
      </c>
      <c r="GQ103" s="11">
        <v>0</v>
      </c>
      <c r="GR103" s="11">
        <v>0</v>
      </c>
      <c r="GS103" s="11">
        <v>0</v>
      </c>
      <c r="GT103" s="11">
        <v>0</v>
      </c>
      <c r="GU103" s="26">
        <f t="shared" si="61"/>
        <v>0</v>
      </c>
      <c r="GV103" s="11">
        <v>0</v>
      </c>
      <c r="GW103" s="11">
        <v>0</v>
      </c>
      <c r="GX103" s="11">
        <v>0</v>
      </c>
      <c r="GY103" s="11">
        <v>0</v>
      </c>
      <c r="GZ103" s="11">
        <v>0</v>
      </c>
      <c r="HA103" s="11">
        <v>0</v>
      </c>
      <c r="HB103" s="11">
        <v>0</v>
      </c>
      <c r="HC103" s="11">
        <v>0</v>
      </c>
      <c r="HD103" s="11">
        <v>0</v>
      </c>
      <c r="HE103" s="11">
        <v>0</v>
      </c>
      <c r="HF103" s="11">
        <v>0</v>
      </c>
      <c r="HG103" s="11">
        <v>0</v>
      </c>
      <c r="HH103" s="26">
        <f t="shared" si="62"/>
        <v>0</v>
      </c>
      <c r="HI103" s="11">
        <v>0</v>
      </c>
      <c r="HJ103" s="11">
        <v>0</v>
      </c>
      <c r="HK103" s="11">
        <v>0</v>
      </c>
      <c r="HL103" s="11">
        <v>0</v>
      </c>
      <c r="HM103" s="11">
        <v>0</v>
      </c>
      <c r="HN103" s="11">
        <v>0</v>
      </c>
      <c r="HO103" s="11">
        <v>0</v>
      </c>
      <c r="HP103" s="11">
        <v>0</v>
      </c>
      <c r="HQ103" s="11">
        <v>0</v>
      </c>
      <c r="HR103" s="11">
        <v>0</v>
      </c>
      <c r="HS103" s="11">
        <v>0</v>
      </c>
      <c r="HT103" s="11">
        <v>0</v>
      </c>
      <c r="HU103" s="26">
        <f t="shared" si="63"/>
        <v>0</v>
      </c>
      <c r="HV103" s="11">
        <v>0</v>
      </c>
      <c r="HW103" s="11">
        <v>0</v>
      </c>
      <c r="HX103" s="11">
        <v>0</v>
      </c>
      <c r="HY103" s="11">
        <v>0</v>
      </c>
      <c r="HZ103" s="11">
        <v>0</v>
      </c>
      <c r="IA103" s="11">
        <v>0</v>
      </c>
      <c r="IB103" s="11">
        <v>0</v>
      </c>
      <c r="IC103" s="11">
        <v>0</v>
      </c>
      <c r="ID103" s="11">
        <v>0</v>
      </c>
      <c r="IE103" s="11">
        <v>0</v>
      </c>
      <c r="IF103" s="11">
        <v>0</v>
      </c>
      <c r="IG103" s="11">
        <v>0</v>
      </c>
      <c r="IH103" s="26">
        <f t="shared" si="64"/>
        <v>0</v>
      </c>
      <c r="II103" s="9">
        <f t="shared" si="65"/>
        <v>149215</v>
      </c>
      <c r="IJ103" s="9">
        <f t="shared" si="66"/>
        <v>0</v>
      </c>
      <c r="IK103" s="11"/>
      <c r="IL103" s="11"/>
      <c r="IM103" s="11">
        <v>117494</v>
      </c>
      <c r="IN103" s="11"/>
      <c r="IO103" s="11"/>
      <c r="IP103" s="11">
        <v>126898</v>
      </c>
      <c r="IQ103" s="11"/>
      <c r="IR103" s="11"/>
      <c r="IS103" s="11">
        <v>119309</v>
      </c>
      <c r="IT103" s="11"/>
      <c r="IU103" s="11"/>
      <c r="IV103" s="11">
        <v>114169</v>
      </c>
      <c r="IW103" s="27">
        <f t="shared" si="67"/>
        <v>477870</v>
      </c>
      <c r="IX103" s="11">
        <v>0</v>
      </c>
      <c r="IY103" s="11">
        <v>0</v>
      </c>
      <c r="IZ103" s="11">
        <v>39519</v>
      </c>
      <c r="JA103" s="11">
        <v>0</v>
      </c>
      <c r="JB103" s="11">
        <v>0</v>
      </c>
      <c r="JC103" s="11">
        <v>40183</v>
      </c>
      <c r="JD103" s="11">
        <v>0</v>
      </c>
      <c r="JE103" s="11">
        <v>0</v>
      </c>
      <c r="JF103" s="11">
        <v>37094</v>
      </c>
      <c r="JG103" s="11">
        <v>0</v>
      </c>
      <c r="JH103" s="11">
        <v>0</v>
      </c>
      <c r="JI103" s="11">
        <v>36550</v>
      </c>
      <c r="JJ103" s="27">
        <f t="shared" si="68"/>
        <v>153346</v>
      </c>
      <c r="JK103" s="11">
        <v>0</v>
      </c>
      <c r="JL103" s="11">
        <v>0</v>
      </c>
      <c r="JM103" s="11">
        <v>76997</v>
      </c>
      <c r="JN103" s="11">
        <v>0</v>
      </c>
      <c r="JO103" s="11">
        <v>0</v>
      </c>
      <c r="JP103" s="11">
        <v>85559</v>
      </c>
      <c r="JQ103" s="11">
        <v>0</v>
      </c>
      <c r="JR103" s="11">
        <v>0</v>
      </c>
      <c r="JS103" s="11">
        <v>81066</v>
      </c>
      <c r="JT103" s="11">
        <v>0</v>
      </c>
      <c r="JU103" s="11">
        <v>0</v>
      </c>
      <c r="JV103" s="11">
        <v>76576</v>
      </c>
      <c r="JW103" s="27">
        <f t="shared" si="69"/>
        <v>320198</v>
      </c>
      <c r="JX103" s="11">
        <v>0</v>
      </c>
      <c r="JY103" s="11">
        <v>0</v>
      </c>
      <c r="JZ103" s="11">
        <v>978</v>
      </c>
      <c r="KA103" s="11">
        <v>0</v>
      </c>
      <c r="KB103" s="11">
        <v>0</v>
      </c>
      <c r="KC103" s="11">
        <v>1156</v>
      </c>
      <c r="KD103" s="11">
        <v>0</v>
      </c>
      <c r="KE103" s="11">
        <v>0</v>
      </c>
      <c r="KF103" s="11">
        <v>1149</v>
      </c>
      <c r="KG103" s="11">
        <v>0</v>
      </c>
      <c r="KH103" s="11">
        <v>0</v>
      </c>
      <c r="KI103" s="11">
        <v>1043</v>
      </c>
      <c r="KJ103" s="27">
        <f t="shared" si="70"/>
        <v>4326</v>
      </c>
      <c r="KK103" s="11">
        <v>0</v>
      </c>
      <c r="KL103" s="11">
        <v>0</v>
      </c>
      <c r="KM103" s="11">
        <v>370</v>
      </c>
      <c r="KN103" s="11">
        <v>0</v>
      </c>
      <c r="KO103" s="11">
        <v>0</v>
      </c>
      <c r="KP103" s="11">
        <v>438</v>
      </c>
      <c r="KQ103" s="11">
        <v>0</v>
      </c>
      <c r="KR103" s="11">
        <v>0</v>
      </c>
      <c r="KS103" s="11">
        <v>370</v>
      </c>
      <c r="KT103" s="11">
        <v>0</v>
      </c>
      <c r="KU103" s="11">
        <v>0</v>
      </c>
      <c r="KV103" s="11">
        <v>391</v>
      </c>
      <c r="KW103" s="27">
        <f t="shared" si="71"/>
        <v>1569</v>
      </c>
      <c r="KX103" s="11">
        <v>0</v>
      </c>
      <c r="KY103" s="11">
        <v>0</v>
      </c>
      <c r="KZ103" s="11">
        <v>293</v>
      </c>
      <c r="LA103" s="11">
        <v>0</v>
      </c>
      <c r="LB103" s="11">
        <v>0</v>
      </c>
      <c r="LC103" s="11">
        <v>308</v>
      </c>
      <c r="LD103" s="11">
        <v>0</v>
      </c>
      <c r="LE103" s="11">
        <v>0</v>
      </c>
      <c r="LF103" s="11">
        <v>271</v>
      </c>
      <c r="LG103" s="11">
        <v>0</v>
      </c>
      <c r="LH103" s="11">
        <v>0</v>
      </c>
      <c r="LI103" s="11">
        <v>322</v>
      </c>
      <c r="LJ103" s="27">
        <f t="shared" si="72"/>
        <v>1194</v>
      </c>
      <c r="LK103" s="11">
        <v>0</v>
      </c>
      <c r="LL103" s="11">
        <v>0</v>
      </c>
      <c r="LM103" s="11">
        <v>77</v>
      </c>
      <c r="LN103" s="11">
        <v>0</v>
      </c>
      <c r="LO103" s="11">
        <v>0</v>
      </c>
      <c r="LP103" s="11">
        <v>130</v>
      </c>
      <c r="LQ103" s="11">
        <v>0</v>
      </c>
      <c r="LR103" s="11">
        <v>0</v>
      </c>
      <c r="LS103" s="11">
        <v>99</v>
      </c>
      <c r="LT103" s="11">
        <v>0</v>
      </c>
      <c r="LU103" s="11">
        <v>0</v>
      </c>
      <c r="LV103" s="11">
        <v>69</v>
      </c>
      <c r="LW103" s="27">
        <f t="shared" si="73"/>
        <v>375</v>
      </c>
      <c r="LX103" s="11">
        <v>0</v>
      </c>
      <c r="LY103" s="11">
        <v>0</v>
      </c>
      <c r="LZ103" s="11">
        <v>0</v>
      </c>
      <c r="MA103" s="11">
        <v>0</v>
      </c>
      <c r="MB103" s="11">
        <v>0</v>
      </c>
      <c r="MC103" s="11">
        <v>0</v>
      </c>
      <c r="MD103" s="11">
        <v>0</v>
      </c>
      <c r="ME103" s="11">
        <v>0</v>
      </c>
      <c r="MF103" s="11">
        <v>0</v>
      </c>
      <c r="MG103" s="11">
        <v>0</v>
      </c>
      <c r="MH103" s="11">
        <v>0</v>
      </c>
      <c r="MI103" s="11">
        <v>0</v>
      </c>
      <c r="MJ103" s="27">
        <f t="shared" si="74"/>
        <v>0</v>
      </c>
      <c r="MK103" s="11">
        <v>0</v>
      </c>
      <c r="ML103" s="11">
        <v>0</v>
      </c>
      <c r="MM103" s="11">
        <v>8639</v>
      </c>
      <c r="MN103" s="11">
        <v>0</v>
      </c>
      <c r="MO103" s="11">
        <v>0</v>
      </c>
      <c r="MP103" s="11">
        <v>8706</v>
      </c>
      <c r="MQ103" s="11">
        <v>0</v>
      </c>
      <c r="MR103" s="11">
        <v>0</v>
      </c>
      <c r="MS103" s="11">
        <v>9101</v>
      </c>
      <c r="MT103" s="11">
        <v>0</v>
      </c>
      <c r="MU103" s="11">
        <v>0</v>
      </c>
      <c r="MV103" s="11">
        <v>9720</v>
      </c>
      <c r="MW103" s="27">
        <f t="shared" si="75"/>
        <v>36166</v>
      </c>
      <c r="MX103" s="11">
        <v>0</v>
      </c>
      <c r="MY103" s="11">
        <v>0</v>
      </c>
      <c r="MZ103" s="11">
        <v>6523</v>
      </c>
      <c r="NA103" s="11">
        <v>0</v>
      </c>
      <c r="NB103" s="11">
        <v>0</v>
      </c>
      <c r="NC103" s="11">
        <v>6651</v>
      </c>
      <c r="ND103" s="11">
        <v>0</v>
      </c>
      <c r="NE103" s="11">
        <v>0</v>
      </c>
      <c r="NF103" s="11">
        <v>6741</v>
      </c>
      <c r="NG103" s="11">
        <v>0</v>
      </c>
      <c r="NH103" s="11">
        <v>0</v>
      </c>
      <c r="NI103" s="11">
        <v>6992</v>
      </c>
      <c r="NJ103" s="27">
        <f t="shared" si="76"/>
        <v>26907</v>
      </c>
      <c r="NK103" s="11">
        <v>0</v>
      </c>
      <c r="NL103" s="11">
        <v>0</v>
      </c>
      <c r="NM103" s="11">
        <v>1279</v>
      </c>
      <c r="NN103" s="11">
        <v>0</v>
      </c>
      <c r="NO103" s="11">
        <v>0</v>
      </c>
      <c r="NP103" s="11">
        <v>1293</v>
      </c>
      <c r="NQ103" s="11">
        <v>0</v>
      </c>
      <c r="NR103" s="11">
        <v>0</v>
      </c>
      <c r="NS103" s="11">
        <v>1434</v>
      </c>
      <c r="NT103" s="11">
        <v>0</v>
      </c>
      <c r="NU103" s="11">
        <v>0</v>
      </c>
      <c r="NV103" s="11">
        <v>1702</v>
      </c>
      <c r="NW103" s="27">
        <f t="shared" si="77"/>
        <v>5708</v>
      </c>
      <c r="NX103" s="11">
        <v>0</v>
      </c>
      <c r="NY103" s="11">
        <v>0</v>
      </c>
      <c r="NZ103" s="11">
        <v>837</v>
      </c>
      <c r="OA103" s="11">
        <v>0</v>
      </c>
      <c r="OB103" s="11">
        <v>0</v>
      </c>
      <c r="OC103" s="11">
        <v>762</v>
      </c>
      <c r="OD103" s="11">
        <v>0</v>
      </c>
      <c r="OE103" s="11">
        <v>0</v>
      </c>
      <c r="OF103" s="11">
        <v>926</v>
      </c>
      <c r="OG103" s="11">
        <v>0</v>
      </c>
      <c r="OH103" s="11">
        <v>0</v>
      </c>
      <c r="OI103" s="11">
        <v>1026</v>
      </c>
      <c r="OJ103" s="27">
        <f t="shared" si="78"/>
        <v>3551</v>
      </c>
      <c r="OK103" s="11">
        <v>0</v>
      </c>
      <c r="OL103" s="11">
        <v>0</v>
      </c>
      <c r="OM103" s="11">
        <v>9066</v>
      </c>
      <c r="ON103" s="11">
        <v>0</v>
      </c>
      <c r="OO103" s="11">
        <v>0</v>
      </c>
      <c r="OP103" s="11">
        <v>9735</v>
      </c>
      <c r="OQ103" s="11">
        <v>0</v>
      </c>
      <c r="OR103" s="11">
        <v>0</v>
      </c>
      <c r="OS103" s="11">
        <v>10559</v>
      </c>
      <c r="OT103" s="11">
        <v>0</v>
      </c>
      <c r="OU103" s="11">
        <v>0</v>
      </c>
      <c r="OV103" s="11">
        <v>11850</v>
      </c>
      <c r="OW103" s="27">
        <f t="shared" si="79"/>
        <v>41210</v>
      </c>
      <c r="OX103" s="11">
        <v>0</v>
      </c>
      <c r="OY103" s="11">
        <v>0</v>
      </c>
      <c r="OZ103" s="11">
        <v>6873</v>
      </c>
      <c r="PA103" s="11">
        <v>0</v>
      </c>
      <c r="PB103" s="11">
        <v>0</v>
      </c>
      <c r="PC103" s="11">
        <v>7384</v>
      </c>
      <c r="PD103" s="11">
        <v>0</v>
      </c>
      <c r="PE103" s="11">
        <v>0</v>
      </c>
      <c r="PF103" s="11">
        <v>7993</v>
      </c>
      <c r="PG103" s="11">
        <v>0</v>
      </c>
      <c r="PH103" s="11">
        <v>0</v>
      </c>
      <c r="PI103" s="11">
        <v>9284</v>
      </c>
      <c r="PJ103" s="27">
        <f t="shared" si="80"/>
        <v>31534</v>
      </c>
      <c r="PK103" s="11">
        <v>0</v>
      </c>
      <c r="PL103" s="11">
        <v>0</v>
      </c>
      <c r="PM103" s="11">
        <v>1661</v>
      </c>
      <c r="PN103" s="11">
        <v>0</v>
      </c>
      <c r="PO103" s="11">
        <v>0</v>
      </c>
      <c r="PP103" s="11">
        <v>1723</v>
      </c>
      <c r="PQ103" s="11">
        <v>0</v>
      </c>
      <c r="PR103" s="11">
        <v>0</v>
      </c>
      <c r="PS103" s="11">
        <v>1948</v>
      </c>
      <c r="PT103" s="11">
        <v>0</v>
      </c>
      <c r="PU103" s="11">
        <v>0</v>
      </c>
      <c r="PV103" s="11">
        <v>1971</v>
      </c>
      <c r="PW103" s="27">
        <f t="shared" si="81"/>
        <v>7303</v>
      </c>
      <c r="PX103" s="11">
        <v>0</v>
      </c>
      <c r="PY103" s="11">
        <v>0</v>
      </c>
      <c r="PZ103" s="11">
        <v>532</v>
      </c>
      <c r="QA103" s="11">
        <v>0</v>
      </c>
      <c r="QB103" s="11">
        <v>0</v>
      </c>
      <c r="QC103" s="11">
        <v>628</v>
      </c>
      <c r="QD103" s="11">
        <v>0</v>
      </c>
      <c r="QE103" s="11">
        <v>0</v>
      </c>
      <c r="QF103" s="11">
        <v>618</v>
      </c>
      <c r="QG103" s="11">
        <v>0</v>
      </c>
      <c r="QH103" s="11">
        <v>0</v>
      </c>
      <c r="QI103" s="11">
        <v>595</v>
      </c>
      <c r="QJ103" s="27">
        <f t="shared" si="82"/>
        <v>2373</v>
      </c>
      <c r="QK103" s="11">
        <v>7222</v>
      </c>
      <c r="QL103" s="11">
        <v>9526</v>
      </c>
      <c r="QM103" s="11">
        <v>5635</v>
      </c>
      <c r="QN103" s="11">
        <v>7354</v>
      </c>
      <c r="QO103" s="11">
        <v>8075</v>
      </c>
      <c r="QP103" s="11">
        <v>6193</v>
      </c>
      <c r="QQ103" s="11">
        <v>8220</v>
      </c>
      <c r="QR103" s="11">
        <v>7075</v>
      </c>
      <c r="QS103" s="11">
        <v>4760</v>
      </c>
      <c r="QT103" s="11">
        <v>5979</v>
      </c>
      <c r="QU103" s="11">
        <v>6264</v>
      </c>
      <c r="QV103" s="11">
        <v>7201</v>
      </c>
      <c r="QW103" s="27">
        <f t="shared" si="83"/>
        <v>83504</v>
      </c>
      <c r="QX103" s="11">
        <v>91079</v>
      </c>
      <c r="QY103" s="11">
        <v>101245</v>
      </c>
      <c r="QZ103" s="11">
        <v>86990</v>
      </c>
      <c r="RA103" s="11">
        <v>94677</v>
      </c>
      <c r="RB103" s="11">
        <v>83717</v>
      </c>
      <c r="RC103" s="11">
        <v>85471</v>
      </c>
      <c r="RD103" s="11">
        <v>94993</v>
      </c>
      <c r="RE103" s="11">
        <v>91186</v>
      </c>
      <c r="RF103" s="11">
        <v>73857</v>
      </c>
      <c r="RG103" s="11">
        <v>84311</v>
      </c>
      <c r="RH103" s="11">
        <v>83385</v>
      </c>
      <c r="RI103" s="11">
        <v>89195</v>
      </c>
      <c r="RJ103" s="27">
        <f t="shared" si="84"/>
        <v>1060106</v>
      </c>
      <c r="RK103" s="11">
        <v>0</v>
      </c>
      <c r="RL103" s="11">
        <v>0</v>
      </c>
      <c r="RM103" s="11">
        <v>0</v>
      </c>
      <c r="RN103" s="11">
        <v>0</v>
      </c>
      <c r="RO103" s="11">
        <v>0</v>
      </c>
      <c r="RP103" s="11">
        <v>0</v>
      </c>
      <c r="RQ103" s="11">
        <v>0</v>
      </c>
      <c r="RR103" s="11">
        <v>0</v>
      </c>
      <c r="RS103" s="11">
        <v>0</v>
      </c>
      <c r="RT103" s="11">
        <v>0</v>
      </c>
      <c r="RU103" s="11">
        <v>0</v>
      </c>
      <c r="RV103" s="11">
        <v>0</v>
      </c>
      <c r="RW103" s="27">
        <f t="shared" si="85"/>
        <v>0</v>
      </c>
      <c r="RX103" s="11">
        <v>0</v>
      </c>
      <c r="RY103" s="11">
        <v>0</v>
      </c>
      <c r="RZ103" s="11">
        <v>0</v>
      </c>
      <c r="SA103" s="11">
        <v>0</v>
      </c>
      <c r="SB103" s="11">
        <v>0</v>
      </c>
      <c r="SC103" s="11">
        <v>0</v>
      </c>
      <c r="SD103" s="11">
        <v>0</v>
      </c>
      <c r="SE103" s="11">
        <v>0</v>
      </c>
      <c r="SF103" s="11">
        <v>0</v>
      </c>
      <c r="SG103" s="11">
        <v>0</v>
      </c>
      <c r="SH103" s="11">
        <v>0</v>
      </c>
      <c r="SI103" s="11">
        <v>0</v>
      </c>
      <c r="SJ103" s="27">
        <f t="shared" si="86"/>
        <v>0</v>
      </c>
      <c r="SK103" s="11">
        <v>50</v>
      </c>
      <c r="SL103" s="11">
        <v>57</v>
      </c>
      <c r="SM103" s="11">
        <v>50</v>
      </c>
      <c r="SN103" s="11">
        <v>53</v>
      </c>
      <c r="SO103" s="11">
        <v>53</v>
      </c>
      <c r="SP103" s="11">
        <v>55</v>
      </c>
      <c r="SQ103" s="11">
        <v>52</v>
      </c>
      <c r="SR103" s="11">
        <v>51</v>
      </c>
      <c r="SS103" s="11">
        <v>49</v>
      </c>
      <c r="ST103" s="11">
        <v>44</v>
      </c>
      <c r="SU103" s="11">
        <v>51</v>
      </c>
      <c r="SV103" s="11">
        <v>59</v>
      </c>
      <c r="SW103" s="27">
        <f t="shared" si="87"/>
        <v>624</v>
      </c>
      <c r="SX103" s="11" t="s">
        <v>2743</v>
      </c>
      <c r="SY103" s="11">
        <v>5837</v>
      </c>
      <c r="SZ103" s="11">
        <v>5937</v>
      </c>
      <c r="TA103" s="11">
        <v>5371</v>
      </c>
      <c r="TB103" s="11">
        <v>5469</v>
      </c>
      <c r="TC103" s="11">
        <v>5700</v>
      </c>
      <c r="TD103" s="11">
        <v>6017</v>
      </c>
      <c r="TE103" s="11">
        <v>7026</v>
      </c>
      <c r="TF103" s="11">
        <v>6749</v>
      </c>
      <c r="TG103" s="11">
        <v>5289</v>
      </c>
      <c r="TH103" s="11">
        <v>6092</v>
      </c>
      <c r="TI103" s="11">
        <v>5900</v>
      </c>
      <c r="TJ103" s="11">
        <v>5061</v>
      </c>
      <c r="TK103" s="27">
        <f t="shared" si="88"/>
        <v>70448</v>
      </c>
      <c r="TL103" s="11">
        <v>0</v>
      </c>
      <c r="TM103" s="11">
        <v>0</v>
      </c>
      <c r="TN103" s="11">
        <v>0</v>
      </c>
      <c r="TO103" s="11">
        <v>0</v>
      </c>
      <c r="TP103" s="11">
        <v>0</v>
      </c>
      <c r="TQ103" s="11">
        <v>0</v>
      </c>
      <c r="TR103" s="11">
        <v>0</v>
      </c>
      <c r="TS103" s="11">
        <v>0</v>
      </c>
      <c r="TT103" s="11">
        <v>0</v>
      </c>
      <c r="TU103" s="11">
        <v>0</v>
      </c>
      <c r="TV103" s="11">
        <v>0</v>
      </c>
      <c r="TW103" s="11">
        <v>0</v>
      </c>
      <c r="TX103" s="27">
        <f t="shared" si="89"/>
        <v>0</v>
      </c>
      <c r="TY103" s="11">
        <v>154</v>
      </c>
      <c r="TZ103" s="11">
        <v>0</v>
      </c>
      <c r="UA103" s="11">
        <v>0</v>
      </c>
    </row>
    <row r="104" spans="1:547" ht="16" customHeight="1" x14ac:dyDescent="0.35">
      <c r="A104" s="11" t="s">
        <v>1484</v>
      </c>
      <c r="B104" s="11">
        <v>36639</v>
      </c>
      <c r="C104" s="11">
        <v>11947</v>
      </c>
      <c r="D104" s="11">
        <v>21691</v>
      </c>
      <c r="E104" s="11">
        <v>3001</v>
      </c>
      <c r="F104" s="11">
        <v>406</v>
      </c>
      <c r="G104" s="11">
        <v>417</v>
      </c>
      <c r="H104" s="11">
        <v>435</v>
      </c>
      <c r="I104" s="11">
        <v>444</v>
      </c>
      <c r="J104" s="11">
        <v>452</v>
      </c>
      <c r="K104" s="11">
        <v>475</v>
      </c>
      <c r="L104" s="11">
        <v>492</v>
      </c>
      <c r="M104" s="11">
        <v>510</v>
      </c>
      <c r="N104" s="11">
        <v>400</v>
      </c>
      <c r="O104" s="11">
        <v>457</v>
      </c>
      <c r="P104" s="11" t="s">
        <v>2866</v>
      </c>
      <c r="Q104" s="11">
        <v>487</v>
      </c>
      <c r="R104" s="11">
        <v>566</v>
      </c>
      <c r="S104" s="26">
        <f t="shared" si="45"/>
        <v>5541</v>
      </c>
      <c r="T104" s="11">
        <v>140</v>
      </c>
      <c r="U104" s="11">
        <v>153</v>
      </c>
      <c r="V104" s="11">
        <v>139</v>
      </c>
      <c r="W104" s="11">
        <v>152</v>
      </c>
      <c r="X104" s="11">
        <v>121</v>
      </c>
      <c r="Y104" s="11">
        <v>187</v>
      </c>
      <c r="Z104" s="11">
        <v>168</v>
      </c>
      <c r="AA104" s="11">
        <v>163</v>
      </c>
      <c r="AB104" s="11">
        <v>116</v>
      </c>
      <c r="AC104" s="11">
        <v>180</v>
      </c>
      <c r="AD104" s="11">
        <v>171</v>
      </c>
      <c r="AE104" s="11">
        <v>214</v>
      </c>
      <c r="AF104" s="26">
        <f t="shared" si="46"/>
        <v>1904</v>
      </c>
      <c r="AG104" s="11">
        <v>179</v>
      </c>
      <c r="AH104" s="11">
        <v>165</v>
      </c>
      <c r="AI104" s="11">
        <v>161</v>
      </c>
      <c r="AJ104" s="11">
        <v>178</v>
      </c>
      <c r="AK104" s="11">
        <v>196</v>
      </c>
      <c r="AL104" s="11">
        <v>190</v>
      </c>
      <c r="AM104" s="11">
        <v>200</v>
      </c>
      <c r="AN104" s="11">
        <v>227</v>
      </c>
      <c r="AO104" s="11">
        <v>189</v>
      </c>
      <c r="AP104" s="11">
        <v>192</v>
      </c>
      <c r="AQ104" s="11">
        <v>194</v>
      </c>
      <c r="AR104" s="11">
        <v>208</v>
      </c>
      <c r="AS104" s="26">
        <f t="shared" si="47"/>
        <v>2279</v>
      </c>
      <c r="AT104" s="11">
        <v>87</v>
      </c>
      <c r="AU104" s="11">
        <v>99</v>
      </c>
      <c r="AV104" s="11">
        <v>135</v>
      </c>
      <c r="AW104" s="11">
        <v>114</v>
      </c>
      <c r="AX104" s="11">
        <v>135</v>
      </c>
      <c r="AY104" s="11">
        <v>98</v>
      </c>
      <c r="AZ104" s="11">
        <v>124</v>
      </c>
      <c r="BA104" s="11">
        <v>120</v>
      </c>
      <c r="BB104" s="11">
        <v>95</v>
      </c>
      <c r="BC104" s="11">
        <v>85</v>
      </c>
      <c r="BD104" s="11">
        <v>122</v>
      </c>
      <c r="BE104" s="11">
        <v>144</v>
      </c>
      <c r="BF104" s="26">
        <f t="shared" si="48"/>
        <v>1358</v>
      </c>
      <c r="BG104" s="11">
        <v>0</v>
      </c>
      <c r="BH104" s="11">
        <v>0</v>
      </c>
      <c r="BI104" s="11">
        <v>0</v>
      </c>
      <c r="BJ104" s="11">
        <v>0</v>
      </c>
      <c r="BK104" s="11">
        <v>0</v>
      </c>
      <c r="BL104" s="11">
        <v>0</v>
      </c>
      <c r="BM104" s="11">
        <v>0</v>
      </c>
      <c r="BN104" s="11">
        <v>0</v>
      </c>
      <c r="BO104" s="11">
        <v>0</v>
      </c>
      <c r="BP104" s="11">
        <v>0</v>
      </c>
      <c r="BQ104" s="11">
        <v>0</v>
      </c>
      <c r="BR104" s="11">
        <v>0</v>
      </c>
      <c r="BS104" s="26">
        <f t="shared" si="49"/>
        <v>0</v>
      </c>
      <c r="BT104" s="11">
        <v>0</v>
      </c>
      <c r="BU104" s="11">
        <v>0</v>
      </c>
      <c r="BV104" s="11">
        <v>0</v>
      </c>
      <c r="BW104" s="11">
        <v>0</v>
      </c>
      <c r="BX104" s="11">
        <v>0</v>
      </c>
      <c r="BY104" s="11">
        <v>0</v>
      </c>
      <c r="BZ104" s="11">
        <v>0</v>
      </c>
      <c r="CA104" s="11">
        <v>0</v>
      </c>
      <c r="CB104" s="11">
        <v>0</v>
      </c>
      <c r="CC104" s="11">
        <v>0</v>
      </c>
      <c r="CD104" s="11">
        <v>0</v>
      </c>
      <c r="CE104" s="11">
        <v>0</v>
      </c>
      <c r="CF104" s="26">
        <f t="shared" si="50"/>
        <v>0</v>
      </c>
      <c r="CG104" s="11">
        <v>0</v>
      </c>
      <c r="CH104" s="11">
        <v>0</v>
      </c>
      <c r="CI104" s="11">
        <v>0</v>
      </c>
      <c r="CJ104" s="11">
        <v>0</v>
      </c>
      <c r="CK104" s="11">
        <v>0</v>
      </c>
      <c r="CL104" s="11">
        <v>0</v>
      </c>
      <c r="CM104" s="11">
        <v>0</v>
      </c>
      <c r="CN104" s="11">
        <v>0</v>
      </c>
      <c r="CO104" s="11">
        <v>0</v>
      </c>
      <c r="CP104" s="11">
        <v>0</v>
      </c>
      <c r="CQ104" s="11">
        <v>0</v>
      </c>
      <c r="CR104" s="11">
        <v>0</v>
      </c>
      <c r="CS104" s="26">
        <f t="shared" si="51"/>
        <v>0</v>
      </c>
      <c r="CT104" s="11">
        <v>0</v>
      </c>
      <c r="CU104" s="11">
        <v>0</v>
      </c>
      <c r="CV104" s="11">
        <v>0</v>
      </c>
      <c r="CW104" s="11">
        <v>0</v>
      </c>
      <c r="CX104" s="11">
        <v>0</v>
      </c>
      <c r="CY104" s="11">
        <v>0</v>
      </c>
      <c r="CZ104" s="11">
        <v>0</v>
      </c>
      <c r="DA104" s="11">
        <v>0</v>
      </c>
      <c r="DB104" s="11">
        <v>0</v>
      </c>
      <c r="DC104" s="11">
        <v>0</v>
      </c>
      <c r="DD104" s="11">
        <v>0</v>
      </c>
      <c r="DE104" s="11">
        <v>0</v>
      </c>
      <c r="DF104" s="26">
        <f t="shared" si="52"/>
        <v>0</v>
      </c>
      <c r="DG104" s="11">
        <v>0</v>
      </c>
      <c r="DH104" s="11">
        <v>0</v>
      </c>
      <c r="DI104" s="11">
        <v>0</v>
      </c>
      <c r="DJ104" s="11">
        <v>0</v>
      </c>
      <c r="DK104" s="11">
        <v>0</v>
      </c>
      <c r="DL104" s="11">
        <v>0</v>
      </c>
      <c r="DM104" s="11">
        <v>0</v>
      </c>
      <c r="DN104" s="11">
        <v>0</v>
      </c>
      <c r="DO104" s="11">
        <v>0</v>
      </c>
      <c r="DP104" s="11">
        <v>0</v>
      </c>
      <c r="DQ104" s="11">
        <v>0</v>
      </c>
      <c r="DR104" s="11">
        <v>0</v>
      </c>
      <c r="DS104" s="26">
        <f t="shared" si="53"/>
        <v>0</v>
      </c>
      <c r="DT104" s="11">
        <v>0</v>
      </c>
      <c r="DU104" s="11">
        <v>0</v>
      </c>
      <c r="DV104" s="11">
        <v>0</v>
      </c>
      <c r="DW104" s="11">
        <v>0</v>
      </c>
      <c r="DX104" s="11">
        <v>0</v>
      </c>
      <c r="DY104" s="11">
        <v>0</v>
      </c>
      <c r="DZ104" s="11">
        <v>0</v>
      </c>
      <c r="EA104" s="11">
        <v>0</v>
      </c>
      <c r="EB104" s="11">
        <v>0</v>
      </c>
      <c r="EC104" s="11">
        <v>0</v>
      </c>
      <c r="ED104" s="11">
        <v>0</v>
      </c>
      <c r="EE104" s="11">
        <v>0</v>
      </c>
      <c r="EF104" s="26">
        <f t="shared" si="54"/>
        <v>0</v>
      </c>
      <c r="EG104" s="9">
        <f t="shared" si="55"/>
        <v>5541</v>
      </c>
      <c r="EH104" s="9">
        <f t="shared" si="56"/>
        <v>0</v>
      </c>
      <c r="EI104" s="11">
        <v>6302</v>
      </c>
      <c r="EJ104" s="11">
        <v>5571</v>
      </c>
      <c r="EK104" s="11">
        <v>5845</v>
      </c>
      <c r="EL104" s="11">
        <v>6950</v>
      </c>
      <c r="EM104" s="11">
        <v>5606</v>
      </c>
      <c r="EN104" s="11">
        <v>5558</v>
      </c>
      <c r="EO104" s="11">
        <v>8006</v>
      </c>
      <c r="EP104" s="11">
        <v>6945</v>
      </c>
      <c r="EQ104" s="11">
        <v>5383</v>
      </c>
      <c r="ER104" s="11">
        <v>7017</v>
      </c>
      <c r="ES104" s="11">
        <v>7928</v>
      </c>
      <c r="ET104" s="11">
        <v>8567</v>
      </c>
      <c r="EU104" s="26">
        <f t="shared" si="57"/>
        <v>79678</v>
      </c>
      <c r="EV104" s="11">
        <v>1601</v>
      </c>
      <c r="EW104" s="11">
        <v>1533</v>
      </c>
      <c r="EX104" s="11">
        <v>1399</v>
      </c>
      <c r="EY104" s="11">
        <v>1715</v>
      </c>
      <c r="EZ104" s="11">
        <v>1237</v>
      </c>
      <c r="FA104" s="11">
        <v>1742</v>
      </c>
      <c r="FB104" s="11">
        <v>2211</v>
      </c>
      <c r="FC104" s="11">
        <v>1944</v>
      </c>
      <c r="FD104" s="11">
        <v>1515</v>
      </c>
      <c r="FE104" s="11">
        <v>2431</v>
      </c>
      <c r="FF104" s="11">
        <v>2531</v>
      </c>
      <c r="FG104" s="11">
        <v>3123</v>
      </c>
      <c r="FH104" s="26">
        <f t="shared" si="58"/>
        <v>22982</v>
      </c>
      <c r="FI104" s="11">
        <v>4701</v>
      </c>
      <c r="FJ104" s="11">
        <v>4038</v>
      </c>
      <c r="FK104" s="11">
        <v>4446</v>
      </c>
      <c r="FL104" s="11">
        <v>5235</v>
      </c>
      <c r="FM104" s="11">
        <v>4369</v>
      </c>
      <c r="FN104" s="11">
        <v>4916</v>
      </c>
      <c r="FO104" s="11">
        <v>5795</v>
      </c>
      <c r="FP104" s="11">
        <v>5001</v>
      </c>
      <c r="FQ104" s="11">
        <v>3869</v>
      </c>
      <c r="FR104" s="11">
        <v>4586</v>
      </c>
      <c r="FS104" s="11">
        <v>5397</v>
      </c>
      <c r="FT104" s="11">
        <v>5444</v>
      </c>
      <c r="FU104" s="26">
        <f t="shared" si="59"/>
        <v>57797</v>
      </c>
      <c r="FV104" s="11">
        <v>0</v>
      </c>
      <c r="FW104" s="11">
        <v>0</v>
      </c>
      <c r="FX104" s="11">
        <v>0</v>
      </c>
      <c r="FY104" s="11">
        <v>0</v>
      </c>
      <c r="FZ104" s="11">
        <v>0</v>
      </c>
      <c r="GA104" s="11">
        <v>0</v>
      </c>
      <c r="GB104" s="11">
        <v>0</v>
      </c>
      <c r="GC104" s="11">
        <v>0</v>
      </c>
      <c r="GD104" s="11">
        <v>0</v>
      </c>
      <c r="GE104" s="11">
        <v>0</v>
      </c>
      <c r="GF104" s="11">
        <v>0</v>
      </c>
      <c r="GG104" s="11">
        <v>0</v>
      </c>
      <c r="GH104" s="26">
        <f t="shared" si="60"/>
        <v>0</v>
      </c>
      <c r="GI104" s="11">
        <v>0</v>
      </c>
      <c r="GJ104" s="11">
        <v>0</v>
      </c>
      <c r="GK104" s="11">
        <v>0</v>
      </c>
      <c r="GL104" s="11">
        <v>0</v>
      </c>
      <c r="GM104" s="11">
        <v>0</v>
      </c>
      <c r="GN104" s="11">
        <v>0</v>
      </c>
      <c r="GO104" s="11">
        <v>0</v>
      </c>
      <c r="GP104" s="11">
        <v>0</v>
      </c>
      <c r="GQ104" s="11">
        <v>0</v>
      </c>
      <c r="GR104" s="11">
        <v>0</v>
      </c>
      <c r="GS104" s="11">
        <v>0</v>
      </c>
      <c r="GT104" s="11">
        <v>0</v>
      </c>
      <c r="GU104" s="26">
        <f t="shared" si="61"/>
        <v>0</v>
      </c>
      <c r="GV104" s="11">
        <v>0</v>
      </c>
      <c r="GW104" s="11">
        <v>0</v>
      </c>
      <c r="GX104" s="11">
        <v>0</v>
      </c>
      <c r="GY104" s="11">
        <v>0</v>
      </c>
      <c r="GZ104" s="11">
        <v>0</v>
      </c>
      <c r="HA104" s="11">
        <v>0</v>
      </c>
      <c r="HB104" s="11">
        <v>0</v>
      </c>
      <c r="HC104" s="11">
        <v>0</v>
      </c>
      <c r="HD104" s="11">
        <v>0</v>
      </c>
      <c r="HE104" s="11">
        <v>0</v>
      </c>
      <c r="HF104" s="11">
        <v>0</v>
      </c>
      <c r="HG104" s="11">
        <v>0</v>
      </c>
      <c r="HH104" s="26">
        <f t="shared" si="62"/>
        <v>0</v>
      </c>
      <c r="HI104" s="11">
        <v>0</v>
      </c>
      <c r="HJ104" s="11">
        <v>0</v>
      </c>
      <c r="HK104" s="11">
        <v>0</v>
      </c>
      <c r="HL104" s="11">
        <v>0</v>
      </c>
      <c r="HM104" s="11">
        <v>0</v>
      </c>
      <c r="HN104" s="11">
        <v>0</v>
      </c>
      <c r="HO104" s="11">
        <v>0</v>
      </c>
      <c r="HP104" s="11">
        <v>0</v>
      </c>
      <c r="HQ104" s="11">
        <v>0</v>
      </c>
      <c r="HR104" s="11">
        <v>0</v>
      </c>
      <c r="HS104" s="11">
        <v>0</v>
      </c>
      <c r="HT104" s="11">
        <v>0</v>
      </c>
      <c r="HU104" s="26">
        <f t="shared" si="63"/>
        <v>0</v>
      </c>
      <c r="HV104" s="11">
        <v>0</v>
      </c>
      <c r="HW104" s="11">
        <v>0</v>
      </c>
      <c r="HX104" s="11">
        <v>0</v>
      </c>
      <c r="HY104" s="11">
        <v>0</v>
      </c>
      <c r="HZ104" s="11">
        <v>0</v>
      </c>
      <c r="IA104" s="11">
        <v>0</v>
      </c>
      <c r="IB104" s="11">
        <v>0</v>
      </c>
      <c r="IC104" s="11">
        <v>0</v>
      </c>
      <c r="ID104" s="11">
        <v>0</v>
      </c>
      <c r="IE104" s="11">
        <v>0</v>
      </c>
      <c r="IF104" s="11">
        <v>0</v>
      </c>
      <c r="IG104" s="11">
        <v>0</v>
      </c>
      <c r="IH104" s="26">
        <f t="shared" si="64"/>
        <v>0</v>
      </c>
      <c r="II104" s="9">
        <f t="shared" si="65"/>
        <v>80779</v>
      </c>
      <c r="IJ104" s="9">
        <f t="shared" si="66"/>
        <v>0</v>
      </c>
      <c r="IK104" s="11">
        <v>109333</v>
      </c>
      <c r="IL104" s="11">
        <v>119458</v>
      </c>
      <c r="IM104" s="11">
        <v>108475</v>
      </c>
      <c r="IN104" s="11">
        <v>120449</v>
      </c>
      <c r="IO104" s="11">
        <v>116997</v>
      </c>
      <c r="IP104" s="11">
        <v>116838</v>
      </c>
      <c r="IQ104" s="11">
        <v>118437</v>
      </c>
      <c r="IR104" s="11">
        <v>115535</v>
      </c>
      <c r="IS104" s="11">
        <v>103584</v>
      </c>
      <c r="IT104" s="11">
        <v>117150</v>
      </c>
      <c r="IU104" s="11">
        <v>108220</v>
      </c>
      <c r="IV104" s="11">
        <v>118573</v>
      </c>
      <c r="IW104" s="27">
        <f t="shared" si="67"/>
        <v>1373049</v>
      </c>
      <c r="IX104" s="11">
        <v>51359</v>
      </c>
      <c r="IY104" s="11">
        <v>57884</v>
      </c>
      <c r="IZ104" s="11">
        <v>52542</v>
      </c>
      <c r="JA104" s="11">
        <v>55970</v>
      </c>
      <c r="JB104" s="11">
        <v>58013</v>
      </c>
      <c r="JC104" s="11">
        <v>56088</v>
      </c>
      <c r="JD104" s="11">
        <v>55469</v>
      </c>
      <c r="JE104" s="11">
        <v>54965</v>
      </c>
      <c r="JF104" s="11">
        <v>53045</v>
      </c>
      <c r="JG104" s="11">
        <v>54735</v>
      </c>
      <c r="JH104" s="11">
        <v>51601</v>
      </c>
      <c r="JI104" s="11">
        <v>56935</v>
      </c>
      <c r="JJ104" s="27">
        <f t="shared" si="68"/>
        <v>658606</v>
      </c>
      <c r="JK104" s="11">
        <v>57975</v>
      </c>
      <c r="JL104" s="11">
        <v>61574</v>
      </c>
      <c r="JM104" s="11">
        <v>55933</v>
      </c>
      <c r="JN104" s="11">
        <v>64479</v>
      </c>
      <c r="JO104" s="11">
        <v>59014</v>
      </c>
      <c r="JP104" s="11">
        <v>60750</v>
      </c>
      <c r="JQ104" s="11">
        <v>62968</v>
      </c>
      <c r="JR104" s="11">
        <v>60569</v>
      </c>
      <c r="JS104" s="11">
        <v>50539</v>
      </c>
      <c r="JT104" s="11">
        <v>62415</v>
      </c>
      <c r="JU104" s="11">
        <v>56619</v>
      </c>
      <c r="JV104" s="11">
        <v>61638</v>
      </c>
      <c r="JW104" s="27">
        <f t="shared" si="69"/>
        <v>714473</v>
      </c>
      <c r="JX104" s="11">
        <v>0</v>
      </c>
      <c r="JY104" s="11">
        <v>0</v>
      </c>
      <c r="JZ104" s="11">
        <v>0</v>
      </c>
      <c r="KA104" s="11">
        <v>0</v>
      </c>
      <c r="KB104" s="11">
        <v>0</v>
      </c>
      <c r="KC104" s="11">
        <v>0</v>
      </c>
      <c r="KD104" s="11">
        <v>0</v>
      </c>
      <c r="KE104" s="11">
        <v>0</v>
      </c>
      <c r="KF104" s="11">
        <v>0</v>
      </c>
      <c r="KG104" s="11">
        <v>0</v>
      </c>
      <c r="KH104" s="11">
        <v>0</v>
      </c>
      <c r="KI104" s="11">
        <v>0</v>
      </c>
      <c r="KJ104" s="27">
        <f t="shared" si="70"/>
        <v>0</v>
      </c>
      <c r="KK104" s="11">
        <v>428</v>
      </c>
      <c r="KL104" s="11">
        <v>608</v>
      </c>
      <c r="KM104" s="11">
        <v>491</v>
      </c>
      <c r="KN104" s="11">
        <v>544</v>
      </c>
      <c r="KO104" s="11">
        <v>445</v>
      </c>
      <c r="KP104" s="11">
        <v>565</v>
      </c>
      <c r="KQ104" s="11">
        <v>606</v>
      </c>
      <c r="KR104" s="11">
        <v>493</v>
      </c>
      <c r="KS104" s="11">
        <v>437</v>
      </c>
      <c r="KT104" s="11">
        <v>556</v>
      </c>
      <c r="KU104" s="11">
        <v>448</v>
      </c>
      <c r="KV104" s="11">
        <v>549</v>
      </c>
      <c r="KW104" s="27">
        <f t="shared" si="71"/>
        <v>6170</v>
      </c>
      <c r="KX104" s="11">
        <v>126</v>
      </c>
      <c r="KY104" s="11">
        <v>424</v>
      </c>
      <c r="KZ104" s="11">
        <v>631</v>
      </c>
      <c r="LA104" s="11">
        <v>359</v>
      </c>
      <c r="LB104" s="11">
        <v>259</v>
      </c>
      <c r="LC104" s="11">
        <v>375</v>
      </c>
      <c r="LD104" s="11">
        <v>441</v>
      </c>
      <c r="LE104" s="11">
        <v>341</v>
      </c>
      <c r="LF104" s="11">
        <v>319</v>
      </c>
      <c r="LG104" s="11">
        <v>384</v>
      </c>
      <c r="LH104" s="11">
        <v>311</v>
      </c>
      <c r="LI104" s="11">
        <v>390</v>
      </c>
      <c r="LJ104" s="27">
        <f t="shared" si="72"/>
        <v>4360</v>
      </c>
      <c r="LK104" s="11">
        <v>302</v>
      </c>
      <c r="LL104" s="11">
        <v>184</v>
      </c>
      <c r="LM104" s="11">
        <v>130</v>
      </c>
      <c r="LN104" s="11">
        <v>185</v>
      </c>
      <c r="LO104" s="11">
        <v>186</v>
      </c>
      <c r="LP104" s="11">
        <v>190</v>
      </c>
      <c r="LQ104" s="11">
        <v>165</v>
      </c>
      <c r="LR104" s="11">
        <v>152</v>
      </c>
      <c r="LS104" s="11">
        <v>118</v>
      </c>
      <c r="LT104" s="11">
        <v>172</v>
      </c>
      <c r="LU104" s="11">
        <v>137</v>
      </c>
      <c r="LV104" s="11">
        <v>159</v>
      </c>
      <c r="LW104" s="27">
        <f t="shared" si="73"/>
        <v>2080</v>
      </c>
      <c r="LX104" s="11">
        <v>0</v>
      </c>
      <c r="LY104" s="11">
        <v>0</v>
      </c>
      <c r="LZ104" s="11">
        <v>0</v>
      </c>
      <c r="MA104" s="11">
        <v>0</v>
      </c>
      <c r="MB104" s="11">
        <v>0</v>
      </c>
      <c r="MC104" s="11">
        <v>0</v>
      </c>
      <c r="MD104" s="11">
        <v>0</v>
      </c>
      <c r="ME104" s="11">
        <v>0</v>
      </c>
      <c r="MF104" s="11">
        <v>0</v>
      </c>
      <c r="MG104" s="11">
        <v>0</v>
      </c>
      <c r="MH104" s="11">
        <v>0</v>
      </c>
      <c r="MI104" s="11">
        <v>0</v>
      </c>
      <c r="MJ104" s="27">
        <f t="shared" si="74"/>
        <v>0</v>
      </c>
      <c r="MK104" s="11">
        <v>4276</v>
      </c>
      <c r="ML104" s="11">
        <v>4298</v>
      </c>
      <c r="MM104" s="11">
        <v>4227</v>
      </c>
      <c r="MN104" s="11">
        <v>4659</v>
      </c>
      <c r="MO104" s="11">
        <v>4904</v>
      </c>
      <c r="MP104" s="11">
        <v>3855</v>
      </c>
      <c r="MQ104" s="11">
        <v>4133</v>
      </c>
      <c r="MR104" s="11">
        <v>3738</v>
      </c>
      <c r="MS104" s="11">
        <v>4045</v>
      </c>
      <c r="MT104" s="11">
        <v>4157</v>
      </c>
      <c r="MU104" s="11">
        <v>3779</v>
      </c>
      <c r="MV104" s="11">
        <v>4145</v>
      </c>
      <c r="MW104" s="27">
        <f t="shared" si="75"/>
        <v>50216</v>
      </c>
      <c r="MX104" s="11">
        <v>3579</v>
      </c>
      <c r="MY104" s="11">
        <v>3593</v>
      </c>
      <c r="MZ104" s="11">
        <v>3495</v>
      </c>
      <c r="NA104" s="11">
        <v>3647</v>
      </c>
      <c r="NB104" s="11">
        <v>3835</v>
      </c>
      <c r="NC104" s="11">
        <v>3136</v>
      </c>
      <c r="ND104" s="11">
        <v>3358</v>
      </c>
      <c r="NE104" s="11">
        <v>3065</v>
      </c>
      <c r="NF104" s="11">
        <v>3326</v>
      </c>
      <c r="NG104" s="11">
        <v>3696</v>
      </c>
      <c r="NH104" s="11">
        <v>3108</v>
      </c>
      <c r="NI104" s="11">
        <v>3379</v>
      </c>
      <c r="NJ104" s="27">
        <f t="shared" si="76"/>
        <v>41217</v>
      </c>
      <c r="NK104" s="11">
        <v>697</v>
      </c>
      <c r="NL104" s="11">
        <v>705</v>
      </c>
      <c r="NM104" s="11">
        <v>732</v>
      </c>
      <c r="NN104" s="11">
        <v>1012</v>
      </c>
      <c r="NO104" s="11">
        <v>1069</v>
      </c>
      <c r="NP104" s="11">
        <v>719</v>
      </c>
      <c r="NQ104" s="11">
        <v>775</v>
      </c>
      <c r="NR104" s="11">
        <v>673</v>
      </c>
      <c r="NS104" s="11">
        <v>719</v>
      </c>
      <c r="NT104" s="11">
        <v>461</v>
      </c>
      <c r="NU104" s="11">
        <v>671</v>
      </c>
      <c r="NV104" s="11">
        <v>766</v>
      </c>
      <c r="NW104" s="27">
        <f t="shared" si="77"/>
        <v>8999</v>
      </c>
      <c r="NX104" s="11">
        <v>0</v>
      </c>
      <c r="NY104" s="11">
        <v>0</v>
      </c>
      <c r="NZ104" s="11">
        <v>0</v>
      </c>
      <c r="OA104" s="11">
        <v>0</v>
      </c>
      <c r="OB104" s="11">
        <v>0</v>
      </c>
      <c r="OC104" s="11">
        <v>0</v>
      </c>
      <c r="OD104" s="11">
        <v>0</v>
      </c>
      <c r="OE104" s="11">
        <v>0</v>
      </c>
      <c r="OF104" s="11">
        <v>0</v>
      </c>
      <c r="OG104" s="11">
        <v>0</v>
      </c>
      <c r="OH104" s="11">
        <v>0</v>
      </c>
      <c r="OI104" s="11">
        <v>0</v>
      </c>
      <c r="OJ104" s="27">
        <f t="shared" si="78"/>
        <v>0</v>
      </c>
      <c r="OK104" s="11">
        <v>3957</v>
      </c>
      <c r="OL104" s="11">
        <v>3974</v>
      </c>
      <c r="OM104" s="11">
        <v>3717</v>
      </c>
      <c r="ON104" s="11">
        <v>4044</v>
      </c>
      <c r="OO104" s="11">
        <v>4369</v>
      </c>
      <c r="OP104" s="11">
        <v>3753</v>
      </c>
      <c r="OQ104" s="11">
        <v>3850</v>
      </c>
      <c r="OR104" s="11">
        <v>3646</v>
      </c>
      <c r="OS104" s="11">
        <v>4027</v>
      </c>
      <c r="OT104" s="11">
        <v>4470</v>
      </c>
      <c r="OU104" s="11">
        <v>4210</v>
      </c>
      <c r="OV104" s="11">
        <v>4392</v>
      </c>
      <c r="OW104" s="27">
        <f t="shared" si="79"/>
        <v>48409</v>
      </c>
      <c r="OX104" s="11">
        <v>3392</v>
      </c>
      <c r="OY104" s="11">
        <v>3337</v>
      </c>
      <c r="OZ104" s="11">
        <v>3144</v>
      </c>
      <c r="PA104" s="11">
        <v>3445</v>
      </c>
      <c r="PB104" s="11">
        <v>3551</v>
      </c>
      <c r="PC104" s="11">
        <v>3172</v>
      </c>
      <c r="PD104" s="11">
        <v>3255</v>
      </c>
      <c r="PE104" s="11">
        <v>3118</v>
      </c>
      <c r="PF104" s="11">
        <v>3402</v>
      </c>
      <c r="PG104" s="11">
        <v>4097</v>
      </c>
      <c r="PH104" s="11">
        <v>3674</v>
      </c>
      <c r="PI104" s="11">
        <v>3842</v>
      </c>
      <c r="PJ104" s="27">
        <f t="shared" si="80"/>
        <v>41429</v>
      </c>
      <c r="PK104" s="11">
        <v>565</v>
      </c>
      <c r="PL104" s="11">
        <v>637</v>
      </c>
      <c r="PM104" s="11">
        <v>573</v>
      </c>
      <c r="PN104" s="11">
        <v>533</v>
      </c>
      <c r="PO104" s="11">
        <v>818</v>
      </c>
      <c r="PP104" s="11">
        <v>581</v>
      </c>
      <c r="PQ104" s="11">
        <v>595</v>
      </c>
      <c r="PR104" s="11">
        <v>528</v>
      </c>
      <c r="PS104" s="11">
        <v>615</v>
      </c>
      <c r="PT104" s="11">
        <v>373</v>
      </c>
      <c r="PU104" s="11">
        <v>536</v>
      </c>
      <c r="PV104" s="11">
        <v>550</v>
      </c>
      <c r="PW104" s="27">
        <f t="shared" si="81"/>
        <v>6904</v>
      </c>
      <c r="PX104" s="11">
        <v>0</v>
      </c>
      <c r="PY104" s="11">
        <v>0</v>
      </c>
      <c r="PZ104" s="11">
        <v>0</v>
      </c>
      <c r="QA104" s="11">
        <v>0</v>
      </c>
      <c r="QB104" s="11">
        <v>0</v>
      </c>
      <c r="QC104" s="11">
        <v>0</v>
      </c>
      <c r="QD104" s="11">
        <v>0</v>
      </c>
      <c r="QE104" s="11">
        <v>0</v>
      </c>
      <c r="QF104" s="11">
        <v>0</v>
      </c>
      <c r="QG104" s="11">
        <v>0</v>
      </c>
      <c r="QH104" s="11">
        <v>0</v>
      </c>
      <c r="QI104" s="11">
        <v>0</v>
      </c>
      <c r="QJ104" s="27">
        <f t="shared" si="82"/>
        <v>0</v>
      </c>
      <c r="QK104" s="11">
        <v>109431</v>
      </c>
      <c r="QL104" s="11">
        <v>115779</v>
      </c>
      <c r="QM104" s="11">
        <v>99830</v>
      </c>
      <c r="QN104" s="11">
        <v>106543</v>
      </c>
      <c r="QO104" s="11">
        <v>92449</v>
      </c>
      <c r="QP104" s="11">
        <v>103868</v>
      </c>
      <c r="QQ104" s="11">
        <v>115089</v>
      </c>
      <c r="QR104" s="11">
        <v>111775</v>
      </c>
      <c r="QS104" s="11">
        <v>93466</v>
      </c>
      <c r="QT104" s="11">
        <v>115310</v>
      </c>
      <c r="QU104" s="11">
        <v>111405</v>
      </c>
      <c r="QV104" s="11">
        <v>117155</v>
      </c>
      <c r="QW104" s="27">
        <f t="shared" si="83"/>
        <v>1292100</v>
      </c>
      <c r="QX104" s="11">
        <v>0</v>
      </c>
      <c r="QY104" s="11">
        <v>0</v>
      </c>
      <c r="QZ104" s="11">
        <v>0</v>
      </c>
      <c r="RA104" s="11">
        <v>0</v>
      </c>
      <c r="RB104" s="11">
        <v>0</v>
      </c>
      <c r="RC104" s="11">
        <v>0</v>
      </c>
      <c r="RD104" s="11">
        <v>0</v>
      </c>
      <c r="RE104" s="11">
        <v>0</v>
      </c>
      <c r="RF104" s="11">
        <v>0</v>
      </c>
      <c r="RG104" s="11">
        <v>0</v>
      </c>
      <c r="RH104" s="11">
        <v>0</v>
      </c>
      <c r="RI104" s="11">
        <v>0</v>
      </c>
      <c r="RJ104" s="27">
        <f t="shared" si="84"/>
        <v>0</v>
      </c>
      <c r="RK104" s="11">
        <v>0</v>
      </c>
      <c r="RL104" s="11">
        <v>0</v>
      </c>
      <c r="RM104" s="11">
        <v>0</v>
      </c>
      <c r="RN104" s="11">
        <v>0</v>
      </c>
      <c r="RO104" s="11">
        <v>0</v>
      </c>
      <c r="RP104" s="11">
        <v>0</v>
      </c>
      <c r="RQ104" s="11">
        <v>0</v>
      </c>
      <c r="RR104" s="11">
        <v>0</v>
      </c>
      <c r="RS104" s="11">
        <v>0</v>
      </c>
      <c r="RT104" s="11">
        <v>0</v>
      </c>
      <c r="RU104" s="11">
        <v>0</v>
      </c>
      <c r="RV104" s="11">
        <v>0</v>
      </c>
      <c r="RW104" s="27">
        <f t="shared" si="85"/>
        <v>0</v>
      </c>
      <c r="RX104" s="11">
        <v>0</v>
      </c>
      <c r="RY104" s="11">
        <v>0</v>
      </c>
      <c r="RZ104" s="11">
        <v>0</v>
      </c>
      <c r="SA104" s="11">
        <v>0</v>
      </c>
      <c r="SB104" s="11">
        <v>0</v>
      </c>
      <c r="SC104" s="11">
        <v>0</v>
      </c>
      <c r="SD104" s="11">
        <v>0</v>
      </c>
      <c r="SE104" s="11">
        <v>0</v>
      </c>
      <c r="SF104" s="11">
        <v>0</v>
      </c>
      <c r="SG104" s="11">
        <v>0</v>
      </c>
      <c r="SH104" s="11">
        <v>0</v>
      </c>
      <c r="SI104" s="11">
        <v>0</v>
      </c>
      <c r="SJ104" s="27">
        <f t="shared" si="86"/>
        <v>0</v>
      </c>
      <c r="SK104" s="11">
        <v>52</v>
      </c>
      <c r="SL104" s="11">
        <v>130</v>
      </c>
      <c r="SM104" s="11">
        <v>120</v>
      </c>
      <c r="SN104" s="11">
        <v>178</v>
      </c>
      <c r="SO104" s="11">
        <v>95</v>
      </c>
      <c r="SP104" s="11">
        <v>121</v>
      </c>
      <c r="SQ104" s="11">
        <v>115</v>
      </c>
      <c r="SR104" s="11">
        <v>112</v>
      </c>
      <c r="SS104" s="11">
        <v>84</v>
      </c>
      <c r="ST104" s="11">
        <v>110</v>
      </c>
      <c r="SU104" s="11">
        <v>119</v>
      </c>
      <c r="SV104" s="11">
        <v>128</v>
      </c>
      <c r="SW104" s="27">
        <f t="shared" si="87"/>
        <v>1364</v>
      </c>
      <c r="SX104" s="11" t="s">
        <v>2744</v>
      </c>
      <c r="SY104" s="11">
        <v>9626</v>
      </c>
      <c r="SZ104" s="11">
        <v>9393</v>
      </c>
      <c r="TA104" s="11">
        <v>9946</v>
      </c>
      <c r="TB104" s="11">
        <v>10334</v>
      </c>
      <c r="TC104" s="11">
        <v>9893</v>
      </c>
      <c r="TD104" s="11">
        <v>9327</v>
      </c>
      <c r="TE104" s="11">
        <v>10552</v>
      </c>
      <c r="TF104" s="11">
        <v>9769</v>
      </c>
      <c r="TG104" s="11">
        <v>8094</v>
      </c>
      <c r="TH104" s="11">
        <v>9275</v>
      </c>
      <c r="TI104" s="11">
        <v>9130</v>
      </c>
      <c r="TJ104" s="11">
        <v>9855</v>
      </c>
      <c r="TK104" s="27">
        <f t="shared" si="88"/>
        <v>115194</v>
      </c>
      <c r="TL104" s="11">
        <v>11274</v>
      </c>
      <c r="TM104" s="11">
        <v>10777</v>
      </c>
      <c r="TN104" s="11">
        <v>8724</v>
      </c>
      <c r="TO104" s="11">
        <v>7259</v>
      </c>
      <c r="TP104" s="11">
        <v>6607</v>
      </c>
      <c r="TQ104" s="11">
        <v>7642</v>
      </c>
      <c r="TR104" s="11">
        <v>8776</v>
      </c>
      <c r="TS104" s="11">
        <v>8266</v>
      </c>
      <c r="TT104" s="11">
        <v>6592</v>
      </c>
      <c r="TU104" s="11">
        <v>10233</v>
      </c>
      <c r="TV104" s="11">
        <v>9148</v>
      </c>
      <c r="TW104" s="11">
        <v>11104</v>
      </c>
      <c r="TX104" s="27">
        <f t="shared" si="89"/>
        <v>106402</v>
      </c>
      <c r="TY104" s="11">
        <v>253</v>
      </c>
      <c r="TZ104" s="11">
        <v>30</v>
      </c>
      <c r="UA104" s="11">
        <v>1883</v>
      </c>
    </row>
    <row r="105" spans="1:547" ht="16" customHeight="1" x14ac:dyDescent="0.35">
      <c r="A105" s="11" t="s">
        <v>1496</v>
      </c>
      <c r="B105" s="11">
        <v>16850</v>
      </c>
      <c r="C105" s="11"/>
      <c r="D105" s="11"/>
      <c r="E105" s="11"/>
      <c r="F105" s="11">
        <v>0</v>
      </c>
      <c r="G105" s="11">
        <v>0</v>
      </c>
      <c r="H105" s="11">
        <v>982</v>
      </c>
      <c r="I105" s="11">
        <v>0</v>
      </c>
      <c r="J105" s="11">
        <v>0</v>
      </c>
      <c r="K105" s="11">
        <v>843</v>
      </c>
      <c r="L105" s="11">
        <v>0</v>
      </c>
      <c r="M105" s="11">
        <v>0</v>
      </c>
      <c r="N105" s="11">
        <v>988</v>
      </c>
      <c r="O105" s="11">
        <v>0</v>
      </c>
      <c r="P105" s="11" t="s">
        <v>2865</v>
      </c>
      <c r="Q105" s="11">
        <v>0</v>
      </c>
      <c r="R105" s="11">
        <v>1128</v>
      </c>
      <c r="S105" s="26">
        <f t="shared" si="45"/>
        <v>3941</v>
      </c>
      <c r="T105" s="11">
        <v>0</v>
      </c>
      <c r="U105" s="11">
        <v>0</v>
      </c>
      <c r="V105" s="11">
        <v>0</v>
      </c>
      <c r="W105" s="11">
        <v>0</v>
      </c>
      <c r="X105" s="11">
        <v>0</v>
      </c>
      <c r="Y105" s="11">
        <v>0</v>
      </c>
      <c r="Z105" s="11">
        <v>0</v>
      </c>
      <c r="AA105" s="11">
        <v>0</v>
      </c>
      <c r="AB105" s="11">
        <v>0</v>
      </c>
      <c r="AC105" s="11">
        <v>0</v>
      </c>
      <c r="AD105" s="11">
        <v>0</v>
      </c>
      <c r="AE105" s="11">
        <v>0</v>
      </c>
      <c r="AF105" s="26">
        <f t="shared" si="46"/>
        <v>0</v>
      </c>
      <c r="AG105" s="11">
        <v>0</v>
      </c>
      <c r="AH105" s="11">
        <v>0</v>
      </c>
      <c r="AI105" s="11">
        <v>0</v>
      </c>
      <c r="AJ105" s="11">
        <v>0</v>
      </c>
      <c r="AK105" s="11">
        <v>0</v>
      </c>
      <c r="AL105" s="11">
        <v>0</v>
      </c>
      <c r="AM105" s="11">
        <v>0</v>
      </c>
      <c r="AN105" s="11">
        <v>0</v>
      </c>
      <c r="AO105" s="11">
        <v>0</v>
      </c>
      <c r="AP105" s="11">
        <v>0</v>
      </c>
      <c r="AQ105" s="11">
        <v>0</v>
      </c>
      <c r="AR105" s="11">
        <v>0</v>
      </c>
      <c r="AS105" s="26">
        <f t="shared" si="47"/>
        <v>0</v>
      </c>
      <c r="AT105" s="11">
        <v>0</v>
      </c>
      <c r="AU105" s="11">
        <v>0</v>
      </c>
      <c r="AV105" s="11">
        <v>0</v>
      </c>
      <c r="AW105" s="11">
        <v>0</v>
      </c>
      <c r="AX105" s="11">
        <v>0</v>
      </c>
      <c r="AY105" s="11">
        <v>0</v>
      </c>
      <c r="AZ105" s="11">
        <v>0</v>
      </c>
      <c r="BA105" s="11">
        <v>0</v>
      </c>
      <c r="BB105" s="11">
        <v>0</v>
      </c>
      <c r="BC105" s="11">
        <v>0</v>
      </c>
      <c r="BD105" s="11">
        <v>0</v>
      </c>
      <c r="BE105" s="11">
        <v>0</v>
      </c>
      <c r="BF105" s="26">
        <f t="shared" si="48"/>
        <v>0</v>
      </c>
      <c r="BG105" s="11">
        <v>0</v>
      </c>
      <c r="BH105" s="11">
        <v>0</v>
      </c>
      <c r="BI105" s="11">
        <v>0</v>
      </c>
      <c r="BJ105" s="11">
        <v>0</v>
      </c>
      <c r="BK105" s="11">
        <v>0</v>
      </c>
      <c r="BL105" s="11">
        <v>0</v>
      </c>
      <c r="BM105" s="11">
        <v>0</v>
      </c>
      <c r="BN105" s="11">
        <v>0</v>
      </c>
      <c r="BO105" s="11">
        <v>0</v>
      </c>
      <c r="BP105" s="11">
        <v>0</v>
      </c>
      <c r="BQ105" s="11">
        <v>0</v>
      </c>
      <c r="BR105" s="11">
        <v>0</v>
      </c>
      <c r="BS105" s="26">
        <f t="shared" si="49"/>
        <v>0</v>
      </c>
      <c r="BT105" s="11">
        <v>0</v>
      </c>
      <c r="BU105" s="11">
        <v>0</v>
      </c>
      <c r="BV105" s="11">
        <v>0</v>
      </c>
      <c r="BW105" s="11">
        <v>0</v>
      </c>
      <c r="BX105" s="11">
        <v>0</v>
      </c>
      <c r="BY105" s="11">
        <v>0</v>
      </c>
      <c r="BZ105" s="11">
        <v>0</v>
      </c>
      <c r="CA105" s="11">
        <v>0</v>
      </c>
      <c r="CB105" s="11">
        <v>0</v>
      </c>
      <c r="CC105" s="11">
        <v>0</v>
      </c>
      <c r="CD105" s="11">
        <v>0</v>
      </c>
      <c r="CE105" s="11">
        <v>0</v>
      </c>
      <c r="CF105" s="26">
        <f t="shared" si="50"/>
        <v>0</v>
      </c>
      <c r="CG105" s="11">
        <v>0</v>
      </c>
      <c r="CH105" s="11">
        <v>0</v>
      </c>
      <c r="CI105" s="11">
        <v>0</v>
      </c>
      <c r="CJ105" s="11">
        <v>0</v>
      </c>
      <c r="CK105" s="11">
        <v>0</v>
      </c>
      <c r="CL105" s="11">
        <v>0</v>
      </c>
      <c r="CM105" s="11">
        <v>0</v>
      </c>
      <c r="CN105" s="11">
        <v>0</v>
      </c>
      <c r="CO105" s="11">
        <v>0</v>
      </c>
      <c r="CP105" s="11">
        <v>0</v>
      </c>
      <c r="CQ105" s="11">
        <v>0</v>
      </c>
      <c r="CR105" s="11">
        <v>0</v>
      </c>
      <c r="CS105" s="26">
        <f t="shared" si="51"/>
        <v>0</v>
      </c>
      <c r="CT105" s="11">
        <v>0</v>
      </c>
      <c r="CU105" s="11">
        <v>0</v>
      </c>
      <c r="CV105" s="11">
        <v>0</v>
      </c>
      <c r="CW105" s="11">
        <v>0</v>
      </c>
      <c r="CX105" s="11">
        <v>0</v>
      </c>
      <c r="CY105" s="11">
        <v>0</v>
      </c>
      <c r="CZ105" s="11">
        <v>0</v>
      </c>
      <c r="DA105" s="11">
        <v>0</v>
      </c>
      <c r="DB105" s="11">
        <v>0</v>
      </c>
      <c r="DC105" s="11">
        <v>0</v>
      </c>
      <c r="DD105" s="11">
        <v>0</v>
      </c>
      <c r="DE105" s="11">
        <v>0</v>
      </c>
      <c r="DF105" s="26">
        <f t="shared" si="52"/>
        <v>0</v>
      </c>
      <c r="DG105" s="11">
        <v>0</v>
      </c>
      <c r="DH105" s="11">
        <v>0</v>
      </c>
      <c r="DI105" s="11">
        <v>0</v>
      </c>
      <c r="DJ105" s="11">
        <v>0</v>
      </c>
      <c r="DK105" s="11">
        <v>0</v>
      </c>
      <c r="DL105" s="11">
        <v>0</v>
      </c>
      <c r="DM105" s="11">
        <v>0</v>
      </c>
      <c r="DN105" s="11">
        <v>0</v>
      </c>
      <c r="DO105" s="11">
        <v>0</v>
      </c>
      <c r="DP105" s="11">
        <v>0</v>
      </c>
      <c r="DQ105" s="11">
        <v>0</v>
      </c>
      <c r="DR105" s="11">
        <v>0</v>
      </c>
      <c r="DS105" s="26">
        <f t="shared" si="53"/>
        <v>0</v>
      </c>
      <c r="DT105" s="11">
        <v>0</v>
      </c>
      <c r="DU105" s="11">
        <v>0</v>
      </c>
      <c r="DV105" s="11">
        <v>0</v>
      </c>
      <c r="DW105" s="11">
        <v>0</v>
      </c>
      <c r="DX105" s="11">
        <v>0</v>
      </c>
      <c r="DY105" s="11">
        <v>0</v>
      </c>
      <c r="DZ105" s="11">
        <v>0</v>
      </c>
      <c r="EA105" s="11">
        <v>0</v>
      </c>
      <c r="EB105" s="11">
        <v>0</v>
      </c>
      <c r="EC105" s="11">
        <v>0</v>
      </c>
      <c r="ED105" s="11">
        <v>0</v>
      </c>
      <c r="EE105" s="11">
        <v>0</v>
      </c>
      <c r="EF105" s="26">
        <f t="shared" si="54"/>
        <v>0</v>
      </c>
      <c r="EG105" s="9">
        <f t="shared" si="55"/>
        <v>0</v>
      </c>
      <c r="EH105" s="9">
        <f t="shared" si="56"/>
        <v>0</v>
      </c>
      <c r="EI105" s="11">
        <v>0</v>
      </c>
      <c r="EJ105" s="11">
        <v>0</v>
      </c>
      <c r="EK105" s="11">
        <v>9756</v>
      </c>
      <c r="EL105" s="11">
        <v>0</v>
      </c>
      <c r="EM105" s="11">
        <v>0</v>
      </c>
      <c r="EN105" s="11">
        <v>9278</v>
      </c>
      <c r="EO105" s="11">
        <v>0</v>
      </c>
      <c r="EP105" s="11">
        <v>0</v>
      </c>
      <c r="EQ105" s="11">
        <v>8844</v>
      </c>
      <c r="ER105" s="11">
        <v>0</v>
      </c>
      <c r="ES105" s="11">
        <v>0</v>
      </c>
      <c r="ET105" s="11">
        <v>11737</v>
      </c>
      <c r="EU105" s="26">
        <f t="shared" si="57"/>
        <v>39615</v>
      </c>
      <c r="EV105" s="11">
        <v>0</v>
      </c>
      <c r="EW105" s="11">
        <v>0</v>
      </c>
      <c r="EX105" s="11">
        <v>0</v>
      </c>
      <c r="EY105" s="11">
        <v>0</v>
      </c>
      <c r="EZ105" s="11">
        <v>0</v>
      </c>
      <c r="FA105" s="11">
        <v>0</v>
      </c>
      <c r="FB105" s="11">
        <v>0</v>
      </c>
      <c r="FC105" s="11">
        <v>0</v>
      </c>
      <c r="FD105" s="11">
        <v>0</v>
      </c>
      <c r="FE105" s="11">
        <v>0</v>
      </c>
      <c r="FF105" s="11">
        <v>0</v>
      </c>
      <c r="FG105" s="11">
        <v>0</v>
      </c>
      <c r="FH105" s="26">
        <f t="shared" si="58"/>
        <v>0</v>
      </c>
      <c r="FI105" s="11">
        <v>0</v>
      </c>
      <c r="FJ105" s="11">
        <v>0</v>
      </c>
      <c r="FK105" s="11">
        <v>0</v>
      </c>
      <c r="FL105" s="11">
        <v>0</v>
      </c>
      <c r="FM105" s="11">
        <v>0</v>
      </c>
      <c r="FN105" s="11">
        <v>0</v>
      </c>
      <c r="FO105" s="11">
        <v>0</v>
      </c>
      <c r="FP105" s="11">
        <v>0</v>
      </c>
      <c r="FQ105" s="11">
        <v>0</v>
      </c>
      <c r="FR105" s="11">
        <v>0</v>
      </c>
      <c r="FS105" s="11">
        <v>0</v>
      </c>
      <c r="FT105" s="11">
        <v>0</v>
      </c>
      <c r="FU105" s="26">
        <f t="shared" si="59"/>
        <v>0</v>
      </c>
      <c r="FV105" s="11">
        <v>0</v>
      </c>
      <c r="FW105" s="11">
        <v>0</v>
      </c>
      <c r="FX105" s="11">
        <v>0</v>
      </c>
      <c r="FY105" s="11">
        <v>0</v>
      </c>
      <c r="FZ105" s="11">
        <v>0</v>
      </c>
      <c r="GA105" s="11">
        <v>0</v>
      </c>
      <c r="GB105" s="11">
        <v>0</v>
      </c>
      <c r="GC105" s="11">
        <v>0</v>
      </c>
      <c r="GD105" s="11">
        <v>0</v>
      </c>
      <c r="GE105" s="11">
        <v>0</v>
      </c>
      <c r="GF105" s="11">
        <v>0</v>
      </c>
      <c r="GG105" s="11">
        <v>0</v>
      </c>
      <c r="GH105" s="26">
        <f t="shared" si="60"/>
        <v>0</v>
      </c>
      <c r="GI105" s="11">
        <v>0</v>
      </c>
      <c r="GJ105" s="11">
        <v>0</v>
      </c>
      <c r="GK105" s="11">
        <v>0</v>
      </c>
      <c r="GL105" s="11">
        <v>0</v>
      </c>
      <c r="GM105" s="11">
        <v>0</v>
      </c>
      <c r="GN105" s="11">
        <v>0</v>
      </c>
      <c r="GO105" s="11">
        <v>0</v>
      </c>
      <c r="GP105" s="11">
        <v>0</v>
      </c>
      <c r="GQ105" s="11">
        <v>0</v>
      </c>
      <c r="GR105" s="11">
        <v>0</v>
      </c>
      <c r="GS105" s="11">
        <v>0</v>
      </c>
      <c r="GT105" s="11">
        <v>0</v>
      </c>
      <c r="GU105" s="26">
        <f t="shared" si="61"/>
        <v>0</v>
      </c>
      <c r="GV105" s="11">
        <v>0</v>
      </c>
      <c r="GW105" s="11">
        <v>0</v>
      </c>
      <c r="GX105" s="11">
        <v>0</v>
      </c>
      <c r="GY105" s="11">
        <v>0</v>
      </c>
      <c r="GZ105" s="11">
        <v>0</v>
      </c>
      <c r="HA105" s="11">
        <v>0</v>
      </c>
      <c r="HB105" s="11">
        <v>0</v>
      </c>
      <c r="HC105" s="11">
        <v>0</v>
      </c>
      <c r="HD105" s="11">
        <v>0</v>
      </c>
      <c r="HE105" s="11">
        <v>0</v>
      </c>
      <c r="HF105" s="11">
        <v>0</v>
      </c>
      <c r="HG105" s="11">
        <v>0</v>
      </c>
      <c r="HH105" s="26">
        <f t="shared" si="62"/>
        <v>0</v>
      </c>
      <c r="HI105" s="11">
        <v>0</v>
      </c>
      <c r="HJ105" s="11">
        <v>0</v>
      </c>
      <c r="HK105" s="11">
        <v>0</v>
      </c>
      <c r="HL105" s="11">
        <v>0</v>
      </c>
      <c r="HM105" s="11">
        <v>0</v>
      </c>
      <c r="HN105" s="11">
        <v>0</v>
      </c>
      <c r="HO105" s="11">
        <v>0</v>
      </c>
      <c r="HP105" s="11">
        <v>0</v>
      </c>
      <c r="HQ105" s="11">
        <v>0</v>
      </c>
      <c r="HR105" s="11">
        <v>0</v>
      </c>
      <c r="HS105" s="11">
        <v>0</v>
      </c>
      <c r="HT105" s="11">
        <v>0</v>
      </c>
      <c r="HU105" s="26">
        <f t="shared" si="63"/>
        <v>0</v>
      </c>
      <c r="HV105" s="11">
        <v>0</v>
      </c>
      <c r="HW105" s="11">
        <v>0</v>
      </c>
      <c r="HX105" s="11">
        <v>0</v>
      </c>
      <c r="HY105" s="11">
        <v>0</v>
      </c>
      <c r="HZ105" s="11">
        <v>0</v>
      </c>
      <c r="IA105" s="11">
        <v>0</v>
      </c>
      <c r="IB105" s="11">
        <v>0</v>
      </c>
      <c r="IC105" s="11">
        <v>0</v>
      </c>
      <c r="ID105" s="11">
        <v>0</v>
      </c>
      <c r="IE105" s="11">
        <v>0</v>
      </c>
      <c r="IF105" s="11">
        <v>0</v>
      </c>
      <c r="IG105" s="11">
        <v>0</v>
      </c>
      <c r="IH105" s="26">
        <f t="shared" si="64"/>
        <v>0</v>
      </c>
      <c r="II105" s="9">
        <f t="shared" si="65"/>
        <v>0</v>
      </c>
      <c r="IJ105" s="9">
        <f t="shared" si="66"/>
        <v>0</v>
      </c>
      <c r="IK105" s="11">
        <v>0</v>
      </c>
      <c r="IL105" s="11">
        <v>0</v>
      </c>
      <c r="IM105" s="11">
        <v>67017</v>
      </c>
      <c r="IN105" s="11">
        <v>0</v>
      </c>
      <c r="IO105" s="11">
        <v>0</v>
      </c>
      <c r="IP105" s="11">
        <v>76897</v>
      </c>
      <c r="IQ105" s="11">
        <v>0</v>
      </c>
      <c r="IR105" s="11">
        <v>0</v>
      </c>
      <c r="IS105" s="11">
        <v>58557</v>
      </c>
      <c r="IT105" s="11">
        <v>0</v>
      </c>
      <c r="IU105" s="11">
        <v>0</v>
      </c>
      <c r="IV105" s="11">
        <v>64095</v>
      </c>
      <c r="IW105" s="27">
        <f t="shared" si="67"/>
        <v>266566</v>
      </c>
      <c r="IX105" s="11">
        <v>0</v>
      </c>
      <c r="IY105" s="11">
        <v>0</v>
      </c>
      <c r="IZ105" s="11">
        <v>0</v>
      </c>
      <c r="JA105" s="11">
        <v>0</v>
      </c>
      <c r="JB105" s="11">
        <v>0</v>
      </c>
      <c r="JC105" s="11">
        <v>0</v>
      </c>
      <c r="JD105" s="11">
        <v>0</v>
      </c>
      <c r="JE105" s="11">
        <v>0</v>
      </c>
      <c r="JF105" s="11">
        <v>0</v>
      </c>
      <c r="JG105" s="11">
        <v>0</v>
      </c>
      <c r="JH105" s="11">
        <v>0</v>
      </c>
      <c r="JI105" s="11">
        <v>0</v>
      </c>
      <c r="JJ105" s="27">
        <f t="shared" si="68"/>
        <v>0</v>
      </c>
      <c r="JK105" s="11">
        <v>0</v>
      </c>
      <c r="JL105" s="11">
        <v>0</v>
      </c>
      <c r="JM105" s="11">
        <v>0</v>
      </c>
      <c r="JN105" s="11">
        <v>0</v>
      </c>
      <c r="JO105" s="11">
        <v>0</v>
      </c>
      <c r="JP105" s="11">
        <v>0</v>
      </c>
      <c r="JQ105" s="11">
        <v>0</v>
      </c>
      <c r="JR105" s="11">
        <v>0</v>
      </c>
      <c r="JS105" s="11">
        <v>0</v>
      </c>
      <c r="JT105" s="11">
        <v>0</v>
      </c>
      <c r="JU105" s="11">
        <v>0</v>
      </c>
      <c r="JV105" s="11">
        <v>0</v>
      </c>
      <c r="JW105" s="27">
        <f t="shared" si="69"/>
        <v>0</v>
      </c>
      <c r="JX105" s="11">
        <v>0</v>
      </c>
      <c r="JY105" s="11">
        <v>0</v>
      </c>
      <c r="JZ105" s="11">
        <v>0</v>
      </c>
      <c r="KA105" s="11">
        <v>0</v>
      </c>
      <c r="KB105" s="11">
        <v>0</v>
      </c>
      <c r="KC105" s="11">
        <v>0</v>
      </c>
      <c r="KD105" s="11">
        <v>0</v>
      </c>
      <c r="KE105" s="11">
        <v>0</v>
      </c>
      <c r="KF105" s="11">
        <v>0</v>
      </c>
      <c r="KG105" s="11">
        <v>0</v>
      </c>
      <c r="KH105" s="11">
        <v>0</v>
      </c>
      <c r="KI105" s="11">
        <v>0</v>
      </c>
      <c r="KJ105" s="27">
        <f t="shared" si="70"/>
        <v>0</v>
      </c>
      <c r="KK105" s="11">
        <v>0</v>
      </c>
      <c r="KL105" s="11">
        <v>0</v>
      </c>
      <c r="KM105" s="11">
        <v>0</v>
      </c>
      <c r="KN105" s="11">
        <v>0</v>
      </c>
      <c r="KO105" s="11">
        <v>0</v>
      </c>
      <c r="KP105" s="11">
        <v>0</v>
      </c>
      <c r="KQ105" s="11">
        <v>0</v>
      </c>
      <c r="KR105" s="11">
        <v>0</v>
      </c>
      <c r="KS105" s="11">
        <v>0</v>
      </c>
      <c r="KT105" s="11">
        <v>0</v>
      </c>
      <c r="KU105" s="11">
        <v>0</v>
      </c>
      <c r="KV105" s="11">
        <v>0</v>
      </c>
      <c r="KW105" s="27">
        <f t="shared" si="71"/>
        <v>0</v>
      </c>
      <c r="KX105" s="11">
        <v>0</v>
      </c>
      <c r="KY105" s="11">
        <v>0</v>
      </c>
      <c r="KZ105" s="11">
        <v>0</v>
      </c>
      <c r="LA105" s="11">
        <v>0</v>
      </c>
      <c r="LB105" s="11">
        <v>0</v>
      </c>
      <c r="LC105" s="11">
        <v>0</v>
      </c>
      <c r="LD105" s="11">
        <v>0</v>
      </c>
      <c r="LE105" s="11">
        <v>0</v>
      </c>
      <c r="LF105" s="11">
        <v>0</v>
      </c>
      <c r="LG105" s="11">
        <v>0</v>
      </c>
      <c r="LH105" s="11">
        <v>0</v>
      </c>
      <c r="LI105" s="11">
        <v>0</v>
      </c>
      <c r="LJ105" s="27">
        <f t="shared" si="72"/>
        <v>0</v>
      </c>
      <c r="LK105" s="11">
        <v>0</v>
      </c>
      <c r="LL105" s="11">
        <v>0</v>
      </c>
      <c r="LM105" s="11">
        <v>0</v>
      </c>
      <c r="LN105" s="11">
        <v>0</v>
      </c>
      <c r="LO105" s="11">
        <v>0</v>
      </c>
      <c r="LP105" s="11">
        <v>0</v>
      </c>
      <c r="LQ105" s="11">
        <v>0</v>
      </c>
      <c r="LR105" s="11">
        <v>0</v>
      </c>
      <c r="LS105" s="11">
        <v>0</v>
      </c>
      <c r="LT105" s="11">
        <v>0</v>
      </c>
      <c r="LU105" s="11">
        <v>0</v>
      </c>
      <c r="LV105" s="11">
        <v>0</v>
      </c>
      <c r="LW105" s="27">
        <f t="shared" si="73"/>
        <v>0</v>
      </c>
      <c r="LX105" s="11">
        <v>0</v>
      </c>
      <c r="LY105" s="11">
        <v>0</v>
      </c>
      <c r="LZ105" s="11">
        <v>0</v>
      </c>
      <c r="MA105" s="11">
        <v>0</v>
      </c>
      <c r="MB105" s="11">
        <v>0</v>
      </c>
      <c r="MC105" s="11">
        <v>0</v>
      </c>
      <c r="MD105" s="11">
        <v>0</v>
      </c>
      <c r="ME105" s="11">
        <v>0</v>
      </c>
      <c r="MF105" s="11">
        <v>0</v>
      </c>
      <c r="MG105" s="11">
        <v>0</v>
      </c>
      <c r="MH105" s="11">
        <v>0</v>
      </c>
      <c r="MI105" s="11">
        <v>0</v>
      </c>
      <c r="MJ105" s="27">
        <f t="shared" si="74"/>
        <v>0</v>
      </c>
      <c r="MK105" s="11">
        <v>0</v>
      </c>
      <c r="ML105" s="11">
        <v>0</v>
      </c>
      <c r="MM105" s="11">
        <v>6250</v>
      </c>
      <c r="MN105" s="11">
        <v>0</v>
      </c>
      <c r="MO105" s="11">
        <v>0</v>
      </c>
      <c r="MP105" s="11">
        <v>6985</v>
      </c>
      <c r="MQ105" s="11">
        <v>0</v>
      </c>
      <c r="MR105" s="11">
        <v>0</v>
      </c>
      <c r="MS105" s="11">
        <v>6557</v>
      </c>
      <c r="MT105" s="11">
        <v>0</v>
      </c>
      <c r="MU105" s="11">
        <v>0</v>
      </c>
      <c r="MV105" s="11">
        <v>6496</v>
      </c>
      <c r="MW105" s="27">
        <f t="shared" si="75"/>
        <v>26288</v>
      </c>
      <c r="MX105" s="11">
        <v>0</v>
      </c>
      <c r="MY105" s="11">
        <v>0</v>
      </c>
      <c r="MZ105" s="11">
        <v>0</v>
      </c>
      <c r="NA105" s="11">
        <v>0</v>
      </c>
      <c r="NB105" s="11">
        <v>0</v>
      </c>
      <c r="NC105" s="11">
        <v>0</v>
      </c>
      <c r="ND105" s="11">
        <v>0</v>
      </c>
      <c r="NE105" s="11">
        <v>0</v>
      </c>
      <c r="NF105" s="11">
        <v>0</v>
      </c>
      <c r="NG105" s="11">
        <v>0</v>
      </c>
      <c r="NH105" s="11">
        <v>0</v>
      </c>
      <c r="NI105" s="11">
        <v>0</v>
      </c>
      <c r="NJ105" s="27">
        <f t="shared" si="76"/>
        <v>0</v>
      </c>
      <c r="NK105" s="11">
        <v>0</v>
      </c>
      <c r="NL105" s="11">
        <v>0</v>
      </c>
      <c r="NM105" s="11">
        <v>0</v>
      </c>
      <c r="NN105" s="11">
        <v>0</v>
      </c>
      <c r="NO105" s="11">
        <v>0</v>
      </c>
      <c r="NP105" s="11">
        <v>0</v>
      </c>
      <c r="NQ105" s="11">
        <v>0</v>
      </c>
      <c r="NR105" s="11">
        <v>0</v>
      </c>
      <c r="NS105" s="11">
        <v>0</v>
      </c>
      <c r="NT105" s="11">
        <v>0</v>
      </c>
      <c r="NU105" s="11">
        <v>0</v>
      </c>
      <c r="NV105" s="11">
        <v>0</v>
      </c>
      <c r="NW105" s="27">
        <f t="shared" si="77"/>
        <v>0</v>
      </c>
      <c r="NX105" s="11">
        <v>0</v>
      </c>
      <c r="NY105" s="11">
        <v>0</v>
      </c>
      <c r="NZ105" s="11">
        <v>0</v>
      </c>
      <c r="OA105" s="11">
        <v>0</v>
      </c>
      <c r="OB105" s="11">
        <v>0</v>
      </c>
      <c r="OC105" s="11">
        <v>0</v>
      </c>
      <c r="OD105" s="11">
        <v>0</v>
      </c>
      <c r="OE105" s="11">
        <v>0</v>
      </c>
      <c r="OF105" s="11">
        <v>0</v>
      </c>
      <c r="OG105" s="11">
        <v>0</v>
      </c>
      <c r="OH105" s="11">
        <v>0</v>
      </c>
      <c r="OI105" s="11">
        <v>0</v>
      </c>
      <c r="OJ105" s="27">
        <f t="shared" si="78"/>
        <v>0</v>
      </c>
      <c r="OK105" s="11">
        <v>0</v>
      </c>
      <c r="OL105" s="11">
        <v>0</v>
      </c>
      <c r="OM105" s="11">
        <v>0</v>
      </c>
      <c r="ON105" s="11">
        <v>0</v>
      </c>
      <c r="OO105" s="11">
        <v>0</v>
      </c>
      <c r="OP105" s="11">
        <v>0</v>
      </c>
      <c r="OQ105" s="11">
        <v>0</v>
      </c>
      <c r="OR105" s="11">
        <v>0</v>
      </c>
      <c r="OS105" s="11">
        <v>0</v>
      </c>
      <c r="OT105" s="11">
        <v>0</v>
      </c>
      <c r="OU105" s="11">
        <v>0</v>
      </c>
      <c r="OV105" s="11">
        <v>0</v>
      </c>
      <c r="OW105" s="27">
        <f t="shared" si="79"/>
        <v>0</v>
      </c>
      <c r="OX105" s="11">
        <v>0</v>
      </c>
      <c r="OY105" s="11">
        <v>0</v>
      </c>
      <c r="OZ105" s="11">
        <v>0</v>
      </c>
      <c r="PA105" s="11">
        <v>0</v>
      </c>
      <c r="PB105" s="11">
        <v>0</v>
      </c>
      <c r="PC105" s="11">
        <v>0</v>
      </c>
      <c r="PD105" s="11">
        <v>0</v>
      </c>
      <c r="PE105" s="11">
        <v>0</v>
      </c>
      <c r="PF105" s="11">
        <v>0</v>
      </c>
      <c r="PG105" s="11">
        <v>0</v>
      </c>
      <c r="PH105" s="11">
        <v>0</v>
      </c>
      <c r="PI105" s="11">
        <v>0</v>
      </c>
      <c r="PJ105" s="27">
        <f t="shared" si="80"/>
        <v>0</v>
      </c>
      <c r="PK105" s="11">
        <v>0</v>
      </c>
      <c r="PL105" s="11">
        <v>0</v>
      </c>
      <c r="PM105" s="11">
        <v>0</v>
      </c>
      <c r="PN105" s="11">
        <v>0</v>
      </c>
      <c r="PO105" s="11">
        <v>0</v>
      </c>
      <c r="PP105" s="11">
        <v>0</v>
      </c>
      <c r="PQ105" s="11">
        <v>0</v>
      </c>
      <c r="PR105" s="11">
        <v>0</v>
      </c>
      <c r="PS105" s="11">
        <v>0</v>
      </c>
      <c r="PT105" s="11">
        <v>0</v>
      </c>
      <c r="PU105" s="11">
        <v>0</v>
      </c>
      <c r="PV105" s="11">
        <v>0</v>
      </c>
      <c r="PW105" s="27">
        <f t="shared" si="81"/>
        <v>0</v>
      </c>
      <c r="PX105" s="11">
        <v>0</v>
      </c>
      <c r="PY105" s="11">
        <v>0</v>
      </c>
      <c r="PZ105" s="11">
        <v>0</v>
      </c>
      <c r="QA105" s="11">
        <v>0</v>
      </c>
      <c r="QB105" s="11">
        <v>0</v>
      </c>
      <c r="QC105" s="11">
        <v>0</v>
      </c>
      <c r="QD105" s="11">
        <v>0</v>
      </c>
      <c r="QE105" s="11">
        <v>0</v>
      </c>
      <c r="QF105" s="11">
        <v>0</v>
      </c>
      <c r="QG105" s="11">
        <v>0</v>
      </c>
      <c r="QH105" s="11">
        <v>0</v>
      </c>
      <c r="QI105" s="11">
        <v>0</v>
      </c>
      <c r="QJ105" s="27">
        <f t="shared" si="82"/>
        <v>0</v>
      </c>
      <c r="QK105" s="11">
        <v>0</v>
      </c>
      <c r="QL105" s="11">
        <v>0</v>
      </c>
      <c r="QM105" s="11">
        <v>72164</v>
      </c>
      <c r="QN105" s="11">
        <v>0</v>
      </c>
      <c r="QO105" s="11">
        <v>0</v>
      </c>
      <c r="QP105" s="11">
        <v>78006</v>
      </c>
      <c r="QQ105" s="11">
        <v>0</v>
      </c>
      <c r="QR105" s="11">
        <v>0</v>
      </c>
      <c r="QS105" s="11">
        <v>66141</v>
      </c>
      <c r="QT105" s="11">
        <v>0</v>
      </c>
      <c r="QU105" s="11">
        <v>0</v>
      </c>
      <c r="QV105" s="11">
        <v>81811</v>
      </c>
      <c r="QW105" s="27">
        <f t="shared" si="83"/>
        <v>298122</v>
      </c>
      <c r="QX105" s="11">
        <v>0</v>
      </c>
      <c r="QY105" s="11">
        <v>0</v>
      </c>
      <c r="QZ105" s="11">
        <v>53030</v>
      </c>
      <c r="RA105" s="11">
        <v>0</v>
      </c>
      <c r="RB105" s="11">
        <v>0</v>
      </c>
      <c r="RC105" s="11">
        <v>51778</v>
      </c>
      <c r="RD105" s="11">
        <v>0</v>
      </c>
      <c r="RE105" s="11">
        <v>0</v>
      </c>
      <c r="RF105" s="11">
        <v>51874</v>
      </c>
      <c r="RG105" s="11">
        <v>0</v>
      </c>
      <c r="RH105" s="11">
        <v>0</v>
      </c>
      <c r="RI105" s="11">
        <v>43854</v>
      </c>
      <c r="RJ105" s="27">
        <f t="shared" si="84"/>
        <v>200536</v>
      </c>
      <c r="RK105" s="11">
        <v>0</v>
      </c>
      <c r="RL105" s="11">
        <v>0</v>
      </c>
      <c r="RM105" s="11">
        <v>0</v>
      </c>
      <c r="RN105" s="11">
        <v>0</v>
      </c>
      <c r="RO105" s="11">
        <v>0</v>
      </c>
      <c r="RP105" s="11">
        <v>0</v>
      </c>
      <c r="RQ105" s="11">
        <v>0</v>
      </c>
      <c r="RR105" s="11">
        <v>0</v>
      </c>
      <c r="RS105" s="11">
        <v>0</v>
      </c>
      <c r="RT105" s="11">
        <v>0</v>
      </c>
      <c r="RU105" s="11">
        <v>0</v>
      </c>
      <c r="RV105" s="11">
        <v>0</v>
      </c>
      <c r="RW105" s="27">
        <f t="shared" si="85"/>
        <v>0</v>
      </c>
      <c r="RX105" s="11">
        <v>0</v>
      </c>
      <c r="RY105" s="11">
        <v>0</v>
      </c>
      <c r="RZ105" s="11">
        <v>0</v>
      </c>
      <c r="SA105" s="11">
        <v>0</v>
      </c>
      <c r="SB105" s="11">
        <v>0</v>
      </c>
      <c r="SC105" s="11">
        <v>0</v>
      </c>
      <c r="SD105" s="11">
        <v>0</v>
      </c>
      <c r="SE105" s="11">
        <v>0</v>
      </c>
      <c r="SF105" s="11">
        <v>0</v>
      </c>
      <c r="SG105" s="11">
        <v>0</v>
      </c>
      <c r="SH105" s="11">
        <v>0</v>
      </c>
      <c r="SI105" s="11">
        <v>0</v>
      </c>
      <c r="SJ105" s="27">
        <f t="shared" si="86"/>
        <v>0</v>
      </c>
      <c r="SK105" s="11">
        <v>0</v>
      </c>
      <c r="SL105" s="11">
        <v>0</v>
      </c>
      <c r="SM105" s="11">
        <v>0</v>
      </c>
      <c r="SN105" s="11">
        <v>0</v>
      </c>
      <c r="SO105" s="11">
        <v>0</v>
      </c>
      <c r="SP105" s="11">
        <v>0</v>
      </c>
      <c r="SQ105" s="11">
        <v>0</v>
      </c>
      <c r="SR105" s="11">
        <v>0</v>
      </c>
      <c r="SS105" s="11">
        <v>0</v>
      </c>
      <c r="ST105" s="11">
        <v>0</v>
      </c>
      <c r="SU105" s="11">
        <v>0</v>
      </c>
      <c r="SV105" s="11">
        <v>0</v>
      </c>
      <c r="SW105" s="27">
        <f t="shared" si="87"/>
        <v>0</v>
      </c>
      <c r="SX105" s="11" t="s">
        <v>2745</v>
      </c>
      <c r="SY105" s="11">
        <v>0</v>
      </c>
      <c r="SZ105" s="11">
        <v>0</v>
      </c>
      <c r="TA105" s="11">
        <v>0</v>
      </c>
      <c r="TB105" s="11">
        <v>0</v>
      </c>
      <c r="TC105" s="11">
        <v>0</v>
      </c>
      <c r="TD105" s="11">
        <v>0</v>
      </c>
      <c r="TE105" s="11">
        <v>0</v>
      </c>
      <c r="TF105" s="11">
        <v>0</v>
      </c>
      <c r="TG105" s="11">
        <v>0</v>
      </c>
      <c r="TH105" s="11">
        <v>0</v>
      </c>
      <c r="TI105" s="11">
        <v>0</v>
      </c>
      <c r="TJ105" s="11">
        <v>11390</v>
      </c>
      <c r="TK105" s="27">
        <f t="shared" si="88"/>
        <v>11390</v>
      </c>
      <c r="TL105" s="11">
        <v>0</v>
      </c>
      <c r="TM105" s="11">
        <v>0</v>
      </c>
      <c r="TN105" s="11">
        <v>0</v>
      </c>
      <c r="TO105" s="11">
        <v>0</v>
      </c>
      <c r="TP105" s="11">
        <v>0</v>
      </c>
      <c r="TQ105" s="11">
        <v>0</v>
      </c>
      <c r="TR105" s="11">
        <v>0</v>
      </c>
      <c r="TS105" s="11">
        <v>0</v>
      </c>
      <c r="TT105" s="11">
        <v>0</v>
      </c>
      <c r="TU105" s="11">
        <v>0</v>
      </c>
      <c r="TV105" s="11">
        <v>0</v>
      </c>
      <c r="TW105" s="11">
        <v>0</v>
      </c>
      <c r="TX105" s="27">
        <f t="shared" si="89"/>
        <v>0</v>
      </c>
      <c r="TY105" s="11">
        <v>80</v>
      </c>
      <c r="TZ105" s="11"/>
      <c r="UA105" s="11"/>
    </row>
    <row r="106" spans="1:547" ht="16" customHeight="1" x14ac:dyDescent="0.35">
      <c r="A106" s="11" t="s">
        <v>1397</v>
      </c>
      <c r="B106" s="11">
        <v>40106</v>
      </c>
      <c r="C106" s="11"/>
      <c r="D106" s="11"/>
      <c r="E106" s="11"/>
      <c r="F106" s="11">
        <v>631</v>
      </c>
      <c r="G106" s="11">
        <v>584</v>
      </c>
      <c r="H106" s="11">
        <v>613</v>
      </c>
      <c r="I106" s="11">
        <v>608</v>
      </c>
      <c r="J106" s="11">
        <v>621</v>
      </c>
      <c r="K106" s="11">
        <v>573</v>
      </c>
      <c r="L106" s="11">
        <v>685</v>
      </c>
      <c r="M106" s="11">
        <v>490</v>
      </c>
      <c r="N106" s="11">
        <v>528</v>
      </c>
      <c r="O106" s="11">
        <v>650</v>
      </c>
      <c r="P106" s="11" t="s">
        <v>2863</v>
      </c>
      <c r="Q106" s="11">
        <v>694</v>
      </c>
      <c r="R106" s="11">
        <v>613</v>
      </c>
      <c r="S106" s="26">
        <f t="shared" si="45"/>
        <v>7290</v>
      </c>
      <c r="T106" s="11">
        <v>215</v>
      </c>
      <c r="U106" s="11">
        <v>187</v>
      </c>
      <c r="V106" s="11">
        <v>193</v>
      </c>
      <c r="W106" s="11">
        <v>192</v>
      </c>
      <c r="X106" s="11">
        <v>167</v>
      </c>
      <c r="Y106" s="11">
        <v>187</v>
      </c>
      <c r="Z106" s="11">
        <v>228</v>
      </c>
      <c r="AA106" s="11">
        <v>194</v>
      </c>
      <c r="AB106" s="11">
        <v>162</v>
      </c>
      <c r="AC106" s="11">
        <v>242</v>
      </c>
      <c r="AD106" s="11">
        <v>235</v>
      </c>
      <c r="AE106" s="11">
        <v>198</v>
      </c>
      <c r="AF106" s="26">
        <f t="shared" si="46"/>
        <v>2400</v>
      </c>
      <c r="AG106" s="11">
        <v>416</v>
      </c>
      <c r="AH106" s="11">
        <v>397</v>
      </c>
      <c r="AI106" s="11">
        <v>420</v>
      </c>
      <c r="AJ106" s="11">
        <v>416</v>
      </c>
      <c r="AK106" s="11">
        <v>454</v>
      </c>
      <c r="AL106" s="11">
        <v>386</v>
      </c>
      <c r="AM106" s="11">
        <v>457</v>
      </c>
      <c r="AN106" s="11">
        <v>296</v>
      </c>
      <c r="AO106" s="11">
        <v>366</v>
      </c>
      <c r="AP106" s="11">
        <v>408</v>
      </c>
      <c r="AQ106" s="11">
        <v>459</v>
      </c>
      <c r="AR106" s="11">
        <v>415</v>
      </c>
      <c r="AS106" s="26">
        <f t="shared" si="47"/>
        <v>4890</v>
      </c>
      <c r="AT106" s="11">
        <v>0</v>
      </c>
      <c r="AU106" s="11">
        <v>0</v>
      </c>
      <c r="AV106" s="11">
        <v>0</v>
      </c>
      <c r="AW106" s="11">
        <v>0</v>
      </c>
      <c r="AX106" s="11">
        <v>0</v>
      </c>
      <c r="AY106" s="11">
        <v>0</v>
      </c>
      <c r="AZ106" s="11">
        <v>0</v>
      </c>
      <c r="BA106" s="11">
        <v>0</v>
      </c>
      <c r="BB106" s="11">
        <v>0</v>
      </c>
      <c r="BC106" s="11">
        <v>0</v>
      </c>
      <c r="BD106" s="11">
        <v>0</v>
      </c>
      <c r="BE106" s="11">
        <v>0</v>
      </c>
      <c r="BF106" s="26">
        <f t="shared" si="48"/>
        <v>0</v>
      </c>
      <c r="BG106" s="11">
        <v>114</v>
      </c>
      <c r="BH106" s="11">
        <v>100</v>
      </c>
      <c r="BI106" s="11">
        <v>93</v>
      </c>
      <c r="BJ106" s="11">
        <v>131</v>
      </c>
      <c r="BK106" s="11">
        <v>204</v>
      </c>
      <c r="BL106" s="11">
        <v>96</v>
      </c>
      <c r="BM106" s="11">
        <v>119</v>
      </c>
      <c r="BN106" s="11">
        <v>62</v>
      </c>
      <c r="BO106" s="11">
        <v>95</v>
      </c>
      <c r="BP106" s="11">
        <v>102</v>
      </c>
      <c r="BQ106" s="11">
        <v>139</v>
      </c>
      <c r="BR106" s="11">
        <v>95</v>
      </c>
      <c r="BS106" s="26">
        <f t="shared" si="49"/>
        <v>1350</v>
      </c>
      <c r="BT106" s="11">
        <v>45</v>
      </c>
      <c r="BU106" s="11">
        <v>47</v>
      </c>
      <c r="BV106" s="11">
        <v>50</v>
      </c>
      <c r="BW106" s="11">
        <v>51</v>
      </c>
      <c r="BX106" s="11">
        <v>41</v>
      </c>
      <c r="BY106" s="11">
        <v>41</v>
      </c>
      <c r="BZ106" s="11">
        <v>47</v>
      </c>
      <c r="CA106" s="11">
        <v>40</v>
      </c>
      <c r="CB106" s="11">
        <v>48</v>
      </c>
      <c r="CC106" s="11">
        <v>49</v>
      </c>
      <c r="CD106" s="11">
        <v>46</v>
      </c>
      <c r="CE106" s="11">
        <v>55</v>
      </c>
      <c r="CF106" s="26">
        <f t="shared" si="50"/>
        <v>560</v>
      </c>
      <c r="CG106" s="11">
        <v>0</v>
      </c>
      <c r="CH106" s="11">
        <v>0</v>
      </c>
      <c r="CI106" s="11">
        <v>0</v>
      </c>
      <c r="CJ106" s="11">
        <v>0</v>
      </c>
      <c r="CK106" s="11">
        <v>0</v>
      </c>
      <c r="CL106" s="11">
        <v>0</v>
      </c>
      <c r="CM106" s="11">
        <v>0</v>
      </c>
      <c r="CN106" s="11">
        <v>0</v>
      </c>
      <c r="CO106" s="11">
        <v>0</v>
      </c>
      <c r="CP106" s="11">
        <v>1</v>
      </c>
      <c r="CQ106" s="11">
        <v>3</v>
      </c>
      <c r="CR106" s="11">
        <v>2</v>
      </c>
      <c r="CS106" s="26">
        <f t="shared" si="51"/>
        <v>6</v>
      </c>
      <c r="CT106" s="11">
        <v>45</v>
      </c>
      <c r="CU106" s="11">
        <v>47</v>
      </c>
      <c r="CV106" s="11">
        <v>50</v>
      </c>
      <c r="CW106" s="11">
        <v>51</v>
      </c>
      <c r="CX106" s="11">
        <v>41</v>
      </c>
      <c r="CY106" s="11">
        <v>41</v>
      </c>
      <c r="CZ106" s="11">
        <v>47</v>
      </c>
      <c r="DA106" s="11">
        <v>40</v>
      </c>
      <c r="DB106" s="11">
        <v>48</v>
      </c>
      <c r="DC106" s="11">
        <v>48</v>
      </c>
      <c r="DD106" s="11">
        <v>43</v>
      </c>
      <c r="DE106" s="11">
        <v>53</v>
      </c>
      <c r="DF106" s="26">
        <f t="shared" si="52"/>
        <v>554</v>
      </c>
      <c r="DG106" s="11">
        <v>0</v>
      </c>
      <c r="DH106" s="11">
        <v>0</v>
      </c>
      <c r="DI106" s="11">
        <v>0</v>
      </c>
      <c r="DJ106" s="11">
        <v>0</v>
      </c>
      <c r="DK106" s="11">
        <v>0</v>
      </c>
      <c r="DL106" s="11">
        <v>0</v>
      </c>
      <c r="DM106" s="11">
        <v>0</v>
      </c>
      <c r="DN106" s="11">
        <v>0</v>
      </c>
      <c r="DO106" s="11">
        <v>0</v>
      </c>
      <c r="DP106" s="11">
        <v>0</v>
      </c>
      <c r="DQ106" s="11">
        <v>0</v>
      </c>
      <c r="DR106" s="11">
        <v>0</v>
      </c>
      <c r="DS106" s="26">
        <f t="shared" si="53"/>
        <v>0</v>
      </c>
      <c r="DT106" s="11">
        <v>0</v>
      </c>
      <c r="DU106" s="11">
        <v>0</v>
      </c>
      <c r="DV106" s="11">
        <v>0</v>
      </c>
      <c r="DW106" s="11">
        <v>0</v>
      </c>
      <c r="DX106" s="11">
        <v>0</v>
      </c>
      <c r="DY106" s="11">
        <v>0</v>
      </c>
      <c r="DZ106" s="11">
        <v>0</v>
      </c>
      <c r="EA106" s="11">
        <v>0</v>
      </c>
      <c r="EB106" s="11">
        <v>0</v>
      </c>
      <c r="EC106" s="11">
        <v>0</v>
      </c>
      <c r="ED106" s="11">
        <v>0</v>
      </c>
      <c r="EE106" s="11">
        <v>0</v>
      </c>
      <c r="EF106" s="26">
        <f t="shared" si="54"/>
        <v>0</v>
      </c>
      <c r="EG106" s="9">
        <f t="shared" si="55"/>
        <v>8640</v>
      </c>
      <c r="EH106" s="9">
        <f t="shared" si="56"/>
        <v>560</v>
      </c>
      <c r="EI106" s="11">
        <v>10236</v>
      </c>
      <c r="EJ106" s="11">
        <v>9133</v>
      </c>
      <c r="EK106" s="11">
        <v>10156</v>
      </c>
      <c r="EL106" s="11">
        <v>10686</v>
      </c>
      <c r="EM106" s="11">
        <v>10867</v>
      </c>
      <c r="EN106" s="11">
        <v>9539</v>
      </c>
      <c r="EO106" s="11">
        <v>12542</v>
      </c>
      <c r="EP106" s="11">
        <v>8019</v>
      </c>
      <c r="EQ106" s="11">
        <v>7803</v>
      </c>
      <c r="ER106" s="11">
        <v>10613</v>
      </c>
      <c r="ES106" s="11">
        <v>12736</v>
      </c>
      <c r="ET106" s="11">
        <v>10755</v>
      </c>
      <c r="EU106" s="26">
        <f t="shared" si="57"/>
        <v>123085</v>
      </c>
      <c r="EV106" s="11">
        <v>5433</v>
      </c>
      <c r="EW106" s="11">
        <v>4671</v>
      </c>
      <c r="EX106" s="11">
        <v>5641</v>
      </c>
      <c r="EY106" s="11">
        <v>5161</v>
      </c>
      <c r="EZ106" s="11">
        <v>5650</v>
      </c>
      <c r="FA106" s="11">
        <v>5221</v>
      </c>
      <c r="FB106" s="11">
        <v>6650</v>
      </c>
      <c r="FC106" s="11">
        <v>4348</v>
      </c>
      <c r="FD106" s="11">
        <v>4022</v>
      </c>
      <c r="FE106" s="11">
        <v>5742</v>
      </c>
      <c r="FF106" s="11">
        <v>6485</v>
      </c>
      <c r="FG106" s="11">
        <v>5495</v>
      </c>
      <c r="FH106" s="26">
        <f t="shared" si="58"/>
        <v>64519</v>
      </c>
      <c r="FI106" s="11">
        <v>4696</v>
      </c>
      <c r="FJ106" s="11">
        <v>4316</v>
      </c>
      <c r="FK106" s="11">
        <v>4464</v>
      </c>
      <c r="FL106" s="11">
        <v>5449</v>
      </c>
      <c r="FM106" s="11">
        <v>5105</v>
      </c>
      <c r="FN106" s="11">
        <v>4255</v>
      </c>
      <c r="FO106" s="11">
        <v>5771</v>
      </c>
      <c r="FP106" s="11">
        <v>3600</v>
      </c>
      <c r="FQ106" s="11">
        <v>3484</v>
      </c>
      <c r="FR106" s="11">
        <v>4786</v>
      </c>
      <c r="FS106" s="11">
        <v>6056</v>
      </c>
      <c r="FT106" s="11">
        <v>5145</v>
      </c>
      <c r="FU106" s="26">
        <f t="shared" si="59"/>
        <v>57127</v>
      </c>
      <c r="FV106" s="11">
        <v>107</v>
      </c>
      <c r="FW106" s="11">
        <v>146</v>
      </c>
      <c r="FX106" s="11">
        <v>51</v>
      </c>
      <c r="FY106" s="11">
        <v>76</v>
      </c>
      <c r="FZ106" s="11">
        <v>112</v>
      </c>
      <c r="GA106" s="11">
        <v>63</v>
      </c>
      <c r="GB106" s="11">
        <v>121</v>
      </c>
      <c r="GC106" s="11">
        <v>71</v>
      </c>
      <c r="GD106" s="11">
        <v>297</v>
      </c>
      <c r="GE106" s="11">
        <v>85</v>
      </c>
      <c r="GF106" s="11">
        <v>195</v>
      </c>
      <c r="GG106" s="11">
        <v>115</v>
      </c>
      <c r="GH106" s="26">
        <f t="shared" si="60"/>
        <v>1439</v>
      </c>
      <c r="GI106" s="11">
        <v>200</v>
      </c>
      <c r="GJ106" s="11">
        <v>208</v>
      </c>
      <c r="GK106" s="11">
        <v>174</v>
      </c>
      <c r="GL106" s="11">
        <v>173</v>
      </c>
      <c r="GM106" s="11">
        <v>183</v>
      </c>
      <c r="GN106" s="11">
        <v>186</v>
      </c>
      <c r="GO106" s="11">
        <v>218</v>
      </c>
      <c r="GP106" s="11">
        <v>203</v>
      </c>
      <c r="GQ106" s="11">
        <v>234</v>
      </c>
      <c r="GR106" s="11">
        <v>297</v>
      </c>
      <c r="GS106" s="11">
        <v>208</v>
      </c>
      <c r="GT106" s="11">
        <v>313</v>
      </c>
      <c r="GU106" s="26">
        <f t="shared" si="61"/>
        <v>2597</v>
      </c>
      <c r="GV106" s="11">
        <v>115</v>
      </c>
      <c r="GW106" s="11">
        <v>120</v>
      </c>
      <c r="GX106" s="11">
        <v>101</v>
      </c>
      <c r="GY106" s="11">
        <v>115</v>
      </c>
      <c r="GZ106" s="11">
        <v>127</v>
      </c>
      <c r="HA106" s="11">
        <v>117</v>
      </c>
      <c r="HB106" s="11">
        <v>127</v>
      </c>
      <c r="HC106" s="11">
        <v>120</v>
      </c>
      <c r="HD106" s="11">
        <v>132</v>
      </c>
      <c r="HE106" s="11">
        <v>187</v>
      </c>
      <c r="HF106" s="11">
        <v>129</v>
      </c>
      <c r="HG106" s="11">
        <v>204</v>
      </c>
      <c r="HH106" s="26">
        <f t="shared" si="62"/>
        <v>1594</v>
      </c>
      <c r="HI106" s="11">
        <v>79</v>
      </c>
      <c r="HJ106" s="11">
        <v>83</v>
      </c>
      <c r="HK106" s="11">
        <v>70</v>
      </c>
      <c r="HL106" s="11">
        <v>56</v>
      </c>
      <c r="HM106" s="11">
        <v>50</v>
      </c>
      <c r="HN106" s="11">
        <v>58</v>
      </c>
      <c r="HO106" s="11">
        <v>89</v>
      </c>
      <c r="HP106" s="11">
        <v>77</v>
      </c>
      <c r="HQ106" s="11">
        <v>86</v>
      </c>
      <c r="HR106" s="11">
        <v>97</v>
      </c>
      <c r="HS106" s="11">
        <v>77</v>
      </c>
      <c r="HT106" s="11">
        <v>92</v>
      </c>
      <c r="HU106" s="26">
        <f t="shared" si="63"/>
        <v>914</v>
      </c>
      <c r="HV106" s="11">
        <v>6</v>
      </c>
      <c r="HW106" s="11">
        <v>5</v>
      </c>
      <c r="HX106" s="11">
        <v>3</v>
      </c>
      <c r="HY106" s="11">
        <v>2</v>
      </c>
      <c r="HZ106" s="11">
        <v>6</v>
      </c>
      <c r="IA106" s="11">
        <v>11</v>
      </c>
      <c r="IB106" s="11">
        <v>2</v>
      </c>
      <c r="IC106" s="11">
        <v>6</v>
      </c>
      <c r="ID106" s="11">
        <v>16</v>
      </c>
      <c r="IE106" s="11">
        <v>13</v>
      </c>
      <c r="IF106" s="11">
        <v>2</v>
      </c>
      <c r="IG106" s="11">
        <v>17</v>
      </c>
      <c r="IH106" s="26">
        <f t="shared" si="64"/>
        <v>89</v>
      </c>
      <c r="II106" s="9">
        <f t="shared" si="65"/>
        <v>123085</v>
      </c>
      <c r="IJ106" s="9">
        <f t="shared" si="66"/>
        <v>2597</v>
      </c>
      <c r="IK106" s="11">
        <v>116108</v>
      </c>
      <c r="IL106" s="11">
        <v>112979</v>
      </c>
      <c r="IM106" s="11">
        <v>105509</v>
      </c>
      <c r="IN106" s="11">
        <v>125588</v>
      </c>
      <c r="IO106" s="11">
        <v>131155</v>
      </c>
      <c r="IP106" s="11">
        <v>110960</v>
      </c>
      <c r="IQ106" s="11">
        <v>114868</v>
      </c>
      <c r="IR106" s="11">
        <v>110268</v>
      </c>
      <c r="IS106" s="11">
        <v>92004</v>
      </c>
      <c r="IT106" s="11">
        <v>108475</v>
      </c>
      <c r="IU106" s="11">
        <v>105860</v>
      </c>
      <c r="IV106" s="11">
        <v>109037</v>
      </c>
      <c r="IW106" s="27">
        <f t="shared" si="67"/>
        <v>1342811</v>
      </c>
      <c r="IX106" s="11">
        <v>52797</v>
      </c>
      <c r="IY106" s="11">
        <v>52428</v>
      </c>
      <c r="IZ106" s="11">
        <v>49561</v>
      </c>
      <c r="JA106" s="11">
        <v>54198</v>
      </c>
      <c r="JB106" s="11">
        <v>55681</v>
      </c>
      <c r="JC106" s="11">
        <v>50713</v>
      </c>
      <c r="JD106" s="11">
        <v>52248</v>
      </c>
      <c r="JE106" s="11">
        <v>50590</v>
      </c>
      <c r="JF106" s="11">
        <v>44050</v>
      </c>
      <c r="JG106" s="11">
        <v>50233</v>
      </c>
      <c r="JH106" s="11">
        <v>45941</v>
      </c>
      <c r="JI106" s="11">
        <v>49267</v>
      </c>
      <c r="JJ106" s="27">
        <f t="shared" si="68"/>
        <v>607707</v>
      </c>
      <c r="JK106" s="11">
        <v>54784</v>
      </c>
      <c r="JL106" s="11">
        <v>52895</v>
      </c>
      <c r="JM106" s="11">
        <v>48496</v>
      </c>
      <c r="JN106" s="11">
        <v>62884</v>
      </c>
      <c r="JO106" s="11">
        <v>66796</v>
      </c>
      <c r="JP106" s="11">
        <v>52964</v>
      </c>
      <c r="JQ106" s="11">
        <v>54509</v>
      </c>
      <c r="JR106" s="11">
        <v>51144</v>
      </c>
      <c r="JS106" s="11">
        <v>41089</v>
      </c>
      <c r="JT106" s="11">
        <v>50042</v>
      </c>
      <c r="JU106" s="11">
        <v>51401</v>
      </c>
      <c r="JV106" s="11">
        <v>51494</v>
      </c>
      <c r="JW106" s="27">
        <f t="shared" si="69"/>
        <v>638498</v>
      </c>
      <c r="JX106" s="11">
        <v>0</v>
      </c>
      <c r="JY106" s="11">
        <v>0</v>
      </c>
      <c r="JZ106" s="11">
        <v>0</v>
      </c>
      <c r="KA106" s="11">
        <v>0</v>
      </c>
      <c r="KB106" s="11">
        <v>0</v>
      </c>
      <c r="KC106" s="11">
        <v>0</v>
      </c>
      <c r="KD106" s="11">
        <v>0</v>
      </c>
      <c r="KE106" s="11">
        <v>0</v>
      </c>
      <c r="KF106" s="11">
        <v>0</v>
      </c>
      <c r="KG106" s="11">
        <v>0</v>
      </c>
      <c r="KH106" s="11">
        <v>0</v>
      </c>
      <c r="KI106" s="11">
        <v>0</v>
      </c>
      <c r="KJ106" s="27">
        <f t="shared" si="70"/>
        <v>0</v>
      </c>
      <c r="KK106" s="11">
        <v>1116</v>
      </c>
      <c r="KL106" s="11">
        <v>1070</v>
      </c>
      <c r="KM106" s="11">
        <v>1010</v>
      </c>
      <c r="KN106" s="11">
        <v>1076</v>
      </c>
      <c r="KO106" s="11">
        <v>1080</v>
      </c>
      <c r="KP106" s="11">
        <v>989</v>
      </c>
      <c r="KQ106" s="11">
        <v>1133</v>
      </c>
      <c r="KR106" s="11">
        <v>1061</v>
      </c>
      <c r="KS106" s="11">
        <v>827</v>
      </c>
      <c r="KT106" s="11">
        <v>1097</v>
      </c>
      <c r="KU106" s="11">
        <v>982</v>
      </c>
      <c r="KV106" s="11">
        <v>1031</v>
      </c>
      <c r="KW106" s="27">
        <f t="shared" si="71"/>
        <v>12472</v>
      </c>
      <c r="KX106" s="11">
        <v>0</v>
      </c>
      <c r="KY106" s="11">
        <v>0</v>
      </c>
      <c r="KZ106" s="11">
        <v>0</v>
      </c>
      <c r="LA106" s="11">
        <v>0</v>
      </c>
      <c r="LB106" s="11">
        <v>0</v>
      </c>
      <c r="LC106" s="11">
        <v>0</v>
      </c>
      <c r="LD106" s="11">
        <v>0</v>
      </c>
      <c r="LE106" s="11">
        <v>0</v>
      </c>
      <c r="LF106" s="11">
        <v>0</v>
      </c>
      <c r="LG106" s="11">
        <v>0</v>
      </c>
      <c r="LH106" s="11">
        <v>0</v>
      </c>
      <c r="LI106" s="11">
        <v>0</v>
      </c>
      <c r="LJ106" s="27">
        <f t="shared" si="72"/>
        <v>0</v>
      </c>
      <c r="LK106" s="11">
        <v>0</v>
      </c>
      <c r="LL106" s="11">
        <v>0</v>
      </c>
      <c r="LM106" s="11">
        <v>0</v>
      </c>
      <c r="LN106" s="11">
        <v>0</v>
      </c>
      <c r="LO106" s="11">
        <v>0</v>
      </c>
      <c r="LP106" s="11">
        <v>0</v>
      </c>
      <c r="LQ106" s="11">
        <v>0</v>
      </c>
      <c r="LR106" s="11">
        <v>0</v>
      </c>
      <c r="LS106" s="11">
        <v>0</v>
      </c>
      <c r="LT106" s="11">
        <v>0</v>
      </c>
      <c r="LU106" s="11">
        <v>0</v>
      </c>
      <c r="LV106" s="11">
        <v>0</v>
      </c>
      <c r="LW106" s="27">
        <f t="shared" si="73"/>
        <v>0</v>
      </c>
      <c r="LX106" s="11">
        <v>0</v>
      </c>
      <c r="LY106" s="11">
        <v>0</v>
      </c>
      <c r="LZ106" s="11">
        <v>0</v>
      </c>
      <c r="MA106" s="11">
        <v>0</v>
      </c>
      <c r="MB106" s="11">
        <v>0</v>
      </c>
      <c r="MC106" s="11">
        <v>0</v>
      </c>
      <c r="MD106" s="11">
        <v>0</v>
      </c>
      <c r="ME106" s="11">
        <v>0</v>
      </c>
      <c r="MF106" s="11">
        <v>0</v>
      </c>
      <c r="MG106" s="11">
        <v>0</v>
      </c>
      <c r="MH106" s="11">
        <v>0</v>
      </c>
      <c r="MI106" s="11">
        <v>0</v>
      </c>
      <c r="MJ106" s="27">
        <f t="shared" si="74"/>
        <v>0</v>
      </c>
      <c r="MK106" s="11">
        <v>8353</v>
      </c>
      <c r="ML106" s="11">
        <v>8631</v>
      </c>
      <c r="MM106" s="11">
        <v>7935</v>
      </c>
      <c r="MN106" s="11">
        <v>8407</v>
      </c>
      <c r="MO106" s="11">
        <v>8622</v>
      </c>
      <c r="MP106" s="11">
        <v>7953</v>
      </c>
      <c r="MQ106" s="11">
        <v>8563</v>
      </c>
      <c r="MR106" s="11">
        <v>7677</v>
      </c>
      <c r="MS106" s="11">
        <v>7393</v>
      </c>
      <c r="MT106" s="11">
        <v>7856</v>
      </c>
      <c r="MU106" s="11">
        <v>6925</v>
      </c>
      <c r="MV106" s="11">
        <v>7434</v>
      </c>
      <c r="MW106" s="27">
        <f t="shared" si="75"/>
        <v>95749</v>
      </c>
      <c r="MX106" s="11">
        <v>0</v>
      </c>
      <c r="MY106" s="11">
        <v>0</v>
      </c>
      <c r="MZ106" s="11">
        <v>0</v>
      </c>
      <c r="NA106" s="11">
        <v>0</v>
      </c>
      <c r="NB106" s="11">
        <v>0</v>
      </c>
      <c r="NC106" s="11">
        <v>0</v>
      </c>
      <c r="ND106" s="11">
        <v>0</v>
      </c>
      <c r="NE106" s="11">
        <v>0</v>
      </c>
      <c r="NF106" s="11">
        <v>0</v>
      </c>
      <c r="NG106" s="11">
        <v>0</v>
      </c>
      <c r="NH106" s="11">
        <v>0</v>
      </c>
      <c r="NI106" s="11">
        <v>0</v>
      </c>
      <c r="NJ106" s="27">
        <f t="shared" si="76"/>
        <v>0</v>
      </c>
      <c r="NK106" s="11">
        <v>0</v>
      </c>
      <c r="NL106" s="11">
        <v>0</v>
      </c>
      <c r="NM106" s="11">
        <v>0</v>
      </c>
      <c r="NN106" s="11">
        <v>0</v>
      </c>
      <c r="NO106" s="11">
        <v>0</v>
      </c>
      <c r="NP106" s="11">
        <v>0</v>
      </c>
      <c r="NQ106" s="11">
        <v>0</v>
      </c>
      <c r="NR106" s="11">
        <v>0</v>
      </c>
      <c r="NS106" s="11">
        <v>0</v>
      </c>
      <c r="NT106" s="11">
        <v>0</v>
      </c>
      <c r="NU106" s="11">
        <v>0</v>
      </c>
      <c r="NV106" s="11">
        <v>0</v>
      </c>
      <c r="NW106" s="27">
        <f t="shared" si="77"/>
        <v>0</v>
      </c>
      <c r="NX106" s="11">
        <v>0</v>
      </c>
      <c r="NY106" s="11">
        <v>0</v>
      </c>
      <c r="NZ106" s="11">
        <v>0</v>
      </c>
      <c r="OA106" s="11">
        <v>0</v>
      </c>
      <c r="OB106" s="11">
        <v>0</v>
      </c>
      <c r="OC106" s="11">
        <v>0</v>
      </c>
      <c r="OD106" s="11">
        <v>0</v>
      </c>
      <c r="OE106" s="11">
        <v>0</v>
      </c>
      <c r="OF106" s="11">
        <v>0</v>
      </c>
      <c r="OG106" s="11">
        <v>0</v>
      </c>
      <c r="OH106" s="11">
        <v>0</v>
      </c>
      <c r="OI106" s="11">
        <v>0</v>
      </c>
      <c r="OJ106" s="27">
        <f t="shared" si="78"/>
        <v>0</v>
      </c>
      <c r="OK106" s="11">
        <v>17564</v>
      </c>
      <c r="OL106" s="11">
        <v>18007</v>
      </c>
      <c r="OM106" s="11">
        <v>17168</v>
      </c>
      <c r="ON106" s="11">
        <v>18305</v>
      </c>
      <c r="OO106" s="11">
        <v>18923</v>
      </c>
      <c r="OP106" s="11">
        <v>18006</v>
      </c>
      <c r="OQ106" s="11">
        <v>19107</v>
      </c>
      <c r="OR106" s="11">
        <v>17936</v>
      </c>
      <c r="OS106" s="11">
        <v>17729</v>
      </c>
      <c r="OT106" s="11">
        <v>18983</v>
      </c>
      <c r="OU106" s="11">
        <v>17337</v>
      </c>
      <c r="OV106" s="11">
        <v>18834</v>
      </c>
      <c r="OW106" s="27">
        <f t="shared" si="79"/>
        <v>217899</v>
      </c>
      <c r="OX106" s="11">
        <v>0</v>
      </c>
      <c r="OY106" s="11">
        <v>0</v>
      </c>
      <c r="OZ106" s="11">
        <v>0</v>
      </c>
      <c r="PA106" s="11">
        <v>0</v>
      </c>
      <c r="PB106" s="11">
        <v>0</v>
      </c>
      <c r="PC106" s="11">
        <v>0</v>
      </c>
      <c r="PD106" s="11">
        <v>0</v>
      </c>
      <c r="PE106" s="11">
        <v>0</v>
      </c>
      <c r="PF106" s="11">
        <v>0</v>
      </c>
      <c r="PG106" s="11">
        <v>0</v>
      </c>
      <c r="PH106" s="11">
        <v>0</v>
      </c>
      <c r="PI106" s="11">
        <v>0</v>
      </c>
      <c r="PJ106" s="27">
        <f t="shared" si="80"/>
        <v>0</v>
      </c>
      <c r="PK106" s="11">
        <v>0</v>
      </c>
      <c r="PL106" s="11">
        <v>0</v>
      </c>
      <c r="PM106" s="11">
        <v>0</v>
      </c>
      <c r="PN106" s="11">
        <v>0</v>
      </c>
      <c r="PO106" s="11">
        <v>0</v>
      </c>
      <c r="PP106" s="11">
        <v>0</v>
      </c>
      <c r="PQ106" s="11">
        <v>0</v>
      </c>
      <c r="PR106" s="11">
        <v>0</v>
      </c>
      <c r="PS106" s="11">
        <v>0</v>
      </c>
      <c r="PT106" s="11">
        <v>0</v>
      </c>
      <c r="PU106" s="11">
        <v>0</v>
      </c>
      <c r="PV106" s="11">
        <v>0</v>
      </c>
      <c r="PW106" s="27">
        <f t="shared" si="81"/>
        <v>0</v>
      </c>
      <c r="PX106" s="11">
        <v>0</v>
      </c>
      <c r="PY106" s="11">
        <v>0</v>
      </c>
      <c r="PZ106" s="11">
        <v>0</v>
      </c>
      <c r="QA106" s="11">
        <v>0</v>
      </c>
      <c r="QB106" s="11">
        <v>0</v>
      </c>
      <c r="QC106" s="11">
        <v>0</v>
      </c>
      <c r="QD106" s="11">
        <v>0</v>
      </c>
      <c r="QE106" s="11">
        <v>0</v>
      </c>
      <c r="QF106" s="11">
        <v>0</v>
      </c>
      <c r="QG106" s="11">
        <v>0</v>
      </c>
      <c r="QH106" s="11">
        <v>0</v>
      </c>
      <c r="QI106" s="11">
        <v>0</v>
      </c>
      <c r="QJ106" s="27">
        <f t="shared" si="82"/>
        <v>0</v>
      </c>
      <c r="QK106" s="11">
        <v>99125</v>
      </c>
      <c r="QL106" s="11">
        <v>96369</v>
      </c>
      <c r="QM106" s="11">
        <v>90115</v>
      </c>
      <c r="QN106" s="11">
        <v>100375</v>
      </c>
      <c r="QO106" s="11">
        <v>103078</v>
      </c>
      <c r="QP106" s="11">
        <v>93074</v>
      </c>
      <c r="QQ106" s="11">
        <v>103354</v>
      </c>
      <c r="QR106" s="11">
        <v>96826</v>
      </c>
      <c r="QS106" s="11">
        <v>79946</v>
      </c>
      <c r="QT106" s="11">
        <v>105920</v>
      </c>
      <c r="QU106" s="11">
        <v>99301</v>
      </c>
      <c r="QV106" s="11">
        <v>100844</v>
      </c>
      <c r="QW106" s="27">
        <f t="shared" si="83"/>
        <v>1168327</v>
      </c>
      <c r="QX106" s="11">
        <v>5019</v>
      </c>
      <c r="QY106" s="11">
        <v>4599</v>
      </c>
      <c r="QZ106" s="11">
        <v>4189</v>
      </c>
      <c r="RA106" s="11">
        <v>4607</v>
      </c>
      <c r="RB106" s="11">
        <v>3793</v>
      </c>
      <c r="RC106" s="11">
        <v>4953</v>
      </c>
      <c r="RD106" s="11">
        <v>5071</v>
      </c>
      <c r="RE106" s="11">
        <v>5268</v>
      </c>
      <c r="RF106" s="11">
        <v>3969</v>
      </c>
      <c r="RG106" s="11">
        <v>5243</v>
      </c>
      <c r="RH106" s="11">
        <v>4491</v>
      </c>
      <c r="RI106" s="11">
        <v>4223</v>
      </c>
      <c r="RJ106" s="27">
        <f t="shared" si="84"/>
        <v>55425</v>
      </c>
      <c r="RK106" s="11">
        <v>0</v>
      </c>
      <c r="RL106" s="11">
        <v>0</v>
      </c>
      <c r="RM106" s="11">
        <v>0</v>
      </c>
      <c r="RN106" s="11">
        <v>0</v>
      </c>
      <c r="RO106" s="11">
        <v>0</v>
      </c>
      <c r="RP106" s="11">
        <v>0</v>
      </c>
      <c r="RQ106" s="11">
        <v>0</v>
      </c>
      <c r="RR106" s="11">
        <v>0</v>
      </c>
      <c r="RS106" s="11">
        <v>0</v>
      </c>
      <c r="RT106" s="11">
        <v>0</v>
      </c>
      <c r="RU106" s="11">
        <v>0</v>
      </c>
      <c r="RV106" s="11">
        <v>0</v>
      </c>
      <c r="RW106" s="27">
        <f t="shared" si="85"/>
        <v>0</v>
      </c>
      <c r="RX106" s="11">
        <v>1247</v>
      </c>
      <c r="RY106" s="11">
        <v>1285</v>
      </c>
      <c r="RZ106" s="11">
        <v>1460</v>
      </c>
      <c r="SA106" s="11">
        <v>1066</v>
      </c>
      <c r="SB106" s="11">
        <v>1095</v>
      </c>
      <c r="SC106" s="11">
        <v>1162</v>
      </c>
      <c r="SD106" s="11">
        <v>1177</v>
      </c>
      <c r="SE106" s="11">
        <v>1152</v>
      </c>
      <c r="SF106" s="11">
        <v>822</v>
      </c>
      <c r="SG106" s="11">
        <v>949</v>
      </c>
      <c r="SH106" s="11">
        <v>913</v>
      </c>
      <c r="SI106" s="11">
        <v>939</v>
      </c>
      <c r="SJ106" s="27">
        <f t="shared" si="86"/>
        <v>13267</v>
      </c>
      <c r="SK106" s="11">
        <v>316</v>
      </c>
      <c r="SL106" s="11">
        <v>315</v>
      </c>
      <c r="SM106" s="11">
        <v>316</v>
      </c>
      <c r="SN106" s="11">
        <v>315</v>
      </c>
      <c r="SO106" s="11">
        <v>322</v>
      </c>
      <c r="SP106" s="11">
        <v>319</v>
      </c>
      <c r="SQ106" s="11">
        <v>321</v>
      </c>
      <c r="SR106" s="11">
        <v>319</v>
      </c>
      <c r="SS106" s="11">
        <v>317</v>
      </c>
      <c r="ST106" s="11">
        <v>317</v>
      </c>
      <c r="SU106" s="11">
        <v>321</v>
      </c>
      <c r="SV106" s="11">
        <v>319</v>
      </c>
      <c r="SW106" s="27">
        <f t="shared" si="87"/>
        <v>3817</v>
      </c>
      <c r="SX106" s="11" t="s">
        <v>2746</v>
      </c>
      <c r="SY106" s="11">
        <v>5654</v>
      </c>
      <c r="SZ106" s="11">
        <v>5586</v>
      </c>
      <c r="TA106" s="11">
        <v>5219</v>
      </c>
      <c r="TB106" s="11">
        <v>5448</v>
      </c>
      <c r="TC106" s="11">
        <v>5474</v>
      </c>
      <c r="TD106" s="11">
        <v>5431</v>
      </c>
      <c r="TE106" s="11">
        <v>5681</v>
      </c>
      <c r="TF106" s="11">
        <v>5458</v>
      </c>
      <c r="TG106" s="11">
        <v>4435</v>
      </c>
      <c r="TH106" s="11">
        <v>5660</v>
      </c>
      <c r="TI106" s="11">
        <v>5608</v>
      </c>
      <c r="TJ106" s="11">
        <v>5676</v>
      </c>
      <c r="TK106" s="27">
        <f t="shared" si="88"/>
        <v>65330</v>
      </c>
      <c r="TL106" s="11">
        <v>23519</v>
      </c>
      <c r="TM106" s="11">
        <v>23300</v>
      </c>
      <c r="TN106" s="11">
        <v>19724</v>
      </c>
      <c r="TO106" s="11">
        <v>19060</v>
      </c>
      <c r="TP106" s="11">
        <v>19443</v>
      </c>
      <c r="TQ106" s="11">
        <v>19174</v>
      </c>
      <c r="TR106" s="11">
        <v>21001</v>
      </c>
      <c r="TS106" s="11">
        <v>18914</v>
      </c>
      <c r="TT106" s="11">
        <v>34554</v>
      </c>
      <c r="TU106" s="11">
        <v>7143</v>
      </c>
      <c r="TV106" s="11">
        <v>13278</v>
      </c>
      <c r="TW106" s="11">
        <v>24665</v>
      </c>
      <c r="TX106" s="27">
        <f t="shared" si="89"/>
        <v>243775</v>
      </c>
      <c r="TY106" s="11">
        <v>224</v>
      </c>
      <c r="TZ106" s="11">
        <v>39</v>
      </c>
      <c r="UA106" s="11">
        <v>164</v>
      </c>
    </row>
    <row r="107" spans="1:547" ht="16" customHeight="1" x14ac:dyDescent="0.35">
      <c r="A107" s="11" t="s">
        <v>1380</v>
      </c>
      <c r="B107" s="11">
        <v>21447</v>
      </c>
      <c r="C107" s="11" t="s">
        <v>2747</v>
      </c>
      <c r="D107" s="11" t="s">
        <v>2747</v>
      </c>
      <c r="E107" s="11" t="s">
        <v>2747</v>
      </c>
      <c r="F107" s="11">
        <v>192</v>
      </c>
      <c r="G107" s="11">
        <v>215</v>
      </c>
      <c r="H107" s="11">
        <v>193</v>
      </c>
      <c r="I107" s="11">
        <v>219</v>
      </c>
      <c r="J107" s="11">
        <v>219</v>
      </c>
      <c r="K107" s="11">
        <v>241</v>
      </c>
      <c r="L107" s="11">
        <v>234</v>
      </c>
      <c r="M107" s="11">
        <v>231</v>
      </c>
      <c r="N107" s="11">
        <v>159</v>
      </c>
      <c r="O107" s="11">
        <v>240</v>
      </c>
      <c r="P107" s="11" t="s">
        <v>2862</v>
      </c>
      <c r="Q107" s="11">
        <v>235</v>
      </c>
      <c r="R107" s="11">
        <v>236</v>
      </c>
      <c r="S107" s="26">
        <f t="shared" si="45"/>
        <v>2614</v>
      </c>
      <c r="T107" s="11"/>
      <c r="U107" s="11"/>
      <c r="V107" s="11"/>
      <c r="W107" s="11"/>
      <c r="X107" s="11"/>
      <c r="Y107" s="11"/>
      <c r="Z107" s="11"/>
      <c r="AA107" s="11"/>
      <c r="AB107" s="11"/>
      <c r="AC107" s="11"/>
      <c r="AD107" s="11"/>
      <c r="AE107" s="11"/>
      <c r="AF107" s="26">
        <f t="shared" si="46"/>
        <v>0</v>
      </c>
      <c r="AG107" s="11"/>
      <c r="AH107" s="11"/>
      <c r="AI107" s="11"/>
      <c r="AJ107" s="11"/>
      <c r="AK107" s="11"/>
      <c r="AL107" s="11"/>
      <c r="AM107" s="11"/>
      <c r="AN107" s="11"/>
      <c r="AO107" s="11"/>
      <c r="AP107" s="11"/>
      <c r="AQ107" s="11"/>
      <c r="AR107" s="11"/>
      <c r="AS107" s="26">
        <f t="shared" si="47"/>
        <v>0</v>
      </c>
      <c r="AT107" s="11"/>
      <c r="AU107" s="11"/>
      <c r="AV107" s="11"/>
      <c r="AW107" s="11"/>
      <c r="AX107" s="11"/>
      <c r="AY107" s="11"/>
      <c r="AZ107" s="11"/>
      <c r="BA107" s="11"/>
      <c r="BB107" s="11"/>
      <c r="BC107" s="11"/>
      <c r="BD107" s="11"/>
      <c r="BE107" s="11"/>
      <c r="BF107" s="26">
        <f t="shared" si="48"/>
        <v>0</v>
      </c>
      <c r="BG107" s="11"/>
      <c r="BH107" s="11"/>
      <c r="BI107" s="11"/>
      <c r="BJ107" s="11"/>
      <c r="BK107" s="11"/>
      <c r="BL107" s="11"/>
      <c r="BM107" s="11"/>
      <c r="BN107" s="11"/>
      <c r="BO107" s="11"/>
      <c r="BP107" s="11"/>
      <c r="BQ107" s="11"/>
      <c r="BR107" s="11"/>
      <c r="BS107" s="26">
        <f t="shared" si="49"/>
        <v>0</v>
      </c>
      <c r="BT107" s="11">
        <v>0</v>
      </c>
      <c r="BU107" s="11">
        <v>0</v>
      </c>
      <c r="BV107" s="11">
        <v>0</v>
      </c>
      <c r="BW107" s="11">
        <v>0</v>
      </c>
      <c r="BX107" s="11">
        <v>0</v>
      </c>
      <c r="BY107" s="11">
        <v>0</v>
      </c>
      <c r="BZ107" s="11">
        <v>0</v>
      </c>
      <c r="CA107" s="11">
        <v>0</v>
      </c>
      <c r="CB107" s="11">
        <v>0</v>
      </c>
      <c r="CC107" s="11">
        <v>0</v>
      </c>
      <c r="CD107" s="11">
        <v>0</v>
      </c>
      <c r="CE107" s="11">
        <v>0</v>
      </c>
      <c r="CF107" s="26">
        <f t="shared" si="50"/>
        <v>0</v>
      </c>
      <c r="CG107" s="11">
        <v>0</v>
      </c>
      <c r="CH107" s="11">
        <v>0</v>
      </c>
      <c r="CI107" s="11">
        <v>0</v>
      </c>
      <c r="CJ107" s="11">
        <v>0</v>
      </c>
      <c r="CK107" s="11">
        <v>0</v>
      </c>
      <c r="CL107" s="11">
        <v>0</v>
      </c>
      <c r="CM107" s="11">
        <v>0</v>
      </c>
      <c r="CN107" s="11">
        <v>0</v>
      </c>
      <c r="CO107" s="11">
        <v>0</v>
      </c>
      <c r="CP107" s="11">
        <v>0</v>
      </c>
      <c r="CQ107" s="11">
        <v>0</v>
      </c>
      <c r="CR107" s="11">
        <v>0</v>
      </c>
      <c r="CS107" s="26">
        <f t="shared" si="51"/>
        <v>0</v>
      </c>
      <c r="CT107" s="11">
        <v>0</v>
      </c>
      <c r="CU107" s="11">
        <v>0</v>
      </c>
      <c r="CV107" s="11">
        <v>0</v>
      </c>
      <c r="CW107" s="11">
        <v>0</v>
      </c>
      <c r="CX107" s="11">
        <v>0</v>
      </c>
      <c r="CY107" s="11">
        <v>0</v>
      </c>
      <c r="CZ107" s="11">
        <v>0</v>
      </c>
      <c r="DA107" s="11">
        <v>0</v>
      </c>
      <c r="DB107" s="11">
        <v>0</v>
      </c>
      <c r="DC107" s="11">
        <v>0</v>
      </c>
      <c r="DD107" s="11">
        <v>0</v>
      </c>
      <c r="DE107" s="11">
        <v>0</v>
      </c>
      <c r="DF107" s="26">
        <f t="shared" si="52"/>
        <v>0</v>
      </c>
      <c r="DG107" s="11">
        <v>0</v>
      </c>
      <c r="DH107" s="11">
        <v>0</v>
      </c>
      <c r="DI107" s="11">
        <v>0</v>
      </c>
      <c r="DJ107" s="11">
        <v>0</v>
      </c>
      <c r="DK107" s="11">
        <v>0</v>
      </c>
      <c r="DL107" s="11">
        <v>0</v>
      </c>
      <c r="DM107" s="11">
        <v>0</v>
      </c>
      <c r="DN107" s="11">
        <v>0</v>
      </c>
      <c r="DO107" s="11">
        <v>0</v>
      </c>
      <c r="DP107" s="11">
        <v>0</v>
      </c>
      <c r="DQ107" s="11">
        <v>0</v>
      </c>
      <c r="DR107" s="11">
        <v>0</v>
      </c>
      <c r="DS107" s="26">
        <f t="shared" si="53"/>
        <v>0</v>
      </c>
      <c r="DT107" s="11">
        <v>0</v>
      </c>
      <c r="DU107" s="11">
        <v>0</v>
      </c>
      <c r="DV107" s="11">
        <v>0</v>
      </c>
      <c r="DW107" s="11">
        <v>0</v>
      </c>
      <c r="DX107" s="11">
        <v>0</v>
      </c>
      <c r="DY107" s="11">
        <v>0</v>
      </c>
      <c r="DZ107" s="11">
        <v>0</v>
      </c>
      <c r="EA107" s="11">
        <v>0</v>
      </c>
      <c r="EB107" s="11">
        <v>0</v>
      </c>
      <c r="EC107" s="11">
        <v>0</v>
      </c>
      <c r="ED107" s="11">
        <v>0</v>
      </c>
      <c r="EE107" s="11">
        <v>0</v>
      </c>
      <c r="EF107" s="26">
        <f t="shared" si="54"/>
        <v>0</v>
      </c>
      <c r="EG107" s="9">
        <f t="shared" si="55"/>
        <v>0</v>
      </c>
      <c r="EH107" s="9">
        <f t="shared" si="56"/>
        <v>0</v>
      </c>
      <c r="EI107" s="11">
        <v>2889</v>
      </c>
      <c r="EJ107" s="11">
        <v>3970</v>
      </c>
      <c r="EK107" s="11">
        <v>2681</v>
      </c>
      <c r="EL107" s="11">
        <v>1964</v>
      </c>
      <c r="EM107" s="11">
        <v>2647</v>
      </c>
      <c r="EN107" s="11">
        <v>2588</v>
      </c>
      <c r="EO107" s="11">
        <v>3629</v>
      </c>
      <c r="EP107" s="11">
        <v>3020</v>
      </c>
      <c r="EQ107" s="11">
        <v>2154</v>
      </c>
      <c r="ER107" s="11">
        <v>3176</v>
      </c>
      <c r="ES107" s="11">
        <v>3280</v>
      </c>
      <c r="ET107" s="11">
        <v>2960</v>
      </c>
      <c r="EU107" s="26">
        <f t="shared" si="57"/>
        <v>34958</v>
      </c>
      <c r="EV107" s="11"/>
      <c r="EW107" s="11"/>
      <c r="EX107" s="11"/>
      <c r="EY107" s="11"/>
      <c r="EZ107" s="11"/>
      <c r="FA107" s="11"/>
      <c r="FB107" s="11"/>
      <c r="FC107" s="11"/>
      <c r="FD107" s="11"/>
      <c r="FE107" s="11"/>
      <c r="FF107" s="11"/>
      <c r="FG107" s="11"/>
      <c r="FH107" s="26">
        <f t="shared" si="58"/>
        <v>0</v>
      </c>
      <c r="FI107" s="11"/>
      <c r="FJ107" s="11"/>
      <c r="FK107" s="11"/>
      <c r="FL107" s="11"/>
      <c r="FM107" s="11"/>
      <c r="FN107" s="11"/>
      <c r="FO107" s="11"/>
      <c r="FP107" s="11"/>
      <c r="FQ107" s="11"/>
      <c r="FR107" s="11"/>
      <c r="FS107" s="11"/>
      <c r="FT107" s="11"/>
      <c r="FU107" s="26">
        <f t="shared" si="59"/>
        <v>0</v>
      </c>
      <c r="FV107" s="11"/>
      <c r="FW107" s="11"/>
      <c r="FX107" s="11"/>
      <c r="FY107" s="11"/>
      <c r="FZ107" s="11"/>
      <c r="GA107" s="11"/>
      <c r="GB107" s="11"/>
      <c r="GC107" s="11"/>
      <c r="GD107" s="11"/>
      <c r="GE107" s="11"/>
      <c r="GF107" s="11"/>
      <c r="GG107" s="11"/>
      <c r="GH107" s="26">
        <f t="shared" si="60"/>
        <v>0</v>
      </c>
      <c r="GI107" s="11">
        <v>0</v>
      </c>
      <c r="GJ107" s="11">
        <v>0</v>
      </c>
      <c r="GK107" s="11">
        <v>0</v>
      </c>
      <c r="GL107" s="11">
        <v>0</v>
      </c>
      <c r="GM107" s="11">
        <v>0</v>
      </c>
      <c r="GN107" s="11">
        <v>0</v>
      </c>
      <c r="GO107" s="11">
        <v>0</v>
      </c>
      <c r="GP107" s="11">
        <v>0</v>
      </c>
      <c r="GQ107" s="11">
        <v>0</v>
      </c>
      <c r="GR107" s="11">
        <v>0</v>
      </c>
      <c r="GS107" s="11">
        <v>0</v>
      </c>
      <c r="GT107" s="11">
        <v>0</v>
      </c>
      <c r="GU107" s="26">
        <f t="shared" si="61"/>
        <v>0</v>
      </c>
      <c r="GV107" s="11">
        <v>0</v>
      </c>
      <c r="GW107" s="11">
        <v>0</v>
      </c>
      <c r="GX107" s="11">
        <v>0</v>
      </c>
      <c r="GY107" s="11">
        <v>0</v>
      </c>
      <c r="GZ107" s="11">
        <v>0</v>
      </c>
      <c r="HA107" s="11">
        <v>0</v>
      </c>
      <c r="HB107" s="11">
        <v>0</v>
      </c>
      <c r="HC107" s="11">
        <v>0</v>
      </c>
      <c r="HD107" s="11">
        <v>0</v>
      </c>
      <c r="HE107" s="11">
        <v>0</v>
      </c>
      <c r="HF107" s="11">
        <v>0</v>
      </c>
      <c r="HG107" s="11">
        <v>0</v>
      </c>
      <c r="HH107" s="26">
        <f t="shared" si="62"/>
        <v>0</v>
      </c>
      <c r="HI107" s="11">
        <v>0</v>
      </c>
      <c r="HJ107" s="11">
        <v>0</v>
      </c>
      <c r="HK107" s="11">
        <v>0</v>
      </c>
      <c r="HL107" s="11">
        <v>0</v>
      </c>
      <c r="HM107" s="11">
        <v>0</v>
      </c>
      <c r="HN107" s="11">
        <v>0</v>
      </c>
      <c r="HO107" s="11">
        <v>0</v>
      </c>
      <c r="HP107" s="11">
        <v>0</v>
      </c>
      <c r="HQ107" s="11">
        <v>0</v>
      </c>
      <c r="HR107" s="11">
        <v>0</v>
      </c>
      <c r="HS107" s="11">
        <v>0</v>
      </c>
      <c r="HT107" s="11">
        <v>0</v>
      </c>
      <c r="HU107" s="26">
        <f t="shared" si="63"/>
        <v>0</v>
      </c>
      <c r="HV107" s="11">
        <v>0</v>
      </c>
      <c r="HW107" s="11">
        <v>0</v>
      </c>
      <c r="HX107" s="11">
        <v>0</v>
      </c>
      <c r="HY107" s="11">
        <v>0</v>
      </c>
      <c r="HZ107" s="11">
        <v>0</v>
      </c>
      <c r="IA107" s="11">
        <v>0</v>
      </c>
      <c r="IB107" s="11">
        <v>0</v>
      </c>
      <c r="IC107" s="11">
        <v>0</v>
      </c>
      <c r="ID107" s="11">
        <v>0</v>
      </c>
      <c r="IE107" s="11">
        <v>0</v>
      </c>
      <c r="IF107" s="11">
        <v>0</v>
      </c>
      <c r="IG107" s="11">
        <v>0</v>
      </c>
      <c r="IH107" s="26">
        <f t="shared" si="64"/>
        <v>0</v>
      </c>
      <c r="II107" s="9">
        <f t="shared" si="65"/>
        <v>0</v>
      </c>
      <c r="IJ107" s="9">
        <f t="shared" si="66"/>
        <v>0</v>
      </c>
      <c r="IK107" s="11">
        <v>38161</v>
      </c>
      <c r="IL107" s="11">
        <v>31494</v>
      </c>
      <c r="IM107" s="11">
        <v>30731</v>
      </c>
      <c r="IN107" s="11">
        <v>46474</v>
      </c>
      <c r="IO107" s="11">
        <v>50686</v>
      </c>
      <c r="IP107" s="11">
        <v>39700</v>
      </c>
      <c r="IQ107" s="11">
        <v>38208</v>
      </c>
      <c r="IR107" s="11">
        <v>36419</v>
      </c>
      <c r="IS107" s="11">
        <v>28875</v>
      </c>
      <c r="IT107" s="11">
        <v>33908</v>
      </c>
      <c r="IU107" s="11">
        <v>31190</v>
      </c>
      <c r="IV107" s="11">
        <v>34292</v>
      </c>
      <c r="IW107" s="27">
        <f t="shared" si="67"/>
        <v>440138</v>
      </c>
      <c r="IX107" s="11">
        <v>17564</v>
      </c>
      <c r="IY107" s="11">
        <v>14962</v>
      </c>
      <c r="IZ107" s="11">
        <v>15095</v>
      </c>
      <c r="JA107" s="11">
        <v>18549</v>
      </c>
      <c r="JB107" s="11">
        <v>18720</v>
      </c>
      <c r="JC107" s="11">
        <v>17152</v>
      </c>
      <c r="JD107" s="11">
        <v>17442</v>
      </c>
      <c r="JE107" s="11">
        <v>16867</v>
      </c>
      <c r="JF107" s="11">
        <v>14488</v>
      </c>
      <c r="JG107" s="11">
        <v>16801</v>
      </c>
      <c r="JH107" s="11">
        <v>14385</v>
      </c>
      <c r="JI107" s="11">
        <v>16394</v>
      </c>
      <c r="JJ107" s="27">
        <f t="shared" si="68"/>
        <v>198419</v>
      </c>
      <c r="JK107" s="11">
        <v>19086</v>
      </c>
      <c r="JL107" s="11">
        <v>15355</v>
      </c>
      <c r="JM107" s="11">
        <v>14500</v>
      </c>
      <c r="JN107" s="11">
        <v>26001</v>
      </c>
      <c r="JO107" s="11">
        <v>29613</v>
      </c>
      <c r="JP107" s="11">
        <v>20926</v>
      </c>
      <c r="JQ107" s="11">
        <v>19193</v>
      </c>
      <c r="JR107" s="11">
        <v>18191</v>
      </c>
      <c r="JS107" s="11">
        <v>13258</v>
      </c>
      <c r="JT107" s="11">
        <v>15904</v>
      </c>
      <c r="JU107" s="11">
        <v>15775</v>
      </c>
      <c r="JV107" s="11">
        <v>16664</v>
      </c>
      <c r="JW107" s="27">
        <f t="shared" si="69"/>
        <v>224466</v>
      </c>
      <c r="JX107" s="11">
        <v>1511</v>
      </c>
      <c r="JY107" s="11">
        <v>1177</v>
      </c>
      <c r="JZ107" s="11">
        <v>1136</v>
      </c>
      <c r="KA107" s="11">
        <v>1924</v>
      </c>
      <c r="KB107" s="11">
        <v>2353</v>
      </c>
      <c r="KC107" s="11">
        <v>1622</v>
      </c>
      <c r="KD107" s="11">
        <v>1573</v>
      </c>
      <c r="KE107" s="11">
        <v>1361</v>
      </c>
      <c r="KF107" s="11">
        <v>1129</v>
      </c>
      <c r="KG107" s="11">
        <v>1203</v>
      </c>
      <c r="KH107" s="11">
        <v>1030</v>
      </c>
      <c r="KI107" s="11">
        <v>1234</v>
      </c>
      <c r="KJ107" s="27">
        <f t="shared" si="70"/>
        <v>17253</v>
      </c>
      <c r="KK107" s="11">
        <v>901</v>
      </c>
      <c r="KL107" s="11">
        <v>697</v>
      </c>
      <c r="KM107" s="11">
        <v>705</v>
      </c>
      <c r="KN107" s="11">
        <v>1065</v>
      </c>
      <c r="KO107" s="11">
        <v>907</v>
      </c>
      <c r="KP107" s="11">
        <v>817</v>
      </c>
      <c r="KQ107" s="11">
        <v>798</v>
      </c>
      <c r="KR107" s="11">
        <v>830</v>
      </c>
      <c r="KS107" s="11">
        <v>737</v>
      </c>
      <c r="KT107" s="11">
        <v>852</v>
      </c>
      <c r="KU107" s="11">
        <v>661</v>
      </c>
      <c r="KV107" s="11">
        <v>699</v>
      </c>
      <c r="KW107" s="27">
        <f t="shared" si="71"/>
        <v>9669</v>
      </c>
      <c r="KX107" s="11">
        <v>711</v>
      </c>
      <c r="KY107" s="11">
        <v>519</v>
      </c>
      <c r="KZ107" s="11">
        <v>516</v>
      </c>
      <c r="LA107" s="11">
        <v>767</v>
      </c>
      <c r="LB107" s="11">
        <v>544</v>
      </c>
      <c r="LC107" s="11">
        <v>586</v>
      </c>
      <c r="LD107" s="11">
        <v>575</v>
      </c>
      <c r="LE107" s="11">
        <v>631</v>
      </c>
      <c r="LF107" s="11">
        <v>547</v>
      </c>
      <c r="LG107" s="11">
        <v>653</v>
      </c>
      <c r="LH107" s="11">
        <v>462</v>
      </c>
      <c r="LI107" s="11">
        <v>554</v>
      </c>
      <c r="LJ107" s="27">
        <f t="shared" si="72"/>
        <v>7065</v>
      </c>
      <c r="LK107" s="11">
        <v>190</v>
      </c>
      <c r="LL107" s="11">
        <v>178</v>
      </c>
      <c r="LM107" s="11">
        <v>189</v>
      </c>
      <c r="LN107" s="11">
        <v>298</v>
      </c>
      <c r="LO107" s="11">
        <v>363</v>
      </c>
      <c r="LP107" s="11">
        <v>231</v>
      </c>
      <c r="LQ107" s="11">
        <v>223</v>
      </c>
      <c r="LR107" s="11">
        <v>199</v>
      </c>
      <c r="LS107" s="11">
        <v>190</v>
      </c>
      <c r="LT107" s="11">
        <v>199</v>
      </c>
      <c r="LU107" s="11">
        <v>199</v>
      </c>
      <c r="LV107" s="11">
        <v>145</v>
      </c>
      <c r="LW107" s="27">
        <f t="shared" si="73"/>
        <v>2604</v>
      </c>
      <c r="LX107" s="11">
        <v>0</v>
      </c>
      <c r="LY107" s="11">
        <v>0</v>
      </c>
      <c r="LZ107" s="11">
        <v>0</v>
      </c>
      <c r="MA107" s="11">
        <v>0</v>
      </c>
      <c r="MB107" s="11">
        <v>0</v>
      </c>
      <c r="MC107" s="11">
        <v>0</v>
      </c>
      <c r="MD107" s="11">
        <v>0</v>
      </c>
      <c r="ME107" s="11">
        <v>0</v>
      </c>
      <c r="MF107" s="11">
        <v>0</v>
      </c>
      <c r="MG107" s="11">
        <v>0</v>
      </c>
      <c r="MH107" s="11">
        <v>0</v>
      </c>
      <c r="MI107" s="11">
        <v>0</v>
      </c>
      <c r="MJ107" s="27">
        <f t="shared" si="74"/>
        <v>0</v>
      </c>
      <c r="MK107" s="11">
        <v>2029</v>
      </c>
      <c r="ML107" s="11">
        <v>1783</v>
      </c>
      <c r="MM107" s="11">
        <v>2003</v>
      </c>
      <c r="MN107" s="11">
        <v>2036</v>
      </c>
      <c r="MO107" s="11">
        <v>2171</v>
      </c>
      <c r="MP107" s="11">
        <v>2147</v>
      </c>
      <c r="MQ107" s="11">
        <v>2166</v>
      </c>
      <c r="MR107" s="11">
        <v>2027</v>
      </c>
      <c r="MS107" s="11">
        <v>2107</v>
      </c>
      <c r="MT107" s="11">
        <v>2233</v>
      </c>
      <c r="MU107" s="11">
        <v>2080</v>
      </c>
      <c r="MV107" s="11">
        <v>2169</v>
      </c>
      <c r="MW107" s="27">
        <f t="shared" si="75"/>
        <v>24951</v>
      </c>
      <c r="MX107" s="11"/>
      <c r="MY107" s="11"/>
      <c r="MZ107" s="11"/>
      <c r="NA107" s="11"/>
      <c r="NB107" s="11"/>
      <c r="NC107" s="11"/>
      <c r="ND107" s="11"/>
      <c r="NE107" s="11"/>
      <c r="NF107" s="11"/>
      <c r="NG107" s="11"/>
      <c r="NH107" s="11"/>
      <c r="NI107" s="11"/>
      <c r="NJ107" s="27">
        <f t="shared" si="76"/>
        <v>0</v>
      </c>
      <c r="NK107" s="11"/>
      <c r="NL107" s="11"/>
      <c r="NM107" s="11"/>
      <c r="NN107" s="11"/>
      <c r="NO107" s="11"/>
      <c r="NP107" s="11"/>
      <c r="NQ107" s="11"/>
      <c r="NR107" s="11"/>
      <c r="NS107" s="11"/>
      <c r="NT107" s="11"/>
      <c r="NU107" s="11"/>
      <c r="NV107" s="11"/>
      <c r="NW107" s="27">
        <f t="shared" si="77"/>
        <v>0</v>
      </c>
      <c r="NX107" s="11"/>
      <c r="NY107" s="11"/>
      <c r="NZ107" s="11"/>
      <c r="OA107" s="11"/>
      <c r="OB107" s="11"/>
      <c r="OC107" s="11"/>
      <c r="OD107" s="11"/>
      <c r="OE107" s="11"/>
      <c r="OF107" s="11"/>
      <c r="OG107" s="11"/>
      <c r="OH107" s="11"/>
      <c r="OI107" s="11"/>
      <c r="OJ107" s="27">
        <f t="shared" si="78"/>
        <v>0</v>
      </c>
      <c r="OK107" s="11">
        <v>3136</v>
      </c>
      <c r="OL107" s="11">
        <v>2998</v>
      </c>
      <c r="OM107" s="11">
        <v>3080</v>
      </c>
      <c r="ON107" s="11">
        <v>3351</v>
      </c>
      <c r="OO107" s="11">
        <v>3620</v>
      </c>
      <c r="OP107" s="11">
        <v>3483</v>
      </c>
      <c r="OQ107" s="11">
        <v>3412</v>
      </c>
      <c r="OR107" s="11">
        <v>3223</v>
      </c>
      <c r="OS107" s="11">
        <v>3352</v>
      </c>
      <c r="OT107" s="11">
        <v>3533</v>
      </c>
      <c r="OU107" s="11">
        <v>3517</v>
      </c>
      <c r="OV107" s="11">
        <v>2169</v>
      </c>
      <c r="OW107" s="27">
        <f t="shared" si="79"/>
        <v>38874</v>
      </c>
      <c r="OX107" s="11"/>
      <c r="OY107" s="11"/>
      <c r="OZ107" s="11"/>
      <c r="PA107" s="11"/>
      <c r="PB107" s="11"/>
      <c r="PC107" s="11"/>
      <c r="PD107" s="11"/>
      <c r="PE107" s="11"/>
      <c r="PF107" s="11"/>
      <c r="PG107" s="11"/>
      <c r="PH107" s="11"/>
      <c r="PI107" s="11"/>
      <c r="PJ107" s="27">
        <f t="shared" si="80"/>
        <v>0</v>
      </c>
      <c r="PK107" s="11"/>
      <c r="PL107" s="11"/>
      <c r="PM107" s="11"/>
      <c r="PN107" s="11"/>
      <c r="PO107" s="11"/>
      <c r="PP107" s="11"/>
      <c r="PQ107" s="11"/>
      <c r="PR107" s="11"/>
      <c r="PS107" s="11"/>
      <c r="PT107" s="11"/>
      <c r="PU107" s="11"/>
      <c r="PV107" s="11"/>
      <c r="PW107" s="27">
        <f t="shared" si="81"/>
        <v>0</v>
      </c>
      <c r="PX107" s="11"/>
      <c r="PY107" s="11"/>
      <c r="PZ107" s="11"/>
      <c r="QA107" s="11"/>
      <c r="QB107" s="11"/>
      <c r="QC107" s="11"/>
      <c r="QD107" s="11"/>
      <c r="QE107" s="11"/>
      <c r="QF107" s="11"/>
      <c r="QG107" s="11"/>
      <c r="QH107" s="11"/>
      <c r="QI107" s="11"/>
      <c r="QJ107" s="27">
        <f t="shared" si="82"/>
        <v>0</v>
      </c>
      <c r="QK107" s="11">
        <v>26680</v>
      </c>
      <c r="QL107" s="11">
        <v>25551</v>
      </c>
      <c r="QM107" s="11">
        <v>23083</v>
      </c>
      <c r="QN107" s="11">
        <v>28757</v>
      </c>
      <c r="QO107" s="11">
        <v>30982</v>
      </c>
      <c r="QP107" s="11">
        <v>27000</v>
      </c>
      <c r="QQ107" s="11">
        <v>26646</v>
      </c>
      <c r="QR107" s="11">
        <v>26862</v>
      </c>
      <c r="QS107" s="11">
        <v>20572</v>
      </c>
      <c r="QT107" s="11">
        <v>26607</v>
      </c>
      <c r="QU107" s="11">
        <v>26139</v>
      </c>
      <c r="QV107" s="11">
        <v>27783</v>
      </c>
      <c r="QW107" s="27">
        <f t="shared" si="83"/>
        <v>316662</v>
      </c>
      <c r="QX107" s="11">
        <v>639</v>
      </c>
      <c r="QY107" s="11">
        <v>530</v>
      </c>
      <c r="QZ107" s="11">
        <v>565</v>
      </c>
      <c r="RA107" s="11">
        <v>636</v>
      </c>
      <c r="RB107" s="11">
        <v>242</v>
      </c>
      <c r="RC107" s="11">
        <v>368</v>
      </c>
      <c r="RD107" s="11">
        <v>356</v>
      </c>
      <c r="RE107" s="11">
        <v>409</v>
      </c>
      <c r="RF107" s="11">
        <v>298</v>
      </c>
      <c r="RG107" s="11">
        <v>274</v>
      </c>
      <c r="RH107" s="11">
        <v>240</v>
      </c>
      <c r="RI107" s="11">
        <v>288</v>
      </c>
      <c r="RJ107" s="27">
        <f t="shared" si="84"/>
        <v>4845</v>
      </c>
      <c r="RK107" s="11">
        <v>0</v>
      </c>
      <c r="RL107" s="11">
        <v>0</v>
      </c>
      <c r="RM107" s="11">
        <v>0</v>
      </c>
      <c r="RN107" s="11">
        <v>0</v>
      </c>
      <c r="RO107" s="11">
        <v>0</v>
      </c>
      <c r="RP107" s="11">
        <v>0</v>
      </c>
      <c r="RQ107" s="11">
        <v>0</v>
      </c>
      <c r="RR107" s="11">
        <v>0</v>
      </c>
      <c r="RS107" s="11">
        <v>0</v>
      </c>
      <c r="RT107" s="11">
        <v>0</v>
      </c>
      <c r="RU107" s="11">
        <v>0</v>
      </c>
      <c r="RV107" s="11">
        <v>0</v>
      </c>
      <c r="RW107" s="27">
        <f t="shared" si="85"/>
        <v>0</v>
      </c>
      <c r="RX107" s="11">
        <v>1650</v>
      </c>
      <c r="RY107" s="11">
        <v>1371</v>
      </c>
      <c r="RZ107" s="11">
        <v>1368</v>
      </c>
      <c r="SA107" s="11">
        <v>1953</v>
      </c>
      <c r="SB107" s="11">
        <v>964</v>
      </c>
      <c r="SC107" s="11">
        <v>1260</v>
      </c>
      <c r="SD107" s="11">
        <v>905</v>
      </c>
      <c r="SE107" s="11">
        <v>1265</v>
      </c>
      <c r="SF107" s="11">
        <v>979</v>
      </c>
      <c r="SG107" s="11">
        <v>1093</v>
      </c>
      <c r="SH107" s="11">
        <v>659</v>
      </c>
      <c r="SI107" s="11">
        <v>573</v>
      </c>
      <c r="SJ107" s="27">
        <f t="shared" si="86"/>
        <v>14040</v>
      </c>
      <c r="SK107" s="11">
        <v>431</v>
      </c>
      <c r="SL107" s="11">
        <v>371</v>
      </c>
      <c r="SM107" s="11">
        <v>383</v>
      </c>
      <c r="SN107" s="11">
        <v>773</v>
      </c>
      <c r="SO107" s="11">
        <v>52</v>
      </c>
      <c r="SP107" s="11">
        <v>187</v>
      </c>
      <c r="SQ107" s="11">
        <v>487</v>
      </c>
      <c r="SR107" s="11">
        <v>356</v>
      </c>
      <c r="SS107" s="11">
        <v>404</v>
      </c>
      <c r="ST107" s="11">
        <v>426</v>
      </c>
      <c r="SU107" s="11">
        <v>434</v>
      </c>
      <c r="SV107" s="11">
        <v>488</v>
      </c>
      <c r="SW107" s="27">
        <f t="shared" si="87"/>
        <v>4792</v>
      </c>
      <c r="SX107" s="11" t="s">
        <v>2748</v>
      </c>
      <c r="SY107" s="11">
        <v>1085</v>
      </c>
      <c r="SZ107" s="11">
        <v>1039</v>
      </c>
      <c r="TA107" s="11">
        <v>979</v>
      </c>
      <c r="TB107" s="11">
        <v>1192</v>
      </c>
      <c r="TC107" s="11">
        <v>1022</v>
      </c>
      <c r="TD107" s="11">
        <v>1128</v>
      </c>
      <c r="TE107" s="11">
        <v>1310</v>
      </c>
      <c r="TF107" s="11">
        <v>1191</v>
      </c>
      <c r="TG107" s="11">
        <v>951</v>
      </c>
      <c r="TH107" s="11">
        <v>1262</v>
      </c>
      <c r="TI107" s="11">
        <v>1294</v>
      </c>
      <c r="TJ107" s="11">
        <v>1351</v>
      </c>
      <c r="TK107" s="27">
        <f t="shared" si="88"/>
        <v>13804</v>
      </c>
      <c r="TL107" s="11"/>
      <c r="TM107" s="11"/>
      <c r="TN107" s="11"/>
      <c r="TO107" s="11"/>
      <c r="TP107" s="11"/>
      <c r="TQ107" s="11"/>
      <c r="TR107" s="11"/>
      <c r="TS107" s="11"/>
      <c r="TT107" s="11"/>
      <c r="TU107" s="11"/>
      <c r="TV107" s="11"/>
      <c r="TW107" s="11"/>
      <c r="TX107" s="27">
        <f t="shared" si="89"/>
        <v>0</v>
      </c>
      <c r="TY107" s="11">
        <v>46</v>
      </c>
      <c r="TZ107" s="11">
        <v>0</v>
      </c>
      <c r="UA107" s="11">
        <v>0</v>
      </c>
    </row>
    <row r="108" spans="1:547" ht="16" customHeight="1" x14ac:dyDescent="0.35">
      <c r="A108" s="11" t="s">
        <v>1366</v>
      </c>
      <c r="B108" s="11">
        <v>42302</v>
      </c>
      <c r="C108" s="11">
        <v>12565</v>
      </c>
      <c r="D108" s="11">
        <v>26677</v>
      </c>
      <c r="E108" s="11">
        <v>3060</v>
      </c>
      <c r="F108" s="11">
        <v>388</v>
      </c>
      <c r="G108" s="11">
        <v>365</v>
      </c>
      <c r="H108" s="11">
        <v>343</v>
      </c>
      <c r="I108" s="11">
        <v>389</v>
      </c>
      <c r="J108" s="11">
        <v>323</v>
      </c>
      <c r="K108" s="11">
        <v>359</v>
      </c>
      <c r="L108" s="11">
        <v>0</v>
      </c>
      <c r="M108" s="11">
        <v>0</v>
      </c>
      <c r="N108" s="11">
        <v>0</v>
      </c>
      <c r="O108" s="11">
        <v>0</v>
      </c>
      <c r="P108" s="11" t="s">
        <v>2863</v>
      </c>
      <c r="Q108" s="11">
        <v>0</v>
      </c>
      <c r="R108" s="11">
        <v>0</v>
      </c>
      <c r="S108" s="26">
        <f t="shared" si="45"/>
        <v>2167</v>
      </c>
      <c r="T108" s="11">
        <v>0</v>
      </c>
      <c r="U108" s="11">
        <v>0</v>
      </c>
      <c r="V108" s="11">
        <v>0</v>
      </c>
      <c r="W108" s="11">
        <v>0</v>
      </c>
      <c r="X108" s="11">
        <v>0</v>
      </c>
      <c r="Y108" s="11">
        <v>0</v>
      </c>
      <c r="Z108" s="11">
        <v>0</v>
      </c>
      <c r="AA108" s="11">
        <v>0</v>
      </c>
      <c r="AB108" s="11">
        <v>0</v>
      </c>
      <c r="AC108" s="11">
        <v>0</v>
      </c>
      <c r="AD108" s="11">
        <v>0</v>
      </c>
      <c r="AE108" s="11">
        <v>0</v>
      </c>
      <c r="AF108" s="26">
        <f t="shared" si="46"/>
        <v>0</v>
      </c>
      <c r="AG108" s="11">
        <v>0</v>
      </c>
      <c r="AH108" s="11">
        <v>0</v>
      </c>
      <c r="AI108" s="11">
        <v>0</v>
      </c>
      <c r="AJ108" s="11">
        <v>68</v>
      </c>
      <c r="AK108" s="11">
        <v>76</v>
      </c>
      <c r="AL108" s="11">
        <v>4</v>
      </c>
      <c r="AM108" s="11">
        <v>0</v>
      </c>
      <c r="AN108" s="11">
        <v>0</v>
      </c>
      <c r="AO108" s="11">
        <v>0</v>
      </c>
      <c r="AP108" s="11">
        <v>0</v>
      </c>
      <c r="AQ108" s="11">
        <v>0</v>
      </c>
      <c r="AR108" s="11">
        <v>0</v>
      </c>
      <c r="AS108" s="26">
        <f t="shared" si="47"/>
        <v>148</v>
      </c>
      <c r="AT108" s="11">
        <v>0</v>
      </c>
      <c r="AU108" s="11">
        <v>0</v>
      </c>
      <c r="AV108" s="11">
        <v>0</v>
      </c>
      <c r="AW108" s="11">
        <v>0</v>
      </c>
      <c r="AX108" s="11">
        <v>0</v>
      </c>
      <c r="AY108" s="11">
        <v>0</v>
      </c>
      <c r="AZ108" s="11">
        <v>0</v>
      </c>
      <c r="BA108" s="11">
        <v>0</v>
      </c>
      <c r="BB108" s="11">
        <v>0</v>
      </c>
      <c r="BC108" s="11">
        <v>0</v>
      </c>
      <c r="BD108" s="11">
        <v>0</v>
      </c>
      <c r="BE108" s="11">
        <v>0</v>
      </c>
      <c r="BF108" s="26">
        <f t="shared" si="48"/>
        <v>0</v>
      </c>
      <c r="BG108" s="11">
        <v>388</v>
      </c>
      <c r="BH108" s="11">
        <v>365</v>
      </c>
      <c r="BI108" s="11">
        <v>343</v>
      </c>
      <c r="BJ108" s="11">
        <v>321</v>
      </c>
      <c r="BK108" s="11">
        <v>247</v>
      </c>
      <c r="BL108" s="11">
        <v>355</v>
      </c>
      <c r="BM108" s="11">
        <v>389</v>
      </c>
      <c r="BN108" s="11">
        <v>387</v>
      </c>
      <c r="BO108" s="11">
        <v>310</v>
      </c>
      <c r="BP108" s="11">
        <v>401</v>
      </c>
      <c r="BQ108" s="11">
        <v>382</v>
      </c>
      <c r="BR108" s="11">
        <v>419</v>
      </c>
      <c r="BS108" s="26">
        <f t="shared" si="49"/>
        <v>4307</v>
      </c>
      <c r="BT108" s="11">
        <v>0</v>
      </c>
      <c r="BU108" s="11">
        <v>0</v>
      </c>
      <c r="BV108" s="11">
        <v>0</v>
      </c>
      <c r="BW108" s="11">
        <v>0</v>
      </c>
      <c r="BX108" s="11">
        <v>0</v>
      </c>
      <c r="BY108" s="11">
        <v>0</v>
      </c>
      <c r="BZ108" s="11">
        <v>0</v>
      </c>
      <c r="CA108" s="11">
        <v>0</v>
      </c>
      <c r="CB108" s="11">
        <v>0</v>
      </c>
      <c r="CC108" s="11">
        <v>0</v>
      </c>
      <c r="CD108" s="11">
        <v>0</v>
      </c>
      <c r="CE108" s="11">
        <v>0</v>
      </c>
      <c r="CF108" s="26">
        <f t="shared" si="50"/>
        <v>0</v>
      </c>
      <c r="CG108" s="11">
        <v>0</v>
      </c>
      <c r="CH108" s="11">
        <v>0</v>
      </c>
      <c r="CI108" s="11">
        <v>0</v>
      </c>
      <c r="CJ108" s="11">
        <v>0</v>
      </c>
      <c r="CK108" s="11">
        <v>0</v>
      </c>
      <c r="CL108" s="11">
        <v>0</v>
      </c>
      <c r="CM108" s="11">
        <v>0</v>
      </c>
      <c r="CN108" s="11">
        <v>0</v>
      </c>
      <c r="CO108" s="11">
        <v>0</v>
      </c>
      <c r="CP108" s="11">
        <v>0</v>
      </c>
      <c r="CQ108" s="11">
        <v>0</v>
      </c>
      <c r="CR108" s="11">
        <v>0</v>
      </c>
      <c r="CS108" s="26">
        <f t="shared" si="51"/>
        <v>0</v>
      </c>
      <c r="CT108" s="11">
        <v>0</v>
      </c>
      <c r="CU108" s="11">
        <v>0</v>
      </c>
      <c r="CV108" s="11">
        <v>0</v>
      </c>
      <c r="CW108" s="11">
        <v>0</v>
      </c>
      <c r="CX108" s="11">
        <v>0</v>
      </c>
      <c r="CY108" s="11">
        <v>0</v>
      </c>
      <c r="CZ108" s="11">
        <v>0</v>
      </c>
      <c r="DA108" s="11">
        <v>0</v>
      </c>
      <c r="DB108" s="11">
        <v>0</v>
      </c>
      <c r="DC108" s="11">
        <v>0</v>
      </c>
      <c r="DD108" s="11">
        <v>0</v>
      </c>
      <c r="DE108" s="11">
        <v>0</v>
      </c>
      <c r="DF108" s="26">
        <f t="shared" si="52"/>
        <v>0</v>
      </c>
      <c r="DG108" s="11">
        <v>0</v>
      </c>
      <c r="DH108" s="11">
        <v>0</v>
      </c>
      <c r="DI108" s="11">
        <v>0</v>
      </c>
      <c r="DJ108" s="11">
        <v>0</v>
      </c>
      <c r="DK108" s="11">
        <v>0</v>
      </c>
      <c r="DL108" s="11">
        <v>0</v>
      </c>
      <c r="DM108" s="11">
        <v>0</v>
      </c>
      <c r="DN108" s="11">
        <v>0</v>
      </c>
      <c r="DO108" s="11">
        <v>0</v>
      </c>
      <c r="DP108" s="11">
        <v>0</v>
      </c>
      <c r="DQ108" s="11">
        <v>0</v>
      </c>
      <c r="DR108" s="11">
        <v>0</v>
      </c>
      <c r="DS108" s="26">
        <f t="shared" si="53"/>
        <v>0</v>
      </c>
      <c r="DT108" s="11">
        <v>0</v>
      </c>
      <c r="DU108" s="11">
        <v>0</v>
      </c>
      <c r="DV108" s="11">
        <v>0</v>
      </c>
      <c r="DW108" s="11">
        <v>0</v>
      </c>
      <c r="DX108" s="11">
        <v>0</v>
      </c>
      <c r="DY108" s="11">
        <v>0</v>
      </c>
      <c r="DZ108" s="11">
        <v>0</v>
      </c>
      <c r="EA108" s="11">
        <v>0</v>
      </c>
      <c r="EB108" s="11">
        <v>0</v>
      </c>
      <c r="EC108" s="11">
        <v>0</v>
      </c>
      <c r="ED108" s="11">
        <v>0</v>
      </c>
      <c r="EE108" s="11">
        <v>0</v>
      </c>
      <c r="EF108" s="26">
        <f t="shared" si="54"/>
        <v>0</v>
      </c>
      <c r="EG108" s="9">
        <f t="shared" si="55"/>
        <v>4455</v>
      </c>
      <c r="EH108" s="9">
        <f t="shared" si="56"/>
        <v>0</v>
      </c>
      <c r="EI108" s="11">
        <v>30080</v>
      </c>
      <c r="EJ108" s="11">
        <v>2172</v>
      </c>
      <c r="EK108" s="11">
        <v>2968</v>
      </c>
      <c r="EL108" s="11">
        <v>3080</v>
      </c>
      <c r="EM108" s="11">
        <v>3080</v>
      </c>
      <c r="EN108" s="11">
        <v>2536</v>
      </c>
      <c r="EO108" s="11">
        <v>3208</v>
      </c>
      <c r="EP108" s="11">
        <v>2440</v>
      </c>
      <c r="EQ108" s="11">
        <v>1352</v>
      </c>
      <c r="ER108" s="11">
        <v>2832</v>
      </c>
      <c r="ES108" s="11">
        <v>2832</v>
      </c>
      <c r="ET108" s="11">
        <v>3168</v>
      </c>
      <c r="EU108" s="26">
        <f t="shared" si="57"/>
        <v>59748</v>
      </c>
      <c r="EV108" s="11">
        <v>0</v>
      </c>
      <c r="EW108" s="11">
        <v>0</v>
      </c>
      <c r="EX108" s="11">
        <v>0</v>
      </c>
      <c r="EY108" s="11">
        <v>386</v>
      </c>
      <c r="EZ108" s="11">
        <v>582</v>
      </c>
      <c r="FA108" s="11">
        <v>101</v>
      </c>
      <c r="FB108" s="11">
        <v>0</v>
      </c>
      <c r="FC108" s="11">
        <v>0</v>
      </c>
      <c r="FD108" s="11">
        <v>0</v>
      </c>
      <c r="FE108" s="11">
        <v>0</v>
      </c>
      <c r="FF108" s="11">
        <v>0</v>
      </c>
      <c r="FG108" s="11">
        <v>0</v>
      </c>
      <c r="FH108" s="26">
        <f t="shared" si="58"/>
        <v>1069</v>
      </c>
      <c r="FI108" s="11">
        <v>0</v>
      </c>
      <c r="FJ108" s="11">
        <v>0</v>
      </c>
      <c r="FK108" s="11">
        <v>0</v>
      </c>
      <c r="FL108" s="11">
        <v>844</v>
      </c>
      <c r="FM108" s="11">
        <v>1276</v>
      </c>
      <c r="FN108" s="11">
        <v>47</v>
      </c>
      <c r="FO108" s="11">
        <v>0</v>
      </c>
      <c r="FP108" s="11">
        <v>0</v>
      </c>
      <c r="FQ108" s="11">
        <v>0</v>
      </c>
      <c r="FR108" s="11">
        <v>0</v>
      </c>
      <c r="FS108" s="11">
        <v>0</v>
      </c>
      <c r="FT108" s="11">
        <v>0</v>
      </c>
      <c r="FU108" s="26">
        <f t="shared" si="59"/>
        <v>2167</v>
      </c>
      <c r="FV108" s="11">
        <v>0</v>
      </c>
      <c r="FW108" s="11">
        <v>0</v>
      </c>
      <c r="FX108" s="11">
        <v>0</v>
      </c>
      <c r="FY108" s="11">
        <v>0</v>
      </c>
      <c r="FZ108" s="11">
        <v>0</v>
      </c>
      <c r="GA108" s="11">
        <v>0</v>
      </c>
      <c r="GB108" s="11">
        <v>0</v>
      </c>
      <c r="GC108" s="11">
        <v>0</v>
      </c>
      <c r="GD108" s="11">
        <v>0</v>
      </c>
      <c r="GE108" s="11">
        <v>0</v>
      </c>
      <c r="GF108" s="11">
        <v>0</v>
      </c>
      <c r="GG108" s="11">
        <v>0</v>
      </c>
      <c r="GH108" s="26">
        <f t="shared" si="60"/>
        <v>0</v>
      </c>
      <c r="GI108" s="11">
        <v>0</v>
      </c>
      <c r="GJ108" s="11">
        <v>0</v>
      </c>
      <c r="GK108" s="11">
        <v>0</v>
      </c>
      <c r="GL108" s="11">
        <v>0</v>
      </c>
      <c r="GM108" s="11">
        <v>0</v>
      </c>
      <c r="GN108" s="11">
        <v>0</v>
      </c>
      <c r="GO108" s="11">
        <v>0</v>
      </c>
      <c r="GP108" s="11">
        <v>0</v>
      </c>
      <c r="GQ108" s="11">
        <v>0</v>
      </c>
      <c r="GR108" s="11">
        <v>0</v>
      </c>
      <c r="GS108" s="11">
        <v>0</v>
      </c>
      <c r="GT108" s="11">
        <v>0</v>
      </c>
      <c r="GU108" s="26">
        <f t="shared" si="61"/>
        <v>0</v>
      </c>
      <c r="GV108" s="11">
        <v>0</v>
      </c>
      <c r="GW108" s="11">
        <v>0</v>
      </c>
      <c r="GX108" s="11">
        <v>0</v>
      </c>
      <c r="GY108" s="11">
        <v>0</v>
      </c>
      <c r="GZ108" s="11">
        <v>0</v>
      </c>
      <c r="HA108" s="11">
        <v>0</v>
      </c>
      <c r="HB108" s="11">
        <v>0</v>
      </c>
      <c r="HC108" s="11">
        <v>0</v>
      </c>
      <c r="HD108" s="11">
        <v>0</v>
      </c>
      <c r="HE108" s="11">
        <v>0</v>
      </c>
      <c r="HF108" s="11">
        <v>0</v>
      </c>
      <c r="HG108" s="11">
        <v>0</v>
      </c>
      <c r="HH108" s="26">
        <f t="shared" si="62"/>
        <v>0</v>
      </c>
      <c r="HI108" s="11">
        <v>0</v>
      </c>
      <c r="HJ108" s="11">
        <v>0</v>
      </c>
      <c r="HK108" s="11">
        <v>0</v>
      </c>
      <c r="HL108" s="11">
        <v>0</v>
      </c>
      <c r="HM108" s="11">
        <v>0</v>
      </c>
      <c r="HN108" s="11">
        <v>0</v>
      </c>
      <c r="HO108" s="11">
        <v>0</v>
      </c>
      <c r="HP108" s="11">
        <v>0</v>
      </c>
      <c r="HQ108" s="11">
        <v>0</v>
      </c>
      <c r="HR108" s="11">
        <v>0</v>
      </c>
      <c r="HS108" s="11">
        <v>0</v>
      </c>
      <c r="HT108" s="11">
        <v>0</v>
      </c>
      <c r="HU108" s="26">
        <f t="shared" si="63"/>
        <v>0</v>
      </c>
      <c r="HV108" s="11">
        <v>0</v>
      </c>
      <c r="HW108" s="11">
        <v>0</v>
      </c>
      <c r="HX108" s="11">
        <v>0</v>
      </c>
      <c r="HY108" s="11">
        <v>0</v>
      </c>
      <c r="HZ108" s="11">
        <v>0</v>
      </c>
      <c r="IA108" s="11">
        <v>0</v>
      </c>
      <c r="IB108" s="11">
        <v>0</v>
      </c>
      <c r="IC108" s="11">
        <v>0</v>
      </c>
      <c r="ID108" s="11">
        <v>0</v>
      </c>
      <c r="IE108" s="11">
        <v>0</v>
      </c>
      <c r="IF108" s="11">
        <v>0</v>
      </c>
      <c r="IG108" s="11">
        <v>0</v>
      </c>
      <c r="IH108" s="26">
        <f t="shared" si="64"/>
        <v>0</v>
      </c>
      <c r="II108" s="9">
        <f t="shared" si="65"/>
        <v>3236</v>
      </c>
      <c r="IJ108" s="9">
        <f t="shared" si="66"/>
        <v>0</v>
      </c>
      <c r="IK108" s="11">
        <v>30030</v>
      </c>
      <c r="IL108" s="11">
        <v>247407</v>
      </c>
      <c r="IM108" s="11">
        <v>23976</v>
      </c>
      <c r="IN108" s="11">
        <v>36156</v>
      </c>
      <c r="IO108" s="11">
        <v>30914</v>
      </c>
      <c r="IP108" s="11">
        <v>27084</v>
      </c>
      <c r="IQ108" s="11">
        <v>29386</v>
      </c>
      <c r="IR108" s="11">
        <v>25441</v>
      </c>
      <c r="IS108" s="11">
        <v>18976</v>
      </c>
      <c r="IT108" s="11">
        <v>26781</v>
      </c>
      <c r="IU108" s="11">
        <v>26591</v>
      </c>
      <c r="IV108" s="11">
        <v>27430</v>
      </c>
      <c r="IW108" s="27">
        <f t="shared" si="67"/>
        <v>550172</v>
      </c>
      <c r="IX108" s="11">
        <v>14542</v>
      </c>
      <c r="IY108" s="11">
        <v>13637</v>
      </c>
      <c r="IZ108" s="11">
        <v>12551</v>
      </c>
      <c r="JA108" s="11">
        <v>15595</v>
      </c>
      <c r="JB108" s="11">
        <v>12454</v>
      </c>
      <c r="JC108" s="11">
        <v>13403</v>
      </c>
      <c r="JD108" s="11">
        <v>13941</v>
      </c>
      <c r="JE108" s="11">
        <v>12584</v>
      </c>
      <c r="JF108" s="11">
        <v>10022</v>
      </c>
      <c r="JG108" s="11">
        <v>12660</v>
      </c>
      <c r="JH108" s="11">
        <v>11916</v>
      </c>
      <c r="JI108" s="11">
        <v>12018</v>
      </c>
      <c r="JJ108" s="27">
        <f t="shared" si="68"/>
        <v>155323</v>
      </c>
      <c r="JK108" s="11">
        <v>15164</v>
      </c>
      <c r="JL108" s="11">
        <v>13506</v>
      </c>
      <c r="JM108" s="11">
        <v>11088</v>
      </c>
      <c r="JN108" s="11">
        <v>20005</v>
      </c>
      <c r="JO108" s="11">
        <v>17995</v>
      </c>
      <c r="JP108" s="11">
        <v>13249</v>
      </c>
      <c r="JQ108" s="11">
        <v>15152</v>
      </c>
      <c r="JR108" s="11">
        <v>12588</v>
      </c>
      <c r="JS108" s="11">
        <v>8674</v>
      </c>
      <c r="JT108" s="11">
        <v>13852</v>
      </c>
      <c r="JU108" s="11">
        <v>14302</v>
      </c>
      <c r="JV108" s="11">
        <v>18912</v>
      </c>
      <c r="JW108" s="27">
        <f t="shared" si="69"/>
        <v>174487</v>
      </c>
      <c r="JX108" s="11">
        <v>337</v>
      </c>
      <c r="JY108" s="11">
        <v>278</v>
      </c>
      <c r="JZ108" s="11">
        <v>352</v>
      </c>
      <c r="KA108" s="11">
        <v>570</v>
      </c>
      <c r="KB108" s="11">
        <v>475</v>
      </c>
      <c r="KC108" s="11">
        <v>444</v>
      </c>
      <c r="KD108" s="11">
        <v>313</v>
      </c>
      <c r="KE108" s="11">
        <v>278</v>
      </c>
      <c r="KF108" s="11">
        <v>281</v>
      </c>
      <c r="KG108" s="11">
        <v>288</v>
      </c>
      <c r="KH108" s="11">
        <v>384</v>
      </c>
      <c r="KI108" s="11">
        <v>375</v>
      </c>
      <c r="KJ108" s="27">
        <f t="shared" si="70"/>
        <v>4375</v>
      </c>
      <c r="KK108" s="11">
        <v>165</v>
      </c>
      <c r="KL108" s="11">
        <v>185</v>
      </c>
      <c r="KM108" s="11">
        <v>230</v>
      </c>
      <c r="KN108" s="11">
        <v>274</v>
      </c>
      <c r="KO108" s="11">
        <v>245</v>
      </c>
      <c r="KP108" s="11">
        <v>222</v>
      </c>
      <c r="KQ108" s="11">
        <v>205</v>
      </c>
      <c r="KR108" s="11">
        <v>250</v>
      </c>
      <c r="KS108" s="11">
        <v>206</v>
      </c>
      <c r="KT108" s="11">
        <v>234</v>
      </c>
      <c r="KU108" s="11">
        <v>274</v>
      </c>
      <c r="KV108" s="11">
        <v>190</v>
      </c>
      <c r="KW108" s="27">
        <f t="shared" si="71"/>
        <v>2680</v>
      </c>
      <c r="KX108" s="11">
        <v>160</v>
      </c>
      <c r="KY108" s="11">
        <v>180</v>
      </c>
      <c r="KZ108" s="11">
        <v>225</v>
      </c>
      <c r="LA108" s="11">
        <v>270</v>
      </c>
      <c r="LB108" s="11">
        <v>240</v>
      </c>
      <c r="LC108" s="11">
        <v>220</v>
      </c>
      <c r="LD108" s="11">
        <v>200</v>
      </c>
      <c r="LE108" s="11">
        <v>245</v>
      </c>
      <c r="LF108" s="11">
        <v>202</v>
      </c>
      <c r="LG108" s="11">
        <v>231</v>
      </c>
      <c r="LH108" s="11">
        <v>271</v>
      </c>
      <c r="LI108" s="11">
        <v>187</v>
      </c>
      <c r="LJ108" s="27">
        <f t="shared" si="72"/>
        <v>2631</v>
      </c>
      <c r="LK108" s="11">
        <v>5</v>
      </c>
      <c r="LL108" s="11">
        <v>10</v>
      </c>
      <c r="LM108" s="11">
        <v>5</v>
      </c>
      <c r="LN108" s="11">
        <v>4</v>
      </c>
      <c r="LO108" s="11">
        <v>5</v>
      </c>
      <c r="LP108" s="11">
        <v>2</v>
      </c>
      <c r="LQ108" s="11">
        <v>5</v>
      </c>
      <c r="LR108" s="11">
        <v>5</v>
      </c>
      <c r="LS108" s="11">
        <v>4</v>
      </c>
      <c r="LT108" s="11">
        <v>3</v>
      </c>
      <c r="LU108" s="11">
        <v>3</v>
      </c>
      <c r="LV108" s="11">
        <v>3</v>
      </c>
      <c r="LW108" s="27">
        <f t="shared" si="73"/>
        <v>54</v>
      </c>
      <c r="LX108" s="11">
        <v>0</v>
      </c>
      <c r="LY108" s="11">
        <v>0</v>
      </c>
      <c r="LZ108" s="11">
        <v>0</v>
      </c>
      <c r="MA108" s="11">
        <v>0</v>
      </c>
      <c r="MB108" s="11">
        <v>0</v>
      </c>
      <c r="MC108" s="11">
        <v>0</v>
      </c>
      <c r="MD108" s="11">
        <v>0</v>
      </c>
      <c r="ME108" s="11">
        <v>0</v>
      </c>
      <c r="MF108" s="11">
        <v>0</v>
      </c>
      <c r="MG108" s="11">
        <v>0</v>
      </c>
      <c r="MH108" s="11">
        <v>0</v>
      </c>
      <c r="MI108" s="11">
        <v>0</v>
      </c>
      <c r="MJ108" s="27">
        <f t="shared" si="74"/>
        <v>0</v>
      </c>
      <c r="MK108" s="11">
        <v>4593</v>
      </c>
      <c r="ML108" s="11">
        <v>4666</v>
      </c>
      <c r="MM108" s="11">
        <v>4349</v>
      </c>
      <c r="MN108" s="11">
        <v>4831</v>
      </c>
      <c r="MO108" s="11">
        <v>4759</v>
      </c>
      <c r="MP108" s="11">
        <v>4635</v>
      </c>
      <c r="MQ108" s="11">
        <v>4527</v>
      </c>
      <c r="MR108" s="11">
        <v>4267</v>
      </c>
      <c r="MS108" s="11">
        <v>4272</v>
      </c>
      <c r="MT108" s="11">
        <v>4469</v>
      </c>
      <c r="MU108" s="11">
        <v>4016</v>
      </c>
      <c r="MV108" s="11">
        <v>4375</v>
      </c>
      <c r="MW108" s="27">
        <f t="shared" si="75"/>
        <v>53759</v>
      </c>
      <c r="MX108" s="11">
        <v>4022</v>
      </c>
      <c r="MY108" s="11">
        <v>4089</v>
      </c>
      <c r="MZ108" s="11">
        <v>3823</v>
      </c>
      <c r="NA108" s="11">
        <v>4123</v>
      </c>
      <c r="NB108" s="11">
        <v>4051</v>
      </c>
      <c r="NC108" s="11">
        <v>3963</v>
      </c>
      <c r="ND108" s="11">
        <v>3889</v>
      </c>
      <c r="NE108" s="11">
        <v>3677</v>
      </c>
      <c r="NF108" s="11">
        <v>3699</v>
      </c>
      <c r="NG108" s="11">
        <v>3870</v>
      </c>
      <c r="NH108" s="11">
        <v>3458</v>
      </c>
      <c r="NI108" s="11">
        <v>3757</v>
      </c>
      <c r="NJ108" s="27">
        <f t="shared" si="76"/>
        <v>46421</v>
      </c>
      <c r="NK108" s="11">
        <v>389</v>
      </c>
      <c r="NL108" s="11">
        <v>402</v>
      </c>
      <c r="NM108" s="11">
        <v>360</v>
      </c>
      <c r="NN108" s="11">
        <v>500</v>
      </c>
      <c r="NO108" s="11">
        <v>500</v>
      </c>
      <c r="NP108" s="11">
        <v>378</v>
      </c>
      <c r="NQ108" s="11">
        <v>463</v>
      </c>
      <c r="NR108" s="11">
        <v>430</v>
      </c>
      <c r="NS108" s="11">
        <v>413</v>
      </c>
      <c r="NT108" s="11">
        <v>400</v>
      </c>
      <c r="NU108" s="11">
        <v>364</v>
      </c>
      <c r="NV108" s="11">
        <v>411</v>
      </c>
      <c r="NW108" s="27">
        <f t="shared" si="77"/>
        <v>5010</v>
      </c>
      <c r="NX108" s="11">
        <v>182</v>
      </c>
      <c r="NY108" s="11">
        <v>175</v>
      </c>
      <c r="NZ108" s="11">
        <v>166</v>
      </c>
      <c r="OA108" s="11">
        <v>208</v>
      </c>
      <c r="OB108" s="11">
        <v>208</v>
      </c>
      <c r="OC108" s="11">
        <v>170</v>
      </c>
      <c r="OD108" s="11">
        <v>175</v>
      </c>
      <c r="OE108" s="11">
        <v>160</v>
      </c>
      <c r="OF108" s="11">
        <v>159</v>
      </c>
      <c r="OG108" s="11">
        <v>200</v>
      </c>
      <c r="OH108" s="11">
        <v>194</v>
      </c>
      <c r="OI108" s="11">
        <v>206</v>
      </c>
      <c r="OJ108" s="27">
        <f t="shared" si="78"/>
        <v>2203</v>
      </c>
      <c r="OK108" s="11">
        <v>8195</v>
      </c>
      <c r="OL108" s="11">
        <v>8247</v>
      </c>
      <c r="OM108" s="11">
        <v>7965</v>
      </c>
      <c r="ON108" s="11">
        <v>8583</v>
      </c>
      <c r="OO108" s="11">
        <v>8864</v>
      </c>
      <c r="OP108" s="11">
        <v>8608</v>
      </c>
      <c r="OQ108" s="11">
        <v>8632</v>
      </c>
      <c r="OR108" s="11">
        <v>8404</v>
      </c>
      <c r="OS108" s="11">
        <v>8308</v>
      </c>
      <c r="OT108" s="11">
        <v>9201</v>
      </c>
      <c r="OU108" s="11">
        <v>8536</v>
      </c>
      <c r="OV108" s="11">
        <v>8756</v>
      </c>
      <c r="OW108" s="27">
        <f t="shared" si="79"/>
        <v>102299</v>
      </c>
      <c r="OX108" s="11">
        <v>6920</v>
      </c>
      <c r="OY108" s="11">
        <v>7024</v>
      </c>
      <c r="OZ108" s="11">
        <v>6854</v>
      </c>
      <c r="PA108" s="11">
        <v>7257</v>
      </c>
      <c r="PB108" s="11">
        <v>7400</v>
      </c>
      <c r="PC108" s="11">
        <v>7276</v>
      </c>
      <c r="PD108" s="11">
        <v>7247</v>
      </c>
      <c r="PE108" s="11">
        <v>7005</v>
      </c>
      <c r="PF108" s="11">
        <v>6910</v>
      </c>
      <c r="PG108" s="11">
        <v>7726</v>
      </c>
      <c r="PH108" s="11">
        <v>7156</v>
      </c>
      <c r="PI108" s="11">
        <v>8019</v>
      </c>
      <c r="PJ108" s="27">
        <f t="shared" si="80"/>
        <v>86794</v>
      </c>
      <c r="PK108" s="11">
        <v>1012</v>
      </c>
      <c r="PL108" s="11">
        <v>957</v>
      </c>
      <c r="PM108" s="11">
        <v>866</v>
      </c>
      <c r="PN108" s="11">
        <v>1018</v>
      </c>
      <c r="PO108" s="11">
        <v>1177</v>
      </c>
      <c r="PP108" s="11">
        <v>1052</v>
      </c>
      <c r="PQ108" s="11">
        <v>1094</v>
      </c>
      <c r="PR108" s="11">
        <v>1116</v>
      </c>
      <c r="PS108" s="11">
        <v>1114</v>
      </c>
      <c r="PT108" s="11">
        <v>1158</v>
      </c>
      <c r="PU108" s="11">
        <v>1043</v>
      </c>
      <c r="PV108" s="11">
        <v>402</v>
      </c>
      <c r="PW108" s="27">
        <f t="shared" si="81"/>
        <v>12009</v>
      </c>
      <c r="PX108" s="11">
        <v>262</v>
      </c>
      <c r="PY108" s="11">
        <v>265</v>
      </c>
      <c r="PZ108" s="11">
        <v>245</v>
      </c>
      <c r="QA108" s="11">
        <v>308</v>
      </c>
      <c r="QB108" s="11">
        <v>287</v>
      </c>
      <c r="QC108" s="11">
        <v>279</v>
      </c>
      <c r="QD108" s="11">
        <v>290</v>
      </c>
      <c r="QE108" s="11">
        <v>283</v>
      </c>
      <c r="QF108" s="11">
        <v>283</v>
      </c>
      <c r="QG108" s="11">
        <v>317</v>
      </c>
      <c r="QH108" s="11">
        <v>337</v>
      </c>
      <c r="QI108" s="11">
        <v>334</v>
      </c>
      <c r="QJ108" s="27">
        <f t="shared" si="82"/>
        <v>3490</v>
      </c>
      <c r="QK108" s="11">
        <v>66479</v>
      </c>
      <c r="QL108" s="11">
        <v>64373</v>
      </c>
      <c r="QM108" s="11">
        <v>54102</v>
      </c>
      <c r="QN108" s="11">
        <v>61820</v>
      </c>
      <c r="QO108" s="11">
        <v>54474</v>
      </c>
      <c r="QP108" s="11">
        <v>58420</v>
      </c>
      <c r="QQ108" s="11">
        <v>61292</v>
      </c>
      <c r="QR108" s="11">
        <v>41841</v>
      </c>
      <c r="QS108" s="11">
        <v>36040</v>
      </c>
      <c r="QT108" s="11">
        <v>41230</v>
      </c>
      <c r="QU108" s="11">
        <v>40225</v>
      </c>
      <c r="QV108" s="11">
        <v>43792</v>
      </c>
      <c r="QW108" s="27">
        <f t="shared" si="83"/>
        <v>624088</v>
      </c>
      <c r="QX108" s="11">
        <v>49129</v>
      </c>
      <c r="QY108" s="11">
        <v>46819</v>
      </c>
      <c r="QZ108" s="11">
        <v>41436</v>
      </c>
      <c r="RA108" s="11">
        <v>47968</v>
      </c>
      <c r="RB108" s="11">
        <v>51892</v>
      </c>
      <c r="RC108" s="11">
        <v>46919</v>
      </c>
      <c r="RD108" s="11">
        <v>42386</v>
      </c>
      <c r="RE108" s="11">
        <v>49698</v>
      </c>
      <c r="RF108" s="11">
        <v>39589</v>
      </c>
      <c r="RG108" s="11">
        <v>45344</v>
      </c>
      <c r="RH108" s="11">
        <v>44755</v>
      </c>
      <c r="RI108" s="11">
        <v>46471</v>
      </c>
      <c r="RJ108" s="27">
        <f t="shared" si="84"/>
        <v>552406</v>
      </c>
      <c r="RK108" s="11">
        <v>0</v>
      </c>
      <c r="RL108" s="11">
        <v>0</v>
      </c>
      <c r="RM108" s="11">
        <v>0</v>
      </c>
      <c r="RN108" s="11">
        <v>0</v>
      </c>
      <c r="RO108" s="11">
        <v>0</v>
      </c>
      <c r="RP108" s="11">
        <v>0</v>
      </c>
      <c r="RQ108" s="11">
        <v>0</v>
      </c>
      <c r="RR108" s="11">
        <v>0</v>
      </c>
      <c r="RS108" s="11">
        <v>0</v>
      </c>
      <c r="RT108" s="11">
        <v>0</v>
      </c>
      <c r="RU108" s="11">
        <v>0</v>
      </c>
      <c r="RV108" s="11">
        <v>0</v>
      </c>
      <c r="RW108" s="27">
        <f t="shared" si="85"/>
        <v>0</v>
      </c>
      <c r="RX108" s="11">
        <v>0</v>
      </c>
      <c r="RY108" s="11">
        <v>0</v>
      </c>
      <c r="RZ108" s="11">
        <v>0</v>
      </c>
      <c r="SA108" s="11">
        <v>0</v>
      </c>
      <c r="SB108" s="11">
        <v>0</v>
      </c>
      <c r="SC108" s="11">
        <v>0</v>
      </c>
      <c r="SD108" s="11">
        <v>0</v>
      </c>
      <c r="SE108" s="11">
        <v>0</v>
      </c>
      <c r="SF108" s="11">
        <v>0</v>
      </c>
      <c r="SG108" s="11">
        <v>0</v>
      </c>
      <c r="SH108" s="11">
        <v>0</v>
      </c>
      <c r="SI108" s="11">
        <v>0</v>
      </c>
      <c r="SJ108" s="27">
        <f t="shared" si="86"/>
        <v>0</v>
      </c>
      <c r="SK108" s="11">
        <v>100</v>
      </c>
      <c r="SL108" s="11">
        <v>100</v>
      </c>
      <c r="SM108" s="11">
        <v>100</v>
      </c>
      <c r="SN108" s="11">
        <v>100</v>
      </c>
      <c r="SO108" s="11">
        <v>100</v>
      </c>
      <c r="SP108" s="11">
        <v>100</v>
      </c>
      <c r="SQ108" s="11">
        <v>100</v>
      </c>
      <c r="SR108" s="11">
        <v>100</v>
      </c>
      <c r="SS108" s="11">
        <v>100</v>
      </c>
      <c r="ST108" s="11">
        <v>100</v>
      </c>
      <c r="SU108" s="11">
        <v>100</v>
      </c>
      <c r="SV108" s="11">
        <v>100</v>
      </c>
      <c r="SW108" s="27">
        <f t="shared" si="87"/>
        <v>1200</v>
      </c>
      <c r="SX108" s="11" t="s">
        <v>2749</v>
      </c>
      <c r="SY108" s="11">
        <v>3792</v>
      </c>
      <c r="SZ108" s="11">
        <v>1597</v>
      </c>
      <c r="TA108" s="11">
        <v>1363</v>
      </c>
      <c r="TB108" s="11">
        <v>1564</v>
      </c>
      <c r="TC108" s="11">
        <v>1502</v>
      </c>
      <c r="TD108" s="11">
        <v>1537</v>
      </c>
      <c r="TE108" s="11">
        <v>2103</v>
      </c>
      <c r="TF108" s="11">
        <v>2229</v>
      </c>
      <c r="TG108" s="11">
        <v>1759</v>
      </c>
      <c r="TH108" s="11">
        <v>2234</v>
      </c>
      <c r="TI108" s="11">
        <v>2203</v>
      </c>
      <c r="TJ108" s="11">
        <v>2242</v>
      </c>
      <c r="TK108" s="27">
        <f t="shared" si="88"/>
        <v>24125</v>
      </c>
      <c r="TL108" s="11">
        <v>9221</v>
      </c>
      <c r="TM108" s="11">
        <v>8828</v>
      </c>
      <c r="TN108" s="11">
        <v>2372</v>
      </c>
      <c r="TO108" s="11">
        <v>8533</v>
      </c>
      <c r="TP108" s="11">
        <v>7941</v>
      </c>
      <c r="TQ108" s="11">
        <v>8999</v>
      </c>
      <c r="TR108" s="11">
        <v>9893</v>
      </c>
      <c r="TS108" s="11">
        <v>9801</v>
      </c>
      <c r="TT108" s="11">
        <v>8964</v>
      </c>
      <c r="TU108" s="11">
        <v>9873</v>
      </c>
      <c r="TV108" s="11">
        <v>10446</v>
      </c>
      <c r="TW108" s="11">
        <v>10558</v>
      </c>
      <c r="TX108" s="27">
        <f t="shared" si="89"/>
        <v>105429</v>
      </c>
      <c r="TY108" s="11">
        <v>83</v>
      </c>
      <c r="TZ108" s="11">
        <v>0</v>
      </c>
      <c r="UA108" s="11">
        <v>0</v>
      </c>
    </row>
    <row r="109" spans="1:547" ht="16" customHeight="1" x14ac:dyDescent="0.35">
      <c r="A109" s="11" t="s">
        <v>1512</v>
      </c>
      <c r="B109" s="11">
        <v>138904</v>
      </c>
      <c r="C109" s="11">
        <v>42508</v>
      </c>
      <c r="D109" s="11">
        <v>90757</v>
      </c>
      <c r="E109" s="11">
        <v>5639</v>
      </c>
      <c r="F109" s="11">
        <v>802</v>
      </c>
      <c r="G109" s="11">
        <v>889</v>
      </c>
      <c r="H109" s="11">
        <v>853</v>
      </c>
      <c r="I109" s="11">
        <v>971</v>
      </c>
      <c r="J109" s="11">
        <v>815</v>
      </c>
      <c r="K109" s="11">
        <v>769</v>
      </c>
      <c r="L109" s="11">
        <v>909</v>
      </c>
      <c r="M109" s="11">
        <v>836</v>
      </c>
      <c r="N109" s="11">
        <v>770</v>
      </c>
      <c r="O109" s="11">
        <v>832</v>
      </c>
      <c r="P109" s="11" t="s">
        <v>2862</v>
      </c>
      <c r="Q109" s="11">
        <v>822</v>
      </c>
      <c r="R109" s="11">
        <v>941</v>
      </c>
      <c r="S109" s="26">
        <f t="shared" si="45"/>
        <v>10209</v>
      </c>
      <c r="T109" s="11">
        <v>352</v>
      </c>
      <c r="U109" s="11">
        <v>389</v>
      </c>
      <c r="V109" s="11">
        <v>330</v>
      </c>
      <c r="W109" s="11">
        <v>331</v>
      </c>
      <c r="X109" s="11">
        <v>310</v>
      </c>
      <c r="Y109" s="11">
        <v>314</v>
      </c>
      <c r="Z109" s="11">
        <v>354</v>
      </c>
      <c r="AA109" s="11">
        <v>320</v>
      </c>
      <c r="AB109" s="11">
        <v>291</v>
      </c>
      <c r="AC109" s="11">
        <v>344</v>
      </c>
      <c r="AD109" s="11">
        <v>331</v>
      </c>
      <c r="AE109" s="11">
        <v>384</v>
      </c>
      <c r="AF109" s="26">
        <f t="shared" si="46"/>
        <v>4050</v>
      </c>
      <c r="AG109" s="11">
        <v>446</v>
      </c>
      <c r="AH109" s="11">
        <v>493</v>
      </c>
      <c r="AI109" s="11">
        <v>513</v>
      </c>
      <c r="AJ109" s="11">
        <v>620</v>
      </c>
      <c r="AK109" s="11">
        <v>503</v>
      </c>
      <c r="AL109" s="11">
        <v>445</v>
      </c>
      <c r="AM109" s="11">
        <v>543</v>
      </c>
      <c r="AN109" s="11">
        <v>508</v>
      </c>
      <c r="AO109" s="11">
        <v>473</v>
      </c>
      <c r="AP109" s="11">
        <v>481</v>
      </c>
      <c r="AQ109" s="11">
        <v>485</v>
      </c>
      <c r="AR109" s="11">
        <v>540</v>
      </c>
      <c r="AS109" s="26">
        <f t="shared" si="47"/>
        <v>6050</v>
      </c>
      <c r="AT109" s="11">
        <v>1</v>
      </c>
      <c r="AU109" s="11">
        <v>1</v>
      </c>
      <c r="AV109" s="11">
        <v>0</v>
      </c>
      <c r="AW109" s="11">
        <v>1</v>
      </c>
      <c r="AX109" s="11">
        <v>0</v>
      </c>
      <c r="AY109" s="11">
        <v>0</v>
      </c>
      <c r="AZ109" s="11">
        <v>0</v>
      </c>
      <c r="BA109" s="11">
        <v>0</v>
      </c>
      <c r="BB109" s="11">
        <v>1</v>
      </c>
      <c r="BC109" s="11">
        <v>0</v>
      </c>
      <c r="BD109" s="11">
        <v>0</v>
      </c>
      <c r="BE109" s="11">
        <v>0</v>
      </c>
      <c r="BF109" s="26">
        <f t="shared" si="48"/>
        <v>4</v>
      </c>
      <c r="BG109" s="11">
        <v>3</v>
      </c>
      <c r="BH109" s="11">
        <v>6</v>
      </c>
      <c r="BI109" s="11">
        <v>10</v>
      </c>
      <c r="BJ109" s="11">
        <v>19</v>
      </c>
      <c r="BK109" s="11">
        <v>2</v>
      </c>
      <c r="BL109" s="11">
        <v>10</v>
      </c>
      <c r="BM109" s="11">
        <v>12</v>
      </c>
      <c r="BN109" s="11">
        <v>8</v>
      </c>
      <c r="BO109" s="11">
        <v>5</v>
      </c>
      <c r="BP109" s="11">
        <v>7</v>
      </c>
      <c r="BQ109" s="11">
        <v>6</v>
      </c>
      <c r="BR109" s="11">
        <v>17</v>
      </c>
      <c r="BS109" s="26">
        <f t="shared" si="49"/>
        <v>105</v>
      </c>
      <c r="BT109" s="11">
        <v>0</v>
      </c>
      <c r="BU109" s="11">
        <v>0</v>
      </c>
      <c r="BV109" s="11">
        <v>0</v>
      </c>
      <c r="BW109" s="11">
        <v>0</v>
      </c>
      <c r="BX109" s="11">
        <v>2</v>
      </c>
      <c r="BY109" s="11">
        <v>0</v>
      </c>
      <c r="BZ109" s="11">
        <v>2</v>
      </c>
      <c r="CA109" s="11">
        <v>1</v>
      </c>
      <c r="CB109" s="11">
        <v>1</v>
      </c>
      <c r="CC109" s="11">
        <v>1</v>
      </c>
      <c r="CD109" s="11">
        <v>2</v>
      </c>
      <c r="CE109" s="11">
        <v>2</v>
      </c>
      <c r="CF109" s="26">
        <f t="shared" si="50"/>
        <v>11</v>
      </c>
      <c r="CG109" s="11">
        <v>0</v>
      </c>
      <c r="CH109" s="11">
        <v>0</v>
      </c>
      <c r="CI109" s="11">
        <v>0</v>
      </c>
      <c r="CJ109" s="11">
        <v>0</v>
      </c>
      <c r="CK109" s="11">
        <v>0</v>
      </c>
      <c r="CL109" s="11">
        <v>0</v>
      </c>
      <c r="CM109" s="11">
        <v>0</v>
      </c>
      <c r="CN109" s="11">
        <v>0</v>
      </c>
      <c r="CO109" s="11">
        <v>0</v>
      </c>
      <c r="CP109" s="11">
        <v>0</v>
      </c>
      <c r="CQ109" s="11">
        <v>0</v>
      </c>
      <c r="CR109" s="11">
        <v>0</v>
      </c>
      <c r="CS109" s="26">
        <f t="shared" si="51"/>
        <v>0</v>
      </c>
      <c r="CT109" s="11">
        <v>0</v>
      </c>
      <c r="CU109" s="11">
        <v>0</v>
      </c>
      <c r="CV109" s="11">
        <v>0</v>
      </c>
      <c r="CW109" s="11">
        <v>0</v>
      </c>
      <c r="CX109" s="11">
        <v>0</v>
      </c>
      <c r="CY109" s="11">
        <v>0</v>
      </c>
      <c r="CZ109" s="11">
        <v>0</v>
      </c>
      <c r="DA109" s="11">
        <v>0</v>
      </c>
      <c r="DB109" s="11">
        <v>0</v>
      </c>
      <c r="DC109" s="11">
        <v>0</v>
      </c>
      <c r="DD109" s="11">
        <v>0</v>
      </c>
      <c r="DE109" s="11">
        <v>0</v>
      </c>
      <c r="DF109" s="26">
        <f t="shared" si="52"/>
        <v>0</v>
      </c>
      <c r="DG109" s="11">
        <v>0</v>
      </c>
      <c r="DH109" s="11">
        <v>0</v>
      </c>
      <c r="DI109" s="11">
        <v>0</v>
      </c>
      <c r="DJ109" s="11">
        <v>0</v>
      </c>
      <c r="DK109" s="11">
        <v>0</v>
      </c>
      <c r="DL109" s="11">
        <v>0</v>
      </c>
      <c r="DM109" s="11">
        <v>0</v>
      </c>
      <c r="DN109" s="11">
        <v>0</v>
      </c>
      <c r="DO109" s="11">
        <v>0</v>
      </c>
      <c r="DP109" s="11">
        <v>0</v>
      </c>
      <c r="DQ109" s="11">
        <v>0</v>
      </c>
      <c r="DR109" s="11">
        <v>0</v>
      </c>
      <c r="DS109" s="26">
        <f t="shared" si="53"/>
        <v>0</v>
      </c>
      <c r="DT109" s="11">
        <v>0</v>
      </c>
      <c r="DU109" s="11">
        <v>0</v>
      </c>
      <c r="DV109" s="11">
        <v>0</v>
      </c>
      <c r="DW109" s="11">
        <v>0</v>
      </c>
      <c r="DX109" s="11">
        <v>2</v>
      </c>
      <c r="DY109" s="11">
        <v>0</v>
      </c>
      <c r="DZ109" s="11">
        <v>2</v>
      </c>
      <c r="EA109" s="11">
        <v>1</v>
      </c>
      <c r="EB109" s="11">
        <v>1</v>
      </c>
      <c r="EC109" s="11">
        <v>1</v>
      </c>
      <c r="ED109" s="11">
        <v>2</v>
      </c>
      <c r="EE109" s="11">
        <v>2</v>
      </c>
      <c r="EF109" s="26">
        <f t="shared" si="54"/>
        <v>11</v>
      </c>
      <c r="EG109" s="9">
        <f t="shared" si="55"/>
        <v>10209</v>
      </c>
      <c r="EH109" s="9">
        <f t="shared" si="56"/>
        <v>11</v>
      </c>
      <c r="EI109" s="11">
        <v>14097</v>
      </c>
      <c r="EJ109" s="11">
        <v>14227</v>
      </c>
      <c r="EK109" s="11">
        <v>25251</v>
      </c>
      <c r="EL109" s="11">
        <v>53127</v>
      </c>
      <c r="EM109" s="11">
        <v>13262</v>
      </c>
      <c r="EN109" s="11">
        <v>12958</v>
      </c>
      <c r="EO109" s="11">
        <v>16657</v>
      </c>
      <c r="EP109" s="11">
        <v>14681</v>
      </c>
      <c r="EQ109" s="11">
        <v>11393</v>
      </c>
      <c r="ER109" s="11">
        <v>18429</v>
      </c>
      <c r="ES109" s="11">
        <v>15767</v>
      </c>
      <c r="ET109" s="11">
        <v>16732</v>
      </c>
      <c r="EU109" s="26">
        <f t="shared" si="57"/>
        <v>226581</v>
      </c>
      <c r="EV109" s="11">
        <v>7511</v>
      </c>
      <c r="EW109" s="11">
        <v>7630</v>
      </c>
      <c r="EX109" s="11">
        <v>7522</v>
      </c>
      <c r="EY109" s="11">
        <v>9217</v>
      </c>
      <c r="EZ109" s="11">
        <v>7212</v>
      </c>
      <c r="FA109" s="11">
        <v>7186</v>
      </c>
      <c r="FB109" s="11">
        <v>9037</v>
      </c>
      <c r="FC109" s="11">
        <v>7847</v>
      </c>
      <c r="FD109" s="11">
        <v>6399</v>
      </c>
      <c r="FE109" s="11">
        <v>7884</v>
      </c>
      <c r="FF109" s="11">
        <v>8150</v>
      </c>
      <c r="FG109" s="11">
        <v>8878</v>
      </c>
      <c r="FH109" s="26">
        <f t="shared" si="58"/>
        <v>94473</v>
      </c>
      <c r="FI109" s="11">
        <v>6586</v>
      </c>
      <c r="FJ109" s="11">
        <v>6597</v>
      </c>
      <c r="FK109" s="11">
        <v>17729</v>
      </c>
      <c r="FL109" s="11">
        <v>43910</v>
      </c>
      <c r="FM109" s="11">
        <v>6050</v>
      </c>
      <c r="FN109" s="11">
        <v>5772</v>
      </c>
      <c r="FO109" s="11">
        <v>7620</v>
      </c>
      <c r="FP109" s="11">
        <v>6834</v>
      </c>
      <c r="FQ109" s="11">
        <v>4994</v>
      </c>
      <c r="FR109" s="11">
        <v>10545</v>
      </c>
      <c r="FS109" s="11">
        <v>7617</v>
      </c>
      <c r="FT109" s="11">
        <v>7854</v>
      </c>
      <c r="FU109" s="26">
        <f t="shared" si="59"/>
        <v>132108</v>
      </c>
      <c r="FV109" s="11">
        <v>0</v>
      </c>
      <c r="FW109" s="11">
        <v>0</v>
      </c>
      <c r="FX109" s="11">
        <v>0</v>
      </c>
      <c r="FY109" s="11">
        <v>0</v>
      </c>
      <c r="FZ109" s="11">
        <v>0</v>
      </c>
      <c r="GA109" s="11">
        <v>0</v>
      </c>
      <c r="GB109" s="11">
        <v>0</v>
      </c>
      <c r="GC109" s="11">
        <v>0</v>
      </c>
      <c r="GD109" s="11">
        <v>0</v>
      </c>
      <c r="GE109" s="11">
        <v>0</v>
      </c>
      <c r="GF109" s="11">
        <v>0</v>
      </c>
      <c r="GG109" s="11">
        <v>0</v>
      </c>
      <c r="GH109" s="26">
        <f t="shared" si="60"/>
        <v>0</v>
      </c>
      <c r="GI109" s="11">
        <v>0</v>
      </c>
      <c r="GJ109" s="11">
        <v>0</v>
      </c>
      <c r="GK109" s="11">
        <v>0</v>
      </c>
      <c r="GL109" s="11">
        <v>0</v>
      </c>
      <c r="GM109" s="11">
        <v>12</v>
      </c>
      <c r="GN109" s="11">
        <v>0</v>
      </c>
      <c r="GO109" s="11">
        <v>2</v>
      </c>
      <c r="GP109" s="11">
        <v>16</v>
      </c>
      <c r="GQ109" s="11">
        <v>3</v>
      </c>
      <c r="GR109" s="11">
        <v>1</v>
      </c>
      <c r="GS109" s="11">
        <v>21</v>
      </c>
      <c r="GT109" s="11">
        <v>6</v>
      </c>
      <c r="GU109" s="26">
        <f t="shared" si="61"/>
        <v>61</v>
      </c>
      <c r="GV109" s="11">
        <v>0</v>
      </c>
      <c r="GW109" s="11">
        <v>0</v>
      </c>
      <c r="GX109" s="11">
        <v>0</v>
      </c>
      <c r="GY109" s="11">
        <v>0</v>
      </c>
      <c r="GZ109" s="11">
        <v>12</v>
      </c>
      <c r="HA109" s="11">
        <v>0</v>
      </c>
      <c r="HB109" s="11">
        <v>2</v>
      </c>
      <c r="HC109" s="11">
        <v>16</v>
      </c>
      <c r="HD109" s="11">
        <v>3</v>
      </c>
      <c r="HE109" s="11">
        <v>1</v>
      </c>
      <c r="HF109" s="11">
        <v>21</v>
      </c>
      <c r="HG109" s="11">
        <v>6</v>
      </c>
      <c r="HH109" s="26">
        <f t="shared" si="62"/>
        <v>61</v>
      </c>
      <c r="HI109" s="11">
        <v>0</v>
      </c>
      <c r="HJ109" s="11">
        <v>0</v>
      </c>
      <c r="HK109" s="11">
        <v>0</v>
      </c>
      <c r="HL109" s="11">
        <v>0</v>
      </c>
      <c r="HM109" s="11">
        <v>0</v>
      </c>
      <c r="HN109" s="11">
        <v>0</v>
      </c>
      <c r="HO109" s="11">
        <v>0</v>
      </c>
      <c r="HP109" s="11">
        <v>0</v>
      </c>
      <c r="HQ109" s="11">
        <v>0</v>
      </c>
      <c r="HR109" s="11">
        <v>0</v>
      </c>
      <c r="HS109" s="11">
        <v>0</v>
      </c>
      <c r="HT109" s="11">
        <v>0</v>
      </c>
      <c r="HU109" s="26">
        <f t="shared" si="63"/>
        <v>0</v>
      </c>
      <c r="HV109" s="11">
        <v>0</v>
      </c>
      <c r="HW109" s="11">
        <v>0</v>
      </c>
      <c r="HX109" s="11">
        <v>0</v>
      </c>
      <c r="HY109" s="11">
        <v>0</v>
      </c>
      <c r="HZ109" s="11">
        <v>0</v>
      </c>
      <c r="IA109" s="11">
        <v>0</v>
      </c>
      <c r="IB109" s="11">
        <v>0</v>
      </c>
      <c r="IC109" s="11">
        <v>0</v>
      </c>
      <c r="ID109" s="11">
        <v>0</v>
      </c>
      <c r="IE109" s="11">
        <v>0</v>
      </c>
      <c r="IF109" s="11">
        <v>0</v>
      </c>
      <c r="IG109" s="11">
        <v>0</v>
      </c>
      <c r="IH109" s="26">
        <f t="shared" si="64"/>
        <v>0</v>
      </c>
      <c r="II109" s="9">
        <f t="shared" si="65"/>
        <v>226581</v>
      </c>
      <c r="IJ109" s="9">
        <f t="shared" si="66"/>
        <v>61</v>
      </c>
      <c r="IK109" s="11">
        <v>256036</v>
      </c>
      <c r="IL109" s="11">
        <v>242722</v>
      </c>
      <c r="IM109" s="11">
        <v>226696</v>
      </c>
      <c r="IN109" s="11">
        <v>277989</v>
      </c>
      <c r="IO109" s="11">
        <v>286243</v>
      </c>
      <c r="IP109" s="11">
        <v>244407</v>
      </c>
      <c r="IQ109" s="11">
        <v>258284</v>
      </c>
      <c r="IR109" s="11">
        <v>239706</v>
      </c>
      <c r="IS109" s="11">
        <v>202588</v>
      </c>
      <c r="IT109" s="11">
        <v>229888</v>
      </c>
      <c r="IU109" s="11">
        <v>222017</v>
      </c>
      <c r="IV109" s="11">
        <v>241574</v>
      </c>
      <c r="IW109" s="27">
        <f t="shared" si="67"/>
        <v>2928150</v>
      </c>
      <c r="IX109" s="11">
        <v>139327</v>
      </c>
      <c r="IY109" s="11">
        <v>136724</v>
      </c>
      <c r="IZ109" s="11">
        <v>129869</v>
      </c>
      <c r="JA109" s="11">
        <v>142772</v>
      </c>
      <c r="JB109" s="11">
        <v>144385</v>
      </c>
      <c r="JC109" s="11">
        <v>132899</v>
      </c>
      <c r="JD109" s="11">
        <v>139660</v>
      </c>
      <c r="JE109" s="11">
        <v>132070</v>
      </c>
      <c r="JF109" s="11">
        <v>118760</v>
      </c>
      <c r="JG109" s="11">
        <v>131284</v>
      </c>
      <c r="JH109" s="11">
        <v>122600</v>
      </c>
      <c r="JI109" s="11">
        <v>135416</v>
      </c>
      <c r="JJ109" s="27">
        <f t="shared" si="68"/>
        <v>1605766</v>
      </c>
      <c r="JK109" s="11">
        <v>116709</v>
      </c>
      <c r="JL109" s="11">
        <v>105998</v>
      </c>
      <c r="JM109" s="11">
        <v>96827</v>
      </c>
      <c r="JN109" s="11">
        <v>135217</v>
      </c>
      <c r="JO109" s="11">
        <v>141858</v>
      </c>
      <c r="JP109" s="11">
        <v>111508</v>
      </c>
      <c r="JQ109" s="11">
        <v>118624</v>
      </c>
      <c r="JR109" s="11">
        <v>107636</v>
      </c>
      <c r="JS109" s="11">
        <v>83828</v>
      </c>
      <c r="JT109" s="11">
        <v>98604</v>
      </c>
      <c r="JU109" s="11">
        <v>99417</v>
      </c>
      <c r="JV109" s="11">
        <v>106158</v>
      </c>
      <c r="JW109" s="27">
        <f t="shared" si="69"/>
        <v>1322384</v>
      </c>
      <c r="JX109" s="11">
        <v>0</v>
      </c>
      <c r="JY109" s="11">
        <v>0</v>
      </c>
      <c r="JZ109" s="11">
        <v>0</v>
      </c>
      <c r="KA109" s="11">
        <v>0</v>
      </c>
      <c r="KB109" s="11">
        <v>0</v>
      </c>
      <c r="KC109" s="11">
        <v>0</v>
      </c>
      <c r="KD109" s="11">
        <v>0</v>
      </c>
      <c r="KE109" s="11">
        <v>0</v>
      </c>
      <c r="KF109" s="11">
        <v>0</v>
      </c>
      <c r="KG109" s="11">
        <v>0</v>
      </c>
      <c r="KH109" s="11">
        <v>0</v>
      </c>
      <c r="KI109" s="11">
        <v>0</v>
      </c>
      <c r="KJ109" s="27">
        <f t="shared" si="70"/>
        <v>0</v>
      </c>
      <c r="KK109" s="11">
        <v>4470</v>
      </c>
      <c r="KL109" s="11">
        <v>4263</v>
      </c>
      <c r="KM109" s="11">
        <v>4141</v>
      </c>
      <c r="KN109" s="11">
        <v>5021</v>
      </c>
      <c r="KO109" s="11">
        <v>4962</v>
      </c>
      <c r="KP109" s="11">
        <v>4375</v>
      </c>
      <c r="KQ109" s="11">
        <v>4426</v>
      </c>
      <c r="KR109" s="11">
        <v>3940</v>
      </c>
      <c r="KS109" s="11">
        <v>3712</v>
      </c>
      <c r="KT109" s="11">
        <v>3770</v>
      </c>
      <c r="KU109" s="11">
        <v>3578</v>
      </c>
      <c r="KV109" s="11">
        <v>3966</v>
      </c>
      <c r="KW109" s="27">
        <f t="shared" si="71"/>
        <v>50624</v>
      </c>
      <c r="KX109" s="11">
        <v>3290</v>
      </c>
      <c r="KY109" s="11">
        <v>3205</v>
      </c>
      <c r="KZ109" s="11">
        <v>3065</v>
      </c>
      <c r="LA109" s="11">
        <v>3228</v>
      </c>
      <c r="LB109" s="11">
        <v>3077</v>
      </c>
      <c r="LC109" s="11">
        <v>3198</v>
      </c>
      <c r="LD109" s="11">
        <v>3202</v>
      </c>
      <c r="LE109" s="11">
        <v>3000</v>
      </c>
      <c r="LF109" s="11">
        <v>2959</v>
      </c>
      <c r="LG109" s="11">
        <v>3025</v>
      </c>
      <c r="LH109" s="11">
        <v>2702</v>
      </c>
      <c r="LI109" s="11">
        <v>2939</v>
      </c>
      <c r="LJ109" s="27">
        <f t="shared" si="72"/>
        <v>36890</v>
      </c>
      <c r="LK109" s="11">
        <v>1180</v>
      </c>
      <c r="LL109" s="11">
        <v>1058</v>
      </c>
      <c r="LM109" s="11">
        <v>1076</v>
      </c>
      <c r="LN109" s="11">
        <v>1793</v>
      </c>
      <c r="LO109" s="11">
        <v>1885</v>
      </c>
      <c r="LP109" s="11">
        <v>1177</v>
      </c>
      <c r="LQ109" s="11">
        <v>1224</v>
      </c>
      <c r="LR109" s="11">
        <v>940</v>
      </c>
      <c r="LS109" s="11">
        <v>753</v>
      </c>
      <c r="LT109" s="11">
        <v>745</v>
      </c>
      <c r="LU109" s="11">
        <v>876</v>
      </c>
      <c r="LV109" s="11">
        <v>1027</v>
      </c>
      <c r="LW109" s="27">
        <f t="shared" si="73"/>
        <v>13734</v>
      </c>
      <c r="LX109" s="11">
        <v>0</v>
      </c>
      <c r="LY109" s="11">
        <v>0</v>
      </c>
      <c r="LZ109" s="11">
        <v>0</v>
      </c>
      <c r="MA109" s="11">
        <v>0</v>
      </c>
      <c r="MB109" s="11">
        <v>0</v>
      </c>
      <c r="MC109" s="11">
        <v>0</v>
      </c>
      <c r="MD109" s="11">
        <v>0</v>
      </c>
      <c r="ME109" s="11">
        <v>0</v>
      </c>
      <c r="MF109" s="11">
        <v>0</v>
      </c>
      <c r="MG109" s="11">
        <v>0</v>
      </c>
      <c r="MH109" s="11">
        <v>0</v>
      </c>
      <c r="MI109" s="11">
        <v>0</v>
      </c>
      <c r="MJ109" s="27">
        <f t="shared" si="74"/>
        <v>0</v>
      </c>
      <c r="MK109" s="11">
        <v>10761</v>
      </c>
      <c r="ML109" s="11">
        <v>11098</v>
      </c>
      <c r="MM109" s="11">
        <v>10898</v>
      </c>
      <c r="MN109" s="11">
        <v>11283</v>
      </c>
      <c r="MO109" s="11">
        <v>12178</v>
      </c>
      <c r="MP109" s="11">
        <v>11700</v>
      </c>
      <c r="MQ109" s="11">
        <v>11715</v>
      </c>
      <c r="MR109" s="11">
        <v>10975</v>
      </c>
      <c r="MS109" s="11">
        <v>10532</v>
      </c>
      <c r="MT109" s="11">
        <v>11726</v>
      </c>
      <c r="MU109" s="11">
        <v>10706</v>
      </c>
      <c r="MV109" s="11">
        <v>11161</v>
      </c>
      <c r="MW109" s="27">
        <f t="shared" si="75"/>
        <v>134733</v>
      </c>
      <c r="MX109" s="11">
        <v>9822</v>
      </c>
      <c r="MY109" s="11">
        <v>10111</v>
      </c>
      <c r="MZ109" s="11">
        <v>9882</v>
      </c>
      <c r="NA109" s="11">
        <v>10219</v>
      </c>
      <c r="NB109" s="11">
        <v>10999</v>
      </c>
      <c r="NC109" s="11">
        <v>10769</v>
      </c>
      <c r="ND109" s="11">
        <v>10749</v>
      </c>
      <c r="NE109" s="11">
        <v>9992</v>
      </c>
      <c r="NF109" s="11">
        <v>9496</v>
      </c>
      <c r="NG109" s="11">
        <v>10392</v>
      </c>
      <c r="NH109" s="11">
        <v>9440</v>
      </c>
      <c r="NI109" s="11">
        <v>9954</v>
      </c>
      <c r="NJ109" s="27">
        <f t="shared" si="76"/>
        <v>121825</v>
      </c>
      <c r="NK109" s="11">
        <v>535</v>
      </c>
      <c r="NL109" s="11">
        <v>566</v>
      </c>
      <c r="NM109" s="11">
        <v>585</v>
      </c>
      <c r="NN109" s="11">
        <v>621</v>
      </c>
      <c r="NO109" s="11">
        <v>737</v>
      </c>
      <c r="NP109" s="11">
        <v>549</v>
      </c>
      <c r="NQ109" s="11">
        <v>591</v>
      </c>
      <c r="NR109" s="11">
        <v>627</v>
      </c>
      <c r="NS109" s="11">
        <v>722</v>
      </c>
      <c r="NT109" s="11">
        <v>864</v>
      </c>
      <c r="NU109" s="11">
        <v>819</v>
      </c>
      <c r="NV109" s="11">
        <v>705</v>
      </c>
      <c r="NW109" s="27">
        <f t="shared" si="77"/>
        <v>7921</v>
      </c>
      <c r="NX109" s="11">
        <v>404</v>
      </c>
      <c r="NY109" s="11">
        <v>421</v>
      </c>
      <c r="NZ109" s="11">
        <v>431</v>
      </c>
      <c r="OA109" s="11">
        <v>443</v>
      </c>
      <c r="OB109" s="11">
        <v>442</v>
      </c>
      <c r="OC109" s="11">
        <v>382</v>
      </c>
      <c r="OD109" s="11">
        <v>375</v>
      </c>
      <c r="OE109" s="11">
        <v>356</v>
      </c>
      <c r="OF109" s="11">
        <v>314</v>
      </c>
      <c r="OG109" s="11">
        <v>470</v>
      </c>
      <c r="OH109" s="11">
        <v>447</v>
      </c>
      <c r="OI109" s="11">
        <v>502</v>
      </c>
      <c r="OJ109" s="27">
        <f t="shared" si="78"/>
        <v>4987</v>
      </c>
      <c r="OK109" s="11">
        <v>14753</v>
      </c>
      <c r="OL109" s="11">
        <v>14833</v>
      </c>
      <c r="OM109" s="11">
        <v>14787</v>
      </c>
      <c r="ON109" s="11">
        <v>15732</v>
      </c>
      <c r="OO109" s="11">
        <v>15859</v>
      </c>
      <c r="OP109" s="11">
        <v>15800</v>
      </c>
      <c r="OQ109" s="11">
        <v>16102</v>
      </c>
      <c r="OR109" s="11">
        <v>15971</v>
      </c>
      <c r="OS109" s="11">
        <v>15674</v>
      </c>
      <c r="OT109" s="11">
        <v>18027</v>
      </c>
      <c r="OU109" s="11">
        <v>16526</v>
      </c>
      <c r="OV109" s="11">
        <v>18161</v>
      </c>
      <c r="OW109" s="27">
        <f t="shared" si="79"/>
        <v>192225</v>
      </c>
      <c r="OX109" s="11">
        <v>11923</v>
      </c>
      <c r="OY109" s="11">
        <v>12063</v>
      </c>
      <c r="OZ109" s="11">
        <v>12153</v>
      </c>
      <c r="PA109" s="11">
        <v>12759</v>
      </c>
      <c r="PB109" s="11">
        <v>12821</v>
      </c>
      <c r="PC109" s="11">
        <v>12681</v>
      </c>
      <c r="PD109" s="11">
        <v>13123</v>
      </c>
      <c r="PE109" s="11">
        <v>12996</v>
      </c>
      <c r="PF109" s="11">
        <v>12796</v>
      </c>
      <c r="PG109" s="11">
        <v>14799</v>
      </c>
      <c r="PH109" s="11">
        <v>13395</v>
      </c>
      <c r="PI109" s="11">
        <v>14849</v>
      </c>
      <c r="PJ109" s="27">
        <f t="shared" si="80"/>
        <v>156358</v>
      </c>
      <c r="PK109" s="11">
        <v>1833</v>
      </c>
      <c r="PL109" s="11">
        <v>1837</v>
      </c>
      <c r="PM109" s="11">
        <v>1699</v>
      </c>
      <c r="PN109" s="11">
        <v>2025</v>
      </c>
      <c r="PO109" s="11">
        <v>2169</v>
      </c>
      <c r="PP109" s="11">
        <v>2022</v>
      </c>
      <c r="PQ109" s="11">
        <v>2095</v>
      </c>
      <c r="PR109" s="11">
        <v>2140</v>
      </c>
      <c r="PS109" s="11">
        <v>2112</v>
      </c>
      <c r="PT109" s="11">
        <v>2179</v>
      </c>
      <c r="PU109" s="11">
        <v>2105</v>
      </c>
      <c r="PV109" s="11">
        <v>2185</v>
      </c>
      <c r="PW109" s="27">
        <f t="shared" si="81"/>
        <v>24401</v>
      </c>
      <c r="PX109" s="11">
        <v>997</v>
      </c>
      <c r="PY109" s="11">
        <v>933</v>
      </c>
      <c r="PZ109" s="11">
        <v>935</v>
      </c>
      <c r="QA109" s="11">
        <v>948</v>
      </c>
      <c r="QB109" s="11">
        <v>869</v>
      </c>
      <c r="QC109" s="11">
        <v>1097</v>
      </c>
      <c r="QD109" s="11">
        <v>884</v>
      </c>
      <c r="QE109" s="11">
        <v>835</v>
      </c>
      <c r="QF109" s="11">
        <v>766</v>
      </c>
      <c r="QG109" s="11">
        <v>1049</v>
      </c>
      <c r="QH109" s="11">
        <v>1026</v>
      </c>
      <c r="QI109" s="11">
        <v>1127</v>
      </c>
      <c r="QJ109" s="27">
        <f t="shared" si="82"/>
        <v>11466</v>
      </c>
      <c r="QK109" s="11">
        <v>177001</v>
      </c>
      <c r="QL109" s="11">
        <v>173605</v>
      </c>
      <c r="QM109" s="11">
        <v>160213</v>
      </c>
      <c r="QN109" s="11">
        <v>193585</v>
      </c>
      <c r="QO109" s="11">
        <v>198927</v>
      </c>
      <c r="QP109" s="11">
        <v>171648</v>
      </c>
      <c r="QQ109" s="11">
        <v>186811</v>
      </c>
      <c r="QR109" s="11">
        <v>173066</v>
      </c>
      <c r="QS109" s="11">
        <v>142517</v>
      </c>
      <c r="QT109" s="11">
        <v>170075</v>
      </c>
      <c r="QU109" s="11">
        <v>162623</v>
      </c>
      <c r="QV109" s="11">
        <v>175916</v>
      </c>
      <c r="QW109" s="27">
        <f t="shared" si="83"/>
        <v>2085987</v>
      </c>
      <c r="QX109" s="11">
        <v>12392</v>
      </c>
      <c r="QY109" s="11">
        <v>12069</v>
      </c>
      <c r="QZ109" s="11">
        <v>11564</v>
      </c>
      <c r="RA109" s="11">
        <v>13595</v>
      </c>
      <c r="RB109" s="11">
        <v>12794</v>
      </c>
      <c r="RC109" s="11">
        <v>11763</v>
      </c>
      <c r="RD109" s="11">
        <v>12833</v>
      </c>
      <c r="RE109" s="11">
        <v>12328</v>
      </c>
      <c r="RF109" s="11">
        <v>9133</v>
      </c>
      <c r="RG109" s="11">
        <v>11913</v>
      </c>
      <c r="RH109" s="11">
        <v>11779</v>
      </c>
      <c r="RI109" s="11">
        <v>12650</v>
      </c>
      <c r="RJ109" s="27">
        <f t="shared" si="84"/>
        <v>144813</v>
      </c>
      <c r="RK109" s="11">
        <v>0</v>
      </c>
      <c r="RL109" s="11">
        <v>0</v>
      </c>
      <c r="RM109" s="11">
        <v>0</v>
      </c>
      <c r="RN109" s="11">
        <v>0</v>
      </c>
      <c r="RO109" s="11">
        <v>0</v>
      </c>
      <c r="RP109" s="11">
        <v>0</v>
      </c>
      <c r="RQ109" s="11">
        <v>0</v>
      </c>
      <c r="RR109" s="11">
        <v>0</v>
      </c>
      <c r="RS109" s="11">
        <v>0</v>
      </c>
      <c r="RT109" s="11">
        <v>0</v>
      </c>
      <c r="RU109" s="11">
        <v>0</v>
      </c>
      <c r="RV109" s="11">
        <v>0</v>
      </c>
      <c r="RW109" s="27">
        <f t="shared" si="85"/>
        <v>0</v>
      </c>
      <c r="RX109" s="11">
        <v>0</v>
      </c>
      <c r="RY109" s="11">
        <v>0</v>
      </c>
      <c r="RZ109" s="11">
        <v>0</v>
      </c>
      <c r="SA109" s="11">
        <v>0</v>
      </c>
      <c r="SB109" s="11">
        <v>0</v>
      </c>
      <c r="SC109" s="11">
        <v>0</v>
      </c>
      <c r="SD109" s="11">
        <v>0</v>
      </c>
      <c r="SE109" s="11">
        <v>0</v>
      </c>
      <c r="SF109" s="11">
        <v>0</v>
      </c>
      <c r="SG109" s="11">
        <v>0</v>
      </c>
      <c r="SH109" s="11">
        <v>0</v>
      </c>
      <c r="SI109" s="11">
        <v>0</v>
      </c>
      <c r="SJ109" s="27">
        <f t="shared" si="86"/>
        <v>0</v>
      </c>
      <c r="SK109" s="11">
        <v>0</v>
      </c>
      <c r="SL109" s="11">
        <v>0</v>
      </c>
      <c r="SM109" s="11">
        <v>0</v>
      </c>
      <c r="SN109" s="11">
        <v>0</v>
      </c>
      <c r="SO109" s="11">
        <v>0</v>
      </c>
      <c r="SP109" s="11">
        <v>0</v>
      </c>
      <c r="SQ109" s="11">
        <v>0</v>
      </c>
      <c r="SR109" s="11">
        <v>0</v>
      </c>
      <c r="SS109" s="11">
        <v>0</v>
      </c>
      <c r="ST109" s="11">
        <v>0</v>
      </c>
      <c r="SU109" s="11">
        <v>0</v>
      </c>
      <c r="SV109" s="11">
        <v>0</v>
      </c>
      <c r="SW109" s="27">
        <f t="shared" si="87"/>
        <v>0</v>
      </c>
      <c r="SX109" s="28" t="s">
        <v>2750</v>
      </c>
      <c r="SY109" s="11">
        <v>10780</v>
      </c>
      <c r="SZ109" s="11">
        <v>10755</v>
      </c>
      <c r="TA109" s="11">
        <v>9667</v>
      </c>
      <c r="TB109" s="11">
        <v>11241</v>
      </c>
      <c r="TC109" s="11">
        <v>10710</v>
      </c>
      <c r="TD109" s="11">
        <v>10441</v>
      </c>
      <c r="TE109" s="11">
        <v>11241</v>
      </c>
      <c r="TF109" s="11">
        <v>10117</v>
      </c>
      <c r="TG109" s="11">
        <v>8713</v>
      </c>
      <c r="TH109" s="11">
        <v>11093</v>
      </c>
      <c r="TI109" s="11">
        <v>10684</v>
      </c>
      <c r="TJ109" s="11">
        <v>11846</v>
      </c>
      <c r="TK109" s="27">
        <f t="shared" si="88"/>
        <v>127288</v>
      </c>
      <c r="TL109" s="11">
        <v>0</v>
      </c>
      <c r="TM109" s="11">
        <v>0</v>
      </c>
      <c r="TN109" s="11">
        <v>0</v>
      </c>
      <c r="TO109" s="11">
        <v>0</v>
      </c>
      <c r="TP109" s="11">
        <v>0</v>
      </c>
      <c r="TQ109" s="11">
        <v>0</v>
      </c>
      <c r="TR109" s="11">
        <v>0</v>
      </c>
      <c r="TS109" s="11">
        <v>0</v>
      </c>
      <c r="TT109" s="11">
        <v>0</v>
      </c>
      <c r="TU109" s="11">
        <v>0</v>
      </c>
      <c r="TV109" s="11">
        <v>0</v>
      </c>
      <c r="TW109" s="11">
        <v>0</v>
      </c>
      <c r="TX109" s="27">
        <f t="shared" si="89"/>
        <v>0</v>
      </c>
      <c r="TY109" s="11">
        <v>293</v>
      </c>
      <c r="TZ109" s="11">
        <v>0</v>
      </c>
      <c r="UA109" s="11">
        <v>0</v>
      </c>
    </row>
    <row r="110" spans="1:547" ht="16" customHeight="1" x14ac:dyDescent="0.35">
      <c r="A110" s="11" t="s">
        <v>1528</v>
      </c>
      <c r="B110" s="11">
        <v>18185</v>
      </c>
      <c r="C110" s="11"/>
      <c r="D110" s="11"/>
      <c r="E110" s="11"/>
      <c r="F110" s="11">
        <v>294</v>
      </c>
      <c r="G110" s="11">
        <v>316</v>
      </c>
      <c r="H110" s="11">
        <v>306</v>
      </c>
      <c r="I110" s="11">
        <v>255</v>
      </c>
      <c r="J110" s="11">
        <v>218</v>
      </c>
      <c r="K110" s="11">
        <v>237</v>
      </c>
      <c r="L110" s="11">
        <v>334</v>
      </c>
      <c r="M110" s="11">
        <v>311</v>
      </c>
      <c r="N110" s="11">
        <v>230</v>
      </c>
      <c r="O110" s="11">
        <v>321</v>
      </c>
      <c r="P110" s="11" t="s">
        <v>2865</v>
      </c>
      <c r="Q110" s="11">
        <v>314</v>
      </c>
      <c r="R110" s="11">
        <v>335</v>
      </c>
      <c r="S110" s="26">
        <f t="shared" si="45"/>
        <v>3471</v>
      </c>
      <c r="T110" s="11">
        <v>0</v>
      </c>
      <c r="U110" s="11">
        <v>0</v>
      </c>
      <c r="V110" s="11">
        <v>0</v>
      </c>
      <c r="W110" s="11">
        <v>0</v>
      </c>
      <c r="X110" s="11">
        <v>0</v>
      </c>
      <c r="Y110" s="11">
        <v>0</v>
      </c>
      <c r="Z110" s="11">
        <v>0</v>
      </c>
      <c r="AA110" s="11">
        <v>0</v>
      </c>
      <c r="AB110" s="11">
        <v>0</v>
      </c>
      <c r="AC110" s="11">
        <v>0</v>
      </c>
      <c r="AD110" s="11">
        <v>0</v>
      </c>
      <c r="AE110" s="11">
        <v>0</v>
      </c>
      <c r="AF110" s="26">
        <f t="shared" si="46"/>
        <v>0</v>
      </c>
      <c r="AG110" s="11">
        <v>0</v>
      </c>
      <c r="AH110" s="11">
        <v>0</v>
      </c>
      <c r="AI110" s="11">
        <v>0</v>
      </c>
      <c r="AJ110" s="11">
        <v>0</v>
      </c>
      <c r="AK110" s="11">
        <v>0</v>
      </c>
      <c r="AL110" s="11">
        <v>0</v>
      </c>
      <c r="AM110" s="11">
        <v>0</v>
      </c>
      <c r="AN110" s="11">
        <v>0</v>
      </c>
      <c r="AO110" s="11">
        <v>0</v>
      </c>
      <c r="AP110" s="11">
        <v>0</v>
      </c>
      <c r="AQ110" s="11">
        <v>0</v>
      </c>
      <c r="AR110" s="11">
        <v>0</v>
      </c>
      <c r="AS110" s="26">
        <f t="shared" si="47"/>
        <v>0</v>
      </c>
      <c r="AT110" s="11">
        <v>0</v>
      </c>
      <c r="AU110" s="11">
        <v>0</v>
      </c>
      <c r="AV110" s="11">
        <v>0</v>
      </c>
      <c r="AW110" s="11">
        <v>0</v>
      </c>
      <c r="AX110" s="11">
        <v>0</v>
      </c>
      <c r="AY110" s="11">
        <v>0</v>
      </c>
      <c r="AZ110" s="11">
        <v>0</v>
      </c>
      <c r="BA110" s="11">
        <v>0</v>
      </c>
      <c r="BB110" s="11">
        <v>0</v>
      </c>
      <c r="BC110" s="11">
        <v>0</v>
      </c>
      <c r="BD110" s="11">
        <v>0</v>
      </c>
      <c r="BE110" s="11">
        <v>0</v>
      </c>
      <c r="BF110" s="26">
        <f t="shared" si="48"/>
        <v>0</v>
      </c>
      <c r="BG110" s="11">
        <v>0</v>
      </c>
      <c r="BH110" s="11">
        <v>0</v>
      </c>
      <c r="BI110" s="11">
        <v>0</v>
      </c>
      <c r="BJ110" s="11">
        <v>0</v>
      </c>
      <c r="BK110" s="11">
        <v>0</v>
      </c>
      <c r="BL110" s="11">
        <v>0</v>
      </c>
      <c r="BM110" s="11">
        <v>0</v>
      </c>
      <c r="BN110" s="11">
        <v>0</v>
      </c>
      <c r="BO110" s="11">
        <v>0</v>
      </c>
      <c r="BP110" s="11">
        <v>0</v>
      </c>
      <c r="BQ110" s="11">
        <v>0</v>
      </c>
      <c r="BR110" s="11">
        <v>0</v>
      </c>
      <c r="BS110" s="26">
        <f t="shared" si="49"/>
        <v>0</v>
      </c>
      <c r="BT110" s="11">
        <v>0</v>
      </c>
      <c r="BU110" s="11">
        <v>0</v>
      </c>
      <c r="BV110" s="11">
        <v>0</v>
      </c>
      <c r="BW110" s="11">
        <v>0</v>
      </c>
      <c r="BX110" s="11">
        <v>0</v>
      </c>
      <c r="BY110" s="11">
        <v>0</v>
      </c>
      <c r="BZ110" s="11">
        <v>0</v>
      </c>
      <c r="CA110" s="11">
        <v>0</v>
      </c>
      <c r="CB110" s="11">
        <v>0</v>
      </c>
      <c r="CC110" s="11">
        <v>0</v>
      </c>
      <c r="CD110" s="11">
        <v>0</v>
      </c>
      <c r="CE110" s="11">
        <v>0</v>
      </c>
      <c r="CF110" s="26">
        <f t="shared" si="50"/>
        <v>0</v>
      </c>
      <c r="CG110" s="11">
        <v>0</v>
      </c>
      <c r="CH110" s="11">
        <v>0</v>
      </c>
      <c r="CI110" s="11">
        <v>0</v>
      </c>
      <c r="CJ110" s="11">
        <v>0</v>
      </c>
      <c r="CK110" s="11">
        <v>0</v>
      </c>
      <c r="CL110" s="11">
        <v>0</v>
      </c>
      <c r="CM110" s="11">
        <v>0</v>
      </c>
      <c r="CN110" s="11">
        <v>0</v>
      </c>
      <c r="CO110" s="11">
        <v>0</v>
      </c>
      <c r="CP110" s="11">
        <v>0</v>
      </c>
      <c r="CQ110" s="11">
        <v>0</v>
      </c>
      <c r="CR110" s="11">
        <v>0</v>
      </c>
      <c r="CS110" s="26">
        <f t="shared" si="51"/>
        <v>0</v>
      </c>
      <c r="CT110" s="11">
        <v>0</v>
      </c>
      <c r="CU110" s="11">
        <v>0</v>
      </c>
      <c r="CV110" s="11">
        <v>0</v>
      </c>
      <c r="CW110" s="11">
        <v>0</v>
      </c>
      <c r="CX110" s="11">
        <v>0</v>
      </c>
      <c r="CY110" s="11">
        <v>0</v>
      </c>
      <c r="CZ110" s="11">
        <v>0</v>
      </c>
      <c r="DA110" s="11">
        <v>0</v>
      </c>
      <c r="DB110" s="11">
        <v>0</v>
      </c>
      <c r="DC110" s="11">
        <v>0</v>
      </c>
      <c r="DD110" s="11">
        <v>0</v>
      </c>
      <c r="DE110" s="11">
        <v>0</v>
      </c>
      <c r="DF110" s="26">
        <f t="shared" si="52"/>
        <v>0</v>
      </c>
      <c r="DG110" s="11">
        <v>0</v>
      </c>
      <c r="DH110" s="11">
        <v>0</v>
      </c>
      <c r="DI110" s="11">
        <v>0</v>
      </c>
      <c r="DJ110" s="11">
        <v>0</v>
      </c>
      <c r="DK110" s="11">
        <v>0</v>
      </c>
      <c r="DL110" s="11">
        <v>0</v>
      </c>
      <c r="DM110" s="11">
        <v>0</v>
      </c>
      <c r="DN110" s="11">
        <v>0</v>
      </c>
      <c r="DO110" s="11">
        <v>0</v>
      </c>
      <c r="DP110" s="11">
        <v>0</v>
      </c>
      <c r="DQ110" s="11">
        <v>0</v>
      </c>
      <c r="DR110" s="11">
        <v>0</v>
      </c>
      <c r="DS110" s="26">
        <f t="shared" si="53"/>
        <v>0</v>
      </c>
      <c r="DT110" s="11">
        <v>0</v>
      </c>
      <c r="DU110" s="11">
        <v>0</v>
      </c>
      <c r="DV110" s="11">
        <v>0</v>
      </c>
      <c r="DW110" s="11">
        <v>0</v>
      </c>
      <c r="DX110" s="11">
        <v>0</v>
      </c>
      <c r="DY110" s="11">
        <v>0</v>
      </c>
      <c r="DZ110" s="11">
        <v>0</v>
      </c>
      <c r="EA110" s="11">
        <v>0</v>
      </c>
      <c r="EB110" s="11">
        <v>0</v>
      </c>
      <c r="EC110" s="11">
        <v>0</v>
      </c>
      <c r="ED110" s="11">
        <v>0</v>
      </c>
      <c r="EE110" s="11">
        <v>0</v>
      </c>
      <c r="EF110" s="26">
        <f t="shared" si="54"/>
        <v>0</v>
      </c>
      <c r="EG110" s="9">
        <f t="shared" si="55"/>
        <v>0</v>
      </c>
      <c r="EH110" s="9">
        <f t="shared" si="56"/>
        <v>0</v>
      </c>
      <c r="EI110" s="11">
        <v>3985</v>
      </c>
      <c r="EJ110" s="11">
        <v>4582</v>
      </c>
      <c r="EK110" s="11">
        <v>5162</v>
      </c>
      <c r="EL110" s="11">
        <v>4086</v>
      </c>
      <c r="EM110" s="11">
        <v>3734</v>
      </c>
      <c r="EN110" s="11">
        <v>2761</v>
      </c>
      <c r="EO110" s="11">
        <v>4001</v>
      </c>
      <c r="EP110" s="11">
        <v>3787</v>
      </c>
      <c r="EQ110" s="11">
        <v>2480</v>
      </c>
      <c r="ER110" s="11">
        <v>3612</v>
      </c>
      <c r="ES110" s="11">
        <v>3757</v>
      </c>
      <c r="ET110" s="11">
        <v>4172</v>
      </c>
      <c r="EU110" s="26">
        <f t="shared" si="57"/>
        <v>46119</v>
      </c>
      <c r="EV110" s="11">
        <v>2533</v>
      </c>
      <c r="EW110" s="11">
        <v>2691</v>
      </c>
      <c r="EX110" s="11">
        <v>2415</v>
      </c>
      <c r="EY110" s="11">
        <v>1811</v>
      </c>
      <c r="EZ110" s="11">
        <v>1934</v>
      </c>
      <c r="FA110" s="11">
        <v>1882</v>
      </c>
      <c r="FB110" s="11">
        <v>2492</v>
      </c>
      <c r="FC110" s="11">
        <v>2322</v>
      </c>
      <c r="FD110" s="11">
        <v>1578</v>
      </c>
      <c r="FE110" s="11">
        <v>2284</v>
      </c>
      <c r="FF110" s="11">
        <v>2278</v>
      </c>
      <c r="FG110" s="11">
        <v>2190</v>
      </c>
      <c r="FH110" s="26">
        <f t="shared" si="58"/>
        <v>26410</v>
      </c>
      <c r="FI110" s="11">
        <v>0</v>
      </c>
      <c r="FJ110" s="11">
        <v>0</v>
      </c>
      <c r="FK110" s="11">
        <v>0</v>
      </c>
      <c r="FL110" s="11">
        <v>0</v>
      </c>
      <c r="FM110" s="11">
        <v>0</v>
      </c>
      <c r="FN110" s="11">
        <v>0</v>
      </c>
      <c r="FO110" s="11">
        <v>0</v>
      </c>
      <c r="FP110" s="11">
        <v>0</v>
      </c>
      <c r="FQ110" s="11">
        <v>0</v>
      </c>
      <c r="FR110" s="11">
        <v>0</v>
      </c>
      <c r="FS110" s="11">
        <v>0</v>
      </c>
      <c r="FT110" s="11">
        <v>0</v>
      </c>
      <c r="FU110" s="26">
        <f t="shared" si="59"/>
        <v>0</v>
      </c>
      <c r="FV110" s="11">
        <v>0</v>
      </c>
      <c r="FW110" s="11">
        <v>0</v>
      </c>
      <c r="FX110" s="11">
        <v>0</v>
      </c>
      <c r="FY110" s="11">
        <v>0</v>
      </c>
      <c r="FZ110" s="11">
        <v>0</v>
      </c>
      <c r="GA110" s="11">
        <v>0</v>
      </c>
      <c r="GB110" s="11">
        <v>0</v>
      </c>
      <c r="GC110" s="11">
        <v>0</v>
      </c>
      <c r="GD110" s="11">
        <v>0</v>
      </c>
      <c r="GE110" s="11">
        <v>0</v>
      </c>
      <c r="GF110" s="11">
        <v>0</v>
      </c>
      <c r="GG110" s="11">
        <v>0</v>
      </c>
      <c r="GH110" s="26">
        <f t="shared" si="60"/>
        <v>0</v>
      </c>
      <c r="GI110" s="11">
        <v>0</v>
      </c>
      <c r="GJ110" s="11">
        <v>0</v>
      </c>
      <c r="GK110" s="11">
        <v>0</v>
      </c>
      <c r="GL110" s="11">
        <v>0</v>
      </c>
      <c r="GM110" s="11">
        <v>0</v>
      </c>
      <c r="GN110" s="11">
        <v>0</v>
      </c>
      <c r="GO110" s="11">
        <v>0</v>
      </c>
      <c r="GP110" s="11">
        <v>0</v>
      </c>
      <c r="GQ110" s="11">
        <v>0</v>
      </c>
      <c r="GR110" s="11">
        <v>0</v>
      </c>
      <c r="GS110" s="11">
        <v>0</v>
      </c>
      <c r="GT110" s="11">
        <v>0</v>
      </c>
      <c r="GU110" s="26">
        <f t="shared" si="61"/>
        <v>0</v>
      </c>
      <c r="GV110" s="11">
        <v>0</v>
      </c>
      <c r="GW110" s="11">
        <v>0</v>
      </c>
      <c r="GX110" s="11">
        <v>0</v>
      </c>
      <c r="GY110" s="11">
        <v>0</v>
      </c>
      <c r="GZ110" s="11">
        <v>0</v>
      </c>
      <c r="HA110" s="11">
        <v>0</v>
      </c>
      <c r="HB110" s="11">
        <v>0</v>
      </c>
      <c r="HC110" s="11">
        <v>0</v>
      </c>
      <c r="HD110" s="11">
        <v>0</v>
      </c>
      <c r="HE110" s="11">
        <v>0</v>
      </c>
      <c r="HF110" s="11">
        <v>0</v>
      </c>
      <c r="HG110" s="11">
        <v>0</v>
      </c>
      <c r="HH110" s="26">
        <f t="shared" si="62"/>
        <v>0</v>
      </c>
      <c r="HI110" s="11">
        <v>0</v>
      </c>
      <c r="HJ110" s="11">
        <v>0</v>
      </c>
      <c r="HK110" s="11">
        <v>0</v>
      </c>
      <c r="HL110" s="11">
        <v>0</v>
      </c>
      <c r="HM110" s="11">
        <v>0</v>
      </c>
      <c r="HN110" s="11">
        <v>0</v>
      </c>
      <c r="HO110" s="11">
        <v>0</v>
      </c>
      <c r="HP110" s="11">
        <v>0</v>
      </c>
      <c r="HQ110" s="11">
        <v>0</v>
      </c>
      <c r="HR110" s="11">
        <v>0</v>
      </c>
      <c r="HS110" s="11">
        <v>0</v>
      </c>
      <c r="HT110" s="11">
        <v>0</v>
      </c>
      <c r="HU110" s="26">
        <f t="shared" si="63"/>
        <v>0</v>
      </c>
      <c r="HV110" s="11">
        <v>0</v>
      </c>
      <c r="HW110" s="11">
        <v>0</v>
      </c>
      <c r="HX110" s="11">
        <v>0</v>
      </c>
      <c r="HY110" s="11">
        <v>0</v>
      </c>
      <c r="HZ110" s="11">
        <v>0</v>
      </c>
      <c r="IA110" s="11">
        <v>0</v>
      </c>
      <c r="IB110" s="11">
        <v>0</v>
      </c>
      <c r="IC110" s="11">
        <v>0</v>
      </c>
      <c r="ID110" s="11">
        <v>0</v>
      </c>
      <c r="IE110" s="11">
        <v>0</v>
      </c>
      <c r="IF110" s="11">
        <v>0</v>
      </c>
      <c r="IG110" s="11">
        <v>0</v>
      </c>
      <c r="IH110" s="26">
        <f t="shared" si="64"/>
        <v>0</v>
      </c>
      <c r="II110" s="9">
        <f t="shared" si="65"/>
        <v>26410</v>
      </c>
      <c r="IJ110" s="9">
        <f t="shared" si="66"/>
        <v>0</v>
      </c>
      <c r="IK110" s="11">
        <v>47068</v>
      </c>
      <c r="IL110" s="11">
        <v>43248</v>
      </c>
      <c r="IM110" s="11">
        <v>40973</v>
      </c>
      <c r="IN110" s="11">
        <v>48793</v>
      </c>
      <c r="IO110" s="11">
        <v>52199</v>
      </c>
      <c r="IP110" s="11">
        <v>44301</v>
      </c>
      <c r="IQ110" s="11">
        <v>46264</v>
      </c>
      <c r="IR110" s="11">
        <v>42641</v>
      </c>
      <c r="IS110" s="11">
        <v>36466</v>
      </c>
      <c r="IT110" s="11">
        <v>43135</v>
      </c>
      <c r="IU110" s="11">
        <v>40581</v>
      </c>
      <c r="IV110" s="11">
        <v>41383</v>
      </c>
      <c r="IW110" s="27">
        <f t="shared" si="67"/>
        <v>527052</v>
      </c>
      <c r="IX110" s="11">
        <v>30008</v>
      </c>
      <c r="IY110" s="11">
        <v>29049</v>
      </c>
      <c r="IZ110" s="11">
        <v>27629</v>
      </c>
      <c r="JA110" s="11">
        <v>29760</v>
      </c>
      <c r="JB110" s="11">
        <v>30772</v>
      </c>
      <c r="JC110" s="11">
        <v>29168</v>
      </c>
      <c r="JD110" s="11">
        <v>30631</v>
      </c>
      <c r="JE110" s="11">
        <v>28615</v>
      </c>
      <c r="JF110" s="11">
        <v>25873</v>
      </c>
      <c r="JG110" s="11">
        <v>29681</v>
      </c>
      <c r="JH110" s="11">
        <v>26111</v>
      </c>
      <c r="JI110" s="11">
        <v>27275</v>
      </c>
      <c r="JJ110" s="27">
        <f t="shared" si="68"/>
        <v>344572</v>
      </c>
      <c r="JK110" s="11">
        <v>0</v>
      </c>
      <c r="JL110" s="11">
        <v>0</v>
      </c>
      <c r="JM110" s="11">
        <v>0</v>
      </c>
      <c r="JN110" s="11">
        <v>0</v>
      </c>
      <c r="JO110" s="11">
        <v>0</v>
      </c>
      <c r="JP110" s="11">
        <v>0</v>
      </c>
      <c r="JQ110" s="11">
        <v>0</v>
      </c>
      <c r="JR110" s="11">
        <v>0</v>
      </c>
      <c r="JS110" s="11">
        <v>0</v>
      </c>
      <c r="JT110" s="11">
        <v>0</v>
      </c>
      <c r="JU110" s="11">
        <v>0</v>
      </c>
      <c r="JV110" s="11">
        <v>0</v>
      </c>
      <c r="JW110" s="27">
        <f t="shared" si="69"/>
        <v>0</v>
      </c>
      <c r="JX110" s="11">
        <v>0</v>
      </c>
      <c r="JY110" s="11">
        <v>0</v>
      </c>
      <c r="JZ110" s="11">
        <v>0</v>
      </c>
      <c r="KA110" s="11">
        <v>0</v>
      </c>
      <c r="KB110" s="11">
        <v>0</v>
      </c>
      <c r="KC110" s="11">
        <v>0</v>
      </c>
      <c r="KD110" s="11">
        <v>0</v>
      </c>
      <c r="KE110" s="11">
        <v>0</v>
      </c>
      <c r="KF110" s="11">
        <v>0</v>
      </c>
      <c r="KG110" s="11">
        <v>0</v>
      </c>
      <c r="KH110" s="11">
        <v>0</v>
      </c>
      <c r="KI110" s="11">
        <v>0</v>
      </c>
      <c r="KJ110" s="27">
        <f t="shared" si="70"/>
        <v>0</v>
      </c>
      <c r="KK110" s="11">
        <v>820</v>
      </c>
      <c r="KL110" s="11">
        <v>894</v>
      </c>
      <c r="KM110" s="11">
        <v>859</v>
      </c>
      <c r="KN110" s="11">
        <v>852</v>
      </c>
      <c r="KO110" s="11">
        <v>944</v>
      </c>
      <c r="KP110" s="11">
        <v>932</v>
      </c>
      <c r="KQ110" s="11">
        <v>911</v>
      </c>
      <c r="KR110" s="11">
        <v>751</v>
      </c>
      <c r="KS110" s="11">
        <v>748</v>
      </c>
      <c r="KT110" s="11">
        <v>805</v>
      </c>
      <c r="KU110" s="11">
        <v>822</v>
      </c>
      <c r="KV110" s="11">
        <v>695</v>
      </c>
      <c r="KW110" s="27">
        <f t="shared" si="71"/>
        <v>10033</v>
      </c>
      <c r="KX110" s="11">
        <v>678</v>
      </c>
      <c r="KY110" s="11">
        <v>784</v>
      </c>
      <c r="KZ110" s="11">
        <v>768</v>
      </c>
      <c r="LA110" s="11">
        <v>669</v>
      </c>
      <c r="LB110" s="11">
        <v>744</v>
      </c>
      <c r="LC110" s="11">
        <v>817</v>
      </c>
      <c r="LD110" s="11">
        <v>800</v>
      </c>
      <c r="LE110" s="11">
        <v>676</v>
      </c>
      <c r="LF110" s="11">
        <v>685</v>
      </c>
      <c r="LG110" s="11">
        <v>748</v>
      </c>
      <c r="LH110" s="11">
        <v>727</v>
      </c>
      <c r="LI110" s="11">
        <v>625</v>
      </c>
      <c r="LJ110" s="27">
        <f t="shared" si="72"/>
        <v>8721</v>
      </c>
      <c r="LK110" s="11">
        <v>0</v>
      </c>
      <c r="LL110" s="11">
        <v>0</v>
      </c>
      <c r="LM110" s="11">
        <v>0</v>
      </c>
      <c r="LN110" s="11">
        <v>0</v>
      </c>
      <c r="LO110" s="11">
        <v>0</v>
      </c>
      <c r="LP110" s="11">
        <v>0</v>
      </c>
      <c r="LQ110" s="11">
        <v>0</v>
      </c>
      <c r="LR110" s="11">
        <v>0</v>
      </c>
      <c r="LS110" s="11">
        <v>0</v>
      </c>
      <c r="LT110" s="11">
        <v>0</v>
      </c>
      <c r="LU110" s="11">
        <v>0</v>
      </c>
      <c r="LV110" s="11">
        <v>0</v>
      </c>
      <c r="LW110" s="27">
        <f t="shared" si="73"/>
        <v>0</v>
      </c>
      <c r="LX110" s="11">
        <v>0</v>
      </c>
      <c r="LY110" s="11">
        <v>0</v>
      </c>
      <c r="LZ110" s="11">
        <v>0</v>
      </c>
      <c r="MA110" s="11">
        <v>0</v>
      </c>
      <c r="MB110" s="11">
        <v>0</v>
      </c>
      <c r="MC110" s="11">
        <v>0</v>
      </c>
      <c r="MD110" s="11">
        <v>0</v>
      </c>
      <c r="ME110" s="11">
        <v>0</v>
      </c>
      <c r="MF110" s="11">
        <v>0</v>
      </c>
      <c r="MG110" s="11">
        <v>0</v>
      </c>
      <c r="MH110" s="11">
        <v>0</v>
      </c>
      <c r="MI110" s="11">
        <v>0</v>
      </c>
      <c r="MJ110" s="27">
        <f t="shared" si="74"/>
        <v>0</v>
      </c>
      <c r="MK110" s="11">
        <v>7846</v>
      </c>
      <c r="ML110" s="11">
        <v>7820</v>
      </c>
      <c r="MM110" s="11">
        <v>7515</v>
      </c>
      <c r="MN110" s="11">
        <v>7918</v>
      </c>
      <c r="MO110" s="11">
        <v>8117</v>
      </c>
      <c r="MP110" s="11">
        <v>8024</v>
      </c>
      <c r="MQ110" s="11">
        <v>7936</v>
      </c>
      <c r="MR110" s="11">
        <v>7817</v>
      </c>
      <c r="MS110" s="11">
        <v>7627</v>
      </c>
      <c r="MT110" s="11">
        <v>8036</v>
      </c>
      <c r="MU110" s="11">
        <v>7536</v>
      </c>
      <c r="MV110" s="11">
        <v>8201</v>
      </c>
      <c r="MW110" s="27">
        <f t="shared" si="75"/>
        <v>94393</v>
      </c>
      <c r="MX110" s="11">
        <v>0</v>
      </c>
      <c r="MY110" s="11">
        <v>0</v>
      </c>
      <c r="MZ110" s="11">
        <v>0</v>
      </c>
      <c r="NA110" s="11">
        <v>0</v>
      </c>
      <c r="NB110" s="11">
        <v>0</v>
      </c>
      <c r="NC110" s="11">
        <v>0</v>
      </c>
      <c r="ND110" s="11">
        <v>0</v>
      </c>
      <c r="NE110" s="11">
        <v>0</v>
      </c>
      <c r="NF110" s="11">
        <v>0</v>
      </c>
      <c r="NG110" s="11">
        <v>0</v>
      </c>
      <c r="NH110" s="11">
        <v>0</v>
      </c>
      <c r="NI110" s="11">
        <v>0</v>
      </c>
      <c r="NJ110" s="27">
        <f t="shared" si="76"/>
        <v>0</v>
      </c>
      <c r="NK110" s="11">
        <v>0</v>
      </c>
      <c r="NL110" s="11">
        <v>0</v>
      </c>
      <c r="NM110" s="11">
        <v>0</v>
      </c>
      <c r="NN110" s="11">
        <v>0</v>
      </c>
      <c r="NO110" s="11">
        <v>0</v>
      </c>
      <c r="NP110" s="11">
        <v>0</v>
      </c>
      <c r="NQ110" s="11">
        <v>0</v>
      </c>
      <c r="NR110" s="11">
        <v>0</v>
      </c>
      <c r="NS110" s="11">
        <v>0</v>
      </c>
      <c r="NT110" s="11">
        <v>0</v>
      </c>
      <c r="NU110" s="11">
        <v>0</v>
      </c>
      <c r="NV110" s="11">
        <v>0</v>
      </c>
      <c r="NW110" s="27">
        <f t="shared" si="77"/>
        <v>0</v>
      </c>
      <c r="NX110" s="11">
        <v>0</v>
      </c>
      <c r="NY110" s="11">
        <v>0</v>
      </c>
      <c r="NZ110" s="11">
        <v>0</v>
      </c>
      <c r="OA110" s="11">
        <v>0</v>
      </c>
      <c r="OB110" s="11">
        <v>0</v>
      </c>
      <c r="OC110" s="11">
        <v>0</v>
      </c>
      <c r="OD110" s="11">
        <v>0</v>
      </c>
      <c r="OE110" s="11">
        <v>0</v>
      </c>
      <c r="OF110" s="11">
        <v>0</v>
      </c>
      <c r="OG110" s="11">
        <v>0</v>
      </c>
      <c r="OH110" s="11">
        <v>0</v>
      </c>
      <c r="OI110" s="11">
        <v>0</v>
      </c>
      <c r="OJ110" s="27">
        <f t="shared" si="78"/>
        <v>0</v>
      </c>
      <c r="OK110" s="11">
        <v>12915</v>
      </c>
      <c r="OL110" s="11">
        <v>12858</v>
      </c>
      <c r="OM110" s="11">
        <v>12691</v>
      </c>
      <c r="ON110" s="11">
        <v>13464</v>
      </c>
      <c r="OO110" s="11">
        <v>14226</v>
      </c>
      <c r="OP110" s="11">
        <v>13361</v>
      </c>
      <c r="OQ110" s="11">
        <v>14008</v>
      </c>
      <c r="OR110" s="11">
        <v>13289</v>
      </c>
      <c r="OS110" s="11">
        <v>19184</v>
      </c>
      <c r="OT110" s="11">
        <v>14059</v>
      </c>
      <c r="OU110" s="11">
        <v>12800</v>
      </c>
      <c r="OV110" s="11">
        <v>14277</v>
      </c>
      <c r="OW110" s="27">
        <f t="shared" si="79"/>
        <v>167132</v>
      </c>
      <c r="OX110" s="11">
        <v>0</v>
      </c>
      <c r="OY110" s="11">
        <v>0</v>
      </c>
      <c r="OZ110" s="11">
        <v>0</v>
      </c>
      <c r="PA110" s="11">
        <v>0</v>
      </c>
      <c r="PB110" s="11">
        <v>0</v>
      </c>
      <c r="PC110" s="11">
        <v>0</v>
      </c>
      <c r="PD110" s="11">
        <v>0</v>
      </c>
      <c r="PE110" s="11">
        <v>0</v>
      </c>
      <c r="PF110" s="11">
        <v>0</v>
      </c>
      <c r="PG110" s="11">
        <v>0</v>
      </c>
      <c r="PH110" s="11">
        <v>0</v>
      </c>
      <c r="PI110" s="11">
        <v>0</v>
      </c>
      <c r="PJ110" s="27">
        <f t="shared" si="80"/>
        <v>0</v>
      </c>
      <c r="PK110" s="11">
        <v>0</v>
      </c>
      <c r="PL110" s="11">
        <v>0</v>
      </c>
      <c r="PM110" s="11">
        <v>0</v>
      </c>
      <c r="PN110" s="11">
        <v>0</v>
      </c>
      <c r="PO110" s="11">
        <v>0</v>
      </c>
      <c r="PP110" s="11">
        <v>0</v>
      </c>
      <c r="PQ110" s="11">
        <v>0</v>
      </c>
      <c r="PR110" s="11">
        <v>0</v>
      </c>
      <c r="PS110" s="11">
        <v>0</v>
      </c>
      <c r="PT110" s="11">
        <v>0</v>
      </c>
      <c r="PU110" s="11">
        <v>0</v>
      </c>
      <c r="PV110" s="11">
        <v>0</v>
      </c>
      <c r="PW110" s="27">
        <f t="shared" si="81"/>
        <v>0</v>
      </c>
      <c r="PX110" s="11">
        <v>0</v>
      </c>
      <c r="PY110" s="11">
        <v>0</v>
      </c>
      <c r="PZ110" s="11">
        <v>0</v>
      </c>
      <c r="QA110" s="11">
        <v>0</v>
      </c>
      <c r="QB110" s="11">
        <v>0</v>
      </c>
      <c r="QC110" s="11">
        <v>0</v>
      </c>
      <c r="QD110" s="11">
        <v>0</v>
      </c>
      <c r="QE110" s="11">
        <v>0</v>
      </c>
      <c r="QF110" s="11">
        <v>0</v>
      </c>
      <c r="QG110" s="11">
        <v>0</v>
      </c>
      <c r="QH110" s="11">
        <v>0</v>
      </c>
      <c r="QI110" s="11">
        <v>0</v>
      </c>
      <c r="QJ110" s="27">
        <f t="shared" si="82"/>
        <v>0</v>
      </c>
      <c r="QK110" s="11">
        <v>36591</v>
      </c>
      <c r="QL110" s="11">
        <v>33809</v>
      </c>
      <c r="QM110" s="11">
        <v>34638</v>
      </c>
      <c r="QN110" s="11">
        <v>34949</v>
      </c>
      <c r="QO110" s="11">
        <v>35662</v>
      </c>
      <c r="QP110" s="11">
        <v>34983</v>
      </c>
      <c r="QQ110" s="11">
        <v>37453</v>
      </c>
      <c r="QR110" s="11">
        <v>36385</v>
      </c>
      <c r="QS110" s="11">
        <v>27937</v>
      </c>
      <c r="QT110" s="11">
        <v>33032</v>
      </c>
      <c r="QU110" s="11">
        <v>29717</v>
      </c>
      <c r="QV110" s="11">
        <v>35391</v>
      </c>
      <c r="QW110" s="27">
        <f t="shared" si="83"/>
        <v>410547</v>
      </c>
      <c r="QX110" s="11">
        <v>0</v>
      </c>
      <c r="QY110" s="11">
        <v>0</v>
      </c>
      <c r="QZ110" s="11">
        <v>0</v>
      </c>
      <c r="RA110" s="11">
        <v>0</v>
      </c>
      <c r="RB110" s="11">
        <v>0</v>
      </c>
      <c r="RC110" s="11">
        <v>0</v>
      </c>
      <c r="RD110" s="11">
        <v>0</v>
      </c>
      <c r="RE110" s="11">
        <v>0</v>
      </c>
      <c r="RF110" s="11">
        <v>0</v>
      </c>
      <c r="RG110" s="11">
        <v>0</v>
      </c>
      <c r="RH110" s="11">
        <v>0</v>
      </c>
      <c r="RI110" s="11">
        <v>0</v>
      </c>
      <c r="RJ110" s="27">
        <f t="shared" si="84"/>
        <v>0</v>
      </c>
      <c r="RK110" s="11">
        <v>0</v>
      </c>
      <c r="RL110" s="11">
        <v>0</v>
      </c>
      <c r="RM110" s="11">
        <v>0</v>
      </c>
      <c r="RN110" s="11">
        <v>0</v>
      </c>
      <c r="RO110" s="11">
        <v>0</v>
      </c>
      <c r="RP110" s="11">
        <v>0</v>
      </c>
      <c r="RQ110" s="11">
        <v>0</v>
      </c>
      <c r="RR110" s="11">
        <v>0</v>
      </c>
      <c r="RS110" s="11">
        <v>0</v>
      </c>
      <c r="RT110" s="11">
        <v>0</v>
      </c>
      <c r="RU110" s="11">
        <v>0</v>
      </c>
      <c r="RV110" s="11">
        <v>0</v>
      </c>
      <c r="RW110" s="27">
        <f t="shared" si="85"/>
        <v>0</v>
      </c>
      <c r="RX110" s="11">
        <v>0</v>
      </c>
      <c r="RY110" s="11">
        <v>0</v>
      </c>
      <c r="RZ110" s="11">
        <v>0</v>
      </c>
      <c r="SA110" s="11">
        <v>0</v>
      </c>
      <c r="SB110" s="11">
        <v>0</v>
      </c>
      <c r="SC110" s="11">
        <v>0</v>
      </c>
      <c r="SD110" s="11">
        <v>0</v>
      </c>
      <c r="SE110" s="11">
        <v>0</v>
      </c>
      <c r="SF110" s="11">
        <v>0</v>
      </c>
      <c r="SG110" s="11">
        <v>0</v>
      </c>
      <c r="SH110" s="11">
        <v>0</v>
      </c>
      <c r="SI110" s="11">
        <v>0</v>
      </c>
      <c r="SJ110" s="27">
        <f t="shared" si="86"/>
        <v>0</v>
      </c>
      <c r="SK110" s="11">
        <v>69</v>
      </c>
      <c r="SL110" s="11">
        <v>69</v>
      </c>
      <c r="SM110" s="11">
        <v>68</v>
      </c>
      <c r="SN110" s="11">
        <v>79</v>
      </c>
      <c r="SO110" s="11">
        <v>68</v>
      </c>
      <c r="SP110" s="11">
        <v>66</v>
      </c>
      <c r="SQ110" s="11">
        <v>66</v>
      </c>
      <c r="SR110" s="11">
        <v>67</v>
      </c>
      <c r="SS110" s="11">
        <v>67</v>
      </c>
      <c r="ST110" s="11">
        <v>68</v>
      </c>
      <c r="SU110" s="11">
        <v>67</v>
      </c>
      <c r="SV110" s="11">
        <v>66</v>
      </c>
      <c r="SW110" s="27">
        <f t="shared" si="87"/>
        <v>820</v>
      </c>
      <c r="SX110" s="28" t="s">
        <v>2751</v>
      </c>
      <c r="SY110" s="11">
        <v>1811</v>
      </c>
      <c r="SZ110" s="11">
        <v>1722</v>
      </c>
      <c r="TA110" s="11">
        <v>1556</v>
      </c>
      <c r="TB110" s="11">
        <v>1829</v>
      </c>
      <c r="TC110" s="11">
        <v>1779</v>
      </c>
      <c r="TD110" s="11">
        <v>1768</v>
      </c>
      <c r="TE110" s="11">
        <v>1952</v>
      </c>
      <c r="TF110" s="11">
        <v>1654</v>
      </c>
      <c r="TG110" s="11">
        <v>1422</v>
      </c>
      <c r="TH110" s="11">
        <v>1784</v>
      </c>
      <c r="TI110" s="11">
        <v>1890</v>
      </c>
      <c r="TJ110" s="11">
        <v>1903</v>
      </c>
      <c r="TK110" s="27">
        <f t="shared" si="88"/>
        <v>21070</v>
      </c>
      <c r="TL110" s="11">
        <v>11494</v>
      </c>
      <c r="TM110" s="11">
        <v>11382</v>
      </c>
      <c r="TN110" s="11">
        <v>10738</v>
      </c>
      <c r="TO110" s="11">
        <v>11802</v>
      </c>
      <c r="TP110" s="11">
        <v>10512</v>
      </c>
      <c r="TQ110" s="11">
        <v>10876</v>
      </c>
      <c r="TR110" s="11">
        <v>11239</v>
      </c>
      <c r="TS110" s="11">
        <v>10453</v>
      </c>
      <c r="TT110" s="11">
        <v>8502</v>
      </c>
      <c r="TU110" s="11">
        <v>9469</v>
      </c>
      <c r="TV110" s="11">
        <v>9799</v>
      </c>
      <c r="TW110" s="11">
        <v>11698</v>
      </c>
      <c r="TX110" s="27">
        <f t="shared" si="89"/>
        <v>127964</v>
      </c>
      <c r="TY110" s="11">
        <v>79</v>
      </c>
      <c r="TZ110" s="11">
        <v>0</v>
      </c>
      <c r="UA110" s="11">
        <v>0</v>
      </c>
    </row>
    <row r="111" spans="1:547" ht="16" customHeight="1" x14ac:dyDescent="0.35">
      <c r="A111" s="11" t="s">
        <v>1436</v>
      </c>
      <c r="B111" s="11">
        <v>10588</v>
      </c>
      <c r="C111" s="11"/>
      <c r="D111" s="11"/>
      <c r="E111" s="11"/>
      <c r="F111" s="11">
        <v>0</v>
      </c>
      <c r="G111" s="11">
        <v>0</v>
      </c>
      <c r="H111" s="11">
        <v>0</v>
      </c>
      <c r="I111" s="11">
        <v>0</v>
      </c>
      <c r="J111" s="11">
        <v>0</v>
      </c>
      <c r="K111" s="11">
        <v>0</v>
      </c>
      <c r="L111" s="11">
        <v>0</v>
      </c>
      <c r="M111" s="11">
        <v>0</v>
      </c>
      <c r="N111" s="11">
        <v>0</v>
      </c>
      <c r="O111" s="11">
        <v>0</v>
      </c>
      <c r="P111" s="11" t="s">
        <v>2865</v>
      </c>
      <c r="Q111" s="11">
        <v>0</v>
      </c>
      <c r="R111" s="11">
        <v>0</v>
      </c>
      <c r="S111" s="26">
        <f t="shared" si="45"/>
        <v>0</v>
      </c>
      <c r="T111" s="11">
        <v>273</v>
      </c>
      <c r="U111" s="11">
        <v>275</v>
      </c>
      <c r="V111" s="11">
        <v>286</v>
      </c>
      <c r="W111" s="11">
        <v>296</v>
      </c>
      <c r="X111" s="11">
        <v>282</v>
      </c>
      <c r="Y111" s="11">
        <v>323</v>
      </c>
      <c r="Z111" s="11">
        <v>392</v>
      </c>
      <c r="AA111" s="11">
        <v>356</v>
      </c>
      <c r="AB111" s="11">
        <v>243</v>
      </c>
      <c r="AC111" s="11">
        <v>291</v>
      </c>
      <c r="AD111" s="11">
        <v>339</v>
      </c>
      <c r="AE111" s="11">
        <v>371</v>
      </c>
      <c r="AF111" s="26">
        <f t="shared" si="46"/>
        <v>3727</v>
      </c>
      <c r="AG111" s="11">
        <v>0</v>
      </c>
      <c r="AH111" s="11">
        <v>0</v>
      </c>
      <c r="AI111" s="11">
        <v>0</v>
      </c>
      <c r="AJ111" s="11">
        <v>0</v>
      </c>
      <c r="AK111" s="11">
        <v>0</v>
      </c>
      <c r="AL111" s="11">
        <v>0</v>
      </c>
      <c r="AM111" s="11">
        <v>0</v>
      </c>
      <c r="AN111" s="11">
        <v>0</v>
      </c>
      <c r="AO111" s="11">
        <v>0</v>
      </c>
      <c r="AP111" s="11">
        <v>0</v>
      </c>
      <c r="AQ111" s="11">
        <v>0</v>
      </c>
      <c r="AR111" s="11">
        <v>0</v>
      </c>
      <c r="AS111" s="26">
        <f t="shared" si="47"/>
        <v>0</v>
      </c>
      <c r="AT111" s="11">
        <v>0</v>
      </c>
      <c r="AU111" s="11">
        <v>0</v>
      </c>
      <c r="AV111" s="11">
        <v>0</v>
      </c>
      <c r="AW111" s="11">
        <v>0</v>
      </c>
      <c r="AX111" s="11">
        <v>0</v>
      </c>
      <c r="AY111" s="11">
        <v>0</v>
      </c>
      <c r="AZ111" s="11">
        <v>0</v>
      </c>
      <c r="BA111" s="11">
        <v>0</v>
      </c>
      <c r="BB111" s="11">
        <v>0</v>
      </c>
      <c r="BC111" s="11">
        <v>0</v>
      </c>
      <c r="BD111" s="11">
        <v>0</v>
      </c>
      <c r="BE111" s="11">
        <v>0</v>
      </c>
      <c r="BF111" s="26">
        <f t="shared" si="48"/>
        <v>0</v>
      </c>
      <c r="BG111" s="11">
        <v>214</v>
      </c>
      <c r="BH111" s="11">
        <v>251</v>
      </c>
      <c r="BI111" s="11">
        <v>248</v>
      </c>
      <c r="BJ111" s="11">
        <v>214</v>
      </c>
      <c r="BK111" s="11">
        <v>190</v>
      </c>
      <c r="BL111" s="11">
        <v>173</v>
      </c>
      <c r="BM111" s="11">
        <v>233</v>
      </c>
      <c r="BN111" s="11">
        <v>226</v>
      </c>
      <c r="BO111" s="11">
        <v>210</v>
      </c>
      <c r="BP111" s="11">
        <v>233</v>
      </c>
      <c r="BQ111" s="11">
        <v>263</v>
      </c>
      <c r="BR111" s="11">
        <v>289</v>
      </c>
      <c r="BS111" s="26">
        <f t="shared" si="49"/>
        <v>2744</v>
      </c>
      <c r="BT111" s="11">
        <v>0</v>
      </c>
      <c r="BU111" s="11">
        <v>0</v>
      </c>
      <c r="BV111" s="11">
        <v>0</v>
      </c>
      <c r="BW111" s="11">
        <v>0</v>
      </c>
      <c r="BX111" s="11">
        <v>0</v>
      </c>
      <c r="BY111" s="11">
        <v>0</v>
      </c>
      <c r="BZ111" s="11">
        <v>0</v>
      </c>
      <c r="CA111" s="11">
        <v>0</v>
      </c>
      <c r="CB111" s="11">
        <v>0</v>
      </c>
      <c r="CC111" s="11">
        <v>0</v>
      </c>
      <c r="CD111" s="11">
        <v>0</v>
      </c>
      <c r="CE111" s="11">
        <v>0</v>
      </c>
      <c r="CF111" s="26">
        <f t="shared" si="50"/>
        <v>0</v>
      </c>
      <c r="CG111" s="11">
        <v>14</v>
      </c>
      <c r="CH111" s="11">
        <v>15</v>
      </c>
      <c r="CI111" s="11">
        <v>20</v>
      </c>
      <c r="CJ111" s="11">
        <v>26</v>
      </c>
      <c r="CK111" s="11">
        <v>13</v>
      </c>
      <c r="CL111" s="11">
        <v>19</v>
      </c>
      <c r="CM111" s="11">
        <v>24</v>
      </c>
      <c r="CN111" s="11">
        <v>22</v>
      </c>
      <c r="CO111" s="11">
        <v>14</v>
      </c>
      <c r="CP111" s="11">
        <v>14</v>
      </c>
      <c r="CQ111" s="11">
        <v>17</v>
      </c>
      <c r="CR111" s="11">
        <v>13</v>
      </c>
      <c r="CS111" s="26">
        <f t="shared" si="51"/>
        <v>211</v>
      </c>
      <c r="CT111" s="11">
        <v>3</v>
      </c>
      <c r="CU111" s="11">
        <v>1</v>
      </c>
      <c r="CV111" s="11">
        <v>0</v>
      </c>
      <c r="CW111" s="11">
        <v>2</v>
      </c>
      <c r="CX111" s="11">
        <v>4</v>
      </c>
      <c r="CY111" s="11">
        <v>0</v>
      </c>
      <c r="CZ111" s="11">
        <v>0</v>
      </c>
      <c r="DA111" s="11">
        <v>0</v>
      </c>
      <c r="DB111" s="11">
        <v>0</v>
      </c>
      <c r="DC111" s="11">
        <v>0</v>
      </c>
      <c r="DD111" s="11">
        <v>1</v>
      </c>
      <c r="DE111" s="11">
        <v>0</v>
      </c>
      <c r="DF111" s="26">
        <f t="shared" si="52"/>
        <v>11</v>
      </c>
      <c r="DG111" s="11">
        <v>0</v>
      </c>
      <c r="DH111" s="11">
        <v>0</v>
      </c>
      <c r="DI111" s="11">
        <v>0</v>
      </c>
      <c r="DJ111" s="11">
        <v>0</v>
      </c>
      <c r="DK111" s="11">
        <v>0</v>
      </c>
      <c r="DL111" s="11">
        <v>0</v>
      </c>
      <c r="DM111" s="11">
        <v>0</v>
      </c>
      <c r="DN111" s="11">
        <v>0</v>
      </c>
      <c r="DO111" s="11">
        <v>0</v>
      </c>
      <c r="DP111" s="11">
        <v>0</v>
      </c>
      <c r="DQ111" s="11">
        <v>0</v>
      </c>
      <c r="DR111" s="11">
        <v>0</v>
      </c>
      <c r="DS111" s="26">
        <f t="shared" si="53"/>
        <v>0</v>
      </c>
      <c r="DT111" s="11">
        <v>4</v>
      </c>
      <c r="DU111" s="11">
        <v>3</v>
      </c>
      <c r="DV111" s="11">
        <v>2</v>
      </c>
      <c r="DW111" s="11">
        <v>4</v>
      </c>
      <c r="DX111" s="11">
        <v>6</v>
      </c>
      <c r="DY111" s="11">
        <v>0</v>
      </c>
      <c r="DZ111" s="11">
        <v>3</v>
      </c>
      <c r="EA111" s="11">
        <v>1</v>
      </c>
      <c r="EB111" s="11">
        <v>0</v>
      </c>
      <c r="EC111" s="11">
        <v>0</v>
      </c>
      <c r="ED111" s="11">
        <v>1</v>
      </c>
      <c r="EE111" s="11">
        <v>0</v>
      </c>
      <c r="EF111" s="26">
        <f t="shared" si="54"/>
        <v>24</v>
      </c>
      <c r="EG111" s="9">
        <f t="shared" si="55"/>
        <v>6471</v>
      </c>
      <c r="EH111" s="9">
        <f t="shared" si="56"/>
        <v>246</v>
      </c>
      <c r="EI111" s="11">
        <v>6018</v>
      </c>
      <c r="EJ111" s="11">
        <v>6212</v>
      </c>
      <c r="EK111" s="11">
        <v>5559</v>
      </c>
      <c r="EL111" s="11">
        <v>5390</v>
      </c>
      <c r="EM111" s="11">
        <v>4431</v>
      </c>
      <c r="EN111" s="11">
        <v>5148</v>
      </c>
      <c r="EO111" s="11">
        <v>7567</v>
      </c>
      <c r="EP111" s="11">
        <v>7128</v>
      </c>
      <c r="EQ111" s="11">
        <v>4828</v>
      </c>
      <c r="ER111" s="11">
        <v>5668</v>
      </c>
      <c r="ES111" s="11">
        <v>7628</v>
      </c>
      <c r="ET111" s="11">
        <v>6865</v>
      </c>
      <c r="EU111" s="26">
        <f t="shared" si="57"/>
        <v>72442</v>
      </c>
      <c r="EV111" s="11"/>
      <c r="EW111" s="11">
        <v>0</v>
      </c>
      <c r="EX111" s="11">
        <v>0</v>
      </c>
      <c r="EY111" s="11">
        <v>0</v>
      </c>
      <c r="EZ111" s="11">
        <v>0</v>
      </c>
      <c r="FA111" s="11">
        <v>0</v>
      </c>
      <c r="FB111" s="11">
        <v>0</v>
      </c>
      <c r="FC111" s="11">
        <v>0</v>
      </c>
      <c r="FD111" s="11">
        <v>0</v>
      </c>
      <c r="FE111" s="11">
        <v>0</v>
      </c>
      <c r="FF111" s="11">
        <v>0</v>
      </c>
      <c r="FG111" s="11">
        <v>0</v>
      </c>
      <c r="FH111" s="26">
        <f t="shared" si="58"/>
        <v>0</v>
      </c>
      <c r="FI111" s="11">
        <v>0</v>
      </c>
      <c r="FJ111" s="11">
        <v>0</v>
      </c>
      <c r="FK111" s="11">
        <v>0</v>
      </c>
      <c r="FL111" s="11">
        <v>0</v>
      </c>
      <c r="FM111" s="11">
        <v>0</v>
      </c>
      <c r="FN111" s="11">
        <v>0</v>
      </c>
      <c r="FO111" s="11">
        <v>0</v>
      </c>
      <c r="FP111" s="11">
        <v>0</v>
      </c>
      <c r="FQ111" s="11">
        <v>0</v>
      </c>
      <c r="FR111" s="11">
        <v>0</v>
      </c>
      <c r="FS111" s="11">
        <v>0</v>
      </c>
      <c r="FT111" s="11">
        <v>0</v>
      </c>
      <c r="FU111" s="26">
        <f t="shared" si="59"/>
        <v>0</v>
      </c>
      <c r="FV111" s="11">
        <v>0</v>
      </c>
      <c r="FW111" s="11">
        <v>0</v>
      </c>
      <c r="FX111" s="11">
        <v>0</v>
      </c>
      <c r="FY111" s="11">
        <v>0</v>
      </c>
      <c r="FZ111" s="11">
        <v>0</v>
      </c>
      <c r="GA111" s="11">
        <v>0</v>
      </c>
      <c r="GB111" s="11">
        <v>0</v>
      </c>
      <c r="GC111" s="11">
        <v>0</v>
      </c>
      <c r="GD111" s="11">
        <v>0</v>
      </c>
      <c r="GE111" s="11">
        <v>0</v>
      </c>
      <c r="GF111" s="11">
        <v>0</v>
      </c>
      <c r="GG111" s="11">
        <v>0</v>
      </c>
      <c r="GH111" s="26">
        <f t="shared" si="60"/>
        <v>0</v>
      </c>
      <c r="GI111" s="11">
        <v>349</v>
      </c>
      <c r="GJ111" s="11">
        <v>169</v>
      </c>
      <c r="GK111" s="11">
        <v>192</v>
      </c>
      <c r="GL111" s="11">
        <v>308</v>
      </c>
      <c r="GM111" s="11">
        <v>257</v>
      </c>
      <c r="GN111" s="11">
        <v>134</v>
      </c>
      <c r="GO111" s="11">
        <v>386</v>
      </c>
      <c r="GP111" s="11">
        <v>188</v>
      </c>
      <c r="GQ111" s="11">
        <v>114</v>
      </c>
      <c r="GR111" s="11">
        <v>154</v>
      </c>
      <c r="GS111" s="11">
        <v>176</v>
      </c>
      <c r="GT111" s="11">
        <v>159</v>
      </c>
      <c r="GU111" s="26">
        <f t="shared" si="61"/>
        <v>2586</v>
      </c>
      <c r="GV111" s="11">
        <v>0</v>
      </c>
      <c r="GW111" s="11">
        <v>0</v>
      </c>
      <c r="GX111" s="11">
        <v>0</v>
      </c>
      <c r="GY111" s="11">
        <v>0</v>
      </c>
      <c r="GZ111" s="11">
        <v>0</v>
      </c>
      <c r="HA111" s="11">
        <v>0</v>
      </c>
      <c r="HB111" s="11">
        <v>0</v>
      </c>
      <c r="HC111" s="11">
        <v>0</v>
      </c>
      <c r="HD111" s="11">
        <v>0</v>
      </c>
      <c r="HE111" s="11">
        <v>0</v>
      </c>
      <c r="HF111" s="11">
        <v>0</v>
      </c>
      <c r="HG111" s="11">
        <v>0</v>
      </c>
      <c r="HH111" s="26">
        <f t="shared" si="62"/>
        <v>0</v>
      </c>
      <c r="HI111" s="11">
        <v>0</v>
      </c>
      <c r="HJ111" s="11">
        <v>0</v>
      </c>
      <c r="HK111" s="11">
        <v>0</v>
      </c>
      <c r="HL111" s="11">
        <v>0</v>
      </c>
      <c r="HM111" s="11">
        <v>0</v>
      </c>
      <c r="HN111" s="11">
        <v>0</v>
      </c>
      <c r="HO111" s="11">
        <v>0</v>
      </c>
      <c r="HP111" s="11">
        <v>0</v>
      </c>
      <c r="HQ111" s="11">
        <v>0</v>
      </c>
      <c r="HR111" s="11">
        <v>0</v>
      </c>
      <c r="HS111" s="11">
        <v>0</v>
      </c>
      <c r="HT111" s="11">
        <v>0</v>
      </c>
      <c r="HU111" s="26">
        <f t="shared" si="63"/>
        <v>0</v>
      </c>
      <c r="HV111" s="11">
        <v>0</v>
      </c>
      <c r="HW111" s="11">
        <v>0</v>
      </c>
      <c r="HX111" s="11">
        <v>0</v>
      </c>
      <c r="HY111" s="11">
        <v>0</v>
      </c>
      <c r="HZ111" s="11">
        <v>0</v>
      </c>
      <c r="IA111" s="11">
        <v>0</v>
      </c>
      <c r="IB111" s="11">
        <v>0</v>
      </c>
      <c r="IC111" s="11">
        <v>0</v>
      </c>
      <c r="ID111" s="11">
        <v>0</v>
      </c>
      <c r="IE111" s="11">
        <v>0</v>
      </c>
      <c r="IF111" s="11">
        <v>0</v>
      </c>
      <c r="IG111" s="11">
        <v>0</v>
      </c>
      <c r="IH111" s="26">
        <f t="shared" si="64"/>
        <v>0</v>
      </c>
      <c r="II111" s="9">
        <f t="shared" si="65"/>
        <v>0</v>
      </c>
      <c r="IJ111" s="9">
        <f t="shared" si="66"/>
        <v>0</v>
      </c>
      <c r="IK111" s="11">
        <v>17593</v>
      </c>
      <c r="IL111" s="11">
        <v>12802</v>
      </c>
      <c r="IM111" s="11">
        <v>12183</v>
      </c>
      <c r="IN111" s="11">
        <v>14452</v>
      </c>
      <c r="IO111" s="11">
        <v>15802</v>
      </c>
      <c r="IP111" s="11">
        <v>12403</v>
      </c>
      <c r="IQ111" s="11">
        <v>13857</v>
      </c>
      <c r="IR111" s="11">
        <v>12263</v>
      </c>
      <c r="IS111" s="11">
        <v>7438</v>
      </c>
      <c r="IT111" s="11">
        <v>12125</v>
      </c>
      <c r="IU111" s="11">
        <v>4327</v>
      </c>
      <c r="IV111" s="11">
        <v>11452</v>
      </c>
      <c r="IW111" s="27">
        <f t="shared" si="67"/>
        <v>146697</v>
      </c>
      <c r="IX111" s="11">
        <v>11970</v>
      </c>
      <c r="IY111" s="11">
        <v>8911</v>
      </c>
      <c r="IZ111" s="11">
        <v>8741</v>
      </c>
      <c r="JA111" s="11">
        <v>9669</v>
      </c>
      <c r="JB111" s="11">
        <v>9897</v>
      </c>
      <c r="JC111" s="11">
        <v>8470</v>
      </c>
      <c r="JD111" s="11">
        <v>9586</v>
      </c>
      <c r="JE111" s="11">
        <v>8521</v>
      </c>
      <c r="JF111" s="11">
        <v>5842</v>
      </c>
      <c r="JG111" s="11">
        <v>8528</v>
      </c>
      <c r="JH111" s="11">
        <v>8053</v>
      </c>
      <c r="JI111" s="11">
        <v>7873</v>
      </c>
      <c r="JJ111" s="27">
        <f t="shared" si="68"/>
        <v>106061</v>
      </c>
      <c r="JK111" s="11">
        <v>5388</v>
      </c>
      <c r="JL111" s="11">
        <v>3708</v>
      </c>
      <c r="JM111" s="11">
        <v>3338</v>
      </c>
      <c r="JN111" s="11">
        <v>4573</v>
      </c>
      <c r="JO111" s="11">
        <v>5672</v>
      </c>
      <c r="JP111" s="11">
        <v>3832</v>
      </c>
      <c r="JQ111" s="11">
        <v>4105</v>
      </c>
      <c r="JR111" s="11">
        <v>3582</v>
      </c>
      <c r="JS111" s="11">
        <v>1540</v>
      </c>
      <c r="JT111" s="11">
        <v>3420</v>
      </c>
      <c r="JU111" s="11">
        <v>4198</v>
      </c>
      <c r="JV111" s="11">
        <v>3460</v>
      </c>
      <c r="JW111" s="27">
        <f t="shared" si="69"/>
        <v>46816</v>
      </c>
      <c r="JX111" s="11">
        <v>235</v>
      </c>
      <c r="JY111" s="11">
        <v>183</v>
      </c>
      <c r="JZ111" s="11">
        <v>104</v>
      </c>
      <c r="KA111" s="11">
        <v>210</v>
      </c>
      <c r="KB111" s="11">
        <v>233</v>
      </c>
      <c r="KC111" s="11">
        <v>128</v>
      </c>
      <c r="KD111" s="11">
        <v>166</v>
      </c>
      <c r="KE111" s="11">
        <v>160</v>
      </c>
      <c r="KF111" s="11">
        <v>56</v>
      </c>
      <c r="KG111" s="11">
        <v>177</v>
      </c>
      <c r="KH111" s="11">
        <v>121</v>
      </c>
      <c r="KI111" s="11">
        <v>119</v>
      </c>
      <c r="KJ111" s="27">
        <f t="shared" si="70"/>
        <v>1892</v>
      </c>
      <c r="KK111" s="11">
        <v>157</v>
      </c>
      <c r="KL111" s="11">
        <v>103</v>
      </c>
      <c r="KM111" s="11">
        <v>61</v>
      </c>
      <c r="KN111" s="11">
        <v>81</v>
      </c>
      <c r="KO111" s="11">
        <v>138</v>
      </c>
      <c r="KP111" s="11">
        <v>75</v>
      </c>
      <c r="KQ111" s="11">
        <v>122</v>
      </c>
      <c r="KR111" s="11">
        <v>90</v>
      </c>
      <c r="KS111" s="11">
        <v>77</v>
      </c>
      <c r="KT111" s="11">
        <v>123</v>
      </c>
      <c r="KU111" s="11">
        <v>98</v>
      </c>
      <c r="KV111" s="11">
        <v>139</v>
      </c>
      <c r="KW111" s="27">
        <f t="shared" si="71"/>
        <v>1264</v>
      </c>
      <c r="KX111" s="11">
        <v>0</v>
      </c>
      <c r="KY111" s="11">
        <v>0</v>
      </c>
      <c r="KZ111" s="11">
        <v>0</v>
      </c>
      <c r="LA111" s="11">
        <v>0</v>
      </c>
      <c r="LB111" s="11">
        <v>0</v>
      </c>
      <c r="LC111" s="11">
        <v>0</v>
      </c>
      <c r="LD111" s="11">
        <v>0</v>
      </c>
      <c r="LE111" s="11">
        <v>0</v>
      </c>
      <c r="LF111" s="11">
        <v>0</v>
      </c>
      <c r="LG111" s="11">
        <v>0</v>
      </c>
      <c r="LH111" s="11">
        <v>0</v>
      </c>
      <c r="LI111" s="11">
        <v>0</v>
      </c>
      <c r="LJ111" s="27">
        <f t="shared" si="72"/>
        <v>0</v>
      </c>
      <c r="LK111" s="11">
        <v>0</v>
      </c>
      <c r="LL111" s="11">
        <v>0</v>
      </c>
      <c r="LM111" s="11">
        <v>0</v>
      </c>
      <c r="LN111" s="11">
        <v>0</v>
      </c>
      <c r="LO111" s="11">
        <v>0</v>
      </c>
      <c r="LP111" s="11">
        <v>0</v>
      </c>
      <c r="LQ111" s="11">
        <v>0</v>
      </c>
      <c r="LR111" s="11">
        <v>0</v>
      </c>
      <c r="LS111" s="11">
        <v>0</v>
      </c>
      <c r="LT111" s="11">
        <v>0</v>
      </c>
      <c r="LU111" s="11">
        <v>0</v>
      </c>
      <c r="LV111" s="11">
        <v>0</v>
      </c>
      <c r="LW111" s="27">
        <f t="shared" si="73"/>
        <v>0</v>
      </c>
      <c r="LX111" s="11">
        <v>0</v>
      </c>
      <c r="LY111" s="11">
        <v>0</v>
      </c>
      <c r="LZ111" s="11">
        <v>0</v>
      </c>
      <c r="MA111" s="11">
        <v>0</v>
      </c>
      <c r="MB111" s="11">
        <v>0</v>
      </c>
      <c r="MC111" s="11">
        <v>0</v>
      </c>
      <c r="MD111" s="11">
        <v>0</v>
      </c>
      <c r="ME111" s="11">
        <v>0</v>
      </c>
      <c r="MF111" s="11">
        <v>0</v>
      </c>
      <c r="MG111" s="11">
        <v>0</v>
      </c>
      <c r="MH111" s="11">
        <v>0</v>
      </c>
      <c r="MI111" s="11">
        <v>0</v>
      </c>
      <c r="MJ111" s="27">
        <f t="shared" si="74"/>
        <v>0</v>
      </c>
      <c r="MK111" s="11">
        <v>0</v>
      </c>
      <c r="ML111" s="11">
        <v>0</v>
      </c>
      <c r="MM111" s="11">
        <v>0</v>
      </c>
      <c r="MN111" s="11">
        <v>0</v>
      </c>
      <c r="MO111" s="11">
        <v>0</v>
      </c>
      <c r="MP111" s="11">
        <v>0</v>
      </c>
      <c r="MQ111" s="11">
        <v>0</v>
      </c>
      <c r="MR111" s="11">
        <v>0</v>
      </c>
      <c r="MS111" s="11">
        <v>0</v>
      </c>
      <c r="MT111" s="11">
        <v>0</v>
      </c>
      <c r="MU111" s="11">
        <v>0</v>
      </c>
      <c r="MV111" s="11">
        <v>0</v>
      </c>
      <c r="MW111" s="27">
        <f t="shared" si="75"/>
        <v>0</v>
      </c>
      <c r="MX111" s="11">
        <v>2296</v>
      </c>
      <c r="MY111" s="11">
        <v>2172</v>
      </c>
      <c r="MZ111" s="11">
        <v>2091</v>
      </c>
      <c r="NA111" s="11">
        <v>2096</v>
      </c>
      <c r="NB111" s="11">
        <v>2202</v>
      </c>
      <c r="NC111" s="11">
        <v>2231</v>
      </c>
      <c r="ND111" s="11">
        <v>2272</v>
      </c>
      <c r="NE111" s="11">
        <v>2121</v>
      </c>
      <c r="NF111" s="11">
        <v>2155</v>
      </c>
      <c r="NG111" s="11">
        <v>2242</v>
      </c>
      <c r="NH111" s="11">
        <v>1998</v>
      </c>
      <c r="NI111" s="11">
        <v>2132</v>
      </c>
      <c r="NJ111" s="27">
        <f t="shared" si="76"/>
        <v>26008</v>
      </c>
      <c r="NK111" s="11">
        <v>166</v>
      </c>
      <c r="NL111" s="11">
        <v>187</v>
      </c>
      <c r="NM111" s="11">
        <v>187</v>
      </c>
      <c r="NN111" s="11">
        <v>186</v>
      </c>
      <c r="NO111" s="11">
        <v>274</v>
      </c>
      <c r="NP111" s="11">
        <v>180</v>
      </c>
      <c r="NQ111" s="11">
        <v>249</v>
      </c>
      <c r="NR111" s="11">
        <v>191</v>
      </c>
      <c r="NS111" s="11">
        <v>221</v>
      </c>
      <c r="NT111" s="11">
        <v>204</v>
      </c>
      <c r="NU111" s="11">
        <v>154</v>
      </c>
      <c r="NV111" s="11">
        <v>209</v>
      </c>
      <c r="NW111" s="27">
        <f t="shared" si="77"/>
        <v>2408</v>
      </c>
      <c r="NX111" s="11">
        <v>155</v>
      </c>
      <c r="NY111" s="11">
        <v>168</v>
      </c>
      <c r="NZ111" s="11">
        <v>166</v>
      </c>
      <c r="OA111" s="11">
        <v>123</v>
      </c>
      <c r="OB111" s="11">
        <v>152</v>
      </c>
      <c r="OC111" s="11">
        <v>119</v>
      </c>
      <c r="OD111" s="11">
        <v>103</v>
      </c>
      <c r="OE111" s="11">
        <v>99</v>
      </c>
      <c r="OF111" s="11">
        <v>128</v>
      </c>
      <c r="OG111" s="11">
        <v>91</v>
      </c>
      <c r="OH111" s="11">
        <v>113</v>
      </c>
      <c r="OI111" s="11">
        <v>98</v>
      </c>
      <c r="OJ111" s="27">
        <f t="shared" si="78"/>
        <v>1515</v>
      </c>
      <c r="OK111" s="11">
        <v>0</v>
      </c>
      <c r="OL111" s="11">
        <v>0</v>
      </c>
      <c r="OM111" s="11">
        <v>0</v>
      </c>
      <c r="ON111" s="11">
        <v>0</v>
      </c>
      <c r="OO111" s="11">
        <v>0</v>
      </c>
      <c r="OP111" s="11">
        <v>0</v>
      </c>
      <c r="OQ111" s="11">
        <v>0</v>
      </c>
      <c r="OR111" s="11">
        <v>0</v>
      </c>
      <c r="OS111" s="11">
        <v>0</v>
      </c>
      <c r="OT111" s="11">
        <v>0</v>
      </c>
      <c r="OU111" s="11">
        <v>0</v>
      </c>
      <c r="OV111" s="11">
        <v>0</v>
      </c>
      <c r="OW111" s="27">
        <f t="shared" si="79"/>
        <v>0</v>
      </c>
      <c r="OX111" s="11">
        <v>2618</v>
      </c>
      <c r="OY111" s="11">
        <v>2596</v>
      </c>
      <c r="OZ111" s="11">
        <v>2605</v>
      </c>
      <c r="PA111" s="11">
        <v>2750</v>
      </c>
      <c r="PB111" s="11">
        <v>2866</v>
      </c>
      <c r="PC111" s="11">
        <v>2878</v>
      </c>
      <c r="PD111" s="11">
        <v>2842</v>
      </c>
      <c r="PE111" s="11">
        <v>2831</v>
      </c>
      <c r="PF111" s="11">
        <v>2769</v>
      </c>
      <c r="PG111" s="11">
        <v>3005</v>
      </c>
      <c r="PH111" s="11">
        <v>2696</v>
      </c>
      <c r="PI111" s="11">
        <v>2973</v>
      </c>
      <c r="PJ111" s="27">
        <f t="shared" si="80"/>
        <v>33429</v>
      </c>
      <c r="PK111" s="11">
        <v>256</v>
      </c>
      <c r="PL111" s="11">
        <v>245</v>
      </c>
      <c r="PM111" s="11">
        <v>213</v>
      </c>
      <c r="PN111" s="11">
        <v>278</v>
      </c>
      <c r="PO111" s="11">
        <v>380</v>
      </c>
      <c r="PP111" s="11">
        <v>254</v>
      </c>
      <c r="PQ111" s="11">
        <v>235</v>
      </c>
      <c r="PR111" s="11">
        <v>249</v>
      </c>
      <c r="PS111" s="11">
        <v>238</v>
      </c>
      <c r="PT111" s="11">
        <v>236</v>
      </c>
      <c r="PU111" s="11">
        <v>180</v>
      </c>
      <c r="PV111" s="11">
        <v>246</v>
      </c>
      <c r="PW111" s="27">
        <f t="shared" si="81"/>
        <v>3010</v>
      </c>
      <c r="PX111" s="11">
        <v>165</v>
      </c>
      <c r="PY111" s="11">
        <v>170</v>
      </c>
      <c r="PZ111" s="11">
        <v>162</v>
      </c>
      <c r="QA111" s="11">
        <v>149</v>
      </c>
      <c r="QB111" s="11">
        <v>159</v>
      </c>
      <c r="QC111" s="11">
        <v>147</v>
      </c>
      <c r="QD111" s="11">
        <v>172</v>
      </c>
      <c r="QE111" s="11">
        <v>161</v>
      </c>
      <c r="QF111" s="11">
        <v>146</v>
      </c>
      <c r="QG111" s="11">
        <v>172</v>
      </c>
      <c r="QH111" s="11">
        <v>136</v>
      </c>
      <c r="QI111" s="11">
        <v>143</v>
      </c>
      <c r="QJ111" s="27">
        <f t="shared" si="82"/>
        <v>1882</v>
      </c>
      <c r="QK111" s="11">
        <v>19092</v>
      </c>
      <c r="QL111" s="11">
        <v>19473</v>
      </c>
      <c r="QM111" s="11">
        <v>18126</v>
      </c>
      <c r="QN111" s="11">
        <v>18425</v>
      </c>
      <c r="QO111" s="11">
        <v>18761</v>
      </c>
      <c r="QP111" s="11">
        <v>16372</v>
      </c>
      <c r="QQ111" s="11">
        <v>17917</v>
      </c>
      <c r="QR111" s="11">
        <v>18580</v>
      </c>
      <c r="QS111" s="11">
        <v>12131</v>
      </c>
      <c r="QT111" s="11">
        <v>14882</v>
      </c>
      <c r="QU111" s="11">
        <v>16212</v>
      </c>
      <c r="QV111" s="11">
        <v>15292</v>
      </c>
      <c r="QW111" s="27">
        <f t="shared" si="83"/>
        <v>205263</v>
      </c>
      <c r="QX111" s="11">
        <v>19839</v>
      </c>
      <c r="QY111" s="11">
        <v>20285</v>
      </c>
      <c r="QZ111" s="11">
        <v>18685</v>
      </c>
      <c r="RA111" s="11">
        <v>17784</v>
      </c>
      <c r="RB111" s="11">
        <v>15769</v>
      </c>
      <c r="RC111" s="11">
        <v>15769</v>
      </c>
      <c r="RD111" s="11">
        <v>18010</v>
      </c>
      <c r="RE111" s="11">
        <v>20361</v>
      </c>
      <c r="RF111" s="11">
        <v>21520</v>
      </c>
      <c r="RG111" s="11">
        <v>13604</v>
      </c>
      <c r="RH111" s="11">
        <v>20539</v>
      </c>
      <c r="RI111" s="11">
        <v>16010</v>
      </c>
      <c r="RJ111" s="27">
        <f t="shared" si="84"/>
        <v>218175</v>
      </c>
      <c r="RK111" s="11">
        <v>0</v>
      </c>
      <c r="RL111" s="11">
        <v>0</v>
      </c>
      <c r="RM111" s="11">
        <v>0</v>
      </c>
      <c r="RN111" s="11">
        <v>0</v>
      </c>
      <c r="RO111" s="11">
        <v>0</v>
      </c>
      <c r="RP111" s="11">
        <v>0</v>
      </c>
      <c r="RQ111" s="11">
        <v>0</v>
      </c>
      <c r="RR111" s="11">
        <v>0</v>
      </c>
      <c r="RS111" s="11">
        <v>0</v>
      </c>
      <c r="RT111" s="11">
        <v>0</v>
      </c>
      <c r="RU111" s="11">
        <v>0</v>
      </c>
      <c r="RV111" s="11">
        <v>0</v>
      </c>
      <c r="RW111" s="27">
        <f t="shared" si="85"/>
        <v>0</v>
      </c>
      <c r="RX111" s="11">
        <v>0</v>
      </c>
      <c r="RY111" s="11">
        <v>0</v>
      </c>
      <c r="RZ111" s="11">
        <v>0</v>
      </c>
      <c r="SA111" s="11">
        <v>0</v>
      </c>
      <c r="SB111" s="11">
        <v>0</v>
      </c>
      <c r="SC111" s="11">
        <v>0</v>
      </c>
      <c r="SD111" s="11">
        <v>0</v>
      </c>
      <c r="SE111" s="11">
        <v>0</v>
      </c>
      <c r="SF111" s="11">
        <v>0</v>
      </c>
      <c r="SG111" s="11">
        <v>0</v>
      </c>
      <c r="SH111" s="11">
        <v>0</v>
      </c>
      <c r="SI111" s="11">
        <v>0</v>
      </c>
      <c r="SJ111" s="27">
        <f t="shared" si="86"/>
        <v>0</v>
      </c>
      <c r="SK111" s="11">
        <v>0</v>
      </c>
      <c r="SL111" s="11">
        <v>0</v>
      </c>
      <c r="SM111" s="11">
        <v>0</v>
      </c>
      <c r="SN111" s="11">
        <v>0</v>
      </c>
      <c r="SO111" s="11">
        <v>0</v>
      </c>
      <c r="SP111" s="11">
        <v>0</v>
      </c>
      <c r="SQ111" s="11">
        <v>0</v>
      </c>
      <c r="SR111" s="11">
        <v>0</v>
      </c>
      <c r="SS111" s="11">
        <v>0</v>
      </c>
      <c r="ST111" s="11">
        <v>0</v>
      </c>
      <c r="SU111" s="11">
        <v>0</v>
      </c>
      <c r="SV111" s="11">
        <v>0</v>
      </c>
      <c r="SW111" s="27">
        <f t="shared" si="87"/>
        <v>0</v>
      </c>
      <c r="SX111" s="11" t="s">
        <v>1437</v>
      </c>
      <c r="SY111" s="11">
        <v>2754</v>
      </c>
      <c r="SZ111" s="11">
        <v>3668</v>
      </c>
      <c r="TA111" s="11">
        <v>3430</v>
      </c>
      <c r="TB111" s="11">
        <v>3725</v>
      </c>
      <c r="TC111" s="11">
        <v>3642</v>
      </c>
      <c r="TD111" s="11">
        <v>3683</v>
      </c>
      <c r="TE111" s="11">
        <v>3967</v>
      </c>
      <c r="TF111" s="11">
        <v>3558</v>
      </c>
      <c r="TG111" s="11">
        <v>2629</v>
      </c>
      <c r="TH111" s="11">
        <v>3772</v>
      </c>
      <c r="TI111" s="11">
        <v>3587</v>
      </c>
      <c r="TJ111" s="11">
        <v>3826</v>
      </c>
      <c r="TK111" s="27">
        <f t="shared" si="88"/>
        <v>42241</v>
      </c>
      <c r="TL111" s="11">
        <v>0</v>
      </c>
      <c r="TM111" s="11">
        <v>0</v>
      </c>
      <c r="TN111" s="11">
        <v>0</v>
      </c>
      <c r="TO111" s="11">
        <v>0</v>
      </c>
      <c r="TP111" s="11">
        <v>0</v>
      </c>
      <c r="TQ111" s="11">
        <v>0</v>
      </c>
      <c r="TR111" s="11">
        <v>0</v>
      </c>
      <c r="TS111" s="11">
        <v>0</v>
      </c>
      <c r="TT111" s="11">
        <v>0</v>
      </c>
      <c r="TU111" s="11">
        <v>0</v>
      </c>
      <c r="TV111" s="11">
        <v>0</v>
      </c>
      <c r="TW111" s="11">
        <v>0</v>
      </c>
      <c r="TX111" s="27">
        <f t="shared" si="89"/>
        <v>0</v>
      </c>
      <c r="TY111" s="11">
        <v>144</v>
      </c>
      <c r="TZ111" s="11">
        <v>0</v>
      </c>
      <c r="UA111" s="11">
        <v>0</v>
      </c>
    </row>
    <row r="112" spans="1:547" ht="16" customHeight="1" x14ac:dyDescent="0.35">
      <c r="A112" s="11" t="s">
        <v>1463</v>
      </c>
      <c r="B112" s="11">
        <v>51743</v>
      </c>
      <c r="C112" s="11">
        <v>17953</v>
      </c>
      <c r="D112" s="11">
        <v>30439</v>
      </c>
      <c r="E112" s="11">
        <v>2708</v>
      </c>
      <c r="F112" s="11">
        <v>594</v>
      </c>
      <c r="G112" s="11">
        <v>651</v>
      </c>
      <c r="H112" s="11">
        <v>623</v>
      </c>
      <c r="I112" s="11">
        <v>687</v>
      </c>
      <c r="J112" s="11">
        <v>568</v>
      </c>
      <c r="K112" s="11">
        <v>663</v>
      </c>
      <c r="L112" s="11">
        <v>711</v>
      </c>
      <c r="M112" s="11">
        <v>775</v>
      </c>
      <c r="N112" s="11">
        <v>553</v>
      </c>
      <c r="O112" s="11">
        <v>739</v>
      </c>
      <c r="P112" s="11" t="s">
        <v>2862</v>
      </c>
      <c r="Q112" s="11">
        <v>728</v>
      </c>
      <c r="R112" s="11">
        <v>836</v>
      </c>
      <c r="S112" s="26">
        <f t="shared" si="45"/>
        <v>8128</v>
      </c>
      <c r="T112" s="11">
        <v>249</v>
      </c>
      <c r="U112" s="11">
        <v>291</v>
      </c>
      <c r="V112" s="11">
        <v>242</v>
      </c>
      <c r="W112" s="11">
        <v>294</v>
      </c>
      <c r="X112" s="11">
        <v>224</v>
      </c>
      <c r="Y112" s="11">
        <v>325</v>
      </c>
      <c r="Z112" s="11">
        <v>320</v>
      </c>
      <c r="AA112" s="11">
        <v>358</v>
      </c>
      <c r="AB112" s="11">
        <v>265</v>
      </c>
      <c r="AC112" s="11">
        <v>333</v>
      </c>
      <c r="AD112" s="11">
        <v>357</v>
      </c>
      <c r="AE112" s="11">
        <v>381</v>
      </c>
      <c r="AF112" s="26">
        <f t="shared" si="46"/>
        <v>3639</v>
      </c>
      <c r="AG112" s="11">
        <v>321</v>
      </c>
      <c r="AH112" s="11">
        <v>340</v>
      </c>
      <c r="AI112" s="11">
        <v>370</v>
      </c>
      <c r="AJ112" s="11">
        <v>378</v>
      </c>
      <c r="AK112" s="11">
        <v>316</v>
      </c>
      <c r="AL112" s="11">
        <v>314</v>
      </c>
      <c r="AM112" s="11">
        <v>357</v>
      </c>
      <c r="AN112" s="11">
        <v>368</v>
      </c>
      <c r="AO112" s="11">
        <v>252</v>
      </c>
      <c r="AP112" s="11">
        <v>366</v>
      </c>
      <c r="AQ112" s="11">
        <v>351</v>
      </c>
      <c r="AR112" s="11">
        <v>420</v>
      </c>
      <c r="AS112" s="26">
        <f t="shared" si="47"/>
        <v>4153</v>
      </c>
      <c r="AT112" s="11">
        <v>7</v>
      </c>
      <c r="AU112" s="11">
        <v>2</v>
      </c>
      <c r="AV112" s="11">
        <v>2</v>
      </c>
      <c r="AW112" s="11">
        <v>3</v>
      </c>
      <c r="AX112" s="11">
        <v>2</v>
      </c>
      <c r="AY112" s="11">
        <v>5</v>
      </c>
      <c r="AZ112" s="11">
        <v>5</v>
      </c>
      <c r="BA112" s="11">
        <v>12</v>
      </c>
      <c r="BB112" s="11">
        <v>4</v>
      </c>
      <c r="BC112" s="11">
        <v>9</v>
      </c>
      <c r="BD112" s="11">
        <v>6</v>
      </c>
      <c r="BE112" s="11">
        <v>12</v>
      </c>
      <c r="BF112" s="26">
        <f t="shared" si="48"/>
        <v>69</v>
      </c>
      <c r="BG112" s="11">
        <v>17</v>
      </c>
      <c r="BH112" s="11">
        <v>18</v>
      </c>
      <c r="BI112" s="11">
        <v>9</v>
      </c>
      <c r="BJ112" s="11">
        <v>12</v>
      </c>
      <c r="BK112" s="11">
        <v>26</v>
      </c>
      <c r="BL112" s="11">
        <v>19</v>
      </c>
      <c r="BM112" s="11">
        <v>29</v>
      </c>
      <c r="BN112" s="11">
        <v>37</v>
      </c>
      <c r="BO112" s="11">
        <v>32</v>
      </c>
      <c r="BP112" s="11">
        <v>31</v>
      </c>
      <c r="BQ112" s="11">
        <v>14</v>
      </c>
      <c r="BR112" s="11">
        <v>23</v>
      </c>
      <c r="BS112" s="26">
        <f t="shared" si="49"/>
        <v>267</v>
      </c>
      <c r="BT112" s="11">
        <v>0</v>
      </c>
      <c r="BU112" s="11">
        <v>0</v>
      </c>
      <c r="BV112" s="11">
        <v>0</v>
      </c>
      <c r="BW112" s="11">
        <v>0</v>
      </c>
      <c r="BX112" s="11">
        <v>0</v>
      </c>
      <c r="BY112" s="11">
        <v>0</v>
      </c>
      <c r="BZ112" s="11">
        <v>0</v>
      </c>
      <c r="CA112" s="11">
        <v>0</v>
      </c>
      <c r="CB112" s="11">
        <v>0</v>
      </c>
      <c r="CC112" s="11">
        <v>0</v>
      </c>
      <c r="CD112" s="11">
        <v>0</v>
      </c>
      <c r="CE112" s="11">
        <v>0</v>
      </c>
      <c r="CF112" s="26">
        <f t="shared" si="50"/>
        <v>0</v>
      </c>
      <c r="CG112" s="11">
        <v>0</v>
      </c>
      <c r="CH112" s="11">
        <v>0</v>
      </c>
      <c r="CI112" s="11">
        <v>0</v>
      </c>
      <c r="CJ112" s="11">
        <v>0</v>
      </c>
      <c r="CK112" s="11">
        <v>0</v>
      </c>
      <c r="CL112" s="11">
        <v>0</v>
      </c>
      <c r="CM112" s="11">
        <v>0</v>
      </c>
      <c r="CN112" s="11">
        <v>0</v>
      </c>
      <c r="CO112" s="11">
        <v>0</v>
      </c>
      <c r="CP112" s="11">
        <v>0</v>
      </c>
      <c r="CQ112" s="11">
        <v>0</v>
      </c>
      <c r="CR112" s="11">
        <v>0</v>
      </c>
      <c r="CS112" s="26">
        <f t="shared" si="51"/>
        <v>0</v>
      </c>
      <c r="CT112" s="11">
        <v>0</v>
      </c>
      <c r="CU112" s="11">
        <v>0</v>
      </c>
      <c r="CV112" s="11">
        <v>0</v>
      </c>
      <c r="CW112" s="11">
        <v>0</v>
      </c>
      <c r="CX112" s="11">
        <v>0</v>
      </c>
      <c r="CY112" s="11">
        <v>0</v>
      </c>
      <c r="CZ112" s="11">
        <v>0</v>
      </c>
      <c r="DA112" s="11">
        <v>0</v>
      </c>
      <c r="DB112" s="11">
        <v>0</v>
      </c>
      <c r="DC112" s="11">
        <v>0</v>
      </c>
      <c r="DD112" s="11">
        <v>0</v>
      </c>
      <c r="DE112" s="11">
        <v>0</v>
      </c>
      <c r="DF112" s="26">
        <f t="shared" si="52"/>
        <v>0</v>
      </c>
      <c r="DG112" s="11">
        <v>0</v>
      </c>
      <c r="DH112" s="11">
        <v>0</v>
      </c>
      <c r="DI112" s="11">
        <v>0</v>
      </c>
      <c r="DJ112" s="11">
        <v>0</v>
      </c>
      <c r="DK112" s="11">
        <v>0</v>
      </c>
      <c r="DL112" s="11">
        <v>0</v>
      </c>
      <c r="DM112" s="11">
        <v>0</v>
      </c>
      <c r="DN112" s="11">
        <v>0</v>
      </c>
      <c r="DO112" s="11">
        <v>0</v>
      </c>
      <c r="DP112" s="11">
        <v>0</v>
      </c>
      <c r="DQ112" s="11">
        <v>0</v>
      </c>
      <c r="DR112" s="11">
        <v>0</v>
      </c>
      <c r="DS112" s="26">
        <f t="shared" si="53"/>
        <v>0</v>
      </c>
      <c r="DT112" s="11">
        <v>0</v>
      </c>
      <c r="DU112" s="11">
        <v>0</v>
      </c>
      <c r="DV112" s="11">
        <v>0</v>
      </c>
      <c r="DW112" s="11">
        <v>0</v>
      </c>
      <c r="DX112" s="11">
        <v>0</v>
      </c>
      <c r="DY112" s="11">
        <v>0</v>
      </c>
      <c r="DZ112" s="11">
        <v>0</v>
      </c>
      <c r="EA112" s="11">
        <v>0</v>
      </c>
      <c r="EB112" s="11">
        <v>0</v>
      </c>
      <c r="EC112" s="11">
        <v>0</v>
      </c>
      <c r="ED112" s="11">
        <v>0</v>
      </c>
      <c r="EE112" s="11">
        <v>0</v>
      </c>
      <c r="EF112" s="26">
        <f t="shared" si="54"/>
        <v>0</v>
      </c>
      <c r="EG112" s="9">
        <f t="shared" si="55"/>
        <v>8128</v>
      </c>
      <c r="EH112" s="9">
        <f t="shared" si="56"/>
        <v>0</v>
      </c>
      <c r="EI112" s="11">
        <v>10869</v>
      </c>
      <c r="EJ112" s="11">
        <v>9853</v>
      </c>
      <c r="EK112" s="11">
        <v>11051</v>
      </c>
      <c r="EL112" s="11">
        <v>22088</v>
      </c>
      <c r="EM112" s="11">
        <v>8721</v>
      </c>
      <c r="EN112" s="11">
        <v>9020</v>
      </c>
      <c r="EO112" s="11">
        <v>10606</v>
      </c>
      <c r="EP112" s="11">
        <v>10998</v>
      </c>
      <c r="EQ112" s="11">
        <v>7050</v>
      </c>
      <c r="ER112" s="11">
        <v>10078</v>
      </c>
      <c r="ES112" s="11">
        <v>10865</v>
      </c>
      <c r="ET112" s="11">
        <v>12458</v>
      </c>
      <c r="EU112" s="26">
        <f t="shared" si="57"/>
        <v>133657</v>
      </c>
      <c r="EV112" s="11">
        <v>5352</v>
      </c>
      <c r="EW112" s="11">
        <v>5408</v>
      </c>
      <c r="EX112" s="11">
        <v>4933</v>
      </c>
      <c r="EY112" s="11">
        <v>5741</v>
      </c>
      <c r="EZ112" s="11">
        <v>4730</v>
      </c>
      <c r="FA112" s="11">
        <v>5024</v>
      </c>
      <c r="FB112" s="11">
        <v>5974</v>
      </c>
      <c r="FC112" s="11">
        <v>5837</v>
      </c>
      <c r="FD112" s="11">
        <v>3854</v>
      </c>
      <c r="FE112" s="11">
        <v>5358</v>
      </c>
      <c r="FF112" s="11">
        <v>5893</v>
      </c>
      <c r="FG112" s="11">
        <v>6330</v>
      </c>
      <c r="FH112" s="26">
        <f t="shared" si="58"/>
        <v>64434</v>
      </c>
      <c r="FI112" s="11">
        <v>0</v>
      </c>
      <c r="FJ112" s="11">
        <v>0</v>
      </c>
      <c r="FK112" s="11">
        <v>0</v>
      </c>
      <c r="FL112" s="11">
        <v>0</v>
      </c>
      <c r="FM112" s="11">
        <v>0</v>
      </c>
      <c r="FN112" s="11">
        <v>0</v>
      </c>
      <c r="FO112" s="11">
        <v>0</v>
      </c>
      <c r="FP112" s="11">
        <v>0</v>
      </c>
      <c r="FQ112" s="11">
        <v>0</v>
      </c>
      <c r="FR112" s="11">
        <v>0</v>
      </c>
      <c r="FS112" s="11">
        <v>0</v>
      </c>
      <c r="FT112" s="11">
        <v>0</v>
      </c>
      <c r="FU112" s="26">
        <f t="shared" si="59"/>
        <v>0</v>
      </c>
      <c r="FV112" s="11">
        <v>5517</v>
      </c>
      <c r="FW112" s="11">
        <v>4445</v>
      </c>
      <c r="FX112" s="11">
        <v>6118</v>
      </c>
      <c r="FY112" s="11">
        <v>16347</v>
      </c>
      <c r="FZ112" s="11">
        <v>3991</v>
      </c>
      <c r="GA112" s="11">
        <v>3996</v>
      </c>
      <c r="GB112" s="11">
        <v>4632</v>
      </c>
      <c r="GC112" s="11">
        <v>5161</v>
      </c>
      <c r="GD112" s="11">
        <v>3196</v>
      </c>
      <c r="GE112" s="11">
        <v>4720</v>
      </c>
      <c r="GF112" s="11">
        <v>4972</v>
      </c>
      <c r="GG112" s="11">
        <v>6128</v>
      </c>
      <c r="GH112" s="26">
        <f t="shared" si="60"/>
        <v>69223</v>
      </c>
      <c r="GI112" s="11">
        <v>0</v>
      </c>
      <c r="GJ112" s="11">
        <v>0</v>
      </c>
      <c r="GK112" s="11">
        <v>0</v>
      </c>
      <c r="GL112" s="11">
        <v>0</v>
      </c>
      <c r="GM112" s="11">
        <v>0</v>
      </c>
      <c r="GN112" s="11">
        <v>0</v>
      </c>
      <c r="GO112" s="11">
        <v>0</v>
      </c>
      <c r="GP112" s="11">
        <v>0</v>
      </c>
      <c r="GQ112" s="11">
        <v>0</v>
      </c>
      <c r="GR112" s="11">
        <v>0</v>
      </c>
      <c r="GS112" s="11">
        <v>0</v>
      </c>
      <c r="GT112" s="11">
        <v>0</v>
      </c>
      <c r="GU112" s="26">
        <f t="shared" si="61"/>
        <v>0</v>
      </c>
      <c r="GV112" s="11">
        <v>0</v>
      </c>
      <c r="GW112" s="11">
        <v>0</v>
      </c>
      <c r="GX112" s="11">
        <v>0</v>
      </c>
      <c r="GY112" s="11">
        <v>0</v>
      </c>
      <c r="GZ112" s="11">
        <v>0</v>
      </c>
      <c r="HA112" s="11">
        <v>0</v>
      </c>
      <c r="HB112" s="11">
        <v>0</v>
      </c>
      <c r="HC112" s="11">
        <v>0</v>
      </c>
      <c r="HD112" s="11">
        <v>0</v>
      </c>
      <c r="HE112" s="11">
        <v>0</v>
      </c>
      <c r="HF112" s="11">
        <v>0</v>
      </c>
      <c r="HG112" s="11">
        <v>0</v>
      </c>
      <c r="HH112" s="26">
        <f t="shared" si="62"/>
        <v>0</v>
      </c>
      <c r="HI112" s="11">
        <v>0</v>
      </c>
      <c r="HJ112" s="11">
        <v>0</v>
      </c>
      <c r="HK112" s="11">
        <v>0</v>
      </c>
      <c r="HL112" s="11">
        <v>0</v>
      </c>
      <c r="HM112" s="11">
        <v>0</v>
      </c>
      <c r="HN112" s="11">
        <v>0</v>
      </c>
      <c r="HO112" s="11">
        <v>0</v>
      </c>
      <c r="HP112" s="11">
        <v>0</v>
      </c>
      <c r="HQ112" s="11">
        <v>0</v>
      </c>
      <c r="HR112" s="11">
        <v>0</v>
      </c>
      <c r="HS112" s="11">
        <v>0</v>
      </c>
      <c r="HT112" s="11">
        <v>0</v>
      </c>
      <c r="HU112" s="26">
        <f t="shared" si="63"/>
        <v>0</v>
      </c>
      <c r="HV112" s="11">
        <v>0</v>
      </c>
      <c r="HW112" s="11">
        <v>0</v>
      </c>
      <c r="HX112" s="11">
        <v>0</v>
      </c>
      <c r="HY112" s="11">
        <v>0</v>
      </c>
      <c r="HZ112" s="11">
        <v>0</v>
      </c>
      <c r="IA112" s="11">
        <v>0</v>
      </c>
      <c r="IB112" s="11">
        <v>0</v>
      </c>
      <c r="IC112" s="11">
        <v>0</v>
      </c>
      <c r="ID112" s="11">
        <v>0</v>
      </c>
      <c r="IE112" s="11">
        <v>0</v>
      </c>
      <c r="IF112" s="11">
        <v>0</v>
      </c>
      <c r="IG112" s="11">
        <v>0</v>
      </c>
      <c r="IH112" s="26">
        <f t="shared" si="64"/>
        <v>0</v>
      </c>
      <c r="II112" s="9">
        <f t="shared" si="65"/>
        <v>133657</v>
      </c>
      <c r="IJ112" s="9">
        <f t="shared" si="66"/>
        <v>0</v>
      </c>
      <c r="IK112" s="11">
        <v>131876</v>
      </c>
      <c r="IL112" s="11">
        <v>122102</v>
      </c>
      <c r="IM112" s="11">
        <v>117293</v>
      </c>
      <c r="IN112" s="11">
        <v>140724</v>
      </c>
      <c r="IO112" s="11">
        <v>156293</v>
      </c>
      <c r="IP112" s="11">
        <v>130883</v>
      </c>
      <c r="IQ112" s="11">
        <v>133315</v>
      </c>
      <c r="IR112" s="11">
        <v>126758</v>
      </c>
      <c r="IS112" s="11">
        <v>104128</v>
      </c>
      <c r="IT112" s="11">
        <v>123492</v>
      </c>
      <c r="IU112" s="11">
        <v>118528</v>
      </c>
      <c r="IV112" s="11">
        <v>127000</v>
      </c>
      <c r="IW112" s="27">
        <f t="shared" si="67"/>
        <v>1532392</v>
      </c>
      <c r="IX112" s="11">
        <v>68134</v>
      </c>
      <c r="IY112" s="11">
        <v>65430</v>
      </c>
      <c r="IZ112" s="11">
        <v>62873</v>
      </c>
      <c r="JA112" s="11">
        <v>66421</v>
      </c>
      <c r="JB112" s="11">
        <v>71046</v>
      </c>
      <c r="JC112" s="11">
        <v>65817</v>
      </c>
      <c r="JD112" s="11">
        <v>67849</v>
      </c>
      <c r="JE112" s="11">
        <v>65408</v>
      </c>
      <c r="JF112" s="11">
        <v>57887</v>
      </c>
      <c r="JG112" s="11">
        <v>65753</v>
      </c>
      <c r="JH112" s="11">
        <v>60117</v>
      </c>
      <c r="JI112" s="11">
        <v>65276</v>
      </c>
      <c r="JJ112" s="27">
        <f t="shared" si="68"/>
        <v>782011</v>
      </c>
      <c r="JK112" s="11">
        <v>60906</v>
      </c>
      <c r="JL112" s="11">
        <v>54086</v>
      </c>
      <c r="JM112" s="11">
        <v>51886</v>
      </c>
      <c r="JN112" s="11">
        <v>70892</v>
      </c>
      <c r="JO112" s="11">
        <v>81425</v>
      </c>
      <c r="JP112" s="11">
        <v>62256</v>
      </c>
      <c r="JQ112" s="11">
        <v>62617</v>
      </c>
      <c r="JR112" s="11">
        <v>58674</v>
      </c>
      <c r="JS112" s="11">
        <v>43973</v>
      </c>
      <c r="JT112" s="11">
        <v>55226</v>
      </c>
      <c r="JU112" s="11">
        <v>55965</v>
      </c>
      <c r="JV112" s="11">
        <v>58873</v>
      </c>
      <c r="JW112" s="27">
        <f t="shared" si="69"/>
        <v>716779</v>
      </c>
      <c r="JX112" s="11">
        <v>2836</v>
      </c>
      <c r="JY112" s="11">
        <v>2586</v>
      </c>
      <c r="JZ112" s="11">
        <v>2534</v>
      </c>
      <c r="KA112" s="11">
        <v>3411</v>
      </c>
      <c r="KB112" s="11">
        <v>3822</v>
      </c>
      <c r="KC112" s="11">
        <v>2810</v>
      </c>
      <c r="KD112" s="11">
        <v>2849</v>
      </c>
      <c r="KE112" s="11">
        <v>2676</v>
      </c>
      <c r="KF112" s="11">
        <v>2268</v>
      </c>
      <c r="KG112" s="11">
        <v>2513</v>
      </c>
      <c r="KH112" s="11">
        <v>2446</v>
      </c>
      <c r="KI112" s="11">
        <v>2851</v>
      </c>
      <c r="KJ112" s="27">
        <f t="shared" si="70"/>
        <v>33602</v>
      </c>
      <c r="KK112" s="11">
        <v>1926</v>
      </c>
      <c r="KL112" s="11">
        <v>1793</v>
      </c>
      <c r="KM112" s="11">
        <v>1661</v>
      </c>
      <c r="KN112" s="11">
        <v>1901</v>
      </c>
      <c r="KO112" s="11">
        <v>2130</v>
      </c>
      <c r="KP112" s="11">
        <v>1818</v>
      </c>
      <c r="KQ112" s="11">
        <v>1965</v>
      </c>
      <c r="KR112" s="11">
        <v>1782</v>
      </c>
      <c r="KS112" s="11">
        <v>1474</v>
      </c>
      <c r="KT112" s="11">
        <v>1679</v>
      </c>
      <c r="KU112" s="11">
        <v>1533</v>
      </c>
      <c r="KV112" s="11">
        <v>1711</v>
      </c>
      <c r="KW112" s="27">
        <f t="shared" si="71"/>
        <v>21373</v>
      </c>
      <c r="KX112" s="11">
        <v>1258</v>
      </c>
      <c r="KY112" s="11">
        <v>1184</v>
      </c>
      <c r="KZ112" s="11">
        <v>1096</v>
      </c>
      <c r="LA112" s="11">
        <v>1126</v>
      </c>
      <c r="LB112" s="11">
        <v>1289</v>
      </c>
      <c r="LC112" s="11">
        <v>1188</v>
      </c>
      <c r="LD112" s="11">
        <v>1305</v>
      </c>
      <c r="LE112" s="11">
        <v>1217</v>
      </c>
      <c r="LF112" s="11">
        <v>1041</v>
      </c>
      <c r="LG112" s="11">
        <v>1181</v>
      </c>
      <c r="LH112" s="11">
        <v>987</v>
      </c>
      <c r="LI112" s="11">
        <v>1131</v>
      </c>
      <c r="LJ112" s="27">
        <f t="shared" si="72"/>
        <v>14003</v>
      </c>
      <c r="LK112" s="11">
        <v>647</v>
      </c>
      <c r="LL112" s="11">
        <v>593</v>
      </c>
      <c r="LM112" s="11">
        <v>547</v>
      </c>
      <c r="LN112" s="11">
        <v>762</v>
      </c>
      <c r="LO112" s="11">
        <v>825</v>
      </c>
      <c r="LP112" s="11">
        <v>618</v>
      </c>
      <c r="LQ112" s="11">
        <v>646</v>
      </c>
      <c r="LR112" s="11">
        <v>546</v>
      </c>
      <c r="LS112" s="11">
        <v>412</v>
      </c>
      <c r="LT112" s="11">
        <v>488</v>
      </c>
      <c r="LU112" s="11">
        <v>530</v>
      </c>
      <c r="LV112" s="11">
        <v>561</v>
      </c>
      <c r="LW112" s="27">
        <f t="shared" si="73"/>
        <v>7175</v>
      </c>
      <c r="LX112" s="11">
        <v>21</v>
      </c>
      <c r="LY112" s="11">
        <v>16</v>
      </c>
      <c r="LZ112" s="11">
        <v>18</v>
      </c>
      <c r="MA112" s="11">
        <v>13</v>
      </c>
      <c r="MB112" s="11">
        <v>16</v>
      </c>
      <c r="MC112" s="11">
        <v>12</v>
      </c>
      <c r="MD112" s="11">
        <v>14</v>
      </c>
      <c r="ME112" s="11">
        <v>19</v>
      </c>
      <c r="MF112" s="11">
        <v>21</v>
      </c>
      <c r="MG112" s="11">
        <v>10</v>
      </c>
      <c r="MH112" s="11">
        <v>16</v>
      </c>
      <c r="MI112" s="11">
        <v>19</v>
      </c>
      <c r="MJ112" s="27">
        <f t="shared" si="74"/>
        <v>195</v>
      </c>
      <c r="MK112" s="11">
        <v>4060</v>
      </c>
      <c r="ML112" s="11">
        <v>4260</v>
      </c>
      <c r="MM112" s="11">
        <v>4130</v>
      </c>
      <c r="MN112" s="11">
        <v>4372</v>
      </c>
      <c r="MO112" s="11">
        <v>4631</v>
      </c>
      <c r="MP112" s="11">
        <v>4278</v>
      </c>
      <c r="MQ112" s="11">
        <v>4519</v>
      </c>
      <c r="MR112" s="11">
        <v>3973</v>
      </c>
      <c r="MS112" s="11">
        <v>4124</v>
      </c>
      <c r="MT112" s="11">
        <v>4690</v>
      </c>
      <c r="MU112" s="11">
        <v>4242</v>
      </c>
      <c r="MV112" s="11">
        <v>4420</v>
      </c>
      <c r="MW112" s="27">
        <f t="shared" si="75"/>
        <v>51699</v>
      </c>
      <c r="MX112" s="11">
        <v>3547</v>
      </c>
      <c r="MY112" s="11">
        <v>3741</v>
      </c>
      <c r="MZ112" s="11">
        <v>3663</v>
      </c>
      <c r="NA112" s="11">
        <v>3764</v>
      </c>
      <c r="NB112" s="11">
        <v>3924</v>
      </c>
      <c r="NC112" s="11">
        <v>3798</v>
      </c>
      <c r="ND112" s="11">
        <v>3931</v>
      </c>
      <c r="NE112" s="11">
        <v>3509</v>
      </c>
      <c r="NF112" s="11">
        <v>3649</v>
      </c>
      <c r="NG112" s="11">
        <v>4083</v>
      </c>
      <c r="NH112" s="11">
        <v>3653</v>
      </c>
      <c r="NI112" s="11">
        <v>3760</v>
      </c>
      <c r="NJ112" s="27">
        <f t="shared" si="76"/>
        <v>45022</v>
      </c>
      <c r="NK112" s="11">
        <v>349</v>
      </c>
      <c r="NL112" s="11">
        <v>347</v>
      </c>
      <c r="NM112" s="11">
        <v>281</v>
      </c>
      <c r="NN112" s="11">
        <v>393</v>
      </c>
      <c r="NO112" s="11">
        <v>486</v>
      </c>
      <c r="NP112" s="11">
        <v>292</v>
      </c>
      <c r="NQ112" s="11">
        <v>387</v>
      </c>
      <c r="NR112" s="11">
        <v>279</v>
      </c>
      <c r="NS112" s="11">
        <v>303</v>
      </c>
      <c r="NT112" s="11">
        <v>358</v>
      </c>
      <c r="NU112" s="11">
        <v>378</v>
      </c>
      <c r="NV112" s="11">
        <v>444</v>
      </c>
      <c r="NW112" s="27">
        <f t="shared" si="77"/>
        <v>4297</v>
      </c>
      <c r="NX112" s="11">
        <v>164</v>
      </c>
      <c r="NY112" s="11">
        <v>172</v>
      </c>
      <c r="NZ112" s="11">
        <v>186</v>
      </c>
      <c r="OA112" s="11">
        <v>215</v>
      </c>
      <c r="OB112" s="11">
        <v>221</v>
      </c>
      <c r="OC112" s="11">
        <v>188</v>
      </c>
      <c r="OD112" s="11">
        <v>201</v>
      </c>
      <c r="OE112" s="11">
        <v>185</v>
      </c>
      <c r="OF112" s="11">
        <v>172</v>
      </c>
      <c r="OG112" s="11">
        <v>249</v>
      </c>
      <c r="OH112" s="11">
        <v>211</v>
      </c>
      <c r="OI112" s="11">
        <v>216</v>
      </c>
      <c r="OJ112" s="27">
        <f t="shared" si="78"/>
        <v>2380</v>
      </c>
      <c r="OK112" s="11">
        <v>4256</v>
      </c>
      <c r="OL112" s="11">
        <v>4095</v>
      </c>
      <c r="OM112" s="11">
        <v>3996</v>
      </c>
      <c r="ON112" s="11">
        <v>4119</v>
      </c>
      <c r="OO112" s="11">
        <v>4591</v>
      </c>
      <c r="OP112" s="11">
        <v>4189</v>
      </c>
      <c r="OQ112" s="11">
        <v>4471</v>
      </c>
      <c r="OR112" s="11">
        <v>4249</v>
      </c>
      <c r="OS112" s="11">
        <v>4344</v>
      </c>
      <c r="OT112" s="11">
        <v>5026</v>
      </c>
      <c r="OU112" s="11">
        <v>4731</v>
      </c>
      <c r="OV112" s="11">
        <v>4960</v>
      </c>
      <c r="OW112" s="27">
        <f t="shared" si="79"/>
        <v>53027</v>
      </c>
      <c r="OX112" s="11">
        <v>3572</v>
      </c>
      <c r="OY112" s="11">
        <v>3333</v>
      </c>
      <c r="OZ112" s="11">
        <v>3244</v>
      </c>
      <c r="PA112" s="11">
        <v>3195</v>
      </c>
      <c r="PB112" s="11">
        <v>3394</v>
      </c>
      <c r="PC112" s="11">
        <v>3325</v>
      </c>
      <c r="PD112" s="11">
        <v>3575</v>
      </c>
      <c r="PE112" s="11">
        <v>3432</v>
      </c>
      <c r="PF112" s="11">
        <v>3535</v>
      </c>
      <c r="PG112" s="11">
        <v>4141</v>
      </c>
      <c r="PH112" s="11">
        <v>3847</v>
      </c>
      <c r="PI112" s="11">
        <v>4040</v>
      </c>
      <c r="PJ112" s="27">
        <f t="shared" si="80"/>
        <v>42633</v>
      </c>
      <c r="PK112" s="11">
        <v>509</v>
      </c>
      <c r="PL112" s="11">
        <v>561</v>
      </c>
      <c r="PM112" s="11">
        <v>566</v>
      </c>
      <c r="PN112" s="11">
        <v>673</v>
      </c>
      <c r="PO112" s="11">
        <v>861</v>
      </c>
      <c r="PP112" s="11">
        <v>587</v>
      </c>
      <c r="PQ112" s="11">
        <v>660</v>
      </c>
      <c r="PR112" s="11">
        <v>612</v>
      </c>
      <c r="PS112" s="11">
        <v>593</v>
      </c>
      <c r="PT112" s="11">
        <v>636</v>
      </c>
      <c r="PU112" s="11">
        <v>691</v>
      </c>
      <c r="PV112" s="11">
        <v>694</v>
      </c>
      <c r="PW112" s="27">
        <f t="shared" si="81"/>
        <v>7643</v>
      </c>
      <c r="PX112" s="11">
        <v>175</v>
      </c>
      <c r="PY112" s="11">
        <v>201</v>
      </c>
      <c r="PZ112" s="11">
        <v>186</v>
      </c>
      <c r="QA112" s="11">
        <v>251</v>
      </c>
      <c r="QB112" s="11">
        <v>336</v>
      </c>
      <c r="QC112" s="11">
        <v>277</v>
      </c>
      <c r="QD112" s="11">
        <v>236</v>
      </c>
      <c r="QE112" s="11">
        <v>205</v>
      </c>
      <c r="QF112" s="11">
        <v>216</v>
      </c>
      <c r="QG112" s="11">
        <v>249</v>
      </c>
      <c r="QH112" s="11">
        <v>193</v>
      </c>
      <c r="QI112" s="11">
        <v>226</v>
      </c>
      <c r="QJ112" s="27">
        <f t="shared" si="82"/>
        <v>2751</v>
      </c>
      <c r="QK112" s="11">
        <v>43978</v>
      </c>
      <c r="QL112" s="11">
        <v>40302</v>
      </c>
      <c r="QM112" s="11">
        <v>38442</v>
      </c>
      <c r="QN112" s="11">
        <v>41273</v>
      </c>
      <c r="QO112" s="11">
        <v>49159</v>
      </c>
      <c r="QP112" s="11">
        <v>41509</v>
      </c>
      <c r="QQ112" s="11">
        <v>45984</v>
      </c>
      <c r="QR112" s="11">
        <v>42901</v>
      </c>
      <c r="QS112" s="11">
        <v>32978</v>
      </c>
      <c r="QT112" s="11">
        <v>43240</v>
      </c>
      <c r="QU112" s="11">
        <v>42257</v>
      </c>
      <c r="QV112" s="11">
        <v>44127</v>
      </c>
      <c r="QW112" s="27">
        <f t="shared" si="83"/>
        <v>506150</v>
      </c>
      <c r="QX112" s="11">
        <v>74104</v>
      </c>
      <c r="QY112" s="11">
        <v>69026</v>
      </c>
      <c r="QZ112" s="11">
        <v>60733</v>
      </c>
      <c r="RA112" s="11">
        <v>76263</v>
      </c>
      <c r="RB112" s="11">
        <v>80836</v>
      </c>
      <c r="RC112" s="11">
        <v>69430</v>
      </c>
      <c r="RD112" s="11">
        <v>76462</v>
      </c>
      <c r="RE112" s="11">
        <v>73851</v>
      </c>
      <c r="RF112" s="11">
        <v>58702</v>
      </c>
      <c r="RG112" s="11">
        <v>72988</v>
      </c>
      <c r="RH112" s="11">
        <v>72722</v>
      </c>
      <c r="RI112" s="11">
        <v>75131</v>
      </c>
      <c r="RJ112" s="27">
        <f t="shared" si="84"/>
        <v>860248</v>
      </c>
      <c r="RK112" s="11">
        <v>0</v>
      </c>
      <c r="RL112" s="11">
        <v>0</v>
      </c>
      <c r="RM112" s="11">
        <v>0</v>
      </c>
      <c r="RN112" s="11">
        <v>0</v>
      </c>
      <c r="RO112" s="11">
        <v>0</v>
      </c>
      <c r="RP112" s="11">
        <v>0</v>
      </c>
      <c r="RQ112" s="11">
        <v>0</v>
      </c>
      <c r="RR112" s="11">
        <v>0</v>
      </c>
      <c r="RS112" s="11">
        <v>0</v>
      </c>
      <c r="RT112" s="11">
        <v>0</v>
      </c>
      <c r="RU112" s="11">
        <v>0</v>
      </c>
      <c r="RV112" s="11">
        <v>0</v>
      </c>
      <c r="RW112" s="27">
        <f t="shared" si="85"/>
        <v>0</v>
      </c>
      <c r="RX112" s="11">
        <v>1657</v>
      </c>
      <c r="RY112" s="11">
        <v>1959</v>
      </c>
      <c r="RZ112" s="11">
        <v>1598</v>
      </c>
      <c r="SA112" s="11">
        <v>1609</v>
      </c>
      <c r="SB112" s="11">
        <v>1113</v>
      </c>
      <c r="SC112" s="11">
        <v>1632</v>
      </c>
      <c r="SD112" s="11">
        <v>1656</v>
      </c>
      <c r="SE112" s="11">
        <v>1982</v>
      </c>
      <c r="SF112" s="11">
        <v>1061</v>
      </c>
      <c r="SG112" s="11">
        <v>1757</v>
      </c>
      <c r="SH112" s="11">
        <v>1626</v>
      </c>
      <c r="SI112" s="11">
        <v>1950</v>
      </c>
      <c r="SJ112" s="27">
        <f t="shared" si="86"/>
        <v>19600</v>
      </c>
      <c r="SK112" s="11">
        <v>143</v>
      </c>
      <c r="SL112" s="11">
        <v>144</v>
      </c>
      <c r="SM112" s="11">
        <v>145</v>
      </c>
      <c r="SN112" s="11">
        <v>144</v>
      </c>
      <c r="SO112" s="11">
        <v>147</v>
      </c>
      <c r="SP112" s="11">
        <v>146</v>
      </c>
      <c r="SQ112" s="11">
        <v>153</v>
      </c>
      <c r="SR112" s="11">
        <v>152</v>
      </c>
      <c r="SS112" s="11">
        <v>152</v>
      </c>
      <c r="ST112" s="11">
        <v>155</v>
      </c>
      <c r="SU112" s="11">
        <v>150</v>
      </c>
      <c r="SV112" s="11">
        <v>156</v>
      </c>
      <c r="SW112" s="27">
        <f t="shared" si="87"/>
        <v>1787</v>
      </c>
      <c r="SX112" s="11" t="s">
        <v>2729</v>
      </c>
      <c r="SY112" s="11">
        <v>4305</v>
      </c>
      <c r="SZ112" s="11">
        <v>4172</v>
      </c>
      <c r="TA112" s="11">
        <v>3588</v>
      </c>
      <c r="TB112" s="11">
        <v>4236</v>
      </c>
      <c r="TC112" s="11">
        <v>4290</v>
      </c>
      <c r="TD112" s="11">
        <v>4331</v>
      </c>
      <c r="TE112" s="11">
        <v>4514</v>
      </c>
      <c r="TF112" s="11">
        <v>4404</v>
      </c>
      <c r="TG112" s="11">
        <v>3642</v>
      </c>
      <c r="TH112" s="11">
        <v>4493</v>
      </c>
      <c r="TI112" s="11">
        <v>4246</v>
      </c>
      <c r="TJ112" s="11">
        <v>4439</v>
      </c>
      <c r="TK112" s="27">
        <f t="shared" si="88"/>
        <v>50660</v>
      </c>
      <c r="TL112" s="11">
        <v>0</v>
      </c>
      <c r="TM112" s="11">
        <v>0</v>
      </c>
      <c r="TN112" s="11">
        <v>0</v>
      </c>
      <c r="TO112" s="11">
        <v>0</v>
      </c>
      <c r="TP112" s="11">
        <v>0</v>
      </c>
      <c r="TQ112" s="11">
        <v>0</v>
      </c>
      <c r="TR112" s="11">
        <v>0</v>
      </c>
      <c r="TS112" s="11">
        <v>0</v>
      </c>
      <c r="TT112" s="11">
        <v>0</v>
      </c>
      <c r="TU112" s="11">
        <v>0</v>
      </c>
      <c r="TV112" s="11">
        <v>0</v>
      </c>
      <c r="TW112" s="11">
        <v>0</v>
      </c>
      <c r="TX112" s="27">
        <f t="shared" si="89"/>
        <v>0</v>
      </c>
      <c r="TY112" s="11">
        <v>170</v>
      </c>
      <c r="TZ112" s="11">
        <v>0</v>
      </c>
      <c r="UA112" s="11">
        <v>0</v>
      </c>
    </row>
    <row r="113" spans="1:547" ht="16" customHeight="1" x14ac:dyDescent="0.35">
      <c r="A113" s="11" t="s">
        <v>1389</v>
      </c>
      <c r="B113" s="11">
        <v>15773</v>
      </c>
      <c r="C113" s="11" t="s">
        <v>1377</v>
      </c>
      <c r="D113" s="11" t="s">
        <v>1377</v>
      </c>
      <c r="E113" s="11" t="s">
        <v>1377</v>
      </c>
      <c r="F113" s="11">
        <v>132</v>
      </c>
      <c r="G113" s="11">
        <v>122</v>
      </c>
      <c r="H113" s="11">
        <v>148</v>
      </c>
      <c r="I113" s="11">
        <v>119</v>
      </c>
      <c r="J113" s="11">
        <v>89</v>
      </c>
      <c r="K113" s="11">
        <v>130</v>
      </c>
      <c r="L113" s="11">
        <v>165</v>
      </c>
      <c r="M113" s="11">
        <v>154</v>
      </c>
      <c r="N113" s="11">
        <v>116</v>
      </c>
      <c r="O113" s="11">
        <v>154</v>
      </c>
      <c r="P113" s="11" t="s">
        <v>2866</v>
      </c>
      <c r="Q113" s="11">
        <v>151</v>
      </c>
      <c r="R113" s="11">
        <v>177</v>
      </c>
      <c r="S113" s="26">
        <f t="shared" si="45"/>
        <v>1657</v>
      </c>
      <c r="T113" s="11">
        <v>0</v>
      </c>
      <c r="U113" s="11">
        <v>0</v>
      </c>
      <c r="V113" s="11">
        <v>0</v>
      </c>
      <c r="W113" s="11">
        <v>0</v>
      </c>
      <c r="X113" s="11">
        <v>0</v>
      </c>
      <c r="Y113" s="11">
        <v>0</v>
      </c>
      <c r="Z113" s="11">
        <v>0</v>
      </c>
      <c r="AA113" s="11">
        <v>0</v>
      </c>
      <c r="AB113" s="11">
        <v>0</v>
      </c>
      <c r="AC113" s="11">
        <v>0</v>
      </c>
      <c r="AD113" s="11">
        <v>0</v>
      </c>
      <c r="AE113" s="11">
        <v>0</v>
      </c>
      <c r="AF113" s="26">
        <f t="shared" si="46"/>
        <v>0</v>
      </c>
      <c r="AG113" s="11">
        <v>0</v>
      </c>
      <c r="AH113" s="11">
        <v>0</v>
      </c>
      <c r="AI113" s="11">
        <v>0</v>
      </c>
      <c r="AJ113" s="11">
        <v>0</v>
      </c>
      <c r="AK113" s="11">
        <v>0</v>
      </c>
      <c r="AL113" s="11">
        <v>0</v>
      </c>
      <c r="AM113" s="11">
        <v>0</v>
      </c>
      <c r="AN113" s="11">
        <v>0</v>
      </c>
      <c r="AO113" s="11">
        <v>0</v>
      </c>
      <c r="AP113" s="11">
        <v>0</v>
      </c>
      <c r="AQ113" s="11">
        <v>0</v>
      </c>
      <c r="AR113" s="11">
        <v>0</v>
      </c>
      <c r="AS113" s="26">
        <f t="shared" si="47"/>
        <v>0</v>
      </c>
      <c r="AT113" s="11">
        <v>0</v>
      </c>
      <c r="AU113" s="11">
        <v>0</v>
      </c>
      <c r="AV113" s="11">
        <v>0</v>
      </c>
      <c r="AW113" s="11">
        <v>0</v>
      </c>
      <c r="AX113" s="11">
        <v>0</v>
      </c>
      <c r="AY113" s="11">
        <v>0</v>
      </c>
      <c r="AZ113" s="11">
        <v>0</v>
      </c>
      <c r="BA113" s="11">
        <v>0</v>
      </c>
      <c r="BB113" s="11">
        <v>0</v>
      </c>
      <c r="BC113" s="11">
        <v>0</v>
      </c>
      <c r="BD113" s="11">
        <v>0</v>
      </c>
      <c r="BE113" s="11">
        <v>0</v>
      </c>
      <c r="BF113" s="26">
        <f t="shared" si="48"/>
        <v>0</v>
      </c>
      <c r="BG113" s="11">
        <v>0</v>
      </c>
      <c r="BH113" s="11">
        <v>0</v>
      </c>
      <c r="BI113" s="11">
        <v>0</v>
      </c>
      <c r="BJ113" s="11">
        <v>0</v>
      </c>
      <c r="BK113" s="11">
        <v>0</v>
      </c>
      <c r="BL113" s="11">
        <v>0</v>
      </c>
      <c r="BM113" s="11">
        <v>0</v>
      </c>
      <c r="BN113" s="11">
        <v>0</v>
      </c>
      <c r="BO113" s="11">
        <v>0</v>
      </c>
      <c r="BP113" s="11">
        <v>0</v>
      </c>
      <c r="BQ113" s="11">
        <v>0</v>
      </c>
      <c r="BR113" s="11">
        <v>0</v>
      </c>
      <c r="BS113" s="26">
        <f t="shared" si="49"/>
        <v>0</v>
      </c>
      <c r="BT113" s="11">
        <v>0</v>
      </c>
      <c r="BU113" s="11">
        <v>0</v>
      </c>
      <c r="BV113" s="11">
        <v>0</v>
      </c>
      <c r="BW113" s="11">
        <v>0</v>
      </c>
      <c r="BX113" s="11">
        <v>0</v>
      </c>
      <c r="BY113" s="11">
        <v>0</v>
      </c>
      <c r="BZ113" s="11">
        <v>0</v>
      </c>
      <c r="CA113" s="11">
        <v>0</v>
      </c>
      <c r="CB113" s="11">
        <v>0</v>
      </c>
      <c r="CC113" s="11">
        <v>0</v>
      </c>
      <c r="CD113" s="11">
        <v>0</v>
      </c>
      <c r="CE113" s="11">
        <v>0</v>
      </c>
      <c r="CF113" s="26">
        <f t="shared" si="50"/>
        <v>0</v>
      </c>
      <c r="CG113" s="11">
        <v>0</v>
      </c>
      <c r="CH113" s="11">
        <v>0</v>
      </c>
      <c r="CI113" s="11">
        <v>0</v>
      </c>
      <c r="CJ113" s="11">
        <v>0</v>
      </c>
      <c r="CK113" s="11">
        <v>0</v>
      </c>
      <c r="CL113" s="11">
        <v>0</v>
      </c>
      <c r="CM113" s="11">
        <v>0</v>
      </c>
      <c r="CN113" s="11">
        <v>0</v>
      </c>
      <c r="CO113" s="11">
        <v>0</v>
      </c>
      <c r="CP113" s="11">
        <v>0</v>
      </c>
      <c r="CQ113" s="11">
        <v>0</v>
      </c>
      <c r="CR113" s="11">
        <v>0</v>
      </c>
      <c r="CS113" s="26">
        <f t="shared" si="51"/>
        <v>0</v>
      </c>
      <c r="CT113" s="11">
        <v>0</v>
      </c>
      <c r="CU113" s="11">
        <v>0</v>
      </c>
      <c r="CV113" s="11">
        <v>0</v>
      </c>
      <c r="CW113" s="11">
        <v>0</v>
      </c>
      <c r="CX113" s="11">
        <v>0</v>
      </c>
      <c r="CY113" s="11">
        <v>0</v>
      </c>
      <c r="CZ113" s="11">
        <v>0</v>
      </c>
      <c r="DA113" s="11">
        <v>0</v>
      </c>
      <c r="DB113" s="11">
        <v>0</v>
      </c>
      <c r="DC113" s="11">
        <v>0</v>
      </c>
      <c r="DD113" s="11">
        <v>0</v>
      </c>
      <c r="DE113" s="11">
        <v>0</v>
      </c>
      <c r="DF113" s="26">
        <f t="shared" si="52"/>
        <v>0</v>
      </c>
      <c r="DG113" s="11">
        <v>0</v>
      </c>
      <c r="DH113" s="11">
        <v>0</v>
      </c>
      <c r="DI113" s="11">
        <v>0</v>
      </c>
      <c r="DJ113" s="11">
        <v>0</v>
      </c>
      <c r="DK113" s="11">
        <v>0</v>
      </c>
      <c r="DL113" s="11">
        <v>0</v>
      </c>
      <c r="DM113" s="11">
        <v>0</v>
      </c>
      <c r="DN113" s="11">
        <v>0</v>
      </c>
      <c r="DO113" s="11">
        <v>0</v>
      </c>
      <c r="DP113" s="11">
        <v>0</v>
      </c>
      <c r="DQ113" s="11">
        <v>0</v>
      </c>
      <c r="DR113" s="11">
        <v>0</v>
      </c>
      <c r="DS113" s="26">
        <f t="shared" si="53"/>
        <v>0</v>
      </c>
      <c r="DT113" s="11">
        <v>0</v>
      </c>
      <c r="DU113" s="11">
        <v>0</v>
      </c>
      <c r="DV113" s="11">
        <v>0</v>
      </c>
      <c r="DW113" s="11">
        <v>0</v>
      </c>
      <c r="DX113" s="11">
        <v>0</v>
      </c>
      <c r="DY113" s="11">
        <v>0</v>
      </c>
      <c r="DZ113" s="11">
        <v>0</v>
      </c>
      <c r="EA113" s="11">
        <v>0</v>
      </c>
      <c r="EB113" s="11">
        <v>0</v>
      </c>
      <c r="EC113" s="11">
        <v>0</v>
      </c>
      <c r="ED113" s="11">
        <v>0</v>
      </c>
      <c r="EE113" s="11">
        <v>0</v>
      </c>
      <c r="EF113" s="26">
        <f t="shared" si="54"/>
        <v>0</v>
      </c>
      <c r="EG113" s="9">
        <f t="shared" si="55"/>
        <v>0</v>
      </c>
      <c r="EH113" s="9">
        <f t="shared" si="56"/>
        <v>0</v>
      </c>
      <c r="EI113" s="11">
        <v>2133</v>
      </c>
      <c r="EJ113" s="11">
        <v>1820</v>
      </c>
      <c r="EK113" s="11">
        <v>2286</v>
      </c>
      <c r="EL113" s="11">
        <v>1529</v>
      </c>
      <c r="EM113" s="11">
        <v>1393</v>
      </c>
      <c r="EN113" s="11">
        <v>2967</v>
      </c>
      <c r="EO113" s="11">
        <v>3231</v>
      </c>
      <c r="EP113" s="11">
        <v>2973</v>
      </c>
      <c r="EQ113" s="11">
        <v>1954</v>
      </c>
      <c r="ER113" s="11">
        <v>3279</v>
      </c>
      <c r="ES113" s="11">
        <v>3091</v>
      </c>
      <c r="ET113" s="11">
        <v>3608</v>
      </c>
      <c r="EU113" s="26">
        <f t="shared" si="57"/>
        <v>30264</v>
      </c>
      <c r="EV113" s="11">
        <v>0</v>
      </c>
      <c r="EW113" s="11">
        <v>0</v>
      </c>
      <c r="EX113" s="11">
        <v>0</v>
      </c>
      <c r="EY113" s="11">
        <v>0</v>
      </c>
      <c r="EZ113" s="11">
        <v>0</v>
      </c>
      <c r="FA113" s="11">
        <v>0</v>
      </c>
      <c r="FB113" s="11">
        <v>0</v>
      </c>
      <c r="FC113" s="11">
        <v>0</v>
      </c>
      <c r="FD113" s="11">
        <v>0</v>
      </c>
      <c r="FE113" s="11">
        <v>0</v>
      </c>
      <c r="FF113" s="11">
        <v>0</v>
      </c>
      <c r="FG113" s="11">
        <v>0</v>
      </c>
      <c r="FH113" s="26">
        <f t="shared" si="58"/>
        <v>0</v>
      </c>
      <c r="FI113" s="11">
        <v>0</v>
      </c>
      <c r="FJ113" s="11">
        <v>0</v>
      </c>
      <c r="FK113" s="11">
        <v>0</v>
      </c>
      <c r="FL113" s="11">
        <v>0</v>
      </c>
      <c r="FM113" s="11">
        <v>0</v>
      </c>
      <c r="FN113" s="11">
        <v>0</v>
      </c>
      <c r="FO113" s="11">
        <v>0</v>
      </c>
      <c r="FP113" s="11">
        <v>0</v>
      </c>
      <c r="FQ113" s="11">
        <v>0</v>
      </c>
      <c r="FR113" s="11">
        <v>0</v>
      </c>
      <c r="FS113" s="11">
        <v>0</v>
      </c>
      <c r="FT113" s="11">
        <v>0</v>
      </c>
      <c r="FU113" s="26">
        <f t="shared" si="59"/>
        <v>0</v>
      </c>
      <c r="FV113" s="11">
        <v>0</v>
      </c>
      <c r="FW113" s="11">
        <v>0</v>
      </c>
      <c r="FX113" s="11">
        <v>0</v>
      </c>
      <c r="FY113" s="11">
        <v>0</v>
      </c>
      <c r="FZ113" s="11">
        <v>0</v>
      </c>
      <c r="GA113" s="11">
        <v>0</v>
      </c>
      <c r="GB113" s="11">
        <v>0</v>
      </c>
      <c r="GC113" s="11">
        <v>0</v>
      </c>
      <c r="GD113" s="11">
        <v>0</v>
      </c>
      <c r="GE113" s="11">
        <v>0</v>
      </c>
      <c r="GF113" s="11">
        <v>0</v>
      </c>
      <c r="GG113" s="11">
        <v>0</v>
      </c>
      <c r="GH113" s="26">
        <f t="shared" si="60"/>
        <v>0</v>
      </c>
      <c r="GI113" s="11">
        <v>0</v>
      </c>
      <c r="GJ113" s="11">
        <v>0</v>
      </c>
      <c r="GK113" s="11">
        <v>0</v>
      </c>
      <c r="GL113" s="11">
        <v>0</v>
      </c>
      <c r="GM113" s="11">
        <v>0</v>
      </c>
      <c r="GN113" s="11">
        <v>0</v>
      </c>
      <c r="GO113" s="11">
        <v>0</v>
      </c>
      <c r="GP113" s="11">
        <v>0</v>
      </c>
      <c r="GQ113" s="11">
        <v>0</v>
      </c>
      <c r="GR113" s="11">
        <v>0</v>
      </c>
      <c r="GS113" s="11">
        <v>0</v>
      </c>
      <c r="GT113" s="11">
        <v>0</v>
      </c>
      <c r="GU113" s="26">
        <f t="shared" si="61"/>
        <v>0</v>
      </c>
      <c r="GV113" s="11">
        <v>0</v>
      </c>
      <c r="GW113" s="11">
        <v>0</v>
      </c>
      <c r="GX113" s="11">
        <v>0</v>
      </c>
      <c r="GY113" s="11">
        <v>0</v>
      </c>
      <c r="GZ113" s="11">
        <v>0</v>
      </c>
      <c r="HA113" s="11">
        <v>0</v>
      </c>
      <c r="HB113" s="11">
        <v>0</v>
      </c>
      <c r="HC113" s="11">
        <v>0</v>
      </c>
      <c r="HD113" s="11">
        <v>0</v>
      </c>
      <c r="HE113" s="11">
        <v>0</v>
      </c>
      <c r="HF113" s="11">
        <v>0</v>
      </c>
      <c r="HG113" s="11">
        <v>0</v>
      </c>
      <c r="HH113" s="26">
        <f t="shared" si="62"/>
        <v>0</v>
      </c>
      <c r="HI113" s="11">
        <v>0</v>
      </c>
      <c r="HJ113" s="11">
        <v>0</v>
      </c>
      <c r="HK113" s="11">
        <v>0</v>
      </c>
      <c r="HL113" s="11">
        <v>0</v>
      </c>
      <c r="HM113" s="11">
        <v>0</v>
      </c>
      <c r="HN113" s="11">
        <v>0</v>
      </c>
      <c r="HO113" s="11">
        <v>0</v>
      </c>
      <c r="HP113" s="11">
        <v>0</v>
      </c>
      <c r="HQ113" s="11">
        <v>0</v>
      </c>
      <c r="HR113" s="11">
        <v>0</v>
      </c>
      <c r="HS113" s="11">
        <v>0</v>
      </c>
      <c r="HT113" s="11">
        <v>0</v>
      </c>
      <c r="HU113" s="26">
        <f t="shared" si="63"/>
        <v>0</v>
      </c>
      <c r="HV113" s="11">
        <v>0</v>
      </c>
      <c r="HW113" s="11">
        <v>0</v>
      </c>
      <c r="HX113" s="11">
        <v>0</v>
      </c>
      <c r="HY113" s="11">
        <v>0</v>
      </c>
      <c r="HZ113" s="11">
        <v>0</v>
      </c>
      <c r="IA113" s="11">
        <v>0</v>
      </c>
      <c r="IB113" s="11">
        <v>0</v>
      </c>
      <c r="IC113" s="11">
        <v>0</v>
      </c>
      <c r="ID113" s="11">
        <v>0</v>
      </c>
      <c r="IE113" s="11">
        <v>0</v>
      </c>
      <c r="IF113" s="11">
        <v>0</v>
      </c>
      <c r="IG113" s="11">
        <v>0</v>
      </c>
      <c r="IH113" s="26">
        <f t="shared" si="64"/>
        <v>0</v>
      </c>
      <c r="II113" s="9">
        <f t="shared" si="65"/>
        <v>0</v>
      </c>
      <c r="IJ113" s="9">
        <f t="shared" si="66"/>
        <v>0</v>
      </c>
      <c r="IK113" s="11">
        <v>43249</v>
      </c>
      <c r="IL113" s="11">
        <v>40317</v>
      </c>
      <c r="IM113" s="11">
        <v>39867</v>
      </c>
      <c r="IN113" s="11">
        <v>35978</v>
      </c>
      <c r="IO113" s="11">
        <v>50839</v>
      </c>
      <c r="IP113" s="11">
        <v>44915</v>
      </c>
      <c r="IQ113" s="11">
        <v>44870</v>
      </c>
      <c r="IR113" s="11">
        <v>42766</v>
      </c>
      <c r="IS113" s="11">
        <v>35115</v>
      </c>
      <c r="IT113" s="11">
        <v>41175</v>
      </c>
      <c r="IU113" s="11">
        <v>40801</v>
      </c>
      <c r="IV113" s="11">
        <v>42401</v>
      </c>
      <c r="IW113" s="27">
        <f t="shared" si="67"/>
        <v>502293</v>
      </c>
      <c r="IX113" s="11">
        <v>0</v>
      </c>
      <c r="IY113" s="11">
        <v>0</v>
      </c>
      <c r="IZ113" s="11">
        <v>0</v>
      </c>
      <c r="JA113" s="11">
        <v>0</v>
      </c>
      <c r="JB113" s="11">
        <v>0</v>
      </c>
      <c r="JC113" s="11">
        <v>0</v>
      </c>
      <c r="JD113" s="11">
        <v>0</v>
      </c>
      <c r="JE113" s="11">
        <v>0</v>
      </c>
      <c r="JF113" s="11">
        <v>0</v>
      </c>
      <c r="JG113" s="11">
        <v>0</v>
      </c>
      <c r="JH113" s="11">
        <v>0</v>
      </c>
      <c r="JI113" s="11">
        <v>0</v>
      </c>
      <c r="JJ113" s="27">
        <f t="shared" si="68"/>
        <v>0</v>
      </c>
      <c r="JK113" s="11">
        <v>0</v>
      </c>
      <c r="JL113" s="11">
        <v>0</v>
      </c>
      <c r="JM113" s="11">
        <v>0</v>
      </c>
      <c r="JN113" s="11">
        <v>0</v>
      </c>
      <c r="JO113" s="11">
        <v>0</v>
      </c>
      <c r="JP113" s="11">
        <v>0</v>
      </c>
      <c r="JQ113" s="11">
        <v>0</v>
      </c>
      <c r="JR113" s="11">
        <v>0</v>
      </c>
      <c r="JS113" s="11">
        <v>0</v>
      </c>
      <c r="JT113" s="11">
        <v>0</v>
      </c>
      <c r="JU113" s="11">
        <v>0</v>
      </c>
      <c r="JV113" s="11">
        <v>0</v>
      </c>
      <c r="JW113" s="27">
        <f t="shared" si="69"/>
        <v>0</v>
      </c>
      <c r="JX113" s="11">
        <v>0</v>
      </c>
      <c r="JY113" s="11">
        <v>0</v>
      </c>
      <c r="JZ113" s="11">
        <v>0</v>
      </c>
      <c r="KA113" s="11">
        <v>0</v>
      </c>
      <c r="KB113" s="11">
        <v>0</v>
      </c>
      <c r="KC113" s="11">
        <v>0</v>
      </c>
      <c r="KD113" s="11">
        <v>0</v>
      </c>
      <c r="KE113" s="11">
        <v>0</v>
      </c>
      <c r="KF113" s="11">
        <v>0</v>
      </c>
      <c r="KG113" s="11">
        <v>0</v>
      </c>
      <c r="KH113" s="11">
        <v>0</v>
      </c>
      <c r="KI113" s="11">
        <v>0</v>
      </c>
      <c r="KJ113" s="27">
        <f t="shared" si="70"/>
        <v>0</v>
      </c>
      <c r="KK113" s="11">
        <v>0</v>
      </c>
      <c r="KL113" s="11">
        <v>0</v>
      </c>
      <c r="KM113" s="11">
        <v>0</v>
      </c>
      <c r="KN113" s="11">
        <v>0</v>
      </c>
      <c r="KO113" s="11">
        <v>0</v>
      </c>
      <c r="KP113" s="11">
        <v>0</v>
      </c>
      <c r="KQ113" s="11">
        <v>0</v>
      </c>
      <c r="KR113" s="11">
        <v>0</v>
      </c>
      <c r="KS113" s="11">
        <v>0</v>
      </c>
      <c r="KT113" s="11">
        <v>0</v>
      </c>
      <c r="KU113" s="11">
        <v>0</v>
      </c>
      <c r="KV113" s="11">
        <v>0</v>
      </c>
      <c r="KW113" s="27">
        <f t="shared" si="71"/>
        <v>0</v>
      </c>
      <c r="KX113" s="11">
        <v>0</v>
      </c>
      <c r="KY113" s="11">
        <v>0</v>
      </c>
      <c r="KZ113" s="11">
        <v>0</v>
      </c>
      <c r="LA113" s="11">
        <v>0</v>
      </c>
      <c r="LB113" s="11">
        <v>0</v>
      </c>
      <c r="LC113" s="11">
        <v>0</v>
      </c>
      <c r="LD113" s="11">
        <v>0</v>
      </c>
      <c r="LE113" s="11">
        <v>0</v>
      </c>
      <c r="LF113" s="11">
        <v>0</v>
      </c>
      <c r="LG113" s="11">
        <v>0</v>
      </c>
      <c r="LH113" s="11">
        <v>0</v>
      </c>
      <c r="LI113" s="11">
        <v>0</v>
      </c>
      <c r="LJ113" s="27">
        <f t="shared" si="72"/>
        <v>0</v>
      </c>
      <c r="LK113" s="11">
        <v>0</v>
      </c>
      <c r="LL113" s="11">
        <v>0</v>
      </c>
      <c r="LM113" s="11">
        <v>0</v>
      </c>
      <c r="LN113" s="11">
        <v>0</v>
      </c>
      <c r="LO113" s="11">
        <v>0</v>
      </c>
      <c r="LP113" s="11">
        <v>0</v>
      </c>
      <c r="LQ113" s="11">
        <v>0</v>
      </c>
      <c r="LR113" s="11">
        <v>0</v>
      </c>
      <c r="LS113" s="11">
        <v>0</v>
      </c>
      <c r="LT113" s="11">
        <v>0</v>
      </c>
      <c r="LU113" s="11">
        <v>0</v>
      </c>
      <c r="LV113" s="11">
        <v>0</v>
      </c>
      <c r="LW113" s="27">
        <f t="shared" si="73"/>
        <v>0</v>
      </c>
      <c r="LX113" s="11">
        <v>0</v>
      </c>
      <c r="LY113" s="11">
        <v>0</v>
      </c>
      <c r="LZ113" s="11">
        <v>0</v>
      </c>
      <c r="MA113" s="11">
        <v>0</v>
      </c>
      <c r="MB113" s="11">
        <v>0</v>
      </c>
      <c r="MC113" s="11">
        <v>0</v>
      </c>
      <c r="MD113" s="11">
        <v>0</v>
      </c>
      <c r="ME113" s="11">
        <v>0</v>
      </c>
      <c r="MF113" s="11">
        <v>0</v>
      </c>
      <c r="MG113" s="11">
        <v>0</v>
      </c>
      <c r="MH113" s="11">
        <v>0</v>
      </c>
      <c r="MI113" s="11">
        <v>0</v>
      </c>
      <c r="MJ113" s="27">
        <f t="shared" si="74"/>
        <v>0</v>
      </c>
      <c r="MK113" s="11">
        <v>2088</v>
      </c>
      <c r="ML113" s="11">
        <v>2001</v>
      </c>
      <c r="MM113" s="11">
        <v>1613</v>
      </c>
      <c r="MN113" s="11">
        <v>2004</v>
      </c>
      <c r="MO113" s="11">
        <v>2278</v>
      </c>
      <c r="MP113" s="11">
        <v>1896</v>
      </c>
      <c r="MQ113" s="11">
        <v>1873</v>
      </c>
      <c r="MR113" s="11">
        <v>1888</v>
      </c>
      <c r="MS113" s="11">
        <v>2006</v>
      </c>
      <c r="MT113" s="11">
        <v>2248</v>
      </c>
      <c r="MU113" s="11">
        <v>1955</v>
      </c>
      <c r="MV113" s="11">
        <v>1983</v>
      </c>
      <c r="MW113" s="27">
        <f t="shared" si="75"/>
        <v>23833</v>
      </c>
      <c r="MX113" s="11">
        <v>0</v>
      </c>
      <c r="MY113" s="11">
        <v>0</v>
      </c>
      <c r="MZ113" s="11">
        <v>0</v>
      </c>
      <c r="NA113" s="11">
        <v>0</v>
      </c>
      <c r="NB113" s="11">
        <v>0</v>
      </c>
      <c r="NC113" s="11">
        <v>0</v>
      </c>
      <c r="ND113" s="11">
        <v>0</v>
      </c>
      <c r="NE113" s="11">
        <v>0</v>
      </c>
      <c r="NF113" s="11">
        <v>0</v>
      </c>
      <c r="NG113" s="11">
        <v>0</v>
      </c>
      <c r="NH113" s="11">
        <v>0</v>
      </c>
      <c r="NI113" s="11">
        <v>0</v>
      </c>
      <c r="NJ113" s="27">
        <f t="shared" si="76"/>
        <v>0</v>
      </c>
      <c r="NK113" s="11">
        <v>0</v>
      </c>
      <c r="NL113" s="11">
        <v>0</v>
      </c>
      <c r="NM113" s="11">
        <v>0</v>
      </c>
      <c r="NN113" s="11">
        <v>0</v>
      </c>
      <c r="NO113" s="11">
        <v>0</v>
      </c>
      <c r="NP113" s="11">
        <v>0</v>
      </c>
      <c r="NQ113" s="11">
        <v>0</v>
      </c>
      <c r="NR113" s="11">
        <v>0</v>
      </c>
      <c r="NS113" s="11">
        <v>0</v>
      </c>
      <c r="NT113" s="11">
        <v>0</v>
      </c>
      <c r="NU113" s="11">
        <v>0</v>
      </c>
      <c r="NV113" s="11">
        <v>0</v>
      </c>
      <c r="NW113" s="27">
        <f t="shared" si="77"/>
        <v>0</v>
      </c>
      <c r="NX113" s="11">
        <v>0</v>
      </c>
      <c r="NY113" s="11">
        <v>0</v>
      </c>
      <c r="NZ113" s="11">
        <v>0</v>
      </c>
      <c r="OA113" s="11">
        <v>0</v>
      </c>
      <c r="OB113" s="11">
        <v>0</v>
      </c>
      <c r="OC113" s="11">
        <v>0</v>
      </c>
      <c r="OD113" s="11">
        <v>0</v>
      </c>
      <c r="OE113" s="11">
        <v>0</v>
      </c>
      <c r="OF113" s="11">
        <v>0</v>
      </c>
      <c r="OG113" s="11">
        <v>0</v>
      </c>
      <c r="OH113" s="11">
        <v>0</v>
      </c>
      <c r="OI113" s="11">
        <v>0</v>
      </c>
      <c r="OJ113" s="27">
        <f t="shared" si="78"/>
        <v>0</v>
      </c>
      <c r="OK113" s="11">
        <v>1718</v>
      </c>
      <c r="OL113" s="11">
        <v>1771</v>
      </c>
      <c r="OM113" s="11">
        <v>1799</v>
      </c>
      <c r="ON113" s="11">
        <v>1853</v>
      </c>
      <c r="OO113" s="11">
        <v>2109</v>
      </c>
      <c r="OP113" s="11">
        <v>1754</v>
      </c>
      <c r="OQ113" s="11">
        <v>1804</v>
      </c>
      <c r="OR113" s="11">
        <v>1992</v>
      </c>
      <c r="OS113" s="11">
        <v>1828</v>
      </c>
      <c r="OT113" s="11">
        <v>3098</v>
      </c>
      <c r="OU113" s="11">
        <v>2080</v>
      </c>
      <c r="OV113" s="11">
        <v>2395</v>
      </c>
      <c r="OW113" s="27">
        <f t="shared" si="79"/>
        <v>24201</v>
      </c>
      <c r="OX113" s="11">
        <v>0</v>
      </c>
      <c r="OY113" s="11">
        <v>0</v>
      </c>
      <c r="OZ113" s="11">
        <v>0</v>
      </c>
      <c r="PA113" s="11">
        <v>0</v>
      </c>
      <c r="PB113" s="11">
        <v>0</v>
      </c>
      <c r="PC113" s="11">
        <v>0</v>
      </c>
      <c r="PD113" s="11">
        <v>0</v>
      </c>
      <c r="PE113" s="11">
        <v>0</v>
      </c>
      <c r="PF113" s="11">
        <v>0</v>
      </c>
      <c r="PG113" s="11">
        <v>0</v>
      </c>
      <c r="PH113" s="11">
        <v>0</v>
      </c>
      <c r="PI113" s="11">
        <v>0</v>
      </c>
      <c r="PJ113" s="27">
        <f t="shared" si="80"/>
        <v>0</v>
      </c>
      <c r="PK113" s="11">
        <v>0</v>
      </c>
      <c r="PL113" s="11">
        <v>0</v>
      </c>
      <c r="PM113" s="11">
        <v>0</v>
      </c>
      <c r="PN113" s="11">
        <v>0</v>
      </c>
      <c r="PO113" s="11">
        <v>0</v>
      </c>
      <c r="PP113" s="11">
        <v>0</v>
      </c>
      <c r="PQ113" s="11">
        <v>0</v>
      </c>
      <c r="PR113" s="11">
        <v>0</v>
      </c>
      <c r="PS113" s="11">
        <v>0</v>
      </c>
      <c r="PT113" s="11">
        <v>0</v>
      </c>
      <c r="PU113" s="11">
        <v>0</v>
      </c>
      <c r="PV113" s="11">
        <v>0</v>
      </c>
      <c r="PW113" s="27">
        <f t="shared" si="81"/>
        <v>0</v>
      </c>
      <c r="PX113" s="11">
        <v>0</v>
      </c>
      <c r="PY113" s="11">
        <v>0</v>
      </c>
      <c r="PZ113" s="11">
        <v>0</v>
      </c>
      <c r="QA113" s="11">
        <v>0</v>
      </c>
      <c r="QB113" s="11">
        <v>0</v>
      </c>
      <c r="QC113" s="11">
        <v>0</v>
      </c>
      <c r="QD113" s="11">
        <v>0</v>
      </c>
      <c r="QE113" s="11">
        <v>0</v>
      </c>
      <c r="QF113" s="11">
        <v>0</v>
      </c>
      <c r="QG113" s="11">
        <v>0</v>
      </c>
      <c r="QH113" s="11">
        <v>0</v>
      </c>
      <c r="QI113" s="11">
        <v>0</v>
      </c>
      <c r="QJ113" s="27">
        <f t="shared" si="82"/>
        <v>0</v>
      </c>
      <c r="QK113" s="11">
        <v>42098</v>
      </c>
      <c r="QL113" s="11">
        <v>40902</v>
      </c>
      <c r="QM113" s="11">
        <v>32961</v>
      </c>
      <c r="QN113" s="11">
        <v>40135</v>
      </c>
      <c r="QO113" s="11">
        <v>40296</v>
      </c>
      <c r="QP113" s="11">
        <v>39754</v>
      </c>
      <c r="QQ113" s="11">
        <v>41386</v>
      </c>
      <c r="QR113" s="11">
        <v>39283</v>
      </c>
      <c r="QS113" s="11">
        <v>31721</v>
      </c>
      <c r="QT113" s="11">
        <v>39437</v>
      </c>
      <c r="QU113" s="11">
        <v>38881</v>
      </c>
      <c r="QV113" s="11">
        <v>42115</v>
      </c>
      <c r="QW113" s="27">
        <f t="shared" si="83"/>
        <v>468969</v>
      </c>
      <c r="QX113" s="11">
        <v>0</v>
      </c>
      <c r="QY113" s="11">
        <v>0</v>
      </c>
      <c r="QZ113" s="11">
        <v>0</v>
      </c>
      <c r="RA113" s="11">
        <v>0</v>
      </c>
      <c r="RB113" s="11">
        <v>0</v>
      </c>
      <c r="RC113" s="11">
        <v>0</v>
      </c>
      <c r="RD113" s="11">
        <v>0</v>
      </c>
      <c r="RE113" s="11">
        <v>0</v>
      </c>
      <c r="RF113" s="11">
        <v>0</v>
      </c>
      <c r="RG113" s="11">
        <v>0</v>
      </c>
      <c r="RH113" s="11">
        <v>0</v>
      </c>
      <c r="RI113" s="11">
        <v>0</v>
      </c>
      <c r="RJ113" s="27">
        <f t="shared" si="84"/>
        <v>0</v>
      </c>
      <c r="RK113" s="11">
        <v>0</v>
      </c>
      <c r="RL113" s="11">
        <v>0</v>
      </c>
      <c r="RM113" s="11">
        <v>0</v>
      </c>
      <c r="RN113" s="11">
        <v>0</v>
      </c>
      <c r="RO113" s="11">
        <v>0</v>
      </c>
      <c r="RP113" s="11">
        <v>0</v>
      </c>
      <c r="RQ113" s="11">
        <v>0</v>
      </c>
      <c r="RR113" s="11">
        <v>0</v>
      </c>
      <c r="RS113" s="11">
        <v>0</v>
      </c>
      <c r="RT113" s="11">
        <v>0</v>
      </c>
      <c r="RU113" s="11">
        <v>0</v>
      </c>
      <c r="RV113" s="11">
        <v>0</v>
      </c>
      <c r="RW113" s="27">
        <f t="shared" si="85"/>
        <v>0</v>
      </c>
      <c r="RX113" s="11">
        <v>0</v>
      </c>
      <c r="RY113" s="11">
        <v>0</v>
      </c>
      <c r="RZ113" s="11">
        <v>0</v>
      </c>
      <c r="SA113" s="11">
        <v>0</v>
      </c>
      <c r="SB113" s="11">
        <v>0</v>
      </c>
      <c r="SC113" s="11">
        <v>0</v>
      </c>
      <c r="SD113" s="11">
        <v>0</v>
      </c>
      <c r="SE113" s="11">
        <v>0</v>
      </c>
      <c r="SF113" s="11">
        <v>0</v>
      </c>
      <c r="SG113" s="11">
        <v>0</v>
      </c>
      <c r="SH113" s="11">
        <v>0</v>
      </c>
      <c r="SI113" s="11">
        <v>0</v>
      </c>
      <c r="SJ113" s="27">
        <f t="shared" si="86"/>
        <v>0</v>
      </c>
      <c r="SK113" s="11">
        <v>230</v>
      </c>
      <c r="SL113" s="11">
        <v>230</v>
      </c>
      <c r="SM113" s="11">
        <v>188</v>
      </c>
      <c r="SN113" s="11">
        <v>197</v>
      </c>
      <c r="SO113" s="11">
        <v>225</v>
      </c>
      <c r="SP113" s="11">
        <v>196</v>
      </c>
      <c r="SQ113" s="11">
        <v>209</v>
      </c>
      <c r="SR113" s="11">
        <v>208</v>
      </c>
      <c r="SS113" s="11">
        <v>143</v>
      </c>
      <c r="ST113" s="11">
        <v>200</v>
      </c>
      <c r="SU113" s="11">
        <v>180</v>
      </c>
      <c r="SV113" s="11">
        <v>191</v>
      </c>
      <c r="SW113" s="27">
        <f t="shared" si="87"/>
        <v>2397</v>
      </c>
      <c r="SX113" s="11" t="s">
        <v>2752</v>
      </c>
      <c r="SY113" s="11">
        <v>3280</v>
      </c>
      <c r="SZ113" s="11">
        <v>4185</v>
      </c>
      <c r="TA113" s="11">
        <v>3506</v>
      </c>
      <c r="TB113" s="11">
        <v>3481</v>
      </c>
      <c r="TC113" s="11">
        <v>1995</v>
      </c>
      <c r="TD113" s="11">
        <v>3879</v>
      </c>
      <c r="TE113" s="11">
        <v>3682</v>
      </c>
      <c r="TF113" s="11">
        <v>3457</v>
      </c>
      <c r="TG113" s="11">
        <v>2854</v>
      </c>
      <c r="TH113" s="11">
        <v>3870</v>
      </c>
      <c r="TI113" s="11">
        <v>3168</v>
      </c>
      <c r="TJ113" s="11">
        <v>3880</v>
      </c>
      <c r="TK113" s="27">
        <f t="shared" si="88"/>
        <v>41237</v>
      </c>
      <c r="TL113" s="11">
        <v>0</v>
      </c>
      <c r="TM113" s="11">
        <v>0</v>
      </c>
      <c r="TN113" s="11">
        <v>0</v>
      </c>
      <c r="TO113" s="11">
        <v>0</v>
      </c>
      <c r="TP113" s="11">
        <v>0</v>
      </c>
      <c r="TQ113" s="11">
        <v>0</v>
      </c>
      <c r="TR113" s="11">
        <v>0</v>
      </c>
      <c r="TS113" s="11">
        <v>0</v>
      </c>
      <c r="TT113" s="11">
        <v>0</v>
      </c>
      <c r="TU113" s="11">
        <v>0</v>
      </c>
      <c r="TV113" s="11">
        <v>0</v>
      </c>
      <c r="TW113" s="11">
        <v>0</v>
      </c>
      <c r="TX113" s="27">
        <f t="shared" si="89"/>
        <v>0</v>
      </c>
      <c r="TY113" s="11">
        <v>116</v>
      </c>
      <c r="TZ113" s="11">
        <v>24</v>
      </c>
      <c r="UA113" s="11">
        <v>243</v>
      </c>
    </row>
    <row r="114" spans="1:547" ht="16" customHeight="1" x14ac:dyDescent="0.35">
      <c r="A114" s="11" t="s">
        <v>1450</v>
      </c>
      <c r="B114" s="11">
        <v>17906</v>
      </c>
      <c r="C114" s="11">
        <v>6327</v>
      </c>
      <c r="D114" s="11">
        <v>10636</v>
      </c>
      <c r="E114" s="11">
        <v>942</v>
      </c>
      <c r="F114" s="11">
        <v>129</v>
      </c>
      <c r="G114" s="11">
        <v>128</v>
      </c>
      <c r="H114" s="11">
        <v>114</v>
      </c>
      <c r="I114" s="11">
        <v>99</v>
      </c>
      <c r="J114" s="11">
        <v>81</v>
      </c>
      <c r="K114" s="11">
        <v>130</v>
      </c>
      <c r="L114" s="11">
        <v>190</v>
      </c>
      <c r="M114" s="11">
        <v>188</v>
      </c>
      <c r="N114" s="11">
        <v>96</v>
      </c>
      <c r="O114" s="11">
        <v>143</v>
      </c>
      <c r="P114" s="11" t="s">
        <v>2865</v>
      </c>
      <c r="Q114" s="11">
        <v>158</v>
      </c>
      <c r="R114" s="11">
        <v>165</v>
      </c>
      <c r="S114" s="26">
        <f t="shared" si="45"/>
        <v>1621</v>
      </c>
      <c r="T114" s="11">
        <v>21</v>
      </c>
      <c r="U114" s="11">
        <v>13</v>
      </c>
      <c r="V114" s="11">
        <v>10</v>
      </c>
      <c r="W114" s="11">
        <v>9</v>
      </c>
      <c r="X114" s="11">
        <v>9</v>
      </c>
      <c r="Y114" s="11">
        <v>17</v>
      </c>
      <c r="Z114" s="11">
        <v>29</v>
      </c>
      <c r="AA114" s="11">
        <v>25</v>
      </c>
      <c r="AB114" s="11">
        <v>13</v>
      </c>
      <c r="AC114" s="11">
        <v>19</v>
      </c>
      <c r="AD114" s="11">
        <v>20</v>
      </c>
      <c r="AE114" s="11">
        <v>19</v>
      </c>
      <c r="AF114" s="26">
        <f t="shared" si="46"/>
        <v>204</v>
      </c>
      <c r="AG114" s="11">
        <v>106</v>
      </c>
      <c r="AH114" s="11">
        <v>112</v>
      </c>
      <c r="AI114" s="11">
        <v>100</v>
      </c>
      <c r="AJ114" s="11">
        <v>88</v>
      </c>
      <c r="AK114" s="11">
        <v>70</v>
      </c>
      <c r="AL114" s="11">
        <v>108</v>
      </c>
      <c r="AM114" s="11">
        <v>155</v>
      </c>
      <c r="AN114" s="11">
        <v>158</v>
      </c>
      <c r="AO114" s="11">
        <v>79</v>
      </c>
      <c r="AP114" s="11">
        <v>122</v>
      </c>
      <c r="AQ114" s="11">
        <v>130</v>
      </c>
      <c r="AR114" s="11">
        <v>139</v>
      </c>
      <c r="AS114" s="26">
        <f t="shared" si="47"/>
        <v>1367</v>
      </c>
      <c r="AT114" s="11">
        <v>0</v>
      </c>
      <c r="AU114" s="11">
        <v>0</v>
      </c>
      <c r="AV114" s="11">
        <v>0</v>
      </c>
      <c r="AW114" s="11">
        <v>0</v>
      </c>
      <c r="AX114" s="11">
        <v>0</v>
      </c>
      <c r="AY114" s="11">
        <v>0</v>
      </c>
      <c r="AZ114" s="11">
        <v>0</v>
      </c>
      <c r="BA114" s="11">
        <v>0</v>
      </c>
      <c r="BB114" s="11">
        <v>0</v>
      </c>
      <c r="BC114" s="11">
        <v>0</v>
      </c>
      <c r="BD114" s="11">
        <v>0</v>
      </c>
      <c r="BE114" s="11">
        <v>0</v>
      </c>
      <c r="BF114" s="26">
        <f t="shared" si="48"/>
        <v>0</v>
      </c>
      <c r="BG114" s="11">
        <v>2</v>
      </c>
      <c r="BH114" s="11">
        <v>3</v>
      </c>
      <c r="BI114" s="11">
        <v>4</v>
      </c>
      <c r="BJ114" s="11">
        <v>2</v>
      </c>
      <c r="BK114" s="11">
        <v>2</v>
      </c>
      <c r="BL114" s="11">
        <v>5</v>
      </c>
      <c r="BM114" s="11">
        <v>6</v>
      </c>
      <c r="BN114" s="11">
        <v>5</v>
      </c>
      <c r="BO114" s="11">
        <v>4</v>
      </c>
      <c r="BP114" s="11">
        <v>2</v>
      </c>
      <c r="BQ114" s="11">
        <v>8</v>
      </c>
      <c r="BR114" s="11">
        <v>7</v>
      </c>
      <c r="BS114" s="26">
        <f t="shared" si="49"/>
        <v>50</v>
      </c>
      <c r="BT114" s="11">
        <v>1</v>
      </c>
      <c r="BU114" s="11">
        <v>1</v>
      </c>
      <c r="BV114" s="11">
        <v>1</v>
      </c>
      <c r="BW114" s="11">
        <v>1</v>
      </c>
      <c r="BX114" s="11">
        <v>1</v>
      </c>
      <c r="BY114" s="11">
        <v>1</v>
      </c>
      <c r="BZ114" s="11">
        <v>1</v>
      </c>
      <c r="CA114" s="11">
        <v>1</v>
      </c>
      <c r="CB114" s="11">
        <v>1</v>
      </c>
      <c r="CC114" s="11">
        <v>1</v>
      </c>
      <c r="CD114" s="11">
        <v>1</v>
      </c>
      <c r="CE114" s="11">
        <v>1</v>
      </c>
      <c r="CF114" s="26">
        <f t="shared" si="50"/>
        <v>12</v>
      </c>
      <c r="CG114" s="11">
        <v>1</v>
      </c>
      <c r="CH114" s="11">
        <v>1</v>
      </c>
      <c r="CI114" s="11">
        <v>1</v>
      </c>
      <c r="CJ114" s="11">
        <v>1</v>
      </c>
      <c r="CK114" s="11">
        <v>1</v>
      </c>
      <c r="CL114" s="11">
        <v>1</v>
      </c>
      <c r="CM114" s="11">
        <v>1</v>
      </c>
      <c r="CN114" s="11">
        <v>1</v>
      </c>
      <c r="CO114" s="11">
        <v>1</v>
      </c>
      <c r="CP114" s="11">
        <v>1</v>
      </c>
      <c r="CQ114" s="11">
        <v>1</v>
      </c>
      <c r="CR114" s="11">
        <v>1</v>
      </c>
      <c r="CS114" s="26">
        <f t="shared" si="51"/>
        <v>12</v>
      </c>
      <c r="CT114" s="11">
        <v>0</v>
      </c>
      <c r="CU114" s="11">
        <v>0</v>
      </c>
      <c r="CV114" s="11">
        <v>0</v>
      </c>
      <c r="CW114" s="11">
        <v>0</v>
      </c>
      <c r="CX114" s="11">
        <v>0</v>
      </c>
      <c r="CY114" s="11">
        <v>0</v>
      </c>
      <c r="CZ114" s="11">
        <v>0</v>
      </c>
      <c r="DA114" s="11">
        <v>0</v>
      </c>
      <c r="DB114" s="11">
        <v>0</v>
      </c>
      <c r="DC114" s="11">
        <v>0</v>
      </c>
      <c r="DD114" s="11">
        <v>0</v>
      </c>
      <c r="DE114" s="11">
        <v>0</v>
      </c>
      <c r="DF114" s="26">
        <f t="shared" si="52"/>
        <v>0</v>
      </c>
      <c r="DG114" s="11">
        <v>0</v>
      </c>
      <c r="DH114" s="11">
        <v>0</v>
      </c>
      <c r="DI114" s="11">
        <v>0</v>
      </c>
      <c r="DJ114" s="11">
        <v>0</v>
      </c>
      <c r="DK114" s="11">
        <v>0</v>
      </c>
      <c r="DL114" s="11">
        <v>0</v>
      </c>
      <c r="DM114" s="11">
        <v>0</v>
      </c>
      <c r="DN114" s="11">
        <v>0</v>
      </c>
      <c r="DO114" s="11">
        <v>0</v>
      </c>
      <c r="DP114" s="11">
        <v>0</v>
      </c>
      <c r="DQ114" s="11">
        <v>0</v>
      </c>
      <c r="DR114" s="11">
        <v>0</v>
      </c>
      <c r="DS114" s="26">
        <f t="shared" si="53"/>
        <v>0</v>
      </c>
      <c r="DT114" s="11">
        <v>0</v>
      </c>
      <c r="DU114" s="11">
        <v>0</v>
      </c>
      <c r="DV114" s="11">
        <v>0</v>
      </c>
      <c r="DW114" s="11">
        <v>0</v>
      </c>
      <c r="DX114" s="11">
        <v>0</v>
      </c>
      <c r="DY114" s="11">
        <v>0</v>
      </c>
      <c r="DZ114" s="11">
        <v>0</v>
      </c>
      <c r="EA114" s="11">
        <v>0</v>
      </c>
      <c r="EB114" s="11">
        <v>0</v>
      </c>
      <c r="EC114" s="11">
        <v>0</v>
      </c>
      <c r="ED114" s="11">
        <v>0</v>
      </c>
      <c r="EE114" s="11">
        <v>0</v>
      </c>
      <c r="EF114" s="26">
        <f t="shared" si="54"/>
        <v>0</v>
      </c>
      <c r="EG114" s="9">
        <f t="shared" si="55"/>
        <v>1621</v>
      </c>
      <c r="EH114" s="9">
        <f t="shared" si="56"/>
        <v>12</v>
      </c>
      <c r="EI114" s="11">
        <v>2580</v>
      </c>
      <c r="EJ114" s="11">
        <v>2747</v>
      </c>
      <c r="EK114" s="11">
        <v>2091</v>
      </c>
      <c r="EL114" s="11">
        <v>2186</v>
      </c>
      <c r="EM114" s="11">
        <v>1665</v>
      </c>
      <c r="EN114" s="11">
        <v>3076</v>
      </c>
      <c r="EO114" s="11">
        <v>3991</v>
      </c>
      <c r="EP114" s="11">
        <v>3572</v>
      </c>
      <c r="EQ114" s="11">
        <v>1785</v>
      </c>
      <c r="ER114" s="11">
        <v>2299</v>
      </c>
      <c r="ES114" s="11">
        <v>2775</v>
      </c>
      <c r="ET114" s="11">
        <v>2922</v>
      </c>
      <c r="EU114" s="26">
        <f t="shared" si="57"/>
        <v>31689</v>
      </c>
      <c r="EV114" s="11">
        <v>1153</v>
      </c>
      <c r="EW114" s="11">
        <v>1156</v>
      </c>
      <c r="EX114" s="11">
        <v>829</v>
      </c>
      <c r="EY114" s="11">
        <v>960</v>
      </c>
      <c r="EZ114" s="11">
        <v>833</v>
      </c>
      <c r="FA114" s="11">
        <v>1468</v>
      </c>
      <c r="FB114" s="11">
        <v>1483</v>
      </c>
      <c r="FC114" s="11">
        <v>1447</v>
      </c>
      <c r="FD114" s="11">
        <v>829</v>
      </c>
      <c r="FE114" s="11">
        <v>1058</v>
      </c>
      <c r="FF114" s="11">
        <v>1313</v>
      </c>
      <c r="FG114" s="11">
        <v>1283</v>
      </c>
      <c r="FH114" s="26">
        <f t="shared" si="58"/>
        <v>13812</v>
      </c>
      <c r="FI114" s="11">
        <v>1427</v>
      </c>
      <c r="FJ114" s="11">
        <v>1591</v>
      </c>
      <c r="FK114" s="11">
        <v>1262</v>
      </c>
      <c r="FL114" s="11">
        <v>1226</v>
      </c>
      <c r="FM114" s="11">
        <v>832</v>
      </c>
      <c r="FN114" s="11">
        <v>1608</v>
      </c>
      <c r="FO114" s="11">
        <v>2508</v>
      </c>
      <c r="FP114" s="11">
        <v>2125</v>
      </c>
      <c r="FQ114" s="11">
        <v>956</v>
      </c>
      <c r="FR114" s="11">
        <v>1241</v>
      </c>
      <c r="FS114" s="11">
        <v>1462</v>
      </c>
      <c r="FT114" s="11">
        <v>1639</v>
      </c>
      <c r="FU114" s="26">
        <f t="shared" si="59"/>
        <v>17877</v>
      </c>
      <c r="FV114" s="11">
        <v>0</v>
      </c>
      <c r="FW114" s="11">
        <v>0</v>
      </c>
      <c r="FX114" s="11">
        <v>0</v>
      </c>
      <c r="FY114" s="11">
        <v>0</v>
      </c>
      <c r="FZ114" s="11">
        <v>0</v>
      </c>
      <c r="GA114" s="11">
        <v>0</v>
      </c>
      <c r="GB114" s="11">
        <v>0</v>
      </c>
      <c r="GC114" s="11">
        <v>0</v>
      </c>
      <c r="GD114" s="11">
        <v>0</v>
      </c>
      <c r="GE114" s="11">
        <v>0</v>
      </c>
      <c r="GF114" s="11">
        <v>0</v>
      </c>
      <c r="GG114" s="11">
        <v>0</v>
      </c>
      <c r="GH114" s="26">
        <f t="shared" si="60"/>
        <v>0</v>
      </c>
      <c r="GI114" s="11">
        <v>5</v>
      </c>
      <c r="GJ114" s="11">
        <v>7</v>
      </c>
      <c r="GK114" s="11">
        <v>7</v>
      </c>
      <c r="GL114" s="11">
        <v>8</v>
      </c>
      <c r="GM114" s="11">
        <v>5</v>
      </c>
      <c r="GN114" s="11">
        <v>6</v>
      </c>
      <c r="GO114" s="11">
        <v>6</v>
      </c>
      <c r="GP114" s="11">
        <v>7</v>
      </c>
      <c r="GQ114" s="11">
        <v>8</v>
      </c>
      <c r="GR114" s="11">
        <v>9</v>
      </c>
      <c r="GS114" s="11">
        <v>9</v>
      </c>
      <c r="GT114" s="11">
        <v>6</v>
      </c>
      <c r="GU114" s="26">
        <f t="shared" si="61"/>
        <v>83</v>
      </c>
      <c r="GV114" s="11">
        <v>5</v>
      </c>
      <c r="GW114" s="11">
        <v>7</v>
      </c>
      <c r="GX114" s="11">
        <v>7</v>
      </c>
      <c r="GY114" s="11">
        <v>8</v>
      </c>
      <c r="GZ114" s="11">
        <v>5</v>
      </c>
      <c r="HA114" s="11">
        <v>6</v>
      </c>
      <c r="HB114" s="11">
        <v>6</v>
      </c>
      <c r="HC114" s="11">
        <v>7</v>
      </c>
      <c r="HD114" s="11">
        <v>8</v>
      </c>
      <c r="HE114" s="11">
        <v>9</v>
      </c>
      <c r="HF114" s="11">
        <v>9</v>
      </c>
      <c r="HG114" s="11">
        <v>6</v>
      </c>
      <c r="HH114" s="26">
        <f t="shared" si="62"/>
        <v>83</v>
      </c>
      <c r="HI114" s="11">
        <v>0</v>
      </c>
      <c r="HJ114" s="11">
        <v>0</v>
      </c>
      <c r="HK114" s="11">
        <v>0</v>
      </c>
      <c r="HL114" s="11">
        <v>0</v>
      </c>
      <c r="HM114" s="11">
        <v>0</v>
      </c>
      <c r="HN114" s="11">
        <v>0</v>
      </c>
      <c r="HO114" s="11">
        <v>0</v>
      </c>
      <c r="HP114" s="11">
        <v>0</v>
      </c>
      <c r="HQ114" s="11">
        <v>0</v>
      </c>
      <c r="HR114" s="11">
        <v>0</v>
      </c>
      <c r="HS114" s="11">
        <v>0</v>
      </c>
      <c r="HT114" s="11">
        <v>0</v>
      </c>
      <c r="HU114" s="26">
        <f t="shared" si="63"/>
        <v>0</v>
      </c>
      <c r="HV114" s="11">
        <v>0</v>
      </c>
      <c r="HW114" s="11">
        <v>0</v>
      </c>
      <c r="HX114" s="11">
        <v>0</v>
      </c>
      <c r="HY114" s="11">
        <v>0</v>
      </c>
      <c r="HZ114" s="11">
        <v>0</v>
      </c>
      <c r="IA114" s="11">
        <v>0</v>
      </c>
      <c r="IB114" s="11">
        <v>0</v>
      </c>
      <c r="IC114" s="11">
        <v>0</v>
      </c>
      <c r="ID114" s="11">
        <v>0</v>
      </c>
      <c r="IE114" s="11">
        <v>0</v>
      </c>
      <c r="IF114" s="11">
        <v>0</v>
      </c>
      <c r="IG114" s="11">
        <v>0</v>
      </c>
      <c r="IH114" s="26">
        <f t="shared" si="64"/>
        <v>0</v>
      </c>
      <c r="II114" s="9">
        <f t="shared" si="65"/>
        <v>31689</v>
      </c>
      <c r="IJ114" s="9">
        <f t="shared" si="66"/>
        <v>83</v>
      </c>
      <c r="IK114" s="11">
        <v>44819</v>
      </c>
      <c r="IL114" s="11">
        <v>42054</v>
      </c>
      <c r="IM114" s="11">
        <v>39501</v>
      </c>
      <c r="IN114" s="11">
        <v>48708</v>
      </c>
      <c r="IO114" s="11">
        <v>54446</v>
      </c>
      <c r="IP114" s="11">
        <v>43345</v>
      </c>
      <c r="IQ114" s="11">
        <v>45288</v>
      </c>
      <c r="IR114" s="11">
        <v>42192</v>
      </c>
      <c r="IS114" s="11">
        <v>31660</v>
      </c>
      <c r="IT114" s="11">
        <v>42239</v>
      </c>
      <c r="IU114" s="11">
        <v>37798</v>
      </c>
      <c r="IV114" s="11">
        <v>40746</v>
      </c>
      <c r="IW114" s="27">
        <f t="shared" si="67"/>
        <v>512796</v>
      </c>
      <c r="IX114" s="11">
        <v>26653</v>
      </c>
      <c r="IY114" s="11">
        <v>25840</v>
      </c>
      <c r="IZ114" s="11">
        <v>24550</v>
      </c>
      <c r="JA114" s="11">
        <v>26888</v>
      </c>
      <c r="JB114" s="11">
        <v>27553</v>
      </c>
      <c r="JC114" s="11">
        <v>25359</v>
      </c>
      <c r="JD114" s="11">
        <v>27019</v>
      </c>
      <c r="JE114" s="11">
        <v>25454</v>
      </c>
      <c r="JF114" s="11">
        <v>20636</v>
      </c>
      <c r="JG114" s="11">
        <v>26824</v>
      </c>
      <c r="JH114" s="11">
        <v>23072</v>
      </c>
      <c r="JI114" s="11">
        <v>25106</v>
      </c>
      <c r="JJ114" s="27">
        <f t="shared" si="68"/>
        <v>304954</v>
      </c>
      <c r="JK114" s="11">
        <v>17648</v>
      </c>
      <c r="JL114" s="11">
        <v>15723</v>
      </c>
      <c r="JM114" s="11">
        <v>14464</v>
      </c>
      <c r="JN114" s="11">
        <v>21170</v>
      </c>
      <c r="JO114" s="11">
        <v>26102</v>
      </c>
      <c r="JP114" s="11">
        <v>27019</v>
      </c>
      <c r="JQ114" s="11">
        <v>17815</v>
      </c>
      <c r="JR114" s="11">
        <v>16347</v>
      </c>
      <c r="JS114" s="11">
        <v>10721</v>
      </c>
      <c r="JT114" s="11">
        <v>15045</v>
      </c>
      <c r="JU114" s="11">
        <v>14332</v>
      </c>
      <c r="JV114" s="11">
        <v>15222</v>
      </c>
      <c r="JW114" s="27">
        <f t="shared" si="69"/>
        <v>211608</v>
      </c>
      <c r="JX114" s="11">
        <v>518</v>
      </c>
      <c r="JY114" s="11">
        <v>491</v>
      </c>
      <c r="JZ114" s="11">
        <v>487</v>
      </c>
      <c r="KA114" s="11">
        <v>650</v>
      </c>
      <c r="KB114" s="11">
        <v>791</v>
      </c>
      <c r="KC114" s="11">
        <v>540</v>
      </c>
      <c r="KD114" s="11">
        <v>454</v>
      </c>
      <c r="KE114" s="11">
        <v>391</v>
      </c>
      <c r="KF114" s="11">
        <v>303</v>
      </c>
      <c r="KG114" s="11">
        <v>370</v>
      </c>
      <c r="KH114" s="11">
        <v>394</v>
      </c>
      <c r="KI114" s="11">
        <v>418</v>
      </c>
      <c r="KJ114" s="27">
        <f t="shared" si="70"/>
        <v>5807</v>
      </c>
      <c r="KK114" s="11">
        <v>0</v>
      </c>
      <c r="KL114" s="11">
        <v>0</v>
      </c>
      <c r="KM114" s="11">
        <v>0</v>
      </c>
      <c r="KN114" s="11">
        <v>0</v>
      </c>
      <c r="KO114" s="11">
        <v>0</v>
      </c>
      <c r="KP114" s="11">
        <v>0</v>
      </c>
      <c r="KQ114" s="11">
        <v>0</v>
      </c>
      <c r="KR114" s="11">
        <v>0</v>
      </c>
      <c r="KS114" s="11">
        <v>0</v>
      </c>
      <c r="KT114" s="11">
        <v>0</v>
      </c>
      <c r="KU114" s="11">
        <v>0</v>
      </c>
      <c r="KV114" s="11">
        <v>0</v>
      </c>
      <c r="KW114" s="27">
        <f t="shared" si="71"/>
        <v>0</v>
      </c>
      <c r="KX114" s="11">
        <v>691</v>
      </c>
      <c r="KY114" s="11">
        <v>611</v>
      </c>
      <c r="KZ114" s="11">
        <v>601</v>
      </c>
      <c r="LA114" s="11">
        <v>631</v>
      </c>
      <c r="LB114" s="11">
        <v>517</v>
      </c>
      <c r="LC114" s="11">
        <v>556</v>
      </c>
      <c r="LD114" s="11">
        <v>572</v>
      </c>
      <c r="LE114" s="11">
        <v>610</v>
      </c>
      <c r="LF114" s="11">
        <v>415</v>
      </c>
      <c r="LG114" s="11">
        <v>568</v>
      </c>
      <c r="LH114" s="11">
        <v>473</v>
      </c>
      <c r="LI114" s="11">
        <v>551</v>
      </c>
      <c r="LJ114" s="27">
        <f t="shared" si="72"/>
        <v>6796</v>
      </c>
      <c r="LK114" s="11">
        <v>643</v>
      </c>
      <c r="LL114" s="11">
        <v>571</v>
      </c>
      <c r="LM114" s="11">
        <v>558</v>
      </c>
      <c r="LN114" s="11">
        <v>606</v>
      </c>
      <c r="LO114" s="11">
        <v>484</v>
      </c>
      <c r="LP114" s="11">
        <v>533</v>
      </c>
      <c r="LQ114" s="11">
        <v>555</v>
      </c>
      <c r="LR114" s="11">
        <v>596</v>
      </c>
      <c r="LS114" s="11">
        <v>398</v>
      </c>
      <c r="LT114" s="11">
        <v>554</v>
      </c>
      <c r="LU114" s="11">
        <v>459</v>
      </c>
      <c r="LV114" s="11">
        <v>539</v>
      </c>
      <c r="LW114" s="27">
        <f t="shared" si="73"/>
        <v>6496</v>
      </c>
      <c r="LX114" s="11">
        <v>48</v>
      </c>
      <c r="LY114" s="11">
        <v>40</v>
      </c>
      <c r="LZ114" s="11">
        <v>43</v>
      </c>
      <c r="MA114" s="11">
        <v>25</v>
      </c>
      <c r="MB114" s="11">
        <v>33</v>
      </c>
      <c r="MC114" s="11">
        <v>23</v>
      </c>
      <c r="MD114" s="11">
        <v>17</v>
      </c>
      <c r="ME114" s="11">
        <v>14</v>
      </c>
      <c r="MF114" s="11">
        <v>17</v>
      </c>
      <c r="MG114" s="11">
        <v>14</v>
      </c>
      <c r="MH114" s="11">
        <v>14</v>
      </c>
      <c r="MI114" s="11">
        <v>12</v>
      </c>
      <c r="MJ114" s="27">
        <f t="shared" si="74"/>
        <v>300</v>
      </c>
      <c r="MK114" s="11">
        <v>3064</v>
      </c>
      <c r="ML114" s="11">
        <v>3094</v>
      </c>
      <c r="MM114" s="11">
        <v>2972</v>
      </c>
      <c r="MN114" s="11">
        <v>3121</v>
      </c>
      <c r="MO114" s="11">
        <v>3459</v>
      </c>
      <c r="MP114" s="11">
        <v>3375</v>
      </c>
      <c r="MQ114" s="11">
        <v>3271</v>
      </c>
      <c r="MR114" s="11">
        <v>3282</v>
      </c>
      <c r="MS114" s="11">
        <v>3212</v>
      </c>
      <c r="MT114" s="11">
        <v>4000</v>
      </c>
      <c r="MU114" s="11">
        <v>3375</v>
      </c>
      <c r="MV114" s="11">
        <v>3777</v>
      </c>
      <c r="MW114" s="27">
        <f t="shared" si="75"/>
        <v>40002</v>
      </c>
      <c r="MX114" s="11">
        <v>2942</v>
      </c>
      <c r="MY114" s="11">
        <v>2945</v>
      </c>
      <c r="MZ114" s="11">
        <v>2821</v>
      </c>
      <c r="NA114" s="11">
        <v>2960</v>
      </c>
      <c r="NB114" s="11">
        <v>3259</v>
      </c>
      <c r="NC114" s="11">
        <v>3117</v>
      </c>
      <c r="ND114" s="11">
        <v>3041</v>
      </c>
      <c r="NE114" s="11">
        <v>3062</v>
      </c>
      <c r="NF114" s="11">
        <v>2946</v>
      </c>
      <c r="NG114" s="11">
        <v>3716</v>
      </c>
      <c r="NH114" s="11">
        <v>3099</v>
      </c>
      <c r="NI114" s="11">
        <v>3467</v>
      </c>
      <c r="NJ114" s="27">
        <f t="shared" si="76"/>
        <v>37375</v>
      </c>
      <c r="NK114" s="11">
        <v>79</v>
      </c>
      <c r="NL114" s="11">
        <v>92</v>
      </c>
      <c r="NM114" s="11">
        <v>106</v>
      </c>
      <c r="NN114" s="11">
        <v>107</v>
      </c>
      <c r="NO114" s="11">
        <v>130</v>
      </c>
      <c r="NP114" s="11">
        <v>178</v>
      </c>
      <c r="NQ114" s="11">
        <v>146</v>
      </c>
      <c r="NR114" s="11">
        <v>165</v>
      </c>
      <c r="NS114" s="11">
        <v>187</v>
      </c>
      <c r="NT114" s="11">
        <v>167</v>
      </c>
      <c r="NU114" s="11">
        <v>184</v>
      </c>
      <c r="NV114" s="11">
        <v>214</v>
      </c>
      <c r="NW114" s="27">
        <f t="shared" si="77"/>
        <v>1755</v>
      </c>
      <c r="NX114" s="11">
        <v>43</v>
      </c>
      <c r="NY114" s="11">
        <v>57</v>
      </c>
      <c r="NZ114" s="11">
        <v>45</v>
      </c>
      <c r="OA114" s="11">
        <v>54</v>
      </c>
      <c r="OB114" s="11">
        <v>70</v>
      </c>
      <c r="OC114" s="11">
        <v>80</v>
      </c>
      <c r="OD114" s="11">
        <v>84</v>
      </c>
      <c r="OE114" s="11">
        <v>55</v>
      </c>
      <c r="OF114" s="11">
        <v>79</v>
      </c>
      <c r="OG114" s="11">
        <v>117</v>
      </c>
      <c r="OH114" s="11">
        <v>92</v>
      </c>
      <c r="OI114" s="11">
        <v>96</v>
      </c>
      <c r="OJ114" s="27">
        <f t="shared" si="78"/>
        <v>872</v>
      </c>
      <c r="OK114" s="11">
        <v>3053</v>
      </c>
      <c r="OL114" s="11">
        <v>2917</v>
      </c>
      <c r="OM114" s="11">
        <v>3199</v>
      </c>
      <c r="ON114" s="11">
        <v>3154</v>
      </c>
      <c r="OO114" s="11">
        <v>3489</v>
      </c>
      <c r="OP114" s="11">
        <v>3397</v>
      </c>
      <c r="OQ114" s="11">
        <v>3767</v>
      </c>
      <c r="OR114" s="11">
        <v>3660</v>
      </c>
      <c r="OS114" s="11">
        <v>3948</v>
      </c>
      <c r="OT114" s="11">
        <v>4645</v>
      </c>
      <c r="OU114" s="11">
        <v>4466</v>
      </c>
      <c r="OV114" s="11">
        <v>4922</v>
      </c>
      <c r="OW114" s="27">
        <f t="shared" si="79"/>
        <v>44617</v>
      </c>
      <c r="OX114" s="11">
        <v>2728</v>
      </c>
      <c r="OY114" s="11">
        <v>2622</v>
      </c>
      <c r="OZ114" s="11">
        <v>2892</v>
      </c>
      <c r="PA114" s="11">
        <v>2836</v>
      </c>
      <c r="PB114" s="11">
        <v>3040</v>
      </c>
      <c r="PC114" s="11">
        <v>2986</v>
      </c>
      <c r="PD114" s="11">
        <v>3244</v>
      </c>
      <c r="PE114" s="11">
        <v>3168</v>
      </c>
      <c r="PF114" s="11">
        <v>3378</v>
      </c>
      <c r="PG114" s="11">
        <v>4070</v>
      </c>
      <c r="PH114" s="11">
        <v>3850</v>
      </c>
      <c r="PI114" s="11">
        <v>4273</v>
      </c>
      <c r="PJ114" s="27">
        <f t="shared" si="80"/>
        <v>39087</v>
      </c>
      <c r="PK114" s="11">
        <v>255</v>
      </c>
      <c r="PL114" s="11">
        <v>230</v>
      </c>
      <c r="PM114" s="11">
        <v>248</v>
      </c>
      <c r="PN114" s="11">
        <v>252</v>
      </c>
      <c r="PO114" s="11">
        <v>376</v>
      </c>
      <c r="PP114" s="11">
        <v>328</v>
      </c>
      <c r="PQ114" s="11">
        <v>439</v>
      </c>
      <c r="PR114" s="11">
        <v>389</v>
      </c>
      <c r="PS114" s="11">
        <v>453</v>
      </c>
      <c r="PT114" s="11">
        <v>452</v>
      </c>
      <c r="PU114" s="11">
        <v>479</v>
      </c>
      <c r="PV114" s="11">
        <v>529</v>
      </c>
      <c r="PW114" s="27">
        <f t="shared" si="81"/>
        <v>4430</v>
      </c>
      <c r="PX114" s="11">
        <v>70</v>
      </c>
      <c r="PY114" s="11">
        <v>65</v>
      </c>
      <c r="PZ114" s="11">
        <v>59</v>
      </c>
      <c r="QA114" s="11">
        <v>66</v>
      </c>
      <c r="QB114" s="11">
        <v>73</v>
      </c>
      <c r="QC114" s="11">
        <v>83</v>
      </c>
      <c r="QD114" s="11">
        <v>84</v>
      </c>
      <c r="QE114" s="11">
        <v>103</v>
      </c>
      <c r="QF114" s="11">
        <v>117</v>
      </c>
      <c r="QG114" s="11">
        <v>123</v>
      </c>
      <c r="QH114" s="11">
        <v>137</v>
      </c>
      <c r="QI114" s="11">
        <v>120</v>
      </c>
      <c r="QJ114" s="27">
        <f t="shared" si="82"/>
        <v>1100</v>
      </c>
      <c r="QK114" s="11">
        <v>28015</v>
      </c>
      <c r="QL114" s="11">
        <v>26702</v>
      </c>
      <c r="QM114" s="11">
        <v>35509</v>
      </c>
      <c r="QN114" s="11">
        <v>28129</v>
      </c>
      <c r="QO114" s="11">
        <v>27241</v>
      </c>
      <c r="QP114" s="11">
        <v>25140</v>
      </c>
      <c r="QQ114" s="11">
        <v>27658</v>
      </c>
      <c r="QR114" s="11">
        <v>28471</v>
      </c>
      <c r="QS114" s="11">
        <v>19476</v>
      </c>
      <c r="QT114" s="11">
        <v>21723</v>
      </c>
      <c r="QU114" s="11">
        <v>23399</v>
      </c>
      <c r="QV114" s="11">
        <v>25794</v>
      </c>
      <c r="QW114" s="27">
        <f t="shared" si="83"/>
        <v>317257</v>
      </c>
      <c r="QX114" s="11">
        <v>11885</v>
      </c>
      <c r="QY114" s="11">
        <v>13374</v>
      </c>
      <c r="QZ114" s="11">
        <v>13982</v>
      </c>
      <c r="RA114" s="11">
        <v>14245</v>
      </c>
      <c r="RB114" s="11">
        <v>14690</v>
      </c>
      <c r="RC114" s="11">
        <v>13045</v>
      </c>
      <c r="RD114" s="11">
        <v>13883</v>
      </c>
      <c r="RE114" s="11">
        <v>13178</v>
      </c>
      <c r="RF114" s="11">
        <v>8948</v>
      </c>
      <c r="RG114" s="11">
        <v>11311</v>
      </c>
      <c r="RH114" s="11">
        <v>10997</v>
      </c>
      <c r="RI114" s="11">
        <v>11538</v>
      </c>
      <c r="RJ114" s="27">
        <f t="shared" si="84"/>
        <v>151076</v>
      </c>
      <c r="RK114" s="11">
        <v>0</v>
      </c>
      <c r="RL114" s="11">
        <v>0</v>
      </c>
      <c r="RM114" s="11">
        <v>0</v>
      </c>
      <c r="RN114" s="11">
        <v>0</v>
      </c>
      <c r="RO114" s="11">
        <v>0</v>
      </c>
      <c r="RP114" s="11">
        <v>0</v>
      </c>
      <c r="RQ114" s="11">
        <v>0</v>
      </c>
      <c r="RR114" s="11">
        <v>0</v>
      </c>
      <c r="RS114" s="11">
        <v>0</v>
      </c>
      <c r="RT114" s="11">
        <v>0</v>
      </c>
      <c r="RU114" s="11">
        <v>0</v>
      </c>
      <c r="RV114" s="11">
        <v>0</v>
      </c>
      <c r="RW114" s="27">
        <f t="shared" si="85"/>
        <v>0</v>
      </c>
      <c r="RX114" s="11">
        <v>0</v>
      </c>
      <c r="RY114" s="11">
        <v>0</v>
      </c>
      <c r="RZ114" s="11">
        <v>0</v>
      </c>
      <c r="SA114" s="11">
        <v>0</v>
      </c>
      <c r="SB114" s="11">
        <v>0</v>
      </c>
      <c r="SC114" s="11">
        <v>0</v>
      </c>
      <c r="SD114" s="11">
        <v>0</v>
      </c>
      <c r="SE114" s="11">
        <v>0</v>
      </c>
      <c r="SF114" s="11">
        <v>0</v>
      </c>
      <c r="SG114" s="11">
        <v>0</v>
      </c>
      <c r="SH114" s="11">
        <v>0</v>
      </c>
      <c r="SI114" s="11">
        <v>0</v>
      </c>
      <c r="SJ114" s="27">
        <f t="shared" si="86"/>
        <v>0</v>
      </c>
      <c r="SK114" s="11">
        <v>341</v>
      </c>
      <c r="SL114" s="11">
        <v>306</v>
      </c>
      <c r="SM114" s="11">
        <v>328</v>
      </c>
      <c r="SN114" s="11">
        <v>314</v>
      </c>
      <c r="SO114" s="11">
        <v>234</v>
      </c>
      <c r="SP114" s="11">
        <v>346</v>
      </c>
      <c r="SQ114" s="11">
        <v>287</v>
      </c>
      <c r="SR114" s="11">
        <v>365</v>
      </c>
      <c r="SS114" s="11">
        <v>223</v>
      </c>
      <c r="ST114" s="11">
        <v>346</v>
      </c>
      <c r="SU114" s="11">
        <v>320</v>
      </c>
      <c r="SV114" s="11">
        <v>358</v>
      </c>
      <c r="SW114" s="27">
        <f t="shared" si="87"/>
        <v>3768</v>
      </c>
      <c r="SX114" s="11" t="s">
        <v>2753</v>
      </c>
      <c r="SY114" s="11">
        <v>1713</v>
      </c>
      <c r="SZ114" s="11">
        <v>1653</v>
      </c>
      <c r="TA114" s="11">
        <v>1639</v>
      </c>
      <c r="TB114" s="11">
        <v>1736</v>
      </c>
      <c r="TC114" s="11">
        <v>1741</v>
      </c>
      <c r="TD114" s="11">
        <v>1665</v>
      </c>
      <c r="TE114" s="11">
        <v>1772</v>
      </c>
      <c r="TF114" s="11">
        <v>1614</v>
      </c>
      <c r="TG114" s="11">
        <v>1137</v>
      </c>
      <c r="TH114" s="11">
        <v>1711</v>
      </c>
      <c r="TI114" s="11">
        <v>1821</v>
      </c>
      <c r="TJ114" s="11">
        <v>2029</v>
      </c>
      <c r="TK114" s="27">
        <f t="shared" si="88"/>
        <v>20231</v>
      </c>
      <c r="TL114" s="11">
        <v>0</v>
      </c>
      <c r="TM114" s="11">
        <v>0</v>
      </c>
      <c r="TN114" s="11">
        <v>0</v>
      </c>
      <c r="TO114" s="11">
        <v>0</v>
      </c>
      <c r="TP114" s="11">
        <v>0</v>
      </c>
      <c r="TQ114" s="11">
        <v>0</v>
      </c>
      <c r="TR114" s="11">
        <v>0</v>
      </c>
      <c r="TS114" s="11">
        <v>0</v>
      </c>
      <c r="TT114" s="11">
        <v>0</v>
      </c>
      <c r="TU114" s="11">
        <v>0</v>
      </c>
      <c r="TV114" s="11">
        <v>0</v>
      </c>
      <c r="TW114" s="11">
        <v>0</v>
      </c>
      <c r="TX114" s="27">
        <f t="shared" si="89"/>
        <v>0</v>
      </c>
      <c r="TY114" s="11">
        <v>90</v>
      </c>
      <c r="TZ114" s="11">
        <v>0</v>
      </c>
      <c r="UA114" s="11">
        <v>12</v>
      </c>
    </row>
    <row r="115" spans="1:547" ht="16" customHeight="1" x14ac:dyDescent="0.35">
      <c r="A115" s="11" t="s">
        <v>2754</v>
      </c>
      <c r="B115" s="11">
        <v>19253</v>
      </c>
      <c r="C115" s="11">
        <v>6824</v>
      </c>
      <c r="D115" s="11">
        <v>11198</v>
      </c>
      <c r="E115" s="11">
        <v>1231</v>
      </c>
      <c r="F115" s="11"/>
      <c r="G115" s="11"/>
      <c r="H115" s="11"/>
      <c r="I115" s="11"/>
      <c r="J115" s="11"/>
      <c r="K115" s="11"/>
      <c r="L115" s="11"/>
      <c r="M115" s="11"/>
      <c r="N115" s="11"/>
      <c r="O115" s="11"/>
      <c r="P115" s="11" t="s">
        <v>2863</v>
      </c>
      <c r="Q115" s="11"/>
      <c r="R115" s="11"/>
      <c r="S115" s="26">
        <f t="shared" si="45"/>
        <v>0</v>
      </c>
      <c r="T115" s="11">
        <v>118</v>
      </c>
      <c r="U115" s="11">
        <v>118</v>
      </c>
      <c r="V115" s="11">
        <v>118</v>
      </c>
      <c r="W115" s="11">
        <v>118</v>
      </c>
      <c r="X115" s="11">
        <v>118</v>
      </c>
      <c r="Y115" s="11">
        <v>118</v>
      </c>
      <c r="Z115" s="11">
        <v>118</v>
      </c>
      <c r="AA115" s="11">
        <v>118</v>
      </c>
      <c r="AB115" s="11">
        <v>118</v>
      </c>
      <c r="AC115" s="11">
        <v>118</v>
      </c>
      <c r="AD115" s="11">
        <v>118</v>
      </c>
      <c r="AE115" s="11">
        <v>120</v>
      </c>
      <c r="AF115" s="26">
        <f t="shared" si="46"/>
        <v>1418</v>
      </c>
      <c r="AG115" s="11">
        <v>74</v>
      </c>
      <c r="AH115" s="11">
        <v>74</v>
      </c>
      <c r="AI115" s="11">
        <v>74</v>
      </c>
      <c r="AJ115" s="11">
        <v>74</v>
      </c>
      <c r="AK115" s="11">
        <v>74</v>
      </c>
      <c r="AL115" s="11">
        <v>74</v>
      </c>
      <c r="AM115" s="11">
        <v>74</v>
      </c>
      <c r="AN115" s="11">
        <v>74</v>
      </c>
      <c r="AO115" s="11">
        <v>74</v>
      </c>
      <c r="AP115" s="11">
        <v>74</v>
      </c>
      <c r="AQ115" s="11">
        <v>74</v>
      </c>
      <c r="AR115" s="11">
        <v>71</v>
      </c>
      <c r="AS115" s="26">
        <f t="shared" si="47"/>
        <v>885</v>
      </c>
      <c r="AT115" s="11">
        <v>0</v>
      </c>
      <c r="AU115" s="11">
        <v>0</v>
      </c>
      <c r="AV115" s="11">
        <v>0</v>
      </c>
      <c r="AW115" s="11">
        <v>0</v>
      </c>
      <c r="AX115" s="11">
        <v>0</v>
      </c>
      <c r="AY115" s="11">
        <v>0</v>
      </c>
      <c r="AZ115" s="11">
        <v>0</v>
      </c>
      <c r="BA115" s="11">
        <v>0</v>
      </c>
      <c r="BB115" s="11">
        <v>0</v>
      </c>
      <c r="BC115" s="11">
        <v>0</v>
      </c>
      <c r="BD115" s="11">
        <v>0</v>
      </c>
      <c r="BE115" s="11">
        <v>0</v>
      </c>
      <c r="BF115" s="26">
        <f t="shared" si="48"/>
        <v>0</v>
      </c>
      <c r="BG115" s="11">
        <v>0</v>
      </c>
      <c r="BH115" s="11">
        <v>0</v>
      </c>
      <c r="BI115" s="11">
        <v>0</v>
      </c>
      <c r="BJ115" s="11">
        <v>0</v>
      </c>
      <c r="BK115" s="11">
        <v>0</v>
      </c>
      <c r="BL115" s="11">
        <v>0</v>
      </c>
      <c r="BM115" s="11">
        <v>0</v>
      </c>
      <c r="BN115" s="11">
        <v>0</v>
      </c>
      <c r="BO115" s="11">
        <v>0</v>
      </c>
      <c r="BP115" s="11">
        <v>0</v>
      </c>
      <c r="BQ115" s="11">
        <v>0</v>
      </c>
      <c r="BR115" s="11">
        <v>0</v>
      </c>
      <c r="BS115" s="26">
        <f t="shared" si="49"/>
        <v>0</v>
      </c>
      <c r="BT115" s="11">
        <v>0</v>
      </c>
      <c r="BU115" s="11">
        <v>0</v>
      </c>
      <c r="BV115" s="11">
        <v>0</v>
      </c>
      <c r="BW115" s="11">
        <v>0</v>
      </c>
      <c r="BX115" s="11">
        <v>0</v>
      </c>
      <c r="BY115" s="11">
        <v>0</v>
      </c>
      <c r="BZ115" s="11">
        <v>0</v>
      </c>
      <c r="CA115" s="11">
        <v>0</v>
      </c>
      <c r="CB115" s="11">
        <v>0</v>
      </c>
      <c r="CC115" s="11">
        <v>0</v>
      </c>
      <c r="CD115" s="11">
        <v>0</v>
      </c>
      <c r="CE115" s="11">
        <v>0</v>
      </c>
      <c r="CF115" s="26">
        <f t="shared" si="50"/>
        <v>0</v>
      </c>
      <c r="CG115" s="11">
        <v>0</v>
      </c>
      <c r="CH115" s="11">
        <v>0</v>
      </c>
      <c r="CI115" s="11">
        <v>0</v>
      </c>
      <c r="CJ115" s="11">
        <v>0</v>
      </c>
      <c r="CK115" s="11">
        <v>0</v>
      </c>
      <c r="CL115" s="11">
        <v>0</v>
      </c>
      <c r="CM115" s="11">
        <v>0</v>
      </c>
      <c r="CN115" s="11">
        <v>0</v>
      </c>
      <c r="CO115" s="11">
        <v>0</v>
      </c>
      <c r="CP115" s="11">
        <v>0</v>
      </c>
      <c r="CQ115" s="11">
        <v>0</v>
      </c>
      <c r="CR115" s="11">
        <v>0</v>
      </c>
      <c r="CS115" s="26">
        <f t="shared" si="51"/>
        <v>0</v>
      </c>
      <c r="CT115" s="11">
        <v>0</v>
      </c>
      <c r="CU115" s="11">
        <v>0</v>
      </c>
      <c r="CV115" s="11">
        <v>0</v>
      </c>
      <c r="CW115" s="11">
        <v>0</v>
      </c>
      <c r="CX115" s="11">
        <v>0</v>
      </c>
      <c r="CY115" s="11">
        <v>0</v>
      </c>
      <c r="CZ115" s="11">
        <v>0</v>
      </c>
      <c r="DA115" s="11">
        <v>0</v>
      </c>
      <c r="DB115" s="11">
        <v>0</v>
      </c>
      <c r="DC115" s="11">
        <v>0</v>
      </c>
      <c r="DD115" s="11">
        <v>0</v>
      </c>
      <c r="DE115" s="11">
        <v>0</v>
      </c>
      <c r="DF115" s="26">
        <f t="shared" si="52"/>
        <v>0</v>
      </c>
      <c r="DG115" s="11">
        <v>0</v>
      </c>
      <c r="DH115" s="11">
        <v>0</v>
      </c>
      <c r="DI115" s="11">
        <v>0</v>
      </c>
      <c r="DJ115" s="11">
        <v>0</v>
      </c>
      <c r="DK115" s="11">
        <v>0</v>
      </c>
      <c r="DL115" s="11">
        <v>0</v>
      </c>
      <c r="DM115" s="11">
        <v>0</v>
      </c>
      <c r="DN115" s="11">
        <v>0</v>
      </c>
      <c r="DO115" s="11">
        <v>0</v>
      </c>
      <c r="DP115" s="11">
        <v>0</v>
      </c>
      <c r="DQ115" s="11">
        <v>0</v>
      </c>
      <c r="DR115" s="11">
        <v>0</v>
      </c>
      <c r="DS115" s="26">
        <f t="shared" si="53"/>
        <v>0</v>
      </c>
      <c r="DT115" s="11">
        <v>0</v>
      </c>
      <c r="DU115" s="11">
        <v>0</v>
      </c>
      <c r="DV115" s="11">
        <v>0</v>
      </c>
      <c r="DW115" s="11">
        <v>0</v>
      </c>
      <c r="DX115" s="11">
        <v>0</v>
      </c>
      <c r="DY115" s="11">
        <v>0</v>
      </c>
      <c r="DZ115" s="11">
        <v>0</v>
      </c>
      <c r="EA115" s="11">
        <v>0</v>
      </c>
      <c r="EB115" s="11">
        <v>0</v>
      </c>
      <c r="EC115" s="11">
        <v>0</v>
      </c>
      <c r="ED115" s="11">
        <v>0</v>
      </c>
      <c r="EE115" s="11">
        <v>0</v>
      </c>
      <c r="EF115" s="26">
        <f t="shared" si="54"/>
        <v>0</v>
      </c>
      <c r="EG115" s="9">
        <f t="shared" si="55"/>
        <v>2303</v>
      </c>
      <c r="EH115" s="9">
        <f t="shared" si="56"/>
        <v>0</v>
      </c>
      <c r="EI115" s="11">
        <v>0</v>
      </c>
      <c r="EJ115" s="11">
        <v>0</v>
      </c>
      <c r="EK115" s="11">
        <v>0</v>
      </c>
      <c r="EL115" s="11">
        <v>0</v>
      </c>
      <c r="EM115" s="11">
        <v>0</v>
      </c>
      <c r="EN115" s="11">
        <v>0</v>
      </c>
      <c r="EO115" s="11">
        <v>0</v>
      </c>
      <c r="EP115" s="11">
        <v>0</v>
      </c>
      <c r="EQ115" s="11">
        <v>0</v>
      </c>
      <c r="ER115" s="11">
        <v>0</v>
      </c>
      <c r="ES115" s="11">
        <v>0</v>
      </c>
      <c r="ET115" s="11">
        <v>0</v>
      </c>
      <c r="EU115" s="26">
        <f t="shared" si="57"/>
        <v>0</v>
      </c>
      <c r="EV115" s="11">
        <v>557</v>
      </c>
      <c r="EW115" s="11">
        <v>557</v>
      </c>
      <c r="EX115" s="11">
        <v>557</v>
      </c>
      <c r="EY115" s="11">
        <v>557</v>
      </c>
      <c r="EZ115" s="11">
        <v>557</v>
      </c>
      <c r="FA115" s="11">
        <v>557</v>
      </c>
      <c r="FB115" s="11">
        <v>557</v>
      </c>
      <c r="FC115" s="11">
        <v>557</v>
      </c>
      <c r="FD115" s="11">
        <v>557</v>
      </c>
      <c r="FE115" s="11">
        <v>557</v>
      </c>
      <c r="FF115" s="11">
        <v>557</v>
      </c>
      <c r="FG115" s="11">
        <v>563</v>
      </c>
      <c r="FH115" s="26">
        <f t="shared" si="58"/>
        <v>6690</v>
      </c>
      <c r="FI115" s="11">
        <v>851</v>
      </c>
      <c r="FJ115" s="11">
        <v>851</v>
      </c>
      <c r="FK115" s="11">
        <v>851</v>
      </c>
      <c r="FL115" s="11">
        <v>851</v>
      </c>
      <c r="FM115" s="11">
        <v>851</v>
      </c>
      <c r="FN115" s="11">
        <v>851</v>
      </c>
      <c r="FO115" s="11">
        <v>851</v>
      </c>
      <c r="FP115" s="11">
        <v>851</v>
      </c>
      <c r="FQ115" s="11">
        <v>851</v>
      </c>
      <c r="FR115" s="11">
        <v>851</v>
      </c>
      <c r="FS115" s="11">
        <v>851</v>
      </c>
      <c r="FT115" s="11">
        <v>851</v>
      </c>
      <c r="FU115" s="26">
        <f t="shared" si="59"/>
        <v>10212</v>
      </c>
      <c r="FV115" s="11">
        <v>0</v>
      </c>
      <c r="FW115" s="11">
        <v>0</v>
      </c>
      <c r="FX115" s="11">
        <v>0</v>
      </c>
      <c r="FY115" s="11">
        <v>0</v>
      </c>
      <c r="FZ115" s="11">
        <v>0</v>
      </c>
      <c r="GA115" s="11">
        <v>0</v>
      </c>
      <c r="GB115" s="11">
        <v>0</v>
      </c>
      <c r="GC115" s="11">
        <v>0</v>
      </c>
      <c r="GD115" s="11">
        <v>0</v>
      </c>
      <c r="GE115" s="11">
        <v>0</v>
      </c>
      <c r="GF115" s="11">
        <v>0</v>
      </c>
      <c r="GG115" s="11">
        <v>0</v>
      </c>
      <c r="GH115" s="26">
        <f t="shared" si="60"/>
        <v>0</v>
      </c>
      <c r="GI115" s="11">
        <v>0</v>
      </c>
      <c r="GJ115" s="11">
        <v>0</v>
      </c>
      <c r="GK115" s="11">
        <v>0</v>
      </c>
      <c r="GL115" s="11">
        <v>0</v>
      </c>
      <c r="GM115" s="11">
        <v>0</v>
      </c>
      <c r="GN115" s="11">
        <v>0</v>
      </c>
      <c r="GO115" s="11">
        <v>0</v>
      </c>
      <c r="GP115" s="11">
        <v>0</v>
      </c>
      <c r="GQ115" s="11">
        <v>0</v>
      </c>
      <c r="GR115" s="11">
        <v>0</v>
      </c>
      <c r="GS115" s="11">
        <v>0</v>
      </c>
      <c r="GT115" s="11">
        <v>0</v>
      </c>
      <c r="GU115" s="26">
        <f t="shared" si="61"/>
        <v>0</v>
      </c>
      <c r="GV115" s="11">
        <v>0</v>
      </c>
      <c r="GW115" s="11">
        <v>0</v>
      </c>
      <c r="GX115" s="11">
        <v>0</v>
      </c>
      <c r="GY115" s="11">
        <v>0</v>
      </c>
      <c r="GZ115" s="11">
        <v>0</v>
      </c>
      <c r="HA115" s="11">
        <v>0</v>
      </c>
      <c r="HB115" s="11">
        <v>0</v>
      </c>
      <c r="HC115" s="11">
        <v>0</v>
      </c>
      <c r="HD115" s="11">
        <v>0</v>
      </c>
      <c r="HE115" s="11">
        <v>0</v>
      </c>
      <c r="HF115" s="11">
        <v>0</v>
      </c>
      <c r="HG115" s="11">
        <v>0</v>
      </c>
      <c r="HH115" s="26">
        <f t="shared" si="62"/>
        <v>0</v>
      </c>
      <c r="HI115" s="11">
        <v>0</v>
      </c>
      <c r="HJ115" s="11">
        <v>0</v>
      </c>
      <c r="HK115" s="11">
        <v>0</v>
      </c>
      <c r="HL115" s="11">
        <v>0</v>
      </c>
      <c r="HM115" s="11">
        <v>0</v>
      </c>
      <c r="HN115" s="11">
        <v>0</v>
      </c>
      <c r="HO115" s="11">
        <v>0</v>
      </c>
      <c r="HP115" s="11">
        <v>0</v>
      </c>
      <c r="HQ115" s="11">
        <v>0</v>
      </c>
      <c r="HR115" s="11">
        <v>0</v>
      </c>
      <c r="HS115" s="11">
        <v>0</v>
      </c>
      <c r="HT115" s="11">
        <v>0</v>
      </c>
      <c r="HU115" s="26">
        <f t="shared" si="63"/>
        <v>0</v>
      </c>
      <c r="HV115" s="11">
        <v>0</v>
      </c>
      <c r="HW115" s="11">
        <v>0</v>
      </c>
      <c r="HX115" s="11">
        <v>0</v>
      </c>
      <c r="HY115" s="11">
        <v>0</v>
      </c>
      <c r="HZ115" s="11">
        <v>0</v>
      </c>
      <c r="IA115" s="11">
        <v>0</v>
      </c>
      <c r="IB115" s="11">
        <v>0</v>
      </c>
      <c r="IC115" s="11">
        <v>0</v>
      </c>
      <c r="ID115" s="11">
        <v>0</v>
      </c>
      <c r="IE115" s="11">
        <v>0</v>
      </c>
      <c r="IF115" s="11">
        <v>0</v>
      </c>
      <c r="IG115" s="11">
        <v>0</v>
      </c>
      <c r="IH115" s="26">
        <f t="shared" si="64"/>
        <v>0</v>
      </c>
      <c r="II115" s="9">
        <f t="shared" si="65"/>
        <v>16902</v>
      </c>
      <c r="IJ115" s="9">
        <f t="shared" si="66"/>
        <v>0</v>
      </c>
      <c r="IK115" s="11">
        <v>38211</v>
      </c>
      <c r="IL115" s="11">
        <v>38211</v>
      </c>
      <c r="IM115" s="11">
        <v>38211</v>
      </c>
      <c r="IN115" s="11">
        <v>38211</v>
      </c>
      <c r="IO115" s="11">
        <v>38211</v>
      </c>
      <c r="IP115" s="11">
        <v>38211</v>
      </c>
      <c r="IQ115" s="11">
        <v>38211</v>
      </c>
      <c r="IR115" s="11">
        <v>38211</v>
      </c>
      <c r="IS115" s="11">
        <v>38211</v>
      </c>
      <c r="IT115" s="11">
        <v>38211</v>
      </c>
      <c r="IU115" s="11">
        <v>38211</v>
      </c>
      <c r="IV115" s="11">
        <v>38210</v>
      </c>
      <c r="IW115" s="27">
        <f t="shared" si="67"/>
        <v>458531</v>
      </c>
      <c r="IX115" s="11">
        <v>18706</v>
      </c>
      <c r="IY115" s="11">
        <v>18706</v>
      </c>
      <c r="IZ115" s="11">
        <v>18706</v>
      </c>
      <c r="JA115" s="11">
        <v>18706</v>
      </c>
      <c r="JB115" s="11">
        <v>18706</v>
      </c>
      <c r="JC115" s="11">
        <v>18706</v>
      </c>
      <c r="JD115" s="11">
        <v>18706</v>
      </c>
      <c r="JE115" s="11">
        <v>18706</v>
      </c>
      <c r="JF115" s="11">
        <v>18706</v>
      </c>
      <c r="JG115" s="11">
        <v>18706</v>
      </c>
      <c r="JH115" s="11">
        <v>18706</v>
      </c>
      <c r="JI115" s="11">
        <v>18704</v>
      </c>
      <c r="JJ115" s="27">
        <f t="shared" si="68"/>
        <v>224470</v>
      </c>
      <c r="JK115" s="11">
        <v>19505</v>
      </c>
      <c r="JL115" s="11">
        <v>19505</v>
      </c>
      <c r="JM115" s="11">
        <v>19505</v>
      </c>
      <c r="JN115" s="11">
        <v>19505</v>
      </c>
      <c r="JO115" s="11">
        <v>19505</v>
      </c>
      <c r="JP115" s="11">
        <v>19505</v>
      </c>
      <c r="JQ115" s="11">
        <v>19505</v>
      </c>
      <c r="JR115" s="11">
        <v>19505</v>
      </c>
      <c r="JS115" s="11">
        <v>19505</v>
      </c>
      <c r="JT115" s="11">
        <v>19505</v>
      </c>
      <c r="JU115" s="11">
        <v>19505</v>
      </c>
      <c r="JV115" s="11">
        <v>19506</v>
      </c>
      <c r="JW115" s="27">
        <f t="shared" si="69"/>
        <v>234061</v>
      </c>
      <c r="JX115" s="11">
        <v>0</v>
      </c>
      <c r="JY115" s="11">
        <v>0</v>
      </c>
      <c r="JZ115" s="11">
        <v>0</v>
      </c>
      <c r="KA115" s="11">
        <v>0</v>
      </c>
      <c r="KB115" s="11">
        <v>0</v>
      </c>
      <c r="KC115" s="11">
        <v>0</v>
      </c>
      <c r="KD115" s="11">
        <v>0</v>
      </c>
      <c r="KE115" s="11">
        <v>0</v>
      </c>
      <c r="KF115" s="11">
        <v>0</v>
      </c>
      <c r="KG115" s="11">
        <v>0</v>
      </c>
      <c r="KH115" s="11">
        <v>0</v>
      </c>
      <c r="KI115" s="11">
        <v>0</v>
      </c>
      <c r="KJ115" s="27">
        <f t="shared" si="70"/>
        <v>0</v>
      </c>
      <c r="KK115" s="11">
        <v>545</v>
      </c>
      <c r="KL115" s="11">
        <v>545</v>
      </c>
      <c r="KM115" s="11">
        <v>545</v>
      </c>
      <c r="KN115" s="11">
        <v>545</v>
      </c>
      <c r="KO115" s="11">
        <v>545</v>
      </c>
      <c r="KP115" s="11">
        <v>545</v>
      </c>
      <c r="KQ115" s="11">
        <v>545</v>
      </c>
      <c r="KR115" s="11">
        <v>545</v>
      </c>
      <c r="KS115" s="11">
        <v>545</v>
      </c>
      <c r="KT115" s="11">
        <v>545</v>
      </c>
      <c r="KU115" s="11">
        <v>545</v>
      </c>
      <c r="KV115" s="11">
        <v>545</v>
      </c>
      <c r="KW115" s="27">
        <f t="shared" si="71"/>
        <v>6540</v>
      </c>
      <c r="KX115" s="11">
        <v>529</v>
      </c>
      <c r="KY115" s="11">
        <v>529</v>
      </c>
      <c r="KZ115" s="11">
        <v>529</v>
      </c>
      <c r="LA115" s="11">
        <v>529</v>
      </c>
      <c r="LB115" s="11">
        <v>529</v>
      </c>
      <c r="LC115" s="11">
        <v>529</v>
      </c>
      <c r="LD115" s="11">
        <v>529</v>
      </c>
      <c r="LE115" s="11">
        <v>529</v>
      </c>
      <c r="LF115" s="11">
        <v>529</v>
      </c>
      <c r="LG115" s="11">
        <v>529</v>
      </c>
      <c r="LH115" s="11">
        <v>529</v>
      </c>
      <c r="LI115" s="11">
        <v>534</v>
      </c>
      <c r="LJ115" s="27">
        <f t="shared" si="72"/>
        <v>6353</v>
      </c>
      <c r="LK115" s="11">
        <v>15</v>
      </c>
      <c r="LL115" s="11">
        <v>15</v>
      </c>
      <c r="LM115" s="11">
        <v>15</v>
      </c>
      <c r="LN115" s="11">
        <v>15</v>
      </c>
      <c r="LO115" s="11">
        <v>15</v>
      </c>
      <c r="LP115" s="11">
        <v>15</v>
      </c>
      <c r="LQ115" s="11">
        <v>15</v>
      </c>
      <c r="LR115" s="11">
        <v>15</v>
      </c>
      <c r="LS115" s="11">
        <v>15</v>
      </c>
      <c r="LT115" s="11">
        <v>15</v>
      </c>
      <c r="LU115" s="11">
        <v>15</v>
      </c>
      <c r="LV115" s="11">
        <v>22</v>
      </c>
      <c r="LW115" s="27">
        <f t="shared" si="73"/>
        <v>187</v>
      </c>
      <c r="LX115" s="11">
        <v>0</v>
      </c>
      <c r="LY115" s="11">
        <v>0</v>
      </c>
      <c r="LZ115" s="11">
        <v>0</v>
      </c>
      <c r="MA115" s="11">
        <v>0</v>
      </c>
      <c r="MB115" s="11">
        <v>0</v>
      </c>
      <c r="MC115" s="11">
        <v>0</v>
      </c>
      <c r="MD115" s="11">
        <v>0</v>
      </c>
      <c r="ME115" s="11">
        <v>0</v>
      </c>
      <c r="MF115" s="11">
        <v>0</v>
      </c>
      <c r="MG115" s="11">
        <v>0</v>
      </c>
      <c r="MH115" s="11">
        <v>0</v>
      </c>
      <c r="MI115" s="11">
        <v>0</v>
      </c>
      <c r="MJ115" s="27">
        <f t="shared" si="74"/>
        <v>0</v>
      </c>
      <c r="MK115" s="11">
        <v>619</v>
      </c>
      <c r="ML115" s="11">
        <v>619</v>
      </c>
      <c r="MM115" s="11">
        <v>619</v>
      </c>
      <c r="MN115" s="11">
        <v>619</v>
      </c>
      <c r="MO115" s="11">
        <v>619</v>
      </c>
      <c r="MP115" s="11">
        <v>619</v>
      </c>
      <c r="MQ115" s="11">
        <v>619</v>
      </c>
      <c r="MR115" s="11">
        <v>619</v>
      </c>
      <c r="MS115" s="11">
        <v>619</v>
      </c>
      <c r="MT115" s="11">
        <v>619</v>
      </c>
      <c r="MU115" s="11">
        <v>619</v>
      </c>
      <c r="MV115" s="11">
        <v>621</v>
      </c>
      <c r="MW115" s="27">
        <f t="shared" si="75"/>
        <v>7430</v>
      </c>
      <c r="MX115" s="11">
        <v>0</v>
      </c>
      <c r="MY115" s="11">
        <v>0</v>
      </c>
      <c r="MZ115" s="11">
        <v>0</v>
      </c>
      <c r="NA115" s="11">
        <v>0</v>
      </c>
      <c r="NB115" s="11">
        <v>0</v>
      </c>
      <c r="NC115" s="11">
        <v>0</v>
      </c>
      <c r="ND115" s="11">
        <v>0</v>
      </c>
      <c r="NE115" s="11">
        <v>0</v>
      </c>
      <c r="NF115" s="11">
        <v>0</v>
      </c>
      <c r="NG115" s="11">
        <v>0</v>
      </c>
      <c r="NH115" s="11">
        <v>0</v>
      </c>
      <c r="NI115" s="11">
        <v>0</v>
      </c>
      <c r="NJ115" s="27">
        <f t="shared" si="76"/>
        <v>0</v>
      </c>
      <c r="NK115" s="11">
        <v>0</v>
      </c>
      <c r="NL115" s="11">
        <v>0</v>
      </c>
      <c r="NM115" s="11">
        <v>0</v>
      </c>
      <c r="NN115" s="11">
        <v>0</v>
      </c>
      <c r="NO115" s="11">
        <v>0</v>
      </c>
      <c r="NP115" s="11">
        <v>0</v>
      </c>
      <c r="NQ115" s="11">
        <v>0</v>
      </c>
      <c r="NR115" s="11">
        <v>0</v>
      </c>
      <c r="NS115" s="11">
        <v>0</v>
      </c>
      <c r="NT115" s="11">
        <v>0</v>
      </c>
      <c r="NU115" s="11">
        <v>0</v>
      </c>
      <c r="NV115" s="11">
        <v>0</v>
      </c>
      <c r="NW115" s="27">
        <f t="shared" si="77"/>
        <v>0</v>
      </c>
      <c r="NX115" s="11">
        <v>0</v>
      </c>
      <c r="NY115" s="11">
        <v>0</v>
      </c>
      <c r="NZ115" s="11">
        <v>0</v>
      </c>
      <c r="OA115" s="11">
        <v>0</v>
      </c>
      <c r="OB115" s="11">
        <v>0</v>
      </c>
      <c r="OC115" s="11">
        <v>0</v>
      </c>
      <c r="OD115" s="11">
        <v>0</v>
      </c>
      <c r="OE115" s="11">
        <v>0</v>
      </c>
      <c r="OF115" s="11">
        <v>0</v>
      </c>
      <c r="OG115" s="11">
        <v>0</v>
      </c>
      <c r="OH115" s="11">
        <v>0</v>
      </c>
      <c r="OI115" s="11">
        <v>0</v>
      </c>
      <c r="OJ115" s="27">
        <f t="shared" si="78"/>
        <v>0</v>
      </c>
      <c r="OK115" s="11">
        <v>1878</v>
      </c>
      <c r="OL115" s="11">
        <v>1878</v>
      </c>
      <c r="OM115" s="11">
        <v>1878</v>
      </c>
      <c r="ON115" s="11">
        <v>1878</v>
      </c>
      <c r="OO115" s="11">
        <v>1878</v>
      </c>
      <c r="OP115" s="11">
        <v>1878</v>
      </c>
      <c r="OQ115" s="11">
        <v>1878</v>
      </c>
      <c r="OR115" s="11">
        <v>1878</v>
      </c>
      <c r="OS115" s="11">
        <v>1878</v>
      </c>
      <c r="OT115" s="11">
        <v>1878</v>
      </c>
      <c r="OU115" s="11">
        <v>1878</v>
      </c>
      <c r="OV115" s="11">
        <v>1876</v>
      </c>
      <c r="OW115" s="27">
        <f t="shared" si="79"/>
        <v>22534</v>
      </c>
      <c r="OX115" s="11">
        <v>0</v>
      </c>
      <c r="OY115" s="11">
        <v>0</v>
      </c>
      <c r="OZ115" s="11">
        <v>0</v>
      </c>
      <c r="PA115" s="11">
        <v>0</v>
      </c>
      <c r="PB115" s="11">
        <v>0</v>
      </c>
      <c r="PC115" s="11">
        <v>0</v>
      </c>
      <c r="PD115" s="11">
        <v>0</v>
      </c>
      <c r="PE115" s="11">
        <v>0</v>
      </c>
      <c r="PF115" s="11">
        <v>0</v>
      </c>
      <c r="PG115" s="11">
        <v>0</v>
      </c>
      <c r="PH115" s="11">
        <v>0</v>
      </c>
      <c r="PI115" s="11">
        <v>0</v>
      </c>
      <c r="PJ115" s="27">
        <f t="shared" si="80"/>
        <v>0</v>
      </c>
      <c r="PK115" s="11">
        <v>0</v>
      </c>
      <c r="PL115" s="11">
        <v>0</v>
      </c>
      <c r="PM115" s="11">
        <v>0</v>
      </c>
      <c r="PN115" s="11">
        <v>0</v>
      </c>
      <c r="PO115" s="11">
        <v>0</v>
      </c>
      <c r="PP115" s="11">
        <v>0</v>
      </c>
      <c r="PQ115" s="11">
        <v>0</v>
      </c>
      <c r="PR115" s="11">
        <v>0</v>
      </c>
      <c r="PS115" s="11">
        <v>0</v>
      </c>
      <c r="PT115" s="11">
        <v>0</v>
      </c>
      <c r="PU115" s="11">
        <v>0</v>
      </c>
      <c r="PV115" s="11">
        <v>0</v>
      </c>
      <c r="PW115" s="27">
        <f t="shared" si="81"/>
        <v>0</v>
      </c>
      <c r="PX115" s="11">
        <v>0</v>
      </c>
      <c r="PY115" s="11">
        <v>0</v>
      </c>
      <c r="PZ115" s="11">
        <v>0</v>
      </c>
      <c r="QA115" s="11">
        <v>0</v>
      </c>
      <c r="QB115" s="11">
        <v>0</v>
      </c>
      <c r="QC115" s="11">
        <v>0</v>
      </c>
      <c r="QD115" s="11">
        <v>0</v>
      </c>
      <c r="QE115" s="11">
        <v>0</v>
      </c>
      <c r="QF115" s="11">
        <v>0</v>
      </c>
      <c r="QG115" s="11">
        <v>0</v>
      </c>
      <c r="QH115" s="11">
        <v>0</v>
      </c>
      <c r="QI115" s="11">
        <v>0</v>
      </c>
      <c r="QJ115" s="27">
        <f t="shared" si="82"/>
        <v>0</v>
      </c>
      <c r="QK115" s="11">
        <v>33196</v>
      </c>
      <c r="QL115" s="11">
        <v>33196</v>
      </c>
      <c r="QM115" s="11">
        <v>33196</v>
      </c>
      <c r="QN115" s="11">
        <v>33196</v>
      </c>
      <c r="QO115" s="11">
        <v>33196</v>
      </c>
      <c r="QP115" s="11">
        <v>33196</v>
      </c>
      <c r="QQ115" s="11">
        <v>33196</v>
      </c>
      <c r="QR115" s="11">
        <v>33196</v>
      </c>
      <c r="QS115" s="11">
        <v>33196</v>
      </c>
      <c r="QT115" s="11">
        <v>33196</v>
      </c>
      <c r="QU115" s="11">
        <v>33196</v>
      </c>
      <c r="QV115" s="11">
        <v>33194</v>
      </c>
      <c r="QW115" s="27">
        <f t="shared" si="83"/>
        <v>398350</v>
      </c>
      <c r="QX115" s="11">
        <v>0</v>
      </c>
      <c r="QY115" s="11">
        <v>0</v>
      </c>
      <c r="QZ115" s="11">
        <v>0</v>
      </c>
      <c r="RA115" s="11">
        <v>0</v>
      </c>
      <c r="RB115" s="11">
        <v>0</v>
      </c>
      <c r="RC115" s="11">
        <v>0</v>
      </c>
      <c r="RD115" s="11">
        <v>0</v>
      </c>
      <c r="RE115" s="11">
        <v>0</v>
      </c>
      <c r="RF115" s="11">
        <v>0</v>
      </c>
      <c r="RG115" s="11">
        <v>0</v>
      </c>
      <c r="RH115" s="11">
        <v>0</v>
      </c>
      <c r="RI115" s="11">
        <v>0</v>
      </c>
      <c r="RJ115" s="27">
        <f t="shared" si="84"/>
        <v>0</v>
      </c>
      <c r="RK115" s="11">
        <v>0</v>
      </c>
      <c r="RL115" s="11">
        <v>0</v>
      </c>
      <c r="RM115" s="11">
        <v>0</v>
      </c>
      <c r="RN115" s="11">
        <v>0</v>
      </c>
      <c r="RO115" s="11">
        <v>0</v>
      </c>
      <c r="RP115" s="11">
        <v>0</v>
      </c>
      <c r="RQ115" s="11">
        <v>0</v>
      </c>
      <c r="RR115" s="11">
        <v>0</v>
      </c>
      <c r="RS115" s="11">
        <v>0</v>
      </c>
      <c r="RT115" s="11">
        <v>0</v>
      </c>
      <c r="RU115" s="11">
        <v>0</v>
      </c>
      <c r="RV115" s="11">
        <v>0</v>
      </c>
      <c r="RW115" s="27">
        <f t="shared" si="85"/>
        <v>0</v>
      </c>
      <c r="RX115" s="11">
        <v>0</v>
      </c>
      <c r="RY115" s="11">
        <v>0</v>
      </c>
      <c r="RZ115" s="11">
        <v>0</v>
      </c>
      <c r="SA115" s="11">
        <v>0</v>
      </c>
      <c r="SB115" s="11">
        <v>0</v>
      </c>
      <c r="SC115" s="11">
        <v>0</v>
      </c>
      <c r="SD115" s="11">
        <v>0</v>
      </c>
      <c r="SE115" s="11">
        <v>0</v>
      </c>
      <c r="SF115" s="11">
        <v>0</v>
      </c>
      <c r="SG115" s="11">
        <v>0</v>
      </c>
      <c r="SH115" s="11">
        <v>0</v>
      </c>
      <c r="SI115" s="11">
        <v>0</v>
      </c>
      <c r="SJ115" s="27">
        <f t="shared" si="86"/>
        <v>0</v>
      </c>
      <c r="SK115" s="11">
        <v>1154</v>
      </c>
      <c r="SL115" s="11">
        <v>1154</v>
      </c>
      <c r="SM115" s="11">
        <v>1154</v>
      </c>
      <c r="SN115" s="11">
        <v>1154</v>
      </c>
      <c r="SO115" s="11">
        <v>1154</v>
      </c>
      <c r="SP115" s="11">
        <v>1154</v>
      </c>
      <c r="SQ115" s="11">
        <v>1154</v>
      </c>
      <c r="SR115" s="11">
        <v>1154</v>
      </c>
      <c r="SS115" s="11">
        <v>1154</v>
      </c>
      <c r="ST115" s="11">
        <v>1154</v>
      </c>
      <c r="SU115" s="11">
        <v>1154</v>
      </c>
      <c r="SV115" s="11">
        <v>1153</v>
      </c>
      <c r="SW115" s="27">
        <f t="shared" si="87"/>
        <v>13847</v>
      </c>
      <c r="SX115" s="11" t="s">
        <v>1384</v>
      </c>
      <c r="SY115" s="11">
        <v>3449</v>
      </c>
      <c r="SZ115" s="11">
        <v>3449</v>
      </c>
      <c r="TA115" s="11">
        <v>3449</v>
      </c>
      <c r="TB115" s="11">
        <v>3449</v>
      </c>
      <c r="TC115" s="11">
        <v>3449</v>
      </c>
      <c r="TD115" s="11">
        <v>3449</v>
      </c>
      <c r="TE115" s="11">
        <v>3449</v>
      </c>
      <c r="TF115" s="11">
        <v>3449</v>
      </c>
      <c r="TG115" s="11">
        <v>3449</v>
      </c>
      <c r="TH115" s="11">
        <v>3449</v>
      </c>
      <c r="TI115" s="11">
        <v>3449</v>
      </c>
      <c r="TJ115" s="11">
        <v>3453</v>
      </c>
      <c r="TK115" s="27">
        <f t="shared" si="88"/>
        <v>41392</v>
      </c>
      <c r="TL115" s="11">
        <v>0</v>
      </c>
      <c r="TM115" s="11">
        <v>0</v>
      </c>
      <c r="TN115" s="11">
        <v>0</v>
      </c>
      <c r="TO115" s="11">
        <v>0</v>
      </c>
      <c r="TP115" s="11">
        <v>0</v>
      </c>
      <c r="TQ115" s="11">
        <v>0</v>
      </c>
      <c r="TR115" s="11">
        <v>0</v>
      </c>
      <c r="TS115" s="11">
        <v>0</v>
      </c>
      <c r="TT115" s="11">
        <v>0</v>
      </c>
      <c r="TU115" s="11">
        <v>0</v>
      </c>
      <c r="TV115" s="11">
        <v>0</v>
      </c>
      <c r="TW115" s="11">
        <v>0</v>
      </c>
      <c r="TX115" s="27">
        <f t="shared" si="89"/>
        <v>0</v>
      </c>
      <c r="TY115" s="11">
        <v>140</v>
      </c>
      <c r="TZ115" s="11">
        <v>0</v>
      </c>
      <c r="UA115" s="11">
        <v>0</v>
      </c>
    </row>
    <row r="116" spans="1:547" ht="16" customHeight="1" x14ac:dyDescent="0.35">
      <c r="A116" s="11" t="s">
        <v>1459</v>
      </c>
      <c r="B116" s="11">
        <v>49992</v>
      </c>
      <c r="C116" s="11">
        <v>10960</v>
      </c>
      <c r="D116" s="11">
        <v>36738</v>
      </c>
      <c r="E116" s="11">
        <v>2294</v>
      </c>
      <c r="F116" s="11">
        <v>851</v>
      </c>
      <c r="G116" s="11">
        <v>917</v>
      </c>
      <c r="H116" s="11">
        <v>926</v>
      </c>
      <c r="I116" s="11">
        <v>818</v>
      </c>
      <c r="J116" s="11">
        <v>720</v>
      </c>
      <c r="K116" s="11">
        <v>732</v>
      </c>
      <c r="L116" s="11">
        <v>891</v>
      </c>
      <c r="M116" s="11">
        <v>893</v>
      </c>
      <c r="N116" s="11">
        <v>701</v>
      </c>
      <c r="O116" s="11">
        <v>772</v>
      </c>
      <c r="P116" s="11" t="s">
        <v>2863</v>
      </c>
      <c r="Q116" s="11">
        <v>774</v>
      </c>
      <c r="R116" s="11">
        <v>838</v>
      </c>
      <c r="S116" s="26">
        <f t="shared" si="45"/>
        <v>9833</v>
      </c>
      <c r="T116" s="11">
        <v>0</v>
      </c>
      <c r="U116" s="11">
        <v>0</v>
      </c>
      <c r="V116" s="11">
        <v>0</v>
      </c>
      <c r="W116" s="11">
        <v>0</v>
      </c>
      <c r="X116" s="11">
        <v>0</v>
      </c>
      <c r="Y116" s="11">
        <v>0</v>
      </c>
      <c r="Z116" s="11">
        <v>0</v>
      </c>
      <c r="AA116" s="11">
        <v>0</v>
      </c>
      <c r="AB116" s="11">
        <v>0</v>
      </c>
      <c r="AC116" s="11">
        <v>0</v>
      </c>
      <c r="AD116" s="11">
        <v>0</v>
      </c>
      <c r="AE116" s="11">
        <v>0</v>
      </c>
      <c r="AF116" s="26">
        <f t="shared" si="46"/>
        <v>0</v>
      </c>
      <c r="AG116" s="11">
        <v>0</v>
      </c>
      <c r="AH116" s="11">
        <v>0</v>
      </c>
      <c r="AI116" s="11">
        <v>0</v>
      </c>
      <c r="AJ116" s="11">
        <v>0</v>
      </c>
      <c r="AK116" s="11">
        <v>0</v>
      </c>
      <c r="AL116" s="11">
        <v>0</v>
      </c>
      <c r="AM116" s="11">
        <v>0</v>
      </c>
      <c r="AN116" s="11">
        <v>0</v>
      </c>
      <c r="AO116" s="11">
        <v>0</v>
      </c>
      <c r="AP116" s="11">
        <v>0</v>
      </c>
      <c r="AQ116" s="11">
        <v>0</v>
      </c>
      <c r="AR116" s="11">
        <v>0</v>
      </c>
      <c r="AS116" s="26">
        <f t="shared" si="47"/>
        <v>0</v>
      </c>
      <c r="AT116" s="11">
        <v>0</v>
      </c>
      <c r="AU116" s="11">
        <v>0</v>
      </c>
      <c r="AV116" s="11">
        <v>0</v>
      </c>
      <c r="AW116" s="11">
        <v>0</v>
      </c>
      <c r="AX116" s="11">
        <v>0</v>
      </c>
      <c r="AY116" s="11">
        <v>0</v>
      </c>
      <c r="AZ116" s="11">
        <v>0</v>
      </c>
      <c r="BA116" s="11">
        <v>0</v>
      </c>
      <c r="BB116" s="11">
        <v>0</v>
      </c>
      <c r="BC116" s="11">
        <v>0</v>
      </c>
      <c r="BD116" s="11">
        <v>0</v>
      </c>
      <c r="BE116" s="11">
        <v>0</v>
      </c>
      <c r="BF116" s="26">
        <f t="shared" si="48"/>
        <v>0</v>
      </c>
      <c r="BG116" s="11">
        <v>0</v>
      </c>
      <c r="BH116" s="11">
        <v>0</v>
      </c>
      <c r="BI116" s="11">
        <v>0</v>
      </c>
      <c r="BJ116" s="11">
        <v>0</v>
      </c>
      <c r="BK116" s="11">
        <v>0</v>
      </c>
      <c r="BL116" s="11">
        <v>0</v>
      </c>
      <c r="BM116" s="11">
        <v>0</v>
      </c>
      <c r="BN116" s="11">
        <v>0</v>
      </c>
      <c r="BO116" s="11">
        <v>0</v>
      </c>
      <c r="BP116" s="11">
        <v>0</v>
      </c>
      <c r="BQ116" s="11">
        <v>0</v>
      </c>
      <c r="BR116" s="11">
        <v>0</v>
      </c>
      <c r="BS116" s="26">
        <f t="shared" si="49"/>
        <v>0</v>
      </c>
      <c r="BT116" s="11">
        <v>3</v>
      </c>
      <c r="BU116" s="11">
        <v>0</v>
      </c>
      <c r="BV116" s="11">
        <v>4</v>
      </c>
      <c r="BW116" s="11">
        <v>1</v>
      </c>
      <c r="BX116" s="11">
        <v>0</v>
      </c>
      <c r="BY116" s="11">
        <v>1</v>
      </c>
      <c r="BZ116" s="11">
        <v>1</v>
      </c>
      <c r="CA116" s="11">
        <v>0</v>
      </c>
      <c r="CB116" s="11">
        <v>0</v>
      </c>
      <c r="CC116" s="11">
        <v>1</v>
      </c>
      <c r="CD116" s="11">
        <v>1</v>
      </c>
      <c r="CE116" s="11">
        <v>0</v>
      </c>
      <c r="CF116" s="26">
        <f t="shared" si="50"/>
        <v>12</v>
      </c>
      <c r="CG116" s="11">
        <v>3</v>
      </c>
      <c r="CH116" s="11">
        <v>0</v>
      </c>
      <c r="CI116" s="11">
        <v>4</v>
      </c>
      <c r="CJ116" s="11">
        <v>1</v>
      </c>
      <c r="CK116" s="11">
        <v>0</v>
      </c>
      <c r="CL116" s="11">
        <v>1</v>
      </c>
      <c r="CM116" s="11">
        <v>1</v>
      </c>
      <c r="CN116" s="11">
        <v>0</v>
      </c>
      <c r="CO116" s="11">
        <v>0</v>
      </c>
      <c r="CP116" s="11">
        <v>1</v>
      </c>
      <c r="CQ116" s="11">
        <v>1</v>
      </c>
      <c r="CR116" s="11">
        <v>0</v>
      </c>
      <c r="CS116" s="26">
        <f t="shared" si="51"/>
        <v>12</v>
      </c>
      <c r="CT116" s="11">
        <v>0</v>
      </c>
      <c r="CU116" s="11">
        <v>0</v>
      </c>
      <c r="CV116" s="11">
        <v>0</v>
      </c>
      <c r="CW116" s="11">
        <v>0</v>
      </c>
      <c r="CX116" s="11">
        <v>0</v>
      </c>
      <c r="CY116" s="11">
        <v>0</v>
      </c>
      <c r="CZ116" s="11">
        <v>0</v>
      </c>
      <c r="DA116" s="11">
        <v>0</v>
      </c>
      <c r="DB116" s="11">
        <v>0</v>
      </c>
      <c r="DC116" s="11">
        <v>0</v>
      </c>
      <c r="DD116" s="11">
        <v>0</v>
      </c>
      <c r="DE116" s="11">
        <v>0</v>
      </c>
      <c r="DF116" s="26">
        <f t="shared" si="52"/>
        <v>0</v>
      </c>
      <c r="DG116" s="11">
        <v>0</v>
      </c>
      <c r="DH116" s="11">
        <v>0</v>
      </c>
      <c r="DI116" s="11">
        <v>0</v>
      </c>
      <c r="DJ116" s="11">
        <v>0</v>
      </c>
      <c r="DK116" s="11">
        <v>0</v>
      </c>
      <c r="DL116" s="11">
        <v>0</v>
      </c>
      <c r="DM116" s="11">
        <v>0</v>
      </c>
      <c r="DN116" s="11">
        <v>0</v>
      </c>
      <c r="DO116" s="11">
        <v>0</v>
      </c>
      <c r="DP116" s="11">
        <v>0</v>
      </c>
      <c r="DQ116" s="11">
        <v>0</v>
      </c>
      <c r="DR116" s="11">
        <v>0</v>
      </c>
      <c r="DS116" s="26">
        <f t="shared" si="53"/>
        <v>0</v>
      </c>
      <c r="DT116" s="11">
        <v>0</v>
      </c>
      <c r="DU116" s="11">
        <v>0</v>
      </c>
      <c r="DV116" s="11">
        <v>0</v>
      </c>
      <c r="DW116" s="11">
        <v>0</v>
      </c>
      <c r="DX116" s="11">
        <v>0</v>
      </c>
      <c r="DY116" s="11">
        <v>0</v>
      </c>
      <c r="DZ116" s="11">
        <v>0</v>
      </c>
      <c r="EA116" s="11">
        <v>0</v>
      </c>
      <c r="EB116" s="11">
        <v>0</v>
      </c>
      <c r="EC116" s="11">
        <v>0</v>
      </c>
      <c r="ED116" s="11">
        <v>0</v>
      </c>
      <c r="EE116" s="11">
        <v>0</v>
      </c>
      <c r="EF116" s="26">
        <f t="shared" si="54"/>
        <v>0</v>
      </c>
      <c r="EG116" s="9">
        <f t="shared" si="55"/>
        <v>0</v>
      </c>
      <c r="EH116" s="9">
        <f t="shared" si="56"/>
        <v>12</v>
      </c>
      <c r="EI116" s="11">
        <v>12871</v>
      </c>
      <c r="EJ116" s="11">
        <v>15425</v>
      </c>
      <c r="EK116" s="11">
        <v>15010</v>
      </c>
      <c r="EL116" s="11">
        <v>15506</v>
      </c>
      <c r="EM116" s="11">
        <v>9898</v>
      </c>
      <c r="EN116" s="11">
        <v>11547</v>
      </c>
      <c r="EO116" s="11">
        <v>15204</v>
      </c>
      <c r="EP116" s="11">
        <v>12050</v>
      </c>
      <c r="EQ116" s="11">
        <v>10890</v>
      </c>
      <c r="ER116" s="11">
        <v>14513</v>
      </c>
      <c r="ES116" s="11">
        <v>15760</v>
      </c>
      <c r="ET116" s="11">
        <v>13515</v>
      </c>
      <c r="EU116" s="26">
        <f t="shared" si="57"/>
        <v>162189</v>
      </c>
      <c r="EV116" s="11">
        <v>6528</v>
      </c>
      <c r="EW116" s="11">
        <v>7564</v>
      </c>
      <c r="EX116" s="11">
        <v>7605</v>
      </c>
      <c r="EY116" s="11">
        <v>7207</v>
      </c>
      <c r="EZ116" s="11">
        <v>5030</v>
      </c>
      <c r="FA116" s="11">
        <v>6487</v>
      </c>
      <c r="FB116" s="11">
        <v>8082</v>
      </c>
      <c r="FC116" s="11">
        <v>6316</v>
      </c>
      <c r="FD116" s="11">
        <v>5118</v>
      </c>
      <c r="FE116" s="11">
        <v>6466</v>
      </c>
      <c r="FF116" s="11">
        <v>7998</v>
      </c>
      <c r="FG116" s="11">
        <v>7390</v>
      </c>
      <c r="FH116" s="26">
        <f t="shared" si="58"/>
        <v>81791</v>
      </c>
      <c r="FI116" s="11">
        <v>6343</v>
      </c>
      <c r="FJ116" s="11">
        <v>7861</v>
      </c>
      <c r="FK116" s="11">
        <v>7405</v>
      </c>
      <c r="FL116" s="11">
        <v>8299</v>
      </c>
      <c r="FM116" s="11">
        <v>4868</v>
      </c>
      <c r="FN116" s="11">
        <v>5060</v>
      </c>
      <c r="FO116" s="11">
        <v>7122</v>
      </c>
      <c r="FP116" s="11">
        <v>5734</v>
      </c>
      <c r="FQ116" s="11">
        <v>5772</v>
      </c>
      <c r="FR116" s="11">
        <v>8047</v>
      </c>
      <c r="FS116" s="11">
        <v>7762</v>
      </c>
      <c r="FT116" s="11">
        <v>6125</v>
      </c>
      <c r="FU116" s="26">
        <f t="shared" si="59"/>
        <v>80398</v>
      </c>
      <c r="FV116" s="11">
        <v>0</v>
      </c>
      <c r="FW116" s="11">
        <v>0</v>
      </c>
      <c r="FX116" s="11">
        <v>0</v>
      </c>
      <c r="FY116" s="11">
        <v>0</v>
      </c>
      <c r="FZ116" s="11">
        <v>0</v>
      </c>
      <c r="GA116" s="11">
        <v>0</v>
      </c>
      <c r="GB116" s="11">
        <v>0</v>
      </c>
      <c r="GC116" s="11">
        <v>0</v>
      </c>
      <c r="GD116" s="11">
        <v>0</v>
      </c>
      <c r="GE116" s="11">
        <v>0</v>
      </c>
      <c r="GF116" s="11">
        <v>0</v>
      </c>
      <c r="GG116" s="11">
        <v>0</v>
      </c>
      <c r="GH116" s="26">
        <f t="shared" si="60"/>
        <v>0</v>
      </c>
      <c r="GI116" s="11">
        <v>27</v>
      </c>
      <c r="GJ116" s="11">
        <v>0</v>
      </c>
      <c r="GK116" s="11">
        <v>41</v>
      </c>
      <c r="GL116" s="11">
        <v>19</v>
      </c>
      <c r="GM116" s="11">
        <v>0</v>
      </c>
      <c r="GN116" s="11">
        <v>25</v>
      </c>
      <c r="GO116" s="11">
        <v>9</v>
      </c>
      <c r="GP116" s="11">
        <v>0</v>
      </c>
      <c r="GQ116" s="11">
        <v>0</v>
      </c>
      <c r="GR116" s="11">
        <v>5</v>
      </c>
      <c r="GS116" s="11">
        <v>17</v>
      </c>
      <c r="GT116" s="11">
        <v>0</v>
      </c>
      <c r="GU116" s="26">
        <f t="shared" si="61"/>
        <v>143</v>
      </c>
      <c r="GV116" s="11">
        <v>27</v>
      </c>
      <c r="GW116" s="11">
        <v>0</v>
      </c>
      <c r="GX116" s="11">
        <v>41</v>
      </c>
      <c r="GY116" s="11">
        <v>19</v>
      </c>
      <c r="GZ116" s="11">
        <v>0</v>
      </c>
      <c r="HA116" s="11">
        <v>25</v>
      </c>
      <c r="HB116" s="11">
        <v>9</v>
      </c>
      <c r="HC116" s="11">
        <v>0</v>
      </c>
      <c r="HD116" s="11">
        <v>0</v>
      </c>
      <c r="HE116" s="11">
        <v>5</v>
      </c>
      <c r="HF116" s="11">
        <v>17</v>
      </c>
      <c r="HG116" s="11">
        <v>0</v>
      </c>
      <c r="HH116" s="26">
        <f t="shared" si="62"/>
        <v>143</v>
      </c>
      <c r="HI116" s="11">
        <v>0</v>
      </c>
      <c r="HJ116" s="11">
        <v>0</v>
      </c>
      <c r="HK116" s="11">
        <v>0</v>
      </c>
      <c r="HL116" s="11">
        <v>0</v>
      </c>
      <c r="HM116" s="11">
        <v>0</v>
      </c>
      <c r="HN116" s="11">
        <v>0</v>
      </c>
      <c r="HO116" s="11">
        <v>0</v>
      </c>
      <c r="HP116" s="11">
        <v>0</v>
      </c>
      <c r="HQ116" s="11">
        <v>0</v>
      </c>
      <c r="HR116" s="11">
        <v>0</v>
      </c>
      <c r="HS116" s="11">
        <v>0</v>
      </c>
      <c r="HT116" s="11">
        <v>0</v>
      </c>
      <c r="HU116" s="26">
        <f t="shared" si="63"/>
        <v>0</v>
      </c>
      <c r="HV116" s="11">
        <v>0</v>
      </c>
      <c r="HW116" s="11">
        <v>0</v>
      </c>
      <c r="HX116" s="11">
        <v>0</v>
      </c>
      <c r="HY116" s="11">
        <v>0</v>
      </c>
      <c r="HZ116" s="11">
        <v>0</v>
      </c>
      <c r="IA116" s="11">
        <v>0</v>
      </c>
      <c r="IB116" s="11">
        <v>0</v>
      </c>
      <c r="IC116" s="11">
        <v>0</v>
      </c>
      <c r="ID116" s="11">
        <v>0</v>
      </c>
      <c r="IE116" s="11">
        <v>0</v>
      </c>
      <c r="IF116" s="11">
        <v>0</v>
      </c>
      <c r="IG116" s="11">
        <v>0</v>
      </c>
      <c r="IH116" s="26">
        <f t="shared" si="64"/>
        <v>0</v>
      </c>
      <c r="II116" s="9">
        <f t="shared" si="65"/>
        <v>162189</v>
      </c>
      <c r="IJ116" s="9">
        <f t="shared" si="66"/>
        <v>143</v>
      </c>
      <c r="IK116" s="11">
        <v>130664</v>
      </c>
      <c r="IL116" s="11">
        <v>123366</v>
      </c>
      <c r="IM116" s="11">
        <v>115605</v>
      </c>
      <c r="IN116" s="11">
        <v>137837</v>
      </c>
      <c r="IO116" s="11">
        <v>139582</v>
      </c>
      <c r="IP116" s="11">
        <v>123274</v>
      </c>
      <c r="IQ116" s="11">
        <v>129159</v>
      </c>
      <c r="IR116" s="11">
        <v>120381</v>
      </c>
      <c r="IS116" s="11">
        <v>106000</v>
      </c>
      <c r="IT116" s="11">
        <v>120664</v>
      </c>
      <c r="IU116" s="11">
        <v>111429</v>
      </c>
      <c r="IV116" s="11">
        <v>116891</v>
      </c>
      <c r="IW116" s="27">
        <f t="shared" si="67"/>
        <v>1474852</v>
      </c>
      <c r="IX116" s="11">
        <v>81520</v>
      </c>
      <c r="IY116" s="11">
        <v>78095</v>
      </c>
      <c r="IZ116" s="11">
        <v>73275</v>
      </c>
      <c r="JA116" s="11">
        <v>80902</v>
      </c>
      <c r="JB116" s="11">
        <v>79156</v>
      </c>
      <c r="JC116" s="11">
        <v>75282</v>
      </c>
      <c r="JD116" s="11">
        <v>79577</v>
      </c>
      <c r="JE116" s="11">
        <v>75712</v>
      </c>
      <c r="JF116" s="11">
        <v>71537</v>
      </c>
      <c r="JG116" s="11">
        <v>77915</v>
      </c>
      <c r="JH116" s="11">
        <v>68124</v>
      </c>
      <c r="JI116" s="11">
        <v>74795</v>
      </c>
      <c r="JJ116" s="27">
        <f t="shared" si="68"/>
        <v>915890</v>
      </c>
      <c r="JK116" s="11">
        <v>47301</v>
      </c>
      <c r="JL116" s="11">
        <v>43601</v>
      </c>
      <c r="JM116" s="11">
        <v>40566</v>
      </c>
      <c r="JN116" s="11">
        <v>54854</v>
      </c>
      <c r="JO116" s="11">
        <v>58211</v>
      </c>
      <c r="JP116" s="11">
        <v>46179</v>
      </c>
      <c r="JQ116" s="11">
        <v>47563</v>
      </c>
      <c r="JR116" s="11">
        <v>43072</v>
      </c>
      <c r="JS116" s="11">
        <v>33003</v>
      </c>
      <c r="JT116" s="11">
        <v>41285</v>
      </c>
      <c r="JU116" s="11">
        <v>41916</v>
      </c>
      <c r="JV116" s="11">
        <v>40504</v>
      </c>
      <c r="JW116" s="27">
        <f t="shared" si="69"/>
        <v>538055</v>
      </c>
      <c r="JX116" s="11">
        <v>1843</v>
      </c>
      <c r="JY116" s="11">
        <v>1670</v>
      </c>
      <c r="JZ116" s="11">
        <v>1764</v>
      </c>
      <c r="KA116" s="11">
        <v>2081</v>
      </c>
      <c r="KB116" s="11">
        <v>2215</v>
      </c>
      <c r="KC116" s="11">
        <v>1813</v>
      </c>
      <c r="KD116" s="11">
        <v>2019</v>
      </c>
      <c r="KE116" s="11">
        <v>1597</v>
      </c>
      <c r="KF116" s="11">
        <v>1460</v>
      </c>
      <c r="KG116" s="11">
        <v>1464</v>
      </c>
      <c r="KH116" s="11">
        <v>1389</v>
      </c>
      <c r="KI116" s="11">
        <v>1592</v>
      </c>
      <c r="KJ116" s="27">
        <f t="shared" si="70"/>
        <v>20907</v>
      </c>
      <c r="KK116" s="11">
        <v>600</v>
      </c>
      <c r="KL116" s="11">
        <v>597</v>
      </c>
      <c r="KM116" s="11">
        <v>573</v>
      </c>
      <c r="KN116" s="11">
        <v>510</v>
      </c>
      <c r="KO116" s="11">
        <v>486</v>
      </c>
      <c r="KP116" s="11">
        <v>502</v>
      </c>
      <c r="KQ116" s="11">
        <v>498</v>
      </c>
      <c r="KR116" s="11">
        <v>418</v>
      </c>
      <c r="KS116" s="11">
        <v>422</v>
      </c>
      <c r="KT116" s="11">
        <v>472</v>
      </c>
      <c r="KU116" s="11">
        <v>475</v>
      </c>
      <c r="KV116" s="11">
        <v>525</v>
      </c>
      <c r="KW116" s="27">
        <f t="shared" si="71"/>
        <v>6078</v>
      </c>
      <c r="KX116" s="11">
        <v>600</v>
      </c>
      <c r="KY116" s="11">
        <v>597</v>
      </c>
      <c r="KZ116" s="11">
        <v>573</v>
      </c>
      <c r="LA116" s="11">
        <v>510</v>
      </c>
      <c r="LB116" s="11">
        <v>486</v>
      </c>
      <c r="LC116" s="11">
        <v>502</v>
      </c>
      <c r="LD116" s="11">
        <v>498</v>
      </c>
      <c r="LE116" s="11">
        <v>418</v>
      </c>
      <c r="LF116" s="11">
        <v>422</v>
      </c>
      <c r="LG116" s="11">
        <v>472</v>
      </c>
      <c r="LH116" s="11">
        <v>475</v>
      </c>
      <c r="LI116" s="11">
        <v>525</v>
      </c>
      <c r="LJ116" s="27">
        <f t="shared" si="72"/>
        <v>6078</v>
      </c>
      <c r="LK116" s="11">
        <v>0</v>
      </c>
      <c r="LL116" s="11">
        <v>0</v>
      </c>
      <c r="LM116" s="11">
        <v>0</v>
      </c>
      <c r="LN116" s="11">
        <v>0</v>
      </c>
      <c r="LO116" s="11">
        <v>0</v>
      </c>
      <c r="LP116" s="11">
        <v>0</v>
      </c>
      <c r="LQ116" s="11">
        <v>0</v>
      </c>
      <c r="LR116" s="11">
        <v>0</v>
      </c>
      <c r="LS116" s="11">
        <v>0</v>
      </c>
      <c r="LT116" s="11">
        <v>0</v>
      </c>
      <c r="LU116" s="11">
        <v>0</v>
      </c>
      <c r="LV116" s="11">
        <v>0</v>
      </c>
      <c r="LW116" s="27">
        <f t="shared" si="73"/>
        <v>0</v>
      </c>
      <c r="LX116" s="11">
        <v>0</v>
      </c>
      <c r="LY116" s="11">
        <v>0</v>
      </c>
      <c r="LZ116" s="11">
        <v>0</v>
      </c>
      <c r="MA116" s="11">
        <v>0</v>
      </c>
      <c r="MB116" s="11">
        <v>0</v>
      </c>
      <c r="MC116" s="11">
        <v>0</v>
      </c>
      <c r="MD116" s="11">
        <v>0</v>
      </c>
      <c r="ME116" s="11">
        <v>0</v>
      </c>
      <c r="MF116" s="11">
        <v>0</v>
      </c>
      <c r="MG116" s="11">
        <v>0</v>
      </c>
      <c r="MH116" s="11">
        <v>0</v>
      </c>
      <c r="MI116" s="11">
        <v>0</v>
      </c>
      <c r="MJ116" s="27">
        <f t="shared" si="74"/>
        <v>0</v>
      </c>
      <c r="MK116" s="11">
        <v>0</v>
      </c>
      <c r="ML116" s="11">
        <v>0</v>
      </c>
      <c r="MM116" s="11">
        <v>0</v>
      </c>
      <c r="MN116" s="11">
        <v>0</v>
      </c>
      <c r="MO116" s="11">
        <v>0</v>
      </c>
      <c r="MP116" s="11">
        <v>0</v>
      </c>
      <c r="MQ116" s="11">
        <v>0</v>
      </c>
      <c r="MR116" s="11">
        <v>0</v>
      </c>
      <c r="MS116" s="11">
        <v>0</v>
      </c>
      <c r="MT116" s="11">
        <v>0</v>
      </c>
      <c r="MU116" s="11">
        <v>0</v>
      </c>
      <c r="MV116" s="11">
        <v>71829</v>
      </c>
      <c r="MW116" s="27">
        <f t="shared" si="75"/>
        <v>71829</v>
      </c>
      <c r="MX116" s="11">
        <v>0</v>
      </c>
      <c r="MY116" s="11">
        <v>0</v>
      </c>
      <c r="MZ116" s="11">
        <v>0</v>
      </c>
      <c r="NA116" s="11">
        <v>0</v>
      </c>
      <c r="NB116" s="11">
        <v>0</v>
      </c>
      <c r="NC116" s="11">
        <v>0</v>
      </c>
      <c r="ND116" s="11">
        <v>0</v>
      </c>
      <c r="NE116" s="11">
        <v>0</v>
      </c>
      <c r="NF116" s="11">
        <v>0</v>
      </c>
      <c r="NG116" s="11">
        <v>0</v>
      </c>
      <c r="NH116" s="11">
        <v>0</v>
      </c>
      <c r="NI116" s="11">
        <v>64502</v>
      </c>
      <c r="NJ116" s="27">
        <f t="shared" si="76"/>
        <v>64502</v>
      </c>
      <c r="NK116" s="11">
        <v>0</v>
      </c>
      <c r="NL116" s="11">
        <v>0</v>
      </c>
      <c r="NM116" s="11">
        <v>0</v>
      </c>
      <c r="NN116" s="11">
        <v>0</v>
      </c>
      <c r="NO116" s="11">
        <v>0</v>
      </c>
      <c r="NP116" s="11">
        <v>0</v>
      </c>
      <c r="NQ116" s="11">
        <v>0</v>
      </c>
      <c r="NR116" s="11">
        <v>0</v>
      </c>
      <c r="NS116" s="11">
        <v>0</v>
      </c>
      <c r="NT116" s="11">
        <v>0</v>
      </c>
      <c r="NU116" s="11">
        <v>0</v>
      </c>
      <c r="NV116" s="11">
        <v>4249</v>
      </c>
      <c r="NW116" s="27">
        <f t="shared" si="77"/>
        <v>4249</v>
      </c>
      <c r="NX116" s="11">
        <v>0</v>
      </c>
      <c r="NY116" s="11">
        <v>0</v>
      </c>
      <c r="NZ116" s="11">
        <v>0</v>
      </c>
      <c r="OA116" s="11">
        <v>0</v>
      </c>
      <c r="OB116" s="11">
        <v>0</v>
      </c>
      <c r="OC116" s="11">
        <v>0</v>
      </c>
      <c r="OD116" s="11">
        <v>0</v>
      </c>
      <c r="OE116" s="11">
        <v>0</v>
      </c>
      <c r="OF116" s="11">
        <v>0</v>
      </c>
      <c r="OG116" s="11">
        <v>0</v>
      </c>
      <c r="OH116" s="11">
        <v>0</v>
      </c>
      <c r="OI116" s="11">
        <v>3078</v>
      </c>
      <c r="OJ116" s="27">
        <f t="shared" si="78"/>
        <v>3078</v>
      </c>
      <c r="OK116" s="11">
        <v>0</v>
      </c>
      <c r="OL116" s="11">
        <v>0</v>
      </c>
      <c r="OM116" s="11">
        <v>0</v>
      </c>
      <c r="ON116" s="11">
        <v>0</v>
      </c>
      <c r="OO116" s="11">
        <v>0</v>
      </c>
      <c r="OP116" s="11">
        <v>0</v>
      </c>
      <c r="OQ116" s="11">
        <v>0</v>
      </c>
      <c r="OR116" s="11">
        <v>0</v>
      </c>
      <c r="OS116" s="11">
        <v>0</v>
      </c>
      <c r="OT116" s="11">
        <v>0</v>
      </c>
      <c r="OU116" s="11">
        <v>0</v>
      </c>
      <c r="OV116" s="11">
        <v>138888</v>
      </c>
      <c r="OW116" s="27">
        <f t="shared" si="79"/>
        <v>138888</v>
      </c>
      <c r="OX116" s="11">
        <v>0</v>
      </c>
      <c r="OY116" s="11">
        <v>0</v>
      </c>
      <c r="OZ116" s="11">
        <v>0</v>
      </c>
      <c r="PA116" s="11">
        <v>0</v>
      </c>
      <c r="PB116" s="11">
        <v>0</v>
      </c>
      <c r="PC116" s="11">
        <v>0</v>
      </c>
      <c r="PD116" s="11">
        <v>0</v>
      </c>
      <c r="PE116" s="11">
        <v>0</v>
      </c>
      <c r="PF116" s="11">
        <v>0</v>
      </c>
      <c r="PG116" s="11">
        <v>0</v>
      </c>
      <c r="PH116" s="11">
        <v>0</v>
      </c>
      <c r="PI116" s="11">
        <v>121033</v>
      </c>
      <c r="PJ116" s="27">
        <f t="shared" si="80"/>
        <v>121033</v>
      </c>
      <c r="PK116" s="11">
        <v>0</v>
      </c>
      <c r="PL116" s="11">
        <v>0</v>
      </c>
      <c r="PM116" s="11">
        <v>0</v>
      </c>
      <c r="PN116" s="11">
        <v>0</v>
      </c>
      <c r="PO116" s="11">
        <v>0</v>
      </c>
      <c r="PP116" s="11">
        <v>0</v>
      </c>
      <c r="PQ116" s="11">
        <v>0</v>
      </c>
      <c r="PR116" s="11">
        <v>0</v>
      </c>
      <c r="PS116" s="11">
        <v>0</v>
      </c>
      <c r="PT116" s="11">
        <v>0</v>
      </c>
      <c r="PU116" s="11">
        <v>0</v>
      </c>
      <c r="PV116" s="11">
        <v>14073</v>
      </c>
      <c r="PW116" s="27">
        <f t="shared" si="81"/>
        <v>14073</v>
      </c>
      <c r="PX116" s="11">
        <v>0</v>
      </c>
      <c r="PY116" s="11">
        <v>0</v>
      </c>
      <c r="PZ116" s="11">
        <v>0</v>
      </c>
      <c r="QA116" s="11">
        <v>0</v>
      </c>
      <c r="QB116" s="11">
        <v>0</v>
      </c>
      <c r="QC116" s="11">
        <v>0</v>
      </c>
      <c r="QD116" s="11">
        <v>0</v>
      </c>
      <c r="QE116" s="11">
        <v>0</v>
      </c>
      <c r="QF116" s="11">
        <v>0</v>
      </c>
      <c r="QG116" s="11">
        <v>0</v>
      </c>
      <c r="QH116" s="11">
        <v>0</v>
      </c>
      <c r="QI116" s="11">
        <v>3782</v>
      </c>
      <c r="QJ116" s="27">
        <f t="shared" si="82"/>
        <v>3782</v>
      </c>
      <c r="QK116" s="11">
        <v>0</v>
      </c>
      <c r="QL116" s="11">
        <v>0</v>
      </c>
      <c r="QM116" s="11">
        <v>0</v>
      </c>
      <c r="QN116" s="11">
        <v>0</v>
      </c>
      <c r="QO116" s="11">
        <v>0</v>
      </c>
      <c r="QP116" s="11">
        <v>0</v>
      </c>
      <c r="QQ116" s="11">
        <v>0</v>
      </c>
      <c r="QR116" s="11">
        <v>0</v>
      </c>
      <c r="QS116" s="11">
        <v>0</v>
      </c>
      <c r="QT116" s="11">
        <v>0</v>
      </c>
      <c r="QU116" s="11">
        <v>0</v>
      </c>
      <c r="QV116" s="11">
        <v>0</v>
      </c>
      <c r="QW116" s="27">
        <f t="shared" si="83"/>
        <v>0</v>
      </c>
      <c r="QX116" s="11">
        <v>153926</v>
      </c>
      <c r="QY116" s="11">
        <v>147860</v>
      </c>
      <c r="QZ116" s="11">
        <v>139904</v>
      </c>
      <c r="RA116" s="11">
        <v>154132</v>
      </c>
      <c r="RB116" s="11">
        <v>154771</v>
      </c>
      <c r="RC116" s="11">
        <v>151328</v>
      </c>
      <c r="RD116" s="11">
        <v>165289</v>
      </c>
      <c r="RE116" s="11">
        <v>152605</v>
      </c>
      <c r="RF116" s="11">
        <v>122898</v>
      </c>
      <c r="RG116" s="11">
        <v>152561</v>
      </c>
      <c r="RH116" s="11">
        <v>144787</v>
      </c>
      <c r="RI116" s="11">
        <v>155615</v>
      </c>
      <c r="RJ116" s="27">
        <f t="shared" si="84"/>
        <v>1795676</v>
      </c>
      <c r="RK116" s="11">
        <v>0</v>
      </c>
      <c r="RL116" s="11">
        <v>0</v>
      </c>
      <c r="RM116" s="11">
        <v>0</v>
      </c>
      <c r="RN116" s="11">
        <v>0</v>
      </c>
      <c r="RO116" s="11">
        <v>0</v>
      </c>
      <c r="RP116" s="11">
        <v>0</v>
      </c>
      <c r="RQ116" s="11">
        <v>0</v>
      </c>
      <c r="RR116" s="11">
        <v>0</v>
      </c>
      <c r="RS116" s="11">
        <v>0</v>
      </c>
      <c r="RT116" s="11">
        <v>0</v>
      </c>
      <c r="RU116" s="11">
        <v>0</v>
      </c>
      <c r="RV116" s="11">
        <v>60489</v>
      </c>
      <c r="RW116" s="27">
        <f t="shared" si="85"/>
        <v>60489</v>
      </c>
      <c r="RX116" s="11">
        <v>0</v>
      </c>
      <c r="RY116" s="11">
        <v>0</v>
      </c>
      <c r="RZ116" s="11">
        <v>0</v>
      </c>
      <c r="SA116" s="11">
        <v>0</v>
      </c>
      <c r="SB116" s="11">
        <v>0</v>
      </c>
      <c r="SC116" s="11">
        <v>0</v>
      </c>
      <c r="SD116" s="11">
        <v>0</v>
      </c>
      <c r="SE116" s="11">
        <v>0</v>
      </c>
      <c r="SF116" s="11">
        <v>0</v>
      </c>
      <c r="SG116" s="11">
        <v>0</v>
      </c>
      <c r="SH116" s="11">
        <v>0</v>
      </c>
      <c r="SI116" s="11">
        <v>5508</v>
      </c>
      <c r="SJ116" s="27">
        <f t="shared" si="86"/>
        <v>5508</v>
      </c>
      <c r="SK116" s="11">
        <v>0</v>
      </c>
      <c r="SL116" s="11">
        <v>0</v>
      </c>
      <c r="SM116" s="11">
        <v>0</v>
      </c>
      <c r="SN116" s="11">
        <v>0</v>
      </c>
      <c r="SO116" s="11">
        <v>0</v>
      </c>
      <c r="SP116" s="11">
        <v>0</v>
      </c>
      <c r="SQ116" s="11">
        <v>0</v>
      </c>
      <c r="SR116" s="11">
        <v>0</v>
      </c>
      <c r="SS116" s="11">
        <v>0</v>
      </c>
      <c r="ST116" s="11">
        <v>0</v>
      </c>
      <c r="SU116" s="11">
        <v>0</v>
      </c>
      <c r="SV116" s="11">
        <v>2012</v>
      </c>
      <c r="SW116" s="27">
        <f t="shared" si="87"/>
        <v>2012</v>
      </c>
      <c r="SX116" s="11"/>
      <c r="SY116" s="11">
        <v>13631</v>
      </c>
      <c r="SZ116" s="11">
        <v>12505</v>
      </c>
      <c r="TA116" s="11">
        <v>12280</v>
      </c>
      <c r="TB116" s="11">
        <v>12636</v>
      </c>
      <c r="TC116" s="11">
        <v>12088</v>
      </c>
      <c r="TD116" s="11">
        <v>12008</v>
      </c>
      <c r="TE116" s="11">
        <v>13590</v>
      </c>
      <c r="TF116" s="11">
        <v>13109</v>
      </c>
      <c r="TG116" s="11">
        <v>10747</v>
      </c>
      <c r="TH116" s="11">
        <v>12597</v>
      </c>
      <c r="TI116" s="11">
        <v>11907</v>
      </c>
      <c r="TJ116" s="11">
        <v>13132</v>
      </c>
      <c r="TK116" s="27">
        <f t="shared" si="88"/>
        <v>150230</v>
      </c>
      <c r="TL116" s="11">
        <v>0</v>
      </c>
      <c r="TM116" s="11">
        <v>0</v>
      </c>
      <c r="TN116" s="11">
        <v>0</v>
      </c>
      <c r="TO116" s="11">
        <v>0</v>
      </c>
      <c r="TP116" s="11">
        <v>0</v>
      </c>
      <c r="TQ116" s="11">
        <v>0</v>
      </c>
      <c r="TR116" s="11">
        <v>0</v>
      </c>
      <c r="TS116" s="11">
        <v>0</v>
      </c>
      <c r="TT116" s="11">
        <v>0</v>
      </c>
      <c r="TU116" s="11">
        <v>0</v>
      </c>
      <c r="TV116" s="11">
        <v>0</v>
      </c>
      <c r="TW116" s="11">
        <v>0</v>
      </c>
      <c r="TX116" s="27">
        <f t="shared" si="89"/>
        <v>0</v>
      </c>
      <c r="TY116" s="11">
        <v>234</v>
      </c>
      <c r="TZ116" s="11">
        <v>0</v>
      </c>
      <c r="UA116" s="11">
        <v>0</v>
      </c>
    </row>
    <row r="117" spans="1:547" ht="16" customHeight="1" x14ac:dyDescent="0.35">
      <c r="A117" s="11" t="s">
        <v>1509</v>
      </c>
      <c r="B117" s="11">
        <v>25036</v>
      </c>
      <c r="C117" s="11"/>
      <c r="D117" s="11"/>
      <c r="E117" s="11"/>
      <c r="F117" s="11">
        <v>0</v>
      </c>
      <c r="G117" s="11">
        <v>0</v>
      </c>
      <c r="H117" s="11">
        <v>0</v>
      </c>
      <c r="I117" s="11">
        <v>0</v>
      </c>
      <c r="J117" s="11">
        <v>0</v>
      </c>
      <c r="K117" s="11">
        <v>0</v>
      </c>
      <c r="L117" s="11">
        <v>0</v>
      </c>
      <c r="M117" s="11">
        <v>0</v>
      </c>
      <c r="N117" s="11">
        <v>0</v>
      </c>
      <c r="O117" s="11">
        <v>0</v>
      </c>
      <c r="P117" s="11" t="s">
        <v>2865</v>
      </c>
      <c r="Q117" s="11">
        <v>0</v>
      </c>
      <c r="R117" s="11">
        <v>0</v>
      </c>
      <c r="S117" s="26">
        <f t="shared" si="45"/>
        <v>0</v>
      </c>
      <c r="T117" s="11">
        <v>107</v>
      </c>
      <c r="U117" s="11">
        <v>100</v>
      </c>
      <c r="V117" s="11">
        <v>100</v>
      </c>
      <c r="W117" s="11">
        <v>103</v>
      </c>
      <c r="X117" s="11">
        <v>97</v>
      </c>
      <c r="Y117" s="11">
        <v>109</v>
      </c>
      <c r="Z117" s="11">
        <v>143</v>
      </c>
      <c r="AA117" s="11">
        <v>125</v>
      </c>
      <c r="AB117" s="11">
        <v>101</v>
      </c>
      <c r="AC117" s="11">
        <v>127</v>
      </c>
      <c r="AD117" s="11">
        <v>110</v>
      </c>
      <c r="AE117" s="11">
        <v>118</v>
      </c>
      <c r="AF117" s="26">
        <f t="shared" si="46"/>
        <v>1340</v>
      </c>
      <c r="AG117" s="11">
        <v>214</v>
      </c>
      <c r="AH117" s="11">
        <v>189</v>
      </c>
      <c r="AI117" s="11">
        <v>209</v>
      </c>
      <c r="AJ117" s="11">
        <v>261</v>
      </c>
      <c r="AK117" s="11">
        <v>247</v>
      </c>
      <c r="AL117" s="11">
        <v>151</v>
      </c>
      <c r="AM117" s="11">
        <v>236</v>
      </c>
      <c r="AN117" s="11">
        <v>215</v>
      </c>
      <c r="AO117" s="11">
        <v>169</v>
      </c>
      <c r="AP117" s="11">
        <v>229</v>
      </c>
      <c r="AQ117" s="11">
        <v>195</v>
      </c>
      <c r="AR117" s="11">
        <v>227</v>
      </c>
      <c r="AS117" s="26">
        <f t="shared" si="47"/>
        <v>2542</v>
      </c>
      <c r="AT117" s="11">
        <v>7</v>
      </c>
      <c r="AU117" s="11">
        <v>6</v>
      </c>
      <c r="AV117" s="11">
        <v>5</v>
      </c>
      <c r="AW117" s="11">
        <v>15</v>
      </c>
      <c r="AX117" s="11">
        <v>14</v>
      </c>
      <c r="AY117" s="11">
        <v>6</v>
      </c>
      <c r="AZ117" s="11">
        <v>6</v>
      </c>
      <c r="BA117" s="11">
        <v>3</v>
      </c>
      <c r="BB117" s="11">
        <v>6</v>
      </c>
      <c r="BC117" s="11">
        <v>8</v>
      </c>
      <c r="BD117" s="11">
        <v>6</v>
      </c>
      <c r="BE117" s="11">
        <v>17</v>
      </c>
      <c r="BF117" s="26">
        <f t="shared" si="48"/>
        <v>99</v>
      </c>
      <c r="BG117" s="11">
        <v>221</v>
      </c>
      <c r="BH117" s="11">
        <v>195</v>
      </c>
      <c r="BI117" s="11">
        <v>214</v>
      </c>
      <c r="BJ117" s="11">
        <v>276</v>
      </c>
      <c r="BK117" s="11">
        <v>261</v>
      </c>
      <c r="BL117" s="11">
        <v>157</v>
      </c>
      <c r="BM117" s="11">
        <v>242</v>
      </c>
      <c r="BN117" s="11">
        <v>218</v>
      </c>
      <c r="BO117" s="11">
        <v>175</v>
      </c>
      <c r="BP117" s="11">
        <v>237</v>
      </c>
      <c r="BQ117" s="11">
        <v>201</v>
      </c>
      <c r="BR117" s="11">
        <v>240</v>
      </c>
      <c r="BS117" s="26">
        <f t="shared" si="49"/>
        <v>2637</v>
      </c>
      <c r="BT117" s="11">
        <v>0</v>
      </c>
      <c r="BU117" s="11">
        <v>0</v>
      </c>
      <c r="BV117" s="11">
        <v>0</v>
      </c>
      <c r="BW117" s="11">
        <v>0</v>
      </c>
      <c r="BX117" s="11">
        <v>0</v>
      </c>
      <c r="BY117" s="11">
        <v>0</v>
      </c>
      <c r="BZ117" s="11">
        <v>0</v>
      </c>
      <c r="CA117" s="11">
        <v>0</v>
      </c>
      <c r="CB117" s="11">
        <v>0</v>
      </c>
      <c r="CC117" s="11">
        <v>0</v>
      </c>
      <c r="CD117" s="11">
        <v>0</v>
      </c>
      <c r="CE117" s="11">
        <v>0</v>
      </c>
      <c r="CF117" s="26">
        <f t="shared" si="50"/>
        <v>0</v>
      </c>
      <c r="CG117" s="11">
        <v>1</v>
      </c>
      <c r="CH117" s="11">
        <v>1</v>
      </c>
      <c r="CI117" s="11">
        <v>1</v>
      </c>
      <c r="CJ117" s="11">
        <v>1</v>
      </c>
      <c r="CK117" s="11">
        <v>1</v>
      </c>
      <c r="CL117" s="11">
        <v>1</v>
      </c>
      <c r="CM117" s="11">
        <v>1</v>
      </c>
      <c r="CN117" s="11">
        <v>1</v>
      </c>
      <c r="CO117" s="11">
        <v>1</v>
      </c>
      <c r="CP117" s="11">
        <v>1</v>
      </c>
      <c r="CQ117" s="11">
        <v>1</v>
      </c>
      <c r="CR117" s="11">
        <v>1</v>
      </c>
      <c r="CS117" s="26">
        <f t="shared" si="51"/>
        <v>12</v>
      </c>
      <c r="CT117" s="11">
        <v>0</v>
      </c>
      <c r="CU117" s="11">
        <v>0</v>
      </c>
      <c r="CV117" s="11">
        <v>0</v>
      </c>
      <c r="CW117" s="11">
        <v>0</v>
      </c>
      <c r="CX117" s="11">
        <v>0</v>
      </c>
      <c r="CY117" s="11">
        <v>0</v>
      </c>
      <c r="CZ117" s="11">
        <v>0</v>
      </c>
      <c r="DA117" s="11">
        <v>0</v>
      </c>
      <c r="DB117" s="11">
        <v>0</v>
      </c>
      <c r="DC117" s="11">
        <v>0</v>
      </c>
      <c r="DD117" s="11">
        <v>0</v>
      </c>
      <c r="DE117" s="11">
        <v>0</v>
      </c>
      <c r="DF117" s="26">
        <f t="shared" si="52"/>
        <v>0</v>
      </c>
      <c r="DG117" s="11">
        <v>0</v>
      </c>
      <c r="DH117" s="11">
        <v>0</v>
      </c>
      <c r="DI117" s="11">
        <v>0</v>
      </c>
      <c r="DJ117" s="11">
        <v>0</v>
      </c>
      <c r="DK117" s="11">
        <v>0</v>
      </c>
      <c r="DL117" s="11">
        <v>0</v>
      </c>
      <c r="DM117" s="11">
        <v>0</v>
      </c>
      <c r="DN117" s="11">
        <v>0</v>
      </c>
      <c r="DO117" s="11">
        <v>0</v>
      </c>
      <c r="DP117" s="11">
        <v>0</v>
      </c>
      <c r="DQ117" s="11">
        <v>0</v>
      </c>
      <c r="DR117" s="11">
        <v>0</v>
      </c>
      <c r="DS117" s="26">
        <f t="shared" si="53"/>
        <v>0</v>
      </c>
      <c r="DT117" s="11">
        <v>0</v>
      </c>
      <c r="DU117" s="11">
        <v>0</v>
      </c>
      <c r="DV117" s="11">
        <v>0</v>
      </c>
      <c r="DW117" s="11">
        <v>0</v>
      </c>
      <c r="DX117" s="11">
        <v>0</v>
      </c>
      <c r="DY117" s="11">
        <v>0</v>
      </c>
      <c r="DZ117" s="11">
        <v>0</v>
      </c>
      <c r="EA117" s="11">
        <v>0</v>
      </c>
      <c r="EB117" s="11">
        <v>0</v>
      </c>
      <c r="EC117" s="11">
        <v>0</v>
      </c>
      <c r="ED117" s="11">
        <v>0</v>
      </c>
      <c r="EE117" s="11">
        <v>0</v>
      </c>
      <c r="EF117" s="26">
        <f t="shared" si="54"/>
        <v>0</v>
      </c>
      <c r="EG117" s="9">
        <f t="shared" si="55"/>
        <v>6618</v>
      </c>
      <c r="EH117" s="9">
        <f t="shared" si="56"/>
        <v>12</v>
      </c>
      <c r="EI117" s="11">
        <v>3203</v>
      </c>
      <c r="EJ117" s="11">
        <v>3971</v>
      </c>
      <c r="EK117" s="11">
        <v>2930</v>
      </c>
      <c r="EL117" s="11">
        <v>11264</v>
      </c>
      <c r="EM117" s="11">
        <v>3743</v>
      </c>
      <c r="EN117" s="11">
        <v>2040</v>
      </c>
      <c r="EO117" s="11">
        <v>5476</v>
      </c>
      <c r="EP117" s="11">
        <v>4502</v>
      </c>
      <c r="EQ117" s="11">
        <v>3289</v>
      </c>
      <c r="ER117" s="11">
        <v>4499</v>
      </c>
      <c r="ES117" s="11">
        <v>3822</v>
      </c>
      <c r="ET117" s="11">
        <v>4150</v>
      </c>
      <c r="EU117" s="26">
        <f t="shared" si="57"/>
        <v>52889</v>
      </c>
      <c r="EV117" s="11">
        <v>1112</v>
      </c>
      <c r="EW117" s="11">
        <v>1768</v>
      </c>
      <c r="EX117" s="11">
        <v>1284</v>
      </c>
      <c r="EY117" s="11">
        <v>1069</v>
      </c>
      <c r="EZ117" s="11">
        <v>1249</v>
      </c>
      <c r="FA117" s="11">
        <v>937</v>
      </c>
      <c r="FB117" s="11">
        <v>1567</v>
      </c>
      <c r="FC117" s="11">
        <v>1687</v>
      </c>
      <c r="FD117" s="11">
        <v>1202</v>
      </c>
      <c r="FE117" s="11">
        <v>1402</v>
      </c>
      <c r="FF117" s="11">
        <v>1119</v>
      </c>
      <c r="FG117" s="11">
        <v>1172</v>
      </c>
      <c r="FH117" s="26">
        <f t="shared" si="58"/>
        <v>15568</v>
      </c>
      <c r="FI117" s="11">
        <v>2646</v>
      </c>
      <c r="FJ117" s="11">
        <v>2735</v>
      </c>
      <c r="FK117" s="11">
        <v>2875</v>
      </c>
      <c r="FL117" s="11">
        <v>10375</v>
      </c>
      <c r="FM117" s="11">
        <v>3036</v>
      </c>
      <c r="FN117" s="11">
        <v>1750</v>
      </c>
      <c r="FO117" s="11">
        <v>3910</v>
      </c>
      <c r="FP117" s="11">
        <v>2901</v>
      </c>
      <c r="FQ117" s="11">
        <v>2183</v>
      </c>
      <c r="FR117" s="11">
        <v>3011</v>
      </c>
      <c r="FS117" s="11">
        <v>2661</v>
      </c>
      <c r="FT117" s="11">
        <v>2842</v>
      </c>
      <c r="FU117" s="26">
        <f t="shared" si="59"/>
        <v>40925</v>
      </c>
      <c r="FV117" s="11">
        <v>31</v>
      </c>
      <c r="FW117" s="11">
        <v>38</v>
      </c>
      <c r="FX117" s="11">
        <v>28</v>
      </c>
      <c r="FY117" s="11">
        <v>130</v>
      </c>
      <c r="FZ117" s="11">
        <v>151</v>
      </c>
      <c r="GA117" s="11">
        <v>36</v>
      </c>
      <c r="GB117" s="11">
        <v>25</v>
      </c>
      <c r="GC117" s="11">
        <v>17</v>
      </c>
      <c r="GD117" s="11">
        <v>35</v>
      </c>
      <c r="GE117" s="11">
        <v>54</v>
      </c>
      <c r="GF117" s="11">
        <v>42</v>
      </c>
      <c r="GG117" s="11">
        <v>136</v>
      </c>
      <c r="GH117" s="26">
        <f t="shared" si="60"/>
        <v>723</v>
      </c>
      <c r="GI117" s="11">
        <v>30</v>
      </c>
      <c r="GJ117" s="11">
        <v>19</v>
      </c>
      <c r="GK117" s="11">
        <v>37</v>
      </c>
      <c r="GL117" s="11">
        <v>0</v>
      </c>
      <c r="GM117" s="11">
        <v>0</v>
      </c>
      <c r="GN117" s="11">
        <v>0</v>
      </c>
      <c r="GO117" s="11">
        <v>0</v>
      </c>
      <c r="GP117" s="11">
        <v>29</v>
      </c>
      <c r="GQ117" s="11">
        <v>0</v>
      </c>
      <c r="GR117" s="11">
        <v>42</v>
      </c>
      <c r="GS117" s="11">
        <v>33</v>
      </c>
      <c r="GT117" s="11">
        <v>0</v>
      </c>
      <c r="GU117" s="26">
        <f t="shared" si="61"/>
        <v>190</v>
      </c>
      <c r="GV117" s="11">
        <v>0</v>
      </c>
      <c r="GW117" s="11">
        <v>0</v>
      </c>
      <c r="GX117" s="11">
        <v>0</v>
      </c>
      <c r="GY117" s="11">
        <v>0</v>
      </c>
      <c r="GZ117" s="11">
        <v>0</v>
      </c>
      <c r="HA117" s="11">
        <v>0</v>
      </c>
      <c r="HB117" s="11">
        <v>0</v>
      </c>
      <c r="HC117" s="11">
        <v>0</v>
      </c>
      <c r="HD117" s="11">
        <v>0</v>
      </c>
      <c r="HE117" s="11">
        <v>0</v>
      </c>
      <c r="HF117" s="11">
        <v>0</v>
      </c>
      <c r="HG117" s="11">
        <v>0</v>
      </c>
      <c r="HH117" s="26">
        <f t="shared" si="62"/>
        <v>0</v>
      </c>
      <c r="HI117" s="11">
        <v>0</v>
      </c>
      <c r="HJ117" s="11">
        <v>0</v>
      </c>
      <c r="HK117" s="11">
        <v>0</v>
      </c>
      <c r="HL117" s="11">
        <v>0</v>
      </c>
      <c r="HM117" s="11">
        <v>0</v>
      </c>
      <c r="HN117" s="11">
        <v>0</v>
      </c>
      <c r="HO117" s="11">
        <v>0</v>
      </c>
      <c r="HP117" s="11">
        <v>0</v>
      </c>
      <c r="HQ117" s="11">
        <v>0</v>
      </c>
      <c r="HR117" s="11">
        <v>0</v>
      </c>
      <c r="HS117" s="11">
        <v>0</v>
      </c>
      <c r="HT117" s="11">
        <v>0</v>
      </c>
      <c r="HU117" s="26">
        <f t="shared" si="63"/>
        <v>0</v>
      </c>
      <c r="HV117" s="11">
        <v>0</v>
      </c>
      <c r="HW117" s="11">
        <v>0</v>
      </c>
      <c r="HX117" s="11">
        <v>0</v>
      </c>
      <c r="HY117" s="11">
        <v>0</v>
      </c>
      <c r="HZ117" s="11">
        <v>0</v>
      </c>
      <c r="IA117" s="11">
        <v>0</v>
      </c>
      <c r="IB117" s="11">
        <v>0</v>
      </c>
      <c r="IC117" s="11">
        <v>0</v>
      </c>
      <c r="ID117" s="11">
        <v>0</v>
      </c>
      <c r="IE117" s="11">
        <v>0</v>
      </c>
      <c r="IF117" s="11">
        <v>0</v>
      </c>
      <c r="IG117" s="11">
        <v>0</v>
      </c>
      <c r="IH117" s="26">
        <f t="shared" si="64"/>
        <v>0</v>
      </c>
      <c r="II117" s="9">
        <f t="shared" si="65"/>
        <v>57216</v>
      </c>
      <c r="IJ117" s="9">
        <f t="shared" si="66"/>
        <v>0</v>
      </c>
      <c r="IK117" s="11">
        <v>51880</v>
      </c>
      <c r="IL117" s="11">
        <v>51227</v>
      </c>
      <c r="IM117" s="11">
        <v>48161</v>
      </c>
      <c r="IN117" s="11">
        <v>57652</v>
      </c>
      <c r="IO117" s="11">
        <v>59494</v>
      </c>
      <c r="IP117" s="11">
        <v>52562</v>
      </c>
      <c r="IQ117" s="11">
        <v>56293</v>
      </c>
      <c r="IR117" s="11">
        <v>52063</v>
      </c>
      <c r="IS117" s="11">
        <v>42711</v>
      </c>
      <c r="IT117" s="11">
        <v>53635</v>
      </c>
      <c r="IU117" s="11">
        <v>49907</v>
      </c>
      <c r="IV117" s="11">
        <v>53040</v>
      </c>
      <c r="IW117" s="27">
        <f t="shared" si="67"/>
        <v>628625</v>
      </c>
      <c r="IX117" s="11">
        <v>29278</v>
      </c>
      <c r="IY117" s="11">
        <v>28715</v>
      </c>
      <c r="IZ117" s="11">
        <v>27203</v>
      </c>
      <c r="JA117" s="11">
        <v>29920</v>
      </c>
      <c r="JB117" s="11">
        <v>31043</v>
      </c>
      <c r="JC117" s="11">
        <v>28471</v>
      </c>
      <c r="JD117" s="11">
        <v>30669</v>
      </c>
      <c r="JE117" s="11">
        <v>28449</v>
      </c>
      <c r="JF117" s="11">
        <v>24863</v>
      </c>
      <c r="JG117" s="11">
        <v>29843</v>
      </c>
      <c r="JH117" s="11">
        <v>27106</v>
      </c>
      <c r="JI117" s="11">
        <v>29494</v>
      </c>
      <c r="JJ117" s="27">
        <f t="shared" si="68"/>
        <v>345054</v>
      </c>
      <c r="JK117" s="11">
        <v>21687</v>
      </c>
      <c r="JL117" s="11">
        <v>21569</v>
      </c>
      <c r="JM117" s="11">
        <v>20037</v>
      </c>
      <c r="JN117" s="11">
        <v>26576</v>
      </c>
      <c r="JO117" s="11">
        <v>27195</v>
      </c>
      <c r="JP117" s="11">
        <v>23052</v>
      </c>
      <c r="JQ117" s="11">
        <v>24479</v>
      </c>
      <c r="JR117" s="11">
        <v>22574</v>
      </c>
      <c r="JS117" s="11">
        <v>17082</v>
      </c>
      <c r="JT117" s="11">
        <v>22826</v>
      </c>
      <c r="JU117" s="11">
        <v>21775</v>
      </c>
      <c r="JV117" s="11">
        <v>22554</v>
      </c>
      <c r="JW117" s="27">
        <f t="shared" si="69"/>
        <v>271406</v>
      </c>
      <c r="JX117" s="11">
        <v>915</v>
      </c>
      <c r="JY117" s="11">
        <v>943</v>
      </c>
      <c r="JZ117" s="11">
        <v>921</v>
      </c>
      <c r="KA117" s="11">
        <v>1156</v>
      </c>
      <c r="KB117" s="11">
        <v>1256</v>
      </c>
      <c r="KC117" s="11">
        <v>1039</v>
      </c>
      <c r="KD117" s="11">
        <v>1145</v>
      </c>
      <c r="KE117" s="11">
        <v>1040</v>
      </c>
      <c r="KF117" s="11">
        <v>766</v>
      </c>
      <c r="KG117" s="11">
        <v>966</v>
      </c>
      <c r="KH117" s="11">
        <v>1026</v>
      </c>
      <c r="KI117" s="11">
        <v>992</v>
      </c>
      <c r="KJ117" s="27">
        <f t="shared" si="70"/>
        <v>12165</v>
      </c>
      <c r="KK117" s="11">
        <v>805</v>
      </c>
      <c r="KL117" s="11">
        <v>801</v>
      </c>
      <c r="KM117" s="11">
        <v>723</v>
      </c>
      <c r="KN117" s="11">
        <v>820</v>
      </c>
      <c r="KO117" s="11">
        <v>806</v>
      </c>
      <c r="KP117" s="11">
        <v>729</v>
      </c>
      <c r="KQ117" s="11">
        <v>818</v>
      </c>
      <c r="KR117" s="11">
        <v>697</v>
      </c>
      <c r="KS117" s="11">
        <v>587</v>
      </c>
      <c r="KT117" s="11">
        <v>826</v>
      </c>
      <c r="KU117" s="11">
        <v>693</v>
      </c>
      <c r="KV117" s="11">
        <v>737</v>
      </c>
      <c r="KW117" s="27">
        <f t="shared" si="71"/>
        <v>9042</v>
      </c>
      <c r="KX117" s="11">
        <v>625</v>
      </c>
      <c r="KY117" s="11">
        <v>801</v>
      </c>
      <c r="KZ117" s="11">
        <v>582</v>
      </c>
      <c r="LA117" s="11">
        <v>595</v>
      </c>
      <c r="LB117" s="11">
        <v>596</v>
      </c>
      <c r="LC117" s="11">
        <v>568</v>
      </c>
      <c r="LD117" s="11">
        <v>663</v>
      </c>
      <c r="LE117" s="11">
        <v>564</v>
      </c>
      <c r="LF117" s="11">
        <v>501</v>
      </c>
      <c r="LG117" s="11">
        <v>707</v>
      </c>
      <c r="LH117" s="11">
        <v>562</v>
      </c>
      <c r="LI117" s="11">
        <v>603</v>
      </c>
      <c r="LJ117" s="27">
        <f t="shared" si="72"/>
        <v>7367</v>
      </c>
      <c r="LK117" s="11">
        <v>180</v>
      </c>
      <c r="LL117" s="11">
        <v>168</v>
      </c>
      <c r="LM117" s="11">
        <v>141</v>
      </c>
      <c r="LN117" s="11">
        <v>225</v>
      </c>
      <c r="LO117" s="11">
        <v>210</v>
      </c>
      <c r="LP117" s="11">
        <v>161</v>
      </c>
      <c r="LQ117" s="11">
        <v>155</v>
      </c>
      <c r="LR117" s="11">
        <v>133</v>
      </c>
      <c r="LS117" s="11">
        <v>86</v>
      </c>
      <c r="LT117" s="11">
        <v>119</v>
      </c>
      <c r="LU117" s="11">
        <v>131</v>
      </c>
      <c r="LV117" s="11">
        <v>134</v>
      </c>
      <c r="LW117" s="27">
        <f t="shared" si="73"/>
        <v>1843</v>
      </c>
      <c r="LX117" s="11">
        <v>0</v>
      </c>
      <c r="LY117" s="11">
        <v>0</v>
      </c>
      <c r="LZ117" s="11">
        <v>0</v>
      </c>
      <c r="MA117" s="11">
        <v>0</v>
      </c>
      <c r="MB117" s="11">
        <v>0</v>
      </c>
      <c r="MC117" s="11">
        <v>0</v>
      </c>
      <c r="MD117" s="11">
        <v>0</v>
      </c>
      <c r="ME117" s="11">
        <v>0</v>
      </c>
      <c r="MF117" s="11">
        <v>0</v>
      </c>
      <c r="MG117" s="11">
        <v>0</v>
      </c>
      <c r="MH117" s="11">
        <v>0</v>
      </c>
      <c r="MI117" s="11">
        <v>0</v>
      </c>
      <c r="MJ117" s="27">
        <f t="shared" si="74"/>
        <v>0</v>
      </c>
      <c r="MK117" s="11">
        <v>4393</v>
      </c>
      <c r="ML117" s="11">
        <v>4541</v>
      </c>
      <c r="MM117" s="11">
        <v>4534</v>
      </c>
      <c r="MN117" s="11">
        <v>4714</v>
      </c>
      <c r="MO117" s="11">
        <v>4967</v>
      </c>
      <c r="MP117" s="11">
        <v>4581</v>
      </c>
      <c r="MQ117" s="11">
        <v>4928</v>
      </c>
      <c r="MR117" s="11">
        <v>4558</v>
      </c>
      <c r="MS117" s="11">
        <v>4776</v>
      </c>
      <c r="MT117" s="11">
        <v>5039</v>
      </c>
      <c r="MU117" s="11">
        <v>4368</v>
      </c>
      <c r="MV117" s="11">
        <v>4627</v>
      </c>
      <c r="MW117" s="27">
        <f t="shared" si="75"/>
        <v>56026</v>
      </c>
      <c r="MX117" s="11">
        <v>0</v>
      </c>
      <c r="MY117" s="11">
        <v>0</v>
      </c>
      <c r="MZ117" s="11">
        <v>12410</v>
      </c>
      <c r="NA117" s="11">
        <v>0</v>
      </c>
      <c r="NB117" s="11">
        <v>0</v>
      </c>
      <c r="NC117" s="11">
        <v>13047</v>
      </c>
      <c r="ND117" s="11">
        <v>0</v>
      </c>
      <c r="NE117" s="11">
        <v>0</v>
      </c>
      <c r="NF117" s="11">
        <v>13071</v>
      </c>
      <c r="NG117" s="11">
        <v>0</v>
      </c>
      <c r="NH117" s="11">
        <v>0</v>
      </c>
      <c r="NI117" s="11">
        <v>12843</v>
      </c>
      <c r="NJ117" s="27">
        <f t="shared" si="76"/>
        <v>51371</v>
      </c>
      <c r="NK117" s="11">
        <v>0</v>
      </c>
      <c r="NL117" s="11">
        <v>0</v>
      </c>
      <c r="NM117" s="11">
        <v>1058</v>
      </c>
      <c r="NN117" s="11">
        <v>0</v>
      </c>
      <c r="NO117" s="11">
        <v>0</v>
      </c>
      <c r="NP117" s="11">
        <v>1215</v>
      </c>
      <c r="NQ117" s="11">
        <v>0</v>
      </c>
      <c r="NR117" s="11">
        <v>0</v>
      </c>
      <c r="NS117" s="11">
        <v>1191</v>
      </c>
      <c r="NT117" s="11">
        <v>0</v>
      </c>
      <c r="NU117" s="11">
        <v>0</v>
      </c>
      <c r="NV117" s="11">
        <v>1191</v>
      </c>
      <c r="NW117" s="27">
        <f t="shared" si="77"/>
        <v>4655</v>
      </c>
      <c r="NX117" s="11">
        <v>0</v>
      </c>
      <c r="NY117" s="11">
        <v>0</v>
      </c>
      <c r="NZ117" s="11">
        <v>0</v>
      </c>
      <c r="OA117" s="11">
        <v>0</v>
      </c>
      <c r="OB117" s="11">
        <v>0</v>
      </c>
      <c r="OC117" s="11">
        <v>0</v>
      </c>
      <c r="OD117" s="11">
        <v>0</v>
      </c>
      <c r="OE117" s="11">
        <v>0</v>
      </c>
      <c r="OF117" s="11">
        <v>0</v>
      </c>
      <c r="OG117" s="11">
        <v>0</v>
      </c>
      <c r="OH117" s="11">
        <v>0</v>
      </c>
      <c r="OI117" s="11">
        <v>0</v>
      </c>
      <c r="OJ117" s="27">
        <f t="shared" si="78"/>
        <v>0</v>
      </c>
      <c r="OK117" s="11">
        <v>5071</v>
      </c>
      <c r="OL117" s="11">
        <v>5098</v>
      </c>
      <c r="OM117" s="11">
        <v>4991</v>
      </c>
      <c r="ON117" s="11">
        <v>5297</v>
      </c>
      <c r="OO117" s="11">
        <v>5538</v>
      </c>
      <c r="OP117" s="11">
        <v>5194</v>
      </c>
      <c r="OQ117" s="11">
        <v>5621</v>
      </c>
      <c r="OR117" s="11">
        <v>5353</v>
      </c>
      <c r="OS117" s="11">
        <v>5186</v>
      </c>
      <c r="OT117" s="11">
        <v>5840</v>
      </c>
      <c r="OU117" s="11">
        <v>5412</v>
      </c>
      <c r="OV117" s="11">
        <v>5635</v>
      </c>
      <c r="OW117" s="27">
        <f t="shared" si="79"/>
        <v>64236</v>
      </c>
      <c r="OX117" s="11">
        <v>0</v>
      </c>
      <c r="OY117" s="11">
        <v>0</v>
      </c>
      <c r="OZ117" s="11">
        <v>12952</v>
      </c>
      <c r="PA117" s="11">
        <v>0</v>
      </c>
      <c r="PB117" s="11">
        <v>0</v>
      </c>
      <c r="PC117" s="11">
        <v>13650</v>
      </c>
      <c r="PD117" s="11">
        <v>0</v>
      </c>
      <c r="PE117" s="11">
        <v>0</v>
      </c>
      <c r="PF117" s="11">
        <v>10218</v>
      </c>
      <c r="PG117" s="11">
        <v>0</v>
      </c>
      <c r="PH117" s="11">
        <v>0</v>
      </c>
      <c r="PI117" s="11">
        <v>14564</v>
      </c>
      <c r="PJ117" s="27">
        <f t="shared" si="80"/>
        <v>51384</v>
      </c>
      <c r="PK117" s="11">
        <v>0</v>
      </c>
      <c r="PL117" s="11">
        <v>0</v>
      </c>
      <c r="PM117" s="11">
        <v>2208</v>
      </c>
      <c r="PN117" s="11">
        <v>0</v>
      </c>
      <c r="PO117" s="11">
        <v>0</v>
      </c>
      <c r="PP117" s="11">
        <v>2379</v>
      </c>
      <c r="PQ117" s="11">
        <v>0</v>
      </c>
      <c r="PR117" s="11">
        <v>0</v>
      </c>
      <c r="PS117" s="11">
        <v>1669</v>
      </c>
      <c r="PT117" s="11">
        <v>0</v>
      </c>
      <c r="PU117" s="11">
        <v>0</v>
      </c>
      <c r="PV117" s="11">
        <v>2323</v>
      </c>
      <c r="PW117" s="27">
        <f t="shared" si="81"/>
        <v>8579</v>
      </c>
      <c r="PX117" s="11">
        <v>0</v>
      </c>
      <c r="PY117" s="11">
        <v>0</v>
      </c>
      <c r="PZ117" s="11">
        <v>0</v>
      </c>
      <c r="QA117" s="11">
        <v>0</v>
      </c>
      <c r="QB117" s="11">
        <v>0</v>
      </c>
      <c r="QC117" s="11">
        <v>0</v>
      </c>
      <c r="QD117" s="11">
        <v>0</v>
      </c>
      <c r="QE117" s="11">
        <v>0</v>
      </c>
      <c r="QF117" s="11">
        <v>0</v>
      </c>
      <c r="QG117" s="11">
        <v>0</v>
      </c>
      <c r="QH117" s="11">
        <v>0</v>
      </c>
      <c r="QI117" s="11">
        <v>0</v>
      </c>
      <c r="QJ117" s="27">
        <f t="shared" si="82"/>
        <v>0</v>
      </c>
      <c r="QK117" s="11">
        <v>74614</v>
      </c>
      <c r="QL117" s="11">
        <v>76222</v>
      </c>
      <c r="QM117" s="11">
        <v>72186</v>
      </c>
      <c r="QN117" s="11">
        <v>77402</v>
      </c>
      <c r="QO117" s="11">
        <v>74992</v>
      </c>
      <c r="QP117" s="11">
        <v>72369</v>
      </c>
      <c r="QQ117" s="11">
        <v>84126</v>
      </c>
      <c r="QR117" s="11">
        <v>74538</v>
      </c>
      <c r="QS117" s="11">
        <v>58103</v>
      </c>
      <c r="QT117" s="11">
        <v>77364</v>
      </c>
      <c r="QU117" s="11">
        <v>74744</v>
      </c>
      <c r="QV117" s="11">
        <v>78555</v>
      </c>
      <c r="QW117" s="27">
        <f t="shared" si="83"/>
        <v>895215</v>
      </c>
      <c r="QX117" s="11">
        <v>0</v>
      </c>
      <c r="QY117" s="11">
        <v>0</v>
      </c>
      <c r="QZ117" s="11">
        <v>0</v>
      </c>
      <c r="RA117" s="11">
        <v>0</v>
      </c>
      <c r="RB117" s="11">
        <v>0</v>
      </c>
      <c r="RC117" s="11">
        <v>0</v>
      </c>
      <c r="RD117" s="11">
        <v>0</v>
      </c>
      <c r="RE117" s="11">
        <v>0</v>
      </c>
      <c r="RF117" s="11">
        <v>0</v>
      </c>
      <c r="RG117" s="11">
        <v>0</v>
      </c>
      <c r="RH117" s="11">
        <v>0</v>
      </c>
      <c r="RI117" s="11">
        <v>0</v>
      </c>
      <c r="RJ117" s="27">
        <f t="shared" si="84"/>
        <v>0</v>
      </c>
      <c r="RK117" s="11">
        <v>0</v>
      </c>
      <c r="RL117" s="11">
        <v>0</v>
      </c>
      <c r="RM117" s="11">
        <v>0</v>
      </c>
      <c r="RN117" s="11">
        <v>0</v>
      </c>
      <c r="RO117" s="11">
        <v>0</v>
      </c>
      <c r="RP117" s="11">
        <v>0</v>
      </c>
      <c r="RQ117" s="11">
        <v>0</v>
      </c>
      <c r="RR117" s="11">
        <v>0</v>
      </c>
      <c r="RS117" s="11">
        <v>0</v>
      </c>
      <c r="RT117" s="11">
        <v>0</v>
      </c>
      <c r="RU117" s="11">
        <v>0</v>
      </c>
      <c r="RV117" s="11">
        <v>0</v>
      </c>
      <c r="RW117" s="27">
        <f t="shared" si="85"/>
        <v>0</v>
      </c>
      <c r="RX117" s="11">
        <v>0</v>
      </c>
      <c r="RY117" s="11">
        <v>0</v>
      </c>
      <c r="RZ117" s="11">
        <v>0</v>
      </c>
      <c r="SA117" s="11">
        <v>0</v>
      </c>
      <c r="SB117" s="11">
        <v>0</v>
      </c>
      <c r="SC117" s="11">
        <v>0</v>
      </c>
      <c r="SD117" s="11">
        <v>0</v>
      </c>
      <c r="SE117" s="11">
        <v>0</v>
      </c>
      <c r="SF117" s="11">
        <v>0</v>
      </c>
      <c r="SG117" s="11">
        <v>0</v>
      </c>
      <c r="SH117" s="11">
        <v>0</v>
      </c>
      <c r="SI117" s="11">
        <v>0</v>
      </c>
      <c r="SJ117" s="27">
        <f t="shared" si="86"/>
        <v>0</v>
      </c>
      <c r="SK117" s="11">
        <v>0</v>
      </c>
      <c r="SL117" s="11">
        <v>0</v>
      </c>
      <c r="SM117" s="11">
        <v>0</v>
      </c>
      <c r="SN117" s="11">
        <v>0</v>
      </c>
      <c r="SO117" s="11">
        <v>0</v>
      </c>
      <c r="SP117" s="11">
        <v>0</v>
      </c>
      <c r="SQ117" s="11">
        <v>0</v>
      </c>
      <c r="SR117" s="11">
        <v>0</v>
      </c>
      <c r="SS117" s="11">
        <v>0</v>
      </c>
      <c r="ST117" s="11">
        <v>0</v>
      </c>
      <c r="SU117" s="11">
        <v>0</v>
      </c>
      <c r="SV117" s="11">
        <v>0</v>
      </c>
      <c r="SW117" s="27">
        <f t="shared" si="87"/>
        <v>0</v>
      </c>
      <c r="SX117" s="11" t="s">
        <v>2755</v>
      </c>
      <c r="SY117" s="11">
        <v>3275</v>
      </c>
      <c r="SZ117" s="11">
        <v>3106</v>
      </c>
      <c r="TA117" s="11">
        <v>2926</v>
      </c>
      <c r="TB117" s="11">
        <v>3058</v>
      </c>
      <c r="TC117" s="11">
        <v>3197</v>
      </c>
      <c r="TD117" s="11">
        <v>3070</v>
      </c>
      <c r="TE117" s="11">
        <v>3225</v>
      </c>
      <c r="TF117" s="11">
        <v>3025</v>
      </c>
      <c r="TG117" s="11">
        <v>2430</v>
      </c>
      <c r="TH117" s="11">
        <v>3191</v>
      </c>
      <c r="TI117" s="11">
        <v>3139</v>
      </c>
      <c r="TJ117" s="11">
        <v>3226</v>
      </c>
      <c r="TK117" s="27">
        <f t="shared" si="88"/>
        <v>36868</v>
      </c>
      <c r="TL117" s="11">
        <v>0</v>
      </c>
      <c r="TM117" s="11">
        <v>0</v>
      </c>
      <c r="TN117" s="11">
        <v>0</v>
      </c>
      <c r="TO117" s="11">
        <v>0</v>
      </c>
      <c r="TP117" s="11">
        <v>0</v>
      </c>
      <c r="TQ117" s="11">
        <v>0</v>
      </c>
      <c r="TR117" s="11">
        <v>0</v>
      </c>
      <c r="TS117" s="11">
        <v>0</v>
      </c>
      <c r="TT117" s="11">
        <v>0</v>
      </c>
      <c r="TU117" s="11">
        <v>0</v>
      </c>
      <c r="TV117" s="11">
        <v>0</v>
      </c>
      <c r="TW117" s="11">
        <v>0</v>
      </c>
      <c r="TX117" s="27">
        <f t="shared" si="89"/>
        <v>0</v>
      </c>
      <c r="TY117" s="11">
        <v>87</v>
      </c>
      <c r="TZ117" s="11">
        <v>0</v>
      </c>
      <c r="UA117" s="11">
        <v>0</v>
      </c>
    </row>
  </sheetData>
  <autoFilter ref="A2:UA117" xr:uid="{2DF5C28A-79F4-4AC0-8919-E13B489BF399}"/>
  <conditionalFormatting sqref="A1:A117 A123:A1048576">
    <cfRule type="duplicateValues" dxfId="42" priority="1"/>
  </conditionalFormatting>
  <conditionalFormatting sqref="S4:S117">
    <cfRule type="expression" dxfId="41" priority="2">
      <formula>TRUE</formula>
    </cfRule>
  </conditionalFormatting>
  <conditionalFormatting sqref="AF4:AF117">
    <cfRule type="expression" dxfId="40" priority="3">
      <formula>TRUE</formula>
    </cfRule>
  </conditionalFormatting>
  <conditionalFormatting sqref="AS4:AS117">
    <cfRule type="expression" dxfId="39" priority="4">
      <formula>TRUE</formula>
    </cfRule>
  </conditionalFormatting>
  <conditionalFormatting sqref="BF4:BF117">
    <cfRule type="expression" dxfId="38" priority="5">
      <formula>TRUE</formula>
    </cfRule>
  </conditionalFormatting>
  <conditionalFormatting sqref="BS4:BS117">
    <cfRule type="expression" dxfId="37" priority="6">
      <formula>TRUE</formula>
    </cfRule>
  </conditionalFormatting>
  <conditionalFormatting sqref="CF4:CF117">
    <cfRule type="expression" dxfId="36" priority="7">
      <formula>TRUE</formula>
    </cfRule>
  </conditionalFormatting>
  <conditionalFormatting sqref="CS4:CS117">
    <cfRule type="expression" dxfId="35" priority="8">
      <formula>TRUE</formula>
    </cfRule>
  </conditionalFormatting>
  <conditionalFormatting sqref="DF4:DF117">
    <cfRule type="expression" dxfId="34" priority="9">
      <formula>TRUE</formula>
    </cfRule>
  </conditionalFormatting>
  <conditionalFormatting sqref="DS4:DS117">
    <cfRule type="expression" dxfId="33" priority="10">
      <formula>TRUE</formula>
    </cfRule>
  </conditionalFormatting>
  <conditionalFormatting sqref="EF4:EH117">
    <cfRule type="expression" dxfId="32" priority="11">
      <formula>TRUE</formula>
    </cfRule>
  </conditionalFormatting>
  <conditionalFormatting sqref="EG4:EH117">
    <cfRule type="expression" dxfId="31" priority="21">
      <formula>TRUE</formula>
    </cfRule>
  </conditionalFormatting>
  <conditionalFormatting sqref="EU4:EU117">
    <cfRule type="expression" dxfId="30" priority="12">
      <formula>TRUE</formula>
    </cfRule>
  </conditionalFormatting>
  <conditionalFormatting sqref="FH4:FH117">
    <cfRule type="expression" dxfId="29" priority="13">
      <formula>TRUE</formula>
    </cfRule>
  </conditionalFormatting>
  <conditionalFormatting sqref="FU4:FU117">
    <cfRule type="expression" dxfId="28" priority="14">
      <formula>TRUE</formula>
    </cfRule>
  </conditionalFormatting>
  <conditionalFormatting sqref="GH4:GH117">
    <cfRule type="expression" dxfId="27" priority="15">
      <formula>TRUE</formula>
    </cfRule>
  </conditionalFormatting>
  <conditionalFormatting sqref="GU4:GU117">
    <cfRule type="expression" dxfId="26" priority="16">
      <formula>TRUE</formula>
    </cfRule>
  </conditionalFormatting>
  <conditionalFormatting sqref="HH4:HH117">
    <cfRule type="expression" dxfId="25" priority="17">
      <formula>TRUE</formula>
    </cfRule>
  </conditionalFormatting>
  <conditionalFormatting sqref="HU4:HU117">
    <cfRule type="expression" dxfId="24" priority="18">
      <formula>TRUE</formula>
    </cfRule>
  </conditionalFormatting>
  <conditionalFormatting sqref="IH4:IH117">
    <cfRule type="expression" dxfId="23" priority="19">
      <formula>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9158-1226-4794-9074-6A193FA77940}">
  <dimension ref="A1:UB111"/>
  <sheetViews>
    <sheetView workbookViewId="0">
      <pane xSplit="1" ySplit="3" topLeftCell="IW4" activePane="bottomRight" state="frozen"/>
      <selection pane="topRight" activeCell="B1" sqref="B1"/>
      <selection pane="bottomLeft" activeCell="A4" sqref="A4"/>
      <selection pane="bottomRight" activeCell="IX9" sqref="IX9"/>
    </sheetView>
  </sheetViews>
  <sheetFormatPr defaultRowHeight="16.5" customHeight="1" x14ac:dyDescent="0.35"/>
  <cols>
    <col min="1" max="1" width="21" customWidth="1"/>
    <col min="137" max="138" width="19.23046875" style="11" customWidth="1"/>
    <col min="204" max="204" width="16.921875" customWidth="1"/>
    <col min="243" max="244" width="19.23046875" style="11" customWidth="1"/>
  </cols>
  <sheetData>
    <row r="1" spans="1:548" ht="16.5" customHeight="1" x14ac:dyDescent="0.35">
      <c r="A1" t="s">
        <v>0</v>
      </c>
      <c r="C1" t="s">
        <v>1</v>
      </c>
      <c r="D1" t="s">
        <v>2</v>
      </c>
      <c r="E1" t="s">
        <v>3</v>
      </c>
      <c r="F1" t="s">
        <v>4</v>
      </c>
      <c r="G1" t="s">
        <v>5</v>
      </c>
      <c r="H1" t="s">
        <v>6</v>
      </c>
      <c r="I1" t="s">
        <v>7</v>
      </c>
      <c r="J1" t="s">
        <v>8</v>
      </c>
      <c r="K1" t="s">
        <v>9</v>
      </c>
      <c r="L1" t="s">
        <v>10</v>
      </c>
      <c r="M1" t="s">
        <v>11</v>
      </c>
      <c r="N1" t="s">
        <v>12</v>
      </c>
      <c r="O1" t="s">
        <v>13</v>
      </c>
      <c r="P1" t="s">
        <v>14</v>
      </c>
      <c r="Q1" t="s">
        <v>15</v>
      </c>
      <c r="R1" t="s">
        <v>16</v>
      </c>
      <c r="S1" s="7" t="s">
        <v>1628</v>
      </c>
      <c r="T1" t="s">
        <v>17</v>
      </c>
      <c r="U1" t="s">
        <v>18</v>
      </c>
      <c r="V1" t="s">
        <v>19</v>
      </c>
      <c r="W1" t="s">
        <v>20</v>
      </c>
      <c r="X1" t="s">
        <v>21</v>
      </c>
      <c r="Y1" t="s">
        <v>22</v>
      </c>
      <c r="Z1" t="s">
        <v>23</v>
      </c>
      <c r="AA1" t="s">
        <v>24</v>
      </c>
      <c r="AB1" t="s">
        <v>25</v>
      </c>
      <c r="AC1" t="s">
        <v>26</v>
      </c>
      <c r="AD1" t="s">
        <v>27</v>
      </c>
      <c r="AE1" t="s">
        <v>28</v>
      </c>
      <c r="AF1" s="7" t="s">
        <v>1627</v>
      </c>
      <c r="AG1" t="s">
        <v>29</v>
      </c>
      <c r="AH1" t="s">
        <v>30</v>
      </c>
      <c r="AI1" t="s">
        <v>31</v>
      </c>
      <c r="AJ1" t="s">
        <v>32</v>
      </c>
      <c r="AK1" t="s">
        <v>33</v>
      </c>
      <c r="AL1" t="s">
        <v>34</v>
      </c>
      <c r="AM1" t="s">
        <v>35</v>
      </c>
      <c r="AN1" t="s">
        <v>36</v>
      </c>
      <c r="AO1" t="s">
        <v>37</v>
      </c>
      <c r="AP1" t="s">
        <v>38</v>
      </c>
      <c r="AQ1" t="s">
        <v>39</v>
      </c>
      <c r="AR1" t="s">
        <v>40</v>
      </c>
      <c r="AS1" s="7" t="s">
        <v>1626</v>
      </c>
      <c r="AT1" t="s">
        <v>41</v>
      </c>
      <c r="AU1" t="s">
        <v>42</v>
      </c>
      <c r="AV1" t="s">
        <v>43</v>
      </c>
      <c r="AW1" t="s">
        <v>44</v>
      </c>
      <c r="AX1" t="s">
        <v>45</v>
      </c>
      <c r="AY1" t="s">
        <v>46</v>
      </c>
      <c r="AZ1" t="s">
        <v>47</v>
      </c>
      <c r="BA1" t="s">
        <v>48</v>
      </c>
      <c r="BB1" t="s">
        <v>49</v>
      </c>
      <c r="BC1" t="s">
        <v>50</v>
      </c>
      <c r="BD1" t="s">
        <v>51</v>
      </c>
      <c r="BE1" t="s">
        <v>52</v>
      </c>
      <c r="BF1" s="7" t="s">
        <v>1625</v>
      </c>
      <c r="BG1" t="s">
        <v>53</v>
      </c>
      <c r="BH1" t="s">
        <v>54</v>
      </c>
      <c r="BI1" t="s">
        <v>55</v>
      </c>
      <c r="BJ1" t="s">
        <v>56</v>
      </c>
      <c r="BK1" t="s">
        <v>57</v>
      </c>
      <c r="BL1" t="s">
        <v>58</v>
      </c>
      <c r="BM1" t="s">
        <v>59</v>
      </c>
      <c r="BN1" t="s">
        <v>60</v>
      </c>
      <c r="BO1" t="s">
        <v>61</v>
      </c>
      <c r="BP1" t="s">
        <v>62</v>
      </c>
      <c r="BQ1" t="s">
        <v>63</v>
      </c>
      <c r="BR1" t="s">
        <v>64</v>
      </c>
      <c r="BS1" s="7" t="s">
        <v>1623</v>
      </c>
      <c r="BT1" t="s">
        <v>65</v>
      </c>
      <c r="BU1" t="s">
        <v>66</v>
      </c>
      <c r="BV1" t="s">
        <v>67</v>
      </c>
      <c r="BW1" t="s">
        <v>68</v>
      </c>
      <c r="BX1" t="s">
        <v>69</v>
      </c>
      <c r="BY1" t="s">
        <v>70</v>
      </c>
      <c r="BZ1" t="s">
        <v>71</v>
      </c>
      <c r="CA1" t="s">
        <v>72</v>
      </c>
      <c r="CB1" t="s">
        <v>73</v>
      </c>
      <c r="CC1" t="s">
        <v>74</v>
      </c>
      <c r="CD1" t="s">
        <v>75</v>
      </c>
      <c r="CE1" t="s">
        <v>76</v>
      </c>
      <c r="CF1" s="7" t="s">
        <v>1621</v>
      </c>
      <c r="CG1" t="s">
        <v>77</v>
      </c>
      <c r="CH1" t="s">
        <v>78</v>
      </c>
      <c r="CI1" t="s">
        <v>79</v>
      </c>
      <c r="CJ1" t="s">
        <v>80</v>
      </c>
      <c r="CK1" t="s">
        <v>81</v>
      </c>
      <c r="CL1" t="s">
        <v>82</v>
      </c>
      <c r="CM1" t="s">
        <v>83</v>
      </c>
      <c r="CN1" t="s">
        <v>84</v>
      </c>
      <c r="CO1" t="s">
        <v>85</v>
      </c>
      <c r="CP1" t="s">
        <v>86</v>
      </c>
      <c r="CQ1" t="s">
        <v>87</v>
      </c>
      <c r="CR1" t="s">
        <v>88</v>
      </c>
      <c r="CS1" s="7" t="s">
        <v>1619</v>
      </c>
      <c r="CT1" t="s">
        <v>89</v>
      </c>
      <c r="CU1" t="s">
        <v>90</v>
      </c>
      <c r="CV1" t="s">
        <v>91</v>
      </c>
      <c r="CW1" t="s">
        <v>92</v>
      </c>
      <c r="CX1" t="s">
        <v>93</v>
      </c>
      <c r="CY1" t="s">
        <v>94</v>
      </c>
      <c r="CZ1" t="s">
        <v>95</v>
      </c>
      <c r="DA1" t="s">
        <v>96</v>
      </c>
      <c r="DB1" t="s">
        <v>97</v>
      </c>
      <c r="DC1" t="s">
        <v>98</v>
      </c>
      <c r="DD1" t="s">
        <v>99</v>
      </c>
      <c r="DE1" t="s">
        <v>100</v>
      </c>
      <c r="DF1" s="7" t="s">
        <v>1617</v>
      </c>
      <c r="DG1" t="s">
        <v>101</v>
      </c>
      <c r="DH1" t="s">
        <v>102</v>
      </c>
      <c r="DI1" t="s">
        <v>103</v>
      </c>
      <c r="DJ1" t="s">
        <v>104</v>
      </c>
      <c r="DK1" t="s">
        <v>105</v>
      </c>
      <c r="DL1" t="s">
        <v>106</v>
      </c>
      <c r="DM1" t="s">
        <v>107</v>
      </c>
      <c r="DN1" t="s">
        <v>108</v>
      </c>
      <c r="DO1" t="s">
        <v>109</v>
      </c>
      <c r="DP1" t="s">
        <v>110</v>
      </c>
      <c r="DQ1" t="s">
        <v>111</v>
      </c>
      <c r="DR1" t="s">
        <v>112</v>
      </c>
      <c r="DS1" s="7" t="s">
        <v>1615</v>
      </c>
      <c r="DT1" t="s">
        <v>113</v>
      </c>
      <c r="DU1" t="s">
        <v>114</v>
      </c>
      <c r="DV1" t="s">
        <v>115</v>
      </c>
      <c r="DW1" t="s">
        <v>116</v>
      </c>
      <c r="DX1" t="s">
        <v>117</v>
      </c>
      <c r="DY1" t="s">
        <v>118</v>
      </c>
      <c r="DZ1" t="s">
        <v>119</v>
      </c>
      <c r="EA1" t="s">
        <v>120</v>
      </c>
      <c r="EB1" t="s">
        <v>121</v>
      </c>
      <c r="EC1" t="s">
        <v>122</v>
      </c>
      <c r="ED1" t="s">
        <v>123</v>
      </c>
      <c r="EE1" t="s">
        <v>124</v>
      </c>
      <c r="EF1" s="7" t="s">
        <v>1613</v>
      </c>
      <c r="EG1" s="9" t="s">
        <v>1632</v>
      </c>
      <c r="EH1" s="9" t="s">
        <v>1633</v>
      </c>
      <c r="EI1" t="s">
        <v>125</v>
      </c>
      <c r="EJ1" t="s">
        <v>126</v>
      </c>
      <c r="EK1" t="s">
        <v>127</v>
      </c>
      <c r="EL1" t="s">
        <v>128</v>
      </c>
      <c r="EM1" t="s">
        <v>129</v>
      </c>
      <c r="EN1" t="s">
        <v>130</v>
      </c>
      <c r="EO1" t="s">
        <v>131</v>
      </c>
      <c r="EP1" t="s">
        <v>132</v>
      </c>
      <c r="EQ1" t="s">
        <v>133</v>
      </c>
      <c r="ER1" t="s">
        <v>134</v>
      </c>
      <c r="ES1" t="s">
        <v>135</v>
      </c>
      <c r="ET1" t="s">
        <v>136</v>
      </c>
      <c r="EU1" s="7" t="s">
        <v>1611</v>
      </c>
      <c r="EV1" t="s">
        <v>137</v>
      </c>
      <c r="EW1" t="s">
        <v>138</v>
      </c>
      <c r="EX1" t="s">
        <v>139</v>
      </c>
      <c r="EY1" t="s">
        <v>140</v>
      </c>
      <c r="EZ1" t="s">
        <v>141</v>
      </c>
      <c r="FA1" t="s">
        <v>142</v>
      </c>
      <c r="FB1" t="s">
        <v>143</v>
      </c>
      <c r="FC1" t="s">
        <v>144</v>
      </c>
      <c r="FD1" t="s">
        <v>145</v>
      </c>
      <c r="FE1" t="s">
        <v>146</v>
      </c>
      <c r="FF1" t="s">
        <v>147</v>
      </c>
      <c r="FG1" t="s">
        <v>148</v>
      </c>
      <c r="FH1" s="7" t="s">
        <v>1610</v>
      </c>
      <c r="FI1" t="s">
        <v>149</v>
      </c>
      <c r="FJ1" t="s">
        <v>150</v>
      </c>
      <c r="FK1" t="s">
        <v>151</v>
      </c>
      <c r="FL1" t="s">
        <v>152</v>
      </c>
      <c r="FM1" t="s">
        <v>153</v>
      </c>
      <c r="FN1" t="s">
        <v>154</v>
      </c>
      <c r="FO1" t="s">
        <v>155</v>
      </c>
      <c r="FP1" t="s">
        <v>156</v>
      </c>
      <c r="FQ1" t="s">
        <v>157</v>
      </c>
      <c r="FR1" t="s">
        <v>158</v>
      </c>
      <c r="FS1" t="s">
        <v>159</v>
      </c>
      <c r="FT1" t="s">
        <v>160</v>
      </c>
      <c r="FU1" s="7" t="s">
        <v>1609</v>
      </c>
      <c r="FV1" t="s">
        <v>161</v>
      </c>
      <c r="FW1" t="s">
        <v>162</v>
      </c>
      <c r="FX1" t="s">
        <v>163</v>
      </c>
      <c r="FY1" t="s">
        <v>164</v>
      </c>
      <c r="FZ1" t="s">
        <v>165</v>
      </c>
      <c r="GA1" t="s">
        <v>166</v>
      </c>
      <c r="GB1" t="s">
        <v>167</v>
      </c>
      <c r="GC1" t="s">
        <v>168</v>
      </c>
      <c r="GD1" t="s">
        <v>169</v>
      </c>
      <c r="GE1" t="s">
        <v>170</v>
      </c>
      <c r="GF1" t="s">
        <v>171</v>
      </c>
      <c r="GG1" t="s">
        <v>172</v>
      </c>
      <c r="GH1" s="7" t="s">
        <v>1608</v>
      </c>
      <c r="GI1" t="s">
        <v>173</v>
      </c>
      <c r="GJ1" t="s">
        <v>174</v>
      </c>
      <c r="GK1" t="s">
        <v>175</v>
      </c>
      <c r="GL1" t="s">
        <v>176</v>
      </c>
      <c r="GM1" t="s">
        <v>177</v>
      </c>
      <c r="GN1" t="s">
        <v>178</v>
      </c>
      <c r="GO1" t="s">
        <v>179</v>
      </c>
      <c r="GP1" t="s">
        <v>180</v>
      </c>
      <c r="GQ1" t="s">
        <v>181</v>
      </c>
      <c r="GR1" t="s">
        <v>182</v>
      </c>
      <c r="GS1" t="s">
        <v>183</v>
      </c>
      <c r="GT1" t="s">
        <v>184</v>
      </c>
      <c r="GU1" s="7" t="s">
        <v>1606</v>
      </c>
      <c r="GV1" t="s">
        <v>185</v>
      </c>
      <c r="GW1" t="s">
        <v>186</v>
      </c>
      <c r="GX1" t="s">
        <v>187</v>
      </c>
      <c r="GY1" t="s">
        <v>188</v>
      </c>
      <c r="GZ1" t="s">
        <v>189</v>
      </c>
      <c r="HA1" t="s">
        <v>190</v>
      </c>
      <c r="HB1" t="s">
        <v>191</v>
      </c>
      <c r="HC1" t="s">
        <v>192</v>
      </c>
      <c r="HD1" t="s">
        <v>193</v>
      </c>
      <c r="HE1" t="s">
        <v>194</v>
      </c>
      <c r="HF1" t="s">
        <v>195</v>
      </c>
      <c r="HG1" t="s">
        <v>196</v>
      </c>
      <c r="HH1" s="7" t="s">
        <v>1604</v>
      </c>
      <c r="HI1" t="s">
        <v>197</v>
      </c>
      <c r="HJ1" t="s">
        <v>198</v>
      </c>
      <c r="HK1" t="s">
        <v>199</v>
      </c>
      <c r="HL1" t="s">
        <v>200</v>
      </c>
      <c r="HM1" t="s">
        <v>201</v>
      </c>
      <c r="HN1" t="s">
        <v>202</v>
      </c>
      <c r="HO1" t="s">
        <v>203</v>
      </c>
      <c r="HP1" t="s">
        <v>204</v>
      </c>
      <c r="HQ1" t="s">
        <v>205</v>
      </c>
      <c r="HR1" t="s">
        <v>206</v>
      </c>
      <c r="HS1" t="s">
        <v>207</v>
      </c>
      <c r="HT1" t="s">
        <v>208</v>
      </c>
      <c r="HU1" s="7" t="s">
        <v>1602</v>
      </c>
      <c r="HV1" t="s">
        <v>209</v>
      </c>
      <c r="HW1" t="s">
        <v>210</v>
      </c>
      <c r="HX1" t="s">
        <v>211</v>
      </c>
      <c r="HY1" t="s">
        <v>212</v>
      </c>
      <c r="HZ1" t="s">
        <v>213</v>
      </c>
      <c r="IA1" t="s">
        <v>214</v>
      </c>
      <c r="IB1" t="s">
        <v>215</v>
      </c>
      <c r="IC1" t="s">
        <v>216</v>
      </c>
      <c r="ID1" t="s">
        <v>217</v>
      </c>
      <c r="IE1" t="s">
        <v>218</v>
      </c>
      <c r="IF1" t="s">
        <v>219</v>
      </c>
      <c r="IG1" t="s">
        <v>220</v>
      </c>
      <c r="IH1" s="7" t="s">
        <v>1600</v>
      </c>
      <c r="II1" s="9" t="s">
        <v>1630</v>
      </c>
      <c r="IJ1" s="9" t="s">
        <v>1631</v>
      </c>
      <c r="IK1" t="s">
        <v>221</v>
      </c>
      <c r="IL1" t="s">
        <v>222</v>
      </c>
      <c r="IM1" t="s">
        <v>223</v>
      </c>
      <c r="IN1" t="s">
        <v>224</v>
      </c>
      <c r="IO1" t="s">
        <v>225</v>
      </c>
      <c r="IP1" t="s">
        <v>226</v>
      </c>
      <c r="IQ1" t="s">
        <v>227</v>
      </c>
      <c r="IR1" t="s">
        <v>228</v>
      </c>
      <c r="IS1" t="s">
        <v>229</v>
      </c>
      <c r="IT1" t="s">
        <v>230</v>
      </c>
      <c r="IU1" t="s">
        <v>231</v>
      </c>
      <c r="IV1" t="s">
        <v>232</v>
      </c>
      <c r="IW1" s="5" t="s">
        <v>1598</v>
      </c>
      <c r="IX1" t="s">
        <v>233</v>
      </c>
      <c r="IY1" t="s">
        <v>234</v>
      </c>
      <c r="IZ1" t="s">
        <v>235</v>
      </c>
      <c r="JA1" t="s">
        <v>236</v>
      </c>
      <c r="JB1" t="s">
        <v>237</v>
      </c>
      <c r="JC1" t="s">
        <v>238</v>
      </c>
      <c r="JD1" t="s">
        <v>239</v>
      </c>
      <c r="JE1" t="s">
        <v>240</v>
      </c>
      <c r="JF1" t="s">
        <v>241</v>
      </c>
      <c r="JG1" t="s">
        <v>242</v>
      </c>
      <c r="JH1" t="s">
        <v>243</v>
      </c>
      <c r="JI1" t="s">
        <v>244</v>
      </c>
      <c r="JJ1" s="5" t="s">
        <v>1597</v>
      </c>
      <c r="JK1" t="s">
        <v>245</v>
      </c>
      <c r="JL1" t="s">
        <v>246</v>
      </c>
      <c r="JM1" t="s">
        <v>247</v>
      </c>
      <c r="JN1" t="s">
        <v>248</v>
      </c>
      <c r="JO1" t="s">
        <v>249</v>
      </c>
      <c r="JP1" t="s">
        <v>250</v>
      </c>
      <c r="JQ1" t="s">
        <v>251</v>
      </c>
      <c r="JR1" t="s">
        <v>252</v>
      </c>
      <c r="JS1" t="s">
        <v>253</v>
      </c>
      <c r="JT1" t="s">
        <v>254</v>
      </c>
      <c r="JU1" t="s">
        <v>255</v>
      </c>
      <c r="JV1" t="s">
        <v>256</v>
      </c>
      <c r="JW1" s="5" t="s">
        <v>1596</v>
      </c>
      <c r="JX1" t="s">
        <v>257</v>
      </c>
      <c r="JY1" t="s">
        <v>258</v>
      </c>
      <c r="JZ1" t="s">
        <v>259</v>
      </c>
      <c r="KA1" t="s">
        <v>260</v>
      </c>
      <c r="KB1" t="s">
        <v>261</v>
      </c>
      <c r="KC1" t="s">
        <v>262</v>
      </c>
      <c r="KD1" t="s">
        <v>263</v>
      </c>
      <c r="KE1" t="s">
        <v>264</v>
      </c>
      <c r="KF1" t="s">
        <v>265</v>
      </c>
      <c r="KG1" t="s">
        <v>266</v>
      </c>
      <c r="KH1" t="s">
        <v>267</v>
      </c>
      <c r="KI1" t="s">
        <v>268</v>
      </c>
      <c r="KJ1" s="5" t="s">
        <v>1595</v>
      </c>
      <c r="KK1" t="s">
        <v>269</v>
      </c>
      <c r="KL1" t="s">
        <v>270</v>
      </c>
      <c r="KM1" t="s">
        <v>271</v>
      </c>
      <c r="KN1" t="s">
        <v>272</v>
      </c>
      <c r="KO1" t="s">
        <v>273</v>
      </c>
      <c r="KP1" t="s">
        <v>274</v>
      </c>
      <c r="KQ1" t="s">
        <v>275</v>
      </c>
      <c r="KR1" t="s">
        <v>276</v>
      </c>
      <c r="KS1" t="s">
        <v>277</v>
      </c>
      <c r="KT1" t="s">
        <v>278</v>
      </c>
      <c r="KU1" t="s">
        <v>279</v>
      </c>
      <c r="KV1" t="s">
        <v>280</v>
      </c>
      <c r="KW1" s="5" t="s">
        <v>1593</v>
      </c>
      <c r="KX1" t="s">
        <v>281</v>
      </c>
      <c r="KY1" t="s">
        <v>282</v>
      </c>
      <c r="KZ1" t="s">
        <v>283</v>
      </c>
      <c r="LA1" t="s">
        <v>284</v>
      </c>
      <c r="LB1" t="s">
        <v>285</v>
      </c>
      <c r="LC1" t="s">
        <v>286</v>
      </c>
      <c r="LD1" t="s">
        <v>287</v>
      </c>
      <c r="LE1" t="s">
        <v>288</v>
      </c>
      <c r="LF1" t="s">
        <v>289</v>
      </c>
      <c r="LG1" t="s">
        <v>290</v>
      </c>
      <c r="LH1" t="s">
        <v>291</v>
      </c>
      <c r="LI1" t="s">
        <v>292</v>
      </c>
      <c r="LJ1" s="5" t="s">
        <v>1591</v>
      </c>
      <c r="LK1" t="s">
        <v>293</v>
      </c>
      <c r="LL1" t="s">
        <v>294</v>
      </c>
      <c r="LM1" t="s">
        <v>295</v>
      </c>
      <c r="LN1" t="s">
        <v>296</v>
      </c>
      <c r="LO1" t="s">
        <v>297</v>
      </c>
      <c r="LP1" t="s">
        <v>298</v>
      </c>
      <c r="LQ1" t="s">
        <v>299</v>
      </c>
      <c r="LR1" t="s">
        <v>300</v>
      </c>
      <c r="LS1" t="s">
        <v>301</v>
      </c>
      <c r="LT1" t="s">
        <v>302</v>
      </c>
      <c r="LU1" t="s">
        <v>303</v>
      </c>
      <c r="LV1" t="s">
        <v>304</v>
      </c>
      <c r="LW1" s="5" t="s">
        <v>1589</v>
      </c>
      <c r="LX1" t="s">
        <v>305</v>
      </c>
      <c r="LY1" t="s">
        <v>306</v>
      </c>
      <c r="LZ1" t="s">
        <v>307</v>
      </c>
      <c r="MA1" t="s">
        <v>308</v>
      </c>
      <c r="MB1" t="s">
        <v>309</v>
      </c>
      <c r="MC1" t="s">
        <v>310</v>
      </c>
      <c r="MD1" t="s">
        <v>311</v>
      </c>
      <c r="ME1" t="s">
        <v>312</v>
      </c>
      <c r="MF1" t="s">
        <v>313</v>
      </c>
      <c r="MG1" t="s">
        <v>314</v>
      </c>
      <c r="MH1" t="s">
        <v>315</v>
      </c>
      <c r="MI1" t="s">
        <v>316</v>
      </c>
      <c r="MJ1" s="5" t="s">
        <v>1587</v>
      </c>
      <c r="MK1" t="s">
        <v>317</v>
      </c>
      <c r="ML1" t="s">
        <v>318</v>
      </c>
      <c r="MM1" t="s">
        <v>319</v>
      </c>
      <c r="MN1" t="s">
        <v>320</v>
      </c>
      <c r="MO1" t="s">
        <v>321</v>
      </c>
      <c r="MP1" t="s">
        <v>322</v>
      </c>
      <c r="MQ1" t="s">
        <v>323</v>
      </c>
      <c r="MR1" t="s">
        <v>324</v>
      </c>
      <c r="MS1" t="s">
        <v>325</v>
      </c>
      <c r="MT1" t="s">
        <v>326</v>
      </c>
      <c r="MU1" t="s">
        <v>327</v>
      </c>
      <c r="MV1" t="s">
        <v>328</v>
      </c>
      <c r="MW1" s="5" t="s">
        <v>1585</v>
      </c>
      <c r="MX1" t="s">
        <v>329</v>
      </c>
      <c r="MY1" t="s">
        <v>330</v>
      </c>
      <c r="MZ1" t="s">
        <v>331</v>
      </c>
      <c r="NA1" t="s">
        <v>332</v>
      </c>
      <c r="NB1" t="s">
        <v>333</v>
      </c>
      <c r="NC1" t="s">
        <v>334</v>
      </c>
      <c r="ND1" t="s">
        <v>335</v>
      </c>
      <c r="NE1" t="s">
        <v>336</v>
      </c>
      <c r="NF1" t="s">
        <v>337</v>
      </c>
      <c r="NG1" t="s">
        <v>338</v>
      </c>
      <c r="NH1" t="s">
        <v>339</v>
      </c>
      <c r="NI1" t="s">
        <v>340</v>
      </c>
      <c r="NJ1" s="5" t="s">
        <v>1584</v>
      </c>
      <c r="NK1" t="s">
        <v>341</v>
      </c>
      <c r="NL1" t="s">
        <v>342</v>
      </c>
      <c r="NM1" t="s">
        <v>343</v>
      </c>
      <c r="NN1" t="s">
        <v>344</v>
      </c>
      <c r="NO1" t="s">
        <v>345</v>
      </c>
      <c r="NP1" t="s">
        <v>346</v>
      </c>
      <c r="NQ1" t="s">
        <v>347</v>
      </c>
      <c r="NR1" t="s">
        <v>348</v>
      </c>
      <c r="NS1" t="s">
        <v>349</v>
      </c>
      <c r="NT1" t="s">
        <v>350</v>
      </c>
      <c r="NU1" t="s">
        <v>351</v>
      </c>
      <c r="NV1" t="s">
        <v>352</v>
      </c>
      <c r="NW1" s="5" t="s">
        <v>1583</v>
      </c>
      <c r="NX1" t="s">
        <v>353</v>
      </c>
      <c r="NY1" t="s">
        <v>354</v>
      </c>
      <c r="NZ1" t="s">
        <v>355</v>
      </c>
      <c r="OA1" t="s">
        <v>356</v>
      </c>
      <c r="OB1" t="s">
        <v>357</v>
      </c>
      <c r="OC1" t="s">
        <v>358</v>
      </c>
      <c r="OD1" t="s">
        <v>359</v>
      </c>
      <c r="OE1" t="s">
        <v>360</v>
      </c>
      <c r="OF1" t="s">
        <v>361</v>
      </c>
      <c r="OG1" t="s">
        <v>362</v>
      </c>
      <c r="OH1" t="s">
        <v>363</v>
      </c>
      <c r="OI1" t="s">
        <v>364</v>
      </c>
      <c r="OJ1" s="5" t="s">
        <v>1582</v>
      </c>
      <c r="OK1" t="s">
        <v>365</v>
      </c>
      <c r="OL1" t="s">
        <v>366</v>
      </c>
      <c r="OM1" t="s">
        <v>367</v>
      </c>
      <c r="ON1" t="s">
        <v>368</v>
      </c>
      <c r="OO1" t="s">
        <v>369</v>
      </c>
      <c r="OP1" t="s">
        <v>370</v>
      </c>
      <c r="OQ1" t="s">
        <v>371</v>
      </c>
      <c r="OR1" t="s">
        <v>372</v>
      </c>
      <c r="OS1" t="s">
        <v>373</v>
      </c>
      <c r="OT1" t="s">
        <v>374</v>
      </c>
      <c r="OU1" t="s">
        <v>375</v>
      </c>
      <c r="OV1" t="s">
        <v>376</v>
      </c>
      <c r="OW1" s="5" t="s">
        <v>1580</v>
      </c>
      <c r="OX1" t="s">
        <v>377</v>
      </c>
      <c r="OY1" t="s">
        <v>378</v>
      </c>
      <c r="OZ1" t="s">
        <v>379</v>
      </c>
      <c r="PA1" t="s">
        <v>380</v>
      </c>
      <c r="PB1" t="s">
        <v>381</v>
      </c>
      <c r="PC1" t="s">
        <v>382</v>
      </c>
      <c r="PD1" t="s">
        <v>383</v>
      </c>
      <c r="PE1" t="s">
        <v>384</v>
      </c>
      <c r="PF1" t="s">
        <v>385</v>
      </c>
      <c r="PG1" t="s">
        <v>386</v>
      </c>
      <c r="PH1" t="s">
        <v>387</v>
      </c>
      <c r="PI1" t="s">
        <v>388</v>
      </c>
      <c r="PJ1" s="5" t="s">
        <v>1578</v>
      </c>
      <c r="PK1" t="s">
        <v>389</v>
      </c>
      <c r="PL1" t="s">
        <v>390</v>
      </c>
      <c r="PM1" t="s">
        <v>391</v>
      </c>
      <c r="PN1" t="s">
        <v>392</v>
      </c>
      <c r="PO1" t="s">
        <v>393</v>
      </c>
      <c r="PP1" t="s">
        <v>394</v>
      </c>
      <c r="PQ1" t="s">
        <v>395</v>
      </c>
      <c r="PR1" t="s">
        <v>396</v>
      </c>
      <c r="PS1" t="s">
        <v>397</v>
      </c>
      <c r="PT1" t="s">
        <v>398</v>
      </c>
      <c r="PU1" t="s">
        <v>399</v>
      </c>
      <c r="PV1" t="s">
        <v>400</v>
      </c>
      <c r="PW1" s="5" t="s">
        <v>1576</v>
      </c>
      <c r="PX1" t="s">
        <v>401</v>
      </c>
      <c r="PY1" t="s">
        <v>402</v>
      </c>
      <c r="PZ1" t="s">
        <v>403</v>
      </c>
      <c r="QA1" t="s">
        <v>404</v>
      </c>
      <c r="QB1" t="s">
        <v>405</v>
      </c>
      <c r="QC1" t="s">
        <v>406</v>
      </c>
      <c r="QD1" t="s">
        <v>407</v>
      </c>
      <c r="QE1" t="s">
        <v>408</v>
      </c>
      <c r="QF1" t="s">
        <v>409</v>
      </c>
      <c r="QG1" t="s">
        <v>410</v>
      </c>
      <c r="QH1" t="s">
        <v>411</v>
      </c>
      <c r="QI1" t="s">
        <v>412</v>
      </c>
      <c r="QJ1" s="5" t="s">
        <v>1574</v>
      </c>
      <c r="QK1" t="s">
        <v>413</v>
      </c>
      <c r="QL1" t="s">
        <v>414</v>
      </c>
      <c r="QM1" t="s">
        <v>415</v>
      </c>
      <c r="QN1" t="s">
        <v>416</v>
      </c>
      <c r="QO1" t="s">
        <v>417</v>
      </c>
      <c r="QP1" t="s">
        <v>418</v>
      </c>
      <c r="QQ1" t="s">
        <v>419</v>
      </c>
      <c r="QR1" t="s">
        <v>420</v>
      </c>
      <c r="QS1" t="s">
        <v>421</v>
      </c>
      <c r="QT1" t="s">
        <v>422</v>
      </c>
      <c r="QU1" t="s">
        <v>423</v>
      </c>
      <c r="QV1" t="s">
        <v>424</v>
      </c>
      <c r="QW1" s="5" t="s">
        <v>1572</v>
      </c>
      <c r="QX1" t="s">
        <v>425</v>
      </c>
      <c r="QY1" t="s">
        <v>426</v>
      </c>
      <c r="QZ1" t="s">
        <v>427</v>
      </c>
      <c r="RA1" t="s">
        <v>428</v>
      </c>
      <c r="RB1" t="s">
        <v>429</v>
      </c>
      <c r="RC1" t="s">
        <v>430</v>
      </c>
      <c r="RD1" t="s">
        <v>431</v>
      </c>
      <c r="RE1" t="s">
        <v>432</v>
      </c>
      <c r="RF1" t="s">
        <v>433</v>
      </c>
      <c r="RG1" t="s">
        <v>434</v>
      </c>
      <c r="RH1" t="s">
        <v>435</v>
      </c>
      <c r="RI1" t="s">
        <v>436</v>
      </c>
      <c r="RJ1" s="5" t="s">
        <v>1570</v>
      </c>
      <c r="RK1" t="s">
        <v>437</v>
      </c>
      <c r="RL1" t="s">
        <v>438</v>
      </c>
      <c r="RM1" t="s">
        <v>439</v>
      </c>
      <c r="RN1" t="s">
        <v>440</v>
      </c>
      <c r="RO1" t="s">
        <v>441</v>
      </c>
      <c r="RP1" t="s">
        <v>442</v>
      </c>
      <c r="RQ1" t="s">
        <v>443</v>
      </c>
      <c r="RR1" t="s">
        <v>444</v>
      </c>
      <c r="RS1" t="s">
        <v>445</v>
      </c>
      <c r="RT1" t="s">
        <v>446</v>
      </c>
      <c r="RU1" t="s">
        <v>447</v>
      </c>
      <c r="RV1" t="s">
        <v>448</v>
      </c>
      <c r="RW1" s="5" t="s">
        <v>1568</v>
      </c>
      <c r="RX1" t="s">
        <v>449</v>
      </c>
      <c r="RY1" t="s">
        <v>450</v>
      </c>
      <c r="RZ1" t="s">
        <v>451</v>
      </c>
      <c r="SA1" t="s">
        <v>452</v>
      </c>
      <c r="SB1" t="s">
        <v>453</v>
      </c>
      <c r="SC1" t="s">
        <v>454</v>
      </c>
      <c r="SD1" t="s">
        <v>455</v>
      </c>
      <c r="SE1" t="s">
        <v>456</v>
      </c>
      <c r="SF1" t="s">
        <v>457</v>
      </c>
      <c r="SG1" t="s">
        <v>458</v>
      </c>
      <c r="SH1" t="s">
        <v>459</v>
      </c>
      <c r="SI1" t="s">
        <v>460</v>
      </c>
      <c r="SJ1" s="5" t="s">
        <v>1566</v>
      </c>
      <c r="SK1" t="s">
        <v>461</v>
      </c>
      <c r="SL1" t="s">
        <v>462</v>
      </c>
      <c r="SM1" t="s">
        <v>463</v>
      </c>
      <c r="SN1" t="s">
        <v>464</v>
      </c>
      <c r="SO1" t="s">
        <v>465</v>
      </c>
      <c r="SP1" t="s">
        <v>466</v>
      </c>
      <c r="SQ1" t="s">
        <v>467</v>
      </c>
      <c r="SR1" t="s">
        <v>468</v>
      </c>
      <c r="SS1" t="s">
        <v>469</v>
      </c>
      <c r="ST1" t="s">
        <v>470</v>
      </c>
      <c r="SU1" t="s">
        <v>471</v>
      </c>
      <c r="SV1" t="s">
        <v>472</v>
      </c>
      <c r="SW1" s="5" t="s">
        <v>1564</v>
      </c>
      <c r="SX1" t="s">
        <v>473</v>
      </c>
      <c r="SY1" t="s">
        <v>474</v>
      </c>
      <c r="SZ1" t="s">
        <v>475</v>
      </c>
      <c r="TA1" t="s">
        <v>476</v>
      </c>
      <c r="TB1" t="s">
        <v>477</v>
      </c>
      <c r="TC1" t="s">
        <v>478</v>
      </c>
      <c r="TD1" t="s">
        <v>479</v>
      </c>
      <c r="TE1" t="s">
        <v>480</v>
      </c>
      <c r="TF1" t="s">
        <v>481</v>
      </c>
      <c r="TG1" t="s">
        <v>482</v>
      </c>
      <c r="TH1" t="s">
        <v>483</v>
      </c>
      <c r="TI1" t="s">
        <v>484</v>
      </c>
      <c r="TJ1" t="s">
        <v>485</v>
      </c>
      <c r="TK1" s="5" t="s">
        <v>1562</v>
      </c>
      <c r="TL1" t="s">
        <v>486</v>
      </c>
      <c r="TM1" t="s">
        <v>487</v>
      </c>
      <c r="TN1" t="s">
        <v>488</v>
      </c>
      <c r="TO1" t="s">
        <v>489</v>
      </c>
      <c r="TP1" t="s">
        <v>490</v>
      </c>
      <c r="TQ1" t="s">
        <v>491</v>
      </c>
      <c r="TR1" t="s">
        <v>492</v>
      </c>
      <c r="TS1" t="s">
        <v>493</v>
      </c>
      <c r="TT1" t="s">
        <v>494</v>
      </c>
      <c r="TU1" t="s">
        <v>495</v>
      </c>
      <c r="TV1" t="s">
        <v>496</v>
      </c>
      <c r="TW1" t="s">
        <v>497</v>
      </c>
      <c r="TX1" s="5" t="s">
        <v>1559</v>
      </c>
      <c r="TY1" t="s">
        <v>498</v>
      </c>
      <c r="TZ1" t="s">
        <v>499</v>
      </c>
      <c r="UA1" t="s">
        <v>500</v>
      </c>
      <c r="UB1" t="s">
        <v>501</v>
      </c>
    </row>
    <row r="2" spans="1:548" ht="16.5" customHeight="1" x14ac:dyDescent="0.35">
      <c r="A2" s="1" t="s">
        <v>502</v>
      </c>
      <c r="B2" s="1" t="s">
        <v>2861</v>
      </c>
      <c r="C2" t="s">
        <v>503</v>
      </c>
      <c r="D2" t="s">
        <v>504</v>
      </c>
      <c r="E2" t="s">
        <v>505</v>
      </c>
      <c r="F2" t="s">
        <v>506</v>
      </c>
      <c r="G2" t="s">
        <v>507</v>
      </c>
      <c r="H2" t="s">
        <v>508</v>
      </c>
      <c r="I2" t="s">
        <v>509</v>
      </c>
      <c r="J2" t="s">
        <v>510</v>
      </c>
      <c r="K2" t="s">
        <v>511</v>
      </c>
      <c r="L2" t="s">
        <v>512</v>
      </c>
      <c r="M2" t="s">
        <v>513</v>
      </c>
      <c r="N2" t="s">
        <v>514</v>
      </c>
      <c r="O2" t="s">
        <v>515</v>
      </c>
      <c r="P2" t="s">
        <v>516</v>
      </c>
      <c r="Q2" t="s">
        <v>517</v>
      </c>
      <c r="R2" t="s">
        <v>518</v>
      </c>
      <c r="S2" s="7" t="s">
        <v>1629</v>
      </c>
      <c r="T2" t="s">
        <v>519</v>
      </c>
      <c r="U2" t="s">
        <v>520</v>
      </c>
      <c r="V2" t="s">
        <v>521</v>
      </c>
      <c r="W2" t="s">
        <v>522</v>
      </c>
      <c r="X2" t="s">
        <v>523</v>
      </c>
      <c r="Y2" t="s">
        <v>524</v>
      </c>
      <c r="Z2" t="s">
        <v>525</v>
      </c>
      <c r="AA2" t="s">
        <v>526</v>
      </c>
      <c r="AB2" t="s">
        <v>527</v>
      </c>
      <c r="AC2" t="s">
        <v>528</v>
      </c>
      <c r="AD2" t="s">
        <v>529</v>
      </c>
      <c r="AE2" t="s">
        <v>530</v>
      </c>
      <c r="AF2" s="7" t="s">
        <v>1620</v>
      </c>
      <c r="AG2" t="s">
        <v>531</v>
      </c>
      <c r="AH2" t="s">
        <v>532</v>
      </c>
      <c r="AI2" t="s">
        <v>533</v>
      </c>
      <c r="AJ2" t="s">
        <v>534</v>
      </c>
      <c r="AK2" t="s">
        <v>535</v>
      </c>
      <c r="AL2" t="s">
        <v>536</v>
      </c>
      <c r="AM2" t="s">
        <v>537</v>
      </c>
      <c r="AN2" t="s">
        <v>538</v>
      </c>
      <c r="AO2" t="s">
        <v>539</v>
      </c>
      <c r="AP2" t="s">
        <v>540</v>
      </c>
      <c r="AQ2" t="s">
        <v>541</v>
      </c>
      <c r="AR2" t="s">
        <v>542</v>
      </c>
      <c r="AS2" s="7" t="s">
        <v>1618</v>
      </c>
      <c r="AT2" t="s">
        <v>543</v>
      </c>
      <c r="AU2" t="s">
        <v>544</v>
      </c>
      <c r="AV2" t="s">
        <v>545</v>
      </c>
      <c r="AW2" t="s">
        <v>546</v>
      </c>
      <c r="AX2" t="s">
        <v>547</v>
      </c>
      <c r="AY2" t="s">
        <v>548</v>
      </c>
      <c r="AZ2" t="s">
        <v>549</v>
      </c>
      <c r="BA2" t="s">
        <v>550</v>
      </c>
      <c r="BB2" t="s">
        <v>551</v>
      </c>
      <c r="BC2" t="s">
        <v>552</v>
      </c>
      <c r="BD2" t="s">
        <v>553</v>
      </c>
      <c r="BE2" t="s">
        <v>554</v>
      </c>
      <c r="BF2" s="7" t="s">
        <v>1616</v>
      </c>
      <c r="BG2" t="s">
        <v>555</v>
      </c>
      <c r="BH2" t="s">
        <v>556</v>
      </c>
      <c r="BI2" t="s">
        <v>557</v>
      </c>
      <c r="BJ2" t="s">
        <v>558</v>
      </c>
      <c r="BK2" t="s">
        <v>559</v>
      </c>
      <c r="BL2" t="s">
        <v>560</v>
      </c>
      <c r="BM2" t="s">
        <v>561</v>
      </c>
      <c r="BN2" t="s">
        <v>562</v>
      </c>
      <c r="BO2" t="s">
        <v>563</v>
      </c>
      <c r="BP2" t="s">
        <v>564</v>
      </c>
      <c r="BQ2" t="s">
        <v>565</v>
      </c>
      <c r="BR2" t="s">
        <v>566</v>
      </c>
      <c r="BS2" s="7" t="s">
        <v>1624</v>
      </c>
      <c r="BT2" t="s">
        <v>567</v>
      </c>
      <c r="BU2" t="s">
        <v>568</v>
      </c>
      <c r="BV2" t="s">
        <v>569</v>
      </c>
      <c r="BW2" t="s">
        <v>570</v>
      </c>
      <c r="BX2" t="s">
        <v>571</v>
      </c>
      <c r="BY2" t="s">
        <v>572</v>
      </c>
      <c r="BZ2" t="s">
        <v>573</v>
      </c>
      <c r="CA2" t="s">
        <v>574</v>
      </c>
      <c r="CB2" t="s">
        <v>575</v>
      </c>
      <c r="CC2" t="s">
        <v>576</v>
      </c>
      <c r="CD2" t="s">
        <v>577</v>
      </c>
      <c r="CE2" t="s">
        <v>578</v>
      </c>
      <c r="CF2" s="7" t="s">
        <v>1622</v>
      </c>
      <c r="CG2" t="s">
        <v>519</v>
      </c>
      <c r="CH2" t="s">
        <v>520</v>
      </c>
      <c r="CI2" t="s">
        <v>521</v>
      </c>
      <c r="CJ2" t="s">
        <v>522</v>
      </c>
      <c r="CK2" t="s">
        <v>523</v>
      </c>
      <c r="CL2" t="s">
        <v>524</v>
      </c>
      <c r="CM2" t="s">
        <v>525</v>
      </c>
      <c r="CN2" t="s">
        <v>526</v>
      </c>
      <c r="CO2" t="s">
        <v>527</v>
      </c>
      <c r="CP2" t="s">
        <v>528</v>
      </c>
      <c r="CQ2" t="s">
        <v>529</v>
      </c>
      <c r="CR2" t="s">
        <v>530</v>
      </c>
      <c r="CS2" s="7" t="s">
        <v>1620</v>
      </c>
      <c r="CT2" t="s">
        <v>531</v>
      </c>
      <c r="CU2" t="s">
        <v>532</v>
      </c>
      <c r="CV2" t="s">
        <v>533</v>
      </c>
      <c r="CW2" t="s">
        <v>534</v>
      </c>
      <c r="CX2" t="s">
        <v>535</v>
      </c>
      <c r="CY2" t="s">
        <v>536</v>
      </c>
      <c r="CZ2" t="s">
        <v>537</v>
      </c>
      <c r="DA2" t="s">
        <v>538</v>
      </c>
      <c r="DB2" t="s">
        <v>539</v>
      </c>
      <c r="DC2" t="s">
        <v>540</v>
      </c>
      <c r="DD2" t="s">
        <v>541</v>
      </c>
      <c r="DE2" t="s">
        <v>542</v>
      </c>
      <c r="DF2" s="7" t="s">
        <v>1618</v>
      </c>
      <c r="DG2" t="s">
        <v>543</v>
      </c>
      <c r="DH2" t="s">
        <v>544</v>
      </c>
      <c r="DI2" t="s">
        <v>545</v>
      </c>
      <c r="DJ2" t="s">
        <v>546</v>
      </c>
      <c r="DK2" t="s">
        <v>547</v>
      </c>
      <c r="DL2" t="s">
        <v>548</v>
      </c>
      <c r="DM2" t="s">
        <v>549</v>
      </c>
      <c r="DN2" t="s">
        <v>550</v>
      </c>
      <c r="DO2" t="s">
        <v>551</v>
      </c>
      <c r="DP2" t="s">
        <v>552</v>
      </c>
      <c r="DQ2" t="s">
        <v>553</v>
      </c>
      <c r="DR2" t="s">
        <v>554</v>
      </c>
      <c r="DS2" s="7" t="s">
        <v>1616</v>
      </c>
      <c r="DT2" t="s">
        <v>579</v>
      </c>
      <c r="DU2" t="s">
        <v>580</v>
      </c>
      <c r="DV2" t="s">
        <v>581</v>
      </c>
      <c r="DW2" t="s">
        <v>582</v>
      </c>
      <c r="DX2" t="s">
        <v>583</v>
      </c>
      <c r="DY2" t="s">
        <v>584</v>
      </c>
      <c r="DZ2" t="s">
        <v>585</v>
      </c>
      <c r="EA2" t="s">
        <v>586</v>
      </c>
      <c r="EB2" t="s">
        <v>587</v>
      </c>
      <c r="EC2" t="s">
        <v>588</v>
      </c>
      <c r="ED2" t="s">
        <v>589</v>
      </c>
      <c r="EE2" t="s">
        <v>590</v>
      </c>
      <c r="EF2" s="7" t="s">
        <v>1614</v>
      </c>
      <c r="EG2" s="10" t="s">
        <v>1634</v>
      </c>
      <c r="EH2" s="10" t="s">
        <v>1635</v>
      </c>
      <c r="EI2" t="s">
        <v>591</v>
      </c>
      <c r="EJ2" t="s">
        <v>592</v>
      </c>
      <c r="EK2" t="s">
        <v>593</v>
      </c>
      <c r="EL2" t="s">
        <v>594</v>
      </c>
      <c r="EM2" t="s">
        <v>595</v>
      </c>
      <c r="EN2" t="s">
        <v>596</v>
      </c>
      <c r="EO2" t="s">
        <v>597</v>
      </c>
      <c r="EP2" t="s">
        <v>598</v>
      </c>
      <c r="EQ2" t="s">
        <v>599</v>
      </c>
      <c r="ER2" t="s">
        <v>600</v>
      </c>
      <c r="ES2" t="s">
        <v>601</v>
      </c>
      <c r="ET2" t="s">
        <v>602</v>
      </c>
      <c r="EU2" s="7" t="s">
        <v>1612</v>
      </c>
      <c r="EV2" t="s">
        <v>603</v>
      </c>
      <c r="EW2" t="s">
        <v>604</v>
      </c>
      <c r="EX2" t="s">
        <v>605</v>
      </c>
      <c r="EY2" t="s">
        <v>606</v>
      </c>
      <c r="EZ2" t="s">
        <v>607</v>
      </c>
      <c r="FA2" t="s">
        <v>608</v>
      </c>
      <c r="FB2" t="s">
        <v>609</v>
      </c>
      <c r="FC2" t="s">
        <v>610</v>
      </c>
      <c r="FD2" t="s">
        <v>611</v>
      </c>
      <c r="FE2" t="s">
        <v>612</v>
      </c>
      <c r="FF2" t="s">
        <v>613</v>
      </c>
      <c r="FG2" t="s">
        <v>614</v>
      </c>
      <c r="FH2" s="7" t="s">
        <v>1605</v>
      </c>
      <c r="FI2" t="s">
        <v>615</v>
      </c>
      <c r="FJ2" t="s">
        <v>616</v>
      </c>
      <c r="FK2" t="s">
        <v>617</v>
      </c>
      <c r="FL2" t="s">
        <v>618</v>
      </c>
      <c r="FM2" t="s">
        <v>619</v>
      </c>
      <c r="FN2" t="s">
        <v>620</v>
      </c>
      <c r="FO2" t="s">
        <v>621</v>
      </c>
      <c r="FP2" t="s">
        <v>622</v>
      </c>
      <c r="FQ2" t="s">
        <v>623</v>
      </c>
      <c r="FR2" t="s">
        <v>624</v>
      </c>
      <c r="FS2" t="s">
        <v>625</v>
      </c>
      <c r="FT2" t="s">
        <v>626</v>
      </c>
      <c r="FU2" s="7" t="s">
        <v>1603</v>
      </c>
      <c r="FV2" t="s">
        <v>627</v>
      </c>
      <c r="FW2" t="s">
        <v>628</v>
      </c>
      <c r="FX2" t="s">
        <v>629</v>
      </c>
      <c r="FY2" t="s">
        <v>630</v>
      </c>
      <c r="FZ2" t="s">
        <v>631</v>
      </c>
      <c r="GA2" t="s">
        <v>632</v>
      </c>
      <c r="GB2" t="s">
        <v>633</v>
      </c>
      <c r="GC2" t="s">
        <v>634</v>
      </c>
      <c r="GD2" t="s">
        <v>635</v>
      </c>
      <c r="GE2" t="s">
        <v>636</v>
      </c>
      <c r="GF2" t="s">
        <v>637</v>
      </c>
      <c r="GG2" t="s">
        <v>638</v>
      </c>
      <c r="GH2" s="7" t="s">
        <v>1601</v>
      </c>
      <c r="GI2" t="s">
        <v>639</v>
      </c>
      <c r="GJ2" t="s">
        <v>640</v>
      </c>
      <c r="GK2" t="s">
        <v>641</v>
      </c>
      <c r="GL2" t="s">
        <v>642</v>
      </c>
      <c r="GM2" t="s">
        <v>643</v>
      </c>
      <c r="GN2" t="s">
        <v>644</v>
      </c>
      <c r="GO2" t="s">
        <v>645</v>
      </c>
      <c r="GP2" t="s">
        <v>646</v>
      </c>
      <c r="GQ2" t="s">
        <v>647</v>
      </c>
      <c r="GR2" t="s">
        <v>648</v>
      </c>
      <c r="GS2" t="s">
        <v>649</v>
      </c>
      <c r="GT2" t="s">
        <v>650</v>
      </c>
      <c r="GU2" s="7" t="s">
        <v>1607</v>
      </c>
      <c r="GV2" t="s">
        <v>603</v>
      </c>
      <c r="GW2" t="s">
        <v>604</v>
      </c>
      <c r="GX2" t="s">
        <v>605</v>
      </c>
      <c r="GY2" t="s">
        <v>606</v>
      </c>
      <c r="GZ2" t="s">
        <v>607</v>
      </c>
      <c r="HA2" t="s">
        <v>608</v>
      </c>
      <c r="HB2" t="s">
        <v>609</v>
      </c>
      <c r="HC2" t="s">
        <v>610</v>
      </c>
      <c r="HD2" t="s">
        <v>611</v>
      </c>
      <c r="HE2" t="s">
        <v>612</v>
      </c>
      <c r="HF2" t="s">
        <v>613</v>
      </c>
      <c r="HG2" t="s">
        <v>614</v>
      </c>
      <c r="HH2" s="7" t="s">
        <v>1605</v>
      </c>
      <c r="HI2" t="s">
        <v>615</v>
      </c>
      <c r="HJ2" t="s">
        <v>616</v>
      </c>
      <c r="HK2" t="s">
        <v>617</v>
      </c>
      <c r="HL2" t="s">
        <v>618</v>
      </c>
      <c r="HM2" t="s">
        <v>619</v>
      </c>
      <c r="HN2" t="s">
        <v>620</v>
      </c>
      <c r="HO2" t="s">
        <v>621</v>
      </c>
      <c r="HP2" t="s">
        <v>622</v>
      </c>
      <c r="HQ2" t="s">
        <v>623</v>
      </c>
      <c r="HR2" t="s">
        <v>624</v>
      </c>
      <c r="HS2" t="s">
        <v>625</v>
      </c>
      <c r="HT2" t="s">
        <v>626</v>
      </c>
      <c r="HU2" s="7" t="s">
        <v>1603</v>
      </c>
      <c r="HV2" t="s">
        <v>627</v>
      </c>
      <c r="HW2" t="s">
        <v>628</v>
      </c>
      <c r="HX2" t="s">
        <v>629</v>
      </c>
      <c r="HY2" t="s">
        <v>630</v>
      </c>
      <c r="HZ2" t="s">
        <v>631</v>
      </c>
      <c r="IA2" t="s">
        <v>632</v>
      </c>
      <c r="IB2" t="s">
        <v>633</v>
      </c>
      <c r="IC2" t="s">
        <v>634</v>
      </c>
      <c r="ID2" t="s">
        <v>635</v>
      </c>
      <c r="IE2" t="s">
        <v>636</v>
      </c>
      <c r="IF2" t="s">
        <v>637</v>
      </c>
      <c r="IG2" t="s">
        <v>638</v>
      </c>
      <c r="IH2" s="7" t="s">
        <v>1601</v>
      </c>
      <c r="II2" s="10" t="s">
        <v>2858</v>
      </c>
      <c r="IJ2" s="10" t="s">
        <v>2860</v>
      </c>
      <c r="IK2" t="s">
        <v>651</v>
      </c>
      <c r="IL2" t="s">
        <v>652</v>
      </c>
      <c r="IM2" t="s">
        <v>653</v>
      </c>
      <c r="IN2" t="s">
        <v>654</v>
      </c>
      <c r="IO2" t="s">
        <v>655</v>
      </c>
      <c r="IP2" t="s">
        <v>656</v>
      </c>
      <c r="IQ2" t="s">
        <v>657</v>
      </c>
      <c r="IR2" t="s">
        <v>658</v>
      </c>
      <c r="IS2" t="s">
        <v>659</v>
      </c>
      <c r="IT2" t="s">
        <v>660</v>
      </c>
      <c r="IU2" t="s">
        <v>661</v>
      </c>
      <c r="IV2" t="s">
        <v>662</v>
      </c>
      <c r="IW2" s="5" t="s">
        <v>1599</v>
      </c>
      <c r="IX2" t="s">
        <v>663</v>
      </c>
      <c r="IY2" t="s">
        <v>664</v>
      </c>
      <c r="IZ2" t="s">
        <v>665</v>
      </c>
      <c r="JA2" t="s">
        <v>666</v>
      </c>
      <c r="JB2" t="s">
        <v>667</v>
      </c>
      <c r="JC2" t="s">
        <v>668</v>
      </c>
      <c r="JD2" t="s">
        <v>669</v>
      </c>
      <c r="JE2" t="s">
        <v>670</v>
      </c>
      <c r="JF2" t="s">
        <v>671</v>
      </c>
      <c r="JG2" t="s">
        <v>672</v>
      </c>
      <c r="JH2" t="s">
        <v>673</v>
      </c>
      <c r="JI2" t="s">
        <v>674</v>
      </c>
      <c r="JJ2" s="5" t="s">
        <v>1592</v>
      </c>
      <c r="JK2" t="s">
        <v>675</v>
      </c>
      <c r="JL2" t="s">
        <v>676</v>
      </c>
      <c r="JM2" t="s">
        <v>677</v>
      </c>
      <c r="JN2" t="s">
        <v>678</v>
      </c>
      <c r="JO2" t="s">
        <v>679</v>
      </c>
      <c r="JP2" t="s">
        <v>680</v>
      </c>
      <c r="JQ2" t="s">
        <v>681</v>
      </c>
      <c r="JR2" t="s">
        <v>682</v>
      </c>
      <c r="JS2" t="s">
        <v>683</v>
      </c>
      <c r="JT2" t="s">
        <v>684</v>
      </c>
      <c r="JU2" t="s">
        <v>685</v>
      </c>
      <c r="JV2" t="s">
        <v>686</v>
      </c>
      <c r="JW2" s="5" t="s">
        <v>1590</v>
      </c>
      <c r="JX2" t="s">
        <v>687</v>
      </c>
      <c r="JY2" t="s">
        <v>688</v>
      </c>
      <c r="JZ2" t="s">
        <v>689</v>
      </c>
      <c r="KA2" t="s">
        <v>690</v>
      </c>
      <c r="KB2" t="s">
        <v>691</v>
      </c>
      <c r="KC2" t="s">
        <v>692</v>
      </c>
      <c r="KD2" t="s">
        <v>693</v>
      </c>
      <c r="KE2" t="s">
        <v>694</v>
      </c>
      <c r="KF2" t="s">
        <v>695</v>
      </c>
      <c r="KG2" t="s">
        <v>696</v>
      </c>
      <c r="KH2" t="s">
        <v>697</v>
      </c>
      <c r="KI2" t="s">
        <v>698</v>
      </c>
      <c r="KJ2" s="5" t="s">
        <v>1588</v>
      </c>
      <c r="KK2" t="s">
        <v>699</v>
      </c>
      <c r="KL2" t="s">
        <v>700</v>
      </c>
      <c r="KM2" t="s">
        <v>701</v>
      </c>
      <c r="KN2" t="s">
        <v>702</v>
      </c>
      <c r="KO2" t="s">
        <v>703</v>
      </c>
      <c r="KP2" t="s">
        <v>704</v>
      </c>
      <c r="KQ2" t="s">
        <v>705</v>
      </c>
      <c r="KR2" t="s">
        <v>706</v>
      </c>
      <c r="KS2" t="s">
        <v>707</v>
      </c>
      <c r="KT2" t="s">
        <v>708</v>
      </c>
      <c r="KU2" t="s">
        <v>709</v>
      </c>
      <c r="KV2" t="s">
        <v>710</v>
      </c>
      <c r="KW2" s="5" t="s">
        <v>1594</v>
      </c>
      <c r="KX2" t="s">
        <v>663</v>
      </c>
      <c r="KY2" t="s">
        <v>664</v>
      </c>
      <c r="KZ2" t="s">
        <v>665</v>
      </c>
      <c r="LA2" t="s">
        <v>666</v>
      </c>
      <c r="LB2" t="s">
        <v>667</v>
      </c>
      <c r="LC2" t="s">
        <v>668</v>
      </c>
      <c r="LD2" t="s">
        <v>669</v>
      </c>
      <c r="LE2" t="s">
        <v>670</v>
      </c>
      <c r="LF2" t="s">
        <v>671</v>
      </c>
      <c r="LG2" t="s">
        <v>672</v>
      </c>
      <c r="LH2" t="s">
        <v>673</v>
      </c>
      <c r="LI2" t="s">
        <v>674</v>
      </c>
      <c r="LJ2" s="5" t="s">
        <v>1592</v>
      </c>
      <c r="LK2" t="s">
        <v>675</v>
      </c>
      <c r="LL2" t="s">
        <v>676</v>
      </c>
      <c r="LM2" t="s">
        <v>677</v>
      </c>
      <c r="LN2" t="s">
        <v>678</v>
      </c>
      <c r="LO2" t="s">
        <v>679</v>
      </c>
      <c r="LP2" t="s">
        <v>680</v>
      </c>
      <c r="LQ2" t="s">
        <v>681</v>
      </c>
      <c r="LR2" t="s">
        <v>682</v>
      </c>
      <c r="LS2" t="s">
        <v>683</v>
      </c>
      <c r="LT2" t="s">
        <v>684</v>
      </c>
      <c r="LU2" t="s">
        <v>685</v>
      </c>
      <c r="LV2" t="s">
        <v>686</v>
      </c>
      <c r="LW2" s="5" t="s">
        <v>1590</v>
      </c>
      <c r="LX2" t="s">
        <v>687</v>
      </c>
      <c r="LY2" t="s">
        <v>688</v>
      </c>
      <c r="LZ2" t="s">
        <v>689</v>
      </c>
      <c r="MA2" t="s">
        <v>690</v>
      </c>
      <c r="MB2" t="s">
        <v>691</v>
      </c>
      <c r="MC2" t="s">
        <v>692</v>
      </c>
      <c r="MD2" t="s">
        <v>693</v>
      </c>
      <c r="ME2" t="s">
        <v>694</v>
      </c>
      <c r="MF2" t="s">
        <v>695</v>
      </c>
      <c r="MG2" t="s">
        <v>696</v>
      </c>
      <c r="MH2" t="s">
        <v>697</v>
      </c>
      <c r="MI2" t="s">
        <v>698</v>
      </c>
      <c r="MJ2" s="5" t="s">
        <v>1588</v>
      </c>
      <c r="MK2" t="s">
        <v>711</v>
      </c>
      <c r="ML2" t="s">
        <v>712</v>
      </c>
      <c r="MM2" t="s">
        <v>713</v>
      </c>
      <c r="MN2" t="s">
        <v>714</v>
      </c>
      <c r="MO2" t="s">
        <v>715</v>
      </c>
      <c r="MP2" t="s">
        <v>716</v>
      </c>
      <c r="MQ2" t="s">
        <v>717</v>
      </c>
      <c r="MR2" t="s">
        <v>718</v>
      </c>
      <c r="MS2" t="s">
        <v>719</v>
      </c>
      <c r="MT2" t="s">
        <v>720</v>
      </c>
      <c r="MU2" t="s">
        <v>721</v>
      </c>
      <c r="MV2" t="s">
        <v>722</v>
      </c>
      <c r="MW2" s="5" t="s">
        <v>1586</v>
      </c>
      <c r="MX2" t="s">
        <v>723</v>
      </c>
      <c r="MY2" t="s">
        <v>724</v>
      </c>
      <c r="MZ2" t="s">
        <v>725</v>
      </c>
      <c r="NA2" t="s">
        <v>726</v>
      </c>
      <c r="NB2" t="s">
        <v>727</v>
      </c>
      <c r="NC2" t="s">
        <v>728</v>
      </c>
      <c r="ND2" t="s">
        <v>729</v>
      </c>
      <c r="NE2" t="s">
        <v>730</v>
      </c>
      <c r="NF2" t="s">
        <v>731</v>
      </c>
      <c r="NG2" t="s">
        <v>732</v>
      </c>
      <c r="NH2" t="s">
        <v>733</v>
      </c>
      <c r="NI2" t="s">
        <v>734</v>
      </c>
      <c r="NJ2" s="5" t="s">
        <v>1579</v>
      </c>
      <c r="NK2" t="s">
        <v>735</v>
      </c>
      <c r="NL2" t="s">
        <v>736</v>
      </c>
      <c r="NM2" t="s">
        <v>737</v>
      </c>
      <c r="NN2" t="s">
        <v>738</v>
      </c>
      <c r="NO2" t="s">
        <v>739</v>
      </c>
      <c r="NP2" t="s">
        <v>740</v>
      </c>
      <c r="NQ2" t="s">
        <v>741</v>
      </c>
      <c r="NR2" t="s">
        <v>742</v>
      </c>
      <c r="NS2" t="s">
        <v>743</v>
      </c>
      <c r="NT2" t="s">
        <v>744</v>
      </c>
      <c r="NU2" t="s">
        <v>745</v>
      </c>
      <c r="NV2" t="s">
        <v>746</v>
      </c>
      <c r="NW2" s="5" t="s">
        <v>1577</v>
      </c>
      <c r="NX2" t="s">
        <v>747</v>
      </c>
      <c r="NY2" t="s">
        <v>748</v>
      </c>
      <c r="NZ2" t="s">
        <v>749</v>
      </c>
      <c r="OA2" t="s">
        <v>750</v>
      </c>
      <c r="OB2" t="s">
        <v>751</v>
      </c>
      <c r="OC2" t="s">
        <v>752</v>
      </c>
      <c r="OD2" t="s">
        <v>753</v>
      </c>
      <c r="OE2" t="s">
        <v>754</v>
      </c>
      <c r="OF2" t="s">
        <v>755</v>
      </c>
      <c r="OG2" t="s">
        <v>756</v>
      </c>
      <c r="OH2" t="s">
        <v>757</v>
      </c>
      <c r="OI2" t="s">
        <v>758</v>
      </c>
      <c r="OJ2" s="5" t="s">
        <v>1575</v>
      </c>
      <c r="OK2" t="s">
        <v>759</v>
      </c>
      <c r="OL2" t="s">
        <v>760</v>
      </c>
      <c r="OM2" t="s">
        <v>761</v>
      </c>
      <c r="ON2" t="s">
        <v>762</v>
      </c>
      <c r="OO2" t="s">
        <v>763</v>
      </c>
      <c r="OP2" t="s">
        <v>764</v>
      </c>
      <c r="OQ2" t="s">
        <v>765</v>
      </c>
      <c r="OR2" t="s">
        <v>766</v>
      </c>
      <c r="OS2" t="s">
        <v>767</v>
      </c>
      <c r="OT2" t="s">
        <v>768</v>
      </c>
      <c r="OU2" t="s">
        <v>769</v>
      </c>
      <c r="OV2" t="s">
        <v>770</v>
      </c>
      <c r="OW2" s="5" t="s">
        <v>1581</v>
      </c>
      <c r="OX2" t="s">
        <v>723</v>
      </c>
      <c r="OY2" t="s">
        <v>724</v>
      </c>
      <c r="OZ2" t="s">
        <v>725</v>
      </c>
      <c r="PA2" t="s">
        <v>726</v>
      </c>
      <c r="PB2" t="s">
        <v>727</v>
      </c>
      <c r="PC2" t="s">
        <v>728</v>
      </c>
      <c r="PD2" t="s">
        <v>729</v>
      </c>
      <c r="PE2" t="s">
        <v>730</v>
      </c>
      <c r="PF2" t="s">
        <v>731</v>
      </c>
      <c r="PG2" t="s">
        <v>732</v>
      </c>
      <c r="PH2" t="s">
        <v>733</v>
      </c>
      <c r="PI2" t="s">
        <v>734</v>
      </c>
      <c r="PJ2" s="5" t="s">
        <v>1579</v>
      </c>
      <c r="PK2" t="s">
        <v>735</v>
      </c>
      <c r="PL2" t="s">
        <v>736</v>
      </c>
      <c r="PM2" t="s">
        <v>737</v>
      </c>
      <c r="PN2" t="s">
        <v>738</v>
      </c>
      <c r="PO2" t="s">
        <v>739</v>
      </c>
      <c r="PP2" t="s">
        <v>740</v>
      </c>
      <c r="PQ2" t="s">
        <v>741</v>
      </c>
      <c r="PR2" t="s">
        <v>742</v>
      </c>
      <c r="PS2" t="s">
        <v>743</v>
      </c>
      <c r="PT2" t="s">
        <v>744</v>
      </c>
      <c r="PU2" t="s">
        <v>745</v>
      </c>
      <c r="PV2" t="s">
        <v>746</v>
      </c>
      <c r="PW2" s="5" t="s">
        <v>1577</v>
      </c>
      <c r="PX2" t="s">
        <v>747</v>
      </c>
      <c r="PY2" t="s">
        <v>748</v>
      </c>
      <c r="PZ2" t="s">
        <v>749</v>
      </c>
      <c r="QA2" t="s">
        <v>750</v>
      </c>
      <c r="QB2" t="s">
        <v>751</v>
      </c>
      <c r="QC2" t="s">
        <v>752</v>
      </c>
      <c r="QD2" t="s">
        <v>753</v>
      </c>
      <c r="QE2" t="s">
        <v>754</v>
      </c>
      <c r="QF2" t="s">
        <v>755</v>
      </c>
      <c r="QG2" t="s">
        <v>756</v>
      </c>
      <c r="QH2" t="s">
        <v>757</v>
      </c>
      <c r="QI2" t="s">
        <v>758</v>
      </c>
      <c r="QJ2" s="5" t="s">
        <v>1575</v>
      </c>
      <c r="QK2" t="s">
        <v>771</v>
      </c>
      <c r="QL2" t="s">
        <v>772</v>
      </c>
      <c r="QM2" t="s">
        <v>773</v>
      </c>
      <c r="QN2" t="s">
        <v>774</v>
      </c>
      <c r="QO2" t="s">
        <v>775</v>
      </c>
      <c r="QP2" t="s">
        <v>776</v>
      </c>
      <c r="QQ2" t="s">
        <v>777</v>
      </c>
      <c r="QR2" t="s">
        <v>778</v>
      </c>
      <c r="QS2" t="s">
        <v>779</v>
      </c>
      <c r="QT2" t="s">
        <v>780</v>
      </c>
      <c r="QU2" t="s">
        <v>781</v>
      </c>
      <c r="QV2" t="s">
        <v>782</v>
      </c>
      <c r="QW2" s="5" t="s">
        <v>1573</v>
      </c>
      <c r="QX2" t="s">
        <v>783</v>
      </c>
      <c r="QY2" t="s">
        <v>784</v>
      </c>
      <c r="QZ2" t="s">
        <v>785</v>
      </c>
      <c r="RA2" t="s">
        <v>786</v>
      </c>
      <c r="RB2" t="s">
        <v>787</v>
      </c>
      <c r="RC2" t="s">
        <v>788</v>
      </c>
      <c r="RD2" t="s">
        <v>789</v>
      </c>
      <c r="RE2" t="s">
        <v>790</v>
      </c>
      <c r="RF2" t="s">
        <v>791</v>
      </c>
      <c r="RG2" t="s">
        <v>792</v>
      </c>
      <c r="RH2" t="s">
        <v>793</v>
      </c>
      <c r="RI2" t="s">
        <v>794</v>
      </c>
      <c r="RJ2" s="5" t="s">
        <v>1571</v>
      </c>
      <c r="RK2" t="s">
        <v>795</v>
      </c>
      <c r="RL2" t="s">
        <v>796</v>
      </c>
      <c r="RM2" t="s">
        <v>797</v>
      </c>
      <c r="RN2" t="s">
        <v>798</v>
      </c>
      <c r="RO2" t="s">
        <v>799</v>
      </c>
      <c r="RP2" t="s">
        <v>800</v>
      </c>
      <c r="RQ2" t="s">
        <v>801</v>
      </c>
      <c r="RR2" t="s">
        <v>802</v>
      </c>
      <c r="RS2" t="s">
        <v>803</v>
      </c>
      <c r="RT2" t="s">
        <v>804</v>
      </c>
      <c r="RU2" t="s">
        <v>805</v>
      </c>
      <c r="RV2" t="s">
        <v>806</v>
      </c>
      <c r="RW2" s="5" t="s">
        <v>1569</v>
      </c>
      <c r="RX2" t="s">
        <v>807</v>
      </c>
      <c r="RY2" t="s">
        <v>808</v>
      </c>
      <c r="RZ2" t="s">
        <v>809</v>
      </c>
      <c r="SA2" t="s">
        <v>810</v>
      </c>
      <c r="SB2" t="s">
        <v>811</v>
      </c>
      <c r="SC2" t="s">
        <v>812</v>
      </c>
      <c r="SD2" t="s">
        <v>813</v>
      </c>
      <c r="SE2" t="s">
        <v>814</v>
      </c>
      <c r="SF2" t="s">
        <v>815</v>
      </c>
      <c r="SG2" t="s">
        <v>816</v>
      </c>
      <c r="SH2" t="s">
        <v>817</v>
      </c>
      <c r="SI2" t="s">
        <v>818</v>
      </c>
      <c r="SJ2" s="5" t="s">
        <v>1567</v>
      </c>
      <c r="SK2" t="s">
        <v>819</v>
      </c>
      <c r="SL2" t="s">
        <v>820</v>
      </c>
      <c r="SM2" t="s">
        <v>821</v>
      </c>
      <c r="SN2" t="s">
        <v>822</v>
      </c>
      <c r="SO2" t="s">
        <v>823</v>
      </c>
      <c r="SP2" t="s">
        <v>824</v>
      </c>
      <c r="SQ2" t="s">
        <v>825</v>
      </c>
      <c r="SR2" t="s">
        <v>826</v>
      </c>
      <c r="SS2" t="s">
        <v>827</v>
      </c>
      <c r="ST2" t="s">
        <v>828</v>
      </c>
      <c r="SU2" t="s">
        <v>829</v>
      </c>
      <c r="SV2" t="s">
        <v>830</v>
      </c>
      <c r="SW2" s="5" t="s">
        <v>1565</v>
      </c>
      <c r="SX2" t="s">
        <v>831</v>
      </c>
      <c r="SY2" t="s">
        <v>832</v>
      </c>
      <c r="SZ2" t="s">
        <v>833</v>
      </c>
      <c r="TA2" t="s">
        <v>834</v>
      </c>
      <c r="TB2" t="s">
        <v>835</v>
      </c>
      <c r="TC2" t="s">
        <v>836</v>
      </c>
      <c r="TD2" t="s">
        <v>837</v>
      </c>
      <c r="TE2" t="s">
        <v>838</v>
      </c>
      <c r="TF2" t="s">
        <v>839</v>
      </c>
      <c r="TG2" t="s">
        <v>840</v>
      </c>
      <c r="TH2" t="s">
        <v>841</v>
      </c>
      <c r="TI2" t="s">
        <v>842</v>
      </c>
      <c r="TJ2" t="s">
        <v>843</v>
      </c>
      <c r="TK2" s="5" t="s">
        <v>1563</v>
      </c>
      <c r="TL2" t="s">
        <v>844</v>
      </c>
      <c r="TM2" t="s">
        <v>845</v>
      </c>
      <c r="TN2" t="s">
        <v>846</v>
      </c>
      <c r="TO2" t="s">
        <v>847</v>
      </c>
      <c r="TP2" t="s">
        <v>848</v>
      </c>
      <c r="TQ2" t="s">
        <v>849</v>
      </c>
      <c r="TR2" t="s">
        <v>850</v>
      </c>
      <c r="TS2" t="s">
        <v>851</v>
      </c>
      <c r="TT2" t="s">
        <v>852</v>
      </c>
      <c r="TU2" t="s">
        <v>853</v>
      </c>
      <c r="TV2" t="s">
        <v>854</v>
      </c>
      <c r="TW2" t="s">
        <v>855</v>
      </c>
      <c r="TX2" s="5" t="s">
        <v>1560</v>
      </c>
      <c r="TY2" t="s">
        <v>856</v>
      </c>
      <c r="TZ2" t="s">
        <v>857</v>
      </c>
      <c r="UA2" t="s">
        <v>858</v>
      </c>
      <c r="UB2" t="s">
        <v>859</v>
      </c>
    </row>
    <row r="3" spans="1:548" ht="16.5" customHeight="1" x14ac:dyDescent="0.35">
      <c r="A3" t="s">
        <v>860</v>
      </c>
      <c r="C3" t="s">
        <v>861</v>
      </c>
      <c r="D3" t="s">
        <v>862</v>
      </c>
      <c r="E3" t="s">
        <v>863</v>
      </c>
      <c r="F3" t="s">
        <v>864</v>
      </c>
      <c r="G3" t="s">
        <v>865</v>
      </c>
      <c r="H3" t="s">
        <v>866</v>
      </c>
      <c r="I3" t="s">
        <v>867</v>
      </c>
      <c r="J3" t="s">
        <v>868</v>
      </c>
      <c r="K3" t="s">
        <v>869</v>
      </c>
      <c r="L3" t="s">
        <v>870</v>
      </c>
      <c r="M3" t="s">
        <v>871</v>
      </c>
      <c r="N3" t="s">
        <v>872</v>
      </c>
      <c r="O3" t="s">
        <v>873</v>
      </c>
      <c r="P3" t="s">
        <v>874</v>
      </c>
      <c r="Q3" t="s">
        <v>875</v>
      </c>
      <c r="R3" t="s">
        <v>876</v>
      </c>
      <c r="S3" t="s">
        <v>1561</v>
      </c>
      <c r="T3" t="s">
        <v>877</v>
      </c>
      <c r="U3" t="s">
        <v>878</v>
      </c>
      <c r="V3" t="s">
        <v>879</v>
      </c>
      <c r="W3" t="s">
        <v>880</v>
      </c>
      <c r="X3" t="s">
        <v>881</v>
      </c>
      <c r="Y3" t="s">
        <v>882</v>
      </c>
      <c r="Z3" t="s">
        <v>883</v>
      </c>
      <c r="AA3" t="s">
        <v>884</v>
      </c>
      <c r="AB3" t="s">
        <v>885</v>
      </c>
      <c r="AC3" t="s">
        <v>886</v>
      </c>
      <c r="AD3" t="s">
        <v>887</v>
      </c>
      <c r="AE3" t="s">
        <v>888</v>
      </c>
      <c r="AF3" t="s">
        <v>1561</v>
      </c>
      <c r="AG3" t="s">
        <v>889</v>
      </c>
      <c r="AH3" t="s">
        <v>890</v>
      </c>
      <c r="AI3" t="s">
        <v>891</v>
      </c>
      <c r="AJ3" t="s">
        <v>892</v>
      </c>
      <c r="AK3" t="s">
        <v>893</v>
      </c>
      <c r="AL3" t="s">
        <v>894</v>
      </c>
      <c r="AM3" t="s">
        <v>895</v>
      </c>
      <c r="AN3" t="s">
        <v>896</v>
      </c>
      <c r="AO3" t="s">
        <v>897</v>
      </c>
      <c r="AP3" t="s">
        <v>898</v>
      </c>
      <c r="AQ3" t="s">
        <v>899</v>
      </c>
      <c r="AR3" t="s">
        <v>900</v>
      </c>
      <c r="AS3" t="s">
        <v>1561</v>
      </c>
      <c r="AT3" t="s">
        <v>901</v>
      </c>
      <c r="AU3" t="s">
        <v>902</v>
      </c>
      <c r="AV3" t="s">
        <v>903</v>
      </c>
      <c r="AW3" t="s">
        <v>904</v>
      </c>
      <c r="AX3" t="s">
        <v>905</v>
      </c>
      <c r="AY3" t="s">
        <v>906</v>
      </c>
      <c r="AZ3" t="s">
        <v>907</v>
      </c>
      <c r="BA3" t="s">
        <v>908</v>
      </c>
      <c r="BB3" t="s">
        <v>909</v>
      </c>
      <c r="BC3" t="s">
        <v>910</v>
      </c>
      <c r="BD3" t="s">
        <v>911</v>
      </c>
      <c r="BE3" t="s">
        <v>912</v>
      </c>
      <c r="BF3" t="s">
        <v>1561</v>
      </c>
      <c r="BG3" t="s">
        <v>913</v>
      </c>
      <c r="BH3" t="s">
        <v>914</v>
      </c>
      <c r="BI3" t="s">
        <v>915</v>
      </c>
      <c r="BJ3" t="s">
        <v>916</v>
      </c>
      <c r="BK3" t="s">
        <v>917</v>
      </c>
      <c r="BL3" t="s">
        <v>918</v>
      </c>
      <c r="BM3" t="s">
        <v>919</v>
      </c>
      <c r="BN3" t="s">
        <v>920</v>
      </c>
      <c r="BO3" t="s">
        <v>921</v>
      </c>
      <c r="BP3" t="s">
        <v>922</v>
      </c>
      <c r="BQ3" t="s">
        <v>923</v>
      </c>
      <c r="BR3" t="s">
        <v>924</v>
      </c>
      <c r="BS3" t="s">
        <v>1561</v>
      </c>
      <c r="BT3" t="s">
        <v>925</v>
      </c>
      <c r="BU3" t="s">
        <v>926</v>
      </c>
      <c r="BV3" t="s">
        <v>927</v>
      </c>
      <c r="BW3" t="s">
        <v>928</v>
      </c>
      <c r="BX3" t="s">
        <v>929</v>
      </c>
      <c r="BY3" t="s">
        <v>930</v>
      </c>
      <c r="BZ3" t="s">
        <v>931</v>
      </c>
      <c r="CA3" t="s">
        <v>932</v>
      </c>
      <c r="CB3" t="s">
        <v>933</v>
      </c>
      <c r="CC3" t="s">
        <v>934</v>
      </c>
      <c r="CD3" t="s">
        <v>935</v>
      </c>
      <c r="CE3" t="s">
        <v>936</v>
      </c>
      <c r="CF3" t="s">
        <v>1561</v>
      </c>
      <c r="CG3" t="s">
        <v>937</v>
      </c>
      <c r="CH3" t="s">
        <v>938</v>
      </c>
      <c r="CI3" t="s">
        <v>939</v>
      </c>
      <c r="CJ3" t="s">
        <v>940</v>
      </c>
      <c r="CK3" t="s">
        <v>941</v>
      </c>
      <c r="CL3" t="s">
        <v>942</v>
      </c>
      <c r="CM3" t="s">
        <v>943</v>
      </c>
      <c r="CN3" t="s">
        <v>944</v>
      </c>
      <c r="CO3" t="s">
        <v>945</v>
      </c>
      <c r="CP3" t="s">
        <v>946</v>
      </c>
      <c r="CQ3" t="s">
        <v>947</v>
      </c>
      <c r="CR3" t="s">
        <v>948</v>
      </c>
      <c r="CS3" t="s">
        <v>1561</v>
      </c>
      <c r="CT3" t="s">
        <v>949</v>
      </c>
      <c r="CU3" t="s">
        <v>950</v>
      </c>
      <c r="CV3" t="s">
        <v>951</v>
      </c>
      <c r="CW3" t="s">
        <v>952</v>
      </c>
      <c r="CX3" t="s">
        <v>953</v>
      </c>
      <c r="CY3" t="s">
        <v>954</v>
      </c>
      <c r="CZ3" t="s">
        <v>955</v>
      </c>
      <c r="DA3" t="s">
        <v>956</v>
      </c>
      <c r="DB3" t="s">
        <v>957</v>
      </c>
      <c r="DC3" t="s">
        <v>958</v>
      </c>
      <c r="DD3" t="s">
        <v>959</v>
      </c>
      <c r="DE3" t="s">
        <v>960</v>
      </c>
      <c r="DF3" t="s">
        <v>1561</v>
      </c>
      <c r="DG3" t="s">
        <v>961</v>
      </c>
      <c r="DH3" t="s">
        <v>962</v>
      </c>
      <c r="DI3" t="s">
        <v>963</v>
      </c>
      <c r="DJ3" t="s">
        <v>964</v>
      </c>
      <c r="DK3" t="s">
        <v>965</v>
      </c>
      <c r="DL3" t="s">
        <v>966</v>
      </c>
      <c r="DM3" t="s">
        <v>967</v>
      </c>
      <c r="DN3" t="s">
        <v>968</v>
      </c>
      <c r="DO3" t="s">
        <v>969</v>
      </c>
      <c r="DP3" t="s">
        <v>970</v>
      </c>
      <c r="DQ3" t="s">
        <v>971</v>
      </c>
      <c r="DR3" t="s">
        <v>972</v>
      </c>
      <c r="DS3" t="s">
        <v>1561</v>
      </c>
      <c r="DT3" t="s">
        <v>973</v>
      </c>
      <c r="DU3" t="s">
        <v>974</v>
      </c>
      <c r="DV3" t="s">
        <v>975</v>
      </c>
      <c r="DW3" t="s">
        <v>976</v>
      </c>
      <c r="DX3" t="s">
        <v>977</v>
      </c>
      <c r="DY3" t="s">
        <v>978</v>
      </c>
      <c r="DZ3" t="s">
        <v>979</v>
      </c>
      <c r="EA3" t="s">
        <v>980</v>
      </c>
      <c r="EB3" t="s">
        <v>981</v>
      </c>
      <c r="EC3" t="s">
        <v>982</v>
      </c>
      <c r="ED3" t="s">
        <v>983</v>
      </c>
      <c r="EE3" t="s">
        <v>984</v>
      </c>
      <c r="EF3" t="s">
        <v>1561</v>
      </c>
      <c r="EG3" t="s">
        <v>1636</v>
      </c>
      <c r="EH3" t="s">
        <v>1636</v>
      </c>
      <c r="EI3" t="s">
        <v>985</v>
      </c>
      <c r="EJ3" t="s">
        <v>986</v>
      </c>
      <c r="EK3" t="s">
        <v>987</v>
      </c>
      <c r="EL3" t="s">
        <v>988</v>
      </c>
      <c r="EM3" t="s">
        <v>989</v>
      </c>
      <c r="EN3" t="s">
        <v>990</v>
      </c>
      <c r="EO3" t="s">
        <v>991</v>
      </c>
      <c r="EP3" t="s">
        <v>992</v>
      </c>
      <c r="EQ3" t="s">
        <v>993</v>
      </c>
      <c r="ER3" t="s">
        <v>994</v>
      </c>
      <c r="ES3" t="s">
        <v>995</v>
      </c>
      <c r="ET3" t="s">
        <v>996</v>
      </c>
      <c r="EU3" t="s">
        <v>1561</v>
      </c>
      <c r="EV3" t="s">
        <v>997</v>
      </c>
      <c r="EW3" t="s">
        <v>998</v>
      </c>
      <c r="EX3" t="s">
        <v>999</v>
      </c>
      <c r="EY3" t="s">
        <v>1000</v>
      </c>
      <c r="EZ3" t="s">
        <v>1001</v>
      </c>
      <c r="FA3" t="s">
        <v>1002</v>
      </c>
      <c r="FB3" t="s">
        <v>1003</v>
      </c>
      <c r="FC3" t="s">
        <v>1004</v>
      </c>
      <c r="FD3" t="s">
        <v>1005</v>
      </c>
      <c r="FE3" t="s">
        <v>1006</v>
      </c>
      <c r="FF3" t="s">
        <v>1007</v>
      </c>
      <c r="FG3" t="s">
        <v>1008</v>
      </c>
      <c r="FH3" t="s">
        <v>1561</v>
      </c>
      <c r="FI3" t="s">
        <v>1009</v>
      </c>
      <c r="FJ3" t="s">
        <v>1010</v>
      </c>
      <c r="FK3" t="s">
        <v>1011</v>
      </c>
      <c r="FL3" t="s">
        <v>1012</v>
      </c>
      <c r="FM3" t="s">
        <v>1013</v>
      </c>
      <c r="FN3" t="s">
        <v>1014</v>
      </c>
      <c r="FO3" t="s">
        <v>1015</v>
      </c>
      <c r="FP3" t="s">
        <v>1016</v>
      </c>
      <c r="FQ3" t="s">
        <v>1017</v>
      </c>
      <c r="FR3" t="s">
        <v>1018</v>
      </c>
      <c r="FS3" t="s">
        <v>1019</v>
      </c>
      <c r="FT3" t="s">
        <v>1020</v>
      </c>
      <c r="FU3" t="s">
        <v>1561</v>
      </c>
      <c r="FV3" t="s">
        <v>1021</v>
      </c>
      <c r="FW3" t="s">
        <v>1022</v>
      </c>
      <c r="FX3" t="s">
        <v>1023</v>
      </c>
      <c r="FY3" t="s">
        <v>1024</v>
      </c>
      <c r="FZ3" t="s">
        <v>1025</v>
      </c>
      <c r="GA3" t="s">
        <v>1026</v>
      </c>
      <c r="GB3" t="s">
        <v>1027</v>
      </c>
      <c r="GC3" t="s">
        <v>1028</v>
      </c>
      <c r="GD3" t="s">
        <v>1029</v>
      </c>
      <c r="GE3" t="s">
        <v>1030</v>
      </c>
      <c r="GF3" t="s">
        <v>1031</v>
      </c>
      <c r="GG3" t="s">
        <v>1032</v>
      </c>
      <c r="GH3" t="s">
        <v>1561</v>
      </c>
      <c r="GI3" t="s">
        <v>1033</v>
      </c>
      <c r="GJ3" t="s">
        <v>1034</v>
      </c>
      <c r="GK3" t="s">
        <v>1035</v>
      </c>
      <c r="GL3" t="s">
        <v>1036</v>
      </c>
      <c r="GM3" t="s">
        <v>1037</v>
      </c>
      <c r="GN3" t="s">
        <v>1038</v>
      </c>
      <c r="GO3" t="s">
        <v>1039</v>
      </c>
      <c r="GP3" t="s">
        <v>1040</v>
      </c>
      <c r="GQ3" t="s">
        <v>1041</v>
      </c>
      <c r="GR3" t="s">
        <v>1042</v>
      </c>
      <c r="GS3" t="s">
        <v>1043</v>
      </c>
      <c r="GT3" t="s">
        <v>1044</v>
      </c>
      <c r="GU3" t="s">
        <v>1561</v>
      </c>
      <c r="GV3" t="s">
        <v>1045</v>
      </c>
      <c r="GW3" t="s">
        <v>1046</v>
      </c>
      <c r="GX3" t="s">
        <v>1047</v>
      </c>
      <c r="GY3" t="s">
        <v>1048</v>
      </c>
      <c r="GZ3" t="s">
        <v>1049</v>
      </c>
      <c r="HA3" t="s">
        <v>1050</v>
      </c>
      <c r="HB3" t="s">
        <v>1051</v>
      </c>
      <c r="HC3" t="s">
        <v>1052</v>
      </c>
      <c r="HD3" t="s">
        <v>1053</v>
      </c>
      <c r="HE3" t="s">
        <v>1054</v>
      </c>
      <c r="HF3" t="s">
        <v>1055</v>
      </c>
      <c r="HG3" t="s">
        <v>1056</v>
      </c>
      <c r="HH3" t="s">
        <v>1561</v>
      </c>
      <c r="HI3" t="s">
        <v>1057</v>
      </c>
      <c r="HJ3" t="s">
        <v>1058</v>
      </c>
      <c r="HK3" t="s">
        <v>1059</v>
      </c>
      <c r="HL3" t="s">
        <v>1060</v>
      </c>
      <c r="HM3" t="s">
        <v>1061</v>
      </c>
      <c r="HN3" t="s">
        <v>1062</v>
      </c>
      <c r="HO3" t="s">
        <v>1063</v>
      </c>
      <c r="HP3" t="s">
        <v>1064</v>
      </c>
      <c r="HQ3" t="s">
        <v>1065</v>
      </c>
      <c r="HR3" t="s">
        <v>1066</v>
      </c>
      <c r="HS3" t="s">
        <v>1067</v>
      </c>
      <c r="HT3" t="s">
        <v>1068</v>
      </c>
      <c r="HU3" t="s">
        <v>1561</v>
      </c>
      <c r="HV3" t="s">
        <v>1069</v>
      </c>
      <c r="HW3" t="s">
        <v>1070</v>
      </c>
      <c r="HX3" t="s">
        <v>1071</v>
      </c>
      <c r="HY3" t="s">
        <v>1072</v>
      </c>
      <c r="HZ3" t="s">
        <v>1073</v>
      </c>
      <c r="IA3" t="s">
        <v>1074</v>
      </c>
      <c r="IB3" t="s">
        <v>1075</v>
      </c>
      <c r="IC3" t="s">
        <v>1076</v>
      </c>
      <c r="ID3" t="s">
        <v>1077</v>
      </c>
      <c r="IE3" t="s">
        <v>1078</v>
      </c>
      <c r="IF3" t="s">
        <v>1079</v>
      </c>
      <c r="IG3" t="s">
        <v>1080</v>
      </c>
      <c r="IH3" t="s">
        <v>1561</v>
      </c>
      <c r="II3" t="s">
        <v>2859</v>
      </c>
      <c r="IJ3" t="s">
        <v>2859</v>
      </c>
      <c r="IK3" t="s">
        <v>1081</v>
      </c>
      <c r="IL3" t="s">
        <v>1082</v>
      </c>
      <c r="IM3" t="s">
        <v>1083</v>
      </c>
      <c r="IN3" t="s">
        <v>1084</v>
      </c>
      <c r="IO3" t="s">
        <v>1085</v>
      </c>
      <c r="IP3" t="s">
        <v>1086</v>
      </c>
      <c r="IQ3" t="s">
        <v>1087</v>
      </c>
      <c r="IR3" t="s">
        <v>1088</v>
      </c>
      <c r="IS3" t="s">
        <v>1089</v>
      </c>
      <c r="IT3" t="s">
        <v>1090</v>
      </c>
      <c r="IU3" t="s">
        <v>1091</v>
      </c>
      <c r="IV3" t="s">
        <v>1092</v>
      </c>
      <c r="IW3" t="s">
        <v>1561</v>
      </c>
      <c r="IX3" t="s">
        <v>1093</v>
      </c>
      <c r="IY3" t="s">
        <v>1094</v>
      </c>
      <c r="IZ3" t="s">
        <v>1095</v>
      </c>
      <c r="JA3" t="s">
        <v>1096</v>
      </c>
      <c r="JB3" t="s">
        <v>1097</v>
      </c>
      <c r="JC3" t="s">
        <v>1098</v>
      </c>
      <c r="JD3" t="s">
        <v>1099</v>
      </c>
      <c r="JE3" t="s">
        <v>1100</v>
      </c>
      <c r="JF3" t="s">
        <v>1101</v>
      </c>
      <c r="JG3" t="s">
        <v>1102</v>
      </c>
      <c r="JH3" t="s">
        <v>1103</v>
      </c>
      <c r="JI3" t="s">
        <v>1104</v>
      </c>
      <c r="JJ3" t="s">
        <v>1561</v>
      </c>
      <c r="JK3" t="s">
        <v>1105</v>
      </c>
      <c r="JL3" t="s">
        <v>1106</v>
      </c>
      <c r="JM3" t="s">
        <v>1107</v>
      </c>
      <c r="JN3" t="s">
        <v>1108</v>
      </c>
      <c r="JO3" t="s">
        <v>1109</v>
      </c>
      <c r="JP3" t="s">
        <v>1110</v>
      </c>
      <c r="JQ3" t="s">
        <v>1111</v>
      </c>
      <c r="JR3" t="s">
        <v>1112</v>
      </c>
      <c r="JS3" t="s">
        <v>1113</v>
      </c>
      <c r="JT3" t="s">
        <v>1114</v>
      </c>
      <c r="JU3" t="s">
        <v>1115</v>
      </c>
      <c r="JV3" t="s">
        <v>1116</v>
      </c>
      <c r="JW3" t="s">
        <v>1561</v>
      </c>
      <c r="JX3" t="s">
        <v>1117</v>
      </c>
      <c r="JY3" t="s">
        <v>1118</v>
      </c>
      <c r="JZ3" t="s">
        <v>1119</v>
      </c>
      <c r="KA3" t="s">
        <v>1120</v>
      </c>
      <c r="KB3" t="s">
        <v>1121</v>
      </c>
      <c r="KC3" t="s">
        <v>1122</v>
      </c>
      <c r="KD3" t="s">
        <v>1123</v>
      </c>
      <c r="KE3" t="s">
        <v>1124</v>
      </c>
      <c r="KF3" t="s">
        <v>1125</v>
      </c>
      <c r="KG3" t="s">
        <v>1126</v>
      </c>
      <c r="KH3" t="s">
        <v>1127</v>
      </c>
      <c r="KI3" t="s">
        <v>1128</v>
      </c>
      <c r="KJ3" t="s">
        <v>1561</v>
      </c>
      <c r="KK3" t="s">
        <v>1129</v>
      </c>
      <c r="KL3" t="s">
        <v>1130</v>
      </c>
      <c r="KM3" t="s">
        <v>1131</v>
      </c>
      <c r="KN3" t="s">
        <v>1132</v>
      </c>
      <c r="KO3" t="s">
        <v>1133</v>
      </c>
      <c r="KP3" t="s">
        <v>1134</v>
      </c>
      <c r="KQ3" t="s">
        <v>1135</v>
      </c>
      <c r="KR3" t="s">
        <v>1136</v>
      </c>
      <c r="KS3" t="s">
        <v>1137</v>
      </c>
      <c r="KT3" t="s">
        <v>1138</v>
      </c>
      <c r="KU3" t="s">
        <v>1139</v>
      </c>
      <c r="KV3" t="s">
        <v>1140</v>
      </c>
      <c r="KW3" t="s">
        <v>1561</v>
      </c>
      <c r="KX3" t="s">
        <v>1141</v>
      </c>
      <c r="KY3" t="s">
        <v>1142</v>
      </c>
      <c r="KZ3" t="s">
        <v>1143</v>
      </c>
      <c r="LA3" t="s">
        <v>1144</v>
      </c>
      <c r="LB3" t="s">
        <v>1145</v>
      </c>
      <c r="LC3" t="s">
        <v>1146</v>
      </c>
      <c r="LD3" t="s">
        <v>1147</v>
      </c>
      <c r="LE3" t="s">
        <v>1148</v>
      </c>
      <c r="LF3" t="s">
        <v>1149</v>
      </c>
      <c r="LG3" t="s">
        <v>1150</v>
      </c>
      <c r="LH3" t="s">
        <v>1151</v>
      </c>
      <c r="LI3" t="s">
        <v>1152</v>
      </c>
      <c r="LJ3" t="s">
        <v>1561</v>
      </c>
      <c r="LK3" t="s">
        <v>1153</v>
      </c>
      <c r="LL3" t="s">
        <v>1154</v>
      </c>
      <c r="LM3" t="s">
        <v>1155</v>
      </c>
      <c r="LN3" t="s">
        <v>1156</v>
      </c>
      <c r="LO3" t="s">
        <v>1157</v>
      </c>
      <c r="LP3" t="s">
        <v>1158</v>
      </c>
      <c r="LQ3" t="s">
        <v>1159</v>
      </c>
      <c r="LR3" t="s">
        <v>1160</v>
      </c>
      <c r="LS3" t="s">
        <v>1161</v>
      </c>
      <c r="LT3" t="s">
        <v>1162</v>
      </c>
      <c r="LU3" t="s">
        <v>1163</v>
      </c>
      <c r="LV3" t="s">
        <v>1164</v>
      </c>
      <c r="LW3" t="s">
        <v>1561</v>
      </c>
      <c r="LX3" t="s">
        <v>1165</v>
      </c>
      <c r="LY3" t="s">
        <v>1166</v>
      </c>
      <c r="LZ3" t="s">
        <v>1167</v>
      </c>
      <c r="MA3" t="s">
        <v>1168</v>
      </c>
      <c r="MB3" t="s">
        <v>1169</v>
      </c>
      <c r="MC3" t="s">
        <v>1170</v>
      </c>
      <c r="MD3" t="s">
        <v>1171</v>
      </c>
      <c r="ME3" t="s">
        <v>1172</v>
      </c>
      <c r="MF3" t="s">
        <v>1173</v>
      </c>
      <c r="MG3" t="s">
        <v>1174</v>
      </c>
      <c r="MH3" t="s">
        <v>1175</v>
      </c>
      <c r="MI3" t="s">
        <v>1176</v>
      </c>
      <c r="MJ3" t="s">
        <v>1561</v>
      </c>
      <c r="MK3" t="s">
        <v>1177</v>
      </c>
      <c r="ML3" t="s">
        <v>1178</v>
      </c>
      <c r="MM3" t="s">
        <v>1179</v>
      </c>
      <c r="MN3" t="s">
        <v>1180</v>
      </c>
      <c r="MO3" t="s">
        <v>1181</v>
      </c>
      <c r="MP3" t="s">
        <v>1182</v>
      </c>
      <c r="MQ3" t="s">
        <v>1183</v>
      </c>
      <c r="MR3" t="s">
        <v>1184</v>
      </c>
      <c r="MS3" t="s">
        <v>1185</v>
      </c>
      <c r="MT3" t="s">
        <v>1186</v>
      </c>
      <c r="MU3" t="s">
        <v>1187</v>
      </c>
      <c r="MV3" t="s">
        <v>1188</v>
      </c>
      <c r="MW3" t="s">
        <v>1561</v>
      </c>
      <c r="MX3" t="s">
        <v>1189</v>
      </c>
      <c r="MY3" t="s">
        <v>1190</v>
      </c>
      <c r="MZ3" t="s">
        <v>1191</v>
      </c>
      <c r="NA3" t="s">
        <v>1192</v>
      </c>
      <c r="NB3" t="s">
        <v>1193</v>
      </c>
      <c r="NC3" t="s">
        <v>1194</v>
      </c>
      <c r="ND3" t="s">
        <v>1195</v>
      </c>
      <c r="NE3" t="s">
        <v>1196</v>
      </c>
      <c r="NF3" t="s">
        <v>1197</v>
      </c>
      <c r="NG3" t="s">
        <v>1198</v>
      </c>
      <c r="NH3" t="s">
        <v>1199</v>
      </c>
      <c r="NI3" t="s">
        <v>1200</v>
      </c>
      <c r="NJ3" t="s">
        <v>1561</v>
      </c>
      <c r="NK3" t="s">
        <v>1201</v>
      </c>
      <c r="NL3" t="s">
        <v>1202</v>
      </c>
      <c r="NM3" t="s">
        <v>1203</v>
      </c>
      <c r="NN3" t="s">
        <v>1204</v>
      </c>
      <c r="NO3" t="s">
        <v>1205</v>
      </c>
      <c r="NP3" t="s">
        <v>1206</v>
      </c>
      <c r="NQ3" t="s">
        <v>1207</v>
      </c>
      <c r="NR3" t="s">
        <v>1208</v>
      </c>
      <c r="NS3" t="s">
        <v>1209</v>
      </c>
      <c r="NT3" t="s">
        <v>1210</v>
      </c>
      <c r="NU3" t="s">
        <v>1211</v>
      </c>
      <c r="NV3" t="s">
        <v>1212</v>
      </c>
      <c r="NW3" t="s">
        <v>1561</v>
      </c>
      <c r="NX3" t="s">
        <v>1213</v>
      </c>
      <c r="NY3" t="s">
        <v>1214</v>
      </c>
      <c r="NZ3" t="s">
        <v>1215</v>
      </c>
      <c r="OA3" t="s">
        <v>1216</v>
      </c>
      <c r="OB3" t="s">
        <v>1217</v>
      </c>
      <c r="OC3" t="s">
        <v>1218</v>
      </c>
      <c r="OD3" t="s">
        <v>1219</v>
      </c>
      <c r="OE3" t="s">
        <v>1220</v>
      </c>
      <c r="OF3" t="s">
        <v>1221</v>
      </c>
      <c r="OG3" t="s">
        <v>1222</v>
      </c>
      <c r="OH3" t="s">
        <v>1223</v>
      </c>
      <c r="OI3" t="s">
        <v>1224</v>
      </c>
      <c r="OJ3" t="s">
        <v>1561</v>
      </c>
      <c r="OK3" t="s">
        <v>1225</v>
      </c>
      <c r="OL3" t="s">
        <v>1226</v>
      </c>
      <c r="OM3" t="s">
        <v>1227</v>
      </c>
      <c r="ON3" t="s">
        <v>1228</v>
      </c>
      <c r="OO3" t="s">
        <v>1229</v>
      </c>
      <c r="OP3" t="s">
        <v>1230</v>
      </c>
      <c r="OQ3" t="s">
        <v>1231</v>
      </c>
      <c r="OR3" t="s">
        <v>1232</v>
      </c>
      <c r="OS3" t="s">
        <v>1233</v>
      </c>
      <c r="OT3" t="s">
        <v>1234</v>
      </c>
      <c r="OU3" t="s">
        <v>1235</v>
      </c>
      <c r="OV3" t="s">
        <v>1236</v>
      </c>
      <c r="OW3" t="s">
        <v>1561</v>
      </c>
      <c r="OX3" t="s">
        <v>1237</v>
      </c>
      <c r="OY3" t="s">
        <v>1238</v>
      </c>
      <c r="OZ3" t="s">
        <v>1239</v>
      </c>
      <c r="PA3" t="s">
        <v>1240</v>
      </c>
      <c r="PB3" t="s">
        <v>1241</v>
      </c>
      <c r="PC3" t="s">
        <v>1242</v>
      </c>
      <c r="PD3" t="s">
        <v>1243</v>
      </c>
      <c r="PE3" t="s">
        <v>1244</v>
      </c>
      <c r="PF3" t="s">
        <v>1245</v>
      </c>
      <c r="PG3" t="s">
        <v>1246</v>
      </c>
      <c r="PH3" t="s">
        <v>1247</v>
      </c>
      <c r="PI3" t="s">
        <v>1248</v>
      </c>
      <c r="PJ3" t="s">
        <v>1561</v>
      </c>
      <c r="PK3" t="s">
        <v>1249</v>
      </c>
      <c r="PL3" t="s">
        <v>1250</v>
      </c>
      <c r="PM3" t="s">
        <v>1251</v>
      </c>
      <c r="PN3" t="s">
        <v>1252</v>
      </c>
      <c r="PO3" t="s">
        <v>1253</v>
      </c>
      <c r="PP3" t="s">
        <v>1254</v>
      </c>
      <c r="PQ3" t="s">
        <v>1255</v>
      </c>
      <c r="PR3" t="s">
        <v>1256</v>
      </c>
      <c r="PS3" t="s">
        <v>1257</v>
      </c>
      <c r="PT3" t="s">
        <v>1258</v>
      </c>
      <c r="PU3" t="s">
        <v>1259</v>
      </c>
      <c r="PV3" t="s">
        <v>1260</v>
      </c>
      <c r="PW3" t="s">
        <v>1561</v>
      </c>
      <c r="PX3" t="s">
        <v>1261</v>
      </c>
      <c r="PY3" t="s">
        <v>1262</v>
      </c>
      <c r="PZ3" t="s">
        <v>1263</v>
      </c>
      <c r="QA3" t="s">
        <v>1264</v>
      </c>
      <c r="QB3" t="s">
        <v>1265</v>
      </c>
      <c r="QC3" t="s">
        <v>1266</v>
      </c>
      <c r="QD3" t="s">
        <v>1267</v>
      </c>
      <c r="QE3" t="s">
        <v>1268</v>
      </c>
      <c r="QF3" t="s">
        <v>1269</v>
      </c>
      <c r="QG3" t="s">
        <v>1270</v>
      </c>
      <c r="QH3" t="s">
        <v>1271</v>
      </c>
      <c r="QI3" t="s">
        <v>1272</v>
      </c>
      <c r="QJ3" t="s">
        <v>1561</v>
      </c>
      <c r="QK3" t="s">
        <v>1273</v>
      </c>
      <c r="QL3" t="s">
        <v>1274</v>
      </c>
      <c r="QM3" t="s">
        <v>1275</v>
      </c>
      <c r="QN3" t="s">
        <v>1276</v>
      </c>
      <c r="QO3" t="s">
        <v>1277</v>
      </c>
      <c r="QP3" t="s">
        <v>1278</v>
      </c>
      <c r="QQ3" t="s">
        <v>1279</v>
      </c>
      <c r="QR3" t="s">
        <v>1280</v>
      </c>
      <c r="QS3" t="s">
        <v>1281</v>
      </c>
      <c r="QT3" t="s">
        <v>1282</v>
      </c>
      <c r="QU3" t="s">
        <v>1283</v>
      </c>
      <c r="QV3" t="s">
        <v>1284</v>
      </c>
      <c r="QW3" t="s">
        <v>1561</v>
      </c>
      <c r="QX3" t="s">
        <v>1285</v>
      </c>
      <c r="QY3" t="s">
        <v>1286</v>
      </c>
      <c r="QZ3" t="s">
        <v>1287</v>
      </c>
      <c r="RA3" t="s">
        <v>1288</v>
      </c>
      <c r="RB3" t="s">
        <v>1289</v>
      </c>
      <c r="RC3" t="s">
        <v>1290</v>
      </c>
      <c r="RD3" t="s">
        <v>1291</v>
      </c>
      <c r="RE3" t="s">
        <v>1292</v>
      </c>
      <c r="RF3" t="s">
        <v>1293</v>
      </c>
      <c r="RG3" t="s">
        <v>1294</v>
      </c>
      <c r="RH3" t="s">
        <v>1295</v>
      </c>
      <c r="RI3" t="s">
        <v>1296</v>
      </c>
      <c r="RJ3" t="s">
        <v>1561</v>
      </c>
      <c r="RK3" t="s">
        <v>1297</v>
      </c>
      <c r="RL3" t="s">
        <v>1298</v>
      </c>
      <c r="RM3" t="s">
        <v>1299</v>
      </c>
      <c r="RN3" t="s">
        <v>1300</v>
      </c>
      <c r="RO3" t="s">
        <v>1301</v>
      </c>
      <c r="RP3" t="s">
        <v>1302</v>
      </c>
      <c r="RQ3" t="s">
        <v>1303</v>
      </c>
      <c r="RR3" t="s">
        <v>1304</v>
      </c>
      <c r="RS3" t="s">
        <v>1305</v>
      </c>
      <c r="RT3" t="s">
        <v>1306</v>
      </c>
      <c r="RU3" t="s">
        <v>1307</v>
      </c>
      <c r="RV3" t="s">
        <v>1308</v>
      </c>
      <c r="RW3" t="s">
        <v>1561</v>
      </c>
      <c r="RX3" t="s">
        <v>1309</v>
      </c>
      <c r="RY3" t="s">
        <v>1310</v>
      </c>
      <c r="RZ3" t="s">
        <v>1311</v>
      </c>
      <c r="SA3" t="s">
        <v>1312</v>
      </c>
      <c r="SB3" t="s">
        <v>1313</v>
      </c>
      <c r="SC3" t="s">
        <v>1314</v>
      </c>
      <c r="SD3" t="s">
        <v>1315</v>
      </c>
      <c r="SE3" t="s">
        <v>1316</v>
      </c>
      <c r="SF3" t="s">
        <v>1317</v>
      </c>
      <c r="SG3" t="s">
        <v>1318</v>
      </c>
      <c r="SH3" t="s">
        <v>1319</v>
      </c>
      <c r="SI3" t="s">
        <v>1320</v>
      </c>
      <c r="SJ3" t="s">
        <v>1561</v>
      </c>
      <c r="SK3" t="s">
        <v>1321</v>
      </c>
      <c r="SL3" t="s">
        <v>1322</v>
      </c>
      <c r="SM3" t="s">
        <v>1323</v>
      </c>
      <c r="SN3" t="s">
        <v>1324</v>
      </c>
      <c r="SO3" t="s">
        <v>1325</v>
      </c>
      <c r="SP3" t="s">
        <v>1326</v>
      </c>
      <c r="SQ3" t="s">
        <v>1327</v>
      </c>
      <c r="SR3" t="s">
        <v>1328</v>
      </c>
      <c r="SS3" t="s">
        <v>1329</v>
      </c>
      <c r="ST3" t="s">
        <v>1330</v>
      </c>
      <c r="SU3" t="s">
        <v>1331</v>
      </c>
      <c r="SV3" t="s">
        <v>1332</v>
      </c>
      <c r="SW3" t="s">
        <v>1561</v>
      </c>
      <c r="SX3" t="s">
        <v>1333</v>
      </c>
      <c r="SY3" t="s">
        <v>1334</v>
      </c>
      <c r="SZ3" t="s">
        <v>1335</v>
      </c>
      <c r="TA3" t="s">
        <v>1336</v>
      </c>
      <c r="TB3" t="s">
        <v>1337</v>
      </c>
      <c r="TC3" t="s">
        <v>1338</v>
      </c>
      <c r="TD3" t="s">
        <v>1339</v>
      </c>
      <c r="TE3" t="s">
        <v>1340</v>
      </c>
      <c r="TF3" t="s">
        <v>1341</v>
      </c>
      <c r="TG3" t="s">
        <v>1342</v>
      </c>
      <c r="TH3" t="s">
        <v>1343</v>
      </c>
      <c r="TI3" t="s">
        <v>1344</v>
      </c>
      <c r="TJ3" t="s">
        <v>1345</v>
      </c>
      <c r="TK3" t="s">
        <v>1561</v>
      </c>
      <c r="TL3" t="s">
        <v>1346</v>
      </c>
      <c r="TM3" t="s">
        <v>1347</v>
      </c>
      <c r="TN3" t="s">
        <v>1348</v>
      </c>
      <c r="TO3" t="s">
        <v>1349</v>
      </c>
      <c r="TP3" t="s">
        <v>1350</v>
      </c>
      <c r="TQ3" t="s">
        <v>1351</v>
      </c>
      <c r="TR3" t="s">
        <v>1352</v>
      </c>
      <c r="TS3" t="s">
        <v>1353</v>
      </c>
      <c r="TT3" t="s">
        <v>1354</v>
      </c>
      <c r="TU3" t="s">
        <v>1355</v>
      </c>
      <c r="TV3" t="s">
        <v>1356</v>
      </c>
      <c r="TW3" t="s">
        <v>1357</v>
      </c>
      <c r="TX3" t="s">
        <v>1561</v>
      </c>
      <c r="TY3" t="s">
        <v>1358</v>
      </c>
      <c r="TZ3" t="s">
        <v>1359</v>
      </c>
      <c r="UA3" t="s">
        <v>1360</v>
      </c>
      <c r="UB3" t="s">
        <v>1361</v>
      </c>
    </row>
    <row r="4" spans="1:548" ht="16.5" customHeight="1" x14ac:dyDescent="0.35">
      <c r="A4" t="s">
        <v>1516</v>
      </c>
      <c r="B4" t="s">
        <v>2866</v>
      </c>
      <c r="C4">
        <v>28753</v>
      </c>
      <c r="D4">
        <v>0</v>
      </c>
      <c r="E4">
        <v>0</v>
      </c>
      <c r="F4">
        <v>0</v>
      </c>
      <c r="G4">
        <v>153</v>
      </c>
      <c r="H4">
        <v>179</v>
      </c>
      <c r="I4">
        <v>205</v>
      </c>
      <c r="J4">
        <v>183</v>
      </c>
      <c r="K4">
        <v>114</v>
      </c>
      <c r="L4">
        <v>187</v>
      </c>
      <c r="M4">
        <v>216</v>
      </c>
      <c r="N4">
        <v>212</v>
      </c>
      <c r="O4">
        <v>137</v>
      </c>
      <c r="P4">
        <v>185</v>
      </c>
      <c r="Q4">
        <v>192</v>
      </c>
      <c r="R4">
        <v>211</v>
      </c>
      <c r="S4">
        <f>SUM(G4:R4)</f>
        <v>2174</v>
      </c>
      <c r="T4">
        <v>90</v>
      </c>
      <c r="U4">
        <v>102</v>
      </c>
      <c r="V4">
        <v>117</v>
      </c>
      <c r="W4">
        <v>104</v>
      </c>
      <c r="X4">
        <v>45</v>
      </c>
      <c r="Y4">
        <v>101</v>
      </c>
      <c r="Z4">
        <v>125</v>
      </c>
      <c r="AA4">
        <v>130</v>
      </c>
      <c r="AB4">
        <v>89</v>
      </c>
      <c r="AC4">
        <v>114</v>
      </c>
      <c r="AD4">
        <v>109</v>
      </c>
      <c r="AE4">
        <v>126</v>
      </c>
      <c r="AF4">
        <f>SUM(T4:AE4)</f>
        <v>1252</v>
      </c>
      <c r="AG4">
        <v>0</v>
      </c>
      <c r="AH4">
        <v>1</v>
      </c>
      <c r="AI4">
        <v>0</v>
      </c>
      <c r="AJ4">
        <v>0</v>
      </c>
      <c r="AK4">
        <v>0</v>
      </c>
      <c r="AL4">
        <v>0</v>
      </c>
      <c r="AM4">
        <v>0</v>
      </c>
      <c r="AN4">
        <v>0</v>
      </c>
      <c r="AO4">
        <v>1</v>
      </c>
      <c r="AP4">
        <v>0</v>
      </c>
      <c r="AQ4">
        <v>1</v>
      </c>
      <c r="AR4">
        <v>0</v>
      </c>
      <c r="AS4">
        <f>SUM(AG4:AR4)</f>
        <v>3</v>
      </c>
      <c r="AT4">
        <v>61</v>
      </c>
      <c r="AU4">
        <v>74</v>
      </c>
      <c r="AV4">
        <v>88</v>
      </c>
      <c r="AW4">
        <v>78</v>
      </c>
      <c r="AX4">
        <v>67</v>
      </c>
      <c r="AY4">
        <v>80</v>
      </c>
      <c r="AZ4">
        <v>91</v>
      </c>
      <c r="BA4">
        <v>81</v>
      </c>
      <c r="BB4">
        <v>45</v>
      </c>
      <c r="BC4">
        <v>68</v>
      </c>
      <c r="BD4">
        <v>81</v>
      </c>
      <c r="BE4">
        <v>85</v>
      </c>
      <c r="BF4">
        <f>SUM(AT4:BE4)</f>
        <v>899</v>
      </c>
      <c r="BG4">
        <v>2</v>
      </c>
      <c r="BH4">
        <v>3</v>
      </c>
      <c r="BI4">
        <v>0</v>
      </c>
      <c r="BJ4">
        <v>1</v>
      </c>
      <c r="BK4">
        <v>2</v>
      </c>
      <c r="BL4">
        <v>6</v>
      </c>
      <c r="BM4">
        <v>0</v>
      </c>
      <c r="BN4">
        <v>1</v>
      </c>
      <c r="BO4">
        <v>2</v>
      </c>
      <c r="BP4">
        <v>3</v>
      </c>
      <c r="BQ4">
        <v>1</v>
      </c>
      <c r="BR4">
        <v>0</v>
      </c>
      <c r="BS4">
        <f>SUM(BG4:BR4)</f>
        <v>21</v>
      </c>
      <c r="BT4">
        <v>4</v>
      </c>
      <c r="BU4">
        <v>7</v>
      </c>
      <c r="BV4">
        <v>1</v>
      </c>
      <c r="BW4">
        <v>0</v>
      </c>
      <c r="BX4" t="s">
        <v>1517</v>
      </c>
      <c r="BY4">
        <v>0</v>
      </c>
      <c r="BZ4">
        <v>0</v>
      </c>
      <c r="CA4">
        <v>0</v>
      </c>
      <c r="CB4">
        <v>0</v>
      </c>
      <c r="CC4">
        <v>0</v>
      </c>
      <c r="CD4">
        <v>0</v>
      </c>
      <c r="CE4">
        <v>0</v>
      </c>
      <c r="CF4">
        <f>SUM(BT4:CE4)</f>
        <v>12</v>
      </c>
      <c r="CG4">
        <v>0</v>
      </c>
      <c r="CH4">
        <v>0</v>
      </c>
      <c r="CI4">
        <v>0</v>
      </c>
      <c r="CJ4">
        <v>0</v>
      </c>
      <c r="CK4">
        <v>0</v>
      </c>
      <c r="CL4">
        <v>0</v>
      </c>
      <c r="CM4">
        <v>0</v>
      </c>
      <c r="CN4">
        <v>0</v>
      </c>
      <c r="CO4">
        <v>0</v>
      </c>
      <c r="CP4">
        <v>0</v>
      </c>
      <c r="CQ4">
        <v>0</v>
      </c>
      <c r="CR4">
        <v>0</v>
      </c>
      <c r="CS4">
        <f>SUM(CG4:CR4)</f>
        <v>0</v>
      </c>
      <c r="CT4">
        <v>0</v>
      </c>
      <c r="CU4">
        <v>0</v>
      </c>
      <c r="CV4">
        <v>0</v>
      </c>
      <c r="CW4">
        <v>0</v>
      </c>
      <c r="CX4">
        <v>0</v>
      </c>
      <c r="CY4">
        <v>0</v>
      </c>
      <c r="CZ4">
        <v>0</v>
      </c>
      <c r="DA4">
        <v>0</v>
      </c>
      <c r="DB4">
        <v>0</v>
      </c>
      <c r="DC4">
        <v>0</v>
      </c>
      <c r="DD4">
        <v>0</v>
      </c>
      <c r="DE4">
        <v>0</v>
      </c>
      <c r="DF4">
        <f>SUM(CT4:DE4)</f>
        <v>0</v>
      </c>
      <c r="DG4">
        <v>4</v>
      </c>
      <c r="DH4">
        <v>7</v>
      </c>
      <c r="DI4">
        <v>1</v>
      </c>
      <c r="DJ4">
        <v>0</v>
      </c>
      <c r="DK4">
        <v>0</v>
      </c>
      <c r="DL4">
        <v>0</v>
      </c>
      <c r="DM4">
        <v>0</v>
      </c>
      <c r="DN4">
        <v>0</v>
      </c>
      <c r="DO4">
        <v>0</v>
      </c>
      <c r="DP4">
        <v>0</v>
      </c>
      <c r="DQ4">
        <v>0</v>
      </c>
      <c r="DR4">
        <v>0</v>
      </c>
      <c r="DS4">
        <f>SUM(DG4:DR4)</f>
        <v>12</v>
      </c>
      <c r="DT4">
        <v>0</v>
      </c>
      <c r="DU4">
        <v>0</v>
      </c>
      <c r="DV4">
        <v>0</v>
      </c>
      <c r="DW4">
        <v>0</v>
      </c>
      <c r="DX4">
        <v>0</v>
      </c>
      <c r="DY4">
        <v>0</v>
      </c>
      <c r="DZ4">
        <v>0</v>
      </c>
      <c r="EA4">
        <v>0</v>
      </c>
      <c r="EB4">
        <v>0</v>
      </c>
      <c r="EC4">
        <v>0</v>
      </c>
      <c r="ED4">
        <v>0</v>
      </c>
      <c r="EE4">
        <v>0</v>
      </c>
      <c r="EF4">
        <f>SUM(DT4:EE4)</f>
        <v>0</v>
      </c>
      <c r="EG4">
        <f>SUM(AF4,AS4,BF4,BS4)</f>
        <v>2175</v>
      </c>
      <c r="EH4">
        <f>SUM(CS4,DF4,DS4,EF4)</f>
        <v>12</v>
      </c>
      <c r="EI4">
        <v>2558</v>
      </c>
      <c r="EJ4">
        <v>3252</v>
      </c>
      <c r="EK4">
        <v>3582</v>
      </c>
      <c r="EL4">
        <v>4206</v>
      </c>
      <c r="EM4">
        <v>1836</v>
      </c>
      <c r="EN4">
        <v>2984</v>
      </c>
      <c r="EO4">
        <v>4448</v>
      </c>
      <c r="EP4">
        <v>3805</v>
      </c>
      <c r="EQ4">
        <v>2472</v>
      </c>
      <c r="ER4">
        <v>3153</v>
      </c>
      <c r="ES4">
        <v>3377</v>
      </c>
      <c r="ET4">
        <v>3509</v>
      </c>
      <c r="EU4">
        <f>SUM(EI4:ET4)</f>
        <v>39182</v>
      </c>
      <c r="EV4">
        <v>1204</v>
      </c>
      <c r="EW4">
        <v>1420</v>
      </c>
      <c r="EX4">
        <v>1587</v>
      </c>
      <c r="EY4">
        <v>2335</v>
      </c>
      <c r="EZ4">
        <v>641</v>
      </c>
      <c r="FA4">
        <v>1293</v>
      </c>
      <c r="FB4">
        <v>1929</v>
      </c>
      <c r="FC4">
        <v>1671</v>
      </c>
      <c r="FD4">
        <v>1131</v>
      </c>
      <c r="FE4">
        <v>1490</v>
      </c>
      <c r="FF4">
        <v>1574</v>
      </c>
      <c r="FG4">
        <v>1680</v>
      </c>
      <c r="FH4">
        <f>SUM(EV4:FG4)</f>
        <v>17955</v>
      </c>
      <c r="FI4">
        <v>0</v>
      </c>
      <c r="FJ4">
        <v>72</v>
      </c>
      <c r="FK4">
        <v>0</v>
      </c>
      <c r="FL4">
        <v>0</v>
      </c>
      <c r="FM4">
        <v>0</v>
      </c>
      <c r="FN4">
        <v>0</v>
      </c>
      <c r="FO4">
        <v>0</v>
      </c>
      <c r="FP4">
        <v>0</v>
      </c>
      <c r="FQ4">
        <v>0</v>
      </c>
      <c r="FR4">
        <v>0</v>
      </c>
      <c r="FS4">
        <v>0</v>
      </c>
      <c r="FT4">
        <v>0</v>
      </c>
      <c r="FU4">
        <f>SUM(FI4:FT4)</f>
        <v>72</v>
      </c>
      <c r="FV4">
        <v>1354</v>
      </c>
      <c r="FW4">
        <v>1844</v>
      </c>
      <c r="FX4">
        <v>1995</v>
      </c>
      <c r="FY4">
        <v>1871</v>
      </c>
      <c r="FZ4">
        <v>1195</v>
      </c>
      <c r="GA4">
        <v>1691</v>
      </c>
      <c r="GB4">
        <v>2519</v>
      </c>
      <c r="GC4">
        <v>2134</v>
      </c>
      <c r="GD4">
        <v>1341</v>
      </c>
      <c r="GE4">
        <v>1663</v>
      </c>
      <c r="GF4">
        <v>1803</v>
      </c>
      <c r="GG4">
        <v>1829</v>
      </c>
      <c r="GH4">
        <f>SUM(FV4:GG4)</f>
        <v>21239</v>
      </c>
      <c r="GI4">
        <v>75</v>
      </c>
      <c r="GJ4">
        <v>24</v>
      </c>
      <c r="GK4">
        <v>1</v>
      </c>
      <c r="GL4">
        <v>0</v>
      </c>
      <c r="GM4">
        <v>0</v>
      </c>
      <c r="GN4">
        <v>0</v>
      </c>
      <c r="GO4">
        <v>0</v>
      </c>
      <c r="GP4">
        <v>0</v>
      </c>
      <c r="GQ4">
        <v>0</v>
      </c>
      <c r="GR4">
        <v>0</v>
      </c>
      <c r="GS4">
        <v>0</v>
      </c>
      <c r="GT4">
        <v>0</v>
      </c>
      <c r="GU4">
        <f>SUM(GI4:GT4)</f>
        <v>100</v>
      </c>
      <c r="GV4">
        <v>0</v>
      </c>
      <c r="GW4">
        <v>0</v>
      </c>
      <c r="GX4">
        <v>0</v>
      </c>
      <c r="GY4">
        <v>0</v>
      </c>
      <c r="GZ4">
        <v>0</v>
      </c>
      <c r="HA4">
        <v>0</v>
      </c>
      <c r="HB4">
        <v>0</v>
      </c>
      <c r="HC4">
        <v>0</v>
      </c>
      <c r="HD4">
        <v>0</v>
      </c>
      <c r="HE4">
        <v>0</v>
      </c>
      <c r="HF4">
        <v>0</v>
      </c>
      <c r="HG4">
        <v>0</v>
      </c>
      <c r="HH4">
        <f>SUM(GV4:HG4)</f>
        <v>0</v>
      </c>
      <c r="HI4">
        <v>0</v>
      </c>
      <c r="HJ4">
        <v>0</v>
      </c>
      <c r="HK4">
        <v>0</v>
      </c>
      <c r="HL4">
        <v>0</v>
      </c>
      <c r="HM4">
        <v>0</v>
      </c>
      <c r="HN4">
        <v>0</v>
      </c>
      <c r="HO4">
        <v>0</v>
      </c>
      <c r="HP4">
        <v>0</v>
      </c>
      <c r="HQ4">
        <v>0</v>
      </c>
      <c r="HR4">
        <v>0</v>
      </c>
      <c r="HS4">
        <v>0</v>
      </c>
      <c r="HT4">
        <v>0</v>
      </c>
      <c r="HU4">
        <f>SUM(HI4:HT4)</f>
        <v>0</v>
      </c>
      <c r="HV4">
        <v>75</v>
      </c>
      <c r="HW4">
        <v>24</v>
      </c>
      <c r="HX4">
        <v>1</v>
      </c>
      <c r="HY4">
        <v>0</v>
      </c>
      <c r="HZ4">
        <v>0</v>
      </c>
      <c r="IA4">
        <v>0</v>
      </c>
      <c r="IB4">
        <v>0</v>
      </c>
      <c r="IC4">
        <v>0</v>
      </c>
      <c r="ID4">
        <v>0</v>
      </c>
      <c r="IE4">
        <v>0</v>
      </c>
      <c r="IF4">
        <v>0</v>
      </c>
      <c r="IG4">
        <v>0</v>
      </c>
      <c r="IH4">
        <f>SUM(HV4:IG4)</f>
        <v>100</v>
      </c>
      <c r="II4">
        <f>SUM(FH4,FU4,GH4)</f>
        <v>39266</v>
      </c>
      <c r="IJ4">
        <f>SUM(HH4,HU4,IH4)</f>
        <v>100</v>
      </c>
      <c r="IK4">
        <v>0</v>
      </c>
      <c r="IL4">
        <v>0</v>
      </c>
      <c r="IM4">
        <v>0</v>
      </c>
      <c r="IN4">
        <v>0</v>
      </c>
      <c r="IO4">
        <v>0</v>
      </c>
      <c r="IP4">
        <v>0</v>
      </c>
      <c r="IQ4">
        <v>0</v>
      </c>
      <c r="IR4">
        <v>0</v>
      </c>
      <c r="IS4">
        <v>0</v>
      </c>
      <c r="IT4">
        <v>0</v>
      </c>
      <c r="IU4">
        <v>0</v>
      </c>
      <c r="IV4">
        <v>1025753</v>
      </c>
      <c r="IW4">
        <f>SUM(IK4:IV4)</f>
        <v>1025753</v>
      </c>
      <c r="IX4">
        <v>0</v>
      </c>
      <c r="IY4">
        <v>0</v>
      </c>
      <c r="IZ4">
        <v>0</v>
      </c>
      <c r="JA4">
        <v>0</v>
      </c>
      <c r="JB4">
        <v>0</v>
      </c>
      <c r="JC4">
        <v>0</v>
      </c>
      <c r="JD4">
        <v>0</v>
      </c>
      <c r="JE4">
        <v>0</v>
      </c>
      <c r="JF4">
        <v>0</v>
      </c>
      <c r="JG4">
        <v>0</v>
      </c>
      <c r="JH4">
        <v>0</v>
      </c>
      <c r="JI4">
        <v>630107</v>
      </c>
      <c r="JJ4">
        <f>SUM(IX4:JI4)</f>
        <v>630107</v>
      </c>
      <c r="JK4">
        <v>0</v>
      </c>
      <c r="JL4">
        <v>0</v>
      </c>
      <c r="JM4">
        <v>0</v>
      </c>
      <c r="JN4">
        <v>0</v>
      </c>
      <c r="JO4">
        <v>0</v>
      </c>
      <c r="JP4">
        <v>0</v>
      </c>
      <c r="JQ4">
        <v>0</v>
      </c>
      <c r="JR4">
        <v>0</v>
      </c>
      <c r="JS4">
        <v>0</v>
      </c>
      <c r="JT4">
        <v>0</v>
      </c>
      <c r="JU4">
        <v>0</v>
      </c>
      <c r="JV4">
        <v>50064</v>
      </c>
      <c r="JW4">
        <f>SUM(JK4:JV4)</f>
        <v>50064</v>
      </c>
      <c r="JX4">
        <v>0</v>
      </c>
      <c r="JY4">
        <v>0</v>
      </c>
      <c r="JZ4">
        <v>0</v>
      </c>
      <c r="KA4">
        <v>0</v>
      </c>
      <c r="KB4">
        <v>0</v>
      </c>
      <c r="KC4">
        <v>0</v>
      </c>
      <c r="KD4">
        <v>0</v>
      </c>
      <c r="KE4">
        <v>0</v>
      </c>
      <c r="KF4">
        <v>0</v>
      </c>
      <c r="KG4">
        <v>0</v>
      </c>
      <c r="KH4">
        <v>0</v>
      </c>
      <c r="KI4">
        <v>345582</v>
      </c>
      <c r="KJ4">
        <f>SUM(JX4:KI4)</f>
        <v>345582</v>
      </c>
      <c r="KK4">
        <v>0</v>
      </c>
      <c r="KL4">
        <v>0</v>
      </c>
      <c r="KM4">
        <v>0</v>
      </c>
      <c r="KN4">
        <v>0</v>
      </c>
      <c r="KO4">
        <v>0</v>
      </c>
      <c r="KP4">
        <v>0</v>
      </c>
      <c r="KQ4">
        <v>0</v>
      </c>
      <c r="KR4">
        <v>0</v>
      </c>
      <c r="KS4">
        <v>0</v>
      </c>
      <c r="KT4">
        <v>0</v>
      </c>
      <c r="KU4">
        <v>0</v>
      </c>
      <c r="KV4">
        <v>4836</v>
      </c>
      <c r="KW4">
        <f>SUM(KK4:KV4)</f>
        <v>4836</v>
      </c>
      <c r="KX4">
        <v>0</v>
      </c>
      <c r="KY4">
        <v>0</v>
      </c>
      <c r="KZ4">
        <v>0</v>
      </c>
      <c r="LA4">
        <v>0</v>
      </c>
      <c r="LB4">
        <v>0</v>
      </c>
      <c r="LC4">
        <v>0</v>
      </c>
      <c r="LD4">
        <v>0</v>
      </c>
      <c r="LE4">
        <v>0</v>
      </c>
      <c r="LF4">
        <v>0</v>
      </c>
      <c r="LG4">
        <v>0</v>
      </c>
      <c r="LH4">
        <v>0</v>
      </c>
      <c r="LI4">
        <v>95</v>
      </c>
      <c r="LJ4">
        <f>SUM(KX4:LI4)</f>
        <v>95</v>
      </c>
      <c r="LK4">
        <v>0</v>
      </c>
      <c r="LL4">
        <v>0</v>
      </c>
      <c r="LM4">
        <v>0</v>
      </c>
      <c r="LN4">
        <v>0</v>
      </c>
      <c r="LO4">
        <v>0</v>
      </c>
      <c r="LP4">
        <v>0</v>
      </c>
      <c r="LQ4">
        <v>0</v>
      </c>
      <c r="LR4">
        <v>0</v>
      </c>
      <c r="LS4">
        <v>0</v>
      </c>
      <c r="LT4">
        <v>0</v>
      </c>
      <c r="LU4">
        <v>0</v>
      </c>
      <c r="LV4">
        <v>0</v>
      </c>
      <c r="LW4">
        <f>SUM(LK4:LV4)</f>
        <v>0</v>
      </c>
      <c r="LX4">
        <v>0</v>
      </c>
      <c r="LY4">
        <v>0</v>
      </c>
      <c r="LZ4">
        <v>0</v>
      </c>
      <c r="MA4">
        <v>0</v>
      </c>
      <c r="MB4">
        <v>0</v>
      </c>
      <c r="MC4">
        <v>0</v>
      </c>
      <c r="MD4">
        <v>0</v>
      </c>
      <c r="ME4">
        <v>0</v>
      </c>
      <c r="MF4">
        <v>0</v>
      </c>
      <c r="MG4">
        <v>0</v>
      </c>
      <c r="MH4">
        <v>0</v>
      </c>
      <c r="MI4">
        <v>4741</v>
      </c>
      <c r="MJ4">
        <f>SUM(LX4:MI4)</f>
        <v>4741</v>
      </c>
      <c r="MK4">
        <v>6090</v>
      </c>
      <c r="ML4">
        <v>6389</v>
      </c>
      <c r="MM4">
        <v>6046</v>
      </c>
      <c r="MN4">
        <v>6555</v>
      </c>
      <c r="MO4">
        <v>6738</v>
      </c>
      <c r="MP4">
        <v>6000</v>
      </c>
      <c r="MQ4">
        <v>6141</v>
      </c>
      <c r="MR4">
        <v>5821</v>
      </c>
      <c r="MS4">
        <v>6335</v>
      </c>
      <c r="MT4">
        <v>6270</v>
      </c>
      <c r="MU4">
        <v>5624</v>
      </c>
      <c r="MV4">
        <v>6025</v>
      </c>
      <c r="MW4">
        <f>SUM(MK4:MV4)</f>
        <v>74034</v>
      </c>
      <c r="MX4">
        <v>0</v>
      </c>
      <c r="MY4">
        <v>0</v>
      </c>
      <c r="MZ4">
        <v>0</v>
      </c>
      <c r="NA4">
        <v>0</v>
      </c>
      <c r="NB4">
        <v>0</v>
      </c>
      <c r="NC4">
        <v>0</v>
      </c>
      <c r="ND4">
        <v>0</v>
      </c>
      <c r="NE4">
        <v>0</v>
      </c>
      <c r="NF4">
        <v>0</v>
      </c>
      <c r="NG4">
        <v>0</v>
      </c>
      <c r="NH4">
        <v>0</v>
      </c>
      <c r="NI4">
        <v>0</v>
      </c>
      <c r="NJ4">
        <f>SUM(MX4:NI4)</f>
        <v>0</v>
      </c>
      <c r="NK4">
        <v>0</v>
      </c>
      <c r="NL4">
        <v>0</v>
      </c>
      <c r="NM4">
        <v>0</v>
      </c>
      <c r="NN4">
        <v>0</v>
      </c>
      <c r="NO4">
        <v>0</v>
      </c>
      <c r="NP4">
        <v>0</v>
      </c>
      <c r="NQ4">
        <v>0</v>
      </c>
      <c r="NR4">
        <v>0</v>
      </c>
      <c r="NS4">
        <v>0</v>
      </c>
      <c r="NT4">
        <v>0</v>
      </c>
      <c r="NU4">
        <v>0</v>
      </c>
      <c r="NV4">
        <v>0</v>
      </c>
      <c r="NW4">
        <f>SUM(NK4:NV4)</f>
        <v>0</v>
      </c>
      <c r="NX4">
        <v>0</v>
      </c>
      <c r="NY4">
        <v>0</v>
      </c>
      <c r="NZ4">
        <v>0</v>
      </c>
      <c r="OA4">
        <v>0</v>
      </c>
      <c r="OB4">
        <v>0</v>
      </c>
      <c r="OC4">
        <v>0</v>
      </c>
      <c r="OD4">
        <v>0</v>
      </c>
      <c r="OE4">
        <v>0</v>
      </c>
      <c r="OF4">
        <v>0</v>
      </c>
      <c r="OG4">
        <v>0</v>
      </c>
      <c r="OH4">
        <v>0</v>
      </c>
      <c r="OI4">
        <v>0</v>
      </c>
      <c r="OJ4">
        <f>SUM(NX4:OI4)</f>
        <v>0</v>
      </c>
      <c r="OK4">
        <v>5437</v>
      </c>
      <c r="OL4">
        <v>5611</v>
      </c>
      <c r="OM4">
        <v>5202</v>
      </c>
      <c r="ON4">
        <v>5643</v>
      </c>
      <c r="OO4">
        <v>6062</v>
      </c>
      <c r="OP4">
        <v>5742</v>
      </c>
      <c r="OQ4">
        <v>5728</v>
      </c>
      <c r="OR4">
        <v>5645</v>
      </c>
      <c r="OS4">
        <v>5890</v>
      </c>
      <c r="OT4">
        <v>6240</v>
      </c>
      <c r="OU4">
        <v>5681</v>
      </c>
      <c r="OV4">
        <v>6128</v>
      </c>
      <c r="OW4">
        <f>SUM(OK4:OV4)</f>
        <v>69009</v>
      </c>
      <c r="OX4">
        <v>0</v>
      </c>
      <c r="OY4">
        <v>0</v>
      </c>
      <c r="OZ4">
        <v>0</v>
      </c>
      <c r="PA4">
        <v>0</v>
      </c>
      <c r="PB4">
        <v>0</v>
      </c>
      <c r="PC4">
        <v>0</v>
      </c>
      <c r="PD4">
        <v>0</v>
      </c>
      <c r="PE4">
        <v>0</v>
      </c>
      <c r="PF4">
        <v>0</v>
      </c>
      <c r="PG4">
        <v>0</v>
      </c>
      <c r="PH4">
        <v>0</v>
      </c>
      <c r="PI4">
        <v>0</v>
      </c>
      <c r="PJ4">
        <f>SUM(OX4:PI4)</f>
        <v>0</v>
      </c>
      <c r="PK4">
        <v>0</v>
      </c>
      <c r="PL4">
        <v>0</v>
      </c>
      <c r="PM4">
        <v>0</v>
      </c>
      <c r="PN4">
        <v>0</v>
      </c>
      <c r="PO4">
        <v>0</v>
      </c>
      <c r="PP4">
        <v>0</v>
      </c>
      <c r="PQ4">
        <v>0</v>
      </c>
      <c r="PR4">
        <v>0</v>
      </c>
      <c r="PS4">
        <v>0</v>
      </c>
      <c r="PT4">
        <v>0</v>
      </c>
      <c r="PU4">
        <v>0</v>
      </c>
      <c r="PV4">
        <v>0</v>
      </c>
      <c r="PW4">
        <f>SUM(PK4:PV4)</f>
        <v>0</v>
      </c>
      <c r="PX4">
        <v>0</v>
      </c>
      <c r="PY4">
        <v>0</v>
      </c>
      <c r="PZ4">
        <v>0</v>
      </c>
      <c r="QA4">
        <v>0</v>
      </c>
      <c r="QB4">
        <v>0</v>
      </c>
      <c r="QC4">
        <v>0</v>
      </c>
      <c r="QD4">
        <v>0</v>
      </c>
      <c r="QE4">
        <v>0</v>
      </c>
      <c r="QF4">
        <v>0</v>
      </c>
      <c r="QG4">
        <v>0</v>
      </c>
      <c r="QH4">
        <v>0</v>
      </c>
      <c r="QI4">
        <v>0</v>
      </c>
      <c r="QJ4">
        <f>SUM(PX4:QI4)</f>
        <v>0</v>
      </c>
      <c r="QK4">
        <v>17537</v>
      </c>
      <c r="QL4">
        <v>19072</v>
      </c>
      <c r="QM4">
        <v>13944</v>
      </c>
      <c r="QN4">
        <v>15406</v>
      </c>
      <c r="QO4">
        <v>14519</v>
      </c>
      <c r="QP4">
        <v>12833</v>
      </c>
      <c r="QQ4">
        <v>15033</v>
      </c>
      <c r="QR4">
        <v>15537</v>
      </c>
      <c r="QS4">
        <v>11531</v>
      </c>
      <c r="QT4">
        <v>17281</v>
      </c>
      <c r="QU4">
        <v>16550</v>
      </c>
      <c r="QV4">
        <v>17559</v>
      </c>
      <c r="QW4">
        <f>SUM(QK4:QV4)</f>
        <v>186802</v>
      </c>
      <c r="QX4">
        <v>70357</v>
      </c>
      <c r="QY4">
        <v>77693</v>
      </c>
      <c r="QZ4">
        <v>63863</v>
      </c>
      <c r="RA4">
        <v>57328</v>
      </c>
      <c r="RB4">
        <v>52742</v>
      </c>
      <c r="RC4">
        <v>65092</v>
      </c>
      <c r="RD4">
        <v>68458</v>
      </c>
      <c r="RE4">
        <v>63124</v>
      </c>
      <c r="RF4">
        <v>45231</v>
      </c>
      <c r="RG4">
        <v>54540</v>
      </c>
      <c r="RH4">
        <v>62688</v>
      </c>
      <c r="RI4">
        <v>67565</v>
      </c>
      <c r="RJ4">
        <f>SUM(QX4:RI4)</f>
        <v>748681</v>
      </c>
      <c r="RK4">
        <v>0</v>
      </c>
      <c r="RL4">
        <v>0</v>
      </c>
      <c r="RM4">
        <v>0</v>
      </c>
      <c r="RN4">
        <v>0</v>
      </c>
      <c r="RO4">
        <v>0</v>
      </c>
      <c r="RP4">
        <v>0</v>
      </c>
      <c r="RQ4">
        <v>0</v>
      </c>
      <c r="RR4">
        <v>0</v>
      </c>
      <c r="RS4">
        <v>0</v>
      </c>
      <c r="RT4">
        <v>0</v>
      </c>
      <c r="RU4">
        <v>0</v>
      </c>
      <c r="RV4">
        <v>100636</v>
      </c>
      <c r="RW4">
        <f>SUM(RK4:RV4)</f>
        <v>100636</v>
      </c>
      <c r="RX4">
        <v>777</v>
      </c>
      <c r="RY4">
        <v>659</v>
      </c>
      <c r="RZ4">
        <v>662</v>
      </c>
      <c r="SA4">
        <v>503</v>
      </c>
      <c r="SB4">
        <v>0</v>
      </c>
      <c r="SC4">
        <v>0</v>
      </c>
      <c r="SD4">
        <v>0</v>
      </c>
      <c r="SE4">
        <v>0</v>
      </c>
      <c r="SF4">
        <v>0</v>
      </c>
      <c r="SG4">
        <v>0</v>
      </c>
      <c r="SH4">
        <v>0</v>
      </c>
      <c r="SI4">
        <v>0</v>
      </c>
      <c r="SJ4">
        <f>SUM(RX4:SI4)</f>
        <v>2601</v>
      </c>
      <c r="SK4">
        <v>410</v>
      </c>
      <c r="SL4">
        <v>425</v>
      </c>
      <c r="SM4">
        <v>369</v>
      </c>
      <c r="SN4">
        <v>416</v>
      </c>
      <c r="SO4">
        <v>388</v>
      </c>
      <c r="SP4">
        <v>157</v>
      </c>
      <c r="SQ4">
        <v>172</v>
      </c>
      <c r="SR4">
        <v>151</v>
      </c>
      <c r="SS4">
        <v>136</v>
      </c>
      <c r="ST4">
        <v>168</v>
      </c>
      <c r="SU4">
        <v>154</v>
      </c>
      <c r="SV4">
        <v>155</v>
      </c>
      <c r="SW4">
        <f>SUM(SK4:SV4)</f>
        <v>3101</v>
      </c>
      <c r="SX4">
        <v>0</v>
      </c>
      <c r="SY4">
        <v>8317</v>
      </c>
      <c r="SZ4">
        <v>8945</v>
      </c>
      <c r="TA4">
        <v>6734</v>
      </c>
      <c r="TB4">
        <v>6619</v>
      </c>
      <c r="TC4">
        <v>6048</v>
      </c>
      <c r="TD4">
        <v>6714</v>
      </c>
      <c r="TE4">
        <v>7162</v>
      </c>
      <c r="TF4">
        <v>5562</v>
      </c>
      <c r="TG4">
        <v>4737</v>
      </c>
      <c r="TH4">
        <v>5965</v>
      </c>
      <c r="TI4">
        <v>6098</v>
      </c>
      <c r="TJ4">
        <v>6952</v>
      </c>
      <c r="TK4">
        <f>SUM(SY4:TJ4)</f>
        <v>79853</v>
      </c>
      <c r="TL4">
        <v>16082</v>
      </c>
      <c r="TM4">
        <v>17682</v>
      </c>
      <c r="TN4">
        <v>10833</v>
      </c>
      <c r="TO4">
        <v>9027</v>
      </c>
      <c r="TP4">
        <v>9527</v>
      </c>
      <c r="TQ4">
        <v>11989</v>
      </c>
      <c r="TR4">
        <v>16755</v>
      </c>
      <c r="TS4">
        <v>16304</v>
      </c>
      <c r="TT4">
        <v>10300</v>
      </c>
      <c r="TU4">
        <v>17077</v>
      </c>
      <c r="TV4">
        <v>17747</v>
      </c>
      <c r="TW4">
        <v>20499</v>
      </c>
      <c r="TX4">
        <f>SUM(TL4:TW4)</f>
        <v>173822</v>
      </c>
      <c r="TY4">
        <v>134</v>
      </c>
      <c r="TZ4">
        <v>139</v>
      </c>
      <c r="UA4">
        <v>33</v>
      </c>
      <c r="UB4">
        <v>0</v>
      </c>
    </row>
    <row r="5" spans="1:548" ht="16.5" customHeight="1" x14ac:dyDescent="0.35">
      <c r="A5" t="s">
        <v>1427</v>
      </c>
      <c r="B5" t="s">
        <v>2865</v>
      </c>
      <c r="C5">
        <v>12965</v>
      </c>
      <c r="D5">
        <v>0</v>
      </c>
      <c r="E5">
        <v>0</v>
      </c>
      <c r="F5">
        <v>0</v>
      </c>
      <c r="G5">
        <v>418</v>
      </c>
      <c r="H5">
        <v>423</v>
      </c>
      <c r="I5">
        <v>405</v>
      </c>
      <c r="J5">
        <v>440</v>
      </c>
      <c r="K5">
        <v>390</v>
      </c>
      <c r="L5">
        <v>368</v>
      </c>
      <c r="M5">
        <v>426</v>
      </c>
      <c r="N5">
        <v>388</v>
      </c>
      <c r="O5">
        <v>300</v>
      </c>
      <c r="P5">
        <v>418</v>
      </c>
      <c r="Q5">
        <v>496</v>
      </c>
      <c r="R5">
        <v>492</v>
      </c>
      <c r="S5">
        <f t="shared" ref="S5:S68" si="0">SUM(G5:R5)</f>
        <v>4964</v>
      </c>
      <c r="T5">
        <v>199</v>
      </c>
      <c r="U5">
        <v>186</v>
      </c>
      <c r="V5">
        <v>168</v>
      </c>
      <c r="W5">
        <v>210</v>
      </c>
      <c r="X5">
        <v>211</v>
      </c>
      <c r="Y5">
        <v>165</v>
      </c>
      <c r="Z5">
        <v>192</v>
      </c>
      <c r="AA5">
        <v>179</v>
      </c>
      <c r="AB5">
        <v>142</v>
      </c>
      <c r="AC5">
        <v>205</v>
      </c>
      <c r="AD5">
        <v>237</v>
      </c>
      <c r="AE5">
        <v>236</v>
      </c>
      <c r="AF5">
        <f t="shared" ref="AF5:AF68" si="1">SUM(T5:AE5)</f>
        <v>2330</v>
      </c>
      <c r="AG5">
        <v>1</v>
      </c>
      <c r="AH5">
        <v>1</v>
      </c>
      <c r="AI5">
        <v>1</v>
      </c>
      <c r="AJ5">
        <v>1</v>
      </c>
      <c r="AK5">
        <v>1</v>
      </c>
      <c r="AL5">
        <v>0</v>
      </c>
      <c r="AM5">
        <v>0</v>
      </c>
      <c r="AN5">
        <v>0</v>
      </c>
      <c r="AO5">
        <v>0</v>
      </c>
      <c r="AP5">
        <v>4</v>
      </c>
      <c r="AQ5">
        <v>1</v>
      </c>
      <c r="AR5">
        <v>1</v>
      </c>
      <c r="AS5">
        <f t="shared" ref="AS5:AS68" si="2">SUM(AG5:AR5)</f>
        <v>11</v>
      </c>
      <c r="AT5">
        <v>218</v>
      </c>
      <c r="AU5">
        <v>196</v>
      </c>
      <c r="AV5">
        <v>236</v>
      </c>
      <c r="AW5">
        <v>229</v>
      </c>
      <c r="AX5">
        <v>178</v>
      </c>
      <c r="AY5">
        <v>203</v>
      </c>
      <c r="AZ5">
        <v>234</v>
      </c>
      <c r="BA5">
        <v>209</v>
      </c>
      <c r="BB5">
        <v>158</v>
      </c>
      <c r="BC5">
        <v>209</v>
      </c>
      <c r="BD5">
        <v>258</v>
      </c>
      <c r="BE5">
        <v>255</v>
      </c>
      <c r="BF5">
        <f t="shared" ref="BF5:BF68" si="3">SUM(AT5:BE5)</f>
        <v>2583</v>
      </c>
      <c r="BG5">
        <v>0</v>
      </c>
      <c r="BH5">
        <v>0</v>
      </c>
      <c r="BI5">
        <v>0</v>
      </c>
      <c r="BJ5">
        <v>0</v>
      </c>
      <c r="BK5">
        <v>0</v>
      </c>
      <c r="BL5">
        <v>0</v>
      </c>
      <c r="BM5">
        <v>0</v>
      </c>
      <c r="BN5">
        <v>0</v>
      </c>
      <c r="BO5">
        <v>0</v>
      </c>
      <c r="BP5">
        <v>0</v>
      </c>
      <c r="BQ5">
        <v>0</v>
      </c>
      <c r="BR5">
        <v>0</v>
      </c>
      <c r="BS5">
        <f t="shared" ref="BS5:BS68" si="4">SUM(BG5:BR5)</f>
        <v>0</v>
      </c>
      <c r="BT5">
        <v>0</v>
      </c>
      <c r="BU5">
        <v>0</v>
      </c>
      <c r="BV5">
        <v>0</v>
      </c>
      <c r="BW5">
        <v>0</v>
      </c>
      <c r="BX5">
        <v>0</v>
      </c>
      <c r="BY5">
        <v>0</v>
      </c>
      <c r="BZ5">
        <v>0</v>
      </c>
      <c r="CA5">
        <v>0</v>
      </c>
      <c r="CB5">
        <v>0</v>
      </c>
      <c r="CC5">
        <v>0</v>
      </c>
      <c r="CD5">
        <v>0</v>
      </c>
      <c r="CE5">
        <v>0</v>
      </c>
      <c r="CF5">
        <f t="shared" ref="CF5:CF68" si="5">SUM(BT5:CE5)</f>
        <v>0</v>
      </c>
      <c r="CG5">
        <v>0</v>
      </c>
      <c r="CH5">
        <v>0</v>
      </c>
      <c r="CI5">
        <v>0</v>
      </c>
      <c r="CJ5">
        <v>0</v>
      </c>
      <c r="CK5">
        <v>0</v>
      </c>
      <c r="CL5">
        <v>0</v>
      </c>
      <c r="CM5">
        <v>0</v>
      </c>
      <c r="CN5">
        <v>0</v>
      </c>
      <c r="CO5">
        <v>0</v>
      </c>
      <c r="CP5">
        <v>0</v>
      </c>
      <c r="CQ5">
        <v>0</v>
      </c>
      <c r="CR5">
        <v>0</v>
      </c>
      <c r="CS5">
        <f t="shared" ref="CS5:CS68" si="6">SUM(CG5:CR5)</f>
        <v>0</v>
      </c>
      <c r="CT5">
        <v>0</v>
      </c>
      <c r="CU5">
        <v>0</v>
      </c>
      <c r="CV5">
        <v>0</v>
      </c>
      <c r="CW5">
        <v>0</v>
      </c>
      <c r="CX5">
        <v>0</v>
      </c>
      <c r="CY5">
        <v>0</v>
      </c>
      <c r="CZ5">
        <v>0</v>
      </c>
      <c r="DA5">
        <v>0</v>
      </c>
      <c r="DB5">
        <v>0</v>
      </c>
      <c r="DC5">
        <v>0</v>
      </c>
      <c r="DD5">
        <v>0</v>
      </c>
      <c r="DE5">
        <v>0</v>
      </c>
      <c r="DF5">
        <f t="shared" ref="DF5:DF68" si="7">SUM(CT5:DE5)</f>
        <v>0</v>
      </c>
      <c r="DG5">
        <v>0</v>
      </c>
      <c r="DH5">
        <v>0</v>
      </c>
      <c r="DI5">
        <v>0</v>
      </c>
      <c r="DJ5">
        <v>0</v>
      </c>
      <c r="DK5">
        <v>0</v>
      </c>
      <c r="DL5">
        <v>0</v>
      </c>
      <c r="DM5">
        <v>0</v>
      </c>
      <c r="DN5">
        <v>0</v>
      </c>
      <c r="DO5">
        <v>0</v>
      </c>
      <c r="DP5">
        <v>0</v>
      </c>
      <c r="DQ5">
        <v>0</v>
      </c>
      <c r="DR5">
        <v>0</v>
      </c>
      <c r="DS5">
        <f t="shared" ref="DS5:DS68" si="8">SUM(DG5:DR5)</f>
        <v>0</v>
      </c>
      <c r="DT5">
        <v>0</v>
      </c>
      <c r="DU5">
        <v>0</v>
      </c>
      <c r="DV5">
        <v>0</v>
      </c>
      <c r="DW5">
        <v>0</v>
      </c>
      <c r="DX5">
        <v>0</v>
      </c>
      <c r="DY5">
        <v>0</v>
      </c>
      <c r="DZ5">
        <v>0</v>
      </c>
      <c r="EA5">
        <v>0</v>
      </c>
      <c r="EB5">
        <v>0</v>
      </c>
      <c r="EC5">
        <v>0</v>
      </c>
      <c r="ED5">
        <v>0</v>
      </c>
      <c r="EE5">
        <v>0</v>
      </c>
      <c r="EF5">
        <f t="shared" ref="EF5:EF68" si="9">SUM(DT5:EE5)</f>
        <v>0</v>
      </c>
      <c r="EG5">
        <f t="shared" ref="EG5:EG68" si="10">SUM(AF5,AS5,BF5,BS5)</f>
        <v>4924</v>
      </c>
      <c r="EH5">
        <f t="shared" ref="EH5:EH68" si="11">SUM(CS5,DF5,DS5,EF5)</f>
        <v>0</v>
      </c>
      <c r="EI5">
        <v>6400</v>
      </c>
      <c r="EJ5">
        <v>4818</v>
      </c>
      <c r="EK5">
        <v>4418</v>
      </c>
      <c r="EL5">
        <v>5681</v>
      </c>
      <c r="EM5">
        <v>5286</v>
      </c>
      <c r="EN5">
        <v>9556</v>
      </c>
      <c r="EO5">
        <v>8354</v>
      </c>
      <c r="EP5">
        <v>7532</v>
      </c>
      <c r="EQ5">
        <v>3185</v>
      </c>
      <c r="ER5">
        <v>4391</v>
      </c>
      <c r="ES5">
        <v>7068</v>
      </c>
      <c r="ET5">
        <v>5975</v>
      </c>
      <c r="EU5">
        <f t="shared" ref="EU5:EU68" si="12">SUM(EI5:ET5)</f>
        <v>72664</v>
      </c>
      <c r="EV5">
        <v>1784</v>
      </c>
      <c r="EW5">
        <v>1973</v>
      </c>
      <c r="EX5">
        <v>1547</v>
      </c>
      <c r="EY5">
        <v>2421</v>
      </c>
      <c r="EZ5">
        <v>2361</v>
      </c>
      <c r="FA5">
        <v>1380</v>
      </c>
      <c r="FB5">
        <v>1536</v>
      </c>
      <c r="FC5">
        <v>1328</v>
      </c>
      <c r="FD5">
        <v>975</v>
      </c>
      <c r="FE5">
        <v>1576</v>
      </c>
      <c r="FF5">
        <v>2357</v>
      </c>
      <c r="FG5">
        <v>2246</v>
      </c>
      <c r="FH5">
        <f t="shared" ref="FH5:FH68" si="13">SUM(EV5:FG5)</f>
        <v>21484</v>
      </c>
      <c r="FI5">
        <v>6</v>
      </c>
      <c r="FJ5">
        <v>7</v>
      </c>
      <c r="FK5">
        <v>224</v>
      </c>
      <c r="FL5">
        <v>4</v>
      </c>
      <c r="FM5">
        <v>4</v>
      </c>
      <c r="FN5">
        <v>0</v>
      </c>
      <c r="FO5">
        <v>0</v>
      </c>
      <c r="FP5">
        <v>0</v>
      </c>
      <c r="FQ5">
        <v>0</v>
      </c>
      <c r="FR5">
        <v>27</v>
      </c>
      <c r="FS5">
        <v>19</v>
      </c>
      <c r="FT5">
        <v>5</v>
      </c>
      <c r="FU5">
        <f t="shared" ref="FU5:FU68" si="14">SUM(FI5:FT5)</f>
        <v>296</v>
      </c>
      <c r="FV5">
        <v>4610</v>
      </c>
      <c r="FW5">
        <v>2838</v>
      </c>
      <c r="FX5">
        <v>2647</v>
      </c>
      <c r="FY5">
        <v>3256</v>
      </c>
      <c r="FZ5">
        <v>3256</v>
      </c>
      <c r="GA5">
        <v>8176</v>
      </c>
      <c r="GB5">
        <v>6818</v>
      </c>
      <c r="GC5">
        <v>6204</v>
      </c>
      <c r="GD5">
        <v>2210</v>
      </c>
      <c r="GE5">
        <v>2788</v>
      </c>
      <c r="GF5">
        <v>4692</v>
      </c>
      <c r="GG5">
        <v>3724</v>
      </c>
      <c r="GH5">
        <f t="shared" ref="GH5:GH68" si="15">SUM(FV5:GG5)</f>
        <v>51219</v>
      </c>
      <c r="GI5">
        <v>0</v>
      </c>
      <c r="GJ5">
        <v>0</v>
      </c>
      <c r="GK5">
        <v>0</v>
      </c>
      <c r="GL5">
        <v>0</v>
      </c>
      <c r="GM5">
        <v>0</v>
      </c>
      <c r="GN5">
        <v>0</v>
      </c>
      <c r="GO5">
        <v>0</v>
      </c>
      <c r="GP5">
        <v>0</v>
      </c>
      <c r="GQ5">
        <v>0</v>
      </c>
      <c r="GR5">
        <v>0</v>
      </c>
      <c r="GS5">
        <v>0</v>
      </c>
      <c r="GT5">
        <v>0</v>
      </c>
      <c r="GU5">
        <f t="shared" ref="GU5:GU68" si="16">SUM(GI5:GT5)</f>
        <v>0</v>
      </c>
      <c r="GV5">
        <v>0</v>
      </c>
      <c r="GW5">
        <v>0</v>
      </c>
      <c r="GX5">
        <v>0</v>
      </c>
      <c r="GY5">
        <v>0</v>
      </c>
      <c r="GZ5">
        <v>0</v>
      </c>
      <c r="HA5">
        <v>0</v>
      </c>
      <c r="HB5">
        <v>0</v>
      </c>
      <c r="HC5">
        <v>0</v>
      </c>
      <c r="HD5">
        <v>0</v>
      </c>
      <c r="HE5">
        <v>0</v>
      </c>
      <c r="HF5">
        <v>0</v>
      </c>
      <c r="HG5">
        <v>0</v>
      </c>
      <c r="HH5">
        <f t="shared" ref="HH5:HH68" si="17">SUM(GV5:HG5)</f>
        <v>0</v>
      </c>
      <c r="HI5">
        <v>0</v>
      </c>
      <c r="HJ5">
        <v>0</v>
      </c>
      <c r="HK5">
        <v>0</v>
      </c>
      <c r="HL5">
        <v>0</v>
      </c>
      <c r="HM5">
        <v>0</v>
      </c>
      <c r="HN5">
        <v>0</v>
      </c>
      <c r="HO5">
        <v>0</v>
      </c>
      <c r="HP5">
        <v>0</v>
      </c>
      <c r="HQ5">
        <v>0</v>
      </c>
      <c r="HR5">
        <v>0</v>
      </c>
      <c r="HS5">
        <v>0</v>
      </c>
      <c r="HT5">
        <v>0</v>
      </c>
      <c r="HU5">
        <f t="shared" ref="HU5:HU68" si="18">SUM(HI5:HT5)</f>
        <v>0</v>
      </c>
      <c r="HV5">
        <v>0</v>
      </c>
      <c r="HW5">
        <v>0</v>
      </c>
      <c r="HX5">
        <v>0</v>
      </c>
      <c r="HY5">
        <v>0</v>
      </c>
      <c r="HZ5">
        <v>0</v>
      </c>
      <c r="IA5">
        <v>0</v>
      </c>
      <c r="IB5">
        <v>0</v>
      </c>
      <c r="IC5">
        <v>0</v>
      </c>
      <c r="ID5">
        <v>0</v>
      </c>
      <c r="IE5">
        <v>0</v>
      </c>
      <c r="IF5">
        <v>0</v>
      </c>
      <c r="IG5">
        <v>0</v>
      </c>
      <c r="IH5">
        <f t="shared" ref="IH5:IH68" si="19">SUM(HV5:IG5)</f>
        <v>0</v>
      </c>
      <c r="II5">
        <f t="shared" ref="II5:II68" si="20">SUM(FH5,FU5,GH5)</f>
        <v>72999</v>
      </c>
      <c r="IJ5">
        <f t="shared" ref="IJ5:IJ68" si="21">SUM(HH5,HU5,IH5)</f>
        <v>0</v>
      </c>
      <c r="IK5">
        <v>27013</v>
      </c>
      <c r="IL5">
        <v>27860</v>
      </c>
      <c r="IM5">
        <v>23984</v>
      </c>
      <c r="IN5">
        <v>30591</v>
      </c>
      <c r="IO5">
        <v>30984</v>
      </c>
      <c r="IP5">
        <v>27416</v>
      </c>
      <c r="IQ5">
        <v>27436</v>
      </c>
      <c r="IR5">
        <v>24119</v>
      </c>
      <c r="IS5">
        <v>20500</v>
      </c>
      <c r="IT5">
        <v>25866</v>
      </c>
      <c r="IU5">
        <v>25507</v>
      </c>
      <c r="IV5">
        <v>27692</v>
      </c>
      <c r="IW5">
        <f t="shared" ref="IW5:IW68" si="22">SUM(IK5:IV5)</f>
        <v>318968</v>
      </c>
      <c r="IX5">
        <v>8646</v>
      </c>
      <c r="IY5">
        <v>8368</v>
      </c>
      <c r="IZ5">
        <v>7244</v>
      </c>
      <c r="JA5">
        <v>10566</v>
      </c>
      <c r="JB5">
        <v>11795</v>
      </c>
      <c r="JC5">
        <v>9322</v>
      </c>
      <c r="JD5">
        <v>8793</v>
      </c>
      <c r="JE5">
        <v>7120</v>
      </c>
      <c r="JF5">
        <v>5682</v>
      </c>
      <c r="JG5">
        <v>8076</v>
      </c>
      <c r="JH5">
        <v>9021</v>
      </c>
      <c r="JI5">
        <v>9538</v>
      </c>
      <c r="JJ5">
        <f t="shared" ref="JJ5:JJ68" si="23">SUM(IX5:JI5)</f>
        <v>104171</v>
      </c>
      <c r="JK5">
        <v>1428</v>
      </c>
      <c r="JL5">
        <v>1420</v>
      </c>
      <c r="JM5">
        <v>1165</v>
      </c>
      <c r="JN5">
        <v>1789</v>
      </c>
      <c r="JO5">
        <v>2135</v>
      </c>
      <c r="JP5">
        <v>1601</v>
      </c>
      <c r="JQ5">
        <v>1440</v>
      </c>
      <c r="JR5">
        <v>1094</v>
      </c>
      <c r="JS5">
        <v>1091</v>
      </c>
      <c r="JT5">
        <v>1207</v>
      </c>
      <c r="JU5">
        <v>1342</v>
      </c>
      <c r="JV5">
        <v>1437</v>
      </c>
      <c r="JW5">
        <f t="shared" ref="JW5:JW68" si="24">SUM(JK5:JV5)</f>
        <v>17149</v>
      </c>
      <c r="JX5">
        <v>16753</v>
      </c>
      <c r="JY5">
        <v>17712</v>
      </c>
      <c r="JZ5">
        <v>15328</v>
      </c>
      <c r="KA5">
        <v>17984</v>
      </c>
      <c r="KB5">
        <v>16971</v>
      </c>
      <c r="KC5">
        <v>16316</v>
      </c>
      <c r="KD5">
        <v>16910</v>
      </c>
      <c r="KE5">
        <v>15604</v>
      </c>
      <c r="KF5">
        <v>13553</v>
      </c>
      <c r="KG5">
        <v>16415</v>
      </c>
      <c r="KH5">
        <v>14870</v>
      </c>
      <c r="KI5">
        <v>16453</v>
      </c>
      <c r="KJ5">
        <f t="shared" ref="KJ5:KJ68" si="25">SUM(JX5:KI5)</f>
        <v>194869</v>
      </c>
      <c r="KK5">
        <v>186</v>
      </c>
      <c r="KL5">
        <v>360</v>
      </c>
      <c r="KM5">
        <v>247</v>
      </c>
      <c r="KN5">
        <v>252</v>
      </c>
      <c r="KO5">
        <v>263</v>
      </c>
      <c r="KP5">
        <v>177</v>
      </c>
      <c r="KQ5">
        <v>293</v>
      </c>
      <c r="KR5">
        <v>301</v>
      </c>
      <c r="KS5">
        <v>174</v>
      </c>
      <c r="KT5">
        <v>168</v>
      </c>
      <c r="KU5">
        <v>274</v>
      </c>
      <c r="KV5">
        <v>264</v>
      </c>
      <c r="KW5">
        <f t="shared" ref="KW5:KW68" si="26">SUM(KK5:KV5)</f>
        <v>2959</v>
      </c>
      <c r="KX5">
        <v>0</v>
      </c>
      <c r="KY5">
        <v>0</v>
      </c>
      <c r="KZ5">
        <v>0</v>
      </c>
      <c r="LA5">
        <v>1</v>
      </c>
      <c r="LB5">
        <v>1</v>
      </c>
      <c r="LC5">
        <v>0</v>
      </c>
      <c r="LD5">
        <v>1</v>
      </c>
      <c r="LE5">
        <v>1</v>
      </c>
      <c r="LF5">
        <v>0</v>
      </c>
      <c r="LG5">
        <v>0</v>
      </c>
      <c r="LH5">
        <v>0</v>
      </c>
      <c r="LI5">
        <v>0</v>
      </c>
      <c r="LJ5">
        <f t="shared" ref="LJ5:LJ68" si="27">SUM(KX5:LI5)</f>
        <v>4</v>
      </c>
      <c r="LK5">
        <v>0</v>
      </c>
      <c r="LL5">
        <v>0</v>
      </c>
      <c r="LM5">
        <v>0</v>
      </c>
      <c r="LN5">
        <v>0</v>
      </c>
      <c r="LO5">
        <v>0</v>
      </c>
      <c r="LP5">
        <v>0</v>
      </c>
      <c r="LQ5">
        <v>0</v>
      </c>
      <c r="LR5">
        <v>0</v>
      </c>
      <c r="LS5">
        <v>0</v>
      </c>
      <c r="LT5">
        <v>0</v>
      </c>
      <c r="LU5">
        <v>0</v>
      </c>
      <c r="LV5">
        <v>0</v>
      </c>
      <c r="LW5">
        <f t="shared" ref="LW5:LW68" si="28">SUM(LK5:LV5)</f>
        <v>0</v>
      </c>
      <c r="LX5">
        <v>186</v>
      </c>
      <c r="LY5">
        <v>360</v>
      </c>
      <c r="LZ5">
        <v>247</v>
      </c>
      <c r="MA5">
        <v>251</v>
      </c>
      <c r="MB5">
        <v>262</v>
      </c>
      <c r="MC5">
        <v>177</v>
      </c>
      <c r="MD5">
        <v>292</v>
      </c>
      <c r="ME5">
        <v>300</v>
      </c>
      <c r="MF5">
        <v>174</v>
      </c>
      <c r="MG5">
        <v>168</v>
      </c>
      <c r="MH5">
        <v>274</v>
      </c>
      <c r="MI5">
        <v>264</v>
      </c>
      <c r="MJ5">
        <f t="shared" ref="MJ5:MJ68" si="29">SUM(LX5:MI5)</f>
        <v>2955</v>
      </c>
      <c r="MK5">
        <v>1622</v>
      </c>
      <c r="ML5">
        <v>1700</v>
      </c>
      <c r="MM5">
        <v>1673</v>
      </c>
      <c r="MN5">
        <v>1767</v>
      </c>
      <c r="MO5">
        <v>1706</v>
      </c>
      <c r="MP5">
        <v>1556</v>
      </c>
      <c r="MQ5">
        <v>1567</v>
      </c>
      <c r="MR5">
        <v>1430</v>
      </c>
      <c r="MS5">
        <v>1479</v>
      </c>
      <c r="MT5">
        <v>1605</v>
      </c>
      <c r="MU5">
        <v>1408</v>
      </c>
      <c r="MV5">
        <v>1459</v>
      </c>
      <c r="MW5">
        <f t="shared" ref="MW5:MW68" si="30">SUM(MK5:MV5)</f>
        <v>18972</v>
      </c>
      <c r="MX5">
        <v>99</v>
      </c>
      <c r="MY5">
        <v>118</v>
      </c>
      <c r="MZ5">
        <v>108</v>
      </c>
      <c r="NA5">
        <v>136</v>
      </c>
      <c r="NB5">
        <v>137</v>
      </c>
      <c r="NC5">
        <v>78</v>
      </c>
      <c r="ND5">
        <v>106</v>
      </c>
      <c r="NE5">
        <v>86</v>
      </c>
      <c r="NF5">
        <v>76</v>
      </c>
      <c r="NG5">
        <v>108</v>
      </c>
      <c r="NH5">
        <v>85</v>
      </c>
      <c r="NI5">
        <v>72</v>
      </c>
      <c r="NJ5">
        <f t="shared" ref="NJ5:NJ68" si="31">SUM(MX5:NI5)</f>
        <v>1209</v>
      </c>
      <c r="NK5">
        <v>132</v>
      </c>
      <c r="NL5">
        <v>118</v>
      </c>
      <c r="NM5">
        <v>151</v>
      </c>
      <c r="NN5">
        <v>125</v>
      </c>
      <c r="NO5">
        <v>112</v>
      </c>
      <c r="NP5">
        <v>109</v>
      </c>
      <c r="NQ5">
        <v>100</v>
      </c>
      <c r="NR5">
        <v>97</v>
      </c>
      <c r="NS5">
        <v>104</v>
      </c>
      <c r="NT5">
        <v>121</v>
      </c>
      <c r="NU5">
        <v>110</v>
      </c>
      <c r="NV5">
        <v>95</v>
      </c>
      <c r="NW5">
        <f t="shared" ref="NW5:NW68" si="32">SUM(NK5:NV5)</f>
        <v>1374</v>
      </c>
      <c r="NX5">
        <v>1391</v>
      </c>
      <c r="NY5">
        <v>1464</v>
      </c>
      <c r="NZ5">
        <v>1414</v>
      </c>
      <c r="OA5">
        <v>1506</v>
      </c>
      <c r="OB5">
        <v>1457</v>
      </c>
      <c r="OC5">
        <v>1369</v>
      </c>
      <c r="OD5">
        <v>1361</v>
      </c>
      <c r="OE5">
        <v>1247</v>
      </c>
      <c r="OF5">
        <v>1299</v>
      </c>
      <c r="OG5">
        <v>1376</v>
      </c>
      <c r="OH5">
        <v>1213</v>
      </c>
      <c r="OI5">
        <v>1292</v>
      </c>
      <c r="OJ5">
        <f t="shared" ref="OJ5:OJ68" si="33">SUM(NX5:OI5)</f>
        <v>16389</v>
      </c>
      <c r="OK5">
        <v>1017</v>
      </c>
      <c r="OL5">
        <v>1079</v>
      </c>
      <c r="OM5">
        <v>1083</v>
      </c>
      <c r="ON5">
        <v>1130</v>
      </c>
      <c r="OO5">
        <v>1138</v>
      </c>
      <c r="OP5">
        <v>1179</v>
      </c>
      <c r="OQ5">
        <v>1217</v>
      </c>
      <c r="OR5">
        <v>1135</v>
      </c>
      <c r="OS5">
        <v>1174</v>
      </c>
      <c r="OT5">
        <v>1477</v>
      </c>
      <c r="OU5">
        <v>1354</v>
      </c>
      <c r="OV5">
        <v>1417</v>
      </c>
      <c r="OW5">
        <f t="shared" ref="OW5:OW68" si="34">SUM(OK5:OV5)</f>
        <v>14400</v>
      </c>
      <c r="OX5">
        <v>98</v>
      </c>
      <c r="OY5">
        <v>101</v>
      </c>
      <c r="OZ5">
        <v>98</v>
      </c>
      <c r="PA5">
        <v>99</v>
      </c>
      <c r="PB5">
        <v>116</v>
      </c>
      <c r="PC5">
        <v>112</v>
      </c>
      <c r="PD5">
        <v>116</v>
      </c>
      <c r="PE5">
        <v>109</v>
      </c>
      <c r="PF5">
        <v>126</v>
      </c>
      <c r="PG5">
        <v>140</v>
      </c>
      <c r="PH5">
        <v>130</v>
      </c>
      <c r="PI5">
        <v>107</v>
      </c>
      <c r="PJ5">
        <f t="shared" ref="PJ5:PJ68" si="35">SUM(OX5:PI5)</f>
        <v>1352</v>
      </c>
      <c r="PK5">
        <v>54</v>
      </c>
      <c r="PL5">
        <v>52</v>
      </c>
      <c r="PM5">
        <v>72</v>
      </c>
      <c r="PN5">
        <v>78</v>
      </c>
      <c r="PO5">
        <v>95</v>
      </c>
      <c r="PP5">
        <v>100</v>
      </c>
      <c r="PQ5">
        <v>98</v>
      </c>
      <c r="PR5">
        <v>90</v>
      </c>
      <c r="PS5">
        <v>82</v>
      </c>
      <c r="PT5">
        <v>110</v>
      </c>
      <c r="PU5">
        <v>83</v>
      </c>
      <c r="PV5">
        <v>94</v>
      </c>
      <c r="PW5">
        <f t="shared" ref="PW5:PW68" si="36">SUM(PK5:PV5)</f>
        <v>1008</v>
      </c>
      <c r="PX5">
        <v>865</v>
      </c>
      <c r="PY5">
        <v>926</v>
      </c>
      <c r="PZ5">
        <v>913</v>
      </c>
      <c r="QA5">
        <v>953</v>
      </c>
      <c r="QB5">
        <v>927</v>
      </c>
      <c r="QC5">
        <v>967</v>
      </c>
      <c r="QD5">
        <v>1003</v>
      </c>
      <c r="QE5">
        <v>936</v>
      </c>
      <c r="QF5">
        <v>966</v>
      </c>
      <c r="QG5">
        <v>1227</v>
      </c>
      <c r="QH5">
        <v>1141</v>
      </c>
      <c r="QI5">
        <v>1216</v>
      </c>
      <c r="QJ5">
        <f t="shared" ref="QJ5:QJ68" si="37">SUM(PX5:QI5)</f>
        <v>12040</v>
      </c>
      <c r="QK5">
        <v>25637</v>
      </c>
      <c r="QL5">
        <v>25897</v>
      </c>
      <c r="QM5">
        <v>25234</v>
      </c>
      <c r="QN5">
        <v>27699</v>
      </c>
      <c r="QO5">
        <v>27970</v>
      </c>
      <c r="QP5">
        <v>29928</v>
      </c>
      <c r="QQ5">
        <v>31344</v>
      </c>
      <c r="QR5">
        <v>28903</v>
      </c>
      <c r="QS5">
        <v>24430</v>
      </c>
      <c r="QT5">
        <v>28676</v>
      </c>
      <c r="QU5">
        <v>28253</v>
      </c>
      <c r="QV5">
        <v>30968</v>
      </c>
      <c r="QW5">
        <f t="shared" ref="QW5:QW68" si="38">SUM(QK5:QV5)</f>
        <v>334939</v>
      </c>
      <c r="QX5">
        <v>22730</v>
      </c>
      <c r="QY5">
        <v>22862</v>
      </c>
      <c r="QZ5">
        <v>24453</v>
      </c>
      <c r="RA5">
        <v>26461</v>
      </c>
      <c r="RB5">
        <v>22395</v>
      </c>
      <c r="RC5">
        <v>24020</v>
      </c>
      <c r="RD5">
        <v>25177</v>
      </c>
      <c r="RE5">
        <v>22532</v>
      </c>
      <c r="RF5">
        <v>20897</v>
      </c>
      <c r="RG5">
        <v>24932</v>
      </c>
      <c r="RH5">
        <v>24970</v>
      </c>
      <c r="RI5">
        <v>27740</v>
      </c>
      <c r="RJ5">
        <f t="shared" ref="RJ5:RJ68" si="39">SUM(QX5:RI5)</f>
        <v>289169</v>
      </c>
      <c r="RK5">
        <v>0</v>
      </c>
      <c r="RL5">
        <v>0</v>
      </c>
      <c r="RM5">
        <v>0</v>
      </c>
      <c r="RN5">
        <v>0</v>
      </c>
      <c r="RO5">
        <v>0</v>
      </c>
      <c r="RP5">
        <v>0</v>
      </c>
      <c r="RQ5">
        <v>0</v>
      </c>
      <c r="RR5">
        <v>0</v>
      </c>
      <c r="RS5">
        <v>0</v>
      </c>
      <c r="RT5">
        <v>0</v>
      </c>
      <c r="RU5">
        <v>0</v>
      </c>
      <c r="RV5">
        <v>0</v>
      </c>
      <c r="RW5">
        <f t="shared" ref="RW5:RW68" si="40">SUM(RK5:RV5)</f>
        <v>0</v>
      </c>
      <c r="RX5">
        <v>0</v>
      </c>
      <c r="RY5">
        <v>0</v>
      </c>
      <c r="RZ5">
        <v>0</v>
      </c>
      <c r="SA5">
        <v>0</v>
      </c>
      <c r="SB5">
        <v>0</v>
      </c>
      <c r="SC5">
        <v>0</v>
      </c>
      <c r="SD5">
        <v>0</v>
      </c>
      <c r="SE5">
        <v>0</v>
      </c>
      <c r="SF5">
        <v>0</v>
      </c>
      <c r="SG5">
        <v>0</v>
      </c>
      <c r="SH5">
        <v>0</v>
      </c>
      <c r="SI5">
        <v>0</v>
      </c>
      <c r="SJ5">
        <f t="shared" ref="SJ5:SJ68" si="41">SUM(RX5:SI5)</f>
        <v>0</v>
      </c>
      <c r="SK5">
        <v>178</v>
      </c>
      <c r="SL5">
        <v>173</v>
      </c>
      <c r="SM5">
        <v>191</v>
      </c>
      <c r="SN5">
        <v>161</v>
      </c>
      <c r="SO5">
        <v>157</v>
      </c>
      <c r="SP5">
        <v>176</v>
      </c>
      <c r="SQ5">
        <v>166</v>
      </c>
      <c r="SR5">
        <v>155</v>
      </c>
      <c r="SS5">
        <v>123</v>
      </c>
      <c r="ST5">
        <v>150</v>
      </c>
      <c r="SU5">
        <v>156</v>
      </c>
      <c r="SV5">
        <v>169</v>
      </c>
      <c r="SW5">
        <f t="shared" ref="SW5:SW68" si="42">SUM(SK5:SV5)</f>
        <v>1955</v>
      </c>
      <c r="SX5" t="s">
        <v>1428</v>
      </c>
      <c r="SY5">
        <v>2910</v>
      </c>
      <c r="SZ5">
        <v>2529</v>
      </c>
      <c r="TA5">
        <v>2820</v>
      </c>
      <c r="TB5">
        <v>3559</v>
      </c>
      <c r="TC5">
        <v>3071</v>
      </c>
      <c r="TD5">
        <v>3323</v>
      </c>
      <c r="TE5">
        <v>3982</v>
      </c>
      <c r="TF5">
        <v>3569</v>
      </c>
      <c r="TG5">
        <v>3281</v>
      </c>
      <c r="TH5">
        <v>4074</v>
      </c>
      <c r="TI5">
        <v>4249</v>
      </c>
      <c r="TJ5">
        <v>4973</v>
      </c>
      <c r="TK5">
        <f t="shared" ref="TK5:TK67" si="43">SUM(SY5:TJ5)</f>
        <v>42340</v>
      </c>
      <c r="TL5">
        <v>0</v>
      </c>
      <c r="TM5">
        <v>0</v>
      </c>
      <c r="TN5">
        <v>0</v>
      </c>
      <c r="TO5">
        <v>0</v>
      </c>
      <c r="TP5">
        <v>0</v>
      </c>
      <c r="TQ5">
        <v>0</v>
      </c>
      <c r="TR5">
        <v>0</v>
      </c>
      <c r="TS5">
        <v>0</v>
      </c>
      <c r="TT5">
        <v>0</v>
      </c>
      <c r="TU5">
        <v>0</v>
      </c>
      <c r="TV5">
        <v>0</v>
      </c>
      <c r="TW5">
        <v>0</v>
      </c>
      <c r="TX5">
        <f t="shared" ref="TX5:TX68" si="44">SUM(TL5:TW5)</f>
        <v>0</v>
      </c>
      <c r="TY5">
        <v>98</v>
      </c>
      <c r="TZ5">
        <v>0</v>
      </c>
      <c r="UA5">
        <v>0</v>
      </c>
      <c r="UB5">
        <v>419</v>
      </c>
    </row>
    <row r="6" spans="1:548" ht="16.5" customHeight="1" x14ac:dyDescent="0.35">
      <c r="A6" t="s">
        <v>1401</v>
      </c>
      <c r="B6" t="s">
        <v>2866</v>
      </c>
      <c r="C6">
        <v>30260</v>
      </c>
      <c r="D6">
        <v>0</v>
      </c>
      <c r="E6">
        <v>0</v>
      </c>
      <c r="F6">
        <v>0</v>
      </c>
      <c r="G6">
        <v>228</v>
      </c>
      <c r="H6">
        <v>260</v>
      </c>
      <c r="I6">
        <v>279</v>
      </c>
      <c r="J6">
        <v>241</v>
      </c>
      <c r="K6">
        <v>192</v>
      </c>
      <c r="L6">
        <v>261</v>
      </c>
      <c r="M6">
        <v>300</v>
      </c>
      <c r="N6">
        <v>278</v>
      </c>
      <c r="O6">
        <v>211</v>
      </c>
      <c r="P6">
        <v>286</v>
      </c>
      <c r="Q6">
        <v>303</v>
      </c>
      <c r="R6">
        <v>338</v>
      </c>
      <c r="S6">
        <f t="shared" si="0"/>
        <v>3177</v>
      </c>
      <c r="T6">
        <v>126</v>
      </c>
      <c r="U6">
        <v>168</v>
      </c>
      <c r="V6">
        <v>183</v>
      </c>
      <c r="W6">
        <v>129</v>
      </c>
      <c r="X6">
        <v>92</v>
      </c>
      <c r="Y6">
        <v>157</v>
      </c>
      <c r="Z6">
        <v>191</v>
      </c>
      <c r="AA6">
        <v>178</v>
      </c>
      <c r="AB6">
        <v>137</v>
      </c>
      <c r="AC6">
        <v>185</v>
      </c>
      <c r="AD6">
        <v>195</v>
      </c>
      <c r="AE6">
        <v>195</v>
      </c>
      <c r="AF6">
        <f t="shared" si="1"/>
        <v>1936</v>
      </c>
      <c r="AG6">
        <v>0</v>
      </c>
      <c r="AH6">
        <v>0</v>
      </c>
      <c r="AI6">
        <v>0</v>
      </c>
      <c r="AJ6">
        <v>0</v>
      </c>
      <c r="AK6">
        <v>0</v>
      </c>
      <c r="AL6">
        <v>0</v>
      </c>
      <c r="AM6">
        <v>0</v>
      </c>
      <c r="AN6">
        <v>0</v>
      </c>
      <c r="AO6">
        <v>0</v>
      </c>
      <c r="AP6">
        <v>0</v>
      </c>
      <c r="AQ6">
        <v>0</v>
      </c>
      <c r="AR6">
        <v>0</v>
      </c>
      <c r="AS6">
        <f t="shared" si="2"/>
        <v>0</v>
      </c>
      <c r="AT6">
        <v>102</v>
      </c>
      <c r="AU6">
        <v>92</v>
      </c>
      <c r="AV6">
        <v>96</v>
      </c>
      <c r="AW6">
        <v>112</v>
      </c>
      <c r="AX6">
        <v>100</v>
      </c>
      <c r="AY6">
        <v>104</v>
      </c>
      <c r="AZ6">
        <v>109</v>
      </c>
      <c r="BA6">
        <v>100</v>
      </c>
      <c r="BB6">
        <v>74</v>
      </c>
      <c r="BC6">
        <v>101</v>
      </c>
      <c r="BD6">
        <v>108</v>
      </c>
      <c r="BE6">
        <v>143</v>
      </c>
      <c r="BF6">
        <f t="shared" si="3"/>
        <v>1241</v>
      </c>
      <c r="BG6">
        <v>0</v>
      </c>
      <c r="BH6">
        <v>0</v>
      </c>
      <c r="BI6">
        <v>0</v>
      </c>
      <c r="BJ6">
        <v>0</v>
      </c>
      <c r="BK6">
        <v>0</v>
      </c>
      <c r="BL6">
        <v>0</v>
      </c>
      <c r="BM6">
        <v>0</v>
      </c>
      <c r="BN6">
        <v>0</v>
      </c>
      <c r="BO6">
        <v>0</v>
      </c>
      <c r="BP6">
        <v>0</v>
      </c>
      <c r="BQ6">
        <v>0</v>
      </c>
      <c r="BR6">
        <v>0</v>
      </c>
      <c r="BS6">
        <f t="shared" si="4"/>
        <v>0</v>
      </c>
      <c r="BT6">
        <v>0</v>
      </c>
      <c r="BU6">
        <v>0</v>
      </c>
      <c r="BV6">
        <v>0</v>
      </c>
      <c r="BW6">
        <v>0</v>
      </c>
      <c r="BX6">
        <v>0</v>
      </c>
      <c r="BY6">
        <v>0</v>
      </c>
      <c r="BZ6">
        <v>0</v>
      </c>
      <c r="CA6">
        <v>0</v>
      </c>
      <c r="CB6">
        <v>0</v>
      </c>
      <c r="CC6">
        <v>0</v>
      </c>
      <c r="CD6">
        <v>0</v>
      </c>
      <c r="CE6">
        <v>0</v>
      </c>
      <c r="CF6">
        <f t="shared" si="5"/>
        <v>0</v>
      </c>
      <c r="CG6">
        <v>0</v>
      </c>
      <c r="CH6">
        <v>0</v>
      </c>
      <c r="CI6">
        <v>0</v>
      </c>
      <c r="CJ6">
        <v>0</v>
      </c>
      <c r="CK6">
        <v>0</v>
      </c>
      <c r="CL6">
        <v>0</v>
      </c>
      <c r="CM6">
        <v>0</v>
      </c>
      <c r="CN6">
        <v>0</v>
      </c>
      <c r="CO6">
        <v>0</v>
      </c>
      <c r="CP6">
        <v>0</v>
      </c>
      <c r="CQ6">
        <v>0</v>
      </c>
      <c r="CR6">
        <v>0</v>
      </c>
      <c r="CS6">
        <f t="shared" si="6"/>
        <v>0</v>
      </c>
      <c r="CT6">
        <v>0</v>
      </c>
      <c r="CU6">
        <v>0</v>
      </c>
      <c r="CV6">
        <v>0</v>
      </c>
      <c r="CW6">
        <v>0</v>
      </c>
      <c r="CX6">
        <v>0</v>
      </c>
      <c r="CY6">
        <v>0</v>
      </c>
      <c r="CZ6">
        <v>0</v>
      </c>
      <c r="DA6">
        <v>0</v>
      </c>
      <c r="DB6">
        <v>0</v>
      </c>
      <c r="DC6">
        <v>0</v>
      </c>
      <c r="DD6">
        <v>0</v>
      </c>
      <c r="DE6">
        <v>0</v>
      </c>
      <c r="DF6">
        <f t="shared" si="7"/>
        <v>0</v>
      </c>
      <c r="DG6">
        <v>0</v>
      </c>
      <c r="DH6">
        <v>0</v>
      </c>
      <c r="DI6">
        <v>0</v>
      </c>
      <c r="DJ6">
        <v>0</v>
      </c>
      <c r="DK6">
        <v>0</v>
      </c>
      <c r="DL6">
        <v>0</v>
      </c>
      <c r="DM6">
        <v>0</v>
      </c>
      <c r="DN6">
        <v>0</v>
      </c>
      <c r="DO6">
        <v>0</v>
      </c>
      <c r="DP6">
        <v>0</v>
      </c>
      <c r="DQ6">
        <v>0</v>
      </c>
      <c r="DR6">
        <v>0</v>
      </c>
      <c r="DS6">
        <f t="shared" si="8"/>
        <v>0</v>
      </c>
      <c r="DT6">
        <v>0</v>
      </c>
      <c r="DU6">
        <v>0</v>
      </c>
      <c r="DV6">
        <v>0</v>
      </c>
      <c r="DW6">
        <v>0</v>
      </c>
      <c r="DX6">
        <v>0</v>
      </c>
      <c r="DY6">
        <v>0</v>
      </c>
      <c r="DZ6">
        <v>0</v>
      </c>
      <c r="EA6">
        <v>0</v>
      </c>
      <c r="EB6">
        <v>0</v>
      </c>
      <c r="EC6">
        <v>0</v>
      </c>
      <c r="ED6">
        <v>0</v>
      </c>
      <c r="EE6">
        <v>0</v>
      </c>
      <c r="EF6">
        <f t="shared" si="9"/>
        <v>0</v>
      </c>
      <c r="EG6">
        <f t="shared" si="10"/>
        <v>3177</v>
      </c>
      <c r="EH6">
        <f t="shared" si="11"/>
        <v>0</v>
      </c>
      <c r="EI6">
        <v>2082</v>
      </c>
      <c r="EJ6">
        <v>2680</v>
      </c>
      <c r="EK6">
        <v>2865</v>
      </c>
      <c r="EL6">
        <v>2266</v>
      </c>
      <c r="EM6">
        <v>1682</v>
      </c>
      <c r="EN6">
        <v>2600</v>
      </c>
      <c r="EO6">
        <v>3406</v>
      </c>
      <c r="EP6">
        <v>32844</v>
      </c>
      <c r="EQ6">
        <v>3217</v>
      </c>
      <c r="ER6">
        <v>2887</v>
      </c>
      <c r="ES6">
        <v>3490</v>
      </c>
      <c r="ET6">
        <v>3905</v>
      </c>
      <c r="EU6">
        <f t="shared" si="12"/>
        <v>63924</v>
      </c>
      <c r="EV6">
        <v>1195</v>
      </c>
      <c r="EW6">
        <v>1782</v>
      </c>
      <c r="EX6">
        <v>1919</v>
      </c>
      <c r="EY6">
        <v>1230</v>
      </c>
      <c r="EZ6">
        <v>805</v>
      </c>
      <c r="FA6">
        <v>1636</v>
      </c>
      <c r="FB6">
        <v>2314</v>
      </c>
      <c r="FC6">
        <v>1849</v>
      </c>
      <c r="FD6">
        <v>2521</v>
      </c>
      <c r="FE6">
        <v>1862</v>
      </c>
      <c r="FF6">
        <v>2334</v>
      </c>
      <c r="FG6">
        <v>2531</v>
      </c>
      <c r="FH6">
        <f t="shared" si="13"/>
        <v>21978</v>
      </c>
      <c r="FI6">
        <v>0</v>
      </c>
      <c r="FJ6">
        <v>0</v>
      </c>
      <c r="FK6">
        <v>0</v>
      </c>
      <c r="FL6">
        <v>0</v>
      </c>
      <c r="FM6">
        <v>0</v>
      </c>
      <c r="FN6">
        <v>0</v>
      </c>
      <c r="FO6">
        <v>0</v>
      </c>
      <c r="FP6">
        <v>0</v>
      </c>
      <c r="FQ6">
        <v>0</v>
      </c>
      <c r="FR6">
        <v>0</v>
      </c>
      <c r="FS6">
        <v>0</v>
      </c>
      <c r="FT6">
        <v>0</v>
      </c>
      <c r="FU6">
        <f t="shared" si="14"/>
        <v>0</v>
      </c>
      <c r="FV6">
        <v>887</v>
      </c>
      <c r="FW6">
        <v>898</v>
      </c>
      <c r="FX6">
        <v>946</v>
      </c>
      <c r="FY6">
        <v>1036</v>
      </c>
      <c r="FZ6">
        <v>877</v>
      </c>
      <c r="GA6">
        <v>964</v>
      </c>
      <c r="GB6">
        <v>1092</v>
      </c>
      <c r="GC6">
        <v>995</v>
      </c>
      <c r="GD6">
        <v>696</v>
      </c>
      <c r="GE6">
        <v>1025</v>
      </c>
      <c r="GF6">
        <v>1156</v>
      </c>
      <c r="GG6">
        <v>1374</v>
      </c>
      <c r="GH6">
        <f t="shared" si="15"/>
        <v>11946</v>
      </c>
      <c r="GI6">
        <v>0</v>
      </c>
      <c r="GJ6">
        <v>0</v>
      </c>
      <c r="GK6">
        <v>0</v>
      </c>
      <c r="GL6">
        <v>0</v>
      </c>
      <c r="GM6">
        <v>0</v>
      </c>
      <c r="GN6">
        <v>0</v>
      </c>
      <c r="GO6">
        <v>0</v>
      </c>
      <c r="GP6">
        <v>0</v>
      </c>
      <c r="GQ6">
        <v>0</v>
      </c>
      <c r="GR6">
        <v>0</v>
      </c>
      <c r="GS6">
        <v>0</v>
      </c>
      <c r="GT6">
        <v>0</v>
      </c>
      <c r="GU6">
        <f t="shared" si="16"/>
        <v>0</v>
      </c>
      <c r="GV6">
        <v>0</v>
      </c>
      <c r="GW6">
        <v>0</v>
      </c>
      <c r="GX6">
        <v>0</v>
      </c>
      <c r="GY6">
        <v>0</v>
      </c>
      <c r="GZ6">
        <v>0</v>
      </c>
      <c r="HA6">
        <v>0</v>
      </c>
      <c r="HB6">
        <v>0</v>
      </c>
      <c r="HC6">
        <v>0</v>
      </c>
      <c r="HD6">
        <v>0</v>
      </c>
      <c r="HE6">
        <v>0</v>
      </c>
      <c r="HF6">
        <v>0</v>
      </c>
      <c r="HG6">
        <v>0</v>
      </c>
      <c r="HH6">
        <f t="shared" si="17"/>
        <v>0</v>
      </c>
      <c r="HI6">
        <v>0</v>
      </c>
      <c r="HJ6">
        <v>0</v>
      </c>
      <c r="HK6">
        <v>0</v>
      </c>
      <c r="HL6">
        <v>0</v>
      </c>
      <c r="HM6">
        <v>0</v>
      </c>
      <c r="HN6">
        <v>0</v>
      </c>
      <c r="HO6">
        <v>0</v>
      </c>
      <c r="HP6">
        <v>0</v>
      </c>
      <c r="HQ6">
        <v>0</v>
      </c>
      <c r="HR6">
        <v>0</v>
      </c>
      <c r="HS6">
        <v>0</v>
      </c>
      <c r="HT6">
        <v>0</v>
      </c>
      <c r="HU6">
        <f t="shared" si="18"/>
        <v>0</v>
      </c>
      <c r="HV6">
        <v>0</v>
      </c>
      <c r="HW6">
        <v>0</v>
      </c>
      <c r="HX6">
        <v>0</v>
      </c>
      <c r="HY6">
        <v>0</v>
      </c>
      <c r="HZ6">
        <v>0</v>
      </c>
      <c r="IA6">
        <v>0</v>
      </c>
      <c r="IB6">
        <v>0</v>
      </c>
      <c r="IC6">
        <v>0</v>
      </c>
      <c r="ID6">
        <v>0</v>
      </c>
      <c r="IE6">
        <v>0</v>
      </c>
      <c r="IF6">
        <v>0</v>
      </c>
      <c r="IG6">
        <v>0</v>
      </c>
      <c r="IH6">
        <f t="shared" si="19"/>
        <v>0</v>
      </c>
      <c r="II6">
        <f t="shared" si="20"/>
        <v>33924</v>
      </c>
      <c r="IJ6">
        <f t="shared" si="21"/>
        <v>0</v>
      </c>
      <c r="IK6">
        <v>0</v>
      </c>
      <c r="IL6">
        <v>0</v>
      </c>
      <c r="IM6">
        <v>110261</v>
      </c>
      <c r="IN6">
        <v>0</v>
      </c>
      <c r="IO6">
        <v>0</v>
      </c>
      <c r="IP6">
        <v>122401</v>
      </c>
      <c r="IQ6">
        <v>0</v>
      </c>
      <c r="IR6">
        <v>0</v>
      </c>
      <c r="IS6">
        <v>106406</v>
      </c>
      <c r="IT6">
        <v>0</v>
      </c>
      <c r="IU6">
        <v>0</v>
      </c>
      <c r="IV6">
        <v>109002</v>
      </c>
      <c r="IW6">
        <f t="shared" si="22"/>
        <v>448070</v>
      </c>
      <c r="IX6">
        <v>0</v>
      </c>
      <c r="IY6">
        <v>0</v>
      </c>
      <c r="IZ6">
        <v>0</v>
      </c>
      <c r="JA6">
        <v>0</v>
      </c>
      <c r="JB6">
        <v>0</v>
      </c>
      <c r="JC6">
        <v>0</v>
      </c>
      <c r="JD6">
        <v>0</v>
      </c>
      <c r="JE6">
        <v>0</v>
      </c>
      <c r="JF6">
        <v>0</v>
      </c>
      <c r="JG6">
        <v>0</v>
      </c>
      <c r="JH6">
        <v>0</v>
      </c>
      <c r="JI6">
        <v>0</v>
      </c>
      <c r="JJ6">
        <f t="shared" si="23"/>
        <v>0</v>
      </c>
      <c r="JK6">
        <v>0</v>
      </c>
      <c r="JL6">
        <v>0</v>
      </c>
      <c r="JM6">
        <v>0</v>
      </c>
      <c r="JN6">
        <v>0</v>
      </c>
      <c r="JO6">
        <v>0</v>
      </c>
      <c r="JP6">
        <v>0</v>
      </c>
      <c r="JQ6">
        <v>0</v>
      </c>
      <c r="JR6">
        <v>0</v>
      </c>
      <c r="JS6">
        <v>0</v>
      </c>
      <c r="JT6">
        <v>0</v>
      </c>
      <c r="JU6">
        <v>0</v>
      </c>
      <c r="JV6">
        <v>0</v>
      </c>
      <c r="JW6">
        <f t="shared" si="24"/>
        <v>0</v>
      </c>
      <c r="JX6">
        <v>0</v>
      </c>
      <c r="JY6">
        <v>0</v>
      </c>
      <c r="JZ6">
        <v>0</v>
      </c>
      <c r="KA6">
        <v>0</v>
      </c>
      <c r="KB6">
        <v>0</v>
      </c>
      <c r="KC6">
        <v>0</v>
      </c>
      <c r="KD6">
        <v>0</v>
      </c>
      <c r="KE6">
        <v>0</v>
      </c>
      <c r="KF6">
        <v>0</v>
      </c>
      <c r="KG6">
        <v>0</v>
      </c>
      <c r="KH6">
        <v>0</v>
      </c>
      <c r="KI6">
        <v>0</v>
      </c>
      <c r="KJ6">
        <f t="shared" si="25"/>
        <v>0</v>
      </c>
      <c r="KK6">
        <v>0</v>
      </c>
      <c r="KL6">
        <v>0</v>
      </c>
      <c r="KM6">
        <v>0</v>
      </c>
      <c r="KN6">
        <v>0</v>
      </c>
      <c r="KO6">
        <v>0</v>
      </c>
      <c r="KP6">
        <v>0</v>
      </c>
      <c r="KQ6">
        <v>0</v>
      </c>
      <c r="KR6">
        <v>0</v>
      </c>
      <c r="KS6">
        <v>0</v>
      </c>
      <c r="KT6">
        <v>0</v>
      </c>
      <c r="KU6">
        <v>0</v>
      </c>
      <c r="KV6">
        <v>0</v>
      </c>
      <c r="KW6">
        <f t="shared" si="26"/>
        <v>0</v>
      </c>
      <c r="KX6">
        <v>0</v>
      </c>
      <c r="KY6">
        <v>0</v>
      </c>
      <c r="KZ6">
        <v>0</v>
      </c>
      <c r="LA6">
        <v>0</v>
      </c>
      <c r="LB6">
        <v>0</v>
      </c>
      <c r="LC6">
        <v>0</v>
      </c>
      <c r="LD6">
        <v>0</v>
      </c>
      <c r="LE6">
        <v>0</v>
      </c>
      <c r="LF6">
        <v>0</v>
      </c>
      <c r="LG6">
        <v>0</v>
      </c>
      <c r="LH6">
        <v>0</v>
      </c>
      <c r="LI6">
        <v>0</v>
      </c>
      <c r="LJ6">
        <f t="shared" si="27"/>
        <v>0</v>
      </c>
      <c r="LK6">
        <v>0</v>
      </c>
      <c r="LL6">
        <v>0</v>
      </c>
      <c r="LM6">
        <v>0</v>
      </c>
      <c r="LN6">
        <v>0</v>
      </c>
      <c r="LO6">
        <v>0</v>
      </c>
      <c r="LP6">
        <v>0</v>
      </c>
      <c r="LQ6">
        <v>0</v>
      </c>
      <c r="LR6">
        <v>0</v>
      </c>
      <c r="LS6">
        <v>0</v>
      </c>
      <c r="LT6">
        <v>0</v>
      </c>
      <c r="LU6">
        <v>0</v>
      </c>
      <c r="LV6">
        <v>0</v>
      </c>
      <c r="LW6">
        <f t="shared" si="28"/>
        <v>0</v>
      </c>
      <c r="LX6">
        <v>0</v>
      </c>
      <c r="LY6">
        <v>0</v>
      </c>
      <c r="LZ6">
        <v>0</v>
      </c>
      <c r="MA6">
        <v>0</v>
      </c>
      <c r="MB6">
        <v>0</v>
      </c>
      <c r="MC6">
        <v>0</v>
      </c>
      <c r="MD6">
        <v>0</v>
      </c>
      <c r="ME6">
        <v>0</v>
      </c>
      <c r="MF6">
        <v>0</v>
      </c>
      <c r="MG6">
        <v>0</v>
      </c>
      <c r="MH6">
        <v>0</v>
      </c>
      <c r="MI6">
        <v>0</v>
      </c>
      <c r="MJ6">
        <f t="shared" si="29"/>
        <v>0</v>
      </c>
      <c r="MK6">
        <v>0</v>
      </c>
      <c r="ML6">
        <v>0</v>
      </c>
      <c r="MM6">
        <v>6857</v>
      </c>
      <c r="MN6">
        <v>0</v>
      </c>
      <c r="MO6">
        <v>0</v>
      </c>
      <c r="MP6">
        <v>6813</v>
      </c>
      <c r="MQ6">
        <v>0</v>
      </c>
      <c r="MR6">
        <v>0</v>
      </c>
      <c r="MS6">
        <v>6556</v>
      </c>
      <c r="MT6">
        <v>0</v>
      </c>
      <c r="MU6">
        <v>0</v>
      </c>
      <c r="MV6">
        <v>6838</v>
      </c>
      <c r="MW6">
        <f t="shared" si="30"/>
        <v>27064</v>
      </c>
      <c r="MX6">
        <v>0</v>
      </c>
      <c r="MY6">
        <v>0</v>
      </c>
      <c r="MZ6">
        <v>0</v>
      </c>
      <c r="NA6">
        <v>0</v>
      </c>
      <c r="NB6">
        <v>0</v>
      </c>
      <c r="NC6">
        <v>0</v>
      </c>
      <c r="ND6">
        <v>0</v>
      </c>
      <c r="NE6">
        <v>0</v>
      </c>
      <c r="NF6">
        <v>0</v>
      </c>
      <c r="NG6">
        <v>0</v>
      </c>
      <c r="NH6">
        <v>0</v>
      </c>
      <c r="NI6">
        <v>0</v>
      </c>
      <c r="NJ6">
        <f t="shared" si="31"/>
        <v>0</v>
      </c>
      <c r="NK6">
        <v>0</v>
      </c>
      <c r="NL6">
        <v>0</v>
      </c>
      <c r="NM6">
        <v>0</v>
      </c>
      <c r="NN6">
        <v>0</v>
      </c>
      <c r="NO6">
        <v>0</v>
      </c>
      <c r="NP6">
        <v>0</v>
      </c>
      <c r="NQ6">
        <v>0</v>
      </c>
      <c r="NR6">
        <v>0</v>
      </c>
      <c r="NS6">
        <v>0</v>
      </c>
      <c r="NT6">
        <v>0</v>
      </c>
      <c r="NU6">
        <v>0</v>
      </c>
      <c r="NV6">
        <v>0</v>
      </c>
      <c r="NW6">
        <f t="shared" si="32"/>
        <v>0</v>
      </c>
      <c r="NX6">
        <v>0</v>
      </c>
      <c r="NY6">
        <v>0</v>
      </c>
      <c r="NZ6">
        <v>0</v>
      </c>
      <c r="OA6">
        <v>0</v>
      </c>
      <c r="OB6">
        <v>0</v>
      </c>
      <c r="OC6">
        <v>0</v>
      </c>
      <c r="OD6">
        <v>0</v>
      </c>
      <c r="OE6">
        <v>0</v>
      </c>
      <c r="OF6">
        <v>0</v>
      </c>
      <c r="OG6">
        <v>0</v>
      </c>
      <c r="OH6">
        <v>0</v>
      </c>
      <c r="OI6">
        <v>0</v>
      </c>
      <c r="OJ6">
        <f t="shared" si="33"/>
        <v>0</v>
      </c>
      <c r="OK6">
        <v>0</v>
      </c>
      <c r="OL6">
        <v>0</v>
      </c>
      <c r="OM6">
        <v>3470</v>
      </c>
      <c r="ON6">
        <v>0</v>
      </c>
      <c r="OO6">
        <v>0</v>
      </c>
      <c r="OP6">
        <v>3690</v>
      </c>
      <c r="OQ6">
        <v>0</v>
      </c>
      <c r="OR6">
        <v>0</v>
      </c>
      <c r="OS6">
        <v>4263</v>
      </c>
      <c r="OT6">
        <v>0</v>
      </c>
      <c r="OU6">
        <v>0</v>
      </c>
      <c r="OV6">
        <v>5519</v>
      </c>
      <c r="OW6">
        <f t="shared" si="34"/>
        <v>16942</v>
      </c>
      <c r="OX6">
        <v>0</v>
      </c>
      <c r="OY6">
        <v>0</v>
      </c>
      <c r="OZ6">
        <v>0</v>
      </c>
      <c r="PA6">
        <v>0</v>
      </c>
      <c r="PB6">
        <v>0</v>
      </c>
      <c r="PC6">
        <v>0</v>
      </c>
      <c r="PD6">
        <v>0</v>
      </c>
      <c r="PE6">
        <v>0</v>
      </c>
      <c r="PF6">
        <v>0</v>
      </c>
      <c r="PG6">
        <v>0</v>
      </c>
      <c r="PH6">
        <v>0</v>
      </c>
      <c r="PI6">
        <v>0</v>
      </c>
      <c r="PJ6">
        <f t="shared" si="35"/>
        <v>0</v>
      </c>
      <c r="PK6">
        <v>0</v>
      </c>
      <c r="PL6">
        <v>0</v>
      </c>
      <c r="PM6">
        <v>0</v>
      </c>
      <c r="PN6">
        <v>0</v>
      </c>
      <c r="PO6">
        <v>0</v>
      </c>
      <c r="PP6">
        <v>0</v>
      </c>
      <c r="PQ6">
        <v>0</v>
      </c>
      <c r="PR6">
        <v>0</v>
      </c>
      <c r="PS6">
        <v>0</v>
      </c>
      <c r="PT6">
        <v>0</v>
      </c>
      <c r="PU6">
        <v>0</v>
      </c>
      <c r="PV6">
        <v>0</v>
      </c>
      <c r="PW6">
        <f t="shared" si="36"/>
        <v>0</v>
      </c>
      <c r="PX6">
        <v>0</v>
      </c>
      <c r="PY6">
        <v>0</v>
      </c>
      <c r="PZ6">
        <v>0</v>
      </c>
      <c r="QA6">
        <v>0</v>
      </c>
      <c r="QB6">
        <v>0</v>
      </c>
      <c r="QC6">
        <v>0</v>
      </c>
      <c r="QD6">
        <v>0</v>
      </c>
      <c r="QE6">
        <v>0</v>
      </c>
      <c r="QF6">
        <v>0</v>
      </c>
      <c r="QG6">
        <v>0</v>
      </c>
      <c r="QH6">
        <v>0</v>
      </c>
      <c r="QI6">
        <v>0</v>
      </c>
      <c r="QJ6">
        <f t="shared" si="37"/>
        <v>0</v>
      </c>
      <c r="QK6">
        <v>0</v>
      </c>
      <c r="QL6">
        <v>0</v>
      </c>
      <c r="QM6" s="2">
        <v>150431</v>
      </c>
      <c r="QN6">
        <v>0</v>
      </c>
      <c r="QO6">
        <v>0</v>
      </c>
      <c r="QP6" s="2">
        <v>144685</v>
      </c>
      <c r="QQ6">
        <v>0</v>
      </c>
      <c r="QR6">
        <v>0</v>
      </c>
      <c r="QS6" s="2">
        <v>142885</v>
      </c>
      <c r="QT6">
        <v>0</v>
      </c>
      <c r="QU6">
        <v>0</v>
      </c>
      <c r="QV6" s="2">
        <v>152555</v>
      </c>
      <c r="QW6" s="2">
        <f t="shared" si="38"/>
        <v>590556</v>
      </c>
      <c r="QX6">
        <v>0</v>
      </c>
      <c r="QY6">
        <v>0</v>
      </c>
      <c r="QZ6">
        <v>0</v>
      </c>
      <c r="RA6">
        <v>0</v>
      </c>
      <c r="RB6">
        <v>0</v>
      </c>
      <c r="RC6">
        <v>0</v>
      </c>
      <c r="RD6">
        <v>0</v>
      </c>
      <c r="RE6">
        <v>0</v>
      </c>
      <c r="RF6">
        <v>0</v>
      </c>
      <c r="RG6">
        <v>0</v>
      </c>
      <c r="RH6">
        <v>0</v>
      </c>
      <c r="RI6">
        <v>0</v>
      </c>
      <c r="RJ6">
        <f t="shared" si="39"/>
        <v>0</v>
      </c>
      <c r="RK6">
        <v>0</v>
      </c>
      <c r="RL6">
        <v>0</v>
      </c>
      <c r="RM6">
        <v>0</v>
      </c>
      <c r="RN6">
        <v>0</v>
      </c>
      <c r="RO6">
        <v>0</v>
      </c>
      <c r="RP6">
        <v>0</v>
      </c>
      <c r="RQ6">
        <v>0</v>
      </c>
      <c r="RR6">
        <v>0</v>
      </c>
      <c r="RS6">
        <v>0</v>
      </c>
      <c r="RT6">
        <v>0</v>
      </c>
      <c r="RU6">
        <v>0</v>
      </c>
      <c r="RV6">
        <v>0</v>
      </c>
      <c r="RW6">
        <f t="shared" si="40"/>
        <v>0</v>
      </c>
      <c r="RX6">
        <v>0</v>
      </c>
      <c r="RY6">
        <v>0</v>
      </c>
      <c r="RZ6">
        <v>0</v>
      </c>
      <c r="SA6">
        <v>0</v>
      </c>
      <c r="SB6">
        <v>0</v>
      </c>
      <c r="SC6">
        <v>0</v>
      </c>
      <c r="SD6">
        <v>0</v>
      </c>
      <c r="SE6">
        <v>0</v>
      </c>
      <c r="SF6">
        <v>0</v>
      </c>
      <c r="SG6">
        <v>0</v>
      </c>
      <c r="SH6">
        <v>0</v>
      </c>
      <c r="SI6">
        <v>0</v>
      </c>
      <c r="SJ6">
        <f t="shared" si="41"/>
        <v>0</v>
      </c>
      <c r="SK6">
        <v>0</v>
      </c>
      <c r="SL6">
        <v>0</v>
      </c>
      <c r="SM6">
        <v>0</v>
      </c>
      <c r="SN6">
        <v>0</v>
      </c>
      <c r="SO6">
        <v>0</v>
      </c>
      <c r="SP6">
        <v>0</v>
      </c>
      <c r="SQ6">
        <v>0</v>
      </c>
      <c r="SR6">
        <v>0</v>
      </c>
      <c r="SS6">
        <v>0</v>
      </c>
      <c r="ST6">
        <v>0</v>
      </c>
      <c r="SU6">
        <v>0</v>
      </c>
      <c r="SV6">
        <v>0</v>
      </c>
      <c r="SW6">
        <f t="shared" si="42"/>
        <v>0</v>
      </c>
      <c r="SX6" t="s">
        <v>1402</v>
      </c>
      <c r="SY6">
        <v>0</v>
      </c>
      <c r="SZ6">
        <v>0</v>
      </c>
      <c r="TA6">
        <v>15554</v>
      </c>
      <c r="TB6">
        <v>0</v>
      </c>
      <c r="TC6">
        <v>0</v>
      </c>
      <c r="TD6">
        <v>13945</v>
      </c>
      <c r="TE6">
        <v>0</v>
      </c>
      <c r="TF6">
        <v>0</v>
      </c>
      <c r="TG6">
        <v>13957</v>
      </c>
      <c r="TH6">
        <v>0</v>
      </c>
      <c r="TI6">
        <v>0</v>
      </c>
      <c r="TJ6">
        <v>15375</v>
      </c>
      <c r="TK6">
        <f t="shared" si="43"/>
        <v>58831</v>
      </c>
      <c r="TL6">
        <v>0</v>
      </c>
      <c r="TM6">
        <v>0</v>
      </c>
      <c r="TN6">
        <v>0</v>
      </c>
      <c r="TO6">
        <v>0</v>
      </c>
      <c r="TP6">
        <v>0</v>
      </c>
      <c r="TQ6">
        <v>0</v>
      </c>
      <c r="TR6">
        <v>0</v>
      </c>
      <c r="TS6">
        <v>0</v>
      </c>
      <c r="TT6">
        <v>0</v>
      </c>
      <c r="TU6">
        <v>0</v>
      </c>
      <c r="TV6">
        <v>0</v>
      </c>
      <c r="TW6">
        <v>0</v>
      </c>
      <c r="TX6">
        <f t="shared" si="44"/>
        <v>0</v>
      </c>
      <c r="TY6">
        <v>103</v>
      </c>
      <c r="TZ6">
        <v>0</v>
      </c>
      <c r="UA6">
        <v>0</v>
      </c>
      <c r="UB6">
        <v>0</v>
      </c>
    </row>
    <row r="7" spans="1:548" ht="16.5" customHeight="1" x14ac:dyDescent="0.35">
      <c r="A7" t="s">
        <v>1455</v>
      </c>
      <c r="B7" t="s">
        <v>2865</v>
      </c>
      <c r="C7">
        <v>12414</v>
      </c>
      <c r="D7">
        <v>0</v>
      </c>
      <c r="E7">
        <v>0</v>
      </c>
      <c r="F7">
        <v>0</v>
      </c>
      <c r="G7">
        <v>0</v>
      </c>
      <c r="H7">
        <v>0</v>
      </c>
      <c r="I7">
        <v>428</v>
      </c>
      <c r="J7">
        <v>0</v>
      </c>
      <c r="K7">
        <v>0</v>
      </c>
      <c r="L7">
        <v>367</v>
      </c>
      <c r="M7">
        <v>0</v>
      </c>
      <c r="N7">
        <v>0</v>
      </c>
      <c r="O7">
        <v>372</v>
      </c>
      <c r="P7">
        <v>0</v>
      </c>
      <c r="Q7">
        <v>0</v>
      </c>
      <c r="R7">
        <v>400</v>
      </c>
      <c r="S7">
        <f t="shared" si="0"/>
        <v>1567</v>
      </c>
      <c r="T7">
        <v>0</v>
      </c>
      <c r="U7">
        <v>0</v>
      </c>
      <c r="V7">
        <v>181</v>
      </c>
      <c r="W7">
        <v>0</v>
      </c>
      <c r="X7">
        <v>0</v>
      </c>
      <c r="Y7">
        <v>198</v>
      </c>
      <c r="Z7">
        <v>0</v>
      </c>
      <c r="AA7">
        <v>0</v>
      </c>
      <c r="AB7">
        <v>145</v>
      </c>
      <c r="AC7">
        <v>0</v>
      </c>
      <c r="AD7">
        <v>0</v>
      </c>
      <c r="AE7">
        <v>158</v>
      </c>
      <c r="AF7">
        <f t="shared" si="1"/>
        <v>682</v>
      </c>
      <c r="AG7">
        <v>0</v>
      </c>
      <c r="AH7">
        <v>0</v>
      </c>
      <c r="AI7">
        <v>20</v>
      </c>
      <c r="AJ7">
        <v>0</v>
      </c>
      <c r="AK7">
        <v>0</v>
      </c>
      <c r="AL7">
        <v>21</v>
      </c>
      <c r="AM7">
        <v>0</v>
      </c>
      <c r="AN7">
        <v>0</v>
      </c>
      <c r="AO7">
        <v>16</v>
      </c>
      <c r="AP7">
        <v>0</v>
      </c>
      <c r="AQ7">
        <v>0</v>
      </c>
      <c r="AR7">
        <v>14</v>
      </c>
      <c r="AS7">
        <f t="shared" si="2"/>
        <v>71</v>
      </c>
      <c r="AT7">
        <v>0</v>
      </c>
      <c r="AU7">
        <v>0</v>
      </c>
      <c r="AV7">
        <v>155</v>
      </c>
      <c r="AW7">
        <v>0</v>
      </c>
      <c r="AX7">
        <v>0</v>
      </c>
      <c r="AY7">
        <v>147</v>
      </c>
      <c r="AZ7">
        <v>0</v>
      </c>
      <c r="BA7">
        <v>0</v>
      </c>
      <c r="BB7">
        <v>149</v>
      </c>
      <c r="BC7">
        <v>0</v>
      </c>
      <c r="BD7">
        <v>0</v>
      </c>
      <c r="BE7">
        <v>172</v>
      </c>
      <c r="BF7">
        <f t="shared" si="3"/>
        <v>623</v>
      </c>
      <c r="BG7">
        <v>0</v>
      </c>
      <c r="BH7">
        <v>0</v>
      </c>
      <c r="BI7">
        <v>2</v>
      </c>
      <c r="BJ7">
        <v>0</v>
      </c>
      <c r="BK7">
        <v>0</v>
      </c>
      <c r="BL7">
        <v>1</v>
      </c>
      <c r="BM7">
        <v>0</v>
      </c>
      <c r="BN7">
        <v>0</v>
      </c>
      <c r="BO7">
        <v>0</v>
      </c>
      <c r="BP7">
        <v>0</v>
      </c>
      <c r="BQ7">
        <v>0</v>
      </c>
      <c r="BR7">
        <v>2</v>
      </c>
      <c r="BS7">
        <f t="shared" si="4"/>
        <v>5</v>
      </c>
      <c r="BT7">
        <v>0</v>
      </c>
      <c r="BU7">
        <v>0</v>
      </c>
      <c r="BV7">
        <v>70</v>
      </c>
      <c r="BW7">
        <v>0</v>
      </c>
      <c r="BX7">
        <v>0</v>
      </c>
      <c r="BY7">
        <v>73</v>
      </c>
      <c r="BZ7">
        <v>0</v>
      </c>
      <c r="CA7">
        <v>0</v>
      </c>
      <c r="CB7">
        <v>62</v>
      </c>
      <c r="CC7">
        <v>0</v>
      </c>
      <c r="CD7">
        <v>0</v>
      </c>
      <c r="CE7">
        <v>54</v>
      </c>
      <c r="CF7">
        <f t="shared" si="5"/>
        <v>259</v>
      </c>
      <c r="CG7">
        <v>0</v>
      </c>
      <c r="CH7">
        <v>0</v>
      </c>
      <c r="CI7">
        <v>5</v>
      </c>
      <c r="CJ7">
        <v>0</v>
      </c>
      <c r="CK7">
        <v>0</v>
      </c>
      <c r="CL7">
        <v>5</v>
      </c>
      <c r="CM7">
        <v>0</v>
      </c>
      <c r="CN7">
        <v>0</v>
      </c>
      <c r="CO7">
        <v>3</v>
      </c>
      <c r="CP7">
        <v>0</v>
      </c>
      <c r="CQ7">
        <v>0</v>
      </c>
      <c r="CR7">
        <v>4</v>
      </c>
      <c r="CS7">
        <f t="shared" si="6"/>
        <v>17</v>
      </c>
      <c r="CT7">
        <v>0</v>
      </c>
      <c r="CU7">
        <v>0</v>
      </c>
      <c r="CV7">
        <v>6</v>
      </c>
      <c r="CW7">
        <v>0</v>
      </c>
      <c r="CX7">
        <v>0</v>
      </c>
      <c r="CY7">
        <v>8</v>
      </c>
      <c r="CZ7">
        <v>0</v>
      </c>
      <c r="DA7">
        <v>0</v>
      </c>
      <c r="DB7">
        <v>6</v>
      </c>
      <c r="DC7">
        <v>0</v>
      </c>
      <c r="DD7">
        <v>0</v>
      </c>
      <c r="DE7">
        <v>6</v>
      </c>
      <c r="DF7">
        <f t="shared" si="7"/>
        <v>26</v>
      </c>
      <c r="DG7">
        <v>0</v>
      </c>
      <c r="DH7">
        <v>0</v>
      </c>
      <c r="DI7">
        <v>59</v>
      </c>
      <c r="DJ7">
        <v>0</v>
      </c>
      <c r="DK7">
        <v>0</v>
      </c>
      <c r="DL7">
        <v>60</v>
      </c>
      <c r="DM7">
        <v>0</v>
      </c>
      <c r="DN7">
        <v>0</v>
      </c>
      <c r="DO7">
        <v>53</v>
      </c>
      <c r="DP7">
        <v>0</v>
      </c>
      <c r="DQ7">
        <v>0</v>
      </c>
      <c r="DR7">
        <v>44</v>
      </c>
      <c r="DS7">
        <f t="shared" si="8"/>
        <v>216</v>
      </c>
      <c r="DT7">
        <v>0</v>
      </c>
      <c r="DU7">
        <v>0</v>
      </c>
      <c r="DV7">
        <v>0</v>
      </c>
      <c r="DW7">
        <v>0</v>
      </c>
      <c r="DX7">
        <v>0</v>
      </c>
      <c r="DY7">
        <v>0</v>
      </c>
      <c r="DZ7">
        <v>0</v>
      </c>
      <c r="EA7">
        <v>0</v>
      </c>
      <c r="EB7">
        <v>0</v>
      </c>
      <c r="EC7">
        <v>0</v>
      </c>
      <c r="ED7">
        <v>0</v>
      </c>
      <c r="EE7">
        <v>0</v>
      </c>
      <c r="EF7">
        <f t="shared" si="9"/>
        <v>0</v>
      </c>
      <c r="EG7">
        <f t="shared" si="10"/>
        <v>1381</v>
      </c>
      <c r="EH7">
        <f t="shared" si="11"/>
        <v>259</v>
      </c>
      <c r="EI7">
        <v>0</v>
      </c>
      <c r="EJ7">
        <v>0</v>
      </c>
      <c r="EK7">
        <v>7328</v>
      </c>
      <c r="EL7">
        <v>0</v>
      </c>
      <c r="EM7">
        <v>0</v>
      </c>
      <c r="EN7">
        <v>3965</v>
      </c>
      <c r="EO7">
        <v>0</v>
      </c>
      <c r="EP7">
        <v>0</v>
      </c>
      <c r="EQ7">
        <v>3214</v>
      </c>
      <c r="ER7">
        <v>0</v>
      </c>
      <c r="ES7">
        <v>0</v>
      </c>
      <c r="ET7">
        <v>3752</v>
      </c>
      <c r="EU7">
        <f t="shared" si="12"/>
        <v>18259</v>
      </c>
      <c r="EV7">
        <v>0</v>
      </c>
      <c r="EW7">
        <v>0</v>
      </c>
      <c r="EX7">
        <v>5211</v>
      </c>
      <c r="EY7">
        <v>0</v>
      </c>
      <c r="EZ7">
        <v>0</v>
      </c>
      <c r="FA7">
        <v>2422</v>
      </c>
      <c r="FB7">
        <v>0</v>
      </c>
      <c r="FC7">
        <v>0</v>
      </c>
      <c r="FD7">
        <v>1743</v>
      </c>
      <c r="FE7">
        <v>0</v>
      </c>
      <c r="FF7">
        <v>0</v>
      </c>
      <c r="FG7">
        <v>2156</v>
      </c>
      <c r="FH7">
        <f t="shared" si="13"/>
        <v>11532</v>
      </c>
      <c r="FI7">
        <v>0</v>
      </c>
      <c r="FJ7">
        <v>0</v>
      </c>
      <c r="FK7">
        <v>579</v>
      </c>
      <c r="FL7">
        <v>0</v>
      </c>
      <c r="FM7">
        <v>0</v>
      </c>
      <c r="FN7">
        <v>269</v>
      </c>
      <c r="FO7">
        <v>0</v>
      </c>
      <c r="FP7">
        <v>0</v>
      </c>
      <c r="FQ7">
        <v>193</v>
      </c>
      <c r="FR7">
        <v>0</v>
      </c>
      <c r="FS7">
        <v>0</v>
      </c>
      <c r="FT7">
        <v>239</v>
      </c>
      <c r="FU7">
        <f t="shared" si="14"/>
        <v>1280</v>
      </c>
      <c r="FV7">
        <v>0</v>
      </c>
      <c r="FW7">
        <v>0</v>
      </c>
      <c r="FX7">
        <v>1538</v>
      </c>
      <c r="FY7">
        <v>0</v>
      </c>
      <c r="FZ7">
        <v>0</v>
      </c>
      <c r="GA7">
        <v>1274</v>
      </c>
      <c r="GB7">
        <v>0</v>
      </c>
      <c r="GC7">
        <v>0</v>
      </c>
      <c r="GD7">
        <v>1278</v>
      </c>
      <c r="GE7">
        <v>0</v>
      </c>
      <c r="GF7">
        <v>0</v>
      </c>
      <c r="GG7">
        <v>1357</v>
      </c>
      <c r="GH7">
        <f t="shared" si="15"/>
        <v>5447</v>
      </c>
      <c r="GI7">
        <v>0</v>
      </c>
      <c r="GJ7">
        <v>0</v>
      </c>
      <c r="GK7">
        <v>157</v>
      </c>
      <c r="GL7">
        <v>0</v>
      </c>
      <c r="GM7">
        <v>0</v>
      </c>
      <c r="GN7">
        <v>184</v>
      </c>
      <c r="GO7">
        <v>0</v>
      </c>
      <c r="GP7">
        <v>0</v>
      </c>
      <c r="GQ7">
        <v>195</v>
      </c>
      <c r="GR7">
        <v>0</v>
      </c>
      <c r="GS7">
        <v>0</v>
      </c>
      <c r="GT7">
        <v>158</v>
      </c>
      <c r="GU7">
        <f t="shared" si="16"/>
        <v>694</v>
      </c>
      <c r="GV7">
        <v>0</v>
      </c>
      <c r="GW7">
        <v>0</v>
      </c>
      <c r="GX7">
        <v>25</v>
      </c>
      <c r="GY7">
        <v>0</v>
      </c>
      <c r="GZ7">
        <v>0</v>
      </c>
      <c r="HA7">
        <v>26</v>
      </c>
      <c r="HB7">
        <v>0</v>
      </c>
      <c r="HC7">
        <v>0</v>
      </c>
      <c r="HD7">
        <v>27</v>
      </c>
      <c r="HE7">
        <v>0</v>
      </c>
      <c r="HF7">
        <v>0</v>
      </c>
      <c r="HG7">
        <v>23</v>
      </c>
      <c r="HH7">
        <f t="shared" si="17"/>
        <v>101</v>
      </c>
      <c r="HI7">
        <v>0</v>
      </c>
      <c r="HJ7">
        <v>0</v>
      </c>
      <c r="HK7">
        <v>30</v>
      </c>
      <c r="HL7">
        <v>0</v>
      </c>
      <c r="HM7">
        <v>0</v>
      </c>
      <c r="HN7">
        <v>26</v>
      </c>
      <c r="HO7">
        <v>0</v>
      </c>
      <c r="HP7">
        <v>0</v>
      </c>
      <c r="HQ7">
        <v>30</v>
      </c>
      <c r="HR7">
        <v>0</v>
      </c>
      <c r="HS7">
        <v>0</v>
      </c>
      <c r="HT7">
        <v>28</v>
      </c>
      <c r="HU7">
        <f t="shared" si="18"/>
        <v>114</v>
      </c>
      <c r="HV7">
        <v>0</v>
      </c>
      <c r="HW7">
        <v>0</v>
      </c>
      <c r="HX7">
        <v>102</v>
      </c>
      <c r="HY7">
        <v>0</v>
      </c>
      <c r="HZ7">
        <v>0</v>
      </c>
      <c r="IA7">
        <v>132</v>
      </c>
      <c r="IB7">
        <v>0</v>
      </c>
      <c r="IC7">
        <v>0</v>
      </c>
      <c r="ID7">
        <v>138</v>
      </c>
      <c r="IE7">
        <v>0</v>
      </c>
      <c r="IF7">
        <v>0</v>
      </c>
      <c r="IG7">
        <v>107</v>
      </c>
      <c r="IH7">
        <f t="shared" si="19"/>
        <v>479</v>
      </c>
      <c r="II7">
        <f t="shared" si="20"/>
        <v>18259</v>
      </c>
      <c r="IJ7">
        <f t="shared" si="21"/>
        <v>694</v>
      </c>
      <c r="IK7">
        <v>14538</v>
      </c>
      <c r="IL7">
        <v>15015</v>
      </c>
      <c r="IM7">
        <v>13411</v>
      </c>
      <c r="IN7">
        <v>18472</v>
      </c>
      <c r="IO7">
        <v>18100</v>
      </c>
      <c r="IP7">
        <v>15224</v>
      </c>
      <c r="IQ7">
        <v>16191</v>
      </c>
      <c r="IR7">
        <v>13161</v>
      </c>
      <c r="IS7">
        <v>14350</v>
      </c>
      <c r="IT7">
        <v>14406</v>
      </c>
      <c r="IU7">
        <v>14533</v>
      </c>
      <c r="IV7">
        <v>13448</v>
      </c>
      <c r="IW7">
        <f t="shared" si="22"/>
        <v>180849</v>
      </c>
      <c r="IX7">
        <v>5881</v>
      </c>
      <c r="IY7">
        <v>6349</v>
      </c>
      <c r="IZ7">
        <v>4911</v>
      </c>
      <c r="JA7">
        <v>9251</v>
      </c>
      <c r="JB7">
        <v>9619</v>
      </c>
      <c r="JC7">
        <v>6449</v>
      </c>
      <c r="JD7">
        <v>7161</v>
      </c>
      <c r="JE7">
        <v>5488</v>
      </c>
      <c r="JF7">
        <v>5781</v>
      </c>
      <c r="JG7">
        <v>5606</v>
      </c>
      <c r="JH7">
        <v>5932</v>
      </c>
      <c r="JI7">
        <v>5545</v>
      </c>
      <c r="JJ7">
        <f t="shared" si="23"/>
        <v>77973</v>
      </c>
      <c r="JK7">
        <v>0</v>
      </c>
      <c r="JL7">
        <v>0</v>
      </c>
      <c r="JM7">
        <v>0</v>
      </c>
      <c r="JN7">
        <v>0</v>
      </c>
      <c r="JO7">
        <v>0</v>
      </c>
      <c r="JP7">
        <v>0</v>
      </c>
      <c r="JQ7">
        <v>0</v>
      </c>
      <c r="JR7">
        <v>0</v>
      </c>
      <c r="JS7">
        <v>0</v>
      </c>
      <c r="JT7">
        <v>0</v>
      </c>
      <c r="JU7">
        <v>0</v>
      </c>
      <c r="JV7">
        <v>0</v>
      </c>
      <c r="JW7">
        <f t="shared" si="24"/>
        <v>0</v>
      </c>
      <c r="JX7">
        <v>8657</v>
      </c>
      <c r="JY7">
        <v>8666</v>
      </c>
      <c r="JZ7">
        <v>8500</v>
      </c>
      <c r="KA7">
        <v>9221</v>
      </c>
      <c r="KB7">
        <v>8481</v>
      </c>
      <c r="KC7">
        <v>9775</v>
      </c>
      <c r="KD7">
        <v>9030</v>
      </c>
      <c r="KE7">
        <v>7673</v>
      </c>
      <c r="KF7">
        <v>8569</v>
      </c>
      <c r="KG7">
        <v>8800</v>
      </c>
      <c r="KH7">
        <v>8601</v>
      </c>
      <c r="KI7">
        <v>7903</v>
      </c>
      <c r="KJ7">
        <f t="shared" si="25"/>
        <v>103876</v>
      </c>
      <c r="KK7">
        <v>249</v>
      </c>
      <c r="KL7">
        <v>226</v>
      </c>
      <c r="KM7">
        <v>258</v>
      </c>
      <c r="KN7">
        <v>284</v>
      </c>
      <c r="KO7">
        <v>188</v>
      </c>
      <c r="KP7">
        <v>227</v>
      </c>
      <c r="KQ7">
        <v>254</v>
      </c>
      <c r="KR7">
        <v>195</v>
      </c>
      <c r="KS7">
        <v>379</v>
      </c>
      <c r="KT7">
        <v>310</v>
      </c>
      <c r="KU7">
        <v>314</v>
      </c>
      <c r="KV7">
        <v>297</v>
      </c>
      <c r="KW7">
        <f t="shared" si="26"/>
        <v>3181</v>
      </c>
      <c r="KX7">
        <v>5</v>
      </c>
      <c r="KY7">
        <v>3</v>
      </c>
      <c r="KZ7">
        <v>8</v>
      </c>
      <c r="LA7">
        <v>38</v>
      </c>
      <c r="LB7">
        <v>19</v>
      </c>
      <c r="LC7">
        <v>10</v>
      </c>
      <c r="LD7">
        <v>15</v>
      </c>
      <c r="LE7">
        <v>12</v>
      </c>
      <c r="LF7">
        <v>5</v>
      </c>
      <c r="LG7">
        <v>9</v>
      </c>
      <c r="LH7">
        <v>20</v>
      </c>
      <c r="LI7">
        <v>17</v>
      </c>
      <c r="LJ7">
        <f t="shared" si="27"/>
        <v>161</v>
      </c>
      <c r="LK7">
        <v>0</v>
      </c>
      <c r="LL7">
        <v>0</v>
      </c>
      <c r="LM7">
        <v>0</v>
      </c>
      <c r="LN7">
        <v>0</v>
      </c>
      <c r="LO7">
        <v>0</v>
      </c>
      <c r="LP7">
        <v>0</v>
      </c>
      <c r="LQ7">
        <v>0</v>
      </c>
      <c r="LR7">
        <v>0</v>
      </c>
      <c r="LS7">
        <v>0</v>
      </c>
      <c r="LT7">
        <v>0</v>
      </c>
      <c r="LU7">
        <v>0</v>
      </c>
      <c r="LV7">
        <v>0</v>
      </c>
      <c r="LW7">
        <f t="shared" si="28"/>
        <v>0</v>
      </c>
      <c r="LX7">
        <v>244</v>
      </c>
      <c r="LY7">
        <v>223</v>
      </c>
      <c r="LZ7">
        <v>250</v>
      </c>
      <c r="MA7">
        <v>246</v>
      </c>
      <c r="MB7">
        <v>169</v>
      </c>
      <c r="MC7">
        <v>217</v>
      </c>
      <c r="MD7">
        <v>239</v>
      </c>
      <c r="ME7">
        <v>183</v>
      </c>
      <c r="MF7">
        <v>374</v>
      </c>
      <c r="MG7">
        <v>301</v>
      </c>
      <c r="MH7">
        <v>294</v>
      </c>
      <c r="MI7">
        <v>280</v>
      </c>
      <c r="MJ7">
        <f t="shared" si="29"/>
        <v>3020</v>
      </c>
      <c r="MK7">
        <v>1247</v>
      </c>
      <c r="ML7">
        <v>1323</v>
      </c>
      <c r="MM7">
        <v>1362</v>
      </c>
      <c r="MN7">
        <v>1239</v>
      </c>
      <c r="MO7">
        <v>1387</v>
      </c>
      <c r="MP7">
        <v>1290</v>
      </c>
      <c r="MQ7">
        <v>1403</v>
      </c>
      <c r="MR7">
        <v>1250</v>
      </c>
      <c r="MS7">
        <v>1307</v>
      </c>
      <c r="MT7">
        <v>1338</v>
      </c>
      <c r="MU7">
        <v>1260</v>
      </c>
      <c r="MV7">
        <v>1364</v>
      </c>
      <c r="MW7">
        <f t="shared" si="30"/>
        <v>15770</v>
      </c>
      <c r="MX7">
        <v>115</v>
      </c>
      <c r="MY7">
        <v>104</v>
      </c>
      <c r="MZ7">
        <v>114</v>
      </c>
      <c r="NA7">
        <v>39</v>
      </c>
      <c r="NB7">
        <v>123</v>
      </c>
      <c r="NC7">
        <v>107</v>
      </c>
      <c r="ND7">
        <v>203</v>
      </c>
      <c r="NE7">
        <v>179</v>
      </c>
      <c r="NF7">
        <v>202</v>
      </c>
      <c r="NG7">
        <v>173</v>
      </c>
      <c r="NH7">
        <v>182</v>
      </c>
      <c r="NI7">
        <v>185</v>
      </c>
      <c r="NJ7">
        <f t="shared" si="31"/>
        <v>1726</v>
      </c>
      <c r="NK7">
        <v>67</v>
      </c>
      <c r="NL7">
        <v>82</v>
      </c>
      <c r="NM7">
        <v>107</v>
      </c>
      <c r="NN7">
        <v>80</v>
      </c>
      <c r="NO7">
        <v>90</v>
      </c>
      <c r="NP7">
        <v>78</v>
      </c>
      <c r="NQ7">
        <v>90</v>
      </c>
      <c r="NR7">
        <v>57</v>
      </c>
      <c r="NS7">
        <v>60</v>
      </c>
      <c r="NT7">
        <v>64</v>
      </c>
      <c r="NU7">
        <v>69</v>
      </c>
      <c r="NV7">
        <v>71</v>
      </c>
      <c r="NW7">
        <f t="shared" si="32"/>
        <v>915</v>
      </c>
      <c r="NX7">
        <v>1065</v>
      </c>
      <c r="NY7">
        <v>1137</v>
      </c>
      <c r="NZ7">
        <v>1141</v>
      </c>
      <c r="OA7">
        <v>1090</v>
      </c>
      <c r="OB7">
        <v>1174</v>
      </c>
      <c r="OC7">
        <v>1105</v>
      </c>
      <c r="OD7">
        <v>1110</v>
      </c>
      <c r="OE7">
        <v>1014</v>
      </c>
      <c r="OF7">
        <v>1045</v>
      </c>
      <c r="OG7">
        <v>1101</v>
      </c>
      <c r="OH7">
        <v>1009</v>
      </c>
      <c r="OI7">
        <v>1108</v>
      </c>
      <c r="OJ7">
        <f t="shared" si="33"/>
        <v>13099</v>
      </c>
      <c r="OK7">
        <v>1977</v>
      </c>
      <c r="OL7">
        <v>2014</v>
      </c>
      <c r="OM7">
        <v>1917</v>
      </c>
      <c r="ON7">
        <v>1894</v>
      </c>
      <c r="OO7">
        <v>1980</v>
      </c>
      <c r="OP7">
        <v>1866</v>
      </c>
      <c r="OQ7">
        <v>1949</v>
      </c>
      <c r="OR7">
        <v>1827</v>
      </c>
      <c r="OS7">
        <v>1821</v>
      </c>
      <c r="OT7">
        <v>1961</v>
      </c>
      <c r="OU7">
        <v>1895</v>
      </c>
      <c r="OV7">
        <v>2068</v>
      </c>
      <c r="OW7">
        <f t="shared" si="34"/>
        <v>23169</v>
      </c>
      <c r="OX7">
        <v>241</v>
      </c>
      <c r="OY7">
        <v>215</v>
      </c>
      <c r="OZ7">
        <v>253</v>
      </c>
      <c r="PA7">
        <v>222</v>
      </c>
      <c r="PB7">
        <v>238</v>
      </c>
      <c r="PC7">
        <v>177</v>
      </c>
      <c r="PD7">
        <v>183</v>
      </c>
      <c r="PE7">
        <v>210</v>
      </c>
      <c r="PF7">
        <v>204</v>
      </c>
      <c r="PG7">
        <v>241</v>
      </c>
      <c r="PH7">
        <v>273</v>
      </c>
      <c r="PI7">
        <v>278</v>
      </c>
      <c r="PJ7">
        <f t="shared" si="35"/>
        <v>2735</v>
      </c>
      <c r="PK7">
        <v>83</v>
      </c>
      <c r="PL7">
        <v>118</v>
      </c>
      <c r="PM7">
        <v>90</v>
      </c>
      <c r="PN7">
        <v>73</v>
      </c>
      <c r="PO7">
        <v>84</v>
      </c>
      <c r="PP7">
        <v>69</v>
      </c>
      <c r="PQ7">
        <v>74</v>
      </c>
      <c r="PR7">
        <v>56</v>
      </c>
      <c r="PS7">
        <v>61</v>
      </c>
      <c r="PT7">
        <v>83</v>
      </c>
      <c r="PU7">
        <v>77</v>
      </c>
      <c r="PV7">
        <v>89</v>
      </c>
      <c r="PW7">
        <f t="shared" si="36"/>
        <v>957</v>
      </c>
      <c r="PX7">
        <v>1653</v>
      </c>
      <c r="PY7">
        <v>1681</v>
      </c>
      <c r="PZ7">
        <v>1574</v>
      </c>
      <c r="QA7">
        <v>1599</v>
      </c>
      <c r="QB7">
        <v>1658</v>
      </c>
      <c r="QC7">
        <v>1620</v>
      </c>
      <c r="QD7">
        <v>1692</v>
      </c>
      <c r="QE7">
        <v>1561</v>
      </c>
      <c r="QF7">
        <v>1556</v>
      </c>
      <c r="QG7">
        <v>1637</v>
      </c>
      <c r="QH7">
        <v>1545</v>
      </c>
      <c r="QI7">
        <v>1701</v>
      </c>
      <c r="QJ7">
        <f t="shared" si="37"/>
        <v>19477</v>
      </c>
      <c r="QK7">
        <v>0</v>
      </c>
      <c r="QL7">
        <v>0</v>
      </c>
      <c r="QM7">
        <v>51238</v>
      </c>
      <c r="QN7">
        <v>0</v>
      </c>
      <c r="QO7">
        <v>0</v>
      </c>
      <c r="QP7">
        <v>50709</v>
      </c>
      <c r="QQ7">
        <v>0</v>
      </c>
      <c r="QR7">
        <v>0</v>
      </c>
      <c r="QS7">
        <v>52450</v>
      </c>
      <c r="QT7">
        <v>0</v>
      </c>
      <c r="QU7">
        <v>0</v>
      </c>
      <c r="QV7">
        <v>51731</v>
      </c>
      <c r="QW7">
        <f t="shared" si="38"/>
        <v>206128</v>
      </c>
      <c r="QX7">
        <v>0</v>
      </c>
      <c r="QY7">
        <v>0</v>
      </c>
      <c r="QZ7">
        <v>1775</v>
      </c>
      <c r="RA7">
        <v>0</v>
      </c>
      <c r="RB7">
        <v>0</v>
      </c>
      <c r="RC7">
        <v>1725</v>
      </c>
      <c r="RD7">
        <v>0</v>
      </c>
      <c r="RE7">
        <v>0</v>
      </c>
      <c r="RF7">
        <v>1638</v>
      </c>
      <c r="RG7">
        <v>0</v>
      </c>
      <c r="RH7">
        <v>0</v>
      </c>
      <c r="RI7">
        <v>1712</v>
      </c>
      <c r="RJ7">
        <f t="shared" si="39"/>
        <v>6850</v>
      </c>
      <c r="RK7">
        <v>0</v>
      </c>
      <c r="RL7">
        <v>0</v>
      </c>
      <c r="RM7">
        <v>0</v>
      </c>
      <c r="RN7">
        <v>0</v>
      </c>
      <c r="RO7">
        <v>0</v>
      </c>
      <c r="RP7">
        <v>0</v>
      </c>
      <c r="RQ7">
        <v>0</v>
      </c>
      <c r="RR7">
        <v>0</v>
      </c>
      <c r="RS7">
        <v>0</v>
      </c>
      <c r="RT7">
        <v>0</v>
      </c>
      <c r="RU7">
        <v>0</v>
      </c>
      <c r="RV7">
        <v>0</v>
      </c>
      <c r="RW7">
        <f t="shared" si="40"/>
        <v>0</v>
      </c>
      <c r="RX7">
        <v>0</v>
      </c>
      <c r="RY7">
        <v>0</v>
      </c>
      <c r="RZ7">
        <v>0</v>
      </c>
      <c r="SA7">
        <v>0</v>
      </c>
      <c r="SB7">
        <v>0</v>
      </c>
      <c r="SC7">
        <v>0</v>
      </c>
      <c r="SD7">
        <v>0</v>
      </c>
      <c r="SE7">
        <v>0</v>
      </c>
      <c r="SF7">
        <v>0</v>
      </c>
      <c r="SG7">
        <v>0</v>
      </c>
      <c r="SH7">
        <v>0</v>
      </c>
      <c r="SI7">
        <v>0</v>
      </c>
      <c r="SJ7">
        <f t="shared" si="41"/>
        <v>0</v>
      </c>
      <c r="SK7">
        <v>245</v>
      </c>
      <c r="SL7">
        <v>248</v>
      </c>
      <c r="SM7">
        <v>248</v>
      </c>
      <c r="SN7">
        <v>241</v>
      </c>
      <c r="SO7">
        <v>247</v>
      </c>
      <c r="SP7">
        <v>328</v>
      </c>
      <c r="SQ7">
        <v>298</v>
      </c>
      <c r="SR7">
        <v>248</v>
      </c>
      <c r="SS7">
        <v>198</v>
      </c>
      <c r="ST7">
        <v>135</v>
      </c>
      <c r="SU7">
        <v>170</v>
      </c>
      <c r="SV7">
        <v>225</v>
      </c>
      <c r="SW7">
        <f t="shared" si="42"/>
        <v>2831</v>
      </c>
      <c r="SX7" s="1" t="s">
        <v>1456</v>
      </c>
      <c r="SY7">
        <v>0</v>
      </c>
      <c r="SZ7">
        <v>0</v>
      </c>
      <c r="TA7">
        <v>0</v>
      </c>
      <c r="TB7">
        <v>0</v>
      </c>
      <c r="TC7">
        <v>0</v>
      </c>
      <c r="TD7">
        <v>0</v>
      </c>
      <c r="TE7">
        <v>0</v>
      </c>
      <c r="TF7">
        <v>0</v>
      </c>
      <c r="TG7">
        <v>0</v>
      </c>
      <c r="TH7">
        <v>0</v>
      </c>
      <c r="TI7">
        <v>0</v>
      </c>
      <c r="TJ7">
        <v>0</v>
      </c>
      <c r="TK7">
        <f t="shared" si="43"/>
        <v>0</v>
      </c>
      <c r="TL7">
        <v>0</v>
      </c>
      <c r="TM7">
        <v>0</v>
      </c>
      <c r="TN7">
        <v>0</v>
      </c>
      <c r="TO7">
        <v>0</v>
      </c>
      <c r="TP7">
        <v>0</v>
      </c>
      <c r="TQ7">
        <v>0</v>
      </c>
      <c r="TR7">
        <v>0</v>
      </c>
      <c r="TS7">
        <v>0</v>
      </c>
      <c r="TT7">
        <v>0</v>
      </c>
      <c r="TU7">
        <v>0</v>
      </c>
      <c r="TV7">
        <v>0</v>
      </c>
      <c r="TW7">
        <v>0</v>
      </c>
      <c r="TX7">
        <f t="shared" si="44"/>
        <v>0</v>
      </c>
      <c r="TY7">
        <v>82</v>
      </c>
      <c r="TZ7">
        <v>0</v>
      </c>
      <c r="UA7">
        <v>0</v>
      </c>
      <c r="UB7">
        <v>0</v>
      </c>
    </row>
    <row r="8" spans="1:548" ht="16.5" customHeight="1" x14ac:dyDescent="0.35">
      <c r="A8" t="s">
        <v>1440</v>
      </c>
      <c r="B8" t="s">
        <v>2865</v>
      </c>
      <c r="C8">
        <v>9812</v>
      </c>
      <c r="D8">
        <v>0</v>
      </c>
      <c r="E8">
        <v>0</v>
      </c>
      <c r="F8">
        <v>0</v>
      </c>
      <c r="G8">
        <v>169</v>
      </c>
      <c r="H8">
        <v>152</v>
      </c>
      <c r="I8">
        <v>200</v>
      </c>
      <c r="J8">
        <v>197</v>
      </c>
      <c r="K8">
        <v>163</v>
      </c>
      <c r="L8">
        <v>177</v>
      </c>
      <c r="M8">
        <v>220</v>
      </c>
      <c r="N8">
        <v>208</v>
      </c>
      <c r="O8">
        <v>161</v>
      </c>
      <c r="P8">
        <v>197</v>
      </c>
      <c r="Q8">
        <v>182</v>
      </c>
      <c r="R8">
        <v>210</v>
      </c>
      <c r="S8">
        <f t="shared" si="0"/>
        <v>2236</v>
      </c>
      <c r="T8">
        <v>0</v>
      </c>
      <c r="U8">
        <v>0</v>
      </c>
      <c r="V8">
        <v>0</v>
      </c>
      <c r="W8">
        <v>0</v>
      </c>
      <c r="X8">
        <v>0</v>
      </c>
      <c r="Y8">
        <v>0</v>
      </c>
      <c r="Z8">
        <v>0</v>
      </c>
      <c r="AA8">
        <v>0</v>
      </c>
      <c r="AB8">
        <v>0</v>
      </c>
      <c r="AC8">
        <v>0</v>
      </c>
      <c r="AD8">
        <v>0</v>
      </c>
      <c r="AE8">
        <v>0</v>
      </c>
      <c r="AF8">
        <f t="shared" si="1"/>
        <v>0</v>
      </c>
      <c r="AG8">
        <v>0</v>
      </c>
      <c r="AH8">
        <v>0</v>
      </c>
      <c r="AI8">
        <v>0</v>
      </c>
      <c r="AJ8">
        <v>0</v>
      </c>
      <c r="AK8">
        <v>0</v>
      </c>
      <c r="AL8">
        <v>0</v>
      </c>
      <c r="AM8">
        <v>0</v>
      </c>
      <c r="AN8">
        <v>0</v>
      </c>
      <c r="AO8">
        <v>0</v>
      </c>
      <c r="AP8">
        <v>0</v>
      </c>
      <c r="AQ8">
        <v>0</v>
      </c>
      <c r="AR8">
        <v>0</v>
      </c>
      <c r="AS8">
        <f t="shared" si="2"/>
        <v>0</v>
      </c>
      <c r="AT8">
        <v>0</v>
      </c>
      <c r="AU8">
        <v>0</v>
      </c>
      <c r="AV8">
        <v>0</v>
      </c>
      <c r="AW8">
        <v>0</v>
      </c>
      <c r="AX8">
        <v>0</v>
      </c>
      <c r="AY8">
        <v>0</v>
      </c>
      <c r="AZ8">
        <v>0</v>
      </c>
      <c r="BA8">
        <v>0</v>
      </c>
      <c r="BB8">
        <v>0</v>
      </c>
      <c r="BC8">
        <v>0</v>
      </c>
      <c r="BD8">
        <v>0</v>
      </c>
      <c r="BE8">
        <v>0</v>
      </c>
      <c r="BF8">
        <f t="shared" si="3"/>
        <v>0</v>
      </c>
      <c r="BG8">
        <v>0</v>
      </c>
      <c r="BH8">
        <v>0</v>
      </c>
      <c r="BI8">
        <v>0</v>
      </c>
      <c r="BJ8">
        <v>0</v>
      </c>
      <c r="BK8">
        <v>0</v>
      </c>
      <c r="BL8">
        <v>0</v>
      </c>
      <c r="BM8">
        <v>0</v>
      </c>
      <c r="BN8">
        <v>0</v>
      </c>
      <c r="BO8">
        <v>0</v>
      </c>
      <c r="BP8">
        <v>0</v>
      </c>
      <c r="BQ8">
        <v>0</v>
      </c>
      <c r="BR8">
        <v>0</v>
      </c>
      <c r="BS8">
        <f t="shared" si="4"/>
        <v>0</v>
      </c>
      <c r="BT8">
        <v>0</v>
      </c>
      <c r="BU8">
        <v>0</v>
      </c>
      <c r="BV8">
        <v>0</v>
      </c>
      <c r="BW8">
        <v>0</v>
      </c>
      <c r="BX8">
        <v>0</v>
      </c>
      <c r="BY8">
        <v>0</v>
      </c>
      <c r="BZ8">
        <v>0</v>
      </c>
      <c r="CA8">
        <v>0</v>
      </c>
      <c r="CB8">
        <v>0</v>
      </c>
      <c r="CC8">
        <v>0</v>
      </c>
      <c r="CD8">
        <v>0</v>
      </c>
      <c r="CE8">
        <v>0</v>
      </c>
      <c r="CF8">
        <f t="shared" si="5"/>
        <v>0</v>
      </c>
      <c r="CG8">
        <v>0</v>
      </c>
      <c r="CH8">
        <v>0</v>
      </c>
      <c r="CI8">
        <v>0</v>
      </c>
      <c r="CJ8">
        <v>0</v>
      </c>
      <c r="CK8">
        <v>0</v>
      </c>
      <c r="CL8">
        <v>0</v>
      </c>
      <c r="CM8">
        <v>0</v>
      </c>
      <c r="CN8">
        <v>0</v>
      </c>
      <c r="CO8">
        <v>0</v>
      </c>
      <c r="CP8">
        <v>0</v>
      </c>
      <c r="CQ8">
        <v>0</v>
      </c>
      <c r="CR8">
        <v>0</v>
      </c>
      <c r="CS8">
        <f t="shared" si="6"/>
        <v>0</v>
      </c>
      <c r="CT8">
        <v>0</v>
      </c>
      <c r="CU8">
        <v>0</v>
      </c>
      <c r="CV8">
        <v>0</v>
      </c>
      <c r="CW8">
        <v>0</v>
      </c>
      <c r="CX8">
        <v>0</v>
      </c>
      <c r="CY8">
        <v>0</v>
      </c>
      <c r="CZ8">
        <v>0</v>
      </c>
      <c r="DA8">
        <v>0</v>
      </c>
      <c r="DB8">
        <v>0</v>
      </c>
      <c r="DC8">
        <v>0</v>
      </c>
      <c r="DD8">
        <v>0</v>
      </c>
      <c r="DE8">
        <v>0</v>
      </c>
      <c r="DF8">
        <f t="shared" si="7"/>
        <v>0</v>
      </c>
      <c r="DG8">
        <v>0</v>
      </c>
      <c r="DH8">
        <v>0</v>
      </c>
      <c r="DI8">
        <v>0</v>
      </c>
      <c r="DJ8">
        <v>0</v>
      </c>
      <c r="DK8">
        <v>0</v>
      </c>
      <c r="DL8">
        <v>0</v>
      </c>
      <c r="DM8">
        <v>0</v>
      </c>
      <c r="DN8">
        <v>0</v>
      </c>
      <c r="DO8">
        <v>0</v>
      </c>
      <c r="DP8">
        <v>0</v>
      </c>
      <c r="DQ8">
        <v>0</v>
      </c>
      <c r="DR8">
        <v>0</v>
      </c>
      <c r="DS8">
        <f t="shared" si="8"/>
        <v>0</v>
      </c>
      <c r="DT8">
        <v>0</v>
      </c>
      <c r="DU8">
        <v>0</v>
      </c>
      <c r="DV8">
        <v>0</v>
      </c>
      <c r="DW8">
        <v>0</v>
      </c>
      <c r="DX8">
        <v>0</v>
      </c>
      <c r="DY8">
        <v>0</v>
      </c>
      <c r="DZ8">
        <v>0</v>
      </c>
      <c r="EA8">
        <v>0</v>
      </c>
      <c r="EB8">
        <v>0</v>
      </c>
      <c r="EC8">
        <v>0</v>
      </c>
      <c r="ED8">
        <v>0</v>
      </c>
      <c r="EE8">
        <v>0</v>
      </c>
      <c r="EF8">
        <f t="shared" si="9"/>
        <v>0</v>
      </c>
      <c r="EG8">
        <f t="shared" si="10"/>
        <v>0</v>
      </c>
      <c r="EH8">
        <f t="shared" si="11"/>
        <v>0</v>
      </c>
      <c r="EI8">
        <v>1828</v>
      </c>
      <c r="EJ8">
        <v>1836</v>
      </c>
      <c r="EK8">
        <v>2548</v>
      </c>
      <c r="EL8">
        <v>2683</v>
      </c>
      <c r="EM8">
        <v>2190</v>
      </c>
      <c r="EN8">
        <v>2105</v>
      </c>
      <c r="EO8">
        <v>2767</v>
      </c>
      <c r="EP8">
        <v>3060</v>
      </c>
      <c r="EQ8">
        <v>2172</v>
      </c>
      <c r="ER8">
        <v>2584</v>
      </c>
      <c r="ES8">
        <v>2379</v>
      </c>
      <c r="ET8">
        <v>2732</v>
      </c>
      <c r="EU8">
        <f t="shared" si="12"/>
        <v>28884</v>
      </c>
      <c r="EV8">
        <v>630</v>
      </c>
      <c r="EW8">
        <v>794</v>
      </c>
      <c r="EX8">
        <v>995</v>
      </c>
      <c r="EY8">
        <v>1082</v>
      </c>
      <c r="EZ8">
        <v>769</v>
      </c>
      <c r="FA8">
        <v>725</v>
      </c>
      <c r="FB8">
        <v>1004</v>
      </c>
      <c r="FC8">
        <v>1188</v>
      </c>
      <c r="FD8">
        <v>988</v>
      </c>
      <c r="FE8">
        <v>1133</v>
      </c>
      <c r="FF8">
        <v>994</v>
      </c>
      <c r="FG8">
        <v>1267</v>
      </c>
      <c r="FH8">
        <f t="shared" si="13"/>
        <v>11569</v>
      </c>
      <c r="FI8">
        <v>78</v>
      </c>
      <c r="FJ8">
        <v>57</v>
      </c>
      <c r="FK8">
        <v>300</v>
      </c>
      <c r="FL8">
        <v>126</v>
      </c>
      <c r="FM8">
        <v>100</v>
      </c>
      <c r="FN8">
        <v>165</v>
      </c>
      <c r="FO8">
        <v>215</v>
      </c>
      <c r="FP8">
        <v>186</v>
      </c>
      <c r="FQ8">
        <v>82</v>
      </c>
      <c r="FR8">
        <v>164</v>
      </c>
      <c r="FS8">
        <v>62</v>
      </c>
      <c r="FT8">
        <v>121</v>
      </c>
      <c r="FU8">
        <f t="shared" si="14"/>
        <v>1656</v>
      </c>
      <c r="FV8">
        <v>1120</v>
      </c>
      <c r="FW8">
        <v>985</v>
      </c>
      <c r="FX8">
        <v>1253</v>
      </c>
      <c r="FY8">
        <v>1475</v>
      </c>
      <c r="FZ8">
        <v>1348</v>
      </c>
      <c r="GA8">
        <v>1257</v>
      </c>
      <c r="GB8">
        <v>1548</v>
      </c>
      <c r="GC8">
        <v>1686</v>
      </c>
      <c r="GD8">
        <v>1102</v>
      </c>
      <c r="GE8">
        <v>1287</v>
      </c>
      <c r="GF8">
        <v>1323</v>
      </c>
      <c r="GG8">
        <v>1344</v>
      </c>
      <c r="GH8">
        <f t="shared" si="15"/>
        <v>15728</v>
      </c>
      <c r="GI8">
        <v>0</v>
      </c>
      <c r="GJ8">
        <v>0</v>
      </c>
      <c r="GK8">
        <v>0</v>
      </c>
      <c r="GL8">
        <v>0</v>
      </c>
      <c r="GM8">
        <v>0</v>
      </c>
      <c r="GN8">
        <v>0</v>
      </c>
      <c r="GO8">
        <v>0</v>
      </c>
      <c r="GP8">
        <v>0</v>
      </c>
      <c r="GQ8">
        <v>0</v>
      </c>
      <c r="GR8">
        <v>0</v>
      </c>
      <c r="GS8">
        <v>0</v>
      </c>
      <c r="GT8">
        <v>0</v>
      </c>
      <c r="GU8">
        <f t="shared" si="16"/>
        <v>0</v>
      </c>
      <c r="GV8">
        <v>0</v>
      </c>
      <c r="GW8">
        <v>0</v>
      </c>
      <c r="GX8">
        <v>0</v>
      </c>
      <c r="GY8">
        <v>0</v>
      </c>
      <c r="GZ8">
        <v>0</v>
      </c>
      <c r="HA8">
        <v>0</v>
      </c>
      <c r="HB8">
        <v>0</v>
      </c>
      <c r="HC8">
        <v>0</v>
      </c>
      <c r="HD8">
        <v>0</v>
      </c>
      <c r="HE8">
        <v>0</v>
      </c>
      <c r="HF8">
        <v>0</v>
      </c>
      <c r="HG8">
        <v>0</v>
      </c>
      <c r="HH8">
        <f t="shared" si="17"/>
        <v>0</v>
      </c>
      <c r="HI8">
        <v>0</v>
      </c>
      <c r="HJ8">
        <v>0</v>
      </c>
      <c r="HK8">
        <v>0</v>
      </c>
      <c r="HL8">
        <v>0</v>
      </c>
      <c r="HM8">
        <v>0</v>
      </c>
      <c r="HN8">
        <v>0</v>
      </c>
      <c r="HO8">
        <v>0</v>
      </c>
      <c r="HP8">
        <v>0</v>
      </c>
      <c r="HQ8">
        <v>0</v>
      </c>
      <c r="HR8">
        <v>0</v>
      </c>
      <c r="HS8">
        <v>0</v>
      </c>
      <c r="HT8">
        <v>0</v>
      </c>
      <c r="HU8">
        <f t="shared" si="18"/>
        <v>0</v>
      </c>
      <c r="HV8">
        <v>0</v>
      </c>
      <c r="HW8">
        <v>0</v>
      </c>
      <c r="HX8">
        <v>0</v>
      </c>
      <c r="HY8">
        <v>0</v>
      </c>
      <c r="HZ8">
        <v>0</v>
      </c>
      <c r="IA8">
        <v>0</v>
      </c>
      <c r="IB8">
        <v>0</v>
      </c>
      <c r="IC8">
        <v>0</v>
      </c>
      <c r="ID8">
        <v>0</v>
      </c>
      <c r="IE8">
        <v>0</v>
      </c>
      <c r="IF8">
        <v>0</v>
      </c>
      <c r="IG8">
        <v>0</v>
      </c>
      <c r="IH8">
        <f t="shared" si="19"/>
        <v>0</v>
      </c>
      <c r="II8">
        <f t="shared" si="20"/>
        <v>28953</v>
      </c>
      <c r="IJ8">
        <f t="shared" si="21"/>
        <v>0</v>
      </c>
      <c r="IK8">
        <v>10808</v>
      </c>
      <c r="IL8">
        <v>11388</v>
      </c>
      <c r="IM8">
        <v>11342</v>
      </c>
      <c r="IN8">
        <v>12397</v>
      </c>
      <c r="IO8">
        <v>12588</v>
      </c>
      <c r="IP8">
        <v>11679</v>
      </c>
      <c r="IQ8">
        <v>11777</v>
      </c>
      <c r="IR8">
        <v>10056</v>
      </c>
      <c r="IS8">
        <v>8161</v>
      </c>
      <c r="IT8">
        <v>7198</v>
      </c>
      <c r="IU8">
        <v>10616</v>
      </c>
      <c r="IV8">
        <v>11041</v>
      </c>
      <c r="IW8">
        <f t="shared" si="22"/>
        <v>129051</v>
      </c>
      <c r="IX8">
        <v>3290</v>
      </c>
      <c r="IY8">
        <v>3272</v>
      </c>
      <c r="IZ8">
        <v>3548</v>
      </c>
      <c r="JA8">
        <v>4229</v>
      </c>
      <c r="JB8">
        <v>4250</v>
      </c>
      <c r="JC8">
        <v>3705</v>
      </c>
      <c r="JD8">
        <v>3820</v>
      </c>
      <c r="JE8">
        <v>2973</v>
      </c>
      <c r="JF8">
        <v>2414</v>
      </c>
      <c r="JG8">
        <v>3605</v>
      </c>
      <c r="JH8">
        <v>3977</v>
      </c>
      <c r="JI8">
        <v>3509</v>
      </c>
      <c r="JJ8">
        <f t="shared" si="23"/>
        <v>42592</v>
      </c>
      <c r="JK8">
        <v>180</v>
      </c>
      <c r="JL8">
        <v>251</v>
      </c>
      <c r="JM8">
        <v>155</v>
      </c>
      <c r="JN8">
        <v>195</v>
      </c>
      <c r="JO8">
        <v>200</v>
      </c>
      <c r="JP8">
        <v>128</v>
      </c>
      <c r="JQ8">
        <v>129</v>
      </c>
      <c r="JR8">
        <v>88</v>
      </c>
      <c r="JS8">
        <v>68</v>
      </c>
      <c r="JT8">
        <v>99</v>
      </c>
      <c r="JU8">
        <v>108</v>
      </c>
      <c r="JV8">
        <v>144</v>
      </c>
      <c r="JW8">
        <f t="shared" si="24"/>
        <v>1745</v>
      </c>
      <c r="JX8">
        <v>7338</v>
      </c>
      <c r="JY8">
        <v>7865</v>
      </c>
      <c r="JZ8">
        <v>7639</v>
      </c>
      <c r="KA8">
        <v>7973</v>
      </c>
      <c r="KB8">
        <v>8138</v>
      </c>
      <c r="KC8">
        <v>7846</v>
      </c>
      <c r="KD8">
        <v>7828</v>
      </c>
      <c r="KE8">
        <v>6995</v>
      </c>
      <c r="KF8">
        <v>5679</v>
      </c>
      <c r="KG8">
        <v>7198</v>
      </c>
      <c r="KH8">
        <v>6531</v>
      </c>
      <c r="KI8">
        <v>7388</v>
      </c>
      <c r="KJ8">
        <f t="shared" si="25"/>
        <v>88418</v>
      </c>
      <c r="KK8">
        <v>191</v>
      </c>
      <c r="KL8">
        <v>283</v>
      </c>
      <c r="KM8">
        <v>176</v>
      </c>
      <c r="KN8">
        <v>268</v>
      </c>
      <c r="KO8">
        <v>233</v>
      </c>
      <c r="KP8">
        <v>222</v>
      </c>
      <c r="KQ8">
        <v>171</v>
      </c>
      <c r="KR8">
        <v>273</v>
      </c>
      <c r="KS8">
        <v>174</v>
      </c>
      <c r="KT8">
        <v>263</v>
      </c>
      <c r="KU8">
        <v>160</v>
      </c>
      <c r="KV8">
        <v>193</v>
      </c>
      <c r="KW8">
        <f t="shared" si="26"/>
        <v>2607</v>
      </c>
      <c r="KX8">
        <v>0</v>
      </c>
      <c r="KY8">
        <v>0</v>
      </c>
      <c r="KZ8">
        <v>0</v>
      </c>
      <c r="LA8">
        <v>0</v>
      </c>
      <c r="LB8">
        <v>0</v>
      </c>
      <c r="LC8">
        <v>0</v>
      </c>
      <c r="LD8">
        <v>0</v>
      </c>
      <c r="LE8">
        <v>0</v>
      </c>
      <c r="LF8">
        <v>0</v>
      </c>
      <c r="LG8">
        <v>0</v>
      </c>
      <c r="LH8">
        <v>0</v>
      </c>
      <c r="LI8">
        <v>0</v>
      </c>
      <c r="LJ8">
        <f t="shared" si="27"/>
        <v>0</v>
      </c>
      <c r="LK8">
        <v>0</v>
      </c>
      <c r="LL8">
        <v>0</v>
      </c>
      <c r="LM8">
        <v>0</v>
      </c>
      <c r="LN8">
        <v>0</v>
      </c>
      <c r="LO8">
        <v>0</v>
      </c>
      <c r="LP8">
        <v>0</v>
      </c>
      <c r="LQ8">
        <v>0</v>
      </c>
      <c r="LR8">
        <v>0</v>
      </c>
      <c r="LS8">
        <v>0</v>
      </c>
      <c r="LT8">
        <v>0</v>
      </c>
      <c r="LU8">
        <v>0</v>
      </c>
      <c r="LV8">
        <v>0</v>
      </c>
      <c r="LW8">
        <f t="shared" si="28"/>
        <v>0</v>
      </c>
      <c r="LX8">
        <v>191</v>
      </c>
      <c r="LY8">
        <v>283</v>
      </c>
      <c r="LZ8">
        <v>176</v>
      </c>
      <c r="MA8">
        <v>268</v>
      </c>
      <c r="MB8">
        <v>233</v>
      </c>
      <c r="MC8">
        <v>222</v>
      </c>
      <c r="MD8">
        <v>171</v>
      </c>
      <c r="ME8">
        <v>273</v>
      </c>
      <c r="MF8">
        <v>174</v>
      </c>
      <c r="MG8">
        <v>263</v>
      </c>
      <c r="MH8">
        <v>160</v>
      </c>
      <c r="MI8">
        <v>193</v>
      </c>
      <c r="MJ8">
        <f t="shared" si="29"/>
        <v>2607</v>
      </c>
      <c r="MK8">
        <v>510</v>
      </c>
      <c r="ML8">
        <v>649</v>
      </c>
      <c r="MM8">
        <v>655</v>
      </c>
      <c r="MN8">
        <v>677</v>
      </c>
      <c r="MO8">
        <v>713</v>
      </c>
      <c r="MP8">
        <v>618</v>
      </c>
      <c r="MQ8">
        <v>698</v>
      </c>
      <c r="MR8">
        <v>625</v>
      </c>
      <c r="MS8">
        <v>707</v>
      </c>
      <c r="MT8">
        <v>786</v>
      </c>
      <c r="MU8">
        <v>715</v>
      </c>
      <c r="MV8">
        <v>766</v>
      </c>
      <c r="MW8">
        <f t="shared" si="30"/>
        <v>8119</v>
      </c>
      <c r="MX8">
        <v>23</v>
      </c>
      <c r="MY8">
        <v>32</v>
      </c>
      <c r="MZ8">
        <v>54</v>
      </c>
      <c r="NA8">
        <v>49</v>
      </c>
      <c r="NB8">
        <v>54</v>
      </c>
      <c r="NC8">
        <v>21</v>
      </c>
      <c r="ND8">
        <v>27</v>
      </c>
      <c r="NE8">
        <v>22</v>
      </c>
      <c r="NF8">
        <v>30</v>
      </c>
      <c r="NG8">
        <v>33</v>
      </c>
      <c r="NH8">
        <v>34</v>
      </c>
      <c r="NI8">
        <v>36</v>
      </c>
      <c r="NJ8">
        <f t="shared" si="31"/>
        <v>415</v>
      </c>
      <c r="NK8">
        <v>32</v>
      </c>
      <c r="NL8">
        <v>20</v>
      </c>
      <c r="NM8">
        <v>35</v>
      </c>
      <c r="NN8">
        <v>35</v>
      </c>
      <c r="NO8">
        <v>30</v>
      </c>
      <c r="NP8">
        <v>16</v>
      </c>
      <c r="NQ8">
        <v>13</v>
      </c>
      <c r="NR8">
        <v>13</v>
      </c>
      <c r="NS8">
        <v>26</v>
      </c>
      <c r="NT8">
        <v>38</v>
      </c>
      <c r="NU8">
        <v>41</v>
      </c>
      <c r="NV8">
        <v>33</v>
      </c>
      <c r="NW8">
        <f t="shared" si="32"/>
        <v>332</v>
      </c>
      <c r="NX8">
        <v>455</v>
      </c>
      <c r="NY8">
        <v>597</v>
      </c>
      <c r="NZ8">
        <v>566</v>
      </c>
      <c r="OA8">
        <v>593</v>
      </c>
      <c r="OB8">
        <v>626</v>
      </c>
      <c r="OC8">
        <v>581</v>
      </c>
      <c r="OD8">
        <v>658</v>
      </c>
      <c r="OE8">
        <v>590</v>
      </c>
      <c r="OF8">
        <v>651</v>
      </c>
      <c r="OG8">
        <v>715</v>
      </c>
      <c r="OH8">
        <v>640</v>
      </c>
      <c r="OI8">
        <v>697</v>
      </c>
      <c r="OJ8">
        <f t="shared" si="33"/>
        <v>7369</v>
      </c>
      <c r="OK8">
        <v>272</v>
      </c>
      <c r="OL8">
        <v>436</v>
      </c>
      <c r="OM8">
        <v>509</v>
      </c>
      <c r="ON8">
        <v>472</v>
      </c>
      <c r="OO8">
        <v>516</v>
      </c>
      <c r="OP8">
        <v>517</v>
      </c>
      <c r="OQ8">
        <v>512</v>
      </c>
      <c r="OR8">
        <v>489</v>
      </c>
      <c r="OS8">
        <v>499</v>
      </c>
      <c r="OT8">
        <v>557</v>
      </c>
      <c r="OU8">
        <v>665</v>
      </c>
      <c r="OV8">
        <v>652</v>
      </c>
      <c r="OW8">
        <f t="shared" si="34"/>
        <v>6096</v>
      </c>
      <c r="OX8">
        <v>26</v>
      </c>
      <c r="OY8">
        <v>34</v>
      </c>
      <c r="OZ8">
        <v>31</v>
      </c>
      <c r="PA8">
        <v>29</v>
      </c>
      <c r="PB8">
        <v>57</v>
      </c>
      <c r="PC8">
        <v>35</v>
      </c>
      <c r="PD8">
        <v>48</v>
      </c>
      <c r="PE8">
        <v>30</v>
      </c>
      <c r="PF8">
        <v>58</v>
      </c>
      <c r="PG8">
        <v>53</v>
      </c>
      <c r="PH8">
        <v>77</v>
      </c>
      <c r="PI8">
        <v>57</v>
      </c>
      <c r="PJ8">
        <f t="shared" si="35"/>
        <v>535</v>
      </c>
      <c r="PK8">
        <v>20</v>
      </c>
      <c r="PL8">
        <v>23</v>
      </c>
      <c r="PM8">
        <v>34</v>
      </c>
      <c r="PN8">
        <v>29</v>
      </c>
      <c r="PO8">
        <v>16</v>
      </c>
      <c r="PP8">
        <v>16</v>
      </c>
      <c r="PQ8">
        <v>16</v>
      </c>
      <c r="PR8">
        <v>22</v>
      </c>
      <c r="PS8">
        <v>22</v>
      </c>
      <c r="PT8">
        <v>16</v>
      </c>
      <c r="PU8">
        <v>30</v>
      </c>
      <c r="PV8">
        <v>18</v>
      </c>
      <c r="PW8">
        <f t="shared" si="36"/>
        <v>262</v>
      </c>
      <c r="PX8">
        <v>226</v>
      </c>
      <c r="PY8">
        <v>379</v>
      </c>
      <c r="PZ8">
        <v>444</v>
      </c>
      <c r="QA8">
        <v>414</v>
      </c>
      <c r="QB8">
        <v>443</v>
      </c>
      <c r="QC8">
        <v>466</v>
      </c>
      <c r="QD8">
        <v>448</v>
      </c>
      <c r="QE8">
        <v>437</v>
      </c>
      <c r="QF8">
        <v>419</v>
      </c>
      <c r="QG8">
        <v>488</v>
      </c>
      <c r="QH8">
        <v>558</v>
      </c>
      <c r="QI8">
        <v>577</v>
      </c>
      <c r="QJ8">
        <f t="shared" si="37"/>
        <v>5299</v>
      </c>
      <c r="QK8">
        <v>12307</v>
      </c>
      <c r="QL8">
        <v>13531</v>
      </c>
      <c r="QM8">
        <v>12863</v>
      </c>
      <c r="QN8">
        <v>13846</v>
      </c>
      <c r="QO8">
        <v>13819</v>
      </c>
      <c r="QP8">
        <v>13482</v>
      </c>
      <c r="QQ8">
        <v>14132</v>
      </c>
      <c r="QR8">
        <v>12719</v>
      </c>
      <c r="QS8">
        <v>10420</v>
      </c>
      <c r="QT8">
        <v>13767</v>
      </c>
      <c r="QU8">
        <v>13606</v>
      </c>
      <c r="QV8">
        <v>13901</v>
      </c>
      <c r="QW8">
        <f t="shared" si="38"/>
        <v>158393</v>
      </c>
      <c r="QX8">
        <v>15831</v>
      </c>
      <c r="QY8">
        <v>16458</v>
      </c>
      <c r="QZ8">
        <v>16256</v>
      </c>
      <c r="RA8">
        <v>17679</v>
      </c>
      <c r="RB8">
        <v>14176</v>
      </c>
      <c r="RC8">
        <v>17194</v>
      </c>
      <c r="RD8">
        <v>18446</v>
      </c>
      <c r="RE8">
        <v>18841</v>
      </c>
      <c r="RF8">
        <v>15459</v>
      </c>
      <c r="RG8">
        <v>19424</v>
      </c>
      <c r="RH8">
        <v>18182</v>
      </c>
      <c r="RI8">
        <v>20113</v>
      </c>
      <c r="RJ8">
        <f t="shared" si="39"/>
        <v>208059</v>
      </c>
      <c r="RK8">
        <v>0</v>
      </c>
      <c r="RL8">
        <v>0</v>
      </c>
      <c r="RM8">
        <v>0</v>
      </c>
      <c r="RN8">
        <v>0</v>
      </c>
      <c r="RO8">
        <v>0</v>
      </c>
      <c r="RP8">
        <v>0</v>
      </c>
      <c r="RQ8">
        <v>0</v>
      </c>
      <c r="RR8">
        <v>0</v>
      </c>
      <c r="RS8">
        <v>0</v>
      </c>
      <c r="RT8">
        <v>0</v>
      </c>
      <c r="RU8">
        <v>0</v>
      </c>
      <c r="RV8">
        <v>0</v>
      </c>
      <c r="RW8">
        <f t="shared" si="40"/>
        <v>0</v>
      </c>
      <c r="RX8">
        <v>0</v>
      </c>
      <c r="RY8">
        <v>0</v>
      </c>
      <c r="RZ8">
        <v>0</v>
      </c>
      <c r="SA8">
        <v>0</v>
      </c>
      <c r="SB8">
        <v>0</v>
      </c>
      <c r="SC8">
        <v>0</v>
      </c>
      <c r="SD8">
        <v>0</v>
      </c>
      <c r="SE8">
        <v>0</v>
      </c>
      <c r="SF8">
        <v>0</v>
      </c>
      <c r="SG8">
        <v>0</v>
      </c>
      <c r="SH8">
        <v>0</v>
      </c>
      <c r="SI8">
        <v>0</v>
      </c>
      <c r="SJ8">
        <f t="shared" si="41"/>
        <v>0</v>
      </c>
      <c r="SK8">
        <v>20</v>
      </c>
      <c r="SL8">
        <v>20</v>
      </c>
      <c r="SM8">
        <v>20</v>
      </c>
      <c r="SN8">
        <v>38</v>
      </c>
      <c r="SO8">
        <v>43</v>
      </c>
      <c r="SP8">
        <v>38</v>
      </c>
      <c r="SQ8">
        <v>45</v>
      </c>
      <c r="SR8">
        <v>40</v>
      </c>
      <c r="SS8">
        <v>29</v>
      </c>
      <c r="ST8">
        <v>30</v>
      </c>
      <c r="SU8">
        <v>42</v>
      </c>
      <c r="SV8">
        <v>49</v>
      </c>
      <c r="SW8">
        <f t="shared" si="42"/>
        <v>414</v>
      </c>
      <c r="SX8" t="s">
        <v>1441</v>
      </c>
      <c r="SY8">
        <v>2209</v>
      </c>
      <c r="SZ8">
        <v>2149</v>
      </c>
      <c r="TA8">
        <v>2028</v>
      </c>
      <c r="TB8">
        <v>2247</v>
      </c>
      <c r="TC8">
        <v>2093</v>
      </c>
      <c r="TD8">
        <v>1947</v>
      </c>
      <c r="TE8">
        <v>2045</v>
      </c>
      <c r="TF8">
        <v>1887</v>
      </c>
      <c r="TG8">
        <v>1558</v>
      </c>
      <c r="TH8">
        <v>2269</v>
      </c>
      <c r="TI8">
        <v>2139</v>
      </c>
      <c r="TJ8">
        <v>1902</v>
      </c>
      <c r="TK8">
        <f t="shared" si="43"/>
        <v>24473</v>
      </c>
      <c r="TL8">
        <v>0</v>
      </c>
      <c r="TM8">
        <v>0</v>
      </c>
      <c r="TN8">
        <v>0</v>
      </c>
      <c r="TO8">
        <v>0</v>
      </c>
      <c r="TP8">
        <v>0</v>
      </c>
      <c r="TQ8">
        <v>0</v>
      </c>
      <c r="TR8">
        <v>0</v>
      </c>
      <c r="TS8">
        <v>0</v>
      </c>
      <c r="TT8">
        <v>0</v>
      </c>
      <c r="TU8">
        <v>0</v>
      </c>
      <c r="TV8">
        <v>0</v>
      </c>
      <c r="TW8">
        <v>0</v>
      </c>
      <c r="TX8">
        <f t="shared" si="44"/>
        <v>0</v>
      </c>
      <c r="TY8">
        <v>80</v>
      </c>
      <c r="TZ8">
        <v>0</v>
      </c>
      <c r="UA8">
        <v>0</v>
      </c>
      <c r="UB8">
        <v>0</v>
      </c>
    </row>
    <row r="9" spans="1:548" ht="16.5" customHeight="1" x14ac:dyDescent="0.35">
      <c r="A9" t="s">
        <v>1399</v>
      </c>
      <c r="B9" t="s">
        <v>2865</v>
      </c>
      <c r="C9">
        <v>16904</v>
      </c>
      <c r="D9">
        <v>6186</v>
      </c>
      <c r="E9">
        <v>2039</v>
      </c>
      <c r="F9">
        <v>8679</v>
      </c>
      <c r="G9">
        <v>419</v>
      </c>
      <c r="H9">
        <v>425</v>
      </c>
      <c r="I9">
        <v>424</v>
      </c>
      <c r="J9">
        <v>437</v>
      </c>
      <c r="K9">
        <v>414</v>
      </c>
      <c r="L9">
        <v>435</v>
      </c>
      <c r="M9">
        <v>450</v>
      </c>
      <c r="N9">
        <v>463</v>
      </c>
      <c r="O9">
        <v>370</v>
      </c>
      <c r="P9">
        <v>466</v>
      </c>
      <c r="Q9">
        <v>450</v>
      </c>
      <c r="R9">
        <v>536</v>
      </c>
      <c r="S9">
        <f t="shared" si="0"/>
        <v>5289</v>
      </c>
      <c r="T9">
        <v>0</v>
      </c>
      <c r="U9">
        <v>0</v>
      </c>
      <c r="V9">
        <v>0</v>
      </c>
      <c r="W9">
        <v>0</v>
      </c>
      <c r="X9">
        <v>0</v>
      </c>
      <c r="Y9">
        <v>0</v>
      </c>
      <c r="Z9">
        <v>0</v>
      </c>
      <c r="AA9">
        <v>0</v>
      </c>
      <c r="AB9">
        <v>0</v>
      </c>
      <c r="AC9">
        <v>0</v>
      </c>
      <c r="AD9">
        <v>0</v>
      </c>
      <c r="AE9">
        <v>0</v>
      </c>
      <c r="AF9">
        <f t="shared" si="1"/>
        <v>0</v>
      </c>
      <c r="AG9">
        <v>0</v>
      </c>
      <c r="AH9">
        <v>0</v>
      </c>
      <c r="AI9">
        <v>0</v>
      </c>
      <c r="AJ9">
        <v>0</v>
      </c>
      <c r="AK9">
        <v>0</v>
      </c>
      <c r="AL9">
        <v>0</v>
      </c>
      <c r="AM9">
        <v>0</v>
      </c>
      <c r="AN9">
        <v>0</v>
      </c>
      <c r="AO9">
        <v>0</v>
      </c>
      <c r="AP9">
        <v>0</v>
      </c>
      <c r="AQ9">
        <v>0</v>
      </c>
      <c r="AR9">
        <v>0</v>
      </c>
      <c r="AS9">
        <f t="shared" si="2"/>
        <v>0</v>
      </c>
      <c r="AT9">
        <v>0</v>
      </c>
      <c r="AU9">
        <v>0</v>
      </c>
      <c r="AV9">
        <v>0</v>
      </c>
      <c r="AW9">
        <v>0</v>
      </c>
      <c r="AX9">
        <v>0</v>
      </c>
      <c r="AY9">
        <v>0</v>
      </c>
      <c r="AZ9">
        <v>0</v>
      </c>
      <c r="BA9">
        <v>0</v>
      </c>
      <c r="BB9">
        <v>0</v>
      </c>
      <c r="BC9">
        <v>0</v>
      </c>
      <c r="BD9">
        <v>0</v>
      </c>
      <c r="BE9">
        <v>0</v>
      </c>
      <c r="BF9">
        <f t="shared" si="3"/>
        <v>0</v>
      </c>
      <c r="BG9">
        <v>0</v>
      </c>
      <c r="BH9">
        <v>0</v>
      </c>
      <c r="BI9">
        <v>0</v>
      </c>
      <c r="BJ9">
        <v>0</v>
      </c>
      <c r="BK9">
        <v>0</v>
      </c>
      <c r="BL9">
        <v>0</v>
      </c>
      <c r="BM9">
        <v>0</v>
      </c>
      <c r="BN9">
        <v>0</v>
      </c>
      <c r="BO9">
        <v>0</v>
      </c>
      <c r="BP9">
        <v>0</v>
      </c>
      <c r="BQ9">
        <v>0</v>
      </c>
      <c r="BR9">
        <v>0</v>
      </c>
      <c r="BS9">
        <f t="shared" si="4"/>
        <v>0</v>
      </c>
      <c r="BT9">
        <v>0</v>
      </c>
      <c r="BU9">
        <v>0</v>
      </c>
      <c r="BV9">
        <v>0</v>
      </c>
      <c r="BW9">
        <v>0</v>
      </c>
      <c r="BX9">
        <v>0</v>
      </c>
      <c r="BY9">
        <v>0</v>
      </c>
      <c r="BZ9">
        <v>0</v>
      </c>
      <c r="CA9">
        <v>0</v>
      </c>
      <c r="CB9">
        <v>0</v>
      </c>
      <c r="CC9">
        <v>0</v>
      </c>
      <c r="CD9">
        <v>0</v>
      </c>
      <c r="CE9">
        <v>0</v>
      </c>
      <c r="CF9">
        <f t="shared" si="5"/>
        <v>0</v>
      </c>
      <c r="CG9">
        <v>0</v>
      </c>
      <c r="CH9">
        <v>0</v>
      </c>
      <c r="CI9">
        <v>0</v>
      </c>
      <c r="CJ9">
        <v>0</v>
      </c>
      <c r="CK9">
        <v>0</v>
      </c>
      <c r="CL9">
        <v>0</v>
      </c>
      <c r="CM9">
        <v>0</v>
      </c>
      <c r="CN9">
        <v>0</v>
      </c>
      <c r="CO9">
        <v>0</v>
      </c>
      <c r="CP9">
        <v>0</v>
      </c>
      <c r="CQ9">
        <v>0</v>
      </c>
      <c r="CR9">
        <v>0</v>
      </c>
      <c r="CS9">
        <f t="shared" si="6"/>
        <v>0</v>
      </c>
      <c r="CT9">
        <v>0</v>
      </c>
      <c r="CU9">
        <v>0</v>
      </c>
      <c r="CV9">
        <v>0</v>
      </c>
      <c r="CW9">
        <v>0</v>
      </c>
      <c r="CX9">
        <v>0</v>
      </c>
      <c r="CY9">
        <v>0</v>
      </c>
      <c r="CZ9">
        <v>0</v>
      </c>
      <c r="DA9">
        <v>0</v>
      </c>
      <c r="DB9">
        <v>0</v>
      </c>
      <c r="DC9">
        <v>0</v>
      </c>
      <c r="DD9">
        <v>0</v>
      </c>
      <c r="DE9">
        <v>0</v>
      </c>
      <c r="DF9">
        <f t="shared" si="7"/>
        <v>0</v>
      </c>
      <c r="DG9">
        <v>0</v>
      </c>
      <c r="DH9">
        <v>0</v>
      </c>
      <c r="DI9">
        <v>0</v>
      </c>
      <c r="DJ9">
        <v>0</v>
      </c>
      <c r="DK9">
        <v>0</v>
      </c>
      <c r="DL9">
        <v>0</v>
      </c>
      <c r="DM9">
        <v>0</v>
      </c>
      <c r="DN9">
        <v>0</v>
      </c>
      <c r="DO9">
        <v>0</v>
      </c>
      <c r="DP9">
        <v>0</v>
      </c>
      <c r="DQ9">
        <v>0</v>
      </c>
      <c r="DR9">
        <v>0</v>
      </c>
      <c r="DS9">
        <f t="shared" si="8"/>
        <v>0</v>
      </c>
      <c r="DT9">
        <v>0</v>
      </c>
      <c r="DU9">
        <v>0</v>
      </c>
      <c r="DV9">
        <v>0</v>
      </c>
      <c r="DW9">
        <v>0</v>
      </c>
      <c r="DX9">
        <v>0</v>
      </c>
      <c r="DY9">
        <v>0</v>
      </c>
      <c r="DZ9">
        <v>0</v>
      </c>
      <c r="EA9">
        <v>0</v>
      </c>
      <c r="EB9">
        <v>0</v>
      </c>
      <c r="EC9">
        <v>0</v>
      </c>
      <c r="ED9">
        <v>0</v>
      </c>
      <c r="EE9">
        <v>0</v>
      </c>
      <c r="EF9">
        <f t="shared" si="9"/>
        <v>0</v>
      </c>
      <c r="EG9">
        <f t="shared" si="10"/>
        <v>0</v>
      </c>
      <c r="EH9">
        <f t="shared" si="11"/>
        <v>0</v>
      </c>
      <c r="EI9">
        <v>5404</v>
      </c>
      <c r="EJ9">
        <v>6905</v>
      </c>
      <c r="EK9">
        <v>5670</v>
      </c>
      <c r="EL9">
        <v>6802</v>
      </c>
      <c r="EM9">
        <v>5706</v>
      </c>
      <c r="EN9">
        <v>6051</v>
      </c>
      <c r="EO9">
        <v>6696</v>
      </c>
      <c r="EP9">
        <v>8207</v>
      </c>
      <c r="EQ9">
        <v>5406</v>
      </c>
      <c r="ER9">
        <v>6124</v>
      </c>
      <c r="ES9">
        <v>5984</v>
      </c>
      <c r="ET9">
        <v>7960</v>
      </c>
      <c r="EU9">
        <f t="shared" si="12"/>
        <v>76915</v>
      </c>
      <c r="EV9">
        <v>0</v>
      </c>
      <c r="EW9">
        <v>0</v>
      </c>
      <c r="EX9">
        <v>0</v>
      </c>
      <c r="EY9">
        <v>0</v>
      </c>
      <c r="EZ9">
        <v>0</v>
      </c>
      <c r="FA9">
        <v>0</v>
      </c>
      <c r="FB9">
        <v>0</v>
      </c>
      <c r="FC9">
        <v>0</v>
      </c>
      <c r="FD9">
        <v>0</v>
      </c>
      <c r="FE9">
        <v>0</v>
      </c>
      <c r="FF9">
        <v>0</v>
      </c>
      <c r="FG9">
        <v>0</v>
      </c>
      <c r="FH9">
        <f t="shared" si="13"/>
        <v>0</v>
      </c>
      <c r="FI9">
        <v>0</v>
      </c>
      <c r="FJ9">
        <v>0</v>
      </c>
      <c r="FK9">
        <v>0</v>
      </c>
      <c r="FL9">
        <v>0</v>
      </c>
      <c r="FM9">
        <v>0</v>
      </c>
      <c r="FN9">
        <v>0</v>
      </c>
      <c r="FO9">
        <v>0</v>
      </c>
      <c r="FP9">
        <v>0</v>
      </c>
      <c r="FQ9">
        <v>0</v>
      </c>
      <c r="FR9">
        <v>0</v>
      </c>
      <c r="FS9">
        <v>0</v>
      </c>
      <c r="FT9">
        <v>0</v>
      </c>
      <c r="FU9">
        <f t="shared" si="14"/>
        <v>0</v>
      </c>
      <c r="FV9">
        <v>0</v>
      </c>
      <c r="FW9">
        <v>0</v>
      </c>
      <c r="FX9">
        <v>0</v>
      </c>
      <c r="FY9">
        <v>0</v>
      </c>
      <c r="FZ9">
        <v>0</v>
      </c>
      <c r="GA9">
        <v>0</v>
      </c>
      <c r="GB9">
        <v>0</v>
      </c>
      <c r="GC9">
        <v>0</v>
      </c>
      <c r="GD9">
        <v>0</v>
      </c>
      <c r="GE9">
        <v>0</v>
      </c>
      <c r="GF9">
        <v>0</v>
      </c>
      <c r="GG9">
        <v>0</v>
      </c>
      <c r="GH9">
        <f t="shared" si="15"/>
        <v>0</v>
      </c>
      <c r="GI9">
        <v>0</v>
      </c>
      <c r="GJ9">
        <v>0</v>
      </c>
      <c r="GK9">
        <v>0</v>
      </c>
      <c r="GL9">
        <v>0</v>
      </c>
      <c r="GM9">
        <v>0</v>
      </c>
      <c r="GN9">
        <v>0</v>
      </c>
      <c r="GO9">
        <v>0</v>
      </c>
      <c r="GP9">
        <v>0</v>
      </c>
      <c r="GQ9">
        <v>0</v>
      </c>
      <c r="GR9">
        <v>0</v>
      </c>
      <c r="GS9">
        <v>0</v>
      </c>
      <c r="GT9">
        <v>0</v>
      </c>
      <c r="GU9">
        <f t="shared" si="16"/>
        <v>0</v>
      </c>
      <c r="GV9">
        <v>0</v>
      </c>
      <c r="GW9">
        <v>0</v>
      </c>
      <c r="GX9">
        <v>0</v>
      </c>
      <c r="GY9">
        <v>0</v>
      </c>
      <c r="GZ9">
        <v>0</v>
      </c>
      <c r="HA9">
        <v>0</v>
      </c>
      <c r="HB9">
        <v>0</v>
      </c>
      <c r="HC9">
        <v>0</v>
      </c>
      <c r="HD9">
        <v>0</v>
      </c>
      <c r="HE9">
        <v>0</v>
      </c>
      <c r="HF9">
        <v>0</v>
      </c>
      <c r="HG9">
        <v>0</v>
      </c>
      <c r="HH9">
        <f t="shared" si="17"/>
        <v>0</v>
      </c>
      <c r="HI9">
        <v>0</v>
      </c>
      <c r="HJ9">
        <v>0</v>
      </c>
      <c r="HK9">
        <v>0</v>
      </c>
      <c r="HL9">
        <v>0</v>
      </c>
      <c r="HM9">
        <v>0</v>
      </c>
      <c r="HN9">
        <v>0</v>
      </c>
      <c r="HO9">
        <v>0</v>
      </c>
      <c r="HP9">
        <v>0</v>
      </c>
      <c r="HQ9">
        <v>0</v>
      </c>
      <c r="HR9">
        <v>0</v>
      </c>
      <c r="HS9">
        <v>0</v>
      </c>
      <c r="HT9">
        <v>0</v>
      </c>
      <c r="HU9">
        <f t="shared" si="18"/>
        <v>0</v>
      </c>
      <c r="HV9">
        <v>0</v>
      </c>
      <c r="HW9">
        <v>0</v>
      </c>
      <c r="HX9">
        <v>0</v>
      </c>
      <c r="HY9">
        <v>0</v>
      </c>
      <c r="HZ9">
        <v>0</v>
      </c>
      <c r="IA9">
        <v>0</v>
      </c>
      <c r="IB9">
        <v>0</v>
      </c>
      <c r="IC9">
        <v>0</v>
      </c>
      <c r="ID9">
        <v>0</v>
      </c>
      <c r="IE9">
        <v>0</v>
      </c>
      <c r="IF9">
        <v>0</v>
      </c>
      <c r="IG9">
        <v>0</v>
      </c>
      <c r="IH9">
        <f t="shared" si="19"/>
        <v>0</v>
      </c>
      <c r="II9">
        <f t="shared" si="20"/>
        <v>0</v>
      </c>
      <c r="IJ9">
        <f t="shared" si="21"/>
        <v>0</v>
      </c>
      <c r="IK9">
        <v>23796</v>
      </c>
      <c r="IL9">
        <v>26091</v>
      </c>
      <c r="IM9">
        <v>24230</v>
      </c>
      <c r="IN9">
        <v>31589</v>
      </c>
      <c r="IO9">
        <v>31572</v>
      </c>
      <c r="IP9">
        <v>27541</v>
      </c>
      <c r="IQ9">
        <v>27668</v>
      </c>
      <c r="IR9">
        <v>31081</v>
      </c>
      <c r="IS9">
        <v>28258</v>
      </c>
      <c r="IT9">
        <v>31770</v>
      </c>
      <c r="IU9">
        <v>31200</v>
      </c>
      <c r="IV9">
        <v>31209</v>
      </c>
      <c r="IW9">
        <f t="shared" si="22"/>
        <v>346005</v>
      </c>
      <c r="IX9">
        <v>10946</v>
      </c>
      <c r="IY9">
        <v>12030</v>
      </c>
      <c r="IZ9">
        <v>10916</v>
      </c>
      <c r="JA9">
        <v>17177</v>
      </c>
      <c r="JB9">
        <v>16814</v>
      </c>
      <c r="JC9">
        <v>13435</v>
      </c>
      <c r="JD9">
        <v>13506</v>
      </c>
      <c r="JE9">
        <v>17647</v>
      </c>
      <c r="JF9">
        <v>12703</v>
      </c>
      <c r="JG9">
        <v>13727</v>
      </c>
      <c r="JH9">
        <v>12543</v>
      </c>
      <c r="JI9">
        <v>13449</v>
      </c>
      <c r="JJ9">
        <f t="shared" si="23"/>
        <v>164893</v>
      </c>
      <c r="JK9">
        <v>0</v>
      </c>
      <c r="JL9">
        <v>0</v>
      </c>
      <c r="JM9">
        <v>0</v>
      </c>
      <c r="JN9">
        <v>0</v>
      </c>
      <c r="JO9">
        <v>0</v>
      </c>
      <c r="JP9">
        <v>0</v>
      </c>
      <c r="JQ9">
        <v>0</v>
      </c>
      <c r="JR9">
        <v>0</v>
      </c>
      <c r="JS9">
        <v>0</v>
      </c>
      <c r="JT9">
        <v>0</v>
      </c>
      <c r="JU9">
        <v>0</v>
      </c>
      <c r="JV9">
        <v>0</v>
      </c>
      <c r="JW9">
        <f t="shared" si="24"/>
        <v>0</v>
      </c>
      <c r="JX9">
        <v>12850</v>
      </c>
      <c r="JY9">
        <v>14061</v>
      </c>
      <c r="JZ9">
        <v>13314</v>
      </c>
      <c r="KA9">
        <v>14412</v>
      </c>
      <c r="KB9">
        <v>14758</v>
      </c>
      <c r="KC9">
        <v>14106</v>
      </c>
      <c r="KD9">
        <v>14162</v>
      </c>
      <c r="KE9">
        <v>13434</v>
      </c>
      <c r="KF9">
        <v>15555</v>
      </c>
      <c r="KG9">
        <v>18043</v>
      </c>
      <c r="KH9">
        <v>18657</v>
      </c>
      <c r="KI9">
        <v>17760</v>
      </c>
      <c r="KJ9">
        <f t="shared" si="25"/>
        <v>181112</v>
      </c>
      <c r="KK9">
        <v>492</v>
      </c>
      <c r="KL9">
        <v>540</v>
      </c>
      <c r="KM9">
        <v>499</v>
      </c>
      <c r="KN9">
        <v>520</v>
      </c>
      <c r="KO9">
        <v>531</v>
      </c>
      <c r="KP9">
        <v>523</v>
      </c>
      <c r="KQ9">
        <v>443</v>
      </c>
      <c r="KR9">
        <v>425</v>
      </c>
      <c r="KS9">
        <v>481</v>
      </c>
      <c r="KT9">
        <v>421</v>
      </c>
      <c r="KU9">
        <v>440</v>
      </c>
      <c r="KV9">
        <v>523</v>
      </c>
      <c r="KW9">
        <f t="shared" si="26"/>
        <v>5838</v>
      </c>
      <c r="KX9">
        <v>5</v>
      </c>
      <c r="KY9">
        <v>8</v>
      </c>
      <c r="KZ9">
        <v>3</v>
      </c>
      <c r="LA9">
        <v>9</v>
      </c>
      <c r="LB9">
        <v>10</v>
      </c>
      <c r="LC9">
        <v>13</v>
      </c>
      <c r="LD9">
        <v>9</v>
      </c>
      <c r="LE9">
        <v>4</v>
      </c>
      <c r="LF9">
        <v>4</v>
      </c>
      <c r="LG9">
        <v>14</v>
      </c>
      <c r="LH9">
        <v>6</v>
      </c>
      <c r="LI9">
        <v>7</v>
      </c>
      <c r="LJ9">
        <f t="shared" si="27"/>
        <v>92</v>
      </c>
      <c r="LK9">
        <v>0</v>
      </c>
      <c r="LL9">
        <v>0</v>
      </c>
      <c r="LM9">
        <v>0</v>
      </c>
      <c r="LN9">
        <v>0</v>
      </c>
      <c r="LO9">
        <v>0</v>
      </c>
      <c r="LP9">
        <v>0</v>
      </c>
      <c r="LQ9">
        <v>0</v>
      </c>
      <c r="LR9">
        <v>0</v>
      </c>
      <c r="LS9">
        <v>0</v>
      </c>
      <c r="LT9">
        <v>0</v>
      </c>
      <c r="LU9">
        <v>0</v>
      </c>
      <c r="LV9">
        <v>0</v>
      </c>
      <c r="LW9">
        <f t="shared" si="28"/>
        <v>0</v>
      </c>
      <c r="LX9">
        <v>487</v>
      </c>
      <c r="LY9">
        <v>532</v>
      </c>
      <c r="LZ9">
        <v>496</v>
      </c>
      <c r="MA9">
        <v>511</v>
      </c>
      <c r="MB9">
        <v>521</v>
      </c>
      <c r="MC9">
        <v>510</v>
      </c>
      <c r="MD9">
        <v>434</v>
      </c>
      <c r="ME9">
        <v>421</v>
      </c>
      <c r="MF9">
        <v>477</v>
      </c>
      <c r="MG9">
        <v>407</v>
      </c>
      <c r="MH9">
        <v>434</v>
      </c>
      <c r="MI9">
        <v>526</v>
      </c>
      <c r="MJ9">
        <f t="shared" si="29"/>
        <v>5756</v>
      </c>
      <c r="MK9">
        <v>3244</v>
      </c>
      <c r="ML9">
        <v>3738</v>
      </c>
      <c r="MM9">
        <v>3643</v>
      </c>
      <c r="MN9">
        <v>3433</v>
      </c>
      <c r="MO9">
        <v>3625</v>
      </c>
      <c r="MP9">
        <v>3503</v>
      </c>
      <c r="MQ9">
        <v>3538</v>
      </c>
      <c r="MR9">
        <v>3441</v>
      </c>
      <c r="MS9">
        <v>3174</v>
      </c>
      <c r="MT9">
        <v>3349</v>
      </c>
      <c r="MU9">
        <v>3299</v>
      </c>
      <c r="MV9">
        <v>3544</v>
      </c>
      <c r="MW9">
        <f t="shared" si="30"/>
        <v>41531</v>
      </c>
      <c r="MX9">
        <v>0</v>
      </c>
      <c r="MY9">
        <v>0</v>
      </c>
      <c r="MZ9">
        <v>0</v>
      </c>
      <c r="NA9">
        <v>0</v>
      </c>
      <c r="NB9">
        <v>0</v>
      </c>
      <c r="NC9">
        <v>0</v>
      </c>
      <c r="ND9">
        <v>0</v>
      </c>
      <c r="NE9">
        <v>0</v>
      </c>
      <c r="NF9">
        <v>0</v>
      </c>
      <c r="NG9">
        <v>0</v>
      </c>
      <c r="NH9">
        <v>0</v>
      </c>
      <c r="NI9">
        <v>0</v>
      </c>
      <c r="NJ9">
        <f t="shared" si="31"/>
        <v>0</v>
      </c>
      <c r="NK9">
        <v>0</v>
      </c>
      <c r="NL9">
        <v>0</v>
      </c>
      <c r="NM9">
        <v>0</v>
      </c>
      <c r="NN9">
        <v>0</v>
      </c>
      <c r="NO9">
        <v>0</v>
      </c>
      <c r="NP9">
        <v>0</v>
      </c>
      <c r="NQ9">
        <v>0</v>
      </c>
      <c r="NR9">
        <v>0</v>
      </c>
      <c r="NS9">
        <v>0</v>
      </c>
      <c r="NT9">
        <v>0</v>
      </c>
      <c r="NU9">
        <v>0</v>
      </c>
      <c r="NV9">
        <v>0</v>
      </c>
      <c r="NW9">
        <f t="shared" si="32"/>
        <v>0</v>
      </c>
      <c r="NX9">
        <v>0</v>
      </c>
      <c r="NY9">
        <v>0</v>
      </c>
      <c r="NZ9">
        <v>0</v>
      </c>
      <c r="OA9">
        <v>0</v>
      </c>
      <c r="OB9">
        <v>0</v>
      </c>
      <c r="OC9">
        <v>0</v>
      </c>
      <c r="OD9">
        <v>0</v>
      </c>
      <c r="OE9">
        <v>0</v>
      </c>
      <c r="OF9">
        <v>0</v>
      </c>
      <c r="OG9">
        <v>0</v>
      </c>
      <c r="OH9">
        <v>0</v>
      </c>
      <c r="OI9">
        <v>0</v>
      </c>
      <c r="OJ9">
        <f t="shared" si="33"/>
        <v>0</v>
      </c>
      <c r="OK9">
        <v>4786</v>
      </c>
      <c r="OL9">
        <v>5164</v>
      </c>
      <c r="OM9">
        <v>5089</v>
      </c>
      <c r="ON9">
        <v>4550</v>
      </c>
      <c r="OO9">
        <v>4736</v>
      </c>
      <c r="OP9">
        <v>0</v>
      </c>
      <c r="OQ9">
        <v>0</v>
      </c>
      <c r="OR9">
        <v>0</v>
      </c>
      <c r="OS9">
        <v>0</v>
      </c>
      <c r="OT9">
        <v>0</v>
      </c>
      <c r="OU9">
        <v>0</v>
      </c>
      <c r="OV9">
        <v>0</v>
      </c>
      <c r="OW9">
        <f t="shared" si="34"/>
        <v>24325</v>
      </c>
      <c r="OX9">
        <v>0</v>
      </c>
      <c r="OY9">
        <v>0</v>
      </c>
      <c r="OZ9">
        <v>0</v>
      </c>
      <c r="PA9">
        <v>0</v>
      </c>
      <c r="PB9">
        <v>0</v>
      </c>
      <c r="PC9">
        <v>0</v>
      </c>
      <c r="PD9">
        <v>0</v>
      </c>
      <c r="PE9">
        <v>0</v>
      </c>
      <c r="PF9">
        <v>0</v>
      </c>
      <c r="PG9">
        <v>0</v>
      </c>
      <c r="PH9">
        <v>0</v>
      </c>
      <c r="PI9">
        <v>0</v>
      </c>
      <c r="PJ9">
        <f t="shared" si="35"/>
        <v>0</v>
      </c>
      <c r="PK9">
        <v>0</v>
      </c>
      <c r="PL9">
        <v>0</v>
      </c>
      <c r="PM9">
        <v>0</v>
      </c>
      <c r="PN9">
        <v>0</v>
      </c>
      <c r="PO9">
        <v>0</v>
      </c>
      <c r="PP9">
        <v>4640</v>
      </c>
      <c r="PQ9">
        <v>4710</v>
      </c>
      <c r="PR9">
        <v>4637</v>
      </c>
      <c r="PS9">
        <v>4773</v>
      </c>
      <c r="PT9">
        <v>4894</v>
      </c>
      <c r="PU9">
        <v>4479</v>
      </c>
      <c r="PV9">
        <v>5064</v>
      </c>
      <c r="PW9">
        <f t="shared" si="36"/>
        <v>33197</v>
      </c>
      <c r="PX9">
        <v>0</v>
      </c>
      <c r="PY9">
        <v>0</v>
      </c>
      <c r="PZ9">
        <v>0</v>
      </c>
      <c r="QA9">
        <v>0</v>
      </c>
      <c r="QB9">
        <v>0</v>
      </c>
      <c r="QC9">
        <v>0</v>
      </c>
      <c r="QD9">
        <v>0</v>
      </c>
      <c r="QE9">
        <v>0</v>
      </c>
      <c r="QF9">
        <v>0</v>
      </c>
      <c r="QG9">
        <v>0</v>
      </c>
      <c r="QH9">
        <v>0</v>
      </c>
      <c r="QI9">
        <v>0</v>
      </c>
      <c r="QJ9">
        <f t="shared" si="37"/>
        <v>0</v>
      </c>
      <c r="QK9">
        <v>63038</v>
      </c>
      <c r="QL9">
        <v>67821</v>
      </c>
      <c r="QM9">
        <v>63748</v>
      </c>
      <c r="QN9">
        <v>73177</v>
      </c>
      <c r="QO9">
        <v>71482</v>
      </c>
      <c r="QP9">
        <v>65557</v>
      </c>
      <c r="QQ9">
        <v>71780</v>
      </c>
      <c r="QR9">
        <v>80103</v>
      </c>
      <c r="QS9">
        <v>59659</v>
      </c>
      <c r="QT9">
        <v>66164</v>
      </c>
      <c r="QU9">
        <v>67235</v>
      </c>
      <c r="QV9">
        <v>69258</v>
      </c>
      <c r="QW9">
        <f t="shared" si="38"/>
        <v>819022</v>
      </c>
      <c r="QX9">
        <v>0</v>
      </c>
      <c r="QY9">
        <v>0</v>
      </c>
      <c r="QZ9">
        <v>0</v>
      </c>
      <c r="RA9">
        <v>0</v>
      </c>
      <c r="RB9">
        <v>0</v>
      </c>
      <c r="RC9">
        <v>0</v>
      </c>
      <c r="RD9">
        <v>0</v>
      </c>
      <c r="RE9">
        <v>0</v>
      </c>
      <c r="RF9">
        <v>0</v>
      </c>
      <c r="RG9">
        <v>0</v>
      </c>
      <c r="RH9">
        <v>0</v>
      </c>
      <c r="RI9">
        <v>0</v>
      </c>
      <c r="RJ9">
        <f t="shared" si="39"/>
        <v>0</v>
      </c>
      <c r="RK9">
        <v>0</v>
      </c>
      <c r="RL9">
        <v>0</v>
      </c>
      <c r="RM9">
        <v>0</v>
      </c>
      <c r="RN9">
        <v>0</v>
      </c>
      <c r="RO9">
        <v>0</v>
      </c>
      <c r="RP9">
        <v>0</v>
      </c>
      <c r="RQ9">
        <v>0</v>
      </c>
      <c r="RR9">
        <v>0</v>
      </c>
      <c r="RS9">
        <v>0</v>
      </c>
      <c r="RT9">
        <v>0</v>
      </c>
      <c r="RU9">
        <v>0</v>
      </c>
      <c r="RV9">
        <v>0</v>
      </c>
      <c r="RW9">
        <f t="shared" si="40"/>
        <v>0</v>
      </c>
      <c r="RX9">
        <v>0</v>
      </c>
      <c r="RY9">
        <v>0</v>
      </c>
      <c r="RZ9">
        <v>0</v>
      </c>
      <c r="SA9">
        <v>0</v>
      </c>
      <c r="SB9">
        <v>0</v>
      </c>
      <c r="SC9">
        <v>0</v>
      </c>
      <c r="SD9">
        <v>0</v>
      </c>
      <c r="SE9">
        <v>0</v>
      </c>
      <c r="SF9">
        <v>0</v>
      </c>
      <c r="SG9">
        <v>0</v>
      </c>
      <c r="SH9">
        <v>0</v>
      </c>
      <c r="SI9">
        <v>0</v>
      </c>
      <c r="SJ9">
        <f t="shared" si="41"/>
        <v>0</v>
      </c>
      <c r="SK9">
        <v>180</v>
      </c>
      <c r="SL9">
        <v>180</v>
      </c>
      <c r="SM9">
        <v>180</v>
      </c>
      <c r="SN9">
        <v>180</v>
      </c>
      <c r="SO9">
        <v>180</v>
      </c>
      <c r="SP9">
        <v>180</v>
      </c>
      <c r="SQ9">
        <v>180</v>
      </c>
      <c r="SR9">
        <v>180</v>
      </c>
      <c r="SS9">
        <v>180</v>
      </c>
      <c r="ST9">
        <v>180</v>
      </c>
      <c r="SU9">
        <v>180</v>
      </c>
      <c r="SV9">
        <v>180</v>
      </c>
      <c r="SW9">
        <f t="shared" si="42"/>
        <v>2160</v>
      </c>
      <c r="SX9" s="1" t="s">
        <v>1400</v>
      </c>
      <c r="SY9">
        <v>4271</v>
      </c>
      <c r="SZ9">
        <v>4776</v>
      </c>
      <c r="TA9">
        <v>4540</v>
      </c>
      <c r="TB9">
        <v>4858</v>
      </c>
      <c r="TC9">
        <v>4200</v>
      </c>
      <c r="TD9">
        <v>4284</v>
      </c>
      <c r="TE9">
        <v>4377</v>
      </c>
      <c r="TF9">
        <v>3728</v>
      </c>
      <c r="TG9">
        <v>3456</v>
      </c>
      <c r="TH9">
        <v>4038</v>
      </c>
      <c r="TI9">
        <v>3928</v>
      </c>
      <c r="TJ9">
        <v>3949</v>
      </c>
      <c r="TK9">
        <f t="shared" si="43"/>
        <v>50405</v>
      </c>
      <c r="TL9">
        <v>0</v>
      </c>
      <c r="TM9">
        <v>0</v>
      </c>
      <c r="TN9">
        <v>0</v>
      </c>
      <c r="TO9">
        <v>0</v>
      </c>
      <c r="TP9">
        <v>0</v>
      </c>
      <c r="TQ9">
        <v>0</v>
      </c>
      <c r="TR9">
        <v>0</v>
      </c>
      <c r="TS9">
        <v>0</v>
      </c>
      <c r="TT9">
        <v>0</v>
      </c>
      <c r="TU9">
        <v>0</v>
      </c>
      <c r="TV9">
        <v>0</v>
      </c>
      <c r="TW9">
        <v>0</v>
      </c>
      <c r="TX9">
        <f t="shared" si="44"/>
        <v>0</v>
      </c>
      <c r="TY9">
        <v>150</v>
      </c>
      <c r="TZ9">
        <v>139</v>
      </c>
      <c r="UA9">
        <v>30</v>
      </c>
      <c r="UB9">
        <v>0</v>
      </c>
    </row>
    <row r="10" spans="1:548" ht="16.5" customHeight="1" x14ac:dyDescent="0.35">
      <c r="A10" t="s">
        <v>1395</v>
      </c>
      <c r="B10" t="s">
        <v>2864</v>
      </c>
      <c r="C10">
        <v>28634</v>
      </c>
      <c r="D10">
        <v>0</v>
      </c>
      <c r="E10">
        <v>0</v>
      </c>
      <c r="F10">
        <v>16945</v>
      </c>
      <c r="G10">
        <v>795</v>
      </c>
      <c r="H10">
        <v>821</v>
      </c>
      <c r="I10">
        <v>840</v>
      </c>
      <c r="J10">
        <v>899</v>
      </c>
      <c r="K10">
        <v>836</v>
      </c>
      <c r="L10">
        <v>786</v>
      </c>
      <c r="M10">
        <v>895</v>
      </c>
      <c r="N10">
        <v>809</v>
      </c>
      <c r="O10">
        <v>753</v>
      </c>
      <c r="P10">
        <v>825</v>
      </c>
      <c r="Q10">
        <v>864</v>
      </c>
      <c r="R10">
        <v>864</v>
      </c>
      <c r="S10">
        <f t="shared" si="0"/>
        <v>9987</v>
      </c>
      <c r="T10">
        <v>0</v>
      </c>
      <c r="U10">
        <v>0</v>
      </c>
      <c r="V10">
        <v>0</v>
      </c>
      <c r="W10">
        <v>0</v>
      </c>
      <c r="X10">
        <v>0</v>
      </c>
      <c r="Y10">
        <v>0</v>
      </c>
      <c r="Z10">
        <v>0</v>
      </c>
      <c r="AA10">
        <v>0</v>
      </c>
      <c r="AB10">
        <v>0</v>
      </c>
      <c r="AC10">
        <v>0</v>
      </c>
      <c r="AD10">
        <v>0</v>
      </c>
      <c r="AE10">
        <v>0</v>
      </c>
      <c r="AF10">
        <f t="shared" si="1"/>
        <v>0</v>
      </c>
      <c r="AG10">
        <v>0</v>
      </c>
      <c r="AH10">
        <v>0</v>
      </c>
      <c r="AI10">
        <v>0</v>
      </c>
      <c r="AJ10">
        <v>0</v>
      </c>
      <c r="AK10">
        <v>0</v>
      </c>
      <c r="AL10">
        <v>0</v>
      </c>
      <c r="AM10">
        <v>0</v>
      </c>
      <c r="AN10">
        <v>0</v>
      </c>
      <c r="AO10">
        <v>0</v>
      </c>
      <c r="AP10">
        <v>0</v>
      </c>
      <c r="AQ10">
        <v>0</v>
      </c>
      <c r="AR10">
        <v>0</v>
      </c>
      <c r="AS10">
        <f t="shared" si="2"/>
        <v>0</v>
      </c>
      <c r="AT10">
        <v>0</v>
      </c>
      <c r="AU10">
        <v>0</v>
      </c>
      <c r="AV10">
        <v>0</v>
      </c>
      <c r="AW10">
        <v>0</v>
      </c>
      <c r="AX10">
        <v>0</v>
      </c>
      <c r="AY10">
        <v>0</v>
      </c>
      <c r="AZ10">
        <v>0</v>
      </c>
      <c r="BA10">
        <v>0</v>
      </c>
      <c r="BB10">
        <v>0</v>
      </c>
      <c r="BC10">
        <v>0</v>
      </c>
      <c r="BD10">
        <v>0</v>
      </c>
      <c r="BE10">
        <v>0</v>
      </c>
      <c r="BF10">
        <f t="shared" si="3"/>
        <v>0</v>
      </c>
      <c r="BG10">
        <v>0</v>
      </c>
      <c r="BH10">
        <v>0</v>
      </c>
      <c r="BI10">
        <v>0</v>
      </c>
      <c r="BJ10">
        <v>0</v>
      </c>
      <c r="BK10">
        <v>0</v>
      </c>
      <c r="BL10">
        <v>0</v>
      </c>
      <c r="BM10">
        <v>0</v>
      </c>
      <c r="BN10">
        <v>0</v>
      </c>
      <c r="BO10">
        <v>0</v>
      </c>
      <c r="BP10">
        <v>0</v>
      </c>
      <c r="BQ10">
        <v>0</v>
      </c>
      <c r="BR10">
        <v>0</v>
      </c>
      <c r="BS10">
        <f t="shared" si="4"/>
        <v>0</v>
      </c>
      <c r="BT10">
        <v>0</v>
      </c>
      <c r="BU10">
        <v>0</v>
      </c>
      <c r="BV10">
        <v>0</v>
      </c>
      <c r="BW10">
        <v>0</v>
      </c>
      <c r="BX10">
        <v>0</v>
      </c>
      <c r="BY10">
        <v>0</v>
      </c>
      <c r="BZ10">
        <v>0</v>
      </c>
      <c r="CA10">
        <v>0</v>
      </c>
      <c r="CB10">
        <v>0</v>
      </c>
      <c r="CC10">
        <v>0</v>
      </c>
      <c r="CD10">
        <v>0</v>
      </c>
      <c r="CE10">
        <v>0</v>
      </c>
      <c r="CF10">
        <f t="shared" si="5"/>
        <v>0</v>
      </c>
      <c r="CG10">
        <v>0</v>
      </c>
      <c r="CH10">
        <v>0</v>
      </c>
      <c r="CI10">
        <v>0</v>
      </c>
      <c r="CJ10">
        <v>0</v>
      </c>
      <c r="CK10">
        <v>0</v>
      </c>
      <c r="CL10">
        <v>0</v>
      </c>
      <c r="CM10">
        <v>0</v>
      </c>
      <c r="CN10">
        <v>0</v>
      </c>
      <c r="CO10">
        <v>0</v>
      </c>
      <c r="CP10">
        <v>0</v>
      </c>
      <c r="CQ10">
        <v>0</v>
      </c>
      <c r="CR10">
        <v>0</v>
      </c>
      <c r="CS10">
        <f t="shared" si="6"/>
        <v>0</v>
      </c>
      <c r="CT10">
        <v>0</v>
      </c>
      <c r="CU10">
        <v>0</v>
      </c>
      <c r="CV10">
        <v>0</v>
      </c>
      <c r="CW10">
        <v>0</v>
      </c>
      <c r="CX10">
        <v>0</v>
      </c>
      <c r="CY10">
        <v>0</v>
      </c>
      <c r="CZ10">
        <v>0</v>
      </c>
      <c r="DA10">
        <v>0</v>
      </c>
      <c r="DB10">
        <v>0</v>
      </c>
      <c r="DC10">
        <v>0</v>
      </c>
      <c r="DD10">
        <v>0</v>
      </c>
      <c r="DE10">
        <v>0</v>
      </c>
      <c r="DF10">
        <f t="shared" si="7"/>
        <v>0</v>
      </c>
      <c r="DG10">
        <v>0</v>
      </c>
      <c r="DH10">
        <v>0</v>
      </c>
      <c r="DI10">
        <v>0</v>
      </c>
      <c r="DJ10">
        <v>0</v>
      </c>
      <c r="DK10">
        <v>0</v>
      </c>
      <c r="DL10">
        <v>0</v>
      </c>
      <c r="DM10">
        <v>0</v>
      </c>
      <c r="DN10">
        <v>0</v>
      </c>
      <c r="DO10">
        <v>0</v>
      </c>
      <c r="DP10">
        <v>0</v>
      </c>
      <c r="DQ10">
        <v>0</v>
      </c>
      <c r="DR10">
        <v>0</v>
      </c>
      <c r="DS10">
        <f t="shared" si="8"/>
        <v>0</v>
      </c>
      <c r="DT10">
        <v>0</v>
      </c>
      <c r="DU10">
        <v>0</v>
      </c>
      <c r="DV10">
        <v>0</v>
      </c>
      <c r="DW10">
        <v>0</v>
      </c>
      <c r="DX10">
        <v>0</v>
      </c>
      <c r="DY10">
        <v>0</v>
      </c>
      <c r="DZ10">
        <v>0</v>
      </c>
      <c r="EA10">
        <v>0</v>
      </c>
      <c r="EB10">
        <v>0</v>
      </c>
      <c r="EC10">
        <v>0</v>
      </c>
      <c r="ED10">
        <v>0</v>
      </c>
      <c r="EE10">
        <v>0</v>
      </c>
      <c r="EF10">
        <f t="shared" si="9"/>
        <v>0</v>
      </c>
      <c r="EG10">
        <f t="shared" si="10"/>
        <v>0</v>
      </c>
      <c r="EH10">
        <f t="shared" si="11"/>
        <v>0</v>
      </c>
      <c r="EI10">
        <v>8571</v>
      </c>
      <c r="EJ10">
        <v>8724</v>
      </c>
      <c r="EK10">
        <v>10315</v>
      </c>
      <c r="EL10">
        <v>12053</v>
      </c>
      <c r="EM10">
        <v>13282</v>
      </c>
      <c r="EN10">
        <v>9935</v>
      </c>
      <c r="EO10">
        <v>12022</v>
      </c>
      <c r="EP10">
        <v>9877</v>
      </c>
      <c r="EQ10">
        <v>8980</v>
      </c>
      <c r="ER10">
        <v>10250</v>
      </c>
      <c r="ES10">
        <v>13712</v>
      </c>
      <c r="ET10">
        <v>12066</v>
      </c>
      <c r="EU10">
        <f t="shared" si="12"/>
        <v>129787</v>
      </c>
      <c r="EV10">
        <v>4468</v>
      </c>
      <c r="EW10">
        <v>4338</v>
      </c>
      <c r="EX10">
        <v>5621</v>
      </c>
      <c r="EY10">
        <v>6591</v>
      </c>
      <c r="EZ10">
        <v>7310</v>
      </c>
      <c r="FA10">
        <v>4440</v>
      </c>
      <c r="FB10">
        <v>5835</v>
      </c>
      <c r="FC10">
        <v>4268</v>
      </c>
      <c r="FD10">
        <v>4091</v>
      </c>
      <c r="FE10">
        <v>4323</v>
      </c>
      <c r="FF10">
        <v>6735</v>
      </c>
      <c r="FG10">
        <v>5615</v>
      </c>
      <c r="FH10">
        <f t="shared" si="13"/>
        <v>63635</v>
      </c>
      <c r="FI10">
        <v>36</v>
      </c>
      <c r="FJ10">
        <v>17</v>
      </c>
      <c r="FK10">
        <v>47</v>
      </c>
      <c r="FL10">
        <v>37</v>
      </c>
      <c r="FM10">
        <v>95</v>
      </c>
      <c r="FN10">
        <v>91</v>
      </c>
      <c r="FO10">
        <v>91</v>
      </c>
      <c r="FP10">
        <v>113</v>
      </c>
      <c r="FQ10">
        <v>91</v>
      </c>
      <c r="FR10">
        <v>110</v>
      </c>
      <c r="FS10">
        <v>242</v>
      </c>
      <c r="FT10">
        <v>221</v>
      </c>
      <c r="FU10">
        <f t="shared" si="14"/>
        <v>1191</v>
      </c>
      <c r="FV10">
        <v>4067</v>
      </c>
      <c r="FW10">
        <v>4363</v>
      </c>
      <c r="FX10">
        <v>4647</v>
      </c>
      <c r="FY10">
        <v>5391</v>
      </c>
      <c r="FZ10">
        <v>5877</v>
      </c>
      <c r="GA10">
        <v>5404</v>
      </c>
      <c r="GB10">
        <v>6096</v>
      </c>
      <c r="GC10">
        <v>5496</v>
      </c>
      <c r="GD10">
        <v>4776</v>
      </c>
      <c r="GE10">
        <v>5817</v>
      </c>
      <c r="GF10">
        <v>6735</v>
      </c>
      <c r="GG10">
        <v>6230</v>
      </c>
      <c r="GH10">
        <f t="shared" si="15"/>
        <v>64899</v>
      </c>
      <c r="GI10">
        <v>0</v>
      </c>
      <c r="GJ10">
        <v>3</v>
      </c>
      <c r="GK10">
        <v>0</v>
      </c>
      <c r="GL10">
        <v>34</v>
      </c>
      <c r="GM10">
        <v>0</v>
      </c>
      <c r="GN10">
        <v>0</v>
      </c>
      <c r="GO10">
        <v>0</v>
      </c>
      <c r="GP10">
        <v>0</v>
      </c>
      <c r="GQ10">
        <v>22</v>
      </c>
      <c r="GR10">
        <v>0</v>
      </c>
      <c r="GS10">
        <v>0</v>
      </c>
      <c r="GT10">
        <v>0</v>
      </c>
      <c r="GU10">
        <f t="shared" si="16"/>
        <v>59</v>
      </c>
      <c r="GV10">
        <v>0</v>
      </c>
      <c r="GW10">
        <v>0</v>
      </c>
      <c r="GX10">
        <v>0</v>
      </c>
      <c r="GY10">
        <v>0</v>
      </c>
      <c r="GZ10">
        <v>0</v>
      </c>
      <c r="HA10">
        <v>0</v>
      </c>
      <c r="HB10">
        <v>0</v>
      </c>
      <c r="HC10">
        <v>0</v>
      </c>
      <c r="HD10">
        <v>10</v>
      </c>
      <c r="HE10">
        <v>0</v>
      </c>
      <c r="HF10">
        <v>0</v>
      </c>
      <c r="HG10">
        <v>0</v>
      </c>
      <c r="HH10">
        <f t="shared" si="17"/>
        <v>10</v>
      </c>
      <c r="HI10">
        <v>0</v>
      </c>
      <c r="HJ10">
        <v>1</v>
      </c>
      <c r="HK10">
        <v>0</v>
      </c>
      <c r="HL10">
        <v>0</v>
      </c>
      <c r="HM10">
        <v>0</v>
      </c>
      <c r="HN10">
        <v>0</v>
      </c>
      <c r="HO10">
        <v>0</v>
      </c>
      <c r="HP10">
        <v>0</v>
      </c>
      <c r="HQ10">
        <v>0</v>
      </c>
      <c r="HR10">
        <v>0</v>
      </c>
      <c r="HS10">
        <v>0</v>
      </c>
      <c r="HT10">
        <v>0</v>
      </c>
      <c r="HU10">
        <f t="shared" si="18"/>
        <v>1</v>
      </c>
      <c r="HV10">
        <v>0</v>
      </c>
      <c r="HW10">
        <v>2</v>
      </c>
      <c r="HX10">
        <v>0</v>
      </c>
      <c r="HY10">
        <v>34</v>
      </c>
      <c r="HZ10">
        <v>0</v>
      </c>
      <c r="IA10">
        <v>0</v>
      </c>
      <c r="IB10">
        <v>0</v>
      </c>
      <c r="IC10">
        <v>0</v>
      </c>
      <c r="ID10">
        <v>12</v>
      </c>
      <c r="IE10">
        <v>0</v>
      </c>
      <c r="IF10">
        <v>0</v>
      </c>
      <c r="IG10">
        <v>0</v>
      </c>
      <c r="IH10">
        <f t="shared" si="19"/>
        <v>48</v>
      </c>
      <c r="II10">
        <f t="shared" si="20"/>
        <v>129725</v>
      </c>
      <c r="IJ10">
        <f t="shared" si="21"/>
        <v>59</v>
      </c>
      <c r="IK10">
        <v>64543</v>
      </c>
      <c r="IL10">
        <v>65462</v>
      </c>
      <c r="IM10">
        <v>60583</v>
      </c>
      <c r="IN10">
        <v>77883</v>
      </c>
      <c r="IO10">
        <v>78964</v>
      </c>
      <c r="IP10">
        <v>70837</v>
      </c>
      <c r="IQ10">
        <v>72524</v>
      </c>
      <c r="IR10">
        <v>64892</v>
      </c>
      <c r="IS10">
        <v>58195</v>
      </c>
      <c r="IT10">
        <v>64744</v>
      </c>
      <c r="IU10">
        <v>62412</v>
      </c>
      <c r="IV10">
        <v>64634</v>
      </c>
      <c r="IW10">
        <f t="shared" si="22"/>
        <v>805673</v>
      </c>
      <c r="IX10">
        <v>25063</v>
      </c>
      <c r="IY10">
        <v>25703</v>
      </c>
      <c r="IZ10">
        <v>22182</v>
      </c>
      <c r="JA10">
        <v>36129</v>
      </c>
      <c r="JB10">
        <v>36705</v>
      </c>
      <c r="JC10">
        <v>30018</v>
      </c>
      <c r="JD10">
        <v>30349</v>
      </c>
      <c r="JE10">
        <v>26307</v>
      </c>
      <c r="JF10">
        <v>22186</v>
      </c>
      <c r="JG10">
        <v>26356</v>
      </c>
      <c r="JH10">
        <v>26500</v>
      </c>
      <c r="JI10">
        <v>27068</v>
      </c>
      <c r="JJ10">
        <f t="shared" si="23"/>
        <v>334566</v>
      </c>
      <c r="JK10">
        <v>1316</v>
      </c>
      <c r="JL10">
        <v>1164</v>
      </c>
      <c r="JM10">
        <v>1206</v>
      </c>
      <c r="JN10">
        <v>1563</v>
      </c>
      <c r="JO10">
        <v>1738</v>
      </c>
      <c r="JP10">
        <v>1378</v>
      </c>
      <c r="JQ10">
        <v>1364</v>
      </c>
      <c r="JR10">
        <v>1114</v>
      </c>
      <c r="JS10">
        <v>1140</v>
      </c>
      <c r="JT10">
        <v>1240</v>
      </c>
      <c r="JU10">
        <v>1074</v>
      </c>
      <c r="JV10">
        <v>1223</v>
      </c>
      <c r="JW10">
        <f t="shared" si="24"/>
        <v>15520</v>
      </c>
      <c r="JX10">
        <v>38164</v>
      </c>
      <c r="JY10">
        <v>38595</v>
      </c>
      <c r="JZ10">
        <v>37195</v>
      </c>
      <c r="KA10">
        <v>40191</v>
      </c>
      <c r="KB10">
        <v>40521</v>
      </c>
      <c r="KC10">
        <v>37441</v>
      </c>
      <c r="KD10">
        <v>40811</v>
      </c>
      <c r="KE10">
        <v>37471</v>
      </c>
      <c r="KF10">
        <v>34869</v>
      </c>
      <c r="KG10">
        <v>37148</v>
      </c>
      <c r="KH10">
        <v>34838</v>
      </c>
      <c r="KI10">
        <v>36343</v>
      </c>
      <c r="KJ10">
        <f t="shared" si="25"/>
        <v>453587</v>
      </c>
      <c r="KK10">
        <v>945</v>
      </c>
      <c r="KL10">
        <v>933</v>
      </c>
      <c r="KM10">
        <v>967</v>
      </c>
      <c r="KN10">
        <v>980</v>
      </c>
      <c r="KO10">
        <v>999</v>
      </c>
      <c r="KP10">
        <v>912</v>
      </c>
      <c r="KQ10">
        <v>1010</v>
      </c>
      <c r="KR10">
        <v>988</v>
      </c>
      <c r="KS10">
        <v>873</v>
      </c>
      <c r="KT10">
        <v>967</v>
      </c>
      <c r="KU10">
        <v>893</v>
      </c>
      <c r="KV10">
        <v>971</v>
      </c>
      <c r="KW10">
        <f t="shared" si="26"/>
        <v>11438</v>
      </c>
      <c r="KX10">
        <v>81</v>
      </c>
      <c r="KY10">
        <v>85</v>
      </c>
      <c r="KZ10">
        <v>86</v>
      </c>
      <c r="LA10">
        <v>98</v>
      </c>
      <c r="LB10">
        <v>97</v>
      </c>
      <c r="LC10">
        <v>76</v>
      </c>
      <c r="LD10">
        <v>99</v>
      </c>
      <c r="LE10">
        <v>80</v>
      </c>
      <c r="LF10">
        <v>85</v>
      </c>
      <c r="LG10">
        <v>62</v>
      </c>
      <c r="LH10">
        <v>52</v>
      </c>
      <c r="LI10">
        <v>74</v>
      </c>
      <c r="LJ10">
        <f t="shared" si="27"/>
        <v>975</v>
      </c>
      <c r="LK10">
        <v>0</v>
      </c>
      <c r="LL10">
        <v>0</v>
      </c>
      <c r="LM10">
        <v>0</v>
      </c>
      <c r="LN10">
        <v>0</v>
      </c>
      <c r="LO10">
        <v>0</v>
      </c>
      <c r="LP10">
        <v>0</v>
      </c>
      <c r="LQ10">
        <v>0</v>
      </c>
      <c r="LR10">
        <v>0</v>
      </c>
      <c r="LS10">
        <v>0</v>
      </c>
      <c r="LT10">
        <v>0</v>
      </c>
      <c r="LU10">
        <v>0</v>
      </c>
      <c r="LV10">
        <v>0</v>
      </c>
      <c r="LW10">
        <f t="shared" si="28"/>
        <v>0</v>
      </c>
      <c r="LX10">
        <v>864</v>
      </c>
      <c r="LY10">
        <v>848</v>
      </c>
      <c r="LZ10">
        <v>881</v>
      </c>
      <c r="MA10">
        <v>882</v>
      </c>
      <c r="MB10">
        <v>902</v>
      </c>
      <c r="MC10">
        <v>836</v>
      </c>
      <c r="MD10">
        <v>911</v>
      </c>
      <c r="ME10">
        <v>908</v>
      </c>
      <c r="MF10">
        <v>788</v>
      </c>
      <c r="MG10">
        <v>905</v>
      </c>
      <c r="MH10">
        <v>841</v>
      </c>
      <c r="MI10">
        <v>897</v>
      </c>
      <c r="MJ10">
        <f t="shared" si="29"/>
        <v>10463</v>
      </c>
      <c r="MK10">
        <v>4413</v>
      </c>
      <c r="ML10">
        <v>1252</v>
      </c>
      <c r="MM10">
        <v>4429</v>
      </c>
      <c r="MN10">
        <v>4591</v>
      </c>
      <c r="MO10">
        <v>4969</v>
      </c>
      <c r="MP10">
        <v>4704</v>
      </c>
      <c r="MQ10">
        <v>4738</v>
      </c>
      <c r="MR10">
        <v>4443</v>
      </c>
      <c r="MS10">
        <v>4578</v>
      </c>
      <c r="MT10">
        <v>4592</v>
      </c>
      <c r="MU10">
        <v>4117</v>
      </c>
      <c r="MV10">
        <v>4668</v>
      </c>
      <c r="MW10">
        <f t="shared" si="30"/>
        <v>51494</v>
      </c>
      <c r="MX10">
        <v>388</v>
      </c>
      <c r="MY10">
        <v>306</v>
      </c>
      <c r="MZ10">
        <v>264</v>
      </c>
      <c r="NA10">
        <v>320</v>
      </c>
      <c r="NB10">
        <v>421</v>
      </c>
      <c r="NC10">
        <v>334</v>
      </c>
      <c r="ND10">
        <v>375</v>
      </c>
      <c r="NE10">
        <v>379</v>
      </c>
      <c r="NF10">
        <v>354</v>
      </c>
      <c r="NG10">
        <v>353</v>
      </c>
      <c r="NH10">
        <v>285</v>
      </c>
      <c r="NI10">
        <v>346</v>
      </c>
      <c r="NJ10">
        <f t="shared" si="31"/>
        <v>4125</v>
      </c>
      <c r="NK10">
        <v>178</v>
      </c>
      <c r="NL10">
        <v>150</v>
      </c>
      <c r="NM10">
        <v>156</v>
      </c>
      <c r="NN10">
        <v>188</v>
      </c>
      <c r="NO10">
        <v>209</v>
      </c>
      <c r="NP10">
        <v>202</v>
      </c>
      <c r="NQ10">
        <v>173</v>
      </c>
      <c r="NR10">
        <v>103</v>
      </c>
      <c r="NS10">
        <v>154</v>
      </c>
      <c r="NT10">
        <v>136</v>
      </c>
      <c r="NU10">
        <v>148</v>
      </c>
      <c r="NV10">
        <v>188</v>
      </c>
      <c r="NW10">
        <f t="shared" si="32"/>
        <v>1985</v>
      </c>
      <c r="NX10">
        <v>3847</v>
      </c>
      <c r="NY10">
        <v>3796</v>
      </c>
      <c r="NZ10">
        <v>4009</v>
      </c>
      <c r="OA10">
        <v>4083</v>
      </c>
      <c r="OB10">
        <v>4339</v>
      </c>
      <c r="OC10">
        <v>4168</v>
      </c>
      <c r="OD10">
        <v>4190</v>
      </c>
      <c r="OE10">
        <v>3961</v>
      </c>
      <c r="OF10">
        <v>4070</v>
      </c>
      <c r="OG10">
        <v>44103</v>
      </c>
      <c r="OH10">
        <v>3684</v>
      </c>
      <c r="OI10">
        <v>4134</v>
      </c>
      <c r="OJ10">
        <f t="shared" si="33"/>
        <v>88384</v>
      </c>
      <c r="OK10">
        <v>14968</v>
      </c>
      <c r="OL10">
        <v>14779</v>
      </c>
      <c r="OM10">
        <v>11989</v>
      </c>
      <c r="ON10">
        <v>15022</v>
      </c>
      <c r="OO10">
        <v>15704</v>
      </c>
      <c r="OP10">
        <v>15365</v>
      </c>
      <c r="OQ10">
        <v>13373</v>
      </c>
      <c r="OR10">
        <v>15473</v>
      </c>
      <c r="OS10">
        <v>15388</v>
      </c>
      <c r="OT10">
        <v>15690</v>
      </c>
      <c r="OU10">
        <v>15072</v>
      </c>
      <c r="OV10">
        <v>16871</v>
      </c>
      <c r="OW10">
        <f t="shared" si="34"/>
        <v>179694</v>
      </c>
      <c r="OX10">
        <v>1374</v>
      </c>
      <c r="OY10">
        <v>1391</v>
      </c>
      <c r="OZ10">
        <v>1343</v>
      </c>
      <c r="PA10">
        <v>1525</v>
      </c>
      <c r="PB10">
        <v>1684</v>
      </c>
      <c r="PC10">
        <v>1370</v>
      </c>
      <c r="PD10">
        <v>1433</v>
      </c>
      <c r="PE10">
        <v>1506</v>
      </c>
      <c r="PF10">
        <v>1596</v>
      </c>
      <c r="PG10">
        <v>1498</v>
      </c>
      <c r="PH10">
        <v>1624</v>
      </c>
      <c r="PI10">
        <v>1887</v>
      </c>
      <c r="PJ10">
        <f t="shared" si="35"/>
        <v>18231</v>
      </c>
      <c r="PK10">
        <v>618</v>
      </c>
      <c r="PL10">
        <v>525</v>
      </c>
      <c r="PM10">
        <v>507</v>
      </c>
      <c r="PN10">
        <v>484</v>
      </c>
      <c r="PO10">
        <v>612</v>
      </c>
      <c r="PP10">
        <v>604</v>
      </c>
      <c r="PQ10">
        <v>635</v>
      </c>
      <c r="PR10">
        <v>605</v>
      </c>
      <c r="PS10">
        <v>658</v>
      </c>
      <c r="PT10">
        <v>644</v>
      </c>
      <c r="PU10">
        <v>553</v>
      </c>
      <c r="PV10">
        <v>556</v>
      </c>
      <c r="PW10">
        <f t="shared" si="36"/>
        <v>7001</v>
      </c>
      <c r="PX10">
        <v>12976</v>
      </c>
      <c r="PY10">
        <v>12863</v>
      </c>
      <c r="PZ10">
        <v>10139</v>
      </c>
      <c r="QA10">
        <v>13013</v>
      </c>
      <c r="QB10">
        <v>13408</v>
      </c>
      <c r="QC10">
        <v>13391</v>
      </c>
      <c r="QD10">
        <v>11305</v>
      </c>
      <c r="QE10">
        <v>13362</v>
      </c>
      <c r="QF10">
        <v>13134</v>
      </c>
      <c r="QG10">
        <v>13548</v>
      </c>
      <c r="QH10">
        <v>12895</v>
      </c>
      <c r="QI10">
        <v>14428</v>
      </c>
      <c r="QJ10">
        <f t="shared" si="37"/>
        <v>154462</v>
      </c>
      <c r="QK10">
        <v>65088</v>
      </c>
      <c r="QL10">
        <v>67515</v>
      </c>
      <c r="QM10">
        <v>63832</v>
      </c>
      <c r="QN10">
        <v>74346</v>
      </c>
      <c r="QO10">
        <v>72041</v>
      </c>
      <c r="QP10">
        <v>72338</v>
      </c>
      <c r="QQ10">
        <v>71723</v>
      </c>
      <c r="QR10">
        <v>62579</v>
      </c>
      <c r="QS10">
        <v>54917</v>
      </c>
      <c r="QT10">
        <v>63013</v>
      </c>
      <c r="QU10">
        <v>59912</v>
      </c>
      <c r="QV10">
        <v>68263</v>
      </c>
      <c r="QW10">
        <f t="shared" si="38"/>
        <v>795567</v>
      </c>
      <c r="QX10">
        <v>24836</v>
      </c>
      <c r="QY10">
        <v>20512</v>
      </c>
      <c r="QZ10">
        <v>21072</v>
      </c>
      <c r="RA10">
        <v>21864</v>
      </c>
      <c r="RB10">
        <v>21132</v>
      </c>
      <c r="RC10">
        <v>22427</v>
      </c>
      <c r="RD10">
        <v>22288</v>
      </c>
      <c r="RE10">
        <v>21335</v>
      </c>
      <c r="RF10">
        <v>18571</v>
      </c>
      <c r="RG10">
        <v>20824</v>
      </c>
      <c r="RH10">
        <v>21592</v>
      </c>
      <c r="RI10">
        <v>21679</v>
      </c>
      <c r="RJ10">
        <f t="shared" si="39"/>
        <v>258132</v>
      </c>
      <c r="RK10">
        <v>0</v>
      </c>
      <c r="RL10">
        <v>0</v>
      </c>
      <c r="RM10">
        <v>0</v>
      </c>
      <c r="RN10">
        <v>0</v>
      </c>
      <c r="RO10">
        <v>0</v>
      </c>
      <c r="RP10">
        <v>0</v>
      </c>
      <c r="RQ10">
        <v>0</v>
      </c>
      <c r="RR10">
        <v>0</v>
      </c>
      <c r="RS10">
        <v>0</v>
      </c>
      <c r="RT10">
        <v>0</v>
      </c>
      <c r="RU10">
        <v>0</v>
      </c>
      <c r="RV10">
        <v>0</v>
      </c>
      <c r="RW10">
        <f t="shared" si="40"/>
        <v>0</v>
      </c>
      <c r="RX10">
        <v>0</v>
      </c>
      <c r="RY10">
        <v>0</v>
      </c>
      <c r="RZ10">
        <v>0</v>
      </c>
      <c r="SA10">
        <v>0</v>
      </c>
      <c r="SB10">
        <v>0</v>
      </c>
      <c r="SC10">
        <v>0</v>
      </c>
      <c r="SD10">
        <v>0</v>
      </c>
      <c r="SE10">
        <v>0</v>
      </c>
      <c r="SF10">
        <v>0</v>
      </c>
      <c r="SG10">
        <v>0</v>
      </c>
      <c r="SH10">
        <v>0</v>
      </c>
      <c r="SI10">
        <v>0</v>
      </c>
      <c r="SJ10">
        <f t="shared" si="41"/>
        <v>0</v>
      </c>
      <c r="SK10">
        <v>397</v>
      </c>
      <c r="SL10">
        <v>402</v>
      </c>
      <c r="SM10">
        <v>395</v>
      </c>
      <c r="SN10">
        <v>393</v>
      </c>
      <c r="SO10">
        <v>378</v>
      </c>
      <c r="SP10">
        <v>385</v>
      </c>
      <c r="SQ10">
        <v>365</v>
      </c>
      <c r="SR10">
        <v>379</v>
      </c>
      <c r="SS10">
        <v>381</v>
      </c>
      <c r="ST10">
        <v>365</v>
      </c>
      <c r="SU10">
        <v>357</v>
      </c>
      <c r="SV10">
        <v>347</v>
      </c>
      <c r="SW10">
        <f t="shared" si="42"/>
        <v>4544</v>
      </c>
      <c r="SX10" t="s">
        <v>1396</v>
      </c>
      <c r="SY10">
        <v>6293</v>
      </c>
      <c r="SZ10">
        <v>6481</v>
      </c>
      <c r="TA10">
        <v>9428</v>
      </c>
      <c r="TB10">
        <v>9778</v>
      </c>
      <c r="TC10">
        <v>9305</v>
      </c>
      <c r="TD10">
        <v>6871</v>
      </c>
      <c r="TE10">
        <v>3968</v>
      </c>
      <c r="TF10">
        <v>6447</v>
      </c>
      <c r="TG10">
        <v>5758</v>
      </c>
      <c r="TH10">
        <v>6810</v>
      </c>
      <c r="TI10">
        <v>6300</v>
      </c>
      <c r="TJ10">
        <v>6349</v>
      </c>
      <c r="TK10">
        <f t="shared" si="43"/>
        <v>83788</v>
      </c>
      <c r="TL10">
        <v>0</v>
      </c>
      <c r="TM10">
        <v>0</v>
      </c>
      <c r="TN10">
        <v>0</v>
      </c>
      <c r="TO10">
        <v>0</v>
      </c>
      <c r="TP10">
        <v>0</v>
      </c>
      <c r="TQ10">
        <v>0</v>
      </c>
      <c r="TR10">
        <v>0</v>
      </c>
      <c r="TS10">
        <v>0</v>
      </c>
      <c r="TT10">
        <v>0</v>
      </c>
      <c r="TU10">
        <v>0</v>
      </c>
      <c r="TV10">
        <v>0</v>
      </c>
      <c r="TW10">
        <v>0</v>
      </c>
      <c r="TX10">
        <f t="shared" si="44"/>
        <v>0</v>
      </c>
      <c r="TY10">
        <v>161</v>
      </c>
      <c r="TZ10">
        <v>0</v>
      </c>
      <c r="UA10">
        <v>0</v>
      </c>
      <c r="UB10">
        <v>0</v>
      </c>
    </row>
    <row r="11" spans="1:548" ht="16.5" customHeight="1" x14ac:dyDescent="0.35">
      <c r="A11" t="s">
        <v>1514</v>
      </c>
      <c r="B11" t="s">
        <v>2865</v>
      </c>
      <c r="C11">
        <v>34816</v>
      </c>
      <c r="D11">
        <v>0</v>
      </c>
      <c r="E11">
        <v>0</v>
      </c>
      <c r="F11">
        <v>21737</v>
      </c>
      <c r="G11">
        <v>457</v>
      </c>
      <c r="H11">
        <v>636</v>
      </c>
      <c r="I11">
        <v>515</v>
      </c>
      <c r="J11">
        <v>499</v>
      </c>
      <c r="K11">
        <v>461</v>
      </c>
      <c r="L11">
        <v>510</v>
      </c>
      <c r="M11">
        <v>652</v>
      </c>
      <c r="N11">
        <v>594</v>
      </c>
      <c r="O11">
        <v>347</v>
      </c>
      <c r="P11">
        <v>563</v>
      </c>
      <c r="Q11">
        <v>565</v>
      </c>
      <c r="R11">
        <v>561</v>
      </c>
      <c r="S11">
        <f t="shared" si="0"/>
        <v>6360</v>
      </c>
      <c r="T11">
        <v>235</v>
      </c>
      <c r="U11">
        <v>275</v>
      </c>
      <c r="V11">
        <v>274</v>
      </c>
      <c r="W11">
        <v>269</v>
      </c>
      <c r="X11">
        <v>256</v>
      </c>
      <c r="Y11">
        <v>251</v>
      </c>
      <c r="Z11">
        <v>351</v>
      </c>
      <c r="AA11">
        <v>327</v>
      </c>
      <c r="AB11">
        <v>239</v>
      </c>
      <c r="AC11">
        <v>300</v>
      </c>
      <c r="AD11">
        <v>303</v>
      </c>
      <c r="AE11">
        <v>300</v>
      </c>
      <c r="AF11">
        <f t="shared" si="1"/>
        <v>3380</v>
      </c>
      <c r="AG11">
        <v>0</v>
      </c>
      <c r="AH11">
        <v>0</v>
      </c>
      <c r="AI11">
        <v>0</v>
      </c>
      <c r="AJ11">
        <v>0</v>
      </c>
      <c r="AK11">
        <v>0</v>
      </c>
      <c r="AL11">
        <v>0</v>
      </c>
      <c r="AM11">
        <v>0</v>
      </c>
      <c r="AN11">
        <v>0</v>
      </c>
      <c r="AO11">
        <v>0</v>
      </c>
      <c r="AP11">
        <v>0</v>
      </c>
      <c r="AQ11">
        <v>0</v>
      </c>
      <c r="AR11">
        <v>0</v>
      </c>
      <c r="AS11">
        <f t="shared" si="2"/>
        <v>0</v>
      </c>
      <c r="AT11">
        <v>222</v>
      </c>
      <c r="AU11">
        <v>361</v>
      </c>
      <c r="AV11">
        <v>241</v>
      </c>
      <c r="AW11">
        <v>230</v>
      </c>
      <c r="AX11">
        <v>205</v>
      </c>
      <c r="AY11">
        <v>259</v>
      </c>
      <c r="AZ11">
        <v>301</v>
      </c>
      <c r="BA11">
        <v>267</v>
      </c>
      <c r="BB11">
        <v>108</v>
      </c>
      <c r="BC11">
        <v>263</v>
      </c>
      <c r="BD11">
        <v>262</v>
      </c>
      <c r="BE11">
        <v>261</v>
      </c>
      <c r="BF11">
        <f t="shared" si="3"/>
        <v>2980</v>
      </c>
      <c r="BG11">
        <v>0</v>
      </c>
      <c r="BH11">
        <v>0</v>
      </c>
      <c r="BI11">
        <v>0</v>
      </c>
      <c r="BJ11">
        <v>0</v>
      </c>
      <c r="BK11">
        <v>0</v>
      </c>
      <c r="BL11">
        <v>0</v>
      </c>
      <c r="BM11">
        <v>0</v>
      </c>
      <c r="BN11">
        <v>0</v>
      </c>
      <c r="BO11">
        <v>0</v>
      </c>
      <c r="BP11">
        <v>0</v>
      </c>
      <c r="BQ11">
        <v>0</v>
      </c>
      <c r="BR11">
        <v>0</v>
      </c>
      <c r="BS11">
        <f t="shared" si="4"/>
        <v>0</v>
      </c>
      <c r="BT11">
        <v>0</v>
      </c>
      <c r="BU11">
        <v>0</v>
      </c>
      <c r="BV11">
        <v>0</v>
      </c>
      <c r="BW11">
        <v>0</v>
      </c>
      <c r="BX11">
        <v>0</v>
      </c>
      <c r="BY11">
        <v>0</v>
      </c>
      <c r="BZ11">
        <v>0</v>
      </c>
      <c r="CA11">
        <v>0</v>
      </c>
      <c r="CB11">
        <v>0</v>
      </c>
      <c r="CC11">
        <v>0</v>
      </c>
      <c r="CD11">
        <v>0</v>
      </c>
      <c r="CE11">
        <v>0</v>
      </c>
      <c r="CF11">
        <f t="shared" si="5"/>
        <v>0</v>
      </c>
      <c r="CG11">
        <v>0</v>
      </c>
      <c r="CH11">
        <v>0</v>
      </c>
      <c r="CI11">
        <v>0</v>
      </c>
      <c r="CJ11">
        <v>0</v>
      </c>
      <c r="CK11">
        <v>0</v>
      </c>
      <c r="CL11">
        <v>0</v>
      </c>
      <c r="CM11">
        <v>0</v>
      </c>
      <c r="CN11">
        <v>0</v>
      </c>
      <c r="CO11">
        <v>0</v>
      </c>
      <c r="CP11">
        <v>0</v>
      </c>
      <c r="CQ11">
        <v>0</v>
      </c>
      <c r="CR11">
        <v>0</v>
      </c>
      <c r="CS11">
        <f t="shared" si="6"/>
        <v>0</v>
      </c>
      <c r="CT11">
        <v>0</v>
      </c>
      <c r="CU11">
        <v>0</v>
      </c>
      <c r="CV11">
        <v>0</v>
      </c>
      <c r="CW11">
        <v>0</v>
      </c>
      <c r="CX11">
        <v>0</v>
      </c>
      <c r="CY11">
        <v>0</v>
      </c>
      <c r="CZ11">
        <v>0</v>
      </c>
      <c r="DA11">
        <v>0</v>
      </c>
      <c r="DB11">
        <v>0</v>
      </c>
      <c r="DC11">
        <v>0</v>
      </c>
      <c r="DD11">
        <v>0</v>
      </c>
      <c r="DE11">
        <v>0</v>
      </c>
      <c r="DF11">
        <f t="shared" si="7"/>
        <v>0</v>
      </c>
      <c r="DG11">
        <v>0</v>
      </c>
      <c r="DH11">
        <v>0</v>
      </c>
      <c r="DI11">
        <v>0</v>
      </c>
      <c r="DJ11">
        <v>0</v>
      </c>
      <c r="DK11">
        <v>0</v>
      </c>
      <c r="DL11">
        <v>0</v>
      </c>
      <c r="DM11">
        <v>0</v>
      </c>
      <c r="DN11">
        <v>0</v>
      </c>
      <c r="DO11">
        <v>0</v>
      </c>
      <c r="DP11">
        <v>0</v>
      </c>
      <c r="DQ11">
        <v>0</v>
      </c>
      <c r="DR11">
        <v>0</v>
      </c>
      <c r="DS11">
        <f t="shared" si="8"/>
        <v>0</v>
      </c>
      <c r="DT11">
        <v>0</v>
      </c>
      <c r="DU11">
        <v>0</v>
      </c>
      <c r="DV11">
        <v>0</v>
      </c>
      <c r="DW11">
        <v>0</v>
      </c>
      <c r="DX11">
        <v>0</v>
      </c>
      <c r="DY11">
        <v>0</v>
      </c>
      <c r="DZ11">
        <v>0</v>
      </c>
      <c r="EA11">
        <v>0</v>
      </c>
      <c r="EB11">
        <v>0</v>
      </c>
      <c r="EC11">
        <v>0</v>
      </c>
      <c r="ED11">
        <v>0</v>
      </c>
      <c r="EE11">
        <v>0</v>
      </c>
      <c r="EF11">
        <f t="shared" si="9"/>
        <v>0</v>
      </c>
      <c r="EG11">
        <f t="shared" si="10"/>
        <v>6360</v>
      </c>
      <c r="EH11">
        <f t="shared" si="11"/>
        <v>0</v>
      </c>
      <c r="EI11">
        <v>6712</v>
      </c>
      <c r="EJ11">
        <v>6907</v>
      </c>
      <c r="EK11">
        <v>6973</v>
      </c>
      <c r="EL11">
        <v>8138</v>
      </c>
      <c r="EM11">
        <v>6885</v>
      </c>
      <c r="EN11">
        <v>6192</v>
      </c>
      <c r="EO11">
        <v>9384</v>
      </c>
      <c r="EP11">
        <v>8423</v>
      </c>
      <c r="EQ11">
        <v>6260</v>
      </c>
      <c r="ER11">
        <v>7023</v>
      </c>
      <c r="ES11">
        <v>8024</v>
      </c>
      <c r="ET11">
        <v>8496</v>
      </c>
      <c r="EU11">
        <f t="shared" si="12"/>
        <v>89417</v>
      </c>
      <c r="EV11">
        <v>2626</v>
      </c>
      <c r="EW11">
        <v>2857</v>
      </c>
      <c r="EX11">
        <v>2980</v>
      </c>
      <c r="EY11">
        <v>3683</v>
      </c>
      <c r="EZ11">
        <v>2981</v>
      </c>
      <c r="FA11">
        <v>2330</v>
      </c>
      <c r="FB11">
        <v>4212</v>
      </c>
      <c r="FC11">
        <v>3768</v>
      </c>
      <c r="FD11">
        <v>2495</v>
      </c>
      <c r="FE11">
        <v>3115</v>
      </c>
      <c r="FF11">
        <v>3677</v>
      </c>
      <c r="FG11">
        <v>3872</v>
      </c>
      <c r="FH11">
        <f t="shared" si="13"/>
        <v>38596</v>
      </c>
      <c r="FI11">
        <v>0</v>
      </c>
      <c r="FJ11">
        <v>0</v>
      </c>
      <c r="FK11">
        <v>0</v>
      </c>
      <c r="FL11">
        <v>0</v>
      </c>
      <c r="FM11">
        <v>0</v>
      </c>
      <c r="FN11">
        <v>0</v>
      </c>
      <c r="FO11">
        <v>0</v>
      </c>
      <c r="FP11">
        <v>0</v>
      </c>
      <c r="FQ11">
        <v>0</v>
      </c>
      <c r="FR11">
        <v>0</v>
      </c>
      <c r="FS11">
        <v>0</v>
      </c>
      <c r="FT11">
        <v>0</v>
      </c>
      <c r="FU11">
        <f t="shared" si="14"/>
        <v>0</v>
      </c>
      <c r="FV11">
        <v>4086</v>
      </c>
      <c r="FW11">
        <v>4050</v>
      </c>
      <c r="FX11">
        <v>3993</v>
      </c>
      <c r="FY11">
        <v>4455</v>
      </c>
      <c r="FZ11">
        <v>3904</v>
      </c>
      <c r="GA11">
        <v>3862</v>
      </c>
      <c r="GB11">
        <v>5172</v>
      </c>
      <c r="GC11">
        <v>4655</v>
      </c>
      <c r="GD11">
        <v>3765</v>
      </c>
      <c r="GE11">
        <v>3908</v>
      </c>
      <c r="GF11">
        <v>4347</v>
      </c>
      <c r="GG11">
        <v>4624</v>
      </c>
      <c r="GH11">
        <f t="shared" si="15"/>
        <v>50821</v>
      </c>
      <c r="GI11">
        <v>0</v>
      </c>
      <c r="GJ11">
        <v>0</v>
      </c>
      <c r="GK11">
        <v>0</v>
      </c>
      <c r="GL11">
        <v>0</v>
      </c>
      <c r="GM11">
        <v>0</v>
      </c>
      <c r="GN11">
        <v>0</v>
      </c>
      <c r="GO11">
        <v>0</v>
      </c>
      <c r="GP11">
        <v>0</v>
      </c>
      <c r="GQ11">
        <v>0</v>
      </c>
      <c r="GR11">
        <v>0</v>
      </c>
      <c r="GS11">
        <v>0</v>
      </c>
      <c r="GT11">
        <v>0</v>
      </c>
      <c r="GU11">
        <f t="shared" si="16"/>
        <v>0</v>
      </c>
      <c r="GV11">
        <v>0</v>
      </c>
      <c r="GW11">
        <v>0</v>
      </c>
      <c r="GX11">
        <v>0</v>
      </c>
      <c r="GY11">
        <v>0</v>
      </c>
      <c r="GZ11">
        <v>0</v>
      </c>
      <c r="HA11">
        <v>0</v>
      </c>
      <c r="HB11">
        <v>0</v>
      </c>
      <c r="HC11">
        <v>0</v>
      </c>
      <c r="HD11">
        <v>0</v>
      </c>
      <c r="HE11">
        <v>0</v>
      </c>
      <c r="HF11">
        <v>0</v>
      </c>
      <c r="HG11">
        <v>0</v>
      </c>
      <c r="HH11">
        <f t="shared" si="17"/>
        <v>0</v>
      </c>
      <c r="HI11">
        <v>0</v>
      </c>
      <c r="HJ11">
        <v>0</v>
      </c>
      <c r="HK11">
        <v>0</v>
      </c>
      <c r="HL11">
        <v>0</v>
      </c>
      <c r="HM11">
        <v>0</v>
      </c>
      <c r="HN11">
        <v>0</v>
      </c>
      <c r="HO11">
        <v>0</v>
      </c>
      <c r="HP11">
        <v>0</v>
      </c>
      <c r="HQ11">
        <v>0</v>
      </c>
      <c r="HR11">
        <v>0</v>
      </c>
      <c r="HS11">
        <v>0</v>
      </c>
      <c r="HT11">
        <v>0</v>
      </c>
      <c r="HU11">
        <f t="shared" si="18"/>
        <v>0</v>
      </c>
      <c r="HV11">
        <v>0</v>
      </c>
      <c r="HW11">
        <v>0</v>
      </c>
      <c r="HX11">
        <v>0</v>
      </c>
      <c r="HY11">
        <v>0</v>
      </c>
      <c r="HZ11">
        <v>0</v>
      </c>
      <c r="IA11">
        <v>0</v>
      </c>
      <c r="IB11">
        <v>0</v>
      </c>
      <c r="IC11">
        <v>0</v>
      </c>
      <c r="ID11">
        <v>0</v>
      </c>
      <c r="IE11">
        <v>0</v>
      </c>
      <c r="IF11">
        <v>0</v>
      </c>
      <c r="IG11">
        <v>0</v>
      </c>
      <c r="IH11">
        <f t="shared" si="19"/>
        <v>0</v>
      </c>
      <c r="II11">
        <f t="shared" si="20"/>
        <v>89417</v>
      </c>
      <c r="IJ11">
        <f t="shared" si="21"/>
        <v>0</v>
      </c>
      <c r="IK11">
        <v>35640</v>
      </c>
      <c r="IL11">
        <v>38939</v>
      </c>
      <c r="IM11">
        <v>37976</v>
      </c>
      <c r="IN11">
        <v>47986</v>
      </c>
      <c r="IO11">
        <v>47477</v>
      </c>
      <c r="IP11">
        <v>42959</v>
      </c>
      <c r="IQ11">
        <v>43935</v>
      </c>
      <c r="IR11">
        <v>39103</v>
      </c>
      <c r="IS11">
        <v>33794</v>
      </c>
      <c r="IT11">
        <v>43282</v>
      </c>
      <c r="IU11">
        <v>38212</v>
      </c>
      <c r="IV11">
        <v>39094</v>
      </c>
      <c r="IW11">
        <f t="shared" si="22"/>
        <v>488397</v>
      </c>
      <c r="IX11">
        <v>0</v>
      </c>
      <c r="IY11">
        <v>0</v>
      </c>
      <c r="IZ11">
        <v>0</v>
      </c>
      <c r="JA11">
        <v>0</v>
      </c>
      <c r="JB11">
        <v>0</v>
      </c>
      <c r="JC11">
        <v>0</v>
      </c>
      <c r="JD11">
        <v>0</v>
      </c>
      <c r="JE11">
        <v>0</v>
      </c>
      <c r="JF11">
        <v>0</v>
      </c>
      <c r="JG11">
        <v>0</v>
      </c>
      <c r="JH11">
        <v>0</v>
      </c>
      <c r="JI11">
        <v>0</v>
      </c>
      <c r="JJ11">
        <f t="shared" si="23"/>
        <v>0</v>
      </c>
      <c r="JK11">
        <v>0</v>
      </c>
      <c r="JL11">
        <v>0</v>
      </c>
      <c r="JM11">
        <v>0</v>
      </c>
      <c r="JN11">
        <v>0</v>
      </c>
      <c r="JO11">
        <v>0</v>
      </c>
      <c r="JP11">
        <v>0</v>
      </c>
      <c r="JQ11">
        <v>0</v>
      </c>
      <c r="JR11">
        <v>0</v>
      </c>
      <c r="JS11">
        <v>0</v>
      </c>
      <c r="JT11">
        <v>0</v>
      </c>
      <c r="JU11">
        <v>0</v>
      </c>
      <c r="JV11">
        <v>0</v>
      </c>
      <c r="JW11">
        <f t="shared" si="24"/>
        <v>0</v>
      </c>
      <c r="JX11">
        <v>17377</v>
      </c>
      <c r="JY11">
        <v>19434</v>
      </c>
      <c r="JZ11">
        <v>19349</v>
      </c>
      <c r="KA11">
        <v>21080</v>
      </c>
      <c r="KB11">
        <v>20839</v>
      </c>
      <c r="KC11">
        <v>20779</v>
      </c>
      <c r="KD11">
        <v>20843</v>
      </c>
      <c r="KE11">
        <v>19199</v>
      </c>
      <c r="KF11">
        <v>16750</v>
      </c>
      <c r="KG11">
        <v>21239</v>
      </c>
      <c r="KH11">
        <v>17954</v>
      </c>
      <c r="KI11">
        <v>19902</v>
      </c>
      <c r="KJ11">
        <f t="shared" si="25"/>
        <v>234745</v>
      </c>
      <c r="KK11">
        <v>585</v>
      </c>
      <c r="KL11">
        <v>681</v>
      </c>
      <c r="KM11">
        <v>662</v>
      </c>
      <c r="KN11">
        <v>608</v>
      </c>
      <c r="KO11">
        <v>608</v>
      </c>
      <c r="KP11">
        <v>657</v>
      </c>
      <c r="KQ11">
        <v>643</v>
      </c>
      <c r="KR11">
        <v>554</v>
      </c>
      <c r="KS11">
        <v>631</v>
      </c>
      <c r="KT11">
        <v>712</v>
      </c>
      <c r="KU11">
        <v>593</v>
      </c>
      <c r="KV11">
        <v>691</v>
      </c>
      <c r="KW11">
        <f t="shared" si="26"/>
        <v>7625</v>
      </c>
      <c r="KX11">
        <v>0</v>
      </c>
      <c r="KY11">
        <v>0</v>
      </c>
      <c r="KZ11">
        <v>0</v>
      </c>
      <c r="LA11">
        <v>0</v>
      </c>
      <c r="LB11">
        <v>0</v>
      </c>
      <c r="LC11">
        <v>0</v>
      </c>
      <c r="LD11">
        <v>0</v>
      </c>
      <c r="LE11">
        <v>0</v>
      </c>
      <c r="LF11">
        <v>0</v>
      </c>
      <c r="LG11">
        <v>0</v>
      </c>
      <c r="LH11">
        <v>0</v>
      </c>
      <c r="LI11">
        <v>0</v>
      </c>
      <c r="LJ11">
        <f t="shared" si="27"/>
        <v>0</v>
      </c>
      <c r="LK11">
        <v>0</v>
      </c>
      <c r="LL11">
        <v>0</v>
      </c>
      <c r="LM11">
        <v>0</v>
      </c>
      <c r="LN11">
        <v>0</v>
      </c>
      <c r="LO11">
        <v>0</v>
      </c>
      <c r="LP11">
        <v>0</v>
      </c>
      <c r="LQ11">
        <v>0</v>
      </c>
      <c r="LR11">
        <v>0</v>
      </c>
      <c r="LS11">
        <v>0</v>
      </c>
      <c r="LT11">
        <v>0</v>
      </c>
      <c r="LU11">
        <v>0</v>
      </c>
      <c r="LV11">
        <v>0</v>
      </c>
      <c r="LW11">
        <f t="shared" si="28"/>
        <v>0</v>
      </c>
      <c r="LX11">
        <v>581</v>
      </c>
      <c r="LY11">
        <v>679</v>
      </c>
      <c r="LZ11">
        <v>659</v>
      </c>
      <c r="MA11">
        <v>658</v>
      </c>
      <c r="MB11">
        <v>608</v>
      </c>
      <c r="MC11">
        <v>656</v>
      </c>
      <c r="MD11">
        <v>640</v>
      </c>
      <c r="ME11">
        <v>549</v>
      </c>
      <c r="MF11">
        <v>628</v>
      </c>
      <c r="MG11">
        <v>709</v>
      </c>
      <c r="MH11">
        <v>592</v>
      </c>
      <c r="MI11">
        <v>690</v>
      </c>
      <c r="MJ11">
        <f t="shared" si="29"/>
        <v>7649</v>
      </c>
      <c r="MK11">
        <v>1728</v>
      </c>
      <c r="ML11">
        <v>1780</v>
      </c>
      <c r="MM11">
        <v>1600</v>
      </c>
      <c r="MN11">
        <v>1801</v>
      </c>
      <c r="MO11">
        <v>1893</v>
      </c>
      <c r="MP11">
        <v>1857</v>
      </c>
      <c r="MQ11">
        <v>1870</v>
      </c>
      <c r="MR11">
        <v>1775</v>
      </c>
      <c r="MS11">
        <v>1841</v>
      </c>
      <c r="MT11">
        <v>2042</v>
      </c>
      <c r="MU11">
        <v>1674</v>
      </c>
      <c r="MV11">
        <v>1922</v>
      </c>
      <c r="MW11">
        <f t="shared" si="30"/>
        <v>21783</v>
      </c>
      <c r="MX11">
        <v>198</v>
      </c>
      <c r="MY11">
        <v>157</v>
      </c>
      <c r="MZ11">
        <v>140</v>
      </c>
      <c r="NA11">
        <v>235</v>
      </c>
      <c r="NB11">
        <v>240</v>
      </c>
      <c r="NC11">
        <v>196</v>
      </c>
      <c r="ND11">
        <v>195</v>
      </c>
      <c r="NE11">
        <v>216</v>
      </c>
      <c r="NF11">
        <v>214</v>
      </c>
      <c r="NG11">
        <v>186</v>
      </c>
      <c r="NH11">
        <v>155</v>
      </c>
      <c r="NI11">
        <v>204</v>
      </c>
      <c r="NJ11">
        <f t="shared" si="31"/>
        <v>2336</v>
      </c>
      <c r="NK11">
        <v>115</v>
      </c>
      <c r="NL11">
        <v>129</v>
      </c>
      <c r="NM11">
        <v>124</v>
      </c>
      <c r="NN11">
        <v>136</v>
      </c>
      <c r="NO11">
        <v>120</v>
      </c>
      <c r="NP11">
        <v>128</v>
      </c>
      <c r="NQ11">
        <v>125</v>
      </c>
      <c r="NR11">
        <v>118</v>
      </c>
      <c r="NS11">
        <v>115</v>
      </c>
      <c r="NT11">
        <v>138</v>
      </c>
      <c r="NU11">
        <v>126</v>
      </c>
      <c r="NV11">
        <v>121</v>
      </c>
      <c r="NW11">
        <f t="shared" si="32"/>
        <v>1495</v>
      </c>
      <c r="NX11">
        <v>1415</v>
      </c>
      <c r="NY11">
        <v>1494</v>
      </c>
      <c r="NZ11">
        <v>1336</v>
      </c>
      <c r="OA11">
        <v>1431</v>
      </c>
      <c r="OB11">
        <v>1534</v>
      </c>
      <c r="OC11">
        <v>1533</v>
      </c>
      <c r="OD11">
        <v>1550</v>
      </c>
      <c r="OE11">
        <v>1441</v>
      </c>
      <c r="OF11">
        <v>1512</v>
      </c>
      <c r="OG11">
        <v>1718</v>
      </c>
      <c r="OH11">
        <v>1393</v>
      </c>
      <c r="OI11">
        <v>1597</v>
      </c>
      <c r="OJ11">
        <f t="shared" si="33"/>
        <v>17954</v>
      </c>
      <c r="OK11">
        <v>2434</v>
      </c>
      <c r="OL11">
        <v>2355</v>
      </c>
      <c r="OM11">
        <v>2125</v>
      </c>
      <c r="ON11">
        <v>2315</v>
      </c>
      <c r="OO11">
        <v>2495</v>
      </c>
      <c r="OP11">
        <v>2530</v>
      </c>
      <c r="OQ11">
        <v>2614</v>
      </c>
      <c r="OR11">
        <v>2563</v>
      </c>
      <c r="OS11">
        <v>2438</v>
      </c>
      <c r="OT11">
        <v>2614</v>
      </c>
      <c r="OU11">
        <v>2539</v>
      </c>
      <c r="OV11">
        <v>2869</v>
      </c>
      <c r="OW11">
        <f t="shared" si="34"/>
        <v>29891</v>
      </c>
      <c r="OX11">
        <v>372</v>
      </c>
      <c r="OY11">
        <v>334</v>
      </c>
      <c r="OZ11">
        <v>298</v>
      </c>
      <c r="PA11">
        <v>363</v>
      </c>
      <c r="PB11">
        <v>377</v>
      </c>
      <c r="PC11">
        <v>311</v>
      </c>
      <c r="PD11">
        <v>387</v>
      </c>
      <c r="PE11">
        <v>430</v>
      </c>
      <c r="PF11">
        <v>432</v>
      </c>
      <c r="PG11">
        <v>362</v>
      </c>
      <c r="PH11">
        <v>358</v>
      </c>
      <c r="PI11">
        <v>436</v>
      </c>
      <c r="PJ11">
        <f t="shared" si="35"/>
        <v>4460</v>
      </c>
      <c r="PK11">
        <v>114</v>
      </c>
      <c r="PL11">
        <v>116</v>
      </c>
      <c r="PM11">
        <v>118</v>
      </c>
      <c r="PN11">
        <v>113</v>
      </c>
      <c r="PO11">
        <v>133</v>
      </c>
      <c r="PP11">
        <v>131</v>
      </c>
      <c r="PQ11">
        <v>110</v>
      </c>
      <c r="PR11">
        <v>100</v>
      </c>
      <c r="PS11">
        <v>97</v>
      </c>
      <c r="PT11">
        <v>122</v>
      </c>
      <c r="PU11">
        <v>118</v>
      </c>
      <c r="PV11">
        <v>110</v>
      </c>
      <c r="PW11">
        <f t="shared" si="36"/>
        <v>1382</v>
      </c>
      <c r="PX11">
        <v>1948</v>
      </c>
      <c r="PY11">
        <v>1905</v>
      </c>
      <c r="PZ11">
        <v>1709</v>
      </c>
      <c r="QA11">
        <v>1838</v>
      </c>
      <c r="QB11">
        <v>1986</v>
      </c>
      <c r="QC11">
        <v>2087</v>
      </c>
      <c r="QD11">
        <v>2117</v>
      </c>
      <c r="QE11">
        <v>2033</v>
      </c>
      <c r="QF11">
        <v>1908</v>
      </c>
      <c r="QG11">
        <v>2129</v>
      </c>
      <c r="QH11">
        <v>2063</v>
      </c>
      <c r="QI11">
        <v>2323</v>
      </c>
      <c r="QJ11">
        <f t="shared" si="37"/>
        <v>24046</v>
      </c>
      <c r="QK11">
        <v>31977</v>
      </c>
      <c r="QL11">
        <v>35236</v>
      </c>
      <c r="QM11">
        <v>33878</v>
      </c>
      <c r="QN11">
        <v>40250</v>
      </c>
      <c r="QO11">
        <v>35690</v>
      </c>
      <c r="QP11">
        <v>38845</v>
      </c>
      <c r="QQ11">
        <v>38454</v>
      </c>
      <c r="QR11">
        <v>35050</v>
      </c>
      <c r="QS11">
        <v>29546</v>
      </c>
      <c r="QT11">
        <v>34108</v>
      </c>
      <c r="QU11">
        <v>33823</v>
      </c>
      <c r="QV11">
        <v>35579</v>
      </c>
      <c r="QW11">
        <f t="shared" si="38"/>
        <v>422436</v>
      </c>
      <c r="QX11">
        <v>23013</v>
      </c>
      <c r="QY11">
        <v>22852</v>
      </c>
      <c r="QZ11">
        <v>24679</v>
      </c>
      <c r="RA11">
        <v>27369</v>
      </c>
      <c r="RB11">
        <v>27171</v>
      </c>
      <c r="RC11">
        <v>27987</v>
      </c>
      <c r="RD11">
        <v>30507</v>
      </c>
      <c r="RE11">
        <v>26807</v>
      </c>
      <c r="RF11">
        <v>25265</v>
      </c>
      <c r="RG11">
        <v>27147</v>
      </c>
      <c r="RH11">
        <v>26746</v>
      </c>
      <c r="RI11">
        <v>27258</v>
      </c>
      <c r="RJ11">
        <f t="shared" si="39"/>
        <v>316801</v>
      </c>
      <c r="RK11">
        <v>0</v>
      </c>
      <c r="RL11">
        <v>0</v>
      </c>
      <c r="RM11">
        <v>0</v>
      </c>
      <c r="RN11">
        <v>0</v>
      </c>
      <c r="RO11">
        <v>0</v>
      </c>
      <c r="RP11">
        <v>0</v>
      </c>
      <c r="RQ11">
        <v>0</v>
      </c>
      <c r="RR11">
        <v>0</v>
      </c>
      <c r="RS11">
        <v>0</v>
      </c>
      <c r="RT11">
        <v>0</v>
      </c>
      <c r="RU11">
        <v>0</v>
      </c>
      <c r="RV11">
        <v>0</v>
      </c>
      <c r="RW11">
        <f t="shared" si="40"/>
        <v>0</v>
      </c>
      <c r="RX11">
        <v>0</v>
      </c>
      <c r="RY11">
        <v>0</v>
      </c>
      <c r="RZ11">
        <v>0</v>
      </c>
      <c r="SA11">
        <v>0</v>
      </c>
      <c r="SB11">
        <v>0</v>
      </c>
      <c r="SC11">
        <v>0</v>
      </c>
      <c r="SD11">
        <v>0</v>
      </c>
      <c r="SE11">
        <v>0</v>
      </c>
      <c r="SF11">
        <v>0</v>
      </c>
      <c r="SG11">
        <v>0</v>
      </c>
      <c r="SH11">
        <v>0</v>
      </c>
      <c r="SI11">
        <v>0</v>
      </c>
      <c r="SJ11">
        <f t="shared" si="41"/>
        <v>0</v>
      </c>
      <c r="SK11">
        <v>117</v>
      </c>
      <c r="SL11">
        <v>100</v>
      </c>
      <c r="SM11">
        <v>112</v>
      </c>
      <c r="SN11">
        <v>100</v>
      </c>
      <c r="SO11">
        <v>91</v>
      </c>
      <c r="SP11">
        <v>105</v>
      </c>
      <c r="SQ11">
        <v>100</v>
      </c>
      <c r="SR11">
        <v>93</v>
      </c>
      <c r="SS11">
        <v>93</v>
      </c>
      <c r="ST11">
        <v>96</v>
      </c>
      <c r="SU11">
        <v>85</v>
      </c>
      <c r="SV11">
        <v>96</v>
      </c>
      <c r="SW11">
        <f t="shared" si="42"/>
        <v>1188</v>
      </c>
      <c r="SX11" s="1" t="s">
        <v>1515</v>
      </c>
      <c r="SY11">
        <v>2451</v>
      </c>
      <c r="SZ11">
        <v>2888</v>
      </c>
      <c r="TA11">
        <v>2906</v>
      </c>
      <c r="TB11">
        <v>3419</v>
      </c>
      <c r="TC11">
        <v>2930</v>
      </c>
      <c r="TD11">
        <v>3062</v>
      </c>
      <c r="TE11">
        <v>3196</v>
      </c>
      <c r="TF11">
        <v>2816</v>
      </c>
      <c r="TG11">
        <v>2672</v>
      </c>
      <c r="TH11">
        <v>2804</v>
      </c>
      <c r="TI11">
        <v>2804</v>
      </c>
      <c r="TJ11">
        <v>3141</v>
      </c>
      <c r="TK11">
        <f t="shared" si="43"/>
        <v>35089</v>
      </c>
      <c r="TL11">
        <v>0</v>
      </c>
      <c r="TM11">
        <v>0</v>
      </c>
      <c r="TN11">
        <v>0</v>
      </c>
      <c r="TO11">
        <v>0</v>
      </c>
      <c r="TP11">
        <v>0</v>
      </c>
      <c r="TQ11">
        <v>0</v>
      </c>
      <c r="TR11">
        <v>0</v>
      </c>
      <c r="TS11">
        <v>0</v>
      </c>
      <c r="TT11">
        <v>0</v>
      </c>
      <c r="TU11">
        <v>0</v>
      </c>
      <c r="TV11">
        <v>0</v>
      </c>
      <c r="TW11">
        <v>0</v>
      </c>
      <c r="TX11">
        <f t="shared" si="44"/>
        <v>0</v>
      </c>
      <c r="TY11">
        <v>142</v>
      </c>
      <c r="TZ11">
        <v>0</v>
      </c>
      <c r="UA11">
        <v>0</v>
      </c>
      <c r="UB11">
        <v>0</v>
      </c>
    </row>
    <row r="12" spans="1:548" ht="16.5" customHeight="1" x14ac:dyDescent="0.35">
      <c r="A12" t="s">
        <v>1527</v>
      </c>
      <c r="B12" t="s">
        <v>2866</v>
      </c>
      <c r="C12">
        <v>21239</v>
      </c>
      <c r="D12">
        <v>5263</v>
      </c>
      <c r="E12">
        <v>2707</v>
      </c>
      <c r="F12">
        <v>13269</v>
      </c>
      <c r="G12">
        <v>107</v>
      </c>
      <c r="H12">
        <v>152</v>
      </c>
      <c r="I12">
        <v>174</v>
      </c>
      <c r="J12">
        <v>115</v>
      </c>
      <c r="K12">
        <v>124</v>
      </c>
      <c r="L12">
        <v>115</v>
      </c>
      <c r="M12">
        <v>179</v>
      </c>
      <c r="N12">
        <v>175</v>
      </c>
      <c r="O12">
        <v>84</v>
      </c>
      <c r="P12">
        <v>124</v>
      </c>
      <c r="Q12">
        <v>179</v>
      </c>
      <c r="R12">
        <v>176</v>
      </c>
      <c r="S12">
        <f t="shared" si="0"/>
        <v>1704</v>
      </c>
      <c r="T12">
        <v>78</v>
      </c>
      <c r="U12">
        <v>71</v>
      </c>
      <c r="V12">
        <v>62</v>
      </c>
      <c r="W12">
        <v>51</v>
      </c>
      <c r="X12">
        <v>111</v>
      </c>
      <c r="Y12">
        <v>30</v>
      </c>
      <c r="Z12">
        <v>80</v>
      </c>
      <c r="AA12">
        <v>84</v>
      </c>
      <c r="AB12">
        <v>44</v>
      </c>
      <c r="AC12">
        <v>40</v>
      </c>
      <c r="AD12">
        <v>105</v>
      </c>
      <c r="AE12">
        <v>81</v>
      </c>
      <c r="AF12">
        <f t="shared" si="1"/>
        <v>837</v>
      </c>
      <c r="AG12">
        <v>0</v>
      </c>
      <c r="AH12">
        <v>0</v>
      </c>
      <c r="AI12">
        <v>0</v>
      </c>
      <c r="AJ12">
        <v>0</v>
      </c>
      <c r="AK12">
        <v>0</v>
      </c>
      <c r="AL12">
        <v>0</v>
      </c>
      <c r="AM12">
        <v>0</v>
      </c>
      <c r="AN12">
        <v>0</v>
      </c>
      <c r="AO12">
        <v>0</v>
      </c>
      <c r="AP12">
        <v>0</v>
      </c>
      <c r="AQ12">
        <v>0</v>
      </c>
      <c r="AR12">
        <v>0</v>
      </c>
      <c r="AS12">
        <f t="shared" si="2"/>
        <v>0</v>
      </c>
      <c r="AT12">
        <v>29</v>
      </c>
      <c r="AU12">
        <v>81</v>
      </c>
      <c r="AV12">
        <v>112</v>
      </c>
      <c r="AW12">
        <v>64</v>
      </c>
      <c r="AX12">
        <v>13</v>
      </c>
      <c r="AY12">
        <v>85</v>
      </c>
      <c r="AZ12">
        <v>99</v>
      </c>
      <c r="BA12">
        <v>91</v>
      </c>
      <c r="BB12">
        <v>40</v>
      </c>
      <c r="BC12">
        <v>84</v>
      </c>
      <c r="BD12">
        <v>74</v>
      </c>
      <c r="BE12">
        <v>95</v>
      </c>
      <c r="BF12">
        <f t="shared" si="3"/>
        <v>867</v>
      </c>
      <c r="BG12">
        <v>0</v>
      </c>
      <c r="BH12">
        <v>0</v>
      </c>
      <c r="BI12">
        <v>0</v>
      </c>
      <c r="BJ12">
        <v>0</v>
      </c>
      <c r="BK12">
        <v>0</v>
      </c>
      <c r="BL12">
        <v>0</v>
      </c>
      <c r="BM12">
        <v>0</v>
      </c>
      <c r="BN12">
        <v>0</v>
      </c>
      <c r="BO12">
        <v>0</v>
      </c>
      <c r="BP12">
        <v>0</v>
      </c>
      <c r="BQ12">
        <v>0</v>
      </c>
      <c r="BR12">
        <v>0</v>
      </c>
      <c r="BS12">
        <f t="shared" si="4"/>
        <v>0</v>
      </c>
      <c r="BT12">
        <v>0</v>
      </c>
      <c r="BU12">
        <v>0</v>
      </c>
      <c r="BV12">
        <v>0</v>
      </c>
      <c r="BW12">
        <v>0</v>
      </c>
      <c r="BX12">
        <v>0</v>
      </c>
      <c r="BY12">
        <v>0</v>
      </c>
      <c r="BZ12">
        <v>0</v>
      </c>
      <c r="CA12">
        <v>0</v>
      </c>
      <c r="CB12">
        <v>0</v>
      </c>
      <c r="CC12">
        <v>0</v>
      </c>
      <c r="CD12">
        <v>0</v>
      </c>
      <c r="CE12">
        <v>0</v>
      </c>
      <c r="CF12">
        <f t="shared" si="5"/>
        <v>0</v>
      </c>
      <c r="CG12">
        <v>0</v>
      </c>
      <c r="CH12">
        <v>0</v>
      </c>
      <c r="CI12">
        <v>0</v>
      </c>
      <c r="CJ12">
        <v>0</v>
      </c>
      <c r="CK12">
        <v>0</v>
      </c>
      <c r="CL12">
        <v>0</v>
      </c>
      <c r="CM12">
        <v>0</v>
      </c>
      <c r="CN12">
        <v>0</v>
      </c>
      <c r="CO12">
        <v>0</v>
      </c>
      <c r="CP12">
        <v>0</v>
      </c>
      <c r="CQ12">
        <v>0</v>
      </c>
      <c r="CR12">
        <v>0</v>
      </c>
      <c r="CS12">
        <f t="shared" si="6"/>
        <v>0</v>
      </c>
      <c r="CT12">
        <v>0</v>
      </c>
      <c r="CU12">
        <v>0</v>
      </c>
      <c r="CV12">
        <v>0</v>
      </c>
      <c r="CW12">
        <v>0</v>
      </c>
      <c r="CX12">
        <v>0</v>
      </c>
      <c r="CY12">
        <v>0</v>
      </c>
      <c r="CZ12">
        <v>0</v>
      </c>
      <c r="DA12">
        <v>0</v>
      </c>
      <c r="DB12">
        <v>0</v>
      </c>
      <c r="DC12">
        <v>0</v>
      </c>
      <c r="DD12">
        <v>0</v>
      </c>
      <c r="DE12">
        <v>0</v>
      </c>
      <c r="DF12">
        <f t="shared" si="7"/>
        <v>0</v>
      </c>
      <c r="DG12">
        <v>0</v>
      </c>
      <c r="DH12">
        <v>0</v>
      </c>
      <c r="DI12">
        <v>0</v>
      </c>
      <c r="DJ12">
        <v>0</v>
      </c>
      <c r="DK12">
        <v>0</v>
      </c>
      <c r="DL12">
        <v>0</v>
      </c>
      <c r="DM12">
        <v>0</v>
      </c>
      <c r="DN12">
        <v>0</v>
      </c>
      <c r="DO12">
        <v>0</v>
      </c>
      <c r="DP12">
        <v>0</v>
      </c>
      <c r="DQ12">
        <v>0</v>
      </c>
      <c r="DR12">
        <v>0</v>
      </c>
      <c r="DS12">
        <f t="shared" si="8"/>
        <v>0</v>
      </c>
      <c r="DT12">
        <v>0</v>
      </c>
      <c r="DU12">
        <v>0</v>
      </c>
      <c r="DV12">
        <v>0</v>
      </c>
      <c r="DW12">
        <v>0</v>
      </c>
      <c r="DX12">
        <v>0</v>
      </c>
      <c r="DY12">
        <v>0</v>
      </c>
      <c r="DZ12">
        <v>0</v>
      </c>
      <c r="EA12">
        <v>0</v>
      </c>
      <c r="EB12">
        <v>0</v>
      </c>
      <c r="EC12">
        <v>0</v>
      </c>
      <c r="ED12">
        <v>0</v>
      </c>
      <c r="EE12">
        <v>0</v>
      </c>
      <c r="EF12">
        <f t="shared" si="9"/>
        <v>0</v>
      </c>
      <c r="EG12">
        <f t="shared" si="10"/>
        <v>1704</v>
      </c>
      <c r="EH12">
        <f t="shared" si="11"/>
        <v>0</v>
      </c>
      <c r="EI12">
        <v>2097</v>
      </c>
      <c r="EJ12">
        <v>3250</v>
      </c>
      <c r="EK12">
        <v>3152</v>
      </c>
      <c r="EL12">
        <v>2029</v>
      </c>
      <c r="EM12">
        <v>2159</v>
      </c>
      <c r="EN12">
        <v>1336</v>
      </c>
      <c r="EO12">
        <v>2864</v>
      </c>
      <c r="EP12">
        <v>2844</v>
      </c>
      <c r="EQ12">
        <v>1893</v>
      </c>
      <c r="ER12">
        <v>1265</v>
      </c>
      <c r="ES12">
        <v>2888</v>
      </c>
      <c r="ET12">
        <v>3059</v>
      </c>
      <c r="EU12">
        <f t="shared" si="12"/>
        <v>28836</v>
      </c>
      <c r="EV12">
        <v>1778</v>
      </c>
      <c r="EW12">
        <v>1459</v>
      </c>
      <c r="EX12">
        <v>2042</v>
      </c>
      <c r="EY12">
        <v>1424</v>
      </c>
      <c r="EZ12">
        <v>2098</v>
      </c>
      <c r="FA12">
        <v>487</v>
      </c>
      <c r="FB12">
        <v>1810</v>
      </c>
      <c r="FC12">
        <v>1931</v>
      </c>
      <c r="FD12">
        <v>1575</v>
      </c>
      <c r="FE12">
        <v>687</v>
      </c>
      <c r="FF12">
        <v>2351</v>
      </c>
      <c r="FG12">
        <v>2021</v>
      </c>
      <c r="FH12">
        <f t="shared" si="13"/>
        <v>19663</v>
      </c>
      <c r="FI12">
        <v>0</v>
      </c>
      <c r="FJ12">
        <v>0</v>
      </c>
      <c r="FK12">
        <v>0</v>
      </c>
      <c r="FL12">
        <v>0</v>
      </c>
      <c r="FM12">
        <v>0</v>
      </c>
      <c r="FN12">
        <v>0</v>
      </c>
      <c r="FO12">
        <v>0</v>
      </c>
      <c r="FP12">
        <v>0</v>
      </c>
      <c r="FQ12">
        <v>0</v>
      </c>
      <c r="FR12">
        <v>0</v>
      </c>
      <c r="FS12">
        <v>0</v>
      </c>
      <c r="FT12">
        <v>0</v>
      </c>
      <c r="FU12">
        <f t="shared" si="14"/>
        <v>0</v>
      </c>
      <c r="FV12">
        <v>319</v>
      </c>
      <c r="FW12">
        <v>891</v>
      </c>
      <c r="FX12">
        <v>110</v>
      </c>
      <c r="FY12">
        <v>605</v>
      </c>
      <c r="FZ12">
        <v>61</v>
      </c>
      <c r="GA12">
        <v>849</v>
      </c>
      <c r="GB12">
        <v>1054</v>
      </c>
      <c r="GC12">
        <v>913</v>
      </c>
      <c r="GD12">
        <v>318</v>
      </c>
      <c r="GE12">
        <v>578</v>
      </c>
      <c r="GF12">
        <v>537</v>
      </c>
      <c r="GG12">
        <v>1038</v>
      </c>
      <c r="GH12">
        <f t="shared" si="15"/>
        <v>7273</v>
      </c>
      <c r="GI12">
        <v>0</v>
      </c>
      <c r="GJ12">
        <v>0</v>
      </c>
      <c r="GK12">
        <v>0</v>
      </c>
      <c r="GL12">
        <v>0</v>
      </c>
      <c r="GM12">
        <v>0</v>
      </c>
      <c r="GN12">
        <v>0</v>
      </c>
      <c r="GO12">
        <v>0</v>
      </c>
      <c r="GP12">
        <v>0</v>
      </c>
      <c r="GQ12">
        <v>0</v>
      </c>
      <c r="GR12">
        <v>0</v>
      </c>
      <c r="GS12">
        <v>0</v>
      </c>
      <c r="GT12">
        <v>0</v>
      </c>
      <c r="GU12">
        <f t="shared" si="16"/>
        <v>0</v>
      </c>
      <c r="GV12">
        <v>0</v>
      </c>
      <c r="GW12">
        <v>0</v>
      </c>
      <c r="GX12">
        <v>0</v>
      </c>
      <c r="GY12">
        <v>0</v>
      </c>
      <c r="GZ12">
        <v>0</v>
      </c>
      <c r="HA12">
        <v>0</v>
      </c>
      <c r="HB12">
        <v>0</v>
      </c>
      <c r="HC12">
        <v>0</v>
      </c>
      <c r="HD12">
        <v>0</v>
      </c>
      <c r="HE12">
        <v>0</v>
      </c>
      <c r="HF12">
        <v>0</v>
      </c>
      <c r="HG12">
        <v>0</v>
      </c>
      <c r="HH12">
        <f t="shared" si="17"/>
        <v>0</v>
      </c>
      <c r="HI12">
        <v>0</v>
      </c>
      <c r="HJ12">
        <v>0</v>
      </c>
      <c r="HK12">
        <v>0</v>
      </c>
      <c r="HL12">
        <v>0</v>
      </c>
      <c r="HM12">
        <v>0</v>
      </c>
      <c r="HN12">
        <v>0</v>
      </c>
      <c r="HO12">
        <v>0</v>
      </c>
      <c r="HP12">
        <v>0</v>
      </c>
      <c r="HQ12">
        <v>0</v>
      </c>
      <c r="HR12">
        <v>0</v>
      </c>
      <c r="HS12">
        <v>0</v>
      </c>
      <c r="HT12">
        <v>0</v>
      </c>
      <c r="HU12">
        <f t="shared" si="18"/>
        <v>0</v>
      </c>
      <c r="HV12">
        <v>0</v>
      </c>
      <c r="HW12">
        <v>0</v>
      </c>
      <c r="HX12">
        <v>0</v>
      </c>
      <c r="HY12">
        <v>0</v>
      </c>
      <c r="HZ12">
        <v>0</v>
      </c>
      <c r="IA12">
        <v>0</v>
      </c>
      <c r="IB12">
        <v>0</v>
      </c>
      <c r="IC12">
        <v>0</v>
      </c>
      <c r="ID12">
        <v>0</v>
      </c>
      <c r="IE12">
        <v>0</v>
      </c>
      <c r="IF12">
        <v>0</v>
      </c>
      <c r="IG12">
        <v>0</v>
      </c>
      <c r="IH12">
        <f t="shared" si="19"/>
        <v>0</v>
      </c>
      <c r="II12">
        <f t="shared" si="20"/>
        <v>26936</v>
      </c>
      <c r="IJ12">
        <f t="shared" si="21"/>
        <v>0</v>
      </c>
      <c r="IK12">
        <v>57275</v>
      </c>
      <c r="IL12">
        <v>52988</v>
      </c>
      <c r="IM12">
        <v>50424</v>
      </c>
      <c r="IN12">
        <v>54358</v>
      </c>
      <c r="IO12">
        <v>52983</v>
      </c>
      <c r="IP12">
        <v>48373</v>
      </c>
      <c r="IQ12">
        <v>54143</v>
      </c>
      <c r="IR12">
        <v>49049</v>
      </c>
      <c r="IS12">
        <v>47548</v>
      </c>
      <c r="IT12">
        <v>50474</v>
      </c>
      <c r="IU12">
        <v>52199</v>
      </c>
      <c r="IV12">
        <v>55596</v>
      </c>
      <c r="IW12">
        <f t="shared" si="22"/>
        <v>625410</v>
      </c>
      <c r="IX12">
        <v>16859</v>
      </c>
      <c r="IY12">
        <v>15263</v>
      </c>
      <c r="IZ12">
        <v>13031</v>
      </c>
      <c r="JA12">
        <v>16197</v>
      </c>
      <c r="JB12">
        <v>16677</v>
      </c>
      <c r="JC12">
        <v>13265</v>
      </c>
      <c r="JD12">
        <v>15854</v>
      </c>
      <c r="JE12">
        <v>14303</v>
      </c>
      <c r="JF12">
        <v>12914</v>
      </c>
      <c r="JG12">
        <v>15054</v>
      </c>
      <c r="JH12">
        <v>14862</v>
      </c>
      <c r="JI12">
        <v>15728</v>
      </c>
      <c r="JJ12">
        <f t="shared" si="23"/>
        <v>180007</v>
      </c>
      <c r="JK12">
        <v>3485</v>
      </c>
      <c r="JL12">
        <v>3789</v>
      </c>
      <c r="JM12">
        <v>3324</v>
      </c>
      <c r="JN12">
        <v>3787</v>
      </c>
      <c r="JO12">
        <v>4389</v>
      </c>
      <c r="JP12">
        <v>3743</v>
      </c>
      <c r="JQ12">
        <v>3709</v>
      </c>
      <c r="JR12">
        <v>3364</v>
      </c>
      <c r="JS12">
        <v>3546</v>
      </c>
      <c r="JT12">
        <v>3256</v>
      </c>
      <c r="JU12">
        <v>3209</v>
      </c>
      <c r="JV12">
        <v>3379</v>
      </c>
      <c r="JW12">
        <f t="shared" si="24"/>
        <v>42980</v>
      </c>
      <c r="JX12">
        <v>36931</v>
      </c>
      <c r="JY12">
        <v>33936</v>
      </c>
      <c r="JZ12">
        <v>34069</v>
      </c>
      <c r="KA12">
        <v>34374</v>
      </c>
      <c r="KB12">
        <v>31917</v>
      </c>
      <c r="KC12">
        <v>313645</v>
      </c>
      <c r="KD12">
        <v>34580</v>
      </c>
      <c r="KE12">
        <v>31382</v>
      </c>
      <c r="KF12">
        <v>31088</v>
      </c>
      <c r="KG12">
        <v>32164</v>
      </c>
      <c r="KH12">
        <v>34128</v>
      </c>
      <c r="KI12">
        <v>36489</v>
      </c>
      <c r="KJ12">
        <f t="shared" si="25"/>
        <v>684703</v>
      </c>
      <c r="KK12">
        <v>19</v>
      </c>
      <c r="KL12">
        <v>22</v>
      </c>
      <c r="KM12">
        <v>21</v>
      </c>
      <c r="KN12">
        <v>21</v>
      </c>
      <c r="KO12">
        <v>18</v>
      </c>
      <c r="KP12">
        <v>15</v>
      </c>
      <c r="KQ12">
        <v>20</v>
      </c>
      <c r="KR12">
        <v>19</v>
      </c>
      <c r="KS12">
        <v>24</v>
      </c>
      <c r="KT12">
        <v>25</v>
      </c>
      <c r="KU12">
        <v>20</v>
      </c>
      <c r="KV12">
        <v>18</v>
      </c>
      <c r="KW12">
        <f t="shared" si="26"/>
        <v>242</v>
      </c>
      <c r="KX12">
        <v>4</v>
      </c>
      <c r="KY12">
        <v>6</v>
      </c>
      <c r="KZ12">
        <v>6</v>
      </c>
      <c r="LA12">
        <v>5</v>
      </c>
      <c r="LB12">
        <v>5</v>
      </c>
      <c r="LC12">
        <v>4</v>
      </c>
      <c r="LD12">
        <v>5</v>
      </c>
      <c r="LE12">
        <v>5</v>
      </c>
      <c r="LF12">
        <v>4</v>
      </c>
      <c r="LG12">
        <v>4</v>
      </c>
      <c r="LH12">
        <v>1</v>
      </c>
      <c r="LI12">
        <v>2</v>
      </c>
      <c r="LJ12">
        <f t="shared" si="27"/>
        <v>51</v>
      </c>
      <c r="LK12">
        <v>0</v>
      </c>
      <c r="LL12">
        <v>0</v>
      </c>
      <c r="LM12">
        <v>1</v>
      </c>
      <c r="LN12">
        <v>1</v>
      </c>
      <c r="LO12">
        <v>0</v>
      </c>
      <c r="LP12">
        <v>0</v>
      </c>
      <c r="LQ12">
        <v>3</v>
      </c>
      <c r="LR12">
        <v>2</v>
      </c>
      <c r="LS12">
        <v>2</v>
      </c>
      <c r="LT12">
        <v>2</v>
      </c>
      <c r="LU12">
        <v>1</v>
      </c>
      <c r="LV12">
        <v>1</v>
      </c>
      <c r="LW12">
        <f t="shared" si="28"/>
        <v>13</v>
      </c>
      <c r="LX12">
        <v>15</v>
      </c>
      <c r="LY12">
        <v>16</v>
      </c>
      <c r="LZ12">
        <v>14</v>
      </c>
      <c r="MA12">
        <v>15</v>
      </c>
      <c r="MB12">
        <v>13</v>
      </c>
      <c r="MC12">
        <v>11</v>
      </c>
      <c r="MD12">
        <v>12</v>
      </c>
      <c r="ME12">
        <v>12</v>
      </c>
      <c r="MF12">
        <v>18</v>
      </c>
      <c r="MG12">
        <v>19</v>
      </c>
      <c r="MH12">
        <v>18</v>
      </c>
      <c r="MI12">
        <v>15</v>
      </c>
      <c r="MJ12">
        <f t="shared" si="29"/>
        <v>178</v>
      </c>
      <c r="MK12">
        <v>3648</v>
      </c>
      <c r="ML12">
        <v>3441</v>
      </c>
      <c r="MM12">
        <v>3266</v>
      </c>
      <c r="MN12">
        <v>3587</v>
      </c>
      <c r="MO12">
        <v>3857</v>
      </c>
      <c r="MP12">
        <v>3260</v>
      </c>
      <c r="MQ12">
        <v>3638</v>
      </c>
      <c r="MR12">
        <v>3202</v>
      </c>
      <c r="MS12">
        <v>3511</v>
      </c>
      <c r="MT12">
        <v>3631</v>
      </c>
      <c r="MU12">
        <v>3210</v>
      </c>
      <c r="MV12">
        <v>3568</v>
      </c>
      <c r="MW12">
        <f t="shared" si="30"/>
        <v>41819</v>
      </c>
      <c r="MX12">
        <v>716</v>
      </c>
      <c r="MY12">
        <v>628</v>
      </c>
      <c r="MZ12">
        <v>651</v>
      </c>
      <c r="NA12">
        <v>604</v>
      </c>
      <c r="NB12">
        <v>807</v>
      </c>
      <c r="NC12">
        <v>545</v>
      </c>
      <c r="ND12">
        <v>849</v>
      </c>
      <c r="NE12">
        <v>635</v>
      </c>
      <c r="NF12">
        <v>761</v>
      </c>
      <c r="NG12">
        <v>729</v>
      </c>
      <c r="NH12">
        <v>758</v>
      </c>
      <c r="NI12">
        <v>783</v>
      </c>
      <c r="NJ12">
        <f t="shared" si="31"/>
        <v>8466</v>
      </c>
      <c r="NK12">
        <v>415</v>
      </c>
      <c r="NL12">
        <v>360</v>
      </c>
      <c r="NM12">
        <v>369</v>
      </c>
      <c r="NN12">
        <v>421</v>
      </c>
      <c r="NO12">
        <v>416</v>
      </c>
      <c r="NP12">
        <v>335</v>
      </c>
      <c r="NQ12">
        <v>377</v>
      </c>
      <c r="NR12">
        <v>338</v>
      </c>
      <c r="NS12">
        <v>308</v>
      </c>
      <c r="NT12">
        <v>428</v>
      </c>
      <c r="NU12">
        <v>379</v>
      </c>
      <c r="NV12">
        <v>382</v>
      </c>
      <c r="NW12">
        <f t="shared" si="32"/>
        <v>4528</v>
      </c>
      <c r="NX12">
        <v>2517</v>
      </c>
      <c r="NY12">
        <v>2453</v>
      </c>
      <c r="NZ12">
        <v>2246</v>
      </c>
      <c r="OA12">
        <v>2562</v>
      </c>
      <c r="OB12">
        <v>3634</v>
      </c>
      <c r="OC12">
        <v>2380</v>
      </c>
      <c r="OD12">
        <v>2412</v>
      </c>
      <c r="OE12">
        <v>2229</v>
      </c>
      <c r="OF12">
        <v>2442</v>
      </c>
      <c r="OG12">
        <v>2474</v>
      </c>
      <c r="OH12">
        <v>2073</v>
      </c>
      <c r="OI12">
        <v>2403</v>
      </c>
      <c r="OJ12">
        <f t="shared" si="33"/>
        <v>29825</v>
      </c>
      <c r="OK12">
        <v>2692</v>
      </c>
      <c r="OL12">
        <v>2854</v>
      </c>
      <c r="OM12">
        <v>2639</v>
      </c>
      <c r="ON12">
        <v>2752</v>
      </c>
      <c r="OO12">
        <v>2965</v>
      </c>
      <c r="OP12">
        <v>2808</v>
      </c>
      <c r="OQ12">
        <v>2859</v>
      </c>
      <c r="OR12">
        <v>2659</v>
      </c>
      <c r="OS12">
        <v>2746</v>
      </c>
      <c r="OT12">
        <v>2886</v>
      </c>
      <c r="OU12">
        <v>3038</v>
      </c>
      <c r="OV12">
        <v>3044</v>
      </c>
      <c r="OW12">
        <f t="shared" si="34"/>
        <v>33942</v>
      </c>
      <c r="OX12">
        <v>337</v>
      </c>
      <c r="OY12">
        <v>336</v>
      </c>
      <c r="OZ12">
        <v>288</v>
      </c>
      <c r="PA12">
        <v>321</v>
      </c>
      <c r="PB12">
        <v>339</v>
      </c>
      <c r="PC12">
        <v>332</v>
      </c>
      <c r="PD12">
        <v>386</v>
      </c>
      <c r="PE12">
        <v>316</v>
      </c>
      <c r="PF12">
        <v>359</v>
      </c>
      <c r="PG12">
        <v>339</v>
      </c>
      <c r="PH12">
        <v>329</v>
      </c>
      <c r="PI12">
        <v>355</v>
      </c>
      <c r="PJ12">
        <f t="shared" si="35"/>
        <v>4037</v>
      </c>
      <c r="PK12">
        <v>241</v>
      </c>
      <c r="PL12">
        <v>229</v>
      </c>
      <c r="PM12">
        <v>234</v>
      </c>
      <c r="PN12">
        <v>234</v>
      </c>
      <c r="PO12">
        <v>232</v>
      </c>
      <c r="PP12">
        <v>232</v>
      </c>
      <c r="PQ12">
        <v>211</v>
      </c>
      <c r="PR12">
        <v>183</v>
      </c>
      <c r="PS12">
        <v>204</v>
      </c>
      <c r="PT12">
        <v>216</v>
      </c>
      <c r="PU12">
        <v>227</v>
      </c>
      <c r="PV12">
        <v>243</v>
      </c>
      <c r="PW12">
        <f t="shared" si="36"/>
        <v>2686</v>
      </c>
      <c r="PX12">
        <v>2114</v>
      </c>
      <c r="PY12">
        <v>2289</v>
      </c>
      <c r="PZ12">
        <v>2117</v>
      </c>
      <c r="QA12">
        <v>2197</v>
      </c>
      <c r="QB12">
        <v>2394</v>
      </c>
      <c r="QC12">
        <v>2244</v>
      </c>
      <c r="QD12">
        <v>2262</v>
      </c>
      <c r="QE12">
        <v>2160</v>
      </c>
      <c r="QF12">
        <v>2183</v>
      </c>
      <c r="QG12">
        <v>2331</v>
      </c>
      <c r="QH12">
        <v>2482</v>
      </c>
      <c r="QI12">
        <v>2446</v>
      </c>
      <c r="QJ12">
        <f t="shared" si="37"/>
        <v>27219</v>
      </c>
      <c r="QK12">
        <v>25229</v>
      </c>
      <c r="QL12">
        <v>27256</v>
      </c>
      <c r="QM12">
        <v>23094</v>
      </c>
      <c r="QN12">
        <v>21971</v>
      </c>
      <c r="QO12">
        <v>20513</v>
      </c>
      <c r="QP12">
        <v>19441</v>
      </c>
      <c r="QQ12">
        <v>23920</v>
      </c>
      <c r="QR12">
        <v>20945</v>
      </c>
      <c r="QS12">
        <v>16992</v>
      </c>
      <c r="QT12">
        <v>19809</v>
      </c>
      <c r="QU12">
        <v>30808</v>
      </c>
      <c r="QV12">
        <v>30560</v>
      </c>
      <c r="QW12">
        <f t="shared" si="38"/>
        <v>280538</v>
      </c>
      <c r="QX12">
        <v>86165</v>
      </c>
      <c r="QY12">
        <v>88386</v>
      </c>
      <c r="QZ12">
        <v>63655</v>
      </c>
      <c r="RA12">
        <v>88072</v>
      </c>
      <c r="RB12">
        <v>66378</v>
      </c>
      <c r="RC12">
        <v>75741</v>
      </c>
      <c r="RD12">
        <v>87214</v>
      </c>
      <c r="RE12">
        <v>74736</v>
      </c>
      <c r="RF12">
        <v>70361</v>
      </c>
      <c r="RG12">
        <v>64095</v>
      </c>
      <c r="RH12">
        <v>78445</v>
      </c>
      <c r="RI12">
        <v>89734</v>
      </c>
      <c r="RJ12">
        <f t="shared" si="39"/>
        <v>932982</v>
      </c>
      <c r="RK12">
        <v>0</v>
      </c>
      <c r="RL12">
        <v>0</v>
      </c>
      <c r="RM12">
        <v>0</v>
      </c>
      <c r="RN12">
        <v>0</v>
      </c>
      <c r="RO12">
        <v>0</v>
      </c>
      <c r="RP12">
        <v>0</v>
      </c>
      <c r="RQ12">
        <v>0</v>
      </c>
      <c r="RR12">
        <v>0</v>
      </c>
      <c r="RS12">
        <v>0</v>
      </c>
      <c r="RT12">
        <v>0</v>
      </c>
      <c r="RU12">
        <v>0</v>
      </c>
      <c r="RV12">
        <v>0</v>
      </c>
      <c r="RW12">
        <f t="shared" si="40"/>
        <v>0</v>
      </c>
      <c r="RX12">
        <v>0</v>
      </c>
      <c r="RY12">
        <v>0</v>
      </c>
      <c r="RZ12">
        <v>0</v>
      </c>
      <c r="SA12">
        <v>0</v>
      </c>
      <c r="SB12">
        <v>0</v>
      </c>
      <c r="SC12">
        <v>0</v>
      </c>
      <c r="SD12">
        <v>0</v>
      </c>
      <c r="SE12">
        <v>0</v>
      </c>
      <c r="SF12">
        <v>0</v>
      </c>
      <c r="SG12">
        <v>0</v>
      </c>
      <c r="SH12">
        <v>0</v>
      </c>
      <c r="SI12">
        <v>0</v>
      </c>
      <c r="SJ12">
        <f t="shared" si="41"/>
        <v>0</v>
      </c>
      <c r="SK12">
        <v>93</v>
      </c>
      <c r="SL12">
        <v>93</v>
      </c>
      <c r="SM12">
        <v>93</v>
      </c>
      <c r="SN12">
        <v>93</v>
      </c>
      <c r="SO12">
        <v>93</v>
      </c>
      <c r="SP12">
        <v>93</v>
      </c>
      <c r="SQ12">
        <v>93</v>
      </c>
      <c r="SR12">
        <v>93</v>
      </c>
      <c r="SS12">
        <v>93</v>
      </c>
      <c r="ST12">
        <v>93</v>
      </c>
      <c r="SU12">
        <v>93</v>
      </c>
      <c r="SV12">
        <v>93</v>
      </c>
      <c r="SW12">
        <f t="shared" si="42"/>
        <v>1116</v>
      </c>
      <c r="SX12">
        <v>0</v>
      </c>
      <c r="SY12">
        <v>7428</v>
      </c>
      <c r="SZ12">
        <v>7745</v>
      </c>
      <c r="TA12">
        <v>7309</v>
      </c>
      <c r="TB12">
        <v>7606</v>
      </c>
      <c r="TC12">
        <v>7097</v>
      </c>
      <c r="TD12">
        <v>7153</v>
      </c>
      <c r="TE12">
        <v>7211</v>
      </c>
      <c r="TF12">
        <v>6770</v>
      </c>
      <c r="TG12">
        <v>6006</v>
      </c>
      <c r="TH12">
        <v>6980</v>
      </c>
      <c r="TI12">
        <v>7709</v>
      </c>
      <c r="TJ12">
        <v>8433</v>
      </c>
      <c r="TK12">
        <f t="shared" si="43"/>
        <v>87447</v>
      </c>
      <c r="TL12">
        <v>0</v>
      </c>
      <c r="TM12">
        <v>0</v>
      </c>
      <c r="TN12">
        <v>0</v>
      </c>
      <c r="TO12">
        <v>0</v>
      </c>
      <c r="TP12">
        <v>0</v>
      </c>
      <c r="TQ12">
        <v>0</v>
      </c>
      <c r="TR12">
        <v>0</v>
      </c>
      <c r="TS12">
        <v>0</v>
      </c>
      <c r="TT12">
        <v>0</v>
      </c>
      <c r="TU12">
        <v>0</v>
      </c>
      <c r="TV12">
        <v>0</v>
      </c>
      <c r="TW12">
        <v>0</v>
      </c>
      <c r="TX12">
        <f t="shared" si="44"/>
        <v>0</v>
      </c>
      <c r="TY12">
        <v>145</v>
      </c>
      <c r="TZ12">
        <v>0</v>
      </c>
      <c r="UA12">
        <v>0</v>
      </c>
      <c r="UB12">
        <v>0</v>
      </c>
    </row>
    <row r="13" spans="1:548" ht="16.5" customHeight="1" x14ac:dyDescent="0.35">
      <c r="A13" t="s">
        <v>1393</v>
      </c>
      <c r="B13" t="s">
        <v>2862</v>
      </c>
      <c r="C13">
        <v>26654</v>
      </c>
      <c r="D13">
        <v>1283</v>
      </c>
      <c r="E13">
        <v>7426</v>
      </c>
      <c r="F13">
        <v>17945</v>
      </c>
      <c r="G13">
        <v>208</v>
      </c>
      <c r="H13">
        <v>202</v>
      </c>
      <c r="I13">
        <v>225</v>
      </c>
      <c r="J13">
        <v>200</v>
      </c>
      <c r="K13">
        <v>158</v>
      </c>
      <c r="L13">
        <v>208</v>
      </c>
      <c r="M13">
        <v>241</v>
      </c>
      <c r="N13">
        <v>230</v>
      </c>
      <c r="O13">
        <v>175</v>
      </c>
      <c r="P13">
        <v>223</v>
      </c>
      <c r="Q13">
        <v>196</v>
      </c>
      <c r="R13">
        <v>260</v>
      </c>
      <c r="S13">
        <f t="shared" si="0"/>
        <v>2526</v>
      </c>
      <c r="T13">
        <v>29</v>
      </c>
      <c r="U13">
        <v>40</v>
      </c>
      <c r="V13">
        <v>44</v>
      </c>
      <c r="W13">
        <v>42</v>
      </c>
      <c r="X13">
        <v>4</v>
      </c>
      <c r="Y13">
        <v>29</v>
      </c>
      <c r="Z13">
        <v>56</v>
      </c>
      <c r="AA13">
        <v>56</v>
      </c>
      <c r="AB13">
        <v>41</v>
      </c>
      <c r="AC13">
        <v>66</v>
      </c>
      <c r="AD13">
        <v>49</v>
      </c>
      <c r="AE13">
        <v>62</v>
      </c>
      <c r="AF13">
        <f t="shared" si="1"/>
        <v>518</v>
      </c>
      <c r="AG13">
        <v>0</v>
      </c>
      <c r="AH13">
        <v>0</v>
      </c>
      <c r="AI13">
        <v>0</v>
      </c>
      <c r="AJ13">
        <v>0</v>
      </c>
      <c r="AK13">
        <v>0</v>
      </c>
      <c r="AL13">
        <v>0</v>
      </c>
      <c r="AM13">
        <v>0</v>
      </c>
      <c r="AN13">
        <v>0</v>
      </c>
      <c r="AO13">
        <v>0</v>
      </c>
      <c r="AP13">
        <v>0</v>
      </c>
      <c r="AQ13">
        <v>0</v>
      </c>
      <c r="AR13">
        <v>0</v>
      </c>
      <c r="AS13">
        <f t="shared" si="2"/>
        <v>0</v>
      </c>
      <c r="AT13">
        <v>179</v>
      </c>
      <c r="AU13">
        <v>162</v>
      </c>
      <c r="AV13">
        <v>181</v>
      </c>
      <c r="AW13">
        <v>158</v>
      </c>
      <c r="AX13">
        <v>154</v>
      </c>
      <c r="AY13">
        <v>159</v>
      </c>
      <c r="AZ13">
        <v>185</v>
      </c>
      <c r="BA13">
        <v>174</v>
      </c>
      <c r="BB13">
        <v>134</v>
      </c>
      <c r="BC13">
        <v>157</v>
      </c>
      <c r="BD13">
        <v>147</v>
      </c>
      <c r="BE13">
        <v>198</v>
      </c>
      <c r="BF13">
        <f t="shared" si="3"/>
        <v>1988</v>
      </c>
      <c r="BG13">
        <v>0</v>
      </c>
      <c r="BH13">
        <v>0</v>
      </c>
      <c r="BI13">
        <v>0</v>
      </c>
      <c r="BJ13">
        <v>0</v>
      </c>
      <c r="BK13">
        <v>0</v>
      </c>
      <c r="BL13">
        <v>0</v>
      </c>
      <c r="BM13">
        <v>0</v>
      </c>
      <c r="BN13">
        <v>0</v>
      </c>
      <c r="BO13">
        <v>0</v>
      </c>
      <c r="BP13">
        <v>0</v>
      </c>
      <c r="BQ13">
        <v>0</v>
      </c>
      <c r="BR13">
        <v>0</v>
      </c>
      <c r="BS13">
        <f t="shared" si="4"/>
        <v>0</v>
      </c>
      <c r="BT13">
        <v>28</v>
      </c>
      <c r="BU13">
        <v>25</v>
      </c>
      <c r="BV13">
        <v>34</v>
      </c>
      <c r="BW13">
        <v>29</v>
      </c>
      <c r="BX13">
        <v>17</v>
      </c>
      <c r="BY13">
        <v>31</v>
      </c>
      <c r="BZ13">
        <v>41</v>
      </c>
      <c r="CA13">
        <v>37</v>
      </c>
      <c r="CB13">
        <v>20</v>
      </c>
      <c r="CC13">
        <v>15</v>
      </c>
      <c r="CD13">
        <v>21</v>
      </c>
      <c r="CE13">
        <v>28</v>
      </c>
      <c r="CF13">
        <f t="shared" si="5"/>
        <v>326</v>
      </c>
      <c r="CG13">
        <v>0</v>
      </c>
      <c r="CH13">
        <v>0</v>
      </c>
      <c r="CI13">
        <v>0</v>
      </c>
      <c r="CJ13">
        <v>0</v>
      </c>
      <c r="CK13">
        <v>0</v>
      </c>
      <c r="CL13">
        <v>0</v>
      </c>
      <c r="CM13">
        <v>0</v>
      </c>
      <c r="CN13">
        <v>0</v>
      </c>
      <c r="CO13">
        <v>0</v>
      </c>
      <c r="CP13">
        <v>0</v>
      </c>
      <c r="CQ13">
        <v>0</v>
      </c>
      <c r="CR13">
        <v>0</v>
      </c>
      <c r="CS13">
        <f t="shared" si="6"/>
        <v>0</v>
      </c>
      <c r="CT13">
        <v>0</v>
      </c>
      <c r="CU13">
        <v>0</v>
      </c>
      <c r="CV13">
        <v>0</v>
      </c>
      <c r="CW13">
        <v>0</v>
      </c>
      <c r="CX13">
        <v>0</v>
      </c>
      <c r="CY13">
        <v>0</v>
      </c>
      <c r="CZ13">
        <v>0</v>
      </c>
      <c r="DA13">
        <v>0</v>
      </c>
      <c r="DB13">
        <v>0</v>
      </c>
      <c r="DC13">
        <v>0</v>
      </c>
      <c r="DD13">
        <v>0</v>
      </c>
      <c r="DE13">
        <v>0</v>
      </c>
      <c r="DF13">
        <f t="shared" si="7"/>
        <v>0</v>
      </c>
      <c r="DG13">
        <v>0</v>
      </c>
      <c r="DH13">
        <v>0</v>
      </c>
      <c r="DI13">
        <v>0</v>
      </c>
      <c r="DJ13">
        <v>0</v>
      </c>
      <c r="DK13">
        <v>0</v>
      </c>
      <c r="DL13">
        <v>0</v>
      </c>
      <c r="DM13">
        <v>0</v>
      </c>
      <c r="DN13">
        <v>0</v>
      </c>
      <c r="DO13">
        <v>0</v>
      </c>
      <c r="DP13">
        <v>0</v>
      </c>
      <c r="DQ13">
        <v>0</v>
      </c>
      <c r="DR13">
        <v>0</v>
      </c>
      <c r="DS13">
        <f t="shared" si="8"/>
        <v>0</v>
      </c>
      <c r="DT13">
        <v>28</v>
      </c>
      <c r="DU13">
        <v>25</v>
      </c>
      <c r="DV13">
        <v>34</v>
      </c>
      <c r="DW13">
        <v>29</v>
      </c>
      <c r="DX13">
        <v>17</v>
      </c>
      <c r="DY13">
        <v>31</v>
      </c>
      <c r="DZ13">
        <v>41</v>
      </c>
      <c r="EA13">
        <v>37</v>
      </c>
      <c r="EB13">
        <v>20</v>
      </c>
      <c r="EC13">
        <v>15</v>
      </c>
      <c r="ED13">
        <v>21</v>
      </c>
      <c r="EE13">
        <v>28</v>
      </c>
      <c r="EF13">
        <f t="shared" si="9"/>
        <v>326</v>
      </c>
      <c r="EG13">
        <f t="shared" si="10"/>
        <v>2506</v>
      </c>
      <c r="EH13">
        <f t="shared" si="11"/>
        <v>326</v>
      </c>
      <c r="EI13">
        <v>1962</v>
      </c>
      <c r="EJ13">
        <v>2115</v>
      </c>
      <c r="EK13">
        <v>2720</v>
      </c>
      <c r="EL13">
        <v>2014</v>
      </c>
      <c r="EM13">
        <v>1137</v>
      </c>
      <c r="EN13">
        <v>2384</v>
      </c>
      <c r="EO13">
        <v>2828</v>
      </c>
      <c r="EP13">
        <v>2789</v>
      </c>
      <c r="EQ13">
        <v>1917</v>
      </c>
      <c r="ER13">
        <v>3296</v>
      </c>
      <c r="ES13">
        <v>2354</v>
      </c>
      <c r="ET13">
        <v>2880</v>
      </c>
      <c r="EU13">
        <f t="shared" si="12"/>
        <v>28396</v>
      </c>
      <c r="EV13">
        <v>416</v>
      </c>
      <c r="EW13">
        <v>602</v>
      </c>
      <c r="EX13">
        <v>695</v>
      </c>
      <c r="EY13">
        <v>639</v>
      </c>
      <c r="EZ13">
        <v>113</v>
      </c>
      <c r="FA13">
        <v>614</v>
      </c>
      <c r="FB13">
        <v>987</v>
      </c>
      <c r="FC13">
        <v>818</v>
      </c>
      <c r="FD13">
        <v>634</v>
      </c>
      <c r="FE13">
        <v>870</v>
      </c>
      <c r="FF13">
        <v>716</v>
      </c>
      <c r="FG13">
        <v>969</v>
      </c>
      <c r="FH13">
        <f t="shared" si="13"/>
        <v>8073</v>
      </c>
      <c r="FI13">
        <v>11</v>
      </c>
      <c r="FJ13">
        <v>9</v>
      </c>
      <c r="FK13">
        <v>43</v>
      </c>
      <c r="FL13">
        <v>5</v>
      </c>
      <c r="FM13">
        <v>8</v>
      </c>
      <c r="FN13">
        <v>37</v>
      </c>
      <c r="FO13">
        <v>17</v>
      </c>
      <c r="FP13">
        <v>6</v>
      </c>
      <c r="FQ13">
        <v>4</v>
      </c>
      <c r="FR13">
        <v>51</v>
      </c>
      <c r="FS13">
        <v>21</v>
      </c>
      <c r="FT13">
        <v>9</v>
      </c>
      <c r="FU13">
        <f t="shared" si="14"/>
        <v>221</v>
      </c>
      <c r="FV13">
        <v>1535</v>
      </c>
      <c r="FW13">
        <v>1504</v>
      </c>
      <c r="FX13">
        <v>1982</v>
      </c>
      <c r="FY13">
        <v>1370</v>
      </c>
      <c r="FZ13">
        <v>1016</v>
      </c>
      <c r="GA13">
        <v>1733</v>
      </c>
      <c r="GB13">
        <v>1824</v>
      </c>
      <c r="GC13">
        <v>1965</v>
      </c>
      <c r="GD13">
        <v>1279</v>
      </c>
      <c r="GE13">
        <v>2375</v>
      </c>
      <c r="GF13">
        <v>1617</v>
      </c>
      <c r="GG13">
        <v>1902</v>
      </c>
      <c r="GH13">
        <f t="shared" si="15"/>
        <v>20102</v>
      </c>
      <c r="GI13">
        <v>42</v>
      </c>
      <c r="GJ13">
        <v>86</v>
      </c>
      <c r="GK13">
        <v>84</v>
      </c>
      <c r="GL13">
        <v>52</v>
      </c>
      <c r="GM13">
        <v>31</v>
      </c>
      <c r="GN13">
        <v>78</v>
      </c>
      <c r="GO13">
        <v>69</v>
      </c>
      <c r="GP13">
        <v>67</v>
      </c>
      <c r="GQ13">
        <v>50</v>
      </c>
      <c r="GR13">
        <v>36</v>
      </c>
      <c r="GS13">
        <v>29</v>
      </c>
      <c r="GT13">
        <v>45</v>
      </c>
      <c r="GU13">
        <f t="shared" si="16"/>
        <v>669</v>
      </c>
      <c r="GV13">
        <v>0</v>
      </c>
      <c r="GW13">
        <v>0</v>
      </c>
      <c r="GX13">
        <v>0</v>
      </c>
      <c r="GY13">
        <v>0</v>
      </c>
      <c r="GZ13">
        <v>0</v>
      </c>
      <c r="HA13">
        <v>0</v>
      </c>
      <c r="HB13">
        <v>0</v>
      </c>
      <c r="HC13">
        <v>0</v>
      </c>
      <c r="HD13">
        <v>0</v>
      </c>
      <c r="HE13">
        <v>0</v>
      </c>
      <c r="HF13">
        <v>0</v>
      </c>
      <c r="HG13">
        <v>0</v>
      </c>
      <c r="HH13">
        <f t="shared" si="17"/>
        <v>0</v>
      </c>
      <c r="HI13">
        <v>0</v>
      </c>
      <c r="HJ13">
        <v>0</v>
      </c>
      <c r="HK13">
        <v>0</v>
      </c>
      <c r="HL13">
        <v>0</v>
      </c>
      <c r="HM13">
        <v>0</v>
      </c>
      <c r="HN13">
        <v>0</v>
      </c>
      <c r="HO13">
        <v>0</v>
      </c>
      <c r="HP13">
        <v>0</v>
      </c>
      <c r="HQ13">
        <v>0</v>
      </c>
      <c r="HR13">
        <v>0</v>
      </c>
      <c r="HS13">
        <v>0</v>
      </c>
      <c r="HT13">
        <v>0</v>
      </c>
      <c r="HU13">
        <f t="shared" si="18"/>
        <v>0</v>
      </c>
      <c r="HV13">
        <v>42</v>
      </c>
      <c r="HW13">
        <v>86</v>
      </c>
      <c r="HX13">
        <v>84</v>
      </c>
      <c r="HY13">
        <v>52</v>
      </c>
      <c r="HZ13">
        <v>31</v>
      </c>
      <c r="IA13">
        <v>78</v>
      </c>
      <c r="IB13">
        <v>69</v>
      </c>
      <c r="IC13">
        <v>67</v>
      </c>
      <c r="ID13">
        <v>50</v>
      </c>
      <c r="IE13">
        <v>36</v>
      </c>
      <c r="IF13">
        <v>29</v>
      </c>
      <c r="IG13">
        <v>45</v>
      </c>
      <c r="IH13">
        <f t="shared" si="19"/>
        <v>669</v>
      </c>
      <c r="II13">
        <f t="shared" si="20"/>
        <v>28396</v>
      </c>
      <c r="IJ13">
        <f t="shared" si="21"/>
        <v>669</v>
      </c>
      <c r="IK13">
        <v>50910</v>
      </c>
      <c r="IL13">
        <v>51759</v>
      </c>
      <c r="IM13">
        <v>51642</v>
      </c>
      <c r="IN13">
        <v>59351</v>
      </c>
      <c r="IO13">
        <v>58077</v>
      </c>
      <c r="IP13">
        <v>57715</v>
      </c>
      <c r="IQ13">
        <v>59780</v>
      </c>
      <c r="IR13">
        <v>56566</v>
      </c>
      <c r="IS13">
        <v>40508</v>
      </c>
      <c r="IT13">
        <v>55971</v>
      </c>
      <c r="IU13">
        <v>53079</v>
      </c>
      <c r="IV13">
        <v>55617</v>
      </c>
      <c r="IW13">
        <f t="shared" si="22"/>
        <v>650975</v>
      </c>
      <c r="IX13">
        <v>21069</v>
      </c>
      <c r="IY13">
        <v>21700</v>
      </c>
      <c r="IZ13">
        <v>21605</v>
      </c>
      <c r="JA13">
        <v>25925</v>
      </c>
      <c r="JB13">
        <v>24556</v>
      </c>
      <c r="JC13">
        <v>25434</v>
      </c>
      <c r="JD13">
        <v>26024</v>
      </c>
      <c r="JE13">
        <v>24915</v>
      </c>
      <c r="JF13">
        <v>16158</v>
      </c>
      <c r="JG13">
        <v>24064</v>
      </c>
      <c r="JH13">
        <v>23406</v>
      </c>
      <c r="JI13">
        <v>23916</v>
      </c>
      <c r="JJ13">
        <f t="shared" si="23"/>
        <v>278772</v>
      </c>
      <c r="JK13">
        <v>1178</v>
      </c>
      <c r="JL13">
        <v>1237</v>
      </c>
      <c r="JM13">
        <v>1269</v>
      </c>
      <c r="JN13">
        <v>1596</v>
      </c>
      <c r="JO13">
        <v>1723</v>
      </c>
      <c r="JP13">
        <v>1386</v>
      </c>
      <c r="JQ13">
        <v>1473</v>
      </c>
      <c r="JR13">
        <v>1226</v>
      </c>
      <c r="JS13">
        <v>1006</v>
      </c>
      <c r="JT13">
        <v>1225</v>
      </c>
      <c r="JU13">
        <v>1161</v>
      </c>
      <c r="JV13">
        <v>1273</v>
      </c>
      <c r="JW13">
        <f t="shared" si="24"/>
        <v>15753</v>
      </c>
      <c r="JX13">
        <v>28663</v>
      </c>
      <c r="JY13">
        <v>28822</v>
      </c>
      <c r="JZ13">
        <v>28768</v>
      </c>
      <c r="KA13">
        <v>31830</v>
      </c>
      <c r="KB13">
        <v>31798</v>
      </c>
      <c r="KC13">
        <v>30895</v>
      </c>
      <c r="KD13">
        <v>32283</v>
      </c>
      <c r="KE13">
        <v>30425</v>
      </c>
      <c r="KF13">
        <v>23344</v>
      </c>
      <c r="KG13">
        <v>30682</v>
      </c>
      <c r="KH13">
        <v>28512</v>
      </c>
      <c r="KI13">
        <v>30428</v>
      </c>
      <c r="KJ13">
        <f t="shared" si="25"/>
        <v>356450</v>
      </c>
      <c r="KK13">
        <v>512</v>
      </c>
      <c r="KL13">
        <v>425</v>
      </c>
      <c r="KM13">
        <v>452</v>
      </c>
      <c r="KN13">
        <v>442</v>
      </c>
      <c r="KO13">
        <v>492</v>
      </c>
      <c r="KP13">
        <v>384</v>
      </c>
      <c r="KQ13">
        <v>482</v>
      </c>
      <c r="KR13">
        <v>449</v>
      </c>
      <c r="KS13">
        <v>311</v>
      </c>
      <c r="KT13">
        <v>408</v>
      </c>
      <c r="KU13">
        <v>452</v>
      </c>
      <c r="KV13">
        <v>511</v>
      </c>
      <c r="KW13">
        <f t="shared" si="26"/>
        <v>5320</v>
      </c>
      <c r="KX13">
        <v>92</v>
      </c>
      <c r="KY13">
        <v>76</v>
      </c>
      <c r="KZ13">
        <v>74</v>
      </c>
      <c r="LA13">
        <v>110</v>
      </c>
      <c r="LB13">
        <v>133</v>
      </c>
      <c r="LC13">
        <v>114</v>
      </c>
      <c r="LD13">
        <v>98</v>
      </c>
      <c r="LE13">
        <v>105</v>
      </c>
      <c r="LF13">
        <v>68</v>
      </c>
      <c r="LG13">
        <v>106</v>
      </c>
      <c r="LH13">
        <v>114</v>
      </c>
      <c r="LI13">
        <v>125</v>
      </c>
      <c r="LJ13">
        <f t="shared" si="27"/>
        <v>1215</v>
      </c>
      <c r="LK13">
        <v>0</v>
      </c>
      <c r="LL13">
        <v>0</v>
      </c>
      <c r="LM13">
        <v>0</v>
      </c>
      <c r="LN13">
        <v>0</v>
      </c>
      <c r="LO13">
        <v>0</v>
      </c>
      <c r="LP13">
        <v>0</v>
      </c>
      <c r="LQ13">
        <v>0</v>
      </c>
      <c r="LR13">
        <v>0</v>
      </c>
      <c r="LS13">
        <v>0</v>
      </c>
      <c r="LT13">
        <v>0</v>
      </c>
      <c r="LU13">
        <v>0</v>
      </c>
      <c r="LV13">
        <v>0</v>
      </c>
      <c r="LW13">
        <f t="shared" si="28"/>
        <v>0</v>
      </c>
      <c r="LX13">
        <v>420</v>
      </c>
      <c r="LY13">
        <v>349</v>
      </c>
      <c r="LZ13">
        <v>378</v>
      </c>
      <c r="MA13">
        <v>332</v>
      </c>
      <c r="MB13">
        <v>359</v>
      </c>
      <c r="MC13">
        <v>270</v>
      </c>
      <c r="MD13">
        <v>384</v>
      </c>
      <c r="ME13">
        <v>344</v>
      </c>
      <c r="MF13">
        <v>243</v>
      </c>
      <c r="MG13">
        <v>302</v>
      </c>
      <c r="MH13">
        <v>338</v>
      </c>
      <c r="MI13">
        <v>386</v>
      </c>
      <c r="MJ13">
        <f t="shared" si="29"/>
        <v>4105</v>
      </c>
      <c r="MK13">
        <v>5349</v>
      </c>
      <c r="ML13">
        <v>5416</v>
      </c>
      <c r="MM13">
        <v>5201</v>
      </c>
      <c r="MN13">
        <v>5523</v>
      </c>
      <c r="MO13">
        <v>5800</v>
      </c>
      <c r="MP13">
        <v>5245</v>
      </c>
      <c r="MQ13">
        <v>5597</v>
      </c>
      <c r="MR13">
        <v>5060</v>
      </c>
      <c r="MS13">
        <v>5098</v>
      </c>
      <c r="MT13">
        <v>5366</v>
      </c>
      <c r="MU13">
        <v>4850</v>
      </c>
      <c r="MV13">
        <v>5097</v>
      </c>
      <c r="MW13">
        <f t="shared" si="30"/>
        <v>63602</v>
      </c>
      <c r="MX13">
        <v>686</v>
      </c>
      <c r="MY13">
        <v>668</v>
      </c>
      <c r="MZ13">
        <v>506</v>
      </c>
      <c r="NA13">
        <v>597</v>
      </c>
      <c r="NB13">
        <v>658</v>
      </c>
      <c r="NC13">
        <v>539</v>
      </c>
      <c r="ND13">
        <v>570</v>
      </c>
      <c r="NE13">
        <v>583</v>
      </c>
      <c r="NF13">
        <v>549</v>
      </c>
      <c r="NG13">
        <v>508</v>
      </c>
      <c r="NH13">
        <v>463</v>
      </c>
      <c r="NI13">
        <v>494</v>
      </c>
      <c r="NJ13">
        <f t="shared" si="31"/>
        <v>6821</v>
      </c>
      <c r="NK13">
        <v>251</v>
      </c>
      <c r="NL13">
        <v>261</v>
      </c>
      <c r="NM13">
        <v>245</v>
      </c>
      <c r="NN13">
        <v>255</v>
      </c>
      <c r="NO13">
        <v>248</v>
      </c>
      <c r="NP13">
        <v>234</v>
      </c>
      <c r="NQ13">
        <v>205</v>
      </c>
      <c r="NR13">
        <v>180</v>
      </c>
      <c r="NS13">
        <v>206</v>
      </c>
      <c r="NT13">
        <v>232</v>
      </c>
      <c r="NU13">
        <v>218</v>
      </c>
      <c r="NV13">
        <v>228</v>
      </c>
      <c r="NW13">
        <f t="shared" si="32"/>
        <v>2763</v>
      </c>
      <c r="NX13">
        <v>4412</v>
      </c>
      <c r="NY13">
        <v>4487</v>
      </c>
      <c r="NZ13">
        <v>4450</v>
      </c>
      <c r="OA13">
        <v>4671</v>
      </c>
      <c r="OB13">
        <v>4894</v>
      </c>
      <c r="OC13">
        <v>4472</v>
      </c>
      <c r="OD13">
        <v>4822</v>
      </c>
      <c r="OE13">
        <v>4297</v>
      </c>
      <c r="OF13">
        <v>4343</v>
      </c>
      <c r="OG13">
        <v>4626</v>
      </c>
      <c r="OH13">
        <v>4169</v>
      </c>
      <c r="OI13">
        <v>4375</v>
      </c>
      <c r="OJ13">
        <f t="shared" si="33"/>
        <v>54018</v>
      </c>
      <c r="OK13">
        <v>10870</v>
      </c>
      <c r="OL13">
        <v>10963</v>
      </c>
      <c r="OM13">
        <v>10436</v>
      </c>
      <c r="ON13">
        <v>11169</v>
      </c>
      <c r="OO13">
        <v>11516</v>
      </c>
      <c r="OP13">
        <v>10819</v>
      </c>
      <c r="OQ13">
        <v>11294</v>
      </c>
      <c r="OR13">
        <v>10978</v>
      </c>
      <c r="OS13">
        <v>11325</v>
      </c>
      <c r="OT13">
        <v>12540</v>
      </c>
      <c r="OU13">
        <v>11139</v>
      </c>
      <c r="OV13">
        <v>12281</v>
      </c>
      <c r="OW13">
        <f t="shared" si="34"/>
        <v>135330</v>
      </c>
      <c r="OX13">
        <v>1895</v>
      </c>
      <c r="OY13">
        <v>1825</v>
      </c>
      <c r="OZ13">
        <v>1683</v>
      </c>
      <c r="PA13">
        <v>1886</v>
      </c>
      <c r="PB13">
        <v>2058</v>
      </c>
      <c r="PC13">
        <v>1738</v>
      </c>
      <c r="PD13">
        <v>1844</v>
      </c>
      <c r="PE13">
        <v>1729</v>
      </c>
      <c r="PF13">
        <v>1906</v>
      </c>
      <c r="PG13">
        <v>1931</v>
      </c>
      <c r="PH13">
        <v>1657</v>
      </c>
      <c r="PI13">
        <v>1967</v>
      </c>
      <c r="PJ13">
        <f t="shared" si="35"/>
        <v>22119</v>
      </c>
      <c r="PK13">
        <v>529</v>
      </c>
      <c r="PL13">
        <v>512</v>
      </c>
      <c r="PM13">
        <v>426</v>
      </c>
      <c r="PN13">
        <v>527</v>
      </c>
      <c r="PO13">
        <v>486</v>
      </c>
      <c r="PP13">
        <v>484</v>
      </c>
      <c r="PQ13">
        <v>456</v>
      </c>
      <c r="PR13">
        <v>464</v>
      </c>
      <c r="PS13">
        <v>460</v>
      </c>
      <c r="PT13">
        <v>482</v>
      </c>
      <c r="PU13">
        <v>418</v>
      </c>
      <c r="PV13">
        <v>466</v>
      </c>
      <c r="PW13">
        <f t="shared" si="36"/>
        <v>5710</v>
      </c>
      <c r="PX13">
        <v>8446</v>
      </c>
      <c r="PY13">
        <v>8626</v>
      </c>
      <c r="PZ13">
        <v>8327</v>
      </c>
      <c r="QA13">
        <v>8756</v>
      </c>
      <c r="QB13">
        <v>8972</v>
      </c>
      <c r="QC13">
        <v>8597</v>
      </c>
      <c r="QD13">
        <v>8994</v>
      </c>
      <c r="QE13">
        <v>8785</v>
      </c>
      <c r="QF13">
        <v>8959</v>
      </c>
      <c r="QG13">
        <v>10127</v>
      </c>
      <c r="QH13">
        <v>9064</v>
      </c>
      <c r="QI13">
        <v>9848</v>
      </c>
      <c r="QJ13">
        <f t="shared" si="37"/>
        <v>107501</v>
      </c>
      <c r="QK13">
        <v>89476</v>
      </c>
      <c r="QL13">
        <v>90313</v>
      </c>
      <c r="QM13">
        <v>79245</v>
      </c>
      <c r="QN13">
        <v>80615</v>
      </c>
      <c r="QO13">
        <v>75986</v>
      </c>
      <c r="QP13">
        <v>78797</v>
      </c>
      <c r="QQ13">
        <v>90743</v>
      </c>
      <c r="QR13">
        <v>91920</v>
      </c>
      <c r="QS13">
        <v>68855</v>
      </c>
      <c r="QT13">
        <v>96599</v>
      </c>
      <c r="QU13">
        <v>91943</v>
      </c>
      <c r="QV13">
        <v>97068</v>
      </c>
      <c r="QW13">
        <f t="shared" si="38"/>
        <v>1031560</v>
      </c>
      <c r="QX13">
        <v>11481</v>
      </c>
      <c r="QY13">
        <v>12451</v>
      </c>
      <c r="QZ13">
        <v>12560</v>
      </c>
      <c r="RA13">
        <v>13486</v>
      </c>
      <c r="RB13">
        <v>13030</v>
      </c>
      <c r="RC13">
        <v>12993</v>
      </c>
      <c r="RD13">
        <v>13103</v>
      </c>
      <c r="RE13">
        <v>12901</v>
      </c>
      <c r="RF13">
        <v>9064</v>
      </c>
      <c r="RG13">
        <v>13407</v>
      </c>
      <c r="RH13">
        <v>12870</v>
      </c>
      <c r="RI13">
        <v>13298</v>
      </c>
      <c r="RJ13">
        <f t="shared" si="39"/>
        <v>150644</v>
      </c>
      <c r="RK13">
        <v>0</v>
      </c>
      <c r="RL13">
        <v>0</v>
      </c>
      <c r="RM13">
        <v>0</v>
      </c>
      <c r="RN13">
        <v>0</v>
      </c>
      <c r="RO13">
        <v>0</v>
      </c>
      <c r="RP13">
        <v>0</v>
      </c>
      <c r="RQ13">
        <v>0</v>
      </c>
      <c r="RR13">
        <v>0</v>
      </c>
      <c r="RS13">
        <v>0</v>
      </c>
      <c r="RT13">
        <v>0</v>
      </c>
      <c r="RU13">
        <v>0</v>
      </c>
      <c r="RV13">
        <v>0</v>
      </c>
      <c r="RW13">
        <f t="shared" si="40"/>
        <v>0</v>
      </c>
      <c r="RX13">
        <v>0</v>
      </c>
      <c r="RY13">
        <v>0</v>
      </c>
      <c r="RZ13">
        <v>0</v>
      </c>
      <c r="SA13">
        <v>0</v>
      </c>
      <c r="SB13">
        <v>0</v>
      </c>
      <c r="SC13">
        <v>0</v>
      </c>
      <c r="SD13">
        <v>0</v>
      </c>
      <c r="SE13">
        <v>0</v>
      </c>
      <c r="SF13">
        <v>0</v>
      </c>
      <c r="SG13">
        <v>0</v>
      </c>
      <c r="SH13">
        <v>0</v>
      </c>
      <c r="SI13">
        <v>0</v>
      </c>
      <c r="SJ13">
        <f t="shared" si="41"/>
        <v>0</v>
      </c>
      <c r="SK13">
        <v>58</v>
      </c>
      <c r="SL13">
        <v>49</v>
      </c>
      <c r="SM13">
        <v>46</v>
      </c>
      <c r="SN13">
        <v>55</v>
      </c>
      <c r="SO13">
        <v>55</v>
      </c>
      <c r="SP13">
        <v>54</v>
      </c>
      <c r="SQ13">
        <v>65</v>
      </c>
      <c r="SR13">
        <v>56</v>
      </c>
      <c r="SS13">
        <v>61</v>
      </c>
      <c r="ST13">
        <v>55</v>
      </c>
      <c r="SU13">
        <v>60</v>
      </c>
      <c r="SV13">
        <v>55</v>
      </c>
      <c r="SW13">
        <f t="shared" si="42"/>
        <v>669</v>
      </c>
      <c r="SX13" t="s">
        <v>1394</v>
      </c>
      <c r="SY13">
        <v>4649</v>
      </c>
      <c r="SZ13">
        <v>4889</v>
      </c>
      <c r="TA13">
        <v>4544</v>
      </c>
      <c r="TB13">
        <v>4597</v>
      </c>
      <c r="TC13">
        <v>4425</v>
      </c>
      <c r="TD13">
        <v>4993</v>
      </c>
      <c r="TE13">
        <v>5446</v>
      </c>
      <c r="TF13">
        <v>6329</v>
      </c>
      <c r="TG13">
        <v>3782</v>
      </c>
      <c r="TH13">
        <v>5377</v>
      </c>
      <c r="TI13">
        <v>5444</v>
      </c>
      <c r="TJ13">
        <v>5505</v>
      </c>
      <c r="TK13">
        <f t="shared" si="43"/>
        <v>59980</v>
      </c>
      <c r="TL13">
        <v>0</v>
      </c>
      <c r="TM13">
        <v>0</v>
      </c>
      <c r="TN13">
        <v>0</v>
      </c>
      <c r="TO13">
        <v>0</v>
      </c>
      <c r="TP13">
        <v>0</v>
      </c>
      <c r="TQ13">
        <v>0</v>
      </c>
      <c r="TR13">
        <v>0</v>
      </c>
      <c r="TS13">
        <v>0</v>
      </c>
      <c r="TT13">
        <v>0</v>
      </c>
      <c r="TU13">
        <v>0</v>
      </c>
      <c r="TV13">
        <v>0</v>
      </c>
      <c r="TW13">
        <v>0</v>
      </c>
      <c r="TX13">
        <f t="shared" si="44"/>
        <v>0</v>
      </c>
      <c r="TY13">
        <v>158</v>
      </c>
      <c r="TZ13">
        <v>0</v>
      </c>
      <c r="UA13">
        <v>0</v>
      </c>
      <c r="UB13">
        <v>0</v>
      </c>
    </row>
    <row r="14" spans="1:548" ht="16.5" customHeight="1" x14ac:dyDescent="0.35">
      <c r="A14" t="s">
        <v>1501</v>
      </c>
      <c r="B14" t="s">
        <v>2864</v>
      </c>
      <c r="C14">
        <v>37538</v>
      </c>
      <c r="D14">
        <v>12416</v>
      </c>
      <c r="E14">
        <v>1964</v>
      </c>
      <c r="F14">
        <v>23158</v>
      </c>
      <c r="G14">
        <v>0</v>
      </c>
      <c r="H14">
        <v>0</v>
      </c>
      <c r="I14">
        <v>0</v>
      </c>
      <c r="J14">
        <v>0</v>
      </c>
      <c r="K14">
        <v>0</v>
      </c>
      <c r="L14">
        <v>0</v>
      </c>
      <c r="M14">
        <v>0</v>
      </c>
      <c r="N14">
        <v>0</v>
      </c>
      <c r="O14">
        <v>0</v>
      </c>
      <c r="P14">
        <v>0</v>
      </c>
      <c r="Q14">
        <v>0</v>
      </c>
      <c r="R14">
        <v>0</v>
      </c>
      <c r="S14" s="8">
        <f>SUM(G14:R14)</f>
        <v>0</v>
      </c>
      <c r="T14">
        <v>0</v>
      </c>
      <c r="U14">
        <v>0</v>
      </c>
      <c r="V14">
        <v>641</v>
      </c>
      <c r="W14">
        <v>0</v>
      </c>
      <c r="X14">
        <v>0</v>
      </c>
      <c r="Y14">
        <v>638</v>
      </c>
      <c r="Z14">
        <v>0</v>
      </c>
      <c r="AA14">
        <v>0</v>
      </c>
      <c r="AB14">
        <v>751</v>
      </c>
      <c r="AC14">
        <v>0</v>
      </c>
      <c r="AD14">
        <v>0</v>
      </c>
      <c r="AE14">
        <v>791</v>
      </c>
      <c r="AF14" s="8">
        <f t="shared" si="1"/>
        <v>2821</v>
      </c>
      <c r="AG14">
        <v>0</v>
      </c>
      <c r="AH14">
        <v>0</v>
      </c>
      <c r="AI14">
        <v>8</v>
      </c>
      <c r="AJ14">
        <v>0</v>
      </c>
      <c r="AK14">
        <v>0</v>
      </c>
      <c r="AL14">
        <v>2</v>
      </c>
      <c r="AM14">
        <v>0</v>
      </c>
      <c r="AN14">
        <v>0</v>
      </c>
      <c r="AO14">
        <v>4</v>
      </c>
      <c r="AP14">
        <v>0</v>
      </c>
      <c r="AQ14">
        <v>0</v>
      </c>
      <c r="AR14">
        <v>5</v>
      </c>
      <c r="AS14" s="8">
        <f t="shared" si="2"/>
        <v>19</v>
      </c>
      <c r="AT14">
        <v>0</v>
      </c>
      <c r="AU14">
        <v>0</v>
      </c>
      <c r="AV14">
        <v>256</v>
      </c>
      <c r="AW14">
        <v>0</v>
      </c>
      <c r="AX14">
        <v>0</v>
      </c>
      <c r="AY14">
        <v>209</v>
      </c>
      <c r="AZ14">
        <v>0</v>
      </c>
      <c r="BA14">
        <v>0</v>
      </c>
      <c r="BB14">
        <v>239</v>
      </c>
      <c r="BC14">
        <v>0</v>
      </c>
      <c r="BD14">
        <v>0</v>
      </c>
      <c r="BE14">
        <v>316</v>
      </c>
      <c r="BF14" s="8">
        <f t="shared" si="3"/>
        <v>1020</v>
      </c>
      <c r="BG14">
        <v>0</v>
      </c>
      <c r="BH14">
        <v>0</v>
      </c>
      <c r="BI14">
        <v>0</v>
      </c>
      <c r="BJ14">
        <v>0</v>
      </c>
      <c r="BK14">
        <v>0</v>
      </c>
      <c r="BL14">
        <v>0</v>
      </c>
      <c r="BM14">
        <v>0</v>
      </c>
      <c r="BN14">
        <v>0</v>
      </c>
      <c r="BO14">
        <v>0</v>
      </c>
      <c r="BP14">
        <v>0</v>
      </c>
      <c r="BQ14">
        <v>0</v>
      </c>
      <c r="BR14">
        <v>0</v>
      </c>
      <c r="BS14" s="8">
        <f t="shared" si="4"/>
        <v>0</v>
      </c>
      <c r="BT14">
        <v>0</v>
      </c>
      <c r="BU14">
        <v>0</v>
      </c>
      <c r="BV14">
        <v>0</v>
      </c>
      <c r="BW14">
        <v>0</v>
      </c>
      <c r="BX14">
        <v>0</v>
      </c>
      <c r="BY14">
        <v>0</v>
      </c>
      <c r="BZ14">
        <v>0</v>
      </c>
      <c r="CA14">
        <v>0</v>
      </c>
      <c r="CB14">
        <v>0</v>
      </c>
      <c r="CC14">
        <v>0</v>
      </c>
      <c r="CD14">
        <v>0</v>
      </c>
      <c r="CE14">
        <v>0</v>
      </c>
      <c r="CF14" s="8">
        <f t="shared" si="5"/>
        <v>0</v>
      </c>
      <c r="CG14">
        <v>0</v>
      </c>
      <c r="CH14">
        <v>0</v>
      </c>
      <c r="CI14">
        <v>0</v>
      </c>
      <c r="CJ14">
        <v>0</v>
      </c>
      <c r="CK14">
        <v>0</v>
      </c>
      <c r="CL14">
        <v>0</v>
      </c>
      <c r="CM14">
        <v>0</v>
      </c>
      <c r="CN14">
        <v>0</v>
      </c>
      <c r="CO14">
        <v>0</v>
      </c>
      <c r="CP14">
        <v>0</v>
      </c>
      <c r="CQ14">
        <v>0</v>
      </c>
      <c r="CR14">
        <v>0</v>
      </c>
      <c r="CS14" s="8">
        <f t="shared" si="6"/>
        <v>0</v>
      </c>
      <c r="CT14">
        <v>0</v>
      </c>
      <c r="CU14">
        <v>0</v>
      </c>
      <c r="CV14">
        <v>0</v>
      </c>
      <c r="CW14">
        <v>0</v>
      </c>
      <c r="CX14">
        <v>0</v>
      </c>
      <c r="CY14">
        <v>0</v>
      </c>
      <c r="CZ14">
        <v>0</v>
      </c>
      <c r="DA14">
        <v>0</v>
      </c>
      <c r="DB14">
        <v>0</v>
      </c>
      <c r="DC14">
        <v>0</v>
      </c>
      <c r="DD14">
        <v>0</v>
      </c>
      <c r="DE14">
        <v>0</v>
      </c>
      <c r="DF14" s="8">
        <f t="shared" si="7"/>
        <v>0</v>
      </c>
      <c r="DG14">
        <v>0</v>
      </c>
      <c r="DH14">
        <v>0</v>
      </c>
      <c r="DI14">
        <v>11</v>
      </c>
      <c r="DJ14">
        <v>0</v>
      </c>
      <c r="DK14">
        <v>0</v>
      </c>
      <c r="DL14">
        <v>13</v>
      </c>
      <c r="DM14">
        <v>0</v>
      </c>
      <c r="DN14">
        <v>0</v>
      </c>
      <c r="DO14">
        <v>19</v>
      </c>
      <c r="DP14">
        <v>0</v>
      </c>
      <c r="DQ14">
        <v>0</v>
      </c>
      <c r="DR14">
        <v>26</v>
      </c>
      <c r="DS14" s="8">
        <f t="shared" si="8"/>
        <v>69</v>
      </c>
      <c r="DT14">
        <v>0</v>
      </c>
      <c r="DU14">
        <v>0</v>
      </c>
      <c r="DV14">
        <v>0</v>
      </c>
      <c r="DW14">
        <v>0</v>
      </c>
      <c r="DX14">
        <v>0</v>
      </c>
      <c r="DY14">
        <v>0</v>
      </c>
      <c r="DZ14">
        <v>0</v>
      </c>
      <c r="EA14">
        <v>0</v>
      </c>
      <c r="EB14">
        <v>0</v>
      </c>
      <c r="EC14">
        <v>0</v>
      </c>
      <c r="ED14">
        <v>0</v>
      </c>
      <c r="EE14">
        <v>0</v>
      </c>
      <c r="EF14" s="8">
        <f t="shared" si="9"/>
        <v>0</v>
      </c>
      <c r="EG14" s="9">
        <f t="shared" si="10"/>
        <v>3860</v>
      </c>
      <c r="EH14" s="12">
        <v>70</v>
      </c>
      <c r="EI14">
        <v>0</v>
      </c>
      <c r="EJ14">
        <v>0</v>
      </c>
      <c r="EK14">
        <v>0</v>
      </c>
      <c r="EL14">
        <v>0</v>
      </c>
      <c r="EM14">
        <v>0</v>
      </c>
      <c r="EN14">
        <v>0</v>
      </c>
      <c r="EO14">
        <v>0</v>
      </c>
      <c r="EP14">
        <v>0</v>
      </c>
      <c r="EQ14">
        <v>0</v>
      </c>
      <c r="ER14">
        <v>0</v>
      </c>
      <c r="ES14">
        <v>0</v>
      </c>
      <c r="ET14">
        <v>0</v>
      </c>
      <c r="EU14" s="8">
        <f>SUM(EI14:ET14)</f>
        <v>0</v>
      </c>
      <c r="EV14">
        <v>0</v>
      </c>
      <c r="EW14">
        <v>0</v>
      </c>
      <c r="EX14">
        <v>11110</v>
      </c>
      <c r="EY14">
        <v>0</v>
      </c>
      <c r="EZ14">
        <v>0</v>
      </c>
      <c r="FA14">
        <v>11833</v>
      </c>
      <c r="FB14">
        <v>0</v>
      </c>
      <c r="FC14">
        <v>0</v>
      </c>
      <c r="FD14">
        <v>12720</v>
      </c>
      <c r="FE14">
        <v>0</v>
      </c>
      <c r="FF14">
        <v>0</v>
      </c>
      <c r="FG14">
        <v>14830</v>
      </c>
      <c r="FH14" s="8">
        <f t="shared" si="13"/>
        <v>50493</v>
      </c>
      <c r="FI14">
        <v>0</v>
      </c>
      <c r="FJ14">
        <v>0</v>
      </c>
      <c r="FK14">
        <v>69</v>
      </c>
      <c r="FL14">
        <v>0</v>
      </c>
      <c r="FM14">
        <v>0</v>
      </c>
      <c r="FN14">
        <v>27</v>
      </c>
      <c r="FO14">
        <v>0</v>
      </c>
      <c r="FP14">
        <v>0</v>
      </c>
      <c r="FQ14">
        <v>37</v>
      </c>
      <c r="FR14">
        <v>0</v>
      </c>
      <c r="FS14">
        <v>0</v>
      </c>
      <c r="FT14">
        <v>22</v>
      </c>
      <c r="FU14" s="8">
        <f t="shared" si="14"/>
        <v>155</v>
      </c>
      <c r="FV14">
        <v>0</v>
      </c>
      <c r="FW14">
        <v>0</v>
      </c>
      <c r="FX14">
        <v>1148</v>
      </c>
      <c r="FY14">
        <v>0</v>
      </c>
      <c r="FZ14">
        <v>0</v>
      </c>
      <c r="GA14">
        <v>1000</v>
      </c>
      <c r="GB14">
        <v>0</v>
      </c>
      <c r="GC14">
        <v>0</v>
      </c>
      <c r="GD14">
        <v>1504</v>
      </c>
      <c r="GE14">
        <v>0</v>
      </c>
      <c r="GF14">
        <v>0</v>
      </c>
      <c r="GG14">
        <v>2753</v>
      </c>
      <c r="GH14" s="8">
        <f t="shared" si="15"/>
        <v>6405</v>
      </c>
      <c r="GI14">
        <v>0</v>
      </c>
      <c r="GJ14">
        <v>0</v>
      </c>
      <c r="GK14">
        <v>0</v>
      </c>
      <c r="GL14">
        <v>0</v>
      </c>
      <c r="GM14">
        <v>0</v>
      </c>
      <c r="GN14">
        <v>0</v>
      </c>
      <c r="GO14">
        <v>0</v>
      </c>
      <c r="GP14">
        <v>0</v>
      </c>
      <c r="GQ14">
        <v>0</v>
      </c>
      <c r="GR14">
        <v>0</v>
      </c>
      <c r="GS14">
        <v>0</v>
      </c>
      <c r="GT14">
        <v>0</v>
      </c>
      <c r="GU14" s="8">
        <f t="shared" si="16"/>
        <v>0</v>
      </c>
      <c r="GV14">
        <v>0</v>
      </c>
      <c r="GW14">
        <v>0</v>
      </c>
      <c r="GX14">
        <v>0</v>
      </c>
      <c r="GY14">
        <v>0</v>
      </c>
      <c r="GZ14">
        <v>0</v>
      </c>
      <c r="HA14">
        <v>0</v>
      </c>
      <c r="HB14">
        <v>0</v>
      </c>
      <c r="HC14">
        <v>0</v>
      </c>
      <c r="HD14">
        <v>0</v>
      </c>
      <c r="HE14">
        <v>0</v>
      </c>
      <c r="HF14">
        <v>0</v>
      </c>
      <c r="HG14">
        <v>0</v>
      </c>
      <c r="HH14" s="8">
        <f t="shared" si="17"/>
        <v>0</v>
      </c>
      <c r="HI14">
        <v>0</v>
      </c>
      <c r="HJ14">
        <v>0</v>
      </c>
      <c r="HK14">
        <v>0</v>
      </c>
      <c r="HL14">
        <v>0</v>
      </c>
      <c r="HM14">
        <v>0</v>
      </c>
      <c r="HN14">
        <v>0</v>
      </c>
      <c r="HO14">
        <v>0</v>
      </c>
      <c r="HP14">
        <v>0</v>
      </c>
      <c r="HQ14">
        <v>0</v>
      </c>
      <c r="HR14">
        <v>0</v>
      </c>
      <c r="HS14">
        <v>0</v>
      </c>
      <c r="HT14">
        <v>0</v>
      </c>
      <c r="HU14" s="8">
        <f t="shared" si="18"/>
        <v>0</v>
      </c>
      <c r="HV14">
        <v>0</v>
      </c>
      <c r="HW14">
        <v>0</v>
      </c>
      <c r="HX14">
        <v>11</v>
      </c>
      <c r="HY14">
        <v>0</v>
      </c>
      <c r="HZ14">
        <v>0</v>
      </c>
      <c r="IA14">
        <v>22</v>
      </c>
      <c r="IB14">
        <v>0</v>
      </c>
      <c r="IC14">
        <v>0</v>
      </c>
      <c r="ID14">
        <v>28</v>
      </c>
      <c r="IE14">
        <v>0</v>
      </c>
      <c r="IF14">
        <v>0</v>
      </c>
      <c r="IG14">
        <v>27</v>
      </c>
      <c r="IH14" s="8">
        <f t="shared" si="19"/>
        <v>88</v>
      </c>
      <c r="II14" s="12">
        <f t="shared" si="20"/>
        <v>57053</v>
      </c>
      <c r="IJ14" s="12">
        <f t="shared" si="21"/>
        <v>88</v>
      </c>
      <c r="IK14">
        <v>0</v>
      </c>
      <c r="IL14">
        <v>0</v>
      </c>
      <c r="IM14">
        <v>0</v>
      </c>
      <c r="IN14">
        <v>0</v>
      </c>
      <c r="IO14">
        <v>0</v>
      </c>
      <c r="IP14">
        <v>0</v>
      </c>
      <c r="IQ14">
        <v>0</v>
      </c>
      <c r="IR14">
        <v>0</v>
      </c>
      <c r="IS14">
        <v>0</v>
      </c>
      <c r="IT14">
        <v>0</v>
      </c>
      <c r="IU14">
        <v>0</v>
      </c>
      <c r="IV14">
        <v>0</v>
      </c>
      <c r="IW14" s="6">
        <f t="shared" si="22"/>
        <v>0</v>
      </c>
      <c r="IX14" s="178"/>
      <c r="IY14" s="178"/>
      <c r="IZ14" s="178"/>
      <c r="JA14" s="178"/>
      <c r="JB14" s="178"/>
      <c r="JC14" s="178"/>
      <c r="JD14" s="178"/>
      <c r="JE14" s="178"/>
      <c r="JF14" s="178"/>
      <c r="JG14" s="178"/>
      <c r="JH14" s="178"/>
      <c r="JI14" s="178"/>
      <c r="JJ14" s="179">
        <f>SUM(IX14:JI14)</f>
        <v>0</v>
      </c>
      <c r="JK14">
        <v>1818</v>
      </c>
      <c r="JL14">
        <v>1899</v>
      </c>
      <c r="JM14">
        <v>1805</v>
      </c>
      <c r="JN14">
        <v>2214</v>
      </c>
      <c r="JO14">
        <v>2420</v>
      </c>
      <c r="JP14">
        <v>2198</v>
      </c>
      <c r="JQ14">
        <v>2252</v>
      </c>
      <c r="JR14">
        <v>1921</v>
      </c>
      <c r="JS14">
        <v>1849</v>
      </c>
      <c r="JT14">
        <v>1994</v>
      </c>
      <c r="JU14">
        <v>1979</v>
      </c>
      <c r="JV14">
        <v>2061</v>
      </c>
      <c r="JW14" s="6">
        <f t="shared" si="24"/>
        <v>24410</v>
      </c>
      <c r="JX14">
        <v>51412</v>
      </c>
      <c r="JY14">
        <v>52777</v>
      </c>
      <c r="JZ14">
        <v>51068</v>
      </c>
      <c r="KA14">
        <v>54877</v>
      </c>
      <c r="KB14">
        <v>56498</v>
      </c>
      <c r="KC14">
        <v>55624</v>
      </c>
      <c r="KD14">
        <v>57888</v>
      </c>
      <c r="KE14">
        <v>54728</v>
      </c>
      <c r="KF14">
        <v>54601</v>
      </c>
      <c r="KG14">
        <v>57514</v>
      </c>
      <c r="KH14">
        <v>53115</v>
      </c>
      <c r="KI14">
        <v>26196</v>
      </c>
      <c r="KJ14" s="6">
        <f t="shared" si="25"/>
        <v>626298</v>
      </c>
      <c r="KK14">
        <v>0</v>
      </c>
      <c r="KL14">
        <v>0</v>
      </c>
      <c r="KM14">
        <v>0</v>
      </c>
      <c r="KN14">
        <v>0</v>
      </c>
      <c r="KO14">
        <v>0</v>
      </c>
      <c r="KP14">
        <v>0</v>
      </c>
      <c r="KQ14">
        <v>0</v>
      </c>
      <c r="KR14">
        <v>0</v>
      </c>
      <c r="KS14">
        <v>0</v>
      </c>
      <c r="KT14">
        <v>0</v>
      </c>
      <c r="KU14">
        <v>0</v>
      </c>
      <c r="KV14">
        <v>0</v>
      </c>
      <c r="KW14" s="6">
        <f t="shared" si="26"/>
        <v>0</v>
      </c>
      <c r="KX14">
        <v>367</v>
      </c>
      <c r="KY14">
        <v>336</v>
      </c>
      <c r="KZ14">
        <v>292</v>
      </c>
      <c r="LA14">
        <v>401</v>
      </c>
      <c r="LB14">
        <v>436</v>
      </c>
      <c r="LC14">
        <v>309</v>
      </c>
      <c r="LD14">
        <v>366</v>
      </c>
      <c r="LE14">
        <v>322</v>
      </c>
      <c r="LF14">
        <v>308</v>
      </c>
      <c r="LG14">
        <v>405</v>
      </c>
      <c r="LH14">
        <v>373</v>
      </c>
      <c r="LI14">
        <v>330</v>
      </c>
      <c r="LJ14" s="6">
        <f t="shared" si="27"/>
        <v>4245</v>
      </c>
      <c r="LK14">
        <v>0</v>
      </c>
      <c r="LL14">
        <v>0</v>
      </c>
      <c r="LM14">
        <v>0</v>
      </c>
      <c r="LN14">
        <v>0</v>
      </c>
      <c r="LO14">
        <v>0</v>
      </c>
      <c r="LP14">
        <v>0</v>
      </c>
      <c r="LQ14">
        <v>0</v>
      </c>
      <c r="LR14">
        <v>0</v>
      </c>
      <c r="LS14">
        <v>0</v>
      </c>
      <c r="LT14">
        <v>0</v>
      </c>
      <c r="LU14">
        <v>0</v>
      </c>
      <c r="LV14">
        <v>0</v>
      </c>
      <c r="LW14" s="6">
        <f t="shared" si="28"/>
        <v>0</v>
      </c>
      <c r="LX14">
        <v>844</v>
      </c>
      <c r="LY14">
        <v>835</v>
      </c>
      <c r="LZ14">
        <v>797</v>
      </c>
      <c r="MA14">
        <v>823</v>
      </c>
      <c r="MB14">
        <v>838</v>
      </c>
      <c r="MC14">
        <v>922</v>
      </c>
      <c r="MD14">
        <v>970</v>
      </c>
      <c r="ME14">
        <v>778</v>
      </c>
      <c r="MF14">
        <v>790</v>
      </c>
      <c r="MG14">
        <v>809</v>
      </c>
      <c r="MH14">
        <v>798</v>
      </c>
      <c r="MI14">
        <v>844</v>
      </c>
      <c r="MJ14" s="6">
        <f t="shared" si="29"/>
        <v>10048</v>
      </c>
      <c r="MK14">
        <v>0</v>
      </c>
      <c r="ML14">
        <v>0</v>
      </c>
      <c r="MM14">
        <v>0</v>
      </c>
      <c r="MN14">
        <v>0</v>
      </c>
      <c r="MO14">
        <v>0</v>
      </c>
      <c r="MP14">
        <v>0</v>
      </c>
      <c r="MQ14">
        <v>0</v>
      </c>
      <c r="MR14">
        <v>0</v>
      </c>
      <c r="MS14">
        <v>0</v>
      </c>
      <c r="MT14">
        <v>0</v>
      </c>
      <c r="MU14">
        <v>0</v>
      </c>
      <c r="MV14">
        <v>0</v>
      </c>
      <c r="MW14" s="6">
        <f t="shared" si="30"/>
        <v>0</v>
      </c>
      <c r="MX14">
        <v>0</v>
      </c>
      <c r="MY14">
        <v>0</v>
      </c>
      <c r="MZ14">
        <v>0</v>
      </c>
      <c r="NA14">
        <v>0</v>
      </c>
      <c r="NB14">
        <v>0</v>
      </c>
      <c r="NC14">
        <v>0</v>
      </c>
      <c r="ND14">
        <v>0</v>
      </c>
      <c r="NE14">
        <v>0</v>
      </c>
      <c r="NF14">
        <v>0</v>
      </c>
      <c r="NG14">
        <v>0</v>
      </c>
      <c r="NH14">
        <v>0</v>
      </c>
      <c r="NI14">
        <v>0</v>
      </c>
      <c r="NJ14" s="6">
        <f t="shared" si="31"/>
        <v>0</v>
      </c>
      <c r="NK14">
        <v>0</v>
      </c>
      <c r="NL14">
        <v>0</v>
      </c>
      <c r="NM14">
        <v>0</v>
      </c>
      <c r="NN14">
        <v>0</v>
      </c>
      <c r="NO14">
        <v>0</v>
      </c>
      <c r="NP14">
        <v>0</v>
      </c>
      <c r="NQ14">
        <v>0</v>
      </c>
      <c r="NR14">
        <v>0</v>
      </c>
      <c r="NS14">
        <v>0</v>
      </c>
      <c r="NT14">
        <v>0</v>
      </c>
      <c r="NU14">
        <v>0</v>
      </c>
      <c r="NV14">
        <v>0</v>
      </c>
      <c r="NW14" s="6">
        <f t="shared" si="32"/>
        <v>0</v>
      </c>
      <c r="NX14">
        <v>5205</v>
      </c>
      <c r="NY14">
        <v>5156</v>
      </c>
      <c r="NZ14">
        <v>5020</v>
      </c>
      <c r="OA14">
        <v>5473</v>
      </c>
      <c r="OB14">
        <v>5625</v>
      </c>
      <c r="OC14">
        <v>5169</v>
      </c>
      <c r="OD14">
        <v>5303</v>
      </c>
      <c r="OE14">
        <v>5199</v>
      </c>
      <c r="OF14">
        <v>6680</v>
      </c>
      <c r="OG14">
        <v>6508</v>
      </c>
      <c r="OH14">
        <v>5942</v>
      </c>
      <c r="OI14">
        <v>6605</v>
      </c>
      <c r="OJ14" s="6">
        <f t="shared" si="33"/>
        <v>67885</v>
      </c>
      <c r="OK14">
        <v>0</v>
      </c>
      <c r="OL14">
        <v>0</v>
      </c>
      <c r="OM14">
        <v>0</v>
      </c>
      <c r="ON14">
        <v>0</v>
      </c>
      <c r="OO14">
        <v>0</v>
      </c>
      <c r="OP14">
        <v>0</v>
      </c>
      <c r="OQ14">
        <v>0</v>
      </c>
      <c r="OR14">
        <v>0</v>
      </c>
      <c r="OS14">
        <v>0</v>
      </c>
      <c r="OT14">
        <v>0</v>
      </c>
      <c r="OU14">
        <v>0</v>
      </c>
      <c r="OV14">
        <v>0</v>
      </c>
      <c r="OW14" s="6">
        <f t="shared" si="34"/>
        <v>0</v>
      </c>
      <c r="OX14">
        <v>0</v>
      </c>
      <c r="OY14">
        <v>0</v>
      </c>
      <c r="OZ14">
        <v>0</v>
      </c>
      <c r="PA14">
        <v>0</v>
      </c>
      <c r="PB14">
        <v>0</v>
      </c>
      <c r="PC14">
        <v>0</v>
      </c>
      <c r="PD14">
        <v>0</v>
      </c>
      <c r="PE14">
        <v>0</v>
      </c>
      <c r="PF14">
        <v>0</v>
      </c>
      <c r="PG14">
        <v>0</v>
      </c>
      <c r="PH14">
        <v>0</v>
      </c>
      <c r="PI14">
        <v>0</v>
      </c>
      <c r="PJ14" s="6">
        <f t="shared" si="35"/>
        <v>0</v>
      </c>
      <c r="PK14">
        <v>0</v>
      </c>
      <c r="PL14">
        <v>0</v>
      </c>
      <c r="PM14">
        <v>0</v>
      </c>
      <c r="PN14">
        <v>0</v>
      </c>
      <c r="PO14">
        <v>0</v>
      </c>
      <c r="PP14">
        <v>0</v>
      </c>
      <c r="PQ14">
        <v>0</v>
      </c>
      <c r="PR14">
        <v>0</v>
      </c>
      <c r="PS14">
        <v>0</v>
      </c>
      <c r="PT14">
        <v>0</v>
      </c>
      <c r="PU14">
        <v>0</v>
      </c>
      <c r="PV14">
        <v>0</v>
      </c>
      <c r="PW14" s="6">
        <f t="shared" si="36"/>
        <v>0</v>
      </c>
      <c r="PX14">
        <v>18991</v>
      </c>
      <c r="PY14">
        <v>19187</v>
      </c>
      <c r="PZ14">
        <v>18867</v>
      </c>
      <c r="QA14">
        <v>20029</v>
      </c>
      <c r="QB14">
        <v>20795</v>
      </c>
      <c r="QC14">
        <v>20318</v>
      </c>
      <c r="QD14">
        <v>20600</v>
      </c>
      <c r="QE14">
        <v>20366</v>
      </c>
      <c r="QF14">
        <v>27137</v>
      </c>
      <c r="QG14">
        <v>27221</v>
      </c>
      <c r="QH14">
        <v>27165</v>
      </c>
      <c r="QI14">
        <v>30124</v>
      </c>
      <c r="QJ14" s="6">
        <f t="shared" si="37"/>
        <v>270800</v>
      </c>
      <c r="QK14">
        <v>79038</v>
      </c>
      <c r="QL14">
        <v>83562</v>
      </c>
      <c r="QM14">
        <v>73490</v>
      </c>
      <c r="QN14">
        <v>80831</v>
      </c>
      <c r="QO14">
        <v>81067</v>
      </c>
      <c r="QP14">
        <v>87080</v>
      </c>
      <c r="QQ14">
        <v>93616</v>
      </c>
      <c r="QR14">
        <v>86197</v>
      </c>
      <c r="QS14">
        <v>72827</v>
      </c>
      <c r="QT14">
        <v>92959</v>
      </c>
      <c r="QU14">
        <v>80694</v>
      </c>
      <c r="QV14">
        <v>88343</v>
      </c>
      <c r="QW14" s="6">
        <f t="shared" si="38"/>
        <v>999704</v>
      </c>
      <c r="QX14">
        <v>5457</v>
      </c>
      <c r="QY14">
        <v>5891</v>
      </c>
      <c r="QZ14">
        <v>5361</v>
      </c>
      <c r="RA14">
        <v>6206</v>
      </c>
      <c r="RB14">
        <v>5884</v>
      </c>
      <c r="RC14">
        <v>5896</v>
      </c>
      <c r="RD14">
        <v>6293</v>
      </c>
      <c r="RE14">
        <v>5442</v>
      </c>
      <c r="RF14">
        <v>4709</v>
      </c>
      <c r="RG14">
        <v>5890</v>
      </c>
      <c r="RH14">
        <v>5748</v>
      </c>
      <c r="RI14">
        <v>2771</v>
      </c>
      <c r="RJ14" s="6">
        <f t="shared" si="39"/>
        <v>65548</v>
      </c>
      <c r="RK14">
        <v>0</v>
      </c>
      <c r="RL14">
        <v>0</v>
      </c>
      <c r="RM14">
        <v>0</v>
      </c>
      <c r="RN14">
        <v>0</v>
      </c>
      <c r="RO14">
        <v>0</v>
      </c>
      <c r="RP14">
        <v>0</v>
      </c>
      <c r="RQ14">
        <v>0</v>
      </c>
      <c r="RR14">
        <v>0</v>
      </c>
      <c r="RS14">
        <v>0</v>
      </c>
      <c r="RT14">
        <v>0</v>
      </c>
      <c r="RU14">
        <v>0</v>
      </c>
      <c r="RV14">
        <v>0</v>
      </c>
      <c r="RW14" s="6">
        <f t="shared" si="40"/>
        <v>0</v>
      </c>
      <c r="RX14">
        <v>0</v>
      </c>
      <c r="RY14">
        <v>0</v>
      </c>
      <c r="RZ14">
        <v>0</v>
      </c>
      <c r="SA14">
        <v>0</v>
      </c>
      <c r="SB14">
        <v>0</v>
      </c>
      <c r="SC14">
        <v>0</v>
      </c>
      <c r="SD14">
        <v>0</v>
      </c>
      <c r="SE14">
        <v>0</v>
      </c>
      <c r="SF14">
        <v>0</v>
      </c>
      <c r="SG14">
        <v>0</v>
      </c>
      <c r="SH14">
        <v>0</v>
      </c>
      <c r="SI14">
        <v>0</v>
      </c>
      <c r="SJ14" s="6">
        <f t="shared" si="41"/>
        <v>0</v>
      </c>
      <c r="SK14">
        <v>65</v>
      </c>
      <c r="SL14">
        <v>65</v>
      </c>
      <c r="SM14">
        <v>85</v>
      </c>
      <c r="SN14">
        <v>80</v>
      </c>
      <c r="SO14">
        <v>52</v>
      </c>
      <c r="SP14">
        <v>0</v>
      </c>
      <c r="SQ14">
        <v>120</v>
      </c>
      <c r="SR14">
        <v>109</v>
      </c>
      <c r="SS14">
        <v>84</v>
      </c>
      <c r="ST14">
        <v>136</v>
      </c>
      <c r="SU14">
        <v>96</v>
      </c>
      <c r="SV14">
        <v>92</v>
      </c>
      <c r="SW14" s="6">
        <f t="shared" si="42"/>
        <v>984</v>
      </c>
      <c r="SX14" t="s">
        <v>1502</v>
      </c>
      <c r="SY14">
        <v>8153</v>
      </c>
      <c r="SZ14">
        <v>7937</v>
      </c>
      <c r="TA14">
        <v>8062</v>
      </c>
      <c r="TB14">
        <v>8405</v>
      </c>
      <c r="TC14">
        <v>8050</v>
      </c>
      <c r="TD14">
        <v>8518</v>
      </c>
      <c r="TE14">
        <v>9354</v>
      </c>
      <c r="TF14">
        <v>8728</v>
      </c>
      <c r="TG14">
        <v>7413</v>
      </c>
      <c r="TH14">
        <v>8674</v>
      </c>
      <c r="TI14">
        <v>7958</v>
      </c>
      <c r="TJ14">
        <v>8276</v>
      </c>
      <c r="TK14" s="6">
        <f t="shared" si="43"/>
        <v>99528</v>
      </c>
      <c r="TL14">
        <v>18876</v>
      </c>
      <c r="TM14">
        <v>15009</v>
      </c>
      <c r="TN14">
        <v>12363</v>
      </c>
      <c r="TO14">
        <v>8619</v>
      </c>
      <c r="TP14">
        <v>7637</v>
      </c>
      <c r="TQ14">
        <v>11100</v>
      </c>
      <c r="TR14">
        <v>13166</v>
      </c>
      <c r="TS14">
        <v>12418</v>
      </c>
      <c r="TT14">
        <v>10914</v>
      </c>
      <c r="TU14">
        <v>13157</v>
      </c>
      <c r="TV14">
        <v>11453</v>
      </c>
      <c r="TW14">
        <v>14250</v>
      </c>
      <c r="TX14" s="6">
        <f t="shared" si="44"/>
        <v>148962</v>
      </c>
      <c r="TY14">
        <v>225</v>
      </c>
      <c r="TZ14">
        <v>0</v>
      </c>
      <c r="UA14">
        <v>0</v>
      </c>
      <c r="UB14">
        <v>0</v>
      </c>
    </row>
    <row r="15" spans="1:548" ht="16.5" customHeight="1" x14ac:dyDescent="0.35">
      <c r="A15" t="s">
        <v>1433</v>
      </c>
      <c r="B15" t="s">
        <v>2862</v>
      </c>
      <c r="C15">
        <v>35379</v>
      </c>
      <c r="D15">
        <v>10654</v>
      </c>
      <c r="E15">
        <v>2408</v>
      </c>
      <c r="F15">
        <v>22082</v>
      </c>
      <c r="G15">
        <v>155</v>
      </c>
      <c r="H15">
        <v>131</v>
      </c>
      <c r="I15">
        <v>136</v>
      </c>
      <c r="J15">
        <v>142</v>
      </c>
      <c r="K15">
        <v>120</v>
      </c>
      <c r="L15">
        <v>126</v>
      </c>
      <c r="M15">
        <v>131</v>
      </c>
      <c r="N15">
        <v>135</v>
      </c>
      <c r="O15">
        <v>145</v>
      </c>
      <c r="P15">
        <v>138</v>
      </c>
      <c r="Q15">
        <v>173</v>
      </c>
      <c r="R15">
        <v>160</v>
      </c>
      <c r="S15">
        <f t="shared" si="0"/>
        <v>1692</v>
      </c>
      <c r="T15">
        <v>0</v>
      </c>
      <c r="U15">
        <v>0</v>
      </c>
      <c r="V15">
        <v>0</v>
      </c>
      <c r="W15">
        <v>0</v>
      </c>
      <c r="X15">
        <v>0</v>
      </c>
      <c r="Y15">
        <v>0</v>
      </c>
      <c r="Z15">
        <v>0</v>
      </c>
      <c r="AA15">
        <v>0</v>
      </c>
      <c r="AB15">
        <v>0</v>
      </c>
      <c r="AC15">
        <v>0</v>
      </c>
      <c r="AD15">
        <v>0</v>
      </c>
      <c r="AE15">
        <v>0</v>
      </c>
      <c r="AF15">
        <f t="shared" si="1"/>
        <v>0</v>
      </c>
      <c r="AG15">
        <v>0</v>
      </c>
      <c r="AH15">
        <v>0</v>
      </c>
      <c r="AI15">
        <v>0</v>
      </c>
      <c r="AJ15">
        <v>0</v>
      </c>
      <c r="AK15">
        <v>0</v>
      </c>
      <c r="AL15">
        <v>0</v>
      </c>
      <c r="AM15">
        <v>0</v>
      </c>
      <c r="AN15">
        <v>0</v>
      </c>
      <c r="AO15">
        <v>0</v>
      </c>
      <c r="AP15">
        <v>0</v>
      </c>
      <c r="AQ15">
        <v>0</v>
      </c>
      <c r="AR15">
        <v>0</v>
      </c>
      <c r="AS15">
        <f t="shared" si="2"/>
        <v>0</v>
      </c>
      <c r="AT15">
        <v>0</v>
      </c>
      <c r="AU15">
        <v>0</v>
      </c>
      <c r="AV15">
        <v>0</v>
      </c>
      <c r="AW15">
        <v>0</v>
      </c>
      <c r="AX15">
        <v>0</v>
      </c>
      <c r="AY15">
        <v>0</v>
      </c>
      <c r="AZ15">
        <v>0</v>
      </c>
      <c r="BA15">
        <v>0</v>
      </c>
      <c r="BB15">
        <v>0</v>
      </c>
      <c r="BC15">
        <v>0</v>
      </c>
      <c r="BD15">
        <v>0</v>
      </c>
      <c r="BE15">
        <v>0</v>
      </c>
      <c r="BF15">
        <f t="shared" si="3"/>
        <v>0</v>
      </c>
      <c r="BG15">
        <v>0</v>
      </c>
      <c r="BH15">
        <v>0</v>
      </c>
      <c r="BI15">
        <v>0</v>
      </c>
      <c r="BJ15">
        <v>0</v>
      </c>
      <c r="BK15">
        <v>0</v>
      </c>
      <c r="BL15">
        <v>0</v>
      </c>
      <c r="BM15">
        <v>0</v>
      </c>
      <c r="BN15">
        <v>0</v>
      </c>
      <c r="BO15">
        <v>0</v>
      </c>
      <c r="BP15">
        <v>0</v>
      </c>
      <c r="BQ15">
        <v>0</v>
      </c>
      <c r="BR15">
        <v>0</v>
      </c>
      <c r="BS15">
        <f t="shared" si="4"/>
        <v>0</v>
      </c>
      <c r="BT15">
        <v>0</v>
      </c>
      <c r="BU15">
        <v>0</v>
      </c>
      <c r="BV15">
        <v>0</v>
      </c>
      <c r="BW15">
        <v>0</v>
      </c>
      <c r="BX15">
        <v>0</v>
      </c>
      <c r="BY15">
        <v>0</v>
      </c>
      <c r="BZ15">
        <v>0</v>
      </c>
      <c r="CA15">
        <v>0</v>
      </c>
      <c r="CB15">
        <v>0</v>
      </c>
      <c r="CC15">
        <v>0</v>
      </c>
      <c r="CD15">
        <v>0</v>
      </c>
      <c r="CE15">
        <v>0</v>
      </c>
      <c r="CF15">
        <f t="shared" si="5"/>
        <v>0</v>
      </c>
      <c r="CG15">
        <v>0</v>
      </c>
      <c r="CH15">
        <v>0</v>
      </c>
      <c r="CI15">
        <v>0</v>
      </c>
      <c r="CJ15">
        <v>0</v>
      </c>
      <c r="CK15">
        <v>0</v>
      </c>
      <c r="CL15">
        <v>0</v>
      </c>
      <c r="CM15">
        <v>0</v>
      </c>
      <c r="CN15">
        <v>0</v>
      </c>
      <c r="CO15">
        <v>0</v>
      </c>
      <c r="CP15">
        <v>0</v>
      </c>
      <c r="CQ15">
        <v>0</v>
      </c>
      <c r="CR15">
        <v>0</v>
      </c>
      <c r="CS15">
        <f t="shared" si="6"/>
        <v>0</v>
      </c>
      <c r="CT15">
        <v>0</v>
      </c>
      <c r="CU15">
        <v>0</v>
      </c>
      <c r="CV15">
        <v>0</v>
      </c>
      <c r="CW15">
        <v>0</v>
      </c>
      <c r="CX15">
        <v>0</v>
      </c>
      <c r="CY15">
        <v>0</v>
      </c>
      <c r="CZ15">
        <v>0</v>
      </c>
      <c r="DA15">
        <v>0</v>
      </c>
      <c r="DB15">
        <v>0</v>
      </c>
      <c r="DC15">
        <v>0</v>
      </c>
      <c r="DD15">
        <v>0</v>
      </c>
      <c r="DE15">
        <v>0</v>
      </c>
      <c r="DF15">
        <f t="shared" si="7"/>
        <v>0</v>
      </c>
      <c r="DG15">
        <v>0</v>
      </c>
      <c r="DH15">
        <v>0</v>
      </c>
      <c r="DI15">
        <v>0</v>
      </c>
      <c r="DJ15">
        <v>0</v>
      </c>
      <c r="DK15">
        <v>0</v>
      </c>
      <c r="DL15">
        <v>0</v>
      </c>
      <c r="DM15">
        <v>0</v>
      </c>
      <c r="DN15">
        <v>0</v>
      </c>
      <c r="DO15">
        <v>0</v>
      </c>
      <c r="DP15">
        <v>0</v>
      </c>
      <c r="DQ15">
        <v>0</v>
      </c>
      <c r="DR15">
        <v>0</v>
      </c>
      <c r="DS15">
        <f t="shared" si="8"/>
        <v>0</v>
      </c>
      <c r="DT15">
        <v>0</v>
      </c>
      <c r="DU15">
        <v>0</v>
      </c>
      <c r="DV15">
        <v>0</v>
      </c>
      <c r="DW15">
        <v>0</v>
      </c>
      <c r="DX15">
        <v>0</v>
      </c>
      <c r="DY15">
        <v>0</v>
      </c>
      <c r="DZ15">
        <v>0</v>
      </c>
      <c r="EA15">
        <v>0</v>
      </c>
      <c r="EB15">
        <v>0</v>
      </c>
      <c r="EC15">
        <v>0</v>
      </c>
      <c r="ED15">
        <v>0</v>
      </c>
      <c r="EE15">
        <v>0</v>
      </c>
      <c r="EF15">
        <f t="shared" si="9"/>
        <v>0</v>
      </c>
      <c r="EG15">
        <f t="shared" si="10"/>
        <v>0</v>
      </c>
      <c r="EH15">
        <f t="shared" si="11"/>
        <v>0</v>
      </c>
      <c r="EI15">
        <v>0</v>
      </c>
      <c r="EJ15">
        <v>0</v>
      </c>
      <c r="EK15">
        <v>0</v>
      </c>
      <c r="EL15">
        <v>0</v>
      </c>
      <c r="EM15">
        <v>0</v>
      </c>
      <c r="EN15">
        <v>0</v>
      </c>
      <c r="EO15">
        <v>0</v>
      </c>
      <c r="EP15">
        <v>0</v>
      </c>
      <c r="EQ15">
        <v>0</v>
      </c>
      <c r="ER15">
        <v>0</v>
      </c>
      <c r="ES15">
        <v>0</v>
      </c>
      <c r="ET15">
        <v>0</v>
      </c>
      <c r="EU15">
        <f t="shared" si="12"/>
        <v>0</v>
      </c>
      <c r="EV15">
        <v>0</v>
      </c>
      <c r="EW15">
        <v>0</v>
      </c>
      <c r="EX15">
        <v>0</v>
      </c>
      <c r="EY15">
        <v>0</v>
      </c>
      <c r="EZ15">
        <v>0</v>
      </c>
      <c r="FA15">
        <v>0</v>
      </c>
      <c r="FB15">
        <v>0</v>
      </c>
      <c r="FC15">
        <v>0</v>
      </c>
      <c r="FD15">
        <v>0</v>
      </c>
      <c r="FE15">
        <v>0</v>
      </c>
      <c r="FF15">
        <v>0</v>
      </c>
      <c r="FG15">
        <v>0</v>
      </c>
      <c r="FH15">
        <f t="shared" si="13"/>
        <v>0</v>
      </c>
      <c r="FI15">
        <v>0</v>
      </c>
      <c r="FJ15">
        <v>0</v>
      </c>
      <c r="FK15">
        <v>0</v>
      </c>
      <c r="FL15">
        <v>0</v>
      </c>
      <c r="FM15">
        <v>0</v>
      </c>
      <c r="FN15">
        <v>0</v>
      </c>
      <c r="FO15">
        <v>0</v>
      </c>
      <c r="FP15">
        <v>0</v>
      </c>
      <c r="FQ15">
        <v>0</v>
      </c>
      <c r="FR15">
        <v>0</v>
      </c>
      <c r="FS15">
        <v>0</v>
      </c>
      <c r="FT15">
        <v>0</v>
      </c>
      <c r="FU15">
        <f t="shared" si="14"/>
        <v>0</v>
      </c>
      <c r="FV15">
        <v>0</v>
      </c>
      <c r="FW15">
        <v>0</v>
      </c>
      <c r="FX15">
        <v>0</v>
      </c>
      <c r="FY15">
        <v>0</v>
      </c>
      <c r="FZ15">
        <v>0</v>
      </c>
      <c r="GA15">
        <v>0</v>
      </c>
      <c r="GB15">
        <v>0</v>
      </c>
      <c r="GC15">
        <v>0</v>
      </c>
      <c r="GD15">
        <v>0</v>
      </c>
      <c r="GE15">
        <v>0</v>
      </c>
      <c r="GF15">
        <v>0</v>
      </c>
      <c r="GG15">
        <v>0</v>
      </c>
      <c r="GH15">
        <f t="shared" si="15"/>
        <v>0</v>
      </c>
      <c r="GI15">
        <v>0</v>
      </c>
      <c r="GJ15">
        <v>0</v>
      </c>
      <c r="GK15">
        <v>0</v>
      </c>
      <c r="GL15">
        <v>0</v>
      </c>
      <c r="GM15">
        <v>0</v>
      </c>
      <c r="GN15">
        <v>0</v>
      </c>
      <c r="GO15">
        <v>0</v>
      </c>
      <c r="GP15">
        <v>0</v>
      </c>
      <c r="GQ15">
        <v>0</v>
      </c>
      <c r="GR15">
        <v>0</v>
      </c>
      <c r="GS15">
        <v>0</v>
      </c>
      <c r="GT15">
        <v>0</v>
      </c>
      <c r="GU15">
        <f t="shared" si="16"/>
        <v>0</v>
      </c>
      <c r="GV15">
        <v>0</v>
      </c>
      <c r="GW15">
        <v>0</v>
      </c>
      <c r="GX15">
        <v>0</v>
      </c>
      <c r="GY15">
        <v>0</v>
      </c>
      <c r="GZ15">
        <v>0</v>
      </c>
      <c r="HA15">
        <v>0</v>
      </c>
      <c r="HB15">
        <v>0</v>
      </c>
      <c r="HC15">
        <v>0</v>
      </c>
      <c r="HD15">
        <v>0</v>
      </c>
      <c r="HE15">
        <v>0</v>
      </c>
      <c r="HF15">
        <v>0</v>
      </c>
      <c r="HG15">
        <v>0</v>
      </c>
      <c r="HH15">
        <f t="shared" si="17"/>
        <v>0</v>
      </c>
      <c r="HI15">
        <v>0</v>
      </c>
      <c r="HJ15">
        <v>0</v>
      </c>
      <c r="HK15">
        <v>0</v>
      </c>
      <c r="HL15">
        <v>0</v>
      </c>
      <c r="HM15">
        <v>0</v>
      </c>
      <c r="HN15">
        <v>0</v>
      </c>
      <c r="HO15">
        <v>0</v>
      </c>
      <c r="HP15">
        <v>0</v>
      </c>
      <c r="HQ15">
        <v>0</v>
      </c>
      <c r="HR15">
        <v>0</v>
      </c>
      <c r="HS15">
        <v>0</v>
      </c>
      <c r="HT15">
        <v>0</v>
      </c>
      <c r="HU15">
        <f t="shared" si="18"/>
        <v>0</v>
      </c>
      <c r="HV15">
        <v>0</v>
      </c>
      <c r="HW15">
        <v>0</v>
      </c>
      <c r="HX15">
        <v>0</v>
      </c>
      <c r="HY15">
        <v>0</v>
      </c>
      <c r="HZ15">
        <v>0</v>
      </c>
      <c r="IA15">
        <v>0</v>
      </c>
      <c r="IB15">
        <v>0</v>
      </c>
      <c r="IC15">
        <v>0</v>
      </c>
      <c r="ID15">
        <v>0</v>
      </c>
      <c r="IE15">
        <v>0</v>
      </c>
      <c r="IF15">
        <v>0</v>
      </c>
      <c r="IG15">
        <v>0</v>
      </c>
      <c r="IH15">
        <f t="shared" si="19"/>
        <v>0</v>
      </c>
      <c r="II15">
        <f t="shared" si="20"/>
        <v>0</v>
      </c>
      <c r="IJ15">
        <f t="shared" si="21"/>
        <v>0</v>
      </c>
      <c r="IK15">
        <v>85031</v>
      </c>
      <c r="IL15">
        <v>89524</v>
      </c>
      <c r="IM15">
        <v>75441</v>
      </c>
      <c r="IN15">
        <v>97057</v>
      </c>
      <c r="IO15">
        <v>100596</v>
      </c>
      <c r="IP15">
        <v>90376</v>
      </c>
      <c r="IQ15">
        <v>91509</v>
      </c>
      <c r="IR15">
        <v>81989</v>
      </c>
      <c r="IS15">
        <v>72070</v>
      </c>
      <c r="IT15">
        <v>83754</v>
      </c>
      <c r="IU15">
        <v>81654</v>
      </c>
      <c r="IV15">
        <v>87627</v>
      </c>
      <c r="IW15">
        <f t="shared" si="22"/>
        <v>1036628</v>
      </c>
      <c r="IX15">
        <v>29669</v>
      </c>
      <c r="IY15">
        <v>31277</v>
      </c>
      <c r="IZ15">
        <v>25057</v>
      </c>
      <c r="JA15">
        <v>36625</v>
      </c>
      <c r="JB15">
        <v>40036</v>
      </c>
      <c r="JC15">
        <v>34492</v>
      </c>
      <c r="JD15">
        <v>33897</v>
      </c>
      <c r="JE15">
        <v>29881</v>
      </c>
      <c r="JF15">
        <v>24441</v>
      </c>
      <c r="JG15">
        <v>27731</v>
      </c>
      <c r="JH15">
        <v>27671</v>
      </c>
      <c r="JI15">
        <v>29354</v>
      </c>
      <c r="JJ15">
        <f t="shared" si="23"/>
        <v>370131</v>
      </c>
      <c r="JK15">
        <v>4928</v>
      </c>
      <c r="JL15">
        <v>4988</v>
      </c>
      <c r="JM15">
        <v>3872</v>
      </c>
      <c r="JN15">
        <v>5162</v>
      </c>
      <c r="JO15">
        <v>5969</v>
      </c>
      <c r="JP15">
        <v>4232</v>
      </c>
      <c r="JQ15">
        <v>4176</v>
      </c>
      <c r="JR15">
        <v>3143</v>
      </c>
      <c r="JS15">
        <v>2788</v>
      </c>
      <c r="JT15">
        <v>4745</v>
      </c>
      <c r="JU15">
        <v>4657</v>
      </c>
      <c r="JV15">
        <v>4985</v>
      </c>
      <c r="JW15">
        <f t="shared" si="24"/>
        <v>53645</v>
      </c>
      <c r="JX15">
        <v>50434</v>
      </c>
      <c r="JY15">
        <v>53259</v>
      </c>
      <c r="JZ15">
        <v>46512</v>
      </c>
      <c r="KA15">
        <v>55270</v>
      </c>
      <c r="KB15">
        <v>54591</v>
      </c>
      <c r="KC15">
        <v>51652</v>
      </c>
      <c r="KD15">
        <v>53436</v>
      </c>
      <c r="KE15">
        <v>48965</v>
      </c>
      <c r="KF15">
        <v>44841</v>
      </c>
      <c r="KG15">
        <v>51278</v>
      </c>
      <c r="KH15">
        <v>49326</v>
      </c>
      <c r="KI15">
        <v>53288</v>
      </c>
      <c r="KJ15">
        <f t="shared" si="25"/>
        <v>612852</v>
      </c>
      <c r="KK15">
        <v>189</v>
      </c>
      <c r="KL15">
        <v>246</v>
      </c>
      <c r="KM15">
        <v>234</v>
      </c>
      <c r="KN15">
        <v>202</v>
      </c>
      <c r="KO15">
        <v>253</v>
      </c>
      <c r="KP15">
        <v>201</v>
      </c>
      <c r="KQ15">
        <v>216</v>
      </c>
      <c r="KR15">
        <v>212</v>
      </c>
      <c r="KS15">
        <v>205</v>
      </c>
      <c r="KT15">
        <v>241</v>
      </c>
      <c r="KU15">
        <v>199</v>
      </c>
      <c r="KV15">
        <v>200</v>
      </c>
      <c r="KW15">
        <f t="shared" si="26"/>
        <v>2598</v>
      </c>
      <c r="KX15">
        <v>10</v>
      </c>
      <c r="KY15">
        <v>19</v>
      </c>
      <c r="KZ15">
        <v>11</v>
      </c>
      <c r="LA15">
        <v>23</v>
      </c>
      <c r="LB15">
        <v>18</v>
      </c>
      <c r="LC15">
        <v>11</v>
      </c>
      <c r="LD15">
        <v>9</v>
      </c>
      <c r="LE15">
        <v>10</v>
      </c>
      <c r="LF15">
        <v>9</v>
      </c>
      <c r="LG15">
        <v>11</v>
      </c>
      <c r="LH15">
        <v>12</v>
      </c>
      <c r="LI15">
        <v>13</v>
      </c>
      <c r="LJ15">
        <f t="shared" si="27"/>
        <v>156</v>
      </c>
      <c r="LK15">
        <v>0</v>
      </c>
      <c r="LL15">
        <v>0</v>
      </c>
      <c r="LM15">
        <v>0</v>
      </c>
      <c r="LN15">
        <v>0</v>
      </c>
      <c r="LO15">
        <v>2</v>
      </c>
      <c r="LP15">
        <v>2</v>
      </c>
      <c r="LQ15">
        <v>0</v>
      </c>
      <c r="LR15">
        <v>0</v>
      </c>
      <c r="LS15">
        <v>1</v>
      </c>
      <c r="LT15">
        <v>3</v>
      </c>
      <c r="LU15">
        <v>3</v>
      </c>
      <c r="LV15">
        <v>1</v>
      </c>
      <c r="LW15">
        <f t="shared" si="28"/>
        <v>12</v>
      </c>
      <c r="LX15">
        <v>179</v>
      </c>
      <c r="LY15">
        <v>227</v>
      </c>
      <c r="LZ15">
        <v>223</v>
      </c>
      <c r="MA15">
        <v>179</v>
      </c>
      <c r="MB15">
        <v>233</v>
      </c>
      <c r="MC15">
        <v>188</v>
      </c>
      <c r="MD15">
        <v>207</v>
      </c>
      <c r="ME15">
        <v>202</v>
      </c>
      <c r="MF15">
        <v>195</v>
      </c>
      <c r="MG15">
        <v>227</v>
      </c>
      <c r="MH15">
        <v>184</v>
      </c>
      <c r="MI15">
        <v>186</v>
      </c>
      <c r="MJ15">
        <f t="shared" si="29"/>
        <v>2430</v>
      </c>
      <c r="MK15">
        <v>8278</v>
      </c>
      <c r="ML15">
        <v>8556</v>
      </c>
      <c r="MM15">
        <v>8032</v>
      </c>
      <c r="MN15">
        <v>8665</v>
      </c>
      <c r="MO15">
        <v>9112</v>
      </c>
      <c r="MP15">
        <v>8336</v>
      </c>
      <c r="MQ15">
        <v>8736</v>
      </c>
      <c r="MR15">
        <v>8260</v>
      </c>
      <c r="MS15">
        <v>8429</v>
      </c>
      <c r="MT15">
        <v>9034</v>
      </c>
      <c r="MU15">
        <v>8346</v>
      </c>
      <c r="MV15">
        <v>9121</v>
      </c>
      <c r="MW15">
        <f t="shared" si="30"/>
        <v>102905</v>
      </c>
      <c r="MX15">
        <v>0</v>
      </c>
      <c r="MY15">
        <v>0</v>
      </c>
      <c r="MZ15">
        <v>0</v>
      </c>
      <c r="NA15">
        <v>0</v>
      </c>
      <c r="NB15">
        <v>0</v>
      </c>
      <c r="NC15">
        <v>0</v>
      </c>
      <c r="ND15">
        <v>0</v>
      </c>
      <c r="NE15">
        <v>0</v>
      </c>
      <c r="NF15">
        <v>0</v>
      </c>
      <c r="NG15">
        <v>0</v>
      </c>
      <c r="NH15">
        <v>0</v>
      </c>
      <c r="NI15">
        <v>0</v>
      </c>
      <c r="NJ15">
        <f t="shared" si="31"/>
        <v>0</v>
      </c>
      <c r="NK15">
        <v>0</v>
      </c>
      <c r="NL15">
        <v>0</v>
      </c>
      <c r="NM15">
        <v>0</v>
      </c>
      <c r="NN15">
        <v>0</v>
      </c>
      <c r="NO15">
        <v>0</v>
      </c>
      <c r="NP15">
        <v>0</v>
      </c>
      <c r="NQ15">
        <v>0</v>
      </c>
      <c r="NR15">
        <v>0</v>
      </c>
      <c r="NS15">
        <v>0</v>
      </c>
      <c r="NT15">
        <v>0</v>
      </c>
      <c r="NU15">
        <v>0</v>
      </c>
      <c r="NV15">
        <v>0</v>
      </c>
      <c r="NW15">
        <f t="shared" si="32"/>
        <v>0</v>
      </c>
      <c r="NX15">
        <v>0</v>
      </c>
      <c r="NY15">
        <v>0</v>
      </c>
      <c r="NZ15">
        <v>0</v>
      </c>
      <c r="OA15">
        <v>0</v>
      </c>
      <c r="OB15">
        <v>0</v>
      </c>
      <c r="OC15">
        <v>0</v>
      </c>
      <c r="OD15">
        <v>0</v>
      </c>
      <c r="OE15">
        <v>0</v>
      </c>
      <c r="OF15">
        <v>0</v>
      </c>
      <c r="OG15">
        <v>0</v>
      </c>
      <c r="OH15">
        <v>0</v>
      </c>
      <c r="OI15">
        <v>0</v>
      </c>
      <c r="OJ15">
        <f t="shared" si="33"/>
        <v>0</v>
      </c>
      <c r="OK15">
        <v>8009</v>
      </c>
      <c r="OL15">
        <v>8220</v>
      </c>
      <c r="OM15">
        <v>7759</v>
      </c>
      <c r="ON15">
        <v>7878</v>
      </c>
      <c r="OO15">
        <v>8208</v>
      </c>
      <c r="OP15">
        <v>7842</v>
      </c>
      <c r="OQ15">
        <v>8366</v>
      </c>
      <c r="OR15">
        <v>7633</v>
      </c>
      <c r="OS15">
        <v>7572</v>
      </c>
      <c r="OT15">
        <v>8509</v>
      </c>
      <c r="OU15">
        <v>7917</v>
      </c>
      <c r="OV15">
        <v>8842</v>
      </c>
      <c r="OW15">
        <f t="shared" si="34"/>
        <v>96755</v>
      </c>
      <c r="OX15">
        <v>0</v>
      </c>
      <c r="OY15">
        <v>0</v>
      </c>
      <c r="OZ15">
        <v>0</v>
      </c>
      <c r="PA15">
        <v>0</v>
      </c>
      <c r="PB15">
        <v>0</v>
      </c>
      <c r="PC15">
        <v>0</v>
      </c>
      <c r="PD15">
        <v>0</v>
      </c>
      <c r="PE15">
        <v>0</v>
      </c>
      <c r="PF15">
        <v>0</v>
      </c>
      <c r="PG15">
        <v>0</v>
      </c>
      <c r="PH15">
        <v>0</v>
      </c>
      <c r="PI15">
        <v>0</v>
      </c>
      <c r="PJ15">
        <f t="shared" si="35"/>
        <v>0</v>
      </c>
      <c r="PK15">
        <v>0</v>
      </c>
      <c r="PL15">
        <v>0</v>
      </c>
      <c r="PM15">
        <v>0</v>
      </c>
      <c r="PN15">
        <v>0</v>
      </c>
      <c r="PO15">
        <v>0</v>
      </c>
      <c r="PP15">
        <v>0</v>
      </c>
      <c r="PQ15">
        <v>0</v>
      </c>
      <c r="PR15">
        <v>0</v>
      </c>
      <c r="PS15">
        <v>0</v>
      </c>
      <c r="PT15">
        <v>0</v>
      </c>
      <c r="PU15">
        <v>0</v>
      </c>
      <c r="PV15">
        <v>0</v>
      </c>
      <c r="PW15">
        <f t="shared" si="36"/>
        <v>0</v>
      </c>
      <c r="PX15">
        <v>0</v>
      </c>
      <c r="PY15">
        <v>0</v>
      </c>
      <c r="PZ15">
        <v>0</v>
      </c>
      <c r="QA15">
        <v>0</v>
      </c>
      <c r="QB15">
        <v>0</v>
      </c>
      <c r="QC15">
        <v>0</v>
      </c>
      <c r="QD15">
        <v>0</v>
      </c>
      <c r="QE15">
        <v>0</v>
      </c>
      <c r="QF15">
        <v>0</v>
      </c>
      <c r="QG15">
        <v>0</v>
      </c>
      <c r="QH15">
        <v>0</v>
      </c>
      <c r="QI15">
        <v>0</v>
      </c>
      <c r="QJ15">
        <f t="shared" si="37"/>
        <v>0</v>
      </c>
      <c r="QK15">
        <v>84813</v>
      </c>
      <c r="QL15">
        <v>88285</v>
      </c>
      <c r="QM15">
        <v>69524</v>
      </c>
      <c r="QN15">
        <v>83977</v>
      </c>
      <c r="QO15">
        <v>80759</v>
      </c>
      <c r="QP15">
        <v>81039</v>
      </c>
      <c r="QQ15">
        <v>86325</v>
      </c>
      <c r="QR15">
        <v>74383</v>
      </c>
      <c r="QS15">
        <v>66528</v>
      </c>
      <c r="QT15">
        <v>81520</v>
      </c>
      <c r="QU15">
        <v>81587</v>
      </c>
      <c r="QV15">
        <v>87168</v>
      </c>
      <c r="QW15">
        <f t="shared" si="38"/>
        <v>965908</v>
      </c>
      <c r="QX15">
        <v>0</v>
      </c>
      <c r="QY15">
        <v>0</v>
      </c>
      <c r="QZ15">
        <v>0</v>
      </c>
      <c r="RA15">
        <v>0</v>
      </c>
      <c r="RB15">
        <v>0</v>
      </c>
      <c r="RC15">
        <v>0</v>
      </c>
      <c r="RD15">
        <v>0</v>
      </c>
      <c r="RE15">
        <v>0</v>
      </c>
      <c r="RF15">
        <v>0</v>
      </c>
      <c r="RG15">
        <v>0</v>
      </c>
      <c r="RH15">
        <v>0</v>
      </c>
      <c r="RI15">
        <v>0</v>
      </c>
      <c r="RJ15">
        <f t="shared" si="39"/>
        <v>0</v>
      </c>
      <c r="RK15">
        <v>0</v>
      </c>
      <c r="RL15">
        <v>0</v>
      </c>
      <c r="RM15">
        <v>0</v>
      </c>
      <c r="RN15">
        <v>0</v>
      </c>
      <c r="RO15">
        <v>0</v>
      </c>
      <c r="RP15">
        <v>0</v>
      </c>
      <c r="RQ15">
        <v>0</v>
      </c>
      <c r="RR15">
        <v>0</v>
      </c>
      <c r="RS15">
        <v>0</v>
      </c>
      <c r="RT15">
        <v>0</v>
      </c>
      <c r="RU15">
        <v>0</v>
      </c>
      <c r="RV15">
        <v>0</v>
      </c>
      <c r="RW15">
        <f t="shared" si="40"/>
        <v>0</v>
      </c>
      <c r="RX15">
        <v>0</v>
      </c>
      <c r="RY15">
        <v>0</v>
      </c>
      <c r="RZ15">
        <v>0</v>
      </c>
      <c r="SA15">
        <v>0</v>
      </c>
      <c r="SB15">
        <v>0</v>
      </c>
      <c r="SC15">
        <v>0</v>
      </c>
      <c r="SD15">
        <v>0</v>
      </c>
      <c r="SE15">
        <v>0</v>
      </c>
      <c r="SF15">
        <v>0</v>
      </c>
      <c r="SG15">
        <v>0</v>
      </c>
      <c r="SH15">
        <v>0</v>
      </c>
      <c r="SI15">
        <v>0</v>
      </c>
      <c r="SJ15">
        <f t="shared" si="41"/>
        <v>0</v>
      </c>
      <c r="SK15">
        <v>0</v>
      </c>
      <c r="SL15">
        <v>0</v>
      </c>
      <c r="SM15">
        <v>0</v>
      </c>
      <c r="SN15">
        <v>0</v>
      </c>
      <c r="SO15">
        <v>0</v>
      </c>
      <c r="SP15">
        <v>0</v>
      </c>
      <c r="SQ15">
        <v>0</v>
      </c>
      <c r="SR15">
        <v>0</v>
      </c>
      <c r="SS15">
        <v>0</v>
      </c>
      <c r="ST15">
        <v>0</v>
      </c>
      <c r="SU15">
        <v>0</v>
      </c>
      <c r="SV15">
        <v>0</v>
      </c>
      <c r="SW15">
        <f t="shared" si="42"/>
        <v>0</v>
      </c>
      <c r="SX15" t="s">
        <v>1434</v>
      </c>
      <c r="SY15">
        <v>349249</v>
      </c>
      <c r="SZ15">
        <v>349234</v>
      </c>
      <c r="TA15">
        <v>349179</v>
      </c>
      <c r="TB15">
        <v>349173</v>
      </c>
      <c r="TC15">
        <v>349158</v>
      </c>
      <c r="TD15">
        <v>349086</v>
      </c>
      <c r="TE15">
        <v>353004</v>
      </c>
      <c r="TF15">
        <v>348717</v>
      </c>
      <c r="TG15">
        <v>342498</v>
      </c>
      <c r="TH15">
        <v>339462</v>
      </c>
      <c r="TI15">
        <v>339093</v>
      </c>
      <c r="TJ15">
        <v>338985</v>
      </c>
      <c r="TK15">
        <f t="shared" si="43"/>
        <v>4156838</v>
      </c>
      <c r="TL15">
        <v>0</v>
      </c>
      <c r="TM15">
        <v>0</v>
      </c>
      <c r="TN15">
        <v>0</v>
      </c>
      <c r="TO15">
        <v>0</v>
      </c>
      <c r="TP15">
        <v>0</v>
      </c>
      <c r="TQ15">
        <v>0</v>
      </c>
      <c r="TR15">
        <v>0</v>
      </c>
      <c r="TS15">
        <v>0</v>
      </c>
      <c r="TT15">
        <v>0</v>
      </c>
      <c r="TU15">
        <v>0</v>
      </c>
      <c r="TV15">
        <v>0</v>
      </c>
      <c r="TW15">
        <v>0</v>
      </c>
      <c r="TX15">
        <f t="shared" si="44"/>
        <v>0</v>
      </c>
      <c r="TY15">
        <v>162</v>
      </c>
      <c r="TZ15">
        <v>27</v>
      </c>
      <c r="UA15">
        <v>998</v>
      </c>
      <c r="UB15">
        <v>62</v>
      </c>
    </row>
    <row r="16" spans="1:548" ht="16.5" customHeight="1" x14ac:dyDescent="0.35">
      <c r="A16" t="s">
        <v>1498</v>
      </c>
      <c r="B16" t="s">
        <v>2865</v>
      </c>
      <c r="C16">
        <v>17825</v>
      </c>
      <c r="D16">
        <v>6058</v>
      </c>
      <c r="E16">
        <v>1140</v>
      </c>
      <c r="F16">
        <v>10627</v>
      </c>
      <c r="G16">
        <v>0</v>
      </c>
      <c r="H16">
        <v>0</v>
      </c>
      <c r="I16">
        <v>0</v>
      </c>
      <c r="J16">
        <v>0</v>
      </c>
      <c r="K16">
        <v>0</v>
      </c>
      <c r="L16">
        <v>0</v>
      </c>
      <c r="M16">
        <v>0</v>
      </c>
      <c r="N16">
        <v>0</v>
      </c>
      <c r="O16">
        <v>0</v>
      </c>
      <c r="P16">
        <v>0</v>
      </c>
      <c r="Q16">
        <v>0</v>
      </c>
      <c r="R16">
        <v>2713</v>
      </c>
      <c r="S16" s="13">
        <v>2659</v>
      </c>
      <c r="T16">
        <v>0</v>
      </c>
      <c r="U16">
        <v>0</v>
      </c>
      <c r="V16">
        <v>0</v>
      </c>
      <c r="W16">
        <v>0</v>
      </c>
      <c r="X16">
        <v>0</v>
      </c>
      <c r="Y16">
        <v>0</v>
      </c>
      <c r="Z16">
        <v>0</v>
      </c>
      <c r="AA16">
        <v>0</v>
      </c>
      <c r="AB16">
        <v>0</v>
      </c>
      <c r="AC16">
        <v>0</v>
      </c>
      <c r="AD16">
        <v>0</v>
      </c>
      <c r="AE16">
        <v>1416</v>
      </c>
      <c r="AF16">
        <f t="shared" si="1"/>
        <v>1416</v>
      </c>
      <c r="AG16">
        <v>0</v>
      </c>
      <c r="AH16">
        <v>0</v>
      </c>
      <c r="AI16">
        <v>0</v>
      </c>
      <c r="AJ16">
        <v>0</v>
      </c>
      <c r="AK16">
        <v>0</v>
      </c>
      <c r="AL16">
        <v>0</v>
      </c>
      <c r="AM16">
        <v>0</v>
      </c>
      <c r="AN16">
        <v>0</v>
      </c>
      <c r="AO16">
        <v>0</v>
      </c>
      <c r="AP16">
        <v>0</v>
      </c>
      <c r="AQ16">
        <v>0</v>
      </c>
      <c r="AR16">
        <v>61</v>
      </c>
      <c r="AS16">
        <f t="shared" si="2"/>
        <v>61</v>
      </c>
      <c r="AT16">
        <v>0</v>
      </c>
      <c r="AU16">
        <v>0</v>
      </c>
      <c r="AV16">
        <v>0</v>
      </c>
      <c r="AW16">
        <v>0</v>
      </c>
      <c r="AX16">
        <v>0</v>
      </c>
      <c r="AY16">
        <v>0</v>
      </c>
      <c r="AZ16">
        <v>0</v>
      </c>
      <c r="BA16">
        <v>0</v>
      </c>
      <c r="BB16">
        <v>0</v>
      </c>
      <c r="BC16">
        <v>0</v>
      </c>
      <c r="BD16">
        <v>0</v>
      </c>
      <c r="BE16">
        <v>1236</v>
      </c>
      <c r="BF16">
        <f t="shared" si="3"/>
        <v>1236</v>
      </c>
      <c r="BG16">
        <v>0</v>
      </c>
      <c r="BH16">
        <v>0</v>
      </c>
      <c r="BI16">
        <v>0</v>
      </c>
      <c r="BJ16">
        <v>0</v>
      </c>
      <c r="BK16">
        <v>0</v>
      </c>
      <c r="BL16">
        <v>0</v>
      </c>
      <c r="BM16">
        <v>0</v>
      </c>
      <c r="BN16">
        <v>0</v>
      </c>
      <c r="BO16">
        <v>0</v>
      </c>
      <c r="BP16">
        <v>0</v>
      </c>
      <c r="BQ16">
        <v>0</v>
      </c>
      <c r="BR16">
        <v>5426</v>
      </c>
      <c r="BS16">
        <f t="shared" si="4"/>
        <v>5426</v>
      </c>
      <c r="BT16">
        <v>0</v>
      </c>
      <c r="BU16">
        <v>0</v>
      </c>
      <c r="BV16">
        <v>0</v>
      </c>
      <c r="BW16">
        <v>0</v>
      </c>
      <c r="BX16">
        <v>0</v>
      </c>
      <c r="BY16">
        <v>0</v>
      </c>
      <c r="BZ16">
        <v>0</v>
      </c>
      <c r="CA16">
        <v>0</v>
      </c>
      <c r="CB16">
        <v>0</v>
      </c>
      <c r="CC16">
        <v>0</v>
      </c>
      <c r="CD16">
        <v>0</v>
      </c>
      <c r="CE16">
        <v>0</v>
      </c>
      <c r="CF16">
        <f t="shared" si="5"/>
        <v>0</v>
      </c>
      <c r="CG16">
        <v>0</v>
      </c>
      <c r="CH16">
        <v>0</v>
      </c>
      <c r="CI16">
        <v>0</v>
      </c>
      <c r="CJ16">
        <v>0</v>
      </c>
      <c r="CK16">
        <v>0</v>
      </c>
      <c r="CL16">
        <v>0</v>
      </c>
      <c r="CM16">
        <v>0</v>
      </c>
      <c r="CN16">
        <v>0</v>
      </c>
      <c r="CO16">
        <v>0</v>
      </c>
      <c r="CP16">
        <v>0</v>
      </c>
      <c r="CQ16">
        <v>0</v>
      </c>
      <c r="CR16">
        <v>0</v>
      </c>
      <c r="CS16">
        <f t="shared" si="6"/>
        <v>0</v>
      </c>
      <c r="CT16">
        <v>0</v>
      </c>
      <c r="CU16">
        <v>0</v>
      </c>
      <c r="CV16">
        <v>0</v>
      </c>
      <c r="CW16">
        <v>0</v>
      </c>
      <c r="CX16">
        <v>0</v>
      </c>
      <c r="CY16">
        <v>0</v>
      </c>
      <c r="CZ16">
        <v>0</v>
      </c>
      <c r="DA16">
        <v>0</v>
      </c>
      <c r="DB16">
        <v>0</v>
      </c>
      <c r="DC16">
        <v>0</v>
      </c>
      <c r="DD16">
        <v>0</v>
      </c>
      <c r="DE16">
        <v>0</v>
      </c>
      <c r="DF16">
        <f t="shared" si="7"/>
        <v>0</v>
      </c>
      <c r="DG16">
        <v>0</v>
      </c>
      <c r="DH16">
        <v>0</v>
      </c>
      <c r="DI16">
        <v>0</v>
      </c>
      <c r="DJ16">
        <v>0</v>
      </c>
      <c r="DK16">
        <v>0</v>
      </c>
      <c r="DL16">
        <v>0</v>
      </c>
      <c r="DM16">
        <v>0</v>
      </c>
      <c r="DN16">
        <v>0</v>
      </c>
      <c r="DO16">
        <v>0</v>
      </c>
      <c r="DP16">
        <v>0</v>
      </c>
      <c r="DQ16">
        <v>0</v>
      </c>
      <c r="DR16">
        <v>0</v>
      </c>
      <c r="DS16">
        <f t="shared" si="8"/>
        <v>0</v>
      </c>
      <c r="DT16">
        <v>0</v>
      </c>
      <c r="DU16">
        <v>0</v>
      </c>
      <c r="DV16">
        <v>0</v>
      </c>
      <c r="DW16">
        <v>0</v>
      </c>
      <c r="DX16">
        <v>0</v>
      </c>
      <c r="DY16">
        <v>0</v>
      </c>
      <c r="DZ16">
        <v>0</v>
      </c>
      <c r="EA16">
        <v>0</v>
      </c>
      <c r="EB16">
        <v>0</v>
      </c>
      <c r="EC16">
        <v>0</v>
      </c>
      <c r="ED16">
        <v>0</v>
      </c>
      <c r="EE16">
        <v>0</v>
      </c>
      <c r="EF16">
        <f t="shared" si="9"/>
        <v>0</v>
      </c>
      <c r="EG16">
        <f t="shared" si="10"/>
        <v>8139</v>
      </c>
      <c r="EH16">
        <f t="shared" si="11"/>
        <v>0</v>
      </c>
      <c r="EI16">
        <v>0</v>
      </c>
      <c r="EJ16">
        <v>0</v>
      </c>
      <c r="EK16">
        <v>0</v>
      </c>
      <c r="EL16">
        <v>0</v>
      </c>
      <c r="EM16">
        <v>0</v>
      </c>
      <c r="EN16">
        <v>0</v>
      </c>
      <c r="EO16">
        <v>0</v>
      </c>
      <c r="EP16">
        <v>0</v>
      </c>
      <c r="EQ16">
        <v>0</v>
      </c>
      <c r="ER16">
        <v>0</v>
      </c>
      <c r="ES16">
        <v>0</v>
      </c>
      <c r="ET16">
        <v>26446</v>
      </c>
      <c r="EU16" s="13">
        <v>35243</v>
      </c>
      <c r="EV16">
        <v>0</v>
      </c>
      <c r="EW16">
        <v>0</v>
      </c>
      <c r="EX16">
        <v>0</v>
      </c>
      <c r="EY16">
        <v>0</v>
      </c>
      <c r="EZ16">
        <v>0</v>
      </c>
      <c r="FA16">
        <v>0</v>
      </c>
      <c r="FB16">
        <v>0</v>
      </c>
      <c r="FC16">
        <v>0</v>
      </c>
      <c r="FD16">
        <v>0</v>
      </c>
      <c r="FE16">
        <v>0</v>
      </c>
      <c r="FF16">
        <v>0</v>
      </c>
      <c r="FG16">
        <v>14436</v>
      </c>
      <c r="FH16">
        <f t="shared" si="13"/>
        <v>14436</v>
      </c>
      <c r="FI16">
        <v>0</v>
      </c>
      <c r="FJ16">
        <v>0</v>
      </c>
      <c r="FK16">
        <v>0</v>
      </c>
      <c r="FL16">
        <v>0</v>
      </c>
      <c r="FM16">
        <v>0</v>
      </c>
      <c r="FN16">
        <v>0</v>
      </c>
      <c r="FO16">
        <v>0</v>
      </c>
      <c r="FP16">
        <v>0</v>
      </c>
      <c r="FQ16">
        <v>0</v>
      </c>
      <c r="FR16">
        <v>0</v>
      </c>
      <c r="FS16">
        <v>0</v>
      </c>
      <c r="FT16">
        <v>360</v>
      </c>
      <c r="FU16">
        <f t="shared" si="14"/>
        <v>360</v>
      </c>
      <c r="FV16">
        <v>0</v>
      </c>
      <c r="FW16">
        <v>0</v>
      </c>
      <c r="FX16">
        <v>0</v>
      </c>
      <c r="FY16">
        <v>0</v>
      </c>
      <c r="FZ16">
        <v>0</v>
      </c>
      <c r="GA16">
        <v>0</v>
      </c>
      <c r="GB16">
        <v>0</v>
      </c>
      <c r="GC16">
        <v>0</v>
      </c>
      <c r="GD16">
        <v>0</v>
      </c>
      <c r="GE16">
        <v>0</v>
      </c>
      <c r="GF16">
        <v>0</v>
      </c>
      <c r="GG16">
        <v>11650</v>
      </c>
      <c r="GH16">
        <f t="shared" si="15"/>
        <v>11650</v>
      </c>
      <c r="GI16">
        <v>0</v>
      </c>
      <c r="GJ16">
        <v>0</v>
      </c>
      <c r="GK16">
        <v>0</v>
      </c>
      <c r="GL16">
        <v>0</v>
      </c>
      <c r="GM16">
        <v>0</v>
      </c>
      <c r="GN16">
        <v>0</v>
      </c>
      <c r="GO16">
        <v>0</v>
      </c>
      <c r="GP16">
        <v>0</v>
      </c>
      <c r="GQ16">
        <v>0</v>
      </c>
      <c r="GR16">
        <v>0</v>
      </c>
      <c r="GS16">
        <v>0</v>
      </c>
      <c r="GT16">
        <v>0</v>
      </c>
      <c r="GU16">
        <f t="shared" si="16"/>
        <v>0</v>
      </c>
      <c r="GV16">
        <v>0</v>
      </c>
      <c r="GW16">
        <v>0</v>
      </c>
      <c r="GX16">
        <v>0</v>
      </c>
      <c r="GY16">
        <v>0</v>
      </c>
      <c r="GZ16">
        <v>0</v>
      </c>
      <c r="HA16">
        <v>0</v>
      </c>
      <c r="HB16">
        <v>0</v>
      </c>
      <c r="HC16">
        <v>0</v>
      </c>
      <c r="HD16">
        <v>0</v>
      </c>
      <c r="HE16">
        <v>0</v>
      </c>
      <c r="HF16">
        <v>0</v>
      </c>
      <c r="HG16">
        <v>0</v>
      </c>
      <c r="HH16">
        <f t="shared" si="17"/>
        <v>0</v>
      </c>
      <c r="HI16">
        <v>0</v>
      </c>
      <c r="HJ16">
        <v>0</v>
      </c>
      <c r="HK16">
        <v>0</v>
      </c>
      <c r="HL16">
        <v>0</v>
      </c>
      <c r="HM16">
        <v>0</v>
      </c>
      <c r="HN16">
        <v>0</v>
      </c>
      <c r="HO16">
        <v>0</v>
      </c>
      <c r="HP16">
        <v>0</v>
      </c>
      <c r="HQ16">
        <v>0</v>
      </c>
      <c r="HR16">
        <v>0</v>
      </c>
      <c r="HS16">
        <v>0</v>
      </c>
      <c r="HT16">
        <v>0</v>
      </c>
      <c r="HU16">
        <f t="shared" si="18"/>
        <v>0</v>
      </c>
      <c r="HV16">
        <v>0</v>
      </c>
      <c r="HW16">
        <v>0</v>
      </c>
      <c r="HX16">
        <v>0</v>
      </c>
      <c r="HY16">
        <v>0</v>
      </c>
      <c r="HZ16">
        <v>0</v>
      </c>
      <c r="IA16">
        <v>0</v>
      </c>
      <c r="IB16">
        <v>0</v>
      </c>
      <c r="IC16">
        <v>0</v>
      </c>
      <c r="ID16">
        <v>0</v>
      </c>
      <c r="IE16">
        <v>0</v>
      </c>
      <c r="IF16">
        <v>0</v>
      </c>
      <c r="IG16">
        <v>0</v>
      </c>
      <c r="IH16">
        <f t="shared" si="19"/>
        <v>0</v>
      </c>
      <c r="II16">
        <f t="shared" si="20"/>
        <v>26446</v>
      </c>
      <c r="IJ16">
        <f t="shared" si="21"/>
        <v>0</v>
      </c>
      <c r="IK16">
        <v>30619</v>
      </c>
      <c r="IL16">
        <v>23215</v>
      </c>
      <c r="IM16">
        <v>29669</v>
      </c>
      <c r="IN16">
        <v>38303</v>
      </c>
      <c r="IO16">
        <v>39223</v>
      </c>
      <c r="IP16">
        <v>33331</v>
      </c>
      <c r="IQ16">
        <v>34037</v>
      </c>
      <c r="IR16">
        <v>29496</v>
      </c>
      <c r="IS16">
        <v>24012</v>
      </c>
      <c r="IT16">
        <v>33574</v>
      </c>
      <c r="IU16">
        <v>30138</v>
      </c>
      <c r="IV16">
        <v>32599</v>
      </c>
      <c r="IW16">
        <f t="shared" si="22"/>
        <v>378216</v>
      </c>
      <c r="IX16">
        <v>10533</v>
      </c>
      <c r="IY16">
        <v>8587</v>
      </c>
      <c r="IZ16">
        <v>9593</v>
      </c>
      <c r="JA16">
        <v>16231</v>
      </c>
      <c r="JB16">
        <v>17348</v>
      </c>
      <c r="JC16">
        <v>11328</v>
      </c>
      <c r="JD16">
        <v>12312</v>
      </c>
      <c r="JE16">
        <v>9894</v>
      </c>
      <c r="JF16">
        <v>7152</v>
      </c>
      <c r="JG16">
        <v>10829</v>
      </c>
      <c r="JH16">
        <v>11057</v>
      </c>
      <c r="JI16">
        <v>11325</v>
      </c>
      <c r="JJ16">
        <f t="shared" si="23"/>
        <v>136189</v>
      </c>
      <c r="JK16">
        <v>634</v>
      </c>
      <c r="JL16">
        <v>433</v>
      </c>
      <c r="JM16">
        <v>611</v>
      </c>
      <c r="JN16">
        <v>873</v>
      </c>
      <c r="JO16">
        <v>932</v>
      </c>
      <c r="JP16">
        <v>679</v>
      </c>
      <c r="JQ16">
        <v>725</v>
      </c>
      <c r="JR16">
        <v>613</v>
      </c>
      <c r="JS16">
        <v>450</v>
      </c>
      <c r="JT16">
        <v>673</v>
      </c>
      <c r="JU16">
        <v>669</v>
      </c>
      <c r="JV16">
        <v>771</v>
      </c>
      <c r="JW16">
        <f t="shared" si="24"/>
        <v>8063</v>
      </c>
      <c r="JX16">
        <v>19452</v>
      </c>
      <c r="JY16">
        <v>14195</v>
      </c>
      <c r="JZ16">
        <v>19465</v>
      </c>
      <c r="KA16">
        <v>21199</v>
      </c>
      <c r="KB16">
        <v>20943</v>
      </c>
      <c r="KC16">
        <v>21324</v>
      </c>
      <c r="KD16">
        <v>21000</v>
      </c>
      <c r="KE16">
        <v>18989</v>
      </c>
      <c r="KF16">
        <v>16410</v>
      </c>
      <c r="KG16">
        <v>22072</v>
      </c>
      <c r="KH16">
        <v>18412</v>
      </c>
      <c r="KI16">
        <v>20503</v>
      </c>
      <c r="KJ16">
        <f t="shared" si="25"/>
        <v>233964</v>
      </c>
      <c r="KK16">
        <v>384</v>
      </c>
      <c r="KL16">
        <v>331</v>
      </c>
      <c r="KM16">
        <v>411</v>
      </c>
      <c r="KN16">
        <v>392</v>
      </c>
      <c r="KO16">
        <v>326</v>
      </c>
      <c r="KP16">
        <v>374</v>
      </c>
      <c r="KQ16">
        <v>359</v>
      </c>
      <c r="KR16">
        <v>280</v>
      </c>
      <c r="KS16">
        <v>292</v>
      </c>
      <c r="KT16">
        <v>299</v>
      </c>
      <c r="KU16">
        <v>258</v>
      </c>
      <c r="KV16">
        <v>303</v>
      </c>
      <c r="KW16">
        <f t="shared" si="26"/>
        <v>4009</v>
      </c>
      <c r="KX16">
        <v>6</v>
      </c>
      <c r="KY16">
        <v>12</v>
      </c>
      <c r="KZ16">
        <v>10</v>
      </c>
      <c r="LA16">
        <v>20</v>
      </c>
      <c r="LB16">
        <v>34</v>
      </c>
      <c r="LC16">
        <v>20</v>
      </c>
      <c r="LD16">
        <v>14</v>
      </c>
      <c r="LE16">
        <v>11</v>
      </c>
      <c r="LF16">
        <v>7</v>
      </c>
      <c r="LG16">
        <v>6</v>
      </c>
      <c r="LH16">
        <v>7</v>
      </c>
      <c r="LI16">
        <v>5</v>
      </c>
      <c r="LJ16">
        <f t="shared" si="27"/>
        <v>152</v>
      </c>
      <c r="LK16">
        <v>0</v>
      </c>
      <c r="LL16">
        <v>0</v>
      </c>
      <c r="LM16">
        <v>0</v>
      </c>
      <c r="LN16">
        <v>0</v>
      </c>
      <c r="LO16">
        <v>0</v>
      </c>
      <c r="LP16">
        <v>0</v>
      </c>
      <c r="LQ16">
        <v>0</v>
      </c>
      <c r="LR16">
        <v>0</v>
      </c>
      <c r="LS16">
        <v>0</v>
      </c>
      <c r="LT16">
        <v>0</v>
      </c>
      <c r="LU16">
        <v>0</v>
      </c>
      <c r="LV16">
        <v>0</v>
      </c>
      <c r="LW16">
        <f t="shared" si="28"/>
        <v>0</v>
      </c>
      <c r="LX16">
        <v>378</v>
      </c>
      <c r="LY16">
        <v>319</v>
      </c>
      <c r="LZ16">
        <v>401</v>
      </c>
      <c r="MA16">
        <v>372</v>
      </c>
      <c r="MB16">
        <v>292</v>
      </c>
      <c r="MC16">
        <v>354</v>
      </c>
      <c r="MD16">
        <v>345</v>
      </c>
      <c r="ME16">
        <v>269</v>
      </c>
      <c r="MF16">
        <v>285</v>
      </c>
      <c r="MG16">
        <v>293</v>
      </c>
      <c r="MH16">
        <v>251</v>
      </c>
      <c r="MI16">
        <v>298</v>
      </c>
      <c r="MJ16">
        <f t="shared" si="29"/>
        <v>3857</v>
      </c>
      <c r="MK16">
        <v>0</v>
      </c>
      <c r="ML16">
        <v>0</v>
      </c>
      <c r="MM16">
        <v>0</v>
      </c>
      <c r="MN16">
        <v>0</v>
      </c>
      <c r="MO16">
        <v>0</v>
      </c>
      <c r="MP16">
        <v>0</v>
      </c>
      <c r="MQ16">
        <v>0</v>
      </c>
      <c r="MR16">
        <v>0</v>
      </c>
      <c r="MS16">
        <v>0</v>
      </c>
      <c r="MT16">
        <v>0</v>
      </c>
      <c r="MU16">
        <v>0</v>
      </c>
      <c r="MV16">
        <v>22679</v>
      </c>
      <c r="MW16">
        <f t="shared" si="30"/>
        <v>22679</v>
      </c>
      <c r="MX16">
        <v>0</v>
      </c>
      <c r="MY16">
        <v>0</v>
      </c>
      <c r="MZ16">
        <v>0</v>
      </c>
      <c r="NA16">
        <v>0</v>
      </c>
      <c r="NB16">
        <v>0</v>
      </c>
      <c r="NC16">
        <v>0</v>
      </c>
      <c r="ND16">
        <v>0</v>
      </c>
      <c r="NE16">
        <v>0</v>
      </c>
      <c r="NF16">
        <v>0</v>
      </c>
      <c r="NG16">
        <v>0</v>
      </c>
      <c r="NH16">
        <v>0</v>
      </c>
      <c r="NI16">
        <v>1607</v>
      </c>
      <c r="NJ16">
        <f t="shared" si="31"/>
        <v>1607</v>
      </c>
      <c r="NK16">
        <v>0</v>
      </c>
      <c r="NL16">
        <v>0</v>
      </c>
      <c r="NM16">
        <v>0</v>
      </c>
      <c r="NN16">
        <v>0</v>
      </c>
      <c r="NO16">
        <v>0</v>
      </c>
      <c r="NP16">
        <v>0</v>
      </c>
      <c r="NQ16">
        <v>0</v>
      </c>
      <c r="NR16">
        <v>0</v>
      </c>
      <c r="NS16">
        <v>0</v>
      </c>
      <c r="NT16">
        <v>0</v>
      </c>
      <c r="NU16">
        <v>0</v>
      </c>
      <c r="NV16">
        <v>891</v>
      </c>
      <c r="NW16">
        <f t="shared" si="32"/>
        <v>891</v>
      </c>
      <c r="NX16">
        <v>0</v>
      </c>
      <c r="NY16">
        <v>0</v>
      </c>
      <c r="NZ16">
        <v>0</v>
      </c>
      <c r="OA16">
        <v>0</v>
      </c>
      <c r="OB16">
        <v>0</v>
      </c>
      <c r="OC16">
        <v>0</v>
      </c>
      <c r="OD16">
        <v>0</v>
      </c>
      <c r="OE16">
        <v>0</v>
      </c>
      <c r="OF16">
        <v>0</v>
      </c>
      <c r="OG16">
        <v>0</v>
      </c>
      <c r="OH16">
        <v>0</v>
      </c>
      <c r="OI16">
        <v>20181</v>
      </c>
      <c r="OJ16">
        <f t="shared" si="33"/>
        <v>20181</v>
      </c>
      <c r="OK16">
        <v>0</v>
      </c>
      <c r="OL16">
        <v>0</v>
      </c>
      <c r="OM16">
        <v>0</v>
      </c>
      <c r="ON16">
        <v>0</v>
      </c>
      <c r="OO16">
        <v>0</v>
      </c>
      <c r="OP16">
        <v>0</v>
      </c>
      <c r="OQ16">
        <v>0</v>
      </c>
      <c r="OR16">
        <v>0</v>
      </c>
      <c r="OS16">
        <v>0</v>
      </c>
      <c r="OT16">
        <v>0</v>
      </c>
      <c r="OU16">
        <v>0</v>
      </c>
      <c r="OV16">
        <v>38520</v>
      </c>
      <c r="OW16">
        <f t="shared" si="34"/>
        <v>38520</v>
      </c>
      <c r="OX16">
        <v>0</v>
      </c>
      <c r="OY16">
        <v>0</v>
      </c>
      <c r="OZ16">
        <v>0</v>
      </c>
      <c r="PA16">
        <v>0</v>
      </c>
      <c r="PB16">
        <v>0</v>
      </c>
      <c r="PC16">
        <v>0</v>
      </c>
      <c r="PD16">
        <v>0</v>
      </c>
      <c r="PE16">
        <v>0</v>
      </c>
      <c r="PF16">
        <v>0</v>
      </c>
      <c r="PG16">
        <v>0</v>
      </c>
      <c r="PH16">
        <v>0</v>
      </c>
      <c r="PI16">
        <v>3271</v>
      </c>
      <c r="PJ16">
        <f t="shared" si="35"/>
        <v>3271</v>
      </c>
      <c r="PK16">
        <v>0</v>
      </c>
      <c r="PL16">
        <v>0</v>
      </c>
      <c r="PM16">
        <v>0</v>
      </c>
      <c r="PN16">
        <v>0</v>
      </c>
      <c r="PO16">
        <v>0</v>
      </c>
      <c r="PP16">
        <v>0</v>
      </c>
      <c r="PQ16">
        <v>0</v>
      </c>
      <c r="PR16">
        <v>0</v>
      </c>
      <c r="PS16">
        <v>0</v>
      </c>
      <c r="PT16">
        <v>0</v>
      </c>
      <c r="PU16">
        <v>0</v>
      </c>
      <c r="PV16">
        <v>833</v>
      </c>
      <c r="PW16">
        <f t="shared" si="36"/>
        <v>833</v>
      </c>
      <c r="PX16">
        <v>0</v>
      </c>
      <c r="PY16">
        <v>0</v>
      </c>
      <c r="PZ16">
        <v>0</v>
      </c>
      <c r="QA16">
        <v>0</v>
      </c>
      <c r="QB16">
        <v>0</v>
      </c>
      <c r="QC16">
        <v>0</v>
      </c>
      <c r="QD16">
        <v>0</v>
      </c>
      <c r="QE16">
        <v>0</v>
      </c>
      <c r="QF16">
        <v>0</v>
      </c>
      <c r="QG16">
        <v>0</v>
      </c>
      <c r="QH16">
        <v>0</v>
      </c>
      <c r="QI16">
        <v>34416</v>
      </c>
      <c r="QJ16">
        <f t="shared" si="37"/>
        <v>34416</v>
      </c>
      <c r="QK16">
        <v>0</v>
      </c>
      <c r="QL16">
        <v>0</v>
      </c>
      <c r="QM16">
        <v>0</v>
      </c>
      <c r="QN16">
        <v>0</v>
      </c>
      <c r="QO16">
        <v>0</v>
      </c>
      <c r="QP16">
        <v>0</v>
      </c>
      <c r="QQ16">
        <v>0</v>
      </c>
      <c r="QR16">
        <v>0</v>
      </c>
      <c r="QS16">
        <v>0</v>
      </c>
      <c r="QT16">
        <v>0</v>
      </c>
      <c r="QU16">
        <v>0</v>
      </c>
      <c r="QV16">
        <v>441254</v>
      </c>
      <c r="QW16">
        <f t="shared" si="38"/>
        <v>441254</v>
      </c>
      <c r="QX16">
        <v>0</v>
      </c>
      <c r="QY16">
        <v>0</v>
      </c>
      <c r="QZ16">
        <v>0</v>
      </c>
      <c r="RA16">
        <v>0</v>
      </c>
      <c r="RB16">
        <v>0</v>
      </c>
      <c r="RC16">
        <v>0</v>
      </c>
      <c r="RD16">
        <v>0</v>
      </c>
      <c r="RE16">
        <v>0</v>
      </c>
      <c r="RF16">
        <v>0</v>
      </c>
      <c r="RG16">
        <v>0</v>
      </c>
      <c r="RH16">
        <v>0</v>
      </c>
      <c r="RI16">
        <v>75724</v>
      </c>
      <c r="RJ16">
        <f t="shared" si="39"/>
        <v>75724</v>
      </c>
      <c r="RK16">
        <v>0</v>
      </c>
      <c r="RL16">
        <v>0</v>
      </c>
      <c r="RM16">
        <v>0</v>
      </c>
      <c r="RN16">
        <v>0</v>
      </c>
      <c r="RO16">
        <v>0</v>
      </c>
      <c r="RP16">
        <v>0</v>
      </c>
      <c r="RQ16">
        <v>0</v>
      </c>
      <c r="RR16">
        <v>0</v>
      </c>
      <c r="RS16">
        <v>0</v>
      </c>
      <c r="RT16">
        <v>0</v>
      </c>
      <c r="RU16">
        <v>0</v>
      </c>
      <c r="RV16">
        <v>0</v>
      </c>
      <c r="RW16">
        <f t="shared" si="40"/>
        <v>0</v>
      </c>
      <c r="RX16">
        <v>0</v>
      </c>
      <c r="RY16">
        <v>0</v>
      </c>
      <c r="RZ16">
        <v>0</v>
      </c>
      <c r="SA16">
        <v>0</v>
      </c>
      <c r="SB16">
        <v>0</v>
      </c>
      <c r="SC16">
        <v>0</v>
      </c>
      <c r="SD16">
        <v>0</v>
      </c>
      <c r="SE16">
        <v>0</v>
      </c>
      <c r="SF16">
        <v>0</v>
      </c>
      <c r="SG16">
        <v>0</v>
      </c>
      <c r="SH16">
        <v>0</v>
      </c>
      <c r="SI16">
        <v>0</v>
      </c>
      <c r="SJ16">
        <f t="shared" si="41"/>
        <v>0</v>
      </c>
      <c r="SK16">
        <v>0</v>
      </c>
      <c r="SL16">
        <v>0</v>
      </c>
      <c r="SM16">
        <v>0</v>
      </c>
      <c r="SN16">
        <v>0</v>
      </c>
      <c r="SO16">
        <v>0</v>
      </c>
      <c r="SP16">
        <v>0</v>
      </c>
      <c r="SQ16">
        <v>0</v>
      </c>
      <c r="SR16">
        <v>0</v>
      </c>
      <c r="SS16">
        <v>0</v>
      </c>
      <c r="ST16">
        <v>0</v>
      </c>
      <c r="SU16">
        <v>0</v>
      </c>
      <c r="SV16">
        <v>3250</v>
      </c>
      <c r="SW16">
        <f t="shared" si="42"/>
        <v>3250</v>
      </c>
      <c r="SX16">
        <v>0</v>
      </c>
      <c r="SY16">
        <v>0</v>
      </c>
      <c r="SZ16">
        <v>0</v>
      </c>
      <c r="TA16">
        <v>0</v>
      </c>
      <c r="TB16">
        <v>0</v>
      </c>
      <c r="TC16">
        <v>0</v>
      </c>
      <c r="TD16">
        <v>0</v>
      </c>
      <c r="TE16">
        <v>0</v>
      </c>
      <c r="TF16">
        <v>0</v>
      </c>
      <c r="TG16">
        <v>0</v>
      </c>
      <c r="TH16">
        <v>0</v>
      </c>
      <c r="TI16">
        <v>0</v>
      </c>
      <c r="TJ16">
        <v>32018</v>
      </c>
      <c r="TK16">
        <f t="shared" si="43"/>
        <v>32018</v>
      </c>
      <c r="TL16">
        <v>0</v>
      </c>
      <c r="TM16">
        <v>0</v>
      </c>
      <c r="TN16">
        <v>0</v>
      </c>
      <c r="TO16">
        <v>0</v>
      </c>
      <c r="TP16">
        <v>0</v>
      </c>
      <c r="TQ16">
        <v>0</v>
      </c>
      <c r="TR16">
        <v>0</v>
      </c>
      <c r="TS16">
        <v>0</v>
      </c>
      <c r="TT16">
        <v>0</v>
      </c>
      <c r="TU16">
        <v>0</v>
      </c>
      <c r="TV16">
        <v>0</v>
      </c>
      <c r="TW16">
        <v>0</v>
      </c>
      <c r="TX16">
        <f t="shared" si="44"/>
        <v>0</v>
      </c>
      <c r="TY16">
        <v>82</v>
      </c>
      <c r="TZ16">
        <v>0</v>
      </c>
      <c r="UA16">
        <v>0</v>
      </c>
      <c r="UB16">
        <v>0</v>
      </c>
    </row>
    <row r="17" spans="1:548" ht="16.5" customHeight="1" x14ac:dyDescent="0.35">
      <c r="A17" t="s">
        <v>1419</v>
      </c>
      <c r="B17" t="s">
        <v>2866</v>
      </c>
      <c r="C17">
        <v>12521</v>
      </c>
      <c r="D17">
        <v>2461</v>
      </c>
      <c r="E17">
        <v>639</v>
      </c>
      <c r="F17">
        <v>9272</v>
      </c>
      <c r="G17">
        <v>197</v>
      </c>
      <c r="H17">
        <v>226</v>
      </c>
      <c r="I17">
        <v>194</v>
      </c>
      <c r="J17">
        <v>257</v>
      </c>
      <c r="K17">
        <v>228</v>
      </c>
      <c r="L17">
        <v>299</v>
      </c>
      <c r="M17">
        <v>328</v>
      </c>
      <c r="N17">
        <v>365</v>
      </c>
      <c r="O17">
        <v>182</v>
      </c>
      <c r="P17">
        <v>328</v>
      </c>
      <c r="Q17">
        <v>347</v>
      </c>
      <c r="R17">
        <v>287</v>
      </c>
      <c r="S17">
        <f t="shared" si="0"/>
        <v>3238</v>
      </c>
      <c r="T17">
        <v>129</v>
      </c>
      <c r="U17">
        <v>147</v>
      </c>
      <c r="V17">
        <v>126</v>
      </c>
      <c r="W17">
        <v>167</v>
      </c>
      <c r="X17">
        <v>148</v>
      </c>
      <c r="Y17">
        <v>194</v>
      </c>
      <c r="Z17">
        <v>213</v>
      </c>
      <c r="AA17">
        <v>238</v>
      </c>
      <c r="AB17">
        <v>119</v>
      </c>
      <c r="AC17">
        <v>213</v>
      </c>
      <c r="AD17">
        <v>255</v>
      </c>
      <c r="AE17">
        <v>186</v>
      </c>
      <c r="AF17">
        <f t="shared" si="1"/>
        <v>2135</v>
      </c>
      <c r="AG17">
        <v>0</v>
      </c>
      <c r="AH17">
        <v>0</v>
      </c>
      <c r="AI17">
        <v>0</v>
      </c>
      <c r="AJ17">
        <v>0</v>
      </c>
      <c r="AK17">
        <v>0</v>
      </c>
      <c r="AL17">
        <v>0</v>
      </c>
      <c r="AM17">
        <v>0</v>
      </c>
      <c r="AN17">
        <v>0</v>
      </c>
      <c r="AO17">
        <v>0</v>
      </c>
      <c r="AP17">
        <v>0</v>
      </c>
      <c r="AQ17">
        <v>0</v>
      </c>
      <c r="AR17">
        <v>0</v>
      </c>
      <c r="AS17">
        <f t="shared" si="2"/>
        <v>0</v>
      </c>
      <c r="AT17">
        <v>68</v>
      </c>
      <c r="AU17">
        <v>79</v>
      </c>
      <c r="AV17">
        <v>67</v>
      </c>
      <c r="AW17">
        <v>89</v>
      </c>
      <c r="AX17">
        <v>79</v>
      </c>
      <c r="AY17">
        <v>104</v>
      </c>
      <c r="AZ17">
        <v>114</v>
      </c>
      <c r="BA17">
        <v>127</v>
      </c>
      <c r="BB17">
        <v>63</v>
      </c>
      <c r="BC17">
        <v>114</v>
      </c>
      <c r="BD17">
        <v>121</v>
      </c>
      <c r="BE17">
        <v>100</v>
      </c>
      <c r="BF17">
        <f t="shared" si="3"/>
        <v>1125</v>
      </c>
      <c r="BG17">
        <v>0</v>
      </c>
      <c r="BH17">
        <v>0</v>
      </c>
      <c r="BI17">
        <v>0</v>
      </c>
      <c r="BJ17">
        <v>0</v>
      </c>
      <c r="BK17">
        <v>0</v>
      </c>
      <c r="BL17">
        <v>0</v>
      </c>
      <c r="BM17">
        <v>0</v>
      </c>
      <c r="BN17">
        <v>0</v>
      </c>
      <c r="BO17">
        <v>0</v>
      </c>
      <c r="BP17">
        <v>0</v>
      </c>
      <c r="BQ17">
        <v>0</v>
      </c>
      <c r="BR17">
        <v>0</v>
      </c>
      <c r="BS17">
        <f t="shared" si="4"/>
        <v>0</v>
      </c>
      <c r="BT17">
        <v>0</v>
      </c>
      <c r="BU17">
        <v>0</v>
      </c>
      <c r="BV17">
        <v>0</v>
      </c>
      <c r="BW17">
        <v>0</v>
      </c>
      <c r="BX17">
        <v>0</v>
      </c>
      <c r="BY17">
        <v>0</v>
      </c>
      <c r="BZ17">
        <v>0</v>
      </c>
      <c r="CA17">
        <v>0</v>
      </c>
      <c r="CB17">
        <v>0</v>
      </c>
      <c r="CC17">
        <v>0</v>
      </c>
      <c r="CD17">
        <v>0</v>
      </c>
      <c r="CE17">
        <v>0</v>
      </c>
      <c r="CF17">
        <f t="shared" si="5"/>
        <v>0</v>
      </c>
      <c r="CG17">
        <v>0</v>
      </c>
      <c r="CH17">
        <v>0</v>
      </c>
      <c r="CI17">
        <v>0</v>
      </c>
      <c r="CJ17">
        <v>0</v>
      </c>
      <c r="CK17">
        <v>0</v>
      </c>
      <c r="CL17">
        <v>0</v>
      </c>
      <c r="CM17">
        <v>0</v>
      </c>
      <c r="CN17">
        <v>0</v>
      </c>
      <c r="CO17">
        <v>0</v>
      </c>
      <c r="CP17">
        <v>0</v>
      </c>
      <c r="CQ17">
        <v>0</v>
      </c>
      <c r="CR17">
        <v>0</v>
      </c>
      <c r="CS17">
        <f t="shared" si="6"/>
        <v>0</v>
      </c>
      <c r="CT17">
        <v>0</v>
      </c>
      <c r="CU17">
        <v>0</v>
      </c>
      <c r="CV17">
        <v>0</v>
      </c>
      <c r="CW17">
        <v>0</v>
      </c>
      <c r="CX17">
        <v>0</v>
      </c>
      <c r="CY17">
        <v>0</v>
      </c>
      <c r="CZ17">
        <v>0</v>
      </c>
      <c r="DA17">
        <v>0</v>
      </c>
      <c r="DB17">
        <v>0</v>
      </c>
      <c r="DC17">
        <v>0</v>
      </c>
      <c r="DD17">
        <v>0</v>
      </c>
      <c r="DE17">
        <v>0</v>
      </c>
      <c r="DF17">
        <f t="shared" si="7"/>
        <v>0</v>
      </c>
      <c r="DG17">
        <v>0</v>
      </c>
      <c r="DH17">
        <v>0</v>
      </c>
      <c r="DI17">
        <v>0</v>
      </c>
      <c r="DJ17">
        <v>0</v>
      </c>
      <c r="DK17">
        <v>0</v>
      </c>
      <c r="DL17">
        <v>0</v>
      </c>
      <c r="DM17">
        <v>0</v>
      </c>
      <c r="DN17">
        <v>0</v>
      </c>
      <c r="DO17">
        <v>0</v>
      </c>
      <c r="DP17">
        <v>0</v>
      </c>
      <c r="DQ17">
        <v>0</v>
      </c>
      <c r="DR17">
        <v>0</v>
      </c>
      <c r="DS17">
        <f t="shared" si="8"/>
        <v>0</v>
      </c>
      <c r="DT17">
        <v>0</v>
      </c>
      <c r="DU17">
        <v>0</v>
      </c>
      <c r="DV17">
        <v>0</v>
      </c>
      <c r="DW17">
        <v>0</v>
      </c>
      <c r="DX17">
        <v>0</v>
      </c>
      <c r="DY17">
        <v>0</v>
      </c>
      <c r="DZ17">
        <v>0</v>
      </c>
      <c r="EA17">
        <v>0</v>
      </c>
      <c r="EB17">
        <v>0</v>
      </c>
      <c r="EC17">
        <v>0</v>
      </c>
      <c r="ED17">
        <v>0</v>
      </c>
      <c r="EE17">
        <v>0</v>
      </c>
      <c r="EF17">
        <f t="shared" si="9"/>
        <v>0</v>
      </c>
      <c r="EG17">
        <f t="shared" si="10"/>
        <v>3260</v>
      </c>
      <c r="EH17">
        <f t="shared" si="11"/>
        <v>0</v>
      </c>
      <c r="EI17">
        <v>2579</v>
      </c>
      <c r="EJ17">
        <v>2400</v>
      </c>
      <c r="EK17">
        <v>1961</v>
      </c>
      <c r="EL17">
        <v>2426</v>
      </c>
      <c r="EM17">
        <v>1859</v>
      </c>
      <c r="EN17">
        <v>4257</v>
      </c>
      <c r="EO17">
        <v>3745</v>
      </c>
      <c r="EP17">
        <v>3580</v>
      </c>
      <c r="EQ17">
        <v>2525</v>
      </c>
      <c r="ER17">
        <v>2687</v>
      </c>
      <c r="ES17">
        <v>3082</v>
      </c>
      <c r="ET17">
        <v>2682</v>
      </c>
      <c r="EU17">
        <f t="shared" si="12"/>
        <v>33783</v>
      </c>
      <c r="EV17">
        <v>1934</v>
      </c>
      <c r="EW17">
        <v>1800</v>
      </c>
      <c r="EX17">
        <v>1470</v>
      </c>
      <c r="EY17">
        <v>1820</v>
      </c>
      <c r="EZ17">
        <v>1094</v>
      </c>
      <c r="FA17">
        <v>3192</v>
      </c>
      <c r="FB17">
        <v>2808</v>
      </c>
      <c r="FC17">
        <v>2685</v>
      </c>
      <c r="FD17">
        <v>1893</v>
      </c>
      <c r="FE17">
        <v>2015</v>
      </c>
      <c r="FF17">
        <v>2311</v>
      </c>
      <c r="FG17">
        <v>2011</v>
      </c>
      <c r="FH17">
        <f t="shared" si="13"/>
        <v>25033</v>
      </c>
      <c r="FI17">
        <v>0</v>
      </c>
      <c r="FJ17">
        <v>0</v>
      </c>
      <c r="FK17">
        <v>0</v>
      </c>
      <c r="FL17">
        <v>0</v>
      </c>
      <c r="FM17">
        <v>0</v>
      </c>
      <c r="FN17">
        <v>0</v>
      </c>
      <c r="FO17">
        <v>0</v>
      </c>
      <c r="FP17">
        <v>0</v>
      </c>
      <c r="FQ17">
        <v>0</v>
      </c>
      <c r="FR17">
        <v>0</v>
      </c>
      <c r="FS17">
        <v>0</v>
      </c>
      <c r="FT17">
        <v>0</v>
      </c>
      <c r="FU17">
        <f t="shared" si="14"/>
        <v>0</v>
      </c>
      <c r="FV17">
        <v>644</v>
      </c>
      <c r="FW17">
        <v>600</v>
      </c>
      <c r="FX17">
        <v>490</v>
      </c>
      <c r="FY17">
        <v>606</v>
      </c>
      <c r="FZ17">
        <v>464</v>
      </c>
      <c r="GA17">
        <v>1064</v>
      </c>
      <c r="GB17">
        <v>936</v>
      </c>
      <c r="GC17">
        <v>895</v>
      </c>
      <c r="GD17">
        <v>631</v>
      </c>
      <c r="GE17">
        <v>671</v>
      </c>
      <c r="GF17">
        <v>770</v>
      </c>
      <c r="GG17">
        <v>670</v>
      </c>
      <c r="GH17">
        <f t="shared" si="15"/>
        <v>8441</v>
      </c>
      <c r="GI17">
        <v>0</v>
      </c>
      <c r="GJ17">
        <v>0</v>
      </c>
      <c r="GK17">
        <v>0</v>
      </c>
      <c r="GL17">
        <v>0</v>
      </c>
      <c r="GM17">
        <v>0</v>
      </c>
      <c r="GN17">
        <v>0</v>
      </c>
      <c r="GO17">
        <v>0</v>
      </c>
      <c r="GP17">
        <v>0</v>
      </c>
      <c r="GQ17">
        <v>0</v>
      </c>
      <c r="GR17">
        <v>0</v>
      </c>
      <c r="GS17">
        <v>0</v>
      </c>
      <c r="GT17">
        <v>0</v>
      </c>
      <c r="GU17">
        <f t="shared" si="16"/>
        <v>0</v>
      </c>
      <c r="GV17">
        <v>0</v>
      </c>
      <c r="GW17">
        <v>0</v>
      </c>
      <c r="GX17">
        <v>0</v>
      </c>
      <c r="GY17">
        <v>0</v>
      </c>
      <c r="GZ17">
        <v>0</v>
      </c>
      <c r="HA17">
        <v>0</v>
      </c>
      <c r="HB17">
        <v>0</v>
      </c>
      <c r="HC17">
        <v>0</v>
      </c>
      <c r="HD17">
        <v>0</v>
      </c>
      <c r="HE17">
        <v>0</v>
      </c>
      <c r="HF17">
        <v>0</v>
      </c>
      <c r="HG17">
        <v>0</v>
      </c>
      <c r="HH17">
        <f t="shared" si="17"/>
        <v>0</v>
      </c>
      <c r="HI17">
        <v>0</v>
      </c>
      <c r="HJ17">
        <v>0</v>
      </c>
      <c r="HK17">
        <v>0</v>
      </c>
      <c r="HL17">
        <v>0</v>
      </c>
      <c r="HM17">
        <v>0</v>
      </c>
      <c r="HN17">
        <v>0</v>
      </c>
      <c r="HO17">
        <v>0</v>
      </c>
      <c r="HP17">
        <v>0</v>
      </c>
      <c r="HQ17">
        <v>0</v>
      </c>
      <c r="HR17">
        <v>0</v>
      </c>
      <c r="HS17">
        <v>0</v>
      </c>
      <c r="HT17">
        <v>0</v>
      </c>
      <c r="HU17">
        <f t="shared" si="18"/>
        <v>0</v>
      </c>
      <c r="HV17">
        <v>0</v>
      </c>
      <c r="HW17">
        <v>0</v>
      </c>
      <c r="HX17">
        <v>0</v>
      </c>
      <c r="HY17">
        <v>0</v>
      </c>
      <c r="HZ17">
        <v>0</v>
      </c>
      <c r="IA17">
        <v>0</v>
      </c>
      <c r="IB17">
        <v>0</v>
      </c>
      <c r="IC17">
        <v>0</v>
      </c>
      <c r="ID17">
        <v>0</v>
      </c>
      <c r="IE17">
        <v>0</v>
      </c>
      <c r="IF17">
        <v>0</v>
      </c>
      <c r="IG17">
        <v>0</v>
      </c>
      <c r="IH17">
        <f t="shared" si="19"/>
        <v>0</v>
      </c>
      <c r="II17">
        <f t="shared" si="20"/>
        <v>33474</v>
      </c>
      <c r="IJ17">
        <f t="shared" si="21"/>
        <v>0</v>
      </c>
      <c r="IK17">
        <v>19234</v>
      </c>
      <c r="IL17">
        <v>20265</v>
      </c>
      <c r="IM17">
        <v>18868</v>
      </c>
      <c r="IN17">
        <v>18867</v>
      </c>
      <c r="IO17">
        <v>22951</v>
      </c>
      <c r="IP17">
        <v>34083</v>
      </c>
      <c r="IQ17">
        <v>21576</v>
      </c>
      <c r="IR17">
        <v>20873</v>
      </c>
      <c r="IS17">
        <v>17610</v>
      </c>
      <c r="IT17">
        <v>20060</v>
      </c>
      <c r="IU17">
        <v>19070</v>
      </c>
      <c r="IV17">
        <v>21148</v>
      </c>
      <c r="IW17">
        <f t="shared" si="22"/>
        <v>254605</v>
      </c>
      <c r="IX17">
        <v>0</v>
      </c>
      <c r="IY17">
        <v>0</v>
      </c>
      <c r="IZ17">
        <v>0</v>
      </c>
      <c r="JA17">
        <v>0</v>
      </c>
      <c r="JB17">
        <v>0</v>
      </c>
      <c r="JC17">
        <v>0</v>
      </c>
      <c r="JD17">
        <v>0</v>
      </c>
      <c r="JE17">
        <v>0</v>
      </c>
      <c r="JF17">
        <v>0</v>
      </c>
      <c r="JG17">
        <v>0</v>
      </c>
      <c r="JH17">
        <v>0</v>
      </c>
      <c r="JI17">
        <v>0</v>
      </c>
      <c r="JJ17">
        <f t="shared" si="23"/>
        <v>0</v>
      </c>
      <c r="JK17">
        <v>0</v>
      </c>
      <c r="JL17">
        <v>0</v>
      </c>
      <c r="JM17">
        <v>0</v>
      </c>
      <c r="JN17">
        <v>0</v>
      </c>
      <c r="JO17">
        <v>0</v>
      </c>
      <c r="JP17">
        <v>0</v>
      </c>
      <c r="JQ17">
        <v>0</v>
      </c>
      <c r="JR17">
        <v>0</v>
      </c>
      <c r="JS17">
        <v>0</v>
      </c>
      <c r="JT17">
        <v>0</v>
      </c>
      <c r="JU17">
        <v>0</v>
      </c>
      <c r="JV17">
        <v>0</v>
      </c>
      <c r="JW17">
        <f t="shared" si="24"/>
        <v>0</v>
      </c>
      <c r="JX17">
        <v>0</v>
      </c>
      <c r="JY17">
        <v>0</v>
      </c>
      <c r="JZ17">
        <v>0</v>
      </c>
      <c r="KA17">
        <v>0</v>
      </c>
      <c r="KB17">
        <v>0</v>
      </c>
      <c r="KC17">
        <v>0</v>
      </c>
      <c r="KD17">
        <v>0</v>
      </c>
      <c r="KE17">
        <v>0</v>
      </c>
      <c r="KF17">
        <v>0</v>
      </c>
      <c r="KG17">
        <v>0</v>
      </c>
      <c r="KH17">
        <v>0</v>
      </c>
      <c r="KI17">
        <v>0</v>
      </c>
      <c r="KJ17">
        <f t="shared" si="25"/>
        <v>0</v>
      </c>
      <c r="KK17">
        <v>0</v>
      </c>
      <c r="KL17">
        <v>0</v>
      </c>
      <c r="KM17">
        <v>0</v>
      </c>
      <c r="KN17">
        <v>0</v>
      </c>
      <c r="KO17">
        <v>0</v>
      </c>
      <c r="KP17">
        <v>0</v>
      </c>
      <c r="KQ17">
        <v>0</v>
      </c>
      <c r="KR17">
        <v>0</v>
      </c>
      <c r="KS17">
        <v>0</v>
      </c>
      <c r="KT17">
        <v>0</v>
      </c>
      <c r="KU17">
        <v>0</v>
      </c>
      <c r="KV17">
        <v>0</v>
      </c>
      <c r="KW17">
        <f t="shared" si="26"/>
        <v>0</v>
      </c>
      <c r="KX17">
        <v>0</v>
      </c>
      <c r="KY17">
        <v>0</v>
      </c>
      <c r="KZ17">
        <v>0</v>
      </c>
      <c r="LA17">
        <v>0</v>
      </c>
      <c r="LB17">
        <v>0</v>
      </c>
      <c r="LC17">
        <v>0</v>
      </c>
      <c r="LD17">
        <v>0</v>
      </c>
      <c r="LE17">
        <v>0</v>
      </c>
      <c r="LF17">
        <v>0</v>
      </c>
      <c r="LG17">
        <v>0</v>
      </c>
      <c r="LH17">
        <v>0</v>
      </c>
      <c r="LI17">
        <v>0</v>
      </c>
      <c r="LJ17">
        <f t="shared" si="27"/>
        <v>0</v>
      </c>
      <c r="LK17">
        <v>0</v>
      </c>
      <c r="LL17">
        <v>0</v>
      </c>
      <c r="LM17">
        <v>0</v>
      </c>
      <c r="LN17">
        <v>0</v>
      </c>
      <c r="LO17">
        <v>0</v>
      </c>
      <c r="LP17">
        <v>0</v>
      </c>
      <c r="LQ17">
        <v>0</v>
      </c>
      <c r="LR17">
        <v>0</v>
      </c>
      <c r="LS17">
        <v>0</v>
      </c>
      <c r="LT17">
        <v>0</v>
      </c>
      <c r="LU17">
        <v>0</v>
      </c>
      <c r="LV17">
        <v>0</v>
      </c>
      <c r="LW17">
        <f t="shared" si="28"/>
        <v>0</v>
      </c>
      <c r="LX17">
        <v>0</v>
      </c>
      <c r="LY17">
        <v>0</v>
      </c>
      <c r="LZ17">
        <v>0</v>
      </c>
      <c r="MA17">
        <v>0</v>
      </c>
      <c r="MB17">
        <v>0</v>
      </c>
      <c r="MC17">
        <v>0</v>
      </c>
      <c r="MD17">
        <v>0</v>
      </c>
      <c r="ME17">
        <v>0</v>
      </c>
      <c r="MF17">
        <v>0</v>
      </c>
      <c r="MG17">
        <v>0</v>
      </c>
      <c r="MH17">
        <v>0</v>
      </c>
      <c r="MI17">
        <v>0</v>
      </c>
      <c r="MJ17">
        <f t="shared" si="29"/>
        <v>0</v>
      </c>
      <c r="MK17">
        <v>2697</v>
      </c>
      <c r="ML17">
        <v>3124</v>
      </c>
      <c r="MM17">
        <v>3023</v>
      </c>
      <c r="MN17">
        <v>3315</v>
      </c>
      <c r="MO17">
        <v>4007</v>
      </c>
      <c r="MP17">
        <v>2468</v>
      </c>
      <c r="MQ17">
        <v>2800</v>
      </c>
      <c r="MR17">
        <v>2465</v>
      </c>
      <c r="MS17">
        <v>2716</v>
      </c>
      <c r="MT17">
        <v>2748</v>
      </c>
      <c r="MU17">
        <v>2538</v>
      </c>
      <c r="MV17">
        <v>2825</v>
      </c>
      <c r="MW17">
        <f t="shared" si="30"/>
        <v>34726</v>
      </c>
      <c r="MX17">
        <v>0</v>
      </c>
      <c r="MY17">
        <v>0</v>
      </c>
      <c r="MZ17">
        <v>0</v>
      </c>
      <c r="NA17">
        <v>0</v>
      </c>
      <c r="NB17">
        <v>0</v>
      </c>
      <c r="NC17">
        <v>0</v>
      </c>
      <c r="ND17">
        <v>0</v>
      </c>
      <c r="NE17">
        <v>0</v>
      </c>
      <c r="NF17">
        <v>0</v>
      </c>
      <c r="NG17">
        <v>0</v>
      </c>
      <c r="NH17">
        <v>0</v>
      </c>
      <c r="NI17">
        <v>0</v>
      </c>
      <c r="NJ17">
        <f t="shared" si="31"/>
        <v>0</v>
      </c>
      <c r="NK17">
        <v>0</v>
      </c>
      <c r="NL17">
        <v>0</v>
      </c>
      <c r="NM17">
        <v>0</v>
      </c>
      <c r="NN17">
        <v>0</v>
      </c>
      <c r="NO17">
        <v>0</v>
      </c>
      <c r="NP17">
        <v>0</v>
      </c>
      <c r="NQ17">
        <v>0</v>
      </c>
      <c r="NR17">
        <v>0</v>
      </c>
      <c r="NS17">
        <v>0</v>
      </c>
      <c r="NT17">
        <v>0</v>
      </c>
      <c r="NU17">
        <v>0</v>
      </c>
      <c r="NV17">
        <v>0</v>
      </c>
      <c r="NW17">
        <f t="shared" si="32"/>
        <v>0</v>
      </c>
      <c r="NX17">
        <v>0</v>
      </c>
      <c r="NY17">
        <v>0</v>
      </c>
      <c r="NZ17">
        <v>0</v>
      </c>
      <c r="OA17">
        <v>0</v>
      </c>
      <c r="OB17">
        <v>0</v>
      </c>
      <c r="OC17">
        <v>0</v>
      </c>
      <c r="OD17">
        <v>0</v>
      </c>
      <c r="OE17">
        <v>0</v>
      </c>
      <c r="OF17">
        <v>0</v>
      </c>
      <c r="OG17">
        <v>0</v>
      </c>
      <c r="OH17">
        <v>0</v>
      </c>
      <c r="OI17">
        <v>0</v>
      </c>
      <c r="OJ17">
        <f t="shared" si="33"/>
        <v>0</v>
      </c>
      <c r="OK17">
        <v>911</v>
      </c>
      <c r="OL17">
        <v>973</v>
      </c>
      <c r="OM17">
        <v>966</v>
      </c>
      <c r="ON17">
        <v>1090</v>
      </c>
      <c r="OO17">
        <v>1111</v>
      </c>
      <c r="OP17">
        <v>1253</v>
      </c>
      <c r="OQ17">
        <v>1307</v>
      </c>
      <c r="OR17">
        <v>1319</v>
      </c>
      <c r="OS17">
        <v>1197</v>
      </c>
      <c r="OT17">
        <v>822</v>
      </c>
      <c r="OU17">
        <v>818</v>
      </c>
      <c r="OV17">
        <v>938</v>
      </c>
      <c r="OW17">
        <f t="shared" si="34"/>
        <v>12705</v>
      </c>
      <c r="OX17">
        <v>0</v>
      </c>
      <c r="OY17">
        <v>0</v>
      </c>
      <c r="OZ17">
        <v>0</v>
      </c>
      <c r="PA17">
        <v>0</v>
      </c>
      <c r="PB17">
        <v>0</v>
      </c>
      <c r="PC17">
        <v>0</v>
      </c>
      <c r="PD17">
        <v>0</v>
      </c>
      <c r="PE17">
        <v>0</v>
      </c>
      <c r="PF17">
        <v>0</v>
      </c>
      <c r="PG17">
        <v>0</v>
      </c>
      <c r="PH17">
        <v>0</v>
      </c>
      <c r="PI17">
        <v>0</v>
      </c>
      <c r="PJ17">
        <f t="shared" si="35"/>
        <v>0</v>
      </c>
      <c r="PK17">
        <v>0</v>
      </c>
      <c r="PL17">
        <v>0</v>
      </c>
      <c r="PM17">
        <v>0</v>
      </c>
      <c r="PN17">
        <v>0</v>
      </c>
      <c r="PO17">
        <v>0</v>
      </c>
      <c r="PP17">
        <v>0</v>
      </c>
      <c r="PQ17">
        <v>0</v>
      </c>
      <c r="PR17">
        <v>0</v>
      </c>
      <c r="PS17">
        <v>0</v>
      </c>
      <c r="PT17">
        <v>0</v>
      </c>
      <c r="PU17">
        <v>0</v>
      </c>
      <c r="PV17">
        <v>0</v>
      </c>
      <c r="PW17">
        <f t="shared" si="36"/>
        <v>0</v>
      </c>
      <c r="PX17">
        <v>0</v>
      </c>
      <c r="PY17">
        <v>0</v>
      </c>
      <c r="PZ17">
        <v>0</v>
      </c>
      <c r="QA17">
        <v>0</v>
      </c>
      <c r="QB17">
        <v>0</v>
      </c>
      <c r="QC17">
        <v>0</v>
      </c>
      <c r="QD17">
        <v>0</v>
      </c>
      <c r="QE17">
        <v>0</v>
      </c>
      <c r="QF17">
        <v>0</v>
      </c>
      <c r="QG17">
        <v>0</v>
      </c>
      <c r="QH17">
        <v>0</v>
      </c>
      <c r="QI17">
        <v>0</v>
      </c>
      <c r="QJ17">
        <f t="shared" si="37"/>
        <v>0</v>
      </c>
      <c r="QK17">
        <v>71006</v>
      </c>
      <c r="QL17">
        <v>74947</v>
      </c>
      <c r="QM17">
        <v>75433</v>
      </c>
      <c r="QN17">
        <v>71651</v>
      </c>
      <c r="QO17">
        <v>68418</v>
      </c>
      <c r="QP17">
        <v>77641</v>
      </c>
      <c r="QQ17">
        <v>79167</v>
      </c>
      <c r="QR17">
        <v>72811</v>
      </c>
      <c r="QS17">
        <v>72128</v>
      </c>
      <c r="QT17">
        <v>82625</v>
      </c>
      <c r="QU17">
        <v>87245</v>
      </c>
      <c r="QV17">
        <v>86151</v>
      </c>
      <c r="QW17">
        <f t="shared" si="38"/>
        <v>919223</v>
      </c>
      <c r="QX17">
        <v>0</v>
      </c>
      <c r="QY17">
        <v>0</v>
      </c>
      <c r="QZ17">
        <v>0</v>
      </c>
      <c r="RA17">
        <v>0</v>
      </c>
      <c r="RB17">
        <v>0</v>
      </c>
      <c r="RC17">
        <v>0</v>
      </c>
      <c r="RD17">
        <v>0</v>
      </c>
      <c r="RE17">
        <v>0</v>
      </c>
      <c r="RF17">
        <v>0</v>
      </c>
      <c r="RG17">
        <v>0</v>
      </c>
      <c r="RH17">
        <v>0</v>
      </c>
      <c r="RI17">
        <v>0</v>
      </c>
      <c r="RJ17">
        <f t="shared" si="39"/>
        <v>0</v>
      </c>
      <c r="RK17">
        <v>0</v>
      </c>
      <c r="RL17">
        <v>0</v>
      </c>
      <c r="RM17">
        <v>0</v>
      </c>
      <c r="RN17">
        <v>0</v>
      </c>
      <c r="RO17">
        <v>0</v>
      </c>
      <c r="RP17">
        <v>0</v>
      </c>
      <c r="RQ17">
        <v>0</v>
      </c>
      <c r="RR17">
        <v>0</v>
      </c>
      <c r="RS17">
        <v>0</v>
      </c>
      <c r="RT17">
        <v>0</v>
      </c>
      <c r="RU17">
        <v>0</v>
      </c>
      <c r="RV17">
        <v>0</v>
      </c>
      <c r="RW17">
        <f t="shared" si="40"/>
        <v>0</v>
      </c>
      <c r="RX17">
        <v>0</v>
      </c>
      <c r="RY17">
        <v>0</v>
      </c>
      <c r="RZ17">
        <v>0</v>
      </c>
      <c r="SA17">
        <v>0</v>
      </c>
      <c r="SB17">
        <v>0</v>
      </c>
      <c r="SC17">
        <v>0</v>
      </c>
      <c r="SD17">
        <v>0</v>
      </c>
      <c r="SE17">
        <v>0</v>
      </c>
      <c r="SF17">
        <v>0</v>
      </c>
      <c r="SG17">
        <v>0</v>
      </c>
      <c r="SH17">
        <v>0</v>
      </c>
      <c r="SI17">
        <v>0</v>
      </c>
      <c r="SJ17">
        <f t="shared" si="41"/>
        <v>0</v>
      </c>
      <c r="SK17">
        <v>281</v>
      </c>
      <c r="SL17">
        <v>185</v>
      </c>
      <c r="SM17">
        <v>296</v>
      </c>
      <c r="SN17">
        <v>258</v>
      </c>
      <c r="SO17">
        <v>277</v>
      </c>
      <c r="SP17">
        <v>312</v>
      </c>
      <c r="SQ17">
        <v>210</v>
      </c>
      <c r="SR17">
        <v>228</v>
      </c>
      <c r="SS17">
        <v>196</v>
      </c>
      <c r="ST17">
        <v>173</v>
      </c>
      <c r="SU17">
        <v>337</v>
      </c>
      <c r="SV17">
        <v>223</v>
      </c>
      <c r="SW17">
        <f t="shared" si="42"/>
        <v>2976</v>
      </c>
      <c r="SX17">
        <v>0</v>
      </c>
      <c r="SY17">
        <v>13277</v>
      </c>
      <c r="SZ17">
        <v>13650</v>
      </c>
      <c r="TA17">
        <v>13719</v>
      </c>
      <c r="TB17">
        <v>14952</v>
      </c>
      <c r="TC17">
        <v>13821</v>
      </c>
      <c r="TD17">
        <v>14704</v>
      </c>
      <c r="TE17">
        <v>14228</v>
      </c>
      <c r="TF17">
        <v>12941</v>
      </c>
      <c r="TG17">
        <v>12008</v>
      </c>
      <c r="TH17">
        <v>13544</v>
      </c>
      <c r="TI17">
        <v>13249</v>
      </c>
      <c r="TJ17">
        <v>14264</v>
      </c>
      <c r="TK17">
        <f t="shared" si="43"/>
        <v>164357</v>
      </c>
      <c r="TL17">
        <v>15364</v>
      </c>
      <c r="TM17">
        <v>16074</v>
      </c>
      <c r="TN17">
        <v>16119</v>
      </c>
      <c r="TO17">
        <v>15817</v>
      </c>
      <c r="TP17">
        <v>17239</v>
      </c>
      <c r="TQ17">
        <v>16815</v>
      </c>
      <c r="TR17">
        <v>18349</v>
      </c>
      <c r="TS17">
        <v>18363</v>
      </c>
      <c r="TT17">
        <v>15343</v>
      </c>
      <c r="TU17">
        <v>18587</v>
      </c>
      <c r="TV17">
        <v>18130</v>
      </c>
      <c r="TW17">
        <v>18949</v>
      </c>
      <c r="TX17">
        <f t="shared" si="44"/>
        <v>205149</v>
      </c>
      <c r="TY17">
        <v>52</v>
      </c>
      <c r="TZ17">
        <v>0</v>
      </c>
      <c r="UA17">
        <v>0</v>
      </c>
      <c r="UB17">
        <v>0</v>
      </c>
    </row>
    <row r="18" spans="1:548" ht="16.5" customHeight="1" x14ac:dyDescent="0.35">
      <c r="A18" t="s">
        <v>1430</v>
      </c>
      <c r="B18" t="s">
        <v>2862</v>
      </c>
      <c r="C18">
        <v>96843</v>
      </c>
      <c r="D18">
        <v>22172</v>
      </c>
      <c r="E18">
        <v>7231</v>
      </c>
      <c r="F18">
        <v>67440</v>
      </c>
      <c r="G18">
        <v>250</v>
      </c>
      <c r="H18">
        <v>621</v>
      </c>
      <c r="I18">
        <v>671</v>
      </c>
      <c r="J18">
        <v>699</v>
      </c>
      <c r="K18">
        <v>557</v>
      </c>
      <c r="L18">
        <v>627</v>
      </c>
      <c r="M18">
        <v>697</v>
      </c>
      <c r="N18">
        <v>654</v>
      </c>
      <c r="O18">
        <v>491</v>
      </c>
      <c r="P18">
        <v>608</v>
      </c>
      <c r="Q18">
        <v>636</v>
      </c>
      <c r="R18">
        <v>667</v>
      </c>
      <c r="S18">
        <f t="shared" si="0"/>
        <v>7178</v>
      </c>
      <c r="T18">
        <v>61</v>
      </c>
      <c r="U18">
        <v>170</v>
      </c>
      <c r="V18">
        <v>287</v>
      </c>
      <c r="W18">
        <v>282</v>
      </c>
      <c r="X18">
        <v>198</v>
      </c>
      <c r="Y18">
        <v>230</v>
      </c>
      <c r="Z18">
        <v>199</v>
      </c>
      <c r="AA18">
        <v>197</v>
      </c>
      <c r="AB18">
        <v>144</v>
      </c>
      <c r="AC18">
        <v>185</v>
      </c>
      <c r="AD18">
        <v>169</v>
      </c>
      <c r="AE18">
        <v>228</v>
      </c>
      <c r="AF18">
        <f t="shared" si="1"/>
        <v>2350</v>
      </c>
      <c r="AG18">
        <v>2</v>
      </c>
      <c r="AH18">
        <v>7</v>
      </c>
      <c r="AI18">
        <v>6</v>
      </c>
      <c r="AJ18">
        <v>5</v>
      </c>
      <c r="AK18">
        <v>3</v>
      </c>
      <c r="AL18">
        <v>3</v>
      </c>
      <c r="AM18">
        <v>8</v>
      </c>
      <c r="AN18">
        <v>6</v>
      </c>
      <c r="AO18">
        <v>4</v>
      </c>
      <c r="AP18">
        <v>4</v>
      </c>
      <c r="AQ18">
        <v>8</v>
      </c>
      <c r="AR18">
        <v>6</v>
      </c>
      <c r="AS18">
        <f t="shared" si="2"/>
        <v>62</v>
      </c>
      <c r="AT18">
        <v>102</v>
      </c>
      <c r="AU18">
        <v>254</v>
      </c>
      <c r="AV18">
        <v>245</v>
      </c>
      <c r="AW18">
        <v>258</v>
      </c>
      <c r="AX18">
        <v>199</v>
      </c>
      <c r="AY18">
        <v>246</v>
      </c>
      <c r="AZ18">
        <v>296</v>
      </c>
      <c r="BA18">
        <v>271</v>
      </c>
      <c r="BB18">
        <v>202</v>
      </c>
      <c r="BC18">
        <v>258</v>
      </c>
      <c r="BD18">
        <v>272</v>
      </c>
      <c r="BE18">
        <v>267</v>
      </c>
      <c r="BF18">
        <f t="shared" si="3"/>
        <v>2870</v>
      </c>
      <c r="BG18">
        <v>85</v>
      </c>
      <c r="BH18">
        <v>190</v>
      </c>
      <c r="BI18">
        <v>133</v>
      </c>
      <c r="BJ18">
        <v>154</v>
      </c>
      <c r="BK18">
        <v>157</v>
      </c>
      <c r="BL18">
        <v>148</v>
      </c>
      <c r="BM18">
        <v>194</v>
      </c>
      <c r="BN18">
        <v>180</v>
      </c>
      <c r="BO18">
        <v>141</v>
      </c>
      <c r="BP18">
        <v>161</v>
      </c>
      <c r="BQ18">
        <v>187</v>
      </c>
      <c r="BR18">
        <v>166</v>
      </c>
      <c r="BS18">
        <f t="shared" si="4"/>
        <v>1896</v>
      </c>
      <c r="BT18">
        <v>0</v>
      </c>
      <c r="BU18">
        <v>0</v>
      </c>
      <c r="BV18">
        <v>0</v>
      </c>
      <c r="BW18">
        <v>0</v>
      </c>
      <c r="BX18">
        <v>0</v>
      </c>
      <c r="BY18">
        <v>0</v>
      </c>
      <c r="BZ18">
        <v>0</v>
      </c>
      <c r="CA18">
        <v>0</v>
      </c>
      <c r="CB18">
        <v>0</v>
      </c>
      <c r="CC18">
        <v>0</v>
      </c>
      <c r="CD18">
        <v>0</v>
      </c>
      <c r="CE18">
        <v>0</v>
      </c>
      <c r="CF18">
        <f t="shared" si="5"/>
        <v>0</v>
      </c>
      <c r="CG18">
        <v>0</v>
      </c>
      <c r="CH18">
        <v>0</v>
      </c>
      <c r="CI18">
        <v>0</v>
      </c>
      <c r="CJ18">
        <v>0</v>
      </c>
      <c r="CK18">
        <v>0</v>
      </c>
      <c r="CL18">
        <v>0</v>
      </c>
      <c r="CM18">
        <v>0</v>
      </c>
      <c r="CN18">
        <v>0</v>
      </c>
      <c r="CO18">
        <v>0</v>
      </c>
      <c r="CP18">
        <v>0</v>
      </c>
      <c r="CQ18">
        <v>0</v>
      </c>
      <c r="CR18">
        <v>0</v>
      </c>
      <c r="CS18">
        <f t="shared" si="6"/>
        <v>0</v>
      </c>
      <c r="CT18">
        <v>0</v>
      </c>
      <c r="CU18">
        <v>0</v>
      </c>
      <c r="CV18">
        <v>0</v>
      </c>
      <c r="CW18">
        <v>0</v>
      </c>
      <c r="CX18">
        <v>0</v>
      </c>
      <c r="CY18">
        <v>0</v>
      </c>
      <c r="CZ18">
        <v>0</v>
      </c>
      <c r="DA18">
        <v>0</v>
      </c>
      <c r="DB18">
        <v>0</v>
      </c>
      <c r="DC18">
        <v>0</v>
      </c>
      <c r="DD18">
        <v>0</v>
      </c>
      <c r="DE18">
        <v>0</v>
      </c>
      <c r="DF18">
        <f t="shared" si="7"/>
        <v>0</v>
      </c>
      <c r="DG18">
        <v>0</v>
      </c>
      <c r="DH18">
        <v>0</v>
      </c>
      <c r="DI18">
        <v>0</v>
      </c>
      <c r="DJ18">
        <v>0</v>
      </c>
      <c r="DK18">
        <v>0</v>
      </c>
      <c r="DL18">
        <v>0</v>
      </c>
      <c r="DM18">
        <v>0</v>
      </c>
      <c r="DN18">
        <v>0</v>
      </c>
      <c r="DO18">
        <v>0</v>
      </c>
      <c r="DP18">
        <v>0</v>
      </c>
      <c r="DQ18">
        <v>0</v>
      </c>
      <c r="DR18">
        <v>0</v>
      </c>
      <c r="DS18">
        <f t="shared" si="8"/>
        <v>0</v>
      </c>
      <c r="DT18">
        <v>0</v>
      </c>
      <c r="DU18">
        <v>0</v>
      </c>
      <c r="DV18">
        <v>0</v>
      </c>
      <c r="DW18">
        <v>0</v>
      </c>
      <c r="DX18">
        <v>0</v>
      </c>
      <c r="DY18">
        <v>0</v>
      </c>
      <c r="DZ18">
        <v>0</v>
      </c>
      <c r="EA18">
        <v>0</v>
      </c>
      <c r="EB18">
        <v>0</v>
      </c>
      <c r="EC18">
        <v>0</v>
      </c>
      <c r="ED18">
        <v>0</v>
      </c>
      <c r="EE18">
        <v>0</v>
      </c>
      <c r="EF18">
        <f t="shared" si="9"/>
        <v>0</v>
      </c>
      <c r="EG18">
        <f t="shared" si="10"/>
        <v>7178</v>
      </c>
      <c r="EH18">
        <f t="shared" si="11"/>
        <v>0</v>
      </c>
      <c r="EI18">
        <v>4298</v>
      </c>
      <c r="EJ18">
        <v>11349</v>
      </c>
      <c r="EK18">
        <v>24224</v>
      </c>
      <c r="EL18">
        <v>28796</v>
      </c>
      <c r="EM18">
        <v>10086</v>
      </c>
      <c r="EN18">
        <v>14041</v>
      </c>
      <c r="EO18">
        <v>12482</v>
      </c>
      <c r="EP18">
        <v>12092</v>
      </c>
      <c r="EQ18">
        <v>9733</v>
      </c>
      <c r="ER18">
        <v>10097</v>
      </c>
      <c r="ES18">
        <v>11963</v>
      </c>
      <c r="ET18">
        <v>13135</v>
      </c>
      <c r="EU18">
        <f t="shared" si="12"/>
        <v>162296</v>
      </c>
      <c r="EV18">
        <v>1941</v>
      </c>
      <c r="EW18">
        <v>4769</v>
      </c>
      <c r="EX18">
        <v>18309</v>
      </c>
      <c r="EY18">
        <v>21239</v>
      </c>
      <c r="EZ18">
        <v>4630</v>
      </c>
      <c r="FA18">
        <v>6338</v>
      </c>
      <c r="FB18">
        <v>5235</v>
      </c>
      <c r="FC18">
        <v>5085</v>
      </c>
      <c r="FD18">
        <v>3778</v>
      </c>
      <c r="FE18">
        <v>4111</v>
      </c>
      <c r="FF18">
        <v>5108</v>
      </c>
      <c r="FG18">
        <v>6182</v>
      </c>
      <c r="FH18">
        <f t="shared" si="13"/>
        <v>86725</v>
      </c>
      <c r="FI18">
        <v>45</v>
      </c>
      <c r="FJ18">
        <v>109</v>
      </c>
      <c r="FK18">
        <v>97</v>
      </c>
      <c r="FL18">
        <v>115</v>
      </c>
      <c r="FM18">
        <v>49</v>
      </c>
      <c r="FN18">
        <v>66</v>
      </c>
      <c r="FO18">
        <v>132</v>
      </c>
      <c r="FP18">
        <v>104</v>
      </c>
      <c r="FQ18">
        <v>248</v>
      </c>
      <c r="FR18">
        <v>54</v>
      </c>
      <c r="FS18">
        <v>86</v>
      </c>
      <c r="FT18">
        <v>34</v>
      </c>
      <c r="FU18">
        <f t="shared" si="14"/>
        <v>1139</v>
      </c>
      <c r="FV18">
        <v>2312</v>
      </c>
      <c r="FW18">
        <v>6471</v>
      </c>
      <c r="FX18">
        <v>5818</v>
      </c>
      <c r="FY18">
        <v>7442</v>
      </c>
      <c r="FZ18">
        <v>5407</v>
      </c>
      <c r="GA18">
        <v>7637</v>
      </c>
      <c r="GB18">
        <v>7115</v>
      </c>
      <c r="GC18">
        <v>6903</v>
      </c>
      <c r="GD18">
        <v>5707</v>
      </c>
      <c r="GE18">
        <v>5932</v>
      </c>
      <c r="GF18">
        <v>6769</v>
      </c>
      <c r="GG18">
        <v>6919</v>
      </c>
      <c r="GH18">
        <f t="shared" si="15"/>
        <v>74432</v>
      </c>
      <c r="GI18">
        <v>0</v>
      </c>
      <c r="GJ18">
        <v>0</v>
      </c>
      <c r="GK18">
        <v>0</v>
      </c>
      <c r="GL18">
        <v>0</v>
      </c>
      <c r="GM18">
        <v>0</v>
      </c>
      <c r="GN18">
        <v>0</v>
      </c>
      <c r="GO18">
        <v>0</v>
      </c>
      <c r="GP18">
        <v>0</v>
      </c>
      <c r="GQ18">
        <v>0</v>
      </c>
      <c r="GR18">
        <v>0</v>
      </c>
      <c r="GS18">
        <v>0</v>
      </c>
      <c r="GT18">
        <v>0</v>
      </c>
      <c r="GU18">
        <f t="shared" si="16"/>
        <v>0</v>
      </c>
      <c r="GV18">
        <v>0</v>
      </c>
      <c r="GW18">
        <v>0</v>
      </c>
      <c r="GX18">
        <v>0</v>
      </c>
      <c r="GY18">
        <v>0</v>
      </c>
      <c r="GZ18">
        <v>0</v>
      </c>
      <c r="HA18">
        <v>0</v>
      </c>
      <c r="HB18">
        <v>0</v>
      </c>
      <c r="HC18">
        <v>0</v>
      </c>
      <c r="HD18">
        <v>0</v>
      </c>
      <c r="HE18">
        <v>0</v>
      </c>
      <c r="HF18">
        <v>0</v>
      </c>
      <c r="HG18">
        <v>0</v>
      </c>
      <c r="HH18">
        <f t="shared" si="17"/>
        <v>0</v>
      </c>
      <c r="HI18">
        <v>0</v>
      </c>
      <c r="HJ18">
        <v>0</v>
      </c>
      <c r="HK18">
        <v>0</v>
      </c>
      <c r="HL18">
        <v>0</v>
      </c>
      <c r="HM18">
        <v>0</v>
      </c>
      <c r="HN18">
        <v>0</v>
      </c>
      <c r="HO18">
        <v>0</v>
      </c>
      <c r="HP18">
        <v>0</v>
      </c>
      <c r="HQ18">
        <v>0</v>
      </c>
      <c r="HR18">
        <v>0</v>
      </c>
      <c r="HS18">
        <v>0</v>
      </c>
      <c r="HT18">
        <v>0</v>
      </c>
      <c r="HU18">
        <f t="shared" si="18"/>
        <v>0</v>
      </c>
      <c r="HV18">
        <v>0</v>
      </c>
      <c r="HW18">
        <v>0</v>
      </c>
      <c r="HX18">
        <v>0</v>
      </c>
      <c r="HY18">
        <v>0</v>
      </c>
      <c r="HZ18">
        <v>0</v>
      </c>
      <c r="IA18">
        <v>0</v>
      </c>
      <c r="IB18">
        <v>0</v>
      </c>
      <c r="IC18">
        <v>0</v>
      </c>
      <c r="ID18">
        <v>0</v>
      </c>
      <c r="IE18">
        <v>0</v>
      </c>
      <c r="IF18">
        <v>0</v>
      </c>
      <c r="IG18">
        <v>0</v>
      </c>
      <c r="IH18">
        <f t="shared" si="19"/>
        <v>0</v>
      </c>
      <c r="II18">
        <f t="shared" si="20"/>
        <v>162296</v>
      </c>
      <c r="IJ18">
        <f t="shared" si="21"/>
        <v>0</v>
      </c>
      <c r="IK18">
        <v>111579</v>
      </c>
      <c r="IL18">
        <v>117019</v>
      </c>
      <c r="IM18">
        <v>113442</v>
      </c>
      <c r="IN18">
        <v>140103</v>
      </c>
      <c r="IO18">
        <v>142491</v>
      </c>
      <c r="IP18">
        <v>125649</v>
      </c>
      <c r="IQ18">
        <v>12843</v>
      </c>
      <c r="IR18">
        <v>120081</v>
      </c>
      <c r="IS18">
        <v>88857</v>
      </c>
      <c r="IT18">
        <v>120478</v>
      </c>
      <c r="IU18">
        <v>116325</v>
      </c>
      <c r="IV18">
        <v>128545</v>
      </c>
      <c r="IW18">
        <f t="shared" si="22"/>
        <v>1337412</v>
      </c>
      <c r="IX18">
        <v>63189</v>
      </c>
      <c r="IY18">
        <v>65702</v>
      </c>
      <c r="IZ18">
        <v>62853</v>
      </c>
      <c r="JA18">
        <v>84229</v>
      </c>
      <c r="JB18">
        <v>86268</v>
      </c>
      <c r="JC18">
        <v>72907</v>
      </c>
      <c r="JD18">
        <v>74855</v>
      </c>
      <c r="JE18">
        <v>70489</v>
      </c>
      <c r="JF18">
        <v>49407</v>
      </c>
      <c r="JG18">
        <v>68595</v>
      </c>
      <c r="JH18">
        <v>68242</v>
      </c>
      <c r="JI18">
        <v>75688</v>
      </c>
      <c r="JJ18">
        <f t="shared" si="23"/>
        <v>842424</v>
      </c>
      <c r="JK18">
        <v>2767</v>
      </c>
      <c r="JL18">
        <v>2571</v>
      </c>
      <c r="JM18">
        <v>2631</v>
      </c>
      <c r="JN18">
        <v>3775</v>
      </c>
      <c r="JO18">
        <v>3878</v>
      </c>
      <c r="JP18">
        <v>3161</v>
      </c>
      <c r="JQ18">
        <v>3011</v>
      </c>
      <c r="JR18">
        <v>2772</v>
      </c>
      <c r="JS18">
        <v>2075</v>
      </c>
      <c r="JT18">
        <v>2815</v>
      </c>
      <c r="JU18">
        <v>2716</v>
      </c>
      <c r="JV18">
        <v>2977</v>
      </c>
      <c r="JW18">
        <f t="shared" si="24"/>
        <v>35149</v>
      </c>
      <c r="JX18">
        <v>45623</v>
      </c>
      <c r="JY18">
        <v>48746</v>
      </c>
      <c r="JZ18">
        <v>47958</v>
      </c>
      <c r="KA18">
        <v>52099</v>
      </c>
      <c r="KB18">
        <v>52345</v>
      </c>
      <c r="KC18">
        <v>49581</v>
      </c>
      <c r="KD18">
        <v>49977</v>
      </c>
      <c r="KE18">
        <v>46820</v>
      </c>
      <c r="KF18">
        <v>37375</v>
      </c>
      <c r="KG18">
        <v>49068</v>
      </c>
      <c r="KH18">
        <v>45367</v>
      </c>
      <c r="KI18">
        <v>49880</v>
      </c>
      <c r="KJ18">
        <f t="shared" si="25"/>
        <v>574839</v>
      </c>
      <c r="KK18">
        <v>914</v>
      </c>
      <c r="KL18">
        <v>802</v>
      </c>
      <c r="KM18">
        <v>812</v>
      </c>
      <c r="KN18">
        <v>864</v>
      </c>
      <c r="KO18">
        <v>860</v>
      </c>
      <c r="KP18">
        <v>861</v>
      </c>
      <c r="KQ18">
        <v>845</v>
      </c>
      <c r="KR18">
        <v>752</v>
      </c>
      <c r="KS18">
        <v>670</v>
      </c>
      <c r="KT18">
        <v>778</v>
      </c>
      <c r="KU18">
        <v>684</v>
      </c>
      <c r="KV18">
        <v>786</v>
      </c>
      <c r="KW18">
        <f t="shared" si="26"/>
        <v>9628</v>
      </c>
      <c r="KX18">
        <v>286</v>
      </c>
      <c r="KY18">
        <v>247</v>
      </c>
      <c r="KZ18">
        <v>259</v>
      </c>
      <c r="LA18">
        <v>334</v>
      </c>
      <c r="LB18">
        <v>353</v>
      </c>
      <c r="LC18">
        <v>261</v>
      </c>
      <c r="LD18">
        <v>273</v>
      </c>
      <c r="LE18">
        <v>240</v>
      </c>
      <c r="LF18">
        <v>200</v>
      </c>
      <c r="LG18">
        <v>242</v>
      </c>
      <c r="LH18">
        <v>257</v>
      </c>
      <c r="LI18">
        <v>300</v>
      </c>
      <c r="LJ18">
        <f t="shared" si="27"/>
        <v>3252</v>
      </c>
      <c r="LK18">
        <v>0</v>
      </c>
      <c r="LL18">
        <v>0</v>
      </c>
      <c r="LM18">
        <v>0</v>
      </c>
      <c r="LN18">
        <v>0</v>
      </c>
      <c r="LO18">
        <v>0</v>
      </c>
      <c r="LP18">
        <v>0</v>
      </c>
      <c r="LQ18">
        <v>0</v>
      </c>
      <c r="LR18">
        <v>0</v>
      </c>
      <c r="LS18">
        <v>0</v>
      </c>
      <c r="LT18">
        <v>0</v>
      </c>
      <c r="LU18">
        <v>0</v>
      </c>
      <c r="LV18">
        <v>0</v>
      </c>
      <c r="LW18">
        <f t="shared" si="28"/>
        <v>0</v>
      </c>
      <c r="LX18">
        <v>628</v>
      </c>
      <c r="LY18">
        <v>555</v>
      </c>
      <c r="LZ18">
        <v>553</v>
      </c>
      <c r="MA18">
        <v>530</v>
      </c>
      <c r="MB18">
        <v>507</v>
      </c>
      <c r="MC18">
        <v>600</v>
      </c>
      <c r="MD18">
        <v>572</v>
      </c>
      <c r="ME18">
        <v>512</v>
      </c>
      <c r="MF18">
        <v>470</v>
      </c>
      <c r="MG18">
        <v>536</v>
      </c>
      <c r="MH18">
        <v>427</v>
      </c>
      <c r="MI18">
        <v>486</v>
      </c>
      <c r="MJ18">
        <f t="shared" si="29"/>
        <v>6376</v>
      </c>
      <c r="MK18">
        <v>9108</v>
      </c>
      <c r="ML18">
        <v>9711</v>
      </c>
      <c r="MM18">
        <v>9283</v>
      </c>
      <c r="MN18">
        <v>9968</v>
      </c>
      <c r="MO18">
        <v>10196</v>
      </c>
      <c r="MP18">
        <v>9238</v>
      </c>
      <c r="MQ18">
        <v>9267</v>
      </c>
      <c r="MR18">
        <v>9179</v>
      </c>
      <c r="MS18">
        <v>9101</v>
      </c>
      <c r="MT18">
        <v>9288</v>
      </c>
      <c r="MU18">
        <v>8464</v>
      </c>
      <c r="MV18">
        <v>9056</v>
      </c>
      <c r="MW18">
        <f t="shared" si="30"/>
        <v>111859</v>
      </c>
      <c r="MX18">
        <v>0</v>
      </c>
      <c r="MY18">
        <v>0</v>
      </c>
      <c r="MZ18">
        <v>0</v>
      </c>
      <c r="NA18">
        <v>0</v>
      </c>
      <c r="NB18">
        <v>0</v>
      </c>
      <c r="NC18">
        <v>0</v>
      </c>
      <c r="ND18">
        <v>0</v>
      </c>
      <c r="NE18">
        <v>0</v>
      </c>
      <c r="NF18">
        <v>0</v>
      </c>
      <c r="NG18">
        <v>0</v>
      </c>
      <c r="NH18">
        <v>0</v>
      </c>
      <c r="NI18">
        <v>0</v>
      </c>
      <c r="NJ18">
        <f t="shared" si="31"/>
        <v>0</v>
      </c>
      <c r="NK18">
        <v>0</v>
      </c>
      <c r="NL18">
        <v>0</v>
      </c>
      <c r="NM18">
        <v>0</v>
      </c>
      <c r="NN18">
        <v>0</v>
      </c>
      <c r="NO18">
        <v>0</v>
      </c>
      <c r="NP18">
        <v>0</v>
      </c>
      <c r="NQ18">
        <v>0</v>
      </c>
      <c r="NR18">
        <v>0</v>
      </c>
      <c r="NS18">
        <v>0</v>
      </c>
      <c r="NT18">
        <v>0</v>
      </c>
      <c r="NU18">
        <v>0</v>
      </c>
      <c r="NV18">
        <v>0</v>
      </c>
      <c r="NW18">
        <f t="shared" si="32"/>
        <v>0</v>
      </c>
      <c r="NX18">
        <v>0</v>
      </c>
      <c r="NY18">
        <v>0</v>
      </c>
      <c r="NZ18">
        <v>0</v>
      </c>
      <c r="OA18">
        <v>0</v>
      </c>
      <c r="OB18">
        <v>0</v>
      </c>
      <c r="OC18">
        <v>0</v>
      </c>
      <c r="OD18">
        <v>0</v>
      </c>
      <c r="OE18">
        <v>0</v>
      </c>
      <c r="OF18">
        <v>0</v>
      </c>
      <c r="OG18">
        <v>0</v>
      </c>
      <c r="OH18">
        <v>0</v>
      </c>
      <c r="OI18">
        <v>0</v>
      </c>
      <c r="OJ18">
        <f t="shared" si="33"/>
        <v>0</v>
      </c>
      <c r="OK18">
        <v>13326</v>
      </c>
      <c r="OL18">
        <v>13950</v>
      </c>
      <c r="OM18">
        <v>12995</v>
      </c>
      <c r="ON18">
        <v>14180</v>
      </c>
      <c r="OO18">
        <v>14786</v>
      </c>
      <c r="OP18">
        <v>14065</v>
      </c>
      <c r="OQ18">
        <v>14019</v>
      </c>
      <c r="OR18">
        <v>13345</v>
      </c>
      <c r="OS18">
        <v>12478</v>
      </c>
      <c r="OT18">
        <v>13656</v>
      </c>
      <c r="OU18">
        <v>12745</v>
      </c>
      <c r="OV18">
        <v>13852</v>
      </c>
      <c r="OW18">
        <f t="shared" si="34"/>
        <v>163397</v>
      </c>
      <c r="OX18">
        <v>0</v>
      </c>
      <c r="OY18">
        <v>0</v>
      </c>
      <c r="OZ18">
        <v>0</v>
      </c>
      <c r="PA18">
        <v>0</v>
      </c>
      <c r="PB18">
        <v>0</v>
      </c>
      <c r="PC18">
        <v>0</v>
      </c>
      <c r="PD18">
        <v>0</v>
      </c>
      <c r="PE18">
        <v>0</v>
      </c>
      <c r="PF18">
        <v>0</v>
      </c>
      <c r="PG18">
        <v>0</v>
      </c>
      <c r="PH18">
        <v>0</v>
      </c>
      <c r="PI18">
        <v>0</v>
      </c>
      <c r="PJ18">
        <f t="shared" si="35"/>
        <v>0</v>
      </c>
      <c r="PK18">
        <v>0</v>
      </c>
      <c r="PL18">
        <v>0</v>
      </c>
      <c r="PM18">
        <v>0</v>
      </c>
      <c r="PN18">
        <v>0</v>
      </c>
      <c r="PO18">
        <v>0</v>
      </c>
      <c r="PP18">
        <v>0</v>
      </c>
      <c r="PQ18">
        <v>0</v>
      </c>
      <c r="PR18">
        <v>0</v>
      </c>
      <c r="PS18">
        <v>0</v>
      </c>
      <c r="PT18">
        <v>0</v>
      </c>
      <c r="PU18">
        <v>0</v>
      </c>
      <c r="PV18">
        <v>0</v>
      </c>
      <c r="PW18">
        <f t="shared" si="36"/>
        <v>0</v>
      </c>
      <c r="PX18">
        <v>0</v>
      </c>
      <c r="PY18">
        <v>0</v>
      </c>
      <c r="PZ18">
        <v>0</v>
      </c>
      <c r="QA18">
        <v>0</v>
      </c>
      <c r="QB18">
        <v>0</v>
      </c>
      <c r="QC18">
        <v>0</v>
      </c>
      <c r="QD18">
        <v>0</v>
      </c>
      <c r="QE18">
        <v>0</v>
      </c>
      <c r="QF18">
        <v>0</v>
      </c>
      <c r="QG18">
        <v>0</v>
      </c>
      <c r="QH18">
        <v>0</v>
      </c>
      <c r="QI18">
        <v>0</v>
      </c>
      <c r="QJ18">
        <f t="shared" si="37"/>
        <v>0</v>
      </c>
      <c r="QK18">
        <v>129070</v>
      </c>
      <c r="QL18">
        <v>131308</v>
      </c>
      <c r="QM18">
        <v>119647</v>
      </c>
      <c r="QN18">
        <v>140461</v>
      </c>
      <c r="QO18">
        <v>132928</v>
      </c>
      <c r="QP18">
        <v>130613</v>
      </c>
      <c r="QQ18">
        <v>143320</v>
      </c>
      <c r="QR18">
        <v>128528</v>
      </c>
      <c r="QS18">
        <v>111301</v>
      </c>
      <c r="QT18">
        <v>137036</v>
      </c>
      <c r="QU18">
        <v>135657</v>
      </c>
      <c r="QV18">
        <v>150877</v>
      </c>
      <c r="QW18">
        <f t="shared" si="38"/>
        <v>1590746</v>
      </c>
      <c r="QX18">
        <v>0</v>
      </c>
      <c r="QY18">
        <v>0</v>
      </c>
      <c r="QZ18">
        <v>0</v>
      </c>
      <c r="RA18">
        <v>0</v>
      </c>
      <c r="RB18">
        <v>0</v>
      </c>
      <c r="RC18">
        <v>0</v>
      </c>
      <c r="RD18">
        <v>0</v>
      </c>
      <c r="RE18">
        <v>0</v>
      </c>
      <c r="RF18">
        <v>0</v>
      </c>
      <c r="RG18">
        <v>0</v>
      </c>
      <c r="RH18">
        <v>0</v>
      </c>
      <c r="RI18">
        <v>0</v>
      </c>
      <c r="RJ18">
        <f t="shared" si="39"/>
        <v>0</v>
      </c>
      <c r="RK18">
        <v>0</v>
      </c>
      <c r="RL18">
        <v>0</v>
      </c>
      <c r="RM18">
        <v>0</v>
      </c>
      <c r="RN18">
        <v>0</v>
      </c>
      <c r="RO18">
        <v>0</v>
      </c>
      <c r="RP18">
        <v>0</v>
      </c>
      <c r="RQ18">
        <v>0</v>
      </c>
      <c r="RR18">
        <v>0</v>
      </c>
      <c r="RS18">
        <v>0</v>
      </c>
      <c r="RT18">
        <v>0</v>
      </c>
      <c r="RU18">
        <v>0</v>
      </c>
      <c r="RV18">
        <v>0</v>
      </c>
      <c r="RW18">
        <f t="shared" si="40"/>
        <v>0</v>
      </c>
      <c r="RX18">
        <v>1631</v>
      </c>
      <c r="RY18">
        <v>1681</v>
      </c>
      <c r="RZ18">
        <v>2045</v>
      </c>
      <c r="SA18">
        <v>1622</v>
      </c>
      <c r="SB18">
        <v>1415</v>
      </c>
      <c r="SC18">
        <v>1769</v>
      </c>
      <c r="SD18">
        <v>1734</v>
      </c>
      <c r="SE18">
        <v>2249</v>
      </c>
      <c r="SF18">
        <v>1344</v>
      </c>
      <c r="SG18">
        <v>1605</v>
      </c>
      <c r="SH18">
        <v>1433</v>
      </c>
      <c r="SI18">
        <v>2055</v>
      </c>
      <c r="SJ18">
        <f t="shared" si="41"/>
        <v>20583</v>
      </c>
      <c r="SK18">
        <v>172</v>
      </c>
      <c r="SL18">
        <v>172</v>
      </c>
      <c r="SM18">
        <v>172</v>
      </c>
      <c r="SN18">
        <v>172</v>
      </c>
      <c r="SO18">
        <v>172</v>
      </c>
      <c r="SP18">
        <v>172</v>
      </c>
      <c r="SQ18">
        <v>172</v>
      </c>
      <c r="SR18">
        <v>172</v>
      </c>
      <c r="SS18">
        <v>172</v>
      </c>
      <c r="ST18">
        <v>172</v>
      </c>
      <c r="SU18">
        <v>172</v>
      </c>
      <c r="SV18">
        <v>172</v>
      </c>
      <c r="SW18">
        <f t="shared" si="42"/>
        <v>2064</v>
      </c>
      <c r="SX18">
        <v>0</v>
      </c>
      <c r="SY18">
        <v>7583</v>
      </c>
      <c r="SZ18">
        <v>7530</v>
      </c>
      <c r="TA18">
        <v>7049</v>
      </c>
      <c r="TB18">
        <v>7475</v>
      </c>
      <c r="TC18">
        <v>7362</v>
      </c>
      <c r="TD18">
        <v>5905</v>
      </c>
      <c r="TE18">
        <v>7367</v>
      </c>
      <c r="TF18">
        <v>7409</v>
      </c>
      <c r="TG18">
        <v>6385</v>
      </c>
      <c r="TH18">
        <v>7716</v>
      </c>
      <c r="TI18">
        <v>7399</v>
      </c>
      <c r="TJ18">
        <v>8070</v>
      </c>
      <c r="TK18">
        <f t="shared" si="43"/>
        <v>87250</v>
      </c>
      <c r="TL18">
        <v>0</v>
      </c>
      <c r="TM18">
        <v>0</v>
      </c>
      <c r="TN18">
        <v>0</v>
      </c>
      <c r="TO18">
        <v>0</v>
      </c>
      <c r="TP18">
        <v>0</v>
      </c>
      <c r="TQ18">
        <v>0</v>
      </c>
      <c r="TR18">
        <v>0</v>
      </c>
      <c r="TS18">
        <v>0</v>
      </c>
      <c r="TT18">
        <v>0</v>
      </c>
      <c r="TU18">
        <v>0</v>
      </c>
      <c r="TV18">
        <v>0</v>
      </c>
      <c r="TW18">
        <v>0</v>
      </c>
      <c r="TX18">
        <f t="shared" si="44"/>
        <v>0</v>
      </c>
      <c r="TY18">
        <v>224</v>
      </c>
      <c r="TZ18">
        <v>49</v>
      </c>
      <c r="UA18">
        <v>378</v>
      </c>
      <c r="UB18">
        <v>0</v>
      </c>
    </row>
    <row r="19" spans="1:548" ht="16.5" customHeight="1" x14ac:dyDescent="0.35">
      <c r="A19" t="s">
        <v>1391</v>
      </c>
      <c r="B19" t="s">
        <v>2862</v>
      </c>
      <c r="C19">
        <v>25118</v>
      </c>
      <c r="D19">
        <v>9636</v>
      </c>
      <c r="E19">
        <v>442</v>
      </c>
      <c r="F19">
        <v>15040</v>
      </c>
      <c r="G19">
        <v>473</v>
      </c>
      <c r="H19">
        <v>504</v>
      </c>
      <c r="I19">
        <v>482</v>
      </c>
      <c r="J19">
        <v>497</v>
      </c>
      <c r="K19">
        <v>508</v>
      </c>
      <c r="L19">
        <v>436</v>
      </c>
      <c r="M19">
        <v>469</v>
      </c>
      <c r="N19">
        <v>488</v>
      </c>
      <c r="O19">
        <v>374</v>
      </c>
      <c r="P19">
        <v>493</v>
      </c>
      <c r="Q19">
        <v>524</v>
      </c>
      <c r="R19">
        <v>549</v>
      </c>
      <c r="S19">
        <f t="shared" si="0"/>
        <v>5797</v>
      </c>
      <c r="T19">
        <v>333</v>
      </c>
      <c r="U19">
        <v>332</v>
      </c>
      <c r="V19">
        <v>328</v>
      </c>
      <c r="W19">
        <v>348</v>
      </c>
      <c r="X19">
        <v>392</v>
      </c>
      <c r="Y19">
        <v>272</v>
      </c>
      <c r="Z19">
        <v>326</v>
      </c>
      <c r="AA19">
        <v>329</v>
      </c>
      <c r="AB19">
        <v>271</v>
      </c>
      <c r="AC19">
        <v>346</v>
      </c>
      <c r="AD19">
        <v>402</v>
      </c>
      <c r="AE19">
        <v>386</v>
      </c>
      <c r="AF19">
        <f t="shared" si="1"/>
        <v>4065</v>
      </c>
      <c r="AG19">
        <v>0</v>
      </c>
      <c r="AH19">
        <v>0</v>
      </c>
      <c r="AI19">
        <v>0</v>
      </c>
      <c r="AJ19">
        <v>0</v>
      </c>
      <c r="AK19">
        <v>0</v>
      </c>
      <c r="AL19">
        <v>0</v>
      </c>
      <c r="AM19">
        <v>0</v>
      </c>
      <c r="AN19">
        <v>0</v>
      </c>
      <c r="AO19">
        <v>0</v>
      </c>
      <c r="AP19">
        <v>0</v>
      </c>
      <c r="AQ19">
        <v>0</v>
      </c>
      <c r="AR19">
        <v>0</v>
      </c>
      <c r="AS19">
        <f t="shared" si="2"/>
        <v>0</v>
      </c>
      <c r="AT19">
        <v>140</v>
      </c>
      <c r="AU19">
        <v>172</v>
      </c>
      <c r="AV19">
        <v>154</v>
      </c>
      <c r="AW19">
        <v>149</v>
      </c>
      <c r="AX19">
        <v>116</v>
      </c>
      <c r="AY19">
        <v>164</v>
      </c>
      <c r="AZ19">
        <v>143</v>
      </c>
      <c r="BA19">
        <v>159</v>
      </c>
      <c r="BB19">
        <v>103</v>
      </c>
      <c r="BC19">
        <v>170</v>
      </c>
      <c r="BD19">
        <v>148</v>
      </c>
      <c r="BE19">
        <v>192</v>
      </c>
      <c r="BF19">
        <f t="shared" si="3"/>
        <v>1810</v>
      </c>
      <c r="BG19">
        <v>0</v>
      </c>
      <c r="BH19">
        <v>0</v>
      </c>
      <c r="BI19">
        <v>0</v>
      </c>
      <c r="BJ19">
        <v>0</v>
      </c>
      <c r="BK19">
        <v>0</v>
      </c>
      <c r="BL19">
        <v>0</v>
      </c>
      <c r="BM19">
        <v>0</v>
      </c>
      <c r="BN19">
        <v>0</v>
      </c>
      <c r="BO19">
        <v>0</v>
      </c>
      <c r="BP19">
        <v>0</v>
      </c>
      <c r="BQ19">
        <v>0</v>
      </c>
      <c r="BR19">
        <v>0</v>
      </c>
      <c r="BS19">
        <f t="shared" si="4"/>
        <v>0</v>
      </c>
      <c r="BT19">
        <v>0</v>
      </c>
      <c r="BU19">
        <v>0</v>
      </c>
      <c r="BV19">
        <v>0</v>
      </c>
      <c r="BW19">
        <v>0</v>
      </c>
      <c r="BX19">
        <v>0</v>
      </c>
      <c r="BY19">
        <v>0</v>
      </c>
      <c r="BZ19">
        <v>0</v>
      </c>
      <c r="CA19">
        <v>0</v>
      </c>
      <c r="CB19">
        <v>0</v>
      </c>
      <c r="CC19">
        <v>0</v>
      </c>
      <c r="CD19">
        <v>0</v>
      </c>
      <c r="CE19">
        <v>0</v>
      </c>
      <c r="CF19">
        <f t="shared" si="5"/>
        <v>0</v>
      </c>
      <c r="CG19">
        <v>0</v>
      </c>
      <c r="CH19">
        <v>0</v>
      </c>
      <c r="CI19">
        <v>0</v>
      </c>
      <c r="CJ19">
        <v>0</v>
      </c>
      <c r="CK19">
        <v>0</v>
      </c>
      <c r="CL19">
        <v>0</v>
      </c>
      <c r="CM19">
        <v>0</v>
      </c>
      <c r="CN19">
        <v>0</v>
      </c>
      <c r="CO19">
        <v>0</v>
      </c>
      <c r="CP19">
        <v>0</v>
      </c>
      <c r="CQ19">
        <v>0</v>
      </c>
      <c r="CR19">
        <v>0</v>
      </c>
      <c r="CS19">
        <f t="shared" si="6"/>
        <v>0</v>
      </c>
      <c r="CT19">
        <v>0</v>
      </c>
      <c r="CU19">
        <v>0</v>
      </c>
      <c r="CV19">
        <v>0</v>
      </c>
      <c r="CW19">
        <v>0</v>
      </c>
      <c r="CX19">
        <v>0</v>
      </c>
      <c r="CY19">
        <v>0</v>
      </c>
      <c r="CZ19">
        <v>0</v>
      </c>
      <c r="DA19">
        <v>0</v>
      </c>
      <c r="DB19">
        <v>0</v>
      </c>
      <c r="DC19">
        <v>0</v>
      </c>
      <c r="DD19">
        <v>0</v>
      </c>
      <c r="DE19">
        <v>0</v>
      </c>
      <c r="DF19">
        <f t="shared" si="7"/>
        <v>0</v>
      </c>
      <c r="DG19">
        <v>0</v>
      </c>
      <c r="DH19">
        <v>0</v>
      </c>
      <c r="DI19">
        <v>0</v>
      </c>
      <c r="DJ19">
        <v>0</v>
      </c>
      <c r="DK19">
        <v>0</v>
      </c>
      <c r="DL19">
        <v>0</v>
      </c>
      <c r="DM19">
        <v>0</v>
      </c>
      <c r="DN19">
        <v>0</v>
      </c>
      <c r="DO19">
        <v>0</v>
      </c>
      <c r="DP19">
        <v>0</v>
      </c>
      <c r="DQ19">
        <v>0</v>
      </c>
      <c r="DR19">
        <v>0</v>
      </c>
      <c r="DS19">
        <f t="shared" si="8"/>
        <v>0</v>
      </c>
      <c r="DT19">
        <v>0</v>
      </c>
      <c r="DU19">
        <v>0</v>
      </c>
      <c r="DV19">
        <v>0</v>
      </c>
      <c r="DW19">
        <v>0</v>
      </c>
      <c r="DX19">
        <v>0</v>
      </c>
      <c r="DY19">
        <v>0</v>
      </c>
      <c r="DZ19">
        <v>0</v>
      </c>
      <c r="EA19">
        <v>0</v>
      </c>
      <c r="EB19">
        <v>0</v>
      </c>
      <c r="EC19">
        <v>0</v>
      </c>
      <c r="ED19">
        <v>0</v>
      </c>
      <c r="EE19">
        <v>0</v>
      </c>
      <c r="EF19">
        <f t="shared" si="9"/>
        <v>0</v>
      </c>
      <c r="EG19">
        <f t="shared" si="10"/>
        <v>5875</v>
      </c>
      <c r="EH19">
        <f t="shared" si="11"/>
        <v>0</v>
      </c>
      <c r="EI19">
        <v>12511</v>
      </c>
      <c r="EJ19">
        <v>9778</v>
      </c>
      <c r="EK19">
        <v>9640</v>
      </c>
      <c r="EL19">
        <v>14611</v>
      </c>
      <c r="EM19">
        <v>15134</v>
      </c>
      <c r="EN19">
        <v>7957</v>
      </c>
      <c r="EO19">
        <v>11485</v>
      </c>
      <c r="EP19">
        <v>8808</v>
      </c>
      <c r="EQ19">
        <v>7377</v>
      </c>
      <c r="ER19">
        <v>9520</v>
      </c>
      <c r="ES19">
        <v>13330</v>
      </c>
      <c r="ET19">
        <v>11153</v>
      </c>
      <c r="EU19">
        <f t="shared" si="12"/>
        <v>131304</v>
      </c>
      <c r="EV19">
        <v>6896</v>
      </c>
      <c r="EW19">
        <v>4648</v>
      </c>
      <c r="EX19">
        <v>4878</v>
      </c>
      <c r="EY19">
        <v>8442</v>
      </c>
      <c r="EZ19">
        <v>8142</v>
      </c>
      <c r="FA19">
        <v>3877</v>
      </c>
      <c r="FB19">
        <v>5284</v>
      </c>
      <c r="FC19">
        <v>4229</v>
      </c>
      <c r="FD19">
        <v>3724</v>
      </c>
      <c r="FE19">
        <v>4518</v>
      </c>
      <c r="FF19">
        <v>6976</v>
      </c>
      <c r="FG19">
        <v>5344</v>
      </c>
      <c r="FH19">
        <f t="shared" si="13"/>
        <v>66958</v>
      </c>
      <c r="FI19">
        <v>0</v>
      </c>
      <c r="FJ19">
        <v>0</v>
      </c>
      <c r="FK19">
        <v>0</v>
      </c>
      <c r="FL19">
        <v>0</v>
      </c>
      <c r="FM19">
        <v>0</v>
      </c>
      <c r="FN19">
        <v>0</v>
      </c>
      <c r="FO19">
        <v>0</v>
      </c>
      <c r="FP19">
        <v>0</v>
      </c>
      <c r="FQ19">
        <v>0</v>
      </c>
      <c r="FR19">
        <v>0</v>
      </c>
      <c r="FS19">
        <v>0</v>
      </c>
      <c r="FT19">
        <v>0</v>
      </c>
      <c r="FU19">
        <f t="shared" si="14"/>
        <v>0</v>
      </c>
      <c r="FV19">
        <v>5615</v>
      </c>
      <c r="FW19">
        <v>5130</v>
      </c>
      <c r="FX19">
        <v>4762</v>
      </c>
      <c r="FY19">
        <v>6169</v>
      </c>
      <c r="FZ19">
        <v>6992</v>
      </c>
      <c r="GA19">
        <v>4080</v>
      </c>
      <c r="GB19">
        <v>6201</v>
      </c>
      <c r="GC19">
        <v>4579</v>
      </c>
      <c r="GD19">
        <v>3653</v>
      </c>
      <c r="GE19">
        <v>5002</v>
      </c>
      <c r="GF19">
        <v>6354</v>
      </c>
      <c r="GG19">
        <v>5809</v>
      </c>
      <c r="GH19">
        <f t="shared" si="15"/>
        <v>64346</v>
      </c>
      <c r="GI19">
        <v>0</v>
      </c>
      <c r="GJ19">
        <v>0</v>
      </c>
      <c r="GK19">
        <v>0</v>
      </c>
      <c r="GL19">
        <v>0</v>
      </c>
      <c r="GM19">
        <v>0</v>
      </c>
      <c r="GN19">
        <v>0</v>
      </c>
      <c r="GO19">
        <v>0</v>
      </c>
      <c r="GP19">
        <v>0</v>
      </c>
      <c r="GQ19">
        <v>0</v>
      </c>
      <c r="GR19">
        <v>0</v>
      </c>
      <c r="GS19">
        <v>0</v>
      </c>
      <c r="GT19">
        <v>0</v>
      </c>
      <c r="GU19">
        <f t="shared" si="16"/>
        <v>0</v>
      </c>
      <c r="GV19">
        <v>0</v>
      </c>
      <c r="GW19">
        <v>0</v>
      </c>
      <c r="GX19">
        <v>0</v>
      </c>
      <c r="GY19">
        <v>0</v>
      </c>
      <c r="GZ19">
        <v>0</v>
      </c>
      <c r="HA19">
        <v>0</v>
      </c>
      <c r="HB19">
        <v>0</v>
      </c>
      <c r="HC19">
        <v>0</v>
      </c>
      <c r="HD19">
        <v>0</v>
      </c>
      <c r="HE19">
        <v>0</v>
      </c>
      <c r="HF19">
        <v>0</v>
      </c>
      <c r="HG19">
        <v>0</v>
      </c>
      <c r="HH19">
        <f t="shared" si="17"/>
        <v>0</v>
      </c>
      <c r="HI19">
        <v>0</v>
      </c>
      <c r="HJ19">
        <v>0</v>
      </c>
      <c r="HK19">
        <v>0</v>
      </c>
      <c r="HL19">
        <v>0</v>
      </c>
      <c r="HM19">
        <v>0</v>
      </c>
      <c r="HN19">
        <v>0</v>
      </c>
      <c r="HO19">
        <v>0</v>
      </c>
      <c r="HP19">
        <v>0</v>
      </c>
      <c r="HQ19">
        <v>0</v>
      </c>
      <c r="HR19">
        <v>0</v>
      </c>
      <c r="HS19">
        <v>0</v>
      </c>
      <c r="HT19">
        <v>0</v>
      </c>
      <c r="HU19">
        <f t="shared" si="18"/>
        <v>0</v>
      </c>
      <c r="HV19">
        <v>0</v>
      </c>
      <c r="HW19">
        <v>0</v>
      </c>
      <c r="HX19">
        <v>0</v>
      </c>
      <c r="HY19">
        <v>0</v>
      </c>
      <c r="HZ19">
        <v>0</v>
      </c>
      <c r="IA19">
        <v>0</v>
      </c>
      <c r="IB19">
        <v>0</v>
      </c>
      <c r="IC19">
        <v>0</v>
      </c>
      <c r="ID19">
        <v>0</v>
      </c>
      <c r="IE19">
        <v>0</v>
      </c>
      <c r="IF19">
        <v>0</v>
      </c>
      <c r="IG19">
        <v>0</v>
      </c>
      <c r="IH19">
        <f t="shared" si="19"/>
        <v>0</v>
      </c>
      <c r="II19">
        <f t="shared" si="20"/>
        <v>131304</v>
      </c>
      <c r="IJ19">
        <f t="shared" si="21"/>
        <v>0</v>
      </c>
      <c r="IK19">
        <v>66218</v>
      </c>
      <c r="IL19">
        <v>68489</v>
      </c>
      <c r="IM19">
        <v>62112</v>
      </c>
      <c r="IN19">
        <v>85364</v>
      </c>
      <c r="IO19">
        <v>92722</v>
      </c>
      <c r="IP19">
        <v>69949</v>
      </c>
      <c r="IQ19">
        <v>76014</v>
      </c>
      <c r="IR19">
        <v>67329</v>
      </c>
      <c r="IS19">
        <v>60281</v>
      </c>
      <c r="IT19">
        <v>70832</v>
      </c>
      <c r="IU19">
        <v>65403</v>
      </c>
      <c r="IV19">
        <v>67958</v>
      </c>
      <c r="IW19">
        <f t="shared" si="22"/>
        <v>852671</v>
      </c>
      <c r="IX19">
        <v>32473</v>
      </c>
      <c r="IY19">
        <v>33808</v>
      </c>
      <c r="IZ19">
        <v>30311</v>
      </c>
      <c r="JA19">
        <v>48004</v>
      </c>
      <c r="JB19">
        <v>53846</v>
      </c>
      <c r="JC19">
        <v>35580</v>
      </c>
      <c r="JD19">
        <v>38931</v>
      </c>
      <c r="JE19">
        <v>33749</v>
      </c>
      <c r="JF19">
        <v>28855</v>
      </c>
      <c r="JG19">
        <v>34700</v>
      </c>
      <c r="JH19">
        <v>33988</v>
      </c>
      <c r="JI19">
        <v>34876</v>
      </c>
      <c r="JJ19">
        <f t="shared" si="23"/>
        <v>439121</v>
      </c>
      <c r="JK19">
        <v>2339</v>
      </c>
      <c r="JL19">
        <v>2356</v>
      </c>
      <c r="JM19">
        <v>2297</v>
      </c>
      <c r="JN19">
        <v>3025</v>
      </c>
      <c r="JO19">
        <v>3194</v>
      </c>
      <c r="JP19">
        <v>2437</v>
      </c>
      <c r="JQ19">
        <v>2869</v>
      </c>
      <c r="JR19">
        <v>2233</v>
      </c>
      <c r="JS19">
        <v>2037</v>
      </c>
      <c r="JT19">
        <v>2381</v>
      </c>
      <c r="JU19">
        <v>2099</v>
      </c>
      <c r="JV19">
        <v>2395</v>
      </c>
      <c r="JW19">
        <f t="shared" si="24"/>
        <v>29662</v>
      </c>
      <c r="JX19">
        <v>30326</v>
      </c>
      <c r="JY19">
        <v>31276</v>
      </c>
      <c r="JZ19">
        <v>28635</v>
      </c>
      <c r="KA19">
        <v>33201</v>
      </c>
      <c r="KB19">
        <v>34480</v>
      </c>
      <c r="KC19">
        <v>30838</v>
      </c>
      <c r="KD19">
        <v>32991</v>
      </c>
      <c r="KE19">
        <v>30297</v>
      </c>
      <c r="KF19">
        <v>28426</v>
      </c>
      <c r="KG19">
        <v>32449</v>
      </c>
      <c r="KH19">
        <v>28236</v>
      </c>
      <c r="KI19">
        <v>29647</v>
      </c>
      <c r="KJ19">
        <f t="shared" si="25"/>
        <v>370802</v>
      </c>
      <c r="KK19">
        <v>735</v>
      </c>
      <c r="KL19">
        <v>675</v>
      </c>
      <c r="KM19">
        <v>570</v>
      </c>
      <c r="KN19">
        <v>768</v>
      </c>
      <c r="KO19">
        <v>819</v>
      </c>
      <c r="KP19">
        <v>699</v>
      </c>
      <c r="KQ19">
        <v>739</v>
      </c>
      <c r="KR19">
        <v>601</v>
      </c>
      <c r="KS19">
        <v>579</v>
      </c>
      <c r="KT19">
        <v>818</v>
      </c>
      <c r="KU19">
        <v>613</v>
      </c>
      <c r="KV19">
        <v>600</v>
      </c>
      <c r="KW19">
        <f t="shared" si="26"/>
        <v>8216</v>
      </c>
      <c r="KX19">
        <v>121</v>
      </c>
      <c r="KY19">
        <v>146</v>
      </c>
      <c r="KZ19">
        <v>95</v>
      </c>
      <c r="LA19">
        <v>167</v>
      </c>
      <c r="LB19">
        <v>177</v>
      </c>
      <c r="LC19">
        <v>139</v>
      </c>
      <c r="LD19">
        <v>127</v>
      </c>
      <c r="LE19">
        <v>118</v>
      </c>
      <c r="LF19">
        <v>113</v>
      </c>
      <c r="LG19">
        <v>148</v>
      </c>
      <c r="LH19">
        <v>121</v>
      </c>
      <c r="LI19">
        <v>110</v>
      </c>
      <c r="LJ19">
        <f t="shared" si="27"/>
        <v>1582</v>
      </c>
      <c r="LK19">
        <v>0</v>
      </c>
      <c r="LL19">
        <v>0</v>
      </c>
      <c r="LM19">
        <v>0</v>
      </c>
      <c r="LN19">
        <v>0</v>
      </c>
      <c r="LO19">
        <v>0</v>
      </c>
      <c r="LP19">
        <v>0</v>
      </c>
      <c r="LQ19">
        <v>0</v>
      </c>
      <c r="LR19">
        <v>0</v>
      </c>
      <c r="LS19">
        <v>0</v>
      </c>
      <c r="LT19">
        <v>0</v>
      </c>
      <c r="LU19">
        <v>0</v>
      </c>
      <c r="LV19">
        <v>0</v>
      </c>
      <c r="LW19">
        <f t="shared" si="28"/>
        <v>0</v>
      </c>
      <c r="LX19">
        <v>614</v>
      </c>
      <c r="LY19">
        <v>529</v>
      </c>
      <c r="LZ19">
        <v>475</v>
      </c>
      <c r="MA19">
        <v>601</v>
      </c>
      <c r="MB19">
        <v>642</v>
      </c>
      <c r="MC19">
        <v>560</v>
      </c>
      <c r="MD19">
        <v>612</v>
      </c>
      <c r="ME19">
        <v>483</v>
      </c>
      <c r="MF19">
        <v>466</v>
      </c>
      <c r="MG19">
        <v>670</v>
      </c>
      <c r="MH19">
        <v>492</v>
      </c>
      <c r="MI19">
        <v>490</v>
      </c>
      <c r="MJ19">
        <f t="shared" si="29"/>
        <v>6634</v>
      </c>
      <c r="MK19">
        <v>5574</v>
      </c>
      <c r="ML19">
        <v>6050</v>
      </c>
      <c r="MM19">
        <v>5641</v>
      </c>
      <c r="MN19">
        <v>5846</v>
      </c>
      <c r="MO19">
        <v>6406</v>
      </c>
      <c r="MP19">
        <v>5418</v>
      </c>
      <c r="MQ19">
        <v>5807</v>
      </c>
      <c r="MR19">
        <v>5599</v>
      </c>
      <c r="MS19">
        <v>5735</v>
      </c>
      <c r="MT19">
        <v>6008</v>
      </c>
      <c r="MU19">
        <v>5381</v>
      </c>
      <c r="MV19">
        <v>5832</v>
      </c>
      <c r="MW19">
        <f t="shared" si="30"/>
        <v>69297</v>
      </c>
      <c r="MX19">
        <v>537</v>
      </c>
      <c r="MY19">
        <v>557</v>
      </c>
      <c r="MZ19">
        <v>492</v>
      </c>
      <c r="NA19">
        <v>604</v>
      </c>
      <c r="NB19">
        <v>769</v>
      </c>
      <c r="NC19">
        <v>530</v>
      </c>
      <c r="ND19">
        <v>611</v>
      </c>
      <c r="NE19">
        <v>616</v>
      </c>
      <c r="NF19">
        <v>635</v>
      </c>
      <c r="NG19">
        <v>618</v>
      </c>
      <c r="NH19">
        <v>610</v>
      </c>
      <c r="NI19">
        <v>585</v>
      </c>
      <c r="NJ19">
        <f t="shared" si="31"/>
        <v>7164</v>
      </c>
      <c r="NK19">
        <v>425</v>
      </c>
      <c r="NL19">
        <v>474</v>
      </c>
      <c r="NM19">
        <v>424</v>
      </c>
      <c r="NN19">
        <v>457</v>
      </c>
      <c r="NO19">
        <v>485</v>
      </c>
      <c r="NP19">
        <v>380</v>
      </c>
      <c r="NQ19">
        <v>415</v>
      </c>
      <c r="NR19">
        <v>339</v>
      </c>
      <c r="NS19">
        <v>395</v>
      </c>
      <c r="NT19">
        <v>425</v>
      </c>
      <c r="NU19">
        <v>364</v>
      </c>
      <c r="NV19">
        <v>378</v>
      </c>
      <c r="NW19">
        <f t="shared" si="32"/>
        <v>4961</v>
      </c>
      <c r="NX19">
        <v>4612</v>
      </c>
      <c r="NY19">
        <v>5019</v>
      </c>
      <c r="NZ19">
        <v>4725</v>
      </c>
      <c r="OA19">
        <v>4785</v>
      </c>
      <c r="OB19">
        <v>5152</v>
      </c>
      <c r="OC19">
        <v>4508</v>
      </c>
      <c r="OD19">
        <v>4781</v>
      </c>
      <c r="OE19">
        <v>4644</v>
      </c>
      <c r="OF19">
        <v>4705</v>
      </c>
      <c r="OG19">
        <v>4965</v>
      </c>
      <c r="OH19">
        <v>4407</v>
      </c>
      <c r="OI19">
        <v>4869</v>
      </c>
      <c r="OJ19">
        <f t="shared" si="33"/>
        <v>57172</v>
      </c>
      <c r="OK19">
        <v>9842</v>
      </c>
      <c r="OL19">
        <v>10155</v>
      </c>
      <c r="OM19">
        <v>9656</v>
      </c>
      <c r="ON19">
        <v>9860</v>
      </c>
      <c r="OO19">
        <v>10488</v>
      </c>
      <c r="OP19">
        <v>9884</v>
      </c>
      <c r="OQ19">
        <v>9956</v>
      </c>
      <c r="OR19">
        <v>9526</v>
      </c>
      <c r="OS19">
        <v>9395</v>
      </c>
      <c r="OT19">
        <v>10744</v>
      </c>
      <c r="OU19">
        <v>9621</v>
      </c>
      <c r="OV19">
        <v>11149</v>
      </c>
      <c r="OW19">
        <f t="shared" si="34"/>
        <v>120276</v>
      </c>
      <c r="OX19">
        <v>1458</v>
      </c>
      <c r="OY19">
        <v>1497</v>
      </c>
      <c r="OZ19">
        <v>1304</v>
      </c>
      <c r="PA19">
        <v>1510</v>
      </c>
      <c r="PB19">
        <v>1607</v>
      </c>
      <c r="PC19">
        <v>1290</v>
      </c>
      <c r="PD19">
        <v>1393</v>
      </c>
      <c r="PE19">
        <v>1301</v>
      </c>
      <c r="PF19">
        <v>1350</v>
      </c>
      <c r="PG19">
        <v>1560</v>
      </c>
      <c r="PH19">
        <v>1359</v>
      </c>
      <c r="PI19">
        <v>1648</v>
      </c>
      <c r="PJ19">
        <f t="shared" si="35"/>
        <v>17277</v>
      </c>
      <c r="PK19">
        <v>495</v>
      </c>
      <c r="PL19">
        <v>563</v>
      </c>
      <c r="PM19">
        <v>516</v>
      </c>
      <c r="PN19">
        <v>508</v>
      </c>
      <c r="PO19">
        <v>516</v>
      </c>
      <c r="PP19">
        <v>521</v>
      </c>
      <c r="PQ19">
        <v>551</v>
      </c>
      <c r="PR19">
        <v>504</v>
      </c>
      <c r="PS19">
        <v>491</v>
      </c>
      <c r="PT19">
        <v>580</v>
      </c>
      <c r="PU19">
        <v>491</v>
      </c>
      <c r="PV19">
        <v>571</v>
      </c>
      <c r="PW19">
        <f t="shared" si="36"/>
        <v>6307</v>
      </c>
      <c r="PX19">
        <v>7889</v>
      </c>
      <c r="PY19">
        <v>8095</v>
      </c>
      <c r="PZ19">
        <v>7836</v>
      </c>
      <c r="QA19">
        <v>7842</v>
      </c>
      <c r="QB19">
        <v>8365</v>
      </c>
      <c r="QC19">
        <v>8073</v>
      </c>
      <c r="QD19">
        <v>8012</v>
      </c>
      <c r="QE19">
        <v>7721</v>
      </c>
      <c r="QF19">
        <v>7554</v>
      </c>
      <c r="QG19">
        <v>8604</v>
      </c>
      <c r="QH19">
        <v>7771</v>
      </c>
      <c r="QI19">
        <v>8930</v>
      </c>
      <c r="QJ19">
        <f t="shared" si="37"/>
        <v>96692</v>
      </c>
      <c r="QK19">
        <v>80389</v>
      </c>
      <c r="QL19">
        <v>51988</v>
      </c>
      <c r="QM19">
        <v>46245</v>
      </c>
      <c r="QN19">
        <v>65440</v>
      </c>
      <c r="QO19">
        <v>68536</v>
      </c>
      <c r="QP19">
        <v>56273</v>
      </c>
      <c r="QQ19">
        <v>61219</v>
      </c>
      <c r="QR19">
        <v>53059</v>
      </c>
      <c r="QS19">
        <v>47189</v>
      </c>
      <c r="QT19">
        <v>56449</v>
      </c>
      <c r="QU19">
        <v>56659</v>
      </c>
      <c r="QV19">
        <v>58040</v>
      </c>
      <c r="QW19">
        <f t="shared" si="38"/>
        <v>701486</v>
      </c>
      <c r="QX19">
        <v>14828</v>
      </c>
      <c r="QY19">
        <v>14398</v>
      </c>
      <c r="QZ19">
        <v>13516</v>
      </c>
      <c r="RA19">
        <v>15976</v>
      </c>
      <c r="RB19">
        <v>14860</v>
      </c>
      <c r="RC19">
        <v>14748</v>
      </c>
      <c r="RD19">
        <v>15942</v>
      </c>
      <c r="RE19">
        <v>14839</v>
      </c>
      <c r="RF19">
        <v>13218</v>
      </c>
      <c r="RG19">
        <v>17179</v>
      </c>
      <c r="RH19">
        <v>15941</v>
      </c>
      <c r="RI19">
        <v>16894</v>
      </c>
      <c r="RJ19">
        <f t="shared" si="39"/>
        <v>182339</v>
      </c>
      <c r="RK19">
        <v>0</v>
      </c>
      <c r="RL19">
        <v>0</v>
      </c>
      <c r="RM19">
        <v>0</v>
      </c>
      <c r="RN19">
        <v>0</v>
      </c>
      <c r="RO19">
        <v>0</v>
      </c>
      <c r="RP19">
        <v>0</v>
      </c>
      <c r="RQ19">
        <v>0</v>
      </c>
      <c r="RR19">
        <v>0</v>
      </c>
      <c r="RS19">
        <v>0</v>
      </c>
      <c r="RT19">
        <v>0</v>
      </c>
      <c r="RU19">
        <v>0</v>
      </c>
      <c r="RV19">
        <v>0</v>
      </c>
      <c r="RW19">
        <f t="shared" si="40"/>
        <v>0</v>
      </c>
      <c r="RX19">
        <v>0</v>
      </c>
      <c r="RY19">
        <v>0</v>
      </c>
      <c r="RZ19">
        <v>0</v>
      </c>
      <c r="SA19">
        <v>0</v>
      </c>
      <c r="SB19">
        <v>0</v>
      </c>
      <c r="SC19">
        <v>0</v>
      </c>
      <c r="SD19">
        <v>0</v>
      </c>
      <c r="SE19">
        <v>0</v>
      </c>
      <c r="SF19">
        <v>0</v>
      </c>
      <c r="SG19">
        <v>0</v>
      </c>
      <c r="SH19">
        <v>0</v>
      </c>
      <c r="SI19">
        <v>0</v>
      </c>
      <c r="SJ19">
        <f t="shared" si="41"/>
        <v>0</v>
      </c>
      <c r="SK19">
        <v>0</v>
      </c>
      <c r="SL19">
        <v>0</v>
      </c>
      <c r="SM19">
        <v>0</v>
      </c>
      <c r="SN19">
        <v>0</v>
      </c>
      <c r="SO19">
        <v>0</v>
      </c>
      <c r="SP19">
        <v>0</v>
      </c>
      <c r="SQ19">
        <v>0</v>
      </c>
      <c r="SR19">
        <v>0</v>
      </c>
      <c r="SS19">
        <v>0</v>
      </c>
      <c r="ST19">
        <v>0</v>
      </c>
      <c r="SU19">
        <v>0</v>
      </c>
      <c r="SV19">
        <v>0</v>
      </c>
      <c r="SW19">
        <f t="shared" si="42"/>
        <v>0</v>
      </c>
      <c r="SX19" s="1" t="s">
        <v>1392</v>
      </c>
      <c r="SY19">
        <v>1924</v>
      </c>
      <c r="SZ19">
        <v>2005</v>
      </c>
      <c r="TA19">
        <v>1856</v>
      </c>
      <c r="TB19">
        <v>2336</v>
      </c>
      <c r="TC19">
        <v>2366</v>
      </c>
      <c r="TD19">
        <v>2007</v>
      </c>
      <c r="TE19">
        <v>2256</v>
      </c>
      <c r="TF19">
        <v>2031</v>
      </c>
      <c r="TG19">
        <v>1681</v>
      </c>
      <c r="TH19">
        <v>2080</v>
      </c>
      <c r="TI19">
        <v>2124</v>
      </c>
      <c r="TJ19">
        <v>2097</v>
      </c>
      <c r="TK19">
        <f>ROUND(SUM(SY19:TJ19),0)</f>
        <v>24763</v>
      </c>
      <c r="TL19">
        <v>0</v>
      </c>
      <c r="TM19">
        <v>0</v>
      </c>
      <c r="TN19">
        <v>0</v>
      </c>
      <c r="TO19">
        <v>0</v>
      </c>
      <c r="TP19">
        <v>0</v>
      </c>
      <c r="TQ19">
        <v>0</v>
      </c>
      <c r="TR19">
        <v>0</v>
      </c>
      <c r="TS19">
        <v>0</v>
      </c>
      <c r="TT19">
        <v>0</v>
      </c>
      <c r="TU19">
        <v>0</v>
      </c>
      <c r="TV19">
        <v>0</v>
      </c>
      <c r="TW19">
        <v>0</v>
      </c>
      <c r="TX19">
        <f t="shared" si="44"/>
        <v>0</v>
      </c>
      <c r="TY19">
        <v>107</v>
      </c>
      <c r="TZ19">
        <v>0</v>
      </c>
      <c r="UA19">
        <v>0</v>
      </c>
      <c r="UB19">
        <v>0</v>
      </c>
    </row>
    <row r="20" spans="1:548" ht="16.5" customHeight="1" x14ac:dyDescent="0.35">
      <c r="A20" t="s">
        <v>1507</v>
      </c>
      <c r="B20" t="s">
        <v>2865</v>
      </c>
      <c r="C20">
        <v>44094</v>
      </c>
      <c r="D20">
        <v>15343</v>
      </c>
      <c r="E20">
        <v>1438</v>
      </c>
      <c r="F20">
        <v>27313</v>
      </c>
      <c r="G20">
        <v>674</v>
      </c>
      <c r="H20">
        <v>606</v>
      </c>
      <c r="I20">
        <v>665</v>
      </c>
      <c r="J20">
        <v>725</v>
      </c>
      <c r="K20">
        <v>602</v>
      </c>
      <c r="L20">
        <v>667</v>
      </c>
      <c r="M20">
        <v>720</v>
      </c>
      <c r="N20">
        <v>685</v>
      </c>
      <c r="O20">
        <v>558</v>
      </c>
      <c r="P20">
        <v>496</v>
      </c>
      <c r="Q20">
        <v>665</v>
      </c>
      <c r="R20">
        <v>781</v>
      </c>
      <c r="S20">
        <f t="shared" si="0"/>
        <v>7844</v>
      </c>
      <c r="T20">
        <v>307</v>
      </c>
      <c r="U20">
        <v>280</v>
      </c>
      <c r="V20">
        <v>311</v>
      </c>
      <c r="W20">
        <v>372</v>
      </c>
      <c r="X20">
        <v>339</v>
      </c>
      <c r="Y20">
        <v>311</v>
      </c>
      <c r="Z20">
        <v>361</v>
      </c>
      <c r="AA20">
        <v>317</v>
      </c>
      <c r="AB20">
        <v>300</v>
      </c>
      <c r="AC20">
        <v>241</v>
      </c>
      <c r="AD20">
        <v>322</v>
      </c>
      <c r="AE20">
        <v>364</v>
      </c>
      <c r="AF20">
        <f t="shared" si="1"/>
        <v>3825</v>
      </c>
      <c r="AG20">
        <v>0</v>
      </c>
      <c r="AH20">
        <v>0</v>
      </c>
      <c r="AI20">
        <v>0</v>
      </c>
      <c r="AJ20">
        <v>0</v>
      </c>
      <c r="AK20">
        <v>0</v>
      </c>
      <c r="AL20">
        <v>0</v>
      </c>
      <c r="AM20">
        <v>0</v>
      </c>
      <c r="AN20">
        <v>0</v>
      </c>
      <c r="AO20">
        <v>0</v>
      </c>
      <c r="AP20">
        <v>0</v>
      </c>
      <c r="AQ20">
        <v>0</v>
      </c>
      <c r="AR20">
        <v>0</v>
      </c>
      <c r="AS20">
        <f t="shared" si="2"/>
        <v>0</v>
      </c>
      <c r="AT20">
        <v>367</v>
      </c>
      <c r="AU20">
        <v>326</v>
      </c>
      <c r="AV20">
        <v>354</v>
      </c>
      <c r="AW20">
        <v>353</v>
      </c>
      <c r="AX20">
        <v>263</v>
      </c>
      <c r="AY20">
        <v>356</v>
      </c>
      <c r="AZ20">
        <v>359</v>
      </c>
      <c r="BA20">
        <v>368</v>
      </c>
      <c r="BB20">
        <v>258</v>
      </c>
      <c r="BC20">
        <v>255</v>
      </c>
      <c r="BD20">
        <v>343</v>
      </c>
      <c r="BE20">
        <v>417</v>
      </c>
      <c r="BF20">
        <f t="shared" si="3"/>
        <v>4019</v>
      </c>
      <c r="BG20">
        <v>0</v>
      </c>
      <c r="BH20">
        <v>0</v>
      </c>
      <c r="BI20">
        <v>0</v>
      </c>
      <c r="BJ20">
        <v>0</v>
      </c>
      <c r="BK20">
        <v>0</v>
      </c>
      <c r="BL20">
        <v>0</v>
      </c>
      <c r="BM20">
        <v>0</v>
      </c>
      <c r="BN20">
        <v>0</v>
      </c>
      <c r="BO20">
        <v>0</v>
      </c>
      <c r="BP20">
        <v>0</v>
      </c>
      <c r="BQ20">
        <v>0</v>
      </c>
      <c r="BR20">
        <v>0</v>
      </c>
      <c r="BS20">
        <f t="shared" si="4"/>
        <v>0</v>
      </c>
      <c r="BT20">
        <v>0</v>
      </c>
      <c r="BU20">
        <v>0</v>
      </c>
      <c r="BV20">
        <v>0</v>
      </c>
      <c r="BW20">
        <v>0</v>
      </c>
      <c r="BX20">
        <v>0</v>
      </c>
      <c r="BY20">
        <v>0</v>
      </c>
      <c r="BZ20">
        <v>0</v>
      </c>
      <c r="CA20">
        <v>0</v>
      </c>
      <c r="CB20">
        <v>0</v>
      </c>
      <c r="CC20">
        <v>0</v>
      </c>
      <c r="CD20">
        <v>0</v>
      </c>
      <c r="CE20">
        <v>0</v>
      </c>
      <c r="CF20">
        <f t="shared" si="5"/>
        <v>0</v>
      </c>
      <c r="CG20">
        <v>0</v>
      </c>
      <c r="CH20">
        <v>0</v>
      </c>
      <c r="CI20">
        <v>0</v>
      </c>
      <c r="CJ20">
        <v>0</v>
      </c>
      <c r="CK20">
        <v>0</v>
      </c>
      <c r="CL20">
        <v>0</v>
      </c>
      <c r="CM20">
        <v>0</v>
      </c>
      <c r="CN20">
        <v>0</v>
      </c>
      <c r="CO20">
        <v>0</v>
      </c>
      <c r="CP20">
        <v>0</v>
      </c>
      <c r="CQ20">
        <v>0</v>
      </c>
      <c r="CR20">
        <v>0</v>
      </c>
      <c r="CS20">
        <f t="shared" si="6"/>
        <v>0</v>
      </c>
      <c r="CT20">
        <v>0</v>
      </c>
      <c r="CU20">
        <v>0</v>
      </c>
      <c r="CV20">
        <v>0</v>
      </c>
      <c r="CW20">
        <v>0</v>
      </c>
      <c r="CX20">
        <v>0</v>
      </c>
      <c r="CY20">
        <v>0</v>
      </c>
      <c r="CZ20">
        <v>0</v>
      </c>
      <c r="DA20">
        <v>0</v>
      </c>
      <c r="DB20">
        <v>0</v>
      </c>
      <c r="DC20">
        <v>0</v>
      </c>
      <c r="DD20">
        <v>0</v>
      </c>
      <c r="DE20">
        <v>0</v>
      </c>
      <c r="DF20">
        <f t="shared" si="7"/>
        <v>0</v>
      </c>
      <c r="DG20">
        <v>0</v>
      </c>
      <c r="DH20">
        <v>0</v>
      </c>
      <c r="DI20">
        <v>0</v>
      </c>
      <c r="DJ20">
        <v>0</v>
      </c>
      <c r="DK20">
        <v>0</v>
      </c>
      <c r="DL20">
        <v>0</v>
      </c>
      <c r="DM20">
        <v>0</v>
      </c>
      <c r="DN20">
        <v>0</v>
      </c>
      <c r="DO20">
        <v>0</v>
      </c>
      <c r="DP20">
        <v>0</v>
      </c>
      <c r="DQ20">
        <v>0</v>
      </c>
      <c r="DR20">
        <v>0</v>
      </c>
      <c r="DS20">
        <f t="shared" si="8"/>
        <v>0</v>
      </c>
      <c r="DT20">
        <v>0</v>
      </c>
      <c r="DU20">
        <v>0</v>
      </c>
      <c r="DV20">
        <v>0</v>
      </c>
      <c r="DW20">
        <v>0</v>
      </c>
      <c r="DX20">
        <v>0</v>
      </c>
      <c r="DY20">
        <v>0</v>
      </c>
      <c r="DZ20">
        <v>0</v>
      </c>
      <c r="EA20">
        <v>0</v>
      </c>
      <c r="EB20">
        <v>0</v>
      </c>
      <c r="EC20">
        <v>0</v>
      </c>
      <c r="ED20">
        <v>0</v>
      </c>
      <c r="EE20">
        <v>0</v>
      </c>
      <c r="EF20">
        <f t="shared" si="9"/>
        <v>0</v>
      </c>
      <c r="EG20">
        <f t="shared" si="10"/>
        <v>7844</v>
      </c>
      <c r="EH20">
        <f t="shared" si="11"/>
        <v>0</v>
      </c>
      <c r="EI20">
        <v>10080</v>
      </c>
      <c r="EJ20">
        <v>8780</v>
      </c>
      <c r="EK20">
        <v>15666</v>
      </c>
      <c r="EL20">
        <v>22452</v>
      </c>
      <c r="EM20">
        <v>10931</v>
      </c>
      <c r="EN20">
        <v>11011</v>
      </c>
      <c r="EO20">
        <v>12204</v>
      </c>
      <c r="EP20">
        <v>11097</v>
      </c>
      <c r="EQ20">
        <v>8663</v>
      </c>
      <c r="ER20">
        <v>8363</v>
      </c>
      <c r="ES20">
        <v>11273</v>
      </c>
      <c r="ET20">
        <v>11726</v>
      </c>
      <c r="EU20">
        <f t="shared" si="12"/>
        <v>142246</v>
      </c>
      <c r="EV20">
        <v>7230</v>
      </c>
      <c r="EW20">
        <v>6901</v>
      </c>
      <c r="EX20">
        <v>13407</v>
      </c>
      <c r="EY20">
        <v>19954</v>
      </c>
      <c r="EZ20">
        <v>8988</v>
      </c>
      <c r="FA20">
        <v>8666</v>
      </c>
      <c r="FB20">
        <v>9589</v>
      </c>
      <c r="FC20">
        <v>7885</v>
      </c>
      <c r="FD20">
        <v>6505</v>
      </c>
      <c r="FE20">
        <v>6534</v>
      </c>
      <c r="FF20">
        <v>8926</v>
      </c>
      <c r="FG20">
        <v>9429</v>
      </c>
      <c r="FH20">
        <f t="shared" si="13"/>
        <v>114014</v>
      </c>
      <c r="FI20">
        <v>0</v>
      </c>
      <c r="FJ20">
        <v>0</v>
      </c>
      <c r="FK20">
        <v>0</v>
      </c>
      <c r="FL20">
        <v>0</v>
      </c>
      <c r="FM20">
        <v>0</v>
      </c>
      <c r="FN20">
        <v>0</v>
      </c>
      <c r="FO20">
        <v>0</v>
      </c>
      <c r="FP20">
        <v>0</v>
      </c>
      <c r="FQ20">
        <v>0</v>
      </c>
      <c r="FR20">
        <v>0</v>
      </c>
      <c r="FS20">
        <v>0</v>
      </c>
      <c r="FT20">
        <v>0</v>
      </c>
      <c r="FU20">
        <f t="shared" si="14"/>
        <v>0</v>
      </c>
      <c r="FV20">
        <v>2850</v>
      </c>
      <c r="FW20">
        <v>1879</v>
      </c>
      <c r="FX20">
        <v>2259</v>
      </c>
      <c r="FY20">
        <v>2498</v>
      </c>
      <c r="FZ20">
        <v>1943</v>
      </c>
      <c r="GA20">
        <v>2345</v>
      </c>
      <c r="GB20">
        <v>2615</v>
      </c>
      <c r="GC20">
        <v>3212</v>
      </c>
      <c r="GD20">
        <v>2158</v>
      </c>
      <c r="GE20">
        <v>1829</v>
      </c>
      <c r="GF20">
        <v>2347</v>
      </c>
      <c r="GG20">
        <v>2297</v>
      </c>
      <c r="GH20">
        <f t="shared" si="15"/>
        <v>28232</v>
      </c>
      <c r="GI20">
        <v>0</v>
      </c>
      <c r="GJ20">
        <v>0</v>
      </c>
      <c r="GK20">
        <v>0</v>
      </c>
      <c r="GL20">
        <v>0</v>
      </c>
      <c r="GM20">
        <v>0</v>
      </c>
      <c r="GN20">
        <v>0</v>
      </c>
      <c r="GO20">
        <v>0</v>
      </c>
      <c r="GP20">
        <v>0</v>
      </c>
      <c r="GQ20">
        <v>0</v>
      </c>
      <c r="GR20">
        <v>0</v>
      </c>
      <c r="GS20">
        <v>0</v>
      </c>
      <c r="GT20">
        <v>0</v>
      </c>
      <c r="GU20">
        <f t="shared" si="16"/>
        <v>0</v>
      </c>
      <c r="GV20">
        <v>0</v>
      </c>
      <c r="GW20">
        <v>0</v>
      </c>
      <c r="GX20">
        <v>0</v>
      </c>
      <c r="GY20">
        <v>0</v>
      </c>
      <c r="GZ20">
        <v>0</v>
      </c>
      <c r="HA20">
        <v>0</v>
      </c>
      <c r="HB20">
        <v>0</v>
      </c>
      <c r="HC20">
        <v>0</v>
      </c>
      <c r="HD20">
        <v>0</v>
      </c>
      <c r="HE20">
        <v>0</v>
      </c>
      <c r="HF20">
        <v>0</v>
      </c>
      <c r="HG20">
        <v>0</v>
      </c>
      <c r="HH20">
        <f t="shared" si="17"/>
        <v>0</v>
      </c>
      <c r="HI20">
        <v>0</v>
      </c>
      <c r="HJ20">
        <v>0</v>
      </c>
      <c r="HK20">
        <v>0</v>
      </c>
      <c r="HL20">
        <v>0</v>
      </c>
      <c r="HM20">
        <v>0</v>
      </c>
      <c r="HN20">
        <v>0</v>
      </c>
      <c r="HO20">
        <v>0</v>
      </c>
      <c r="HP20">
        <v>0</v>
      </c>
      <c r="HQ20">
        <v>0</v>
      </c>
      <c r="HR20">
        <v>0</v>
      </c>
      <c r="HS20">
        <v>0</v>
      </c>
      <c r="HT20">
        <v>0</v>
      </c>
      <c r="HU20">
        <f t="shared" si="18"/>
        <v>0</v>
      </c>
      <c r="HV20">
        <v>0</v>
      </c>
      <c r="HW20">
        <v>0</v>
      </c>
      <c r="HX20">
        <v>0</v>
      </c>
      <c r="HY20">
        <v>0</v>
      </c>
      <c r="HZ20">
        <v>0</v>
      </c>
      <c r="IA20">
        <v>0</v>
      </c>
      <c r="IB20">
        <v>0</v>
      </c>
      <c r="IC20">
        <v>0</v>
      </c>
      <c r="ID20">
        <v>0</v>
      </c>
      <c r="IE20">
        <v>0</v>
      </c>
      <c r="IF20">
        <v>0</v>
      </c>
      <c r="IG20">
        <v>0</v>
      </c>
      <c r="IH20">
        <f t="shared" si="19"/>
        <v>0</v>
      </c>
      <c r="II20">
        <f t="shared" si="20"/>
        <v>142246</v>
      </c>
      <c r="IJ20">
        <f t="shared" si="21"/>
        <v>0</v>
      </c>
      <c r="IK20">
        <v>120522</v>
      </c>
      <c r="IL20">
        <v>122339</v>
      </c>
      <c r="IM20">
        <v>118728</v>
      </c>
      <c r="IN20">
        <v>144935</v>
      </c>
      <c r="IO20">
        <v>146033</v>
      </c>
      <c r="IP20">
        <v>129827</v>
      </c>
      <c r="IQ20">
        <v>131259</v>
      </c>
      <c r="IR20">
        <v>117200</v>
      </c>
      <c r="IS20">
        <v>97881</v>
      </c>
      <c r="IT20">
        <v>120239</v>
      </c>
      <c r="IU20">
        <v>110105</v>
      </c>
      <c r="IV20">
        <v>121693</v>
      </c>
      <c r="IW20">
        <f t="shared" si="22"/>
        <v>1480761</v>
      </c>
      <c r="IX20">
        <v>55540</v>
      </c>
      <c r="IY20">
        <v>56698</v>
      </c>
      <c r="IZ20">
        <v>54076</v>
      </c>
      <c r="JA20">
        <v>74930</v>
      </c>
      <c r="JB20">
        <v>76094</v>
      </c>
      <c r="JC20">
        <v>63358</v>
      </c>
      <c r="JD20">
        <v>63905</v>
      </c>
      <c r="JE20">
        <v>55194</v>
      </c>
      <c r="JF20">
        <v>43545</v>
      </c>
      <c r="JG20">
        <v>54150</v>
      </c>
      <c r="JH20">
        <v>52663</v>
      </c>
      <c r="JI20">
        <v>58238</v>
      </c>
      <c r="JJ20">
        <f t="shared" si="23"/>
        <v>708391</v>
      </c>
      <c r="JK20">
        <v>1976</v>
      </c>
      <c r="JL20">
        <v>2032</v>
      </c>
      <c r="JM20">
        <v>2013</v>
      </c>
      <c r="JN20">
        <v>2541</v>
      </c>
      <c r="JO20">
        <v>2719</v>
      </c>
      <c r="JP20">
        <v>2246</v>
      </c>
      <c r="JQ20">
        <v>2246</v>
      </c>
      <c r="JR20">
        <v>1880</v>
      </c>
      <c r="JS20">
        <v>1524</v>
      </c>
      <c r="JT20">
        <v>1966</v>
      </c>
      <c r="JU20">
        <v>1863</v>
      </c>
      <c r="JV20">
        <v>2040</v>
      </c>
      <c r="JW20">
        <f t="shared" si="24"/>
        <v>25046</v>
      </c>
      <c r="JX20">
        <v>63006</v>
      </c>
      <c r="JY20">
        <v>63609</v>
      </c>
      <c r="JZ20">
        <v>62639</v>
      </c>
      <c r="KA20">
        <v>67464</v>
      </c>
      <c r="KB20">
        <v>67220</v>
      </c>
      <c r="KC20">
        <v>64223</v>
      </c>
      <c r="KD20">
        <v>65108</v>
      </c>
      <c r="KE20">
        <v>60126</v>
      </c>
      <c r="KF20">
        <v>52812</v>
      </c>
      <c r="KG20">
        <v>64123</v>
      </c>
      <c r="KH20">
        <v>55579</v>
      </c>
      <c r="KI20">
        <v>61415</v>
      </c>
      <c r="KJ20">
        <f t="shared" si="25"/>
        <v>747324</v>
      </c>
      <c r="KK20">
        <v>574</v>
      </c>
      <c r="KL20">
        <v>613</v>
      </c>
      <c r="KM20">
        <v>514</v>
      </c>
      <c r="KN20">
        <v>607</v>
      </c>
      <c r="KO20">
        <v>603</v>
      </c>
      <c r="KP20">
        <v>596</v>
      </c>
      <c r="KQ20">
        <v>605</v>
      </c>
      <c r="KR20">
        <v>537</v>
      </c>
      <c r="KS20">
        <v>554</v>
      </c>
      <c r="KT20">
        <v>610</v>
      </c>
      <c r="KU20">
        <v>557</v>
      </c>
      <c r="KV20">
        <v>618</v>
      </c>
      <c r="KW20">
        <f t="shared" si="26"/>
        <v>6988</v>
      </c>
      <c r="KX20">
        <v>61</v>
      </c>
      <c r="KY20">
        <v>52</v>
      </c>
      <c r="KZ20">
        <v>48</v>
      </c>
      <c r="LA20">
        <v>78</v>
      </c>
      <c r="LB20">
        <v>81</v>
      </c>
      <c r="LC20">
        <v>71</v>
      </c>
      <c r="LD20">
        <v>41</v>
      </c>
      <c r="LE20">
        <v>51</v>
      </c>
      <c r="LF20">
        <v>54</v>
      </c>
      <c r="LG20">
        <v>46</v>
      </c>
      <c r="LH20">
        <v>47</v>
      </c>
      <c r="LI20">
        <v>54</v>
      </c>
      <c r="LJ20">
        <f t="shared" si="27"/>
        <v>684</v>
      </c>
      <c r="LK20">
        <v>0</v>
      </c>
      <c r="LL20">
        <v>0</v>
      </c>
      <c r="LM20">
        <v>0</v>
      </c>
      <c r="LN20">
        <v>0</v>
      </c>
      <c r="LO20">
        <v>0</v>
      </c>
      <c r="LP20">
        <v>0</v>
      </c>
      <c r="LQ20">
        <v>0</v>
      </c>
      <c r="LR20">
        <v>0</v>
      </c>
      <c r="LS20">
        <v>0</v>
      </c>
      <c r="LT20">
        <v>0</v>
      </c>
      <c r="LU20">
        <v>0</v>
      </c>
      <c r="LV20">
        <v>0</v>
      </c>
      <c r="LW20">
        <f t="shared" si="28"/>
        <v>0</v>
      </c>
      <c r="LX20">
        <v>513</v>
      </c>
      <c r="LY20">
        <v>561</v>
      </c>
      <c r="LZ20">
        <v>466</v>
      </c>
      <c r="MA20">
        <v>529</v>
      </c>
      <c r="MB20">
        <v>522</v>
      </c>
      <c r="MC20">
        <v>525</v>
      </c>
      <c r="MD20">
        <v>564</v>
      </c>
      <c r="ME20">
        <v>486</v>
      </c>
      <c r="MF20">
        <v>500</v>
      </c>
      <c r="MG20">
        <v>564</v>
      </c>
      <c r="MH20">
        <v>510</v>
      </c>
      <c r="MI20">
        <v>564</v>
      </c>
      <c r="MJ20">
        <f t="shared" si="29"/>
        <v>6304</v>
      </c>
      <c r="MK20">
        <v>3247</v>
      </c>
      <c r="ML20">
        <v>3375</v>
      </c>
      <c r="MM20">
        <v>3204</v>
      </c>
      <c r="MN20">
        <v>3336</v>
      </c>
      <c r="MO20">
        <v>3591</v>
      </c>
      <c r="MP20">
        <v>3254</v>
      </c>
      <c r="MQ20">
        <v>3359</v>
      </c>
      <c r="MR20">
        <v>3086</v>
      </c>
      <c r="MS20">
        <v>2971</v>
      </c>
      <c r="MT20">
        <v>3222</v>
      </c>
      <c r="MU20">
        <v>2977</v>
      </c>
      <c r="MV20">
        <v>3144</v>
      </c>
      <c r="MW20">
        <f t="shared" si="30"/>
        <v>38766</v>
      </c>
      <c r="MX20">
        <v>362</v>
      </c>
      <c r="MY20">
        <v>378</v>
      </c>
      <c r="MZ20">
        <v>368</v>
      </c>
      <c r="NA20">
        <v>334</v>
      </c>
      <c r="NB20">
        <v>379</v>
      </c>
      <c r="NC20">
        <v>327</v>
      </c>
      <c r="ND20">
        <v>349</v>
      </c>
      <c r="NE20">
        <v>340</v>
      </c>
      <c r="NF20">
        <v>271</v>
      </c>
      <c r="NG20">
        <v>306</v>
      </c>
      <c r="NH20">
        <v>338</v>
      </c>
      <c r="NI20">
        <v>356</v>
      </c>
      <c r="NJ20">
        <f t="shared" si="31"/>
        <v>4108</v>
      </c>
      <c r="NK20">
        <v>128</v>
      </c>
      <c r="NL20">
        <v>152</v>
      </c>
      <c r="NM20">
        <v>117</v>
      </c>
      <c r="NN20">
        <v>154</v>
      </c>
      <c r="NO20">
        <v>144</v>
      </c>
      <c r="NP20">
        <v>121</v>
      </c>
      <c r="NQ20">
        <v>134</v>
      </c>
      <c r="NR20">
        <v>97</v>
      </c>
      <c r="NS20">
        <v>98</v>
      </c>
      <c r="NT20">
        <v>106</v>
      </c>
      <c r="NU20">
        <v>99</v>
      </c>
      <c r="NV20">
        <v>118</v>
      </c>
      <c r="NW20">
        <f t="shared" si="32"/>
        <v>1468</v>
      </c>
      <c r="NX20">
        <v>2757</v>
      </c>
      <c r="NY20">
        <v>2845</v>
      </c>
      <c r="NZ20">
        <v>2719</v>
      </c>
      <c r="OA20">
        <v>2848</v>
      </c>
      <c r="OB20">
        <v>3068</v>
      </c>
      <c r="OC20">
        <v>2806</v>
      </c>
      <c r="OD20">
        <v>2876</v>
      </c>
      <c r="OE20">
        <v>2649</v>
      </c>
      <c r="OF20">
        <v>2602</v>
      </c>
      <c r="OG20">
        <v>2810</v>
      </c>
      <c r="OH20">
        <v>2540</v>
      </c>
      <c r="OI20">
        <v>2670</v>
      </c>
      <c r="OJ20">
        <f t="shared" si="33"/>
        <v>33190</v>
      </c>
      <c r="OK20">
        <v>5155</v>
      </c>
      <c r="OL20">
        <v>5345</v>
      </c>
      <c r="OM20">
        <v>5027</v>
      </c>
      <c r="ON20">
        <v>5345</v>
      </c>
      <c r="OO20">
        <v>5699</v>
      </c>
      <c r="OP20">
        <v>5595</v>
      </c>
      <c r="OQ20">
        <v>5736</v>
      </c>
      <c r="OR20">
        <v>5403</v>
      </c>
      <c r="OS20">
        <v>5274</v>
      </c>
      <c r="OT20">
        <v>5763</v>
      </c>
      <c r="OU20">
        <v>5351</v>
      </c>
      <c r="OV20">
        <v>5850</v>
      </c>
      <c r="OW20">
        <f t="shared" si="34"/>
        <v>65543</v>
      </c>
      <c r="OX20">
        <v>558</v>
      </c>
      <c r="OY20">
        <v>562</v>
      </c>
      <c r="OZ20">
        <v>514</v>
      </c>
      <c r="PA20">
        <v>608</v>
      </c>
      <c r="PB20">
        <v>736</v>
      </c>
      <c r="PC20">
        <v>574</v>
      </c>
      <c r="PD20">
        <v>583</v>
      </c>
      <c r="PE20">
        <v>533</v>
      </c>
      <c r="PF20">
        <v>580</v>
      </c>
      <c r="PG20">
        <v>561</v>
      </c>
      <c r="PH20">
        <v>546</v>
      </c>
      <c r="PI20">
        <v>649</v>
      </c>
      <c r="PJ20">
        <f t="shared" si="35"/>
        <v>7004</v>
      </c>
      <c r="PK20">
        <v>114</v>
      </c>
      <c r="PL20">
        <v>122</v>
      </c>
      <c r="PM20">
        <v>113</v>
      </c>
      <c r="PN20">
        <v>129</v>
      </c>
      <c r="PO20">
        <v>120</v>
      </c>
      <c r="PP20">
        <v>112</v>
      </c>
      <c r="PQ20">
        <v>123</v>
      </c>
      <c r="PR20">
        <v>115</v>
      </c>
      <c r="PS20">
        <v>104</v>
      </c>
      <c r="PT20">
        <v>103</v>
      </c>
      <c r="PU20">
        <v>102</v>
      </c>
      <c r="PV20">
        <v>101</v>
      </c>
      <c r="PW20">
        <f t="shared" si="36"/>
        <v>1358</v>
      </c>
      <c r="PX20">
        <v>4483</v>
      </c>
      <c r="PY20">
        <v>4661</v>
      </c>
      <c r="PZ20">
        <v>4400</v>
      </c>
      <c r="QA20">
        <v>4608</v>
      </c>
      <c r="QB20">
        <v>4843</v>
      </c>
      <c r="QC20">
        <v>4909</v>
      </c>
      <c r="QD20">
        <v>5030</v>
      </c>
      <c r="QE20">
        <v>4755</v>
      </c>
      <c r="QF20">
        <v>4590</v>
      </c>
      <c r="QG20">
        <v>5099</v>
      </c>
      <c r="QH20">
        <v>4703</v>
      </c>
      <c r="QI20">
        <v>5100</v>
      </c>
      <c r="QJ20">
        <f t="shared" si="37"/>
        <v>57181</v>
      </c>
      <c r="QK20">
        <v>85149</v>
      </c>
      <c r="QL20">
        <v>83555</v>
      </c>
      <c r="QM20">
        <v>81680</v>
      </c>
      <c r="QN20">
        <v>101952</v>
      </c>
      <c r="QO20">
        <v>97513</v>
      </c>
      <c r="QP20">
        <v>91437</v>
      </c>
      <c r="QQ20">
        <v>95481</v>
      </c>
      <c r="QR20">
        <v>86641</v>
      </c>
      <c r="QS20">
        <v>72687</v>
      </c>
      <c r="QT20">
        <v>80338</v>
      </c>
      <c r="QU20">
        <v>84269</v>
      </c>
      <c r="QV20">
        <v>90827</v>
      </c>
      <c r="QW20">
        <f t="shared" si="38"/>
        <v>1051529</v>
      </c>
      <c r="QX20">
        <v>0</v>
      </c>
      <c r="QY20">
        <v>0</v>
      </c>
      <c r="QZ20">
        <v>0</v>
      </c>
      <c r="RA20">
        <v>0</v>
      </c>
      <c r="RB20">
        <v>0</v>
      </c>
      <c r="RC20">
        <v>0</v>
      </c>
      <c r="RD20">
        <v>0</v>
      </c>
      <c r="RE20">
        <v>0</v>
      </c>
      <c r="RF20">
        <v>0</v>
      </c>
      <c r="RG20">
        <v>0</v>
      </c>
      <c r="RH20">
        <v>0</v>
      </c>
      <c r="RI20">
        <v>0</v>
      </c>
      <c r="RJ20">
        <f t="shared" si="39"/>
        <v>0</v>
      </c>
      <c r="RK20">
        <v>0</v>
      </c>
      <c r="RL20">
        <v>0</v>
      </c>
      <c r="RM20">
        <v>0</v>
      </c>
      <c r="RN20">
        <v>0</v>
      </c>
      <c r="RO20">
        <v>0</v>
      </c>
      <c r="RP20">
        <v>0</v>
      </c>
      <c r="RQ20">
        <v>0</v>
      </c>
      <c r="RR20">
        <v>0</v>
      </c>
      <c r="RS20">
        <v>0</v>
      </c>
      <c r="RT20">
        <v>0</v>
      </c>
      <c r="RU20">
        <v>0</v>
      </c>
      <c r="RV20">
        <v>0</v>
      </c>
      <c r="RW20">
        <f t="shared" si="40"/>
        <v>0</v>
      </c>
      <c r="RX20">
        <v>395</v>
      </c>
      <c r="RY20">
        <v>411</v>
      </c>
      <c r="RZ20">
        <v>367</v>
      </c>
      <c r="SA20">
        <v>366</v>
      </c>
      <c r="SB20">
        <v>346</v>
      </c>
      <c r="SC20">
        <v>251</v>
      </c>
      <c r="SD20">
        <v>296</v>
      </c>
      <c r="SE20">
        <v>391</v>
      </c>
      <c r="SF20">
        <v>281</v>
      </c>
      <c r="SG20">
        <v>393</v>
      </c>
      <c r="SH20">
        <v>170</v>
      </c>
      <c r="SI20">
        <v>386</v>
      </c>
      <c r="SJ20">
        <f t="shared" si="41"/>
        <v>4053</v>
      </c>
      <c r="SK20">
        <v>167</v>
      </c>
      <c r="SL20">
        <v>165</v>
      </c>
      <c r="SM20">
        <v>153</v>
      </c>
      <c r="SN20">
        <v>162</v>
      </c>
      <c r="SO20">
        <v>170</v>
      </c>
      <c r="SP20">
        <v>168</v>
      </c>
      <c r="SQ20">
        <v>158</v>
      </c>
      <c r="SR20">
        <v>162</v>
      </c>
      <c r="SS20">
        <v>159</v>
      </c>
      <c r="ST20">
        <v>161</v>
      </c>
      <c r="SU20">
        <v>160</v>
      </c>
      <c r="SV20">
        <v>160</v>
      </c>
      <c r="SW20">
        <f t="shared" si="42"/>
        <v>1945</v>
      </c>
      <c r="SX20" t="s">
        <v>1508</v>
      </c>
      <c r="SY20">
        <v>2219</v>
      </c>
      <c r="SZ20">
        <v>2194</v>
      </c>
      <c r="TA20">
        <v>2249</v>
      </c>
      <c r="TB20">
        <v>2439</v>
      </c>
      <c r="TC20">
        <v>2337</v>
      </c>
      <c r="TD20">
        <v>2374</v>
      </c>
      <c r="TE20">
        <v>2516</v>
      </c>
      <c r="TF20">
        <v>2194</v>
      </c>
      <c r="TG20">
        <v>1816</v>
      </c>
      <c r="TH20">
        <v>2197</v>
      </c>
      <c r="TI20">
        <v>2257</v>
      </c>
      <c r="TJ20">
        <v>2504</v>
      </c>
      <c r="TK20">
        <f t="shared" si="43"/>
        <v>27296</v>
      </c>
      <c r="TL20">
        <v>0</v>
      </c>
      <c r="TM20">
        <v>0</v>
      </c>
      <c r="TN20">
        <v>0</v>
      </c>
      <c r="TO20">
        <v>0</v>
      </c>
      <c r="TP20">
        <v>0</v>
      </c>
      <c r="TQ20">
        <v>0</v>
      </c>
      <c r="TR20">
        <v>0</v>
      </c>
      <c r="TS20">
        <v>0</v>
      </c>
      <c r="TT20">
        <v>0</v>
      </c>
      <c r="TU20">
        <v>0</v>
      </c>
      <c r="TV20">
        <v>0</v>
      </c>
      <c r="TW20">
        <v>0</v>
      </c>
      <c r="TX20">
        <f t="shared" si="44"/>
        <v>0</v>
      </c>
      <c r="TY20">
        <v>77</v>
      </c>
      <c r="TZ20">
        <v>0</v>
      </c>
      <c r="UA20">
        <v>0</v>
      </c>
      <c r="UB20">
        <v>0</v>
      </c>
    </row>
    <row r="21" spans="1:548" ht="16.5" customHeight="1" x14ac:dyDescent="0.35">
      <c r="A21" t="s">
        <v>1510</v>
      </c>
      <c r="B21" t="s">
        <v>2865</v>
      </c>
      <c r="C21">
        <v>40326</v>
      </c>
      <c r="D21">
        <v>13998</v>
      </c>
      <c r="E21">
        <v>1668</v>
      </c>
      <c r="F21">
        <v>24660</v>
      </c>
      <c r="G21">
        <v>937</v>
      </c>
      <c r="H21">
        <v>859</v>
      </c>
      <c r="I21">
        <v>884</v>
      </c>
      <c r="J21">
        <v>903</v>
      </c>
      <c r="K21">
        <v>814</v>
      </c>
      <c r="L21">
        <v>803</v>
      </c>
      <c r="M21">
        <v>901</v>
      </c>
      <c r="N21">
        <v>826</v>
      </c>
      <c r="O21">
        <v>740</v>
      </c>
      <c r="P21">
        <v>857</v>
      </c>
      <c r="Q21">
        <v>849</v>
      </c>
      <c r="R21">
        <v>928</v>
      </c>
      <c r="S21">
        <f t="shared" si="0"/>
        <v>10301</v>
      </c>
      <c r="T21">
        <v>469</v>
      </c>
      <c r="U21">
        <v>398</v>
      </c>
      <c r="V21">
        <v>368</v>
      </c>
      <c r="W21">
        <v>433</v>
      </c>
      <c r="X21">
        <v>487</v>
      </c>
      <c r="Y21">
        <v>381</v>
      </c>
      <c r="Z21">
        <v>452</v>
      </c>
      <c r="AA21">
        <v>385</v>
      </c>
      <c r="AB21">
        <v>394</v>
      </c>
      <c r="AC21">
        <v>387</v>
      </c>
      <c r="AD21">
        <v>418</v>
      </c>
      <c r="AE21">
        <v>435</v>
      </c>
      <c r="AF21">
        <f t="shared" si="1"/>
        <v>5007</v>
      </c>
      <c r="AG21">
        <v>0</v>
      </c>
      <c r="AH21">
        <v>0</v>
      </c>
      <c r="AI21">
        <v>0</v>
      </c>
      <c r="AJ21">
        <v>0</v>
      </c>
      <c r="AK21">
        <v>0</v>
      </c>
      <c r="AL21">
        <v>0</v>
      </c>
      <c r="AM21">
        <v>0</v>
      </c>
      <c r="AN21">
        <v>0</v>
      </c>
      <c r="AO21">
        <v>0</v>
      </c>
      <c r="AP21">
        <v>0</v>
      </c>
      <c r="AQ21">
        <v>0</v>
      </c>
      <c r="AR21">
        <v>0</v>
      </c>
      <c r="AS21">
        <f t="shared" si="2"/>
        <v>0</v>
      </c>
      <c r="AT21">
        <v>468</v>
      </c>
      <c r="AU21">
        <v>461</v>
      </c>
      <c r="AV21">
        <v>516</v>
      </c>
      <c r="AW21">
        <v>470</v>
      </c>
      <c r="AX21">
        <v>327</v>
      </c>
      <c r="AY21">
        <v>422</v>
      </c>
      <c r="AZ21">
        <v>449</v>
      </c>
      <c r="BA21">
        <v>441</v>
      </c>
      <c r="BB21">
        <v>346</v>
      </c>
      <c r="BC21">
        <v>470</v>
      </c>
      <c r="BD21">
        <v>431</v>
      </c>
      <c r="BE21">
        <v>493</v>
      </c>
      <c r="BF21">
        <f t="shared" si="3"/>
        <v>5294</v>
      </c>
      <c r="BG21">
        <v>0</v>
      </c>
      <c r="BH21">
        <v>0</v>
      </c>
      <c r="BI21">
        <v>0</v>
      </c>
      <c r="BJ21">
        <v>0</v>
      </c>
      <c r="BK21">
        <v>0</v>
      </c>
      <c r="BL21">
        <v>0</v>
      </c>
      <c r="BM21">
        <v>0</v>
      </c>
      <c r="BN21">
        <v>0</v>
      </c>
      <c r="BO21">
        <v>0</v>
      </c>
      <c r="BP21">
        <v>0</v>
      </c>
      <c r="BQ21">
        <v>0</v>
      </c>
      <c r="BR21">
        <v>0</v>
      </c>
      <c r="BS21">
        <f t="shared" si="4"/>
        <v>0</v>
      </c>
      <c r="BT21">
        <v>0</v>
      </c>
      <c r="BU21">
        <v>0</v>
      </c>
      <c r="BV21">
        <v>0</v>
      </c>
      <c r="BW21">
        <v>0</v>
      </c>
      <c r="BX21">
        <v>0</v>
      </c>
      <c r="BY21">
        <v>0</v>
      </c>
      <c r="BZ21">
        <v>0</v>
      </c>
      <c r="CA21">
        <v>0</v>
      </c>
      <c r="CB21">
        <v>0</v>
      </c>
      <c r="CC21">
        <v>0</v>
      </c>
      <c r="CD21">
        <v>0</v>
      </c>
      <c r="CE21">
        <v>0</v>
      </c>
      <c r="CF21">
        <f t="shared" si="5"/>
        <v>0</v>
      </c>
      <c r="CG21">
        <v>0</v>
      </c>
      <c r="CH21">
        <v>0</v>
      </c>
      <c r="CI21">
        <v>0</v>
      </c>
      <c r="CJ21">
        <v>0</v>
      </c>
      <c r="CK21">
        <v>0</v>
      </c>
      <c r="CL21">
        <v>0</v>
      </c>
      <c r="CM21">
        <v>0</v>
      </c>
      <c r="CN21">
        <v>0</v>
      </c>
      <c r="CO21">
        <v>0</v>
      </c>
      <c r="CP21">
        <v>0</v>
      </c>
      <c r="CQ21">
        <v>0</v>
      </c>
      <c r="CR21">
        <v>0</v>
      </c>
      <c r="CS21">
        <f t="shared" si="6"/>
        <v>0</v>
      </c>
      <c r="CT21">
        <v>0</v>
      </c>
      <c r="CU21">
        <v>0</v>
      </c>
      <c r="CV21">
        <v>0</v>
      </c>
      <c r="CW21">
        <v>0</v>
      </c>
      <c r="CX21">
        <v>0</v>
      </c>
      <c r="CY21">
        <v>0</v>
      </c>
      <c r="CZ21">
        <v>0</v>
      </c>
      <c r="DA21">
        <v>0</v>
      </c>
      <c r="DB21">
        <v>0</v>
      </c>
      <c r="DC21">
        <v>0</v>
      </c>
      <c r="DD21">
        <v>0</v>
      </c>
      <c r="DE21">
        <v>0</v>
      </c>
      <c r="DF21">
        <f t="shared" si="7"/>
        <v>0</v>
      </c>
      <c r="DG21">
        <v>0</v>
      </c>
      <c r="DH21">
        <v>0</v>
      </c>
      <c r="DI21">
        <v>0</v>
      </c>
      <c r="DJ21">
        <v>0</v>
      </c>
      <c r="DK21">
        <v>0</v>
      </c>
      <c r="DL21">
        <v>0</v>
      </c>
      <c r="DM21">
        <v>0</v>
      </c>
      <c r="DN21">
        <v>0</v>
      </c>
      <c r="DO21">
        <v>0</v>
      </c>
      <c r="DP21">
        <v>0</v>
      </c>
      <c r="DQ21">
        <v>0</v>
      </c>
      <c r="DR21">
        <v>0</v>
      </c>
      <c r="DS21">
        <f t="shared" si="8"/>
        <v>0</v>
      </c>
      <c r="DT21">
        <v>0</v>
      </c>
      <c r="DU21">
        <v>0</v>
      </c>
      <c r="DV21">
        <v>0</v>
      </c>
      <c r="DW21">
        <v>0</v>
      </c>
      <c r="DX21">
        <v>0</v>
      </c>
      <c r="DY21">
        <v>0</v>
      </c>
      <c r="DZ21">
        <v>0</v>
      </c>
      <c r="EA21">
        <v>0</v>
      </c>
      <c r="EB21">
        <v>0</v>
      </c>
      <c r="EC21">
        <v>0</v>
      </c>
      <c r="ED21">
        <v>0</v>
      </c>
      <c r="EE21">
        <v>0</v>
      </c>
      <c r="EF21">
        <f t="shared" si="9"/>
        <v>0</v>
      </c>
      <c r="EG21">
        <f t="shared" si="10"/>
        <v>10301</v>
      </c>
      <c r="EH21">
        <f t="shared" si="11"/>
        <v>0</v>
      </c>
      <c r="EI21">
        <v>9604</v>
      </c>
      <c r="EJ21">
        <v>8947</v>
      </c>
      <c r="EK21">
        <v>10059</v>
      </c>
      <c r="EL21">
        <v>12002</v>
      </c>
      <c r="EM21">
        <v>12429</v>
      </c>
      <c r="EN21">
        <v>9002</v>
      </c>
      <c r="EO21">
        <v>12197</v>
      </c>
      <c r="EP21">
        <v>10006</v>
      </c>
      <c r="EQ21">
        <v>7714</v>
      </c>
      <c r="ER21">
        <v>9790</v>
      </c>
      <c r="ES21">
        <v>11259</v>
      </c>
      <c r="ET21">
        <v>11314</v>
      </c>
      <c r="EU21">
        <f t="shared" si="12"/>
        <v>124323</v>
      </c>
      <c r="EV21">
        <v>4358</v>
      </c>
      <c r="EW21">
        <v>4072</v>
      </c>
      <c r="EX21">
        <v>4794</v>
      </c>
      <c r="EY21">
        <v>6024</v>
      </c>
      <c r="EZ21">
        <v>6507</v>
      </c>
      <c r="FA21">
        <v>3917</v>
      </c>
      <c r="FB21">
        <v>6685</v>
      </c>
      <c r="FC21">
        <v>4948</v>
      </c>
      <c r="FD21">
        <v>3785</v>
      </c>
      <c r="FE21">
        <v>4391</v>
      </c>
      <c r="FF21">
        <v>5366</v>
      </c>
      <c r="FG21">
        <v>5431</v>
      </c>
      <c r="FH21">
        <f t="shared" si="13"/>
        <v>60278</v>
      </c>
      <c r="FI21">
        <v>0</v>
      </c>
      <c r="FJ21">
        <v>0</v>
      </c>
      <c r="FK21">
        <v>0</v>
      </c>
      <c r="FL21">
        <v>0</v>
      </c>
      <c r="FM21">
        <v>0</v>
      </c>
      <c r="FN21">
        <v>0</v>
      </c>
      <c r="FO21">
        <v>0</v>
      </c>
      <c r="FP21">
        <v>0</v>
      </c>
      <c r="FQ21">
        <v>0</v>
      </c>
      <c r="FR21">
        <v>0</v>
      </c>
      <c r="FS21">
        <v>0</v>
      </c>
      <c r="FT21">
        <v>0</v>
      </c>
      <c r="FU21">
        <f t="shared" si="14"/>
        <v>0</v>
      </c>
      <c r="FV21">
        <v>5246</v>
      </c>
      <c r="FW21">
        <v>4875</v>
      </c>
      <c r="FX21">
        <v>5265</v>
      </c>
      <c r="FY21">
        <v>5978</v>
      </c>
      <c r="FZ21">
        <v>5922</v>
      </c>
      <c r="GA21">
        <v>5085</v>
      </c>
      <c r="GB21">
        <v>5512</v>
      </c>
      <c r="GC21">
        <v>5058</v>
      </c>
      <c r="GD21">
        <v>3929</v>
      </c>
      <c r="GE21">
        <v>5399</v>
      </c>
      <c r="GF21">
        <v>5893</v>
      </c>
      <c r="GG21">
        <v>5883</v>
      </c>
      <c r="GH21">
        <f t="shared" si="15"/>
        <v>64045</v>
      </c>
      <c r="GI21">
        <v>0</v>
      </c>
      <c r="GJ21">
        <v>0</v>
      </c>
      <c r="GK21">
        <v>0</v>
      </c>
      <c r="GL21">
        <v>0</v>
      </c>
      <c r="GM21">
        <v>0</v>
      </c>
      <c r="GN21">
        <v>0</v>
      </c>
      <c r="GO21">
        <v>0</v>
      </c>
      <c r="GP21">
        <v>0</v>
      </c>
      <c r="GQ21">
        <v>0</v>
      </c>
      <c r="GR21">
        <v>0</v>
      </c>
      <c r="GS21">
        <v>0</v>
      </c>
      <c r="GT21">
        <v>0</v>
      </c>
      <c r="GU21">
        <f t="shared" si="16"/>
        <v>0</v>
      </c>
      <c r="GV21">
        <v>0</v>
      </c>
      <c r="GW21">
        <v>0</v>
      </c>
      <c r="GX21">
        <v>0</v>
      </c>
      <c r="GY21">
        <v>0</v>
      </c>
      <c r="GZ21">
        <v>0</v>
      </c>
      <c r="HA21">
        <v>0</v>
      </c>
      <c r="HB21">
        <v>0</v>
      </c>
      <c r="HC21">
        <v>0</v>
      </c>
      <c r="HD21">
        <v>0</v>
      </c>
      <c r="HE21">
        <v>0</v>
      </c>
      <c r="HF21">
        <v>0</v>
      </c>
      <c r="HG21">
        <v>0</v>
      </c>
      <c r="HH21">
        <f t="shared" si="17"/>
        <v>0</v>
      </c>
      <c r="HI21">
        <v>0</v>
      </c>
      <c r="HJ21">
        <v>0</v>
      </c>
      <c r="HK21">
        <v>0</v>
      </c>
      <c r="HL21">
        <v>0</v>
      </c>
      <c r="HM21">
        <v>0</v>
      </c>
      <c r="HN21">
        <v>0</v>
      </c>
      <c r="HO21">
        <v>0</v>
      </c>
      <c r="HP21">
        <v>0</v>
      </c>
      <c r="HQ21">
        <v>0</v>
      </c>
      <c r="HR21">
        <v>0</v>
      </c>
      <c r="HS21">
        <v>0</v>
      </c>
      <c r="HT21">
        <v>0</v>
      </c>
      <c r="HU21">
        <f t="shared" si="18"/>
        <v>0</v>
      </c>
      <c r="HV21">
        <v>0</v>
      </c>
      <c r="HW21">
        <v>0</v>
      </c>
      <c r="HX21">
        <v>0</v>
      </c>
      <c r="HY21">
        <v>0</v>
      </c>
      <c r="HZ21">
        <v>0</v>
      </c>
      <c r="IA21">
        <v>0</v>
      </c>
      <c r="IB21">
        <v>0</v>
      </c>
      <c r="IC21">
        <v>0</v>
      </c>
      <c r="ID21">
        <v>0</v>
      </c>
      <c r="IE21">
        <v>0</v>
      </c>
      <c r="IF21">
        <v>0</v>
      </c>
      <c r="IG21">
        <v>0</v>
      </c>
      <c r="IH21">
        <f t="shared" si="19"/>
        <v>0</v>
      </c>
      <c r="II21">
        <f t="shared" si="20"/>
        <v>124323</v>
      </c>
      <c r="IJ21">
        <f t="shared" si="21"/>
        <v>0</v>
      </c>
      <c r="IK21">
        <v>87251</v>
      </c>
      <c r="IL21">
        <v>87858</v>
      </c>
      <c r="IM21">
        <v>85199</v>
      </c>
      <c r="IN21">
        <v>102404</v>
      </c>
      <c r="IO21">
        <v>103757</v>
      </c>
      <c r="IP21">
        <v>94071</v>
      </c>
      <c r="IQ21">
        <v>95156</v>
      </c>
      <c r="IR21">
        <v>84918</v>
      </c>
      <c r="IS21">
        <v>68592</v>
      </c>
      <c r="IT21">
        <v>89935</v>
      </c>
      <c r="IU21">
        <v>81305</v>
      </c>
      <c r="IV21">
        <v>90503</v>
      </c>
      <c r="IW21">
        <f t="shared" si="22"/>
        <v>1070949</v>
      </c>
      <c r="IX21">
        <v>40716</v>
      </c>
      <c r="IY21">
        <v>40632</v>
      </c>
      <c r="IZ21">
        <v>39081</v>
      </c>
      <c r="JA21">
        <v>52221</v>
      </c>
      <c r="JB21">
        <v>53696</v>
      </c>
      <c r="JC21">
        <v>45645</v>
      </c>
      <c r="JD21">
        <v>46658</v>
      </c>
      <c r="JE21">
        <v>40541</v>
      </c>
      <c r="JF21">
        <v>30541</v>
      </c>
      <c r="JG21">
        <v>40287</v>
      </c>
      <c r="JH21">
        <v>39070</v>
      </c>
      <c r="JI21">
        <v>42876</v>
      </c>
      <c r="JJ21">
        <f t="shared" si="23"/>
        <v>511964</v>
      </c>
      <c r="JK21">
        <v>1522</v>
      </c>
      <c r="JL21">
        <v>1650</v>
      </c>
      <c r="JM21">
        <v>1599</v>
      </c>
      <c r="JN21">
        <v>2074</v>
      </c>
      <c r="JO21">
        <v>2054</v>
      </c>
      <c r="JP21">
        <v>2071</v>
      </c>
      <c r="JQ21">
        <v>1878</v>
      </c>
      <c r="JR21">
        <v>1617</v>
      </c>
      <c r="JS21">
        <v>1248</v>
      </c>
      <c r="JT21">
        <v>1664</v>
      </c>
      <c r="JU21">
        <v>1589</v>
      </c>
      <c r="JV21">
        <v>1708</v>
      </c>
      <c r="JW21">
        <f t="shared" si="24"/>
        <v>20674</v>
      </c>
      <c r="JX21">
        <v>45013</v>
      </c>
      <c r="JY21">
        <v>45576</v>
      </c>
      <c r="JZ21">
        <v>44519</v>
      </c>
      <c r="KA21">
        <v>48109</v>
      </c>
      <c r="KB21">
        <v>48007</v>
      </c>
      <c r="KC21">
        <v>46355</v>
      </c>
      <c r="KD21">
        <v>46620</v>
      </c>
      <c r="KE21">
        <v>42760</v>
      </c>
      <c r="KF21">
        <v>36803</v>
      </c>
      <c r="KG21">
        <v>47984</v>
      </c>
      <c r="KH21">
        <v>40646</v>
      </c>
      <c r="KI21">
        <v>45919</v>
      </c>
      <c r="KJ21">
        <f t="shared" si="25"/>
        <v>538311</v>
      </c>
      <c r="KK21">
        <v>475</v>
      </c>
      <c r="KL21">
        <v>426</v>
      </c>
      <c r="KM21">
        <v>468</v>
      </c>
      <c r="KN21">
        <v>479</v>
      </c>
      <c r="KO21">
        <v>384</v>
      </c>
      <c r="KP21">
        <v>410</v>
      </c>
      <c r="KQ21">
        <v>385</v>
      </c>
      <c r="KR21">
        <v>281</v>
      </c>
      <c r="KS21">
        <v>300</v>
      </c>
      <c r="KT21">
        <v>278</v>
      </c>
      <c r="KU21">
        <v>284</v>
      </c>
      <c r="KV21">
        <v>339</v>
      </c>
      <c r="KW21">
        <f t="shared" si="26"/>
        <v>4509</v>
      </c>
      <c r="KX21">
        <v>6</v>
      </c>
      <c r="KY21">
        <v>6</v>
      </c>
      <c r="KZ21">
        <v>6</v>
      </c>
      <c r="LA21">
        <v>20</v>
      </c>
      <c r="LB21">
        <v>10</v>
      </c>
      <c r="LC21">
        <v>4</v>
      </c>
      <c r="LD21">
        <v>5</v>
      </c>
      <c r="LE21">
        <v>8</v>
      </c>
      <c r="LF21">
        <v>6</v>
      </c>
      <c r="LG21">
        <v>4</v>
      </c>
      <c r="LH21">
        <v>5</v>
      </c>
      <c r="LI21">
        <v>4</v>
      </c>
      <c r="LJ21">
        <f t="shared" si="27"/>
        <v>84</v>
      </c>
      <c r="LK21">
        <v>0</v>
      </c>
      <c r="LL21">
        <v>0</v>
      </c>
      <c r="LM21">
        <v>0</v>
      </c>
      <c r="LN21">
        <v>0</v>
      </c>
      <c r="LO21">
        <v>0</v>
      </c>
      <c r="LP21">
        <v>0</v>
      </c>
      <c r="LQ21">
        <v>0</v>
      </c>
      <c r="LR21">
        <v>0</v>
      </c>
      <c r="LS21">
        <v>0</v>
      </c>
      <c r="LT21">
        <v>0</v>
      </c>
      <c r="LU21">
        <v>0</v>
      </c>
      <c r="LV21">
        <v>0</v>
      </c>
      <c r="LW21">
        <f t="shared" si="28"/>
        <v>0</v>
      </c>
      <c r="LX21">
        <v>469</v>
      </c>
      <c r="LY21">
        <v>420</v>
      </c>
      <c r="LZ21">
        <v>462</v>
      </c>
      <c r="MA21">
        <v>459</v>
      </c>
      <c r="MB21">
        <v>374</v>
      </c>
      <c r="MC21">
        <v>406</v>
      </c>
      <c r="MD21">
        <v>380</v>
      </c>
      <c r="ME21">
        <v>273</v>
      </c>
      <c r="MF21">
        <v>294</v>
      </c>
      <c r="MG21">
        <v>274</v>
      </c>
      <c r="MH21">
        <v>279</v>
      </c>
      <c r="MI21">
        <v>335</v>
      </c>
      <c r="MJ21">
        <f t="shared" si="29"/>
        <v>4425</v>
      </c>
      <c r="MK21">
        <v>3245</v>
      </c>
      <c r="ML21">
        <v>3374</v>
      </c>
      <c r="MM21">
        <v>3202</v>
      </c>
      <c r="MN21">
        <v>3334</v>
      </c>
      <c r="MO21">
        <v>3590</v>
      </c>
      <c r="MP21">
        <v>3251</v>
      </c>
      <c r="MQ21">
        <v>3357</v>
      </c>
      <c r="MR21">
        <v>3084</v>
      </c>
      <c r="MS21">
        <v>2969</v>
      </c>
      <c r="MT21">
        <v>3220</v>
      </c>
      <c r="MU21">
        <v>2975</v>
      </c>
      <c r="MV21">
        <v>3143</v>
      </c>
      <c r="MW21">
        <f t="shared" si="30"/>
        <v>38744</v>
      </c>
      <c r="MX21">
        <v>361</v>
      </c>
      <c r="MY21">
        <v>378</v>
      </c>
      <c r="MZ21">
        <v>367</v>
      </c>
      <c r="NA21">
        <v>333</v>
      </c>
      <c r="NB21">
        <v>379</v>
      </c>
      <c r="NC21">
        <v>326</v>
      </c>
      <c r="ND21">
        <v>348</v>
      </c>
      <c r="NE21">
        <v>339</v>
      </c>
      <c r="NF21">
        <v>270</v>
      </c>
      <c r="NG21">
        <v>305</v>
      </c>
      <c r="NH21">
        <v>338</v>
      </c>
      <c r="NI21">
        <v>356</v>
      </c>
      <c r="NJ21">
        <f t="shared" si="31"/>
        <v>4100</v>
      </c>
      <c r="NK21">
        <v>127</v>
      </c>
      <c r="NL21">
        <v>152</v>
      </c>
      <c r="NM21">
        <v>117</v>
      </c>
      <c r="NN21">
        <v>154</v>
      </c>
      <c r="NO21">
        <v>143</v>
      </c>
      <c r="NP21">
        <v>120</v>
      </c>
      <c r="NQ21">
        <v>134</v>
      </c>
      <c r="NR21">
        <v>97</v>
      </c>
      <c r="NS21">
        <v>98</v>
      </c>
      <c r="NT21">
        <v>106</v>
      </c>
      <c r="NU21">
        <v>98</v>
      </c>
      <c r="NV21">
        <v>118</v>
      </c>
      <c r="NW21">
        <f t="shared" si="32"/>
        <v>1464</v>
      </c>
      <c r="NX21">
        <v>2757</v>
      </c>
      <c r="NY21">
        <v>2844</v>
      </c>
      <c r="NZ21">
        <v>2718</v>
      </c>
      <c r="OA21">
        <v>2847</v>
      </c>
      <c r="OB21">
        <v>3068</v>
      </c>
      <c r="OC21">
        <v>2805</v>
      </c>
      <c r="OD21">
        <v>2875</v>
      </c>
      <c r="OE21">
        <v>2648</v>
      </c>
      <c r="OF21">
        <v>2601</v>
      </c>
      <c r="OG21">
        <v>2809</v>
      </c>
      <c r="OH21">
        <v>2539</v>
      </c>
      <c r="OI21">
        <v>2669</v>
      </c>
      <c r="OJ21">
        <f t="shared" si="33"/>
        <v>33180</v>
      </c>
      <c r="OK21">
        <v>5153</v>
      </c>
      <c r="OL21">
        <v>5345</v>
      </c>
      <c r="OM21">
        <v>5025</v>
      </c>
      <c r="ON21">
        <v>5345</v>
      </c>
      <c r="OO21">
        <v>5699</v>
      </c>
      <c r="OP21">
        <v>5594</v>
      </c>
      <c r="OQ21">
        <v>5734</v>
      </c>
      <c r="OR21">
        <v>5402</v>
      </c>
      <c r="OS21">
        <v>5273</v>
      </c>
      <c r="OT21">
        <v>5762</v>
      </c>
      <c r="OU21">
        <v>5349</v>
      </c>
      <c r="OV21">
        <v>5849</v>
      </c>
      <c r="OW21">
        <f t="shared" si="34"/>
        <v>65530</v>
      </c>
      <c r="OX21">
        <v>557</v>
      </c>
      <c r="OY21">
        <v>562</v>
      </c>
      <c r="OZ21">
        <v>514</v>
      </c>
      <c r="PA21">
        <v>608</v>
      </c>
      <c r="PB21">
        <v>736</v>
      </c>
      <c r="PC21">
        <v>573</v>
      </c>
      <c r="PD21">
        <v>582</v>
      </c>
      <c r="PE21">
        <v>532</v>
      </c>
      <c r="PF21">
        <v>580</v>
      </c>
      <c r="PG21">
        <v>560</v>
      </c>
      <c r="PH21">
        <v>546</v>
      </c>
      <c r="PI21">
        <v>649</v>
      </c>
      <c r="PJ21">
        <f t="shared" si="35"/>
        <v>6999</v>
      </c>
      <c r="PK21">
        <v>114</v>
      </c>
      <c r="PL21">
        <v>122</v>
      </c>
      <c r="PM21">
        <v>112</v>
      </c>
      <c r="PN21">
        <v>129</v>
      </c>
      <c r="PO21">
        <v>120</v>
      </c>
      <c r="PP21">
        <v>112</v>
      </c>
      <c r="PQ21">
        <v>122</v>
      </c>
      <c r="PR21">
        <v>115</v>
      </c>
      <c r="PS21">
        <v>104</v>
      </c>
      <c r="PT21">
        <v>103</v>
      </c>
      <c r="PU21">
        <v>101</v>
      </c>
      <c r="PV21">
        <v>101</v>
      </c>
      <c r="PW21">
        <f t="shared" si="36"/>
        <v>1355</v>
      </c>
      <c r="PX21">
        <v>4482</v>
      </c>
      <c r="PY21">
        <v>4661</v>
      </c>
      <c r="PZ21">
        <v>4399</v>
      </c>
      <c r="QA21">
        <v>4608</v>
      </c>
      <c r="QB21">
        <v>4843</v>
      </c>
      <c r="QC21">
        <v>4909</v>
      </c>
      <c r="QD21">
        <v>5030</v>
      </c>
      <c r="QE21">
        <v>4755</v>
      </c>
      <c r="QF21">
        <v>4589</v>
      </c>
      <c r="QG21">
        <v>5099</v>
      </c>
      <c r="QH21">
        <v>4702</v>
      </c>
      <c r="QI21">
        <v>5099</v>
      </c>
      <c r="QJ21">
        <f t="shared" si="37"/>
        <v>57176</v>
      </c>
      <c r="QK21">
        <v>61325</v>
      </c>
      <c r="QL21">
        <v>61325</v>
      </c>
      <c r="QM21">
        <v>61325</v>
      </c>
      <c r="QN21">
        <v>78171</v>
      </c>
      <c r="QO21">
        <v>78171</v>
      </c>
      <c r="QP21">
        <v>78171</v>
      </c>
      <c r="QQ21">
        <v>58646</v>
      </c>
      <c r="QR21">
        <v>58646</v>
      </c>
      <c r="QS21">
        <v>58646</v>
      </c>
      <c r="QT21">
        <v>71842</v>
      </c>
      <c r="QU21">
        <v>71842</v>
      </c>
      <c r="QV21">
        <v>71842</v>
      </c>
      <c r="QW21">
        <f t="shared" si="38"/>
        <v>809952</v>
      </c>
      <c r="QX21">
        <v>73333</v>
      </c>
      <c r="QY21">
        <v>73333</v>
      </c>
      <c r="QZ21">
        <v>73333</v>
      </c>
      <c r="RA21">
        <v>73333</v>
      </c>
      <c r="RB21">
        <v>73333</v>
      </c>
      <c r="RC21">
        <v>73333</v>
      </c>
      <c r="RD21">
        <v>73333</v>
      </c>
      <c r="RE21">
        <v>73333</v>
      </c>
      <c r="RF21">
        <v>73333</v>
      </c>
      <c r="RG21">
        <v>73333</v>
      </c>
      <c r="RH21">
        <v>73333</v>
      </c>
      <c r="RI21">
        <v>73333</v>
      </c>
      <c r="RJ21">
        <f t="shared" si="39"/>
        <v>879996</v>
      </c>
      <c r="RK21">
        <v>0</v>
      </c>
      <c r="RL21">
        <v>0</v>
      </c>
      <c r="RM21">
        <v>0</v>
      </c>
      <c r="RN21">
        <v>0</v>
      </c>
      <c r="RO21">
        <v>0</v>
      </c>
      <c r="RP21">
        <v>0</v>
      </c>
      <c r="RQ21">
        <v>0</v>
      </c>
      <c r="RR21">
        <v>0</v>
      </c>
      <c r="RS21">
        <v>0</v>
      </c>
      <c r="RT21">
        <v>0</v>
      </c>
      <c r="RU21">
        <v>0</v>
      </c>
      <c r="RV21">
        <v>0</v>
      </c>
      <c r="RW21">
        <f t="shared" si="40"/>
        <v>0</v>
      </c>
      <c r="RX21">
        <v>479</v>
      </c>
      <c r="RY21">
        <v>479</v>
      </c>
      <c r="RZ21">
        <v>479</v>
      </c>
      <c r="SA21">
        <v>413</v>
      </c>
      <c r="SB21">
        <v>413</v>
      </c>
      <c r="SC21">
        <v>413</v>
      </c>
      <c r="SD21">
        <v>0</v>
      </c>
      <c r="SE21">
        <v>0</v>
      </c>
      <c r="SF21">
        <v>0</v>
      </c>
      <c r="SG21">
        <v>283</v>
      </c>
      <c r="SH21">
        <v>283</v>
      </c>
      <c r="SI21">
        <v>283</v>
      </c>
      <c r="SJ21">
        <f t="shared" si="41"/>
        <v>3525</v>
      </c>
      <c r="SK21">
        <v>71</v>
      </c>
      <c r="SL21">
        <v>80</v>
      </c>
      <c r="SM21">
        <v>79</v>
      </c>
      <c r="SN21">
        <v>78</v>
      </c>
      <c r="SO21">
        <v>80</v>
      </c>
      <c r="SP21">
        <v>76</v>
      </c>
      <c r="SQ21">
        <v>74</v>
      </c>
      <c r="SR21">
        <v>78</v>
      </c>
      <c r="SS21">
        <v>78</v>
      </c>
      <c r="ST21">
        <v>76</v>
      </c>
      <c r="SU21">
        <v>72</v>
      </c>
      <c r="SV21">
        <v>79</v>
      </c>
      <c r="SW21">
        <f t="shared" si="42"/>
        <v>921</v>
      </c>
      <c r="SX21" t="s">
        <v>1511</v>
      </c>
      <c r="SY21">
        <v>1991</v>
      </c>
      <c r="SZ21">
        <v>2156</v>
      </c>
      <c r="TA21">
        <v>2224</v>
      </c>
      <c r="TB21">
        <v>2427</v>
      </c>
      <c r="TC21">
        <v>2314</v>
      </c>
      <c r="TD21">
        <v>2284</v>
      </c>
      <c r="TE21">
        <v>2283</v>
      </c>
      <c r="TF21">
        <v>2139</v>
      </c>
      <c r="TG21">
        <v>1811</v>
      </c>
      <c r="TH21">
        <v>2161</v>
      </c>
      <c r="TI21">
        <v>2154</v>
      </c>
      <c r="TJ21">
        <v>2289</v>
      </c>
      <c r="TK21">
        <f t="shared" si="43"/>
        <v>26233</v>
      </c>
      <c r="TL21">
        <v>0</v>
      </c>
      <c r="TM21">
        <v>0</v>
      </c>
      <c r="TN21">
        <v>0</v>
      </c>
      <c r="TO21">
        <v>0</v>
      </c>
      <c r="TP21">
        <v>0</v>
      </c>
      <c r="TQ21">
        <v>0</v>
      </c>
      <c r="TR21">
        <v>0</v>
      </c>
      <c r="TS21">
        <v>0</v>
      </c>
      <c r="TT21">
        <v>0</v>
      </c>
      <c r="TU21">
        <v>0</v>
      </c>
      <c r="TV21">
        <v>0</v>
      </c>
      <c r="TW21">
        <v>0</v>
      </c>
      <c r="TX21">
        <f t="shared" si="44"/>
        <v>0</v>
      </c>
      <c r="TY21">
        <v>89</v>
      </c>
      <c r="TZ21">
        <v>51</v>
      </c>
      <c r="UA21">
        <v>304</v>
      </c>
      <c r="UB21">
        <v>0</v>
      </c>
    </row>
    <row r="22" spans="1:548" ht="16.5" customHeight="1" x14ac:dyDescent="0.35">
      <c r="A22" t="s">
        <v>1376</v>
      </c>
      <c r="B22" t="s">
        <v>2866</v>
      </c>
      <c r="C22" s="2">
        <v>21246</v>
      </c>
      <c r="D22" s="2">
        <v>1271</v>
      </c>
      <c r="E22">
        <v>195</v>
      </c>
      <c r="F22" s="2">
        <v>19780</v>
      </c>
      <c r="G22" s="2">
        <v>0</v>
      </c>
      <c r="H22" s="2">
        <v>0</v>
      </c>
      <c r="I22" s="2">
        <v>1272</v>
      </c>
      <c r="J22" s="2">
        <v>0</v>
      </c>
      <c r="K22" s="2">
        <v>0</v>
      </c>
      <c r="L22" s="2">
        <v>1386</v>
      </c>
      <c r="M22" s="2">
        <v>0</v>
      </c>
      <c r="N22" s="2">
        <v>0</v>
      </c>
      <c r="O22" s="2">
        <v>1368</v>
      </c>
      <c r="P22" s="2">
        <v>0</v>
      </c>
      <c r="Q22" s="2">
        <v>0</v>
      </c>
      <c r="R22" s="2">
        <v>1348</v>
      </c>
      <c r="S22" s="2">
        <f t="shared" si="0"/>
        <v>5374</v>
      </c>
      <c r="T22" s="2">
        <v>0</v>
      </c>
      <c r="U22" s="2">
        <v>0</v>
      </c>
      <c r="V22">
        <v>167</v>
      </c>
      <c r="W22" s="2">
        <v>0</v>
      </c>
      <c r="X22" s="2">
        <v>0</v>
      </c>
      <c r="Y22">
        <v>153</v>
      </c>
      <c r="Z22" s="2">
        <v>0</v>
      </c>
      <c r="AA22" s="2">
        <v>0</v>
      </c>
      <c r="AB22">
        <v>151</v>
      </c>
      <c r="AC22" s="2">
        <v>0</v>
      </c>
      <c r="AD22" s="2">
        <v>0</v>
      </c>
      <c r="AE22">
        <v>169</v>
      </c>
      <c r="AF22">
        <f t="shared" si="1"/>
        <v>640</v>
      </c>
      <c r="AG22" s="2">
        <v>0</v>
      </c>
      <c r="AH22" s="2">
        <v>0</v>
      </c>
      <c r="AI22">
        <v>1</v>
      </c>
      <c r="AJ22" s="2">
        <v>0</v>
      </c>
      <c r="AK22" s="2">
        <v>0</v>
      </c>
      <c r="AL22">
        <v>0</v>
      </c>
      <c r="AM22" s="2">
        <v>0</v>
      </c>
      <c r="AN22" s="2">
        <v>0</v>
      </c>
      <c r="AO22">
        <v>0</v>
      </c>
      <c r="AP22" s="2">
        <v>0</v>
      </c>
      <c r="AQ22" s="2">
        <v>0</v>
      </c>
      <c r="AR22">
        <v>0</v>
      </c>
      <c r="AS22">
        <f t="shared" si="2"/>
        <v>1</v>
      </c>
      <c r="AT22" s="2">
        <v>0</v>
      </c>
      <c r="AU22" s="2">
        <v>0</v>
      </c>
      <c r="AV22" s="2">
        <v>1036</v>
      </c>
      <c r="AW22" s="2">
        <v>0</v>
      </c>
      <c r="AX22" s="2">
        <v>0</v>
      </c>
      <c r="AY22" s="2">
        <v>1165</v>
      </c>
      <c r="AZ22" s="2">
        <v>0</v>
      </c>
      <c r="BA22" s="2">
        <v>0</v>
      </c>
      <c r="BB22" s="2">
        <v>1142</v>
      </c>
      <c r="BC22" s="2">
        <v>0</v>
      </c>
      <c r="BD22" s="2">
        <v>0</v>
      </c>
      <c r="BE22" s="2">
        <v>1100</v>
      </c>
      <c r="BF22" s="2">
        <f t="shared" si="3"/>
        <v>4443</v>
      </c>
      <c r="BG22" s="2">
        <v>0</v>
      </c>
      <c r="BH22" s="2">
        <v>0</v>
      </c>
      <c r="BI22">
        <v>69</v>
      </c>
      <c r="BJ22" s="2">
        <v>0</v>
      </c>
      <c r="BK22" s="2">
        <v>0</v>
      </c>
      <c r="BL22">
        <v>68</v>
      </c>
      <c r="BM22" s="2">
        <v>0</v>
      </c>
      <c r="BN22" s="2">
        <v>0</v>
      </c>
      <c r="BO22">
        <v>75</v>
      </c>
      <c r="BP22" s="2">
        <v>0</v>
      </c>
      <c r="BQ22" s="2">
        <v>0</v>
      </c>
      <c r="BR22">
        <v>79</v>
      </c>
      <c r="BS22">
        <f t="shared" si="4"/>
        <v>291</v>
      </c>
      <c r="BT22" s="2">
        <v>0</v>
      </c>
      <c r="BU22" s="2">
        <v>0</v>
      </c>
      <c r="BV22">
        <v>54</v>
      </c>
      <c r="BW22" s="2">
        <v>0</v>
      </c>
      <c r="BX22" s="2">
        <v>0</v>
      </c>
      <c r="BY22">
        <v>34</v>
      </c>
      <c r="BZ22" s="2">
        <v>0</v>
      </c>
      <c r="CA22" s="2">
        <v>0</v>
      </c>
      <c r="CB22">
        <v>43</v>
      </c>
      <c r="CC22" s="2">
        <v>0</v>
      </c>
      <c r="CD22" s="2">
        <v>0</v>
      </c>
      <c r="CE22">
        <v>45</v>
      </c>
      <c r="CF22">
        <f t="shared" si="5"/>
        <v>176</v>
      </c>
      <c r="CG22" s="2">
        <v>0</v>
      </c>
      <c r="CH22" s="2">
        <v>0</v>
      </c>
      <c r="CI22">
        <v>1</v>
      </c>
      <c r="CJ22" s="2">
        <v>0</v>
      </c>
      <c r="CK22" s="2">
        <v>0</v>
      </c>
      <c r="CL22">
        <v>0</v>
      </c>
      <c r="CM22" s="2">
        <v>0</v>
      </c>
      <c r="CN22" s="2">
        <v>0</v>
      </c>
      <c r="CO22">
        <v>0</v>
      </c>
      <c r="CP22" s="2">
        <v>0</v>
      </c>
      <c r="CQ22" s="2">
        <v>0</v>
      </c>
      <c r="CR22">
        <v>0</v>
      </c>
      <c r="CS22">
        <f t="shared" si="6"/>
        <v>1</v>
      </c>
      <c r="CT22" s="2">
        <v>0</v>
      </c>
      <c r="CU22" s="2">
        <v>0</v>
      </c>
      <c r="CV22">
        <v>0</v>
      </c>
      <c r="CW22" s="2">
        <v>0</v>
      </c>
      <c r="CX22" s="2">
        <v>0</v>
      </c>
      <c r="CY22">
        <v>0</v>
      </c>
      <c r="CZ22" s="2">
        <v>0</v>
      </c>
      <c r="DA22" s="2">
        <v>0</v>
      </c>
      <c r="DB22">
        <v>0</v>
      </c>
      <c r="DC22" s="2">
        <v>0</v>
      </c>
      <c r="DD22" s="2">
        <v>0</v>
      </c>
      <c r="DE22">
        <v>0</v>
      </c>
      <c r="DF22">
        <f t="shared" si="7"/>
        <v>0</v>
      </c>
      <c r="DG22" s="2">
        <v>0</v>
      </c>
      <c r="DH22" s="2">
        <v>0</v>
      </c>
      <c r="DI22">
        <v>53</v>
      </c>
      <c r="DJ22" s="2">
        <v>0</v>
      </c>
      <c r="DK22" s="2">
        <v>0</v>
      </c>
      <c r="DL22">
        <v>34</v>
      </c>
      <c r="DM22" s="2">
        <v>0</v>
      </c>
      <c r="DN22" s="2">
        <v>0</v>
      </c>
      <c r="DO22">
        <v>43</v>
      </c>
      <c r="DP22" s="2">
        <v>0</v>
      </c>
      <c r="DQ22" s="2">
        <v>0</v>
      </c>
      <c r="DR22">
        <v>45</v>
      </c>
      <c r="DS22">
        <f t="shared" si="8"/>
        <v>175</v>
      </c>
      <c r="DT22" s="2">
        <v>0</v>
      </c>
      <c r="DU22" s="2">
        <v>0</v>
      </c>
      <c r="DV22">
        <v>0</v>
      </c>
      <c r="DW22" s="2">
        <v>0</v>
      </c>
      <c r="DX22" s="2">
        <v>0</v>
      </c>
      <c r="DY22">
        <v>0</v>
      </c>
      <c r="DZ22" s="2">
        <v>0</v>
      </c>
      <c r="EA22" s="2">
        <v>0</v>
      </c>
      <c r="EB22">
        <v>0</v>
      </c>
      <c r="EC22" s="2">
        <v>0</v>
      </c>
      <c r="ED22" s="2">
        <v>0</v>
      </c>
      <c r="EE22">
        <v>0</v>
      </c>
      <c r="EF22">
        <f t="shared" si="9"/>
        <v>0</v>
      </c>
      <c r="EG22">
        <f t="shared" si="10"/>
        <v>5375</v>
      </c>
      <c r="EH22">
        <f t="shared" si="11"/>
        <v>176</v>
      </c>
      <c r="EI22" s="2">
        <v>0</v>
      </c>
      <c r="EJ22" s="2">
        <v>0</v>
      </c>
      <c r="EK22" s="2">
        <v>6122</v>
      </c>
      <c r="EL22" s="2">
        <v>0</v>
      </c>
      <c r="EM22" s="2">
        <v>0</v>
      </c>
      <c r="EN22" s="2">
        <v>6455</v>
      </c>
      <c r="EO22" s="2">
        <v>0</v>
      </c>
      <c r="EP22" s="2">
        <v>0</v>
      </c>
      <c r="EQ22" s="2">
        <v>7106</v>
      </c>
      <c r="ER22" s="2">
        <v>0</v>
      </c>
      <c r="ES22" s="2">
        <v>0</v>
      </c>
      <c r="ET22" s="2">
        <v>7542</v>
      </c>
      <c r="EU22" s="2">
        <f t="shared" si="12"/>
        <v>27225</v>
      </c>
      <c r="EV22" s="2">
        <v>0</v>
      </c>
      <c r="EW22" s="2">
        <v>0</v>
      </c>
      <c r="EX22" s="2">
        <v>1882</v>
      </c>
      <c r="EY22" s="2">
        <v>0</v>
      </c>
      <c r="EZ22" s="2">
        <v>0</v>
      </c>
      <c r="FA22" s="2">
        <v>1949</v>
      </c>
      <c r="FB22" s="2">
        <v>0</v>
      </c>
      <c r="FC22" s="2">
        <v>0</v>
      </c>
      <c r="FD22" s="2">
        <v>2095</v>
      </c>
      <c r="FE22" s="2">
        <v>0</v>
      </c>
      <c r="FF22" s="2">
        <v>0</v>
      </c>
      <c r="FG22" s="2">
        <v>2142</v>
      </c>
      <c r="FH22" s="2">
        <f t="shared" si="13"/>
        <v>8068</v>
      </c>
      <c r="FI22" s="2">
        <v>0</v>
      </c>
      <c r="FJ22" s="2">
        <v>0</v>
      </c>
      <c r="FK22">
        <v>26</v>
      </c>
      <c r="FL22" s="2">
        <v>0</v>
      </c>
      <c r="FM22" s="2">
        <v>0</v>
      </c>
      <c r="FN22">
        <v>0</v>
      </c>
      <c r="FO22" s="2">
        <v>0</v>
      </c>
      <c r="FP22" s="2">
        <v>0</v>
      </c>
      <c r="FQ22">
        <v>0</v>
      </c>
      <c r="FR22" s="2">
        <v>0</v>
      </c>
      <c r="FS22" s="2">
        <v>0</v>
      </c>
      <c r="FT22">
        <v>0</v>
      </c>
      <c r="FU22">
        <f t="shared" si="14"/>
        <v>26</v>
      </c>
      <c r="FV22" s="2">
        <v>0</v>
      </c>
      <c r="FW22" s="2">
        <v>0</v>
      </c>
      <c r="FX22" s="2">
        <v>4214</v>
      </c>
      <c r="FY22" s="2">
        <v>0</v>
      </c>
      <c r="FZ22" s="2">
        <v>0</v>
      </c>
      <c r="GA22" s="2">
        <v>4506</v>
      </c>
      <c r="GB22" s="2">
        <v>0</v>
      </c>
      <c r="GC22" s="2">
        <v>0</v>
      </c>
      <c r="GD22" s="2">
        <v>5011</v>
      </c>
      <c r="GE22" s="2">
        <v>0</v>
      </c>
      <c r="GF22" s="2">
        <v>0</v>
      </c>
      <c r="GG22" s="2">
        <v>5400</v>
      </c>
      <c r="GH22" s="2">
        <f t="shared" si="15"/>
        <v>19131</v>
      </c>
      <c r="GI22" s="2">
        <v>0</v>
      </c>
      <c r="GJ22" s="2">
        <v>0</v>
      </c>
      <c r="GK22">
        <v>595</v>
      </c>
      <c r="GL22" s="2">
        <v>0</v>
      </c>
      <c r="GM22" s="2">
        <v>0</v>
      </c>
      <c r="GN22">
        <v>462</v>
      </c>
      <c r="GO22" s="2">
        <v>0</v>
      </c>
      <c r="GP22" s="2">
        <v>0</v>
      </c>
      <c r="GQ22">
        <v>371</v>
      </c>
      <c r="GR22" s="2">
        <v>0</v>
      </c>
      <c r="GS22" s="2">
        <v>0</v>
      </c>
      <c r="GT22">
        <v>443</v>
      </c>
      <c r="GU22">
        <f t="shared" si="16"/>
        <v>1871</v>
      </c>
      <c r="GV22" s="2">
        <v>0</v>
      </c>
      <c r="GW22" s="2">
        <v>0</v>
      </c>
      <c r="GX22">
        <v>9</v>
      </c>
      <c r="GY22" s="2">
        <v>0</v>
      </c>
      <c r="GZ22" s="2">
        <v>0</v>
      </c>
      <c r="HA22">
        <v>0</v>
      </c>
      <c r="HB22" s="2">
        <v>0</v>
      </c>
      <c r="HC22" s="2">
        <v>0</v>
      </c>
      <c r="HD22">
        <v>0</v>
      </c>
      <c r="HE22" s="2">
        <v>0</v>
      </c>
      <c r="HF22" s="2">
        <v>0</v>
      </c>
      <c r="HG22">
        <v>0</v>
      </c>
      <c r="HH22">
        <f t="shared" si="17"/>
        <v>9</v>
      </c>
      <c r="HI22" s="2">
        <v>0</v>
      </c>
      <c r="HJ22" s="2">
        <v>0</v>
      </c>
      <c r="HK22">
        <v>0</v>
      </c>
      <c r="HL22" s="2">
        <v>0</v>
      </c>
      <c r="HM22" s="2">
        <v>0</v>
      </c>
      <c r="HN22">
        <v>0</v>
      </c>
      <c r="HO22" s="2">
        <v>0</v>
      </c>
      <c r="HP22" s="2">
        <v>0</v>
      </c>
      <c r="HQ22">
        <v>0</v>
      </c>
      <c r="HR22" s="2">
        <v>0</v>
      </c>
      <c r="HS22" s="2">
        <v>0</v>
      </c>
      <c r="HT22">
        <v>0</v>
      </c>
      <c r="HU22">
        <f t="shared" si="18"/>
        <v>0</v>
      </c>
      <c r="HV22" s="2">
        <v>0</v>
      </c>
      <c r="HW22" s="2">
        <v>0</v>
      </c>
      <c r="HX22">
        <v>586</v>
      </c>
      <c r="HY22" s="2">
        <v>0</v>
      </c>
      <c r="HZ22" s="2">
        <v>0</v>
      </c>
      <c r="IA22">
        <v>462</v>
      </c>
      <c r="IB22" s="2">
        <v>0</v>
      </c>
      <c r="IC22" s="2">
        <v>0</v>
      </c>
      <c r="ID22">
        <v>371</v>
      </c>
      <c r="IE22" s="2">
        <v>0</v>
      </c>
      <c r="IF22" s="2">
        <v>0</v>
      </c>
      <c r="IG22">
        <v>443</v>
      </c>
      <c r="IH22">
        <f t="shared" si="19"/>
        <v>1862</v>
      </c>
      <c r="II22">
        <f t="shared" si="20"/>
        <v>27225</v>
      </c>
      <c r="IJ22">
        <f t="shared" si="21"/>
        <v>1871</v>
      </c>
      <c r="IK22" s="2">
        <v>0</v>
      </c>
      <c r="IL22" s="2">
        <v>0</v>
      </c>
      <c r="IM22" s="2">
        <v>69921</v>
      </c>
      <c r="IN22" s="2">
        <v>0</v>
      </c>
      <c r="IO22" s="2">
        <v>0</v>
      </c>
      <c r="IP22" s="2">
        <v>73845</v>
      </c>
      <c r="IQ22" s="2">
        <v>0</v>
      </c>
      <c r="IR22" s="2">
        <v>0</v>
      </c>
      <c r="IS22" s="2">
        <v>67502</v>
      </c>
      <c r="IT22" s="2">
        <v>0</v>
      </c>
      <c r="IU22" s="2">
        <v>0</v>
      </c>
      <c r="IV22" s="2">
        <v>74481</v>
      </c>
      <c r="IW22" s="2">
        <f t="shared" si="22"/>
        <v>285749</v>
      </c>
      <c r="IX22" s="2">
        <v>0</v>
      </c>
      <c r="IY22" s="2">
        <v>0</v>
      </c>
      <c r="IZ22" s="2">
        <v>12837</v>
      </c>
      <c r="JA22" s="2">
        <v>0</v>
      </c>
      <c r="JB22" s="2">
        <v>0</v>
      </c>
      <c r="JC22" s="2">
        <v>15117</v>
      </c>
      <c r="JD22" s="2">
        <v>0</v>
      </c>
      <c r="JE22" s="2">
        <v>0</v>
      </c>
      <c r="JF22" s="2">
        <v>12749</v>
      </c>
      <c r="JG22" s="2">
        <v>0</v>
      </c>
      <c r="JH22" s="2">
        <v>0</v>
      </c>
      <c r="JI22" s="2">
        <v>13991</v>
      </c>
      <c r="JJ22" s="2">
        <f t="shared" si="23"/>
        <v>54694</v>
      </c>
      <c r="JK22" s="2">
        <v>0</v>
      </c>
      <c r="JL22" s="2">
        <v>0</v>
      </c>
      <c r="JM22">
        <v>205</v>
      </c>
      <c r="JN22" s="2">
        <v>0</v>
      </c>
      <c r="JO22" s="2">
        <v>0</v>
      </c>
      <c r="JP22">
        <v>251</v>
      </c>
      <c r="JQ22" s="2">
        <v>0</v>
      </c>
      <c r="JR22" s="2">
        <v>0</v>
      </c>
      <c r="JS22">
        <v>298</v>
      </c>
      <c r="JT22" s="2">
        <v>0</v>
      </c>
      <c r="JU22" s="2">
        <v>0</v>
      </c>
      <c r="JV22">
        <v>288</v>
      </c>
      <c r="JW22">
        <f t="shared" si="24"/>
        <v>1042</v>
      </c>
      <c r="JX22" s="2">
        <v>0</v>
      </c>
      <c r="JY22" s="2">
        <v>0</v>
      </c>
      <c r="JZ22" s="2">
        <v>56879</v>
      </c>
      <c r="KA22" s="2">
        <v>0</v>
      </c>
      <c r="KB22" s="2">
        <v>0</v>
      </c>
      <c r="KC22" s="2">
        <v>58477</v>
      </c>
      <c r="KD22" s="2">
        <v>0</v>
      </c>
      <c r="KE22" s="2">
        <v>0</v>
      </c>
      <c r="KF22" s="2">
        <v>54455</v>
      </c>
      <c r="KG22" s="2">
        <v>0</v>
      </c>
      <c r="KH22" s="2">
        <v>0</v>
      </c>
      <c r="KI22" s="2">
        <v>60202</v>
      </c>
      <c r="KJ22" s="2">
        <f t="shared" si="25"/>
        <v>230013</v>
      </c>
      <c r="KK22" s="2">
        <v>0</v>
      </c>
      <c r="KL22" s="2">
        <v>0</v>
      </c>
      <c r="KM22" s="2">
        <v>1540</v>
      </c>
      <c r="KN22" s="2">
        <v>0</v>
      </c>
      <c r="KO22" s="2">
        <v>0</v>
      </c>
      <c r="KP22" s="2">
        <v>1012</v>
      </c>
      <c r="KQ22" s="2">
        <v>0</v>
      </c>
      <c r="KR22" s="2">
        <v>0</v>
      </c>
      <c r="KS22" s="2">
        <v>1141</v>
      </c>
      <c r="KT22" s="2">
        <v>0</v>
      </c>
      <c r="KU22" s="2">
        <v>0</v>
      </c>
      <c r="KV22">
        <v>863</v>
      </c>
      <c r="KW22">
        <f t="shared" si="26"/>
        <v>4556</v>
      </c>
      <c r="KX22" s="2">
        <v>0</v>
      </c>
      <c r="KY22" s="2">
        <v>0</v>
      </c>
      <c r="KZ22">
        <v>16</v>
      </c>
      <c r="LA22" s="2">
        <v>0</v>
      </c>
      <c r="LB22" s="2">
        <v>0</v>
      </c>
      <c r="LC22">
        <v>27</v>
      </c>
      <c r="LD22" s="2">
        <v>0</v>
      </c>
      <c r="LE22" s="2">
        <v>0</v>
      </c>
      <c r="LF22">
        <v>9</v>
      </c>
      <c r="LG22" s="2">
        <v>0</v>
      </c>
      <c r="LH22" s="2">
        <v>0</v>
      </c>
      <c r="LI22">
        <v>2</v>
      </c>
      <c r="LJ22">
        <f t="shared" si="27"/>
        <v>54</v>
      </c>
      <c r="LK22" s="2">
        <v>0</v>
      </c>
      <c r="LL22" s="2">
        <v>0</v>
      </c>
      <c r="LM22">
        <v>0</v>
      </c>
      <c r="LN22" s="2">
        <v>0</v>
      </c>
      <c r="LO22" s="2">
        <v>0</v>
      </c>
      <c r="LP22">
        <v>0</v>
      </c>
      <c r="LQ22" s="2">
        <v>0</v>
      </c>
      <c r="LR22" s="2">
        <v>0</v>
      </c>
      <c r="LS22">
        <v>0</v>
      </c>
      <c r="LT22" s="2">
        <v>0</v>
      </c>
      <c r="LU22" s="2">
        <v>0</v>
      </c>
      <c r="LV22">
        <v>0</v>
      </c>
      <c r="LW22">
        <f t="shared" si="28"/>
        <v>0</v>
      </c>
      <c r="LX22" s="2">
        <v>0</v>
      </c>
      <c r="LY22" s="2">
        <v>0</v>
      </c>
      <c r="LZ22" s="2">
        <v>1524</v>
      </c>
      <c r="MA22" s="2">
        <v>0</v>
      </c>
      <c r="MB22" s="2">
        <v>0</v>
      </c>
      <c r="MC22">
        <v>985</v>
      </c>
      <c r="MD22" s="2">
        <v>0</v>
      </c>
      <c r="ME22" s="2">
        <v>0</v>
      </c>
      <c r="MF22" s="2">
        <v>1132</v>
      </c>
      <c r="MG22" s="2">
        <v>0</v>
      </c>
      <c r="MH22" s="2">
        <v>0</v>
      </c>
      <c r="MI22">
        <v>861</v>
      </c>
      <c r="MJ22">
        <f t="shared" si="29"/>
        <v>4502</v>
      </c>
      <c r="MK22" s="2">
        <v>0</v>
      </c>
      <c r="ML22" s="2">
        <v>0</v>
      </c>
      <c r="MM22" s="2">
        <v>13477</v>
      </c>
      <c r="MN22" s="2">
        <v>0</v>
      </c>
      <c r="MO22" s="2">
        <v>0</v>
      </c>
      <c r="MP22" s="2">
        <v>14239</v>
      </c>
      <c r="MQ22" s="2">
        <v>0</v>
      </c>
      <c r="MR22" s="2">
        <v>0</v>
      </c>
      <c r="MS22" s="2">
        <v>14305</v>
      </c>
      <c r="MT22" s="2">
        <v>0</v>
      </c>
      <c r="MU22" s="2">
        <v>0</v>
      </c>
      <c r="MV22" s="2">
        <v>14316</v>
      </c>
      <c r="MW22" s="2">
        <f t="shared" si="30"/>
        <v>56337</v>
      </c>
      <c r="MX22" s="2">
        <v>0</v>
      </c>
      <c r="MY22" s="2">
        <v>0</v>
      </c>
      <c r="MZ22" s="2">
        <v>1140</v>
      </c>
      <c r="NA22" s="2">
        <v>0</v>
      </c>
      <c r="NB22" s="2">
        <v>0</v>
      </c>
      <c r="NC22" s="2">
        <v>1347</v>
      </c>
      <c r="ND22" s="2">
        <v>0</v>
      </c>
      <c r="NE22" s="2">
        <v>0</v>
      </c>
      <c r="NF22" s="2">
        <v>1291</v>
      </c>
      <c r="NG22" s="2">
        <v>0</v>
      </c>
      <c r="NH22" s="2">
        <v>0</v>
      </c>
      <c r="NI22" s="2">
        <v>1228</v>
      </c>
      <c r="NJ22" s="2">
        <f t="shared" si="31"/>
        <v>5006</v>
      </c>
      <c r="NK22" s="2">
        <v>0</v>
      </c>
      <c r="NL22" s="2">
        <v>0</v>
      </c>
      <c r="NM22">
        <v>732</v>
      </c>
      <c r="NN22" s="2">
        <v>0</v>
      </c>
      <c r="NO22" s="2">
        <v>0</v>
      </c>
      <c r="NP22">
        <v>754</v>
      </c>
      <c r="NQ22" s="2">
        <v>0</v>
      </c>
      <c r="NR22" s="2">
        <v>0</v>
      </c>
      <c r="NS22">
        <v>583</v>
      </c>
      <c r="NT22" s="2">
        <v>0</v>
      </c>
      <c r="NU22" s="2">
        <v>0</v>
      </c>
      <c r="NV22">
        <v>631</v>
      </c>
      <c r="NW22">
        <f t="shared" si="32"/>
        <v>2700</v>
      </c>
      <c r="NX22" s="2">
        <v>0</v>
      </c>
      <c r="NY22" s="2">
        <v>0</v>
      </c>
      <c r="NZ22" s="2">
        <v>11605</v>
      </c>
      <c r="OA22" s="2">
        <v>0</v>
      </c>
      <c r="OB22" s="2">
        <v>0</v>
      </c>
      <c r="OC22" s="2">
        <v>12138</v>
      </c>
      <c r="OD22" s="2">
        <v>0</v>
      </c>
      <c r="OE22" s="2">
        <v>0</v>
      </c>
      <c r="OF22" s="2">
        <v>12431</v>
      </c>
      <c r="OG22" s="2">
        <v>0</v>
      </c>
      <c r="OH22" s="2">
        <v>0</v>
      </c>
      <c r="OI22" s="2">
        <v>12457</v>
      </c>
      <c r="OJ22" s="2">
        <f t="shared" si="33"/>
        <v>48631</v>
      </c>
      <c r="OK22" s="2">
        <v>0</v>
      </c>
      <c r="OL22" s="2">
        <v>0</v>
      </c>
      <c r="OM22" s="2">
        <v>8515</v>
      </c>
      <c r="ON22" s="2">
        <v>0</v>
      </c>
      <c r="OO22" s="2">
        <v>0</v>
      </c>
      <c r="OP22" s="2">
        <v>8704</v>
      </c>
      <c r="OQ22" s="2">
        <v>0</v>
      </c>
      <c r="OR22" s="2">
        <v>0</v>
      </c>
      <c r="OS22" s="2">
        <v>9467</v>
      </c>
      <c r="OT22" s="2">
        <v>0</v>
      </c>
      <c r="OU22" s="2">
        <v>0</v>
      </c>
      <c r="OV22" s="2">
        <v>10861</v>
      </c>
      <c r="OW22" s="2">
        <f t="shared" si="34"/>
        <v>37547</v>
      </c>
      <c r="OX22" s="2">
        <v>0</v>
      </c>
      <c r="OY22" s="2">
        <v>0</v>
      </c>
      <c r="OZ22">
        <v>952</v>
      </c>
      <c r="PA22" s="2">
        <v>0</v>
      </c>
      <c r="PB22" s="2">
        <v>0</v>
      </c>
      <c r="PC22" s="2">
        <v>1150</v>
      </c>
      <c r="PD22" s="2">
        <v>0</v>
      </c>
      <c r="PE22" s="2">
        <v>0</v>
      </c>
      <c r="PF22" s="2">
        <v>1224</v>
      </c>
      <c r="PG22" s="2">
        <v>0</v>
      </c>
      <c r="PH22" s="2">
        <v>0</v>
      </c>
      <c r="PI22" s="2">
        <v>1003</v>
      </c>
      <c r="PJ22" s="2">
        <f t="shared" si="35"/>
        <v>4329</v>
      </c>
      <c r="PK22" s="2">
        <v>0</v>
      </c>
      <c r="PL22" s="2">
        <v>0</v>
      </c>
      <c r="PM22">
        <v>219</v>
      </c>
      <c r="PN22" s="2">
        <v>0</v>
      </c>
      <c r="PO22" s="2">
        <v>0</v>
      </c>
      <c r="PP22">
        <v>213</v>
      </c>
      <c r="PQ22" s="2">
        <v>0</v>
      </c>
      <c r="PR22" s="2">
        <v>0</v>
      </c>
      <c r="PS22">
        <v>358</v>
      </c>
      <c r="PT22" s="2">
        <v>0</v>
      </c>
      <c r="PU22" s="2">
        <v>0</v>
      </c>
      <c r="PV22">
        <v>319</v>
      </c>
      <c r="PW22">
        <f t="shared" si="36"/>
        <v>1109</v>
      </c>
      <c r="PX22" s="2">
        <v>0</v>
      </c>
      <c r="PY22" s="2">
        <v>0</v>
      </c>
      <c r="PZ22" s="2">
        <v>7344</v>
      </c>
      <c r="QA22" s="2">
        <v>0</v>
      </c>
      <c r="QB22" s="2">
        <v>0</v>
      </c>
      <c r="QC22" s="2">
        <v>7341</v>
      </c>
      <c r="QD22" s="2">
        <v>0</v>
      </c>
      <c r="QE22" s="2">
        <v>0</v>
      </c>
      <c r="QF22" s="2">
        <v>7885</v>
      </c>
      <c r="QG22" s="2">
        <v>0</v>
      </c>
      <c r="QH22" s="2">
        <v>0</v>
      </c>
      <c r="QI22" s="2">
        <v>9539</v>
      </c>
      <c r="QJ22" s="2">
        <f t="shared" si="37"/>
        <v>32109</v>
      </c>
      <c r="QK22" s="2">
        <v>32452</v>
      </c>
      <c r="QL22" s="2">
        <v>33761</v>
      </c>
      <c r="QM22" s="2">
        <v>31684</v>
      </c>
      <c r="QN22" s="2">
        <v>35056</v>
      </c>
      <c r="QO22" s="2">
        <v>33691</v>
      </c>
      <c r="QP22" s="2">
        <v>35156</v>
      </c>
      <c r="QQ22" s="2">
        <v>40370</v>
      </c>
      <c r="QR22" s="2">
        <v>34540</v>
      </c>
      <c r="QS22" s="2">
        <v>33767</v>
      </c>
      <c r="QT22" s="2">
        <v>39180</v>
      </c>
      <c r="QU22" s="2">
        <v>34325</v>
      </c>
      <c r="QV22" s="2">
        <v>34859</v>
      </c>
      <c r="QW22" s="2">
        <f t="shared" si="38"/>
        <v>418841</v>
      </c>
      <c r="QX22">
        <v>0</v>
      </c>
      <c r="QY22" s="2">
        <v>0</v>
      </c>
      <c r="QZ22" s="2">
        <v>0</v>
      </c>
      <c r="RA22" s="2">
        <v>0</v>
      </c>
      <c r="RB22" s="2">
        <v>0</v>
      </c>
      <c r="RC22" s="2">
        <v>0</v>
      </c>
      <c r="RD22" s="2">
        <v>0</v>
      </c>
      <c r="RE22" s="2">
        <v>0</v>
      </c>
      <c r="RF22" s="2">
        <v>0</v>
      </c>
      <c r="RG22" s="2">
        <v>0</v>
      </c>
      <c r="RH22" s="2">
        <v>0</v>
      </c>
      <c r="RI22" s="2">
        <v>0</v>
      </c>
      <c r="RJ22" s="2">
        <f t="shared" si="39"/>
        <v>0</v>
      </c>
      <c r="RK22">
        <v>0</v>
      </c>
      <c r="RL22" s="2">
        <v>0</v>
      </c>
      <c r="RM22" s="2">
        <v>0</v>
      </c>
      <c r="RN22" s="2">
        <v>0</v>
      </c>
      <c r="RO22" s="2">
        <v>0</v>
      </c>
      <c r="RP22" s="2">
        <v>0</v>
      </c>
      <c r="RQ22" s="2">
        <v>0</v>
      </c>
      <c r="RR22" s="2">
        <v>0</v>
      </c>
      <c r="RS22" s="2">
        <v>0</v>
      </c>
      <c r="RT22" s="2">
        <v>0</v>
      </c>
      <c r="RU22" s="2">
        <v>0</v>
      </c>
      <c r="RV22" s="2">
        <v>0</v>
      </c>
      <c r="RW22" s="2">
        <f t="shared" si="40"/>
        <v>0</v>
      </c>
      <c r="RX22">
        <v>0</v>
      </c>
      <c r="RY22" s="2">
        <v>0</v>
      </c>
      <c r="RZ22" s="2">
        <v>0</v>
      </c>
      <c r="SA22" s="2">
        <v>0</v>
      </c>
      <c r="SB22" s="2">
        <v>0</v>
      </c>
      <c r="SC22" s="2">
        <v>0</v>
      </c>
      <c r="SD22" s="2">
        <v>0</v>
      </c>
      <c r="SE22" s="2">
        <v>0</v>
      </c>
      <c r="SF22" s="2">
        <v>0</v>
      </c>
      <c r="SG22" s="2">
        <v>0</v>
      </c>
      <c r="SH22" s="2">
        <v>0</v>
      </c>
      <c r="SI22" s="2">
        <v>0</v>
      </c>
      <c r="SJ22" s="2">
        <f t="shared" si="41"/>
        <v>0</v>
      </c>
      <c r="SK22">
        <v>5</v>
      </c>
      <c r="SL22">
        <v>5</v>
      </c>
      <c r="SM22">
        <v>5</v>
      </c>
      <c r="SN22">
        <v>9</v>
      </c>
      <c r="SO22">
        <v>5</v>
      </c>
      <c r="SP22">
        <v>4</v>
      </c>
      <c r="SQ22">
        <v>2</v>
      </c>
      <c r="SR22">
        <v>6</v>
      </c>
      <c r="SS22">
        <v>5</v>
      </c>
      <c r="ST22">
        <v>7</v>
      </c>
      <c r="SU22">
        <v>4</v>
      </c>
      <c r="SV22">
        <v>7</v>
      </c>
      <c r="SW22">
        <f t="shared" si="42"/>
        <v>64</v>
      </c>
      <c r="SX22">
        <v>0</v>
      </c>
      <c r="SY22">
        <v>0</v>
      </c>
      <c r="SZ22">
        <v>0</v>
      </c>
      <c r="TA22" s="2">
        <v>5107</v>
      </c>
      <c r="TB22">
        <v>0</v>
      </c>
      <c r="TC22">
        <v>0</v>
      </c>
      <c r="TD22" s="2">
        <v>5065</v>
      </c>
      <c r="TE22">
        <v>0</v>
      </c>
      <c r="TF22">
        <v>0</v>
      </c>
      <c r="TG22" s="2">
        <v>4652</v>
      </c>
      <c r="TH22">
        <v>0</v>
      </c>
      <c r="TI22">
        <v>0</v>
      </c>
      <c r="TJ22" s="2">
        <v>5207</v>
      </c>
      <c r="TK22" s="2">
        <f t="shared" si="43"/>
        <v>20031</v>
      </c>
      <c r="TL22">
        <v>0</v>
      </c>
      <c r="TM22">
        <v>0</v>
      </c>
      <c r="TN22">
        <v>0</v>
      </c>
      <c r="TO22">
        <v>0</v>
      </c>
      <c r="TP22">
        <v>0</v>
      </c>
      <c r="TQ22">
        <v>0</v>
      </c>
      <c r="TR22">
        <v>0</v>
      </c>
      <c r="TS22">
        <v>0</v>
      </c>
      <c r="TT22">
        <v>0</v>
      </c>
      <c r="TU22">
        <v>0</v>
      </c>
      <c r="TV22">
        <v>0</v>
      </c>
      <c r="TW22">
        <v>0</v>
      </c>
      <c r="TX22">
        <f t="shared" si="44"/>
        <v>0</v>
      </c>
      <c r="TY22">
        <v>53</v>
      </c>
      <c r="TZ22">
        <v>0</v>
      </c>
      <c r="UA22">
        <v>0</v>
      </c>
      <c r="UB22">
        <v>4</v>
      </c>
    </row>
    <row r="23" spans="1:548" ht="16.5" customHeight="1" x14ac:dyDescent="0.35">
      <c r="A23" t="s">
        <v>1362</v>
      </c>
      <c r="B23" t="s">
        <v>2864</v>
      </c>
      <c r="C23">
        <v>44787</v>
      </c>
      <c r="D23">
        <v>14266</v>
      </c>
      <c r="E23">
        <v>3588</v>
      </c>
      <c r="F23">
        <v>26933</v>
      </c>
      <c r="G23">
        <v>0</v>
      </c>
      <c r="H23">
        <v>0</v>
      </c>
      <c r="I23">
        <v>0</v>
      </c>
      <c r="J23">
        <v>0</v>
      </c>
      <c r="K23">
        <v>0</v>
      </c>
      <c r="L23">
        <v>0</v>
      </c>
      <c r="M23">
        <v>0</v>
      </c>
      <c r="N23">
        <v>0</v>
      </c>
      <c r="O23">
        <v>0</v>
      </c>
      <c r="P23">
        <v>0</v>
      </c>
      <c r="Q23">
        <v>0</v>
      </c>
      <c r="R23">
        <v>0</v>
      </c>
      <c r="S23">
        <f t="shared" si="0"/>
        <v>0</v>
      </c>
      <c r="T23">
        <v>0</v>
      </c>
      <c r="U23">
        <v>0</v>
      </c>
      <c r="V23">
        <v>0</v>
      </c>
      <c r="W23">
        <v>0</v>
      </c>
      <c r="X23">
        <v>0</v>
      </c>
      <c r="Y23">
        <v>0</v>
      </c>
      <c r="Z23">
        <v>0</v>
      </c>
      <c r="AA23">
        <v>0</v>
      </c>
      <c r="AB23">
        <v>0</v>
      </c>
      <c r="AC23">
        <v>0</v>
      </c>
      <c r="AD23">
        <v>0</v>
      </c>
      <c r="AE23">
        <v>0</v>
      </c>
      <c r="AF23">
        <f t="shared" si="1"/>
        <v>0</v>
      </c>
      <c r="AG23">
        <v>0</v>
      </c>
      <c r="AH23">
        <v>0</v>
      </c>
      <c r="AI23">
        <v>0</v>
      </c>
      <c r="AJ23">
        <v>0</v>
      </c>
      <c r="AK23">
        <v>0</v>
      </c>
      <c r="AL23">
        <v>0</v>
      </c>
      <c r="AM23">
        <v>0</v>
      </c>
      <c r="AN23">
        <v>0</v>
      </c>
      <c r="AO23">
        <v>0</v>
      </c>
      <c r="AP23">
        <v>0</v>
      </c>
      <c r="AQ23">
        <v>0</v>
      </c>
      <c r="AR23">
        <v>0</v>
      </c>
      <c r="AS23">
        <f t="shared" si="2"/>
        <v>0</v>
      </c>
      <c r="AT23">
        <v>0</v>
      </c>
      <c r="AU23">
        <v>0</v>
      </c>
      <c r="AV23">
        <v>0</v>
      </c>
      <c r="AW23">
        <v>0</v>
      </c>
      <c r="AX23">
        <v>0</v>
      </c>
      <c r="AY23">
        <v>0</v>
      </c>
      <c r="AZ23">
        <v>0</v>
      </c>
      <c r="BA23">
        <v>0</v>
      </c>
      <c r="BB23">
        <v>0</v>
      </c>
      <c r="BC23">
        <v>0</v>
      </c>
      <c r="BD23">
        <v>0</v>
      </c>
      <c r="BE23">
        <v>0</v>
      </c>
      <c r="BF23">
        <f t="shared" si="3"/>
        <v>0</v>
      </c>
      <c r="BG23">
        <v>0</v>
      </c>
      <c r="BH23">
        <v>0</v>
      </c>
      <c r="BI23">
        <v>0</v>
      </c>
      <c r="BJ23">
        <v>0</v>
      </c>
      <c r="BK23">
        <v>0</v>
      </c>
      <c r="BL23">
        <v>0</v>
      </c>
      <c r="BM23">
        <v>0</v>
      </c>
      <c r="BN23">
        <v>0</v>
      </c>
      <c r="BO23">
        <v>0</v>
      </c>
      <c r="BP23">
        <v>0</v>
      </c>
      <c r="BQ23">
        <v>0</v>
      </c>
      <c r="BR23">
        <v>0</v>
      </c>
      <c r="BS23">
        <f t="shared" si="4"/>
        <v>0</v>
      </c>
      <c r="BT23">
        <v>0</v>
      </c>
      <c r="BU23">
        <v>0</v>
      </c>
      <c r="BV23">
        <v>0</v>
      </c>
      <c r="BW23">
        <v>0</v>
      </c>
      <c r="BX23">
        <v>0</v>
      </c>
      <c r="BY23">
        <v>0</v>
      </c>
      <c r="BZ23">
        <v>0</v>
      </c>
      <c r="CA23">
        <v>0</v>
      </c>
      <c r="CB23">
        <v>0</v>
      </c>
      <c r="CC23">
        <v>0</v>
      </c>
      <c r="CD23">
        <v>0</v>
      </c>
      <c r="CE23">
        <v>0</v>
      </c>
      <c r="CF23">
        <f t="shared" si="5"/>
        <v>0</v>
      </c>
      <c r="CG23">
        <v>0</v>
      </c>
      <c r="CH23">
        <v>0</v>
      </c>
      <c r="CI23">
        <v>0</v>
      </c>
      <c r="CJ23">
        <v>0</v>
      </c>
      <c r="CK23">
        <v>0</v>
      </c>
      <c r="CL23">
        <v>0</v>
      </c>
      <c r="CM23">
        <v>0</v>
      </c>
      <c r="CN23">
        <v>0</v>
      </c>
      <c r="CO23">
        <v>0</v>
      </c>
      <c r="CP23">
        <v>0</v>
      </c>
      <c r="CQ23">
        <v>0</v>
      </c>
      <c r="CR23">
        <v>0</v>
      </c>
      <c r="CS23">
        <f t="shared" si="6"/>
        <v>0</v>
      </c>
      <c r="CT23">
        <v>0</v>
      </c>
      <c r="CU23">
        <v>0</v>
      </c>
      <c r="CV23">
        <v>0</v>
      </c>
      <c r="CW23">
        <v>0</v>
      </c>
      <c r="CX23">
        <v>0</v>
      </c>
      <c r="CY23">
        <v>0</v>
      </c>
      <c r="CZ23">
        <v>0</v>
      </c>
      <c r="DA23">
        <v>0</v>
      </c>
      <c r="DB23">
        <v>0</v>
      </c>
      <c r="DC23">
        <v>0</v>
      </c>
      <c r="DD23">
        <v>0</v>
      </c>
      <c r="DE23">
        <v>0</v>
      </c>
      <c r="DF23">
        <f t="shared" si="7"/>
        <v>0</v>
      </c>
      <c r="DG23">
        <v>0</v>
      </c>
      <c r="DH23">
        <v>0</v>
      </c>
      <c r="DI23">
        <v>0</v>
      </c>
      <c r="DJ23">
        <v>0</v>
      </c>
      <c r="DK23">
        <v>0</v>
      </c>
      <c r="DL23">
        <v>0</v>
      </c>
      <c r="DM23">
        <v>0</v>
      </c>
      <c r="DN23">
        <v>0</v>
      </c>
      <c r="DO23">
        <v>0</v>
      </c>
      <c r="DP23">
        <v>0</v>
      </c>
      <c r="DQ23">
        <v>0</v>
      </c>
      <c r="DR23">
        <v>0</v>
      </c>
      <c r="DS23">
        <f t="shared" si="8"/>
        <v>0</v>
      </c>
      <c r="DT23">
        <v>0</v>
      </c>
      <c r="DU23">
        <v>0</v>
      </c>
      <c r="DV23">
        <v>0</v>
      </c>
      <c r="DW23">
        <v>0</v>
      </c>
      <c r="DX23">
        <v>0</v>
      </c>
      <c r="DY23">
        <v>0</v>
      </c>
      <c r="DZ23">
        <v>0</v>
      </c>
      <c r="EA23">
        <v>0</v>
      </c>
      <c r="EB23">
        <v>0</v>
      </c>
      <c r="EC23">
        <v>0</v>
      </c>
      <c r="ED23">
        <v>0</v>
      </c>
      <c r="EE23">
        <v>0</v>
      </c>
      <c r="EF23">
        <f t="shared" si="9"/>
        <v>0</v>
      </c>
      <c r="EG23">
        <f t="shared" si="10"/>
        <v>0</v>
      </c>
      <c r="EH23">
        <f t="shared" si="11"/>
        <v>0</v>
      </c>
      <c r="EI23">
        <v>0</v>
      </c>
      <c r="EJ23">
        <v>0</v>
      </c>
      <c r="EK23">
        <v>0</v>
      </c>
      <c r="EL23">
        <v>0</v>
      </c>
      <c r="EM23">
        <v>0</v>
      </c>
      <c r="EN23">
        <v>0</v>
      </c>
      <c r="EO23">
        <v>0</v>
      </c>
      <c r="EP23">
        <v>0</v>
      </c>
      <c r="EQ23">
        <v>0</v>
      </c>
      <c r="ER23">
        <v>0</v>
      </c>
      <c r="ES23">
        <v>0</v>
      </c>
      <c r="ET23">
        <v>0</v>
      </c>
      <c r="EU23">
        <f t="shared" si="12"/>
        <v>0</v>
      </c>
      <c r="EV23">
        <v>0</v>
      </c>
      <c r="EW23">
        <v>0</v>
      </c>
      <c r="EX23">
        <v>0</v>
      </c>
      <c r="EY23">
        <v>0</v>
      </c>
      <c r="EZ23">
        <v>0</v>
      </c>
      <c r="FA23">
        <v>0</v>
      </c>
      <c r="FB23">
        <v>0</v>
      </c>
      <c r="FC23">
        <v>0</v>
      </c>
      <c r="FD23">
        <v>0</v>
      </c>
      <c r="FE23">
        <v>0</v>
      </c>
      <c r="FF23">
        <v>0</v>
      </c>
      <c r="FG23">
        <v>0</v>
      </c>
      <c r="FH23">
        <f t="shared" si="13"/>
        <v>0</v>
      </c>
      <c r="FI23">
        <v>0</v>
      </c>
      <c r="FJ23">
        <v>0</v>
      </c>
      <c r="FK23">
        <v>0</v>
      </c>
      <c r="FL23">
        <v>0</v>
      </c>
      <c r="FM23">
        <v>0</v>
      </c>
      <c r="FN23">
        <v>0</v>
      </c>
      <c r="FO23">
        <v>0</v>
      </c>
      <c r="FP23">
        <v>0</v>
      </c>
      <c r="FQ23">
        <v>0</v>
      </c>
      <c r="FR23">
        <v>0</v>
      </c>
      <c r="FS23">
        <v>0</v>
      </c>
      <c r="FT23">
        <v>0</v>
      </c>
      <c r="FU23">
        <f t="shared" si="14"/>
        <v>0</v>
      </c>
      <c r="FV23">
        <v>0</v>
      </c>
      <c r="FW23">
        <v>0</v>
      </c>
      <c r="FX23">
        <v>0</v>
      </c>
      <c r="FY23">
        <v>0</v>
      </c>
      <c r="FZ23">
        <v>0</v>
      </c>
      <c r="GA23">
        <v>0</v>
      </c>
      <c r="GB23">
        <v>0</v>
      </c>
      <c r="GC23">
        <v>0</v>
      </c>
      <c r="GD23">
        <v>0</v>
      </c>
      <c r="GE23">
        <v>0</v>
      </c>
      <c r="GF23">
        <v>0</v>
      </c>
      <c r="GG23">
        <v>0</v>
      </c>
      <c r="GH23">
        <f t="shared" si="15"/>
        <v>0</v>
      </c>
      <c r="GI23">
        <v>0</v>
      </c>
      <c r="GJ23">
        <v>0</v>
      </c>
      <c r="GK23">
        <v>0</v>
      </c>
      <c r="GL23">
        <v>0</v>
      </c>
      <c r="GM23">
        <v>0</v>
      </c>
      <c r="GN23">
        <v>0</v>
      </c>
      <c r="GO23">
        <v>0</v>
      </c>
      <c r="GP23">
        <v>0</v>
      </c>
      <c r="GQ23">
        <v>0</v>
      </c>
      <c r="GR23">
        <v>0</v>
      </c>
      <c r="GS23">
        <v>0</v>
      </c>
      <c r="GT23">
        <v>0</v>
      </c>
      <c r="GU23">
        <f t="shared" si="16"/>
        <v>0</v>
      </c>
      <c r="GV23">
        <v>0</v>
      </c>
      <c r="GW23">
        <v>0</v>
      </c>
      <c r="GX23">
        <v>0</v>
      </c>
      <c r="GY23">
        <v>0</v>
      </c>
      <c r="GZ23">
        <v>0</v>
      </c>
      <c r="HA23">
        <v>0</v>
      </c>
      <c r="HB23">
        <v>0</v>
      </c>
      <c r="HC23">
        <v>0</v>
      </c>
      <c r="HD23">
        <v>0</v>
      </c>
      <c r="HE23">
        <v>0</v>
      </c>
      <c r="HF23">
        <v>0</v>
      </c>
      <c r="HG23">
        <v>0</v>
      </c>
      <c r="HH23">
        <f t="shared" si="17"/>
        <v>0</v>
      </c>
      <c r="HI23">
        <v>0</v>
      </c>
      <c r="HJ23">
        <v>0</v>
      </c>
      <c r="HK23">
        <v>0</v>
      </c>
      <c r="HL23">
        <v>0</v>
      </c>
      <c r="HM23">
        <v>0</v>
      </c>
      <c r="HN23">
        <v>0</v>
      </c>
      <c r="HO23">
        <v>0</v>
      </c>
      <c r="HP23">
        <v>0</v>
      </c>
      <c r="HQ23">
        <v>0</v>
      </c>
      <c r="HR23">
        <v>0</v>
      </c>
      <c r="HS23">
        <v>0</v>
      </c>
      <c r="HT23">
        <v>0</v>
      </c>
      <c r="HU23">
        <f t="shared" si="18"/>
        <v>0</v>
      </c>
      <c r="HV23">
        <v>0</v>
      </c>
      <c r="HW23">
        <v>0</v>
      </c>
      <c r="HX23">
        <v>0</v>
      </c>
      <c r="HY23">
        <v>0</v>
      </c>
      <c r="HZ23">
        <v>0</v>
      </c>
      <c r="IA23">
        <v>0</v>
      </c>
      <c r="IB23">
        <v>0</v>
      </c>
      <c r="IC23">
        <v>0</v>
      </c>
      <c r="ID23">
        <v>0</v>
      </c>
      <c r="IE23">
        <v>0</v>
      </c>
      <c r="IF23">
        <v>0</v>
      </c>
      <c r="IG23">
        <v>0</v>
      </c>
      <c r="IH23">
        <f t="shared" si="19"/>
        <v>0</v>
      </c>
      <c r="II23">
        <f t="shared" si="20"/>
        <v>0</v>
      </c>
      <c r="IJ23">
        <f t="shared" si="21"/>
        <v>0</v>
      </c>
      <c r="IK23">
        <v>59023</v>
      </c>
      <c r="IL23">
        <v>59893</v>
      </c>
      <c r="IM23">
        <v>54799</v>
      </c>
      <c r="IN23">
        <v>80517</v>
      </c>
      <c r="IO23">
        <v>81427</v>
      </c>
      <c r="IP23">
        <v>65692</v>
      </c>
      <c r="IQ23">
        <v>66649</v>
      </c>
      <c r="IR23">
        <v>57005</v>
      </c>
      <c r="IS23">
        <v>43810</v>
      </c>
      <c r="IT23">
        <v>59746</v>
      </c>
      <c r="IU23">
        <v>60154</v>
      </c>
      <c r="IV23">
        <v>57150</v>
      </c>
      <c r="IW23">
        <f t="shared" si="22"/>
        <v>745865</v>
      </c>
      <c r="IX23">
        <v>17506</v>
      </c>
      <c r="IY23">
        <v>17310</v>
      </c>
      <c r="IZ23">
        <v>15108</v>
      </c>
      <c r="JA23">
        <v>32948</v>
      </c>
      <c r="JB23">
        <v>35242</v>
      </c>
      <c r="JC23">
        <v>21818</v>
      </c>
      <c r="JD23">
        <v>21378</v>
      </c>
      <c r="JE23">
        <v>17424</v>
      </c>
      <c r="JF23">
        <v>11438</v>
      </c>
      <c r="JG23">
        <v>18178</v>
      </c>
      <c r="JH23">
        <v>20270</v>
      </c>
      <c r="JI23">
        <v>17274</v>
      </c>
      <c r="JJ23">
        <f t="shared" si="23"/>
        <v>245894</v>
      </c>
      <c r="JK23">
        <v>2696</v>
      </c>
      <c r="JL23">
        <v>2746</v>
      </c>
      <c r="JM23">
        <v>2310</v>
      </c>
      <c r="JN23">
        <v>4507</v>
      </c>
      <c r="JO23">
        <v>4156</v>
      </c>
      <c r="JP23">
        <v>2704</v>
      </c>
      <c r="JQ23">
        <v>2734</v>
      </c>
      <c r="JR23">
        <v>2115</v>
      </c>
      <c r="JS23">
        <v>1437</v>
      </c>
      <c r="JT23">
        <v>2058</v>
      </c>
      <c r="JU23">
        <v>2224</v>
      </c>
      <c r="JV23">
        <v>1716</v>
      </c>
      <c r="JW23">
        <f t="shared" si="24"/>
        <v>31403</v>
      </c>
      <c r="JX23">
        <v>38821</v>
      </c>
      <c r="JY23">
        <v>39837</v>
      </c>
      <c r="JZ23">
        <v>37381</v>
      </c>
      <c r="KA23">
        <v>43062</v>
      </c>
      <c r="KB23">
        <v>42029</v>
      </c>
      <c r="KC23">
        <v>41170</v>
      </c>
      <c r="KD23">
        <v>42537</v>
      </c>
      <c r="KE23">
        <v>37466</v>
      </c>
      <c r="KF23">
        <v>30935</v>
      </c>
      <c r="KG23">
        <v>39510</v>
      </c>
      <c r="KH23">
        <v>37660</v>
      </c>
      <c r="KI23">
        <v>38160</v>
      </c>
      <c r="KJ23">
        <f t="shared" si="25"/>
        <v>468568</v>
      </c>
      <c r="KK23">
        <v>630</v>
      </c>
      <c r="KL23">
        <v>727</v>
      </c>
      <c r="KM23">
        <v>544</v>
      </c>
      <c r="KN23">
        <v>665</v>
      </c>
      <c r="KO23">
        <v>628</v>
      </c>
      <c r="KP23">
        <v>604</v>
      </c>
      <c r="KQ23">
        <v>614</v>
      </c>
      <c r="KR23">
        <v>561</v>
      </c>
      <c r="KS23">
        <v>581</v>
      </c>
      <c r="KT23">
        <v>659</v>
      </c>
      <c r="KU23">
        <v>659</v>
      </c>
      <c r="KV23">
        <v>615</v>
      </c>
      <c r="KW23">
        <f t="shared" si="26"/>
        <v>7487</v>
      </c>
      <c r="KX23">
        <v>21</v>
      </c>
      <c r="KY23">
        <v>18</v>
      </c>
      <c r="KZ23">
        <v>12</v>
      </c>
      <c r="LA23">
        <v>24</v>
      </c>
      <c r="LB23">
        <v>46</v>
      </c>
      <c r="LC23">
        <v>16</v>
      </c>
      <c r="LD23">
        <v>29</v>
      </c>
      <c r="LE23">
        <v>19</v>
      </c>
      <c r="LF23">
        <v>7</v>
      </c>
      <c r="LG23">
        <v>16</v>
      </c>
      <c r="LH23">
        <v>19</v>
      </c>
      <c r="LI23">
        <v>11</v>
      </c>
      <c r="LJ23">
        <f t="shared" si="27"/>
        <v>238</v>
      </c>
      <c r="LK23">
        <v>4</v>
      </c>
      <c r="LL23">
        <v>8</v>
      </c>
      <c r="LM23">
        <v>6</v>
      </c>
      <c r="LN23">
        <v>5</v>
      </c>
      <c r="LO23">
        <v>13</v>
      </c>
      <c r="LP23">
        <v>2</v>
      </c>
      <c r="LQ23">
        <v>3</v>
      </c>
      <c r="LR23">
        <v>3</v>
      </c>
      <c r="LS23">
        <v>1</v>
      </c>
      <c r="LT23">
        <v>11</v>
      </c>
      <c r="LU23">
        <v>11</v>
      </c>
      <c r="LV23">
        <v>3</v>
      </c>
      <c r="LW23">
        <f t="shared" si="28"/>
        <v>70</v>
      </c>
      <c r="LX23">
        <v>605</v>
      </c>
      <c r="LY23">
        <v>701</v>
      </c>
      <c r="LZ23">
        <v>526</v>
      </c>
      <c r="MA23">
        <v>636</v>
      </c>
      <c r="MB23">
        <v>569</v>
      </c>
      <c r="MC23">
        <v>586</v>
      </c>
      <c r="MD23">
        <v>582</v>
      </c>
      <c r="ME23">
        <v>573</v>
      </c>
      <c r="MF23">
        <v>632</v>
      </c>
      <c r="MG23">
        <v>629</v>
      </c>
      <c r="MH23">
        <v>601</v>
      </c>
      <c r="MI23">
        <v>540</v>
      </c>
      <c r="MJ23">
        <f t="shared" si="29"/>
        <v>7180</v>
      </c>
      <c r="MK23">
        <v>12999</v>
      </c>
      <c r="ML23">
        <v>13245</v>
      </c>
      <c r="MM23">
        <v>12956</v>
      </c>
      <c r="MN23">
        <v>12440</v>
      </c>
      <c r="MO23">
        <v>13153</v>
      </c>
      <c r="MP23">
        <v>12805</v>
      </c>
      <c r="MQ23">
        <v>12695</v>
      </c>
      <c r="MR23">
        <v>12032</v>
      </c>
      <c r="MS23">
        <v>11707</v>
      </c>
      <c r="MT23">
        <v>13097</v>
      </c>
      <c r="MU23">
        <v>13010</v>
      </c>
      <c r="MV23">
        <v>13952</v>
      </c>
      <c r="MW23">
        <f t="shared" si="30"/>
        <v>154091</v>
      </c>
      <c r="MX23">
        <v>0</v>
      </c>
      <c r="MY23">
        <v>0</v>
      </c>
      <c r="MZ23">
        <v>0</v>
      </c>
      <c r="NA23">
        <v>0</v>
      </c>
      <c r="NB23">
        <v>0</v>
      </c>
      <c r="NC23">
        <v>0</v>
      </c>
      <c r="ND23">
        <v>0</v>
      </c>
      <c r="NE23">
        <v>0</v>
      </c>
      <c r="NF23">
        <v>0</v>
      </c>
      <c r="NG23">
        <v>0</v>
      </c>
      <c r="NH23">
        <v>0</v>
      </c>
      <c r="NI23">
        <v>0</v>
      </c>
      <c r="NJ23">
        <f t="shared" si="31"/>
        <v>0</v>
      </c>
      <c r="NK23">
        <v>0</v>
      </c>
      <c r="NL23">
        <v>0</v>
      </c>
      <c r="NM23">
        <v>0</v>
      </c>
      <c r="NN23">
        <v>0</v>
      </c>
      <c r="NO23">
        <v>0</v>
      </c>
      <c r="NP23">
        <v>0</v>
      </c>
      <c r="NQ23">
        <v>0</v>
      </c>
      <c r="NR23">
        <v>0</v>
      </c>
      <c r="NS23">
        <v>0</v>
      </c>
      <c r="NT23">
        <v>0</v>
      </c>
      <c r="NU23">
        <v>0</v>
      </c>
      <c r="NV23">
        <v>0</v>
      </c>
      <c r="NW23">
        <f t="shared" si="32"/>
        <v>0</v>
      </c>
      <c r="NX23">
        <v>0</v>
      </c>
      <c r="NY23">
        <v>0</v>
      </c>
      <c r="NZ23">
        <v>0</v>
      </c>
      <c r="OA23">
        <v>0</v>
      </c>
      <c r="OB23">
        <v>0</v>
      </c>
      <c r="OC23">
        <v>0</v>
      </c>
      <c r="OD23">
        <v>0</v>
      </c>
      <c r="OE23">
        <v>0</v>
      </c>
      <c r="OF23">
        <v>0</v>
      </c>
      <c r="OG23">
        <v>0</v>
      </c>
      <c r="OH23">
        <v>0</v>
      </c>
      <c r="OI23">
        <v>0</v>
      </c>
      <c r="OJ23">
        <f t="shared" si="33"/>
        <v>0</v>
      </c>
      <c r="OK23">
        <v>30599</v>
      </c>
      <c r="OL23">
        <v>30896</v>
      </c>
      <c r="OM23">
        <v>32656</v>
      </c>
      <c r="ON23">
        <v>43552</v>
      </c>
      <c r="OO23">
        <v>45822</v>
      </c>
      <c r="OP23">
        <v>45234</v>
      </c>
      <c r="OQ23">
        <v>47183</v>
      </c>
      <c r="OR23">
        <v>44762</v>
      </c>
      <c r="OS23">
        <v>43546</v>
      </c>
      <c r="OT23">
        <v>47234</v>
      </c>
      <c r="OU23">
        <v>45384</v>
      </c>
      <c r="OV23">
        <v>49739</v>
      </c>
      <c r="OW23">
        <f t="shared" si="34"/>
        <v>506607</v>
      </c>
      <c r="OX23">
        <v>0</v>
      </c>
      <c r="OY23">
        <v>0</v>
      </c>
      <c r="OZ23">
        <v>0</v>
      </c>
      <c r="PA23">
        <v>0</v>
      </c>
      <c r="PB23">
        <v>0</v>
      </c>
      <c r="PC23">
        <v>0</v>
      </c>
      <c r="PD23">
        <v>0</v>
      </c>
      <c r="PE23">
        <v>0</v>
      </c>
      <c r="PF23">
        <v>0</v>
      </c>
      <c r="PG23">
        <v>0</v>
      </c>
      <c r="PH23">
        <v>0</v>
      </c>
      <c r="PI23">
        <v>0</v>
      </c>
      <c r="PJ23">
        <f t="shared" si="35"/>
        <v>0</v>
      </c>
      <c r="PK23">
        <v>0</v>
      </c>
      <c r="PL23">
        <v>0</v>
      </c>
      <c r="PM23">
        <v>0</v>
      </c>
      <c r="PN23">
        <v>0</v>
      </c>
      <c r="PO23">
        <v>0</v>
      </c>
      <c r="PP23">
        <v>0</v>
      </c>
      <c r="PQ23">
        <v>0</v>
      </c>
      <c r="PR23">
        <v>0</v>
      </c>
      <c r="PS23">
        <v>0</v>
      </c>
      <c r="PT23">
        <v>0</v>
      </c>
      <c r="PU23">
        <v>0</v>
      </c>
      <c r="PV23">
        <v>0</v>
      </c>
      <c r="PW23">
        <f t="shared" si="36"/>
        <v>0</v>
      </c>
      <c r="PX23">
        <v>0</v>
      </c>
      <c r="PY23">
        <v>0</v>
      </c>
      <c r="PZ23">
        <v>0</v>
      </c>
      <c r="QA23">
        <v>0</v>
      </c>
      <c r="QB23">
        <v>0</v>
      </c>
      <c r="QC23">
        <v>0</v>
      </c>
      <c r="QD23">
        <v>0</v>
      </c>
      <c r="QE23">
        <v>0</v>
      </c>
      <c r="QF23">
        <v>0</v>
      </c>
      <c r="QG23">
        <v>0</v>
      </c>
      <c r="QH23">
        <v>0</v>
      </c>
      <c r="QI23">
        <v>0</v>
      </c>
      <c r="QJ23">
        <f t="shared" si="37"/>
        <v>0</v>
      </c>
      <c r="QK23">
        <v>0</v>
      </c>
      <c r="QL23">
        <v>0</v>
      </c>
      <c r="QM23">
        <v>0</v>
      </c>
      <c r="QN23">
        <v>0</v>
      </c>
      <c r="QO23">
        <v>0</v>
      </c>
      <c r="QP23">
        <v>0</v>
      </c>
      <c r="QQ23">
        <v>0</v>
      </c>
      <c r="QR23">
        <v>0</v>
      </c>
      <c r="QS23">
        <v>0</v>
      </c>
      <c r="QT23">
        <v>0</v>
      </c>
      <c r="QU23">
        <v>0</v>
      </c>
      <c r="QV23">
        <v>0</v>
      </c>
      <c r="QW23">
        <f t="shared" si="38"/>
        <v>0</v>
      </c>
      <c r="QX23">
        <v>0</v>
      </c>
      <c r="QY23">
        <v>0</v>
      </c>
      <c r="QZ23">
        <v>0</v>
      </c>
      <c r="RA23">
        <v>0</v>
      </c>
      <c r="RB23">
        <v>0</v>
      </c>
      <c r="RC23">
        <v>0</v>
      </c>
      <c r="RD23">
        <v>0</v>
      </c>
      <c r="RE23">
        <v>0</v>
      </c>
      <c r="RF23">
        <v>0</v>
      </c>
      <c r="RG23">
        <v>0</v>
      </c>
      <c r="RH23">
        <v>0</v>
      </c>
      <c r="RI23">
        <v>0</v>
      </c>
      <c r="RJ23">
        <f t="shared" si="39"/>
        <v>0</v>
      </c>
      <c r="RK23">
        <v>0</v>
      </c>
      <c r="RL23">
        <v>0</v>
      </c>
      <c r="RM23">
        <v>0</v>
      </c>
      <c r="RN23">
        <v>0</v>
      </c>
      <c r="RO23">
        <v>0</v>
      </c>
      <c r="RP23">
        <v>0</v>
      </c>
      <c r="RQ23">
        <v>0</v>
      </c>
      <c r="RR23">
        <v>0</v>
      </c>
      <c r="RS23">
        <v>0</v>
      </c>
      <c r="RT23">
        <v>0</v>
      </c>
      <c r="RU23">
        <v>0</v>
      </c>
      <c r="RV23">
        <v>0</v>
      </c>
      <c r="RW23">
        <f t="shared" si="40"/>
        <v>0</v>
      </c>
      <c r="RX23">
        <v>3107</v>
      </c>
      <c r="RY23">
        <v>3023</v>
      </c>
      <c r="RZ23">
        <v>2888</v>
      </c>
      <c r="SA23">
        <v>3705</v>
      </c>
      <c r="SB23">
        <v>2967</v>
      </c>
      <c r="SC23">
        <v>3138</v>
      </c>
      <c r="SD23">
        <v>3400</v>
      </c>
      <c r="SE23">
        <v>3007</v>
      </c>
      <c r="SF23">
        <v>2114</v>
      </c>
      <c r="SG23">
        <v>2955</v>
      </c>
      <c r="SH23">
        <v>2619</v>
      </c>
      <c r="SI23">
        <v>2989</v>
      </c>
      <c r="SJ23">
        <f t="shared" si="41"/>
        <v>35912</v>
      </c>
      <c r="SK23">
        <v>76</v>
      </c>
      <c r="SL23">
        <v>60</v>
      </c>
      <c r="SM23">
        <v>39</v>
      </c>
      <c r="SN23">
        <v>76</v>
      </c>
      <c r="SO23">
        <v>40</v>
      </c>
      <c r="SP23">
        <v>42</v>
      </c>
      <c r="SQ23">
        <v>35</v>
      </c>
      <c r="SR23">
        <v>56</v>
      </c>
      <c r="SS23">
        <v>42</v>
      </c>
      <c r="ST23">
        <v>51</v>
      </c>
      <c r="SU23">
        <v>47</v>
      </c>
      <c r="SV23">
        <v>24</v>
      </c>
      <c r="SW23">
        <f t="shared" si="42"/>
        <v>588</v>
      </c>
      <c r="SX23" s="1" t="s">
        <v>1363</v>
      </c>
      <c r="SY23">
        <v>3244</v>
      </c>
      <c r="SZ23">
        <v>3224</v>
      </c>
      <c r="TA23">
        <v>2816</v>
      </c>
      <c r="TB23">
        <v>3418</v>
      </c>
      <c r="TC23">
        <v>3093</v>
      </c>
      <c r="TD23">
        <v>3398</v>
      </c>
      <c r="TE23">
        <v>3464</v>
      </c>
      <c r="TF23">
        <v>3199</v>
      </c>
      <c r="TG23">
        <v>2416</v>
      </c>
      <c r="TH23">
        <v>2840</v>
      </c>
      <c r="TI23">
        <v>2912</v>
      </c>
      <c r="TJ23">
        <v>3253</v>
      </c>
      <c r="TK23">
        <f t="shared" si="43"/>
        <v>37277</v>
      </c>
      <c r="TL23">
        <v>0</v>
      </c>
      <c r="TM23">
        <v>0</v>
      </c>
      <c r="TN23">
        <v>0</v>
      </c>
      <c r="TO23">
        <v>0</v>
      </c>
      <c r="TP23">
        <v>0</v>
      </c>
      <c r="TQ23">
        <v>0</v>
      </c>
      <c r="TR23">
        <v>0</v>
      </c>
      <c r="TS23">
        <v>0</v>
      </c>
      <c r="TT23">
        <v>0</v>
      </c>
      <c r="TU23">
        <v>0</v>
      </c>
      <c r="TV23">
        <v>0</v>
      </c>
      <c r="TW23">
        <v>0</v>
      </c>
      <c r="TX23">
        <f t="shared" si="44"/>
        <v>0</v>
      </c>
      <c r="TY23">
        <v>130</v>
      </c>
      <c r="TZ23">
        <v>0</v>
      </c>
      <c r="UA23">
        <v>0</v>
      </c>
      <c r="UB23">
        <v>0</v>
      </c>
    </row>
    <row r="24" spans="1:548" ht="16.5" customHeight="1" x14ac:dyDescent="0.35">
      <c r="A24" t="s">
        <v>1425</v>
      </c>
      <c r="B24" t="s">
        <v>2863</v>
      </c>
      <c r="C24">
        <v>18336</v>
      </c>
      <c r="D24">
        <v>0</v>
      </c>
      <c r="E24">
        <v>0</v>
      </c>
      <c r="F24" s="2">
        <v>9056</v>
      </c>
      <c r="G24">
        <v>0</v>
      </c>
      <c r="H24">
        <v>0</v>
      </c>
      <c r="I24">
        <v>0</v>
      </c>
      <c r="J24">
        <v>0</v>
      </c>
      <c r="K24">
        <v>0</v>
      </c>
      <c r="L24">
        <v>0</v>
      </c>
      <c r="M24">
        <v>0</v>
      </c>
      <c r="N24">
        <v>0</v>
      </c>
      <c r="O24">
        <v>0</v>
      </c>
      <c r="P24">
        <v>0</v>
      </c>
      <c r="Q24">
        <v>0</v>
      </c>
      <c r="R24">
        <v>0</v>
      </c>
      <c r="S24">
        <f t="shared" si="0"/>
        <v>0</v>
      </c>
      <c r="T24">
        <v>0</v>
      </c>
      <c r="U24">
        <v>0</v>
      </c>
      <c r="V24">
        <v>0</v>
      </c>
      <c r="W24">
        <v>0</v>
      </c>
      <c r="X24">
        <v>0</v>
      </c>
      <c r="Y24">
        <v>0</v>
      </c>
      <c r="Z24">
        <v>0</v>
      </c>
      <c r="AA24">
        <v>0</v>
      </c>
      <c r="AB24">
        <v>0</v>
      </c>
      <c r="AC24">
        <v>0</v>
      </c>
      <c r="AD24">
        <v>0</v>
      </c>
      <c r="AE24">
        <v>0</v>
      </c>
      <c r="AF24">
        <f t="shared" si="1"/>
        <v>0</v>
      </c>
      <c r="AG24">
        <v>0</v>
      </c>
      <c r="AH24">
        <v>0</v>
      </c>
      <c r="AI24">
        <v>0</v>
      </c>
      <c r="AJ24">
        <v>0</v>
      </c>
      <c r="AK24">
        <v>0</v>
      </c>
      <c r="AL24">
        <v>0</v>
      </c>
      <c r="AM24">
        <v>0</v>
      </c>
      <c r="AN24">
        <v>0</v>
      </c>
      <c r="AO24">
        <v>0</v>
      </c>
      <c r="AP24">
        <v>0</v>
      </c>
      <c r="AQ24">
        <v>0</v>
      </c>
      <c r="AR24">
        <v>0</v>
      </c>
      <c r="AS24">
        <f t="shared" si="2"/>
        <v>0</v>
      </c>
      <c r="AT24">
        <v>0</v>
      </c>
      <c r="AU24">
        <v>0</v>
      </c>
      <c r="AV24">
        <v>0</v>
      </c>
      <c r="AW24">
        <v>0</v>
      </c>
      <c r="AX24">
        <v>0</v>
      </c>
      <c r="AY24">
        <v>0</v>
      </c>
      <c r="AZ24">
        <v>0</v>
      </c>
      <c r="BA24">
        <v>0</v>
      </c>
      <c r="BB24">
        <v>0</v>
      </c>
      <c r="BC24">
        <v>0</v>
      </c>
      <c r="BD24">
        <v>0</v>
      </c>
      <c r="BE24">
        <v>0</v>
      </c>
      <c r="BF24">
        <f t="shared" si="3"/>
        <v>0</v>
      </c>
      <c r="BG24">
        <v>888</v>
      </c>
      <c r="BH24">
        <v>861</v>
      </c>
      <c r="BI24">
        <v>893</v>
      </c>
      <c r="BJ24">
        <v>956</v>
      </c>
      <c r="BK24">
        <v>859</v>
      </c>
      <c r="BL24">
        <v>834</v>
      </c>
      <c r="BM24">
        <v>1018</v>
      </c>
      <c r="BN24">
        <v>946</v>
      </c>
      <c r="BO24">
        <v>737</v>
      </c>
      <c r="BP24">
        <v>958</v>
      </c>
      <c r="BQ24">
        <v>926</v>
      </c>
      <c r="BR24">
        <v>916</v>
      </c>
      <c r="BS24">
        <f t="shared" si="4"/>
        <v>10792</v>
      </c>
      <c r="BT24">
        <v>0</v>
      </c>
      <c r="BU24">
        <v>0</v>
      </c>
      <c r="BV24">
        <v>0</v>
      </c>
      <c r="BW24">
        <v>0</v>
      </c>
      <c r="BX24">
        <v>0</v>
      </c>
      <c r="BY24">
        <v>0</v>
      </c>
      <c r="BZ24">
        <v>0</v>
      </c>
      <c r="CA24">
        <v>0</v>
      </c>
      <c r="CB24">
        <v>0</v>
      </c>
      <c r="CC24">
        <v>0</v>
      </c>
      <c r="CD24">
        <v>0</v>
      </c>
      <c r="CE24">
        <v>0</v>
      </c>
      <c r="CF24">
        <f t="shared" si="5"/>
        <v>0</v>
      </c>
      <c r="CG24">
        <v>0</v>
      </c>
      <c r="CH24">
        <v>0</v>
      </c>
      <c r="CI24">
        <v>0</v>
      </c>
      <c r="CJ24">
        <v>0</v>
      </c>
      <c r="CK24">
        <v>0</v>
      </c>
      <c r="CL24">
        <v>0</v>
      </c>
      <c r="CM24">
        <v>0</v>
      </c>
      <c r="CN24">
        <v>0</v>
      </c>
      <c r="CO24">
        <v>0</v>
      </c>
      <c r="CP24">
        <v>0</v>
      </c>
      <c r="CQ24">
        <v>0</v>
      </c>
      <c r="CR24">
        <v>0</v>
      </c>
      <c r="CS24">
        <f t="shared" si="6"/>
        <v>0</v>
      </c>
      <c r="CT24">
        <v>0</v>
      </c>
      <c r="CU24">
        <v>0</v>
      </c>
      <c r="CV24">
        <v>0</v>
      </c>
      <c r="CW24">
        <v>0</v>
      </c>
      <c r="CX24">
        <v>0</v>
      </c>
      <c r="CY24">
        <v>0</v>
      </c>
      <c r="CZ24">
        <v>0</v>
      </c>
      <c r="DA24">
        <v>0</v>
      </c>
      <c r="DB24">
        <v>0</v>
      </c>
      <c r="DC24">
        <v>0</v>
      </c>
      <c r="DD24">
        <v>0</v>
      </c>
      <c r="DE24">
        <v>0</v>
      </c>
      <c r="DF24">
        <f t="shared" si="7"/>
        <v>0</v>
      </c>
      <c r="DG24">
        <v>0</v>
      </c>
      <c r="DH24">
        <v>0</v>
      </c>
      <c r="DI24">
        <v>0</v>
      </c>
      <c r="DJ24">
        <v>0</v>
      </c>
      <c r="DK24">
        <v>0</v>
      </c>
      <c r="DL24">
        <v>0</v>
      </c>
      <c r="DM24">
        <v>0</v>
      </c>
      <c r="DN24">
        <v>0</v>
      </c>
      <c r="DO24">
        <v>0</v>
      </c>
      <c r="DP24">
        <v>0</v>
      </c>
      <c r="DQ24">
        <v>0</v>
      </c>
      <c r="DR24">
        <v>0</v>
      </c>
      <c r="DS24">
        <f t="shared" si="8"/>
        <v>0</v>
      </c>
      <c r="DT24">
        <v>0</v>
      </c>
      <c r="DU24">
        <v>0</v>
      </c>
      <c r="DV24">
        <v>0</v>
      </c>
      <c r="DW24">
        <v>0</v>
      </c>
      <c r="DX24">
        <v>0</v>
      </c>
      <c r="DY24">
        <v>0</v>
      </c>
      <c r="DZ24">
        <v>0</v>
      </c>
      <c r="EA24">
        <v>0</v>
      </c>
      <c r="EB24">
        <v>0</v>
      </c>
      <c r="EC24">
        <v>0</v>
      </c>
      <c r="ED24">
        <v>0</v>
      </c>
      <c r="EE24">
        <v>0</v>
      </c>
      <c r="EF24">
        <f t="shared" si="9"/>
        <v>0</v>
      </c>
      <c r="EG24">
        <f t="shared" si="10"/>
        <v>10792</v>
      </c>
      <c r="EH24">
        <f t="shared" si="11"/>
        <v>0</v>
      </c>
      <c r="EI24">
        <v>10996</v>
      </c>
      <c r="EJ24">
        <v>7805</v>
      </c>
      <c r="EK24">
        <v>9408</v>
      </c>
      <c r="EL24">
        <v>9982</v>
      </c>
      <c r="EM24">
        <v>8103</v>
      </c>
      <c r="EN24">
        <v>7485</v>
      </c>
      <c r="EO24">
        <v>8151</v>
      </c>
      <c r="EP24">
        <v>7533</v>
      </c>
      <c r="EQ24">
        <v>5880</v>
      </c>
      <c r="ER24">
        <v>7888</v>
      </c>
      <c r="ES24">
        <v>8686</v>
      </c>
      <c r="ET24">
        <v>9027</v>
      </c>
      <c r="EU24">
        <f t="shared" si="12"/>
        <v>100944</v>
      </c>
      <c r="EV24">
        <v>5213</v>
      </c>
      <c r="EW24">
        <v>2842</v>
      </c>
      <c r="EX24">
        <v>4337</v>
      </c>
      <c r="EY24">
        <v>4740</v>
      </c>
      <c r="EZ24">
        <v>3769</v>
      </c>
      <c r="FA24">
        <v>2786</v>
      </c>
      <c r="FB24">
        <v>3277</v>
      </c>
      <c r="FC24">
        <v>2980</v>
      </c>
      <c r="FD24">
        <v>2223</v>
      </c>
      <c r="FE24">
        <v>3072</v>
      </c>
      <c r="FF24">
        <v>3650</v>
      </c>
      <c r="FG24">
        <v>3985</v>
      </c>
      <c r="FH24">
        <f t="shared" si="13"/>
        <v>42874</v>
      </c>
      <c r="FI24">
        <v>0</v>
      </c>
      <c r="FJ24">
        <v>0</v>
      </c>
      <c r="FK24">
        <v>0</v>
      </c>
      <c r="FL24">
        <v>0</v>
      </c>
      <c r="FM24">
        <v>0</v>
      </c>
      <c r="FN24">
        <v>0</v>
      </c>
      <c r="FO24">
        <v>0</v>
      </c>
      <c r="FP24">
        <v>0</v>
      </c>
      <c r="FQ24">
        <v>0</v>
      </c>
      <c r="FR24">
        <v>0</v>
      </c>
      <c r="FS24">
        <v>0</v>
      </c>
      <c r="FT24">
        <v>0</v>
      </c>
      <c r="FU24">
        <f t="shared" si="14"/>
        <v>0</v>
      </c>
      <c r="FV24">
        <v>5783</v>
      </c>
      <c r="FW24">
        <v>4963</v>
      </c>
      <c r="FX24">
        <v>5071</v>
      </c>
      <c r="FY24">
        <v>5242</v>
      </c>
      <c r="FZ24">
        <v>4334</v>
      </c>
      <c r="GA24">
        <v>4699</v>
      </c>
      <c r="GB24">
        <v>4874</v>
      </c>
      <c r="GC24">
        <v>4553</v>
      </c>
      <c r="GD24">
        <v>3657</v>
      </c>
      <c r="GE24">
        <v>4816</v>
      </c>
      <c r="GF24">
        <v>5036</v>
      </c>
      <c r="GG24">
        <v>5042</v>
      </c>
      <c r="GH24">
        <f t="shared" si="15"/>
        <v>58070</v>
      </c>
      <c r="GI24">
        <v>0</v>
      </c>
      <c r="GJ24">
        <v>0</v>
      </c>
      <c r="GK24">
        <v>0</v>
      </c>
      <c r="GL24">
        <v>0</v>
      </c>
      <c r="GM24">
        <v>0</v>
      </c>
      <c r="GN24">
        <v>0</v>
      </c>
      <c r="GO24">
        <v>0</v>
      </c>
      <c r="GP24">
        <v>0</v>
      </c>
      <c r="GQ24">
        <v>0</v>
      </c>
      <c r="GR24">
        <v>0</v>
      </c>
      <c r="GS24">
        <v>0</v>
      </c>
      <c r="GT24">
        <v>0</v>
      </c>
      <c r="GU24">
        <f t="shared" si="16"/>
        <v>0</v>
      </c>
      <c r="GV24">
        <v>0</v>
      </c>
      <c r="GW24">
        <v>0</v>
      </c>
      <c r="GX24">
        <v>0</v>
      </c>
      <c r="GY24">
        <v>0</v>
      </c>
      <c r="GZ24">
        <v>0</v>
      </c>
      <c r="HA24">
        <v>0</v>
      </c>
      <c r="HB24">
        <v>0</v>
      </c>
      <c r="HC24">
        <v>0</v>
      </c>
      <c r="HD24">
        <v>0</v>
      </c>
      <c r="HE24">
        <v>0</v>
      </c>
      <c r="HF24">
        <v>0</v>
      </c>
      <c r="HG24">
        <v>0</v>
      </c>
      <c r="HH24">
        <f t="shared" si="17"/>
        <v>0</v>
      </c>
      <c r="HI24">
        <v>0</v>
      </c>
      <c r="HJ24">
        <v>0</v>
      </c>
      <c r="HK24">
        <v>0</v>
      </c>
      <c r="HL24">
        <v>0</v>
      </c>
      <c r="HM24">
        <v>0</v>
      </c>
      <c r="HN24">
        <v>0</v>
      </c>
      <c r="HO24">
        <v>0</v>
      </c>
      <c r="HP24">
        <v>0</v>
      </c>
      <c r="HQ24">
        <v>0</v>
      </c>
      <c r="HR24">
        <v>0</v>
      </c>
      <c r="HS24">
        <v>0</v>
      </c>
      <c r="HT24">
        <v>0</v>
      </c>
      <c r="HU24">
        <f t="shared" si="18"/>
        <v>0</v>
      </c>
      <c r="HV24">
        <v>0</v>
      </c>
      <c r="HW24">
        <v>0</v>
      </c>
      <c r="HX24">
        <v>0</v>
      </c>
      <c r="HY24">
        <v>0</v>
      </c>
      <c r="HZ24">
        <v>0</v>
      </c>
      <c r="IA24">
        <v>0</v>
      </c>
      <c r="IB24">
        <v>0</v>
      </c>
      <c r="IC24">
        <v>0</v>
      </c>
      <c r="ID24">
        <v>0</v>
      </c>
      <c r="IE24">
        <v>0</v>
      </c>
      <c r="IF24">
        <v>0</v>
      </c>
      <c r="IG24">
        <v>0</v>
      </c>
      <c r="IH24">
        <f t="shared" si="19"/>
        <v>0</v>
      </c>
      <c r="II24">
        <f t="shared" si="20"/>
        <v>100944</v>
      </c>
      <c r="IJ24">
        <f t="shared" si="21"/>
        <v>0</v>
      </c>
      <c r="IK24">
        <v>36563</v>
      </c>
      <c r="IL24">
        <v>37288</v>
      </c>
      <c r="IM24">
        <v>29689</v>
      </c>
      <c r="IN24">
        <v>41892</v>
      </c>
      <c r="IO24">
        <v>42730</v>
      </c>
      <c r="IP24">
        <v>36185</v>
      </c>
      <c r="IQ24">
        <v>37559</v>
      </c>
      <c r="IR24">
        <v>33113</v>
      </c>
      <c r="IS24">
        <v>26283</v>
      </c>
      <c r="IT24">
        <v>40713</v>
      </c>
      <c r="IU24">
        <v>33259</v>
      </c>
      <c r="IV24">
        <v>35023</v>
      </c>
      <c r="IW24">
        <f t="shared" si="22"/>
        <v>430297</v>
      </c>
      <c r="IX24">
        <v>20077</v>
      </c>
      <c r="IY24">
        <v>20421</v>
      </c>
      <c r="IZ24">
        <v>14929</v>
      </c>
      <c r="JA24">
        <v>23637</v>
      </c>
      <c r="JB24">
        <v>25374</v>
      </c>
      <c r="JC24">
        <v>19984</v>
      </c>
      <c r="JD24">
        <v>20304</v>
      </c>
      <c r="JE24">
        <v>17270</v>
      </c>
      <c r="JF24">
        <v>13851</v>
      </c>
      <c r="JG24">
        <v>22313</v>
      </c>
      <c r="JH24">
        <v>18593</v>
      </c>
      <c r="JI24">
        <v>18983</v>
      </c>
      <c r="JJ24">
        <f t="shared" si="23"/>
        <v>235736</v>
      </c>
      <c r="JK24">
        <v>1007</v>
      </c>
      <c r="JL24">
        <v>1003</v>
      </c>
      <c r="JM24">
        <v>901</v>
      </c>
      <c r="JN24">
        <v>1312</v>
      </c>
      <c r="JO24">
        <v>1349</v>
      </c>
      <c r="JP24">
        <v>1169</v>
      </c>
      <c r="JQ24">
        <v>1209</v>
      </c>
      <c r="JR24">
        <v>1094</v>
      </c>
      <c r="JS24">
        <v>826</v>
      </c>
      <c r="JT24">
        <v>1244</v>
      </c>
      <c r="JU24">
        <v>1149</v>
      </c>
      <c r="JV24">
        <v>1296</v>
      </c>
      <c r="JW24">
        <f t="shared" si="24"/>
        <v>13559</v>
      </c>
      <c r="JX24">
        <v>15479</v>
      </c>
      <c r="JY24">
        <v>15864</v>
      </c>
      <c r="JZ24">
        <v>13859</v>
      </c>
      <c r="KA24">
        <v>17033</v>
      </c>
      <c r="KB24">
        <v>16007</v>
      </c>
      <c r="KC24">
        <v>15032</v>
      </c>
      <c r="KD24">
        <v>16046</v>
      </c>
      <c r="KE24">
        <v>14749</v>
      </c>
      <c r="KF24">
        <v>11606</v>
      </c>
      <c r="KG24">
        <v>17156</v>
      </c>
      <c r="KH24">
        <v>13517</v>
      </c>
      <c r="KI24">
        <v>14744</v>
      </c>
      <c r="KJ24">
        <f t="shared" si="25"/>
        <v>181092</v>
      </c>
      <c r="KK24">
        <v>474</v>
      </c>
      <c r="KL24">
        <v>427</v>
      </c>
      <c r="KM24">
        <v>432</v>
      </c>
      <c r="KN24">
        <v>406</v>
      </c>
      <c r="KO24">
        <v>391</v>
      </c>
      <c r="KP24">
        <v>425</v>
      </c>
      <c r="KQ24">
        <v>392</v>
      </c>
      <c r="KR24">
        <v>369</v>
      </c>
      <c r="KS24">
        <v>321</v>
      </c>
      <c r="KT24">
        <v>426</v>
      </c>
      <c r="KU24">
        <v>288</v>
      </c>
      <c r="KV24">
        <v>409</v>
      </c>
      <c r="KW24">
        <f t="shared" si="26"/>
        <v>4760</v>
      </c>
      <c r="KX24">
        <v>3</v>
      </c>
      <c r="KY24">
        <v>43</v>
      </c>
      <c r="KZ24">
        <v>4</v>
      </c>
      <c r="LA24">
        <v>8</v>
      </c>
      <c r="LB24">
        <v>15</v>
      </c>
      <c r="LC24">
        <v>9</v>
      </c>
      <c r="LD24">
        <v>14</v>
      </c>
      <c r="LE24">
        <v>12</v>
      </c>
      <c r="LF24">
        <v>6</v>
      </c>
      <c r="LG24">
        <v>15</v>
      </c>
      <c r="LH24">
        <v>6</v>
      </c>
      <c r="LI24">
        <v>5</v>
      </c>
      <c r="LJ24">
        <f t="shared" si="27"/>
        <v>140</v>
      </c>
      <c r="LK24">
        <v>0</v>
      </c>
      <c r="LL24">
        <v>0</v>
      </c>
      <c r="LM24">
        <v>0</v>
      </c>
      <c r="LN24">
        <v>0</v>
      </c>
      <c r="LO24">
        <v>0</v>
      </c>
      <c r="LP24">
        <v>0</v>
      </c>
      <c r="LQ24">
        <v>0</v>
      </c>
      <c r="LR24">
        <v>0</v>
      </c>
      <c r="LS24">
        <v>0</v>
      </c>
      <c r="LT24">
        <v>0</v>
      </c>
      <c r="LU24">
        <v>0</v>
      </c>
      <c r="LV24">
        <v>0</v>
      </c>
      <c r="LW24">
        <f t="shared" si="28"/>
        <v>0</v>
      </c>
      <c r="LX24">
        <v>469</v>
      </c>
      <c r="LY24">
        <v>384</v>
      </c>
      <c r="LZ24">
        <v>428</v>
      </c>
      <c r="MA24">
        <v>398</v>
      </c>
      <c r="MB24">
        <v>376</v>
      </c>
      <c r="MC24">
        <v>416</v>
      </c>
      <c r="MD24">
        <v>378</v>
      </c>
      <c r="ME24">
        <v>357</v>
      </c>
      <c r="MF24">
        <v>315</v>
      </c>
      <c r="MG24">
        <v>411</v>
      </c>
      <c r="MH24">
        <v>282</v>
      </c>
      <c r="MI24">
        <v>404</v>
      </c>
      <c r="MJ24">
        <f t="shared" si="29"/>
        <v>4618</v>
      </c>
      <c r="MK24">
        <v>3331</v>
      </c>
      <c r="ML24">
        <v>3715</v>
      </c>
      <c r="MM24">
        <v>3480</v>
      </c>
      <c r="MN24">
        <v>3712</v>
      </c>
      <c r="MO24">
        <v>3844</v>
      </c>
      <c r="MP24">
        <v>4033</v>
      </c>
      <c r="MQ24">
        <v>4231</v>
      </c>
      <c r="MR24">
        <v>3925</v>
      </c>
      <c r="MS24">
        <v>3974</v>
      </c>
      <c r="MT24">
        <v>4184</v>
      </c>
      <c r="MU24">
        <v>3989</v>
      </c>
      <c r="MV24">
        <v>4356</v>
      </c>
      <c r="MW24">
        <f t="shared" si="30"/>
        <v>46774</v>
      </c>
      <c r="MX24">
        <v>525</v>
      </c>
      <c r="MY24">
        <v>561</v>
      </c>
      <c r="MZ24">
        <v>458</v>
      </c>
      <c r="NA24">
        <v>597</v>
      </c>
      <c r="NB24">
        <v>547</v>
      </c>
      <c r="NC24">
        <v>729</v>
      </c>
      <c r="ND24">
        <v>749</v>
      </c>
      <c r="NE24">
        <v>772</v>
      </c>
      <c r="NF24">
        <v>778</v>
      </c>
      <c r="NG24">
        <v>871</v>
      </c>
      <c r="NH24">
        <v>777</v>
      </c>
      <c r="NI24">
        <v>902</v>
      </c>
      <c r="NJ24">
        <f t="shared" si="31"/>
        <v>8266</v>
      </c>
      <c r="NK24">
        <v>312</v>
      </c>
      <c r="NL24">
        <v>301</v>
      </c>
      <c r="NM24">
        <v>296</v>
      </c>
      <c r="NN24">
        <v>341</v>
      </c>
      <c r="NO24">
        <v>320</v>
      </c>
      <c r="NP24">
        <v>418</v>
      </c>
      <c r="NQ24">
        <v>414</v>
      </c>
      <c r="NR24">
        <v>376</v>
      </c>
      <c r="NS24">
        <v>334</v>
      </c>
      <c r="NT24">
        <v>387</v>
      </c>
      <c r="NU24">
        <v>366</v>
      </c>
      <c r="NV24">
        <v>467</v>
      </c>
      <c r="NW24">
        <f t="shared" si="32"/>
        <v>4332</v>
      </c>
      <c r="NX24">
        <v>2494</v>
      </c>
      <c r="NY24">
        <v>2853</v>
      </c>
      <c r="NZ24">
        <v>2726</v>
      </c>
      <c r="OA24">
        <v>2774</v>
      </c>
      <c r="OB24">
        <v>2977</v>
      </c>
      <c r="OC24">
        <v>2886</v>
      </c>
      <c r="OD24">
        <v>3068</v>
      </c>
      <c r="OE24">
        <v>2777</v>
      </c>
      <c r="OF24">
        <v>2862</v>
      </c>
      <c r="OG24">
        <v>2926</v>
      </c>
      <c r="OH24">
        <v>2846</v>
      </c>
      <c r="OI24">
        <v>2987</v>
      </c>
      <c r="OJ24">
        <f t="shared" si="33"/>
        <v>34176</v>
      </c>
      <c r="OK24">
        <v>5156</v>
      </c>
      <c r="OL24">
        <v>5502</v>
      </c>
      <c r="OM24">
        <v>5387</v>
      </c>
      <c r="ON24">
        <v>5640</v>
      </c>
      <c r="OO24">
        <v>5934</v>
      </c>
      <c r="OP24">
        <v>5698</v>
      </c>
      <c r="OQ24">
        <v>6116</v>
      </c>
      <c r="OR24">
        <v>5912</v>
      </c>
      <c r="OS24">
        <v>6010</v>
      </c>
      <c r="OT24">
        <v>6553</v>
      </c>
      <c r="OU24">
        <v>5979</v>
      </c>
      <c r="OV24">
        <v>6522</v>
      </c>
      <c r="OW24">
        <f t="shared" si="34"/>
        <v>70409</v>
      </c>
      <c r="OX24">
        <v>754</v>
      </c>
      <c r="OY24">
        <v>690</v>
      </c>
      <c r="OZ24">
        <v>686</v>
      </c>
      <c r="PA24">
        <v>734</v>
      </c>
      <c r="PB24">
        <v>862</v>
      </c>
      <c r="PC24">
        <v>718</v>
      </c>
      <c r="PD24">
        <v>875</v>
      </c>
      <c r="PE24">
        <v>735</v>
      </c>
      <c r="PF24">
        <v>855</v>
      </c>
      <c r="PG24">
        <v>937</v>
      </c>
      <c r="PH24">
        <v>931</v>
      </c>
      <c r="PI24">
        <v>934</v>
      </c>
      <c r="PJ24">
        <f t="shared" si="35"/>
        <v>9711</v>
      </c>
      <c r="PK24">
        <v>246</v>
      </c>
      <c r="PL24">
        <v>276</v>
      </c>
      <c r="PM24">
        <v>308</v>
      </c>
      <c r="PN24">
        <v>351</v>
      </c>
      <c r="PO24">
        <v>308</v>
      </c>
      <c r="PP24">
        <v>340</v>
      </c>
      <c r="PQ24">
        <v>364</v>
      </c>
      <c r="PR24">
        <v>329</v>
      </c>
      <c r="PS24">
        <v>291</v>
      </c>
      <c r="PT24">
        <v>373</v>
      </c>
      <c r="PU24">
        <v>353</v>
      </c>
      <c r="PV24">
        <v>422</v>
      </c>
      <c r="PW24">
        <f t="shared" si="36"/>
        <v>3961</v>
      </c>
      <c r="PX24">
        <v>4156</v>
      </c>
      <c r="PY24">
        <v>4536</v>
      </c>
      <c r="PZ24">
        <v>4764</v>
      </c>
      <c r="QA24">
        <v>4555</v>
      </c>
      <c r="QB24">
        <v>4764</v>
      </c>
      <c r="QC24">
        <v>4640</v>
      </c>
      <c r="QD24">
        <v>4877</v>
      </c>
      <c r="QE24">
        <v>4848</v>
      </c>
      <c r="QF24">
        <v>4864</v>
      </c>
      <c r="QG24">
        <v>5243</v>
      </c>
      <c r="QH24">
        <v>4695</v>
      </c>
      <c r="QI24">
        <v>5166</v>
      </c>
      <c r="QJ24">
        <f t="shared" si="37"/>
        <v>57108</v>
      </c>
      <c r="QK24">
        <v>22057</v>
      </c>
      <c r="QL24">
        <v>22746</v>
      </c>
      <c r="QM24">
        <v>22048</v>
      </c>
      <c r="QN24">
        <v>25670</v>
      </c>
      <c r="QO24">
        <v>23276</v>
      </c>
      <c r="QP24">
        <v>25595</v>
      </c>
      <c r="QQ24">
        <v>24459</v>
      </c>
      <c r="QR24">
        <v>22473</v>
      </c>
      <c r="QS24">
        <v>16652</v>
      </c>
      <c r="QT24">
        <v>21113</v>
      </c>
      <c r="QU24">
        <v>21609</v>
      </c>
      <c r="QV24">
        <v>22787</v>
      </c>
      <c r="QW24">
        <f t="shared" si="38"/>
        <v>270485</v>
      </c>
      <c r="QX24">
        <v>45339</v>
      </c>
      <c r="QY24">
        <v>49344</v>
      </c>
      <c r="QZ24">
        <v>45503</v>
      </c>
      <c r="RA24">
        <v>44356</v>
      </c>
      <c r="RB24">
        <v>43290</v>
      </c>
      <c r="RC24">
        <v>51754</v>
      </c>
      <c r="RD24">
        <v>52972</v>
      </c>
      <c r="RE24">
        <v>46555</v>
      </c>
      <c r="RF24">
        <v>38843</v>
      </c>
      <c r="RG24">
        <v>50842</v>
      </c>
      <c r="RH24">
        <v>48337</v>
      </c>
      <c r="RI24">
        <v>52924</v>
      </c>
      <c r="RJ24">
        <f t="shared" si="39"/>
        <v>570059</v>
      </c>
      <c r="RK24">
        <v>0</v>
      </c>
      <c r="RL24">
        <v>0</v>
      </c>
      <c r="RM24">
        <v>0</v>
      </c>
      <c r="RN24">
        <v>0</v>
      </c>
      <c r="RO24">
        <v>0</v>
      </c>
      <c r="RP24">
        <v>0</v>
      </c>
      <c r="RQ24">
        <v>0</v>
      </c>
      <c r="RR24">
        <v>0</v>
      </c>
      <c r="RS24">
        <v>0</v>
      </c>
      <c r="RT24">
        <v>0</v>
      </c>
      <c r="RU24">
        <v>0</v>
      </c>
      <c r="RV24">
        <v>0</v>
      </c>
      <c r="RW24">
        <f t="shared" si="40"/>
        <v>0</v>
      </c>
      <c r="RX24">
        <v>0</v>
      </c>
      <c r="RY24">
        <v>0</v>
      </c>
      <c r="RZ24">
        <v>0</v>
      </c>
      <c r="SA24">
        <v>0</v>
      </c>
      <c r="SB24">
        <v>0</v>
      </c>
      <c r="SC24">
        <v>0</v>
      </c>
      <c r="SD24">
        <v>0</v>
      </c>
      <c r="SE24">
        <v>0</v>
      </c>
      <c r="SF24">
        <v>0</v>
      </c>
      <c r="SG24">
        <v>0</v>
      </c>
      <c r="SH24">
        <v>0</v>
      </c>
      <c r="SI24">
        <v>0</v>
      </c>
      <c r="SJ24">
        <f t="shared" si="41"/>
        <v>0</v>
      </c>
      <c r="SK24">
        <v>67</v>
      </c>
      <c r="SL24">
        <v>67</v>
      </c>
      <c r="SM24">
        <v>67</v>
      </c>
      <c r="SN24">
        <v>67</v>
      </c>
      <c r="SO24">
        <v>67</v>
      </c>
      <c r="SP24">
        <v>67</v>
      </c>
      <c r="SQ24">
        <v>67</v>
      </c>
      <c r="SR24">
        <v>67</v>
      </c>
      <c r="SS24">
        <v>67</v>
      </c>
      <c r="ST24">
        <v>67</v>
      </c>
      <c r="SU24">
        <v>67</v>
      </c>
      <c r="SV24">
        <v>67</v>
      </c>
      <c r="SW24">
        <f t="shared" si="42"/>
        <v>804</v>
      </c>
      <c r="SX24" t="s">
        <v>1426</v>
      </c>
      <c r="SY24">
        <v>6832</v>
      </c>
      <c r="SZ24">
        <v>6793</v>
      </c>
      <c r="TA24">
        <v>6943</v>
      </c>
      <c r="TB24">
        <v>7532</v>
      </c>
      <c r="TC24">
        <v>7446</v>
      </c>
      <c r="TD24">
        <v>7127</v>
      </c>
      <c r="TE24">
        <v>7749</v>
      </c>
      <c r="TF24">
        <v>6921</v>
      </c>
      <c r="TG24">
        <v>5324</v>
      </c>
      <c r="TH24">
        <v>7019</v>
      </c>
      <c r="TI24">
        <v>6834</v>
      </c>
      <c r="TJ24">
        <v>7288</v>
      </c>
      <c r="TK24">
        <f t="shared" si="43"/>
        <v>83808</v>
      </c>
      <c r="TL24">
        <v>56363</v>
      </c>
      <c r="TM24">
        <v>48349</v>
      </c>
      <c r="TN24">
        <v>46414</v>
      </c>
      <c r="TO24">
        <v>42073</v>
      </c>
      <c r="TP24">
        <v>40648</v>
      </c>
      <c r="TQ24">
        <v>45060</v>
      </c>
      <c r="TR24">
        <v>42015</v>
      </c>
      <c r="TS24">
        <v>56119</v>
      </c>
      <c r="TT24">
        <v>41406</v>
      </c>
      <c r="TU24">
        <v>45427</v>
      </c>
      <c r="TV24">
        <v>58891</v>
      </c>
      <c r="TW24">
        <v>62268</v>
      </c>
      <c r="TX24">
        <f t="shared" si="44"/>
        <v>585033</v>
      </c>
      <c r="TY24">
        <v>204</v>
      </c>
      <c r="TZ24">
        <v>58</v>
      </c>
      <c r="UA24">
        <v>74</v>
      </c>
      <c r="UB24">
        <v>0</v>
      </c>
    </row>
    <row r="25" spans="1:548" ht="16.5" customHeight="1" x14ac:dyDescent="0.35">
      <c r="A25" t="s">
        <v>1413</v>
      </c>
      <c r="B25" t="s">
        <v>2866</v>
      </c>
      <c r="C25">
        <v>39178</v>
      </c>
      <c r="D25">
        <v>9766</v>
      </c>
      <c r="E25">
        <v>3255</v>
      </c>
      <c r="F25">
        <v>26157</v>
      </c>
      <c r="G25">
        <v>254</v>
      </c>
      <c r="H25">
        <v>267</v>
      </c>
      <c r="I25">
        <v>235</v>
      </c>
      <c r="J25">
        <v>221</v>
      </c>
      <c r="K25">
        <v>219</v>
      </c>
      <c r="L25">
        <v>230</v>
      </c>
      <c r="M25">
        <v>309</v>
      </c>
      <c r="N25">
        <v>312</v>
      </c>
      <c r="O25">
        <v>208</v>
      </c>
      <c r="P25">
        <v>242</v>
      </c>
      <c r="Q25">
        <v>282</v>
      </c>
      <c r="R25">
        <v>306</v>
      </c>
      <c r="S25">
        <f t="shared" si="0"/>
        <v>3085</v>
      </c>
      <c r="T25">
        <v>109</v>
      </c>
      <c r="U25">
        <v>128</v>
      </c>
      <c r="V25">
        <v>122</v>
      </c>
      <c r="W25">
        <v>114</v>
      </c>
      <c r="X25">
        <v>127</v>
      </c>
      <c r="Y25">
        <v>102</v>
      </c>
      <c r="Z25">
        <v>144</v>
      </c>
      <c r="AA25">
        <v>130</v>
      </c>
      <c r="AB25">
        <v>106</v>
      </c>
      <c r="AC25">
        <v>136</v>
      </c>
      <c r="AD25">
        <v>139</v>
      </c>
      <c r="AE25">
        <v>146</v>
      </c>
      <c r="AF25">
        <f t="shared" si="1"/>
        <v>1503</v>
      </c>
      <c r="AG25">
        <v>2</v>
      </c>
      <c r="AH25">
        <v>1</v>
      </c>
      <c r="AI25">
        <v>1</v>
      </c>
      <c r="AJ25">
        <v>1</v>
      </c>
      <c r="AK25">
        <v>2</v>
      </c>
      <c r="AL25">
        <v>1</v>
      </c>
      <c r="AM25">
        <v>1</v>
      </c>
      <c r="AN25">
        <v>1</v>
      </c>
      <c r="AO25">
        <v>5</v>
      </c>
      <c r="AP25">
        <v>1</v>
      </c>
      <c r="AQ25">
        <v>2</v>
      </c>
      <c r="AR25">
        <v>2</v>
      </c>
      <c r="AS25">
        <f t="shared" si="2"/>
        <v>20</v>
      </c>
      <c r="AT25">
        <v>143</v>
      </c>
      <c r="AU25">
        <v>138</v>
      </c>
      <c r="AV25">
        <v>112</v>
      </c>
      <c r="AW25">
        <v>106</v>
      </c>
      <c r="AX25">
        <v>90</v>
      </c>
      <c r="AY25">
        <v>127</v>
      </c>
      <c r="AZ25">
        <v>164</v>
      </c>
      <c r="BA25">
        <v>181</v>
      </c>
      <c r="BB25">
        <v>97</v>
      </c>
      <c r="BC25">
        <v>105</v>
      </c>
      <c r="BD25">
        <v>141</v>
      </c>
      <c r="BE25">
        <v>158</v>
      </c>
      <c r="BF25">
        <f t="shared" si="3"/>
        <v>1562</v>
      </c>
      <c r="BG25">
        <v>0</v>
      </c>
      <c r="BH25">
        <v>0</v>
      </c>
      <c r="BI25">
        <v>0</v>
      </c>
      <c r="BJ25">
        <v>0</v>
      </c>
      <c r="BK25">
        <v>0</v>
      </c>
      <c r="BL25">
        <v>0</v>
      </c>
      <c r="BM25">
        <v>0</v>
      </c>
      <c r="BN25">
        <v>0</v>
      </c>
      <c r="BO25">
        <v>0</v>
      </c>
      <c r="BP25">
        <v>0</v>
      </c>
      <c r="BQ25">
        <v>0</v>
      </c>
      <c r="BR25">
        <v>0</v>
      </c>
      <c r="BS25">
        <f t="shared" si="4"/>
        <v>0</v>
      </c>
      <c r="BT25">
        <v>0</v>
      </c>
      <c r="BU25">
        <v>0</v>
      </c>
      <c r="BV25">
        <v>0</v>
      </c>
      <c r="BW25">
        <v>0</v>
      </c>
      <c r="BX25">
        <v>0</v>
      </c>
      <c r="BY25">
        <v>0</v>
      </c>
      <c r="BZ25">
        <v>0</v>
      </c>
      <c r="CA25">
        <v>0</v>
      </c>
      <c r="CB25">
        <v>0</v>
      </c>
      <c r="CC25">
        <v>0</v>
      </c>
      <c r="CD25">
        <v>0</v>
      </c>
      <c r="CE25">
        <v>0</v>
      </c>
      <c r="CF25">
        <f t="shared" si="5"/>
        <v>0</v>
      </c>
      <c r="CG25">
        <v>0</v>
      </c>
      <c r="CH25">
        <v>0</v>
      </c>
      <c r="CI25">
        <v>0</v>
      </c>
      <c r="CJ25">
        <v>0</v>
      </c>
      <c r="CK25">
        <v>0</v>
      </c>
      <c r="CL25">
        <v>0</v>
      </c>
      <c r="CM25">
        <v>0</v>
      </c>
      <c r="CN25">
        <v>0</v>
      </c>
      <c r="CO25">
        <v>0</v>
      </c>
      <c r="CP25">
        <v>0</v>
      </c>
      <c r="CQ25">
        <v>0</v>
      </c>
      <c r="CR25">
        <v>0</v>
      </c>
      <c r="CS25">
        <f t="shared" si="6"/>
        <v>0</v>
      </c>
      <c r="CT25">
        <v>0</v>
      </c>
      <c r="CU25">
        <v>0</v>
      </c>
      <c r="CV25">
        <v>0</v>
      </c>
      <c r="CW25">
        <v>0</v>
      </c>
      <c r="CX25">
        <v>0</v>
      </c>
      <c r="CY25">
        <v>0</v>
      </c>
      <c r="CZ25">
        <v>0</v>
      </c>
      <c r="DA25">
        <v>0</v>
      </c>
      <c r="DB25">
        <v>0</v>
      </c>
      <c r="DC25">
        <v>0</v>
      </c>
      <c r="DD25">
        <v>0</v>
      </c>
      <c r="DE25">
        <v>0</v>
      </c>
      <c r="DF25">
        <f t="shared" si="7"/>
        <v>0</v>
      </c>
      <c r="DG25">
        <v>0</v>
      </c>
      <c r="DH25">
        <v>0</v>
      </c>
      <c r="DI25">
        <v>0</v>
      </c>
      <c r="DJ25">
        <v>0</v>
      </c>
      <c r="DK25">
        <v>0</v>
      </c>
      <c r="DL25">
        <v>0</v>
      </c>
      <c r="DM25">
        <v>0</v>
      </c>
      <c r="DN25">
        <v>0</v>
      </c>
      <c r="DO25">
        <v>0</v>
      </c>
      <c r="DP25">
        <v>0</v>
      </c>
      <c r="DQ25">
        <v>0</v>
      </c>
      <c r="DR25">
        <v>0</v>
      </c>
      <c r="DS25">
        <f t="shared" si="8"/>
        <v>0</v>
      </c>
      <c r="DT25">
        <v>0</v>
      </c>
      <c r="DU25">
        <v>0</v>
      </c>
      <c r="DV25">
        <v>0</v>
      </c>
      <c r="DW25">
        <v>0</v>
      </c>
      <c r="DX25">
        <v>0</v>
      </c>
      <c r="DY25">
        <v>0</v>
      </c>
      <c r="DZ25">
        <v>0</v>
      </c>
      <c r="EA25">
        <v>0</v>
      </c>
      <c r="EB25">
        <v>0</v>
      </c>
      <c r="EC25">
        <v>0</v>
      </c>
      <c r="ED25">
        <v>0</v>
      </c>
      <c r="EE25">
        <v>0</v>
      </c>
      <c r="EF25">
        <f t="shared" si="9"/>
        <v>0</v>
      </c>
      <c r="EG25">
        <f t="shared" si="10"/>
        <v>3085</v>
      </c>
      <c r="EH25">
        <f t="shared" si="11"/>
        <v>0</v>
      </c>
      <c r="EI25">
        <v>3044</v>
      </c>
      <c r="EJ25">
        <v>3220</v>
      </c>
      <c r="EK25">
        <v>3037</v>
      </c>
      <c r="EL25">
        <v>2948</v>
      </c>
      <c r="EM25">
        <v>3007</v>
      </c>
      <c r="EN25">
        <v>2639</v>
      </c>
      <c r="EO25">
        <v>3939</v>
      </c>
      <c r="EP25">
        <v>3480</v>
      </c>
      <c r="EQ25">
        <v>1820</v>
      </c>
      <c r="ER25">
        <v>3267</v>
      </c>
      <c r="ES25">
        <v>3593</v>
      </c>
      <c r="ET25">
        <v>4000</v>
      </c>
      <c r="EU25">
        <f t="shared" si="12"/>
        <v>37994</v>
      </c>
      <c r="EV25">
        <v>2087</v>
      </c>
      <c r="EW25">
        <v>2357</v>
      </c>
      <c r="EX25">
        <v>2162</v>
      </c>
      <c r="EY25">
        <v>2218</v>
      </c>
      <c r="EZ25">
        <v>2308</v>
      </c>
      <c r="FA25">
        <v>1689</v>
      </c>
      <c r="FB25">
        <v>3061</v>
      </c>
      <c r="FC25">
        <v>2431</v>
      </c>
      <c r="FD25">
        <v>881</v>
      </c>
      <c r="FE25">
        <v>2524</v>
      </c>
      <c r="FF25">
        <v>2590</v>
      </c>
      <c r="FG25">
        <v>2817</v>
      </c>
      <c r="FH25">
        <f t="shared" si="13"/>
        <v>27125</v>
      </c>
      <c r="FI25">
        <v>34</v>
      </c>
      <c r="FJ25">
        <v>7</v>
      </c>
      <c r="FK25">
        <v>2</v>
      </c>
      <c r="FL25">
        <v>3</v>
      </c>
      <c r="FM25">
        <v>18</v>
      </c>
      <c r="FN25">
        <v>8</v>
      </c>
      <c r="FO25">
        <v>11</v>
      </c>
      <c r="FP25">
        <v>10</v>
      </c>
      <c r="FQ25">
        <v>133</v>
      </c>
      <c r="FR25">
        <v>4</v>
      </c>
      <c r="FS25">
        <v>10</v>
      </c>
      <c r="FT25">
        <v>33</v>
      </c>
      <c r="FU25">
        <f t="shared" si="14"/>
        <v>273</v>
      </c>
      <c r="FV25">
        <v>923</v>
      </c>
      <c r="FW25">
        <v>856</v>
      </c>
      <c r="FX25">
        <v>873</v>
      </c>
      <c r="FY25">
        <v>727</v>
      </c>
      <c r="FZ25">
        <v>681</v>
      </c>
      <c r="GA25">
        <v>942</v>
      </c>
      <c r="GB25">
        <v>867</v>
      </c>
      <c r="GC25">
        <v>1039</v>
      </c>
      <c r="GD25">
        <v>806</v>
      </c>
      <c r="GE25">
        <v>739</v>
      </c>
      <c r="GF25">
        <v>993</v>
      </c>
      <c r="GG25">
        <v>1150</v>
      </c>
      <c r="GH25">
        <f t="shared" si="15"/>
        <v>10596</v>
      </c>
      <c r="GI25">
        <v>0</v>
      </c>
      <c r="GJ25">
        <v>0</v>
      </c>
      <c r="GK25">
        <v>0</v>
      </c>
      <c r="GL25">
        <v>0</v>
      </c>
      <c r="GM25">
        <v>0</v>
      </c>
      <c r="GN25">
        <v>0</v>
      </c>
      <c r="GO25">
        <v>0</v>
      </c>
      <c r="GP25">
        <v>0</v>
      </c>
      <c r="GQ25">
        <v>0</v>
      </c>
      <c r="GR25">
        <v>0</v>
      </c>
      <c r="GS25">
        <v>0</v>
      </c>
      <c r="GT25">
        <v>0</v>
      </c>
      <c r="GU25">
        <f t="shared" si="16"/>
        <v>0</v>
      </c>
      <c r="GV25">
        <v>0</v>
      </c>
      <c r="GW25">
        <v>0</v>
      </c>
      <c r="GX25">
        <v>0</v>
      </c>
      <c r="GY25">
        <v>0</v>
      </c>
      <c r="GZ25">
        <v>0</v>
      </c>
      <c r="HA25">
        <v>0</v>
      </c>
      <c r="HB25">
        <v>0</v>
      </c>
      <c r="HC25">
        <v>0</v>
      </c>
      <c r="HD25">
        <v>0</v>
      </c>
      <c r="HE25">
        <v>0</v>
      </c>
      <c r="HF25">
        <v>0</v>
      </c>
      <c r="HG25">
        <v>0</v>
      </c>
      <c r="HH25">
        <f t="shared" si="17"/>
        <v>0</v>
      </c>
      <c r="HI25">
        <v>0</v>
      </c>
      <c r="HJ25">
        <v>0</v>
      </c>
      <c r="HK25">
        <v>0</v>
      </c>
      <c r="HL25">
        <v>0</v>
      </c>
      <c r="HM25">
        <v>0</v>
      </c>
      <c r="HN25">
        <v>0</v>
      </c>
      <c r="HO25">
        <v>0</v>
      </c>
      <c r="HP25">
        <v>0</v>
      </c>
      <c r="HQ25">
        <v>0</v>
      </c>
      <c r="HR25">
        <v>0</v>
      </c>
      <c r="HS25">
        <v>0</v>
      </c>
      <c r="HT25">
        <v>0</v>
      </c>
      <c r="HU25">
        <f t="shared" si="18"/>
        <v>0</v>
      </c>
      <c r="HV25">
        <v>0</v>
      </c>
      <c r="HW25">
        <v>0</v>
      </c>
      <c r="HX25">
        <v>0</v>
      </c>
      <c r="HY25">
        <v>0</v>
      </c>
      <c r="HZ25">
        <v>0</v>
      </c>
      <c r="IA25">
        <v>0</v>
      </c>
      <c r="IB25">
        <v>0</v>
      </c>
      <c r="IC25">
        <v>0</v>
      </c>
      <c r="ID25">
        <v>0</v>
      </c>
      <c r="IE25">
        <v>0</v>
      </c>
      <c r="IF25">
        <v>0</v>
      </c>
      <c r="IG25">
        <v>0</v>
      </c>
      <c r="IH25">
        <f t="shared" si="19"/>
        <v>0</v>
      </c>
      <c r="II25">
        <f t="shared" si="20"/>
        <v>37994</v>
      </c>
      <c r="IJ25">
        <f t="shared" si="21"/>
        <v>0</v>
      </c>
      <c r="IK25">
        <v>44753</v>
      </c>
      <c r="IL25">
        <v>47290</v>
      </c>
      <c r="IM25">
        <v>43674</v>
      </c>
      <c r="IN25">
        <v>50119</v>
      </c>
      <c r="IO25">
        <v>52516</v>
      </c>
      <c r="IP25">
        <v>48103</v>
      </c>
      <c r="IQ25">
        <v>52380</v>
      </c>
      <c r="IR25">
        <v>46860</v>
      </c>
      <c r="IS25">
        <v>41208</v>
      </c>
      <c r="IT25">
        <v>49814</v>
      </c>
      <c r="IU25">
        <v>45819</v>
      </c>
      <c r="IV25">
        <v>47923</v>
      </c>
      <c r="IW25">
        <f t="shared" si="22"/>
        <v>570459</v>
      </c>
      <c r="IX25">
        <v>22659</v>
      </c>
      <c r="IY25">
        <v>25242</v>
      </c>
      <c r="IZ25">
        <v>22359</v>
      </c>
      <c r="JA25">
        <v>28088</v>
      </c>
      <c r="JB25">
        <v>29480</v>
      </c>
      <c r="JC25">
        <v>25649</v>
      </c>
      <c r="JD25">
        <v>28437</v>
      </c>
      <c r="JE25">
        <v>24677</v>
      </c>
      <c r="JF25">
        <v>21325</v>
      </c>
      <c r="JG25">
        <v>26256</v>
      </c>
      <c r="JH25">
        <v>25937</v>
      </c>
      <c r="JI25">
        <v>26133</v>
      </c>
      <c r="JJ25">
        <f t="shared" si="23"/>
        <v>306242</v>
      </c>
      <c r="JK25">
        <v>915</v>
      </c>
      <c r="JL25">
        <v>924</v>
      </c>
      <c r="JM25">
        <v>930</v>
      </c>
      <c r="JN25">
        <v>1138</v>
      </c>
      <c r="JO25">
        <v>1340</v>
      </c>
      <c r="JP25">
        <v>1095</v>
      </c>
      <c r="JQ25">
        <v>1170</v>
      </c>
      <c r="JR25">
        <v>916</v>
      </c>
      <c r="JS25">
        <v>820</v>
      </c>
      <c r="JT25">
        <v>885</v>
      </c>
      <c r="JU25">
        <v>869</v>
      </c>
      <c r="JV25">
        <v>833</v>
      </c>
      <c r="JW25">
        <f t="shared" si="24"/>
        <v>11835</v>
      </c>
      <c r="JX25">
        <v>21179</v>
      </c>
      <c r="JY25">
        <v>21124</v>
      </c>
      <c r="JZ25">
        <v>20385</v>
      </c>
      <c r="KA25">
        <v>20893</v>
      </c>
      <c r="KB25">
        <v>21696</v>
      </c>
      <c r="KC25">
        <v>21359</v>
      </c>
      <c r="KD25">
        <v>22773</v>
      </c>
      <c r="KE25">
        <v>21267</v>
      </c>
      <c r="KF25">
        <v>19063</v>
      </c>
      <c r="KG25">
        <v>22673</v>
      </c>
      <c r="KH25">
        <v>19553</v>
      </c>
      <c r="KI25">
        <v>20957</v>
      </c>
      <c r="KJ25">
        <f t="shared" si="25"/>
        <v>252922</v>
      </c>
      <c r="KK25">
        <v>172</v>
      </c>
      <c r="KL25">
        <v>197</v>
      </c>
      <c r="KM25">
        <v>177</v>
      </c>
      <c r="KN25">
        <v>207</v>
      </c>
      <c r="KO25">
        <v>208</v>
      </c>
      <c r="KP25">
        <v>219</v>
      </c>
      <c r="KQ25">
        <v>188</v>
      </c>
      <c r="KR25">
        <v>146</v>
      </c>
      <c r="KS25">
        <v>123</v>
      </c>
      <c r="KT25">
        <v>159</v>
      </c>
      <c r="KU25">
        <v>158</v>
      </c>
      <c r="KV25">
        <v>161</v>
      </c>
      <c r="KW25">
        <f t="shared" si="26"/>
        <v>2115</v>
      </c>
      <c r="KX25">
        <v>46</v>
      </c>
      <c r="KY25">
        <v>67</v>
      </c>
      <c r="KZ25">
        <v>34</v>
      </c>
      <c r="LA25">
        <v>46</v>
      </c>
      <c r="LB25">
        <v>66</v>
      </c>
      <c r="LC25">
        <v>79</v>
      </c>
      <c r="LD25">
        <v>58</v>
      </c>
      <c r="LE25">
        <v>36</v>
      </c>
      <c r="LF25">
        <v>23</v>
      </c>
      <c r="LG25">
        <v>41</v>
      </c>
      <c r="LH25">
        <v>43</v>
      </c>
      <c r="LI25">
        <v>36</v>
      </c>
      <c r="LJ25">
        <f t="shared" si="27"/>
        <v>575</v>
      </c>
      <c r="LK25">
        <v>0</v>
      </c>
      <c r="LL25">
        <v>0</v>
      </c>
      <c r="LM25">
        <v>0</v>
      </c>
      <c r="LN25">
        <v>0</v>
      </c>
      <c r="LO25">
        <v>0</v>
      </c>
      <c r="LP25">
        <v>0</v>
      </c>
      <c r="LQ25">
        <v>0</v>
      </c>
      <c r="LR25">
        <v>0</v>
      </c>
      <c r="LS25">
        <v>0</v>
      </c>
      <c r="LT25">
        <v>0</v>
      </c>
      <c r="LU25">
        <v>0</v>
      </c>
      <c r="LV25">
        <v>0</v>
      </c>
      <c r="LW25">
        <f t="shared" si="28"/>
        <v>0</v>
      </c>
      <c r="LX25">
        <v>126</v>
      </c>
      <c r="LY25">
        <v>130</v>
      </c>
      <c r="LZ25">
        <v>143</v>
      </c>
      <c r="MA25">
        <v>161</v>
      </c>
      <c r="MB25">
        <v>142</v>
      </c>
      <c r="MC25">
        <v>140</v>
      </c>
      <c r="MD25">
        <v>130</v>
      </c>
      <c r="ME25">
        <v>110</v>
      </c>
      <c r="MF25">
        <v>100</v>
      </c>
      <c r="MG25">
        <v>118</v>
      </c>
      <c r="MH25">
        <v>115</v>
      </c>
      <c r="MI25">
        <v>125</v>
      </c>
      <c r="MJ25">
        <f t="shared" si="29"/>
        <v>1540</v>
      </c>
      <c r="MK25">
        <v>3880</v>
      </c>
      <c r="ML25">
        <v>3741</v>
      </c>
      <c r="MM25">
        <v>3603</v>
      </c>
      <c r="MN25">
        <v>3671</v>
      </c>
      <c r="MO25">
        <v>4132</v>
      </c>
      <c r="MP25">
        <v>3826</v>
      </c>
      <c r="MQ25">
        <v>4021</v>
      </c>
      <c r="MR25">
        <v>3780</v>
      </c>
      <c r="MS25">
        <v>4064</v>
      </c>
      <c r="MT25">
        <v>4012</v>
      </c>
      <c r="MU25">
        <v>3838</v>
      </c>
      <c r="MV25">
        <v>4079</v>
      </c>
      <c r="MW25">
        <f t="shared" si="30"/>
        <v>46647</v>
      </c>
      <c r="MX25">
        <v>497</v>
      </c>
      <c r="MY25">
        <v>454</v>
      </c>
      <c r="MZ25">
        <v>460</v>
      </c>
      <c r="NA25">
        <v>558</v>
      </c>
      <c r="NB25">
        <v>562</v>
      </c>
      <c r="NC25">
        <v>507</v>
      </c>
      <c r="ND25">
        <v>558</v>
      </c>
      <c r="NE25">
        <v>520</v>
      </c>
      <c r="NF25">
        <v>517</v>
      </c>
      <c r="NG25">
        <v>531</v>
      </c>
      <c r="NH25">
        <v>496</v>
      </c>
      <c r="NI25">
        <v>498</v>
      </c>
      <c r="NJ25">
        <f t="shared" si="31"/>
        <v>6158</v>
      </c>
      <c r="NK25">
        <v>297</v>
      </c>
      <c r="NL25">
        <v>285</v>
      </c>
      <c r="NM25">
        <v>301</v>
      </c>
      <c r="NN25">
        <v>285</v>
      </c>
      <c r="NO25">
        <v>323</v>
      </c>
      <c r="NP25">
        <v>285</v>
      </c>
      <c r="NQ25">
        <v>282</v>
      </c>
      <c r="NR25">
        <v>274</v>
      </c>
      <c r="NS25">
        <v>320</v>
      </c>
      <c r="NT25">
        <v>294</v>
      </c>
      <c r="NU25">
        <v>315</v>
      </c>
      <c r="NV25">
        <v>288</v>
      </c>
      <c r="NW25">
        <f t="shared" si="32"/>
        <v>3549</v>
      </c>
      <c r="NX25">
        <v>3086</v>
      </c>
      <c r="NY25">
        <v>3002</v>
      </c>
      <c r="NZ25">
        <v>2842</v>
      </c>
      <c r="OA25">
        <v>2828</v>
      </c>
      <c r="OB25">
        <v>3247</v>
      </c>
      <c r="OC25">
        <v>3034</v>
      </c>
      <c r="OD25">
        <v>3181</v>
      </c>
      <c r="OE25">
        <v>2986</v>
      </c>
      <c r="OF25">
        <v>3224</v>
      </c>
      <c r="OG25">
        <v>3187</v>
      </c>
      <c r="OH25">
        <v>3027</v>
      </c>
      <c r="OI25">
        <v>3293</v>
      </c>
      <c r="OJ25">
        <f t="shared" si="33"/>
        <v>36937</v>
      </c>
      <c r="OK25">
        <v>5208</v>
      </c>
      <c r="OL25">
        <v>5138</v>
      </c>
      <c r="OM25">
        <v>4951</v>
      </c>
      <c r="ON25">
        <v>4896</v>
      </c>
      <c r="OO25">
        <v>5164</v>
      </c>
      <c r="OP25">
        <v>4889</v>
      </c>
      <c r="OQ25">
        <v>5313</v>
      </c>
      <c r="OR25">
        <v>5271</v>
      </c>
      <c r="OS25">
        <v>5252</v>
      </c>
      <c r="OT25">
        <v>5699</v>
      </c>
      <c r="OU25">
        <v>5292</v>
      </c>
      <c r="OV25">
        <v>6152</v>
      </c>
      <c r="OW25">
        <f t="shared" si="34"/>
        <v>63225</v>
      </c>
      <c r="OX25">
        <v>740</v>
      </c>
      <c r="OY25">
        <v>817</v>
      </c>
      <c r="OZ25">
        <v>673</v>
      </c>
      <c r="PA25">
        <v>714</v>
      </c>
      <c r="PB25">
        <v>780</v>
      </c>
      <c r="PC25">
        <v>646</v>
      </c>
      <c r="PD25">
        <v>710</v>
      </c>
      <c r="PE25">
        <v>687</v>
      </c>
      <c r="PF25">
        <v>768</v>
      </c>
      <c r="PG25">
        <v>754</v>
      </c>
      <c r="PH25">
        <v>750</v>
      </c>
      <c r="PI25">
        <v>878</v>
      </c>
      <c r="PJ25">
        <f t="shared" si="35"/>
        <v>8917</v>
      </c>
      <c r="PK25">
        <v>309</v>
      </c>
      <c r="PL25">
        <v>245</v>
      </c>
      <c r="PM25">
        <v>283</v>
      </c>
      <c r="PN25">
        <v>272</v>
      </c>
      <c r="PO25">
        <v>308</v>
      </c>
      <c r="PP25">
        <v>274</v>
      </c>
      <c r="PQ25">
        <v>280</v>
      </c>
      <c r="PR25">
        <v>183</v>
      </c>
      <c r="PS25">
        <v>259</v>
      </c>
      <c r="PT25">
        <v>290</v>
      </c>
      <c r="PU25">
        <v>247</v>
      </c>
      <c r="PV25">
        <v>301</v>
      </c>
      <c r="PW25">
        <f t="shared" si="36"/>
        <v>3251</v>
      </c>
      <c r="PX25">
        <v>4159</v>
      </c>
      <c r="PY25">
        <v>4076</v>
      </c>
      <c r="PZ25">
        <v>3995</v>
      </c>
      <c r="QA25">
        <v>3910</v>
      </c>
      <c r="QB25">
        <v>4076</v>
      </c>
      <c r="QC25">
        <v>3969</v>
      </c>
      <c r="QD25">
        <v>4323</v>
      </c>
      <c r="QE25">
        <v>4401</v>
      </c>
      <c r="QF25">
        <v>4225</v>
      </c>
      <c r="QG25">
        <v>4655</v>
      </c>
      <c r="QH25">
        <v>4295</v>
      </c>
      <c r="QI25">
        <v>4973</v>
      </c>
      <c r="QJ25">
        <f t="shared" si="37"/>
        <v>51057</v>
      </c>
      <c r="QK25">
        <v>30266</v>
      </c>
      <c r="QL25">
        <v>32930</v>
      </c>
      <c r="QM25">
        <v>30199</v>
      </c>
      <c r="QN25">
        <v>33418</v>
      </c>
      <c r="QO25">
        <v>32902</v>
      </c>
      <c r="QP25">
        <v>32269</v>
      </c>
      <c r="QQ25">
        <v>33507</v>
      </c>
      <c r="QR25">
        <v>31091</v>
      </c>
      <c r="QS25">
        <v>26857</v>
      </c>
      <c r="QT25">
        <v>33628</v>
      </c>
      <c r="QU25">
        <v>31735</v>
      </c>
      <c r="QV25">
        <v>33987</v>
      </c>
      <c r="QW25">
        <f t="shared" si="38"/>
        <v>382789</v>
      </c>
      <c r="QX25">
        <v>27938</v>
      </c>
      <c r="QY25">
        <v>31342</v>
      </c>
      <c r="QZ25">
        <v>27250</v>
      </c>
      <c r="RA25">
        <v>25230</v>
      </c>
      <c r="RB25">
        <v>24342</v>
      </c>
      <c r="RC25">
        <v>22925</v>
      </c>
      <c r="RD25">
        <v>28748</v>
      </c>
      <c r="RE25">
        <v>27749</v>
      </c>
      <c r="RF25">
        <v>20741</v>
      </c>
      <c r="RG25">
        <v>25594</v>
      </c>
      <c r="RH25">
        <v>25960</v>
      </c>
      <c r="RI25">
        <v>26176</v>
      </c>
      <c r="RJ25">
        <f t="shared" si="39"/>
        <v>313995</v>
      </c>
      <c r="RK25">
        <v>0</v>
      </c>
      <c r="RL25">
        <v>0</v>
      </c>
      <c r="RM25">
        <v>0</v>
      </c>
      <c r="RN25">
        <v>0</v>
      </c>
      <c r="RO25">
        <v>0</v>
      </c>
      <c r="RP25">
        <v>0</v>
      </c>
      <c r="RQ25">
        <v>0</v>
      </c>
      <c r="RR25">
        <v>0</v>
      </c>
      <c r="RS25">
        <v>0</v>
      </c>
      <c r="RT25">
        <v>0</v>
      </c>
      <c r="RU25">
        <v>0</v>
      </c>
      <c r="RV25">
        <v>0</v>
      </c>
      <c r="RW25">
        <f t="shared" si="40"/>
        <v>0</v>
      </c>
      <c r="RX25">
        <v>0</v>
      </c>
      <c r="RY25">
        <v>0</v>
      </c>
      <c r="RZ25">
        <v>0</v>
      </c>
      <c r="SA25">
        <v>0</v>
      </c>
      <c r="SB25">
        <v>0</v>
      </c>
      <c r="SC25">
        <v>0</v>
      </c>
      <c r="SD25">
        <v>0</v>
      </c>
      <c r="SE25">
        <v>0</v>
      </c>
      <c r="SF25">
        <v>0</v>
      </c>
      <c r="SG25">
        <v>0</v>
      </c>
      <c r="SH25">
        <v>0</v>
      </c>
      <c r="SI25">
        <v>0</v>
      </c>
      <c r="SJ25">
        <f t="shared" si="41"/>
        <v>0</v>
      </c>
      <c r="SK25">
        <v>83</v>
      </c>
      <c r="SL25">
        <v>63</v>
      </c>
      <c r="SM25">
        <v>58</v>
      </c>
      <c r="SN25">
        <v>89</v>
      </c>
      <c r="SO25">
        <v>68</v>
      </c>
      <c r="SP25">
        <v>75</v>
      </c>
      <c r="SQ25">
        <v>88</v>
      </c>
      <c r="SR25">
        <v>76</v>
      </c>
      <c r="SS25">
        <v>41</v>
      </c>
      <c r="ST25">
        <v>79</v>
      </c>
      <c r="SU25">
        <v>75</v>
      </c>
      <c r="SV25">
        <v>79</v>
      </c>
      <c r="SW25">
        <f t="shared" si="42"/>
        <v>874</v>
      </c>
      <c r="SX25" t="s">
        <v>1414</v>
      </c>
      <c r="SY25">
        <v>5501</v>
      </c>
      <c r="SZ25">
        <v>5607</v>
      </c>
      <c r="TA25">
        <v>4845</v>
      </c>
      <c r="TB25">
        <v>5033</v>
      </c>
      <c r="TC25">
        <v>4941</v>
      </c>
      <c r="TD25">
        <v>5498</v>
      </c>
      <c r="TE25">
        <v>5816</v>
      </c>
      <c r="TF25">
        <v>5608</v>
      </c>
      <c r="TG25">
        <v>4590</v>
      </c>
      <c r="TH25">
        <v>5722</v>
      </c>
      <c r="TI25">
        <v>5617</v>
      </c>
      <c r="TJ25">
        <v>5562</v>
      </c>
      <c r="TK25">
        <f t="shared" si="43"/>
        <v>64340</v>
      </c>
      <c r="TL25">
        <v>0</v>
      </c>
      <c r="TM25">
        <v>0</v>
      </c>
      <c r="TN25">
        <v>0</v>
      </c>
      <c r="TO25">
        <v>0</v>
      </c>
      <c r="TP25">
        <v>0</v>
      </c>
      <c r="TQ25">
        <v>0</v>
      </c>
      <c r="TR25">
        <v>0</v>
      </c>
      <c r="TS25">
        <v>0</v>
      </c>
      <c r="TT25">
        <v>0</v>
      </c>
      <c r="TU25">
        <v>0</v>
      </c>
      <c r="TV25">
        <v>0</v>
      </c>
      <c r="TW25">
        <v>0</v>
      </c>
      <c r="TX25">
        <f t="shared" si="44"/>
        <v>0</v>
      </c>
      <c r="TY25">
        <v>143</v>
      </c>
      <c r="TZ25">
        <v>0</v>
      </c>
      <c r="UA25">
        <v>0</v>
      </c>
      <c r="UB25">
        <v>0</v>
      </c>
    </row>
    <row r="26" spans="1:548" ht="16.5" customHeight="1" x14ac:dyDescent="0.35">
      <c r="A26" t="s">
        <v>1536</v>
      </c>
      <c r="B26" t="s">
        <v>2865</v>
      </c>
      <c r="C26">
        <v>32946</v>
      </c>
      <c r="D26">
        <v>0</v>
      </c>
      <c r="E26">
        <v>0</v>
      </c>
      <c r="F26" s="2">
        <v>0</v>
      </c>
      <c r="G26">
        <v>246</v>
      </c>
      <c r="H26">
        <v>257</v>
      </c>
      <c r="I26">
        <v>298</v>
      </c>
      <c r="J26">
        <v>275</v>
      </c>
      <c r="K26">
        <v>218</v>
      </c>
      <c r="L26">
        <v>267</v>
      </c>
      <c r="M26">
        <v>251</v>
      </c>
      <c r="N26">
        <v>207</v>
      </c>
      <c r="O26">
        <v>139</v>
      </c>
      <c r="P26">
        <v>224</v>
      </c>
      <c r="Q26">
        <v>252</v>
      </c>
      <c r="R26">
        <v>279</v>
      </c>
      <c r="S26">
        <f t="shared" si="0"/>
        <v>2913</v>
      </c>
      <c r="T26">
        <v>0</v>
      </c>
      <c r="U26">
        <v>0</v>
      </c>
      <c r="V26">
        <v>0</v>
      </c>
      <c r="W26">
        <v>0</v>
      </c>
      <c r="X26">
        <v>0</v>
      </c>
      <c r="Y26">
        <v>0</v>
      </c>
      <c r="Z26">
        <v>0</v>
      </c>
      <c r="AA26">
        <v>0</v>
      </c>
      <c r="AB26">
        <v>0</v>
      </c>
      <c r="AC26">
        <v>0</v>
      </c>
      <c r="AD26">
        <v>0</v>
      </c>
      <c r="AE26">
        <v>0</v>
      </c>
      <c r="AF26">
        <f t="shared" si="1"/>
        <v>0</v>
      </c>
      <c r="AG26">
        <v>0</v>
      </c>
      <c r="AH26">
        <v>0</v>
      </c>
      <c r="AI26">
        <v>0</v>
      </c>
      <c r="AJ26">
        <v>0</v>
      </c>
      <c r="AK26">
        <v>0</v>
      </c>
      <c r="AL26">
        <v>0</v>
      </c>
      <c r="AM26">
        <v>0</v>
      </c>
      <c r="AN26">
        <v>0</v>
      </c>
      <c r="AO26">
        <v>0</v>
      </c>
      <c r="AP26">
        <v>0</v>
      </c>
      <c r="AQ26">
        <v>0</v>
      </c>
      <c r="AR26">
        <v>0</v>
      </c>
      <c r="AS26">
        <f t="shared" si="2"/>
        <v>0</v>
      </c>
      <c r="AT26">
        <v>0</v>
      </c>
      <c r="AU26">
        <v>0</v>
      </c>
      <c r="AV26">
        <v>0</v>
      </c>
      <c r="AW26">
        <v>0</v>
      </c>
      <c r="AX26">
        <v>0</v>
      </c>
      <c r="AY26">
        <v>0</v>
      </c>
      <c r="AZ26">
        <v>0</v>
      </c>
      <c r="BA26">
        <v>0</v>
      </c>
      <c r="BB26">
        <v>0</v>
      </c>
      <c r="BC26">
        <v>0</v>
      </c>
      <c r="BD26">
        <v>0</v>
      </c>
      <c r="BE26">
        <v>0</v>
      </c>
      <c r="BF26">
        <f t="shared" si="3"/>
        <v>0</v>
      </c>
      <c r="BG26">
        <v>0</v>
      </c>
      <c r="BH26">
        <v>0</v>
      </c>
      <c r="BI26">
        <v>0</v>
      </c>
      <c r="BJ26">
        <v>0</v>
      </c>
      <c r="BK26">
        <v>0</v>
      </c>
      <c r="BL26">
        <v>0</v>
      </c>
      <c r="BM26">
        <v>0</v>
      </c>
      <c r="BN26">
        <v>0</v>
      </c>
      <c r="BO26">
        <v>0</v>
      </c>
      <c r="BP26">
        <v>0</v>
      </c>
      <c r="BQ26">
        <v>0</v>
      </c>
      <c r="BR26">
        <v>0</v>
      </c>
      <c r="BS26">
        <f t="shared" si="4"/>
        <v>0</v>
      </c>
      <c r="BT26">
        <v>0</v>
      </c>
      <c r="BU26">
        <v>0</v>
      </c>
      <c r="BV26">
        <v>0</v>
      </c>
      <c r="BW26">
        <v>0</v>
      </c>
      <c r="BX26">
        <v>0</v>
      </c>
      <c r="BY26">
        <v>0</v>
      </c>
      <c r="BZ26">
        <v>0</v>
      </c>
      <c r="CA26">
        <v>0</v>
      </c>
      <c r="CB26">
        <v>0</v>
      </c>
      <c r="CC26">
        <v>0</v>
      </c>
      <c r="CD26">
        <v>0</v>
      </c>
      <c r="CE26">
        <v>0</v>
      </c>
      <c r="CF26">
        <f t="shared" si="5"/>
        <v>0</v>
      </c>
      <c r="CG26">
        <v>0</v>
      </c>
      <c r="CH26">
        <v>0</v>
      </c>
      <c r="CI26">
        <v>0</v>
      </c>
      <c r="CJ26">
        <v>0</v>
      </c>
      <c r="CK26">
        <v>0</v>
      </c>
      <c r="CL26">
        <v>0</v>
      </c>
      <c r="CM26">
        <v>0</v>
      </c>
      <c r="CN26">
        <v>0</v>
      </c>
      <c r="CO26">
        <v>0</v>
      </c>
      <c r="CP26">
        <v>0</v>
      </c>
      <c r="CQ26">
        <v>0</v>
      </c>
      <c r="CR26">
        <v>0</v>
      </c>
      <c r="CS26">
        <f t="shared" si="6"/>
        <v>0</v>
      </c>
      <c r="CT26">
        <v>0</v>
      </c>
      <c r="CU26">
        <v>0</v>
      </c>
      <c r="CV26">
        <v>0</v>
      </c>
      <c r="CW26">
        <v>0</v>
      </c>
      <c r="CX26">
        <v>0</v>
      </c>
      <c r="CY26">
        <v>0</v>
      </c>
      <c r="CZ26">
        <v>0</v>
      </c>
      <c r="DA26">
        <v>0</v>
      </c>
      <c r="DB26">
        <v>0</v>
      </c>
      <c r="DC26">
        <v>0</v>
      </c>
      <c r="DD26">
        <v>0</v>
      </c>
      <c r="DE26">
        <v>0</v>
      </c>
      <c r="DF26">
        <f t="shared" si="7"/>
        <v>0</v>
      </c>
      <c r="DG26">
        <v>0</v>
      </c>
      <c r="DH26">
        <v>0</v>
      </c>
      <c r="DI26">
        <v>0</v>
      </c>
      <c r="DJ26">
        <v>0</v>
      </c>
      <c r="DK26">
        <v>0</v>
      </c>
      <c r="DL26">
        <v>0</v>
      </c>
      <c r="DM26">
        <v>0</v>
      </c>
      <c r="DN26">
        <v>0</v>
      </c>
      <c r="DO26">
        <v>0</v>
      </c>
      <c r="DP26">
        <v>0</v>
      </c>
      <c r="DQ26">
        <v>0</v>
      </c>
      <c r="DR26">
        <v>0</v>
      </c>
      <c r="DS26">
        <f t="shared" si="8"/>
        <v>0</v>
      </c>
      <c r="DT26">
        <v>0</v>
      </c>
      <c r="DU26">
        <v>0</v>
      </c>
      <c r="DV26">
        <v>0</v>
      </c>
      <c r="DW26">
        <v>0</v>
      </c>
      <c r="DX26">
        <v>0</v>
      </c>
      <c r="DY26">
        <v>0</v>
      </c>
      <c r="DZ26">
        <v>0</v>
      </c>
      <c r="EA26">
        <v>0</v>
      </c>
      <c r="EB26">
        <v>0</v>
      </c>
      <c r="EC26">
        <v>0</v>
      </c>
      <c r="ED26">
        <v>0</v>
      </c>
      <c r="EE26">
        <v>0</v>
      </c>
      <c r="EF26">
        <f t="shared" si="9"/>
        <v>0</v>
      </c>
      <c r="EG26">
        <f t="shared" si="10"/>
        <v>0</v>
      </c>
      <c r="EH26">
        <f t="shared" si="11"/>
        <v>0</v>
      </c>
      <c r="EI26" s="2">
        <v>2240</v>
      </c>
      <c r="EJ26" s="2">
        <v>2364</v>
      </c>
      <c r="EK26" s="2">
        <v>3046</v>
      </c>
      <c r="EL26" s="2">
        <v>2707</v>
      </c>
      <c r="EM26" s="2">
        <v>1960</v>
      </c>
      <c r="EN26" s="2">
        <v>1871</v>
      </c>
      <c r="EO26" s="2">
        <v>2457</v>
      </c>
      <c r="EP26" s="2">
        <v>1694</v>
      </c>
      <c r="EQ26" s="2">
        <v>1129</v>
      </c>
      <c r="ER26" s="2">
        <v>1486</v>
      </c>
      <c r="ES26" s="2">
        <v>2275</v>
      </c>
      <c r="ET26" s="2">
        <v>2679</v>
      </c>
      <c r="EU26" s="2">
        <f t="shared" si="12"/>
        <v>25908</v>
      </c>
      <c r="EV26" s="2">
        <v>0</v>
      </c>
      <c r="EW26" s="2">
        <v>0</v>
      </c>
      <c r="EX26" s="2">
        <v>0</v>
      </c>
      <c r="EY26" s="2">
        <v>0</v>
      </c>
      <c r="EZ26" s="2">
        <v>0</v>
      </c>
      <c r="FA26" s="2">
        <v>0</v>
      </c>
      <c r="FB26" s="2">
        <v>0</v>
      </c>
      <c r="FC26" s="2">
        <v>0</v>
      </c>
      <c r="FD26" s="2">
        <v>0</v>
      </c>
      <c r="FE26" s="2">
        <v>0</v>
      </c>
      <c r="FF26" s="2">
        <v>0</v>
      </c>
      <c r="FG26" s="2">
        <v>0</v>
      </c>
      <c r="FH26" s="2">
        <f t="shared" si="13"/>
        <v>0</v>
      </c>
      <c r="FI26" s="2">
        <v>0</v>
      </c>
      <c r="FJ26" s="2">
        <v>0</v>
      </c>
      <c r="FK26" s="2">
        <v>0</v>
      </c>
      <c r="FL26" s="2">
        <v>0</v>
      </c>
      <c r="FM26" s="2">
        <v>0</v>
      </c>
      <c r="FN26" s="2">
        <v>0</v>
      </c>
      <c r="FO26" s="2">
        <v>0</v>
      </c>
      <c r="FP26" s="2">
        <v>0</v>
      </c>
      <c r="FQ26" s="2">
        <v>0</v>
      </c>
      <c r="FR26" s="2">
        <v>0</v>
      </c>
      <c r="FS26" s="2">
        <v>0</v>
      </c>
      <c r="FT26" s="2">
        <v>0</v>
      </c>
      <c r="FU26" s="2">
        <f t="shared" si="14"/>
        <v>0</v>
      </c>
      <c r="FV26" s="2">
        <v>0</v>
      </c>
      <c r="FW26" s="2">
        <v>0</v>
      </c>
      <c r="FX26" s="2">
        <v>0</v>
      </c>
      <c r="FY26" s="2">
        <v>0</v>
      </c>
      <c r="FZ26" s="2">
        <v>0</v>
      </c>
      <c r="GA26" s="2">
        <v>0</v>
      </c>
      <c r="GB26" s="2">
        <v>0</v>
      </c>
      <c r="GC26" s="2">
        <v>0</v>
      </c>
      <c r="GD26" s="2">
        <v>0</v>
      </c>
      <c r="GE26" s="2">
        <v>0</v>
      </c>
      <c r="GF26" s="2">
        <v>0</v>
      </c>
      <c r="GG26" s="2">
        <v>0</v>
      </c>
      <c r="GH26" s="2">
        <f t="shared" si="15"/>
        <v>0</v>
      </c>
      <c r="GI26" s="2">
        <v>0</v>
      </c>
      <c r="GJ26" s="2">
        <v>0</v>
      </c>
      <c r="GK26" s="2">
        <v>0</v>
      </c>
      <c r="GL26" s="2">
        <v>0</v>
      </c>
      <c r="GM26" s="2">
        <v>0</v>
      </c>
      <c r="GN26" s="2">
        <v>0</v>
      </c>
      <c r="GO26" s="2">
        <v>0</v>
      </c>
      <c r="GP26" s="2">
        <v>0</v>
      </c>
      <c r="GQ26" s="2">
        <v>0</v>
      </c>
      <c r="GR26" s="2">
        <v>0</v>
      </c>
      <c r="GS26" s="2">
        <v>0</v>
      </c>
      <c r="GT26" s="2">
        <v>0</v>
      </c>
      <c r="GU26" s="2">
        <f t="shared" si="16"/>
        <v>0</v>
      </c>
      <c r="GV26" s="2">
        <v>0</v>
      </c>
      <c r="GW26" s="2">
        <v>0</v>
      </c>
      <c r="GX26" s="2">
        <v>0</v>
      </c>
      <c r="GY26" s="2">
        <v>0</v>
      </c>
      <c r="GZ26" s="2">
        <v>0</v>
      </c>
      <c r="HA26" s="2">
        <v>0</v>
      </c>
      <c r="HB26" s="2">
        <v>0</v>
      </c>
      <c r="HC26" s="2">
        <v>0</v>
      </c>
      <c r="HD26" s="2">
        <v>0</v>
      </c>
      <c r="HE26" s="2">
        <v>0</v>
      </c>
      <c r="HF26" s="2">
        <v>0</v>
      </c>
      <c r="HG26" s="2">
        <v>0</v>
      </c>
      <c r="HH26" s="2">
        <f t="shared" si="17"/>
        <v>0</v>
      </c>
      <c r="HI26" s="2">
        <v>0</v>
      </c>
      <c r="HJ26" s="2">
        <v>0</v>
      </c>
      <c r="HK26" s="2">
        <v>0</v>
      </c>
      <c r="HL26" s="2">
        <v>0</v>
      </c>
      <c r="HM26" s="2">
        <v>0</v>
      </c>
      <c r="HN26" s="2">
        <v>0</v>
      </c>
      <c r="HO26" s="2">
        <v>0</v>
      </c>
      <c r="HP26" s="2">
        <v>0</v>
      </c>
      <c r="HQ26" s="2">
        <v>0</v>
      </c>
      <c r="HR26" s="2">
        <v>0</v>
      </c>
      <c r="HS26" s="2">
        <v>0</v>
      </c>
      <c r="HT26" s="2">
        <v>0</v>
      </c>
      <c r="HU26" s="2">
        <f t="shared" si="18"/>
        <v>0</v>
      </c>
      <c r="HV26" s="2">
        <v>0</v>
      </c>
      <c r="HW26" s="2">
        <v>0</v>
      </c>
      <c r="HX26" s="2">
        <v>0</v>
      </c>
      <c r="HY26" s="2">
        <v>0</v>
      </c>
      <c r="HZ26" s="2">
        <v>0</v>
      </c>
      <c r="IA26" s="2">
        <v>0</v>
      </c>
      <c r="IB26" s="2">
        <v>0</v>
      </c>
      <c r="IC26" s="2">
        <v>0</v>
      </c>
      <c r="ID26" s="2">
        <v>0</v>
      </c>
      <c r="IE26" s="2">
        <v>0</v>
      </c>
      <c r="IF26" s="2">
        <v>0</v>
      </c>
      <c r="IG26" s="2">
        <v>0</v>
      </c>
      <c r="IH26" s="2">
        <f t="shared" si="19"/>
        <v>0</v>
      </c>
      <c r="II26" s="2">
        <f t="shared" si="20"/>
        <v>0</v>
      </c>
      <c r="IJ26" s="2">
        <f t="shared" si="21"/>
        <v>0</v>
      </c>
      <c r="IK26" s="2">
        <v>31928</v>
      </c>
      <c r="IL26" s="2">
        <v>33746</v>
      </c>
      <c r="IM26" s="2">
        <v>32054</v>
      </c>
      <c r="IN26" s="2">
        <v>39280</v>
      </c>
      <c r="IO26" s="2">
        <v>38965</v>
      </c>
      <c r="IP26" s="2">
        <v>36189</v>
      </c>
      <c r="IQ26" s="2">
        <v>34875</v>
      </c>
      <c r="IR26" s="2">
        <v>27006</v>
      </c>
      <c r="IS26" s="2">
        <v>23580</v>
      </c>
      <c r="IT26" s="2">
        <v>28905</v>
      </c>
      <c r="IU26" s="2">
        <v>29535</v>
      </c>
      <c r="IV26" s="2">
        <v>30994</v>
      </c>
      <c r="IW26" s="2">
        <f t="shared" si="22"/>
        <v>387057</v>
      </c>
      <c r="IX26" s="2">
        <v>0</v>
      </c>
      <c r="IY26" s="2">
        <v>0</v>
      </c>
      <c r="IZ26" s="2">
        <v>0</v>
      </c>
      <c r="JA26" s="2">
        <v>0</v>
      </c>
      <c r="JB26" s="2">
        <v>0</v>
      </c>
      <c r="JC26" s="2">
        <v>0</v>
      </c>
      <c r="JD26" s="2">
        <v>0</v>
      </c>
      <c r="JE26" s="2">
        <v>0</v>
      </c>
      <c r="JF26" s="2">
        <v>0</v>
      </c>
      <c r="JG26" s="2">
        <v>0</v>
      </c>
      <c r="JH26" s="2">
        <v>0</v>
      </c>
      <c r="JI26" s="2">
        <v>0</v>
      </c>
      <c r="JJ26" s="2">
        <f t="shared" si="23"/>
        <v>0</v>
      </c>
      <c r="JK26" s="2">
        <v>0</v>
      </c>
      <c r="JL26" s="2">
        <v>0</v>
      </c>
      <c r="JM26" s="2">
        <v>0</v>
      </c>
      <c r="JN26" s="2">
        <v>0</v>
      </c>
      <c r="JO26" s="2">
        <v>0</v>
      </c>
      <c r="JP26" s="2">
        <v>0</v>
      </c>
      <c r="JQ26" s="2">
        <v>0</v>
      </c>
      <c r="JR26" s="2">
        <v>0</v>
      </c>
      <c r="JS26" s="2">
        <v>0</v>
      </c>
      <c r="JT26" s="2">
        <v>0</v>
      </c>
      <c r="JU26" s="2">
        <v>0</v>
      </c>
      <c r="JV26" s="2">
        <v>0</v>
      </c>
      <c r="JW26" s="2">
        <f t="shared" si="24"/>
        <v>0</v>
      </c>
      <c r="JX26" s="2">
        <v>21705</v>
      </c>
      <c r="JY26" s="2">
        <v>22937</v>
      </c>
      <c r="JZ26" s="2">
        <v>21427</v>
      </c>
      <c r="KA26" s="2">
        <v>24060</v>
      </c>
      <c r="KB26" s="2">
        <v>22681</v>
      </c>
      <c r="KC26" s="2">
        <v>24417</v>
      </c>
      <c r="KD26" s="2">
        <v>22552</v>
      </c>
      <c r="KE26" s="2">
        <v>18774</v>
      </c>
      <c r="KF26" s="2">
        <v>16743</v>
      </c>
      <c r="KG26" s="2">
        <v>20215</v>
      </c>
      <c r="KH26" s="2">
        <v>19878</v>
      </c>
      <c r="KI26" s="2">
        <v>20873</v>
      </c>
      <c r="KJ26" s="2">
        <f t="shared" si="25"/>
        <v>256262</v>
      </c>
      <c r="KK26">
        <v>679</v>
      </c>
      <c r="KL26">
        <v>657</v>
      </c>
      <c r="KM26">
        <v>714</v>
      </c>
      <c r="KN26">
        <v>708</v>
      </c>
      <c r="KO26">
        <v>736</v>
      </c>
      <c r="KP26">
        <v>836</v>
      </c>
      <c r="KQ26">
        <v>850</v>
      </c>
      <c r="KR26">
        <v>658</v>
      </c>
      <c r="KS26">
        <v>503</v>
      </c>
      <c r="KT26">
        <v>656</v>
      </c>
      <c r="KU26">
        <v>607</v>
      </c>
      <c r="KV26">
        <v>690</v>
      </c>
      <c r="KW26">
        <f t="shared" si="26"/>
        <v>8294</v>
      </c>
      <c r="KX26">
        <v>0</v>
      </c>
      <c r="KY26">
        <v>0</v>
      </c>
      <c r="KZ26">
        <v>0</v>
      </c>
      <c r="LA26">
        <v>0</v>
      </c>
      <c r="LB26">
        <v>0</v>
      </c>
      <c r="LC26">
        <v>0</v>
      </c>
      <c r="LD26">
        <v>0</v>
      </c>
      <c r="LE26">
        <v>0</v>
      </c>
      <c r="LF26">
        <v>0</v>
      </c>
      <c r="LG26">
        <v>0</v>
      </c>
      <c r="LH26">
        <v>0</v>
      </c>
      <c r="LI26">
        <v>0</v>
      </c>
      <c r="LJ26">
        <f t="shared" si="27"/>
        <v>0</v>
      </c>
      <c r="LK26">
        <v>0</v>
      </c>
      <c r="LL26">
        <v>0</v>
      </c>
      <c r="LM26">
        <v>0</v>
      </c>
      <c r="LN26">
        <v>0</v>
      </c>
      <c r="LO26">
        <v>0</v>
      </c>
      <c r="LP26">
        <v>0</v>
      </c>
      <c r="LQ26">
        <v>0</v>
      </c>
      <c r="LR26">
        <v>0</v>
      </c>
      <c r="LS26">
        <v>0</v>
      </c>
      <c r="LT26">
        <v>0</v>
      </c>
      <c r="LU26">
        <v>0</v>
      </c>
      <c r="LV26">
        <v>0</v>
      </c>
      <c r="LW26">
        <f t="shared" si="28"/>
        <v>0</v>
      </c>
      <c r="LX26">
        <v>622</v>
      </c>
      <c r="LY26">
        <v>609</v>
      </c>
      <c r="LZ26">
        <v>668</v>
      </c>
      <c r="MA26">
        <v>647</v>
      </c>
      <c r="MB26">
        <v>665</v>
      </c>
      <c r="MC26">
        <v>782</v>
      </c>
      <c r="MD26">
        <v>811</v>
      </c>
      <c r="ME26">
        <v>642</v>
      </c>
      <c r="MF26">
        <v>484</v>
      </c>
      <c r="MG26">
        <v>618</v>
      </c>
      <c r="MH26">
        <v>567</v>
      </c>
      <c r="MI26">
        <v>651</v>
      </c>
      <c r="MJ26">
        <f t="shared" si="29"/>
        <v>7766</v>
      </c>
      <c r="MK26" s="2">
        <v>14009</v>
      </c>
      <c r="ML26" s="2">
        <v>14176</v>
      </c>
      <c r="MM26" s="2">
        <v>14095</v>
      </c>
      <c r="MN26" s="2">
        <v>13484</v>
      </c>
      <c r="MO26" s="2">
        <v>15284</v>
      </c>
      <c r="MP26" s="2">
        <v>14749</v>
      </c>
      <c r="MQ26" s="2">
        <v>15250</v>
      </c>
      <c r="MR26" s="2">
        <v>14978</v>
      </c>
      <c r="MS26" s="2">
        <v>14635</v>
      </c>
      <c r="MT26" s="2">
        <v>16025</v>
      </c>
      <c r="MU26" s="2">
        <v>15010</v>
      </c>
      <c r="MV26" s="2">
        <v>16498</v>
      </c>
      <c r="MW26" s="2">
        <f t="shared" si="30"/>
        <v>178193</v>
      </c>
      <c r="MX26" s="2">
        <v>0</v>
      </c>
      <c r="MY26" s="2">
        <v>0</v>
      </c>
      <c r="MZ26" s="2">
        <v>0</v>
      </c>
      <c r="NA26" s="2">
        <v>0</v>
      </c>
      <c r="NB26" s="2">
        <v>0</v>
      </c>
      <c r="NC26" s="2">
        <v>0</v>
      </c>
      <c r="ND26" s="2">
        <v>0</v>
      </c>
      <c r="NE26" s="2">
        <v>0</v>
      </c>
      <c r="NF26" s="2">
        <v>0</v>
      </c>
      <c r="NG26" s="2">
        <v>0</v>
      </c>
      <c r="NH26" s="2">
        <v>0</v>
      </c>
      <c r="NI26" s="2">
        <v>0</v>
      </c>
      <c r="NJ26" s="2">
        <f t="shared" si="31"/>
        <v>0</v>
      </c>
      <c r="NK26" s="2">
        <v>0</v>
      </c>
      <c r="NL26" s="2">
        <v>0</v>
      </c>
      <c r="NM26" s="2">
        <v>0</v>
      </c>
      <c r="NN26" s="2">
        <v>0</v>
      </c>
      <c r="NO26" s="2">
        <v>0</v>
      </c>
      <c r="NP26" s="2">
        <v>0</v>
      </c>
      <c r="NQ26" s="2">
        <v>0</v>
      </c>
      <c r="NR26" s="2">
        <v>0</v>
      </c>
      <c r="NS26" s="2">
        <v>0</v>
      </c>
      <c r="NT26" s="2">
        <v>0</v>
      </c>
      <c r="NU26" s="2">
        <v>0</v>
      </c>
      <c r="NV26" s="2">
        <v>0</v>
      </c>
      <c r="NW26" s="2">
        <f t="shared" si="32"/>
        <v>0</v>
      </c>
      <c r="NX26" s="2">
        <v>0</v>
      </c>
      <c r="NY26" s="2">
        <v>0</v>
      </c>
      <c r="NZ26" s="2">
        <v>0</v>
      </c>
      <c r="OA26" s="2">
        <v>0</v>
      </c>
      <c r="OB26" s="2">
        <v>0</v>
      </c>
      <c r="OC26" s="2">
        <v>0</v>
      </c>
      <c r="OD26" s="2">
        <v>0</v>
      </c>
      <c r="OE26" s="2">
        <v>0</v>
      </c>
      <c r="OF26" s="2">
        <v>0</v>
      </c>
      <c r="OG26" s="2">
        <v>0</v>
      </c>
      <c r="OH26" s="2">
        <v>0</v>
      </c>
      <c r="OI26" s="2">
        <v>0</v>
      </c>
      <c r="OJ26" s="2">
        <f t="shared" si="33"/>
        <v>0</v>
      </c>
      <c r="OK26" s="2">
        <v>7806</v>
      </c>
      <c r="OL26" s="2">
        <v>8340</v>
      </c>
      <c r="OM26" s="2">
        <v>8192</v>
      </c>
      <c r="ON26" s="2">
        <v>7916</v>
      </c>
      <c r="OO26" s="2">
        <v>8994</v>
      </c>
      <c r="OP26" s="2">
        <v>8381</v>
      </c>
      <c r="OQ26" s="2">
        <v>8855</v>
      </c>
      <c r="OR26" s="2">
        <v>8316</v>
      </c>
      <c r="OS26" s="2">
        <v>8432</v>
      </c>
      <c r="OT26" s="2">
        <v>9041</v>
      </c>
      <c r="OU26" s="2">
        <v>8167</v>
      </c>
      <c r="OV26" s="2">
        <v>9414</v>
      </c>
      <c r="OW26" s="2">
        <f t="shared" si="34"/>
        <v>101854</v>
      </c>
      <c r="OX26" s="2">
        <v>0</v>
      </c>
      <c r="OY26" s="2">
        <v>0</v>
      </c>
      <c r="OZ26" s="2">
        <v>0</v>
      </c>
      <c r="PA26" s="2">
        <v>0</v>
      </c>
      <c r="PB26" s="2">
        <v>0</v>
      </c>
      <c r="PC26" s="2">
        <v>0</v>
      </c>
      <c r="PD26" s="2">
        <v>0</v>
      </c>
      <c r="PE26" s="2">
        <v>0</v>
      </c>
      <c r="PF26" s="2">
        <v>0</v>
      </c>
      <c r="PG26" s="2">
        <v>0</v>
      </c>
      <c r="PH26" s="2">
        <v>0</v>
      </c>
      <c r="PI26" s="2">
        <v>0</v>
      </c>
      <c r="PJ26" s="2">
        <f t="shared" si="35"/>
        <v>0</v>
      </c>
      <c r="PK26" s="2">
        <v>0</v>
      </c>
      <c r="PL26" s="2">
        <v>0</v>
      </c>
      <c r="PM26" s="2">
        <v>0</v>
      </c>
      <c r="PN26" s="2">
        <v>0</v>
      </c>
      <c r="PO26" s="2">
        <v>0</v>
      </c>
      <c r="PP26" s="2">
        <v>0</v>
      </c>
      <c r="PQ26" s="2">
        <v>0</v>
      </c>
      <c r="PR26" s="2">
        <v>0</v>
      </c>
      <c r="PS26" s="2">
        <v>0</v>
      </c>
      <c r="PT26" s="2">
        <v>0</v>
      </c>
      <c r="PU26" s="2">
        <v>0</v>
      </c>
      <c r="PV26" s="2">
        <v>0</v>
      </c>
      <c r="PW26" s="2">
        <f t="shared" si="36"/>
        <v>0</v>
      </c>
      <c r="PX26" s="2">
        <v>0</v>
      </c>
      <c r="PY26" s="2">
        <v>0</v>
      </c>
      <c r="PZ26" s="2">
        <v>0</v>
      </c>
      <c r="QA26" s="2">
        <v>0</v>
      </c>
      <c r="QB26" s="2">
        <v>0</v>
      </c>
      <c r="QC26" s="2">
        <v>0</v>
      </c>
      <c r="QD26" s="2">
        <v>0</v>
      </c>
      <c r="QE26" s="2">
        <v>0</v>
      </c>
      <c r="QF26" s="2">
        <v>0</v>
      </c>
      <c r="QG26" s="2">
        <v>0</v>
      </c>
      <c r="QH26" s="2">
        <v>0</v>
      </c>
      <c r="QI26" s="2">
        <v>0</v>
      </c>
      <c r="QJ26" s="2">
        <f t="shared" si="37"/>
        <v>0</v>
      </c>
      <c r="QK26" s="2">
        <v>28278</v>
      </c>
      <c r="QL26" s="2">
        <v>28398</v>
      </c>
      <c r="QM26" s="2">
        <v>25934</v>
      </c>
      <c r="QN26" s="2">
        <v>33160</v>
      </c>
      <c r="QO26" s="2">
        <v>24371</v>
      </c>
      <c r="QP26" s="2">
        <v>29680</v>
      </c>
      <c r="QQ26" s="2">
        <v>31858</v>
      </c>
      <c r="QR26" s="2">
        <v>23467</v>
      </c>
      <c r="QS26" s="2">
        <v>20251</v>
      </c>
      <c r="QT26" s="2">
        <v>25828</v>
      </c>
      <c r="QU26" s="2">
        <v>30581</v>
      </c>
      <c r="QV26" s="2">
        <v>28117</v>
      </c>
      <c r="QW26" s="2">
        <f t="shared" si="38"/>
        <v>329923</v>
      </c>
      <c r="QX26" s="2">
        <v>0</v>
      </c>
      <c r="QY26" s="2">
        <v>0</v>
      </c>
      <c r="QZ26" s="2">
        <v>0</v>
      </c>
      <c r="RA26" s="2">
        <v>0</v>
      </c>
      <c r="RB26" s="2">
        <v>0</v>
      </c>
      <c r="RC26" s="2">
        <v>0</v>
      </c>
      <c r="RD26" s="2">
        <v>0</v>
      </c>
      <c r="RE26" s="2">
        <v>0</v>
      </c>
      <c r="RF26" s="2">
        <v>0</v>
      </c>
      <c r="RG26" s="2">
        <v>0</v>
      </c>
      <c r="RH26" s="2">
        <v>0</v>
      </c>
      <c r="RI26" s="2">
        <v>0</v>
      </c>
      <c r="RJ26" s="2">
        <f t="shared" si="39"/>
        <v>0</v>
      </c>
      <c r="RK26" s="2">
        <v>0</v>
      </c>
      <c r="RL26" s="2">
        <v>0</v>
      </c>
      <c r="RM26" s="2">
        <v>0</v>
      </c>
      <c r="RN26" s="2">
        <v>0</v>
      </c>
      <c r="RO26" s="2">
        <v>0</v>
      </c>
      <c r="RP26" s="2">
        <v>0</v>
      </c>
      <c r="RQ26" s="2">
        <v>0</v>
      </c>
      <c r="RR26" s="2">
        <v>0</v>
      </c>
      <c r="RS26" s="2">
        <v>0</v>
      </c>
      <c r="RT26" s="2">
        <v>0</v>
      </c>
      <c r="RU26" s="2">
        <v>0</v>
      </c>
      <c r="RV26" s="2">
        <v>0</v>
      </c>
      <c r="RW26" s="2">
        <f t="shared" si="40"/>
        <v>0</v>
      </c>
      <c r="RX26" s="2">
        <v>0</v>
      </c>
      <c r="RY26" s="2">
        <v>0</v>
      </c>
      <c r="RZ26" s="2">
        <v>0</v>
      </c>
      <c r="SA26" s="2">
        <v>0</v>
      </c>
      <c r="SB26" s="2">
        <v>0</v>
      </c>
      <c r="SC26" s="2">
        <v>0</v>
      </c>
      <c r="SD26" s="2">
        <v>0</v>
      </c>
      <c r="SE26" s="2">
        <v>0</v>
      </c>
      <c r="SF26" s="2">
        <v>0</v>
      </c>
      <c r="SG26" s="2">
        <v>0</v>
      </c>
      <c r="SH26" s="2">
        <v>0</v>
      </c>
      <c r="SI26" s="2">
        <v>0</v>
      </c>
      <c r="SJ26" s="2">
        <f t="shared" si="41"/>
        <v>0</v>
      </c>
      <c r="SK26" s="2">
        <v>0</v>
      </c>
      <c r="SL26" s="2">
        <v>0</v>
      </c>
      <c r="SM26" s="2">
        <v>0</v>
      </c>
      <c r="SN26" s="2">
        <v>0</v>
      </c>
      <c r="SO26" s="2">
        <v>0</v>
      </c>
      <c r="SP26" s="2">
        <v>0</v>
      </c>
      <c r="SQ26" s="2">
        <v>0</v>
      </c>
      <c r="SR26" s="2">
        <v>0</v>
      </c>
      <c r="SS26" s="2">
        <v>0</v>
      </c>
      <c r="ST26" s="2">
        <v>0</v>
      </c>
      <c r="SU26" s="2">
        <v>0</v>
      </c>
      <c r="SV26" s="2">
        <v>0</v>
      </c>
      <c r="SW26" s="2">
        <f t="shared" si="42"/>
        <v>0</v>
      </c>
      <c r="SX26" t="s">
        <v>1374</v>
      </c>
      <c r="SY26">
        <v>2191</v>
      </c>
      <c r="SZ26">
        <v>2281</v>
      </c>
      <c r="TA26">
        <v>2424</v>
      </c>
      <c r="TB26">
        <v>2722</v>
      </c>
      <c r="TC26">
        <v>2415</v>
      </c>
      <c r="TD26">
        <v>2237</v>
      </c>
      <c r="TE26">
        <v>2313</v>
      </c>
      <c r="TF26">
        <v>1418</v>
      </c>
      <c r="TG26">
        <v>1354</v>
      </c>
      <c r="TH26">
        <v>1590</v>
      </c>
      <c r="TI26">
        <v>1915</v>
      </c>
      <c r="TJ26">
        <v>1921</v>
      </c>
      <c r="TK26">
        <f>ROUND(SUM(SY26:TJ26),0)</f>
        <v>24781</v>
      </c>
      <c r="TL26">
        <v>19190</v>
      </c>
      <c r="TM26">
        <v>18966</v>
      </c>
      <c r="TN26">
        <v>21652</v>
      </c>
      <c r="TO26">
        <v>22298</v>
      </c>
      <c r="TP26">
        <v>19582</v>
      </c>
      <c r="TQ26">
        <v>21481</v>
      </c>
      <c r="TR26">
        <v>21646</v>
      </c>
      <c r="TS26">
        <v>21090</v>
      </c>
      <c r="TT26">
        <v>13577</v>
      </c>
      <c r="TU26">
        <v>13030</v>
      </c>
      <c r="TV26">
        <v>14345</v>
      </c>
      <c r="TW26">
        <v>15784</v>
      </c>
      <c r="TX26">
        <f t="shared" si="44"/>
        <v>222641</v>
      </c>
      <c r="TY26">
        <v>248</v>
      </c>
      <c r="TZ26">
        <v>0</v>
      </c>
      <c r="UA26">
        <v>0</v>
      </c>
      <c r="UB26">
        <v>0</v>
      </c>
    </row>
    <row r="27" spans="1:548" ht="16.5" customHeight="1" x14ac:dyDescent="0.35">
      <c r="A27" t="s">
        <v>1411</v>
      </c>
      <c r="B27" t="s">
        <v>2865</v>
      </c>
      <c r="C27">
        <v>6856</v>
      </c>
      <c r="D27">
        <v>0</v>
      </c>
      <c r="E27">
        <v>0</v>
      </c>
      <c r="F27">
        <v>0</v>
      </c>
      <c r="G27">
        <v>126</v>
      </c>
      <c r="H27">
        <v>123</v>
      </c>
      <c r="I27">
        <v>130</v>
      </c>
      <c r="J27">
        <v>126</v>
      </c>
      <c r="K27">
        <v>106</v>
      </c>
      <c r="L27">
        <v>107</v>
      </c>
      <c r="M27">
        <v>137</v>
      </c>
      <c r="N27">
        <v>172</v>
      </c>
      <c r="O27">
        <v>97</v>
      </c>
      <c r="P27">
        <v>120</v>
      </c>
      <c r="Q27">
        <v>134</v>
      </c>
      <c r="R27">
        <v>163</v>
      </c>
      <c r="S27">
        <f t="shared" si="0"/>
        <v>1541</v>
      </c>
      <c r="T27">
        <v>0</v>
      </c>
      <c r="U27">
        <v>0</v>
      </c>
      <c r="V27">
        <v>0</v>
      </c>
      <c r="W27">
        <v>0</v>
      </c>
      <c r="X27">
        <v>0</v>
      </c>
      <c r="Y27">
        <v>0</v>
      </c>
      <c r="Z27">
        <v>0</v>
      </c>
      <c r="AA27">
        <v>0</v>
      </c>
      <c r="AB27">
        <v>0</v>
      </c>
      <c r="AC27">
        <v>0</v>
      </c>
      <c r="AD27">
        <v>0</v>
      </c>
      <c r="AE27">
        <v>0</v>
      </c>
      <c r="AF27">
        <f t="shared" si="1"/>
        <v>0</v>
      </c>
      <c r="AG27">
        <v>0</v>
      </c>
      <c r="AH27">
        <v>0</v>
      </c>
      <c r="AI27">
        <v>0</v>
      </c>
      <c r="AJ27">
        <v>0</v>
      </c>
      <c r="AK27">
        <v>0</v>
      </c>
      <c r="AL27">
        <v>0</v>
      </c>
      <c r="AM27">
        <v>0</v>
      </c>
      <c r="AN27">
        <v>0</v>
      </c>
      <c r="AO27">
        <v>0</v>
      </c>
      <c r="AP27">
        <v>0</v>
      </c>
      <c r="AQ27">
        <v>0</v>
      </c>
      <c r="AR27">
        <v>0</v>
      </c>
      <c r="AS27">
        <f t="shared" si="2"/>
        <v>0</v>
      </c>
      <c r="AT27">
        <v>0</v>
      </c>
      <c r="AU27">
        <v>0</v>
      </c>
      <c r="AV27">
        <v>0</v>
      </c>
      <c r="AW27">
        <v>0</v>
      </c>
      <c r="AX27">
        <v>0</v>
      </c>
      <c r="AY27">
        <v>0</v>
      </c>
      <c r="AZ27">
        <v>0</v>
      </c>
      <c r="BA27">
        <v>0</v>
      </c>
      <c r="BB27">
        <v>0</v>
      </c>
      <c r="BC27">
        <v>0</v>
      </c>
      <c r="BD27">
        <v>0</v>
      </c>
      <c r="BE27">
        <v>0</v>
      </c>
      <c r="BF27">
        <f t="shared" si="3"/>
        <v>0</v>
      </c>
      <c r="BG27">
        <v>0</v>
      </c>
      <c r="BH27">
        <v>0</v>
      </c>
      <c r="BI27">
        <v>0</v>
      </c>
      <c r="BJ27">
        <v>0</v>
      </c>
      <c r="BK27">
        <v>0</v>
      </c>
      <c r="BL27">
        <v>0</v>
      </c>
      <c r="BM27">
        <v>0</v>
      </c>
      <c r="BN27">
        <v>0</v>
      </c>
      <c r="BO27">
        <v>0</v>
      </c>
      <c r="BP27">
        <v>0</v>
      </c>
      <c r="BQ27">
        <v>0</v>
      </c>
      <c r="BR27">
        <v>0</v>
      </c>
      <c r="BS27">
        <f t="shared" si="4"/>
        <v>0</v>
      </c>
      <c r="BT27">
        <v>0</v>
      </c>
      <c r="BU27">
        <v>0</v>
      </c>
      <c r="BV27">
        <v>0</v>
      </c>
      <c r="BW27">
        <v>0</v>
      </c>
      <c r="BX27">
        <v>0</v>
      </c>
      <c r="BY27">
        <v>0</v>
      </c>
      <c r="BZ27">
        <v>0</v>
      </c>
      <c r="CA27">
        <v>0</v>
      </c>
      <c r="CB27">
        <v>0</v>
      </c>
      <c r="CC27">
        <v>0</v>
      </c>
      <c r="CD27">
        <v>0</v>
      </c>
      <c r="CE27">
        <v>0</v>
      </c>
      <c r="CF27">
        <f t="shared" si="5"/>
        <v>0</v>
      </c>
      <c r="CG27">
        <v>0</v>
      </c>
      <c r="CH27">
        <v>0</v>
      </c>
      <c r="CI27">
        <v>0</v>
      </c>
      <c r="CJ27">
        <v>0</v>
      </c>
      <c r="CK27">
        <v>0</v>
      </c>
      <c r="CL27">
        <v>0</v>
      </c>
      <c r="CM27">
        <v>0</v>
      </c>
      <c r="CN27">
        <v>0</v>
      </c>
      <c r="CO27">
        <v>0</v>
      </c>
      <c r="CP27">
        <v>0</v>
      </c>
      <c r="CQ27">
        <v>0</v>
      </c>
      <c r="CR27">
        <v>0</v>
      </c>
      <c r="CS27">
        <f t="shared" si="6"/>
        <v>0</v>
      </c>
      <c r="CT27">
        <v>0</v>
      </c>
      <c r="CU27">
        <v>0</v>
      </c>
      <c r="CV27">
        <v>0</v>
      </c>
      <c r="CW27">
        <v>0</v>
      </c>
      <c r="CX27">
        <v>0</v>
      </c>
      <c r="CY27">
        <v>0</v>
      </c>
      <c r="CZ27">
        <v>0</v>
      </c>
      <c r="DA27">
        <v>0</v>
      </c>
      <c r="DB27">
        <v>0</v>
      </c>
      <c r="DC27">
        <v>0</v>
      </c>
      <c r="DD27">
        <v>0</v>
      </c>
      <c r="DE27">
        <v>0</v>
      </c>
      <c r="DF27">
        <f t="shared" si="7"/>
        <v>0</v>
      </c>
      <c r="DG27">
        <v>0</v>
      </c>
      <c r="DH27">
        <v>0</v>
      </c>
      <c r="DI27">
        <v>0</v>
      </c>
      <c r="DJ27">
        <v>0</v>
      </c>
      <c r="DK27">
        <v>0</v>
      </c>
      <c r="DL27">
        <v>0</v>
      </c>
      <c r="DM27">
        <v>0</v>
      </c>
      <c r="DN27">
        <v>0</v>
      </c>
      <c r="DO27">
        <v>0</v>
      </c>
      <c r="DP27">
        <v>0</v>
      </c>
      <c r="DQ27">
        <v>0</v>
      </c>
      <c r="DR27">
        <v>0</v>
      </c>
      <c r="DS27">
        <f t="shared" si="8"/>
        <v>0</v>
      </c>
      <c r="DT27">
        <v>0</v>
      </c>
      <c r="DU27">
        <v>0</v>
      </c>
      <c r="DV27">
        <v>0</v>
      </c>
      <c r="DW27">
        <v>0</v>
      </c>
      <c r="DX27">
        <v>0</v>
      </c>
      <c r="DY27">
        <v>0</v>
      </c>
      <c r="DZ27">
        <v>0</v>
      </c>
      <c r="EA27">
        <v>0</v>
      </c>
      <c r="EB27">
        <v>0</v>
      </c>
      <c r="EC27">
        <v>0</v>
      </c>
      <c r="ED27">
        <v>0</v>
      </c>
      <c r="EE27">
        <v>0</v>
      </c>
      <c r="EF27">
        <f t="shared" si="9"/>
        <v>0</v>
      </c>
      <c r="EG27">
        <f t="shared" si="10"/>
        <v>0</v>
      </c>
      <c r="EH27">
        <f t="shared" si="11"/>
        <v>0</v>
      </c>
      <c r="EI27">
        <v>2624</v>
      </c>
      <c r="EJ27">
        <v>2234</v>
      </c>
      <c r="EK27">
        <v>3891</v>
      </c>
      <c r="EL27">
        <v>8107</v>
      </c>
      <c r="EM27">
        <v>4150</v>
      </c>
      <c r="EN27">
        <v>2350</v>
      </c>
      <c r="EO27">
        <v>3221</v>
      </c>
      <c r="EP27">
        <v>4983</v>
      </c>
      <c r="EQ27">
        <v>1992</v>
      </c>
      <c r="ER27">
        <v>3592</v>
      </c>
      <c r="ES27">
        <v>2517</v>
      </c>
      <c r="ET27">
        <v>4822</v>
      </c>
      <c r="EU27">
        <f t="shared" si="12"/>
        <v>44483</v>
      </c>
      <c r="EV27">
        <v>1384</v>
      </c>
      <c r="EW27">
        <v>1035</v>
      </c>
      <c r="EX27">
        <v>2460</v>
      </c>
      <c r="EY27">
        <v>5770</v>
      </c>
      <c r="EZ27">
        <v>3056</v>
      </c>
      <c r="FA27">
        <v>996</v>
      </c>
      <c r="FB27">
        <v>1765</v>
      </c>
      <c r="FC27">
        <v>2847</v>
      </c>
      <c r="FD27">
        <v>939</v>
      </c>
      <c r="FE27">
        <v>2374</v>
      </c>
      <c r="FF27">
        <v>1380</v>
      </c>
      <c r="FG27">
        <v>3417</v>
      </c>
      <c r="FH27">
        <f t="shared" si="13"/>
        <v>27423</v>
      </c>
      <c r="FI27">
        <v>0</v>
      </c>
      <c r="FJ27">
        <v>0</v>
      </c>
      <c r="FK27">
        <v>0</v>
      </c>
      <c r="FL27">
        <v>0</v>
      </c>
      <c r="FM27">
        <v>0</v>
      </c>
      <c r="FN27">
        <v>0</v>
      </c>
      <c r="FO27">
        <v>0</v>
      </c>
      <c r="FP27">
        <v>0</v>
      </c>
      <c r="FQ27">
        <v>0</v>
      </c>
      <c r="FR27">
        <v>0</v>
      </c>
      <c r="FS27">
        <v>0</v>
      </c>
      <c r="FT27">
        <v>0</v>
      </c>
      <c r="FU27">
        <f t="shared" si="14"/>
        <v>0</v>
      </c>
      <c r="FV27">
        <v>1240</v>
      </c>
      <c r="FW27">
        <v>1199</v>
      </c>
      <c r="FX27">
        <v>1431</v>
      </c>
      <c r="FY27">
        <v>2337</v>
      </c>
      <c r="FZ27">
        <v>1094</v>
      </c>
      <c r="GA27">
        <v>1354</v>
      </c>
      <c r="GB27">
        <v>1456</v>
      </c>
      <c r="GC27">
        <v>2136</v>
      </c>
      <c r="GD27">
        <v>1053</v>
      </c>
      <c r="GE27">
        <v>1218</v>
      </c>
      <c r="GF27">
        <v>1137</v>
      </c>
      <c r="GG27">
        <v>1405</v>
      </c>
      <c r="GH27">
        <f t="shared" si="15"/>
        <v>17060</v>
      </c>
      <c r="GI27">
        <v>0</v>
      </c>
      <c r="GJ27">
        <v>0</v>
      </c>
      <c r="GK27">
        <v>0</v>
      </c>
      <c r="GL27">
        <v>0</v>
      </c>
      <c r="GM27">
        <v>0</v>
      </c>
      <c r="GN27">
        <v>0</v>
      </c>
      <c r="GO27">
        <v>0</v>
      </c>
      <c r="GP27">
        <v>0</v>
      </c>
      <c r="GQ27">
        <v>0</v>
      </c>
      <c r="GR27">
        <v>0</v>
      </c>
      <c r="GS27">
        <v>0</v>
      </c>
      <c r="GT27">
        <v>0</v>
      </c>
      <c r="GU27">
        <f t="shared" si="16"/>
        <v>0</v>
      </c>
      <c r="GV27">
        <v>0</v>
      </c>
      <c r="GW27">
        <v>0</v>
      </c>
      <c r="GX27">
        <v>0</v>
      </c>
      <c r="GY27">
        <v>0</v>
      </c>
      <c r="GZ27">
        <v>0</v>
      </c>
      <c r="HA27">
        <v>0</v>
      </c>
      <c r="HB27">
        <v>0</v>
      </c>
      <c r="HC27">
        <v>0</v>
      </c>
      <c r="HD27">
        <v>0</v>
      </c>
      <c r="HE27">
        <v>0</v>
      </c>
      <c r="HF27">
        <v>0</v>
      </c>
      <c r="HG27">
        <v>0</v>
      </c>
      <c r="HH27">
        <f t="shared" si="17"/>
        <v>0</v>
      </c>
      <c r="HI27">
        <v>0</v>
      </c>
      <c r="HJ27">
        <v>0</v>
      </c>
      <c r="HK27">
        <v>0</v>
      </c>
      <c r="HL27">
        <v>0</v>
      </c>
      <c r="HM27">
        <v>0</v>
      </c>
      <c r="HN27">
        <v>0</v>
      </c>
      <c r="HO27">
        <v>0</v>
      </c>
      <c r="HP27">
        <v>0</v>
      </c>
      <c r="HQ27">
        <v>0</v>
      </c>
      <c r="HR27">
        <v>0</v>
      </c>
      <c r="HS27">
        <v>0</v>
      </c>
      <c r="HT27">
        <v>0</v>
      </c>
      <c r="HU27">
        <f t="shared" si="18"/>
        <v>0</v>
      </c>
      <c r="HV27">
        <v>0</v>
      </c>
      <c r="HW27">
        <v>0</v>
      </c>
      <c r="HX27">
        <v>0</v>
      </c>
      <c r="HY27">
        <v>0</v>
      </c>
      <c r="HZ27">
        <v>0</v>
      </c>
      <c r="IA27">
        <v>0</v>
      </c>
      <c r="IB27">
        <v>0</v>
      </c>
      <c r="IC27">
        <v>0</v>
      </c>
      <c r="ID27">
        <v>0</v>
      </c>
      <c r="IE27">
        <v>0</v>
      </c>
      <c r="IF27">
        <v>0</v>
      </c>
      <c r="IG27">
        <v>0</v>
      </c>
      <c r="IH27">
        <f t="shared" si="19"/>
        <v>0</v>
      </c>
      <c r="II27">
        <f t="shared" si="20"/>
        <v>44483</v>
      </c>
      <c r="IJ27">
        <f t="shared" si="21"/>
        <v>0</v>
      </c>
      <c r="IK27">
        <v>14547</v>
      </c>
      <c r="IL27">
        <v>15733</v>
      </c>
      <c r="IM27">
        <v>14151</v>
      </c>
      <c r="IN27">
        <v>16902</v>
      </c>
      <c r="IO27">
        <v>18420</v>
      </c>
      <c r="IP27">
        <v>16616</v>
      </c>
      <c r="IQ27">
        <v>17004</v>
      </c>
      <c r="IR27">
        <v>15046</v>
      </c>
      <c r="IS27">
        <v>13194</v>
      </c>
      <c r="IT27">
        <v>16451</v>
      </c>
      <c r="IU27">
        <v>14504</v>
      </c>
      <c r="IV27">
        <v>16666</v>
      </c>
      <c r="IW27">
        <f t="shared" si="22"/>
        <v>189234</v>
      </c>
      <c r="IX27">
        <v>5851</v>
      </c>
      <c r="IY27">
        <v>6673</v>
      </c>
      <c r="IZ27">
        <v>5491</v>
      </c>
      <c r="JA27">
        <v>7489</v>
      </c>
      <c r="JB27">
        <v>8662</v>
      </c>
      <c r="JC27">
        <v>7340</v>
      </c>
      <c r="JD27">
        <v>7526</v>
      </c>
      <c r="JE27">
        <v>6256</v>
      </c>
      <c r="JF27">
        <v>5215</v>
      </c>
      <c r="JG27">
        <v>7514</v>
      </c>
      <c r="JH27">
        <v>6338</v>
      </c>
      <c r="JI27">
        <v>7204</v>
      </c>
      <c r="JJ27">
        <f t="shared" si="23"/>
        <v>81559</v>
      </c>
      <c r="JK27">
        <v>0</v>
      </c>
      <c r="JL27">
        <v>0</v>
      </c>
      <c r="JM27">
        <v>0</v>
      </c>
      <c r="JN27">
        <v>0</v>
      </c>
      <c r="JO27">
        <v>0</v>
      </c>
      <c r="JP27">
        <v>0</v>
      </c>
      <c r="JQ27">
        <v>0</v>
      </c>
      <c r="JR27">
        <v>0</v>
      </c>
      <c r="JS27">
        <v>0</v>
      </c>
      <c r="JT27">
        <v>0</v>
      </c>
      <c r="JU27">
        <v>0</v>
      </c>
      <c r="JV27">
        <v>0</v>
      </c>
      <c r="JW27">
        <f t="shared" si="24"/>
        <v>0</v>
      </c>
      <c r="JX27">
        <v>8696</v>
      </c>
      <c r="JY27">
        <v>9060</v>
      </c>
      <c r="JZ27">
        <v>8660</v>
      </c>
      <c r="KA27">
        <v>9413</v>
      </c>
      <c r="KB27">
        <v>9758</v>
      </c>
      <c r="KC27">
        <v>9276</v>
      </c>
      <c r="KD27">
        <v>9478</v>
      </c>
      <c r="KE27">
        <v>8790</v>
      </c>
      <c r="KF27">
        <v>7979</v>
      </c>
      <c r="KG27">
        <v>8937</v>
      </c>
      <c r="KH27">
        <v>8166</v>
      </c>
      <c r="KI27">
        <v>9462</v>
      </c>
      <c r="KJ27">
        <f t="shared" si="25"/>
        <v>107675</v>
      </c>
      <c r="KK27">
        <v>432</v>
      </c>
      <c r="KL27">
        <v>503</v>
      </c>
      <c r="KM27">
        <v>328</v>
      </c>
      <c r="KN27">
        <v>416</v>
      </c>
      <c r="KO27">
        <v>373</v>
      </c>
      <c r="KP27">
        <v>360</v>
      </c>
      <c r="KQ27">
        <v>403</v>
      </c>
      <c r="KR27">
        <v>360</v>
      </c>
      <c r="KS27">
        <v>298</v>
      </c>
      <c r="KT27">
        <v>319</v>
      </c>
      <c r="KU27">
        <v>274</v>
      </c>
      <c r="KV27">
        <v>381</v>
      </c>
      <c r="KW27">
        <f t="shared" si="26"/>
        <v>4447</v>
      </c>
      <c r="KX27">
        <v>22</v>
      </c>
      <c r="KY27">
        <v>11</v>
      </c>
      <c r="KZ27">
        <v>4</v>
      </c>
      <c r="LA27">
        <v>16</v>
      </c>
      <c r="LB27">
        <v>24</v>
      </c>
      <c r="LC27">
        <v>21</v>
      </c>
      <c r="LD27">
        <v>17</v>
      </c>
      <c r="LE27">
        <v>21</v>
      </c>
      <c r="LF27">
        <v>14</v>
      </c>
      <c r="LG27">
        <v>27</v>
      </c>
      <c r="LH27">
        <v>29</v>
      </c>
      <c r="LI27">
        <v>23</v>
      </c>
      <c r="LJ27">
        <f t="shared" si="27"/>
        <v>229</v>
      </c>
      <c r="LK27">
        <v>0</v>
      </c>
      <c r="LL27">
        <v>0</v>
      </c>
      <c r="LM27">
        <v>0</v>
      </c>
      <c r="LN27">
        <v>0</v>
      </c>
      <c r="LO27">
        <v>0</v>
      </c>
      <c r="LP27">
        <v>0</v>
      </c>
      <c r="LQ27">
        <v>0</v>
      </c>
      <c r="LR27">
        <v>0</v>
      </c>
      <c r="LS27">
        <v>0</v>
      </c>
      <c r="LT27">
        <v>0</v>
      </c>
      <c r="LU27">
        <v>0</v>
      </c>
      <c r="LV27">
        <v>0</v>
      </c>
      <c r="LW27">
        <f t="shared" si="28"/>
        <v>0</v>
      </c>
      <c r="LX27">
        <v>410</v>
      </c>
      <c r="LY27">
        <v>492</v>
      </c>
      <c r="LZ27">
        <v>324</v>
      </c>
      <c r="MA27">
        <v>400</v>
      </c>
      <c r="MB27">
        <v>349</v>
      </c>
      <c r="MC27">
        <v>339</v>
      </c>
      <c r="MD27">
        <v>386</v>
      </c>
      <c r="ME27">
        <v>339</v>
      </c>
      <c r="MF27">
        <v>284</v>
      </c>
      <c r="MG27">
        <v>292</v>
      </c>
      <c r="MH27">
        <v>245</v>
      </c>
      <c r="MI27">
        <v>358</v>
      </c>
      <c r="MJ27">
        <f t="shared" si="29"/>
        <v>4218</v>
      </c>
      <c r="MK27">
        <v>1707</v>
      </c>
      <c r="ML27">
        <v>1767</v>
      </c>
      <c r="MM27">
        <v>1710</v>
      </c>
      <c r="MN27">
        <v>1809</v>
      </c>
      <c r="MO27">
        <v>1868</v>
      </c>
      <c r="MP27">
        <v>1711</v>
      </c>
      <c r="MQ27">
        <v>1716</v>
      </c>
      <c r="MR27">
        <v>1637</v>
      </c>
      <c r="MS27">
        <v>1680</v>
      </c>
      <c r="MT27">
        <v>1625</v>
      </c>
      <c r="MU27">
        <v>1574</v>
      </c>
      <c r="MV27">
        <v>1536</v>
      </c>
      <c r="MW27">
        <f t="shared" si="30"/>
        <v>20340</v>
      </c>
      <c r="MX27">
        <v>0</v>
      </c>
      <c r="MY27">
        <v>0</v>
      </c>
      <c r="MZ27">
        <v>0</v>
      </c>
      <c r="NA27">
        <v>0</v>
      </c>
      <c r="NB27">
        <v>0</v>
      </c>
      <c r="NC27">
        <v>0</v>
      </c>
      <c r="ND27">
        <v>0</v>
      </c>
      <c r="NE27">
        <v>0</v>
      </c>
      <c r="NF27">
        <v>0</v>
      </c>
      <c r="NG27">
        <v>0</v>
      </c>
      <c r="NH27">
        <v>0</v>
      </c>
      <c r="NI27">
        <v>0</v>
      </c>
      <c r="NJ27">
        <f t="shared" si="31"/>
        <v>0</v>
      </c>
      <c r="NK27">
        <v>0</v>
      </c>
      <c r="NL27">
        <v>0</v>
      </c>
      <c r="NM27">
        <v>0</v>
      </c>
      <c r="NN27">
        <v>0</v>
      </c>
      <c r="NO27">
        <v>0</v>
      </c>
      <c r="NP27">
        <v>0</v>
      </c>
      <c r="NQ27">
        <v>0</v>
      </c>
      <c r="NR27">
        <v>0</v>
      </c>
      <c r="NS27">
        <v>0</v>
      </c>
      <c r="NT27">
        <v>0</v>
      </c>
      <c r="NU27">
        <v>0</v>
      </c>
      <c r="NV27">
        <v>0</v>
      </c>
      <c r="NW27">
        <f t="shared" si="32"/>
        <v>0</v>
      </c>
      <c r="NX27">
        <v>0</v>
      </c>
      <c r="NY27">
        <v>0</v>
      </c>
      <c r="NZ27">
        <v>0</v>
      </c>
      <c r="OA27">
        <v>0</v>
      </c>
      <c r="OB27">
        <v>0</v>
      </c>
      <c r="OC27">
        <v>0</v>
      </c>
      <c r="OD27">
        <v>0</v>
      </c>
      <c r="OE27">
        <v>0</v>
      </c>
      <c r="OF27">
        <v>0</v>
      </c>
      <c r="OG27">
        <v>0</v>
      </c>
      <c r="OH27">
        <v>0</v>
      </c>
      <c r="OI27">
        <v>0</v>
      </c>
      <c r="OJ27">
        <f t="shared" si="33"/>
        <v>0</v>
      </c>
      <c r="OK27">
        <v>2646</v>
      </c>
      <c r="OL27">
        <v>2711</v>
      </c>
      <c r="OM27">
        <v>2609</v>
      </c>
      <c r="ON27">
        <v>2849</v>
      </c>
      <c r="OO27">
        <v>3015</v>
      </c>
      <c r="OP27">
        <v>2924</v>
      </c>
      <c r="OQ27">
        <v>3015</v>
      </c>
      <c r="OR27">
        <v>2822</v>
      </c>
      <c r="OS27">
        <v>2750</v>
      </c>
      <c r="OT27">
        <v>3068</v>
      </c>
      <c r="OU27">
        <v>2775</v>
      </c>
      <c r="OV27">
        <v>3114</v>
      </c>
      <c r="OW27">
        <f t="shared" si="34"/>
        <v>34298</v>
      </c>
      <c r="OX27">
        <v>0</v>
      </c>
      <c r="OY27">
        <v>0</v>
      </c>
      <c r="OZ27">
        <v>0</v>
      </c>
      <c r="PA27">
        <v>0</v>
      </c>
      <c r="PB27">
        <v>0</v>
      </c>
      <c r="PC27">
        <v>0</v>
      </c>
      <c r="PD27">
        <v>0</v>
      </c>
      <c r="PE27">
        <v>0</v>
      </c>
      <c r="PF27">
        <v>0</v>
      </c>
      <c r="PG27">
        <v>0</v>
      </c>
      <c r="PH27">
        <v>0</v>
      </c>
      <c r="PI27">
        <v>0</v>
      </c>
      <c r="PJ27">
        <f t="shared" si="35"/>
        <v>0</v>
      </c>
      <c r="PK27">
        <v>0</v>
      </c>
      <c r="PL27">
        <v>0</v>
      </c>
      <c r="PM27">
        <v>0</v>
      </c>
      <c r="PN27">
        <v>0</v>
      </c>
      <c r="PO27">
        <v>0</v>
      </c>
      <c r="PP27">
        <v>0</v>
      </c>
      <c r="PQ27">
        <v>0</v>
      </c>
      <c r="PR27">
        <v>0</v>
      </c>
      <c r="PS27">
        <v>0</v>
      </c>
      <c r="PT27">
        <v>0</v>
      </c>
      <c r="PU27">
        <v>0</v>
      </c>
      <c r="PV27">
        <v>0</v>
      </c>
      <c r="PW27">
        <f t="shared" si="36"/>
        <v>0</v>
      </c>
      <c r="PX27">
        <v>0</v>
      </c>
      <c r="PY27">
        <v>0</v>
      </c>
      <c r="PZ27">
        <v>0</v>
      </c>
      <c r="QA27">
        <v>0</v>
      </c>
      <c r="QB27">
        <v>0</v>
      </c>
      <c r="QC27">
        <v>0</v>
      </c>
      <c r="QD27">
        <v>0</v>
      </c>
      <c r="QE27">
        <v>0</v>
      </c>
      <c r="QF27">
        <v>0</v>
      </c>
      <c r="QG27">
        <v>0</v>
      </c>
      <c r="QH27">
        <v>0</v>
      </c>
      <c r="QI27">
        <v>0</v>
      </c>
      <c r="QJ27">
        <f t="shared" si="37"/>
        <v>0</v>
      </c>
      <c r="QK27">
        <v>16887</v>
      </c>
      <c r="QL27">
        <v>14149</v>
      </c>
      <c r="QM27">
        <v>11664</v>
      </c>
      <c r="QN27">
        <v>13044</v>
      </c>
      <c r="QO27">
        <v>13221</v>
      </c>
      <c r="QP27">
        <v>14363</v>
      </c>
      <c r="QQ27">
        <v>18630</v>
      </c>
      <c r="QR27">
        <v>19602</v>
      </c>
      <c r="QS27">
        <v>18970</v>
      </c>
      <c r="QT27">
        <v>23373</v>
      </c>
      <c r="QU27">
        <v>22019</v>
      </c>
      <c r="QV27">
        <v>21362</v>
      </c>
      <c r="QW27">
        <f t="shared" si="38"/>
        <v>207284</v>
      </c>
      <c r="QX27">
        <v>0</v>
      </c>
      <c r="QY27">
        <v>0</v>
      </c>
      <c r="QZ27">
        <v>0</v>
      </c>
      <c r="RA27">
        <v>0</v>
      </c>
      <c r="RB27">
        <v>0</v>
      </c>
      <c r="RC27">
        <v>0</v>
      </c>
      <c r="RD27">
        <v>0</v>
      </c>
      <c r="RE27">
        <v>0</v>
      </c>
      <c r="RF27">
        <v>0</v>
      </c>
      <c r="RG27">
        <v>0</v>
      </c>
      <c r="RH27">
        <v>0</v>
      </c>
      <c r="RI27">
        <v>0</v>
      </c>
      <c r="RJ27">
        <f t="shared" si="39"/>
        <v>0</v>
      </c>
      <c r="RK27">
        <v>0</v>
      </c>
      <c r="RL27">
        <v>0</v>
      </c>
      <c r="RM27">
        <v>0</v>
      </c>
      <c r="RN27">
        <v>0</v>
      </c>
      <c r="RO27">
        <v>0</v>
      </c>
      <c r="RP27">
        <v>0</v>
      </c>
      <c r="RQ27">
        <v>0</v>
      </c>
      <c r="RR27">
        <v>0</v>
      </c>
      <c r="RS27">
        <v>0</v>
      </c>
      <c r="RT27">
        <v>0</v>
      </c>
      <c r="RU27">
        <v>0</v>
      </c>
      <c r="RV27">
        <v>0</v>
      </c>
      <c r="RW27">
        <f t="shared" si="40"/>
        <v>0</v>
      </c>
      <c r="RX27">
        <v>0</v>
      </c>
      <c r="RY27">
        <v>0</v>
      </c>
      <c r="RZ27">
        <v>0</v>
      </c>
      <c r="SA27">
        <v>0</v>
      </c>
      <c r="SB27">
        <v>0</v>
      </c>
      <c r="SC27">
        <v>0</v>
      </c>
      <c r="SD27">
        <v>0</v>
      </c>
      <c r="SE27">
        <v>0</v>
      </c>
      <c r="SF27">
        <v>0</v>
      </c>
      <c r="SG27">
        <v>0</v>
      </c>
      <c r="SH27">
        <v>0</v>
      </c>
      <c r="SI27">
        <v>0</v>
      </c>
      <c r="SJ27">
        <f t="shared" si="41"/>
        <v>0</v>
      </c>
      <c r="SK27">
        <v>140</v>
      </c>
      <c r="SL27">
        <v>140</v>
      </c>
      <c r="SM27">
        <v>120</v>
      </c>
      <c r="SN27">
        <v>160</v>
      </c>
      <c r="SO27">
        <v>130</v>
      </c>
      <c r="SP27">
        <v>130</v>
      </c>
      <c r="SQ27">
        <v>150</v>
      </c>
      <c r="SR27">
        <v>120</v>
      </c>
      <c r="SS27">
        <v>120</v>
      </c>
      <c r="ST27">
        <v>120</v>
      </c>
      <c r="SU27">
        <v>120</v>
      </c>
      <c r="SV27">
        <v>130</v>
      </c>
      <c r="SW27">
        <f t="shared" si="42"/>
        <v>1580</v>
      </c>
      <c r="SX27" t="s">
        <v>1412</v>
      </c>
      <c r="SY27">
        <v>0</v>
      </c>
      <c r="SZ27">
        <v>0</v>
      </c>
      <c r="TA27">
        <v>0</v>
      </c>
      <c r="TB27">
        <v>0</v>
      </c>
      <c r="TC27">
        <v>0</v>
      </c>
      <c r="TD27">
        <v>0</v>
      </c>
      <c r="TE27">
        <v>0</v>
      </c>
      <c r="TF27">
        <v>0</v>
      </c>
      <c r="TG27">
        <v>0</v>
      </c>
      <c r="TH27">
        <v>0</v>
      </c>
      <c r="TI27">
        <v>0</v>
      </c>
      <c r="TJ27">
        <v>54500</v>
      </c>
      <c r="TK27">
        <f t="shared" si="43"/>
        <v>54500</v>
      </c>
      <c r="TL27">
        <v>0</v>
      </c>
      <c r="TM27">
        <v>0</v>
      </c>
      <c r="TN27">
        <v>0</v>
      </c>
      <c r="TO27">
        <v>0</v>
      </c>
      <c r="TP27">
        <v>0</v>
      </c>
      <c r="TQ27">
        <v>0</v>
      </c>
      <c r="TR27">
        <v>0</v>
      </c>
      <c r="TS27">
        <v>0</v>
      </c>
      <c r="TT27">
        <v>0</v>
      </c>
      <c r="TU27">
        <v>0</v>
      </c>
      <c r="TV27">
        <v>0</v>
      </c>
      <c r="TW27">
        <v>0</v>
      </c>
      <c r="TX27">
        <f t="shared" si="44"/>
        <v>0</v>
      </c>
      <c r="TY27">
        <v>21</v>
      </c>
      <c r="TZ27">
        <v>0</v>
      </c>
      <c r="UA27">
        <v>0</v>
      </c>
      <c r="UB27">
        <v>0</v>
      </c>
    </row>
    <row r="28" spans="1:548" ht="16.5" customHeight="1" x14ac:dyDescent="0.35">
      <c r="A28" t="s">
        <v>1523</v>
      </c>
      <c r="B28" t="s">
        <v>2863</v>
      </c>
      <c r="C28">
        <v>26054</v>
      </c>
      <c r="D28">
        <v>0</v>
      </c>
      <c r="E28">
        <v>0</v>
      </c>
      <c r="F28">
        <v>16144</v>
      </c>
      <c r="G28">
        <v>264</v>
      </c>
      <c r="H28">
        <v>264</v>
      </c>
      <c r="I28">
        <v>324</v>
      </c>
      <c r="J28">
        <v>361</v>
      </c>
      <c r="K28">
        <v>233</v>
      </c>
      <c r="L28">
        <v>250</v>
      </c>
      <c r="M28">
        <v>360</v>
      </c>
      <c r="N28">
        <v>309</v>
      </c>
      <c r="O28">
        <v>261</v>
      </c>
      <c r="P28">
        <v>316</v>
      </c>
      <c r="Q28">
        <v>322</v>
      </c>
      <c r="R28">
        <v>373</v>
      </c>
      <c r="S28">
        <f t="shared" si="0"/>
        <v>3637</v>
      </c>
      <c r="T28">
        <v>99</v>
      </c>
      <c r="U28">
        <v>103</v>
      </c>
      <c r="V28">
        <v>118</v>
      </c>
      <c r="W28">
        <v>136</v>
      </c>
      <c r="X28">
        <v>94</v>
      </c>
      <c r="Y28">
        <v>94</v>
      </c>
      <c r="Z28">
        <v>133</v>
      </c>
      <c r="AA28">
        <v>111</v>
      </c>
      <c r="AB28">
        <v>94</v>
      </c>
      <c r="AC28">
        <v>113</v>
      </c>
      <c r="AD28">
        <v>132</v>
      </c>
      <c r="AE28">
        <v>148</v>
      </c>
      <c r="AF28">
        <f t="shared" si="1"/>
        <v>1375</v>
      </c>
      <c r="AG28">
        <v>0</v>
      </c>
      <c r="AH28">
        <v>0</v>
      </c>
      <c r="AI28">
        <v>0</v>
      </c>
      <c r="AJ28">
        <v>0</v>
      </c>
      <c r="AK28">
        <v>0</v>
      </c>
      <c r="AL28">
        <v>0</v>
      </c>
      <c r="AM28">
        <v>0</v>
      </c>
      <c r="AN28">
        <v>0</v>
      </c>
      <c r="AO28">
        <v>0</v>
      </c>
      <c r="AP28">
        <v>0</v>
      </c>
      <c r="AQ28">
        <v>0</v>
      </c>
      <c r="AR28">
        <v>0</v>
      </c>
      <c r="AS28">
        <f t="shared" si="2"/>
        <v>0</v>
      </c>
      <c r="AT28">
        <v>165</v>
      </c>
      <c r="AU28">
        <v>161</v>
      </c>
      <c r="AV28">
        <v>206</v>
      </c>
      <c r="AW28">
        <v>225</v>
      </c>
      <c r="AX28">
        <v>139</v>
      </c>
      <c r="AY28">
        <v>156</v>
      </c>
      <c r="AZ28">
        <v>227</v>
      </c>
      <c r="BA28">
        <v>198</v>
      </c>
      <c r="BB28">
        <v>167</v>
      </c>
      <c r="BC28">
        <v>203</v>
      </c>
      <c r="BD28">
        <v>190</v>
      </c>
      <c r="BE28">
        <v>225</v>
      </c>
      <c r="BF28">
        <f t="shared" si="3"/>
        <v>2262</v>
      </c>
      <c r="BG28">
        <v>0</v>
      </c>
      <c r="BH28">
        <v>0</v>
      </c>
      <c r="BI28">
        <v>0</v>
      </c>
      <c r="BJ28">
        <v>0</v>
      </c>
      <c r="BK28">
        <v>0</v>
      </c>
      <c r="BL28">
        <v>0</v>
      </c>
      <c r="BM28">
        <v>0</v>
      </c>
      <c r="BN28">
        <v>0</v>
      </c>
      <c r="BO28">
        <v>0</v>
      </c>
      <c r="BP28">
        <v>0</v>
      </c>
      <c r="BQ28">
        <v>0</v>
      </c>
      <c r="BR28">
        <v>0</v>
      </c>
      <c r="BS28">
        <f t="shared" si="4"/>
        <v>0</v>
      </c>
      <c r="BT28">
        <v>0</v>
      </c>
      <c r="BU28">
        <v>0</v>
      </c>
      <c r="BV28">
        <v>0</v>
      </c>
      <c r="BW28">
        <v>0</v>
      </c>
      <c r="BX28">
        <v>0</v>
      </c>
      <c r="BY28">
        <v>0</v>
      </c>
      <c r="BZ28">
        <v>0</v>
      </c>
      <c r="CA28">
        <v>0</v>
      </c>
      <c r="CB28">
        <v>0</v>
      </c>
      <c r="CC28">
        <v>0</v>
      </c>
      <c r="CD28">
        <v>0</v>
      </c>
      <c r="CE28">
        <v>0</v>
      </c>
      <c r="CF28">
        <f t="shared" si="5"/>
        <v>0</v>
      </c>
      <c r="CG28">
        <v>0</v>
      </c>
      <c r="CH28">
        <v>0</v>
      </c>
      <c r="CI28">
        <v>0</v>
      </c>
      <c r="CJ28">
        <v>0</v>
      </c>
      <c r="CK28">
        <v>0</v>
      </c>
      <c r="CL28">
        <v>0</v>
      </c>
      <c r="CM28">
        <v>0</v>
      </c>
      <c r="CN28">
        <v>0</v>
      </c>
      <c r="CO28">
        <v>0</v>
      </c>
      <c r="CP28">
        <v>0</v>
      </c>
      <c r="CQ28">
        <v>0</v>
      </c>
      <c r="CR28">
        <v>0</v>
      </c>
      <c r="CS28">
        <f t="shared" si="6"/>
        <v>0</v>
      </c>
      <c r="CT28">
        <v>0</v>
      </c>
      <c r="CU28">
        <v>0</v>
      </c>
      <c r="CV28">
        <v>0</v>
      </c>
      <c r="CW28">
        <v>0</v>
      </c>
      <c r="CX28">
        <v>0</v>
      </c>
      <c r="CY28">
        <v>0</v>
      </c>
      <c r="CZ28">
        <v>0</v>
      </c>
      <c r="DA28">
        <v>0</v>
      </c>
      <c r="DB28">
        <v>0</v>
      </c>
      <c r="DC28">
        <v>0</v>
      </c>
      <c r="DD28">
        <v>0</v>
      </c>
      <c r="DE28">
        <v>0</v>
      </c>
      <c r="DF28">
        <f t="shared" si="7"/>
        <v>0</v>
      </c>
      <c r="DG28">
        <v>0</v>
      </c>
      <c r="DH28">
        <v>0</v>
      </c>
      <c r="DI28">
        <v>0</v>
      </c>
      <c r="DJ28">
        <v>0</v>
      </c>
      <c r="DK28">
        <v>0</v>
      </c>
      <c r="DL28">
        <v>0</v>
      </c>
      <c r="DM28">
        <v>0</v>
      </c>
      <c r="DN28">
        <v>0</v>
      </c>
      <c r="DO28">
        <v>0</v>
      </c>
      <c r="DP28">
        <v>0</v>
      </c>
      <c r="DQ28">
        <v>0</v>
      </c>
      <c r="DR28">
        <v>0</v>
      </c>
      <c r="DS28">
        <f t="shared" si="8"/>
        <v>0</v>
      </c>
      <c r="DT28">
        <v>0</v>
      </c>
      <c r="DU28">
        <v>0</v>
      </c>
      <c r="DV28">
        <v>0</v>
      </c>
      <c r="DW28">
        <v>0</v>
      </c>
      <c r="DX28">
        <v>0</v>
      </c>
      <c r="DY28">
        <v>0</v>
      </c>
      <c r="DZ28">
        <v>0</v>
      </c>
      <c r="EA28">
        <v>0</v>
      </c>
      <c r="EB28">
        <v>0</v>
      </c>
      <c r="EC28">
        <v>0</v>
      </c>
      <c r="ED28">
        <v>0</v>
      </c>
      <c r="EE28">
        <v>0</v>
      </c>
      <c r="EF28">
        <f t="shared" si="9"/>
        <v>0</v>
      </c>
      <c r="EG28">
        <f t="shared" si="10"/>
        <v>3637</v>
      </c>
      <c r="EH28">
        <f t="shared" si="11"/>
        <v>0</v>
      </c>
      <c r="EI28">
        <v>2910</v>
      </c>
      <c r="EJ28">
        <v>3007</v>
      </c>
      <c r="EK28">
        <v>3275</v>
      </c>
      <c r="EL28">
        <v>3832</v>
      </c>
      <c r="EM28">
        <v>2462</v>
      </c>
      <c r="EN28">
        <v>2884</v>
      </c>
      <c r="EO28">
        <v>3915</v>
      </c>
      <c r="EP28">
        <v>3366</v>
      </c>
      <c r="EQ28">
        <v>2655</v>
      </c>
      <c r="ER28">
        <v>3358</v>
      </c>
      <c r="ES28">
        <v>3803</v>
      </c>
      <c r="ET28">
        <v>4264</v>
      </c>
      <c r="EU28">
        <f t="shared" si="12"/>
        <v>39731</v>
      </c>
      <c r="EV28">
        <v>1703</v>
      </c>
      <c r="EW28">
        <v>1832</v>
      </c>
      <c r="EX28">
        <v>1871</v>
      </c>
      <c r="EY28">
        <v>2227</v>
      </c>
      <c r="EZ28">
        <v>1451</v>
      </c>
      <c r="FA28">
        <v>1340</v>
      </c>
      <c r="FB28">
        <v>2261</v>
      </c>
      <c r="FC28">
        <v>1750</v>
      </c>
      <c r="FD28">
        <v>1391</v>
      </c>
      <c r="FE28">
        <v>1767</v>
      </c>
      <c r="FF28">
        <v>2186</v>
      </c>
      <c r="FG28">
        <v>2507</v>
      </c>
      <c r="FH28">
        <f t="shared" si="13"/>
        <v>22286</v>
      </c>
      <c r="FI28">
        <v>0</v>
      </c>
      <c r="FJ28">
        <v>0</v>
      </c>
      <c r="FK28">
        <v>0</v>
      </c>
      <c r="FL28">
        <v>0</v>
      </c>
      <c r="FM28">
        <v>0</v>
      </c>
      <c r="FN28">
        <v>0</v>
      </c>
      <c r="FO28">
        <v>0</v>
      </c>
      <c r="FP28">
        <v>0</v>
      </c>
      <c r="FQ28">
        <v>0</v>
      </c>
      <c r="FR28">
        <v>0</v>
      </c>
      <c r="FS28">
        <v>0</v>
      </c>
      <c r="FT28">
        <v>0</v>
      </c>
      <c r="FU28">
        <f t="shared" si="14"/>
        <v>0</v>
      </c>
      <c r="FV28">
        <v>1207</v>
      </c>
      <c r="FW28">
        <v>1175</v>
      </c>
      <c r="FX28">
        <v>1404</v>
      </c>
      <c r="FY28">
        <v>1605</v>
      </c>
      <c r="FZ28">
        <v>1011</v>
      </c>
      <c r="GA28">
        <v>1544</v>
      </c>
      <c r="GB28">
        <v>1654</v>
      </c>
      <c r="GC28">
        <v>1616</v>
      </c>
      <c r="GD28">
        <v>1264</v>
      </c>
      <c r="GE28">
        <v>1591</v>
      </c>
      <c r="GF28">
        <v>1617</v>
      </c>
      <c r="GG28">
        <v>1757</v>
      </c>
      <c r="GH28">
        <f t="shared" si="15"/>
        <v>17445</v>
      </c>
      <c r="GI28">
        <v>0</v>
      </c>
      <c r="GJ28">
        <v>0</v>
      </c>
      <c r="GK28">
        <v>0</v>
      </c>
      <c r="GL28">
        <v>0</v>
      </c>
      <c r="GM28">
        <v>0</v>
      </c>
      <c r="GN28">
        <v>0</v>
      </c>
      <c r="GO28">
        <v>0</v>
      </c>
      <c r="GP28">
        <v>0</v>
      </c>
      <c r="GQ28">
        <v>0</v>
      </c>
      <c r="GR28">
        <v>0</v>
      </c>
      <c r="GS28">
        <v>0</v>
      </c>
      <c r="GT28">
        <v>0</v>
      </c>
      <c r="GU28">
        <f t="shared" si="16"/>
        <v>0</v>
      </c>
      <c r="GV28">
        <v>0</v>
      </c>
      <c r="GW28">
        <v>0</v>
      </c>
      <c r="GX28">
        <v>0</v>
      </c>
      <c r="GY28">
        <v>0</v>
      </c>
      <c r="GZ28">
        <v>0</v>
      </c>
      <c r="HA28">
        <v>0</v>
      </c>
      <c r="HB28">
        <v>0</v>
      </c>
      <c r="HC28">
        <v>0</v>
      </c>
      <c r="HD28">
        <v>0</v>
      </c>
      <c r="HE28">
        <v>0</v>
      </c>
      <c r="HF28">
        <v>0</v>
      </c>
      <c r="HG28">
        <v>0</v>
      </c>
      <c r="HH28">
        <f t="shared" si="17"/>
        <v>0</v>
      </c>
      <c r="HI28">
        <v>0</v>
      </c>
      <c r="HJ28">
        <v>0</v>
      </c>
      <c r="HK28">
        <v>0</v>
      </c>
      <c r="HL28">
        <v>0</v>
      </c>
      <c r="HM28">
        <v>0</v>
      </c>
      <c r="HN28">
        <v>0</v>
      </c>
      <c r="HO28">
        <v>0</v>
      </c>
      <c r="HP28">
        <v>0</v>
      </c>
      <c r="HQ28">
        <v>0</v>
      </c>
      <c r="HR28">
        <v>0</v>
      </c>
      <c r="HS28">
        <v>0</v>
      </c>
      <c r="HT28">
        <v>0</v>
      </c>
      <c r="HU28">
        <f t="shared" si="18"/>
        <v>0</v>
      </c>
      <c r="HV28">
        <v>0</v>
      </c>
      <c r="HW28">
        <v>0</v>
      </c>
      <c r="HX28">
        <v>0</v>
      </c>
      <c r="HY28">
        <v>0</v>
      </c>
      <c r="HZ28">
        <v>0</v>
      </c>
      <c r="IA28">
        <v>0</v>
      </c>
      <c r="IB28">
        <v>0</v>
      </c>
      <c r="IC28">
        <v>0</v>
      </c>
      <c r="ID28">
        <v>0</v>
      </c>
      <c r="IE28">
        <v>0</v>
      </c>
      <c r="IF28">
        <v>0</v>
      </c>
      <c r="IG28">
        <v>0</v>
      </c>
      <c r="IH28">
        <f t="shared" si="19"/>
        <v>0</v>
      </c>
      <c r="II28">
        <f t="shared" si="20"/>
        <v>39731</v>
      </c>
      <c r="IJ28">
        <f t="shared" si="21"/>
        <v>0</v>
      </c>
      <c r="IK28">
        <v>23091</v>
      </c>
      <c r="IL28">
        <v>24079</v>
      </c>
      <c r="IM28">
        <v>20741</v>
      </c>
      <c r="IN28">
        <v>27779</v>
      </c>
      <c r="IO28">
        <v>29064</v>
      </c>
      <c r="IP28">
        <v>25293</v>
      </c>
      <c r="IQ28">
        <v>2728</v>
      </c>
      <c r="IR28">
        <v>23146</v>
      </c>
      <c r="IS28">
        <v>20681</v>
      </c>
      <c r="IT28">
        <v>25351</v>
      </c>
      <c r="IU28">
        <v>23857</v>
      </c>
      <c r="IV28">
        <v>27152</v>
      </c>
      <c r="IW28">
        <f t="shared" si="22"/>
        <v>272962</v>
      </c>
      <c r="IX28">
        <v>0</v>
      </c>
      <c r="IY28">
        <v>0</v>
      </c>
      <c r="IZ28">
        <v>0</v>
      </c>
      <c r="JA28">
        <v>0</v>
      </c>
      <c r="JB28">
        <v>0</v>
      </c>
      <c r="JC28">
        <v>0</v>
      </c>
      <c r="JD28">
        <v>0</v>
      </c>
      <c r="JE28">
        <v>0</v>
      </c>
      <c r="JF28">
        <v>0</v>
      </c>
      <c r="JG28">
        <v>0</v>
      </c>
      <c r="JH28">
        <v>0</v>
      </c>
      <c r="JI28">
        <v>0</v>
      </c>
      <c r="JJ28">
        <f t="shared" si="23"/>
        <v>0</v>
      </c>
      <c r="JK28">
        <v>0</v>
      </c>
      <c r="JL28">
        <v>0</v>
      </c>
      <c r="JM28">
        <v>0</v>
      </c>
      <c r="JN28">
        <v>0</v>
      </c>
      <c r="JO28">
        <v>0</v>
      </c>
      <c r="JP28">
        <v>0</v>
      </c>
      <c r="JQ28">
        <v>0</v>
      </c>
      <c r="JR28">
        <v>0</v>
      </c>
      <c r="JS28">
        <v>0</v>
      </c>
      <c r="JT28">
        <v>0</v>
      </c>
      <c r="JU28">
        <v>0</v>
      </c>
      <c r="JV28">
        <v>0</v>
      </c>
      <c r="JW28">
        <f t="shared" si="24"/>
        <v>0</v>
      </c>
      <c r="JX28">
        <v>12078</v>
      </c>
      <c r="JY28">
        <v>12329</v>
      </c>
      <c r="JZ28">
        <v>11068</v>
      </c>
      <c r="KA28">
        <v>13149</v>
      </c>
      <c r="KB28">
        <v>13188</v>
      </c>
      <c r="KC28">
        <v>12696</v>
      </c>
      <c r="KD28">
        <v>14081</v>
      </c>
      <c r="KE28">
        <v>12672</v>
      </c>
      <c r="KF28">
        <v>11266</v>
      </c>
      <c r="KG28">
        <v>13484</v>
      </c>
      <c r="KH28">
        <v>11778</v>
      </c>
      <c r="KI28">
        <v>13386</v>
      </c>
      <c r="KJ28">
        <f t="shared" si="25"/>
        <v>151175</v>
      </c>
      <c r="KK28">
        <v>534</v>
      </c>
      <c r="KL28">
        <v>342</v>
      </c>
      <c r="KM28">
        <v>460</v>
      </c>
      <c r="KN28">
        <v>536</v>
      </c>
      <c r="KO28">
        <v>483</v>
      </c>
      <c r="KP28">
        <v>432</v>
      </c>
      <c r="KQ28">
        <v>570</v>
      </c>
      <c r="KR28">
        <v>480</v>
      </c>
      <c r="KS28">
        <v>350</v>
      </c>
      <c r="KT28">
        <v>509</v>
      </c>
      <c r="KU28">
        <v>466</v>
      </c>
      <c r="KV28">
        <v>799</v>
      </c>
      <c r="KW28">
        <f t="shared" si="26"/>
        <v>5961</v>
      </c>
      <c r="KX28">
        <v>0</v>
      </c>
      <c r="KY28">
        <v>0</v>
      </c>
      <c r="KZ28">
        <v>0</v>
      </c>
      <c r="LA28">
        <v>0</v>
      </c>
      <c r="LB28">
        <v>0</v>
      </c>
      <c r="LC28">
        <v>0</v>
      </c>
      <c r="LD28">
        <v>0</v>
      </c>
      <c r="LE28">
        <v>0</v>
      </c>
      <c r="LF28">
        <v>0</v>
      </c>
      <c r="LG28">
        <v>0</v>
      </c>
      <c r="LH28">
        <v>0</v>
      </c>
      <c r="LI28">
        <v>0</v>
      </c>
      <c r="LJ28">
        <f t="shared" si="27"/>
        <v>0</v>
      </c>
      <c r="LK28">
        <v>0</v>
      </c>
      <c r="LL28">
        <v>0</v>
      </c>
      <c r="LM28">
        <v>0</v>
      </c>
      <c r="LN28">
        <v>0</v>
      </c>
      <c r="LO28">
        <v>0</v>
      </c>
      <c r="LP28">
        <v>0</v>
      </c>
      <c r="LQ28">
        <v>0</v>
      </c>
      <c r="LR28">
        <v>0</v>
      </c>
      <c r="LS28">
        <v>0</v>
      </c>
      <c r="LT28">
        <v>0</v>
      </c>
      <c r="LU28">
        <v>0</v>
      </c>
      <c r="LV28">
        <v>0</v>
      </c>
      <c r="LW28">
        <f t="shared" si="28"/>
        <v>0</v>
      </c>
      <c r="LX28">
        <v>502</v>
      </c>
      <c r="LY28">
        <v>311</v>
      </c>
      <c r="LZ28">
        <v>417</v>
      </c>
      <c r="MA28">
        <v>486</v>
      </c>
      <c r="MB28">
        <v>417</v>
      </c>
      <c r="MC28">
        <v>388</v>
      </c>
      <c r="MD28">
        <v>524</v>
      </c>
      <c r="ME28">
        <v>450</v>
      </c>
      <c r="MF28">
        <v>335</v>
      </c>
      <c r="MG28">
        <v>484</v>
      </c>
      <c r="MH28">
        <v>447</v>
      </c>
      <c r="MI28">
        <v>780</v>
      </c>
      <c r="MJ28">
        <f t="shared" si="29"/>
        <v>5541</v>
      </c>
      <c r="MK28">
        <v>2914</v>
      </c>
      <c r="ML28">
        <v>3090</v>
      </c>
      <c r="MM28">
        <v>2864</v>
      </c>
      <c r="MN28">
        <v>2814</v>
      </c>
      <c r="MO28">
        <v>3131</v>
      </c>
      <c r="MP28">
        <v>2833</v>
      </c>
      <c r="MQ28">
        <v>2910</v>
      </c>
      <c r="MR28">
        <v>2679</v>
      </c>
      <c r="MS28">
        <v>2801</v>
      </c>
      <c r="MT28">
        <v>2915</v>
      </c>
      <c r="MU28">
        <v>2624</v>
      </c>
      <c r="MV28">
        <v>3311</v>
      </c>
      <c r="MW28">
        <f t="shared" si="30"/>
        <v>34886</v>
      </c>
      <c r="MX28">
        <v>0</v>
      </c>
      <c r="MY28">
        <v>0</v>
      </c>
      <c r="MZ28">
        <v>0</v>
      </c>
      <c r="NA28">
        <v>0</v>
      </c>
      <c r="NB28">
        <v>0</v>
      </c>
      <c r="NC28">
        <v>0</v>
      </c>
      <c r="ND28">
        <v>0</v>
      </c>
      <c r="NE28">
        <v>0</v>
      </c>
      <c r="NF28">
        <v>0</v>
      </c>
      <c r="NG28">
        <v>0</v>
      </c>
      <c r="NH28">
        <v>0</v>
      </c>
      <c r="NI28">
        <v>0</v>
      </c>
      <c r="NJ28">
        <f t="shared" si="31"/>
        <v>0</v>
      </c>
      <c r="NK28">
        <v>0</v>
      </c>
      <c r="NL28">
        <v>0</v>
      </c>
      <c r="NM28">
        <v>0</v>
      </c>
      <c r="NN28">
        <v>0</v>
      </c>
      <c r="NO28">
        <v>0</v>
      </c>
      <c r="NP28">
        <v>0</v>
      </c>
      <c r="NQ28">
        <v>0</v>
      </c>
      <c r="NR28">
        <v>0</v>
      </c>
      <c r="NS28">
        <v>0</v>
      </c>
      <c r="NT28">
        <v>0</v>
      </c>
      <c r="NU28">
        <v>0</v>
      </c>
      <c r="NV28">
        <v>0</v>
      </c>
      <c r="NW28">
        <f t="shared" si="32"/>
        <v>0</v>
      </c>
      <c r="NX28">
        <v>0</v>
      </c>
      <c r="NY28">
        <v>0</v>
      </c>
      <c r="NZ28">
        <v>0</v>
      </c>
      <c r="OA28">
        <v>0</v>
      </c>
      <c r="OB28">
        <v>0</v>
      </c>
      <c r="OC28">
        <v>0</v>
      </c>
      <c r="OD28">
        <v>0</v>
      </c>
      <c r="OE28">
        <v>0</v>
      </c>
      <c r="OF28">
        <v>0</v>
      </c>
      <c r="OG28">
        <v>0</v>
      </c>
      <c r="OH28">
        <v>0</v>
      </c>
      <c r="OI28">
        <v>0</v>
      </c>
      <c r="OJ28">
        <f t="shared" si="33"/>
        <v>0</v>
      </c>
      <c r="OK28">
        <v>5115</v>
      </c>
      <c r="OL28">
        <v>5551</v>
      </c>
      <c r="OM28">
        <v>5409</v>
      </c>
      <c r="ON28">
        <v>5548</v>
      </c>
      <c r="OO28">
        <v>5946</v>
      </c>
      <c r="OP28">
        <v>5582</v>
      </c>
      <c r="OQ28">
        <v>5997</v>
      </c>
      <c r="OR28">
        <v>5364</v>
      </c>
      <c r="OS28">
        <v>5185</v>
      </c>
      <c r="OT28">
        <v>5643</v>
      </c>
      <c r="OU28">
        <v>5274</v>
      </c>
      <c r="OV28">
        <v>6243</v>
      </c>
      <c r="OW28">
        <f t="shared" si="34"/>
        <v>66857</v>
      </c>
      <c r="OX28">
        <v>0</v>
      </c>
      <c r="OY28">
        <v>0</v>
      </c>
      <c r="OZ28">
        <v>0</v>
      </c>
      <c r="PA28">
        <v>0</v>
      </c>
      <c r="PB28">
        <v>0</v>
      </c>
      <c r="PC28">
        <v>0</v>
      </c>
      <c r="PD28">
        <v>0</v>
      </c>
      <c r="PE28">
        <v>0</v>
      </c>
      <c r="PF28">
        <v>0</v>
      </c>
      <c r="PG28">
        <v>0</v>
      </c>
      <c r="PH28">
        <v>0</v>
      </c>
      <c r="PI28">
        <v>0</v>
      </c>
      <c r="PJ28">
        <f t="shared" si="35"/>
        <v>0</v>
      </c>
      <c r="PK28">
        <v>0</v>
      </c>
      <c r="PL28">
        <v>0</v>
      </c>
      <c r="PM28">
        <v>0</v>
      </c>
      <c r="PN28">
        <v>0</v>
      </c>
      <c r="PO28">
        <v>0</v>
      </c>
      <c r="PP28">
        <v>0</v>
      </c>
      <c r="PQ28">
        <v>0</v>
      </c>
      <c r="PR28">
        <v>0</v>
      </c>
      <c r="PS28">
        <v>0</v>
      </c>
      <c r="PT28">
        <v>0</v>
      </c>
      <c r="PU28">
        <v>0</v>
      </c>
      <c r="PV28">
        <v>0</v>
      </c>
      <c r="PW28">
        <f t="shared" si="36"/>
        <v>0</v>
      </c>
      <c r="PX28">
        <v>0</v>
      </c>
      <c r="PY28">
        <v>0</v>
      </c>
      <c r="PZ28">
        <v>0</v>
      </c>
      <c r="QA28">
        <v>0</v>
      </c>
      <c r="QB28">
        <v>0</v>
      </c>
      <c r="QC28">
        <v>0</v>
      </c>
      <c r="QD28">
        <v>0</v>
      </c>
      <c r="QE28">
        <v>0</v>
      </c>
      <c r="QF28">
        <v>0</v>
      </c>
      <c r="QG28">
        <v>0</v>
      </c>
      <c r="QH28">
        <v>0</v>
      </c>
      <c r="QI28">
        <v>0</v>
      </c>
      <c r="QJ28">
        <f t="shared" si="37"/>
        <v>0</v>
      </c>
      <c r="QK28">
        <v>23462</v>
      </c>
      <c r="QL28">
        <v>25826</v>
      </c>
      <c r="QM28">
        <v>24789</v>
      </c>
      <c r="QN28">
        <v>28282</v>
      </c>
      <c r="QO28">
        <v>28616</v>
      </c>
      <c r="QP28">
        <v>28091</v>
      </c>
      <c r="QQ28">
        <v>29546</v>
      </c>
      <c r="QR28">
        <v>26595</v>
      </c>
      <c r="QS28">
        <v>24481</v>
      </c>
      <c r="QT28">
        <v>26465</v>
      </c>
      <c r="QU28">
        <v>29347</v>
      </c>
      <c r="QV28">
        <v>30775</v>
      </c>
      <c r="QW28">
        <f t="shared" si="38"/>
        <v>326275</v>
      </c>
      <c r="QX28">
        <v>0</v>
      </c>
      <c r="QY28">
        <v>0</v>
      </c>
      <c r="QZ28">
        <v>0</v>
      </c>
      <c r="RA28">
        <v>0</v>
      </c>
      <c r="RB28">
        <v>0</v>
      </c>
      <c r="RC28">
        <v>0</v>
      </c>
      <c r="RD28">
        <v>0</v>
      </c>
      <c r="RE28">
        <v>0</v>
      </c>
      <c r="RF28">
        <v>0</v>
      </c>
      <c r="RG28">
        <v>0</v>
      </c>
      <c r="RH28">
        <v>0</v>
      </c>
      <c r="RI28">
        <v>0</v>
      </c>
      <c r="RJ28">
        <f t="shared" si="39"/>
        <v>0</v>
      </c>
      <c r="RK28">
        <v>0</v>
      </c>
      <c r="RL28">
        <v>0</v>
      </c>
      <c r="RM28">
        <v>0</v>
      </c>
      <c r="RN28">
        <v>0</v>
      </c>
      <c r="RO28">
        <v>0</v>
      </c>
      <c r="RP28">
        <v>0</v>
      </c>
      <c r="RQ28">
        <v>0</v>
      </c>
      <c r="RR28">
        <v>0</v>
      </c>
      <c r="RS28">
        <v>0</v>
      </c>
      <c r="RT28">
        <v>0</v>
      </c>
      <c r="RU28">
        <v>0</v>
      </c>
      <c r="RV28">
        <v>0</v>
      </c>
      <c r="RW28">
        <f t="shared" si="40"/>
        <v>0</v>
      </c>
      <c r="RX28">
        <v>0</v>
      </c>
      <c r="RY28">
        <v>0</v>
      </c>
      <c r="RZ28">
        <v>0</v>
      </c>
      <c r="SA28">
        <v>0</v>
      </c>
      <c r="SB28">
        <v>0</v>
      </c>
      <c r="SC28">
        <v>0</v>
      </c>
      <c r="SD28">
        <v>0</v>
      </c>
      <c r="SE28">
        <v>0</v>
      </c>
      <c r="SF28">
        <v>0</v>
      </c>
      <c r="SG28">
        <v>0</v>
      </c>
      <c r="SH28">
        <v>0</v>
      </c>
      <c r="SI28">
        <v>0</v>
      </c>
      <c r="SJ28">
        <f t="shared" si="41"/>
        <v>0</v>
      </c>
      <c r="SK28">
        <v>0</v>
      </c>
      <c r="SL28">
        <v>0</v>
      </c>
      <c r="SM28">
        <v>0</v>
      </c>
      <c r="SN28">
        <v>0</v>
      </c>
      <c r="SO28">
        <v>0</v>
      </c>
      <c r="SP28">
        <v>0</v>
      </c>
      <c r="SQ28">
        <v>0</v>
      </c>
      <c r="SR28">
        <v>0</v>
      </c>
      <c r="SS28">
        <v>0</v>
      </c>
      <c r="ST28">
        <v>0</v>
      </c>
      <c r="SU28">
        <v>0</v>
      </c>
      <c r="SV28">
        <v>0</v>
      </c>
      <c r="SW28">
        <f t="shared" si="42"/>
        <v>0</v>
      </c>
      <c r="SX28" t="s">
        <v>1524</v>
      </c>
      <c r="SY28">
        <v>3107</v>
      </c>
      <c r="SZ28">
        <v>3126</v>
      </c>
      <c r="TA28">
        <v>3393</v>
      </c>
      <c r="TB28">
        <v>3506</v>
      </c>
      <c r="TC28">
        <v>3161</v>
      </c>
      <c r="TD28">
        <v>3479</v>
      </c>
      <c r="TE28">
        <v>3653</v>
      </c>
      <c r="TF28">
        <v>3035</v>
      </c>
      <c r="TG28">
        <v>2737</v>
      </c>
      <c r="TH28">
        <v>2975</v>
      </c>
      <c r="TI28">
        <v>3246</v>
      </c>
      <c r="TJ28">
        <v>3626</v>
      </c>
      <c r="TK28">
        <f t="shared" si="43"/>
        <v>39044</v>
      </c>
      <c r="TL28">
        <v>0</v>
      </c>
      <c r="TM28">
        <v>0</v>
      </c>
      <c r="TN28">
        <v>0</v>
      </c>
      <c r="TO28">
        <v>0</v>
      </c>
      <c r="TP28">
        <v>0</v>
      </c>
      <c r="TQ28">
        <v>0</v>
      </c>
      <c r="TR28">
        <v>0</v>
      </c>
      <c r="TS28">
        <v>0</v>
      </c>
      <c r="TT28">
        <v>0</v>
      </c>
      <c r="TU28">
        <v>0</v>
      </c>
      <c r="TV28">
        <v>0</v>
      </c>
      <c r="TW28">
        <v>0</v>
      </c>
      <c r="TX28">
        <f t="shared" si="44"/>
        <v>0</v>
      </c>
      <c r="TY28">
        <v>146</v>
      </c>
      <c r="TZ28">
        <v>0</v>
      </c>
      <c r="UA28">
        <v>0</v>
      </c>
      <c r="UB28">
        <v>0</v>
      </c>
    </row>
    <row r="29" spans="1:548" ht="16.5" customHeight="1" x14ac:dyDescent="0.35">
      <c r="A29" t="s">
        <v>1469</v>
      </c>
      <c r="B29" t="s">
        <v>2863</v>
      </c>
      <c r="C29">
        <v>73903</v>
      </c>
      <c r="D29">
        <v>20074</v>
      </c>
      <c r="E29">
        <v>3698</v>
      </c>
      <c r="F29">
        <v>50131</v>
      </c>
      <c r="G29">
        <v>709</v>
      </c>
      <c r="H29">
        <v>651</v>
      </c>
      <c r="I29">
        <v>988</v>
      </c>
      <c r="J29">
        <v>886</v>
      </c>
      <c r="K29">
        <v>868</v>
      </c>
      <c r="L29">
        <v>778</v>
      </c>
      <c r="M29">
        <v>808</v>
      </c>
      <c r="N29">
        <v>634</v>
      </c>
      <c r="O29">
        <v>646</v>
      </c>
      <c r="P29">
        <v>647</v>
      </c>
      <c r="Q29">
        <v>654</v>
      </c>
      <c r="R29">
        <v>512</v>
      </c>
      <c r="S29">
        <f t="shared" si="0"/>
        <v>8781</v>
      </c>
      <c r="T29">
        <v>0</v>
      </c>
      <c r="U29">
        <v>0</v>
      </c>
      <c r="V29">
        <v>0</v>
      </c>
      <c r="W29">
        <v>0</v>
      </c>
      <c r="X29">
        <v>0</v>
      </c>
      <c r="Y29">
        <v>0</v>
      </c>
      <c r="Z29">
        <v>0</v>
      </c>
      <c r="AA29">
        <v>0</v>
      </c>
      <c r="AB29">
        <v>0</v>
      </c>
      <c r="AC29">
        <v>0</v>
      </c>
      <c r="AD29">
        <v>0</v>
      </c>
      <c r="AE29">
        <v>0</v>
      </c>
      <c r="AF29">
        <f t="shared" si="1"/>
        <v>0</v>
      </c>
      <c r="AG29">
        <v>0</v>
      </c>
      <c r="AH29">
        <v>0</v>
      </c>
      <c r="AI29">
        <v>0</v>
      </c>
      <c r="AJ29">
        <v>0</v>
      </c>
      <c r="AK29">
        <v>0</v>
      </c>
      <c r="AL29">
        <v>0</v>
      </c>
      <c r="AM29">
        <v>0</v>
      </c>
      <c r="AN29">
        <v>0</v>
      </c>
      <c r="AO29">
        <v>0</v>
      </c>
      <c r="AP29">
        <v>0</v>
      </c>
      <c r="AQ29">
        <v>0</v>
      </c>
      <c r="AR29">
        <v>0</v>
      </c>
      <c r="AS29">
        <f t="shared" si="2"/>
        <v>0</v>
      </c>
      <c r="AT29">
        <v>0</v>
      </c>
      <c r="AU29">
        <v>0</v>
      </c>
      <c r="AV29">
        <v>0</v>
      </c>
      <c r="AW29">
        <v>0</v>
      </c>
      <c r="AX29">
        <v>0</v>
      </c>
      <c r="AY29">
        <v>0</v>
      </c>
      <c r="AZ29">
        <v>0</v>
      </c>
      <c r="BA29">
        <v>0</v>
      </c>
      <c r="BB29">
        <v>0</v>
      </c>
      <c r="BC29">
        <v>0</v>
      </c>
      <c r="BD29">
        <v>0</v>
      </c>
      <c r="BE29">
        <v>0</v>
      </c>
      <c r="BF29">
        <f t="shared" si="3"/>
        <v>0</v>
      </c>
      <c r="BG29">
        <v>0</v>
      </c>
      <c r="BH29">
        <v>0</v>
      </c>
      <c r="BI29">
        <v>0</v>
      </c>
      <c r="BJ29">
        <v>0</v>
      </c>
      <c r="BK29">
        <v>0</v>
      </c>
      <c r="BL29">
        <v>0</v>
      </c>
      <c r="BM29">
        <v>0</v>
      </c>
      <c r="BN29">
        <v>0</v>
      </c>
      <c r="BO29">
        <v>0</v>
      </c>
      <c r="BP29">
        <v>0</v>
      </c>
      <c r="BQ29">
        <v>0</v>
      </c>
      <c r="BR29">
        <v>0</v>
      </c>
      <c r="BS29">
        <f t="shared" si="4"/>
        <v>0</v>
      </c>
      <c r="BT29">
        <v>0</v>
      </c>
      <c r="BU29">
        <v>0</v>
      </c>
      <c r="BV29">
        <v>0</v>
      </c>
      <c r="BW29">
        <v>0</v>
      </c>
      <c r="BX29">
        <v>0</v>
      </c>
      <c r="BY29">
        <v>0</v>
      </c>
      <c r="BZ29">
        <v>0</v>
      </c>
      <c r="CA29">
        <v>0</v>
      </c>
      <c r="CB29">
        <v>0</v>
      </c>
      <c r="CC29">
        <v>0</v>
      </c>
      <c r="CD29">
        <v>0</v>
      </c>
      <c r="CE29">
        <v>0</v>
      </c>
      <c r="CF29">
        <f t="shared" si="5"/>
        <v>0</v>
      </c>
      <c r="CG29">
        <v>0</v>
      </c>
      <c r="CH29">
        <v>0</v>
      </c>
      <c r="CI29">
        <v>0</v>
      </c>
      <c r="CJ29">
        <v>0</v>
      </c>
      <c r="CK29">
        <v>0</v>
      </c>
      <c r="CL29">
        <v>0</v>
      </c>
      <c r="CM29">
        <v>0</v>
      </c>
      <c r="CN29">
        <v>0</v>
      </c>
      <c r="CO29">
        <v>0</v>
      </c>
      <c r="CP29">
        <v>0</v>
      </c>
      <c r="CQ29">
        <v>0</v>
      </c>
      <c r="CR29">
        <v>0</v>
      </c>
      <c r="CS29">
        <f t="shared" si="6"/>
        <v>0</v>
      </c>
      <c r="CT29">
        <v>0</v>
      </c>
      <c r="CU29">
        <v>0</v>
      </c>
      <c r="CV29">
        <v>0</v>
      </c>
      <c r="CW29">
        <v>0</v>
      </c>
      <c r="CX29">
        <v>0</v>
      </c>
      <c r="CY29">
        <v>0</v>
      </c>
      <c r="CZ29">
        <v>0</v>
      </c>
      <c r="DA29">
        <v>0</v>
      </c>
      <c r="DB29">
        <v>0</v>
      </c>
      <c r="DC29">
        <v>0</v>
      </c>
      <c r="DD29">
        <v>0</v>
      </c>
      <c r="DE29">
        <v>0</v>
      </c>
      <c r="DF29">
        <f t="shared" si="7"/>
        <v>0</v>
      </c>
      <c r="DG29">
        <v>0</v>
      </c>
      <c r="DH29">
        <v>0</v>
      </c>
      <c r="DI29">
        <v>0</v>
      </c>
      <c r="DJ29">
        <v>0</v>
      </c>
      <c r="DK29">
        <v>0</v>
      </c>
      <c r="DL29">
        <v>0</v>
      </c>
      <c r="DM29">
        <v>0</v>
      </c>
      <c r="DN29">
        <v>0</v>
      </c>
      <c r="DO29">
        <v>0</v>
      </c>
      <c r="DP29">
        <v>0</v>
      </c>
      <c r="DQ29">
        <v>0</v>
      </c>
      <c r="DR29">
        <v>0</v>
      </c>
      <c r="DS29">
        <f t="shared" si="8"/>
        <v>0</v>
      </c>
      <c r="DT29">
        <v>0</v>
      </c>
      <c r="DU29">
        <v>0</v>
      </c>
      <c r="DV29">
        <v>0</v>
      </c>
      <c r="DW29">
        <v>0</v>
      </c>
      <c r="DX29">
        <v>0</v>
      </c>
      <c r="DY29">
        <v>0</v>
      </c>
      <c r="DZ29">
        <v>0</v>
      </c>
      <c r="EA29">
        <v>0</v>
      </c>
      <c r="EB29">
        <v>0</v>
      </c>
      <c r="EC29">
        <v>0</v>
      </c>
      <c r="ED29">
        <v>0</v>
      </c>
      <c r="EE29">
        <v>0</v>
      </c>
      <c r="EF29">
        <f t="shared" si="9"/>
        <v>0</v>
      </c>
      <c r="EG29">
        <f t="shared" si="10"/>
        <v>0</v>
      </c>
      <c r="EH29">
        <f t="shared" si="11"/>
        <v>0</v>
      </c>
      <c r="EI29">
        <v>2970</v>
      </c>
      <c r="EJ29">
        <v>3867</v>
      </c>
      <c r="EK29">
        <v>3452</v>
      </c>
      <c r="EL29">
        <v>4621</v>
      </c>
      <c r="EM29">
        <v>4842</v>
      </c>
      <c r="EN29">
        <v>3572</v>
      </c>
      <c r="EO29">
        <v>5452</v>
      </c>
      <c r="EP29">
        <v>3850</v>
      </c>
      <c r="EQ29">
        <v>2581</v>
      </c>
      <c r="ER29">
        <v>2453</v>
      </c>
      <c r="ES29">
        <v>3070</v>
      </c>
      <c r="ET29">
        <v>3521</v>
      </c>
      <c r="EU29">
        <f t="shared" si="12"/>
        <v>44251</v>
      </c>
      <c r="EV29">
        <v>1341</v>
      </c>
      <c r="EW29">
        <v>1896</v>
      </c>
      <c r="EX29">
        <v>1919</v>
      </c>
      <c r="EY29">
        <v>2463</v>
      </c>
      <c r="EZ29">
        <v>2622</v>
      </c>
      <c r="FA29">
        <v>1455</v>
      </c>
      <c r="FB29">
        <v>3364</v>
      </c>
      <c r="FC29">
        <v>1921</v>
      </c>
      <c r="FD29">
        <v>1073</v>
      </c>
      <c r="FE29">
        <v>934</v>
      </c>
      <c r="FF29">
        <v>1447</v>
      </c>
      <c r="FG29">
        <v>1983</v>
      </c>
      <c r="FH29">
        <f t="shared" si="13"/>
        <v>22418</v>
      </c>
      <c r="FI29">
        <v>0</v>
      </c>
      <c r="FJ29">
        <v>0</v>
      </c>
      <c r="FK29">
        <v>0</v>
      </c>
      <c r="FL29">
        <v>0</v>
      </c>
      <c r="FM29">
        <v>0</v>
      </c>
      <c r="FN29">
        <v>0</v>
      </c>
      <c r="FO29">
        <v>0</v>
      </c>
      <c r="FP29">
        <v>0</v>
      </c>
      <c r="FQ29">
        <v>0</v>
      </c>
      <c r="FR29">
        <v>0</v>
      </c>
      <c r="FS29">
        <v>0</v>
      </c>
      <c r="FT29">
        <v>0</v>
      </c>
      <c r="FU29">
        <f t="shared" si="14"/>
        <v>0</v>
      </c>
      <c r="FV29">
        <v>1629</v>
      </c>
      <c r="FW29">
        <v>1971</v>
      </c>
      <c r="FX29">
        <v>1533</v>
      </c>
      <c r="FY29">
        <v>2158</v>
      </c>
      <c r="FZ29">
        <v>2220</v>
      </c>
      <c r="GA29">
        <v>2117</v>
      </c>
      <c r="GB29">
        <v>2088</v>
      </c>
      <c r="GC29">
        <v>1929</v>
      </c>
      <c r="GD29">
        <v>1508</v>
      </c>
      <c r="GE29">
        <v>1519</v>
      </c>
      <c r="GF29">
        <v>1623</v>
      </c>
      <c r="GG29">
        <v>1538</v>
      </c>
      <c r="GH29">
        <f t="shared" si="15"/>
        <v>21833</v>
      </c>
      <c r="GI29">
        <v>0</v>
      </c>
      <c r="GJ29">
        <v>0</v>
      </c>
      <c r="GK29">
        <v>0</v>
      </c>
      <c r="GL29">
        <v>0</v>
      </c>
      <c r="GM29">
        <v>0</v>
      </c>
      <c r="GN29">
        <v>0</v>
      </c>
      <c r="GO29">
        <v>0</v>
      </c>
      <c r="GP29">
        <v>0</v>
      </c>
      <c r="GQ29">
        <v>0</v>
      </c>
      <c r="GR29">
        <v>0</v>
      </c>
      <c r="GS29">
        <v>0</v>
      </c>
      <c r="GT29">
        <v>0</v>
      </c>
      <c r="GU29">
        <f t="shared" si="16"/>
        <v>0</v>
      </c>
      <c r="GV29">
        <v>0</v>
      </c>
      <c r="GW29">
        <v>0</v>
      </c>
      <c r="GX29">
        <v>0</v>
      </c>
      <c r="GY29">
        <v>0</v>
      </c>
      <c r="GZ29">
        <v>0</v>
      </c>
      <c r="HA29">
        <v>0</v>
      </c>
      <c r="HB29">
        <v>0</v>
      </c>
      <c r="HC29">
        <v>0</v>
      </c>
      <c r="HD29">
        <v>0</v>
      </c>
      <c r="HE29">
        <v>0</v>
      </c>
      <c r="HF29">
        <v>0</v>
      </c>
      <c r="HG29">
        <v>0</v>
      </c>
      <c r="HH29">
        <f t="shared" si="17"/>
        <v>0</v>
      </c>
      <c r="HI29">
        <v>0</v>
      </c>
      <c r="HJ29">
        <v>0</v>
      </c>
      <c r="HK29">
        <v>0</v>
      </c>
      <c r="HL29">
        <v>0</v>
      </c>
      <c r="HM29">
        <v>0</v>
      </c>
      <c r="HN29">
        <v>0</v>
      </c>
      <c r="HO29">
        <v>0</v>
      </c>
      <c r="HP29">
        <v>0</v>
      </c>
      <c r="HQ29">
        <v>0</v>
      </c>
      <c r="HR29">
        <v>0</v>
      </c>
      <c r="HS29">
        <v>0</v>
      </c>
      <c r="HT29">
        <v>0</v>
      </c>
      <c r="HU29">
        <f t="shared" si="18"/>
        <v>0</v>
      </c>
      <c r="HV29">
        <v>0</v>
      </c>
      <c r="HW29">
        <v>0</v>
      </c>
      <c r="HX29">
        <v>0</v>
      </c>
      <c r="HY29">
        <v>0</v>
      </c>
      <c r="HZ29">
        <v>0</v>
      </c>
      <c r="IA29">
        <v>0</v>
      </c>
      <c r="IB29">
        <v>0</v>
      </c>
      <c r="IC29">
        <v>0</v>
      </c>
      <c r="ID29">
        <v>0</v>
      </c>
      <c r="IE29">
        <v>0</v>
      </c>
      <c r="IF29">
        <v>0</v>
      </c>
      <c r="IG29">
        <v>0</v>
      </c>
      <c r="IH29">
        <f t="shared" si="19"/>
        <v>0</v>
      </c>
      <c r="II29">
        <f t="shared" si="20"/>
        <v>44251</v>
      </c>
      <c r="IJ29">
        <f t="shared" si="21"/>
        <v>0</v>
      </c>
      <c r="IK29">
        <v>91895</v>
      </c>
      <c r="IL29">
        <v>114084</v>
      </c>
      <c r="IM29">
        <v>106465</v>
      </c>
      <c r="IN29">
        <v>132003</v>
      </c>
      <c r="IO29">
        <v>94891</v>
      </c>
      <c r="IP29">
        <v>125956</v>
      </c>
      <c r="IQ29">
        <v>130211</v>
      </c>
      <c r="IR29">
        <v>114120</v>
      </c>
      <c r="IS29">
        <v>104321</v>
      </c>
      <c r="IT29">
        <v>118217</v>
      </c>
      <c r="IU29">
        <v>113144</v>
      </c>
      <c r="IV29">
        <v>122247</v>
      </c>
      <c r="IW29">
        <f t="shared" si="22"/>
        <v>1367554</v>
      </c>
      <c r="IX29">
        <v>35266</v>
      </c>
      <c r="IY29">
        <v>41338</v>
      </c>
      <c r="IZ29">
        <v>37339</v>
      </c>
      <c r="JA29">
        <v>54242</v>
      </c>
      <c r="JB29">
        <v>43101</v>
      </c>
      <c r="JC29">
        <v>48160</v>
      </c>
      <c r="JD29">
        <v>51534</v>
      </c>
      <c r="JE29">
        <v>42581</v>
      </c>
      <c r="JF29">
        <v>34036</v>
      </c>
      <c r="JG29">
        <v>42382</v>
      </c>
      <c r="JH29">
        <v>45310</v>
      </c>
      <c r="JI29">
        <v>46477</v>
      </c>
      <c r="JJ29">
        <f t="shared" si="23"/>
        <v>521766</v>
      </c>
      <c r="JK29">
        <v>750</v>
      </c>
      <c r="JL29">
        <v>998</v>
      </c>
      <c r="JM29">
        <v>902</v>
      </c>
      <c r="JN29">
        <v>1335</v>
      </c>
      <c r="JO29">
        <v>928</v>
      </c>
      <c r="JP29">
        <v>1182</v>
      </c>
      <c r="JQ29">
        <v>1249</v>
      </c>
      <c r="JR29">
        <v>998</v>
      </c>
      <c r="JS29">
        <v>869</v>
      </c>
      <c r="JT29">
        <v>1049</v>
      </c>
      <c r="JU29">
        <v>1134</v>
      </c>
      <c r="JV29">
        <v>1105</v>
      </c>
      <c r="JW29">
        <f t="shared" si="24"/>
        <v>12499</v>
      </c>
      <c r="JX29">
        <v>55879</v>
      </c>
      <c r="JY29">
        <v>71748</v>
      </c>
      <c r="JZ29">
        <v>68224</v>
      </c>
      <c r="KA29">
        <v>76426</v>
      </c>
      <c r="KB29">
        <v>50862</v>
      </c>
      <c r="KC29">
        <v>76614</v>
      </c>
      <c r="KD29">
        <v>77428</v>
      </c>
      <c r="KE29">
        <v>70541</v>
      </c>
      <c r="KF29">
        <v>69416</v>
      </c>
      <c r="KG29">
        <v>74786</v>
      </c>
      <c r="KH29">
        <v>66700</v>
      </c>
      <c r="KI29">
        <v>74665</v>
      </c>
      <c r="KJ29">
        <f t="shared" si="25"/>
        <v>833289</v>
      </c>
      <c r="KK29">
        <v>2719</v>
      </c>
      <c r="KL29">
        <v>2779</v>
      </c>
      <c r="KM29">
        <v>2997</v>
      </c>
      <c r="KN29">
        <v>3477</v>
      </c>
      <c r="KO29">
        <v>2055</v>
      </c>
      <c r="KP29">
        <v>3411</v>
      </c>
      <c r="KQ29">
        <v>3081</v>
      </c>
      <c r="KR29">
        <v>2906</v>
      </c>
      <c r="KS29">
        <v>2719</v>
      </c>
      <c r="KT29">
        <v>3097</v>
      </c>
      <c r="KU29">
        <v>2997</v>
      </c>
      <c r="KV29">
        <v>3115</v>
      </c>
      <c r="KW29">
        <f t="shared" si="26"/>
        <v>35353</v>
      </c>
      <c r="KX29">
        <v>136</v>
      </c>
      <c r="KY29">
        <v>161</v>
      </c>
      <c r="KZ29">
        <v>143</v>
      </c>
      <c r="LA29">
        <v>220</v>
      </c>
      <c r="LB29">
        <v>160</v>
      </c>
      <c r="LC29">
        <v>160</v>
      </c>
      <c r="LD29">
        <v>197</v>
      </c>
      <c r="LE29">
        <v>126</v>
      </c>
      <c r="LF29">
        <v>144</v>
      </c>
      <c r="LG29">
        <v>111</v>
      </c>
      <c r="LH29">
        <v>130</v>
      </c>
      <c r="LI29">
        <v>136</v>
      </c>
      <c r="LJ29">
        <f t="shared" si="27"/>
        <v>1824</v>
      </c>
      <c r="LK29">
        <v>1</v>
      </c>
      <c r="LL29">
        <v>5</v>
      </c>
      <c r="LM29">
        <v>1</v>
      </c>
      <c r="LN29">
        <v>2</v>
      </c>
      <c r="LO29">
        <v>0</v>
      </c>
      <c r="LP29">
        <v>12</v>
      </c>
      <c r="LQ29">
        <v>0</v>
      </c>
      <c r="LR29">
        <v>2</v>
      </c>
      <c r="LS29">
        <v>3</v>
      </c>
      <c r="LT29">
        <v>2</v>
      </c>
      <c r="LU29">
        <v>5</v>
      </c>
      <c r="LV29">
        <v>4</v>
      </c>
      <c r="LW29">
        <f t="shared" si="28"/>
        <v>37</v>
      </c>
      <c r="LX29">
        <v>2582</v>
      </c>
      <c r="LY29">
        <v>2613</v>
      </c>
      <c r="LZ29">
        <v>2853</v>
      </c>
      <c r="MA29">
        <v>3255</v>
      </c>
      <c r="MB29">
        <v>1895</v>
      </c>
      <c r="MC29">
        <v>3239</v>
      </c>
      <c r="MD29">
        <v>2884</v>
      </c>
      <c r="ME29">
        <v>2778</v>
      </c>
      <c r="MF29">
        <v>2572</v>
      </c>
      <c r="MG29">
        <v>2984</v>
      </c>
      <c r="MH29">
        <v>2862</v>
      </c>
      <c r="MI29">
        <v>2975</v>
      </c>
      <c r="MJ29">
        <f t="shared" si="29"/>
        <v>33492</v>
      </c>
      <c r="MK29">
        <v>11947</v>
      </c>
      <c r="ML29">
        <v>12339</v>
      </c>
      <c r="MM29">
        <v>11891</v>
      </c>
      <c r="MN29">
        <v>12293</v>
      </c>
      <c r="MO29">
        <v>12867</v>
      </c>
      <c r="MP29">
        <v>11994</v>
      </c>
      <c r="MQ29">
        <v>12551</v>
      </c>
      <c r="MR29">
        <v>11818</v>
      </c>
      <c r="MS29">
        <v>12106</v>
      </c>
      <c r="MT29">
        <v>12475</v>
      </c>
      <c r="MU29">
        <v>11151</v>
      </c>
      <c r="MV29">
        <v>12335</v>
      </c>
      <c r="MW29">
        <f t="shared" si="30"/>
        <v>145767</v>
      </c>
      <c r="MX29">
        <v>841</v>
      </c>
      <c r="MY29">
        <v>876</v>
      </c>
      <c r="MZ29">
        <v>643</v>
      </c>
      <c r="NA29">
        <v>784</v>
      </c>
      <c r="NB29">
        <v>897</v>
      </c>
      <c r="NC29">
        <v>662</v>
      </c>
      <c r="ND29">
        <v>742</v>
      </c>
      <c r="NE29">
        <v>664</v>
      </c>
      <c r="NF29">
        <v>693</v>
      </c>
      <c r="NG29">
        <v>695</v>
      </c>
      <c r="NH29">
        <v>642</v>
      </c>
      <c r="NI29">
        <v>646</v>
      </c>
      <c r="NJ29">
        <f t="shared" si="31"/>
        <v>8785</v>
      </c>
      <c r="NK29">
        <v>454</v>
      </c>
      <c r="NL29">
        <v>515</v>
      </c>
      <c r="NM29">
        <v>416</v>
      </c>
      <c r="NN29">
        <v>398</v>
      </c>
      <c r="NO29">
        <v>502</v>
      </c>
      <c r="NP29">
        <v>471</v>
      </c>
      <c r="NQ29">
        <v>466</v>
      </c>
      <c r="NR29">
        <v>391</v>
      </c>
      <c r="NS29">
        <v>411</v>
      </c>
      <c r="NT29">
        <v>422</v>
      </c>
      <c r="NU29">
        <v>458</v>
      </c>
      <c r="NV29">
        <v>500</v>
      </c>
      <c r="NW29">
        <f t="shared" si="32"/>
        <v>5404</v>
      </c>
      <c r="NX29">
        <v>10652</v>
      </c>
      <c r="NY29">
        <v>10948</v>
      </c>
      <c r="NZ29">
        <v>10832</v>
      </c>
      <c r="OA29">
        <v>11111</v>
      </c>
      <c r="OB29">
        <v>11468</v>
      </c>
      <c r="OC29">
        <v>10861</v>
      </c>
      <c r="OD29">
        <v>11343</v>
      </c>
      <c r="OE29">
        <v>10763</v>
      </c>
      <c r="OF29">
        <v>11002</v>
      </c>
      <c r="OG29">
        <v>11358</v>
      </c>
      <c r="OH29">
        <v>10051</v>
      </c>
      <c r="OI29">
        <v>11189</v>
      </c>
      <c r="OJ29">
        <f t="shared" si="33"/>
        <v>131578</v>
      </c>
      <c r="OK29">
        <v>16108</v>
      </c>
      <c r="OL29">
        <v>16506</v>
      </c>
      <c r="OM29">
        <v>16384</v>
      </c>
      <c r="ON29">
        <v>17762</v>
      </c>
      <c r="OO29">
        <v>18411</v>
      </c>
      <c r="OP29">
        <v>17529</v>
      </c>
      <c r="OQ29">
        <v>18736</v>
      </c>
      <c r="OR29">
        <v>17861</v>
      </c>
      <c r="OS29">
        <v>18054</v>
      </c>
      <c r="OT29">
        <v>19637</v>
      </c>
      <c r="OU29">
        <v>17872</v>
      </c>
      <c r="OV29">
        <v>19583</v>
      </c>
      <c r="OW29">
        <f t="shared" si="34"/>
        <v>214443</v>
      </c>
      <c r="OX29">
        <v>1696</v>
      </c>
      <c r="OY29">
        <v>1787</v>
      </c>
      <c r="OZ29">
        <v>1768</v>
      </c>
      <c r="PA29">
        <v>1954</v>
      </c>
      <c r="PB29">
        <v>2169</v>
      </c>
      <c r="PC29">
        <v>1779</v>
      </c>
      <c r="PD29">
        <v>2022</v>
      </c>
      <c r="PE29">
        <v>1917</v>
      </c>
      <c r="PF29">
        <v>1916</v>
      </c>
      <c r="PG29">
        <v>1877</v>
      </c>
      <c r="PH29">
        <v>1808</v>
      </c>
      <c r="PI29">
        <v>1893</v>
      </c>
      <c r="PJ29">
        <f t="shared" si="35"/>
        <v>22586</v>
      </c>
      <c r="PK29">
        <v>600</v>
      </c>
      <c r="PL29">
        <v>625</v>
      </c>
      <c r="PM29">
        <v>563</v>
      </c>
      <c r="PN29">
        <v>643</v>
      </c>
      <c r="PO29">
        <v>668</v>
      </c>
      <c r="PP29">
        <v>642</v>
      </c>
      <c r="PQ29">
        <v>644</v>
      </c>
      <c r="PR29">
        <v>641</v>
      </c>
      <c r="PS29">
        <v>607</v>
      </c>
      <c r="PT29">
        <v>735</v>
      </c>
      <c r="PU29">
        <v>613</v>
      </c>
      <c r="PV29">
        <v>678</v>
      </c>
      <c r="PW29">
        <f t="shared" si="36"/>
        <v>7659</v>
      </c>
      <c r="PX29">
        <v>13812</v>
      </c>
      <c r="PY29">
        <v>14094</v>
      </c>
      <c r="PZ29">
        <v>14053</v>
      </c>
      <c r="QA29">
        <v>15165</v>
      </c>
      <c r="QB29">
        <v>15574</v>
      </c>
      <c r="QC29">
        <v>15108</v>
      </c>
      <c r="QD29">
        <v>16070</v>
      </c>
      <c r="QE29">
        <v>15303</v>
      </c>
      <c r="QF29">
        <v>15531</v>
      </c>
      <c r="QG29">
        <v>17025</v>
      </c>
      <c r="QH29">
        <v>15451</v>
      </c>
      <c r="QI29">
        <v>17012</v>
      </c>
      <c r="QJ29">
        <f t="shared" si="37"/>
        <v>184198</v>
      </c>
      <c r="QK29">
        <v>63718</v>
      </c>
      <c r="QL29">
        <v>68744</v>
      </c>
      <c r="QM29">
        <v>63648</v>
      </c>
      <c r="QN29">
        <v>75119</v>
      </c>
      <c r="QO29">
        <v>74615</v>
      </c>
      <c r="QP29">
        <v>71165</v>
      </c>
      <c r="QQ29">
        <v>77908</v>
      </c>
      <c r="QR29">
        <v>68965</v>
      </c>
      <c r="QS29">
        <v>62472</v>
      </c>
      <c r="QT29">
        <v>72290</v>
      </c>
      <c r="QU29">
        <v>70565</v>
      </c>
      <c r="QV29">
        <v>73328</v>
      </c>
      <c r="QW29">
        <f t="shared" si="38"/>
        <v>842537</v>
      </c>
      <c r="QX29">
        <v>29962</v>
      </c>
      <c r="QY29">
        <v>31999</v>
      </c>
      <c r="QZ29">
        <v>30095</v>
      </c>
      <c r="RA29">
        <v>34410</v>
      </c>
      <c r="RB29">
        <v>34746</v>
      </c>
      <c r="RC29">
        <v>33928</v>
      </c>
      <c r="RD29">
        <v>36596</v>
      </c>
      <c r="RE29">
        <v>31795</v>
      </c>
      <c r="RF29">
        <v>30015</v>
      </c>
      <c r="RG29">
        <v>33342</v>
      </c>
      <c r="RH29">
        <v>33589</v>
      </c>
      <c r="RI29">
        <v>36211</v>
      </c>
      <c r="RJ29">
        <f t="shared" si="39"/>
        <v>396688</v>
      </c>
      <c r="RK29">
        <v>0</v>
      </c>
      <c r="RL29">
        <v>0</v>
      </c>
      <c r="RM29">
        <v>0</v>
      </c>
      <c r="RN29">
        <v>0</v>
      </c>
      <c r="RO29">
        <v>0</v>
      </c>
      <c r="RP29">
        <v>0</v>
      </c>
      <c r="RQ29">
        <v>0</v>
      </c>
      <c r="RR29">
        <v>0</v>
      </c>
      <c r="RS29">
        <v>0</v>
      </c>
      <c r="RT29">
        <v>0</v>
      </c>
      <c r="RU29">
        <v>0</v>
      </c>
      <c r="RV29">
        <v>0</v>
      </c>
      <c r="RW29">
        <f t="shared" si="40"/>
        <v>0</v>
      </c>
      <c r="RX29">
        <v>0</v>
      </c>
      <c r="RY29">
        <v>0</v>
      </c>
      <c r="RZ29">
        <v>0</v>
      </c>
      <c r="SA29">
        <v>0</v>
      </c>
      <c r="SB29">
        <v>0</v>
      </c>
      <c r="SC29">
        <v>0</v>
      </c>
      <c r="SD29">
        <v>0</v>
      </c>
      <c r="SE29">
        <v>0</v>
      </c>
      <c r="SF29">
        <v>0</v>
      </c>
      <c r="SG29">
        <v>0</v>
      </c>
      <c r="SH29">
        <v>0</v>
      </c>
      <c r="SI29">
        <v>0</v>
      </c>
      <c r="SJ29">
        <f t="shared" si="41"/>
        <v>0</v>
      </c>
      <c r="SK29">
        <v>0</v>
      </c>
      <c r="SL29">
        <v>0</v>
      </c>
      <c r="SM29">
        <v>0</v>
      </c>
      <c r="SN29">
        <v>0</v>
      </c>
      <c r="SO29">
        <v>0</v>
      </c>
      <c r="SP29">
        <v>0</v>
      </c>
      <c r="SQ29">
        <v>0</v>
      </c>
      <c r="SR29">
        <v>0</v>
      </c>
      <c r="SS29">
        <v>0</v>
      </c>
      <c r="ST29">
        <v>0</v>
      </c>
      <c r="SU29">
        <v>0</v>
      </c>
      <c r="SV29">
        <v>0</v>
      </c>
      <c r="SW29">
        <f t="shared" si="42"/>
        <v>0</v>
      </c>
      <c r="SX29" t="s">
        <v>1470</v>
      </c>
      <c r="SY29">
        <v>6670</v>
      </c>
      <c r="SZ29">
        <v>6774</v>
      </c>
      <c r="TA29">
        <v>5543</v>
      </c>
      <c r="TB29">
        <v>6288</v>
      </c>
      <c r="TC29">
        <v>6305</v>
      </c>
      <c r="TD29">
        <v>7137</v>
      </c>
      <c r="TE29">
        <v>7599</v>
      </c>
      <c r="TF29">
        <v>6576</v>
      </c>
      <c r="TG29">
        <v>5781</v>
      </c>
      <c r="TH29">
        <v>6872</v>
      </c>
      <c r="TI29">
        <v>6670</v>
      </c>
      <c r="TJ29">
        <v>7215</v>
      </c>
      <c r="TK29">
        <f t="shared" si="43"/>
        <v>79430</v>
      </c>
      <c r="TL29">
        <v>0</v>
      </c>
      <c r="TM29">
        <v>0</v>
      </c>
      <c r="TN29">
        <v>0</v>
      </c>
      <c r="TO29">
        <v>0</v>
      </c>
      <c r="TP29">
        <v>0</v>
      </c>
      <c r="TQ29">
        <v>0</v>
      </c>
      <c r="TR29">
        <v>0</v>
      </c>
      <c r="TS29">
        <v>0</v>
      </c>
      <c r="TT29">
        <v>0</v>
      </c>
      <c r="TU29">
        <v>0</v>
      </c>
      <c r="TV29">
        <v>0</v>
      </c>
      <c r="TW29">
        <v>0</v>
      </c>
      <c r="TX29">
        <f t="shared" si="44"/>
        <v>0</v>
      </c>
      <c r="TY29">
        <v>192</v>
      </c>
      <c r="TZ29">
        <v>0</v>
      </c>
      <c r="UA29">
        <v>0</v>
      </c>
      <c r="UB29">
        <v>139</v>
      </c>
    </row>
    <row r="30" spans="1:548" ht="16.5" customHeight="1" x14ac:dyDescent="0.35">
      <c r="A30" t="s">
        <v>1478</v>
      </c>
      <c r="B30" t="s">
        <v>2864</v>
      </c>
      <c r="C30">
        <v>112097</v>
      </c>
      <c r="D30">
        <v>25051</v>
      </c>
      <c r="E30">
        <v>7315</v>
      </c>
      <c r="F30">
        <v>79731</v>
      </c>
      <c r="G30">
        <v>985</v>
      </c>
      <c r="H30">
        <v>992</v>
      </c>
      <c r="I30">
        <v>997</v>
      </c>
      <c r="J30">
        <v>1056</v>
      </c>
      <c r="K30">
        <v>933</v>
      </c>
      <c r="L30">
        <v>821</v>
      </c>
      <c r="M30">
        <v>1079</v>
      </c>
      <c r="N30">
        <v>1016</v>
      </c>
      <c r="O30">
        <v>875</v>
      </c>
      <c r="P30">
        <v>1043</v>
      </c>
      <c r="Q30">
        <v>1033</v>
      </c>
      <c r="R30">
        <v>1084</v>
      </c>
      <c r="S30">
        <f t="shared" si="0"/>
        <v>11914</v>
      </c>
      <c r="T30">
        <v>564</v>
      </c>
      <c r="U30">
        <v>572</v>
      </c>
      <c r="V30">
        <v>559</v>
      </c>
      <c r="W30">
        <v>644</v>
      </c>
      <c r="X30">
        <v>593</v>
      </c>
      <c r="Y30">
        <v>478</v>
      </c>
      <c r="Z30">
        <v>631</v>
      </c>
      <c r="AA30">
        <v>565</v>
      </c>
      <c r="AB30">
        <v>491</v>
      </c>
      <c r="AC30">
        <v>565</v>
      </c>
      <c r="AD30">
        <v>583</v>
      </c>
      <c r="AE30">
        <v>638</v>
      </c>
      <c r="AF30">
        <f t="shared" si="1"/>
        <v>6883</v>
      </c>
      <c r="AG30">
        <v>7</v>
      </c>
      <c r="AH30">
        <v>12</v>
      </c>
      <c r="AI30">
        <v>14</v>
      </c>
      <c r="AJ30">
        <v>8</v>
      </c>
      <c r="AK30">
        <v>6</v>
      </c>
      <c r="AL30">
        <v>5</v>
      </c>
      <c r="AM30">
        <v>7</v>
      </c>
      <c r="AN30">
        <v>18</v>
      </c>
      <c r="AO30">
        <v>15</v>
      </c>
      <c r="AP30">
        <v>20</v>
      </c>
      <c r="AQ30">
        <v>8</v>
      </c>
      <c r="AR30">
        <v>28</v>
      </c>
      <c r="AS30">
        <f t="shared" si="2"/>
        <v>148</v>
      </c>
      <c r="AT30">
        <v>414</v>
      </c>
      <c r="AU30">
        <v>408</v>
      </c>
      <c r="AV30">
        <v>424</v>
      </c>
      <c r="AW30">
        <v>404</v>
      </c>
      <c r="AX30">
        <v>334</v>
      </c>
      <c r="AY30">
        <v>338</v>
      </c>
      <c r="AZ30">
        <v>441</v>
      </c>
      <c r="BA30">
        <v>433</v>
      </c>
      <c r="BB30">
        <v>369</v>
      </c>
      <c r="BC30">
        <v>458</v>
      </c>
      <c r="BD30">
        <v>442</v>
      </c>
      <c r="BE30">
        <v>418</v>
      </c>
      <c r="BF30">
        <f t="shared" si="3"/>
        <v>4883</v>
      </c>
      <c r="BG30">
        <v>0</v>
      </c>
      <c r="BH30">
        <v>0</v>
      </c>
      <c r="BI30">
        <v>0</v>
      </c>
      <c r="BJ30">
        <v>0</v>
      </c>
      <c r="BK30">
        <v>0</v>
      </c>
      <c r="BL30">
        <v>0</v>
      </c>
      <c r="BM30">
        <v>0</v>
      </c>
      <c r="BN30">
        <v>0</v>
      </c>
      <c r="BO30">
        <v>0</v>
      </c>
      <c r="BP30">
        <v>0</v>
      </c>
      <c r="BQ30">
        <v>0</v>
      </c>
      <c r="BR30">
        <v>0</v>
      </c>
      <c r="BS30">
        <f t="shared" si="4"/>
        <v>0</v>
      </c>
      <c r="BT30">
        <v>0</v>
      </c>
      <c r="BU30">
        <v>0</v>
      </c>
      <c r="BV30">
        <v>0</v>
      </c>
      <c r="BW30">
        <v>0</v>
      </c>
      <c r="BX30">
        <v>0</v>
      </c>
      <c r="BY30">
        <v>0</v>
      </c>
      <c r="BZ30">
        <v>0</v>
      </c>
      <c r="CA30">
        <v>0</v>
      </c>
      <c r="CB30">
        <v>0</v>
      </c>
      <c r="CC30">
        <v>0</v>
      </c>
      <c r="CD30">
        <v>0</v>
      </c>
      <c r="CE30">
        <v>0</v>
      </c>
      <c r="CF30">
        <f t="shared" si="5"/>
        <v>0</v>
      </c>
      <c r="CG30">
        <v>0</v>
      </c>
      <c r="CH30">
        <v>0</v>
      </c>
      <c r="CI30">
        <v>0</v>
      </c>
      <c r="CJ30">
        <v>0</v>
      </c>
      <c r="CK30">
        <v>0</v>
      </c>
      <c r="CL30">
        <v>0</v>
      </c>
      <c r="CM30">
        <v>0</v>
      </c>
      <c r="CN30">
        <v>0</v>
      </c>
      <c r="CO30">
        <v>0</v>
      </c>
      <c r="CP30">
        <v>0</v>
      </c>
      <c r="CQ30">
        <v>0</v>
      </c>
      <c r="CR30">
        <v>0</v>
      </c>
      <c r="CS30">
        <f t="shared" si="6"/>
        <v>0</v>
      </c>
      <c r="CT30">
        <v>0</v>
      </c>
      <c r="CU30">
        <v>0</v>
      </c>
      <c r="CV30">
        <v>0</v>
      </c>
      <c r="CW30">
        <v>0</v>
      </c>
      <c r="CX30">
        <v>0</v>
      </c>
      <c r="CY30">
        <v>0</v>
      </c>
      <c r="CZ30">
        <v>0</v>
      </c>
      <c r="DA30">
        <v>0</v>
      </c>
      <c r="DB30">
        <v>0</v>
      </c>
      <c r="DC30">
        <v>0</v>
      </c>
      <c r="DD30">
        <v>0</v>
      </c>
      <c r="DE30">
        <v>0</v>
      </c>
      <c r="DF30">
        <f t="shared" si="7"/>
        <v>0</v>
      </c>
      <c r="DG30">
        <v>0</v>
      </c>
      <c r="DH30">
        <v>0</v>
      </c>
      <c r="DI30">
        <v>0</v>
      </c>
      <c r="DJ30">
        <v>0</v>
      </c>
      <c r="DK30">
        <v>0</v>
      </c>
      <c r="DL30">
        <v>0</v>
      </c>
      <c r="DM30">
        <v>0</v>
      </c>
      <c r="DN30">
        <v>0</v>
      </c>
      <c r="DO30">
        <v>0</v>
      </c>
      <c r="DP30">
        <v>0</v>
      </c>
      <c r="DQ30">
        <v>0</v>
      </c>
      <c r="DR30">
        <v>0</v>
      </c>
      <c r="DS30">
        <f t="shared" si="8"/>
        <v>0</v>
      </c>
      <c r="DT30">
        <v>0</v>
      </c>
      <c r="DU30">
        <v>0</v>
      </c>
      <c r="DV30">
        <v>0</v>
      </c>
      <c r="DW30">
        <v>0</v>
      </c>
      <c r="DX30">
        <v>0</v>
      </c>
      <c r="DY30">
        <v>0</v>
      </c>
      <c r="DZ30">
        <v>0</v>
      </c>
      <c r="EA30">
        <v>0</v>
      </c>
      <c r="EB30">
        <v>0</v>
      </c>
      <c r="EC30">
        <v>0</v>
      </c>
      <c r="ED30">
        <v>0</v>
      </c>
      <c r="EE30">
        <v>0</v>
      </c>
      <c r="EF30">
        <f t="shared" si="9"/>
        <v>0</v>
      </c>
      <c r="EG30">
        <f t="shared" si="10"/>
        <v>11914</v>
      </c>
      <c r="EH30">
        <f t="shared" si="11"/>
        <v>0</v>
      </c>
      <c r="EI30">
        <v>14655</v>
      </c>
      <c r="EJ30">
        <v>14775</v>
      </c>
      <c r="EK30">
        <v>20814</v>
      </c>
      <c r="EL30">
        <v>27301</v>
      </c>
      <c r="EM30">
        <v>13865</v>
      </c>
      <c r="EN30">
        <v>15210</v>
      </c>
      <c r="EO30">
        <v>19857</v>
      </c>
      <c r="EP30">
        <v>16234</v>
      </c>
      <c r="EQ30">
        <v>13538</v>
      </c>
      <c r="ER30">
        <v>16730</v>
      </c>
      <c r="ES30">
        <v>18484</v>
      </c>
      <c r="ET30">
        <v>18807</v>
      </c>
      <c r="EU30">
        <f t="shared" si="12"/>
        <v>210270</v>
      </c>
      <c r="EV30">
        <v>0</v>
      </c>
      <c r="EW30">
        <v>0</v>
      </c>
      <c r="EX30">
        <v>0</v>
      </c>
      <c r="EY30">
        <v>0</v>
      </c>
      <c r="EZ30">
        <v>0</v>
      </c>
      <c r="FA30">
        <v>0</v>
      </c>
      <c r="FB30">
        <v>0</v>
      </c>
      <c r="FC30">
        <v>0</v>
      </c>
      <c r="FD30">
        <v>0</v>
      </c>
      <c r="FE30">
        <v>0</v>
      </c>
      <c r="FF30">
        <v>0</v>
      </c>
      <c r="FG30">
        <v>0</v>
      </c>
      <c r="FH30">
        <f t="shared" si="13"/>
        <v>0</v>
      </c>
      <c r="FI30">
        <v>0</v>
      </c>
      <c r="FJ30">
        <v>0</v>
      </c>
      <c r="FK30">
        <v>0</v>
      </c>
      <c r="FL30">
        <v>0</v>
      </c>
      <c r="FM30">
        <v>0</v>
      </c>
      <c r="FN30">
        <v>0</v>
      </c>
      <c r="FO30">
        <v>0</v>
      </c>
      <c r="FP30">
        <v>0</v>
      </c>
      <c r="FQ30">
        <v>0</v>
      </c>
      <c r="FR30">
        <v>0</v>
      </c>
      <c r="FS30">
        <v>0</v>
      </c>
      <c r="FT30">
        <v>0</v>
      </c>
      <c r="FU30">
        <f t="shared" si="14"/>
        <v>0</v>
      </c>
      <c r="FV30">
        <v>8141</v>
      </c>
      <c r="FW30">
        <v>8286</v>
      </c>
      <c r="FX30">
        <v>8190</v>
      </c>
      <c r="FY30">
        <v>9397</v>
      </c>
      <c r="FZ30">
        <v>6963</v>
      </c>
      <c r="GA30">
        <v>8355</v>
      </c>
      <c r="GB30">
        <v>10036</v>
      </c>
      <c r="GC30">
        <v>8909</v>
      </c>
      <c r="GD30">
        <v>7610</v>
      </c>
      <c r="GE30">
        <v>9383</v>
      </c>
      <c r="GF30">
        <v>10382</v>
      </c>
      <c r="GG30">
        <v>8884</v>
      </c>
      <c r="GH30">
        <f t="shared" si="15"/>
        <v>104536</v>
      </c>
      <c r="GI30">
        <v>0</v>
      </c>
      <c r="GJ30">
        <v>0</v>
      </c>
      <c r="GK30">
        <v>0</v>
      </c>
      <c r="GL30">
        <v>0</v>
      </c>
      <c r="GM30">
        <v>0</v>
      </c>
      <c r="GN30">
        <v>0</v>
      </c>
      <c r="GO30">
        <v>0</v>
      </c>
      <c r="GP30">
        <v>0</v>
      </c>
      <c r="GQ30">
        <v>0</v>
      </c>
      <c r="GR30">
        <v>0</v>
      </c>
      <c r="GS30">
        <v>0</v>
      </c>
      <c r="GT30">
        <v>0</v>
      </c>
      <c r="GU30">
        <f t="shared" si="16"/>
        <v>0</v>
      </c>
      <c r="GV30">
        <v>0</v>
      </c>
      <c r="GW30">
        <v>0</v>
      </c>
      <c r="GX30">
        <v>0</v>
      </c>
      <c r="GY30">
        <v>0</v>
      </c>
      <c r="GZ30">
        <v>0</v>
      </c>
      <c r="HA30">
        <v>0</v>
      </c>
      <c r="HB30">
        <v>0</v>
      </c>
      <c r="HC30">
        <v>0</v>
      </c>
      <c r="HD30">
        <v>0</v>
      </c>
      <c r="HE30">
        <v>0</v>
      </c>
      <c r="HF30">
        <v>0</v>
      </c>
      <c r="HG30">
        <v>0</v>
      </c>
      <c r="HH30">
        <f t="shared" si="17"/>
        <v>0</v>
      </c>
      <c r="HI30">
        <v>0</v>
      </c>
      <c r="HJ30">
        <v>0</v>
      </c>
      <c r="HK30">
        <v>0</v>
      </c>
      <c r="HL30">
        <v>0</v>
      </c>
      <c r="HM30">
        <v>0</v>
      </c>
      <c r="HN30">
        <v>0</v>
      </c>
      <c r="HO30">
        <v>0</v>
      </c>
      <c r="HP30">
        <v>0</v>
      </c>
      <c r="HQ30">
        <v>0</v>
      </c>
      <c r="HR30">
        <v>0</v>
      </c>
      <c r="HS30">
        <v>0</v>
      </c>
      <c r="HT30">
        <v>0</v>
      </c>
      <c r="HU30">
        <f t="shared" si="18"/>
        <v>0</v>
      </c>
      <c r="HV30">
        <v>0</v>
      </c>
      <c r="HW30">
        <v>0</v>
      </c>
      <c r="HX30">
        <v>0</v>
      </c>
      <c r="HY30">
        <v>0</v>
      </c>
      <c r="HZ30">
        <v>0</v>
      </c>
      <c r="IA30">
        <v>0</v>
      </c>
      <c r="IB30">
        <v>0</v>
      </c>
      <c r="IC30">
        <v>0</v>
      </c>
      <c r="ID30">
        <v>0</v>
      </c>
      <c r="IE30">
        <v>0</v>
      </c>
      <c r="IF30">
        <v>0</v>
      </c>
      <c r="IG30">
        <v>0</v>
      </c>
      <c r="IH30">
        <f t="shared" si="19"/>
        <v>0</v>
      </c>
      <c r="II30">
        <f t="shared" si="20"/>
        <v>104536</v>
      </c>
      <c r="IJ30">
        <f t="shared" si="21"/>
        <v>0</v>
      </c>
      <c r="IK30">
        <v>133727</v>
      </c>
      <c r="IL30">
        <v>137031</v>
      </c>
      <c r="IM30">
        <v>128521</v>
      </c>
      <c r="IN30">
        <v>155248</v>
      </c>
      <c r="IO30">
        <v>164978</v>
      </c>
      <c r="IP30">
        <v>149631</v>
      </c>
      <c r="IQ30">
        <v>153081</v>
      </c>
      <c r="IR30">
        <v>137648</v>
      </c>
      <c r="IS30">
        <v>117466</v>
      </c>
      <c r="IT30">
        <v>146973</v>
      </c>
      <c r="IU30">
        <v>135308</v>
      </c>
      <c r="IV30">
        <v>140747</v>
      </c>
      <c r="IW30">
        <f t="shared" si="22"/>
        <v>1700359</v>
      </c>
      <c r="IX30">
        <v>52239</v>
      </c>
      <c r="IY30">
        <v>52321</v>
      </c>
      <c r="IZ30">
        <v>49296</v>
      </c>
      <c r="JA30">
        <v>69204</v>
      </c>
      <c r="JB30">
        <v>76716</v>
      </c>
      <c r="JC30">
        <v>63761</v>
      </c>
      <c r="JD30">
        <v>65281</v>
      </c>
      <c r="JE30">
        <v>56181</v>
      </c>
      <c r="JF30">
        <v>42794</v>
      </c>
      <c r="JG30">
        <v>59294</v>
      </c>
      <c r="JH30">
        <v>57449</v>
      </c>
      <c r="JI30">
        <v>56663</v>
      </c>
      <c r="JJ30">
        <f t="shared" si="23"/>
        <v>701199</v>
      </c>
      <c r="JK30">
        <v>2825</v>
      </c>
      <c r="JL30">
        <v>2853</v>
      </c>
      <c r="JM30">
        <v>2521</v>
      </c>
      <c r="JN30">
        <v>3406</v>
      </c>
      <c r="JO30">
        <v>3488</v>
      </c>
      <c r="JP30">
        <v>2963</v>
      </c>
      <c r="JQ30">
        <v>3002</v>
      </c>
      <c r="JR30">
        <v>2658</v>
      </c>
      <c r="JS30">
        <v>2107</v>
      </c>
      <c r="JT30">
        <v>2691</v>
      </c>
      <c r="JU30">
        <v>2489</v>
      </c>
      <c r="JV30">
        <v>2595</v>
      </c>
      <c r="JW30">
        <f t="shared" si="24"/>
        <v>33598</v>
      </c>
      <c r="JX30">
        <v>78663</v>
      </c>
      <c r="JY30">
        <v>81857</v>
      </c>
      <c r="JZ30">
        <v>76704</v>
      </c>
      <c r="KA30">
        <v>82638</v>
      </c>
      <c r="KB30">
        <v>84774</v>
      </c>
      <c r="KC30">
        <v>82907</v>
      </c>
      <c r="KD30">
        <v>84798</v>
      </c>
      <c r="KE30">
        <v>78809</v>
      </c>
      <c r="KF30">
        <v>72565</v>
      </c>
      <c r="KG30">
        <v>84988</v>
      </c>
      <c r="KH30">
        <v>75370</v>
      </c>
      <c r="KI30">
        <v>81489</v>
      </c>
      <c r="KJ30">
        <f t="shared" si="25"/>
        <v>965562</v>
      </c>
      <c r="KK30">
        <v>1792</v>
      </c>
      <c r="KL30">
        <v>1765</v>
      </c>
      <c r="KM30">
        <v>1669</v>
      </c>
      <c r="KN30">
        <v>1781</v>
      </c>
      <c r="KO30">
        <v>1810</v>
      </c>
      <c r="KP30">
        <v>1735</v>
      </c>
      <c r="KQ30">
        <v>1713</v>
      </c>
      <c r="KR30">
        <v>1700</v>
      </c>
      <c r="KS30">
        <v>1724</v>
      </c>
      <c r="KT30">
        <v>1863</v>
      </c>
      <c r="KU30">
        <v>1585</v>
      </c>
      <c r="KV30">
        <v>1813</v>
      </c>
      <c r="KW30">
        <f t="shared" si="26"/>
        <v>20950</v>
      </c>
      <c r="KX30">
        <v>37</v>
      </c>
      <c r="KY30">
        <v>44</v>
      </c>
      <c r="KZ30">
        <v>60</v>
      </c>
      <c r="LA30">
        <v>68</v>
      </c>
      <c r="LB30">
        <v>58</v>
      </c>
      <c r="LC30">
        <v>45</v>
      </c>
      <c r="LD30">
        <v>54</v>
      </c>
      <c r="LE30">
        <v>36</v>
      </c>
      <c r="LF30">
        <v>23</v>
      </c>
      <c r="LG30">
        <v>30</v>
      </c>
      <c r="LH30">
        <v>30</v>
      </c>
      <c r="LI30">
        <v>45</v>
      </c>
      <c r="LJ30">
        <f t="shared" si="27"/>
        <v>530</v>
      </c>
      <c r="LK30">
        <v>0</v>
      </c>
      <c r="LL30">
        <v>0</v>
      </c>
      <c r="LM30">
        <v>0</v>
      </c>
      <c r="LN30">
        <v>0</v>
      </c>
      <c r="LO30">
        <v>0</v>
      </c>
      <c r="LP30">
        <v>0</v>
      </c>
      <c r="LQ30">
        <v>0</v>
      </c>
      <c r="LR30">
        <v>0</v>
      </c>
      <c r="LS30">
        <v>0</v>
      </c>
      <c r="LT30">
        <v>0</v>
      </c>
      <c r="LU30">
        <v>0</v>
      </c>
      <c r="LV30">
        <v>0</v>
      </c>
      <c r="LW30" s="18">
        <v>59217</v>
      </c>
      <c r="LX30">
        <v>1755</v>
      </c>
      <c r="LY30">
        <v>1721</v>
      </c>
      <c r="LZ30">
        <v>1609</v>
      </c>
      <c r="MA30">
        <v>1713</v>
      </c>
      <c r="MB30">
        <v>1752</v>
      </c>
      <c r="MC30">
        <v>1690</v>
      </c>
      <c r="MD30">
        <v>1659</v>
      </c>
      <c r="ME30">
        <v>1664</v>
      </c>
      <c r="MF30">
        <v>1701</v>
      </c>
      <c r="MG30">
        <v>1833</v>
      </c>
      <c r="MH30">
        <v>1555</v>
      </c>
      <c r="MI30">
        <v>1768</v>
      </c>
      <c r="MJ30">
        <f t="shared" si="29"/>
        <v>20420</v>
      </c>
      <c r="MK30">
        <v>19196</v>
      </c>
      <c r="ML30">
        <v>19596</v>
      </c>
      <c r="MM30">
        <v>18808</v>
      </c>
      <c r="MN30">
        <v>19381</v>
      </c>
      <c r="MO30">
        <v>20571</v>
      </c>
      <c r="MP30">
        <v>18953</v>
      </c>
      <c r="MQ30">
        <v>19385</v>
      </c>
      <c r="MR30">
        <v>17984</v>
      </c>
      <c r="MS30">
        <v>18088</v>
      </c>
      <c r="MT30">
        <v>19127</v>
      </c>
      <c r="MU30">
        <v>16689</v>
      </c>
      <c r="MV30">
        <v>17634</v>
      </c>
      <c r="MW30">
        <f t="shared" si="30"/>
        <v>225412</v>
      </c>
      <c r="MX30">
        <v>1917</v>
      </c>
      <c r="MY30">
        <v>1917</v>
      </c>
      <c r="MZ30">
        <v>1640</v>
      </c>
      <c r="NA30">
        <v>1832</v>
      </c>
      <c r="NB30">
        <v>2222</v>
      </c>
      <c r="NC30">
        <v>1699</v>
      </c>
      <c r="ND30">
        <v>1700</v>
      </c>
      <c r="NE30">
        <v>1666</v>
      </c>
      <c r="NF30">
        <v>1716</v>
      </c>
      <c r="NG30">
        <v>1839</v>
      </c>
      <c r="NH30">
        <v>1795</v>
      </c>
      <c r="NI30">
        <v>1749</v>
      </c>
      <c r="NJ30">
        <f t="shared" si="31"/>
        <v>21692</v>
      </c>
      <c r="NK30">
        <v>887</v>
      </c>
      <c r="NL30">
        <v>837</v>
      </c>
      <c r="NM30">
        <v>820</v>
      </c>
      <c r="NN30">
        <v>973</v>
      </c>
      <c r="NO30">
        <v>935</v>
      </c>
      <c r="NP30">
        <v>750</v>
      </c>
      <c r="NQ30">
        <v>701</v>
      </c>
      <c r="NR30">
        <v>643</v>
      </c>
      <c r="NS30">
        <v>776</v>
      </c>
      <c r="NT30">
        <v>772</v>
      </c>
      <c r="NU30">
        <v>772</v>
      </c>
      <c r="NV30">
        <v>739</v>
      </c>
      <c r="NW30">
        <f t="shared" si="32"/>
        <v>9605</v>
      </c>
      <c r="NX30">
        <v>16392</v>
      </c>
      <c r="NY30">
        <v>16842</v>
      </c>
      <c r="NZ30">
        <v>16348</v>
      </c>
      <c r="OA30">
        <v>16576</v>
      </c>
      <c r="OB30">
        <v>17414</v>
      </c>
      <c r="OC30">
        <v>16504</v>
      </c>
      <c r="OD30">
        <v>16984</v>
      </c>
      <c r="OE30">
        <v>15675</v>
      </c>
      <c r="OF30">
        <v>15596</v>
      </c>
      <c r="OG30">
        <v>16516</v>
      </c>
      <c r="OH30">
        <v>14122</v>
      </c>
      <c r="OI30">
        <v>15146</v>
      </c>
      <c r="OJ30">
        <f t="shared" si="33"/>
        <v>194115</v>
      </c>
      <c r="OK30">
        <v>28767</v>
      </c>
      <c r="OL30">
        <v>29622</v>
      </c>
      <c r="OM30">
        <v>28590</v>
      </c>
      <c r="ON30">
        <v>29948</v>
      </c>
      <c r="OO30">
        <v>31657</v>
      </c>
      <c r="OP30">
        <v>30833</v>
      </c>
      <c r="OQ30">
        <v>32266</v>
      </c>
      <c r="OR30">
        <v>30488</v>
      </c>
      <c r="OS30">
        <v>30904</v>
      </c>
      <c r="OT30">
        <v>33461</v>
      </c>
      <c r="OU30">
        <v>30789</v>
      </c>
      <c r="OV30">
        <v>34461</v>
      </c>
      <c r="OW30">
        <f t="shared" si="34"/>
        <v>371786</v>
      </c>
      <c r="OX30">
        <v>4587</v>
      </c>
      <c r="OY30">
        <v>4454</v>
      </c>
      <c r="OZ30">
        <v>4361</v>
      </c>
      <c r="PA30">
        <v>5002</v>
      </c>
      <c r="PB30">
        <v>5309</v>
      </c>
      <c r="PC30">
        <v>4404</v>
      </c>
      <c r="PD30">
        <v>4860</v>
      </c>
      <c r="PE30">
        <v>4461</v>
      </c>
      <c r="PF30">
        <v>5078</v>
      </c>
      <c r="PG30">
        <v>4883</v>
      </c>
      <c r="PH30">
        <v>4750</v>
      </c>
      <c r="PI30">
        <v>5100</v>
      </c>
      <c r="PJ30">
        <f t="shared" si="35"/>
        <v>57249</v>
      </c>
      <c r="PK30">
        <v>1373</v>
      </c>
      <c r="PL30">
        <v>1354</v>
      </c>
      <c r="PM30">
        <v>1288</v>
      </c>
      <c r="PN30">
        <v>1415</v>
      </c>
      <c r="PO30">
        <v>1387</v>
      </c>
      <c r="PP30">
        <v>1274</v>
      </c>
      <c r="PQ30">
        <v>1341</v>
      </c>
      <c r="PR30">
        <v>1299</v>
      </c>
      <c r="PS30">
        <v>1276</v>
      </c>
      <c r="PT30">
        <v>1384</v>
      </c>
      <c r="PU30">
        <v>1265</v>
      </c>
      <c r="PV30">
        <v>1358</v>
      </c>
      <c r="PW30">
        <f t="shared" si="36"/>
        <v>16014</v>
      </c>
      <c r="PX30">
        <v>22807</v>
      </c>
      <c r="PY30">
        <v>23814</v>
      </c>
      <c r="PZ30">
        <v>22941</v>
      </c>
      <c r="QA30">
        <v>23531</v>
      </c>
      <c r="QB30">
        <v>24961</v>
      </c>
      <c r="QC30">
        <v>25155</v>
      </c>
      <c r="QD30">
        <v>26065</v>
      </c>
      <c r="QE30">
        <v>24728</v>
      </c>
      <c r="QF30">
        <v>24550</v>
      </c>
      <c r="QG30">
        <v>27194</v>
      </c>
      <c r="QH30">
        <v>24774</v>
      </c>
      <c r="QI30">
        <v>28003</v>
      </c>
      <c r="QJ30">
        <f t="shared" si="37"/>
        <v>298523</v>
      </c>
      <c r="QK30">
        <v>135874</v>
      </c>
      <c r="QL30">
        <v>140502</v>
      </c>
      <c r="QM30">
        <v>128248</v>
      </c>
      <c r="QN30">
        <v>145700</v>
      </c>
      <c r="QO30">
        <v>148966</v>
      </c>
      <c r="QP30">
        <v>145646</v>
      </c>
      <c r="QQ30">
        <v>157210</v>
      </c>
      <c r="QR30">
        <v>143349</v>
      </c>
      <c r="QS30">
        <v>117482</v>
      </c>
      <c r="QT30">
        <v>142299</v>
      </c>
      <c r="QU30">
        <v>143751</v>
      </c>
      <c r="QV30">
        <v>151866</v>
      </c>
      <c r="QW30">
        <f t="shared" si="38"/>
        <v>1700893</v>
      </c>
      <c r="QX30">
        <v>35660</v>
      </c>
      <c r="QY30">
        <v>35993</v>
      </c>
      <c r="QZ30">
        <v>37987</v>
      </c>
      <c r="RA30">
        <v>48792</v>
      </c>
      <c r="RB30">
        <v>42051</v>
      </c>
      <c r="RC30">
        <v>48743</v>
      </c>
      <c r="RD30">
        <v>47944</v>
      </c>
      <c r="RE30">
        <v>44075</v>
      </c>
      <c r="RF30">
        <v>37196</v>
      </c>
      <c r="RG30">
        <v>46026</v>
      </c>
      <c r="RH30">
        <v>44928</v>
      </c>
      <c r="RI30">
        <v>48268</v>
      </c>
      <c r="RJ30">
        <f t="shared" si="39"/>
        <v>517663</v>
      </c>
      <c r="RK30">
        <v>0</v>
      </c>
      <c r="RL30">
        <v>0</v>
      </c>
      <c r="RM30">
        <v>0</v>
      </c>
      <c r="RN30">
        <v>0</v>
      </c>
      <c r="RO30">
        <v>0</v>
      </c>
      <c r="RP30">
        <v>0</v>
      </c>
      <c r="RQ30">
        <v>0</v>
      </c>
      <c r="RR30">
        <v>0</v>
      </c>
      <c r="RS30">
        <v>0</v>
      </c>
      <c r="RT30">
        <v>0</v>
      </c>
      <c r="RU30">
        <v>0</v>
      </c>
      <c r="RV30">
        <v>0</v>
      </c>
      <c r="RW30">
        <f t="shared" si="40"/>
        <v>0</v>
      </c>
      <c r="RX30">
        <v>0</v>
      </c>
      <c r="RY30">
        <v>0</v>
      </c>
      <c r="RZ30">
        <v>0</v>
      </c>
      <c r="SA30">
        <v>0</v>
      </c>
      <c r="SB30">
        <v>0</v>
      </c>
      <c r="SC30">
        <v>0</v>
      </c>
      <c r="SD30">
        <v>0</v>
      </c>
      <c r="SE30">
        <v>0</v>
      </c>
      <c r="SF30">
        <v>0</v>
      </c>
      <c r="SG30">
        <v>0</v>
      </c>
      <c r="SH30">
        <v>0</v>
      </c>
      <c r="SI30">
        <v>0</v>
      </c>
      <c r="SJ30">
        <f t="shared" si="41"/>
        <v>0</v>
      </c>
      <c r="SK30">
        <v>0</v>
      </c>
      <c r="SL30">
        <v>0</v>
      </c>
      <c r="SM30">
        <v>0</v>
      </c>
      <c r="SN30">
        <v>0</v>
      </c>
      <c r="SO30">
        <v>0</v>
      </c>
      <c r="SP30">
        <v>0</v>
      </c>
      <c r="SQ30">
        <v>0</v>
      </c>
      <c r="SR30">
        <v>0</v>
      </c>
      <c r="SS30">
        <v>0</v>
      </c>
      <c r="ST30">
        <v>0</v>
      </c>
      <c r="SU30">
        <v>0</v>
      </c>
      <c r="SV30">
        <v>0</v>
      </c>
      <c r="SW30">
        <f t="shared" si="42"/>
        <v>0</v>
      </c>
      <c r="SX30" t="s">
        <v>1479</v>
      </c>
      <c r="SY30">
        <v>6807</v>
      </c>
      <c r="SZ30">
        <v>6898</v>
      </c>
      <c r="TA30">
        <v>6648</v>
      </c>
      <c r="TB30">
        <v>6694</v>
      </c>
      <c r="TC30">
        <v>9140</v>
      </c>
      <c r="TD30">
        <v>6678</v>
      </c>
      <c r="TE30">
        <v>6769</v>
      </c>
      <c r="TF30">
        <v>6217</v>
      </c>
      <c r="TG30">
        <v>5214</v>
      </c>
      <c r="TH30">
        <v>6470</v>
      </c>
      <c r="TI30">
        <v>6207</v>
      </c>
      <c r="TJ30">
        <v>6513</v>
      </c>
      <c r="TK30">
        <f t="shared" si="43"/>
        <v>80255</v>
      </c>
      <c r="TL30" s="2">
        <v>16841</v>
      </c>
      <c r="TM30" s="2">
        <v>17646</v>
      </c>
      <c r="TN30" s="2">
        <v>14969</v>
      </c>
      <c r="TO30" s="2">
        <v>13670</v>
      </c>
      <c r="TP30" s="2">
        <v>13294</v>
      </c>
      <c r="TQ30" s="2">
        <v>12550</v>
      </c>
      <c r="TR30" s="2">
        <v>9904</v>
      </c>
      <c r="TS30" s="2">
        <v>16224</v>
      </c>
      <c r="TT30" s="2">
        <v>14554</v>
      </c>
      <c r="TU30" s="2">
        <v>18402</v>
      </c>
      <c r="TV30" s="2">
        <v>16915</v>
      </c>
      <c r="TW30" s="2">
        <v>19948</v>
      </c>
      <c r="TX30" s="2">
        <f t="shared" si="44"/>
        <v>184917</v>
      </c>
      <c r="TY30">
        <v>143</v>
      </c>
      <c r="TZ30" s="2">
        <v>0</v>
      </c>
      <c r="UA30" s="2">
        <v>0</v>
      </c>
      <c r="UB30" s="2">
        <v>0</v>
      </c>
    </row>
    <row r="31" spans="1:548" ht="16.5" customHeight="1" x14ac:dyDescent="0.35">
      <c r="A31" t="s">
        <v>1499</v>
      </c>
      <c r="B31" t="s">
        <v>2865</v>
      </c>
      <c r="C31">
        <v>18481</v>
      </c>
      <c r="D31">
        <v>4004</v>
      </c>
      <c r="E31">
        <v>1016</v>
      </c>
      <c r="F31">
        <v>13461</v>
      </c>
      <c r="G31">
        <v>0</v>
      </c>
      <c r="H31">
        <v>0</v>
      </c>
      <c r="I31">
        <v>0</v>
      </c>
      <c r="J31">
        <v>0</v>
      </c>
      <c r="K31">
        <v>0</v>
      </c>
      <c r="L31">
        <v>0</v>
      </c>
      <c r="M31">
        <v>0</v>
      </c>
      <c r="N31">
        <v>0</v>
      </c>
      <c r="O31">
        <v>0</v>
      </c>
      <c r="P31">
        <v>0</v>
      </c>
      <c r="Q31">
        <v>0</v>
      </c>
      <c r="R31">
        <v>0</v>
      </c>
      <c r="S31">
        <f t="shared" si="0"/>
        <v>0</v>
      </c>
      <c r="T31">
        <v>0</v>
      </c>
      <c r="U31">
        <v>0</v>
      </c>
      <c r="V31">
        <v>0</v>
      </c>
      <c r="W31">
        <v>0</v>
      </c>
      <c r="X31">
        <v>0</v>
      </c>
      <c r="Y31">
        <v>0</v>
      </c>
      <c r="Z31">
        <v>0</v>
      </c>
      <c r="AA31">
        <v>0</v>
      </c>
      <c r="AB31">
        <v>0</v>
      </c>
      <c r="AC31">
        <v>0</v>
      </c>
      <c r="AD31">
        <v>0</v>
      </c>
      <c r="AE31">
        <v>0</v>
      </c>
      <c r="AF31">
        <f t="shared" si="1"/>
        <v>0</v>
      </c>
      <c r="AG31">
        <v>0</v>
      </c>
      <c r="AH31">
        <v>0</v>
      </c>
      <c r="AI31">
        <v>0</v>
      </c>
      <c r="AJ31">
        <v>0</v>
      </c>
      <c r="AK31">
        <v>0</v>
      </c>
      <c r="AL31">
        <v>0</v>
      </c>
      <c r="AM31">
        <v>0</v>
      </c>
      <c r="AN31">
        <v>0</v>
      </c>
      <c r="AO31">
        <v>0</v>
      </c>
      <c r="AP31">
        <v>0</v>
      </c>
      <c r="AQ31">
        <v>0</v>
      </c>
      <c r="AR31">
        <v>0</v>
      </c>
      <c r="AS31">
        <f t="shared" si="2"/>
        <v>0</v>
      </c>
      <c r="AT31">
        <v>0</v>
      </c>
      <c r="AU31">
        <v>0</v>
      </c>
      <c r="AV31">
        <v>0</v>
      </c>
      <c r="AW31">
        <v>0</v>
      </c>
      <c r="AX31">
        <v>0</v>
      </c>
      <c r="AY31">
        <v>0</v>
      </c>
      <c r="AZ31">
        <v>0</v>
      </c>
      <c r="BA31">
        <v>0</v>
      </c>
      <c r="BB31">
        <v>0</v>
      </c>
      <c r="BC31">
        <v>0</v>
      </c>
      <c r="BD31">
        <v>0</v>
      </c>
      <c r="BE31">
        <v>0</v>
      </c>
      <c r="BF31">
        <f t="shared" si="3"/>
        <v>0</v>
      </c>
      <c r="BG31">
        <v>0</v>
      </c>
      <c r="BH31">
        <v>0</v>
      </c>
      <c r="BI31">
        <v>0</v>
      </c>
      <c r="BJ31">
        <v>0</v>
      </c>
      <c r="BK31">
        <v>0</v>
      </c>
      <c r="BL31">
        <v>0</v>
      </c>
      <c r="BM31">
        <v>0</v>
      </c>
      <c r="BN31">
        <v>0</v>
      </c>
      <c r="BO31">
        <v>0</v>
      </c>
      <c r="BP31">
        <v>0</v>
      </c>
      <c r="BQ31">
        <v>0</v>
      </c>
      <c r="BR31">
        <v>0</v>
      </c>
      <c r="BS31">
        <f t="shared" si="4"/>
        <v>0</v>
      </c>
      <c r="BT31">
        <v>0</v>
      </c>
      <c r="BU31">
        <v>0</v>
      </c>
      <c r="BV31">
        <v>0</v>
      </c>
      <c r="BW31">
        <v>0</v>
      </c>
      <c r="BX31">
        <v>0</v>
      </c>
      <c r="BY31">
        <v>0</v>
      </c>
      <c r="BZ31">
        <v>0</v>
      </c>
      <c r="CA31">
        <v>0</v>
      </c>
      <c r="CB31">
        <v>0</v>
      </c>
      <c r="CC31">
        <v>0</v>
      </c>
      <c r="CD31">
        <v>0</v>
      </c>
      <c r="CE31">
        <v>0</v>
      </c>
      <c r="CF31">
        <f t="shared" si="5"/>
        <v>0</v>
      </c>
      <c r="CG31">
        <v>0</v>
      </c>
      <c r="CH31">
        <v>0</v>
      </c>
      <c r="CI31">
        <v>0</v>
      </c>
      <c r="CJ31">
        <v>0</v>
      </c>
      <c r="CK31">
        <v>0</v>
      </c>
      <c r="CL31">
        <v>0</v>
      </c>
      <c r="CM31">
        <v>0</v>
      </c>
      <c r="CN31">
        <v>0</v>
      </c>
      <c r="CO31">
        <v>0</v>
      </c>
      <c r="CP31">
        <v>0</v>
      </c>
      <c r="CQ31">
        <v>0</v>
      </c>
      <c r="CR31">
        <v>0</v>
      </c>
      <c r="CS31">
        <f t="shared" si="6"/>
        <v>0</v>
      </c>
      <c r="CT31">
        <v>0</v>
      </c>
      <c r="CU31">
        <v>0</v>
      </c>
      <c r="CV31">
        <v>0</v>
      </c>
      <c r="CW31">
        <v>0</v>
      </c>
      <c r="CX31">
        <v>0</v>
      </c>
      <c r="CY31">
        <v>0</v>
      </c>
      <c r="CZ31">
        <v>0</v>
      </c>
      <c r="DA31">
        <v>0</v>
      </c>
      <c r="DB31">
        <v>0</v>
      </c>
      <c r="DC31">
        <v>0</v>
      </c>
      <c r="DD31">
        <v>0</v>
      </c>
      <c r="DE31">
        <v>0</v>
      </c>
      <c r="DF31">
        <f t="shared" si="7"/>
        <v>0</v>
      </c>
      <c r="DG31">
        <v>0</v>
      </c>
      <c r="DH31">
        <v>0</v>
      </c>
      <c r="DI31">
        <v>0</v>
      </c>
      <c r="DJ31">
        <v>0</v>
      </c>
      <c r="DK31">
        <v>0</v>
      </c>
      <c r="DL31">
        <v>0</v>
      </c>
      <c r="DM31">
        <v>0</v>
      </c>
      <c r="DN31">
        <v>0</v>
      </c>
      <c r="DO31">
        <v>0</v>
      </c>
      <c r="DP31">
        <v>0</v>
      </c>
      <c r="DQ31">
        <v>0</v>
      </c>
      <c r="DR31">
        <v>0</v>
      </c>
      <c r="DS31">
        <f t="shared" si="8"/>
        <v>0</v>
      </c>
      <c r="DT31">
        <v>0</v>
      </c>
      <c r="DU31">
        <v>0</v>
      </c>
      <c r="DV31">
        <v>0</v>
      </c>
      <c r="DW31">
        <v>0</v>
      </c>
      <c r="DX31">
        <v>0</v>
      </c>
      <c r="DY31">
        <v>0</v>
      </c>
      <c r="DZ31">
        <v>0</v>
      </c>
      <c r="EA31">
        <v>0</v>
      </c>
      <c r="EB31">
        <v>0</v>
      </c>
      <c r="EC31">
        <v>0</v>
      </c>
      <c r="ED31">
        <v>0</v>
      </c>
      <c r="EE31">
        <v>0</v>
      </c>
      <c r="EF31">
        <f t="shared" si="9"/>
        <v>0</v>
      </c>
      <c r="EG31">
        <f t="shared" si="10"/>
        <v>0</v>
      </c>
      <c r="EH31">
        <f t="shared" si="11"/>
        <v>0</v>
      </c>
      <c r="EI31">
        <v>0</v>
      </c>
      <c r="EJ31">
        <v>0</v>
      </c>
      <c r="EK31">
        <v>0</v>
      </c>
      <c r="EL31">
        <v>0</v>
      </c>
      <c r="EM31">
        <v>0</v>
      </c>
      <c r="EN31">
        <v>0</v>
      </c>
      <c r="EO31">
        <v>0</v>
      </c>
      <c r="EP31">
        <v>0</v>
      </c>
      <c r="EQ31">
        <v>0</v>
      </c>
      <c r="ER31">
        <v>0</v>
      </c>
      <c r="ES31">
        <v>0</v>
      </c>
      <c r="ET31">
        <v>0</v>
      </c>
      <c r="EU31">
        <f t="shared" si="12"/>
        <v>0</v>
      </c>
      <c r="EV31">
        <v>0</v>
      </c>
      <c r="EW31">
        <v>0</v>
      </c>
      <c r="EX31">
        <v>0</v>
      </c>
      <c r="EY31">
        <v>0</v>
      </c>
      <c r="EZ31">
        <v>0</v>
      </c>
      <c r="FA31">
        <v>0</v>
      </c>
      <c r="FB31">
        <v>0</v>
      </c>
      <c r="FC31">
        <v>0</v>
      </c>
      <c r="FD31">
        <v>0</v>
      </c>
      <c r="FE31">
        <v>0</v>
      </c>
      <c r="FF31">
        <v>0</v>
      </c>
      <c r="FG31">
        <v>0</v>
      </c>
      <c r="FH31">
        <f t="shared" si="13"/>
        <v>0</v>
      </c>
      <c r="FI31">
        <v>0</v>
      </c>
      <c r="FJ31">
        <v>0</v>
      </c>
      <c r="FK31">
        <v>0</v>
      </c>
      <c r="FL31">
        <v>0</v>
      </c>
      <c r="FM31">
        <v>0</v>
      </c>
      <c r="FN31">
        <v>0</v>
      </c>
      <c r="FO31">
        <v>0</v>
      </c>
      <c r="FP31">
        <v>0</v>
      </c>
      <c r="FQ31">
        <v>0</v>
      </c>
      <c r="FR31">
        <v>0</v>
      </c>
      <c r="FS31">
        <v>0</v>
      </c>
      <c r="FT31">
        <v>0</v>
      </c>
      <c r="FU31">
        <f t="shared" si="14"/>
        <v>0</v>
      </c>
      <c r="FV31">
        <v>0</v>
      </c>
      <c r="FW31">
        <v>0</v>
      </c>
      <c r="FX31">
        <v>0</v>
      </c>
      <c r="FY31">
        <v>0</v>
      </c>
      <c r="FZ31">
        <v>0</v>
      </c>
      <c r="GA31">
        <v>0</v>
      </c>
      <c r="GB31">
        <v>0</v>
      </c>
      <c r="GC31">
        <v>0</v>
      </c>
      <c r="GD31">
        <v>0</v>
      </c>
      <c r="GE31">
        <v>0</v>
      </c>
      <c r="GF31">
        <v>0</v>
      </c>
      <c r="GG31">
        <v>0</v>
      </c>
      <c r="GH31">
        <f t="shared" si="15"/>
        <v>0</v>
      </c>
      <c r="GI31">
        <v>0</v>
      </c>
      <c r="GJ31">
        <v>0</v>
      </c>
      <c r="GK31">
        <v>0</v>
      </c>
      <c r="GL31">
        <v>0</v>
      </c>
      <c r="GM31">
        <v>0</v>
      </c>
      <c r="GN31">
        <v>0</v>
      </c>
      <c r="GO31">
        <v>0</v>
      </c>
      <c r="GP31">
        <v>0</v>
      </c>
      <c r="GQ31">
        <v>0</v>
      </c>
      <c r="GR31">
        <v>0</v>
      </c>
      <c r="GS31">
        <v>0</v>
      </c>
      <c r="GT31">
        <v>0</v>
      </c>
      <c r="GU31">
        <f t="shared" si="16"/>
        <v>0</v>
      </c>
      <c r="GV31">
        <v>0</v>
      </c>
      <c r="GW31">
        <v>0</v>
      </c>
      <c r="GX31">
        <v>0</v>
      </c>
      <c r="GY31">
        <v>0</v>
      </c>
      <c r="GZ31">
        <v>0</v>
      </c>
      <c r="HA31">
        <v>0</v>
      </c>
      <c r="HB31">
        <v>0</v>
      </c>
      <c r="HC31">
        <v>0</v>
      </c>
      <c r="HD31">
        <v>0</v>
      </c>
      <c r="HE31">
        <v>0</v>
      </c>
      <c r="HF31">
        <v>0</v>
      </c>
      <c r="HG31">
        <v>0</v>
      </c>
      <c r="HH31">
        <f t="shared" si="17"/>
        <v>0</v>
      </c>
      <c r="HI31">
        <v>0</v>
      </c>
      <c r="HJ31">
        <v>0</v>
      </c>
      <c r="HK31">
        <v>0</v>
      </c>
      <c r="HL31">
        <v>0</v>
      </c>
      <c r="HM31">
        <v>0</v>
      </c>
      <c r="HN31">
        <v>0</v>
      </c>
      <c r="HO31">
        <v>0</v>
      </c>
      <c r="HP31">
        <v>0</v>
      </c>
      <c r="HQ31">
        <v>0</v>
      </c>
      <c r="HR31">
        <v>0</v>
      </c>
      <c r="HS31">
        <v>0</v>
      </c>
      <c r="HT31">
        <v>0</v>
      </c>
      <c r="HU31">
        <f t="shared" si="18"/>
        <v>0</v>
      </c>
      <c r="HV31">
        <v>0</v>
      </c>
      <c r="HW31">
        <v>0</v>
      </c>
      <c r="HX31">
        <v>0</v>
      </c>
      <c r="HY31">
        <v>0</v>
      </c>
      <c r="HZ31">
        <v>0</v>
      </c>
      <c r="IA31">
        <v>0</v>
      </c>
      <c r="IB31">
        <v>0</v>
      </c>
      <c r="IC31">
        <v>0</v>
      </c>
      <c r="ID31">
        <v>0</v>
      </c>
      <c r="IE31">
        <v>0</v>
      </c>
      <c r="IF31">
        <v>0</v>
      </c>
      <c r="IG31">
        <v>0</v>
      </c>
      <c r="IH31">
        <f t="shared" si="19"/>
        <v>0</v>
      </c>
      <c r="II31">
        <f t="shared" si="20"/>
        <v>0</v>
      </c>
      <c r="IJ31">
        <f t="shared" si="21"/>
        <v>0</v>
      </c>
      <c r="IK31">
        <v>17636</v>
      </c>
      <c r="IL31">
        <v>17802</v>
      </c>
      <c r="IM31">
        <v>16666</v>
      </c>
      <c r="IN31">
        <v>19775</v>
      </c>
      <c r="IO31">
        <v>18938</v>
      </c>
      <c r="IP31">
        <v>17885</v>
      </c>
      <c r="IQ31">
        <v>18679</v>
      </c>
      <c r="IR31">
        <v>15854</v>
      </c>
      <c r="IS31">
        <v>12832</v>
      </c>
      <c r="IT31">
        <v>16499</v>
      </c>
      <c r="IU31">
        <v>16551</v>
      </c>
      <c r="IV31">
        <v>17081</v>
      </c>
      <c r="IW31">
        <f t="shared" si="22"/>
        <v>206198</v>
      </c>
      <c r="IX31">
        <v>4433</v>
      </c>
      <c r="IY31">
        <v>4592</v>
      </c>
      <c r="IZ31">
        <v>3749</v>
      </c>
      <c r="JA31">
        <v>5722</v>
      </c>
      <c r="JB31">
        <v>6203</v>
      </c>
      <c r="JC31">
        <v>4458</v>
      </c>
      <c r="JD31">
        <v>5299</v>
      </c>
      <c r="JE31">
        <v>3721</v>
      </c>
      <c r="JF31">
        <v>2623</v>
      </c>
      <c r="JG31">
        <v>3992</v>
      </c>
      <c r="JH31">
        <v>4953</v>
      </c>
      <c r="JI31">
        <v>4586</v>
      </c>
      <c r="JJ31">
        <f t="shared" si="23"/>
        <v>54331</v>
      </c>
      <c r="JK31">
        <v>167</v>
      </c>
      <c r="JL31">
        <v>174</v>
      </c>
      <c r="JM31">
        <v>170</v>
      </c>
      <c r="JN31">
        <v>179</v>
      </c>
      <c r="JO31">
        <v>265</v>
      </c>
      <c r="JP31">
        <v>150</v>
      </c>
      <c r="JQ31">
        <v>181</v>
      </c>
      <c r="JR31">
        <v>121</v>
      </c>
      <c r="JS31">
        <v>116</v>
      </c>
      <c r="JT31">
        <v>165</v>
      </c>
      <c r="JU31">
        <v>194</v>
      </c>
      <c r="JV31">
        <v>172</v>
      </c>
      <c r="JW31">
        <f t="shared" si="24"/>
        <v>2054</v>
      </c>
      <c r="JX31">
        <v>13036</v>
      </c>
      <c r="JY31">
        <v>13036</v>
      </c>
      <c r="JZ31">
        <v>12747</v>
      </c>
      <c r="KA31">
        <v>13874</v>
      </c>
      <c r="KB31">
        <v>12470</v>
      </c>
      <c r="KC31">
        <v>13277</v>
      </c>
      <c r="KD31">
        <v>13199</v>
      </c>
      <c r="KE31">
        <v>12012</v>
      </c>
      <c r="KF31">
        <v>10093</v>
      </c>
      <c r="KG31">
        <v>12342</v>
      </c>
      <c r="KH31">
        <v>11404</v>
      </c>
      <c r="KI31">
        <v>12323</v>
      </c>
      <c r="KJ31">
        <f t="shared" si="25"/>
        <v>149813</v>
      </c>
      <c r="KK31">
        <v>832</v>
      </c>
      <c r="KL31">
        <v>746</v>
      </c>
      <c r="KM31">
        <v>746</v>
      </c>
      <c r="KN31">
        <v>870</v>
      </c>
      <c r="KO31">
        <v>508</v>
      </c>
      <c r="KP31">
        <v>925</v>
      </c>
      <c r="KQ31">
        <v>849</v>
      </c>
      <c r="KR31">
        <v>785</v>
      </c>
      <c r="KS31">
        <v>587</v>
      </c>
      <c r="KT31">
        <v>889</v>
      </c>
      <c r="KU31">
        <v>689</v>
      </c>
      <c r="KV31">
        <v>701</v>
      </c>
      <c r="KW31">
        <f t="shared" si="26"/>
        <v>9127</v>
      </c>
      <c r="KX31">
        <v>25</v>
      </c>
      <c r="KY31">
        <v>26</v>
      </c>
      <c r="KZ31">
        <v>17</v>
      </c>
      <c r="LA31">
        <v>21</v>
      </c>
      <c r="LB31">
        <v>24</v>
      </c>
      <c r="LC31">
        <v>24</v>
      </c>
      <c r="LD31">
        <v>17</v>
      </c>
      <c r="LE31">
        <v>16</v>
      </c>
      <c r="LF31">
        <v>6</v>
      </c>
      <c r="LG31">
        <v>7</v>
      </c>
      <c r="LH31">
        <v>5</v>
      </c>
      <c r="LI31">
        <v>14</v>
      </c>
      <c r="LJ31">
        <f t="shared" si="27"/>
        <v>202</v>
      </c>
      <c r="LK31">
        <v>0</v>
      </c>
      <c r="LL31">
        <v>0</v>
      </c>
      <c r="LM31">
        <v>0</v>
      </c>
      <c r="LN31">
        <v>0</v>
      </c>
      <c r="LO31">
        <v>0</v>
      </c>
      <c r="LP31">
        <v>0</v>
      </c>
      <c r="LQ31">
        <v>0</v>
      </c>
      <c r="LR31">
        <v>0</v>
      </c>
      <c r="LS31">
        <v>0</v>
      </c>
      <c r="LT31">
        <v>0</v>
      </c>
      <c r="LU31">
        <v>0</v>
      </c>
      <c r="LV31">
        <v>0</v>
      </c>
      <c r="LW31">
        <f t="shared" si="28"/>
        <v>0</v>
      </c>
      <c r="LX31">
        <v>807</v>
      </c>
      <c r="LY31">
        <v>720</v>
      </c>
      <c r="LZ31">
        <v>729</v>
      </c>
      <c r="MA31">
        <v>849</v>
      </c>
      <c r="MB31">
        <v>484</v>
      </c>
      <c r="MC31">
        <v>901</v>
      </c>
      <c r="MD31">
        <v>832</v>
      </c>
      <c r="ME31">
        <v>769</v>
      </c>
      <c r="MF31">
        <v>581</v>
      </c>
      <c r="MG31">
        <v>882</v>
      </c>
      <c r="MH31">
        <v>684</v>
      </c>
      <c r="MI31">
        <v>687</v>
      </c>
      <c r="MJ31">
        <f t="shared" si="29"/>
        <v>8925</v>
      </c>
      <c r="MK31">
        <v>1580</v>
      </c>
      <c r="ML31">
        <v>1561</v>
      </c>
      <c r="MM31">
        <v>1494</v>
      </c>
      <c r="MN31">
        <v>1436</v>
      </c>
      <c r="MO31">
        <v>1525</v>
      </c>
      <c r="MP31">
        <v>1454</v>
      </c>
      <c r="MQ31">
        <v>1514</v>
      </c>
      <c r="MR31">
        <v>1385</v>
      </c>
      <c r="MS31">
        <v>1367</v>
      </c>
      <c r="MT31">
        <v>1539</v>
      </c>
      <c r="MU31">
        <v>1212</v>
      </c>
      <c r="MV31">
        <v>1308</v>
      </c>
      <c r="MW31">
        <f t="shared" si="30"/>
        <v>17375</v>
      </c>
      <c r="MX31">
        <v>71</v>
      </c>
      <c r="MY31">
        <v>49</v>
      </c>
      <c r="MZ31">
        <v>37</v>
      </c>
      <c r="NA31">
        <v>24</v>
      </c>
      <c r="NB31">
        <v>43</v>
      </c>
      <c r="NC31">
        <v>31</v>
      </c>
      <c r="ND31">
        <v>34</v>
      </c>
      <c r="NE31">
        <v>32</v>
      </c>
      <c r="NF31">
        <v>26</v>
      </c>
      <c r="NG31">
        <v>37</v>
      </c>
      <c r="NH31">
        <v>26</v>
      </c>
      <c r="NI31">
        <v>31</v>
      </c>
      <c r="NJ31">
        <f t="shared" si="31"/>
        <v>441</v>
      </c>
      <c r="NK31">
        <v>26</v>
      </c>
      <c r="NL31">
        <v>25</v>
      </c>
      <c r="NM31">
        <v>26</v>
      </c>
      <c r="NN31">
        <v>30</v>
      </c>
      <c r="NO31">
        <v>29</v>
      </c>
      <c r="NP31">
        <v>21</v>
      </c>
      <c r="NQ31">
        <v>24</v>
      </c>
      <c r="NR31">
        <v>21</v>
      </c>
      <c r="NS31">
        <v>23</v>
      </c>
      <c r="NT31">
        <v>25</v>
      </c>
      <c r="NU31">
        <v>17</v>
      </c>
      <c r="NV31">
        <v>42</v>
      </c>
      <c r="NW31">
        <f t="shared" si="32"/>
        <v>309</v>
      </c>
      <c r="NX31">
        <v>1483</v>
      </c>
      <c r="NY31">
        <v>1487</v>
      </c>
      <c r="NZ31">
        <v>1431</v>
      </c>
      <c r="OA31">
        <v>1382</v>
      </c>
      <c r="OB31">
        <v>1453</v>
      </c>
      <c r="OC31">
        <v>1402</v>
      </c>
      <c r="OD31">
        <v>1456</v>
      </c>
      <c r="OE31">
        <v>1332</v>
      </c>
      <c r="OF31">
        <v>1318</v>
      </c>
      <c r="OG31">
        <v>1477</v>
      </c>
      <c r="OH31">
        <v>1169</v>
      </c>
      <c r="OI31">
        <v>1235</v>
      </c>
      <c r="OJ31">
        <f t="shared" si="33"/>
        <v>16625</v>
      </c>
      <c r="OK31">
        <v>1440</v>
      </c>
      <c r="OL31">
        <v>1437</v>
      </c>
      <c r="OM31">
        <v>1465</v>
      </c>
      <c r="ON31">
        <v>1576</v>
      </c>
      <c r="OO31">
        <v>1632</v>
      </c>
      <c r="OP31">
        <v>1582</v>
      </c>
      <c r="OQ31">
        <v>1678</v>
      </c>
      <c r="OR31">
        <v>1562</v>
      </c>
      <c r="OS31">
        <v>1525</v>
      </c>
      <c r="OT31">
        <v>1640</v>
      </c>
      <c r="OU31">
        <v>1576</v>
      </c>
      <c r="OV31">
        <v>1690</v>
      </c>
      <c r="OW31">
        <f t="shared" si="34"/>
        <v>18803</v>
      </c>
      <c r="OX31">
        <v>82</v>
      </c>
      <c r="OY31">
        <v>98</v>
      </c>
      <c r="OZ31">
        <v>76</v>
      </c>
      <c r="PA31">
        <v>106</v>
      </c>
      <c r="PB31">
        <v>136</v>
      </c>
      <c r="PC31">
        <v>108</v>
      </c>
      <c r="PD31">
        <v>88</v>
      </c>
      <c r="PE31">
        <v>93</v>
      </c>
      <c r="PF31">
        <v>111</v>
      </c>
      <c r="PG31">
        <v>94</v>
      </c>
      <c r="PH31">
        <v>125</v>
      </c>
      <c r="PI31">
        <v>102</v>
      </c>
      <c r="PJ31">
        <f t="shared" si="35"/>
        <v>1219</v>
      </c>
      <c r="PK31">
        <v>38</v>
      </c>
      <c r="PL31">
        <v>49</v>
      </c>
      <c r="PM31">
        <v>39</v>
      </c>
      <c r="PN31">
        <v>41</v>
      </c>
      <c r="PO31">
        <v>44</v>
      </c>
      <c r="PP31">
        <v>35</v>
      </c>
      <c r="PQ31">
        <v>40</v>
      </c>
      <c r="PR31">
        <v>44</v>
      </c>
      <c r="PS31">
        <v>28</v>
      </c>
      <c r="PT31">
        <v>40</v>
      </c>
      <c r="PU31">
        <v>36</v>
      </c>
      <c r="PV31">
        <v>37</v>
      </c>
      <c r="PW31">
        <f t="shared" si="36"/>
        <v>471</v>
      </c>
      <c r="PX31">
        <v>1320</v>
      </c>
      <c r="PY31">
        <v>1290</v>
      </c>
      <c r="PZ31">
        <v>1350</v>
      </c>
      <c r="QA31">
        <v>1429</v>
      </c>
      <c r="QB31">
        <v>1452</v>
      </c>
      <c r="QC31">
        <v>1439</v>
      </c>
      <c r="QD31">
        <v>1550</v>
      </c>
      <c r="QE31">
        <v>1425</v>
      </c>
      <c r="QF31">
        <v>1386</v>
      </c>
      <c r="QG31">
        <v>1506</v>
      </c>
      <c r="QH31">
        <v>1415</v>
      </c>
      <c r="QI31">
        <v>1551</v>
      </c>
      <c r="QJ31">
        <f t="shared" si="37"/>
        <v>17113</v>
      </c>
      <c r="QK31">
        <v>15052</v>
      </c>
      <c r="QL31">
        <v>18742</v>
      </c>
      <c r="QM31">
        <v>20064</v>
      </c>
      <c r="QN31">
        <v>18320</v>
      </c>
      <c r="QO31">
        <v>19875</v>
      </c>
      <c r="QP31">
        <v>19244</v>
      </c>
      <c r="QQ31">
        <v>20206</v>
      </c>
      <c r="QR31">
        <v>19335</v>
      </c>
      <c r="QS31">
        <v>15050</v>
      </c>
      <c r="QT31">
        <v>18128</v>
      </c>
      <c r="QU31">
        <v>16592</v>
      </c>
      <c r="QV31">
        <v>18370</v>
      </c>
      <c r="QW31">
        <f t="shared" si="38"/>
        <v>218978</v>
      </c>
      <c r="QX31">
        <v>22476</v>
      </c>
      <c r="QY31">
        <v>27002</v>
      </c>
      <c r="QZ31">
        <v>28916</v>
      </c>
      <c r="RA31">
        <v>23278</v>
      </c>
      <c r="RB31">
        <v>22754</v>
      </c>
      <c r="RC31">
        <v>22624</v>
      </c>
      <c r="RD31">
        <v>24061</v>
      </c>
      <c r="RE31">
        <v>24990</v>
      </c>
      <c r="RF31">
        <v>20123</v>
      </c>
      <c r="RG31">
        <v>20959</v>
      </c>
      <c r="RH31">
        <v>22633</v>
      </c>
      <c r="RI31">
        <v>24515</v>
      </c>
      <c r="RJ31">
        <f t="shared" si="39"/>
        <v>284331</v>
      </c>
      <c r="RK31">
        <v>0</v>
      </c>
      <c r="RL31">
        <v>0</v>
      </c>
      <c r="RM31">
        <v>0</v>
      </c>
      <c r="RN31">
        <v>0</v>
      </c>
      <c r="RO31">
        <v>0</v>
      </c>
      <c r="RP31">
        <v>0</v>
      </c>
      <c r="RQ31">
        <v>0</v>
      </c>
      <c r="RR31">
        <v>0</v>
      </c>
      <c r="RS31">
        <v>0</v>
      </c>
      <c r="RT31">
        <v>0</v>
      </c>
      <c r="RU31">
        <v>0</v>
      </c>
      <c r="RV31">
        <v>0</v>
      </c>
      <c r="RW31">
        <f t="shared" si="40"/>
        <v>0</v>
      </c>
      <c r="RX31">
        <v>0</v>
      </c>
      <c r="RY31">
        <v>0</v>
      </c>
      <c r="RZ31">
        <v>0</v>
      </c>
      <c r="SA31">
        <v>0</v>
      </c>
      <c r="SB31">
        <v>0</v>
      </c>
      <c r="SC31">
        <v>0</v>
      </c>
      <c r="SD31">
        <v>0</v>
      </c>
      <c r="SE31">
        <v>0</v>
      </c>
      <c r="SF31">
        <v>0</v>
      </c>
      <c r="SG31">
        <v>0</v>
      </c>
      <c r="SH31">
        <v>0</v>
      </c>
      <c r="SI31">
        <v>0</v>
      </c>
      <c r="SJ31">
        <f t="shared" si="41"/>
        <v>0</v>
      </c>
      <c r="SK31">
        <v>169</v>
      </c>
      <c r="SL31">
        <v>174</v>
      </c>
      <c r="SM31">
        <v>147</v>
      </c>
      <c r="SN31">
        <v>140</v>
      </c>
      <c r="SO31">
        <v>144</v>
      </c>
      <c r="SP31">
        <v>161</v>
      </c>
      <c r="SQ31">
        <v>34</v>
      </c>
      <c r="SR31">
        <v>148</v>
      </c>
      <c r="SS31">
        <v>150</v>
      </c>
      <c r="ST31">
        <v>178</v>
      </c>
      <c r="SU31">
        <v>156</v>
      </c>
      <c r="SV31">
        <v>165</v>
      </c>
      <c r="SW31">
        <f t="shared" si="42"/>
        <v>1766</v>
      </c>
      <c r="SX31" t="s">
        <v>1500</v>
      </c>
      <c r="SY31">
        <v>2307</v>
      </c>
      <c r="SZ31">
        <v>2353</v>
      </c>
      <c r="TA31">
        <v>1577</v>
      </c>
      <c r="TB31">
        <v>2543</v>
      </c>
      <c r="TC31">
        <v>2192</v>
      </c>
      <c r="TD31">
        <v>2414</v>
      </c>
      <c r="TE31">
        <v>2843</v>
      </c>
      <c r="TF31">
        <v>2322</v>
      </c>
      <c r="TG31">
        <v>1584</v>
      </c>
      <c r="TH31">
        <v>2265</v>
      </c>
      <c r="TI31">
        <v>2331</v>
      </c>
      <c r="TJ31">
        <v>2276</v>
      </c>
      <c r="TK31">
        <f>ROUND(SUM(SY31:TJ31),0)</f>
        <v>27007</v>
      </c>
      <c r="TL31">
        <v>0</v>
      </c>
      <c r="TM31">
        <v>0</v>
      </c>
      <c r="TN31">
        <v>0</v>
      </c>
      <c r="TO31">
        <v>0</v>
      </c>
      <c r="TP31">
        <v>0</v>
      </c>
      <c r="TQ31">
        <v>0</v>
      </c>
      <c r="TR31">
        <v>0</v>
      </c>
      <c r="TS31">
        <v>0</v>
      </c>
      <c r="TT31">
        <v>0</v>
      </c>
      <c r="TU31">
        <v>0</v>
      </c>
      <c r="TV31">
        <v>0</v>
      </c>
      <c r="TW31">
        <v>0</v>
      </c>
      <c r="TX31">
        <f t="shared" si="44"/>
        <v>0</v>
      </c>
      <c r="TY31">
        <v>139</v>
      </c>
      <c r="TZ31">
        <v>0</v>
      </c>
      <c r="UA31">
        <v>0</v>
      </c>
      <c r="UB31">
        <v>74</v>
      </c>
    </row>
    <row r="32" spans="1:548" ht="16.5" customHeight="1" x14ac:dyDescent="0.35">
      <c r="A32" t="s">
        <v>1465</v>
      </c>
      <c r="B32" t="s">
        <v>2864</v>
      </c>
      <c r="C32">
        <v>49008</v>
      </c>
      <c r="D32">
        <v>0</v>
      </c>
      <c r="E32">
        <v>0</v>
      </c>
      <c r="F32">
        <v>0</v>
      </c>
      <c r="G32">
        <v>674</v>
      </c>
      <c r="H32">
        <v>704</v>
      </c>
      <c r="I32">
        <v>744</v>
      </c>
      <c r="J32">
        <v>849</v>
      </c>
      <c r="K32">
        <v>823</v>
      </c>
      <c r="L32">
        <v>692</v>
      </c>
      <c r="M32">
        <v>795</v>
      </c>
      <c r="N32">
        <v>739</v>
      </c>
      <c r="O32">
        <v>688</v>
      </c>
      <c r="P32">
        <v>690</v>
      </c>
      <c r="Q32">
        <v>686</v>
      </c>
      <c r="R32">
        <v>782</v>
      </c>
      <c r="S32">
        <f t="shared" si="0"/>
        <v>8866</v>
      </c>
      <c r="T32">
        <v>0</v>
      </c>
      <c r="U32">
        <v>0</v>
      </c>
      <c r="V32">
        <v>0</v>
      </c>
      <c r="W32">
        <v>0</v>
      </c>
      <c r="X32">
        <v>0</v>
      </c>
      <c r="Y32">
        <v>0</v>
      </c>
      <c r="Z32">
        <v>0</v>
      </c>
      <c r="AA32">
        <v>0</v>
      </c>
      <c r="AB32">
        <v>0</v>
      </c>
      <c r="AC32">
        <v>0</v>
      </c>
      <c r="AD32">
        <v>0</v>
      </c>
      <c r="AE32">
        <v>0</v>
      </c>
      <c r="AF32">
        <f t="shared" si="1"/>
        <v>0</v>
      </c>
      <c r="AG32">
        <v>0</v>
      </c>
      <c r="AH32">
        <v>0</v>
      </c>
      <c r="AI32">
        <v>0</v>
      </c>
      <c r="AJ32">
        <v>0</v>
      </c>
      <c r="AK32">
        <v>0</v>
      </c>
      <c r="AL32">
        <v>0</v>
      </c>
      <c r="AM32">
        <v>0</v>
      </c>
      <c r="AN32">
        <v>0</v>
      </c>
      <c r="AO32">
        <v>0</v>
      </c>
      <c r="AP32">
        <v>0</v>
      </c>
      <c r="AQ32">
        <v>0</v>
      </c>
      <c r="AR32">
        <v>0</v>
      </c>
      <c r="AS32">
        <f t="shared" si="2"/>
        <v>0</v>
      </c>
      <c r="AT32">
        <v>0</v>
      </c>
      <c r="AU32">
        <v>0</v>
      </c>
      <c r="AV32">
        <v>0</v>
      </c>
      <c r="AW32">
        <v>0</v>
      </c>
      <c r="AX32">
        <v>0</v>
      </c>
      <c r="AY32">
        <v>0</v>
      </c>
      <c r="AZ32">
        <v>0</v>
      </c>
      <c r="BA32">
        <v>0</v>
      </c>
      <c r="BB32">
        <v>0</v>
      </c>
      <c r="BC32">
        <v>0</v>
      </c>
      <c r="BD32">
        <v>0</v>
      </c>
      <c r="BE32">
        <v>0</v>
      </c>
      <c r="BF32">
        <f t="shared" si="3"/>
        <v>0</v>
      </c>
      <c r="BG32">
        <v>0</v>
      </c>
      <c r="BH32">
        <v>0</v>
      </c>
      <c r="BI32">
        <v>0</v>
      </c>
      <c r="BJ32">
        <v>0</v>
      </c>
      <c r="BK32">
        <v>0</v>
      </c>
      <c r="BL32">
        <v>0</v>
      </c>
      <c r="BM32">
        <v>0</v>
      </c>
      <c r="BN32">
        <v>0</v>
      </c>
      <c r="BO32">
        <v>0</v>
      </c>
      <c r="BP32">
        <v>0</v>
      </c>
      <c r="BQ32">
        <v>0</v>
      </c>
      <c r="BR32">
        <v>0</v>
      </c>
      <c r="BS32">
        <f t="shared" si="4"/>
        <v>0</v>
      </c>
      <c r="BT32">
        <v>4</v>
      </c>
      <c r="BU32">
        <v>5</v>
      </c>
      <c r="BV32">
        <v>9</v>
      </c>
      <c r="BW32">
        <v>4</v>
      </c>
      <c r="BX32">
        <v>4</v>
      </c>
      <c r="BY32">
        <v>1</v>
      </c>
      <c r="BZ32">
        <v>4</v>
      </c>
      <c r="CA32">
        <v>6</v>
      </c>
      <c r="CB32">
        <v>3</v>
      </c>
      <c r="CC32">
        <v>4</v>
      </c>
      <c r="CD32">
        <v>3</v>
      </c>
      <c r="CE32">
        <v>6</v>
      </c>
      <c r="CF32">
        <f t="shared" si="5"/>
        <v>53</v>
      </c>
      <c r="CG32">
        <v>0</v>
      </c>
      <c r="CH32">
        <v>0</v>
      </c>
      <c r="CI32">
        <v>0</v>
      </c>
      <c r="CJ32">
        <v>0</v>
      </c>
      <c r="CK32">
        <v>0</v>
      </c>
      <c r="CL32">
        <v>0</v>
      </c>
      <c r="CM32">
        <v>0</v>
      </c>
      <c r="CN32">
        <v>0</v>
      </c>
      <c r="CO32">
        <v>0</v>
      </c>
      <c r="CP32">
        <v>0</v>
      </c>
      <c r="CQ32">
        <v>0</v>
      </c>
      <c r="CR32">
        <v>0</v>
      </c>
      <c r="CS32">
        <f t="shared" si="6"/>
        <v>0</v>
      </c>
      <c r="CT32">
        <v>0</v>
      </c>
      <c r="CU32">
        <v>0</v>
      </c>
      <c r="CV32">
        <v>0</v>
      </c>
      <c r="CW32">
        <v>0</v>
      </c>
      <c r="CX32">
        <v>0</v>
      </c>
      <c r="CY32">
        <v>0</v>
      </c>
      <c r="CZ32">
        <v>0</v>
      </c>
      <c r="DA32">
        <v>0</v>
      </c>
      <c r="DB32">
        <v>0</v>
      </c>
      <c r="DC32">
        <v>0</v>
      </c>
      <c r="DD32">
        <v>0</v>
      </c>
      <c r="DE32">
        <v>0</v>
      </c>
      <c r="DF32">
        <f t="shared" si="7"/>
        <v>0</v>
      </c>
      <c r="DG32">
        <v>0</v>
      </c>
      <c r="DH32">
        <v>0</v>
      </c>
      <c r="DI32">
        <v>0</v>
      </c>
      <c r="DJ32">
        <v>0</v>
      </c>
      <c r="DK32">
        <v>0</v>
      </c>
      <c r="DL32">
        <v>0</v>
      </c>
      <c r="DM32">
        <v>0</v>
      </c>
      <c r="DN32">
        <v>0</v>
      </c>
      <c r="DO32">
        <v>0</v>
      </c>
      <c r="DP32">
        <v>0</v>
      </c>
      <c r="DQ32">
        <v>0</v>
      </c>
      <c r="DR32">
        <v>0</v>
      </c>
      <c r="DS32">
        <f t="shared" si="8"/>
        <v>0</v>
      </c>
      <c r="DT32">
        <v>0</v>
      </c>
      <c r="DU32">
        <v>0</v>
      </c>
      <c r="DV32">
        <v>0</v>
      </c>
      <c r="DW32">
        <v>0</v>
      </c>
      <c r="DX32">
        <v>0</v>
      </c>
      <c r="DY32">
        <v>0</v>
      </c>
      <c r="DZ32">
        <v>0</v>
      </c>
      <c r="EA32">
        <v>0</v>
      </c>
      <c r="EB32">
        <v>0</v>
      </c>
      <c r="EC32">
        <v>0</v>
      </c>
      <c r="ED32">
        <v>0</v>
      </c>
      <c r="EE32">
        <v>0</v>
      </c>
      <c r="EF32">
        <f t="shared" si="9"/>
        <v>0</v>
      </c>
      <c r="EG32">
        <f t="shared" si="10"/>
        <v>0</v>
      </c>
      <c r="EH32">
        <f t="shared" si="11"/>
        <v>0</v>
      </c>
      <c r="EI32">
        <v>6655</v>
      </c>
      <c r="EJ32">
        <v>7272</v>
      </c>
      <c r="EK32">
        <v>8127</v>
      </c>
      <c r="EL32">
        <v>18375</v>
      </c>
      <c r="EM32">
        <v>8648</v>
      </c>
      <c r="EN32">
        <v>6626</v>
      </c>
      <c r="EO32">
        <v>8799</v>
      </c>
      <c r="EP32">
        <v>7132</v>
      </c>
      <c r="EQ32">
        <v>6350</v>
      </c>
      <c r="ER32">
        <v>7079</v>
      </c>
      <c r="ES32">
        <v>8183</v>
      </c>
      <c r="ET32">
        <v>9736</v>
      </c>
      <c r="EU32">
        <f t="shared" si="12"/>
        <v>102982</v>
      </c>
      <c r="EV32">
        <v>0</v>
      </c>
      <c r="EW32">
        <v>0</v>
      </c>
      <c r="EX32">
        <v>0</v>
      </c>
      <c r="EY32">
        <v>0</v>
      </c>
      <c r="EZ32">
        <v>0</v>
      </c>
      <c r="FA32">
        <v>0</v>
      </c>
      <c r="FB32">
        <v>0</v>
      </c>
      <c r="FC32">
        <v>0</v>
      </c>
      <c r="FD32">
        <v>0</v>
      </c>
      <c r="FE32">
        <v>0</v>
      </c>
      <c r="FF32">
        <v>0</v>
      </c>
      <c r="FG32">
        <v>0</v>
      </c>
      <c r="FH32">
        <f t="shared" si="13"/>
        <v>0</v>
      </c>
      <c r="FI32">
        <v>0</v>
      </c>
      <c r="FJ32">
        <v>0</v>
      </c>
      <c r="FK32">
        <v>0</v>
      </c>
      <c r="FL32">
        <v>0</v>
      </c>
      <c r="FM32">
        <v>0</v>
      </c>
      <c r="FN32">
        <v>0</v>
      </c>
      <c r="FO32">
        <v>0</v>
      </c>
      <c r="FP32">
        <v>0</v>
      </c>
      <c r="FQ32">
        <v>0</v>
      </c>
      <c r="FR32">
        <v>0</v>
      </c>
      <c r="FS32">
        <v>0</v>
      </c>
      <c r="FT32">
        <v>0</v>
      </c>
      <c r="FU32">
        <f t="shared" si="14"/>
        <v>0</v>
      </c>
      <c r="FV32">
        <v>0</v>
      </c>
      <c r="FW32">
        <v>0</v>
      </c>
      <c r="FX32">
        <v>0</v>
      </c>
      <c r="FY32">
        <v>0</v>
      </c>
      <c r="FZ32">
        <v>0</v>
      </c>
      <c r="GA32">
        <v>0</v>
      </c>
      <c r="GB32">
        <v>0</v>
      </c>
      <c r="GC32">
        <v>0</v>
      </c>
      <c r="GD32">
        <v>0</v>
      </c>
      <c r="GE32">
        <v>0</v>
      </c>
      <c r="GF32">
        <v>0</v>
      </c>
      <c r="GG32">
        <v>0</v>
      </c>
      <c r="GH32">
        <f t="shared" si="15"/>
        <v>0</v>
      </c>
      <c r="GI32">
        <v>4</v>
      </c>
      <c r="GJ32">
        <v>61</v>
      </c>
      <c r="GK32">
        <v>86</v>
      </c>
      <c r="GL32">
        <v>5035</v>
      </c>
      <c r="GM32">
        <v>14</v>
      </c>
      <c r="GN32">
        <v>3</v>
      </c>
      <c r="GO32">
        <v>28</v>
      </c>
      <c r="GP32">
        <v>689</v>
      </c>
      <c r="GQ32">
        <v>12</v>
      </c>
      <c r="GR32">
        <v>12</v>
      </c>
      <c r="GS32">
        <v>23</v>
      </c>
      <c r="GT32">
        <v>2549</v>
      </c>
      <c r="GU32">
        <f t="shared" si="16"/>
        <v>8516</v>
      </c>
      <c r="GV32">
        <v>0</v>
      </c>
      <c r="GW32">
        <v>0</v>
      </c>
      <c r="GX32">
        <v>0</v>
      </c>
      <c r="GY32">
        <v>0</v>
      </c>
      <c r="GZ32">
        <v>0</v>
      </c>
      <c r="HA32">
        <v>0</v>
      </c>
      <c r="HB32">
        <v>0</v>
      </c>
      <c r="HC32">
        <v>0</v>
      </c>
      <c r="HD32">
        <v>0</v>
      </c>
      <c r="HE32">
        <v>0</v>
      </c>
      <c r="HF32">
        <v>0</v>
      </c>
      <c r="HG32">
        <v>0</v>
      </c>
      <c r="HH32">
        <f t="shared" si="17"/>
        <v>0</v>
      </c>
      <c r="HI32">
        <v>0</v>
      </c>
      <c r="HJ32">
        <v>0</v>
      </c>
      <c r="HK32">
        <v>0</v>
      </c>
      <c r="HL32">
        <v>0</v>
      </c>
      <c r="HM32">
        <v>0</v>
      </c>
      <c r="HN32">
        <v>0</v>
      </c>
      <c r="HO32">
        <v>0</v>
      </c>
      <c r="HP32">
        <v>0</v>
      </c>
      <c r="HQ32">
        <v>0</v>
      </c>
      <c r="HR32">
        <v>0</v>
      </c>
      <c r="HS32">
        <v>0</v>
      </c>
      <c r="HT32">
        <v>0</v>
      </c>
      <c r="HU32">
        <f t="shared" si="18"/>
        <v>0</v>
      </c>
      <c r="HV32">
        <v>0</v>
      </c>
      <c r="HW32">
        <v>0</v>
      </c>
      <c r="HX32">
        <v>0</v>
      </c>
      <c r="HY32">
        <v>0</v>
      </c>
      <c r="HZ32">
        <v>0</v>
      </c>
      <c r="IA32">
        <v>0</v>
      </c>
      <c r="IB32">
        <v>0</v>
      </c>
      <c r="IC32">
        <v>0</v>
      </c>
      <c r="ID32">
        <v>0</v>
      </c>
      <c r="IE32">
        <v>0</v>
      </c>
      <c r="IF32">
        <v>0</v>
      </c>
      <c r="IG32">
        <v>0</v>
      </c>
      <c r="IH32">
        <f t="shared" si="19"/>
        <v>0</v>
      </c>
      <c r="II32">
        <f t="shared" si="20"/>
        <v>0</v>
      </c>
      <c r="IJ32">
        <f t="shared" si="21"/>
        <v>0</v>
      </c>
      <c r="IK32">
        <v>74650</v>
      </c>
      <c r="IL32">
        <v>80176</v>
      </c>
      <c r="IM32">
        <v>75332</v>
      </c>
      <c r="IN32">
        <v>94419</v>
      </c>
      <c r="IO32">
        <v>99869</v>
      </c>
      <c r="IP32">
        <v>84671</v>
      </c>
      <c r="IQ32">
        <v>84982</v>
      </c>
      <c r="IR32">
        <v>76032</v>
      </c>
      <c r="IS32">
        <v>72999</v>
      </c>
      <c r="IT32">
        <v>79595</v>
      </c>
      <c r="IU32">
        <v>73711</v>
      </c>
      <c r="IV32">
        <v>65806</v>
      </c>
      <c r="IW32">
        <f t="shared" si="22"/>
        <v>962242</v>
      </c>
      <c r="IX32">
        <v>0</v>
      </c>
      <c r="IY32">
        <v>0</v>
      </c>
      <c r="IZ32">
        <v>0</v>
      </c>
      <c r="JA32">
        <v>0</v>
      </c>
      <c r="JB32">
        <v>0</v>
      </c>
      <c r="JC32">
        <v>0</v>
      </c>
      <c r="JD32">
        <v>0</v>
      </c>
      <c r="JE32">
        <v>0</v>
      </c>
      <c r="JF32">
        <v>0</v>
      </c>
      <c r="JG32">
        <v>0</v>
      </c>
      <c r="JH32">
        <v>0</v>
      </c>
      <c r="JI32">
        <v>0</v>
      </c>
      <c r="JJ32">
        <f t="shared" si="23"/>
        <v>0</v>
      </c>
      <c r="JK32">
        <v>0</v>
      </c>
      <c r="JL32">
        <v>0</v>
      </c>
      <c r="JM32">
        <v>0</v>
      </c>
      <c r="JN32">
        <v>0</v>
      </c>
      <c r="JO32">
        <v>0</v>
      </c>
      <c r="JP32">
        <v>0</v>
      </c>
      <c r="JQ32">
        <v>0</v>
      </c>
      <c r="JR32">
        <v>0</v>
      </c>
      <c r="JS32">
        <v>0</v>
      </c>
      <c r="JT32">
        <v>0</v>
      </c>
      <c r="JU32">
        <v>0</v>
      </c>
      <c r="JV32">
        <v>0</v>
      </c>
      <c r="JW32">
        <f t="shared" si="24"/>
        <v>0</v>
      </c>
      <c r="JX32">
        <v>0</v>
      </c>
      <c r="JY32">
        <v>0</v>
      </c>
      <c r="JZ32">
        <v>0</v>
      </c>
      <c r="KA32">
        <v>0</v>
      </c>
      <c r="KB32">
        <v>0</v>
      </c>
      <c r="KC32">
        <v>0</v>
      </c>
      <c r="KD32">
        <v>0</v>
      </c>
      <c r="KE32">
        <v>0</v>
      </c>
      <c r="KF32">
        <v>0</v>
      </c>
      <c r="KG32">
        <v>0</v>
      </c>
      <c r="KH32">
        <v>0</v>
      </c>
      <c r="KI32">
        <v>0</v>
      </c>
      <c r="KJ32">
        <f t="shared" si="25"/>
        <v>0</v>
      </c>
      <c r="KK32">
        <v>0</v>
      </c>
      <c r="KL32">
        <v>0</v>
      </c>
      <c r="KM32">
        <v>0</v>
      </c>
      <c r="KN32">
        <v>0</v>
      </c>
      <c r="KO32">
        <v>0</v>
      </c>
      <c r="KP32">
        <v>0</v>
      </c>
      <c r="KQ32">
        <v>0</v>
      </c>
      <c r="KR32">
        <v>0</v>
      </c>
      <c r="KS32">
        <v>0</v>
      </c>
      <c r="KT32">
        <v>0</v>
      </c>
      <c r="KU32">
        <v>0</v>
      </c>
      <c r="KV32">
        <v>0</v>
      </c>
      <c r="KW32">
        <f t="shared" si="26"/>
        <v>0</v>
      </c>
      <c r="KX32">
        <v>0</v>
      </c>
      <c r="KY32">
        <v>0</v>
      </c>
      <c r="KZ32">
        <v>0</v>
      </c>
      <c r="LA32">
        <v>0</v>
      </c>
      <c r="LB32">
        <v>0</v>
      </c>
      <c r="LC32">
        <v>0</v>
      </c>
      <c r="LD32">
        <v>0</v>
      </c>
      <c r="LE32">
        <v>0</v>
      </c>
      <c r="LF32">
        <v>0</v>
      </c>
      <c r="LG32">
        <v>0</v>
      </c>
      <c r="LH32">
        <v>0</v>
      </c>
      <c r="LI32">
        <v>0</v>
      </c>
      <c r="LJ32">
        <f t="shared" si="27"/>
        <v>0</v>
      </c>
      <c r="LK32">
        <v>0</v>
      </c>
      <c r="LL32">
        <v>0</v>
      </c>
      <c r="LM32">
        <v>0</v>
      </c>
      <c r="LN32">
        <v>0</v>
      </c>
      <c r="LO32">
        <v>0</v>
      </c>
      <c r="LP32">
        <v>0</v>
      </c>
      <c r="LQ32">
        <v>0</v>
      </c>
      <c r="LR32">
        <v>0</v>
      </c>
      <c r="LS32">
        <v>0</v>
      </c>
      <c r="LT32">
        <v>0</v>
      </c>
      <c r="LU32">
        <v>0</v>
      </c>
      <c r="LV32">
        <v>0</v>
      </c>
      <c r="LW32">
        <f t="shared" si="28"/>
        <v>0</v>
      </c>
      <c r="LX32">
        <v>0</v>
      </c>
      <c r="LY32">
        <v>0</v>
      </c>
      <c r="LZ32">
        <v>0</v>
      </c>
      <c r="MA32">
        <v>0</v>
      </c>
      <c r="MB32">
        <v>0</v>
      </c>
      <c r="MC32">
        <v>0</v>
      </c>
      <c r="MD32">
        <v>0</v>
      </c>
      <c r="ME32">
        <v>0</v>
      </c>
      <c r="MF32">
        <v>0</v>
      </c>
      <c r="MG32">
        <v>0</v>
      </c>
      <c r="MH32">
        <v>0</v>
      </c>
      <c r="MI32">
        <v>0</v>
      </c>
      <c r="MJ32">
        <f t="shared" si="29"/>
        <v>0</v>
      </c>
      <c r="MK32">
        <v>5849</v>
      </c>
      <c r="ML32">
        <v>6003</v>
      </c>
      <c r="MM32">
        <v>5902</v>
      </c>
      <c r="MN32">
        <v>6102</v>
      </c>
      <c r="MO32">
        <v>6281</v>
      </c>
      <c r="MP32">
        <v>6030</v>
      </c>
      <c r="MQ32">
        <v>6048</v>
      </c>
      <c r="MR32">
        <v>5764</v>
      </c>
      <c r="MS32">
        <v>7093</v>
      </c>
      <c r="MT32">
        <v>7084</v>
      </c>
      <c r="MU32">
        <v>6832</v>
      </c>
      <c r="MV32">
        <v>6066</v>
      </c>
      <c r="MW32">
        <f t="shared" si="30"/>
        <v>75054</v>
      </c>
      <c r="MX32">
        <v>0</v>
      </c>
      <c r="MY32">
        <v>0</v>
      </c>
      <c r="MZ32">
        <v>0</v>
      </c>
      <c r="NA32">
        <v>0</v>
      </c>
      <c r="NB32">
        <v>0</v>
      </c>
      <c r="NC32">
        <v>0</v>
      </c>
      <c r="ND32">
        <v>0</v>
      </c>
      <c r="NE32">
        <v>0</v>
      </c>
      <c r="NF32">
        <v>0</v>
      </c>
      <c r="NG32">
        <v>0</v>
      </c>
      <c r="NH32">
        <v>0</v>
      </c>
      <c r="NI32">
        <v>0</v>
      </c>
      <c r="NJ32">
        <f t="shared" si="31"/>
        <v>0</v>
      </c>
      <c r="NK32">
        <v>0</v>
      </c>
      <c r="NL32">
        <v>0</v>
      </c>
      <c r="NM32">
        <v>0</v>
      </c>
      <c r="NN32">
        <v>0</v>
      </c>
      <c r="NO32">
        <v>0</v>
      </c>
      <c r="NP32">
        <v>0</v>
      </c>
      <c r="NQ32">
        <v>0</v>
      </c>
      <c r="NR32">
        <v>0</v>
      </c>
      <c r="NS32">
        <v>0</v>
      </c>
      <c r="NT32">
        <v>0</v>
      </c>
      <c r="NU32">
        <v>0</v>
      </c>
      <c r="NV32">
        <v>0</v>
      </c>
      <c r="NW32">
        <f t="shared" si="32"/>
        <v>0</v>
      </c>
      <c r="NX32">
        <v>0</v>
      </c>
      <c r="NY32">
        <v>0</v>
      </c>
      <c r="NZ32">
        <v>0</v>
      </c>
      <c r="OA32">
        <v>0</v>
      </c>
      <c r="OB32">
        <v>0</v>
      </c>
      <c r="OC32">
        <v>0</v>
      </c>
      <c r="OD32">
        <v>0</v>
      </c>
      <c r="OE32">
        <v>0</v>
      </c>
      <c r="OF32">
        <v>0</v>
      </c>
      <c r="OG32">
        <v>0</v>
      </c>
      <c r="OH32">
        <v>0</v>
      </c>
      <c r="OI32">
        <v>0</v>
      </c>
      <c r="OJ32">
        <f t="shared" si="33"/>
        <v>0</v>
      </c>
      <c r="OK32">
        <v>23322</v>
      </c>
      <c r="OL32">
        <v>23839</v>
      </c>
      <c r="OM32">
        <v>23174</v>
      </c>
      <c r="ON32">
        <v>23857</v>
      </c>
      <c r="OO32">
        <v>24799</v>
      </c>
      <c r="OP32">
        <v>24189</v>
      </c>
      <c r="OQ32">
        <v>25375</v>
      </c>
      <c r="OR32">
        <v>24551</v>
      </c>
      <c r="OS32">
        <v>26726</v>
      </c>
      <c r="OT32">
        <v>28613</v>
      </c>
      <c r="OU32">
        <v>25561</v>
      </c>
      <c r="OV32">
        <v>23611</v>
      </c>
      <c r="OW32">
        <f t="shared" si="34"/>
        <v>297617</v>
      </c>
      <c r="OX32">
        <v>0</v>
      </c>
      <c r="OY32">
        <v>0</v>
      </c>
      <c r="OZ32">
        <v>0</v>
      </c>
      <c r="PA32">
        <v>0</v>
      </c>
      <c r="PB32">
        <v>0</v>
      </c>
      <c r="PC32">
        <v>0</v>
      </c>
      <c r="PD32">
        <v>0</v>
      </c>
      <c r="PE32">
        <v>0</v>
      </c>
      <c r="PF32">
        <v>0</v>
      </c>
      <c r="PG32">
        <v>0</v>
      </c>
      <c r="PH32">
        <v>0</v>
      </c>
      <c r="PI32">
        <v>0</v>
      </c>
      <c r="PJ32">
        <f t="shared" si="35"/>
        <v>0</v>
      </c>
      <c r="PK32">
        <v>0</v>
      </c>
      <c r="PL32">
        <v>0</v>
      </c>
      <c r="PM32">
        <v>0</v>
      </c>
      <c r="PN32">
        <v>0</v>
      </c>
      <c r="PO32">
        <v>0</v>
      </c>
      <c r="PP32">
        <v>0</v>
      </c>
      <c r="PQ32">
        <v>0</v>
      </c>
      <c r="PR32">
        <v>0</v>
      </c>
      <c r="PS32">
        <v>0</v>
      </c>
      <c r="PT32">
        <v>0</v>
      </c>
      <c r="PU32">
        <v>0</v>
      </c>
      <c r="PV32">
        <v>0</v>
      </c>
      <c r="PW32">
        <f t="shared" si="36"/>
        <v>0</v>
      </c>
      <c r="PX32">
        <v>0</v>
      </c>
      <c r="PY32">
        <v>0</v>
      </c>
      <c r="PZ32">
        <v>0</v>
      </c>
      <c r="QA32">
        <v>0</v>
      </c>
      <c r="QB32">
        <v>0</v>
      </c>
      <c r="QC32">
        <v>0</v>
      </c>
      <c r="QD32">
        <v>0</v>
      </c>
      <c r="QE32">
        <v>0</v>
      </c>
      <c r="QF32">
        <v>0</v>
      </c>
      <c r="QG32">
        <v>0</v>
      </c>
      <c r="QH32">
        <v>0</v>
      </c>
      <c r="QI32">
        <v>0</v>
      </c>
      <c r="QJ32">
        <f t="shared" si="37"/>
        <v>0</v>
      </c>
      <c r="QK32">
        <v>66825</v>
      </c>
      <c r="QL32">
        <v>74148</v>
      </c>
      <c r="QM32">
        <v>70728</v>
      </c>
      <c r="QN32">
        <v>82176</v>
      </c>
      <c r="QO32">
        <v>78567</v>
      </c>
      <c r="QP32">
        <v>72396</v>
      </c>
      <c r="QQ32">
        <v>76709</v>
      </c>
      <c r="QR32">
        <v>74196</v>
      </c>
      <c r="QS32">
        <v>65815</v>
      </c>
      <c r="QT32">
        <v>76117</v>
      </c>
      <c r="QU32">
        <v>75732</v>
      </c>
      <c r="QV32">
        <v>74850</v>
      </c>
      <c r="QW32">
        <f t="shared" si="38"/>
        <v>888259</v>
      </c>
      <c r="QX32">
        <v>0</v>
      </c>
      <c r="QY32">
        <v>0</v>
      </c>
      <c r="QZ32">
        <v>0</v>
      </c>
      <c r="RA32">
        <v>0</v>
      </c>
      <c r="RB32">
        <v>0</v>
      </c>
      <c r="RC32">
        <v>0</v>
      </c>
      <c r="RD32">
        <v>0</v>
      </c>
      <c r="RE32">
        <v>0</v>
      </c>
      <c r="RF32">
        <v>0</v>
      </c>
      <c r="RG32">
        <v>0</v>
      </c>
      <c r="RH32">
        <v>0</v>
      </c>
      <c r="RI32">
        <v>0</v>
      </c>
      <c r="RJ32">
        <f t="shared" si="39"/>
        <v>0</v>
      </c>
      <c r="RK32">
        <v>0</v>
      </c>
      <c r="RL32">
        <v>0</v>
      </c>
      <c r="RM32">
        <v>0</v>
      </c>
      <c r="RN32">
        <v>0</v>
      </c>
      <c r="RO32">
        <v>0</v>
      </c>
      <c r="RP32">
        <v>0</v>
      </c>
      <c r="RQ32">
        <v>0</v>
      </c>
      <c r="RR32">
        <v>0</v>
      </c>
      <c r="RS32">
        <v>0</v>
      </c>
      <c r="RT32">
        <v>0</v>
      </c>
      <c r="RU32">
        <v>0</v>
      </c>
      <c r="RV32">
        <v>0</v>
      </c>
      <c r="RW32">
        <f t="shared" si="40"/>
        <v>0</v>
      </c>
      <c r="RX32">
        <v>0</v>
      </c>
      <c r="RY32">
        <v>0</v>
      </c>
      <c r="RZ32">
        <v>0</v>
      </c>
      <c r="SA32">
        <v>0</v>
      </c>
      <c r="SB32">
        <v>0</v>
      </c>
      <c r="SC32">
        <v>0</v>
      </c>
      <c r="SD32">
        <v>0</v>
      </c>
      <c r="SE32">
        <v>0</v>
      </c>
      <c r="SF32">
        <v>0</v>
      </c>
      <c r="SG32">
        <v>0</v>
      </c>
      <c r="SH32">
        <v>0</v>
      </c>
      <c r="SI32">
        <v>0</v>
      </c>
      <c r="SJ32">
        <f t="shared" si="41"/>
        <v>0</v>
      </c>
      <c r="SK32">
        <v>529</v>
      </c>
      <c r="SL32">
        <v>529</v>
      </c>
      <c r="SM32">
        <v>529</v>
      </c>
      <c r="SN32">
        <v>529</v>
      </c>
      <c r="SO32">
        <v>529</v>
      </c>
      <c r="SP32">
        <v>529</v>
      </c>
      <c r="SQ32">
        <v>529</v>
      </c>
      <c r="SR32">
        <v>529</v>
      </c>
      <c r="SS32">
        <v>529</v>
      </c>
      <c r="ST32">
        <v>529</v>
      </c>
      <c r="SU32">
        <v>529</v>
      </c>
      <c r="SV32">
        <v>529</v>
      </c>
      <c r="SW32">
        <f t="shared" si="42"/>
        <v>6348</v>
      </c>
      <c r="SX32" t="s">
        <v>1466</v>
      </c>
      <c r="SY32">
        <v>3379</v>
      </c>
      <c r="SZ32">
        <v>3055</v>
      </c>
      <c r="TA32">
        <v>5972</v>
      </c>
      <c r="TB32">
        <v>3110</v>
      </c>
      <c r="TC32">
        <v>2987</v>
      </c>
      <c r="TD32">
        <v>3085</v>
      </c>
      <c r="TE32">
        <v>3220</v>
      </c>
      <c r="TF32">
        <v>2932</v>
      </c>
      <c r="TG32">
        <v>2511</v>
      </c>
      <c r="TH32">
        <v>3059</v>
      </c>
      <c r="TI32">
        <v>3039</v>
      </c>
      <c r="TJ32">
        <v>3213</v>
      </c>
      <c r="TK32">
        <f t="shared" si="43"/>
        <v>39562</v>
      </c>
      <c r="TL32">
        <v>0</v>
      </c>
      <c r="TM32">
        <v>0</v>
      </c>
      <c r="TN32">
        <v>0</v>
      </c>
      <c r="TO32">
        <v>0</v>
      </c>
      <c r="TP32">
        <v>0</v>
      </c>
      <c r="TQ32">
        <v>0</v>
      </c>
      <c r="TR32">
        <v>0</v>
      </c>
      <c r="TS32">
        <v>0</v>
      </c>
      <c r="TT32">
        <v>0</v>
      </c>
      <c r="TU32">
        <v>0</v>
      </c>
      <c r="TV32">
        <v>0</v>
      </c>
      <c r="TW32">
        <v>0</v>
      </c>
      <c r="TX32">
        <f t="shared" si="44"/>
        <v>0</v>
      </c>
      <c r="TY32">
        <v>166</v>
      </c>
      <c r="TZ32">
        <v>40</v>
      </c>
      <c r="UA32">
        <v>161</v>
      </c>
      <c r="UB32">
        <v>0</v>
      </c>
    </row>
    <row r="33" spans="1:548" ht="16.5" customHeight="1" x14ac:dyDescent="0.35">
      <c r="A33" t="s">
        <v>1533</v>
      </c>
      <c r="B33" t="s">
        <v>2863</v>
      </c>
      <c r="C33">
        <v>21642</v>
      </c>
      <c r="D33">
        <v>0</v>
      </c>
      <c r="E33">
        <v>0</v>
      </c>
      <c r="F33">
        <v>0</v>
      </c>
      <c r="G33">
        <v>966</v>
      </c>
      <c r="H33">
        <v>933</v>
      </c>
      <c r="I33">
        <v>899</v>
      </c>
      <c r="J33">
        <v>984</v>
      </c>
      <c r="K33">
        <v>873</v>
      </c>
      <c r="L33">
        <v>859</v>
      </c>
      <c r="M33">
        <v>987</v>
      </c>
      <c r="N33">
        <v>907</v>
      </c>
      <c r="O33">
        <v>666</v>
      </c>
      <c r="P33">
        <v>892</v>
      </c>
      <c r="Q33">
        <v>890</v>
      </c>
      <c r="R33">
        <v>1030</v>
      </c>
      <c r="S33">
        <f t="shared" si="0"/>
        <v>10886</v>
      </c>
      <c r="T33">
        <v>525</v>
      </c>
      <c r="U33">
        <v>485</v>
      </c>
      <c r="V33">
        <v>412</v>
      </c>
      <c r="W33">
        <v>534</v>
      </c>
      <c r="X33">
        <v>547</v>
      </c>
      <c r="Y33">
        <v>395</v>
      </c>
      <c r="Z33">
        <v>480</v>
      </c>
      <c r="AA33">
        <v>425</v>
      </c>
      <c r="AB33">
        <v>350</v>
      </c>
      <c r="AC33">
        <v>367</v>
      </c>
      <c r="AD33">
        <v>388</v>
      </c>
      <c r="AE33">
        <v>440</v>
      </c>
      <c r="AF33">
        <f t="shared" si="1"/>
        <v>5348</v>
      </c>
      <c r="AG33">
        <v>0</v>
      </c>
      <c r="AH33">
        <v>0</v>
      </c>
      <c r="AI33">
        <v>0</v>
      </c>
      <c r="AJ33">
        <v>0</v>
      </c>
      <c r="AK33">
        <v>0</v>
      </c>
      <c r="AL33">
        <v>0</v>
      </c>
      <c r="AM33">
        <v>0</v>
      </c>
      <c r="AN33">
        <v>0</v>
      </c>
      <c r="AO33">
        <v>0</v>
      </c>
      <c r="AP33">
        <v>0</v>
      </c>
      <c r="AQ33">
        <v>0</v>
      </c>
      <c r="AR33">
        <v>0</v>
      </c>
      <c r="AS33">
        <f t="shared" si="2"/>
        <v>0</v>
      </c>
      <c r="AT33">
        <v>441</v>
      </c>
      <c r="AU33">
        <v>448</v>
      </c>
      <c r="AV33">
        <v>487</v>
      </c>
      <c r="AW33">
        <v>450</v>
      </c>
      <c r="AX33">
        <v>326</v>
      </c>
      <c r="AY33">
        <v>464</v>
      </c>
      <c r="AZ33">
        <v>507</v>
      </c>
      <c r="BA33">
        <v>482</v>
      </c>
      <c r="BB33">
        <v>316</v>
      </c>
      <c r="BC33">
        <v>525</v>
      </c>
      <c r="BD33">
        <v>502</v>
      </c>
      <c r="BE33">
        <v>590</v>
      </c>
      <c r="BF33">
        <f t="shared" si="3"/>
        <v>5538</v>
      </c>
      <c r="BG33">
        <v>0</v>
      </c>
      <c r="BH33">
        <v>0</v>
      </c>
      <c r="BI33">
        <v>0</v>
      </c>
      <c r="BJ33">
        <v>0</v>
      </c>
      <c r="BK33">
        <v>0</v>
      </c>
      <c r="BL33">
        <v>0</v>
      </c>
      <c r="BM33">
        <v>0</v>
      </c>
      <c r="BN33">
        <v>0</v>
      </c>
      <c r="BO33">
        <v>0</v>
      </c>
      <c r="BP33">
        <v>0</v>
      </c>
      <c r="BQ33">
        <v>0</v>
      </c>
      <c r="BR33">
        <v>0</v>
      </c>
      <c r="BS33">
        <f t="shared" si="4"/>
        <v>0</v>
      </c>
      <c r="BT33">
        <v>0</v>
      </c>
      <c r="BU33">
        <v>0</v>
      </c>
      <c r="BV33">
        <v>0</v>
      </c>
      <c r="BW33">
        <v>0</v>
      </c>
      <c r="BX33">
        <v>0</v>
      </c>
      <c r="BY33">
        <v>0</v>
      </c>
      <c r="BZ33">
        <v>0</v>
      </c>
      <c r="CA33">
        <v>0</v>
      </c>
      <c r="CB33">
        <v>0</v>
      </c>
      <c r="CC33">
        <v>0</v>
      </c>
      <c r="CD33">
        <v>0</v>
      </c>
      <c r="CE33">
        <v>0</v>
      </c>
      <c r="CF33">
        <f t="shared" si="5"/>
        <v>0</v>
      </c>
      <c r="CG33">
        <v>0</v>
      </c>
      <c r="CH33">
        <v>0</v>
      </c>
      <c r="CI33">
        <v>0</v>
      </c>
      <c r="CJ33">
        <v>0</v>
      </c>
      <c r="CK33">
        <v>0</v>
      </c>
      <c r="CL33">
        <v>0</v>
      </c>
      <c r="CM33">
        <v>0</v>
      </c>
      <c r="CN33">
        <v>0</v>
      </c>
      <c r="CO33">
        <v>0</v>
      </c>
      <c r="CP33">
        <v>0</v>
      </c>
      <c r="CQ33">
        <v>0</v>
      </c>
      <c r="CR33">
        <v>0</v>
      </c>
      <c r="CS33">
        <f t="shared" si="6"/>
        <v>0</v>
      </c>
      <c r="CT33">
        <v>0</v>
      </c>
      <c r="CU33">
        <v>0</v>
      </c>
      <c r="CV33">
        <v>0</v>
      </c>
      <c r="CW33">
        <v>0</v>
      </c>
      <c r="CX33">
        <v>0</v>
      </c>
      <c r="CY33">
        <v>0</v>
      </c>
      <c r="CZ33">
        <v>0</v>
      </c>
      <c r="DA33">
        <v>0</v>
      </c>
      <c r="DB33">
        <v>0</v>
      </c>
      <c r="DC33">
        <v>0</v>
      </c>
      <c r="DD33">
        <v>0</v>
      </c>
      <c r="DE33">
        <v>0</v>
      </c>
      <c r="DF33">
        <f t="shared" si="7"/>
        <v>0</v>
      </c>
      <c r="DG33">
        <v>0</v>
      </c>
      <c r="DH33">
        <v>0</v>
      </c>
      <c r="DI33">
        <v>0</v>
      </c>
      <c r="DJ33">
        <v>0</v>
      </c>
      <c r="DK33">
        <v>0</v>
      </c>
      <c r="DL33">
        <v>0</v>
      </c>
      <c r="DM33">
        <v>0</v>
      </c>
      <c r="DN33">
        <v>0</v>
      </c>
      <c r="DO33">
        <v>0</v>
      </c>
      <c r="DP33">
        <v>0</v>
      </c>
      <c r="DQ33">
        <v>0</v>
      </c>
      <c r="DR33">
        <v>0</v>
      </c>
      <c r="DS33">
        <f t="shared" si="8"/>
        <v>0</v>
      </c>
      <c r="DT33">
        <v>0</v>
      </c>
      <c r="DU33">
        <v>0</v>
      </c>
      <c r="DV33">
        <v>0</v>
      </c>
      <c r="DW33">
        <v>0</v>
      </c>
      <c r="DX33">
        <v>0</v>
      </c>
      <c r="DY33">
        <v>0</v>
      </c>
      <c r="DZ33">
        <v>0</v>
      </c>
      <c r="EA33">
        <v>0</v>
      </c>
      <c r="EB33">
        <v>0</v>
      </c>
      <c r="EC33">
        <v>0</v>
      </c>
      <c r="ED33">
        <v>0</v>
      </c>
      <c r="EE33">
        <v>0</v>
      </c>
      <c r="EF33">
        <f t="shared" si="9"/>
        <v>0</v>
      </c>
      <c r="EG33">
        <f t="shared" si="10"/>
        <v>10886</v>
      </c>
      <c r="EH33">
        <f t="shared" si="11"/>
        <v>0</v>
      </c>
      <c r="EI33">
        <v>0</v>
      </c>
      <c r="EJ33">
        <v>0</v>
      </c>
      <c r="EK33">
        <v>0</v>
      </c>
      <c r="EL33">
        <v>0</v>
      </c>
      <c r="EM33">
        <v>0</v>
      </c>
      <c r="EN33">
        <v>0</v>
      </c>
      <c r="EO33">
        <v>0</v>
      </c>
      <c r="EP33">
        <v>0</v>
      </c>
      <c r="EQ33">
        <v>0</v>
      </c>
      <c r="ER33">
        <v>0</v>
      </c>
      <c r="ES33">
        <v>0</v>
      </c>
      <c r="ET33">
        <v>0</v>
      </c>
      <c r="EU33">
        <f t="shared" si="12"/>
        <v>0</v>
      </c>
      <c r="EV33">
        <v>4925</v>
      </c>
      <c r="EW33">
        <v>4189</v>
      </c>
      <c r="EX33">
        <v>3181</v>
      </c>
      <c r="EY33">
        <v>4739</v>
      </c>
      <c r="EZ33">
        <v>4882</v>
      </c>
      <c r="FA33">
        <v>2715</v>
      </c>
      <c r="FB33">
        <v>4259</v>
      </c>
      <c r="FC33">
        <v>3353</v>
      </c>
      <c r="FD33">
        <v>2480</v>
      </c>
      <c r="FE33">
        <v>2934</v>
      </c>
      <c r="FF33">
        <v>3717</v>
      </c>
      <c r="FG33">
        <v>4537</v>
      </c>
      <c r="FH33">
        <f t="shared" si="13"/>
        <v>45911</v>
      </c>
      <c r="FI33">
        <v>174</v>
      </c>
      <c r="FJ33">
        <v>131</v>
      </c>
      <c r="FK33">
        <v>104</v>
      </c>
      <c r="FL33">
        <v>98</v>
      </c>
      <c r="FM33">
        <v>62</v>
      </c>
      <c r="FN33">
        <v>303</v>
      </c>
      <c r="FO33">
        <v>104</v>
      </c>
      <c r="FP33">
        <v>224</v>
      </c>
      <c r="FQ33">
        <v>88</v>
      </c>
      <c r="FR33">
        <v>84</v>
      </c>
      <c r="FS33">
        <v>46</v>
      </c>
      <c r="FT33">
        <v>53</v>
      </c>
      <c r="FU33">
        <f t="shared" si="14"/>
        <v>1471</v>
      </c>
      <c r="FV33">
        <v>5871</v>
      </c>
      <c r="FW33">
        <v>6107</v>
      </c>
      <c r="FX33">
        <v>5520</v>
      </c>
      <c r="FY33">
        <v>6705</v>
      </c>
      <c r="FZ33">
        <v>5558</v>
      </c>
      <c r="GA33">
        <v>5505</v>
      </c>
      <c r="GB33">
        <v>7176</v>
      </c>
      <c r="GC33">
        <v>6692</v>
      </c>
      <c r="GD33">
        <v>4128</v>
      </c>
      <c r="GE33">
        <v>5602</v>
      </c>
      <c r="GF33">
        <v>6019</v>
      </c>
      <c r="GG33">
        <v>6723</v>
      </c>
      <c r="GH33">
        <f t="shared" si="15"/>
        <v>71606</v>
      </c>
      <c r="GI33">
        <v>0</v>
      </c>
      <c r="GJ33">
        <v>0</v>
      </c>
      <c r="GK33">
        <v>0</v>
      </c>
      <c r="GL33">
        <v>0</v>
      </c>
      <c r="GM33">
        <v>0</v>
      </c>
      <c r="GN33">
        <v>0</v>
      </c>
      <c r="GO33">
        <v>0</v>
      </c>
      <c r="GP33">
        <v>0</v>
      </c>
      <c r="GQ33">
        <v>0</v>
      </c>
      <c r="GR33">
        <v>0</v>
      </c>
      <c r="GS33">
        <v>0</v>
      </c>
      <c r="GT33">
        <v>0</v>
      </c>
      <c r="GU33">
        <f t="shared" si="16"/>
        <v>0</v>
      </c>
      <c r="GV33">
        <v>0</v>
      </c>
      <c r="GW33">
        <v>0</v>
      </c>
      <c r="GX33">
        <v>0</v>
      </c>
      <c r="GY33">
        <v>0</v>
      </c>
      <c r="GZ33">
        <v>0</v>
      </c>
      <c r="HA33">
        <v>0</v>
      </c>
      <c r="HB33">
        <v>0</v>
      </c>
      <c r="HC33">
        <v>0</v>
      </c>
      <c r="HD33">
        <v>0</v>
      </c>
      <c r="HE33">
        <v>0</v>
      </c>
      <c r="HF33">
        <v>0</v>
      </c>
      <c r="HG33">
        <v>0</v>
      </c>
      <c r="HH33">
        <f t="shared" si="17"/>
        <v>0</v>
      </c>
      <c r="HI33">
        <v>0</v>
      </c>
      <c r="HJ33">
        <v>0</v>
      </c>
      <c r="HK33">
        <v>0</v>
      </c>
      <c r="HL33">
        <v>0</v>
      </c>
      <c r="HM33">
        <v>0</v>
      </c>
      <c r="HN33">
        <v>0</v>
      </c>
      <c r="HO33">
        <v>0</v>
      </c>
      <c r="HP33">
        <v>0</v>
      </c>
      <c r="HQ33">
        <v>0</v>
      </c>
      <c r="HR33">
        <v>0</v>
      </c>
      <c r="HS33">
        <v>0</v>
      </c>
      <c r="HT33">
        <v>0</v>
      </c>
      <c r="HU33">
        <f t="shared" si="18"/>
        <v>0</v>
      </c>
      <c r="HV33">
        <v>0</v>
      </c>
      <c r="HW33">
        <v>0</v>
      </c>
      <c r="HX33">
        <v>0</v>
      </c>
      <c r="HY33">
        <v>0</v>
      </c>
      <c r="HZ33">
        <v>0</v>
      </c>
      <c r="IA33">
        <v>0</v>
      </c>
      <c r="IB33">
        <v>0</v>
      </c>
      <c r="IC33">
        <v>0</v>
      </c>
      <c r="ID33">
        <v>0</v>
      </c>
      <c r="IE33">
        <v>0</v>
      </c>
      <c r="IF33">
        <v>0</v>
      </c>
      <c r="IG33">
        <v>0</v>
      </c>
      <c r="IH33">
        <f t="shared" si="19"/>
        <v>0</v>
      </c>
      <c r="II33">
        <f t="shared" si="20"/>
        <v>118988</v>
      </c>
      <c r="IJ33">
        <f t="shared" si="21"/>
        <v>0</v>
      </c>
      <c r="IK33">
        <v>60545</v>
      </c>
      <c r="IL33">
        <v>63133</v>
      </c>
      <c r="IM33">
        <v>56293</v>
      </c>
      <c r="IN33">
        <v>70091</v>
      </c>
      <c r="IO33">
        <v>68751</v>
      </c>
      <c r="IP33">
        <v>62063</v>
      </c>
      <c r="IQ33">
        <v>63051</v>
      </c>
      <c r="IR33">
        <v>55930</v>
      </c>
      <c r="IS33">
        <v>46767</v>
      </c>
      <c r="IT33">
        <v>60915</v>
      </c>
      <c r="IU33">
        <v>54370</v>
      </c>
      <c r="IV33">
        <v>56715</v>
      </c>
      <c r="IW33">
        <f t="shared" si="22"/>
        <v>718624</v>
      </c>
      <c r="IX33">
        <v>0</v>
      </c>
      <c r="IY33">
        <v>0</v>
      </c>
      <c r="IZ33">
        <v>0</v>
      </c>
      <c r="JA33">
        <v>0</v>
      </c>
      <c r="JB33">
        <v>0</v>
      </c>
      <c r="JC33">
        <v>0</v>
      </c>
      <c r="JD33">
        <v>0</v>
      </c>
      <c r="JE33">
        <v>0</v>
      </c>
      <c r="JF33">
        <v>0</v>
      </c>
      <c r="JG33">
        <v>0</v>
      </c>
      <c r="JH33">
        <v>0</v>
      </c>
      <c r="JI33">
        <v>0</v>
      </c>
      <c r="JJ33">
        <f t="shared" si="23"/>
        <v>0</v>
      </c>
      <c r="JK33">
        <v>0</v>
      </c>
      <c r="JL33">
        <v>0</v>
      </c>
      <c r="JM33">
        <v>0</v>
      </c>
      <c r="JN33">
        <v>0</v>
      </c>
      <c r="JO33">
        <v>0</v>
      </c>
      <c r="JP33">
        <v>0</v>
      </c>
      <c r="JQ33">
        <v>0</v>
      </c>
      <c r="JR33">
        <v>0</v>
      </c>
      <c r="JS33">
        <v>0</v>
      </c>
      <c r="JT33">
        <v>0</v>
      </c>
      <c r="JU33">
        <v>0</v>
      </c>
      <c r="JV33">
        <v>0</v>
      </c>
      <c r="JW33">
        <f t="shared" si="24"/>
        <v>0</v>
      </c>
      <c r="JX33">
        <v>0</v>
      </c>
      <c r="JY33">
        <v>0</v>
      </c>
      <c r="JZ33">
        <v>0</v>
      </c>
      <c r="KA33">
        <v>0</v>
      </c>
      <c r="KB33">
        <v>0</v>
      </c>
      <c r="KC33">
        <v>0</v>
      </c>
      <c r="KD33">
        <v>0</v>
      </c>
      <c r="KE33">
        <v>0</v>
      </c>
      <c r="KF33">
        <v>0</v>
      </c>
      <c r="KG33">
        <v>0</v>
      </c>
      <c r="KH33">
        <v>0</v>
      </c>
      <c r="KI33">
        <v>0</v>
      </c>
      <c r="KJ33">
        <f t="shared" si="25"/>
        <v>0</v>
      </c>
      <c r="KK33">
        <v>1470</v>
      </c>
      <c r="KL33">
        <v>1934</v>
      </c>
      <c r="KM33">
        <v>1620</v>
      </c>
      <c r="KN33">
        <v>1607</v>
      </c>
      <c r="KO33">
        <v>1520</v>
      </c>
      <c r="KP33">
        <v>1547</v>
      </c>
      <c r="KQ33">
        <v>1633</v>
      </c>
      <c r="KR33">
        <v>1452</v>
      </c>
      <c r="KS33">
        <v>1254</v>
      </c>
      <c r="KT33">
        <v>1501</v>
      </c>
      <c r="KU33">
        <v>1259</v>
      </c>
      <c r="KV33">
        <v>1426</v>
      </c>
      <c r="KW33">
        <f t="shared" si="26"/>
        <v>18223</v>
      </c>
      <c r="KX33">
        <v>0</v>
      </c>
      <c r="KY33">
        <v>0</v>
      </c>
      <c r="KZ33">
        <v>0</v>
      </c>
      <c r="LA33">
        <v>0</v>
      </c>
      <c r="LB33">
        <v>0</v>
      </c>
      <c r="LC33">
        <v>0</v>
      </c>
      <c r="LD33">
        <v>0</v>
      </c>
      <c r="LE33">
        <v>0</v>
      </c>
      <c r="LF33">
        <v>0</v>
      </c>
      <c r="LG33">
        <v>0</v>
      </c>
      <c r="LH33">
        <v>0</v>
      </c>
      <c r="LI33">
        <v>0</v>
      </c>
      <c r="LJ33">
        <f t="shared" si="27"/>
        <v>0</v>
      </c>
      <c r="LK33">
        <v>0</v>
      </c>
      <c r="LL33">
        <v>0</v>
      </c>
      <c r="LM33">
        <v>0</v>
      </c>
      <c r="LN33">
        <v>0</v>
      </c>
      <c r="LO33">
        <v>0</v>
      </c>
      <c r="LP33">
        <v>0</v>
      </c>
      <c r="LQ33">
        <v>0</v>
      </c>
      <c r="LR33">
        <v>0</v>
      </c>
      <c r="LS33">
        <v>0</v>
      </c>
      <c r="LT33">
        <v>0</v>
      </c>
      <c r="LU33">
        <v>0</v>
      </c>
      <c r="LV33">
        <v>0</v>
      </c>
      <c r="LW33">
        <f t="shared" si="28"/>
        <v>0</v>
      </c>
      <c r="LX33">
        <v>0</v>
      </c>
      <c r="LY33">
        <v>0</v>
      </c>
      <c r="LZ33">
        <v>0</v>
      </c>
      <c r="MA33">
        <v>0</v>
      </c>
      <c r="MB33">
        <v>0</v>
      </c>
      <c r="MC33">
        <v>0</v>
      </c>
      <c r="MD33">
        <v>0</v>
      </c>
      <c r="ME33">
        <v>0</v>
      </c>
      <c r="MF33">
        <v>0</v>
      </c>
      <c r="MG33">
        <v>0</v>
      </c>
      <c r="MH33">
        <v>0</v>
      </c>
      <c r="MI33">
        <v>0</v>
      </c>
      <c r="MJ33">
        <f t="shared" si="29"/>
        <v>0</v>
      </c>
      <c r="MK33">
        <v>2805</v>
      </c>
      <c r="ML33">
        <v>2881</v>
      </c>
      <c r="MM33">
        <v>2461</v>
      </c>
      <c r="MN33">
        <v>2664</v>
      </c>
      <c r="MO33">
        <v>2825</v>
      </c>
      <c r="MP33">
        <v>2470</v>
      </c>
      <c r="MQ33">
        <v>2978</v>
      </c>
      <c r="MR33">
        <v>2712</v>
      </c>
      <c r="MS33">
        <v>2788</v>
      </c>
      <c r="MT33">
        <v>3161</v>
      </c>
      <c r="MU33">
        <v>2741</v>
      </c>
      <c r="MV33">
        <v>2721</v>
      </c>
      <c r="MW33">
        <f t="shared" si="30"/>
        <v>33207</v>
      </c>
      <c r="MX33">
        <v>0</v>
      </c>
      <c r="MY33">
        <v>0</v>
      </c>
      <c r="MZ33">
        <v>0</v>
      </c>
      <c r="NA33">
        <v>0</v>
      </c>
      <c r="NB33">
        <v>0</v>
      </c>
      <c r="NC33">
        <v>0</v>
      </c>
      <c r="ND33">
        <v>0</v>
      </c>
      <c r="NE33">
        <v>0</v>
      </c>
      <c r="NF33">
        <v>0</v>
      </c>
      <c r="NG33">
        <v>0</v>
      </c>
      <c r="NH33">
        <v>0</v>
      </c>
      <c r="NI33">
        <v>0</v>
      </c>
      <c r="NJ33">
        <f t="shared" si="31"/>
        <v>0</v>
      </c>
      <c r="NK33">
        <v>0</v>
      </c>
      <c r="NL33">
        <v>0</v>
      </c>
      <c r="NM33">
        <v>0</v>
      </c>
      <c r="NN33">
        <v>0</v>
      </c>
      <c r="NO33">
        <v>0</v>
      </c>
      <c r="NP33">
        <v>0</v>
      </c>
      <c r="NQ33">
        <v>0</v>
      </c>
      <c r="NR33">
        <v>0</v>
      </c>
      <c r="NS33">
        <v>0</v>
      </c>
      <c r="NT33">
        <v>0</v>
      </c>
      <c r="NU33">
        <v>0</v>
      </c>
      <c r="NV33">
        <v>0</v>
      </c>
      <c r="NW33">
        <f t="shared" si="32"/>
        <v>0</v>
      </c>
      <c r="NX33">
        <v>0</v>
      </c>
      <c r="NY33">
        <v>0</v>
      </c>
      <c r="NZ33">
        <v>0</v>
      </c>
      <c r="OA33">
        <v>0</v>
      </c>
      <c r="OB33">
        <v>0</v>
      </c>
      <c r="OC33">
        <v>0</v>
      </c>
      <c r="OD33">
        <v>0</v>
      </c>
      <c r="OE33">
        <v>0</v>
      </c>
      <c r="OF33">
        <v>0</v>
      </c>
      <c r="OG33">
        <v>0</v>
      </c>
      <c r="OH33">
        <v>0</v>
      </c>
      <c r="OI33">
        <v>0</v>
      </c>
      <c r="OJ33">
        <f t="shared" si="33"/>
        <v>0</v>
      </c>
      <c r="OK33">
        <v>4216</v>
      </c>
      <c r="OL33">
        <v>4365</v>
      </c>
      <c r="OM33">
        <v>3897</v>
      </c>
      <c r="ON33">
        <v>4321</v>
      </c>
      <c r="OO33">
        <v>4461</v>
      </c>
      <c r="OP33">
        <v>3067</v>
      </c>
      <c r="OQ33">
        <v>4541</v>
      </c>
      <c r="OR33">
        <v>4453</v>
      </c>
      <c r="OS33">
        <v>4249</v>
      </c>
      <c r="OT33">
        <v>4753</v>
      </c>
      <c r="OU33">
        <v>4537</v>
      </c>
      <c r="OV33">
        <v>4601</v>
      </c>
      <c r="OW33">
        <f t="shared" si="34"/>
        <v>51461</v>
      </c>
      <c r="OX33">
        <v>0</v>
      </c>
      <c r="OY33">
        <v>0</v>
      </c>
      <c r="OZ33">
        <v>0</v>
      </c>
      <c r="PA33">
        <v>0</v>
      </c>
      <c r="PB33">
        <v>0</v>
      </c>
      <c r="PC33">
        <v>0</v>
      </c>
      <c r="PD33">
        <v>0</v>
      </c>
      <c r="PE33">
        <v>0</v>
      </c>
      <c r="PF33">
        <v>0</v>
      </c>
      <c r="PG33">
        <v>0</v>
      </c>
      <c r="PH33">
        <v>0</v>
      </c>
      <c r="PI33">
        <v>0</v>
      </c>
      <c r="PJ33">
        <f t="shared" si="35"/>
        <v>0</v>
      </c>
      <c r="PK33">
        <v>0</v>
      </c>
      <c r="PL33">
        <v>0</v>
      </c>
      <c r="PM33">
        <v>0</v>
      </c>
      <c r="PN33">
        <v>0</v>
      </c>
      <c r="PO33">
        <v>0</v>
      </c>
      <c r="PP33">
        <v>0</v>
      </c>
      <c r="PQ33">
        <v>0</v>
      </c>
      <c r="PR33">
        <v>0</v>
      </c>
      <c r="PS33">
        <v>0</v>
      </c>
      <c r="PT33">
        <v>0</v>
      </c>
      <c r="PU33">
        <v>0</v>
      </c>
      <c r="PV33">
        <v>0</v>
      </c>
      <c r="PW33">
        <f t="shared" si="36"/>
        <v>0</v>
      </c>
      <c r="PX33">
        <v>0</v>
      </c>
      <c r="PY33">
        <v>0</v>
      </c>
      <c r="PZ33">
        <v>0</v>
      </c>
      <c r="QA33">
        <v>0</v>
      </c>
      <c r="QB33">
        <v>0</v>
      </c>
      <c r="QC33">
        <v>0</v>
      </c>
      <c r="QD33">
        <v>0</v>
      </c>
      <c r="QE33">
        <v>0</v>
      </c>
      <c r="QF33">
        <v>0</v>
      </c>
      <c r="QG33">
        <v>0</v>
      </c>
      <c r="QH33">
        <v>0</v>
      </c>
      <c r="QI33">
        <v>0</v>
      </c>
      <c r="QJ33">
        <f t="shared" si="37"/>
        <v>0</v>
      </c>
      <c r="QK33">
        <v>60606</v>
      </c>
      <c r="QL33">
        <v>59148</v>
      </c>
      <c r="QM33">
        <v>57433</v>
      </c>
      <c r="QN33">
        <v>65483</v>
      </c>
      <c r="QO33">
        <v>59701</v>
      </c>
      <c r="QP33">
        <v>62973</v>
      </c>
      <c r="QQ33">
        <v>68696</v>
      </c>
      <c r="QR33">
        <v>62157</v>
      </c>
      <c r="QS33">
        <v>45251</v>
      </c>
      <c r="QT33">
        <v>60564</v>
      </c>
      <c r="QU33">
        <v>61620</v>
      </c>
      <c r="QV33">
        <v>63319</v>
      </c>
      <c r="QW33">
        <f t="shared" si="38"/>
        <v>726951</v>
      </c>
      <c r="QX33">
        <v>0</v>
      </c>
      <c r="QY33">
        <v>0</v>
      </c>
      <c r="QZ33">
        <v>0</v>
      </c>
      <c r="RA33">
        <v>0</v>
      </c>
      <c r="RB33">
        <v>0</v>
      </c>
      <c r="RC33">
        <v>0</v>
      </c>
      <c r="RD33">
        <v>0</v>
      </c>
      <c r="RE33">
        <v>0</v>
      </c>
      <c r="RF33">
        <v>0</v>
      </c>
      <c r="RG33">
        <v>0</v>
      </c>
      <c r="RH33">
        <v>0</v>
      </c>
      <c r="RI33">
        <v>0</v>
      </c>
      <c r="RJ33">
        <f t="shared" si="39"/>
        <v>0</v>
      </c>
      <c r="RK33">
        <v>0</v>
      </c>
      <c r="RL33">
        <v>0</v>
      </c>
      <c r="RM33">
        <v>0</v>
      </c>
      <c r="RN33">
        <v>0</v>
      </c>
      <c r="RO33">
        <v>0</v>
      </c>
      <c r="RP33">
        <v>0</v>
      </c>
      <c r="RQ33">
        <v>0</v>
      </c>
      <c r="RR33">
        <v>0</v>
      </c>
      <c r="RS33">
        <v>0</v>
      </c>
      <c r="RT33">
        <v>0</v>
      </c>
      <c r="RU33">
        <v>0</v>
      </c>
      <c r="RV33">
        <v>0</v>
      </c>
      <c r="RW33">
        <f t="shared" si="40"/>
        <v>0</v>
      </c>
      <c r="RX33">
        <v>0</v>
      </c>
      <c r="RY33">
        <v>0</v>
      </c>
      <c r="RZ33">
        <v>0</v>
      </c>
      <c r="SA33">
        <v>0</v>
      </c>
      <c r="SB33">
        <v>0</v>
      </c>
      <c r="SC33">
        <v>0</v>
      </c>
      <c r="SD33">
        <v>0</v>
      </c>
      <c r="SE33">
        <v>0</v>
      </c>
      <c r="SF33">
        <v>0</v>
      </c>
      <c r="SG33">
        <v>0</v>
      </c>
      <c r="SH33">
        <v>0</v>
      </c>
      <c r="SI33">
        <v>0</v>
      </c>
      <c r="SJ33">
        <f t="shared" si="41"/>
        <v>0</v>
      </c>
      <c r="SK33">
        <v>0</v>
      </c>
      <c r="SL33">
        <v>0</v>
      </c>
      <c r="SM33">
        <v>0</v>
      </c>
      <c r="SN33">
        <v>0</v>
      </c>
      <c r="SO33">
        <v>0</v>
      </c>
      <c r="SP33">
        <v>0</v>
      </c>
      <c r="SQ33">
        <v>0</v>
      </c>
      <c r="SR33">
        <v>0</v>
      </c>
      <c r="SS33">
        <v>0</v>
      </c>
      <c r="ST33">
        <v>0</v>
      </c>
      <c r="SU33">
        <v>0</v>
      </c>
      <c r="SV33">
        <v>0</v>
      </c>
      <c r="SW33">
        <f t="shared" si="42"/>
        <v>0</v>
      </c>
      <c r="SX33" t="s">
        <v>1534</v>
      </c>
      <c r="SY33">
        <v>6663</v>
      </c>
      <c r="SZ33">
        <v>6821</v>
      </c>
      <c r="TA33">
        <v>6935</v>
      </c>
      <c r="TB33">
        <v>7614</v>
      </c>
      <c r="TC33">
        <v>6936</v>
      </c>
      <c r="TD33">
        <v>8750</v>
      </c>
      <c r="TE33">
        <v>7558</v>
      </c>
      <c r="TF33">
        <v>6594</v>
      </c>
      <c r="TG33">
        <v>4953</v>
      </c>
      <c r="TH33">
        <v>6286</v>
      </c>
      <c r="TI33">
        <v>6097</v>
      </c>
      <c r="TJ33">
        <v>6821</v>
      </c>
      <c r="TK33">
        <f t="shared" si="43"/>
        <v>82028</v>
      </c>
      <c r="TL33">
        <v>0</v>
      </c>
      <c r="TM33">
        <v>0</v>
      </c>
      <c r="TN33">
        <v>0</v>
      </c>
      <c r="TO33">
        <v>0</v>
      </c>
      <c r="TP33">
        <v>0</v>
      </c>
      <c r="TQ33">
        <v>0</v>
      </c>
      <c r="TR33">
        <v>0</v>
      </c>
      <c r="TS33">
        <v>0</v>
      </c>
      <c r="TT33">
        <v>0</v>
      </c>
      <c r="TU33">
        <v>0</v>
      </c>
      <c r="TV33">
        <v>0</v>
      </c>
      <c r="TW33">
        <v>0</v>
      </c>
      <c r="TX33">
        <f t="shared" si="44"/>
        <v>0</v>
      </c>
      <c r="TY33">
        <v>168</v>
      </c>
      <c r="TZ33">
        <v>0</v>
      </c>
      <c r="UA33">
        <v>0</v>
      </c>
      <c r="UB33">
        <v>0</v>
      </c>
    </row>
    <row r="34" spans="1:548" ht="16.5" customHeight="1" x14ac:dyDescent="0.35">
      <c r="A34" t="s">
        <v>1475</v>
      </c>
      <c r="B34" t="s">
        <v>2862</v>
      </c>
      <c r="C34" s="2">
        <v>50249</v>
      </c>
      <c r="D34" s="2">
        <v>15225</v>
      </c>
      <c r="E34" s="2">
        <v>2609</v>
      </c>
      <c r="F34" s="2">
        <v>32415</v>
      </c>
      <c r="G34">
        <v>619</v>
      </c>
      <c r="H34">
        <v>553</v>
      </c>
      <c r="I34">
        <v>562</v>
      </c>
      <c r="J34">
        <v>608</v>
      </c>
      <c r="K34">
        <v>541</v>
      </c>
      <c r="L34">
        <v>533</v>
      </c>
      <c r="M34">
        <v>559</v>
      </c>
      <c r="N34">
        <v>542</v>
      </c>
      <c r="O34">
        <v>392</v>
      </c>
      <c r="P34">
        <v>492</v>
      </c>
      <c r="Q34">
        <v>578</v>
      </c>
      <c r="R34">
        <v>634</v>
      </c>
      <c r="S34">
        <f t="shared" si="0"/>
        <v>6613</v>
      </c>
      <c r="T34">
        <v>164</v>
      </c>
      <c r="U34">
        <v>162</v>
      </c>
      <c r="V34">
        <v>165</v>
      </c>
      <c r="W34">
        <v>269</v>
      </c>
      <c r="X34">
        <v>206</v>
      </c>
      <c r="Y34">
        <v>145</v>
      </c>
      <c r="Z34">
        <v>167</v>
      </c>
      <c r="AA34">
        <v>162</v>
      </c>
      <c r="AB34">
        <v>157</v>
      </c>
      <c r="AC34">
        <v>119</v>
      </c>
      <c r="AD34">
        <v>202</v>
      </c>
      <c r="AE34">
        <v>225</v>
      </c>
      <c r="AF34">
        <f t="shared" si="1"/>
        <v>2143</v>
      </c>
      <c r="AG34">
        <v>1</v>
      </c>
      <c r="AH34">
        <v>0</v>
      </c>
      <c r="AI34">
        <v>9</v>
      </c>
      <c r="AJ34">
        <v>1</v>
      </c>
      <c r="AK34">
        <v>1</v>
      </c>
      <c r="AL34">
        <v>0</v>
      </c>
      <c r="AM34">
        <v>0</v>
      </c>
      <c r="AN34">
        <v>0</v>
      </c>
      <c r="AO34">
        <v>0</v>
      </c>
      <c r="AP34">
        <v>0</v>
      </c>
      <c r="AQ34">
        <v>2</v>
      </c>
      <c r="AR34">
        <v>2</v>
      </c>
      <c r="AS34">
        <f t="shared" si="2"/>
        <v>16</v>
      </c>
      <c r="AT34">
        <v>412</v>
      </c>
      <c r="AU34">
        <v>351</v>
      </c>
      <c r="AV34">
        <v>351</v>
      </c>
      <c r="AW34">
        <v>302</v>
      </c>
      <c r="AX34">
        <v>291</v>
      </c>
      <c r="AY34">
        <v>347</v>
      </c>
      <c r="AZ34">
        <v>352</v>
      </c>
      <c r="BA34">
        <v>339</v>
      </c>
      <c r="BB34">
        <v>203</v>
      </c>
      <c r="BC34">
        <v>318</v>
      </c>
      <c r="BD34">
        <v>317</v>
      </c>
      <c r="BE34">
        <v>346</v>
      </c>
      <c r="BF34">
        <f t="shared" si="3"/>
        <v>3929</v>
      </c>
      <c r="BG34">
        <v>42</v>
      </c>
      <c r="BH34">
        <v>40</v>
      </c>
      <c r="BI34">
        <v>37</v>
      </c>
      <c r="BJ34">
        <v>36</v>
      </c>
      <c r="BK34">
        <v>43</v>
      </c>
      <c r="BL34">
        <v>41</v>
      </c>
      <c r="BM34">
        <v>40</v>
      </c>
      <c r="BN34">
        <v>41</v>
      </c>
      <c r="BO34">
        <v>32</v>
      </c>
      <c r="BP34">
        <v>55</v>
      </c>
      <c r="BQ34">
        <v>57</v>
      </c>
      <c r="BR34">
        <v>61</v>
      </c>
      <c r="BS34">
        <f t="shared" si="4"/>
        <v>525</v>
      </c>
      <c r="BT34">
        <v>0</v>
      </c>
      <c r="BU34">
        <v>3</v>
      </c>
      <c r="BV34">
        <v>6</v>
      </c>
      <c r="BW34">
        <v>0</v>
      </c>
      <c r="BX34">
        <v>0</v>
      </c>
      <c r="BY34">
        <v>0</v>
      </c>
      <c r="BZ34">
        <v>0</v>
      </c>
      <c r="CA34">
        <v>6</v>
      </c>
      <c r="CB34">
        <v>0</v>
      </c>
      <c r="CC34">
        <v>7</v>
      </c>
      <c r="CD34">
        <v>6</v>
      </c>
      <c r="CE34">
        <v>2</v>
      </c>
      <c r="CF34">
        <f t="shared" si="5"/>
        <v>30</v>
      </c>
      <c r="CG34">
        <v>0</v>
      </c>
      <c r="CH34">
        <v>0</v>
      </c>
      <c r="CI34">
        <v>0</v>
      </c>
      <c r="CJ34">
        <v>0</v>
      </c>
      <c r="CK34">
        <v>0</v>
      </c>
      <c r="CL34">
        <v>0</v>
      </c>
      <c r="CM34">
        <v>0</v>
      </c>
      <c r="CN34">
        <v>0</v>
      </c>
      <c r="CO34">
        <v>0</v>
      </c>
      <c r="CP34">
        <v>0</v>
      </c>
      <c r="CQ34">
        <v>0</v>
      </c>
      <c r="CR34">
        <v>0</v>
      </c>
      <c r="CS34">
        <f t="shared" si="6"/>
        <v>0</v>
      </c>
      <c r="CT34">
        <v>0</v>
      </c>
      <c r="CU34">
        <v>0</v>
      </c>
      <c r="CV34">
        <v>0</v>
      </c>
      <c r="CW34">
        <v>0</v>
      </c>
      <c r="CX34">
        <v>0</v>
      </c>
      <c r="CY34">
        <v>0</v>
      </c>
      <c r="CZ34">
        <v>0</v>
      </c>
      <c r="DA34">
        <v>0</v>
      </c>
      <c r="DB34">
        <v>0</v>
      </c>
      <c r="DC34">
        <v>0</v>
      </c>
      <c r="DD34">
        <v>0</v>
      </c>
      <c r="DE34">
        <v>0</v>
      </c>
      <c r="DF34">
        <f t="shared" si="7"/>
        <v>0</v>
      </c>
      <c r="DG34">
        <v>0</v>
      </c>
      <c r="DH34">
        <v>3</v>
      </c>
      <c r="DI34">
        <v>6</v>
      </c>
      <c r="DJ34">
        <v>0</v>
      </c>
      <c r="DK34">
        <v>0</v>
      </c>
      <c r="DL34">
        <v>0</v>
      </c>
      <c r="DM34">
        <v>0</v>
      </c>
      <c r="DN34">
        <v>6</v>
      </c>
      <c r="DO34">
        <v>0</v>
      </c>
      <c r="DP34">
        <v>6</v>
      </c>
      <c r="DQ34">
        <v>6</v>
      </c>
      <c r="DR34">
        <v>0</v>
      </c>
      <c r="DS34">
        <f t="shared" si="8"/>
        <v>27</v>
      </c>
      <c r="DT34">
        <v>0</v>
      </c>
      <c r="DU34">
        <v>0</v>
      </c>
      <c r="DV34">
        <v>0</v>
      </c>
      <c r="DW34">
        <v>0</v>
      </c>
      <c r="DX34">
        <v>0</v>
      </c>
      <c r="DY34">
        <v>0</v>
      </c>
      <c r="DZ34">
        <v>0</v>
      </c>
      <c r="EA34">
        <v>0</v>
      </c>
      <c r="EB34">
        <v>0</v>
      </c>
      <c r="EC34">
        <v>1</v>
      </c>
      <c r="ED34">
        <v>0</v>
      </c>
      <c r="EE34">
        <v>2</v>
      </c>
      <c r="EF34">
        <f t="shared" si="9"/>
        <v>3</v>
      </c>
      <c r="EG34">
        <f t="shared" si="10"/>
        <v>6613</v>
      </c>
      <c r="EH34">
        <f t="shared" si="11"/>
        <v>30</v>
      </c>
      <c r="EI34" s="2">
        <v>6088</v>
      </c>
      <c r="EJ34" s="2">
        <v>5277</v>
      </c>
      <c r="EK34" s="2">
        <v>15458</v>
      </c>
      <c r="EL34" s="2">
        <v>24299</v>
      </c>
      <c r="EM34" s="2">
        <v>5296</v>
      </c>
      <c r="EN34" s="2">
        <v>5864</v>
      </c>
      <c r="EO34" s="2">
        <v>5597</v>
      </c>
      <c r="EP34" s="2">
        <v>6426</v>
      </c>
      <c r="EQ34" s="2">
        <v>4281</v>
      </c>
      <c r="ER34" s="2">
        <v>3926</v>
      </c>
      <c r="ES34" s="2">
        <v>7150</v>
      </c>
      <c r="ET34" s="2">
        <v>8411</v>
      </c>
      <c r="EU34" s="2">
        <f t="shared" si="12"/>
        <v>98073</v>
      </c>
      <c r="EV34" s="2">
        <v>0</v>
      </c>
      <c r="EW34" s="2">
        <v>0</v>
      </c>
      <c r="EX34" s="2">
        <v>0</v>
      </c>
      <c r="EY34" s="2">
        <v>0</v>
      </c>
      <c r="EZ34" s="2">
        <v>0</v>
      </c>
      <c r="FA34" s="2">
        <v>0</v>
      </c>
      <c r="FB34" s="2">
        <v>0</v>
      </c>
      <c r="FC34" s="2">
        <v>0</v>
      </c>
      <c r="FD34" s="2">
        <v>0</v>
      </c>
      <c r="FE34" s="2">
        <v>0</v>
      </c>
      <c r="FF34" s="2">
        <v>0</v>
      </c>
      <c r="FG34" s="2">
        <v>0</v>
      </c>
      <c r="FH34" s="2">
        <f t="shared" si="13"/>
        <v>0</v>
      </c>
      <c r="FI34" s="2">
        <v>0</v>
      </c>
      <c r="FJ34" s="2">
        <v>0</v>
      </c>
      <c r="FK34" s="2">
        <v>0</v>
      </c>
      <c r="FL34" s="2">
        <v>0</v>
      </c>
      <c r="FM34" s="2">
        <v>0</v>
      </c>
      <c r="FN34" s="2">
        <v>0</v>
      </c>
      <c r="FO34" s="2">
        <v>0</v>
      </c>
      <c r="FP34" s="2">
        <v>0</v>
      </c>
      <c r="FQ34" s="2">
        <v>0</v>
      </c>
      <c r="FR34" s="2">
        <v>0</v>
      </c>
      <c r="FS34" s="2">
        <v>0</v>
      </c>
      <c r="FT34" s="2">
        <v>0</v>
      </c>
      <c r="FU34" s="2">
        <f t="shared" si="14"/>
        <v>0</v>
      </c>
      <c r="FV34" s="2">
        <v>0</v>
      </c>
      <c r="FW34" s="2">
        <v>0</v>
      </c>
      <c r="FX34" s="2">
        <v>0</v>
      </c>
      <c r="FY34" s="2">
        <v>0</v>
      </c>
      <c r="FZ34" s="2">
        <v>0</v>
      </c>
      <c r="GA34" s="2">
        <v>0</v>
      </c>
      <c r="GB34" s="2">
        <v>0</v>
      </c>
      <c r="GC34" s="2">
        <v>0</v>
      </c>
      <c r="GD34" s="2">
        <v>0</v>
      </c>
      <c r="GE34" s="2">
        <v>0</v>
      </c>
      <c r="GF34" s="2">
        <v>0</v>
      </c>
      <c r="GG34" s="2">
        <v>0</v>
      </c>
      <c r="GH34" s="2">
        <f t="shared" si="15"/>
        <v>0</v>
      </c>
      <c r="GI34">
        <v>0</v>
      </c>
      <c r="GJ34">
        <v>11</v>
      </c>
      <c r="GK34">
        <v>62</v>
      </c>
      <c r="GL34">
        <v>0</v>
      </c>
      <c r="GM34">
        <v>0</v>
      </c>
      <c r="GN34">
        <v>0</v>
      </c>
      <c r="GO34">
        <v>0</v>
      </c>
      <c r="GP34">
        <v>57</v>
      </c>
      <c r="GQ34">
        <v>0</v>
      </c>
      <c r="GR34">
        <v>89</v>
      </c>
      <c r="GS34">
        <v>66</v>
      </c>
      <c r="GT34">
        <v>55</v>
      </c>
      <c r="GU34">
        <f t="shared" si="16"/>
        <v>340</v>
      </c>
      <c r="GV34">
        <v>0</v>
      </c>
      <c r="GW34">
        <v>0</v>
      </c>
      <c r="GX34">
        <v>0</v>
      </c>
      <c r="GY34">
        <v>0</v>
      </c>
      <c r="GZ34">
        <v>0</v>
      </c>
      <c r="HA34">
        <v>0</v>
      </c>
      <c r="HB34">
        <v>0</v>
      </c>
      <c r="HC34">
        <v>0</v>
      </c>
      <c r="HD34">
        <v>0</v>
      </c>
      <c r="HE34">
        <v>0</v>
      </c>
      <c r="HF34">
        <v>0</v>
      </c>
      <c r="HG34">
        <v>0</v>
      </c>
      <c r="HH34">
        <f t="shared" si="17"/>
        <v>0</v>
      </c>
      <c r="HI34">
        <v>0</v>
      </c>
      <c r="HJ34">
        <v>0</v>
      </c>
      <c r="HK34">
        <v>0</v>
      </c>
      <c r="HL34">
        <v>0</v>
      </c>
      <c r="HM34">
        <v>0</v>
      </c>
      <c r="HN34">
        <v>0</v>
      </c>
      <c r="HO34">
        <v>0</v>
      </c>
      <c r="HP34">
        <v>0</v>
      </c>
      <c r="HQ34">
        <v>0</v>
      </c>
      <c r="HR34">
        <v>0</v>
      </c>
      <c r="HS34">
        <v>0</v>
      </c>
      <c r="HT34">
        <v>0</v>
      </c>
      <c r="HU34">
        <f t="shared" si="18"/>
        <v>0</v>
      </c>
      <c r="HV34">
        <v>0</v>
      </c>
      <c r="HW34">
        <v>0</v>
      </c>
      <c r="HX34">
        <v>0</v>
      </c>
      <c r="HY34">
        <v>0</v>
      </c>
      <c r="HZ34">
        <v>0</v>
      </c>
      <c r="IA34">
        <v>0</v>
      </c>
      <c r="IB34">
        <v>0</v>
      </c>
      <c r="IC34">
        <v>0</v>
      </c>
      <c r="ID34">
        <v>0</v>
      </c>
      <c r="IE34">
        <v>0</v>
      </c>
      <c r="IF34">
        <v>0</v>
      </c>
      <c r="IG34">
        <v>0</v>
      </c>
      <c r="IH34">
        <f t="shared" si="19"/>
        <v>0</v>
      </c>
      <c r="II34">
        <f t="shared" si="20"/>
        <v>0</v>
      </c>
      <c r="IJ34">
        <f t="shared" si="21"/>
        <v>0</v>
      </c>
      <c r="IK34" s="2">
        <v>82409</v>
      </c>
      <c r="IL34" s="2">
        <v>87202</v>
      </c>
      <c r="IM34" s="2">
        <v>80887</v>
      </c>
      <c r="IN34" s="2">
        <v>111204</v>
      </c>
      <c r="IO34" s="2">
        <v>115084</v>
      </c>
      <c r="IP34" s="2">
        <v>94730</v>
      </c>
      <c r="IQ34" s="2">
        <v>93399</v>
      </c>
      <c r="IR34" s="2">
        <v>84280</v>
      </c>
      <c r="IS34" s="2">
        <v>70988</v>
      </c>
      <c r="IT34" s="2">
        <v>81562</v>
      </c>
      <c r="IU34" s="2">
        <v>74060</v>
      </c>
      <c r="IV34" s="2">
        <v>80362</v>
      </c>
      <c r="IW34" s="2">
        <f t="shared" si="22"/>
        <v>1056167</v>
      </c>
      <c r="IX34" s="2">
        <v>37808</v>
      </c>
      <c r="IY34" s="2">
        <v>39484</v>
      </c>
      <c r="IZ34" s="2">
        <v>36234</v>
      </c>
      <c r="JA34" s="2">
        <v>61968</v>
      </c>
      <c r="JB34" s="2">
        <v>65110</v>
      </c>
      <c r="JC34" s="2">
        <v>48494</v>
      </c>
      <c r="JD34" s="2">
        <v>45609</v>
      </c>
      <c r="JE34" s="2">
        <v>40012</v>
      </c>
      <c r="JF34" s="2">
        <v>30003</v>
      </c>
      <c r="JG34" s="2">
        <v>37852</v>
      </c>
      <c r="JH34" s="2">
        <v>35924</v>
      </c>
      <c r="JI34" s="2">
        <v>37620</v>
      </c>
      <c r="JJ34" s="2">
        <f t="shared" si="23"/>
        <v>516118</v>
      </c>
      <c r="JK34" s="2">
        <v>1226</v>
      </c>
      <c r="JL34" s="2">
        <v>1198</v>
      </c>
      <c r="JM34" s="2">
        <v>1022</v>
      </c>
      <c r="JN34" s="2">
        <v>1582</v>
      </c>
      <c r="JO34" s="2">
        <v>1664</v>
      </c>
      <c r="JP34" s="2">
        <v>1241</v>
      </c>
      <c r="JQ34" s="2">
        <v>1142</v>
      </c>
      <c r="JR34" s="2">
        <v>1077</v>
      </c>
      <c r="JS34">
        <v>898</v>
      </c>
      <c r="JT34">
        <v>913</v>
      </c>
      <c r="JU34">
        <v>905</v>
      </c>
      <c r="JV34" s="2">
        <v>1062</v>
      </c>
      <c r="JW34" s="2">
        <f t="shared" si="24"/>
        <v>13930</v>
      </c>
      <c r="JX34" s="2">
        <v>43375</v>
      </c>
      <c r="JY34" s="2">
        <v>46520</v>
      </c>
      <c r="JZ34" s="2">
        <v>43631</v>
      </c>
      <c r="KA34" s="2">
        <v>47654</v>
      </c>
      <c r="KB34" s="2">
        <v>48310</v>
      </c>
      <c r="KC34" s="2">
        <v>44995</v>
      </c>
      <c r="KD34" s="2">
        <v>46648</v>
      </c>
      <c r="KE34" s="2">
        <v>43191</v>
      </c>
      <c r="KF34" s="2">
        <v>40087</v>
      </c>
      <c r="KG34" s="2">
        <v>42797</v>
      </c>
      <c r="KH34" s="2">
        <v>37231</v>
      </c>
      <c r="KI34" s="2">
        <v>41680</v>
      </c>
      <c r="KJ34" s="2">
        <f t="shared" si="25"/>
        <v>526119</v>
      </c>
      <c r="KK34" s="2">
        <v>1067</v>
      </c>
      <c r="KL34" s="2">
        <v>1009</v>
      </c>
      <c r="KM34">
        <v>933</v>
      </c>
      <c r="KN34" s="2">
        <v>1043</v>
      </c>
      <c r="KO34" s="2">
        <v>1135</v>
      </c>
      <c r="KP34">
        <v>963</v>
      </c>
      <c r="KQ34">
        <v>996</v>
      </c>
      <c r="KR34">
        <v>844</v>
      </c>
      <c r="KS34">
        <v>948</v>
      </c>
      <c r="KT34">
        <v>919</v>
      </c>
      <c r="KU34">
        <v>979</v>
      </c>
      <c r="KV34" s="2">
        <v>1058</v>
      </c>
      <c r="KW34" s="2">
        <f t="shared" si="26"/>
        <v>11894</v>
      </c>
      <c r="KX34">
        <v>182</v>
      </c>
      <c r="KY34">
        <v>136</v>
      </c>
      <c r="KZ34">
        <v>106</v>
      </c>
      <c r="LA34">
        <v>228</v>
      </c>
      <c r="LB34">
        <v>225</v>
      </c>
      <c r="LC34">
        <v>203</v>
      </c>
      <c r="LD34">
        <v>132</v>
      </c>
      <c r="LE34">
        <v>116</v>
      </c>
      <c r="LF34">
        <v>101</v>
      </c>
      <c r="LG34">
        <v>143</v>
      </c>
      <c r="LH34">
        <v>180</v>
      </c>
      <c r="LI34">
        <v>140</v>
      </c>
      <c r="LJ34">
        <f t="shared" si="27"/>
        <v>1892</v>
      </c>
      <c r="LK34">
        <v>0</v>
      </c>
      <c r="LL34">
        <v>0</v>
      </c>
      <c r="LM34">
        <v>1</v>
      </c>
      <c r="LN34">
        <v>0</v>
      </c>
      <c r="LO34">
        <v>4</v>
      </c>
      <c r="LP34">
        <v>2</v>
      </c>
      <c r="LQ34">
        <v>3</v>
      </c>
      <c r="LR34">
        <v>1</v>
      </c>
      <c r="LS34">
        <v>1</v>
      </c>
      <c r="LT34">
        <v>0</v>
      </c>
      <c r="LU34">
        <v>1</v>
      </c>
      <c r="LV34">
        <v>2</v>
      </c>
      <c r="LW34">
        <f t="shared" si="28"/>
        <v>15</v>
      </c>
      <c r="LX34">
        <v>885</v>
      </c>
      <c r="LY34">
        <v>873</v>
      </c>
      <c r="LZ34">
        <v>826</v>
      </c>
      <c r="MA34">
        <v>815</v>
      </c>
      <c r="MB34">
        <v>906</v>
      </c>
      <c r="MC34">
        <v>758</v>
      </c>
      <c r="MD34">
        <v>861</v>
      </c>
      <c r="ME34">
        <v>727</v>
      </c>
      <c r="MF34">
        <v>846</v>
      </c>
      <c r="MG34">
        <v>776</v>
      </c>
      <c r="MH34">
        <v>798</v>
      </c>
      <c r="MI34">
        <v>916</v>
      </c>
      <c r="MJ34">
        <f t="shared" si="29"/>
        <v>9987</v>
      </c>
      <c r="MK34" s="2">
        <v>6943</v>
      </c>
      <c r="ML34" s="2">
        <v>7236</v>
      </c>
      <c r="MM34" s="2">
        <v>6799</v>
      </c>
      <c r="MN34" s="2">
        <v>7479</v>
      </c>
      <c r="MO34" s="2">
        <v>7694</v>
      </c>
      <c r="MP34" s="2">
        <v>6917</v>
      </c>
      <c r="MQ34" s="2">
        <v>7254</v>
      </c>
      <c r="MR34" s="2">
        <v>6874</v>
      </c>
      <c r="MS34" s="2">
        <v>6723</v>
      </c>
      <c r="MT34" s="2">
        <v>7288</v>
      </c>
      <c r="MU34" s="2">
        <v>6514</v>
      </c>
      <c r="MV34" s="2">
        <v>6794</v>
      </c>
      <c r="MW34" s="2">
        <f t="shared" si="30"/>
        <v>84515</v>
      </c>
      <c r="MX34">
        <v>422</v>
      </c>
      <c r="MY34">
        <v>443</v>
      </c>
      <c r="MZ34">
        <v>375</v>
      </c>
      <c r="NA34">
        <v>541</v>
      </c>
      <c r="NB34">
        <v>532</v>
      </c>
      <c r="NC34">
        <v>331</v>
      </c>
      <c r="ND34">
        <v>494</v>
      </c>
      <c r="NE34">
        <v>425</v>
      </c>
      <c r="NF34">
        <v>456</v>
      </c>
      <c r="NG34">
        <v>424</v>
      </c>
      <c r="NH34">
        <v>405</v>
      </c>
      <c r="NI34">
        <v>358</v>
      </c>
      <c r="NJ34">
        <f t="shared" si="31"/>
        <v>5206</v>
      </c>
      <c r="NK34">
        <v>271</v>
      </c>
      <c r="NL34">
        <v>291</v>
      </c>
      <c r="NM34">
        <v>331</v>
      </c>
      <c r="NN34">
        <v>331</v>
      </c>
      <c r="NO34">
        <v>348</v>
      </c>
      <c r="NP34">
        <v>283</v>
      </c>
      <c r="NQ34">
        <v>282</v>
      </c>
      <c r="NR34">
        <v>244</v>
      </c>
      <c r="NS34">
        <v>252</v>
      </c>
      <c r="NT34">
        <v>294</v>
      </c>
      <c r="NU34">
        <v>219</v>
      </c>
      <c r="NV34">
        <v>253</v>
      </c>
      <c r="NW34">
        <f t="shared" si="32"/>
        <v>3399</v>
      </c>
      <c r="NX34" s="2">
        <v>6250</v>
      </c>
      <c r="NY34" s="2">
        <v>6502</v>
      </c>
      <c r="NZ34" s="2">
        <v>6093</v>
      </c>
      <c r="OA34" s="2">
        <v>6607</v>
      </c>
      <c r="OB34" s="2">
        <v>6814</v>
      </c>
      <c r="OC34" s="2">
        <v>6303</v>
      </c>
      <c r="OD34" s="2">
        <v>6478</v>
      </c>
      <c r="OE34" s="2">
        <v>6205</v>
      </c>
      <c r="OF34" s="2">
        <v>6015</v>
      </c>
      <c r="OG34" s="2">
        <v>6570</v>
      </c>
      <c r="OH34" s="2">
        <v>5890</v>
      </c>
      <c r="OI34" s="2">
        <v>6183</v>
      </c>
      <c r="OJ34" s="2">
        <f t="shared" si="33"/>
        <v>75910</v>
      </c>
      <c r="OK34" s="2">
        <v>9779</v>
      </c>
      <c r="OL34" s="2">
        <v>9877</v>
      </c>
      <c r="OM34" s="2">
        <v>9851</v>
      </c>
      <c r="ON34" s="2">
        <v>10163</v>
      </c>
      <c r="OO34" s="2">
        <v>10626</v>
      </c>
      <c r="OP34" s="2">
        <v>10164</v>
      </c>
      <c r="OQ34" s="2">
        <v>10551</v>
      </c>
      <c r="OR34" s="2">
        <v>9918</v>
      </c>
      <c r="OS34" s="2">
        <v>9442</v>
      </c>
      <c r="OT34" s="2">
        <v>10453</v>
      </c>
      <c r="OU34" s="2">
        <v>9861</v>
      </c>
      <c r="OV34" s="2">
        <v>10887</v>
      </c>
      <c r="OW34" s="2">
        <f t="shared" si="34"/>
        <v>121572</v>
      </c>
      <c r="OX34">
        <v>978</v>
      </c>
      <c r="OY34">
        <v>946</v>
      </c>
      <c r="OZ34">
        <v>957</v>
      </c>
      <c r="PA34" s="2">
        <v>1160</v>
      </c>
      <c r="PB34" s="2">
        <v>1173</v>
      </c>
      <c r="PC34">
        <v>909</v>
      </c>
      <c r="PD34" s="2">
        <v>1031</v>
      </c>
      <c r="PE34">
        <v>943</v>
      </c>
      <c r="PF34">
        <v>929</v>
      </c>
      <c r="PG34">
        <v>984</v>
      </c>
      <c r="PH34">
        <v>955</v>
      </c>
      <c r="PI34" s="2">
        <v>1041</v>
      </c>
      <c r="PJ34" s="2">
        <f t="shared" si="35"/>
        <v>12006</v>
      </c>
      <c r="PK34">
        <v>323</v>
      </c>
      <c r="PL34">
        <v>302</v>
      </c>
      <c r="PM34">
        <v>341</v>
      </c>
      <c r="PN34">
        <v>384</v>
      </c>
      <c r="PO34">
        <v>385</v>
      </c>
      <c r="PP34">
        <v>347</v>
      </c>
      <c r="PQ34">
        <v>396</v>
      </c>
      <c r="PR34">
        <v>411</v>
      </c>
      <c r="PS34">
        <v>335</v>
      </c>
      <c r="PT34">
        <v>380</v>
      </c>
      <c r="PU34">
        <v>376</v>
      </c>
      <c r="PV34">
        <v>363</v>
      </c>
      <c r="PW34">
        <f t="shared" si="36"/>
        <v>4343</v>
      </c>
      <c r="PX34" s="2">
        <v>8478</v>
      </c>
      <c r="PY34" s="2">
        <v>8629</v>
      </c>
      <c r="PZ34" s="2">
        <v>8553</v>
      </c>
      <c r="QA34" s="2">
        <v>8619</v>
      </c>
      <c r="QB34" s="2">
        <v>9068</v>
      </c>
      <c r="QC34" s="2">
        <v>8908</v>
      </c>
      <c r="QD34" s="2">
        <v>9124</v>
      </c>
      <c r="QE34" s="2">
        <v>8564</v>
      </c>
      <c r="QF34" s="2">
        <v>8178</v>
      </c>
      <c r="QG34" s="2">
        <v>9089</v>
      </c>
      <c r="QH34" s="2">
        <v>8530</v>
      </c>
      <c r="QI34" s="2">
        <v>9483</v>
      </c>
      <c r="QJ34" s="2">
        <f t="shared" si="37"/>
        <v>105223</v>
      </c>
      <c r="QK34" s="2">
        <v>63334</v>
      </c>
      <c r="QL34" s="2">
        <v>66018</v>
      </c>
      <c r="QM34" s="2">
        <v>61028</v>
      </c>
      <c r="QN34" s="2">
        <v>77429</v>
      </c>
      <c r="QO34" s="2">
        <v>78574</v>
      </c>
      <c r="QP34" s="2">
        <v>69808</v>
      </c>
      <c r="QQ34" s="2">
        <v>70470</v>
      </c>
      <c r="QR34" s="2">
        <v>62111</v>
      </c>
      <c r="QS34" s="2">
        <v>52777</v>
      </c>
      <c r="QT34" s="2">
        <v>65247</v>
      </c>
      <c r="QU34" s="2">
        <v>62628</v>
      </c>
      <c r="QV34" s="2">
        <v>66815</v>
      </c>
      <c r="QW34" s="2">
        <f t="shared" si="38"/>
        <v>796239</v>
      </c>
      <c r="QX34" s="2">
        <v>3597</v>
      </c>
      <c r="QY34" s="2">
        <v>3604</v>
      </c>
      <c r="QZ34" s="2">
        <v>3197</v>
      </c>
      <c r="RA34" s="2">
        <v>4348</v>
      </c>
      <c r="RB34" s="2">
        <v>4494</v>
      </c>
      <c r="RC34" s="2">
        <v>3473</v>
      </c>
      <c r="RD34" s="2">
        <v>4265</v>
      </c>
      <c r="RE34" s="2">
        <v>3849</v>
      </c>
      <c r="RF34" s="2">
        <v>3446</v>
      </c>
      <c r="RG34" s="2">
        <v>4212</v>
      </c>
      <c r="RH34" s="2">
        <v>4113</v>
      </c>
      <c r="RI34" s="2">
        <v>4096</v>
      </c>
      <c r="RJ34" s="2">
        <f t="shared" si="39"/>
        <v>46694</v>
      </c>
      <c r="RK34">
        <v>0</v>
      </c>
      <c r="RL34">
        <v>0</v>
      </c>
      <c r="RM34">
        <v>0</v>
      </c>
      <c r="RN34">
        <v>0</v>
      </c>
      <c r="RO34">
        <v>0</v>
      </c>
      <c r="RP34">
        <v>0</v>
      </c>
      <c r="RQ34">
        <v>0</v>
      </c>
      <c r="RR34">
        <v>0</v>
      </c>
      <c r="RS34">
        <v>0</v>
      </c>
      <c r="RT34">
        <v>0</v>
      </c>
      <c r="RU34">
        <v>0</v>
      </c>
      <c r="RV34">
        <v>0</v>
      </c>
      <c r="RW34">
        <f t="shared" si="40"/>
        <v>0</v>
      </c>
      <c r="RX34">
        <v>0</v>
      </c>
      <c r="RY34">
        <v>0</v>
      </c>
      <c r="RZ34">
        <v>0</v>
      </c>
      <c r="SA34">
        <v>0</v>
      </c>
      <c r="SB34">
        <v>0</v>
      </c>
      <c r="SC34">
        <v>0</v>
      </c>
      <c r="SD34">
        <v>0</v>
      </c>
      <c r="SE34">
        <v>0</v>
      </c>
      <c r="SF34">
        <v>0</v>
      </c>
      <c r="SG34">
        <v>0</v>
      </c>
      <c r="SH34">
        <v>0</v>
      </c>
      <c r="SI34">
        <v>0</v>
      </c>
      <c r="SJ34">
        <f t="shared" si="41"/>
        <v>0</v>
      </c>
      <c r="SK34">
        <v>75</v>
      </c>
      <c r="SL34">
        <v>57</v>
      </c>
      <c r="SM34">
        <v>65</v>
      </c>
      <c r="SN34">
        <v>63</v>
      </c>
      <c r="SO34">
        <v>65</v>
      </c>
      <c r="SP34">
        <v>70</v>
      </c>
      <c r="SQ34">
        <v>58</v>
      </c>
      <c r="SR34">
        <v>62</v>
      </c>
      <c r="SS34">
        <v>51</v>
      </c>
      <c r="ST34">
        <v>45</v>
      </c>
      <c r="SU34">
        <v>52</v>
      </c>
      <c r="SV34">
        <v>49</v>
      </c>
      <c r="SW34">
        <f t="shared" si="42"/>
        <v>712</v>
      </c>
      <c r="SX34">
        <v>0</v>
      </c>
      <c r="SY34" s="2">
        <v>5538</v>
      </c>
      <c r="SZ34" s="2">
        <v>6024</v>
      </c>
      <c r="TA34" s="2">
        <v>5402</v>
      </c>
      <c r="TB34" s="2">
        <v>6072</v>
      </c>
      <c r="TC34" s="2">
        <v>5548</v>
      </c>
      <c r="TD34" s="2">
        <v>5495</v>
      </c>
      <c r="TE34" s="2">
        <v>5863</v>
      </c>
      <c r="TF34" s="2">
        <v>5271</v>
      </c>
      <c r="TG34" s="2">
        <v>4576</v>
      </c>
      <c r="TH34" s="2">
        <v>5766</v>
      </c>
      <c r="TI34" s="2">
        <v>5288</v>
      </c>
      <c r="TJ34" s="2">
        <v>5493</v>
      </c>
      <c r="TK34" s="2">
        <f t="shared" si="43"/>
        <v>66336</v>
      </c>
      <c r="TL34" s="2">
        <v>4038</v>
      </c>
      <c r="TM34" s="2">
        <v>3758</v>
      </c>
      <c r="TN34" s="2">
        <v>3320</v>
      </c>
      <c r="TO34" s="2">
        <v>3486</v>
      </c>
      <c r="TP34" s="2">
        <v>3146</v>
      </c>
      <c r="TQ34" s="2">
        <v>3263</v>
      </c>
      <c r="TR34" s="2">
        <v>3554</v>
      </c>
      <c r="TS34" s="2">
        <v>3261</v>
      </c>
      <c r="TT34" s="2">
        <v>3042</v>
      </c>
      <c r="TU34" s="2">
        <v>3883</v>
      </c>
      <c r="TV34" s="2">
        <v>3324</v>
      </c>
      <c r="TW34" s="2">
        <v>3699</v>
      </c>
      <c r="TX34" s="2">
        <f t="shared" si="44"/>
        <v>41774</v>
      </c>
      <c r="TY34">
        <v>176</v>
      </c>
      <c r="TZ34">
        <v>0</v>
      </c>
      <c r="UA34">
        <v>3</v>
      </c>
      <c r="UB34">
        <v>0</v>
      </c>
    </row>
    <row r="35" spans="1:548" ht="16.5" customHeight="1" x14ac:dyDescent="0.35">
      <c r="A35" t="s">
        <v>1542</v>
      </c>
      <c r="B35" t="s">
        <v>2865</v>
      </c>
      <c r="C35" s="2">
        <v>28359</v>
      </c>
      <c r="D35">
        <v>5552</v>
      </c>
      <c r="E35">
        <v>4655</v>
      </c>
      <c r="F35" s="2">
        <v>16886</v>
      </c>
      <c r="G35">
        <v>129</v>
      </c>
      <c r="H35">
        <v>147</v>
      </c>
      <c r="I35">
        <v>172</v>
      </c>
      <c r="J35">
        <v>130</v>
      </c>
      <c r="K35">
        <v>115</v>
      </c>
      <c r="L35">
        <v>123</v>
      </c>
      <c r="M35">
        <v>177</v>
      </c>
      <c r="N35">
        <v>193</v>
      </c>
      <c r="O35">
        <v>123</v>
      </c>
      <c r="P35">
        <v>154</v>
      </c>
      <c r="Q35">
        <v>217</v>
      </c>
      <c r="R35">
        <v>221</v>
      </c>
      <c r="S35">
        <f t="shared" si="0"/>
        <v>1901</v>
      </c>
      <c r="T35">
        <v>0</v>
      </c>
      <c r="U35">
        <v>0</v>
      </c>
      <c r="V35">
        <v>0</v>
      </c>
      <c r="W35">
        <v>0</v>
      </c>
      <c r="X35">
        <v>0</v>
      </c>
      <c r="Y35">
        <v>0</v>
      </c>
      <c r="Z35">
        <v>0</v>
      </c>
      <c r="AA35">
        <v>0</v>
      </c>
      <c r="AB35">
        <v>0</v>
      </c>
      <c r="AC35">
        <v>0</v>
      </c>
      <c r="AD35">
        <v>0</v>
      </c>
      <c r="AE35">
        <v>0</v>
      </c>
      <c r="AF35">
        <f t="shared" si="1"/>
        <v>0</v>
      </c>
      <c r="AG35">
        <v>0</v>
      </c>
      <c r="AH35">
        <v>0</v>
      </c>
      <c r="AI35">
        <v>0</v>
      </c>
      <c r="AJ35">
        <v>0</v>
      </c>
      <c r="AK35">
        <v>0</v>
      </c>
      <c r="AL35">
        <v>0</v>
      </c>
      <c r="AM35">
        <v>0</v>
      </c>
      <c r="AN35">
        <v>0</v>
      </c>
      <c r="AO35">
        <v>0</v>
      </c>
      <c r="AP35">
        <v>0</v>
      </c>
      <c r="AQ35">
        <v>0</v>
      </c>
      <c r="AR35">
        <v>0</v>
      </c>
      <c r="AS35">
        <f t="shared" si="2"/>
        <v>0</v>
      </c>
      <c r="AT35">
        <v>0</v>
      </c>
      <c r="AU35">
        <v>0</v>
      </c>
      <c r="AV35">
        <v>0</v>
      </c>
      <c r="AW35">
        <v>0</v>
      </c>
      <c r="AX35">
        <v>0</v>
      </c>
      <c r="AY35">
        <v>0</v>
      </c>
      <c r="AZ35">
        <v>0</v>
      </c>
      <c r="BA35">
        <v>0</v>
      </c>
      <c r="BB35">
        <v>0</v>
      </c>
      <c r="BC35">
        <v>0</v>
      </c>
      <c r="BD35">
        <v>0</v>
      </c>
      <c r="BE35">
        <v>0</v>
      </c>
      <c r="BF35">
        <f t="shared" si="3"/>
        <v>0</v>
      </c>
      <c r="BG35">
        <v>0</v>
      </c>
      <c r="BH35">
        <v>0</v>
      </c>
      <c r="BI35">
        <v>0</v>
      </c>
      <c r="BJ35">
        <v>0</v>
      </c>
      <c r="BK35">
        <v>0</v>
      </c>
      <c r="BL35">
        <v>0</v>
      </c>
      <c r="BM35">
        <v>0</v>
      </c>
      <c r="BN35">
        <v>0</v>
      </c>
      <c r="BO35">
        <v>0</v>
      </c>
      <c r="BP35">
        <v>0</v>
      </c>
      <c r="BQ35">
        <v>0</v>
      </c>
      <c r="BR35">
        <v>0</v>
      </c>
      <c r="BS35">
        <f t="shared" si="4"/>
        <v>0</v>
      </c>
      <c r="BT35">
        <v>0</v>
      </c>
      <c r="BU35">
        <v>0</v>
      </c>
      <c r="BV35">
        <v>0</v>
      </c>
      <c r="BW35">
        <v>0</v>
      </c>
      <c r="BX35">
        <v>0</v>
      </c>
      <c r="BY35">
        <v>0</v>
      </c>
      <c r="BZ35">
        <v>0</v>
      </c>
      <c r="CA35">
        <v>0</v>
      </c>
      <c r="CB35">
        <v>0</v>
      </c>
      <c r="CC35">
        <v>0</v>
      </c>
      <c r="CD35">
        <v>0</v>
      </c>
      <c r="CE35">
        <v>0</v>
      </c>
      <c r="CF35">
        <f t="shared" si="5"/>
        <v>0</v>
      </c>
      <c r="CG35">
        <v>0</v>
      </c>
      <c r="CH35">
        <v>0</v>
      </c>
      <c r="CI35">
        <v>0</v>
      </c>
      <c r="CJ35">
        <v>0</v>
      </c>
      <c r="CK35">
        <v>0</v>
      </c>
      <c r="CL35">
        <v>0</v>
      </c>
      <c r="CM35">
        <v>0</v>
      </c>
      <c r="CN35">
        <v>0</v>
      </c>
      <c r="CO35">
        <v>0</v>
      </c>
      <c r="CP35">
        <v>0</v>
      </c>
      <c r="CQ35">
        <v>0</v>
      </c>
      <c r="CR35">
        <v>0</v>
      </c>
      <c r="CS35">
        <f t="shared" si="6"/>
        <v>0</v>
      </c>
      <c r="CT35">
        <v>0</v>
      </c>
      <c r="CU35">
        <v>0</v>
      </c>
      <c r="CV35">
        <v>0</v>
      </c>
      <c r="CW35">
        <v>0</v>
      </c>
      <c r="CX35">
        <v>0</v>
      </c>
      <c r="CY35">
        <v>0</v>
      </c>
      <c r="CZ35">
        <v>0</v>
      </c>
      <c r="DA35">
        <v>0</v>
      </c>
      <c r="DB35">
        <v>0</v>
      </c>
      <c r="DC35">
        <v>0</v>
      </c>
      <c r="DD35">
        <v>0</v>
      </c>
      <c r="DE35">
        <v>0</v>
      </c>
      <c r="DF35">
        <f t="shared" si="7"/>
        <v>0</v>
      </c>
      <c r="DG35">
        <v>0</v>
      </c>
      <c r="DH35">
        <v>0</v>
      </c>
      <c r="DI35">
        <v>0</v>
      </c>
      <c r="DJ35">
        <v>0</v>
      </c>
      <c r="DK35">
        <v>0</v>
      </c>
      <c r="DL35">
        <v>0</v>
      </c>
      <c r="DM35">
        <v>0</v>
      </c>
      <c r="DN35">
        <v>0</v>
      </c>
      <c r="DO35">
        <v>0</v>
      </c>
      <c r="DP35">
        <v>0</v>
      </c>
      <c r="DQ35">
        <v>0</v>
      </c>
      <c r="DR35">
        <v>0</v>
      </c>
      <c r="DS35">
        <f t="shared" si="8"/>
        <v>0</v>
      </c>
      <c r="DT35">
        <v>0</v>
      </c>
      <c r="DU35">
        <v>0</v>
      </c>
      <c r="DV35">
        <v>0</v>
      </c>
      <c r="DW35">
        <v>0</v>
      </c>
      <c r="DX35">
        <v>0</v>
      </c>
      <c r="DY35">
        <v>0</v>
      </c>
      <c r="DZ35">
        <v>0</v>
      </c>
      <c r="EA35">
        <v>0</v>
      </c>
      <c r="EB35">
        <v>0</v>
      </c>
      <c r="EC35">
        <v>0</v>
      </c>
      <c r="ED35">
        <v>0</v>
      </c>
      <c r="EE35">
        <v>0</v>
      </c>
      <c r="EF35">
        <f t="shared" si="9"/>
        <v>0</v>
      </c>
      <c r="EG35">
        <f t="shared" si="10"/>
        <v>0</v>
      </c>
      <c r="EH35">
        <f t="shared" si="11"/>
        <v>0</v>
      </c>
      <c r="EI35">
        <v>2314</v>
      </c>
      <c r="EJ35">
        <v>1911</v>
      </c>
      <c r="EK35">
        <v>3114</v>
      </c>
      <c r="EL35">
        <v>1982</v>
      </c>
      <c r="EM35">
        <v>1634</v>
      </c>
      <c r="EN35">
        <v>1694</v>
      </c>
      <c r="EO35">
        <v>2637</v>
      </c>
      <c r="EP35">
        <v>5162</v>
      </c>
      <c r="EQ35">
        <v>2244</v>
      </c>
      <c r="ER35">
        <v>2413</v>
      </c>
      <c r="ES35">
        <v>3910</v>
      </c>
      <c r="ET35">
        <v>3500</v>
      </c>
      <c r="EU35">
        <f t="shared" si="12"/>
        <v>32515</v>
      </c>
      <c r="EV35">
        <v>1306</v>
      </c>
      <c r="EW35">
        <v>912</v>
      </c>
      <c r="EX35">
        <v>1518</v>
      </c>
      <c r="EY35">
        <v>961</v>
      </c>
      <c r="EZ35">
        <v>754</v>
      </c>
      <c r="FA35">
        <v>688</v>
      </c>
      <c r="FB35">
        <v>1233</v>
      </c>
      <c r="FC35">
        <v>2935</v>
      </c>
      <c r="FD35">
        <v>1109</v>
      </c>
      <c r="FE35">
        <v>1364</v>
      </c>
      <c r="FF35">
        <v>2125</v>
      </c>
      <c r="FG35">
        <v>1906</v>
      </c>
      <c r="FH35">
        <f t="shared" si="13"/>
        <v>16811</v>
      </c>
      <c r="FI35">
        <v>45</v>
      </c>
      <c r="FJ35">
        <v>48</v>
      </c>
      <c r="FK35">
        <v>237</v>
      </c>
      <c r="FL35">
        <v>81</v>
      </c>
      <c r="FM35">
        <v>180</v>
      </c>
      <c r="FN35">
        <v>80</v>
      </c>
      <c r="FO35">
        <v>178</v>
      </c>
      <c r="FP35">
        <v>985</v>
      </c>
      <c r="FQ35">
        <v>84</v>
      </c>
      <c r="FR35">
        <v>77</v>
      </c>
      <c r="FS35">
        <v>198</v>
      </c>
      <c r="FT35">
        <v>97</v>
      </c>
      <c r="FU35">
        <f t="shared" si="14"/>
        <v>2290</v>
      </c>
      <c r="FV35">
        <v>963</v>
      </c>
      <c r="FW35">
        <v>951</v>
      </c>
      <c r="FX35">
        <v>1359</v>
      </c>
      <c r="FY35">
        <v>940</v>
      </c>
      <c r="FZ35">
        <v>700</v>
      </c>
      <c r="GA35">
        <v>926</v>
      </c>
      <c r="GB35">
        <v>1226</v>
      </c>
      <c r="GC35">
        <v>1242</v>
      </c>
      <c r="GD35">
        <v>1051</v>
      </c>
      <c r="GE35">
        <v>972</v>
      </c>
      <c r="GF35">
        <v>1587</v>
      </c>
      <c r="GG35">
        <v>1497</v>
      </c>
      <c r="GH35">
        <f t="shared" si="15"/>
        <v>13414</v>
      </c>
      <c r="GI35">
        <v>0</v>
      </c>
      <c r="GJ35">
        <v>0</v>
      </c>
      <c r="GK35">
        <v>0</v>
      </c>
      <c r="GL35">
        <v>0</v>
      </c>
      <c r="GM35">
        <v>0</v>
      </c>
      <c r="GN35">
        <v>0</v>
      </c>
      <c r="GO35">
        <v>0</v>
      </c>
      <c r="GP35">
        <v>0</v>
      </c>
      <c r="GQ35">
        <v>0</v>
      </c>
      <c r="GR35">
        <v>0</v>
      </c>
      <c r="GS35">
        <v>0</v>
      </c>
      <c r="GT35">
        <v>0</v>
      </c>
      <c r="GU35">
        <f t="shared" si="16"/>
        <v>0</v>
      </c>
      <c r="GV35">
        <v>0</v>
      </c>
      <c r="GW35">
        <v>0</v>
      </c>
      <c r="GX35">
        <v>0</v>
      </c>
      <c r="GY35">
        <v>0</v>
      </c>
      <c r="GZ35">
        <v>0</v>
      </c>
      <c r="HA35">
        <v>0</v>
      </c>
      <c r="HB35">
        <v>0</v>
      </c>
      <c r="HC35">
        <v>0</v>
      </c>
      <c r="HD35">
        <v>0</v>
      </c>
      <c r="HE35">
        <v>0</v>
      </c>
      <c r="HF35">
        <v>0</v>
      </c>
      <c r="HG35">
        <v>0</v>
      </c>
      <c r="HH35">
        <f t="shared" si="17"/>
        <v>0</v>
      </c>
      <c r="HI35">
        <v>0</v>
      </c>
      <c r="HJ35">
        <v>0</v>
      </c>
      <c r="HK35">
        <v>0</v>
      </c>
      <c r="HL35">
        <v>0</v>
      </c>
      <c r="HM35">
        <v>0</v>
      </c>
      <c r="HN35">
        <v>0</v>
      </c>
      <c r="HO35">
        <v>0</v>
      </c>
      <c r="HP35">
        <v>0</v>
      </c>
      <c r="HQ35">
        <v>0</v>
      </c>
      <c r="HR35">
        <v>0</v>
      </c>
      <c r="HS35">
        <v>0</v>
      </c>
      <c r="HT35">
        <v>0</v>
      </c>
      <c r="HU35">
        <f t="shared" si="18"/>
        <v>0</v>
      </c>
      <c r="HV35">
        <v>0</v>
      </c>
      <c r="HW35">
        <v>0</v>
      </c>
      <c r="HX35">
        <v>0</v>
      </c>
      <c r="HY35">
        <v>0</v>
      </c>
      <c r="HZ35">
        <v>0</v>
      </c>
      <c r="IA35">
        <v>0</v>
      </c>
      <c r="IB35">
        <v>0</v>
      </c>
      <c r="IC35">
        <v>0</v>
      </c>
      <c r="ID35">
        <v>0</v>
      </c>
      <c r="IE35">
        <v>0</v>
      </c>
      <c r="IF35">
        <v>0</v>
      </c>
      <c r="IG35">
        <v>0</v>
      </c>
      <c r="IH35">
        <f t="shared" si="19"/>
        <v>0</v>
      </c>
      <c r="II35">
        <f t="shared" si="20"/>
        <v>32515</v>
      </c>
      <c r="IJ35">
        <f t="shared" si="21"/>
        <v>0</v>
      </c>
      <c r="IK35">
        <v>29298</v>
      </c>
      <c r="IL35">
        <v>30986</v>
      </c>
      <c r="IM35">
        <v>30366</v>
      </c>
      <c r="IN35">
        <v>33875</v>
      </c>
      <c r="IO35">
        <v>33962</v>
      </c>
      <c r="IP35">
        <v>34099</v>
      </c>
      <c r="IQ35">
        <v>36211</v>
      </c>
      <c r="IR35">
        <v>31167</v>
      </c>
      <c r="IS35">
        <v>27538</v>
      </c>
      <c r="IT35">
        <v>31691</v>
      </c>
      <c r="IU35">
        <v>30324</v>
      </c>
      <c r="IV35">
        <v>33801</v>
      </c>
      <c r="IW35">
        <f t="shared" si="22"/>
        <v>383318</v>
      </c>
      <c r="IX35">
        <v>0</v>
      </c>
      <c r="IY35">
        <v>0</v>
      </c>
      <c r="IZ35">
        <v>0</v>
      </c>
      <c r="JA35">
        <v>0</v>
      </c>
      <c r="JB35">
        <v>0</v>
      </c>
      <c r="JC35">
        <v>0</v>
      </c>
      <c r="JD35">
        <v>0</v>
      </c>
      <c r="JE35">
        <v>0</v>
      </c>
      <c r="JF35">
        <v>0</v>
      </c>
      <c r="JG35">
        <v>0</v>
      </c>
      <c r="JH35">
        <v>0</v>
      </c>
      <c r="JI35">
        <v>0</v>
      </c>
      <c r="JJ35">
        <f t="shared" si="23"/>
        <v>0</v>
      </c>
      <c r="JK35">
        <v>0</v>
      </c>
      <c r="JL35">
        <v>0</v>
      </c>
      <c r="JM35">
        <v>0</v>
      </c>
      <c r="JN35">
        <v>0</v>
      </c>
      <c r="JO35">
        <v>0</v>
      </c>
      <c r="JP35">
        <v>0</v>
      </c>
      <c r="JQ35">
        <v>0</v>
      </c>
      <c r="JR35">
        <v>0</v>
      </c>
      <c r="JS35">
        <v>0</v>
      </c>
      <c r="JT35">
        <v>0</v>
      </c>
      <c r="JU35">
        <v>0</v>
      </c>
      <c r="JV35">
        <v>0</v>
      </c>
      <c r="JW35">
        <f t="shared" si="24"/>
        <v>0</v>
      </c>
      <c r="JX35">
        <v>0</v>
      </c>
      <c r="JY35">
        <v>0</v>
      </c>
      <c r="JZ35">
        <v>0</v>
      </c>
      <c r="KA35">
        <v>0</v>
      </c>
      <c r="KB35">
        <v>0</v>
      </c>
      <c r="KC35">
        <v>0</v>
      </c>
      <c r="KD35">
        <v>0</v>
      </c>
      <c r="KE35">
        <v>0</v>
      </c>
      <c r="KF35">
        <v>0</v>
      </c>
      <c r="KG35">
        <v>0</v>
      </c>
      <c r="KH35">
        <v>0</v>
      </c>
      <c r="KI35">
        <v>0</v>
      </c>
      <c r="KJ35">
        <f t="shared" si="25"/>
        <v>0</v>
      </c>
      <c r="KK35">
        <v>0</v>
      </c>
      <c r="KL35">
        <v>0</v>
      </c>
      <c r="KM35">
        <v>0</v>
      </c>
      <c r="KN35">
        <v>0</v>
      </c>
      <c r="KO35">
        <v>0</v>
      </c>
      <c r="KP35">
        <v>0</v>
      </c>
      <c r="KQ35">
        <v>0</v>
      </c>
      <c r="KR35">
        <v>0</v>
      </c>
      <c r="KS35">
        <v>0</v>
      </c>
      <c r="KT35">
        <v>0</v>
      </c>
      <c r="KU35">
        <v>0</v>
      </c>
      <c r="KV35">
        <v>0</v>
      </c>
      <c r="KW35">
        <f t="shared" si="26"/>
        <v>0</v>
      </c>
      <c r="KX35">
        <v>0</v>
      </c>
      <c r="KY35">
        <v>0</v>
      </c>
      <c r="KZ35">
        <v>0</v>
      </c>
      <c r="LA35">
        <v>0</v>
      </c>
      <c r="LB35">
        <v>0</v>
      </c>
      <c r="LC35">
        <v>0</v>
      </c>
      <c r="LD35">
        <v>0</v>
      </c>
      <c r="LE35">
        <v>0</v>
      </c>
      <c r="LF35">
        <v>0</v>
      </c>
      <c r="LG35">
        <v>0</v>
      </c>
      <c r="LH35">
        <v>0</v>
      </c>
      <c r="LI35">
        <v>0</v>
      </c>
      <c r="LJ35">
        <f t="shared" si="27"/>
        <v>0</v>
      </c>
      <c r="LK35">
        <v>0</v>
      </c>
      <c r="LL35">
        <v>0</v>
      </c>
      <c r="LM35">
        <v>0</v>
      </c>
      <c r="LN35">
        <v>0</v>
      </c>
      <c r="LO35">
        <v>0</v>
      </c>
      <c r="LP35">
        <v>0</v>
      </c>
      <c r="LQ35">
        <v>0</v>
      </c>
      <c r="LR35">
        <v>0</v>
      </c>
      <c r="LS35">
        <v>0</v>
      </c>
      <c r="LT35">
        <v>0</v>
      </c>
      <c r="LU35">
        <v>0</v>
      </c>
      <c r="LV35">
        <v>0</v>
      </c>
      <c r="LW35">
        <f t="shared" si="28"/>
        <v>0</v>
      </c>
      <c r="LX35">
        <v>0</v>
      </c>
      <c r="LY35">
        <v>0</v>
      </c>
      <c r="LZ35">
        <v>0</v>
      </c>
      <c r="MA35">
        <v>0</v>
      </c>
      <c r="MB35">
        <v>0</v>
      </c>
      <c r="MC35">
        <v>0</v>
      </c>
      <c r="MD35">
        <v>0</v>
      </c>
      <c r="ME35">
        <v>0</v>
      </c>
      <c r="MF35">
        <v>0</v>
      </c>
      <c r="MG35">
        <v>0</v>
      </c>
      <c r="MH35">
        <v>0</v>
      </c>
      <c r="MI35">
        <v>0</v>
      </c>
      <c r="MJ35">
        <f t="shared" si="29"/>
        <v>0</v>
      </c>
      <c r="MK35">
        <v>15047</v>
      </c>
      <c r="ML35">
        <v>15564</v>
      </c>
      <c r="MM35">
        <v>14948</v>
      </c>
      <c r="MN35">
        <v>16375</v>
      </c>
      <c r="MO35">
        <v>13542</v>
      </c>
      <c r="MP35">
        <v>16324</v>
      </c>
      <c r="MQ35">
        <v>16858</v>
      </c>
      <c r="MR35">
        <v>15687</v>
      </c>
      <c r="MS35">
        <v>15885</v>
      </c>
      <c r="MT35">
        <v>17458</v>
      </c>
      <c r="MU35">
        <v>16099</v>
      </c>
      <c r="MV35">
        <v>18025</v>
      </c>
      <c r="MW35">
        <f t="shared" si="30"/>
        <v>191812</v>
      </c>
      <c r="MX35">
        <v>0</v>
      </c>
      <c r="MY35">
        <v>0</v>
      </c>
      <c r="MZ35">
        <v>0</v>
      </c>
      <c r="NA35">
        <v>0</v>
      </c>
      <c r="NB35">
        <v>0</v>
      </c>
      <c r="NC35">
        <v>0</v>
      </c>
      <c r="ND35">
        <v>0</v>
      </c>
      <c r="NE35">
        <v>0</v>
      </c>
      <c r="NF35">
        <v>0</v>
      </c>
      <c r="NG35">
        <v>0</v>
      </c>
      <c r="NH35">
        <v>0</v>
      </c>
      <c r="NI35">
        <v>0</v>
      </c>
      <c r="NJ35">
        <f t="shared" si="31"/>
        <v>0</v>
      </c>
      <c r="NK35">
        <v>0</v>
      </c>
      <c r="NL35">
        <v>0</v>
      </c>
      <c r="NM35">
        <v>0</v>
      </c>
      <c r="NN35">
        <v>0</v>
      </c>
      <c r="NO35">
        <v>0</v>
      </c>
      <c r="NP35">
        <v>0</v>
      </c>
      <c r="NQ35">
        <v>0</v>
      </c>
      <c r="NR35">
        <v>0</v>
      </c>
      <c r="NS35">
        <v>0</v>
      </c>
      <c r="NT35">
        <v>0</v>
      </c>
      <c r="NU35">
        <v>0</v>
      </c>
      <c r="NV35">
        <v>0</v>
      </c>
      <c r="NW35">
        <f t="shared" si="32"/>
        <v>0</v>
      </c>
      <c r="NX35">
        <v>0</v>
      </c>
      <c r="NY35">
        <v>0</v>
      </c>
      <c r="NZ35">
        <v>0</v>
      </c>
      <c r="OA35">
        <v>0</v>
      </c>
      <c r="OB35">
        <v>0</v>
      </c>
      <c r="OC35">
        <v>0</v>
      </c>
      <c r="OD35">
        <v>0</v>
      </c>
      <c r="OE35">
        <v>0</v>
      </c>
      <c r="OF35">
        <v>0</v>
      </c>
      <c r="OG35">
        <v>0</v>
      </c>
      <c r="OH35">
        <v>0</v>
      </c>
      <c r="OI35">
        <v>0</v>
      </c>
      <c r="OJ35">
        <f t="shared" si="33"/>
        <v>0</v>
      </c>
      <c r="OK35">
        <v>0</v>
      </c>
      <c r="OL35">
        <v>0</v>
      </c>
      <c r="OM35">
        <v>0</v>
      </c>
      <c r="ON35">
        <v>0</v>
      </c>
      <c r="OO35">
        <v>0</v>
      </c>
      <c r="OP35">
        <v>0</v>
      </c>
      <c r="OQ35">
        <v>0</v>
      </c>
      <c r="OR35">
        <v>0</v>
      </c>
      <c r="OS35">
        <v>0</v>
      </c>
      <c r="OT35">
        <v>0</v>
      </c>
      <c r="OU35">
        <v>0</v>
      </c>
      <c r="OV35">
        <v>0</v>
      </c>
      <c r="OW35">
        <f t="shared" si="34"/>
        <v>0</v>
      </c>
      <c r="OX35">
        <v>0</v>
      </c>
      <c r="OY35">
        <v>0</v>
      </c>
      <c r="OZ35">
        <v>0</v>
      </c>
      <c r="PA35">
        <v>0</v>
      </c>
      <c r="PB35">
        <v>0</v>
      </c>
      <c r="PC35">
        <v>0</v>
      </c>
      <c r="PD35">
        <v>0</v>
      </c>
      <c r="PE35">
        <v>0</v>
      </c>
      <c r="PF35">
        <v>0</v>
      </c>
      <c r="PG35">
        <v>0</v>
      </c>
      <c r="PH35">
        <v>0</v>
      </c>
      <c r="PI35">
        <v>0</v>
      </c>
      <c r="PJ35">
        <f t="shared" si="35"/>
        <v>0</v>
      </c>
      <c r="PK35">
        <v>0</v>
      </c>
      <c r="PL35">
        <v>0</v>
      </c>
      <c r="PM35">
        <v>0</v>
      </c>
      <c r="PN35">
        <v>0</v>
      </c>
      <c r="PO35">
        <v>0</v>
      </c>
      <c r="PP35">
        <v>0</v>
      </c>
      <c r="PQ35">
        <v>0</v>
      </c>
      <c r="PR35">
        <v>0</v>
      </c>
      <c r="PS35">
        <v>0</v>
      </c>
      <c r="PT35">
        <v>0</v>
      </c>
      <c r="PU35">
        <v>0</v>
      </c>
      <c r="PV35">
        <v>0</v>
      </c>
      <c r="PW35">
        <f t="shared" si="36"/>
        <v>0</v>
      </c>
      <c r="PX35">
        <v>0</v>
      </c>
      <c r="PY35">
        <v>0</v>
      </c>
      <c r="PZ35">
        <v>0</v>
      </c>
      <c r="QA35">
        <v>0</v>
      </c>
      <c r="QB35">
        <v>0</v>
      </c>
      <c r="QC35">
        <v>0</v>
      </c>
      <c r="QD35">
        <v>0</v>
      </c>
      <c r="QE35">
        <v>0</v>
      </c>
      <c r="QF35">
        <v>0</v>
      </c>
      <c r="QG35">
        <v>0</v>
      </c>
      <c r="QH35">
        <v>0</v>
      </c>
      <c r="QI35">
        <v>0</v>
      </c>
      <c r="QJ35">
        <f t="shared" si="37"/>
        <v>0</v>
      </c>
      <c r="QK35">
        <v>5609</v>
      </c>
      <c r="QL35">
        <v>22395</v>
      </c>
      <c r="QM35">
        <v>21405</v>
      </c>
      <c r="QN35">
        <v>25426</v>
      </c>
      <c r="QO35">
        <v>23542</v>
      </c>
      <c r="QP35">
        <v>28709</v>
      </c>
      <c r="QQ35">
        <v>29721</v>
      </c>
      <c r="QR35">
        <v>26551</v>
      </c>
      <c r="QS35">
        <v>21625</v>
      </c>
      <c r="QT35">
        <v>26113</v>
      </c>
      <c r="QU35">
        <v>28330</v>
      </c>
      <c r="QV35">
        <v>29011</v>
      </c>
      <c r="QW35">
        <f t="shared" si="38"/>
        <v>288437</v>
      </c>
      <c r="QX35">
        <v>4304</v>
      </c>
      <c r="QY35">
        <v>3812</v>
      </c>
      <c r="QZ35">
        <v>3771</v>
      </c>
      <c r="RA35">
        <v>3655</v>
      </c>
      <c r="RB35">
        <v>3367</v>
      </c>
      <c r="RC35">
        <v>4409</v>
      </c>
      <c r="RD35">
        <v>4877</v>
      </c>
      <c r="RE35">
        <v>3861</v>
      </c>
      <c r="RF35">
        <v>3876</v>
      </c>
      <c r="RG35">
        <v>4135</v>
      </c>
      <c r="RH35">
        <v>4009</v>
      </c>
      <c r="RI35">
        <v>5263</v>
      </c>
      <c r="RJ35">
        <f t="shared" si="39"/>
        <v>49339</v>
      </c>
      <c r="RK35">
        <v>0</v>
      </c>
      <c r="RL35">
        <v>0</v>
      </c>
      <c r="RM35">
        <v>0</v>
      </c>
      <c r="RN35">
        <v>0</v>
      </c>
      <c r="RO35">
        <v>0</v>
      </c>
      <c r="RP35">
        <v>0</v>
      </c>
      <c r="RQ35">
        <v>0</v>
      </c>
      <c r="RR35">
        <v>0</v>
      </c>
      <c r="RS35">
        <v>0</v>
      </c>
      <c r="RT35">
        <v>0</v>
      </c>
      <c r="RU35">
        <v>0</v>
      </c>
      <c r="RV35">
        <v>0</v>
      </c>
      <c r="RW35">
        <f t="shared" si="40"/>
        <v>0</v>
      </c>
      <c r="RX35">
        <v>0</v>
      </c>
      <c r="RY35">
        <v>0</v>
      </c>
      <c r="RZ35">
        <v>0</v>
      </c>
      <c r="SA35">
        <v>0</v>
      </c>
      <c r="SB35">
        <v>0</v>
      </c>
      <c r="SC35">
        <v>0</v>
      </c>
      <c r="SD35">
        <v>0</v>
      </c>
      <c r="SE35">
        <v>0</v>
      </c>
      <c r="SF35">
        <v>0</v>
      </c>
      <c r="SG35">
        <v>0</v>
      </c>
      <c r="SH35">
        <v>0</v>
      </c>
      <c r="SI35">
        <v>0</v>
      </c>
      <c r="SJ35">
        <f t="shared" si="41"/>
        <v>0</v>
      </c>
      <c r="SK35">
        <v>201</v>
      </c>
      <c r="SL35">
        <v>199</v>
      </c>
      <c r="SM35">
        <v>219</v>
      </c>
      <c r="SN35">
        <v>225</v>
      </c>
      <c r="SO35">
        <v>193</v>
      </c>
      <c r="SP35">
        <v>187</v>
      </c>
      <c r="SQ35">
        <v>229</v>
      </c>
      <c r="SR35">
        <v>188</v>
      </c>
      <c r="SS35">
        <v>228</v>
      </c>
      <c r="ST35">
        <v>191</v>
      </c>
      <c r="SU35">
        <v>189</v>
      </c>
      <c r="SV35">
        <v>191</v>
      </c>
      <c r="SW35">
        <f t="shared" si="42"/>
        <v>2440</v>
      </c>
      <c r="SX35" t="s">
        <v>1543</v>
      </c>
      <c r="SY35">
        <v>1880</v>
      </c>
      <c r="SZ35">
        <v>2098</v>
      </c>
      <c r="TA35">
        <v>2230</v>
      </c>
      <c r="TB35">
        <v>2790</v>
      </c>
      <c r="TC35">
        <v>1975</v>
      </c>
      <c r="TD35">
        <v>2175</v>
      </c>
      <c r="TE35">
        <v>2171</v>
      </c>
      <c r="TF35">
        <v>2221</v>
      </c>
      <c r="TG35">
        <v>1969</v>
      </c>
      <c r="TH35">
        <v>2373</v>
      </c>
      <c r="TI35">
        <v>2293</v>
      </c>
      <c r="TJ35">
        <v>2209</v>
      </c>
      <c r="TK35">
        <f t="shared" si="43"/>
        <v>26384</v>
      </c>
      <c r="TL35">
        <v>0</v>
      </c>
      <c r="TM35">
        <v>0</v>
      </c>
      <c r="TN35">
        <v>0</v>
      </c>
      <c r="TO35">
        <v>0</v>
      </c>
      <c r="TP35">
        <v>0</v>
      </c>
      <c r="TQ35">
        <v>0</v>
      </c>
      <c r="TR35">
        <v>0</v>
      </c>
      <c r="TS35">
        <v>0</v>
      </c>
      <c r="TT35">
        <v>0</v>
      </c>
      <c r="TU35">
        <v>0</v>
      </c>
      <c r="TV35">
        <v>0</v>
      </c>
      <c r="TW35">
        <v>0</v>
      </c>
      <c r="TX35">
        <f t="shared" si="44"/>
        <v>0</v>
      </c>
      <c r="TY35">
        <v>83</v>
      </c>
      <c r="TZ35">
        <v>0</v>
      </c>
      <c r="UA35">
        <v>0</v>
      </c>
      <c r="UB35">
        <v>0</v>
      </c>
    </row>
    <row r="36" spans="1:548" ht="16.5" customHeight="1" x14ac:dyDescent="0.35">
      <c r="A36" t="s">
        <v>1435</v>
      </c>
      <c r="B36" t="s">
        <v>2864</v>
      </c>
      <c r="C36">
        <v>75939</v>
      </c>
      <c r="D36">
        <v>27356</v>
      </c>
      <c r="E36">
        <v>4433</v>
      </c>
      <c r="F36">
        <v>43519</v>
      </c>
      <c r="G36">
        <v>492</v>
      </c>
      <c r="H36">
        <v>468</v>
      </c>
      <c r="I36">
        <v>417</v>
      </c>
      <c r="J36">
        <v>475</v>
      </c>
      <c r="K36">
        <v>405</v>
      </c>
      <c r="L36">
        <v>460</v>
      </c>
      <c r="M36">
        <v>426</v>
      </c>
      <c r="N36">
        <v>418</v>
      </c>
      <c r="O36">
        <v>362</v>
      </c>
      <c r="P36">
        <v>425</v>
      </c>
      <c r="Q36">
        <v>396</v>
      </c>
      <c r="R36">
        <v>399</v>
      </c>
      <c r="S36">
        <f t="shared" si="0"/>
        <v>5143</v>
      </c>
      <c r="T36">
        <v>362</v>
      </c>
      <c r="U36">
        <v>333</v>
      </c>
      <c r="V36">
        <v>294</v>
      </c>
      <c r="W36">
        <v>346</v>
      </c>
      <c r="X36">
        <v>287</v>
      </c>
      <c r="Y36">
        <v>338</v>
      </c>
      <c r="Z36">
        <v>304</v>
      </c>
      <c r="AA36">
        <v>296</v>
      </c>
      <c r="AB36">
        <v>270</v>
      </c>
      <c r="AC36">
        <v>306</v>
      </c>
      <c r="AD36">
        <v>282</v>
      </c>
      <c r="AE36">
        <v>278</v>
      </c>
      <c r="AF36">
        <f t="shared" si="1"/>
        <v>3696</v>
      </c>
      <c r="AG36">
        <v>0</v>
      </c>
      <c r="AH36">
        <v>0</v>
      </c>
      <c r="AI36">
        <v>0</v>
      </c>
      <c r="AJ36">
        <v>0</v>
      </c>
      <c r="AK36">
        <v>0</v>
      </c>
      <c r="AL36">
        <v>0</v>
      </c>
      <c r="AM36">
        <v>0</v>
      </c>
      <c r="AN36">
        <v>0</v>
      </c>
      <c r="AO36">
        <v>0</v>
      </c>
      <c r="AP36">
        <v>0</v>
      </c>
      <c r="AQ36">
        <v>0</v>
      </c>
      <c r="AR36">
        <v>0</v>
      </c>
      <c r="AS36">
        <f t="shared" si="2"/>
        <v>0</v>
      </c>
      <c r="AT36">
        <v>130</v>
      </c>
      <c r="AU36">
        <v>135</v>
      </c>
      <c r="AV36">
        <v>123</v>
      </c>
      <c r="AW36">
        <v>129</v>
      </c>
      <c r="AX36">
        <v>118</v>
      </c>
      <c r="AY36">
        <v>122</v>
      </c>
      <c r="AZ36">
        <v>122</v>
      </c>
      <c r="BA36">
        <v>122</v>
      </c>
      <c r="BB36">
        <v>92</v>
      </c>
      <c r="BC36">
        <v>119</v>
      </c>
      <c r="BD36">
        <v>114</v>
      </c>
      <c r="BE36">
        <v>121</v>
      </c>
      <c r="BF36">
        <f t="shared" si="3"/>
        <v>1447</v>
      </c>
      <c r="BG36">
        <v>0</v>
      </c>
      <c r="BH36">
        <v>0</v>
      </c>
      <c r="BI36">
        <v>0</v>
      </c>
      <c r="BJ36">
        <v>0</v>
      </c>
      <c r="BK36">
        <v>0</v>
      </c>
      <c r="BL36">
        <v>0</v>
      </c>
      <c r="BM36">
        <v>0</v>
      </c>
      <c r="BN36">
        <v>0</v>
      </c>
      <c r="BO36">
        <v>0</v>
      </c>
      <c r="BP36">
        <v>0</v>
      </c>
      <c r="BQ36">
        <v>0</v>
      </c>
      <c r="BR36">
        <v>0</v>
      </c>
      <c r="BS36">
        <f t="shared" si="4"/>
        <v>0</v>
      </c>
      <c r="BT36">
        <v>0</v>
      </c>
      <c r="BU36">
        <v>0</v>
      </c>
      <c r="BV36">
        <v>0</v>
      </c>
      <c r="BW36">
        <v>0</v>
      </c>
      <c r="BX36">
        <v>0</v>
      </c>
      <c r="BY36">
        <v>0</v>
      </c>
      <c r="BZ36">
        <v>0</v>
      </c>
      <c r="CA36">
        <v>0</v>
      </c>
      <c r="CB36">
        <v>0</v>
      </c>
      <c r="CC36">
        <v>0</v>
      </c>
      <c r="CD36">
        <v>0</v>
      </c>
      <c r="CE36">
        <v>0</v>
      </c>
      <c r="CF36">
        <f t="shared" si="5"/>
        <v>0</v>
      </c>
      <c r="CG36">
        <v>0</v>
      </c>
      <c r="CH36">
        <v>0</v>
      </c>
      <c r="CI36">
        <v>0</v>
      </c>
      <c r="CJ36">
        <v>0</v>
      </c>
      <c r="CK36">
        <v>0</v>
      </c>
      <c r="CL36">
        <v>0</v>
      </c>
      <c r="CM36">
        <v>0</v>
      </c>
      <c r="CN36">
        <v>0</v>
      </c>
      <c r="CO36">
        <v>0</v>
      </c>
      <c r="CP36">
        <v>0</v>
      </c>
      <c r="CQ36">
        <v>0</v>
      </c>
      <c r="CR36">
        <v>0</v>
      </c>
      <c r="CS36">
        <f t="shared" si="6"/>
        <v>0</v>
      </c>
      <c r="CT36">
        <v>0</v>
      </c>
      <c r="CU36">
        <v>0</v>
      </c>
      <c r="CV36">
        <v>0</v>
      </c>
      <c r="CW36">
        <v>0</v>
      </c>
      <c r="CX36">
        <v>0</v>
      </c>
      <c r="CY36">
        <v>0</v>
      </c>
      <c r="CZ36">
        <v>0</v>
      </c>
      <c r="DA36">
        <v>0</v>
      </c>
      <c r="DB36">
        <v>0</v>
      </c>
      <c r="DC36">
        <v>0</v>
      </c>
      <c r="DD36">
        <v>0</v>
      </c>
      <c r="DE36">
        <v>0</v>
      </c>
      <c r="DF36">
        <f t="shared" si="7"/>
        <v>0</v>
      </c>
      <c r="DG36">
        <v>0</v>
      </c>
      <c r="DH36">
        <v>0</v>
      </c>
      <c r="DI36">
        <v>0</v>
      </c>
      <c r="DJ36">
        <v>0</v>
      </c>
      <c r="DK36">
        <v>0</v>
      </c>
      <c r="DL36">
        <v>0</v>
      </c>
      <c r="DM36">
        <v>0</v>
      </c>
      <c r="DN36">
        <v>0</v>
      </c>
      <c r="DO36">
        <v>0</v>
      </c>
      <c r="DP36">
        <v>0</v>
      </c>
      <c r="DQ36">
        <v>0</v>
      </c>
      <c r="DR36">
        <v>0</v>
      </c>
      <c r="DS36">
        <f t="shared" si="8"/>
        <v>0</v>
      </c>
      <c r="DT36">
        <v>0</v>
      </c>
      <c r="DU36">
        <v>0</v>
      </c>
      <c r="DV36">
        <v>0</v>
      </c>
      <c r="DW36">
        <v>0</v>
      </c>
      <c r="DX36">
        <v>0</v>
      </c>
      <c r="DY36">
        <v>0</v>
      </c>
      <c r="DZ36">
        <v>0</v>
      </c>
      <c r="EA36">
        <v>0</v>
      </c>
      <c r="EB36">
        <v>0</v>
      </c>
      <c r="EC36">
        <v>0</v>
      </c>
      <c r="ED36">
        <v>0</v>
      </c>
      <c r="EE36">
        <v>0</v>
      </c>
      <c r="EF36">
        <f t="shared" si="9"/>
        <v>0</v>
      </c>
      <c r="EG36">
        <f t="shared" si="10"/>
        <v>5143</v>
      </c>
      <c r="EH36">
        <f t="shared" si="11"/>
        <v>0</v>
      </c>
      <c r="EI36">
        <v>3656</v>
      </c>
      <c r="EJ36">
        <v>3821</v>
      </c>
      <c r="EK36">
        <v>3748</v>
      </c>
      <c r="EL36">
        <v>4596</v>
      </c>
      <c r="EM36">
        <v>4261</v>
      </c>
      <c r="EN36">
        <v>3938</v>
      </c>
      <c r="EO36">
        <v>4181</v>
      </c>
      <c r="EP36">
        <v>3411</v>
      </c>
      <c r="EQ36">
        <v>2766</v>
      </c>
      <c r="ER36">
        <v>3657</v>
      </c>
      <c r="ES36">
        <v>3858</v>
      </c>
      <c r="ET36">
        <v>3794</v>
      </c>
      <c r="EU36">
        <f t="shared" si="12"/>
        <v>45687</v>
      </c>
      <c r="EV36">
        <v>2625</v>
      </c>
      <c r="EW36">
        <v>2725</v>
      </c>
      <c r="EX36">
        <v>2480</v>
      </c>
      <c r="EY36">
        <v>3421</v>
      </c>
      <c r="EZ36">
        <v>3313</v>
      </c>
      <c r="FA36">
        <v>2691</v>
      </c>
      <c r="FB36">
        <v>3060</v>
      </c>
      <c r="FC36">
        <v>2331</v>
      </c>
      <c r="FD36">
        <v>2010</v>
      </c>
      <c r="FE36">
        <v>2536</v>
      </c>
      <c r="FF36">
        <v>2684</v>
      </c>
      <c r="FG36">
        <v>2623</v>
      </c>
      <c r="FH36">
        <f t="shared" si="13"/>
        <v>32499</v>
      </c>
      <c r="FI36">
        <v>0</v>
      </c>
      <c r="FJ36">
        <v>0</v>
      </c>
      <c r="FK36">
        <v>0</v>
      </c>
      <c r="FL36">
        <v>0</v>
      </c>
      <c r="FM36">
        <v>0</v>
      </c>
      <c r="FN36">
        <v>0</v>
      </c>
      <c r="FO36">
        <v>0</v>
      </c>
      <c r="FP36">
        <v>0</v>
      </c>
      <c r="FQ36">
        <v>0</v>
      </c>
      <c r="FR36">
        <v>0</v>
      </c>
      <c r="FS36">
        <v>0</v>
      </c>
      <c r="FT36">
        <v>0</v>
      </c>
      <c r="FU36">
        <f t="shared" si="14"/>
        <v>0</v>
      </c>
      <c r="FV36">
        <v>1031</v>
      </c>
      <c r="FW36">
        <v>1096</v>
      </c>
      <c r="FX36">
        <v>1268</v>
      </c>
      <c r="FY36">
        <v>1175</v>
      </c>
      <c r="FZ36">
        <v>948</v>
      </c>
      <c r="GA36">
        <v>1247</v>
      </c>
      <c r="GB36">
        <v>1121</v>
      </c>
      <c r="GC36">
        <v>1080</v>
      </c>
      <c r="GD36">
        <v>756</v>
      </c>
      <c r="GE36">
        <v>1121</v>
      </c>
      <c r="GF36">
        <v>1174</v>
      </c>
      <c r="GG36">
        <v>1171</v>
      </c>
      <c r="GH36">
        <f t="shared" si="15"/>
        <v>13188</v>
      </c>
      <c r="GI36">
        <v>0</v>
      </c>
      <c r="GJ36">
        <v>0</v>
      </c>
      <c r="GK36">
        <v>0</v>
      </c>
      <c r="GL36">
        <v>0</v>
      </c>
      <c r="GM36">
        <v>0</v>
      </c>
      <c r="GN36">
        <v>0</v>
      </c>
      <c r="GO36">
        <v>0</v>
      </c>
      <c r="GP36">
        <v>0</v>
      </c>
      <c r="GQ36">
        <v>0</v>
      </c>
      <c r="GR36">
        <v>0</v>
      </c>
      <c r="GS36">
        <v>0</v>
      </c>
      <c r="GT36">
        <v>0</v>
      </c>
      <c r="GU36">
        <f t="shared" si="16"/>
        <v>0</v>
      </c>
      <c r="GV36">
        <v>0</v>
      </c>
      <c r="GW36">
        <v>0</v>
      </c>
      <c r="GX36">
        <v>0</v>
      </c>
      <c r="GY36">
        <v>0</v>
      </c>
      <c r="GZ36">
        <v>0</v>
      </c>
      <c r="HA36">
        <v>0</v>
      </c>
      <c r="HB36">
        <v>0</v>
      </c>
      <c r="HC36">
        <v>0</v>
      </c>
      <c r="HD36">
        <v>0</v>
      </c>
      <c r="HE36">
        <v>0</v>
      </c>
      <c r="HF36">
        <v>0</v>
      </c>
      <c r="HG36">
        <v>0</v>
      </c>
      <c r="HH36">
        <f t="shared" si="17"/>
        <v>0</v>
      </c>
      <c r="HI36">
        <v>0</v>
      </c>
      <c r="HJ36">
        <v>0</v>
      </c>
      <c r="HK36">
        <v>0</v>
      </c>
      <c r="HL36">
        <v>0</v>
      </c>
      <c r="HM36">
        <v>0</v>
      </c>
      <c r="HN36">
        <v>0</v>
      </c>
      <c r="HO36">
        <v>0</v>
      </c>
      <c r="HP36">
        <v>0</v>
      </c>
      <c r="HQ36">
        <v>0</v>
      </c>
      <c r="HR36">
        <v>0</v>
      </c>
      <c r="HS36">
        <v>0</v>
      </c>
      <c r="HT36">
        <v>0</v>
      </c>
      <c r="HU36">
        <f t="shared" si="18"/>
        <v>0</v>
      </c>
      <c r="HV36">
        <v>0</v>
      </c>
      <c r="HW36">
        <v>0</v>
      </c>
      <c r="HX36">
        <v>0</v>
      </c>
      <c r="HY36">
        <v>0</v>
      </c>
      <c r="HZ36">
        <v>0</v>
      </c>
      <c r="IA36">
        <v>0</v>
      </c>
      <c r="IB36">
        <v>0</v>
      </c>
      <c r="IC36">
        <v>0</v>
      </c>
      <c r="ID36">
        <v>0</v>
      </c>
      <c r="IE36">
        <v>0</v>
      </c>
      <c r="IF36">
        <v>0</v>
      </c>
      <c r="IG36">
        <v>0</v>
      </c>
      <c r="IH36">
        <f t="shared" si="19"/>
        <v>0</v>
      </c>
      <c r="II36">
        <f t="shared" si="20"/>
        <v>45687</v>
      </c>
      <c r="IJ36">
        <f t="shared" si="21"/>
        <v>0</v>
      </c>
      <c r="IK36">
        <v>112536</v>
      </c>
      <c r="IL36">
        <v>117928</v>
      </c>
      <c r="IM36">
        <v>111449</v>
      </c>
      <c r="IN36">
        <v>142305</v>
      </c>
      <c r="IO36">
        <v>148345</v>
      </c>
      <c r="IP36">
        <v>121518</v>
      </c>
      <c r="IQ36">
        <v>116855</v>
      </c>
      <c r="IR36">
        <v>109224</v>
      </c>
      <c r="IS36">
        <v>99167</v>
      </c>
      <c r="IT36">
        <v>106782</v>
      </c>
      <c r="IU36">
        <v>111025</v>
      </c>
      <c r="IV36">
        <v>117962</v>
      </c>
      <c r="IW36">
        <f t="shared" si="22"/>
        <v>1415096</v>
      </c>
      <c r="IX36">
        <v>56372</v>
      </c>
      <c r="IY36">
        <v>58634</v>
      </c>
      <c r="IZ36">
        <v>55053</v>
      </c>
      <c r="JA36">
        <v>78727</v>
      </c>
      <c r="JB36">
        <v>82854</v>
      </c>
      <c r="JC36">
        <v>63269</v>
      </c>
      <c r="JD36">
        <v>55817</v>
      </c>
      <c r="JE36">
        <v>55365</v>
      </c>
      <c r="JF36">
        <v>46431</v>
      </c>
      <c r="JG36">
        <v>43542</v>
      </c>
      <c r="JH36">
        <v>56753</v>
      </c>
      <c r="JI36">
        <v>59849</v>
      </c>
      <c r="JJ36">
        <f t="shared" si="23"/>
        <v>712666</v>
      </c>
      <c r="JK36">
        <v>1920</v>
      </c>
      <c r="JL36">
        <v>1910</v>
      </c>
      <c r="JM36">
        <v>1755</v>
      </c>
      <c r="JN36">
        <v>2647</v>
      </c>
      <c r="JO36">
        <v>2777</v>
      </c>
      <c r="JP36">
        <v>2074</v>
      </c>
      <c r="JQ36">
        <v>2036</v>
      </c>
      <c r="JR36">
        <v>1691</v>
      </c>
      <c r="JS36">
        <v>1540</v>
      </c>
      <c r="JT36">
        <v>1672</v>
      </c>
      <c r="JU36">
        <v>1710</v>
      </c>
      <c r="JV36">
        <v>1720</v>
      </c>
      <c r="JW36">
        <f t="shared" si="24"/>
        <v>23452</v>
      </c>
      <c r="JX36">
        <v>54244</v>
      </c>
      <c r="JY36">
        <v>26384</v>
      </c>
      <c r="JZ36">
        <v>54641</v>
      </c>
      <c r="KA36">
        <v>60931</v>
      </c>
      <c r="KB36">
        <v>62714</v>
      </c>
      <c r="KC36">
        <v>56175</v>
      </c>
      <c r="KD36">
        <v>59002</v>
      </c>
      <c r="KE36">
        <v>52168</v>
      </c>
      <c r="KF36">
        <v>51196</v>
      </c>
      <c r="KG36">
        <v>61568</v>
      </c>
      <c r="KH36">
        <v>52562</v>
      </c>
      <c r="KI36">
        <v>62393</v>
      </c>
      <c r="KJ36">
        <f t="shared" si="25"/>
        <v>653978</v>
      </c>
      <c r="KK36">
        <v>242</v>
      </c>
      <c r="KL36">
        <v>491</v>
      </c>
      <c r="KM36">
        <v>448</v>
      </c>
      <c r="KN36">
        <v>549</v>
      </c>
      <c r="KO36">
        <v>560</v>
      </c>
      <c r="KP36">
        <v>535</v>
      </c>
      <c r="KQ36">
        <v>537</v>
      </c>
      <c r="KR36">
        <v>425</v>
      </c>
      <c r="KS36">
        <v>411</v>
      </c>
      <c r="KT36">
        <v>459</v>
      </c>
      <c r="KU36">
        <v>453</v>
      </c>
      <c r="KV36">
        <v>529</v>
      </c>
      <c r="KW36">
        <f t="shared" si="26"/>
        <v>5639</v>
      </c>
      <c r="KX36">
        <v>121</v>
      </c>
      <c r="KY36">
        <v>136</v>
      </c>
      <c r="KZ36">
        <v>103</v>
      </c>
      <c r="LA36">
        <v>158</v>
      </c>
      <c r="LB36">
        <v>158</v>
      </c>
      <c r="LC36">
        <v>100</v>
      </c>
      <c r="LD36">
        <v>130</v>
      </c>
      <c r="LE36">
        <v>100</v>
      </c>
      <c r="LF36">
        <v>97</v>
      </c>
      <c r="LG36">
        <v>102</v>
      </c>
      <c r="LH36">
        <v>94</v>
      </c>
      <c r="LI36">
        <v>119</v>
      </c>
      <c r="LJ36">
        <f t="shared" si="27"/>
        <v>1418</v>
      </c>
      <c r="LK36">
        <v>0</v>
      </c>
      <c r="LL36">
        <v>0</v>
      </c>
      <c r="LM36">
        <v>0</v>
      </c>
      <c r="LN36">
        <v>0</v>
      </c>
      <c r="LO36">
        <v>0</v>
      </c>
      <c r="LP36">
        <v>0</v>
      </c>
      <c r="LQ36">
        <v>0</v>
      </c>
      <c r="LR36">
        <v>0</v>
      </c>
      <c r="LS36">
        <v>0</v>
      </c>
      <c r="LT36">
        <v>0</v>
      </c>
      <c r="LU36">
        <v>0</v>
      </c>
      <c r="LV36">
        <v>0</v>
      </c>
      <c r="LW36">
        <f t="shared" si="28"/>
        <v>0</v>
      </c>
      <c r="LX36">
        <v>121</v>
      </c>
      <c r="LY36">
        <v>355</v>
      </c>
      <c r="LZ36">
        <v>345</v>
      </c>
      <c r="MA36">
        <v>391</v>
      </c>
      <c r="MB36">
        <v>402</v>
      </c>
      <c r="MC36">
        <v>435</v>
      </c>
      <c r="MD36">
        <v>407</v>
      </c>
      <c r="ME36">
        <v>325</v>
      </c>
      <c r="MF36">
        <v>314</v>
      </c>
      <c r="MG36">
        <v>357</v>
      </c>
      <c r="MH36">
        <v>359</v>
      </c>
      <c r="MI36">
        <v>410</v>
      </c>
      <c r="MJ36">
        <f t="shared" si="29"/>
        <v>4221</v>
      </c>
      <c r="MK36">
        <v>7455</v>
      </c>
      <c r="ML36">
        <v>7575</v>
      </c>
      <c r="MM36">
        <v>7748</v>
      </c>
      <c r="MN36">
        <v>8155</v>
      </c>
      <c r="MO36">
        <v>8598</v>
      </c>
      <c r="MP36">
        <v>7879</v>
      </c>
      <c r="MQ36">
        <v>7795</v>
      </c>
      <c r="MR36">
        <v>7757</v>
      </c>
      <c r="MS36">
        <v>7568</v>
      </c>
      <c r="MT36">
        <v>7447</v>
      </c>
      <c r="MU36">
        <v>7038</v>
      </c>
      <c r="MV36">
        <v>7596</v>
      </c>
      <c r="MW36">
        <f t="shared" si="30"/>
        <v>92611</v>
      </c>
      <c r="MX36">
        <v>757</v>
      </c>
      <c r="MY36">
        <v>700</v>
      </c>
      <c r="MZ36">
        <v>629</v>
      </c>
      <c r="NA36">
        <v>745</v>
      </c>
      <c r="NB36">
        <v>947</v>
      </c>
      <c r="NC36">
        <v>700</v>
      </c>
      <c r="ND36">
        <v>666</v>
      </c>
      <c r="NE36">
        <v>758</v>
      </c>
      <c r="NF36">
        <v>643</v>
      </c>
      <c r="NG36">
        <v>647</v>
      </c>
      <c r="NH36">
        <v>674</v>
      </c>
      <c r="NI36">
        <v>740</v>
      </c>
      <c r="NJ36">
        <f t="shared" si="31"/>
        <v>8606</v>
      </c>
      <c r="NK36">
        <v>281</v>
      </c>
      <c r="NL36">
        <v>277</v>
      </c>
      <c r="NM36">
        <v>281</v>
      </c>
      <c r="NN36">
        <v>350</v>
      </c>
      <c r="NO36">
        <v>392</v>
      </c>
      <c r="NP36">
        <v>341</v>
      </c>
      <c r="NQ36">
        <v>347</v>
      </c>
      <c r="NR36">
        <v>353</v>
      </c>
      <c r="NS36">
        <v>298</v>
      </c>
      <c r="NT36">
        <v>279</v>
      </c>
      <c r="NU36">
        <v>330</v>
      </c>
      <c r="NV36">
        <v>281</v>
      </c>
      <c r="NW36">
        <f t="shared" si="32"/>
        <v>3810</v>
      </c>
      <c r="NX36">
        <v>6417</v>
      </c>
      <c r="NY36">
        <v>6598</v>
      </c>
      <c r="NZ36">
        <v>3838</v>
      </c>
      <c r="OA36">
        <v>7060</v>
      </c>
      <c r="OB36">
        <v>7259</v>
      </c>
      <c r="OC36">
        <v>6838</v>
      </c>
      <c r="OD36">
        <v>6782</v>
      </c>
      <c r="OE36">
        <v>6646</v>
      </c>
      <c r="OF36">
        <v>6627</v>
      </c>
      <c r="OG36">
        <v>6521</v>
      </c>
      <c r="OH36">
        <v>6034</v>
      </c>
      <c r="OI36">
        <v>6575</v>
      </c>
      <c r="OJ36">
        <f t="shared" si="33"/>
        <v>77195</v>
      </c>
      <c r="OK36">
        <v>22408</v>
      </c>
      <c r="OL36">
        <v>22950</v>
      </c>
      <c r="OM36">
        <v>22277</v>
      </c>
      <c r="ON36">
        <v>23715</v>
      </c>
      <c r="OO36">
        <v>24729</v>
      </c>
      <c r="OP36">
        <v>23449</v>
      </c>
      <c r="OQ36">
        <v>24281</v>
      </c>
      <c r="OR36">
        <v>23478</v>
      </c>
      <c r="OS36">
        <v>23464</v>
      </c>
      <c r="OT36">
        <v>20347</v>
      </c>
      <c r="OU36">
        <v>23882</v>
      </c>
      <c r="OV36">
        <v>26813</v>
      </c>
      <c r="OW36">
        <f t="shared" si="34"/>
        <v>281793</v>
      </c>
      <c r="OX36">
        <v>3679</v>
      </c>
      <c r="OY36">
        <v>3606</v>
      </c>
      <c r="OZ36">
        <v>3423</v>
      </c>
      <c r="PA36">
        <v>4164</v>
      </c>
      <c r="PB36">
        <v>4498</v>
      </c>
      <c r="PC36">
        <v>3506</v>
      </c>
      <c r="PD36">
        <v>3885</v>
      </c>
      <c r="PE36">
        <v>3671</v>
      </c>
      <c r="PF36">
        <v>3690</v>
      </c>
      <c r="PG36">
        <v>3575</v>
      </c>
      <c r="PH36">
        <v>38556</v>
      </c>
      <c r="PI36">
        <v>4472</v>
      </c>
      <c r="PJ36">
        <f t="shared" si="35"/>
        <v>80725</v>
      </c>
      <c r="PK36">
        <v>854</v>
      </c>
      <c r="PL36">
        <v>904</v>
      </c>
      <c r="PM36">
        <v>787</v>
      </c>
      <c r="PN36">
        <v>927</v>
      </c>
      <c r="PO36">
        <v>897</v>
      </c>
      <c r="PP36">
        <v>848</v>
      </c>
      <c r="PQ36">
        <v>886</v>
      </c>
      <c r="PR36">
        <v>818</v>
      </c>
      <c r="PS36">
        <v>821</v>
      </c>
      <c r="PT36">
        <v>914</v>
      </c>
      <c r="PU36">
        <v>919</v>
      </c>
      <c r="PV36">
        <v>988</v>
      </c>
      <c r="PW36">
        <f t="shared" si="36"/>
        <v>10563</v>
      </c>
      <c r="PX36">
        <v>17875</v>
      </c>
      <c r="PY36">
        <v>18440</v>
      </c>
      <c r="PZ36">
        <v>18067</v>
      </c>
      <c r="QA36">
        <v>18624</v>
      </c>
      <c r="QB36">
        <v>19334</v>
      </c>
      <c r="QC36">
        <v>19095</v>
      </c>
      <c r="QD36">
        <v>19510</v>
      </c>
      <c r="QE36">
        <v>18989</v>
      </c>
      <c r="QF36">
        <v>18953</v>
      </c>
      <c r="QG36">
        <v>19517</v>
      </c>
      <c r="QH36">
        <v>19107</v>
      </c>
      <c r="QI36">
        <v>21353</v>
      </c>
      <c r="QJ36">
        <f t="shared" si="37"/>
        <v>228864</v>
      </c>
      <c r="QK36">
        <v>53015</v>
      </c>
      <c r="QL36">
        <v>55312</v>
      </c>
      <c r="QM36">
        <v>54615</v>
      </c>
      <c r="QN36">
        <v>65752</v>
      </c>
      <c r="QO36">
        <v>60737</v>
      </c>
      <c r="QP36">
        <v>57371</v>
      </c>
      <c r="QQ36">
        <v>58460</v>
      </c>
      <c r="QR36">
        <v>49630</v>
      </c>
      <c r="QS36">
        <v>41661</v>
      </c>
      <c r="QT36">
        <v>48743</v>
      </c>
      <c r="QU36">
        <v>45262</v>
      </c>
      <c r="QV36">
        <v>47248</v>
      </c>
      <c r="QW36">
        <f t="shared" si="38"/>
        <v>637806</v>
      </c>
      <c r="QX36">
        <v>63720</v>
      </c>
      <c r="QY36">
        <v>73959</v>
      </c>
      <c r="QZ36">
        <v>67787</v>
      </c>
      <c r="RA36">
        <v>83091</v>
      </c>
      <c r="RB36">
        <v>80709</v>
      </c>
      <c r="RC36">
        <v>65249</v>
      </c>
      <c r="RD36">
        <v>76476</v>
      </c>
      <c r="RE36">
        <v>65863</v>
      </c>
      <c r="RF36">
        <v>60394</v>
      </c>
      <c r="RG36">
        <v>76067</v>
      </c>
      <c r="RH36">
        <v>75172</v>
      </c>
      <c r="RI36">
        <v>79108</v>
      </c>
      <c r="RJ36">
        <f t="shared" si="39"/>
        <v>867595</v>
      </c>
      <c r="RK36">
        <v>0</v>
      </c>
      <c r="RL36">
        <v>0</v>
      </c>
      <c r="RM36">
        <v>0</v>
      </c>
      <c r="RN36">
        <v>0</v>
      </c>
      <c r="RO36">
        <v>0</v>
      </c>
      <c r="RP36">
        <v>0</v>
      </c>
      <c r="RQ36">
        <v>0</v>
      </c>
      <c r="RR36">
        <v>0</v>
      </c>
      <c r="RS36">
        <v>0</v>
      </c>
      <c r="RT36">
        <v>0</v>
      </c>
      <c r="RU36">
        <v>0</v>
      </c>
      <c r="RV36">
        <v>0</v>
      </c>
      <c r="RW36">
        <f t="shared" si="40"/>
        <v>0</v>
      </c>
      <c r="RX36">
        <v>0</v>
      </c>
      <c r="RY36">
        <v>0</v>
      </c>
      <c r="RZ36">
        <v>0</v>
      </c>
      <c r="SA36">
        <v>0</v>
      </c>
      <c r="SB36">
        <v>0</v>
      </c>
      <c r="SC36">
        <v>0</v>
      </c>
      <c r="SD36">
        <v>0</v>
      </c>
      <c r="SE36">
        <v>0</v>
      </c>
      <c r="SF36">
        <v>0</v>
      </c>
      <c r="SG36">
        <v>0</v>
      </c>
      <c r="SH36">
        <v>0</v>
      </c>
      <c r="SI36">
        <v>0</v>
      </c>
      <c r="SJ36">
        <f t="shared" si="41"/>
        <v>0</v>
      </c>
      <c r="SK36">
        <v>34</v>
      </c>
      <c r="SL36">
        <v>37</v>
      </c>
      <c r="SM36">
        <v>9</v>
      </c>
      <c r="SN36">
        <v>40</v>
      </c>
      <c r="SO36">
        <v>24</v>
      </c>
      <c r="SP36">
        <v>39</v>
      </c>
      <c r="SQ36">
        <v>33</v>
      </c>
      <c r="SR36">
        <v>41</v>
      </c>
      <c r="SS36">
        <v>35</v>
      </c>
      <c r="ST36">
        <v>37</v>
      </c>
      <c r="SU36">
        <v>24</v>
      </c>
      <c r="SV36">
        <v>31</v>
      </c>
      <c r="SW36">
        <f t="shared" si="42"/>
        <v>384</v>
      </c>
      <c r="SX36" t="s">
        <v>1384</v>
      </c>
      <c r="SY36">
        <v>55702</v>
      </c>
      <c r="SZ36">
        <v>5728</v>
      </c>
      <c r="TA36">
        <v>5746</v>
      </c>
      <c r="TB36">
        <v>6535</v>
      </c>
      <c r="TC36">
        <v>6038</v>
      </c>
      <c r="TD36">
        <v>6332</v>
      </c>
      <c r="TE36">
        <v>6435</v>
      </c>
      <c r="TF36">
        <v>5220</v>
      </c>
      <c r="TG36">
        <v>5498</v>
      </c>
      <c r="TH36">
        <v>6824</v>
      </c>
      <c r="TI36">
        <v>6309</v>
      </c>
      <c r="TJ36">
        <v>6918</v>
      </c>
      <c r="TK36">
        <f t="shared" si="43"/>
        <v>123285</v>
      </c>
      <c r="TL36">
        <v>0</v>
      </c>
      <c r="TM36">
        <v>0</v>
      </c>
      <c r="TN36">
        <v>0</v>
      </c>
      <c r="TO36">
        <v>0</v>
      </c>
      <c r="TP36">
        <v>0</v>
      </c>
      <c r="TQ36">
        <v>0</v>
      </c>
      <c r="TR36">
        <v>0</v>
      </c>
      <c r="TS36">
        <v>0</v>
      </c>
      <c r="TT36">
        <v>0</v>
      </c>
      <c r="TU36">
        <v>0</v>
      </c>
      <c r="TV36">
        <v>0</v>
      </c>
      <c r="TW36">
        <v>0</v>
      </c>
      <c r="TX36">
        <f t="shared" si="44"/>
        <v>0</v>
      </c>
      <c r="TY36">
        <v>137</v>
      </c>
      <c r="TZ36">
        <v>11</v>
      </c>
      <c r="UA36">
        <v>929</v>
      </c>
      <c r="UB36">
        <v>0</v>
      </c>
    </row>
    <row r="37" spans="1:548" ht="16.5" customHeight="1" x14ac:dyDescent="0.35">
      <c r="A37" t="s">
        <v>1520</v>
      </c>
      <c r="B37" t="s">
        <v>2866</v>
      </c>
      <c r="C37">
        <v>25322</v>
      </c>
      <c r="D37">
        <v>18575</v>
      </c>
      <c r="E37">
        <v>4804</v>
      </c>
      <c r="F37">
        <v>1943</v>
      </c>
      <c r="G37" t="s">
        <v>1521</v>
      </c>
      <c r="H37">
        <v>950</v>
      </c>
      <c r="I37">
        <v>950</v>
      </c>
      <c r="J37">
        <v>950</v>
      </c>
      <c r="K37">
        <v>950</v>
      </c>
      <c r="L37">
        <v>950</v>
      </c>
      <c r="M37">
        <v>1000</v>
      </c>
      <c r="N37">
        <v>1000</v>
      </c>
      <c r="O37">
        <v>850</v>
      </c>
      <c r="P37">
        <v>1050</v>
      </c>
      <c r="Q37">
        <v>1145</v>
      </c>
      <c r="R37">
        <v>1266</v>
      </c>
      <c r="S37">
        <f t="shared" si="0"/>
        <v>11061</v>
      </c>
      <c r="T37">
        <v>577</v>
      </c>
      <c r="U37">
        <v>577</v>
      </c>
      <c r="V37">
        <v>577</v>
      </c>
      <c r="W37">
        <v>577</v>
      </c>
      <c r="X37">
        <v>577</v>
      </c>
      <c r="Y37">
        <v>577</v>
      </c>
      <c r="Z37">
        <v>607</v>
      </c>
      <c r="AA37">
        <v>607</v>
      </c>
      <c r="AB37">
        <v>516</v>
      </c>
      <c r="AC37">
        <v>638</v>
      </c>
      <c r="AD37">
        <v>695</v>
      </c>
      <c r="AE37">
        <v>769</v>
      </c>
      <c r="AF37">
        <f t="shared" si="1"/>
        <v>7294</v>
      </c>
      <c r="AG37">
        <v>22</v>
      </c>
      <c r="AH37">
        <v>22</v>
      </c>
      <c r="AI37">
        <v>22</v>
      </c>
      <c r="AJ37">
        <v>22</v>
      </c>
      <c r="AK37">
        <v>22</v>
      </c>
      <c r="AL37">
        <v>22</v>
      </c>
      <c r="AM37">
        <v>23</v>
      </c>
      <c r="AN37">
        <v>23</v>
      </c>
      <c r="AO37">
        <v>19</v>
      </c>
      <c r="AP37">
        <v>24</v>
      </c>
      <c r="AQ37">
        <v>26</v>
      </c>
      <c r="AR37">
        <v>29</v>
      </c>
      <c r="AS37">
        <f t="shared" si="2"/>
        <v>276</v>
      </c>
      <c r="AT37">
        <v>351</v>
      </c>
      <c r="AU37">
        <v>351</v>
      </c>
      <c r="AV37">
        <v>351</v>
      </c>
      <c r="AW37">
        <v>351</v>
      </c>
      <c r="AX37">
        <v>351</v>
      </c>
      <c r="AY37">
        <v>351</v>
      </c>
      <c r="AZ37">
        <v>370</v>
      </c>
      <c r="BA37">
        <v>370</v>
      </c>
      <c r="BB37">
        <v>314</v>
      </c>
      <c r="BC37">
        <v>388</v>
      </c>
      <c r="BD37">
        <v>423</v>
      </c>
      <c r="BE37">
        <v>468</v>
      </c>
      <c r="BF37">
        <f t="shared" si="3"/>
        <v>4439</v>
      </c>
      <c r="BG37">
        <v>0</v>
      </c>
      <c r="BH37">
        <v>0</v>
      </c>
      <c r="BI37">
        <v>0</v>
      </c>
      <c r="BJ37">
        <v>0</v>
      </c>
      <c r="BK37">
        <v>0</v>
      </c>
      <c r="BL37">
        <v>0</v>
      </c>
      <c r="BM37">
        <v>0</v>
      </c>
      <c r="BN37">
        <v>0</v>
      </c>
      <c r="BO37">
        <v>0</v>
      </c>
      <c r="BP37">
        <v>0</v>
      </c>
      <c r="BQ37">
        <v>0</v>
      </c>
      <c r="BR37">
        <v>0</v>
      </c>
      <c r="BS37">
        <f t="shared" si="4"/>
        <v>0</v>
      </c>
      <c r="BT37">
        <v>5</v>
      </c>
      <c r="BU37">
        <v>5</v>
      </c>
      <c r="BV37">
        <v>5</v>
      </c>
      <c r="BW37">
        <v>5</v>
      </c>
      <c r="BX37">
        <v>5</v>
      </c>
      <c r="BY37">
        <v>5</v>
      </c>
      <c r="BZ37">
        <v>5</v>
      </c>
      <c r="CA37">
        <v>5</v>
      </c>
      <c r="CB37">
        <v>5</v>
      </c>
      <c r="CC37">
        <v>5</v>
      </c>
      <c r="CD37">
        <v>5</v>
      </c>
      <c r="CE37">
        <v>5</v>
      </c>
      <c r="CF37">
        <f t="shared" si="5"/>
        <v>60</v>
      </c>
      <c r="CG37">
        <v>3</v>
      </c>
      <c r="CH37">
        <v>3</v>
      </c>
      <c r="CI37">
        <v>3</v>
      </c>
      <c r="CJ37">
        <v>3</v>
      </c>
      <c r="CK37">
        <v>3</v>
      </c>
      <c r="CL37">
        <v>3</v>
      </c>
      <c r="CM37">
        <v>3</v>
      </c>
      <c r="CN37">
        <v>3</v>
      </c>
      <c r="CO37">
        <v>3</v>
      </c>
      <c r="CP37">
        <v>3</v>
      </c>
      <c r="CQ37">
        <v>3</v>
      </c>
      <c r="CR37">
        <v>3</v>
      </c>
      <c r="CS37">
        <f t="shared" si="6"/>
        <v>36</v>
      </c>
      <c r="CT37">
        <v>0</v>
      </c>
      <c r="CU37">
        <v>0</v>
      </c>
      <c r="CV37">
        <v>0</v>
      </c>
      <c r="CW37">
        <v>0</v>
      </c>
      <c r="CX37">
        <v>0</v>
      </c>
      <c r="CY37">
        <v>0</v>
      </c>
      <c r="CZ37">
        <v>0</v>
      </c>
      <c r="DA37">
        <v>0</v>
      </c>
      <c r="DB37">
        <v>0</v>
      </c>
      <c r="DC37">
        <v>0</v>
      </c>
      <c r="DD37">
        <v>0</v>
      </c>
      <c r="DE37">
        <v>0</v>
      </c>
      <c r="DF37">
        <f t="shared" si="7"/>
        <v>0</v>
      </c>
      <c r="DG37">
        <v>2</v>
      </c>
      <c r="DH37">
        <v>2</v>
      </c>
      <c r="DI37">
        <v>2</v>
      </c>
      <c r="DJ37">
        <v>2</v>
      </c>
      <c r="DK37">
        <v>2</v>
      </c>
      <c r="DL37">
        <v>2</v>
      </c>
      <c r="DM37">
        <v>2</v>
      </c>
      <c r="DN37">
        <v>2</v>
      </c>
      <c r="DO37">
        <v>2</v>
      </c>
      <c r="DP37">
        <v>2</v>
      </c>
      <c r="DQ37">
        <v>2</v>
      </c>
      <c r="DR37">
        <v>2</v>
      </c>
      <c r="DS37">
        <f t="shared" si="8"/>
        <v>24</v>
      </c>
      <c r="DT37">
        <v>0</v>
      </c>
      <c r="DU37">
        <v>0</v>
      </c>
      <c r="DV37">
        <v>0</v>
      </c>
      <c r="DW37">
        <v>0</v>
      </c>
      <c r="DX37">
        <v>0</v>
      </c>
      <c r="DY37">
        <v>0</v>
      </c>
      <c r="DZ37">
        <v>0</v>
      </c>
      <c r="EA37">
        <v>0</v>
      </c>
      <c r="EB37">
        <v>0</v>
      </c>
      <c r="EC37">
        <v>0</v>
      </c>
      <c r="ED37">
        <v>0</v>
      </c>
      <c r="EE37">
        <v>0</v>
      </c>
      <c r="EF37">
        <f t="shared" si="9"/>
        <v>0</v>
      </c>
      <c r="EG37">
        <f t="shared" si="10"/>
        <v>12009</v>
      </c>
      <c r="EH37">
        <f t="shared" si="11"/>
        <v>60</v>
      </c>
      <c r="EI37">
        <v>14250</v>
      </c>
      <c r="EJ37">
        <v>14250</v>
      </c>
      <c r="EK37">
        <v>14250</v>
      </c>
      <c r="EL37">
        <v>14250</v>
      </c>
      <c r="EM37">
        <v>14250</v>
      </c>
      <c r="EN37">
        <v>15000</v>
      </c>
      <c r="EO37">
        <v>15000</v>
      </c>
      <c r="EP37">
        <v>15000</v>
      </c>
      <c r="EQ37">
        <v>12750</v>
      </c>
      <c r="ER37">
        <v>15750</v>
      </c>
      <c r="ES37">
        <v>17175</v>
      </c>
      <c r="ET37">
        <v>18990</v>
      </c>
      <c r="EU37">
        <f t="shared" si="12"/>
        <v>180915</v>
      </c>
      <c r="EV37">
        <v>8655</v>
      </c>
      <c r="EW37">
        <v>8655</v>
      </c>
      <c r="EX37">
        <v>8655</v>
      </c>
      <c r="EY37">
        <v>8655</v>
      </c>
      <c r="EZ37">
        <v>8655</v>
      </c>
      <c r="FA37">
        <v>8655</v>
      </c>
      <c r="FB37">
        <v>9110</v>
      </c>
      <c r="FC37">
        <v>9110</v>
      </c>
      <c r="FD37">
        <v>7744</v>
      </c>
      <c r="FE37">
        <v>9566</v>
      </c>
      <c r="FF37">
        <v>10431</v>
      </c>
      <c r="FG37">
        <v>11534</v>
      </c>
      <c r="FH37">
        <f t="shared" si="13"/>
        <v>109425</v>
      </c>
      <c r="FI37">
        <v>326</v>
      </c>
      <c r="FJ37">
        <v>326</v>
      </c>
      <c r="FK37">
        <v>326</v>
      </c>
      <c r="FL37">
        <v>326</v>
      </c>
      <c r="FM37">
        <v>326</v>
      </c>
      <c r="FN37">
        <v>326</v>
      </c>
      <c r="FO37">
        <v>343</v>
      </c>
      <c r="FP37">
        <v>343</v>
      </c>
      <c r="FQ37">
        <v>291</v>
      </c>
      <c r="FR37">
        <v>360</v>
      </c>
      <c r="FS37">
        <v>393</v>
      </c>
      <c r="FT37">
        <v>434</v>
      </c>
      <c r="FU37">
        <f t="shared" si="14"/>
        <v>4120</v>
      </c>
      <c r="FV37">
        <v>5270</v>
      </c>
      <c r="FW37">
        <v>5270</v>
      </c>
      <c r="FX37">
        <v>5270</v>
      </c>
      <c r="FY37">
        <v>5270</v>
      </c>
      <c r="FZ37">
        <v>5270</v>
      </c>
      <c r="GA37">
        <v>5270</v>
      </c>
      <c r="GB37">
        <v>5547</v>
      </c>
      <c r="GC37">
        <v>5547</v>
      </c>
      <c r="GD37">
        <v>4715</v>
      </c>
      <c r="GE37">
        <v>5824</v>
      </c>
      <c r="GF37">
        <v>6351</v>
      </c>
      <c r="GG37">
        <v>7022</v>
      </c>
      <c r="GH37">
        <f t="shared" si="15"/>
        <v>66626</v>
      </c>
      <c r="GI37">
        <v>75</v>
      </c>
      <c r="GJ37">
        <v>75</v>
      </c>
      <c r="GK37">
        <v>75</v>
      </c>
      <c r="GL37">
        <v>75</v>
      </c>
      <c r="GM37">
        <v>75</v>
      </c>
      <c r="GN37">
        <v>75</v>
      </c>
      <c r="GO37">
        <v>75</v>
      </c>
      <c r="GP37">
        <v>75</v>
      </c>
      <c r="GQ37">
        <v>75</v>
      </c>
      <c r="GR37">
        <v>75</v>
      </c>
      <c r="GS37">
        <v>75</v>
      </c>
      <c r="GT37">
        <v>75</v>
      </c>
      <c r="GU37">
        <f t="shared" si="16"/>
        <v>900</v>
      </c>
      <c r="GV37">
        <v>45</v>
      </c>
      <c r="GW37">
        <v>45</v>
      </c>
      <c r="GX37">
        <v>45</v>
      </c>
      <c r="GY37">
        <v>45</v>
      </c>
      <c r="GZ37">
        <v>45</v>
      </c>
      <c r="HA37">
        <v>45</v>
      </c>
      <c r="HB37">
        <v>45</v>
      </c>
      <c r="HC37">
        <v>45</v>
      </c>
      <c r="HD37">
        <v>45</v>
      </c>
      <c r="HE37">
        <v>45</v>
      </c>
      <c r="HF37">
        <v>45</v>
      </c>
      <c r="HG37">
        <v>45</v>
      </c>
      <c r="HH37">
        <f t="shared" si="17"/>
        <v>540</v>
      </c>
      <c r="HI37">
        <v>0</v>
      </c>
      <c r="HJ37">
        <v>0</v>
      </c>
      <c r="HK37">
        <v>0</v>
      </c>
      <c r="HL37">
        <v>0</v>
      </c>
      <c r="HM37">
        <v>0</v>
      </c>
      <c r="HN37">
        <v>0</v>
      </c>
      <c r="HO37">
        <v>0</v>
      </c>
      <c r="HP37">
        <v>0</v>
      </c>
      <c r="HQ37">
        <v>0</v>
      </c>
      <c r="HR37">
        <v>0</v>
      </c>
      <c r="HS37">
        <v>0</v>
      </c>
      <c r="HT37">
        <v>0</v>
      </c>
      <c r="HU37">
        <f t="shared" si="18"/>
        <v>0</v>
      </c>
      <c r="HV37">
        <v>30</v>
      </c>
      <c r="HW37">
        <v>30</v>
      </c>
      <c r="HX37">
        <v>30</v>
      </c>
      <c r="HY37">
        <v>30</v>
      </c>
      <c r="HZ37">
        <v>30</v>
      </c>
      <c r="IA37">
        <v>30</v>
      </c>
      <c r="IB37">
        <v>30</v>
      </c>
      <c r="IC37">
        <v>30</v>
      </c>
      <c r="ID37">
        <v>30</v>
      </c>
      <c r="IE37">
        <v>30</v>
      </c>
      <c r="IF37">
        <v>30</v>
      </c>
      <c r="IG37">
        <v>30</v>
      </c>
      <c r="IH37">
        <f t="shared" si="19"/>
        <v>360</v>
      </c>
      <c r="II37">
        <f t="shared" si="20"/>
        <v>180171</v>
      </c>
      <c r="IJ37">
        <f t="shared" si="21"/>
        <v>900</v>
      </c>
      <c r="IK37">
        <v>83465</v>
      </c>
      <c r="IL37">
        <v>82604</v>
      </c>
      <c r="IM37">
        <v>76705</v>
      </c>
      <c r="IN37">
        <v>89800</v>
      </c>
      <c r="IO37">
        <v>78692</v>
      </c>
      <c r="IP37">
        <v>76401</v>
      </c>
      <c r="IQ37">
        <v>80879</v>
      </c>
      <c r="IR37">
        <v>75516</v>
      </c>
      <c r="IS37">
        <v>72071</v>
      </c>
      <c r="IT37">
        <v>84047</v>
      </c>
      <c r="IU37">
        <v>75871</v>
      </c>
      <c r="IV37">
        <v>82410</v>
      </c>
      <c r="IW37">
        <f t="shared" si="22"/>
        <v>958461</v>
      </c>
      <c r="IX37">
        <v>45411</v>
      </c>
      <c r="IY37">
        <v>44596</v>
      </c>
      <c r="IZ37">
        <v>39145</v>
      </c>
      <c r="JA37">
        <v>48947</v>
      </c>
      <c r="JB37">
        <v>39998</v>
      </c>
      <c r="JC37">
        <v>39498</v>
      </c>
      <c r="JD37">
        <v>42275</v>
      </c>
      <c r="JE37">
        <v>40601</v>
      </c>
      <c r="JF37">
        <v>36208</v>
      </c>
      <c r="JG37">
        <v>44891</v>
      </c>
      <c r="JH37">
        <v>40978</v>
      </c>
      <c r="JI37">
        <v>44496</v>
      </c>
      <c r="JJ37">
        <f t="shared" si="23"/>
        <v>507044</v>
      </c>
      <c r="JK37">
        <v>2965</v>
      </c>
      <c r="JL37">
        <v>2912</v>
      </c>
      <c r="JM37">
        <v>2556</v>
      </c>
      <c r="JN37">
        <v>3196</v>
      </c>
      <c r="JO37">
        <v>2611</v>
      </c>
      <c r="JP37">
        <v>2579</v>
      </c>
      <c r="JQ37">
        <v>2760</v>
      </c>
      <c r="JR37">
        <v>2651</v>
      </c>
      <c r="JS37">
        <v>2364</v>
      </c>
      <c r="JT37">
        <v>2931</v>
      </c>
      <c r="JU37">
        <v>2675</v>
      </c>
      <c r="JV37">
        <v>2905</v>
      </c>
      <c r="JW37">
        <f t="shared" si="24"/>
        <v>33105</v>
      </c>
      <c r="JX37">
        <v>35089</v>
      </c>
      <c r="JY37">
        <v>35096</v>
      </c>
      <c r="JZ37">
        <v>35004</v>
      </c>
      <c r="KA37">
        <v>37657</v>
      </c>
      <c r="KB37">
        <v>36083</v>
      </c>
      <c r="KC37">
        <v>34325</v>
      </c>
      <c r="KD37">
        <v>35844</v>
      </c>
      <c r="KE37">
        <v>32264</v>
      </c>
      <c r="KF37">
        <v>33499</v>
      </c>
      <c r="KG37">
        <v>36226</v>
      </c>
      <c r="KH37">
        <v>32218</v>
      </c>
      <c r="KI37">
        <v>35009</v>
      </c>
      <c r="KJ37">
        <f t="shared" si="25"/>
        <v>418314</v>
      </c>
      <c r="KK37">
        <v>1359</v>
      </c>
      <c r="KL37">
        <v>1345</v>
      </c>
      <c r="KM37">
        <v>1249</v>
      </c>
      <c r="KN37">
        <v>1462</v>
      </c>
      <c r="KO37">
        <v>1281</v>
      </c>
      <c r="KP37">
        <v>1244</v>
      </c>
      <c r="KQ37">
        <v>1317</v>
      </c>
      <c r="KR37">
        <v>1230</v>
      </c>
      <c r="KS37">
        <v>1174</v>
      </c>
      <c r="KT37">
        <v>1369</v>
      </c>
      <c r="KU37">
        <v>1235</v>
      </c>
      <c r="KV37">
        <v>1342</v>
      </c>
      <c r="KW37">
        <f t="shared" si="26"/>
        <v>15607</v>
      </c>
      <c r="KX37">
        <v>22</v>
      </c>
      <c r="KY37">
        <v>21</v>
      </c>
      <c r="KZ37">
        <v>20</v>
      </c>
      <c r="LA37">
        <v>23</v>
      </c>
      <c r="LB37">
        <v>20</v>
      </c>
      <c r="LC37">
        <v>20</v>
      </c>
      <c r="LD37">
        <v>21</v>
      </c>
      <c r="LE37">
        <v>20</v>
      </c>
      <c r="LF37">
        <v>19</v>
      </c>
      <c r="LG37">
        <v>22</v>
      </c>
      <c r="LH37">
        <v>20</v>
      </c>
      <c r="LI37">
        <v>21</v>
      </c>
      <c r="LJ37">
        <f t="shared" si="27"/>
        <v>249</v>
      </c>
      <c r="LK37">
        <v>7</v>
      </c>
      <c r="LL37">
        <v>7</v>
      </c>
      <c r="LM37">
        <v>7</v>
      </c>
      <c r="LN37">
        <v>8</v>
      </c>
      <c r="LO37">
        <v>7</v>
      </c>
      <c r="LP37">
        <v>7</v>
      </c>
      <c r="LQ37">
        <v>7</v>
      </c>
      <c r="LR37">
        <v>7</v>
      </c>
      <c r="LS37">
        <v>6</v>
      </c>
      <c r="LT37">
        <v>7</v>
      </c>
      <c r="LU37">
        <v>7</v>
      </c>
      <c r="LV37">
        <v>7</v>
      </c>
      <c r="LW37">
        <f t="shared" si="28"/>
        <v>84</v>
      </c>
      <c r="LX37">
        <v>1330</v>
      </c>
      <c r="LY37">
        <v>1316</v>
      </c>
      <c r="LZ37">
        <v>1222</v>
      </c>
      <c r="MA37">
        <v>1431</v>
      </c>
      <c r="MB37">
        <v>1254</v>
      </c>
      <c r="MC37">
        <v>1218</v>
      </c>
      <c r="MD37">
        <v>1289</v>
      </c>
      <c r="ME37">
        <v>1203</v>
      </c>
      <c r="MF37">
        <v>1149</v>
      </c>
      <c r="MG37">
        <v>1339</v>
      </c>
      <c r="MH37">
        <v>1209</v>
      </c>
      <c r="MI37">
        <v>1313</v>
      </c>
      <c r="MJ37">
        <f t="shared" si="29"/>
        <v>15273</v>
      </c>
      <c r="MK37">
        <v>3240</v>
      </c>
      <c r="ML37">
        <v>3515</v>
      </c>
      <c r="MM37">
        <v>3164</v>
      </c>
      <c r="MN37">
        <v>3461</v>
      </c>
      <c r="MO37">
        <v>3606</v>
      </c>
      <c r="MP37">
        <v>3251</v>
      </c>
      <c r="MQ37">
        <v>3342</v>
      </c>
      <c r="MR37">
        <v>3177</v>
      </c>
      <c r="MS37">
        <v>3424</v>
      </c>
      <c r="MT37">
        <v>3457</v>
      </c>
      <c r="MU37">
        <v>3217</v>
      </c>
      <c r="MV37">
        <v>3441</v>
      </c>
      <c r="MW37">
        <f t="shared" si="30"/>
        <v>40295</v>
      </c>
      <c r="MX37">
        <v>493</v>
      </c>
      <c r="MY37">
        <v>534</v>
      </c>
      <c r="MZ37">
        <v>459</v>
      </c>
      <c r="NA37">
        <v>529</v>
      </c>
      <c r="NB37">
        <v>570</v>
      </c>
      <c r="NC37">
        <v>462</v>
      </c>
      <c r="ND37">
        <v>547</v>
      </c>
      <c r="NE37">
        <v>569</v>
      </c>
      <c r="NF37">
        <v>552</v>
      </c>
      <c r="NG37">
        <v>507</v>
      </c>
      <c r="NH37">
        <v>590</v>
      </c>
      <c r="NI37">
        <v>624</v>
      </c>
      <c r="NJ37">
        <f t="shared" si="31"/>
        <v>6436</v>
      </c>
      <c r="NK37">
        <v>235</v>
      </c>
      <c r="NL37">
        <v>237</v>
      </c>
      <c r="NM37">
        <v>274</v>
      </c>
      <c r="NN37">
        <v>269</v>
      </c>
      <c r="NO37">
        <v>285</v>
      </c>
      <c r="NP37">
        <v>275</v>
      </c>
      <c r="NQ37">
        <v>239</v>
      </c>
      <c r="NR37">
        <v>248</v>
      </c>
      <c r="NS37">
        <v>285</v>
      </c>
      <c r="NT37">
        <v>269</v>
      </c>
      <c r="NU37">
        <v>237</v>
      </c>
      <c r="NV37">
        <v>235</v>
      </c>
      <c r="NW37">
        <f t="shared" si="32"/>
        <v>3088</v>
      </c>
      <c r="NX37">
        <v>2512</v>
      </c>
      <c r="NY37">
        <v>2744</v>
      </c>
      <c r="NZ37">
        <v>2431</v>
      </c>
      <c r="OA37">
        <v>2663</v>
      </c>
      <c r="OB37">
        <v>2751</v>
      </c>
      <c r="OC37">
        <v>2514</v>
      </c>
      <c r="OD37">
        <v>2556</v>
      </c>
      <c r="OE37">
        <v>2360</v>
      </c>
      <c r="OF37">
        <v>2587</v>
      </c>
      <c r="OG37">
        <v>2681</v>
      </c>
      <c r="OH37">
        <v>2390</v>
      </c>
      <c r="OI37">
        <v>2582</v>
      </c>
      <c r="OJ37">
        <f t="shared" si="33"/>
        <v>30771</v>
      </c>
      <c r="OK37">
        <v>3736</v>
      </c>
      <c r="OL37">
        <v>3861</v>
      </c>
      <c r="OM37">
        <v>3510</v>
      </c>
      <c r="ON37">
        <v>3940</v>
      </c>
      <c r="OO37">
        <v>4094</v>
      </c>
      <c r="OP37">
        <v>4155</v>
      </c>
      <c r="OQ37">
        <v>4352</v>
      </c>
      <c r="OR37">
        <v>4266</v>
      </c>
      <c r="OS37">
        <v>4148</v>
      </c>
      <c r="OT37">
        <v>4505</v>
      </c>
      <c r="OU37">
        <v>4097</v>
      </c>
      <c r="OV37">
        <v>4718</v>
      </c>
      <c r="OW37">
        <f t="shared" si="34"/>
        <v>49382</v>
      </c>
      <c r="OX37">
        <v>327</v>
      </c>
      <c r="OY37">
        <v>312</v>
      </c>
      <c r="OZ37">
        <v>273</v>
      </c>
      <c r="PA37">
        <v>418</v>
      </c>
      <c r="PB37">
        <v>442</v>
      </c>
      <c r="PC37">
        <v>407</v>
      </c>
      <c r="PD37">
        <v>408</v>
      </c>
      <c r="PE37">
        <v>401</v>
      </c>
      <c r="PF37">
        <v>427</v>
      </c>
      <c r="PG37">
        <v>404</v>
      </c>
      <c r="PH37">
        <v>367</v>
      </c>
      <c r="PI37">
        <v>357</v>
      </c>
      <c r="PJ37">
        <f t="shared" si="35"/>
        <v>4543</v>
      </c>
      <c r="PK37">
        <v>136</v>
      </c>
      <c r="PL37">
        <v>146</v>
      </c>
      <c r="PM37">
        <v>139</v>
      </c>
      <c r="PN37">
        <v>183</v>
      </c>
      <c r="PO37">
        <v>168</v>
      </c>
      <c r="PP37">
        <v>153</v>
      </c>
      <c r="PQ37">
        <v>188</v>
      </c>
      <c r="PR37">
        <v>172</v>
      </c>
      <c r="PS37">
        <v>143</v>
      </c>
      <c r="PT37">
        <v>168</v>
      </c>
      <c r="PU37">
        <v>131</v>
      </c>
      <c r="PV37">
        <v>172</v>
      </c>
      <c r="PW37">
        <f t="shared" si="36"/>
        <v>1899</v>
      </c>
      <c r="PX37">
        <v>3273</v>
      </c>
      <c r="PY37">
        <v>3403</v>
      </c>
      <c r="PZ37">
        <v>3098</v>
      </c>
      <c r="QA37">
        <v>3339</v>
      </c>
      <c r="QB37">
        <v>3484</v>
      </c>
      <c r="QC37">
        <v>3595</v>
      </c>
      <c r="QD37">
        <v>3756</v>
      </c>
      <c r="QE37">
        <v>3693</v>
      </c>
      <c r="QF37">
        <v>3578</v>
      </c>
      <c r="QG37">
        <v>3933</v>
      </c>
      <c r="QH37">
        <v>3599</v>
      </c>
      <c r="QI37">
        <v>4189</v>
      </c>
      <c r="QJ37">
        <f t="shared" si="37"/>
        <v>42940</v>
      </c>
      <c r="QK37" s="2">
        <v>14725</v>
      </c>
      <c r="QL37" s="2">
        <v>15806</v>
      </c>
      <c r="QM37" s="2">
        <v>14592</v>
      </c>
      <c r="QN37" s="2">
        <v>16062</v>
      </c>
      <c r="QO37" s="2">
        <v>13999</v>
      </c>
      <c r="QP37" s="2">
        <v>16495</v>
      </c>
      <c r="QQ37" s="2">
        <v>17156</v>
      </c>
      <c r="QR37" s="2">
        <v>15379</v>
      </c>
      <c r="QS37" s="2">
        <v>12143</v>
      </c>
      <c r="QT37" s="2">
        <v>14924</v>
      </c>
      <c r="QU37" s="2">
        <v>13828</v>
      </c>
      <c r="QV37" s="2">
        <v>16421</v>
      </c>
      <c r="QW37" s="2">
        <f t="shared" si="38"/>
        <v>181530</v>
      </c>
      <c r="QX37" s="2">
        <v>152922</v>
      </c>
      <c r="QY37" s="2">
        <v>159455</v>
      </c>
      <c r="QZ37" s="2">
        <v>150347</v>
      </c>
      <c r="RA37" s="2">
        <v>161770</v>
      </c>
      <c r="RB37" s="2">
        <v>148330</v>
      </c>
      <c r="RC37" s="2">
        <v>155621</v>
      </c>
      <c r="RD37" s="2">
        <v>169351</v>
      </c>
      <c r="RE37" s="2">
        <v>157000</v>
      </c>
      <c r="RF37" s="2">
        <v>130691</v>
      </c>
      <c r="RG37" s="2">
        <v>159998</v>
      </c>
      <c r="RH37" s="2">
        <v>154266</v>
      </c>
      <c r="RI37" s="2">
        <v>161357</v>
      </c>
      <c r="RJ37" s="2">
        <f t="shared" si="39"/>
        <v>1861108</v>
      </c>
      <c r="RK37">
        <v>0</v>
      </c>
      <c r="RL37">
        <v>0</v>
      </c>
      <c r="RM37">
        <v>0</v>
      </c>
      <c r="RN37">
        <v>0</v>
      </c>
      <c r="RO37">
        <v>0</v>
      </c>
      <c r="RP37">
        <v>0</v>
      </c>
      <c r="RQ37">
        <v>0</v>
      </c>
      <c r="RR37">
        <v>0</v>
      </c>
      <c r="RS37">
        <v>0</v>
      </c>
      <c r="RT37">
        <v>0</v>
      </c>
      <c r="RU37">
        <v>0</v>
      </c>
      <c r="RV37">
        <v>0</v>
      </c>
      <c r="RW37">
        <f t="shared" si="40"/>
        <v>0</v>
      </c>
      <c r="RX37">
        <v>0</v>
      </c>
      <c r="RY37">
        <v>0</v>
      </c>
      <c r="RZ37">
        <v>0</v>
      </c>
      <c r="SA37">
        <v>0</v>
      </c>
      <c r="SB37">
        <v>0</v>
      </c>
      <c r="SC37">
        <v>0</v>
      </c>
      <c r="SD37">
        <v>0</v>
      </c>
      <c r="SE37">
        <v>0</v>
      </c>
      <c r="SF37">
        <v>0</v>
      </c>
      <c r="SG37">
        <v>0</v>
      </c>
      <c r="SH37">
        <v>0</v>
      </c>
      <c r="SI37">
        <v>0</v>
      </c>
      <c r="SJ37">
        <f t="shared" si="41"/>
        <v>0</v>
      </c>
      <c r="SK37">
        <v>0</v>
      </c>
      <c r="SL37">
        <v>0</v>
      </c>
      <c r="SM37">
        <v>0</v>
      </c>
      <c r="SN37">
        <v>0</v>
      </c>
      <c r="SO37">
        <v>0</v>
      </c>
      <c r="SP37">
        <v>0</v>
      </c>
      <c r="SQ37">
        <v>0</v>
      </c>
      <c r="SR37">
        <v>0</v>
      </c>
      <c r="SS37">
        <v>0</v>
      </c>
      <c r="ST37">
        <v>0</v>
      </c>
      <c r="SU37">
        <v>0</v>
      </c>
      <c r="SV37">
        <v>0</v>
      </c>
      <c r="SW37">
        <f t="shared" si="42"/>
        <v>0</v>
      </c>
      <c r="SX37">
        <v>0</v>
      </c>
      <c r="SY37" s="2">
        <v>10829</v>
      </c>
      <c r="SZ37" s="2">
        <v>12235</v>
      </c>
      <c r="TA37" s="2">
        <v>11488</v>
      </c>
      <c r="TB37" s="2">
        <v>11517</v>
      </c>
      <c r="TC37" s="2">
        <v>12991</v>
      </c>
      <c r="TD37" s="2">
        <v>12057</v>
      </c>
      <c r="TE37" s="2">
        <v>12117</v>
      </c>
      <c r="TF37" s="2">
        <v>10700</v>
      </c>
      <c r="TG37" s="2">
        <v>9430</v>
      </c>
      <c r="TH37" s="2">
        <v>10108</v>
      </c>
      <c r="TI37" s="2">
        <v>9389</v>
      </c>
      <c r="TJ37" s="2">
        <v>10350</v>
      </c>
      <c r="TK37" s="2">
        <f t="shared" si="43"/>
        <v>133211</v>
      </c>
      <c r="TL37" s="2">
        <v>36836</v>
      </c>
      <c r="TM37" s="2">
        <v>51950</v>
      </c>
      <c r="TN37" s="2">
        <v>38346</v>
      </c>
      <c r="TO37" s="2">
        <v>34295</v>
      </c>
      <c r="TP37" s="2">
        <v>31810</v>
      </c>
      <c r="TQ37" s="2">
        <v>35911</v>
      </c>
      <c r="TR37" s="2">
        <v>37164</v>
      </c>
      <c r="TS37" s="2">
        <v>32048</v>
      </c>
      <c r="TT37" s="2">
        <v>28998</v>
      </c>
      <c r="TU37" s="2">
        <v>37539</v>
      </c>
      <c r="TV37" s="2">
        <v>33465</v>
      </c>
      <c r="TW37" s="2">
        <v>41201</v>
      </c>
      <c r="TX37" s="2">
        <f t="shared" si="44"/>
        <v>439563</v>
      </c>
      <c r="TY37">
        <v>220</v>
      </c>
      <c r="TZ37">
        <v>20</v>
      </c>
      <c r="UA37">
        <v>50</v>
      </c>
      <c r="UB37">
        <v>0</v>
      </c>
    </row>
    <row r="38" spans="1:548" ht="16.5" customHeight="1" x14ac:dyDescent="0.35">
      <c r="A38" t="s">
        <v>1368</v>
      </c>
      <c r="B38" t="s">
        <v>2865</v>
      </c>
      <c r="C38">
        <v>5848</v>
      </c>
      <c r="D38">
        <v>1929</v>
      </c>
      <c r="E38">
        <v>201</v>
      </c>
      <c r="F38">
        <v>3718</v>
      </c>
      <c r="G38">
        <v>149</v>
      </c>
      <c r="H38">
        <v>149</v>
      </c>
      <c r="I38">
        <v>133</v>
      </c>
      <c r="J38">
        <v>181</v>
      </c>
      <c r="K38">
        <v>154</v>
      </c>
      <c r="L38">
        <v>134</v>
      </c>
      <c r="M38">
        <v>168</v>
      </c>
      <c r="N38">
        <v>138</v>
      </c>
      <c r="O38">
        <v>125</v>
      </c>
      <c r="P38">
        <v>130</v>
      </c>
      <c r="Q38">
        <v>137</v>
      </c>
      <c r="R38">
        <v>161</v>
      </c>
      <c r="S38">
        <f t="shared" si="0"/>
        <v>1759</v>
      </c>
      <c r="T38">
        <v>85</v>
      </c>
      <c r="U38">
        <v>90</v>
      </c>
      <c r="V38">
        <v>71</v>
      </c>
      <c r="W38">
        <v>107</v>
      </c>
      <c r="X38">
        <v>102</v>
      </c>
      <c r="Y38">
        <v>69</v>
      </c>
      <c r="Z38">
        <v>99</v>
      </c>
      <c r="AA38">
        <v>82</v>
      </c>
      <c r="AB38">
        <v>69</v>
      </c>
      <c r="AC38">
        <v>71</v>
      </c>
      <c r="AD38">
        <v>85</v>
      </c>
      <c r="AE38">
        <v>95</v>
      </c>
      <c r="AF38">
        <f t="shared" si="1"/>
        <v>1025</v>
      </c>
      <c r="AG38">
        <v>9</v>
      </c>
      <c r="AH38">
        <v>7</v>
      </c>
      <c r="AI38">
        <v>5</v>
      </c>
      <c r="AJ38">
        <v>7</v>
      </c>
      <c r="AK38">
        <v>5</v>
      </c>
      <c r="AL38">
        <v>11</v>
      </c>
      <c r="AM38">
        <v>9</v>
      </c>
      <c r="AN38">
        <v>2</v>
      </c>
      <c r="AO38">
        <v>5</v>
      </c>
      <c r="AP38">
        <v>4</v>
      </c>
      <c r="AQ38">
        <v>5</v>
      </c>
      <c r="AR38">
        <v>6</v>
      </c>
      <c r="AS38">
        <f t="shared" si="2"/>
        <v>75</v>
      </c>
      <c r="AT38">
        <v>55</v>
      </c>
      <c r="AU38">
        <v>46</v>
      </c>
      <c r="AV38">
        <v>57</v>
      </c>
      <c r="AW38">
        <v>67</v>
      </c>
      <c r="AX38">
        <v>47</v>
      </c>
      <c r="AY38">
        <v>54</v>
      </c>
      <c r="AZ38">
        <v>60</v>
      </c>
      <c r="BA38">
        <v>54</v>
      </c>
      <c r="BB38">
        <v>51</v>
      </c>
      <c r="BC38">
        <v>55</v>
      </c>
      <c r="BD38">
        <v>47</v>
      </c>
      <c r="BE38">
        <v>60</v>
      </c>
      <c r="BF38">
        <f t="shared" si="3"/>
        <v>653</v>
      </c>
      <c r="BG38">
        <v>0</v>
      </c>
      <c r="BH38">
        <v>0</v>
      </c>
      <c r="BI38">
        <v>0</v>
      </c>
      <c r="BJ38">
        <v>0</v>
      </c>
      <c r="BK38">
        <v>0</v>
      </c>
      <c r="BL38">
        <v>0</v>
      </c>
      <c r="BM38">
        <v>0</v>
      </c>
      <c r="BN38">
        <v>0</v>
      </c>
      <c r="BO38">
        <v>0</v>
      </c>
      <c r="BP38">
        <v>0</v>
      </c>
      <c r="BQ38">
        <v>0</v>
      </c>
      <c r="BR38">
        <v>0</v>
      </c>
      <c r="BS38">
        <f t="shared" si="4"/>
        <v>0</v>
      </c>
      <c r="BT38">
        <v>1</v>
      </c>
      <c r="BU38">
        <v>2</v>
      </c>
      <c r="BV38">
        <v>2</v>
      </c>
      <c r="BW38">
        <v>2</v>
      </c>
      <c r="BX38">
        <v>2</v>
      </c>
      <c r="BY38">
        <v>2</v>
      </c>
      <c r="BZ38">
        <v>2</v>
      </c>
      <c r="CA38">
        <v>2</v>
      </c>
      <c r="CB38">
        <v>1</v>
      </c>
      <c r="CC38">
        <v>1</v>
      </c>
      <c r="CD38">
        <v>1</v>
      </c>
      <c r="CE38">
        <v>1</v>
      </c>
      <c r="CF38">
        <f t="shared" si="5"/>
        <v>19</v>
      </c>
      <c r="CG38">
        <v>0</v>
      </c>
      <c r="CH38">
        <v>0</v>
      </c>
      <c r="CI38">
        <v>0</v>
      </c>
      <c r="CJ38">
        <v>0</v>
      </c>
      <c r="CK38">
        <v>0</v>
      </c>
      <c r="CL38">
        <v>0</v>
      </c>
      <c r="CM38">
        <v>0</v>
      </c>
      <c r="CN38">
        <v>0</v>
      </c>
      <c r="CO38">
        <v>0</v>
      </c>
      <c r="CP38">
        <v>0</v>
      </c>
      <c r="CQ38">
        <v>0</v>
      </c>
      <c r="CR38">
        <v>0</v>
      </c>
      <c r="CS38">
        <f t="shared" si="6"/>
        <v>0</v>
      </c>
      <c r="CT38">
        <v>0</v>
      </c>
      <c r="CU38">
        <v>0</v>
      </c>
      <c r="CV38">
        <v>0</v>
      </c>
      <c r="CW38">
        <v>0</v>
      </c>
      <c r="CX38">
        <v>0</v>
      </c>
      <c r="CY38">
        <v>0</v>
      </c>
      <c r="CZ38">
        <v>0</v>
      </c>
      <c r="DA38">
        <v>0</v>
      </c>
      <c r="DB38">
        <v>0</v>
      </c>
      <c r="DC38">
        <v>0</v>
      </c>
      <c r="DD38">
        <v>0</v>
      </c>
      <c r="DE38">
        <v>0</v>
      </c>
      <c r="DF38">
        <f t="shared" si="7"/>
        <v>0</v>
      </c>
      <c r="DG38">
        <v>1</v>
      </c>
      <c r="DH38">
        <v>2</v>
      </c>
      <c r="DI38">
        <v>2</v>
      </c>
      <c r="DJ38">
        <v>2</v>
      </c>
      <c r="DK38">
        <v>2</v>
      </c>
      <c r="DL38">
        <v>2</v>
      </c>
      <c r="DM38">
        <v>3</v>
      </c>
      <c r="DN38">
        <v>2</v>
      </c>
      <c r="DO38">
        <v>1</v>
      </c>
      <c r="DP38">
        <v>1</v>
      </c>
      <c r="DQ38">
        <v>1</v>
      </c>
      <c r="DR38">
        <v>1</v>
      </c>
      <c r="DS38">
        <f t="shared" si="8"/>
        <v>20</v>
      </c>
      <c r="DT38">
        <v>0</v>
      </c>
      <c r="DU38">
        <v>0</v>
      </c>
      <c r="DV38">
        <v>0</v>
      </c>
      <c r="DW38">
        <v>0</v>
      </c>
      <c r="DX38">
        <v>0</v>
      </c>
      <c r="DY38">
        <v>0</v>
      </c>
      <c r="DZ38">
        <v>0</v>
      </c>
      <c r="EA38">
        <v>0</v>
      </c>
      <c r="EB38">
        <v>0</v>
      </c>
      <c r="EC38">
        <v>0</v>
      </c>
      <c r="ED38">
        <v>0</v>
      </c>
      <c r="EE38">
        <v>0</v>
      </c>
      <c r="EF38">
        <f t="shared" si="9"/>
        <v>0</v>
      </c>
      <c r="EG38">
        <f t="shared" si="10"/>
        <v>1753</v>
      </c>
      <c r="EH38">
        <f t="shared" si="11"/>
        <v>20</v>
      </c>
      <c r="EI38">
        <v>3445</v>
      </c>
      <c r="EJ38">
        <v>2202</v>
      </c>
      <c r="EK38">
        <v>1651</v>
      </c>
      <c r="EL38">
        <v>3551</v>
      </c>
      <c r="EM38">
        <v>2830</v>
      </c>
      <c r="EN38">
        <v>1825</v>
      </c>
      <c r="EO38">
        <v>2688</v>
      </c>
      <c r="EP38">
        <v>2680</v>
      </c>
      <c r="EQ38">
        <v>2272</v>
      </c>
      <c r="ER38">
        <v>2388</v>
      </c>
      <c r="ES38">
        <v>2535</v>
      </c>
      <c r="ET38">
        <v>2537</v>
      </c>
      <c r="EU38">
        <f t="shared" si="12"/>
        <v>30604</v>
      </c>
      <c r="EV38">
        <v>1418</v>
      </c>
      <c r="EW38">
        <v>1035</v>
      </c>
      <c r="EX38">
        <v>594</v>
      </c>
      <c r="EY38">
        <v>1904</v>
      </c>
      <c r="EZ38">
        <v>1378</v>
      </c>
      <c r="FA38">
        <v>682</v>
      </c>
      <c r="FB38">
        <v>1257</v>
      </c>
      <c r="FC38">
        <v>1052</v>
      </c>
      <c r="FD38">
        <v>1362</v>
      </c>
      <c r="FE38">
        <v>710</v>
      </c>
      <c r="FF38">
        <v>1075</v>
      </c>
      <c r="FG38">
        <v>1257</v>
      </c>
      <c r="FH38">
        <f t="shared" si="13"/>
        <v>13724</v>
      </c>
      <c r="FI38">
        <v>67</v>
      </c>
      <c r="FJ38">
        <v>50</v>
      </c>
      <c r="FK38">
        <v>52</v>
      </c>
      <c r="FL38">
        <v>60</v>
      </c>
      <c r="FM38">
        <v>42</v>
      </c>
      <c r="FN38">
        <v>29</v>
      </c>
      <c r="FO38">
        <v>38</v>
      </c>
      <c r="FP38">
        <v>39</v>
      </c>
      <c r="FQ38">
        <v>21</v>
      </c>
      <c r="FR38">
        <v>28</v>
      </c>
      <c r="FS38">
        <v>33</v>
      </c>
      <c r="FT38">
        <v>14</v>
      </c>
      <c r="FU38">
        <f t="shared" si="14"/>
        <v>473</v>
      </c>
      <c r="FV38">
        <v>1420</v>
      </c>
      <c r="FW38">
        <v>1117</v>
      </c>
      <c r="FX38">
        <v>1005</v>
      </c>
      <c r="FY38">
        <v>1587</v>
      </c>
      <c r="FZ38">
        <v>1410</v>
      </c>
      <c r="GA38">
        <v>1114</v>
      </c>
      <c r="GB38">
        <v>1393</v>
      </c>
      <c r="GC38">
        <v>1589</v>
      </c>
      <c r="GD38">
        <v>889</v>
      </c>
      <c r="GE38">
        <v>1650</v>
      </c>
      <c r="GF38">
        <v>1427</v>
      </c>
      <c r="GG38">
        <v>1266</v>
      </c>
      <c r="GH38">
        <f t="shared" si="15"/>
        <v>15867</v>
      </c>
      <c r="GI38">
        <v>7</v>
      </c>
      <c r="GJ38">
        <v>8</v>
      </c>
      <c r="GK38">
        <v>4</v>
      </c>
      <c r="GL38">
        <v>5</v>
      </c>
      <c r="GM38">
        <v>8</v>
      </c>
      <c r="GN38">
        <v>4</v>
      </c>
      <c r="GO38">
        <v>11</v>
      </c>
      <c r="GP38">
        <v>10</v>
      </c>
      <c r="GQ38">
        <v>3</v>
      </c>
      <c r="GR38">
        <v>5</v>
      </c>
      <c r="GS38">
        <v>2</v>
      </c>
      <c r="GT38">
        <v>8</v>
      </c>
      <c r="GU38">
        <f t="shared" si="16"/>
        <v>75</v>
      </c>
      <c r="GV38">
        <v>0</v>
      </c>
      <c r="GW38">
        <v>0</v>
      </c>
      <c r="GX38">
        <v>0</v>
      </c>
      <c r="GY38">
        <v>0</v>
      </c>
      <c r="GZ38">
        <v>0</v>
      </c>
      <c r="HA38">
        <v>0</v>
      </c>
      <c r="HB38">
        <v>0</v>
      </c>
      <c r="HC38">
        <v>0</v>
      </c>
      <c r="HD38">
        <v>0</v>
      </c>
      <c r="HE38">
        <v>0</v>
      </c>
      <c r="HF38">
        <v>0</v>
      </c>
      <c r="HG38">
        <v>0</v>
      </c>
      <c r="HH38">
        <f t="shared" si="17"/>
        <v>0</v>
      </c>
      <c r="HI38">
        <v>0</v>
      </c>
      <c r="HJ38">
        <v>0</v>
      </c>
      <c r="HK38">
        <v>0</v>
      </c>
      <c r="HL38">
        <v>0</v>
      </c>
      <c r="HM38">
        <v>0</v>
      </c>
      <c r="HN38">
        <v>0</v>
      </c>
      <c r="HO38">
        <v>0</v>
      </c>
      <c r="HP38">
        <v>0</v>
      </c>
      <c r="HQ38">
        <v>0</v>
      </c>
      <c r="HR38">
        <v>0</v>
      </c>
      <c r="HS38">
        <v>0</v>
      </c>
      <c r="HT38">
        <v>0</v>
      </c>
      <c r="HU38">
        <f t="shared" si="18"/>
        <v>0</v>
      </c>
      <c r="HV38">
        <v>7</v>
      </c>
      <c r="HW38">
        <v>8</v>
      </c>
      <c r="HX38">
        <v>4</v>
      </c>
      <c r="HY38">
        <v>5</v>
      </c>
      <c r="HZ38">
        <v>8</v>
      </c>
      <c r="IA38">
        <v>4</v>
      </c>
      <c r="IB38">
        <v>11</v>
      </c>
      <c r="IC38">
        <v>10</v>
      </c>
      <c r="ID38">
        <v>3</v>
      </c>
      <c r="IE38">
        <v>5</v>
      </c>
      <c r="IF38">
        <v>2</v>
      </c>
      <c r="IG38">
        <v>8</v>
      </c>
      <c r="IH38">
        <f t="shared" si="19"/>
        <v>75</v>
      </c>
      <c r="II38">
        <f t="shared" si="20"/>
        <v>30064</v>
      </c>
      <c r="IJ38">
        <f t="shared" si="21"/>
        <v>75</v>
      </c>
      <c r="IK38">
        <v>15266</v>
      </c>
      <c r="IL38">
        <v>14965</v>
      </c>
      <c r="IM38">
        <v>14190</v>
      </c>
      <c r="IN38">
        <v>17898</v>
      </c>
      <c r="IO38">
        <v>17818</v>
      </c>
      <c r="IP38">
        <v>15170</v>
      </c>
      <c r="IQ38">
        <v>14685</v>
      </c>
      <c r="IR38">
        <v>13876</v>
      </c>
      <c r="IS38">
        <v>13176</v>
      </c>
      <c r="IT38">
        <v>13430</v>
      </c>
      <c r="IU38">
        <v>15158</v>
      </c>
      <c r="IV38">
        <v>15489</v>
      </c>
      <c r="IW38">
        <f t="shared" si="22"/>
        <v>181121</v>
      </c>
      <c r="IX38">
        <v>4255</v>
      </c>
      <c r="IY38">
        <v>4028</v>
      </c>
      <c r="IZ38">
        <v>3471</v>
      </c>
      <c r="JA38">
        <v>6947</v>
      </c>
      <c r="JB38">
        <v>7099</v>
      </c>
      <c r="JC38">
        <v>4337</v>
      </c>
      <c r="JD38">
        <v>4026</v>
      </c>
      <c r="JE38">
        <v>3607</v>
      </c>
      <c r="JF38">
        <v>2724</v>
      </c>
      <c r="JG38">
        <v>3127</v>
      </c>
      <c r="JH38">
        <v>5677</v>
      </c>
      <c r="JI38">
        <v>5388</v>
      </c>
      <c r="JJ38">
        <f t="shared" si="23"/>
        <v>54686</v>
      </c>
      <c r="JK38">
        <v>259</v>
      </c>
      <c r="JL38">
        <v>248</v>
      </c>
      <c r="JM38">
        <v>240</v>
      </c>
      <c r="JN38">
        <v>257</v>
      </c>
      <c r="JO38">
        <v>244</v>
      </c>
      <c r="JP38">
        <v>252</v>
      </c>
      <c r="JQ38">
        <v>265</v>
      </c>
      <c r="JR38">
        <v>267</v>
      </c>
      <c r="JS38">
        <v>233</v>
      </c>
      <c r="JT38">
        <v>205</v>
      </c>
      <c r="JU38">
        <v>256</v>
      </c>
      <c r="JV38">
        <v>186</v>
      </c>
      <c r="JW38">
        <f t="shared" si="24"/>
        <v>2912</v>
      </c>
      <c r="JX38">
        <v>10752</v>
      </c>
      <c r="JY38">
        <v>10689</v>
      </c>
      <c r="JZ38">
        <v>10479</v>
      </c>
      <c r="KA38">
        <v>10894</v>
      </c>
      <c r="KB38">
        <v>10475</v>
      </c>
      <c r="KC38">
        <v>10581</v>
      </c>
      <c r="KD38">
        <v>10394</v>
      </c>
      <c r="KE38">
        <v>10002</v>
      </c>
      <c r="KF38">
        <v>10219</v>
      </c>
      <c r="KG38">
        <v>10098</v>
      </c>
      <c r="KH38">
        <v>9225</v>
      </c>
      <c r="KI38">
        <v>9915</v>
      </c>
      <c r="KJ38">
        <f t="shared" si="25"/>
        <v>123723</v>
      </c>
      <c r="KK38">
        <v>287</v>
      </c>
      <c r="KL38">
        <v>331</v>
      </c>
      <c r="KM38">
        <v>300</v>
      </c>
      <c r="KN38">
        <v>357</v>
      </c>
      <c r="KO38">
        <v>331</v>
      </c>
      <c r="KP38">
        <v>305</v>
      </c>
      <c r="KQ38">
        <v>318</v>
      </c>
      <c r="KR38">
        <v>318</v>
      </c>
      <c r="KS38">
        <v>276</v>
      </c>
      <c r="KT38">
        <v>313</v>
      </c>
      <c r="KU38">
        <v>274</v>
      </c>
      <c r="KV38">
        <v>288</v>
      </c>
      <c r="KW38">
        <f t="shared" si="26"/>
        <v>3698</v>
      </c>
      <c r="KX38">
        <v>0</v>
      </c>
      <c r="KY38">
        <v>0</v>
      </c>
      <c r="KZ38">
        <v>0</v>
      </c>
      <c r="LA38">
        <v>0</v>
      </c>
      <c r="LB38">
        <v>0</v>
      </c>
      <c r="LC38">
        <v>0</v>
      </c>
      <c r="LD38">
        <v>0</v>
      </c>
      <c r="LE38">
        <v>0</v>
      </c>
      <c r="LF38">
        <v>1</v>
      </c>
      <c r="LG38">
        <v>0</v>
      </c>
      <c r="LH38">
        <v>1</v>
      </c>
      <c r="LI38">
        <v>0</v>
      </c>
      <c r="LJ38">
        <f t="shared" si="27"/>
        <v>2</v>
      </c>
      <c r="LK38">
        <v>0</v>
      </c>
      <c r="LL38">
        <v>0</v>
      </c>
      <c r="LM38">
        <v>0</v>
      </c>
      <c r="LN38">
        <v>0</v>
      </c>
      <c r="LO38">
        <v>0</v>
      </c>
      <c r="LP38">
        <v>0</v>
      </c>
      <c r="LQ38">
        <v>0</v>
      </c>
      <c r="LR38">
        <v>0</v>
      </c>
      <c r="LS38">
        <v>0</v>
      </c>
      <c r="LT38">
        <v>0</v>
      </c>
      <c r="LU38">
        <v>0</v>
      </c>
      <c r="LV38">
        <v>0</v>
      </c>
      <c r="LW38">
        <f t="shared" si="28"/>
        <v>0</v>
      </c>
      <c r="LX38">
        <v>287</v>
      </c>
      <c r="LY38">
        <v>331</v>
      </c>
      <c r="LZ38">
        <v>300</v>
      </c>
      <c r="MA38">
        <v>357</v>
      </c>
      <c r="MB38">
        <v>331</v>
      </c>
      <c r="MC38">
        <v>305</v>
      </c>
      <c r="MD38">
        <v>318</v>
      </c>
      <c r="ME38">
        <v>318</v>
      </c>
      <c r="MF38">
        <v>275</v>
      </c>
      <c r="MG38">
        <v>313</v>
      </c>
      <c r="MH38">
        <v>273</v>
      </c>
      <c r="MI38">
        <v>288</v>
      </c>
      <c r="MJ38">
        <f t="shared" si="29"/>
        <v>3696</v>
      </c>
      <c r="MK38">
        <v>1516</v>
      </c>
      <c r="ML38">
        <v>1611</v>
      </c>
      <c r="MM38">
        <v>1621</v>
      </c>
      <c r="MN38">
        <v>1552</v>
      </c>
      <c r="MO38">
        <v>1633</v>
      </c>
      <c r="MP38">
        <v>1411</v>
      </c>
      <c r="MQ38">
        <v>1460</v>
      </c>
      <c r="MR38">
        <v>1349</v>
      </c>
      <c r="MS38">
        <v>1331</v>
      </c>
      <c r="MT38">
        <v>1475</v>
      </c>
      <c r="MU38">
        <v>1407</v>
      </c>
      <c r="MV38">
        <v>1556</v>
      </c>
      <c r="MW38">
        <f t="shared" si="30"/>
        <v>17922</v>
      </c>
      <c r="MX38">
        <v>118</v>
      </c>
      <c r="MY38">
        <v>116</v>
      </c>
      <c r="MZ38">
        <v>138</v>
      </c>
      <c r="NA38">
        <v>128</v>
      </c>
      <c r="NB38">
        <v>90</v>
      </c>
      <c r="NC38">
        <v>81</v>
      </c>
      <c r="ND38">
        <v>105</v>
      </c>
      <c r="NE38">
        <v>82</v>
      </c>
      <c r="NF38">
        <v>65</v>
      </c>
      <c r="NG38">
        <v>142</v>
      </c>
      <c r="NH38">
        <v>136</v>
      </c>
      <c r="NI38">
        <v>170</v>
      </c>
      <c r="NJ38">
        <f t="shared" si="31"/>
        <v>1371</v>
      </c>
      <c r="NK38">
        <v>80</v>
      </c>
      <c r="NL38">
        <v>65</v>
      </c>
      <c r="NM38">
        <v>57</v>
      </c>
      <c r="NN38">
        <v>44</v>
      </c>
      <c r="NO38">
        <v>114</v>
      </c>
      <c r="NP38">
        <v>61</v>
      </c>
      <c r="NQ38">
        <v>57</v>
      </c>
      <c r="NR38">
        <v>81</v>
      </c>
      <c r="NS38">
        <v>50</v>
      </c>
      <c r="NT38">
        <v>63</v>
      </c>
      <c r="NU38">
        <v>58</v>
      </c>
      <c r="NV38">
        <v>77</v>
      </c>
      <c r="NW38">
        <f t="shared" si="32"/>
        <v>807</v>
      </c>
      <c r="NX38">
        <v>1318</v>
      </c>
      <c r="NY38">
        <v>1430</v>
      </c>
      <c r="NZ38">
        <v>1426</v>
      </c>
      <c r="OA38">
        <v>1380</v>
      </c>
      <c r="OB38">
        <v>1429</v>
      </c>
      <c r="OC38">
        <v>1269</v>
      </c>
      <c r="OD38">
        <v>1298</v>
      </c>
      <c r="OE38">
        <v>1186</v>
      </c>
      <c r="OF38">
        <v>1216</v>
      </c>
      <c r="OG38">
        <v>1270</v>
      </c>
      <c r="OH38">
        <v>1213</v>
      </c>
      <c r="OI38">
        <v>1309</v>
      </c>
      <c r="OJ38">
        <f t="shared" si="33"/>
        <v>15744</v>
      </c>
      <c r="OK38">
        <v>2584</v>
      </c>
      <c r="OL38">
        <v>2946</v>
      </c>
      <c r="OM38">
        <v>2784</v>
      </c>
      <c r="ON38">
        <v>2925</v>
      </c>
      <c r="OO38">
        <v>3020</v>
      </c>
      <c r="OP38">
        <v>2879</v>
      </c>
      <c r="OQ38">
        <v>2932</v>
      </c>
      <c r="OR38">
        <v>2700</v>
      </c>
      <c r="OS38">
        <v>2657</v>
      </c>
      <c r="OT38">
        <v>2976</v>
      </c>
      <c r="OU38">
        <v>2712</v>
      </c>
      <c r="OV38">
        <v>3118</v>
      </c>
      <c r="OW38">
        <f t="shared" si="34"/>
        <v>34233</v>
      </c>
      <c r="OX38">
        <v>214</v>
      </c>
      <c r="OY38">
        <v>258</v>
      </c>
      <c r="OZ38">
        <v>303</v>
      </c>
      <c r="PA38">
        <v>316</v>
      </c>
      <c r="PB38">
        <v>341</v>
      </c>
      <c r="PC38">
        <v>294</v>
      </c>
      <c r="PD38">
        <v>267</v>
      </c>
      <c r="PE38">
        <v>298</v>
      </c>
      <c r="PF38">
        <v>221</v>
      </c>
      <c r="PG38">
        <v>231</v>
      </c>
      <c r="PH38">
        <v>205</v>
      </c>
      <c r="PI38">
        <v>244</v>
      </c>
      <c r="PJ38">
        <f t="shared" si="35"/>
        <v>3192</v>
      </c>
      <c r="PK38">
        <v>91</v>
      </c>
      <c r="PL38">
        <v>101</v>
      </c>
      <c r="PM38">
        <v>108</v>
      </c>
      <c r="PN38">
        <v>112</v>
      </c>
      <c r="PO38">
        <v>149</v>
      </c>
      <c r="PP38">
        <v>104</v>
      </c>
      <c r="PQ38">
        <v>115</v>
      </c>
      <c r="PR38">
        <v>102</v>
      </c>
      <c r="PS38">
        <v>92</v>
      </c>
      <c r="PT38">
        <v>98</v>
      </c>
      <c r="PU38">
        <v>86</v>
      </c>
      <c r="PV38">
        <v>111</v>
      </c>
      <c r="PW38">
        <f t="shared" si="36"/>
        <v>1269</v>
      </c>
      <c r="PX38">
        <v>2279</v>
      </c>
      <c r="PY38">
        <v>2587</v>
      </c>
      <c r="PZ38">
        <v>2373</v>
      </c>
      <c r="QA38">
        <v>2497</v>
      </c>
      <c r="QB38">
        <v>2530</v>
      </c>
      <c r="QC38">
        <v>2481</v>
      </c>
      <c r="QD38">
        <v>2550</v>
      </c>
      <c r="QE38">
        <v>2300</v>
      </c>
      <c r="QF38">
        <v>2344</v>
      </c>
      <c r="QG38">
        <v>2647</v>
      </c>
      <c r="QH38">
        <v>2421</v>
      </c>
      <c r="QI38">
        <v>2763</v>
      </c>
      <c r="QJ38">
        <f t="shared" si="37"/>
        <v>29772</v>
      </c>
      <c r="QK38">
        <v>0</v>
      </c>
      <c r="QL38">
        <v>0</v>
      </c>
      <c r="QM38">
        <v>66623</v>
      </c>
      <c r="QN38">
        <v>0</v>
      </c>
      <c r="QO38">
        <v>0</v>
      </c>
      <c r="QP38">
        <v>51950</v>
      </c>
      <c r="QQ38">
        <v>0</v>
      </c>
      <c r="QR38">
        <v>0</v>
      </c>
      <c r="QS38">
        <v>52464</v>
      </c>
      <c r="QT38">
        <v>0</v>
      </c>
      <c r="QU38">
        <v>0</v>
      </c>
      <c r="QV38">
        <v>58154</v>
      </c>
      <c r="QW38">
        <f t="shared" si="38"/>
        <v>229191</v>
      </c>
      <c r="QX38">
        <v>0</v>
      </c>
      <c r="QY38">
        <v>0</v>
      </c>
      <c r="QZ38">
        <v>0</v>
      </c>
      <c r="RA38">
        <v>0</v>
      </c>
      <c r="RB38">
        <v>0</v>
      </c>
      <c r="RC38">
        <v>0</v>
      </c>
      <c r="RD38">
        <v>0</v>
      </c>
      <c r="RE38">
        <v>0</v>
      </c>
      <c r="RF38">
        <v>0</v>
      </c>
      <c r="RG38">
        <v>0</v>
      </c>
      <c r="RH38">
        <v>0</v>
      </c>
      <c r="RI38">
        <v>0</v>
      </c>
      <c r="RJ38">
        <f t="shared" si="39"/>
        <v>0</v>
      </c>
      <c r="RK38">
        <v>0</v>
      </c>
      <c r="RL38">
        <v>0</v>
      </c>
      <c r="RM38">
        <v>0</v>
      </c>
      <c r="RN38">
        <v>0</v>
      </c>
      <c r="RO38">
        <v>0</v>
      </c>
      <c r="RP38">
        <v>0</v>
      </c>
      <c r="RQ38">
        <v>0</v>
      </c>
      <c r="RR38">
        <v>0</v>
      </c>
      <c r="RS38">
        <v>0</v>
      </c>
      <c r="RT38">
        <v>0</v>
      </c>
      <c r="RU38">
        <v>0</v>
      </c>
      <c r="RV38">
        <v>0</v>
      </c>
      <c r="RW38">
        <f t="shared" si="40"/>
        <v>0</v>
      </c>
      <c r="RX38">
        <v>0</v>
      </c>
      <c r="RY38">
        <v>0</v>
      </c>
      <c r="RZ38">
        <v>0</v>
      </c>
      <c r="SA38">
        <v>0</v>
      </c>
      <c r="SB38">
        <v>0</v>
      </c>
      <c r="SC38">
        <v>0</v>
      </c>
      <c r="SD38">
        <v>0</v>
      </c>
      <c r="SE38">
        <v>0</v>
      </c>
      <c r="SF38">
        <v>0</v>
      </c>
      <c r="SG38">
        <v>0</v>
      </c>
      <c r="SH38">
        <v>0</v>
      </c>
      <c r="SI38">
        <v>0</v>
      </c>
      <c r="SJ38">
        <f t="shared" si="41"/>
        <v>0</v>
      </c>
      <c r="SK38">
        <v>711</v>
      </c>
      <c r="SL38">
        <v>727</v>
      </c>
      <c r="SM38">
        <v>655</v>
      </c>
      <c r="SN38">
        <v>707</v>
      </c>
      <c r="SO38">
        <v>689</v>
      </c>
      <c r="SP38">
        <v>671</v>
      </c>
      <c r="SQ38">
        <v>695</v>
      </c>
      <c r="SR38">
        <v>674</v>
      </c>
      <c r="SS38">
        <v>648</v>
      </c>
      <c r="ST38">
        <v>623</v>
      </c>
      <c r="SU38">
        <v>623</v>
      </c>
      <c r="SV38">
        <v>641</v>
      </c>
      <c r="SW38">
        <f t="shared" si="42"/>
        <v>8064</v>
      </c>
      <c r="SX38">
        <v>0</v>
      </c>
      <c r="SY38">
        <v>1845</v>
      </c>
      <c r="SZ38">
        <v>2016</v>
      </c>
      <c r="TA38">
        <v>1981</v>
      </c>
      <c r="TB38">
        <v>2009</v>
      </c>
      <c r="TC38">
        <v>1800</v>
      </c>
      <c r="TD38">
        <v>2059</v>
      </c>
      <c r="TE38">
        <v>2187</v>
      </c>
      <c r="TF38">
        <v>1766</v>
      </c>
      <c r="TG38">
        <v>1633</v>
      </c>
      <c r="TH38">
        <v>2066</v>
      </c>
      <c r="TI38">
        <v>2071</v>
      </c>
      <c r="TJ38">
        <v>2148</v>
      </c>
      <c r="TK38">
        <f t="shared" si="43"/>
        <v>23581</v>
      </c>
      <c r="TL38">
        <v>0</v>
      </c>
      <c r="TM38">
        <v>0</v>
      </c>
      <c r="TN38">
        <v>0</v>
      </c>
      <c r="TO38">
        <v>0</v>
      </c>
      <c r="TP38">
        <v>0</v>
      </c>
      <c r="TQ38">
        <v>0</v>
      </c>
      <c r="TR38">
        <v>0</v>
      </c>
      <c r="TS38">
        <v>0</v>
      </c>
      <c r="TT38">
        <v>0</v>
      </c>
      <c r="TU38">
        <v>0</v>
      </c>
      <c r="TV38">
        <v>0</v>
      </c>
      <c r="TW38">
        <v>0</v>
      </c>
      <c r="TX38">
        <f t="shared" si="44"/>
        <v>0</v>
      </c>
      <c r="TY38">
        <v>44</v>
      </c>
      <c r="TZ38">
        <v>0</v>
      </c>
      <c r="UA38">
        <v>0</v>
      </c>
      <c r="UB38">
        <v>0</v>
      </c>
    </row>
    <row r="39" spans="1:548" ht="16.5" customHeight="1" x14ac:dyDescent="0.35">
      <c r="A39" t="s">
        <v>1403</v>
      </c>
      <c r="B39" t="s">
        <v>2866</v>
      </c>
      <c r="C39">
        <v>20965</v>
      </c>
      <c r="D39">
        <v>3392</v>
      </c>
      <c r="E39">
        <v>1250</v>
      </c>
      <c r="F39">
        <v>16323</v>
      </c>
      <c r="G39">
        <v>255</v>
      </c>
      <c r="H39">
        <v>282</v>
      </c>
      <c r="I39">
        <v>296</v>
      </c>
      <c r="J39">
        <v>284</v>
      </c>
      <c r="K39">
        <v>175</v>
      </c>
      <c r="L39">
        <v>286</v>
      </c>
      <c r="M39">
        <v>343</v>
      </c>
      <c r="N39">
        <v>339</v>
      </c>
      <c r="O39">
        <v>207</v>
      </c>
      <c r="P39">
        <v>314</v>
      </c>
      <c r="Q39">
        <v>283</v>
      </c>
      <c r="R39">
        <v>310</v>
      </c>
      <c r="S39">
        <f t="shared" si="0"/>
        <v>3374</v>
      </c>
      <c r="T39">
        <v>120</v>
      </c>
      <c r="U39">
        <v>128</v>
      </c>
      <c r="V39">
        <v>129</v>
      </c>
      <c r="W39">
        <v>139</v>
      </c>
      <c r="X39">
        <v>66</v>
      </c>
      <c r="Y39">
        <v>145</v>
      </c>
      <c r="Z39">
        <v>152</v>
      </c>
      <c r="AA39">
        <v>161</v>
      </c>
      <c r="AB39">
        <v>90</v>
      </c>
      <c r="AC39">
        <v>149</v>
      </c>
      <c r="AD39">
        <v>128</v>
      </c>
      <c r="AE39">
        <v>146</v>
      </c>
      <c r="AF39">
        <f t="shared" si="1"/>
        <v>1553</v>
      </c>
      <c r="AG39">
        <v>0</v>
      </c>
      <c r="AH39">
        <v>0</v>
      </c>
      <c r="AI39">
        <v>0</v>
      </c>
      <c r="AJ39">
        <v>0</v>
      </c>
      <c r="AK39">
        <v>0</v>
      </c>
      <c r="AL39">
        <v>0</v>
      </c>
      <c r="AM39">
        <v>0</v>
      </c>
      <c r="AN39">
        <v>0</v>
      </c>
      <c r="AO39">
        <v>0</v>
      </c>
      <c r="AP39">
        <v>0</v>
      </c>
      <c r="AQ39">
        <v>0</v>
      </c>
      <c r="AR39">
        <v>0</v>
      </c>
      <c r="AS39">
        <f t="shared" si="2"/>
        <v>0</v>
      </c>
      <c r="AT39">
        <v>122</v>
      </c>
      <c r="AU39">
        <v>135</v>
      </c>
      <c r="AV39">
        <v>154</v>
      </c>
      <c r="AW39">
        <v>134</v>
      </c>
      <c r="AX39">
        <v>102</v>
      </c>
      <c r="AY39">
        <v>127</v>
      </c>
      <c r="AZ39">
        <v>163</v>
      </c>
      <c r="BA39">
        <v>139</v>
      </c>
      <c r="BB39">
        <v>98</v>
      </c>
      <c r="BC39">
        <v>157</v>
      </c>
      <c r="BD39">
        <v>142</v>
      </c>
      <c r="BE39">
        <v>156</v>
      </c>
      <c r="BF39">
        <f t="shared" si="3"/>
        <v>1629</v>
      </c>
      <c r="BG39">
        <v>13</v>
      </c>
      <c r="BH39">
        <v>19</v>
      </c>
      <c r="BI39">
        <v>13</v>
      </c>
      <c r="BJ39">
        <v>116</v>
      </c>
      <c r="BK39">
        <v>7</v>
      </c>
      <c r="BL39">
        <v>14</v>
      </c>
      <c r="BM39">
        <v>28</v>
      </c>
      <c r="BN39">
        <v>39</v>
      </c>
      <c r="BO39">
        <v>19</v>
      </c>
      <c r="BP39">
        <v>8</v>
      </c>
      <c r="BQ39">
        <v>13</v>
      </c>
      <c r="BR39">
        <v>8</v>
      </c>
      <c r="BS39">
        <f t="shared" si="4"/>
        <v>297</v>
      </c>
      <c r="BT39">
        <v>0</v>
      </c>
      <c r="BU39">
        <v>0</v>
      </c>
      <c r="BV39">
        <v>0</v>
      </c>
      <c r="BW39">
        <v>0</v>
      </c>
      <c r="BX39">
        <v>0</v>
      </c>
      <c r="BY39">
        <v>0</v>
      </c>
      <c r="BZ39">
        <v>0</v>
      </c>
      <c r="CA39">
        <v>0</v>
      </c>
      <c r="CB39">
        <v>0</v>
      </c>
      <c r="CC39">
        <v>0</v>
      </c>
      <c r="CD39">
        <v>0</v>
      </c>
      <c r="CE39">
        <v>0</v>
      </c>
      <c r="CF39">
        <f t="shared" si="5"/>
        <v>0</v>
      </c>
      <c r="CG39">
        <v>0</v>
      </c>
      <c r="CH39">
        <v>0</v>
      </c>
      <c r="CI39">
        <v>0</v>
      </c>
      <c r="CJ39">
        <v>0</v>
      </c>
      <c r="CK39">
        <v>0</v>
      </c>
      <c r="CL39">
        <v>0</v>
      </c>
      <c r="CM39">
        <v>0</v>
      </c>
      <c r="CN39">
        <v>0</v>
      </c>
      <c r="CO39">
        <v>0</v>
      </c>
      <c r="CP39">
        <v>0</v>
      </c>
      <c r="CQ39">
        <v>0</v>
      </c>
      <c r="CR39">
        <v>0</v>
      </c>
      <c r="CS39">
        <f t="shared" si="6"/>
        <v>0</v>
      </c>
      <c r="CT39">
        <v>0</v>
      </c>
      <c r="CU39">
        <v>0</v>
      </c>
      <c r="CV39">
        <v>0</v>
      </c>
      <c r="CW39">
        <v>0</v>
      </c>
      <c r="CX39">
        <v>0</v>
      </c>
      <c r="CY39">
        <v>0</v>
      </c>
      <c r="CZ39">
        <v>0</v>
      </c>
      <c r="DA39">
        <v>0</v>
      </c>
      <c r="DB39">
        <v>0</v>
      </c>
      <c r="DC39">
        <v>0</v>
      </c>
      <c r="DD39">
        <v>0</v>
      </c>
      <c r="DE39">
        <v>0</v>
      </c>
      <c r="DF39">
        <f t="shared" si="7"/>
        <v>0</v>
      </c>
      <c r="DG39">
        <v>0</v>
      </c>
      <c r="DH39">
        <v>0</v>
      </c>
      <c r="DI39">
        <v>0</v>
      </c>
      <c r="DJ39">
        <v>0</v>
      </c>
      <c r="DK39">
        <v>0</v>
      </c>
      <c r="DL39">
        <v>0</v>
      </c>
      <c r="DM39">
        <v>0</v>
      </c>
      <c r="DN39">
        <v>0</v>
      </c>
      <c r="DO39">
        <v>0</v>
      </c>
      <c r="DP39">
        <v>0</v>
      </c>
      <c r="DQ39">
        <v>0</v>
      </c>
      <c r="DR39">
        <v>0</v>
      </c>
      <c r="DS39">
        <f t="shared" si="8"/>
        <v>0</v>
      </c>
      <c r="DT39">
        <v>0</v>
      </c>
      <c r="DU39">
        <v>0</v>
      </c>
      <c r="DV39">
        <v>0</v>
      </c>
      <c r="DW39">
        <v>0</v>
      </c>
      <c r="DX39">
        <v>0</v>
      </c>
      <c r="DY39">
        <v>0</v>
      </c>
      <c r="DZ39">
        <v>0</v>
      </c>
      <c r="EA39">
        <v>0</v>
      </c>
      <c r="EB39">
        <v>0</v>
      </c>
      <c r="EC39">
        <v>0</v>
      </c>
      <c r="ED39">
        <v>0</v>
      </c>
      <c r="EE39">
        <v>0</v>
      </c>
      <c r="EF39">
        <f t="shared" si="9"/>
        <v>0</v>
      </c>
      <c r="EG39">
        <f t="shared" si="10"/>
        <v>3479</v>
      </c>
      <c r="EH39">
        <f t="shared" si="11"/>
        <v>0</v>
      </c>
      <c r="EI39">
        <v>3060</v>
      </c>
      <c r="EJ39">
        <v>3898</v>
      </c>
      <c r="EK39">
        <v>3853</v>
      </c>
      <c r="EL39">
        <v>8138</v>
      </c>
      <c r="EM39">
        <v>1874</v>
      </c>
      <c r="EN39">
        <v>3882</v>
      </c>
      <c r="EO39">
        <v>3990</v>
      </c>
      <c r="EP39">
        <v>4318</v>
      </c>
      <c r="EQ39">
        <v>2348</v>
      </c>
      <c r="ER39">
        <v>3452</v>
      </c>
      <c r="ES39">
        <v>3496</v>
      </c>
      <c r="ET39">
        <v>3936</v>
      </c>
      <c r="EU39">
        <f t="shared" si="12"/>
        <v>46245</v>
      </c>
      <c r="EV39">
        <v>1387</v>
      </c>
      <c r="EW39">
        <v>1899</v>
      </c>
      <c r="EX39">
        <v>1927</v>
      </c>
      <c r="EY39">
        <v>2440</v>
      </c>
      <c r="EZ39">
        <v>775</v>
      </c>
      <c r="FA39">
        <v>2050</v>
      </c>
      <c r="FB39">
        <v>2166</v>
      </c>
      <c r="FC39">
        <v>1836</v>
      </c>
      <c r="FD39">
        <v>1160</v>
      </c>
      <c r="FE39">
        <v>1652</v>
      </c>
      <c r="FF39">
        <v>1687</v>
      </c>
      <c r="FG39">
        <v>2073</v>
      </c>
      <c r="FH39">
        <f t="shared" si="13"/>
        <v>21052</v>
      </c>
      <c r="FI39">
        <v>0</v>
      </c>
      <c r="FJ39">
        <v>0</v>
      </c>
      <c r="FK39">
        <v>0</v>
      </c>
      <c r="FL39">
        <v>0</v>
      </c>
      <c r="FM39">
        <v>0</v>
      </c>
      <c r="FN39">
        <v>0</v>
      </c>
      <c r="FO39">
        <v>0</v>
      </c>
      <c r="FP39">
        <v>0</v>
      </c>
      <c r="FQ39">
        <v>0</v>
      </c>
      <c r="FR39">
        <v>0</v>
      </c>
      <c r="FS39">
        <v>0</v>
      </c>
      <c r="FT39">
        <v>0</v>
      </c>
      <c r="FU39">
        <f t="shared" si="14"/>
        <v>0</v>
      </c>
      <c r="FV39">
        <v>1673</v>
      </c>
      <c r="FW39">
        <v>1999</v>
      </c>
      <c r="FX39">
        <v>1926</v>
      </c>
      <c r="FY39">
        <v>5698</v>
      </c>
      <c r="FZ39">
        <v>1099</v>
      </c>
      <c r="GA39">
        <v>1832</v>
      </c>
      <c r="GB39">
        <v>1824</v>
      </c>
      <c r="GC39">
        <v>2482</v>
      </c>
      <c r="GD39">
        <v>1188</v>
      </c>
      <c r="GE39">
        <v>1800</v>
      </c>
      <c r="GF39">
        <v>1809</v>
      </c>
      <c r="GG39">
        <v>1863</v>
      </c>
      <c r="GH39">
        <f t="shared" si="15"/>
        <v>25193</v>
      </c>
      <c r="GI39">
        <v>0</v>
      </c>
      <c r="GJ39">
        <v>0</v>
      </c>
      <c r="GK39">
        <v>0</v>
      </c>
      <c r="GL39">
        <v>0</v>
      </c>
      <c r="GM39">
        <v>0</v>
      </c>
      <c r="GN39">
        <v>0</v>
      </c>
      <c r="GO39">
        <v>0</v>
      </c>
      <c r="GP39">
        <v>0</v>
      </c>
      <c r="GQ39">
        <v>0</v>
      </c>
      <c r="GR39">
        <v>0</v>
      </c>
      <c r="GS39">
        <v>0</v>
      </c>
      <c r="GT39">
        <v>0</v>
      </c>
      <c r="GU39">
        <f t="shared" si="16"/>
        <v>0</v>
      </c>
      <c r="GV39">
        <v>0</v>
      </c>
      <c r="GW39">
        <v>0</v>
      </c>
      <c r="GX39">
        <v>0</v>
      </c>
      <c r="GY39">
        <v>0</v>
      </c>
      <c r="GZ39">
        <v>0</v>
      </c>
      <c r="HA39">
        <v>0</v>
      </c>
      <c r="HB39">
        <v>0</v>
      </c>
      <c r="HC39">
        <v>0</v>
      </c>
      <c r="HD39">
        <v>0</v>
      </c>
      <c r="HE39">
        <v>0</v>
      </c>
      <c r="HF39">
        <v>0</v>
      </c>
      <c r="HG39">
        <v>0</v>
      </c>
      <c r="HH39">
        <f t="shared" si="17"/>
        <v>0</v>
      </c>
      <c r="HI39">
        <v>0</v>
      </c>
      <c r="HJ39">
        <v>0</v>
      </c>
      <c r="HK39">
        <v>0</v>
      </c>
      <c r="HL39">
        <v>0</v>
      </c>
      <c r="HM39">
        <v>0</v>
      </c>
      <c r="HN39">
        <v>0</v>
      </c>
      <c r="HO39">
        <v>0</v>
      </c>
      <c r="HP39">
        <v>0</v>
      </c>
      <c r="HQ39">
        <v>0</v>
      </c>
      <c r="HR39">
        <v>0</v>
      </c>
      <c r="HS39">
        <v>0</v>
      </c>
      <c r="HT39">
        <v>0</v>
      </c>
      <c r="HU39">
        <f t="shared" si="18"/>
        <v>0</v>
      </c>
      <c r="HV39">
        <v>0</v>
      </c>
      <c r="HW39">
        <v>0</v>
      </c>
      <c r="HX39">
        <v>0</v>
      </c>
      <c r="HY39">
        <v>0</v>
      </c>
      <c r="HZ39">
        <v>0</v>
      </c>
      <c r="IA39">
        <v>0</v>
      </c>
      <c r="IB39">
        <v>0</v>
      </c>
      <c r="IC39">
        <v>0</v>
      </c>
      <c r="ID39">
        <v>0</v>
      </c>
      <c r="IE39">
        <v>0</v>
      </c>
      <c r="IF39">
        <v>0</v>
      </c>
      <c r="IG39">
        <v>0</v>
      </c>
      <c r="IH39">
        <f t="shared" si="19"/>
        <v>0</v>
      </c>
      <c r="II39">
        <f t="shared" si="20"/>
        <v>46245</v>
      </c>
      <c r="IJ39">
        <f t="shared" si="21"/>
        <v>0</v>
      </c>
      <c r="IK39">
        <v>25986</v>
      </c>
      <c r="IL39">
        <v>26357</v>
      </c>
      <c r="IM39">
        <v>26083</v>
      </c>
      <c r="IN39">
        <v>28258</v>
      </c>
      <c r="IO39">
        <v>28050</v>
      </c>
      <c r="IP39">
        <v>28577</v>
      </c>
      <c r="IQ39">
        <v>29943</v>
      </c>
      <c r="IR39">
        <v>28889</v>
      </c>
      <c r="IS39">
        <v>22490</v>
      </c>
      <c r="IT39">
        <v>29986</v>
      </c>
      <c r="IU39">
        <v>26042</v>
      </c>
      <c r="IV39">
        <v>28263</v>
      </c>
      <c r="IW39">
        <f t="shared" si="22"/>
        <v>328924</v>
      </c>
      <c r="IX39">
        <v>12850</v>
      </c>
      <c r="IY39">
        <v>13008</v>
      </c>
      <c r="IZ39">
        <v>12710</v>
      </c>
      <c r="JA39">
        <v>13966</v>
      </c>
      <c r="JB39">
        <v>13905</v>
      </c>
      <c r="JC39">
        <v>14878</v>
      </c>
      <c r="JD39">
        <v>15533</v>
      </c>
      <c r="JE39">
        <v>14475</v>
      </c>
      <c r="JF39">
        <v>10797</v>
      </c>
      <c r="JG39">
        <v>15183</v>
      </c>
      <c r="JH39">
        <v>12996</v>
      </c>
      <c r="JI39">
        <v>14039</v>
      </c>
      <c r="JJ39">
        <f t="shared" si="23"/>
        <v>164340</v>
      </c>
      <c r="JK39">
        <v>376</v>
      </c>
      <c r="JL39">
        <v>425</v>
      </c>
      <c r="JM39">
        <v>395</v>
      </c>
      <c r="JN39">
        <v>545</v>
      </c>
      <c r="JO39">
        <v>612</v>
      </c>
      <c r="JP39">
        <v>533</v>
      </c>
      <c r="JQ39">
        <v>537</v>
      </c>
      <c r="JR39">
        <v>541</v>
      </c>
      <c r="JS39">
        <v>444</v>
      </c>
      <c r="JT39">
        <v>586</v>
      </c>
      <c r="JU39">
        <v>513</v>
      </c>
      <c r="JV39">
        <v>480</v>
      </c>
      <c r="JW39">
        <f t="shared" si="24"/>
        <v>5987</v>
      </c>
      <c r="JX39">
        <v>12760</v>
      </c>
      <c r="JY39">
        <v>12924</v>
      </c>
      <c r="JZ39">
        <v>12978</v>
      </c>
      <c r="KA39">
        <v>13747</v>
      </c>
      <c r="KB39">
        <v>13533</v>
      </c>
      <c r="KC39">
        <v>13166</v>
      </c>
      <c r="KD39">
        <v>13873</v>
      </c>
      <c r="KE39">
        <v>13873</v>
      </c>
      <c r="KF39">
        <v>11249</v>
      </c>
      <c r="KG39">
        <v>14217</v>
      </c>
      <c r="KH39">
        <v>12533</v>
      </c>
      <c r="KI39">
        <v>13744</v>
      </c>
      <c r="KJ39">
        <f t="shared" si="25"/>
        <v>158597</v>
      </c>
      <c r="KK39">
        <v>262</v>
      </c>
      <c r="KL39">
        <v>251</v>
      </c>
      <c r="KM39">
        <v>239</v>
      </c>
      <c r="KN39">
        <v>249</v>
      </c>
      <c r="KO39">
        <v>274</v>
      </c>
      <c r="KP39">
        <v>276</v>
      </c>
      <c r="KQ39">
        <v>279</v>
      </c>
      <c r="KR39">
        <v>251</v>
      </c>
      <c r="KS39">
        <v>189</v>
      </c>
      <c r="KT39">
        <v>268</v>
      </c>
      <c r="KU39">
        <v>213</v>
      </c>
      <c r="KV39">
        <v>312</v>
      </c>
      <c r="KW39">
        <f t="shared" si="26"/>
        <v>3063</v>
      </c>
      <c r="KX39">
        <v>15</v>
      </c>
      <c r="KY39">
        <v>22</v>
      </c>
      <c r="KZ39">
        <v>13</v>
      </c>
      <c r="LA39">
        <v>25</v>
      </c>
      <c r="LB39">
        <v>16</v>
      </c>
      <c r="LC39">
        <v>7</v>
      </c>
      <c r="LD39">
        <v>9</v>
      </c>
      <c r="LE39">
        <v>12</v>
      </c>
      <c r="LF39">
        <v>13</v>
      </c>
      <c r="LG39">
        <v>8</v>
      </c>
      <c r="LH39">
        <v>12</v>
      </c>
      <c r="LI39">
        <v>25</v>
      </c>
      <c r="LJ39">
        <f t="shared" si="27"/>
        <v>177</v>
      </c>
      <c r="LK39">
        <v>0</v>
      </c>
      <c r="LL39">
        <v>0</v>
      </c>
      <c r="LM39">
        <v>0</v>
      </c>
      <c r="LN39">
        <v>0</v>
      </c>
      <c r="LO39">
        <v>0</v>
      </c>
      <c r="LP39">
        <v>0</v>
      </c>
      <c r="LQ39">
        <v>0</v>
      </c>
      <c r="LR39">
        <v>0</v>
      </c>
      <c r="LS39">
        <v>0</v>
      </c>
      <c r="LT39">
        <v>0</v>
      </c>
      <c r="LU39">
        <v>0</v>
      </c>
      <c r="LV39">
        <v>0</v>
      </c>
      <c r="LW39">
        <f t="shared" si="28"/>
        <v>0</v>
      </c>
      <c r="LX39">
        <v>247</v>
      </c>
      <c r="LY39">
        <v>229</v>
      </c>
      <c r="LZ39">
        <v>226</v>
      </c>
      <c r="MA39">
        <v>224</v>
      </c>
      <c r="MB39">
        <v>258</v>
      </c>
      <c r="MC39">
        <v>269</v>
      </c>
      <c r="MD39">
        <v>270</v>
      </c>
      <c r="ME39">
        <v>239</v>
      </c>
      <c r="MF39">
        <v>176</v>
      </c>
      <c r="MG39">
        <v>260</v>
      </c>
      <c r="MH39">
        <v>201</v>
      </c>
      <c r="MI39">
        <v>287</v>
      </c>
      <c r="MJ39">
        <f t="shared" si="29"/>
        <v>2886</v>
      </c>
      <c r="MK39">
        <v>1849</v>
      </c>
      <c r="ML39">
        <v>2115</v>
      </c>
      <c r="MM39">
        <v>2055</v>
      </c>
      <c r="MN39">
        <v>2158</v>
      </c>
      <c r="MO39">
        <v>2319</v>
      </c>
      <c r="MP39">
        <v>2105</v>
      </c>
      <c r="MQ39">
        <v>2206</v>
      </c>
      <c r="MR39">
        <v>2098</v>
      </c>
      <c r="MS39">
        <v>2385</v>
      </c>
      <c r="MT39">
        <v>2552</v>
      </c>
      <c r="MU39">
        <v>2272</v>
      </c>
      <c r="MV39">
        <v>2522</v>
      </c>
      <c r="MW39">
        <f t="shared" si="30"/>
        <v>26636</v>
      </c>
      <c r="MX39">
        <v>0</v>
      </c>
      <c r="MY39">
        <v>0</v>
      </c>
      <c r="MZ39">
        <v>0</v>
      </c>
      <c r="NA39">
        <v>0</v>
      </c>
      <c r="NB39">
        <v>0</v>
      </c>
      <c r="NC39">
        <v>0</v>
      </c>
      <c r="ND39">
        <v>0</v>
      </c>
      <c r="NE39">
        <v>0</v>
      </c>
      <c r="NF39">
        <v>0</v>
      </c>
      <c r="NG39">
        <v>0</v>
      </c>
      <c r="NH39">
        <v>0</v>
      </c>
      <c r="NI39">
        <v>0</v>
      </c>
      <c r="NJ39">
        <f t="shared" si="31"/>
        <v>0</v>
      </c>
      <c r="NK39">
        <v>0</v>
      </c>
      <c r="NL39">
        <v>0</v>
      </c>
      <c r="NM39">
        <v>0</v>
      </c>
      <c r="NN39">
        <v>0</v>
      </c>
      <c r="NO39">
        <v>0</v>
      </c>
      <c r="NP39">
        <v>0</v>
      </c>
      <c r="NQ39">
        <v>0</v>
      </c>
      <c r="NR39">
        <v>0</v>
      </c>
      <c r="NS39">
        <v>0</v>
      </c>
      <c r="NT39">
        <v>0</v>
      </c>
      <c r="NU39">
        <v>0</v>
      </c>
      <c r="NV39">
        <v>0</v>
      </c>
      <c r="NW39">
        <f t="shared" si="32"/>
        <v>0</v>
      </c>
      <c r="NX39">
        <v>0</v>
      </c>
      <c r="NY39">
        <v>0</v>
      </c>
      <c r="NZ39">
        <v>0</v>
      </c>
      <c r="OA39">
        <v>0</v>
      </c>
      <c r="OB39">
        <v>0</v>
      </c>
      <c r="OC39">
        <v>0</v>
      </c>
      <c r="OD39">
        <v>0</v>
      </c>
      <c r="OE39">
        <v>0</v>
      </c>
      <c r="OF39">
        <v>0</v>
      </c>
      <c r="OG39">
        <v>0</v>
      </c>
      <c r="OH39">
        <v>0</v>
      </c>
      <c r="OI39">
        <v>0</v>
      </c>
      <c r="OJ39">
        <f t="shared" si="33"/>
        <v>0</v>
      </c>
      <c r="OK39">
        <v>2070</v>
      </c>
      <c r="OL39">
        <v>2201</v>
      </c>
      <c r="OM39">
        <v>1991</v>
      </c>
      <c r="ON39">
        <v>2215</v>
      </c>
      <c r="OO39">
        <v>2451</v>
      </c>
      <c r="OP39">
        <v>2306</v>
      </c>
      <c r="OQ39">
        <v>2319</v>
      </c>
      <c r="OR39">
        <v>2348</v>
      </c>
      <c r="OS39">
        <v>2520</v>
      </c>
      <c r="OT39">
        <v>2861</v>
      </c>
      <c r="OU39">
        <v>2566</v>
      </c>
      <c r="OV39">
        <v>2676</v>
      </c>
      <c r="OW39">
        <f t="shared" si="34"/>
        <v>28524</v>
      </c>
      <c r="OX39">
        <v>0</v>
      </c>
      <c r="OY39">
        <v>0</v>
      </c>
      <c r="OZ39">
        <v>0</v>
      </c>
      <c r="PA39">
        <v>0</v>
      </c>
      <c r="PB39">
        <v>0</v>
      </c>
      <c r="PC39">
        <v>0</v>
      </c>
      <c r="PD39">
        <v>0</v>
      </c>
      <c r="PE39">
        <v>0</v>
      </c>
      <c r="PF39">
        <v>0</v>
      </c>
      <c r="PG39">
        <v>0</v>
      </c>
      <c r="PH39">
        <v>0</v>
      </c>
      <c r="PI39">
        <v>0</v>
      </c>
      <c r="PJ39">
        <f t="shared" si="35"/>
        <v>0</v>
      </c>
      <c r="PK39">
        <v>0</v>
      </c>
      <c r="PL39">
        <v>0</v>
      </c>
      <c r="PM39">
        <v>0</v>
      </c>
      <c r="PN39">
        <v>0</v>
      </c>
      <c r="PO39">
        <v>0</v>
      </c>
      <c r="PP39">
        <v>0</v>
      </c>
      <c r="PQ39">
        <v>0</v>
      </c>
      <c r="PR39">
        <v>0</v>
      </c>
      <c r="PS39">
        <v>0</v>
      </c>
      <c r="PT39">
        <v>0</v>
      </c>
      <c r="PU39">
        <v>0</v>
      </c>
      <c r="PV39">
        <v>0</v>
      </c>
      <c r="PW39">
        <f t="shared" si="36"/>
        <v>0</v>
      </c>
      <c r="PX39">
        <v>0</v>
      </c>
      <c r="PY39">
        <v>0</v>
      </c>
      <c r="PZ39">
        <v>0</v>
      </c>
      <c r="QA39">
        <v>0</v>
      </c>
      <c r="QB39">
        <v>0</v>
      </c>
      <c r="QC39">
        <v>0</v>
      </c>
      <c r="QD39">
        <v>0</v>
      </c>
      <c r="QE39">
        <v>0</v>
      </c>
      <c r="QF39">
        <v>0</v>
      </c>
      <c r="QG39">
        <v>0</v>
      </c>
      <c r="QH39">
        <v>0</v>
      </c>
      <c r="QI39">
        <v>0</v>
      </c>
      <c r="QJ39">
        <f t="shared" si="37"/>
        <v>0</v>
      </c>
      <c r="QK39">
        <v>69064</v>
      </c>
      <c r="QL39">
        <v>72208</v>
      </c>
      <c r="QM39">
        <v>64047</v>
      </c>
      <c r="QN39">
        <v>67051</v>
      </c>
      <c r="QO39">
        <v>58969</v>
      </c>
      <c r="QP39">
        <v>69212</v>
      </c>
      <c r="QQ39">
        <v>72053</v>
      </c>
      <c r="QR39">
        <v>69975</v>
      </c>
      <c r="QS39">
        <v>53721</v>
      </c>
      <c r="QT39">
        <v>74140</v>
      </c>
      <c r="QU39">
        <v>66403</v>
      </c>
      <c r="QV39">
        <v>72138</v>
      </c>
      <c r="QW39">
        <f t="shared" si="38"/>
        <v>808981</v>
      </c>
      <c r="QX39">
        <v>0</v>
      </c>
      <c r="QY39">
        <v>0</v>
      </c>
      <c r="QZ39">
        <v>0</v>
      </c>
      <c r="RA39">
        <v>0</v>
      </c>
      <c r="RB39">
        <v>0</v>
      </c>
      <c r="RC39">
        <v>0</v>
      </c>
      <c r="RD39">
        <v>0</v>
      </c>
      <c r="RE39">
        <v>0</v>
      </c>
      <c r="RF39">
        <v>0</v>
      </c>
      <c r="RG39">
        <v>0</v>
      </c>
      <c r="RH39">
        <v>0</v>
      </c>
      <c r="RI39">
        <v>0</v>
      </c>
      <c r="RJ39">
        <f t="shared" si="39"/>
        <v>0</v>
      </c>
      <c r="RK39">
        <v>0</v>
      </c>
      <c r="RL39">
        <v>0</v>
      </c>
      <c r="RM39">
        <v>0</v>
      </c>
      <c r="RN39">
        <v>0</v>
      </c>
      <c r="RO39">
        <v>0</v>
      </c>
      <c r="RP39">
        <v>0</v>
      </c>
      <c r="RQ39">
        <v>0</v>
      </c>
      <c r="RR39">
        <v>0</v>
      </c>
      <c r="RS39">
        <v>0</v>
      </c>
      <c r="RT39">
        <v>0</v>
      </c>
      <c r="RU39">
        <v>0</v>
      </c>
      <c r="RV39">
        <v>0</v>
      </c>
      <c r="RW39">
        <f t="shared" si="40"/>
        <v>0</v>
      </c>
      <c r="RX39">
        <v>0</v>
      </c>
      <c r="RY39">
        <v>0</v>
      </c>
      <c r="RZ39">
        <v>0</v>
      </c>
      <c r="SA39">
        <v>0</v>
      </c>
      <c r="SB39">
        <v>0</v>
      </c>
      <c r="SC39">
        <v>0</v>
      </c>
      <c r="SD39">
        <v>0</v>
      </c>
      <c r="SE39">
        <v>0</v>
      </c>
      <c r="SF39">
        <v>0</v>
      </c>
      <c r="SG39">
        <v>0</v>
      </c>
      <c r="SH39">
        <v>0</v>
      </c>
      <c r="SI39">
        <v>0</v>
      </c>
      <c r="SJ39">
        <f t="shared" si="41"/>
        <v>0</v>
      </c>
      <c r="SK39">
        <v>90</v>
      </c>
      <c r="SL39">
        <v>87</v>
      </c>
      <c r="SM39">
        <v>85</v>
      </c>
      <c r="SN39">
        <v>100</v>
      </c>
      <c r="SO39">
        <v>83</v>
      </c>
      <c r="SP39">
        <v>98</v>
      </c>
      <c r="SQ39">
        <v>88</v>
      </c>
      <c r="SR39">
        <v>82</v>
      </c>
      <c r="SS39">
        <v>80</v>
      </c>
      <c r="ST39">
        <v>78</v>
      </c>
      <c r="SU39">
        <v>90</v>
      </c>
      <c r="SV39">
        <v>101</v>
      </c>
      <c r="SW39">
        <f t="shared" si="42"/>
        <v>1062</v>
      </c>
      <c r="SX39" t="s">
        <v>1374</v>
      </c>
      <c r="SY39">
        <v>4183</v>
      </c>
      <c r="SZ39">
        <v>4152</v>
      </c>
      <c r="TA39">
        <v>4180</v>
      </c>
      <c r="TB39">
        <v>4591</v>
      </c>
      <c r="TC39">
        <v>4219</v>
      </c>
      <c r="TD39">
        <v>4641</v>
      </c>
      <c r="TE39">
        <v>4636</v>
      </c>
      <c r="TF39">
        <v>4402</v>
      </c>
      <c r="TG39">
        <v>3305</v>
      </c>
      <c r="TH39">
        <v>4609</v>
      </c>
      <c r="TI39">
        <v>4488</v>
      </c>
      <c r="TJ39">
        <v>4793</v>
      </c>
      <c r="TK39">
        <f t="shared" si="43"/>
        <v>52199</v>
      </c>
      <c r="TL39">
        <v>6354</v>
      </c>
      <c r="TM39">
        <v>6225</v>
      </c>
      <c r="TN39">
        <v>6225</v>
      </c>
      <c r="TO39">
        <v>6865</v>
      </c>
      <c r="TP39">
        <v>6078</v>
      </c>
      <c r="TQ39">
        <v>6883</v>
      </c>
      <c r="TR39">
        <v>6995</v>
      </c>
      <c r="TS39">
        <v>6603</v>
      </c>
      <c r="TT39">
        <v>5028</v>
      </c>
      <c r="TU39">
        <v>6919</v>
      </c>
      <c r="TV39">
        <v>6630</v>
      </c>
      <c r="TW39">
        <v>7130</v>
      </c>
      <c r="TX39">
        <f t="shared" si="44"/>
        <v>77935</v>
      </c>
      <c r="TY39">
        <v>0</v>
      </c>
      <c r="TZ39">
        <v>0</v>
      </c>
      <c r="UA39">
        <v>0</v>
      </c>
      <c r="UB39">
        <v>0</v>
      </c>
    </row>
    <row r="40" spans="1:548" ht="16.5" customHeight="1" x14ac:dyDescent="0.35">
      <c r="A40" t="s">
        <v>1486</v>
      </c>
      <c r="B40" t="s">
        <v>2865</v>
      </c>
      <c r="C40">
        <v>3138</v>
      </c>
      <c r="D40">
        <v>792</v>
      </c>
      <c r="E40">
        <v>78</v>
      </c>
      <c r="F40">
        <v>2268</v>
      </c>
      <c r="G40">
        <v>105</v>
      </c>
      <c r="H40">
        <v>99</v>
      </c>
      <c r="I40">
        <v>91</v>
      </c>
      <c r="J40">
        <v>97</v>
      </c>
      <c r="K40">
        <v>105</v>
      </c>
      <c r="L40">
        <v>108</v>
      </c>
      <c r="M40">
        <v>112</v>
      </c>
      <c r="N40">
        <v>97</v>
      </c>
      <c r="O40">
        <v>83</v>
      </c>
      <c r="P40">
        <v>103</v>
      </c>
      <c r="Q40">
        <v>104</v>
      </c>
      <c r="R40">
        <v>105</v>
      </c>
      <c r="S40">
        <f t="shared" si="0"/>
        <v>1209</v>
      </c>
      <c r="T40">
        <v>58</v>
      </c>
      <c r="U40">
        <v>39</v>
      </c>
      <c r="V40">
        <v>36</v>
      </c>
      <c r="W40">
        <v>47</v>
      </c>
      <c r="X40">
        <v>50</v>
      </c>
      <c r="Y40">
        <v>43</v>
      </c>
      <c r="Z40">
        <v>49</v>
      </c>
      <c r="AA40">
        <v>38</v>
      </c>
      <c r="AB40">
        <v>38</v>
      </c>
      <c r="AC40">
        <v>38</v>
      </c>
      <c r="AD40">
        <v>46</v>
      </c>
      <c r="AE40">
        <v>45</v>
      </c>
      <c r="AF40">
        <f t="shared" si="1"/>
        <v>527</v>
      </c>
      <c r="AG40">
        <v>6</v>
      </c>
      <c r="AH40">
        <v>5</v>
      </c>
      <c r="AI40">
        <v>5</v>
      </c>
      <c r="AJ40">
        <v>7</v>
      </c>
      <c r="AK40">
        <v>9</v>
      </c>
      <c r="AL40">
        <v>9</v>
      </c>
      <c r="AM40">
        <v>9</v>
      </c>
      <c r="AN40">
        <v>9</v>
      </c>
      <c r="AO40">
        <v>9</v>
      </c>
      <c r="AP40">
        <v>9</v>
      </c>
      <c r="AQ40">
        <v>9</v>
      </c>
      <c r="AR40">
        <v>9</v>
      </c>
      <c r="AS40">
        <f t="shared" si="2"/>
        <v>95</v>
      </c>
      <c r="AT40">
        <v>41</v>
      </c>
      <c r="AU40">
        <v>55</v>
      </c>
      <c r="AV40">
        <v>50</v>
      </c>
      <c r="AW40">
        <v>43</v>
      </c>
      <c r="AX40">
        <v>46</v>
      </c>
      <c r="AY40">
        <v>56</v>
      </c>
      <c r="AZ40">
        <v>54</v>
      </c>
      <c r="BA40">
        <v>50</v>
      </c>
      <c r="BB40">
        <v>36</v>
      </c>
      <c r="BC40">
        <v>56</v>
      </c>
      <c r="BD40">
        <v>49</v>
      </c>
      <c r="BE40">
        <v>51</v>
      </c>
      <c r="BF40">
        <f t="shared" si="3"/>
        <v>587</v>
      </c>
      <c r="BG40">
        <v>0</v>
      </c>
      <c r="BH40">
        <v>0</v>
      </c>
      <c r="BI40">
        <v>0</v>
      </c>
      <c r="BJ40">
        <v>0</v>
      </c>
      <c r="BK40">
        <v>0</v>
      </c>
      <c r="BL40">
        <v>0</v>
      </c>
      <c r="BM40">
        <v>0</v>
      </c>
      <c r="BN40">
        <v>0</v>
      </c>
      <c r="BO40">
        <v>0</v>
      </c>
      <c r="BP40">
        <v>0</v>
      </c>
      <c r="BQ40">
        <v>0</v>
      </c>
      <c r="BR40">
        <v>0</v>
      </c>
      <c r="BS40">
        <f t="shared" si="4"/>
        <v>0</v>
      </c>
      <c r="BT40">
        <v>0</v>
      </c>
      <c r="BU40">
        <v>0</v>
      </c>
      <c r="BV40">
        <v>0</v>
      </c>
      <c r="BW40">
        <v>0</v>
      </c>
      <c r="BX40">
        <v>0</v>
      </c>
      <c r="BY40">
        <v>0</v>
      </c>
      <c r="BZ40">
        <v>0</v>
      </c>
      <c r="CA40">
        <v>0</v>
      </c>
      <c r="CB40">
        <v>0</v>
      </c>
      <c r="CC40">
        <v>0</v>
      </c>
      <c r="CD40">
        <v>0</v>
      </c>
      <c r="CE40">
        <v>0</v>
      </c>
      <c r="CF40">
        <f t="shared" si="5"/>
        <v>0</v>
      </c>
      <c r="CG40">
        <v>0</v>
      </c>
      <c r="CH40">
        <v>0</v>
      </c>
      <c r="CI40">
        <v>0</v>
      </c>
      <c r="CJ40">
        <v>0</v>
      </c>
      <c r="CK40">
        <v>0</v>
      </c>
      <c r="CL40">
        <v>0</v>
      </c>
      <c r="CM40">
        <v>0</v>
      </c>
      <c r="CN40">
        <v>0</v>
      </c>
      <c r="CO40">
        <v>0</v>
      </c>
      <c r="CP40">
        <v>0</v>
      </c>
      <c r="CQ40">
        <v>0</v>
      </c>
      <c r="CR40">
        <v>0</v>
      </c>
      <c r="CS40">
        <f t="shared" si="6"/>
        <v>0</v>
      </c>
      <c r="CT40">
        <v>0</v>
      </c>
      <c r="CU40">
        <v>0</v>
      </c>
      <c r="CV40">
        <v>0</v>
      </c>
      <c r="CW40">
        <v>0</v>
      </c>
      <c r="CX40">
        <v>0</v>
      </c>
      <c r="CY40">
        <v>0</v>
      </c>
      <c r="CZ40">
        <v>0</v>
      </c>
      <c r="DA40">
        <v>0</v>
      </c>
      <c r="DB40">
        <v>0</v>
      </c>
      <c r="DC40">
        <v>0</v>
      </c>
      <c r="DD40">
        <v>0</v>
      </c>
      <c r="DE40">
        <v>0</v>
      </c>
      <c r="DF40">
        <f t="shared" si="7"/>
        <v>0</v>
      </c>
      <c r="DG40">
        <v>0</v>
      </c>
      <c r="DH40">
        <v>0</v>
      </c>
      <c r="DI40">
        <v>0</v>
      </c>
      <c r="DJ40">
        <v>0</v>
      </c>
      <c r="DK40">
        <v>0</v>
      </c>
      <c r="DL40">
        <v>0</v>
      </c>
      <c r="DM40">
        <v>0</v>
      </c>
      <c r="DN40">
        <v>0</v>
      </c>
      <c r="DO40">
        <v>0</v>
      </c>
      <c r="DP40">
        <v>0</v>
      </c>
      <c r="DQ40">
        <v>0</v>
      </c>
      <c r="DR40">
        <v>0</v>
      </c>
      <c r="DS40">
        <f t="shared" si="8"/>
        <v>0</v>
      </c>
      <c r="DT40">
        <v>0</v>
      </c>
      <c r="DU40">
        <v>0</v>
      </c>
      <c r="DV40">
        <v>0</v>
      </c>
      <c r="DW40">
        <v>0</v>
      </c>
      <c r="DX40">
        <v>0</v>
      </c>
      <c r="DY40">
        <v>0</v>
      </c>
      <c r="DZ40">
        <v>0</v>
      </c>
      <c r="EA40">
        <v>0</v>
      </c>
      <c r="EB40">
        <v>0</v>
      </c>
      <c r="EC40">
        <v>0</v>
      </c>
      <c r="ED40">
        <v>0</v>
      </c>
      <c r="EE40">
        <v>0</v>
      </c>
      <c r="EF40">
        <f t="shared" si="9"/>
        <v>0</v>
      </c>
      <c r="EG40">
        <f t="shared" si="10"/>
        <v>1209</v>
      </c>
      <c r="EH40">
        <f t="shared" si="11"/>
        <v>0</v>
      </c>
      <c r="EI40">
        <v>2857</v>
      </c>
      <c r="EJ40">
        <v>1979</v>
      </c>
      <c r="EK40">
        <v>1968</v>
      </c>
      <c r="EL40">
        <v>1990</v>
      </c>
      <c r="EM40">
        <v>1966</v>
      </c>
      <c r="EN40">
        <v>2863</v>
      </c>
      <c r="EO40">
        <v>2961</v>
      </c>
      <c r="EP40">
        <v>1550</v>
      </c>
      <c r="EQ40">
        <v>1108</v>
      </c>
      <c r="ER40">
        <v>1593</v>
      </c>
      <c r="ES40">
        <v>1822</v>
      </c>
      <c r="ET40">
        <v>2031</v>
      </c>
      <c r="EU40">
        <f t="shared" si="12"/>
        <v>24688</v>
      </c>
      <c r="EV40">
        <v>1953</v>
      </c>
      <c r="EW40">
        <v>885</v>
      </c>
      <c r="EX40">
        <v>987</v>
      </c>
      <c r="EY40">
        <v>1251</v>
      </c>
      <c r="EZ40">
        <v>1143</v>
      </c>
      <c r="FA40">
        <v>1707</v>
      </c>
      <c r="FB40">
        <v>1883</v>
      </c>
      <c r="FC40">
        <v>641</v>
      </c>
      <c r="FD40">
        <v>607</v>
      </c>
      <c r="FE40">
        <v>774</v>
      </c>
      <c r="FF40">
        <v>1007</v>
      </c>
      <c r="FG40">
        <v>1042</v>
      </c>
      <c r="FH40">
        <f t="shared" si="13"/>
        <v>13880</v>
      </c>
      <c r="FI40">
        <v>109</v>
      </c>
      <c r="FJ40">
        <v>105</v>
      </c>
      <c r="FK40">
        <v>99</v>
      </c>
      <c r="FL40">
        <v>94</v>
      </c>
      <c r="FM40">
        <v>59</v>
      </c>
      <c r="FN40">
        <v>86</v>
      </c>
      <c r="FO40">
        <v>61</v>
      </c>
      <c r="FP40">
        <v>96</v>
      </c>
      <c r="FQ40">
        <v>52</v>
      </c>
      <c r="FR40">
        <v>59</v>
      </c>
      <c r="FS40">
        <v>64</v>
      </c>
      <c r="FT40">
        <v>95</v>
      </c>
      <c r="FU40">
        <f t="shared" si="14"/>
        <v>979</v>
      </c>
      <c r="FV40">
        <v>795</v>
      </c>
      <c r="FW40">
        <v>989</v>
      </c>
      <c r="FX40">
        <v>882</v>
      </c>
      <c r="FY40">
        <v>645</v>
      </c>
      <c r="FZ40">
        <v>764</v>
      </c>
      <c r="GA40">
        <v>1070</v>
      </c>
      <c r="GB40">
        <v>1017</v>
      </c>
      <c r="GC40">
        <v>813</v>
      </c>
      <c r="GD40">
        <v>449</v>
      </c>
      <c r="GE40">
        <v>760</v>
      </c>
      <c r="GF40">
        <v>751</v>
      </c>
      <c r="GG40">
        <v>894</v>
      </c>
      <c r="GH40">
        <f t="shared" si="15"/>
        <v>9829</v>
      </c>
      <c r="GI40">
        <v>0</v>
      </c>
      <c r="GJ40">
        <v>0</v>
      </c>
      <c r="GK40">
        <v>0</v>
      </c>
      <c r="GL40">
        <v>0</v>
      </c>
      <c r="GM40">
        <v>0</v>
      </c>
      <c r="GN40">
        <v>0</v>
      </c>
      <c r="GO40">
        <v>0</v>
      </c>
      <c r="GP40">
        <v>0</v>
      </c>
      <c r="GQ40">
        <v>0</v>
      </c>
      <c r="GR40">
        <v>0</v>
      </c>
      <c r="GS40">
        <v>0</v>
      </c>
      <c r="GT40">
        <v>0</v>
      </c>
      <c r="GU40">
        <f t="shared" si="16"/>
        <v>0</v>
      </c>
      <c r="GV40">
        <v>0</v>
      </c>
      <c r="GW40">
        <v>0</v>
      </c>
      <c r="GX40">
        <v>0</v>
      </c>
      <c r="GY40">
        <v>0</v>
      </c>
      <c r="GZ40">
        <v>0</v>
      </c>
      <c r="HA40">
        <v>0</v>
      </c>
      <c r="HB40">
        <v>0</v>
      </c>
      <c r="HC40">
        <v>0</v>
      </c>
      <c r="HD40">
        <v>0</v>
      </c>
      <c r="HE40">
        <v>0</v>
      </c>
      <c r="HF40">
        <v>0</v>
      </c>
      <c r="HG40">
        <v>0</v>
      </c>
      <c r="HH40">
        <f t="shared" si="17"/>
        <v>0</v>
      </c>
      <c r="HI40">
        <v>0</v>
      </c>
      <c r="HJ40">
        <v>0</v>
      </c>
      <c r="HK40">
        <v>0</v>
      </c>
      <c r="HL40">
        <v>0</v>
      </c>
      <c r="HM40">
        <v>0</v>
      </c>
      <c r="HN40">
        <v>0</v>
      </c>
      <c r="HO40">
        <v>0</v>
      </c>
      <c r="HP40">
        <v>0</v>
      </c>
      <c r="HQ40">
        <v>0</v>
      </c>
      <c r="HR40">
        <v>0</v>
      </c>
      <c r="HS40">
        <v>0</v>
      </c>
      <c r="HT40">
        <v>0</v>
      </c>
      <c r="HU40">
        <f t="shared" si="18"/>
        <v>0</v>
      </c>
      <c r="HV40">
        <v>0</v>
      </c>
      <c r="HW40">
        <v>0</v>
      </c>
      <c r="HX40">
        <v>0</v>
      </c>
      <c r="HY40">
        <v>0</v>
      </c>
      <c r="HZ40">
        <v>0</v>
      </c>
      <c r="IA40">
        <v>0</v>
      </c>
      <c r="IB40">
        <v>0</v>
      </c>
      <c r="IC40">
        <v>0</v>
      </c>
      <c r="ID40">
        <v>0</v>
      </c>
      <c r="IE40">
        <v>0</v>
      </c>
      <c r="IF40">
        <v>0</v>
      </c>
      <c r="IG40">
        <v>0</v>
      </c>
      <c r="IH40">
        <f t="shared" si="19"/>
        <v>0</v>
      </c>
      <c r="II40">
        <f t="shared" si="20"/>
        <v>24688</v>
      </c>
      <c r="IJ40">
        <f t="shared" si="21"/>
        <v>0</v>
      </c>
      <c r="IK40">
        <v>6626</v>
      </c>
      <c r="IL40">
        <v>6558</v>
      </c>
      <c r="IM40">
        <v>6139</v>
      </c>
      <c r="IN40">
        <v>8012</v>
      </c>
      <c r="IO40">
        <v>7313</v>
      </c>
      <c r="IP40">
        <v>6868</v>
      </c>
      <c r="IQ40">
        <v>6949</v>
      </c>
      <c r="IR40">
        <v>5795</v>
      </c>
      <c r="IS40">
        <v>5298</v>
      </c>
      <c r="IT40">
        <v>6109</v>
      </c>
      <c r="IU40">
        <v>6223</v>
      </c>
      <c r="IV40">
        <v>6152</v>
      </c>
      <c r="IW40">
        <f t="shared" si="22"/>
        <v>78042</v>
      </c>
      <c r="IX40">
        <v>1205</v>
      </c>
      <c r="IY40">
        <v>1102</v>
      </c>
      <c r="IZ40">
        <v>1129</v>
      </c>
      <c r="JA40">
        <v>2039</v>
      </c>
      <c r="JB40">
        <v>1807</v>
      </c>
      <c r="JC40">
        <v>1126</v>
      </c>
      <c r="JD40">
        <v>1206</v>
      </c>
      <c r="JE40">
        <v>1005</v>
      </c>
      <c r="JF40">
        <v>520</v>
      </c>
      <c r="JG40">
        <v>1009</v>
      </c>
      <c r="JH40">
        <v>1112</v>
      </c>
      <c r="JI40">
        <v>1251</v>
      </c>
      <c r="JJ40">
        <f t="shared" si="23"/>
        <v>14511</v>
      </c>
      <c r="JK40">
        <v>32</v>
      </c>
      <c r="JL40">
        <v>57</v>
      </c>
      <c r="JM40">
        <v>35</v>
      </c>
      <c r="JN40">
        <v>65</v>
      </c>
      <c r="JO40">
        <v>42</v>
      </c>
      <c r="JP40">
        <v>43</v>
      </c>
      <c r="JQ40">
        <v>51</v>
      </c>
      <c r="JR40">
        <v>32</v>
      </c>
      <c r="JS40">
        <v>21</v>
      </c>
      <c r="JT40">
        <v>64</v>
      </c>
      <c r="JU40">
        <v>73</v>
      </c>
      <c r="JV40">
        <v>54</v>
      </c>
      <c r="JW40">
        <f t="shared" si="24"/>
        <v>569</v>
      </c>
      <c r="JX40">
        <v>5389</v>
      </c>
      <c r="JY40">
        <v>5399</v>
      </c>
      <c r="JZ40">
        <v>4975</v>
      </c>
      <c r="KA40">
        <v>5908</v>
      </c>
      <c r="KB40">
        <v>5464</v>
      </c>
      <c r="KC40">
        <v>5699</v>
      </c>
      <c r="KD40">
        <v>5692</v>
      </c>
      <c r="KE40">
        <v>4758</v>
      </c>
      <c r="KF40">
        <v>4757</v>
      </c>
      <c r="KG40">
        <v>5036</v>
      </c>
      <c r="KH40">
        <v>5038</v>
      </c>
      <c r="KI40">
        <v>4847</v>
      </c>
      <c r="KJ40">
        <f t="shared" si="25"/>
        <v>62962</v>
      </c>
      <c r="KK40">
        <v>168</v>
      </c>
      <c r="KL40">
        <v>162</v>
      </c>
      <c r="KM40">
        <v>212</v>
      </c>
      <c r="KN40">
        <v>259</v>
      </c>
      <c r="KO40">
        <v>214</v>
      </c>
      <c r="KP40">
        <v>207</v>
      </c>
      <c r="KQ40">
        <v>191</v>
      </c>
      <c r="KR40">
        <v>168</v>
      </c>
      <c r="KS40">
        <v>186</v>
      </c>
      <c r="KT40">
        <v>150</v>
      </c>
      <c r="KU40">
        <v>169</v>
      </c>
      <c r="KV40">
        <v>178</v>
      </c>
      <c r="KW40">
        <f t="shared" si="26"/>
        <v>2264</v>
      </c>
      <c r="KX40">
        <v>1</v>
      </c>
      <c r="KY40">
        <v>6</v>
      </c>
      <c r="KZ40">
        <v>4</v>
      </c>
      <c r="LA40">
        <v>0</v>
      </c>
      <c r="LB40">
        <v>0</v>
      </c>
      <c r="LC40">
        <v>0</v>
      </c>
      <c r="LD40">
        <v>0</v>
      </c>
      <c r="LE40">
        <v>0</v>
      </c>
      <c r="LF40">
        <v>2</v>
      </c>
      <c r="LG40">
        <v>1</v>
      </c>
      <c r="LH40">
        <v>10</v>
      </c>
      <c r="LI40">
        <v>10</v>
      </c>
      <c r="LJ40">
        <f t="shared" si="27"/>
        <v>34</v>
      </c>
      <c r="LK40">
        <v>0</v>
      </c>
      <c r="LL40">
        <v>0</v>
      </c>
      <c r="LM40">
        <v>0</v>
      </c>
      <c r="LN40">
        <v>0</v>
      </c>
      <c r="LO40">
        <v>0</v>
      </c>
      <c r="LP40">
        <v>0</v>
      </c>
      <c r="LQ40">
        <v>0</v>
      </c>
      <c r="LR40">
        <v>0</v>
      </c>
      <c r="LS40">
        <v>0</v>
      </c>
      <c r="LT40">
        <v>0</v>
      </c>
      <c r="LU40">
        <v>0</v>
      </c>
      <c r="LV40">
        <v>0</v>
      </c>
      <c r="LW40">
        <f t="shared" si="28"/>
        <v>0</v>
      </c>
      <c r="LX40">
        <v>167</v>
      </c>
      <c r="LY40">
        <v>156</v>
      </c>
      <c r="LZ40">
        <v>208</v>
      </c>
      <c r="MA40">
        <v>259</v>
      </c>
      <c r="MB40">
        <v>214</v>
      </c>
      <c r="MC40">
        <v>207</v>
      </c>
      <c r="MD40">
        <v>191</v>
      </c>
      <c r="ME40">
        <v>168</v>
      </c>
      <c r="MF40">
        <v>184</v>
      </c>
      <c r="MG40">
        <v>149</v>
      </c>
      <c r="MH40">
        <v>159</v>
      </c>
      <c r="MI40">
        <v>168</v>
      </c>
      <c r="MJ40">
        <f t="shared" si="29"/>
        <v>2230</v>
      </c>
      <c r="MK40">
        <v>781</v>
      </c>
      <c r="ML40">
        <v>780</v>
      </c>
      <c r="MM40">
        <v>754</v>
      </c>
      <c r="MN40">
        <v>761</v>
      </c>
      <c r="MO40">
        <v>789</v>
      </c>
      <c r="MP40">
        <v>738</v>
      </c>
      <c r="MQ40">
        <v>798</v>
      </c>
      <c r="MR40">
        <v>750</v>
      </c>
      <c r="MS40">
        <v>685</v>
      </c>
      <c r="MT40">
        <v>717</v>
      </c>
      <c r="MU40">
        <v>609</v>
      </c>
      <c r="MV40">
        <v>711</v>
      </c>
      <c r="MW40">
        <f t="shared" si="30"/>
        <v>8873</v>
      </c>
      <c r="MX40">
        <v>19</v>
      </c>
      <c r="MY40">
        <v>18</v>
      </c>
      <c r="MZ40">
        <v>25</v>
      </c>
      <c r="NA40">
        <v>20</v>
      </c>
      <c r="NB40">
        <v>32</v>
      </c>
      <c r="NC40">
        <v>35</v>
      </c>
      <c r="ND40">
        <v>28</v>
      </c>
      <c r="NE40">
        <v>24</v>
      </c>
      <c r="NF40">
        <v>25</v>
      </c>
      <c r="NG40">
        <v>24</v>
      </c>
      <c r="NH40">
        <v>29</v>
      </c>
      <c r="NI40">
        <v>24</v>
      </c>
      <c r="NJ40">
        <f t="shared" si="31"/>
        <v>303</v>
      </c>
      <c r="NK40">
        <v>27</v>
      </c>
      <c r="NL40">
        <v>21</v>
      </c>
      <c r="NM40">
        <v>13</v>
      </c>
      <c r="NN40">
        <v>17</v>
      </c>
      <c r="NO40">
        <v>24</v>
      </c>
      <c r="NP40">
        <v>22</v>
      </c>
      <c r="NQ40">
        <v>20</v>
      </c>
      <c r="NR40">
        <v>22</v>
      </c>
      <c r="NS40">
        <v>12</v>
      </c>
      <c r="NT40">
        <v>12</v>
      </c>
      <c r="NU40">
        <v>18</v>
      </c>
      <c r="NV40">
        <v>14</v>
      </c>
      <c r="NW40">
        <f t="shared" si="32"/>
        <v>222</v>
      </c>
      <c r="NX40">
        <v>735</v>
      </c>
      <c r="NY40">
        <v>741</v>
      </c>
      <c r="NZ40">
        <v>716</v>
      </c>
      <c r="OA40">
        <v>724</v>
      </c>
      <c r="OB40">
        <v>733</v>
      </c>
      <c r="OC40">
        <v>681</v>
      </c>
      <c r="OD40">
        <v>750</v>
      </c>
      <c r="OE40">
        <v>704</v>
      </c>
      <c r="OF40">
        <v>648</v>
      </c>
      <c r="OG40">
        <v>681</v>
      </c>
      <c r="OH40">
        <v>562</v>
      </c>
      <c r="OI40">
        <v>673</v>
      </c>
      <c r="OJ40">
        <f t="shared" si="33"/>
        <v>8348</v>
      </c>
      <c r="OK40">
        <v>1115</v>
      </c>
      <c r="OL40">
        <v>1137</v>
      </c>
      <c r="OM40">
        <v>1070</v>
      </c>
      <c r="ON40">
        <v>1173</v>
      </c>
      <c r="OO40">
        <v>1193</v>
      </c>
      <c r="OP40">
        <v>1129</v>
      </c>
      <c r="OQ40">
        <v>1220</v>
      </c>
      <c r="OR40">
        <v>1145</v>
      </c>
      <c r="OS40">
        <v>1066</v>
      </c>
      <c r="OT40">
        <v>1189</v>
      </c>
      <c r="OU40">
        <v>1070</v>
      </c>
      <c r="OV40">
        <v>1163</v>
      </c>
      <c r="OW40">
        <f t="shared" si="34"/>
        <v>13670</v>
      </c>
      <c r="OX40">
        <v>31</v>
      </c>
      <c r="OY40">
        <v>36</v>
      </c>
      <c r="OZ40">
        <v>64</v>
      </c>
      <c r="PA40">
        <v>44</v>
      </c>
      <c r="PB40">
        <v>50</v>
      </c>
      <c r="PC40">
        <v>46</v>
      </c>
      <c r="PD40">
        <v>61</v>
      </c>
      <c r="PE40">
        <v>75</v>
      </c>
      <c r="PF40">
        <v>109</v>
      </c>
      <c r="PG40">
        <v>90</v>
      </c>
      <c r="PH40">
        <v>92</v>
      </c>
      <c r="PI40">
        <v>70</v>
      </c>
      <c r="PJ40">
        <f t="shared" si="35"/>
        <v>768</v>
      </c>
      <c r="PK40">
        <v>29</v>
      </c>
      <c r="PL40">
        <v>16</v>
      </c>
      <c r="PM40">
        <v>19</v>
      </c>
      <c r="PN40">
        <v>16</v>
      </c>
      <c r="PO40">
        <v>11</v>
      </c>
      <c r="PP40">
        <v>14</v>
      </c>
      <c r="PQ40">
        <v>8</v>
      </c>
      <c r="PR40">
        <v>11</v>
      </c>
      <c r="PS40">
        <v>17</v>
      </c>
      <c r="PT40">
        <v>28</v>
      </c>
      <c r="PU40">
        <v>17</v>
      </c>
      <c r="PV40">
        <v>20</v>
      </c>
      <c r="PW40">
        <f t="shared" si="36"/>
        <v>206</v>
      </c>
      <c r="PX40">
        <v>1055</v>
      </c>
      <c r="PY40">
        <v>1085</v>
      </c>
      <c r="PZ40">
        <v>987</v>
      </c>
      <c r="QA40">
        <v>1113</v>
      </c>
      <c r="QB40">
        <v>1132</v>
      </c>
      <c r="QC40">
        <v>1069</v>
      </c>
      <c r="QD40">
        <v>1151</v>
      </c>
      <c r="QE40">
        <v>1059</v>
      </c>
      <c r="QF40">
        <v>940</v>
      </c>
      <c r="QG40">
        <v>1071</v>
      </c>
      <c r="QH40">
        <v>961</v>
      </c>
      <c r="QI40">
        <v>1073</v>
      </c>
      <c r="QJ40">
        <f t="shared" si="37"/>
        <v>12696</v>
      </c>
      <c r="QK40">
        <v>23447</v>
      </c>
      <c r="QL40">
        <v>24545</v>
      </c>
      <c r="QM40">
        <v>22624</v>
      </c>
      <c r="QN40">
        <v>25151</v>
      </c>
      <c r="QO40">
        <v>21196</v>
      </c>
      <c r="QP40">
        <v>20049</v>
      </c>
      <c r="QQ40">
        <v>29376</v>
      </c>
      <c r="QR40">
        <v>20526</v>
      </c>
      <c r="QS40">
        <v>20899</v>
      </c>
      <c r="QT40">
        <v>27375</v>
      </c>
      <c r="QU40">
        <v>17613</v>
      </c>
      <c r="QV40">
        <v>18772</v>
      </c>
      <c r="QW40">
        <f t="shared" si="38"/>
        <v>271573</v>
      </c>
      <c r="QX40">
        <v>0</v>
      </c>
      <c r="QY40">
        <v>0</v>
      </c>
      <c r="QZ40">
        <v>0</v>
      </c>
      <c r="RA40">
        <v>0</v>
      </c>
      <c r="RB40">
        <v>0</v>
      </c>
      <c r="RC40">
        <v>0</v>
      </c>
      <c r="RD40">
        <v>0</v>
      </c>
      <c r="RE40">
        <v>0</v>
      </c>
      <c r="RF40">
        <v>0</v>
      </c>
      <c r="RG40">
        <v>0</v>
      </c>
      <c r="RH40">
        <v>0</v>
      </c>
      <c r="RI40">
        <v>0</v>
      </c>
      <c r="RJ40">
        <f t="shared" si="39"/>
        <v>0</v>
      </c>
      <c r="RK40">
        <v>0</v>
      </c>
      <c r="RL40">
        <v>0</v>
      </c>
      <c r="RM40">
        <v>0</v>
      </c>
      <c r="RN40">
        <v>0</v>
      </c>
      <c r="RO40">
        <v>0</v>
      </c>
      <c r="RP40">
        <v>0</v>
      </c>
      <c r="RQ40">
        <v>0</v>
      </c>
      <c r="RR40">
        <v>0</v>
      </c>
      <c r="RS40">
        <v>0</v>
      </c>
      <c r="RT40">
        <v>0</v>
      </c>
      <c r="RU40">
        <v>0</v>
      </c>
      <c r="RV40">
        <v>0</v>
      </c>
      <c r="RW40">
        <f t="shared" si="40"/>
        <v>0</v>
      </c>
      <c r="RX40">
        <v>0</v>
      </c>
      <c r="RY40">
        <v>0</v>
      </c>
      <c r="RZ40">
        <v>0</v>
      </c>
      <c r="SA40">
        <v>0</v>
      </c>
      <c r="SB40">
        <v>0</v>
      </c>
      <c r="SC40">
        <v>0</v>
      </c>
      <c r="SD40">
        <v>0</v>
      </c>
      <c r="SE40">
        <v>0</v>
      </c>
      <c r="SF40">
        <v>0</v>
      </c>
      <c r="SG40">
        <v>0</v>
      </c>
      <c r="SH40">
        <v>0</v>
      </c>
      <c r="SI40">
        <v>0</v>
      </c>
      <c r="SJ40">
        <f t="shared" si="41"/>
        <v>0</v>
      </c>
      <c r="SK40">
        <v>316</v>
      </c>
      <c r="SL40">
        <v>310</v>
      </c>
      <c r="SM40">
        <v>310</v>
      </c>
      <c r="SN40">
        <v>313</v>
      </c>
      <c r="SO40">
        <v>312</v>
      </c>
      <c r="SP40">
        <v>314</v>
      </c>
      <c r="SQ40">
        <v>315</v>
      </c>
      <c r="SR40">
        <v>307</v>
      </c>
      <c r="SS40">
        <v>301</v>
      </c>
      <c r="ST40">
        <v>301</v>
      </c>
      <c r="SU40">
        <v>297</v>
      </c>
      <c r="SV40">
        <v>297</v>
      </c>
      <c r="SW40">
        <f t="shared" si="42"/>
        <v>3693</v>
      </c>
      <c r="SX40" t="s">
        <v>1487</v>
      </c>
      <c r="SY40">
        <v>999</v>
      </c>
      <c r="SZ40">
        <v>1039</v>
      </c>
      <c r="TA40">
        <v>998</v>
      </c>
      <c r="TB40">
        <v>1105</v>
      </c>
      <c r="TC40">
        <v>1056</v>
      </c>
      <c r="TD40">
        <v>1192</v>
      </c>
      <c r="TE40">
        <v>1235</v>
      </c>
      <c r="TF40">
        <v>1173</v>
      </c>
      <c r="TG40">
        <v>998</v>
      </c>
      <c r="TH40">
        <v>1082</v>
      </c>
      <c r="TI40">
        <v>1061</v>
      </c>
      <c r="TJ40">
        <v>1066</v>
      </c>
      <c r="TK40">
        <f t="shared" si="43"/>
        <v>13004</v>
      </c>
      <c r="TL40">
        <v>0</v>
      </c>
      <c r="TM40">
        <v>0</v>
      </c>
      <c r="TN40">
        <v>0</v>
      </c>
      <c r="TO40">
        <v>0</v>
      </c>
      <c r="TP40">
        <v>0</v>
      </c>
      <c r="TQ40">
        <v>0</v>
      </c>
      <c r="TR40">
        <v>0</v>
      </c>
      <c r="TS40">
        <v>0</v>
      </c>
      <c r="TT40">
        <v>0</v>
      </c>
      <c r="TU40">
        <v>0</v>
      </c>
      <c r="TV40">
        <v>0</v>
      </c>
      <c r="TW40">
        <v>0</v>
      </c>
      <c r="TX40">
        <f t="shared" si="44"/>
        <v>0</v>
      </c>
      <c r="TY40">
        <v>44</v>
      </c>
      <c r="TZ40">
        <v>0</v>
      </c>
      <c r="UA40">
        <v>0</v>
      </c>
      <c r="UB40">
        <v>0</v>
      </c>
    </row>
    <row r="41" spans="1:548" ht="16.5" customHeight="1" x14ac:dyDescent="0.35">
      <c r="A41" t="s">
        <v>1525</v>
      </c>
      <c r="B41" t="s">
        <v>2863</v>
      </c>
      <c r="C41">
        <v>10907</v>
      </c>
      <c r="D41">
        <v>2870</v>
      </c>
      <c r="E41">
        <v>576</v>
      </c>
      <c r="F41">
        <v>7461</v>
      </c>
      <c r="G41">
        <v>29</v>
      </c>
      <c r="H41">
        <v>90</v>
      </c>
      <c r="I41">
        <v>84</v>
      </c>
      <c r="J41">
        <v>108</v>
      </c>
      <c r="K41">
        <v>108</v>
      </c>
      <c r="L41">
        <v>119</v>
      </c>
      <c r="M41">
        <v>144</v>
      </c>
      <c r="N41">
        <v>143</v>
      </c>
      <c r="O41">
        <v>122</v>
      </c>
      <c r="P41">
        <v>111</v>
      </c>
      <c r="Q41">
        <v>132</v>
      </c>
      <c r="R41">
        <v>146</v>
      </c>
      <c r="S41">
        <f t="shared" si="0"/>
        <v>1336</v>
      </c>
      <c r="T41">
        <v>0</v>
      </c>
      <c r="U41">
        <v>0</v>
      </c>
      <c r="V41">
        <v>0</v>
      </c>
      <c r="W41">
        <v>0</v>
      </c>
      <c r="X41">
        <v>0</v>
      </c>
      <c r="Y41">
        <v>0</v>
      </c>
      <c r="Z41">
        <v>0</v>
      </c>
      <c r="AA41">
        <v>0</v>
      </c>
      <c r="AB41">
        <v>0</v>
      </c>
      <c r="AC41">
        <v>0</v>
      </c>
      <c r="AD41">
        <v>0</v>
      </c>
      <c r="AE41">
        <v>0</v>
      </c>
      <c r="AF41">
        <f t="shared" si="1"/>
        <v>0</v>
      </c>
      <c r="AG41">
        <v>0</v>
      </c>
      <c r="AH41">
        <v>0</v>
      </c>
      <c r="AI41">
        <v>0</v>
      </c>
      <c r="AJ41">
        <v>0</v>
      </c>
      <c r="AK41">
        <v>0</v>
      </c>
      <c r="AL41">
        <v>0</v>
      </c>
      <c r="AM41">
        <v>0</v>
      </c>
      <c r="AN41">
        <v>0</v>
      </c>
      <c r="AO41">
        <v>0</v>
      </c>
      <c r="AP41">
        <v>0</v>
      </c>
      <c r="AQ41">
        <v>0</v>
      </c>
      <c r="AR41">
        <v>0</v>
      </c>
      <c r="AS41">
        <f t="shared" si="2"/>
        <v>0</v>
      </c>
      <c r="AT41">
        <v>0</v>
      </c>
      <c r="AU41">
        <v>0</v>
      </c>
      <c r="AV41">
        <v>0</v>
      </c>
      <c r="AW41">
        <v>0</v>
      </c>
      <c r="AX41">
        <v>0</v>
      </c>
      <c r="AY41">
        <v>0</v>
      </c>
      <c r="AZ41">
        <v>0</v>
      </c>
      <c r="BA41">
        <v>0</v>
      </c>
      <c r="BB41">
        <v>0</v>
      </c>
      <c r="BC41">
        <v>0</v>
      </c>
      <c r="BD41">
        <v>0</v>
      </c>
      <c r="BE41">
        <v>0</v>
      </c>
      <c r="BF41">
        <f t="shared" si="3"/>
        <v>0</v>
      </c>
      <c r="BG41">
        <v>0</v>
      </c>
      <c r="BH41">
        <v>0</v>
      </c>
      <c r="BI41">
        <v>0</v>
      </c>
      <c r="BJ41">
        <v>0</v>
      </c>
      <c r="BK41">
        <v>0</v>
      </c>
      <c r="BL41">
        <v>0</v>
      </c>
      <c r="BM41">
        <v>0</v>
      </c>
      <c r="BN41">
        <v>0</v>
      </c>
      <c r="BO41">
        <v>0</v>
      </c>
      <c r="BP41">
        <v>0</v>
      </c>
      <c r="BQ41">
        <v>0</v>
      </c>
      <c r="BR41">
        <v>0</v>
      </c>
      <c r="BS41">
        <f t="shared" si="4"/>
        <v>0</v>
      </c>
      <c r="BT41">
        <v>0</v>
      </c>
      <c r="BU41">
        <v>0</v>
      </c>
      <c r="BV41">
        <v>0</v>
      </c>
      <c r="BW41">
        <v>0</v>
      </c>
      <c r="BX41">
        <v>0</v>
      </c>
      <c r="BY41">
        <v>0</v>
      </c>
      <c r="BZ41">
        <v>0</v>
      </c>
      <c r="CA41">
        <v>0</v>
      </c>
      <c r="CB41">
        <v>0</v>
      </c>
      <c r="CC41">
        <v>0</v>
      </c>
      <c r="CD41">
        <v>0</v>
      </c>
      <c r="CE41">
        <v>0</v>
      </c>
      <c r="CF41">
        <f t="shared" si="5"/>
        <v>0</v>
      </c>
      <c r="CG41">
        <v>0</v>
      </c>
      <c r="CH41">
        <v>0</v>
      </c>
      <c r="CI41">
        <v>0</v>
      </c>
      <c r="CJ41">
        <v>0</v>
      </c>
      <c r="CK41">
        <v>0</v>
      </c>
      <c r="CL41">
        <v>0</v>
      </c>
      <c r="CM41">
        <v>0</v>
      </c>
      <c r="CN41">
        <v>0</v>
      </c>
      <c r="CO41">
        <v>0</v>
      </c>
      <c r="CP41">
        <v>0</v>
      </c>
      <c r="CQ41">
        <v>0</v>
      </c>
      <c r="CR41">
        <v>0</v>
      </c>
      <c r="CS41">
        <f t="shared" si="6"/>
        <v>0</v>
      </c>
      <c r="CT41">
        <v>0</v>
      </c>
      <c r="CU41">
        <v>0</v>
      </c>
      <c r="CV41">
        <v>0</v>
      </c>
      <c r="CW41">
        <v>0</v>
      </c>
      <c r="CX41">
        <v>0</v>
      </c>
      <c r="CY41">
        <v>0</v>
      </c>
      <c r="CZ41">
        <v>0</v>
      </c>
      <c r="DA41">
        <v>0</v>
      </c>
      <c r="DB41">
        <v>0</v>
      </c>
      <c r="DC41">
        <v>0</v>
      </c>
      <c r="DD41">
        <v>0</v>
      </c>
      <c r="DE41">
        <v>0</v>
      </c>
      <c r="DF41">
        <f t="shared" si="7"/>
        <v>0</v>
      </c>
      <c r="DG41">
        <v>0</v>
      </c>
      <c r="DH41">
        <v>0</v>
      </c>
      <c r="DI41">
        <v>0</v>
      </c>
      <c r="DJ41">
        <v>0</v>
      </c>
      <c r="DK41">
        <v>0</v>
      </c>
      <c r="DL41">
        <v>0</v>
      </c>
      <c r="DM41">
        <v>0</v>
      </c>
      <c r="DN41">
        <v>0</v>
      </c>
      <c r="DO41">
        <v>0</v>
      </c>
      <c r="DP41">
        <v>0</v>
      </c>
      <c r="DQ41">
        <v>0</v>
      </c>
      <c r="DR41">
        <v>0</v>
      </c>
      <c r="DS41">
        <f t="shared" si="8"/>
        <v>0</v>
      </c>
      <c r="DT41">
        <v>0</v>
      </c>
      <c r="DU41">
        <v>0</v>
      </c>
      <c r="DV41">
        <v>0</v>
      </c>
      <c r="DW41">
        <v>0</v>
      </c>
      <c r="DX41">
        <v>0</v>
      </c>
      <c r="DY41">
        <v>0</v>
      </c>
      <c r="DZ41">
        <v>0</v>
      </c>
      <c r="EA41">
        <v>0</v>
      </c>
      <c r="EB41">
        <v>0</v>
      </c>
      <c r="EC41">
        <v>0</v>
      </c>
      <c r="ED41">
        <v>0</v>
      </c>
      <c r="EE41">
        <v>0</v>
      </c>
      <c r="EF41">
        <f t="shared" si="9"/>
        <v>0</v>
      </c>
      <c r="EG41">
        <f t="shared" si="10"/>
        <v>0</v>
      </c>
      <c r="EH41">
        <f t="shared" si="11"/>
        <v>0</v>
      </c>
      <c r="EI41">
        <v>416</v>
      </c>
      <c r="EJ41">
        <v>564</v>
      </c>
      <c r="EK41">
        <v>766</v>
      </c>
      <c r="EL41">
        <v>1206</v>
      </c>
      <c r="EM41">
        <v>707</v>
      </c>
      <c r="EN41">
        <v>821</v>
      </c>
      <c r="EO41">
        <v>974</v>
      </c>
      <c r="EP41">
        <v>1018</v>
      </c>
      <c r="EQ41">
        <v>782</v>
      </c>
      <c r="ER41">
        <v>1286</v>
      </c>
      <c r="ES41">
        <v>1931</v>
      </c>
      <c r="ET41">
        <v>1723</v>
      </c>
      <c r="EU41">
        <f t="shared" si="12"/>
        <v>12194</v>
      </c>
      <c r="EV41">
        <v>210</v>
      </c>
      <c r="EW41">
        <v>212</v>
      </c>
      <c r="EX41">
        <v>263</v>
      </c>
      <c r="EY41">
        <v>563</v>
      </c>
      <c r="EZ41">
        <v>255</v>
      </c>
      <c r="FA41">
        <v>183</v>
      </c>
      <c r="FB41">
        <v>378</v>
      </c>
      <c r="FC41">
        <v>308</v>
      </c>
      <c r="FD41">
        <v>201</v>
      </c>
      <c r="FE41">
        <v>311</v>
      </c>
      <c r="FF41">
        <v>723</v>
      </c>
      <c r="FG41">
        <v>719</v>
      </c>
      <c r="FH41">
        <f t="shared" si="13"/>
        <v>4326</v>
      </c>
      <c r="FI41">
        <v>0</v>
      </c>
      <c r="FJ41">
        <v>0</v>
      </c>
      <c r="FK41">
        <v>0</v>
      </c>
      <c r="FL41">
        <v>0</v>
      </c>
      <c r="FM41">
        <v>0</v>
      </c>
      <c r="FN41">
        <v>0</v>
      </c>
      <c r="FO41">
        <v>0</v>
      </c>
      <c r="FP41">
        <v>0</v>
      </c>
      <c r="FQ41">
        <v>0</v>
      </c>
      <c r="FR41">
        <v>0</v>
      </c>
      <c r="FS41">
        <v>0</v>
      </c>
      <c r="FT41">
        <v>0</v>
      </c>
      <c r="FU41">
        <f t="shared" si="14"/>
        <v>0</v>
      </c>
      <c r="FV41">
        <v>206</v>
      </c>
      <c r="FW41">
        <v>352</v>
      </c>
      <c r="FX41">
        <v>503</v>
      </c>
      <c r="FY41">
        <v>643</v>
      </c>
      <c r="FZ41">
        <v>452</v>
      </c>
      <c r="GA41">
        <v>638</v>
      </c>
      <c r="GB41">
        <v>596</v>
      </c>
      <c r="GC41">
        <v>710</v>
      </c>
      <c r="GD41">
        <v>581</v>
      </c>
      <c r="GE41">
        <v>975</v>
      </c>
      <c r="GF41">
        <v>1208</v>
      </c>
      <c r="GG41">
        <v>1004</v>
      </c>
      <c r="GH41">
        <f t="shared" si="15"/>
        <v>7868</v>
      </c>
      <c r="GI41">
        <v>0</v>
      </c>
      <c r="GJ41">
        <v>0</v>
      </c>
      <c r="GK41">
        <v>0</v>
      </c>
      <c r="GL41">
        <v>0</v>
      </c>
      <c r="GM41">
        <v>0</v>
      </c>
      <c r="GN41">
        <v>0</v>
      </c>
      <c r="GO41">
        <v>0</v>
      </c>
      <c r="GP41">
        <v>0</v>
      </c>
      <c r="GQ41">
        <v>0</v>
      </c>
      <c r="GR41">
        <v>0</v>
      </c>
      <c r="GS41">
        <v>0</v>
      </c>
      <c r="GT41">
        <v>0</v>
      </c>
      <c r="GU41">
        <f t="shared" si="16"/>
        <v>0</v>
      </c>
      <c r="GV41">
        <v>0</v>
      </c>
      <c r="GW41">
        <v>0</v>
      </c>
      <c r="GX41">
        <v>0</v>
      </c>
      <c r="GY41">
        <v>0</v>
      </c>
      <c r="GZ41">
        <v>0</v>
      </c>
      <c r="HA41">
        <v>0</v>
      </c>
      <c r="HB41">
        <v>0</v>
      </c>
      <c r="HC41">
        <v>0</v>
      </c>
      <c r="HD41">
        <v>0</v>
      </c>
      <c r="HE41">
        <v>0</v>
      </c>
      <c r="HF41">
        <v>0</v>
      </c>
      <c r="HG41">
        <v>0</v>
      </c>
      <c r="HH41">
        <f t="shared" si="17"/>
        <v>0</v>
      </c>
      <c r="HI41">
        <v>0</v>
      </c>
      <c r="HJ41">
        <v>0</v>
      </c>
      <c r="HK41">
        <v>0</v>
      </c>
      <c r="HL41">
        <v>0</v>
      </c>
      <c r="HM41">
        <v>0</v>
      </c>
      <c r="HN41">
        <v>0</v>
      </c>
      <c r="HO41">
        <v>0</v>
      </c>
      <c r="HP41">
        <v>0</v>
      </c>
      <c r="HQ41">
        <v>0</v>
      </c>
      <c r="HR41">
        <v>0</v>
      </c>
      <c r="HS41">
        <v>0</v>
      </c>
      <c r="HT41">
        <v>0</v>
      </c>
      <c r="HU41">
        <f t="shared" si="18"/>
        <v>0</v>
      </c>
      <c r="HV41">
        <v>0</v>
      </c>
      <c r="HW41">
        <v>0</v>
      </c>
      <c r="HX41">
        <v>0</v>
      </c>
      <c r="HY41">
        <v>0</v>
      </c>
      <c r="HZ41">
        <v>0</v>
      </c>
      <c r="IA41">
        <v>0</v>
      </c>
      <c r="IB41">
        <v>0</v>
      </c>
      <c r="IC41">
        <v>0</v>
      </c>
      <c r="ID41">
        <v>0</v>
      </c>
      <c r="IE41">
        <v>0</v>
      </c>
      <c r="IF41">
        <v>0</v>
      </c>
      <c r="IG41">
        <v>0</v>
      </c>
      <c r="IH41">
        <f t="shared" si="19"/>
        <v>0</v>
      </c>
      <c r="II41">
        <f t="shared" si="20"/>
        <v>12194</v>
      </c>
      <c r="IJ41">
        <f t="shared" si="21"/>
        <v>0</v>
      </c>
      <c r="IK41">
        <v>0</v>
      </c>
      <c r="IL41">
        <v>0</v>
      </c>
      <c r="IM41">
        <v>77968</v>
      </c>
      <c r="IN41">
        <v>0</v>
      </c>
      <c r="IO41">
        <v>0</v>
      </c>
      <c r="IP41">
        <v>87029</v>
      </c>
      <c r="IQ41">
        <v>0</v>
      </c>
      <c r="IR41">
        <v>0</v>
      </c>
      <c r="IS41">
        <v>78065</v>
      </c>
      <c r="IT41">
        <v>0</v>
      </c>
      <c r="IU41">
        <v>0</v>
      </c>
      <c r="IV41">
        <v>79405</v>
      </c>
      <c r="IW41">
        <f t="shared" si="22"/>
        <v>322467</v>
      </c>
      <c r="IX41">
        <v>0</v>
      </c>
      <c r="IY41">
        <v>0</v>
      </c>
      <c r="IZ41">
        <v>22213</v>
      </c>
      <c r="JA41">
        <v>0</v>
      </c>
      <c r="JB41">
        <v>0</v>
      </c>
      <c r="JC41">
        <v>27918</v>
      </c>
      <c r="JD41">
        <v>0</v>
      </c>
      <c r="JE41">
        <v>0</v>
      </c>
      <c r="JF41">
        <v>23215</v>
      </c>
      <c r="JG41">
        <v>0</v>
      </c>
      <c r="JH41">
        <v>0</v>
      </c>
      <c r="JI41">
        <v>25164</v>
      </c>
      <c r="JJ41">
        <f t="shared" si="23"/>
        <v>98510</v>
      </c>
      <c r="JK41">
        <v>0</v>
      </c>
      <c r="JL41">
        <v>0</v>
      </c>
      <c r="JM41">
        <v>811</v>
      </c>
      <c r="JN41">
        <v>0</v>
      </c>
      <c r="JO41">
        <v>0</v>
      </c>
      <c r="JP41">
        <v>1360</v>
      </c>
      <c r="JQ41">
        <v>0</v>
      </c>
      <c r="JR41">
        <v>0</v>
      </c>
      <c r="JS41">
        <v>1064</v>
      </c>
      <c r="JT41">
        <v>0</v>
      </c>
      <c r="JU41">
        <v>0</v>
      </c>
      <c r="JV41">
        <v>1022</v>
      </c>
      <c r="JW41">
        <f t="shared" si="24"/>
        <v>4257</v>
      </c>
      <c r="JX41">
        <v>0</v>
      </c>
      <c r="JY41">
        <v>0</v>
      </c>
      <c r="JZ41">
        <v>54944</v>
      </c>
      <c r="KA41">
        <v>0</v>
      </c>
      <c r="KB41">
        <v>0</v>
      </c>
      <c r="KC41">
        <v>57751</v>
      </c>
      <c r="KD41">
        <v>0</v>
      </c>
      <c r="KE41">
        <v>0</v>
      </c>
      <c r="KF41">
        <v>53786</v>
      </c>
      <c r="KG41">
        <v>0</v>
      </c>
      <c r="KH41">
        <v>0</v>
      </c>
      <c r="KI41">
        <v>53430</v>
      </c>
      <c r="KJ41">
        <f t="shared" si="25"/>
        <v>219911</v>
      </c>
      <c r="KK41">
        <v>0</v>
      </c>
      <c r="KL41">
        <v>0</v>
      </c>
      <c r="KM41">
        <v>1241</v>
      </c>
      <c r="KN41">
        <v>0</v>
      </c>
      <c r="KO41">
        <v>0</v>
      </c>
      <c r="KP41">
        <v>1154</v>
      </c>
      <c r="KQ41">
        <v>0</v>
      </c>
      <c r="KR41">
        <v>0</v>
      </c>
      <c r="KS41">
        <v>1149</v>
      </c>
      <c r="KT41">
        <v>0</v>
      </c>
      <c r="KU41">
        <v>0</v>
      </c>
      <c r="KV41">
        <v>1111</v>
      </c>
      <c r="KW41">
        <f t="shared" si="26"/>
        <v>4655</v>
      </c>
      <c r="KX41">
        <v>0</v>
      </c>
      <c r="KY41">
        <v>0</v>
      </c>
      <c r="KZ41">
        <v>0</v>
      </c>
      <c r="LA41">
        <v>0</v>
      </c>
      <c r="LB41">
        <v>0</v>
      </c>
      <c r="LC41">
        <v>0</v>
      </c>
      <c r="LD41">
        <v>0</v>
      </c>
      <c r="LE41">
        <v>0</v>
      </c>
      <c r="LF41">
        <v>0</v>
      </c>
      <c r="LG41">
        <v>0</v>
      </c>
      <c r="LH41">
        <v>0</v>
      </c>
      <c r="LI41">
        <v>0</v>
      </c>
      <c r="LJ41">
        <f t="shared" si="27"/>
        <v>0</v>
      </c>
      <c r="LK41">
        <v>0</v>
      </c>
      <c r="LL41">
        <v>0</v>
      </c>
      <c r="LM41">
        <v>0</v>
      </c>
      <c r="LN41">
        <v>0</v>
      </c>
      <c r="LO41">
        <v>0</v>
      </c>
      <c r="LP41">
        <v>0</v>
      </c>
      <c r="LQ41">
        <v>0</v>
      </c>
      <c r="LR41">
        <v>0</v>
      </c>
      <c r="LS41">
        <v>0</v>
      </c>
      <c r="LT41">
        <v>0</v>
      </c>
      <c r="LU41">
        <v>0</v>
      </c>
      <c r="LV41">
        <v>0</v>
      </c>
      <c r="LW41">
        <f t="shared" si="28"/>
        <v>0</v>
      </c>
      <c r="LX41">
        <v>0</v>
      </c>
      <c r="LY41">
        <v>0</v>
      </c>
      <c r="LZ41">
        <v>1241</v>
      </c>
      <c r="MA41">
        <v>0</v>
      </c>
      <c r="MB41">
        <v>0</v>
      </c>
      <c r="MC41">
        <v>1154</v>
      </c>
      <c r="MD41">
        <v>0</v>
      </c>
      <c r="ME41">
        <v>0</v>
      </c>
      <c r="MF41">
        <v>1149</v>
      </c>
      <c r="MG41">
        <v>0</v>
      </c>
      <c r="MH41">
        <v>0</v>
      </c>
      <c r="MI41">
        <v>1111</v>
      </c>
      <c r="MJ41">
        <f t="shared" si="29"/>
        <v>4655</v>
      </c>
      <c r="MK41">
        <v>2255</v>
      </c>
      <c r="ML41">
        <v>2692</v>
      </c>
      <c r="MM41">
        <v>2183</v>
      </c>
      <c r="MN41">
        <v>2249</v>
      </c>
      <c r="MO41">
        <v>2425</v>
      </c>
      <c r="MP41">
        <v>2380</v>
      </c>
      <c r="MQ41">
        <v>2457</v>
      </c>
      <c r="MR41">
        <v>2312</v>
      </c>
      <c r="MS41">
        <v>2438</v>
      </c>
      <c r="MT41">
        <v>2426</v>
      </c>
      <c r="MU41">
        <v>2207</v>
      </c>
      <c r="MV41">
        <v>2363</v>
      </c>
      <c r="MW41">
        <f t="shared" si="30"/>
        <v>28387</v>
      </c>
      <c r="MX41">
        <v>0</v>
      </c>
      <c r="MY41">
        <v>0</v>
      </c>
      <c r="MZ41">
        <v>0</v>
      </c>
      <c r="NA41">
        <v>0</v>
      </c>
      <c r="NB41">
        <v>0</v>
      </c>
      <c r="NC41">
        <v>0</v>
      </c>
      <c r="ND41">
        <v>0</v>
      </c>
      <c r="NE41">
        <v>0</v>
      </c>
      <c r="NF41">
        <v>0</v>
      </c>
      <c r="NG41">
        <v>0</v>
      </c>
      <c r="NH41">
        <v>0</v>
      </c>
      <c r="NI41">
        <v>0</v>
      </c>
      <c r="NJ41">
        <f t="shared" si="31"/>
        <v>0</v>
      </c>
      <c r="NK41">
        <v>0</v>
      </c>
      <c r="NL41">
        <v>0</v>
      </c>
      <c r="NM41">
        <v>0</v>
      </c>
      <c r="NN41">
        <v>0</v>
      </c>
      <c r="NO41">
        <v>0</v>
      </c>
      <c r="NP41">
        <v>0</v>
      </c>
      <c r="NQ41">
        <v>0</v>
      </c>
      <c r="NR41">
        <v>0</v>
      </c>
      <c r="NS41">
        <v>0</v>
      </c>
      <c r="NT41">
        <v>0</v>
      </c>
      <c r="NU41">
        <v>0</v>
      </c>
      <c r="NV41">
        <v>0</v>
      </c>
      <c r="NW41">
        <f t="shared" si="32"/>
        <v>0</v>
      </c>
      <c r="NX41">
        <v>0</v>
      </c>
      <c r="NY41">
        <v>0</v>
      </c>
      <c r="NZ41">
        <v>0</v>
      </c>
      <c r="OA41">
        <v>0</v>
      </c>
      <c r="OB41">
        <v>0</v>
      </c>
      <c r="OC41">
        <v>0</v>
      </c>
      <c r="OD41">
        <v>0</v>
      </c>
      <c r="OE41">
        <v>0</v>
      </c>
      <c r="OF41">
        <v>0</v>
      </c>
      <c r="OG41">
        <v>0</v>
      </c>
      <c r="OH41">
        <v>0</v>
      </c>
      <c r="OI41">
        <v>0</v>
      </c>
      <c r="OJ41">
        <f t="shared" si="33"/>
        <v>0</v>
      </c>
      <c r="OK41">
        <v>4874</v>
      </c>
      <c r="OL41">
        <v>5166</v>
      </c>
      <c r="OM41">
        <v>4938</v>
      </c>
      <c r="ON41">
        <v>5093</v>
      </c>
      <c r="OO41">
        <v>5480</v>
      </c>
      <c r="OP41">
        <v>5497</v>
      </c>
      <c r="OQ41">
        <v>5631</v>
      </c>
      <c r="OR41">
        <v>5327</v>
      </c>
      <c r="OS41">
        <v>5272</v>
      </c>
      <c r="OT41">
        <v>5620</v>
      </c>
      <c r="OU41">
        <v>5197</v>
      </c>
      <c r="OV41">
        <v>5899</v>
      </c>
      <c r="OW41">
        <f t="shared" si="34"/>
        <v>63994</v>
      </c>
      <c r="OX41">
        <v>0</v>
      </c>
      <c r="OY41">
        <v>0</v>
      </c>
      <c r="OZ41">
        <v>0</v>
      </c>
      <c r="PA41">
        <v>0</v>
      </c>
      <c r="PB41">
        <v>0</v>
      </c>
      <c r="PC41">
        <v>0</v>
      </c>
      <c r="PD41">
        <v>0</v>
      </c>
      <c r="PE41">
        <v>0</v>
      </c>
      <c r="PF41">
        <v>0</v>
      </c>
      <c r="PG41">
        <v>0</v>
      </c>
      <c r="PH41">
        <v>0</v>
      </c>
      <c r="PI41">
        <v>0</v>
      </c>
      <c r="PJ41">
        <f t="shared" si="35"/>
        <v>0</v>
      </c>
      <c r="PK41">
        <v>0</v>
      </c>
      <c r="PL41">
        <v>0</v>
      </c>
      <c r="PM41">
        <v>0</v>
      </c>
      <c r="PN41">
        <v>0</v>
      </c>
      <c r="PO41">
        <v>0</v>
      </c>
      <c r="PP41">
        <v>0</v>
      </c>
      <c r="PQ41">
        <v>0</v>
      </c>
      <c r="PR41">
        <v>0</v>
      </c>
      <c r="PS41">
        <v>0</v>
      </c>
      <c r="PT41">
        <v>0</v>
      </c>
      <c r="PU41">
        <v>0</v>
      </c>
      <c r="PV41">
        <v>0</v>
      </c>
      <c r="PW41">
        <f t="shared" si="36"/>
        <v>0</v>
      </c>
      <c r="PX41">
        <v>0</v>
      </c>
      <c r="PY41">
        <v>0</v>
      </c>
      <c r="PZ41">
        <v>0</v>
      </c>
      <c r="QA41">
        <v>0</v>
      </c>
      <c r="QB41">
        <v>0</v>
      </c>
      <c r="QC41">
        <v>0</v>
      </c>
      <c r="QD41">
        <v>0</v>
      </c>
      <c r="QE41">
        <v>0</v>
      </c>
      <c r="QF41">
        <v>0</v>
      </c>
      <c r="QG41">
        <v>0</v>
      </c>
      <c r="QH41">
        <v>0</v>
      </c>
      <c r="QI41">
        <v>0</v>
      </c>
      <c r="QJ41">
        <f t="shared" si="37"/>
        <v>0</v>
      </c>
      <c r="QK41">
        <v>19063</v>
      </c>
      <c r="QL41">
        <v>19023</v>
      </c>
      <c r="QM41">
        <v>18424</v>
      </c>
      <c r="QN41">
        <v>20748</v>
      </c>
      <c r="QO41">
        <v>20490</v>
      </c>
      <c r="QP41">
        <v>22786</v>
      </c>
      <c r="QQ41">
        <v>22121</v>
      </c>
      <c r="QR41">
        <v>19435</v>
      </c>
      <c r="QS41">
        <v>17919</v>
      </c>
      <c r="QT41">
        <v>19735</v>
      </c>
      <c r="QU41">
        <v>19967</v>
      </c>
      <c r="QV41">
        <v>21391</v>
      </c>
      <c r="QW41">
        <f t="shared" si="38"/>
        <v>241102</v>
      </c>
      <c r="QX41">
        <v>7197</v>
      </c>
      <c r="QY41">
        <v>6794</v>
      </c>
      <c r="QZ41">
        <v>6452</v>
      </c>
      <c r="RA41">
        <v>7682</v>
      </c>
      <c r="RB41">
        <v>6954</v>
      </c>
      <c r="RC41">
        <v>8196</v>
      </c>
      <c r="RD41">
        <v>7306</v>
      </c>
      <c r="RE41">
        <v>5699</v>
      </c>
      <c r="RF41">
        <v>6337</v>
      </c>
      <c r="RG41">
        <v>6734</v>
      </c>
      <c r="RH41">
        <v>7042</v>
      </c>
      <c r="RI41">
        <v>6913</v>
      </c>
      <c r="RJ41">
        <f t="shared" si="39"/>
        <v>83306</v>
      </c>
      <c r="RK41">
        <v>0</v>
      </c>
      <c r="RL41">
        <v>0</v>
      </c>
      <c r="RM41">
        <v>0</v>
      </c>
      <c r="RN41">
        <v>0</v>
      </c>
      <c r="RO41">
        <v>0</v>
      </c>
      <c r="RP41">
        <v>0</v>
      </c>
      <c r="RQ41">
        <v>0</v>
      </c>
      <c r="RR41">
        <v>0</v>
      </c>
      <c r="RS41">
        <v>0</v>
      </c>
      <c r="RT41">
        <v>0</v>
      </c>
      <c r="RU41">
        <v>0</v>
      </c>
      <c r="RV41">
        <v>0</v>
      </c>
      <c r="RW41">
        <f t="shared" si="40"/>
        <v>0</v>
      </c>
      <c r="RX41">
        <v>0</v>
      </c>
      <c r="RY41">
        <v>0</v>
      </c>
      <c r="RZ41">
        <v>0</v>
      </c>
      <c r="SA41">
        <v>0</v>
      </c>
      <c r="SB41">
        <v>0</v>
      </c>
      <c r="SC41">
        <v>0</v>
      </c>
      <c r="SD41">
        <v>0</v>
      </c>
      <c r="SE41">
        <v>0</v>
      </c>
      <c r="SF41">
        <v>0</v>
      </c>
      <c r="SG41">
        <v>0</v>
      </c>
      <c r="SH41">
        <v>0</v>
      </c>
      <c r="SI41">
        <v>0</v>
      </c>
      <c r="SJ41">
        <f t="shared" si="41"/>
        <v>0</v>
      </c>
      <c r="SK41">
        <v>62</v>
      </c>
      <c r="SL41">
        <v>57</v>
      </c>
      <c r="SM41">
        <v>58</v>
      </c>
      <c r="SN41">
        <v>72</v>
      </c>
      <c r="SO41">
        <v>48</v>
      </c>
      <c r="SP41">
        <v>63</v>
      </c>
      <c r="SQ41">
        <v>66</v>
      </c>
      <c r="SR41">
        <v>55</v>
      </c>
      <c r="SS41">
        <v>68</v>
      </c>
      <c r="ST41">
        <v>63</v>
      </c>
      <c r="SU41">
        <v>58</v>
      </c>
      <c r="SV41">
        <v>120</v>
      </c>
      <c r="SW41">
        <f t="shared" si="42"/>
        <v>790</v>
      </c>
      <c r="SX41" t="s">
        <v>1526</v>
      </c>
      <c r="SY41">
        <v>779</v>
      </c>
      <c r="SZ41">
        <v>770</v>
      </c>
      <c r="TA41">
        <v>748</v>
      </c>
      <c r="TB41">
        <v>842</v>
      </c>
      <c r="TC41">
        <v>831</v>
      </c>
      <c r="TD41">
        <v>878</v>
      </c>
      <c r="TE41">
        <v>899</v>
      </c>
      <c r="TF41">
        <v>777</v>
      </c>
      <c r="TG41">
        <v>819</v>
      </c>
      <c r="TH41">
        <v>985</v>
      </c>
      <c r="TI41">
        <v>947</v>
      </c>
      <c r="TJ41">
        <v>929</v>
      </c>
      <c r="TK41">
        <f t="shared" si="43"/>
        <v>10204</v>
      </c>
      <c r="TL41">
        <v>0</v>
      </c>
      <c r="TM41">
        <v>0</v>
      </c>
      <c r="TN41">
        <v>2893</v>
      </c>
      <c r="TO41">
        <v>0</v>
      </c>
      <c r="TP41">
        <v>0</v>
      </c>
      <c r="TQ41">
        <v>1865</v>
      </c>
      <c r="TR41">
        <v>0</v>
      </c>
      <c r="TS41">
        <v>0</v>
      </c>
      <c r="TT41">
        <v>1236</v>
      </c>
      <c r="TU41">
        <v>0</v>
      </c>
      <c r="TV41">
        <v>0</v>
      </c>
      <c r="TW41">
        <v>2055</v>
      </c>
      <c r="TX41">
        <f t="shared" si="44"/>
        <v>8049</v>
      </c>
      <c r="TY41">
        <v>30</v>
      </c>
      <c r="TZ41">
        <v>60</v>
      </c>
      <c r="UA41">
        <v>91</v>
      </c>
      <c r="UB41">
        <v>0</v>
      </c>
    </row>
    <row r="42" spans="1:548" ht="16.5" customHeight="1" x14ac:dyDescent="0.35">
      <c r="A42" t="s">
        <v>1369</v>
      </c>
      <c r="B42" t="s">
        <v>2862</v>
      </c>
      <c r="C42" s="2">
        <v>110645</v>
      </c>
      <c r="D42" s="2">
        <v>43840</v>
      </c>
      <c r="E42" s="2">
        <v>8489</v>
      </c>
      <c r="F42" s="2">
        <v>58316</v>
      </c>
      <c r="G42">
        <v>818</v>
      </c>
      <c r="H42">
        <v>946</v>
      </c>
      <c r="I42">
        <v>927</v>
      </c>
      <c r="J42">
        <v>820</v>
      </c>
      <c r="K42">
        <v>747</v>
      </c>
      <c r="L42">
        <v>834</v>
      </c>
      <c r="M42">
        <v>950</v>
      </c>
      <c r="N42">
        <v>931</v>
      </c>
      <c r="O42">
        <v>812</v>
      </c>
      <c r="P42">
        <v>824</v>
      </c>
      <c r="Q42">
        <v>877</v>
      </c>
      <c r="R42">
        <v>941</v>
      </c>
      <c r="S42">
        <f t="shared" si="0"/>
        <v>10427</v>
      </c>
      <c r="T42">
        <v>0</v>
      </c>
      <c r="U42">
        <v>0</v>
      </c>
      <c r="V42">
        <v>0</v>
      </c>
      <c r="W42">
        <v>0</v>
      </c>
      <c r="X42">
        <v>0</v>
      </c>
      <c r="Y42">
        <v>0</v>
      </c>
      <c r="Z42">
        <v>0</v>
      </c>
      <c r="AA42">
        <v>0</v>
      </c>
      <c r="AB42">
        <v>0</v>
      </c>
      <c r="AC42">
        <v>0</v>
      </c>
      <c r="AD42">
        <v>0</v>
      </c>
      <c r="AE42">
        <v>0</v>
      </c>
      <c r="AF42">
        <f t="shared" si="1"/>
        <v>0</v>
      </c>
      <c r="AG42">
        <v>0</v>
      </c>
      <c r="AH42">
        <v>0</v>
      </c>
      <c r="AI42">
        <v>0</v>
      </c>
      <c r="AJ42">
        <v>0</v>
      </c>
      <c r="AK42">
        <v>0</v>
      </c>
      <c r="AL42">
        <v>0</v>
      </c>
      <c r="AM42">
        <v>0</v>
      </c>
      <c r="AN42">
        <v>0</v>
      </c>
      <c r="AO42">
        <v>0</v>
      </c>
      <c r="AP42">
        <v>0</v>
      </c>
      <c r="AQ42">
        <v>0</v>
      </c>
      <c r="AR42">
        <v>0</v>
      </c>
      <c r="AS42">
        <f t="shared" si="2"/>
        <v>0</v>
      </c>
      <c r="AT42">
        <v>0</v>
      </c>
      <c r="AU42">
        <v>0</v>
      </c>
      <c r="AV42">
        <v>0</v>
      </c>
      <c r="AW42">
        <v>0</v>
      </c>
      <c r="AX42">
        <v>0</v>
      </c>
      <c r="AY42">
        <v>0</v>
      </c>
      <c r="AZ42">
        <v>0</v>
      </c>
      <c r="BA42">
        <v>0</v>
      </c>
      <c r="BB42">
        <v>0</v>
      </c>
      <c r="BC42">
        <v>0</v>
      </c>
      <c r="BD42">
        <v>0</v>
      </c>
      <c r="BE42">
        <v>0</v>
      </c>
      <c r="BF42">
        <f t="shared" si="3"/>
        <v>0</v>
      </c>
      <c r="BG42">
        <v>0</v>
      </c>
      <c r="BH42">
        <v>0</v>
      </c>
      <c r="BI42">
        <v>0</v>
      </c>
      <c r="BJ42">
        <v>0</v>
      </c>
      <c r="BK42">
        <v>0</v>
      </c>
      <c r="BL42">
        <v>0</v>
      </c>
      <c r="BM42">
        <v>0</v>
      </c>
      <c r="BN42">
        <v>0</v>
      </c>
      <c r="BO42">
        <v>0</v>
      </c>
      <c r="BP42">
        <v>0</v>
      </c>
      <c r="BQ42">
        <v>0</v>
      </c>
      <c r="BR42">
        <v>0</v>
      </c>
      <c r="BS42">
        <f t="shared" si="4"/>
        <v>0</v>
      </c>
      <c r="BT42">
        <v>0</v>
      </c>
      <c r="BU42">
        <v>0</v>
      </c>
      <c r="BV42">
        <v>1</v>
      </c>
      <c r="BW42">
        <v>0</v>
      </c>
      <c r="BX42">
        <v>0</v>
      </c>
      <c r="BY42">
        <v>0</v>
      </c>
      <c r="BZ42">
        <v>1</v>
      </c>
      <c r="CA42">
        <v>0</v>
      </c>
      <c r="CB42">
        <v>0</v>
      </c>
      <c r="CC42">
        <v>0</v>
      </c>
      <c r="CD42">
        <v>0</v>
      </c>
      <c r="CE42">
        <v>0</v>
      </c>
      <c r="CF42">
        <f t="shared" si="5"/>
        <v>2</v>
      </c>
      <c r="CG42">
        <v>0</v>
      </c>
      <c r="CH42">
        <v>0</v>
      </c>
      <c r="CI42">
        <v>0</v>
      </c>
      <c r="CJ42">
        <v>0</v>
      </c>
      <c r="CK42">
        <v>0</v>
      </c>
      <c r="CL42">
        <v>0</v>
      </c>
      <c r="CM42">
        <v>0</v>
      </c>
      <c r="CN42">
        <v>0</v>
      </c>
      <c r="CO42">
        <v>0</v>
      </c>
      <c r="CP42">
        <v>0</v>
      </c>
      <c r="CQ42">
        <v>0</v>
      </c>
      <c r="CR42">
        <v>0</v>
      </c>
      <c r="CS42">
        <f t="shared" si="6"/>
        <v>0</v>
      </c>
      <c r="CT42">
        <v>0</v>
      </c>
      <c r="CU42">
        <v>0</v>
      </c>
      <c r="CV42">
        <v>0</v>
      </c>
      <c r="CW42">
        <v>0</v>
      </c>
      <c r="CX42">
        <v>0</v>
      </c>
      <c r="CY42">
        <v>0</v>
      </c>
      <c r="CZ42">
        <v>0</v>
      </c>
      <c r="DA42">
        <v>0</v>
      </c>
      <c r="DB42">
        <v>0</v>
      </c>
      <c r="DC42">
        <v>0</v>
      </c>
      <c r="DD42">
        <v>0</v>
      </c>
      <c r="DE42">
        <v>0</v>
      </c>
      <c r="DF42">
        <f t="shared" si="7"/>
        <v>0</v>
      </c>
      <c r="DG42">
        <v>0</v>
      </c>
      <c r="DH42">
        <v>0</v>
      </c>
      <c r="DI42">
        <v>0</v>
      </c>
      <c r="DJ42">
        <v>0</v>
      </c>
      <c r="DK42">
        <v>0</v>
      </c>
      <c r="DL42">
        <v>0</v>
      </c>
      <c r="DM42">
        <v>0</v>
      </c>
      <c r="DN42">
        <v>0</v>
      </c>
      <c r="DO42">
        <v>0</v>
      </c>
      <c r="DP42">
        <v>0</v>
      </c>
      <c r="DQ42">
        <v>0</v>
      </c>
      <c r="DR42">
        <v>0</v>
      </c>
      <c r="DS42">
        <f t="shared" si="8"/>
        <v>0</v>
      </c>
      <c r="DT42">
        <v>0</v>
      </c>
      <c r="DU42">
        <v>0</v>
      </c>
      <c r="DV42">
        <v>0</v>
      </c>
      <c r="DW42">
        <v>0</v>
      </c>
      <c r="DX42">
        <v>0</v>
      </c>
      <c r="DY42">
        <v>0</v>
      </c>
      <c r="DZ42">
        <v>0</v>
      </c>
      <c r="EA42">
        <v>0</v>
      </c>
      <c r="EB42">
        <v>0</v>
      </c>
      <c r="EC42">
        <v>0</v>
      </c>
      <c r="ED42">
        <v>0</v>
      </c>
      <c r="EE42">
        <v>0</v>
      </c>
      <c r="EF42">
        <f t="shared" si="9"/>
        <v>0</v>
      </c>
      <c r="EG42">
        <f t="shared" si="10"/>
        <v>0</v>
      </c>
      <c r="EH42">
        <f t="shared" si="11"/>
        <v>0</v>
      </c>
      <c r="EI42" s="2">
        <v>16767</v>
      </c>
      <c r="EJ42" s="2">
        <v>17532</v>
      </c>
      <c r="EK42" s="2">
        <v>20491</v>
      </c>
      <c r="EL42" s="2">
        <v>19294</v>
      </c>
      <c r="EM42" s="2">
        <v>15976</v>
      </c>
      <c r="EN42" s="2">
        <v>18301</v>
      </c>
      <c r="EO42" s="2">
        <v>27900</v>
      </c>
      <c r="EP42" s="2">
        <v>20764</v>
      </c>
      <c r="EQ42" s="2">
        <v>16240</v>
      </c>
      <c r="ER42" s="2">
        <v>16648</v>
      </c>
      <c r="ES42" s="2">
        <v>19155</v>
      </c>
      <c r="ET42" s="2">
        <v>20625</v>
      </c>
      <c r="EU42" s="2">
        <f t="shared" si="12"/>
        <v>229693</v>
      </c>
      <c r="EV42" s="2">
        <v>0</v>
      </c>
      <c r="EW42" s="2">
        <v>0</v>
      </c>
      <c r="EX42" s="2">
        <v>0</v>
      </c>
      <c r="EY42" s="2">
        <v>0</v>
      </c>
      <c r="EZ42" s="2">
        <v>0</v>
      </c>
      <c r="FA42" s="2">
        <v>0</v>
      </c>
      <c r="FB42" s="2">
        <v>0</v>
      </c>
      <c r="FC42" s="2">
        <v>0</v>
      </c>
      <c r="FD42" s="2">
        <v>0</v>
      </c>
      <c r="FE42" s="2">
        <v>0</v>
      </c>
      <c r="FF42" s="2">
        <v>0</v>
      </c>
      <c r="FG42" s="2">
        <v>0</v>
      </c>
      <c r="FH42" s="2">
        <f t="shared" si="13"/>
        <v>0</v>
      </c>
      <c r="FI42" s="2">
        <v>0</v>
      </c>
      <c r="FJ42" s="2">
        <v>0</v>
      </c>
      <c r="FK42" s="2">
        <v>0</v>
      </c>
      <c r="FL42" s="2">
        <v>0</v>
      </c>
      <c r="FM42" s="2">
        <v>0</v>
      </c>
      <c r="FN42" s="2">
        <v>0</v>
      </c>
      <c r="FO42" s="2">
        <v>0</v>
      </c>
      <c r="FP42" s="2">
        <v>0</v>
      </c>
      <c r="FQ42" s="2">
        <v>0</v>
      </c>
      <c r="FR42" s="2">
        <v>0</v>
      </c>
      <c r="FS42" s="2">
        <v>0</v>
      </c>
      <c r="FT42" s="2">
        <v>0</v>
      </c>
      <c r="FU42" s="2">
        <f t="shared" si="14"/>
        <v>0</v>
      </c>
      <c r="FV42" s="2">
        <v>0</v>
      </c>
      <c r="FW42" s="2">
        <v>0</v>
      </c>
      <c r="FX42" s="2">
        <v>0</v>
      </c>
      <c r="FY42" s="2">
        <v>0</v>
      </c>
      <c r="FZ42" s="2">
        <v>0</v>
      </c>
      <c r="GA42" s="2">
        <v>0</v>
      </c>
      <c r="GB42" s="2">
        <v>0</v>
      </c>
      <c r="GC42" s="2">
        <v>0</v>
      </c>
      <c r="GD42" s="2">
        <v>0</v>
      </c>
      <c r="GE42" s="2">
        <v>0</v>
      </c>
      <c r="GF42" s="2">
        <v>0</v>
      </c>
      <c r="GG42" s="2">
        <v>0</v>
      </c>
      <c r="GH42" s="2">
        <f t="shared" si="15"/>
        <v>0</v>
      </c>
      <c r="GI42" s="2">
        <v>0</v>
      </c>
      <c r="GJ42" s="2">
        <v>0</v>
      </c>
      <c r="GK42" s="2">
        <v>1426</v>
      </c>
      <c r="GL42" s="2">
        <v>0</v>
      </c>
      <c r="GM42" s="2">
        <v>0</v>
      </c>
      <c r="GN42" s="2">
        <v>0</v>
      </c>
      <c r="GO42" s="2">
        <v>6758</v>
      </c>
      <c r="GP42" s="2">
        <v>0</v>
      </c>
      <c r="GQ42" s="2">
        <v>0</v>
      </c>
      <c r="GR42" s="2">
        <v>0</v>
      </c>
      <c r="GS42" s="2">
        <v>0</v>
      </c>
      <c r="GT42" s="2">
        <v>0</v>
      </c>
      <c r="GU42" s="2">
        <f t="shared" si="16"/>
        <v>8184</v>
      </c>
      <c r="GV42" s="2">
        <v>0</v>
      </c>
      <c r="GW42" s="2">
        <v>0</v>
      </c>
      <c r="GX42" s="2">
        <v>0</v>
      </c>
      <c r="GY42" s="2">
        <v>0</v>
      </c>
      <c r="GZ42" s="2">
        <v>0</v>
      </c>
      <c r="HA42" s="2">
        <v>0</v>
      </c>
      <c r="HB42" s="2">
        <v>0</v>
      </c>
      <c r="HC42" s="2">
        <v>0</v>
      </c>
      <c r="HD42" s="2">
        <v>0</v>
      </c>
      <c r="HE42" s="2">
        <v>0</v>
      </c>
      <c r="HF42" s="2">
        <v>0</v>
      </c>
      <c r="HG42" s="2">
        <v>0</v>
      </c>
      <c r="HH42" s="2">
        <f t="shared" si="17"/>
        <v>0</v>
      </c>
      <c r="HI42" s="2">
        <v>0</v>
      </c>
      <c r="HJ42" s="2">
        <v>0</v>
      </c>
      <c r="HK42" s="2">
        <v>0</v>
      </c>
      <c r="HL42" s="2">
        <v>0</v>
      </c>
      <c r="HM42" s="2">
        <v>0</v>
      </c>
      <c r="HN42" s="2">
        <v>0</v>
      </c>
      <c r="HO42" s="2">
        <v>0</v>
      </c>
      <c r="HP42" s="2">
        <v>0</v>
      </c>
      <c r="HQ42" s="2">
        <v>0</v>
      </c>
      <c r="HR42" s="2">
        <v>0</v>
      </c>
      <c r="HS42" s="2">
        <v>0</v>
      </c>
      <c r="HT42" s="2">
        <v>0</v>
      </c>
      <c r="HU42" s="2">
        <f t="shared" si="18"/>
        <v>0</v>
      </c>
      <c r="HV42" s="2">
        <v>0</v>
      </c>
      <c r="HW42" s="2">
        <v>0</v>
      </c>
      <c r="HX42" s="2">
        <v>0</v>
      </c>
      <c r="HY42" s="2">
        <v>0</v>
      </c>
      <c r="HZ42" s="2">
        <v>0</v>
      </c>
      <c r="IA42" s="2">
        <v>0</v>
      </c>
      <c r="IB42" s="2">
        <v>0</v>
      </c>
      <c r="IC42" s="2">
        <v>0</v>
      </c>
      <c r="ID42" s="2">
        <v>0</v>
      </c>
      <c r="IE42" s="2">
        <v>0</v>
      </c>
      <c r="IF42" s="2">
        <v>0</v>
      </c>
      <c r="IG42" s="2">
        <v>0</v>
      </c>
      <c r="IH42" s="2">
        <f t="shared" si="19"/>
        <v>0</v>
      </c>
      <c r="II42" s="2">
        <f t="shared" si="20"/>
        <v>0</v>
      </c>
      <c r="IJ42" s="2">
        <f t="shared" si="21"/>
        <v>0</v>
      </c>
      <c r="IK42" s="2">
        <v>290303</v>
      </c>
      <c r="IL42" s="2">
        <v>300975</v>
      </c>
      <c r="IM42" s="2">
        <v>288516</v>
      </c>
      <c r="IN42" s="2">
        <v>360753</v>
      </c>
      <c r="IO42" s="2">
        <v>368101</v>
      </c>
      <c r="IP42" s="2">
        <v>326964</v>
      </c>
      <c r="IQ42" s="2">
        <v>334006</v>
      </c>
      <c r="IR42" s="2">
        <v>309595</v>
      </c>
      <c r="IS42" s="2">
        <v>281644</v>
      </c>
      <c r="IT42" s="2">
        <v>311479</v>
      </c>
      <c r="IU42" s="2">
        <v>290706</v>
      </c>
      <c r="IV42" s="2">
        <v>319647</v>
      </c>
      <c r="IW42" s="2">
        <f t="shared" si="22"/>
        <v>3782689</v>
      </c>
      <c r="IX42" s="2">
        <v>177207</v>
      </c>
      <c r="IY42" s="2">
        <v>183067</v>
      </c>
      <c r="IZ42" s="2">
        <v>172951</v>
      </c>
      <c r="JA42" s="2">
        <v>232189</v>
      </c>
      <c r="JB42" s="2">
        <v>238589</v>
      </c>
      <c r="JC42" s="2">
        <v>204881</v>
      </c>
      <c r="JD42" s="2">
        <v>209144</v>
      </c>
      <c r="JE42" s="2">
        <v>192433</v>
      </c>
      <c r="JF42" s="2">
        <v>169484</v>
      </c>
      <c r="JG42" s="2">
        <v>191252</v>
      </c>
      <c r="JH42" s="2">
        <v>181538</v>
      </c>
      <c r="JI42" s="2">
        <v>198184</v>
      </c>
      <c r="JJ42" s="2">
        <f t="shared" si="23"/>
        <v>2350919</v>
      </c>
      <c r="JK42" s="2">
        <v>6667</v>
      </c>
      <c r="JL42" s="2">
        <v>6736</v>
      </c>
      <c r="JM42" s="2">
        <v>6452</v>
      </c>
      <c r="JN42" s="2">
        <v>8911</v>
      </c>
      <c r="JO42" s="2">
        <v>9766</v>
      </c>
      <c r="JP42" s="2">
        <v>8036</v>
      </c>
      <c r="JQ42" s="2">
        <v>8125</v>
      </c>
      <c r="JR42" s="2">
        <v>7221</v>
      </c>
      <c r="JS42" s="2">
        <v>6604</v>
      </c>
      <c r="JT42" s="2">
        <v>7018</v>
      </c>
      <c r="JU42" s="2">
        <v>6476</v>
      </c>
      <c r="JV42" s="2">
        <v>7500</v>
      </c>
      <c r="JW42" s="2">
        <f t="shared" si="24"/>
        <v>89512</v>
      </c>
      <c r="JX42" s="2">
        <v>106429</v>
      </c>
      <c r="JY42" s="2">
        <v>111172</v>
      </c>
      <c r="JZ42" s="2">
        <v>109113</v>
      </c>
      <c r="KA42" s="2">
        <v>119653</v>
      </c>
      <c r="KB42" s="2">
        <v>119746</v>
      </c>
      <c r="KC42" s="2">
        <v>114047</v>
      </c>
      <c r="KD42" s="2">
        <v>116737</v>
      </c>
      <c r="KE42" s="2">
        <v>109941</v>
      </c>
      <c r="KF42" s="2">
        <v>105556</v>
      </c>
      <c r="KG42" s="2">
        <v>113209</v>
      </c>
      <c r="KH42" s="2">
        <v>102692</v>
      </c>
      <c r="KI42" s="2">
        <v>113963</v>
      </c>
      <c r="KJ42" s="2">
        <f t="shared" si="25"/>
        <v>1342258</v>
      </c>
      <c r="KK42" s="2">
        <v>1402</v>
      </c>
      <c r="KL42" s="2">
        <v>1354</v>
      </c>
      <c r="KM42" s="2">
        <v>1309</v>
      </c>
      <c r="KN42" s="2">
        <v>1403</v>
      </c>
      <c r="KO42" s="2">
        <v>1320</v>
      </c>
      <c r="KP42" s="2">
        <v>1225</v>
      </c>
      <c r="KQ42" s="2">
        <v>1273</v>
      </c>
      <c r="KR42" s="2">
        <v>1060</v>
      </c>
      <c r="KS42" s="2">
        <v>1104</v>
      </c>
      <c r="KT42" s="2">
        <v>1082</v>
      </c>
      <c r="KU42" s="2">
        <v>1024</v>
      </c>
      <c r="KV42" s="2">
        <v>1150</v>
      </c>
      <c r="KW42" s="2">
        <f t="shared" si="26"/>
        <v>14706</v>
      </c>
      <c r="KX42" s="2">
        <v>0</v>
      </c>
      <c r="KY42" s="2">
        <v>0</v>
      </c>
      <c r="KZ42" s="2">
        <v>0</v>
      </c>
      <c r="LA42" s="2">
        <v>0</v>
      </c>
      <c r="LB42" s="2">
        <v>0</v>
      </c>
      <c r="LC42" s="2">
        <v>0</v>
      </c>
      <c r="LD42" s="2">
        <v>0</v>
      </c>
      <c r="LE42" s="2">
        <v>0</v>
      </c>
      <c r="LF42" s="2">
        <v>0</v>
      </c>
      <c r="LG42" s="2">
        <v>0</v>
      </c>
      <c r="LH42" s="2">
        <v>0</v>
      </c>
      <c r="LI42" s="2">
        <v>0</v>
      </c>
      <c r="LJ42" s="2">
        <f t="shared" si="27"/>
        <v>0</v>
      </c>
      <c r="LK42" s="2">
        <v>0</v>
      </c>
      <c r="LL42" s="2">
        <v>0</v>
      </c>
      <c r="LM42" s="2">
        <v>0</v>
      </c>
      <c r="LN42" s="2">
        <v>0</v>
      </c>
      <c r="LO42" s="2">
        <v>0</v>
      </c>
      <c r="LP42" s="2">
        <v>0</v>
      </c>
      <c r="LQ42" s="2">
        <v>0</v>
      </c>
      <c r="LR42" s="2">
        <v>0</v>
      </c>
      <c r="LS42" s="2">
        <v>0</v>
      </c>
      <c r="LT42" s="2">
        <v>0</v>
      </c>
      <c r="LU42" s="2">
        <v>0</v>
      </c>
      <c r="LV42" s="2">
        <v>0</v>
      </c>
      <c r="LW42" s="2">
        <f t="shared" si="28"/>
        <v>0</v>
      </c>
      <c r="LX42" s="2">
        <v>0</v>
      </c>
      <c r="LY42" s="2">
        <v>0</v>
      </c>
      <c r="LZ42" s="2">
        <v>0</v>
      </c>
      <c r="MA42" s="2">
        <v>0</v>
      </c>
      <c r="MB42" s="2">
        <v>0</v>
      </c>
      <c r="MC42" s="2">
        <v>0</v>
      </c>
      <c r="MD42" s="2">
        <v>0</v>
      </c>
      <c r="ME42" s="2">
        <v>0</v>
      </c>
      <c r="MF42" s="2">
        <v>0</v>
      </c>
      <c r="MG42" s="2">
        <v>0</v>
      </c>
      <c r="MH42" s="2">
        <v>0</v>
      </c>
      <c r="MI42" s="2">
        <v>0</v>
      </c>
      <c r="MJ42" s="2">
        <f t="shared" si="29"/>
        <v>0</v>
      </c>
      <c r="MK42" s="2">
        <v>42380</v>
      </c>
      <c r="ML42" s="2">
        <v>42528</v>
      </c>
      <c r="MM42" s="2">
        <v>40728</v>
      </c>
      <c r="MN42" s="2">
        <v>42611</v>
      </c>
      <c r="MO42" s="2">
        <v>44700</v>
      </c>
      <c r="MP42" s="2">
        <v>39445</v>
      </c>
      <c r="MQ42" s="2">
        <v>40681</v>
      </c>
      <c r="MR42" s="2">
        <v>37850</v>
      </c>
      <c r="MS42" s="2">
        <v>38135</v>
      </c>
      <c r="MT42" s="2">
        <v>38717</v>
      </c>
      <c r="MU42" s="2">
        <v>35417</v>
      </c>
      <c r="MV42" s="2">
        <v>38969</v>
      </c>
      <c r="MW42" s="2">
        <f t="shared" si="30"/>
        <v>482161</v>
      </c>
      <c r="MX42" s="2">
        <v>6345</v>
      </c>
      <c r="MY42" s="2">
        <v>6017</v>
      </c>
      <c r="MZ42" s="2">
        <v>5649</v>
      </c>
      <c r="NA42" s="2">
        <v>6779</v>
      </c>
      <c r="NB42" s="2">
        <v>7382</v>
      </c>
      <c r="NC42" s="2">
        <v>5467</v>
      </c>
      <c r="ND42" s="2">
        <v>5852</v>
      </c>
      <c r="NE42" s="2">
        <v>5426</v>
      </c>
      <c r="NF42" s="2">
        <v>5352</v>
      </c>
      <c r="NG42" s="2">
        <v>5171</v>
      </c>
      <c r="NH42" s="2">
        <v>5025</v>
      </c>
      <c r="NI42" s="2">
        <v>5965</v>
      </c>
      <c r="NJ42" s="2">
        <f t="shared" si="31"/>
        <v>70430</v>
      </c>
      <c r="NK42" s="2">
        <v>2171</v>
      </c>
      <c r="NL42" s="2">
        <v>2212</v>
      </c>
      <c r="NM42" s="2">
        <v>2145</v>
      </c>
      <c r="NN42" s="2">
        <v>2287</v>
      </c>
      <c r="NO42" s="2">
        <v>2436</v>
      </c>
      <c r="NP42" s="2">
        <v>2001</v>
      </c>
      <c r="NQ42" s="2">
        <v>2054</v>
      </c>
      <c r="NR42" s="2">
        <v>2038</v>
      </c>
      <c r="NS42" s="2">
        <v>1990</v>
      </c>
      <c r="NT42" s="2">
        <v>2017</v>
      </c>
      <c r="NU42" s="2">
        <v>1811</v>
      </c>
      <c r="NV42" s="2">
        <v>1979</v>
      </c>
      <c r="NW42" s="2">
        <f t="shared" si="32"/>
        <v>25141</v>
      </c>
      <c r="NX42" s="2">
        <v>33864</v>
      </c>
      <c r="NY42" s="2">
        <v>34299</v>
      </c>
      <c r="NZ42" s="2">
        <v>32934</v>
      </c>
      <c r="OA42" s="2">
        <v>33545</v>
      </c>
      <c r="OB42" s="2">
        <v>34882</v>
      </c>
      <c r="OC42" s="2">
        <v>31977</v>
      </c>
      <c r="OD42" s="2">
        <v>32775</v>
      </c>
      <c r="OE42" s="2">
        <v>30386</v>
      </c>
      <c r="OF42" s="2">
        <v>30793</v>
      </c>
      <c r="OG42" s="2">
        <v>31529</v>
      </c>
      <c r="OH42" s="2">
        <v>28581</v>
      </c>
      <c r="OI42" s="2">
        <v>31025</v>
      </c>
      <c r="OJ42" s="2">
        <f t="shared" si="33"/>
        <v>386590</v>
      </c>
      <c r="OK42" s="2">
        <v>60224</v>
      </c>
      <c r="OL42" s="2">
        <v>61160</v>
      </c>
      <c r="OM42" s="2">
        <v>58876</v>
      </c>
      <c r="ON42" s="2">
        <v>62263</v>
      </c>
      <c r="OO42" s="2">
        <v>64864</v>
      </c>
      <c r="OP42" s="2">
        <v>59654</v>
      </c>
      <c r="OQ42" s="2">
        <v>62527</v>
      </c>
      <c r="OR42" s="2">
        <v>59410</v>
      </c>
      <c r="OS42" s="2">
        <v>59168</v>
      </c>
      <c r="OT42" s="2">
        <v>63394</v>
      </c>
      <c r="OU42" s="2">
        <v>57942</v>
      </c>
      <c r="OV42" s="2">
        <v>64818</v>
      </c>
      <c r="OW42" s="2">
        <f t="shared" si="34"/>
        <v>734300</v>
      </c>
      <c r="OX42" s="2">
        <v>13742</v>
      </c>
      <c r="OY42" s="2">
        <v>13340</v>
      </c>
      <c r="OZ42" s="2">
        <v>12761</v>
      </c>
      <c r="PA42" s="2">
        <v>14261</v>
      </c>
      <c r="PB42" s="2">
        <v>15313</v>
      </c>
      <c r="PC42" s="2">
        <v>12022</v>
      </c>
      <c r="PD42" s="2">
        <v>12991</v>
      </c>
      <c r="PE42" s="2">
        <v>12382</v>
      </c>
      <c r="PF42" s="2">
        <v>12776</v>
      </c>
      <c r="PG42" s="2">
        <v>13070</v>
      </c>
      <c r="PH42" s="2">
        <v>12106</v>
      </c>
      <c r="PI42" s="2">
        <v>13522</v>
      </c>
      <c r="PJ42" s="2">
        <f t="shared" si="35"/>
        <v>158286</v>
      </c>
      <c r="PK42" s="2">
        <v>2595</v>
      </c>
      <c r="PL42" s="2">
        <v>2502</v>
      </c>
      <c r="PM42" s="2">
        <v>2471</v>
      </c>
      <c r="PN42" s="2">
        <v>2902</v>
      </c>
      <c r="PO42" s="2">
        <v>2919</v>
      </c>
      <c r="PP42" s="2">
        <v>2408</v>
      </c>
      <c r="PQ42" s="2">
        <v>2678</v>
      </c>
      <c r="PR42" s="2">
        <v>2414</v>
      </c>
      <c r="PS42" s="2">
        <v>2523</v>
      </c>
      <c r="PT42" s="2">
        <v>2801</v>
      </c>
      <c r="PU42" s="2">
        <v>2628</v>
      </c>
      <c r="PV42" s="2">
        <v>2943</v>
      </c>
      <c r="PW42" s="2">
        <f t="shared" si="36"/>
        <v>31784</v>
      </c>
      <c r="PX42" s="2">
        <v>43887</v>
      </c>
      <c r="PY42" s="2">
        <v>45318</v>
      </c>
      <c r="PZ42" s="2">
        <v>43644</v>
      </c>
      <c r="QA42" s="2">
        <v>45100</v>
      </c>
      <c r="QB42" s="2">
        <v>46632</v>
      </c>
      <c r="QC42" s="2">
        <v>45224</v>
      </c>
      <c r="QD42" s="2">
        <v>46858</v>
      </c>
      <c r="QE42" s="2">
        <v>44614</v>
      </c>
      <c r="QF42" s="2">
        <v>43869</v>
      </c>
      <c r="QG42" s="2">
        <v>47523</v>
      </c>
      <c r="QH42" s="2">
        <v>43208</v>
      </c>
      <c r="QI42" s="2">
        <v>48353</v>
      </c>
      <c r="QJ42" s="2">
        <f t="shared" si="37"/>
        <v>544230</v>
      </c>
      <c r="QK42" s="2">
        <v>224370</v>
      </c>
      <c r="QL42" s="2">
        <v>232747</v>
      </c>
      <c r="QM42" s="2">
        <v>214200</v>
      </c>
      <c r="QN42" s="2">
        <v>255945</v>
      </c>
      <c r="QO42" s="2">
        <v>255182</v>
      </c>
      <c r="QP42" s="2">
        <v>238656</v>
      </c>
      <c r="QQ42" s="2">
        <v>243460</v>
      </c>
      <c r="QR42" s="2">
        <v>230984</v>
      </c>
      <c r="QS42" s="2">
        <v>205781</v>
      </c>
      <c r="QT42" s="2">
        <v>237996</v>
      </c>
      <c r="QU42" s="2">
        <v>230481</v>
      </c>
      <c r="QV42" s="2">
        <v>244159</v>
      </c>
      <c r="QW42" s="2">
        <f t="shared" si="38"/>
        <v>2813961</v>
      </c>
      <c r="QX42" s="2">
        <v>0</v>
      </c>
      <c r="QY42" s="2">
        <v>0</v>
      </c>
      <c r="QZ42" s="2">
        <v>0</v>
      </c>
      <c r="RA42" s="2">
        <v>0</v>
      </c>
      <c r="RB42" s="2">
        <v>0</v>
      </c>
      <c r="RC42" s="2">
        <v>0</v>
      </c>
      <c r="RD42" s="2">
        <v>0</v>
      </c>
      <c r="RE42" s="2">
        <v>0</v>
      </c>
      <c r="RF42" s="2">
        <v>0</v>
      </c>
      <c r="RG42" s="2">
        <v>0</v>
      </c>
      <c r="RH42" s="2">
        <v>0</v>
      </c>
      <c r="RI42" s="2">
        <v>0</v>
      </c>
      <c r="RJ42" s="2">
        <f t="shared" si="39"/>
        <v>0</v>
      </c>
      <c r="RK42" s="2">
        <v>0</v>
      </c>
      <c r="RL42" s="2">
        <v>0</v>
      </c>
      <c r="RM42" s="2">
        <v>0</v>
      </c>
      <c r="RN42" s="2">
        <v>0</v>
      </c>
      <c r="RO42" s="2">
        <v>0</v>
      </c>
      <c r="RP42" s="2">
        <v>0</v>
      </c>
      <c r="RQ42" s="2">
        <v>0</v>
      </c>
      <c r="RR42" s="2">
        <v>0</v>
      </c>
      <c r="RS42" s="2">
        <v>0</v>
      </c>
      <c r="RT42" s="2">
        <v>0</v>
      </c>
      <c r="RU42" s="2">
        <v>0</v>
      </c>
      <c r="RV42" s="2">
        <v>0</v>
      </c>
      <c r="RW42" s="2">
        <f t="shared" si="40"/>
        <v>0</v>
      </c>
      <c r="RX42" s="2">
        <v>0</v>
      </c>
      <c r="RY42" s="2">
        <v>0</v>
      </c>
      <c r="RZ42" s="2">
        <v>0</v>
      </c>
      <c r="SA42" s="2">
        <v>0</v>
      </c>
      <c r="SB42" s="2">
        <v>0</v>
      </c>
      <c r="SC42" s="2">
        <v>0</v>
      </c>
      <c r="SD42" s="2">
        <v>0</v>
      </c>
      <c r="SE42" s="2">
        <v>0</v>
      </c>
      <c r="SF42" s="2">
        <v>0</v>
      </c>
      <c r="SG42" s="2">
        <v>0</v>
      </c>
      <c r="SH42" s="2">
        <v>0</v>
      </c>
      <c r="SI42" s="2">
        <v>0</v>
      </c>
      <c r="SJ42" s="2">
        <f t="shared" si="41"/>
        <v>0</v>
      </c>
      <c r="SK42">
        <v>319</v>
      </c>
      <c r="SL42">
        <v>317</v>
      </c>
      <c r="SM42">
        <v>309</v>
      </c>
      <c r="SN42">
        <v>288</v>
      </c>
      <c r="SO42">
        <v>307</v>
      </c>
      <c r="SP42">
        <v>296</v>
      </c>
      <c r="SQ42">
        <v>289</v>
      </c>
      <c r="SR42">
        <v>295</v>
      </c>
      <c r="SS42">
        <v>301</v>
      </c>
      <c r="ST42">
        <v>299</v>
      </c>
      <c r="SU42">
        <v>299</v>
      </c>
      <c r="SV42">
        <v>309</v>
      </c>
      <c r="SW42">
        <f t="shared" si="42"/>
        <v>3628</v>
      </c>
      <c r="SX42" t="s">
        <v>1370</v>
      </c>
      <c r="SY42" s="2">
        <v>4600</v>
      </c>
      <c r="SZ42" s="2">
        <v>6155</v>
      </c>
      <c r="TA42" s="2">
        <v>5711</v>
      </c>
      <c r="TB42" s="2">
        <v>5792</v>
      </c>
      <c r="TC42" s="2">
        <v>4570</v>
      </c>
      <c r="TD42" s="2">
        <v>5432</v>
      </c>
      <c r="TE42" s="2">
        <v>6199</v>
      </c>
      <c r="TF42" s="2">
        <v>4778</v>
      </c>
      <c r="TG42" s="2">
        <v>3433</v>
      </c>
      <c r="TH42" s="2">
        <v>4724</v>
      </c>
      <c r="TI42" s="2">
        <v>4592</v>
      </c>
      <c r="TJ42" s="2">
        <v>6025</v>
      </c>
      <c r="TK42" s="2">
        <f t="shared" si="43"/>
        <v>62011</v>
      </c>
      <c r="TL42" s="2">
        <v>0</v>
      </c>
      <c r="TM42" s="2">
        <v>0</v>
      </c>
      <c r="TN42" s="2">
        <v>0</v>
      </c>
      <c r="TO42" s="2">
        <v>0</v>
      </c>
      <c r="TP42" s="2">
        <v>0</v>
      </c>
      <c r="TQ42" s="2">
        <v>0</v>
      </c>
      <c r="TR42" s="2">
        <v>0</v>
      </c>
      <c r="TS42" s="2">
        <v>0</v>
      </c>
      <c r="TT42" s="2">
        <v>0</v>
      </c>
      <c r="TU42" s="2">
        <v>0</v>
      </c>
      <c r="TV42" s="2">
        <v>0</v>
      </c>
      <c r="TW42" s="2">
        <v>0</v>
      </c>
      <c r="TX42" s="2">
        <f t="shared" si="44"/>
        <v>0</v>
      </c>
      <c r="TY42">
        <v>542</v>
      </c>
      <c r="TZ42" s="2">
        <v>0</v>
      </c>
      <c r="UA42" s="2">
        <v>0</v>
      </c>
      <c r="UB42" s="2">
        <v>0</v>
      </c>
    </row>
    <row r="43" spans="1:548" ht="16.5" customHeight="1" x14ac:dyDescent="0.35">
      <c r="A43" t="s">
        <v>1545</v>
      </c>
      <c r="B43" t="s">
        <v>2866</v>
      </c>
      <c r="C43">
        <v>30852</v>
      </c>
      <c r="D43">
        <v>12564</v>
      </c>
      <c r="E43">
        <v>2251</v>
      </c>
      <c r="F43">
        <v>16037</v>
      </c>
      <c r="G43">
        <v>543</v>
      </c>
      <c r="H43">
        <v>710</v>
      </c>
      <c r="I43">
        <v>698</v>
      </c>
      <c r="J43">
        <v>732</v>
      </c>
      <c r="K43">
        <v>570</v>
      </c>
      <c r="L43">
        <v>704</v>
      </c>
      <c r="M43">
        <v>758</v>
      </c>
      <c r="N43">
        <v>734</v>
      </c>
      <c r="O43">
        <v>611</v>
      </c>
      <c r="P43">
        <v>740</v>
      </c>
      <c r="Q43">
        <v>733</v>
      </c>
      <c r="R43">
        <v>807</v>
      </c>
      <c r="S43">
        <f t="shared" si="0"/>
        <v>8340</v>
      </c>
      <c r="T43">
        <v>182</v>
      </c>
      <c r="U43">
        <v>271</v>
      </c>
      <c r="V43">
        <v>292</v>
      </c>
      <c r="W43">
        <v>282</v>
      </c>
      <c r="X43">
        <v>135</v>
      </c>
      <c r="Y43">
        <v>245</v>
      </c>
      <c r="Z43">
        <v>278</v>
      </c>
      <c r="AA43">
        <v>286</v>
      </c>
      <c r="AB43">
        <v>216</v>
      </c>
      <c r="AC43">
        <v>275</v>
      </c>
      <c r="AD43">
        <v>258</v>
      </c>
      <c r="AE43">
        <v>330</v>
      </c>
      <c r="AF43">
        <f t="shared" si="1"/>
        <v>3050</v>
      </c>
      <c r="AG43">
        <v>21</v>
      </c>
      <c r="AH43">
        <v>28</v>
      </c>
      <c r="AI43">
        <v>32</v>
      </c>
      <c r="AJ43">
        <v>27</v>
      </c>
      <c r="AK43">
        <v>25</v>
      </c>
      <c r="AL43">
        <v>25</v>
      </c>
      <c r="AM43">
        <v>30</v>
      </c>
      <c r="AN43">
        <v>26</v>
      </c>
      <c r="AO43">
        <v>30</v>
      </c>
      <c r="AP43">
        <v>41</v>
      </c>
      <c r="AQ43">
        <v>45</v>
      </c>
      <c r="AR43">
        <v>54</v>
      </c>
      <c r="AS43">
        <f t="shared" si="2"/>
        <v>384</v>
      </c>
      <c r="AT43">
        <v>340</v>
      </c>
      <c r="AU43">
        <v>411</v>
      </c>
      <c r="AV43">
        <v>374</v>
      </c>
      <c r="AW43">
        <v>423</v>
      </c>
      <c r="AX43">
        <v>410</v>
      </c>
      <c r="AY43">
        <v>434</v>
      </c>
      <c r="AZ43">
        <v>450</v>
      </c>
      <c r="BA43">
        <v>422</v>
      </c>
      <c r="BB43">
        <v>365</v>
      </c>
      <c r="BC43">
        <v>424</v>
      </c>
      <c r="BD43">
        <v>430</v>
      </c>
      <c r="BE43">
        <v>423</v>
      </c>
      <c r="BF43">
        <f t="shared" si="3"/>
        <v>4906</v>
      </c>
      <c r="BG43">
        <v>0</v>
      </c>
      <c r="BH43">
        <v>0</v>
      </c>
      <c r="BI43">
        <v>0</v>
      </c>
      <c r="BJ43">
        <v>0</v>
      </c>
      <c r="BK43">
        <v>0</v>
      </c>
      <c r="BL43">
        <v>0</v>
      </c>
      <c r="BM43">
        <v>0</v>
      </c>
      <c r="BN43">
        <v>0</v>
      </c>
      <c r="BO43">
        <v>0</v>
      </c>
      <c r="BP43">
        <v>0</v>
      </c>
      <c r="BQ43">
        <v>0</v>
      </c>
      <c r="BR43">
        <v>0</v>
      </c>
      <c r="BS43">
        <f t="shared" si="4"/>
        <v>0</v>
      </c>
      <c r="BT43">
        <v>1</v>
      </c>
      <c r="BU43">
        <v>5</v>
      </c>
      <c r="BV43">
        <v>3</v>
      </c>
      <c r="BW43">
        <v>5</v>
      </c>
      <c r="BX43">
        <v>1</v>
      </c>
      <c r="BY43">
        <v>0</v>
      </c>
      <c r="BZ43">
        <v>1</v>
      </c>
      <c r="CA43">
        <v>4</v>
      </c>
      <c r="CB43">
        <v>3</v>
      </c>
      <c r="CC43">
        <v>2</v>
      </c>
      <c r="CD43">
        <v>3</v>
      </c>
      <c r="CE43">
        <v>4</v>
      </c>
      <c r="CF43">
        <f t="shared" si="5"/>
        <v>32</v>
      </c>
      <c r="CG43">
        <v>1</v>
      </c>
      <c r="CH43">
        <v>5</v>
      </c>
      <c r="CI43">
        <v>3</v>
      </c>
      <c r="CJ43">
        <v>5</v>
      </c>
      <c r="CK43">
        <v>1</v>
      </c>
      <c r="CL43">
        <v>0</v>
      </c>
      <c r="CM43">
        <v>1</v>
      </c>
      <c r="CN43">
        <v>4</v>
      </c>
      <c r="CO43">
        <v>3</v>
      </c>
      <c r="CP43">
        <v>2</v>
      </c>
      <c r="CQ43">
        <v>3</v>
      </c>
      <c r="CR43">
        <v>4</v>
      </c>
      <c r="CS43">
        <f t="shared" si="6"/>
        <v>32</v>
      </c>
      <c r="CT43">
        <v>0</v>
      </c>
      <c r="CU43">
        <v>0</v>
      </c>
      <c r="CV43">
        <v>0</v>
      </c>
      <c r="CW43">
        <v>0</v>
      </c>
      <c r="CX43">
        <v>0</v>
      </c>
      <c r="CY43">
        <v>0</v>
      </c>
      <c r="CZ43">
        <v>0</v>
      </c>
      <c r="DA43">
        <v>0</v>
      </c>
      <c r="DB43">
        <v>0</v>
      </c>
      <c r="DC43">
        <v>0</v>
      </c>
      <c r="DD43">
        <v>0</v>
      </c>
      <c r="DE43">
        <v>0</v>
      </c>
      <c r="DF43">
        <f t="shared" si="7"/>
        <v>0</v>
      </c>
      <c r="DG43">
        <v>0</v>
      </c>
      <c r="DH43">
        <v>0</v>
      </c>
      <c r="DI43">
        <v>0</v>
      </c>
      <c r="DJ43">
        <v>0</v>
      </c>
      <c r="DK43">
        <v>0</v>
      </c>
      <c r="DL43">
        <v>0</v>
      </c>
      <c r="DM43">
        <v>0</v>
      </c>
      <c r="DN43">
        <v>0</v>
      </c>
      <c r="DO43">
        <v>0</v>
      </c>
      <c r="DP43">
        <v>0</v>
      </c>
      <c r="DQ43">
        <v>0</v>
      </c>
      <c r="DR43">
        <v>0</v>
      </c>
      <c r="DS43">
        <f t="shared" si="8"/>
        <v>0</v>
      </c>
      <c r="DT43">
        <v>0</v>
      </c>
      <c r="DU43">
        <v>0</v>
      </c>
      <c r="DV43">
        <v>0</v>
      </c>
      <c r="DW43">
        <v>0</v>
      </c>
      <c r="DX43">
        <v>0</v>
      </c>
      <c r="DY43">
        <v>0</v>
      </c>
      <c r="DZ43">
        <v>0</v>
      </c>
      <c r="EA43">
        <v>0</v>
      </c>
      <c r="EB43">
        <v>0</v>
      </c>
      <c r="EC43">
        <v>0</v>
      </c>
      <c r="ED43">
        <v>0</v>
      </c>
      <c r="EE43">
        <v>0</v>
      </c>
      <c r="EF43">
        <f t="shared" si="9"/>
        <v>0</v>
      </c>
      <c r="EG43">
        <f t="shared" si="10"/>
        <v>8340</v>
      </c>
      <c r="EH43">
        <f t="shared" si="11"/>
        <v>32</v>
      </c>
      <c r="EI43">
        <v>6167</v>
      </c>
      <c r="EJ43">
        <v>8418</v>
      </c>
      <c r="EK43">
        <v>11460</v>
      </c>
      <c r="EL43">
        <v>15171</v>
      </c>
      <c r="EM43">
        <v>7323</v>
      </c>
      <c r="EN43">
        <v>7785</v>
      </c>
      <c r="EO43">
        <v>8534</v>
      </c>
      <c r="EP43">
        <v>8331</v>
      </c>
      <c r="EQ43">
        <v>6575</v>
      </c>
      <c r="ER43">
        <v>8174</v>
      </c>
      <c r="ES43">
        <v>8940</v>
      </c>
      <c r="ET43">
        <v>11147</v>
      </c>
      <c r="EU43">
        <f t="shared" si="12"/>
        <v>108025</v>
      </c>
      <c r="EV43">
        <v>0</v>
      </c>
      <c r="EW43">
        <v>0</v>
      </c>
      <c r="EX43">
        <v>0</v>
      </c>
      <c r="EY43">
        <v>0</v>
      </c>
      <c r="EZ43">
        <v>0</v>
      </c>
      <c r="FA43">
        <v>0</v>
      </c>
      <c r="FB43">
        <v>0</v>
      </c>
      <c r="FC43">
        <v>0</v>
      </c>
      <c r="FD43">
        <v>0</v>
      </c>
      <c r="FE43">
        <v>0</v>
      </c>
      <c r="FF43">
        <v>0</v>
      </c>
      <c r="FG43">
        <v>0</v>
      </c>
      <c r="FH43">
        <f t="shared" si="13"/>
        <v>0</v>
      </c>
      <c r="FI43">
        <v>0</v>
      </c>
      <c r="FJ43">
        <v>0</v>
      </c>
      <c r="FK43">
        <v>0</v>
      </c>
      <c r="FL43">
        <v>0</v>
      </c>
      <c r="FM43">
        <v>0</v>
      </c>
      <c r="FN43">
        <v>0</v>
      </c>
      <c r="FO43">
        <v>0</v>
      </c>
      <c r="FP43">
        <v>0</v>
      </c>
      <c r="FQ43">
        <v>0</v>
      </c>
      <c r="FR43">
        <v>0</v>
      </c>
      <c r="FS43">
        <v>0</v>
      </c>
      <c r="FT43">
        <v>0</v>
      </c>
      <c r="FU43">
        <f t="shared" si="14"/>
        <v>0</v>
      </c>
      <c r="FV43">
        <v>0</v>
      </c>
      <c r="FW43">
        <v>0</v>
      </c>
      <c r="FX43">
        <v>0</v>
      </c>
      <c r="FY43">
        <v>0</v>
      </c>
      <c r="FZ43">
        <v>0</v>
      </c>
      <c r="GA43">
        <v>0</v>
      </c>
      <c r="GB43">
        <v>0</v>
      </c>
      <c r="GC43">
        <v>0</v>
      </c>
      <c r="GD43">
        <v>0</v>
      </c>
      <c r="GE43">
        <v>0</v>
      </c>
      <c r="GF43">
        <v>0</v>
      </c>
      <c r="GG43">
        <v>0</v>
      </c>
      <c r="GH43">
        <f t="shared" si="15"/>
        <v>0</v>
      </c>
      <c r="GI43">
        <v>7</v>
      </c>
      <c r="GJ43">
        <v>45</v>
      </c>
      <c r="GK43">
        <v>11</v>
      </c>
      <c r="GL43">
        <v>5550</v>
      </c>
      <c r="GM43">
        <v>0</v>
      </c>
      <c r="GN43">
        <v>0</v>
      </c>
      <c r="GO43">
        <v>8</v>
      </c>
      <c r="GP43">
        <v>35</v>
      </c>
      <c r="GQ43">
        <v>26</v>
      </c>
      <c r="GR43">
        <v>9</v>
      </c>
      <c r="GS43">
        <v>22</v>
      </c>
      <c r="GT43">
        <v>15</v>
      </c>
      <c r="GU43">
        <f t="shared" si="16"/>
        <v>5728</v>
      </c>
      <c r="GV43">
        <v>0</v>
      </c>
      <c r="GW43">
        <v>0</v>
      </c>
      <c r="GX43">
        <v>0</v>
      </c>
      <c r="GY43">
        <v>0</v>
      </c>
      <c r="GZ43">
        <v>0</v>
      </c>
      <c r="HA43">
        <v>0</v>
      </c>
      <c r="HB43">
        <v>0</v>
      </c>
      <c r="HC43">
        <v>0</v>
      </c>
      <c r="HD43">
        <v>0</v>
      </c>
      <c r="HE43">
        <v>0</v>
      </c>
      <c r="HF43">
        <v>0</v>
      </c>
      <c r="HG43">
        <v>0</v>
      </c>
      <c r="HH43">
        <f t="shared" si="17"/>
        <v>0</v>
      </c>
      <c r="HI43">
        <v>0</v>
      </c>
      <c r="HJ43">
        <v>0</v>
      </c>
      <c r="HK43">
        <v>0</v>
      </c>
      <c r="HL43">
        <v>0</v>
      </c>
      <c r="HM43">
        <v>0</v>
      </c>
      <c r="HN43">
        <v>0</v>
      </c>
      <c r="HO43">
        <v>0</v>
      </c>
      <c r="HP43">
        <v>0</v>
      </c>
      <c r="HQ43">
        <v>0</v>
      </c>
      <c r="HR43">
        <v>0</v>
      </c>
      <c r="HS43">
        <v>0</v>
      </c>
      <c r="HT43">
        <v>0</v>
      </c>
      <c r="HU43">
        <f t="shared" si="18"/>
        <v>0</v>
      </c>
      <c r="HV43">
        <v>0</v>
      </c>
      <c r="HW43">
        <v>0</v>
      </c>
      <c r="HX43">
        <v>0</v>
      </c>
      <c r="HY43">
        <v>0</v>
      </c>
      <c r="HZ43">
        <v>0</v>
      </c>
      <c r="IA43">
        <v>0</v>
      </c>
      <c r="IB43">
        <v>0</v>
      </c>
      <c r="IC43">
        <v>0</v>
      </c>
      <c r="ID43">
        <v>0</v>
      </c>
      <c r="IE43">
        <v>0</v>
      </c>
      <c r="IF43">
        <v>0</v>
      </c>
      <c r="IG43">
        <v>0</v>
      </c>
      <c r="IH43">
        <f t="shared" si="19"/>
        <v>0</v>
      </c>
      <c r="II43">
        <f t="shared" si="20"/>
        <v>0</v>
      </c>
      <c r="IJ43">
        <f t="shared" si="21"/>
        <v>0</v>
      </c>
      <c r="IK43">
        <v>55200</v>
      </c>
      <c r="IL43">
        <v>61454</v>
      </c>
      <c r="IM43">
        <v>56232</v>
      </c>
      <c r="IN43">
        <v>73762</v>
      </c>
      <c r="IO43">
        <v>77088</v>
      </c>
      <c r="IP43">
        <v>64320</v>
      </c>
      <c r="IQ43">
        <v>65239</v>
      </c>
      <c r="IR43">
        <v>59183</v>
      </c>
      <c r="IS43">
        <v>55794</v>
      </c>
      <c r="IT43">
        <v>60891</v>
      </c>
      <c r="IU43">
        <v>57441</v>
      </c>
      <c r="IV43">
        <v>62227</v>
      </c>
      <c r="IW43">
        <f t="shared" si="22"/>
        <v>748831</v>
      </c>
      <c r="IX43">
        <v>33535</v>
      </c>
      <c r="IY43">
        <v>36009</v>
      </c>
      <c r="IZ43">
        <v>32247</v>
      </c>
      <c r="JA43">
        <v>47167</v>
      </c>
      <c r="JB43">
        <v>49647</v>
      </c>
      <c r="JC43">
        <v>39088</v>
      </c>
      <c r="JD43">
        <v>38490</v>
      </c>
      <c r="JE43">
        <v>35056</v>
      </c>
      <c r="JF43">
        <v>32299</v>
      </c>
      <c r="JG43">
        <v>36026</v>
      </c>
      <c r="JH43">
        <v>34238</v>
      </c>
      <c r="JI43">
        <v>36827</v>
      </c>
      <c r="JJ43">
        <f t="shared" si="23"/>
        <v>450629</v>
      </c>
      <c r="JK43">
        <v>1552</v>
      </c>
      <c r="JL43">
        <v>1653</v>
      </c>
      <c r="JM43">
        <v>1550</v>
      </c>
      <c r="JN43">
        <v>2215</v>
      </c>
      <c r="JO43">
        <v>2446</v>
      </c>
      <c r="JP43">
        <v>1916</v>
      </c>
      <c r="JQ43">
        <v>2018</v>
      </c>
      <c r="JR43">
        <v>1820</v>
      </c>
      <c r="JS43">
        <v>1833</v>
      </c>
      <c r="JT43">
        <v>1766</v>
      </c>
      <c r="JU43">
        <v>1614</v>
      </c>
      <c r="JV43">
        <v>1844</v>
      </c>
      <c r="JW43">
        <f t="shared" si="24"/>
        <v>22227</v>
      </c>
      <c r="JX43">
        <v>20113</v>
      </c>
      <c r="JY43">
        <v>23792</v>
      </c>
      <c r="JZ43">
        <v>22435</v>
      </c>
      <c r="KA43">
        <v>24380</v>
      </c>
      <c r="KB43">
        <v>24995</v>
      </c>
      <c r="KC43">
        <v>23316</v>
      </c>
      <c r="KD43">
        <v>24731</v>
      </c>
      <c r="KE43">
        <v>22307</v>
      </c>
      <c r="KF43">
        <v>21662</v>
      </c>
      <c r="KG43">
        <v>23099</v>
      </c>
      <c r="KH43">
        <v>21589</v>
      </c>
      <c r="KI43">
        <v>23556</v>
      </c>
      <c r="KJ43">
        <f t="shared" si="25"/>
        <v>275975</v>
      </c>
      <c r="KK43">
        <v>503</v>
      </c>
      <c r="KL43">
        <v>1121</v>
      </c>
      <c r="KM43">
        <v>757</v>
      </c>
      <c r="KN43">
        <v>858</v>
      </c>
      <c r="KO43">
        <v>894</v>
      </c>
      <c r="KP43">
        <v>689</v>
      </c>
      <c r="KQ43">
        <v>935</v>
      </c>
      <c r="KR43">
        <v>713</v>
      </c>
      <c r="KS43">
        <v>819</v>
      </c>
      <c r="KT43">
        <v>759</v>
      </c>
      <c r="KU43">
        <v>841</v>
      </c>
      <c r="KV43">
        <v>783</v>
      </c>
      <c r="KW43">
        <f t="shared" si="26"/>
        <v>9672</v>
      </c>
      <c r="KX43">
        <v>182</v>
      </c>
      <c r="KY43">
        <v>181</v>
      </c>
      <c r="KZ43">
        <v>147</v>
      </c>
      <c r="LA43">
        <v>199</v>
      </c>
      <c r="LB43">
        <v>219</v>
      </c>
      <c r="LC43">
        <v>124</v>
      </c>
      <c r="LD43">
        <v>133</v>
      </c>
      <c r="LE43">
        <v>118</v>
      </c>
      <c r="LF43">
        <v>103</v>
      </c>
      <c r="LG43">
        <v>132</v>
      </c>
      <c r="LH43">
        <v>108</v>
      </c>
      <c r="LI43">
        <v>118</v>
      </c>
      <c r="LJ43">
        <f t="shared" si="27"/>
        <v>1764</v>
      </c>
      <c r="LK43">
        <v>0</v>
      </c>
      <c r="LL43">
        <v>0</v>
      </c>
      <c r="LM43">
        <v>0</v>
      </c>
      <c r="LN43">
        <v>0</v>
      </c>
      <c r="LO43">
        <v>0</v>
      </c>
      <c r="LP43">
        <v>0</v>
      </c>
      <c r="LQ43">
        <v>0</v>
      </c>
      <c r="LR43">
        <v>0</v>
      </c>
      <c r="LS43">
        <v>0</v>
      </c>
      <c r="LT43">
        <v>0</v>
      </c>
      <c r="LU43">
        <v>0</v>
      </c>
      <c r="LV43">
        <v>0</v>
      </c>
      <c r="LW43">
        <f t="shared" si="28"/>
        <v>0</v>
      </c>
      <c r="LX43">
        <v>321</v>
      </c>
      <c r="LY43">
        <v>940</v>
      </c>
      <c r="LZ43">
        <v>610</v>
      </c>
      <c r="MA43">
        <v>659</v>
      </c>
      <c r="MB43">
        <v>675</v>
      </c>
      <c r="MC43">
        <v>565</v>
      </c>
      <c r="MD43">
        <v>802</v>
      </c>
      <c r="ME43">
        <v>595</v>
      </c>
      <c r="MF43">
        <v>716</v>
      </c>
      <c r="MG43">
        <v>627</v>
      </c>
      <c r="MH43">
        <v>733</v>
      </c>
      <c r="MI43">
        <v>665</v>
      </c>
      <c r="MJ43">
        <f t="shared" si="29"/>
        <v>7908</v>
      </c>
      <c r="MK43">
        <v>2001</v>
      </c>
      <c r="ML43">
        <v>1954</v>
      </c>
      <c r="MM43">
        <v>1885</v>
      </c>
      <c r="MN43">
        <v>2091</v>
      </c>
      <c r="MO43">
        <v>2168</v>
      </c>
      <c r="MP43">
        <v>1868</v>
      </c>
      <c r="MQ43">
        <v>2030</v>
      </c>
      <c r="MR43">
        <v>1877</v>
      </c>
      <c r="MS43">
        <v>1978</v>
      </c>
      <c r="MT43">
        <v>2064</v>
      </c>
      <c r="MU43">
        <v>1804</v>
      </c>
      <c r="MV43">
        <v>1963</v>
      </c>
      <c r="MW43">
        <f t="shared" si="30"/>
        <v>23683</v>
      </c>
      <c r="MX43">
        <v>311</v>
      </c>
      <c r="MY43">
        <v>317</v>
      </c>
      <c r="MZ43">
        <v>250</v>
      </c>
      <c r="NA43">
        <v>343</v>
      </c>
      <c r="NB43">
        <v>370</v>
      </c>
      <c r="NC43">
        <v>310</v>
      </c>
      <c r="ND43">
        <v>290</v>
      </c>
      <c r="NE43">
        <v>302</v>
      </c>
      <c r="NF43">
        <v>337</v>
      </c>
      <c r="NG43">
        <v>324</v>
      </c>
      <c r="NH43">
        <v>267</v>
      </c>
      <c r="NI43">
        <v>322</v>
      </c>
      <c r="NJ43">
        <f t="shared" si="31"/>
        <v>3743</v>
      </c>
      <c r="NK43">
        <v>98</v>
      </c>
      <c r="NL43">
        <v>81</v>
      </c>
      <c r="NM43">
        <v>73</v>
      </c>
      <c r="NN43">
        <v>105</v>
      </c>
      <c r="NO43">
        <v>113</v>
      </c>
      <c r="NP43">
        <v>81</v>
      </c>
      <c r="NQ43">
        <v>100</v>
      </c>
      <c r="NR43">
        <v>105</v>
      </c>
      <c r="NS43">
        <v>126</v>
      </c>
      <c r="NT43">
        <v>125</v>
      </c>
      <c r="NU43">
        <v>97</v>
      </c>
      <c r="NV43">
        <v>119</v>
      </c>
      <c r="NW43">
        <f t="shared" si="32"/>
        <v>1223</v>
      </c>
      <c r="NX43">
        <v>1592</v>
      </c>
      <c r="NY43">
        <v>1556</v>
      </c>
      <c r="NZ43">
        <v>1562</v>
      </c>
      <c r="OA43">
        <v>1643</v>
      </c>
      <c r="OB43">
        <v>1685</v>
      </c>
      <c r="OC43">
        <v>1477</v>
      </c>
      <c r="OD43">
        <v>1640</v>
      </c>
      <c r="OE43">
        <v>1470</v>
      </c>
      <c r="OF43">
        <v>1515</v>
      </c>
      <c r="OG43">
        <v>1615</v>
      </c>
      <c r="OH43">
        <v>1440</v>
      </c>
      <c r="OI43">
        <v>1522</v>
      </c>
      <c r="OJ43">
        <f t="shared" si="33"/>
        <v>18717</v>
      </c>
      <c r="OK43">
        <v>4257</v>
      </c>
      <c r="OL43">
        <v>4062</v>
      </c>
      <c r="OM43">
        <v>4022</v>
      </c>
      <c r="ON43">
        <v>4214</v>
      </c>
      <c r="OO43">
        <v>4276</v>
      </c>
      <c r="OP43">
        <v>4096</v>
      </c>
      <c r="OQ43">
        <v>4350</v>
      </c>
      <c r="OR43">
        <v>3897</v>
      </c>
      <c r="OS43">
        <v>3979</v>
      </c>
      <c r="OT43">
        <v>4259</v>
      </c>
      <c r="OU43">
        <v>3941</v>
      </c>
      <c r="OV43">
        <v>4234</v>
      </c>
      <c r="OW43">
        <f t="shared" si="34"/>
        <v>49587</v>
      </c>
      <c r="OX43">
        <v>836</v>
      </c>
      <c r="OY43">
        <v>700</v>
      </c>
      <c r="OZ43">
        <v>698</v>
      </c>
      <c r="PA43">
        <v>745</v>
      </c>
      <c r="PB43">
        <v>728</v>
      </c>
      <c r="PC43">
        <v>671</v>
      </c>
      <c r="PD43">
        <v>768</v>
      </c>
      <c r="PE43">
        <v>703</v>
      </c>
      <c r="PF43">
        <v>633</v>
      </c>
      <c r="PG43">
        <v>641</v>
      </c>
      <c r="PH43">
        <v>661</v>
      </c>
      <c r="PI43">
        <v>739</v>
      </c>
      <c r="PJ43">
        <f t="shared" si="35"/>
        <v>8523</v>
      </c>
      <c r="PK43">
        <v>159</v>
      </c>
      <c r="PL43">
        <v>141</v>
      </c>
      <c r="PM43">
        <v>151</v>
      </c>
      <c r="PN43">
        <v>156</v>
      </c>
      <c r="PO43">
        <v>155</v>
      </c>
      <c r="PP43">
        <v>143</v>
      </c>
      <c r="PQ43">
        <v>144</v>
      </c>
      <c r="PR43">
        <v>137</v>
      </c>
      <c r="PS43">
        <v>128</v>
      </c>
      <c r="PT43">
        <v>135</v>
      </c>
      <c r="PU43">
        <v>130</v>
      </c>
      <c r="PV43">
        <v>146</v>
      </c>
      <c r="PW43">
        <f t="shared" si="36"/>
        <v>1725</v>
      </c>
      <c r="PX43">
        <v>3262</v>
      </c>
      <c r="PY43">
        <v>3221</v>
      </c>
      <c r="PZ43">
        <v>3173</v>
      </c>
      <c r="QA43">
        <v>3313</v>
      </c>
      <c r="QB43">
        <v>3393</v>
      </c>
      <c r="QC43">
        <v>3282</v>
      </c>
      <c r="QD43">
        <v>3438</v>
      </c>
      <c r="QE43">
        <v>3057</v>
      </c>
      <c r="QF43">
        <v>3218</v>
      </c>
      <c r="QG43">
        <v>3483</v>
      </c>
      <c r="QH43">
        <v>3150</v>
      </c>
      <c r="QI43">
        <v>3349</v>
      </c>
      <c r="QJ43">
        <f t="shared" si="37"/>
        <v>39339</v>
      </c>
      <c r="QK43">
        <v>61493</v>
      </c>
      <c r="QL43">
        <v>68118</v>
      </c>
      <c r="QM43">
        <v>65234</v>
      </c>
      <c r="QN43">
        <v>74470</v>
      </c>
      <c r="QO43">
        <v>68216</v>
      </c>
      <c r="QP43">
        <v>74395</v>
      </c>
      <c r="QQ43">
        <v>72415</v>
      </c>
      <c r="QR43">
        <v>66006</v>
      </c>
      <c r="QS43">
        <v>60870</v>
      </c>
      <c r="QT43">
        <v>72040</v>
      </c>
      <c r="QU43">
        <v>71459</v>
      </c>
      <c r="QV43">
        <v>74872</v>
      </c>
      <c r="QW43">
        <f t="shared" si="38"/>
        <v>829588</v>
      </c>
      <c r="QX43">
        <v>18940</v>
      </c>
      <c r="QY43">
        <v>21247</v>
      </c>
      <c r="QZ43">
        <v>20352</v>
      </c>
      <c r="RA43">
        <v>19384</v>
      </c>
      <c r="RB43">
        <v>18842</v>
      </c>
      <c r="RC43">
        <v>19575</v>
      </c>
      <c r="RD43">
        <v>20549</v>
      </c>
      <c r="RE43">
        <v>18967</v>
      </c>
      <c r="RF43">
        <v>16399</v>
      </c>
      <c r="RG43">
        <v>18545</v>
      </c>
      <c r="RH43">
        <v>18479</v>
      </c>
      <c r="RI43">
        <v>19869</v>
      </c>
      <c r="RJ43">
        <f t="shared" si="39"/>
        <v>231148</v>
      </c>
      <c r="RK43">
        <v>0</v>
      </c>
      <c r="RL43">
        <v>0</v>
      </c>
      <c r="RM43">
        <v>0</v>
      </c>
      <c r="RN43">
        <v>0</v>
      </c>
      <c r="RO43">
        <v>0</v>
      </c>
      <c r="RP43">
        <v>0</v>
      </c>
      <c r="RQ43">
        <v>0</v>
      </c>
      <c r="RR43">
        <v>0</v>
      </c>
      <c r="RS43">
        <v>0</v>
      </c>
      <c r="RT43">
        <v>0</v>
      </c>
      <c r="RU43">
        <v>0</v>
      </c>
      <c r="RV43">
        <v>0</v>
      </c>
      <c r="RW43">
        <f t="shared" si="40"/>
        <v>0</v>
      </c>
      <c r="RX43">
        <v>412</v>
      </c>
      <c r="RY43">
        <v>764</v>
      </c>
      <c r="RZ43">
        <v>1072</v>
      </c>
      <c r="SA43">
        <v>860</v>
      </c>
      <c r="SB43">
        <v>221</v>
      </c>
      <c r="SC43">
        <v>961</v>
      </c>
      <c r="SD43">
        <v>882</v>
      </c>
      <c r="SE43">
        <v>1009</v>
      </c>
      <c r="SF43">
        <v>744</v>
      </c>
      <c r="SG43">
        <v>918</v>
      </c>
      <c r="SH43">
        <v>755</v>
      </c>
      <c r="SI43">
        <v>1047</v>
      </c>
      <c r="SJ43">
        <f t="shared" si="41"/>
        <v>9645</v>
      </c>
      <c r="SK43">
        <v>0</v>
      </c>
      <c r="SL43">
        <v>102</v>
      </c>
      <c r="SM43">
        <v>114</v>
      </c>
      <c r="SN43">
        <v>104</v>
      </c>
      <c r="SO43">
        <v>99</v>
      </c>
      <c r="SP43">
        <v>97</v>
      </c>
      <c r="SQ43">
        <v>112</v>
      </c>
      <c r="SR43">
        <v>115</v>
      </c>
      <c r="SS43">
        <v>101</v>
      </c>
      <c r="ST43">
        <v>102</v>
      </c>
      <c r="SU43">
        <v>11</v>
      </c>
      <c r="SV43">
        <v>80</v>
      </c>
      <c r="SW43">
        <f t="shared" si="42"/>
        <v>1037</v>
      </c>
      <c r="SX43">
        <v>0</v>
      </c>
      <c r="SY43">
        <v>6664</v>
      </c>
      <c r="SZ43">
        <v>7641</v>
      </c>
      <c r="TA43">
        <v>6830</v>
      </c>
      <c r="TB43">
        <v>7641</v>
      </c>
      <c r="TC43">
        <v>7551</v>
      </c>
      <c r="TD43">
        <v>7905</v>
      </c>
      <c r="TE43">
        <v>7920</v>
      </c>
      <c r="TF43">
        <v>7165</v>
      </c>
      <c r="TG43">
        <v>6561</v>
      </c>
      <c r="TH43">
        <v>7350</v>
      </c>
      <c r="TI43">
        <v>7463</v>
      </c>
      <c r="TJ43">
        <v>8169</v>
      </c>
      <c r="TK43">
        <f t="shared" si="43"/>
        <v>88860</v>
      </c>
      <c r="TL43">
        <v>0</v>
      </c>
      <c r="TM43">
        <v>0</v>
      </c>
      <c r="TN43">
        <v>0</v>
      </c>
      <c r="TO43">
        <v>0</v>
      </c>
      <c r="TP43">
        <v>0</v>
      </c>
      <c r="TQ43">
        <v>0</v>
      </c>
      <c r="TR43">
        <v>0</v>
      </c>
      <c r="TS43">
        <v>0</v>
      </c>
      <c r="TT43">
        <v>0</v>
      </c>
      <c r="TU43">
        <v>0</v>
      </c>
      <c r="TV43">
        <v>0</v>
      </c>
      <c r="TW43">
        <v>0</v>
      </c>
      <c r="TX43">
        <f t="shared" si="44"/>
        <v>0</v>
      </c>
      <c r="TY43">
        <v>160</v>
      </c>
      <c r="TZ43">
        <v>0</v>
      </c>
      <c r="UA43">
        <v>0</v>
      </c>
      <c r="UB43">
        <v>0</v>
      </c>
    </row>
    <row r="44" spans="1:548" ht="16.5" customHeight="1" x14ac:dyDescent="0.35">
      <c r="A44" t="s">
        <v>1530</v>
      </c>
      <c r="B44" t="s">
        <v>2864</v>
      </c>
      <c r="C44">
        <v>10524</v>
      </c>
      <c r="D44">
        <v>2858</v>
      </c>
      <c r="E44">
        <v>0</v>
      </c>
      <c r="F44">
        <v>7666</v>
      </c>
      <c r="G44">
        <v>100183</v>
      </c>
      <c r="H44">
        <v>211</v>
      </c>
      <c r="I44">
        <v>226</v>
      </c>
      <c r="J44">
        <v>253</v>
      </c>
      <c r="K44">
        <v>234</v>
      </c>
      <c r="L44">
        <v>248</v>
      </c>
      <c r="M44">
        <v>300</v>
      </c>
      <c r="N44">
        <v>275</v>
      </c>
      <c r="O44">
        <v>191</v>
      </c>
      <c r="P44">
        <v>255</v>
      </c>
      <c r="Q44">
        <v>250</v>
      </c>
      <c r="R44">
        <v>263</v>
      </c>
      <c r="S44">
        <f t="shared" si="0"/>
        <v>102889</v>
      </c>
      <c r="T44">
        <v>74</v>
      </c>
      <c r="U44">
        <v>87</v>
      </c>
      <c r="V44">
        <v>90</v>
      </c>
      <c r="W44">
        <v>99</v>
      </c>
      <c r="X44">
        <v>100</v>
      </c>
      <c r="Y44">
        <v>107</v>
      </c>
      <c r="Z44">
        <v>129</v>
      </c>
      <c r="AA44">
        <v>131</v>
      </c>
      <c r="AB44">
        <v>88</v>
      </c>
      <c r="AC44">
        <v>114</v>
      </c>
      <c r="AD44">
        <v>112</v>
      </c>
      <c r="AE44">
        <v>112</v>
      </c>
      <c r="AF44">
        <f t="shared" si="1"/>
        <v>1243</v>
      </c>
      <c r="AG44">
        <v>0</v>
      </c>
      <c r="AH44">
        <v>0</v>
      </c>
      <c r="AI44">
        <v>0</v>
      </c>
      <c r="AJ44">
        <v>0</v>
      </c>
      <c r="AK44">
        <v>0</v>
      </c>
      <c r="AL44">
        <v>0</v>
      </c>
      <c r="AM44">
        <v>0</v>
      </c>
      <c r="AN44">
        <v>0</v>
      </c>
      <c r="AO44">
        <v>0</v>
      </c>
      <c r="AP44">
        <v>0</v>
      </c>
      <c r="AQ44">
        <v>0</v>
      </c>
      <c r="AR44">
        <v>0</v>
      </c>
      <c r="AS44">
        <f t="shared" si="2"/>
        <v>0</v>
      </c>
      <c r="AT44">
        <v>109</v>
      </c>
      <c r="AU44">
        <v>124</v>
      </c>
      <c r="AV44">
        <v>136</v>
      </c>
      <c r="AW44">
        <v>154</v>
      </c>
      <c r="AX44">
        <v>134</v>
      </c>
      <c r="AY44">
        <v>141</v>
      </c>
      <c r="AZ44">
        <v>171</v>
      </c>
      <c r="BA44">
        <v>144</v>
      </c>
      <c r="BB44">
        <v>103</v>
      </c>
      <c r="BC44">
        <v>141</v>
      </c>
      <c r="BD44">
        <v>138</v>
      </c>
      <c r="BE44">
        <v>151</v>
      </c>
      <c r="BF44">
        <f t="shared" si="3"/>
        <v>1646</v>
      </c>
      <c r="BG44">
        <v>0</v>
      </c>
      <c r="BH44">
        <v>0</v>
      </c>
      <c r="BI44">
        <v>0</v>
      </c>
      <c r="BJ44">
        <v>0</v>
      </c>
      <c r="BK44">
        <v>0</v>
      </c>
      <c r="BL44">
        <v>0</v>
      </c>
      <c r="BM44">
        <v>0</v>
      </c>
      <c r="BN44">
        <v>0</v>
      </c>
      <c r="BO44">
        <v>0</v>
      </c>
      <c r="BP44">
        <v>0</v>
      </c>
      <c r="BQ44">
        <v>0</v>
      </c>
      <c r="BR44">
        <v>0</v>
      </c>
      <c r="BS44">
        <f t="shared" si="4"/>
        <v>0</v>
      </c>
      <c r="BT44">
        <v>0</v>
      </c>
      <c r="BU44">
        <v>0</v>
      </c>
      <c r="BV44">
        <v>0</v>
      </c>
      <c r="BW44">
        <v>0</v>
      </c>
      <c r="BX44">
        <v>0</v>
      </c>
      <c r="BY44">
        <v>0</v>
      </c>
      <c r="BZ44">
        <v>0</v>
      </c>
      <c r="CA44">
        <v>0</v>
      </c>
      <c r="CB44">
        <v>0</v>
      </c>
      <c r="CC44">
        <v>0</v>
      </c>
      <c r="CD44">
        <v>0</v>
      </c>
      <c r="CE44">
        <v>0</v>
      </c>
      <c r="CF44">
        <f t="shared" si="5"/>
        <v>0</v>
      </c>
      <c r="CG44">
        <v>0</v>
      </c>
      <c r="CH44">
        <v>0</v>
      </c>
      <c r="CI44">
        <v>0</v>
      </c>
      <c r="CJ44">
        <v>0</v>
      </c>
      <c r="CK44">
        <v>0</v>
      </c>
      <c r="CL44">
        <v>0</v>
      </c>
      <c r="CM44">
        <v>0</v>
      </c>
      <c r="CN44">
        <v>0</v>
      </c>
      <c r="CO44">
        <v>0</v>
      </c>
      <c r="CP44">
        <v>0</v>
      </c>
      <c r="CQ44">
        <v>0</v>
      </c>
      <c r="CR44">
        <v>0</v>
      </c>
      <c r="CS44">
        <f t="shared" si="6"/>
        <v>0</v>
      </c>
      <c r="CT44">
        <v>0</v>
      </c>
      <c r="CU44">
        <v>0</v>
      </c>
      <c r="CV44">
        <v>0</v>
      </c>
      <c r="CW44">
        <v>0</v>
      </c>
      <c r="CX44">
        <v>0</v>
      </c>
      <c r="CY44">
        <v>0</v>
      </c>
      <c r="CZ44">
        <v>0</v>
      </c>
      <c r="DA44">
        <v>0</v>
      </c>
      <c r="DB44">
        <v>0</v>
      </c>
      <c r="DC44">
        <v>0</v>
      </c>
      <c r="DD44">
        <v>0</v>
      </c>
      <c r="DE44">
        <v>0</v>
      </c>
      <c r="DF44">
        <f t="shared" si="7"/>
        <v>0</v>
      </c>
      <c r="DG44">
        <v>0</v>
      </c>
      <c r="DH44">
        <v>0</v>
      </c>
      <c r="DI44">
        <v>0</v>
      </c>
      <c r="DJ44">
        <v>0</v>
      </c>
      <c r="DK44">
        <v>0</v>
      </c>
      <c r="DL44">
        <v>0</v>
      </c>
      <c r="DM44">
        <v>0</v>
      </c>
      <c r="DN44">
        <v>0</v>
      </c>
      <c r="DO44">
        <v>0</v>
      </c>
      <c r="DP44">
        <v>0</v>
      </c>
      <c r="DQ44">
        <v>0</v>
      </c>
      <c r="DR44">
        <v>0</v>
      </c>
      <c r="DS44">
        <f t="shared" si="8"/>
        <v>0</v>
      </c>
      <c r="DT44">
        <v>0</v>
      </c>
      <c r="DU44">
        <v>0</v>
      </c>
      <c r="DV44">
        <v>0</v>
      </c>
      <c r="DW44">
        <v>0</v>
      </c>
      <c r="DX44">
        <v>0</v>
      </c>
      <c r="DY44">
        <v>0</v>
      </c>
      <c r="DZ44">
        <v>0</v>
      </c>
      <c r="EA44">
        <v>0</v>
      </c>
      <c r="EB44">
        <v>0</v>
      </c>
      <c r="EC44">
        <v>0</v>
      </c>
      <c r="ED44">
        <v>0</v>
      </c>
      <c r="EE44">
        <v>0</v>
      </c>
      <c r="EF44">
        <f t="shared" si="9"/>
        <v>0</v>
      </c>
      <c r="EG44">
        <f t="shared" si="10"/>
        <v>2889</v>
      </c>
      <c r="EH44">
        <f t="shared" si="11"/>
        <v>0</v>
      </c>
      <c r="EI44">
        <v>1973</v>
      </c>
      <c r="EJ44">
        <v>2001</v>
      </c>
      <c r="EK44">
        <v>2138</v>
      </c>
      <c r="EL44">
        <v>2375</v>
      </c>
      <c r="EM44">
        <v>2457</v>
      </c>
      <c r="EN44">
        <v>2937</v>
      </c>
      <c r="EO44">
        <v>2885</v>
      </c>
      <c r="EP44">
        <v>3373</v>
      </c>
      <c r="EQ44">
        <v>2006</v>
      </c>
      <c r="ER44">
        <v>2326</v>
      </c>
      <c r="ES44">
        <v>2933</v>
      </c>
      <c r="ET44">
        <v>2627</v>
      </c>
      <c r="EU44">
        <f t="shared" si="12"/>
        <v>30031</v>
      </c>
      <c r="EV44">
        <v>975</v>
      </c>
      <c r="EW44">
        <v>1023</v>
      </c>
      <c r="EX44">
        <v>897</v>
      </c>
      <c r="EY44">
        <v>1203</v>
      </c>
      <c r="EZ44">
        <v>1611</v>
      </c>
      <c r="FA44">
        <v>1238</v>
      </c>
      <c r="FB44">
        <v>1582</v>
      </c>
      <c r="FC44">
        <v>1869</v>
      </c>
      <c r="FD44">
        <v>965</v>
      </c>
      <c r="FE44">
        <v>1310</v>
      </c>
      <c r="FF44">
        <v>1667</v>
      </c>
      <c r="FG44">
        <v>1368</v>
      </c>
      <c r="FH44">
        <f t="shared" si="13"/>
        <v>15708</v>
      </c>
      <c r="FI44">
        <v>0</v>
      </c>
      <c r="FJ44">
        <v>0</v>
      </c>
      <c r="FK44">
        <v>0</v>
      </c>
      <c r="FL44">
        <v>0</v>
      </c>
      <c r="FM44">
        <v>0</v>
      </c>
      <c r="FN44">
        <v>0</v>
      </c>
      <c r="FO44">
        <v>0</v>
      </c>
      <c r="FP44">
        <v>0</v>
      </c>
      <c r="FQ44">
        <v>0</v>
      </c>
      <c r="FR44">
        <v>0</v>
      </c>
      <c r="FS44">
        <v>0</v>
      </c>
      <c r="FT44">
        <v>0</v>
      </c>
      <c r="FU44">
        <f t="shared" si="14"/>
        <v>0</v>
      </c>
      <c r="FV44">
        <v>998</v>
      </c>
      <c r="FW44">
        <v>978</v>
      </c>
      <c r="FX44">
        <v>1241</v>
      </c>
      <c r="FY44">
        <v>1172</v>
      </c>
      <c r="FZ44">
        <v>846</v>
      </c>
      <c r="GA44">
        <v>1699</v>
      </c>
      <c r="GB44">
        <v>1303</v>
      </c>
      <c r="GC44">
        <v>1504</v>
      </c>
      <c r="GD44">
        <v>1041</v>
      </c>
      <c r="GE44">
        <v>1016</v>
      </c>
      <c r="GF44">
        <v>1266</v>
      </c>
      <c r="GG44">
        <v>1259</v>
      </c>
      <c r="GH44">
        <f t="shared" si="15"/>
        <v>14323</v>
      </c>
      <c r="GI44">
        <v>0</v>
      </c>
      <c r="GJ44">
        <v>0</v>
      </c>
      <c r="GK44">
        <v>0</v>
      </c>
      <c r="GL44">
        <v>0</v>
      </c>
      <c r="GM44">
        <v>0</v>
      </c>
      <c r="GN44">
        <v>0</v>
      </c>
      <c r="GO44">
        <v>0</v>
      </c>
      <c r="GP44">
        <v>0</v>
      </c>
      <c r="GQ44">
        <v>0</v>
      </c>
      <c r="GR44">
        <v>0</v>
      </c>
      <c r="GS44">
        <v>0</v>
      </c>
      <c r="GT44">
        <v>0</v>
      </c>
      <c r="GU44">
        <f t="shared" si="16"/>
        <v>0</v>
      </c>
      <c r="GV44">
        <v>0</v>
      </c>
      <c r="GW44">
        <v>0</v>
      </c>
      <c r="GX44">
        <v>0</v>
      </c>
      <c r="GY44">
        <v>0</v>
      </c>
      <c r="GZ44">
        <v>0</v>
      </c>
      <c r="HA44">
        <v>0</v>
      </c>
      <c r="HB44">
        <v>0</v>
      </c>
      <c r="HC44">
        <v>0</v>
      </c>
      <c r="HD44">
        <v>0</v>
      </c>
      <c r="HE44">
        <v>0</v>
      </c>
      <c r="HF44">
        <v>0</v>
      </c>
      <c r="HG44">
        <v>0</v>
      </c>
      <c r="HH44">
        <f t="shared" si="17"/>
        <v>0</v>
      </c>
      <c r="HI44">
        <v>0</v>
      </c>
      <c r="HJ44">
        <v>0</v>
      </c>
      <c r="HK44">
        <v>0</v>
      </c>
      <c r="HL44">
        <v>0</v>
      </c>
      <c r="HM44">
        <v>0</v>
      </c>
      <c r="HN44">
        <v>0</v>
      </c>
      <c r="HO44">
        <v>0</v>
      </c>
      <c r="HP44">
        <v>0</v>
      </c>
      <c r="HQ44">
        <v>0</v>
      </c>
      <c r="HR44">
        <v>0</v>
      </c>
      <c r="HS44">
        <v>0</v>
      </c>
      <c r="HT44">
        <v>0</v>
      </c>
      <c r="HU44">
        <f t="shared" si="18"/>
        <v>0</v>
      </c>
      <c r="HV44">
        <v>0</v>
      </c>
      <c r="HW44">
        <v>0</v>
      </c>
      <c r="HX44">
        <v>0</v>
      </c>
      <c r="HY44">
        <v>0</v>
      </c>
      <c r="HZ44">
        <v>0</v>
      </c>
      <c r="IA44">
        <v>0</v>
      </c>
      <c r="IB44">
        <v>0</v>
      </c>
      <c r="IC44">
        <v>0</v>
      </c>
      <c r="ID44">
        <v>0</v>
      </c>
      <c r="IE44">
        <v>0</v>
      </c>
      <c r="IF44">
        <v>0</v>
      </c>
      <c r="IG44">
        <v>0</v>
      </c>
      <c r="IH44">
        <f t="shared" si="19"/>
        <v>0</v>
      </c>
      <c r="II44">
        <f t="shared" si="20"/>
        <v>30031</v>
      </c>
      <c r="IJ44">
        <f t="shared" si="21"/>
        <v>0</v>
      </c>
      <c r="IK44">
        <v>22558</v>
      </c>
      <c r="IL44">
        <v>24227</v>
      </c>
      <c r="IM44">
        <v>22895</v>
      </c>
      <c r="IN44">
        <v>27249</v>
      </c>
      <c r="IO44">
        <v>29708</v>
      </c>
      <c r="IP44">
        <v>25855</v>
      </c>
      <c r="IQ44">
        <v>26521</v>
      </c>
      <c r="IR44">
        <v>23326</v>
      </c>
      <c r="IS44">
        <v>17915</v>
      </c>
      <c r="IT44">
        <v>24460</v>
      </c>
      <c r="IU44">
        <v>22340</v>
      </c>
      <c r="IV44">
        <v>24367</v>
      </c>
      <c r="IW44">
        <f t="shared" si="22"/>
        <v>291421</v>
      </c>
      <c r="IX44">
        <v>5376</v>
      </c>
      <c r="IY44">
        <v>6268</v>
      </c>
      <c r="IZ44">
        <v>5771</v>
      </c>
      <c r="JA44">
        <v>8737</v>
      </c>
      <c r="JB44">
        <v>11334</v>
      </c>
      <c r="JC44">
        <v>7474</v>
      </c>
      <c r="JD44">
        <v>6900</v>
      </c>
      <c r="JE44">
        <v>6886</v>
      </c>
      <c r="JF44">
        <v>3969</v>
      </c>
      <c r="JG44">
        <v>6415</v>
      </c>
      <c r="JH44">
        <v>6269</v>
      </c>
      <c r="JI44">
        <v>6633</v>
      </c>
      <c r="JJ44">
        <f t="shared" si="23"/>
        <v>82032</v>
      </c>
      <c r="JK44">
        <v>285</v>
      </c>
      <c r="JL44">
        <v>317</v>
      </c>
      <c r="JM44">
        <v>278</v>
      </c>
      <c r="JN44">
        <v>319</v>
      </c>
      <c r="JO44">
        <v>343</v>
      </c>
      <c r="JP44">
        <v>175</v>
      </c>
      <c r="JQ44">
        <v>301</v>
      </c>
      <c r="JR44">
        <v>219</v>
      </c>
      <c r="JS44">
        <v>196</v>
      </c>
      <c r="JT44">
        <v>299</v>
      </c>
      <c r="JU44">
        <v>254</v>
      </c>
      <c r="JV44">
        <v>280</v>
      </c>
      <c r="JW44">
        <f t="shared" si="24"/>
        <v>3266</v>
      </c>
      <c r="JX44">
        <v>16897</v>
      </c>
      <c r="JY44">
        <v>17642</v>
      </c>
      <c r="JZ44">
        <v>16846</v>
      </c>
      <c r="KA44">
        <v>18193</v>
      </c>
      <c r="KB44">
        <v>18031</v>
      </c>
      <c r="KC44">
        <v>18206</v>
      </c>
      <c r="KD44">
        <v>19320</v>
      </c>
      <c r="KE44">
        <v>16221</v>
      </c>
      <c r="KF44">
        <v>13750</v>
      </c>
      <c r="KG44">
        <v>17746</v>
      </c>
      <c r="KH44">
        <v>15817</v>
      </c>
      <c r="KI44">
        <v>17454</v>
      </c>
      <c r="KJ44">
        <f t="shared" si="25"/>
        <v>206123</v>
      </c>
      <c r="KK44">
        <v>430</v>
      </c>
      <c r="KL44">
        <v>572</v>
      </c>
      <c r="KM44">
        <v>432</v>
      </c>
      <c r="KN44">
        <v>572</v>
      </c>
      <c r="KO44">
        <v>475</v>
      </c>
      <c r="KP44">
        <v>411</v>
      </c>
      <c r="KQ44">
        <v>466</v>
      </c>
      <c r="KR44">
        <v>362</v>
      </c>
      <c r="KS44">
        <v>293</v>
      </c>
      <c r="KT44">
        <v>466</v>
      </c>
      <c r="KU44">
        <v>423</v>
      </c>
      <c r="KV44">
        <v>334</v>
      </c>
      <c r="KW44">
        <f t="shared" si="26"/>
        <v>5236</v>
      </c>
      <c r="KX44">
        <v>17</v>
      </c>
      <c r="KY44">
        <v>44</v>
      </c>
      <c r="KZ44">
        <v>13</v>
      </c>
      <c r="LA44">
        <v>27</v>
      </c>
      <c r="LB44">
        <v>37</v>
      </c>
      <c r="LC44">
        <v>26</v>
      </c>
      <c r="LD44">
        <v>23</v>
      </c>
      <c r="LE44">
        <v>17</v>
      </c>
      <c r="LF44">
        <v>11</v>
      </c>
      <c r="LG44">
        <v>23</v>
      </c>
      <c r="LH44">
        <v>19</v>
      </c>
      <c r="LI44">
        <v>11</v>
      </c>
      <c r="LJ44">
        <f t="shared" si="27"/>
        <v>268</v>
      </c>
      <c r="LK44">
        <v>1</v>
      </c>
      <c r="LL44">
        <v>0</v>
      </c>
      <c r="LM44">
        <v>0</v>
      </c>
      <c r="LN44">
        <v>0</v>
      </c>
      <c r="LO44">
        <v>0</v>
      </c>
      <c r="LP44">
        <v>0</v>
      </c>
      <c r="LQ44">
        <v>0</v>
      </c>
      <c r="LR44">
        <v>0</v>
      </c>
      <c r="LS44">
        <v>0</v>
      </c>
      <c r="LT44">
        <v>0</v>
      </c>
      <c r="LU44">
        <v>1</v>
      </c>
      <c r="LV44">
        <v>0</v>
      </c>
      <c r="LW44">
        <f t="shared" si="28"/>
        <v>2</v>
      </c>
      <c r="LX44">
        <v>412</v>
      </c>
      <c r="LY44">
        <v>528</v>
      </c>
      <c r="LZ44">
        <v>419</v>
      </c>
      <c r="MA44">
        <v>545</v>
      </c>
      <c r="MB44">
        <v>438</v>
      </c>
      <c r="MC44">
        <v>385</v>
      </c>
      <c r="MD44">
        <v>443</v>
      </c>
      <c r="ME44">
        <v>345</v>
      </c>
      <c r="MF44">
        <v>282</v>
      </c>
      <c r="MG44">
        <v>443</v>
      </c>
      <c r="MH44">
        <v>403</v>
      </c>
      <c r="MI44">
        <v>323</v>
      </c>
      <c r="MJ44">
        <f t="shared" si="29"/>
        <v>4966</v>
      </c>
      <c r="MK44">
        <v>1163</v>
      </c>
      <c r="ML44">
        <v>1280</v>
      </c>
      <c r="MM44">
        <v>1149</v>
      </c>
      <c r="MN44">
        <v>1269</v>
      </c>
      <c r="MO44">
        <v>1214</v>
      </c>
      <c r="MP44">
        <v>3064</v>
      </c>
      <c r="MQ44">
        <v>1308</v>
      </c>
      <c r="MR44">
        <v>1261</v>
      </c>
      <c r="MS44">
        <v>1244</v>
      </c>
      <c r="MT44">
        <v>1338</v>
      </c>
      <c r="MU44">
        <v>1204</v>
      </c>
      <c r="MV44">
        <v>1257</v>
      </c>
      <c r="MW44">
        <f t="shared" si="30"/>
        <v>16751</v>
      </c>
      <c r="MX44">
        <v>0</v>
      </c>
      <c r="MY44">
        <v>0</v>
      </c>
      <c r="MZ44">
        <v>0</v>
      </c>
      <c r="NA44">
        <v>0</v>
      </c>
      <c r="NB44">
        <v>0</v>
      </c>
      <c r="NC44">
        <v>0</v>
      </c>
      <c r="ND44">
        <v>0</v>
      </c>
      <c r="NE44">
        <v>0</v>
      </c>
      <c r="NF44">
        <v>0</v>
      </c>
      <c r="NG44">
        <v>0</v>
      </c>
      <c r="NH44">
        <v>0</v>
      </c>
      <c r="NI44">
        <v>0</v>
      </c>
      <c r="NJ44">
        <f t="shared" si="31"/>
        <v>0</v>
      </c>
      <c r="NK44">
        <v>0</v>
      </c>
      <c r="NL44">
        <v>0</v>
      </c>
      <c r="NM44">
        <v>0</v>
      </c>
      <c r="NN44">
        <v>0</v>
      </c>
      <c r="NO44">
        <v>0</v>
      </c>
      <c r="NP44">
        <v>0</v>
      </c>
      <c r="NQ44">
        <v>0</v>
      </c>
      <c r="NR44">
        <v>0</v>
      </c>
      <c r="NS44">
        <v>0</v>
      </c>
      <c r="NT44">
        <v>0</v>
      </c>
      <c r="NU44">
        <v>0</v>
      </c>
      <c r="NV44">
        <v>0</v>
      </c>
      <c r="NW44">
        <f t="shared" si="32"/>
        <v>0</v>
      </c>
      <c r="NX44">
        <v>0</v>
      </c>
      <c r="NY44">
        <v>0</v>
      </c>
      <c r="NZ44">
        <v>0</v>
      </c>
      <c r="OA44">
        <v>0</v>
      </c>
      <c r="OB44">
        <v>0</v>
      </c>
      <c r="OC44">
        <v>0</v>
      </c>
      <c r="OD44">
        <v>0</v>
      </c>
      <c r="OE44">
        <v>0</v>
      </c>
      <c r="OF44">
        <v>0</v>
      </c>
      <c r="OG44">
        <v>0</v>
      </c>
      <c r="OH44">
        <v>0</v>
      </c>
      <c r="OI44">
        <v>0</v>
      </c>
      <c r="OJ44">
        <f t="shared" si="33"/>
        <v>0</v>
      </c>
      <c r="OK44">
        <v>2646</v>
      </c>
      <c r="OL44">
        <v>2727</v>
      </c>
      <c r="OM44">
        <v>2627</v>
      </c>
      <c r="ON44">
        <v>2675</v>
      </c>
      <c r="OO44">
        <v>2667</v>
      </c>
      <c r="OP44">
        <v>2655</v>
      </c>
      <c r="OQ44">
        <v>2928</v>
      </c>
      <c r="OR44">
        <v>2844</v>
      </c>
      <c r="OS44">
        <v>2757</v>
      </c>
      <c r="OT44">
        <v>3037</v>
      </c>
      <c r="OU44">
        <v>2799</v>
      </c>
      <c r="OV44">
        <v>3240</v>
      </c>
      <c r="OW44">
        <f t="shared" si="34"/>
        <v>33602</v>
      </c>
      <c r="OX44">
        <v>0</v>
      </c>
      <c r="OY44">
        <v>0</v>
      </c>
      <c r="OZ44">
        <v>0</v>
      </c>
      <c r="PA44">
        <v>0</v>
      </c>
      <c r="PB44">
        <v>0</v>
      </c>
      <c r="PC44">
        <v>0</v>
      </c>
      <c r="PD44">
        <v>0</v>
      </c>
      <c r="PE44">
        <v>0</v>
      </c>
      <c r="PF44">
        <v>0</v>
      </c>
      <c r="PG44">
        <v>0</v>
      </c>
      <c r="PH44">
        <v>0</v>
      </c>
      <c r="PI44">
        <v>0</v>
      </c>
      <c r="PJ44">
        <f t="shared" si="35"/>
        <v>0</v>
      </c>
      <c r="PK44">
        <v>0</v>
      </c>
      <c r="PL44">
        <v>0</v>
      </c>
      <c r="PM44">
        <v>0</v>
      </c>
      <c r="PN44">
        <v>0</v>
      </c>
      <c r="PO44">
        <v>0</v>
      </c>
      <c r="PP44">
        <v>0</v>
      </c>
      <c r="PQ44">
        <v>0</v>
      </c>
      <c r="PR44">
        <v>0</v>
      </c>
      <c r="PS44">
        <v>0</v>
      </c>
      <c r="PT44">
        <v>0</v>
      </c>
      <c r="PU44">
        <v>0</v>
      </c>
      <c r="PV44">
        <v>0</v>
      </c>
      <c r="PW44">
        <f t="shared" si="36"/>
        <v>0</v>
      </c>
      <c r="PX44">
        <v>0</v>
      </c>
      <c r="PY44">
        <v>0</v>
      </c>
      <c r="PZ44">
        <v>0</v>
      </c>
      <c r="QA44">
        <v>0</v>
      </c>
      <c r="QB44">
        <v>0</v>
      </c>
      <c r="QC44">
        <v>0</v>
      </c>
      <c r="QD44">
        <v>0</v>
      </c>
      <c r="QE44">
        <v>0</v>
      </c>
      <c r="QF44">
        <v>0</v>
      </c>
      <c r="QG44">
        <v>0</v>
      </c>
      <c r="QH44">
        <v>0</v>
      </c>
      <c r="QI44">
        <v>0</v>
      </c>
      <c r="QJ44">
        <f t="shared" si="37"/>
        <v>0</v>
      </c>
      <c r="QK44">
        <v>16080</v>
      </c>
      <c r="QL44">
        <v>17843</v>
      </c>
      <c r="QM44">
        <v>16447</v>
      </c>
      <c r="QN44">
        <v>17643</v>
      </c>
      <c r="QO44">
        <v>19652</v>
      </c>
      <c r="QP44">
        <v>18799</v>
      </c>
      <c r="QQ44">
        <v>19327</v>
      </c>
      <c r="QR44">
        <v>17710</v>
      </c>
      <c r="QS44">
        <v>13590</v>
      </c>
      <c r="QT44">
        <v>16692</v>
      </c>
      <c r="QU44">
        <v>17936</v>
      </c>
      <c r="QV44">
        <v>18628</v>
      </c>
      <c r="QW44">
        <f t="shared" si="38"/>
        <v>210347</v>
      </c>
      <c r="QX44">
        <v>16930</v>
      </c>
      <c r="QY44">
        <v>17540</v>
      </c>
      <c r="QZ44">
        <v>18831</v>
      </c>
      <c r="RA44">
        <v>18478</v>
      </c>
      <c r="RB44">
        <v>18874</v>
      </c>
      <c r="RC44">
        <v>18712</v>
      </c>
      <c r="RD44">
        <v>17344</v>
      </c>
      <c r="RE44">
        <v>17544</v>
      </c>
      <c r="RF44">
        <v>15904</v>
      </c>
      <c r="RG44">
        <v>18526</v>
      </c>
      <c r="RH44">
        <v>17369</v>
      </c>
      <c r="RI44">
        <v>18654</v>
      </c>
      <c r="RJ44">
        <f t="shared" si="39"/>
        <v>214706</v>
      </c>
      <c r="RK44">
        <v>0</v>
      </c>
      <c r="RL44">
        <v>0</v>
      </c>
      <c r="RM44">
        <v>0</v>
      </c>
      <c r="RN44">
        <v>0</v>
      </c>
      <c r="RO44">
        <v>0</v>
      </c>
      <c r="RP44">
        <v>0</v>
      </c>
      <c r="RQ44">
        <v>0</v>
      </c>
      <c r="RR44">
        <v>0</v>
      </c>
      <c r="RS44">
        <v>0</v>
      </c>
      <c r="RT44">
        <v>0</v>
      </c>
      <c r="RU44">
        <v>0</v>
      </c>
      <c r="RV44">
        <v>0</v>
      </c>
      <c r="RW44">
        <f t="shared" si="40"/>
        <v>0</v>
      </c>
      <c r="RX44">
        <v>0</v>
      </c>
      <c r="RY44">
        <v>0</v>
      </c>
      <c r="RZ44">
        <v>0</v>
      </c>
      <c r="SA44">
        <v>0</v>
      </c>
      <c r="SB44">
        <v>0</v>
      </c>
      <c r="SC44">
        <v>0</v>
      </c>
      <c r="SD44">
        <v>0</v>
      </c>
      <c r="SE44">
        <v>0</v>
      </c>
      <c r="SF44">
        <v>0</v>
      </c>
      <c r="SG44">
        <v>0</v>
      </c>
      <c r="SH44">
        <v>0</v>
      </c>
      <c r="SI44">
        <v>0</v>
      </c>
      <c r="SJ44">
        <f t="shared" si="41"/>
        <v>0</v>
      </c>
      <c r="SK44">
        <v>84</v>
      </c>
      <c r="SL44">
        <v>72</v>
      </c>
      <c r="SM44">
        <v>112</v>
      </c>
      <c r="SN44">
        <v>87</v>
      </c>
      <c r="SO44">
        <v>63</v>
      </c>
      <c r="SP44">
        <v>108</v>
      </c>
      <c r="SQ44">
        <v>83</v>
      </c>
      <c r="SR44">
        <v>63</v>
      </c>
      <c r="SS44">
        <v>65</v>
      </c>
      <c r="ST44">
        <v>84</v>
      </c>
      <c r="SU44">
        <v>79</v>
      </c>
      <c r="SV44">
        <v>72</v>
      </c>
      <c r="SW44">
        <f t="shared" si="42"/>
        <v>972</v>
      </c>
      <c r="SX44" t="s">
        <v>1531</v>
      </c>
      <c r="SY44">
        <v>868</v>
      </c>
      <c r="SZ44">
        <v>868</v>
      </c>
      <c r="TA44">
        <v>868</v>
      </c>
      <c r="TB44">
        <v>868</v>
      </c>
      <c r="TC44">
        <v>868</v>
      </c>
      <c r="TD44">
        <v>868</v>
      </c>
      <c r="TE44">
        <v>868</v>
      </c>
      <c r="TF44">
        <v>868</v>
      </c>
      <c r="TG44">
        <v>868</v>
      </c>
      <c r="TH44">
        <v>868</v>
      </c>
      <c r="TI44">
        <v>868</v>
      </c>
      <c r="TJ44">
        <v>868</v>
      </c>
      <c r="TK44">
        <f t="shared" si="43"/>
        <v>10416</v>
      </c>
      <c r="TL44">
        <v>0</v>
      </c>
      <c r="TM44">
        <v>0</v>
      </c>
      <c r="TN44">
        <v>0</v>
      </c>
      <c r="TO44">
        <v>0</v>
      </c>
      <c r="TP44">
        <v>0</v>
      </c>
      <c r="TQ44">
        <v>0</v>
      </c>
      <c r="TR44">
        <v>0</v>
      </c>
      <c r="TS44">
        <v>0</v>
      </c>
      <c r="TT44">
        <v>0</v>
      </c>
      <c r="TU44">
        <v>0</v>
      </c>
      <c r="TV44">
        <v>0</v>
      </c>
      <c r="TW44">
        <v>0</v>
      </c>
      <c r="TX44">
        <f t="shared" si="44"/>
        <v>0</v>
      </c>
      <c r="TY44">
        <v>21</v>
      </c>
      <c r="TZ44">
        <v>0</v>
      </c>
      <c r="UA44">
        <v>0</v>
      </c>
      <c r="UB44">
        <v>0</v>
      </c>
    </row>
    <row r="45" spans="1:548" ht="16.5" customHeight="1" x14ac:dyDescent="0.35">
      <c r="A45" t="s">
        <v>1444</v>
      </c>
      <c r="B45" t="s">
        <v>2866</v>
      </c>
      <c r="C45" s="2">
        <v>23292</v>
      </c>
      <c r="D45" s="2">
        <v>8296</v>
      </c>
      <c r="E45">
        <v>852</v>
      </c>
      <c r="F45" s="2">
        <v>14144</v>
      </c>
      <c r="G45">
        <v>295</v>
      </c>
      <c r="H45">
        <v>328</v>
      </c>
      <c r="I45">
        <v>285</v>
      </c>
      <c r="J45">
        <v>338</v>
      </c>
      <c r="K45">
        <v>346</v>
      </c>
      <c r="L45">
        <v>302</v>
      </c>
      <c r="M45">
        <v>342</v>
      </c>
      <c r="N45">
        <v>288</v>
      </c>
      <c r="O45">
        <v>293</v>
      </c>
      <c r="P45">
        <v>312</v>
      </c>
      <c r="Q45">
        <v>309</v>
      </c>
      <c r="R45">
        <v>334</v>
      </c>
      <c r="S45">
        <f t="shared" si="0"/>
        <v>3772</v>
      </c>
      <c r="T45">
        <v>224</v>
      </c>
      <c r="U45">
        <v>243</v>
      </c>
      <c r="V45">
        <v>219</v>
      </c>
      <c r="W45">
        <v>263</v>
      </c>
      <c r="X45">
        <v>274</v>
      </c>
      <c r="Y45">
        <v>227</v>
      </c>
      <c r="Z45">
        <v>266</v>
      </c>
      <c r="AA45">
        <v>223</v>
      </c>
      <c r="AB45">
        <v>225</v>
      </c>
      <c r="AC45">
        <v>238</v>
      </c>
      <c r="AD45">
        <v>241</v>
      </c>
      <c r="AE45">
        <v>259</v>
      </c>
      <c r="AF45">
        <f t="shared" si="1"/>
        <v>2902</v>
      </c>
      <c r="AG45">
        <v>0</v>
      </c>
      <c r="AH45">
        <v>0</v>
      </c>
      <c r="AI45">
        <v>0</v>
      </c>
      <c r="AJ45">
        <v>0</v>
      </c>
      <c r="AK45">
        <v>0</v>
      </c>
      <c r="AL45">
        <v>0</v>
      </c>
      <c r="AM45">
        <v>0</v>
      </c>
      <c r="AN45">
        <v>0</v>
      </c>
      <c r="AO45">
        <v>0</v>
      </c>
      <c r="AP45">
        <v>0</v>
      </c>
      <c r="AQ45">
        <v>0</v>
      </c>
      <c r="AR45">
        <v>0</v>
      </c>
      <c r="AS45">
        <f t="shared" si="2"/>
        <v>0</v>
      </c>
      <c r="AT45">
        <v>71</v>
      </c>
      <c r="AU45">
        <v>85</v>
      </c>
      <c r="AV45">
        <v>66</v>
      </c>
      <c r="AW45">
        <v>75</v>
      </c>
      <c r="AX45">
        <v>72</v>
      </c>
      <c r="AY45">
        <v>75</v>
      </c>
      <c r="AZ45">
        <v>76</v>
      </c>
      <c r="BA45">
        <v>65</v>
      </c>
      <c r="BB45">
        <v>68</v>
      </c>
      <c r="BC45">
        <v>74</v>
      </c>
      <c r="BD45">
        <v>68</v>
      </c>
      <c r="BE45">
        <v>75</v>
      </c>
      <c r="BF45">
        <f t="shared" si="3"/>
        <v>870</v>
      </c>
      <c r="BG45">
        <v>0</v>
      </c>
      <c r="BH45">
        <v>0</v>
      </c>
      <c r="BI45">
        <v>0</v>
      </c>
      <c r="BJ45">
        <v>0</v>
      </c>
      <c r="BK45">
        <v>0</v>
      </c>
      <c r="BL45">
        <v>0</v>
      </c>
      <c r="BM45">
        <v>0</v>
      </c>
      <c r="BN45">
        <v>0</v>
      </c>
      <c r="BO45">
        <v>0</v>
      </c>
      <c r="BP45">
        <v>0</v>
      </c>
      <c r="BQ45">
        <v>0</v>
      </c>
      <c r="BR45">
        <v>0</v>
      </c>
      <c r="BS45">
        <f t="shared" si="4"/>
        <v>0</v>
      </c>
      <c r="BT45">
        <v>0</v>
      </c>
      <c r="BU45">
        <v>0</v>
      </c>
      <c r="BV45">
        <v>0</v>
      </c>
      <c r="BW45">
        <v>0</v>
      </c>
      <c r="BX45">
        <v>0</v>
      </c>
      <c r="BY45">
        <v>0</v>
      </c>
      <c r="BZ45">
        <v>0</v>
      </c>
      <c r="CA45">
        <v>0</v>
      </c>
      <c r="CB45">
        <v>0</v>
      </c>
      <c r="CC45">
        <v>0</v>
      </c>
      <c r="CD45">
        <v>0</v>
      </c>
      <c r="CE45">
        <v>0</v>
      </c>
      <c r="CF45">
        <f t="shared" si="5"/>
        <v>0</v>
      </c>
      <c r="CG45">
        <v>0</v>
      </c>
      <c r="CH45">
        <v>0</v>
      </c>
      <c r="CI45">
        <v>0</v>
      </c>
      <c r="CJ45">
        <v>0</v>
      </c>
      <c r="CK45">
        <v>0</v>
      </c>
      <c r="CL45">
        <v>0</v>
      </c>
      <c r="CM45">
        <v>0</v>
      </c>
      <c r="CN45">
        <v>0</v>
      </c>
      <c r="CO45">
        <v>0</v>
      </c>
      <c r="CP45">
        <v>0</v>
      </c>
      <c r="CQ45">
        <v>0</v>
      </c>
      <c r="CR45">
        <v>0</v>
      </c>
      <c r="CS45">
        <f t="shared" si="6"/>
        <v>0</v>
      </c>
      <c r="CT45">
        <v>0</v>
      </c>
      <c r="CU45">
        <v>0</v>
      </c>
      <c r="CV45">
        <v>0</v>
      </c>
      <c r="CW45">
        <v>0</v>
      </c>
      <c r="CX45">
        <v>0</v>
      </c>
      <c r="CY45">
        <v>0</v>
      </c>
      <c r="CZ45">
        <v>0</v>
      </c>
      <c r="DA45">
        <v>0</v>
      </c>
      <c r="DB45">
        <v>0</v>
      </c>
      <c r="DC45">
        <v>0</v>
      </c>
      <c r="DD45">
        <v>0</v>
      </c>
      <c r="DE45">
        <v>0</v>
      </c>
      <c r="DF45">
        <f t="shared" si="7"/>
        <v>0</v>
      </c>
      <c r="DG45">
        <v>0</v>
      </c>
      <c r="DH45">
        <v>0</v>
      </c>
      <c r="DI45">
        <v>0</v>
      </c>
      <c r="DJ45">
        <v>0</v>
      </c>
      <c r="DK45">
        <v>0</v>
      </c>
      <c r="DL45">
        <v>0</v>
      </c>
      <c r="DM45">
        <v>0</v>
      </c>
      <c r="DN45">
        <v>0</v>
      </c>
      <c r="DO45">
        <v>0</v>
      </c>
      <c r="DP45">
        <v>0</v>
      </c>
      <c r="DQ45">
        <v>0</v>
      </c>
      <c r="DR45">
        <v>0</v>
      </c>
      <c r="DS45">
        <f t="shared" si="8"/>
        <v>0</v>
      </c>
      <c r="DT45">
        <v>0</v>
      </c>
      <c r="DU45">
        <v>0</v>
      </c>
      <c r="DV45">
        <v>0</v>
      </c>
      <c r="DW45">
        <v>0</v>
      </c>
      <c r="DX45">
        <v>0</v>
      </c>
      <c r="DY45">
        <v>0</v>
      </c>
      <c r="DZ45">
        <v>0</v>
      </c>
      <c r="EA45">
        <v>0</v>
      </c>
      <c r="EB45">
        <v>0</v>
      </c>
      <c r="EC45">
        <v>0</v>
      </c>
      <c r="ED45">
        <v>0</v>
      </c>
      <c r="EE45">
        <v>0</v>
      </c>
      <c r="EF45">
        <f t="shared" si="9"/>
        <v>0</v>
      </c>
      <c r="EG45">
        <f t="shared" si="10"/>
        <v>3772</v>
      </c>
      <c r="EH45">
        <f t="shared" si="11"/>
        <v>0</v>
      </c>
      <c r="EI45">
        <v>4378</v>
      </c>
      <c r="EJ45">
        <v>4607</v>
      </c>
      <c r="EK45">
        <v>4042</v>
      </c>
      <c r="EL45">
        <v>5798</v>
      </c>
      <c r="EM45">
        <v>5746</v>
      </c>
      <c r="EN45">
        <v>5079</v>
      </c>
      <c r="EO45">
        <v>6612</v>
      </c>
      <c r="EP45">
        <v>4703</v>
      </c>
      <c r="EQ45">
        <v>4466</v>
      </c>
      <c r="ER45">
        <v>4697</v>
      </c>
      <c r="ES45">
        <v>5074</v>
      </c>
      <c r="ET45">
        <v>5198</v>
      </c>
      <c r="EU45">
        <f t="shared" si="12"/>
        <v>60400</v>
      </c>
      <c r="EV45">
        <v>1994</v>
      </c>
      <c r="EW45">
        <v>1961</v>
      </c>
      <c r="EX45">
        <v>1787</v>
      </c>
      <c r="EY45">
        <v>2709</v>
      </c>
      <c r="EZ45">
        <v>2663</v>
      </c>
      <c r="FA45">
        <v>2227</v>
      </c>
      <c r="FB45">
        <v>2897</v>
      </c>
      <c r="FC45">
        <v>2074</v>
      </c>
      <c r="FD45">
        <v>2299</v>
      </c>
      <c r="FE45">
        <v>2087</v>
      </c>
      <c r="FF45">
        <v>2395</v>
      </c>
      <c r="FG45">
        <v>2367</v>
      </c>
      <c r="FH45">
        <f t="shared" si="13"/>
        <v>27460</v>
      </c>
      <c r="FI45">
        <v>0</v>
      </c>
      <c r="FJ45">
        <v>0</v>
      </c>
      <c r="FK45">
        <v>0</v>
      </c>
      <c r="FL45">
        <v>0</v>
      </c>
      <c r="FM45">
        <v>0</v>
      </c>
      <c r="FN45">
        <v>0</v>
      </c>
      <c r="FO45">
        <v>0</v>
      </c>
      <c r="FP45">
        <v>0</v>
      </c>
      <c r="FQ45">
        <v>0</v>
      </c>
      <c r="FR45">
        <v>0</v>
      </c>
      <c r="FS45">
        <v>0</v>
      </c>
      <c r="FT45">
        <v>0</v>
      </c>
      <c r="FU45">
        <f t="shared" si="14"/>
        <v>0</v>
      </c>
      <c r="FV45">
        <v>2384</v>
      </c>
      <c r="FW45">
        <v>2646</v>
      </c>
      <c r="FX45">
        <v>2255</v>
      </c>
      <c r="FY45">
        <v>3089</v>
      </c>
      <c r="FZ45">
        <v>3083</v>
      </c>
      <c r="GA45">
        <v>2852</v>
      </c>
      <c r="GB45">
        <v>3715</v>
      </c>
      <c r="GC45">
        <v>2629</v>
      </c>
      <c r="GD45">
        <v>2167</v>
      </c>
      <c r="GE45">
        <v>2610</v>
      </c>
      <c r="GF45">
        <v>2679</v>
      </c>
      <c r="GG45">
        <v>2831</v>
      </c>
      <c r="GH45">
        <f t="shared" si="15"/>
        <v>32940</v>
      </c>
      <c r="GI45">
        <v>0</v>
      </c>
      <c r="GJ45">
        <v>0</v>
      </c>
      <c r="GK45">
        <v>0</v>
      </c>
      <c r="GL45">
        <v>0</v>
      </c>
      <c r="GM45">
        <v>0</v>
      </c>
      <c r="GN45">
        <v>0</v>
      </c>
      <c r="GO45">
        <v>0</v>
      </c>
      <c r="GP45">
        <v>0</v>
      </c>
      <c r="GQ45">
        <v>0</v>
      </c>
      <c r="GR45">
        <v>0</v>
      </c>
      <c r="GS45">
        <v>0</v>
      </c>
      <c r="GT45">
        <v>0</v>
      </c>
      <c r="GU45">
        <f t="shared" si="16"/>
        <v>0</v>
      </c>
      <c r="GV45">
        <v>0</v>
      </c>
      <c r="GW45">
        <v>0</v>
      </c>
      <c r="GX45">
        <v>0</v>
      </c>
      <c r="GY45">
        <v>0</v>
      </c>
      <c r="GZ45">
        <v>0</v>
      </c>
      <c r="HA45">
        <v>0</v>
      </c>
      <c r="HB45">
        <v>0</v>
      </c>
      <c r="HC45">
        <v>0</v>
      </c>
      <c r="HD45">
        <v>0</v>
      </c>
      <c r="HE45">
        <v>0</v>
      </c>
      <c r="HF45">
        <v>0</v>
      </c>
      <c r="HG45">
        <v>0</v>
      </c>
      <c r="HH45">
        <f t="shared" si="17"/>
        <v>0</v>
      </c>
      <c r="HI45">
        <v>0</v>
      </c>
      <c r="HJ45">
        <v>0</v>
      </c>
      <c r="HK45">
        <v>0</v>
      </c>
      <c r="HL45">
        <v>0</v>
      </c>
      <c r="HM45">
        <v>0</v>
      </c>
      <c r="HN45">
        <v>0</v>
      </c>
      <c r="HO45">
        <v>0</v>
      </c>
      <c r="HP45">
        <v>0</v>
      </c>
      <c r="HQ45">
        <v>0</v>
      </c>
      <c r="HR45">
        <v>0</v>
      </c>
      <c r="HS45">
        <v>0</v>
      </c>
      <c r="HT45">
        <v>0</v>
      </c>
      <c r="HU45">
        <f t="shared" si="18"/>
        <v>0</v>
      </c>
      <c r="HV45">
        <v>0</v>
      </c>
      <c r="HW45">
        <v>0</v>
      </c>
      <c r="HX45">
        <v>0</v>
      </c>
      <c r="HY45">
        <v>0</v>
      </c>
      <c r="HZ45">
        <v>0</v>
      </c>
      <c r="IA45">
        <v>0</v>
      </c>
      <c r="IB45">
        <v>0</v>
      </c>
      <c r="IC45">
        <v>0</v>
      </c>
      <c r="ID45">
        <v>0</v>
      </c>
      <c r="IE45">
        <v>0</v>
      </c>
      <c r="IF45">
        <v>0</v>
      </c>
      <c r="IG45">
        <v>0</v>
      </c>
      <c r="IH45">
        <f t="shared" si="19"/>
        <v>0</v>
      </c>
      <c r="II45">
        <f t="shared" si="20"/>
        <v>60400</v>
      </c>
      <c r="IJ45">
        <f t="shared" si="21"/>
        <v>0</v>
      </c>
      <c r="IK45">
        <v>39101</v>
      </c>
      <c r="IL45">
        <v>39830</v>
      </c>
      <c r="IM45">
        <v>38099</v>
      </c>
      <c r="IN45">
        <v>42636</v>
      </c>
      <c r="IO45">
        <v>40136</v>
      </c>
      <c r="IP45">
        <v>42574</v>
      </c>
      <c r="IQ45">
        <v>41406</v>
      </c>
      <c r="IR45">
        <v>40646</v>
      </c>
      <c r="IS45">
        <v>35864</v>
      </c>
      <c r="IT45">
        <v>43366</v>
      </c>
      <c r="IU45">
        <v>38260</v>
      </c>
      <c r="IV45">
        <v>42169</v>
      </c>
      <c r="IW45">
        <f t="shared" si="22"/>
        <v>484087</v>
      </c>
      <c r="IX45">
        <v>14101</v>
      </c>
      <c r="IY45">
        <v>15788</v>
      </c>
      <c r="IZ45">
        <v>14698</v>
      </c>
      <c r="JA45">
        <v>17845</v>
      </c>
      <c r="JB45">
        <v>15594</v>
      </c>
      <c r="JC45">
        <v>17741</v>
      </c>
      <c r="JD45">
        <v>17318</v>
      </c>
      <c r="JE45">
        <v>17599</v>
      </c>
      <c r="JF45">
        <v>13806</v>
      </c>
      <c r="JG45">
        <v>18085</v>
      </c>
      <c r="JH45">
        <v>15390</v>
      </c>
      <c r="JI45">
        <v>17264</v>
      </c>
      <c r="JJ45">
        <f t="shared" si="23"/>
        <v>195229</v>
      </c>
      <c r="JK45">
        <v>0</v>
      </c>
      <c r="JL45">
        <v>0</v>
      </c>
      <c r="JM45">
        <v>0</v>
      </c>
      <c r="JN45">
        <v>0</v>
      </c>
      <c r="JO45">
        <v>0</v>
      </c>
      <c r="JP45">
        <v>0</v>
      </c>
      <c r="JQ45">
        <v>0</v>
      </c>
      <c r="JR45">
        <v>0</v>
      </c>
      <c r="JS45">
        <v>0</v>
      </c>
      <c r="JT45">
        <v>0</v>
      </c>
      <c r="JU45">
        <v>0</v>
      </c>
      <c r="JV45">
        <v>0</v>
      </c>
      <c r="JW45">
        <f t="shared" si="24"/>
        <v>0</v>
      </c>
      <c r="JX45">
        <v>24182</v>
      </c>
      <c r="JY45">
        <v>24042</v>
      </c>
      <c r="JZ45">
        <v>23401</v>
      </c>
      <c r="KA45">
        <v>24791</v>
      </c>
      <c r="KB45">
        <v>24542</v>
      </c>
      <c r="KC45">
        <v>24833</v>
      </c>
      <c r="KD45">
        <v>24088</v>
      </c>
      <c r="KE45">
        <v>23047</v>
      </c>
      <c r="KF45">
        <v>22058</v>
      </c>
      <c r="KG45">
        <v>25281</v>
      </c>
      <c r="KH45">
        <v>22870</v>
      </c>
      <c r="KI45">
        <v>24905</v>
      </c>
      <c r="KJ45">
        <f t="shared" si="25"/>
        <v>288040</v>
      </c>
      <c r="KK45">
        <v>5018</v>
      </c>
      <c r="KL45">
        <v>5148</v>
      </c>
      <c r="KM45">
        <v>4834</v>
      </c>
      <c r="KN45">
        <v>4967</v>
      </c>
      <c r="KO45">
        <v>5483</v>
      </c>
      <c r="KP45">
        <v>5222</v>
      </c>
      <c r="KQ45">
        <v>5701</v>
      </c>
      <c r="KR45">
        <v>5334</v>
      </c>
      <c r="KS45">
        <v>5022</v>
      </c>
      <c r="KT45">
        <v>6029</v>
      </c>
      <c r="KU45">
        <v>5492</v>
      </c>
      <c r="KV45">
        <v>5952</v>
      </c>
      <c r="KW45">
        <f t="shared" si="26"/>
        <v>64202</v>
      </c>
      <c r="KX45">
        <v>0</v>
      </c>
      <c r="KY45">
        <v>0</v>
      </c>
      <c r="KZ45">
        <v>0</v>
      </c>
      <c r="LA45">
        <v>0</v>
      </c>
      <c r="LB45">
        <v>0</v>
      </c>
      <c r="LC45">
        <v>0</v>
      </c>
      <c r="LD45">
        <v>0</v>
      </c>
      <c r="LE45">
        <v>0</v>
      </c>
      <c r="LF45">
        <v>0</v>
      </c>
      <c r="LG45">
        <v>0</v>
      </c>
      <c r="LH45">
        <v>0</v>
      </c>
      <c r="LI45">
        <v>0</v>
      </c>
      <c r="LJ45">
        <f t="shared" si="27"/>
        <v>0</v>
      </c>
      <c r="LK45">
        <v>0</v>
      </c>
      <c r="LL45">
        <v>0</v>
      </c>
      <c r="LM45">
        <v>0</v>
      </c>
      <c r="LN45">
        <v>0</v>
      </c>
      <c r="LO45">
        <v>0</v>
      </c>
      <c r="LP45">
        <v>0</v>
      </c>
      <c r="LQ45">
        <v>0</v>
      </c>
      <c r="LR45">
        <v>0</v>
      </c>
      <c r="LS45">
        <v>0</v>
      </c>
      <c r="LT45">
        <v>0</v>
      </c>
      <c r="LU45">
        <v>0</v>
      </c>
      <c r="LV45">
        <v>0</v>
      </c>
      <c r="LW45">
        <f t="shared" si="28"/>
        <v>0</v>
      </c>
      <c r="LX45">
        <v>0</v>
      </c>
      <c r="LY45">
        <v>0</v>
      </c>
      <c r="LZ45">
        <v>0</v>
      </c>
      <c r="MA45">
        <v>0</v>
      </c>
      <c r="MB45">
        <v>0</v>
      </c>
      <c r="MC45">
        <v>0</v>
      </c>
      <c r="MD45">
        <v>0</v>
      </c>
      <c r="ME45">
        <v>0</v>
      </c>
      <c r="MF45">
        <v>0</v>
      </c>
      <c r="MG45">
        <v>0</v>
      </c>
      <c r="MH45">
        <v>0</v>
      </c>
      <c r="MI45">
        <v>0</v>
      </c>
      <c r="MJ45">
        <f t="shared" si="29"/>
        <v>0</v>
      </c>
      <c r="MK45">
        <v>1873</v>
      </c>
      <c r="ML45">
        <v>1861</v>
      </c>
      <c r="MM45">
        <v>1733</v>
      </c>
      <c r="MN45">
        <v>1865</v>
      </c>
      <c r="MO45">
        <v>2293</v>
      </c>
      <c r="MP45">
        <v>1912</v>
      </c>
      <c r="MQ45">
        <v>2472</v>
      </c>
      <c r="MR45">
        <v>2298</v>
      </c>
      <c r="MS45">
        <v>2322</v>
      </c>
      <c r="MT45">
        <v>2969</v>
      </c>
      <c r="MU45">
        <v>2379</v>
      </c>
      <c r="MV45">
        <v>2433</v>
      </c>
      <c r="MW45">
        <f t="shared" si="30"/>
        <v>26410</v>
      </c>
      <c r="MX45">
        <v>0</v>
      </c>
      <c r="MY45">
        <v>0</v>
      </c>
      <c r="MZ45">
        <v>0</v>
      </c>
      <c r="NA45">
        <v>0</v>
      </c>
      <c r="NB45">
        <v>0</v>
      </c>
      <c r="NC45">
        <v>0</v>
      </c>
      <c r="ND45">
        <v>0</v>
      </c>
      <c r="NE45">
        <v>0</v>
      </c>
      <c r="NF45">
        <v>0</v>
      </c>
      <c r="NG45">
        <v>0</v>
      </c>
      <c r="NH45">
        <v>0</v>
      </c>
      <c r="NI45">
        <v>0</v>
      </c>
      <c r="NJ45">
        <f t="shared" si="31"/>
        <v>0</v>
      </c>
      <c r="NK45">
        <v>0</v>
      </c>
      <c r="NL45">
        <v>0</v>
      </c>
      <c r="NM45">
        <v>0</v>
      </c>
      <c r="NN45">
        <v>0</v>
      </c>
      <c r="NO45">
        <v>0</v>
      </c>
      <c r="NP45">
        <v>0</v>
      </c>
      <c r="NQ45">
        <v>0</v>
      </c>
      <c r="NR45">
        <v>0</v>
      </c>
      <c r="NS45">
        <v>0</v>
      </c>
      <c r="NT45">
        <v>0</v>
      </c>
      <c r="NU45">
        <v>0</v>
      </c>
      <c r="NV45">
        <v>0</v>
      </c>
      <c r="NW45">
        <f t="shared" si="32"/>
        <v>0</v>
      </c>
      <c r="NX45">
        <v>0</v>
      </c>
      <c r="NY45">
        <v>0</v>
      </c>
      <c r="NZ45">
        <v>0</v>
      </c>
      <c r="OA45">
        <v>0</v>
      </c>
      <c r="OB45">
        <v>0</v>
      </c>
      <c r="OC45">
        <v>0</v>
      </c>
      <c r="OD45">
        <v>0</v>
      </c>
      <c r="OE45">
        <v>0</v>
      </c>
      <c r="OF45">
        <v>0</v>
      </c>
      <c r="OG45">
        <v>0</v>
      </c>
      <c r="OH45">
        <v>0</v>
      </c>
      <c r="OI45">
        <v>0</v>
      </c>
      <c r="OJ45">
        <f t="shared" si="33"/>
        <v>0</v>
      </c>
      <c r="OK45">
        <v>4326</v>
      </c>
      <c r="OL45">
        <v>4404</v>
      </c>
      <c r="OM45">
        <v>4256</v>
      </c>
      <c r="ON45">
        <v>4412</v>
      </c>
      <c r="OO45">
        <v>4515</v>
      </c>
      <c r="OP45">
        <v>4254</v>
      </c>
      <c r="OQ45">
        <v>4417</v>
      </c>
      <c r="OR45">
        <v>4178</v>
      </c>
      <c r="OS45">
        <v>4346</v>
      </c>
      <c r="OT45">
        <v>4585</v>
      </c>
      <c r="OU45">
        <v>4236</v>
      </c>
      <c r="OV45">
        <v>4364</v>
      </c>
      <c r="OW45">
        <f t="shared" si="34"/>
        <v>52293</v>
      </c>
      <c r="OX45">
        <v>0</v>
      </c>
      <c r="OY45">
        <v>0</v>
      </c>
      <c r="OZ45">
        <v>0</v>
      </c>
      <c r="PA45">
        <v>0</v>
      </c>
      <c r="PB45">
        <v>0</v>
      </c>
      <c r="PC45">
        <v>0</v>
      </c>
      <c r="PD45">
        <v>0</v>
      </c>
      <c r="PE45">
        <v>0</v>
      </c>
      <c r="PF45">
        <v>0</v>
      </c>
      <c r="PG45">
        <v>0</v>
      </c>
      <c r="PH45">
        <v>0</v>
      </c>
      <c r="PI45">
        <v>0</v>
      </c>
      <c r="PJ45">
        <f t="shared" si="35"/>
        <v>0</v>
      </c>
      <c r="PK45">
        <v>0</v>
      </c>
      <c r="PL45">
        <v>0</v>
      </c>
      <c r="PM45">
        <v>0</v>
      </c>
      <c r="PN45">
        <v>0</v>
      </c>
      <c r="PO45">
        <v>0</v>
      </c>
      <c r="PP45">
        <v>0</v>
      </c>
      <c r="PQ45">
        <v>0</v>
      </c>
      <c r="PR45">
        <v>0</v>
      </c>
      <c r="PS45">
        <v>0</v>
      </c>
      <c r="PT45">
        <v>0</v>
      </c>
      <c r="PU45">
        <v>0</v>
      </c>
      <c r="PV45">
        <v>0</v>
      </c>
      <c r="PW45">
        <f t="shared" si="36"/>
        <v>0</v>
      </c>
      <c r="PX45">
        <v>0</v>
      </c>
      <c r="PY45">
        <v>0</v>
      </c>
      <c r="PZ45">
        <v>0</v>
      </c>
      <c r="QA45">
        <v>0</v>
      </c>
      <c r="QB45">
        <v>0</v>
      </c>
      <c r="QC45">
        <v>0</v>
      </c>
      <c r="QD45">
        <v>0</v>
      </c>
      <c r="QE45">
        <v>0</v>
      </c>
      <c r="QF45">
        <v>0</v>
      </c>
      <c r="QG45">
        <v>0</v>
      </c>
      <c r="QH45">
        <v>0</v>
      </c>
      <c r="QI45">
        <v>0</v>
      </c>
      <c r="QJ45">
        <f t="shared" si="37"/>
        <v>0</v>
      </c>
      <c r="QK45">
        <v>76588</v>
      </c>
      <c r="QL45">
        <v>77841</v>
      </c>
      <c r="QM45">
        <v>74763</v>
      </c>
      <c r="QN45">
        <v>74763</v>
      </c>
      <c r="QO45">
        <v>65343</v>
      </c>
      <c r="QP45">
        <v>75301</v>
      </c>
      <c r="QQ45">
        <v>78093</v>
      </c>
      <c r="QR45">
        <v>72447</v>
      </c>
      <c r="QS45">
        <v>63260</v>
      </c>
      <c r="QT45">
        <v>77216</v>
      </c>
      <c r="QU45">
        <v>72471</v>
      </c>
      <c r="QV45">
        <v>79648</v>
      </c>
      <c r="QW45">
        <f t="shared" si="38"/>
        <v>887734</v>
      </c>
      <c r="QX45">
        <v>0</v>
      </c>
      <c r="QY45">
        <v>0</v>
      </c>
      <c r="QZ45">
        <v>0</v>
      </c>
      <c r="RA45">
        <v>0</v>
      </c>
      <c r="RB45">
        <v>0</v>
      </c>
      <c r="RC45">
        <v>0</v>
      </c>
      <c r="RD45">
        <v>0</v>
      </c>
      <c r="RE45">
        <v>0</v>
      </c>
      <c r="RF45">
        <v>0</v>
      </c>
      <c r="RG45">
        <v>0</v>
      </c>
      <c r="RH45">
        <v>0</v>
      </c>
      <c r="RI45">
        <v>0</v>
      </c>
      <c r="RJ45">
        <f t="shared" si="39"/>
        <v>0</v>
      </c>
      <c r="RK45">
        <v>0</v>
      </c>
      <c r="RL45">
        <v>0</v>
      </c>
      <c r="RM45">
        <v>0</v>
      </c>
      <c r="RN45">
        <v>0</v>
      </c>
      <c r="RO45">
        <v>0</v>
      </c>
      <c r="RP45">
        <v>0</v>
      </c>
      <c r="RQ45">
        <v>0</v>
      </c>
      <c r="RR45">
        <v>0</v>
      </c>
      <c r="RS45">
        <v>0</v>
      </c>
      <c r="RT45">
        <v>0</v>
      </c>
      <c r="RU45">
        <v>0</v>
      </c>
      <c r="RV45">
        <v>0</v>
      </c>
      <c r="RW45">
        <f t="shared" si="40"/>
        <v>0</v>
      </c>
      <c r="RX45">
        <v>0</v>
      </c>
      <c r="RY45">
        <v>0</v>
      </c>
      <c r="RZ45">
        <v>0</v>
      </c>
      <c r="SA45">
        <v>0</v>
      </c>
      <c r="SB45">
        <v>0</v>
      </c>
      <c r="SC45">
        <v>0</v>
      </c>
      <c r="SD45">
        <v>0</v>
      </c>
      <c r="SE45">
        <v>0</v>
      </c>
      <c r="SF45">
        <v>0</v>
      </c>
      <c r="SG45">
        <v>0</v>
      </c>
      <c r="SH45">
        <v>0</v>
      </c>
      <c r="SI45">
        <v>0</v>
      </c>
      <c r="SJ45">
        <f t="shared" si="41"/>
        <v>0</v>
      </c>
      <c r="SK45">
        <v>191</v>
      </c>
      <c r="SL45">
        <v>182</v>
      </c>
      <c r="SM45">
        <v>200</v>
      </c>
      <c r="SN45">
        <v>191</v>
      </c>
      <c r="SO45">
        <v>190</v>
      </c>
      <c r="SP45">
        <v>202</v>
      </c>
      <c r="SQ45">
        <v>216</v>
      </c>
      <c r="SR45">
        <v>184</v>
      </c>
      <c r="SS45">
        <v>163</v>
      </c>
      <c r="ST45">
        <v>221</v>
      </c>
      <c r="SU45">
        <v>198</v>
      </c>
      <c r="SV45">
        <v>217</v>
      </c>
      <c r="SW45">
        <f t="shared" si="42"/>
        <v>2355</v>
      </c>
      <c r="SX45">
        <v>0</v>
      </c>
      <c r="SY45">
        <v>5335</v>
      </c>
      <c r="SZ45">
        <v>5410</v>
      </c>
      <c r="TA45">
        <v>5538</v>
      </c>
      <c r="TB45">
        <v>5961</v>
      </c>
      <c r="TC45">
        <v>5476</v>
      </c>
      <c r="TD45">
        <v>5791</v>
      </c>
      <c r="TE45">
        <v>6068</v>
      </c>
      <c r="TF45">
        <v>5586</v>
      </c>
      <c r="TG45">
        <v>4866</v>
      </c>
      <c r="TH45">
        <v>5422</v>
      </c>
      <c r="TI45">
        <v>4606</v>
      </c>
      <c r="TJ45">
        <v>5236</v>
      </c>
      <c r="TK45">
        <f t="shared" si="43"/>
        <v>65295</v>
      </c>
      <c r="TL45">
        <v>0</v>
      </c>
      <c r="TM45">
        <v>0</v>
      </c>
      <c r="TN45">
        <v>0</v>
      </c>
      <c r="TO45">
        <v>0</v>
      </c>
      <c r="TP45">
        <v>0</v>
      </c>
      <c r="TQ45">
        <v>0</v>
      </c>
      <c r="TR45">
        <v>0</v>
      </c>
      <c r="TS45">
        <v>0</v>
      </c>
      <c r="TT45">
        <v>0</v>
      </c>
      <c r="TU45">
        <v>0</v>
      </c>
      <c r="TV45">
        <v>0</v>
      </c>
      <c r="TW45">
        <v>0</v>
      </c>
      <c r="TX45">
        <f t="shared" si="44"/>
        <v>0</v>
      </c>
      <c r="TY45">
        <v>119</v>
      </c>
      <c r="TZ45">
        <v>0</v>
      </c>
      <c r="UA45">
        <v>0</v>
      </c>
      <c r="UB45">
        <v>0</v>
      </c>
    </row>
    <row r="46" spans="1:548" ht="16.5" customHeight="1" x14ac:dyDescent="0.35">
      <c r="A46" t="s">
        <v>1548</v>
      </c>
      <c r="B46" t="s">
        <v>2866</v>
      </c>
      <c r="C46">
        <v>21995</v>
      </c>
      <c r="D46">
        <v>3163</v>
      </c>
      <c r="E46">
        <v>984</v>
      </c>
      <c r="F46">
        <v>12646</v>
      </c>
      <c r="G46">
        <v>250</v>
      </c>
      <c r="H46">
        <v>325</v>
      </c>
      <c r="I46">
        <v>323</v>
      </c>
      <c r="J46">
        <v>255</v>
      </c>
      <c r="K46">
        <v>197</v>
      </c>
      <c r="L46">
        <v>338</v>
      </c>
      <c r="M46">
        <v>383</v>
      </c>
      <c r="N46">
        <v>334</v>
      </c>
      <c r="O46">
        <v>213</v>
      </c>
      <c r="P46">
        <v>300</v>
      </c>
      <c r="Q46">
        <v>308</v>
      </c>
      <c r="R46">
        <v>364</v>
      </c>
      <c r="S46">
        <f t="shared" si="0"/>
        <v>3590</v>
      </c>
      <c r="T46">
        <v>0</v>
      </c>
      <c r="U46">
        <v>0</v>
      </c>
      <c r="V46">
        <v>0</v>
      </c>
      <c r="W46">
        <v>0</v>
      </c>
      <c r="X46">
        <v>0</v>
      </c>
      <c r="Y46">
        <v>0</v>
      </c>
      <c r="Z46">
        <v>0</v>
      </c>
      <c r="AA46">
        <v>0</v>
      </c>
      <c r="AB46">
        <v>0</v>
      </c>
      <c r="AC46">
        <v>0</v>
      </c>
      <c r="AD46">
        <v>0</v>
      </c>
      <c r="AE46">
        <v>0</v>
      </c>
      <c r="AF46">
        <f t="shared" si="1"/>
        <v>0</v>
      </c>
      <c r="AG46">
        <v>0</v>
      </c>
      <c r="AH46">
        <v>0</v>
      </c>
      <c r="AI46">
        <v>0</v>
      </c>
      <c r="AJ46">
        <v>0</v>
      </c>
      <c r="AK46">
        <v>0</v>
      </c>
      <c r="AL46">
        <v>0</v>
      </c>
      <c r="AM46">
        <v>0</v>
      </c>
      <c r="AN46">
        <v>0</v>
      </c>
      <c r="AO46">
        <v>0</v>
      </c>
      <c r="AP46">
        <v>0</v>
      </c>
      <c r="AQ46">
        <v>0</v>
      </c>
      <c r="AR46">
        <v>0</v>
      </c>
      <c r="AS46">
        <f t="shared" si="2"/>
        <v>0</v>
      </c>
      <c r="AT46">
        <v>0</v>
      </c>
      <c r="AU46">
        <v>0</v>
      </c>
      <c r="AV46">
        <v>0</v>
      </c>
      <c r="AW46">
        <v>0</v>
      </c>
      <c r="AX46">
        <v>0</v>
      </c>
      <c r="AY46">
        <v>0</v>
      </c>
      <c r="AZ46">
        <v>0</v>
      </c>
      <c r="BA46">
        <v>0</v>
      </c>
      <c r="BB46">
        <v>0</v>
      </c>
      <c r="BC46">
        <v>0</v>
      </c>
      <c r="BD46">
        <v>0</v>
      </c>
      <c r="BE46">
        <v>0</v>
      </c>
      <c r="BF46">
        <f t="shared" si="3"/>
        <v>0</v>
      </c>
      <c r="BG46">
        <v>0</v>
      </c>
      <c r="BH46">
        <v>0</v>
      </c>
      <c r="BI46">
        <v>0</v>
      </c>
      <c r="BJ46">
        <v>0</v>
      </c>
      <c r="BK46">
        <v>0</v>
      </c>
      <c r="BL46">
        <v>0</v>
      </c>
      <c r="BM46">
        <v>0</v>
      </c>
      <c r="BN46">
        <v>0</v>
      </c>
      <c r="BO46">
        <v>0</v>
      </c>
      <c r="BP46">
        <v>0</v>
      </c>
      <c r="BQ46">
        <v>0</v>
      </c>
      <c r="BR46">
        <v>0</v>
      </c>
      <c r="BS46">
        <f t="shared" si="4"/>
        <v>0</v>
      </c>
      <c r="BT46">
        <v>0</v>
      </c>
      <c r="BU46">
        <v>0</v>
      </c>
      <c r="BV46">
        <v>0</v>
      </c>
      <c r="BW46">
        <v>0</v>
      </c>
      <c r="BX46">
        <v>0</v>
      </c>
      <c r="BY46">
        <v>0</v>
      </c>
      <c r="BZ46">
        <v>0</v>
      </c>
      <c r="CA46">
        <v>0</v>
      </c>
      <c r="CB46">
        <v>0</v>
      </c>
      <c r="CC46">
        <v>0</v>
      </c>
      <c r="CD46">
        <v>0</v>
      </c>
      <c r="CE46">
        <v>0</v>
      </c>
      <c r="CF46">
        <f t="shared" si="5"/>
        <v>0</v>
      </c>
      <c r="CG46">
        <v>0</v>
      </c>
      <c r="CH46">
        <v>0</v>
      </c>
      <c r="CI46">
        <v>0</v>
      </c>
      <c r="CJ46">
        <v>0</v>
      </c>
      <c r="CK46">
        <v>0</v>
      </c>
      <c r="CL46">
        <v>0</v>
      </c>
      <c r="CM46">
        <v>0</v>
      </c>
      <c r="CN46">
        <v>0</v>
      </c>
      <c r="CO46">
        <v>0</v>
      </c>
      <c r="CP46">
        <v>0</v>
      </c>
      <c r="CQ46">
        <v>0</v>
      </c>
      <c r="CR46">
        <v>0</v>
      </c>
      <c r="CS46">
        <f t="shared" si="6"/>
        <v>0</v>
      </c>
      <c r="CT46">
        <v>0</v>
      </c>
      <c r="CU46">
        <v>0</v>
      </c>
      <c r="CV46">
        <v>0</v>
      </c>
      <c r="CW46">
        <v>0</v>
      </c>
      <c r="CX46">
        <v>0</v>
      </c>
      <c r="CY46">
        <v>0</v>
      </c>
      <c r="CZ46">
        <v>0</v>
      </c>
      <c r="DA46">
        <v>0</v>
      </c>
      <c r="DB46">
        <v>0</v>
      </c>
      <c r="DC46">
        <v>0</v>
      </c>
      <c r="DD46">
        <v>0</v>
      </c>
      <c r="DE46">
        <v>0</v>
      </c>
      <c r="DF46">
        <f t="shared" si="7"/>
        <v>0</v>
      </c>
      <c r="DG46">
        <v>0</v>
      </c>
      <c r="DH46">
        <v>0</v>
      </c>
      <c r="DI46">
        <v>0</v>
      </c>
      <c r="DJ46">
        <v>0</v>
      </c>
      <c r="DK46">
        <v>0</v>
      </c>
      <c r="DL46">
        <v>0</v>
      </c>
      <c r="DM46">
        <v>0</v>
      </c>
      <c r="DN46">
        <v>0</v>
      </c>
      <c r="DO46">
        <v>0</v>
      </c>
      <c r="DP46">
        <v>0</v>
      </c>
      <c r="DQ46">
        <v>0</v>
      </c>
      <c r="DR46">
        <v>0</v>
      </c>
      <c r="DS46">
        <f t="shared" si="8"/>
        <v>0</v>
      </c>
      <c r="DT46">
        <v>0</v>
      </c>
      <c r="DU46">
        <v>0</v>
      </c>
      <c r="DV46">
        <v>0</v>
      </c>
      <c r="DW46">
        <v>0</v>
      </c>
      <c r="DX46">
        <v>0</v>
      </c>
      <c r="DY46">
        <v>0</v>
      </c>
      <c r="DZ46">
        <v>0</v>
      </c>
      <c r="EA46">
        <v>0</v>
      </c>
      <c r="EB46">
        <v>0</v>
      </c>
      <c r="EC46">
        <v>0</v>
      </c>
      <c r="ED46">
        <v>0</v>
      </c>
      <c r="EE46">
        <v>0</v>
      </c>
      <c r="EF46">
        <f t="shared" si="9"/>
        <v>0</v>
      </c>
      <c r="EG46">
        <f t="shared" si="10"/>
        <v>0</v>
      </c>
      <c r="EH46">
        <f t="shared" si="11"/>
        <v>0</v>
      </c>
      <c r="EI46">
        <v>3708</v>
      </c>
      <c r="EJ46">
        <v>5537</v>
      </c>
      <c r="EK46">
        <v>5846</v>
      </c>
      <c r="EL46">
        <v>4828</v>
      </c>
      <c r="EM46">
        <v>2131</v>
      </c>
      <c r="EN46">
        <v>6231</v>
      </c>
      <c r="EO46">
        <v>6999</v>
      </c>
      <c r="EP46">
        <v>6089</v>
      </c>
      <c r="EQ46">
        <v>3893</v>
      </c>
      <c r="ER46">
        <v>5436</v>
      </c>
      <c r="ES46">
        <v>5802</v>
      </c>
      <c r="ET46">
        <v>7326</v>
      </c>
      <c r="EU46">
        <f t="shared" si="12"/>
        <v>63826</v>
      </c>
      <c r="EV46">
        <v>0</v>
      </c>
      <c r="EW46">
        <v>0</v>
      </c>
      <c r="EX46">
        <v>0</v>
      </c>
      <c r="EY46">
        <v>0</v>
      </c>
      <c r="EZ46">
        <v>0</v>
      </c>
      <c r="FA46">
        <v>0</v>
      </c>
      <c r="FB46">
        <v>0</v>
      </c>
      <c r="FC46">
        <v>0</v>
      </c>
      <c r="FD46">
        <v>0</v>
      </c>
      <c r="FE46">
        <v>0</v>
      </c>
      <c r="FF46">
        <v>0</v>
      </c>
      <c r="FG46">
        <v>0</v>
      </c>
      <c r="FH46">
        <f t="shared" si="13"/>
        <v>0</v>
      </c>
      <c r="FI46">
        <v>0</v>
      </c>
      <c r="FJ46">
        <v>0</v>
      </c>
      <c r="FK46">
        <v>0</v>
      </c>
      <c r="FL46">
        <v>0</v>
      </c>
      <c r="FM46">
        <v>0</v>
      </c>
      <c r="FN46">
        <v>0</v>
      </c>
      <c r="FO46">
        <v>0</v>
      </c>
      <c r="FP46">
        <v>0</v>
      </c>
      <c r="FQ46">
        <v>0</v>
      </c>
      <c r="FR46">
        <v>0</v>
      </c>
      <c r="FS46">
        <v>0</v>
      </c>
      <c r="FT46">
        <v>0</v>
      </c>
      <c r="FU46">
        <f t="shared" si="14"/>
        <v>0</v>
      </c>
      <c r="FV46">
        <v>0</v>
      </c>
      <c r="FW46">
        <v>0</v>
      </c>
      <c r="FX46">
        <v>0</v>
      </c>
      <c r="FY46">
        <v>0</v>
      </c>
      <c r="FZ46">
        <v>0</v>
      </c>
      <c r="GA46">
        <v>0</v>
      </c>
      <c r="GB46">
        <v>0</v>
      </c>
      <c r="GC46">
        <v>0</v>
      </c>
      <c r="GD46">
        <v>0</v>
      </c>
      <c r="GE46">
        <v>0</v>
      </c>
      <c r="GF46">
        <v>0</v>
      </c>
      <c r="GG46">
        <v>0</v>
      </c>
      <c r="GH46">
        <f t="shared" si="15"/>
        <v>0</v>
      </c>
      <c r="GI46">
        <v>0</v>
      </c>
      <c r="GJ46">
        <v>0</v>
      </c>
      <c r="GK46">
        <v>0</v>
      </c>
      <c r="GL46">
        <v>0</v>
      </c>
      <c r="GM46">
        <v>0</v>
      </c>
      <c r="GN46">
        <v>0</v>
      </c>
      <c r="GO46">
        <v>0</v>
      </c>
      <c r="GP46">
        <v>0</v>
      </c>
      <c r="GQ46">
        <v>0</v>
      </c>
      <c r="GR46">
        <v>0</v>
      </c>
      <c r="GS46">
        <v>0</v>
      </c>
      <c r="GT46">
        <v>0</v>
      </c>
      <c r="GU46">
        <f t="shared" si="16"/>
        <v>0</v>
      </c>
      <c r="GV46">
        <v>0</v>
      </c>
      <c r="GW46">
        <v>0</v>
      </c>
      <c r="GX46">
        <v>0</v>
      </c>
      <c r="GY46">
        <v>0</v>
      </c>
      <c r="GZ46">
        <v>0</v>
      </c>
      <c r="HA46">
        <v>0</v>
      </c>
      <c r="HB46">
        <v>0</v>
      </c>
      <c r="HC46">
        <v>0</v>
      </c>
      <c r="HD46">
        <v>0</v>
      </c>
      <c r="HE46">
        <v>0</v>
      </c>
      <c r="HF46">
        <v>0</v>
      </c>
      <c r="HG46">
        <v>0</v>
      </c>
      <c r="HH46">
        <f t="shared" si="17"/>
        <v>0</v>
      </c>
      <c r="HI46">
        <v>0</v>
      </c>
      <c r="HJ46">
        <v>0</v>
      </c>
      <c r="HK46">
        <v>0</v>
      </c>
      <c r="HL46">
        <v>0</v>
      </c>
      <c r="HM46">
        <v>0</v>
      </c>
      <c r="HN46">
        <v>0</v>
      </c>
      <c r="HO46">
        <v>0</v>
      </c>
      <c r="HP46">
        <v>0</v>
      </c>
      <c r="HQ46">
        <v>0</v>
      </c>
      <c r="HR46">
        <v>0</v>
      </c>
      <c r="HS46">
        <v>0</v>
      </c>
      <c r="HT46">
        <v>0</v>
      </c>
      <c r="HU46">
        <f t="shared" si="18"/>
        <v>0</v>
      </c>
      <c r="HV46">
        <v>0</v>
      </c>
      <c r="HW46">
        <v>0</v>
      </c>
      <c r="HX46">
        <v>0</v>
      </c>
      <c r="HY46">
        <v>0</v>
      </c>
      <c r="HZ46">
        <v>0</v>
      </c>
      <c r="IA46">
        <v>0</v>
      </c>
      <c r="IB46">
        <v>0</v>
      </c>
      <c r="IC46">
        <v>0</v>
      </c>
      <c r="ID46">
        <v>0</v>
      </c>
      <c r="IE46">
        <v>0</v>
      </c>
      <c r="IF46">
        <v>0</v>
      </c>
      <c r="IG46">
        <v>0</v>
      </c>
      <c r="IH46">
        <f t="shared" si="19"/>
        <v>0</v>
      </c>
      <c r="II46">
        <f t="shared" si="20"/>
        <v>0</v>
      </c>
      <c r="IJ46">
        <f t="shared" si="21"/>
        <v>0</v>
      </c>
      <c r="IK46">
        <v>17662</v>
      </c>
      <c r="IL46">
        <v>23583</v>
      </c>
      <c r="IM46">
        <v>24558</v>
      </c>
      <c r="IN46">
        <v>28332</v>
      </c>
      <c r="IO46">
        <v>26939</v>
      </c>
      <c r="IP46">
        <v>28763</v>
      </c>
      <c r="IQ46">
        <v>30897</v>
      </c>
      <c r="IR46">
        <v>25558</v>
      </c>
      <c r="IS46">
        <v>11478</v>
      </c>
      <c r="IT46">
        <v>17458</v>
      </c>
      <c r="IU46">
        <v>21310</v>
      </c>
      <c r="IV46">
        <v>31205</v>
      </c>
      <c r="IW46">
        <f t="shared" si="22"/>
        <v>287743</v>
      </c>
      <c r="IX46">
        <v>0</v>
      </c>
      <c r="IY46">
        <v>0</v>
      </c>
      <c r="IZ46">
        <v>0</v>
      </c>
      <c r="JA46">
        <v>0</v>
      </c>
      <c r="JB46">
        <v>0</v>
      </c>
      <c r="JC46">
        <v>0</v>
      </c>
      <c r="JD46">
        <v>0</v>
      </c>
      <c r="JE46">
        <v>0</v>
      </c>
      <c r="JF46">
        <v>0</v>
      </c>
      <c r="JG46">
        <v>0</v>
      </c>
      <c r="JH46">
        <v>0</v>
      </c>
      <c r="JI46">
        <v>0</v>
      </c>
      <c r="JJ46">
        <f t="shared" si="23"/>
        <v>0</v>
      </c>
      <c r="JK46">
        <v>0</v>
      </c>
      <c r="JL46">
        <v>0</v>
      </c>
      <c r="JM46">
        <v>0</v>
      </c>
      <c r="JN46">
        <v>0</v>
      </c>
      <c r="JO46">
        <v>0</v>
      </c>
      <c r="JP46">
        <v>0</v>
      </c>
      <c r="JQ46">
        <v>0</v>
      </c>
      <c r="JR46">
        <v>0</v>
      </c>
      <c r="JS46">
        <v>0</v>
      </c>
      <c r="JT46">
        <v>0</v>
      </c>
      <c r="JU46">
        <v>0</v>
      </c>
      <c r="JV46">
        <v>0</v>
      </c>
      <c r="JW46">
        <f t="shared" si="24"/>
        <v>0</v>
      </c>
      <c r="JX46">
        <v>0</v>
      </c>
      <c r="JY46">
        <v>0</v>
      </c>
      <c r="JZ46">
        <v>0</v>
      </c>
      <c r="KA46">
        <v>0</v>
      </c>
      <c r="KB46">
        <v>0</v>
      </c>
      <c r="KC46">
        <v>0</v>
      </c>
      <c r="KD46">
        <v>0</v>
      </c>
      <c r="KE46">
        <v>0</v>
      </c>
      <c r="KF46">
        <v>0</v>
      </c>
      <c r="KG46">
        <v>0</v>
      </c>
      <c r="KH46">
        <v>0</v>
      </c>
      <c r="KI46">
        <v>0</v>
      </c>
      <c r="KJ46">
        <f t="shared" si="25"/>
        <v>0</v>
      </c>
      <c r="KK46">
        <v>0</v>
      </c>
      <c r="KL46">
        <v>0</v>
      </c>
      <c r="KM46">
        <v>0</v>
      </c>
      <c r="KN46">
        <v>0</v>
      </c>
      <c r="KO46">
        <v>0</v>
      </c>
      <c r="KP46">
        <v>0</v>
      </c>
      <c r="KQ46">
        <v>0</v>
      </c>
      <c r="KR46">
        <v>0</v>
      </c>
      <c r="KS46">
        <v>0</v>
      </c>
      <c r="KT46">
        <v>0</v>
      </c>
      <c r="KU46">
        <v>0</v>
      </c>
      <c r="KV46">
        <v>0</v>
      </c>
      <c r="KW46">
        <f t="shared" si="26"/>
        <v>0</v>
      </c>
      <c r="KX46">
        <v>0</v>
      </c>
      <c r="KY46">
        <v>0</v>
      </c>
      <c r="KZ46">
        <v>0</v>
      </c>
      <c r="LA46">
        <v>0</v>
      </c>
      <c r="LB46">
        <v>0</v>
      </c>
      <c r="LC46">
        <v>0</v>
      </c>
      <c r="LD46">
        <v>0</v>
      </c>
      <c r="LE46">
        <v>0</v>
      </c>
      <c r="LF46">
        <v>0</v>
      </c>
      <c r="LG46">
        <v>0</v>
      </c>
      <c r="LH46">
        <v>0</v>
      </c>
      <c r="LI46">
        <v>0</v>
      </c>
      <c r="LJ46">
        <f t="shared" si="27"/>
        <v>0</v>
      </c>
      <c r="LK46">
        <v>0</v>
      </c>
      <c r="LL46">
        <v>0</v>
      </c>
      <c r="LM46">
        <v>0</v>
      </c>
      <c r="LN46">
        <v>0</v>
      </c>
      <c r="LO46">
        <v>0</v>
      </c>
      <c r="LP46">
        <v>0</v>
      </c>
      <c r="LQ46">
        <v>0</v>
      </c>
      <c r="LR46">
        <v>0</v>
      </c>
      <c r="LS46">
        <v>0</v>
      </c>
      <c r="LT46">
        <v>0</v>
      </c>
      <c r="LU46">
        <v>0</v>
      </c>
      <c r="LV46">
        <v>0</v>
      </c>
      <c r="LW46">
        <f t="shared" si="28"/>
        <v>0</v>
      </c>
      <c r="LX46">
        <v>0</v>
      </c>
      <c r="LY46">
        <v>0</v>
      </c>
      <c r="LZ46">
        <v>0</v>
      </c>
      <c r="MA46">
        <v>0</v>
      </c>
      <c r="MB46">
        <v>0</v>
      </c>
      <c r="MC46">
        <v>0</v>
      </c>
      <c r="MD46">
        <v>0</v>
      </c>
      <c r="ME46">
        <v>0</v>
      </c>
      <c r="MF46">
        <v>0</v>
      </c>
      <c r="MG46">
        <v>0</v>
      </c>
      <c r="MH46">
        <v>0</v>
      </c>
      <c r="MI46">
        <v>0</v>
      </c>
      <c r="MJ46">
        <f t="shared" si="29"/>
        <v>0</v>
      </c>
      <c r="MK46">
        <v>986</v>
      </c>
      <c r="ML46">
        <v>1102</v>
      </c>
      <c r="MM46">
        <v>1011</v>
      </c>
      <c r="MN46">
        <v>1248</v>
      </c>
      <c r="MO46">
        <v>1304</v>
      </c>
      <c r="MP46">
        <v>1182</v>
      </c>
      <c r="MQ46">
        <v>1311</v>
      </c>
      <c r="MR46">
        <v>1102</v>
      </c>
      <c r="MS46">
        <v>1013</v>
      </c>
      <c r="MT46">
        <v>1140</v>
      </c>
      <c r="MU46">
        <v>1226</v>
      </c>
      <c r="MV46">
        <v>1300</v>
      </c>
      <c r="MW46">
        <f t="shared" si="30"/>
        <v>13925</v>
      </c>
      <c r="MX46">
        <v>0</v>
      </c>
      <c r="MY46">
        <v>0</v>
      </c>
      <c r="MZ46">
        <v>0</v>
      </c>
      <c r="NA46">
        <v>0</v>
      </c>
      <c r="NB46">
        <v>0</v>
      </c>
      <c r="NC46">
        <v>0</v>
      </c>
      <c r="ND46">
        <v>0</v>
      </c>
      <c r="NE46">
        <v>0</v>
      </c>
      <c r="NF46">
        <v>0</v>
      </c>
      <c r="NG46">
        <v>0</v>
      </c>
      <c r="NH46">
        <v>0</v>
      </c>
      <c r="NI46">
        <v>0</v>
      </c>
      <c r="NJ46">
        <f t="shared" si="31"/>
        <v>0</v>
      </c>
      <c r="NK46">
        <v>0</v>
      </c>
      <c r="NL46">
        <v>0</v>
      </c>
      <c r="NM46">
        <v>0</v>
      </c>
      <c r="NN46">
        <v>0</v>
      </c>
      <c r="NO46">
        <v>0</v>
      </c>
      <c r="NP46">
        <v>0</v>
      </c>
      <c r="NQ46">
        <v>0</v>
      </c>
      <c r="NR46">
        <v>0</v>
      </c>
      <c r="NS46">
        <v>0</v>
      </c>
      <c r="NT46">
        <v>0</v>
      </c>
      <c r="NU46">
        <v>0</v>
      </c>
      <c r="NV46">
        <v>0</v>
      </c>
      <c r="NW46">
        <f t="shared" si="32"/>
        <v>0</v>
      </c>
      <c r="NX46">
        <v>0</v>
      </c>
      <c r="NY46">
        <v>0</v>
      </c>
      <c r="NZ46">
        <v>0</v>
      </c>
      <c r="OA46">
        <v>0</v>
      </c>
      <c r="OB46">
        <v>0</v>
      </c>
      <c r="OC46">
        <v>0</v>
      </c>
      <c r="OD46">
        <v>0</v>
      </c>
      <c r="OE46">
        <v>0</v>
      </c>
      <c r="OF46">
        <v>0</v>
      </c>
      <c r="OG46">
        <v>0</v>
      </c>
      <c r="OH46">
        <v>0</v>
      </c>
      <c r="OI46">
        <v>0</v>
      </c>
      <c r="OJ46">
        <f t="shared" si="33"/>
        <v>0</v>
      </c>
      <c r="OK46">
        <v>893</v>
      </c>
      <c r="OL46">
        <v>1025</v>
      </c>
      <c r="OM46">
        <v>936</v>
      </c>
      <c r="ON46">
        <v>1048</v>
      </c>
      <c r="OO46">
        <v>1044</v>
      </c>
      <c r="OP46">
        <v>982</v>
      </c>
      <c r="OQ46">
        <v>1123</v>
      </c>
      <c r="OR46">
        <v>1083</v>
      </c>
      <c r="OS46">
        <v>1118</v>
      </c>
      <c r="OT46">
        <v>1175</v>
      </c>
      <c r="OU46">
        <v>1049</v>
      </c>
      <c r="OV46">
        <v>1184</v>
      </c>
      <c r="OW46">
        <f t="shared" si="34"/>
        <v>12660</v>
      </c>
      <c r="OX46">
        <v>0</v>
      </c>
      <c r="OY46">
        <v>0</v>
      </c>
      <c r="OZ46">
        <v>0</v>
      </c>
      <c r="PA46">
        <v>0</v>
      </c>
      <c r="PB46">
        <v>0</v>
      </c>
      <c r="PC46">
        <v>0</v>
      </c>
      <c r="PD46">
        <v>0</v>
      </c>
      <c r="PE46">
        <v>0</v>
      </c>
      <c r="PF46">
        <v>0</v>
      </c>
      <c r="PG46">
        <v>0</v>
      </c>
      <c r="PH46">
        <v>0</v>
      </c>
      <c r="PI46">
        <v>0</v>
      </c>
      <c r="PJ46">
        <f t="shared" si="35"/>
        <v>0</v>
      </c>
      <c r="PK46">
        <v>0</v>
      </c>
      <c r="PL46">
        <v>0</v>
      </c>
      <c r="PM46">
        <v>0</v>
      </c>
      <c r="PN46">
        <v>0</v>
      </c>
      <c r="PO46">
        <v>0</v>
      </c>
      <c r="PP46">
        <v>0</v>
      </c>
      <c r="PQ46">
        <v>0</v>
      </c>
      <c r="PR46">
        <v>0</v>
      </c>
      <c r="PS46">
        <v>0</v>
      </c>
      <c r="PT46">
        <v>0</v>
      </c>
      <c r="PU46">
        <v>0</v>
      </c>
      <c r="PV46">
        <v>0</v>
      </c>
      <c r="PW46">
        <f t="shared" si="36"/>
        <v>0</v>
      </c>
      <c r="PX46">
        <v>0</v>
      </c>
      <c r="PY46">
        <v>0</v>
      </c>
      <c r="PZ46">
        <v>0</v>
      </c>
      <c r="QA46">
        <v>0</v>
      </c>
      <c r="QB46">
        <v>0</v>
      </c>
      <c r="QC46">
        <v>0</v>
      </c>
      <c r="QD46">
        <v>0</v>
      </c>
      <c r="QE46">
        <v>0</v>
      </c>
      <c r="QF46">
        <v>0</v>
      </c>
      <c r="QG46">
        <v>0</v>
      </c>
      <c r="QH46">
        <v>0</v>
      </c>
      <c r="QI46">
        <v>0</v>
      </c>
      <c r="QJ46">
        <f t="shared" si="37"/>
        <v>0</v>
      </c>
      <c r="QK46">
        <v>58642</v>
      </c>
      <c r="QL46">
        <v>60763</v>
      </c>
      <c r="QM46">
        <v>55078</v>
      </c>
      <c r="QN46">
        <v>48834</v>
      </c>
      <c r="QO46">
        <v>40174</v>
      </c>
      <c r="QP46">
        <v>54567</v>
      </c>
      <c r="QQ46">
        <v>53150</v>
      </c>
      <c r="QR46">
        <v>44108</v>
      </c>
      <c r="QS46">
        <v>23022</v>
      </c>
      <c r="QT46">
        <v>43177</v>
      </c>
      <c r="QU46">
        <v>48466</v>
      </c>
      <c r="QV46">
        <v>55003</v>
      </c>
      <c r="QW46">
        <f t="shared" si="38"/>
        <v>584984</v>
      </c>
      <c r="QX46">
        <v>0</v>
      </c>
      <c r="QY46">
        <v>0</v>
      </c>
      <c r="QZ46">
        <v>0</v>
      </c>
      <c r="RA46">
        <v>0</v>
      </c>
      <c r="RB46">
        <v>0</v>
      </c>
      <c r="RC46">
        <v>0</v>
      </c>
      <c r="RD46">
        <v>0</v>
      </c>
      <c r="RE46">
        <v>0</v>
      </c>
      <c r="RF46">
        <v>0</v>
      </c>
      <c r="RG46">
        <v>0</v>
      </c>
      <c r="RH46">
        <v>0</v>
      </c>
      <c r="RI46">
        <v>0</v>
      </c>
      <c r="RJ46">
        <f t="shared" si="39"/>
        <v>0</v>
      </c>
      <c r="RK46">
        <v>0</v>
      </c>
      <c r="RL46">
        <v>0</v>
      </c>
      <c r="RM46">
        <v>0</v>
      </c>
      <c r="RN46">
        <v>0</v>
      </c>
      <c r="RO46">
        <v>0</v>
      </c>
      <c r="RP46">
        <v>0</v>
      </c>
      <c r="RQ46">
        <v>0</v>
      </c>
      <c r="RR46">
        <v>0</v>
      </c>
      <c r="RS46">
        <v>0</v>
      </c>
      <c r="RT46">
        <v>0</v>
      </c>
      <c r="RU46">
        <v>0</v>
      </c>
      <c r="RV46">
        <v>0</v>
      </c>
      <c r="RW46">
        <f t="shared" si="40"/>
        <v>0</v>
      </c>
      <c r="RX46">
        <v>0</v>
      </c>
      <c r="RY46">
        <v>0</v>
      </c>
      <c r="RZ46">
        <v>0</v>
      </c>
      <c r="SA46">
        <v>0</v>
      </c>
      <c r="SB46">
        <v>0</v>
      </c>
      <c r="SC46">
        <v>0</v>
      </c>
      <c r="SD46">
        <v>0</v>
      </c>
      <c r="SE46">
        <v>0</v>
      </c>
      <c r="SF46">
        <v>0</v>
      </c>
      <c r="SG46">
        <v>0</v>
      </c>
      <c r="SH46">
        <v>0</v>
      </c>
      <c r="SI46">
        <v>0</v>
      </c>
      <c r="SJ46">
        <f t="shared" si="41"/>
        <v>0</v>
      </c>
      <c r="SK46">
        <v>121</v>
      </c>
      <c r="SL46">
        <v>158</v>
      </c>
      <c r="SM46">
        <v>130</v>
      </c>
      <c r="SN46">
        <v>135</v>
      </c>
      <c r="SO46">
        <v>157</v>
      </c>
      <c r="SP46">
        <v>138</v>
      </c>
      <c r="SQ46">
        <v>171</v>
      </c>
      <c r="SR46">
        <v>144</v>
      </c>
      <c r="SS46">
        <v>132</v>
      </c>
      <c r="ST46">
        <v>133</v>
      </c>
      <c r="SU46">
        <v>268</v>
      </c>
      <c r="SV46">
        <v>120</v>
      </c>
      <c r="SW46">
        <f t="shared" si="42"/>
        <v>1807</v>
      </c>
      <c r="SX46" t="s">
        <v>1549</v>
      </c>
      <c r="SY46">
        <v>3162</v>
      </c>
      <c r="SZ46">
        <v>144</v>
      </c>
      <c r="TA46">
        <v>3463</v>
      </c>
      <c r="TB46">
        <v>3491</v>
      </c>
      <c r="TC46">
        <v>2889</v>
      </c>
      <c r="TD46">
        <v>3181</v>
      </c>
      <c r="TE46">
        <v>3503</v>
      </c>
      <c r="TF46">
        <v>0</v>
      </c>
      <c r="TG46">
        <v>0</v>
      </c>
      <c r="TH46">
        <v>0</v>
      </c>
      <c r="TI46">
        <v>0</v>
      </c>
      <c r="TJ46">
        <v>0</v>
      </c>
      <c r="TK46">
        <f t="shared" si="43"/>
        <v>19833</v>
      </c>
      <c r="TL46">
        <v>0</v>
      </c>
      <c r="TM46">
        <v>0</v>
      </c>
      <c r="TN46">
        <v>0</v>
      </c>
      <c r="TO46">
        <v>0</v>
      </c>
      <c r="TP46">
        <v>0</v>
      </c>
      <c r="TQ46">
        <v>0</v>
      </c>
      <c r="TR46">
        <v>0</v>
      </c>
      <c r="TS46">
        <v>0</v>
      </c>
      <c r="TT46">
        <v>0</v>
      </c>
      <c r="TU46">
        <v>0</v>
      </c>
      <c r="TV46">
        <v>0</v>
      </c>
      <c r="TW46">
        <v>0</v>
      </c>
      <c r="TX46">
        <f t="shared" si="44"/>
        <v>0</v>
      </c>
      <c r="TY46">
        <v>73</v>
      </c>
      <c r="TZ46">
        <v>0</v>
      </c>
      <c r="UA46">
        <v>0</v>
      </c>
      <c r="UB46">
        <v>0</v>
      </c>
    </row>
    <row r="47" spans="1:548" ht="16.5" customHeight="1" x14ac:dyDescent="0.35">
      <c r="A47" t="s">
        <v>1493</v>
      </c>
      <c r="B47" t="s">
        <v>2862</v>
      </c>
      <c r="C47">
        <v>117360</v>
      </c>
      <c r="D47">
        <v>61868</v>
      </c>
      <c r="E47">
        <v>17155</v>
      </c>
      <c r="F47">
        <v>100824</v>
      </c>
      <c r="G47">
        <v>1342</v>
      </c>
      <c r="H47">
        <v>1477</v>
      </c>
      <c r="I47">
        <v>1541</v>
      </c>
      <c r="J47">
        <v>1621</v>
      </c>
      <c r="K47">
        <v>1188</v>
      </c>
      <c r="L47">
        <v>1435</v>
      </c>
      <c r="M47">
        <v>1489</v>
      </c>
      <c r="N47">
        <v>1498</v>
      </c>
      <c r="O47">
        <v>1102</v>
      </c>
      <c r="P47">
        <v>1418</v>
      </c>
      <c r="Q47">
        <v>1482</v>
      </c>
      <c r="R47">
        <v>1485</v>
      </c>
      <c r="S47">
        <f t="shared" si="0"/>
        <v>17078</v>
      </c>
      <c r="T47">
        <v>552</v>
      </c>
      <c r="U47">
        <v>662</v>
      </c>
      <c r="V47">
        <v>685</v>
      </c>
      <c r="W47">
        <v>767</v>
      </c>
      <c r="X47">
        <v>557</v>
      </c>
      <c r="Y47">
        <v>604</v>
      </c>
      <c r="Z47">
        <v>647</v>
      </c>
      <c r="AA47">
        <v>686</v>
      </c>
      <c r="AB47">
        <v>479</v>
      </c>
      <c r="AC47">
        <v>627</v>
      </c>
      <c r="AD47">
        <v>648</v>
      </c>
      <c r="AE47">
        <v>713</v>
      </c>
      <c r="AF47">
        <f t="shared" si="1"/>
        <v>7627</v>
      </c>
      <c r="AG47">
        <v>12</v>
      </c>
      <c r="AH47">
        <v>15</v>
      </c>
      <c r="AI47">
        <v>23</v>
      </c>
      <c r="AJ47">
        <v>13</v>
      </c>
      <c r="AK47">
        <v>6</v>
      </c>
      <c r="AL47">
        <v>13</v>
      </c>
      <c r="AM47">
        <v>16</v>
      </c>
      <c r="AN47">
        <v>19</v>
      </c>
      <c r="AO47">
        <v>7</v>
      </c>
      <c r="AP47">
        <v>15</v>
      </c>
      <c r="AQ47">
        <v>15</v>
      </c>
      <c r="AR47">
        <v>24</v>
      </c>
      <c r="AS47">
        <f t="shared" si="2"/>
        <v>178</v>
      </c>
      <c r="AT47">
        <v>778</v>
      </c>
      <c r="AU47">
        <v>800</v>
      </c>
      <c r="AV47">
        <v>833</v>
      </c>
      <c r="AW47">
        <v>841</v>
      </c>
      <c r="AX47">
        <v>625</v>
      </c>
      <c r="AY47">
        <v>818</v>
      </c>
      <c r="AZ47">
        <v>826</v>
      </c>
      <c r="BA47">
        <v>793</v>
      </c>
      <c r="BB47">
        <v>616</v>
      </c>
      <c r="BC47">
        <v>776</v>
      </c>
      <c r="BD47">
        <v>819</v>
      </c>
      <c r="BE47">
        <v>748</v>
      </c>
      <c r="BF47">
        <f t="shared" si="3"/>
        <v>9273</v>
      </c>
      <c r="BG47">
        <v>0</v>
      </c>
      <c r="BH47">
        <v>0</v>
      </c>
      <c r="BI47">
        <v>0</v>
      </c>
      <c r="BJ47">
        <v>0</v>
      </c>
      <c r="BK47">
        <v>0</v>
      </c>
      <c r="BL47">
        <v>0</v>
      </c>
      <c r="BM47">
        <v>0</v>
      </c>
      <c r="BN47">
        <v>0</v>
      </c>
      <c r="BO47">
        <v>0</v>
      </c>
      <c r="BP47">
        <v>0</v>
      </c>
      <c r="BQ47">
        <v>0</v>
      </c>
      <c r="BR47">
        <v>0</v>
      </c>
      <c r="BS47">
        <f t="shared" si="4"/>
        <v>0</v>
      </c>
      <c r="BT47">
        <v>0</v>
      </c>
      <c r="BU47">
        <v>0</v>
      </c>
      <c r="BV47">
        <v>0</v>
      </c>
      <c r="BW47">
        <v>1</v>
      </c>
      <c r="BX47">
        <v>0</v>
      </c>
      <c r="BY47">
        <v>0</v>
      </c>
      <c r="BZ47">
        <v>0</v>
      </c>
      <c r="CA47">
        <v>0</v>
      </c>
      <c r="CB47">
        <v>0</v>
      </c>
      <c r="CC47">
        <v>0</v>
      </c>
      <c r="CD47">
        <v>0</v>
      </c>
      <c r="CE47">
        <v>1</v>
      </c>
      <c r="CF47">
        <f t="shared" si="5"/>
        <v>2</v>
      </c>
      <c r="CG47">
        <v>0</v>
      </c>
      <c r="CH47">
        <v>0</v>
      </c>
      <c r="CI47">
        <v>0</v>
      </c>
      <c r="CJ47">
        <v>1</v>
      </c>
      <c r="CK47">
        <v>0</v>
      </c>
      <c r="CL47">
        <v>0</v>
      </c>
      <c r="CM47">
        <v>0</v>
      </c>
      <c r="CN47">
        <v>0</v>
      </c>
      <c r="CO47">
        <v>0</v>
      </c>
      <c r="CP47">
        <v>0</v>
      </c>
      <c r="CQ47">
        <v>0</v>
      </c>
      <c r="CR47">
        <v>0</v>
      </c>
      <c r="CS47">
        <f t="shared" si="6"/>
        <v>1</v>
      </c>
      <c r="CT47">
        <v>0</v>
      </c>
      <c r="CU47">
        <v>0</v>
      </c>
      <c r="CV47">
        <v>0</v>
      </c>
      <c r="CW47">
        <v>0</v>
      </c>
      <c r="CX47">
        <v>0</v>
      </c>
      <c r="CY47">
        <v>0</v>
      </c>
      <c r="CZ47">
        <v>0</v>
      </c>
      <c r="DA47">
        <v>0</v>
      </c>
      <c r="DB47">
        <v>0</v>
      </c>
      <c r="DC47">
        <v>0</v>
      </c>
      <c r="DD47">
        <v>0</v>
      </c>
      <c r="DE47">
        <v>0</v>
      </c>
      <c r="DF47">
        <f t="shared" si="7"/>
        <v>0</v>
      </c>
      <c r="DG47">
        <v>0</v>
      </c>
      <c r="DH47">
        <v>0</v>
      </c>
      <c r="DI47">
        <v>0</v>
      </c>
      <c r="DJ47">
        <v>0</v>
      </c>
      <c r="DK47">
        <v>0</v>
      </c>
      <c r="DL47">
        <v>0</v>
      </c>
      <c r="DM47">
        <v>0</v>
      </c>
      <c r="DN47">
        <v>0</v>
      </c>
      <c r="DO47">
        <v>0</v>
      </c>
      <c r="DP47">
        <v>0</v>
      </c>
      <c r="DQ47">
        <v>0</v>
      </c>
      <c r="DR47">
        <v>1</v>
      </c>
      <c r="DS47">
        <f t="shared" si="8"/>
        <v>1</v>
      </c>
      <c r="DT47">
        <v>0</v>
      </c>
      <c r="DU47">
        <v>0</v>
      </c>
      <c r="DV47">
        <v>0</v>
      </c>
      <c r="DW47">
        <v>0</v>
      </c>
      <c r="DX47">
        <v>0</v>
      </c>
      <c r="DY47">
        <v>0</v>
      </c>
      <c r="DZ47">
        <v>0</v>
      </c>
      <c r="EA47">
        <v>0</v>
      </c>
      <c r="EB47">
        <v>0</v>
      </c>
      <c r="EC47">
        <v>0</v>
      </c>
      <c r="ED47">
        <v>0</v>
      </c>
      <c r="EE47">
        <v>0</v>
      </c>
      <c r="EF47">
        <f t="shared" si="9"/>
        <v>0</v>
      </c>
      <c r="EG47">
        <f t="shared" si="10"/>
        <v>17078</v>
      </c>
      <c r="EH47">
        <f t="shared" si="11"/>
        <v>2</v>
      </c>
      <c r="EI47">
        <v>15921</v>
      </c>
      <c r="EJ47">
        <v>18122</v>
      </c>
      <c r="EK47">
        <v>21543</v>
      </c>
      <c r="EL47">
        <v>33697</v>
      </c>
      <c r="EM47">
        <v>14781</v>
      </c>
      <c r="EN47">
        <v>16659</v>
      </c>
      <c r="EO47">
        <v>18403</v>
      </c>
      <c r="EP47">
        <v>18598</v>
      </c>
      <c r="EQ47">
        <v>12676</v>
      </c>
      <c r="ER47">
        <v>17168</v>
      </c>
      <c r="ES47">
        <v>17638</v>
      </c>
      <c r="ET47">
        <v>19013</v>
      </c>
      <c r="EU47">
        <f t="shared" si="12"/>
        <v>224219</v>
      </c>
      <c r="EV47">
        <v>6070</v>
      </c>
      <c r="EW47">
        <v>7898</v>
      </c>
      <c r="EX47">
        <v>10365</v>
      </c>
      <c r="EY47">
        <v>22114</v>
      </c>
      <c r="EZ47">
        <v>6163</v>
      </c>
      <c r="FA47">
        <v>6297</v>
      </c>
      <c r="FB47">
        <v>7092</v>
      </c>
      <c r="FC47">
        <v>7487</v>
      </c>
      <c r="FD47">
        <v>4773</v>
      </c>
      <c r="FE47">
        <v>6976</v>
      </c>
      <c r="FF47">
        <v>7227</v>
      </c>
      <c r="FG47">
        <v>8158</v>
      </c>
      <c r="FH47">
        <f t="shared" si="13"/>
        <v>100620</v>
      </c>
      <c r="FI47">
        <v>97</v>
      </c>
      <c r="FJ47">
        <v>182</v>
      </c>
      <c r="FK47">
        <v>282</v>
      </c>
      <c r="FL47">
        <v>61</v>
      </c>
      <c r="FM47">
        <v>37</v>
      </c>
      <c r="FN47">
        <v>72</v>
      </c>
      <c r="FO47">
        <v>134</v>
      </c>
      <c r="FP47">
        <v>94</v>
      </c>
      <c r="FQ47">
        <v>102</v>
      </c>
      <c r="FR47">
        <v>182</v>
      </c>
      <c r="FS47">
        <v>89</v>
      </c>
      <c r="FT47">
        <v>266</v>
      </c>
      <c r="FU47">
        <f t="shared" si="14"/>
        <v>1598</v>
      </c>
      <c r="FV47">
        <v>9754</v>
      </c>
      <c r="FW47">
        <v>10042</v>
      </c>
      <c r="FX47">
        <v>10896</v>
      </c>
      <c r="FY47">
        <v>11522</v>
      </c>
      <c r="FZ47">
        <v>8581</v>
      </c>
      <c r="GA47">
        <v>10290</v>
      </c>
      <c r="GB47">
        <v>11177</v>
      </c>
      <c r="GC47">
        <v>11017</v>
      </c>
      <c r="GD47">
        <v>7801</v>
      </c>
      <c r="GE47">
        <v>10010</v>
      </c>
      <c r="GF47">
        <v>10322</v>
      </c>
      <c r="GG47">
        <v>10589</v>
      </c>
      <c r="GH47">
        <f t="shared" si="15"/>
        <v>122001</v>
      </c>
      <c r="GI47">
        <v>0</v>
      </c>
      <c r="GJ47">
        <v>0</v>
      </c>
      <c r="GK47">
        <v>0</v>
      </c>
      <c r="GL47">
        <v>268</v>
      </c>
      <c r="GM47">
        <v>0</v>
      </c>
      <c r="GN47">
        <v>0</v>
      </c>
      <c r="GO47">
        <v>0</v>
      </c>
      <c r="GP47">
        <v>0</v>
      </c>
      <c r="GQ47">
        <v>0</v>
      </c>
      <c r="GR47">
        <v>0</v>
      </c>
      <c r="GS47">
        <v>0</v>
      </c>
      <c r="GT47">
        <v>10</v>
      </c>
      <c r="GU47">
        <f t="shared" si="16"/>
        <v>278</v>
      </c>
      <c r="GV47">
        <v>0</v>
      </c>
      <c r="GW47">
        <v>0</v>
      </c>
      <c r="GX47">
        <v>0</v>
      </c>
      <c r="GY47">
        <v>268</v>
      </c>
      <c r="GZ47">
        <v>0</v>
      </c>
      <c r="HA47">
        <v>0</v>
      </c>
      <c r="HB47">
        <v>0</v>
      </c>
      <c r="HC47">
        <v>0</v>
      </c>
      <c r="HD47">
        <v>0</v>
      </c>
      <c r="HE47">
        <v>0</v>
      </c>
      <c r="HF47">
        <v>0</v>
      </c>
      <c r="HG47">
        <v>0</v>
      </c>
      <c r="HH47">
        <f t="shared" si="17"/>
        <v>268</v>
      </c>
      <c r="HI47">
        <v>0</v>
      </c>
      <c r="HJ47">
        <v>0</v>
      </c>
      <c r="HK47">
        <v>0</v>
      </c>
      <c r="HL47">
        <v>0</v>
      </c>
      <c r="HM47">
        <v>0</v>
      </c>
      <c r="HN47">
        <v>0</v>
      </c>
      <c r="HO47">
        <v>0</v>
      </c>
      <c r="HP47">
        <v>0</v>
      </c>
      <c r="HQ47">
        <v>0</v>
      </c>
      <c r="HR47">
        <v>0</v>
      </c>
      <c r="HS47">
        <v>0</v>
      </c>
      <c r="HT47">
        <v>0</v>
      </c>
      <c r="HU47">
        <f t="shared" si="18"/>
        <v>0</v>
      </c>
      <c r="HV47">
        <v>0</v>
      </c>
      <c r="HW47">
        <v>0</v>
      </c>
      <c r="HX47">
        <v>0</v>
      </c>
      <c r="HY47">
        <v>0</v>
      </c>
      <c r="HZ47">
        <v>0</v>
      </c>
      <c r="IA47">
        <v>0</v>
      </c>
      <c r="IB47">
        <v>0</v>
      </c>
      <c r="IC47">
        <v>0</v>
      </c>
      <c r="ID47">
        <v>0</v>
      </c>
      <c r="IE47">
        <v>0</v>
      </c>
      <c r="IF47">
        <v>0</v>
      </c>
      <c r="IG47">
        <v>10</v>
      </c>
      <c r="IH47">
        <f t="shared" si="19"/>
        <v>10</v>
      </c>
      <c r="II47">
        <f t="shared" si="20"/>
        <v>224219</v>
      </c>
      <c r="IJ47">
        <f t="shared" si="21"/>
        <v>278</v>
      </c>
      <c r="IK47">
        <v>228285</v>
      </c>
      <c r="IL47">
        <v>239919</v>
      </c>
      <c r="IM47">
        <v>221459</v>
      </c>
      <c r="IN47">
        <v>293593</v>
      </c>
      <c r="IO47">
        <v>297674</v>
      </c>
      <c r="IP47">
        <v>252825</v>
      </c>
      <c r="IQ47">
        <v>256799</v>
      </c>
      <c r="IR47">
        <v>227429</v>
      </c>
      <c r="IS47">
        <v>198798</v>
      </c>
      <c r="IT47">
        <v>228633</v>
      </c>
      <c r="IU47">
        <v>224088</v>
      </c>
      <c r="IV47">
        <v>239541</v>
      </c>
      <c r="IW47">
        <f t="shared" si="22"/>
        <v>2909043</v>
      </c>
      <c r="IX47">
        <v>122559</v>
      </c>
      <c r="IY47">
        <v>127850</v>
      </c>
      <c r="IZ47">
        <v>114792</v>
      </c>
      <c r="JA47">
        <v>178270</v>
      </c>
      <c r="JB47">
        <v>182886</v>
      </c>
      <c r="JC47">
        <v>141152</v>
      </c>
      <c r="JD47">
        <v>143498</v>
      </c>
      <c r="JE47">
        <v>126997</v>
      </c>
      <c r="JF47">
        <v>103671</v>
      </c>
      <c r="JG47">
        <v>122959</v>
      </c>
      <c r="JH47">
        <v>127725</v>
      </c>
      <c r="JI47">
        <v>133608</v>
      </c>
      <c r="JJ47">
        <f t="shared" si="23"/>
        <v>1625967</v>
      </c>
      <c r="JK47">
        <v>2425</v>
      </c>
      <c r="JL47">
        <v>2293</v>
      </c>
      <c r="JM47">
        <v>1926</v>
      </c>
      <c r="JN47">
        <v>3608</v>
      </c>
      <c r="JO47">
        <v>3866</v>
      </c>
      <c r="JP47">
        <v>2363</v>
      </c>
      <c r="JQ47">
        <v>2802</v>
      </c>
      <c r="JR47">
        <v>1929</v>
      </c>
      <c r="JS47">
        <v>1616</v>
      </c>
      <c r="JT47">
        <v>1887</v>
      </c>
      <c r="JU47">
        <v>2123</v>
      </c>
      <c r="JV47">
        <v>2152</v>
      </c>
      <c r="JW47">
        <f t="shared" si="24"/>
        <v>28990</v>
      </c>
      <c r="JX47">
        <v>103301</v>
      </c>
      <c r="JY47">
        <v>109776</v>
      </c>
      <c r="JZ47">
        <v>104741</v>
      </c>
      <c r="KA47">
        <v>111715</v>
      </c>
      <c r="KB47">
        <v>110922</v>
      </c>
      <c r="KC47">
        <v>109310</v>
      </c>
      <c r="KD47">
        <v>110499</v>
      </c>
      <c r="KE47">
        <v>98503</v>
      </c>
      <c r="KF47">
        <v>93511</v>
      </c>
      <c r="KG47">
        <v>103787</v>
      </c>
      <c r="KH47">
        <v>94240</v>
      </c>
      <c r="KI47">
        <v>103781</v>
      </c>
      <c r="KJ47">
        <f t="shared" si="25"/>
        <v>1254086</v>
      </c>
      <c r="KK47">
        <v>2385</v>
      </c>
      <c r="KL47">
        <v>2809</v>
      </c>
      <c r="KM47">
        <v>3117</v>
      </c>
      <c r="KN47">
        <v>2863</v>
      </c>
      <c r="KO47">
        <v>2830</v>
      </c>
      <c r="KP47">
        <v>3042</v>
      </c>
      <c r="KQ47">
        <v>3136</v>
      </c>
      <c r="KR47">
        <v>2625</v>
      </c>
      <c r="KS47">
        <v>2633</v>
      </c>
      <c r="KT47">
        <v>2815</v>
      </c>
      <c r="KU47">
        <v>2415</v>
      </c>
      <c r="KV47">
        <v>2661</v>
      </c>
      <c r="KW47">
        <f t="shared" si="26"/>
        <v>33331</v>
      </c>
      <c r="KX47">
        <v>216</v>
      </c>
      <c r="KY47">
        <v>251</v>
      </c>
      <c r="KZ47">
        <v>205</v>
      </c>
      <c r="LA47">
        <v>288</v>
      </c>
      <c r="LB47">
        <v>304</v>
      </c>
      <c r="LC47">
        <v>226</v>
      </c>
      <c r="LD47">
        <v>211</v>
      </c>
      <c r="LE47">
        <v>207</v>
      </c>
      <c r="LF47">
        <v>172</v>
      </c>
      <c r="LG47">
        <v>211</v>
      </c>
      <c r="LH47">
        <v>205</v>
      </c>
      <c r="LI47">
        <v>159</v>
      </c>
      <c r="LJ47">
        <f t="shared" si="27"/>
        <v>2655</v>
      </c>
      <c r="LK47">
        <v>0</v>
      </c>
      <c r="LL47">
        <v>0</v>
      </c>
      <c r="LM47">
        <v>2</v>
      </c>
      <c r="LN47">
        <v>2</v>
      </c>
      <c r="LO47">
        <v>2</v>
      </c>
      <c r="LP47">
        <v>3</v>
      </c>
      <c r="LQ47">
        <v>0</v>
      </c>
      <c r="LR47">
        <v>0</v>
      </c>
      <c r="LS47">
        <v>1</v>
      </c>
      <c r="LT47">
        <v>3</v>
      </c>
      <c r="LU47">
        <v>1</v>
      </c>
      <c r="LV47">
        <v>1</v>
      </c>
      <c r="LW47">
        <f t="shared" si="28"/>
        <v>15</v>
      </c>
      <c r="LX47">
        <v>2619</v>
      </c>
      <c r="LY47">
        <v>2558</v>
      </c>
      <c r="LZ47">
        <v>2910</v>
      </c>
      <c r="MA47">
        <v>2573</v>
      </c>
      <c r="MB47">
        <v>2524</v>
      </c>
      <c r="MC47">
        <v>2813</v>
      </c>
      <c r="MD47">
        <v>2925</v>
      </c>
      <c r="ME47">
        <v>2418</v>
      </c>
      <c r="MF47">
        <v>2460</v>
      </c>
      <c r="MG47">
        <v>2601</v>
      </c>
      <c r="MH47">
        <v>2209</v>
      </c>
      <c r="MI47">
        <v>2501</v>
      </c>
      <c r="MJ47">
        <f t="shared" si="29"/>
        <v>31111</v>
      </c>
      <c r="MK47">
        <v>41222</v>
      </c>
      <c r="ML47">
        <v>44355</v>
      </c>
      <c r="MM47">
        <v>42097</v>
      </c>
      <c r="MN47">
        <v>45213</v>
      </c>
      <c r="MO47">
        <v>47788</v>
      </c>
      <c r="MP47">
        <v>42956</v>
      </c>
      <c r="MQ47">
        <v>45491</v>
      </c>
      <c r="MR47">
        <v>43115</v>
      </c>
      <c r="MS47">
        <v>42385</v>
      </c>
      <c r="MT47">
        <v>46525</v>
      </c>
      <c r="MU47">
        <v>43370</v>
      </c>
      <c r="MV47">
        <v>46453</v>
      </c>
      <c r="MW47">
        <f t="shared" si="30"/>
        <v>530970</v>
      </c>
      <c r="MX47">
        <v>3544</v>
      </c>
      <c r="MY47">
        <v>3671</v>
      </c>
      <c r="MZ47">
        <v>3084</v>
      </c>
      <c r="NA47">
        <v>3739</v>
      </c>
      <c r="NB47">
        <v>4438</v>
      </c>
      <c r="NC47">
        <v>3525</v>
      </c>
      <c r="ND47">
        <v>4121</v>
      </c>
      <c r="NE47">
        <v>3964</v>
      </c>
      <c r="NF47">
        <v>3668</v>
      </c>
      <c r="NG47">
        <v>4123</v>
      </c>
      <c r="NH47">
        <v>4279</v>
      </c>
      <c r="NI47">
        <v>4502</v>
      </c>
      <c r="NJ47">
        <f t="shared" si="31"/>
        <v>46658</v>
      </c>
      <c r="NK47">
        <v>2162</v>
      </c>
      <c r="NL47">
        <v>2222</v>
      </c>
      <c r="NM47">
        <v>2228</v>
      </c>
      <c r="NN47">
        <v>2478</v>
      </c>
      <c r="NO47">
        <v>2454</v>
      </c>
      <c r="NP47">
        <v>2336</v>
      </c>
      <c r="NQ47">
        <v>2694</v>
      </c>
      <c r="NR47">
        <v>2442</v>
      </c>
      <c r="NS47">
        <v>2377</v>
      </c>
      <c r="NT47">
        <v>2626</v>
      </c>
      <c r="NU47">
        <v>2322</v>
      </c>
      <c r="NV47">
        <v>2743</v>
      </c>
      <c r="NW47">
        <f t="shared" si="32"/>
        <v>29084</v>
      </c>
      <c r="NX47">
        <v>35516</v>
      </c>
      <c r="NY47">
        <v>38462</v>
      </c>
      <c r="NZ47">
        <v>36785</v>
      </c>
      <c r="OA47">
        <v>38996</v>
      </c>
      <c r="OB47">
        <v>40896</v>
      </c>
      <c r="OC47">
        <v>37095</v>
      </c>
      <c r="OD47">
        <v>38676</v>
      </c>
      <c r="OE47">
        <v>36709</v>
      </c>
      <c r="OF47">
        <v>36340</v>
      </c>
      <c r="OG47">
        <v>39776</v>
      </c>
      <c r="OH47">
        <v>36769</v>
      </c>
      <c r="OI47">
        <v>39208</v>
      </c>
      <c r="OJ47">
        <f t="shared" si="33"/>
        <v>455228</v>
      </c>
      <c r="OK47">
        <v>31083</v>
      </c>
      <c r="OL47">
        <v>33807</v>
      </c>
      <c r="OM47">
        <v>33012</v>
      </c>
      <c r="ON47">
        <v>34803</v>
      </c>
      <c r="OO47">
        <v>36755</v>
      </c>
      <c r="OP47">
        <v>35761</v>
      </c>
      <c r="OQ47">
        <v>37283</v>
      </c>
      <c r="OR47">
        <v>35824</v>
      </c>
      <c r="OS47">
        <v>34275</v>
      </c>
      <c r="OT47">
        <v>38688</v>
      </c>
      <c r="OU47">
        <v>35104</v>
      </c>
      <c r="OV47">
        <v>40183</v>
      </c>
      <c r="OW47">
        <f t="shared" si="34"/>
        <v>426578</v>
      </c>
      <c r="OX47">
        <v>2909</v>
      </c>
      <c r="OY47">
        <v>2876</v>
      </c>
      <c r="OZ47">
        <v>2819</v>
      </c>
      <c r="PA47">
        <v>3178</v>
      </c>
      <c r="PB47">
        <v>3499</v>
      </c>
      <c r="PC47">
        <v>3116</v>
      </c>
      <c r="PD47">
        <v>3338</v>
      </c>
      <c r="PE47">
        <v>3207</v>
      </c>
      <c r="PF47">
        <v>3225</v>
      </c>
      <c r="PG47">
        <v>3408</v>
      </c>
      <c r="PH47">
        <v>3044</v>
      </c>
      <c r="PI47">
        <v>3592</v>
      </c>
      <c r="PJ47">
        <f t="shared" si="35"/>
        <v>38211</v>
      </c>
      <c r="PK47">
        <v>1401</v>
      </c>
      <c r="PL47">
        <v>1407</v>
      </c>
      <c r="PM47">
        <v>1276</v>
      </c>
      <c r="PN47">
        <v>1390</v>
      </c>
      <c r="PO47">
        <v>1651</v>
      </c>
      <c r="PP47">
        <v>1560</v>
      </c>
      <c r="PQ47">
        <v>1879</v>
      </c>
      <c r="PR47">
        <v>1764</v>
      </c>
      <c r="PS47">
        <v>1711</v>
      </c>
      <c r="PT47">
        <v>1731</v>
      </c>
      <c r="PU47">
        <v>1517</v>
      </c>
      <c r="PV47">
        <v>1679</v>
      </c>
      <c r="PW47">
        <f t="shared" si="36"/>
        <v>18966</v>
      </c>
      <c r="PX47">
        <v>26773</v>
      </c>
      <c r="PY47">
        <v>29524</v>
      </c>
      <c r="PZ47">
        <v>28917</v>
      </c>
      <c r="QA47">
        <v>30235</v>
      </c>
      <c r="QB47">
        <v>31605</v>
      </c>
      <c r="QC47">
        <v>31085</v>
      </c>
      <c r="QD47">
        <v>32066</v>
      </c>
      <c r="QE47">
        <v>30853</v>
      </c>
      <c r="QF47">
        <v>29339</v>
      </c>
      <c r="QG47">
        <v>33549</v>
      </c>
      <c r="QH47">
        <v>30543</v>
      </c>
      <c r="QI47">
        <v>34912</v>
      </c>
      <c r="QJ47">
        <f t="shared" si="37"/>
        <v>369401</v>
      </c>
      <c r="QK47">
        <v>139829</v>
      </c>
      <c r="QL47">
        <v>147933</v>
      </c>
      <c r="QM47">
        <v>134664</v>
      </c>
      <c r="QN47">
        <v>168344</v>
      </c>
      <c r="QO47">
        <v>162439</v>
      </c>
      <c r="QP47">
        <v>151603</v>
      </c>
      <c r="QQ47">
        <v>144741</v>
      </c>
      <c r="QR47">
        <v>129050</v>
      </c>
      <c r="QS47">
        <v>110458</v>
      </c>
      <c r="QT47">
        <v>133247</v>
      </c>
      <c r="QU47">
        <v>127555</v>
      </c>
      <c r="QV47">
        <v>140706</v>
      </c>
      <c r="QW47">
        <f t="shared" si="38"/>
        <v>1690569</v>
      </c>
      <c r="QX47">
        <v>122686</v>
      </c>
      <c r="QY47">
        <v>119209</v>
      </c>
      <c r="QZ47">
        <v>115712</v>
      </c>
      <c r="RA47">
        <v>137026</v>
      </c>
      <c r="RB47">
        <v>132521</v>
      </c>
      <c r="RC47">
        <v>125167</v>
      </c>
      <c r="RD47">
        <v>129069</v>
      </c>
      <c r="RE47">
        <v>121048</v>
      </c>
      <c r="RF47">
        <v>112474</v>
      </c>
      <c r="RG47">
        <v>118484</v>
      </c>
      <c r="RH47">
        <v>118361</v>
      </c>
      <c r="RI47">
        <v>127588</v>
      </c>
      <c r="RJ47">
        <f t="shared" si="39"/>
        <v>1479345</v>
      </c>
      <c r="RK47">
        <v>0</v>
      </c>
      <c r="RL47">
        <v>0</v>
      </c>
      <c r="RM47">
        <v>0</v>
      </c>
      <c r="RN47">
        <v>0</v>
      </c>
      <c r="RO47">
        <v>0</v>
      </c>
      <c r="RP47">
        <v>0</v>
      </c>
      <c r="RQ47">
        <v>0</v>
      </c>
      <c r="RR47">
        <v>0</v>
      </c>
      <c r="RS47">
        <v>0</v>
      </c>
      <c r="RT47">
        <v>0</v>
      </c>
      <c r="RU47">
        <v>0</v>
      </c>
      <c r="RV47">
        <v>0</v>
      </c>
      <c r="RW47">
        <f t="shared" si="40"/>
        <v>0</v>
      </c>
      <c r="RX47">
        <v>2238</v>
      </c>
      <c r="RY47">
        <v>2843</v>
      </c>
      <c r="RZ47">
        <v>2198</v>
      </c>
      <c r="SA47">
        <v>2664</v>
      </c>
      <c r="SB47">
        <v>2322</v>
      </c>
      <c r="SC47">
        <v>2352</v>
      </c>
      <c r="SD47">
        <v>2959</v>
      </c>
      <c r="SE47">
        <v>2880</v>
      </c>
      <c r="SF47">
        <v>1903</v>
      </c>
      <c r="SG47">
        <v>2286</v>
      </c>
      <c r="SH47">
        <v>2053</v>
      </c>
      <c r="SI47">
        <v>2707</v>
      </c>
      <c r="SJ47">
        <f t="shared" si="41"/>
        <v>29405</v>
      </c>
      <c r="SK47">
        <v>0</v>
      </c>
      <c r="SL47">
        <v>0</v>
      </c>
      <c r="SM47">
        <v>0</v>
      </c>
      <c r="SN47">
        <v>0</v>
      </c>
      <c r="SO47">
        <v>0</v>
      </c>
      <c r="SP47">
        <v>0</v>
      </c>
      <c r="SQ47">
        <v>0</v>
      </c>
      <c r="SR47">
        <v>0</v>
      </c>
      <c r="SS47">
        <v>0</v>
      </c>
      <c r="ST47">
        <v>0</v>
      </c>
      <c r="SU47">
        <v>0</v>
      </c>
      <c r="SV47">
        <v>0</v>
      </c>
      <c r="SW47">
        <f t="shared" si="42"/>
        <v>0</v>
      </c>
      <c r="SX47" t="s">
        <v>1494</v>
      </c>
      <c r="SY47">
        <v>14212</v>
      </c>
      <c r="SZ47">
        <v>14172</v>
      </c>
      <c r="TA47">
        <v>13515</v>
      </c>
      <c r="TB47">
        <v>15040</v>
      </c>
      <c r="TC47">
        <v>14463</v>
      </c>
      <c r="TD47">
        <v>15287</v>
      </c>
      <c r="TE47">
        <v>14767</v>
      </c>
      <c r="TF47">
        <v>12416</v>
      </c>
      <c r="TG47">
        <v>10568</v>
      </c>
      <c r="TH47">
        <v>12905</v>
      </c>
      <c r="TI47">
        <v>12051</v>
      </c>
      <c r="TJ47">
        <v>12957</v>
      </c>
      <c r="TK47">
        <f t="shared" si="43"/>
        <v>162353</v>
      </c>
      <c r="TL47">
        <v>9886</v>
      </c>
      <c r="TM47">
        <v>9186</v>
      </c>
      <c r="TN47">
        <v>8382</v>
      </c>
      <c r="TO47">
        <v>8764</v>
      </c>
      <c r="TP47">
        <v>8267</v>
      </c>
      <c r="TQ47">
        <v>9207</v>
      </c>
      <c r="TR47">
        <v>9953</v>
      </c>
      <c r="TS47">
        <v>8747</v>
      </c>
      <c r="TT47">
        <v>7348</v>
      </c>
      <c r="TU47">
        <v>8786</v>
      </c>
      <c r="TV47">
        <v>9164</v>
      </c>
      <c r="TW47">
        <v>10366</v>
      </c>
      <c r="TX47">
        <f t="shared" si="44"/>
        <v>108056</v>
      </c>
      <c r="TY47">
        <v>340</v>
      </c>
      <c r="TZ47">
        <v>0</v>
      </c>
      <c r="UA47">
        <v>0</v>
      </c>
      <c r="UB47">
        <v>152</v>
      </c>
    </row>
    <row r="48" spans="1:548" ht="16.5" customHeight="1" x14ac:dyDescent="0.35">
      <c r="A48" t="s">
        <v>1420</v>
      </c>
      <c r="B48" t="s">
        <v>2865</v>
      </c>
      <c r="C48">
        <v>26790</v>
      </c>
      <c r="D48">
        <v>0</v>
      </c>
      <c r="E48">
        <v>0</v>
      </c>
      <c r="F48">
        <v>0</v>
      </c>
      <c r="G48">
        <v>281</v>
      </c>
      <c r="H48">
        <v>296</v>
      </c>
      <c r="I48">
        <v>302</v>
      </c>
      <c r="J48">
        <v>362</v>
      </c>
      <c r="K48">
        <v>315</v>
      </c>
      <c r="L48">
        <v>293</v>
      </c>
      <c r="M48">
        <v>311</v>
      </c>
      <c r="N48">
        <v>300</v>
      </c>
      <c r="O48">
        <v>233</v>
      </c>
      <c r="P48">
        <v>284</v>
      </c>
      <c r="Q48">
        <v>253</v>
      </c>
      <c r="R48">
        <v>278</v>
      </c>
      <c r="S48">
        <f t="shared" si="0"/>
        <v>3508</v>
      </c>
      <c r="T48">
        <v>130</v>
      </c>
      <c r="U48">
        <v>145</v>
      </c>
      <c r="V48">
        <v>147</v>
      </c>
      <c r="W48">
        <v>185</v>
      </c>
      <c r="X48">
        <v>162</v>
      </c>
      <c r="Y48">
        <v>130</v>
      </c>
      <c r="Z48">
        <v>157</v>
      </c>
      <c r="AA48">
        <v>150</v>
      </c>
      <c r="AB48">
        <v>126</v>
      </c>
      <c r="AC48">
        <v>136</v>
      </c>
      <c r="AD48">
        <v>122</v>
      </c>
      <c r="AE48">
        <v>136</v>
      </c>
      <c r="AF48">
        <f t="shared" si="1"/>
        <v>1726</v>
      </c>
      <c r="AG48">
        <v>9</v>
      </c>
      <c r="AH48">
        <v>5</v>
      </c>
      <c r="AI48">
        <v>0</v>
      </c>
      <c r="AJ48">
        <v>1</v>
      </c>
      <c r="AK48">
        <v>3</v>
      </c>
      <c r="AL48">
        <v>0</v>
      </c>
      <c r="AM48">
        <v>0</v>
      </c>
      <c r="AN48">
        <v>0</v>
      </c>
      <c r="AO48">
        <v>1</v>
      </c>
      <c r="AP48">
        <v>0</v>
      </c>
      <c r="AQ48">
        <v>0</v>
      </c>
      <c r="AR48">
        <v>0</v>
      </c>
      <c r="AS48">
        <f t="shared" si="2"/>
        <v>19</v>
      </c>
      <c r="AT48">
        <v>118</v>
      </c>
      <c r="AU48">
        <v>119</v>
      </c>
      <c r="AV48">
        <v>131</v>
      </c>
      <c r="AW48">
        <v>146</v>
      </c>
      <c r="AX48">
        <v>115</v>
      </c>
      <c r="AY48">
        <v>150</v>
      </c>
      <c r="AZ48">
        <v>141</v>
      </c>
      <c r="BA48">
        <v>136</v>
      </c>
      <c r="BB48">
        <v>93</v>
      </c>
      <c r="BC48">
        <v>135</v>
      </c>
      <c r="BD48">
        <v>119</v>
      </c>
      <c r="BE48">
        <v>131</v>
      </c>
      <c r="BF48">
        <f t="shared" si="3"/>
        <v>1534</v>
      </c>
      <c r="BG48">
        <v>24</v>
      </c>
      <c r="BH48">
        <v>27</v>
      </c>
      <c r="BI48">
        <v>24</v>
      </c>
      <c r="BJ48">
        <v>30</v>
      </c>
      <c r="BK48">
        <v>35</v>
      </c>
      <c r="BL48">
        <v>13</v>
      </c>
      <c r="BM48">
        <v>13</v>
      </c>
      <c r="BN48">
        <v>14</v>
      </c>
      <c r="BO48">
        <v>13</v>
      </c>
      <c r="BP48">
        <v>13</v>
      </c>
      <c r="BQ48">
        <v>12</v>
      </c>
      <c r="BR48">
        <v>11</v>
      </c>
      <c r="BS48">
        <f t="shared" si="4"/>
        <v>229</v>
      </c>
      <c r="BT48">
        <v>1</v>
      </c>
      <c r="BU48">
        <v>1</v>
      </c>
      <c r="BV48">
        <v>1</v>
      </c>
      <c r="BW48">
        <v>1</v>
      </c>
      <c r="BX48">
        <v>1</v>
      </c>
      <c r="BY48">
        <v>1</v>
      </c>
      <c r="BZ48">
        <v>1</v>
      </c>
      <c r="CA48">
        <v>1</v>
      </c>
      <c r="CB48">
        <v>1</v>
      </c>
      <c r="CC48">
        <v>1</v>
      </c>
      <c r="CD48">
        <v>1</v>
      </c>
      <c r="CE48">
        <v>1</v>
      </c>
      <c r="CF48">
        <f t="shared" si="5"/>
        <v>12</v>
      </c>
      <c r="CG48">
        <v>0</v>
      </c>
      <c r="CH48">
        <v>0</v>
      </c>
      <c r="CI48">
        <v>0</v>
      </c>
      <c r="CJ48">
        <v>0</v>
      </c>
      <c r="CK48">
        <v>0</v>
      </c>
      <c r="CL48">
        <v>0</v>
      </c>
      <c r="CM48">
        <v>0</v>
      </c>
      <c r="CN48">
        <v>0</v>
      </c>
      <c r="CO48">
        <v>0</v>
      </c>
      <c r="CP48">
        <v>0</v>
      </c>
      <c r="CQ48">
        <v>0</v>
      </c>
      <c r="CR48">
        <v>0</v>
      </c>
      <c r="CS48">
        <f t="shared" si="6"/>
        <v>0</v>
      </c>
      <c r="CT48">
        <v>0</v>
      </c>
      <c r="CU48">
        <v>0</v>
      </c>
      <c r="CV48">
        <v>0</v>
      </c>
      <c r="CW48">
        <v>0</v>
      </c>
      <c r="CX48">
        <v>0</v>
      </c>
      <c r="CY48">
        <v>0</v>
      </c>
      <c r="CZ48">
        <v>0</v>
      </c>
      <c r="DA48">
        <v>0</v>
      </c>
      <c r="DB48">
        <v>0</v>
      </c>
      <c r="DC48">
        <v>0</v>
      </c>
      <c r="DD48">
        <v>0</v>
      </c>
      <c r="DE48">
        <v>0</v>
      </c>
      <c r="DF48">
        <f t="shared" si="7"/>
        <v>0</v>
      </c>
      <c r="DG48">
        <v>1</v>
      </c>
      <c r="DH48">
        <v>1</v>
      </c>
      <c r="DI48">
        <v>1</v>
      </c>
      <c r="DJ48">
        <v>1</v>
      </c>
      <c r="DK48">
        <v>1</v>
      </c>
      <c r="DL48">
        <v>1</v>
      </c>
      <c r="DM48">
        <v>1</v>
      </c>
      <c r="DN48">
        <v>1</v>
      </c>
      <c r="DO48">
        <v>1</v>
      </c>
      <c r="DP48">
        <v>1</v>
      </c>
      <c r="DQ48">
        <v>1</v>
      </c>
      <c r="DR48">
        <v>1</v>
      </c>
      <c r="DS48">
        <f t="shared" si="8"/>
        <v>12</v>
      </c>
      <c r="DT48">
        <v>0</v>
      </c>
      <c r="DU48">
        <v>0</v>
      </c>
      <c r="DV48">
        <v>0</v>
      </c>
      <c r="DW48">
        <v>0</v>
      </c>
      <c r="DX48">
        <v>0</v>
      </c>
      <c r="DY48">
        <v>0</v>
      </c>
      <c r="DZ48">
        <v>0</v>
      </c>
      <c r="EA48">
        <v>0</v>
      </c>
      <c r="EB48">
        <v>0</v>
      </c>
      <c r="EC48">
        <v>0</v>
      </c>
      <c r="ED48">
        <v>0</v>
      </c>
      <c r="EE48">
        <v>0</v>
      </c>
      <c r="EF48">
        <f t="shared" si="9"/>
        <v>0</v>
      </c>
      <c r="EG48">
        <f t="shared" si="10"/>
        <v>3508</v>
      </c>
      <c r="EH48">
        <f t="shared" si="11"/>
        <v>12</v>
      </c>
      <c r="EI48">
        <v>2898</v>
      </c>
      <c r="EJ48">
        <v>2490</v>
      </c>
      <c r="EK48">
        <v>6527</v>
      </c>
      <c r="EL48">
        <v>3293</v>
      </c>
      <c r="EM48">
        <v>5431</v>
      </c>
      <c r="EN48">
        <v>2406</v>
      </c>
      <c r="EO48">
        <v>3333</v>
      </c>
      <c r="EP48">
        <v>3770</v>
      </c>
      <c r="EQ48">
        <v>2068</v>
      </c>
      <c r="ER48">
        <v>3284</v>
      </c>
      <c r="ES48">
        <v>3310</v>
      </c>
      <c r="ET48">
        <v>3160</v>
      </c>
      <c r="EU48">
        <f t="shared" si="12"/>
        <v>41970</v>
      </c>
      <c r="EV48">
        <v>0</v>
      </c>
      <c r="EW48">
        <v>0</v>
      </c>
      <c r="EX48">
        <v>0</v>
      </c>
      <c r="EY48">
        <v>0</v>
      </c>
      <c r="EZ48">
        <v>0</v>
      </c>
      <c r="FA48">
        <v>0</v>
      </c>
      <c r="FB48">
        <v>0</v>
      </c>
      <c r="FC48">
        <v>0</v>
      </c>
      <c r="FD48">
        <v>0</v>
      </c>
      <c r="FE48">
        <v>0</v>
      </c>
      <c r="FF48">
        <v>0</v>
      </c>
      <c r="FG48">
        <v>0</v>
      </c>
      <c r="FH48">
        <f t="shared" si="13"/>
        <v>0</v>
      </c>
      <c r="FI48">
        <v>0</v>
      </c>
      <c r="FJ48">
        <v>0</v>
      </c>
      <c r="FK48">
        <v>0</v>
      </c>
      <c r="FL48">
        <v>0</v>
      </c>
      <c r="FM48">
        <v>0</v>
      </c>
      <c r="FN48">
        <v>0</v>
      </c>
      <c r="FO48">
        <v>0</v>
      </c>
      <c r="FP48">
        <v>0</v>
      </c>
      <c r="FQ48">
        <v>0</v>
      </c>
      <c r="FR48">
        <v>0</v>
      </c>
      <c r="FS48">
        <v>0</v>
      </c>
      <c r="FT48">
        <v>0</v>
      </c>
      <c r="FU48">
        <f t="shared" si="14"/>
        <v>0</v>
      </c>
      <c r="FV48">
        <v>1752</v>
      </c>
      <c r="FW48">
        <v>1534</v>
      </c>
      <c r="FX48">
        <v>3717</v>
      </c>
      <c r="FY48">
        <v>1862</v>
      </c>
      <c r="FZ48">
        <v>2705</v>
      </c>
      <c r="GA48">
        <v>1347</v>
      </c>
      <c r="GB48">
        <v>2004</v>
      </c>
      <c r="GC48">
        <v>2076</v>
      </c>
      <c r="GD48">
        <v>1209</v>
      </c>
      <c r="GE48">
        <v>2160</v>
      </c>
      <c r="GF48">
        <v>1971</v>
      </c>
      <c r="GG48">
        <v>1950</v>
      </c>
      <c r="GH48">
        <f t="shared" si="15"/>
        <v>24287</v>
      </c>
      <c r="GI48">
        <v>13</v>
      </c>
      <c r="GJ48">
        <v>12</v>
      </c>
      <c r="GK48">
        <v>22</v>
      </c>
      <c r="GL48">
        <v>18</v>
      </c>
      <c r="GM48">
        <v>12</v>
      </c>
      <c r="GN48">
        <v>12</v>
      </c>
      <c r="GO48">
        <v>15</v>
      </c>
      <c r="GP48">
        <v>12</v>
      </c>
      <c r="GQ48">
        <v>13</v>
      </c>
      <c r="GR48">
        <v>13</v>
      </c>
      <c r="GS48">
        <v>12</v>
      </c>
      <c r="GT48">
        <v>52</v>
      </c>
      <c r="GU48">
        <f t="shared" si="16"/>
        <v>206</v>
      </c>
      <c r="GV48">
        <v>0</v>
      </c>
      <c r="GW48">
        <v>0</v>
      </c>
      <c r="GX48">
        <v>0</v>
      </c>
      <c r="GY48">
        <v>0</v>
      </c>
      <c r="GZ48">
        <v>0</v>
      </c>
      <c r="HA48">
        <v>0</v>
      </c>
      <c r="HB48">
        <v>0</v>
      </c>
      <c r="HC48">
        <v>0</v>
      </c>
      <c r="HD48">
        <v>0</v>
      </c>
      <c r="HE48">
        <v>0</v>
      </c>
      <c r="HF48">
        <v>0</v>
      </c>
      <c r="HG48">
        <v>0</v>
      </c>
      <c r="HH48">
        <f t="shared" si="17"/>
        <v>0</v>
      </c>
      <c r="HI48">
        <v>0</v>
      </c>
      <c r="HJ48">
        <v>0</v>
      </c>
      <c r="HK48">
        <v>0</v>
      </c>
      <c r="HL48">
        <v>0</v>
      </c>
      <c r="HM48">
        <v>0</v>
      </c>
      <c r="HN48">
        <v>0</v>
      </c>
      <c r="HO48">
        <v>0</v>
      </c>
      <c r="HP48">
        <v>0</v>
      </c>
      <c r="HQ48">
        <v>0</v>
      </c>
      <c r="HR48">
        <v>0</v>
      </c>
      <c r="HS48">
        <v>0</v>
      </c>
      <c r="HT48">
        <v>0</v>
      </c>
      <c r="HU48">
        <f t="shared" si="18"/>
        <v>0</v>
      </c>
      <c r="HV48">
        <v>13</v>
      </c>
      <c r="HW48">
        <v>12</v>
      </c>
      <c r="HX48">
        <v>22</v>
      </c>
      <c r="HY48">
        <v>18</v>
      </c>
      <c r="HZ48">
        <v>12</v>
      </c>
      <c r="IA48">
        <v>12</v>
      </c>
      <c r="IB48">
        <v>15</v>
      </c>
      <c r="IC48">
        <v>12</v>
      </c>
      <c r="ID48">
        <v>13</v>
      </c>
      <c r="IE48">
        <v>13</v>
      </c>
      <c r="IF48">
        <v>12</v>
      </c>
      <c r="IG48">
        <v>52</v>
      </c>
      <c r="IH48">
        <f t="shared" si="19"/>
        <v>206</v>
      </c>
      <c r="II48">
        <f t="shared" si="20"/>
        <v>24287</v>
      </c>
      <c r="IJ48">
        <f t="shared" si="21"/>
        <v>206</v>
      </c>
      <c r="IK48">
        <v>19346</v>
      </c>
      <c r="IL48">
        <v>21269</v>
      </c>
      <c r="IM48">
        <v>15233</v>
      </c>
      <c r="IN48">
        <v>31855</v>
      </c>
      <c r="IO48">
        <v>25491</v>
      </c>
      <c r="IP48">
        <v>21791</v>
      </c>
      <c r="IQ48">
        <v>52560</v>
      </c>
      <c r="IR48">
        <v>33950</v>
      </c>
      <c r="IS48">
        <v>30933</v>
      </c>
      <c r="IT48">
        <v>21594</v>
      </c>
      <c r="IU48">
        <v>22398</v>
      </c>
      <c r="IV48">
        <v>43735</v>
      </c>
      <c r="IW48">
        <f t="shared" si="22"/>
        <v>340155</v>
      </c>
      <c r="IX48">
        <v>7002</v>
      </c>
      <c r="IY48">
        <v>7588</v>
      </c>
      <c r="IZ48">
        <v>2629</v>
      </c>
      <c r="JA48">
        <v>18167</v>
      </c>
      <c r="JB48">
        <v>11161</v>
      </c>
      <c r="JC48">
        <v>7513</v>
      </c>
      <c r="JD48">
        <v>37081</v>
      </c>
      <c r="JE48">
        <v>19935</v>
      </c>
      <c r="JF48">
        <v>19335</v>
      </c>
      <c r="JG48">
        <v>8638</v>
      </c>
      <c r="JH48">
        <v>10021</v>
      </c>
      <c r="JI48">
        <v>30048</v>
      </c>
      <c r="JJ48">
        <f t="shared" si="23"/>
        <v>179118</v>
      </c>
      <c r="JK48">
        <v>349</v>
      </c>
      <c r="JL48">
        <v>975</v>
      </c>
      <c r="JM48">
        <v>437</v>
      </c>
      <c r="JN48">
        <v>531</v>
      </c>
      <c r="JO48">
        <v>549</v>
      </c>
      <c r="JP48">
        <v>1112</v>
      </c>
      <c r="JQ48">
        <v>2573</v>
      </c>
      <c r="JR48">
        <v>793</v>
      </c>
      <c r="JS48">
        <v>361</v>
      </c>
      <c r="JT48">
        <v>407</v>
      </c>
      <c r="JU48">
        <v>355</v>
      </c>
      <c r="JV48">
        <v>445</v>
      </c>
      <c r="JW48">
        <f t="shared" si="24"/>
        <v>8887</v>
      </c>
      <c r="JX48">
        <v>11995</v>
      </c>
      <c r="JY48">
        <v>12706</v>
      </c>
      <c r="JZ48">
        <v>12167</v>
      </c>
      <c r="KA48">
        <v>13157</v>
      </c>
      <c r="KB48">
        <v>13781</v>
      </c>
      <c r="KC48">
        <v>13166</v>
      </c>
      <c r="KD48">
        <v>12906</v>
      </c>
      <c r="KE48">
        <v>13222</v>
      </c>
      <c r="KF48">
        <v>11237</v>
      </c>
      <c r="KG48">
        <v>12549</v>
      </c>
      <c r="KH48">
        <v>12022</v>
      </c>
      <c r="KI48">
        <v>13242</v>
      </c>
      <c r="KJ48">
        <f t="shared" si="25"/>
        <v>152150</v>
      </c>
      <c r="KK48">
        <v>477</v>
      </c>
      <c r="KL48">
        <v>371</v>
      </c>
      <c r="KM48">
        <v>468</v>
      </c>
      <c r="KN48">
        <v>399</v>
      </c>
      <c r="KO48">
        <v>521</v>
      </c>
      <c r="KP48">
        <v>406</v>
      </c>
      <c r="KQ48">
        <v>457</v>
      </c>
      <c r="KR48">
        <v>497</v>
      </c>
      <c r="KS48">
        <v>350</v>
      </c>
      <c r="KT48">
        <v>459</v>
      </c>
      <c r="KU48">
        <v>191</v>
      </c>
      <c r="KV48">
        <v>619</v>
      </c>
      <c r="KW48">
        <f t="shared" si="26"/>
        <v>5215</v>
      </c>
      <c r="KX48">
        <v>64</v>
      </c>
      <c r="KY48">
        <v>32</v>
      </c>
      <c r="KZ48">
        <v>52</v>
      </c>
      <c r="LA48">
        <v>51</v>
      </c>
      <c r="LB48">
        <v>48</v>
      </c>
      <c r="LC48">
        <v>37</v>
      </c>
      <c r="LD48">
        <v>73</v>
      </c>
      <c r="LE48">
        <v>58</v>
      </c>
      <c r="LF48">
        <v>12</v>
      </c>
      <c r="LG48">
        <v>22</v>
      </c>
      <c r="LH48">
        <v>46</v>
      </c>
      <c r="LI48">
        <v>26</v>
      </c>
      <c r="LJ48">
        <f t="shared" si="27"/>
        <v>521</v>
      </c>
      <c r="LK48">
        <v>0</v>
      </c>
      <c r="LL48">
        <v>0</v>
      </c>
      <c r="LM48">
        <v>0</v>
      </c>
      <c r="LN48">
        <v>0</v>
      </c>
      <c r="LO48">
        <v>0</v>
      </c>
      <c r="LP48">
        <v>0</v>
      </c>
      <c r="LQ48">
        <v>0</v>
      </c>
      <c r="LR48">
        <v>0</v>
      </c>
      <c r="LS48">
        <v>0</v>
      </c>
      <c r="LT48">
        <v>0</v>
      </c>
      <c r="LU48">
        <v>0</v>
      </c>
      <c r="LV48">
        <v>0</v>
      </c>
      <c r="LW48">
        <f t="shared" si="28"/>
        <v>0</v>
      </c>
      <c r="LX48">
        <v>413</v>
      </c>
      <c r="LY48">
        <v>339</v>
      </c>
      <c r="LZ48">
        <v>416</v>
      </c>
      <c r="MA48">
        <v>348</v>
      </c>
      <c r="MB48">
        <v>473</v>
      </c>
      <c r="MC48">
        <v>369</v>
      </c>
      <c r="MD48">
        <v>384</v>
      </c>
      <c r="ME48">
        <v>439</v>
      </c>
      <c r="MF48">
        <v>338</v>
      </c>
      <c r="MG48">
        <v>437</v>
      </c>
      <c r="MH48">
        <v>145</v>
      </c>
      <c r="MI48">
        <v>593</v>
      </c>
      <c r="MJ48">
        <f t="shared" si="29"/>
        <v>4694</v>
      </c>
      <c r="MK48">
        <v>1172</v>
      </c>
      <c r="ML48">
        <v>1200</v>
      </c>
      <c r="MM48">
        <v>1097</v>
      </c>
      <c r="MN48">
        <v>1242</v>
      </c>
      <c r="MO48">
        <v>1289</v>
      </c>
      <c r="MP48">
        <v>1261</v>
      </c>
      <c r="MQ48">
        <v>1277</v>
      </c>
      <c r="MR48">
        <v>1072</v>
      </c>
      <c r="MS48">
        <v>1075</v>
      </c>
      <c r="MT48">
        <v>1121</v>
      </c>
      <c r="MU48">
        <v>1059</v>
      </c>
      <c r="MV48">
        <v>1094</v>
      </c>
      <c r="MW48">
        <f t="shared" si="30"/>
        <v>13959</v>
      </c>
      <c r="MX48">
        <v>58</v>
      </c>
      <c r="MY48">
        <v>45</v>
      </c>
      <c r="MZ48">
        <v>29</v>
      </c>
      <c r="NA48">
        <v>52</v>
      </c>
      <c r="NB48">
        <v>43</v>
      </c>
      <c r="NC48">
        <v>43</v>
      </c>
      <c r="ND48">
        <v>65</v>
      </c>
      <c r="NE48">
        <v>29</v>
      </c>
      <c r="NF48">
        <v>45</v>
      </c>
      <c r="NG48">
        <v>48</v>
      </c>
      <c r="NH48">
        <v>39</v>
      </c>
      <c r="NI48">
        <v>27</v>
      </c>
      <c r="NJ48">
        <f t="shared" si="31"/>
        <v>523</v>
      </c>
      <c r="NK48">
        <v>69</v>
      </c>
      <c r="NL48">
        <v>68</v>
      </c>
      <c r="NM48">
        <v>53</v>
      </c>
      <c r="NN48">
        <v>79</v>
      </c>
      <c r="NO48">
        <v>66</v>
      </c>
      <c r="NP48">
        <v>64</v>
      </c>
      <c r="NQ48">
        <v>53</v>
      </c>
      <c r="NR48">
        <v>48</v>
      </c>
      <c r="NS48">
        <v>56</v>
      </c>
      <c r="NT48">
        <v>53</v>
      </c>
      <c r="NU48">
        <v>42</v>
      </c>
      <c r="NV48">
        <v>44</v>
      </c>
      <c r="NW48">
        <f t="shared" si="32"/>
        <v>695</v>
      </c>
      <c r="NX48">
        <v>1045</v>
      </c>
      <c r="NY48">
        <v>1087</v>
      </c>
      <c r="NZ48">
        <v>1015</v>
      </c>
      <c r="OA48">
        <v>1111</v>
      </c>
      <c r="OB48">
        <v>1180</v>
      </c>
      <c r="OC48">
        <v>1154</v>
      </c>
      <c r="OD48">
        <v>1159</v>
      </c>
      <c r="OE48">
        <v>995</v>
      </c>
      <c r="OF48">
        <v>974</v>
      </c>
      <c r="OG48">
        <v>1020</v>
      </c>
      <c r="OH48">
        <v>978</v>
      </c>
      <c r="OI48">
        <v>1023</v>
      </c>
      <c r="OJ48">
        <f t="shared" si="33"/>
        <v>12741</v>
      </c>
      <c r="OK48">
        <v>2178</v>
      </c>
      <c r="OL48">
        <v>2327</v>
      </c>
      <c r="OM48">
        <v>2121</v>
      </c>
      <c r="ON48">
        <v>2313</v>
      </c>
      <c r="OO48">
        <v>2321</v>
      </c>
      <c r="OP48">
        <v>2279</v>
      </c>
      <c r="OQ48">
        <v>2345</v>
      </c>
      <c r="OR48">
        <v>2252</v>
      </c>
      <c r="OS48">
        <v>2204</v>
      </c>
      <c r="OT48">
        <v>2382</v>
      </c>
      <c r="OU48">
        <v>2299</v>
      </c>
      <c r="OV48">
        <v>2072</v>
      </c>
      <c r="OW48">
        <f t="shared" si="34"/>
        <v>27093</v>
      </c>
      <c r="OX48">
        <v>160</v>
      </c>
      <c r="OY48">
        <v>165</v>
      </c>
      <c r="OZ48">
        <v>136</v>
      </c>
      <c r="PA48">
        <v>171</v>
      </c>
      <c r="PB48">
        <v>207</v>
      </c>
      <c r="PC48">
        <v>138</v>
      </c>
      <c r="PD48">
        <v>136</v>
      </c>
      <c r="PE48">
        <v>207</v>
      </c>
      <c r="PF48">
        <v>166</v>
      </c>
      <c r="PG48">
        <v>179</v>
      </c>
      <c r="PH48">
        <v>114</v>
      </c>
      <c r="PI48">
        <v>105</v>
      </c>
      <c r="PJ48">
        <f t="shared" si="35"/>
        <v>1884</v>
      </c>
      <c r="PK48">
        <v>61</v>
      </c>
      <c r="PL48">
        <v>82</v>
      </c>
      <c r="PM48">
        <v>60</v>
      </c>
      <c r="PN48">
        <v>70</v>
      </c>
      <c r="PO48">
        <v>63</v>
      </c>
      <c r="PP48">
        <v>68</v>
      </c>
      <c r="PQ48">
        <v>72</v>
      </c>
      <c r="PR48">
        <v>43</v>
      </c>
      <c r="PS48">
        <v>67</v>
      </c>
      <c r="PT48">
        <v>61</v>
      </c>
      <c r="PU48">
        <v>63</v>
      </c>
      <c r="PV48">
        <v>59</v>
      </c>
      <c r="PW48">
        <f t="shared" si="36"/>
        <v>769</v>
      </c>
      <c r="PX48">
        <v>1957</v>
      </c>
      <c r="PY48">
        <v>2080</v>
      </c>
      <c r="PZ48">
        <v>1925</v>
      </c>
      <c r="QA48">
        <v>2072</v>
      </c>
      <c r="QB48">
        <v>2051</v>
      </c>
      <c r="QC48">
        <v>2073</v>
      </c>
      <c r="QD48">
        <v>2137</v>
      </c>
      <c r="QE48">
        <v>2002</v>
      </c>
      <c r="QF48">
        <v>1971</v>
      </c>
      <c r="QG48">
        <v>2142</v>
      </c>
      <c r="QH48">
        <v>2122</v>
      </c>
      <c r="QI48">
        <v>1908</v>
      </c>
      <c r="QJ48">
        <f t="shared" si="37"/>
        <v>24440</v>
      </c>
      <c r="QK48">
        <v>37983</v>
      </c>
      <c r="QL48">
        <v>52205</v>
      </c>
      <c r="QM48">
        <v>54499</v>
      </c>
      <c r="QN48">
        <v>43951</v>
      </c>
      <c r="QO48">
        <v>39818</v>
      </c>
      <c r="QP48">
        <v>39883</v>
      </c>
      <c r="QQ48">
        <v>42441</v>
      </c>
      <c r="QR48">
        <v>37627</v>
      </c>
      <c r="QS48">
        <v>32261</v>
      </c>
      <c r="QT48">
        <v>37129</v>
      </c>
      <c r="QU48">
        <v>38478</v>
      </c>
      <c r="QV48">
        <v>43289</v>
      </c>
      <c r="QW48">
        <f t="shared" si="38"/>
        <v>499564</v>
      </c>
      <c r="QX48">
        <v>11203</v>
      </c>
      <c r="QY48">
        <v>14139</v>
      </c>
      <c r="QZ48">
        <v>14518</v>
      </c>
      <c r="RA48">
        <v>12950</v>
      </c>
      <c r="RB48">
        <v>13366</v>
      </c>
      <c r="RC48">
        <v>14569</v>
      </c>
      <c r="RD48">
        <v>13122</v>
      </c>
      <c r="RE48">
        <v>13086</v>
      </c>
      <c r="RF48">
        <v>8611</v>
      </c>
      <c r="RG48">
        <v>11571</v>
      </c>
      <c r="RH48">
        <v>11505</v>
      </c>
      <c r="RI48">
        <v>13940</v>
      </c>
      <c r="RJ48">
        <f t="shared" si="39"/>
        <v>152580</v>
      </c>
      <c r="RK48">
        <v>0</v>
      </c>
      <c r="RL48">
        <v>0</v>
      </c>
      <c r="RM48">
        <v>0</v>
      </c>
      <c r="RN48">
        <v>0</v>
      </c>
      <c r="RO48">
        <v>0</v>
      </c>
      <c r="RP48">
        <v>0</v>
      </c>
      <c r="RQ48">
        <v>0</v>
      </c>
      <c r="RR48">
        <v>0</v>
      </c>
      <c r="RS48">
        <v>0</v>
      </c>
      <c r="RT48">
        <v>0</v>
      </c>
      <c r="RU48">
        <v>0</v>
      </c>
      <c r="RV48">
        <v>0</v>
      </c>
      <c r="RW48">
        <f t="shared" si="40"/>
        <v>0</v>
      </c>
      <c r="RX48">
        <v>0</v>
      </c>
      <c r="RY48">
        <v>0</v>
      </c>
      <c r="RZ48">
        <v>0</v>
      </c>
      <c r="SA48">
        <v>0</v>
      </c>
      <c r="SB48">
        <v>0</v>
      </c>
      <c r="SC48">
        <v>0</v>
      </c>
      <c r="SD48">
        <v>0</v>
      </c>
      <c r="SE48">
        <v>0</v>
      </c>
      <c r="SF48">
        <v>0</v>
      </c>
      <c r="SG48">
        <v>0</v>
      </c>
      <c r="SH48">
        <v>0</v>
      </c>
      <c r="SI48">
        <v>0</v>
      </c>
      <c r="SJ48">
        <f t="shared" si="41"/>
        <v>0</v>
      </c>
      <c r="SK48">
        <v>118</v>
      </c>
      <c r="SL48">
        <v>105</v>
      </c>
      <c r="SM48">
        <v>115</v>
      </c>
      <c r="SN48">
        <v>130</v>
      </c>
      <c r="SO48">
        <v>127</v>
      </c>
      <c r="SP48">
        <v>113</v>
      </c>
      <c r="SQ48">
        <v>108</v>
      </c>
      <c r="SR48">
        <v>92</v>
      </c>
      <c r="SS48">
        <v>90</v>
      </c>
      <c r="ST48">
        <v>111</v>
      </c>
      <c r="SU48">
        <v>103</v>
      </c>
      <c r="SV48">
        <v>106</v>
      </c>
      <c r="SW48">
        <f t="shared" si="42"/>
        <v>1318</v>
      </c>
      <c r="SX48" t="s">
        <v>1421</v>
      </c>
      <c r="SY48">
        <v>2793</v>
      </c>
      <c r="SZ48">
        <v>2769</v>
      </c>
      <c r="TA48">
        <v>2142</v>
      </c>
      <c r="TB48">
        <v>2911</v>
      </c>
      <c r="TC48">
        <v>2834</v>
      </c>
      <c r="TD48">
        <v>2988</v>
      </c>
      <c r="TE48">
        <v>3009</v>
      </c>
      <c r="TF48">
        <v>2584</v>
      </c>
      <c r="TG48">
        <v>2345</v>
      </c>
      <c r="TH48">
        <v>2664</v>
      </c>
      <c r="TI48">
        <v>2832</v>
      </c>
      <c r="TJ48">
        <v>3050</v>
      </c>
      <c r="TK48">
        <f t="shared" si="43"/>
        <v>32921</v>
      </c>
      <c r="TL48">
        <v>0</v>
      </c>
      <c r="TM48">
        <v>0</v>
      </c>
      <c r="TN48">
        <v>0</v>
      </c>
      <c r="TO48">
        <v>0</v>
      </c>
      <c r="TP48">
        <v>0</v>
      </c>
      <c r="TQ48">
        <v>0</v>
      </c>
      <c r="TR48">
        <v>0</v>
      </c>
      <c r="TS48">
        <v>2376</v>
      </c>
      <c r="TT48">
        <v>2180</v>
      </c>
      <c r="TU48">
        <v>2395</v>
      </c>
      <c r="TV48">
        <v>2577</v>
      </c>
      <c r="TW48">
        <v>2842</v>
      </c>
      <c r="TX48">
        <f t="shared" si="44"/>
        <v>12370</v>
      </c>
      <c r="TY48">
        <v>151</v>
      </c>
      <c r="TZ48">
        <v>0</v>
      </c>
      <c r="UA48">
        <v>0</v>
      </c>
      <c r="UB48">
        <v>181</v>
      </c>
    </row>
    <row r="49" spans="1:548" ht="16.5" customHeight="1" x14ac:dyDescent="0.35">
      <c r="A49" t="s">
        <v>1522</v>
      </c>
      <c r="B49" t="s">
        <v>2865</v>
      </c>
      <c r="C49">
        <v>37046</v>
      </c>
      <c r="D49">
        <v>0</v>
      </c>
      <c r="E49">
        <v>0</v>
      </c>
      <c r="F49">
        <v>24571</v>
      </c>
      <c r="G49">
        <v>702</v>
      </c>
      <c r="H49">
        <v>693</v>
      </c>
      <c r="I49">
        <v>761</v>
      </c>
      <c r="J49">
        <v>743</v>
      </c>
      <c r="K49">
        <v>644</v>
      </c>
      <c r="L49">
        <v>794</v>
      </c>
      <c r="M49">
        <v>855</v>
      </c>
      <c r="N49">
        <v>802</v>
      </c>
      <c r="O49">
        <v>610</v>
      </c>
      <c r="P49">
        <v>759</v>
      </c>
      <c r="Q49">
        <v>746</v>
      </c>
      <c r="R49">
        <v>815</v>
      </c>
      <c r="S49">
        <f t="shared" si="0"/>
        <v>8924</v>
      </c>
      <c r="T49">
        <v>232</v>
      </c>
      <c r="U49">
        <v>243</v>
      </c>
      <c r="V49">
        <v>242</v>
      </c>
      <c r="W49">
        <v>215</v>
      </c>
      <c r="X49">
        <v>201</v>
      </c>
      <c r="Y49">
        <v>223</v>
      </c>
      <c r="Z49">
        <v>257</v>
      </c>
      <c r="AA49">
        <v>244</v>
      </c>
      <c r="AB49">
        <v>191</v>
      </c>
      <c r="AC49">
        <v>255</v>
      </c>
      <c r="AD49">
        <v>237</v>
      </c>
      <c r="AE49">
        <v>261</v>
      </c>
      <c r="AF49">
        <f t="shared" si="1"/>
        <v>2801</v>
      </c>
      <c r="AG49">
        <v>0</v>
      </c>
      <c r="AH49">
        <v>0</v>
      </c>
      <c r="AI49">
        <v>0</v>
      </c>
      <c r="AJ49">
        <v>1</v>
      </c>
      <c r="AK49">
        <v>8</v>
      </c>
      <c r="AL49">
        <v>12</v>
      </c>
      <c r="AM49">
        <v>11</v>
      </c>
      <c r="AN49">
        <v>19</v>
      </c>
      <c r="AO49">
        <v>10</v>
      </c>
      <c r="AP49">
        <v>10</v>
      </c>
      <c r="AQ49">
        <v>15</v>
      </c>
      <c r="AR49">
        <v>15</v>
      </c>
      <c r="AS49">
        <f t="shared" si="2"/>
        <v>101</v>
      </c>
      <c r="AT49">
        <v>464</v>
      </c>
      <c r="AU49">
        <v>450</v>
      </c>
      <c r="AV49">
        <v>519</v>
      </c>
      <c r="AW49">
        <v>527</v>
      </c>
      <c r="AX49">
        <v>435</v>
      </c>
      <c r="AY49">
        <v>559</v>
      </c>
      <c r="AZ49">
        <v>587</v>
      </c>
      <c r="BA49">
        <v>539</v>
      </c>
      <c r="BB49">
        <v>409</v>
      </c>
      <c r="BC49">
        <v>494</v>
      </c>
      <c r="BD49">
        <v>489</v>
      </c>
      <c r="BE49">
        <v>539</v>
      </c>
      <c r="BF49">
        <f t="shared" si="3"/>
        <v>6011</v>
      </c>
      <c r="BG49">
        <v>0</v>
      </c>
      <c r="BH49">
        <v>0</v>
      </c>
      <c r="BI49">
        <v>0</v>
      </c>
      <c r="BJ49">
        <v>0</v>
      </c>
      <c r="BK49">
        <v>0</v>
      </c>
      <c r="BL49">
        <v>0</v>
      </c>
      <c r="BM49">
        <v>0</v>
      </c>
      <c r="BN49">
        <v>0</v>
      </c>
      <c r="BO49">
        <v>0</v>
      </c>
      <c r="BP49">
        <v>0</v>
      </c>
      <c r="BQ49">
        <v>0</v>
      </c>
      <c r="BR49">
        <v>0</v>
      </c>
      <c r="BS49">
        <f t="shared" si="4"/>
        <v>0</v>
      </c>
      <c r="BT49">
        <v>0</v>
      </c>
      <c r="BU49">
        <v>0</v>
      </c>
      <c r="BV49">
        <v>0</v>
      </c>
      <c r="BW49">
        <v>0</v>
      </c>
      <c r="BX49">
        <v>0</v>
      </c>
      <c r="BY49">
        <v>0</v>
      </c>
      <c r="BZ49">
        <v>0</v>
      </c>
      <c r="CA49">
        <v>0</v>
      </c>
      <c r="CB49">
        <v>0</v>
      </c>
      <c r="CC49">
        <v>0</v>
      </c>
      <c r="CD49">
        <v>0</v>
      </c>
      <c r="CE49">
        <v>0</v>
      </c>
      <c r="CF49">
        <f t="shared" si="5"/>
        <v>0</v>
      </c>
      <c r="CG49">
        <v>0</v>
      </c>
      <c r="CH49">
        <v>0</v>
      </c>
      <c r="CI49">
        <v>0</v>
      </c>
      <c r="CJ49">
        <v>0</v>
      </c>
      <c r="CK49">
        <v>0</v>
      </c>
      <c r="CL49">
        <v>0</v>
      </c>
      <c r="CM49">
        <v>0</v>
      </c>
      <c r="CN49">
        <v>0</v>
      </c>
      <c r="CO49">
        <v>0</v>
      </c>
      <c r="CP49">
        <v>0</v>
      </c>
      <c r="CQ49">
        <v>0</v>
      </c>
      <c r="CR49">
        <v>0</v>
      </c>
      <c r="CS49">
        <f t="shared" si="6"/>
        <v>0</v>
      </c>
      <c r="CT49">
        <v>0</v>
      </c>
      <c r="CU49">
        <v>0</v>
      </c>
      <c r="CV49">
        <v>0</v>
      </c>
      <c r="CW49">
        <v>0</v>
      </c>
      <c r="CX49">
        <v>0</v>
      </c>
      <c r="CY49">
        <v>0</v>
      </c>
      <c r="CZ49">
        <v>0</v>
      </c>
      <c r="DA49">
        <v>0</v>
      </c>
      <c r="DB49">
        <v>0</v>
      </c>
      <c r="DC49">
        <v>0</v>
      </c>
      <c r="DD49">
        <v>0</v>
      </c>
      <c r="DE49">
        <v>0</v>
      </c>
      <c r="DF49">
        <f t="shared" si="7"/>
        <v>0</v>
      </c>
      <c r="DG49">
        <v>0</v>
      </c>
      <c r="DH49">
        <v>0</v>
      </c>
      <c r="DI49">
        <v>0</v>
      </c>
      <c r="DJ49">
        <v>0</v>
      </c>
      <c r="DK49">
        <v>0</v>
      </c>
      <c r="DL49">
        <v>0</v>
      </c>
      <c r="DM49">
        <v>0</v>
      </c>
      <c r="DN49">
        <v>0</v>
      </c>
      <c r="DO49">
        <v>0</v>
      </c>
      <c r="DP49">
        <v>0</v>
      </c>
      <c r="DQ49">
        <v>0</v>
      </c>
      <c r="DR49">
        <v>0</v>
      </c>
      <c r="DS49">
        <f t="shared" si="8"/>
        <v>0</v>
      </c>
      <c r="DT49">
        <v>0</v>
      </c>
      <c r="DU49">
        <v>0</v>
      </c>
      <c r="DV49">
        <v>0</v>
      </c>
      <c r="DW49">
        <v>0</v>
      </c>
      <c r="DX49">
        <v>0</v>
      </c>
      <c r="DY49">
        <v>0</v>
      </c>
      <c r="DZ49">
        <v>0</v>
      </c>
      <c r="EA49">
        <v>0</v>
      </c>
      <c r="EB49">
        <v>0</v>
      </c>
      <c r="EC49">
        <v>0</v>
      </c>
      <c r="ED49">
        <v>0</v>
      </c>
      <c r="EE49">
        <v>0</v>
      </c>
      <c r="EF49">
        <f t="shared" si="9"/>
        <v>0</v>
      </c>
      <c r="EG49">
        <f t="shared" si="10"/>
        <v>8913</v>
      </c>
      <c r="EH49">
        <f t="shared" si="11"/>
        <v>0</v>
      </c>
      <c r="EI49">
        <v>9828</v>
      </c>
      <c r="EJ49">
        <v>9355</v>
      </c>
      <c r="EK49">
        <v>10374</v>
      </c>
      <c r="EL49">
        <v>11073</v>
      </c>
      <c r="EM49">
        <v>8573</v>
      </c>
      <c r="EN49">
        <v>10273</v>
      </c>
      <c r="EO49">
        <v>11499</v>
      </c>
      <c r="EP49">
        <v>10888</v>
      </c>
      <c r="EQ49">
        <v>8999</v>
      </c>
      <c r="ER49">
        <v>10548</v>
      </c>
      <c r="ES49">
        <v>11132</v>
      </c>
      <c r="ET49">
        <v>11857</v>
      </c>
      <c r="EU49">
        <f t="shared" si="12"/>
        <v>124399</v>
      </c>
      <c r="EV49">
        <v>3350</v>
      </c>
      <c r="EW49">
        <v>3076</v>
      </c>
      <c r="EX49">
        <v>3275</v>
      </c>
      <c r="EY49">
        <v>3399</v>
      </c>
      <c r="EZ49">
        <v>2871</v>
      </c>
      <c r="FA49">
        <v>3026</v>
      </c>
      <c r="FB49">
        <v>3637</v>
      </c>
      <c r="FC49">
        <v>3765</v>
      </c>
      <c r="FD49">
        <v>5961</v>
      </c>
      <c r="FE49">
        <v>3595</v>
      </c>
      <c r="FF49">
        <v>4047</v>
      </c>
      <c r="FG49">
        <v>4141</v>
      </c>
      <c r="FH49">
        <f t="shared" si="13"/>
        <v>44143</v>
      </c>
      <c r="FI49">
        <v>0</v>
      </c>
      <c r="FJ49">
        <v>0</v>
      </c>
      <c r="FK49">
        <v>0</v>
      </c>
      <c r="FL49">
        <v>0</v>
      </c>
      <c r="FM49">
        <v>0</v>
      </c>
      <c r="FN49">
        <v>0</v>
      </c>
      <c r="FO49">
        <v>0</v>
      </c>
      <c r="FP49">
        <v>0</v>
      </c>
      <c r="FQ49">
        <v>0</v>
      </c>
      <c r="FR49">
        <v>0</v>
      </c>
      <c r="FS49">
        <v>0</v>
      </c>
      <c r="FT49">
        <v>0</v>
      </c>
      <c r="FU49">
        <f t="shared" si="14"/>
        <v>0</v>
      </c>
      <c r="FV49">
        <v>6478</v>
      </c>
      <c r="FW49">
        <v>6279</v>
      </c>
      <c r="FX49">
        <v>7099</v>
      </c>
      <c r="FY49">
        <v>7674</v>
      </c>
      <c r="FZ49">
        <v>5702</v>
      </c>
      <c r="GA49">
        <v>7247</v>
      </c>
      <c r="GB49">
        <v>7862</v>
      </c>
      <c r="GC49">
        <v>7123</v>
      </c>
      <c r="GD49">
        <v>5861</v>
      </c>
      <c r="GE49">
        <v>6953</v>
      </c>
      <c r="GF49">
        <v>7085</v>
      </c>
      <c r="GG49">
        <v>11857</v>
      </c>
      <c r="GH49">
        <f t="shared" si="15"/>
        <v>87220</v>
      </c>
      <c r="GI49">
        <v>0</v>
      </c>
      <c r="GJ49">
        <v>0</v>
      </c>
      <c r="GK49">
        <v>0</v>
      </c>
      <c r="GL49">
        <v>0</v>
      </c>
      <c r="GM49">
        <v>0</v>
      </c>
      <c r="GN49">
        <v>0</v>
      </c>
      <c r="GO49">
        <v>0</v>
      </c>
      <c r="GP49">
        <v>0</v>
      </c>
      <c r="GQ49">
        <v>0</v>
      </c>
      <c r="GR49">
        <v>0</v>
      </c>
      <c r="GS49">
        <v>0</v>
      </c>
      <c r="GT49">
        <v>0</v>
      </c>
      <c r="GU49">
        <f t="shared" si="16"/>
        <v>0</v>
      </c>
      <c r="GV49">
        <v>0</v>
      </c>
      <c r="GW49">
        <v>0</v>
      </c>
      <c r="GX49">
        <v>0</v>
      </c>
      <c r="GY49">
        <v>0</v>
      </c>
      <c r="GZ49">
        <v>0</v>
      </c>
      <c r="HA49">
        <v>0</v>
      </c>
      <c r="HB49">
        <v>0</v>
      </c>
      <c r="HC49">
        <v>0</v>
      </c>
      <c r="HD49">
        <v>0</v>
      </c>
      <c r="HE49">
        <v>0</v>
      </c>
      <c r="HF49">
        <v>0</v>
      </c>
      <c r="HG49">
        <v>0</v>
      </c>
      <c r="HH49">
        <f t="shared" si="17"/>
        <v>0</v>
      </c>
      <c r="HI49">
        <v>0</v>
      </c>
      <c r="HJ49">
        <v>0</v>
      </c>
      <c r="HK49">
        <v>0</v>
      </c>
      <c r="HL49">
        <v>0</v>
      </c>
      <c r="HM49">
        <v>0</v>
      </c>
      <c r="HN49">
        <v>0</v>
      </c>
      <c r="HO49">
        <v>0</v>
      </c>
      <c r="HP49">
        <v>0</v>
      </c>
      <c r="HQ49">
        <v>0</v>
      </c>
      <c r="HR49">
        <v>0</v>
      </c>
      <c r="HS49">
        <v>0</v>
      </c>
      <c r="HT49">
        <v>0</v>
      </c>
      <c r="HU49">
        <f t="shared" si="18"/>
        <v>0</v>
      </c>
      <c r="HV49">
        <v>0</v>
      </c>
      <c r="HW49">
        <v>0</v>
      </c>
      <c r="HX49">
        <v>0</v>
      </c>
      <c r="HY49">
        <v>0</v>
      </c>
      <c r="HZ49">
        <v>0</v>
      </c>
      <c r="IA49">
        <v>0</v>
      </c>
      <c r="IB49">
        <v>0</v>
      </c>
      <c r="IC49">
        <v>0</v>
      </c>
      <c r="ID49">
        <v>0</v>
      </c>
      <c r="IE49">
        <v>0</v>
      </c>
      <c r="IF49">
        <v>0</v>
      </c>
      <c r="IG49">
        <v>0</v>
      </c>
      <c r="IH49">
        <f t="shared" si="19"/>
        <v>0</v>
      </c>
      <c r="II49">
        <f t="shared" si="20"/>
        <v>131363</v>
      </c>
      <c r="IJ49">
        <f t="shared" si="21"/>
        <v>0</v>
      </c>
      <c r="IK49">
        <v>66312</v>
      </c>
      <c r="IL49">
        <v>66180</v>
      </c>
      <c r="IM49">
        <v>59909</v>
      </c>
      <c r="IN49">
        <v>68486</v>
      </c>
      <c r="IO49">
        <v>70589</v>
      </c>
      <c r="IP49">
        <v>67243</v>
      </c>
      <c r="IQ49">
        <v>68955</v>
      </c>
      <c r="IR49">
        <v>63967</v>
      </c>
      <c r="IS49">
        <v>50635</v>
      </c>
      <c r="IT49">
        <v>60100</v>
      </c>
      <c r="IU49">
        <v>57727</v>
      </c>
      <c r="IV49">
        <v>63655</v>
      </c>
      <c r="IW49">
        <f t="shared" si="22"/>
        <v>763758</v>
      </c>
      <c r="IX49">
        <v>34283</v>
      </c>
      <c r="IY49">
        <v>32915</v>
      </c>
      <c r="IZ49">
        <v>28936</v>
      </c>
      <c r="JA49">
        <v>34017</v>
      </c>
      <c r="JB49">
        <v>36298</v>
      </c>
      <c r="JC49">
        <v>35099</v>
      </c>
      <c r="JD49">
        <v>35408</v>
      </c>
      <c r="JE49">
        <v>32814</v>
      </c>
      <c r="JF49">
        <v>24888</v>
      </c>
      <c r="JG49">
        <v>28880</v>
      </c>
      <c r="JH49">
        <v>29944</v>
      </c>
      <c r="JI49">
        <v>32129</v>
      </c>
      <c r="JJ49">
        <f t="shared" si="23"/>
        <v>385611</v>
      </c>
      <c r="JK49">
        <v>892</v>
      </c>
      <c r="JL49">
        <v>912</v>
      </c>
      <c r="JM49">
        <v>739</v>
      </c>
      <c r="JN49">
        <v>1059</v>
      </c>
      <c r="JO49">
        <v>1151</v>
      </c>
      <c r="JP49">
        <v>1007</v>
      </c>
      <c r="JQ49">
        <v>1009</v>
      </c>
      <c r="JR49">
        <v>893</v>
      </c>
      <c r="JS49">
        <v>656</v>
      </c>
      <c r="JT49">
        <v>715</v>
      </c>
      <c r="JU49">
        <v>710</v>
      </c>
      <c r="JV49">
        <v>811</v>
      </c>
      <c r="JW49">
        <f t="shared" si="24"/>
        <v>10554</v>
      </c>
      <c r="JX49">
        <v>31137</v>
      </c>
      <c r="JY49">
        <v>32353</v>
      </c>
      <c r="JZ49">
        <v>30234</v>
      </c>
      <c r="KA49">
        <v>33410</v>
      </c>
      <c r="KB49">
        <v>33140</v>
      </c>
      <c r="KC49">
        <v>31137</v>
      </c>
      <c r="KD49">
        <v>32538</v>
      </c>
      <c r="KE49">
        <v>30260</v>
      </c>
      <c r="KF49">
        <v>25091</v>
      </c>
      <c r="KG49">
        <v>30505</v>
      </c>
      <c r="KH49">
        <v>27073</v>
      </c>
      <c r="KI49">
        <v>30715</v>
      </c>
      <c r="KJ49">
        <f t="shared" si="25"/>
        <v>367593</v>
      </c>
      <c r="KK49">
        <v>1308</v>
      </c>
      <c r="KL49">
        <v>1364</v>
      </c>
      <c r="KM49">
        <v>1201</v>
      </c>
      <c r="KN49">
        <v>1457</v>
      </c>
      <c r="KO49">
        <v>1207</v>
      </c>
      <c r="KP49">
        <v>1150</v>
      </c>
      <c r="KQ49">
        <v>1241</v>
      </c>
      <c r="KR49">
        <v>1273</v>
      </c>
      <c r="KS49">
        <v>883</v>
      </c>
      <c r="KT49">
        <v>1527</v>
      </c>
      <c r="KU49">
        <v>997</v>
      </c>
      <c r="KV49">
        <v>1312</v>
      </c>
      <c r="KW49">
        <f t="shared" si="26"/>
        <v>14920</v>
      </c>
      <c r="KX49">
        <v>1</v>
      </c>
      <c r="KY49">
        <v>2</v>
      </c>
      <c r="KZ49">
        <v>0</v>
      </c>
      <c r="LA49">
        <v>5</v>
      </c>
      <c r="LB49">
        <v>8</v>
      </c>
      <c r="LC49">
        <v>4</v>
      </c>
      <c r="LD49">
        <v>3</v>
      </c>
      <c r="LE49">
        <v>11</v>
      </c>
      <c r="LF49">
        <v>1</v>
      </c>
      <c r="LG49">
        <v>3</v>
      </c>
      <c r="LH49">
        <v>3</v>
      </c>
      <c r="LI49">
        <v>2</v>
      </c>
      <c r="LJ49">
        <f t="shared" si="27"/>
        <v>43</v>
      </c>
      <c r="LK49">
        <v>2</v>
      </c>
      <c r="LL49">
        <v>0</v>
      </c>
      <c r="LM49">
        <v>0</v>
      </c>
      <c r="LN49">
        <v>0</v>
      </c>
      <c r="LO49">
        <v>0</v>
      </c>
      <c r="LP49">
        <v>0</v>
      </c>
      <c r="LQ49">
        <v>0</v>
      </c>
      <c r="LR49">
        <v>0</v>
      </c>
      <c r="LS49">
        <v>0</v>
      </c>
      <c r="LT49">
        <v>0</v>
      </c>
      <c r="LU49">
        <v>0</v>
      </c>
      <c r="LV49">
        <v>0</v>
      </c>
      <c r="LW49">
        <f t="shared" si="28"/>
        <v>2</v>
      </c>
      <c r="LX49">
        <v>1305</v>
      </c>
      <c r="LY49">
        <v>1362</v>
      </c>
      <c r="LZ49">
        <v>1201</v>
      </c>
      <c r="MA49">
        <v>1452</v>
      </c>
      <c r="MB49">
        <v>1199</v>
      </c>
      <c r="MC49">
        <v>1146</v>
      </c>
      <c r="MD49">
        <v>1238</v>
      </c>
      <c r="ME49">
        <v>1262</v>
      </c>
      <c r="MF49">
        <v>882</v>
      </c>
      <c r="MG49">
        <v>1524</v>
      </c>
      <c r="MH49">
        <v>994</v>
      </c>
      <c r="MI49">
        <v>1310</v>
      </c>
      <c r="MJ49">
        <f t="shared" si="29"/>
        <v>14875</v>
      </c>
      <c r="MK49">
        <v>5368</v>
      </c>
      <c r="ML49">
        <v>5690</v>
      </c>
      <c r="MM49">
        <v>5156</v>
      </c>
      <c r="MN49">
        <v>5350</v>
      </c>
      <c r="MO49">
        <v>5499</v>
      </c>
      <c r="MP49">
        <v>4972</v>
      </c>
      <c r="MQ49">
        <v>5137</v>
      </c>
      <c r="MR49">
        <v>4657</v>
      </c>
      <c r="MS49">
        <v>4823</v>
      </c>
      <c r="MT49">
        <v>5302</v>
      </c>
      <c r="MU49">
        <v>4680</v>
      </c>
      <c r="MV49">
        <v>4858</v>
      </c>
      <c r="MW49">
        <f t="shared" si="30"/>
        <v>61492</v>
      </c>
      <c r="MX49">
        <v>438</v>
      </c>
      <c r="MY49">
        <v>489</v>
      </c>
      <c r="MZ49">
        <v>319</v>
      </c>
      <c r="NA49">
        <v>437</v>
      </c>
      <c r="NB49">
        <v>526</v>
      </c>
      <c r="NC49">
        <v>353</v>
      </c>
      <c r="ND49">
        <v>454</v>
      </c>
      <c r="NE49">
        <v>490</v>
      </c>
      <c r="NF49">
        <v>461</v>
      </c>
      <c r="NG49">
        <v>480</v>
      </c>
      <c r="NH49">
        <v>398</v>
      </c>
      <c r="NI49">
        <v>452</v>
      </c>
      <c r="NJ49">
        <f t="shared" si="31"/>
        <v>5297</v>
      </c>
      <c r="NK49">
        <v>375</v>
      </c>
      <c r="NL49">
        <v>325</v>
      </c>
      <c r="NM49">
        <v>344</v>
      </c>
      <c r="NN49">
        <v>331</v>
      </c>
      <c r="NO49">
        <v>320</v>
      </c>
      <c r="NP49">
        <v>293</v>
      </c>
      <c r="NQ49">
        <v>308</v>
      </c>
      <c r="NR49">
        <v>267</v>
      </c>
      <c r="NS49">
        <v>269</v>
      </c>
      <c r="NT49">
        <v>330</v>
      </c>
      <c r="NU49">
        <v>254</v>
      </c>
      <c r="NV49">
        <v>241</v>
      </c>
      <c r="NW49">
        <f t="shared" si="32"/>
        <v>3657</v>
      </c>
      <c r="NX49">
        <v>4555</v>
      </c>
      <c r="NY49">
        <v>4876</v>
      </c>
      <c r="NZ49">
        <v>4493</v>
      </c>
      <c r="OA49">
        <v>4582</v>
      </c>
      <c r="OB49">
        <v>4653</v>
      </c>
      <c r="OC49">
        <v>4326</v>
      </c>
      <c r="OD49">
        <v>4375</v>
      </c>
      <c r="OE49">
        <v>3900</v>
      </c>
      <c r="OF49">
        <v>4093</v>
      </c>
      <c r="OG49">
        <v>4492</v>
      </c>
      <c r="OH49">
        <v>4028</v>
      </c>
      <c r="OI49">
        <v>4165</v>
      </c>
      <c r="OJ49">
        <f t="shared" si="33"/>
        <v>52538</v>
      </c>
      <c r="OK49">
        <v>3343</v>
      </c>
      <c r="OL49">
        <v>3159</v>
      </c>
      <c r="OM49">
        <v>3216</v>
      </c>
      <c r="ON49">
        <v>3233</v>
      </c>
      <c r="OO49">
        <v>3476</v>
      </c>
      <c r="OP49">
        <v>3076</v>
      </c>
      <c r="OQ49">
        <v>3322</v>
      </c>
      <c r="OR49">
        <v>2956</v>
      </c>
      <c r="OS49">
        <v>2886</v>
      </c>
      <c r="OT49">
        <v>3248</v>
      </c>
      <c r="OU49">
        <v>2872</v>
      </c>
      <c r="OV49">
        <v>3142</v>
      </c>
      <c r="OW49">
        <f t="shared" si="34"/>
        <v>37929</v>
      </c>
      <c r="OX49">
        <v>509</v>
      </c>
      <c r="OY49">
        <v>518</v>
      </c>
      <c r="OZ49">
        <v>510</v>
      </c>
      <c r="PA49">
        <v>532</v>
      </c>
      <c r="PB49">
        <v>637</v>
      </c>
      <c r="PC49">
        <v>498</v>
      </c>
      <c r="PD49">
        <v>592</v>
      </c>
      <c r="PE49">
        <v>513</v>
      </c>
      <c r="PF49">
        <v>562</v>
      </c>
      <c r="PG49">
        <v>538</v>
      </c>
      <c r="PH49">
        <v>467</v>
      </c>
      <c r="PI49">
        <v>468</v>
      </c>
      <c r="PJ49">
        <f t="shared" si="35"/>
        <v>6344</v>
      </c>
      <c r="PK49">
        <v>214</v>
      </c>
      <c r="PL49">
        <v>259</v>
      </c>
      <c r="PM49">
        <v>242</v>
      </c>
      <c r="PN49">
        <v>251</v>
      </c>
      <c r="PO49">
        <v>243</v>
      </c>
      <c r="PP49">
        <v>219</v>
      </c>
      <c r="PQ49">
        <v>238</v>
      </c>
      <c r="PR49">
        <v>202</v>
      </c>
      <c r="PS49">
        <v>199</v>
      </c>
      <c r="PT49">
        <v>278</v>
      </c>
      <c r="PU49">
        <v>208</v>
      </c>
      <c r="PV49">
        <v>235</v>
      </c>
      <c r="PW49">
        <f t="shared" si="36"/>
        <v>2788</v>
      </c>
      <c r="PX49">
        <v>2620</v>
      </c>
      <c r="PY49">
        <v>3159</v>
      </c>
      <c r="PZ49">
        <v>2464</v>
      </c>
      <c r="QA49">
        <v>2450</v>
      </c>
      <c r="QB49">
        <v>2596</v>
      </c>
      <c r="QC49">
        <v>2359</v>
      </c>
      <c r="QD49">
        <v>2492</v>
      </c>
      <c r="QE49">
        <v>2241</v>
      </c>
      <c r="QF49">
        <v>2125</v>
      </c>
      <c r="QG49">
        <v>2432</v>
      </c>
      <c r="QH49">
        <v>2197</v>
      </c>
      <c r="QI49">
        <v>2439</v>
      </c>
      <c r="QJ49">
        <f t="shared" si="37"/>
        <v>29574</v>
      </c>
      <c r="QK49">
        <v>36343</v>
      </c>
      <c r="QL49">
        <v>40190</v>
      </c>
      <c r="QM49">
        <v>39395</v>
      </c>
      <c r="QN49">
        <v>46076</v>
      </c>
      <c r="QO49">
        <v>39707</v>
      </c>
      <c r="QP49">
        <v>42457</v>
      </c>
      <c r="QQ49">
        <v>44268</v>
      </c>
      <c r="QR49">
        <v>40757</v>
      </c>
      <c r="QS49">
        <v>35795</v>
      </c>
      <c r="QT49">
        <v>41834</v>
      </c>
      <c r="QU49">
        <v>41375</v>
      </c>
      <c r="QV49">
        <v>43420</v>
      </c>
      <c r="QW49">
        <f t="shared" si="38"/>
        <v>491617</v>
      </c>
      <c r="QX49">
        <v>35420</v>
      </c>
      <c r="QY49">
        <v>32818</v>
      </c>
      <c r="QZ49">
        <v>29783</v>
      </c>
      <c r="RA49">
        <v>34341</v>
      </c>
      <c r="RB49">
        <v>31701</v>
      </c>
      <c r="RC49">
        <v>32403</v>
      </c>
      <c r="RD49">
        <v>34164</v>
      </c>
      <c r="RE49">
        <v>31763</v>
      </c>
      <c r="RF49">
        <v>27651</v>
      </c>
      <c r="RG49">
        <v>32971</v>
      </c>
      <c r="RH49">
        <v>29561</v>
      </c>
      <c r="RI49">
        <v>31284</v>
      </c>
      <c r="RJ49">
        <f t="shared" si="39"/>
        <v>383860</v>
      </c>
      <c r="RK49">
        <v>0</v>
      </c>
      <c r="RL49">
        <v>0</v>
      </c>
      <c r="RM49">
        <v>0</v>
      </c>
      <c r="RN49">
        <v>0</v>
      </c>
      <c r="RO49">
        <v>0</v>
      </c>
      <c r="RP49">
        <v>0</v>
      </c>
      <c r="RQ49">
        <v>0</v>
      </c>
      <c r="RR49">
        <v>0</v>
      </c>
      <c r="RS49">
        <v>0</v>
      </c>
      <c r="RT49">
        <v>0</v>
      </c>
      <c r="RU49">
        <v>0</v>
      </c>
      <c r="RV49">
        <v>0</v>
      </c>
      <c r="RW49">
        <f t="shared" si="40"/>
        <v>0</v>
      </c>
      <c r="RX49">
        <v>0</v>
      </c>
      <c r="RY49">
        <v>0</v>
      </c>
      <c r="RZ49">
        <v>0</v>
      </c>
      <c r="SA49">
        <v>0</v>
      </c>
      <c r="SB49">
        <v>0</v>
      </c>
      <c r="SC49">
        <v>0</v>
      </c>
      <c r="SD49">
        <v>0</v>
      </c>
      <c r="SE49">
        <v>0</v>
      </c>
      <c r="SF49">
        <v>0</v>
      </c>
      <c r="SG49">
        <v>0</v>
      </c>
      <c r="SH49">
        <v>0</v>
      </c>
      <c r="SI49">
        <v>0</v>
      </c>
      <c r="SJ49">
        <f t="shared" si="41"/>
        <v>0</v>
      </c>
      <c r="SK49">
        <v>823</v>
      </c>
      <c r="SL49">
        <v>816</v>
      </c>
      <c r="SM49">
        <v>809</v>
      </c>
      <c r="SN49">
        <v>813</v>
      </c>
      <c r="SO49">
        <v>804</v>
      </c>
      <c r="SP49">
        <v>818</v>
      </c>
      <c r="SQ49">
        <v>832</v>
      </c>
      <c r="SR49">
        <v>834</v>
      </c>
      <c r="SS49">
        <v>833</v>
      </c>
      <c r="ST49">
        <v>820</v>
      </c>
      <c r="SU49">
        <v>823</v>
      </c>
      <c r="SV49">
        <v>812</v>
      </c>
      <c r="SW49">
        <f t="shared" si="42"/>
        <v>9837</v>
      </c>
      <c r="SX49">
        <v>0</v>
      </c>
      <c r="SY49">
        <v>0</v>
      </c>
      <c r="SZ49">
        <v>0</v>
      </c>
      <c r="TA49">
        <v>0</v>
      </c>
      <c r="TB49">
        <v>0</v>
      </c>
      <c r="TC49">
        <v>0</v>
      </c>
      <c r="TD49">
        <v>0</v>
      </c>
      <c r="TE49">
        <v>0</v>
      </c>
      <c r="TF49">
        <v>0</v>
      </c>
      <c r="TG49">
        <v>0</v>
      </c>
      <c r="TH49">
        <v>0</v>
      </c>
      <c r="TI49">
        <v>0</v>
      </c>
      <c r="TJ49">
        <v>0</v>
      </c>
      <c r="TK49">
        <f t="shared" si="43"/>
        <v>0</v>
      </c>
      <c r="TL49">
        <v>0</v>
      </c>
      <c r="TM49">
        <v>0</v>
      </c>
      <c r="TN49">
        <v>0</v>
      </c>
      <c r="TO49">
        <v>0</v>
      </c>
      <c r="TP49">
        <v>0</v>
      </c>
      <c r="TQ49">
        <v>0</v>
      </c>
      <c r="TR49">
        <v>0</v>
      </c>
      <c r="TS49">
        <v>0</v>
      </c>
      <c r="TT49">
        <v>0</v>
      </c>
      <c r="TU49">
        <v>0</v>
      </c>
      <c r="TV49">
        <v>0</v>
      </c>
      <c r="TW49">
        <v>0</v>
      </c>
      <c r="TX49">
        <f t="shared" si="44"/>
        <v>0</v>
      </c>
      <c r="TY49">
        <v>221</v>
      </c>
      <c r="TZ49">
        <v>0</v>
      </c>
      <c r="UA49">
        <v>0</v>
      </c>
      <c r="UB49">
        <v>0</v>
      </c>
    </row>
    <row r="50" spans="1:548" ht="16.5" customHeight="1" x14ac:dyDescent="0.35">
      <c r="A50" t="s">
        <v>1473</v>
      </c>
      <c r="B50" t="s">
        <v>2865</v>
      </c>
      <c r="C50">
        <v>119437</v>
      </c>
      <c r="D50">
        <v>46042</v>
      </c>
      <c r="E50">
        <v>0</v>
      </c>
      <c r="F50">
        <v>73395</v>
      </c>
      <c r="G50">
        <v>157</v>
      </c>
      <c r="H50">
        <v>143</v>
      </c>
      <c r="I50">
        <v>187</v>
      </c>
      <c r="J50">
        <v>196</v>
      </c>
      <c r="K50">
        <v>128</v>
      </c>
      <c r="L50">
        <v>172</v>
      </c>
      <c r="M50">
        <v>166</v>
      </c>
      <c r="N50">
        <v>127</v>
      </c>
      <c r="O50">
        <v>105</v>
      </c>
      <c r="P50">
        <v>131</v>
      </c>
      <c r="Q50">
        <v>153</v>
      </c>
      <c r="R50">
        <v>172</v>
      </c>
      <c r="S50">
        <f t="shared" si="0"/>
        <v>1837</v>
      </c>
      <c r="T50">
        <v>144</v>
      </c>
      <c r="U50">
        <v>131</v>
      </c>
      <c r="V50">
        <v>174</v>
      </c>
      <c r="W50">
        <v>181</v>
      </c>
      <c r="X50">
        <v>107</v>
      </c>
      <c r="Y50">
        <v>149</v>
      </c>
      <c r="Z50">
        <v>148</v>
      </c>
      <c r="AA50">
        <v>121</v>
      </c>
      <c r="AB50">
        <v>97</v>
      </c>
      <c r="AC50">
        <v>124</v>
      </c>
      <c r="AD50">
        <v>132</v>
      </c>
      <c r="AE50">
        <v>160</v>
      </c>
      <c r="AF50">
        <f t="shared" si="1"/>
        <v>1668</v>
      </c>
      <c r="AG50">
        <v>0</v>
      </c>
      <c r="AH50">
        <v>0</v>
      </c>
      <c r="AI50">
        <v>0</v>
      </c>
      <c r="AJ50">
        <v>0</v>
      </c>
      <c r="AK50">
        <v>0</v>
      </c>
      <c r="AL50">
        <v>0</v>
      </c>
      <c r="AM50">
        <v>0</v>
      </c>
      <c r="AN50">
        <v>0</v>
      </c>
      <c r="AO50">
        <v>0</v>
      </c>
      <c r="AP50">
        <v>0</v>
      </c>
      <c r="AQ50">
        <v>0</v>
      </c>
      <c r="AR50">
        <v>0</v>
      </c>
      <c r="AS50">
        <f t="shared" si="2"/>
        <v>0</v>
      </c>
      <c r="AT50">
        <v>13</v>
      </c>
      <c r="AU50">
        <v>12</v>
      </c>
      <c r="AV50">
        <v>13</v>
      </c>
      <c r="AW50">
        <v>15</v>
      </c>
      <c r="AX50">
        <v>21</v>
      </c>
      <c r="AY50">
        <v>23</v>
      </c>
      <c r="AZ50">
        <v>18</v>
      </c>
      <c r="BA50">
        <v>6</v>
      </c>
      <c r="BB50">
        <v>8</v>
      </c>
      <c r="BC50">
        <v>7</v>
      </c>
      <c r="BD50">
        <v>21</v>
      </c>
      <c r="BE50">
        <v>12</v>
      </c>
      <c r="BF50">
        <f t="shared" si="3"/>
        <v>169</v>
      </c>
      <c r="BG50">
        <v>0</v>
      </c>
      <c r="BH50">
        <v>0</v>
      </c>
      <c r="BI50">
        <v>0</v>
      </c>
      <c r="BJ50">
        <v>0</v>
      </c>
      <c r="BK50">
        <v>0</v>
      </c>
      <c r="BL50">
        <v>0</v>
      </c>
      <c r="BM50">
        <v>0</v>
      </c>
      <c r="BN50">
        <v>0</v>
      </c>
      <c r="BO50">
        <v>0</v>
      </c>
      <c r="BP50">
        <v>0</v>
      </c>
      <c r="BQ50">
        <v>0</v>
      </c>
      <c r="BR50">
        <v>0</v>
      </c>
      <c r="BS50">
        <f t="shared" si="4"/>
        <v>0</v>
      </c>
      <c r="BT50">
        <v>0</v>
      </c>
      <c r="BU50">
        <v>0</v>
      </c>
      <c r="BV50">
        <v>0</v>
      </c>
      <c r="BW50">
        <v>0</v>
      </c>
      <c r="BX50">
        <v>0</v>
      </c>
      <c r="BY50">
        <v>0</v>
      </c>
      <c r="BZ50">
        <v>0</v>
      </c>
      <c r="CA50">
        <v>0</v>
      </c>
      <c r="CB50">
        <v>0</v>
      </c>
      <c r="CC50">
        <v>0</v>
      </c>
      <c r="CD50">
        <v>0</v>
      </c>
      <c r="CE50">
        <v>0</v>
      </c>
      <c r="CF50">
        <f t="shared" si="5"/>
        <v>0</v>
      </c>
      <c r="CG50">
        <v>0</v>
      </c>
      <c r="CH50">
        <v>0</v>
      </c>
      <c r="CI50">
        <v>0</v>
      </c>
      <c r="CJ50">
        <v>0</v>
      </c>
      <c r="CK50">
        <v>0</v>
      </c>
      <c r="CL50">
        <v>0</v>
      </c>
      <c r="CM50">
        <v>0</v>
      </c>
      <c r="CN50">
        <v>0</v>
      </c>
      <c r="CO50">
        <v>0</v>
      </c>
      <c r="CP50">
        <v>0</v>
      </c>
      <c r="CQ50">
        <v>0</v>
      </c>
      <c r="CR50">
        <v>0</v>
      </c>
      <c r="CS50">
        <f t="shared" si="6"/>
        <v>0</v>
      </c>
      <c r="CT50">
        <v>0</v>
      </c>
      <c r="CU50">
        <v>0</v>
      </c>
      <c r="CV50">
        <v>0</v>
      </c>
      <c r="CW50">
        <v>0</v>
      </c>
      <c r="CX50">
        <v>0</v>
      </c>
      <c r="CY50">
        <v>0</v>
      </c>
      <c r="CZ50">
        <v>0</v>
      </c>
      <c r="DA50">
        <v>0</v>
      </c>
      <c r="DB50">
        <v>0</v>
      </c>
      <c r="DC50">
        <v>0</v>
      </c>
      <c r="DD50">
        <v>0</v>
      </c>
      <c r="DE50">
        <v>0</v>
      </c>
      <c r="DF50">
        <f t="shared" si="7"/>
        <v>0</v>
      </c>
      <c r="DG50">
        <v>0</v>
      </c>
      <c r="DH50">
        <v>0</v>
      </c>
      <c r="DI50">
        <v>0</v>
      </c>
      <c r="DJ50">
        <v>0</v>
      </c>
      <c r="DK50">
        <v>0</v>
      </c>
      <c r="DL50">
        <v>0</v>
      </c>
      <c r="DM50">
        <v>0</v>
      </c>
      <c r="DN50">
        <v>0</v>
      </c>
      <c r="DO50">
        <v>0</v>
      </c>
      <c r="DP50">
        <v>0</v>
      </c>
      <c r="DQ50">
        <v>0</v>
      </c>
      <c r="DR50">
        <v>0</v>
      </c>
      <c r="DS50">
        <f t="shared" si="8"/>
        <v>0</v>
      </c>
      <c r="DT50">
        <v>0</v>
      </c>
      <c r="DU50">
        <v>0</v>
      </c>
      <c r="DV50">
        <v>0</v>
      </c>
      <c r="DW50">
        <v>0</v>
      </c>
      <c r="DX50">
        <v>0</v>
      </c>
      <c r="DY50">
        <v>0</v>
      </c>
      <c r="DZ50">
        <v>0</v>
      </c>
      <c r="EA50">
        <v>0</v>
      </c>
      <c r="EB50">
        <v>0</v>
      </c>
      <c r="EC50">
        <v>0</v>
      </c>
      <c r="ED50">
        <v>0</v>
      </c>
      <c r="EE50">
        <v>0</v>
      </c>
      <c r="EF50">
        <f t="shared" si="9"/>
        <v>0</v>
      </c>
      <c r="EG50">
        <f t="shared" si="10"/>
        <v>1837</v>
      </c>
      <c r="EH50">
        <f t="shared" si="11"/>
        <v>0</v>
      </c>
      <c r="EI50">
        <v>3144</v>
      </c>
      <c r="EJ50">
        <v>2966</v>
      </c>
      <c r="EK50">
        <v>8629</v>
      </c>
      <c r="EL50">
        <v>10116</v>
      </c>
      <c r="EM50">
        <v>4372</v>
      </c>
      <c r="EN50">
        <v>4155</v>
      </c>
      <c r="EO50">
        <v>3985</v>
      </c>
      <c r="EP50">
        <v>3397</v>
      </c>
      <c r="EQ50">
        <v>2762</v>
      </c>
      <c r="ER50">
        <v>3319</v>
      </c>
      <c r="ES50">
        <v>3952</v>
      </c>
      <c r="ET50">
        <v>4900</v>
      </c>
      <c r="EU50">
        <f t="shared" si="12"/>
        <v>55697</v>
      </c>
      <c r="EV50">
        <v>1885</v>
      </c>
      <c r="EW50">
        <v>1746</v>
      </c>
      <c r="EX50">
        <v>6874</v>
      </c>
      <c r="EY50">
        <v>7890</v>
      </c>
      <c r="EZ50">
        <v>2414</v>
      </c>
      <c r="FA50">
        <v>2273</v>
      </c>
      <c r="FB50">
        <v>2241</v>
      </c>
      <c r="FC50">
        <v>2024</v>
      </c>
      <c r="FD50">
        <v>1663</v>
      </c>
      <c r="FE50">
        <v>2016</v>
      </c>
      <c r="FF50">
        <v>2402</v>
      </c>
      <c r="FG50">
        <v>3258</v>
      </c>
      <c r="FH50">
        <f t="shared" si="13"/>
        <v>36686</v>
      </c>
      <c r="FI50">
        <v>0</v>
      </c>
      <c r="FJ50">
        <v>0</v>
      </c>
      <c r="FK50">
        <v>0</v>
      </c>
      <c r="FL50">
        <v>0</v>
      </c>
      <c r="FM50">
        <v>0</v>
      </c>
      <c r="FN50">
        <v>0</v>
      </c>
      <c r="FO50">
        <v>0</v>
      </c>
      <c r="FP50">
        <v>0</v>
      </c>
      <c r="FQ50">
        <v>0</v>
      </c>
      <c r="FR50">
        <v>0</v>
      </c>
      <c r="FS50">
        <v>0</v>
      </c>
      <c r="FT50">
        <v>0</v>
      </c>
      <c r="FU50">
        <f t="shared" si="14"/>
        <v>0</v>
      </c>
      <c r="FV50">
        <v>1259</v>
      </c>
      <c r="FW50">
        <v>1220</v>
      </c>
      <c r="FX50">
        <v>1755</v>
      </c>
      <c r="FY50">
        <v>2226</v>
      </c>
      <c r="FZ50">
        <v>1958</v>
      </c>
      <c r="GA50">
        <v>1882</v>
      </c>
      <c r="GB50">
        <v>1744</v>
      </c>
      <c r="GC50">
        <v>1373</v>
      </c>
      <c r="GD50">
        <v>1099</v>
      </c>
      <c r="GE50">
        <v>1303</v>
      </c>
      <c r="GF50">
        <v>1550</v>
      </c>
      <c r="GG50">
        <v>1642</v>
      </c>
      <c r="GH50">
        <f t="shared" si="15"/>
        <v>19011</v>
      </c>
      <c r="GI50">
        <v>0</v>
      </c>
      <c r="GJ50">
        <v>0</v>
      </c>
      <c r="GK50">
        <v>0</v>
      </c>
      <c r="GL50">
        <v>0</v>
      </c>
      <c r="GM50">
        <v>0</v>
      </c>
      <c r="GN50">
        <v>0</v>
      </c>
      <c r="GO50">
        <v>0</v>
      </c>
      <c r="GP50">
        <v>0</v>
      </c>
      <c r="GQ50">
        <v>0</v>
      </c>
      <c r="GR50">
        <v>0</v>
      </c>
      <c r="GS50">
        <v>0</v>
      </c>
      <c r="GT50">
        <v>0</v>
      </c>
      <c r="GU50">
        <f t="shared" si="16"/>
        <v>0</v>
      </c>
      <c r="GV50">
        <v>0</v>
      </c>
      <c r="GW50">
        <v>0</v>
      </c>
      <c r="GX50">
        <v>0</v>
      </c>
      <c r="GY50">
        <v>0</v>
      </c>
      <c r="GZ50">
        <v>0</v>
      </c>
      <c r="HA50">
        <v>0</v>
      </c>
      <c r="HB50">
        <v>0</v>
      </c>
      <c r="HC50">
        <v>0</v>
      </c>
      <c r="HD50">
        <v>0</v>
      </c>
      <c r="HE50">
        <v>0</v>
      </c>
      <c r="HF50">
        <v>0</v>
      </c>
      <c r="HG50">
        <v>0</v>
      </c>
      <c r="HH50">
        <f t="shared" si="17"/>
        <v>0</v>
      </c>
      <c r="HI50">
        <v>0</v>
      </c>
      <c r="HJ50">
        <v>0</v>
      </c>
      <c r="HK50">
        <v>0</v>
      </c>
      <c r="HL50">
        <v>0</v>
      </c>
      <c r="HM50">
        <v>0</v>
      </c>
      <c r="HN50">
        <v>0</v>
      </c>
      <c r="HO50">
        <v>0</v>
      </c>
      <c r="HP50">
        <v>0</v>
      </c>
      <c r="HQ50">
        <v>0</v>
      </c>
      <c r="HR50">
        <v>0</v>
      </c>
      <c r="HS50">
        <v>0</v>
      </c>
      <c r="HT50">
        <v>0</v>
      </c>
      <c r="HU50">
        <f t="shared" si="18"/>
        <v>0</v>
      </c>
      <c r="HV50">
        <v>0</v>
      </c>
      <c r="HW50">
        <v>0</v>
      </c>
      <c r="HX50">
        <v>0</v>
      </c>
      <c r="HY50">
        <v>0</v>
      </c>
      <c r="HZ50">
        <v>0</v>
      </c>
      <c r="IA50">
        <v>0</v>
      </c>
      <c r="IB50">
        <v>0</v>
      </c>
      <c r="IC50">
        <v>0</v>
      </c>
      <c r="ID50">
        <v>0</v>
      </c>
      <c r="IE50">
        <v>0</v>
      </c>
      <c r="IF50">
        <v>0</v>
      </c>
      <c r="IG50">
        <v>0</v>
      </c>
      <c r="IH50">
        <f t="shared" si="19"/>
        <v>0</v>
      </c>
      <c r="II50">
        <f t="shared" si="20"/>
        <v>55697</v>
      </c>
      <c r="IJ50">
        <f t="shared" si="21"/>
        <v>0</v>
      </c>
      <c r="IK50">
        <v>122564</v>
      </c>
      <c r="IL50">
        <v>95762</v>
      </c>
      <c r="IM50">
        <v>84740</v>
      </c>
      <c r="IN50">
        <v>110018</v>
      </c>
      <c r="IO50">
        <v>145992</v>
      </c>
      <c r="IP50">
        <v>119367</v>
      </c>
      <c r="IQ50">
        <v>103629</v>
      </c>
      <c r="IR50">
        <v>89527</v>
      </c>
      <c r="IS50">
        <v>104066</v>
      </c>
      <c r="IT50">
        <v>130878</v>
      </c>
      <c r="IU50">
        <v>87142</v>
      </c>
      <c r="IV50">
        <v>92233</v>
      </c>
      <c r="IW50">
        <f t="shared" si="22"/>
        <v>1285918</v>
      </c>
      <c r="IX50">
        <v>76589</v>
      </c>
      <c r="IY50">
        <v>45759</v>
      </c>
      <c r="IZ50">
        <v>39161</v>
      </c>
      <c r="JA50">
        <v>57655</v>
      </c>
      <c r="JB50">
        <v>94685</v>
      </c>
      <c r="JC50">
        <v>69448</v>
      </c>
      <c r="JD50">
        <v>52056</v>
      </c>
      <c r="JE50">
        <v>43722</v>
      </c>
      <c r="JF50">
        <v>65762</v>
      </c>
      <c r="JG50">
        <v>66046</v>
      </c>
      <c r="JH50">
        <v>45053</v>
      </c>
      <c r="JI50">
        <v>44928</v>
      </c>
      <c r="JJ50">
        <f t="shared" si="23"/>
        <v>700864</v>
      </c>
      <c r="JK50">
        <v>1247</v>
      </c>
      <c r="JL50">
        <v>1211</v>
      </c>
      <c r="JM50">
        <v>1059</v>
      </c>
      <c r="JN50">
        <v>1515</v>
      </c>
      <c r="JO50">
        <v>1361</v>
      </c>
      <c r="JP50">
        <v>1076</v>
      </c>
      <c r="JQ50">
        <v>1157</v>
      </c>
      <c r="JR50">
        <v>887</v>
      </c>
      <c r="JS50">
        <v>805</v>
      </c>
      <c r="JT50">
        <v>1425</v>
      </c>
      <c r="JU50">
        <v>866</v>
      </c>
      <c r="JV50">
        <v>1030</v>
      </c>
      <c r="JW50">
        <f t="shared" si="24"/>
        <v>13639</v>
      </c>
      <c r="JX50">
        <v>44728</v>
      </c>
      <c r="JY50">
        <v>48792</v>
      </c>
      <c r="JZ50">
        <v>44520</v>
      </c>
      <c r="KA50">
        <v>50848</v>
      </c>
      <c r="KB50">
        <v>49946</v>
      </c>
      <c r="KC50">
        <v>48843</v>
      </c>
      <c r="KD50">
        <v>50416</v>
      </c>
      <c r="KE50">
        <v>44918</v>
      </c>
      <c r="KF50">
        <v>37499</v>
      </c>
      <c r="KG50">
        <v>63407</v>
      </c>
      <c r="KH50">
        <v>41223</v>
      </c>
      <c r="KI50">
        <v>46275</v>
      </c>
      <c r="KJ50">
        <f t="shared" si="25"/>
        <v>571415</v>
      </c>
      <c r="KK50">
        <v>915</v>
      </c>
      <c r="KL50">
        <v>855</v>
      </c>
      <c r="KM50">
        <v>835</v>
      </c>
      <c r="KN50">
        <v>839</v>
      </c>
      <c r="KO50">
        <v>890</v>
      </c>
      <c r="KP50">
        <v>833</v>
      </c>
      <c r="KQ50">
        <v>901</v>
      </c>
      <c r="KR50">
        <v>792</v>
      </c>
      <c r="KS50">
        <v>795</v>
      </c>
      <c r="KT50">
        <v>1125</v>
      </c>
      <c r="KU50">
        <v>723</v>
      </c>
      <c r="KV50">
        <v>754</v>
      </c>
      <c r="KW50">
        <f t="shared" si="26"/>
        <v>10257</v>
      </c>
      <c r="KX50">
        <v>42</v>
      </c>
      <c r="KY50">
        <v>30</v>
      </c>
      <c r="KZ50">
        <v>39</v>
      </c>
      <c r="LA50">
        <v>52</v>
      </c>
      <c r="LB50">
        <v>56</v>
      </c>
      <c r="LC50">
        <v>28</v>
      </c>
      <c r="LD50">
        <v>25</v>
      </c>
      <c r="LE50">
        <v>12</v>
      </c>
      <c r="LF50">
        <v>11</v>
      </c>
      <c r="LG50">
        <v>36</v>
      </c>
      <c r="LH50">
        <v>30</v>
      </c>
      <c r="LI50">
        <v>25</v>
      </c>
      <c r="LJ50">
        <f t="shared" si="27"/>
        <v>386</v>
      </c>
      <c r="LK50">
        <v>0</v>
      </c>
      <c r="LL50">
        <v>0</v>
      </c>
      <c r="LM50">
        <v>0</v>
      </c>
      <c r="LN50">
        <v>0</v>
      </c>
      <c r="LO50">
        <v>0</v>
      </c>
      <c r="LP50">
        <v>0</v>
      </c>
      <c r="LQ50">
        <v>0</v>
      </c>
      <c r="LR50">
        <v>0</v>
      </c>
      <c r="LS50">
        <v>0</v>
      </c>
      <c r="LT50">
        <v>0</v>
      </c>
      <c r="LU50">
        <v>0</v>
      </c>
      <c r="LV50">
        <v>0</v>
      </c>
      <c r="LW50">
        <f t="shared" si="28"/>
        <v>0</v>
      </c>
      <c r="LX50">
        <v>0</v>
      </c>
      <c r="LY50">
        <v>0</v>
      </c>
      <c r="LZ50">
        <v>0</v>
      </c>
      <c r="MA50">
        <v>0</v>
      </c>
      <c r="MB50">
        <v>0</v>
      </c>
      <c r="MC50">
        <v>0</v>
      </c>
      <c r="MD50">
        <v>0</v>
      </c>
      <c r="ME50">
        <v>0</v>
      </c>
      <c r="MF50">
        <v>0</v>
      </c>
      <c r="MG50">
        <v>0</v>
      </c>
      <c r="MH50">
        <v>0</v>
      </c>
      <c r="MI50">
        <v>0</v>
      </c>
      <c r="MJ50">
        <f t="shared" si="29"/>
        <v>0</v>
      </c>
      <c r="MK50">
        <v>6652</v>
      </c>
      <c r="ML50">
        <v>6633</v>
      </c>
      <c r="MM50">
        <v>6219</v>
      </c>
      <c r="MN50">
        <v>6403</v>
      </c>
      <c r="MO50">
        <v>6693</v>
      </c>
      <c r="MP50">
        <v>6314</v>
      </c>
      <c r="MQ50">
        <v>7111</v>
      </c>
      <c r="MR50">
        <v>6661</v>
      </c>
      <c r="MS50">
        <v>6968</v>
      </c>
      <c r="MT50">
        <v>7435</v>
      </c>
      <c r="MU50">
        <v>6739</v>
      </c>
      <c r="MV50">
        <v>7224</v>
      </c>
      <c r="MW50">
        <f t="shared" si="30"/>
        <v>81052</v>
      </c>
      <c r="MX50">
        <v>622</v>
      </c>
      <c r="MY50">
        <v>598</v>
      </c>
      <c r="MZ50">
        <v>580</v>
      </c>
      <c r="NA50">
        <v>594</v>
      </c>
      <c r="NB50">
        <v>573</v>
      </c>
      <c r="NC50">
        <v>496</v>
      </c>
      <c r="ND50">
        <v>673</v>
      </c>
      <c r="NE50">
        <v>594</v>
      </c>
      <c r="NF50">
        <v>618</v>
      </c>
      <c r="NG50">
        <v>664</v>
      </c>
      <c r="NH50">
        <v>720</v>
      </c>
      <c r="NI50">
        <v>732</v>
      </c>
      <c r="NJ50">
        <f t="shared" si="31"/>
        <v>7464</v>
      </c>
      <c r="NK50">
        <v>333</v>
      </c>
      <c r="NL50">
        <v>305</v>
      </c>
      <c r="NM50">
        <v>320</v>
      </c>
      <c r="NN50">
        <v>348</v>
      </c>
      <c r="NO50">
        <v>495</v>
      </c>
      <c r="NP50">
        <v>417</v>
      </c>
      <c r="NQ50">
        <v>373</v>
      </c>
      <c r="NR50">
        <v>332</v>
      </c>
      <c r="NS50">
        <v>332</v>
      </c>
      <c r="NT50">
        <v>334</v>
      </c>
      <c r="NU50">
        <v>340</v>
      </c>
      <c r="NV50">
        <v>383</v>
      </c>
      <c r="NW50">
        <f t="shared" si="32"/>
        <v>4312</v>
      </c>
      <c r="NX50">
        <v>5697</v>
      </c>
      <c r="NY50">
        <v>5730</v>
      </c>
      <c r="NZ50">
        <v>5319</v>
      </c>
      <c r="OA50">
        <v>5461</v>
      </c>
      <c r="OB50">
        <v>5625</v>
      </c>
      <c r="OC50">
        <v>5401</v>
      </c>
      <c r="OD50">
        <v>6065</v>
      </c>
      <c r="OE50">
        <v>5735</v>
      </c>
      <c r="OF50">
        <v>6018</v>
      </c>
      <c r="OG50">
        <v>6437</v>
      </c>
      <c r="OH50">
        <v>5679</v>
      </c>
      <c r="OI50">
        <v>6109</v>
      </c>
      <c r="OJ50">
        <f t="shared" si="33"/>
        <v>69276</v>
      </c>
      <c r="OK50">
        <v>12154</v>
      </c>
      <c r="OL50">
        <v>12533</v>
      </c>
      <c r="OM50">
        <v>12179</v>
      </c>
      <c r="ON50">
        <v>12879</v>
      </c>
      <c r="OO50">
        <v>13482</v>
      </c>
      <c r="OP50">
        <v>13090</v>
      </c>
      <c r="OQ50">
        <v>13583</v>
      </c>
      <c r="OR50">
        <v>12974</v>
      </c>
      <c r="OS50">
        <v>13175</v>
      </c>
      <c r="OT50">
        <v>14486</v>
      </c>
      <c r="OU50">
        <v>13316</v>
      </c>
      <c r="OV50">
        <v>15369</v>
      </c>
      <c r="OW50">
        <f t="shared" si="34"/>
        <v>159220</v>
      </c>
      <c r="OX50">
        <v>1719</v>
      </c>
      <c r="OY50">
        <v>1605</v>
      </c>
      <c r="OZ50">
        <v>1541</v>
      </c>
      <c r="PA50">
        <v>1770</v>
      </c>
      <c r="PB50">
        <v>1829</v>
      </c>
      <c r="PC50">
        <v>1575</v>
      </c>
      <c r="PD50">
        <v>1773</v>
      </c>
      <c r="PE50">
        <v>1763</v>
      </c>
      <c r="PF50">
        <v>1882</v>
      </c>
      <c r="PG50">
        <v>1820</v>
      </c>
      <c r="PH50">
        <v>1703</v>
      </c>
      <c r="PI50">
        <v>2040</v>
      </c>
      <c r="PJ50">
        <f t="shared" si="35"/>
        <v>21020</v>
      </c>
      <c r="PK50">
        <v>433</v>
      </c>
      <c r="PL50">
        <v>474</v>
      </c>
      <c r="PM50">
        <v>489</v>
      </c>
      <c r="PN50">
        <v>543</v>
      </c>
      <c r="PO50">
        <v>504</v>
      </c>
      <c r="PP50">
        <v>482</v>
      </c>
      <c r="PQ50">
        <v>495</v>
      </c>
      <c r="PR50">
        <v>487</v>
      </c>
      <c r="PS50">
        <v>485</v>
      </c>
      <c r="PT50">
        <v>506</v>
      </c>
      <c r="PU50">
        <v>467</v>
      </c>
      <c r="PV50">
        <v>655</v>
      </c>
      <c r="PW50">
        <f t="shared" si="36"/>
        <v>6020</v>
      </c>
      <c r="PX50">
        <v>10002</v>
      </c>
      <c r="PY50">
        <v>10454</v>
      </c>
      <c r="PZ50">
        <v>10149</v>
      </c>
      <c r="QA50">
        <v>10566</v>
      </c>
      <c r="QB50">
        <v>11149</v>
      </c>
      <c r="QC50">
        <v>11033</v>
      </c>
      <c r="QD50">
        <v>11315</v>
      </c>
      <c r="QE50">
        <v>10724</v>
      </c>
      <c r="QF50">
        <v>10808</v>
      </c>
      <c r="QG50">
        <v>12160</v>
      </c>
      <c r="QH50">
        <v>11146</v>
      </c>
      <c r="QI50">
        <v>12674</v>
      </c>
      <c r="QJ50">
        <f t="shared" si="37"/>
        <v>132180</v>
      </c>
      <c r="QK50">
        <v>0</v>
      </c>
      <c r="QL50">
        <v>0</v>
      </c>
      <c r="QM50">
        <v>0</v>
      </c>
      <c r="QN50">
        <v>0</v>
      </c>
      <c r="QO50">
        <v>0</v>
      </c>
      <c r="QP50">
        <v>0</v>
      </c>
      <c r="QQ50">
        <v>0</v>
      </c>
      <c r="QR50">
        <v>0</v>
      </c>
      <c r="QS50">
        <v>0</v>
      </c>
      <c r="QT50">
        <v>0</v>
      </c>
      <c r="QU50">
        <v>0</v>
      </c>
      <c r="QV50">
        <v>0</v>
      </c>
      <c r="QW50">
        <f t="shared" si="38"/>
        <v>0</v>
      </c>
      <c r="QX50">
        <v>0</v>
      </c>
      <c r="QY50">
        <v>0</v>
      </c>
      <c r="QZ50">
        <v>0</v>
      </c>
      <c r="RA50">
        <v>0</v>
      </c>
      <c r="RB50">
        <v>0</v>
      </c>
      <c r="RC50">
        <v>0</v>
      </c>
      <c r="RD50">
        <v>0</v>
      </c>
      <c r="RE50">
        <v>0</v>
      </c>
      <c r="RF50">
        <v>0</v>
      </c>
      <c r="RG50">
        <v>0</v>
      </c>
      <c r="RH50">
        <v>0</v>
      </c>
      <c r="RI50">
        <v>0</v>
      </c>
      <c r="RJ50">
        <f t="shared" si="39"/>
        <v>0</v>
      </c>
      <c r="RK50">
        <v>0</v>
      </c>
      <c r="RL50">
        <v>0</v>
      </c>
      <c r="RM50">
        <v>0</v>
      </c>
      <c r="RN50">
        <v>0</v>
      </c>
      <c r="RO50">
        <v>0</v>
      </c>
      <c r="RP50">
        <v>0</v>
      </c>
      <c r="RQ50">
        <v>0</v>
      </c>
      <c r="RR50">
        <v>0</v>
      </c>
      <c r="RS50">
        <v>0</v>
      </c>
      <c r="RT50">
        <v>0</v>
      </c>
      <c r="RU50">
        <v>0</v>
      </c>
      <c r="RV50">
        <v>0</v>
      </c>
      <c r="RW50">
        <f t="shared" si="40"/>
        <v>0</v>
      </c>
      <c r="RX50">
        <v>0</v>
      </c>
      <c r="RY50">
        <v>0</v>
      </c>
      <c r="RZ50">
        <v>0</v>
      </c>
      <c r="SA50">
        <v>0</v>
      </c>
      <c r="SB50">
        <v>0</v>
      </c>
      <c r="SC50">
        <v>0</v>
      </c>
      <c r="SD50">
        <v>0</v>
      </c>
      <c r="SE50">
        <v>0</v>
      </c>
      <c r="SF50">
        <v>0</v>
      </c>
      <c r="SG50">
        <v>0</v>
      </c>
      <c r="SH50">
        <v>0</v>
      </c>
      <c r="SI50">
        <v>0</v>
      </c>
      <c r="SJ50">
        <f t="shared" si="41"/>
        <v>0</v>
      </c>
      <c r="SK50">
        <v>0</v>
      </c>
      <c r="SL50">
        <v>0</v>
      </c>
      <c r="SM50">
        <v>0</v>
      </c>
      <c r="SN50">
        <v>0</v>
      </c>
      <c r="SO50">
        <v>0</v>
      </c>
      <c r="SP50">
        <v>0</v>
      </c>
      <c r="SQ50">
        <v>0</v>
      </c>
      <c r="SR50">
        <v>0</v>
      </c>
      <c r="SS50">
        <v>0</v>
      </c>
      <c r="ST50">
        <v>0</v>
      </c>
      <c r="SU50">
        <v>0</v>
      </c>
      <c r="SV50">
        <v>0</v>
      </c>
      <c r="SW50">
        <f t="shared" si="42"/>
        <v>0</v>
      </c>
      <c r="SX50" t="s">
        <v>1474</v>
      </c>
      <c r="SY50">
        <v>13722</v>
      </c>
      <c r="SZ50">
        <v>12853</v>
      </c>
      <c r="TA50">
        <v>12377</v>
      </c>
      <c r="TB50">
        <v>13232</v>
      </c>
      <c r="TC50">
        <v>11757</v>
      </c>
      <c r="TD50">
        <v>9933</v>
      </c>
      <c r="TE50">
        <v>9615</v>
      </c>
      <c r="TF50">
        <v>9549</v>
      </c>
      <c r="TG50">
        <v>8261</v>
      </c>
      <c r="TH50">
        <v>10601</v>
      </c>
      <c r="TI50">
        <v>10859</v>
      </c>
      <c r="TJ50">
        <v>11255</v>
      </c>
      <c r="TK50">
        <f t="shared" si="43"/>
        <v>134014</v>
      </c>
      <c r="TL50">
        <v>0</v>
      </c>
      <c r="TM50">
        <v>0</v>
      </c>
      <c r="TN50">
        <v>0</v>
      </c>
      <c r="TO50">
        <v>0</v>
      </c>
      <c r="TP50">
        <v>0</v>
      </c>
      <c r="TQ50">
        <v>0</v>
      </c>
      <c r="TR50">
        <v>0</v>
      </c>
      <c r="TS50">
        <v>0</v>
      </c>
      <c r="TT50">
        <v>0</v>
      </c>
      <c r="TU50">
        <v>0</v>
      </c>
      <c r="TV50">
        <v>0</v>
      </c>
      <c r="TW50">
        <v>0</v>
      </c>
      <c r="TX50">
        <f t="shared" si="44"/>
        <v>0</v>
      </c>
      <c r="TY50">
        <v>485</v>
      </c>
      <c r="TZ50">
        <v>120</v>
      </c>
      <c r="UA50">
        <v>724</v>
      </c>
      <c r="UB50">
        <v>0</v>
      </c>
    </row>
    <row r="51" spans="1:548" ht="16.5" customHeight="1" x14ac:dyDescent="0.35">
      <c r="A51" t="s">
        <v>1415</v>
      </c>
      <c r="B51" t="s">
        <v>2865</v>
      </c>
      <c r="C51">
        <v>38679</v>
      </c>
      <c r="D51">
        <v>10270</v>
      </c>
      <c r="E51">
        <v>2232</v>
      </c>
      <c r="F51">
        <v>26117</v>
      </c>
      <c r="G51">
        <v>551</v>
      </c>
      <c r="H51">
        <v>639</v>
      </c>
      <c r="I51">
        <v>556</v>
      </c>
      <c r="J51">
        <v>630</v>
      </c>
      <c r="K51">
        <v>571</v>
      </c>
      <c r="L51">
        <v>542</v>
      </c>
      <c r="M51">
        <v>629</v>
      </c>
      <c r="N51">
        <v>547</v>
      </c>
      <c r="O51">
        <v>528</v>
      </c>
      <c r="P51">
        <v>571</v>
      </c>
      <c r="Q51">
        <v>590</v>
      </c>
      <c r="R51">
        <v>658</v>
      </c>
      <c r="S51">
        <f t="shared" si="0"/>
        <v>7012</v>
      </c>
      <c r="T51">
        <v>0</v>
      </c>
      <c r="U51">
        <v>0</v>
      </c>
      <c r="V51">
        <v>0</v>
      </c>
      <c r="W51">
        <v>0</v>
      </c>
      <c r="X51">
        <v>0</v>
      </c>
      <c r="Y51">
        <v>0</v>
      </c>
      <c r="Z51">
        <v>0</v>
      </c>
      <c r="AA51">
        <v>0</v>
      </c>
      <c r="AB51">
        <v>0</v>
      </c>
      <c r="AC51">
        <v>0</v>
      </c>
      <c r="AD51">
        <v>0</v>
      </c>
      <c r="AE51">
        <v>0</v>
      </c>
      <c r="AF51">
        <f t="shared" si="1"/>
        <v>0</v>
      </c>
      <c r="AG51">
        <v>0</v>
      </c>
      <c r="AH51">
        <v>0</v>
      </c>
      <c r="AI51">
        <v>0</v>
      </c>
      <c r="AJ51">
        <v>0</v>
      </c>
      <c r="AK51">
        <v>0</v>
      </c>
      <c r="AL51">
        <v>0</v>
      </c>
      <c r="AM51">
        <v>0</v>
      </c>
      <c r="AN51">
        <v>0</v>
      </c>
      <c r="AO51">
        <v>0</v>
      </c>
      <c r="AP51">
        <v>0</v>
      </c>
      <c r="AQ51">
        <v>0</v>
      </c>
      <c r="AR51">
        <v>0</v>
      </c>
      <c r="AS51">
        <f t="shared" si="2"/>
        <v>0</v>
      </c>
      <c r="AT51">
        <v>0</v>
      </c>
      <c r="AU51">
        <v>0</v>
      </c>
      <c r="AV51">
        <v>0</v>
      </c>
      <c r="AW51">
        <v>0</v>
      </c>
      <c r="AX51">
        <v>0</v>
      </c>
      <c r="AY51">
        <v>0</v>
      </c>
      <c r="AZ51">
        <v>0</v>
      </c>
      <c r="BA51">
        <v>0</v>
      </c>
      <c r="BB51">
        <v>0</v>
      </c>
      <c r="BC51">
        <v>0</v>
      </c>
      <c r="BD51">
        <v>0</v>
      </c>
      <c r="BE51">
        <v>0</v>
      </c>
      <c r="BF51">
        <f t="shared" si="3"/>
        <v>0</v>
      </c>
      <c r="BG51">
        <v>0</v>
      </c>
      <c r="BH51">
        <v>0</v>
      </c>
      <c r="BI51">
        <v>0</v>
      </c>
      <c r="BJ51">
        <v>0</v>
      </c>
      <c r="BK51">
        <v>0</v>
      </c>
      <c r="BL51">
        <v>0</v>
      </c>
      <c r="BM51">
        <v>0</v>
      </c>
      <c r="BN51">
        <v>0</v>
      </c>
      <c r="BO51">
        <v>0</v>
      </c>
      <c r="BP51">
        <v>0</v>
      </c>
      <c r="BQ51">
        <v>0</v>
      </c>
      <c r="BR51">
        <v>0</v>
      </c>
      <c r="BS51">
        <f t="shared" si="4"/>
        <v>0</v>
      </c>
      <c r="BT51">
        <v>0</v>
      </c>
      <c r="BU51">
        <v>0</v>
      </c>
      <c r="BV51">
        <v>0</v>
      </c>
      <c r="BW51">
        <v>0</v>
      </c>
      <c r="BX51">
        <v>0</v>
      </c>
      <c r="BY51">
        <v>0</v>
      </c>
      <c r="BZ51">
        <v>0</v>
      </c>
      <c r="CA51">
        <v>0</v>
      </c>
      <c r="CB51">
        <v>0</v>
      </c>
      <c r="CC51">
        <v>0</v>
      </c>
      <c r="CD51">
        <v>0</v>
      </c>
      <c r="CE51">
        <v>0</v>
      </c>
      <c r="CF51">
        <f t="shared" si="5"/>
        <v>0</v>
      </c>
      <c r="CG51">
        <v>0</v>
      </c>
      <c r="CH51">
        <v>0</v>
      </c>
      <c r="CI51">
        <v>0</v>
      </c>
      <c r="CJ51">
        <v>0</v>
      </c>
      <c r="CK51">
        <v>0</v>
      </c>
      <c r="CL51">
        <v>0</v>
      </c>
      <c r="CM51">
        <v>0</v>
      </c>
      <c r="CN51">
        <v>0</v>
      </c>
      <c r="CO51">
        <v>0</v>
      </c>
      <c r="CP51">
        <v>0</v>
      </c>
      <c r="CQ51">
        <v>0</v>
      </c>
      <c r="CR51">
        <v>0</v>
      </c>
      <c r="CS51">
        <f t="shared" si="6"/>
        <v>0</v>
      </c>
      <c r="CT51">
        <v>0</v>
      </c>
      <c r="CU51">
        <v>0</v>
      </c>
      <c r="CV51">
        <v>0</v>
      </c>
      <c r="CW51">
        <v>0</v>
      </c>
      <c r="CX51">
        <v>0</v>
      </c>
      <c r="CY51">
        <v>0</v>
      </c>
      <c r="CZ51">
        <v>0</v>
      </c>
      <c r="DA51">
        <v>0</v>
      </c>
      <c r="DB51">
        <v>0</v>
      </c>
      <c r="DC51">
        <v>0</v>
      </c>
      <c r="DD51">
        <v>0</v>
      </c>
      <c r="DE51">
        <v>0</v>
      </c>
      <c r="DF51">
        <f t="shared" si="7"/>
        <v>0</v>
      </c>
      <c r="DG51">
        <v>0</v>
      </c>
      <c r="DH51">
        <v>0</v>
      </c>
      <c r="DI51">
        <v>0</v>
      </c>
      <c r="DJ51">
        <v>0</v>
      </c>
      <c r="DK51">
        <v>0</v>
      </c>
      <c r="DL51">
        <v>0</v>
      </c>
      <c r="DM51">
        <v>0</v>
      </c>
      <c r="DN51">
        <v>0</v>
      </c>
      <c r="DO51">
        <v>0</v>
      </c>
      <c r="DP51">
        <v>0</v>
      </c>
      <c r="DQ51">
        <v>0</v>
      </c>
      <c r="DR51">
        <v>0</v>
      </c>
      <c r="DS51">
        <f t="shared" si="8"/>
        <v>0</v>
      </c>
      <c r="DT51">
        <v>0</v>
      </c>
      <c r="DU51">
        <v>0</v>
      </c>
      <c r="DV51">
        <v>0</v>
      </c>
      <c r="DW51">
        <v>0</v>
      </c>
      <c r="DX51">
        <v>0</v>
      </c>
      <c r="DY51">
        <v>0</v>
      </c>
      <c r="DZ51">
        <v>0</v>
      </c>
      <c r="EA51">
        <v>0</v>
      </c>
      <c r="EB51">
        <v>0</v>
      </c>
      <c r="EC51">
        <v>0</v>
      </c>
      <c r="ED51">
        <v>0</v>
      </c>
      <c r="EE51">
        <v>0</v>
      </c>
      <c r="EF51">
        <f t="shared" si="9"/>
        <v>0</v>
      </c>
      <c r="EG51">
        <f t="shared" si="10"/>
        <v>0</v>
      </c>
      <c r="EH51">
        <f t="shared" si="11"/>
        <v>0</v>
      </c>
      <c r="EI51">
        <v>6175</v>
      </c>
      <c r="EJ51">
        <v>7668</v>
      </c>
      <c r="EK51">
        <v>5627</v>
      </c>
      <c r="EL51">
        <v>10191</v>
      </c>
      <c r="EM51">
        <v>7480</v>
      </c>
      <c r="EN51">
        <v>6248</v>
      </c>
      <c r="EO51">
        <v>7862</v>
      </c>
      <c r="EP51">
        <v>5350</v>
      </c>
      <c r="EQ51">
        <v>4824</v>
      </c>
      <c r="ER51">
        <v>6267</v>
      </c>
      <c r="ES51">
        <v>7272</v>
      </c>
      <c r="ET51">
        <v>8957</v>
      </c>
      <c r="EU51">
        <f t="shared" si="12"/>
        <v>83921</v>
      </c>
      <c r="EV51">
        <v>0</v>
      </c>
      <c r="EW51">
        <v>0</v>
      </c>
      <c r="EX51">
        <v>0</v>
      </c>
      <c r="EY51">
        <v>0</v>
      </c>
      <c r="EZ51">
        <v>0</v>
      </c>
      <c r="FA51">
        <v>0</v>
      </c>
      <c r="FB51">
        <v>0</v>
      </c>
      <c r="FC51">
        <v>0</v>
      </c>
      <c r="FD51">
        <v>0</v>
      </c>
      <c r="FE51">
        <v>0</v>
      </c>
      <c r="FF51">
        <v>0</v>
      </c>
      <c r="FG51">
        <v>0</v>
      </c>
      <c r="FH51">
        <f t="shared" si="13"/>
        <v>0</v>
      </c>
      <c r="FI51">
        <v>0</v>
      </c>
      <c r="FJ51">
        <v>0</v>
      </c>
      <c r="FK51">
        <v>0</v>
      </c>
      <c r="FL51">
        <v>0</v>
      </c>
      <c r="FM51">
        <v>0</v>
      </c>
      <c r="FN51">
        <v>0</v>
      </c>
      <c r="FO51">
        <v>0</v>
      </c>
      <c r="FP51">
        <v>0</v>
      </c>
      <c r="FQ51">
        <v>0</v>
      </c>
      <c r="FR51">
        <v>0</v>
      </c>
      <c r="FS51">
        <v>0</v>
      </c>
      <c r="FT51">
        <v>0</v>
      </c>
      <c r="FU51">
        <f t="shared" si="14"/>
        <v>0</v>
      </c>
      <c r="FV51">
        <v>0</v>
      </c>
      <c r="FW51">
        <v>0</v>
      </c>
      <c r="FX51">
        <v>0</v>
      </c>
      <c r="FY51">
        <v>0</v>
      </c>
      <c r="FZ51">
        <v>0</v>
      </c>
      <c r="GA51">
        <v>0</v>
      </c>
      <c r="GB51">
        <v>0</v>
      </c>
      <c r="GC51">
        <v>0</v>
      </c>
      <c r="GD51">
        <v>0</v>
      </c>
      <c r="GE51">
        <v>0</v>
      </c>
      <c r="GF51">
        <v>0</v>
      </c>
      <c r="GG51">
        <v>0</v>
      </c>
      <c r="GH51">
        <f t="shared" si="15"/>
        <v>0</v>
      </c>
      <c r="GI51">
        <v>0</v>
      </c>
      <c r="GJ51">
        <v>0</v>
      </c>
      <c r="GK51">
        <v>0</v>
      </c>
      <c r="GL51">
        <v>0</v>
      </c>
      <c r="GM51">
        <v>0</v>
      </c>
      <c r="GN51">
        <v>0</v>
      </c>
      <c r="GO51">
        <v>0</v>
      </c>
      <c r="GP51">
        <v>0</v>
      </c>
      <c r="GQ51">
        <v>0</v>
      </c>
      <c r="GR51">
        <v>0</v>
      </c>
      <c r="GS51">
        <v>0</v>
      </c>
      <c r="GT51">
        <v>0</v>
      </c>
      <c r="GU51">
        <f t="shared" si="16"/>
        <v>0</v>
      </c>
      <c r="GV51">
        <v>0</v>
      </c>
      <c r="GW51">
        <v>0</v>
      </c>
      <c r="GX51">
        <v>0</v>
      </c>
      <c r="GY51">
        <v>0</v>
      </c>
      <c r="GZ51">
        <v>0</v>
      </c>
      <c r="HA51">
        <v>0</v>
      </c>
      <c r="HB51">
        <v>0</v>
      </c>
      <c r="HC51">
        <v>0</v>
      </c>
      <c r="HD51">
        <v>0</v>
      </c>
      <c r="HE51">
        <v>0</v>
      </c>
      <c r="HF51">
        <v>0</v>
      </c>
      <c r="HG51">
        <v>0</v>
      </c>
      <c r="HH51">
        <f t="shared" si="17"/>
        <v>0</v>
      </c>
      <c r="HI51">
        <v>0</v>
      </c>
      <c r="HJ51">
        <v>0</v>
      </c>
      <c r="HK51">
        <v>0</v>
      </c>
      <c r="HL51">
        <v>0</v>
      </c>
      <c r="HM51">
        <v>0</v>
      </c>
      <c r="HN51">
        <v>0</v>
      </c>
      <c r="HO51">
        <v>0</v>
      </c>
      <c r="HP51">
        <v>0</v>
      </c>
      <c r="HQ51">
        <v>0</v>
      </c>
      <c r="HR51">
        <v>0</v>
      </c>
      <c r="HS51">
        <v>0</v>
      </c>
      <c r="HT51">
        <v>0</v>
      </c>
      <c r="HU51">
        <f t="shared" si="18"/>
        <v>0</v>
      </c>
      <c r="HV51">
        <v>0</v>
      </c>
      <c r="HW51">
        <v>0</v>
      </c>
      <c r="HX51">
        <v>0</v>
      </c>
      <c r="HY51">
        <v>0</v>
      </c>
      <c r="HZ51">
        <v>0</v>
      </c>
      <c r="IA51">
        <v>0</v>
      </c>
      <c r="IB51">
        <v>0</v>
      </c>
      <c r="IC51">
        <v>0</v>
      </c>
      <c r="ID51">
        <v>0</v>
      </c>
      <c r="IE51">
        <v>0</v>
      </c>
      <c r="IF51">
        <v>0</v>
      </c>
      <c r="IG51">
        <v>0</v>
      </c>
      <c r="IH51">
        <f t="shared" si="19"/>
        <v>0</v>
      </c>
      <c r="II51">
        <f t="shared" si="20"/>
        <v>0</v>
      </c>
      <c r="IJ51">
        <f t="shared" si="21"/>
        <v>0</v>
      </c>
      <c r="IK51">
        <v>126367</v>
      </c>
      <c r="IL51">
        <v>125611</v>
      </c>
      <c r="IM51">
        <v>118441</v>
      </c>
      <c r="IN51">
        <v>139691</v>
      </c>
      <c r="IO51">
        <v>139374</v>
      </c>
      <c r="IP51">
        <v>128911</v>
      </c>
      <c r="IQ51">
        <v>134684</v>
      </c>
      <c r="IR51">
        <v>119202</v>
      </c>
      <c r="IS51">
        <v>115767</v>
      </c>
      <c r="IT51">
        <v>126556</v>
      </c>
      <c r="IU51">
        <v>118524</v>
      </c>
      <c r="IV51">
        <v>123262</v>
      </c>
      <c r="IW51">
        <f t="shared" si="22"/>
        <v>1516390</v>
      </c>
      <c r="IX51">
        <v>40877</v>
      </c>
      <c r="IY51">
        <v>41200</v>
      </c>
      <c r="IZ51">
        <v>36123</v>
      </c>
      <c r="JA51">
        <v>46130</v>
      </c>
      <c r="JB51">
        <v>48639</v>
      </c>
      <c r="JC51">
        <v>41153</v>
      </c>
      <c r="JD51">
        <v>42485</v>
      </c>
      <c r="JE51">
        <v>38503</v>
      </c>
      <c r="JF51">
        <v>32152</v>
      </c>
      <c r="JG51">
        <v>35896</v>
      </c>
      <c r="JH51">
        <v>38102</v>
      </c>
      <c r="JI51">
        <v>39082</v>
      </c>
      <c r="JJ51">
        <f t="shared" si="23"/>
        <v>480342</v>
      </c>
      <c r="JK51">
        <v>2105</v>
      </c>
      <c r="JL51">
        <v>2132</v>
      </c>
      <c r="JM51">
        <v>1938</v>
      </c>
      <c r="JN51">
        <v>2663</v>
      </c>
      <c r="JO51">
        <v>2897</v>
      </c>
      <c r="JP51">
        <v>2505</v>
      </c>
      <c r="JQ51">
        <v>2311</v>
      </c>
      <c r="JR51">
        <v>1978</v>
      </c>
      <c r="JS51">
        <v>1749</v>
      </c>
      <c r="JT51">
        <v>2027</v>
      </c>
      <c r="JU51">
        <v>1995</v>
      </c>
      <c r="JV51">
        <v>1981</v>
      </c>
      <c r="JW51">
        <f t="shared" si="24"/>
        <v>26281</v>
      </c>
      <c r="JX51">
        <v>83385</v>
      </c>
      <c r="JY51">
        <v>82279</v>
      </c>
      <c r="JZ51">
        <v>80380</v>
      </c>
      <c r="KA51">
        <v>90898</v>
      </c>
      <c r="KB51">
        <v>87838</v>
      </c>
      <c r="KC51">
        <v>85253</v>
      </c>
      <c r="KD51">
        <v>89888</v>
      </c>
      <c r="KE51">
        <v>78721</v>
      </c>
      <c r="KF51">
        <v>81866</v>
      </c>
      <c r="KG51">
        <v>88633</v>
      </c>
      <c r="KH51">
        <v>78427</v>
      </c>
      <c r="KI51">
        <v>82199</v>
      </c>
      <c r="KJ51">
        <f t="shared" si="25"/>
        <v>1009767</v>
      </c>
      <c r="KK51">
        <v>4360</v>
      </c>
      <c r="KL51">
        <v>4260</v>
      </c>
      <c r="KM51">
        <v>4403</v>
      </c>
      <c r="KN51">
        <v>4838</v>
      </c>
      <c r="KO51">
        <v>4271</v>
      </c>
      <c r="KP51">
        <v>4544</v>
      </c>
      <c r="KQ51">
        <v>4981</v>
      </c>
      <c r="KR51">
        <v>4198</v>
      </c>
      <c r="KS51">
        <v>4909</v>
      </c>
      <c r="KT51">
        <v>4963</v>
      </c>
      <c r="KU51">
        <v>4449</v>
      </c>
      <c r="KV51">
        <v>4703</v>
      </c>
      <c r="KW51">
        <f t="shared" si="26"/>
        <v>54879</v>
      </c>
      <c r="KX51">
        <v>325</v>
      </c>
      <c r="KY51">
        <v>218</v>
      </c>
      <c r="KZ51">
        <v>173</v>
      </c>
      <c r="LA51">
        <v>242</v>
      </c>
      <c r="LB51">
        <v>232</v>
      </c>
      <c r="LC51">
        <v>173</v>
      </c>
      <c r="LD51">
        <v>184</v>
      </c>
      <c r="LE51">
        <v>147</v>
      </c>
      <c r="LF51">
        <v>135</v>
      </c>
      <c r="LG51">
        <v>136</v>
      </c>
      <c r="LH51">
        <v>206</v>
      </c>
      <c r="LI51">
        <v>205</v>
      </c>
      <c r="LJ51">
        <f t="shared" si="27"/>
        <v>2376</v>
      </c>
      <c r="LK51">
        <v>26</v>
      </c>
      <c r="LL51">
        <v>22</v>
      </c>
      <c r="LM51">
        <v>25</v>
      </c>
      <c r="LN51">
        <v>9</v>
      </c>
      <c r="LO51">
        <v>21</v>
      </c>
      <c r="LP51">
        <v>19</v>
      </c>
      <c r="LQ51">
        <v>24</v>
      </c>
      <c r="LR51">
        <v>25</v>
      </c>
      <c r="LS51">
        <v>15</v>
      </c>
      <c r="LT51">
        <v>26</v>
      </c>
      <c r="LU51">
        <v>22</v>
      </c>
      <c r="LV51">
        <v>13</v>
      </c>
      <c r="LW51">
        <f t="shared" si="28"/>
        <v>247</v>
      </c>
      <c r="LX51">
        <v>4009</v>
      </c>
      <c r="LY51">
        <v>4020</v>
      </c>
      <c r="LZ51">
        <v>4205</v>
      </c>
      <c r="MA51">
        <v>4587</v>
      </c>
      <c r="MB51">
        <v>4018</v>
      </c>
      <c r="MC51">
        <v>4352</v>
      </c>
      <c r="MD51">
        <v>4773</v>
      </c>
      <c r="ME51">
        <v>4026</v>
      </c>
      <c r="MF51">
        <v>4759</v>
      </c>
      <c r="MG51">
        <v>4801</v>
      </c>
      <c r="MH51">
        <v>4221</v>
      </c>
      <c r="MI51">
        <v>4485</v>
      </c>
      <c r="MJ51">
        <f t="shared" si="29"/>
        <v>52256</v>
      </c>
      <c r="MK51">
        <v>12445</v>
      </c>
      <c r="ML51">
        <v>12979</v>
      </c>
      <c r="MM51">
        <v>12223</v>
      </c>
      <c r="MN51">
        <v>12799</v>
      </c>
      <c r="MO51">
        <v>13095</v>
      </c>
      <c r="MP51">
        <v>12195</v>
      </c>
      <c r="MQ51">
        <v>12545</v>
      </c>
      <c r="MR51">
        <v>12119</v>
      </c>
      <c r="MS51">
        <v>12221</v>
      </c>
      <c r="MT51">
        <v>13208</v>
      </c>
      <c r="MU51">
        <v>11549</v>
      </c>
      <c r="MV51">
        <v>12287</v>
      </c>
      <c r="MW51">
        <f t="shared" si="30"/>
        <v>149665</v>
      </c>
      <c r="MX51">
        <v>0</v>
      </c>
      <c r="MY51">
        <v>0</v>
      </c>
      <c r="MZ51">
        <v>0</v>
      </c>
      <c r="NA51">
        <v>0</v>
      </c>
      <c r="NB51">
        <v>0</v>
      </c>
      <c r="NC51">
        <v>0</v>
      </c>
      <c r="ND51">
        <v>0</v>
      </c>
      <c r="NE51">
        <v>0</v>
      </c>
      <c r="NF51">
        <v>0</v>
      </c>
      <c r="NG51">
        <v>0</v>
      </c>
      <c r="NH51">
        <v>0</v>
      </c>
      <c r="NI51">
        <v>0</v>
      </c>
      <c r="NJ51">
        <f t="shared" si="31"/>
        <v>0</v>
      </c>
      <c r="NK51">
        <v>0</v>
      </c>
      <c r="NL51">
        <v>0</v>
      </c>
      <c r="NM51">
        <v>0</v>
      </c>
      <c r="NN51">
        <v>0</v>
      </c>
      <c r="NO51">
        <v>0</v>
      </c>
      <c r="NP51">
        <v>0</v>
      </c>
      <c r="NQ51">
        <v>0</v>
      </c>
      <c r="NR51">
        <v>0</v>
      </c>
      <c r="NS51">
        <v>0</v>
      </c>
      <c r="NT51">
        <v>0</v>
      </c>
      <c r="NU51">
        <v>0</v>
      </c>
      <c r="NV51">
        <v>0</v>
      </c>
      <c r="NW51">
        <f t="shared" si="32"/>
        <v>0</v>
      </c>
      <c r="NX51">
        <v>0</v>
      </c>
      <c r="NY51">
        <v>0</v>
      </c>
      <c r="NZ51">
        <v>0</v>
      </c>
      <c r="OA51">
        <v>0</v>
      </c>
      <c r="OB51">
        <v>0</v>
      </c>
      <c r="OC51">
        <v>0</v>
      </c>
      <c r="OD51">
        <v>0</v>
      </c>
      <c r="OE51">
        <v>0</v>
      </c>
      <c r="OF51">
        <v>0</v>
      </c>
      <c r="OG51">
        <v>0</v>
      </c>
      <c r="OH51">
        <v>0</v>
      </c>
      <c r="OI51">
        <v>0</v>
      </c>
      <c r="OJ51">
        <f t="shared" si="33"/>
        <v>0</v>
      </c>
      <c r="OK51">
        <v>12246</v>
      </c>
      <c r="OL51">
        <v>13136</v>
      </c>
      <c r="OM51">
        <v>12844</v>
      </c>
      <c r="ON51">
        <v>13048</v>
      </c>
      <c r="OO51">
        <v>13565</v>
      </c>
      <c r="OP51">
        <v>12922</v>
      </c>
      <c r="OQ51">
        <v>13415</v>
      </c>
      <c r="OR51">
        <v>13359</v>
      </c>
      <c r="OS51">
        <v>13463</v>
      </c>
      <c r="OT51">
        <v>14312</v>
      </c>
      <c r="OU51">
        <v>12751</v>
      </c>
      <c r="OV51">
        <v>14559</v>
      </c>
      <c r="OW51">
        <f t="shared" si="34"/>
        <v>159620</v>
      </c>
      <c r="OX51">
        <v>0</v>
      </c>
      <c r="OY51">
        <v>0</v>
      </c>
      <c r="OZ51">
        <v>0</v>
      </c>
      <c r="PA51">
        <v>0</v>
      </c>
      <c r="PB51">
        <v>0</v>
      </c>
      <c r="PC51">
        <v>0</v>
      </c>
      <c r="PD51">
        <v>0</v>
      </c>
      <c r="PE51">
        <v>0</v>
      </c>
      <c r="PF51">
        <v>0</v>
      </c>
      <c r="PG51">
        <v>0</v>
      </c>
      <c r="PH51">
        <v>0</v>
      </c>
      <c r="PI51">
        <v>0</v>
      </c>
      <c r="PJ51">
        <f t="shared" si="35"/>
        <v>0</v>
      </c>
      <c r="PK51">
        <v>0</v>
      </c>
      <c r="PL51">
        <v>0</v>
      </c>
      <c r="PM51">
        <v>0</v>
      </c>
      <c r="PN51">
        <v>0</v>
      </c>
      <c r="PO51">
        <v>0</v>
      </c>
      <c r="PP51">
        <v>0</v>
      </c>
      <c r="PQ51">
        <v>0</v>
      </c>
      <c r="PR51">
        <v>0</v>
      </c>
      <c r="PS51">
        <v>0</v>
      </c>
      <c r="PT51">
        <v>0</v>
      </c>
      <c r="PU51">
        <v>0</v>
      </c>
      <c r="PV51">
        <v>0</v>
      </c>
      <c r="PW51">
        <f t="shared" si="36"/>
        <v>0</v>
      </c>
      <c r="PX51">
        <v>0</v>
      </c>
      <c r="PY51">
        <v>0</v>
      </c>
      <c r="PZ51">
        <v>0</v>
      </c>
      <c r="QA51">
        <v>0</v>
      </c>
      <c r="QB51">
        <v>0</v>
      </c>
      <c r="QC51">
        <v>0</v>
      </c>
      <c r="QD51">
        <v>0</v>
      </c>
      <c r="QE51">
        <v>0</v>
      </c>
      <c r="QF51">
        <v>0</v>
      </c>
      <c r="QG51">
        <v>0</v>
      </c>
      <c r="QH51">
        <v>0</v>
      </c>
      <c r="QI51">
        <v>0</v>
      </c>
      <c r="QJ51">
        <f t="shared" si="37"/>
        <v>0</v>
      </c>
      <c r="QK51">
        <v>83841</v>
      </c>
      <c r="QL51">
        <v>88000</v>
      </c>
      <c r="QM51">
        <v>79120</v>
      </c>
      <c r="QN51">
        <v>93113</v>
      </c>
      <c r="QO51">
        <v>92329</v>
      </c>
      <c r="QP51">
        <v>87953</v>
      </c>
      <c r="QQ51">
        <v>95836</v>
      </c>
      <c r="QR51">
        <v>83134</v>
      </c>
      <c r="QS51">
        <v>77933</v>
      </c>
      <c r="QT51">
        <v>87021</v>
      </c>
      <c r="QU51">
        <v>87876</v>
      </c>
      <c r="QV51">
        <v>92707</v>
      </c>
      <c r="QW51">
        <f t="shared" si="38"/>
        <v>1048863</v>
      </c>
      <c r="QX51">
        <v>0</v>
      </c>
      <c r="QY51">
        <v>0</v>
      </c>
      <c r="QZ51">
        <v>0</v>
      </c>
      <c r="RA51">
        <v>0</v>
      </c>
      <c r="RB51">
        <v>0</v>
      </c>
      <c r="RC51">
        <v>0</v>
      </c>
      <c r="RD51">
        <v>0</v>
      </c>
      <c r="RE51">
        <v>0</v>
      </c>
      <c r="RF51">
        <v>0</v>
      </c>
      <c r="RG51">
        <v>0</v>
      </c>
      <c r="RH51">
        <v>0</v>
      </c>
      <c r="RI51">
        <v>0</v>
      </c>
      <c r="RJ51">
        <f t="shared" si="39"/>
        <v>0</v>
      </c>
      <c r="RK51">
        <v>0</v>
      </c>
      <c r="RL51">
        <v>0</v>
      </c>
      <c r="RM51">
        <v>0</v>
      </c>
      <c r="RN51">
        <v>0</v>
      </c>
      <c r="RO51">
        <v>0</v>
      </c>
      <c r="RP51">
        <v>0</v>
      </c>
      <c r="RQ51">
        <v>0</v>
      </c>
      <c r="RR51">
        <v>0</v>
      </c>
      <c r="RS51">
        <v>0</v>
      </c>
      <c r="RT51">
        <v>0</v>
      </c>
      <c r="RU51">
        <v>0</v>
      </c>
      <c r="RV51">
        <v>0</v>
      </c>
      <c r="RW51">
        <f t="shared" si="40"/>
        <v>0</v>
      </c>
      <c r="RX51">
        <v>6342</v>
      </c>
      <c r="RY51">
        <v>4918</v>
      </c>
      <c r="RZ51">
        <v>5168</v>
      </c>
      <c r="SA51">
        <v>6371</v>
      </c>
      <c r="SB51">
        <v>4870</v>
      </c>
      <c r="SC51">
        <v>5816</v>
      </c>
      <c r="SD51">
        <v>6164</v>
      </c>
      <c r="SE51">
        <v>5533</v>
      </c>
      <c r="SF51">
        <v>4667</v>
      </c>
      <c r="SG51">
        <v>5236</v>
      </c>
      <c r="SH51">
        <v>5926</v>
      </c>
      <c r="SI51">
        <v>5593</v>
      </c>
      <c r="SJ51">
        <f t="shared" si="41"/>
        <v>66604</v>
      </c>
      <c r="SK51">
        <v>541</v>
      </c>
      <c r="SL51">
        <v>514</v>
      </c>
      <c r="SM51">
        <v>563</v>
      </c>
      <c r="SN51">
        <v>615</v>
      </c>
      <c r="SO51">
        <v>533</v>
      </c>
      <c r="SP51">
        <v>640</v>
      </c>
      <c r="SQ51">
        <v>566</v>
      </c>
      <c r="SR51">
        <v>545</v>
      </c>
      <c r="SS51">
        <v>604</v>
      </c>
      <c r="ST51">
        <v>551</v>
      </c>
      <c r="SU51">
        <v>560</v>
      </c>
      <c r="SV51">
        <v>540</v>
      </c>
      <c r="SW51">
        <f t="shared" si="42"/>
        <v>6772</v>
      </c>
      <c r="SX51">
        <v>0</v>
      </c>
      <c r="SY51">
        <v>5653</v>
      </c>
      <c r="SZ51">
        <v>5983</v>
      </c>
      <c r="TA51">
        <v>6033</v>
      </c>
      <c r="TB51">
        <v>6663</v>
      </c>
      <c r="TC51">
        <v>6168</v>
      </c>
      <c r="TD51">
        <v>6073</v>
      </c>
      <c r="TE51">
        <v>6486</v>
      </c>
      <c r="TF51">
        <v>5582</v>
      </c>
      <c r="TG51">
        <v>5235</v>
      </c>
      <c r="TH51">
        <v>5747</v>
      </c>
      <c r="TI51">
        <v>5785</v>
      </c>
      <c r="TJ51">
        <v>6165</v>
      </c>
      <c r="TK51">
        <f t="shared" si="43"/>
        <v>71573</v>
      </c>
      <c r="TL51">
        <v>5606</v>
      </c>
      <c r="TM51">
        <v>6158</v>
      </c>
      <c r="TN51">
        <v>5410</v>
      </c>
      <c r="TO51">
        <v>5778</v>
      </c>
      <c r="TP51">
        <v>5363</v>
      </c>
      <c r="TQ51">
        <v>5479</v>
      </c>
      <c r="TR51">
        <v>5877</v>
      </c>
      <c r="TS51">
        <v>5341</v>
      </c>
      <c r="TT51">
        <v>5493</v>
      </c>
      <c r="TU51">
        <v>6480</v>
      </c>
      <c r="TV51">
        <v>5998</v>
      </c>
      <c r="TW51">
        <v>7204</v>
      </c>
      <c r="TX51">
        <f t="shared" si="44"/>
        <v>70187</v>
      </c>
      <c r="TY51">
        <v>188</v>
      </c>
      <c r="TZ51">
        <v>0</v>
      </c>
      <c r="UA51">
        <v>0</v>
      </c>
      <c r="UB51">
        <v>183</v>
      </c>
    </row>
    <row r="52" spans="1:548" ht="16.5" customHeight="1" x14ac:dyDescent="0.35">
      <c r="A52" t="s">
        <v>1460</v>
      </c>
      <c r="B52" t="s">
        <v>2865</v>
      </c>
      <c r="C52">
        <v>23325</v>
      </c>
      <c r="D52">
        <v>6579</v>
      </c>
      <c r="E52">
        <v>1671</v>
      </c>
      <c r="F52">
        <v>15075</v>
      </c>
      <c r="G52">
        <v>210</v>
      </c>
      <c r="H52">
        <v>212</v>
      </c>
      <c r="I52">
        <v>311</v>
      </c>
      <c r="J52">
        <v>317</v>
      </c>
      <c r="K52">
        <v>286</v>
      </c>
      <c r="L52">
        <v>299</v>
      </c>
      <c r="M52">
        <v>280</v>
      </c>
      <c r="N52">
        <v>302</v>
      </c>
      <c r="O52">
        <v>193</v>
      </c>
      <c r="P52">
        <v>308</v>
      </c>
      <c r="Q52">
        <v>247</v>
      </c>
      <c r="R52">
        <v>360</v>
      </c>
      <c r="S52">
        <f t="shared" si="0"/>
        <v>3325</v>
      </c>
      <c r="T52">
        <v>0</v>
      </c>
      <c r="U52">
        <v>0</v>
      </c>
      <c r="V52">
        <v>0</v>
      </c>
      <c r="W52">
        <v>0</v>
      </c>
      <c r="X52">
        <v>0</v>
      </c>
      <c r="Y52">
        <v>0</v>
      </c>
      <c r="Z52">
        <v>0</v>
      </c>
      <c r="AA52">
        <v>0</v>
      </c>
      <c r="AB52">
        <v>0</v>
      </c>
      <c r="AC52">
        <v>0</v>
      </c>
      <c r="AD52">
        <v>0</v>
      </c>
      <c r="AE52">
        <v>0</v>
      </c>
      <c r="AF52">
        <f t="shared" si="1"/>
        <v>0</v>
      </c>
      <c r="AG52">
        <v>0</v>
      </c>
      <c r="AH52">
        <v>0</v>
      </c>
      <c r="AI52">
        <v>0</v>
      </c>
      <c r="AJ52">
        <v>0</v>
      </c>
      <c r="AK52">
        <v>0</v>
      </c>
      <c r="AL52">
        <v>0</v>
      </c>
      <c r="AM52">
        <v>0</v>
      </c>
      <c r="AN52">
        <v>0</v>
      </c>
      <c r="AO52">
        <v>0</v>
      </c>
      <c r="AP52">
        <v>0</v>
      </c>
      <c r="AQ52">
        <v>0</v>
      </c>
      <c r="AR52">
        <v>0</v>
      </c>
      <c r="AS52">
        <f t="shared" si="2"/>
        <v>0</v>
      </c>
      <c r="AT52">
        <v>0</v>
      </c>
      <c r="AU52">
        <v>0</v>
      </c>
      <c r="AV52">
        <v>0</v>
      </c>
      <c r="AW52">
        <v>0</v>
      </c>
      <c r="AX52">
        <v>0</v>
      </c>
      <c r="AY52">
        <v>0</v>
      </c>
      <c r="AZ52">
        <v>0</v>
      </c>
      <c r="BA52">
        <v>0</v>
      </c>
      <c r="BB52">
        <v>0</v>
      </c>
      <c r="BC52">
        <v>0</v>
      </c>
      <c r="BD52">
        <v>0</v>
      </c>
      <c r="BE52">
        <v>0</v>
      </c>
      <c r="BF52">
        <f t="shared" si="3"/>
        <v>0</v>
      </c>
      <c r="BG52">
        <v>0</v>
      </c>
      <c r="BH52">
        <v>0</v>
      </c>
      <c r="BI52">
        <v>0</v>
      </c>
      <c r="BJ52">
        <v>0</v>
      </c>
      <c r="BK52">
        <v>0</v>
      </c>
      <c r="BL52">
        <v>0</v>
      </c>
      <c r="BM52">
        <v>0</v>
      </c>
      <c r="BN52">
        <v>0</v>
      </c>
      <c r="BO52">
        <v>0</v>
      </c>
      <c r="BP52">
        <v>0</v>
      </c>
      <c r="BQ52">
        <v>0</v>
      </c>
      <c r="BR52">
        <v>0</v>
      </c>
      <c r="BS52">
        <f t="shared" si="4"/>
        <v>0</v>
      </c>
      <c r="BT52">
        <v>0</v>
      </c>
      <c r="BU52">
        <v>0</v>
      </c>
      <c r="BV52">
        <v>0</v>
      </c>
      <c r="BW52">
        <v>0</v>
      </c>
      <c r="BX52">
        <v>0</v>
      </c>
      <c r="BY52">
        <v>0</v>
      </c>
      <c r="BZ52">
        <v>0</v>
      </c>
      <c r="CA52">
        <v>0</v>
      </c>
      <c r="CB52">
        <v>0</v>
      </c>
      <c r="CC52">
        <v>0</v>
      </c>
      <c r="CD52">
        <v>0</v>
      </c>
      <c r="CE52">
        <v>0</v>
      </c>
      <c r="CF52">
        <f t="shared" si="5"/>
        <v>0</v>
      </c>
      <c r="CG52">
        <v>0</v>
      </c>
      <c r="CH52">
        <v>0</v>
      </c>
      <c r="CI52">
        <v>0</v>
      </c>
      <c r="CJ52">
        <v>0</v>
      </c>
      <c r="CK52">
        <v>0</v>
      </c>
      <c r="CL52">
        <v>0</v>
      </c>
      <c r="CM52">
        <v>0</v>
      </c>
      <c r="CN52">
        <v>0</v>
      </c>
      <c r="CO52">
        <v>0</v>
      </c>
      <c r="CP52">
        <v>0</v>
      </c>
      <c r="CQ52">
        <v>0</v>
      </c>
      <c r="CR52">
        <v>0</v>
      </c>
      <c r="CS52">
        <f t="shared" si="6"/>
        <v>0</v>
      </c>
      <c r="CT52">
        <v>0</v>
      </c>
      <c r="CU52">
        <v>0</v>
      </c>
      <c r="CV52">
        <v>0</v>
      </c>
      <c r="CW52">
        <v>0</v>
      </c>
      <c r="CX52">
        <v>0</v>
      </c>
      <c r="CY52">
        <v>0</v>
      </c>
      <c r="CZ52">
        <v>0</v>
      </c>
      <c r="DA52">
        <v>0</v>
      </c>
      <c r="DB52">
        <v>0</v>
      </c>
      <c r="DC52">
        <v>0</v>
      </c>
      <c r="DD52">
        <v>0</v>
      </c>
      <c r="DE52">
        <v>0</v>
      </c>
      <c r="DF52">
        <f t="shared" si="7"/>
        <v>0</v>
      </c>
      <c r="DG52">
        <v>0</v>
      </c>
      <c r="DH52">
        <v>0</v>
      </c>
      <c r="DI52">
        <v>0</v>
      </c>
      <c r="DJ52">
        <v>0</v>
      </c>
      <c r="DK52">
        <v>0</v>
      </c>
      <c r="DL52">
        <v>0</v>
      </c>
      <c r="DM52">
        <v>0</v>
      </c>
      <c r="DN52">
        <v>0</v>
      </c>
      <c r="DO52">
        <v>0</v>
      </c>
      <c r="DP52">
        <v>0</v>
      </c>
      <c r="DQ52">
        <v>0</v>
      </c>
      <c r="DR52">
        <v>0</v>
      </c>
      <c r="DS52">
        <f t="shared" si="8"/>
        <v>0</v>
      </c>
      <c r="DT52">
        <v>0</v>
      </c>
      <c r="DU52">
        <v>0</v>
      </c>
      <c r="DV52">
        <v>0</v>
      </c>
      <c r="DW52">
        <v>0</v>
      </c>
      <c r="DX52">
        <v>0</v>
      </c>
      <c r="DY52">
        <v>0</v>
      </c>
      <c r="DZ52">
        <v>0</v>
      </c>
      <c r="EA52">
        <v>0</v>
      </c>
      <c r="EB52">
        <v>0</v>
      </c>
      <c r="EC52">
        <v>0</v>
      </c>
      <c r="ED52">
        <v>0</v>
      </c>
      <c r="EE52">
        <v>0</v>
      </c>
      <c r="EF52">
        <f t="shared" si="9"/>
        <v>0</v>
      </c>
      <c r="EG52">
        <f t="shared" si="10"/>
        <v>0</v>
      </c>
      <c r="EH52">
        <f t="shared" si="11"/>
        <v>0</v>
      </c>
      <c r="EI52">
        <v>0</v>
      </c>
      <c r="EJ52">
        <v>0</v>
      </c>
      <c r="EK52">
        <v>0</v>
      </c>
      <c r="EL52">
        <v>0</v>
      </c>
      <c r="EM52">
        <v>0</v>
      </c>
      <c r="EN52">
        <v>0</v>
      </c>
      <c r="EO52">
        <v>0</v>
      </c>
      <c r="EP52">
        <v>0</v>
      </c>
      <c r="EQ52">
        <v>0</v>
      </c>
      <c r="ER52">
        <v>0</v>
      </c>
      <c r="ES52">
        <v>0</v>
      </c>
      <c r="ET52">
        <v>0</v>
      </c>
      <c r="EU52">
        <f t="shared" si="12"/>
        <v>0</v>
      </c>
      <c r="EV52">
        <v>0</v>
      </c>
      <c r="EW52">
        <v>0</v>
      </c>
      <c r="EX52">
        <v>0</v>
      </c>
      <c r="EY52">
        <v>0</v>
      </c>
      <c r="EZ52">
        <v>0</v>
      </c>
      <c r="FA52">
        <v>0</v>
      </c>
      <c r="FB52">
        <v>0</v>
      </c>
      <c r="FC52">
        <v>0</v>
      </c>
      <c r="FD52">
        <v>0</v>
      </c>
      <c r="FE52">
        <v>0</v>
      </c>
      <c r="FF52">
        <v>0</v>
      </c>
      <c r="FG52">
        <v>0</v>
      </c>
      <c r="FH52">
        <f t="shared" si="13"/>
        <v>0</v>
      </c>
      <c r="FI52">
        <v>0</v>
      </c>
      <c r="FJ52">
        <v>0</v>
      </c>
      <c r="FK52">
        <v>0</v>
      </c>
      <c r="FL52">
        <v>0</v>
      </c>
      <c r="FM52">
        <v>0</v>
      </c>
      <c r="FN52">
        <v>0</v>
      </c>
      <c r="FO52">
        <v>0</v>
      </c>
      <c r="FP52">
        <v>0</v>
      </c>
      <c r="FQ52">
        <v>0</v>
      </c>
      <c r="FR52">
        <v>0</v>
      </c>
      <c r="FS52">
        <v>0</v>
      </c>
      <c r="FT52">
        <v>0</v>
      </c>
      <c r="FU52">
        <f t="shared" si="14"/>
        <v>0</v>
      </c>
      <c r="FV52">
        <v>0</v>
      </c>
      <c r="FW52">
        <v>0</v>
      </c>
      <c r="FX52">
        <v>0</v>
      </c>
      <c r="FY52">
        <v>0</v>
      </c>
      <c r="FZ52">
        <v>0</v>
      </c>
      <c r="GA52">
        <v>0</v>
      </c>
      <c r="GB52">
        <v>0</v>
      </c>
      <c r="GC52">
        <v>0</v>
      </c>
      <c r="GD52">
        <v>0</v>
      </c>
      <c r="GE52">
        <v>0</v>
      </c>
      <c r="GF52">
        <v>0</v>
      </c>
      <c r="GG52">
        <v>0</v>
      </c>
      <c r="GH52">
        <f t="shared" si="15"/>
        <v>0</v>
      </c>
      <c r="GI52">
        <v>0</v>
      </c>
      <c r="GJ52">
        <v>0</v>
      </c>
      <c r="GK52">
        <v>0</v>
      </c>
      <c r="GL52">
        <v>0</v>
      </c>
      <c r="GM52">
        <v>0</v>
      </c>
      <c r="GN52">
        <v>0</v>
      </c>
      <c r="GO52">
        <v>0</v>
      </c>
      <c r="GP52">
        <v>0</v>
      </c>
      <c r="GQ52">
        <v>0</v>
      </c>
      <c r="GR52">
        <v>0</v>
      </c>
      <c r="GS52">
        <v>0</v>
      </c>
      <c r="GT52">
        <v>0</v>
      </c>
      <c r="GU52">
        <f t="shared" si="16"/>
        <v>0</v>
      </c>
      <c r="GV52">
        <v>0</v>
      </c>
      <c r="GW52">
        <v>0</v>
      </c>
      <c r="GX52">
        <v>0</v>
      </c>
      <c r="GY52">
        <v>0</v>
      </c>
      <c r="GZ52">
        <v>0</v>
      </c>
      <c r="HA52">
        <v>0</v>
      </c>
      <c r="HB52">
        <v>0</v>
      </c>
      <c r="HC52">
        <v>0</v>
      </c>
      <c r="HD52">
        <v>0</v>
      </c>
      <c r="HE52">
        <v>0</v>
      </c>
      <c r="HF52">
        <v>0</v>
      </c>
      <c r="HG52">
        <v>0</v>
      </c>
      <c r="HH52">
        <f t="shared" si="17"/>
        <v>0</v>
      </c>
      <c r="HI52">
        <v>0</v>
      </c>
      <c r="HJ52">
        <v>0</v>
      </c>
      <c r="HK52">
        <v>0</v>
      </c>
      <c r="HL52">
        <v>0</v>
      </c>
      <c r="HM52">
        <v>0</v>
      </c>
      <c r="HN52">
        <v>0</v>
      </c>
      <c r="HO52">
        <v>0</v>
      </c>
      <c r="HP52">
        <v>0</v>
      </c>
      <c r="HQ52">
        <v>0</v>
      </c>
      <c r="HR52">
        <v>0</v>
      </c>
      <c r="HS52">
        <v>0</v>
      </c>
      <c r="HT52">
        <v>0</v>
      </c>
      <c r="HU52">
        <f t="shared" si="18"/>
        <v>0</v>
      </c>
      <c r="HV52">
        <v>0</v>
      </c>
      <c r="HW52">
        <v>0</v>
      </c>
      <c r="HX52">
        <v>0</v>
      </c>
      <c r="HY52">
        <v>0</v>
      </c>
      <c r="HZ52">
        <v>0</v>
      </c>
      <c r="IA52">
        <v>0</v>
      </c>
      <c r="IB52">
        <v>0</v>
      </c>
      <c r="IC52">
        <v>0</v>
      </c>
      <c r="ID52">
        <v>0</v>
      </c>
      <c r="IE52">
        <v>0</v>
      </c>
      <c r="IF52">
        <v>0</v>
      </c>
      <c r="IG52">
        <v>0</v>
      </c>
      <c r="IH52">
        <f t="shared" si="19"/>
        <v>0</v>
      </c>
      <c r="II52">
        <f t="shared" si="20"/>
        <v>0</v>
      </c>
      <c r="IJ52">
        <f t="shared" si="21"/>
        <v>0</v>
      </c>
      <c r="IK52">
        <v>13892</v>
      </c>
      <c r="IL52">
        <v>48964</v>
      </c>
      <c r="IM52">
        <v>47547</v>
      </c>
      <c r="IN52">
        <v>57301</v>
      </c>
      <c r="IO52">
        <v>52049</v>
      </c>
      <c r="IP52">
        <v>52210</v>
      </c>
      <c r="IQ52">
        <v>49497</v>
      </c>
      <c r="IR52">
        <v>43220</v>
      </c>
      <c r="IS52">
        <v>37024</v>
      </c>
      <c r="IT52">
        <v>48680</v>
      </c>
      <c r="IU52">
        <v>40210</v>
      </c>
      <c r="IV52">
        <v>44676</v>
      </c>
      <c r="IW52">
        <f t="shared" si="22"/>
        <v>535270</v>
      </c>
      <c r="IX52">
        <v>0</v>
      </c>
      <c r="IY52">
        <v>0</v>
      </c>
      <c r="IZ52">
        <v>0</v>
      </c>
      <c r="JA52">
        <v>0</v>
      </c>
      <c r="JB52">
        <v>0</v>
      </c>
      <c r="JC52">
        <v>0</v>
      </c>
      <c r="JD52">
        <v>0</v>
      </c>
      <c r="JE52">
        <v>0</v>
      </c>
      <c r="JF52">
        <v>0</v>
      </c>
      <c r="JG52">
        <v>0</v>
      </c>
      <c r="JH52">
        <v>0</v>
      </c>
      <c r="JI52">
        <v>0</v>
      </c>
      <c r="JJ52">
        <f t="shared" si="23"/>
        <v>0</v>
      </c>
      <c r="JK52">
        <v>0</v>
      </c>
      <c r="JL52">
        <v>0</v>
      </c>
      <c r="JM52">
        <v>0</v>
      </c>
      <c r="JN52">
        <v>0</v>
      </c>
      <c r="JO52">
        <v>0</v>
      </c>
      <c r="JP52">
        <v>0</v>
      </c>
      <c r="JQ52">
        <v>0</v>
      </c>
      <c r="JR52">
        <v>0</v>
      </c>
      <c r="JS52">
        <v>0</v>
      </c>
      <c r="JT52">
        <v>0</v>
      </c>
      <c r="JU52">
        <v>0</v>
      </c>
      <c r="JV52">
        <v>0</v>
      </c>
      <c r="JW52">
        <f t="shared" si="24"/>
        <v>0</v>
      </c>
      <c r="JX52">
        <v>0</v>
      </c>
      <c r="JY52">
        <v>0</v>
      </c>
      <c r="JZ52">
        <v>0</v>
      </c>
      <c r="KA52">
        <v>0</v>
      </c>
      <c r="KB52">
        <v>0</v>
      </c>
      <c r="KC52">
        <v>0</v>
      </c>
      <c r="KD52">
        <v>0</v>
      </c>
      <c r="KE52">
        <v>0</v>
      </c>
      <c r="KF52">
        <v>0</v>
      </c>
      <c r="KG52">
        <v>0</v>
      </c>
      <c r="KH52">
        <v>0</v>
      </c>
      <c r="KI52">
        <v>0</v>
      </c>
      <c r="KJ52">
        <f t="shared" si="25"/>
        <v>0</v>
      </c>
      <c r="KK52">
        <v>305</v>
      </c>
      <c r="KL52">
        <v>969</v>
      </c>
      <c r="KM52">
        <v>1057</v>
      </c>
      <c r="KN52">
        <v>12025</v>
      </c>
      <c r="KO52">
        <v>857</v>
      </c>
      <c r="KP52">
        <v>1302</v>
      </c>
      <c r="KQ52">
        <v>969</v>
      </c>
      <c r="KR52">
        <v>875</v>
      </c>
      <c r="KS52">
        <v>1267</v>
      </c>
      <c r="KT52">
        <v>1669</v>
      </c>
      <c r="KU52">
        <v>670</v>
      </c>
      <c r="KV52">
        <v>976</v>
      </c>
      <c r="KW52">
        <f t="shared" si="26"/>
        <v>22941</v>
      </c>
      <c r="KX52">
        <v>0</v>
      </c>
      <c r="KY52">
        <v>0</v>
      </c>
      <c r="KZ52">
        <v>0</v>
      </c>
      <c r="LA52">
        <v>0</v>
      </c>
      <c r="LB52">
        <v>0</v>
      </c>
      <c r="LC52">
        <v>0</v>
      </c>
      <c r="LD52">
        <v>0</v>
      </c>
      <c r="LE52">
        <v>0</v>
      </c>
      <c r="LF52">
        <v>0</v>
      </c>
      <c r="LG52">
        <v>0</v>
      </c>
      <c r="LH52">
        <v>0</v>
      </c>
      <c r="LI52">
        <v>0</v>
      </c>
      <c r="LJ52">
        <f t="shared" si="27"/>
        <v>0</v>
      </c>
      <c r="LK52">
        <v>0</v>
      </c>
      <c r="LL52">
        <v>0</v>
      </c>
      <c r="LM52">
        <v>0</v>
      </c>
      <c r="LN52">
        <v>0</v>
      </c>
      <c r="LO52">
        <v>0</v>
      </c>
      <c r="LP52">
        <v>0</v>
      </c>
      <c r="LQ52">
        <v>0</v>
      </c>
      <c r="LR52">
        <v>0</v>
      </c>
      <c r="LS52">
        <v>0</v>
      </c>
      <c r="LT52">
        <v>0</v>
      </c>
      <c r="LU52">
        <v>0</v>
      </c>
      <c r="LV52">
        <v>0</v>
      </c>
      <c r="LW52">
        <f t="shared" si="28"/>
        <v>0</v>
      </c>
      <c r="LX52">
        <v>0</v>
      </c>
      <c r="LY52">
        <v>0</v>
      </c>
      <c r="LZ52">
        <v>0</v>
      </c>
      <c r="MA52">
        <v>0</v>
      </c>
      <c r="MB52">
        <v>0</v>
      </c>
      <c r="MC52">
        <v>0</v>
      </c>
      <c r="MD52">
        <v>0</v>
      </c>
      <c r="ME52">
        <v>0</v>
      </c>
      <c r="MF52">
        <v>0</v>
      </c>
      <c r="MG52">
        <v>0</v>
      </c>
      <c r="MH52">
        <v>0</v>
      </c>
      <c r="MI52">
        <v>0</v>
      </c>
      <c r="MJ52">
        <f t="shared" si="29"/>
        <v>0</v>
      </c>
      <c r="MK52">
        <v>5760</v>
      </c>
      <c r="ML52">
        <v>6169</v>
      </c>
      <c r="MM52">
        <v>5872</v>
      </c>
      <c r="MN52">
        <v>6044</v>
      </c>
      <c r="MO52">
        <v>6091</v>
      </c>
      <c r="MP52">
        <v>5808</v>
      </c>
      <c r="MQ52">
        <v>5820</v>
      </c>
      <c r="MR52">
        <v>5527</v>
      </c>
      <c r="MS52">
        <v>5346</v>
      </c>
      <c r="MT52">
        <v>6002</v>
      </c>
      <c r="MU52">
        <v>5734</v>
      </c>
      <c r="MV52">
        <v>6422</v>
      </c>
      <c r="MW52">
        <f t="shared" si="30"/>
        <v>70595</v>
      </c>
      <c r="MX52">
        <v>0</v>
      </c>
      <c r="MY52">
        <v>0</v>
      </c>
      <c r="MZ52">
        <v>0</v>
      </c>
      <c r="NA52">
        <v>0</v>
      </c>
      <c r="NB52">
        <v>0</v>
      </c>
      <c r="NC52">
        <v>0</v>
      </c>
      <c r="ND52">
        <v>0</v>
      </c>
      <c r="NE52">
        <v>0</v>
      </c>
      <c r="NF52">
        <v>0</v>
      </c>
      <c r="NG52">
        <v>0</v>
      </c>
      <c r="NH52">
        <v>0</v>
      </c>
      <c r="NI52">
        <v>0</v>
      </c>
      <c r="NJ52">
        <f t="shared" si="31"/>
        <v>0</v>
      </c>
      <c r="NK52">
        <v>0</v>
      </c>
      <c r="NL52">
        <v>0</v>
      </c>
      <c r="NM52">
        <v>0</v>
      </c>
      <c r="NN52">
        <v>0</v>
      </c>
      <c r="NO52">
        <v>0</v>
      </c>
      <c r="NP52">
        <v>0</v>
      </c>
      <c r="NQ52">
        <v>0</v>
      </c>
      <c r="NR52">
        <v>0</v>
      </c>
      <c r="NS52">
        <v>0</v>
      </c>
      <c r="NT52">
        <v>0</v>
      </c>
      <c r="NU52">
        <v>0</v>
      </c>
      <c r="NV52">
        <v>0</v>
      </c>
      <c r="NW52">
        <f t="shared" si="32"/>
        <v>0</v>
      </c>
      <c r="NX52">
        <v>0</v>
      </c>
      <c r="NY52">
        <v>0</v>
      </c>
      <c r="NZ52">
        <v>0</v>
      </c>
      <c r="OA52">
        <v>0</v>
      </c>
      <c r="OB52">
        <v>0</v>
      </c>
      <c r="OC52">
        <v>0</v>
      </c>
      <c r="OD52">
        <v>0</v>
      </c>
      <c r="OE52">
        <v>0</v>
      </c>
      <c r="OF52">
        <v>0</v>
      </c>
      <c r="OG52">
        <v>0</v>
      </c>
      <c r="OH52">
        <v>0</v>
      </c>
      <c r="OI52">
        <v>0</v>
      </c>
      <c r="OJ52">
        <f t="shared" si="33"/>
        <v>0</v>
      </c>
      <c r="OK52">
        <v>4823</v>
      </c>
      <c r="OL52">
        <v>5090</v>
      </c>
      <c r="OM52">
        <v>5057</v>
      </c>
      <c r="ON52">
        <v>5315</v>
      </c>
      <c r="OO52">
        <v>5702</v>
      </c>
      <c r="OP52">
        <v>5289</v>
      </c>
      <c r="OQ52">
        <v>5475</v>
      </c>
      <c r="OR52">
        <v>5423</v>
      </c>
      <c r="OS52">
        <v>5372</v>
      </c>
      <c r="OT52">
        <v>6200</v>
      </c>
      <c r="OU52">
        <v>5719</v>
      </c>
      <c r="OV52">
        <v>6251</v>
      </c>
      <c r="OW52">
        <f t="shared" si="34"/>
        <v>65716</v>
      </c>
      <c r="OX52">
        <v>0</v>
      </c>
      <c r="OY52">
        <v>0</v>
      </c>
      <c r="OZ52">
        <v>0</v>
      </c>
      <c r="PA52">
        <v>0</v>
      </c>
      <c r="PB52">
        <v>0</v>
      </c>
      <c r="PC52">
        <v>0</v>
      </c>
      <c r="PD52">
        <v>0</v>
      </c>
      <c r="PE52">
        <v>0</v>
      </c>
      <c r="PF52">
        <v>0</v>
      </c>
      <c r="PG52">
        <v>0</v>
      </c>
      <c r="PH52">
        <v>0</v>
      </c>
      <c r="PI52">
        <v>0</v>
      </c>
      <c r="PJ52">
        <f t="shared" si="35"/>
        <v>0</v>
      </c>
      <c r="PK52">
        <v>0</v>
      </c>
      <c r="PL52">
        <v>0</v>
      </c>
      <c r="PM52">
        <v>0</v>
      </c>
      <c r="PN52">
        <v>0</v>
      </c>
      <c r="PO52">
        <v>0</v>
      </c>
      <c r="PP52">
        <v>0</v>
      </c>
      <c r="PQ52">
        <v>0</v>
      </c>
      <c r="PR52">
        <v>0</v>
      </c>
      <c r="PS52">
        <v>0</v>
      </c>
      <c r="PT52">
        <v>0</v>
      </c>
      <c r="PU52">
        <v>0</v>
      </c>
      <c r="PV52">
        <v>0</v>
      </c>
      <c r="PW52">
        <f t="shared" si="36"/>
        <v>0</v>
      </c>
      <c r="PX52">
        <v>0</v>
      </c>
      <c r="PY52">
        <v>0</v>
      </c>
      <c r="PZ52">
        <v>0</v>
      </c>
      <c r="QA52">
        <v>0</v>
      </c>
      <c r="QB52">
        <v>0</v>
      </c>
      <c r="QC52">
        <v>0</v>
      </c>
      <c r="QD52">
        <v>0</v>
      </c>
      <c r="QE52">
        <v>0</v>
      </c>
      <c r="QF52">
        <v>0</v>
      </c>
      <c r="QG52">
        <v>0</v>
      </c>
      <c r="QH52">
        <v>0</v>
      </c>
      <c r="QI52">
        <v>0</v>
      </c>
      <c r="QJ52">
        <f t="shared" si="37"/>
        <v>0</v>
      </c>
      <c r="QK52" s="2">
        <v>34685</v>
      </c>
      <c r="QL52" s="2">
        <v>83563</v>
      </c>
      <c r="QM52" s="2">
        <v>91852</v>
      </c>
      <c r="QN52" s="2">
        <v>103789</v>
      </c>
      <c r="QO52" s="2">
        <v>98079</v>
      </c>
      <c r="QP52" s="2">
        <v>89286</v>
      </c>
      <c r="QQ52" s="2">
        <v>103355</v>
      </c>
      <c r="QR52" s="2">
        <v>83622</v>
      </c>
      <c r="QS52" s="2">
        <v>72738</v>
      </c>
      <c r="QT52" s="2">
        <v>88812</v>
      </c>
      <c r="QU52" s="2">
        <v>75907</v>
      </c>
      <c r="QV52" s="2">
        <v>92443</v>
      </c>
      <c r="QW52" s="2">
        <f t="shared" si="38"/>
        <v>1018131</v>
      </c>
      <c r="QX52" s="2">
        <v>0</v>
      </c>
      <c r="QY52" s="2">
        <v>0</v>
      </c>
      <c r="QZ52" s="2">
        <v>0</v>
      </c>
      <c r="RA52" s="2">
        <v>0</v>
      </c>
      <c r="RB52" s="2">
        <v>0</v>
      </c>
      <c r="RC52" s="2">
        <v>0</v>
      </c>
      <c r="RD52" s="2">
        <v>0</v>
      </c>
      <c r="RE52" s="2">
        <v>0</v>
      </c>
      <c r="RF52" s="2">
        <v>0</v>
      </c>
      <c r="RG52" s="2">
        <v>0</v>
      </c>
      <c r="RH52" s="2">
        <v>0</v>
      </c>
      <c r="RI52" s="2">
        <v>0</v>
      </c>
      <c r="RJ52" s="2">
        <f t="shared" si="39"/>
        <v>0</v>
      </c>
      <c r="RK52" s="2">
        <v>0</v>
      </c>
      <c r="RL52" s="2">
        <v>0</v>
      </c>
      <c r="RM52" s="2">
        <v>0</v>
      </c>
      <c r="RN52" s="2">
        <v>0</v>
      </c>
      <c r="RO52" s="2">
        <v>0</v>
      </c>
      <c r="RP52" s="2">
        <v>0</v>
      </c>
      <c r="RQ52" s="2">
        <v>0</v>
      </c>
      <c r="RR52" s="2">
        <v>0</v>
      </c>
      <c r="RS52" s="2">
        <v>0</v>
      </c>
      <c r="RT52" s="2">
        <v>0</v>
      </c>
      <c r="RU52" s="2">
        <v>0</v>
      </c>
      <c r="RV52" s="2">
        <v>0</v>
      </c>
      <c r="RW52" s="2">
        <f t="shared" si="40"/>
        <v>0</v>
      </c>
      <c r="RX52" s="2">
        <v>0</v>
      </c>
      <c r="RY52" s="2">
        <v>0</v>
      </c>
      <c r="RZ52" s="2">
        <v>0</v>
      </c>
      <c r="SA52" s="2">
        <v>0</v>
      </c>
      <c r="SB52" s="2">
        <v>0</v>
      </c>
      <c r="SC52" s="2">
        <v>0</v>
      </c>
      <c r="SD52" s="2">
        <v>0</v>
      </c>
      <c r="SE52" s="2">
        <v>0</v>
      </c>
      <c r="SF52" s="2">
        <v>0</v>
      </c>
      <c r="SG52" s="2">
        <v>0</v>
      </c>
      <c r="SH52" s="2">
        <v>0</v>
      </c>
      <c r="SI52" s="2">
        <v>0</v>
      </c>
      <c r="SJ52" s="2">
        <f t="shared" si="41"/>
        <v>0</v>
      </c>
      <c r="SK52" s="2">
        <v>0</v>
      </c>
      <c r="SL52" s="2">
        <v>0</v>
      </c>
      <c r="SM52" s="2">
        <v>0</v>
      </c>
      <c r="SN52" s="2">
        <v>0</v>
      </c>
      <c r="SO52" s="2">
        <v>0</v>
      </c>
      <c r="SP52" s="2">
        <v>0</v>
      </c>
      <c r="SQ52" s="2">
        <v>0</v>
      </c>
      <c r="SR52" s="2">
        <v>0</v>
      </c>
      <c r="SS52" s="2">
        <v>0</v>
      </c>
      <c r="ST52" s="2">
        <v>0</v>
      </c>
      <c r="SU52" s="2">
        <v>0</v>
      </c>
      <c r="SV52" s="2">
        <v>0</v>
      </c>
      <c r="SW52" s="2">
        <f t="shared" si="42"/>
        <v>0</v>
      </c>
      <c r="SX52" t="s">
        <v>1384</v>
      </c>
      <c r="SY52">
        <v>2992</v>
      </c>
      <c r="SZ52">
        <v>2789</v>
      </c>
      <c r="TA52">
        <v>2924</v>
      </c>
      <c r="TB52">
        <v>2386</v>
      </c>
      <c r="TC52">
        <v>2741</v>
      </c>
      <c r="TD52">
        <v>5109</v>
      </c>
      <c r="TE52">
        <v>8950</v>
      </c>
      <c r="TF52">
        <v>8607</v>
      </c>
      <c r="TG52">
        <v>7755</v>
      </c>
      <c r="TH52">
        <v>8963</v>
      </c>
      <c r="TI52">
        <v>8937</v>
      </c>
      <c r="TJ52">
        <v>9457</v>
      </c>
      <c r="TK52">
        <f t="shared" si="43"/>
        <v>71610</v>
      </c>
      <c r="TL52">
        <v>0</v>
      </c>
      <c r="TM52">
        <v>0</v>
      </c>
      <c r="TN52">
        <v>0</v>
      </c>
      <c r="TO52">
        <v>0</v>
      </c>
      <c r="TP52">
        <v>0</v>
      </c>
      <c r="TQ52">
        <v>0</v>
      </c>
      <c r="TR52">
        <v>0</v>
      </c>
      <c r="TS52">
        <v>0</v>
      </c>
      <c r="TT52">
        <v>0</v>
      </c>
      <c r="TU52">
        <v>0</v>
      </c>
      <c r="TV52">
        <v>0</v>
      </c>
      <c r="TW52">
        <v>0</v>
      </c>
      <c r="TX52">
        <f t="shared" si="44"/>
        <v>0</v>
      </c>
      <c r="TY52">
        <v>205</v>
      </c>
      <c r="TZ52">
        <v>0</v>
      </c>
      <c r="UA52">
        <v>0</v>
      </c>
      <c r="UB52">
        <v>0</v>
      </c>
    </row>
    <row r="53" spans="1:548" ht="16.5" customHeight="1" x14ac:dyDescent="0.35">
      <c r="A53" t="s">
        <v>1438</v>
      </c>
      <c r="B53" t="s">
        <v>2866</v>
      </c>
      <c r="C53" s="2">
        <v>62479</v>
      </c>
      <c r="D53">
        <v>22536</v>
      </c>
      <c r="E53">
        <v>5738</v>
      </c>
      <c r="F53">
        <v>34205</v>
      </c>
      <c r="G53">
        <v>655</v>
      </c>
      <c r="H53">
        <v>774</v>
      </c>
      <c r="I53">
        <v>736</v>
      </c>
      <c r="J53">
        <v>680</v>
      </c>
      <c r="K53">
        <v>448</v>
      </c>
      <c r="L53">
        <v>702</v>
      </c>
      <c r="M53">
        <v>824</v>
      </c>
      <c r="N53">
        <v>813</v>
      </c>
      <c r="O53">
        <v>618</v>
      </c>
      <c r="P53">
        <v>664</v>
      </c>
      <c r="Q53">
        <v>680</v>
      </c>
      <c r="R53">
        <v>809</v>
      </c>
      <c r="S53">
        <f t="shared" si="0"/>
        <v>8403</v>
      </c>
      <c r="T53">
        <v>231</v>
      </c>
      <c r="U53">
        <v>294</v>
      </c>
      <c r="V53">
        <v>281</v>
      </c>
      <c r="W53">
        <v>250</v>
      </c>
      <c r="X53">
        <v>189</v>
      </c>
      <c r="Y53">
        <v>360</v>
      </c>
      <c r="Z53">
        <v>268</v>
      </c>
      <c r="AA53">
        <v>284</v>
      </c>
      <c r="AB53">
        <v>261</v>
      </c>
      <c r="AC53">
        <v>223</v>
      </c>
      <c r="AD53">
        <v>220</v>
      </c>
      <c r="AE53">
        <v>247</v>
      </c>
      <c r="AF53">
        <f t="shared" si="1"/>
        <v>3108</v>
      </c>
      <c r="AG53">
        <v>33</v>
      </c>
      <c r="AH53">
        <v>7</v>
      </c>
      <c r="AI53">
        <v>3</v>
      </c>
      <c r="AJ53">
        <v>13</v>
      </c>
      <c r="AK53">
        <v>0</v>
      </c>
      <c r="AL53">
        <v>9</v>
      </c>
      <c r="AM53">
        <v>22</v>
      </c>
      <c r="AN53">
        <v>27</v>
      </c>
      <c r="AO53">
        <v>20</v>
      </c>
      <c r="AP53">
        <v>21</v>
      </c>
      <c r="AQ53">
        <v>26</v>
      </c>
      <c r="AR53">
        <v>26</v>
      </c>
      <c r="AS53">
        <f t="shared" si="2"/>
        <v>207</v>
      </c>
      <c r="AT53">
        <v>391</v>
      </c>
      <c r="AU53">
        <v>473</v>
      </c>
      <c r="AV53">
        <v>452</v>
      </c>
      <c r="AW53">
        <v>417</v>
      </c>
      <c r="AX53">
        <v>259</v>
      </c>
      <c r="AY53">
        <v>333</v>
      </c>
      <c r="AZ53">
        <v>534</v>
      </c>
      <c r="BA53">
        <v>502</v>
      </c>
      <c r="BB53">
        <v>337</v>
      </c>
      <c r="BC53">
        <v>420</v>
      </c>
      <c r="BD53">
        <v>434</v>
      </c>
      <c r="BE53">
        <v>536</v>
      </c>
      <c r="BF53">
        <f t="shared" si="3"/>
        <v>5088</v>
      </c>
      <c r="BG53">
        <v>0</v>
      </c>
      <c r="BH53">
        <v>0</v>
      </c>
      <c r="BI53">
        <v>0</v>
      </c>
      <c r="BJ53">
        <v>0</v>
      </c>
      <c r="BK53">
        <v>0</v>
      </c>
      <c r="BL53">
        <v>0</v>
      </c>
      <c r="BM53">
        <v>0</v>
      </c>
      <c r="BN53">
        <v>0</v>
      </c>
      <c r="BO53">
        <v>0</v>
      </c>
      <c r="BP53">
        <v>0</v>
      </c>
      <c r="BQ53">
        <v>0</v>
      </c>
      <c r="BR53">
        <v>0</v>
      </c>
      <c r="BS53">
        <f t="shared" si="4"/>
        <v>0</v>
      </c>
      <c r="BT53">
        <v>0</v>
      </c>
      <c r="BU53">
        <v>0</v>
      </c>
      <c r="BV53">
        <v>0</v>
      </c>
      <c r="BW53">
        <v>0</v>
      </c>
      <c r="BX53">
        <v>0</v>
      </c>
      <c r="BY53">
        <v>0</v>
      </c>
      <c r="BZ53">
        <v>0</v>
      </c>
      <c r="CA53">
        <v>0</v>
      </c>
      <c r="CB53">
        <v>0</v>
      </c>
      <c r="CC53">
        <v>0</v>
      </c>
      <c r="CD53">
        <v>0</v>
      </c>
      <c r="CE53">
        <v>0</v>
      </c>
      <c r="CF53">
        <f t="shared" si="5"/>
        <v>0</v>
      </c>
      <c r="CG53">
        <v>0</v>
      </c>
      <c r="CH53">
        <v>0</v>
      </c>
      <c r="CI53">
        <v>0</v>
      </c>
      <c r="CJ53">
        <v>0</v>
      </c>
      <c r="CK53">
        <v>0</v>
      </c>
      <c r="CL53">
        <v>0</v>
      </c>
      <c r="CM53">
        <v>0</v>
      </c>
      <c r="CN53">
        <v>0</v>
      </c>
      <c r="CO53">
        <v>0</v>
      </c>
      <c r="CP53">
        <v>0</v>
      </c>
      <c r="CQ53">
        <v>0</v>
      </c>
      <c r="CR53">
        <v>0</v>
      </c>
      <c r="CS53">
        <f t="shared" si="6"/>
        <v>0</v>
      </c>
      <c r="CT53">
        <v>0</v>
      </c>
      <c r="CU53">
        <v>0</v>
      </c>
      <c r="CV53">
        <v>0</v>
      </c>
      <c r="CW53">
        <v>0</v>
      </c>
      <c r="CX53">
        <v>0</v>
      </c>
      <c r="CY53">
        <v>0</v>
      </c>
      <c r="CZ53">
        <v>0</v>
      </c>
      <c r="DA53">
        <v>0</v>
      </c>
      <c r="DB53">
        <v>0</v>
      </c>
      <c r="DC53">
        <v>0</v>
      </c>
      <c r="DD53">
        <v>0</v>
      </c>
      <c r="DE53">
        <v>0</v>
      </c>
      <c r="DF53">
        <f t="shared" si="7"/>
        <v>0</v>
      </c>
      <c r="DG53">
        <v>0</v>
      </c>
      <c r="DH53">
        <v>0</v>
      </c>
      <c r="DI53">
        <v>0</v>
      </c>
      <c r="DJ53">
        <v>0</v>
      </c>
      <c r="DK53">
        <v>0</v>
      </c>
      <c r="DL53">
        <v>0</v>
      </c>
      <c r="DM53">
        <v>0</v>
      </c>
      <c r="DN53">
        <v>0</v>
      </c>
      <c r="DO53">
        <v>0</v>
      </c>
      <c r="DP53">
        <v>0</v>
      </c>
      <c r="DQ53">
        <v>0</v>
      </c>
      <c r="DR53">
        <v>0</v>
      </c>
      <c r="DS53">
        <f t="shared" si="8"/>
        <v>0</v>
      </c>
      <c r="DT53">
        <v>0</v>
      </c>
      <c r="DU53">
        <v>0</v>
      </c>
      <c r="DV53">
        <v>0</v>
      </c>
      <c r="DW53">
        <v>0</v>
      </c>
      <c r="DX53">
        <v>0</v>
      </c>
      <c r="DY53">
        <v>0</v>
      </c>
      <c r="DZ53">
        <v>0</v>
      </c>
      <c r="EA53">
        <v>0</v>
      </c>
      <c r="EB53">
        <v>0</v>
      </c>
      <c r="EC53">
        <v>0</v>
      </c>
      <c r="ED53">
        <v>0</v>
      </c>
      <c r="EE53">
        <v>0</v>
      </c>
      <c r="EF53">
        <f t="shared" si="9"/>
        <v>0</v>
      </c>
      <c r="EG53">
        <f t="shared" si="10"/>
        <v>8403</v>
      </c>
      <c r="EH53">
        <f t="shared" si="11"/>
        <v>0</v>
      </c>
      <c r="EI53">
        <v>6814</v>
      </c>
      <c r="EJ53">
        <v>9152</v>
      </c>
      <c r="EK53">
        <v>8823</v>
      </c>
      <c r="EL53">
        <v>9208</v>
      </c>
      <c r="EM53">
        <v>7926</v>
      </c>
      <c r="EN53">
        <v>7843</v>
      </c>
      <c r="EO53">
        <v>11975</v>
      </c>
      <c r="EP53">
        <v>10201</v>
      </c>
      <c r="EQ53">
        <v>8043</v>
      </c>
      <c r="ER53">
        <v>7002</v>
      </c>
      <c r="ES53">
        <v>7581</v>
      </c>
      <c r="ET53">
        <v>9908</v>
      </c>
      <c r="EU53">
        <f t="shared" si="12"/>
        <v>104476</v>
      </c>
      <c r="EV53">
        <v>2966</v>
      </c>
      <c r="EW53">
        <v>4359</v>
      </c>
      <c r="EX53">
        <v>3837</v>
      </c>
      <c r="EY53">
        <v>3912</v>
      </c>
      <c r="EZ53">
        <v>3275</v>
      </c>
      <c r="FA53">
        <v>3216</v>
      </c>
      <c r="FB53">
        <v>4058</v>
      </c>
      <c r="FC53">
        <v>4414</v>
      </c>
      <c r="FD53">
        <v>4169</v>
      </c>
      <c r="FE53">
        <v>3140</v>
      </c>
      <c r="FF53">
        <v>3324</v>
      </c>
      <c r="FG53">
        <v>4078</v>
      </c>
      <c r="FH53">
        <f t="shared" si="13"/>
        <v>44748</v>
      </c>
      <c r="FI53">
        <v>2896</v>
      </c>
      <c r="FJ53">
        <v>4675</v>
      </c>
      <c r="FK53">
        <v>4942</v>
      </c>
      <c r="FL53">
        <v>5174</v>
      </c>
      <c r="FM53">
        <v>4651</v>
      </c>
      <c r="FN53">
        <v>4509</v>
      </c>
      <c r="FO53">
        <v>7788</v>
      </c>
      <c r="FP53">
        <v>5600</v>
      </c>
      <c r="FQ53">
        <v>3737</v>
      </c>
      <c r="FR53">
        <v>3665</v>
      </c>
      <c r="FS53">
        <v>4115</v>
      </c>
      <c r="FT53">
        <v>5649</v>
      </c>
      <c r="FU53">
        <f t="shared" si="14"/>
        <v>57401</v>
      </c>
      <c r="FV53">
        <v>952</v>
      </c>
      <c r="FW53">
        <v>118</v>
      </c>
      <c r="FX53">
        <v>44</v>
      </c>
      <c r="FY53">
        <v>122</v>
      </c>
      <c r="FZ53">
        <v>0</v>
      </c>
      <c r="GA53">
        <v>118</v>
      </c>
      <c r="GB53">
        <v>129</v>
      </c>
      <c r="GC53">
        <v>187</v>
      </c>
      <c r="GD53">
        <v>137</v>
      </c>
      <c r="GE53">
        <v>197</v>
      </c>
      <c r="GF53">
        <v>142</v>
      </c>
      <c r="GG53">
        <v>181</v>
      </c>
      <c r="GH53">
        <f t="shared" si="15"/>
        <v>2327</v>
      </c>
      <c r="GI53">
        <v>0</v>
      </c>
      <c r="GJ53">
        <v>0</v>
      </c>
      <c r="GK53">
        <v>0</v>
      </c>
      <c r="GL53">
        <v>0</v>
      </c>
      <c r="GM53">
        <v>0</v>
      </c>
      <c r="GN53">
        <v>0</v>
      </c>
      <c r="GO53">
        <v>0</v>
      </c>
      <c r="GP53">
        <v>0</v>
      </c>
      <c r="GQ53">
        <v>0</v>
      </c>
      <c r="GR53">
        <v>0</v>
      </c>
      <c r="GS53">
        <v>0</v>
      </c>
      <c r="GT53">
        <v>0</v>
      </c>
      <c r="GU53">
        <f t="shared" si="16"/>
        <v>0</v>
      </c>
      <c r="GV53">
        <v>0</v>
      </c>
      <c r="GW53">
        <v>0</v>
      </c>
      <c r="GX53">
        <v>0</v>
      </c>
      <c r="GY53">
        <v>0</v>
      </c>
      <c r="GZ53">
        <v>0</v>
      </c>
      <c r="HA53">
        <v>0</v>
      </c>
      <c r="HB53">
        <v>0</v>
      </c>
      <c r="HC53">
        <v>0</v>
      </c>
      <c r="HD53">
        <v>0</v>
      </c>
      <c r="HE53">
        <v>0</v>
      </c>
      <c r="HF53">
        <v>0</v>
      </c>
      <c r="HG53">
        <v>0</v>
      </c>
      <c r="HH53">
        <f t="shared" si="17"/>
        <v>0</v>
      </c>
      <c r="HI53">
        <v>0</v>
      </c>
      <c r="HJ53">
        <v>0</v>
      </c>
      <c r="HK53">
        <v>0</v>
      </c>
      <c r="HL53">
        <v>0</v>
      </c>
      <c r="HM53">
        <v>0</v>
      </c>
      <c r="HN53">
        <v>0</v>
      </c>
      <c r="HO53">
        <v>0</v>
      </c>
      <c r="HP53">
        <v>0</v>
      </c>
      <c r="HQ53">
        <v>0</v>
      </c>
      <c r="HR53">
        <v>0</v>
      </c>
      <c r="HS53">
        <v>0</v>
      </c>
      <c r="HT53">
        <v>0</v>
      </c>
      <c r="HU53">
        <f t="shared" si="18"/>
        <v>0</v>
      </c>
      <c r="HV53">
        <v>0</v>
      </c>
      <c r="HW53">
        <v>0</v>
      </c>
      <c r="HX53">
        <v>0</v>
      </c>
      <c r="HY53">
        <v>0</v>
      </c>
      <c r="HZ53">
        <v>0</v>
      </c>
      <c r="IA53">
        <v>0</v>
      </c>
      <c r="IB53">
        <v>0</v>
      </c>
      <c r="IC53">
        <v>0</v>
      </c>
      <c r="ID53">
        <v>0</v>
      </c>
      <c r="IE53">
        <v>0</v>
      </c>
      <c r="IF53">
        <v>0</v>
      </c>
      <c r="IG53">
        <v>0</v>
      </c>
      <c r="IH53">
        <f t="shared" si="19"/>
        <v>0</v>
      </c>
      <c r="II53">
        <f t="shared" si="20"/>
        <v>104476</v>
      </c>
      <c r="IJ53">
        <f t="shared" si="21"/>
        <v>0</v>
      </c>
      <c r="IK53">
        <v>45881</v>
      </c>
      <c r="IL53">
        <v>45146</v>
      </c>
      <c r="IM53">
        <v>41165</v>
      </c>
      <c r="IN53">
        <v>45189</v>
      </c>
      <c r="IO53">
        <v>55570</v>
      </c>
      <c r="IP53">
        <v>48462</v>
      </c>
      <c r="IQ53">
        <v>49762</v>
      </c>
      <c r="IR53">
        <v>46417</v>
      </c>
      <c r="IS53">
        <v>42565</v>
      </c>
      <c r="IT53">
        <v>44475</v>
      </c>
      <c r="IU53">
        <v>40892</v>
      </c>
      <c r="IV53">
        <v>45289</v>
      </c>
      <c r="IW53">
        <f t="shared" si="22"/>
        <v>550813</v>
      </c>
      <c r="IX53">
        <v>0</v>
      </c>
      <c r="IY53">
        <v>0</v>
      </c>
      <c r="IZ53">
        <v>0</v>
      </c>
      <c r="JA53">
        <v>0</v>
      </c>
      <c r="JB53">
        <v>0</v>
      </c>
      <c r="JC53">
        <v>0</v>
      </c>
      <c r="JD53">
        <v>0</v>
      </c>
      <c r="JE53">
        <v>0</v>
      </c>
      <c r="JF53">
        <v>0</v>
      </c>
      <c r="JG53">
        <v>0</v>
      </c>
      <c r="JH53">
        <v>0</v>
      </c>
      <c r="JI53">
        <v>0</v>
      </c>
      <c r="JJ53">
        <f t="shared" si="23"/>
        <v>0</v>
      </c>
      <c r="JK53">
        <v>0</v>
      </c>
      <c r="JL53">
        <v>0</v>
      </c>
      <c r="JM53">
        <v>0</v>
      </c>
      <c r="JN53">
        <v>0</v>
      </c>
      <c r="JO53">
        <v>0</v>
      </c>
      <c r="JP53">
        <v>0</v>
      </c>
      <c r="JQ53">
        <v>0</v>
      </c>
      <c r="JR53">
        <v>0</v>
      </c>
      <c r="JS53">
        <v>0</v>
      </c>
      <c r="JT53">
        <v>0</v>
      </c>
      <c r="JU53">
        <v>0</v>
      </c>
      <c r="JV53">
        <v>0</v>
      </c>
      <c r="JW53">
        <f t="shared" si="24"/>
        <v>0</v>
      </c>
      <c r="JX53">
        <v>0</v>
      </c>
      <c r="JY53">
        <v>0</v>
      </c>
      <c r="JZ53">
        <v>0</v>
      </c>
      <c r="KA53">
        <v>0</v>
      </c>
      <c r="KB53">
        <v>0</v>
      </c>
      <c r="KC53">
        <v>0</v>
      </c>
      <c r="KD53">
        <v>0</v>
      </c>
      <c r="KE53">
        <v>0</v>
      </c>
      <c r="KF53">
        <v>0</v>
      </c>
      <c r="KG53">
        <v>0</v>
      </c>
      <c r="KH53">
        <v>0</v>
      </c>
      <c r="KI53">
        <v>0</v>
      </c>
      <c r="KJ53">
        <f t="shared" si="25"/>
        <v>0</v>
      </c>
      <c r="KK53">
        <v>145</v>
      </c>
      <c r="KL53">
        <v>151</v>
      </c>
      <c r="KM53">
        <v>107</v>
      </c>
      <c r="KN53">
        <v>103</v>
      </c>
      <c r="KO53">
        <v>98</v>
      </c>
      <c r="KP53">
        <v>184</v>
      </c>
      <c r="KQ53">
        <v>117</v>
      </c>
      <c r="KR53">
        <v>143</v>
      </c>
      <c r="KS53">
        <v>159</v>
      </c>
      <c r="KT53">
        <v>139</v>
      </c>
      <c r="KU53">
        <v>121</v>
      </c>
      <c r="KV53">
        <v>106</v>
      </c>
      <c r="KW53">
        <f t="shared" si="26"/>
        <v>1573</v>
      </c>
      <c r="KX53">
        <v>0</v>
      </c>
      <c r="KY53">
        <v>0</v>
      </c>
      <c r="KZ53">
        <v>0</v>
      </c>
      <c r="LA53">
        <v>0</v>
      </c>
      <c r="LB53">
        <v>0</v>
      </c>
      <c r="LC53">
        <v>0</v>
      </c>
      <c r="LD53">
        <v>0</v>
      </c>
      <c r="LE53">
        <v>0</v>
      </c>
      <c r="LF53">
        <v>0</v>
      </c>
      <c r="LG53">
        <v>0</v>
      </c>
      <c r="LH53">
        <v>0</v>
      </c>
      <c r="LI53">
        <v>0</v>
      </c>
      <c r="LJ53">
        <f t="shared" si="27"/>
        <v>0</v>
      </c>
      <c r="LK53">
        <v>0</v>
      </c>
      <c r="LL53">
        <v>0</v>
      </c>
      <c r="LM53">
        <v>0</v>
      </c>
      <c r="LN53">
        <v>0</v>
      </c>
      <c r="LO53">
        <v>0</v>
      </c>
      <c r="LP53">
        <v>0</v>
      </c>
      <c r="LQ53">
        <v>0</v>
      </c>
      <c r="LR53">
        <v>0</v>
      </c>
      <c r="LS53">
        <v>0</v>
      </c>
      <c r="LT53">
        <v>0</v>
      </c>
      <c r="LU53">
        <v>0</v>
      </c>
      <c r="LV53">
        <v>0</v>
      </c>
      <c r="LW53">
        <f t="shared" si="28"/>
        <v>0</v>
      </c>
      <c r="LX53">
        <v>0</v>
      </c>
      <c r="LY53">
        <v>0</v>
      </c>
      <c r="LZ53">
        <v>0</v>
      </c>
      <c r="MA53">
        <v>0</v>
      </c>
      <c r="MB53">
        <v>0</v>
      </c>
      <c r="MC53">
        <v>0</v>
      </c>
      <c r="MD53">
        <v>0</v>
      </c>
      <c r="ME53">
        <v>0</v>
      </c>
      <c r="MF53">
        <v>0</v>
      </c>
      <c r="MG53">
        <v>0</v>
      </c>
      <c r="MH53">
        <v>0</v>
      </c>
      <c r="MI53">
        <v>0</v>
      </c>
      <c r="MJ53">
        <f t="shared" si="29"/>
        <v>0</v>
      </c>
      <c r="MK53">
        <v>3986</v>
      </c>
      <c r="ML53">
        <v>3969</v>
      </c>
      <c r="MM53">
        <v>3762</v>
      </c>
      <c r="MN53">
        <v>4383</v>
      </c>
      <c r="MO53">
        <v>4335</v>
      </c>
      <c r="MP53">
        <v>3703</v>
      </c>
      <c r="MQ53">
        <v>3965</v>
      </c>
      <c r="MR53">
        <v>3653</v>
      </c>
      <c r="MS53">
        <v>3951</v>
      </c>
      <c r="MT53">
        <v>4231</v>
      </c>
      <c r="MU53">
        <v>3690</v>
      </c>
      <c r="MV53">
        <v>3964</v>
      </c>
      <c r="MW53">
        <f t="shared" si="30"/>
        <v>47592</v>
      </c>
      <c r="MX53">
        <v>0</v>
      </c>
      <c r="MY53">
        <v>0</v>
      </c>
      <c r="MZ53">
        <v>0</v>
      </c>
      <c r="NA53">
        <v>0</v>
      </c>
      <c r="NB53">
        <v>0</v>
      </c>
      <c r="NC53">
        <v>0</v>
      </c>
      <c r="ND53">
        <v>0</v>
      </c>
      <c r="NE53">
        <v>0</v>
      </c>
      <c r="NF53">
        <v>0</v>
      </c>
      <c r="NG53">
        <v>0</v>
      </c>
      <c r="NH53">
        <v>0</v>
      </c>
      <c r="NI53">
        <v>0</v>
      </c>
      <c r="NJ53">
        <f t="shared" si="31"/>
        <v>0</v>
      </c>
      <c r="NK53">
        <v>0</v>
      </c>
      <c r="NL53">
        <v>0</v>
      </c>
      <c r="NM53">
        <v>0</v>
      </c>
      <c r="NN53">
        <v>0</v>
      </c>
      <c r="NO53">
        <v>0</v>
      </c>
      <c r="NP53">
        <v>0</v>
      </c>
      <c r="NQ53">
        <v>0</v>
      </c>
      <c r="NR53">
        <v>0</v>
      </c>
      <c r="NS53">
        <v>0</v>
      </c>
      <c r="NT53">
        <v>0</v>
      </c>
      <c r="NU53">
        <v>0</v>
      </c>
      <c r="NV53">
        <v>0</v>
      </c>
      <c r="NW53">
        <f t="shared" si="32"/>
        <v>0</v>
      </c>
      <c r="NX53">
        <v>0</v>
      </c>
      <c r="NY53">
        <v>0</v>
      </c>
      <c r="NZ53">
        <v>0</v>
      </c>
      <c r="OA53">
        <v>0</v>
      </c>
      <c r="OB53">
        <v>0</v>
      </c>
      <c r="OC53">
        <v>0</v>
      </c>
      <c r="OD53">
        <v>0</v>
      </c>
      <c r="OE53">
        <v>0</v>
      </c>
      <c r="OF53">
        <v>0</v>
      </c>
      <c r="OG53">
        <v>0</v>
      </c>
      <c r="OH53">
        <v>0</v>
      </c>
      <c r="OI53">
        <v>0</v>
      </c>
      <c r="OJ53">
        <f t="shared" si="33"/>
        <v>0</v>
      </c>
      <c r="OK53">
        <v>3971</v>
      </c>
      <c r="OL53">
        <v>4045</v>
      </c>
      <c r="OM53">
        <v>3819</v>
      </c>
      <c r="ON53">
        <v>3963</v>
      </c>
      <c r="OO53">
        <v>4230</v>
      </c>
      <c r="OP53">
        <v>4005</v>
      </c>
      <c r="OQ53">
        <v>4122</v>
      </c>
      <c r="OR53">
        <v>3932</v>
      </c>
      <c r="OS53">
        <v>3950</v>
      </c>
      <c r="OT53">
        <v>4414</v>
      </c>
      <c r="OU53">
        <v>3952</v>
      </c>
      <c r="OV53">
        <v>4226</v>
      </c>
      <c r="OW53">
        <f t="shared" si="34"/>
        <v>48629</v>
      </c>
      <c r="OX53">
        <v>0</v>
      </c>
      <c r="OY53">
        <v>0</v>
      </c>
      <c r="OZ53">
        <v>0</v>
      </c>
      <c r="PA53">
        <v>0</v>
      </c>
      <c r="PB53">
        <v>0</v>
      </c>
      <c r="PC53">
        <v>0</v>
      </c>
      <c r="PD53">
        <v>0</v>
      </c>
      <c r="PE53">
        <v>0</v>
      </c>
      <c r="PF53">
        <v>0</v>
      </c>
      <c r="PG53">
        <v>0</v>
      </c>
      <c r="PH53">
        <v>0</v>
      </c>
      <c r="PI53">
        <v>0</v>
      </c>
      <c r="PJ53">
        <f t="shared" si="35"/>
        <v>0</v>
      </c>
      <c r="PK53">
        <v>0</v>
      </c>
      <c r="PL53">
        <v>0</v>
      </c>
      <c r="PM53">
        <v>0</v>
      </c>
      <c r="PN53">
        <v>0</v>
      </c>
      <c r="PO53">
        <v>0</v>
      </c>
      <c r="PP53">
        <v>0</v>
      </c>
      <c r="PQ53">
        <v>0</v>
      </c>
      <c r="PR53">
        <v>0</v>
      </c>
      <c r="PS53">
        <v>0</v>
      </c>
      <c r="PT53">
        <v>0</v>
      </c>
      <c r="PU53">
        <v>0</v>
      </c>
      <c r="PV53">
        <v>0</v>
      </c>
      <c r="PW53">
        <f t="shared" si="36"/>
        <v>0</v>
      </c>
      <c r="PX53">
        <v>0</v>
      </c>
      <c r="PY53">
        <v>0</v>
      </c>
      <c r="PZ53">
        <v>0</v>
      </c>
      <c r="QA53">
        <v>0</v>
      </c>
      <c r="QB53">
        <v>0</v>
      </c>
      <c r="QC53">
        <v>0</v>
      </c>
      <c r="QD53">
        <v>0</v>
      </c>
      <c r="QE53">
        <v>0</v>
      </c>
      <c r="QF53">
        <v>0</v>
      </c>
      <c r="QG53">
        <v>0</v>
      </c>
      <c r="QH53">
        <v>0</v>
      </c>
      <c r="QI53">
        <v>0</v>
      </c>
      <c r="QJ53">
        <f t="shared" si="37"/>
        <v>0</v>
      </c>
      <c r="QK53">
        <v>71986</v>
      </c>
      <c r="QL53">
        <v>76837</v>
      </c>
      <c r="QM53">
        <v>71457</v>
      </c>
      <c r="QN53">
        <v>73612</v>
      </c>
      <c r="QO53">
        <v>66834</v>
      </c>
      <c r="QP53">
        <v>80340</v>
      </c>
      <c r="QQ53">
        <v>88795</v>
      </c>
      <c r="QR53">
        <v>78119</v>
      </c>
      <c r="QS53">
        <v>64246</v>
      </c>
      <c r="QT53">
        <v>72333</v>
      </c>
      <c r="QU53">
        <v>68927</v>
      </c>
      <c r="QV53">
        <v>70197</v>
      </c>
      <c r="QW53">
        <f t="shared" si="38"/>
        <v>883683</v>
      </c>
      <c r="QX53">
        <v>0</v>
      </c>
      <c r="QY53">
        <v>0</v>
      </c>
      <c r="QZ53">
        <v>0</v>
      </c>
      <c r="RA53">
        <v>0</v>
      </c>
      <c r="RB53">
        <v>0</v>
      </c>
      <c r="RC53">
        <v>0</v>
      </c>
      <c r="RD53">
        <v>0</v>
      </c>
      <c r="RE53">
        <v>0</v>
      </c>
      <c r="RF53">
        <v>0</v>
      </c>
      <c r="RG53">
        <v>0</v>
      </c>
      <c r="RH53">
        <v>0</v>
      </c>
      <c r="RI53">
        <v>0</v>
      </c>
      <c r="RJ53">
        <f t="shared" si="39"/>
        <v>0</v>
      </c>
      <c r="RK53">
        <v>0</v>
      </c>
      <c r="RL53">
        <v>0</v>
      </c>
      <c r="RM53">
        <v>0</v>
      </c>
      <c r="RN53">
        <v>0</v>
      </c>
      <c r="RO53">
        <v>0</v>
      </c>
      <c r="RP53">
        <v>0</v>
      </c>
      <c r="RQ53">
        <v>0</v>
      </c>
      <c r="RR53">
        <v>0</v>
      </c>
      <c r="RS53">
        <v>0</v>
      </c>
      <c r="RT53">
        <v>0</v>
      </c>
      <c r="RU53">
        <v>0</v>
      </c>
      <c r="RV53">
        <v>0</v>
      </c>
      <c r="RW53">
        <f t="shared" si="40"/>
        <v>0</v>
      </c>
      <c r="RX53">
        <v>0</v>
      </c>
      <c r="RY53">
        <v>0</v>
      </c>
      <c r="RZ53">
        <v>0</v>
      </c>
      <c r="SA53">
        <v>0</v>
      </c>
      <c r="SB53">
        <v>0</v>
      </c>
      <c r="SC53">
        <v>0</v>
      </c>
      <c r="SD53">
        <v>0</v>
      </c>
      <c r="SE53">
        <v>0</v>
      </c>
      <c r="SF53">
        <v>0</v>
      </c>
      <c r="SG53">
        <v>0</v>
      </c>
      <c r="SH53">
        <v>0</v>
      </c>
      <c r="SI53">
        <v>0</v>
      </c>
      <c r="SJ53">
        <f t="shared" si="41"/>
        <v>0</v>
      </c>
      <c r="SK53">
        <v>129</v>
      </c>
      <c r="SL53">
        <v>118</v>
      </c>
      <c r="SM53">
        <v>119</v>
      </c>
      <c r="SN53">
        <v>120</v>
      </c>
      <c r="SO53">
        <v>118</v>
      </c>
      <c r="SP53">
        <v>119</v>
      </c>
      <c r="SQ53">
        <v>126</v>
      </c>
      <c r="SR53">
        <v>128</v>
      </c>
      <c r="SS53">
        <v>118</v>
      </c>
      <c r="ST53">
        <v>118</v>
      </c>
      <c r="SU53">
        <v>145</v>
      </c>
      <c r="SV53">
        <v>118</v>
      </c>
      <c r="SW53">
        <f t="shared" si="42"/>
        <v>1476</v>
      </c>
      <c r="SX53" t="s">
        <v>1439</v>
      </c>
      <c r="SY53">
        <v>6305</v>
      </c>
      <c r="SZ53">
        <v>6765</v>
      </c>
      <c r="TA53">
        <v>5907</v>
      </c>
      <c r="TB53">
        <v>5964</v>
      </c>
      <c r="TC53">
        <v>5745</v>
      </c>
      <c r="TD53">
        <v>5964</v>
      </c>
      <c r="TE53">
        <v>6323</v>
      </c>
      <c r="TF53">
        <v>6313</v>
      </c>
      <c r="TG53">
        <v>5133</v>
      </c>
      <c r="TH53">
        <v>5766</v>
      </c>
      <c r="TI53">
        <v>5382</v>
      </c>
      <c r="TJ53">
        <v>6597</v>
      </c>
      <c r="TK53">
        <f t="shared" si="43"/>
        <v>72164</v>
      </c>
      <c r="TL53">
        <v>2493</v>
      </c>
      <c r="TM53">
        <v>8255</v>
      </c>
      <c r="TN53">
        <v>1484</v>
      </c>
      <c r="TO53">
        <v>1447</v>
      </c>
      <c r="TP53">
        <v>1721</v>
      </c>
      <c r="TQ53">
        <v>3210</v>
      </c>
      <c r="TR53">
        <v>3093</v>
      </c>
      <c r="TS53">
        <v>2602</v>
      </c>
      <c r="TT53">
        <v>2193</v>
      </c>
      <c r="TU53">
        <v>2742</v>
      </c>
      <c r="TV53">
        <v>2252</v>
      </c>
      <c r="TW53">
        <v>2482</v>
      </c>
      <c r="TX53">
        <f t="shared" si="44"/>
        <v>33974</v>
      </c>
      <c r="TY53">
        <v>128</v>
      </c>
      <c r="TZ53">
        <v>105</v>
      </c>
      <c r="UA53">
        <v>135</v>
      </c>
      <c r="UB53">
        <v>0</v>
      </c>
    </row>
    <row r="54" spans="1:548" ht="16.5" customHeight="1" x14ac:dyDescent="0.35">
      <c r="A54" t="s">
        <v>1416</v>
      </c>
      <c r="B54" t="s">
        <v>2865</v>
      </c>
      <c r="C54">
        <v>1950</v>
      </c>
      <c r="D54">
        <v>0</v>
      </c>
      <c r="E54">
        <v>0</v>
      </c>
      <c r="F54">
        <v>0</v>
      </c>
      <c r="G54">
        <v>0</v>
      </c>
      <c r="H54">
        <v>0</v>
      </c>
      <c r="I54">
        <v>0</v>
      </c>
      <c r="J54">
        <v>0</v>
      </c>
      <c r="K54">
        <v>0</v>
      </c>
      <c r="L54">
        <v>0</v>
      </c>
      <c r="M54">
        <v>0</v>
      </c>
      <c r="N54">
        <v>0</v>
      </c>
      <c r="O54">
        <v>0</v>
      </c>
      <c r="P54">
        <v>0</v>
      </c>
      <c r="Q54">
        <v>0</v>
      </c>
      <c r="R54">
        <v>0</v>
      </c>
      <c r="S54">
        <f t="shared" si="0"/>
        <v>0</v>
      </c>
      <c r="T54">
        <v>0</v>
      </c>
      <c r="U54">
        <v>0</v>
      </c>
      <c r="V54">
        <v>0</v>
      </c>
      <c r="W54">
        <v>0</v>
      </c>
      <c r="X54">
        <v>0</v>
      </c>
      <c r="Y54">
        <v>0</v>
      </c>
      <c r="Z54">
        <v>0</v>
      </c>
      <c r="AA54">
        <v>0</v>
      </c>
      <c r="AB54">
        <v>0</v>
      </c>
      <c r="AC54">
        <v>0</v>
      </c>
      <c r="AD54">
        <v>0</v>
      </c>
      <c r="AE54">
        <v>0</v>
      </c>
      <c r="AF54">
        <f t="shared" si="1"/>
        <v>0</v>
      </c>
      <c r="AG54">
        <v>0</v>
      </c>
      <c r="AH54">
        <v>0</v>
      </c>
      <c r="AI54">
        <v>0</v>
      </c>
      <c r="AJ54">
        <v>0</v>
      </c>
      <c r="AK54">
        <v>0</v>
      </c>
      <c r="AL54">
        <v>0</v>
      </c>
      <c r="AM54">
        <v>0</v>
      </c>
      <c r="AN54">
        <v>0</v>
      </c>
      <c r="AO54">
        <v>0</v>
      </c>
      <c r="AP54">
        <v>0</v>
      </c>
      <c r="AQ54">
        <v>0</v>
      </c>
      <c r="AR54">
        <v>0</v>
      </c>
      <c r="AS54">
        <f t="shared" si="2"/>
        <v>0</v>
      </c>
      <c r="AT54">
        <v>0</v>
      </c>
      <c r="AU54">
        <v>0</v>
      </c>
      <c r="AV54">
        <v>0</v>
      </c>
      <c r="AW54">
        <v>0</v>
      </c>
      <c r="AX54">
        <v>0</v>
      </c>
      <c r="AY54">
        <v>0</v>
      </c>
      <c r="AZ54">
        <v>0</v>
      </c>
      <c r="BA54">
        <v>0</v>
      </c>
      <c r="BB54">
        <v>0</v>
      </c>
      <c r="BC54">
        <v>0</v>
      </c>
      <c r="BD54">
        <v>0</v>
      </c>
      <c r="BE54">
        <v>0</v>
      </c>
      <c r="BF54">
        <f t="shared" si="3"/>
        <v>0</v>
      </c>
      <c r="BG54">
        <v>0</v>
      </c>
      <c r="BH54">
        <v>0</v>
      </c>
      <c r="BI54">
        <v>0</v>
      </c>
      <c r="BJ54">
        <v>0</v>
      </c>
      <c r="BK54">
        <v>0</v>
      </c>
      <c r="BL54">
        <v>0</v>
      </c>
      <c r="BM54">
        <v>0</v>
      </c>
      <c r="BN54">
        <v>0</v>
      </c>
      <c r="BO54">
        <v>0</v>
      </c>
      <c r="BP54">
        <v>0</v>
      </c>
      <c r="BQ54">
        <v>0</v>
      </c>
      <c r="BR54">
        <v>0</v>
      </c>
      <c r="BS54">
        <f t="shared" si="4"/>
        <v>0</v>
      </c>
      <c r="BT54">
        <v>0</v>
      </c>
      <c r="BU54">
        <v>0</v>
      </c>
      <c r="BV54">
        <v>0</v>
      </c>
      <c r="BW54">
        <v>0</v>
      </c>
      <c r="BX54">
        <v>0</v>
      </c>
      <c r="BY54">
        <v>0</v>
      </c>
      <c r="BZ54">
        <v>0</v>
      </c>
      <c r="CA54">
        <v>0</v>
      </c>
      <c r="CB54">
        <v>0</v>
      </c>
      <c r="CC54">
        <v>0</v>
      </c>
      <c r="CD54">
        <v>0</v>
      </c>
      <c r="CE54">
        <v>0</v>
      </c>
      <c r="CF54">
        <f t="shared" si="5"/>
        <v>0</v>
      </c>
      <c r="CG54">
        <v>0</v>
      </c>
      <c r="CH54">
        <v>0</v>
      </c>
      <c r="CI54">
        <v>0</v>
      </c>
      <c r="CJ54">
        <v>0</v>
      </c>
      <c r="CK54">
        <v>0</v>
      </c>
      <c r="CL54">
        <v>0</v>
      </c>
      <c r="CM54">
        <v>0</v>
      </c>
      <c r="CN54">
        <v>0</v>
      </c>
      <c r="CO54">
        <v>0</v>
      </c>
      <c r="CP54">
        <v>0</v>
      </c>
      <c r="CQ54">
        <v>0</v>
      </c>
      <c r="CR54">
        <v>0</v>
      </c>
      <c r="CS54">
        <f t="shared" si="6"/>
        <v>0</v>
      </c>
      <c r="CT54">
        <v>0</v>
      </c>
      <c r="CU54">
        <v>0</v>
      </c>
      <c r="CV54">
        <v>0</v>
      </c>
      <c r="CW54">
        <v>0</v>
      </c>
      <c r="CX54">
        <v>0</v>
      </c>
      <c r="CY54">
        <v>0</v>
      </c>
      <c r="CZ54">
        <v>0</v>
      </c>
      <c r="DA54">
        <v>0</v>
      </c>
      <c r="DB54">
        <v>0</v>
      </c>
      <c r="DC54">
        <v>0</v>
      </c>
      <c r="DD54">
        <v>0</v>
      </c>
      <c r="DE54">
        <v>0</v>
      </c>
      <c r="DF54">
        <f t="shared" si="7"/>
        <v>0</v>
      </c>
      <c r="DG54">
        <v>0</v>
      </c>
      <c r="DH54">
        <v>0</v>
      </c>
      <c r="DI54">
        <v>0</v>
      </c>
      <c r="DJ54">
        <v>0</v>
      </c>
      <c r="DK54">
        <v>0</v>
      </c>
      <c r="DL54">
        <v>0</v>
      </c>
      <c r="DM54">
        <v>0</v>
      </c>
      <c r="DN54">
        <v>0</v>
      </c>
      <c r="DO54">
        <v>0</v>
      </c>
      <c r="DP54">
        <v>0</v>
      </c>
      <c r="DQ54">
        <v>0</v>
      </c>
      <c r="DR54">
        <v>0</v>
      </c>
      <c r="DS54">
        <f t="shared" si="8"/>
        <v>0</v>
      </c>
      <c r="DT54">
        <v>0</v>
      </c>
      <c r="DU54">
        <v>0</v>
      </c>
      <c r="DV54">
        <v>0</v>
      </c>
      <c r="DW54">
        <v>0</v>
      </c>
      <c r="DX54">
        <v>0</v>
      </c>
      <c r="DY54">
        <v>0</v>
      </c>
      <c r="DZ54">
        <v>0</v>
      </c>
      <c r="EA54">
        <v>0</v>
      </c>
      <c r="EB54">
        <v>0</v>
      </c>
      <c r="EC54">
        <v>0</v>
      </c>
      <c r="ED54">
        <v>0</v>
      </c>
      <c r="EE54">
        <v>0</v>
      </c>
      <c r="EF54">
        <f t="shared" si="9"/>
        <v>0</v>
      </c>
      <c r="EG54">
        <f t="shared" si="10"/>
        <v>0</v>
      </c>
      <c r="EH54">
        <f t="shared" si="11"/>
        <v>0</v>
      </c>
      <c r="EI54">
        <v>0</v>
      </c>
      <c r="EJ54">
        <v>0</v>
      </c>
      <c r="EK54">
        <v>0</v>
      </c>
      <c r="EL54">
        <v>0</v>
      </c>
      <c r="EM54">
        <v>0</v>
      </c>
      <c r="EN54">
        <v>0</v>
      </c>
      <c r="EO54">
        <v>0</v>
      </c>
      <c r="EP54">
        <v>0</v>
      </c>
      <c r="EQ54">
        <v>0</v>
      </c>
      <c r="ER54">
        <v>0</v>
      </c>
      <c r="ES54">
        <v>0</v>
      </c>
      <c r="ET54">
        <v>0</v>
      </c>
      <c r="EU54">
        <f t="shared" si="12"/>
        <v>0</v>
      </c>
      <c r="EV54">
        <v>0</v>
      </c>
      <c r="EW54">
        <v>0</v>
      </c>
      <c r="EX54">
        <v>0</v>
      </c>
      <c r="EY54">
        <v>0</v>
      </c>
      <c r="EZ54">
        <v>0</v>
      </c>
      <c r="FA54">
        <v>0</v>
      </c>
      <c r="FB54">
        <v>0</v>
      </c>
      <c r="FC54">
        <v>0</v>
      </c>
      <c r="FD54">
        <v>0</v>
      </c>
      <c r="FE54">
        <v>0</v>
      </c>
      <c r="FF54">
        <v>0</v>
      </c>
      <c r="FG54">
        <v>0</v>
      </c>
      <c r="FH54">
        <f t="shared" si="13"/>
        <v>0</v>
      </c>
      <c r="FI54">
        <v>0</v>
      </c>
      <c r="FJ54">
        <v>0</v>
      </c>
      <c r="FK54">
        <v>0</v>
      </c>
      <c r="FL54">
        <v>0</v>
      </c>
      <c r="FM54">
        <v>0</v>
      </c>
      <c r="FN54">
        <v>0</v>
      </c>
      <c r="FO54">
        <v>0</v>
      </c>
      <c r="FP54">
        <v>0</v>
      </c>
      <c r="FQ54">
        <v>0</v>
      </c>
      <c r="FR54">
        <v>0</v>
      </c>
      <c r="FS54">
        <v>0</v>
      </c>
      <c r="FT54">
        <v>0</v>
      </c>
      <c r="FU54">
        <f t="shared" si="14"/>
        <v>0</v>
      </c>
      <c r="FV54">
        <v>0</v>
      </c>
      <c r="FW54">
        <v>0</v>
      </c>
      <c r="FX54">
        <v>0</v>
      </c>
      <c r="FY54">
        <v>0</v>
      </c>
      <c r="FZ54">
        <v>0</v>
      </c>
      <c r="GA54">
        <v>0</v>
      </c>
      <c r="GB54">
        <v>0</v>
      </c>
      <c r="GC54">
        <v>0</v>
      </c>
      <c r="GD54">
        <v>0</v>
      </c>
      <c r="GE54">
        <v>0</v>
      </c>
      <c r="GF54">
        <v>0</v>
      </c>
      <c r="GG54">
        <v>0</v>
      </c>
      <c r="GH54">
        <f t="shared" si="15"/>
        <v>0</v>
      </c>
      <c r="GI54">
        <v>0</v>
      </c>
      <c r="GJ54">
        <v>0</v>
      </c>
      <c r="GK54">
        <v>0</v>
      </c>
      <c r="GL54">
        <v>0</v>
      </c>
      <c r="GM54">
        <v>0</v>
      </c>
      <c r="GN54">
        <v>0</v>
      </c>
      <c r="GO54">
        <v>0</v>
      </c>
      <c r="GP54">
        <v>0</v>
      </c>
      <c r="GQ54">
        <v>0</v>
      </c>
      <c r="GR54">
        <v>0</v>
      </c>
      <c r="GS54">
        <v>0</v>
      </c>
      <c r="GT54">
        <v>0</v>
      </c>
      <c r="GU54">
        <f t="shared" si="16"/>
        <v>0</v>
      </c>
      <c r="GV54">
        <v>0</v>
      </c>
      <c r="GW54">
        <v>0</v>
      </c>
      <c r="GX54">
        <v>0</v>
      </c>
      <c r="GY54">
        <v>0</v>
      </c>
      <c r="GZ54">
        <v>0</v>
      </c>
      <c r="HA54">
        <v>0</v>
      </c>
      <c r="HB54">
        <v>0</v>
      </c>
      <c r="HC54">
        <v>0</v>
      </c>
      <c r="HD54">
        <v>0</v>
      </c>
      <c r="HE54">
        <v>0</v>
      </c>
      <c r="HF54">
        <v>0</v>
      </c>
      <c r="HG54">
        <v>0</v>
      </c>
      <c r="HH54">
        <f t="shared" si="17"/>
        <v>0</v>
      </c>
      <c r="HI54">
        <v>0</v>
      </c>
      <c r="HJ54">
        <v>0</v>
      </c>
      <c r="HK54">
        <v>0</v>
      </c>
      <c r="HL54">
        <v>0</v>
      </c>
      <c r="HM54">
        <v>0</v>
      </c>
      <c r="HN54">
        <v>0</v>
      </c>
      <c r="HO54">
        <v>0</v>
      </c>
      <c r="HP54">
        <v>0</v>
      </c>
      <c r="HQ54">
        <v>0</v>
      </c>
      <c r="HR54">
        <v>0</v>
      </c>
      <c r="HS54">
        <v>0</v>
      </c>
      <c r="HT54">
        <v>0</v>
      </c>
      <c r="HU54">
        <f t="shared" si="18"/>
        <v>0</v>
      </c>
      <c r="HV54">
        <v>0</v>
      </c>
      <c r="HW54">
        <v>0</v>
      </c>
      <c r="HX54">
        <v>0</v>
      </c>
      <c r="HY54">
        <v>0</v>
      </c>
      <c r="HZ54">
        <v>0</v>
      </c>
      <c r="IA54">
        <v>0</v>
      </c>
      <c r="IB54">
        <v>0</v>
      </c>
      <c r="IC54">
        <v>0</v>
      </c>
      <c r="ID54">
        <v>0</v>
      </c>
      <c r="IE54">
        <v>0</v>
      </c>
      <c r="IF54">
        <v>0</v>
      </c>
      <c r="IG54">
        <v>0</v>
      </c>
      <c r="IH54">
        <f t="shared" si="19"/>
        <v>0</v>
      </c>
      <c r="II54">
        <f t="shared" si="20"/>
        <v>0</v>
      </c>
      <c r="IJ54">
        <f t="shared" si="21"/>
        <v>0</v>
      </c>
      <c r="IK54" s="2">
        <v>8199</v>
      </c>
      <c r="IL54" s="2">
        <v>8327</v>
      </c>
      <c r="IM54" s="2">
        <v>7967</v>
      </c>
      <c r="IN54" s="2">
        <v>9369</v>
      </c>
      <c r="IO54" s="2">
        <v>9915</v>
      </c>
      <c r="IP54" s="2">
        <v>9385</v>
      </c>
      <c r="IQ54" s="2">
        <v>10550</v>
      </c>
      <c r="IR54" s="2">
        <v>9575</v>
      </c>
      <c r="IS54" s="2">
        <v>7282</v>
      </c>
      <c r="IT54" s="2">
        <v>9581</v>
      </c>
      <c r="IU54" s="2">
        <v>8871</v>
      </c>
      <c r="IV54" s="2">
        <v>9239</v>
      </c>
      <c r="IW54" s="2">
        <f t="shared" si="22"/>
        <v>108260</v>
      </c>
      <c r="IX54" s="2">
        <v>0</v>
      </c>
      <c r="IY54" s="2">
        <v>0</v>
      </c>
      <c r="IZ54" s="2">
        <v>0</v>
      </c>
      <c r="JA54" s="2">
        <v>0</v>
      </c>
      <c r="JB54" s="2">
        <v>0</v>
      </c>
      <c r="JC54" s="2">
        <v>0</v>
      </c>
      <c r="JD54" s="2">
        <v>0</v>
      </c>
      <c r="JE54" s="2">
        <v>0</v>
      </c>
      <c r="JF54" s="2">
        <v>0</v>
      </c>
      <c r="JG54" s="2">
        <v>0</v>
      </c>
      <c r="JH54" s="2">
        <v>0</v>
      </c>
      <c r="JI54" s="2">
        <v>0</v>
      </c>
      <c r="JJ54" s="2">
        <f t="shared" si="23"/>
        <v>0</v>
      </c>
      <c r="JK54" s="2">
        <v>0</v>
      </c>
      <c r="JL54" s="2">
        <v>0</v>
      </c>
      <c r="JM54" s="2">
        <v>0</v>
      </c>
      <c r="JN54" s="2">
        <v>0</v>
      </c>
      <c r="JO54" s="2">
        <v>0</v>
      </c>
      <c r="JP54" s="2">
        <v>0</v>
      </c>
      <c r="JQ54" s="2">
        <v>0</v>
      </c>
      <c r="JR54" s="2">
        <v>0</v>
      </c>
      <c r="JS54" s="2">
        <v>0</v>
      </c>
      <c r="JT54" s="2">
        <v>0</v>
      </c>
      <c r="JU54" s="2">
        <v>0</v>
      </c>
      <c r="JV54" s="2">
        <v>0</v>
      </c>
      <c r="JW54" s="2">
        <f t="shared" si="24"/>
        <v>0</v>
      </c>
      <c r="JX54" s="2">
        <v>0</v>
      </c>
      <c r="JY54" s="2">
        <v>0</v>
      </c>
      <c r="JZ54" s="2">
        <v>0</v>
      </c>
      <c r="KA54" s="2">
        <v>0</v>
      </c>
      <c r="KB54" s="2">
        <v>0</v>
      </c>
      <c r="KC54" s="2">
        <v>0</v>
      </c>
      <c r="KD54" s="2">
        <v>0</v>
      </c>
      <c r="KE54" s="2">
        <v>0</v>
      </c>
      <c r="KF54" s="2">
        <v>0</v>
      </c>
      <c r="KG54" s="2">
        <v>0</v>
      </c>
      <c r="KH54" s="2">
        <v>0</v>
      </c>
      <c r="KI54" s="2">
        <v>0</v>
      </c>
      <c r="KJ54" s="2">
        <f t="shared" si="25"/>
        <v>0</v>
      </c>
      <c r="KK54" s="2">
        <v>0</v>
      </c>
      <c r="KL54" s="2">
        <v>0</v>
      </c>
      <c r="KM54" s="2">
        <v>0</v>
      </c>
      <c r="KN54" s="2">
        <v>0</v>
      </c>
      <c r="KO54" s="2">
        <v>0</v>
      </c>
      <c r="KP54" s="2">
        <v>0</v>
      </c>
      <c r="KQ54" s="2">
        <v>0</v>
      </c>
      <c r="KR54" s="2">
        <v>0</v>
      </c>
      <c r="KS54" s="2">
        <v>0</v>
      </c>
      <c r="KT54" s="2">
        <v>0</v>
      </c>
      <c r="KU54" s="2">
        <v>0</v>
      </c>
      <c r="KV54" s="2">
        <v>0</v>
      </c>
      <c r="KW54" s="2">
        <f t="shared" si="26"/>
        <v>0</v>
      </c>
      <c r="KX54" s="2">
        <v>0</v>
      </c>
      <c r="KY54" s="2">
        <v>0</v>
      </c>
      <c r="KZ54" s="2">
        <v>0</v>
      </c>
      <c r="LA54" s="2">
        <v>0</v>
      </c>
      <c r="LB54" s="2">
        <v>0</v>
      </c>
      <c r="LC54" s="2">
        <v>0</v>
      </c>
      <c r="LD54" s="2">
        <v>0</v>
      </c>
      <c r="LE54" s="2">
        <v>0</v>
      </c>
      <c r="LF54" s="2">
        <v>0</v>
      </c>
      <c r="LG54" s="2">
        <v>0</v>
      </c>
      <c r="LH54" s="2">
        <v>0</v>
      </c>
      <c r="LI54" s="2">
        <v>0</v>
      </c>
      <c r="LJ54" s="2">
        <f t="shared" si="27"/>
        <v>0</v>
      </c>
      <c r="LK54" s="2">
        <v>0</v>
      </c>
      <c r="LL54" s="2">
        <v>0</v>
      </c>
      <c r="LM54" s="2">
        <v>0</v>
      </c>
      <c r="LN54" s="2">
        <v>0</v>
      </c>
      <c r="LO54" s="2">
        <v>0</v>
      </c>
      <c r="LP54" s="2">
        <v>0</v>
      </c>
      <c r="LQ54" s="2">
        <v>0</v>
      </c>
      <c r="LR54" s="2">
        <v>0</v>
      </c>
      <c r="LS54" s="2">
        <v>0</v>
      </c>
      <c r="LT54" s="2">
        <v>0</v>
      </c>
      <c r="LU54" s="2">
        <v>0</v>
      </c>
      <c r="LV54" s="2">
        <v>0</v>
      </c>
      <c r="LW54" s="2">
        <f t="shared" si="28"/>
        <v>0</v>
      </c>
      <c r="LX54" s="2">
        <v>0</v>
      </c>
      <c r="LY54" s="2">
        <v>0</v>
      </c>
      <c r="LZ54" s="2">
        <v>0</v>
      </c>
      <c r="MA54" s="2">
        <v>0</v>
      </c>
      <c r="MB54" s="2">
        <v>0</v>
      </c>
      <c r="MC54" s="2">
        <v>0</v>
      </c>
      <c r="MD54" s="2">
        <v>0</v>
      </c>
      <c r="ME54" s="2">
        <v>0</v>
      </c>
      <c r="MF54" s="2">
        <v>0</v>
      </c>
      <c r="MG54" s="2">
        <v>0</v>
      </c>
      <c r="MH54" s="2">
        <v>0</v>
      </c>
      <c r="MI54" s="2">
        <v>0</v>
      </c>
      <c r="MJ54" s="2">
        <f t="shared" si="29"/>
        <v>0</v>
      </c>
      <c r="MK54">
        <v>524</v>
      </c>
      <c r="ML54">
        <v>568</v>
      </c>
      <c r="MM54">
        <v>592</v>
      </c>
      <c r="MN54">
        <v>581</v>
      </c>
      <c r="MO54">
        <v>533</v>
      </c>
      <c r="MP54">
        <v>548</v>
      </c>
      <c r="MQ54">
        <v>531</v>
      </c>
      <c r="MR54">
        <v>546</v>
      </c>
      <c r="MS54">
        <v>526</v>
      </c>
      <c r="MT54">
        <v>573</v>
      </c>
      <c r="MU54">
        <v>488</v>
      </c>
      <c r="MV54">
        <v>562</v>
      </c>
      <c r="MW54">
        <f t="shared" si="30"/>
        <v>6572</v>
      </c>
      <c r="MX54">
        <v>0</v>
      </c>
      <c r="MY54">
        <v>0</v>
      </c>
      <c r="MZ54">
        <v>0</v>
      </c>
      <c r="NA54">
        <v>0</v>
      </c>
      <c r="NB54">
        <v>0</v>
      </c>
      <c r="NC54">
        <v>0</v>
      </c>
      <c r="ND54">
        <v>0</v>
      </c>
      <c r="NE54">
        <v>0</v>
      </c>
      <c r="NF54">
        <v>0</v>
      </c>
      <c r="NG54">
        <v>0</v>
      </c>
      <c r="NH54">
        <v>0</v>
      </c>
      <c r="NI54">
        <v>0</v>
      </c>
      <c r="NJ54">
        <f t="shared" si="31"/>
        <v>0</v>
      </c>
      <c r="NK54">
        <v>0</v>
      </c>
      <c r="NL54">
        <v>0</v>
      </c>
      <c r="NM54">
        <v>0</v>
      </c>
      <c r="NN54">
        <v>0</v>
      </c>
      <c r="NO54">
        <v>0</v>
      </c>
      <c r="NP54">
        <v>0</v>
      </c>
      <c r="NQ54">
        <v>0</v>
      </c>
      <c r="NR54">
        <v>0</v>
      </c>
      <c r="NS54">
        <v>0</v>
      </c>
      <c r="NT54">
        <v>0</v>
      </c>
      <c r="NU54">
        <v>0</v>
      </c>
      <c r="NV54">
        <v>0</v>
      </c>
      <c r="NW54">
        <f t="shared" si="32"/>
        <v>0</v>
      </c>
      <c r="NX54">
        <v>0</v>
      </c>
      <c r="NY54">
        <v>0</v>
      </c>
      <c r="NZ54">
        <v>0</v>
      </c>
      <c r="OA54">
        <v>0</v>
      </c>
      <c r="OB54">
        <v>0</v>
      </c>
      <c r="OC54">
        <v>0</v>
      </c>
      <c r="OD54">
        <v>0</v>
      </c>
      <c r="OE54">
        <v>0</v>
      </c>
      <c r="OF54">
        <v>0</v>
      </c>
      <c r="OG54">
        <v>0</v>
      </c>
      <c r="OH54">
        <v>0</v>
      </c>
      <c r="OI54">
        <v>0</v>
      </c>
      <c r="OJ54">
        <f t="shared" si="33"/>
        <v>0</v>
      </c>
      <c r="OK54">
        <v>419</v>
      </c>
      <c r="OL54">
        <v>384</v>
      </c>
      <c r="OM54">
        <v>378</v>
      </c>
      <c r="ON54">
        <v>340</v>
      </c>
      <c r="OO54">
        <v>373</v>
      </c>
      <c r="OP54">
        <v>400</v>
      </c>
      <c r="OQ54">
        <v>405</v>
      </c>
      <c r="OR54">
        <v>384</v>
      </c>
      <c r="OS54">
        <v>401</v>
      </c>
      <c r="OT54">
        <v>487</v>
      </c>
      <c r="OU54">
        <v>419</v>
      </c>
      <c r="OV54">
        <v>432</v>
      </c>
      <c r="OW54">
        <f t="shared" si="34"/>
        <v>4822</v>
      </c>
      <c r="OX54">
        <v>0</v>
      </c>
      <c r="OY54">
        <v>0</v>
      </c>
      <c r="OZ54">
        <v>0</v>
      </c>
      <c r="PA54">
        <v>0</v>
      </c>
      <c r="PB54">
        <v>0</v>
      </c>
      <c r="PC54">
        <v>0</v>
      </c>
      <c r="PD54">
        <v>0</v>
      </c>
      <c r="PE54">
        <v>0</v>
      </c>
      <c r="PF54">
        <v>0</v>
      </c>
      <c r="PG54">
        <v>0</v>
      </c>
      <c r="PH54">
        <v>0</v>
      </c>
      <c r="PI54">
        <v>0</v>
      </c>
      <c r="PJ54">
        <f t="shared" si="35"/>
        <v>0</v>
      </c>
      <c r="PK54">
        <v>0</v>
      </c>
      <c r="PL54">
        <v>0</v>
      </c>
      <c r="PM54">
        <v>0</v>
      </c>
      <c r="PN54">
        <v>0</v>
      </c>
      <c r="PO54">
        <v>0</v>
      </c>
      <c r="PP54">
        <v>0</v>
      </c>
      <c r="PQ54">
        <v>0</v>
      </c>
      <c r="PR54">
        <v>0</v>
      </c>
      <c r="PS54">
        <v>0</v>
      </c>
      <c r="PT54">
        <v>0</v>
      </c>
      <c r="PU54">
        <v>0</v>
      </c>
      <c r="PV54">
        <v>0</v>
      </c>
      <c r="PW54">
        <f t="shared" si="36"/>
        <v>0</v>
      </c>
      <c r="PX54">
        <v>0</v>
      </c>
      <c r="PY54">
        <v>0</v>
      </c>
      <c r="PZ54">
        <v>0</v>
      </c>
      <c r="QA54">
        <v>0</v>
      </c>
      <c r="QB54">
        <v>0</v>
      </c>
      <c r="QC54">
        <v>0</v>
      </c>
      <c r="QD54">
        <v>0</v>
      </c>
      <c r="QE54">
        <v>0</v>
      </c>
      <c r="QF54">
        <v>0</v>
      </c>
      <c r="QG54">
        <v>0</v>
      </c>
      <c r="QH54">
        <v>0</v>
      </c>
      <c r="QI54">
        <v>0</v>
      </c>
      <c r="QJ54">
        <f t="shared" si="37"/>
        <v>0</v>
      </c>
      <c r="QK54">
        <v>21464</v>
      </c>
      <c r="QL54">
        <v>22617</v>
      </c>
      <c r="QM54">
        <v>23174</v>
      </c>
      <c r="QN54">
        <v>24021</v>
      </c>
      <c r="QO54">
        <v>20107</v>
      </c>
      <c r="QP54">
        <v>24462</v>
      </c>
      <c r="QQ54">
        <v>33271</v>
      </c>
      <c r="QR54">
        <v>27583</v>
      </c>
      <c r="QS54">
        <v>23103</v>
      </c>
      <c r="QT54">
        <v>22594</v>
      </c>
      <c r="QU54">
        <v>23844</v>
      </c>
      <c r="QV54">
        <v>23998</v>
      </c>
      <c r="QW54">
        <f t="shared" si="38"/>
        <v>290238</v>
      </c>
      <c r="QX54">
        <v>0</v>
      </c>
      <c r="QY54">
        <v>0</v>
      </c>
      <c r="QZ54">
        <v>0</v>
      </c>
      <c r="RA54">
        <v>0</v>
      </c>
      <c r="RB54">
        <v>0</v>
      </c>
      <c r="RC54">
        <v>0</v>
      </c>
      <c r="RD54">
        <v>0</v>
      </c>
      <c r="RE54">
        <v>0</v>
      </c>
      <c r="RF54">
        <v>0</v>
      </c>
      <c r="RG54">
        <v>0</v>
      </c>
      <c r="RH54">
        <v>0</v>
      </c>
      <c r="RI54">
        <v>0</v>
      </c>
      <c r="RJ54">
        <f t="shared" si="39"/>
        <v>0</v>
      </c>
      <c r="RK54">
        <v>0</v>
      </c>
      <c r="RL54">
        <v>0</v>
      </c>
      <c r="RM54">
        <v>0</v>
      </c>
      <c r="RN54">
        <v>0</v>
      </c>
      <c r="RO54">
        <v>0</v>
      </c>
      <c r="RP54">
        <v>0</v>
      </c>
      <c r="RQ54">
        <v>0</v>
      </c>
      <c r="RR54">
        <v>0</v>
      </c>
      <c r="RS54">
        <v>0</v>
      </c>
      <c r="RT54">
        <v>0</v>
      </c>
      <c r="RU54">
        <v>0</v>
      </c>
      <c r="RV54">
        <v>0</v>
      </c>
      <c r="RW54">
        <f t="shared" si="40"/>
        <v>0</v>
      </c>
      <c r="RX54">
        <v>0</v>
      </c>
      <c r="RY54">
        <v>0</v>
      </c>
      <c r="RZ54">
        <v>0</v>
      </c>
      <c r="SA54">
        <v>0</v>
      </c>
      <c r="SB54">
        <v>0</v>
      </c>
      <c r="SC54">
        <v>0</v>
      </c>
      <c r="SD54">
        <v>0</v>
      </c>
      <c r="SE54">
        <v>0</v>
      </c>
      <c r="SF54">
        <v>0</v>
      </c>
      <c r="SG54">
        <v>0</v>
      </c>
      <c r="SH54">
        <v>0</v>
      </c>
      <c r="SI54">
        <v>0</v>
      </c>
      <c r="SJ54">
        <f t="shared" si="41"/>
        <v>0</v>
      </c>
      <c r="SK54">
        <v>0</v>
      </c>
      <c r="SL54">
        <v>0</v>
      </c>
      <c r="SM54">
        <v>0</v>
      </c>
      <c r="SN54">
        <v>0</v>
      </c>
      <c r="SO54">
        <v>0</v>
      </c>
      <c r="SP54">
        <v>0</v>
      </c>
      <c r="SQ54">
        <v>0</v>
      </c>
      <c r="SR54">
        <v>0</v>
      </c>
      <c r="SS54">
        <v>0</v>
      </c>
      <c r="ST54">
        <v>0</v>
      </c>
      <c r="SU54">
        <v>0</v>
      </c>
      <c r="SV54">
        <v>0</v>
      </c>
      <c r="SW54">
        <f t="shared" si="42"/>
        <v>0</v>
      </c>
      <c r="SX54">
        <v>0</v>
      </c>
      <c r="SY54">
        <v>900</v>
      </c>
      <c r="SZ54">
        <v>801</v>
      </c>
      <c r="TA54">
        <v>810</v>
      </c>
      <c r="TB54">
        <v>1000</v>
      </c>
      <c r="TC54">
        <v>881</v>
      </c>
      <c r="TD54">
        <v>1082</v>
      </c>
      <c r="TE54">
        <v>1240</v>
      </c>
      <c r="TF54">
        <v>987</v>
      </c>
      <c r="TG54">
        <v>981</v>
      </c>
      <c r="TH54">
        <v>1074</v>
      </c>
      <c r="TI54">
        <v>1201</v>
      </c>
      <c r="TJ54">
        <v>1259</v>
      </c>
      <c r="TK54">
        <f t="shared" si="43"/>
        <v>12216</v>
      </c>
      <c r="TL54">
        <v>0</v>
      </c>
      <c r="TM54">
        <v>0</v>
      </c>
      <c r="TN54">
        <v>0</v>
      </c>
      <c r="TO54">
        <v>0</v>
      </c>
      <c r="TP54">
        <v>0</v>
      </c>
      <c r="TQ54">
        <v>0</v>
      </c>
      <c r="TR54">
        <v>0</v>
      </c>
      <c r="TS54">
        <v>0</v>
      </c>
      <c r="TT54">
        <v>0</v>
      </c>
      <c r="TU54">
        <v>0</v>
      </c>
      <c r="TV54">
        <v>0</v>
      </c>
      <c r="TW54">
        <v>0</v>
      </c>
      <c r="TX54">
        <f t="shared" si="44"/>
        <v>0</v>
      </c>
      <c r="TY54">
        <v>0</v>
      </c>
      <c r="TZ54">
        <v>0</v>
      </c>
      <c r="UA54">
        <v>0</v>
      </c>
      <c r="UB54">
        <v>0</v>
      </c>
    </row>
    <row r="55" spans="1:548" ht="16.5" customHeight="1" x14ac:dyDescent="0.35">
      <c r="A55" t="s">
        <v>1378</v>
      </c>
      <c r="B55" t="s">
        <v>2862</v>
      </c>
      <c r="C55">
        <v>0</v>
      </c>
      <c r="D55">
        <v>0</v>
      </c>
      <c r="E55">
        <v>0</v>
      </c>
      <c r="F55">
        <v>0</v>
      </c>
      <c r="G55">
        <v>214</v>
      </c>
      <c r="H55">
        <v>193</v>
      </c>
      <c r="I55">
        <v>192</v>
      </c>
      <c r="J55">
        <v>247</v>
      </c>
      <c r="K55">
        <v>208</v>
      </c>
      <c r="L55">
        <v>220</v>
      </c>
      <c r="M55">
        <v>245</v>
      </c>
      <c r="N55">
        <v>231</v>
      </c>
      <c r="O55">
        <v>176</v>
      </c>
      <c r="P55">
        <v>280</v>
      </c>
      <c r="Q55">
        <v>244</v>
      </c>
      <c r="R55">
        <v>262</v>
      </c>
      <c r="S55">
        <f t="shared" si="0"/>
        <v>2712</v>
      </c>
      <c r="T55">
        <v>0</v>
      </c>
      <c r="U55">
        <v>0</v>
      </c>
      <c r="V55">
        <v>0</v>
      </c>
      <c r="W55">
        <v>0</v>
      </c>
      <c r="X55">
        <v>0</v>
      </c>
      <c r="Y55">
        <v>0</v>
      </c>
      <c r="Z55">
        <v>0</v>
      </c>
      <c r="AA55">
        <v>0</v>
      </c>
      <c r="AB55">
        <v>0</v>
      </c>
      <c r="AC55">
        <v>0</v>
      </c>
      <c r="AD55">
        <v>0</v>
      </c>
      <c r="AE55">
        <v>0</v>
      </c>
      <c r="AF55">
        <f t="shared" si="1"/>
        <v>0</v>
      </c>
      <c r="AG55">
        <v>0</v>
      </c>
      <c r="AH55">
        <v>0</v>
      </c>
      <c r="AI55">
        <v>0</v>
      </c>
      <c r="AJ55">
        <v>0</v>
      </c>
      <c r="AK55">
        <v>0</v>
      </c>
      <c r="AL55">
        <v>0</v>
      </c>
      <c r="AM55">
        <v>0</v>
      </c>
      <c r="AN55">
        <v>0</v>
      </c>
      <c r="AO55">
        <v>0</v>
      </c>
      <c r="AP55">
        <v>0</v>
      </c>
      <c r="AQ55">
        <v>0</v>
      </c>
      <c r="AR55">
        <v>0</v>
      </c>
      <c r="AS55">
        <f t="shared" si="2"/>
        <v>0</v>
      </c>
      <c r="AT55">
        <v>0</v>
      </c>
      <c r="AU55">
        <v>0</v>
      </c>
      <c r="AV55">
        <v>0</v>
      </c>
      <c r="AW55">
        <v>0</v>
      </c>
      <c r="AX55">
        <v>0</v>
      </c>
      <c r="AY55">
        <v>0</v>
      </c>
      <c r="AZ55">
        <v>0</v>
      </c>
      <c r="BA55">
        <v>0</v>
      </c>
      <c r="BB55">
        <v>0</v>
      </c>
      <c r="BC55">
        <v>0</v>
      </c>
      <c r="BD55">
        <v>0</v>
      </c>
      <c r="BE55">
        <v>0</v>
      </c>
      <c r="BF55">
        <f t="shared" si="3"/>
        <v>0</v>
      </c>
      <c r="BG55">
        <v>0</v>
      </c>
      <c r="BH55">
        <v>0</v>
      </c>
      <c r="BI55">
        <v>0</v>
      </c>
      <c r="BJ55">
        <v>0</v>
      </c>
      <c r="BK55">
        <v>0</v>
      </c>
      <c r="BL55">
        <v>0</v>
      </c>
      <c r="BM55">
        <v>0</v>
      </c>
      <c r="BN55">
        <v>0</v>
      </c>
      <c r="BO55">
        <v>0</v>
      </c>
      <c r="BP55">
        <v>0</v>
      </c>
      <c r="BQ55">
        <v>0</v>
      </c>
      <c r="BR55">
        <v>0</v>
      </c>
      <c r="BS55">
        <f t="shared" si="4"/>
        <v>0</v>
      </c>
      <c r="BT55">
        <v>0</v>
      </c>
      <c r="BU55">
        <v>0</v>
      </c>
      <c r="BV55">
        <v>0</v>
      </c>
      <c r="BW55">
        <v>0</v>
      </c>
      <c r="BX55">
        <v>0</v>
      </c>
      <c r="BY55">
        <v>0</v>
      </c>
      <c r="BZ55">
        <v>0</v>
      </c>
      <c r="CA55">
        <v>0</v>
      </c>
      <c r="CB55">
        <v>0</v>
      </c>
      <c r="CC55">
        <v>0</v>
      </c>
      <c r="CD55">
        <v>0</v>
      </c>
      <c r="CE55">
        <v>0</v>
      </c>
      <c r="CF55">
        <f t="shared" si="5"/>
        <v>0</v>
      </c>
      <c r="CG55">
        <v>0</v>
      </c>
      <c r="CH55">
        <v>0</v>
      </c>
      <c r="CI55">
        <v>0</v>
      </c>
      <c r="CJ55">
        <v>0</v>
      </c>
      <c r="CK55">
        <v>0</v>
      </c>
      <c r="CL55">
        <v>0</v>
      </c>
      <c r="CM55">
        <v>0</v>
      </c>
      <c r="CN55">
        <v>0</v>
      </c>
      <c r="CO55">
        <v>0</v>
      </c>
      <c r="CP55">
        <v>0</v>
      </c>
      <c r="CQ55">
        <v>0</v>
      </c>
      <c r="CR55">
        <v>0</v>
      </c>
      <c r="CS55">
        <f t="shared" si="6"/>
        <v>0</v>
      </c>
      <c r="CT55">
        <v>0</v>
      </c>
      <c r="CU55">
        <v>0</v>
      </c>
      <c r="CV55">
        <v>0</v>
      </c>
      <c r="CW55">
        <v>0</v>
      </c>
      <c r="CX55">
        <v>0</v>
      </c>
      <c r="CY55">
        <v>0</v>
      </c>
      <c r="CZ55">
        <v>0</v>
      </c>
      <c r="DA55">
        <v>0</v>
      </c>
      <c r="DB55">
        <v>0</v>
      </c>
      <c r="DC55">
        <v>0</v>
      </c>
      <c r="DD55">
        <v>0</v>
      </c>
      <c r="DE55">
        <v>0</v>
      </c>
      <c r="DF55">
        <f t="shared" si="7"/>
        <v>0</v>
      </c>
      <c r="DG55">
        <v>0</v>
      </c>
      <c r="DH55">
        <v>0</v>
      </c>
      <c r="DI55">
        <v>0</v>
      </c>
      <c r="DJ55">
        <v>0</v>
      </c>
      <c r="DK55">
        <v>0</v>
      </c>
      <c r="DL55">
        <v>0</v>
      </c>
      <c r="DM55">
        <v>0</v>
      </c>
      <c r="DN55">
        <v>0</v>
      </c>
      <c r="DO55">
        <v>0</v>
      </c>
      <c r="DP55">
        <v>0</v>
      </c>
      <c r="DQ55">
        <v>0</v>
      </c>
      <c r="DR55">
        <v>0</v>
      </c>
      <c r="DS55">
        <f t="shared" si="8"/>
        <v>0</v>
      </c>
      <c r="DT55">
        <v>0</v>
      </c>
      <c r="DU55">
        <v>0</v>
      </c>
      <c r="DV55">
        <v>0</v>
      </c>
      <c r="DW55">
        <v>0</v>
      </c>
      <c r="DX55">
        <v>0</v>
      </c>
      <c r="DY55">
        <v>0</v>
      </c>
      <c r="DZ55">
        <v>0</v>
      </c>
      <c r="EA55">
        <v>0</v>
      </c>
      <c r="EB55">
        <v>0</v>
      </c>
      <c r="EC55">
        <v>0</v>
      </c>
      <c r="ED55">
        <v>0</v>
      </c>
      <c r="EE55">
        <v>0</v>
      </c>
      <c r="EF55">
        <f t="shared" si="9"/>
        <v>0</v>
      </c>
      <c r="EG55">
        <f t="shared" si="10"/>
        <v>0</v>
      </c>
      <c r="EH55">
        <f t="shared" si="11"/>
        <v>0</v>
      </c>
      <c r="EI55">
        <v>4605</v>
      </c>
      <c r="EJ55">
        <v>4731</v>
      </c>
      <c r="EK55">
        <v>4162</v>
      </c>
      <c r="EL55">
        <v>9539</v>
      </c>
      <c r="EM55">
        <v>3561</v>
      </c>
      <c r="EN55">
        <v>4833</v>
      </c>
      <c r="EO55">
        <v>5537</v>
      </c>
      <c r="EP55">
        <v>6431</v>
      </c>
      <c r="EQ55">
        <v>3804</v>
      </c>
      <c r="ER55">
        <v>6361</v>
      </c>
      <c r="ES55">
        <v>5696</v>
      </c>
      <c r="ET55">
        <v>6906</v>
      </c>
      <c r="EU55">
        <f t="shared" si="12"/>
        <v>66166</v>
      </c>
      <c r="EV55">
        <v>0</v>
      </c>
      <c r="EW55">
        <v>0</v>
      </c>
      <c r="EX55">
        <v>0</v>
      </c>
      <c r="EY55">
        <v>0</v>
      </c>
      <c r="EZ55">
        <v>0</v>
      </c>
      <c r="FA55">
        <v>0</v>
      </c>
      <c r="FB55">
        <v>0</v>
      </c>
      <c r="FC55">
        <v>0</v>
      </c>
      <c r="FD55">
        <v>0</v>
      </c>
      <c r="FE55">
        <v>0</v>
      </c>
      <c r="FF55">
        <v>0</v>
      </c>
      <c r="FG55">
        <v>0</v>
      </c>
      <c r="FH55">
        <f t="shared" si="13"/>
        <v>0</v>
      </c>
      <c r="FI55">
        <v>0</v>
      </c>
      <c r="FJ55">
        <v>0</v>
      </c>
      <c r="FK55">
        <v>0</v>
      </c>
      <c r="FL55">
        <v>0</v>
      </c>
      <c r="FM55">
        <v>0</v>
      </c>
      <c r="FN55">
        <v>0</v>
      </c>
      <c r="FO55">
        <v>0</v>
      </c>
      <c r="FP55">
        <v>0</v>
      </c>
      <c r="FQ55">
        <v>0</v>
      </c>
      <c r="FR55">
        <v>0</v>
      </c>
      <c r="FS55">
        <v>0</v>
      </c>
      <c r="FT55">
        <v>0</v>
      </c>
      <c r="FU55">
        <f t="shared" si="14"/>
        <v>0</v>
      </c>
      <c r="FV55">
        <v>0</v>
      </c>
      <c r="FW55">
        <v>0</v>
      </c>
      <c r="FX55">
        <v>0</v>
      </c>
      <c r="FY55">
        <v>0</v>
      </c>
      <c r="FZ55">
        <v>0</v>
      </c>
      <c r="GA55">
        <v>0</v>
      </c>
      <c r="GB55">
        <v>0</v>
      </c>
      <c r="GC55">
        <v>0</v>
      </c>
      <c r="GD55">
        <v>0</v>
      </c>
      <c r="GE55">
        <v>0</v>
      </c>
      <c r="GF55">
        <v>0</v>
      </c>
      <c r="GG55">
        <v>0</v>
      </c>
      <c r="GH55">
        <f t="shared" si="15"/>
        <v>0</v>
      </c>
      <c r="GI55">
        <v>0</v>
      </c>
      <c r="GJ55">
        <v>0</v>
      </c>
      <c r="GK55">
        <v>0</v>
      </c>
      <c r="GL55">
        <v>0</v>
      </c>
      <c r="GM55">
        <v>0</v>
      </c>
      <c r="GN55">
        <v>0</v>
      </c>
      <c r="GO55">
        <v>0</v>
      </c>
      <c r="GP55">
        <v>0</v>
      </c>
      <c r="GQ55">
        <v>0</v>
      </c>
      <c r="GR55">
        <v>0</v>
      </c>
      <c r="GS55">
        <v>0</v>
      </c>
      <c r="GT55">
        <v>0</v>
      </c>
      <c r="GU55">
        <f t="shared" si="16"/>
        <v>0</v>
      </c>
      <c r="GV55">
        <v>0</v>
      </c>
      <c r="GW55">
        <v>0</v>
      </c>
      <c r="GX55">
        <v>0</v>
      </c>
      <c r="GY55">
        <v>0</v>
      </c>
      <c r="GZ55">
        <v>0</v>
      </c>
      <c r="HA55">
        <v>0</v>
      </c>
      <c r="HB55">
        <v>0</v>
      </c>
      <c r="HC55">
        <v>0</v>
      </c>
      <c r="HD55">
        <v>0</v>
      </c>
      <c r="HE55">
        <v>0</v>
      </c>
      <c r="HF55">
        <v>0</v>
      </c>
      <c r="HG55">
        <v>0</v>
      </c>
      <c r="HH55">
        <f t="shared" si="17"/>
        <v>0</v>
      </c>
      <c r="HI55">
        <v>0</v>
      </c>
      <c r="HJ55">
        <v>0</v>
      </c>
      <c r="HK55">
        <v>0</v>
      </c>
      <c r="HL55">
        <v>0</v>
      </c>
      <c r="HM55">
        <v>0</v>
      </c>
      <c r="HN55">
        <v>0</v>
      </c>
      <c r="HO55">
        <v>0</v>
      </c>
      <c r="HP55">
        <v>0</v>
      </c>
      <c r="HQ55">
        <v>0</v>
      </c>
      <c r="HR55">
        <v>0</v>
      </c>
      <c r="HS55">
        <v>0</v>
      </c>
      <c r="HT55">
        <v>0</v>
      </c>
      <c r="HU55">
        <f t="shared" si="18"/>
        <v>0</v>
      </c>
      <c r="HV55">
        <v>0</v>
      </c>
      <c r="HW55">
        <v>0</v>
      </c>
      <c r="HX55">
        <v>0</v>
      </c>
      <c r="HY55">
        <v>0</v>
      </c>
      <c r="HZ55">
        <v>0</v>
      </c>
      <c r="IA55">
        <v>0</v>
      </c>
      <c r="IB55">
        <v>0</v>
      </c>
      <c r="IC55">
        <v>0</v>
      </c>
      <c r="ID55">
        <v>0</v>
      </c>
      <c r="IE55">
        <v>0</v>
      </c>
      <c r="IF55">
        <v>0</v>
      </c>
      <c r="IG55">
        <v>0</v>
      </c>
      <c r="IH55">
        <f t="shared" si="19"/>
        <v>0</v>
      </c>
      <c r="II55">
        <f t="shared" si="20"/>
        <v>0</v>
      </c>
      <c r="IJ55">
        <f t="shared" si="21"/>
        <v>0</v>
      </c>
      <c r="IK55">
        <v>54784</v>
      </c>
      <c r="IL55">
        <v>59361</v>
      </c>
      <c r="IM55">
        <v>53413</v>
      </c>
      <c r="IN55">
        <v>66476</v>
      </c>
      <c r="IO55">
        <v>67456</v>
      </c>
      <c r="IP55">
        <v>60799</v>
      </c>
      <c r="IQ55">
        <v>67353</v>
      </c>
      <c r="IR55">
        <v>57324</v>
      </c>
      <c r="IS55">
        <v>0</v>
      </c>
      <c r="IT55">
        <v>0</v>
      </c>
      <c r="IU55">
        <v>0</v>
      </c>
      <c r="IV55">
        <v>0</v>
      </c>
      <c r="IW55">
        <f t="shared" si="22"/>
        <v>486966</v>
      </c>
      <c r="IX55">
        <v>35472</v>
      </c>
      <c r="IY55">
        <v>39009</v>
      </c>
      <c r="IZ55">
        <v>33743</v>
      </c>
      <c r="JA55">
        <v>43388</v>
      </c>
      <c r="JB55">
        <v>44779</v>
      </c>
      <c r="JC55">
        <v>39289</v>
      </c>
      <c r="JD55">
        <v>44542</v>
      </c>
      <c r="JE55">
        <v>37786</v>
      </c>
      <c r="JF55">
        <v>0</v>
      </c>
      <c r="JG55">
        <v>0</v>
      </c>
      <c r="JH55">
        <v>0</v>
      </c>
      <c r="JI55">
        <v>0</v>
      </c>
      <c r="JJ55">
        <f t="shared" si="23"/>
        <v>318008</v>
      </c>
      <c r="JK55">
        <v>1273</v>
      </c>
      <c r="JL55">
        <v>1351</v>
      </c>
      <c r="JM55">
        <v>1252</v>
      </c>
      <c r="JN55">
        <v>1252</v>
      </c>
      <c r="JO55">
        <v>1898</v>
      </c>
      <c r="JP55">
        <v>1636</v>
      </c>
      <c r="JQ55">
        <v>1731</v>
      </c>
      <c r="JR55">
        <v>1332</v>
      </c>
      <c r="JS55">
        <v>0</v>
      </c>
      <c r="JT55">
        <v>0</v>
      </c>
      <c r="JU55">
        <v>0</v>
      </c>
      <c r="JV55">
        <v>0</v>
      </c>
      <c r="JW55">
        <f t="shared" si="24"/>
        <v>11725</v>
      </c>
      <c r="JX55">
        <v>18039</v>
      </c>
      <c r="JY55">
        <v>19001</v>
      </c>
      <c r="JZ55">
        <v>18418</v>
      </c>
      <c r="KA55">
        <v>21836</v>
      </c>
      <c r="KB55">
        <v>20779</v>
      </c>
      <c r="KC55">
        <v>19874</v>
      </c>
      <c r="KD55">
        <v>21080</v>
      </c>
      <c r="KE55">
        <v>18206</v>
      </c>
      <c r="KF55">
        <v>0</v>
      </c>
      <c r="KG55">
        <v>0</v>
      </c>
      <c r="KH55">
        <v>0</v>
      </c>
      <c r="KI55">
        <v>0</v>
      </c>
      <c r="KJ55">
        <f t="shared" si="25"/>
        <v>157233</v>
      </c>
      <c r="KK55">
        <v>178</v>
      </c>
      <c r="KL55">
        <v>175</v>
      </c>
      <c r="KM55">
        <v>149</v>
      </c>
      <c r="KN55">
        <v>215</v>
      </c>
      <c r="KO55">
        <v>181</v>
      </c>
      <c r="KP55">
        <v>220</v>
      </c>
      <c r="KQ55">
        <v>167</v>
      </c>
      <c r="KR55">
        <v>194</v>
      </c>
      <c r="KS55">
        <v>0</v>
      </c>
      <c r="KT55">
        <v>0</v>
      </c>
      <c r="KU55">
        <v>0</v>
      </c>
      <c r="KV55">
        <v>0</v>
      </c>
      <c r="KW55">
        <f t="shared" si="26"/>
        <v>1479</v>
      </c>
      <c r="KX55">
        <v>6</v>
      </c>
      <c r="KY55">
        <v>5</v>
      </c>
      <c r="KZ55">
        <v>1</v>
      </c>
      <c r="LA55">
        <v>1</v>
      </c>
      <c r="LB55">
        <v>5</v>
      </c>
      <c r="LC55">
        <v>7</v>
      </c>
      <c r="LD55">
        <v>3</v>
      </c>
      <c r="LE55">
        <v>4</v>
      </c>
      <c r="LF55">
        <v>0</v>
      </c>
      <c r="LG55">
        <v>0</v>
      </c>
      <c r="LH55">
        <v>0</v>
      </c>
      <c r="LI55">
        <v>0</v>
      </c>
      <c r="LJ55">
        <f t="shared" si="27"/>
        <v>32</v>
      </c>
      <c r="LK55">
        <v>0</v>
      </c>
      <c r="LL55">
        <v>0</v>
      </c>
      <c r="LM55">
        <v>0</v>
      </c>
      <c r="LN55">
        <v>0</v>
      </c>
      <c r="LO55">
        <v>0</v>
      </c>
      <c r="LP55">
        <v>0</v>
      </c>
      <c r="LQ55">
        <v>0</v>
      </c>
      <c r="LR55">
        <v>0</v>
      </c>
      <c r="LS55">
        <v>0</v>
      </c>
      <c r="LT55">
        <v>0</v>
      </c>
      <c r="LU55">
        <v>0</v>
      </c>
      <c r="LV55">
        <v>0</v>
      </c>
      <c r="LW55">
        <f t="shared" si="28"/>
        <v>0</v>
      </c>
      <c r="LX55">
        <v>172</v>
      </c>
      <c r="LY55">
        <v>170</v>
      </c>
      <c r="LZ55">
        <v>148</v>
      </c>
      <c r="MA55">
        <v>214</v>
      </c>
      <c r="MB55">
        <v>176</v>
      </c>
      <c r="MC55">
        <v>213</v>
      </c>
      <c r="MD55">
        <v>164</v>
      </c>
      <c r="ME55">
        <v>190</v>
      </c>
      <c r="MF55">
        <v>0</v>
      </c>
      <c r="MG55">
        <v>0</v>
      </c>
      <c r="MH55">
        <v>0</v>
      </c>
      <c r="MI55">
        <v>0</v>
      </c>
      <c r="MJ55">
        <f t="shared" si="29"/>
        <v>1447</v>
      </c>
      <c r="MK55">
        <v>1470</v>
      </c>
      <c r="ML55">
        <v>1401</v>
      </c>
      <c r="MM55">
        <v>1390</v>
      </c>
      <c r="MN55">
        <v>1410</v>
      </c>
      <c r="MO55">
        <v>1533</v>
      </c>
      <c r="MP55">
        <v>1410</v>
      </c>
      <c r="MQ55">
        <v>1460</v>
      </c>
      <c r="MR55">
        <v>1514</v>
      </c>
      <c r="MS55">
        <v>1506</v>
      </c>
      <c r="MT55">
        <v>1742</v>
      </c>
      <c r="MU55">
        <v>1642</v>
      </c>
      <c r="MV55">
        <v>1727</v>
      </c>
      <c r="MW55">
        <f t="shared" si="30"/>
        <v>18205</v>
      </c>
      <c r="MX55">
        <v>0</v>
      </c>
      <c r="MY55">
        <v>0</v>
      </c>
      <c r="MZ55">
        <v>0</v>
      </c>
      <c r="NA55">
        <v>0</v>
      </c>
      <c r="NB55">
        <v>0</v>
      </c>
      <c r="NC55">
        <v>0</v>
      </c>
      <c r="ND55">
        <v>0</v>
      </c>
      <c r="NE55">
        <v>0</v>
      </c>
      <c r="NF55">
        <v>0</v>
      </c>
      <c r="NG55">
        <v>0</v>
      </c>
      <c r="NH55">
        <v>0</v>
      </c>
      <c r="NI55">
        <v>0</v>
      </c>
      <c r="NJ55">
        <f t="shared" si="31"/>
        <v>0</v>
      </c>
      <c r="NK55">
        <v>0</v>
      </c>
      <c r="NL55">
        <v>0</v>
      </c>
      <c r="NM55">
        <v>0</v>
      </c>
      <c r="NN55">
        <v>0</v>
      </c>
      <c r="NO55">
        <v>0</v>
      </c>
      <c r="NP55">
        <v>0</v>
      </c>
      <c r="NQ55">
        <v>0</v>
      </c>
      <c r="NR55">
        <v>0</v>
      </c>
      <c r="NS55">
        <v>0</v>
      </c>
      <c r="NT55">
        <v>0</v>
      </c>
      <c r="NU55">
        <v>0</v>
      </c>
      <c r="NV55">
        <v>0</v>
      </c>
      <c r="NW55">
        <f t="shared" si="32"/>
        <v>0</v>
      </c>
      <c r="NX55">
        <v>0</v>
      </c>
      <c r="NY55">
        <v>0</v>
      </c>
      <c r="NZ55">
        <v>0</v>
      </c>
      <c r="OA55">
        <v>0</v>
      </c>
      <c r="OB55">
        <v>0</v>
      </c>
      <c r="OC55">
        <v>0</v>
      </c>
      <c r="OD55">
        <v>0</v>
      </c>
      <c r="OE55">
        <v>0</v>
      </c>
      <c r="OF55">
        <v>0</v>
      </c>
      <c r="OG55">
        <v>0</v>
      </c>
      <c r="OH55">
        <v>0</v>
      </c>
      <c r="OI55">
        <v>0</v>
      </c>
      <c r="OJ55">
        <f t="shared" si="33"/>
        <v>0</v>
      </c>
      <c r="OK55">
        <v>3104</v>
      </c>
      <c r="OL55">
        <v>3274</v>
      </c>
      <c r="OM55">
        <v>3003</v>
      </c>
      <c r="ON55">
        <v>3203</v>
      </c>
      <c r="OO55">
        <v>3414</v>
      </c>
      <c r="OP55">
        <v>3219</v>
      </c>
      <c r="OQ55">
        <v>3415</v>
      </c>
      <c r="OR55">
        <v>3231</v>
      </c>
      <c r="OS55">
        <v>3228</v>
      </c>
      <c r="OT55">
        <v>3572</v>
      </c>
      <c r="OU55">
        <v>3252</v>
      </c>
      <c r="OV55">
        <v>3759</v>
      </c>
      <c r="OW55">
        <f t="shared" si="34"/>
        <v>39674</v>
      </c>
      <c r="OX55">
        <v>0</v>
      </c>
      <c r="OY55">
        <v>0</v>
      </c>
      <c r="OZ55">
        <v>0</v>
      </c>
      <c r="PA55">
        <v>0</v>
      </c>
      <c r="PB55">
        <v>0</v>
      </c>
      <c r="PC55">
        <v>0</v>
      </c>
      <c r="PD55">
        <v>0</v>
      </c>
      <c r="PE55">
        <v>0</v>
      </c>
      <c r="PF55">
        <v>0</v>
      </c>
      <c r="PG55">
        <v>0</v>
      </c>
      <c r="PH55">
        <v>0</v>
      </c>
      <c r="PI55">
        <v>0</v>
      </c>
      <c r="PJ55">
        <f t="shared" si="35"/>
        <v>0</v>
      </c>
      <c r="PK55">
        <v>0</v>
      </c>
      <c r="PL55">
        <v>0</v>
      </c>
      <c r="PM55">
        <v>0</v>
      </c>
      <c r="PN55">
        <v>0</v>
      </c>
      <c r="PO55">
        <v>0</v>
      </c>
      <c r="PP55">
        <v>0</v>
      </c>
      <c r="PQ55">
        <v>0</v>
      </c>
      <c r="PR55">
        <v>0</v>
      </c>
      <c r="PS55">
        <v>0</v>
      </c>
      <c r="PT55">
        <v>0</v>
      </c>
      <c r="PU55">
        <v>0</v>
      </c>
      <c r="PV55">
        <v>0</v>
      </c>
      <c r="PW55">
        <f t="shared" si="36"/>
        <v>0</v>
      </c>
      <c r="PX55">
        <v>0</v>
      </c>
      <c r="PY55">
        <v>0</v>
      </c>
      <c r="PZ55">
        <v>0</v>
      </c>
      <c r="QA55">
        <v>0</v>
      </c>
      <c r="QB55">
        <v>0</v>
      </c>
      <c r="QC55">
        <v>0</v>
      </c>
      <c r="QD55">
        <v>0</v>
      </c>
      <c r="QE55">
        <v>0</v>
      </c>
      <c r="QF55">
        <v>0</v>
      </c>
      <c r="QG55">
        <v>0</v>
      </c>
      <c r="QH55">
        <v>0</v>
      </c>
      <c r="QI55">
        <v>0</v>
      </c>
      <c r="QJ55">
        <f t="shared" si="37"/>
        <v>0</v>
      </c>
      <c r="QK55">
        <v>42717</v>
      </c>
      <c r="QL55">
        <v>44722</v>
      </c>
      <c r="QM55">
        <v>36586</v>
      </c>
      <c r="QN55">
        <v>41377</v>
      </c>
      <c r="QO55">
        <v>42326</v>
      </c>
      <c r="QP55">
        <v>38506</v>
      </c>
      <c r="QQ55">
        <v>43765</v>
      </c>
      <c r="QR55">
        <v>37644</v>
      </c>
      <c r="QS55">
        <v>31195</v>
      </c>
      <c r="QT55">
        <v>41178</v>
      </c>
      <c r="QU55">
        <v>39825</v>
      </c>
      <c r="QV55">
        <v>40820</v>
      </c>
      <c r="QW55">
        <f t="shared" si="38"/>
        <v>480661</v>
      </c>
      <c r="QX55">
        <v>0</v>
      </c>
      <c r="QY55">
        <v>0</v>
      </c>
      <c r="QZ55">
        <v>0</v>
      </c>
      <c r="RA55">
        <v>0</v>
      </c>
      <c r="RB55">
        <v>0</v>
      </c>
      <c r="RC55">
        <v>0</v>
      </c>
      <c r="RD55">
        <v>0</v>
      </c>
      <c r="RE55">
        <v>0</v>
      </c>
      <c r="RF55">
        <v>0</v>
      </c>
      <c r="RG55">
        <v>0</v>
      </c>
      <c r="RH55">
        <v>0</v>
      </c>
      <c r="RI55">
        <v>0</v>
      </c>
      <c r="RJ55">
        <f t="shared" si="39"/>
        <v>0</v>
      </c>
      <c r="RK55">
        <v>0</v>
      </c>
      <c r="RL55">
        <v>0</v>
      </c>
      <c r="RM55">
        <v>0</v>
      </c>
      <c r="RN55">
        <v>0</v>
      </c>
      <c r="RO55">
        <v>0</v>
      </c>
      <c r="RP55">
        <v>0</v>
      </c>
      <c r="RQ55">
        <v>0</v>
      </c>
      <c r="RR55">
        <v>0</v>
      </c>
      <c r="RS55">
        <v>0</v>
      </c>
      <c r="RT55">
        <v>0</v>
      </c>
      <c r="RU55">
        <v>0</v>
      </c>
      <c r="RV55">
        <v>0</v>
      </c>
      <c r="RW55">
        <f t="shared" si="40"/>
        <v>0</v>
      </c>
      <c r="RX55">
        <v>0</v>
      </c>
      <c r="RY55">
        <v>0</v>
      </c>
      <c r="RZ55">
        <v>0</v>
      </c>
      <c r="SA55">
        <v>0</v>
      </c>
      <c r="SB55">
        <v>0</v>
      </c>
      <c r="SC55">
        <v>0</v>
      </c>
      <c r="SD55">
        <v>0</v>
      </c>
      <c r="SE55">
        <v>0</v>
      </c>
      <c r="SF55">
        <v>0</v>
      </c>
      <c r="SG55">
        <v>0</v>
      </c>
      <c r="SH55">
        <v>0</v>
      </c>
      <c r="SI55">
        <v>0</v>
      </c>
      <c r="SJ55">
        <f t="shared" si="41"/>
        <v>0</v>
      </c>
      <c r="SK55">
        <v>68</v>
      </c>
      <c r="SL55">
        <v>65</v>
      </c>
      <c r="SM55">
        <v>68</v>
      </c>
      <c r="SN55">
        <v>68</v>
      </c>
      <c r="SO55">
        <v>64</v>
      </c>
      <c r="SP55">
        <v>68</v>
      </c>
      <c r="SQ55">
        <v>62</v>
      </c>
      <c r="SR55">
        <v>67</v>
      </c>
      <c r="SS55">
        <v>62</v>
      </c>
      <c r="ST55">
        <v>67</v>
      </c>
      <c r="SU55">
        <v>60</v>
      </c>
      <c r="SV55">
        <v>67</v>
      </c>
      <c r="SW55">
        <f t="shared" si="42"/>
        <v>786</v>
      </c>
      <c r="SX55" t="s">
        <v>1379</v>
      </c>
      <c r="SY55">
        <v>784</v>
      </c>
      <c r="SZ55">
        <v>898</v>
      </c>
      <c r="TA55">
        <v>821</v>
      </c>
      <c r="TB55">
        <v>905</v>
      </c>
      <c r="TC55">
        <v>856</v>
      </c>
      <c r="TD55">
        <v>852</v>
      </c>
      <c r="TE55">
        <v>779</v>
      </c>
      <c r="TF55">
        <v>721</v>
      </c>
      <c r="TG55">
        <v>673</v>
      </c>
      <c r="TH55">
        <v>822</v>
      </c>
      <c r="TI55">
        <v>827</v>
      </c>
      <c r="TJ55">
        <v>916</v>
      </c>
      <c r="TK55">
        <f t="shared" si="43"/>
        <v>9854</v>
      </c>
      <c r="TL55">
        <v>5490</v>
      </c>
      <c r="TM55">
        <v>5321</v>
      </c>
      <c r="TN55">
        <v>3769</v>
      </c>
      <c r="TO55">
        <v>3523</v>
      </c>
      <c r="TP55">
        <v>3853</v>
      </c>
      <c r="TQ55">
        <v>4059</v>
      </c>
      <c r="TR55">
        <v>2332</v>
      </c>
      <c r="TS55">
        <v>923</v>
      </c>
      <c r="TT55">
        <v>879</v>
      </c>
      <c r="TU55">
        <v>3473</v>
      </c>
      <c r="TV55">
        <v>4298</v>
      </c>
      <c r="TW55">
        <v>4683</v>
      </c>
      <c r="TX55">
        <f t="shared" si="44"/>
        <v>42603</v>
      </c>
      <c r="TY55">
        <v>21</v>
      </c>
      <c r="TZ55">
        <v>0</v>
      </c>
      <c r="UA55">
        <v>0</v>
      </c>
      <c r="UB55">
        <v>0</v>
      </c>
    </row>
    <row r="56" spans="1:548" ht="16.5" customHeight="1" x14ac:dyDescent="0.35">
      <c r="A56" t="s">
        <v>1488</v>
      </c>
      <c r="B56" t="s">
        <v>2865</v>
      </c>
      <c r="C56">
        <v>13339</v>
      </c>
      <c r="D56">
        <v>0</v>
      </c>
      <c r="E56">
        <v>0</v>
      </c>
      <c r="F56">
        <v>7039</v>
      </c>
      <c r="G56">
        <v>165</v>
      </c>
      <c r="H56">
        <v>191</v>
      </c>
      <c r="I56">
        <v>184</v>
      </c>
      <c r="J56">
        <v>164</v>
      </c>
      <c r="K56">
        <v>140</v>
      </c>
      <c r="L56">
        <v>193</v>
      </c>
      <c r="M56">
        <v>198</v>
      </c>
      <c r="N56">
        <v>216</v>
      </c>
      <c r="O56">
        <v>122</v>
      </c>
      <c r="P56">
        <v>179</v>
      </c>
      <c r="Q56">
        <v>186</v>
      </c>
      <c r="R56">
        <v>264</v>
      </c>
      <c r="S56">
        <f t="shared" si="0"/>
        <v>2202</v>
      </c>
      <c r="T56">
        <v>0</v>
      </c>
      <c r="U56">
        <v>0</v>
      </c>
      <c r="V56">
        <v>0</v>
      </c>
      <c r="W56">
        <v>0</v>
      </c>
      <c r="X56">
        <v>0</v>
      </c>
      <c r="Y56">
        <v>0</v>
      </c>
      <c r="Z56">
        <v>0</v>
      </c>
      <c r="AA56">
        <v>0</v>
      </c>
      <c r="AB56">
        <v>0</v>
      </c>
      <c r="AC56">
        <v>0</v>
      </c>
      <c r="AD56">
        <v>0</v>
      </c>
      <c r="AE56">
        <v>0</v>
      </c>
      <c r="AF56">
        <f t="shared" si="1"/>
        <v>0</v>
      </c>
      <c r="AG56">
        <v>0</v>
      </c>
      <c r="AH56">
        <v>0</v>
      </c>
      <c r="AI56">
        <v>0</v>
      </c>
      <c r="AJ56">
        <v>0</v>
      </c>
      <c r="AK56">
        <v>0</v>
      </c>
      <c r="AL56">
        <v>0</v>
      </c>
      <c r="AM56">
        <v>0</v>
      </c>
      <c r="AN56">
        <v>0</v>
      </c>
      <c r="AO56">
        <v>0</v>
      </c>
      <c r="AP56">
        <v>0</v>
      </c>
      <c r="AQ56">
        <v>0</v>
      </c>
      <c r="AR56">
        <v>0</v>
      </c>
      <c r="AS56">
        <f t="shared" si="2"/>
        <v>0</v>
      </c>
      <c r="AT56">
        <v>165</v>
      </c>
      <c r="AU56">
        <v>191</v>
      </c>
      <c r="AV56">
        <v>184</v>
      </c>
      <c r="AW56">
        <v>164</v>
      </c>
      <c r="AX56">
        <v>140</v>
      </c>
      <c r="AY56">
        <v>193</v>
      </c>
      <c r="AZ56">
        <v>198</v>
      </c>
      <c r="BA56">
        <v>216</v>
      </c>
      <c r="BB56">
        <v>122</v>
      </c>
      <c r="BC56">
        <v>179</v>
      </c>
      <c r="BD56">
        <v>186</v>
      </c>
      <c r="BE56">
        <v>264</v>
      </c>
      <c r="BF56">
        <f t="shared" si="3"/>
        <v>2202</v>
      </c>
      <c r="BG56">
        <v>0</v>
      </c>
      <c r="BH56">
        <v>0</v>
      </c>
      <c r="BI56">
        <v>0</v>
      </c>
      <c r="BJ56">
        <v>0</v>
      </c>
      <c r="BK56">
        <v>0</v>
      </c>
      <c r="BL56">
        <v>0</v>
      </c>
      <c r="BM56">
        <v>0</v>
      </c>
      <c r="BN56">
        <v>0</v>
      </c>
      <c r="BO56">
        <v>0</v>
      </c>
      <c r="BP56">
        <v>0</v>
      </c>
      <c r="BQ56">
        <v>0</v>
      </c>
      <c r="BR56">
        <v>0</v>
      </c>
      <c r="BS56">
        <f t="shared" si="4"/>
        <v>0</v>
      </c>
      <c r="BT56">
        <v>0</v>
      </c>
      <c r="BU56">
        <v>0</v>
      </c>
      <c r="BV56">
        <v>0</v>
      </c>
      <c r="BW56">
        <v>0</v>
      </c>
      <c r="BX56">
        <v>0</v>
      </c>
      <c r="BY56">
        <v>0</v>
      </c>
      <c r="BZ56">
        <v>0</v>
      </c>
      <c r="CA56">
        <v>0</v>
      </c>
      <c r="CB56">
        <v>0</v>
      </c>
      <c r="CC56">
        <v>0</v>
      </c>
      <c r="CD56">
        <v>0</v>
      </c>
      <c r="CE56">
        <v>0</v>
      </c>
      <c r="CF56">
        <f t="shared" si="5"/>
        <v>0</v>
      </c>
      <c r="CG56">
        <v>0</v>
      </c>
      <c r="CH56">
        <v>0</v>
      </c>
      <c r="CI56">
        <v>0</v>
      </c>
      <c r="CJ56">
        <v>0</v>
      </c>
      <c r="CK56">
        <v>0</v>
      </c>
      <c r="CL56">
        <v>0</v>
      </c>
      <c r="CM56">
        <v>0</v>
      </c>
      <c r="CN56">
        <v>0</v>
      </c>
      <c r="CO56">
        <v>0</v>
      </c>
      <c r="CP56">
        <v>0</v>
      </c>
      <c r="CQ56">
        <v>0</v>
      </c>
      <c r="CR56">
        <v>0</v>
      </c>
      <c r="CS56">
        <f t="shared" si="6"/>
        <v>0</v>
      </c>
      <c r="CT56">
        <v>0</v>
      </c>
      <c r="CU56">
        <v>0</v>
      </c>
      <c r="CV56">
        <v>0</v>
      </c>
      <c r="CW56">
        <v>0</v>
      </c>
      <c r="CX56">
        <v>0</v>
      </c>
      <c r="CY56">
        <v>0</v>
      </c>
      <c r="CZ56">
        <v>0</v>
      </c>
      <c r="DA56">
        <v>0</v>
      </c>
      <c r="DB56">
        <v>0</v>
      </c>
      <c r="DC56">
        <v>0</v>
      </c>
      <c r="DD56">
        <v>0</v>
      </c>
      <c r="DE56">
        <v>0</v>
      </c>
      <c r="DF56">
        <f t="shared" si="7"/>
        <v>0</v>
      </c>
      <c r="DG56">
        <v>0</v>
      </c>
      <c r="DH56">
        <v>0</v>
      </c>
      <c r="DI56">
        <v>0</v>
      </c>
      <c r="DJ56">
        <v>0</v>
      </c>
      <c r="DK56">
        <v>0</v>
      </c>
      <c r="DL56">
        <v>0</v>
      </c>
      <c r="DM56">
        <v>0</v>
      </c>
      <c r="DN56">
        <v>0</v>
      </c>
      <c r="DO56">
        <v>0</v>
      </c>
      <c r="DP56">
        <v>0</v>
      </c>
      <c r="DQ56">
        <v>0</v>
      </c>
      <c r="DR56">
        <v>0</v>
      </c>
      <c r="DS56">
        <f t="shared" si="8"/>
        <v>0</v>
      </c>
      <c r="DT56">
        <v>0</v>
      </c>
      <c r="DU56">
        <v>0</v>
      </c>
      <c r="DV56">
        <v>0</v>
      </c>
      <c r="DW56">
        <v>0</v>
      </c>
      <c r="DX56">
        <v>0</v>
      </c>
      <c r="DY56">
        <v>0</v>
      </c>
      <c r="DZ56">
        <v>0</v>
      </c>
      <c r="EA56">
        <v>0</v>
      </c>
      <c r="EB56">
        <v>0</v>
      </c>
      <c r="EC56">
        <v>0</v>
      </c>
      <c r="ED56">
        <v>0</v>
      </c>
      <c r="EE56">
        <v>0</v>
      </c>
      <c r="EF56">
        <f t="shared" si="9"/>
        <v>0</v>
      </c>
      <c r="EG56">
        <f t="shared" si="10"/>
        <v>2202</v>
      </c>
      <c r="EH56">
        <f t="shared" si="11"/>
        <v>0</v>
      </c>
      <c r="EI56">
        <v>1780</v>
      </c>
      <c r="EJ56">
        <v>2464</v>
      </c>
      <c r="EK56">
        <v>2730</v>
      </c>
      <c r="EL56">
        <v>2357</v>
      </c>
      <c r="EM56">
        <v>1344</v>
      </c>
      <c r="EN56">
        <v>2163</v>
      </c>
      <c r="EO56">
        <v>2163</v>
      </c>
      <c r="EP56">
        <v>2102</v>
      </c>
      <c r="EQ56">
        <v>1431</v>
      </c>
      <c r="ER56">
        <v>1700</v>
      </c>
      <c r="ES56">
        <v>2251</v>
      </c>
      <c r="ET56">
        <v>3328</v>
      </c>
      <c r="EU56">
        <f t="shared" si="12"/>
        <v>25813</v>
      </c>
      <c r="EV56">
        <v>0</v>
      </c>
      <c r="EW56">
        <v>0</v>
      </c>
      <c r="EX56">
        <v>0</v>
      </c>
      <c r="EY56">
        <v>0</v>
      </c>
      <c r="EZ56">
        <v>0</v>
      </c>
      <c r="FA56">
        <v>0</v>
      </c>
      <c r="FB56">
        <v>0</v>
      </c>
      <c r="FC56">
        <v>0</v>
      </c>
      <c r="FD56">
        <v>0</v>
      </c>
      <c r="FE56">
        <v>0</v>
      </c>
      <c r="FF56">
        <v>0</v>
      </c>
      <c r="FG56">
        <v>0</v>
      </c>
      <c r="FH56">
        <f t="shared" si="13"/>
        <v>0</v>
      </c>
      <c r="FI56">
        <v>0</v>
      </c>
      <c r="FJ56">
        <v>0</v>
      </c>
      <c r="FK56">
        <v>0</v>
      </c>
      <c r="FL56">
        <v>0</v>
      </c>
      <c r="FM56">
        <v>0</v>
      </c>
      <c r="FN56">
        <v>0</v>
      </c>
      <c r="FO56">
        <v>0</v>
      </c>
      <c r="FP56">
        <v>0</v>
      </c>
      <c r="FQ56">
        <v>0</v>
      </c>
      <c r="FR56">
        <v>0</v>
      </c>
      <c r="FS56">
        <v>0</v>
      </c>
      <c r="FT56">
        <v>0</v>
      </c>
      <c r="FU56">
        <f t="shared" si="14"/>
        <v>0</v>
      </c>
      <c r="FV56">
        <v>1780</v>
      </c>
      <c r="FW56">
        <v>2464</v>
      </c>
      <c r="FX56">
        <v>2730</v>
      </c>
      <c r="FY56">
        <v>2357</v>
      </c>
      <c r="FZ56">
        <v>1344</v>
      </c>
      <c r="GA56">
        <v>2163</v>
      </c>
      <c r="GB56">
        <v>2163</v>
      </c>
      <c r="GC56">
        <v>2102</v>
      </c>
      <c r="GD56">
        <v>1431</v>
      </c>
      <c r="GE56">
        <v>1700</v>
      </c>
      <c r="GF56">
        <v>2251</v>
      </c>
      <c r="GG56">
        <v>3328</v>
      </c>
      <c r="GH56">
        <f t="shared" si="15"/>
        <v>25813</v>
      </c>
      <c r="GI56">
        <v>0</v>
      </c>
      <c r="GJ56">
        <v>0</v>
      </c>
      <c r="GK56">
        <v>0</v>
      </c>
      <c r="GL56">
        <v>0</v>
      </c>
      <c r="GM56">
        <v>0</v>
      </c>
      <c r="GN56">
        <v>0</v>
      </c>
      <c r="GO56">
        <v>0</v>
      </c>
      <c r="GP56">
        <v>0</v>
      </c>
      <c r="GQ56">
        <v>0</v>
      </c>
      <c r="GR56">
        <v>0</v>
      </c>
      <c r="GS56">
        <v>0</v>
      </c>
      <c r="GT56">
        <v>0</v>
      </c>
      <c r="GU56">
        <f t="shared" si="16"/>
        <v>0</v>
      </c>
      <c r="GV56">
        <v>0</v>
      </c>
      <c r="GW56">
        <v>0</v>
      </c>
      <c r="GX56">
        <v>0</v>
      </c>
      <c r="GY56">
        <v>0</v>
      </c>
      <c r="GZ56">
        <v>0</v>
      </c>
      <c r="HA56">
        <v>0</v>
      </c>
      <c r="HB56">
        <v>0</v>
      </c>
      <c r="HC56">
        <v>0</v>
      </c>
      <c r="HD56">
        <v>0</v>
      </c>
      <c r="HE56">
        <v>0</v>
      </c>
      <c r="HF56">
        <v>0</v>
      </c>
      <c r="HG56">
        <v>0</v>
      </c>
      <c r="HH56">
        <f t="shared" si="17"/>
        <v>0</v>
      </c>
      <c r="HI56">
        <v>0</v>
      </c>
      <c r="HJ56">
        <v>0</v>
      </c>
      <c r="HK56">
        <v>0</v>
      </c>
      <c r="HL56">
        <v>0</v>
      </c>
      <c r="HM56">
        <v>0</v>
      </c>
      <c r="HN56">
        <v>0</v>
      </c>
      <c r="HO56">
        <v>0</v>
      </c>
      <c r="HP56">
        <v>0</v>
      </c>
      <c r="HQ56">
        <v>0</v>
      </c>
      <c r="HR56">
        <v>0</v>
      </c>
      <c r="HS56">
        <v>0</v>
      </c>
      <c r="HT56">
        <v>0</v>
      </c>
      <c r="HU56">
        <f t="shared" si="18"/>
        <v>0</v>
      </c>
      <c r="HV56">
        <v>0</v>
      </c>
      <c r="HW56">
        <v>0</v>
      </c>
      <c r="HX56">
        <v>0</v>
      </c>
      <c r="HY56">
        <v>0</v>
      </c>
      <c r="HZ56">
        <v>0</v>
      </c>
      <c r="IA56">
        <v>0</v>
      </c>
      <c r="IB56">
        <v>0</v>
      </c>
      <c r="IC56">
        <v>0</v>
      </c>
      <c r="ID56">
        <v>0</v>
      </c>
      <c r="IE56">
        <v>0</v>
      </c>
      <c r="IF56">
        <v>0</v>
      </c>
      <c r="IG56">
        <v>0</v>
      </c>
      <c r="IH56">
        <f t="shared" si="19"/>
        <v>0</v>
      </c>
      <c r="II56">
        <f t="shared" si="20"/>
        <v>25813</v>
      </c>
      <c r="IJ56">
        <f t="shared" si="21"/>
        <v>0</v>
      </c>
      <c r="IK56">
        <v>21655</v>
      </c>
      <c r="IL56">
        <v>22478</v>
      </c>
      <c r="IM56">
        <v>20539</v>
      </c>
      <c r="IN56">
        <v>24747</v>
      </c>
      <c r="IO56">
        <v>26876</v>
      </c>
      <c r="IP56">
        <v>21941</v>
      </c>
      <c r="IQ56">
        <v>23297</v>
      </c>
      <c r="IR56">
        <v>21772</v>
      </c>
      <c r="IS56">
        <v>17438</v>
      </c>
      <c r="IT56">
        <v>22863</v>
      </c>
      <c r="IU56">
        <v>20680</v>
      </c>
      <c r="IV56">
        <v>22061</v>
      </c>
      <c r="IW56">
        <f t="shared" si="22"/>
        <v>266347</v>
      </c>
      <c r="IX56">
        <v>0</v>
      </c>
      <c r="IY56">
        <v>0</v>
      </c>
      <c r="IZ56">
        <v>0</v>
      </c>
      <c r="JA56">
        <v>0</v>
      </c>
      <c r="JB56">
        <v>0</v>
      </c>
      <c r="JC56">
        <v>0</v>
      </c>
      <c r="JD56">
        <v>0</v>
      </c>
      <c r="JE56">
        <v>0</v>
      </c>
      <c r="JF56">
        <v>0</v>
      </c>
      <c r="JG56">
        <v>0</v>
      </c>
      <c r="JH56">
        <v>0</v>
      </c>
      <c r="JI56">
        <v>0</v>
      </c>
      <c r="JJ56">
        <f t="shared" si="23"/>
        <v>0</v>
      </c>
      <c r="JK56">
        <v>0</v>
      </c>
      <c r="JL56">
        <v>0</v>
      </c>
      <c r="JM56">
        <v>0</v>
      </c>
      <c r="JN56">
        <v>0</v>
      </c>
      <c r="JO56">
        <v>0</v>
      </c>
      <c r="JP56">
        <v>0</v>
      </c>
      <c r="JQ56">
        <v>0</v>
      </c>
      <c r="JR56">
        <v>0</v>
      </c>
      <c r="JS56">
        <v>0</v>
      </c>
      <c r="JT56">
        <v>0</v>
      </c>
      <c r="JU56">
        <v>0</v>
      </c>
      <c r="JV56">
        <v>0</v>
      </c>
      <c r="JW56">
        <f t="shared" si="24"/>
        <v>0</v>
      </c>
      <c r="JX56">
        <v>0</v>
      </c>
      <c r="JY56">
        <v>0</v>
      </c>
      <c r="JZ56">
        <v>0</v>
      </c>
      <c r="KA56">
        <v>0</v>
      </c>
      <c r="KB56">
        <v>0</v>
      </c>
      <c r="KC56">
        <v>0</v>
      </c>
      <c r="KD56">
        <v>0</v>
      </c>
      <c r="KE56">
        <v>0</v>
      </c>
      <c r="KF56">
        <v>0</v>
      </c>
      <c r="KG56">
        <v>0</v>
      </c>
      <c r="KH56">
        <v>0</v>
      </c>
      <c r="KI56">
        <v>0</v>
      </c>
      <c r="KJ56">
        <f t="shared" si="25"/>
        <v>0</v>
      </c>
      <c r="KK56">
        <v>247</v>
      </c>
      <c r="KL56">
        <v>243</v>
      </c>
      <c r="KM56">
        <v>224</v>
      </c>
      <c r="KN56">
        <v>395</v>
      </c>
      <c r="KO56">
        <v>318</v>
      </c>
      <c r="KP56">
        <v>301</v>
      </c>
      <c r="KQ56">
        <v>260</v>
      </c>
      <c r="KR56">
        <v>267</v>
      </c>
      <c r="KS56">
        <v>226</v>
      </c>
      <c r="KT56">
        <v>285</v>
      </c>
      <c r="KU56">
        <v>268</v>
      </c>
      <c r="KV56">
        <v>257</v>
      </c>
      <c r="KW56">
        <f t="shared" si="26"/>
        <v>3291</v>
      </c>
      <c r="KX56">
        <v>0</v>
      </c>
      <c r="KY56">
        <v>0</v>
      </c>
      <c r="KZ56">
        <v>0</v>
      </c>
      <c r="LA56">
        <v>0</v>
      </c>
      <c r="LB56">
        <v>0</v>
      </c>
      <c r="LC56">
        <v>0</v>
      </c>
      <c r="LD56">
        <v>0</v>
      </c>
      <c r="LE56">
        <v>0</v>
      </c>
      <c r="LF56">
        <v>0</v>
      </c>
      <c r="LG56">
        <v>0</v>
      </c>
      <c r="LH56">
        <v>0</v>
      </c>
      <c r="LI56">
        <v>0</v>
      </c>
      <c r="LJ56">
        <f t="shared" si="27"/>
        <v>0</v>
      </c>
      <c r="LK56">
        <v>0</v>
      </c>
      <c r="LL56">
        <v>0</v>
      </c>
      <c r="LM56">
        <v>0</v>
      </c>
      <c r="LN56">
        <v>0</v>
      </c>
      <c r="LO56">
        <v>0</v>
      </c>
      <c r="LP56">
        <v>0</v>
      </c>
      <c r="LQ56">
        <v>0</v>
      </c>
      <c r="LR56">
        <v>0</v>
      </c>
      <c r="LS56">
        <v>0</v>
      </c>
      <c r="LT56">
        <v>0</v>
      </c>
      <c r="LU56">
        <v>0</v>
      </c>
      <c r="LV56">
        <v>0</v>
      </c>
      <c r="LW56">
        <f t="shared" si="28"/>
        <v>0</v>
      </c>
      <c r="LX56">
        <v>0</v>
      </c>
      <c r="LY56">
        <v>0</v>
      </c>
      <c r="LZ56">
        <v>0</v>
      </c>
      <c r="MA56">
        <v>0</v>
      </c>
      <c r="MB56">
        <v>0</v>
      </c>
      <c r="MC56">
        <v>0</v>
      </c>
      <c r="MD56">
        <v>0</v>
      </c>
      <c r="ME56">
        <v>0</v>
      </c>
      <c r="MF56">
        <v>0</v>
      </c>
      <c r="MG56">
        <v>0</v>
      </c>
      <c r="MH56">
        <v>0</v>
      </c>
      <c r="MI56">
        <v>0</v>
      </c>
      <c r="MJ56">
        <f t="shared" si="29"/>
        <v>0</v>
      </c>
      <c r="MK56">
        <v>2655</v>
      </c>
      <c r="ML56">
        <v>2728</v>
      </c>
      <c r="MM56">
        <v>2693</v>
      </c>
      <c r="MN56">
        <v>2742</v>
      </c>
      <c r="MO56">
        <v>2988</v>
      </c>
      <c r="MP56">
        <v>2854</v>
      </c>
      <c r="MQ56">
        <v>2865</v>
      </c>
      <c r="MR56">
        <v>2724</v>
      </c>
      <c r="MS56">
        <v>2673</v>
      </c>
      <c r="MT56">
        <v>2882</v>
      </c>
      <c r="MU56">
        <v>2756</v>
      </c>
      <c r="MV56">
        <v>2922</v>
      </c>
      <c r="MW56">
        <f t="shared" si="30"/>
        <v>33482</v>
      </c>
      <c r="MX56">
        <v>0</v>
      </c>
      <c r="MY56">
        <v>0</v>
      </c>
      <c r="MZ56">
        <v>0</v>
      </c>
      <c r="NA56">
        <v>0</v>
      </c>
      <c r="NB56">
        <v>0</v>
      </c>
      <c r="NC56">
        <v>0</v>
      </c>
      <c r="ND56">
        <v>0</v>
      </c>
      <c r="NE56">
        <v>0</v>
      </c>
      <c r="NF56">
        <v>0</v>
      </c>
      <c r="NG56">
        <v>0</v>
      </c>
      <c r="NH56">
        <v>0</v>
      </c>
      <c r="NI56">
        <v>0</v>
      </c>
      <c r="NJ56">
        <f t="shared" si="31"/>
        <v>0</v>
      </c>
      <c r="NK56">
        <v>0</v>
      </c>
      <c r="NL56">
        <v>0</v>
      </c>
      <c r="NM56">
        <v>0</v>
      </c>
      <c r="NN56">
        <v>0</v>
      </c>
      <c r="NO56">
        <v>0</v>
      </c>
      <c r="NP56">
        <v>0</v>
      </c>
      <c r="NQ56">
        <v>0</v>
      </c>
      <c r="NR56">
        <v>0</v>
      </c>
      <c r="NS56">
        <v>0</v>
      </c>
      <c r="NT56">
        <v>0</v>
      </c>
      <c r="NU56">
        <v>0</v>
      </c>
      <c r="NV56">
        <v>0</v>
      </c>
      <c r="NW56">
        <f t="shared" si="32"/>
        <v>0</v>
      </c>
      <c r="NX56">
        <v>0</v>
      </c>
      <c r="NY56">
        <v>0</v>
      </c>
      <c r="NZ56">
        <v>0</v>
      </c>
      <c r="OA56">
        <v>0</v>
      </c>
      <c r="OB56">
        <v>0</v>
      </c>
      <c r="OC56">
        <v>0</v>
      </c>
      <c r="OD56">
        <v>0</v>
      </c>
      <c r="OE56">
        <v>0</v>
      </c>
      <c r="OF56">
        <v>0</v>
      </c>
      <c r="OG56">
        <v>0</v>
      </c>
      <c r="OH56">
        <v>0</v>
      </c>
      <c r="OI56">
        <v>0</v>
      </c>
      <c r="OJ56">
        <f t="shared" si="33"/>
        <v>0</v>
      </c>
      <c r="OK56">
        <v>4732</v>
      </c>
      <c r="OL56">
        <v>4936</v>
      </c>
      <c r="OM56">
        <v>4636</v>
      </c>
      <c r="ON56">
        <v>6379</v>
      </c>
      <c r="OO56">
        <v>5540</v>
      </c>
      <c r="OP56">
        <v>5093</v>
      </c>
      <c r="OQ56">
        <v>5131</v>
      </c>
      <c r="OR56">
        <v>4752</v>
      </c>
      <c r="OS56">
        <v>4662</v>
      </c>
      <c r="OT56">
        <v>5294</v>
      </c>
      <c r="OU56">
        <v>4933</v>
      </c>
      <c r="OV56">
        <v>5539</v>
      </c>
      <c r="OW56">
        <f t="shared" si="34"/>
        <v>61627</v>
      </c>
      <c r="OX56">
        <v>0</v>
      </c>
      <c r="OY56">
        <v>0</v>
      </c>
      <c r="OZ56">
        <v>0</v>
      </c>
      <c r="PA56">
        <v>0</v>
      </c>
      <c r="PB56">
        <v>0</v>
      </c>
      <c r="PC56">
        <v>0</v>
      </c>
      <c r="PD56">
        <v>0</v>
      </c>
      <c r="PE56">
        <v>0</v>
      </c>
      <c r="PF56">
        <v>0</v>
      </c>
      <c r="PG56">
        <v>0</v>
      </c>
      <c r="PH56">
        <v>0</v>
      </c>
      <c r="PI56">
        <v>0</v>
      </c>
      <c r="PJ56">
        <f t="shared" si="35"/>
        <v>0</v>
      </c>
      <c r="PK56">
        <v>0</v>
      </c>
      <c r="PL56">
        <v>0</v>
      </c>
      <c r="PM56">
        <v>0</v>
      </c>
      <c r="PN56">
        <v>0</v>
      </c>
      <c r="PO56">
        <v>0</v>
      </c>
      <c r="PP56">
        <v>0</v>
      </c>
      <c r="PQ56">
        <v>0</v>
      </c>
      <c r="PR56">
        <v>0</v>
      </c>
      <c r="PS56">
        <v>0</v>
      </c>
      <c r="PT56">
        <v>0</v>
      </c>
      <c r="PU56">
        <v>0</v>
      </c>
      <c r="PV56">
        <v>0</v>
      </c>
      <c r="PW56">
        <f t="shared" si="36"/>
        <v>0</v>
      </c>
      <c r="PX56">
        <v>0</v>
      </c>
      <c r="PY56">
        <v>0</v>
      </c>
      <c r="PZ56">
        <v>0</v>
      </c>
      <c r="QA56">
        <v>0</v>
      </c>
      <c r="QB56">
        <v>0</v>
      </c>
      <c r="QC56">
        <v>0</v>
      </c>
      <c r="QD56">
        <v>0</v>
      </c>
      <c r="QE56">
        <v>0</v>
      </c>
      <c r="QF56">
        <v>0</v>
      </c>
      <c r="QG56">
        <v>0</v>
      </c>
      <c r="QH56">
        <v>0</v>
      </c>
      <c r="QI56">
        <v>0</v>
      </c>
      <c r="QJ56">
        <f t="shared" si="37"/>
        <v>0</v>
      </c>
      <c r="QK56">
        <v>47046</v>
      </c>
      <c r="QL56">
        <v>47846</v>
      </c>
      <c r="QM56">
        <v>46418</v>
      </c>
      <c r="QN56">
        <v>50290</v>
      </c>
      <c r="QO56">
        <v>46786</v>
      </c>
      <c r="QP56">
        <v>49313</v>
      </c>
      <c r="QQ56">
        <v>54474</v>
      </c>
      <c r="QR56">
        <v>51048</v>
      </c>
      <c r="QS56">
        <v>44696</v>
      </c>
      <c r="QT56">
        <v>45422</v>
      </c>
      <c r="QU56">
        <v>47392</v>
      </c>
      <c r="QV56">
        <v>52190</v>
      </c>
      <c r="QW56">
        <f t="shared" si="38"/>
        <v>582921</v>
      </c>
      <c r="QX56">
        <v>0</v>
      </c>
      <c r="QY56">
        <v>0</v>
      </c>
      <c r="QZ56">
        <v>0</v>
      </c>
      <c r="RA56">
        <v>0</v>
      </c>
      <c r="RB56">
        <v>0</v>
      </c>
      <c r="RC56">
        <v>0</v>
      </c>
      <c r="RD56">
        <v>0</v>
      </c>
      <c r="RE56">
        <v>0</v>
      </c>
      <c r="RF56">
        <v>0</v>
      </c>
      <c r="RG56">
        <v>0</v>
      </c>
      <c r="RH56">
        <v>0</v>
      </c>
      <c r="RI56">
        <v>0</v>
      </c>
      <c r="RJ56">
        <f t="shared" si="39"/>
        <v>0</v>
      </c>
      <c r="RK56">
        <v>0</v>
      </c>
      <c r="RL56">
        <v>0</v>
      </c>
      <c r="RM56">
        <v>0</v>
      </c>
      <c r="RN56">
        <v>0</v>
      </c>
      <c r="RO56">
        <v>0</v>
      </c>
      <c r="RP56">
        <v>0</v>
      </c>
      <c r="RQ56">
        <v>0</v>
      </c>
      <c r="RR56">
        <v>0</v>
      </c>
      <c r="RS56">
        <v>0</v>
      </c>
      <c r="RT56">
        <v>0</v>
      </c>
      <c r="RU56">
        <v>0</v>
      </c>
      <c r="RV56">
        <v>0</v>
      </c>
      <c r="RW56">
        <f t="shared" si="40"/>
        <v>0</v>
      </c>
      <c r="RX56">
        <v>0</v>
      </c>
      <c r="RY56">
        <v>0</v>
      </c>
      <c r="RZ56">
        <v>0</v>
      </c>
      <c r="SA56">
        <v>0</v>
      </c>
      <c r="SB56">
        <v>0</v>
      </c>
      <c r="SC56">
        <v>0</v>
      </c>
      <c r="SD56">
        <v>0</v>
      </c>
      <c r="SE56">
        <v>0</v>
      </c>
      <c r="SF56">
        <v>0</v>
      </c>
      <c r="SG56">
        <v>0</v>
      </c>
      <c r="SH56">
        <v>0</v>
      </c>
      <c r="SI56">
        <v>0</v>
      </c>
      <c r="SJ56">
        <f t="shared" si="41"/>
        <v>0</v>
      </c>
      <c r="SK56">
        <v>75</v>
      </c>
      <c r="SL56">
        <v>75</v>
      </c>
      <c r="SM56">
        <v>76</v>
      </c>
      <c r="SN56">
        <v>76</v>
      </c>
      <c r="SO56">
        <v>75</v>
      </c>
      <c r="SP56">
        <v>75</v>
      </c>
      <c r="SQ56">
        <v>77</v>
      </c>
      <c r="SR56">
        <v>77</v>
      </c>
      <c r="SS56">
        <v>76</v>
      </c>
      <c r="ST56">
        <v>75</v>
      </c>
      <c r="SU56">
        <v>76</v>
      </c>
      <c r="SV56">
        <v>75</v>
      </c>
      <c r="SW56">
        <f t="shared" si="42"/>
        <v>908</v>
      </c>
      <c r="SX56" t="s">
        <v>1489</v>
      </c>
      <c r="SY56">
        <v>5848</v>
      </c>
      <c r="SZ56">
        <v>5781</v>
      </c>
      <c r="TA56">
        <v>5707</v>
      </c>
      <c r="TB56">
        <v>5688</v>
      </c>
      <c r="TC56">
        <v>5744</v>
      </c>
      <c r="TD56">
        <v>5671</v>
      </c>
      <c r="TE56">
        <v>6838</v>
      </c>
      <c r="TF56">
        <v>6033</v>
      </c>
      <c r="TG56">
        <v>4886</v>
      </c>
      <c r="TH56">
        <v>5316</v>
      </c>
      <c r="TI56">
        <v>5712</v>
      </c>
      <c r="TJ56">
        <v>6404</v>
      </c>
      <c r="TK56">
        <f t="shared" si="43"/>
        <v>69628</v>
      </c>
      <c r="TL56">
        <v>0</v>
      </c>
      <c r="TM56">
        <v>0</v>
      </c>
      <c r="TN56">
        <v>0</v>
      </c>
      <c r="TO56">
        <v>0</v>
      </c>
      <c r="TP56">
        <v>0</v>
      </c>
      <c r="TQ56">
        <v>0</v>
      </c>
      <c r="TR56">
        <v>0</v>
      </c>
      <c r="TS56">
        <v>0</v>
      </c>
      <c r="TT56">
        <v>0</v>
      </c>
      <c r="TU56">
        <v>0</v>
      </c>
      <c r="TV56">
        <v>0</v>
      </c>
      <c r="TW56">
        <v>0</v>
      </c>
      <c r="TX56">
        <f t="shared" si="44"/>
        <v>0</v>
      </c>
      <c r="TY56">
        <v>225</v>
      </c>
      <c r="TZ56">
        <v>40</v>
      </c>
      <c r="UA56">
        <v>107</v>
      </c>
      <c r="UB56">
        <v>2</v>
      </c>
    </row>
    <row r="57" spans="1:548" ht="16.5" customHeight="1" x14ac:dyDescent="0.35">
      <c r="A57" t="s">
        <v>1540</v>
      </c>
      <c r="B57" t="s">
        <v>2866</v>
      </c>
      <c r="C57" s="2">
        <v>63864</v>
      </c>
      <c r="D57" s="2">
        <v>26969</v>
      </c>
      <c r="E57" s="2">
        <v>6135</v>
      </c>
      <c r="F57" s="2">
        <v>30760</v>
      </c>
      <c r="G57">
        <v>826</v>
      </c>
      <c r="H57" s="2">
        <v>1083</v>
      </c>
      <c r="I57" s="2">
        <v>1191</v>
      </c>
      <c r="J57" s="2">
        <v>1206</v>
      </c>
      <c r="K57" s="2">
        <v>1004</v>
      </c>
      <c r="L57" s="2">
        <v>1108</v>
      </c>
      <c r="M57" s="2">
        <v>1135</v>
      </c>
      <c r="N57" s="2">
        <v>1121</v>
      </c>
      <c r="O57">
        <v>882</v>
      </c>
      <c r="P57">
        <v>789</v>
      </c>
      <c r="Q57" s="2">
        <v>1134</v>
      </c>
      <c r="R57" s="2">
        <v>1190</v>
      </c>
      <c r="S57" s="2">
        <f t="shared" si="0"/>
        <v>12669</v>
      </c>
      <c r="T57">
        <v>343</v>
      </c>
      <c r="U57">
        <v>374</v>
      </c>
      <c r="V57">
        <v>387</v>
      </c>
      <c r="W57">
        <v>381</v>
      </c>
      <c r="X57">
        <v>370</v>
      </c>
      <c r="Y57">
        <v>355</v>
      </c>
      <c r="Z57">
        <v>348</v>
      </c>
      <c r="AA57">
        <v>371</v>
      </c>
      <c r="AB57">
        <v>301</v>
      </c>
      <c r="AC57">
        <v>246</v>
      </c>
      <c r="AD57">
        <v>381</v>
      </c>
      <c r="AE57">
        <v>402</v>
      </c>
      <c r="AF57">
        <f t="shared" si="1"/>
        <v>4259</v>
      </c>
      <c r="AG57">
        <v>35</v>
      </c>
      <c r="AH57">
        <v>32</v>
      </c>
      <c r="AI57">
        <v>34</v>
      </c>
      <c r="AJ57">
        <v>1</v>
      </c>
      <c r="AK57">
        <v>30</v>
      </c>
      <c r="AL57">
        <v>5</v>
      </c>
      <c r="AM57">
        <v>35</v>
      </c>
      <c r="AN57">
        <v>7</v>
      </c>
      <c r="AO57">
        <v>9</v>
      </c>
      <c r="AP57">
        <v>9</v>
      </c>
      <c r="AQ57">
        <v>9</v>
      </c>
      <c r="AR57">
        <v>10</v>
      </c>
      <c r="AS57">
        <f t="shared" si="2"/>
        <v>216</v>
      </c>
      <c r="AT57">
        <v>448</v>
      </c>
      <c r="AU57">
        <v>677</v>
      </c>
      <c r="AV57">
        <v>770</v>
      </c>
      <c r="AW57">
        <v>824</v>
      </c>
      <c r="AX57">
        <v>604</v>
      </c>
      <c r="AY57">
        <v>748</v>
      </c>
      <c r="AZ57">
        <v>752</v>
      </c>
      <c r="BA57">
        <v>743</v>
      </c>
      <c r="BB57">
        <v>572</v>
      </c>
      <c r="BC57">
        <v>534</v>
      </c>
      <c r="BD57">
        <v>744</v>
      </c>
      <c r="BE57">
        <v>778</v>
      </c>
      <c r="BF57">
        <f t="shared" si="3"/>
        <v>8194</v>
      </c>
      <c r="BG57">
        <v>0</v>
      </c>
      <c r="BH57">
        <v>0</v>
      </c>
      <c r="BI57">
        <v>0</v>
      </c>
      <c r="BJ57">
        <v>0</v>
      </c>
      <c r="BK57">
        <v>0</v>
      </c>
      <c r="BL57">
        <v>0</v>
      </c>
      <c r="BM57">
        <v>0</v>
      </c>
      <c r="BN57">
        <v>0</v>
      </c>
      <c r="BO57">
        <v>0</v>
      </c>
      <c r="BP57">
        <v>0</v>
      </c>
      <c r="BQ57">
        <v>0</v>
      </c>
      <c r="BR57">
        <v>0</v>
      </c>
      <c r="BS57">
        <f t="shared" si="4"/>
        <v>0</v>
      </c>
      <c r="BT57">
        <v>0</v>
      </c>
      <c r="BU57">
        <v>0</v>
      </c>
      <c r="BV57">
        <v>0</v>
      </c>
      <c r="BW57">
        <v>0</v>
      </c>
      <c r="BX57">
        <v>0</v>
      </c>
      <c r="BY57">
        <v>0</v>
      </c>
      <c r="BZ57">
        <v>0</v>
      </c>
      <c r="CA57">
        <v>0</v>
      </c>
      <c r="CB57">
        <v>0</v>
      </c>
      <c r="CC57">
        <v>0</v>
      </c>
      <c r="CD57">
        <v>0</v>
      </c>
      <c r="CE57">
        <v>0</v>
      </c>
      <c r="CF57">
        <f t="shared" si="5"/>
        <v>0</v>
      </c>
      <c r="CG57">
        <v>0</v>
      </c>
      <c r="CH57">
        <v>0</v>
      </c>
      <c r="CI57">
        <v>0</v>
      </c>
      <c r="CJ57">
        <v>0</v>
      </c>
      <c r="CK57">
        <v>0</v>
      </c>
      <c r="CL57">
        <v>0</v>
      </c>
      <c r="CM57">
        <v>0</v>
      </c>
      <c r="CN57">
        <v>0</v>
      </c>
      <c r="CO57">
        <v>0</v>
      </c>
      <c r="CP57">
        <v>0</v>
      </c>
      <c r="CQ57">
        <v>0</v>
      </c>
      <c r="CR57">
        <v>0</v>
      </c>
      <c r="CS57">
        <f t="shared" si="6"/>
        <v>0</v>
      </c>
      <c r="CT57">
        <v>0</v>
      </c>
      <c r="CU57">
        <v>0</v>
      </c>
      <c r="CV57">
        <v>0</v>
      </c>
      <c r="CW57">
        <v>0</v>
      </c>
      <c r="CX57">
        <v>0</v>
      </c>
      <c r="CY57">
        <v>0</v>
      </c>
      <c r="CZ57">
        <v>0</v>
      </c>
      <c r="DA57">
        <v>0</v>
      </c>
      <c r="DB57">
        <v>0</v>
      </c>
      <c r="DC57">
        <v>0</v>
      </c>
      <c r="DD57">
        <v>0</v>
      </c>
      <c r="DE57">
        <v>0</v>
      </c>
      <c r="DF57">
        <f t="shared" si="7"/>
        <v>0</v>
      </c>
      <c r="DG57">
        <v>0</v>
      </c>
      <c r="DH57">
        <v>0</v>
      </c>
      <c r="DI57">
        <v>0</v>
      </c>
      <c r="DJ57">
        <v>0</v>
      </c>
      <c r="DK57">
        <v>0</v>
      </c>
      <c r="DL57">
        <v>0</v>
      </c>
      <c r="DM57">
        <v>0</v>
      </c>
      <c r="DN57">
        <v>0</v>
      </c>
      <c r="DO57">
        <v>0</v>
      </c>
      <c r="DP57">
        <v>0</v>
      </c>
      <c r="DQ57">
        <v>0</v>
      </c>
      <c r="DR57">
        <v>0</v>
      </c>
      <c r="DS57">
        <f t="shared" si="8"/>
        <v>0</v>
      </c>
      <c r="DT57">
        <v>0</v>
      </c>
      <c r="DU57">
        <v>0</v>
      </c>
      <c r="DV57">
        <v>0</v>
      </c>
      <c r="DW57">
        <v>0</v>
      </c>
      <c r="DX57">
        <v>0</v>
      </c>
      <c r="DY57">
        <v>0</v>
      </c>
      <c r="DZ57">
        <v>0</v>
      </c>
      <c r="EA57">
        <v>0</v>
      </c>
      <c r="EB57">
        <v>0</v>
      </c>
      <c r="EC57">
        <v>0</v>
      </c>
      <c r="ED57">
        <v>0</v>
      </c>
      <c r="EE57">
        <v>0</v>
      </c>
      <c r="EF57">
        <f t="shared" si="9"/>
        <v>0</v>
      </c>
      <c r="EG57">
        <f t="shared" si="10"/>
        <v>12669</v>
      </c>
      <c r="EH57">
        <f t="shared" si="11"/>
        <v>0</v>
      </c>
      <c r="EI57" s="2">
        <v>13893</v>
      </c>
      <c r="EJ57" s="2">
        <v>19476</v>
      </c>
      <c r="EK57" s="2">
        <v>19862</v>
      </c>
      <c r="EL57" s="2">
        <v>20831</v>
      </c>
      <c r="EM57" s="2">
        <v>18789</v>
      </c>
      <c r="EN57" s="2">
        <v>19530</v>
      </c>
      <c r="EO57" s="2">
        <v>19952</v>
      </c>
      <c r="EP57" s="2">
        <v>20740</v>
      </c>
      <c r="EQ57" s="2">
        <v>16921</v>
      </c>
      <c r="ER57" s="2">
        <v>15258</v>
      </c>
      <c r="ES57" s="2">
        <v>18739</v>
      </c>
      <c r="ET57" s="2">
        <v>19630</v>
      </c>
      <c r="EU57" s="2">
        <f t="shared" si="12"/>
        <v>223621</v>
      </c>
      <c r="EV57" s="2">
        <v>6466</v>
      </c>
      <c r="EW57" s="2">
        <v>6353</v>
      </c>
      <c r="EX57" s="2">
        <v>6401</v>
      </c>
      <c r="EY57" s="2">
        <v>7216</v>
      </c>
      <c r="EZ57" s="2">
        <v>7522</v>
      </c>
      <c r="FA57" s="2">
        <v>6054</v>
      </c>
      <c r="FB57" s="2">
        <v>6214</v>
      </c>
      <c r="FC57" s="2">
        <v>6949</v>
      </c>
      <c r="FD57" s="2">
        <v>5535</v>
      </c>
      <c r="FE57" s="2">
        <v>4692</v>
      </c>
      <c r="FF57" s="2">
        <v>6920</v>
      </c>
      <c r="FG57" s="2">
        <v>7346</v>
      </c>
      <c r="FH57" s="2">
        <f t="shared" si="13"/>
        <v>77668</v>
      </c>
      <c r="FI57">
        <v>200</v>
      </c>
      <c r="FJ57">
        <v>176</v>
      </c>
      <c r="FK57">
        <v>198</v>
      </c>
      <c r="FL57">
        <v>280</v>
      </c>
      <c r="FM57">
        <v>380</v>
      </c>
      <c r="FN57">
        <v>177</v>
      </c>
      <c r="FO57">
        <v>510</v>
      </c>
      <c r="FP57">
        <v>301</v>
      </c>
      <c r="FQ57">
        <v>414</v>
      </c>
      <c r="FR57">
        <v>363</v>
      </c>
      <c r="FS57">
        <v>235</v>
      </c>
      <c r="FT57">
        <v>261</v>
      </c>
      <c r="FU57">
        <f t="shared" si="14"/>
        <v>3495</v>
      </c>
      <c r="FV57" s="2">
        <v>7227</v>
      </c>
      <c r="FW57" s="2">
        <v>12947</v>
      </c>
      <c r="FX57" s="2">
        <v>13263</v>
      </c>
      <c r="FY57" s="2">
        <v>13335</v>
      </c>
      <c r="FZ57" s="2">
        <v>10887</v>
      </c>
      <c r="GA57" s="2">
        <v>13299</v>
      </c>
      <c r="GB57" s="2">
        <v>13228</v>
      </c>
      <c r="GC57" s="2">
        <v>13490</v>
      </c>
      <c r="GD57" s="2">
        <v>10972</v>
      </c>
      <c r="GE57" s="2">
        <v>10203</v>
      </c>
      <c r="GF57" s="2">
        <v>11584</v>
      </c>
      <c r="GG57" s="2">
        <v>12023</v>
      </c>
      <c r="GH57" s="2">
        <f t="shared" si="15"/>
        <v>142458</v>
      </c>
      <c r="GI57" s="2">
        <v>0</v>
      </c>
      <c r="GJ57" s="2">
        <v>0</v>
      </c>
      <c r="GK57" s="2">
        <v>0</v>
      </c>
      <c r="GL57" s="2">
        <v>0</v>
      </c>
      <c r="GM57" s="2">
        <v>0</v>
      </c>
      <c r="GN57" s="2">
        <v>0</v>
      </c>
      <c r="GO57" s="2">
        <v>0</v>
      </c>
      <c r="GP57" s="2">
        <v>0</v>
      </c>
      <c r="GQ57" s="2">
        <v>0</v>
      </c>
      <c r="GR57" s="2">
        <v>0</v>
      </c>
      <c r="GS57" s="2">
        <v>0</v>
      </c>
      <c r="GT57" s="2">
        <v>0</v>
      </c>
      <c r="GU57" s="2">
        <f t="shared" si="16"/>
        <v>0</v>
      </c>
      <c r="GV57" s="2">
        <v>0</v>
      </c>
      <c r="GW57" s="2">
        <v>0</v>
      </c>
      <c r="GX57" s="2">
        <v>0</v>
      </c>
      <c r="GY57" s="2">
        <v>0</v>
      </c>
      <c r="GZ57" s="2">
        <v>0</v>
      </c>
      <c r="HA57" s="2">
        <v>0</v>
      </c>
      <c r="HB57" s="2">
        <v>0</v>
      </c>
      <c r="HC57" s="2">
        <v>0</v>
      </c>
      <c r="HD57" s="2">
        <v>0</v>
      </c>
      <c r="HE57" s="2">
        <v>0</v>
      </c>
      <c r="HF57" s="2">
        <v>0</v>
      </c>
      <c r="HG57" s="2">
        <v>0</v>
      </c>
      <c r="HH57" s="2">
        <f t="shared" si="17"/>
        <v>0</v>
      </c>
      <c r="HI57" s="2">
        <v>0</v>
      </c>
      <c r="HJ57" s="2">
        <v>0</v>
      </c>
      <c r="HK57" s="2">
        <v>0</v>
      </c>
      <c r="HL57" s="2">
        <v>0</v>
      </c>
      <c r="HM57" s="2">
        <v>0</v>
      </c>
      <c r="HN57" s="2">
        <v>0</v>
      </c>
      <c r="HO57" s="2">
        <v>0</v>
      </c>
      <c r="HP57" s="2">
        <v>0</v>
      </c>
      <c r="HQ57" s="2">
        <v>0</v>
      </c>
      <c r="HR57" s="2">
        <v>0</v>
      </c>
      <c r="HS57" s="2">
        <v>0</v>
      </c>
      <c r="HT57" s="2">
        <v>0</v>
      </c>
      <c r="HU57" s="2">
        <f t="shared" si="18"/>
        <v>0</v>
      </c>
      <c r="HV57" s="2">
        <v>0</v>
      </c>
      <c r="HW57" s="2">
        <v>0</v>
      </c>
      <c r="HX57" s="2">
        <v>0</v>
      </c>
      <c r="HY57" s="2">
        <v>0</v>
      </c>
      <c r="HZ57" s="2">
        <v>0</v>
      </c>
      <c r="IA57" s="2">
        <v>0</v>
      </c>
      <c r="IB57" s="2">
        <v>0</v>
      </c>
      <c r="IC57" s="2">
        <v>0</v>
      </c>
      <c r="ID57" s="2">
        <v>0</v>
      </c>
      <c r="IE57" s="2">
        <v>0</v>
      </c>
      <c r="IF57" s="2">
        <v>0</v>
      </c>
      <c r="IG57" s="2">
        <v>0</v>
      </c>
      <c r="IH57" s="2">
        <f t="shared" si="19"/>
        <v>0</v>
      </c>
      <c r="II57" s="2">
        <f t="shared" si="20"/>
        <v>223621</v>
      </c>
      <c r="IJ57" s="2">
        <f t="shared" si="21"/>
        <v>0</v>
      </c>
      <c r="IK57">
        <v>69712</v>
      </c>
      <c r="IL57">
        <v>70919</v>
      </c>
      <c r="IM57">
        <v>75972</v>
      </c>
      <c r="IN57">
        <v>92598</v>
      </c>
      <c r="IO57">
        <v>87248</v>
      </c>
      <c r="IP57">
        <v>87470</v>
      </c>
      <c r="IQ57">
        <v>79955</v>
      </c>
      <c r="IR57">
        <v>71245</v>
      </c>
      <c r="IS57">
        <v>67437</v>
      </c>
      <c r="IT57">
        <v>84747</v>
      </c>
      <c r="IU57">
        <v>69297</v>
      </c>
      <c r="IV57">
        <v>67658</v>
      </c>
      <c r="IW57">
        <f t="shared" si="22"/>
        <v>924258</v>
      </c>
      <c r="IX57">
        <v>52474</v>
      </c>
      <c r="IY57">
        <v>51172</v>
      </c>
      <c r="IZ57">
        <v>56958</v>
      </c>
      <c r="JA57">
        <v>74239</v>
      </c>
      <c r="JB57">
        <v>65942</v>
      </c>
      <c r="JC57">
        <v>66869</v>
      </c>
      <c r="JD57">
        <v>58540</v>
      </c>
      <c r="JE57">
        <v>53574</v>
      </c>
      <c r="JF57">
        <v>48332</v>
      </c>
      <c r="JG57">
        <v>63178</v>
      </c>
      <c r="JH57">
        <v>52280</v>
      </c>
      <c r="JI57">
        <v>46438</v>
      </c>
      <c r="JJ57">
        <f t="shared" si="23"/>
        <v>689996</v>
      </c>
      <c r="JK57">
        <v>1222</v>
      </c>
      <c r="JL57">
        <v>1230</v>
      </c>
      <c r="JM57">
        <v>1141</v>
      </c>
      <c r="JN57">
        <v>1411</v>
      </c>
      <c r="JO57">
        <v>1500</v>
      </c>
      <c r="JP57">
        <v>1408</v>
      </c>
      <c r="JQ57">
        <v>1443</v>
      </c>
      <c r="JR57">
        <v>1266</v>
      </c>
      <c r="JS57">
        <v>1179</v>
      </c>
      <c r="JT57">
        <v>1530</v>
      </c>
      <c r="JU57">
        <v>1148</v>
      </c>
      <c r="JV57">
        <v>1162</v>
      </c>
      <c r="JW57">
        <f t="shared" si="24"/>
        <v>15640</v>
      </c>
      <c r="JX57">
        <v>16016</v>
      </c>
      <c r="JY57">
        <v>18517</v>
      </c>
      <c r="JZ57">
        <v>17873</v>
      </c>
      <c r="KA57">
        <v>16948</v>
      </c>
      <c r="KB57">
        <v>19806</v>
      </c>
      <c r="KC57">
        <v>19193</v>
      </c>
      <c r="KD57">
        <v>19972</v>
      </c>
      <c r="KE57">
        <v>16405</v>
      </c>
      <c r="KF57">
        <v>17926</v>
      </c>
      <c r="KG57">
        <v>20039</v>
      </c>
      <c r="KH57">
        <v>15869</v>
      </c>
      <c r="KI57">
        <v>20058</v>
      </c>
      <c r="KJ57">
        <f t="shared" si="25"/>
        <v>218622</v>
      </c>
      <c r="KK57">
        <v>0</v>
      </c>
      <c r="KL57">
        <v>0</v>
      </c>
      <c r="KM57">
        <v>0</v>
      </c>
      <c r="KN57">
        <v>0</v>
      </c>
      <c r="KO57">
        <v>0</v>
      </c>
      <c r="KP57">
        <v>0</v>
      </c>
      <c r="KQ57">
        <v>0</v>
      </c>
      <c r="KR57">
        <v>0</v>
      </c>
      <c r="KS57">
        <v>0</v>
      </c>
      <c r="KT57">
        <v>0</v>
      </c>
      <c r="KU57">
        <v>0</v>
      </c>
      <c r="KV57">
        <v>0</v>
      </c>
      <c r="KW57">
        <f t="shared" si="26"/>
        <v>0</v>
      </c>
      <c r="KX57">
        <v>0</v>
      </c>
      <c r="KY57">
        <v>0</v>
      </c>
      <c r="KZ57">
        <v>0</v>
      </c>
      <c r="LA57">
        <v>0</v>
      </c>
      <c r="LB57">
        <v>0</v>
      </c>
      <c r="LC57">
        <v>0</v>
      </c>
      <c r="LD57">
        <v>0</v>
      </c>
      <c r="LE57">
        <v>0</v>
      </c>
      <c r="LF57">
        <v>0</v>
      </c>
      <c r="LG57">
        <v>0</v>
      </c>
      <c r="LH57">
        <v>0</v>
      </c>
      <c r="LI57">
        <v>0</v>
      </c>
      <c r="LJ57">
        <f t="shared" si="27"/>
        <v>0</v>
      </c>
      <c r="LK57">
        <v>0</v>
      </c>
      <c r="LL57">
        <v>0</v>
      </c>
      <c r="LM57">
        <v>0</v>
      </c>
      <c r="LN57">
        <v>0</v>
      </c>
      <c r="LO57">
        <v>0</v>
      </c>
      <c r="LP57">
        <v>0</v>
      </c>
      <c r="LQ57">
        <v>0</v>
      </c>
      <c r="LR57">
        <v>0</v>
      </c>
      <c r="LS57">
        <v>0</v>
      </c>
      <c r="LT57">
        <v>0</v>
      </c>
      <c r="LU57">
        <v>0</v>
      </c>
      <c r="LV57">
        <v>0</v>
      </c>
      <c r="LW57">
        <f t="shared" si="28"/>
        <v>0</v>
      </c>
      <c r="LX57">
        <v>0</v>
      </c>
      <c r="LY57">
        <v>0</v>
      </c>
      <c r="LZ57">
        <v>0</v>
      </c>
      <c r="MA57">
        <v>0</v>
      </c>
      <c r="MB57">
        <v>0</v>
      </c>
      <c r="MC57">
        <v>0</v>
      </c>
      <c r="MD57">
        <v>0</v>
      </c>
      <c r="ME57">
        <v>0</v>
      </c>
      <c r="MF57">
        <v>0</v>
      </c>
      <c r="MG57">
        <v>0</v>
      </c>
      <c r="MH57">
        <v>0</v>
      </c>
      <c r="MI57">
        <v>0</v>
      </c>
      <c r="MJ57">
        <f t="shared" si="29"/>
        <v>0</v>
      </c>
      <c r="MK57">
        <v>2383</v>
      </c>
      <c r="ML57">
        <v>2598</v>
      </c>
      <c r="MM57">
        <v>2211</v>
      </c>
      <c r="MN57">
        <v>2419</v>
      </c>
      <c r="MO57">
        <v>2744</v>
      </c>
      <c r="MP57">
        <v>2421</v>
      </c>
      <c r="MQ57">
        <v>2672</v>
      </c>
      <c r="MR57">
        <v>2407</v>
      </c>
      <c r="MS57">
        <v>2370</v>
      </c>
      <c r="MT57">
        <v>2624</v>
      </c>
      <c r="MU57">
        <v>2444</v>
      </c>
      <c r="MV57">
        <v>2377</v>
      </c>
      <c r="MW57">
        <f t="shared" si="30"/>
        <v>29670</v>
      </c>
      <c r="MX57">
        <v>308</v>
      </c>
      <c r="MY57">
        <v>375</v>
      </c>
      <c r="MZ57">
        <v>261</v>
      </c>
      <c r="NA57">
        <v>330</v>
      </c>
      <c r="NB57">
        <v>426</v>
      </c>
      <c r="NC57">
        <v>265</v>
      </c>
      <c r="ND57">
        <v>491</v>
      </c>
      <c r="NE57">
        <v>352</v>
      </c>
      <c r="NF57">
        <v>337</v>
      </c>
      <c r="NG57">
        <v>434</v>
      </c>
      <c r="NH57">
        <v>335</v>
      </c>
      <c r="NI57">
        <v>334</v>
      </c>
      <c r="NJ57">
        <f t="shared" si="31"/>
        <v>4248</v>
      </c>
      <c r="NK57">
        <v>211</v>
      </c>
      <c r="NL57">
        <v>228</v>
      </c>
      <c r="NM57">
        <v>227</v>
      </c>
      <c r="NN57">
        <v>190</v>
      </c>
      <c r="NO57">
        <v>270</v>
      </c>
      <c r="NP57">
        <v>216</v>
      </c>
      <c r="NQ57">
        <v>196</v>
      </c>
      <c r="NR57">
        <v>221</v>
      </c>
      <c r="NS57">
        <v>224</v>
      </c>
      <c r="NT57">
        <v>263</v>
      </c>
      <c r="NU57">
        <v>254</v>
      </c>
      <c r="NV57">
        <v>210</v>
      </c>
      <c r="NW57">
        <f t="shared" si="32"/>
        <v>2710</v>
      </c>
      <c r="NX57">
        <v>1864</v>
      </c>
      <c r="NY57">
        <v>1995</v>
      </c>
      <c r="NZ57">
        <v>1723</v>
      </c>
      <c r="OA57">
        <v>1899</v>
      </c>
      <c r="OB57">
        <v>2048</v>
      </c>
      <c r="OC57">
        <v>1940</v>
      </c>
      <c r="OD57">
        <v>1985</v>
      </c>
      <c r="OE57">
        <v>1834</v>
      </c>
      <c r="OF57">
        <v>1809</v>
      </c>
      <c r="OG57">
        <v>1927</v>
      </c>
      <c r="OH57">
        <v>1855</v>
      </c>
      <c r="OI57">
        <v>1833</v>
      </c>
      <c r="OJ57">
        <f t="shared" si="33"/>
        <v>22712</v>
      </c>
      <c r="OK57">
        <v>2324</v>
      </c>
      <c r="OL57">
        <v>2378</v>
      </c>
      <c r="OM57">
        <v>2107</v>
      </c>
      <c r="ON57">
        <v>2265</v>
      </c>
      <c r="OO57">
        <v>2646</v>
      </c>
      <c r="OP57">
        <v>2425</v>
      </c>
      <c r="OQ57">
        <v>2344</v>
      </c>
      <c r="OR57">
        <v>2252</v>
      </c>
      <c r="OS57">
        <v>2230</v>
      </c>
      <c r="OT57">
        <v>2515</v>
      </c>
      <c r="OU57">
        <v>2255</v>
      </c>
      <c r="OV57">
        <v>2396</v>
      </c>
      <c r="OW57">
        <f t="shared" si="34"/>
        <v>28137</v>
      </c>
      <c r="OX57">
        <v>131</v>
      </c>
      <c r="OY57">
        <v>133</v>
      </c>
      <c r="OZ57">
        <v>139</v>
      </c>
      <c r="PA57">
        <v>142</v>
      </c>
      <c r="PB57">
        <v>200</v>
      </c>
      <c r="PC57">
        <v>155</v>
      </c>
      <c r="PD57">
        <v>173</v>
      </c>
      <c r="PE57">
        <v>110</v>
      </c>
      <c r="PF57">
        <v>132</v>
      </c>
      <c r="PG57">
        <v>143</v>
      </c>
      <c r="PH57">
        <v>139</v>
      </c>
      <c r="PI57">
        <v>133</v>
      </c>
      <c r="PJ57">
        <f t="shared" si="35"/>
        <v>1730</v>
      </c>
      <c r="PK57">
        <v>113</v>
      </c>
      <c r="PL57">
        <v>117</v>
      </c>
      <c r="PM57">
        <v>77</v>
      </c>
      <c r="PN57">
        <v>91</v>
      </c>
      <c r="PO57">
        <v>119</v>
      </c>
      <c r="PP57">
        <v>116</v>
      </c>
      <c r="PQ57">
        <v>114</v>
      </c>
      <c r="PR57">
        <v>108</v>
      </c>
      <c r="PS57">
        <v>110</v>
      </c>
      <c r="PT57">
        <v>104</v>
      </c>
      <c r="PU57">
        <v>112</v>
      </c>
      <c r="PV57">
        <v>132</v>
      </c>
      <c r="PW57">
        <f t="shared" si="36"/>
        <v>1313</v>
      </c>
      <c r="PX57">
        <v>2080</v>
      </c>
      <c r="PY57">
        <v>2128</v>
      </c>
      <c r="PZ57">
        <v>1891</v>
      </c>
      <c r="QA57">
        <v>2030</v>
      </c>
      <c r="QB57">
        <v>2327</v>
      </c>
      <c r="QC57">
        <v>2154</v>
      </c>
      <c r="QD57">
        <v>2057</v>
      </c>
      <c r="QE57">
        <v>2034</v>
      </c>
      <c r="QF57">
        <v>1988</v>
      </c>
      <c r="QG57">
        <v>2268</v>
      </c>
      <c r="QH57">
        <v>2004</v>
      </c>
      <c r="QI57">
        <v>2131</v>
      </c>
      <c r="QJ57">
        <f t="shared" si="37"/>
        <v>25092</v>
      </c>
      <c r="QK57" s="2">
        <v>105925</v>
      </c>
      <c r="QL57" s="2">
        <v>111741</v>
      </c>
      <c r="QM57" s="2">
        <v>103821</v>
      </c>
      <c r="QN57" s="2">
        <v>111270</v>
      </c>
      <c r="QO57" s="2">
        <v>100082</v>
      </c>
      <c r="QP57" s="2">
        <v>109177</v>
      </c>
      <c r="QQ57" s="2">
        <v>118508</v>
      </c>
      <c r="QR57" s="2">
        <v>112074</v>
      </c>
      <c r="QS57" s="2">
        <v>96173</v>
      </c>
      <c r="QT57" s="2">
        <v>114907</v>
      </c>
      <c r="QU57" s="2">
        <v>116373</v>
      </c>
      <c r="QV57" s="2">
        <v>120562</v>
      </c>
      <c r="QW57" s="2">
        <f t="shared" si="38"/>
        <v>1320613</v>
      </c>
      <c r="QX57" s="2">
        <v>0</v>
      </c>
      <c r="QY57" s="2">
        <v>0</v>
      </c>
      <c r="QZ57" s="2">
        <v>0</v>
      </c>
      <c r="RA57" s="2">
        <v>0</v>
      </c>
      <c r="RB57" s="2">
        <v>0</v>
      </c>
      <c r="RC57" s="2">
        <v>0</v>
      </c>
      <c r="RD57" s="2">
        <v>0</v>
      </c>
      <c r="RE57" s="2">
        <v>0</v>
      </c>
      <c r="RF57" s="2">
        <v>0</v>
      </c>
      <c r="RG57" s="2">
        <v>0</v>
      </c>
      <c r="RH57" s="2">
        <v>0</v>
      </c>
      <c r="RI57" s="2">
        <v>0</v>
      </c>
      <c r="RJ57" s="2">
        <f t="shared" si="39"/>
        <v>0</v>
      </c>
      <c r="RK57" s="2">
        <v>0</v>
      </c>
      <c r="RL57" s="2">
        <v>0</v>
      </c>
      <c r="RM57" s="2">
        <v>0</v>
      </c>
      <c r="RN57" s="2">
        <v>0</v>
      </c>
      <c r="RO57" s="2">
        <v>0</v>
      </c>
      <c r="RP57" s="2">
        <v>0</v>
      </c>
      <c r="RQ57" s="2">
        <v>0</v>
      </c>
      <c r="RR57" s="2">
        <v>0</v>
      </c>
      <c r="RS57" s="2">
        <v>0</v>
      </c>
      <c r="RT57" s="2">
        <v>0</v>
      </c>
      <c r="RU57" s="2">
        <v>0</v>
      </c>
      <c r="RV57" s="2">
        <v>0</v>
      </c>
      <c r="RW57" s="2">
        <f t="shared" si="40"/>
        <v>0</v>
      </c>
      <c r="RX57" s="2">
        <v>0</v>
      </c>
      <c r="RY57" s="2">
        <v>0</v>
      </c>
      <c r="RZ57" s="2">
        <v>0</v>
      </c>
      <c r="SA57" s="2">
        <v>0</v>
      </c>
      <c r="SB57" s="2">
        <v>0</v>
      </c>
      <c r="SC57" s="2">
        <v>0</v>
      </c>
      <c r="SD57" s="2">
        <v>0</v>
      </c>
      <c r="SE57" s="2">
        <v>0</v>
      </c>
      <c r="SF57" s="2">
        <v>0</v>
      </c>
      <c r="SG57" s="2">
        <v>0</v>
      </c>
      <c r="SH57" s="2">
        <v>0</v>
      </c>
      <c r="SI57" s="2">
        <v>0</v>
      </c>
      <c r="SJ57" s="2">
        <f t="shared" si="41"/>
        <v>0</v>
      </c>
      <c r="SK57" s="2">
        <v>0</v>
      </c>
      <c r="SL57" s="2">
        <v>0</v>
      </c>
      <c r="SM57" s="2">
        <v>0</v>
      </c>
      <c r="SN57" s="2">
        <v>0</v>
      </c>
      <c r="SO57" s="2">
        <v>0</v>
      </c>
      <c r="SP57" s="2">
        <v>0</v>
      </c>
      <c r="SQ57" s="2">
        <v>0</v>
      </c>
      <c r="SR57" s="2">
        <v>0</v>
      </c>
      <c r="SS57" s="2">
        <v>0</v>
      </c>
      <c r="ST57" s="2">
        <v>0</v>
      </c>
      <c r="SU57" s="2">
        <v>0</v>
      </c>
      <c r="SV57" s="2">
        <v>0</v>
      </c>
      <c r="SW57" s="2">
        <f t="shared" si="42"/>
        <v>0</v>
      </c>
      <c r="SX57" s="1" t="s">
        <v>1541</v>
      </c>
      <c r="SY57" s="2">
        <v>11118</v>
      </c>
      <c r="SZ57" s="2">
        <v>10872</v>
      </c>
      <c r="TA57" s="2">
        <v>10252</v>
      </c>
      <c r="TB57" s="2">
        <v>10664</v>
      </c>
      <c r="TC57" s="2">
        <v>10557</v>
      </c>
      <c r="TD57" s="2">
        <v>10464</v>
      </c>
      <c r="TE57" s="2">
        <v>11162</v>
      </c>
      <c r="TF57" s="2">
        <v>10005</v>
      </c>
      <c r="TG57" s="2">
        <v>5661</v>
      </c>
      <c r="TH57" s="2">
        <v>8115</v>
      </c>
      <c r="TI57" s="2">
        <v>9454</v>
      </c>
      <c r="TJ57" s="2">
        <v>10832</v>
      </c>
      <c r="TK57" s="2">
        <f t="shared" si="43"/>
        <v>119156</v>
      </c>
      <c r="TL57" s="2">
        <v>9498</v>
      </c>
      <c r="TM57" s="2">
        <v>8625</v>
      </c>
      <c r="TN57" s="2">
        <v>6976</v>
      </c>
      <c r="TO57" s="2">
        <v>5880</v>
      </c>
      <c r="TP57" s="2">
        <v>5423</v>
      </c>
      <c r="TQ57" s="2">
        <v>6162</v>
      </c>
      <c r="TR57" s="2">
        <v>7996</v>
      </c>
      <c r="TS57" s="2">
        <v>8154</v>
      </c>
      <c r="TT57" s="2">
        <v>6801</v>
      </c>
      <c r="TU57" s="2">
        <v>8295</v>
      </c>
      <c r="TV57" s="2">
        <v>7586</v>
      </c>
      <c r="TW57" s="2">
        <v>8554</v>
      </c>
      <c r="TX57" s="2">
        <f t="shared" si="44"/>
        <v>89950</v>
      </c>
      <c r="TY57">
        <v>166</v>
      </c>
      <c r="TZ57" s="2">
        <v>49</v>
      </c>
      <c r="UA57" s="2">
        <v>22</v>
      </c>
      <c r="UB57" s="2">
        <v>0</v>
      </c>
    </row>
    <row r="58" spans="1:548" ht="16.5" customHeight="1" x14ac:dyDescent="0.35">
      <c r="A58" t="s">
        <v>1451</v>
      </c>
      <c r="B58" t="s">
        <v>2865</v>
      </c>
      <c r="C58">
        <v>7275</v>
      </c>
      <c r="D58">
        <v>1440</v>
      </c>
      <c r="E58">
        <v>291</v>
      </c>
      <c r="F58">
        <v>5544</v>
      </c>
      <c r="G58">
        <v>58</v>
      </c>
      <c r="H58">
        <v>40</v>
      </c>
      <c r="I58">
        <v>46</v>
      </c>
      <c r="J58">
        <v>55</v>
      </c>
      <c r="K58">
        <v>51</v>
      </c>
      <c r="L58">
        <v>44</v>
      </c>
      <c r="M58">
        <v>58</v>
      </c>
      <c r="N58">
        <v>56</v>
      </c>
      <c r="O58">
        <v>38</v>
      </c>
      <c r="P58">
        <v>63</v>
      </c>
      <c r="Q58">
        <v>54</v>
      </c>
      <c r="R58">
        <v>46</v>
      </c>
      <c r="S58">
        <f t="shared" si="0"/>
        <v>609</v>
      </c>
      <c r="T58">
        <v>34</v>
      </c>
      <c r="U58">
        <v>26</v>
      </c>
      <c r="V58">
        <v>27</v>
      </c>
      <c r="W58">
        <v>23</v>
      </c>
      <c r="X58">
        <v>36</v>
      </c>
      <c r="Y58">
        <v>21</v>
      </c>
      <c r="Z58">
        <v>32</v>
      </c>
      <c r="AA58">
        <v>31</v>
      </c>
      <c r="AB58">
        <v>18</v>
      </c>
      <c r="AC58">
        <v>32</v>
      </c>
      <c r="AD58">
        <v>26</v>
      </c>
      <c r="AE58">
        <v>24</v>
      </c>
      <c r="AF58">
        <f t="shared" si="1"/>
        <v>330</v>
      </c>
      <c r="AG58">
        <v>0</v>
      </c>
      <c r="AH58">
        <v>0</v>
      </c>
      <c r="AI58">
        <v>0</v>
      </c>
      <c r="AJ58">
        <v>0</v>
      </c>
      <c r="AK58">
        <v>0</v>
      </c>
      <c r="AL58">
        <v>0</v>
      </c>
      <c r="AM58">
        <v>0</v>
      </c>
      <c r="AN58">
        <v>0</v>
      </c>
      <c r="AO58">
        <v>0</v>
      </c>
      <c r="AP58">
        <v>0</v>
      </c>
      <c r="AQ58">
        <v>0</v>
      </c>
      <c r="AR58">
        <v>0</v>
      </c>
      <c r="AS58">
        <f t="shared" si="2"/>
        <v>0</v>
      </c>
      <c r="AT58">
        <v>24</v>
      </c>
      <c r="AU58">
        <v>14</v>
      </c>
      <c r="AV58">
        <v>19</v>
      </c>
      <c r="AW58">
        <v>32</v>
      </c>
      <c r="AX58">
        <v>15</v>
      </c>
      <c r="AY58">
        <v>23</v>
      </c>
      <c r="AZ58">
        <v>26</v>
      </c>
      <c r="BA58">
        <v>25</v>
      </c>
      <c r="BB58">
        <v>20</v>
      </c>
      <c r="BC58">
        <v>31</v>
      </c>
      <c r="BD58">
        <v>28</v>
      </c>
      <c r="BE58">
        <v>22</v>
      </c>
      <c r="BF58">
        <f t="shared" si="3"/>
        <v>279</v>
      </c>
      <c r="BG58">
        <v>0</v>
      </c>
      <c r="BH58">
        <v>0</v>
      </c>
      <c r="BI58">
        <v>0</v>
      </c>
      <c r="BJ58">
        <v>0</v>
      </c>
      <c r="BK58">
        <v>0</v>
      </c>
      <c r="BL58">
        <v>0</v>
      </c>
      <c r="BM58">
        <v>0</v>
      </c>
      <c r="BN58">
        <v>0</v>
      </c>
      <c r="BO58">
        <v>0</v>
      </c>
      <c r="BP58">
        <v>0</v>
      </c>
      <c r="BQ58">
        <v>0</v>
      </c>
      <c r="BR58">
        <v>0</v>
      </c>
      <c r="BS58">
        <f t="shared" si="4"/>
        <v>0</v>
      </c>
      <c r="BT58">
        <v>0</v>
      </c>
      <c r="BU58">
        <v>0</v>
      </c>
      <c r="BV58">
        <v>0</v>
      </c>
      <c r="BW58">
        <v>0</v>
      </c>
      <c r="BX58">
        <v>0</v>
      </c>
      <c r="BY58">
        <v>0</v>
      </c>
      <c r="BZ58">
        <v>0</v>
      </c>
      <c r="CA58">
        <v>0</v>
      </c>
      <c r="CB58">
        <v>0</v>
      </c>
      <c r="CC58">
        <v>0</v>
      </c>
      <c r="CD58">
        <v>0</v>
      </c>
      <c r="CE58">
        <v>0</v>
      </c>
      <c r="CF58">
        <f t="shared" si="5"/>
        <v>0</v>
      </c>
      <c r="CG58">
        <v>0</v>
      </c>
      <c r="CH58">
        <v>0</v>
      </c>
      <c r="CI58">
        <v>0</v>
      </c>
      <c r="CJ58">
        <v>0</v>
      </c>
      <c r="CK58">
        <v>0</v>
      </c>
      <c r="CL58">
        <v>0</v>
      </c>
      <c r="CM58">
        <v>0</v>
      </c>
      <c r="CN58">
        <v>0</v>
      </c>
      <c r="CO58">
        <v>0</v>
      </c>
      <c r="CP58">
        <v>0</v>
      </c>
      <c r="CQ58">
        <v>0</v>
      </c>
      <c r="CR58">
        <v>0</v>
      </c>
      <c r="CS58">
        <f t="shared" si="6"/>
        <v>0</v>
      </c>
      <c r="CT58">
        <v>0</v>
      </c>
      <c r="CU58">
        <v>0</v>
      </c>
      <c r="CV58">
        <v>0</v>
      </c>
      <c r="CW58">
        <v>0</v>
      </c>
      <c r="CX58">
        <v>0</v>
      </c>
      <c r="CY58">
        <v>0</v>
      </c>
      <c r="CZ58">
        <v>0</v>
      </c>
      <c r="DA58">
        <v>0</v>
      </c>
      <c r="DB58">
        <v>0</v>
      </c>
      <c r="DC58">
        <v>0</v>
      </c>
      <c r="DD58">
        <v>0</v>
      </c>
      <c r="DE58">
        <v>0</v>
      </c>
      <c r="DF58">
        <f t="shared" si="7"/>
        <v>0</v>
      </c>
      <c r="DG58">
        <v>0</v>
      </c>
      <c r="DH58">
        <v>0</v>
      </c>
      <c r="DI58">
        <v>0</v>
      </c>
      <c r="DJ58">
        <v>0</v>
      </c>
      <c r="DK58">
        <v>0</v>
      </c>
      <c r="DL58">
        <v>0</v>
      </c>
      <c r="DM58">
        <v>0</v>
      </c>
      <c r="DN58">
        <v>0</v>
      </c>
      <c r="DO58">
        <v>0</v>
      </c>
      <c r="DP58">
        <v>0</v>
      </c>
      <c r="DQ58">
        <v>0</v>
      </c>
      <c r="DR58">
        <v>0</v>
      </c>
      <c r="DS58">
        <f t="shared" si="8"/>
        <v>0</v>
      </c>
      <c r="DT58">
        <v>0</v>
      </c>
      <c r="DU58">
        <v>0</v>
      </c>
      <c r="DV58">
        <v>0</v>
      </c>
      <c r="DW58">
        <v>0</v>
      </c>
      <c r="DX58">
        <v>0</v>
      </c>
      <c r="DY58">
        <v>0</v>
      </c>
      <c r="DZ58">
        <v>0</v>
      </c>
      <c r="EA58">
        <v>0</v>
      </c>
      <c r="EB58">
        <v>0</v>
      </c>
      <c r="EC58">
        <v>0</v>
      </c>
      <c r="ED58">
        <v>0</v>
      </c>
      <c r="EE58">
        <v>0</v>
      </c>
      <c r="EF58">
        <f t="shared" si="9"/>
        <v>0</v>
      </c>
      <c r="EG58">
        <f t="shared" si="10"/>
        <v>609</v>
      </c>
      <c r="EH58">
        <f t="shared" si="11"/>
        <v>0</v>
      </c>
      <c r="EI58">
        <v>3119</v>
      </c>
      <c r="EJ58">
        <v>643</v>
      </c>
      <c r="EK58">
        <v>829</v>
      </c>
      <c r="EL58">
        <v>824</v>
      </c>
      <c r="EM58">
        <v>793</v>
      </c>
      <c r="EN58">
        <v>658</v>
      </c>
      <c r="EO58">
        <v>114</v>
      </c>
      <c r="EP58">
        <v>857</v>
      </c>
      <c r="EQ58">
        <v>558</v>
      </c>
      <c r="ER58">
        <v>821</v>
      </c>
      <c r="ES58">
        <v>829</v>
      </c>
      <c r="ET58">
        <v>745</v>
      </c>
      <c r="EU58">
        <f t="shared" si="12"/>
        <v>10790</v>
      </c>
      <c r="EV58">
        <v>2538</v>
      </c>
      <c r="EW58">
        <v>339</v>
      </c>
      <c r="EX58">
        <v>348</v>
      </c>
      <c r="EY58">
        <v>395</v>
      </c>
      <c r="EZ58">
        <v>345</v>
      </c>
      <c r="FA58">
        <v>284</v>
      </c>
      <c r="FB58">
        <v>521</v>
      </c>
      <c r="FC58">
        <v>391</v>
      </c>
      <c r="FD58">
        <v>199</v>
      </c>
      <c r="FE58">
        <v>342</v>
      </c>
      <c r="FF58">
        <v>323</v>
      </c>
      <c r="FG58">
        <v>391</v>
      </c>
      <c r="FH58">
        <f t="shared" si="13"/>
        <v>6416</v>
      </c>
      <c r="FI58">
        <v>0</v>
      </c>
      <c r="FJ58">
        <v>0</v>
      </c>
      <c r="FK58">
        <v>0</v>
      </c>
      <c r="FL58">
        <v>0</v>
      </c>
      <c r="FM58">
        <v>0</v>
      </c>
      <c r="FN58">
        <v>0</v>
      </c>
      <c r="FO58">
        <v>0</v>
      </c>
      <c r="FP58">
        <v>0</v>
      </c>
      <c r="FQ58">
        <v>0</v>
      </c>
      <c r="FR58">
        <v>0</v>
      </c>
      <c r="FS58">
        <v>0</v>
      </c>
      <c r="FT58">
        <v>0</v>
      </c>
      <c r="FU58">
        <f t="shared" si="14"/>
        <v>0</v>
      </c>
      <c r="FV58">
        <v>581</v>
      </c>
      <c r="FW58">
        <v>304</v>
      </c>
      <c r="FX58">
        <v>481</v>
      </c>
      <c r="FY58">
        <v>429</v>
      </c>
      <c r="FZ58">
        <v>448</v>
      </c>
      <c r="GA58">
        <v>374</v>
      </c>
      <c r="GB58">
        <v>593</v>
      </c>
      <c r="GC58">
        <v>466</v>
      </c>
      <c r="GD58">
        <v>359</v>
      </c>
      <c r="GE58">
        <v>479</v>
      </c>
      <c r="GF58">
        <v>506</v>
      </c>
      <c r="GG58">
        <v>354</v>
      </c>
      <c r="GH58">
        <f t="shared" si="15"/>
        <v>5374</v>
      </c>
      <c r="GI58">
        <v>0</v>
      </c>
      <c r="GJ58">
        <v>0</v>
      </c>
      <c r="GK58">
        <v>0</v>
      </c>
      <c r="GL58">
        <v>0</v>
      </c>
      <c r="GM58">
        <v>0</v>
      </c>
      <c r="GN58">
        <v>0</v>
      </c>
      <c r="GO58">
        <v>0</v>
      </c>
      <c r="GP58">
        <v>0</v>
      </c>
      <c r="GQ58">
        <v>0</v>
      </c>
      <c r="GR58">
        <v>0</v>
      </c>
      <c r="GS58">
        <v>0</v>
      </c>
      <c r="GT58">
        <v>0</v>
      </c>
      <c r="GU58">
        <f t="shared" si="16"/>
        <v>0</v>
      </c>
      <c r="GV58">
        <v>0</v>
      </c>
      <c r="GW58">
        <v>0</v>
      </c>
      <c r="GX58">
        <v>0</v>
      </c>
      <c r="GY58">
        <v>0</v>
      </c>
      <c r="GZ58">
        <v>0</v>
      </c>
      <c r="HA58">
        <v>0</v>
      </c>
      <c r="HB58">
        <v>0</v>
      </c>
      <c r="HC58">
        <v>0</v>
      </c>
      <c r="HD58">
        <v>0</v>
      </c>
      <c r="HE58">
        <v>0</v>
      </c>
      <c r="HF58">
        <v>0</v>
      </c>
      <c r="HG58">
        <v>0</v>
      </c>
      <c r="HH58">
        <f t="shared" si="17"/>
        <v>0</v>
      </c>
      <c r="HI58">
        <v>0</v>
      </c>
      <c r="HJ58">
        <v>0</v>
      </c>
      <c r="HK58">
        <v>0</v>
      </c>
      <c r="HL58">
        <v>0</v>
      </c>
      <c r="HM58">
        <v>0</v>
      </c>
      <c r="HN58">
        <v>0</v>
      </c>
      <c r="HO58">
        <v>0</v>
      </c>
      <c r="HP58">
        <v>0</v>
      </c>
      <c r="HQ58">
        <v>0</v>
      </c>
      <c r="HR58">
        <v>0</v>
      </c>
      <c r="HS58">
        <v>0</v>
      </c>
      <c r="HT58">
        <v>0</v>
      </c>
      <c r="HU58">
        <f t="shared" si="18"/>
        <v>0</v>
      </c>
      <c r="HV58">
        <v>0</v>
      </c>
      <c r="HW58">
        <v>0</v>
      </c>
      <c r="HX58">
        <v>0</v>
      </c>
      <c r="HY58">
        <v>0</v>
      </c>
      <c r="HZ58">
        <v>0</v>
      </c>
      <c r="IA58">
        <v>0</v>
      </c>
      <c r="IB58">
        <v>0</v>
      </c>
      <c r="IC58">
        <v>0</v>
      </c>
      <c r="ID58">
        <v>0</v>
      </c>
      <c r="IE58">
        <v>0</v>
      </c>
      <c r="IF58">
        <v>0</v>
      </c>
      <c r="IG58">
        <v>0</v>
      </c>
      <c r="IH58">
        <f t="shared" si="19"/>
        <v>0</v>
      </c>
      <c r="II58">
        <f t="shared" si="20"/>
        <v>11790</v>
      </c>
      <c r="IJ58">
        <f t="shared" si="21"/>
        <v>0</v>
      </c>
      <c r="IK58">
        <v>14081</v>
      </c>
      <c r="IL58">
        <v>13628</v>
      </c>
      <c r="IM58">
        <v>12640</v>
      </c>
      <c r="IN58">
        <v>1538</v>
      </c>
      <c r="IO58">
        <v>14440</v>
      </c>
      <c r="IP58">
        <v>14835</v>
      </c>
      <c r="IQ58">
        <v>13397</v>
      </c>
      <c r="IR58">
        <v>13603</v>
      </c>
      <c r="IS58">
        <v>10762</v>
      </c>
      <c r="IT58">
        <v>14591</v>
      </c>
      <c r="IU58">
        <v>13199</v>
      </c>
      <c r="IV58">
        <v>14258</v>
      </c>
      <c r="IW58">
        <f t="shared" si="22"/>
        <v>150972</v>
      </c>
      <c r="IX58">
        <v>3271</v>
      </c>
      <c r="IY58">
        <v>3485</v>
      </c>
      <c r="IZ58">
        <v>2744</v>
      </c>
      <c r="JA58">
        <v>3682</v>
      </c>
      <c r="JB58">
        <v>3748</v>
      </c>
      <c r="JC58">
        <v>3616</v>
      </c>
      <c r="JD58">
        <v>3446</v>
      </c>
      <c r="JE58">
        <v>3374</v>
      </c>
      <c r="JF58">
        <v>2103</v>
      </c>
      <c r="JG58">
        <v>3561</v>
      </c>
      <c r="JH58">
        <v>3542</v>
      </c>
      <c r="JI58">
        <v>3619</v>
      </c>
      <c r="JJ58">
        <f t="shared" si="23"/>
        <v>40191</v>
      </c>
      <c r="JK58">
        <v>129</v>
      </c>
      <c r="JL58">
        <v>121</v>
      </c>
      <c r="JM58">
        <v>117</v>
      </c>
      <c r="JN58">
        <v>137</v>
      </c>
      <c r="JO58">
        <v>161</v>
      </c>
      <c r="JP58">
        <v>143</v>
      </c>
      <c r="JQ58">
        <v>133</v>
      </c>
      <c r="JR58">
        <v>134</v>
      </c>
      <c r="JS58">
        <v>80</v>
      </c>
      <c r="JT58">
        <v>143</v>
      </c>
      <c r="JU58">
        <v>106</v>
      </c>
      <c r="JV58">
        <v>143</v>
      </c>
      <c r="JW58">
        <f t="shared" si="24"/>
        <v>1547</v>
      </c>
      <c r="JX58">
        <v>10681</v>
      </c>
      <c r="JY58">
        <v>10022</v>
      </c>
      <c r="JZ58">
        <v>9779</v>
      </c>
      <c r="KA58">
        <v>11560</v>
      </c>
      <c r="KB58">
        <v>10531</v>
      </c>
      <c r="KC58">
        <v>11076</v>
      </c>
      <c r="KD58">
        <v>9818</v>
      </c>
      <c r="KE58">
        <v>10095</v>
      </c>
      <c r="KF58">
        <v>8579</v>
      </c>
      <c r="KG58">
        <v>10887</v>
      </c>
      <c r="KH58">
        <v>9551</v>
      </c>
      <c r="KI58">
        <v>10496</v>
      </c>
      <c r="KJ58">
        <f t="shared" si="25"/>
        <v>123075</v>
      </c>
      <c r="KK58">
        <v>610</v>
      </c>
      <c r="KL58">
        <v>633</v>
      </c>
      <c r="KM58">
        <v>546</v>
      </c>
      <c r="KN58">
        <v>584</v>
      </c>
      <c r="KO58">
        <v>521</v>
      </c>
      <c r="KP58">
        <v>609</v>
      </c>
      <c r="KQ58">
        <v>462</v>
      </c>
      <c r="KR58">
        <v>514</v>
      </c>
      <c r="KS58">
        <v>436</v>
      </c>
      <c r="KT58">
        <v>491</v>
      </c>
      <c r="KU58">
        <v>461</v>
      </c>
      <c r="KV58">
        <v>505</v>
      </c>
      <c r="KW58">
        <f t="shared" si="26"/>
        <v>6372</v>
      </c>
      <c r="KX58">
        <v>39</v>
      </c>
      <c r="KY58">
        <v>40</v>
      </c>
      <c r="KZ58">
        <v>39</v>
      </c>
      <c r="LA58">
        <v>37</v>
      </c>
      <c r="LB58">
        <v>43</v>
      </c>
      <c r="LC58">
        <v>39</v>
      </c>
      <c r="LD58">
        <v>35</v>
      </c>
      <c r="LE58">
        <v>22</v>
      </c>
      <c r="LF58">
        <v>17</v>
      </c>
      <c r="LG58">
        <v>24</v>
      </c>
      <c r="LH58">
        <v>30</v>
      </c>
      <c r="LI58">
        <v>18</v>
      </c>
      <c r="LJ58">
        <f t="shared" si="27"/>
        <v>383</v>
      </c>
      <c r="LK58">
        <v>0</v>
      </c>
      <c r="LL58">
        <v>0</v>
      </c>
      <c r="LM58">
        <v>0</v>
      </c>
      <c r="LN58">
        <v>0</v>
      </c>
      <c r="LO58">
        <v>0</v>
      </c>
      <c r="LP58">
        <v>0</v>
      </c>
      <c r="LQ58">
        <v>0</v>
      </c>
      <c r="LR58">
        <v>0</v>
      </c>
      <c r="LS58">
        <v>0</v>
      </c>
      <c r="LT58">
        <v>0</v>
      </c>
      <c r="LU58">
        <v>0</v>
      </c>
      <c r="LV58">
        <v>0</v>
      </c>
      <c r="LW58">
        <f t="shared" si="28"/>
        <v>0</v>
      </c>
      <c r="LX58">
        <v>571</v>
      </c>
      <c r="LY58">
        <v>593</v>
      </c>
      <c r="LZ58">
        <v>507</v>
      </c>
      <c r="MA58">
        <v>547</v>
      </c>
      <c r="MB58">
        <v>478</v>
      </c>
      <c r="MC58">
        <v>570</v>
      </c>
      <c r="MD58">
        <v>427</v>
      </c>
      <c r="ME58">
        <v>492</v>
      </c>
      <c r="MF58">
        <v>419</v>
      </c>
      <c r="MG58">
        <v>467</v>
      </c>
      <c r="MH58">
        <v>431</v>
      </c>
      <c r="MI58">
        <v>487</v>
      </c>
      <c r="MJ58">
        <f t="shared" si="29"/>
        <v>5989</v>
      </c>
      <c r="MK58">
        <v>295</v>
      </c>
      <c r="ML58">
        <v>300</v>
      </c>
      <c r="MM58">
        <v>259</v>
      </c>
      <c r="MN58">
        <v>268</v>
      </c>
      <c r="MO58">
        <v>269</v>
      </c>
      <c r="MP58">
        <v>231</v>
      </c>
      <c r="MQ58">
        <v>238</v>
      </c>
      <c r="MR58">
        <v>197</v>
      </c>
      <c r="MS58">
        <v>186</v>
      </c>
      <c r="MT58">
        <v>332</v>
      </c>
      <c r="MU58">
        <v>344</v>
      </c>
      <c r="MV58">
        <v>276</v>
      </c>
      <c r="MW58">
        <f t="shared" si="30"/>
        <v>3195</v>
      </c>
      <c r="MX58">
        <v>60</v>
      </c>
      <c r="MY58">
        <v>51</v>
      </c>
      <c r="MZ58">
        <v>29</v>
      </c>
      <c r="NA58">
        <v>35</v>
      </c>
      <c r="NB58">
        <v>28</v>
      </c>
      <c r="NC58">
        <v>24</v>
      </c>
      <c r="ND58">
        <v>52</v>
      </c>
      <c r="NE58">
        <v>30</v>
      </c>
      <c r="NF58">
        <v>23</v>
      </c>
      <c r="NG58">
        <v>48</v>
      </c>
      <c r="NH58">
        <v>48</v>
      </c>
      <c r="NI58">
        <v>39</v>
      </c>
      <c r="NJ58">
        <f t="shared" si="31"/>
        <v>467</v>
      </c>
      <c r="NK58">
        <v>24</v>
      </c>
      <c r="NL58">
        <v>29</v>
      </c>
      <c r="NM58">
        <v>30</v>
      </c>
      <c r="NN58">
        <v>29</v>
      </c>
      <c r="NO58">
        <v>32</v>
      </c>
      <c r="NP58">
        <v>41</v>
      </c>
      <c r="NQ58">
        <v>34</v>
      </c>
      <c r="NR58">
        <v>23</v>
      </c>
      <c r="NS58">
        <v>23</v>
      </c>
      <c r="NT58">
        <v>30</v>
      </c>
      <c r="NU58">
        <v>26</v>
      </c>
      <c r="NV58">
        <v>34</v>
      </c>
      <c r="NW58">
        <f t="shared" si="32"/>
        <v>355</v>
      </c>
      <c r="NX58">
        <v>211</v>
      </c>
      <c r="NY58">
        <v>220</v>
      </c>
      <c r="NZ58">
        <v>200</v>
      </c>
      <c r="OA58">
        <v>204</v>
      </c>
      <c r="OB58">
        <v>209</v>
      </c>
      <c r="OC58">
        <v>166</v>
      </c>
      <c r="OD58">
        <v>152</v>
      </c>
      <c r="OE58">
        <v>144</v>
      </c>
      <c r="OF58">
        <v>140</v>
      </c>
      <c r="OG58">
        <v>254</v>
      </c>
      <c r="OH58">
        <v>270</v>
      </c>
      <c r="OI58">
        <v>203</v>
      </c>
      <c r="OJ58">
        <f t="shared" si="33"/>
        <v>2373</v>
      </c>
      <c r="OK58">
        <v>442</v>
      </c>
      <c r="OL58">
        <v>504</v>
      </c>
      <c r="OM58">
        <v>557</v>
      </c>
      <c r="ON58">
        <v>559</v>
      </c>
      <c r="OO58">
        <v>570</v>
      </c>
      <c r="OP58">
        <v>564</v>
      </c>
      <c r="OQ58">
        <v>540</v>
      </c>
      <c r="OR58">
        <v>451</v>
      </c>
      <c r="OS58">
        <v>434</v>
      </c>
      <c r="OT58">
        <v>509</v>
      </c>
      <c r="OU58">
        <v>589</v>
      </c>
      <c r="OV58">
        <v>537</v>
      </c>
      <c r="OW58">
        <f t="shared" si="34"/>
        <v>6256</v>
      </c>
      <c r="OX58">
        <v>24</v>
      </c>
      <c r="OY58">
        <v>16</v>
      </c>
      <c r="OZ58">
        <v>20</v>
      </c>
      <c r="PA58">
        <v>22</v>
      </c>
      <c r="PB58">
        <v>41</v>
      </c>
      <c r="PC58">
        <v>35</v>
      </c>
      <c r="PD58">
        <v>50</v>
      </c>
      <c r="PE58">
        <v>20</v>
      </c>
      <c r="PF58">
        <v>23</v>
      </c>
      <c r="PG58">
        <v>25</v>
      </c>
      <c r="PH58">
        <v>29</v>
      </c>
      <c r="PI58">
        <v>23</v>
      </c>
      <c r="PJ58">
        <f t="shared" si="35"/>
        <v>328</v>
      </c>
      <c r="PK58">
        <v>8</v>
      </c>
      <c r="PL58">
        <v>2</v>
      </c>
      <c r="PM58">
        <v>5</v>
      </c>
      <c r="PN58">
        <v>3</v>
      </c>
      <c r="PO58">
        <v>5</v>
      </c>
      <c r="PP58">
        <v>6</v>
      </c>
      <c r="PQ58">
        <v>12</v>
      </c>
      <c r="PR58">
        <v>9</v>
      </c>
      <c r="PS58">
        <v>0</v>
      </c>
      <c r="PT58">
        <v>11</v>
      </c>
      <c r="PU58">
        <v>11</v>
      </c>
      <c r="PV58">
        <v>7</v>
      </c>
      <c r="PW58">
        <f t="shared" si="36"/>
        <v>79</v>
      </c>
      <c r="PX58">
        <v>410</v>
      </c>
      <c r="PY58">
        <v>486</v>
      </c>
      <c r="PZ58">
        <v>532</v>
      </c>
      <c r="QA58">
        <v>534</v>
      </c>
      <c r="QB58">
        <v>524</v>
      </c>
      <c r="QC58">
        <v>523</v>
      </c>
      <c r="QD58">
        <v>478</v>
      </c>
      <c r="QE58">
        <v>422</v>
      </c>
      <c r="QF58">
        <v>411</v>
      </c>
      <c r="QG58">
        <v>473</v>
      </c>
      <c r="QH58">
        <v>549</v>
      </c>
      <c r="QI58">
        <v>507</v>
      </c>
      <c r="QJ58">
        <f t="shared" si="37"/>
        <v>5849</v>
      </c>
      <c r="QK58">
        <v>9246</v>
      </c>
      <c r="QL58">
        <v>8669</v>
      </c>
      <c r="QM58">
        <v>7851</v>
      </c>
      <c r="QN58">
        <v>8785</v>
      </c>
      <c r="QO58">
        <v>8368</v>
      </c>
      <c r="QP58">
        <v>8354</v>
      </c>
      <c r="QQ58">
        <v>9065</v>
      </c>
      <c r="QR58">
        <v>11126</v>
      </c>
      <c r="QS58">
        <v>8390</v>
      </c>
      <c r="QT58">
        <v>11085</v>
      </c>
      <c r="QU58">
        <v>10796</v>
      </c>
      <c r="QV58">
        <v>11548</v>
      </c>
      <c r="QW58">
        <f t="shared" si="38"/>
        <v>113283</v>
      </c>
      <c r="QX58">
        <v>0</v>
      </c>
      <c r="QY58">
        <v>0</v>
      </c>
      <c r="QZ58">
        <v>0</v>
      </c>
      <c r="RA58">
        <v>0</v>
      </c>
      <c r="RB58">
        <v>0</v>
      </c>
      <c r="RC58">
        <v>0</v>
      </c>
      <c r="RD58">
        <v>0</v>
      </c>
      <c r="RE58">
        <v>0</v>
      </c>
      <c r="RF58">
        <v>0</v>
      </c>
      <c r="RG58">
        <v>0</v>
      </c>
      <c r="RH58">
        <v>0</v>
      </c>
      <c r="RI58">
        <v>0</v>
      </c>
      <c r="RJ58">
        <f t="shared" si="39"/>
        <v>0</v>
      </c>
      <c r="RK58">
        <v>0</v>
      </c>
      <c r="RL58">
        <v>0</v>
      </c>
      <c r="RM58">
        <v>0</v>
      </c>
      <c r="RN58">
        <v>0</v>
      </c>
      <c r="RO58">
        <v>0</v>
      </c>
      <c r="RP58">
        <v>0</v>
      </c>
      <c r="RQ58">
        <v>0</v>
      </c>
      <c r="RR58">
        <v>0</v>
      </c>
      <c r="RS58">
        <v>0</v>
      </c>
      <c r="RT58">
        <v>0</v>
      </c>
      <c r="RU58">
        <v>0</v>
      </c>
      <c r="RV58">
        <v>0</v>
      </c>
      <c r="RW58">
        <f t="shared" si="40"/>
        <v>0</v>
      </c>
      <c r="RX58">
        <v>0</v>
      </c>
      <c r="RY58">
        <v>0</v>
      </c>
      <c r="RZ58">
        <v>0</v>
      </c>
      <c r="SA58">
        <v>0</v>
      </c>
      <c r="SB58">
        <v>0</v>
      </c>
      <c r="SC58">
        <v>0</v>
      </c>
      <c r="SD58">
        <v>0</v>
      </c>
      <c r="SE58">
        <v>0</v>
      </c>
      <c r="SF58">
        <v>0</v>
      </c>
      <c r="SG58">
        <v>0</v>
      </c>
      <c r="SH58">
        <v>0</v>
      </c>
      <c r="SI58">
        <v>0</v>
      </c>
      <c r="SJ58">
        <f t="shared" si="41"/>
        <v>0</v>
      </c>
      <c r="SK58">
        <v>1828</v>
      </c>
      <c r="SL58">
        <v>1268</v>
      </c>
      <c r="SM58">
        <v>1429</v>
      </c>
      <c r="SN58">
        <v>1745</v>
      </c>
      <c r="SO58">
        <v>1701</v>
      </c>
      <c r="SP58">
        <v>1790</v>
      </c>
      <c r="SQ58">
        <v>1147</v>
      </c>
      <c r="SR58">
        <v>1375</v>
      </c>
      <c r="SS58">
        <v>855</v>
      </c>
      <c r="ST58">
        <v>971</v>
      </c>
      <c r="SU58">
        <v>1184</v>
      </c>
      <c r="SV58">
        <v>1140</v>
      </c>
      <c r="SW58">
        <f t="shared" si="42"/>
        <v>16433</v>
      </c>
      <c r="SX58" t="s">
        <v>1452</v>
      </c>
      <c r="SY58">
        <v>396</v>
      </c>
      <c r="SZ58">
        <v>394</v>
      </c>
      <c r="TA58">
        <v>399</v>
      </c>
      <c r="TB58">
        <v>471</v>
      </c>
      <c r="TC58">
        <v>363</v>
      </c>
      <c r="TD58">
        <v>447</v>
      </c>
      <c r="TE58">
        <v>350</v>
      </c>
      <c r="TF58">
        <v>370</v>
      </c>
      <c r="TG58">
        <v>309</v>
      </c>
      <c r="TH58">
        <v>457</v>
      </c>
      <c r="TI58">
        <v>393</v>
      </c>
      <c r="TJ58">
        <v>407</v>
      </c>
      <c r="TK58">
        <f t="shared" si="43"/>
        <v>4756</v>
      </c>
      <c r="TL58">
        <v>0</v>
      </c>
      <c r="TM58">
        <v>0</v>
      </c>
      <c r="TN58">
        <v>0</v>
      </c>
      <c r="TO58">
        <v>0</v>
      </c>
      <c r="TP58">
        <v>0</v>
      </c>
      <c r="TQ58">
        <v>0</v>
      </c>
      <c r="TR58">
        <v>0</v>
      </c>
      <c r="TS58">
        <v>0</v>
      </c>
      <c r="TT58">
        <v>0</v>
      </c>
      <c r="TU58">
        <v>0</v>
      </c>
      <c r="TV58">
        <v>0</v>
      </c>
      <c r="TW58">
        <v>0</v>
      </c>
      <c r="TX58">
        <f t="shared" si="44"/>
        <v>0</v>
      </c>
      <c r="TY58">
        <v>20</v>
      </c>
      <c r="TZ58">
        <v>0</v>
      </c>
      <c r="UA58">
        <v>0</v>
      </c>
      <c r="UB58">
        <v>0</v>
      </c>
    </row>
    <row r="59" spans="1:548" ht="16.5" customHeight="1" x14ac:dyDescent="0.35">
      <c r="A59" t="s">
        <v>1371</v>
      </c>
      <c r="B59" t="s">
        <v>2865</v>
      </c>
      <c r="C59">
        <v>15449</v>
      </c>
      <c r="D59">
        <v>4849</v>
      </c>
      <c r="E59">
        <v>1242</v>
      </c>
      <c r="F59">
        <v>9358</v>
      </c>
      <c r="G59">
        <v>33</v>
      </c>
      <c r="H59">
        <v>33</v>
      </c>
      <c r="I59">
        <v>61</v>
      </c>
      <c r="J59">
        <v>35</v>
      </c>
      <c r="K59">
        <v>40</v>
      </c>
      <c r="L59">
        <v>29</v>
      </c>
      <c r="M59">
        <v>66</v>
      </c>
      <c r="N59">
        <v>64</v>
      </c>
      <c r="O59">
        <v>37</v>
      </c>
      <c r="P59">
        <v>31</v>
      </c>
      <c r="Q59">
        <v>48</v>
      </c>
      <c r="R59">
        <v>49</v>
      </c>
      <c r="S59">
        <f t="shared" si="0"/>
        <v>526</v>
      </c>
      <c r="T59">
        <v>30</v>
      </c>
      <c r="U59">
        <v>29</v>
      </c>
      <c r="V59">
        <v>46</v>
      </c>
      <c r="W59">
        <v>25</v>
      </c>
      <c r="X59">
        <v>33</v>
      </c>
      <c r="Y59">
        <v>16</v>
      </c>
      <c r="Z59">
        <v>48</v>
      </c>
      <c r="AA59">
        <v>41</v>
      </c>
      <c r="AB59">
        <v>27</v>
      </c>
      <c r="AC59">
        <v>15</v>
      </c>
      <c r="AD59">
        <v>28</v>
      </c>
      <c r="AE59">
        <v>39</v>
      </c>
      <c r="AF59">
        <f t="shared" si="1"/>
        <v>377</v>
      </c>
      <c r="AG59">
        <v>14</v>
      </c>
      <c r="AH59">
        <v>9</v>
      </c>
      <c r="AI59">
        <v>4</v>
      </c>
      <c r="AJ59">
        <v>4</v>
      </c>
      <c r="AK59">
        <v>15</v>
      </c>
      <c r="AL59">
        <v>8</v>
      </c>
      <c r="AM59">
        <v>21</v>
      </c>
      <c r="AN59">
        <v>30</v>
      </c>
      <c r="AO59">
        <v>5</v>
      </c>
      <c r="AP59">
        <v>8</v>
      </c>
      <c r="AQ59">
        <v>9</v>
      </c>
      <c r="AR59">
        <v>8</v>
      </c>
      <c r="AS59">
        <f t="shared" si="2"/>
        <v>135</v>
      </c>
      <c r="AT59">
        <v>17</v>
      </c>
      <c r="AU59">
        <v>9</v>
      </c>
      <c r="AV59">
        <v>37</v>
      </c>
      <c r="AW59">
        <v>14</v>
      </c>
      <c r="AX59">
        <v>21</v>
      </c>
      <c r="AY59">
        <v>15</v>
      </c>
      <c r="AZ59">
        <v>26</v>
      </c>
      <c r="BA59">
        <v>38</v>
      </c>
      <c r="BB59">
        <v>8</v>
      </c>
      <c r="BC59">
        <v>17</v>
      </c>
      <c r="BD59">
        <v>25</v>
      </c>
      <c r="BE59">
        <v>14</v>
      </c>
      <c r="BF59">
        <f t="shared" si="3"/>
        <v>241</v>
      </c>
      <c r="BG59">
        <v>13</v>
      </c>
      <c r="BH59">
        <v>5</v>
      </c>
      <c r="BI59">
        <v>4</v>
      </c>
      <c r="BJ59">
        <v>4</v>
      </c>
      <c r="BK59">
        <v>14</v>
      </c>
      <c r="BL59">
        <v>2</v>
      </c>
      <c r="BM59">
        <v>5</v>
      </c>
      <c r="BN59">
        <v>21</v>
      </c>
      <c r="BO59">
        <v>2</v>
      </c>
      <c r="BP59">
        <v>0</v>
      </c>
      <c r="BQ59">
        <v>1</v>
      </c>
      <c r="BR59">
        <v>1</v>
      </c>
      <c r="BS59">
        <f t="shared" si="4"/>
        <v>72</v>
      </c>
      <c r="BT59">
        <v>0</v>
      </c>
      <c r="BU59">
        <v>0</v>
      </c>
      <c r="BV59">
        <v>0</v>
      </c>
      <c r="BW59">
        <v>0</v>
      </c>
      <c r="BX59">
        <v>0</v>
      </c>
      <c r="BY59">
        <v>0</v>
      </c>
      <c r="BZ59">
        <v>0</v>
      </c>
      <c r="CA59">
        <v>0</v>
      </c>
      <c r="CB59">
        <v>0</v>
      </c>
      <c r="CC59">
        <v>0</v>
      </c>
      <c r="CD59">
        <v>0</v>
      </c>
      <c r="CE59">
        <v>0</v>
      </c>
      <c r="CF59">
        <f t="shared" si="5"/>
        <v>0</v>
      </c>
      <c r="CG59">
        <v>0</v>
      </c>
      <c r="CH59">
        <v>0</v>
      </c>
      <c r="CI59">
        <v>0</v>
      </c>
      <c r="CJ59">
        <v>0</v>
      </c>
      <c r="CK59">
        <v>0</v>
      </c>
      <c r="CL59">
        <v>0</v>
      </c>
      <c r="CM59">
        <v>0</v>
      </c>
      <c r="CN59">
        <v>0</v>
      </c>
      <c r="CO59">
        <v>0</v>
      </c>
      <c r="CP59">
        <v>0</v>
      </c>
      <c r="CQ59">
        <v>0</v>
      </c>
      <c r="CR59">
        <v>0</v>
      </c>
      <c r="CS59">
        <f t="shared" si="6"/>
        <v>0</v>
      </c>
      <c r="CT59">
        <v>0</v>
      </c>
      <c r="CU59">
        <v>0</v>
      </c>
      <c r="CV59">
        <v>0</v>
      </c>
      <c r="CW59">
        <v>0</v>
      </c>
      <c r="CX59">
        <v>0</v>
      </c>
      <c r="CY59">
        <v>0</v>
      </c>
      <c r="CZ59">
        <v>0</v>
      </c>
      <c r="DA59">
        <v>0</v>
      </c>
      <c r="DB59">
        <v>0</v>
      </c>
      <c r="DC59">
        <v>0</v>
      </c>
      <c r="DD59">
        <v>0</v>
      </c>
      <c r="DE59">
        <v>0</v>
      </c>
      <c r="DF59">
        <f t="shared" si="7"/>
        <v>0</v>
      </c>
      <c r="DG59">
        <v>0</v>
      </c>
      <c r="DH59">
        <v>0</v>
      </c>
      <c r="DI59">
        <v>0</v>
      </c>
      <c r="DJ59">
        <v>0</v>
      </c>
      <c r="DK59">
        <v>0</v>
      </c>
      <c r="DL59">
        <v>0</v>
      </c>
      <c r="DM59">
        <v>0</v>
      </c>
      <c r="DN59">
        <v>0</v>
      </c>
      <c r="DO59">
        <v>0</v>
      </c>
      <c r="DP59">
        <v>0</v>
      </c>
      <c r="DQ59">
        <v>0</v>
      </c>
      <c r="DR59">
        <v>0</v>
      </c>
      <c r="DS59">
        <f t="shared" si="8"/>
        <v>0</v>
      </c>
      <c r="DT59">
        <v>0</v>
      </c>
      <c r="DU59">
        <v>0</v>
      </c>
      <c r="DV59">
        <v>0</v>
      </c>
      <c r="DW59">
        <v>0</v>
      </c>
      <c r="DX59">
        <v>0</v>
      </c>
      <c r="DY59">
        <v>0</v>
      </c>
      <c r="DZ59">
        <v>0</v>
      </c>
      <c r="EA59">
        <v>0</v>
      </c>
      <c r="EB59">
        <v>0</v>
      </c>
      <c r="EC59">
        <v>0</v>
      </c>
      <c r="ED59">
        <v>0</v>
      </c>
      <c r="EE59">
        <v>0</v>
      </c>
      <c r="EF59">
        <f t="shared" si="9"/>
        <v>0</v>
      </c>
      <c r="EG59">
        <f t="shared" si="10"/>
        <v>825</v>
      </c>
      <c r="EH59">
        <f t="shared" si="11"/>
        <v>0</v>
      </c>
      <c r="EI59">
        <v>511</v>
      </c>
      <c r="EJ59">
        <v>1046</v>
      </c>
      <c r="EK59">
        <v>2220</v>
      </c>
      <c r="EL59">
        <v>1838</v>
      </c>
      <c r="EM59">
        <v>1725</v>
      </c>
      <c r="EN59">
        <v>1088</v>
      </c>
      <c r="EO59">
        <v>1355</v>
      </c>
      <c r="EP59">
        <v>2182</v>
      </c>
      <c r="EQ59">
        <v>488</v>
      </c>
      <c r="ER59">
        <v>447</v>
      </c>
      <c r="ES59">
        <v>984</v>
      </c>
      <c r="ET59">
        <v>1226</v>
      </c>
      <c r="EU59">
        <f t="shared" si="12"/>
        <v>15110</v>
      </c>
      <c r="EV59">
        <v>510</v>
      </c>
      <c r="EW59">
        <v>1045</v>
      </c>
      <c r="EX59">
        <v>2179</v>
      </c>
      <c r="EY59">
        <v>1780</v>
      </c>
      <c r="EZ59">
        <v>1688</v>
      </c>
      <c r="FA59">
        <v>1035</v>
      </c>
      <c r="FB59">
        <v>1231</v>
      </c>
      <c r="FC59">
        <v>1895</v>
      </c>
      <c r="FD59">
        <v>470</v>
      </c>
      <c r="FE59">
        <v>282</v>
      </c>
      <c r="FF59">
        <v>805</v>
      </c>
      <c r="FG59">
        <v>1121</v>
      </c>
      <c r="FH59">
        <f t="shared" si="13"/>
        <v>14041</v>
      </c>
      <c r="FI59">
        <v>125</v>
      </c>
      <c r="FJ59">
        <v>557</v>
      </c>
      <c r="FK59">
        <v>91</v>
      </c>
      <c r="FL59">
        <v>103</v>
      </c>
      <c r="FM59">
        <v>1098</v>
      </c>
      <c r="FN59">
        <v>326</v>
      </c>
      <c r="FO59">
        <v>174</v>
      </c>
      <c r="FP59">
        <v>1622</v>
      </c>
      <c r="FQ59">
        <v>59</v>
      </c>
      <c r="FR59">
        <v>158</v>
      </c>
      <c r="FS59">
        <v>139</v>
      </c>
      <c r="FT59">
        <v>287</v>
      </c>
      <c r="FU59">
        <f t="shared" si="14"/>
        <v>4739</v>
      </c>
      <c r="FV59">
        <v>145</v>
      </c>
      <c r="FW59">
        <v>129</v>
      </c>
      <c r="FX59">
        <v>674</v>
      </c>
      <c r="FY59">
        <v>181</v>
      </c>
      <c r="FZ59">
        <v>1111</v>
      </c>
      <c r="GA59">
        <v>253</v>
      </c>
      <c r="GB59">
        <v>431</v>
      </c>
      <c r="GC59">
        <v>1518</v>
      </c>
      <c r="GD59">
        <v>18</v>
      </c>
      <c r="GE59">
        <v>164</v>
      </c>
      <c r="GF59">
        <v>701</v>
      </c>
      <c r="GG59">
        <v>70</v>
      </c>
      <c r="GH59">
        <f t="shared" si="15"/>
        <v>5395</v>
      </c>
      <c r="GI59">
        <v>0</v>
      </c>
      <c r="GJ59">
        <v>0</v>
      </c>
      <c r="GK59">
        <v>0</v>
      </c>
      <c r="GL59">
        <v>0</v>
      </c>
      <c r="GM59">
        <v>0</v>
      </c>
      <c r="GN59">
        <v>0</v>
      </c>
      <c r="GO59">
        <v>0</v>
      </c>
      <c r="GP59">
        <v>0</v>
      </c>
      <c r="GQ59">
        <v>0</v>
      </c>
      <c r="GR59">
        <v>0</v>
      </c>
      <c r="GS59">
        <v>0</v>
      </c>
      <c r="GT59">
        <v>0</v>
      </c>
      <c r="GU59">
        <f t="shared" si="16"/>
        <v>0</v>
      </c>
      <c r="GV59">
        <v>0</v>
      </c>
      <c r="GW59">
        <v>0</v>
      </c>
      <c r="GX59">
        <v>0</v>
      </c>
      <c r="GY59">
        <v>0</v>
      </c>
      <c r="GZ59">
        <v>0</v>
      </c>
      <c r="HA59">
        <v>0</v>
      </c>
      <c r="HB59">
        <v>0</v>
      </c>
      <c r="HC59">
        <v>0</v>
      </c>
      <c r="HD59">
        <v>0</v>
      </c>
      <c r="HE59">
        <v>0</v>
      </c>
      <c r="HF59">
        <v>0</v>
      </c>
      <c r="HG59">
        <v>0</v>
      </c>
      <c r="HH59">
        <f t="shared" si="17"/>
        <v>0</v>
      </c>
      <c r="HI59">
        <v>0</v>
      </c>
      <c r="HJ59">
        <v>0</v>
      </c>
      <c r="HK59">
        <v>0</v>
      </c>
      <c r="HL59">
        <v>0</v>
      </c>
      <c r="HM59">
        <v>0</v>
      </c>
      <c r="HN59">
        <v>0</v>
      </c>
      <c r="HO59">
        <v>0</v>
      </c>
      <c r="HP59">
        <v>0</v>
      </c>
      <c r="HQ59">
        <v>0</v>
      </c>
      <c r="HR59">
        <v>0</v>
      </c>
      <c r="HS59">
        <v>0</v>
      </c>
      <c r="HT59">
        <v>0</v>
      </c>
      <c r="HU59">
        <f t="shared" si="18"/>
        <v>0</v>
      </c>
      <c r="HV59">
        <v>0</v>
      </c>
      <c r="HW59">
        <v>0</v>
      </c>
      <c r="HX59">
        <v>0</v>
      </c>
      <c r="HY59">
        <v>0</v>
      </c>
      <c r="HZ59">
        <v>0</v>
      </c>
      <c r="IA59">
        <v>0</v>
      </c>
      <c r="IB59">
        <v>0</v>
      </c>
      <c r="IC59">
        <v>0</v>
      </c>
      <c r="ID59">
        <v>0</v>
      </c>
      <c r="IE59">
        <v>0</v>
      </c>
      <c r="IF59">
        <v>0</v>
      </c>
      <c r="IG59">
        <v>0</v>
      </c>
      <c r="IH59">
        <f t="shared" si="19"/>
        <v>0</v>
      </c>
      <c r="II59">
        <f t="shared" si="20"/>
        <v>24175</v>
      </c>
      <c r="IJ59">
        <f t="shared" si="21"/>
        <v>0</v>
      </c>
      <c r="IK59">
        <v>12185</v>
      </c>
      <c r="IL59">
        <v>12063</v>
      </c>
      <c r="IM59">
        <v>11401</v>
      </c>
      <c r="IN59">
        <v>15274</v>
      </c>
      <c r="IO59">
        <v>13902</v>
      </c>
      <c r="IP59">
        <v>12153</v>
      </c>
      <c r="IQ59">
        <v>12382</v>
      </c>
      <c r="IR59">
        <v>10864</v>
      </c>
      <c r="IS59">
        <v>9181</v>
      </c>
      <c r="IT59">
        <v>11652</v>
      </c>
      <c r="IU59">
        <v>11432</v>
      </c>
      <c r="IV59">
        <v>10731</v>
      </c>
      <c r="IW59">
        <f t="shared" si="22"/>
        <v>143220</v>
      </c>
      <c r="IX59">
        <v>4255</v>
      </c>
      <c r="IY59">
        <v>3398</v>
      </c>
      <c r="IZ59">
        <v>4058</v>
      </c>
      <c r="JA59">
        <v>6113</v>
      </c>
      <c r="JB59">
        <v>5781</v>
      </c>
      <c r="JC59">
        <v>3828</v>
      </c>
      <c r="JD59">
        <v>4092</v>
      </c>
      <c r="JE59">
        <v>3546</v>
      </c>
      <c r="JF59">
        <v>2453</v>
      </c>
      <c r="JG59">
        <v>3594</v>
      </c>
      <c r="JH59">
        <v>3977</v>
      </c>
      <c r="JI59">
        <v>3609</v>
      </c>
      <c r="JJ59">
        <f t="shared" si="23"/>
        <v>48704</v>
      </c>
      <c r="JK59">
        <v>63</v>
      </c>
      <c r="JL59">
        <v>52</v>
      </c>
      <c r="JM59">
        <v>61</v>
      </c>
      <c r="JN59">
        <v>75</v>
      </c>
      <c r="JO59">
        <v>62</v>
      </c>
      <c r="JP59">
        <v>56</v>
      </c>
      <c r="JQ59">
        <v>3</v>
      </c>
      <c r="JR59">
        <v>38</v>
      </c>
      <c r="JS59">
        <v>34</v>
      </c>
      <c r="JT59">
        <v>60</v>
      </c>
      <c r="JU59">
        <v>50</v>
      </c>
      <c r="JV59">
        <v>43</v>
      </c>
      <c r="JW59">
        <f t="shared" si="24"/>
        <v>597</v>
      </c>
      <c r="JX59">
        <v>7867</v>
      </c>
      <c r="JY59">
        <v>8613</v>
      </c>
      <c r="JZ59">
        <v>7282</v>
      </c>
      <c r="KA59">
        <v>9086</v>
      </c>
      <c r="KB59">
        <v>8059</v>
      </c>
      <c r="KC59">
        <v>8269</v>
      </c>
      <c r="KD59">
        <v>8251</v>
      </c>
      <c r="KE59">
        <v>7280</v>
      </c>
      <c r="KF59">
        <v>6694</v>
      </c>
      <c r="KG59">
        <v>7998</v>
      </c>
      <c r="KH59">
        <v>7405</v>
      </c>
      <c r="KI59">
        <v>7079</v>
      </c>
      <c r="KJ59">
        <f t="shared" si="25"/>
        <v>93883</v>
      </c>
      <c r="KK59">
        <v>278</v>
      </c>
      <c r="KL59">
        <v>199</v>
      </c>
      <c r="KM59">
        <v>234</v>
      </c>
      <c r="KN59">
        <v>199</v>
      </c>
      <c r="KO59">
        <v>161</v>
      </c>
      <c r="KP59">
        <v>256</v>
      </c>
      <c r="KQ59">
        <v>206</v>
      </c>
      <c r="KR59">
        <v>145</v>
      </c>
      <c r="KS59">
        <v>131</v>
      </c>
      <c r="KT59">
        <v>251</v>
      </c>
      <c r="KU59">
        <v>203</v>
      </c>
      <c r="KV59">
        <v>119</v>
      </c>
      <c r="KW59">
        <f t="shared" si="26"/>
        <v>2382</v>
      </c>
      <c r="KX59">
        <v>1</v>
      </c>
      <c r="KY59">
        <v>0</v>
      </c>
      <c r="KZ59">
        <v>0</v>
      </c>
      <c r="LA59">
        <v>2</v>
      </c>
      <c r="LB59">
        <v>1</v>
      </c>
      <c r="LC59">
        <v>2</v>
      </c>
      <c r="LD59">
        <v>0</v>
      </c>
      <c r="LE59">
        <v>2</v>
      </c>
      <c r="LF59">
        <v>1</v>
      </c>
      <c r="LG59">
        <v>0</v>
      </c>
      <c r="LH59">
        <v>0</v>
      </c>
      <c r="LI59">
        <v>0</v>
      </c>
      <c r="LJ59">
        <f t="shared" si="27"/>
        <v>9</v>
      </c>
      <c r="LK59">
        <v>0</v>
      </c>
      <c r="LL59">
        <v>0</v>
      </c>
      <c r="LM59">
        <v>0</v>
      </c>
      <c r="LN59">
        <v>0</v>
      </c>
      <c r="LO59">
        <v>0</v>
      </c>
      <c r="LP59">
        <v>0</v>
      </c>
      <c r="LQ59">
        <v>0</v>
      </c>
      <c r="LR59">
        <v>0</v>
      </c>
      <c r="LS59">
        <v>0</v>
      </c>
      <c r="LT59">
        <v>0</v>
      </c>
      <c r="LU59">
        <v>0</v>
      </c>
      <c r="LV59">
        <v>0</v>
      </c>
      <c r="LW59">
        <f t="shared" si="28"/>
        <v>0</v>
      </c>
      <c r="LX59">
        <v>277</v>
      </c>
      <c r="LY59">
        <v>199</v>
      </c>
      <c r="LZ59">
        <v>234</v>
      </c>
      <c r="MA59">
        <v>197</v>
      </c>
      <c r="MB59">
        <v>160</v>
      </c>
      <c r="MC59">
        <v>254</v>
      </c>
      <c r="MD59">
        <v>206</v>
      </c>
      <c r="ME59">
        <v>143</v>
      </c>
      <c r="MF59">
        <v>130</v>
      </c>
      <c r="MG59">
        <v>251</v>
      </c>
      <c r="MH59">
        <v>203</v>
      </c>
      <c r="MI59">
        <v>119</v>
      </c>
      <c r="MJ59">
        <f t="shared" si="29"/>
        <v>2373</v>
      </c>
      <c r="MK59">
        <v>1995</v>
      </c>
      <c r="ML59">
        <v>2182</v>
      </c>
      <c r="MM59">
        <v>2154</v>
      </c>
      <c r="MN59">
        <v>2196</v>
      </c>
      <c r="MO59">
        <v>2225</v>
      </c>
      <c r="MP59">
        <v>2112</v>
      </c>
      <c r="MQ59">
        <v>2220</v>
      </c>
      <c r="MR59">
        <v>2107</v>
      </c>
      <c r="MS59">
        <v>1982</v>
      </c>
      <c r="MT59">
        <v>2221</v>
      </c>
      <c r="MU59">
        <v>1917</v>
      </c>
      <c r="MV59">
        <v>1990</v>
      </c>
      <c r="MW59">
        <f t="shared" si="30"/>
        <v>25301</v>
      </c>
      <c r="MX59">
        <v>88</v>
      </c>
      <c r="MY59">
        <v>107</v>
      </c>
      <c r="MZ59">
        <v>140</v>
      </c>
      <c r="NA59">
        <v>153</v>
      </c>
      <c r="NB59">
        <v>167</v>
      </c>
      <c r="NC59">
        <v>112</v>
      </c>
      <c r="ND59">
        <v>137</v>
      </c>
      <c r="NE59">
        <v>111</v>
      </c>
      <c r="NF59">
        <v>107</v>
      </c>
      <c r="NG59">
        <v>156</v>
      </c>
      <c r="NH59">
        <v>122</v>
      </c>
      <c r="NI59">
        <v>120</v>
      </c>
      <c r="NJ59">
        <f t="shared" si="31"/>
        <v>1520</v>
      </c>
      <c r="NK59">
        <v>77</v>
      </c>
      <c r="NL59">
        <v>78</v>
      </c>
      <c r="NM59">
        <v>85</v>
      </c>
      <c r="NN59">
        <v>80</v>
      </c>
      <c r="NO59">
        <v>96</v>
      </c>
      <c r="NP59">
        <v>77</v>
      </c>
      <c r="NQ59">
        <v>59</v>
      </c>
      <c r="NR59">
        <v>73</v>
      </c>
      <c r="NS59">
        <v>71</v>
      </c>
      <c r="NT59">
        <v>69</v>
      </c>
      <c r="NU59">
        <v>60</v>
      </c>
      <c r="NV59">
        <v>76</v>
      </c>
      <c r="NW59">
        <f t="shared" si="32"/>
        <v>901</v>
      </c>
      <c r="NX59">
        <v>1830</v>
      </c>
      <c r="NY59">
        <v>1997</v>
      </c>
      <c r="NZ59">
        <v>1929</v>
      </c>
      <c r="OA59">
        <v>1963</v>
      </c>
      <c r="OB59">
        <v>1962</v>
      </c>
      <c r="OC59">
        <v>1923</v>
      </c>
      <c r="OD59">
        <v>2024</v>
      </c>
      <c r="OE59">
        <v>1923</v>
      </c>
      <c r="OF59">
        <v>1804</v>
      </c>
      <c r="OG59">
        <v>1996</v>
      </c>
      <c r="OH59">
        <v>1735</v>
      </c>
      <c r="OI59">
        <v>1794</v>
      </c>
      <c r="OJ59">
        <f t="shared" si="33"/>
        <v>22880</v>
      </c>
      <c r="OK59">
        <v>2664</v>
      </c>
      <c r="OL59">
        <v>2799</v>
      </c>
      <c r="OM59">
        <v>2773</v>
      </c>
      <c r="ON59">
        <v>2922</v>
      </c>
      <c r="OO59">
        <v>2968</v>
      </c>
      <c r="OP59">
        <v>3027</v>
      </c>
      <c r="OQ59">
        <v>3046</v>
      </c>
      <c r="OR59">
        <v>3017</v>
      </c>
      <c r="OS59">
        <v>2919</v>
      </c>
      <c r="OT59">
        <v>3099</v>
      </c>
      <c r="OU59">
        <v>2808</v>
      </c>
      <c r="OV59">
        <v>3124</v>
      </c>
      <c r="OW59">
        <f t="shared" si="34"/>
        <v>35166</v>
      </c>
      <c r="OX59">
        <v>192</v>
      </c>
      <c r="OY59">
        <v>225</v>
      </c>
      <c r="OZ59">
        <v>218</v>
      </c>
      <c r="PA59">
        <v>258</v>
      </c>
      <c r="PB59">
        <v>248</v>
      </c>
      <c r="PC59">
        <v>227</v>
      </c>
      <c r="PD59">
        <v>252</v>
      </c>
      <c r="PE59">
        <v>248</v>
      </c>
      <c r="PF59">
        <v>277</v>
      </c>
      <c r="PG59">
        <v>249</v>
      </c>
      <c r="PH59">
        <v>220</v>
      </c>
      <c r="PI59">
        <v>194</v>
      </c>
      <c r="PJ59">
        <f t="shared" si="35"/>
        <v>2808</v>
      </c>
      <c r="PK59">
        <v>78</v>
      </c>
      <c r="PL59">
        <v>82</v>
      </c>
      <c r="PM59">
        <v>68</v>
      </c>
      <c r="PN59">
        <v>71</v>
      </c>
      <c r="PO59">
        <v>84</v>
      </c>
      <c r="PP59">
        <v>95</v>
      </c>
      <c r="PQ59">
        <v>68</v>
      </c>
      <c r="PR59">
        <v>86</v>
      </c>
      <c r="PS59">
        <v>72</v>
      </c>
      <c r="PT59">
        <v>118</v>
      </c>
      <c r="PU59">
        <v>98</v>
      </c>
      <c r="PV59">
        <v>93</v>
      </c>
      <c r="PW59">
        <f t="shared" si="36"/>
        <v>1013</v>
      </c>
      <c r="PX59">
        <v>2394</v>
      </c>
      <c r="PY59">
        <v>2492</v>
      </c>
      <c r="PZ59">
        <v>2487</v>
      </c>
      <c r="QA59">
        <v>2593</v>
      </c>
      <c r="QB59">
        <v>2636</v>
      </c>
      <c r="QC59">
        <v>2705</v>
      </c>
      <c r="QD59">
        <v>2726</v>
      </c>
      <c r="QE59">
        <v>2683</v>
      </c>
      <c r="QF59">
        <v>2570</v>
      </c>
      <c r="QG59">
        <v>2732</v>
      </c>
      <c r="QH59">
        <v>2490</v>
      </c>
      <c r="QI59">
        <v>2837</v>
      </c>
      <c r="QJ59">
        <f t="shared" si="37"/>
        <v>31345</v>
      </c>
      <c r="QK59">
        <v>1866</v>
      </c>
      <c r="QL59">
        <v>1762</v>
      </c>
      <c r="QM59">
        <v>1791</v>
      </c>
      <c r="QN59">
        <v>1993</v>
      </c>
      <c r="QO59">
        <v>1793</v>
      </c>
      <c r="QP59">
        <v>2047</v>
      </c>
      <c r="QQ59">
        <v>2204</v>
      </c>
      <c r="QR59">
        <v>1881</v>
      </c>
      <c r="QS59">
        <v>1878</v>
      </c>
      <c r="QT59">
        <v>1973</v>
      </c>
      <c r="QU59">
        <v>1831</v>
      </c>
      <c r="QV59">
        <v>1525</v>
      </c>
      <c r="QW59">
        <f t="shared" si="38"/>
        <v>22544</v>
      </c>
      <c r="QX59">
        <v>33986</v>
      </c>
      <c r="QY59">
        <v>39550</v>
      </c>
      <c r="QZ59">
        <v>39559</v>
      </c>
      <c r="RA59">
        <v>45657</v>
      </c>
      <c r="RB59">
        <v>40751</v>
      </c>
      <c r="RC59">
        <v>38044</v>
      </c>
      <c r="RD59">
        <v>49083</v>
      </c>
      <c r="RE59">
        <v>42192</v>
      </c>
      <c r="RF59">
        <v>36185</v>
      </c>
      <c r="RG59">
        <v>42255</v>
      </c>
      <c r="RH59">
        <v>42817</v>
      </c>
      <c r="RI59">
        <v>46616</v>
      </c>
      <c r="RJ59">
        <f t="shared" si="39"/>
        <v>496695</v>
      </c>
      <c r="RK59">
        <v>0</v>
      </c>
      <c r="RL59">
        <v>0</v>
      </c>
      <c r="RM59">
        <v>0</v>
      </c>
      <c r="RN59">
        <v>0</v>
      </c>
      <c r="RO59">
        <v>0</v>
      </c>
      <c r="RP59">
        <v>0</v>
      </c>
      <c r="RQ59">
        <v>0</v>
      </c>
      <c r="RR59">
        <v>0</v>
      </c>
      <c r="RS59">
        <v>0</v>
      </c>
      <c r="RT59">
        <v>0</v>
      </c>
      <c r="RU59">
        <v>0</v>
      </c>
      <c r="RV59">
        <v>0</v>
      </c>
      <c r="RW59">
        <f t="shared" si="40"/>
        <v>0</v>
      </c>
      <c r="RX59">
        <v>621</v>
      </c>
      <c r="RY59">
        <v>667</v>
      </c>
      <c r="RZ59">
        <v>601</v>
      </c>
      <c r="SA59">
        <v>717</v>
      </c>
      <c r="SB59">
        <v>183</v>
      </c>
      <c r="SC59">
        <v>1025</v>
      </c>
      <c r="SD59">
        <v>613</v>
      </c>
      <c r="SE59">
        <v>875</v>
      </c>
      <c r="SF59">
        <v>546</v>
      </c>
      <c r="SG59">
        <v>799</v>
      </c>
      <c r="SH59">
        <v>625</v>
      </c>
      <c r="SI59">
        <v>109</v>
      </c>
      <c r="SJ59">
        <f t="shared" si="41"/>
        <v>7381</v>
      </c>
      <c r="SK59">
        <v>29</v>
      </c>
      <c r="SL59">
        <v>35</v>
      </c>
      <c r="SM59">
        <v>34</v>
      </c>
      <c r="SN59">
        <v>18</v>
      </c>
      <c r="SO59">
        <v>18</v>
      </c>
      <c r="SP59">
        <v>16</v>
      </c>
      <c r="SQ59">
        <v>19</v>
      </c>
      <c r="SR59">
        <v>12</v>
      </c>
      <c r="SS59">
        <v>19</v>
      </c>
      <c r="ST59">
        <v>18</v>
      </c>
      <c r="SU59">
        <v>14</v>
      </c>
      <c r="SV59">
        <v>22</v>
      </c>
      <c r="SW59">
        <f t="shared" si="42"/>
        <v>254</v>
      </c>
      <c r="SX59" t="s">
        <v>1372</v>
      </c>
      <c r="SY59">
        <v>622</v>
      </c>
      <c r="SZ59">
        <v>717</v>
      </c>
      <c r="TA59">
        <v>720</v>
      </c>
      <c r="TB59">
        <v>792</v>
      </c>
      <c r="TC59">
        <v>726</v>
      </c>
      <c r="TD59">
        <v>705</v>
      </c>
      <c r="TE59">
        <v>777</v>
      </c>
      <c r="TF59">
        <v>697</v>
      </c>
      <c r="TG59">
        <v>585</v>
      </c>
      <c r="TH59">
        <v>711</v>
      </c>
      <c r="TI59">
        <v>638</v>
      </c>
      <c r="TJ59">
        <v>695</v>
      </c>
      <c r="TK59">
        <f t="shared" si="43"/>
        <v>8385</v>
      </c>
      <c r="TL59">
        <v>0</v>
      </c>
      <c r="TM59">
        <v>0</v>
      </c>
      <c r="TN59">
        <v>0</v>
      </c>
      <c r="TO59">
        <v>0</v>
      </c>
      <c r="TP59">
        <v>0</v>
      </c>
      <c r="TQ59">
        <v>0</v>
      </c>
      <c r="TR59">
        <v>0</v>
      </c>
      <c r="TS59">
        <v>0</v>
      </c>
      <c r="TT59">
        <v>0</v>
      </c>
      <c r="TU59">
        <v>0</v>
      </c>
      <c r="TV59">
        <v>0</v>
      </c>
      <c r="TW59">
        <v>0</v>
      </c>
      <c r="TX59">
        <f t="shared" si="44"/>
        <v>0</v>
      </c>
      <c r="TY59">
        <v>39</v>
      </c>
      <c r="TZ59">
        <v>36</v>
      </c>
      <c r="UA59">
        <v>1254</v>
      </c>
      <c r="UB59">
        <v>0</v>
      </c>
    </row>
    <row r="60" spans="1:548" ht="16.5" customHeight="1" x14ac:dyDescent="0.35">
      <c r="A60" t="s">
        <v>1386</v>
      </c>
      <c r="B60" t="s">
        <v>2863</v>
      </c>
      <c r="C60">
        <v>13965</v>
      </c>
      <c r="D60">
        <v>6212</v>
      </c>
      <c r="E60">
        <v>822</v>
      </c>
      <c r="F60">
        <v>6931</v>
      </c>
      <c r="G60">
        <v>145</v>
      </c>
      <c r="H60">
        <v>211</v>
      </c>
      <c r="I60">
        <v>253</v>
      </c>
      <c r="J60">
        <v>295</v>
      </c>
      <c r="K60">
        <v>294</v>
      </c>
      <c r="L60">
        <v>253</v>
      </c>
      <c r="M60">
        <v>211</v>
      </c>
      <c r="N60">
        <v>189</v>
      </c>
      <c r="O60">
        <v>168</v>
      </c>
      <c r="P60">
        <v>147</v>
      </c>
      <c r="Q60">
        <v>147</v>
      </c>
      <c r="R60">
        <v>190</v>
      </c>
      <c r="S60">
        <f t="shared" si="0"/>
        <v>2503</v>
      </c>
      <c r="T60">
        <v>55</v>
      </c>
      <c r="U60">
        <v>80</v>
      </c>
      <c r="V60">
        <v>96</v>
      </c>
      <c r="W60">
        <v>13</v>
      </c>
      <c r="X60">
        <v>111</v>
      </c>
      <c r="Y60">
        <v>96</v>
      </c>
      <c r="Z60">
        <v>80</v>
      </c>
      <c r="AA60">
        <v>72</v>
      </c>
      <c r="AB60">
        <v>64</v>
      </c>
      <c r="AC60">
        <v>56</v>
      </c>
      <c r="AD60">
        <v>56</v>
      </c>
      <c r="AE60">
        <v>72</v>
      </c>
      <c r="AF60">
        <f t="shared" si="1"/>
        <v>851</v>
      </c>
      <c r="AG60">
        <v>9</v>
      </c>
      <c r="AH60">
        <v>13</v>
      </c>
      <c r="AI60">
        <v>16</v>
      </c>
      <c r="AJ60">
        <v>19</v>
      </c>
      <c r="AK60">
        <v>19</v>
      </c>
      <c r="AL60">
        <v>16</v>
      </c>
      <c r="AM60">
        <v>13</v>
      </c>
      <c r="AN60">
        <v>12</v>
      </c>
      <c r="AO60">
        <v>11</v>
      </c>
      <c r="AP60">
        <v>9</v>
      </c>
      <c r="AQ60">
        <v>9</v>
      </c>
      <c r="AR60">
        <v>12</v>
      </c>
      <c r="AS60">
        <f t="shared" si="2"/>
        <v>158</v>
      </c>
      <c r="AT60">
        <v>44</v>
      </c>
      <c r="AU60">
        <v>64</v>
      </c>
      <c r="AV60">
        <v>77</v>
      </c>
      <c r="AW60">
        <v>62</v>
      </c>
      <c r="AX60">
        <v>58</v>
      </c>
      <c r="AY60">
        <v>77</v>
      </c>
      <c r="AZ60">
        <v>89</v>
      </c>
      <c r="BA60">
        <v>89</v>
      </c>
      <c r="BB60">
        <v>51</v>
      </c>
      <c r="BC60">
        <v>44</v>
      </c>
      <c r="BD60">
        <v>45</v>
      </c>
      <c r="BE60">
        <v>58</v>
      </c>
      <c r="BF60">
        <f t="shared" si="3"/>
        <v>758</v>
      </c>
      <c r="BG60">
        <v>37</v>
      </c>
      <c r="BH60">
        <v>54</v>
      </c>
      <c r="BI60">
        <v>64</v>
      </c>
      <c r="BJ60">
        <v>4</v>
      </c>
      <c r="BK60">
        <v>75</v>
      </c>
      <c r="BL60">
        <v>64</v>
      </c>
      <c r="BM60">
        <v>56</v>
      </c>
      <c r="BN60">
        <v>47</v>
      </c>
      <c r="BO60">
        <v>42</v>
      </c>
      <c r="BP60">
        <v>38</v>
      </c>
      <c r="BQ60">
        <v>37</v>
      </c>
      <c r="BR60">
        <v>48</v>
      </c>
      <c r="BS60">
        <f t="shared" si="4"/>
        <v>566</v>
      </c>
      <c r="BT60">
        <v>0</v>
      </c>
      <c r="BU60">
        <v>0</v>
      </c>
      <c r="BV60">
        <v>0</v>
      </c>
      <c r="BW60">
        <v>0</v>
      </c>
      <c r="BX60">
        <v>0</v>
      </c>
      <c r="BY60">
        <v>0</v>
      </c>
      <c r="BZ60">
        <v>0</v>
      </c>
      <c r="CA60">
        <v>0</v>
      </c>
      <c r="CB60">
        <v>0</v>
      </c>
      <c r="CC60">
        <v>0</v>
      </c>
      <c r="CD60">
        <v>0</v>
      </c>
      <c r="CE60">
        <v>0</v>
      </c>
      <c r="CF60">
        <f t="shared" si="5"/>
        <v>0</v>
      </c>
      <c r="CG60">
        <v>0</v>
      </c>
      <c r="CH60">
        <v>0</v>
      </c>
      <c r="CI60">
        <v>0</v>
      </c>
      <c r="CJ60">
        <v>0</v>
      </c>
      <c r="CK60">
        <v>0</v>
      </c>
      <c r="CL60">
        <v>0</v>
      </c>
      <c r="CM60">
        <v>0</v>
      </c>
      <c r="CN60">
        <v>0</v>
      </c>
      <c r="CO60">
        <v>0</v>
      </c>
      <c r="CP60">
        <v>0</v>
      </c>
      <c r="CQ60">
        <v>0</v>
      </c>
      <c r="CR60">
        <v>0</v>
      </c>
      <c r="CS60">
        <f t="shared" si="6"/>
        <v>0</v>
      </c>
      <c r="CT60">
        <v>0</v>
      </c>
      <c r="CU60">
        <v>0</v>
      </c>
      <c r="CV60">
        <v>0</v>
      </c>
      <c r="CW60">
        <v>0</v>
      </c>
      <c r="CX60">
        <v>0</v>
      </c>
      <c r="CY60">
        <v>0</v>
      </c>
      <c r="CZ60">
        <v>0</v>
      </c>
      <c r="DA60">
        <v>0</v>
      </c>
      <c r="DB60">
        <v>0</v>
      </c>
      <c r="DC60">
        <v>0</v>
      </c>
      <c r="DD60">
        <v>0</v>
      </c>
      <c r="DE60">
        <v>0</v>
      </c>
      <c r="DF60">
        <f t="shared" si="7"/>
        <v>0</v>
      </c>
      <c r="DG60">
        <v>0</v>
      </c>
      <c r="DH60">
        <v>0</v>
      </c>
      <c r="DI60">
        <v>0</v>
      </c>
      <c r="DJ60">
        <v>0</v>
      </c>
      <c r="DK60">
        <v>0</v>
      </c>
      <c r="DL60">
        <v>0</v>
      </c>
      <c r="DM60">
        <v>0</v>
      </c>
      <c r="DN60">
        <v>0</v>
      </c>
      <c r="DO60">
        <v>0</v>
      </c>
      <c r="DP60">
        <v>0</v>
      </c>
      <c r="DQ60">
        <v>0</v>
      </c>
      <c r="DR60">
        <v>0</v>
      </c>
      <c r="DS60">
        <f t="shared" si="8"/>
        <v>0</v>
      </c>
      <c r="DT60">
        <v>0</v>
      </c>
      <c r="DU60">
        <v>0</v>
      </c>
      <c r="DV60">
        <v>0</v>
      </c>
      <c r="DW60">
        <v>0</v>
      </c>
      <c r="DX60">
        <v>0</v>
      </c>
      <c r="DY60">
        <v>0</v>
      </c>
      <c r="DZ60">
        <v>0</v>
      </c>
      <c r="EA60">
        <v>0</v>
      </c>
      <c r="EB60">
        <v>0</v>
      </c>
      <c r="EC60">
        <v>0</v>
      </c>
      <c r="ED60">
        <v>0</v>
      </c>
      <c r="EE60">
        <v>0</v>
      </c>
      <c r="EF60">
        <f t="shared" si="9"/>
        <v>0</v>
      </c>
      <c r="EG60">
        <f t="shared" si="10"/>
        <v>2333</v>
      </c>
      <c r="EH60">
        <f t="shared" si="11"/>
        <v>0</v>
      </c>
      <c r="EI60">
        <v>3609</v>
      </c>
      <c r="EJ60">
        <v>3720</v>
      </c>
      <c r="EK60">
        <v>454</v>
      </c>
      <c r="EL60">
        <v>5380</v>
      </c>
      <c r="EM60">
        <v>5140</v>
      </c>
      <c r="EN60">
        <v>4571</v>
      </c>
      <c r="EO60">
        <v>3801</v>
      </c>
      <c r="EP60">
        <v>3352</v>
      </c>
      <c r="EQ60">
        <v>3072</v>
      </c>
      <c r="ER60">
        <v>2565</v>
      </c>
      <c r="ES60">
        <v>2693</v>
      </c>
      <c r="ET60">
        <v>3403</v>
      </c>
      <c r="EU60">
        <f t="shared" si="12"/>
        <v>41760</v>
      </c>
      <c r="EV60">
        <v>2124</v>
      </c>
      <c r="EW60">
        <v>2190</v>
      </c>
      <c r="EX60">
        <v>2650</v>
      </c>
      <c r="EY60">
        <v>3166</v>
      </c>
      <c r="EZ60">
        <v>3021</v>
      </c>
      <c r="FA60">
        <v>2688</v>
      </c>
      <c r="FB60">
        <v>2237</v>
      </c>
      <c r="FC60">
        <v>1972</v>
      </c>
      <c r="FD60">
        <v>1808</v>
      </c>
      <c r="FE60">
        <v>1511</v>
      </c>
      <c r="FF60">
        <v>1584</v>
      </c>
      <c r="FG60">
        <v>2002</v>
      </c>
      <c r="FH60">
        <f t="shared" si="13"/>
        <v>26953</v>
      </c>
      <c r="FI60">
        <v>182</v>
      </c>
      <c r="FJ60">
        <v>188</v>
      </c>
      <c r="FK60">
        <v>228</v>
      </c>
      <c r="FL60">
        <v>272</v>
      </c>
      <c r="FM60">
        <v>260</v>
      </c>
      <c r="FN60">
        <v>231</v>
      </c>
      <c r="FO60">
        <v>192</v>
      </c>
      <c r="FP60">
        <v>169</v>
      </c>
      <c r="FQ60">
        <v>15</v>
      </c>
      <c r="FR60">
        <v>129</v>
      </c>
      <c r="FS60">
        <v>136</v>
      </c>
      <c r="FT60">
        <v>172</v>
      </c>
      <c r="FU60">
        <f t="shared" si="14"/>
        <v>2174</v>
      </c>
      <c r="FV60">
        <v>1303</v>
      </c>
      <c r="FW60">
        <v>132</v>
      </c>
      <c r="FX60">
        <v>1626</v>
      </c>
      <c r="FY60">
        <v>1942</v>
      </c>
      <c r="FZ60">
        <v>1859</v>
      </c>
      <c r="GA60">
        <v>1652</v>
      </c>
      <c r="GB60">
        <v>1372</v>
      </c>
      <c r="GC60">
        <v>1211</v>
      </c>
      <c r="GD60">
        <v>1109</v>
      </c>
      <c r="GE60">
        <v>925</v>
      </c>
      <c r="GF60">
        <v>973</v>
      </c>
      <c r="GG60">
        <v>1229</v>
      </c>
      <c r="GH60">
        <f t="shared" si="15"/>
        <v>15333</v>
      </c>
      <c r="GI60">
        <v>0</v>
      </c>
      <c r="GJ60">
        <v>0</v>
      </c>
      <c r="GK60">
        <v>0</v>
      </c>
      <c r="GL60">
        <v>0</v>
      </c>
      <c r="GM60">
        <v>0</v>
      </c>
      <c r="GN60">
        <v>0</v>
      </c>
      <c r="GO60">
        <v>0</v>
      </c>
      <c r="GP60">
        <v>0</v>
      </c>
      <c r="GQ60">
        <v>0</v>
      </c>
      <c r="GR60">
        <v>0</v>
      </c>
      <c r="GS60">
        <v>0</v>
      </c>
      <c r="GT60">
        <v>0</v>
      </c>
      <c r="GU60">
        <f t="shared" si="16"/>
        <v>0</v>
      </c>
      <c r="GV60">
        <v>0</v>
      </c>
      <c r="GW60">
        <v>0</v>
      </c>
      <c r="GX60">
        <v>0</v>
      </c>
      <c r="GY60">
        <v>0</v>
      </c>
      <c r="GZ60">
        <v>0</v>
      </c>
      <c r="HA60">
        <v>0</v>
      </c>
      <c r="HB60">
        <v>0</v>
      </c>
      <c r="HC60">
        <v>0</v>
      </c>
      <c r="HD60">
        <v>0</v>
      </c>
      <c r="HE60">
        <v>0</v>
      </c>
      <c r="HF60">
        <v>0</v>
      </c>
      <c r="HG60">
        <v>0</v>
      </c>
      <c r="HH60">
        <f t="shared" si="17"/>
        <v>0</v>
      </c>
      <c r="HI60">
        <v>0</v>
      </c>
      <c r="HJ60">
        <v>0</v>
      </c>
      <c r="HK60">
        <v>0</v>
      </c>
      <c r="HL60">
        <v>0</v>
      </c>
      <c r="HM60">
        <v>0</v>
      </c>
      <c r="HN60">
        <v>0</v>
      </c>
      <c r="HO60">
        <v>0</v>
      </c>
      <c r="HP60">
        <v>0</v>
      </c>
      <c r="HQ60">
        <v>0</v>
      </c>
      <c r="HR60">
        <v>0</v>
      </c>
      <c r="HS60">
        <v>0</v>
      </c>
      <c r="HT60">
        <v>0</v>
      </c>
      <c r="HU60">
        <f t="shared" si="18"/>
        <v>0</v>
      </c>
      <c r="HV60">
        <v>0</v>
      </c>
      <c r="HW60">
        <v>0</v>
      </c>
      <c r="HX60">
        <v>0</v>
      </c>
      <c r="HY60">
        <v>0</v>
      </c>
      <c r="HZ60">
        <v>0</v>
      </c>
      <c r="IA60">
        <v>0</v>
      </c>
      <c r="IB60">
        <v>0</v>
      </c>
      <c r="IC60">
        <v>0</v>
      </c>
      <c r="ID60">
        <v>0</v>
      </c>
      <c r="IE60">
        <v>0</v>
      </c>
      <c r="IF60">
        <v>0</v>
      </c>
      <c r="IG60">
        <v>0</v>
      </c>
      <c r="IH60">
        <f t="shared" si="19"/>
        <v>0</v>
      </c>
      <c r="II60">
        <f t="shared" si="20"/>
        <v>44460</v>
      </c>
      <c r="IJ60">
        <f t="shared" si="21"/>
        <v>0</v>
      </c>
      <c r="IK60">
        <v>20373</v>
      </c>
      <c r="IL60">
        <v>20261</v>
      </c>
      <c r="IM60">
        <v>19053</v>
      </c>
      <c r="IN60">
        <v>30202</v>
      </c>
      <c r="IO60">
        <v>28768</v>
      </c>
      <c r="IP60">
        <v>21487</v>
      </c>
      <c r="IQ60">
        <v>23118</v>
      </c>
      <c r="IR60">
        <v>18985</v>
      </c>
      <c r="IS60">
        <v>15109</v>
      </c>
      <c r="IT60">
        <v>13710</v>
      </c>
      <c r="IU60">
        <v>19931</v>
      </c>
      <c r="IV60">
        <v>20731</v>
      </c>
      <c r="IW60">
        <f t="shared" si="22"/>
        <v>251728</v>
      </c>
      <c r="IX60">
        <v>8198</v>
      </c>
      <c r="IY60">
        <v>8269</v>
      </c>
      <c r="IZ60">
        <v>7350</v>
      </c>
      <c r="JA60">
        <v>15861</v>
      </c>
      <c r="JB60">
        <v>15571</v>
      </c>
      <c r="JC60">
        <v>9721</v>
      </c>
      <c r="JD60">
        <v>10463</v>
      </c>
      <c r="JE60">
        <v>8447</v>
      </c>
      <c r="JF60">
        <v>5742</v>
      </c>
      <c r="JG60">
        <v>9098</v>
      </c>
      <c r="JH60">
        <v>9258</v>
      </c>
      <c r="JI60">
        <v>9399</v>
      </c>
      <c r="JJ60">
        <f t="shared" si="23"/>
        <v>117377</v>
      </c>
      <c r="JK60">
        <v>582</v>
      </c>
      <c r="JL60">
        <v>552</v>
      </c>
      <c r="JM60">
        <v>557</v>
      </c>
      <c r="JN60">
        <v>895</v>
      </c>
      <c r="JO60">
        <v>843</v>
      </c>
      <c r="JP60">
        <v>469</v>
      </c>
      <c r="JQ60">
        <v>564</v>
      </c>
      <c r="JR60">
        <v>368</v>
      </c>
      <c r="JS60">
        <v>375</v>
      </c>
      <c r="JT60">
        <v>489</v>
      </c>
      <c r="JU60">
        <v>413</v>
      </c>
      <c r="JV60">
        <v>464</v>
      </c>
      <c r="JW60">
        <f t="shared" si="24"/>
        <v>6571</v>
      </c>
      <c r="JX60">
        <v>11593</v>
      </c>
      <c r="JY60">
        <v>11440</v>
      </c>
      <c r="JZ60">
        <v>11146</v>
      </c>
      <c r="KA60">
        <v>13446</v>
      </c>
      <c r="KB60">
        <v>12354</v>
      </c>
      <c r="KC60">
        <v>11297</v>
      </c>
      <c r="KD60">
        <v>12091</v>
      </c>
      <c r="KE60">
        <v>10170</v>
      </c>
      <c r="KF60">
        <v>8992</v>
      </c>
      <c r="KG60">
        <v>12752</v>
      </c>
      <c r="KH60">
        <v>10260</v>
      </c>
      <c r="KI60">
        <v>10868</v>
      </c>
      <c r="KJ60">
        <f t="shared" si="25"/>
        <v>136409</v>
      </c>
      <c r="KK60">
        <v>222</v>
      </c>
      <c r="KL60">
        <v>226</v>
      </c>
      <c r="KM60">
        <v>222</v>
      </c>
      <c r="KN60">
        <v>211</v>
      </c>
      <c r="KO60">
        <v>203</v>
      </c>
      <c r="KP60">
        <v>224</v>
      </c>
      <c r="KQ60">
        <v>272</v>
      </c>
      <c r="KR60">
        <v>205</v>
      </c>
      <c r="KS60">
        <v>261</v>
      </c>
      <c r="KT60">
        <v>306</v>
      </c>
      <c r="KU60">
        <v>232</v>
      </c>
      <c r="KV60">
        <v>253</v>
      </c>
      <c r="KW60">
        <f t="shared" si="26"/>
        <v>2837</v>
      </c>
      <c r="KX60">
        <v>1</v>
      </c>
      <c r="KY60">
        <v>0</v>
      </c>
      <c r="KZ60">
        <v>0</v>
      </c>
      <c r="LA60">
        <v>6</v>
      </c>
      <c r="LB60">
        <v>4</v>
      </c>
      <c r="LC60">
        <v>4</v>
      </c>
      <c r="LD60">
        <v>0</v>
      </c>
      <c r="LE60">
        <v>3</v>
      </c>
      <c r="LF60">
        <v>1</v>
      </c>
      <c r="LG60">
        <v>1</v>
      </c>
      <c r="LH60">
        <v>0</v>
      </c>
      <c r="LI60">
        <v>4</v>
      </c>
      <c r="LJ60">
        <f t="shared" si="27"/>
        <v>24</v>
      </c>
      <c r="LK60">
        <v>0</v>
      </c>
      <c r="LL60">
        <v>0</v>
      </c>
      <c r="LM60">
        <v>0</v>
      </c>
      <c r="LN60">
        <v>0</v>
      </c>
      <c r="LO60">
        <v>0</v>
      </c>
      <c r="LP60">
        <v>1</v>
      </c>
      <c r="LQ60">
        <v>0</v>
      </c>
      <c r="LR60">
        <v>0</v>
      </c>
      <c r="LS60">
        <v>0</v>
      </c>
      <c r="LT60">
        <v>0</v>
      </c>
      <c r="LU60">
        <v>0</v>
      </c>
      <c r="LV60">
        <v>0</v>
      </c>
      <c r="LW60">
        <f t="shared" si="28"/>
        <v>1</v>
      </c>
      <c r="LX60">
        <v>221</v>
      </c>
      <c r="LY60">
        <v>226</v>
      </c>
      <c r="LZ60">
        <v>222</v>
      </c>
      <c r="MA60">
        <v>205</v>
      </c>
      <c r="MB60">
        <v>199</v>
      </c>
      <c r="MC60">
        <v>219</v>
      </c>
      <c r="MD60">
        <v>272</v>
      </c>
      <c r="ME60">
        <v>202</v>
      </c>
      <c r="MF60">
        <v>260</v>
      </c>
      <c r="MG60">
        <v>305</v>
      </c>
      <c r="MH60">
        <v>232</v>
      </c>
      <c r="MI60">
        <v>249</v>
      </c>
      <c r="MJ60">
        <f t="shared" si="29"/>
        <v>2812</v>
      </c>
      <c r="MK60">
        <v>4313</v>
      </c>
      <c r="ML60">
        <v>4357</v>
      </c>
      <c r="MM60">
        <v>4097</v>
      </c>
      <c r="MN60">
        <v>4455</v>
      </c>
      <c r="MO60">
        <v>4523</v>
      </c>
      <c r="MP60">
        <v>4343</v>
      </c>
      <c r="MQ60">
        <v>4504</v>
      </c>
      <c r="MR60">
        <v>4295</v>
      </c>
      <c r="MS60">
        <v>4243</v>
      </c>
      <c r="MT60">
        <v>4512</v>
      </c>
      <c r="MU60">
        <v>4114</v>
      </c>
      <c r="MV60">
        <v>4233</v>
      </c>
      <c r="MW60">
        <f t="shared" si="30"/>
        <v>51989</v>
      </c>
      <c r="MX60">
        <v>0</v>
      </c>
      <c r="MY60">
        <v>0</v>
      </c>
      <c r="MZ60">
        <v>0</v>
      </c>
      <c r="NA60">
        <v>0</v>
      </c>
      <c r="NB60">
        <v>0</v>
      </c>
      <c r="NC60">
        <v>0</v>
      </c>
      <c r="ND60">
        <v>0</v>
      </c>
      <c r="NE60">
        <v>0</v>
      </c>
      <c r="NF60">
        <v>0</v>
      </c>
      <c r="NG60">
        <v>0</v>
      </c>
      <c r="NH60">
        <v>0</v>
      </c>
      <c r="NI60">
        <v>0</v>
      </c>
      <c r="NJ60">
        <f t="shared" si="31"/>
        <v>0</v>
      </c>
      <c r="NK60">
        <v>0</v>
      </c>
      <c r="NL60">
        <v>0</v>
      </c>
      <c r="NM60">
        <v>0</v>
      </c>
      <c r="NN60">
        <v>0</v>
      </c>
      <c r="NO60">
        <v>0</v>
      </c>
      <c r="NP60">
        <v>0</v>
      </c>
      <c r="NQ60">
        <v>0</v>
      </c>
      <c r="NR60">
        <v>0</v>
      </c>
      <c r="NS60">
        <v>0</v>
      </c>
      <c r="NT60">
        <v>0</v>
      </c>
      <c r="NU60">
        <v>0</v>
      </c>
      <c r="NV60">
        <v>0</v>
      </c>
      <c r="NW60">
        <f t="shared" si="32"/>
        <v>0</v>
      </c>
      <c r="NX60">
        <v>0</v>
      </c>
      <c r="NY60">
        <v>0</v>
      </c>
      <c r="NZ60">
        <v>0</v>
      </c>
      <c r="OA60">
        <v>0</v>
      </c>
      <c r="OB60">
        <v>0</v>
      </c>
      <c r="OC60">
        <v>0</v>
      </c>
      <c r="OD60">
        <v>0</v>
      </c>
      <c r="OE60">
        <v>0</v>
      </c>
      <c r="OF60">
        <v>0</v>
      </c>
      <c r="OG60">
        <v>0</v>
      </c>
      <c r="OH60">
        <v>0</v>
      </c>
      <c r="OI60">
        <v>0</v>
      </c>
      <c r="OJ60">
        <f t="shared" si="33"/>
        <v>0</v>
      </c>
      <c r="OK60">
        <v>9223</v>
      </c>
      <c r="OL60">
        <v>9417</v>
      </c>
      <c r="OM60">
        <v>9806</v>
      </c>
      <c r="ON60">
        <v>9215</v>
      </c>
      <c r="OO60">
        <v>10107</v>
      </c>
      <c r="OP60">
        <v>9636</v>
      </c>
      <c r="OQ60">
        <v>10018</v>
      </c>
      <c r="OR60">
        <v>9492</v>
      </c>
      <c r="OS60">
        <v>9327</v>
      </c>
      <c r="OT60">
        <v>10177</v>
      </c>
      <c r="OU60">
        <v>9347</v>
      </c>
      <c r="OV60">
        <v>10463</v>
      </c>
      <c r="OW60">
        <f t="shared" si="34"/>
        <v>116228</v>
      </c>
      <c r="OX60">
        <v>0</v>
      </c>
      <c r="OY60">
        <v>0</v>
      </c>
      <c r="OZ60">
        <v>0</v>
      </c>
      <c r="PA60">
        <v>0</v>
      </c>
      <c r="PB60">
        <v>0</v>
      </c>
      <c r="PC60">
        <v>0</v>
      </c>
      <c r="PD60">
        <v>0</v>
      </c>
      <c r="PE60">
        <v>0</v>
      </c>
      <c r="PF60">
        <v>0</v>
      </c>
      <c r="PG60">
        <v>0</v>
      </c>
      <c r="PH60">
        <v>0</v>
      </c>
      <c r="PI60">
        <v>0</v>
      </c>
      <c r="PJ60">
        <f t="shared" si="35"/>
        <v>0</v>
      </c>
      <c r="PK60">
        <v>0</v>
      </c>
      <c r="PL60">
        <v>0</v>
      </c>
      <c r="PM60">
        <v>0</v>
      </c>
      <c r="PN60">
        <v>0</v>
      </c>
      <c r="PO60">
        <v>0</v>
      </c>
      <c r="PP60">
        <v>0</v>
      </c>
      <c r="PQ60">
        <v>0</v>
      </c>
      <c r="PR60">
        <v>0</v>
      </c>
      <c r="PS60">
        <v>0</v>
      </c>
      <c r="PT60">
        <v>0</v>
      </c>
      <c r="PU60">
        <v>0</v>
      </c>
      <c r="PV60">
        <v>0</v>
      </c>
      <c r="PW60">
        <f t="shared" si="36"/>
        <v>0</v>
      </c>
      <c r="PX60">
        <v>0</v>
      </c>
      <c r="PY60">
        <v>0</v>
      </c>
      <c r="PZ60">
        <v>0</v>
      </c>
      <c r="QA60">
        <v>0</v>
      </c>
      <c r="QB60">
        <v>0</v>
      </c>
      <c r="QC60">
        <v>0</v>
      </c>
      <c r="QD60">
        <v>0</v>
      </c>
      <c r="QE60">
        <v>0</v>
      </c>
      <c r="QF60">
        <v>0</v>
      </c>
      <c r="QG60">
        <v>0</v>
      </c>
      <c r="QH60">
        <v>0</v>
      </c>
      <c r="QI60">
        <v>0</v>
      </c>
      <c r="QJ60">
        <f t="shared" si="37"/>
        <v>0</v>
      </c>
      <c r="QK60">
        <v>29817</v>
      </c>
      <c r="QL60">
        <v>28931</v>
      </c>
      <c r="QM60">
        <v>30003</v>
      </c>
      <c r="QN60">
        <v>28393</v>
      </c>
      <c r="QO60">
        <v>44446</v>
      </c>
      <c r="QP60">
        <v>28717</v>
      </c>
      <c r="QQ60">
        <v>24862</v>
      </c>
      <c r="QR60">
        <v>23362</v>
      </c>
      <c r="QS60">
        <v>17938</v>
      </c>
      <c r="QT60">
        <v>24111</v>
      </c>
      <c r="QU60">
        <v>23874</v>
      </c>
      <c r="QV60">
        <v>25214</v>
      </c>
      <c r="QW60">
        <f t="shared" si="38"/>
        <v>329668</v>
      </c>
      <c r="QX60">
        <v>25038</v>
      </c>
      <c r="QY60">
        <v>26444</v>
      </c>
      <c r="QZ60">
        <v>25999</v>
      </c>
      <c r="RA60">
        <v>32345</v>
      </c>
      <c r="RB60">
        <v>30059</v>
      </c>
      <c r="RC60">
        <v>29865</v>
      </c>
      <c r="RD60">
        <v>30850</v>
      </c>
      <c r="RE60">
        <v>27442</v>
      </c>
      <c r="RF60">
        <v>24759</v>
      </c>
      <c r="RG60">
        <v>28026</v>
      </c>
      <c r="RH60">
        <v>26891</v>
      </c>
      <c r="RI60">
        <v>29746</v>
      </c>
      <c r="RJ60">
        <f t="shared" si="39"/>
        <v>337464</v>
      </c>
      <c r="RK60">
        <v>0</v>
      </c>
      <c r="RL60">
        <v>0</v>
      </c>
      <c r="RM60">
        <v>0</v>
      </c>
      <c r="RN60">
        <v>0</v>
      </c>
      <c r="RO60">
        <v>0</v>
      </c>
      <c r="RP60">
        <v>0</v>
      </c>
      <c r="RQ60">
        <v>0</v>
      </c>
      <c r="RR60">
        <v>0</v>
      </c>
      <c r="RS60">
        <v>0</v>
      </c>
      <c r="RT60">
        <v>0</v>
      </c>
      <c r="RU60">
        <v>0</v>
      </c>
      <c r="RV60">
        <v>0</v>
      </c>
      <c r="RW60">
        <f t="shared" si="40"/>
        <v>0</v>
      </c>
      <c r="RX60">
        <v>0</v>
      </c>
      <c r="RY60">
        <v>0</v>
      </c>
      <c r="RZ60">
        <v>0</v>
      </c>
      <c r="SA60">
        <v>0</v>
      </c>
      <c r="SB60">
        <v>0</v>
      </c>
      <c r="SC60">
        <v>0</v>
      </c>
      <c r="SD60">
        <v>0</v>
      </c>
      <c r="SE60">
        <v>0</v>
      </c>
      <c r="SF60">
        <v>0</v>
      </c>
      <c r="SG60">
        <v>0</v>
      </c>
      <c r="SH60">
        <v>0</v>
      </c>
      <c r="SI60">
        <v>0</v>
      </c>
      <c r="SJ60">
        <f t="shared" si="41"/>
        <v>0</v>
      </c>
      <c r="SK60">
        <v>15</v>
      </c>
      <c r="SL60">
        <v>15</v>
      </c>
      <c r="SM60">
        <v>14</v>
      </c>
      <c r="SN60">
        <v>14</v>
      </c>
      <c r="SO60">
        <v>13</v>
      </c>
      <c r="SP60">
        <v>15</v>
      </c>
      <c r="SQ60">
        <v>12</v>
      </c>
      <c r="SR60">
        <v>12</v>
      </c>
      <c r="SS60">
        <v>12</v>
      </c>
      <c r="ST60">
        <v>10</v>
      </c>
      <c r="SU60">
        <v>11</v>
      </c>
      <c r="SV60">
        <v>12</v>
      </c>
      <c r="SW60">
        <f t="shared" si="42"/>
        <v>155</v>
      </c>
      <c r="SX60" t="s">
        <v>1367</v>
      </c>
      <c r="SY60">
        <v>2131</v>
      </c>
      <c r="SZ60">
        <v>250</v>
      </c>
      <c r="TA60">
        <v>2172</v>
      </c>
      <c r="TB60">
        <v>2387</v>
      </c>
      <c r="TC60">
        <v>2071</v>
      </c>
      <c r="TD60">
        <v>2017</v>
      </c>
      <c r="TE60">
        <v>2342</v>
      </c>
      <c r="TF60">
        <v>2187</v>
      </c>
      <c r="TG60">
        <v>1834</v>
      </c>
      <c r="TH60">
        <v>2216</v>
      </c>
      <c r="TI60">
        <v>2078</v>
      </c>
      <c r="TJ60">
        <v>2385</v>
      </c>
      <c r="TK60">
        <f t="shared" si="43"/>
        <v>24070</v>
      </c>
      <c r="TL60">
        <v>0</v>
      </c>
      <c r="TM60">
        <v>0</v>
      </c>
      <c r="TN60">
        <v>0</v>
      </c>
      <c r="TO60">
        <v>0</v>
      </c>
      <c r="TP60">
        <v>0</v>
      </c>
      <c r="TQ60">
        <v>473</v>
      </c>
      <c r="TR60">
        <v>11133</v>
      </c>
      <c r="TS60">
        <v>9369</v>
      </c>
      <c r="TT60">
        <v>7694</v>
      </c>
      <c r="TU60">
        <v>10048</v>
      </c>
      <c r="TV60">
        <v>11025</v>
      </c>
      <c r="TW60">
        <v>14603</v>
      </c>
      <c r="TX60">
        <f t="shared" si="44"/>
        <v>64345</v>
      </c>
      <c r="TY60">
        <v>56</v>
      </c>
      <c r="TZ60">
        <v>0</v>
      </c>
      <c r="UA60">
        <v>0</v>
      </c>
      <c r="UB60">
        <v>0</v>
      </c>
    </row>
    <row r="61" spans="1:548" ht="16.5" customHeight="1" x14ac:dyDescent="0.35">
      <c r="A61" t="s">
        <v>1467</v>
      </c>
      <c r="B61" t="s">
        <v>2864</v>
      </c>
      <c r="C61">
        <v>27554</v>
      </c>
      <c r="D61">
        <v>7357</v>
      </c>
      <c r="E61">
        <v>1451</v>
      </c>
      <c r="F61">
        <v>18328</v>
      </c>
      <c r="G61">
        <v>0</v>
      </c>
      <c r="H61">
        <v>0</v>
      </c>
      <c r="I61">
        <v>717</v>
      </c>
      <c r="J61">
        <v>0</v>
      </c>
      <c r="K61">
        <v>0</v>
      </c>
      <c r="L61">
        <v>636</v>
      </c>
      <c r="M61">
        <v>0</v>
      </c>
      <c r="N61">
        <v>0</v>
      </c>
      <c r="O61">
        <v>657</v>
      </c>
      <c r="P61">
        <v>0</v>
      </c>
      <c r="Q61">
        <v>0</v>
      </c>
      <c r="R61">
        <v>657</v>
      </c>
      <c r="S61">
        <f t="shared" si="0"/>
        <v>2667</v>
      </c>
      <c r="T61">
        <v>0</v>
      </c>
      <c r="U61">
        <v>0</v>
      </c>
      <c r="V61">
        <v>342</v>
      </c>
      <c r="W61">
        <v>0</v>
      </c>
      <c r="X61">
        <v>0</v>
      </c>
      <c r="Y61">
        <v>339</v>
      </c>
      <c r="Z61">
        <v>0</v>
      </c>
      <c r="AA61">
        <v>0</v>
      </c>
      <c r="AB61">
        <v>334</v>
      </c>
      <c r="AC61">
        <v>0</v>
      </c>
      <c r="AD61">
        <v>0</v>
      </c>
      <c r="AE61">
        <v>313</v>
      </c>
      <c r="AF61">
        <f t="shared" si="1"/>
        <v>1328</v>
      </c>
      <c r="AG61">
        <v>0</v>
      </c>
      <c r="AH61">
        <v>0</v>
      </c>
      <c r="AI61">
        <v>4</v>
      </c>
      <c r="AJ61">
        <v>0</v>
      </c>
      <c r="AK61">
        <v>0</v>
      </c>
      <c r="AL61">
        <v>5</v>
      </c>
      <c r="AM61">
        <v>0</v>
      </c>
      <c r="AN61">
        <v>0</v>
      </c>
      <c r="AO61">
        <v>2</v>
      </c>
      <c r="AP61">
        <v>0</v>
      </c>
      <c r="AQ61">
        <v>0</v>
      </c>
      <c r="AR61">
        <v>2</v>
      </c>
      <c r="AS61">
        <f t="shared" si="2"/>
        <v>13</v>
      </c>
      <c r="AT61">
        <v>0</v>
      </c>
      <c r="AU61">
        <v>0</v>
      </c>
      <c r="AV61">
        <v>371</v>
      </c>
      <c r="AW61">
        <v>0</v>
      </c>
      <c r="AX61">
        <v>0</v>
      </c>
      <c r="AY61">
        <v>292</v>
      </c>
      <c r="AZ61">
        <v>0</v>
      </c>
      <c r="BA61">
        <v>0</v>
      </c>
      <c r="BB61">
        <v>321</v>
      </c>
      <c r="BC61">
        <v>0</v>
      </c>
      <c r="BD61">
        <v>0</v>
      </c>
      <c r="BE61">
        <v>342</v>
      </c>
      <c r="BF61">
        <f t="shared" si="3"/>
        <v>1326</v>
      </c>
      <c r="BG61">
        <v>0</v>
      </c>
      <c r="BH61">
        <v>0</v>
      </c>
      <c r="BI61">
        <v>0</v>
      </c>
      <c r="BJ61">
        <v>0</v>
      </c>
      <c r="BK61">
        <v>0</v>
      </c>
      <c r="BL61">
        <v>0</v>
      </c>
      <c r="BM61">
        <v>0</v>
      </c>
      <c r="BN61">
        <v>0</v>
      </c>
      <c r="BO61">
        <v>0</v>
      </c>
      <c r="BP61">
        <v>0</v>
      </c>
      <c r="BQ61">
        <v>0</v>
      </c>
      <c r="BR61">
        <v>0</v>
      </c>
      <c r="BS61">
        <f t="shared" si="4"/>
        <v>0</v>
      </c>
      <c r="BT61">
        <v>0</v>
      </c>
      <c r="BU61">
        <v>0</v>
      </c>
      <c r="BV61">
        <v>0</v>
      </c>
      <c r="BW61">
        <v>0</v>
      </c>
      <c r="BX61">
        <v>0</v>
      </c>
      <c r="BY61">
        <v>0</v>
      </c>
      <c r="BZ61">
        <v>0</v>
      </c>
      <c r="CA61">
        <v>0</v>
      </c>
      <c r="CB61">
        <v>0</v>
      </c>
      <c r="CC61">
        <v>0</v>
      </c>
      <c r="CD61">
        <v>0</v>
      </c>
      <c r="CE61">
        <v>0</v>
      </c>
      <c r="CF61">
        <f t="shared" si="5"/>
        <v>0</v>
      </c>
      <c r="CG61">
        <v>0</v>
      </c>
      <c r="CH61">
        <v>0</v>
      </c>
      <c r="CI61">
        <v>0</v>
      </c>
      <c r="CJ61">
        <v>0</v>
      </c>
      <c r="CK61">
        <v>0</v>
      </c>
      <c r="CL61">
        <v>0</v>
      </c>
      <c r="CM61">
        <v>0</v>
      </c>
      <c r="CN61">
        <v>0</v>
      </c>
      <c r="CO61">
        <v>0</v>
      </c>
      <c r="CP61">
        <v>0</v>
      </c>
      <c r="CQ61">
        <v>0</v>
      </c>
      <c r="CR61">
        <v>0</v>
      </c>
      <c r="CS61">
        <f t="shared" si="6"/>
        <v>0</v>
      </c>
      <c r="CT61">
        <v>0</v>
      </c>
      <c r="CU61">
        <v>0</v>
      </c>
      <c r="CV61">
        <v>0</v>
      </c>
      <c r="CW61">
        <v>0</v>
      </c>
      <c r="CX61">
        <v>0</v>
      </c>
      <c r="CY61">
        <v>0</v>
      </c>
      <c r="CZ61">
        <v>0</v>
      </c>
      <c r="DA61">
        <v>0</v>
      </c>
      <c r="DB61">
        <v>0</v>
      </c>
      <c r="DC61">
        <v>0</v>
      </c>
      <c r="DD61">
        <v>0</v>
      </c>
      <c r="DE61">
        <v>0</v>
      </c>
      <c r="DF61">
        <f t="shared" si="7"/>
        <v>0</v>
      </c>
      <c r="DG61">
        <v>0</v>
      </c>
      <c r="DH61">
        <v>0</v>
      </c>
      <c r="DI61">
        <v>0</v>
      </c>
      <c r="DJ61">
        <v>0</v>
      </c>
      <c r="DK61">
        <v>0</v>
      </c>
      <c r="DL61">
        <v>0</v>
      </c>
      <c r="DM61">
        <v>0</v>
      </c>
      <c r="DN61">
        <v>0</v>
      </c>
      <c r="DO61">
        <v>0</v>
      </c>
      <c r="DP61">
        <v>0</v>
      </c>
      <c r="DQ61">
        <v>0</v>
      </c>
      <c r="DR61">
        <v>0</v>
      </c>
      <c r="DS61">
        <f t="shared" si="8"/>
        <v>0</v>
      </c>
      <c r="DT61">
        <v>0</v>
      </c>
      <c r="DU61">
        <v>0</v>
      </c>
      <c r="DV61">
        <v>0</v>
      </c>
      <c r="DW61">
        <v>0</v>
      </c>
      <c r="DX61">
        <v>0</v>
      </c>
      <c r="DY61">
        <v>0</v>
      </c>
      <c r="DZ61">
        <v>0</v>
      </c>
      <c r="EA61">
        <v>0</v>
      </c>
      <c r="EB61">
        <v>0</v>
      </c>
      <c r="EC61">
        <v>0</v>
      </c>
      <c r="ED61">
        <v>0</v>
      </c>
      <c r="EE61">
        <v>0</v>
      </c>
      <c r="EF61">
        <f t="shared" si="9"/>
        <v>0</v>
      </c>
      <c r="EG61">
        <f t="shared" si="10"/>
        <v>2667</v>
      </c>
      <c r="EH61">
        <f t="shared" si="11"/>
        <v>0</v>
      </c>
      <c r="EI61">
        <v>0</v>
      </c>
      <c r="EJ61">
        <v>0</v>
      </c>
      <c r="EK61">
        <v>7367</v>
      </c>
      <c r="EL61">
        <v>0</v>
      </c>
      <c r="EM61">
        <v>0</v>
      </c>
      <c r="EN61">
        <v>6873</v>
      </c>
      <c r="EO61">
        <v>0</v>
      </c>
      <c r="EP61">
        <v>0</v>
      </c>
      <c r="EQ61">
        <v>6084</v>
      </c>
      <c r="ER61">
        <v>0</v>
      </c>
      <c r="ES61">
        <v>0</v>
      </c>
      <c r="ET61">
        <v>6458</v>
      </c>
      <c r="EU61">
        <f t="shared" si="12"/>
        <v>26782</v>
      </c>
      <c r="EV61">
        <v>0</v>
      </c>
      <c r="EW61">
        <v>0</v>
      </c>
      <c r="EX61">
        <v>0</v>
      </c>
      <c r="EY61">
        <v>0</v>
      </c>
      <c r="EZ61">
        <v>0</v>
      </c>
      <c r="FA61">
        <v>0</v>
      </c>
      <c r="FB61">
        <v>0</v>
      </c>
      <c r="FC61">
        <v>0</v>
      </c>
      <c r="FD61">
        <v>0</v>
      </c>
      <c r="FE61">
        <v>0</v>
      </c>
      <c r="FF61">
        <v>0</v>
      </c>
      <c r="FG61">
        <v>0</v>
      </c>
      <c r="FH61">
        <f t="shared" si="13"/>
        <v>0</v>
      </c>
      <c r="FI61">
        <v>0</v>
      </c>
      <c r="FJ61">
        <v>0</v>
      </c>
      <c r="FK61">
        <v>0</v>
      </c>
      <c r="FL61">
        <v>0</v>
      </c>
      <c r="FM61">
        <v>0</v>
      </c>
      <c r="FN61">
        <v>0</v>
      </c>
      <c r="FO61">
        <v>0</v>
      </c>
      <c r="FP61">
        <v>0</v>
      </c>
      <c r="FQ61">
        <v>0</v>
      </c>
      <c r="FR61">
        <v>0</v>
      </c>
      <c r="FS61">
        <v>0</v>
      </c>
      <c r="FT61">
        <v>0</v>
      </c>
      <c r="FU61">
        <f t="shared" si="14"/>
        <v>0</v>
      </c>
      <c r="FV61">
        <v>0</v>
      </c>
      <c r="FW61">
        <v>0</v>
      </c>
      <c r="FX61">
        <v>3542</v>
      </c>
      <c r="FY61">
        <v>0</v>
      </c>
      <c r="FZ61">
        <v>0</v>
      </c>
      <c r="GA61">
        <v>3384</v>
      </c>
      <c r="GB61">
        <v>0</v>
      </c>
      <c r="GC61">
        <v>0</v>
      </c>
      <c r="GD61">
        <v>3433</v>
      </c>
      <c r="GE61">
        <v>0</v>
      </c>
      <c r="GF61">
        <v>0</v>
      </c>
      <c r="GG61">
        <v>3608</v>
      </c>
      <c r="GH61">
        <f t="shared" si="15"/>
        <v>13967</v>
      </c>
      <c r="GI61">
        <v>0</v>
      </c>
      <c r="GJ61">
        <v>0</v>
      </c>
      <c r="GK61">
        <v>0</v>
      </c>
      <c r="GL61">
        <v>0</v>
      </c>
      <c r="GM61">
        <v>0</v>
      </c>
      <c r="GN61">
        <v>0</v>
      </c>
      <c r="GO61">
        <v>0</v>
      </c>
      <c r="GP61">
        <v>0</v>
      </c>
      <c r="GQ61">
        <v>0</v>
      </c>
      <c r="GR61">
        <v>0</v>
      </c>
      <c r="GS61">
        <v>0</v>
      </c>
      <c r="GT61">
        <v>0</v>
      </c>
      <c r="GU61">
        <f t="shared" si="16"/>
        <v>0</v>
      </c>
      <c r="GV61">
        <v>0</v>
      </c>
      <c r="GW61">
        <v>0</v>
      </c>
      <c r="GX61">
        <v>0</v>
      </c>
      <c r="GY61">
        <v>0</v>
      </c>
      <c r="GZ61">
        <v>0</v>
      </c>
      <c r="HA61">
        <v>0</v>
      </c>
      <c r="HB61">
        <v>0</v>
      </c>
      <c r="HC61">
        <v>0</v>
      </c>
      <c r="HD61">
        <v>0</v>
      </c>
      <c r="HE61">
        <v>0</v>
      </c>
      <c r="HF61">
        <v>0</v>
      </c>
      <c r="HG61">
        <v>0</v>
      </c>
      <c r="HH61">
        <f t="shared" si="17"/>
        <v>0</v>
      </c>
      <c r="HI61">
        <v>0</v>
      </c>
      <c r="HJ61">
        <v>0</v>
      </c>
      <c r="HK61">
        <v>0</v>
      </c>
      <c r="HL61">
        <v>0</v>
      </c>
      <c r="HM61">
        <v>0</v>
      </c>
      <c r="HN61">
        <v>0</v>
      </c>
      <c r="HO61">
        <v>0</v>
      </c>
      <c r="HP61">
        <v>0</v>
      </c>
      <c r="HQ61">
        <v>0</v>
      </c>
      <c r="HR61">
        <v>0</v>
      </c>
      <c r="HS61">
        <v>0</v>
      </c>
      <c r="HT61">
        <v>0</v>
      </c>
      <c r="HU61">
        <f t="shared" si="18"/>
        <v>0</v>
      </c>
      <c r="HV61">
        <v>0</v>
      </c>
      <c r="HW61">
        <v>0</v>
      </c>
      <c r="HX61">
        <v>0</v>
      </c>
      <c r="HY61">
        <v>0</v>
      </c>
      <c r="HZ61">
        <v>0</v>
      </c>
      <c r="IA61">
        <v>0</v>
      </c>
      <c r="IB61">
        <v>0</v>
      </c>
      <c r="IC61">
        <v>0</v>
      </c>
      <c r="ID61">
        <v>0</v>
      </c>
      <c r="IE61">
        <v>0</v>
      </c>
      <c r="IF61">
        <v>0</v>
      </c>
      <c r="IG61">
        <v>0</v>
      </c>
      <c r="IH61">
        <f t="shared" si="19"/>
        <v>0</v>
      </c>
      <c r="II61">
        <f t="shared" si="20"/>
        <v>13967</v>
      </c>
      <c r="IJ61">
        <f t="shared" si="21"/>
        <v>0</v>
      </c>
      <c r="IK61">
        <v>38626</v>
      </c>
      <c r="IL61">
        <v>41543</v>
      </c>
      <c r="IM61">
        <v>39627</v>
      </c>
      <c r="IN61">
        <v>49847</v>
      </c>
      <c r="IO61">
        <v>44730</v>
      </c>
      <c r="IP61">
        <v>33443</v>
      </c>
      <c r="IQ61">
        <v>33111</v>
      </c>
      <c r="IR61">
        <v>28941</v>
      </c>
      <c r="IS61">
        <v>24137</v>
      </c>
      <c r="IT61">
        <v>47013</v>
      </c>
      <c r="IU61">
        <v>41584</v>
      </c>
      <c r="IV61">
        <v>45040</v>
      </c>
      <c r="IW61">
        <f t="shared" si="22"/>
        <v>467642</v>
      </c>
      <c r="IX61">
        <v>15267</v>
      </c>
      <c r="IY61">
        <v>17071</v>
      </c>
      <c r="IZ61">
        <v>15932</v>
      </c>
      <c r="JA61">
        <v>24276</v>
      </c>
      <c r="JB61">
        <v>24125</v>
      </c>
      <c r="JC61">
        <v>15759</v>
      </c>
      <c r="JD61">
        <v>15543</v>
      </c>
      <c r="JE61">
        <v>12552</v>
      </c>
      <c r="JF61">
        <v>9888</v>
      </c>
      <c r="JG61">
        <v>25881</v>
      </c>
      <c r="JH61">
        <v>18567</v>
      </c>
      <c r="JI61">
        <v>19887</v>
      </c>
      <c r="JJ61">
        <f t="shared" si="23"/>
        <v>214748</v>
      </c>
      <c r="JK61">
        <v>601</v>
      </c>
      <c r="JL61">
        <v>594</v>
      </c>
      <c r="JM61">
        <v>620</v>
      </c>
      <c r="JN61">
        <v>739</v>
      </c>
      <c r="JO61">
        <v>564</v>
      </c>
      <c r="JP61">
        <v>396</v>
      </c>
      <c r="JQ61">
        <v>384</v>
      </c>
      <c r="JR61">
        <v>369</v>
      </c>
      <c r="JS61">
        <v>324</v>
      </c>
      <c r="JT61">
        <v>532</v>
      </c>
      <c r="JU61">
        <v>624</v>
      </c>
      <c r="JV61">
        <v>710</v>
      </c>
      <c r="JW61">
        <f t="shared" si="24"/>
        <v>6457</v>
      </c>
      <c r="JX61">
        <v>22758</v>
      </c>
      <c r="JY61">
        <v>23878</v>
      </c>
      <c r="JZ61">
        <v>23075</v>
      </c>
      <c r="KA61">
        <v>24832</v>
      </c>
      <c r="KB61">
        <v>20041</v>
      </c>
      <c r="KC61">
        <v>17288</v>
      </c>
      <c r="KD61">
        <v>17184</v>
      </c>
      <c r="KE61">
        <v>16020</v>
      </c>
      <c r="KF61">
        <v>13925</v>
      </c>
      <c r="KG61">
        <v>20600</v>
      </c>
      <c r="KH61">
        <v>22393</v>
      </c>
      <c r="KI61">
        <v>24443</v>
      </c>
      <c r="KJ61">
        <f t="shared" si="25"/>
        <v>246437</v>
      </c>
      <c r="KK61">
        <v>514</v>
      </c>
      <c r="KL61">
        <v>520</v>
      </c>
      <c r="KM61">
        <v>522</v>
      </c>
      <c r="KN61">
        <v>603</v>
      </c>
      <c r="KO61">
        <v>532</v>
      </c>
      <c r="KP61">
        <v>490</v>
      </c>
      <c r="KQ61">
        <v>452</v>
      </c>
      <c r="KR61">
        <v>422</v>
      </c>
      <c r="KS61">
        <v>378</v>
      </c>
      <c r="KT61">
        <v>459</v>
      </c>
      <c r="KU61">
        <v>433</v>
      </c>
      <c r="KV61">
        <v>512</v>
      </c>
      <c r="KW61">
        <f t="shared" si="26"/>
        <v>5837</v>
      </c>
      <c r="KX61">
        <v>162</v>
      </c>
      <c r="KY61">
        <v>154</v>
      </c>
      <c r="KZ61">
        <v>139</v>
      </c>
      <c r="LA61">
        <v>213</v>
      </c>
      <c r="LB61">
        <v>203</v>
      </c>
      <c r="LC61">
        <v>122</v>
      </c>
      <c r="LD61">
        <v>93</v>
      </c>
      <c r="LE61">
        <v>69</v>
      </c>
      <c r="LF61">
        <v>76</v>
      </c>
      <c r="LG61">
        <v>136</v>
      </c>
      <c r="LH61">
        <v>136</v>
      </c>
      <c r="LI61">
        <v>139</v>
      </c>
      <c r="LJ61">
        <f t="shared" si="27"/>
        <v>1642</v>
      </c>
      <c r="LK61">
        <v>0</v>
      </c>
      <c r="LL61">
        <v>0</v>
      </c>
      <c r="LM61">
        <v>0</v>
      </c>
      <c r="LN61">
        <v>0</v>
      </c>
      <c r="LO61">
        <v>0</v>
      </c>
      <c r="LP61">
        <v>0</v>
      </c>
      <c r="LQ61">
        <v>0</v>
      </c>
      <c r="LR61">
        <v>0</v>
      </c>
      <c r="LS61">
        <v>0</v>
      </c>
      <c r="LT61">
        <v>0</v>
      </c>
      <c r="LU61">
        <v>0</v>
      </c>
      <c r="LV61">
        <v>0</v>
      </c>
      <c r="LW61">
        <f t="shared" si="28"/>
        <v>0</v>
      </c>
      <c r="LX61">
        <v>352</v>
      </c>
      <c r="LY61">
        <v>366</v>
      </c>
      <c r="LZ61">
        <v>383</v>
      </c>
      <c r="MA61">
        <v>390</v>
      </c>
      <c r="MB61">
        <v>329</v>
      </c>
      <c r="MC61">
        <v>368</v>
      </c>
      <c r="MD61">
        <v>359</v>
      </c>
      <c r="ME61">
        <v>353</v>
      </c>
      <c r="MF61">
        <v>302</v>
      </c>
      <c r="MG61">
        <v>323</v>
      </c>
      <c r="MH61">
        <v>297</v>
      </c>
      <c r="MI61">
        <v>373</v>
      </c>
      <c r="MJ61">
        <f t="shared" si="29"/>
        <v>4195</v>
      </c>
      <c r="MK61">
        <v>2609</v>
      </c>
      <c r="ML61">
        <v>2442</v>
      </c>
      <c r="MM61">
        <v>2499</v>
      </c>
      <c r="MN61">
        <v>2557</v>
      </c>
      <c r="MO61">
        <v>2699</v>
      </c>
      <c r="MP61">
        <v>2693</v>
      </c>
      <c r="MQ61">
        <v>2577</v>
      </c>
      <c r="MR61">
        <v>2617</v>
      </c>
      <c r="MS61">
        <v>3095</v>
      </c>
      <c r="MT61">
        <v>3068</v>
      </c>
      <c r="MU61">
        <v>2863</v>
      </c>
      <c r="MV61">
        <v>3178</v>
      </c>
      <c r="MW61">
        <f t="shared" si="30"/>
        <v>32897</v>
      </c>
      <c r="MX61">
        <v>0</v>
      </c>
      <c r="MY61">
        <v>0</v>
      </c>
      <c r="MZ61">
        <v>0</v>
      </c>
      <c r="NA61">
        <v>0</v>
      </c>
      <c r="NB61">
        <v>0</v>
      </c>
      <c r="NC61">
        <v>0</v>
      </c>
      <c r="ND61">
        <v>0</v>
      </c>
      <c r="NE61">
        <v>0</v>
      </c>
      <c r="NF61">
        <v>0</v>
      </c>
      <c r="NG61">
        <v>0</v>
      </c>
      <c r="NH61">
        <v>0</v>
      </c>
      <c r="NI61">
        <v>0</v>
      </c>
      <c r="NJ61">
        <f t="shared" si="31"/>
        <v>0</v>
      </c>
      <c r="NK61">
        <v>0</v>
      </c>
      <c r="NL61">
        <v>0</v>
      </c>
      <c r="NM61">
        <v>0</v>
      </c>
      <c r="NN61">
        <v>0</v>
      </c>
      <c r="NO61">
        <v>0</v>
      </c>
      <c r="NP61">
        <v>0</v>
      </c>
      <c r="NQ61">
        <v>0</v>
      </c>
      <c r="NR61">
        <v>0</v>
      </c>
      <c r="NS61">
        <v>0</v>
      </c>
      <c r="NT61">
        <v>0</v>
      </c>
      <c r="NU61">
        <v>0</v>
      </c>
      <c r="NV61">
        <v>0</v>
      </c>
      <c r="NW61">
        <f t="shared" si="32"/>
        <v>0</v>
      </c>
      <c r="NX61">
        <v>0</v>
      </c>
      <c r="NY61">
        <v>0</v>
      </c>
      <c r="NZ61">
        <v>0</v>
      </c>
      <c r="OA61">
        <v>0</v>
      </c>
      <c r="OB61">
        <v>0</v>
      </c>
      <c r="OC61">
        <v>0</v>
      </c>
      <c r="OD61">
        <v>0</v>
      </c>
      <c r="OE61">
        <v>0</v>
      </c>
      <c r="OF61">
        <v>0</v>
      </c>
      <c r="OG61">
        <v>0</v>
      </c>
      <c r="OH61">
        <v>0</v>
      </c>
      <c r="OI61">
        <v>0</v>
      </c>
      <c r="OJ61">
        <f t="shared" si="33"/>
        <v>0</v>
      </c>
      <c r="OK61">
        <v>8723</v>
      </c>
      <c r="OL61">
        <v>9010</v>
      </c>
      <c r="OM61">
        <v>8825</v>
      </c>
      <c r="ON61">
        <v>9282</v>
      </c>
      <c r="OO61">
        <v>9836</v>
      </c>
      <c r="OP61">
        <v>9228</v>
      </c>
      <c r="OQ61">
        <v>9428</v>
      </c>
      <c r="OR61">
        <v>9265</v>
      </c>
      <c r="OS61">
        <v>11676</v>
      </c>
      <c r="OT61">
        <v>12098</v>
      </c>
      <c r="OU61">
        <v>12220</v>
      </c>
      <c r="OV61">
        <v>13212</v>
      </c>
      <c r="OW61">
        <f t="shared" si="34"/>
        <v>122803</v>
      </c>
      <c r="OX61">
        <v>0</v>
      </c>
      <c r="OY61">
        <v>0</v>
      </c>
      <c r="OZ61">
        <v>0</v>
      </c>
      <c r="PA61">
        <v>0</v>
      </c>
      <c r="PB61">
        <v>0</v>
      </c>
      <c r="PC61">
        <v>0</v>
      </c>
      <c r="PD61">
        <v>0</v>
      </c>
      <c r="PE61">
        <v>0</v>
      </c>
      <c r="PF61">
        <v>0</v>
      </c>
      <c r="PG61">
        <v>0</v>
      </c>
      <c r="PH61">
        <v>0</v>
      </c>
      <c r="PI61">
        <v>0</v>
      </c>
      <c r="PJ61">
        <f t="shared" si="35"/>
        <v>0</v>
      </c>
      <c r="PK61">
        <v>0</v>
      </c>
      <c r="PL61">
        <v>0</v>
      </c>
      <c r="PM61">
        <v>0</v>
      </c>
      <c r="PN61">
        <v>0</v>
      </c>
      <c r="PO61">
        <v>0</v>
      </c>
      <c r="PP61">
        <v>0</v>
      </c>
      <c r="PQ61">
        <v>0</v>
      </c>
      <c r="PR61">
        <v>0</v>
      </c>
      <c r="PS61">
        <v>0</v>
      </c>
      <c r="PT61">
        <v>0</v>
      </c>
      <c r="PU61">
        <v>0</v>
      </c>
      <c r="PV61">
        <v>0</v>
      </c>
      <c r="PW61">
        <f t="shared" si="36"/>
        <v>0</v>
      </c>
      <c r="PX61">
        <v>0</v>
      </c>
      <c r="PY61">
        <v>0</v>
      </c>
      <c r="PZ61">
        <v>0</v>
      </c>
      <c r="QA61">
        <v>0</v>
      </c>
      <c r="QB61">
        <v>0</v>
      </c>
      <c r="QC61">
        <v>0</v>
      </c>
      <c r="QD61">
        <v>0</v>
      </c>
      <c r="QE61">
        <v>0</v>
      </c>
      <c r="QF61">
        <v>0</v>
      </c>
      <c r="QG61">
        <v>0</v>
      </c>
      <c r="QH61">
        <v>0</v>
      </c>
      <c r="QI61">
        <v>0</v>
      </c>
      <c r="QJ61">
        <f t="shared" si="37"/>
        <v>0</v>
      </c>
      <c r="QK61">
        <v>16930</v>
      </c>
      <c r="QL61">
        <v>17271</v>
      </c>
      <c r="QM61">
        <v>16462</v>
      </c>
      <c r="QN61">
        <v>21738</v>
      </c>
      <c r="QO61">
        <v>24613</v>
      </c>
      <c r="QP61">
        <v>20157</v>
      </c>
      <c r="QQ61">
        <v>19412</v>
      </c>
      <c r="QR61">
        <v>17942</v>
      </c>
      <c r="QS61">
        <v>15115</v>
      </c>
      <c r="QT61">
        <v>18975</v>
      </c>
      <c r="QU61">
        <v>18151</v>
      </c>
      <c r="QV61">
        <v>18310</v>
      </c>
      <c r="QW61">
        <f t="shared" si="38"/>
        <v>225076</v>
      </c>
      <c r="QX61">
        <v>14767</v>
      </c>
      <c r="QY61">
        <v>18756</v>
      </c>
      <c r="QZ61">
        <v>17151</v>
      </c>
      <c r="RA61">
        <v>21236</v>
      </c>
      <c r="RB61">
        <v>17801</v>
      </c>
      <c r="RC61">
        <v>20112</v>
      </c>
      <c r="RD61">
        <v>20121</v>
      </c>
      <c r="RE61">
        <v>17640</v>
      </c>
      <c r="RF61">
        <v>13194</v>
      </c>
      <c r="RG61">
        <v>11943</v>
      </c>
      <c r="RH61">
        <v>16031</v>
      </c>
      <c r="RI61">
        <v>20044</v>
      </c>
      <c r="RJ61">
        <f t="shared" si="39"/>
        <v>208796</v>
      </c>
      <c r="RK61">
        <v>0</v>
      </c>
      <c r="RL61">
        <v>0</v>
      </c>
      <c r="RM61">
        <v>0</v>
      </c>
      <c r="RN61">
        <v>0</v>
      </c>
      <c r="RO61">
        <v>0</v>
      </c>
      <c r="RP61">
        <v>0</v>
      </c>
      <c r="RQ61">
        <v>0</v>
      </c>
      <c r="RR61">
        <v>0</v>
      </c>
      <c r="RS61">
        <v>0</v>
      </c>
      <c r="RT61">
        <v>0</v>
      </c>
      <c r="RU61">
        <v>0</v>
      </c>
      <c r="RV61">
        <v>0</v>
      </c>
      <c r="RW61">
        <f t="shared" si="40"/>
        <v>0</v>
      </c>
      <c r="RX61">
        <v>283</v>
      </c>
      <c r="RY61">
        <v>275</v>
      </c>
      <c r="RZ61">
        <v>320</v>
      </c>
      <c r="SA61">
        <v>391</v>
      </c>
      <c r="SB61">
        <v>318</v>
      </c>
      <c r="SC61">
        <v>337</v>
      </c>
      <c r="SD61">
        <v>311</v>
      </c>
      <c r="SE61">
        <v>269</v>
      </c>
      <c r="SF61">
        <v>11</v>
      </c>
      <c r="SG61">
        <v>553</v>
      </c>
      <c r="SH61">
        <v>463</v>
      </c>
      <c r="SI61">
        <v>652</v>
      </c>
      <c r="SJ61">
        <f t="shared" si="41"/>
        <v>4183</v>
      </c>
      <c r="SK61">
        <v>128</v>
      </c>
      <c r="SL61">
        <v>127</v>
      </c>
      <c r="SM61">
        <v>137</v>
      </c>
      <c r="SN61">
        <v>130</v>
      </c>
      <c r="SO61">
        <v>109</v>
      </c>
      <c r="SP61">
        <v>137</v>
      </c>
      <c r="SQ61">
        <v>143</v>
      </c>
      <c r="SR61">
        <v>139</v>
      </c>
      <c r="SS61">
        <v>120</v>
      </c>
      <c r="ST61">
        <v>130</v>
      </c>
      <c r="SU61">
        <v>129</v>
      </c>
      <c r="SV61">
        <v>37</v>
      </c>
      <c r="SW61">
        <f t="shared" si="42"/>
        <v>1466</v>
      </c>
      <c r="SX61" t="s">
        <v>1468</v>
      </c>
      <c r="SY61">
        <v>2662</v>
      </c>
      <c r="SZ61">
        <v>2396</v>
      </c>
      <c r="TA61">
        <v>2120</v>
      </c>
      <c r="TB61">
        <v>2242</v>
      </c>
      <c r="TC61">
        <v>2281</v>
      </c>
      <c r="TD61">
        <v>1478</v>
      </c>
      <c r="TE61">
        <v>2845</v>
      </c>
      <c r="TF61">
        <v>2492</v>
      </c>
      <c r="TG61">
        <v>2176</v>
      </c>
      <c r="TH61">
        <v>2511</v>
      </c>
      <c r="TI61">
        <v>2366</v>
      </c>
      <c r="TJ61">
        <v>2614</v>
      </c>
      <c r="TK61">
        <f t="shared" si="43"/>
        <v>28183</v>
      </c>
      <c r="TL61">
        <v>0</v>
      </c>
      <c r="TM61">
        <v>0</v>
      </c>
      <c r="TN61">
        <v>0</v>
      </c>
      <c r="TO61">
        <v>0</v>
      </c>
      <c r="TP61">
        <v>0</v>
      </c>
      <c r="TQ61">
        <v>0</v>
      </c>
      <c r="TR61">
        <v>0</v>
      </c>
      <c r="TS61">
        <v>0</v>
      </c>
      <c r="TT61">
        <v>0</v>
      </c>
      <c r="TU61">
        <v>0</v>
      </c>
      <c r="TV61">
        <v>0</v>
      </c>
      <c r="TW61">
        <v>0</v>
      </c>
      <c r="TX61">
        <f t="shared" si="44"/>
        <v>0</v>
      </c>
      <c r="TY61">
        <v>66</v>
      </c>
      <c r="TZ61">
        <v>0</v>
      </c>
      <c r="UA61">
        <v>0</v>
      </c>
      <c r="UB61">
        <v>0</v>
      </c>
    </row>
    <row r="62" spans="1:548" ht="16.5" customHeight="1" x14ac:dyDescent="0.35">
      <c r="A62" t="s">
        <v>1457</v>
      </c>
      <c r="B62" t="s">
        <v>2865</v>
      </c>
      <c r="C62">
        <v>25921</v>
      </c>
      <c r="D62">
        <v>8373</v>
      </c>
      <c r="E62">
        <v>450</v>
      </c>
      <c r="F62">
        <v>17098</v>
      </c>
      <c r="G62">
        <v>214</v>
      </c>
      <c r="H62">
        <v>234</v>
      </c>
      <c r="I62">
        <v>213</v>
      </c>
      <c r="J62">
        <v>243</v>
      </c>
      <c r="K62">
        <v>222</v>
      </c>
      <c r="L62">
        <v>225</v>
      </c>
      <c r="M62">
        <v>239</v>
      </c>
      <c r="N62">
        <v>216</v>
      </c>
      <c r="O62">
        <v>184</v>
      </c>
      <c r="P62">
        <v>224</v>
      </c>
      <c r="Q62">
        <v>211</v>
      </c>
      <c r="R62">
        <v>225</v>
      </c>
      <c r="S62">
        <f t="shared" si="0"/>
        <v>2650</v>
      </c>
      <c r="T62">
        <v>151</v>
      </c>
      <c r="U62">
        <v>1166</v>
      </c>
      <c r="V62">
        <v>150</v>
      </c>
      <c r="W62">
        <v>175</v>
      </c>
      <c r="X62">
        <v>154</v>
      </c>
      <c r="Y62">
        <v>159</v>
      </c>
      <c r="Z62">
        <v>172</v>
      </c>
      <c r="AA62">
        <v>150</v>
      </c>
      <c r="AB62">
        <v>126</v>
      </c>
      <c r="AC62">
        <v>156</v>
      </c>
      <c r="AD62">
        <v>148</v>
      </c>
      <c r="AE62">
        <v>159</v>
      </c>
      <c r="AF62">
        <f t="shared" si="1"/>
        <v>2866</v>
      </c>
      <c r="AG62">
        <v>0</v>
      </c>
      <c r="AH62">
        <v>0</v>
      </c>
      <c r="AI62">
        <v>0</v>
      </c>
      <c r="AJ62">
        <v>0</v>
      </c>
      <c r="AK62">
        <v>0</v>
      </c>
      <c r="AL62">
        <v>0</v>
      </c>
      <c r="AM62">
        <v>0</v>
      </c>
      <c r="AN62">
        <v>0</v>
      </c>
      <c r="AO62">
        <v>0</v>
      </c>
      <c r="AP62">
        <v>0</v>
      </c>
      <c r="AQ62">
        <v>0</v>
      </c>
      <c r="AR62">
        <v>0</v>
      </c>
      <c r="AS62">
        <f t="shared" si="2"/>
        <v>0</v>
      </c>
      <c r="AT62">
        <v>63</v>
      </c>
      <c r="AU62">
        <v>68</v>
      </c>
      <c r="AV62">
        <v>63</v>
      </c>
      <c r="AW62">
        <v>68</v>
      </c>
      <c r="AX62">
        <v>68</v>
      </c>
      <c r="AY62">
        <v>66</v>
      </c>
      <c r="AZ62">
        <v>67</v>
      </c>
      <c r="BA62">
        <v>66</v>
      </c>
      <c r="BB62">
        <v>58</v>
      </c>
      <c r="BC62">
        <v>68</v>
      </c>
      <c r="BD62">
        <v>63</v>
      </c>
      <c r="BE62">
        <v>66</v>
      </c>
      <c r="BF62">
        <f t="shared" si="3"/>
        <v>784</v>
      </c>
      <c r="BG62">
        <v>0</v>
      </c>
      <c r="BH62">
        <v>0</v>
      </c>
      <c r="BI62">
        <v>0</v>
      </c>
      <c r="BJ62">
        <v>0</v>
      </c>
      <c r="BK62">
        <v>0</v>
      </c>
      <c r="BL62">
        <v>0</v>
      </c>
      <c r="BM62">
        <v>0</v>
      </c>
      <c r="BN62">
        <v>0</v>
      </c>
      <c r="BO62">
        <v>0</v>
      </c>
      <c r="BP62">
        <v>0</v>
      </c>
      <c r="BQ62">
        <v>0</v>
      </c>
      <c r="BR62">
        <v>0</v>
      </c>
      <c r="BS62">
        <f t="shared" si="4"/>
        <v>0</v>
      </c>
      <c r="BT62">
        <v>0</v>
      </c>
      <c r="BU62">
        <v>0</v>
      </c>
      <c r="BV62">
        <v>0</v>
      </c>
      <c r="BW62">
        <v>0</v>
      </c>
      <c r="BX62">
        <v>0</v>
      </c>
      <c r="BY62">
        <v>0</v>
      </c>
      <c r="BZ62">
        <v>0</v>
      </c>
      <c r="CA62">
        <v>0</v>
      </c>
      <c r="CB62">
        <v>0</v>
      </c>
      <c r="CC62">
        <v>0</v>
      </c>
      <c r="CD62">
        <v>0</v>
      </c>
      <c r="CE62">
        <v>0</v>
      </c>
      <c r="CF62">
        <f t="shared" si="5"/>
        <v>0</v>
      </c>
      <c r="CG62">
        <v>0</v>
      </c>
      <c r="CH62">
        <v>0</v>
      </c>
      <c r="CI62">
        <v>0</v>
      </c>
      <c r="CJ62">
        <v>0</v>
      </c>
      <c r="CK62">
        <v>0</v>
      </c>
      <c r="CL62">
        <v>0</v>
      </c>
      <c r="CM62">
        <v>0</v>
      </c>
      <c r="CN62">
        <v>0</v>
      </c>
      <c r="CO62">
        <v>0</v>
      </c>
      <c r="CP62">
        <v>0</v>
      </c>
      <c r="CQ62">
        <v>0</v>
      </c>
      <c r="CR62">
        <v>0</v>
      </c>
      <c r="CS62">
        <f t="shared" si="6"/>
        <v>0</v>
      </c>
      <c r="CT62">
        <v>0</v>
      </c>
      <c r="CU62">
        <v>0</v>
      </c>
      <c r="CV62">
        <v>0</v>
      </c>
      <c r="CW62">
        <v>0</v>
      </c>
      <c r="CX62">
        <v>0</v>
      </c>
      <c r="CY62">
        <v>0</v>
      </c>
      <c r="CZ62">
        <v>0</v>
      </c>
      <c r="DA62">
        <v>0</v>
      </c>
      <c r="DB62">
        <v>0</v>
      </c>
      <c r="DC62">
        <v>0</v>
      </c>
      <c r="DD62">
        <v>0</v>
      </c>
      <c r="DE62">
        <v>0</v>
      </c>
      <c r="DF62">
        <f t="shared" si="7"/>
        <v>0</v>
      </c>
      <c r="DG62">
        <v>0</v>
      </c>
      <c r="DH62">
        <v>0</v>
      </c>
      <c r="DI62">
        <v>0</v>
      </c>
      <c r="DJ62">
        <v>0</v>
      </c>
      <c r="DK62">
        <v>0</v>
      </c>
      <c r="DL62">
        <v>0</v>
      </c>
      <c r="DM62">
        <v>0</v>
      </c>
      <c r="DN62">
        <v>0</v>
      </c>
      <c r="DO62">
        <v>0</v>
      </c>
      <c r="DP62">
        <v>0</v>
      </c>
      <c r="DQ62">
        <v>0</v>
      </c>
      <c r="DR62">
        <v>0</v>
      </c>
      <c r="DS62">
        <f t="shared" si="8"/>
        <v>0</v>
      </c>
      <c r="DT62">
        <v>0</v>
      </c>
      <c r="DU62">
        <v>0</v>
      </c>
      <c r="DV62">
        <v>0</v>
      </c>
      <c r="DW62">
        <v>0</v>
      </c>
      <c r="DX62">
        <v>0</v>
      </c>
      <c r="DY62">
        <v>0</v>
      </c>
      <c r="DZ62">
        <v>0</v>
      </c>
      <c r="EA62">
        <v>0</v>
      </c>
      <c r="EB62">
        <v>0</v>
      </c>
      <c r="EC62">
        <v>0</v>
      </c>
      <c r="ED62">
        <v>0</v>
      </c>
      <c r="EE62">
        <v>0</v>
      </c>
      <c r="EF62">
        <f t="shared" si="9"/>
        <v>0</v>
      </c>
      <c r="EG62">
        <f t="shared" si="10"/>
        <v>3650</v>
      </c>
      <c r="EH62">
        <f t="shared" si="11"/>
        <v>0</v>
      </c>
      <c r="EI62">
        <v>4991</v>
      </c>
      <c r="EJ62">
        <v>5475</v>
      </c>
      <c r="EK62">
        <v>5062</v>
      </c>
      <c r="EL62">
        <v>7519</v>
      </c>
      <c r="EM62">
        <v>5579</v>
      </c>
      <c r="EN62">
        <v>4098</v>
      </c>
      <c r="EO62">
        <v>7842</v>
      </c>
      <c r="EP62">
        <v>6281</v>
      </c>
      <c r="EQ62">
        <v>3948</v>
      </c>
      <c r="ER62">
        <v>5152</v>
      </c>
      <c r="ES62">
        <v>5978</v>
      </c>
      <c r="ET62">
        <v>7127</v>
      </c>
      <c r="EU62">
        <f t="shared" si="12"/>
        <v>69052</v>
      </c>
      <c r="EV62">
        <v>2678</v>
      </c>
      <c r="EW62">
        <v>2837</v>
      </c>
      <c r="EX62">
        <v>2611</v>
      </c>
      <c r="EY62">
        <v>3905</v>
      </c>
      <c r="EZ62">
        <v>2723</v>
      </c>
      <c r="FA62">
        <v>2040</v>
      </c>
      <c r="FB62">
        <v>4311</v>
      </c>
      <c r="FC62">
        <v>3487</v>
      </c>
      <c r="FD62">
        <v>2022</v>
      </c>
      <c r="FE62">
        <v>2638</v>
      </c>
      <c r="FF62">
        <v>3076</v>
      </c>
      <c r="FG62">
        <v>4129</v>
      </c>
      <c r="FH62">
        <f t="shared" si="13"/>
        <v>36457</v>
      </c>
      <c r="FI62">
        <v>0</v>
      </c>
      <c r="FJ62">
        <v>0</v>
      </c>
      <c r="FK62">
        <v>0</v>
      </c>
      <c r="FL62">
        <v>0</v>
      </c>
      <c r="FM62">
        <v>0</v>
      </c>
      <c r="FN62">
        <v>0</v>
      </c>
      <c r="FO62">
        <v>0</v>
      </c>
      <c r="FP62">
        <v>0</v>
      </c>
      <c r="FQ62">
        <v>0</v>
      </c>
      <c r="FR62">
        <v>0</v>
      </c>
      <c r="FS62">
        <v>0</v>
      </c>
      <c r="FT62">
        <v>0</v>
      </c>
      <c r="FU62">
        <f t="shared" si="14"/>
        <v>0</v>
      </c>
      <c r="FV62">
        <v>2313</v>
      </c>
      <c r="FW62">
        <v>2638</v>
      </c>
      <c r="FX62">
        <v>2451</v>
      </c>
      <c r="FY62">
        <v>3614</v>
      </c>
      <c r="FZ62">
        <v>2856</v>
      </c>
      <c r="GA62">
        <v>2058</v>
      </c>
      <c r="GB62">
        <v>3531</v>
      </c>
      <c r="GC62">
        <v>2794</v>
      </c>
      <c r="GD62">
        <v>1926</v>
      </c>
      <c r="GE62">
        <v>2514</v>
      </c>
      <c r="GF62">
        <v>2902</v>
      </c>
      <c r="GG62">
        <v>2998</v>
      </c>
      <c r="GH62">
        <f t="shared" si="15"/>
        <v>32595</v>
      </c>
      <c r="GI62">
        <v>0</v>
      </c>
      <c r="GJ62">
        <v>0</v>
      </c>
      <c r="GK62">
        <v>0</v>
      </c>
      <c r="GL62">
        <v>0</v>
      </c>
      <c r="GM62">
        <v>0</v>
      </c>
      <c r="GN62">
        <v>0</v>
      </c>
      <c r="GO62">
        <v>0</v>
      </c>
      <c r="GP62">
        <v>0</v>
      </c>
      <c r="GQ62">
        <v>0</v>
      </c>
      <c r="GR62">
        <v>0</v>
      </c>
      <c r="GS62">
        <v>0</v>
      </c>
      <c r="GT62">
        <v>0</v>
      </c>
      <c r="GU62">
        <f t="shared" si="16"/>
        <v>0</v>
      </c>
      <c r="GV62">
        <v>0</v>
      </c>
      <c r="GW62">
        <v>0</v>
      </c>
      <c r="GX62">
        <v>0</v>
      </c>
      <c r="GY62">
        <v>0</v>
      </c>
      <c r="GZ62">
        <v>0</v>
      </c>
      <c r="HA62">
        <v>0</v>
      </c>
      <c r="HB62">
        <v>0</v>
      </c>
      <c r="HC62">
        <v>0</v>
      </c>
      <c r="HD62">
        <v>0</v>
      </c>
      <c r="HE62">
        <v>0</v>
      </c>
      <c r="HF62">
        <v>0</v>
      </c>
      <c r="HG62">
        <v>0</v>
      </c>
      <c r="HH62">
        <f t="shared" si="17"/>
        <v>0</v>
      </c>
      <c r="HI62">
        <v>0</v>
      </c>
      <c r="HJ62">
        <v>0</v>
      </c>
      <c r="HK62">
        <v>0</v>
      </c>
      <c r="HL62">
        <v>0</v>
      </c>
      <c r="HM62">
        <v>0</v>
      </c>
      <c r="HN62">
        <v>0</v>
      </c>
      <c r="HO62">
        <v>0</v>
      </c>
      <c r="HP62">
        <v>0</v>
      </c>
      <c r="HQ62">
        <v>0</v>
      </c>
      <c r="HR62">
        <v>0</v>
      </c>
      <c r="HS62">
        <v>0</v>
      </c>
      <c r="HT62">
        <v>0</v>
      </c>
      <c r="HU62">
        <f t="shared" si="18"/>
        <v>0</v>
      </c>
      <c r="HV62">
        <v>0</v>
      </c>
      <c r="HW62">
        <v>0</v>
      </c>
      <c r="HX62">
        <v>0</v>
      </c>
      <c r="HY62">
        <v>0</v>
      </c>
      <c r="HZ62">
        <v>0</v>
      </c>
      <c r="IA62">
        <v>0</v>
      </c>
      <c r="IB62">
        <v>0</v>
      </c>
      <c r="IC62">
        <v>0</v>
      </c>
      <c r="ID62">
        <v>0</v>
      </c>
      <c r="IE62">
        <v>0</v>
      </c>
      <c r="IF62">
        <v>0</v>
      </c>
      <c r="IG62">
        <v>0</v>
      </c>
      <c r="IH62">
        <f t="shared" si="19"/>
        <v>0</v>
      </c>
      <c r="II62">
        <f t="shared" si="20"/>
        <v>69052</v>
      </c>
      <c r="IJ62">
        <f t="shared" si="21"/>
        <v>0</v>
      </c>
      <c r="IK62">
        <v>37367</v>
      </c>
      <c r="IL62">
        <v>41228</v>
      </c>
      <c r="IM62">
        <v>30929</v>
      </c>
      <c r="IN62">
        <v>42971</v>
      </c>
      <c r="IO62">
        <v>45230</v>
      </c>
      <c r="IP62">
        <v>34884</v>
      </c>
      <c r="IQ62">
        <v>35523</v>
      </c>
      <c r="IR62">
        <v>29775</v>
      </c>
      <c r="IS62">
        <v>32726</v>
      </c>
      <c r="IT62">
        <v>39219</v>
      </c>
      <c r="IU62">
        <v>31494</v>
      </c>
      <c r="IV62">
        <v>35510</v>
      </c>
      <c r="IW62">
        <f t="shared" si="22"/>
        <v>436856</v>
      </c>
      <c r="IX62">
        <v>16055</v>
      </c>
      <c r="IY62">
        <v>16809</v>
      </c>
      <c r="IZ62">
        <v>8962</v>
      </c>
      <c r="JA62">
        <v>18975</v>
      </c>
      <c r="JB62">
        <v>208859</v>
      </c>
      <c r="JC62">
        <v>12671</v>
      </c>
      <c r="JD62">
        <v>12676</v>
      </c>
      <c r="JE62">
        <v>9462</v>
      </c>
      <c r="JF62">
        <v>13756</v>
      </c>
      <c r="JG62">
        <v>16539</v>
      </c>
      <c r="JH62">
        <v>11586</v>
      </c>
      <c r="JI62">
        <v>13996</v>
      </c>
      <c r="JJ62">
        <f t="shared" si="23"/>
        <v>360346</v>
      </c>
      <c r="JK62">
        <v>471</v>
      </c>
      <c r="JL62">
        <v>1475</v>
      </c>
      <c r="JM62">
        <v>467</v>
      </c>
      <c r="JN62">
        <v>573</v>
      </c>
      <c r="JO62">
        <v>1520</v>
      </c>
      <c r="JP62">
        <v>543</v>
      </c>
      <c r="JQ62">
        <v>485</v>
      </c>
      <c r="JR62">
        <v>441</v>
      </c>
      <c r="JS62">
        <v>339</v>
      </c>
      <c r="JT62">
        <v>1486</v>
      </c>
      <c r="JU62">
        <v>418</v>
      </c>
      <c r="JV62">
        <v>477</v>
      </c>
      <c r="JW62">
        <f t="shared" si="24"/>
        <v>8695</v>
      </c>
      <c r="JX62">
        <v>20841</v>
      </c>
      <c r="JY62">
        <v>22944</v>
      </c>
      <c r="JZ62">
        <v>21491</v>
      </c>
      <c r="KA62">
        <v>23423</v>
      </c>
      <c r="KB62">
        <v>22851</v>
      </c>
      <c r="KC62">
        <v>21670</v>
      </c>
      <c r="KD62">
        <v>22362</v>
      </c>
      <c r="KE62">
        <v>19872</v>
      </c>
      <c r="KF62">
        <v>19631</v>
      </c>
      <c r="KG62">
        <v>21194</v>
      </c>
      <c r="KH62">
        <v>19490</v>
      </c>
      <c r="KI62">
        <v>21037</v>
      </c>
      <c r="KJ62">
        <f t="shared" si="25"/>
        <v>256806</v>
      </c>
      <c r="KK62">
        <v>577</v>
      </c>
      <c r="KL62">
        <v>506</v>
      </c>
      <c r="KM62">
        <v>308</v>
      </c>
      <c r="KN62">
        <v>456</v>
      </c>
      <c r="KO62">
        <v>452</v>
      </c>
      <c r="KP62">
        <v>468</v>
      </c>
      <c r="KQ62">
        <v>46</v>
      </c>
      <c r="KR62">
        <v>459</v>
      </c>
      <c r="KS62">
        <v>442</v>
      </c>
      <c r="KT62">
        <v>487</v>
      </c>
      <c r="KU62">
        <v>430</v>
      </c>
      <c r="KV62">
        <v>475</v>
      </c>
      <c r="KW62">
        <f t="shared" si="26"/>
        <v>5106</v>
      </c>
      <c r="KX62" s="13">
        <v>16055</v>
      </c>
      <c r="KY62" s="13">
        <v>16809</v>
      </c>
      <c r="KZ62" s="13">
        <v>8962</v>
      </c>
      <c r="LA62" s="13">
        <v>18975</v>
      </c>
      <c r="LB62" s="13">
        <v>20859</v>
      </c>
      <c r="LC62" s="13">
        <v>12671</v>
      </c>
      <c r="LD62" s="13">
        <v>12676</v>
      </c>
      <c r="LE62" s="13">
        <v>9462</v>
      </c>
      <c r="LF62" s="13">
        <v>13756</v>
      </c>
      <c r="LG62" s="13">
        <v>16539</v>
      </c>
      <c r="LH62" s="13">
        <v>11586</v>
      </c>
      <c r="LI62" s="13">
        <v>13996</v>
      </c>
      <c r="LJ62" s="18">
        <f t="shared" si="27"/>
        <v>172346</v>
      </c>
      <c r="LK62">
        <v>0</v>
      </c>
      <c r="LL62">
        <v>0</v>
      </c>
      <c r="LM62">
        <v>0</v>
      </c>
      <c r="LN62">
        <v>0</v>
      </c>
      <c r="LO62">
        <v>0</v>
      </c>
      <c r="LP62">
        <v>0</v>
      </c>
      <c r="LQ62">
        <v>0</v>
      </c>
      <c r="LR62">
        <v>0</v>
      </c>
      <c r="LS62">
        <v>0</v>
      </c>
      <c r="LT62">
        <v>0</v>
      </c>
      <c r="LU62">
        <v>0</v>
      </c>
      <c r="LV62">
        <v>0</v>
      </c>
      <c r="LW62">
        <f t="shared" si="28"/>
        <v>0</v>
      </c>
      <c r="LX62">
        <v>0</v>
      </c>
      <c r="LY62">
        <v>0</v>
      </c>
      <c r="LZ62">
        <v>0</v>
      </c>
      <c r="MA62">
        <v>0</v>
      </c>
      <c r="MB62">
        <v>0</v>
      </c>
      <c r="MC62">
        <v>0</v>
      </c>
      <c r="MD62">
        <v>0</v>
      </c>
      <c r="ME62">
        <v>0</v>
      </c>
      <c r="MF62">
        <v>0</v>
      </c>
      <c r="MG62">
        <v>0</v>
      </c>
      <c r="MH62">
        <v>0</v>
      </c>
      <c r="MI62">
        <v>0</v>
      </c>
      <c r="MJ62">
        <f t="shared" si="29"/>
        <v>0</v>
      </c>
      <c r="MK62">
        <v>1646</v>
      </c>
      <c r="ML62">
        <v>1770</v>
      </c>
      <c r="MM62">
        <v>1719</v>
      </c>
      <c r="MN62">
        <v>1705</v>
      </c>
      <c r="MO62">
        <v>1772</v>
      </c>
      <c r="MP62">
        <v>1686</v>
      </c>
      <c r="MQ62">
        <v>1712</v>
      </c>
      <c r="MR62">
        <v>1618</v>
      </c>
      <c r="MS62">
        <v>1565</v>
      </c>
      <c r="MT62">
        <v>1619</v>
      </c>
      <c r="MU62">
        <v>1470</v>
      </c>
      <c r="MV62">
        <v>1509</v>
      </c>
      <c r="MW62">
        <f t="shared" si="30"/>
        <v>19791</v>
      </c>
      <c r="MX62">
        <v>102</v>
      </c>
      <c r="MY62">
        <v>120</v>
      </c>
      <c r="MZ62">
        <v>104</v>
      </c>
      <c r="NA62">
        <v>133</v>
      </c>
      <c r="NB62">
        <v>124</v>
      </c>
      <c r="NC62">
        <v>141</v>
      </c>
      <c r="ND62">
        <v>88</v>
      </c>
      <c r="NE62">
        <v>98</v>
      </c>
      <c r="NF62">
        <v>98</v>
      </c>
      <c r="NG62">
        <v>92</v>
      </c>
      <c r="NH62">
        <v>99</v>
      </c>
      <c r="NI62">
        <v>79</v>
      </c>
      <c r="NJ62">
        <f t="shared" si="31"/>
        <v>1278</v>
      </c>
      <c r="NK62">
        <v>90</v>
      </c>
      <c r="NL62">
        <v>84</v>
      </c>
      <c r="NM62">
        <v>81</v>
      </c>
      <c r="NN62">
        <v>75</v>
      </c>
      <c r="NO62">
        <v>84</v>
      </c>
      <c r="NP62">
        <v>74</v>
      </c>
      <c r="NQ62">
        <v>61</v>
      </c>
      <c r="NR62">
        <v>56</v>
      </c>
      <c r="NS62">
        <v>54</v>
      </c>
      <c r="NT62">
        <v>56</v>
      </c>
      <c r="NU62">
        <v>55</v>
      </c>
      <c r="NV62">
        <v>51</v>
      </c>
      <c r="NW62">
        <f t="shared" si="32"/>
        <v>821</v>
      </c>
      <c r="NX62">
        <v>1454</v>
      </c>
      <c r="NY62">
        <v>1566</v>
      </c>
      <c r="NZ62">
        <v>1534</v>
      </c>
      <c r="OA62">
        <v>1497</v>
      </c>
      <c r="OB62">
        <v>1564</v>
      </c>
      <c r="OC62">
        <v>1471</v>
      </c>
      <c r="OD62">
        <v>1563</v>
      </c>
      <c r="OE62">
        <v>1464</v>
      </c>
      <c r="OF62">
        <v>1413</v>
      </c>
      <c r="OG62">
        <v>1471</v>
      </c>
      <c r="OH62">
        <v>1316</v>
      </c>
      <c r="OI62">
        <v>1379</v>
      </c>
      <c r="OJ62">
        <f t="shared" si="33"/>
        <v>17692</v>
      </c>
      <c r="OK62">
        <v>3638</v>
      </c>
      <c r="OL62">
        <v>3720</v>
      </c>
      <c r="OM62">
        <v>3549</v>
      </c>
      <c r="ON62">
        <v>3918</v>
      </c>
      <c r="OO62">
        <v>3719</v>
      </c>
      <c r="OP62">
        <v>3568</v>
      </c>
      <c r="OQ62">
        <v>3580</v>
      </c>
      <c r="OR62">
        <v>3546</v>
      </c>
      <c r="OS62">
        <v>3517</v>
      </c>
      <c r="OT62">
        <v>3672</v>
      </c>
      <c r="OU62">
        <v>3405</v>
      </c>
      <c r="OV62">
        <v>3749</v>
      </c>
      <c r="OW62">
        <f t="shared" si="34"/>
        <v>43581</v>
      </c>
      <c r="OX62">
        <v>583</v>
      </c>
      <c r="OY62">
        <v>551</v>
      </c>
      <c r="OZ62">
        <v>507</v>
      </c>
      <c r="PA62">
        <v>753</v>
      </c>
      <c r="PB62">
        <v>580</v>
      </c>
      <c r="PC62">
        <v>473</v>
      </c>
      <c r="PD62">
        <v>455</v>
      </c>
      <c r="PE62">
        <v>445</v>
      </c>
      <c r="PF62">
        <v>481</v>
      </c>
      <c r="PG62">
        <v>489</v>
      </c>
      <c r="PH62">
        <v>464</v>
      </c>
      <c r="PI62">
        <v>507</v>
      </c>
      <c r="PJ62">
        <f t="shared" si="35"/>
        <v>6288</v>
      </c>
      <c r="PK62">
        <v>169</v>
      </c>
      <c r="PL62">
        <v>161</v>
      </c>
      <c r="PM62">
        <v>157</v>
      </c>
      <c r="PN62">
        <v>187</v>
      </c>
      <c r="PO62">
        <v>152</v>
      </c>
      <c r="PP62">
        <v>146</v>
      </c>
      <c r="PQ62">
        <v>151</v>
      </c>
      <c r="PR62">
        <v>150</v>
      </c>
      <c r="PS62">
        <v>135</v>
      </c>
      <c r="PT62">
        <v>162</v>
      </c>
      <c r="PU62">
        <v>165</v>
      </c>
      <c r="PV62">
        <v>154</v>
      </c>
      <c r="PW62">
        <f t="shared" si="36"/>
        <v>1889</v>
      </c>
      <c r="PX62">
        <v>2886</v>
      </c>
      <c r="PY62">
        <v>3008</v>
      </c>
      <c r="PZ62">
        <v>2885</v>
      </c>
      <c r="QA62">
        <v>2978</v>
      </c>
      <c r="QB62">
        <v>2987</v>
      </c>
      <c r="QC62">
        <v>2949</v>
      </c>
      <c r="QD62">
        <v>2974</v>
      </c>
      <c r="QE62">
        <v>2951</v>
      </c>
      <c r="QF62">
        <v>2901</v>
      </c>
      <c r="QG62">
        <v>3021</v>
      </c>
      <c r="QH62">
        <v>2776</v>
      </c>
      <c r="QI62">
        <v>3088</v>
      </c>
      <c r="QJ62">
        <f t="shared" si="37"/>
        <v>35404</v>
      </c>
      <c r="QK62">
        <v>7872</v>
      </c>
      <c r="QL62">
        <v>8784</v>
      </c>
      <c r="QM62">
        <v>7934</v>
      </c>
      <c r="QN62">
        <v>10385</v>
      </c>
      <c r="QO62">
        <v>9086</v>
      </c>
      <c r="QP62">
        <v>8693</v>
      </c>
      <c r="QQ62">
        <v>9250</v>
      </c>
      <c r="QR62">
        <v>7874</v>
      </c>
      <c r="QS62">
        <v>6452</v>
      </c>
      <c r="QT62">
        <v>8203</v>
      </c>
      <c r="QU62">
        <v>8089</v>
      </c>
      <c r="QV62">
        <v>9274</v>
      </c>
      <c r="QW62">
        <f t="shared" si="38"/>
        <v>101896</v>
      </c>
      <c r="QX62">
        <v>82913</v>
      </c>
      <c r="QY62">
        <v>90267</v>
      </c>
      <c r="QZ62">
        <v>90084</v>
      </c>
      <c r="RA62">
        <v>10106</v>
      </c>
      <c r="RB62">
        <v>84033</v>
      </c>
      <c r="RC62">
        <v>94411</v>
      </c>
      <c r="RD62">
        <v>91962</v>
      </c>
      <c r="RE62">
        <v>87165</v>
      </c>
      <c r="RF62">
        <v>81821</v>
      </c>
      <c r="RG62">
        <v>86040</v>
      </c>
      <c r="RH62">
        <v>85499</v>
      </c>
      <c r="RI62">
        <v>102560</v>
      </c>
      <c r="RJ62">
        <f t="shared" si="39"/>
        <v>986861</v>
      </c>
      <c r="RK62">
        <v>0</v>
      </c>
      <c r="RL62">
        <v>0</v>
      </c>
      <c r="RM62">
        <v>0</v>
      </c>
      <c r="RN62">
        <v>0</v>
      </c>
      <c r="RO62">
        <v>0</v>
      </c>
      <c r="RP62">
        <v>0</v>
      </c>
      <c r="RQ62">
        <v>0</v>
      </c>
      <c r="RR62">
        <v>0</v>
      </c>
      <c r="RS62">
        <v>0</v>
      </c>
      <c r="RT62">
        <v>0</v>
      </c>
      <c r="RU62">
        <v>0</v>
      </c>
      <c r="RV62">
        <v>0</v>
      </c>
      <c r="RW62">
        <f t="shared" si="40"/>
        <v>0</v>
      </c>
      <c r="RX62">
        <v>391</v>
      </c>
      <c r="RY62">
        <v>400</v>
      </c>
      <c r="RZ62">
        <v>353</v>
      </c>
      <c r="SA62">
        <v>205</v>
      </c>
      <c r="SB62">
        <v>0</v>
      </c>
      <c r="SC62">
        <v>0</v>
      </c>
      <c r="SD62">
        <v>0</v>
      </c>
      <c r="SE62">
        <v>0</v>
      </c>
      <c r="SF62">
        <v>0</v>
      </c>
      <c r="SG62">
        <v>0</v>
      </c>
      <c r="SH62">
        <v>0</v>
      </c>
      <c r="SI62">
        <v>0</v>
      </c>
      <c r="SJ62">
        <f t="shared" si="41"/>
        <v>1349</v>
      </c>
      <c r="SK62">
        <v>179</v>
      </c>
      <c r="SL62">
        <v>173</v>
      </c>
      <c r="SM62">
        <v>178</v>
      </c>
      <c r="SN62">
        <v>213</v>
      </c>
      <c r="SO62">
        <v>192</v>
      </c>
      <c r="SP62">
        <v>212</v>
      </c>
      <c r="SQ62">
        <v>221</v>
      </c>
      <c r="SR62">
        <v>219</v>
      </c>
      <c r="SS62">
        <v>261</v>
      </c>
      <c r="ST62">
        <v>214</v>
      </c>
      <c r="SU62">
        <v>210</v>
      </c>
      <c r="SV62">
        <v>207</v>
      </c>
      <c r="SW62">
        <f t="shared" si="42"/>
        <v>2479</v>
      </c>
      <c r="SX62" t="s">
        <v>1458</v>
      </c>
      <c r="SY62">
        <v>4589</v>
      </c>
      <c r="SZ62">
        <v>4913</v>
      </c>
      <c r="TA62">
        <v>4581</v>
      </c>
      <c r="TB62">
        <v>5101</v>
      </c>
      <c r="TC62">
        <v>4775</v>
      </c>
      <c r="TD62">
        <v>4985</v>
      </c>
      <c r="TE62">
        <v>5208</v>
      </c>
      <c r="TF62">
        <v>4465</v>
      </c>
      <c r="TG62">
        <v>4224</v>
      </c>
      <c r="TH62">
        <v>5166</v>
      </c>
      <c r="TI62">
        <v>5108</v>
      </c>
      <c r="TJ62">
        <v>5442</v>
      </c>
      <c r="TK62">
        <f t="shared" si="43"/>
        <v>58557</v>
      </c>
      <c r="TL62">
        <v>4349</v>
      </c>
      <c r="TM62">
        <v>4687</v>
      </c>
      <c r="TN62">
        <v>3599</v>
      </c>
      <c r="TO62">
        <v>4638</v>
      </c>
      <c r="TP62">
        <v>3384</v>
      </c>
      <c r="TQ62">
        <v>4140</v>
      </c>
      <c r="TR62">
        <v>6120</v>
      </c>
      <c r="TS62">
        <v>5179</v>
      </c>
      <c r="TT62">
        <v>5255</v>
      </c>
      <c r="TU62">
        <v>4013</v>
      </c>
      <c r="TV62">
        <v>3115</v>
      </c>
      <c r="TW62">
        <v>4816</v>
      </c>
      <c r="TX62">
        <f t="shared" si="44"/>
        <v>53295</v>
      </c>
      <c r="TY62">
        <v>121</v>
      </c>
      <c r="TZ62">
        <v>0</v>
      </c>
      <c r="UA62">
        <v>0</v>
      </c>
      <c r="UB62">
        <v>0</v>
      </c>
    </row>
    <row r="63" spans="1:548" ht="16.5" customHeight="1" x14ac:dyDescent="0.35">
      <c r="A63" t="s">
        <v>1446</v>
      </c>
      <c r="B63" t="s">
        <v>2865</v>
      </c>
      <c r="C63">
        <v>52218</v>
      </c>
      <c r="D63">
        <v>0</v>
      </c>
      <c r="E63">
        <v>0</v>
      </c>
      <c r="F63">
        <v>0</v>
      </c>
      <c r="G63">
        <v>804</v>
      </c>
      <c r="H63">
        <v>843</v>
      </c>
      <c r="I63">
        <v>919</v>
      </c>
      <c r="J63">
        <v>986</v>
      </c>
      <c r="K63">
        <v>807</v>
      </c>
      <c r="L63">
        <v>932</v>
      </c>
      <c r="M63">
        <v>1144</v>
      </c>
      <c r="N63">
        <v>1023</v>
      </c>
      <c r="O63">
        <v>696</v>
      </c>
      <c r="P63">
        <v>966</v>
      </c>
      <c r="Q63">
        <v>1004</v>
      </c>
      <c r="R63">
        <v>1115</v>
      </c>
      <c r="S63">
        <f t="shared" si="0"/>
        <v>11239</v>
      </c>
      <c r="T63">
        <v>0</v>
      </c>
      <c r="U63">
        <v>0</v>
      </c>
      <c r="V63">
        <v>0</v>
      </c>
      <c r="W63">
        <v>0</v>
      </c>
      <c r="X63">
        <v>0</v>
      </c>
      <c r="Y63">
        <v>0</v>
      </c>
      <c r="Z63">
        <v>0</v>
      </c>
      <c r="AA63">
        <v>0</v>
      </c>
      <c r="AB63">
        <v>0</v>
      </c>
      <c r="AC63">
        <v>0</v>
      </c>
      <c r="AD63">
        <v>0</v>
      </c>
      <c r="AE63">
        <v>0</v>
      </c>
      <c r="AF63">
        <f t="shared" si="1"/>
        <v>0</v>
      </c>
      <c r="AG63">
        <v>0</v>
      </c>
      <c r="AH63">
        <v>0</v>
      </c>
      <c r="AI63">
        <v>0</v>
      </c>
      <c r="AJ63">
        <v>0</v>
      </c>
      <c r="AK63">
        <v>0</v>
      </c>
      <c r="AL63">
        <v>0</v>
      </c>
      <c r="AM63">
        <v>0</v>
      </c>
      <c r="AN63">
        <v>0</v>
      </c>
      <c r="AO63">
        <v>0</v>
      </c>
      <c r="AP63">
        <v>0</v>
      </c>
      <c r="AQ63">
        <v>0</v>
      </c>
      <c r="AR63">
        <v>0</v>
      </c>
      <c r="AS63">
        <f t="shared" si="2"/>
        <v>0</v>
      </c>
      <c r="AT63">
        <v>0</v>
      </c>
      <c r="AU63">
        <v>0</v>
      </c>
      <c r="AV63">
        <v>0</v>
      </c>
      <c r="AW63">
        <v>0</v>
      </c>
      <c r="AX63">
        <v>0</v>
      </c>
      <c r="AY63">
        <v>0</v>
      </c>
      <c r="AZ63">
        <v>0</v>
      </c>
      <c r="BA63">
        <v>0</v>
      </c>
      <c r="BB63">
        <v>0</v>
      </c>
      <c r="BC63">
        <v>0</v>
      </c>
      <c r="BD63">
        <v>0</v>
      </c>
      <c r="BE63">
        <v>0</v>
      </c>
      <c r="BF63">
        <f t="shared" si="3"/>
        <v>0</v>
      </c>
      <c r="BG63">
        <v>0</v>
      </c>
      <c r="BH63">
        <v>0</v>
      </c>
      <c r="BI63">
        <v>0</v>
      </c>
      <c r="BJ63">
        <v>0</v>
      </c>
      <c r="BK63">
        <v>0</v>
      </c>
      <c r="BL63">
        <v>0</v>
      </c>
      <c r="BM63">
        <v>0</v>
      </c>
      <c r="BN63">
        <v>0</v>
      </c>
      <c r="BO63">
        <v>0</v>
      </c>
      <c r="BP63">
        <v>0</v>
      </c>
      <c r="BQ63">
        <v>0</v>
      </c>
      <c r="BR63">
        <v>0</v>
      </c>
      <c r="BS63">
        <f t="shared" si="4"/>
        <v>0</v>
      </c>
      <c r="BT63">
        <v>0</v>
      </c>
      <c r="BU63">
        <v>0</v>
      </c>
      <c r="BV63">
        <v>0</v>
      </c>
      <c r="BW63">
        <v>0</v>
      </c>
      <c r="BX63">
        <v>0</v>
      </c>
      <c r="BY63">
        <v>0</v>
      </c>
      <c r="BZ63">
        <v>0</v>
      </c>
      <c r="CA63">
        <v>0</v>
      </c>
      <c r="CB63">
        <v>0</v>
      </c>
      <c r="CC63">
        <v>0</v>
      </c>
      <c r="CD63">
        <v>0</v>
      </c>
      <c r="CE63">
        <v>0</v>
      </c>
      <c r="CF63">
        <f t="shared" si="5"/>
        <v>0</v>
      </c>
      <c r="CG63">
        <v>0</v>
      </c>
      <c r="CH63">
        <v>0</v>
      </c>
      <c r="CI63">
        <v>0</v>
      </c>
      <c r="CJ63">
        <v>0</v>
      </c>
      <c r="CK63">
        <v>0</v>
      </c>
      <c r="CL63">
        <v>0</v>
      </c>
      <c r="CM63">
        <v>0</v>
      </c>
      <c r="CN63">
        <v>0</v>
      </c>
      <c r="CO63">
        <v>0</v>
      </c>
      <c r="CP63">
        <v>0</v>
      </c>
      <c r="CQ63">
        <v>0</v>
      </c>
      <c r="CR63">
        <v>0</v>
      </c>
      <c r="CS63">
        <f t="shared" si="6"/>
        <v>0</v>
      </c>
      <c r="CT63">
        <v>0</v>
      </c>
      <c r="CU63">
        <v>0</v>
      </c>
      <c r="CV63">
        <v>0</v>
      </c>
      <c r="CW63">
        <v>0</v>
      </c>
      <c r="CX63">
        <v>0</v>
      </c>
      <c r="CY63">
        <v>0</v>
      </c>
      <c r="CZ63">
        <v>0</v>
      </c>
      <c r="DA63">
        <v>0</v>
      </c>
      <c r="DB63">
        <v>0</v>
      </c>
      <c r="DC63">
        <v>0</v>
      </c>
      <c r="DD63">
        <v>0</v>
      </c>
      <c r="DE63">
        <v>0</v>
      </c>
      <c r="DF63">
        <f t="shared" si="7"/>
        <v>0</v>
      </c>
      <c r="DG63">
        <v>0</v>
      </c>
      <c r="DH63">
        <v>0</v>
      </c>
      <c r="DI63">
        <v>0</v>
      </c>
      <c r="DJ63">
        <v>0</v>
      </c>
      <c r="DK63">
        <v>0</v>
      </c>
      <c r="DL63">
        <v>0</v>
      </c>
      <c r="DM63">
        <v>0</v>
      </c>
      <c r="DN63">
        <v>0</v>
      </c>
      <c r="DO63">
        <v>0</v>
      </c>
      <c r="DP63">
        <v>0</v>
      </c>
      <c r="DQ63">
        <v>0</v>
      </c>
      <c r="DR63">
        <v>0</v>
      </c>
      <c r="DS63">
        <f t="shared" si="8"/>
        <v>0</v>
      </c>
      <c r="DT63">
        <v>0</v>
      </c>
      <c r="DU63">
        <v>0</v>
      </c>
      <c r="DV63">
        <v>0</v>
      </c>
      <c r="DW63">
        <v>0</v>
      </c>
      <c r="DX63">
        <v>0</v>
      </c>
      <c r="DY63">
        <v>0</v>
      </c>
      <c r="DZ63">
        <v>0</v>
      </c>
      <c r="EA63">
        <v>0</v>
      </c>
      <c r="EB63">
        <v>0</v>
      </c>
      <c r="EC63">
        <v>0</v>
      </c>
      <c r="ED63">
        <v>0</v>
      </c>
      <c r="EE63">
        <v>0</v>
      </c>
      <c r="EF63">
        <f t="shared" si="9"/>
        <v>0</v>
      </c>
      <c r="EG63">
        <f t="shared" si="10"/>
        <v>0</v>
      </c>
      <c r="EH63">
        <f t="shared" si="11"/>
        <v>0</v>
      </c>
      <c r="EI63">
        <v>10355</v>
      </c>
      <c r="EJ63">
        <v>11106</v>
      </c>
      <c r="EK63">
        <v>13458</v>
      </c>
      <c r="EL63">
        <v>26242</v>
      </c>
      <c r="EM63">
        <v>10278</v>
      </c>
      <c r="EN63">
        <v>11277</v>
      </c>
      <c r="EO63">
        <v>19663</v>
      </c>
      <c r="EP63">
        <v>13505</v>
      </c>
      <c r="EQ63">
        <v>9692</v>
      </c>
      <c r="ER63">
        <v>11408</v>
      </c>
      <c r="ES63">
        <v>13062</v>
      </c>
      <c r="ET63">
        <v>14640</v>
      </c>
      <c r="EU63">
        <f t="shared" si="12"/>
        <v>164686</v>
      </c>
      <c r="EV63">
        <v>0</v>
      </c>
      <c r="EW63">
        <v>0</v>
      </c>
      <c r="EX63">
        <v>0</v>
      </c>
      <c r="EY63">
        <v>0</v>
      </c>
      <c r="EZ63">
        <v>0</v>
      </c>
      <c r="FA63">
        <v>0</v>
      </c>
      <c r="FB63">
        <v>0</v>
      </c>
      <c r="FC63">
        <v>0</v>
      </c>
      <c r="FD63">
        <v>0</v>
      </c>
      <c r="FE63">
        <v>0</v>
      </c>
      <c r="FF63">
        <v>0</v>
      </c>
      <c r="FG63">
        <v>0</v>
      </c>
      <c r="FH63">
        <f t="shared" si="13"/>
        <v>0</v>
      </c>
      <c r="FI63">
        <v>0</v>
      </c>
      <c r="FJ63">
        <v>0</v>
      </c>
      <c r="FK63">
        <v>0</v>
      </c>
      <c r="FL63">
        <v>0</v>
      </c>
      <c r="FM63">
        <v>0</v>
      </c>
      <c r="FN63">
        <v>0</v>
      </c>
      <c r="FO63">
        <v>0</v>
      </c>
      <c r="FP63">
        <v>0</v>
      </c>
      <c r="FQ63">
        <v>0</v>
      </c>
      <c r="FR63">
        <v>0</v>
      </c>
      <c r="FS63">
        <v>0</v>
      </c>
      <c r="FT63">
        <v>0</v>
      </c>
      <c r="FU63">
        <f t="shared" si="14"/>
        <v>0</v>
      </c>
      <c r="FV63">
        <v>0</v>
      </c>
      <c r="FW63">
        <v>0</v>
      </c>
      <c r="FX63">
        <v>0</v>
      </c>
      <c r="FY63">
        <v>0</v>
      </c>
      <c r="FZ63">
        <v>0</v>
      </c>
      <c r="GA63">
        <v>0</v>
      </c>
      <c r="GB63">
        <v>0</v>
      </c>
      <c r="GC63">
        <v>0</v>
      </c>
      <c r="GD63">
        <v>0</v>
      </c>
      <c r="GE63">
        <v>0</v>
      </c>
      <c r="GF63">
        <v>0</v>
      </c>
      <c r="GG63">
        <v>0</v>
      </c>
      <c r="GH63">
        <f t="shared" si="15"/>
        <v>0</v>
      </c>
      <c r="GI63">
        <v>0</v>
      </c>
      <c r="GJ63">
        <v>0</v>
      </c>
      <c r="GK63">
        <v>0</v>
      </c>
      <c r="GL63">
        <v>0</v>
      </c>
      <c r="GM63">
        <v>0</v>
      </c>
      <c r="GN63">
        <v>0</v>
      </c>
      <c r="GO63">
        <v>0</v>
      </c>
      <c r="GP63">
        <v>0</v>
      </c>
      <c r="GQ63">
        <v>0</v>
      </c>
      <c r="GR63">
        <v>0</v>
      </c>
      <c r="GS63">
        <v>0</v>
      </c>
      <c r="GT63">
        <v>0</v>
      </c>
      <c r="GU63">
        <f t="shared" si="16"/>
        <v>0</v>
      </c>
      <c r="GV63">
        <v>0</v>
      </c>
      <c r="GW63">
        <v>0</v>
      </c>
      <c r="GX63">
        <v>0</v>
      </c>
      <c r="GY63">
        <v>0</v>
      </c>
      <c r="GZ63">
        <v>0</v>
      </c>
      <c r="HA63">
        <v>0</v>
      </c>
      <c r="HB63">
        <v>0</v>
      </c>
      <c r="HC63">
        <v>0</v>
      </c>
      <c r="HD63">
        <v>0</v>
      </c>
      <c r="HE63">
        <v>0</v>
      </c>
      <c r="HF63">
        <v>0</v>
      </c>
      <c r="HG63">
        <v>0</v>
      </c>
      <c r="HH63">
        <f t="shared" si="17"/>
        <v>0</v>
      </c>
      <c r="HI63">
        <v>0</v>
      </c>
      <c r="HJ63">
        <v>0</v>
      </c>
      <c r="HK63">
        <v>0</v>
      </c>
      <c r="HL63">
        <v>0</v>
      </c>
      <c r="HM63">
        <v>0</v>
      </c>
      <c r="HN63">
        <v>0</v>
      </c>
      <c r="HO63">
        <v>0</v>
      </c>
      <c r="HP63">
        <v>0</v>
      </c>
      <c r="HQ63">
        <v>0</v>
      </c>
      <c r="HR63">
        <v>0</v>
      </c>
      <c r="HS63">
        <v>0</v>
      </c>
      <c r="HT63">
        <v>0</v>
      </c>
      <c r="HU63">
        <f t="shared" si="18"/>
        <v>0</v>
      </c>
      <c r="HV63">
        <v>0</v>
      </c>
      <c r="HW63">
        <v>0</v>
      </c>
      <c r="HX63">
        <v>0</v>
      </c>
      <c r="HY63">
        <v>0</v>
      </c>
      <c r="HZ63">
        <v>0</v>
      </c>
      <c r="IA63">
        <v>0</v>
      </c>
      <c r="IB63">
        <v>0</v>
      </c>
      <c r="IC63">
        <v>0</v>
      </c>
      <c r="ID63">
        <v>0</v>
      </c>
      <c r="IE63">
        <v>0</v>
      </c>
      <c r="IF63">
        <v>0</v>
      </c>
      <c r="IG63">
        <v>0</v>
      </c>
      <c r="IH63">
        <f t="shared" si="19"/>
        <v>0</v>
      </c>
      <c r="II63">
        <f t="shared" si="20"/>
        <v>0</v>
      </c>
      <c r="IJ63">
        <f t="shared" si="21"/>
        <v>0</v>
      </c>
      <c r="IK63">
        <v>104590</v>
      </c>
      <c r="IL63">
        <v>112862</v>
      </c>
      <c r="IM63">
        <v>109704</v>
      </c>
      <c r="IN63">
        <v>141495</v>
      </c>
      <c r="IO63">
        <v>146379</v>
      </c>
      <c r="IP63">
        <v>122024</v>
      </c>
      <c r="IQ63">
        <v>127525</v>
      </c>
      <c r="IR63">
        <v>111621</v>
      </c>
      <c r="IS63">
        <v>88611</v>
      </c>
      <c r="IT63">
        <v>115056</v>
      </c>
      <c r="IU63">
        <v>112303</v>
      </c>
      <c r="IV63">
        <v>119761</v>
      </c>
      <c r="IW63">
        <f t="shared" si="22"/>
        <v>1411931</v>
      </c>
      <c r="IX63">
        <v>40479</v>
      </c>
      <c r="IY63">
        <v>45112</v>
      </c>
      <c r="IZ63">
        <v>43445</v>
      </c>
      <c r="JA63">
        <v>69641</v>
      </c>
      <c r="JB63">
        <v>74958</v>
      </c>
      <c r="JC63">
        <v>52237</v>
      </c>
      <c r="JD63">
        <v>55000</v>
      </c>
      <c r="JE63">
        <v>47591</v>
      </c>
      <c r="JF63">
        <v>34462</v>
      </c>
      <c r="JG63">
        <v>46218</v>
      </c>
      <c r="JH63">
        <v>46514</v>
      </c>
      <c r="JI63">
        <v>50551</v>
      </c>
      <c r="JJ63">
        <f t="shared" si="23"/>
        <v>606208</v>
      </c>
      <c r="JK63">
        <v>1205</v>
      </c>
      <c r="JL63">
        <v>1300</v>
      </c>
      <c r="JM63">
        <v>1360</v>
      </c>
      <c r="JN63">
        <v>1951</v>
      </c>
      <c r="JO63">
        <v>1924</v>
      </c>
      <c r="JP63">
        <v>1526</v>
      </c>
      <c r="JQ63">
        <v>1556</v>
      </c>
      <c r="JR63">
        <v>1430</v>
      </c>
      <c r="JS63">
        <v>1068</v>
      </c>
      <c r="JT63">
        <v>1415</v>
      </c>
      <c r="JU63">
        <v>1311</v>
      </c>
      <c r="JV63">
        <v>1541</v>
      </c>
      <c r="JW63">
        <f t="shared" si="24"/>
        <v>17587</v>
      </c>
      <c r="JX63">
        <v>62905</v>
      </c>
      <c r="JY63">
        <v>66450</v>
      </c>
      <c r="JZ63">
        <v>64899</v>
      </c>
      <c r="KA63">
        <v>69903</v>
      </c>
      <c r="KB63">
        <v>69397</v>
      </c>
      <c r="KC63">
        <v>68261</v>
      </c>
      <c r="KD63">
        <v>70969</v>
      </c>
      <c r="KE63">
        <v>62600</v>
      </c>
      <c r="KF63">
        <v>53081</v>
      </c>
      <c r="KG63">
        <v>67423</v>
      </c>
      <c r="KH63">
        <v>64478</v>
      </c>
      <c r="KI63">
        <v>67669</v>
      </c>
      <c r="KJ63">
        <f t="shared" si="25"/>
        <v>788035</v>
      </c>
      <c r="KK63">
        <v>1506</v>
      </c>
      <c r="KL63">
        <v>1452</v>
      </c>
      <c r="KM63">
        <v>1398</v>
      </c>
      <c r="KN63">
        <v>1562</v>
      </c>
      <c r="KO63">
        <v>1532</v>
      </c>
      <c r="KP63">
        <v>1412</v>
      </c>
      <c r="KQ63">
        <v>1521</v>
      </c>
      <c r="KR63">
        <v>1233</v>
      </c>
      <c r="KS63">
        <v>1211</v>
      </c>
      <c r="KT63">
        <v>1411</v>
      </c>
      <c r="KU63">
        <v>1235</v>
      </c>
      <c r="KV63">
        <v>1472</v>
      </c>
      <c r="KW63">
        <f t="shared" si="26"/>
        <v>16945</v>
      </c>
      <c r="KX63">
        <v>0</v>
      </c>
      <c r="KY63">
        <v>0</v>
      </c>
      <c r="KZ63">
        <v>0</v>
      </c>
      <c r="LA63">
        <v>0</v>
      </c>
      <c r="LB63">
        <v>0</v>
      </c>
      <c r="LC63">
        <v>0</v>
      </c>
      <c r="LD63">
        <v>0</v>
      </c>
      <c r="LE63">
        <v>0</v>
      </c>
      <c r="LF63">
        <v>0</v>
      </c>
      <c r="LG63">
        <v>0</v>
      </c>
      <c r="LH63">
        <v>0</v>
      </c>
      <c r="LI63">
        <v>0</v>
      </c>
      <c r="LJ63">
        <f t="shared" si="27"/>
        <v>0</v>
      </c>
      <c r="LK63">
        <v>0</v>
      </c>
      <c r="LL63">
        <v>0</v>
      </c>
      <c r="LM63">
        <v>0</v>
      </c>
      <c r="LN63">
        <v>0</v>
      </c>
      <c r="LO63">
        <v>0</v>
      </c>
      <c r="LP63">
        <v>0</v>
      </c>
      <c r="LQ63">
        <v>0</v>
      </c>
      <c r="LR63">
        <v>0</v>
      </c>
      <c r="LS63">
        <v>0</v>
      </c>
      <c r="LT63">
        <v>0</v>
      </c>
      <c r="LU63">
        <v>0</v>
      </c>
      <c r="LV63">
        <v>0</v>
      </c>
      <c r="LW63">
        <f t="shared" si="28"/>
        <v>0</v>
      </c>
      <c r="LX63">
        <v>1506</v>
      </c>
      <c r="LY63">
        <v>1452</v>
      </c>
      <c r="LZ63">
        <v>1398</v>
      </c>
      <c r="MA63">
        <v>1562</v>
      </c>
      <c r="MB63">
        <v>1532</v>
      </c>
      <c r="MC63">
        <v>1412</v>
      </c>
      <c r="MD63">
        <v>1521</v>
      </c>
      <c r="ME63">
        <v>1233</v>
      </c>
      <c r="MF63">
        <v>1211</v>
      </c>
      <c r="MG63">
        <v>1411</v>
      </c>
      <c r="MH63">
        <v>0</v>
      </c>
      <c r="MI63">
        <v>0</v>
      </c>
      <c r="MJ63">
        <f t="shared" si="29"/>
        <v>14238</v>
      </c>
      <c r="MK63">
        <v>17780</v>
      </c>
      <c r="ML63">
        <v>18751</v>
      </c>
      <c r="MM63">
        <v>17785</v>
      </c>
      <c r="MN63">
        <v>18396</v>
      </c>
      <c r="MO63">
        <v>19340</v>
      </c>
      <c r="MP63">
        <v>18292</v>
      </c>
      <c r="MQ63">
        <v>19108</v>
      </c>
      <c r="MR63">
        <v>18008</v>
      </c>
      <c r="MS63">
        <v>17622</v>
      </c>
      <c r="MT63">
        <v>19241</v>
      </c>
      <c r="MU63">
        <v>17567</v>
      </c>
      <c r="MV63">
        <v>18876</v>
      </c>
      <c r="MW63">
        <f t="shared" si="30"/>
        <v>220766</v>
      </c>
      <c r="MX63">
        <v>0</v>
      </c>
      <c r="MY63">
        <v>0</v>
      </c>
      <c r="MZ63">
        <v>0</v>
      </c>
      <c r="NA63">
        <v>0</v>
      </c>
      <c r="NB63">
        <v>0</v>
      </c>
      <c r="NC63">
        <v>0</v>
      </c>
      <c r="ND63">
        <v>0</v>
      </c>
      <c r="NE63">
        <v>0</v>
      </c>
      <c r="NF63">
        <v>0</v>
      </c>
      <c r="NG63">
        <v>0</v>
      </c>
      <c r="NH63">
        <v>0</v>
      </c>
      <c r="NI63">
        <v>0</v>
      </c>
      <c r="NJ63">
        <f t="shared" si="31"/>
        <v>0</v>
      </c>
      <c r="NK63">
        <v>0</v>
      </c>
      <c r="NL63">
        <v>0</v>
      </c>
      <c r="NM63">
        <v>0</v>
      </c>
      <c r="NN63">
        <v>0</v>
      </c>
      <c r="NO63">
        <v>0</v>
      </c>
      <c r="NP63">
        <v>0</v>
      </c>
      <c r="NQ63">
        <v>0</v>
      </c>
      <c r="NR63">
        <v>0</v>
      </c>
      <c r="NS63">
        <v>0</v>
      </c>
      <c r="NT63">
        <v>0</v>
      </c>
      <c r="NU63">
        <v>0</v>
      </c>
      <c r="NV63">
        <v>0</v>
      </c>
      <c r="NW63">
        <f t="shared" si="32"/>
        <v>0</v>
      </c>
      <c r="NX63">
        <v>0</v>
      </c>
      <c r="NY63">
        <v>0</v>
      </c>
      <c r="NZ63">
        <v>0</v>
      </c>
      <c r="OA63">
        <v>0</v>
      </c>
      <c r="OB63">
        <v>0</v>
      </c>
      <c r="OC63">
        <v>0</v>
      </c>
      <c r="OD63">
        <v>0</v>
      </c>
      <c r="OE63">
        <v>0</v>
      </c>
      <c r="OF63">
        <v>0</v>
      </c>
      <c r="OG63">
        <v>0</v>
      </c>
      <c r="OH63">
        <v>0</v>
      </c>
      <c r="OI63">
        <v>0</v>
      </c>
      <c r="OJ63">
        <f t="shared" si="33"/>
        <v>0</v>
      </c>
      <c r="OK63">
        <v>10694</v>
      </c>
      <c r="OL63">
        <v>11361</v>
      </c>
      <c r="OM63">
        <v>10994</v>
      </c>
      <c r="ON63">
        <v>11554</v>
      </c>
      <c r="OO63">
        <v>11878</v>
      </c>
      <c r="OP63">
        <v>11500</v>
      </c>
      <c r="OQ63">
        <v>11910</v>
      </c>
      <c r="OR63">
        <v>11465</v>
      </c>
      <c r="OS63">
        <v>11388</v>
      </c>
      <c r="OT63">
        <v>12647</v>
      </c>
      <c r="OU63">
        <v>11520</v>
      </c>
      <c r="OV63">
        <v>12770</v>
      </c>
      <c r="OW63">
        <f t="shared" si="34"/>
        <v>139681</v>
      </c>
      <c r="OX63">
        <v>0</v>
      </c>
      <c r="OY63">
        <v>0</v>
      </c>
      <c r="OZ63">
        <v>0</v>
      </c>
      <c r="PA63">
        <v>0</v>
      </c>
      <c r="PB63">
        <v>0</v>
      </c>
      <c r="PC63">
        <v>0</v>
      </c>
      <c r="PD63">
        <v>0</v>
      </c>
      <c r="PE63">
        <v>0</v>
      </c>
      <c r="PF63">
        <v>0</v>
      </c>
      <c r="PG63">
        <v>0</v>
      </c>
      <c r="PH63">
        <v>0</v>
      </c>
      <c r="PI63">
        <v>0</v>
      </c>
      <c r="PJ63">
        <f t="shared" si="35"/>
        <v>0</v>
      </c>
      <c r="PK63">
        <v>0</v>
      </c>
      <c r="PL63">
        <v>0</v>
      </c>
      <c r="PM63">
        <v>0</v>
      </c>
      <c r="PN63">
        <v>0</v>
      </c>
      <c r="PO63">
        <v>0</v>
      </c>
      <c r="PP63">
        <v>0</v>
      </c>
      <c r="PQ63">
        <v>0</v>
      </c>
      <c r="PR63">
        <v>0</v>
      </c>
      <c r="PS63">
        <v>0</v>
      </c>
      <c r="PT63">
        <v>0</v>
      </c>
      <c r="PU63">
        <v>0</v>
      </c>
      <c r="PV63">
        <v>0</v>
      </c>
      <c r="PW63">
        <f t="shared" si="36"/>
        <v>0</v>
      </c>
      <c r="PX63">
        <v>0</v>
      </c>
      <c r="PY63">
        <v>0</v>
      </c>
      <c r="PZ63">
        <v>0</v>
      </c>
      <c r="QA63">
        <v>0</v>
      </c>
      <c r="QB63">
        <v>0</v>
      </c>
      <c r="QC63">
        <v>0</v>
      </c>
      <c r="QD63">
        <v>0</v>
      </c>
      <c r="QE63">
        <v>0</v>
      </c>
      <c r="QF63">
        <v>0</v>
      </c>
      <c r="QG63">
        <v>0</v>
      </c>
      <c r="QH63">
        <v>0</v>
      </c>
      <c r="QI63">
        <v>0</v>
      </c>
      <c r="QJ63">
        <f t="shared" si="37"/>
        <v>0</v>
      </c>
      <c r="QK63">
        <v>124576</v>
      </c>
      <c r="QL63">
        <v>133929</v>
      </c>
      <c r="QM63">
        <v>127798</v>
      </c>
      <c r="QN63">
        <v>156865</v>
      </c>
      <c r="QO63">
        <v>161207</v>
      </c>
      <c r="QP63">
        <v>140701</v>
      </c>
      <c r="QQ63">
        <v>143798</v>
      </c>
      <c r="QR63">
        <v>130245</v>
      </c>
      <c r="QS63">
        <v>102874</v>
      </c>
      <c r="QT63">
        <v>132105</v>
      </c>
      <c r="QU63">
        <v>130250</v>
      </c>
      <c r="QV63">
        <v>137770</v>
      </c>
      <c r="QW63">
        <f t="shared" si="38"/>
        <v>1622118</v>
      </c>
      <c r="QX63">
        <v>24179</v>
      </c>
      <c r="QY63">
        <v>26054</v>
      </c>
      <c r="QZ63">
        <v>23058</v>
      </c>
      <c r="RA63">
        <v>20615</v>
      </c>
      <c r="RB63">
        <v>28265</v>
      </c>
      <c r="RC63">
        <v>22263</v>
      </c>
      <c r="RD63">
        <v>24816</v>
      </c>
      <c r="RE63">
        <v>24799</v>
      </c>
      <c r="RF63">
        <v>23853</v>
      </c>
      <c r="RG63">
        <v>21765</v>
      </c>
      <c r="RH63">
        <v>22366</v>
      </c>
      <c r="RI63">
        <v>25148</v>
      </c>
      <c r="RJ63">
        <f t="shared" si="39"/>
        <v>287181</v>
      </c>
      <c r="RK63">
        <v>0</v>
      </c>
      <c r="RL63">
        <v>0</v>
      </c>
      <c r="RM63">
        <v>0</v>
      </c>
      <c r="RN63">
        <v>0</v>
      </c>
      <c r="RO63">
        <v>0</v>
      </c>
      <c r="RP63">
        <v>0</v>
      </c>
      <c r="RQ63">
        <v>0</v>
      </c>
      <c r="RR63">
        <v>0</v>
      </c>
      <c r="RS63">
        <v>0</v>
      </c>
      <c r="RT63">
        <v>0</v>
      </c>
      <c r="RU63">
        <v>0</v>
      </c>
      <c r="RV63">
        <v>0</v>
      </c>
      <c r="RW63">
        <f t="shared" si="40"/>
        <v>0</v>
      </c>
      <c r="RX63">
        <v>89</v>
      </c>
      <c r="RY63">
        <v>549</v>
      </c>
      <c r="RZ63">
        <v>473</v>
      </c>
      <c r="SA63">
        <v>376</v>
      </c>
      <c r="SB63">
        <v>333</v>
      </c>
      <c r="SC63">
        <v>505</v>
      </c>
      <c r="SD63">
        <v>706</v>
      </c>
      <c r="SE63">
        <v>456</v>
      </c>
      <c r="SF63">
        <v>436</v>
      </c>
      <c r="SG63">
        <v>738</v>
      </c>
      <c r="SH63">
        <v>603</v>
      </c>
      <c r="SI63">
        <v>829</v>
      </c>
      <c r="SJ63">
        <f t="shared" si="41"/>
        <v>6093</v>
      </c>
      <c r="SK63">
        <v>824</v>
      </c>
      <c r="SL63">
        <v>828</v>
      </c>
      <c r="SM63">
        <v>8374</v>
      </c>
      <c r="SN63">
        <v>844</v>
      </c>
      <c r="SO63">
        <v>862</v>
      </c>
      <c r="SP63">
        <v>859</v>
      </c>
      <c r="SQ63">
        <v>873</v>
      </c>
      <c r="SR63">
        <v>866</v>
      </c>
      <c r="SS63">
        <v>881</v>
      </c>
      <c r="ST63">
        <v>876</v>
      </c>
      <c r="SU63">
        <v>849</v>
      </c>
      <c r="SV63">
        <v>854</v>
      </c>
      <c r="SW63">
        <f t="shared" si="42"/>
        <v>17790</v>
      </c>
      <c r="SX63" t="s">
        <v>1447</v>
      </c>
      <c r="SY63">
        <v>8392</v>
      </c>
      <c r="SZ63">
        <v>8642</v>
      </c>
      <c r="TA63">
        <v>8449</v>
      </c>
      <c r="TB63">
        <v>9201</v>
      </c>
      <c r="TC63">
        <v>7606</v>
      </c>
      <c r="TD63">
        <v>8431</v>
      </c>
      <c r="TE63">
        <v>9556</v>
      </c>
      <c r="TF63">
        <v>8160</v>
      </c>
      <c r="TG63">
        <v>6550</v>
      </c>
      <c r="TH63">
        <v>8816</v>
      </c>
      <c r="TI63">
        <v>8393</v>
      </c>
      <c r="TJ63">
        <v>8839</v>
      </c>
      <c r="TK63">
        <f t="shared" si="43"/>
        <v>101035</v>
      </c>
      <c r="TL63">
        <v>136752</v>
      </c>
      <c r="TM63">
        <v>152387</v>
      </c>
      <c r="TN63">
        <v>143863</v>
      </c>
      <c r="TO63">
        <v>148180</v>
      </c>
      <c r="TP63">
        <v>139651</v>
      </c>
      <c r="TQ63">
        <v>148242</v>
      </c>
      <c r="TR63">
        <v>171921</v>
      </c>
      <c r="TS63">
        <v>147023</v>
      </c>
      <c r="TT63">
        <v>126732</v>
      </c>
      <c r="TU63">
        <v>158019</v>
      </c>
      <c r="TV63">
        <v>80779</v>
      </c>
      <c r="TW63">
        <v>25403</v>
      </c>
      <c r="TX63">
        <f t="shared" si="44"/>
        <v>1578952</v>
      </c>
      <c r="TY63">
        <v>314</v>
      </c>
      <c r="TZ63">
        <v>0</v>
      </c>
      <c r="UA63">
        <v>0</v>
      </c>
      <c r="UB63">
        <v>0</v>
      </c>
    </row>
    <row r="64" spans="1:548" ht="16.5" customHeight="1" x14ac:dyDescent="0.35">
      <c r="A64" t="s">
        <v>1448</v>
      </c>
      <c r="B64" t="s">
        <v>2865</v>
      </c>
      <c r="C64">
        <v>19472</v>
      </c>
      <c r="D64">
        <v>0</v>
      </c>
      <c r="E64">
        <v>0</v>
      </c>
      <c r="F64">
        <v>0</v>
      </c>
      <c r="G64">
        <v>269</v>
      </c>
      <c r="H64">
        <v>272</v>
      </c>
      <c r="I64">
        <v>267</v>
      </c>
      <c r="J64">
        <v>282</v>
      </c>
      <c r="K64">
        <v>273</v>
      </c>
      <c r="L64">
        <v>254</v>
      </c>
      <c r="M64">
        <v>306</v>
      </c>
      <c r="N64">
        <v>253</v>
      </c>
      <c r="O64">
        <v>208</v>
      </c>
      <c r="P64">
        <v>289</v>
      </c>
      <c r="Q64">
        <v>290</v>
      </c>
      <c r="R64">
        <v>327</v>
      </c>
      <c r="S64">
        <f t="shared" si="0"/>
        <v>3290</v>
      </c>
      <c r="T64">
        <v>132</v>
      </c>
      <c r="U64">
        <v>120</v>
      </c>
      <c r="V64">
        <v>120</v>
      </c>
      <c r="W64">
        <v>114</v>
      </c>
      <c r="X64">
        <v>135</v>
      </c>
      <c r="Y64">
        <v>94</v>
      </c>
      <c r="Z64">
        <v>114</v>
      </c>
      <c r="AA64">
        <v>85</v>
      </c>
      <c r="AB64">
        <v>88</v>
      </c>
      <c r="AC64">
        <v>112</v>
      </c>
      <c r="AD64">
        <v>117</v>
      </c>
      <c r="AE64">
        <v>145</v>
      </c>
      <c r="AF64">
        <f t="shared" si="1"/>
        <v>1376</v>
      </c>
      <c r="AG64">
        <v>0</v>
      </c>
      <c r="AH64">
        <v>0</v>
      </c>
      <c r="AI64">
        <v>0</v>
      </c>
      <c r="AJ64">
        <v>0</v>
      </c>
      <c r="AK64">
        <v>0</v>
      </c>
      <c r="AL64">
        <v>0</v>
      </c>
      <c r="AM64">
        <v>0</v>
      </c>
      <c r="AN64">
        <v>0</v>
      </c>
      <c r="AO64">
        <v>0</v>
      </c>
      <c r="AP64">
        <v>0</v>
      </c>
      <c r="AQ64">
        <v>0</v>
      </c>
      <c r="AR64">
        <v>0</v>
      </c>
      <c r="AS64">
        <f t="shared" si="2"/>
        <v>0</v>
      </c>
      <c r="AT64">
        <v>137</v>
      </c>
      <c r="AU64">
        <v>152</v>
      </c>
      <c r="AV64">
        <v>147</v>
      </c>
      <c r="AW64">
        <v>168</v>
      </c>
      <c r="AX64">
        <v>138</v>
      </c>
      <c r="AY64">
        <v>160</v>
      </c>
      <c r="AZ64">
        <v>192</v>
      </c>
      <c r="BA64">
        <v>168</v>
      </c>
      <c r="BB64">
        <v>120</v>
      </c>
      <c r="BC64">
        <v>177</v>
      </c>
      <c r="BD64">
        <v>173</v>
      </c>
      <c r="BE64">
        <v>182</v>
      </c>
      <c r="BF64">
        <f t="shared" si="3"/>
        <v>1914</v>
      </c>
      <c r="BG64">
        <v>0</v>
      </c>
      <c r="BH64">
        <v>0</v>
      </c>
      <c r="BI64">
        <v>0</v>
      </c>
      <c r="BJ64">
        <v>0</v>
      </c>
      <c r="BK64">
        <v>0</v>
      </c>
      <c r="BL64">
        <v>0</v>
      </c>
      <c r="BM64">
        <v>0</v>
      </c>
      <c r="BN64">
        <v>0</v>
      </c>
      <c r="BO64">
        <v>0</v>
      </c>
      <c r="BP64">
        <v>0</v>
      </c>
      <c r="BQ64">
        <v>0</v>
      </c>
      <c r="BR64">
        <v>0</v>
      </c>
      <c r="BS64">
        <f t="shared" si="4"/>
        <v>0</v>
      </c>
      <c r="BT64">
        <v>0</v>
      </c>
      <c r="BU64">
        <v>0</v>
      </c>
      <c r="BV64">
        <v>0</v>
      </c>
      <c r="BW64">
        <v>0</v>
      </c>
      <c r="BX64">
        <v>0</v>
      </c>
      <c r="BY64">
        <v>0</v>
      </c>
      <c r="BZ64">
        <v>0</v>
      </c>
      <c r="CA64">
        <v>0</v>
      </c>
      <c r="CB64">
        <v>0</v>
      </c>
      <c r="CC64">
        <v>0</v>
      </c>
      <c r="CD64">
        <v>0</v>
      </c>
      <c r="CE64">
        <v>0</v>
      </c>
      <c r="CF64">
        <f t="shared" si="5"/>
        <v>0</v>
      </c>
      <c r="CG64">
        <v>0</v>
      </c>
      <c r="CH64">
        <v>0</v>
      </c>
      <c r="CI64">
        <v>0</v>
      </c>
      <c r="CJ64">
        <v>0</v>
      </c>
      <c r="CK64">
        <v>0</v>
      </c>
      <c r="CL64">
        <v>0</v>
      </c>
      <c r="CM64">
        <v>0</v>
      </c>
      <c r="CN64">
        <v>0</v>
      </c>
      <c r="CO64">
        <v>0</v>
      </c>
      <c r="CP64">
        <v>0</v>
      </c>
      <c r="CQ64">
        <v>0</v>
      </c>
      <c r="CR64">
        <v>0</v>
      </c>
      <c r="CS64">
        <f t="shared" si="6"/>
        <v>0</v>
      </c>
      <c r="CT64">
        <v>0</v>
      </c>
      <c r="CU64">
        <v>0</v>
      </c>
      <c r="CV64">
        <v>0</v>
      </c>
      <c r="CW64">
        <v>0</v>
      </c>
      <c r="CX64">
        <v>0</v>
      </c>
      <c r="CY64">
        <v>0</v>
      </c>
      <c r="CZ64">
        <v>0</v>
      </c>
      <c r="DA64">
        <v>0</v>
      </c>
      <c r="DB64">
        <v>0</v>
      </c>
      <c r="DC64">
        <v>0</v>
      </c>
      <c r="DD64">
        <v>0</v>
      </c>
      <c r="DE64">
        <v>0</v>
      </c>
      <c r="DF64">
        <f t="shared" si="7"/>
        <v>0</v>
      </c>
      <c r="DG64">
        <v>0</v>
      </c>
      <c r="DH64">
        <v>0</v>
      </c>
      <c r="DI64">
        <v>0</v>
      </c>
      <c r="DJ64">
        <v>0</v>
      </c>
      <c r="DK64">
        <v>0</v>
      </c>
      <c r="DL64">
        <v>0</v>
      </c>
      <c r="DM64">
        <v>0</v>
      </c>
      <c r="DN64">
        <v>0</v>
      </c>
      <c r="DO64">
        <v>0</v>
      </c>
      <c r="DP64">
        <v>0</v>
      </c>
      <c r="DQ64">
        <v>0</v>
      </c>
      <c r="DR64">
        <v>0</v>
      </c>
      <c r="DS64">
        <f t="shared" si="8"/>
        <v>0</v>
      </c>
      <c r="DT64">
        <v>0</v>
      </c>
      <c r="DU64">
        <v>0</v>
      </c>
      <c r="DV64">
        <v>0</v>
      </c>
      <c r="DW64">
        <v>0</v>
      </c>
      <c r="DX64">
        <v>0</v>
      </c>
      <c r="DY64">
        <v>0</v>
      </c>
      <c r="DZ64">
        <v>0</v>
      </c>
      <c r="EA64">
        <v>0</v>
      </c>
      <c r="EB64">
        <v>0</v>
      </c>
      <c r="EC64">
        <v>0</v>
      </c>
      <c r="ED64">
        <v>0</v>
      </c>
      <c r="EE64">
        <v>0</v>
      </c>
      <c r="EF64">
        <f t="shared" si="9"/>
        <v>0</v>
      </c>
      <c r="EG64">
        <f t="shared" si="10"/>
        <v>3290</v>
      </c>
      <c r="EH64">
        <f t="shared" si="11"/>
        <v>0</v>
      </c>
      <c r="EI64">
        <v>3126</v>
      </c>
      <c r="EJ64">
        <v>3693</v>
      </c>
      <c r="EK64">
        <v>3218</v>
      </c>
      <c r="EL64">
        <v>3381</v>
      </c>
      <c r="EM64">
        <v>3264</v>
      </c>
      <c r="EN64">
        <v>2992</v>
      </c>
      <c r="EO64">
        <v>4324</v>
      </c>
      <c r="EP64">
        <v>3059</v>
      </c>
      <c r="EQ64">
        <v>2887</v>
      </c>
      <c r="ER64">
        <v>3154</v>
      </c>
      <c r="ES64">
        <v>3451</v>
      </c>
      <c r="ET64">
        <v>4189</v>
      </c>
      <c r="EU64">
        <f t="shared" si="12"/>
        <v>40738</v>
      </c>
      <c r="EV64">
        <v>1387</v>
      </c>
      <c r="EW64">
        <v>1772</v>
      </c>
      <c r="EX64">
        <v>1381</v>
      </c>
      <c r="EY64">
        <v>1386</v>
      </c>
      <c r="EZ64">
        <v>1429</v>
      </c>
      <c r="FA64">
        <v>1249</v>
      </c>
      <c r="FB64">
        <v>1774</v>
      </c>
      <c r="FC64">
        <v>1093</v>
      </c>
      <c r="FD64">
        <v>1270</v>
      </c>
      <c r="FE64">
        <v>1294</v>
      </c>
      <c r="FF64">
        <v>1404</v>
      </c>
      <c r="FG64">
        <v>1841</v>
      </c>
      <c r="FH64">
        <f t="shared" si="13"/>
        <v>17280</v>
      </c>
      <c r="FI64">
        <v>0</v>
      </c>
      <c r="FJ64">
        <v>0</v>
      </c>
      <c r="FK64">
        <v>0</v>
      </c>
      <c r="FL64">
        <v>0</v>
      </c>
      <c r="FM64">
        <v>0</v>
      </c>
      <c r="FN64">
        <v>0</v>
      </c>
      <c r="FO64">
        <v>0</v>
      </c>
      <c r="FP64">
        <v>0</v>
      </c>
      <c r="FQ64">
        <v>0</v>
      </c>
      <c r="FR64">
        <v>0</v>
      </c>
      <c r="FS64">
        <v>0</v>
      </c>
      <c r="FT64">
        <v>0</v>
      </c>
      <c r="FU64">
        <f t="shared" si="14"/>
        <v>0</v>
      </c>
      <c r="FV64">
        <v>1739</v>
      </c>
      <c r="FW64">
        <v>1921</v>
      </c>
      <c r="FX64">
        <v>1837</v>
      </c>
      <c r="FY64">
        <v>1995</v>
      </c>
      <c r="FZ64">
        <v>1835</v>
      </c>
      <c r="GA64">
        <v>1743</v>
      </c>
      <c r="GB64">
        <v>2550</v>
      </c>
      <c r="GC64">
        <v>1966</v>
      </c>
      <c r="GD64">
        <v>1617</v>
      </c>
      <c r="GE64">
        <v>1860</v>
      </c>
      <c r="GF64">
        <v>2047</v>
      </c>
      <c r="GG64">
        <v>2348</v>
      </c>
      <c r="GH64">
        <f t="shared" si="15"/>
        <v>23458</v>
      </c>
      <c r="GI64">
        <v>0</v>
      </c>
      <c r="GJ64">
        <v>0</v>
      </c>
      <c r="GK64">
        <v>0</v>
      </c>
      <c r="GL64">
        <v>0</v>
      </c>
      <c r="GM64">
        <v>0</v>
      </c>
      <c r="GN64">
        <v>0</v>
      </c>
      <c r="GO64">
        <v>0</v>
      </c>
      <c r="GP64">
        <v>0</v>
      </c>
      <c r="GQ64">
        <v>0</v>
      </c>
      <c r="GR64">
        <v>0</v>
      </c>
      <c r="GS64">
        <v>0</v>
      </c>
      <c r="GT64">
        <v>0</v>
      </c>
      <c r="GU64">
        <f t="shared" si="16"/>
        <v>0</v>
      </c>
      <c r="GV64">
        <v>0</v>
      </c>
      <c r="GW64">
        <v>0</v>
      </c>
      <c r="GX64">
        <v>0</v>
      </c>
      <c r="GY64">
        <v>0</v>
      </c>
      <c r="GZ64">
        <v>0</v>
      </c>
      <c r="HA64">
        <v>0</v>
      </c>
      <c r="HB64">
        <v>0</v>
      </c>
      <c r="HC64">
        <v>0</v>
      </c>
      <c r="HD64">
        <v>0</v>
      </c>
      <c r="HE64">
        <v>0</v>
      </c>
      <c r="HF64">
        <v>0</v>
      </c>
      <c r="HG64">
        <v>0</v>
      </c>
      <c r="HH64">
        <f t="shared" si="17"/>
        <v>0</v>
      </c>
      <c r="HI64">
        <v>0</v>
      </c>
      <c r="HJ64">
        <v>0</v>
      </c>
      <c r="HK64">
        <v>0</v>
      </c>
      <c r="HL64">
        <v>0</v>
      </c>
      <c r="HM64">
        <v>0</v>
      </c>
      <c r="HN64">
        <v>0</v>
      </c>
      <c r="HO64">
        <v>0</v>
      </c>
      <c r="HP64">
        <v>0</v>
      </c>
      <c r="HQ64">
        <v>0</v>
      </c>
      <c r="HR64">
        <v>0</v>
      </c>
      <c r="HS64">
        <v>0</v>
      </c>
      <c r="HT64">
        <v>0</v>
      </c>
      <c r="HU64">
        <f t="shared" si="18"/>
        <v>0</v>
      </c>
      <c r="HV64">
        <v>0</v>
      </c>
      <c r="HW64">
        <v>0</v>
      </c>
      <c r="HX64">
        <v>0</v>
      </c>
      <c r="HY64">
        <v>0</v>
      </c>
      <c r="HZ64">
        <v>0</v>
      </c>
      <c r="IA64">
        <v>0</v>
      </c>
      <c r="IB64">
        <v>0</v>
      </c>
      <c r="IC64">
        <v>0</v>
      </c>
      <c r="ID64">
        <v>0</v>
      </c>
      <c r="IE64">
        <v>0</v>
      </c>
      <c r="IF64">
        <v>0</v>
      </c>
      <c r="IG64">
        <v>0</v>
      </c>
      <c r="IH64">
        <f t="shared" si="19"/>
        <v>0</v>
      </c>
      <c r="II64">
        <f t="shared" si="20"/>
        <v>40738</v>
      </c>
      <c r="IJ64">
        <f t="shared" si="21"/>
        <v>0</v>
      </c>
      <c r="IK64">
        <v>35813</v>
      </c>
      <c r="IL64">
        <v>36986</v>
      </c>
      <c r="IM64">
        <v>35994</v>
      </c>
      <c r="IN64">
        <v>44739</v>
      </c>
      <c r="IO64">
        <v>45333</v>
      </c>
      <c r="IP64">
        <v>41342</v>
      </c>
      <c r="IQ64">
        <v>41485</v>
      </c>
      <c r="IR64">
        <v>36087</v>
      </c>
      <c r="IS64">
        <v>30140</v>
      </c>
      <c r="IT64">
        <v>38609</v>
      </c>
      <c r="IU64">
        <v>35743</v>
      </c>
      <c r="IV64">
        <v>37128</v>
      </c>
      <c r="IW64">
        <f t="shared" si="22"/>
        <v>459399</v>
      </c>
      <c r="IX64">
        <v>12745</v>
      </c>
      <c r="IY64">
        <v>12826</v>
      </c>
      <c r="IZ64">
        <v>12543</v>
      </c>
      <c r="JA64">
        <v>18787</v>
      </c>
      <c r="JB64">
        <v>19922</v>
      </c>
      <c r="JC64">
        <v>16019</v>
      </c>
      <c r="JD64">
        <v>15467</v>
      </c>
      <c r="JE64">
        <v>12826</v>
      </c>
      <c r="JF64">
        <v>9152</v>
      </c>
      <c r="JG64">
        <v>13249</v>
      </c>
      <c r="JH64">
        <v>13194</v>
      </c>
      <c r="JI64">
        <v>13668</v>
      </c>
      <c r="JJ64">
        <f t="shared" si="23"/>
        <v>170398</v>
      </c>
      <c r="JK64">
        <v>329</v>
      </c>
      <c r="JL64">
        <v>337</v>
      </c>
      <c r="JM64">
        <v>289</v>
      </c>
      <c r="JN64">
        <v>461</v>
      </c>
      <c r="JO64">
        <v>538</v>
      </c>
      <c r="JP64">
        <v>467</v>
      </c>
      <c r="JQ64">
        <v>467</v>
      </c>
      <c r="JR64">
        <v>360</v>
      </c>
      <c r="JS64">
        <v>309</v>
      </c>
      <c r="JT64">
        <v>336</v>
      </c>
      <c r="JU64">
        <v>308</v>
      </c>
      <c r="JV64">
        <v>364</v>
      </c>
      <c r="JW64">
        <f t="shared" si="24"/>
        <v>4565</v>
      </c>
      <c r="JX64">
        <v>22739</v>
      </c>
      <c r="JY64">
        <v>23823</v>
      </c>
      <c r="JZ64">
        <v>23162</v>
      </c>
      <c r="KA64">
        <v>25491</v>
      </c>
      <c r="KB64">
        <v>24873</v>
      </c>
      <c r="KC64">
        <v>24856</v>
      </c>
      <c r="KD64">
        <v>25551</v>
      </c>
      <c r="KE64">
        <v>22901</v>
      </c>
      <c r="KF64">
        <v>20679</v>
      </c>
      <c r="KG64">
        <v>25024</v>
      </c>
      <c r="KH64">
        <v>22241</v>
      </c>
      <c r="KI64">
        <v>23096</v>
      </c>
      <c r="KJ64">
        <f t="shared" si="25"/>
        <v>284436</v>
      </c>
      <c r="KK64">
        <v>509</v>
      </c>
      <c r="KL64">
        <v>539</v>
      </c>
      <c r="KM64">
        <v>501</v>
      </c>
      <c r="KN64">
        <v>560</v>
      </c>
      <c r="KO64">
        <v>621</v>
      </c>
      <c r="KP64">
        <v>569</v>
      </c>
      <c r="KQ64">
        <v>517</v>
      </c>
      <c r="KR64">
        <v>438</v>
      </c>
      <c r="KS64">
        <v>367</v>
      </c>
      <c r="KT64">
        <v>464</v>
      </c>
      <c r="KU64">
        <v>401</v>
      </c>
      <c r="KV64">
        <v>446</v>
      </c>
      <c r="KW64">
        <f t="shared" si="26"/>
        <v>5932</v>
      </c>
      <c r="KX64">
        <v>24</v>
      </c>
      <c r="KY64">
        <v>42</v>
      </c>
      <c r="KZ64">
        <v>27</v>
      </c>
      <c r="LA64">
        <v>39</v>
      </c>
      <c r="LB64">
        <v>68</v>
      </c>
      <c r="LC64">
        <v>36</v>
      </c>
      <c r="LD64">
        <v>26</v>
      </c>
      <c r="LE64">
        <v>32</v>
      </c>
      <c r="LF64">
        <v>18</v>
      </c>
      <c r="LG64">
        <v>32</v>
      </c>
      <c r="LH64">
        <v>21</v>
      </c>
      <c r="LI64">
        <v>36</v>
      </c>
      <c r="LJ64">
        <f t="shared" si="27"/>
        <v>401</v>
      </c>
      <c r="LK64">
        <v>0</v>
      </c>
      <c r="LL64">
        <v>0</v>
      </c>
      <c r="LM64">
        <v>0</v>
      </c>
      <c r="LN64">
        <v>0</v>
      </c>
      <c r="LO64">
        <v>0</v>
      </c>
      <c r="LP64">
        <v>0</v>
      </c>
      <c r="LQ64">
        <v>0</v>
      </c>
      <c r="LR64">
        <v>0</v>
      </c>
      <c r="LS64">
        <v>0</v>
      </c>
      <c r="LT64">
        <v>0</v>
      </c>
      <c r="LU64">
        <v>0</v>
      </c>
      <c r="LV64">
        <v>0</v>
      </c>
      <c r="LW64">
        <f t="shared" si="28"/>
        <v>0</v>
      </c>
      <c r="LX64">
        <v>485</v>
      </c>
      <c r="LY64">
        <v>497</v>
      </c>
      <c r="LZ64">
        <v>474</v>
      </c>
      <c r="MA64">
        <v>521</v>
      </c>
      <c r="MB64">
        <v>553</v>
      </c>
      <c r="MC64">
        <v>533</v>
      </c>
      <c r="MD64">
        <v>491</v>
      </c>
      <c r="ME64">
        <v>406</v>
      </c>
      <c r="MF64">
        <v>349</v>
      </c>
      <c r="MG64">
        <v>432</v>
      </c>
      <c r="MH64">
        <v>380</v>
      </c>
      <c r="MI64">
        <v>410</v>
      </c>
      <c r="MJ64">
        <f t="shared" si="29"/>
        <v>5531</v>
      </c>
      <c r="MK64">
        <v>3766</v>
      </c>
      <c r="ML64">
        <v>3809</v>
      </c>
      <c r="MM64">
        <v>3596</v>
      </c>
      <c r="MN64">
        <v>3690</v>
      </c>
      <c r="MO64">
        <v>3876</v>
      </c>
      <c r="MP64">
        <v>3719</v>
      </c>
      <c r="MQ64">
        <v>3818</v>
      </c>
      <c r="MR64">
        <v>3762</v>
      </c>
      <c r="MS64">
        <v>3582</v>
      </c>
      <c r="MT64">
        <v>3937</v>
      </c>
      <c r="MU64">
        <v>3714</v>
      </c>
      <c r="MV64">
        <v>3861</v>
      </c>
      <c r="MW64">
        <f t="shared" si="30"/>
        <v>45130</v>
      </c>
      <c r="MX64">
        <v>163</v>
      </c>
      <c r="MY64">
        <v>178</v>
      </c>
      <c r="MZ64">
        <v>188</v>
      </c>
      <c r="NA64">
        <v>178</v>
      </c>
      <c r="NB64">
        <v>203</v>
      </c>
      <c r="NC64">
        <v>167</v>
      </c>
      <c r="ND64">
        <v>155</v>
      </c>
      <c r="NE64">
        <v>157</v>
      </c>
      <c r="NF64">
        <v>129</v>
      </c>
      <c r="NG64">
        <v>163</v>
      </c>
      <c r="NH64">
        <v>137</v>
      </c>
      <c r="NI64">
        <v>171</v>
      </c>
      <c r="NJ64">
        <f t="shared" si="31"/>
        <v>1989</v>
      </c>
      <c r="NK64">
        <v>184</v>
      </c>
      <c r="NL64">
        <v>175</v>
      </c>
      <c r="NM64">
        <v>150</v>
      </c>
      <c r="NN64">
        <v>158</v>
      </c>
      <c r="NO64">
        <v>201</v>
      </c>
      <c r="NP64">
        <v>187</v>
      </c>
      <c r="NQ64">
        <v>179</v>
      </c>
      <c r="NR64">
        <v>187</v>
      </c>
      <c r="NS64">
        <v>164</v>
      </c>
      <c r="NT64">
        <v>147</v>
      </c>
      <c r="NU64">
        <v>154</v>
      </c>
      <c r="NV64">
        <v>161</v>
      </c>
      <c r="NW64">
        <f t="shared" si="32"/>
        <v>2047</v>
      </c>
      <c r="NX64">
        <v>3419</v>
      </c>
      <c r="NY64">
        <v>3456</v>
      </c>
      <c r="NZ64">
        <v>3258</v>
      </c>
      <c r="OA64">
        <v>3354</v>
      </c>
      <c r="OB64">
        <v>3472</v>
      </c>
      <c r="OC64">
        <v>3365</v>
      </c>
      <c r="OD64">
        <v>3484</v>
      </c>
      <c r="OE64">
        <v>3418</v>
      </c>
      <c r="OF64">
        <v>3289</v>
      </c>
      <c r="OG64">
        <v>3627</v>
      </c>
      <c r="OH64">
        <v>3423</v>
      </c>
      <c r="OI64">
        <v>3529</v>
      </c>
      <c r="OJ64">
        <f t="shared" si="33"/>
        <v>41094</v>
      </c>
      <c r="OK64">
        <v>7215</v>
      </c>
      <c r="OL64">
        <v>7586</v>
      </c>
      <c r="OM64">
        <v>7082</v>
      </c>
      <c r="ON64">
        <v>7298</v>
      </c>
      <c r="OO64">
        <v>7707</v>
      </c>
      <c r="OP64">
        <v>7654</v>
      </c>
      <c r="OQ64">
        <v>7763</v>
      </c>
      <c r="OR64">
        <v>7296</v>
      </c>
      <c r="OS64">
        <v>7507</v>
      </c>
      <c r="OT64">
        <v>8052</v>
      </c>
      <c r="OU64">
        <v>7527</v>
      </c>
      <c r="OV64">
        <v>8316</v>
      </c>
      <c r="OW64">
        <f t="shared" si="34"/>
        <v>91003</v>
      </c>
      <c r="OX64">
        <v>1055</v>
      </c>
      <c r="OY64">
        <v>1080</v>
      </c>
      <c r="OZ64">
        <v>990</v>
      </c>
      <c r="PA64">
        <v>1061</v>
      </c>
      <c r="PB64">
        <v>1214</v>
      </c>
      <c r="PC64">
        <v>972</v>
      </c>
      <c r="PD64">
        <v>1012</v>
      </c>
      <c r="PE64">
        <v>964</v>
      </c>
      <c r="PF64">
        <v>1026</v>
      </c>
      <c r="PG64">
        <v>1076</v>
      </c>
      <c r="PH64">
        <v>1000</v>
      </c>
      <c r="PI64">
        <v>1075</v>
      </c>
      <c r="PJ64">
        <f t="shared" si="35"/>
        <v>12525</v>
      </c>
      <c r="PK64">
        <v>238</v>
      </c>
      <c r="PL64">
        <v>238</v>
      </c>
      <c r="PM64">
        <v>229</v>
      </c>
      <c r="PN64">
        <v>213</v>
      </c>
      <c r="PO64">
        <v>217</v>
      </c>
      <c r="PP64">
        <v>233</v>
      </c>
      <c r="PQ64">
        <v>260</v>
      </c>
      <c r="PR64">
        <v>245</v>
      </c>
      <c r="PS64">
        <v>226</v>
      </c>
      <c r="PT64">
        <v>235</v>
      </c>
      <c r="PU64">
        <v>241</v>
      </c>
      <c r="PV64">
        <v>256</v>
      </c>
      <c r="PW64">
        <f t="shared" si="36"/>
        <v>2831</v>
      </c>
      <c r="PX64">
        <v>5922</v>
      </c>
      <c r="PY64">
        <v>6268</v>
      </c>
      <c r="PZ64">
        <v>5863</v>
      </c>
      <c r="QA64">
        <v>6024</v>
      </c>
      <c r="QB64">
        <v>6276</v>
      </c>
      <c r="QC64">
        <v>6449</v>
      </c>
      <c r="QD64">
        <v>6491</v>
      </c>
      <c r="QE64">
        <v>6087</v>
      </c>
      <c r="QF64">
        <v>6255</v>
      </c>
      <c r="QG64">
        <v>6741</v>
      </c>
      <c r="QH64">
        <v>6286</v>
      </c>
      <c r="QI64">
        <v>6985</v>
      </c>
      <c r="QJ64">
        <f t="shared" si="37"/>
        <v>75647</v>
      </c>
      <c r="QK64">
        <v>0</v>
      </c>
      <c r="QL64">
        <v>0</v>
      </c>
      <c r="QM64">
        <v>0</v>
      </c>
      <c r="QN64">
        <v>0</v>
      </c>
      <c r="QO64">
        <v>0</v>
      </c>
      <c r="QP64">
        <v>0</v>
      </c>
      <c r="QQ64">
        <v>0</v>
      </c>
      <c r="QR64">
        <v>0</v>
      </c>
      <c r="QS64">
        <v>0</v>
      </c>
      <c r="QT64">
        <v>0</v>
      </c>
      <c r="QU64">
        <v>0</v>
      </c>
      <c r="QV64">
        <v>0</v>
      </c>
      <c r="QW64">
        <f t="shared" si="38"/>
        <v>0</v>
      </c>
      <c r="QX64">
        <v>0</v>
      </c>
      <c r="QY64">
        <v>0</v>
      </c>
      <c r="QZ64">
        <v>0</v>
      </c>
      <c r="RA64">
        <v>0</v>
      </c>
      <c r="RB64">
        <v>0</v>
      </c>
      <c r="RC64">
        <v>0</v>
      </c>
      <c r="RD64">
        <v>0</v>
      </c>
      <c r="RE64">
        <v>0</v>
      </c>
      <c r="RF64">
        <v>0</v>
      </c>
      <c r="RG64">
        <v>0</v>
      </c>
      <c r="RH64">
        <v>0</v>
      </c>
      <c r="RI64">
        <v>0</v>
      </c>
      <c r="RJ64">
        <f t="shared" si="39"/>
        <v>0</v>
      </c>
      <c r="RK64">
        <v>0</v>
      </c>
      <c r="RL64">
        <v>0</v>
      </c>
      <c r="RM64">
        <v>0</v>
      </c>
      <c r="RN64">
        <v>0</v>
      </c>
      <c r="RO64">
        <v>0</v>
      </c>
      <c r="RP64">
        <v>0</v>
      </c>
      <c r="RQ64">
        <v>0</v>
      </c>
      <c r="RR64">
        <v>0</v>
      </c>
      <c r="RS64">
        <v>0</v>
      </c>
      <c r="RT64">
        <v>0</v>
      </c>
      <c r="RU64">
        <v>0</v>
      </c>
      <c r="RV64">
        <v>0</v>
      </c>
      <c r="RW64">
        <f t="shared" si="40"/>
        <v>0</v>
      </c>
      <c r="RX64">
        <v>0</v>
      </c>
      <c r="RY64">
        <v>0</v>
      </c>
      <c r="RZ64">
        <v>0</v>
      </c>
      <c r="SA64">
        <v>0</v>
      </c>
      <c r="SB64">
        <v>0</v>
      </c>
      <c r="SC64">
        <v>0</v>
      </c>
      <c r="SD64">
        <v>0</v>
      </c>
      <c r="SE64">
        <v>0</v>
      </c>
      <c r="SF64">
        <v>0</v>
      </c>
      <c r="SG64">
        <v>0</v>
      </c>
      <c r="SH64">
        <v>0</v>
      </c>
      <c r="SI64">
        <v>0</v>
      </c>
      <c r="SJ64">
        <f t="shared" si="41"/>
        <v>0</v>
      </c>
      <c r="SK64">
        <v>0</v>
      </c>
      <c r="SL64">
        <v>0</v>
      </c>
      <c r="SM64">
        <v>0</v>
      </c>
      <c r="SN64">
        <v>0</v>
      </c>
      <c r="SO64">
        <v>0</v>
      </c>
      <c r="SP64">
        <v>0</v>
      </c>
      <c r="SQ64">
        <v>0</v>
      </c>
      <c r="SR64">
        <v>0</v>
      </c>
      <c r="SS64">
        <v>0</v>
      </c>
      <c r="ST64">
        <v>0</v>
      </c>
      <c r="SU64">
        <v>0</v>
      </c>
      <c r="SV64">
        <v>0</v>
      </c>
      <c r="SW64">
        <f t="shared" si="42"/>
        <v>0</v>
      </c>
      <c r="SX64" t="s">
        <v>1449</v>
      </c>
      <c r="SY64">
        <v>2029</v>
      </c>
      <c r="SZ64">
        <v>2020</v>
      </c>
      <c r="TA64">
        <v>1984</v>
      </c>
      <c r="TB64">
        <v>2347</v>
      </c>
      <c r="TC64">
        <v>1978</v>
      </c>
      <c r="TD64">
        <v>2122</v>
      </c>
      <c r="TE64">
        <v>2125</v>
      </c>
      <c r="TF64">
        <v>2000</v>
      </c>
      <c r="TG64">
        <v>1756</v>
      </c>
      <c r="TH64">
        <v>1841</v>
      </c>
      <c r="TI64">
        <v>2010</v>
      </c>
      <c r="TJ64">
        <v>1707</v>
      </c>
      <c r="TK64">
        <f t="shared" si="43"/>
        <v>23919</v>
      </c>
      <c r="TL64">
        <v>0</v>
      </c>
      <c r="TM64">
        <v>0</v>
      </c>
      <c r="TN64">
        <v>0</v>
      </c>
      <c r="TO64">
        <v>0</v>
      </c>
      <c r="TP64">
        <v>0</v>
      </c>
      <c r="TQ64">
        <v>0</v>
      </c>
      <c r="TR64">
        <v>0</v>
      </c>
      <c r="TS64">
        <v>0</v>
      </c>
      <c r="TT64">
        <v>0</v>
      </c>
      <c r="TU64">
        <v>0</v>
      </c>
      <c r="TV64">
        <v>0</v>
      </c>
      <c r="TW64">
        <v>0</v>
      </c>
      <c r="TX64">
        <f t="shared" si="44"/>
        <v>0</v>
      </c>
      <c r="TY64">
        <v>90</v>
      </c>
      <c r="TZ64">
        <v>0</v>
      </c>
      <c r="UA64">
        <v>0</v>
      </c>
      <c r="UB64">
        <v>0</v>
      </c>
    </row>
    <row r="65" spans="1:548" ht="16.5" customHeight="1" x14ac:dyDescent="0.35">
      <c r="A65" t="s">
        <v>1551</v>
      </c>
      <c r="B65" t="s">
        <v>2863</v>
      </c>
      <c r="C65">
        <v>37096</v>
      </c>
      <c r="D65">
        <v>7432</v>
      </c>
      <c r="E65">
        <v>3512</v>
      </c>
      <c r="F65">
        <v>26152</v>
      </c>
      <c r="G65">
        <v>418</v>
      </c>
      <c r="H65">
        <v>457</v>
      </c>
      <c r="I65">
        <v>483</v>
      </c>
      <c r="J65">
        <v>459</v>
      </c>
      <c r="K65">
        <v>409</v>
      </c>
      <c r="L65">
        <v>434</v>
      </c>
      <c r="M65">
        <v>509</v>
      </c>
      <c r="N65">
        <v>374</v>
      </c>
      <c r="O65">
        <v>253</v>
      </c>
      <c r="P65">
        <v>373</v>
      </c>
      <c r="Q65">
        <v>388</v>
      </c>
      <c r="R65">
        <v>389</v>
      </c>
      <c r="S65">
        <f t="shared" si="0"/>
        <v>4946</v>
      </c>
      <c r="T65">
        <v>159</v>
      </c>
      <c r="U65">
        <v>195</v>
      </c>
      <c r="V65">
        <v>204</v>
      </c>
      <c r="W65">
        <v>155</v>
      </c>
      <c r="X65">
        <v>151</v>
      </c>
      <c r="Y65">
        <v>138</v>
      </c>
      <c r="Z65">
        <v>169</v>
      </c>
      <c r="AA65">
        <v>177</v>
      </c>
      <c r="AB65">
        <v>105</v>
      </c>
      <c r="AC65">
        <v>168</v>
      </c>
      <c r="AD65">
        <v>181</v>
      </c>
      <c r="AE65">
        <v>177</v>
      </c>
      <c r="AF65">
        <f t="shared" si="1"/>
        <v>1979</v>
      </c>
      <c r="AG65">
        <v>0</v>
      </c>
      <c r="AH65">
        <v>0</v>
      </c>
      <c r="AI65">
        <v>0</v>
      </c>
      <c r="AJ65">
        <v>0</v>
      </c>
      <c r="AK65">
        <v>0</v>
      </c>
      <c r="AL65">
        <v>0</v>
      </c>
      <c r="AM65">
        <v>0</v>
      </c>
      <c r="AN65">
        <v>0</v>
      </c>
      <c r="AO65">
        <v>0</v>
      </c>
      <c r="AP65">
        <v>0</v>
      </c>
      <c r="AQ65">
        <v>0</v>
      </c>
      <c r="AR65">
        <v>0</v>
      </c>
      <c r="AS65">
        <f t="shared" si="2"/>
        <v>0</v>
      </c>
      <c r="AT65">
        <v>259</v>
      </c>
      <c r="AU65">
        <v>262</v>
      </c>
      <c r="AV65">
        <v>279</v>
      </c>
      <c r="AW65">
        <v>304</v>
      </c>
      <c r="AX65">
        <v>258</v>
      </c>
      <c r="AY65">
        <v>296</v>
      </c>
      <c r="AZ65">
        <v>340</v>
      </c>
      <c r="BA65">
        <v>197</v>
      </c>
      <c r="BB65">
        <v>148</v>
      </c>
      <c r="BC65">
        <v>205</v>
      </c>
      <c r="BD65">
        <v>207</v>
      </c>
      <c r="BE65">
        <v>212</v>
      </c>
      <c r="BF65">
        <f t="shared" si="3"/>
        <v>2967</v>
      </c>
      <c r="BG65">
        <v>0</v>
      </c>
      <c r="BH65">
        <v>0</v>
      </c>
      <c r="BI65">
        <v>0</v>
      </c>
      <c r="BJ65">
        <v>0</v>
      </c>
      <c r="BK65">
        <v>0</v>
      </c>
      <c r="BL65">
        <v>0</v>
      </c>
      <c r="BM65">
        <v>0</v>
      </c>
      <c r="BN65">
        <v>0</v>
      </c>
      <c r="BO65">
        <v>0</v>
      </c>
      <c r="BP65">
        <v>0</v>
      </c>
      <c r="BQ65">
        <v>0</v>
      </c>
      <c r="BR65">
        <v>0</v>
      </c>
      <c r="BS65">
        <f t="shared" si="4"/>
        <v>0</v>
      </c>
      <c r="BT65">
        <v>9</v>
      </c>
      <c r="BU65">
        <v>1</v>
      </c>
      <c r="BV65">
        <v>6</v>
      </c>
      <c r="BW65">
        <v>6</v>
      </c>
      <c r="BX65">
        <v>6</v>
      </c>
      <c r="BY65">
        <v>7</v>
      </c>
      <c r="BZ65">
        <v>8</v>
      </c>
      <c r="CA65">
        <v>8</v>
      </c>
      <c r="CB65">
        <v>8</v>
      </c>
      <c r="CC65">
        <v>9</v>
      </c>
      <c r="CD65">
        <v>9</v>
      </c>
      <c r="CE65">
        <v>8</v>
      </c>
      <c r="CF65">
        <f t="shared" si="5"/>
        <v>85</v>
      </c>
      <c r="CG65">
        <v>0</v>
      </c>
      <c r="CH65">
        <v>0</v>
      </c>
      <c r="CI65">
        <v>0</v>
      </c>
      <c r="CJ65">
        <v>0</v>
      </c>
      <c r="CK65">
        <v>0</v>
      </c>
      <c r="CL65">
        <v>0</v>
      </c>
      <c r="CM65">
        <v>0</v>
      </c>
      <c r="CN65">
        <v>0</v>
      </c>
      <c r="CO65">
        <v>0</v>
      </c>
      <c r="CP65">
        <v>0</v>
      </c>
      <c r="CQ65">
        <v>0</v>
      </c>
      <c r="CR65">
        <v>0</v>
      </c>
      <c r="CS65">
        <f t="shared" si="6"/>
        <v>0</v>
      </c>
      <c r="CT65">
        <v>0</v>
      </c>
      <c r="CU65">
        <v>0</v>
      </c>
      <c r="CV65">
        <v>0</v>
      </c>
      <c r="CW65">
        <v>0</v>
      </c>
      <c r="CX65">
        <v>0</v>
      </c>
      <c r="CY65">
        <v>0</v>
      </c>
      <c r="CZ65">
        <v>0</v>
      </c>
      <c r="DA65">
        <v>0</v>
      </c>
      <c r="DB65">
        <v>0</v>
      </c>
      <c r="DC65">
        <v>0</v>
      </c>
      <c r="DD65">
        <v>0</v>
      </c>
      <c r="DE65">
        <v>0</v>
      </c>
      <c r="DF65">
        <f t="shared" si="7"/>
        <v>0</v>
      </c>
      <c r="DG65">
        <v>9</v>
      </c>
      <c r="DH65">
        <v>1</v>
      </c>
      <c r="DI65">
        <v>6</v>
      </c>
      <c r="DJ65">
        <v>6</v>
      </c>
      <c r="DK65">
        <v>6</v>
      </c>
      <c r="DL65">
        <v>7</v>
      </c>
      <c r="DM65">
        <v>8</v>
      </c>
      <c r="DN65">
        <v>8</v>
      </c>
      <c r="DO65">
        <v>8</v>
      </c>
      <c r="DP65">
        <v>9</v>
      </c>
      <c r="DQ65">
        <v>9</v>
      </c>
      <c r="DR65">
        <v>8</v>
      </c>
      <c r="DS65">
        <f t="shared" si="8"/>
        <v>85</v>
      </c>
      <c r="DT65">
        <v>0</v>
      </c>
      <c r="DU65">
        <v>0</v>
      </c>
      <c r="DV65">
        <v>0</v>
      </c>
      <c r="DW65">
        <v>0</v>
      </c>
      <c r="DX65">
        <v>0</v>
      </c>
      <c r="DY65">
        <v>0</v>
      </c>
      <c r="DZ65">
        <v>0</v>
      </c>
      <c r="EA65">
        <v>0</v>
      </c>
      <c r="EB65">
        <v>0</v>
      </c>
      <c r="EC65">
        <v>0</v>
      </c>
      <c r="ED65">
        <v>0</v>
      </c>
      <c r="EE65">
        <v>0</v>
      </c>
      <c r="EF65">
        <f t="shared" si="9"/>
        <v>0</v>
      </c>
      <c r="EG65">
        <f t="shared" si="10"/>
        <v>4946</v>
      </c>
      <c r="EH65">
        <f t="shared" si="11"/>
        <v>85</v>
      </c>
      <c r="EI65">
        <v>6490</v>
      </c>
      <c r="EJ65">
        <v>7092</v>
      </c>
      <c r="EK65">
        <v>7102</v>
      </c>
      <c r="EL65">
        <v>6574</v>
      </c>
      <c r="EM65">
        <v>5425</v>
      </c>
      <c r="EN65">
        <v>7248</v>
      </c>
      <c r="EO65">
        <v>9578</v>
      </c>
      <c r="EP65">
        <v>9578</v>
      </c>
      <c r="EQ65">
        <v>3960</v>
      </c>
      <c r="ER65">
        <v>5491</v>
      </c>
      <c r="ES65">
        <v>7601</v>
      </c>
      <c r="ET65">
        <v>5982</v>
      </c>
      <c r="EU65">
        <f t="shared" si="12"/>
        <v>82121</v>
      </c>
      <c r="EV65">
        <v>2684</v>
      </c>
      <c r="EW65">
        <v>3115</v>
      </c>
      <c r="EX65">
        <v>2581</v>
      </c>
      <c r="EY65">
        <v>2259</v>
      </c>
      <c r="EZ65">
        <v>2175</v>
      </c>
      <c r="FA65">
        <v>2090</v>
      </c>
      <c r="FB65">
        <v>2656</v>
      </c>
      <c r="FC65">
        <v>2776</v>
      </c>
      <c r="FD65">
        <v>1528</v>
      </c>
      <c r="FE65">
        <v>2345</v>
      </c>
      <c r="FF65">
        <v>3107</v>
      </c>
      <c r="FG65">
        <v>2682</v>
      </c>
      <c r="FH65">
        <f t="shared" si="13"/>
        <v>29998</v>
      </c>
      <c r="FI65">
        <v>0</v>
      </c>
      <c r="FJ65">
        <v>0</v>
      </c>
      <c r="FK65">
        <v>0</v>
      </c>
      <c r="FL65">
        <v>0</v>
      </c>
      <c r="FM65">
        <v>0</v>
      </c>
      <c r="FN65">
        <v>0</v>
      </c>
      <c r="FO65">
        <v>0</v>
      </c>
      <c r="FP65">
        <v>0</v>
      </c>
      <c r="FQ65">
        <v>0</v>
      </c>
      <c r="FR65">
        <v>0</v>
      </c>
      <c r="FS65">
        <v>0</v>
      </c>
      <c r="FT65">
        <v>0</v>
      </c>
      <c r="FU65">
        <f t="shared" si="14"/>
        <v>0</v>
      </c>
      <c r="FV65">
        <v>3806</v>
      </c>
      <c r="FW65">
        <v>3977</v>
      </c>
      <c r="FX65">
        <v>4521</v>
      </c>
      <c r="FY65">
        <v>4315</v>
      </c>
      <c r="FZ65">
        <v>3250</v>
      </c>
      <c r="GA65">
        <v>5158</v>
      </c>
      <c r="GB65">
        <v>6922</v>
      </c>
      <c r="GC65">
        <v>6138</v>
      </c>
      <c r="GD65">
        <v>2432</v>
      </c>
      <c r="GE65">
        <v>3146</v>
      </c>
      <c r="GF65">
        <v>4494</v>
      </c>
      <c r="GG65">
        <v>3300</v>
      </c>
      <c r="GH65">
        <f t="shared" si="15"/>
        <v>51459</v>
      </c>
      <c r="GI65">
        <v>25</v>
      </c>
      <c r="GJ65">
        <v>1</v>
      </c>
      <c r="GK65">
        <v>6</v>
      </c>
      <c r="GL65">
        <v>15</v>
      </c>
      <c r="GM65">
        <v>14</v>
      </c>
      <c r="GN65">
        <v>15</v>
      </c>
      <c r="GO65">
        <v>13</v>
      </c>
      <c r="GP65">
        <v>17</v>
      </c>
      <c r="GQ65">
        <v>14</v>
      </c>
      <c r="GR65">
        <v>9</v>
      </c>
      <c r="GS65">
        <v>16</v>
      </c>
      <c r="GT65">
        <v>12</v>
      </c>
      <c r="GU65">
        <f t="shared" si="16"/>
        <v>157</v>
      </c>
      <c r="GV65">
        <v>0</v>
      </c>
      <c r="GW65">
        <v>0</v>
      </c>
      <c r="GX65">
        <v>0</v>
      </c>
      <c r="GY65">
        <v>0</v>
      </c>
      <c r="GZ65">
        <v>0</v>
      </c>
      <c r="HA65">
        <v>0</v>
      </c>
      <c r="HB65">
        <v>0</v>
      </c>
      <c r="HC65">
        <v>0</v>
      </c>
      <c r="HD65">
        <v>0</v>
      </c>
      <c r="HE65">
        <v>0</v>
      </c>
      <c r="HF65">
        <v>0</v>
      </c>
      <c r="HG65">
        <v>0</v>
      </c>
      <c r="HH65">
        <f t="shared" si="17"/>
        <v>0</v>
      </c>
      <c r="HI65">
        <v>0</v>
      </c>
      <c r="HJ65">
        <v>0</v>
      </c>
      <c r="HK65">
        <v>0</v>
      </c>
      <c r="HL65">
        <v>0</v>
      </c>
      <c r="HM65">
        <v>0</v>
      </c>
      <c r="HN65">
        <v>0</v>
      </c>
      <c r="HO65">
        <v>0</v>
      </c>
      <c r="HP65">
        <v>0</v>
      </c>
      <c r="HQ65">
        <v>0</v>
      </c>
      <c r="HR65">
        <v>0</v>
      </c>
      <c r="HS65">
        <v>0</v>
      </c>
      <c r="HT65">
        <v>0</v>
      </c>
      <c r="HU65">
        <f t="shared" si="18"/>
        <v>0</v>
      </c>
      <c r="HV65">
        <v>25</v>
      </c>
      <c r="HW65">
        <v>1</v>
      </c>
      <c r="HX65">
        <v>6</v>
      </c>
      <c r="HY65">
        <v>15</v>
      </c>
      <c r="HZ65">
        <v>14</v>
      </c>
      <c r="IA65">
        <v>15</v>
      </c>
      <c r="IB65">
        <v>13</v>
      </c>
      <c r="IC65">
        <v>17</v>
      </c>
      <c r="ID65">
        <v>14</v>
      </c>
      <c r="IE65">
        <v>9</v>
      </c>
      <c r="IF65">
        <v>16</v>
      </c>
      <c r="IG65">
        <v>12</v>
      </c>
      <c r="IH65">
        <f t="shared" si="19"/>
        <v>157</v>
      </c>
      <c r="II65">
        <f t="shared" si="20"/>
        <v>81457</v>
      </c>
      <c r="IJ65">
        <f t="shared" si="21"/>
        <v>157</v>
      </c>
      <c r="IK65">
        <v>31258</v>
      </c>
      <c r="IL65">
        <v>32744</v>
      </c>
      <c r="IM65">
        <v>29171</v>
      </c>
      <c r="IN65">
        <v>37113</v>
      </c>
      <c r="IO65">
        <v>37261</v>
      </c>
      <c r="IP65">
        <v>31576</v>
      </c>
      <c r="IQ65">
        <v>35108</v>
      </c>
      <c r="IR65">
        <v>29489</v>
      </c>
      <c r="IS65">
        <v>25197</v>
      </c>
      <c r="IT65">
        <v>31058</v>
      </c>
      <c r="IU65">
        <v>29237</v>
      </c>
      <c r="IV65">
        <v>29762</v>
      </c>
      <c r="IW65">
        <f t="shared" si="22"/>
        <v>378974</v>
      </c>
      <c r="IX65">
        <v>16152</v>
      </c>
      <c r="IY65">
        <v>17253</v>
      </c>
      <c r="IZ65">
        <v>14125</v>
      </c>
      <c r="JA65">
        <v>20273</v>
      </c>
      <c r="JB65">
        <v>21065</v>
      </c>
      <c r="JC65">
        <v>15929</v>
      </c>
      <c r="JD65">
        <v>19028</v>
      </c>
      <c r="JE65">
        <v>15389</v>
      </c>
      <c r="JF65">
        <v>12055</v>
      </c>
      <c r="JG65">
        <v>15640</v>
      </c>
      <c r="JH65">
        <v>15042</v>
      </c>
      <c r="JI65">
        <v>14598</v>
      </c>
      <c r="JJ65">
        <f t="shared" si="23"/>
        <v>196549</v>
      </c>
      <c r="JK65">
        <v>946</v>
      </c>
      <c r="JL65">
        <v>957</v>
      </c>
      <c r="JM65">
        <v>891</v>
      </c>
      <c r="JN65">
        <v>1153</v>
      </c>
      <c r="JO65">
        <v>1205</v>
      </c>
      <c r="JP65">
        <v>875</v>
      </c>
      <c r="JQ65">
        <v>988</v>
      </c>
      <c r="JR65">
        <v>813</v>
      </c>
      <c r="JS65">
        <v>743</v>
      </c>
      <c r="JT65">
        <v>961</v>
      </c>
      <c r="JU65">
        <v>1017</v>
      </c>
      <c r="JV65">
        <v>900</v>
      </c>
      <c r="JW65">
        <f t="shared" si="24"/>
        <v>11449</v>
      </c>
      <c r="JX65">
        <v>14160</v>
      </c>
      <c r="JY65">
        <v>14534</v>
      </c>
      <c r="JZ65">
        <v>14155</v>
      </c>
      <c r="KA65">
        <v>15687</v>
      </c>
      <c r="KB65">
        <v>14991</v>
      </c>
      <c r="KC65">
        <v>14772</v>
      </c>
      <c r="KD65">
        <v>15092</v>
      </c>
      <c r="KE65">
        <v>13287</v>
      </c>
      <c r="KF65">
        <v>12399</v>
      </c>
      <c r="KG65">
        <v>14457</v>
      </c>
      <c r="KH65">
        <v>13178</v>
      </c>
      <c r="KI65">
        <v>14264</v>
      </c>
      <c r="KJ65">
        <f t="shared" si="25"/>
        <v>170976</v>
      </c>
      <c r="KK65">
        <v>520</v>
      </c>
      <c r="KL65">
        <v>459</v>
      </c>
      <c r="KM65">
        <v>386</v>
      </c>
      <c r="KN65">
        <v>643</v>
      </c>
      <c r="KO65">
        <v>520</v>
      </c>
      <c r="KP65">
        <v>531</v>
      </c>
      <c r="KQ65">
        <v>432</v>
      </c>
      <c r="KR65">
        <v>487</v>
      </c>
      <c r="KS65">
        <v>372</v>
      </c>
      <c r="KT65">
        <v>476</v>
      </c>
      <c r="KU65">
        <v>447</v>
      </c>
      <c r="KV65">
        <v>397</v>
      </c>
      <c r="KW65">
        <f t="shared" si="26"/>
        <v>5670</v>
      </c>
      <c r="KX65">
        <v>113</v>
      </c>
      <c r="KY65">
        <v>68</v>
      </c>
      <c r="KZ65">
        <v>39</v>
      </c>
      <c r="LA65">
        <v>80</v>
      </c>
      <c r="LB65">
        <v>76</v>
      </c>
      <c r="LC65">
        <v>95</v>
      </c>
      <c r="LD65">
        <v>65</v>
      </c>
      <c r="LE65">
        <v>51</v>
      </c>
      <c r="LF65">
        <v>27</v>
      </c>
      <c r="LG65">
        <v>34</v>
      </c>
      <c r="LH65">
        <v>34</v>
      </c>
      <c r="LI65">
        <v>34</v>
      </c>
      <c r="LJ65">
        <f t="shared" si="27"/>
        <v>716</v>
      </c>
      <c r="LK65">
        <v>0</v>
      </c>
      <c r="LL65">
        <v>0</v>
      </c>
      <c r="LM65">
        <v>0</v>
      </c>
      <c r="LN65">
        <v>0</v>
      </c>
      <c r="LO65">
        <v>0</v>
      </c>
      <c r="LP65">
        <v>0</v>
      </c>
      <c r="LQ65">
        <v>0</v>
      </c>
      <c r="LR65">
        <v>0</v>
      </c>
      <c r="LS65">
        <v>0</v>
      </c>
      <c r="LT65">
        <v>0</v>
      </c>
      <c r="LU65">
        <v>0</v>
      </c>
      <c r="LV65">
        <v>0</v>
      </c>
      <c r="LW65">
        <f t="shared" si="28"/>
        <v>0</v>
      </c>
      <c r="LX65">
        <v>407</v>
      </c>
      <c r="LY65">
        <v>391</v>
      </c>
      <c r="LZ65">
        <v>347</v>
      </c>
      <c r="MA65">
        <v>563</v>
      </c>
      <c r="MB65">
        <v>444</v>
      </c>
      <c r="MC65">
        <v>436</v>
      </c>
      <c r="MD65">
        <v>367</v>
      </c>
      <c r="ME65">
        <v>436</v>
      </c>
      <c r="MF65">
        <v>345</v>
      </c>
      <c r="MG65">
        <v>442</v>
      </c>
      <c r="MH65">
        <v>413</v>
      </c>
      <c r="MI65">
        <v>363</v>
      </c>
      <c r="MJ65">
        <f t="shared" si="29"/>
        <v>4954</v>
      </c>
      <c r="MK65">
        <v>2274</v>
      </c>
      <c r="ML65">
        <v>2333</v>
      </c>
      <c r="MM65">
        <v>2275</v>
      </c>
      <c r="MN65">
        <v>2257</v>
      </c>
      <c r="MO65">
        <v>2371</v>
      </c>
      <c r="MP65">
        <v>2226</v>
      </c>
      <c r="MQ65">
        <v>2335</v>
      </c>
      <c r="MR65">
        <v>2174</v>
      </c>
      <c r="MS65">
        <v>2502</v>
      </c>
      <c r="MT65">
        <v>2441</v>
      </c>
      <c r="MU65">
        <v>2086</v>
      </c>
      <c r="MV65">
        <v>2271</v>
      </c>
      <c r="MW65">
        <f t="shared" si="30"/>
        <v>27545</v>
      </c>
      <c r="MX65">
        <v>208</v>
      </c>
      <c r="MY65">
        <v>200</v>
      </c>
      <c r="MZ65">
        <v>175</v>
      </c>
      <c r="NA65">
        <v>156</v>
      </c>
      <c r="NB65">
        <v>165</v>
      </c>
      <c r="NC65">
        <v>187</v>
      </c>
      <c r="ND65">
        <v>180</v>
      </c>
      <c r="NE65">
        <v>149</v>
      </c>
      <c r="NF65">
        <v>225</v>
      </c>
      <c r="NG65">
        <v>160</v>
      </c>
      <c r="NH65">
        <v>150</v>
      </c>
      <c r="NI65">
        <v>173</v>
      </c>
      <c r="NJ65">
        <f t="shared" si="31"/>
        <v>2128</v>
      </c>
      <c r="NK65">
        <v>128</v>
      </c>
      <c r="NL65">
        <v>134</v>
      </c>
      <c r="NM65">
        <v>147</v>
      </c>
      <c r="NN65">
        <v>155</v>
      </c>
      <c r="NO65">
        <v>173</v>
      </c>
      <c r="NP65">
        <v>130</v>
      </c>
      <c r="NQ65">
        <v>158</v>
      </c>
      <c r="NR65">
        <v>121</v>
      </c>
      <c r="NS65">
        <v>141</v>
      </c>
      <c r="NT65">
        <v>130</v>
      </c>
      <c r="NU65">
        <v>117</v>
      </c>
      <c r="NV65">
        <v>129</v>
      </c>
      <c r="NW65">
        <f t="shared" si="32"/>
        <v>1663</v>
      </c>
      <c r="NX65">
        <v>1938</v>
      </c>
      <c r="NY65">
        <v>1999</v>
      </c>
      <c r="NZ65">
        <v>1953</v>
      </c>
      <c r="OA65">
        <v>1946</v>
      </c>
      <c r="OB65">
        <v>2033</v>
      </c>
      <c r="OC65">
        <v>1909</v>
      </c>
      <c r="OD65">
        <v>1997</v>
      </c>
      <c r="OE65">
        <v>1904</v>
      </c>
      <c r="OF65">
        <v>2136</v>
      </c>
      <c r="OG65">
        <v>2151</v>
      </c>
      <c r="OH65">
        <v>1819</v>
      </c>
      <c r="OI65">
        <v>1969</v>
      </c>
      <c r="OJ65">
        <f t="shared" si="33"/>
        <v>23754</v>
      </c>
      <c r="OK65">
        <v>3470</v>
      </c>
      <c r="OL65">
        <v>3371</v>
      </c>
      <c r="OM65">
        <v>3231</v>
      </c>
      <c r="ON65">
        <v>3634</v>
      </c>
      <c r="OO65">
        <v>3678</v>
      </c>
      <c r="OP65">
        <v>3693</v>
      </c>
      <c r="OQ65">
        <v>3656</v>
      </c>
      <c r="OR65">
        <v>3672</v>
      </c>
      <c r="OS65">
        <v>3532</v>
      </c>
      <c r="OT65">
        <v>4038</v>
      </c>
      <c r="OU65">
        <v>3693</v>
      </c>
      <c r="OV65">
        <v>4199</v>
      </c>
      <c r="OW65">
        <f t="shared" si="34"/>
        <v>43867</v>
      </c>
      <c r="OX65">
        <v>433</v>
      </c>
      <c r="OY65">
        <v>453</v>
      </c>
      <c r="OZ65">
        <v>436</v>
      </c>
      <c r="PA65">
        <v>448</v>
      </c>
      <c r="PB65">
        <v>493</v>
      </c>
      <c r="PC65">
        <v>487</v>
      </c>
      <c r="PD65">
        <v>522</v>
      </c>
      <c r="PE65">
        <v>485</v>
      </c>
      <c r="PF65">
        <v>509</v>
      </c>
      <c r="PG65">
        <v>515</v>
      </c>
      <c r="PH65">
        <v>479</v>
      </c>
      <c r="PI65">
        <v>485</v>
      </c>
      <c r="PJ65">
        <f t="shared" si="35"/>
        <v>5745</v>
      </c>
      <c r="PK65">
        <v>185</v>
      </c>
      <c r="PL65">
        <v>164</v>
      </c>
      <c r="PM65">
        <v>165</v>
      </c>
      <c r="PN65">
        <v>172</v>
      </c>
      <c r="PO65">
        <v>197</v>
      </c>
      <c r="PP65">
        <v>202</v>
      </c>
      <c r="PQ65">
        <v>214</v>
      </c>
      <c r="PR65">
        <v>184</v>
      </c>
      <c r="PS65">
        <v>158</v>
      </c>
      <c r="PT65">
        <v>199</v>
      </c>
      <c r="PU65">
        <v>184</v>
      </c>
      <c r="PV65">
        <v>207</v>
      </c>
      <c r="PW65">
        <f t="shared" si="36"/>
        <v>2231</v>
      </c>
      <c r="PX65">
        <v>2852</v>
      </c>
      <c r="PY65">
        <v>2754</v>
      </c>
      <c r="PZ65">
        <v>2630</v>
      </c>
      <c r="QA65">
        <v>3014</v>
      </c>
      <c r="QB65">
        <v>2988</v>
      </c>
      <c r="QC65">
        <v>3004</v>
      </c>
      <c r="QD65">
        <v>2920</v>
      </c>
      <c r="QE65">
        <v>3003</v>
      </c>
      <c r="QF65">
        <v>2865</v>
      </c>
      <c r="QG65">
        <v>3324</v>
      </c>
      <c r="QH65">
        <v>3030</v>
      </c>
      <c r="QI65">
        <v>3507</v>
      </c>
      <c r="QJ65">
        <f t="shared" si="37"/>
        <v>35891</v>
      </c>
      <c r="QK65">
        <v>45616</v>
      </c>
      <c r="QL65">
        <v>42419</v>
      </c>
      <c r="QM65">
        <v>35444</v>
      </c>
      <c r="QN65">
        <v>41131</v>
      </c>
      <c r="QO65">
        <v>36890</v>
      </c>
      <c r="QP65">
        <v>38196</v>
      </c>
      <c r="QQ65">
        <v>41508</v>
      </c>
      <c r="QR65">
        <v>38204</v>
      </c>
      <c r="QS65">
        <v>32015</v>
      </c>
      <c r="QT65">
        <v>38258</v>
      </c>
      <c r="QU65">
        <v>40979</v>
      </c>
      <c r="QV65">
        <v>41952</v>
      </c>
      <c r="QW65">
        <f t="shared" si="38"/>
        <v>472612</v>
      </c>
      <c r="QX65">
        <v>14092</v>
      </c>
      <c r="QY65">
        <v>13509</v>
      </c>
      <c r="QZ65">
        <v>11029</v>
      </c>
      <c r="RA65">
        <v>12069</v>
      </c>
      <c r="RB65">
        <v>11509</v>
      </c>
      <c r="RC65">
        <v>11239</v>
      </c>
      <c r="RD65">
        <v>11643</v>
      </c>
      <c r="RE65">
        <v>11618</v>
      </c>
      <c r="RF65">
        <v>10425</v>
      </c>
      <c r="RG65">
        <v>12223</v>
      </c>
      <c r="RH65">
        <v>13653</v>
      </c>
      <c r="RI65">
        <v>11976</v>
      </c>
      <c r="RJ65">
        <f t="shared" si="39"/>
        <v>144985</v>
      </c>
      <c r="RK65">
        <v>0</v>
      </c>
      <c r="RL65">
        <v>0</v>
      </c>
      <c r="RM65">
        <v>0</v>
      </c>
      <c r="RN65">
        <v>0</v>
      </c>
      <c r="RO65">
        <v>0</v>
      </c>
      <c r="RP65">
        <v>0</v>
      </c>
      <c r="RQ65">
        <v>0</v>
      </c>
      <c r="RR65">
        <v>0</v>
      </c>
      <c r="RS65">
        <v>0</v>
      </c>
      <c r="RT65">
        <v>0</v>
      </c>
      <c r="RU65">
        <v>0</v>
      </c>
      <c r="RV65">
        <v>0</v>
      </c>
      <c r="RW65">
        <f t="shared" si="40"/>
        <v>0</v>
      </c>
      <c r="RX65">
        <v>0</v>
      </c>
      <c r="RY65">
        <v>0</v>
      </c>
      <c r="RZ65">
        <v>0</v>
      </c>
      <c r="SA65">
        <v>0</v>
      </c>
      <c r="SB65">
        <v>0</v>
      </c>
      <c r="SC65">
        <v>0</v>
      </c>
      <c r="SD65">
        <v>0</v>
      </c>
      <c r="SE65">
        <v>0</v>
      </c>
      <c r="SF65">
        <v>0</v>
      </c>
      <c r="SG65">
        <v>0</v>
      </c>
      <c r="SH65">
        <v>0</v>
      </c>
      <c r="SI65">
        <v>0</v>
      </c>
      <c r="SJ65">
        <f t="shared" si="41"/>
        <v>0</v>
      </c>
      <c r="SK65">
        <v>0</v>
      </c>
      <c r="SL65">
        <v>0</v>
      </c>
      <c r="SM65">
        <v>0</v>
      </c>
      <c r="SN65">
        <v>0</v>
      </c>
      <c r="SO65">
        <v>0</v>
      </c>
      <c r="SP65">
        <v>0</v>
      </c>
      <c r="SQ65">
        <v>0</v>
      </c>
      <c r="SR65">
        <v>0</v>
      </c>
      <c r="SS65">
        <v>0</v>
      </c>
      <c r="ST65">
        <v>0</v>
      </c>
      <c r="SU65">
        <v>0</v>
      </c>
      <c r="SV65">
        <v>0</v>
      </c>
      <c r="SW65">
        <f t="shared" si="42"/>
        <v>0</v>
      </c>
      <c r="SX65" t="s">
        <v>1552</v>
      </c>
      <c r="SY65">
        <v>9223</v>
      </c>
      <c r="SZ65">
        <v>9024</v>
      </c>
      <c r="TA65">
        <v>8406</v>
      </c>
      <c r="TB65">
        <v>8854</v>
      </c>
      <c r="TC65">
        <v>8644</v>
      </c>
      <c r="TD65">
        <v>8533</v>
      </c>
      <c r="TE65">
        <v>9449</v>
      </c>
      <c r="TF65">
        <v>7717</v>
      </c>
      <c r="TG65">
        <v>7276</v>
      </c>
      <c r="TH65">
        <v>7701</v>
      </c>
      <c r="TI65">
        <v>8206</v>
      </c>
      <c r="TJ65">
        <v>8744</v>
      </c>
      <c r="TK65">
        <f t="shared" si="43"/>
        <v>101777</v>
      </c>
      <c r="TL65">
        <v>0</v>
      </c>
      <c r="TM65">
        <v>0</v>
      </c>
      <c r="TN65">
        <v>0</v>
      </c>
      <c r="TO65">
        <v>0</v>
      </c>
      <c r="TP65">
        <v>0</v>
      </c>
      <c r="TQ65">
        <v>0</v>
      </c>
      <c r="TR65">
        <v>0</v>
      </c>
      <c r="TS65">
        <v>0</v>
      </c>
      <c r="TT65">
        <v>0</v>
      </c>
      <c r="TU65">
        <v>0</v>
      </c>
      <c r="TV65">
        <v>0</v>
      </c>
      <c r="TW65">
        <v>0</v>
      </c>
      <c r="TX65">
        <f t="shared" si="44"/>
        <v>0</v>
      </c>
      <c r="TY65">
        <v>164</v>
      </c>
      <c r="TZ65">
        <v>0</v>
      </c>
      <c r="UA65">
        <v>0</v>
      </c>
      <c r="UB65">
        <v>0</v>
      </c>
    </row>
    <row r="66" spans="1:548" ht="16.5" customHeight="1" x14ac:dyDescent="0.35">
      <c r="A66" t="s">
        <v>1503</v>
      </c>
      <c r="B66" t="s">
        <v>2863</v>
      </c>
      <c r="C66">
        <v>101421</v>
      </c>
      <c r="D66">
        <v>33206</v>
      </c>
      <c r="E66">
        <v>7059</v>
      </c>
      <c r="F66">
        <v>61156</v>
      </c>
      <c r="G66" t="s">
        <v>1504</v>
      </c>
      <c r="H66">
        <v>1971</v>
      </c>
      <c r="I66">
        <v>2257</v>
      </c>
      <c r="J66">
        <v>2048</v>
      </c>
      <c r="K66">
        <v>1724</v>
      </c>
      <c r="L66" t="s">
        <v>1505</v>
      </c>
      <c r="M66">
        <v>2232</v>
      </c>
      <c r="N66">
        <v>2033</v>
      </c>
      <c r="O66">
        <v>1701</v>
      </c>
      <c r="P66">
        <v>2206</v>
      </c>
      <c r="Q66">
        <v>2173</v>
      </c>
      <c r="R66">
        <v>2228</v>
      </c>
      <c r="S66">
        <f t="shared" si="0"/>
        <v>20573</v>
      </c>
      <c r="T66">
        <v>0</v>
      </c>
      <c r="U66">
        <v>0</v>
      </c>
      <c r="V66">
        <v>0</v>
      </c>
      <c r="W66">
        <v>0</v>
      </c>
      <c r="X66">
        <v>0</v>
      </c>
      <c r="Y66">
        <v>0</v>
      </c>
      <c r="Z66">
        <v>0</v>
      </c>
      <c r="AA66">
        <v>0</v>
      </c>
      <c r="AB66">
        <v>0</v>
      </c>
      <c r="AC66">
        <v>0</v>
      </c>
      <c r="AD66">
        <v>0</v>
      </c>
      <c r="AE66">
        <v>0</v>
      </c>
      <c r="AF66">
        <f t="shared" si="1"/>
        <v>0</v>
      </c>
      <c r="AG66">
        <v>0</v>
      </c>
      <c r="AH66">
        <v>0</v>
      </c>
      <c r="AI66">
        <v>0</v>
      </c>
      <c r="AJ66">
        <v>0</v>
      </c>
      <c r="AK66">
        <v>0</v>
      </c>
      <c r="AL66">
        <v>0</v>
      </c>
      <c r="AM66">
        <v>0</v>
      </c>
      <c r="AN66">
        <v>0</v>
      </c>
      <c r="AO66">
        <v>0</v>
      </c>
      <c r="AP66">
        <v>0</v>
      </c>
      <c r="AQ66">
        <v>0</v>
      </c>
      <c r="AR66">
        <v>0</v>
      </c>
      <c r="AS66">
        <f t="shared" si="2"/>
        <v>0</v>
      </c>
      <c r="AT66">
        <v>0</v>
      </c>
      <c r="AU66">
        <v>0</v>
      </c>
      <c r="AV66">
        <v>0</v>
      </c>
      <c r="AW66">
        <v>0</v>
      </c>
      <c r="AX66">
        <v>0</v>
      </c>
      <c r="AY66">
        <v>0</v>
      </c>
      <c r="AZ66">
        <v>0</v>
      </c>
      <c r="BA66">
        <v>0</v>
      </c>
      <c r="BB66">
        <v>0</v>
      </c>
      <c r="BC66">
        <v>0</v>
      </c>
      <c r="BD66">
        <v>0</v>
      </c>
      <c r="BE66">
        <v>0</v>
      </c>
      <c r="BF66">
        <f t="shared" si="3"/>
        <v>0</v>
      </c>
      <c r="BG66">
        <v>0</v>
      </c>
      <c r="BH66">
        <v>0</v>
      </c>
      <c r="BI66">
        <v>0</v>
      </c>
      <c r="BJ66">
        <v>0</v>
      </c>
      <c r="BK66">
        <v>0</v>
      </c>
      <c r="BL66">
        <v>0</v>
      </c>
      <c r="BM66">
        <v>0</v>
      </c>
      <c r="BN66">
        <v>0</v>
      </c>
      <c r="BO66">
        <v>0</v>
      </c>
      <c r="BP66">
        <v>0</v>
      </c>
      <c r="BQ66">
        <v>0</v>
      </c>
      <c r="BR66">
        <v>0</v>
      </c>
      <c r="BS66">
        <f t="shared" si="4"/>
        <v>0</v>
      </c>
      <c r="BT66">
        <v>23</v>
      </c>
      <c r="BU66">
        <v>26</v>
      </c>
      <c r="BV66">
        <v>32</v>
      </c>
      <c r="BW66">
        <v>42</v>
      </c>
      <c r="BX66">
        <v>26</v>
      </c>
      <c r="BY66">
        <v>32</v>
      </c>
      <c r="BZ66">
        <v>11</v>
      </c>
      <c r="CA66">
        <v>6</v>
      </c>
      <c r="CB66">
        <v>4</v>
      </c>
      <c r="CC66">
        <v>4</v>
      </c>
      <c r="CD66">
        <v>4</v>
      </c>
      <c r="CE66">
        <v>31</v>
      </c>
      <c r="CF66">
        <f t="shared" si="5"/>
        <v>241</v>
      </c>
      <c r="CG66">
        <v>0</v>
      </c>
      <c r="CH66">
        <v>0</v>
      </c>
      <c r="CI66">
        <v>0</v>
      </c>
      <c r="CJ66">
        <v>0</v>
      </c>
      <c r="CK66">
        <v>0</v>
      </c>
      <c r="CL66">
        <v>0</v>
      </c>
      <c r="CM66">
        <v>0</v>
      </c>
      <c r="CN66">
        <v>0</v>
      </c>
      <c r="CO66">
        <v>0</v>
      </c>
      <c r="CP66">
        <v>0</v>
      </c>
      <c r="CQ66">
        <v>0</v>
      </c>
      <c r="CR66">
        <v>0</v>
      </c>
      <c r="CS66">
        <f t="shared" si="6"/>
        <v>0</v>
      </c>
      <c r="CT66">
        <v>0</v>
      </c>
      <c r="CU66">
        <v>0</v>
      </c>
      <c r="CV66">
        <v>0</v>
      </c>
      <c r="CW66">
        <v>0</v>
      </c>
      <c r="CX66">
        <v>0</v>
      </c>
      <c r="CY66">
        <v>0</v>
      </c>
      <c r="CZ66">
        <v>0</v>
      </c>
      <c r="DA66">
        <v>0</v>
      </c>
      <c r="DB66">
        <v>0</v>
      </c>
      <c r="DC66">
        <v>0</v>
      </c>
      <c r="DD66">
        <v>0</v>
      </c>
      <c r="DE66">
        <v>0</v>
      </c>
      <c r="DF66">
        <f t="shared" si="7"/>
        <v>0</v>
      </c>
      <c r="DG66">
        <v>0</v>
      </c>
      <c r="DH66">
        <v>0</v>
      </c>
      <c r="DI66">
        <v>0</v>
      </c>
      <c r="DJ66">
        <v>0</v>
      </c>
      <c r="DK66">
        <v>0</v>
      </c>
      <c r="DL66">
        <v>0</v>
      </c>
      <c r="DM66">
        <v>0</v>
      </c>
      <c r="DN66">
        <v>0</v>
      </c>
      <c r="DO66">
        <v>0</v>
      </c>
      <c r="DP66">
        <v>0</v>
      </c>
      <c r="DQ66">
        <v>0</v>
      </c>
      <c r="DR66">
        <v>0</v>
      </c>
      <c r="DS66">
        <f t="shared" si="8"/>
        <v>0</v>
      </c>
      <c r="DT66">
        <v>0</v>
      </c>
      <c r="DU66">
        <v>0</v>
      </c>
      <c r="DV66">
        <v>0</v>
      </c>
      <c r="DW66">
        <v>0</v>
      </c>
      <c r="DX66">
        <v>0</v>
      </c>
      <c r="DY66">
        <v>0</v>
      </c>
      <c r="DZ66">
        <v>0</v>
      </c>
      <c r="EA66">
        <v>0</v>
      </c>
      <c r="EB66">
        <v>0</v>
      </c>
      <c r="EC66">
        <v>0</v>
      </c>
      <c r="ED66">
        <v>0</v>
      </c>
      <c r="EE66">
        <v>0</v>
      </c>
      <c r="EF66">
        <f t="shared" si="9"/>
        <v>0</v>
      </c>
      <c r="EG66">
        <f t="shared" si="10"/>
        <v>0</v>
      </c>
      <c r="EH66">
        <f t="shared" si="11"/>
        <v>0</v>
      </c>
      <c r="EI66">
        <v>23607</v>
      </c>
      <c r="EJ66">
        <v>25780</v>
      </c>
      <c r="EK66">
        <v>31275</v>
      </c>
      <c r="EL66">
        <v>33368</v>
      </c>
      <c r="EM66">
        <v>27157</v>
      </c>
      <c r="EN66">
        <v>25798</v>
      </c>
      <c r="EO66">
        <v>30526</v>
      </c>
      <c r="EP66">
        <v>30624</v>
      </c>
      <c r="EQ66">
        <v>19465</v>
      </c>
      <c r="ER66">
        <v>23006</v>
      </c>
      <c r="ES66">
        <v>25781</v>
      </c>
      <c r="ET66">
        <v>32800</v>
      </c>
      <c r="EU66">
        <f t="shared" si="12"/>
        <v>329187</v>
      </c>
      <c r="EV66">
        <v>0</v>
      </c>
      <c r="EW66">
        <v>0</v>
      </c>
      <c r="EX66">
        <v>0</v>
      </c>
      <c r="EY66">
        <v>0</v>
      </c>
      <c r="EZ66">
        <v>0</v>
      </c>
      <c r="FA66">
        <v>0</v>
      </c>
      <c r="FB66">
        <v>0</v>
      </c>
      <c r="FC66">
        <v>0</v>
      </c>
      <c r="FD66">
        <v>0</v>
      </c>
      <c r="FE66">
        <v>0</v>
      </c>
      <c r="FF66">
        <v>0</v>
      </c>
      <c r="FG66">
        <v>0</v>
      </c>
      <c r="FH66">
        <f t="shared" si="13"/>
        <v>0</v>
      </c>
      <c r="FI66">
        <v>0</v>
      </c>
      <c r="FJ66">
        <v>0</v>
      </c>
      <c r="FK66">
        <v>0</v>
      </c>
      <c r="FL66">
        <v>0</v>
      </c>
      <c r="FM66">
        <v>0</v>
      </c>
      <c r="FN66">
        <v>0</v>
      </c>
      <c r="FO66">
        <v>0</v>
      </c>
      <c r="FP66">
        <v>0</v>
      </c>
      <c r="FQ66">
        <v>0</v>
      </c>
      <c r="FR66">
        <v>0</v>
      </c>
      <c r="FS66">
        <v>0</v>
      </c>
      <c r="FT66">
        <v>0</v>
      </c>
      <c r="FU66">
        <f t="shared" si="14"/>
        <v>0</v>
      </c>
      <c r="FV66">
        <v>0</v>
      </c>
      <c r="FW66">
        <v>0</v>
      </c>
      <c r="FX66">
        <v>0</v>
      </c>
      <c r="FY66">
        <v>0</v>
      </c>
      <c r="FZ66">
        <v>0</v>
      </c>
      <c r="GA66">
        <v>0</v>
      </c>
      <c r="GB66">
        <v>0</v>
      </c>
      <c r="GC66">
        <v>0</v>
      </c>
      <c r="GD66">
        <v>0</v>
      </c>
      <c r="GE66">
        <v>0</v>
      </c>
      <c r="GF66">
        <v>0</v>
      </c>
      <c r="GG66">
        <v>0</v>
      </c>
      <c r="GH66">
        <f t="shared" si="15"/>
        <v>0</v>
      </c>
      <c r="GI66">
        <v>1016</v>
      </c>
      <c r="GJ66">
        <v>540</v>
      </c>
      <c r="GK66">
        <v>320</v>
      </c>
      <c r="GL66">
        <v>3403</v>
      </c>
      <c r="GM66">
        <v>101</v>
      </c>
      <c r="GN66">
        <v>150</v>
      </c>
      <c r="GO66">
        <v>147</v>
      </c>
      <c r="GP66">
        <v>12</v>
      </c>
      <c r="GQ66">
        <v>3</v>
      </c>
      <c r="GR66">
        <v>2</v>
      </c>
      <c r="GS66">
        <v>35</v>
      </c>
      <c r="GT66">
        <v>1610</v>
      </c>
      <c r="GU66">
        <f t="shared" si="16"/>
        <v>7339</v>
      </c>
      <c r="GV66">
        <v>0</v>
      </c>
      <c r="GW66">
        <v>0</v>
      </c>
      <c r="GX66">
        <v>0</v>
      </c>
      <c r="GY66">
        <v>0</v>
      </c>
      <c r="GZ66">
        <v>0</v>
      </c>
      <c r="HA66">
        <v>0</v>
      </c>
      <c r="HB66">
        <v>0</v>
      </c>
      <c r="HC66">
        <v>0</v>
      </c>
      <c r="HD66">
        <v>0</v>
      </c>
      <c r="HE66">
        <v>0</v>
      </c>
      <c r="HF66">
        <v>0</v>
      </c>
      <c r="HG66">
        <v>0</v>
      </c>
      <c r="HH66">
        <f t="shared" si="17"/>
        <v>0</v>
      </c>
      <c r="HI66">
        <v>0</v>
      </c>
      <c r="HJ66">
        <v>0</v>
      </c>
      <c r="HK66">
        <v>0</v>
      </c>
      <c r="HL66">
        <v>0</v>
      </c>
      <c r="HM66">
        <v>0</v>
      </c>
      <c r="HN66">
        <v>0</v>
      </c>
      <c r="HO66">
        <v>0</v>
      </c>
      <c r="HP66">
        <v>0</v>
      </c>
      <c r="HQ66">
        <v>0</v>
      </c>
      <c r="HR66">
        <v>0</v>
      </c>
      <c r="HS66">
        <v>0</v>
      </c>
      <c r="HT66">
        <v>0</v>
      </c>
      <c r="HU66">
        <f t="shared" si="18"/>
        <v>0</v>
      </c>
      <c r="HV66">
        <v>0</v>
      </c>
      <c r="HW66">
        <v>0</v>
      </c>
      <c r="HX66">
        <v>0</v>
      </c>
      <c r="HY66">
        <v>0</v>
      </c>
      <c r="HZ66">
        <v>0</v>
      </c>
      <c r="IA66">
        <v>0</v>
      </c>
      <c r="IB66">
        <v>0</v>
      </c>
      <c r="IC66">
        <v>0</v>
      </c>
      <c r="ID66">
        <v>0</v>
      </c>
      <c r="IE66">
        <v>0</v>
      </c>
      <c r="IF66">
        <v>0</v>
      </c>
      <c r="IG66">
        <v>0</v>
      </c>
      <c r="IH66">
        <f t="shared" si="19"/>
        <v>0</v>
      </c>
      <c r="II66">
        <f t="shared" si="20"/>
        <v>0</v>
      </c>
      <c r="IJ66">
        <f t="shared" si="21"/>
        <v>0</v>
      </c>
      <c r="IK66">
        <v>152004</v>
      </c>
      <c r="IL66">
        <v>157389</v>
      </c>
      <c r="IM66">
        <v>145632</v>
      </c>
      <c r="IN66">
        <v>178672</v>
      </c>
      <c r="IO66">
        <v>182996</v>
      </c>
      <c r="IP66">
        <v>160361</v>
      </c>
      <c r="IQ66">
        <v>169501</v>
      </c>
      <c r="IR66">
        <v>147927</v>
      </c>
      <c r="IS66">
        <v>105330</v>
      </c>
      <c r="IT66">
        <v>158028</v>
      </c>
      <c r="IU66">
        <v>142194</v>
      </c>
      <c r="IV66">
        <v>159024</v>
      </c>
      <c r="IW66">
        <f t="shared" si="22"/>
        <v>1859058</v>
      </c>
      <c r="IX66">
        <v>69078</v>
      </c>
      <c r="IY66">
        <v>71572</v>
      </c>
      <c r="IZ66">
        <v>64035</v>
      </c>
      <c r="JA66">
        <v>89840</v>
      </c>
      <c r="JB66">
        <v>93834</v>
      </c>
      <c r="JC66">
        <v>75607</v>
      </c>
      <c r="JD66">
        <v>82617</v>
      </c>
      <c r="JE66">
        <v>70343</v>
      </c>
      <c r="JF66">
        <v>46801</v>
      </c>
      <c r="JG66">
        <v>72225</v>
      </c>
      <c r="JH66">
        <v>69955</v>
      </c>
      <c r="JI66">
        <v>75498</v>
      </c>
      <c r="JJ66">
        <f t="shared" si="23"/>
        <v>881405</v>
      </c>
      <c r="JK66">
        <v>1414</v>
      </c>
      <c r="JL66">
        <v>1446</v>
      </c>
      <c r="JM66">
        <v>1378</v>
      </c>
      <c r="JN66">
        <v>1783</v>
      </c>
      <c r="JO66">
        <v>1857</v>
      </c>
      <c r="JP66">
        <v>1655</v>
      </c>
      <c r="JQ66">
        <v>1598</v>
      </c>
      <c r="JR66">
        <v>1428</v>
      </c>
      <c r="JS66">
        <v>1014</v>
      </c>
      <c r="JT66">
        <v>1359</v>
      </c>
      <c r="JU66">
        <v>1262</v>
      </c>
      <c r="JV66">
        <v>1422</v>
      </c>
      <c r="JW66">
        <f t="shared" si="24"/>
        <v>17616</v>
      </c>
      <c r="JX66">
        <v>81512</v>
      </c>
      <c r="JY66">
        <v>84371</v>
      </c>
      <c r="JZ66">
        <v>80219</v>
      </c>
      <c r="KA66">
        <v>87049</v>
      </c>
      <c r="KB66">
        <v>87305</v>
      </c>
      <c r="KC66">
        <v>83099</v>
      </c>
      <c r="KD66">
        <v>85286</v>
      </c>
      <c r="KE66">
        <v>76156</v>
      </c>
      <c r="KF66">
        <v>57515</v>
      </c>
      <c r="KG66">
        <v>84444</v>
      </c>
      <c r="KH66">
        <v>70977</v>
      </c>
      <c r="KI66">
        <v>82104</v>
      </c>
      <c r="KJ66">
        <f t="shared" si="25"/>
        <v>960037</v>
      </c>
      <c r="KK66">
        <v>2452</v>
      </c>
      <c r="KL66">
        <v>2684</v>
      </c>
      <c r="KM66">
        <v>2441</v>
      </c>
      <c r="KN66">
        <v>2593</v>
      </c>
      <c r="KO66">
        <v>2620</v>
      </c>
      <c r="KP66">
        <v>2568</v>
      </c>
      <c r="KQ66">
        <v>2728</v>
      </c>
      <c r="KR66">
        <v>2400</v>
      </c>
      <c r="KS66">
        <v>2055</v>
      </c>
      <c r="KT66">
        <v>2712</v>
      </c>
      <c r="KU66">
        <v>2567</v>
      </c>
      <c r="KV66">
        <v>2625</v>
      </c>
      <c r="KW66">
        <f t="shared" si="26"/>
        <v>30445</v>
      </c>
      <c r="KX66">
        <v>294</v>
      </c>
      <c r="KY66">
        <v>343</v>
      </c>
      <c r="KZ66">
        <v>264</v>
      </c>
      <c r="LA66">
        <v>356</v>
      </c>
      <c r="LB66">
        <v>439</v>
      </c>
      <c r="LC66">
        <v>276</v>
      </c>
      <c r="LD66">
        <v>331</v>
      </c>
      <c r="LE66">
        <v>293</v>
      </c>
      <c r="LF66">
        <v>236</v>
      </c>
      <c r="LG66">
        <v>339</v>
      </c>
      <c r="LH66">
        <v>390</v>
      </c>
      <c r="LI66">
        <v>329</v>
      </c>
      <c r="LJ66">
        <f t="shared" si="27"/>
        <v>3890</v>
      </c>
      <c r="LK66">
        <v>0</v>
      </c>
      <c r="LL66">
        <v>0</v>
      </c>
      <c r="LM66">
        <v>0</v>
      </c>
      <c r="LN66">
        <v>0</v>
      </c>
      <c r="LO66">
        <v>0</v>
      </c>
      <c r="LP66">
        <v>0</v>
      </c>
      <c r="LQ66">
        <v>0</v>
      </c>
      <c r="LR66">
        <v>0</v>
      </c>
      <c r="LS66">
        <v>0</v>
      </c>
      <c r="LT66">
        <v>0</v>
      </c>
      <c r="LU66">
        <v>0</v>
      </c>
      <c r="LV66">
        <v>0</v>
      </c>
      <c r="LW66">
        <f t="shared" si="28"/>
        <v>0</v>
      </c>
      <c r="LX66">
        <v>2158</v>
      </c>
      <c r="LY66">
        <v>2341</v>
      </c>
      <c r="LZ66">
        <v>2177</v>
      </c>
      <c r="MA66">
        <v>2237</v>
      </c>
      <c r="MB66">
        <v>2181</v>
      </c>
      <c r="MC66">
        <v>2292</v>
      </c>
      <c r="MD66">
        <v>2397</v>
      </c>
      <c r="ME66">
        <v>2107</v>
      </c>
      <c r="MF66">
        <v>1819</v>
      </c>
      <c r="MG66">
        <v>2373</v>
      </c>
      <c r="MH66">
        <v>2177</v>
      </c>
      <c r="MI66">
        <v>2296</v>
      </c>
      <c r="MJ66">
        <f t="shared" si="29"/>
        <v>26555</v>
      </c>
      <c r="MK66">
        <v>7376</v>
      </c>
      <c r="ML66">
        <v>8038</v>
      </c>
      <c r="MM66">
        <v>8172</v>
      </c>
      <c r="MN66">
        <v>8378</v>
      </c>
      <c r="MO66">
        <v>9002</v>
      </c>
      <c r="MP66">
        <v>8114</v>
      </c>
      <c r="MQ66">
        <v>8482</v>
      </c>
      <c r="MR66">
        <v>8276</v>
      </c>
      <c r="MS66">
        <v>8373</v>
      </c>
      <c r="MT66">
        <v>8942</v>
      </c>
      <c r="MU66">
        <v>8238</v>
      </c>
      <c r="MV66">
        <v>9054</v>
      </c>
      <c r="MW66">
        <f t="shared" si="30"/>
        <v>100445</v>
      </c>
      <c r="MX66">
        <v>587</v>
      </c>
      <c r="MY66">
        <v>686</v>
      </c>
      <c r="MZ66">
        <v>684</v>
      </c>
      <c r="NA66">
        <v>694</v>
      </c>
      <c r="NB66">
        <v>882</v>
      </c>
      <c r="NC66">
        <v>728</v>
      </c>
      <c r="ND66">
        <v>756</v>
      </c>
      <c r="NE66">
        <v>614</v>
      </c>
      <c r="NF66">
        <v>702</v>
      </c>
      <c r="NG66">
        <v>787</v>
      </c>
      <c r="NH66">
        <v>674</v>
      </c>
      <c r="NI66">
        <v>780</v>
      </c>
      <c r="NJ66">
        <f t="shared" si="31"/>
        <v>8574</v>
      </c>
      <c r="NK66">
        <v>248</v>
      </c>
      <c r="NL66">
        <v>285</v>
      </c>
      <c r="NM66">
        <v>287</v>
      </c>
      <c r="NN66">
        <v>333</v>
      </c>
      <c r="NO66">
        <v>316</v>
      </c>
      <c r="NP66">
        <v>287</v>
      </c>
      <c r="NQ66">
        <v>292</v>
      </c>
      <c r="NR66">
        <v>271</v>
      </c>
      <c r="NS66">
        <v>276</v>
      </c>
      <c r="NT66">
        <v>328</v>
      </c>
      <c r="NU66">
        <v>272</v>
      </c>
      <c r="NV66">
        <v>212</v>
      </c>
      <c r="NW66">
        <f t="shared" si="32"/>
        <v>3407</v>
      </c>
      <c r="NX66">
        <v>6541</v>
      </c>
      <c r="NY66">
        <v>7057</v>
      </c>
      <c r="NZ66">
        <v>7221</v>
      </c>
      <c r="OA66">
        <v>7351</v>
      </c>
      <c r="OB66">
        <v>7804</v>
      </c>
      <c r="OC66">
        <v>7099</v>
      </c>
      <c r="OD66">
        <v>7434</v>
      </c>
      <c r="OE66">
        <v>7391</v>
      </c>
      <c r="OF66">
        <v>7395</v>
      </c>
      <c r="OG66">
        <v>7827</v>
      </c>
      <c r="OH66">
        <v>7292</v>
      </c>
      <c r="OI66">
        <v>7962</v>
      </c>
      <c r="OJ66">
        <f t="shared" si="33"/>
        <v>88374</v>
      </c>
      <c r="OK66">
        <v>11489</v>
      </c>
      <c r="OL66">
        <v>11957</v>
      </c>
      <c r="OM66">
        <v>11947</v>
      </c>
      <c r="ON66">
        <v>12723</v>
      </c>
      <c r="OO66">
        <v>13631</v>
      </c>
      <c r="OP66">
        <v>13036</v>
      </c>
      <c r="OQ66">
        <v>13886</v>
      </c>
      <c r="OR66">
        <v>13587</v>
      </c>
      <c r="OS66">
        <v>13054</v>
      </c>
      <c r="OT66">
        <v>14812</v>
      </c>
      <c r="OU66">
        <v>13640</v>
      </c>
      <c r="OV66">
        <v>15790</v>
      </c>
      <c r="OW66">
        <f t="shared" si="34"/>
        <v>159552</v>
      </c>
      <c r="OX66">
        <v>1552</v>
      </c>
      <c r="OY66">
        <v>1437</v>
      </c>
      <c r="OZ66">
        <v>1467</v>
      </c>
      <c r="PA66">
        <v>1526</v>
      </c>
      <c r="PB66">
        <v>1780</v>
      </c>
      <c r="PC66">
        <v>1501</v>
      </c>
      <c r="PD66">
        <v>1814</v>
      </c>
      <c r="PE66">
        <v>1560</v>
      </c>
      <c r="PF66">
        <v>1633</v>
      </c>
      <c r="PG66">
        <v>1725</v>
      </c>
      <c r="PH66">
        <v>1722</v>
      </c>
      <c r="PI66">
        <v>1888</v>
      </c>
      <c r="PJ66">
        <f t="shared" si="35"/>
        <v>19605</v>
      </c>
      <c r="PK66">
        <v>402</v>
      </c>
      <c r="PL66">
        <v>416</v>
      </c>
      <c r="PM66">
        <v>444</v>
      </c>
      <c r="PN66">
        <v>463</v>
      </c>
      <c r="PO66">
        <v>476</v>
      </c>
      <c r="PP66">
        <v>398</v>
      </c>
      <c r="PQ66">
        <v>459</v>
      </c>
      <c r="PR66">
        <v>485</v>
      </c>
      <c r="PS66">
        <v>464</v>
      </c>
      <c r="PT66">
        <v>487</v>
      </c>
      <c r="PU66">
        <v>489</v>
      </c>
      <c r="PV66">
        <v>521</v>
      </c>
      <c r="PW66">
        <f t="shared" si="36"/>
        <v>5504</v>
      </c>
      <c r="PX66">
        <v>9535</v>
      </c>
      <c r="PY66">
        <v>10104</v>
      </c>
      <c r="PZ66">
        <v>10036</v>
      </c>
      <c r="QA66">
        <v>10734</v>
      </c>
      <c r="QB66">
        <v>11375</v>
      </c>
      <c r="QC66">
        <v>11137</v>
      </c>
      <c r="QD66">
        <v>11613</v>
      </c>
      <c r="QE66">
        <v>11542</v>
      </c>
      <c r="QF66">
        <v>10957</v>
      </c>
      <c r="QG66">
        <v>12600</v>
      </c>
      <c r="QH66">
        <v>11429</v>
      </c>
      <c r="QI66">
        <v>13381</v>
      </c>
      <c r="QJ66">
        <f t="shared" si="37"/>
        <v>134443</v>
      </c>
      <c r="QK66">
        <v>150788</v>
      </c>
      <c r="QL66">
        <v>158871</v>
      </c>
      <c r="QM66">
        <v>145439</v>
      </c>
      <c r="QN66">
        <v>165846</v>
      </c>
      <c r="QO66">
        <v>158599</v>
      </c>
      <c r="QP66">
        <v>158536</v>
      </c>
      <c r="QQ66">
        <v>160124</v>
      </c>
      <c r="QR66">
        <v>160945</v>
      </c>
      <c r="QS66">
        <v>119515</v>
      </c>
      <c r="QT66">
        <v>157252</v>
      </c>
      <c r="QU66">
        <v>153732</v>
      </c>
      <c r="QV66">
        <v>164578</v>
      </c>
      <c r="QW66">
        <f t="shared" si="38"/>
        <v>1854225</v>
      </c>
      <c r="QX66">
        <v>0</v>
      </c>
      <c r="QY66">
        <v>0</v>
      </c>
      <c r="QZ66">
        <v>0</v>
      </c>
      <c r="RA66">
        <v>0</v>
      </c>
      <c r="RB66">
        <v>0</v>
      </c>
      <c r="RC66">
        <v>0</v>
      </c>
      <c r="RD66">
        <v>0</v>
      </c>
      <c r="RE66">
        <v>0</v>
      </c>
      <c r="RF66">
        <v>0</v>
      </c>
      <c r="RG66">
        <v>0</v>
      </c>
      <c r="RH66">
        <v>0</v>
      </c>
      <c r="RI66">
        <v>0</v>
      </c>
      <c r="RJ66">
        <f t="shared" si="39"/>
        <v>0</v>
      </c>
      <c r="RK66">
        <v>0</v>
      </c>
      <c r="RL66">
        <v>0</v>
      </c>
      <c r="RM66">
        <v>0</v>
      </c>
      <c r="RN66">
        <v>0</v>
      </c>
      <c r="RO66">
        <v>0</v>
      </c>
      <c r="RP66">
        <v>0</v>
      </c>
      <c r="RQ66">
        <v>0</v>
      </c>
      <c r="RR66">
        <v>0</v>
      </c>
      <c r="RS66">
        <v>0</v>
      </c>
      <c r="RT66">
        <v>0</v>
      </c>
      <c r="RU66">
        <v>0</v>
      </c>
      <c r="RV66">
        <v>0</v>
      </c>
      <c r="RW66">
        <f t="shared" si="40"/>
        <v>0</v>
      </c>
      <c r="RX66">
        <v>2506</v>
      </c>
      <c r="RY66">
        <v>2406</v>
      </c>
      <c r="RZ66">
        <v>2250</v>
      </c>
      <c r="SA66">
        <v>2456</v>
      </c>
      <c r="SB66">
        <v>2157</v>
      </c>
      <c r="SC66">
        <v>1934</v>
      </c>
      <c r="SD66">
        <v>2127</v>
      </c>
      <c r="SE66">
        <v>1816</v>
      </c>
      <c r="SF66">
        <v>2533</v>
      </c>
      <c r="SG66">
        <v>2121</v>
      </c>
      <c r="SH66">
        <v>1596</v>
      </c>
      <c r="SI66">
        <v>1476</v>
      </c>
      <c r="SJ66">
        <f t="shared" si="41"/>
        <v>25378</v>
      </c>
      <c r="SK66">
        <v>0</v>
      </c>
      <c r="SL66">
        <v>0</v>
      </c>
      <c r="SM66">
        <v>0</v>
      </c>
      <c r="SN66">
        <v>0</v>
      </c>
      <c r="SO66">
        <v>0</v>
      </c>
      <c r="SP66">
        <v>0</v>
      </c>
      <c r="SQ66">
        <v>0</v>
      </c>
      <c r="SR66">
        <v>0</v>
      </c>
      <c r="SS66">
        <v>0</v>
      </c>
      <c r="ST66">
        <v>0</v>
      </c>
      <c r="SU66">
        <v>0</v>
      </c>
      <c r="SV66">
        <v>0</v>
      </c>
      <c r="SW66">
        <f t="shared" si="42"/>
        <v>0</v>
      </c>
      <c r="SX66" s="1" t="s">
        <v>1506</v>
      </c>
      <c r="SY66">
        <v>8221</v>
      </c>
      <c r="SZ66">
        <v>8513</v>
      </c>
      <c r="TA66">
        <v>8627</v>
      </c>
      <c r="TB66">
        <v>9720</v>
      </c>
      <c r="TC66">
        <v>8617</v>
      </c>
      <c r="TD66">
        <v>9468</v>
      </c>
      <c r="TE66">
        <v>9635</v>
      </c>
      <c r="TF66">
        <v>8749</v>
      </c>
      <c r="TG66">
        <v>6648</v>
      </c>
      <c r="TH66">
        <v>8663</v>
      </c>
      <c r="TI66">
        <v>8663</v>
      </c>
      <c r="TJ66">
        <v>9463</v>
      </c>
      <c r="TK66">
        <f t="shared" si="43"/>
        <v>104987</v>
      </c>
      <c r="TL66">
        <v>0</v>
      </c>
      <c r="TM66">
        <v>0</v>
      </c>
      <c r="TN66">
        <v>0</v>
      </c>
      <c r="TO66">
        <v>0</v>
      </c>
      <c r="TP66">
        <v>0</v>
      </c>
      <c r="TQ66">
        <v>0</v>
      </c>
      <c r="TR66">
        <v>0</v>
      </c>
      <c r="TS66">
        <v>0</v>
      </c>
      <c r="TT66">
        <v>0</v>
      </c>
      <c r="TU66">
        <v>0</v>
      </c>
      <c r="TV66">
        <v>275260</v>
      </c>
      <c r="TW66">
        <v>308296</v>
      </c>
      <c r="TX66">
        <f t="shared" si="44"/>
        <v>583556</v>
      </c>
      <c r="TY66">
        <v>320</v>
      </c>
      <c r="TZ66">
        <v>0</v>
      </c>
      <c r="UA66">
        <v>0</v>
      </c>
      <c r="UB66">
        <v>0</v>
      </c>
    </row>
    <row r="67" spans="1:548" ht="16.5" customHeight="1" x14ac:dyDescent="0.35">
      <c r="A67" t="s">
        <v>1544</v>
      </c>
      <c r="B67" t="s">
        <v>2865</v>
      </c>
      <c r="C67">
        <v>15849</v>
      </c>
      <c r="D67">
        <v>5240</v>
      </c>
      <c r="E67">
        <v>1292</v>
      </c>
      <c r="F67">
        <v>9317</v>
      </c>
      <c r="G67">
        <v>367</v>
      </c>
      <c r="H67">
        <v>401</v>
      </c>
      <c r="I67">
        <v>373</v>
      </c>
      <c r="J67">
        <v>404</v>
      </c>
      <c r="K67">
        <v>351</v>
      </c>
      <c r="L67">
        <v>412</v>
      </c>
      <c r="M67">
        <v>462</v>
      </c>
      <c r="N67">
        <v>407</v>
      </c>
      <c r="O67">
        <v>349</v>
      </c>
      <c r="P67">
        <v>353</v>
      </c>
      <c r="Q67">
        <v>366</v>
      </c>
      <c r="R67">
        <v>413</v>
      </c>
      <c r="S67">
        <f t="shared" si="0"/>
        <v>4658</v>
      </c>
      <c r="T67">
        <v>25</v>
      </c>
      <c r="U67">
        <v>24</v>
      </c>
      <c r="V67">
        <v>26</v>
      </c>
      <c r="W67">
        <v>26</v>
      </c>
      <c r="X67">
        <v>13</v>
      </c>
      <c r="Y67">
        <v>23</v>
      </c>
      <c r="Z67">
        <v>32</v>
      </c>
      <c r="AA67">
        <v>33</v>
      </c>
      <c r="AB67">
        <v>26</v>
      </c>
      <c r="AC67">
        <v>33</v>
      </c>
      <c r="AD67">
        <v>27</v>
      </c>
      <c r="AE67">
        <v>32</v>
      </c>
      <c r="AF67">
        <f t="shared" si="1"/>
        <v>320</v>
      </c>
      <c r="AG67">
        <v>5</v>
      </c>
      <c r="AH67">
        <v>0</v>
      </c>
      <c r="AI67">
        <v>1</v>
      </c>
      <c r="AJ67">
        <v>0</v>
      </c>
      <c r="AK67">
        <v>4</v>
      </c>
      <c r="AL67">
        <v>0</v>
      </c>
      <c r="AM67">
        <v>2</v>
      </c>
      <c r="AN67">
        <v>1</v>
      </c>
      <c r="AO67">
        <v>0</v>
      </c>
      <c r="AP67">
        <v>0</v>
      </c>
      <c r="AQ67">
        <v>2</v>
      </c>
      <c r="AR67">
        <v>1</v>
      </c>
      <c r="AS67">
        <f t="shared" si="2"/>
        <v>16</v>
      </c>
      <c r="AT67">
        <v>254</v>
      </c>
      <c r="AU67">
        <v>295</v>
      </c>
      <c r="AV67">
        <v>278</v>
      </c>
      <c r="AW67">
        <v>271</v>
      </c>
      <c r="AX67">
        <v>200</v>
      </c>
      <c r="AY67">
        <v>281</v>
      </c>
      <c r="AZ67">
        <v>295</v>
      </c>
      <c r="BA67">
        <v>291</v>
      </c>
      <c r="BB67">
        <v>200</v>
      </c>
      <c r="BC67">
        <v>246</v>
      </c>
      <c r="BD67">
        <v>238</v>
      </c>
      <c r="BE67">
        <v>281</v>
      </c>
      <c r="BF67">
        <f t="shared" si="3"/>
        <v>3130</v>
      </c>
      <c r="BG67">
        <v>83</v>
      </c>
      <c r="BH67">
        <v>82</v>
      </c>
      <c r="BI67">
        <v>68</v>
      </c>
      <c r="BJ67">
        <v>107</v>
      </c>
      <c r="BK67">
        <v>134</v>
      </c>
      <c r="BL67">
        <v>108</v>
      </c>
      <c r="BM67">
        <v>133</v>
      </c>
      <c r="BN67">
        <v>82</v>
      </c>
      <c r="BO67">
        <v>123</v>
      </c>
      <c r="BP67">
        <v>74</v>
      </c>
      <c r="BQ67">
        <v>99</v>
      </c>
      <c r="BR67">
        <v>99</v>
      </c>
      <c r="BS67">
        <f t="shared" si="4"/>
        <v>1192</v>
      </c>
      <c r="BT67">
        <v>0</v>
      </c>
      <c r="BU67">
        <v>0</v>
      </c>
      <c r="BV67">
        <v>0</v>
      </c>
      <c r="BW67">
        <v>0</v>
      </c>
      <c r="BX67">
        <v>0</v>
      </c>
      <c r="BY67">
        <v>0</v>
      </c>
      <c r="BZ67">
        <v>0</v>
      </c>
      <c r="CA67">
        <v>0</v>
      </c>
      <c r="CB67">
        <v>0</v>
      </c>
      <c r="CC67">
        <v>0</v>
      </c>
      <c r="CD67">
        <v>0</v>
      </c>
      <c r="CE67">
        <v>0</v>
      </c>
      <c r="CF67">
        <f t="shared" si="5"/>
        <v>0</v>
      </c>
      <c r="CG67">
        <v>0</v>
      </c>
      <c r="CH67">
        <v>0</v>
      </c>
      <c r="CI67">
        <v>0</v>
      </c>
      <c r="CJ67">
        <v>0</v>
      </c>
      <c r="CK67">
        <v>0</v>
      </c>
      <c r="CL67">
        <v>0</v>
      </c>
      <c r="CM67">
        <v>0</v>
      </c>
      <c r="CN67">
        <v>0</v>
      </c>
      <c r="CO67">
        <v>0</v>
      </c>
      <c r="CP67">
        <v>0</v>
      </c>
      <c r="CQ67">
        <v>0</v>
      </c>
      <c r="CR67">
        <v>0</v>
      </c>
      <c r="CS67">
        <f t="shared" si="6"/>
        <v>0</v>
      </c>
      <c r="CT67">
        <v>0</v>
      </c>
      <c r="CU67">
        <v>0</v>
      </c>
      <c r="CV67">
        <v>0</v>
      </c>
      <c r="CW67">
        <v>0</v>
      </c>
      <c r="CX67">
        <v>0</v>
      </c>
      <c r="CY67">
        <v>0</v>
      </c>
      <c r="CZ67">
        <v>0</v>
      </c>
      <c r="DA67">
        <v>0</v>
      </c>
      <c r="DB67">
        <v>0</v>
      </c>
      <c r="DC67">
        <v>0</v>
      </c>
      <c r="DD67">
        <v>0</v>
      </c>
      <c r="DE67">
        <v>0</v>
      </c>
      <c r="DF67">
        <f t="shared" si="7"/>
        <v>0</v>
      </c>
      <c r="DG67">
        <v>0</v>
      </c>
      <c r="DH67">
        <v>0</v>
      </c>
      <c r="DI67">
        <v>0</v>
      </c>
      <c r="DJ67">
        <v>0</v>
      </c>
      <c r="DK67">
        <v>0</v>
      </c>
      <c r="DL67">
        <v>0</v>
      </c>
      <c r="DM67">
        <v>0</v>
      </c>
      <c r="DN67">
        <v>0</v>
      </c>
      <c r="DO67">
        <v>0</v>
      </c>
      <c r="DP67">
        <v>0</v>
      </c>
      <c r="DQ67">
        <v>0</v>
      </c>
      <c r="DR67">
        <v>0</v>
      </c>
      <c r="DS67">
        <f t="shared" si="8"/>
        <v>0</v>
      </c>
      <c r="DT67">
        <v>0</v>
      </c>
      <c r="DU67">
        <v>0</v>
      </c>
      <c r="DV67">
        <v>0</v>
      </c>
      <c r="DW67">
        <v>0</v>
      </c>
      <c r="DX67">
        <v>0</v>
      </c>
      <c r="DY67">
        <v>0</v>
      </c>
      <c r="DZ67">
        <v>0</v>
      </c>
      <c r="EA67">
        <v>0</v>
      </c>
      <c r="EB67">
        <v>0</v>
      </c>
      <c r="EC67">
        <v>0</v>
      </c>
      <c r="ED67">
        <v>0</v>
      </c>
      <c r="EE67">
        <v>0</v>
      </c>
      <c r="EF67">
        <f t="shared" si="9"/>
        <v>0</v>
      </c>
      <c r="EG67">
        <f t="shared" si="10"/>
        <v>4658</v>
      </c>
      <c r="EH67">
        <f t="shared" si="11"/>
        <v>0</v>
      </c>
      <c r="EI67">
        <v>3785</v>
      </c>
      <c r="EJ67">
        <v>4147</v>
      </c>
      <c r="EK67">
        <v>5810</v>
      </c>
      <c r="EL67">
        <v>5648</v>
      </c>
      <c r="EM67">
        <v>5687</v>
      </c>
      <c r="EN67">
        <v>4984</v>
      </c>
      <c r="EO67">
        <v>5086</v>
      </c>
      <c r="EP67">
        <v>4791</v>
      </c>
      <c r="EQ67">
        <v>6940</v>
      </c>
      <c r="ER67">
        <v>5606</v>
      </c>
      <c r="ES67">
        <v>6074</v>
      </c>
      <c r="ET67">
        <v>5734</v>
      </c>
      <c r="EU67">
        <f t="shared" si="12"/>
        <v>64292</v>
      </c>
      <c r="EV67">
        <v>866</v>
      </c>
      <c r="EW67">
        <v>751</v>
      </c>
      <c r="EX67">
        <v>1462</v>
      </c>
      <c r="EY67">
        <v>1899</v>
      </c>
      <c r="EZ67">
        <v>1145</v>
      </c>
      <c r="FA67">
        <v>1050</v>
      </c>
      <c r="FB67">
        <v>1355</v>
      </c>
      <c r="FC67">
        <v>1268</v>
      </c>
      <c r="FD67">
        <v>3686</v>
      </c>
      <c r="FE67">
        <v>1469</v>
      </c>
      <c r="FF67">
        <v>1752</v>
      </c>
      <c r="FG67">
        <v>1245</v>
      </c>
      <c r="FH67">
        <f t="shared" si="13"/>
        <v>17948</v>
      </c>
      <c r="FI67">
        <v>28</v>
      </c>
      <c r="FJ67">
        <v>0</v>
      </c>
      <c r="FK67">
        <v>13</v>
      </c>
      <c r="FL67">
        <v>0</v>
      </c>
      <c r="FM67">
        <v>24</v>
      </c>
      <c r="FN67">
        <v>0</v>
      </c>
      <c r="FO67">
        <v>24</v>
      </c>
      <c r="FP67">
        <v>11</v>
      </c>
      <c r="FQ67">
        <v>0</v>
      </c>
      <c r="FR67">
        <v>0</v>
      </c>
      <c r="FS67">
        <v>21</v>
      </c>
      <c r="FT67">
        <v>7</v>
      </c>
      <c r="FU67">
        <f t="shared" si="14"/>
        <v>128</v>
      </c>
      <c r="FV67">
        <v>2891</v>
      </c>
      <c r="FW67">
        <v>3396</v>
      </c>
      <c r="FX67">
        <v>4335</v>
      </c>
      <c r="FY67">
        <v>3749</v>
      </c>
      <c r="FZ67">
        <v>4518</v>
      </c>
      <c r="GA67">
        <v>3934</v>
      </c>
      <c r="GB67">
        <v>3707</v>
      </c>
      <c r="GC67">
        <v>3512</v>
      </c>
      <c r="GD67">
        <v>3254</v>
      </c>
      <c r="GE67">
        <v>4137</v>
      </c>
      <c r="GF67">
        <v>4301</v>
      </c>
      <c r="GG67">
        <v>4482</v>
      </c>
      <c r="GH67">
        <f t="shared" si="15"/>
        <v>46216</v>
      </c>
      <c r="GI67">
        <v>0</v>
      </c>
      <c r="GJ67">
        <v>0</v>
      </c>
      <c r="GK67">
        <v>0</v>
      </c>
      <c r="GL67">
        <v>0</v>
      </c>
      <c r="GM67">
        <v>0</v>
      </c>
      <c r="GN67">
        <v>0</v>
      </c>
      <c r="GO67">
        <v>0</v>
      </c>
      <c r="GP67">
        <v>0</v>
      </c>
      <c r="GQ67">
        <v>0</v>
      </c>
      <c r="GR67">
        <v>0</v>
      </c>
      <c r="GS67">
        <v>0</v>
      </c>
      <c r="GT67">
        <v>0</v>
      </c>
      <c r="GU67">
        <f t="shared" si="16"/>
        <v>0</v>
      </c>
      <c r="GV67">
        <v>0</v>
      </c>
      <c r="GW67">
        <v>0</v>
      </c>
      <c r="GX67">
        <v>0</v>
      </c>
      <c r="GY67">
        <v>0</v>
      </c>
      <c r="GZ67">
        <v>0</v>
      </c>
      <c r="HA67">
        <v>0</v>
      </c>
      <c r="HB67">
        <v>0</v>
      </c>
      <c r="HC67">
        <v>0</v>
      </c>
      <c r="HD67">
        <v>0</v>
      </c>
      <c r="HE67">
        <v>0</v>
      </c>
      <c r="HF67">
        <v>0</v>
      </c>
      <c r="HG67">
        <v>0</v>
      </c>
      <c r="HH67">
        <f t="shared" si="17"/>
        <v>0</v>
      </c>
      <c r="HI67">
        <v>0</v>
      </c>
      <c r="HJ67">
        <v>0</v>
      </c>
      <c r="HK67">
        <v>0</v>
      </c>
      <c r="HL67">
        <v>0</v>
      </c>
      <c r="HM67">
        <v>0</v>
      </c>
      <c r="HN67">
        <v>0</v>
      </c>
      <c r="HO67">
        <v>0</v>
      </c>
      <c r="HP67">
        <v>0</v>
      </c>
      <c r="HQ67">
        <v>0</v>
      </c>
      <c r="HR67">
        <v>0</v>
      </c>
      <c r="HS67">
        <v>0</v>
      </c>
      <c r="HT67">
        <v>0</v>
      </c>
      <c r="HU67">
        <f t="shared" si="18"/>
        <v>0</v>
      </c>
      <c r="HV67">
        <v>0</v>
      </c>
      <c r="HW67">
        <v>0</v>
      </c>
      <c r="HX67">
        <v>0</v>
      </c>
      <c r="HY67">
        <v>0</v>
      </c>
      <c r="HZ67">
        <v>0</v>
      </c>
      <c r="IA67">
        <v>0</v>
      </c>
      <c r="IB67">
        <v>0</v>
      </c>
      <c r="IC67">
        <v>0</v>
      </c>
      <c r="ID67">
        <v>0</v>
      </c>
      <c r="IE67">
        <v>0</v>
      </c>
      <c r="IF67">
        <v>0</v>
      </c>
      <c r="IG67">
        <v>0</v>
      </c>
      <c r="IH67">
        <f t="shared" si="19"/>
        <v>0</v>
      </c>
      <c r="II67">
        <f t="shared" si="20"/>
        <v>64292</v>
      </c>
      <c r="IJ67">
        <f t="shared" si="21"/>
        <v>0</v>
      </c>
      <c r="IK67">
        <v>18042</v>
      </c>
      <c r="IL67">
        <v>18517</v>
      </c>
      <c r="IM67">
        <v>17272</v>
      </c>
      <c r="IN67">
        <v>22391</v>
      </c>
      <c r="IO67">
        <v>21627</v>
      </c>
      <c r="IP67">
        <v>18506</v>
      </c>
      <c r="IQ67">
        <v>20250</v>
      </c>
      <c r="IR67">
        <v>16552</v>
      </c>
      <c r="IS67">
        <v>12349</v>
      </c>
      <c r="IT67">
        <v>19018</v>
      </c>
      <c r="IU67">
        <v>20161</v>
      </c>
      <c r="IV67">
        <v>28178</v>
      </c>
      <c r="IW67">
        <f t="shared" si="22"/>
        <v>232863</v>
      </c>
      <c r="IX67">
        <v>8007</v>
      </c>
      <c r="IY67">
        <v>8195</v>
      </c>
      <c r="IZ67">
        <v>7183</v>
      </c>
      <c r="JA67">
        <v>11387</v>
      </c>
      <c r="JB67">
        <v>11488</v>
      </c>
      <c r="JC67">
        <v>8155</v>
      </c>
      <c r="JD67">
        <v>9075</v>
      </c>
      <c r="JE67">
        <v>6955</v>
      </c>
      <c r="JF67">
        <v>5306</v>
      </c>
      <c r="JG67">
        <v>7688</v>
      </c>
      <c r="JH67">
        <v>9533</v>
      </c>
      <c r="JI67">
        <v>13828</v>
      </c>
      <c r="JJ67">
        <f t="shared" si="23"/>
        <v>106800</v>
      </c>
      <c r="JK67">
        <v>237</v>
      </c>
      <c r="JL67">
        <v>213</v>
      </c>
      <c r="JM67">
        <v>233</v>
      </c>
      <c r="JN67">
        <v>377</v>
      </c>
      <c r="JO67">
        <v>377</v>
      </c>
      <c r="JP67">
        <v>241</v>
      </c>
      <c r="JQ67">
        <v>236</v>
      </c>
      <c r="JR67">
        <v>175</v>
      </c>
      <c r="JS67">
        <v>163</v>
      </c>
      <c r="JT67">
        <v>209</v>
      </c>
      <c r="JU67">
        <v>285</v>
      </c>
      <c r="JV67">
        <v>472</v>
      </c>
      <c r="JW67">
        <f t="shared" si="24"/>
        <v>3218</v>
      </c>
      <c r="JX67">
        <v>9798</v>
      </c>
      <c r="JY67">
        <v>10109</v>
      </c>
      <c r="JZ67">
        <v>9856</v>
      </c>
      <c r="KA67">
        <v>10627</v>
      </c>
      <c r="KB67">
        <v>9762</v>
      </c>
      <c r="KC67">
        <v>10110</v>
      </c>
      <c r="KD67">
        <v>10939</v>
      </c>
      <c r="KE67">
        <v>9422</v>
      </c>
      <c r="KF67">
        <v>6880</v>
      </c>
      <c r="KG67">
        <v>11121</v>
      </c>
      <c r="KH67">
        <v>10343</v>
      </c>
      <c r="KI67">
        <v>13878</v>
      </c>
      <c r="KJ67">
        <f t="shared" si="25"/>
        <v>122845</v>
      </c>
      <c r="KK67">
        <v>104</v>
      </c>
      <c r="KL67">
        <v>81</v>
      </c>
      <c r="KM67">
        <v>79</v>
      </c>
      <c r="KN67">
        <v>92</v>
      </c>
      <c r="KO67">
        <v>72</v>
      </c>
      <c r="KP67">
        <v>91</v>
      </c>
      <c r="KQ67">
        <v>86</v>
      </c>
      <c r="KR67">
        <v>90</v>
      </c>
      <c r="KS67">
        <v>81</v>
      </c>
      <c r="KT67">
        <v>112</v>
      </c>
      <c r="KU67">
        <v>117</v>
      </c>
      <c r="KV67">
        <v>152</v>
      </c>
      <c r="KW67">
        <f t="shared" si="26"/>
        <v>1157</v>
      </c>
      <c r="KX67">
        <v>13</v>
      </c>
      <c r="KY67">
        <v>6</v>
      </c>
      <c r="KZ67">
        <v>3</v>
      </c>
      <c r="LA67">
        <v>14</v>
      </c>
      <c r="LB67">
        <v>12</v>
      </c>
      <c r="LC67">
        <v>3</v>
      </c>
      <c r="LD67">
        <v>8</v>
      </c>
      <c r="LE67">
        <v>7</v>
      </c>
      <c r="LF67">
        <v>5</v>
      </c>
      <c r="LG67">
        <v>11</v>
      </c>
      <c r="LH67">
        <v>9</v>
      </c>
      <c r="LI67">
        <v>15</v>
      </c>
      <c r="LJ67">
        <f t="shared" si="27"/>
        <v>106</v>
      </c>
      <c r="LK67">
        <v>0</v>
      </c>
      <c r="LL67">
        <v>0</v>
      </c>
      <c r="LM67">
        <v>0</v>
      </c>
      <c r="LN67">
        <v>1</v>
      </c>
      <c r="LO67">
        <v>1</v>
      </c>
      <c r="LP67">
        <v>1</v>
      </c>
      <c r="LQ67">
        <v>1</v>
      </c>
      <c r="LR67">
        <v>0</v>
      </c>
      <c r="LS67">
        <v>1</v>
      </c>
      <c r="LT67">
        <v>0</v>
      </c>
      <c r="LU67">
        <v>0</v>
      </c>
      <c r="LV67">
        <v>0</v>
      </c>
      <c r="LW67">
        <f t="shared" si="28"/>
        <v>5</v>
      </c>
      <c r="LX67">
        <v>91</v>
      </c>
      <c r="LY67">
        <v>75</v>
      </c>
      <c r="LZ67">
        <v>76</v>
      </c>
      <c r="MA67">
        <v>78</v>
      </c>
      <c r="MB67">
        <v>60</v>
      </c>
      <c r="MC67">
        <v>88</v>
      </c>
      <c r="MD67">
        <v>78</v>
      </c>
      <c r="ME67">
        <v>83</v>
      </c>
      <c r="MF67">
        <v>76</v>
      </c>
      <c r="MG67">
        <v>101</v>
      </c>
      <c r="MH67">
        <v>108</v>
      </c>
      <c r="MI67">
        <v>137</v>
      </c>
      <c r="MJ67">
        <f t="shared" si="29"/>
        <v>1051</v>
      </c>
      <c r="MK67">
        <v>3333</v>
      </c>
      <c r="ML67">
        <v>3612</v>
      </c>
      <c r="MM67">
        <v>3654</v>
      </c>
      <c r="MN67">
        <v>3304</v>
      </c>
      <c r="MO67">
        <v>3733</v>
      </c>
      <c r="MP67">
        <v>3697</v>
      </c>
      <c r="MQ67">
        <v>2303</v>
      </c>
      <c r="MR67">
        <v>2511</v>
      </c>
      <c r="MS67">
        <v>2152</v>
      </c>
      <c r="MT67">
        <v>2245</v>
      </c>
      <c r="MU67">
        <v>2126</v>
      </c>
      <c r="MV67">
        <v>2144</v>
      </c>
      <c r="MW67">
        <f t="shared" si="30"/>
        <v>34814</v>
      </c>
      <c r="MX67">
        <v>2924</v>
      </c>
      <c r="MY67">
        <v>3174</v>
      </c>
      <c r="MZ67">
        <v>3192</v>
      </c>
      <c r="NA67">
        <v>2971</v>
      </c>
      <c r="NB67">
        <v>3229</v>
      </c>
      <c r="NC67">
        <v>3221</v>
      </c>
      <c r="ND67">
        <v>2027</v>
      </c>
      <c r="NE67">
        <v>2222</v>
      </c>
      <c r="NF67">
        <v>1925</v>
      </c>
      <c r="NG67">
        <v>1983</v>
      </c>
      <c r="NH67">
        <v>1876</v>
      </c>
      <c r="NI67">
        <v>1889</v>
      </c>
      <c r="NJ67">
        <f t="shared" si="31"/>
        <v>30633</v>
      </c>
      <c r="NK67">
        <v>253</v>
      </c>
      <c r="NL67">
        <v>265</v>
      </c>
      <c r="NM67">
        <v>273</v>
      </c>
      <c r="NN67">
        <v>205</v>
      </c>
      <c r="NO67">
        <v>276</v>
      </c>
      <c r="NP67">
        <v>325</v>
      </c>
      <c r="NQ67">
        <v>171</v>
      </c>
      <c r="NR67">
        <v>201</v>
      </c>
      <c r="NS67">
        <v>140</v>
      </c>
      <c r="NT67">
        <v>152</v>
      </c>
      <c r="NU67">
        <v>131</v>
      </c>
      <c r="NV67">
        <v>160</v>
      </c>
      <c r="NW67">
        <f t="shared" si="32"/>
        <v>2552</v>
      </c>
      <c r="NX67">
        <v>156</v>
      </c>
      <c r="NY67">
        <v>173</v>
      </c>
      <c r="NZ67">
        <v>188</v>
      </c>
      <c r="OA67">
        <v>128</v>
      </c>
      <c r="OB67">
        <v>228</v>
      </c>
      <c r="OC67">
        <v>151</v>
      </c>
      <c r="OD67">
        <v>105</v>
      </c>
      <c r="OE67">
        <v>88</v>
      </c>
      <c r="OF67">
        <v>89</v>
      </c>
      <c r="OG67">
        <v>110</v>
      </c>
      <c r="OH67">
        <v>119</v>
      </c>
      <c r="OI67">
        <v>95</v>
      </c>
      <c r="OJ67">
        <f t="shared" si="33"/>
        <v>1630</v>
      </c>
      <c r="OK67">
        <v>4607</v>
      </c>
      <c r="OL67">
        <v>4999</v>
      </c>
      <c r="OM67">
        <v>4658</v>
      </c>
      <c r="ON67">
        <v>4472</v>
      </c>
      <c r="OO67">
        <v>4696</v>
      </c>
      <c r="OP67">
        <v>4587</v>
      </c>
      <c r="OQ67">
        <v>3238</v>
      </c>
      <c r="OR67">
        <v>3495</v>
      </c>
      <c r="OS67">
        <v>3128</v>
      </c>
      <c r="OT67">
        <v>3442</v>
      </c>
      <c r="OU67">
        <v>3161</v>
      </c>
      <c r="OV67">
        <v>3520</v>
      </c>
      <c r="OW67">
        <f t="shared" si="34"/>
        <v>48003</v>
      </c>
      <c r="OX67">
        <v>3998</v>
      </c>
      <c r="OY67">
        <v>4372</v>
      </c>
      <c r="OZ67">
        <v>4118</v>
      </c>
      <c r="PA67">
        <v>3958</v>
      </c>
      <c r="PB67">
        <v>4079</v>
      </c>
      <c r="PC67">
        <v>4036</v>
      </c>
      <c r="PD67">
        <v>2857</v>
      </c>
      <c r="PE67">
        <v>3112</v>
      </c>
      <c r="PF67">
        <v>2733</v>
      </c>
      <c r="PG67">
        <v>3009</v>
      </c>
      <c r="PH67">
        <v>2791</v>
      </c>
      <c r="PI67">
        <v>3137</v>
      </c>
      <c r="PJ67">
        <f t="shared" si="35"/>
        <v>42200</v>
      </c>
      <c r="PK67">
        <v>427</v>
      </c>
      <c r="PL67">
        <v>435</v>
      </c>
      <c r="PM67">
        <v>261</v>
      </c>
      <c r="PN67">
        <v>361</v>
      </c>
      <c r="PO67">
        <v>477</v>
      </c>
      <c r="PP67">
        <v>394</v>
      </c>
      <c r="PQ67">
        <v>273</v>
      </c>
      <c r="PR67">
        <v>283</v>
      </c>
      <c r="PS67">
        <v>297</v>
      </c>
      <c r="PT67">
        <v>307</v>
      </c>
      <c r="PU67">
        <v>256</v>
      </c>
      <c r="PV67">
        <v>286</v>
      </c>
      <c r="PW67">
        <f t="shared" si="36"/>
        <v>4057</v>
      </c>
      <c r="PX67">
        <v>182</v>
      </c>
      <c r="PY67">
        <v>192</v>
      </c>
      <c r="PZ67">
        <v>169</v>
      </c>
      <c r="QA67">
        <v>153</v>
      </c>
      <c r="QB67">
        <v>138</v>
      </c>
      <c r="QC67">
        <v>157</v>
      </c>
      <c r="QD67">
        <v>108</v>
      </c>
      <c r="QE67">
        <v>100</v>
      </c>
      <c r="QF67">
        <v>98</v>
      </c>
      <c r="QG67">
        <v>126</v>
      </c>
      <c r="QH67">
        <v>114</v>
      </c>
      <c r="QI67">
        <v>97</v>
      </c>
      <c r="QJ67">
        <f t="shared" si="37"/>
        <v>1634</v>
      </c>
      <c r="QK67">
        <v>14182</v>
      </c>
      <c r="QL67">
        <v>13081</v>
      </c>
      <c r="QM67">
        <v>12490</v>
      </c>
      <c r="QN67">
        <v>16097</v>
      </c>
      <c r="QO67">
        <v>16331</v>
      </c>
      <c r="QP67">
        <v>14597</v>
      </c>
      <c r="QQ67">
        <v>16350</v>
      </c>
      <c r="QR67">
        <v>14659</v>
      </c>
      <c r="QS67">
        <v>11835</v>
      </c>
      <c r="QT67">
        <v>14487</v>
      </c>
      <c r="QU67">
        <v>13355</v>
      </c>
      <c r="QV67">
        <v>14973</v>
      </c>
      <c r="QW67">
        <f t="shared" si="38"/>
        <v>172437</v>
      </c>
      <c r="QX67">
        <v>54977</v>
      </c>
      <c r="QY67">
        <v>57180</v>
      </c>
      <c r="QZ67">
        <v>53505</v>
      </c>
      <c r="RA67">
        <v>58984</v>
      </c>
      <c r="RB67">
        <v>47675</v>
      </c>
      <c r="RC67">
        <v>56025</v>
      </c>
      <c r="RD67">
        <v>60277</v>
      </c>
      <c r="RE67">
        <v>59413</v>
      </c>
      <c r="RF67">
        <v>47923</v>
      </c>
      <c r="RG67">
        <v>65386</v>
      </c>
      <c r="RH67">
        <v>58994</v>
      </c>
      <c r="RI67">
        <v>62100</v>
      </c>
      <c r="RJ67">
        <f t="shared" si="39"/>
        <v>682439</v>
      </c>
      <c r="RK67">
        <v>1</v>
      </c>
      <c r="RL67">
        <v>3</v>
      </c>
      <c r="RM67">
        <v>1</v>
      </c>
      <c r="RN67">
        <v>2</v>
      </c>
      <c r="RO67">
        <v>1</v>
      </c>
      <c r="RP67">
        <v>2</v>
      </c>
      <c r="RQ67">
        <v>0</v>
      </c>
      <c r="RR67">
        <v>0</v>
      </c>
      <c r="RS67">
        <v>0</v>
      </c>
      <c r="RT67">
        <v>0</v>
      </c>
      <c r="RU67">
        <v>0</v>
      </c>
      <c r="RV67">
        <v>0</v>
      </c>
      <c r="RW67">
        <f t="shared" si="40"/>
        <v>10</v>
      </c>
      <c r="RX67">
        <v>0</v>
      </c>
      <c r="RY67">
        <v>0</v>
      </c>
      <c r="RZ67">
        <v>0</v>
      </c>
      <c r="SA67">
        <v>0</v>
      </c>
      <c r="SB67">
        <v>0</v>
      </c>
      <c r="SC67">
        <v>0</v>
      </c>
      <c r="SD67">
        <v>0</v>
      </c>
      <c r="SE67">
        <v>0</v>
      </c>
      <c r="SF67">
        <v>0</v>
      </c>
      <c r="SG67">
        <v>0</v>
      </c>
      <c r="SH67">
        <v>0</v>
      </c>
      <c r="SI67">
        <v>0</v>
      </c>
      <c r="SJ67">
        <f t="shared" si="41"/>
        <v>0</v>
      </c>
      <c r="SK67">
        <v>3</v>
      </c>
      <c r="SL67">
        <v>3</v>
      </c>
      <c r="SM67">
        <v>3</v>
      </c>
      <c r="SN67">
        <v>4</v>
      </c>
      <c r="SO67">
        <v>3</v>
      </c>
      <c r="SP67">
        <v>4</v>
      </c>
      <c r="SQ67">
        <v>2</v>
      </c>
      <c r="SR67">
        <v>4</v>
      </c>
      <c r="SS67">
        <v>4</v>
      </c>
      <c r="ST67">
        <v>4</v>
      </c>
      <c r="SU67">
        <v>5</v>
      </c>
      <c r="SV67">
        <v>5</v>
      </c>
      <c r="SW67">
        <f t="shared" si="42"/>
        <v>44</v>
      </c>
      <c r="SX67" t="s">
        <v>1374</v>
      </c>
      <c r="SY67">
        <v>6430</v>
      </c>
      <c r="SZ67">
        <v>5956</v>
      </c>
      <c r="TA67">
        <v>5627</v>
      </c>
      <c r="TB67">
        <v>6788</v>
      </c>
      <c r="TC67">
        <v>5909</v>
      </c>
      <c r="TD67">
        <v>5559</v>
      </c>
      <c r="TE67">
        <v>6002</v>
      </c>
      <c r="TF67">
        <v>4948</v>
      </c>
      <c r="TG67">
        <v>4502</v>
      </c>
      <c r="TH67">
        <v>5331</v>
      </c>
      <c r="TI67">
        <v>4432</v>
      </c>
      <c r="TJ67">
        <v>5067</v>
      </c>
      <c r="TK67">
        <f t="shared" si="43"/>
        <v>66551</v>
      </c>
      <c r="TL67">
        <v>0</v>
      </c>
      <c r="TM67">
        <v>0</v>
      </c>
      <c r="TN67">
        <v>0</v>
      </c>
      <c r="TO67">
        <v>0</v>
      </c>
      <c r="TP67">
        <v>0</v>
      </c>
      <c r="TQ67">
        <v>0</v>
      </c>
      <c r="TR67">
        <v>0</v>
      </c>
      <c r="TS67">
        <v>0</v>
      </c>
      <c r="TT67">
        <v>0</v>
      </c>
      <c r="TU67">
        <v>0</v>
      </c>
      <c r="TV67">
        <v>0</v>
      </c>
      <c r="TW67">
        <v>0</v>
      </c>
      <c r="TX67">
        <f t="shared" si="44"/>
        <v>0</v>
      </c>
      <c r="TY67">
        <v>196</v>
      </c>
      <c r="TZ67">
        <v>144</v>
      </c>
      <c r="UA67">
        <v>381</v>
      </c>
      <c r="UB67">
        <v>48</v>
      </c>
    </row>
    <row r="68" spans="1:548" ht="16.5" customHeight="1" x14ac:dyDescent="0.35">
      <c r="A68" t="s">
        <v>1442</v>
      </c>
      <c r="B68" t="s">
        <v>2864</v>
      </c>
      <c r="C68">
        <v>67597</v>
      </c>
      <c r="D68">
        <v>24933</v>
      </c>
      <c r="E68">
        <v>4645</v>
      </c>
      <c r="F68">
        <v>38019</v>
      </c>
      <c r="G68">
        <v>1009</v>
      </c>
      <c r="H68">
        <v>1160</v>
      </c>
      <c r="I68">
        <v>1136</v>
      </c>
      <c r="J68">
        <v>1216</v>
      </c>
      <c r="K68">
        <v>926</v>
      </c>
      <c r="L68">
        <v>1029</v>
      </c>
      <c r="M68">
        <v>1227</v>
      </c>
      <c r="N68">
        <v>1298</v>
      </c>
      <c r="O68">
        <v>1021</v>
      </c>
      <c r="P68">
        <v>1200</v>
      </c>
      <c r="Q68">
        <v>1270</v>
      </c>
      <c r="R68">
        <v>1344</v>
      </c>
      <c r="S68">
        <f t="shared" si="0"/>
        <v>13836</v>
      </c>
      <c r="T68">
        <v>626</v>
      </c>
      <c r="U68">
        <v>732</v>
      </c>
      <c r="V68">
        <v>713</v>
      </c>
      <c r="W68">
        <v>814</v>
      </c>
      <c r="X68">
        <v>599</v>
      </c>
      <c r="Y68">
        <v>634</v>
      </c>
      <c r="Z68">
        <v>791</v>
      </c>
      <c r="AA68">
        <v>821</v>
      </c>
      <c r="AB68">
        <v>647</v>
      </c>
      <c r="AC68">
        <v>733</v>
      </c>
      <c r="AD68">
        <v>799</v>
      </c>
      <c r="AE68">
        <v>846</v>
      </c>
      <c r="AF68">
        <f t="shared" si="1"/>
        <v>8755</v>
      </c>
      <c r="AG68">
        <v>0</v>
      </c>
      <c r="AH68">
        <v>0</v>
      </c>
      <c r="AI68">
        <v>0</v>
      </c>
      <c r="AJ68">
        <v>0</v>
      </c>
      <c r="AK68">
        <v>0</v>
      </c>
      <c r="AL68">
        <v>0</v>
      </c>
      <c r="AM68">
        <v>0</v>
      </c>
      <c r="AN68">
        <v>0</v>
      </c>
      <c r="AO68">
        <v>0</v>
      </c>
      <c r="AP68">
        <v>0</v>
      </c>
      <c r="AQ68">
        <v>0</v>
      </c>
      <c r="AR68">
        <v>0</v>
      </c>
      <c r="AS68">
        <f t="shared" si="2"/>
        <v>0</v>
      </c>
      <c r="AT68">
        <v>383</v>
      </c>
      <c r="AU68">
        <v>428</v>
      </c>
      <c r="AV68">
        <v>423</v>
      </c>
      <c r="AW68">
        <v>402</v>
      </c>
      <c r="AX68">
        <v>327</v>
      </c>
      <c r="AY68">
        <v>395</v>
      </c>
      <c r="AZ68">
        <v>436</v>
      </c>
      <c r="BA68">
        <v>477</v>
      </c>
      <c r="BB68">
        <v>374</v>
      </c>
      <c r="BC68">
        <v>467</v>
      </c>
      <c r="BD68">
        <v>471</v>
      </c>
      <c r="BE68">
        <v>498</v>
      </c>
      <c r="BF68">
        <f t="shared" si="3"/>
        <v>5081</v>
      </c>
      <c r="BG68">
        <v>0</v>
      </c>
      <c r="BH68">
        <v>0</v>
      </c>
      <c r="BI68">
        <v>0</v>
      </c>
      <c r="BJ68">
        <v>0</v>
      </c>
      <c r="BK68">
        <v>0</v>
      </c>
      <c r="BL68">
        <v>0</v>
      </c>
      <c r="BM68">
        <v>0</v>
      </c>
      <c r="BN68">
        <v>0</v>
      </c>
      <c r="BO68">
        <v>0</v>
      </c>
      <c r="BP68">
        <v>0</v>
      </c>
      <c r="BQ68">
        <v>0</v>
      </c>
      <c r="BR68">
        <v>0</v>
      </c>
      <c r="BS68">
        <f t="shared" si="4"/>
        <v>0</v>
      </c>
      <c r="BT68">
        <v>0</v>
      </c>
      <c r="BU68">
        <v>0</v>
      </c>
      <c r="BV68">
        <v>0</v>
      </c>
      <c r="BW68">
        <v>0</v>
      </c>
      <c r="BX68">
        <v>0</v>
      </c>
      <c r="BY68">
        <v>0</v>
      </c>
      <c r="BZ68">
        <v>0</v>
      </c>
      <c r="CA68">
        <v>0</v>
      </c>
      <c r="CB68">
        <v>0</v>
      </c>
      <c r="CC68">
        <v>0</v>
      </c>
      <c r="CD68">
        <v>0</v>
      </c>
      <c r="CE68">
        <v>0</v>
      </c>
      <c r="CF68">
        <f t="shared" si="5"/>
        <v>0</v>
      </c>
      <c r="CG68">
        <v>0</v>
      </c>
      <c r="CH68">
        <v>0</v>
      </c>
      <c r="CI68">
        <v>0</v>
      </c>
      <c r="CJ68">
        <v>0</v>
      </c>
      <c r="CK68">
        <v>0</v>
      </c>
      <c r="CL68">
        <v>0</v>
      </c>
      <c r="CM68">
        <v>0</v>
      </c>
      <c r="CN68">
        <v>0</v>
      </c>
      <c r="CO68">
        <v>0</v>
      </c>
      <c r="CP68">
        <v>0</v>
      </c>
      <c r="CQ68">
        <v>0</v>
      </c>
      <c r="CR68">
        <v>0</v>
      </c>
      <c r="CS68">
        <f t="shared" si="6"/>
        <v>0</v>
      </c>
      <c r="CT68">
        <v>0</v>
      </c>
      <c r="CU68">
        <v>0</v>
      </c>
      <c r="CV68">
        <v>0</v>
      </c>
      <c r="CW68">
        <v>0</v>
      </c>
      <c r="CX68">
        <v>0</v>
      </c>
      <c r="CY68">
        <v>0</v>
      </c>
      <c r="CZ68">
        <v>0</v>
      </c>
      <c r="DA68">
        <v>0</v>
      </c>
      <c r="DB68">
        <v>0</v>
      </c>
      <c r="DC68">
        <v>0</v>
      </c>
      <c r="DD68">
        <v>0</v>
      </c>
      <c r="DE68">
        <v>0</v>
      </c>
      <c r="DF68">
        <f t="shared" si="7"/>
        <v>0</v>
      </c>
      <c r="DG68">
        <v>0</v>
      </c>
      <c r="DH68">
        <v>0</v>
      </c>
      <c r="DI68">
        <v>0</v>
      </c>
      <c r="DJ68">
        <v>0</v>
      </c>
      <c r="DK68">
        <v>0</v>
      </c>
      <c r="DL68">
        <v>0</v>
      </c>
      <c r="DM68">
        <v>0</v>
      </c>
      <c r="DN68">
        <v>0</v>
      </c>
      <c r="DO68">
        <v>0</v>
      </c>
      <c r="DP68">
        <v>0</v>
      </c>
      <c r="DQ68">
        <v>0</v>
      </c>
      <c r="DR68">
        <v>0</v>
      </c>
      <c r="DS68">
        <f t="shared" si="8"/>
        <v>0</v>
      </c>
      <c r="DT68">
        <v>0</v>
      </c>
      <c r="DU68">
        <v>0</v>
      </c>
      <c r="DV68">
        <v>0</v>
      </c>
      <c r="DW68">
        <v>0</v>
      </c>
      <c r="DX68">
        <v>0</v>
      </c>
      <c r="DY68">
        <v>0</v>
      </c>
      <c r="DZ68">
        <v>0</v>
      </c>
      <c r="EA68">
        <v>0</v>
      </c>
      <c r="EB68">
        <v>0</v>
      </c>
      <c r="EC68">
        <v>0</v>
      </c>
      <c r="ED68">
        <v>0</v>
      </c>
      <c r="EE68">
        <v>0</v>
      </c>
      <c r="EF68">
        <f t="shared" si="9"/>
        <v>0</v>
      </c>
      <c r="EG68">
        <f t="shared" si="10"/>
        <v>13836</v>
      </c>
      <c r="EH68">
        <f t="shared" si="11"/>
        <v>0</v>
      </c>
      <c r="EI68">
        <v>17326</v>
      </c>
      <c r="EJ68">
        <v>18475</v>
      </c>
      <c r="EK68">
        <v>19186</v>
      </c>
      <c r="EL68">
        <v>28714</v>
      </c>
      <c r="EM68">
        <v>15915</v>
      </c>
      <c r="EN68">
        <v>15283</v>
      </c>
      <c r="EO68">
        <v>20880</v>
      </c>
      <c r="EP68">
        <v>17947</v>
      </c>
      <c r="EQ68">
        <v>16698</v>
      </c>
      <c r="ER68">
        <v>17481</v>
      </c>
      <c r="ES68">
        <v>22567</v>
      </c>
      <c r="ET68">
        <v>21943</v>
      </c>
      <c r="EU68">
        <f t="shared" si="12"/>
        <v>232415</v>
      </c>
      <c r="EV68">
        <v>13599</v>
      </c>
      <c r="EW68">
        <v>12944</v>
      </c>
      <c r="EX68">
        <v>14598</v>
      </c>
      <c r="EY68">
        <v>24647</v>
      </c>
      <c r="EZ68">
        <v>12858</v>
      </c>
      <c r="FA68">
        <v>12045</v>
      </c>
      <c r="FB68">
        <v>16441</v>
      </c>
      <c r="FC68">
        <v>13184</v>
      </c>
      <c r="FD68">
        <v>12217</v>
      </c>
      <c r="FE68">
        <v>13103</v>
      </c>
      <c r="FF68">
        <v>17906</v>
      </c>
      <c r="FG68">
        <v>17105</v>
      </c>
      <c r="FH68">
        <f t="shared" si="13"/>
        <v>180647</v>
      </c>
      <c r="FI68">
        <v>0</v>
      </c>
      <c r="FJ68">
        <v>0</v>
      </c>
      <c r="FK68">
        <v>0</v>
      </c>
      <c r="FL68">
        <v>0</v>
      </c>
      <c r="FM68">
        <v>0</v>
      </c>
      <c r="FN68">
        <v>0</v>
      </c>
      <c r="FO68">
        <v>0</v>
      </c>
      <c r="FP68">
        <v>0</v>
      </c>
      <c r="FQ68">
        <v>0</v>
      </c>
      <c r="FR68">
        <v>0</v>
      </c>
      <c r="FS68">
        <v>0</v>
      </c>
      <c r="FT68">
        <v>0</v>
      </c>
      <c r="FU68">
        <f t="shared" si="14"/>
        <v>0</v>
      </c>
      <c r="FV68">
        <v>3727</v>
      </c>
      <c r="FW68">
        <v>5531</v>
      </c>
      <c r="FX68">
        <v>4588</v>
      </c>
      <c r="FY68">
        <v>4067</v>
      </c>
      <c r="FZ68">
        <v>3057</v>
      </c>
      <c r="GA68">
        <v>3238</v>
      </c>
      <c r="GB68">
        <v>4439</v>
      </c>
      <c r="GC68">
        <v>4763</v>
      </c>
      <c r="GD68">
        <v>4481</v>
      </c>
      <c r="GE68">
        <v>4378</v>
      </c>
      <c r="GF68">
        <v>4661</v>
      </c>
      <c r="GG68">
        <v>4838</v>
      </c>
      <c r="GH68">
        <f t="shared" si="15"/>
        <v>51768</v>
      </c>
      <c r="GI68">
        <v>0</v>
      </c>
      <c r="GJ68">
        <v>0</v>
      </c>
      <c r="GK68">
        <v>0</v>
      </c>
      <c r="GL68">
        <v>0</v>
      </c>
      <c r="GM68">
        <v>0</v>
      </c>
      <c r="GN68">
        <v>0</v>
      </c>
      <c r="GO68">
        <v>0</v>
      </c>
      <c r="GP68">
        <v>0</v>
      </c>
      <c r="GQ68">
        <v>0</v>
      </c>
      <c r="GR68">
        <v>0</v>
      </c>
      <c r="GS68">
        <v>0</v>
      </c>
      <c r="GT68">
        <v>0</v>
      </c>
      <c r="GU68">
        <f t="shared" si="16"/>
        <v>0</v>
      </c>
      <c r="GV68">
        <v>0</v>
      </c>
      <c r="GW68">
        <v>0</v>
      </c>
      <c r="GX68">
        <v>0</v>
      </c>
      <c r="GY68">
        <v>0</v>
      </c>
      <c r="GZ68">
        <v>0</v>
      </c>
      <c r="HA68">
        <v>0</v>
      </c>
      <c r="HB68">
        <v>0</v>
      </c>
      <c r="HC68">
        <v>0</v>
      </c>
      <c r="HD68">
        <v>0</v>
      </c>
      <c r="HE68">
        <v>0</v>
      </c>
      <c r="HF68">
        <v>0</v>
      </c>
      <c r="HG68">
        <v>0</v>
      </c>
      <c r="HH68">
        <f t="shared" si="17"/>
        <v>0</v>
      </c>
      <c r="HI68">
        <v>0</v>
      </c>
      <c r="HJ68">
        <v>0</v>
      </c>
      <c r="HK68">
        <v>0</v>
      </c>
      <c r="HL68">
        <v>0</v>
      </c>
      <c r="HM68">
        <v>0</v>
      </c>
      <c r="HN68">
        <v>0</v>
      </c>
      <c r="HO68">
        <v>0</v>
      </c>
      <c r="HP68">
        <v>0</v>
      </c>
      <c r="HQ68">
        <v>0</v>
      </c>
      <c r="HR68">
        <v>0</v>
      </c>
      <c r="HS68">
        <v>0</v>
      </c>
      <c r="HT68">
        <v>0</v>
      </c>
      <c r="HU68">
        <f t="shared" si="18"/>
        <v>0</v>
      </c>
      <c r="HV68">
        <v>0</v>
      </c>
      <c r="HW68">
        <v>0</v>
      </c>
      <c r="HX68">
        <v>0</v>
      </c>
      <c r="HY68">
        <v>0</v>
      </c>
      <c r="HZ68">
        <v>0</v>
      </c>
      <c r="IA68">
        <v>0</v>
      </c>
      <c r="IB68">
        <v>0</v>
      </c>
      <c r="IC68">
        <v>0</v>
      </c>
      <c r="ID68">
        <v>0</v>
      </c>
      <c r="IE68">
        <v>0</v>
      </c>
      <c r="IF68">
        <v>0</v>
      </c>
      <c r="IG68">
        <v>0</v>
      </c>
      <c r="IH68">
        <f t="shared" si="19"/>
        <v>0</v>
      </c>
      <c r="II68">
        <f t="shared" si="20"/>
        <v>232415</v>
      </c>
      <c r="IJ68">
        <f t="shared" si="21"/>
        <v>0</v>
      </c>
      <c r="IK68">
        <v>221465</v>
      </c>
      <c r="IL68">
        <v>224908</v>
      </c>
      <c r="IM68">
        <v>220828</v>
      </c>
      <c r="IN68">
        <v>248317</v>
      </c>
      <c r="IO68">
        <v>262846</v>
      </c>
      <c r="IP68">
        <v>244643</v>
      </c>
      <c r="IQ68">
        <v>243070</v>
      </c>
      <c r="IR68">
        <v>226434</v>
      </c>
      <c r="IS68">
        <v>185046</v>
      </c>
      <c r="IT68">
        <v>267498</v>
      </c>
      <c r="IU68">
        <v>224807</v>
      </c>
      <c r="IV68">
        <v>250160</v>
      </c>
      <c r="IW68">
        <f t="shared" si="22"/>
        <v>2820022</v>
      </c>
      <c r="IX68">
        <v>118168</v>
      </c>
      <c r="IY68">
        <v>118180</v>
      </c>
      <c r="IZ68">
        <v>114931</v>
      </c>
      <c r="JA68">
        <v>137822</v>
      </c>
      <c r="JB68">
        <v>149664</v>
      </c>
      <c r="JC68">
        <v>134171</v>
      </c>
      <c r="JD68">
        <v>133013</v>
      </c>
      <c r="JE68">
        <v>121899</v>
      </c>
      <c r="JF68">
        <v>96731</v>
      </c>
      <c r="JG68">
        <v>138520</v>
      </c>
      <c r="JH68">
        <v>120608</v>
      </c>
      <c r="JI68">
        <v>133556</v>
      </c>
      <c r="JJ68">
        <f t="shared" si="23"/>
        <v>1517263</v>
      </c>
      <c r="JK68">
        <v>0</v>
      </c>
      <c r="JL68">
        <v>0</v>
      </c>
      <c r="JM68">
        <v>0</v>
      </c>
      <c r="JN68">
        <v>0</v>
      </c>
      <c r="JO68">
        <v>0</v>
      </c>
      <c r="JP68">
        <v>0</v>
      </c>
      <c r="JQ68">
        <v>0</v>
      </c>
      <c r="JR68">
        <v>0</v>
      </c>
      <c r="JS68">
        <v>0</v>
      </c>
      <c r="JT68">
        <v>0</v>
      </c>
      <c r="JU68">
        <v>0</v>
      </c>
      <c r="JV68">
        <v>0</v>
      </c>
      <c r="JW68">
        <f t="shared" si="24"/>
        <v>0</v>
      </c>
      <c r="JX68">
        <v>103297</v>
      </c>
      <c r="JY68">
        <v>106728</v>
      </c>
      <c r="JZ68">
        <v>105897</v>
      </c>
      <c r="KA68">
        <v>110495</v>
      </c>
      <c r="KB68">
        <v>113182</v>
      </c>
      <c r="KC68">
        <v>110472</v>
      </c>
      <c r="KD68">
        <v>110057</v>
      </c>
      <c r="KE68">
        <v>104535</v>
      </c>
      <c r="KF68">
        <v>88315</v>
      </c>
      <c r="KG68">
        <v>128978</v>
      </c>
      <c r="KH68">
        <v>104199</v>
      </c>
      <c r="KI68">
        <v>116604</v>
      </c>
      <c r="KJ68">
        <f t="shared" si="25"/>
        <v>1302759</v>
      </c>
      <c r="KK68">
        <v>1027</v>
      </c>
      <c r="KL68">
        <v>936</v>
      </c>
      <c r="KM68">
        <v>881</v>
      </c>
      <c r="KN68">
        <v>959</v>
      </c>
      <c r="KO68">
        <v>916</v>
      </c>
      <c r="KP68">
        <v>938</v>
      </c>
      <c r="KQ68">
        <v>829</v>
      </c>
      <c r="KR68">
        <v>794</v>
      </c>
      <c r="KS68">
        <v>744</v>
      </c>
      <c r="KT68">
        <v>1064</v>
      </c>
      <c r="KU68">
        <v>826</v>
      </c>
      <c r="KV68">
        <v>945</v>
      </c>
      <c r="KW68">
        <f t="shared" si="26"/>
        <v>10859</v>
      </c>
      <c r="KX68">
        <v>0</v>
      </c>
      <c r="KY68">
        <v>0</v>
      </c>
      <c r="KZ68">
        <v>0</v>
      </c>
      <c r="LA68">
        <v>0</v>
      </c>
      <c r="LB68">
        <v>0</v>
      </c>
      <c r="LC68">
        <v>0</v>
      </c>
      <c r="LD68">
        <v>0</v>
      </c>
      <c r="LE68">
        <v>0</v>
      </c>
      <c r="LF68">
        <v>0</v>
      </c>
      <c r="LG68">
        <v>0</v>
      </c>
      <c r="LH68">
        <v>0</v>
      </c>
      <c r="LI68">
        <v>0</v>
      </c>
      <c r="LJ68">
        <f t="shared" si="27"/>
        <v>0</v>
      </c>
      <c r="LK68">
        <v>0</v>
      </c>
      <c r="LL68">
        <v>0</v>
      </c>
      <c r="LM68">
        <v>0</v>
      </c>
      <c r="LN68">
        <v>0</v>
      </c>
      <c r="LO68">
        <v>0</v>
      </c>
      <c r="LP68">
        <v>0</v>
      </c>
      <c r="LQ68">
        <v>0</v>
      </c>
      <c r="LR68">
        <v>0</v>
      </c>
      <c r="LS68">
        <v>0</v>
      </c>
      <c r="LT68">
        <v>0</v>
      </c>
      <c r="LU68">
        <v>0</v>
      </c>
      <c r="LV68">
        <v>0</v>
      </c>
      <c r="LW68">
        <f t="shared" si="28"/>
        <v>0</v>
      </c>
      <c r="LX68">
        <v>0</v>
      </c>
      <c r="LY68">
        <v>0</v>
      </c>
      <c r="LZ68">
        <v>0</v>
      </c>
      <c r="MA68">
        <v>0</v>
      </c>
      <c r="MB68">
        <v>0</v>
      </c>
      <c r="MC68">
        <v>0</v>
      </c>
      <c r="MD68">
        <v>0</v>
      </c>
      <c r="ME68">
        <v>0</v>
      </c>
      <c r="MF68">
        <v>0</v>
      </c>
      <c r="MG68">
        <v>0</v>
      </c>
      <c r="MH68">
        <v>0</v>
      </c>
      <c r="MI68">
        <v>0</v>
      </c>
      <c r="MJ68">
        <f t="shared" si="29"/>
        <v>0</v>
      </c>
      <c r="MK68">
        <v>16213</v>
      </c>
      <c r="ML68">
        <v>17353</v>
      </c>
      <c r="MM68">
        <v>16433</v>
      </c>
      <c r="MN68">
        <v>22611</v>
      </c>
      <c r="MO68">
        <v>18617</v>
      </c>
      <c r="MP68">
        <v>16165</v>
      </c>
      <c r="MQ68">
        <v>16780</v>
      </c>
      <c r="MR68">
        <v>16486</v>
      </c>
      <c r="MS68">
        <v>17085</v>
      </c>
      <c r="MT68">
        <v>17398</v>
      </c>
      <c r="MU68">
        <v>15763</v>
      </c>
      <c r="MV68">
        <v>17235</v>
      </c>
      <c r="MW68">
        <f t="shared" si="30"/>
        <v>208139</v>
      </c>
      <c r="MX68">
        <v>0</v>
      </c>
      <c r="MY68">
        <v>0</v>
      </c>
      <c r="MZ68">
        <v>0</v>
      </c>
      <c r="NA68">
        <v>0</v>
      </c>
      <c r="NB68">
        <v>0</v>
      </c>
      <c r="NC68">
        <v>0</v>
      </c>
      <c r="ND68">
        <v>0</v>
      </c>
      <c r="NE68">
        <v>0</v>
      </c>
      <c r="NF68">
        <v>0</v>
      </c>
      <c r="NG68">
        <v>0</v>
      </c>
      <c r="NH68">
        <v>0</v>
      </c>
      <c r="NI68">
        <v>0</v>
      </c>
      <c r="NJ68">
        <f t="shared" si="31"/>
        <v>0</v>
      </c>
      <c r="NK68">
        <v>0</v>
      </c>
      <c r="NL68">
        <v>0</v>
      </c>
      <c r="NM68">
        <v>0</v>
      </c>
      <c r="NN68">
        <v>0</v>
      </c>
      <c r="NO68">
        <v>0</v>
      </c>
      <c r="NP68">
        <v>0</v>
      </c>
      <c r="NQ68">
        <v>0</v>
      </c>
      <c r="NR68">
        <v>0</v>
      </c>
      <c r="NS68">
        <v>0</v>
      </c>
      <c r="NT68">
        <v>0</v>
      </c>
      <c r="NU68">
        <v>0</v>
      </c>
      <c r="NV68">
        <v>0</v>
      </c>
      <c r="NW68">
        <f t="shared" si="32"/>
        <v>0</v>
      </c>
      <c r="NX68">
        <v>0</v>
      </c>
      <c r="NY68">
        <v>0</v>
      </c>
      <c r="NZ68">
        <v>0</v>
      </c>
      <c r="OA68">
        <v>0</v>
      </c>
      <c r="OB68">
        <v>0</v>
      </c>
      <c r="OC68">
        <v>0</v>
      </c>
      <c r="OD68">
        <v>0</v>
      </c>
      <c r="OE68">
        <v>0</v>
      </c>
      <c r="OF68">
        <v>0</v>
      </c>
      <c r="OG68">
        <v>0</v>
      </c>
      <c r="OH68">
        <v>0</v>
      </c>
      <c r="OI68">
        <v>0</v>
      </c>
      <c r="OJ68">
        <f t="shared" si="33"/>
        <v>0</v>
      </c>
      <c r="OK68">
        <v>16418</v>
      </c>
      <c r="OL68">
        <v>17138</v>
      </c>
      <c r="OM68">
        <v>16152</v>
      </c>
      <c r="ON68">
        <v>17123</v>
      </c>
      <c r="OO68">
        <v>18220</v>
      </c>
      <c r="OP68">
        <v>16486</v>
      </c>
      <c r="OQ68">
        <v>17497</v>
      </c>
      <c r="OR68">
        <v>17040</v>
      </c>
      <c r="OS68">
        <v>16558</v>
      </c>
      <c r="OT68">
        <v>18154</v>
      </c>
      <c r="OU68">
        <v>16402</v>
      </c>
      <c r="OV68">
        <v>18365</v>
      </c>
      <c r="OW68">
        <f t="shared" si="34"/>
        <v>205553</v>
      </c>
      <c r="OX68">
        <v>0</v>
      </c>
      <c r="OY68">
        <v>0</v>
      </c>
      <c r="OZ68">
        <v>0</v>
      </c>
      <c r="PA68">
        <v>0</v>
      </c>
      <c r="PB68">
        <v>0</v>
      </c>
      <c r="PC68">
        <v>0</v>
      </c>
      <c r="PD68">
        <v>0</v>
      </c>
      <c r="PE68">
        <v>0</v>
      </c>
      <c r="PF68">
        <v>0</v>
      </c>
      <c r="PG68">
        <v>0</v>
      </c>
      <c r="PH68">
        <v>0</v>
      </c>
      <c r="PI68">
        <v>0</v>
      </c>
      <c r="PJ68">
        <f t="shared" si="35"/>
        <v>0</v>
      </c>
      <c r="PK68">
        <v>0</v>
      </c>
      <c r="PL68">
        <v>0</v>
      </c>
      <c r="PM68">
        <v>0</v>
      </c>
      <c r="PN68">
        <v>0</v>
      </c>
      <c r="PO68">
        <v>0</v>
      </c>
      <c r="PP68">
        <v>0</v>
      </c>
      <c r="PQ68">
        <v>0</v>
      </c>
      <c r="PR68">
        <v>0</v>
      </c>
      <c r="PS68">
        <v>0</v>
      </c>
      <c r="PT68">
        <v>0</v>
      </c>
      <c r="PU68">
        <v>0</v>
      </c>
      <c r="PV68">
        <v>0</v>
      </c>
      <c r="PW68">
        <f t="shared" si="36"/>
        <v>0</v>
      </c>
      <c r="PX68">
        <v>0</v>
      </c>
      <c r="PY68">
        <v>0</v>
      </c>
      <c r="PZ68">
        <v>0</v>
      </c>
      <c r="QA68">
        <v>0</v>
      </c>
      <c r="QB68">
        <v>0</v>
      </c>
      <c r="QC68">
        <v>0</v>
      </c>
      <c r="QD68">
        <v>0</v>
      </c>
      <c r="QE68">
        <v>0</v>
      </c>
      <c r="QF68">
        <v>0</v>
      </c>
      <c r="QG68">
        <v>0</v>
      </c>
      <c r="QH68">
        <v>0</v>
      </c>
      <c r="QI68">
        <v>0</v>
      </c>
      <c r="QJ68">
        <f t="shared" si="37"/>
        <v>0</v>
      </c>
      <c r="QK68">
        <v>164157</v>
      </c>
      <c r="QL68">
        <v>169035</v>
      </c>
      <c r="QM68">
        <v>157336</v>
      </c>
      <c r="QN68">
        <v>189868</v>
      </c>
      <c r="QO68">
        <v>170105</v>
      </c>
      <c r="QP68">
        <v>167681</v>
      </c>
      <c r="QQ68">
        <v>180669</v>
      </c>
      <c r="QR68">
        <v>164368</v>
      </c>
      <c r="QS68">
        <v>149231</v>
      </c>
      <c r="QT68">
        <v>181460</v>
      </c>
      <c r="QU68">
        <v>178268</v>
      </c>
      <c r="QV68">
        <v>184143</v>
      </c>
      <c r="QW68">
        <f t="shared" si="38"/>
        <v>2056321</v>
      </c>
      <c r="QX68">
        <v>0</v>
      </c>
      <c r="QY68">
        <v>0</v>
      </c>
      <c r="QZ68">
        <v>0</v>
      </c>
      <c r="RA68">
        <v>0</v>
      </c>
      <c r="RB68">
        <v>0</v>
      </c>
      <c r="RC68">
        <v>0</v>
      </c>
      <c r="RD68">
        <v>0</v>
      </c>
      <c r="RE68">
        <v>0</v>
      </c>
      <c r="RF68">
        <v>0</v>
      </c>
      <c r="RG68">
        <v>0</v>
      </c>
      <c r="RH68">
        <v>0</v>
      </c>
      <c r="RI68">
        <v>0</v>
      </c>
      <c r="RJ68">
        <f t="shared" si="39"/>
        <v>0</v>
      </c>
      <c r="RK68">
        <v>0</v>
      </c>
      <c r="RL68">
        <v>0</v>
      </c>
      <c r="RM68">
        <v>0</v>
      </c>
      <c r="RN68">
        <v>0</v>
      </c>
      <c r="RO68">
        <v>0</v>
      </c>
      <c r="RP68">
        <v>0</v>
      </c>
      <c r="RQ68">
        <v>0</v>
      </c>
      <c r="RR68">
        <v>0</v>
      </c>
      <c r="RS68">
        <v>0</v>
      </c>
      <c r="RT68">
        <v>0</v>
      </c>
      <c r="RU68">
        <v>0</v>
      </c>
      <c r="RV68">
        <v>0</v>
      </c>
      <c r="RW68">
        <f t="shared" si="40"/>
        <v>0</v>
      </c>
      <c r="RX68">
        <v>0</v>
      </c>
      <c r="RY68">
        <v>0</v>
      </c>
      <c r="RZ68">
        <v>0</v>
      </c>
      <c r="SA68">
        <v>0</v>
      </c>
      <c r="SB68">
        <v>0</v>
      </c>
      <c r="SC68">
        <v>0</v>
      </c>
      <c r="SD68">
        <v>0</v>
      </c>
      <c r="SE68">
        <v>0</v>
      </c>
      <c r="SF68">
        <v>0</v>
      </c>
      <c r="SG68">
        <v>0</v>
      </c>
      <c r="SH68">
        <v>0</v>
      </c>
      <c r="SI68">
        <v>0</v>
      </c>
      <c r="SJ68">
        <f t="shared" si="41"/>
        <v>0</v>
      </c>
      <c r="SK68" s="2">
        <v>1242</v>
      </c>
      <c r="SL68" s="2">
        <v>1242</v>
      </c>
      <c r="SM68" s="2">
        <v>1242</v>
      </c>
      <c r="SN68" s="2">
        <v>1242</v>
      </c>
      <c r="SO68" s="2">
        <v>1242</v>
      </c>
      <c r="SP68" s="2">
        <v>1242</v>
      </c>
      <c r="SQ68" s="2">
        <v>1242</v>
      </c>
      <c r="SR68" s="2">
        <v>1242</v>
      </c>
      <c r="SS68" s="2">
        <v>1242</v>
      </c>
      <c r="ST68" s="2">
        <v>1242</v>
      </c>
      <c r="SU68" s="2">
        <v>1242</v>
      </c>
      <c r="SV68" s="2">
        <v>1242</v>
      </c>
      <c r="SW68" s="2">
        <f t="shared" si="42"/>
        <v>14904</v>
      </c>
      <c r="SX68" s="1" t="s">
        <v>1443</v>
      </c>
      <c r="SY68">
        <v>4574</v>
      </c>
      <c r="SZ68">
        <v>4449</v>
      </c>
      <c r="TA68">
        <v>7031</v>
      </c>
      <c r="TB68">
        <v>7328</v>
      </c>
      <c r="TC68">
        <v>7386</v>
      </c>
      <c r="TD68">
        <v>7134</v>
      </c>
      <c r="TE68">
        <v>7120</v>
      </c>
      <c r="TF68">
        <v>7075</v>
      </c>
      <c r="TG68">
        <v>6005</v>
      </c>
      <c r="TH68">
        <v>7897</v>
      </c>
      <c r="TI68">
        <v>7811</v>
      </c>
      <c r="TJ68">
        <v>7217</v>
      </c>
      <c r="TK68">
        <f>ROUND(SUM(SY68:TJ68),0)</f>
        <v>81027</v>
      </c>
      <c r="TL68">
        <v>20465</v>
      </c>
      <c r="TM68">
        <v>20853</v>
      </c>
      <c r="TN68">
        <v>20230</v>
      </c>
      <c r="TO68">
        <v>19198</v>
      </c>
      <c r="TP68">
        <v>17560</v>
      </c>
      <c r="TQ68">
        <v>18817</v>
      </c>
      <c r="TR68">
        <v>21078</v>
      </c>
      <c r="TS68">
        <v>20844</v>
      </c>
      <c r="TT68">
        <v>20311</v>
      </c>
      <c r="TU68">
        <v>20649</v>
      </c>
      <c r="TV68">
        <v>21753</v>
      </c>
      <c r="TW68">
        <v>23141</v>
      </c>
      <c r="TX68">
        <f t="shared" si="44"/>
        <v>244899</v>
      </c>
      <c r="TY68">
        <v>255</v>
      </c>
      <c r="TZ68">
        <v>0</v>
      </c>
      <c r="UA68">
        <v>0</v>
      </c>
      <c r="UB68">
        <v>1483</v>
      </c>
    </row>
    <row r="69" spans="1:548" ht="16.5" customHeight="1" x14ac:dyDescent="0.35">
      <c r="A69" t="s">
        <v>1375</v>
      </c>
      <c r="B69" t="s">
        <v>2862</v>
      </c>
      <c r="C69">
        <v>8161</v>
      </c>
      <c r="D69">
        <v>1549</v>
      </c>
      <c r="E69">
        <v>458</v>
      </c>
      <c r="F69">
        <v>6154</v>
      </c>
      <c r="G69">
        <v>92</v>
      </c>
      <c r="H69">
        <v>77</v>
      </c>
      <c r="I69">
        <v>62</v>
      </c>
      <c r="J69">
        <v>60</v>
      </c>
      <c r="K69">
        <v>70</v>
      </c>
      <c r="L69">
        <v>86</v>
      </c>
      <c r="M69">
        <v>89</v>
      </c>
      <c r="N69">
        <v>87</v>
      </c>
      <c r="O69">
        <v>67</v>
      </c>
      <c r="P69">
        <v>84</v>
      </c>
      <c r="Q69">
        <v>96</v>
      </c>
      <c r="R69">
        <v>100</v>
      </c>
      <c r="S69">
        <f t="shared" ref="S69:S111" si="45">SUM(G69:R69)</f>
        <v>970</v>
      </c>
      <c r="T69">
        <v>63</v>
      </c>
      <c r="U69">
        <v>56</v>
      </c>
      <c r="V69">
        <v>42</v>
      </c>
      <c r="W69">
        <v>43</v>
      </c>
      <c r="X69">
        <v>53</v>
      </c>
      <c r="Y69">
        <v>64</v>
      </c>
      <c r="Z69">
        <v>59</v>
      </c>
      <c r="AA69">
        <v>60</v>
      </c>
      <c r="AB69">
        <v>51</v>
      </c>
      <c r="AC69">
        <v>60</v>
      </c>
      <c r="AD69">
        <v>67</v>
      </c>
      <c r="AE69">
        <v>69</v>
      </c>
      <c r="AF69">
        <f t="shared" ref="AF69:AF111" si="46">SUM(T69:AE69)</f>
        <v>687</v>
      </c>
      <c r="AG69">
        <v>0</v>
      </c>
      <c r="AH69">
        <v>0</v>
      </c>
      <c r="AI69">
        <v>0</v>
      </c>
      <c r="AJ69">
        <v>0</v>
      </c>
      <c r="AK69">
        <v>0</v>
      </c>
      <c r="AL69">
        <v>0</v>
      </c>
      <c r="AM69">
        <v>0</v>
      </c>
      <c r="AN69">
        <v>0</v>
      </c>
      <c r="AO69">
        <v>0</v>
      </c>
      <c r="AP69">
        <v>0</v>
      </c>
      <c r="AQ69">
        <v>0</v>
      </c>
      <c r="AR69">
        <v>0</v>
      </c>
      <c r="AS69">
        <f t="shared" ref="AS69:AS111" si="47">SUM(AG69:AR69)</f>
        <v>0</v>
      </c>
      <c r="AT69">
        <v>27</v>
      </c>
      <c r="AU69">
        <v>19</v>
      </c>
      <c r="AV69">
        <v>19</v>
      </c>
      <c r="AW69">
        <v>17</v>
      </c>
      <c r="AX69">
        <v>17</v>
      </c>
      <c r="AY69">
        <v>21</v>
      </c>
      <c r="AZ69">
        <v>26</v>
      </c>
      <c r="BA69">
        <v>23</v>
      </c>
      <c r="BB69">
        <v>13</v>
      </c>
      <c r="BC69">
        <v>21</v>
      </c>
      <c r="BD69">
        <v>27</v>
      </c>
      <c r="BE69">
        <v>29</v>
      </c>
      <c r="BF69">
        <f t="shared" ref="BF69:BF111" si="48">SUM(AT69:BE69)</f>
        <v>259</v>
      </c>
      <c r="BG69">
        <v>2</v>
      </c>
      <c r="BH69">
        <v>2</v>
      </c>
      <c r="BI69">
        <v>1</v>
      </c>
      <c r="BJ69">
        <v>0</v>
      </c>
      <c r="BK69">
        <v>0</v>
      </c>
      <c r="BL69">
        <v>1</v>
      </c>
      <c r="BM69">
        <v>4</v>
      </c>
      <c r="BN69">
        <v>4</v>
      </c>
      <c r="BO69">
        <v>3</v>
      </c>
      <c r="BP69">
        <v>3</v>
      </c>
      <c r="BQ69">
        <v>2</v>
      </c>
      <c r="BR69">
        <v>2</v>
      </c>
      <c r="BS69">
        <f t="shared" ref="BS69:BS111" si="49">SUM(BG69:BR69)</f>
        <v>24</v>
      </c>
      <c r="BT69">
        <v>0</v>
      </c>
      <c r="BU69">
        <v>0</v>
      </c>
      <c r="BV69">
        <v>0</v>
      </c>
      <c r="BW69">
        <v>0</v>
      </c>
      <c r="BX69">
        <v>0</v>
      </c>
      <c r="BY69">
        <v>0</v>
      </c>
      <c r="BZ69">
        <v>0</v>
      </c>
      <c r="CA69">
        <v>0</v>
      </c>
      <c r="CB69">
        <v>0</v>
      </c>
      <c r="CC69">
        <v>0</v>
      </c>
      <c r="CD69">
        <v>0</v>
      </c>
      <c r="CE69">
        <v>0</v>
      </c>
      <c r="CF69">
        <f t="shared" ref="CF69:CF111" si="50">SUM(BT69:CE69)</f>
        <v>0</v>
      </c>
      <c r="CG69">
        <v>0</v>
      </c>
      <c r="CH69">
        <v>0</v>
      </c>
      <c r="CI69">
        <v>0</v>
      </c>
      <c r="CJ69">
        <v>0</v>
      </c>
      <c r="CK69">
        <v>0</v>
      </c>
      <c r="CL69">
        <v>0</v>
      </c>
      <c r="CM69">
        <v>0</v>
      </c>
      <c r="CN69">
        <v>0</v>
      </c>
      <c r="CO69">
        <v>0</v>
      </c>
      <c r="CP69">
        <v>0</v>
      </c>
      <c r="CQ69">
        <v>0</v>
      </c>
      <c r="CR69">
        <v>0</v>
      </c>
      <c r="CS69">
        <f t="shared" ref="CS69:CS111" si="51">SUM(CG69:CR69)</f>
        <v>0</v>
      </c>
      <c r="CT69">
        <v>0</v>
      </c>
      <c r="CU69">
        <v>0</v>
      </c>
      <c r="CV69">
        <v>0</v>
      </c>
      <c r="CW69">
        <v>0</v>
      </c>
      <c r="CX69">
        <v>0</v>
      </c>
      <c r="CY69">
        <v>0</v>
      </c>
      <c r="CZ69">
        <v>0</v>
      </c>
      <c r="DA69">
        <v>0</v>
      </c>
      <c r="DB69">
        <v>0</v>
      </c>
      <c r="DC69">
        <v>0</v>
      </c>
      <c r="DD69">
        <v>0</v>
      </c>
      <c r="DE69">
        <v>0</v>
      </c>
      <c r="DF69">
        <f t="shared" ref="DF69:DF111" si="52">SUM(CT69:DE69)</f>
        <v>0</v>
      </c>
      <c r="DG69">
        <v>0</v>
      </c>
      <c r="DH69">
        <v>0</v>
      </c>
      <c r="DI69">
        <v>0</v>
      </c>
      <c r="DJ69">
        <v>0</v>
      </c>
      <c r="DK69">
        <v>0</v>
      </c>
      <c r="DL69">
        <v>0</v>
      </c>
      <c r="DM69">
        <v>0</v>
      </c>
      <c r="DN69">
        <v>0</v>
      </c>
      <c r="DO69">
        <v>0</v>
      </c>
      <c r="DP69">
        <v>0</v>
      </c>
      <c r="DQ69">
        <v>0</v>
      </c>
      <c r="DR69">
        <v>0</v>
      </c>
      <c r="DS69">
        <f t="shared" ref="DS69:DS111" si="53">SUM(DG69:DR69)</f>
        <v>0</v>
      </c>
      <c r="DT69">
        <v>0</v>
      </c>
      <c r="DU69">
        <v>0</v>
      </c>
      <c r="DV69">
        <v>0</v>
      </c>
      <c r="DW69">
        <v>0</v>
      </c>
      <c r="DX69">
        <v>0</v>
      </c>
      <c r="DY69">
        <v>0</v>
      </c>
      <c r="DZ69">
        <v>0</v>
      </c>
      <c r="EA69">
        <v>0</v>
      </c>
      <c r="EB69">
        <v>0</v>
      </c>
      <c r="EC69">
        <v>0</v>
      </c>
      <c r="ED69">
        <v>0</v>
      </c>
      <c r="EE69">
        <v>0</v>
      </c>
      <c r="EF69">
        <f t="shared" ref="EF69:EF111" si="54">SUM(DT69:EE69)</f>
        <v>0</v>
      </c>
      <c r="EG69">
        <f t="shared" ref="EG69:EG111" si="55">SUM(AF69,AS69,BF69,BS69)</f>
        <v>970</v>
      </c>
      <c r="EH69">
        <f t="shared" ref="EH69:EH111" si="56">SUM(CS69,DF69,DS69,EF69)</f>
        <v>0</v>
      </c>
      <c r="EI69">
        <v>938</v>
      </c>
      <c r="EJ69">
        <v>977</v>
      </c>
      <c r="EK69">
        <v>829</v>
      </c>
      <c r="EL69">
        <v>713</v>
      </c>
      <c r="EM69">
        <v>820</v>
      </c>
      <c r="EN69">
        <v>1113</v>
      </c>
      <c r="EO69">
        <v>1082</v>
      </c>
      <c r="EP69">
        <v>1053</v>
      </c>
      <c r="EQ69">
        <v>714</v>
      </c>
      <c r="ER69">
        <v>967</v>
      </c>
      <c r="ES69">
        <v>1283</v>
      </c>
      <c r="ET69">
        <v>1321</v>
      </c>
      <c r="EU69">
        <f t="shared" ref="EU69:EU111" si="57">SUM(EI69:ET69)</f>
        <v>11810</v>
      </c>
      <c r="EV69">
        <v>434</v>
      </c>
      <c r="EW69">
        <v>460</v>
      </c>
      <c r="EX69">
        <v>436</v>
      </c>
      <c r="EY69">
        <v>344</v>
      </c>
      <c r="EZ69">
        <v>378</v>
      </c>
      <c r="FA69">
        <v>588</v>
      </c>
      <c r="FB69">
        <v>474</v>
      </c>
      <c r="FC69">
        <v>470</v>
      </c>
      <c r="FD69">
        <v>312</v>
      </c>
      <c r="FE69">
        <v>458</v>
      </c>
      <c r="FF69">
        <v>598</v>
      </c>
      <c r="FG69">
        <v>600</v>
      </c>
      <c r="FH69">
        <f t="shared" ref="FH69:FH111" si="58">SUM(EV69:FG69)</f>
        <v>5552</v>
      </c>
      <c r="FI69">
        <v>0</v>
      </c>
      <c r="FJ69">
        <v>0</v>
      </c>
      <c r="FK69">
        <v>0</v>
      </c>
      <c r="FL69">
        <v>0</v>
      </c>
      <c r="FM69">
        <v>0</v>
      </c>
      <c r="FN69">
        <v>0</v>
      </c>
      <c r="FO69">
        <v>0</v>
      </c>
      <c r="FP69">
        <v>0</v>
      </c>
      <c r="FQ69">
        <v>0</v>
      </c>
      <c r="FR69">
        <v>0</v>
      </c>
      <c r="FS69">
        <v>0</v>
      </c>
      <c r="FT69">
        <v>0</v>
      </c>
      <c r="FU69">
        <f t="shared" ref="FU69:FU111" si="59">SUM(FI69:FT69)</f>
        <v>0</v>
      </c>
      <c r="FV69">
        <v>504</v>
      </c>
      <c r="FW69">
        <v>517</v>
      </c>
      <c r="FX69">
        <v>393</v>
      </c>
      <c r="FY69">
        <v>369</v>
      </c>
      <c r="FZ69">
        <v>442</v>
      </c>
      <c r="GA69">
        <v>525</v>
      </c>
      <c r="GB69">
        <v>608</v>
      </c>
      <c r="GC69">
        <v>583</v>
      </c>
      <c r="GD69">
        <v>402</v>
      </c>
      <c r="GE69">
        <v>509</v>
      </c>
      <c r="GF69">
        <v>685</v>
      </c>
      <c r="GG69">
        <v>721</v>
      </c>
      <c r="GH69">
        <f t="shared" ref="GH69:GH111" si="60">SUM(FV69:GG69)</f>
        <v>6258</v>
      </c>
      <c r="GI69">
        <v>0</v>
      </c>
      <c r="GJ69">
        <v>0</v>
      </c>
      <c r="GK69">
        <v>0</v>
      </c>
      <c r="GL69">
        <v>0</v>
      </c>
      <c r="GM69">
        <v>0</v>
      </c>
      <c r="GN69">
        <v>0</v>
      </c>
      <c r="GO69">
        <v>0</v>
      </c>
      <c r="GP69">
        <v>0</v>
      </c>
      <c r="GQ69">
        <v>0</v>
      </c>
      <c r="GR69">
        <v>0</v>
      </c>
      <c r="GS69">
        <v>0</v>
      </c>
      <c r="GT69">
        <v>0</v>
      </c>
      <c r="GU69">
        <f t="shared" ref="GU69:GU111" si="61">SUM(GI69:GT69)</f>
        <v>0</v>
      </c>
      <c r="GV69">
        <v>0</v>
      </c>
      <c r="GW69">
        <v>0</v>
      </c>
      <c r="GX69">
        <v>0</v>
      </c>
      <c r="GY69">
        <v>0</v>
      </c>
      <c r="GZ69">
        <v>0</v>
      </c>
      <c r="HA69">
        <v>0</v>
      </c>
      <c r="HB69">
        <v>0</v>
      </c>
      <c r="HC69">
        <v>0</v>
      </c>
      <c r="HD69">
        <v>0</v>
      </c>
      <c r="HE69">
        <v>0</v>
      </c>
      <c r="HF69">
        <v>0</v>
      </c>
      <c r="HG69">
        <v>0</v>
      </c>
      <c r="HH69">
        <f t="shared" ref="HH69:HH111" si="62">SUM(GV69:HG69)</f>
        <v>0</v>
      </c>
      <c r="HI69">
        <v>0</v>
      </c>
      <c r="HJ69">
        <v>0</v>
      </c>
      <c r="HK69">
        <v>0</v>
      </c>
      <c r="HL69">
        <v>0</v>
      </c>
      <c r="HM69">
        <v>0</v>
      </c>
      <c r="HN69">
        <v>0</v>
      </c>
      <c r="HO69">
        <v>0</v>
      </c>
      <c r="HP69">
        <v>0</v>
      </c>
      <c r="HQ69">
        <v>0</v>
      </c>
      <c r="HR69">
        <v>0</v>
      </c>
      <c r="HS69">
        <v>0</v>
      </c>
      <c r="HT69">
        <v>0</v>
      </c>
      <c r="HU69">
        <f t="shared" ref="HU69:HU111" si="63">SUM(HI69:HT69)</f>
        <v>0</v>
      </c>
      <c r="HV69">
        <v>0</v>
      </c>
      <c r="HW69">
        <v>0</v>
      </c>
      <c r="HX69">
        <v>0</v>
      </c>
      <c r="HY69">
        <v>0</v>
      </c>
      <c r="HZ69">
        <v>0</v>
      </c>
      <c r="IA69">
        <v>0</v>
      </c>
      <c r="IB69">
        <v>0</v>
      </c>
      <c r="IC69">
        <v>0</v>
      </c>
      <c r="ID69">
        <v>0</v>
      </c>
      <c r="IE69">
        <v>0</v>
      </c>
      <c r="IF69">
        <v>0</v>
      </c>
      <c r="IG69">
        <v>0</v>
      </c>
      <c r="IH69">
        <f t="shared" ref="IH69:IH111" si="64">SUM(HV69:IG69)</f>
        <v>0</v>
      </c>
      <c r="II69">
        <f t="shared" ref="II69:II111" si="65">SUM(FH69,FU69,GH69)</f>
        <v>11810</v>
      </c>
      <c r="IJ69">
        <f t="shared" ref="IJ69:IJ111" si="66">SUM(HH69,HU69,IH69)</f>
        <v>0</v>
      </c>
      <c r="IK69">
        <v>18501</v>
      </c>
      <c r="IL69">
        <v>17451</v>
      </c>
      <c r="IM69">
        <v>16244</v>
      </c>
      <c r="IN69">
        <v>20806</v>
      </c>
      <c r="IO69">
        <v>23009</v>
      </c>
      <c r="IP69">
        <v>20472</v>
      </c>
      <c r="IQ69">
        <v>18916</v>
      </c>
      <c r="IR69">
        <v>16807</v>
      </c>
      <c r="IS69">
        <v>13955</v>
      </c>
      <c r="IT69">
        <v>16386</v>
      </c>
      <c r="IU69">
        <v>15584</v>
      </c>
      <c r="IV69">
        <v>18269</v>
      </c>
      <c r="IW69">
        <f t="shared" ref="IW69:IW111" si="67">SUM(IK69:IV69)</f>
        <v>216400</v>
      </c>
      <c r="IX69">
        <v>0</v>
      </c>
      <c r="IY69">
        <v>0</v>
      </c>
      <c r="IZ69">
        <v>0</v>
      </c>
      <c r="JA69">
        <v>0</v>
      </c>
      <c r="JB69">
        <v>0</v>
      </c>
      <c r="JC69">
        <v>0</v>
      </c>
      <c r="JD69">
        <v>0</v>
      </c>
      <c r="JE69">
        <v>0</v>
      </c>
      <c r="JF69">
        <v>0</v>
      </c>
      <c r="JG69">
        <v>0</v>
      </c>
      <c r="JH69">
        <v>0</v>
      </c>
      <c r="JI69">
        <v>0</v>
      </c>
      <c r="JJ69">
        <f t="shared" ref="JJ69:JJ111" si="68">SUM(IX69:JI69)</f>
        <v>0</v>
      </c>
      <c r="JK69">
        <v>0</v>
      </c>
      <c r="JL69">
        <v>0</v>
      </c>
      <c r="JM69">
        <v>0</v>
      </c>
      <c r="JN69">
        <v>0</v>
      </c>
      <c r="JO69">
        <v>0</v>
      </c>
      <c r="JP69">
        <v>0</v>
      </c>
      <c r="JQ69">
        <v>0</v>
      </c>
      <c r="JR69">
        <v>0</v>
      </c>
      <c r="JS69">
        <v>0</v>
      </c>
      <c r="JT69">
        <v>0</v>
      </c>
      <c r="JU69">
        <v>0</v>
      </c>
      <c r="JV69">
        <v>0</v>
      </c>
      <c r="JW69">
        <f t="shared" ref="JW69:JW111" si="69">SUM(JK69:JV69)</f>
        <v>0</v>
      </c>
      <c r="JX69">
        <v>0</v>
      </c>
      <c r="JY69">
        <v>0</v>
      </c>
      <c r="JZ69">
        <v>0</v>
      </c>
      <c r="KA69">
        <v>0</v>
      </c>
      <c r="KB69">
        <v>0</v>
      </c>
      <c r="KC69">
        <v>0</v>
      </c>
      <c r="KD69">
        <v>0</v>
      </c>
      <c r="KE69">
        <v>0</v>
      </c>
      <c r="KF69">
        <v>0</v>
      </c>
      <c r="KG69">
        <v>0</v>
      </c>
      <c r="KH69">
        <v>0</v>
      </c>
      <c r="KI69">
        <v>0</v>
      </c>
      <c r="KJ69">
        <f t="shared" ref="KJ69:KJ111" si="70">SUM(JX69:KI69)</f>
        <v>0</v>
      </c>
      <c r="KK69">
        <v>5130</v>
      </c>
      <c r="KL69">
        <v>5444</v>
      </c>
      <c r="KM69">
        <v>4796</v>
      </c>
      <c r="KN69">
        <v>5003</v>
      </c>
      <c r="KO69">
        <v>4915</v>
      </c>
      <c r="KP69">
        <v>5011</v>
      </c>
      <c r="KQ69">
        <v>5989</v>
      </c>
      <c r="KR69">
        <v>5945</v>
      </c>
      <c r="KS69">
        <v>6057</v>
      </c>
      <c r="KT69">
        <v>6964</v>
      </c>
      <c r="KU69">
        <v>6537</v>
      </c>
      <c r="KV69">
        <v>7284</v>
      </c>
      <c r="KW69">
        <f t="shared" ref="KW69:KW111" si="71">SUM(KK69:KV69)</f>
        <v>69075</v>
      </c>
      <c r="KX69">
        <v>0</v>
      </c>
      <c r="KY69">
        <v>0</v>
      </c>
      <c r="KZ69">
        <v>0</v>
      </c>
      <c r="LA69">
        <v>0</v>
      </c>
      <c r="LB69">
        <v>0</v>
      </c>
      <c r="LC69">
        <v>0</v>
      </c>
      <c r="LD69">
        <v>0</v>
      </c>
      <c r="LE69">
        <v>0</v>
      </c>
      <c r="LF69">
        <v>0</v>
      </c>
      <c r="LG69">
        <v>0</v>
      </c>
      <c r="LH69">
        <v>0</v>
      </c>
      <c r="LI69">
        <v>0</v>
      </c>
      <c r="LJ69">
        <f t="shared" ref="LJ69:LJ111" si="72">SUM(KX69:LI69)</f>
        <v>0</v>
      </c>
      <c r="LK69">
        <v>0</v>
      </c>
      <c r="LL69">
        <v>0</v>
      </c>
      <c r="LM69">
        <v>0</v>
      </c>
      <c r="LN69">
        <v>0</v>
      </c>
      <c r="LO69">
        <v>0</v>
      </c>
      <c r="LP69">
        <v>0</v>
      </c>
      <c r="LQ69">
        <v>0</v>
      </c>
      <c r="LR69">
        <v>0</v>
      </c>
      <c r="LS69">
        <v>0</v>
      </c>
      <c r="LT69">
        <v>0</v>
      </c>
      <c r="LU69">
        <v>0</v>
      </c>
      <c r="LV69">
        <v>0</v>
      </c>
      <c r="LW69">
        <f t="shared" ref="LW69:LW111" si="73">SUM(LK69:LV69)</f>
        <v>0</v>
      </c>
      <c r="LX69">
        <v>0</v>
      </c>
      <c r="LY69">
        <v>0</v>
      </c>
      <c r="LZ69">
        <v>0</v>
      </c>
      <c r="MA69">
        <v>0</v>
      </c>
      <c r="MB69">
        <v>0</v>
      </c>
      <c r="MC69">
        <v>0</v>
      </c>
      <c r="MD69">
        <v>0</v>
      </c>
      <c r="ME69">
        <v>0</v>
      </c>
      <c r="MF69">
        <v>0</v>
      </c>
      <c r="MG69">
        <v>0</v>
      </c>
      <c r="MH69">
        <v>0</v>
      </c>
      <c r="MI69">
        <v>0</v>
      </c>
      <c r="MJ69">
        <f t="shared" ref="MJ69:MJ111" si="74">SUM(LX69:MI69)</f>
        <v>0</v>
      </c>
      <c r="MK69">
        <v>1182</v>
      </c>
      <c r="ML69">
        <v>1318</v>
      </c>
      <c r="MM69">
        <v>1143</v>
      </c>
      <c r="MN69">
        <v>1120</v>
      </c>
      <c r="MO69">
        <v>1140</v>
      </c>
      <c r="MP69">
        <v>1092</v>
      </c>
      <c r="MQ69">
        <v>1123</v>
      </c>
      <c r="MR69">
        <v>1034</v>
      </c>
      <c r="MS69">
        <v>1064</v>
      </c>
      <c r="MT69">
        <v>1228</v>
      </c>
      <c r="MU69">
        <v>1081</v>
      </c>
      <c r="MV69">
        <v>1121</v>
      </c>
      <c r="MW69">
        <f t="shared" ref="MW69:MW111" si="75">SUM(MK69:MV69)</f>
        <v>13646</v>
      </c>
      <c r="MX69">
        <v>149</v>
      </c>
      <c r="MY69">
        <v>151</v>
      </c>
      <c r="MZ69">
        <v>117</v>
      </c>
      <c r="NA69">
        <v>113</v>
      </c>
      <c r="NB69">
        <v>99</v>
      </c>
      <c r="NC69">
        <v>76</v>
      </c>
      <c r="ND69">
        <v>122</v>
      </c>
      <c r="NE69">
        <v>84</v>
      </c>
      <c r="NF69">
        <v>79</v>
      </c>
      <c r="NG69">
        <v>95</v>
      </c>
      <c r="NH69">
        <v>78</v>
      </c>
      <c r="NI69">
        <v>90</v>
      </c>
      <c r="NJ69">
        <f t="shared" ref="NJ69:NJ111" si="76">SUM(MX69:NI69)</f>
        <v>1253</v>
      </c>
      <c r="NK69">
        <v>26</v>
      </c>
      <c r="NL69">
        <v>36</v>
      </c>
      <c r="NM69">
        <v>31</v>
      </c>
      <c r="NN69">
        <v>30</v>
      </c>
      <c r="NO69">
        <v>38</v>
      </c>
      <c r="NP69">
        <v>33</v>
      </c>
      <c r="NQ69">
        <v>28</v>
      </c>
      <c r="NR69">
        <v>19</v>
      </c>
      <c r="NS69">
        <v>26</v>
      </c>
      <c r="NT69">
        <v>31</v>
      </c>
      <c r="NU69">
        <v>32</v>
      </c>
      <c r="NV69">
        <v>21</v>
      </c>
      <c r="NW69">
        <f t="shared" ref="NW69:NW111" si="77">SUM(NK69:NV69)</f>
        <v>351</v>
      </c>
      <c r="NX69">
        <v>1007</v>
      </c>
      <c r="NY69">
        <v>1131</v>
      </c>
      <c r="NZ69">
        <v>995</v>
      </c>
      <c r="OA69">
        <v>977</v>
      </c>
      <c r="OB69">
        <v>1003</v>
      </c>
      <c r="OC69">
        <v>983</v>
      </c>
      <c r="OD69">
        <v>973</v>
      </c>
      <c r="OE69">
        <v>931</v>
      </c>
      <c r="OF69">
        <v>959</v>
      </c>
      <c r="OG69">
        <v>1102</v>
      </c>
      <c r="OH69">
        <v>971</v>
      </c>
      <c r="OI69">
        <v>1010</v>
      </c>
      <c r="OJ69">
        <f t="shared" ref="OJ69:OJ111" si="78">SUM(NX69:OI69)</f>
        <v>12042</v>
      </c>
      <c r="OK69">
        <v>1803</v>
      </c>
      <c r="OL69">
        <v>1970</v>
      </c>
      <c r="OM69">
        <v>1751</v>
      </c>
      <c r="ON69">
        <v>1595</v>
      </c>
      <c r="OO69">
        <v>1679</v>
      </c>
      <c r="OP69">
        <v>1668</v>
      </c>
      <c r="OQ69">
        <v>1666</v>
      </c>
      <c r="OR69">
        <v>1660</v>
      </c>
      <c r="OS69">
        <v>1585</v>
      </c>
      <c r="OT69">
        <v>1852</v>
      </c>
      <c r="OU69">
        <v>1728</v>
      </c>
      <c r="OV69">
        <v>1860</v>
      </c>
      <c r="OW69">
        <f t="shared" ref="OW69:OW111" si="79">SUM(OK69:OV69)</f>
        <v>20817</v>
      </c>
      <c r="OX69">
        <v>212</v>
      </c>
      <c r="OY69">
        <v>270</v>
      </c>
      <c r="OZ69">
        <v>211</v>
      </c>
      <c r="PA69">
        <v>171</v>
      </c>
      <c r="PB69">
        <v>202</v>
      </c>
      <c r="PC69">
        <v>199</v>
      </c>
      <c r="PD69">
        <v>232</v>
      </c>
      <c r="PE69">
        <v>268</v>
      </c>
      <c r="PF69">
        <v>205</v>
      </c>
      <c r="PG69">
        <v>272</v>
      </c>
      <c r="PH69">
        <v>187</v>
      </c>
      <c r="PI69">
        <v>201</v>
      </c>
      <c r="PJ69">
        <f t="shared" ref="PJ69:PJ111" si="80">SUM(OX69:PI69)</f>
        <v>2630</v>
      </c>
      <c r="PK69">
        <v>91</v>
      </c>
      <c r="PL69">
        <v>89</v>
      </c>
      <c r="PM69">
        <v>50</v>
      </c>
      <c r="PN69">
        <v>55</v>
      </c>
      <c r="PO69">
        <v>27</v>
      </c>
      <c r="PP69">
        <v>44</v>
      </c>
      <c r="PQ69">
        <v>50</v>
      </c>
      <c r="PR69">
        <v>49</v>
      </c>
      <c r="PS69">
        <v>47</v>
      </c>
      <c r="PT69">
        <v>57</v>
      </c>
      <c r="PU69">
        <v>49</v>
      </c>
      <c r="PV69">
        <v>47</v>
      </c>
      <c r="PW69">
        <f t="shared" ref="PW69:PW111" si="81">SUM(PK69:PV69)</f>
        <v>655</v>
      </c>
      <c r="PX69">
        <v>1500</v>
      </c>
      <c r="PY69">
        <v>1611</v>
      </c>
      <c r="PZ69">
        <v>1490</v>
      </c>
      <c r="QA69">
        <v>1369</v>
      </c>
      <c r="QB69">
        <v>1450</v>
      </c>
      <c r="QC69">
        <v>1425</v>
      </c>
      <c r="QD69">
        <v>1384</v>
      </c>
      <c r="QE69">
        <v>1343</v>
      </c>
      <c r="QF69">
        <v>1333</v>
      </c>
      <c r="QG69">
        <v>1523</v>
      </c>
      <c r="QH69">
        <v>1492</v>
      </c>
      <c r="QI69">
        <v>1612</v>
      </c>
      <c r="QJ69">
        <f t="shared" ref="QJ69:QJ111" si="82">SUM(PX69:QI69)</f>
        <v>17532</v>
      </c>
      <c r="QK69">
        <v>13658</v>
      </c>
      <c r="QL69">
        <v>14179</v>
      </c>
      <c r="QM69">
        <v>13458</v>
      </c>
      <c r="QN69">
        <v>13962</v>
      </c>
      <c r="QO69">
        <v>13557</v>
      </c>
      <c r="QP69">
        <v>13654</v>
      </c>
      <c r="QQ69">
        <v>14118</v>
      </c>
      <c r="QR69">
        <v>12912</v>
      </c>
      <c r="QS69">
        <v>9385</v>
      </c>
      <c r="QT69">
        <v>13097</v>
      </c>
      <c r="QU69">
        <v>13166</v>
      </c>
      <c r="QV69">
        <v>13662</v>
      </c>
      <c r="QW69">
        <f t="shared" ref="QW69:QW111" si="83">SUM(QK69:QV69)</f>
        <v>158808</v>
      </c>
      <c r="QX69">
        <v>0</v>
      </c>
      <c r="QY69">
        <v>0</v>
      </c>
      <c r="QZ69">
        <v>0</v>
      </c>
      <c r="RA69">
        <v>0</v>
      </c>
      <c r="RB69">
        <v>0</v>
      </c>
      <c r="RC69">
        <v>0</v>
      </c>
      <c r="RD69">
        <v>0</v>
      </c>
      <c r="RE69">
        <v>0</v>
      </c>
      <c r="RF69">
        <v>0</v>
      </c>
      <c r="RG69">
        <v>0</v>
      </c>
      <c r="RH69">
        <v>0</v>
      </c>
      <c r="RI69">
        <v>0</v>
      </c>
      <c r="RJ69">
        <f t="shared" ref="RJ69:RJ111" si="84">SUM(QX69:RI69)</f>
        <v>0</v>
      </c>
      <c r="RK69">
        <v>0</v>
      </c>
      <c r="RL69">
        <v>0</v>
      </c>
      <c r="RM69">
        <v>0</v>
      </c>
      <c r="RN69">
        <v>0</v>
      </c>
      <c r="RO69">
        <v>0</v>
      </c>
      <c r="RP69">
        <v>0</v>
      </c>
      <c r="RQ69">
        <v>0</v>
      </c>
      <c r="RR69">
        <v>0</v>
      </c>
      <c r="RS69">
        <v>0</v>
      </c>
      <c r="RT69">
        <v>0</v>
      </c>
      <c r="RU69">
        <v>0</v>
      </c>
      <c r="RV69">
        <v>0</v>
      </c>
      <c r="RW69">
        <f t="shared" ref="RW69:RW111" si="85">SUM(RK69:RV69)</f>
        <v>0</v>
      </c>
      <c r="RX69">
        <v>234</v>
      </c>
      <c r="RY69">
        <v>265</v>
      </c>
      <c r="RZ69">
        <v>252</v>
      </c>
      <c r="SA69">
        <v>295</v>
      </c>
      <c r="SB69">
        <v>183</v>
      </c>
      <c r="SC69">
        <v>269</v>
      </c>
      <c r="SD69">
        <v>296</v>
      </c>
      <c r="SE69">
        <v>237</v>
      </c>
      <c r="SF69">
        <v>76</v>
      </c>
      <c r="SG69">
        <v>236</v>
      </c>
      <c r="SH69">
        <v>190</v>
      </c>
      <c r="SI69">
        <v>272</v>
      </c>
      <c r="SJ69">
        <f t="shared" ref="SJ69:SJ111" si="86">SUM(RX69:SI69)</f>
        <v>2805</v>
      </c>
      <c r="SK69">
        <v>0</v>
      </c>
      <c r="SL69">
        <v>0</v>
      </c>
      <c r="SM69">
        <v>0</v>
      </c>
      <c r="SN69">
        <v>0</v>
      </c>
      <c r="SO69">
        <v>0</v>
      </c>
      <c r="SP69">
        <v>0</v>
      </c>
      <c r="SQ69">
        <v>0</v>
      </c>
      <c r="SR69">
        <v>0</v>
      </c>
      <c r="SS69">
        <v>0</v>
      </c>
      <c r="ST69">
        <v>0</v>
      </c>
      <c r="SU69">
        <v>0</v>
      </c>
      <c r="SV69">
        <v>0</v>
      </c>
      <c r="SW69">
        <f t="shared" ref="SW69:SW111" si="87">SUM(SK69:SV69)</f>
        <v>0</v>
      </c>
      <c r="SX69">
        <v>0</v>
      </c>
      <c r="SY69">
        <v>0</v>
      </c>
      <c r="SZ69">
        <v>0</v>
      </c>
      <c r="TA69">
        <v>0</v>
      </c>
      <c r="TB69">
        <v>0</v>
      </c>
      <c r="TC69">
        <v>0</v>
      </c>
      <c r="TD69">
        <v>0</v>
      </c>
      <c r="TE69">
        <v>0</v>
      </c>
      <c r="TF69">
        <v>0</v>
      </c>
      <c r="TG69">
        <v>0</v>
      </c>
      <c r="TH69">
        <v>0</v>
      </c>
      <c r="TI69">
        <v>0</v>
      </c>
      <c r="TJ69">
        <v>0</v>
      </c>
      <c r="TK69">
        <f t="shared" ref="TK69:TK111" si="88">SUM(SY69:TJ69)</f>
        <v>0</v>
      </c>
      <c r="TL69">
        <v>0</v>
      </c>
      <c r="TM69">
        <v>0</v>
      </c>
      <c r="TN69">
        <v>0</v>
      </c>
      <c r="TO69">
        <v>0</v>
      </c>
      <c r="TP69">
        <v>0</v>
      </c>
      <c r="TQ69">
        <v>0</v>
      </c>
      <c r="TR69">
        <v>0</v>
      </c>
      <c r="TS69">
        <v>0</v>
      </c>
      <c r="TT69">
        <v>0</v>
      </c>
      <c r="TU69">
        <v>0</v>
      </c>
      <c r="TV69">
        <v>0</v>
      </c>
      <c r="TW69">
        <v>0</v>
      </c>
      <c r="TX69">
        <f t="shared" ref="TX69:TX111" si="89">SUM(TL69:TW69)</f>
        <v>0</v>
      </c>
      <c r="TY69">
        <v>72</v>
      </c>
      <c r="TZ69">
        <v>25</v>
      </c>
      <c r="UA69">
        <v>19</v>
      </c>
      <c r="UB69">
        <v>0</v>
      </c>
    </row>
    <row r="70" spans="1:548" ht="16.5" customHeight="1" x14ac:dyDescent="0.35">
      <c r="A70" t="s">
        <v>1422</v>
      </c>
      <c r="B70" t="s">
        <v>2864</v>
      </c>
      <c r="C70">
        <v>14084</v>
      </c>
      <c r="D70">
        <v>4467</v>
      </c>
      <c r="E70">
        <v>565</v>
      </c>
      <c r="F70">
        <v>9052</v>
      </c>
      <c r="G70">
        <v>25</v>
      </c>
      <c r="H70">
        <v>25</v>
      </c>
      <c r="I70">
        <v>25</v>
      </c>
      <c r="J70">
        <v>25</v>
      </c>
      <c r="K70">
        <v>25</v>
      </c>
      <c r="L70">
        <v>25</v>
      </c>
      <c r="M70">
        <v>25</v>
      </c>
      <c r="N70">
        <v>25</v>
      </c>
      <c r="O70">
        <v>25</v>
      </c>
      <c r="P70">
        <v>25</v>
      </c>
      <c r="Q70">
        <v>25</v>
      </c>
      <c r="R70">
        <v>25</v>
      </c>
      <c r="S70">
        <f t="shared" si="45"/>
        <v>300</v>
      </c>
      <c r="T70">
        <v>100</v>
      </c>
      <c r="U70">
        <v>112</v>
      </c>
      <c r="V70">
        <v>120</v>
      </c>
      <c r="W70">
        <v>117</v>
      </c>
      <c r="X70">
        <v>132</v>
      </c>
      <c r="Y70">
        <v>93</v>
      </c>
      <c r="Z70">
        <v>103</v>
      </c>
      <c r="AA70">
        <v>100</v>
      </c>
      <c r="AB70">
        <v>98</v>
      </c>
      <c r="AC70">
        <v>179</v>
      </c>
      <c r="AD70">
        <v>173</v>
      </c>
      <c r="AE70">
        <v>129</v>
      </c>
      <c r="AF70">
        <f t="shared" si="46"/>
        <v>1456</v>
      </c>
      <c r="AG70">
        <v>0</v>
      </c>
      <c r="AH70">
        <v>1</v>
      </c>
      <c r="AI70">
        <v>8</v>
      </c>
      <c r="AJ70">
        <v>2</v>
      </c>
      <c r="AK70">
        <v>0</v>
      </c>
      <c r="AL70">
        <v>30</v>
      </c>
      <c r="AM70">
        <v>0</v>
      </c>
      <c r="AN70">
        <v>2</v>
      </c>
      <c r="AO70">
        <v>0</v>
      </c>
      <c r="AP70">
        <v>2</v>
      </c>
      <c r="AQ70">
        <v>1</v>
      </c>
      <c r="AR70">
        <v>3</v>
      </c>
      <c r="AS70">
        <f t="shared" si="47"/>
        <v>49</v>
      </c>
      <c r="AT70">
        <v>94</v>
      </c>
      <c r="AU70">
        <v>79</v>
      </c>
      <c r="AV70">
        <v>108</v>
      </c>
      <c r="AW70">
        <v>99</v>
      </c>
      <c r="AX70">
        <v>88</v>
      </c>
      <c r="AY70">
        <v>122</v>
      </c>
      <c r="AZ70">
        <v>146</v>
      </c>
      <c r="BA70">
        <v>95</v>
      </c>
      <c r="BB70">
        <v>85</v>
      </c>
      <c r="BC70">
        <v>151</v>
      </c>
      <c r="BD70">
        <v>134</v>
      </c>
      <c r="BE70">
        <v>105</v>
      </c>
      <c r="BF70">
        <f t="shared" si="48"/>
        <v>1306</v>
      </c>
      <c r="BG70">
        <v>0</v>
      </c>
      <c r="BH70">
        <v>0</v>
      </c>
      <c r="BI70">
        <v>0</v>
      </c>
      <c r="BJ70">
        <v>0</v>
      </c>
      <c r="BK70">
        <v>0</v>
      </c>
      <c r="BL70">
        <v>0</v>
      </c>
      <c r="BM70">
        <v>0</v>
      </c>
      <c r="BN70">
        <v>0</v>
      </c>
      <c r="BO70">
        <v>0</v>
      </c>
      <c r="BP70">
        <v>0</v>
      </c>
      <c r="BQ70">
        <v>0</v>
      </c>
      <c r="BR70">
        <v>0</v>
      </c>
      <c r="BS70">
        <f t="shared" si="49"/>
        <v>0</v>
      </c>
      <c r="BT70">
        <v>4</v>
      </c>
      <c r="BU70">
        <v>4</v>
      </c>
      <c r="BV70">
        <v>4</v>
      </c>
      <c r="BW70">
        <v>0</v>
      </c>
      <c r="BX70">
        <v>0</v>
      </c>
      <c r="BY70">
        <v>3</v>
      </c>
      <c r="BZ70">
        <v>6</v>
      </c>
      <c r="CA70">
        <v>3</v>
      </c>
      <c r="CB70">
        <v>0</v>
      </c>
      <c r="CC70">
        <v>0</v>
      </c>
      <c r="CD70">
        <v>3</v>
      </c>
      <c r="CE70">
        <v>0</v>
      </c>
      <c r="CF70">
        <f t="shared" si="50"/>
        <v>27</v>
      </c>
      <c r="CG70">
        <v>0</v>
      </c>
      <c r="CH70">
        <v>0</v>
      </c>
      <c r="CI70">
        <v>0</v>
      </c>
      <c r="CJ70">
        <v>0</v>
      </c>
      <c r="CK70">
        <v>0</v>
      </c>
      <c r="CL70">
        <v>0</v>
      </c>
      <c r="CM70">
        <v>0</v>
      </c>
      <c r="CN70">
        <v>0</v>
      </c>
      <c r="CO70">
        <v>0</v>
      </c>
      <c r="CP70">
        <v>0</v>
      </c>
      <c r="CQ70">
        <v>0</v>
      </c>
      <c r="CR70">
        <v>0</v>
      </c>
      <c r="CS70">
        <f t="shared" si="51"/>
        <v>0</v>
      </c>
      <c r="CT70">
        <v>0</v>
      </c>
      <c r="CU70">
        <v>0</v>
      </c>
      <c r="CV70">
        <v>5</v>
      </c>
      <c r="CW70">
        <v>0</v>
      </c>
      <c r="CX70">
        <v>0</v>
      </c>
      <c r="CY70">
        <v>0</v>
      </c>
      <c r="CZ70">
        <v>4</v>
      </c>
      <c r="DA70">
        <v>0</v>
      </c>
      <c r="DB70">
        <v>0</v>
      </c>
      <c r="DC70">
        <v>3</v>
      </c>
      <c r="DD70">
        <v>4</v>
      </c>
      <c r="DE70">
        <v>0</v>
      </c>
      <c r="DF70">
        <f t="shared" si="52"/>
        <v>16</v>
      </c>
      <c r="DG70">
        <v>0</v>
      </c>
      <c r="DH70">
        <v>0</v>
      </c>
      <c r="DI70">
        <v>0</v>
      </c>
      <c r="DJ70">
        <v>0</v>
      </c>
      <c r="DK70">
        <v>0</v>
      </c>
      <c r="DL70">
        <v>0</v>
      </c>
      <c r="DM70">
        <v>0</v>
      </c>
      <c r="DN70">
        <v>0</v>
      </c>
      <c r="DO70">
        <v>0</v>
      </c>
      <c r="DP70">
        <v>0</v>
      </c>
      <c r="DQ70">
        <v>0</v>
      </c>
      <c r="DR70">
        <v>0</v>
      </c>
      <c r="DS70">
        <f t="shared" si="53"/>
        <v>0</v>
      </c>
      <c r="DT70">
        <v>0</v>
      </c>
      <c r="DU70">
        <v>0</v>
      </c>
      <c r="DV70">
        <v>0</v>
      </c>
      <c r="DW70">
        <v>0</v>
      </c>
      <c r="DX70">
        <v>0</v>
      </c>
      <c r="DY70">
        <v>0</v>
      </c>
      <c r="DZ70">
        <v>0</v>
      </c>
      <c r="EA70">
        <v>0</v>
      </c>
      <c r="EB70">
        <v>0</v>
      </c>
      <c r="EC70">
        <v>0</v>
      </c>
      <c r="ED70">
        <v>0</v>
      </c>
      <c r="EE70">
        <v>0</v>
      </c>
      <c r="EF70">
        <f t="shared" si="54"/>
        <v>0</v>
      </c>
      <c r="EG70">
        <f t="shared" si="55"/>
        <v>2811</v>
      </c>
      <c r="EH70">
        <f t="shared" si="56"/>
        <v>16</v>
      </c>
      <c r="EI70">
        <v>2639</v>
      </c>
      <c r="EJ70">
        <v>3681</v>
      </c>
      <c r="EK70">
        <v>2783</v>
      </c>
      <c r="EL70">
        <v>2761</v>
      </c>
      <c r="EM70">
        <v>3670</v>
      </c>
      <c r="EN70">
        <v>2699</v>
      </c>
      <c r="EO70">
        <v>3385</v>
      </c>
      <c r="EP70">
        <v>3024</v>
      </c>
      <c r="EQ70">
        <v>2875</v>
      </c>
      <c r="ER70">
        <v>3079</v>
      </c>
      <c r="ES70">
        <v>5116</v>
      </c>
      <c r="ET70">
        <v>3449</v>
      </c>
      <c r="EU70">
        <f t="shared" si="57"/>
        <v>39161</v>
      </c>
      <c r="EV70">
        <v>1280</v>
      </c>
      <c r="EW70">
        <v>1874</v>
      </c>
      <c r="EX70">
        <v>1368</v>
      </c>
      <c r="EY70">
        <v>1247</v>
      </c>
      <c r="EZ70">
        <v>1739</v>
      </c>
      <c r="FA70">
        <v>1146</v>
      </c>
      <c r="FB70">
        <v>1515</v>
      </c>
      <c r="FC70">
        <v>1400</v>
      </c>
      <c r="FD70">
        <v>1351</v>
      </c>
      <c r="FE70">
        <v>1344</v>
      </c>
      <c r="FF70">
        <v>2566</v>
      </c>
      <c r="FG70">
        <v>1766</v>
      </c>
      <c r="FH70">
        <f t="shared" si="58"/>
        <v>18596</v>
      </c>
      <c r="FI70">
        <v>0</v>
      </c>
      <c r="FJ70">
        <v>13</v>
      </c>
      <c r="FK70">
        <v>0</v>
      </c>
      <c r="FL70">
        <v>4</v>
      </c>
      <c r="FM70">
        <v>0</v>
      </c>
      <c r="FN70">
        <v>0</v>
      </c>
      <c r="FO70">
        <v>0</v>
      </c>
      <c r="FP70">
        <v>18</v>
      </c>
      <c r="FQ70">
        <v>0</v>
      </c>
      <c r="FR70">
        <v>21</v>
      </c>
      <c r="FS70">
        <v>9</v>
      </c>
      <c r="FT70">
        <v>17</v>
      </c>
      <c r="FU70">
        <f t="shared" si="59"/>
        <v>82</v>
      </c>
      <c r="FV70">
        <v>1359</v>
      </c>
      <c r="FW70">
        <v>1794</v>
      </c>
      <c r="FX70">
        <v>1415</v>
      </c>
      <c r="FY70">
        <v>1510</v>
      </c>
      <c r="FZ70">
        <v>1931</v>
      </c>
      <c r="GA70">
        <v>1553</v>
      </c>
      <c r="GB70">
        <v>1870</v>
      </c>
      <c r="GC70">
        <v>1606</v>
      </c>
      <c r="GD70">
        <v>1524</v>
      </c>
      <c r="GE70">
        <v>1714</v>
      </c>
      <c r="GF70">
        <v>2541</v>
      </c>
      <c r="GG70">
        <v>1666</v>
      </c>
      <c r="GH70">
        <f t="shared" si="60"/>
        <v>20483</v>
      </c>
      <c r="GI70">
        <v>34</v>
      </c>
      <c r="GJ70">
        <v>34</v>
      </c>
      <c r="GK70">
        <v>35</v>
      </c>
      <c r="GL70">
        <v>0</v>
      </c>
      <c r="GM70">
        <v>229</v>
      </c>
      <c r="GN70">
        <v>18</v>
      </c>
      <c r="GO70">
        <v>65</v>
      </c>
      <c r="GP70">
        <v>18</v>
      </c>
      <c r="GQ70">
        <v>0</v>
      </c>
      <c r="GR70">
        <v>24</v>
      </c>
      <c r="GS70">
        <v>40</v>
      </c>
      <c r="GT70">
        <v>0</v>
      </c>
      <c r="GU70">
        <f t="shared" si="61"/>
        <v>497</v>
      </c>
      <c r="GV70">
        <v>34</v>
      </c>
      <c r="GW70">
        <v>34</v>
      </c>
      <c r="GX70">
        <v>0</v>
      </c>
      <c r="GY70">
        <v>0</v>
      </c>
      <c r="GZ70">
        <v>229</v>
      </c>
      <c r="HA70">
        <v>18</v>
      </c>
      <c r="HB70">
        <v>37</v>
      </c>
      <c r="HC70">
        <v>18</v>
      </c>
      <c r="HD70">
        <v>0</v>
      </c>
      <c r="HE70">
        <v>0</v>
      </c>
      <c r="HF70">
        <v>16</v>
      </c>
      <c r="HG70">
        <v>0</v>
      </c>
      <c r="HH70">
        <f t="shared" si="62"/>
        <v>386</v>
      </c>
      <c r="HI70">
        <v>0</v>
      </c>
      <c r="HJ70">
        <v>0</v>
      </c>
      <c r="HK70">
        <v>0</v>
      </c>
      <c r="HL70">
        <v>0</v>
      </c>
      <c r="HM70">
        <v>0</v>
      </c>
      <c r="HN70">
        <v>0</v>
      </c>
      <c r="HO70">
        <v>0</v>
      </c>
      <c r="HP70">
        <v>0</v>
      </c>
      <c r="HQ70">
        <v>0</v>
      </c>
      <c r="HR70">
        <v>0</v>
      </c>
      <c r="HS70">
        <v>0</v>
      </c>
      <c r="HT70">
        <v>0</v>
      </c>
      <c r="HU70">
        <f t="shared" si="63"/>
        <v>0</v>
      </c>
      <c r="HV70">
        <v>0</v>
      </c>
      <c r="HW70">
        <v>0</v>
      </c>
      <c r="HX70">
        <v>35</v>
      </c>
      <c r="HY70">
        <v>0</v>
      </c>
      <c r="HZ70">
        <v>0</v>
      </c>
      <c r="IA70">
        <v>0</v>
      </c>
      <c r="IB70">
        <v>28</v>
      </c>
      <c r="IC70">
        <v>0</v>
      </c>
      <c r="ID70">
        <v>0</v>
      </c>
      <c r="IE70">
        <v>24</v>
      </c>
      <c r="IF70">
        <v>24</v>
      </c>
      <c r="IG70">
        <v>0</v>
      </c>
      <c r="IH70">
        <f t="shared" si="64"/>
        <v>111</v>
      </c>
      <c r="II70">
        <f t="shared" si="65"/>
        <v>39161</v>
      </c>
      <c r="IJ70">
        <f t="shared" si="66"/>
        <v>497</v>
      </c>
      <c r="IK70">
        <v>22129</v>
      </c>
      <c r="IL70">
        <v>24109</v>
      </c>
      <c r="IM70">
        <v>22772</v>
      </c>
      <c r="IN70">
        <v>30450</v>
      </c>
      <c r="IO70">
        <v>30043</v>
      </c>
      <c r="IP70">
        <v>24656</v>
      </c>
      <c r="IQ70">
        <v>24417</v>
      </c>
      <c r="IR70">
        <v>21442</v>
      </c>
      <c r="IS70">
        <v>19314</v>
      </c>
      <c r="IT70">
        <v>22204</v>
      </c>
      <c r="IU70">
        <v>21584</v>
      </c>
      <c r="IV70">
        <v>23188</v>
      </c>
      <c r="IW70">
        <f t="shared" si="67"/>
        <v>286308</v>
      </c>
      <c r="IX70">
        <v>8695</v>
      </c>
      <c r="IY70">
        <v>10147</v>
      </c>
      <c r="IZ70">
        <v>9284</v>
      </c>
      <c r="JA70">
        <v>15164</v>
      </c>
      <c r="JB70">
        <v>15085</v>
      </c>
      <c r="JC70">
        <v>11010</v>
      </c>
      <c r="JD70">
        <v>10321</v>
      </c>
      <c r="JE70">
        <v>8923</v>
      </c>
      <c r="JF70">
        <v>7298</v>
      </c>
      <c r="JG70">
        <v>9547</v>
      </c>
      <c r="JH70">
        <v>9220</v>
      </c>
      <c r="JI70">
        <v>9495</v>
      </c>
      <c r="JJ70">
        <f t="shared" si="68"/>
        <v>124189</v>
      </c>
      <c r="JK70">
        <v>474</v>
      </c>
      <c r="JL70">
        <v>549</v>
      </c>
      <c r="JM70">
        <v>553</v>
      </c>
      <c r="JN70">
        <v>735</v>
      </c>
      <c r="JO70">
        <v>645</v>
      </c>
      <c r="JP70">
        <v>520</v>
      </c>
      <c r="JQ70">
        <v>501</v>
      </c>
      <c r="JR70">
        <v>430</v>
      </c>
      <c r="JS70">
        <v>381</v>
      </c>
      <c r="JT70">
        <v>447</v>
      </c>
      <c r="JU70">
        <v>498</v>
      </c>
      <c r="JV70">
        <v>583</v>
      </c>
      <c r="JW70">
        <f t="shared" si="69"/>
        <v>6316</v>
      </c>
      <c r="JX70">
        <v>12960</v>
      </c>
      <c r="JY70">
        <v>13413</v>
      </c>
      <c r="JZ70">
        <v>12935</v>
      </c>
      <c r="KA70">
        <v>14551</v>
      </c>
      <c r="KB70">
        <v>14313</v>
      </c>
      <c r="KC70">
        <v>13126</v>
      </c>
      <c r="KD70">
        <v>1395</v>
      </c>
      <c r="KE70">
        <v>12089</v>
      </c>
      <c r="KF70">
        <v>11635</v>
      </c>
      <c r="KG70">
        <v>12210</v>
      </c>
      <c r="KH70">
        <v>11866</v>
      </c>
      <c r="KI70">
        <v>13110</v>
      </c>
      <c r="KJ70">
        <f t="shared" si="70"/>
        <v>143603</v>
      </c>
      <c r="KK70">
        <v>373</v>
      </c>
      <c r="KL70">
        <v>376</v>
      </c>
      <c r="KM70">
        <v>329</v>
      </c>
      <c r="KN70">
        <v>392</v>
      </c>
      <c r="KO70">
        <v>332</v>
      </c>
      <c r="KP70">
        <v>310</v>
      </c>
      <c r="KQ70">
        <v>389</v>
      </c>
      <c r="KR70">
        <v>301</v>
      </c>
      <c r="KS70">
        <v>328</v>
      </c>
      <c r="KT70">
        <v>317</v>
      </c>
      <c r="KU70">
        <v>297</v>
      </c>
      <c r="KV70">
        <v>260</v>
      </c>
      <c r="KW70">
        <f t="shared" si="71"/>
        <v>4004</v>
      </c>
      <c r="KX70">
        <v>22</v>
      </c>
      <c r="KY70">
        <v>17</v>
      </c>
      <c r="KZ70">
        <v>0</v>
      </c>
      <c r="LA70">
        <v>21</v>
      </c>
      <c r="LB70">
        <v>19</v>
      </c>
      <c r="LC70">
        <v>16</v>
      </c>
      <c r="LD70">
        <v>6</v>
      </c>
      <c r="LE70">
        <v>7</v>
      </c>
      <c r="LF70">
        <v>11</v>
      </c>
      <c r="LG70">
        <v>16</v>
      </c>
      <c r="LH70">
        <v>7</v>
      </c>
      <c r="LI70">
        <v>12</v>
      </c>
      <c r="LJ70">
        <f t="shared" si="72"/>
        <v>154</v>
      </c>
      <c r="LK70">
        <v>1</v>
      </c>
      <c r="LL70">
        <v>1</v>
      </c>
      <c r="LM70">
        <v>7</v>
      </c>
      <c r="LN70">
        <v>0</v>
      </c>
      <c r="LO70">
        <v>0</v>
      </c>
      <c r="LP70">
        <v>0</v>
      </c>
      <c r="LQ70">
        <v>0</v>
      </c>
      <c r="LR70">
        <v>0</v>
      </c>
      <c r="LS70">
        <v>0</v>
      </c>
      <c r="LT70">
        <v>0</v>
      </c>
      <c r="LU70">
        <v>0</v>
      </c>
      <c r="LV70">
        <v>0</v>
      </c>
      <c r="LW70">
        <f t="shared" si="73"/>
        <v>9</v>
      </c>
      <c r="LX70">
        <v>350</v>
      </c>
      <c r="LY70">
        <v>358</v>
      </c>
      <c r="LZ70">
        <v>322</v>
      </c>
      <c r="MA70">
        <v>371</v>
      </c>
      <c r="MB70">
        <v>313</v>
      </c>
      <c r="MC70">
        <v>294</v>
      </c>
      <c r="MD70">
        <v>383</v>
      </c>
      <c r="ME70">
        <v>294</v>
      </c>
      <c r="MF70">
        <v>317</v>
      </c>
      <c r="MG70">
        <v>301</v>
      </c>
      <c r="MH70">
        <v>290</v>
      </c>
      <c r="MI70">
        <v>248</v>
      </c>
      <c r="MJ70">
        <f t="shared" si="74"/>
        <v>3841</v>
      </c>
      <c r="MK70">
        <v>1402</v>
      </c>
      <c r="ML70">
        <v>1394</v>
      </c>
      <c r="MM70">
        <v>1419</v>
      </c>
      <c r="MN70">
        <v>1423</v>
      </c>
      <c r="MO70">
        <v>1482</v>
      </c>
      <c r="MP70">
        <v>1346</v>
      </c>
      <c r="MQ70">
        <v>1428</v>
      </c>
      <c r="MR70">
        <v>1246</v>
      </c>
      <c r="MS70">
        <v>1267</v>
      </c>
      <c r="MT70">
        <v>1437</v>
      </c>
      <c r="MU70">
        <v>1391</v>
      </c>
      <c r="MV70">
        <v>1515</v>
      </c>
      <c r="MW70">
        <f t="shared" si="75"/>
        <v>16750</v>
      </c>
      <c r="MX70">
        <v>65</v>
      </c>
      <c r="MY70">
        <v>59</v>
      </c>
      <c r="MZ70">
        <v>43</v>
      </c>
      <c r="NA70">
        <v>69</v>
      </c>
      <c r="NB70">
        <v>60</v>
      </c>
      <c r="NC70">
        <v>87</v>
      </c>
      <c r="ND70">
        <v>93</v>
      </c>
      <c r="NE70">
        <v>76</v>
      </c>
      <c r="NF70">
        <v>57</v>
      </c>
      <c r="NG70">
        <v>67</v>
      </c>
      <c r="NH70">
        <v>108</v>
      </c>
      <c r="NI70">
        <v>95</v>
      </c>
      <c r="NJ70">
        <f t="shared" si="76"/>
        <v>879</v>
      </c>
      <c r="NK70">
        <v>49</v>
      </c>
      <c r="NL70">
        <v>61</v>
      </c>
      <c r="NM70">
        <v>53</v>
      </c>
      <c r="NN70">
        <v>54</v>
      </c>
      <c r="NO70">
        <v>51</v>
      </c>
      <c r="NP70">
        <v>39</v>
      </c>
      <c r="NQ70">
        <v>48</v>
      </c>
      <c r="NR70">
        <v>36</v>
      </c>
      <c r="NS70">
        <v>48</v>
      </c>
      <c r="NT70">
        <v>62</v>
      </c>
      <c r="NU70">
        <v>62</v>
      </c>
      <c r="NV70">
        <v>53</v>
      </c>
      <c r="NW70">
        <f t="shared" si="77"/>
        <v>616</v>
      </c>
      <c r="NX70">
        <v>1288</v>
      </c>
      <c r="NY70">
        <v>1274</v>
      </c>
      <c r="NZ70">
        <v>1323</v>
      </c>
      <c r="OA70">
        <v>1300</v>
      </c>
      <c r="OB70">
        <v>1371</v>
      </c>
      <c r="OC70">
        <v>1220</v>
      </c>
      <c r="OD70">
        <v>1288</v>
      </c>
      <c r="OE70">
        <v>1134</v>
      </c>
      <c r="OF70">
        <v>1162</v>
      </c>
      <c r="OG70">
        <v>1308</v>
      </c>
      <c r="OH70">
        <v>1221</v>
      </c>
      <c r="OI70">
        <v>1367</v>
      </c>
      <c r="OJ70">
        <f t="shared" si="78"/>
        <v>15256</v>
      </c>
      <c r="OK70">
        <v>2866</v>
      </c>
      <c r="OL70">
        <v>2981</v>
      </c>
      <c r="OM70">
        <v>2826</v>
      </c>
      <c r="ON70">
        <v>2824</v>
      </c>
      <c r="OO70">
        <v>3021</v>
      </c>
      <c r="OP70">
        <v>2996</v>
      </c>
      <c r="OQ70">
        <v>2938</v>
      </c>
      <c r="OR70">
        <v>2857</v>
      </c>
      <c r="OS70">
        <v>2778</v>
      </c>
      <c r="OT70">
        <v>3143</v>
      </c>
      <c r="OU70">
        <v>2896</v>
      </c>
      <c r="OV70">
        <v>3245</v>
      </c>
      <c r="OW70">
        <f t="shared" si="79"/>
        <v>35371</v>
      </c>
      <c r="OX70">
        <v>480</v>
      </c>
      <c r="OY70">
        <v>523</v>
      </c>
      <c r="OZ70">
        <v>496</v>
      </c>
      <c r="PA70">
        <v>467</v>
      </c>
      <c r="PB70">
        <v>475</v>
      </c>
      <c r="PC70">
        <v>415</v>
      </c>
      <c r="PD70">
        <v>440</v>
      </c>
      <c r="PE70">
        <v>428</v>
      </c>
      <c r="PF70">
        <v>480</v>
      </c>
      <c r="PG70">
        <v>434</v>
      </c>
      <c r="PH70">
        <v>446</v>
      </c>
      <c r="PI70">
        <v>488</v>
      </c>
      <c r="PJ70">
        <f t="shared" si="80"/>
        <v>5572</v>
      </c>
      <c r="PK70">
        <v>125</v>
      </c>
      <c r="PL70">
        <v>118</v>
      </c>
      <c r="PM70">
        <v>110</v>
      </c>
      <c r="PN70">
        <v>116</v>
      </c>
      <c r="PO70">
        <v>114</v>
      </c>
      <c r="PP70">
        <v>107</v>
      </c>
      <c r="PQ70">
        <v>90</v>
      </c>
      <c r="PR70">
        <v>91</v>
      </c>
      <c r="PS70">
        <v>86</v>
      </c>
      <c r="PT70">
        <v>97</v>
      </c>
      <c r="PU70">
        <v>76</v>
      </c>
      <c r="PV70">
        <v>94</v>
      </c>
      <c r="PW70">
        <f t="shared" si="81"/>
        <v>1224</v>
      </c>
      <c r="PX70">
        <v>2261</v>
      </c>
      <c r="PY70">
        <v>2340</v>
      </c>
      <c r="PZ70">
        <v>2220</v>
      </c>
      <c r="QA70">
        <v>2241</v>
      </c>
      <c r="QB70">
        <v>2432</v>
      </c>
      <c r="QC70">
        <v>2474</v>
      </c>
      <c r="QD70">
        <v>2408</v>
      </c>
      <c r="QE70">
        <v>2338</v>
      </c>
      <c r="QF70">
        <v>2212</v>
      </c>
      <c r="QG70">
        <v>2612</v>
      </c>
      <c r="QH70">
        <v>2374</v>
      </c>
      <c r="QI70">
        <v>2663</v>
      </c>
      <c r="QJ70">
        <f t="shared" si="82"/>
        <v>28575</v>
      </c>
      <c r="QK70">
        <v>42213</v>
      </c>
      <c r="QL70">
        <v>46245</v>
      </c>
      <c r="QM70">
        <v>45397</v>
      </c>
      <c r="QN70">
        <v>55649</v>
      </c>
      <c r="QO70">
        <v>51065</v>
      </c>
      <c r="QP70">
        <v>49237</v>
      </c>
      <c r="QQ70">
        <v>49379</v>
      </c>
      <c r="QR70">
        <v>46687</v>
      </c>
      <c r="QS70">
        <v>43385</v>
      </c>
      <c r="QT70">
        <v>46458</v>
      </c>
      <c r="QU70">
        <v>52586</v>
      </c>
      <c r="QV70">
        <v>57509</v>
      </c>
      <c r="QW70">
        <f t="shared" si="83"/>
        <v>585810</v>
      </c>
      <c r="QX70">
        <v>0</v>
      </c>
      <c r="QY70">
        <v>0</v>
      </c>
      <c r="QZ70">
        <v>0</v>
      </c>
      <c r="RA70">
        <v>0</v>
      </c>
      <c r="RB70">
        <v>0</v>
      </c>
      <c r="RC70">
        <v>0</v>
      </c>
      <c r="RD70">
        <v>0</v>
      </c>
      <c r="RE70">
        <v>0</v>
      </c>
      <c r="RF70">
        <v>0</v>
      </c>
      <c r="RG70">
        <v>0</v>
      </c>
      <c r="RH70">
        <v>0</v>
      </c>
      <c r="RI70">
        <v>0</v>
      </c>
      <c r="RJ70">
        <f t="shared" si="84"/>
        <v>0</v>
      </c>
      <c r="RK70">
        <v>0</v>
      </c>
      <c r="RL70">
        <v>0</v>
      </c>
      <c r="RM70">
        <v>0</v>
      </c>
      <c r="RN70">
        <v>0</v>
      </c>
      <c r="RO70">
        <v>0</v>
      </c>
      <c r="RP70">
        <v>0</v>
      </c>
      <c r="RQ70">
        <v>0</v>
      </c>
      <c r="RR70">
        <v>0</v>
      </c>
      <c r="RS70">
        <v>0</v>
      </c>
      <c r="RT70">
        <v>0</v>
      </c>
      <c r="RU70">
        <v>0</v>
      </c>
      <c r="RV70">
        <v>0</v>
      </c>
      <c r="RW70">
        <f t="shared" si="85"/>
        <v>0</v>
      </c>
      <c r="RX70">
        <v>507</v>
      </c>
      <c r="RY70">
        <v>249</v>
      </c>
      <c r="RZ70">
        <v>1066</v>
      </c>
      <c r="SA70">
        <v>1800</v>
      </c>
      <c r="SB70">
        <v>1272</v>
      </c>
      <c r="SC70">
        <v>1341</v>
      </c>
      <c r="SD70">
        <v>464</v>
      </c>
      <c r="SE70">
        <v>496</v>
      </c>
      <c r="SF70">
        <v>247</v>
      </c>
      <c r="SG70">
        <v>404</v>
      </c>
      <c r="SH70">
        <v>506</v>
      </c>
      <c r="SI70">
        <v>491</v>
      </c>
      <c r="SJ70">
        <f t="shared" si="86"/>
        <v>8843</v>
      </c>
      <c r="SK70">
        <v>98</v>
      </c>
      <c r="SL70">
        <v>98</v>
      </c>
      <c r="SM70">
        <v>98</v>
      </c>
      <c r="SN70">
        <v>59</v>
      </c>
      <c r="SO70">
        <v>59</v>
      </c>
      <c r="SP70">
        <v>59</v>
      </c>
      <c r="SQ70">
        <v>54</v>
      </c>
      <c r="SR70">
        <v>54</v>
      </c>
      <c r="SS70">
        <v>54</v>
      </c>
      <c r="ST70">
        <v>56</v>
      </c>
      <c r="SU70">
        <v>56</v>
      </c>
      <c r="SV70">
        <v>56</v>
      </c>
      <c r="SW70">
        <f t="shared" si="87"/>
        <v>801</v>
      </c>
      <c r="SX70">
        <v>0</v>
      </c>
      <c r="SY70">
        <v>3587</v>
      </c>
      <c r="SZ70">
        <v>3462</v>
      </c>
      <c r="TA70">
        <v>3476</v>
      </c>
      <c r="TB70">
        <v>4171</v>
      </c>
      <c r="TC70">
        <v>3515</v>
      </c>
      <c r="TD70">
        <v>3958</v>
      </c>
      <c r="TE70">
        <v>3732</v>
      </c>
      <c r="TF70">
        <v>3845</v>
      </c>
      <c r="TG70">
        <v>3401</v>
      </c>
      <c r="TH70">
        <v>3641</v>
      </c>
      <c r="TI70">
        <v>3659</v>
      </c>
      <c r="TJ70">
        <v>3997</v>
      </c>
      <c r="TK70">
        <f t="shared" si="88"/>
        <v>44444</v>
      </c>
      <c r="TL70">
        <v>0</v>
      </c>
      <c r="TM70">
        <v>0</v>
      </c>
      <c r="TN70">
        <v>0</v>
      </c>
      <c r="TO70">
        <v>0</v>
      </c>
      <c r="TP70">
        <v>0</v>
      </c>
      <c r="TQ70">
        <v>0</v>
      </c>
      <c r="TR70">
        <v>0</v>
      </c>
      <c r="TS70">
        <v>0</v>
      </c>
      <c r="TT70">
        <v>0</v>
      </c>
      <c r="TU70">
        <v>0</v>
      </c>
      <c r="TV70">
        <v>0</v>
      </c>
      <c r="TW70">
        <v>0</v>
      </c>
      <c r="TX70">
        <f t="shared" si="89"/>
        <v>0</v>
      </c>
      <c r="TY70">
        <v>113</v>
      </c>
      <c r="TZ70">
        <v>0</v>
      </c>
      <c r="UA70">
        <v>0</v>
      </c>
      <c r="UB70">
        <v>0</v>
      </c>
    </row>
    <row r="71" spans="1:548" ht="16.5" customHeight="1" x14ac:dyDescent="0.35">
      <c r="A71" t="s">
        <v>1429</v>
      </c>
      <c r="B71" t="s">
        <v>2862</v>
      </c>
      <c r="C71">
        <v>11626</v>
      </c>
      <c r="D71">
        <v>1492</v>
      </c>
      <c r="E71">
        <v>598</v>
      </c>
      <c r="F71">
        <v>9536</v>
      </c>
      <c r="G71">
        <v>83</v>
      </c>
      <c r="H71">
        <v>94</v>
      </c>
      <c r="I71">
        <v>91</v>
      </c>
      <c r="J71">
        <v>115</v>
      </c>
      <c r="K71">
        <v>96</v>
      </c>
      <c r="L71">
        <v>101</v>
      </c>
      <c r="M71">
        <v>106</v>
      </c>
      <c r="N71">
        <v>95</v>
      </c>
      <c r="O71">
        <v>80</v>
      </c>
      <c r="P71">
        <v>97</v>
      </c>
      <c r="Q71">
        <v>95</v>
      </c>
      <c r="R71">
        <v>95</v>
      </c>
      <c r="S71">
        <f t="shared" si="45"/>
        <v>1148</v>
      </c>
      <c r="T71">
        <v>74</v>
      </c>
      <c r="U71">
        <v>79</v>
      </c>
      <c r="V71">
        <v>76</v>
      </c>
      <c r="W71">
        <v>98</v>
      </c>
      <c r="X71">
        <v>95</v>
      </c>
      <c r="Y71">
        <v>85</v>
      </c>
      <c r="Z71">
        <v>95</v>
      </c>
      <c r="AA71">
        <v>78</v>
      </c>
      <c r="AB71">
        <v>66</v>
      </c>
      <c r="AC71">
        <v>79</v>
      </c>
      <c r="AD71">
        <v>82</v>
      </c>
      <c r="AE71">
        <v>81</v>
      </c>
      <c r="AF71">
        <f t="shared" si="46"/>
        <v>988</v>
      </c>
      <c r="AG71">
        <v>0</v>
      </c>
      <c r="AH71">
        <v>0</v>
      </c>
      <c r="AI71">
        <v>0</v>
      </c>
      <c r="AJ71">
        <v>0</v>
      </c>
      <c r="AK71">
        <v>0</v>
      </c>
      <c r="AL71">
        <v>0</v>
      </c>
      <c r="AM71">
        <v>0</v>
      </c>
      <c r="AN71">
        <v>0</v>
      </c>
      <c r="AO71">
        <v>0</v>
      </c>
      <c r="AP71">
        <v>0</v>
      </c>
      <c r="AQ71">
        <v>0</v>
      </c>
      <c r="AR71">
        <v>0</v>
      </c>
      <c r="AS71">
        <f t="shared" si="47"/>
        <v>0</v>
      </c>
      <c r="AT71">
        <v>9</v>
      </c>
      <c r="AU71">
        <v>15</v>
      </c>
      <c r="AV71">
        <v>15</v>
      </c>
      <c r="AW71">
        <v>17</v>
      </c>
      <c r="AX71">
        <v>1</v>
      </c>
      <c r="AY71">
        <v>16</v>
      </c>
      <c r="AZ71">
        <v>11</v>
      </c>
      <c r="BA71">
        <v>17</v>
      </c>
      <c r="BB71">
        <v>14</v>
      </c>
      <c r="BC71">
        <v>18</v>
      </c>
      <c r="BD71">
        <v>13</v>
      </c>
      <c r="BE71">
        <v>14</v>
      </c>
      <c r="BF71">
        <f t="shared" si="48"/>
        <v>160</v>
      </c>
      <c r="BG71">
        <v>0</v>
      </c>
      <c r="BH71">
        <v>0</v>
      </c>
      <c r="BI71">
        <v>0</v>
      </c>
      <c r="BJ71">
        <v>0</v>
      </c>
      <c r="BK71">
        <v>0</v>
      </c>
      <c r="BL71">
        <v>0</v>
      </c>
      <c r="BM71">
        <v>0</v>
      </c>
      <c r="BN71">
        <v>0</v>
      </c>
      <c r="BO71">
        <v>0</v>
      </c>
      <c r="BP71">
        <v>0</v>
      </c>
      <c r="BQ71">
        <v>0</v>
      </c>
      <c r="BR71">
        <v>0</v>
      </c>
      <c r="BS71">
        <f t="shared" si="49"/>
        <v>0</v>
      </c>
      <c r="BT71">
        <v>0</v>
      </c>
      <c r="BU71">
        <v>0</v>
      </c>
      <c r="BV71">
        <v>0</v>
      </c>
      <c r="BW71">
        <v>0</v>
      </c>
      <c r="BX71">
        <v>0</v>
      </c>
      <c r="BY71">
        <v>0</v>
      </c>
      <c r="BZ71">
        <v>0</v>
      </c>
      <c r="CA71">
        <v>0</v>
      </c>
      <c r="CB71">
        <v>0</v>
      </c>
      <c r="CC71">
        <v>0</v>
      </c>
      <c r="CD71">
        <v>0</v>
      </c>
      <c r="CE71">
        <v>0</v>
      </c>
      <c r="CF71">
        <f t="shared" si="50"/>
        <v>0</v>
      </c>
      <c r="CG71">
        <v>0</v>
      </c>
      <c r="CH71">
        <v>0</v>
      </c>
      <c r="CI71">
        <v>0</v>
      </c>
      <c r="CJ71">
        <v>0</v>
      </c>
      <c r="CK71">
        <v>0</v>
      </c>
      <c r="CL71">
        <v>0</v>
      </c>
      <c r="CM71">
        <v>0</v>
      </c>
      <c r="CN71">
        <v>0</v>
      </c>
      <c r="CO71">
        <v>0</v>
      </c>
      <c r="CP71">
        <v>0</v>
      </c>
      <c r="CQ71">
        <v>0</v>
      </c>
      <c r="CR71">
        <v>0</v>
      </c>
      <c r="CS71">
        <f t="shared" si="51"/>
        <v>0</v>
      </c>
      <c r="CT71">
        <v>0</v>
      </c>
      <c r="CU71">
        <v>0</v>
      </c>
      <c r="CV71">
        <v>0</v>
      </c>
      <c r="CW71">
        <v>0</v>
      </c>
      <c r="CX71">
        <v>0</v>
      </c>
      <c r="CY71">
        <v>0</v>
      </c>
      <c r="CZ71">
        <v>0</v>
      </c>
      <c r="DA71">
        <v>0</v>
      </c>
      <c r="DB71">
        <v>0</v>
      </c>
      <c r="DC71">
        <v>0</v>
      </c>
      <c r="DD71">
        <v>0</v>
      </c>
      <c r="DE71">
        <v>0</v>
      </c>
      <c r="DF71">
        <f t="shared" si="52"/>
        <v>0</v>
      </c>
      <c r="DG71">
        <v>0</v>
      </c>
      <c r="DH71">
        <v>0</v>
      </c>
      <c r="DI71">
        <v>0</v>
      </c>
      <c r="DJ71">
        <v>0</v>
      </c>
      <c r="DK71">
        <v>0</v>
      </c>
      <c r="DL71">
        <v>0</v>
      </c>
      <c r="DM71">
        <v>0</v>
      </c>
      <c r="DN71">
        <v>0</v>
      </c>
      <c r="DO71">
        <v>0</v>
      </c>
      <c r="DP71">
        <v>0</v>
      </c>
      <c r="DQ71">
        <v>0</v>
      </c>
      <c r="DR71">
        <v>0</v>
      </c>
      <c r="DS71">
        <f t="shared" si="53"/>
        <v>0</v>
      </c>
      <c r="DT71">
        <v>0</v>
      </c>
      <c r="DU71">
        <v>0</v>
      </c>
      <c r="DV71">
        <v>0</v>
      </c>
      <c r="DW71">
        <v>0</v>
      </c>
      <c r="DX71">
        <v>0</v>
      </c>
      <c r="DY71">
        <v>0</v>
      </c>
      <c r="DZ71">
        <v>0</v>
      </c>
      <c r="EA71">
        <v>0</v>
      </c>
      <c r="EB71">
        <v>0</v>
      </c>
      <c r="EC71">
        <v>0</v>
      </c>
      <c r="ED71">
        <v>0</v>
      </c>
      <c r="EE71">
        <v>0</v>
      </c>
      <c r="EF71">
        <f t="shared" si="54"/>
        <v>0</v>
      </c>
      <c r="EG71">
        <f t="shared" si="55"/>
        <v>1148</v>
      </c>
      <c r="EH71">
        <f t="shared" si="56"/>
        <v>0</v>
      </c>
      <c r="EI71">
        <v>1474</v>
      </c>
      <c r="EJ71">
        <v>1865</v>
      </c>
      <c r="EK71">
        <v>2355</v>
      </c>
      <c r="EL71">
        <v>3189</v>
      </c>
      <c r="EM71">
        <v>3429</v>
      </c>
      <c r="EN71">
        <v>2599</v>
      </c>
      <c r="EO71">
        <v>3252</v>
      </c>
      <c r="EP71">
        <v>2619</v>
      </c>
      <c r="EQ71">
        <v>2218</v>
      </c>
      <c r="ER71">
        <v>2544</v>
      </c>
      <c r="ES71">
        <v>3018</v>
      </c>
      <c r="ET71">
        <v>3090</v>
      </c>
      <c r="EU71">
        <f t="shared" si="57"/>
        <v>31652</v>
      </c>
      <c r="EV71">
        <v>762</v>
      </c>
      <c r="EW71">
        <v>978</v>
      </c>
      <c r="EX71">
        <v>1191</v>
      </c>
      <c r="EY71">
        <v>1729</v>
      </c>
      <c r="EZ71">
        <v>1754</v>
      </c>
      <c r="FA71">
        <v>1353</v>
      </c>
      <c r="FB71">
        <v>1432</v>
      </c>
      <c r="FC71">
        <v>1302</v>
      </c>
      <c r="FD71">
        <v>1166</v>
      </c>
      <c r="FE71">
        <v>1364</v>
      </c>
      <c r="FF71">
        <v>1621</v>
      </c>
      <c r="FG71">
        <v>1730</v>
      </c>
      <c r="FH71">
        <f t="shared" si="58"/>
        <v>16382</v>
      </c>
      <c r="FI71">
        <v>0</v>
      </c>
      <c r="FJ71">
        <v>0</v>
      </c>
      <c r="FK71">
        <v>0</v>
      </c>
      <c r="FL71">
        <v>0</v>
      </c>
      <c r="FM71">
        <v>0</v>
      </c>
      <c r="FN71">
        <v>0</v>
      </c>
      <c r="FO71">
        <v>0</v>
      </c>
      <c r="FP71">
        <v>0</v>
      </c>
      <c r="FQ71">
        <v>0</v>
      </c>
      <c r="FR71">
        <v>0</v>
      </c>
      <c r="FS71">
        <v>0</v>
      </c>
      <c r="FT71">
        <v>0</v>
      </c>
      <c r="FU71">
        <f t="shared" si="59"/>
        <v>0</v>
      </c>
      <c r="FV71">
        <v>0</v>
      </c>
      <c r="FW71">
        <v>0</v>
      </c>
      <c r="FX71">
        <v>0</v>
      </c>
      <c r="FY71">
        <v>0</v>
      </c>
      <c r="FZ71">
        <v>0</v>
      </c>
      <c r="GA71">
        <v>0</v>
      </c>
      <c r="GB71">
        <v>0</v>
      </c>
      <c r="GC71">
        <v>0</v>
      </c>
      <c r="GD71">
        <v>0</v>
      </c>
      <c r="GE71">
        <v>0</v>
      </c>
      <c r="GF71">
        <v>0</v>
      </c>
      <c r="GG71">
        <v>0</v>
      </c>
      <c r="GH71">
        <f t="shared" si="60"/>
        <v>0</v>
      </c>
      <c r="GI71">
        <v>0</v>
      </c>
      <c r="GJ71">
        <v>0</v>
      </c>
      <c r="GK71">
        <v>0</v>
      </c>
      <c r="GL71">
        <v>0</v>
      </c>
      <c r="GM71">
        <v>0</v>
      </c>
      <c r="GN71">
        <v>0</v>
      </c>
      <c r="GO71">
        <v>0</v>
      </c>
      <c r="GP71">
        <v>0</v>
      </c>
      <c r="GQ71">
        <v>0</v>
      </c>
      <c r="GR71">
        <v>0</v>
      </c>
      <c r="GS71">
        <v>0</v>
      </c>
      <c r="GT71">
        <v>0</v>
      </c>
      <c r="GU71">
        <f t="shared" si="61"/>
        <v>0</v>
      </c>
      <c r="GV71">
        <v>0</v>
      </c>
      <c r="GW71">
        <v>0</v>
      </c>
      <c r="GX71">
        <v>0</v>
      </c>
      <c r="GY71">
        <v>0</v>
      </c>
      <c r="GZ71">
        <v>0</v>
      </c>
      <c r="HA71">
        <v>0</v>
      </c>
      <c r="HB71">
        <v>0</v>
      </c>
      <c r="HC71">
        <v>0</v>
      </c>
      <c r="HD71">
        <v>0</v>
      </c>
      <c r="HE71">
        <v>0</v>
      </c>
      <c r="HF71">
        <v>0</v>
      </c>
      <c r="HG71">
        <v>0</v>
      </c>
      <c r="HH71">
        <f t="shared" si="62"/>
        <v>0</v>
      </c>
      <c r="HI71">
        <v>0</v>
      </c>
      <c r="HJ71">
        <v>0</v>
      </c>
      <c r="HK71">
        <v>0</v>
      </c>
      <c r="HL71">
        <v>0</v>
      </c>
      <c r="HM71">
        <v>0</v>
      </c>
      <c r="HN71">
        <v>0</v>
      </c>
      <c r="HO71">
        <v>0</v>
      </c>
      <c r="HP71">
        <v>0</v>
      </c>
      <c r="HQ71">
        <v>0</v>
      </c>
      <c r="HR71">
        <v>0</v>
      </c>
      <c r="HS71">
        <v>0</v>
      </c>
      <c r="HT71">
        <v>0</v>
      </c>
      <c r="HU71">
        <f t="shared" si="63"/>
        <v>0</v>
      </c>
      <c r="HV71">
        <v>0</v>
      </c>
      <c r="HW71">
        <v>0</v>
      </c>
      <c r="HX71">
        <v>0</v>
      </c>
      <c r="HY71">
        <v>0</v>
      </c>
      <c r="HZ71">
        <v>0</v>
      </c>
      <c r="IA71">
        <v>0</v>
      </c>
      <c r="IB71">
        <v>0</v>
      </c>
      <c r="IC71">
        <v>0</v>
      </c>
      <c r="ID71">
        <v>0</v>
      </c>
      <c r="IE71">
        <v>0</v>
      </c>
      <c r="IF71">
        <v>0</v>
      </c>
      <c r="IG71">
        <v>0</v>
      </c>
      <c r="IH71">
        <f t="shared" si="64"/>
        <v>0</v>
      </c>
      <c r="II71">
        <f t="shared" si="65"/>
        <v>16382</v>
      </c>
      <c r="IJ71">
        <f t="shared" si="66"/>
        <v>0</v>
      </c>
      <c r="IK71">
        <v>29820</v>
      </c>
      <c r="IL71">
        <v>30838</v>
      </c>
      <c r="IM71">
        <v>31930</v>
      </c>
      <c r="IN71">
        <v>34216</v>
      </c>
      <c r="IO71">
        <v>34495</v>
      </c>
      <c r="IP71">
        <v>32394</v>
      </c>
      <c r="IQ71">
        <v>32670</v>
      </c>
      <c r="IR71">
        <v>30436</v>
      </c>
      <c r="IS71">
        <v>25897</v>
      </c>
      <c r="IT71">
        <v>34427</v>
      </c>
      <c r="IU71">
        <v>29392</v>
      </c>
      <c r="IV71">
        <v>31486</v>
      </c>
      <c r="IW71">
        <f t="shared" si="67"/>
        <v>378001</v>
      </c>
      <c r="IX71">
        <v>15188</v>
      </c>
      <c r="IY71">
        <v>15927</v>
      </c>
      <c r="IZ71">
        <v>17467</v>
      </c>
      <c r="JA71">
        <v>17882</v>
      </c>
      <c r="JB71">
        <v>18955</v>
      </c>
      <c r="JC71">
        <v>16496</v>
      </c>
      <c r="JD71">
        <v>17759</v>
      </c>
      <c r="JE71">
        <v>15823</v>
      </c>
      <c r="JF71">
        <v>13026</v>
      </c>
      <c r="JG71">
        <v>17425</v>
      </c>
      <c r="JH71">
        <v>15785</v>
      </c>
      <c r="JI71">
        <v>16228</v>
      </c>
      <c r="JJ71">
        <f t="shared" si="68"/>
        <v>197961</v>
      </c>
      <c r="JK71">
        <v>341</v>
      </c>
      <c r="JL71">
        <v>296</v>
      </c>
      <c r="JM71">
        <v>261</v>
      </c>
      <c r="JN71">
        <v>389</v>
      </c>
      <c r="JO71">
        <v>498</v>
      </c>
      <c r="JP71">
        <v>345</v>
      </c>
      <c r="JQ71">
        <v>360</v>
      </c>
      <c r="JR71">
        <v>376</v>
      </c>
      <c r="JS71">
        <v>299</v>
      </c>
      <c r="JT71">
        <v>387</v>
      </c>
      <c r="JU71">
        <v>275</v>
      </c>
      <c r="JV71">
        <v>272</v>
      </c>
      <c r="JW71">
        <f t="shared" si="69"/>
        <v>4099</v>
      </c>
      <c r="JX71">
        <v>14291</v>
      </c>
      <c r="JY71">
        <v>14615</v>
      </c>
      <c r="JZ71">
        <v>14202</v>
      </c>
      <c r="KA71">
        <v>15945</v>
      </c>
      <c r="KB71">
        <v>15042</v>
      </c>
      <c r="KC71">
        <v>15553</v>
      </c>
      <c r="KD71">
        <v>14551</v>
      </c>
      <c r="KE71">
        <v>14237</v>
      </c>
      <c r="KF71">
        <v>12572</v>
      </c>
      <c r="KG71">
        <v>16615</v>
      </c>
      <c r="KH71">
        <v>13332</v>
      </c>
      <c r="KI71">
        <v>14986</v>
      </c>
      <c r="KJ71">
        <f t="shared" si="70"/>
        <v>175941</v>
      </c>
      <c r="KK71">
        <v>418</v>
      </c>
      <c r="KL71">
        <v>383</v>
      </c>
      <c r="KM71">
        <v>346</v>
      </c>
      <c r="KN71">
        <v>407</v>
      </c>
      <c r="KO71">
        <v>336</v>
      </c>
      <c r="KP71">
        <v>356</v>
      </c>
      <c r="KQ71">
        <v>398</v>
      </c>
      <c r="KR71">
        <v>417</v>
      </c>
      <c r="KS71">
        <v>488</v>
      </c>
      <c r="KT71">
        <v>501</v>
      </c>
      <c r="KU71">
        <v>325</v>
      </c>
      <c r="KV71">
        <v>454</v>
      </c>
      <c r="KW71">
        <f t="shared" si="71"/>
        <v>4829</v>
      </c>
      <c r="KX71">
        <v>47</v>
      </c>
      <c r="KY71">
        <v>53</v>
      </c>
      <c r="KZ71">
        <v>32</v>
      </c>
      <c r="LA71">
        <v>26</v>
      </c>
      <c r="LB71">
        <v>42</v>
      </c>
      <c r="LC71">
        <v>31</v>
      </c>
      <c r="LD71">
        <v>27</v>
      </c>
      <c r="LE71">
        <v>27</v>
      </c>
      <c r="LF71">
        <v>33</v>
      </c>
      <c r="LG71">
        <v>37</v>
      </c>
      <c r="LH71">
        <v>32</v>
      </c>
      <c r="LI71">
        <v>32</v>
      </c>
      <c r="LJ71">
        <f t="shared" si="72"/>
        <v>419</v>
      </c>
      <c r="LK71">
        <v>2</v>
      </c>
      <c r="LL71">
        <v>2</v>
      </c>
      <c r="LM71">
        <v>0</v>
      </c>
      <c r="LN71">
        <v>0</v>
      </c>
      <c r="LO71">
        <v>0</v>
      </c>
      <c r="LP71">
        <v>0</v>
      </c>
      <c r="LQ71">
        <v>0</v>
      </c>
      <c r="LR71">
        <v>0</v>
      </c>
      <c r="LS71">
        <v>2</v>
      </c>
      <c r="LT71">
        <v>0</v>
      </c>
      <c r="LU71">
        <v>0</v>
      </c>
      <c r="LV71">
        <v>0</v>
      </c>
      <c r="LW71">
        <f t="shared" si="73"/>
        <v>6</v>
      </c>
      <c r="LX71">
        <v>369</v>
      </c>
      <c r="LY71">
        <v>328</v>
      </c>
      <c r="LZ71">
        <v>314</v>
      </c>
      <c r="MA71">
        <v>381</v>
      </c>
      <c r="MB71">
        <v>294</v>
      </c>
      <c r="MC71">
        <v>325</v>
      </c>
      <c r="MD71">
        <v>371</v>
      </c>
      <c r="ME71">
        <v>390</v>
      </c>
      <c r="MF71">
        <v>453</v>
      </c>
      <c r="MG71">
        <v>464</v>
      </c>
      <c r="MH71">
        <v>293</v>
      </c>
      <c r="MI71">
        <v>422</v>
      </c>
      <c r="MJ71">
        <f t="shared" si="74"/>
        <v>4404</v>
      </c>
      <c r="MK71">
        <v>2008</v>
      </c>
      <c r="ML71">
        <v>1991</v>
      </c>
      <c r="MM71">
        <v>1969</v>
      </c>
      <c r="MN71">
        <v>1955</v>
      </c>
      <c r="MO71">
        <v>2175</v>
      </c>
      <c r="MP71">
        <v>1721</v>
      </c>
      <c r="MQ71">
        <v>1951</v>
      </c>
      <c r="MR71">
        <v>2105</v>
      </c>
      <c r="MS71">
        <v>2058</v>
      </c>
      <c r="MT71">
        <v>1887</v>
      </c>
      <c r="MU71">
        <v>1741</v>
      </c>
      <c r="MV71">
        <v>1814</v>
      </c>
      <c r="MW71">
        <f t="shared" si="75"/>
        <v>23375</v>
      </c>
      <c r="MX71">
        <v>0</v>
      </c>
      <c r="MY71">
        <v>0</v>
      </c>
      <c r="MZ71">
        <v>0</v>
      </c>
      <c r="NA71">
        <v>0</v>
      </c>
      <c r="NB71">
        <v>0</v>
      </c>
      <c r="NC71">
        <v>0</v>
      </c>
      <c r="ND71">
        <v>0</v>
      </c>
      <c r="NE71">
        <v>0</v>
      </c>
      <c r="NF71">
        <v>0</v>
      </c>
      <c r="NG71">
        <v>0</v>
      </c>
      <c r="NH71">
        <v>0</v>
      </c>
      <c r="NI71">
        <v>0</v>
      </c>
      <c r="NJ71">
        <f t="shared" si="76"/>
        <v>0</v>
      </c>
      <c r="NK71">
        <v>0</v>
      </c>
      <c r="NL71">
        <v>0</v>
      </c>
      <c r="NM71">
        <v>0</v>
      </c>
      <c r="NN71">
        <v>0</v>
      </c>
      <c r="NO71">
        <v>0</v>
      </c>
      <c r="NP71">
        <v>0</v>
      </c>
      <c r="NQ71">
        <v>0</v>
      </c>
      <c r="NR71">
        <v>0</v>
      </c>
      <c r="NS71">
        <v>0</v>
      </c>
      <c r="NT71">
        <v>0</v>
      </c>
      <c r="NU71">
        <v>0</v>
      </c>
      <c r="NV71">
        <v>0</v>
      </c>
      <c r="NW71">
        <f t="shared" si="77"/>
        <v>0</v>
      </c>
      <c r="NX71">
        <v>0</v>
      </c>
      <c r="NY71">
        <v>0</v>
      </c>
      <c r="NZ71">
        <v>0</v>
      </c>
      <c r="OA71">
        <v>0</v>
      </c>
      <c r="OB71">
        <v>0</v>
      </c>
      <c r="OC71">
        <v>0</v>
      </c>
      <c r="OD71">
        <v>0</v>
      </c>
      <c r="OE71">
        <v>0</v>
      </c>
      <c r="OF71">
        <v>0</v>
      </c>
      <c r="OG71">
        <v>0</v>
      </c>
      <c r="OH71">
        <v>0</v>
      </c>
      <c r="OI71">
        <v>0</v>
      </c>
      <c r="OJ71">
        <f t="shared" si="78"/>
        <v>0</v>
      </c>
      <c r="OK71">
        <v>2267</v>
      </c>
      <c r="OL71">
        <v>2163</v>
      </c>
      <c r="OM71">
        <v>2110</v>
      </c>
      <c r="ON71">
        <v>2258</v>
      </c>
      <c r="OO71">
        <v>2407</v>
      </c>
      <c r="OP71">
        <v>2212</v>
      </c>
      <c r="OQ71">
        <v>2330</v>
      </c>
      <c r="OR71">
        <v>2165</v>
      </c>
      <c r="OS71">
        <v>2207</v>
      </c>
      <c r="OT71">
        <v>2482</v>
      </c>
      <c r="OU71">
        <v>2302</v>
      </c>
      <c r="OV71">
        <v>2414</v>
      </c>
      <c r="OW71">
        <f t="shared" si="79"/>
        <v>27317</v>
      </c>
      <c r="OX71">
        <v>0</v>
      </c>
      <c r="OY71">
        <v>0</v>
      </c>
      <c r="OZ71">
        <v>0</v>
      </c>
      <c r="PA71">
        <v>0</v>
      </c>
      <c r="PB71">
        <v>0</v>
      </c>
      <c r="PC71">
        <v>0</v>
      </c>
      <c r="PD71">
        <v>0</v>
      </c>
      <c r="PE71">
        <v>0</v>
      </c>
      <c r="PF71">
        <v>0</v>
      </c>
      <c r="PG71">
        <v>0</v>
      </c>
      <c r="PH71">
        <v>0</v>
      </c>
      <c r="PI71">
        <v>0</v>
      </c>
      <c r="PJ71">
        <f t="shared" si="80"/>
        <v>0</v>
      </c>
      <c r="PK71">
        <v>0</v>
      </c>
      <c r="PL71">
        <v>0</v>
      </c>
      <c r="PM71">
        <v>0</v>
      </c>
      <c r="PN71">
        <v>0</v>
      </c>
      <c r="PO71">
        <v>0</v>
      </c>
      <c r="PP71">
        <v>0</v>
      </c>
      <c r="PQ71">
        <v>0</v>
      </c>
      <c r="PR71">
        <v>0</v>
      </c>
      <c r="PS71">
        <v>0</v>
      </c>
      <c r="PT71">
        <v>0</v>
      </c>
      <c r="PU71">
        <v>0</v>
      </c>
      <c r="PV71">
        <v>0</v>
      </c>
      <c r="PW71">
        <f t="shared" si="81"/>
        <v>0</v>
      </c>
      <c r="PX71">
        <v>0</v>
      </c>
      <c r="PY71">
        <v>0</v>
      </c>
      <c r="PZ71">
        <v>0</v>
      </c>
      <c r="QA71">
        <v>0</v>
      </c>
      <c r="QB71">
        <v>0</v>
      </c>
      <c r="QC71">
        <v>0</v>
      </c>
      <c r="QD71">
        <v>0</v>
      </c>
      <c r="QE71">
        <v>0</v>
      </c>
      <c r="QF71">
        <v>0</v>
      </c>
      <c r="QG71">
        <v>0</v>
      </c>
      <c r="QH71">
        <v>0</v>
      </c>
      <c r="QI71">
        <v>0</v>
      </c>
      <c r="QJ71">
        <f t="shared" si="82"/>
        <v>0</v>
      </c>
      <c r="QK71">
        <v>21648</v>
      </c>
      <c r="QL71">
        <v>24057</v>
      </c>
      <c r="QM71">
        <v>22697</v>
      </c>
      <c r="QN71">
        <v>26142</v>
      </c>
      <c r="QO71">
        <v>25415</v>
      </c>
      <c r="QP71">
        <v>25598</v>
      </c>
      <c r="QQ71">
        <v>19073</v>
      </c>
      <c r="QR71">
        <v>21895</v>
      </c>
      <c r="QS71">
        <v>19083</v>
      </c>
      <c r="QT71">
        <v>21813</v>
      </c>
      <c r="QU71">
        <v>19982</v>
      </c>
      <c r="QV71">
        <v>22972</v>
      </c>
      <c r="QW71">
        <f t="shared" si="83"/>
        <v>270375</v>
      </c>
      <c r="QX71">
        <v>2473</v>
      </c>
      <c r="QY71">
        <v>2636</v>
      </c>
      <c r="QZ71">
        <v>2237</v>
      </c>
      <c r="RA71">
        <v>3329</v>
      </c>
      <c r="RB71">
        <v>3424</v>
      </c>
      <c r="RC71">
        <v>3519</v>
      </c>
      <c r="RD71">
        <v>3628</v>
      </c>
      <c r="RE71">
        <v>2995</v>
      </c>
      <c r="RF71">
        <v>2636</v>
      </c>
      <c r="RG71">
        <v>2809</v>
      </c>
      <c r="RH71">
        <v>2378</v>
      </c>
      <c r="RI71">
        <v>3302</v>
      </c>
      <c r="RJ71">
        <f t="shared" si="84"/>
        <v>35366</v>
      </c>
      <c r="RK71">
        <v>0</v>
      </c>
      <c r="RL71">
        <v>0</v>
      </c>
      <c r="RM71">
        <v>0</v>
      </c>
      <c r="RN71">
        <v>0</v>
      </c>
      <c r="RO71">
        <v>0</v>
      </c>
      <c r="RP71">
        <v>0</v>
      </c>
      <c r="RQ71">
        <v>0</v>
      </c>
      <c r="RR71">
        <v>0</v>
      </c>
      <c r="RS71">
        <v>0</v>
      </c>
      <c r="RT71">
        <v>0</v>
      </c>
      <c r="RU71">
        <v>0</v>
      </c>
      <c r="RV71">
        <v>0</v>
      </c>
      <c r="RW71">
        <f t="shared" si="85"/>
        <v>0</v>
      </c>
      <c r="RX71">
        <v>0</v>
      </c>
      <c r="RY71">
        <v>0</v>
      </c>
      <c r="RZ71">
        <v>0</v>
      </c>
      <c r="SA71">
        <v>0</v>
      </c>
      <c r="SB71">
        <v>0</v>
      </c>
      <c r="SC71">
        <v>0</v>
      </c>
      <c r="SD71">
        <v>0</v>
      </c>
      <c r="SE71">
        <v>0</v>
      </c>
      <c r="SF71">
        <v>0</v>
      </c>
      <c r="SG71">
        <v>0</v>
      </c>
      <c r="SH71">
        <v>0</v>
      </c>
      <c r="SI71">
        <v>0</v>
      </c>
      <c r="SJ71">
        <f t="shared" si="86"/>
        <v>0</v>
      </c>
      <c r="SK71">
        <v>133</v>
      </c>
      <c r="SL71">
        <v>138</v>
      </c>
      <c r="SM71">
        <v>138</v>
      </c>
      <c r="SN71">
        <v>156</v>
      </c>
      <c r="SO71">
        <v>133</v>
      </c>
      <c r="SP71">
        <v>144</v>
      </c>
      <c r="SQ71">
        <v>140</v>
      </c>
      <c r="SR71">
        <v>148</v>
      </c>
      <c r="SS71">
        <v>156</v>
      </c>
      <c r="ST71">
        <v>161</v>
      </c>
      <c r="SU71">
        <v>137</v>
      </c>
      <c r="SV71">
        <v>129</v>
      </c>
      <c r="SW71">
        <f t="shared" si="87"/>
        <v>1713</v>
      </c>
      <c r="SX71">
        <v>0</v>
      </c>
      <c r="SY71">
        <v>1556</v>
      </c>
      <c r="SZ71">
        <v>1705</v>
      </c>
      <c r="TA71">
        <v>1538</v>
      </c>
      <c r="TB71">
        <v>1863</v>
      </c>
      <c r="TC71">
        <v>1910</v>
      </c>
      <c r="TD71">
        <v>2074</v>
      </c>
      <c r="TE71">
        <v>1995</v>
      </c>
      <c r="TF71">
        <v>1807</v>
      </c>
      <c r="TG71">
        <v>1424</v>
      </c>
      <c r="TH71">
        <v>1774</v>
      </c>
      <c r="TI71">
        <v>1764</v>
      </c>
      <c r="TJ71">
        <v>1777</v>
      </c>
      <c r="TK71">
        <f t="shared" si="88"/>
        <v>21187</v>
      </c>
      <c r="TL71">
        <v>3204</v>
      </c>
      <c r="TM71">
        <v>3001</v>
      </c>
      <c r="TN71">
        <v>2371</v>
      </c>
      <c r="TO71">
        <v>2587</v>
      </c>
      <c r="TP71">
        <v>2952</v>
      </c>
      <c r="TQ71">
        <v>2962</v>
      </c>
      <c r="TR71">
        <v>2593</v>
      </c>
      <c r="TS71">
        <v>2264</v>
      </c>
      <c r="TT71">
        <v>2018</v>
      </c>
      <c r="TU71">
        <v>2594</v>
      </c>
      <c r="TV71">
        <v>2773</v>
      </c>
      <c r="TW71">
        <v>3084</v>
      </c>
      <c r="TX71">
        <f t="shared" si="89"/>
        <v>32403</v>
      </c>
      <c r="TY71">
        <v>90</v>
      </c>
      <c r="TZ71">
        <v>18</v>
      </c>
      <c r="UA71">
        <v>146</v>
      </c>
      <c r="UB71">
        <v>0</v>
      </c>
    </row>
    <row r="72" spans="1:548" ht="16.5" customHeight="1" x14ac:dyDescent="0.35">
      <c r="A72" t="s">
        <v>1518</v>
      </c>
      <c r="B72" t="s">
        <v>2866</v>
      </c>
      <c r="C72">
        <v>28282</v>
      </c>
      <c r="D72">
        <v>5705</v>
      </c>
      <c r="E72">
        <v>2631</v>
      </c>
      <c r="F72">
        <v>19946</v>
      </c>
      <c r="G72">
        <v>155</v>
      </c>
      <c r="H72">
        <v>152</v>
      </c>
      <c r="I72">
        <v>154</v>
      </c>
      <c r="J72">
        <v>162</v>
      </c>
      <c r="K72">
        <v>155</v>
      </c>
      <c r="L72">
        <v>188</v>
      </c>
      <c r="M72">
        <v>204</v>
      </c>
      <c r="N72">
        <v>188</v>
      </c>
      <c r="O72">
        <v>125</v>
      </c>
      <c r="P72">
        <v>163</v>
      </c>
      <c r="Q72">
        <v>180</v>
      </c>
      <c r="R72">
        <v>187</v>
      </c>
      <c r="S72">
        <f t="shared" si="45"/>
        <v>2013</v>
      </c>
      <c r="T72">
        <v>104</v>
      </c>
      <c r="U72">
        <v>91</v>
      </c>
      <c r="V72">
        <v>89</v>
      </c>
      <c r="W72">
        <v>101</v>
      </c>
      <c r="X72">
        <v>102</v>
      </c>
      <c r="Y72">
        <v>106</v>
      </c>
      <c r="Z72">
        <v>113</v>
      </c>
      <c r="AA72">
        <v>102</v>
      </c>
      <c r="AB72">
        <v>85</v>
      </c>
      <c r="AC72">
        <v>105</v>
      </c>
      <c r="AD72">
        <v>103</v>
      </c>
      <c r="AE72">
        <v>101</v>
      </c>
      <c r="AF72">
        <f t="shared" si="46"/>
        <v>1202</v>
      </c>
      <c r="AG72">
        <v>0</v>
      </c>
      <c r="AH72">
        <v>0</v>
      </c>
      <c r="AI72">
        <v>0</v>
      </c>
      <c r="AJ72">
        <v>0</v>
      </c>
      <c r="AK72">
        <v>0</v>
      </c>
      <c r="AL72">
        <v>0</v>
      </c>
      <c r="AM72">
        <v>0</v>
      </c>
      <c r="AN72">
        <v>0</v>
      </c>
      <c r="AO72">
        <v>0</v>
      </c>
      <c r="AP72">
        <v>0</v>
      </c>
      <c r="AQ72">
        <v>0</v>
      </c>
      <c r="AR72">
        <v>0</v>
      </c>
      <c r="AS72">
        <f t="shared" si="47"/>
        <v>0</v>
      </c>
      <c r="AT72">
        <v>51</v>
      </c>
      <c r="AU72">
        <v>61</v>
      </c>
      <c r="AV72">
        <v>65</v>
      </c>
      <c r="AW72">
        <v>61</v>
      </c>
      <c r="AX72">
        <v>53</v>
      </c>
      <c r="AY72">
        <v>82</v>
      </c>
      <c r="AZ72">
        <v>91</v>
      </c>
      <c r="BA72">
        <v>86</v>
      </c>
      <c r="BB72">
        <v>40</v>
      </c>
      <c r="BC72">
        <v>58</v>
      </c>
      <c r="BD72">
        <v>77</v>
      </c>
      <c r="BE72">
        <v>86</v>
      </c>
      <c r="BF72">
        <f t="shared" si="48"/>
        <v>811</v>
      </c>
      <c r="BG72">
        <v>0</v>
      </c>
      <c r="BH72">
        <v>0</v>
      </c>
      <c r="BI72">
        <v>0</v>
      </c>
      <c r="BJ72">
        <v>0</v>
      </c>
      <c r="BK72">
        <v>0</v>
      </c>
      <c r="BL72">
        <v>0</v>
      </c>
      <c r="BM72">
        <v>0</v>
      </c>
      <c r="BN72">
        <v>0</v>
      </c>
      <c r="BO72">
        <v>0</v>
      </c>
      <c r="BP72">
        <v>0</v>
      </c>
      <c r="BQ72">
        <v>0</v>
      </c>
      <c r="BR72">
        <v>0</v>
      </c>
      <c r="BS72">
        <f t="shared" si="49"/>
        <v>0</v>
      </c>
      <c r="BT72">
        <v>0</v>
      </c>
      <c r="BU72">
        <v>0</v>
      </c>
      <c r="BV72">
        <v>0</v>
      </c>
      <c r="BW72">
        <v>0</v>
      </c>
      <c r="BX72">
        <v>0</v>
      </c>
      <c r="BY72">
        <v>0</v>
      </c>
      <c r="BZ72">
        <v>0</v>
      </c>
      <c r="CA72">
        <v>0</v>
      </c>
      <c r="CB72">
        <v>0</v>
      </c>
      <c r="CC72">
        <v>0</v>
      </c>
      <c r="CD72">
        <v>0</v>
      </c>
      <c r="CE72">
        <v>0</v>
      </c>
      <c r="CF72">
        <f t="shared" si="50"/>
        <v>0</v>
      </c>
      <c r="CG72">
        <v>0</v>
      </c>
      <c r="CH72">
        <v>0</v>
      </c>
      <c r="CI72">
        <v>0</v>
      </c>
      <c r="CJ72">
        <v>0</v>
      </c>
      <c r="CK72">
        <v>0</v>
      </c>
      <c r="CL72">
        <v>0</v>
      </c>
      <c r="CM72">
        <v>0</v>
      </c>
      <c r="CN72">
        <v>0</v>
      </c>
      <c r="CO72">
        <v>0</v>
      </c>
      <c r="CP72">
        <v>0</v>
      </c>
      <c r="CQ72">
        <v>0</v>
      </c>
      <c r="CR72">
        <v>0</v>
      </c>
      <c r="CS72">
        <f t="shared" si="51"/>
        <v>0</v>
      </c>
      <c r="CT72">
        <v>0</v>
      </c>
      <c r="CU72">
        <v>0</v>
      </c>
      <c r="CV72">
        <v>0</v>
      </c>
      <c r="CW72">
        <v>0</v>
      </c>
      <c r="CX72">
        <v>0</v>
      </c>
      <c r="CY72">
        <v>0</v>
      </c>
      <c r="CZ72">
        <v>0</v>
      </c>
      <c r="DA72">
        <v>0</v>
      </c>
      <c r="DB72">
        <v>0</v>
      </c>
      <c r="DC72">
        <v>0</v>
      </c>
      <c r="DD72">
        <v>0</v>
      </c>
      <c r="DE72">
        <v>0</v>
      </c>
      <c r="DF72">
        <f t="shared" si="52"/>
        <v>0</v>
      </c>
      <c r="DG72">
        <v>0</v>
      </c>
      <c r="DH72">
        <v>0</v>
      </c>
      <c r="DI72">
        <v>0</v>
      </c>
      <c r="DJ72">
        <v>0</v>
      </c>
      <c r="DK72">
        <v>0</v>
      </c>
      <c r="DL72">
        <v>0</v>
      </c>
      <c r="DM72">
        <v>0</v>
      </c>
      <c r="DN72">
        <v>0</v>
      </c>
      <c r="DO72">
        <v>0</v>
      </c>
      <c r="DP72">
        <v>0</v>
      </c>
      <c r="DQ72">
        <v>0</v>
      </c>
      <c r="DR72">
        <v>0</v>
      </c>
      <c r="DS72">
        <f t="shared" si="53"/>
        <v>0</v>
      </c>
      <c r="DT72">
        <v>0</v>
      </c>
      <c r="DU72">
        <v>0</v>
      </c>
      <c r="DV72">
        <v>0</v>
      </c>
      <c r="DW72">
        <v>0</v>
      </c>
      <c r="DX72">
        <v>0</v>
      </c>
      <c r="DY72">
        <v>0</v>
      </c>
      <c r="DZ72">
        <v>0</v>
      </c>
      <c r="EA72">
        <v>0</v>
      </c>
      <c r="EB72">
        <v>0</v>
      </c>
      <c r="EC72">
        <v>0</v>
      </c>
      <c r="ED72">
        <v>0</v>
      </c>
      <c r="EE72">
        <v>0</v>
      </c>
      <c r="EF72">
        <f t="shared" si="54"/>
        <v>0</v>
      </c>
      <c r="EG72">
        <f t="shared" si="55"/>
        <v>2013</v>
      </c>
      <c r="EH72">
        <f t="shared" si="56"/>
        <v>0</v>
      </c>
      <c r="EI72">
        <v>1590</v>
      </c>
      <c r="EJ72">
        <v>1796</v>
      </c>
      <c r="EK72">
        <v>1602</v>
      </c>
      <c r="EL72">
        <v>1813</v>
      </c>
      <c r="EM72">
        <v>1784</v>
      </c>
      <c r="EN72">
        <v>1911</v>
      </c>
      <c r="EO72">
        <v>2116</v>
      </c>
      <c r="EP72">
        <v>2209</v>
      </c>
      <c r="EQ72">
        <v>1150</v>
      </c>
      <c r="ER72">
        <v>1836</v>
      </c>
      <c r="ES72">
        <v>1959</v>
      </c>
      <c r="ET72">
        <v>2032</v>
      </c>
      <c r="EU72">
        <f t="shared" si="57"/>
        <v>21798</v>
      </c>
      <c r="EV72">
        <v>1159</v>
      </c>
      <c r="EW72">
        <v>1198</v>
      </c>
      <c r="EX72">
        <v>973</v>
      </c>
      <c r="EY72">
        <v>1349</v>
      </c>
      <c r="EZ72">
        <v>1465</v>
      </c>
      <c r="FA72">
        <v>1124</v>
      </c>
      <c r="FB72">
        <v>1267</v>
      </c>
      <c r="FC72">
        <v>1153</v>
      </c>
      <c r="FD72">
        <v>769</v>
      </c>
      <c r="FE72">
        <v>1194</v>
      </c>
      <c r="FF72">
        <v>1102</v>
      </c>
      <c r="FG72">
        <v>995</v>
      </c>
      <c r="FH72">
        <f t="shared" si="58"/>
        <v>13748</v>
      </c>
      <c r="FI72">
        <v>0</v>
      </c>
      <c r="FJ72">
        <v>0</v>
      </c>
      <c r="FK72">
        <v>0</v>
      </c>
      <c r="FL72">
        <v>0</v>
      </c>
      <c r="FM72">
        <v>0</v>
      </c>
      <c r="FN72">
        <v>0</v>
      </c>
      <c r="FO72">
        <v>0</v>
      </c>
      <c r="FP72">
        <v>0</v>
      </c>
      <c r="FQ72">
        <v>0</v>
      </c>
      <c r="FR72">
        <v>0</v>
      </c>
      <c r="FS72">
        <v>0</v>
      </c>
      <c r="FT72">
        <v>0</v>
      </c>
      <c r="FU72">
        <f t="shared" si="59"/>
        <v>0</v>
      </c>
      <c r="FV72">
        <v>431</v>
      </c>
      <c r="FW72">
        <v>598</v>
      </c>
      <c r="FX72">
        <v>629</v>
      </c>
      <c r="FY72">
        <v>464</v>
      </c>
      <c r="FZ72">
        <v>319</v>
      </c>
      <c r="GA72">
        <v>787</v>
      </c>
      <c r="GB72">
        <v>849</v>
      </c>
      <c r="GC72">
        <v>1056</v>
      </c>
      <c r="GD72">
        <v>381</v>
      </c>
      <c r="GE72">
        <v>642</v>
      </c>
      <c r="GF72">
        <v>857</v>
      </c>
      <c r="GG72">
        <v>1037</v>
      </c>
      <c r="GH72">
        <f t="shared" si="60"/>
        <v>8050</v>
      </c>
      <c r="GI72">
        <v>0</v>
      </c>
      <c r="GJ72">
        <v>0</v>
      </c>
      <c r="GK72">
        <v>0</v>
      </c>
      <c r="GL72">
        <v>0</v>
      </c>
      <c r="GM72">
        <v>0</v>
      </c>
      <c r="GN72">
        <v>0</v>
      </c>
      <c r="GO72">
        <v>0</v>
      </c>
      <c r="GP72">
        <v>0</v>
      </c>
      <c r="GQ72">
        <v>0</v>
      </c>
      <c r="GR72">
        <v>0</v>
      </c>
      <c r="GS72">
        <v>0</v>
      </c>
      <c r="GT72">
        <v>0</v>
      </c>
      <c r="GU72">
        <f t="shared" si="61"/>
        <v>0</v>
      </c>
      <c r="GV72">
        <v>0</v>
      </c>
      <c r="GW72">
        <v>0</v>
      </c>
      <c r="GX72">
        <v>0</v>
      </c>
      <c r="GY72">
        <v>0</v>
      </c>
      <c r="GZ72">
        <v>0</v>
      </c>
      <c r="HA72">
        <v>0</v>
      </c>
      <c r="HB72">
        <v>0</v>
      </c>
      <c r="HC72">
        <v>0</v>
      </c>
      <c r="HD72">
        <v>0</v>
      </c>
      <c r="HE72">
        <v>0</v>
      </c>
      <c r="HF72">
        <v>0</v>
      </c>
      <c r="HG72">
        <v>0</v>
      </c>
      <c r="HH72">
        <f t="shared" si="62"/>
        <v>0</v>
      </c>
      <c r="HI72">
        <v>0</v>
      </c>
      <c r="HJ72">
        <v>0</v>
      </c>
      <c r="HK72">
        <v>0</v>
      </c>
      <c r="HL72">
        <v>0</v>
      </c>
      <c r="HM72">
        <v>0</v>
      </c>
      <c r="HN72">
        <v>0</v>
      </c>
      <c r="HO72">
        <v>0</v>
      </c>
      <c r="HP72">
        <v>0</v>
      </c>
      <c r="HQ72">
        <v>0</v>
      </c>
      <c r="HR72">
        <v>0</v>
      </c>
      <c r="HS72">
        <v>0</v>
      </c>
      <c r="HT72">
        <v>0</v>
      </c>
      <c r="HU72">
        <f t="shared" si="63"/>
        <v>0</v>
      </c>
      <c r="HV72">
        <v>0</v>
      </c>
      <c r="HW72">
        <v>0</v>
      </c>
      <c r="HX72">
        <v>0</v>
      </c>
      <c r="HY72">
        <v>0</v>
      </c>
      <c r="HZ72">
        <v>0</v>
      </c>
      <c r="IA72">
        <v>0</v>
      </c>
      <c r="IB72">
        <v>0</v>
      </c>
      <c r="IC72">
        <v>0</v>
      </c>
      <c r="ID72">
        <v>0</v>
      </c>
      <c r="IE72">
        <v>0</v>
      </c>
      <c r="IF72">
        <v>0</v>
      </c>
      <c r="IG72">
        <v>0</v>
      </c>
      <c r="IH72">
        <f t="shared" si="64"/>
        <v>0</v>
      </c>
      <c r="II72">
        <f t="shared" si="65"/>
        <v>21798</v>
      </c>
      <c r="IJ72">
        <f t="shared" si="66"/>
        <v>0</v>
      </c>
      <c r="IK72">
        <v>71578</v>
      </c>
      <c r="IL72">
        <v>73793</v>
      </c>
      <c r="IM72">
        <v>68890</v>
      </c>
      <c r="IN72">
        <v>86745</v>
      </c>
      <c r="IO72">
        <v>84717</v>
      </c>
      <c r="IP72">
        <v>76773</v>
      </c>
      <c r="IQ72">
        <v>78122</v>
      </c>
      <c r="IR72">
        <v>72027</v>
      </c>
      <c r="IS72">
        <v>67840</v>
      </c>
      <c r="IT72">
        <v>74415</v>
      </c>
      <c r="IU72">
        <v>69994</v>
      </c>
      <c r="IV72">
        <v>74228</v>
      </c>
      <c r="IW72">
        <f t="shared" si="67"/>
        <v>899122</v>
      </c>
      <c r="IX72">
        <v>35896</v>
      </c>
      <c r="IY72">
        <v>37456</v>
      </c>
      <c r="IZ72">
        <v>34272</v>
      </c>
      <c r="JA72">
        <v>47530</v>
      </c>
      <c r="JB72">
        <v>45090</v>
      </c>
      <c r="JC72">
        <v>40419</v>
      </c>
      <c r="JD72">
        <v>40423</v>
      </c>
      <c r="JE72">
        <v>37168</v>
      </c>
      <c r="JF72">
        <v>33451</v>
      </c>
      <c r="JG72">
        <v>37602</v>
      </c>
      <c r="JH72">
        <v>36276</v>
      </c>
      <c r="JI72">
        <v>37506</v>
      </c>
      <c r="JJ72">
        <f t="shared" si="68"/>
        <v>463089</v>
      </c>
      <c r="JK72">
        <v>2271</v>
      </c>
      <c r="JL72">
        <v>2360</v>
      </c>
      <c r="JM72">
        <v>2110</v>
      </c>
      <c r="JN72">
        <v>3140</v>
      </c>
      <c r="JO72">
        <v>3111</v>
      </c>
      <c r="JP72">
        <v>2367</v>
      </c>
      <c r="JQ72">
        <v>2423</v>
      </c>
      <c r="JR72">
        <v>2037</v>
      </c>
      <c r="JS72">
        <v>2104</v>
      </c>
      <c r="JT72">
        <v>2312</v>
      </c>
      <c r="JU72">
        <v>2161</v>
      </c>
      <c r="JV72">
        <v>2397</v>
      </c>
      <c r="JW72">
        <f t="shared" si="69"/>
        <v>28793</v>
      </c>
      <c r="JX72">
        <v>33411</v>
      </c>
      <c r="JY72">
        <v>33977</v>
      </c>
      <c r="JZ72">
        <v>32508</v>
      </c>
      <c r="KA72">
        <v>36075</v>
      </c>
      <c r="KB72">
        <v>36516</v>
      </c>
      <c r="KC72">
        <v>33987</v>
      </c>
      <c r="KD72">
        <v>35276</v>
      </c>
      <c r="KE72">
        <v>32822</v>
      </c>
      <c r="KF72">
        <v>32285</v>
      </c>
      <c r="KG72">
        <v>34501</v>
      </c>
      <c r="KH72">
        <v>31557</v>
      </c>
      <c r="KI72">
        <v>34325</v>
      </c>
      <c r="KJ72">
        <f t="shared" si="70"/>
        <v>407240</v>
      </c>
      <c r="KK72">
        <v>352</v>
      </c>
      <c r="KL72">
        <v>436</v>
      </c>
      <c r="KM72">
        <v>386</v>
      </c>
      <c r="KN72">
        <v>501</v>
      </c>
      <c r="KO72">
        <v>493</v>
      </c>
      <c r="KP72">
        <v>374</v>
      </c>
      <c r="KQ72">
        <v>418</v>
      </c>
      <c r="KR72">
        <v>372</v>
      </c>
      <c r="KS72">
        <v>389</v>
      </c>
      <c r="KT72">
        <v>417</v>
      </c>
      <c r="KU72">
        <v>404</v>
      </c>
      <c r="KV72">
        <v>405</v>
      </c>
      <c r="KW72">
        <f t="shared" si="71"/>
        <v>4947</v>
      </c>
      <c r="KX72">
        <v>95</v>
      </c>
      <c r="KY72">
        <v>112</v>
      </c>
      <c r="KZ72">
        <v>112</v>
      </c>
      <c r="LA72">
        <v>147</v>
      </c>
      <c r="LB72">
        <v>194</v>
      </c>
      <c r="LC72">
        <v>118</v>
      </c>
      <c r="LD72">
        <v>124</v>
      </c>
      <c r="LE72">
        <v>82</v>
      </c>
      <c r="LF72">
        <v>118</v>
      </c>
      <c r="LG72">
        <v>107</v>
      </c>
      <c r="LH72">
        <v>123</v>
      </c>
      <c r="LI72">
        <v>131</v>
      </c>
      <c r="LJ72">
        <f t="shared" si="72"/>
        <v>1463</v>
      </c>
      <c r="LK72">
        <v>2</v>
      </c>
      <c r="LL72">
        <v>1</v>
      </c>
      <c r="LM72">
        <v>2</v>
      </c>
      <c r="LN72">
        <v>2</v>
      </c>
      <c r="LO72">
        <v>2</v>
      </c>
      <c r="LP72">
        <v>0</v>
      </c>
      <c r="LQ72">
        <v>2</v>
      </c>
      <c r="LR72">
        <v>2</v>
      </c>
      <c r="LS72">
        <v>0</v>
      </c>
      <c r="LT72">
        <v>1</v>
      </c>
      <c r="LU72">
        <v>0</v>
      </c>
      <c r="LV72">
        <v>1</v>
      </c>
      <c r="LW72">
        <f t="shared" si="73"/>
        <v>15</v>
      </c>
      <c r="LX72">
        <v>255</v>
      </c>
      <c r="LY72">
        <v>323</v>
      </c>
      <c r="LZ72">
        <v>272</v>
      </c>
      <c r="MA72">
        <v>352</v>
      </c>
      <c r="MB72">
        <v>297</v>
      </c>
      <c r="MC72">
        <v>256</v>
      </c>
      <c r="MD72">
        <v>292</v>
      </c>
      <c r="ME72">
        <v>288</v>
      </c>
      <c r="MF72">
        <v>271</v>
      </c>
      <c r="MG72">
        <v>309</v>
      </c>
      <c r="MH72">
        <v>281</v>
      </c>
      <c r="MI72">
        <v>273</v>
      </c>
      <c r="MJ72">
        <f t="shared" si="74"/>
        <v>3469</v>
      </c>
      <c r="MK72">
        <v>0</v>
      </c>
      <c r="ML72">
        <v>0</v>
      </c>
      <c r="MM72">
        <v>14023</v>
      </c>
      <c r="MN72">
        <v>0</v>
      </c>
      <c r="MO72">
        <v>0</v>
      </c>
      <c r="MP72">
        <v>14077</v>
      </c>
      <c r="MQ72">
        <v>0</v>
      </c>
      <c r="MR72">
        <v>0</v>
      </c>
      <c r="MS72">
        <v>13013</v>
      </c>
      <c r="MT72">
        <v>0</v>
      </c>
      <c r="MU72">
        <v>0</v>
      </c>
      <c r="MV72">
        <v>13682</v>
      </c>
      <c r="MW72">
        <f t="shared" si="75"/>
        <v>54795</v>
      </c>
      <c r="MX72">
        <v>0</v>
      </c>
      <c r="MY72">
        <v>0</v>
      </c>
      <c r="MZ72">
        <v>2738</v>
      </c>
      <c r="NA72">
        <v>0</v>
      </c>
      <c r="NB72">
        <v>0</v>
      </c>
      <c r="NC72">
        <v>2713</v>
      </c>
      <c r="ND72">
        <v>0</v>
      </c>
      <c r="NE72">
        <v>0</v>
      </c>
      <c r="NF72">
        <v>2721</v>
      </c>
      <c r="NG72">
        <v>0</v>
      </c>
      <c r="NH72">
        <v>0</v>
      </c>
      <c r="NI72">
        <v>2715</v>
      </c>
      <c r="NJ72">
        <f t="shared" si="76"/>
        <v>10887</v>
      </c>
      <c r="NK72">
        <v>0</v>
      </c>
      <c r="NL72">
        <v>0</v>
      </c>
      <c r="NM72">
        <v>806</v>
      </c>
      <c r="NN72">
        <v>0</v>
      </c>
      <c r="NO72">
        <v>0</v>
      </c>
      <c r="NP72">
        <v>822</v>
      </c>
      <c r="NQ72">
        <v>0</v>
      </c>
      <c r="NR72">
        <v>0</v>
      </c>
      <c r="NS72">
        <v>631</v>
      </c>
      <c r="NT72">
        <v>0</v>
      </c>
      <c r="NU72">
        <v>0</v>
      </c>
      <c r="NV72">
        <v>815</v>
      </c>
      <c r="NW72">
        <f t="shared" si="77"/>
        <v>3074</v>
      </c>
      <c r="NX72">
        <v>0</v>
      </c>
      <c r="NY72">
        <v>0</v>
      </c>
      <c r="NZ72">
        <v>10479</v>
      </c>
      <c r="OA72">
        <v>0</v>
      </c>
      <c r="OB72">
        <v>0</v>
      </c>
      <c r="OC72">
        <v>10542</v>
      </c>
      <c r="OD72">
        <v>0</v>
      </c>
      <c r="OE72">
        <v>0</v>
      </c>
      <c r="OF72">
        <v>9661</v>
      </c>
      <c r="OG72">
        <v>0</v>
      </c>
      <c r="OH72">
        <v>0</v>
      </c>
      <c r="OI72">
        <v>10152</v>
      </c>
      <c r="OJ72">
        <f t="shared" si="78"/>
        <v>40834</v>
      </c>
      <c r="OK72">
        <v>0</v>
      </c>
      <c r="OL72">
        <v>0</v>
      </c>
      <c r="OM72">
        <v>18447</v>
      </c>
      <c r="ON72">
        <v>0</v>
      </c>
      <c r="OO72">
        <v>0</v>
      </c>
      <c r="OP72">
        <v>19240</v>
      </c>
      <c r="OQ72">
        <v>0</v>
      </c>
      <c r="OR72">
        <v>0</v>
      </c>
      <c r="OS72">
        <v>18935</v>
      </c>
      <c r="OT72">
        <v>0</v>
      </c>
      <c r="OU72">
        <v>0</v>
      </c>
      <c r="OV72">
        <v>20741</v>
      </c>
      <c r="OW72">
        <f t="shared" si="79"/>
        <v>77363</v>
      </c>
      <c r="OX72">
        <v>0</v>
      </c>
      <c r="OY72">
        <v>0</v>
      </c>
      <c r="OZ72">
        <v>3078</v>
      </c>
      <c r="PA72">
        <v>0</v>
      </c>
      <c r="PB72">
        <v>0</v>
      </c>
      <c r="PC72">
        <v>3208</v>
      </c>
      <c r="PD72">
        <v>0</v>
      </c>
      <c r="PE72">
        <v>0</v>
      </c>
      <c r="PF72">
        <v>3158</v>
      </c>
      <c r="PG72">
        <v>0</v>
      </c>
      <c r="PH72">
        <v>0</v>
      </c>
      <c r="PI72">
        <v>3396</v>
      </c>
      <c r="PJ72">
        <f t="shared" si="80"/>
        <v>12840</v>
      </c>
      <c r="PK72">
        <v>0</v>
      </c>
      <c r="PL72">
        <v>0</v>
      </c>
      <c r="PM72">
        <v>684</v>
      </c>
      <c r="PN72">
        <v>0</v>
      </c>
      <c r="PO72">
        <v>0</v>
      </c>
      <c r="PP72">
        <v>730</v>
      </c>
      <c r="PQ72">
        <v>0</v>
      </c>
      <c r="PR72">
        <v>0</v>
      </c>
      <c r="PS72">
        <v>780</v>
      </c>
      <c r="PT72">
        <v>0</v>
      </c>
      <c r="PU72">
        <v>0</v>
      </c>
      <c r="PV72">
        <v>791</v>
      </c>
      <c r="PW72">
        <f t="shared" si="81"/>
        <v>2985</v>
      </c>
      <c r="PX72">
        <v>0</v>
      </c>
      <c r="PY72">
        <v>0</v>
      </c>
      <c r="PZ72">
        <v>14685</v>
      </c>
      <c r="QA72">
        <v>0</v>
      </c>
      <c r="QB72">
        <v>0</v>
      </c>
      <c r="QC72">
        <v>15302</v>
      </c>
      <c r="QD72">
        <v>0</v>
      </c>
      <c r="QE72">
        <v>0</v>
      </c>
      <c r="QF72">
        <v>14997</v>
      </c>
      <c r="QG72">
        <v>0</v>
      </c>
      <c r="QH72">
        <v>0</v>
      </c>
      <c r="QI72">
        <v>16554</v>
      </c>
      <c r="QJ72">
        <f t="shared" si="82"/>
        <v>61538</v>
      </c>
      <c r="QK72">
        <v>83186</v>
      </c>
      <c r="QL72">
        <v>85662</v>
      </c>
      <c r="QM72">
        <v>77442</v>
      </c>
      <c r="QN72">
        <v>82249</v>
      </c>
      <c r="QO72">
        <v>77270</v>
      </c>
      <c r="QP72">
        <v>83206</v>
      </c>
      <c r="QQ72">
        <v>86010</v>
      </c>
      <c r="QR72">
        <v>81861</v>
      </c>
      <c r="QS72">
        <v>70385</v>
      </c>
      <c r="QT72">
        <v>85896</v>
      </c>
      <c r="QU72">
        <v>79057</v>
      </c>
      <c r="QV72">
        <v>84503</v>
      </c>
      <c r="QW72">
        <f t="shared" si="83"/>
        <v>976727</v>
      </c>
      <c r="QX72">
        <v>0</v>
      </c>
      <c r="QY72">
        <v>0</v>
      </c>
      <c r="QZ72">
        <v>0</v>
      </c>
      <c r="RA72">
        <v>0</v>
      </c>
      <c r="RB72">
        <v>0</v>
      </c>
      <c r="RC72">
        <v>0</v>
      </c>
      <c r="RD72">
        <v>0</v>
      </c>
      <c r="RE72">
        <v>0</v>
      </c>
      <c r="RF72">
        <v>0</v>
      </c>
      <c r="RG72">
        <v>0</v>
      </c>
      <c r="RH72">
        <v>0</v>
      </c>
      <c r="RI72">
        <v>0</v>
      </c>
      <c r="RJ72">
        <f t="shared" si="84"/>
        <v>0</v>
      </c>
      <c r="RK72">
        <v>0</v>
      </c>
      <c r="RL72">
        <v>0</v>
      </c>
      <c r="RM72">
        <v>0</v>
      </c>
      <c r="RN72">
        <v>0</v>
      </c>
      <c r="RO72">
        <v>0</v>
      </c>
      <c r="RP72">
        <v>0</v>
      </c>
      <c r="RQ72">
        <v>0</v>
      </c>
      <c r="RR72">
        <v>0</v>
      </c>
      <c r="RS72">
        <v>0</v>
      </c>
      <c r="RT72">
        <v>0</v>
      </c>
      <c r="RU72">
        <v>0</v>
      </c>
      <c r="RV72">
        <v>0</v>
      </c>
      <c r="RW72">
        <f t="shared" si="85"/>
        <v>0</v>
      </c>
      <c r="RX72">
        <v>0</v>
      </c>
      <c r="RY72">
        <v>0</v>
      </c>
      <c r="RZ72">
        <v>0</v>
      </c>
      <c r="SA72">
        <v>0</v>
      </c>
      <c r="SB72">
        <v>0</v>
      </c>
      <c r="SC72">
        <v>0</v>
      </c>
      <c r="SD72">
        <v>0</v>
      </c>
      <c r="SE72">
        <v>0</v>
      </c>
      <c r="SF72">
        <v>0</v>
      </c>
      <c r="SG72">
        <v>0</v>
      </c>
      <c r="SH72">
        <v>0</v>
      </c>
      <c r="SI72">
        <v>0</v>
      </c>
      <c r="SJ72">
        <f t="shared" si="86"/>
        <v>0</v>
      </c>
      <c r="SK72">
        <v>71</v>
      </c>
      <c r="SL72">
        <v>71</v>
      </c>
      <c r="SM72">
        <v>71</v>
      </c>
      <c r="SN72">
        <v>71</v>
      </c>
      <c r="SO72">
        <v>71</v>
      </c>
      <c r="SP72">
        <v>71</v>
      </c>
      <c r="SQ72">
        <v>71</v>
      </c>
      <c r="SR72">
        <v>71</v>
      </c>
      <c r="SS72">
        <v>71</v>
      </c>
      <c r="ST72">
        <v>71</v>
      </c>
      <c r="SU72">
        <v>71</v>
      </c>
      <c r="SV72">
        <v>71</v>
      </c>
      <c r="SW72">
        <f t="shared" si="87"/>
        <v>852</v>
      </c>
      <c r="SX72" t="s">
        <v>1519</v>
      </c>
      <c r="SY72">
        <v>3762</v>
      </c>
      <c r="SZ72">
        <v>4021</v>
      </c>
      <c r="TA72">
        <v>3814</v>
      </c>
      <c r="TB72">
        <v>4340</v>
      </c>
      <c r="TC72">
        <v>4225</v>
      </c>
      <c r="TD72">
        <v>4293</v>
      </c>
      <c r="TE72">
        <v>4599</v>
      </c>
      <c r="TF72">
        <v>4108</v>
      </c>
      <c r="TG72">
        <v>3565</v>
      </c>
      <c r="TH72">
        <v>4107</v>
      </c>
      <c r="TI72">
        <v>3901</v>
      </c>
      <c r="TJ72">
        <v>4317</v>
      </c>
      <c r="TK72">
        <f t="shared" si="88"/>
        <v>49052</v>
      </c>
      <c r="TL72">
        <v>0</v>
      </c>
      <c r="TM72">
        <v>0</v>
      </c>
      <c r="TN72">
        <v>0</v>
      </c>
      <c r="TO72">
        <v>0</v>
      </c>
      <c r="TP72">
        <v>0</v>
      </c>
      <c r="TQ72">
        <v>0</v>
      </c>
      <c r="TR72">
        <v>0</v>
      </c>
      <c r="TS72">
        <v>0</v>
      </c>
      <c r="TT72">
        <v>0</v>
      </c>
      <c r="TU72">
        <v>0</v>
      </c>
      <c r="TV72">
        <v>0</v>
      </c>
      <c r="TW72">
        <v>0</v>
      </c>
      <c r="TX72">
        <f t="shared" si="89"/>
        <v>0</v>
      </c>
      <c r="TY72">
        <v>90</v>
      </c>
      <c r="TZ72">
        <v>9</v>
      </c>
      <c r="UA72">
        <v>629</v>
      </c>
      <c r="UB72">
        <v>0</v>
      </c>
    </row>
    <row r="73" spans="1:548" ht="16.5" customHeight="1" x14ac:dyDescent="0.35">
      <c r="A73" t="s">
        <v>1373</v>
      </c>
      <c r="B73" t="s">
        <v>2865</v>
      </c>
      <c r="C73">
        <v>15306</v>
      </c>
      <c r="D73">
        <v>6466</v>
      </c>
      <c r="E73">
        <v>910</v>
      </c>
      <c r="F73">
        <v>7930</v>
      </c>
      <c r="G73">
        <v>0</v>
      </c>
      <c r="H73">
        <v>0</v>
      </c>
      <c r="I73">
        <v>0</v>
      </c>
      <c r="J73">
        <v>0</v>
      </c>
      <c r="K73">
        <v>0</v>
      </c>
      <c r="L73">
        <v>0</v>
      </c>
      <c r="M73">
        <v>0</v>
      </c>
      <c r="N73">
        <v>0</v>
      </c>
      <c r="O73">
        <v>0</v>
      </c>
      <c r="P73">
        <v>0</v>
      </c>
      <c r="Q73">
        <v>0</v>
      </c>
      <c r="R73">
        <v>0</v>
      </c>
      <c r="S73">
        <f t="shared" si="45"/>
        <v>0</v>
      </c>
      <c r="T73">
        <v>0</v>
      </c>
      <c r="U73">
        <v>0</v>
      </c>
      <c r="V73">
        <v>0</v>
      </c>
      <c r="W73">
        <v>0</v>
      </c>
      <c r="X73">
        <v>0</v>
      </c>
      <c r="Y73">
        <v>0</v>
      </c>
      <c r="Z73">
        <v>0</v>
      </c>
      <c r="AA73">
        <v>0</v>
      </c>
      <c r="AB73">
        <v>0</v>
      </c>
      <c r="AC73">
        <v>0</v>
      </c>
      <c r="AD73">
        <v>0</v>
      </c>
      <c r="AE73">
        <v>0</v>
      </c>
      <c r="AF73">
        <f t="shared" si="46"/>
        <v>0</v>
      </c>
      <c r="AG73">
        <v>0</v>
      </c>
      <c r="AH73">
        <v>0</v>
      </c>
      <c r="AI73">
        <v>0</v>
      </c>
      <c r="AJ73">
        <v>0</v>
      </c>
      <c r="AK73">
        <v>0</v>
      </c>
      <c r="AL73">
        <v>0</v>
      </c>
      <c r="AM73">
        <v>0</v>
      </c>
      <c r="AN73">
        <v>0</v>
      </c>
      <c r="AO73">
        <v>0</v>
      </c>
      <c r="AP73">
        <v>0</v>
      </c>
      <c r="AQ73">
        <v>0</v>
      </c>
      <c r="AR73">
        <v>0</v>
      </c>
      <c r="AS73">
        <f t="shared" si="47"/>
        <v>0</v>
      </c>
      <c r="AT73">
        <v>0</v>
      </c>
      <c r="AU73">
        <v>0</v>
      </c>
      <c r="AV73">
        <v>0</v>
      </c>
      <c r="AW73">
        <v>0</v>
      </c>
      <c r="AX73">
        <v>0</v>
      </c>
      <c r="AY73">
        <v>0</v>
      </c>
      <c r="AZ73">
        <v>0</v>
      </c>
      <c r="BA73">
        <v>0</v>
      </c>
      <c r="BB73">
        <v>0</v>
      </c>
      <c r="BC73">
        <v>0</v>
      </c>
      <c r="BD73">
        <v>0</v>
      </c>
      <c r="BE73">
        <v>0</v>
      </c>
      <c r="BF73">
        <f t="shared" si="48"/>
        <v>0</v>
      </c>
      <c r="BG73">
        <v>0</v>
      </c>
      <c r="BH73">
        <v>0</v>
      </c>
      <c r="BI73">
        <v>0</v>
      </c>
      <c r="BJ73">
        <v>0</v>
      </c>
      <c r="BK73">
        <v>0</v>
      </c>
      <c r="BL73">
        <v>0</v>
      </c>
      <c r="BM73">
        <v>0</v>
      </c>
      <c r="BN73">
        <v>0</v>
      </c>
      <c r="BO73">
        <v>0</v>
      </c>
      <c r="BP73">
        <v>0</v>
      </c>
      <c r="BQ73">
        <v>0</v>
      </c>
      <c r="BR73">
        <v>0</v>
      </c>
      <c r="BS73">
        <f t="shared" si="49"/>
        <v>0</v>
      </c>
      <c r="BT73">
        <v>0</v>
      </c>
      <c r="BU73">
        <v>0</v>
      </c>
      <c r="BV73">
        <v>0</v>
      </c>
      <c r="BW73">
        <v>0</v>
      </c>
      <c r="BX73">
        <v>0</v>
      </c>
      <c r="BY73">
        <v>0</v>
      </c>
      <c r="BZ73">
        <v>0</v>
      </c>
      <c r="CA73">
        <v>0</v>
      </c>
      <c r="CB73">
        <v>0</v>
      </c>
      <c r="CC73">
        <v>0</v>
      </c>
      <c r="CD73">
        <v>0</v>
      </c>
      <c r="CE73">
        <v>0</v>
      </c>
      <c r="CF73">
        <f t="shared" si="50"/>
        <v>0</v>
      </c>
      <c r="CG73">
        <v>0</v>
      </c>
      <c r="CH73">
        <v>0</v>
      </c>
      <c r="CI73">
        <v>0</v>
      </c>
      <c r="CJ73">
        <v>0</v>
      </c>
      <c r="CK73">
        <v>0</v>
      </c>
      <c r="CL73">
        <v>0</v>
      </c>
      <c r="CM73">
        <v>0</v>
      </c>
      <c r="CN73">
        <v>0</v>
      </c>
      <c r="CO73">
        <v>0</v>
      </c>
      <c r="CP73">
        <v>0</v>
      </c>
      <c r="CQ73">
        <v>0</v>
      </c>
      <c r="CR73">
        <v>0</v>
      </c>
      <c r="CS73">
        <f t="shared" si="51"/>
        <v>0</v>
      </c>
      <c r="CT73">
        <v>0</v>
      </c>
      <c r="CU73">
        <v>0</v>
      </c>
      <c r="CV73">
        <v>0</v>
      </c>
      <c r="CW73">
        <v>0</v>
      </c>
      <c r="CX73">
        <v>0</v>
      </c>
      <c r="CY73">
        <v>0</v>
      </c>
      <c r="CZ73">
        <v>0</v>
      </c>
      <c r="DA73">
        <v>0</v>
      </c>
      <c r="DB73">
        <v>0</v>
      </c>
      <c r="DC73">
        <v>0</v>
      </c>
      <c r="DD73">
        <v>0</v>
      </c>
      <c r="DE73">
        <v>0</v>
      </c>
      <c r="DF73">
        <f t="shared" si="52"/>
        <v>0</v>
      </c>
      <c r="DG73">
        <v>0</v>
      </c>
      <c r="DH73">
        <v>0</v>
      </c>
      <c r="DI73">
        <v>0</v>
      </c>
      <c r="DJ73">
        <v>0</v>
      </c>
      <c r="DK73">
        <v>0</v>
      </c>
      <c r="DL73">
        <v>0</v>
      </c>
      <c r="DM73">
        <v>0</v>
      </c>
      <c r="DN73">
        <v>0</v>
      </c>
      <c r="DO73">
        <v>0</v>
      </c>
      <c r="DP73">
        <v>0</v>
      </c>
      <c r="DQ73">
        <v>0</v>
      </c>
      <c r="DR73">
        <v>0</v>
      </c>
      <c r="DS73">
        <f t="shared" si="53"/>
        <v>0</v>
      </c>
      <c r="DT73">
        <v>0</v>
      </c>
      <c r="DU73">
        <v>0</v>
      </c>
      <c r="DV73">
        <v>0</v>
      </c>
      <c r="DW73">
        <v>0</v>
      </c>
      <c r="DX73">
        <v>0</v>
      </c>
      <c r="DY73">
        <v>0</v>
      </c>
      <c r="DZ73">
        <v>0</v>
      </c>
      <c r="EA73">
        <v>0</v>
      </c>
      <c r="EB73">
        <v>0</v>
      </c>
      <c r="EC73">
        <v>0</v>
      </c>
      <c r="ED73">
        <v>0</v>
      </c>
      <c r="EE73">
        <v>0</v>
      </c>
      <c r="EF73">
        <f t="shared" si="54"/>
        <v>0</v>
      </c>
      <c r="EG73">
        <f t="shared" si="55"/>
        <v>0</v>
      </c>
      <c r="EH73">
        <f t="shared" si="56"/>
        <v>0</v>
      </c>
      <c r="EI73">
        <v>10356</v>
      </c>
      <c r="EJ73">
        <v>9878</v>
      </c>
      <c r="EK73">
        <v>10540</v>
      </c>
      <c r="EL73">
        <v>12137</v>
      </c>
      <c r="EM73">
        <v>10758</v>
      </c>
      <c r="EN73">
        <v>11050</v>
      </c>
      <c r="EO73">
        <v>11999</v>
      </c>
      <c r="EP73">
        <v>10684</v>
      </c>
      <c r="EQ73">
        <v>6842</v>
      </c>
      <c r="ER73">
        <v>9640</v>
      </c>
      <c r="ES73">
        <v>10624</v>
      </c>
      <c r="ET73">
        <v>12497</v>
      </c>
      <c r="EU73">
        <f t="shared" si="57"/>
        <v>127005</v>
      </c>
      <c r="EV73">
        <v>4031</v>
      </c>
      <c r="EW73">
        <v>4315</v>
      </c>
      <c r="EX73">
        <v>4201</v>
      </c>
      <c r="EY73">
        <v>5463</v>
      </c>
      <c r="EZ73">
        <v>5024</v>
      </c>
      <c r="FA73">
        <v>4199</v>
      </c>
      <c r="FB73">
        <v>4410</v>
      </c>
      <c r="FC73">
        <v>4081</v>
      </c>
      <c r="FD73">
        <v>2814</v>
      </c>
      <c r="FE73">
        <v>3470</v>
      </c>
      <c r="FF73">
        <v>4188</v>
      </c>
      <c r="FG73">
        <v>5333</v>
      </c>
      <c r="FH73">
        <f t="shared" si="58"/>
        <v>51529</v>
      </c>
      <c r="FI73">
        <v>0</v>
      </c>
      <c r="FJ73">
        <v>0</v>
      </c>
      <c r="FK73">
        <v>0</v>
      </c>
      <c r="FL73">
        <v>0</v>
      </c>
      <c r="FM73">
        <v>0</v>
      </c>
      <c r="FN73">
        <v>0</v>
      </c>
      <c r="FO73">
        <v>0</v>
      </c>
      <c r="FP73">
        <v>0</v>
      </c>
      <c r="FQ73">
        <v>0</v>
      </c>
      <c r="FR73">
        <v>0</v>
      </c>
      <c r="FS73">
        <v>0</v>
      </c>
      <c r="FT73">
        <v>0</v>
      </c>
      <c r="FU73">
        <f t="shared" si="59"/>
        <v>0</v>
      </c>
      <c r="FV73">
        <v>6325</v>
      </c>
      <c r="FW73">
        <v>5563</v>
      </c>
      <c r="FX73">
        <v>6339</v>
      </c>
      <c r="FY73">
        <v>6674</v>
      </c>
      <c r="FZ73">
        <v>5734</v>
      </c>
      <c r="GA73">
        <v>6851</v>
      </c>
      <c r="GB73">
        <v>7589</v>
      </c>
      <c r="GC73">
        <v>6603</v>
      </c>
      <c r="GD73">
        <v>4028</v>
      </c>
      <c r="GE73">
        <v>6170</v>
      </c>
      <c r="GF73">
        <v>6436</v>
      </c>
      <c r="GG73">
        <v>7164</v>
      </c>
      <c r="GH73">
        <f t="shared" si="60"/>
        <v>75476</v>
      </c>
      <c r="GI73">
        <v>0</v>
      </c>
      <c r="GJ73">
        <v>0</v>
      </c>
      <c r="GK73">
        <v>0</v>
      </c>
      <c r="GL73">
        <v>0</v>
      </c>
      <c r="GM73">
        <v>0</v>
      </c>
      <c r="GN73">
        <v>0</v>
      </c>
      <c r="GO73">
        <v>0</v>
      </c>
      <c r="GP73">
        <v>0</v>
      </c>
      <c r="GQ73">
        <v>0</v>
      </c>
      <c r="GR73">
        <v>0</v>
      </c>
      <c r="GS73">
        <v>0</v>
      </c>
      <c r="GT73">
        <v>0</v>
      </c>
      <c r="GU73">
        <f t="shared" si="61"/>
        <v>0</v>
      </c>
      <c r="GV73">
        <v>0</v>
      </c>
      <c r="GW73">
        <v>0</v>
      </c>
      <c r="GX73">
        <v>0</v>
      </c>
      <c r="GY73">
        <v>0</v>
      </c>
      <c r="GZ73">
        <v>0</v>
      </c>
      <c r="HA73">
        <v>0</v>
      </c>
      <c r="HB73">
        <v>0</v>
      </c>
      <c r="HC73">
        <v>0</v>
      </c>
      <c r="HD73">
        <v>0</v>
      </c>
      <c r="HE73">
        <v>0</v>
      </c>
      <c r="HF73">
        <v>0</v>
      </c>
      <c r="HG73">
        <v>0</v>
      </c>
      <c r="HH73">
        <f t="shared" si="62"/>
        <v>0</v>
      </c>
      <c r="HI73">
        <v>0</v>
      </c>
      <c r="HJ73">
        <v>0</v>
      </c>
      <c r="HK73">
        <v>0</v>
      </c>
      <c r="HL73">
        <v>0</v>
      </c>
      <c r="HM73">
        <v>0</v>
      </c>
      <c r="HN73">
        <v>0</v>
      </c>
      <c r="HO73">
        <v>0</v>
      </c>
      <c r="HP73">
        <v>0</v>
      </c>
      <c r="HQ73">
        <v>0</v>
      </c>
      <c r="HR73">
        <v>0</v>
      </c>
      <c r="HS73">
        <v>0</v>
      </c>
      <c r="HT73">
        <v>0</v>
      </c>
      <c r="HU73">
        <f t="shared" si="63"/>
        <v>0</v>
      </c>
      <c r="HV73">
        <v>0</v>
      </c>
      <c r="HW73">
        <v>0</v>
      </c>
      <c r="HX73">
        <v>0</v>
      </c>
      <c r="HY73">
        <v>0</v>
      </c>
      <c r="HZ73">
        <v>0</v>
      </c>
      <c r="IA73">
        <v>0</v>
      </c>
      <c r="IB73">
        <v>0</v>
      </c>
      <c r="IC73">
        <v>0</v>
      </c>
      <c r="ID73">
        <v>0</v>
      </c>
      <c r="IE73">
        <v>0</v>
      </c>
      <c r="IF73">
        <v>0</v>
      </c>
      <c r="IG73">
        <v>0</v>
      </c>
      <c r="IH73">
        <f t="shared" si="64"/>
        <v>0</v>
      </c>
      <c r="II73">
        <f t="shared" si="65"/>
        <v>127005</v>
      </c>
      <c r="IJ73">
        <f t="shared" si="66"/>
        <v>0</v>
      </c>
      <c r="IK73">
        <v>25904</v>
      </c>
      <c r="IL73">
        <v>22592</v>
      </c>
      <c r="IM73">
        <v>20759</v>
      </c>
      <c r="IN73">
        <v>27493</v>
      </c>
      <c r="IO73">
        <v>28626</v>
      </c>
      <c r="IP73">
        <v>23882</v>
      </c>
      <c r="IQ73">
        <v>25763</v>
      </c>
      <c r="IR73">
        <v>20226</v>
      </c>
      <c r="IS73">
        <v>19134</v>
      </c>
      <c r="IT73">
        <v>21578</v>
      </c>
      <c r="IU73">
        <v>23459</v>
      </c>
      <c r="IV73">
        <v>23406</v>
      </c>
      <c r="IW73">
        <f t="shared" si="67"/>
        <v>282822</v>
      </c>
      <c r="IX73">
        <v>13823</v>
      </c>
      <c r="IY73">
        <v>10389</v>
      </c>
      <c r="IZ73">
        <v>9205</v>
      </c>
      <c r="JA73">
        <v>14596</v>
      </c>
      <c r="JB73">
        <v>16290</v>
      </c>
      <c r="JC73">
        <v>11158</v>
      </c>
      <c r="JD73">
        <v>12959</v>
      </c>
      <c r="JE73">
        <v>8764</v>
      </c>
      <c r="JF73">
        <v>9862</v>
      </c>
      <c r="JG73">
        <v>9757</v>
      </c>
      <c r="JH73">
        <v>12060</v>
      </c>
      <c r="JI73">
        <v>10940</v>
      </c>
      <c r="JJ73">
        <f t="shared" si="68"/>
        <v>139803</v>
      </c>
      <c r="JK73">
        <v>309</v>
      </c>
      <c r="JL73">
        <v>344</v>
      </c>
      <c r="JM73">
        <v>337</v>
      </c>
      <c r="JN73">
        <v>361</v>
      </c>
      <c r="JO73">
        <v>393</v>
      </c>
      <c r="JP73">
        <v>291</v>
      </c>
      <c r="JQ73">
        <v>266</v>
      </c>
      <c r="JR73">
        <v>248</v>
      </c>
      <c r="JS73">
        <v>195</v>
      </c>
      <c r="JT73">
        <v>241</v>
      </c>
      <c r="JU73">
        <v>283</v>
      </c>
      <c r="JV73">
        <v>311</v>
      </c>
      <c r="JW73">
        <f t="shared" si="69"/>
        <v>3579</v>
      </c>
      <c r="JX73">
        <v>11772</v>
      </c>
      <c r="JY73">
        <v>11859</v>
      </c>
      <c r="JZ73">
        <v>11217</v>
      </c>
      <c r="KA73">
        <v>12536</v>
      </c>
      <c r="KB73">
        <v>11943</v>
      </c>
      <c r="KC73">
        <v>12433</v>
      </c>
      <c r="KD73">
        <v>12538</v>
      </c>
      <c r="KE73">
        <v>11214</v>
      </c>
      <c r="KF73">
        <v>9077</v>
      </c>
      <c r="KG73">
        <v>11580</v>
      </c>
      <c r="KH73">
        <v>11116</v>
      </c>
      <c r="KI73">
        <v>12155</v>
      </c>
      <c r="KJ73">
        <f t="shared" si="70"/>
        <v>139440</v>
      </c>
      <c r="KK73">
        <v>520</v>
      </c>
      <c r="KL73">
        <v>465</v>
      </c>
      <c r="KM73">
        <v>461</v>
      </c>
      <c r="KN73">
        <v>520</v>
      </c>
      <c r="KO73">
        <v>438</v>
      </c>
      <c r="KP73">
        <v>559</v>
      </c>
      <c r="KQ73">
        <v>491</v>
      </c>
      <c r="KR73">
        <v>442</v>
      </c>
      <c r="KS73">
        <v>372</v>
      </c>
      <c r="KT73">
        <v>415</v>
      </c>
      <c r="KU73">
        <v>526</v>
      </c>
      <c r="KV73">
        <v>569</v>
      </c>
      <c r="KW73">
        <f t="shared" si="71"/>
        <v>5778</v>
      </c>
      <c r="KX73">
        <v>10</v>
      </c>
      <c r="KY73">
        <v>9</v>
      </c>
      <c r="KZ73">
        <v>18</v>
      </c>
      <c r="LA73">
        <v>19</v>
      </c>
      <c r="LB73">
        <v>18</v>
      </c>
      <c r="LC73">
        <v>21</v>
      </c>
      <c r="LD73">
        <v>11</v>
      </c>
      <c r="LE73">
        <v>12</v>
      </c>
      <c r="LF73">
        <v>10</v>
      </c>
      <c r="LG73">
        <v>7</v>
      </c>
      <c r="LH73">
        <v>12</v>
      </c>
      <c r="LI73">
        <v>2</v>
      </c>
      <c r="LJ73">
        <f t="shared" si="72"/>
        <v>149</v>
      </c>
      <c r="LK73">
        <v>0</v>
      </c>
      <c r="LL73">
        <v>0</v>
      </c>
      <c r="LM73">
        <v>0</v>
      </c>
      <c r="LN73">
        <v>0</v>
      </c>
      <c r="LO73">
        <v>0</v>
      </c>
      <c r="LP73">
        <v>0</v>
      </c>
      <c r="LQ73">
        <v>0</v>
      </c>
      <c r="LR73">
        <v>0</v>
      </c>
      <c r="LS73">
        <v>0</v>
      </c>
      <c r="LT73">
        <v>0</v>
      </c>
      <c r="LU73">
        <v>0</v>
      </c>
      <c r="LV73">
        <v>0</v>
      </c>
      <c r="LW73">
        <f t="shared" si="73"/>
        <v>0</v>
      </c>
      <c r="LX73">
        <v>510</v>
      </c>
      <c r="LY73">
        <v>456</v>
      </c>
      <c r="LZ73">
        <v>443</v>
      </c>
      <c r="MA73">
        <v>501</v>
      </c>
      <c r="MB73">
        <v>420</v>
      </c>
      <c r="MC73">
        <v>538</v>
      </c>
      <c r="MD73">
        <v>480</v>
      </c>
      <c r="ME73">
        <v>430</v>
      </c>
      <c r="MF73">
        <v>362</v>
      </c>
      <c r="MG73">
        <v>408</v>
      </c>
      <c r="MH73">
        <v>514</v>
      </c>
      <c r="MI73">
        <v>567</v>
      </c>
      <c r="MJ73">
        <f t="shared" si="74"/>
        <v>5629</v>
      </c>
      <c r="MK73">
        <v>1585</v>
      </c>
      <c r="ML73">
        <v>1284</v>
      </c>
      <c r="MM73">
        <v>1289</v>
      </c>
      <c r="MN73">
        <v>1200</v>
      </c>
      <c r="MO73">
        <v>1242</v>
      </c>
      <c r="MP73">
        <v>1213</v>
      </c>
      <c r="MQ73">
        <v>1024</v>
      </c>
      <c r="MR73">
        <v>1025</v>
      </c>
      <c r="MS73">
        <v>9585</v>
      </c>
      <c r="MT73">
        <v>1033</v>
      </c>
      <c r="MU73">
        <v>1012</v>
      </c>
      <c r="MV73">
        <v>1127</v>
      </c>
      <c r="MW73">
        <f t="shared" si="75"/>
        <v>22619</v>
      </c>
      <c r="MX73">
        <v>0</v>
      </c>
      <c r="MY73">
        <v>0</v>
      </c>
      <c r="MZ73">
        <v>0</v>
      </c>
      <c r="NA73">
        <v>0</v>
      </c>
      <c r="NB73">
        <v>0</v>
      </c>
      <c r="NC73">
        <v>0</v>
      </c>
      <c r="ND73">
        <v>0</v>
      </c>
      <c r="NE73">
        <v>0</v>
      </c>
      <c r="NF73">
        <v>0</v>
      </c>
      <c r="NG73">
        <v>0</v>
      </c>
      <c r="NH73">
        <v>0</v>
      </c>
      <c r="NI73">
        <v>0</v>
      </c>
      <c r="NJ73">
        <f t="shared" si="76"/>
        <v>0</v>
      </c>
      <c r="NK73">
        <v>0</v>
      </c>
      <c r="NL73">
        <v>0</v>
      </c>
      <c r="NM73">
        <v>0</v>
      </c>
      <c r="NN73">
        <v>0</v>
      </c>
      <c r="NO73">
        <v>0</v>
      </c>
      <c r="NP73">
        <v>0</v>
      </c>
      <c r="NQ73">
        <v>0</v>
      </c>
      <c r="NR73">
        <v>0</v>
      </c>
      <c r="NS73">
        <v>0</v>
      </c>
      <c r="NT73">
        <v>0</v>
      </c>
      <c r="NU73">
        <v>0</v>
      </c>
      <c r="NV73">
        <v>0</v>
      </c>
      <c r="NW73">
        <f t="shared" si="77"/>
        <v>0</v>
      </c>
      <c r="NX73">
        <v>0</v>
      </c>
      <c r="NY73">
        <v>0</v>
      </c>
      <c r="NZ73">
        <v>0</v>
      </c>
      <c r="OA73">
        <v>0</v>
      </c>
      <c r="OB73">
        <v>0</v>
      </c>
      <c r="OC73">
        <v>0</v>
      </c>
      <c r="OD73">
        <v>0</v>
      </c>
      <c r="OE73">
        <v>0</v>
      </c>
      <c r="OF73">
        <v>0</v>
      </c>
      <c r="OG73">
        <v>0</v>
      </c>
      <c r="OH73">
        <v>0</v>
      </c>
      <c r="OI73">
        <v>0</v>
      </c>
      <c r="OJ73">
        <f t="shared" si="78"/>
        <v>0</v>
      </c>
      <c r="OK73">
        <v>1585</v>
      </c>
      <c r="OL73">
        <v>1639</v>
      </c>
      <c r="OM73">
        <v>1578</v>
      </c>
      <c r="ON73">
        <v>1437</v>
      </c>
      <c r="OO73">
        <v>1453</v>
      </c>
      <c r="OP73">
        <v>1454</v>
      </c>
      <c r="OQ73">
        <v>1111</v>
      </c>
      <c r="OR73">
        <v>1025</v>
      </c>
      <c r="OS73">
        <v>1028</v>
      </c>
      <c r="OT73">
        <v>1040</v>
      </c>
      <c r="OU73">
        <v>968</v>
      </c>
      <c r="OV73">
        <v>1084</v>
      </c>
      <c r="OW73">
        <f t="shared" si="79"/>
        <v>15402</v>
      </c>
      <c r="OX73">
        <v>0</v>
      </c>
      <c r="OY73">
        <v>0</v>
      </c>
      <c r="OZ73">
        <v>0</v>
      </c>
      <c r="PA73">
        <v>0</v>
      </c>
      <c r="PB73">
        <v>0</v>
      </c>
      <c r="PC73">
        <v>0</v>
      </c>
      <c r="PD73">
        <v>0</v>
      </c>
      <c r="PE73">
        <v>0</v>
      </c>
      <c r="PF73">
        <v>0</v>
      </c>
      <c r="PG73">
        <v>0</v>
      </c>
      <c r="PH73">
        <v>0</v>
      </c>
      <c r="PI73">
        <v>0</v>
      </c>
      <c r="PJ73">
        <f t="shared" si="80"/>
        <v>0</v>
      </c>
      <c r="PK73">
        <v>0</v>
      </c>
      <c r="PL73">
        <v>0</v>
      </c>
      <c r="PM73">
        <v>0</v>
      </c>
      <c r="PN73">
        <v>0</v>
      </c>
      <c r="PO73">
        <v>0</v>
      </c>
      <c r="PP73">
        <v>0</v>
      </c>
      <c r="PQ73">
        <v>0</v>
      </c>
      <c r="PR73">
        <v>0</v>
      </c>
      <c r="PS73">
        <v>0</v>
      </c>
      <c r="PT73">
        <v>0</v>
      </c>
      <c r="PU73">
        <v>0</v>
      </c>
      <c r="PV73">
        <v>0</v>
      </c>
      <c r="PW73">
        <f t="shared" si="81"/>
        <v>0</v>
      </c>
      <c r="PX73">
        <v>0</v>
      </c>
      <c r="PY73">
        <v>0</v>
      </c>
      <c r="PZ73">
        <v>0</v>
      </c>
      <c r="QA73">
        <v>0</v>
      </c>
      <c r="QB73">
        <v>0</v>
      </c>
      <c r="QC73">
        <v>0</v>
      </c>
      <c r="QD73">
        <v>0</v>
      </c>
      <c r="QE73">
        <v>0</v>
      </c>
      <c r="QF73">
        <v>0</v>
      </c>
      <c r="QG73">
        <v>0</v>
      </c>
      <c r="QH73">
        <v>0</v>
      </c>
      <c r="QI73">
        <v>0</v>
      </c>
      <c r="QJ73">
        <f t="shared" si="82"/>
        <v>0</v>
      </c>
      <c r="QK73">
        <v>12311</v>
      </c>
      <c r="QL73">
        <v>10325</v>
      </c>
      <c r="QM73">
        <v>9763</v>
      </c>
      <c r="QN73">
        <v>10153</v>
      </c>
      <c r="QO73">
        <v>9574</v>
      </c>
      <c r="QP73">
        <v>9964</v>
      </c>
      <c r="QQ73">
        <v>7370</v>
      </c>
      <c r="QR73">
        <v>9374</v>
      </c>
      <c r="QS73">
        <v>6006</v>
      </c>
      <c r="QT73">
        <v>8817</v>
      </c>
      <c r="QU73">
        <v>8758</v>
      </c>
      <c r="QV73">
        <v>2234</v>
      </c>
      <c r="QW73">
        <f t="shared" si="83"/>
        <v>104649</v>
      </c>
      <c r="QX73">
        <v>16188</v>
      </c>
      <c r="QY73">
        <v>17229</v>
      </c>
      <c r="QZ73">
        <v>17600</v>
      </c>
      <c r="RA73">
        <v>20221</v>
      </c>
      <c r="RB73">
        <v>10901</v>
      </c>
      <c r="RC73">
        <v>17805</v>
      </c>
      <c r="RD73">
        <v>12737</v>
      </c>
      <c r="RE73">
        <v>21709</v>
      </c>
      <c r="RF73">
        <v>15380</v>
      </c>
      <c r="RG73">
        <v>20881</v>
      </c>
      <c r="RH73">
        <v>22333</v>
      </c>
      <c r="RI73">
        <v>5880</v>
      </c>
      <c r="RJ73">
        <f t="shared" si="84"/>
        <v>198864</v>
      </c>
      <c r="RK73">
        <v>0</v>
      </c>
      <c r="RL73">
        <v>0</v>
      </c>
      <c r="RM73">
        <v>0</v>
      </c>
      <c r="RN73">
        <v>0</v>
      </c>
      <c r="RO73">
        <v>0</v>
      </c>
      <c r="RP73">
        <v>0</v>
      </c>
      <c r="RQ73">
        <v>0</v>
      </c>
      <c r="RR73">
        <v>0</v>
      </c>
      <c r="RS73">
        <v>0</v>
      </c>
      <c r="RT73">
        <v>0</v>
      </c>
      <c r="RU73">
        <v>0</v>
      </c>
      <c r="RV73">
        <v>0</v>
      </c>
      <c r="RW73">
        <f t="shared" si="85"/>
        <v>0</v>
      </c>
      <c r="RX73">
        <v>0</v>
      </c>
      <c r="RY73">
        <v>0</v>
      </c>
      <c r="RZ73">
        <v>0</v>
      </c>
      <c r="SA73">
        <v>0</v>
      </c>
      <c r="SB73">
        <v>0</v>
      </c>
      <c r="SC73">
        <v>0</v>
      </c>
      <c r="SD73">
        <v>0</v>
      </c>
      <c r="SE73">
        <v>0</v>
      </c>
      <c r="SF73">
        <v>0</v>
      </c>
      <c r="SG73">
        <v>0</v>
      </c>
      <c r="SH73">
        <v>0</v>
      </c>
      <c r="SI73">
        <v>0</v>
      </c>
      <c r="SJ73">
        <f t="shared" si="86"/>
        <v>0</v>
      </c>
      <c r="SK73">
        <v>297</v>
      </c>
      <c r="SL73">
        <v>301</v>
      </c>
      <c r="SM73">
        <v>222</v>
      </c>
      <c r="SN73">
        <v>297</v>
      </c>
      <c r="SO73">
        <v>301</v>
      </c>
      <c r="SP73">
        <v>365</v>
      </c>
      <c r="SQ73">
        <v>301</v>
      </c>
      <c r="SR73">
        <v>290</v>
      </c>
      <c r="SS73">
        <v>222</v>
      </c>
      <c r="ST73">
        <v>290</v>
      </c>
      <c r="SU73">
        <v>297</v>
      </c>
      <c r="SV73">
        <v>369</v>
      </c>
      <c r="SW73">
        <f t="shared" si="87"/>
        <v>3552</v>
      </c>
      <c r="SX73" t="s">
        <v>1374</v>
      </c>
      <c r="SY73">
        <v>2893</v>
      </c>
      <c r="SZ73">
        <v>2708</v>
      </c>
      <c r="TA73">
        <v>2589</v>
      </c>
      <c r="TB73">
        <v>2942</v>
      </c>
      <c r="TC73">
        <v>2778</v>
      </c>
      <c r="TD73">
        <v>2887</v>
      </c>
      <c r="TE73">
        <v>2904</v>
      </c>
      <c r="TF73">
        <v>2730</v>
      </c>
      <c r="TG73">
        <v>2215</v>
      </c>
      <c r="TH73">
        <v>2951</v>
      </c>
      <c r="TI73">
        <v>4470</v>
      </c>
      <c r="TJ73">
        <v>2581</v>
      </c>
      <c r="TK73">
        <f t="shared" si="88"/>
        <v>34648</v>
      </c>
      <c r="TL73">
        <v>0</v>
      </c>
      <c r="TM73">
        <v>0</v>
      </c>
      <c r="TN73">
        <v>0</v>
      </c>
      <c r="TO73">
        <v>0</v>
      </c>
      <c r="TP73">
        <v>0</v>
      </c>
      <c r="TQ73">
        <v>0</v>
      </c>
      <c r="TR73">
        <v>0</v>
      </c>
      <c r="TS73">
        <v>0</v>
      </c>
      <c r="TT73">
        <v>0</v>
      </c>
      <c r="TU73">
        <v>0</v>
      </c>
      <c r="TV73">
        <v>0</v>
      </c>
      <c r="TW73">
        <v>0</v>
      </c>
      <c r="TX73">
        <f t="shared" si="89"/>
        <v>0</v>
      </c>
      <c r="TY73">
        <v>112</v>
      </c>
      <c r="TZ73">
        <v>0</v>
      </c>
      <c r="UA73">
        <v>0</v>
      </c>
      <c r="UB73">
        <v>0</v>
      </c>
    </row>
    <row r="74" spans="1:548" ht="16.5" customHeight="1" x14ac:dyDescent="0.35">
      <c r="A74" t="s">
        <v>1423</v>
      </c>
      <c r="B74" t="s">
        <v>2863</v>
      </c>
      <c r="C74" s="13">
        <v>50344</v>
      </c>
      <c r="D74">
        <v>7293</v>
      </c>
      <c r="E74">
        <v>1150</v>
      </c>
      <c r="F74">
        <v>9484</v>
      </c>
      <c r="G74">
        <v>1028</v>
      </c>
      <c r="H74">
        <v>1072</v>
      </c>
      <c r="I74">
        <v>1137</v>
      </c>
      <c r="J74">
        <v>1144</v>
      </c>
      <c r="K74">
        <v>1037</v>
      </c>
      <c r="L74">
        <v>1120</v>
      </c>
      <c r="M74">
        <v>1303</v>
      </c>
      <c r="N74">
        <v>1175</v>
      </c>
      <c r="O74">
        <v>968</v>
      </c>
      <c r="P74">
        <v>1059</v>
      </c>
      <c r="Q74">
        <v>1168</v>
      </c>
      <c r="R74">
        <v>1357</v>
      </c>
      <c r="S74">
        <f t="shared" si="45"/>
        <v>13568</v>
      </c>
      <c r="T74">
        <v>742</v>
      </c>
      <c r="U74">
        <v>756</v>
      </c>
      <c r="V74">
        <v>681</v>
      </c>
      <c r="W74">
        <v>780</v>
      </c>
      <c r="X74">
        <v>864</v>
      </c>
      <c r="Y74">
        <v>700</v>
      </c>
      <c r="Z74">
        <v>848</v>
      </c>
      <c r="AA74">
        <v>759</v>
      </c>
      <c r="AB74">
        <v>630</v>
      </c>
      <c r="AC74">
        <v>675</v>
      </c>
      <c r="AD74">
        <v>766</v>
      </c>
      <c r="AE74">
        <v>841</v>
      </c>
      <c r="AF74">
        <f t="shared" si="46"/>
        <v>9042</v>
      </c>
      <c r="AG74">
        <v>0</v>
      </c>
      <c r="AH74">
        <v>0</v>
      </c>
      <c r="AI74">
        <v>0</v>
      </c>
      <c r="AJ74">
        <v>0</v>
      </c>
      <c r="AK74">
        <v>0</v>
      </c>
      <c r="AL74">
        <v>0</v>
      </c>
      <c r="AM74">
        <v>0</v>
      </c>
      <c r="AN74">
        <v>0</v>
      </c>
      <c r="AO74">
        <v>0</v>
      </c>
      <c r="AP74">
        <v>0</v>
      </c>
      <c r="AQ74">
        <v>0</v>
      </c>
      <c r="AR74">
        <v>0</v>
      </c>
      <c r="AS74">
        <f t="shared" si="47"/>
        <v>0</v>
      </c>
      <c r="AT74">
        <v>286</v>
      </c>
      <c r="AU74">
        <v>316</v>
      </c>
      <c r="AV74">
        <v>456</v>
      </c>
      <c r="AW74">
        <v>364</v>
      </c>
      <c r="AX74">
        <v>173</v>
      </c>
      <c r="AY74">
        <v>420</v>
      </c>
      <c r="AZ74">
        <v>455</v>
      </c>
      <c r="BA74">
        <v>416</v>
      </c>
      <c r="BB74">
        <v>338</v>
      </c>
      <c r="BC74">
        <v>384</v>
      </c>
      <c r="BD74">
        <v>402</v>
      </c>
      <c r="BE74">
        <v>516</v>
      </c>
      <c r="BF74">
        <f t="shared" si="48"/>
        <v>4526</v>
      </c>
      <c r="BG74">
        <v>0</v>
      </c>
      <c r="BH74">
        <v>0</v>
      </c>
      <c r="BI74">
        <v>0</v>
      </c>
      <c r="BJ74">
        <v>0</v>
      </c>
      <c r="BK74">
        <v>0</v>
      </c>
      <c r="BL74">
        <v>0</v>
      </c>
      <c r="BM74">
        <v>0</v>
      </c>
      <c r="BN74">
        <v>0</v>
      </c>
      <c r="BO74">
        <v>0</v>
      </c>
      <c r="BP74">
        <v>0</v>
      </c>
      <c r="BQ74">
        <v>0</v>
      </c>
      <c r="BR74">
        <v>0</v>
      </c>
      <c r="BS74">
        <f t="shared" si="49"/>
        <v>0</v>
      </c>
      <c r="BT74">
        <v>0</v>
      </c>
      <c r="BU74">
        <v>0</v>
      </c>
      <c r="BV74">
        <v>0</v>
      </c>
      <c r="BW74">
        <v>0</v>
      </c>
      <c r="BX74">
        <v>0</v>
      </c>
      <c r="BY74">
        <v>0</v>
      </c>
      <c r="BZ74">
        <v>0</v>
      </c>
      <c r="CA74">
        <v>0</v>
      </c>
      <c r="CB74">
        <v>0</v>
      </c>
      <c r="CC74">
        <v>0</v>
      </c>
      <c r="CD74">
        <v>0</v>
      </c>
      <c r="CE74">
        <v>0</v>
      </c>
      <c r="CF74">
        <f t="shared" si="50"/>
        <v>0</v>
      </c>
      <c r="CG74">
        <v>0</v>
      </c>
      <c r="CH74">
        <v>0</v>
      </c>
      <c r="CI74">
        <v>0</v>
      </c>
      <c r="CJ74">
        <v>0</v>
      </c>
      <c r="CK74">
        <v>0</v>
      </c>
      <c r="CL74">
        <v>0</v>
      </c>
      <c r="CM74">
        <v>0</v>
      </c>
      <c r="CN74">
        <v>0</v>
      </c>
      <c r="CO74">
        <v>0</v>
      </c>
      <c r="CP74">
        <v>0</v>
      </c>
      <c r="CQ74">
        <v>0</v>
      </c>
      <c r="CR74">
        <v>0</v>
      </c>
      <c r="CS74">
        <f t="shared" si="51"/>
        <v>0</v>
      </c>
      <c r="CT74">
        <v>0</v>
      </c>
      <c r="CU74">
        <v>0</v>
      </c>
      <c r="CV74">
        <v>0</v>
      </c>
      <c r="CW74">
        <v>0</v>
      </c>
      <c r="CX74">
        <v>0</v>
      </c>
      <c r="CY74">
        <v>0</v>
      </c>
      <c r="CZ74">
        <v>0</v>
      </c>
      <c r="DA74">
        <v>0</v>
      </c>
      <c r="DB74">
        <v>0</v>
      </c>
      <c r="DC74">
        <v>0</v>
      </c>
      <c r="DD74">
        <v>0</v>
      </c>
      <c r="DE74">
        <v>0</v>
      </c>
      <c r="DF74">
        <f t="shared" si="52"/>
        <v>0</v>
      </c>
      <c r="DG74">
        <v>0</v>
      </c>
      <c r="DH74">
        <v>0</v>
      </c>
      <c r="DI74">
        <v>0</v>
      </c>
      <c r="DJ74">
        <v>0</v>
      </c>
      <c r="DK74">
        <v>0</v>
      </c>
      <c r="DL74">
        <v>0</v>
      </c>
      <c r="DM74">
        <v>0</v>
      </c>
      <c r="DN74">
        <v>0</v>
      </c>
      <c r="DO74">
        <v>0</v>
      </c>
      <c r="DP74">
        <v>0</v>
      </c>
      <c r="DQ74">
        <v>0</v>
      </c>
      <c r="DR74">
        <v>0</v>
      </c>
      <c r="DS74">
        <f t="shared" si="53"/>
        <v>0</v>
      </c>
      <c r="DT74">
        <v>0</v>
      </c>
      <c r="DU74">
        <v>0</v>
      </c>
      <c r="DV74">
        <v>0</v>
      </c>
      <c r="DW74">
        <v>0</v>
      </c>
      <c r="DX74">
        <v>0</v>
      </c>
      <c r="DY74">
        <v>0</v>
      </c>
      <c r="DZ74">
        <v>0</v>
      </c>
      <c r="EA74">
        <v>0</v>
      </c>
      <c r="EB74">
        <v>0</v>
      </c>
      <c r="EC74">
        <v>0</v>
      </c>
      <c r="ED74">
        <v>0</v>
      </c>
      <c r="EE74">
        <v>0</v>
      </c>
      <c r="EF74">
        <f t="shared" si="54"/>
        <v>0</v>
      </c>
      <c r="EG74">
        <f t="shared" si="55"/>
        <v>13568</v>
      </c>
      <c r="EH74">
        <f t="shared" si="56"/>
        <v>0</v>
      </c>
      <c r="EI74">
        <v>13128</v>
      </c>
      <c r="EJ74">
        <v>13088</v>
      </c>
      <c r="EK74">
        <v>13338</v>
      </c>
      <c r="EL74">
        <v>15869</v>
      </c>
      <c r="EM74">
        <v>13999</v>
      </c>
      <c r="EN74">
        <v>13980</v>
      </c>
      <c r="EO74">
        <v>16704</v>
      </c>
      <c r="EP74">
        <v>15090</v>
      </c>
      <c r="EQ74">
        <v>13095</v>
      </c>
      <c r="ER74">
        <v>12531</v>
      </c>
      <c r="ES74">
        <v>16364</v>
      </c>
      <c r="ET74">
        <v>20362</v>
      </c>
      <c r="EU74">
        <f t="shared" si="57"/>
        <v>177548</v>
      </c>
      <c r="EV74">
        <v>10343</v>
      </c>
      <c r="EW74">
        <v>10036</v>
      </c>
      <c r="EX74">
        <v>8341</v>
      </c>
      <c r="EY74">
        <v>11773</v>
      </c>
      <c r="EZ74">
        <v>13783</v>
      </c>
      <c r="FA74">
        <v>9662</v>
      </c>
      <c r="FB74">
        <v>13020</v>
      </c>
      <c r="FC74">
        <v>10589</v>
      </c>
      <c r="FD74">
        <v>10045</v>
      </c>
      <c r="FE74">
        <v>9597</v>
      </c>
      <c r="FF74">
        <v>13365</v>
      </c>
      <c r="FG74">
        <v>15157</v>
      </c>
      <c r="FH74">
        <f t="shared" si="58"/>
        <v>135711</v>
      </c>
      <c r="FI74">
        <v>0</v>
      </c>
      <c r="FJ74">
        <v>0</v>
      </c>
      <c r="FK74">
        <v>0</v>
      </c>
      <c r="FL74">
        <v>0</v>
      </c>
      <c r="FM74">
        <v>0</v>
      </c>
      <c r="FN74">
        <v>0</v>
      </c>
      <c r="FO74">
        <v>0</v>
      </c>
      <c r="FP74">
        <v>0</v>
      </c>
      <c r="FQ74">
        <v>0</v>
      </c>
      <c r="FR74">
        <v>0</v>
      </c>
      <c r="FS74">
        <v>0</v>
      </c>
      <c r="FT74">
        <v>0</v>
      </c>
      <c r="FU74">
        <f t="shared" si="59"/>
        <v>0</v>
      </c>
      <c r="FV74">
        <v>2785</v>
      </c>
      <c r="FW74">
        <v>3052</v>
      </c>
      <c r="FX74">
        <v>4997</v>
      </c>
      <c r="FY74">
        <v>4096</v>
      </c>
      <c r="FZ74">
        <v>216</v>
      </c>
      <c r="GA74">
        <v>4318</v>
      </c>
      <c r="GB74">
        <v>3684</v>
      </c>
      <c r="GC74">
        <v>4501</v>
      </c>
      <c r="GD74">
        <v>3050</v>
      </c>
      <c r="GE74">
        <v>2934</v>
      </c>
      <c r="GF74">
        <v>2999</v>
      </c>
      <c r="GG74">
        <v>5205</v>
      </c>
      <c r="GH74">
        <f t="shared" si="60"/>
        <v>41837</v>
      </c>
      <c r="GI74">
        <v>0</v>
      </c>
      <c r="GJ74">
        <v>0</v>
      </c>
      <c r="GK74">
        <v>0</v>
      </c>
      <c r="GL74">
        <v>0</v>
      </c>
      <c r="GM74">
        <v>0</v>
      </c>
      <c r="GN74">
        <v>0</v>
      </c>
      <c r="GO74">
        <v>0</v>
      </c>
      <c r="GP74">
        <v>0</v>
      </c>
      <c r="GQ74">
        <v>0</v>
      </c>
      <c r="GR74">
        <v>0</v>
      </c>
      <c r="GS74">
        <v>0</v>
      </c>
      <c r="GT74">
        <v>0</v>
      </c>
      <c r="GU74">
        <f t="shared" si="61"/>
        <v>0</v>
      </c>
      <c r="GV74">
        <v>0</v>
      </c>
      <c r="GW74">
        <v>0</v>
      </c>
      <c r="GX74">
        <v>0</v>
      </c>
      <c r="GY74">
        <v>0</v>
      </c>
      <c r="GZ74">
        <v>0</v>
      </c>
      <c r="HA74">
        <v>0</v>
      </c>
      <c r="HB74">
        <v>0</v>
      </c>
      <c r="HC74">
        <v>0</v>
      </c>
      <c r="HD74">
        <v>0</v>
      </c>
      <c r="HE74">
        <v>0</v>
      </c>
      <c r="HF74">
        <v>0</v>
      </c>
      <c r="HG74">
        <v>0</v>
      </c>
      <c r="HH74">
        <f t="shared" si="62"/>
        <v>0</v>
      </c>
      <c r="HI74">
        <v>0</v>
      </c>
      <c r="HJ74">
        <v>0</v>
      </c>
      <c r="HK74">
        <v>0</v>
      </c>
      <c r="HL74">
        <v>0</v>
      </c>
      <c r="HM74">
        <v>0</v>
      </c>
      <c r="HN74">
        <v>0</v>
      </c>
      <c r="HO74">
        <v>0</v>
      </c>
      <c r="HP74">
        <v>0</v>
      </c>
      <c r="HQ74">
        <v>0</v>
      </c>
      <c r="HR74">
        <v>0</v>
      </c>
      <c r="HS74">
        <v>0</v>
      </c>
      <c r="HT74">
        <v>0</v>
      </c>
      <c r="HU74">
        <f t="shared" si="63"/>
        <v>0</v>
      </c>
      <c r="HV74">
        <v>0</v>
      </c>
      <c r="HW74">
        <v>0</v>
      </c>
      <c r="HX74">
        <v>0</v>
      </c>
      <c r="HY74">
        <v>0</v>
      </c>
      <c r="HZ74">
        <v>0</v>
      </c>
      <c r="IA74">
        <v>0</v>
      </c>
      <c r="IB74">
        <v>0</v>
      </c>
      <c r="IC74">
        <v>0</v>
      </c>
      <c r="ID74">
        <v>0</v>
      </c>
      <c r="IE74">
        <v>0</v>
      </c>
      <c r="IF74">
        <v>0</v>
      </c>
      <c r="IG74">
        <v>0</v>
      </c>
      <c r="IH74">
        <f t="shared" si="64"/>
        <v>0</v>
      </c>
      <c r="II74">
        <f t="shared" si="65"/>
        <v>177548</v>
      </c>
      <c r="IJ74">
        <f t="shared" si="66"/>
        <v>0</v>
      </c>
      <c r="IK74">
        <v>36059</v>
      </c>
      <c r="IL74">
        <v>37868</v>
      </c>
      <c r="IM74">
        <v>34786</v>
      </c>
      <c r="IN74">
        <v>44279</v>
      </c>
      <c r="IO74">
        <v>41538</v>
      </c>
      <c r="IP74">
        <v>37829</v>
      </c>
      <c r="IQ74">
        <v>41304</v>
      </c>
      <c r="IR74">
        <v>34720</v>
      </c>
      <c r="IS74">
        <v>30961</v>
      </c>
      <c r="IT74">
        <v>37995</v>
      </c>
      <c r="IU74">
        <v>34686</v>
      </c>
      <c r="IV74">
        <v>41266</v>
      </c>
      <c r="IW74">
        <f t="shared" si="67"/>
        <v>453291</v>
      </c>
      <c r="IX74">
        <v>16480</v>
      </c>
      <c r="IY74">
        <v>17601</v>
      </c>
      <c r="IZ74">
        <v>15338</v>
      </c>
      <c r="JA74">
        <v>19472</v>
      </c>
      <c r="JB74">
        <v>19797</v>
      </c>
      <c r="JC74">
        <v>17843</v>
      </c>
      <c r="JD74">
        <v>18943</v>
      </c>
      <c r="JE74">
        <v>15731</v>
      </c>
      <c r="JF74">
        <v>13356</v>
      </c>
      <c r="JG74">
        <v>16188</v>
      </c>
      <c r="JH74">
        <v>15327</v>
      </c>
      <c r="JI74">
        <v>18553</v>
      </c>
      <c r="JJ74">
        <f t="shared" si="68"/>
        <v>204629</v>
      </c>
      <c r="JK74">
        <v>0</v>
      </c>
      <c r="JL74">
        <v>0</v>
      </c>
      <c r="JM74">
        <v>0</v>
      </c>
      <c r="JN74">
        <v>0</v>
      </c>
      <c r="JO74">
        <v>0</v>
      </c>
      <c r="JP74">
        <v>0</v>
      </c>
      <c r="JQ74">
        <v>0</v>
      </c>
      <c r="JR74">
        <v>0</v>
      </c>
      <c r="JS74">
        <v>0</v>
      </c>
      <c r="JT74">
        <v>0</v>
      </c>
      <c r="JU74">
        <v>0</v>
      </c>
      <c r="JV74">
        <v>0</v>
      </c>
      <c r="JW74">
        <f t="shared" si="69"/>
        <v>0</v>
      </c>
      <c r="JX74">
        <v>19579</v>
      </c>
      <c r="JY74">
        <v>20267</v>
      </c>
      <c r="JZ74">
        <v>19448</v>
      </c>
      <c r="KA74">
        <v>24807</v>
      </c>
      <c r="KB74">
        <v>21741</v>
      </c>
      <c r="KC74">
        <v>19986</v>
      </c>
      <c r="KD74">
        <v>22361</v>
      </c>
      <c r="KE74">
        <v>18989</v>
      </c>
      <c r="KF74">
        <v>17605</v>
      </c>
      <c r="KG74">
        <v>21807</v>
      </c>
      <c r="KH74">
        <v>19359</v>
      </c>
      <c r="KI74">
        <v>22713</v>
      </c>
      <c r="KJ74">
        <f t="shared" si="70"/>
        <v>248662</v>
      </c>
      <c r="KK74">
        <v>0</v>
      </c>
      <c r="KL74">
        <v>0</v>
      </c>
      <c r="KM74">
        <v>0</v>
      </c>
      <c r="KN74">
        <v>0</v>
      </c>
      <c r="KO74">
        <v>0</v>
      </c>
      <c r="KP74">
        <v>0</v>
      </c>
      <c r="KQ74">
        <v>0</v>
      </c>
      <c r="KR74">
        <v>0</v>
      </c>
      <c r="KS74">
        <v>0</v>
      </c>
      <c r="KT74">
        <v>0</v>
      </c>
      <c r="KU74">
        <v>0</v>
      </c>
      <c r="KV74">
        <v>0</v>
      </c>
      <c r="KW74">
        <f t="shared" si="71"/>
        <v>0</v>
      </c>
      <c r="KX74">
        <v>0</v>
      </c>
      <c r="KY74">
        <v>0</v>
      </c>
      <c r="KZ74">
        <v>0</v>
      </c>
      <c r="LA74">
        <v>0</v>
      </c>
      <c r="LB74">
        <v>0</v>
      </c>
      <c r="LC74">
        <v>0</v>
      </c>
      <c r="LD74">
        <v>0</v>
      </c>
      <c r="LE74">
        <v>0</v>
      </c>
      <c r="LF74">
        <v>0</v>
      </c>
      <c r="LG74">
        <v>0</v>
      </c>
      <c r="LH74">
        <v>0</v>
      </c>
      <c r="LI74">
        <v>0</v>
      </c>
      <c r="LJ74">
        <f t="shared" si="72"/>
        <v>0</v>
      </c>
      <c r="LK74">
        <v>0</v>
      </c>
      <c r="LL74">
        <v>0</v>
      </c>
      <c r="LM74">
        <v>0</v>
      </c>
      <c r="LN74">
        <v>0</v>
      </c>
      <c r="LO74">
        <v>0</v>
      </c>
      <c r="LP74">
        <v>0</v>
      </c>
      <c r="LQ74">
        <v>0</v>
      </c>
      <c r="LR74">
        <v>0</v>
      </c>
      <c r="LS74">
        <v>0</v>
      </c>
      <c r="LT74">
        <v>0</v>
      </c>
      <c r="LU74">
        <v>0</v>
      </c>
      <c r="LV74">
        <v>0</v>
      </c>
      <c r="LW74">
        <f t="shared" si="73"/>
        <v>0</v>
      </c>
      <c r="LX74">
        <v>0</v>
      </c>
      <c r="LY74">
        <v>0</v>
      </c>
      <c r="LZ74">
        <v>0</v>
      </c>
      <c r="MA74">
        <v>0</v>
      </c>
      <c r="MB74">
        <v>0</v>
      </c>
      <c r="MC74">
        <v>0</v>
      </c>
      <c r="MD74">
        <v>0</v>
      </c>
      <c r="ME74">
        <v>0</v>
      </c>
      <c r="MF74">
        <v>0</v>
      </c>
      <c r="MG74">
        <v>0</v>
      </c>
      <c r="MH74">
        <v>0</v>
      </c>
      <c r="MI74">
        <v>0</v>
      </c>
      <c r="MJ74">
        <f t="shared" si="74"/>
        <v>0</v>
      </c>
      <c r="MK74">
        <v>1121</v>
      </c>
      <c r="ML74">
        <v>1185</v>
      </c>
      <c r="MM74">
        <v>1088</v>
      </c>
      <c r="MN74">
        <v>1181</v>
      </c>
      <c r="MO74">
        <v>1288</v>
      </c>
      <c r="MP74">
        <v>951</v>
      </c>
      <c r="MQ74">
        <v>1146</v>
      </c>
      <c r="MR74">
        <v>871</v>
      </c>
      <c r="MS74">
        <v>920</v>
      </c>
      <c r="MT74">
        <v>929</v>
      </c>
      <c r="MU74">
        <v>928</v>
      </c>
      <c r="MV74">
        <v>959</v>
      </c>
      <c r="MW74">
        <f t="shared" si="75"/>
        <v>12567</v>
      </c>
      <c r="MX74">
        <v>0</v>
      </c>
      <c r="MY74">
        <v>0</v>
      </c>
      <c r="MZ74">
        <v>0</v>
      </c>
      <c r="NA74">
        <v>0</v>
      </c>
      <c r="NB74">
        <v>0</v>
      </c>
      <c r="NC74">
        <v>0</v>
      </c>
      <c r="ND74">
        <v>0</v>
      </c>
      <c r="NE74">
        <v>0</v>
      </c>
      <c r="NF74">
        <v>0</v>
      </c>
      <c r="NG74">
        <v>0</v>
      </c>
      <c r="NH74">
        <v>0</v>
      </c>
      <c r="NI74">
        <v>0</v>
      </c>
      <c r="NJ74">
        <f t="shared" si="76"/>
        <v>0</v>
      </c>
      <c r="NK74">
        <v>0</v>
      </c>
      <c r="NL74">
        <v>0</v>
      </c>
      <c r="NM74">
        <v>0</v>
      </c>
      <c r="NN74">
        <v>0</v>
      </c>
      <c r="NO74">
        <v>0</v>
      </c>
      <c r="NP74">
        <v>0</v>
      </c>
      <c r="NQ74">
        <v>0</v>
      </c>
      <c r="NR74">
        <v>0</v>
      </c>
      <c r="NS74">
        <v>0</v>
      </c>
      <c r="NT74">
        <v>0</v>
      </c>
      <c r="NU74">
        <v>0</v>
      </c>
      <c r="NV74">
        <v>0</v>
      </c>
      <c r="NW74">
        <f t="shared" si="77"/>
        <v>0</v>
      </c>
      <c r="NX74">
        <v>0</v>
      </c>
      <c r="NY74">
        <v>0</v>
      </c>
      <c r="NZ74">
        <v>0</v>
      </c>
      <c r="OA74">
        <v>0</v>
      </c>
      <c r="OB74">
        <v>0</v>
      </c>
      <c r="OC74">
        <v>0</v>
      </c>
      <c r="OD74">
        <v>0</v>
      </c>
      <c r="OE74">
        <v>0</v>
      </c>
      <c r="OF74">
        <v>0</v>
      </c>
      <c r="OG74">
        <v>0</v>
      </c>
      <c r="OH74">
        <v>0</v>
      </c>
      <c r="OI74">
        <v>0</v>
      </c>
      <c r="OJ74">
        <f t="shared" si="78"/>
        <v>0</v>
      </c>
      <c r="OK74">
        <v>2897</v>
      </c>
      <c r="OL74">
        <v>3029</v>
      </c>
      <c r="OM74">
        <v>2838</v>
      </c>
      <c r="ON74">
        <v>3017</v>
      </c>
      <c r="OO74">
        <v>3092</v>
      </c>
      <c r="OP74">
        <v>2855</v>
      </c>
      <c r="OQ74">
        <v>3055</v>
      </c>
      <c r="OR74">
        <v>2340</v>
      </c>
      <c r="OS74">
        <v>2353</v>
      </c>
      <c r="OT74">
        <v>2575</v>
      </c>
      <c r="OU74">
        <v>2508</v>
      </c>
      <c r="OV74">
        <v>2741</v>
      </c>
      <c r="OW74">
        <f t="shared" si="79"/>
        <v>33300</v>
      </c>
      <c r="OX74">
        <v>0</v>
      </c>
      <c r="OY74">
        <v>0</v>
      </c>
      <c r="OZ74">
        <v>0</v>
      </c>
      <c r="PA74">
        <v>0</v>
      </c>
      <c r="PB74">
        <v>0</v>
      </c>
      <c r="PC74">
        <v>0</v>
      </c>
      <c r="PD74">
        <v>0</v>
      </c>
      <c r="PE74">
        <v>0</v>
      </c>
      <c r="PF74">
        <v>0</v>
      </c>
      <c r="PG74">
        <v>0</v>
      </c>
      <c r="PH74">
        <v>0</v>
      </c>
      <c r="PI74">
        <v>0</v>
      </c>
      <c r="PJ74">
        <f t="shared" si="80"/>
        <v>0</v>
      </c>
      <c r="PK74">
        <v>0</v>
      </c>
      <c r="PL74">
        <v>0</v>
      </c>
      <c r="PM74">
        <v>0</v>
      </c>
      <c r="PN74">
        <v>0</v>
      </c>
      <c r="PO74">
        <v>0</v>
      </c>
      <c r="PP74">
        <v>0</v>
      </c>
      <c r="PQ74">
        <v>0</v>
      </c>
      <c r="PR74">
        <v>0</v>
      </c>
      <c r="PS74">
        <v>0</v>
      </c>
      <c r="PT74">
        <v>0</v>
      </c>
      <c r="PU74">
        <v>0</v>
      </c>
      <c r="PV74">
        <v>0</v>
      </c>
      <c r="PW74">
        <f t="shared" si="81"/>
        <v>0</v>
      </c>
      <c r="PX74">
        <v>0</v>
      </c>
      <c r="PY74">
        <v>0</v>
      </c>
      <c r="PZ74">
        <v>0</v>
      </c>
      <c r="QA74">
        <v>0</v>
      </c>
      <c r="QB74">
        <v>0</v>
      </c>
      <c r="QC74">
        <v>0</v>
      </c>
      <c r="QD74">
        <v>0</v>
      </c>
      <c r="QE74">
        <v>0</v>
      </c>
      <c r="QF74">
        <v>0</v>
      </c>
      <c r="QG74">
        <v>0</v>
      </c>
      <c r="QH74">
        <v>0</v>
      </c>
      <c r="QI74">
        <v>0</v>
      </c>
      <c r="QJ74">
        <f t="shared" si="82"/>
        <v>0</v>
      </c>
      <c r="QK74">
        <v>31723</v>
      </c>
      <c r="QL74">
        <v>32282</v>
      </c>
      <c r="QM74">
        <v>32224</v>
      </c>
      <c r="QN74">
        <v>39464</v>
      </c>
      <c r="QO74">
        <v>33871</v>
      </c>
      <c r="QP74">
        <v>33984</v>
      </c>
      <c r="QQ74">
        <v>38467</v>
      </c>
      <c r="QR74">
        <v>34465</v>
      </c>
      <c r="QS74">
        <v>29950</v>
      </c>
      <c r="QT74">
        <v>33338</v>
      </c>
      <c r="QU74">
        <v>37578</v>
      </c>
      <c r="QV74">
        <v>44193</v>
      </c>
      <c r="QW74">
        <f t="shared" si="83"/>
        <v>421539</v>
      </c>
      <c r="QX74">
        <v>22366</v>
      </c>
      <c r="QY74">
        <v>23343</v>
      </c>
      <c r="QZ74">
        <v>24872</v>
      </c>
      <c r="RA74">
        <v>27342</v>
      </c>
      <c r="RB74">
        <v>25269</v>
      </c>
      <c r="RC74">
        <v>24455</v>
      </c>
      <c r="RD74">
        <v>25341</v>
      </c>
      <c r="RE74">
        <v>24279</v>
      </c>
      <c r="RF74">
        <v>20896</v>
      </c>
      <c r="RG74">
        <v>24209</v>
      </c>
      <c r="RH74">
        <v>26505</v>
      </c>
      <c r="RI74">
        <v>28489</v>
      </c>
      <c r="RJ74">
        <f t="shared" si="84"/>
        <v>297366</v>
      </c>
      <c r="RK74">
        <v>0</v>
      </c>
      <c r="RL74">
        <v>0</v>
      </c>
      <c r="RM74">
        <v>0</v>
      </c>
      <c r="RN74">
        <v>0</v>
      </c>
      <c r="RO74">
        <v>0</v>
      </c>
      <c r="RP74">
        <v>0</v>
      </c>
      <c r="RQ74">
        <v>0</v>
      </c>
      <c r="RR74">
        <v>0</v>
      </c>
      <c r="RS74">
        <v>0</v>
      </c>
      <c r="RT74">
        <v>0</v>
      </c>
      <c r="RU74">
        <v>0</v>
      </c>
      <c r="RV74">
        <v>0</v>
      </c>
      <c r="RW74">
        <f t="shared" si="85"/>
        <v>0</v>
      </c>
      <c r="RX74">
        <v>2671</v>
      </c>
      <c r="RY74">
        <v>3733</v>
      </c>
      <c r="RZ74">
        <v>3504</v>
      </c>
      <c r="SA74">
        <v>3908</v>
      </c>
      <c r="SB74">
        <v>2823</v>
      </c>
      <c r="SC74">
        <v>3172</v>
      </c>
      <c r="SD74">
        <v>2990</v>
      </c>
      <c r="SE74">
        <v>2393</v>
      </c>
      <c r="SF74">
        <v>2271</v>
      </c>
      <c r="SG74">
        <v>2692</v>
      </c>
      <c r="SH74">
        <v>1799</v>
      </c>
      <c r="SI74">
        <v>3784</v>
      </c>
      <c r="SJ74">
        <f t="shared" si="86"/>
        <v>35740</v>
      </c>
      <c r="SK74">
        <v>3277</v>
      </c>
      <c r="SL74">
        <v>2836</v>
      </c>
      <c r="SM74">
        <v>3844</v>
      </c>
      <c r="SN74">
        <v>5326</v>
      </c>
      <c r="SO74">
        <v>3632</v>
      </c>
      <c r="SP74">
        <v>3938</v>
      </c>
      <c r="SQ74">
        <v>3845</v>
      </c>
      <c r="SR74">
        <v>3026</v>
      </c>
      <c r="SS74">
        <v>2718</v>
      </c>
      <c r="ST74">
        <v>3363</v>
      </c>
      <c r="SU74">
        <v>2584</v>
      </c>
      <c r="SV74">
        <v>2718</v>
      </c>
      <c r="SW74">
        <f t="shared" si="87"/>
        <v>41107</v>
      </c>
      <c r="SX74" t="s">
        <v>1424</v>
      </c>
      <c r="SY74">
        <v>6512</v>
      </c>
      <c r="SZ74">
        <v>6783</v>
      </c>
      <c r="TA74">
        <v>6293</v>
      </c>
      <c r="TB74">
        <v>6981</v>
      </c>
      <c r="TC74">
        <v>6315</v>
      </c>
      <c r="TD74">
        <v>6233</v>
      </c>
      <c r="TE74">
        <v>7107</v>
      </c>
      <c r="TF74">
        <v>6410</v>
      </c>
      <c r="TG74">
        <v>5767</v>
      </c>
      <c r="TH74">
        <v>6299</v>
      </c>
      <c r="TI74">
        <v>6277</v>
      </c>
      <c r="TJ74">
        <v>7013</v>
      </c>
      <c r="TK74">
        <f t="shared" si="88"/>
        <v>77990</v>
      </c>
      <c r="TL74">
        <v>7947</v>
      </c>
      <c r="TM74">
        <v>8881</v>
      </c>
      <c r="TN74">
        <v>7375</v>
      </c>
      <c r="TO74">
        <v>7799</v>
      </c>
      <c r="TP74">
        <v>6922</v>
      </c>
      <c r="TQ74">
        <v>9107</v>
      </c>
      <c r="TR74">
        <v>9751</v>
      </c>
      <c r="TS74">
        <v>9189</v>
      </c>
      <c r="TT74">
        <v>6950</v>
      </c>
      <c r="TU74">
        <v>7908</v>
      </c>
      <c r="TV74">
        <v>8432</v>
      </c>
      <c r="TW74">
        <v>9287</v>
      </c>
      <c r="TX74">
        <f t="shared" si="89"/>
        <v>99548</v>
      </c>
      <c r="TY74">
        <v>130</v>
      </c>
      <c r="TZ74">
        <v>0</v>
      </c>
      <c r="UA74">
        <v>0</v>
      </c>
      <c r="UB74">
        <v>0</v>
      </c>
    </row>
    <row r="75" spans="1:548" ht="16.5" customHeight="1" x14ac:dyDescent="0.35">
      <c r="A75" t="s">
        <v>1364</v>
      </c>
      <c r="B75" t="s">
        <v>2865</v>
      </c>
      <c r="C75">
        <v>77672</v>
      </c>
      <c r="D75">
        <v>9355</v>
      </c>
      <c r="E75">
        <v>37661</v>
      </c>
      <c r="F75">
        <v>30656</v>
      </c>
      <c r="G75">
        <v>381</v>
      </c>
      <c r="H75">
        <v>391</v>
      </c>
      <c r="I75">
        <v>384</v>
      </c>
      <c r="J75">
        <v>378</v>
      </c>
      <c r="K75">
        <v>448</v>
      </c>
      <c r="L75">
        <v>350</v>
      </c>
      <c r="M75">
        <v>404</v>
      </c>
      <c r="N75">
        <v>437</v>
      </c>
      <c r="O75">
        <v>246</v>
      </c>
      <c r="P75">
        <v>339</v>
      </c>
      <c r="Q75">
        <v>351</v>
      </c>
      <c r="R75">
        <v>390</v>
      </c>
      <c r="S75">
        <f t="shared" si="45"/>
        <v>4499</v>
      </c>
      <c r="T75">
        <v>122</v>
      </c>
      <c r="U75">
        <v>123</v>
      </c>
      <c r="V75">
        <v>121</v>
      </c>
      <c r="W75">
        <v>131</v>
      </c>
      <c r="X75">
        <v>160</v>
      </c>
      <c r="Y75">
        <v>116</v>
      </c>
      <c r="Z75">
        <v>135</v>
      </c>
      <c r="AA75">
        <v>106</v>
      </c>
      <c r="AB75">
        <v>79</v>
      </c>
      <c r="AC75">
        <v>113</v>
      </c>
      <c r="AD75">
        <v>133</v>
      </c>
      <c r="AE75">
        <v>121</v>
      </c>
      <c r="AF75">
        <f t="shared" si="46"/>
        <v>1460</v>
      </c>
      <c r="AG75">
        <v>0</v>
      </c>
      <c r="AH75">
        <v>0</v>
      </c>
      <c r="AI75">
        <v>0</v>
      </c>
      <c r="AJ75">
        <v>0</v>
      </c>
      <c r="AK75">
        <v>0</v>
      </c>
      <c r="AL75">
        <v>0</v>
      </c>
      <c r="AM75">
        <v>0</v>
      </c>
      <c r="AN75">
        <v>0</v>
      </c>
      <c r="AO75">
        <v>0</v>
      </c>
      <c r="AP75">
        <v>0</v>
      </c>
      <c r="AQ75">
        <v>0</v>
      </c>
      <c r="AR75">
        <v>0</v>
      </c>
      <c r="AS75">
        <f t="shared" si="47"/>
        <v>0</v>
      </c>
      <c r="AT75">
        <v>259</v>
      </c>
      <c r="AU75">
        <v>268</v>
      </c>
      <c r="AV75">
        <v>263</v>
      </c>
      <c r="AW75">
        <v>247</v>
      </c>
      <c r="AX75">
        <v>288</v>
      </c>
      <c r="AY75">
        <v>234</v>
      </c>
      <c r="AZ75">
        <v>269</v>
      </c>
      <c r="BA75">
        <v>331</v>
      </c>
      <c r="BB75">
        <v>167</v>
      </c>
      <c r="BC75">
        <v>226</v>
      </c>
      <c r="BD75">
        <v>218</v>
      </c>
      <c r="BE75">
        <v>269</v>
      </c>
      <c r="BF75">
        <f t="shared" si="48"/>
        <v>3039</v>
      </c>
      <c r="BG75">
        <v>0</v>
      </c>
      <c r="BH75">
        <v>0</v>
      </c>
      <c r="BI75">
        <v>0</v>
      </c>
      <c r="BJ75">
        <v>0</v>
      </c>
      <c r="BK75">
        <v>0</v>
      </c>
      <c r="BL75">
        <v>0</v>
      </c>
      <c r="BM75">
        <v>0</v>
      </c>
      <c r="BN75">
        <v>0</v>
      </c>
      <c r="BO75">
        <v>0</v>
      </c>
      <c r="BP75">
        <v>0</v>
      </c>
      <c r="BQ75">
        <v>0</v>
      </c>
      <c r="BR75">
        <v>0</v>
      </c>
      <c r="BS75">
        <f t="shared" si="49"/>
        <v>0</v>
      </c>
      <c r="BT75">
        <v>0</v>
      </c>
      <c r="BU75">
        <v>0</v>
      </c>
      <c r="BV75">
        <v>0</v>
      </c>
      <c r="BW75">
        <v>0</v>
      </c>
      <c r="BX75">
        <v>0</v>
      </c>
      <c r="BY75">
        <v>0</v>
      </c>
      <c r="BZ75">
        <v>0</v>
      </c>
      <c r="CA75">
        <v>0</v>
      </c>
      <c r="CB75">
        <v>0</v>
      </c>
      <c r="CC75">
        <v>0</v>
      </c>
      <c r="CD75">
        <v>0</v>
      </c>
      <c r="CE75">
        <v>0</v>
      </c>
      <c r="CF75">
        <f t="shared" si="50"/>
        <v>0</v>
      </c>
      <c r="CG75">
        <v>0</v>
      </c>
      <c r="CH75">
        <v>0</v>
      </c>
      <c r="CI75">
        <v>0</v>
      </c>
      <c r="CJ75">
        <v>0</v>
      </c>
      <c r="CK75">
        <v>0</v>
      </c>
      <c r="CL75">
        <v>0</v>
      </c>
      <c r="CM75">
        <v>0</v>
      </c>
      <c r="CN75">
        <v>0</v>
      </c>
      <c r="CO75">
        <v>0</v>
      </c>
      <c r="CP75">
        <v>0</v>
      </c>
      <c r="CQ75">
        <v>0</v>
      </c>
      <c r="CR75">
        <v>0</v>
      </c>
      <c r="CS75">
        <f t="shared" si="51"/>
        <v>0</v>
      </c>
      <c r="CT75">
        <v>0</v>
      </c>
      <c r="CU75">
        <v>0</v>
      </c>
      <c r="CV75">
        <v>0</v>
      </c>
      <c r="CW75">
        <v>0</v>
      </c>
      <c r="CX75">
        <v>0</v>
      </c>
      <c r="CY75">
        <v>0</v>
      </c>
      <c r="CZ75">
        <v>0</v>
      </c>
      <c r="DA75">
        <v>0</v>
      </c>
      <c r="DB75">
        <v>0</v>
      </c>
      <c r="DC75">
        <v>0</v>
      </c>
      <c r="DD75">
        <v>0</v>
      </c>
      <c r="DE75">
        <v>0</v>
      </c>
      <c r="DF75">
        <f t="shared" si="52"/>
        <v>0</v>
      </c>
      <c r="DG75">
        <v>0</v>
      </c>
      <c r="DH75">
        <v>0</v>
      </c>
      <c r="DI75">
        <v>0</v>
      </c>
      <c r="DJ75">
        <v>0</v>
      </c>
      <c r="DK75">
        <v>0</v>
      </c>
      <c r="DL75">
        <v>0</v>
      </c>
      <c r="DM75">
        <v>0</v>
      </c>
      <c r="DN75">
        <v>0</v>
      </c>
      <c r="DO75">
        <v>0</v>
      </c>
      <c r="DP75">
        <v>0</v>
      </c>
      <c r="DQ75">
        <v>0</v>
      </c>
      <c r="DR75">
        <v>0</v>
      </c>
      <c r="DS75">
        <f t="shared" si="53"/>
        <v>0</v>
      </c>
      <c r="DT75">
        <v>0</v>
      </c>
      <c r="DU75">
        <v>0</v>
      </c>
      <c r="DV75">
        <v>0</v>
      </c>
      <c r="DW75">
        <v>0</v>
      </c>
      <c r="DX75">
        <v>0</v>
      </c>
      <c r="DY75">
        <v>0</v>
      </c>
      <c r="DZ75">
        <v>0</v>
      </c>
      <c r="EA75">
        <v>0</v>
      </c>
      <c r="EB75">
        <v>0</v>
      </c>
      <c r="EC75">
        <v>0</v>
      </c>
      <c r="ED75">
        <v>0</v>
      </c>
      <c r="EE75">
        <v>0</v>
      </c>
      <c r="EF75">
        <f t="shared" si="54"/>
        <v>0</v>
      </c>
      <c r="EG75">
        <f t="shared" si="55"/>
        <v>4499</v>
      </c>
      <c r="EH75">
        <f t="shared" si="56"/>
        <v>0</v>
      </c>
      <c r="EI75">
        <v>4296</v>
      </c>
      <c r="EJ75">
        <v>3931</v>
      </c>
      <c r="EK75">
        <v>3466</v>
      </c>
      <c r="EL75">
        <v>3528</v>
      </c>
      <c r="EM75">
        <v>3623</v>
      </c>
      <c r="EN75">
        <v>3901</v>
      </c>
      <c r="EO75">
        <v>4761</v>
      </c>
      <c r="EP75">
        <v>4044</v>
      </c>
      <c r="EQ75">
        <v>2153</v>
      </c>
      <c r="ER75">
        <v>3357</v>
      </c>
      <c r="ES75">
        <v>2390</v>
      </c>
      <c r="ET75">
        <v>4424</v>
      </c>
      <c r="EU75">
        <f t="shared" si="57"/>
        <v>43874</v>
      </c>
      <c r="EV75">
        <v>2426</v>
      </c>
      <c r="EW75">
        <v>2104</v>
      </c>
      <c r="EX75">
        <v>1568</v>
      </c>
      <c r="EY75">
        <v>1870</v>
      </c>
      <c r="EZ75">
        <v>2558</v>
      </c>
      <c r="FA75">
        <v>1908</v>
      </c>
      <c r="FB75">
        <v>2459</v>
      </c>
      <c r="FC75">
        <v>1798</v>
      </c>
      <c r="FD75">
        <v>1153</v>
      </c>
      <c r="FE75">
        <v>1912</v>
      </c>
      <c r="FF75">
        <v>1578</v>
      </c>
      <c r="FG75">
        <v>1211</v>
      </c>
      <c r="FH75">
        <f t="shared" si="58"/>
        <v>22545</v>
      </c>
      <c r="FI75">
        <v>0</v>
      </c>
      <c r="FJ75">
        <v>0</v>
      </c>
      <c r="FK75">
        <v>0</v>
      </c>
      <c r="FL75">
        <v>0</v>
      </c>
      <c r="FM75">
        <v>0</v>
      </c>
      <c r="FN75">
        <v>0</v>
      </c>
      <c r="FO75">
        <v>0</v>
      </c>
      <c r="FP75">
        <v>0</v>
      </c>
      <c r="FQ75">
        <v>0</v>
      </c>
      <c r="FR75">
        <v>0</v>
      </c>
      <c r="FS75">
        <v>0</v>
      </c>
      <c r="FT75">
        <v>0</v>
      </c>
      <c r="FU75">
        <f t="shared" si="59"/>
        <v>0</v>
      </c>
      <c r="FV75">
        <v>1870</v>
      </c>
      <c r="FW75">
        <v>1827</v>
      </c>
      <c r="FX75">
        <v>1898</v>
      </c>
      <c r="FY75">
        <v>1658</v>
      </c>
      <c r="FZ75">
        <v>1065</v>
      </c>
      <c r="GA75">
        <v>1993</v>
      </c>
      <c r="GB75">
        <v>2302</v>
      </c>
      <c r="GC75">
        <v>2246</v>
      </c>
      <c r="GD75">
        <v>1000</v>
      </c>
      <c r="GE75">
        <v>1445</v>
      </c>
      <c r="GF75">
        <v>3968</v>
      </c>
      <c r="GG75">
        <v>2145</v>
      </c>
      <c r="GH75">
        <f t="shared" si="60"/>
        <v>23417</v>
      </c>
      <c r="GI75">
        <v>0</v>
      </c>
      <c r="GJ75">
        <v>0</v>
      </c>
      <c r="GK75">
        <v>0</v>
      </c>
      <c r="GL75">
        <v>0</v>
      </c>
      <c r="GM75">
        <v>0</v>
      </c>
      <c r="GN75">
        <v>0</v>
      </c>
      <c r="GO75">
        <v>0</v>
      </c>
      <c r="GP75">
        <v>0</v>
      </c>
      <c r="GQ75">
        <v>0</v>
      </c>
      <c r="GR75">
        <v>0</v>
      </c>
      <c r="GS75">
        <v>0</v>
      </c>
      <c r="GT75">
        <v>0</v>
      </c>
      <c r="GU75">
        <f t="shared" si="61"/>
        <v>0</v>
      </c>
      <c r="GV75">
        <v>0</v>
      </c>
      <c r="GW75">
        <v>0</v>
      </c>
      <c r="GX75">
        <v>0</v>
      </c>
      <c r="GY75">
        <v>0</v>
      </c>
      <c r="GZ75">
        <v>0</v>
      </c>
      <c r="HA75">
        <v>0</v>
      </c>
      <c r="HB75">
        <v>0</v>
      </c>
      <c r="HC75">
        <v>0</v>
      </c>
      <c r="HD75">
        <v>0</v>
      </c>
      <c r="HE75">
        <v>0</v>
      </c>
      <c r="HF75">
        <v>0</v>
      </c>
      <c r="HG75">
        <v>0</v>
      </c>
      <c r="HH75">
        <f t="shared" si="62"/>
        <v>0</v>
      </c>
      <c r="HI75">
        <v>0</v>
      </c>
      <c r="HJ75">
        <v>0</v>
      </c>
      <c r="HK75">
        <v>0</v>
      </c>
      <c r="HL75">
        <v>0</v>
      </c>
      <c r="HM75">
        <v>0</v>
      </c>
      <c r="HN75">
        <v>0</v>
      </c>
      <c r="HO75">
        <v>0</v>
      </c>
      <c r="HP75">
        <v>0</v>
      </c>
      <c r="HQ75">
        <v>0</v>
      </c>
      <c r="HR75">
        <v>0</v>
      </c>
      <c r="HS75">
        <v>0</v>
      </c>
      <c r="HT75">
        <v>0</v>
      </c>
      <c r="HU75">
        <f t="shared" si="63"/>
        <v>0</v>
      </c>
      <c r="HV75">
        <v>0</v>
      </c>
      <c r="HW75">
        <v>0</v>
      </c>
      <c r="HX75">
        <v>0</v>
      </c>
      <c r="HY75">
        <v>0</v>
      </c>
      <c r="HZ75">
        <v>0</v>
      </c>
      <c r="IA75">
        <v>0</v>
      </c>
      <c r="IB75">
        <v>0</v>
      </c>
      <c r="IC75">
        <v>0</v>
      </c>
      <c r="ID75">
        <v>0</v>
      </c>
      <c r="IE75">
        <v>0</v>
      </c>
      <c r="IF75">
        <v>0</v>
      </c>
      <c r="IG75">
        <v>0</v>
      </c>
      <c r="IH75">
        <f t="shared" si="64"/>
        <v>0</v>
      </c>
      <c r="II75">
        <f t="shared" si="65"/>
        <v>45962</v>
      </c>
      <c r="IJ75">
        <f t="shared" si="66"/>
        <v>0</v>
      </c>
      <c r="IK75">
        <v>37579</v>
      </c>
      <c r="IL75">
        <v>38946</v>
      </c>
      <c r="IM75">
        <v>37430</v>
      </c>
      <c r="IN75">
        <v>48170</v>
      </c>
      <c r="IO75">
        <v>53107</v>
      </c>
      <c r="IP75">
        <v>42377</v>
      </c>
      <c r="IQ75">
        <v>40019</v>
      </c>
      <c r="IR75">
        <v>36531</v>
      </c>
      <c r="IS75">
        <v>28990</v>
      </c>
      <c r="IT75">
        <v>41519</v>
      </c>
      <c r="IU75">
        <v>35755</v>
      </c>
      <c r="IV75">
        <v>38509</v>
      </c>
      <c r="IW75">
        <f t="shared" si="67"/>
        <v>478932</v>
      </c>
      <c r="IX75">
        <v>0</v>
      </c>
      <c r="IY75">
        <v>0</v>
      </c>
      <c r="IZ75">
        <v>0</v>
      </c>
      <c r="JA75">
        <v>0</v>
      </c>
      <c r="JB75">
        <v>0</v>
      </c>
      <c r="JC75">
        <v>0</v>
      </c>
      <c r="JD75">
        <v>0</v>
      </c>
      <c r="JE75">
        <v>0</v>
      </c>
      <c r="JF75">
        <v>0</v>
      </c>
      <c r="JG75">
        <v>0</v>
      </c>
      <c r="JH75">
        <v>0</v>
      </c>
      <c r="JI75">
        <v>0</v>
      </c>
      <c r="JJ75">
        <f t="shared" si="68"/>
        <v>0</v>
      </c>
      <c r="JK75">
        <v>0</v>
      </c>
      <c r="JL75">
        <v>0</v>
      </c>
      <c r="JM75">
        <v>0</v>
      </c>
      <c r="JN75">
        <v>0</v>
      </c>
      <c r="JO75">
        <v>0</v>
      </c>
      <c r="JP75">
        <v>0</v>
      </c>
      <c r="JQ75">
        <v>0</v>
      </c>
      <c r="JR75">
        <v>0</v>
      </c>
      <c r="JS75">
        <v>0</v>
      </c>
      <c r="JT75">
        <v>0</v>
      </c>
      <c r="JU75">
        <v>0</v>
      </c>
      <c r="JV75">
        <v>0</v>
      </c>
      <c r="JW75">
        <f t="shared" si="69"/>
        <v>0</v>
      </c>
      <c r="JX75">
        <v>0</v>
      </c>
      <c r="JY75">
        <v>0</v>
      </c>
      <c r="JZ75">
        <v>0</v>
      </c>
      <c r="KA75">
        <v>0</v>
      </c>
      <c r="KB75">
        <v>0</v>
      </c>
      <c r="KC75">
        <v>0</v>
      </c>
      <c r="KD75">
        <v>0</v>
      </c>
      <c r="KE75">
        <v>0</v>
      </c>
      <c r="KF75">
        <v>0</v>
      </c>
      <c r="KG75">
        <v>0</v>
      </c>
      <c r="KH75">
        <v>0</v>
      </c>
      <c r="KI75">
        <v>0</v>
      </c>
      <c r="KJ75">
        <f t="shared" si="70"/>
        <v>0</v>
      </c>
      <c r="KK75">
        <v>0</v>
      </c>
      <c r="KL75">
        <v>0</v>
      </c>
      <c r="KM75">
        <v>0</v>
      </c>
      <c r="KN75">
        <v>0</v>
      </c>
      <c r="KO75">
        <v>0</v>
      </c>
      <c r="KP75">
        <v>0</v>
      </c>
      <c r="KQ75">
        <v>0</v>
      </c>
      <c r="KR75">
        <v>0</v>
      </c>
      <c r="KS75">
        <v>0</v>
      </c>
      <c r="KT75">
        <v>0</v>
      </c>
      <c r="KU75">
        <v>0</v>
      </c>
      <c r="KV75">
        <v>0</v>
      </c>
      <c r="KW75">
        <f t="shared" si="71"/>
        <v>0</v>
      </c>
      <c r="KX75">
        <v>0</v>
      </c>
      <c r="KY75">
        <v>0</v>
      </c>
      <c r="KZ75">
        <v>0</v>
      </c>
      <c r="LA75">
        <v>0</v>
      </c>
      <c r="LB75">
        <v>0</v>
      </c>
      <c r="LC75">
        <v>0</v>
      </c>
      <c r="LD75">
        <v>0</v>
      </c>
      <c r="LE75">
        <v>0</v>
      </c>
      <c r="LF75">
        <v>0</v>
      </c>
      <c r="LG75">
        <v>0</v>
      </c>
      <c r="LH75">
        <v>0</v>
      </c>
      <c r="LI75">
        <v>0</v>
      </c>
      <c r="LJ75">
        <f t="shared" si="72"/>
        <v>0</v>
      </c>
      <c r="LK75">
        <v>0</v>
      </c>
      <c r="LL75">
        <v>0</v>
      </c>
      <c r="LM75">
        <v>0</v>
      </c>
      <c r="LN75">
        <v>0</v>
      </c>
      <c r="LO75">
        <v>0</v>
      </c>
      <c r="LP75">
        <v>0</v>
      </c>
      <c r="LQ75">
        <v>0</v>
      </c>
      <c r="LR75">
        <v>0</v>
      </c>
      <c r="LS75">
        <v>0</v>
      </c>
      <c r="LT75">
        <v>0</v>
      </c>
      <c r="LU75">
        <v>0</v>
      </c>
      <c r="LV75">
        <v>0</v>
      </c>
      <c r="LW75">
        <f t="shared" si="73"/>
        <v>0</v>
      </c>
      <c r="LX75">
        <v>0</v>
      </c>
      <c r="LY75">
        <v>0</v>
      </c>
      <c r="LZ75">
        <v>0</v>
      </c>
      <c r="MA75">
        <v>0</v>
      </c>
      <c r="MB75">
        <v>0</v>
      </c>
      <c r="MC75">
        <v>0</v>
      </c>
      <c r="MD75">
        <v>0</v>
      </c>
      <c r="ME75">
        <v>0</v>
      </c>
      <c r="MF75">
        <v>0</v>
      </c>
      <c r="MG75">
        <v>0</v>
      </c>
      <c r="MH75">
        <v>0</v>
      </c>
      <c r="MI75">
        <v>0</v>
      </c>
      <c r="MJ75">
        <f t="shared" si="74"/>
        <v>0</v>
      </c>
      <c r="MK75">
        <v>3757</v>
      </c>
      <c r="ML75">
        <v>3791</v>
      </c>
      <c r="MM75">
        <v>3780</v>
      </c>
      <c r="MN75">
        <v>3799</v>
      </c>
      <c r="MO75">
        <v>3835</v>
      </c>
      <c r="MP75">
        <v>3562</v>
      </c>
      <c r="MQ75">
        <v>2900</v>
      </c>
      <c r="MR75">
        <v>2912</v>
      </c>
      <c r="MS75">
        <v>2848</v>
      </c>
      <c r="MT75">
        <v>3034</v>
      </c>
      <c r="MU75">
        <v>3023</v>
      </c>
      <c r="MV75">
        <v>3011</v>
      </c>
      <c r="MW75">
        <f t="shared" si="75"/>
        <v>40252</v>
      </c>
      <c r="MX75">
        <v>0</v>
      </c>
      <c r="MY75">
        <v>0</v>
      </c>
      <c r="MZ75">
        <v>0</v>
      </c>
      <c r="NA75">
        <v>0</v>
      </c>
      <c r="NB75">
        <v>0</v>
      </c>
      <c r="NC75">
        <v>0</v>
      </c>
      <c r="ND75">
        <v>0</v>
      </c>
      <c r="NE75">
        <v>0</v>
      </c>
      <c r="NF75">
        <v>0</v>
      </c>
      <c r="NG75">
        <v>0</v>
      </c>
      <c r="NH75">
        <v>0</v>
      </c>
      <c r="NI75">
        <v>0</v>
      </c>
      <c r="NJ75">
        <f t="shared" si="76"/>
        <v>0</v>
      </c>
      <c r="NK75">
        <v>0</v>
      </c>
      <c r="NL75">
        <v>0</v>
      </c>
      <c r="NM75">
        <v>0</v>
      </c>
      <c r="NN75">
        <v>0</v>
      </c>
      <c r="NO75">
        <v>0</v>
      </c>
      <c r="NP75">
        <v>0</v>
      </c>
      <c r="NQ75">
        <v>0</v>
      </c>
      <c r="NR75">
        <v>0</v>
      </c>
      <c r="NS75">
        <v>0</v>
      </c>
      <c r="NT75">
        <v>0</v>
      </c>
      <c r="NU75">
        <v>0</v>
      </c>
      <c r="NV75">
        <v>0</v>
      </c>
      <c r="NW75">
        <f t="shared" si="77"/>
        <v>0</v>
      </c>
      <c r="NX75">
        <v>0</v>
      </c>
      <c r="NY75">
        <v>0</v>
      </c>
      <c r="NZ75">
        <v>0</v>
      </c>
      <c r="OA75">
        <v>0</v>
      </c>
      <c r="OB75">
        <v>0</v>
      </c>
      <c r="OC75">
        <v>0</v>
      </c>
      <c r="OD75">
        <v>0</v>
      </c>
      <c r="OE75">
        <v>0</v>
      </c>
      <c r="OF75">
        <v>0</v>
      </c>
      <c r="OG75">
        <v>0</v>
      </c>
      <c r="OH75">
        <v>0</v>
      </c>
      <c r="OI75">
        <v>0</v>
      </c>
      <c r="OJ75">
        <f t="shared" si="78"/>
        <v>0</v>
      </c>
      <c r="OK75">
        <v>5810</v>
      </c>
      <c r="OL75">
        <v>6245</v>
      </c>
      <c r="OM75">
        <v>6257</v>
      </c>
      <c r="ON75">
        <v>6423</v>
      </c>
      <c r="OO75">
        <v>6698</v>
      </c>
      <c r="OP75">
        <v>6732</v>
      </c>
      <c r="OQ75">
        <v>5557</v>
      </c>
      <c r="OR75">
        <v>5458</v>
      </c>
      <c r="OS75">
        <v>5165</v>
      </c>
      <c r="OT75">
        <v>5904</v>
      </c>
      <c r="OU75">
        <v>5866</v>
      </c>
      <c r="OV75">
        <v>6127</v>
      </c>
      <c r="OW75">
        <f t="shared" si="79"/>
        <v>72242</v>
      </c>
      <c r="OX75">
        <v>0</v>
      </c>
      <c r="OY75">
        <v>0</v>
      </c>
      <c r="OZ75">
        <v>0</v>
      </c>
      <c r="PA75">
        <v>0</v>
      </c>
      <c r="PB75">
        <v>0</v>
      </c>
      <c r="PC75">
        <v>0</v>
      </c>
      <c r="PD75">
        <v>0</v>
      </c>
      <c r="PE75">
        <v>0</v>
      </c>
      <c r="PF75">
        <v>0</v>
      </c>
      <c r="PG75">
        <v>0</v>
      </c>
      <c r="PH75">
        <v>0</v>
      </c>
      <c r="PI75">
        <v>0</v>
      </c>
      <c r="PJ75">
        <f t="shared" si="80"/>
        <v>0</v>
      </c>
      <c r="PK75">
        <v>0</v>
      </c>
      <c r="PL75">
        <v>0</v>
      </c>
      <c r="PM75">
        <v>0</v>
      </c>
      <c r="PN75">
        <v>0</v>
      </c>
      <c r="PO75">
        <v>0</v>
      </c>
      <c r="PP75">
        <v>0</v>
      </c>
      <c r="PQ75">
        <v>0</v>
      </c>
      <c r="PR75">
        <v>0</v>
      </c>
      <c r="PS75">
        <v>0</v>
      </c>
      <c r="PT75">
        <v>0</v>
      </c>
      <c r="PU75">
        <v>0</v>
      </c>
      <c r="PV75">
        <v>0</v>
      </c>
      <c r="PW75">
        <f t="shared" si="81"/>
        <v>0</v>
      </c>
      <c r="PX75">
        <v>0</v>
      </c>
      <c r="PY75">
        <v>0</v>
      </c>
      <c r="PZ75">
        <v>0</v>
      </c>
      <c r="QA75">
        <v>0</v>
      </c>
      <c r="QB75">
        <v>0</v>
      </c>
      <c r="QC75">
        <v>0</v>
      </c>
      <c r="QD75">
        <v>0</v>
      </c>
      <c r="QE75">
        <v>0</v>
      </c>
      <c r="QF75">
        <v>0</v>
      </c>
      <c r="QG75">
        <v>0</v>
      </c>
      <c r="QH75">
        <v>0</v>
      </c>
      <c r="QI75">
        <v>0</v>
      </c>
      <c r="QJ75">
        <f t="shared" si="82"/>
        <v>0</v>
      </c>
      <c r="QK75">
        <v>17203</v>
      </c>
      <c r="QL75">
        <v>16614</v>
      </c>
      <c r="QM75">
        <v>16810</v>
      </c>
      <c r="QN75">
        <v>20468</v>
      </c>
      <c r="QO75">
        <v>20288</v>
      </c>
      <c r="QP75">
        <v>19386</v>
      </c>
      <c r="QQ75">
        <v>19210</v>
      </c>
      <c r="QR75">
        <v>16695</v>
      </c>
      <c r="QS75">
        <v>12368</v>
      </c>
      <c r="QT75">
        <v>19019</v>
      </c>
      <c r="QU75">
        <v>18299</v>
      </c>
      <c r="QV75">
        <v>17037</v>
      </c>
      <c r="QW75">
        <f t="shared" si="83"/>
        <v>213397</v>
      </c>
      <c r="QX75">
        <v>27069</v>
      </c>
      <c r="QY75">
        <v>26510</v>
      </c>
      <c r="QZ75">
        <v>28544</v>
      </c>
      <c r="RA75">
        <v>38421</v>
      </c>
      <c r="RB75">
        <v>33662</v>
      </c>
      <c r="RC75">
        <v>29682</v>
      </c>
      <c r="RD75">
        <v>31389</v>
      </c>
      <c r="RE75">
        <v>26109</v>
      </c>
      <c r="RF75">
        <v>20171</v>
      </c>
      <c r="RG75">
        <v>26793</v>
      </c>
      <c r="RH75">
        <v>27939</v>
      </c>
      <c r="RI75">
        <v>29004</v>
      </c>
      <c r="RJ75">
        <f t="shared" si="84"/>
        <v>345293</v>
      </c>
      <c r="RK75">
        <v>0</v>
      </c>
      <c r="RL75">
        <v>0</v>
      </c>
      <c r="RM75">
        <v>0</v>
      </c>
      <c r="RN75">
        <v>0</v>
      </c>
      <c r="RO75">
        <v>0</v>
      </c>
      <c r="RP75">
        <v>0</v>
      </c>
      <c r="RQ75">
        <v>0</v>
      </c>
      <c r="RR75">
        <v>0</v>
      </c>
      <c r="RS75">
        <v>0</v>
      </c>
      <c r="RT75">
        <v>0</v>
      </c>
      <c r="RU75">
        <v>0</v>
      </c>
      <c r="RV75">
        <v>0</v>
      </c>
      <c r="RW75">
        <f t="shared" si="85"/>
        <v>0</v>
      </c>
      <c r="RX75">
        <v>0</v>
      </c>
      <c r="RY75">
        <v>0</v>
      </c>
      <c r="RZ75">
        <v>0</v>
      </c>
      <c r="SA75">
        <v>0</v>
      </c>
      <c r="SB75">
        <v>0</v>
      </c>
      <c r="SC75">
        <v>0</v>
      </c>
      <c r="SD75">
        <v>0</v>
      </c>
      <c r="SE75">
        <v>0</v>
      </c>
      <c r="SF75">
        <v>0</v>
      </c>
      <c r="SG75">
        <v>0</v>
      </c>
      <c r="SH75">
        <v>0</v>
      </c>
      <c r="SI75">
        <v>0</v>
      </c>
      <c r="SJ75">
        <f t="shared" si="86"/>
        <v>0</v>
      </c>
      <c r="SK75">
        <v>0</v>
      </c>
      <c r="SL75">
        <v>0</v>
      </c>
      <c r="SM75">
        <v>0</v>
      </c>
      <c r="SN75">
        <v>0</v>
      </c>
      <c r="SO75">
        <v>0</v>
      </c>
      <c r="SP75">
        <v>0</v>
      </c>
      <c r="SQ75">
        <v>0</v>
      </c>
      <c r="SR75">
        <v>0</v>
      </c>
      <c r="SS75">
        <v>0</v>
      </c>
      <c r="ST75">
        <v>0</v>
      </c>
      <c r="SU75">
        <v>0</v>
      </c>
      <c r="SV75">
        <v>0</v>
      </c>
      <c r="SW75">
        <f t="shared" si="87"/>
        <v>0</v>
      </c>
      <c r="SX75" t="s">
        <v>1365</v>
      </c>
      <c r="SY75">
        <v>2513</v>
      </c>
      <c r="SZ75">
        <v>2393</v>
      </c>
      <c r="TA75">
        <v>2371</v>
      </c>
      <c r="TB75">
        <v>2638</v>
      </c>
      <c r="TC75">
        <v>2991</v>
      </c>
      <c r="TD75">
        <v>2786</v>
      </c>
      <c r="TE75">
        <v>2953</v>
      </c>
      <c r="TF75">
        <v>2473</v>
      </c>
      <c r="TG75">
        <v>1859</v>
      </c>
      <c r="TH75">
        <v>2538</v>
      </c>
      <c r="TI75">
        <v>2564</v>
      </c>
      <c r="TJ75">
        <v>0</v>
      </c>
      <c r="TK75">
        <f t="shared" si="88"/>
        <v>28079</v>
      </c>
      <c r="TL75">
        <v>0</v>
      </c>
      <c r="TM75">
        <v>0</v>
      </c>
      <c r="TN75">
        <v>0</v>
      </c>
      <c r="TO75">
        <v>0</v>
      </c>
      <c r="TP75">
        <v>0</v>
      </c>
      <c r="TQ75">
        <v>0</v>
      </c>
      <c r="TR75">
        <v>0</v>
      </c>
      <c r="TS75">
        <v>0</v>
      </c>
      <c r="TT75">
        <v>0</v>
      </c>
      <c r="TU75">
        <v>0</v>
      </c>
      <c r="TV75">
        <v>0</v>
      </c>
      <c r="TW75">
        <v>0</v>
      </c>
      <c r="TX75">
        <f t="shared" si="89"/>
        <v>0</v>
      </c>
      <c r="TY75">
        <v>88</v>
      </c>
      <c r="TZ75">
        <v>12</v>
      </c>
      <c r="UA75">
        <v>1</v>
      </c>
      <c r="UB75">
        <v>0</v>
      </c>
    </row>
    <row r="76" spans="1:548" ht="16.5" customHeight="1" x14ac:dyDescent="0.35">
      <c r="A76" t="s">
        <v>1461</v>
      </c>
      <c r="B76" t="s">
        <v>2865</v>
      </c>
      <c r="C76">
        <v>61947</v>
      </c>
      <c r="D76">
        <v>20502</v>
      </c>
      <c r="E76">
        <v>0</v>
      </c>
      <c r="F76">
        <v>40537</v>
      </c>
      <c r="G76">
        <v>265</v>
      </c>
      <c r="H76">
        <v>226</v>
      </c>
      <c r="I76">
        <v>265</v>
      </c>
      <c r="J76">
        <v>276</v>
      </c>
      <c r="K76">
        <v>244</v>
      </c>
      <c r="L76">
        <v>251</v>
      </c>
      <c r="M76">
        <v>317</v>
      </c>
      <c r="N76">
        <v>259</v>
      </c>
      <c r="O76">
        <v>211</v>
      </c>
      <c r="P76">
        <v>250</v>
      </c>
      <c r="Q76">
        <v>254</v>
      </c>
      <c r="R76">
        <v>270</v>
      </c>
      <c r="S76">
        <f t="shared" si="45"/>
        <v>3088</v>
      </c>
      <c r="T76">
        <v>130</v>
      </c>
      <c r="U76">
        <v>122</v>
      </c>
      <c r="V76">
        <v>152</v>
      </c>
      <c r="W76">
        <v>150</v>
      </c>
      <c r="X76">
        <v>146</v>
      </c>
      <c r="Y76">
        <v>136</v>
      </c>
      <c r="Z76">
        <v>171</v>
      </c>
      <c r="AA76">
        <v>150</v>
      </c>
      <c r="AB76">
        <v>115</v>
      </c>
      <c r="AC76">
        <v>140</v>
      </c>
      <c r="AD76">
        <v>141</v>
      </c>
      <c r="AE76">
        <v>165</v>
      </c>
      <c r="AF76">
        <f t="shared" si="46"/>
        <v>1718</v>
      </c>
      <c r="AG76">
        <v>0</v>
      </c>
      <c r="AH76">
        <v>0</v>
      </c>
      <c r="AI76">
        <v>0</v>
      </c>
      <c r="AJ76">
        <v>0</v>
      </c>
      <c r="AK76">
        <v>0</v>
      </c>
      <c r="AL76">
        <v>0</v>
      </c>
      <c r="AM76">
        <v>0</v>
      </c>
      <c r="AN76">
        <v>0</v>
      </c>
      <c r="AO76">
        <v>0</v>
      </c>
      <c r="AP76">
        <v>0</v>
      </c>
      <c r="AQ76">
        <v>0</v>
      </c>
      <c r="AR76">
        <v>0</v>
      </c>
      <c r="AS76">
        <f t="shared" si="47"/>
        <v>0</v>
      </c>
      <c r="AT76">
        <v>135</v>
      </c>
      <c r="AU76">
        <v>104</v>
      </c>
      <c r="AV76">
        <v>113</v>
      </c>
      <c r="AW76">
        <v>126</v>
      </c>
      <c r="AX76">
        <v>98</v>
      </c>
      <c r="AY76">
        <v>115</v>
      </c>
      <c r="AZ76">
        <v>146</v>
      </c>
      <c r="BA76">
        <v>109</v>
      </c>
      <c r="BB76">
        <v>96</v>
      </c>
      <c r="BC76">
        <v>110</v>
      </c>
      <c r="BD76">
        <v>113</v>
      </c>
      <c r="BE76">
        <v>105</v>
      </c>
      <c r="BF76">
        <f t="shared" si="48"/>
        <v>1370</v>
      </c>
      <c r="BG76">
        <v>0</v>
      </c>
      <c r="BH76">
        <v>0</v>
      </c>
      <c r="BI76">
        <v>0</v>
      </c>
      <c r="BJ76">
        <v>0</v>
      </c>
      <c r="BK76">
        <v>0</v>
      </c>
      <c r="BL76">
        <v>0</v>
      </c>
      <c r="BM76">
        <v>0</v>
      </c>
      <c r="BN76">
        <v>0</v>
      </c>
      <c r="BO76">
        <v>0</v>
      </c>
      <c r="BP76">
        <v>0</v>
      </c>
      <c r="BQ76">
        <v>0</v>
      </c>
      <c r="BR76">
        <v>0</v>
      </c>
      <c r="BS76">
        <f t="shared" si="49"/>
        <v>0</v>
      </c>
      <c r="BT76">
        <v>0</v>
      </c>
      <c r="BU76">
        <v>0</v>
      </c>
      <c r="BV76">
        <v>0</v>
      </c>
      <c r="BW76">
        <v>0</v>
      </c>
      <c r="BX76">
        <v>0</v>
      </c>
      <c r="BY76">
        <v>0</v>
      </c>
      <c r="BZ76">
        <v>0</v>
      </c>
      <c r="CA76">
        <v>0</v>
      </c>
      <c r="CB76">
        <v>0</v>
      </c>
      <c r="CC76">
        <v>0</v>
      </c>
      <c r="CD76">
        <v>0</v>
      </c>
      <c r="CE76">
        <v>0</v>
      </c>
      <c r="CF76">
        <f t="shared" si="50"/>
        <v>0</v>
      </c>
      <c r="CG76">
        <v>0</v>
      </c>
      <c r="CH76">
        <v>0</v>
      </c>
      <c r="CI76">
        <v>0</v>
      </c>
      <c r="CJ76">
        <v>0</v>
      </c>
      <c r="CK76">
        <v>0</v>
      </c>
      <c r="CL76">
        <v>0</v>
      </c>
      <c r="CM76">
        <v>0</v>
      </c>
      <c r="CN76">
        <v>0</v>
      </c>
      <c r="CO76">
        <v>0</v>
      </c>
      <c r="CP76">
        <v>0</v>
      </c>
      <c r="CQ76">
        <v>0</v>
      </c>
      <c r="CR76">
        <v>0</v>
      </c>
      <c r="CS76">
        <f t="shared" si="51"/>
        <v>0</v>
      </c>
      <c r="CT76">
        <v>0</v>
      </c>
      <c r="CU76">
        <v>0</v>
      </c>
      <c r="CV76">
        <v>0</v>
      </c>
      <c r="CW76">
        <v>0</v>
      </c>
      <c r="CX76">
        <v>0</v>
      </c>
      <c r="CY76">
        <v>0</v>
      </c>
      <c r="CZ76">
        <v>0</v>
      </c>
      <c r="DA76">
        <v>0</v>
      </c>
      <c r="DB76">
        <v>0</v>
      </c>
      <c r="DC76">
        <v>0</v>
      </c>
      <c r="DD76">
        <v>0</v>
      </c>
      <c r="DE76">
        <v>0</v>
      </c>
      <c r="DF76">
        <f t="shared" si="52"/>
        <v>0</v>
      </c>
      <c r="DG76">
        <v>0</v>
      </c>
      <c r="DH76">
        <v>0</v>
      </c>
      <c r="DI76">
        <v>0</v>
      </c>
      <c r="DJ76">
        <v>0</v>
      </c>
      <c r="DK76">
        <v>0</v>
      </c>
      <c r="DL76">
        <v>0</v>
      </c>
      <c r="DM76">
        <v>0</v>
      </c>
      <c r="DN76">
        <v>0</v>
      </c>
      <c r="DO76">
        <v>0</v>
      </c>
      <c r="DP76">
        <v>0</v>
      </c>
      <c r="DQ76">
        <v>0</v>
      </c>
      <c r="DR76">
        <v>0</v>
      </c>
      <c r="DS76">
        <f t="shared" si="53"/>
        <v>0</v>
      </c>
      <c r="DT76">
        <v>0</v>
      </c>
      <c r="DU76">
        <v>0</v>
      </c>
      <c r="DV76">
        <v>0</v>
      </c>
      <c r="DW76">
        <v>0</v>
      </c>
      <c r="DX76">
        <v>0</v>
      </c>
      <c r="DY76">
        <v>0</v>
      </c>
      <c r="DZ76">
        <v>0</v>
      </c>
      <c r="EA76">
        <v>0</v>
      </c>
      <c r="EB76">
        <v>0</v>
      </c>
      <c r="EC76">
        <v>0</v>
      </c>
      <c r="ED76">
        <v>0</v>
      </c>
      <c r="EE76">
        <v>0</v>
      </c>
      <c r="EF76">
        <f t="shared" si="54"/>
        <v>0</v>
      </c>
      <c r="EG76">
        <f t="shared" si="55"/>
        <v>3088</v>
      </c>
      <c r="EH76">
        <f t="shared" si="56"/>
        <v>0</v>
      </c>
      <c r="EI76">
        <v>3726</v>
      </c>
      <c r="EJ76">
        <v>3938</v>
      </c>
      <c r="EK76">
        <v>5161</v>
      </c>
      <c r="EL76">
        <v>5851</v>
      </c>
      <c r="EM76">
        <v>3548</v>
      </c>
      <c r="EN76">
        <v>3678</v>
      </c>
      <c r="EO76">
        <v>5976</v>
      </c>
      <c r="EP76">
        <v>4692</v>
      </c>
      <c r="EQ76">
        <v>1794</v>
      </c>
      <c r="ER76">
        <v>4065</v>
      </c>
      <c r="ES76">
        <v>4274</v>
      </c>
      <c r="ET76">
        <v>4131</v>
      </c>
      <c r="EU76">
        <f t="shared" si="57"/>
        <v>50834</v>
      </c>
      <c r="EV76">
        <v>1680</v>
      </c>
      <c r="EW76">
        <v>1749</v>
      </c>
      <c r="EX76">
        <v>2812</v>
      </c>
      <c r="EY76">
        <v>3421</v>
      </c>
      <c r="EZ76">
        <v>1752</v>
      </c>
      <c r="FA76">
        <v>1949</v>
      </c>
      <c r="FB76">
        <v>2570</v>
      </c>
      <c r="FC76">
        <v>2701</v>
      </c>
      <c r="FD76">
        <v>1275</v>
      </c>
      <c r="FE76">
        <v>2072</v>
      </c>
      <c r="FF76">
        <v>1887</v>
      </c>
      <c r="FG76">
        <v>2208</v>
      </c>
      <c r="FH76">
        <f t="shared" si="58"/>
        <v>26076</v>
      </c>
      <c r="FI76">
        <v>0</v>
      </c>
      <c r="FJ76">
        <v>0</v>
      </c>
      <c r="FK76">
        <v>0</v>
      </c>
      <c r="FL76">
        <v>0</v>
      </c>
      <c r="FM76">
        <v>0</v>
      </c>
      <c r="FN76">
        <v>0</v>
      </c>
      <c r="FO76">
        <v>0</v>
      </c>
      <c r="FP76">
        <v>0</v>
      </c>
      <c r="FQ76">
        <v>0</v>
      </c>
      <c r="FR76">
        <v>0</v>
      </c>
      <c r="FS76">
        <v>0</v>
      </c>
      <c r="FT76">
        <v>0</v>
      </c>
      <c r="FU76">
        <f t="shared" si="59"/>
        <v>0</v>
      </c>
      <c r="FV76">
        <v>2046</v>
      </c>
      <c r="FW76">
        <v>2189</v>
      </c>
      <c r="FX76">
        <v>2349</v>
      </c>
      <c r="FY76">
        <v>2430</v>
      </c>
      <c r="FZ76">
        <v>1796</v>
      </c>
      <c r="GA76">
        <v>1729</v>
      </c>
      <c r="GB76">
        <v>3406</v>
      </c>
      <c r="GC76">
        <v>1991</v>
      </c>
      <c r="GD76">
        <v>1519</v>
      </c>
      <c r="GE76">
        <v>1993</v>
      </c>
      <c r="GF76">
        <v>2387</v>
      </c>
      <c r="GG76">
        <v>1923</v>
      </c>
      <c r="GH76">
        <f t="shared" si="60"/>
        <v>25758</v>
      </c>
      <c r="GI76">
        <v>0</v>
      </c>
      <c r="GJ76">
        <v>0</v>
      </c>
      <c r="GK76">
        <v>0</v>
      </c>
      <c r="GL76">
        <v>0</v>
      </c>
      <c r="GM76">
        <v>0</v>
      </c>
      <c r="GN76">
        <v>0</v>
      </c>
      <c r="GO76">
        <v>0</v>
      </c>
      <c r="GP76">
        <v>0</v>
      </c>
      <c r="GQ76">
        <v>0</v>
      </c>
      <c r="GR76">
        <v>0</v>
      </c>
      <c r="GS76">
        <v>0</v>
      </c>
      <c r="GT76">
        <v>0</v>
      </c>
      <c r="GU76">
        <f t="shared" si="61"/>
        <v>0</v>
      </c>
      <c r="GV76">
        <v>0</v>
      </c>
      <c r="GW76">
        <v>0</v>
      </c>
      <c r="GX76">
        <v>0</v>
      </c>
      <c r="GY76">
        <v>0</v>
      </c>
      <c r="GZ76">
        <v>0</v>
      </c>
      <c r="HA76">
        <v>0</v>
      </c>
      <c r="HB76">
        <v>0</v>
      </c>
      <c r="HC76">
        <v>0</v>
      </c>
      <c r="HD76">
        <v>0</v>
      </c>
      <c r="HE76">
        <v>0</v>
      </c>
      <c r="HF76">
        <v>0</v>
      </c>
      <c r="HG76">
        <v>0</v>
      </c>
      <c r="HH76">
        <f t="shared" si="62"/>
        <v>0</v>
      </c>
      <c r="HI76">
        <v>0</v>
      </c>
      <c r="HJ76">
        <v>0</v>
      </c>
      <c r="HK76">
        <v>0</v>
      </c>
      <c r="HL76">
        <v>0</v>
      </c>
      <c r="HM76">
        <v>0</v>
      </c>
      <c r="HN76">
        <v>0</v>
      </c>
      <c r="HO76">
        <v>0</v>
      </c>
      <c r="HP76">
        <v>0</v>
      </c>
      <c r="HQ76">
        <v>0</v>
      </c>
      <c r="HR76">
        <v>0</v>
      </c>
      <c r="HS76">
        <v>0</v>
      </c>
      <c r="HT76">
        <v>0</v>
      </c>
      <c r="HU76">
        <f t="shared" si="63"/>
        <v>0</v>
      </c>
      <c r="HV76">
        <v>0</v>
      </c>
      <c r="HW76">
        <v>0</v>
      </c>
      <c r="HX76">
        <v>0</v>
      </c>
      <c r="HY76">
        <v>0</v>
      </c>
      <c r="HZ76">
        <v>0</v>
      </c>
      <c r="IA76">
        <v>0</v>
      </c>
      <c r="IB76">
        <v>0</v>
      </c>
      <c r="IC76">
        <v>0</v>
      </c>
      <c r="ID76">
        <v>0</v>
      </c>
      <c r="IE76">
        <v>0</v>
      </c>
      <c r="IF76">
        <v>0</v>
      </c>
      <c r="IG76">
        <v>0</v>
      </c>
      <c r="IH76">
        <f t="shared" si="64"/>
        <v>0</v>
      </c>
      <c r="II76">
        <f t="shared" si="65"/>
        <v>51834</v>
      </c>
      <c r="IJ76">
        <f t="shared" si="66"/>
        <v>0</v>
      </c>
      <c r="IK76">
        <v>68435</v>
      </c>
      <c r="IL76">
        <v>72343</v>
      </c>
      <c r="IM76">
        <v>67389</v>
      </c>
      <c r="IN76">
        <v>80421</v>
      </c>
      <c r="IO76">
        <v>85797</v>
      </c>
      <c r="IP76">
        <v>75063</v>
      </c>
      <c r="IQ76">
        <v>79903</v>
      </c>
      <c r="IR76">
        <v>71266</v>
      </c>
      <c r="IS76">
        <v>56283</v>
      </c>
      <c r="IT76">
        <v>71433</v>
      </c>
      <c r="IU76">
        <v>70489</v>
      </c>
      <c r="IV76">
        <v>76482</v>
      </c>
      <c r="IW76">
        <f t="shared" si="67"/>
        <v>875304</v>
      </c>
      <c r="IX76">
        <v>30738</v>
      </c>
      <c r="IY76">
        <v>33730</v>
      </c>
      <c r="IZ76">
        <v>30263</v>
      </c>
      <c r="JA76">
        <v>39018</v>
      </c>
      <c r="JB76">
        <v>42709</v>
      </c>
      <c r="JC76">
        <v>35794</v>
      </c>
      <c r="JD76">
        <v>37990</v>
      </c>
      <c r="JE76">
        <v>33299</v>
      </c>
      <c r="JF76">
        <v>24964</v>
      </c>
      <c r="JG76">
        <v>32635</v>
      </c>
      <c r="JH76">
        <v>33631</v>
      </c>
      <c r="JI76">
        <v>35488</v>
      </c>
      <c r="JJ76">
        <f t="shared" si="68"/>
        <v>410259</v>
      </c>
      <c r="JK76">
        <v>607</v>
      </c>
      <c r="JL76">
        <v>463</v>
      </c>
      <c r="JM76">
        <v>508</v>
      </c>
      <c r="JN76">
        <v>541</v>
      </c>
      <c r="JO76">
        <v>632</v>
      </c>
      <c r="JP76">
        <v>591</v>
      </c>
      <c r="JQ76">
        <v>534</v>
      </c>
      <c r="JR76">
        <v>531</v>
      </c>
      <c r="JS76">
        <v>433</v>
      </c>
      <c r="JT76">
        <v>493</v>
      </c>
      <c r="JU76">
        <v>427</v>
      </c>
      <c r="JV76">
        <v>569</v>
      </c>
      <c r="JW76">
        <f t="shared" si="69"/>
        <v>6329</v>
      </c>
      <c r="JX76">
        <v>37090</v>
      </c>
      <c r="JY76">
        <v>38150</v>
      </c>
      <c r="JZ76">
        <v>36618</v>
      </c>
      <c r="KA76">
        <v>40862</v>
      </c>
      <c r="KB76">
        <v>42456</v>
      </c>
      <c r="KC76">
        <v>38678</v>
      </c>
      <c r="KD76">
        <v>41379</v>
      </c>
      <c r="KE76">
        <v>37435</v>
      </c>
      <c r="KF76">
        <v>30886</v>
      </c>
      <c r="KG76">
        <v>38305</v>
      </c>
      <c r="KH76">
        <v>36431</v>
      </c>
      <c r="KI76">
        <v>40425</v>
      </c>
      <c r="KJ76">
        <f t="shared" si="70"/>
        <v>458715</v>
      </c>
      <c r="KK76">
        <v>611</v>
      </c>
      <c r="KL76">
        <v>602</v>
      </c>
      <c r="KM76">
        <v>716</v>
      </c>
      <c r="KN76">
        <v>692</v>
      </c>
      <c r="KO76">
        <v>688</v>
      </c>
      <c r="KP76">
        <v>601</v>
      </c>
      <c r="KQ76">
        <v>727</v>
      </c>
      <c r="KR76">
        <v>613</v>
      </c>
      <c r="KS76">
        <v>519</v>
      </c>
      <c r="KT76">
        <v>607</v>
      </c>
      <c r="KU76">
        <v>597</v>
      </c>
      <c r="KV76">
        <v>605</v>
      </c>
      <c r="KW76">
        <f t="shared" si="71"/>
        <v>7578</v>
      </c>
      <c r="KX76">
        <v>51</v>
      </c>
      <c r="KY76">
        <v>79</v>
      </c>
      <c r="KZ76">
        <v>74</v>
      </c>
      <c r="LA76">
        <v>83</v>
      </c>
      <c r="LB76">
        <v>95</v>
      </c>
      <c r="LC76">
        <v>68</v>
      </c>
      <c r="LD76">
        <v>63</v>
      </c>
      <c r="LE76">
        <v>57</v>
      </c>
      <c r="LF76">
        <v>67</v>
      </c>
      <c r="LG76">
        <v>50</v>
      </c>
      <c r="LH76">
        <v>67</v>
      </c>
      <c r="LI76">
        <v>55</v>
      </c>
      <c r="LJ76">
        <f t="shared" si="72"/>
        <v>809</v>
      </c>
      <c r="LK76">
        <v>0</v>
      </c>
      <c r="LL76">
        <v>0</v>
      </c>
      <c r="LM76">
        <v>0</v>
      </c>
      <c r="LN76">
        <v>0</v>
      </c>
      <c r="LO76">
        <v>0</v>
      </c>
      <c r="LP76">
        <v>0</v>
      </c>
      <c r="LQ76">
        <v>0</v>
      </c>
      <c r="LR76">
        <v>0</v>
      </c>
      <c r="LS76">
        <v>0</v>
      </c>
      <c r="LT76">
        <v>0</v>
      </c>
      <c r="LU76">
        <v>0</v>
      </c>
      <c r="LV76">
        <v>0</v>
      </c>
      <c r="LW76">
        <f t="shared" si="73"/>
        <v>0</v>
      </c>
      <c r="LX76">
        <v>560</v>
      </c>
      <c r="LY76">
        <v>523</v>
      </c>
      <c r="LZ76">
        <v>642</v>
      </c>
      <c r="MA76">
        <v>609</v>
      </c>
      <c r="MB76">
        <v>593</v>
      </c>
      <c r="MC76">
        <v>533</v>
      </c>
      <c r="MD76">
        <v>664</v>
      </c>
      <c r="ME76">
        <v>556</v>
      </c>
      <c r="MF76">
        <v>452</v>
      </c>
      <c r="MG76">
        <v>557</v>
      </c>
      <c r="MH76">
        <v>530</v>
      </c>
      <c r="MI76">
        <v>550</v>
      </c>
      <c r="MJ76">
        <f t="shared" si="74"/>
        <v>6769</v>
      </c>
      <c r="MK76">
        <v>3688</v>
      </c>
      <c r="ML76">
        <v>3777</v>
      </c>
      <c r="MM76">
        <v>3340</v>
      </c>
      <c r="MN76">
        <v>3693</v>
      </c>
      <c r="MO76">
        <v>3880</v>
      </c>
      <c r="MP76">
        <v>3574</v>
      </c>
      <c r="MQ76">
        <v>3453</v>
      </c>
      <c r="MR76">
        <v>3356</v>
      </c>
      <c r="MS76">
        <v>3371</v>
      </c>
      <c r="MT76">
        <v>3566</v>
      </c>
      <c r="MU76">
        <v>3117</v>
      </c>
      <c r="MV76">
        <v>3461</v>
      </c>
      <c r="MW76">
        <f t="shared" si="75"/>
        <v>42276</v>
      </c>
      <c r="MX76">
        <v>191</v>
      </c>
      <c r="MY76">
        <v>205</v>
      </c>
      <c r="MZ76">
        <v>170</v>
      </c>
      <c r="NA76">
        <v>228</v>
      </c>
      <c r="NB76">
        <v>297</v>
      </c>
      <c r="NC76">
        <v>179</v>
      </c>
      <c r="ND76">
        <v>194</v>
      </c>
      <c r="NE76">
        <v>214</v>
      </c>
      <c r="NF76">
        <v>180</v>
      </c>
      <c r="NG76">
        <v>139</v>
      </c>
      <c r="NH76">
        <v>115</v>
      </c>
      <c r="NI76">
        <v>178</v>
      </c>
      <c r="NJ76">
        <f t="shared" si="76"/>
        <v>2290</v>
      </c>
      <c r="NK76">
        <v>145</v>
      </c>
      <c r="NL76">
        <v>171</v>
      </c>
      <c r="NM76">
        <v>195</v>
      </c>
      <c r="NN76">
        <v>194</v>
      </c>
      <c r="NO76">
        <v>195</v>
      </c>
      <c r="NP76">
        <v>166</v>
      </c>
      <c r="NQ76">
        <v>171</v>
      </c>
      <c r="NR76">
        <v>136</v>
      </c>
      <c r="NS76">
        <v>136</v>
      </c>
      <c r="NT76">
        <v>162</v>
      </c>
      <c r="NU76">
        <v>122</v>
      </c>
      <c r="NV76">
        <v>159</v>
      </c>
      <c r="NW76">
        <f t="shared" si="77"/>
        <v>1952</v>
      </c>
      <c r="NX76">
        <v>3352</v>
      </c>
      <c r="NY76">
        <v>3401</v>
      </c>
      <c r="NZ76">
        <v>2975</v>
      </c>
      <c r="OA76">
        <v>3271</v>
      </c>
      <c r="OB76">
        <v>3388</v>
      </c>
      <c r="OC76">
        <v>3229</v>
      </c>
      <c r="OD76">
        <v>3088</v>
      </c>
      <c r="OE76">
        <v>3006</v>
      </c>
      <c r="OF76">
        <v>3055</v>
      </c>
      <c r="OG76">
        <v>3265</v>
      </c>
      <c r="OH76">
        <v>2880</v>
      </c>
      <c r="OI76">
        <v>3124</v>
      </c>
      <c r="OJ76">
        <f t="shared" si="78"/>
        <v>38034</v>
      </c>
      <c r="OK76">
        <v>3173</v>
      </c>
      <c r="OL76">
        <v>3006</v>
      </c>
      <c r="OM76">
        <v>2919</v>
      </c>
      <c r="ON76">
        <v>3352</v>
      </c>
      <c r="OO76">
        <v>358</v>
      </c>
      <c r="OP76">
        <v>3169</v>
      </c>
      <c r="OQ76">
        <v>3341</v>
      </c>
      <c r="OR76">
        <v>3379</v>
      </c>
      <c r="OS76">
        <v>3286</v>
      </c>
      <c r="OT76">
        <v>3640</v>
      </c>
      <c r="OU76">
        <v>3625</v>
      </c>
      <c r="OV76">
        <v>3956</v>
      </c>
      <c r="OW76">
        <f t="shared" si="79"/>
        <v>37204</v>
      </c>
      <c r="OX76">
        <v>398</v>
      </c>
      <c r="OY76">
        <v>337</v>
      </c>
      <c r="OZ76">
        <v>348</v>
      </c>
      <c r="PA76">
        <v>410</v>
      </c>
      <c r="PB76">
        <v>483</v>
      </c>
      <c r="PC76">
        <v>313</v>
      </c>
      <c r="PD76">
        <v>385</v>
      </c>
      <c r="PE76">
        <v>387</v>
      </c>
      <c r="PF76">
        <v>403</v>
      </c>
      <c r="PG76">
        <v>376</v>
      </c>
      <c r="PH76">
        <v>315</v>
      </c>
      <c r="PI76">
        <v>343</v>
      </c>
      <c r="PJ76">
        <f t="shared" si="80"/>
        <v>4498</v>
      </c>
      <c r="PK76">
        <v>81</v>
      </c>
      <c r="PL76">
        <v>74</v>
      </c>
      <c r="PM76">
        <v>119</v>
      </c>
      <c r="PN76">
        <v>169</v>
      </c>
      <c r="PO76">
        <v>181</v>
      </c>
      <c r="PP76">
        <v>69</v>
      </c>
      <c r="PQ76">
        <v>102</v>
      </c>
      <c r="PR76">
        <v>161</v>
      </c>
      <c r="PS76">
        <v>200</v>
      </c>
      <c r="PT76">
        <v>90</v>
      </c>
      <c r="PU76">
        <v>79</v>
      </c>
      <c r="PV76">
        <v>148</v>
      </c>
      <c r="PW76">
        <f t="shared" si="81"/>
        <v>1473</v>
      </c>
      <c r="PX76">
        <v>2694</v>
      </c>
      <c r="PY76">
        <v>2595</v>
      </c>
      <c r="PZ76">
        <v>2452</v>
      </c>
      <c r="QA76">
        <v>2773</v>
      </c>
      <c r="QB76">
        <v>2854</v>
      </c>
      <c r="QC76">
        <v>2787</v>
      </c>
      <c r="QD76">
        <v>2854</v>
      </c>
      <c r="QE76">
        <v>2831</v>
      </c>
      <c r="QF76">
        <v>2683</v>
      </c>
      <c r="QG76">
        <v>3174</v>
      </c>
      <c r="QH76">
        <v>3231</v>
      </c>
      <c r="QI76">
        <v>3465</v>
      </c>
      <c r="QJ76">
        <f t="shared" si="82"/>
        <v>34393</v>
      </c>
      <c r="QK76">
        <v>26912</v>
      </c>
      <c r="QL76">
        <v>27366</v>
      </c>
      <c r="QM76">
        <v>26832</v>
      </c>
      <c r="QN76">
        <v>28172</v>
      </c>
      <c r="QO76">
        <v>27555</v>
      </c>
      <c r="QP76">
        <v>31747</v>
      </c>
      <c r="QQ76">
        <v>32069</v>
      </c>
      <c r="QR76">
        <v>30416</v>
      </c>
      <c r="QS76">
        <v>26940</v>
      </c>
      <c r="QT76">
        <v>29678</v>
      </c>
      <c r="QU76">
        <v>28108</v>
      </c>
      <c r="QV76">
        <v>32920</v>
      </c>
      <c r="QW76">
        <f t="shared" si="83"/>
        <v>348715</v>
      </c>
      <c r="QX76">
        <v>54509</v>
      </c>
      <c r="QY76">
        <v>54930</v>
      </c>
      <c r="QZ76">
        <v>48847</v>
      </c>
      <c r="RA76">
        <v>55679</v>
      </c>
      <c r="RB76">
        <v>25998</v>
      </c>
      <c r="RC76">
        <v>46462</v>
      </c>
      <c r="RD76">
        <v>52815</v>
      </c>
      <c r="RE76">
        <v>44386</v>
      </c>
      <c r="RF76">
        <v>35105</v>
      </c>
      <c r="RG76">
        <v>52684</v>
      </c>
      <c r="RH76">
        <v>51457</v>
      </c>
      <c r="RI76">
        <v>53141</v>
      </c>
      <c r="RJ76">
        <f t="shared" si="84"/>
        <v>576013</v>
      </c>
      <c r="RK76">
        <v>0</v>
      </c>
      <c r="RL76">
        <v>0</v>
      </c>
      <c r="RM76">
        <v>0</v>
      </c>
      <c r="RN76">
        <v>0</v>
      </c>
      <c r="RO76">
        <v>0</v>
      </c>
      <c r="RP76">
        <v>0</v>
      </c>
      <c r="RQ76">
        <v>0</v>
      </c>
      <c r="RR76">
        <v>0</v>
      </c>
      <c r="RS76">
        <v>0</v>
      </c>
      <c r="RT76">
        <v>0</v>
      </c>
      <c r="RU76">
        <v>0</v>
      </c>
      <c r="RV76">
        <v>0</v>
      </c>
      <c r="RW76">
        <f t="shared" si="85"/>
        <v>0</v>
      </c>
      <c r="RX76">
        <v>0</v>
      </c>
      <c r="RY76">
        <v>0</v>
      </c>
      <c r="RZ76">
        <v>0</v>
      </c>
      <c r="SA76">
        <v>0</v>
      </c>
      <c r="SB76">
        <v>0</v>
      </c>
      <c r="SC76">
        <v>0</v>
      </c>
      <c r="SD76">
        <v>0</v>
      </c>
      <c r="SE76">
        <v>0</v>
      </c>
      <c r="SF76">
        <v>0</v>
      </c>
      <c r="SG76">
        <v>0</v>
      </c>
      <c r="SH76">
        <v>0</v>
      </c>
      <c r="SI76">
        <v>0</v>
      </c>
      <c r="SJ76">
        <f t="shared" si="86"/>
        <v>0</v>
      </c>
      <c r="SK76">
        <v>1832</v>
      </c>
      <c r="SL76">
        <v>1495</v>
      </c>
      <c r="SM76">
        <v>2016</v>
      </c>
      <c r="SN76">
        <v>1900</v>
      </c>
      <c r="SO76">
        <v>1867</v>
      </c>
      <c r="SP76">
        <v>1688</v>
      </c>
      <c r="SQ76">
        <v>1925</v>
      </c>
      <c r="SR76">
        <v>2062</v>
      </c>
      <c r="SS76">
        <v>1581</v>
      </c>
      <c r="ST76">
        <v>1652</v>
      </c>
      <c r="SU76">
        <v>1754</v>
      </c>
      <c r="SV76">
        <v>1826</v>
      </c>
      <c r="SW76">
        <f t="shared" si="87"/>
        <v>21598</v>
      </c>
      <c r="SX76" s="1" t="s">
        <v>1462</v>
      </c>
      <c r="SY76">
        <v>5746</v>
      </c>
      <c r="SZ76">
        <v>6382</v>
      </c>
      <c r="TA76">
        <v>5851</v>
      </c>
      <c r="TB76">
        <v>6318</v>
      </c>
      <c r="TC76">
        <v>6359</v>
      </c>
      <c r="TD76">
        <v>6022</v>
      </c>
      <c r="TE76">
        <v>6091</v>
      </c>
      <c r="TF76">
        <v>5069</v>
      </c>
      <c r="TG76">
        <v>4513</v>
      </c>
      <c r="TH76">
        <v>5642</v>
      </c>
      <c r="TI76">
        <v>5651</v>
      </c>
      <c r="TJ76">
        <v>5855</v>
      </c>
      <c r="TK76">
        <f t="shared" si="88"/>
        <v>69499</v>
      </c>
      <c r="TL76">
        <v>0</v>
      </c>
      <c r="TM76">
        <v>0</v>
      </c>
      <c r="TN76">
        <v>0</v>
      </c>
      <c r="TO76">
        <v>0</v>
      </c>
      <c r="TP76">
        <v>0</v>
      </c>
      <c r="TQ76">
        <v>0</v>
      </c>
      <c r="TR76">
        <v>0</v>
      </c>
      <c r="TS76">
        <v>0</v>
      </c>
      <c r="TT76">
        <v>0</v>
      </c>
      <c r="TU76">
        <v>0</v>
      </c>
      <c r="TV76">
        <v>0</v>
      </c>
      <c r="TW76">
        <v>0</v>
      </c>
      <c r="TX76">
        <f t="shared" si="89"/>
        <v>0</v>
      </c>
      <c r="TY76">
        <v>210</v>
      </c>
      <c r="TZ76">
        <v>0</v>
      </c>
      <c r="UA76">
        <v>0</v>
      </c>
      <c r="UB76">
        <v>0</v>
      </c>
    </row>
    <row r="77" spans="1:548" ht="16.5" customHeight="1" x14ac:dyDescent="0.35">
      <c r="A77" t="s">
        <v>1387</v>
      </c>
      <c r="B77" t="s">
        <v>2863</v>
      </c>
      <c r="C77">
        <v>34245</v>
      </c>
      <c r="D77">
        <v>0</v>
      </c>
      <c r="E77">
        <v>0</v>
      </c>
      <c r="F77">
        <v>0</v>
      </c>
      <c r="G77">
        <v>487</v>
      </c>
      <c r="H77">
        <v>508</v>
      </c>
      <c r="I77">
        <v>506</v>
      </c>
      <c r="J77">
        <v>565</v>
      </c>
      <c r="K77">
        <v>476</v>
      </c>
      <c r="L77">
        <v>482</v>
      </c>
      <c r="M77">
        <v>573</v>
      </c>
      <c r="N77">
        <v>486</v>
      </c>
      <c r="O77">
        <v>331</v>
      </c>
      <c r="P77">
        <v>429</v>
      </c>
      <c r="Q77">
        <v>512</v>
      </c>
      <c r="R77">
        <v>559</v>
      </c>
      <c r="S77">
        <f t="shared" si="45"/>
        <v>5914</v>
      </c>
      <c r="T77">
        <v>122</v>
      </c>
      <c r="U77">
        <v>112</v>
      </c>
      <c r="V77">
        <v>122</v>
      </c>
      <c r="W77">
        <v>168</v>
      </c>
      <c r="X77">
        <v>128</v>
      </c>
      <c r="Y77">
        <v>101</v>
      </c>
      <c r="Z77">
        <v>127</v>
      </c>
      <c r="AA77">
        <v>103</v>
      </c>
      <c r="AB77">
        <v>82</v>
      </c>
      <c r="AC77">
        <v>106</v>
      </c>
      <c r="AD77">
        <v>130</v>
      </c>
      <c r="AE77">
        <v>140</v>
      </c>
      <c r="AF77">
        <f t="shared" si="46"/>
        <v>1441</v>
      </c>
      <c r="AG77">
        <v>9</v>
      </c>
      <c r="AH77">
        <v>8</v>
      </c>
      <c r="AI77">
        <v>6</v>
      </c>
      <c r="AJ77">
        <v>8</v>
      </c>
      <c r="AK77">
        <v>13</v>
      </c>
      <c r="AL77">
        <v>16</v>
      </c>
      <c r="AM77">
        <v>12</v>
      </c>
      <c r="AN77">
        <v>10</v>
      </c>
      <c r="AO77">
        <v>4</v>
      </c>
      <c r="AP77">
        <v>6</v>
      </c>
      <c r="AQ77">
        <v>7</v>
      </c>
      <c r="AR77">
        <v>8</v>
      </c>
      <c r="AS77">
        <f t="shared" si="47"/>
        <v>107</v>
      </c>
      <c r="AT77">
        <v>356</v>
      </c>
      <c r="AU77">
        <v>388</v>
      </c>
      <c r="AV77">
        <v>378</v>
      </c>
      <c r="AW77">
        <v>389</v>
      </c>
      <c r="AX77">
        <v>335</v>
      </c>
      <c r="AY77">
        <v>365</v>
      </c>
      <c r="AZ77">
        <v>434</v>
      </c>
      <c r="BA77">
        <v>373</v>
      </c>
      <c r="BB77">
        <v>245</v>
      </c>
      <c r="BC77">
        <v>317</v>
      </c>
      <c r="BD77">
        <v>375</v>
      </c>
      <c r="BE77">
        <v>411</v>
      </c>
      <c r="BF77">
        <f t="shared" si="48"/>
        <v>4366</v>
      </c>
      <c r="BG77">
        <v>0</v>
      </c>
      <c r="BH77">
        <v>0</v>
      </c>
      <c r="BI77">
        <v>0</v>
      </c>
      <c r="BJ77">
        <v>0</v>
      </c>
      <c r="BK77">
        <v>0</v>
      </c>
      <c r="BL77">
        <v>0</v>
      </c>
      <c r="BM77">
        <v>0</v>
      </c>
      <c r="BN77">
        <v>0</v>
      </c>
      <c r="BO77">
        <v>0</v>
      </c>
      <c r="BP77">
        <v>0</v>
      </c>
      <c r="BQ77">
        <v>0</v>
      </c>
      <c r="BR77">
        <v>0</v>
      </c>
      <c r="BS77">
        <f t="shared" si="49"/>
        <v>0</v>
      </c>
      <c r="BT77">
        <v>0</v>
      </c>
      <c r="BU77">
        <v>0</v>
      </c>
      <c r="BV77">
        <v>0</v>
      </c>
      <c r="BW77">
        <v>0</v>
      </c>
      <c r="BX77">
        <v>0</v>
      </c>
      <c r="BY77">
        <v>0</v>
      </c>
      <c r="BZ77">
        <v>0</v>
      </c>
      <c r="CA77">
        <v>0</v>
      </c>
      <c r="CB77">
        <v>0</v>
      </c>
      <c r="CC77">
        <v>0</v>
      </c>
      <c r="CD77">
        <v>0</v>
      </c>
      <c r="CE77">
        <v>0</v>
      </c>
      <c r="CF77">
        <f t="shared" si="50"/>
        <v>0</v>
      </c>
      <c r="CG77">
        <v>0</v>
      </c>
      <c r="CH77">
        <v>0</v>
      </c>
      <c r="CI77">
        <v>0</v>
      </c>
      <c r="CJ77">
        <v>0</v>
      </c>
      <c r="CK77">
        <v>0</v>
      </c>
      <c r="CL77">
        <v>0</v>
      </c>
      <c r="CM77">
        <v>0</v>
      </c>
      <c r="CN77">
        <v>0</v>
      </c>
      <c r="CO77">
        <v>0</v>
      </c>
      <c r="CP77">
        <v>0</v>
      </c>
      <c r="CQ77">
        <v>0</v>
      </c>
      <c r="CR77">
        <v>0</v>
      </c>
      <c r="CS77">
        <f t="shared" si="51"/>
        <v>0</v>
      </c>
      <c r="CT77">
        <v>0</v>
      </c>
      <c r="CU77">
        <v>0</v>
      </c>
      <c r="CV77">
        <v>0</v>
      </c>
      <c r="CW77">
        <v>0</v>
      </c>
      <c r="CX77">
        <v>0</v>
      </c>
      <c r="CY77">
        <v>0</v>
      </c>
      <c r="CZ77">
        <v>0</v>
      </c>
      <c r="DA77">
        <v>0</v>
      </c>
      <c r="DB77">
        <v>0</v>
      </c>
      <c r="DC77">
        <v>0</v>
      </c>
      <c r="DD77">
        <v>0</v>
      </c>
      <c r="DE77">
        <v>0</v>
      </c>
      <c r="DF77">
        <f t="shared" si="52"/>
        <v>0</v>
      </c>
      <c r="DG77">
        <v>0</v>
      </c>
      <c r="DH77">
        <v>0</v>
      </c>
      <c r="DI77">
        <v>0</v>
      </c>
      <c r="DJ77">
        <v>0</v>
      </c>
      <c r="DK77">
        <v>0</v>
      </c>
      <c r="DL77">
        <v>0</v>
      </c>
      <c r="DM77">
        <v>0</v>
      </c>
      <c r="DN77">
        <v>0</v>
      </c>
      <c r="DO77">
        <v>0</v>
      </c>
      <c r="DP77">
        <v>0</v>
      </c>
      <c r="DQ77">
        <v>0</v>
      </c>
      <c r="DR77">
        <v>0</v>
      </c>
      <c r="DS77">
        <f t="shared" si="53"/>
        <v>0</v>
      </c>
      <c r="DT77">
        <v>0</v>
      </c>
      <c r="DU77">
        <v>0</v>
      </c>
      <c r="DV77">
        <v>0</v>
      </c>
      <c r="DW77">
        <v>0</v>
      </c>
      <c r="DX77">
        <v>0</v>
      </c>
      <c r="DY77">
        <v>0</v>
      </c>
      <c r="DZ77">
        <v>0</v>
      </c>
      <c r="EA77">
        <v>0</v>
      </c>
      <c r="EB77">
        <v>0</v>
      </c>
      <c r="EC77">
        <v>0</v>
      </c>
      <c r="ED77">
        <v>0</v>
      </c>
      <c r="EE77">
        <v>0</v>
      </c>
      <c r="EF77">
        <f t="shared" si="54"/>
        <v>0</v>
      </c>
      <c r="EG77">
        <f t="shared" si="55"/>
        <v>5914</v>
      </c>
      <c r="EH77">
        <f t="shared" si="56"/>
        <v>0</v>
      </c>
      <c r="EI77">
        <v>5259</v>
      </c>
      <c r="EJ77">
        <v>5669</v>
      </c>
      <c r="EK77">
        <v>5932</v>
      </c>
      <c r="EL77">
        <v>7297</v>
      </c>
      <c r="EM77">
        <v>5644</v>
      </c>
      <c r="EN77">
        <v>5345</v>
      </c>
      <c r="EO77">
        <v>7078</v>
      </c>
      <c r="EP77">
        <v>6439</v>
      </c>
      <c r="EQ77">
        <v>3745</v>
      </c>
      <c r="ER77">
        <v>5042</v>
      </c>
      <c r="ES77">
        <v>6696</v>
      </c>
      <c r="ET77">
        <v>7298</v>
      </c>
      <c r="EU77">
        <f t="shared" si="57"/>
        <v>71444</v>
      </c>
      <c r="EV77">
        <v>1434</v>
      </c>
      <c r="EW77">
        <v>1468</v>
      </c>
      <c r="EX77">
        <v>1325</v>
      </c>
      <c r="EY77">
        <v>2850</v>
      </c>
      <c r="EZ77">
        <v>1996</v>
      </c>
      <c r="FA77">
        <v>1591</v>
      </c>
      <c r="FB77">
        <v>2340</v>
      </c>
      <c r="FC77">
        <v>1848</v>
      </c>
      <c r="FD77">
        <v>1109</v>
      </c>
      <c r="FE77">
        <v>1109</v>
      </c>
      <c r="FF77">
        <v>2046</v>
      </c>
      <c r="FG77">
        <v>2020</v>
      </c>
      <c r="FH77">
        <f t="shared" si="58"/>
        <v>21136</v>
      </c>
      <c r="FI77">
        <v>0</v>
      </c>
      <c r="FJ77">
        <v>0</v>
      </c>
      <c r="FK77">
        <v>0</v>
      </c>
      <c r="FL77">
        <v>0</v>
      </c>
      <c r="FM77">
        <v>0</v>
      </c>
      <c r="FN77">
        <v>0</v>
      </c>
      <c r="FO77">
        <v>0</v>
      </c>
      <c r="FP77">
        <v>0</v>
      </c>
      <c r="FQ77">
        <v>0</v>
      </c>
      <c r="FR77">
        <v>0</v>
      </c>
      <c r="FS77">
        <v>0</v>
      </c>
      <c r="FT77">
        <v>0</v>
      </c>
      <c r="FU77">
        <f t="shared" si="59"/>
        <v>0</v>
      </c>
      <c r="FV77">
        <v>3825</v>
      </c>
      <c r="FW77">
        <v>4201</v>
      </c>
      <c r="FX77">
        <v>4607</v>
      </c>
      <c r="FY77">
        <v>4447</v>
      </c>
      <c r="FZ77">
        <v>3648</v>
      </c>
      <c r="GA77">
        <v>3754</v>
      </c>
      <c r="GB77">
        <v>4738</v>
      </c>
      <c r="GC77">
        <v>4591</v>
      </c>
      <c r="GD77">
        <v>2636</v>
      </c>
      <c r="GE77">
        <v>2636</v>
      </c>
      <c r="GF77">
        <v>4650</v>
      </c>
      <c r="GG77">
        <v>5278</v>
      </c>
      <c r="GH77">
        <f t="shared" si="60"/>
        <v>49011</v>
      </c>
      <c r="GI77">
        <v>0</v>
      </c>
      <c r="GJ77">
        <v>0</v>
      </c>
      <c r="GK77">
        <v>0</v>
      </c>
      <c r="GL77">
        <v>0</v>
      </c>
      <c r="GM77">
        <v>0</v>
      </c>
      <c r="GN77">
        <v>0</v>
      </c>
      <c r="GO77">
        <v>0</v>
      </c>
      <c r="GP77">
        <v>0</v>
      </c>
      <c r="GQ77">
        <v>0</v>
      </c>
      <c r="GR77">
        <v>0</v>
      </c>
      <c r="GS77">
        <v>0</v>
      </c>
      <c r="GT77">
        <v>0</v>
      </c>
      <c r="GU77">
        <f t="shared" si="61"/>
        <v>0</v>
      </c>
      <c r="GV77">
        <v>0</v>
      </c>
      <c r="GW77">
        <v>0</v>
      </c>
      <c r="GX77">
        <v>0</v>
      </c>
      <c r="GY77">
        <v>0</v>
      </c>
      <c r="GZ77">
        <v>0</v>
      </c>
      <c r="HA77">
        <v>0</v>
      </c>
      <c r="HB77">
        <v>0</v>
      </c>
      <c r="HC77">
        <v>0</v>
      </c>
      <c r="HD77">
        <v>0</v>
      </c>
      <c r="HE77">
        <v>0</v>
      </c>
      <c r="HF77">
        <v>0</v>
      </c>
      <c r="HG77">
        <v>0</v>
      </c>
      <c r="HH77">
        <f t="shared" si="62"/>
        <v>0</v>
      </c>
      <c r="HI77">
        <v>0</v>
      </c>
      <c r="HJ77">
        <v>0</v>
      </c>
      <c r="HK77">
        <v>0</v>
      </c>
      <c r="HL77">
        <v>0</v>
      </c>
      <c r="HM77">
        <v>0</v>
      </c>
      <c r="HN77">
        <v>0</v>
      </c>
      <c r="HO77">
        <v>0</v>
      </c>
      <c r="HP77">
        <v>0</v>
      </c>
      <c r="HQ77">
        <v>0</v>
      </c>
      <c r="HR77">
        <v>0</v>
      </c>
      <c r="HS77">
        <v>0</v>
      </c>
      <c r="HT77">
        <v>0</v>
      </c>
      <c r="HU77">
        <f t="shared" si="63"/>
        <v>0</v>
      </c>
      <c r="HV77">
        <v>0</v>
      </c>
      <c r="HW77">
        <v>0</v>
      </c>
      <c r="HX77">
        <v>0</v>
      </c>
      <c r="HY77">
        <v>0</v>
      </c>
      <c r="HZ77">
        <v>0</v>
      </c>
      <c r="IA77">
        <v>0</v>
      </c>
      <c r="IB77">
        <v>0</v>
      </c>
      <c r="IC77">
        <v>0</v>
      </c>
      <c r="ID77">
        <v>0</v>
      </c>
      <c r="IE77">
        <v>0</v>
      </c>
      <c r="IF77">
        <v>0</v>
      </c>
      <c r="IG77">
        <v>0</v>
      </c>
      <c r="IH77">
        <f t="shared" si="64"/>
        <v>0</v>
      </c>
      <c r="II77">
        <f t="shared" si="65"/>
        <v>70147</v>
      </c>
      <c r="IJ77">
        <f t="shared" si="66"/>
        <v>0</v>
      </c>
      <c r="IK77">
        <v>47075</v>
      </c>
      <c r="IL77">
        <v>48256</v>
      </c>
      <c r="IM77">
        <v>44329</v>
      </c>
      <c r="IN77">
        <v>53714</v>
      </c>
      <c r="IO77">
        <v>56112</v>
      </c>
      <c r="IP77">
        <v>47746</v>
      </c>
      <c r="IQ77">
        <v>51461</v>
      </c>
      <c r="IR77">
        <v>43428</v>
      </c>
      <c r="IS77">
        <v>34737</v>
      </c>
      <c r="IT77">
        <v>48953</v>
      </c>
      <c r="IU77">
        <v>44030</v>
      </c>
      <c r="IV77">
        <v>48613</v>
      </c>
      <c r="IW77">
        <f t="shared" si="67"/>
        <v>568454</v>
      </c>
      <c r="IX77">
        <v>13974</v>
      </c>
      <c r="IY77">
        <v>14504</v>
      </c>
      <c r="IZ77">
        <v>13085</v>
      </c>
      <c r="JA77">
        <v>18734</v>
      </c>
      <c r="JB77">
        <v>20309</v>
      </c>
      <c r="JC77">
        <v>14611</v>
      </c>
      <c r="JD77">
        <v>16276</v>
      </c>
      <c r="JE77">
        <v>12977</v>
      </c>
      <c r="JF77">
        <v>8655</v>
      </c>
      <c r="JG77">
        <v>13686</v>
      </c>
      <c r="JH77">
        <v>13890</v>
      </c>
      <c r="JI77">
        <v>14877</v>
      </c>
      <c r="JJ77">
        <f t="shared" si="68"/>
        <v>175578</v>
      </c>
      <c r="JK77">
        <v>1325</v>
      </c>
      <c r="JL77">
        <v>1445</v>
      </c>
      <c r="JM77">
        <v>1271</v>
      </c>
      <c r="JN77">
        <v>1906</v>
      </c>
      <c r="JO77">
        <v>1971</v>
      </c>
      <c r="JP77">
        <v>1464</v>
      </c>
      <c r="JQ77">
        <v>1623</v>
      </c>
      <c r="JR77">
        <v>1283</v>
      </c>
      <c r="JS77">
        <v>958</v>
      </c>
      <c r="JT77">
        <v>1426</v>
      </c>
      <c r="JU77">
        <v>1330</v>
      </c>
      <c r="JV77">
        <v>1412</v>
      </c>
      <c r="JW77">
        <f t="shared" si="69"/>
        <v>17414</v>
      </c>
      <c r="JX77">
        <v>31776</v>
      </c>
      <c r="JY77">
        <v>32307</v>
      </c>
      <c r="JZ77">
        <v>29973</v>
      </c>
      <c r="KA77">
        <v>33074</v>
      </c>
      <c r="KB77">
        <v>33832</v>
      </c>
      <c r="KC77">
        <v>31671</v>
      </c>
      <c r="KD77">
        <v>33562</v>
      </c>
      <c r="KE77">
        <v>29168</v>
      </c>
      <c r="KF77">
        <v>25124</v>
      </c>
      <c r="KG77">
        <v>33841</v>
      </c>
      <c r="KH77">
        <v>28810</v>
      </c>
      <c r="KI77">
        <v>32324</v>
      </c>
      <c r="KJ77">
        <f t="shared" si="70"/>
        <v>375462</v>
      </c>
      <c r="KK77">
        <v>582</v>
      </c>
      <c r="KL77">
        <v>601</v>
      </c>
      <c r="KM77">
        <v>592</v>
      </c>
      <c r="KN77">
        <v>687</v>
      </c>
      <c r="KO77">
        <v>593</v>
      </c>
      <c r="KP77">
        <v>604</v>
      </c>
      <c r="KQ77">
        <v>610</v>
      </c>
      <c r="KR77">
        <v>499</v>
      </c>
      <c r="KS77">
        <v>450</v>
      </c>
      <c r="KT77">
        <v>533</v>
      </c>
      <c r="KU77">
        <v>541</v>
      </c>
      <c r="KV77">
        <v>564</v>
      </c>
      <c r="KW77">
        <f t="shared" si="71"/>
        <v>6856</v>
      </c>
      <c r="KX77">
        <v>106</v>
      </c>
      <c r="KY77">
        <v>87</v>
      </c>
      <c r="KZ77">
        <v>101</v>
      </c>
      <c r="LA77">
        <v>136</v>
      </c>
      <c r="LB77">
        <v>153</v>
      </c>
      <c r="LC77">
        <v>92</v>
      </c>
      <c r="LD77">
        <v>125</v>
      </c>
      <c r="LE77">
        <v>61</v>
      </c>
      <c r="LF77">
        <v>46</v>
      </c>
      <c r="LG77">
        <v>103</v>
      </c>
      <c r="LH77">
        <v>85</v>
      </c>
      <c r="LI77">
        <v>92</v>
      </c>
      <c r="LJ77">
        <f t="shared" si="72"/>
        <v>1187</v>
      </c>
      <c r="LK77">
        <v>0</v>
      </c>
      <c r="LL77">
        <v>0</v>
      </c>
      <c r="LM77">
        <v>0</v>
      </c>
      <c r="LN77">
        <v>0</v>
      </c>
      <c r="LO77">
        <v>0</v>
      </c>
      <c r="LP77">
        <v>0</v>
      </c>
      <c r="LQ77">
        <v>0</v>
      </c>
      <c r="LR77">
        <v>0</v>
      </c>
      <c r="LS77">
        <v>0</v>
      </c>
      <c r="LT77">
        <v>0</v>
      </c>
      <c r="LU77">
        <v>0</v>
      </c>
      <c r="LV77">
        <v>0</v>
      </c>
      <c r="LW77">
        <f t="shared" si="73"/>
        <v>0</v>
      </c>
      <c r="LX77">
        <v>476</v>
      </c>
      <c r="LY77">
        <v>514</v>
      </c>
      <c r="LZ77">
        <v>491</v>
      </c>
      <c r="MA77">
        <v>551</v>
      </c>
      <c r="MB77">
        <v>440</v>
      </c>
      <c r="MC77">
        <v>512</v>
      </c>
      <c r="MD77">
        <v>485</v>
      </c>
      <c r="ME77">
        <v>438</v>
      </c>
      <c r="MF77">
        <v>404</v>
      </c>
      <c r="MG77">
        <v>430</v>
      </c>
      <c r="MH77">
        <v>456</v>
      </c>
      <c r="MI77">
        <v>472</v>
      </c>
      <c r="MJ77">
        <f t="shared" si="74"/>
        <v>5669</v>
      </c>
      <c r="MK77">
        <v>3826</v>
      </c>
      <c r="ML77">
        <v>4028</v>
      </c>
      <c r="MM77">
        <v>3851</v>
      </c>
      <c r="MN77">
        <v>3883</v>
      </c>
      <c r="MO77">
        <v>4111</v>
      </c>
      <c r="MP77">
        <v>3415</v>
      </c>
      <c r="MQ77">
        <v>3851</v>
      </c>
      <c r="MR77">
        <v>3619</v>
      </c>
      <c r="MS77">
        <v>3625</v>
      </c>
      <c r="MT77">
        <v>4106</v>
      </c>
      <c r="MU77">
        <v>3483</v>
      </c>
      <c r="MV77">
        <v>3714</v>
      </c>
      <c r="MW77">
        <f t="shared" si="75"/>
        <v>45512</v>
      </c>
      <c r="MX77">
        <v>0</v>
      </c>
      <c r="MY77">
        <v>0</v>
      </c>
      <c r="MZ77">
        <v>0</v>
      </c>
      <c r="NA77">
        <v>0</v>
      </c>
      <c r="NB77">
        <v>0</v>
      </c>
      <c r="NC77">
        <v>0</v>
      </c>
      <c r="ND77">
        <v>0</v>
      </c>
      <c r="NE77">
        <v>0</v>
      </c>
      <c r="NF77">
        <v>0</v>
      </c>
      <c r="NG77">
        <v>0</v>
      </c>
      <c r="NH77">
        <v>0</v>
      </c>
      <c r="NI77">
        <v>0</v>
      </c>
      <c r="NJ77">
        <f t="shared" si="76"/>
        <v>0</v>
      </c>
      <c r="NK77">
        <v>0</v>
      </c>
      <c r="NL77">
        <v>0</v>
      </c>
      <c r="NM77">
        <v>0</v>
      </c>
      <c r="NN77">
        <v>0</v>
      </c>
      <c r="NO77">
        <v>0</v>
      </c>
      <c r="NP77">
        <v>0</v>
      </c>
      <c r="NQ77">
        <v>0</v>
      </c>
      <c r="NR77">
        <v>0</v>
      </c>
      <c r="NS77">
        <v>0</v>
      </c>
      <c r="NT77">
        <v>0</v>
      </c>
      <c r="NU77">
        <v>0</v>
      </c>
      <c r="NV77">
        <v>0</v>
      </c>
      <c r="NW77">
        <f t="shared" si="77"/>
        <v>0</v>
      </c>
      <c r="NX77">
        <v>0</v>
      </c>
      <c r="NY77">
        <v>0</v>
      </c>
      <c r="NZ77">
        <v>0</v>
      </c>
      <c r="OA77">
        <v>0</v>
      </c>
      <c r="OB77">
        <v>0</v>
      </c>
      <c r="OC77">
        <v>0</v>
      </c>
      <c r="OD77">
        <v>0</v>
      </c>
      <c r="OE77">
        <v>0</v>
      </c>
      <c r="OF77">
        <v>0</v>
      </c>
      <c r="OG77">
        <v>0</v>
      </c>
      <c r="OH77">
        <v>0</v>
      </c>
      <c r="OI77">
        <v>0</v>
      </c>
      <c r="OJ77">
        <f t="shared" si="78"/>
        <v>0</v>
      </c>
      <c r="OK77">
        <v>2984</v>
      </c>
      <c r="OL77">
        <v>3231</v>
      </c>
      <c r="OM77">
        <v>3146</v>
      </c>
      <c r="ON77">
        <v>3208</v>
      </c>
      <c r="OO77">
        <v>3368</v>
      </c>
      <c r="OP77">
        <v>3001</v>
      </c>
      <c r="OQ77">
        <v>3178</v>
      </c>
      <c r="OR77">
        <v>3030</v>
      </c>
      <c r="OS77">
        <v>2995</v>
      </c>
      <c r="OT77">
        <v>3457</v>
      </c>
      <c r="OU77">
        <v>3207</v>
      </c>
      <c r="OV77">
        <v>3454</v>
      </c>
      <c r="OW77">
        <f t="shared" si="79"/>
        <v>38259</v>
      </c>
      <c r="OX77">
        <v>0</v>
      </c>
      <c r="OY77">
        <v>0</v>
      </c>
      <c r="OZ77">
        <v>0</v>
      </c>
      <c r="PA77">
        <v>0</v>
      </c>
      <c r="PB77">
        <v>0</v>
      </c>
      <c r="PC77">
        <v>0</v>
      </c>
      <c r="PD77">
        <v>0</v>
      </c>
      <c r="PE77">
        <v>0</v>
      </c>
      <c r="PF77">
        <v>0</v>
      </c>
      <c r="PG77">
        <v>0</v>
      </c>
      <c r="PH77">
        <v>0</v>
      </c>
      <c r="PI77">
        <v>0</v>
      </c>
      <c r="PJ77">
        <f t="shared" si="80"/>
        <v>0</v>
      </c>
      <c r="PK77">
        <v>0</v>
      </c>
      <c r="PL77">
        <v>0</v>
      </c>
      <c r="PM77">
        <v>0</v>
      </c>
      <c r="PN77">
        <v>0</v>
      </c>
      <c r="PO77">
        <v>0</v>
      </c>
      <c r="PP77">
        <v>0</v>
      </c>
      <c r="PQ77">
        <v>0</v>
      </c>
      <c r="PR77">
        <v>0</v>
      </c>
      <c r="PS77">
        <v>0</v>
      </c>
      <c r="PT77">
        <v>0</v>
      </c>
      <c r="PU77">
        <v>0</v>
      </c>
      <c r="PV77">
        <v>0</v>
      </c>
      <c r="PW77">
        <f t="shared" si="81"/>
        <v>0</v>
      </c>
      <c r="PX77">
        <v>0</v>
      </c>
      <c r="PY77">
        <v>0</v>
      </c>
      <c r="PZ77">
        <v>0</v>
      </c>
      <c r="QA77">
        <v>0</v>
      </c>
      <c r="QB77">
        <v>0</v>
      </c>
      <c r="QC77">
        <v>0</v>
      </c>
      <c r="QD77">
        <v>0</v>
      </c>
      <c r="QE77">
        <v>0</v>
      </c>
      <c r="QF77">
        <v>0</v>
      </c>
      <c r="QG77">
        <v>0</v>
      </c>
      <c r="QH77">
        <v>0</v>
      </c>
      <c r="QI77">
        <v>0</v>
      </c>
      <c r="QJ77">
        <f t="shared" si="82"/>
        <v>0</v>
      </c>
      <c r="QK77">
        <v>22204</v>
      </c>
      <c r="QL77">
        <v>24970</v>
      </c>
      <c r="QM77">
        <v>22124</v>
      </c>
      <c r="QN77">
        <v>26460</v>
      </c>
      <c r="QO77">
        <v>25929</v>
      </c>
      <c r="QP77">
        <v>23880</v>
      </c>
      <c r="QQ77">
        <v>23707</v>
      </c>
      <c r="QR77">
        <v>22670</v>
      </c>
      <c r="QS77">
        <v>17714</v>
      </c>
      <c r="QT77">
        <v>24618</v>
      </c>
      <c r="QU77">
        <v>23419</v>
      </c>
      <c r="QV77">
        <v>26490</v>
      </c>
      <c r="QW77">
        <f t="shared" si="83"/>
        <v>284185</v>
      </c>
      <c r="QX77">
        <v>32290</v>
      </c>
      <c r="QY77">
        <v>32122</v>
      </c>
      <c r="QZ77">
        <v>34140</v>
      </c>
      <c r="RA77">
        <v>36659</v>
      </c>
      <c r="RB77">
        <v>36659</v>
      </c>
      <c r="RC77">
        <v>31262</v>
      </c>
      <c r="RD77">
        <v>32651</v>
      </c>
      <c r="RE77">
        <v>26284</v>
      </c>
      <c r="RF77">
        <v>22328</v>
      </c>
      <c r="RG77">
        <v>26538</v>
      </c>
      <c r="RH77">
        <v>30521</v>
      </c>
      <c r="RI77">
        <v>31593</v>
      </c>
      <c r="RJ77">
        <f t="shared" si="84"/>
        <v>373047</v>
      </c>
      <c r="RK77">
        <v>0</v>
      </c>
      <c r="RL77">
        <v>0</v>
      </c>
      <c r="RM77">
        <v>0</v>
      </c>
      <c r="RN77">
        <v>0</v>
      </c>
      <c r="RO77">
        <v>0</v>
      </c>
      <c r="RP77">
        <v>0</v>
      </c>
      <c r="RQ77">
        <v>0</v>
      </c>
      <c r="RR77">
        <v>0</v>
      </c>
      <c r="RS77">
        <v>0</v>
      </c>
      <c r="RT77">
        <v>0</v>
      </c>
      <c r="RU77">
        <v>0</v>
      </c>
      <c r="RV77">
        <v>0</v>
      </c>
      <c r="RW77">
        <f t="shared" si="85"/>
        <v>0</v>
      </c>
      <c r="RX77">
        <v>0</v>
      </c>
      <c r="RY77">
        <v>0</v>
      </c>
      <c r="RZ77">
        <v>0</v>
      </c>
      <c r="SA77">
        <v>0</v>
      </c>
      <c r="SB77">
        <v>0</v>
      </c>
      <c r="SC77">
        <v>0</v>
      </c>
      <c r="SD77">
        <v>1370</v>
      </c>
      <c r="SE77">
        <v>1260</v>
      </c>
      <c r="SF77">
        <v>868</v>
      </c>
      <c r="SG77">
        <v>1262</v>
      </c>
      <c r="SH77">
        <v>1196</v>
      </c>
      <c r="SI77">
        <v>1258</v>
      </c>
      <c r="SJ77">
        <f t="shared" si="86"/>
        <v>7214</v>
      </c>
      <c r="SK77">
        <v>131</v>
      </c>
      <c r="SL77">
        <v>131</v>
      </c>
      <c r="SM77">
        <v>131</v>
      </c>
      <c r="SN77">
        <v>131</v>
      </c>
      <c r="SO77">
        <v>131</v>
      </c>
      <c r="SP77">
        <v>131</v>
      </c>
      <c r="SQ77">
        <v>131</v>
      </c>
      <c r="SR77">
        <v>131</v>
      </c>
      <c r="SS77">
        <v>131</v>
      </c>
      <c r="ST77">
        <v>131</v>
      </c>
      <c r="SU77">
        <v>131</v>
      </c>
      <c r="SV77">
        <v>131</v>
      </c>
      <c r="SW77">
        <f t="shared" si="87"/>
        <v>1572</v>
      </c>
      <c r="SX77" s="1" t="s">
        <v>1388</v>
      </c>
      <c r="SY77">
        <v>2048</v>
      </c>
      <c r="SZ77">
        <v>2005</v>
      </c>
      <c r="TA77">
        <v>1984</v>
      </c>
      <c r="TB77">
        <v>2357</v>
      </c>
      <c r="TC77">
        <v>2167</v>
      </c>
      <c r="TD77">
        <v>2166</v>
      </c>
      <c r="TE77">
        <v>2151</v>
      </c>
      <c r="TF77">
        <v>1944</v>
      </c>
      <c r="TG77">
        <v>1376</v>
      </c>
      <c r="TH77">
        <v>1859</v>
      </c>
      <c r="TI77">
        <v>1922</v>
      </c>
      <c r="TJ77">
        <v>2214</v>
      </c>
      <c r="TK77">
        <f t="shared" si="88"/>
        <v>24193</v>
      </c>
      <c r="TL77">
        <v>0</v>
      </c>
      <c r="TM77">
        <v>0</v>
      </c>
      <c r="TN77">
        <v>0</v>
      </c>
      <c r="TO77">
        <v>0</v>
      </c>
      <c r="TP77">
        <v>0</v>
      </c>
      <c r="TQ77">
        <v>0</v>
      </c>
      <c r="TR77">
        <v>0</v>
      </c>
      <c r="TS77">
        <v>0</v>
      </c>
      <c r="TT77">
        <v>0</v>
      </c>
      <c r="TU77">
        <v>0</v>
      </c>
      <c r="TV77">
        <v>0</v>
      </c>
      <c r="TW77">
        <v>0</v>
      </c>
      <c r="TX77">
        <f t="shared" si="89"/>
        <v>0</v>
      </c>
      <c r="TY77">
        <v>95</v>
      </c>
      <c r="TZ77">
        <v>0</v>
      </c>
      <c r="UA77">
        <v>0</v>
      </c>
      <c r="UB77">
        <v>0</v>
      </c>
    </row>
    <row r="78" spans="1:548" ht="16.5" customHeight="1" x14ac:dyDescent="0.35">
      <c r="A78" t="s">
        <v>1406</v>
      </c>
      <c r="B78" t="s">
        <v>2862</v>
      </c>
      <c r="C78">
        <v>17444</v>
      </c>
      <c r="D78">
        <v>0</v>
      </c>
      <c r="E78">
        <v>0</v>
      </c>
      <c r="F78">
        <v>0</v>
      </c>
      <c r="G78">
        <v>52</v>
      </c>
      <c r="H78">
        <v>79</v>
      </c>
      <c r="I78">
        <v>80</v>
      </c>
      <c r="J78">
        <v>65</v>
      </c>
      <c r="K78">
        <v>25</v>
      </c>
      <c r="L78">
        <v>54</v>
      </c>
      <c r="M78">
        <v>76</v>
      </c>
      <c r="N78">
        <v>74</v>
      </c>
      <c r="O78">
        <v>63</v>
      </c>
      <c r="P78">
        <v>64</v>
      </c>
      <c r="Q78">
        <v>67</v>
      </c>
      <c r="R78">
        <v>114</v>
      </c>
      <c r="S78">
        <f t="shared" si="45"/>
        <v>813</v>
      </c>
      <c r="T78">
        <v>37</v>
      </c>
      <c r="U78">
        <v>67</v>
      </c>
      <c r="V78">
        <v>65</v>
      </c>
      <c r="W78">
        <v>50</v>
      </c>
      <c r="X78">
        <v>18</v>
      </c>
      <c r="Y78">
        <v>44</v>
      </c>
      <c r="Z78">
        <v>63</v>
      </c>
      <c r="AA78">
        <v>65</v>
      </c>
      <c r="AB78">
        <v>54</v>
      </c>
      <c r="AC78">
        <v>50</v>
      </c>
      <c r="AD78">
        <v>56</v>
      </c>
      <c r="AE78">
        <v>106</v>
      </c>
      <c r="AF78">
        <f t="shared" si="46"/>
        <v>675</v>
      </c>
      <c r="AG78">
        <v>0</v>
      </c>
      <c r="AH78">
        <v>0</v>
      </c>
      <c r="AI78">
        <v>4</v>
      </c>
      <c r="AJ78">
        <v>1</v>
      </c>
      <c r="AK78">
        <v>0</v>
      </c>
      <c r="AL78">
        <v>0</v>
      </c>
      <c r="AM78">
        <v>3</v>
      </c>
      <c r="AN78">
        <v>0</v>
      </c>
      <c r="AO78">
        <v>0</v>
      </c>
      <c r="AP78">
        <v>0</v>
      </c>
      <c r="AQ78">
        <v>0</v>
      </c>
      <c r="AR78">
        <v>0</v>
      </c>
      <c r="AS78">
        <f t="shared" si="47"/>
        <v>8</v>
      </c>
      <c r="AT78">
        <v>11</v>
      </c>
      <c r="AU78">
        <v>7</v>
      </c>
      <c r="AV78">
        <v>6</v>
      </c>
      <c r="AW78">
        <v>10</v>
      </c>
      <c r="AX78">
        <v>3</v>
      </c>
      <c r="AY78">
        <v>6</v>
      </c>
      <c r="AZ78">
        <v>6</v>
      </c>
      <c r="BA78">
        <v>4</v>
      </c>
      <c r="BB78">
        <v>5</v>
      </c>
      <c r="BC78">
        <v>9</v>
      </c>
      <c r="BD78">
        <v>7</v>
      </c>
      <c r="BE78">
        <v>4</v>
      </c>
      <c r="BF78">
        <f t="shared" si="48"/>
        <v>78</v>
      </c>
      <c r="BG78">
        <v>4</v>
      </c>
      <c r="BH78">
        <v>5</v>
      </c>
      <c r="BI78">
        <v>5</v>
      </c>
      <c r="BJ78">
        <v>4</v>
      </c>
      <c r="BK78">
        <v>4</v>
      </c>
      <c r="BL78">
        <v>4</v>
      </c>
      <c r="BM78">
        <v>4</v>
      </c>
      <c r="BN78">
        <v>5</v>
      </c>
      <c r="BO78">
        <v>4</v>
      </c>
      <c r="BP78">
        <v>5</v>
      </c>
      <c r="BQ78">
        <v>4</v>
      </c>
      <c r="BR78">
        <v>4</v>
      </c>
      <c r="BS78">
        <f t="shared" si="49"/>
        <v>52</v>
      </c>
      <c r="BT78">
        <v>0</v>
      </c>
      <c r="BU78">
        <v>0</v>
      </c>
      <c r="BV78">
        <v>0</v>
      </c>
      <c r="BW78">
        <v>0</v>
      </c>
      <c r="BX78">
        <v>0</v>
      </c>
      <c r="BY78">
        <v>0</v>
      </c>
      <c r="BZ78">
        <v>0</v>
      </c>
      <c r="CA78">
        <v>0</v>
      </c>
      <c r="CB78">
        <v>0</v>
      </c>
      <c r="CC78">
        <v>0</v>
      </c>
      <c r="CD78">
        <v>0</v>
      </c>
      <c r="CE78">
        <v>0</v>
      </c>
      <c r="CF78">
        <f t="shared" si="50"/>
        <v>0</v>
      </c>
      <c r="CG78">
        <v>0</v>
      </c>
      <c r="CH78">
        <v>0</v>
      </c>
      <c r="CI78">
        <v>0</v>
      </c>
      <c r="CJ78">
        <v>0</v>
      </c>
      <c r="CK78">
        <v>0</v>
      </c>
      <c r="CL78">
        <v>0</v>
      </c>
      <c r="CM78">
        <v>0</v>
      </c>
      <c r="CN78">
        <v>0</v>
      </c>
      <c r="CO78">
        <v>0</v>
      </c>
      <c r="CP78">
        <v>0</v>
      </c>
      <c r="CQ78">
        <v>0</v>
      </c>
      <c r="CR78">
        <v>0</v>
      </c>
      <c r="CS78">
        <f t="shared" si="51"/>
        <v>0</v>
      </c>
      <c r="CT78">
        <v>0</v>
      </c>
      <c r="CU78">
        <v>0</v>
      </c>
      <c r="CV78">
        <v>0</v>
      </c>
      <c r="CW78">
        <v>0</v>
      </c>
      <c r="CX78">
        <v>0</v>
      </c>
      <c r="CY78">
        <v>0</v>
      </c>
      <c r="CZ78">
        <v>0</v>
      </c>
      <c r="DA78">
        <v>0</v>
      </c>
      <c r="DB78">
        <v>0</v>
      </c>
      <c r="DC78">
        <v>0</v>
      </c>
      <c r="DD78">
        <v>0</v>
      </c>
      <c r="DE78">
        <v>0</v>
      </c>
      <c r="DF78">
        <f t="shared" si="52"/>
        <v>0</v>
      </c>
      <c r="DG78">
        <v>0</v>
      </c>
      <c r="DH78">
        <v>0</v>
      </c>
      <c r="DI78">
        <v>0</v>
      </c>
      <c r="DJ78">
        <v>0</v>
      </c>
      <c r="DK78">
        <v>0</v>
      </c>
      <c r="DL78">
        <v>0</v>
      </c>
      <c r="DM78">
        <v>0</v>
      </c>
      <c r="DN78">
        <v>0</v>
      </c>
      <c r="DO78">
        <v>0</v>
      </c>
      <c r="DP78">
        <v>0</v>
      </c>
      <c r="DQ78">
        <v>0</v>
      </c>
      <c r="DR78">
        <v>0</v>
      </c>
      <c r="DS78">
        <f t="shared" si="53"/>
        <v>0</v>
      </c>
      <c r="DT78">
        <v>0</v>
      </c>
      <c r="DU78">
        <v>0</v>
      </c>
      <c r="DV78">
        <v>0</v>
      </c>
      <c r="DW78">
        <v>0</v>
      </c>
      <c r="DX78">
        <v>0</v>
      </c>
      <c r="DY78">
        <v>0</v>
      </c>
      <c r="DZ78">
        <v>0</v>
      </c>
      <c r="EA78">
        <v>0</v>
      </c>
      <c r="EB78">
        <v>0</v>
      </c>
      <c r="EC78">
        <v>0</v>
      </c>
      <c r="ED78">
        <v>0</v>
      </c>
      <c r="EE78">
        <v>0</v>
      </c>
      <c r="EF78">
        <f t="shared" si="54"/>
        <v>0</v>
      </c>
      <c r="EG78">
        <f t="shared" si="55"/>
        <v>813</v>
      </c>
      <c r="EH78">
        <f t="shared" si="56"/>
        <v>0</v>
      </c>
      <c r="EI78">
        <v>1255</v>
      </c>
      <c r="EJ78">
        <v>1721</v>
      </c>
      <c r="EK78">
        <v>1818</v>
      </c>
      <c r="EL78">
        <v>1704</v>
      </c>
      <c r="EM78">
        <v>801</v>
      </c>
      <c r="EN78">
        <v>1316</v>
      </c>
      <c r="EO78">
        <v>2262</v>
      </c>
      <c r="EP78">
        <v>2164</v>
      </c>
      <c r="EQ78">
        <v>1672</v>
      </c>
      <c r="ER78">
        <v>1205</v>
      </c>
      <c r="ES78">
        <v>1671</v>
      </c>
      <c r="ET78">
        <v>3230</v>
      </c>
      <c r="EU78">
        <f t="shared" si="57"/>
        <v>20819</v>
      </c>
      <c r="EV78">
        <v>656</v>
      </c>
      <c r="EW78">
        <v>922</v>
      </c>
      <c r="EX78">
        <v>1015</v>
      </c>
      <c r="EY78">
        <v>966</v>
      </c>
      <c r="EZ78">
        <v>489</v>
      </c>
      <c r="FA78">
        <v>674</v>
      </c>
      <c r="FB78">
        <v>1250</v>
      </c>
      <c r="FC78">
        <v>1225</v>
      </c>
      <c r="FD78">
        <v>1047</v>
      </c>
      <c r="FE78">
        <v>592</v>
      </c>
      <c r="FF78">
        <v>925</v>
      </c>
      <c r="FG78">
        <v>2120</v>
      </c>
      <c r="FH78">
        <f t="shared" si="58"/>
        <v>11881</v>
      </c>
      <c r="FI78">
        <v>0</v>
      </c>
      <c r="FJ78">
        <v>0</v>
      </c>
      <c r="FK78">
        <v>26</v>
      </c>
      <c r="FL78">
        <v>9</v>
      </c>
      <c r="FM78">
        <v>0</v>
      </c>
      <c r="FN78">
        <v>0</v>
      </c>
      <c r="FO78">
        <v>42</v>
      </c>
      <c r="FP78">
        <v>0</v>
      </c>
      <c r="FQ78">
        <v>0</v>
      </c>
      <c r="FR78">
        <v>0</v>
      </c>
      <c r="FS78">
        <v>0</v>
      </c>
      <c r="FT78">
        <v>0</v>
      </c>
      <c r="FU78">
        <f t="shared" si="59"/>
        <v>77</v>
      </c>
      <c r="FV78">
        <v>599</v>
      </c>
      <c r="FW78">
        <v>799</v>
      </c>
      <c r="FX78">
        <v>777</v>
      </c>
      <c r="FY78">
        <v>729</v>
      </c>
      <c r="FZ78">
        <v>312</v>
      </c>
      <c r="GA78">
        <v>642</v>
      </c>
      <c r="GB78">
        <v>970</v>
      </c>
      <c r="GC78">
        <v>939</v>
      </c>
      <c r="GD78">
        <v>625</v>
      </c>
      <c r="GE78">
        <v>613</v>
      </c>
      <c r="GF78">
        <v>746</v>
      </c>
      <c r="GG78">
        <v>1110</v>
      </c>
      <c r="GH78">
        <f t="shared" si="60"/>
        <v>8861</v>
      </c>
      <c r="GI78">
        <v>0</v>
      </c>
      <c r="GJ78">
        <v>0</v>
      </c>
      <c r="GK78">
        <v>0</v>
      </c>
      <c r="GL78">
        <v>0</v>
      </c>
      <c r="GM78">
        <v>0</v>
      </c>
      <c r="GN78">
        <v>0</v>
      </c>
      <c r="GO78">
        <v>0</v>
      </c>
      <c r="GP78">
        <v>0</v>
      </c>
      <c r="GQ78">
        <v>0</v>
      </c>
      <c r="GR78">
        <v>0</v>
      </c>
      <c r="GS78">
        <v>0</v>
      </c>
      <c r="GT78">
        <v>0</v>
      </c>
      <c r="GU78">
        <f t="shared" si="61"/>
        <v>0</v>
      </c>
      <c r="GV78">
        <v>0</v>
      </c>
      <c r="GW78">
        <v>0</v>
      </c>
      <c r="GX78">
        <v>0</v>
      </c>
      <c r="GY78">
        <v>0</v>
      </c>
      <c r="GZ78">
        <v>0</v>
      </c>
      <c r="HA78">
        <v>0</v>
      </c>
      <c r="HB78">
        <v>0</v>
      </c>
      <c r="HC78">
        <v>0</v>
      </c>
      <c r="HD78">
        <v>0</v>
      </c>
      <c r="HE78">
        <v>0</v>
      </c>
      <c r="HF78">
        <v>0</v>
      </c>
      <c r="HG78">
        <v>0</v>
      </c>
      <c r="HH78">
        <f t="shared" si="62"/>
        <v>0</v>
      </c>
      <c r="HI78">
        <v>0</v>
      </c>
      <c r="HJ78">
        <v>0</v>
      </c>
      <c r="HK78">
        <v>0</v>
      </c>
      <c r="HL78">
        <v>0</v>
      </c>
      <c r="HM78">
        <v>0</v>
      </c>
      <c r="HN78">
        <v>0</v>
      </c>
      <c r="HO78">
        <v>0</v>
      </c>
      <c r="HP78">
        <v>0</v>
      </c>
      <c r="HQ78">
        <v>0</v>
      </c>
      <c r="HR78">
        <v>0</v>
      </c>
      <c r="HS78">
        <v>0</v>
      </c>
      <c r="HT78">
        <v>0</v>
      </c>
      <c r="HU78">
        <f t="shared" si="63"/>
        <v>0</v>
      </c>
      <c r="HV78">
        <v>0</v>
      </c>
      <c r="HW78">
        <v>0</v>
      </c>
      <c r="HX78">
        <v>0</v>
      </c>
      <c r="HY78">
        <v>0</v>
      </c>
      <c r="HZ78">
        <v>0</v>
      </c>
      <c r="IA78">
        <v>0</v>
      </c>
      <c r="IB78">
        <v>0</v>
      </c>
      <c r="IC78">
        <v>0</v>
      </c>
      <c r="ID78">
        <v>0</v>
      </c>
      <c r="IE78">
        <v>0</v>
      </c>
      <c r="IF78">
        <v>0</v>
      </c>
      <c r="IG78">
        <v>0</v>
      </c>
      <c r="IH78">
        <f t="shared" si="64"/>
        <v>0</v>
      </c>
      <c r="II78">
        <f t="shared" si="65"/>
        <v>20819</v>
      </c>
      <c r="IJ78">
        <f t="shared" si="66"/>
        <v>0</v>
      </c>
      <c r="IK78">
        <v>19046</v>
      </c>
      <c r="IL78">
        <v>18081</v>
      </c>
      <c r="IM78">
        <v>14283</v>
      </c>
      <c r="IN78">
        <v>21994</v>
      </c>
      <c r="IO78">
        <v>23522</v>
      </c>
      <c r="IP78">
        <v>18392</v>
      </c>
      <c r="IQ78">
        <v>18833</v>
      </c>
      <c r="IR78">
        <v>15551</v>
      </c>
      <c r="IS78">
        <v>16338</v>
      </c>
      <c r="IT78">
        <v>1607</v>
      </c>
      <c r="IU78">
        <v>16550</v>
      </c>
      <c r="IV78">
        <v>17164</v>
      </c>
      <c r="IW78">
        <f t="shared" si="67"/>
        <v>201361</v>
      </c>
      <c r="IX78">
        <v>14068</v>
      </c>
      <c r="IY78">
        <v>13334</v>
      </c>
      <c r="IZ78">
        <v>9961</v>
      </c>
      <c r="JA78">
        <v>16601</v>
      </c>
      <c r="JB78">
        <v>18007</v>
      </c>
      <c r="JC78">
        <v>12791</v>
      </c>
      <c r="JD78">
        <v>13566</v>
      </c>
      <c r="JE78">
        <v>10950</v>
      </c>
      <c r="JF78">
        <v>11846</v>
      </c>
      <c r="JG78">
        <v>11321</v>
      </c>
      <c r="JH78">
        <v>11680</v>
      </c>
      <c r="JI78">
        <v>12173</v>
      </c>
      <c r="JJ78">
        <f t="shared" si="68"/>
        <v>156298</v>
      </c>
      <c r="JK78">
        <v>431</v>
      </c>
      <c r="JL78">
        <v>352</v>
      </c>
      <c r="JM78">
        <v>337</v>
      </c>
      <c r="JN78">
        <v>503</v>
      </c>
      <c r="JO78">
        <v>517</v>
      </c>
      <c r="JP78">
        <v>349</v>
      </c>
      <c r="JQ78">
        <v>329</v>
      </c>
      <c r="JR78">
        <v>289</v>
      </c>
      <c r="JS78">
        <v>290</v>
      </c>
      <c r="JT78">
        <v>256</v>
      </c>
      <c r="JU78">
        <v>344</v>
      </c>
      <c r="JV78">
        <v>285</v>
      </c>
      <c r="JW78">
        <f t="shared" si="69"/>
        <v>4282</v>
      </c>
      <c r="JX78">
        <v>4529</v>
      </c>
      <c r="JY78">
        <v>4370</v>
      </c>
      <c r="JZ78">
        <v>3964</v>
      </c>
      <c r="KA78">
        <v>4850</v>
      </c>
      <c r="KB78">
        <v>4972</v>
      </c>
      <c r="KC78">
        <v>5217</v>
      </c>
      <c r="KD78">
        <v>4923</v>
      </c>
      <c r="KE78">
        <v>4291</v>
      </c>
      <c r="KF78">
        <v>4171</v>
      </c>
      <c r="KG78">
        <v>4428</v>
      </c>
      <c r="KH78">
        <v>4509</v>
      </c>
      <c r="KI78">
        <v>4682</v>
      </c>
      <c r="KJ78">
        <f t="shared" si="70"/>
        <v>54906</v>
      </c>
      <c r="KK78">
        <v>0</v>
      </c>
      <c r="KL78">
        <v>0</v>
      </c>
      <c r="KM78">
        <v>0</v>
      </c>
      <c r="KN78">
        <v>0</v>
      </c>
      <c r="KO78">
        <v>0</v>
      </c>
      <c r="KP78">
        <v>0</v>
      </c>
      <c r="KQ78">
        <v>0</v>
      </c>
      <c r="KR78">
        <v>0</v>
      </c>
      <c r="KS78">
        <v>0</v>
      </c>
      <c r="KT78">
        <v>0</v>
      </c>
      <c r="KU78">
        <v>0</v>
      </c>
      <c r="KV78">
        <v>0</v>
      </c>
      <c r="KW78">
        <f t="shared" si="71"/>
        <v>0</v>
      </c>
      <c r="KX78">
        <v>0</v>
      </c>
      <c r="KY78">
        <v>0</v>
      </c>
      <c r="KZ78">
        <v>0</v>
      </c>
      <c r="LA78">
        <v>0</v>
      </c>
      <c r="LB78">
        <v>0</v>
      </c>
      <c r="LC78">
        <v>0</v>
      </c>
      <c r="LD78">
        <v>0</v>
      </c>
      <c r="LE78">
        <v>0</v>
      </c>
      <c r="LF78">
        <v>0</v>
      </c>
      <c r="LG78">
        <v>0</v>
      </c>
      <c r="LH78">
        <v>0</v>
      </c>
      <c r="LI78">
        <v>0</v>
      </c>
      <c r="LJ78">
        <f t="shared" si="72"/>
        <v>0</v>
      </c>
      <c r="LK78">
        <v>0</v>
      </c>
      <c r="LL78">
        <v>0</v>
      </c>
      <c r="LM78">
        <v>0</v>
      </c>
      <c r="LN78">
        <v>0</v>
      </c>
      <c r="LO78">
        <v>0</v>
      </c>
      <c r="LP78">
        <v>0</v>
      </c>
      <c r="LQ78">
        <v>0</v>
      </c>
      <c r="LR78">
        <v>0</v>
      </c>
      <c r="LS78">
        <v>0</v>
      </c>
      <c r="LT78">
        <v>0</v>
      </c>
      <c r="LU78">
        <v>0</v>
      </c>
      <c r="LV78">
        <v>0</v>
      </c>
      <c r="LW78">
        <f t="shared" si="73"/>
        <v>0</v>
      </c>
      <c r="LX78">
        <v>18</v>
      </c>
      <c r="LY78">
        <v>25</v>
      </c>
      <c r="LZ78">
        <v>21</v>
      </c>
      <c r="MA78">
        <v>40</v>
      </c>
      <c r="MB78">
        <v>26</v>
      </c>
      <c r="MC78">
        <v>35</v>
      </c>
      <c r="MD78">
        <v>15</v>
      </c>
      <c r="ME78">
        <v>21</v>
      </c>
      <c r="MF78">
        <v>31</v>
      </c>
      <c r="MG78">
        <v>22</v>
      </c>
      <c r="MH78">
        <v>17</v>
      </c>
      <c r="MI78">
        <v>24</v>
      </c>
      <c r="MJ78">
        <f t="shared" si="74"/>
        <v>295</v>
      </c>
      <c r="MK78">
        <v>565</v>
      </c>
      <c r="ML78">
        <v>456</v>
      </c>
      <c r="MM78">
        <v>470</v>
      </c>
      <c r="MN78">
        <v>526</v>
      </c>
      <c r="MO78">
        <v>565</v>
      </c>
      <c r="MP78">
        <v>497</v>
      </c>
      <c r="MQ78">
        <v>586</v>
      </c>
      <c r="MR78">
        <v>584</v>
      </c>
      <c r="MS78">
        <v>564</v>
      </c>
      <c r="MT78">
        <v>493</v>
      </c>
      <c r="MU78">
        <v>457</v>
      </c>
      <c r="MV78">
        <v>513</v>
      </c>
      <c r="MW78">
        <f t="shared" si="75"/>
        <v>6276</v>
      </c>
      <c r="MX78">
        <v>0</v>
      </c>
      <c r="MY78">
        <v>0</v>
      </c>
      <c r="MZ78">
        <v>0</v>
      </c>
      <c r="NA78">
        <v>0</v>
      </c>
      <c r="NB78">
        <v>0</v>
      </c>
      <c r="NC78">
        <v>0</v>
      </c>
      <c r="ND78">
        <v>0</v>
      </c>
      <c r="NE78">
        <v>0</v>
      </c>
      <c r="NF78">
        <v>0</v>
      </c>
      <c r="NG78">
        <v>0</v>
      </c>
      <c r="NH78">
        <v>0</v>
      </c>
      <c r="NI78">
        <v>0</v>
      </c>
      <c r="NJ78">
        <f t="shared" si="76"/>
        <v>0</v>
      </c>
      <c r="NK78">
        <v>0</v>
      </c>
      <c r="NL78">
        <v>0</v>
      </c>
      <c r="NM78">
        <v>0</v>
      </c>
      <c r="NN78">
        <v>0</v>
      </c>
      <c r="NO78">
        <v>0</v>
      </c>
      <c r="NP78">
        <v>0</v>
      </c>
      <c r="NQ78">
        <v>0</v>
      </c>
      <c r="NR78">
        <v>0</v>
      </c>
      <c r="NS78">
        <v>0</v>
      </c>
      <c r="NT78">
        <v>0</v>
      </c>
      <c r="NU78">
        <v>0</v>
      </c>
      <c r="NV78">
        <v>0</v>
      </c>
      <c r="NW78">
        <f t="shared" si="77"/>
        <v>0</v>
      </c>
      <c r="NX78">
        <v>0</v>
      </c>
      <c r="NY78">
        <v>0</v>
      </c>
      <c r="NZ78">
        <v>0</v>
      </c>
      <c r="OA78">
        <v>0</v>
      </c>
      <c r="OB78">
        <v>0</v>
      </c>
      <c r="OC78">
        <v>0</v>
      </c>
      <c r="OD78">
        <v>0</v>
      </c>
      <c r="OE78">
        <v>0</v>
      </c>
      <c r="OF78">
        <v>0</v>
      </c>
      <c r="OG78">
        <v>0</v>
      </c>
      <c r="OH78">
        <v>0</v>
      </c>
      <c r="OI78">
        <v>0</v>
      </c>
      <c r="OJ78">
        <f t="shared" si="78"/>
        <v>0</v>
      </c>
      <c r="OK78">
        <v>829</v>
      </c>
      <c r="OL78">
        <v>843</v>
      </c>
      <c r="OM78">
        <v>798</v>
      </c>
      <c r="ON78">
        <v>756</v>
      </c>
      <c r="OO78">
        <v>885</v>
      </c>
      <c r="OP78">
        <v>739</v>
      </c>
      <c r="OQ78">
        <v>933</v>
      </c>
      <c r="OR78">
        <v>868</v>
      </c>
      <c r="OS78">
        <v>807</v>
      </c>
      <c r="OT78">
        <v>862</v>
      </c>
      <c r="OU78">
        <v>700</v>
      </c>
      <c r="OV78">
        <v>791</v>
      </c>
      <c r="OW78">
        <f t="shared" si="79"/>
        <v>9811</v>
      </c>
      <c r="OX78">
        <v>0</v>
      </c>
      <c r="OY78">
        <v>0</v>
      </c>
      <c r="OZ78">
        <v>0</v>
      </c>
      <c r="PA78">
        <v>0</v>
      </c>
      <c r="PB78">
        <v>0</v>
      </c>
      <c r="PC78">
        <v>0</v>
      </c>
      <c r="PD78">
        <v>0</v>
      </c>
      <c r="PE78">
        <v>0</v>
      </c>
      <c r="PF78">
        <v>0</v>
      </c>
      <c r="PG78">
        <v>0</v>
      </c>
      <c r="PH78">
        <v>0</v>
      </c>
      <c r="PI78">
        <v>0</v>
      </c>
      <c r="PJ78">
        <f t="shared" si="80"/>
        <v>0</v>
      </c>
      <c r="PK78">
        <v>0</v>
      </c>
      <c r="PL78">
        <v>0</v>
      </c>
      <c r="PM78">
        <v>0</v>
      </c>
      <c r="PN78">
        <v>0</v>
      </c>
      <c r="PO78">
        <v>0</v>
      </c>
      <c r="PP78">
        <v>0</v>
      </c>
      <c r="PQ78">
        <v>0</v>
      </c>
      <c r="PR78">
        <v>0</v>
      </c>
      <c r="PS78">
        <v>0</v>
      </c>
      <c r="PT78">
        <v>0</v>
      </c>
      <c r="PU78">
        <v>0</v>
      </c>
      <c r="PV78">
        <v>0</v>
      </c>
      <c r="PW78">
        <f t="shared" si="81"/>
        <v>0</v>
      </c>
      <c r="PX78">
        <v>0</v>
      </c>
      <c r="PY78">
        <v>0</v>
      </c>
      <c r="PZ78">
        <v>0</v>
      </c>
      <c r="QA78">
        <v>0</v>
      </c>
      <c r="QB78">
        <v>0</v>
      </c>
      <c r="QC78">
        <v>0</v>
      </c>
      <c r="QD78">
        <v>0</v>
      </c>
      <c r="QE78">
        <v>0</v>
      </c>
      <c r="QF78">
        <v>0</v>
      </c>
      <c r="QG78">
        <v>0</v>
      </c>
      <c r="QH78">
        <v>0</v>
      </c>
      <c r="QI78">
        <v>0</v>
      </c>
      <c r="QJ78">
        <f t="shared" si="82"/>
        <v>0</v>
      </c>
      <c r="QK78">
        <v>5775</v>
      </c>
      <c r="QL78">
        <v>5586</v>
      </c>
      <c r="QM78">
        <v>5722</v>
      </c>
      <c r="QN78">
        <v>7009</v>
      </c>
      <c r="QO78">
        <v>5967</v>
      </c>
      <c r="QP78">
        <v>6714</v>
      </c>
      <c r="QQ78">
        <v>6448</v>
      </c>
      <c r="QR78">
        <v>5680</v>
      </c>
      <c r="QS78">
        <v>5632</v>
      </c>
      <c r="QT78">
        <v>5558</v>
      </c>
      <c r="QU78">
        <v>5410</v>
      </c>
      <c r="QV78">
        <v>6343</v>
      </c>
      <c r="QW78">
        <f t="shared" si="83"/>
        <v>71844</v>
      </c>
      <c r="QX78">
        <v>23813</v>
      </c>
      <c r="QY78">
        <v>25378</v>
      </c>
      <c r="QZ78">
        <v>22472</v>
      </c>
      <c r="RA78">
        <v>25091</v>
      </c>
      <c r="RB78">
        <v>21599</v>
      </c>
      <c r="RC78">
        <v>23416</v>
      </c>
      <c r="RD78">
        <v>24746</v>
      </c>
      <c r="RE78">
        <v>20683</v>
      </c>
      <c r="RF78">
        <v>20321</v>
      </c>
      <c r="RG78">
        <v>22088</v>
      </c>
      <c r="RH78">
        <v>21463</v>
      </c>
      <c r="RI78">
        <v>25452</v>
      </c>
      <c r="RJ78">
        <f t="shared" si="84"/>
        <v>276522</v>
      </c>
      <c r="RK78">
        <v>0</v>
      </c>
      <c r="RL78">
        <v>0</v>
      </c>
      <c r="RM78">
        <v>0</v>
      </c>
      <c r="RN78">
        <v>0</v>
      </c>
      <c r="RO78">
        <v>0</v>
      </c>
      <c r="RP78">
        <v>0</v>
      </c>
      <c r="RQ78">
        <v>0</v>
      </c>
      <c r="RR78">
        <v>0</v>
      </c>
      <c r="RS78">
        <v>0</v>
      </c>
      <c r="RT78">
        <v>0</v>
      </c>
      <c r="RU78">
        <v>0</v>
      </c>
      <c r="RV78">
        <v>0</v>
      </c>
      <c r="RW78">
        <f t="shared" si="85"/>
        <v>0</v>
      </c>
      <c r="RX78">
        <v>0</v>
      </c>
      <c r="RY78">
        <v>0</v>
      </c>
      <c r="RZ78">
        <v>0</v>
      </c>
      <c r="SA78">
        <v>0</v>
      </c>
      <c r="SB78">
        <v>0</v>
      </c>
      <c r="SC78">
        <v>0</v>
      </c>
      <c r="SD78">
        <v>0</v>
      </c>
      <c r="SE78">
        <v>0</v>
      </c>
      <c r="SF78">
        <v>0</v>
      </c>
      <c r="SG78">
        <v>0</v>
      </c>
      <c r="SH78">
        <v>0</v>
      </c>
      <c r="SI78">
        <v>0</v>
      </c>
      <c r="SJ78">
        <f t="shared" si="86"/>
        <v>0</v>
      </c>
      <c r="SK78">
        <v>0</v>
      </c>
      <c r="SL78">
        <v>0</v>
      </c>
      <c r="SM78">
        <v>0</v>
      </c>
      <c r="SN78">
        <v>0</v>
      </c>
      <c r="SO78">
        <v>0</v>
      </c>
      <c r="SP78">
        <v>0</v>
      </c>
      <c r="SQ78">
        <v>0</v>
      </c>
      <c r="SR78">
        <v>0</v>
      </c>
      <c r="SS78">
        <v>0</v>
      </c>
      <c r="ST78">
        <v>0</v>
      </c>
      <c r="SU78">
        <v>0</v>
      </c>
      <c r="SV78">
        <v>0</v>
      </c>
      <c r="SW78">
        <f t="shared" si="87"/>
        <v>0</v>
      </c>
      <c r="SX78" t="s">
        <v>1407</v>
      </c>
      <c r="SY78">
        <v>2997</v>
      </c>
      <c r="SZ78">
        <v>3042</v>
      </c>
      <c r="TA78">
        <v>2768</v>
      </c>
      <c r="TB78">
        <v>3008</v>
      </c>
      <c r="TC78">
        <v>2565</v>
      </c>
      <c r="TD78">
        <v>2637</v>
      </c>
      <c r="TE78">
        <v>2536</v>
      </c>
      <c r="TF78">
        <v>2030</v>
      </c>
      <c r="TG78">
        <v>2034</v>
      </c>
      <c r="TH78">
        <v>2220</v>
      </c>
      <c r="TI78">
        <v>2316</v>
      </c>
      <c r="TJ78">
        <v>2257</v>
      </c>
      <c r="TK78">
        <f t="shared" si="88"/>
        <v>30410</v>
      </c>
      <c r="TL78">
        <v>298</v>
      </c>
      <c r="TM78">
        <v>356</v>
      </c>
      <c r="TN78">
        <v>243</v>
      </c>
      <c r="TO78">
        <v>225</v>
      </c>
      <c r="TP78">
        <v>208</v>
      </c>
      <c r="TQ78">
        <v>256</v>
      </c>
      <c r="TR78">
        <v>264</v>
      </c>
      <c r="TS78">
        <v>238</v>
      </c>
      <c r="TT78">
        <v>227</v>
      </c>
      <c r="TU78">
        <v>244</v>
      </c>
      <c r="TV78">
        <v>237</v>
      </c>
      <c r="TW78">
        <v>224</v>
      </c>
      <c r="TX78">
        <f t="shared" si="89"/>
        <v>3020</v>
      </c>
      <c r="TY78">
        <v>41</v>
      </c>
      <c r="TZ78">
        <v>0</v>
      </c>
      <c r="UA78">
        <v>0</v>
      </c>
      <c r="UB78">
        <v>15</v>
      </c>
    </row>
    <row r="79" spans="1:548" ht="16.5" customHeight="1" x14ac:dyDescent="0.35">
      <c r="A79" t="s">
        <v>1492</v>
      </c>
      <c r="B79" t="s">
        <v>2864</v>
      </c>
      <c r="C79" s="2">
        <v>40330</v>
      </c>
      <c r="D79" s="2">
        <v>12398</v>
      </c>
      <c r="E79" s="2">
        <v>3298</v>
      </c>
      <c r="F79" s="2">
        <v>24634</v>
      </c>
      <c r="G79">
        <v>657</v>
      </c>
      <c r="H79">
        <v>693</v>
      </c>
      <c r="I79">
        <v>718</v>
      </c>
      <c r="J79">
        <v>817</v>
      </c>
      <c r="K79">
        <v>693</v>
      </c>
      <c r="L79">
        <v>720</v>
      </c>
      <c r="M79">
        <v>758</v>
      </c>
      <c r="N79">
        <v>708</v>
      </c>
      <c r="O79">
        <v>581</v>
      </c>
      <c r="P79">
        <v>696</v>
      </c>
      <c r="Q79">
        <v>721</v>
      </c>
      <c r="R79">
        <v>782</v>
      </c>
      <c r="S79">
        <f t="shared" si="45"/>
        <v>8544</v>
      </c>
      <c r="T79">
        <v>159</v>
      </c>
      <c r="U79">
        <v>205</v>
      </c>
      <c r="V79">
        <v>261</v>
      </c>
      <c r="W79">
        <v>282</v>
      </c>
      <c r="X79">
        <v>122</v>
      </c>
      <c r="Y79">
        <v>179</v>
      </c>
      <c r="Z79">
        <v>194</v>
      </c>
      <c r="AA79">
        <v>195</v>
      </c>
      <c r="AB79">
        <v>163</v>
      </c>
      <c r="AC79">
        <v>173</v>
      </c>
      <c r="AD79">
        <v>162</v>
      </c>
      <c r="AE79">
        <v>240</v>
      </c>
      <c r="AF79">
        <f t="shared" si="46"/>
        <v>2335</v>
      </c>
      <c r="AG79">
        <v>8</v>
      </c>
      <c r="AH79">
        <v>14</v>
      </c>
      <c r="AI79">
        <v>9</v>
      </c>
      <c r="AJ79">
        <v>5</v>
      </c>
      <c r="AK79">
        <v>0</v>
      </c>
      <c r="AL79">
        <v>12</v>
      </c>
      <c r="AM79">
        <v>19</v>
      </c>
      <c r="AN79">
        <v>11</v>
      </c>
      <c r="AO79">
        <v>9</v>
      </c>
      <c r="AP79">
        <v>11</v>
      </c>
      <c r="AQ79">
        <v>12</v>
      </c>
      <c r="AR79">
        <v>15</v>
      </c>
      <c r="AS79">
        <f t="shared" si="47"/>
        <v>125</v>
      </c>
      <c r="AT79">
        <v>319</v>
      </c>
      <c r="AU79">
        <v>345</v>
      </c>
      <c r="AV79">
        <v>359</v>
      </c>
      <c r="AW79">
        <v>371</v>
      </c>
      <c r="AX79">
        <v>288</v>
      </c>
      <c r="AY79">
        <v>382</v>
      </c>
      <c r="AZ79">
        <v>402</v>
      </c>
      <c r="BA79">
        <v>361</v>
      </c>
      <c r="BB79">
        <v>253</v>
      </c>
      <c r="BC79">
        <v>370</v>
      </c>
      <c r="BD79">
        <v>353</v>
      </c>
      <c r="BE79">
        <v>369</v>
      </c>
      <c r="BF79">
        <f t="shared" si="48"/>
        <v>4172</v>
      </c>
      <c r="BG79">
        <v>171</v>
      </c>
      <c r="BH79">
        <v>129</v>
      </c>
      <c r="BI79">
        <v>88</v>
      </c>
      <c r="BJ79">
        <v>159</v>
      </c>
      <c r="BK79">
        <v>283</v>
      </c>
      <c r="BL79">
        <v>147</v>
      </c>
      <c r="BM79">
        <v>143</v>
      </c>
      <c r="BN79">
        <v>141</v>
      </c>
      <c r="BO79">
        <v>156</v>
      </c>
      <c r="BP79">
        <v>142</v>
      </c>
      <c r="BQ79">
        <v>194</v>
      </c>
      <c r="BR79">
        <v>158</v>
      </c>
      <c r="BS79">
        <f t="shared" si="49"/>
        <v>1911</v>
      </c>
      <c r="BT79">
        <v>3</v>
      </c>
      <c r="BU79">
        <v>3</v>
      </c>
      <c r="BV79">
        <v>6</v>
      </c>
      <c r="BW79">
        <v>4</v>
      </c>
      <c r="BX79">
        <v>2</v>
      </c>
      <c r="BY79">
        <v>2</v>
      </c>
      <c r="BZ79">
        <v>6</v>
      </c>
      <c r="CA79">
        <v>7</v>
      </c>
      <c r="CB79">
        <v>5</v>
      </c>
      <c r="CC79">
        <v>3</v>
      </c>
      <c r="CD79">
        <v>3</v>
      </c>
      <c r="CE79">
        <v>6</v>
      </c>
      <c r="CF79">
        <f t="shared" si="50"/>
        <v>50</v>
      </c>
      <c r="CG79">
        <v>0</v>
      </c>
      <c r="CH79">
        <v>0</v>
      </c>
      <c r="CI79">
        <v>1</v>
      </c>
      <c r="CJ79">
        <v>0</v>
      </c>
      <c r="CK79">
        <v>0</v>
      </c>
      <c r="CL79">
        <v>0</v>
      </c>
      <c r="CM79">
        <v>0</v>
      </c>
      <c r="CN79">
        <v>0</v>
      </c>
      <c r="CO79">
        <v>1</v>
      </c>
      <c r="CP79">
        <v>0</v>
      </c>
      <c r="CQ79">
        <v>0</v>
      </c>
      <c r="CR79">
        <v>0</v>
      </c>
      <c r="CS79">
        <f t="shared" si="51"/>
        <v>2</v>
      </c>
      <c r="CT79">
        <v>0</v>
      </c>
      <c r="CU79">
        <v>0</v>
      </c>
      <c r="CV79">
        <v>2</v>
      </c>
      <c r="CW79">
        <v>2</v>
      </c>
      <c r="CX79">
        <v>0</v>
      </c>
      <c r="CY79">
        <v>0</v>
      </c>
      <c r="CZ79">
        <v>0</v>
      </c>
      <c r="DA79">
        <v>0</v>
      </c>
      <c r="DB79">
        <v>0</v>
      </c>
      <c r="DC79">
        <v>0</v>
      </c>
      <c r="DD79">
        <v>1</v>
      </c>
      <c r="DE79">
        <v>0</v>
      </c>
      <c r="DF79">
        <f t="shared" si="52"/>
        <v>5</v>
      </c>
      <c r="DG79">
        <v>2</v>
      </c>
      <c r="DH79">
        <v>3</v>
      </c>
      <c r="DI79">
        <v>3</v>
      </c>
      <c r="DJ79">
        <v>2</v>
      </c>
      <c r="DK79">
        <v>2</v>
      </c>
      <c r="DL79">
        <v>2</v>
      </c>
      <c r="DM79">
        <v>6</v>
      </c>
      <c r="DN79">
        <v>7</v>
      </c>
      <c r="DO79">
        <v>4</v>
      </c>
      <c r="DP79">
        <v>3</v>
      </c>
      <c r="DQ79">
        <v>2</v>
      </c>
      <c r="DR79">
        <v>6</v>
      </c>
      <c r="DS79">
        <f t="shared" si="53"/>
        <v>42</v>
      </c>
      <c r="DT79">
        <v>1</v>
      </c>
      <c r="DU79">
        <v>0</v>
      </c>
      <c r="DV79">
        <v>0</v>
      </c>
      <c r="DW79">
        <v>0</v>
      </c>
      <c r="DX79">
        <v>0</v>
      </c>
      <c r="DY79">
        <v>0</v>
      </c>
      <c r="DZ79">
        <v>0</v>
      </c>
      <c r="EA79">
        <v>0</v>
      </c>
      <c r="EB79">
        <v>0</v>
      </c>
      <c r="EC79">
        <v>0</v>
      </c>
      <c r="ED79">
        <v>0</v>
      </c>
      <c r="EE79">
        <v>0</v>
      </c>
      <c r="EF79">
        <f t="shared" si="54"/>
        <v>1</v>
      </c>
      <c r="EG79">
        <f t="shared" si="55"/>
        <v>8543</v>
      </c>
      <c r="EH79">
        <f t="shared" si="56"/>
        <v>50</v>
      </c>
      <c r="EI79">
        <v>8309</v>
      </c>
      <c r="EJ79">
        <v>9256</v>
      </c>
      <c r="EK79">
        <v>21073</v>
      </c>
      <c r="EL79">
        <v>29011</v>
      </c>
      <c r="EM79">
        <v>10672</v>
      </c>
      <c r="EN79">
        <v>11454</v>
      </c>
      <c r="EO79">
        <v>11375</v>
      </c>
      <c r="EP79">
        <v>8662</v>
      </c>
      <c r="EQ79">
        <v>5997</v>
      </c>
      <c r="ER79">
        <v>12881</v>
      </c>
      <c r="ES79">
        <v>12247</v>
      </c>
      <c r="ET79">
        <v>12066</v>
      </c>
      <c r="EU79">
        <f t="shared" si="57"/>
        <v>153003</v>
      </c>
      <c r="EV79">
        <v>2759</v>
      </c>
      <c r="EW79">
        <v>4143</v>
      </c>
      <c r="EX79">
        <v>16068</v>
      </c>
      <c r="EY79">
        <v>23163</v>
      </c>
      <c r="EZ79">
        <v>2814</v>
      </c>
      <c r="FA79">
        <v>3328</v>
      </c>
      <c r="FB79">
        <v>4059</v>
      </c>
      <c r="FC79">
        <v>3367</v>
      </c>
      <c r="FD79">
        <v>2710</v>
      </c>
      <c r="FE79">
        <v>3719</v>
      </c>
      <c r="FF79">
        <v>4158</v>
      </c>
      <c r="FG79">
        <v>6574</v>
      </c>
      <c r="FH79">
        <f t="shared" si="58"/>
        <v>76862</v>
      </c>
      <c r="FI79">
        <v>2203</v>
      </c>
      <c r="FJ79">
        <v>2348</v>
      </c>
      <c r="FK79">
        <v>3404</v>
      </c>
      <c r="FL79">
        <v>2401</v>
      </c>
      <c r="FM79">
        <v>1941</v>
      </c>
      <c r="FN79">
        <v>3684</v>
      </c>
      <c r="FO79">
        <v>3789</v>
      </c>
      <c r="FP79">
        <v>2964</v>
      </c>
      <c r="FQ79">
        <v>1625</v>
      </c>
      <c r="FR79">
        <v>2691</v>
      </c>
      <c r="FS79">
        <v>3113</v>
      </c>
      <c r="FT79">
        <v>2937</v>
      </c>
      <c r="FU79">
        <f t="shared" si="59"/>
        <v>33100</v>
      </c>
      <c r="FV79">
        <v>5491</v>
      </c>
      <c r="FW79">
        <v>5000</v>
      </c>
      <c r="FX79">
        <v>4959</v>
      </c>
      <c r="FY79">
        <v>5831</v>
      </c>
      <c r="FZ79">
        <v>7858</v>
      </c>
      <c r="GA79">
        <v>8060</v>
      </c>
      <c r="GB79">
        <v>7218</v>
      </c>
      <c r="GC79">
        <v>5245</v>
      </c>
      <c r="GD79">
        <v>3247</v>
      </c>
      <c r="GE79">
        <v>9117</v>
      </c>
      <c r="GF79">
        <v>8055</v>
      </c>
      <c r="GG79">
        <v>5429</v>
      </c>
      <c r="GH79">
        <f t="shared" si="60"/>
        <v>75510</v>
      </c>
      <c r="GI79">
        <v>14</v>
      </c>
      <c r="GJ79">
        <v>3</v>
      </c>
      <c r="GK79">
        <v>58</v>
      </c>
      <c r="GL79">
        <v>14</v>
      </c>
      <c r="GM79">
        <v>4</v>
      </c>
      <c r="GN79">
        <v>3</v>
      </c>
      <c r="GO79">
        <v>9</v>
      </c>
      <c r="GP79">
        <v>13</v>
      </c>
      <c r="GQ79">
        <v>20</v>
      </c>
      <c r="GR79">
        <v>6</v>
      </c>
      <c r="GS79">
        <v>9</v>
      </c>
      <c r="GT79">
        <v>27</v>
      </c>
      <c r="GU79">
        <f t="shared" si="61"/>
        <v>180</v>
      </c>
      <c r="GV79">
        <v>0</v>
      </c>
      <c r="GW79">
        <v>0</v>
      </c>
      <c r="GX79">
        <v>40</v>
      </c>
      <c r="GY79">
        <v>0</v>
      </c>
      <c r="GZ79">
        <v>0</v>
      </c>
      <c r="HA79">
        <v>0</v>
      </c>
      <c r="HB79">
        <v>0</v>
      </c>
      <c r="HC79">
        <v>0</v>
      </c>
      <c r="HD79">
        <v>13</v>
      </c>
      <c r="HE79">
        <v>0</v>
      </c>
      <c r="HF79">
        <v>0</v>
      </c>
      <c r="HG79">
        <v>0</v>
      </c>
      <c r="HH79">
        <f t="shared" si="62"/>
        <v>53</v>
      </c>
      <c r="HI79">
        <v>0</v>
      </c>
      <c r="HJ79">
        <v>0</v>
      </c>
      <c r="HK79">
        <v>9</v>
      </c>
      <c r="HL79">
        <v>9</v>
      </c>
      <c r="HM79">
        <v>0</v>
      </c>
      <c r="HN79">
        <v>0</v>
      </c>
      <c r="HO79">
        <v>0</v>
      </c>
      <c r="HP79">
        <v>0</v>
      </c>
      <c r="HQ79">
        <v>0</v>
      </c>
      <c r="HR79">
        <v>6</v>
      </c>
      <c r="HS79">
        <v>7</v>
      </c>
      <c r="HT79">
        <v>0</v>
      </c>
      <c r="HU79">
        <f t="shared" si="63"/>
        <v>31</v>
      </c>
      <c r="HV79">
        <v>14</v>
      </c>
      <c r="HW79">
        <v>3</v>
      </c>
      <c r="HX79">
        <v>9</v>
      </c>
      <c r="HY79">
        <v>5</v>
      </c>
      <c r="HZ79">
        <v>4</v>
      </c>
      <c r="IA79">
        <v>3</v>
      </c>
      <c r="IB79">
        <v>9</v>
      </c>
      <c r="IC79">
        <v>13</v>
      </c>
      <c r="ID79">
        <v>7</v>
      </c>
      <c r="IE79">
        <v>0</v>
      </c>
      <c r="IF79">
        <v>2</v>
      </c>
      <c r="IG79">
        <v>27</v>
      </c>
      <c r="IH79">
        <f t="shared" si="64"/>
        <v>96</v>
      </c>
      <c r="II79">
        <f t="shared" si="65"/>
        <v>185472</v>
      </c>
      <c r="IJ79">
        <f t="shared" si="66"/>
        <v>180</v>
      </c>
      <c r="IK79">
        <v>95826</v>
      </c>
      <c r="IL79">
        <v>99948</v>
      </c>
      <c r="IM79">
        <v>93607</v>
      </c>
      <c r="IN79">
        <v>120386</v>
      </c>
      <c r="IO79">
        <v>126525</v>
      </c>
      <c r="IP79">
        <v>106877</v>
      </c>
      <c r="IQ79">
        <v>106083</v>
      </c>
      <c r="IR79">
        <v>94602</v>
      </c>
      <c r="IS79">
        <v>86438</v>
      </c>
      <c r="IT79">
        <v>96444</v>
      </c>
      <c r="IU79">
        <v>92410</v>
      </c>
      <c r="IV79">
        <v>94867</v>
      </c>
      <c r="IW79">
        <f t="shared" si="67"/>
        <v>1214013</v>
      </c>
      <c r="IX79">
        <v>38281</v>
      </c>
      <c r="IY79">
        <v>40226</v>
      </c>
      <c r="IZ79">
        <v>36370</v>
      </c>
      <c r="JA79">
        <v>56716</v>
      </c>
      <c r="JB79">
        <v>62567</v>
      </c>
      <c r="JC79">
        <v>46142</v>
      </c>
      <c r="JD79">
        <v>45748</v>
      </c>
      <c r="JE79">
        <v>38754</v>
      </c>
      <c r="JF79">
        <v>32602</v>
      </c>
      <c r="JG79">
        <v>38183</v>
      </c>
      <c r="JH79">
        <v>39854</v>
      </c>
      <c r="JI79">
        <v>38362</v>
      </c>
      <c r="JJ79">
        <f t="shared" si="68"/>
        <v>513805</v>
      </c>
      <c r="JK79">
        <v>1560</v>
      </c>
      <c r="JL79">
        <v>1720</v>
      </c>
      <c r="JM79">
        <v>1403</v>
      </c>
      <c r="JN79">
        <v>2075</v>
      </c>
      <c r="JO79">
        <v>2240</v>
      </c>
      <c r="JP79">
        <v>1753</v>
      </c>
      <c r="JQ79">
        <v>1793</v>
      </c>
      <c r="JR79">
        <v>1507</v>
      </c>
      <c r="JS79">
        <v>1614</v>
      </c>
      <c r="JT79">
        <v>1544</v>
      </c>
      <c r="JU79">
        <v>1439</v>
      </c>
      <c r="JV79">
        <v>1581</v>
      </c>
      <c r="JW79">
        <f t="shared" si="69"/>
        <v>20229</v>
      </c>
      <c r="JX79">
        <v>55985</v>
      </c>
      <c r="JY79">
        <v>58002</v>
      </c>
      <c r="JZ79">
        <v>55834</v>
      </c>
      <c r="KA79">
        <v>61595</v>
      </c>
      <c r="KB79">
        <v>61718</v>
      </c>
      <c r="KC79">
        <v>58982</v>
      </c>
      <c r="KD79">
        <v>58542</v>
      </c>
      <c r="KE79">
        <v>54341</v>
      </c>
      <c r="KF79">
        <v>52222</v>
      </c>
      <c r="KG79">
        <v>56717</v>
      </c>
      <c r="KH79">
        <v>51117</v>
      </c>
      <c r="KI79">
        <v>54924</v>
      </c>
      <c r="KJ79">
        <f t="shared" si="70"/>
        <v>679979</v>
      </c>
      <c r="KK79">
        <v>1288</v>
      </c>
      <c r="KL79">
        <v>1306</v>
      </c>
      <c r="KM79">
        <v>1170</v>
      </c>
      <c r="KN79">
        <v>1549</v>
      </c>
      <c r="KO79">
        <v>1476</v>
      </c>
      <c r="KP79">
        <v>1312</v>
      </c>
      <c r="KQ79">
        <v>1529</v>
      </c>
      <c r="KR79">
        <v>1346</v>
      </c>
      <c r="KS79">
        <v>1230</v>
      </c>
      <c r="KT79">
        <v>1224</v>
      </c>
      <c r="KU79">
        <v>1279</v>
      </c>
      <c r="KV79">
        <v>1135</v>
      </c>
      <c r="KW79">
        <f t="shared" si="71"/>
        <v>15844</v>
      </c>
      <c r="KX79">
        <v>280</v>
      </c>
      <c r="KY79">
        <v>308</v>
      </c>
      <c r="KZ79">
        <v>243</v>
      </c>
      <c r="LA79">
        <v>444</v>
      </c>
      <c r="LB79">
        <v>502</v>
      </c>
      <c r="LC79">
        <v>327</v>
      </c>
      <c r="LD79">
        <v>354</v>
      </c>
      <c r="LE79">
        <v>310</v>
      </c>
      <c r="LF79">
        <v>252</v>
      </c>
      <c r="LG79">
        <v>226</v>
      </c>
      <c r="LH79">
        <v>265</v>
      </c>
      <c r="LI79">
        <v>207</v>
      </c>
      <c r="LJ79">
        <f t="shared" si="72"/>
        <v>3718</v>
      </c>
      <c r="LK79">
        <v>0</v>
      </c>
      <c r="LL79">
        <v>0</v>
      </c>
      <c r="LM79">
        <v>0</v>
      </c>
      <c r="LN79">
        <v>0</v>
      </c>
      <c r="LO79">
        <v>0</v>
      </c>
      <c r="LP79">
        <v>0</v>
      </c>
      <c r="LQ79">
        <v>0</v>
      </c>
      <c r="LR79">
        <v>0</v>
      </c>
      <c r="LS79">
        <v>0</v>
      </c>
      <c r="LT79">
        <v>0</v>
      </c>
      <c r="LU79">
        <v>0</v>
      </c>
      <c r="LV79">
        <v>0</v>
      </c>
      <c r="LW79">
        <f t="shared" si="73"/>
        <v>0</v>
      </c>
      <c r="LX79">
        <v>1008</v>
      </c>
      <c r="LY79">
        <v>998</v>
      </c>
      <c r="LZ79">
        <v>927</v>
      </c>
      <c r="MA79">
        <v>1105</v>
      </c>
      <c r="MB79">
        <v>974</v>
      </c>
      <c r="MC79">
        <v>985</v>
      </c>
      <c r="MD79">
        <v>1175</v>
      </c>
      <c r="ME79">
        <v>1036</v>
      </c>
      <c r="MF79">
        <v>978</v>
      </c>
      <c r="MG79">
        <v>998</v>
      </c>
      <c r="MH79">
        <v>1014</v>
      </c>
      <c r="MI79">
        <v>928</v>
      </c>
      <c r="MJ79">
        <f t="shared" si="74"/>
        <v>12126</v>
      </c>
      <c r="MK79">
        <v>6363</v>
      </c>
      <c r="ML79">
        <v>6536</v>
      </c>
      <c r="MM79">
        <v>6336</v>
      </c>
      <c r="MN79">
        <v>6597</v>
      </c>
      <c r="MO79">
        <v>7048</v>
      </c>
      <c r="MP79">
        <v>6629</v>
      </c>
      <c r="MQ79">
        <v>6756</v>
      </c>
      <c r="MR79">
        <v>6508</v>
      </c>
      <c r="MS79">
        <v>7694</v>
      </c>
      <c r="MT79">
        <v>7851</v>
      </c>
      <c r="MU79">
        <v>7171</v>
      </c>
      <c r="MV79">
        <v>7813</v>
      </c>
      <c r="MW79">
        <f t="shared" si="75"/>
        <v>83302</v>
      </c>
      <c r="MX79">
        <v>0</v>
      </c>
      <c r="MY79">
        <v>0</v>
      </c>
      <c r="MZ79">
        <v>0</v>
      </c>
      <c r="NA79">
        <v>0</v>
      </c>
      <c r="NB79">
        <v>0</v>
      </c>
      <c r="NC79">
        <v>0</v>
      </c>
      <c r="ND79">
        <v>0</v>
      </c>
      <c r="NE79">
        <v>0</v>
      </c>
      <c r="NF79">
        <v>0</v>
      </c>
      <c r="NG79">
        <v>0</v>
      </c>
      <c r="NH79">
        <v>0</v>
      </c>
      <c r="NI79">
        <v>0</v>
      </c>
      <c r="NJ79">
        <f t="shared" si="76"/>
        <v>0</v>
      </c>
      <c r="NK79">
        <v>0</v>
      </c>
      <c r="NL79">
        <v>0</v>
      </c>
      <c r="NM79">
        <v>0</v>
      </c>
      <c r="NN79">
        <v>0</v>
      </c>
      <c r="NO79">
        <v>0</v>
      </c>
      <c r="NP79">
        <v>0</v>
      </c>
      <c r="NQ79">
        <v>0</v>
      </c>
      <c r="NR79">
        <v>0</v>
      </c>
      <c r="NS79">
        <v>0</v>
      </c>
      <c r="NT79">
        <v>0</v>
      </c>
      <c r="NU79">
        <v>0</v>
      </c>
      <c r="NV79">
        <v>0</v>
      </c>
      <c r="NW79">
        <f t="shared" si="77"/>
        <v>0</v>
      </c>
      <c r="NX79">
        <v>0</v>
      </c>
      <c r="NY79">
        <v>0</v>
      </c>
      <c r="NZ79">
        <v>0</v>
      </c>
      <c r="OA79">
        <v>0</v>
      </c>
      <c r="OB79">
        <v>0</v>
      </c>
      <c r="OC79">
        <v>0</v>
      </c>
      <c r="OD79">
        <v>0</v>
      </c>
      <c r="OE79">
        <v>0</v>
      </c>
      <c r="OF79">
        <v>0</v>
      </c>
      <c r="OG79">
        <v>0</v>
      </c>
      <c r="OH79">
        <v>0</v>
      </c>
      <c r="OI79">
        <v>0</v>
      </c>
      <c r="OJ79">
        <f t="shared" si="78"/>
        <v>0</v>
      </c>
      <c r="OK79">
        <v>11961</v>
      </c>
      <c r="OL79">
        <v>12390</v>
      </c>
      <c r="OM79">
        <v>11874</v>
      </c>
      <c r="ON79">
        <v>12081</v>
      </c>
      <c r="OO79">
        <v>12440</v>
      </c>
      <c r="OP79">
        <v>12380</v>
      </c>
      <c r="OQ79">
        <v>12752</v>
      </c>
      <c r="OR79">
        <v>12332</v>
      </c>
      <c r="OS79">
        <v>6886</v>
      </c>
      <c r="OT79">
        <v>9204</v>
      </c>
      <c r="OU79">
        <v>8080</v>
      </c>
      <c r="OV79">
        <v>8227</v>
      </c>
      <c r="OW79">
        <f t="shared" si="79"/>
        <v>130607</v>
      </c>
      <c r="OX79">
        <v>0</v>
      </c>
      <c r="OY79">
        <v>0</v>
      </c>
      <c r="OZ79">
        <v>0</v>
      </c>
      <c r="PA79">
        <v>0</v>
      </c>
      <c r="PB79">
        <v>0</v>
      </c>
      <c r="PC79">
        <v>0</v>
      </c>
      <c r="PD79">
        <v>0</v>
      </c>
      <c r="PE79">
        <v>0</v>
      </c>
      <c r="PF79">
        <v>0</v>
      </c>
      <c r="PG79">
        <v>0</v>
      </c>
      <c r="PH79">
        <v>0</v>
      </c>
      <c r="PI79">
        <v>0</v>
      </c>
      <c r="PJ79">
        <f t="shared" si="80"/>
        <v>0</v>
      </c>
      <c r="PK79">
        <v>0</v>
      </c>
      <c r="PL79">
        <v>0</v>
      </c>
      <c r="PM79">
        <v>0</v>
      </c>
      <c r="PN79">
        <v>0</v>
      </c>
      <c r="PO79">
        <v>0</v>
      </c>
      <c r="PP79">
        <v>0</v>
      </c>
      <c r="PQ79">
        <v>0</v>
      </c>
      <c r="PR79">
        <v>0</v>
      </c>
      <c r="PS79">
        <v>0</v>
      </c>
      <c r="PT79">
        <v>0</v>
      </c>
      <c r="PU79">
        <v>0</v>
      </c>
      <c r="PV79">
        <v>0</v>
      </c>
      <c r="PW79">
        <f t="shared" si="81"/>
        <v>0</v>
      </c>
      <c r="PX79">
        <v>0</v>
      </c>
      <c r="PY79">
        <v>0</v>
      </c>
      <c r="PZ79">
        <v>0</v>
      </c>
      <c r="QA79">
        <v>0</v>
      </c>
      <c r="QB79">
        <v>0</v>
      </c>
      <c r="QC79">
        <v>0</v>
      </c>
      <c r="QD79">
        <v>0</v>
      </c>
      <c r="QE79">
        <v>0</v>
      </c>
      <c r="QF79">
        <v>0</v>
      </c>
      <c r="QG79">
        <v>0</v>
      </c>
      <c r="QH79">
        <v>0</v>
      </c>
      <c r="QI79">
        <v>0</v>
      </c>
      <c r="QJ79">
        <f t="shared" si="82"/>
        <v>0</v>
      </c>
      <c r="QK79">
        <v>79385</v>
      </c>
      <c r="QL79">
        <v>85186</v>
      </c>
      <c r="QM79">
        <v>78312</v>
      </c>
      <c r="QN79">
        <v>96327</v>
      </c>
      <c r="QO79">
        <v>96790</v>
      </c>
      <c r="QP79">
        <v>89752</v>
      </c>
      <c r="QQ79">
        <v>91798</v>
      </c>
      <c r="QR79">
        <v>77354</v>
      </c>
      <c r="QS79">
        <v>68787</v>
      </c>
      <c r="QT79">
        <v>78633</v>
      </c>
      <c r="QU79">
        <v>78151</v>
      </c>
      <c r="QV79">
        <v>80807</v>
      </c>
      <c r="QW79">
        <f t="shared" si="83"/>
        <v>1001282</v>
      </c>
      <c r="QX79">
        <v>0</v>
      </c>
      <c r="QY79">
        <v>0</v>
      </c>
      <c r="QZ79">
        <v>0</v>
      </c>
      <c r="RA79">
        <v>0</v>
      </c>
      <c r="RB79">
        <v>0</v>
      </c>
      <c r="RC79">
        <v>0</v>
      </c>
      <c r="RD79">
        <v>0</v>
      </c>
      <c r="RE79">
        <v>0</v>
      </c>
      <c r="RF79">
        <v>0</v>
      </c>
      <c r="RG79">
        <v>0</v>
      </c>
      <c r="RH79">
        <v>0</v>
      </c>
      <c r="RI79">
        <v>0</v>
      </c>
      <c r="RJ79">
        <f t="shared" si="84"/>
        <v>0</v>
      </c>
      <c r="RK79">
        <v>0</v>
      </c>
      <c r="RL79">
        <v>0</v>
      </c>
      <c r="RM79">
        <v>0</v>
      </c>
      <c r="RN79">
        <v>0</v>
      </c>
      <c r="RO79">
        <v>0</v>
      </c>
      <c r="RP79">
        <v>0</v>
      </c>
      <c r="RQ79">
        <v>0</v>
      </c>
      <c r="RR79">
        <v>0</v>
      </c>
      <c r="RS79">
        <v>0</v>
      </c>
      <c r="RT79">
        <v>0</v>
      </c>
      <c r="RU79">
        <v>0</v>
      </c>
      <c r="RV79">
        <v>0</v>
      </c>
      <c r="RW79">
        <f t="shared" si="85"/>
        <v>0</v>
      </c>
      <c r="RX79">
        <v>2176</v>
      </c>
      <c r="RY79">
        <v>2171</v>
      </c>
      <c r="RZ79">
        <v>2116</v>
      </c>
      <c r="SA79">
        <v>1812</v>
      </c>
      <c r="SB79">
        <v>1884</v>
      </c>
      <c r="SC79">
        <v>2032</v>
      </c>
      <c r="SD79">
        <v>1285</v>
      </c>
      <c r="SE79">
        <v>1499</v>
      </c>
      <c r="SF79">
        <v>277</v>
      </c>
      <c r="SG79">
        <v>1710</v>
      </c>
      <c r="SH79">
        <v>1774</v>
      </c>
      <c r="SI79">
        <v>1240</v>
      </c>
      <c r="SJ79">
        <f t="shared" si="86"/>
        <v>19976</v>
      </c>
      <c r="SK79">
        <v>320</v>
      </c>
      <c r="SL79">
        <v>320</v>
      </c>
      <c r="SM79">
        <v>320</v>
      </c>
      <c r="SN79">
        <v>320</v>
      </c>
      <c r="SO79">
        <v>320</v>
      </c>
      <c r="SP79">
        <v>320</v>
      </c>
      <c r="SQ79">
        <v>320</v>
      </c>
      <c r="SR79">
        <v>320</v>
      </c>
      <c r="SS79">
        <v>320</v>
      </c>
      <c r="ST79">
        <v>320</v>
      </c>
      <c r="SU79">
        <v>320</v>
      </c>
      <c r="SV79">
        <v>320</v>
      </c>
      <c r="SW79">
        <f t="shared" si="87"/>
        <v>3840</v>
      </c>
      <c r="SX79">
        <v>0</v>
      </c>
      <c r="SY79">
        <v>5234</v>
      </c>
      <c r="SZ79">
        <v>5377</v>
      </c>
      <c r="TA79">
        <v>5303</v>
      </c>
      <c r="TB79">
        <v>6016</v>
      </c>
      <c r="TC79">
        <v>5677</v>
      </c>
      <c r="TD79">
        <v>6012</v>
      </c>
      <c r="TE79">
        <v>5720</v>
      </c>
      <c r="TF79">
        <v>4311</v>
      </c>
      <c r="TG79">
        <v>4154</v>
      </c>
      <c r="TH79">
        <v>4675</v>
      </c>
      <c r="TI79">
        <v>5242</v>
      </c>
      <c r="TJ79">
        <v>4750</v>
      </c>
      <c r="TK79">
        <f t="shared" si="88"/>
        <v>62471</v>
      </c>
      <c r="TL79">
        <v>3550</v>
      </c>
      <c r="TM79">
        <v>3498</v>
      </c>
      <c r="TN79">
        <v>3404</v>
      </c>
      <c r="TO79">
        <v>3405</v>
      </c>
      <c r="TP79">
        <v>2925</v>
      </c>
      <c r="TQ79">
        <v>2882</v>
      </c>
      <c r="TR79">
        <v>3679</v>
      </c>
      <c r="TS79">
        <v>2113</v>
      </c>
      <c r="TT79">
        <v>2378</v>
      </c>
      <c r="TU79">
        <v>2980</v>
      </c>
      <c r="TV79">
        <v>2320</v>
      </c>
      <c r="TW79">
        <v>2902</v>
      </c>
      <c r="TX79">
        <f t="shared" si="89"/>
        <v>36036</v>
      </c>
      <c r="TY79">
        <v>100</v>
      </c>
      <c r="TZ79">
        <v>155</v>
      </c>
      <c r="UA79">
        <v>333</v>
      </c>
      <c r="UB79">
        <v>0</v>
      </c>
    </row>
    <row r="80" spans="1:548" ht="16.5" customHeight="1" x14ac:dyDescent="0.35">
      <c r="A80" t="s">
        <v>1404</v>
      </c>
      <c r="B80" t="s">
        <v>2864</v>
      </c>
      <c r="C80">
        <v>38118</v>
      </c>
      <c r="D80">
        <v>11604</v>
      </c>
      <c r="E80">
        <v>2002</v>
      </c>
      <c r="F80">
        <v>24512</v>
      </c>
      <c r="G80">
        <v>249</v>
      </c>
      <c r="H80">
        <v>282</v>
      </c>
      <c r="I80">
        <v>309</v>
      </c>
      <c r="J80">
        <v>322</v>
      </c>
      <c r="K80">
        <v>243</v>
      </c>
      <c r="L80">
        <v>413</v>
      </c>
      <c r="M80">
        <v>299</v>
      </c>
      <c r="N80">
        <v>262</v>
      </c>
      <c r="O80">
        <v>249</v>
      </c>
      <c r="P80">
        <v>290</v>
      </c>
      <c r="Q80">
        <v>279</v>
      </c>
      <c r="R80">
        <v>306</v>
      </c>
      <c r="S80">
        <f t="shared" si="45"/>
        <v>3503</v>
      </c>
      <c r="T80">
        <v>175</v>
      </c>
      <c r="U80">
        <v>204</v>
      </c>
      <c r="V80">
        <v>228</v>
      </c>
      <c r="W80">
        <v>243</v>
      </c>
      <c r="X80">
        <v>168</v>
      </c>
      <c r="Y80">
        <v>332</v>
      </c>
      <c r="Z80">
        <v>217</v>
      </c>
      <c r="AA80">
        <v>186</v>
      </c>
      <c r="AB80">
        <v>178</v>
      </c>
      <c r="AC80">
        <v>211</v>
      </c>
      <c r="AD80">
        <v>207</v>
      </c>
      <c r="AE80">
        <v>232</v>
      </c>
      <c r="AF80">
        <f t="shared" si="46"/>
        <v>2581</v>
      </c>
      <c r="AG80">
        <v>0</v>
      </c>
      <c r="AH80">
        <v>1</v>
      </c>
      <c r="AI80">
        <v>1</v>
      </c>
      <c r="AJ80">
        <v>1</v>
      </c>
      <c r="AK80">
        <v>0</v>
      </c>
      <c r="AL80">
        <v>0</v>
      </c>
      <c r="AM80">
        <v>1</v>
      </c>
      <c r="AN80">
        <v>0</v>
      </c>
      <c r="AO80">
        <v>0</v>
      </c>
      <c r="AP80">
        <v>0</v>
      </c>
      <c r="AQ80">
        <v>0</v>
      </c>
      <c r="AR80">
        <v>0</v>
      </c>
      <c r="AS80">
        <f t="shared" si="47"/>
        <v>4</v>
      </c>
      <c r="AT80">
        <v>74</v>
      </c>
      <c r="AU80">
        <v>77</v>
      </c>
      <c r="AV80">
        <v>80</v>
      </c>
      <c r="AW80">
        <v>78</v>
      </c>
      <c r="AX80">
        <v>75</v>
      </c>
      <c r="AY80">
        <v>81</v>
      </c>
      <c r="AZ80">
        <v>81</v>
      </c>
      <c r="BA80">
        <v>76</v>
      </c>
      <c r="BB80">
        <v>71</v>
      </c>
      <c r="BC80">
        <v>79</v>
      </c>
      <c r="BD80">
        <v>72</v>
      </c>
      <c r="BE80">
        <v>74</v>
      </c>
      <c r="BF80">
        <f t="shared" si="48"/>
        <v>918</v>
      </c>
      <c r="BG80">
        <v>0</v>
      </c>
      <c r="BH80">
        <v>0</v>
      </c>
      <c r="BI80">
        <v>0</v>
      </c>
      <c r="BJ80">
        <v>0</v>
      </c>
      <c r="BK80">
        <v>0</v>
      </c>
      <c r="BL80">
        <v>0</v>
      </c>
      <c r="BM80">
        <v>0</v>
      </c>
      <c r="BN80">
        <v>0</v>
      </c>
      <c r="BO80">
        <v>0</v>
      </c>
      <c r="BP80">
        <v>0</v>
      </c>
      <c r="BQ80">
        <v>0</v>
      </c>
      <c r="BR80">
        <v>0</v>
      </c>
      <c r="BS80">
        <f t="shared" si="49"/>
        <v>0</v>
      </c>
      <c r="BT80">
        <v>0</v>
      </c>
      <c r="BU80">
        <v>0</v>
      </c>
      <c r="BV80">
        <v>0</v>
      </c>
      <c r="BW80">
        <v>0</v>
      </c>
      <c r="BX80">
        <v>0</v>
      </c>
      <c r="BY80">
        <v>0</v>
      </c>
      <c r="BZ80">
        <v>0</v>
      </c>
      <c r="CA80">
        <v>0</v>
      </c>
      <c r="CB80">
        <v>0</v>
      </c>
      <c r="CC80">
        <v>0</v>
      </c>
      <c r="CD80">
        <v>0</v>
      </c>
      <c r="CE80">
        <v>0</v>
      </c>
      <c r="CF80">
        <f t="shared" si="50"/>
        <v>0</v>
      </c>
      <c r="CG80">
        <v>0</v>
      </c>
      <c r="CH80">
        <v>0</v>
      </c>
      <c r="CI80">
        <v>0</v>
      </c>
      <c r="CJ80">
        <v>0</v>
      </c>
      <c r="CK80">
        <v>0</v>
      </c>
      <c r="CL80">
        <v>0</v>
      </c>
      <c r="CM80">
        <v>0</v>
      </c>
      <c r="CN80">
        <v>0</v>
      </c>
      <c r="CO80">
        <v>0</v>
      </c>
      <c r="CP80">
        <v>0</v>
      </c>
      <c r="CQ80">
        <v>0</v>
      </c>
      <c r="CR80">
        <v>0</v>
      </c>
      <c r="CS80">
        <f t="shared" si="51"/>
        <v>0</v>
      </c>
      <c r="CT80">
        <v>0</v>
      </c>
      <c r="CU80">
        <v>0</v>
      </c>
      <c r="CV80">
        <v>0</v>
      </c>
      <c r="CW80">
        <v>0</v>
      </c>
      <c r="CX80">
        <v>0</v>
      </c>
      <c r="CY80">
        <v>0</v>
      </c>
      <c r="CZ80">
        <v>0</v>
      </c>
      <c r="DA80">
        <v>0</v>
      </c>
      <c r="DB80">
        <v>0</v>
      </c>
      <c r="DC80">
        <v>0</v>
      </c>
      <c r="DD80">
        <v>0</v>
      </c>
      <c r="DE80">
        <v>0</v>
      </c>
      <c r="DF80">
        <f t="shared" si="52"/>
        <v>0</v>
      </c>
      <c r="DG80">
        <v>0</v>
      </c>
      <c r="DH80">
        <v>0</v>
      </c>
      <c r="DI80">
        <v>0</v>
      </c>
      <c r="DJ80">
        <v>0</v>
      </c>
      <c r="DK80">
        <v>0</v>
      </c>
      <c r="DL80">
        <v>0</v>
      </c>
      <c r="DM80">
        <v>0</v>
      </c>
      <c r="DN80">
        <v>0</v>
      </c>
      <c r="DO80">
        <v>0</v>
      </c>
      <c r="DP80">
        <v>0</v>
      </c>
      <c r="DQ80">
        <v>0</v>
      </c>
      <c r="DR80">
        <v>0</v>
      </c>
      <c r="DS80">
        <f t="shared" si="53"/>
        <v>0</v>
      </c>
      <c r="DT80">
        <v>0</v>
      </c>
      <c r="DU80">
        <v>0</v>
      </c>
      <c r="DV80">
        <v>0</v>
      </c>
      <c r="DW80">
        <v>0</v>
      </c>
      <c r="DX80">
        <v>0</v>
      </c>
      <c r="DY80">
        <v>0</v>
      </c>
      <c r="DZ80">
        <v>0</v>
      </c>
      <c r="EA80">
        <v>0</v>
      </c>
      <c r="EB80">
        <v>0</v>
      </c>
      <c r="EC80">
        <v>0</v>
      </c>
      <c r="ED80">
        <v>0</v>
      </c>
      <c r="EE80">
        <v>0</v>
      </c>
      <c r="EF80">
        <f t="shared" si="54"/>
        <v>0</v>
      </c>
      <c r="EG80">
        <f t="shared" si="55"/>
        <v>3503</v>
      </c>
      <c r="EH80">
        <f t="shared" si="56"/>
        <v>0</v>
      </c>
      <c r="EI80">
        <v>4245</v>
      </c>
      <c r="EJ80">
        <v>4132</v>
      </c>
      <c r="EK80">
        <v>10983</v>
      </c>
      <c r="EL80">
        <v>18780</v>
      </c>
      <c r="EM80">
        <v>3474</v>
      </c>
      <c r="EN80">
        <v>3941</v>
      </c>
      <c r="EO80">
        <v>5637</v>
      </c>
      <c r="EP80">
        <v>4026</v>
      </c>
      <c r="EQ80">
        <v>3850</v>
      </c>
      <c r="ER80">
        <v>4816</v>
      </c>
      <c r="ES80">
        <v>5072</v>
      </c>
      <c r="ET80">
        <v>6252</v>
      </c>
      <c r="EU80">
        <f t="shared" si="57"/>
        <v>75208</v>
      </c>
      <c r="EV80">
        <v>3574</v>
      </c>
      <c r="EW80">
        <v>3474</v>
      </c>
      <c r="EX80">
        <v>10246</v>
      </c>
      <c r="EY80">
        <v>18058</v>
      </c>
      <c r="EZ80">
        <v>2903</v>
      </c>
      <c r="FA80">
        <v>3052</v>
      </c>
      <c r="FB80">
        <v>4921</v>
      </c>
      <c r="FC80">
        <v>3227</v>
      </c>
      <c r="FD80">
        <v>3237</v>
      </c>
      <c r="FE80">
        <v>4058</v>
      </c>
      <c r="FF80">
        <v>4408</v>
      </c>
      <c r="FG80">
        <v>5588</v>
      </c>
      <c r="FH80">
        <f t="shared" si="58"/>
        <v>66746</v>
      </c>
      <c r="FI80">
        <v>1</v>
      </c>
      <c r="FJ80">
        <v>3</v>
      </c>
      <c r="FK80">
        <v>4</v>
      </c>
      <c r="FL80">
        <v>3</v>
      </c>
      <c r="FM80">
        <v>0</v>
      </c>
      <c r="FN80">
        <v>0</v>
      </c>
      <c r="FO80">
        <v>7</v>
      </c>
      <c r="FP80">
        <v>0</v>
      </c>
      <c r="FQ80">
        <v>0</v>
      </c>
      <c r="FR80">
        <v>0</v>
      </c>
      <c r="FS80">
        <v>0</v>
      </c>
      <c r="FT80">
        <v>0</v>
      </c>
      <c r="FU80">
        <f t="shared" si="59"/>
        <v>18</v>
      </c>
      <c r="FV80">
        <v>670</v>
      </c>
      <c r="FW80">
        <v>655</v>
      </c>
      <c r="FX80">
        <v>733</v>
      </c>
      <c r="FY80">
        <v>719</v>
      </c>
      <c r="FZ80">
        <v>571</v>
      </c>
      <c r="GA80">
        <v>889</v>
      </c>
      <c r="GB80">
        <v>709</v>
      </c>
      <c r="GC80">
        <v>799</v>
      </c>
      <c r="GD80">
        <v>613</v>
      </c>
      <c r="GE80">
        <v>758</v>
      </c>
      <c r="GF80">
        <v>664</v>
      </c>
      <c r="GG80">
        <v>664</v>
      </c>
      <c r="GH80">
        <f t="shared" si="60"/>
        <v>8444</v>
      </c>
      <c r="GI80">
        <v>0</v>
      </c>
      <c r="GJ80">
        <v>0</v>
      </c>
      <c r="GK80">
        <v>0</v>
      </c>
      <c r="GL80">
        <v>0</v>
      </c>
      <c r="GM80">
        <v>0</v>
      </c>
      <c r="GN80">
        <v>0</v>
      </c>
      <c r="GO80">
        <v>0</v>
      </c>
      <c r="GP80">
        <v>0</v>
      </c>
      <c r="GQ80">
        <v>0</v>
      </c>
      <c r="GR80">
        <v>0</v>
      </c>
      <c r="GS80">
        <v>0</v>
      </c>
      <c r="GT80">
        <v>0</v>
      </c>
      <c r="GU80">
        <f t="shared" si="61"/>
        <v>0</v>
      </c>
      <c r="GV80">
        <v>0</v>
      </c>
      <c r="GW80">
        <v>0</v>
      </c>
      <c r="GX80">
        <v>0</v>
      </c>
      <c r="GY80">
        <v>0</v>
      </c>
      <c r="GZ80">
        <v>0</v>
      </c>
      <c r="HA80">
        <v>0</v>
      </c>
      <c r="HB80">
        <v>0</v>
      </c>
      <c r="HC80">
        <v>0</v>
      </c>
      <c r="HD80">
        <v>0</v>
      </c>
      <c r="HE80">
        <v>0</v>
      </c>
      <c r="HF80">
        <v>0</v>
      </c>
      <c r="HG80">
        <v>0</v>
      </c>
      <c r="HH80">
        <f t="shared" si="62"/>
        <v>0</v>
      </c>
      <c r="HI80">
        <v>0</v>
      </c>
      <c r="HJ80">
        <v>0</v>
      </c>
      <c r="HK80">
        <v>0</v>
      </c>
      <c r="HL80">
        <v>0</v>
      </c>
      <c r="HM80">
        <v>0</v>
      </c>
      <c r="HN80">
        <v>0</v>
      </c>
      <c r="HO80">
        <v>0</v>
      </c>
      <c r="HP80">
        <v>0</v>
      </c>
      <c r="HQ80">
        <v>0</v>
      </c>
      <c r="HR80">
        <v>0</v>
      </c>
      <c r="HS80">
        <v>0</v>
      </c>
      <c r="HT80">
        <v>0</v>
      </c>
      <c r="HU80">
        <f t="shared" si="63"/>
        <v>0</v>
      </c>
      <c r="HV80">
        <v>0</v>
      </c>
      <c r="HW80">
        <v>0</v>
      </c>
      <c r="HX80">
        <v>0</v>
      </c>
      <c r="HY80">
        <v>0</v>
      </c>
      <c r="HZ80">
        <v>0</v>
      </c>
      <c r="IA80">
        <v>0</v>
      </c>
      <c r="IB80">
        <v>0</v>
      </c>
      <c r="IC80">
        <v>0</v>
      </c>
      <c r="ID80">
        <v>0</v>
      </c>
      <c r="IE80">
        <v>0</v>
      </c>
      <c r="IF80">
        <v>0</v>
      </c>
      <c r="IG80">
        <v>0</v>
      </c>
      <c r="IH80">
        <f t="shared" si="64"/>
        <v>0</v>
      </c>
      <c r="II80">
        <f t="shared" si="65"/>
        <v>75208</v>
      </c>
      <c r="IJ80">
        <f t="shared" si="66"/>
        <v>0</v>
      </c>
      <c r="IK80">
        <v>55700</v>
      </c>
      <c r="IL80">
        <v>59202</v>
      </c>
      <c r="IM80">
        <v>57370</v>
      </c>
      <c r="IN80">
        <v>72363</v>
      </c>
      <c r="IO80">
        <v>73514</v>
      </c>
      <c r="IP80">
        <v>65762</v>
      </c>
      <c r="IQ80">
        <v>65199</v>
      </c>
      <c r="IR80">
        <v>59466</v>
      </c>
      <c r="IS80">
        <v>53930</v>
      </c>
      <c r="IT80">
        <v>59666</v>
      </c>
      <c r="IU80">
        <v>57921</v>
      </c>
      <c r="IV80">
        <v>59947</v>
      </c>
      <c r="IW80">
        <f t="shared" si="67"/>
        <v>740040</v>
      </c>
      <c r="IX80">
        <v>29941</v>
      </c>
      <c r="IY80">
        <v>32254</v>
      </c>
      <c r="IZ80">
        <v>29222</v>
      </c>
      <c r="JA80">
        <v>43401</v>
      </c>
      <c r="JB80">
        <v>44413</v>
      </c>
      <c r="JC80">
        <v>35891</v>
      </c>
      <c r="JD80">
        <v>36366</v>
      </c>
      <c r="JE80">
        <v>32460</v>
      </c>
      <c r="JF80">
        <v>27180</v>
      </c>
      <c r="JG80">
        <v>32123</v>
      </c>
      <c r="JH80">
        <v>31853</v>
      </c>
      <c r="JI80">
        <v>32224</v>
      </c>
      <c r="JJ80">
        <f t="shared" si="68"/>
        <v>407328</v>
      </c>
      <c r="JK80">
        <v>1184</v>
      </c>
      <c r="JL80">
        <v>1169</v>
      </c>
      <c r="JM80">
        <v>1270</v>
      </c>
      <c r="JN80">
        <v>1602</v>
      </c>
      <c r="JO80">
        <v>1608</v>
      </c>
      <c r="JP80">
        <v>1185</v>
      </c>
      <c r="JQ80">
        <v>1360</v>
      </c>
      <c r="JR80">
        <v>1254</v>
      </c>
      <c r="JS80">
        <v>1127</v>
      </c>
      <c r="JT80">
        <v>1274</v>
      </c>
      <c r="JU80">
        <v>1371</v>
      </c>
      <c r="JV80">
        <v>1451</v>
      </c>
      <c r="JW80">
        <f t="shared" si="69"/>
        <v>15855</v>
      </c>
      <c r="JX80">
        <v>24575</v>
      </c>
      <c r="JY80">
        <v>25779</v>
      </c>
      <c r="JZ80">
        <v>26878</v>
      </c>
      <c r="KA80">
        <v>27360</v>
      </c>
      <c r="KB80">
        <v>27493</v>
      </c>
      <c r="KC80">
        <v>28686</v>
      </c>
      <c r="KD80">
        <v>27473</v>
      </c>
      <c r="KE80">
        <v>25752</v>
      </c>
      <c r="KF80">
        <v>25623</v>
      </c>
      <c r="KG80">
        <v>26269</v>
      </c>
      <c r="KH80">
        <v>24697</v>
      </c>
      <c r="KI80">
        <v>26272</v>
      </c>
      <c r="KJ80">
        <f t="shared" si="70"/>
        <v>316857</v>
      </c>
      <c r="KK80">
        <v>912</v>
      </c>
      <c r="KL80">
        <v>884</v>
      </c>
      <c r="KM80">
        <v>1126</v>
      </c>
      <c r="KN80">
        <v>932</v>
      </c>
      <c r="KO80">
        <v>1010</v>
      </c>
      <c r="KP80">
        <v>963</v>
      </c>
      <c r="KQ80">
        <v>946</v>
      </c>
      <c r="KR80">
        <v>794</v>
      </c>
      <c r="KS80">
        <v>814</v>
      </c>
      <c r="KT80">
        <v>945</v>
      </c>
      <c r="KU80">
        <v>931</v>
      </c>
      <c r="KV80">
        <v>922</v>
      </c>
      <c r="KW80">
        <f t="shared" si="71"/>
        <v>11179</v>
      </c>
      <c r="KX80">
        <v>266</v>
      </c>
      <c r="KY80">
        <v>233</v>
      </c>
      <c r="KZ80">
        <v>228</v>
      </c>
      <c r="LA80">
        <v>287</v>
      </c>
      <c r="LB80">
        <v>322</v>
      </c>
      <c r="LC80">
        <v>285</v>
      </c>
      <c r="LD80">
        <v>256</v>
      </c>
      <c r="LE80">
        <v>232</v>
      </c>
      <c r="LF80">
        <v>221</v>
      </c>
      <c r="LG80">
        <v>242</v>
      </c>
      <c r="LH80">
        <v>225</v>
      </c>
      <c r="LI80">
        <v>224</v>
      </c>
      <c r="LJ80">
        <f t="shared" si="72"/>
        <v>3021</v>
      </c>
      <c r="LK80">
        <v>0</v>
      </c>
      <c r="LL80">
        <v>0</v>
      </c>
      <c r="LM80">
        <v>0</v>
      </c>
      <c r="LN80">
        <v>0</v>
      </c>
      <c r="LO80">
        <v>0</v>
      </c>
      <c r="LP80">
        <v>0</v>
      </c>
      <c r="LQ80">
        <v>0</v>
      </c>
      <c r="LR80">
        <v>0</v>
      </c>
      <c r="LS80">
        <v>0</v>
      </c>
      <c r="LT80">
        <v>0</v>
      </c>
      <c r="LU80">
        <v>0</v>
      </c>
      <c r="LV80">
        <v>0</v>
      </c>
      <c r="LW80">
        <f t="shared" si="73"/>
        <v>0</v>
      </c>
      <c r="LX80">
        <v>646</v>
      </c>
      <c r="LY80">
        <v>651</v>
      </c>
      <c r="LZ80">
        <v>898</v>
      </c>
      <c r="MA80">
        <v>645</v>
      </c>
      <c r="MB80">
        <v>688</v>
      </c>
      <c r="MC80">
        <v>678</v>
      </c>
      <c r="MD80">
        <v>690</v>
      </c>
      <c r="ME80">
        <v>562</v>
      </c>
      <c r="MF80">
        <v>593</v>
      </c>
      <c r="MG80">
        <v>703</v>
      </c>
      <c r="MH80">
        <v>706</v>
      </c>
      <c r="MI80">
        <v>698</v>
      </c>
      <c r="MJ80">
        <f t="shared" si="74"/>
        <v>8158</v>
      </c>
      <c r="MK80">
        <v>2588</v>
      </c>
      <c r="ML80">
        <v>2695</v>
      </c>
      <c r="MM80">
        <v>2707</v>
      </c>
      <c r="MN80">
        <v>2794</v>
      </c>
      <c r="MO80">
        <v>2927</v>
      </c>
      <c r="MP80">
        <v>2638</v>
      </c>
      <c r="MQ80">
        <v>2633</v>
      </c>
      <c r="MR80">
        <v>2558</v>
      </c>
      <c r="MS80">
        <v>3129</v>
      </c>
      <c r="MT80">
        <v>3257</v>
      </c>
      <c r="MU80">
        <v>2933</v>
      </c>
      <c r="MV80">
        <v>3195</v>
      </c>
      <c r="MW80">
        <f t="shared" si="75"/>
        <v>34054</v>
      </c>
      <c r="MX80">
        <v>0</v>
      </c>
      <c r="MY80">
        <v>0</v>
      </c>
      <c r="MZ80">
        <v>0</v>
      </c>
      <c r="NA80">
        <v>0</v>
      </c>
      <c r="NB80">
        <v>0</v>
      </c>
      <c r="NC80">
        <v>0</v>
      </c>
      <c r="ND80">
        <v>0</v>
      </c>
      <c r="NE80">
        <v>0</v>
      </c>
      <c r="NF80">
        <v>0</v>
      </c>
      <c r="NG80">
        <v>0</v>
      </c>
      <c r="NH80">
        <v>0</v>
      </c>
      <c r="NI80">
        <v>0</v>
      </c>
      <c r="NJ80">
        <f t="shared" si="76"/>
        <v>0</v>
      </c>
      <c r="NK80">
        <v>0</v>
      </c>
      <c r="NL80">
        <v>0</v>
      </c>
      <c r="NM80">
        <v>0</v>
      </c>
      <c r="NN80">
        <v>0</v>
      </c>
      <c r="NO80">
        <v>0</v>
      </c>
      <c r="NP80">
        <v>0</v>
      </c>
      <c r="NQ80">
        <v>0</v>
      </c>
      <c r="NR80">
        <v>0</v>
      </c>
      <c r="NS80">
        <v>0</v>
      </c>
      <c r="NT80">
        <v>0</v>
      </c>
      <c r="NU80">
        <v>0</v>
      </c>
      <c r="NV80">
        <v>0</v>
      </c>
      <c r="NW80">
        <f t="shared" si="77"/>
        <v>0</v>
      </c>
      <c r="NX80">
        <v>0</v>
      </c>
      <c r="NY80">
        <v>0</v>
      </c>
      <c r="NZ80">
        <v>0</v>
      </c>
      <c r="OA80">
        <v>0</v>
      </c>
      <c r="OB80">
        <v>0</v>
      </c>
      <c r="OC80">
        <v>0</v>
      </c>
      <c r="OD80">
        <v>0</v>
      </c>
      <c r="OE80">
        <v>0</v>
      </c>
      <c r="OF80">
        <v>0</v>
      </c>
      <c r="OG80">
        <v>0</v>
      </c>
      <c r="OH80">
        <v>0</v>
      </c>
      <c r="OI80">
        <v>0</v>
      </c>
      <c r="OJ80">
        <f t="shared" si="78"/>
        <v>0</v>
      </c>
      <c r="OK80">
        <v>9815</v>
      </c>
      <c r="OL80">
        <v>10172</v>
      </c>
      <c r="OM80">
        <v>9743</v>
      </c>
      <c r="ON80">
        <v>10361</v>
      </c>
      <c r="OO80">
        <v>10323</v>
      </c>
      <c r="OP80">
        <v>9832</v>
      </c>
      <c r="OQ80">
        <v>10718</v>
      </c>
      <c r="OR80">
        <v>9978</v>
      </c>
      <c r="OS80">
        <v>12478</v>
      </c>
      <c r="OT80">
        <v>13059</v>
      </c>
      <c r="OU80">
        <v>12587</v>
      </c>
      <c r="OV80">
        <v>14041</v>
      </c>
      <c r="OW80">
        <f t="shared" si="79"/>
        <v>133107</v>
      </c>
      <c r="OX80">
        <v>0</v>
      </c>
      <c r="OY80">
        <v>0</v>
      </c>
      <c r="OZ80">
        <v>0</v>
      </c>
      <c r="PA80">
        <v>0</v>
      </c>
      <c r="PB80">
        <v>0</v>
      </c>
      <c r="PC80">
        <v>0</v>
      </c>
      <c r="PD80">
        <v>0</v>
      </c>
      <c r="PE80">
        <v>0</v>
      </c>
      <c r="PF80">
        <v>0</v>
      </c>
      <c r="PG80">
        <v>0</v>
      </c>
      <c r="PH80">
        <v>0</v>
      </c>
      <c r="PI80">
        <v>0</v>
      </c>
      <c r="PJ80">
        <f t="shared" si="80"/>
        <v>0</v>
      </c>
      <c r="PK80">
        <v>0</v>
      </c>
      <c r="PL80">
        <v>0</v>
      </c>
      <c r="PM80">
        <v>0</v>
      </c>
      <c r="PN80">
        <v>0</v>
      </c>
      <c r="PO80">
        <v>0</v>
      </c>
      <c r="PP80">
        <v>0</v>
      </c>
      <c r="PQ80">
        <v>0</v>
      </c>
      <c r="PR80">
        <v>0</v>
      </c>
      <c r="PS80">
        <v>0</v>
      </c>
      <c r="PT80">
        <v>0</v>
      </c>
      <c r="PU80">
        <v>0</v>
      </c>
      <c r="PV80">
        <v>0</v>
      </c>
      <c r="PW80">
        <f t="shared" si="81"/>
        <v>0</v>
      </c>
      <c r="PX80">
        <v>0</v>
      </c>
      <c r="PY80">
        <v>0</v>
      </c>
      <c r="PZ80">
        <v>0</v>
      </c>
      <c r="QA80">
        <v>0</v>
      </c>
      <c r="QB80">
        <v>0</v>
      </c>
      <c r="QC80">
        <v>0</v>
      </c>
      <c r="QD80">
        <v>0</v>
      </c>
      <c r="QE80">
        <v>0</v>
      </c>
      <c r="QF80">
        <v>0</v>
      </c>
      <c r="QG80">
        <v>0</v>
      </c>
      <c r="QH80">
        <v>0</v>
      </c>
      <c r="QI80">
        <v>0</v>
      </c>
      <c r="QJ80">
        <f t="shared" si="82"/>
        <v>0</v>
      </c>
      <c r="QK80">
        <v>44369</v>
      </c>
      <c r="QL80">
        <v>45609</v>
      </c>
      <c r="QM80">
        <v>47225</v>
      </c>
      <c r="QN80">
        <v>52979</v>
      </c>
      <c r="QO80">
        <v>51599</v>
      </c>
      <c r="QP80">
        <v>47200</v>
      </c>
      <c r="QQ80">
        <v>50679</v>
      </c>
      <c r="QR80">
        <v>45325</v>
      </c>
      <c r="QS80">
        <v>39809</v>
      </c>
      <c r="QT80">
        <v>46233</v>
      </c>
      <c r="QU80">
        <v>53729</v>
      </c>
      <c r="QV80">
        <v>49658</v>
      </c>
      <c r="QW80">
        <f t="shared" si="83"/>
        <v>574414</v>
      </c>
      <c r="QX80">
        <v>0</v>
      </c>
      <c r="QY80">
        <v>0</v>
      </c>
      <c r="QZ80">
        <v>0</v>
      </c>
      <c r="RA80">
        <v>0</v>
      </c>
      <c r="RB80">
        <v>0</v>
      </c>
      <c r="RC80">
        <v>0</v>
      </c>
      <c r="RD80">
        <v>0</v>
      </c>
      <c r="RE80">
        <v>0</v>
      </c>
      <c r="RF80">
        <v>0</v>
      </c>
      <c r="RG80">
        <v>0</v>
      </c>
      <c r="RH80">
        <v>0</v>
      </c>
      <c r="RI80">
        <v>0</v>
      </c>
      <c r="RJ80">
        <f t="shared" si="84"/>
        <v>0</v>
      </c>
      <c r="RK80">
        <v>0</v>
      </c>
      <c r="RL80">
        <v>0</v>
      </c>
      <c r="RM80">
        <v>0</v>
      </c>
      <c r="RN80">
        <v>0</v>
      </c>
      <c r="RO80">
        <v>0</v>
      </c>
      <c r="RP80">
        <v>0</v>
      </c>
      <c r="RQ80">
        <v>0</v>
      </c>
      <c r="RR80">
        <v>0</v>
      </c>
      <c r="RS80">
        <v>0</v>
      </c>
      <c r="RT80">
        <v>0</v>
      </c>
      <c r="RU80">
        <v>0</v>
      </c>
      <c r="RV80">
        <v>0</v>
      </c>
      <c r="RW80">
        <f t="shared" si="85"/>
        <v>0</v>
      </c>
      <c r="RX80">
        <v>0</v>
      </c>
      <c r="RY80">
        <v>0</v>
      </c>
      <c r="RZ80">
        <v>0</v>
      </c>
      <c r="SA80">
        <v>0</v>
      </c>
      <c r="SB80">
        <v>0</v>
      </c>
      <c r="SC80">
        <v>0</v>
      </c>
      <c r="SD80">
        <v>0</v>
      </c>
      <c r="SE80">
        <v>0</v>
      </c>
      <c r="SF80">
        <v>0</v>
      </c>
      <c r="SG80">
        <v>0</v>
      </c>
      <c r="SH80">
        <v>0</v>
      </c>
      <c r="SI80">
        <v>0</v>
      </c>
      <c r="SJ80">
        <f t="shared" si="86"/>
        <v>0</v>
      </c>
      <c r="SK80">
        <v>1032</v>
      </c>
      <c r="SL80">
        <v>0</v>
      </c>
      <c r="SM80">
        <v>0</v>
      </c>
      <c r="SN80">
        <v>0</v>
      </c>
      <c r="SO80">
        <v>0</v>
      </c>
      <c r="SP80">
        <v>0</v>
      </c>
      <c r="SQ80">
        <v>0</v>
      </c>
      <c r="SR80">
        <v>0</v>
      </c>
      <c r="SS80">
        <v>0</v>
      </c>
      <c r="ST80">
        <v>0</v>
      </c>
      <c r="SU80">
        <v>0</v>
      </c>
      <c r="SV80">
        <v>0</v>
      </c>
      <c r="SW80">
        <f t="shared" si="87"/>
        <v>1032</v>
      </c>
      <c r="SX80" s="1" t="s">
        <v>1405</v>
      </c>
      <c r="SY80" s="3">
        <v>176</v>
      </c>
      <c r="SZ80" s="3">
        <v>173</v>
      </c>
      <c r="TA80" s="3">
        <v>167</v>
      </c>
      <c r="TB80" s="3">
        <v>164</v>
      </c>
      <c r="TC80" s="3">
        <v>163</v>
      </c>
      <c r="TD80" s="3">
        <v>172</v>
      </c>
      <c r="TE80" s="3">
        <v>191</v>
      </c>
      <c r="TF80" s="3">
        <v>162</v>
      </c>
      <c r="TG80" s="3">
        <v>150</v>
      </c>
      <c r="TH80" s="3">
        <v>185</v>
      </c>
      <c r="TI80" s="3">
        <v>161</v>
      </c>
      <c r="TJ80" s="3">
        <v>188</v>
      </c>
      <c r="TK80" s="3">
        <f>ROUND(SUM(SY80:TJ80),0)</f>
        <v>2052</v>
      </c>
      <c r="TL80" s="3">
        <v>0</v>
      </c>
      <c r="TM80" s="3">
        <v>0</v>
      </c>
      <c r="TN80" s="3">
        <v>0</v>
      </c>
      <c r="TO80" s="3">
        <v>0</v>
      </c>
      <c r="TP80" s="3">
        <v>0</v>
      </c>
      <c r="TQ80" s="3">
        <v>0</v>
      </c>
      <c r="TR80" s="3">
        <v>0</v>
      </c>
      <c r="TS80" s="3">
        <v>0</v>
      </c>
      <c r="TT80" s="3">
        <v>0</v>
      </c>
      <c r="TU80" s="3">
        <v>0</v>
      </c>
      <c r="TV80" s="3">
        <v>0</v>
      </c>
      <c r="TW80" s="3">
        <v>0</v>
      </c>
      <c r="TX80" s="3">
        <f t="shared" si="89"/>
        <v>0</v>
      </c>
      <c r="TY80">
        <v>128</v>
      </c>
      <c r="TZ80">
        <v>0</v>
      </c>
      <c r="UA80">
        <v>0</v>
      </c>
      <c r="UB80">
        <v>0</v>
      </c>
    </row>
    <row r="81" spans="1:548" ht="16.5" customHeight="1" x14ac:dyDescent="0.35">
      <c r="A81" t="s">
        <v>1532</v>
      </c>
      <c r="B81" t="s">
        <v>2865</v>
      </c>
      <c r="C81">
        <v>19129</v>
      </c>
      <c r="D81">
        <v>5999</v>
      </c>
      <c r="E81">
        <v>2592</v>
      </c>
      <c r="F81">
        <v>10538</v>
      </c>
      <c r="G81">
        <v>131</v>
      </c>
      <c r="H81">
        <v>137</v>
      </c>
      <c r="I81">
        <v>122</v>
      </c>
      <c r="J81">
        <v>140</v>
      </c>
      <c r="K81">
        <v>150</v>
      </c>
      <c r="L81">
        <v>149</v>
      </c>
      <c r="M81">
        <v>122</v>
      </c>
      <c r="N81">
        <v>105</v>
      </c>
      <c r="O81">
        <v>112</v>
      </c>
      <c r="P81">
        <v>87</v>
      </c>
      <c r="Q81">
        <v>98</v>
      </c>
      <c r="R81">
        <v>132</v>
      </c>
      <c r="S81">
        <f t="shared" si="45"/>
        <v>1485</v>
      </c>
      <c r="T81">
        <v>61</v>
      </c>
      <c r="U81">
        <v>50</v>
      </c>
      <c r="V81">
        <v>35</v>
      </c>
      <c r="W81">
        <v>65</v>
      </c>
      <c r="X81">
        <v>80</v>
      </c>
      <c r="Y81">
        <v>55</v>
      </c>
      <c r="Z81">
        <v>50</v>
      </c>
      <c r="AA81">
        <v>35</v>
      </c>
      <c r="AB81">
        <v>40</v>
      </c>
      <c r="AC81">
        <v>35</v>
      </c>
      <c r="AD81">
        <v>48</v>
      </c>
      <c r="AE81">
        <v>55</v>
      </c>
      <c r="AF81">
        <f t="shared" si="46"/>
        <v>609</v>
      </c>
      <c r="AG81">
        <v>2</v>
      </c>
      <c r="AH81">
        <v>2</v>
      </c>
      <c r="AI81">
        <v>2</v>
      </c>
      <c r="AJ81">
        <v>5</v>
      </c>
      <c r="AK81">
        <v>5</v>
      </c>
      <c r="AL81">
        <v>4</v>
      </c>
      <c r="AM81">
        <v>2</v>
      </c>
      <c r="AN81">
        <v>2</v>
      </c>
      <c r="AO81">
        <v>2</v>
      </c>
      <c r="AP81">
        <v>2</v>
      </c>
      <c r="AQ81">
        <v>2</v>
      </c>
      <c r="AR81">
        <v>5</v>
      </c>
      <c r="AS81">
        <f t="shared" si="47"/>
        <v>35</v>
      </c>
      <c r="AT81">
        <v>68</v>
      </c>
      <c r="AU81">
        <v>85</v>
      </c>
      <c r="AV81">
        <v>85</v>
      </c>
      <c r="AW81">
        <v>70</v>
      </c>
      <c r="AX81">
        <v>65</v>
      </c>
      <c r="AY81">
        <v>90</v>
      </c>
      <c r="AZ81">
        <v>70</v>
      </c>
      <c r="BA81">
        <v>68</v>
      </c>
      <c r="BB81">
        <v>70</v>
      </c>
      <c r="BC81">
        <v>50</v>
      </c>
      <c r="BD81">
        <v>48</v>
      </c>
      <c r="BE81">
        <v>72</v>
      </c>
      <c r="BF81">
        <f t="shared" si="48"/>
        <v>841</v>
      </c>
      <c r="BG81">
        <v>0</v>
      </c>
      <c r="BH81">
        <v>0</v>
      </c>
      <c r="BI81">
        <v>0</v>
      </c>
      <c r="BJ81">
        <v>0</v>
      </c>
      <c r="BK81">
        <v>0</v>
      </c>
      <c r="BL81">
        <v>0</v>
      </c>
      <c r="BM81">
        <v>0</v>
      </c>
      <c r="BN81">
        <v>0</v>
      </c>
      <c r="BO81">
        <v>0</v>
      </c>
      <c r="BP81">
        <v>0</v>
      </c>
      <c r="BQ81">
        <v>0</v>
      </c>
      <c r="BR81">
        <v>0</v>
      </c>
      <c r="BS81">
        <f t="shared" si="49"/>
        <v>0</v>
      </c>
      <c r="BT81">
        <v>0</v>
      </c>
      <c r="BU81">
        <v>0</v>
      </c>
      <c r="BV81">
        <v>0</v>
      </c>
      <c r="BW81">
        <v>0</v>
      </c>
      <c r="BX81">
        <v>0</v>
      </c>
      <c r="BY81">
        <v>0</v>
      </c>
      <c r="BZ81">
        <v>0</v>
      </c>
      <c r="CA81">
        <v>0</v>
      </c>
      <c r="CB81">
        <v>0</v>
      </c>
      <c r="CC81">
        <v>0</v>
      </c>
      <c r="CD81">
        <v>0</v>
      </c>
      <c r="CE81">
        <v>0</v>
      </c>
      <c r="CF81">
        <f t="shared" si="50"/>
        <v>0</v>
      </c>
      <c r="CG81">
        <v>0</v>
      </c>
      <c r="CH81">
        <v>0</v>
      </c>
      <c r="CI81">
        <v>0</v>
      </c>
      <c r="CJ81">
        <v>0</v>
      </c>
      <c r="CK81">
        <v>0</v>
      </c>
      <c r="CL81">
        <v>0</v>
      </c>
      <c r="CM81">
        <v>0</v>
      </c>
      <c r="CN81">
        <v>0</v>
      </c>
      <c r="CO81">
        <v>0</v>
      </c>
      <c r="CP81">
        <v>0</v>
      </c>
      <c r="CQ81">
        <v>0</v>
      </c>
      <c r="CR81">
        <v>0</v>
      </c>
      <c r="CS81">
        <f t="shared" si="51"/>
        <v>0</v>
      </c>
      <c r="CT81">
        <v>0</v>
      </c>
      <c r="CU81">
        <v>0</v>
      </c>
      <c r="CV81">
        <v>0</v>
      </c>
      <c r="CW81">
        <v>0</v>
      </c>
      <c r="CX81">
        <v>0</v>
      </c>
      <c r="CY81">
        <v>0</v>
      </c>
      <c r="CZ81">
        <v>0</v>
      </c>
      <c r="DA81">
        <v>0</v>
      </c>
      <c r="DB81">
        <v>0</v>
      </c>
      <c r="DC81">
        <v>0</v>
      </c>
      <c r="DD81">
        <v>0</v>
      </c>
      <c r="DE81">
        <v>0</v>
      </c>
      <c r="DF81">
        <f t="shared" si="52"/>
        <v>0</v>
      </c>
      <c r="DG81">
        <v>0</v>
      </c>
      <c r="DH81">
        <v>0</v>
      </c>
      <c r="DI81">
        <v>0</v>
      </c>
      <c r="DJ81">
        <v>0</v>
      </c>
      <c r="DK81">
        <v>0</v>
      </c>
      <c r="DL81">
        <v>0</v>
      </c>
      <c r="DM81">
        <v>0</v>
      </c>
      <c r="DN81">
        <v>0</v>
      </c>
      <c r="DO81">
        <v>0</v>
      </c>
      <c r="DP81">
        <v>0</v>
      </c>
      <c r="DQ81">
        <v>0</v>
      </c>
      <c r="DR81">
        <v>0</v>
      </c>
      <c r="DS81">
        <f t="shared" si="53"/>
        <v>0</v>
      </c>
      <c r="DT81">
        <v>0</v>
      </c>
      <c r="DU81">
        <v>0</v>
      </c>
      <c r="DV81">
        <v>0</v>
      </c>
      <c r="DW81">
        <v>0</v>
      </c>
      <c r="DX81">
        <v>0</v>
      </c>
      <c r="DY81">
        <v>0</v>
      </c>
      <c r="DZ81">
        <v>0</v>
      </c>
      <c r="EA81">
        <v>0</v>
      </c>
      <c r="EB81">
        <v>0</v>
      </c>
      <c r="EC81">
        <v>0</v>
      </c>
      <c r="ED81">
        <v>0</v>
      </c>
      <c r="EE81">
        <v>0</v>
      </c>
      <c r="EF81">
        <f t="shared" si="54"/>
        <v>0</v>
      </c>
      <c r="EG81">
        <f t="shared" si="55"/>
        <v>1485</v>
      </c>
      <c r="EH81">
        <f t="shared" si="56"/>
        <v>0</v>
      </c>
      <c r="EI81">
        <v>2862</v>
      </c>
      <c r="EJ81">
        <v>4807</v>
      </c>
      <c r="EK81">
        <v>3613</v>
      </c>
      <c r="EL81">
        <v>8388</v>
      </c>
      <c r="EM81">
        <v>4557</v>
      </c>
      <c r="EN81">
        <v>3936</v>
      </c>
      <c r="EO81">
        <v>4301</v>
      </c>
      <c r="EP81">
        <v>5511</v>
      </c>
      <c r="EQ81">
        <v>3590</v>
      </c>
      <c r="ER81">
        <v>2680</v>
      </c>
      <c r="ES81">
        <v>4025</v>
      </c>
      <c r="ET81">
        <v>5686</v>
      </c>
      <c r="EU81">
        <f t="shared" si="57"/>
        <v>53956</v>
      </c>
      <c r="EV81">
        <v>0</v>
      </c>
      <c r="EW81">
        <v>0</v>
      </c>
      <c r="EX81">
        <v>0</v>
      </c>
      <c r="EY81">
        <v>0</v>
      </c>
      <c r="EZ81">
        <v>0</v>
      </c>
      <c r="FA81">
        <v>0</v>
      </c>
      <c r="FB81">
        <v>0</v>
      </c>
      <c r="FC81">
        <v>0</v>
      </c>
      <c r="FD81">
        <v>0</v>
      </c>
      <c r="FE81">
        <v>0</v>
      </c>
      <c r="FF81">
        <v>0</v>
      </c>
      <c r="FG81">
        <v>0</v>
      </c>
      <c r="FH81">
        <f t="shared" si="58"/>
        <v>0</v>
      </c>
      <c r="FI81">
        <v>0</v>
      </c>
      <c r="FJ81">
        <v>0</v>
      </c>
      <c r="FK81">
        <v>0</v>
      </c>
      <c r="FL81">
        <v>0</v>
      </c>
      <c r="FM81">
        <v>0</v>
      </c>
      <c r="FN81">
        <v>0</v>
      </c>
      <c r="FO81">
        <v>0</v>
      </c>
      <c r="FP81">
        <v>0</v>
      </c>
      <c r="FQ81">
        <v>0</v>
      </c>
      <c r="FR81">
        <v>0</v>
      </c>
      <c r="FS81">
        <v>0</v>
      </c>
      <c r="FT81">
        <v>0</v>
      </c>
      <c r="FU81">
        <f t="shared" si="59"/>
        <v>0</v>
      </c>
      <c r="FV81">
        <v>2862</v>
      </c>
      <c r="FW81">
        <v>4807</v>
      </c>
      <c r="FX81">
        <v>3613</v>
      </c>
      <c r="FY81">
        <v>8388</v>
      </c>
      <c r="FZ81">
        <v>4557</v>
      </c>
      <c r="GA81">
        <v>3936</v>
      </c>
      <c r="GB81">
        <v>4301</v>
      </c>
      <c r="GC81">
        <v>5511</v>
      </c>
      <c r="GD81">
        <v>3590</v>
      </c>
      <c r="GE81">
        <v>2680</v>
      </c>
      <c r="GF81">
        <v>4025</v>
      </c>
      <c r="GG81">
        <v>5686</v>
      </c>
      <c r="GH81">
        <f t="shared" si="60"/>
        <v>53956</v>
      </c>
      <c r="GI81">
        <v>0</v>
      </c>
      <c r="GJ81">
        <v>0</v>
      </c>
      <c r="GK81">
        <v>0</v>
      </c>
      <c r="GL81">
        <v>0</v>
      </c>
      <c r="GM81">
        <v>0</v>
      </c>
      <c r="GN81">
        <v>0</v>
      </c>
      <c r="GO81">
        <v>0</v>
      </c>
      <c r="GP81">
        <v>0</v>
      </c>
      <c r="GQ81">
        <v>0</v>
      </c>
      <c r="GR81">
        <v>0</v>
      </c>
      <c r="GS81">
        <v>0</v>
      </c>
      <c r="GT81">
        <v>0</v>
      </c>
      <c r="GU81">
        <f t="shared" si="61"/>
        <v>0</v>
      </c>
      <c r="GV81">
        <v>0</v>
      </c>
      <c r="GW81">
        <v>0</v>
      </c>
      <c r="GX81">
        <v>0</v>
      </c>
      <c r="GY81">
        <v>0</v>
      </c>
      <c r="GZ81">
        <v>0</v>
      </c>
      <c r="HA81">
        <v>0</v>
      </c>
      <c r="HB81">
        <v>0</v>
      </c>
      <c r="HC81">
        <v>0</v>
      </c>
      <c r="HD81">
        <v>0</v>
      </c>
      <c r="HE81">
        <v>0</v>
      </c>
      <c r="HF81">
        <v>0</v>
      </c>
      <c r="HG81">
        <v>0</v>
      </c>
      <c r="HH81">
        <f t="shared" si="62"/>
        <v>0</v>
      </c>
      <c r="HI81">
        <v>0</v>
      </c>
      <c r="HJ81">
        <v>0</v>
      </c>
      <c r="HK81">
        <v>0</v>
      </c>
      <c r="HL81">
        <v>0</v>
      </c>
      <c r="HM81">
        <v>0</v>
      </c>
      <c r="HN81">
        <v>0</v>
      </c>
      <c r="HO81">
        <v>0</v>
      </c>
      <c r="HP81">
        <v>0</v>
      </c>
      <c r="HQ81">
        <v>0</v>
      </c>
      <c r="HR81">
        <v>0</v>
      </c>
      <c r="HS81">
        <v>0</v>
      </c>
      <c r="HT81">
        <v>0</v>
      </c>
      <c r="HU81">
        <f t="shared" si="63"/>
        <v>0</v>
      </c>
      <c r="HV81">
        <v>0</v>
      </c>
      <c r="HW81">
        <v>0</v>
      </c>
      <c r="HX81">
        <v>0</v>
      </c>
      <c r="HY81">
        <v>0</v>
      </c>
      <c r="HZ81">
        <v>0</v>
      </c>
      <c r="IA81">
        <v>0</v>
      </c>
      <c r="IB81">
        <v>0</v>
      </c>
      <c r="IC81">
        <v>0</v>
      </c>
      <c r="ID81">
        <v>0</v>
      </c>
      <c r="IE81">
        <v>0</v>
      </c>
      <c r="IF81">
        <v>0</v>
      </c>
      <c r="IG81">
        <v>0</v>
      </c>
      <c r="IH81">
        <f t="shared" si="64"/>
        <v>0</v>
      </c>
      <c r="II81">
        <f t="shared" si="65"/>
        <v>53956</v>
      </c>
      <c r="IJ81">
        <f t="shared" si="66"/>
        <v>0</v>
      </c>
      <c r="IK81">
        <v>15887</v>
      </c>
      <c r="IL81">
        <v>16031</v>
      </c>
      <c r="IM81">
        <v>15774</v>
      </c>
      <c r="IN81">
        <v>18113</v>
      </c>
      <c r="IO81">
        <v>17408</v>
      </c>
      <c r="IP81">
        <v>16450</v>
      </c>
      <c r="IQ81">
        <v>17231</v>
      </c>
      <c r="IR81">
        <v>13948</v>
      </c>
      <c r="IS81">
        <v>12445</v>
      </c>
      <c r="IT81">
        <v>14914</v>
      </c>
      <c r="IU81">
        <v>14464</v>
      </c>
      <c r="IV81">
        <v>14295</v>
      </c>
      <c r="IW81">
        <f t="shared" si="67"/>
        <v>186960</v>
      </c>
      <c r="IX81">
        <v>0</v>
      </c>
      <c r="IY81">
        <v>0</v>
      </c>
      <c r="IZ81">
        <v>0</v>
      </c>
      <c r="JA81">
        <v>0</v>
      </c>
      <c r="JB81">
        <v>0</v>
      </c>
      <c r="JC81">
        <v>0</v>
      </c>
      <c r="JD81">
        <v>0</v>
      </c>
      <c r="JE81">
        <v>0</v>
      </c>
      <c r="JF81">
        <v>0</v>
      </c>
      <c r="JG81">
        <v>0</v>
      </c>
      <c r="JH81">
        <v>0</v>
      </c>
      <c r="JI81">
        <v>0</v>
      </c>
      <c r="JJ81">
        <f t="shared" si="68"/>
        <v>0</v>
      </c>
      <c r="JK81">
        <v>0</v>
      </c>
      <c r="JL81">
        <v>0</v>
      </c>
      <c r="JM81">
        <v>0</v>
      </c>
      <c r="JN81">
        <v>0</v>
      </c>
      <c r="JO81">
        <v>0</v>
      </c>
      <c r="JP81">
        <v>0</v>
      </c>
      <c r="JQ81">
        <v>0</v>
      </c>
      <c r="JR81">
        <v>0</v>
      </c>
      <c r="JS81">
        <v>0</v>
      </c>
      <c r="JT81">
        <v>0</v>
      </c>
      <c r="JU81">
        <v>0</v>
      </c>
      <c r="JV81">
        <v>0</v>
      </c>
      <c r="JW81">
        <f t="shared" si="69"/>
        <v>0</v>
      </c>
      <c r="JX81">
        <v>0</v>
      </c>
      <c r="JY81">
        <v>0</v>
      </c>
      <c r="JZ81">
        <v>0</v>
      </c>
      <c r="KA81">
        <v>0</v>
      </c>
      <c r="KB81">
        <v>0</v>
      </c>
      <c r="KC81">
        <v>0</v>
      </c>
      <c r="KD81">
        <v>0</v>
      </c>
      <c r="KE81">
        <v>0</v>
      </c>
      <c r="KF81">
        <v>0</v>
      </c>
      <c r="KG81">
        <v>0</v>
      </c>
      <c r="KH81">
        <v>0</v>
      </c>
      <c r="KI81">
        <v>0</v>
      </c>
      <c r="KJ81">
        <f t="shared" si="70"/>
        <v>0</v>
      </c>
      <c r="KK81">
        <v>247</v>
      </c>
      <c r="KL81">
        <v>361</v>
      </c>
      <c r="KM81">
        <v>277</v>
      </c>
      <c r="KN81">
        <v>330</v>
      </c>
      <c r="KO81">
        <v>329</v>
      </c>
      <c r="KP81">
        <v>350</v>
      </c>
      <c r="KQ81">
        <v>298</v>
      </c>
      <c r="KR81">
        <v>363</v>
      </c>
      <c r="KS81">
        <v>265</v>
      </c>
      <c r="KT81">
        <v>320</v>
      </c>
      <c r="KU81">
        <v>249</v>
      </c>
      <c r="KV81">
        <v>292</v>
      </c>
      <c r="KW81">
        <f t="shared" si="71"/>
        <v>3681</v>
      </c>
      <c r="KX81">
        <v>0</v>
      </c>
      <c r="KY81">
        <v>0</v>
      </c>
      <c r="KZ81">
        <v>0</v>
      </c>
      <c r="LA81">
        <v>0</v>
      </c>
      <c r="LB81">
        <v>0</v>
      </c>
      <c r="LC81">
        <v>0</v>
      </c>
      <c r="LD81">
        <v>0</v>
      </c>
      <c r="LE81">
        <v>0</v>
      </c>
      <c r="LF81">
        <v>0</v>
      </c>
      <c r="LG81">
        <v>0</v>
      </c>
      <c r="LH81">
        <v>0</v>
      </c>
      <c r="LI81">
        <v>0</v>
      </c>
      <c r="LJ81">
        <f t="shared" si="72"/>
        <v>0</v>
      </c>
      <c r="LK81">
        <v>0</v>
      </c>
      <c r="LL81">
        <v>0</v>
      </c>
      <c r="LM81">
        <v>0</v>
      </c>
      <c r="LN81">
        <v>0</v>
      </c>
      <c r="LO81">
        <v>0</v>
      </c>
      <c r="LP81">
        <v>0</v>
      </c>
      <c r="LQ81">
        <v>0</v>
      </c>
      <c r="LR81">
        <v>0</v>
      </c>
      <c r="LS81">
        <v>0</v>
      </c>
      <c r="LT81">
        <v>0</v>
      </c>
      <c r="LU81">
        <v>0</v>
      </c>
      <c r="LV81">
        <v>0</v>
      </c>
      <c r="LW81">
        <f t="shared" si="73"/>
        <v>0</v>
      </c>
      <c r="LX81">
        <v>0</v>
      </c>
      <c r="LY81">
        <v>0</v>
      </c>
      <c r="LZ81">
        <v>0</v>
      </c>
      <c r="MA81">
        <v>0</v>
      </c>
      <c r="MB81">
        <v>0</v>
      </c>
      <c r="MC81">
        <v>0</v>
      </c>
      <c r="MD81">
        <v>0</v>
      </c>
      <c r="ME81">
        <v>0</v>
      </c>
      <c r="MF81">
        <v>0</v>
      </c>
      <c r="MG81">
        <v>0</v>
      </c>
      <c r="MH81">
        <v>0</v>
      </c>
      <c r="MI81">
        <v>0</v>
      </c>
      <c r="MJ81">
        <f t="shared" si="74"/>
        <v>0</v>
      </c>
      <c r="MK81">
        <v>1283</v>
      </c>
      <c r="ML81">
        <v>1296</v>
      </c>
      <c r="MM81">
        <v>1177</v>
      </c>
      <c r="MN81">
        <v>1327</v>
      </c>
      <c r="MO81">
        <v>1294</v>
      </c>
      <c r="MP81">
        <v>1168</v>
      </c>
      <c r="MQ81">
        <v>1287</v>
      </c>
      <c r="MR81">
        <v>1143</v>
      </c>
      <c r="MS81">
        <v>1219</v>
      </c>
      <c r="MT81">
        <v>1320</v>
      </c>
      <c r="MU81">
        <v>1136</v>
      </c>
      <c r="MV81">
        <v>1273</v>
      </c>
      <c r="MW81">
        <f t="shared" si="75"/>
        <v>14923</v>
      </c>
      <c r="MX81">
        <v>0</v>
      </c>
      <c r="MY81">
        <v>0</v>
      </c>
      <c r="MZ81">
        <v>0</v>
      </c>
      <c r="NA81">
        <v>0</v>
      </c>
      <c r="NB81">
        <v>0</v>
      </c>
      <c r="NC81">
        <v>0</v>
      </c>
      <c r="ND81">
        <v>0</v>
      </c>
      <c r="NE81">
        <v>0</v>
      </c>
      <c r="NF81">
        <v>0</v>
      </c>
      <c r="NG81">
        <v>0</v>
      </c>
      <c r="NH81">
        <v>0</v>
      </c>
      <c r="NI81">
        <v>0</v>
      </c>
      <c r="NJ81">
        <f t="shared" si="76"/>
        <v>0</v>
      </c>
      <c r="NK81">
        <v>0</v>
      </c>
      <c r="NL81">
        <v>0</v>
      </c>
      <c r="NM81">
        <v>0</v>
      </c>
      <c r="NN81">
        <v>0</v>
      </c>
      <c r="NO81">
        <v>0</v>
      </c>
      <c r="NP81">
        <v>0</v>
      </c>
      <c r="NQ81">
        <v>0</v>
      </c>
      <c r="NR81">
        <v>0</v>
      </c>
      <c r="NS81">
        <v>0</v>
      </c>
      <c r="NT81">
        <v>0</v>
      </c>
      <c r="NU81">
        <v>0</v>
      </c>
      <c r="NV81">
        <v>0</v>
      </c>
      <c r="NW81">
        <f t="shared" si="77"/>
        <v>0</v>
      </c>
      <c r="NX81">
        <v>0</v>
      </c>
      <c r="NY81">
        <v>0</v>
      </c>
      <c r="NZ81">
        <v>0</v>
      </c>
      <c r="OA81">
        <v>0</v>
      </c>
      <c r="OB81">
        <v>0</v>
      </c>
      <c r="OC81">
        <v>0</v>
      </c>
      <c r="OD81">
        <v>0</v>
      </c>
      <c r="OE81">
        <v>0</v>
      </c>
      <c r="OF81">
        <v>0</v>
      </c>
      <c r="OG81">
        <v>0</v>
      </c>
      <c r="OH81">
        <v>0</v>
      </c>
      <c r="OI81">
        <v>0</v>
      </c>
      <c r="OJ81">
        <f t="shared" si="78"/>
        <v>0</v>
      </c>
      <c r="OK81">
        <v>1614</v>
      </c>
      <c r="OL81">
        <v>1731</v>
      </c>
      <c r="OM81">
        <v>1592</v>
      </c>
      <c r="ON81">
        <v>1777</v>
      </c>
      <c r="OO81">
        <v>1827</v>
      </c>
      <c r="OP81">
        <v>1708</v>
      </c>
      <c r="OQ81">
        <v>1709</v>
      </c>
      <c r="OR81">
        <v>1816</v>
      </c>
      <c r="OS81">
        <v>1852</v>
      </c>
      <c r="OT81">
        <v>2022</v>
      </c>
      <c r="OU81">
        <v>1984</v>
      </c>
      <c r="OV81">
        <v>2291</v>
      </c>
      <c r="OW81">
        <f t="shared" si="79"/>
        <v>21923</v>
      </c>
      <c r="OX81">
        <v>0</v>
      </c>
      <c r="OY81">
        <v>0</v>
      </c>
      <c r="OZ81">
        <v>0</v>
      </c>
      <c r="PA81">
        <v>0</v>
      </c>
      <c r="PB81">
        <v>0</v>
      </c>
      <c r="PC81">
        <v>0</v>
      </c>
      <c r="PD81">
        <v>0</v>
      </c>
      <c r="PE81">
        <v>0</v>
      </c>
      <c r="PF81">
        <v>0</v>
      </c>
      <c r="PG81">
        <v>0</v>
      </c>
      <c r="PH81">
        <v>0</v>
      </c>
      <c r="PI81">
        <v>0</v>
      </c>
      <c r="PJ81">
        <f t="shared" si="80"/>
        <v>0</v>
      </c>
      <c r="PK81">
        <v>0</v>
      </c>
      <c r="PL81">
        <v>0</v>
      </c>
      <c r="PM81">
        <v>0</v>
      </c>
      <c r="PN81">
        <v>0</v>
      </c>
      <c r="PO81">
        <v>0</v>
      </c>
      <c r="PP81">
        <v>0</v>
      </c>
      <c r="PQ81">
        <v>0</v>
      </c>
      <c r="PR81">
        <v>0</v>
      </c>
      <c r="PS81">
        <v>0</v>
      </c>
      <c r="PT81">
        <v>0</v>
      </c>
      <c r="PU81">
        <v>0</v>
      </c>
      <c r="PV81">
        <v>0</v>
      </c>
      <c r="PW81">
        <f t="shared" si="81"/>
        <v>0</v>
      </c>
      <c r="PX81">
        <v>0</v>
      </c>
      <c r="PY81">
        <v>0</v>
      </c>
      <c r="PZ81">
        <v>0</v>
      </c>
      <c r="QA81">
        <v>0</v>
      </c>
      <c r="QB81">
        <v>0</v>
      </c>
      <c r="QC81">
        <v>0</v>
      </c>
      <c r="QD81">
        <v>0</v>
      </c>
      <c r="QE81">
        <v>0</v>
      </c>
      <c r="QF81">
        <v>0</v>
      </c>
      <c r="QG81">
        <v>0</v>
      </c>
      <c r="QH81">
        <v>0</v>
      </c>
      <c r="QI81">
        <v>0</v>
      </c>
      <c r="QJ81">
        <f t="shared" si="82"/>
        <v>0</v>
      </c>
      <c r="QK81">
        <v>21588</v>
      </c>
      <c r="QL81">
        <v>22621</v>
      </c>
      <c r="QM81">
        <v>19873</v>
      </c>
      <c r="QN81">
        <v>23853</v>
      </c>
      <c r="QO81">
        <v>26291</v>
      </c>
      <c r="QP81">
        <v>21360</v>
      </c>
      <c r="QQ81">
        <v>24424</v>
      </c>
      <c r="QR81">
        <v>21775</v>
      </c>
      <c r="QS81">
        <v>19232</v>
      </c>
      <c r="QT81">
        <v>18821</v>
      </c>
      <c r="QU81">
        <v>19909</v>
      </c>
      <c r="QV81">
        <v>17958</v>
      </c>
      <c r="QW81">
        <f t="shared" si="83"/>
        <v>257705</v>
      </c>
      <c r="QX81">
        <v>3287</v>
      </c>
      <c r="QY81">
        <v>3287</v>
      </c>
      <c r="QZ81">
        <v>3287</v>
      </c>
      <c r="RA81">
        <v>3287</v>
      </c>
      <c r="RB81">
        <v>3287</v>
      </c>
      <c r="RC81">
        <v>3287</v>
      </c>
      <c r="RD81">
        <v>3287</v>
      </c>
      <c r="RE81">
        <v>3287</v>
      </c>
      <c r="RF81">
        <v>3287</v>
      </c>
      <c r="RG81">
        <v>3287</v>
      </c>
      <c r="RH81">
        <v>3287</v>
      </c>
      <c r="RI81">
        <v>3287</v>
      </c>
      <c r="RJ81">
        <f t="shared" si="84"/>
        <v>39444</v>
      </c>
      <c r="RK81">
        <v>0</v>
      </c>
      <c r="RL81">
        <v>0</v>
      </c>
      <c r="RM81">
        <v>0</v>
      </c>
      <c r="RN81">
        <v>0</v>
      </c>
      <c r="RO81">
        <v>0</v>
      </c>
      <c r="RP81">
        <v>0</v>
      </c>
      <c r="RQ81">
        <v>0</v>
      </c>
      <c r="RR81">
        <v>0</v>
      </c>
      <c r="RS81">
        <v>0</v>
      </c>
      <c r="RT81">
        <v>0</v>
      </c>
      <c r="RU81">
        <v>0</v>
      </c>
      <c r="RV81">
        <v>0</v>
      </c>
      <c r="RW81">
        <f t="shared" si="85"/>
        <v>0</v>
      </c>
      <c r="RX81">
        <v>0</v>
      </c>
      <c r="RY81">
        <v>0</v>
      </c>
      <c r="RZ81">
        <v>0</v>
      </c>
      <c r="SA81">
        <v>0</v>
      </c>
      <c r="SB81">
        <v>0</v>
      </c>
      <c r="SC81">
        <v>0</v>
      </c>
      <c r="SD81">
        <v>0</v>
      </c>
      <c r="SE81">
        <v>0</v>
      </c>
      <c r="SF81">
        <v>0</v>
      </c>
      <c r="SG81">
        <v>0</v>
      </c>
      <c r="SH81">
        <v>0</v>
      </c>
      <c r="SI81">
        <v>0</v>
      </c>
      <c r="SJ81">
        <f t="shared" si="86"/>
        <v>0</v>
      </c>
      <c r="SK81">
        <v>944</v>
      </c>
      <c r="SL81">
        <v>1162</v>
      </c>
      <c r="SM81">
        <v>1013</v>
      </c>
      <c r="SN81">
        <v>1447</v>
      </c>
      <c r="SO81">
        <v>1413</v>
      </c>
      <c r="SP81">
        <v>1393</v>
      </c>
      <c r="SQ81">
        <v>1379</v>
      </c>
      <c r="SR81">
        <v>1502</v>
      </c>
      <c r="SS81">
        <v>924</v>
      </c>
      <c r="ST81">
        <v>1179</v>
      </c>
      <c r="SU81">
        <v>1109</v>
      </c>
      <c r="SV81">
        <v>1280</v>
      </c>
      <c r="SW81">
        <f t="shared" si="87"/>
        <v>14745</v>
      </c>
      <c r="SX81">
        <v>0</v>
      </c>
      <c r="SY81">
        <v>3732</v>
      </c>
      <c r="SZ81">
        <v>4066</v>
      </c>
      <c r="TA81">
        <v>3887</v>
      </c>
      <c r="TB81">
        <v>4112</v>
      </c>
      <c r="TC81">
        <v>3913</v>
      </c>
      <c r="TD81">
        <v>4010</v>
      </c>
      <c r="TE81">
        <v>4247</v>
      </c>
      <c r="TF81">
        <v>3761</v>
      </c>
      <c r="TG81">
        <v>3183</v>
      </c>
      <c r="TH81">
        <v>3304</v>
      </c>
      <c r="TI81">
        <v>3628</v>
      </c>
      <c r="TJ81">
        <v>3665</v>
      </c>
      <c r="TK81">
        <f t="shared" si="88"/>
        <v>45508</v>
      </c>
      <c r="TL81">
        <v>7653</v>
      </c>
      <c r="TM81">
        <v>7445</v>
      </c>
      <c r="TN81">
        <v>7416</v>
      </c>
      <c r="TO81">
        <v>6817</v>
      </c>
      <c r="TP81">
        <v>6317</v>
      </c>
      <c r="TQ81">
        <v>6534</v>
      </c>
      <c r="TR81">
        <v>7531</v>
      </c>
      <c r="TS81">
        <v>6603</v>
      </c>
      <c r="TT81">
        <v>4930</v>
      </c>
      <c r="TU81">
        <v>6596</v>
      </c>
      <c r="TV81">
        <v>6997</v>
      </c>
      <c r="TW81">
        <v>7093</v>
      </c>
      <c r="TX81">
        <f t="shared" si="89"/>
        <v>81932</v>
      </c>
      <c r="TY81">
        <v>104</v>
      </c>
      <c r="TZ81">
        <v>0</v>
      </c>
      <c r="UA81">
        <v>0</v>
      </c>
      <c r="UB81">
        <v>0</v>
      </c>
    </row>
    <row r="82" spans="1:548" ht="16.5" customHeight="1" x14ac:dyDescent="0.35">
      <c r="A82" t="s">
        <v>1476</v>
      </c>
      <c r="B82" t="s">
        <v>2862</v>
      </c>
      <c r="C82">
        <v>13684</v>
      </c>
      <c r="D82">
        <v>4781</v>
      </c>
      <c r="E82">
        <v>970</v>
      </c>
      <c r="F82">
        <v>7933</v>
      </c>
      <c r="G82">
        <v>81</v>
      </c>
      <c r="H82">
        <v>84</v>
      </c>
      <c r="I82">
        <v>78</v>
      </c>
      <c r="J82">
        <v>119</v>
      </c>
      <c r="K82">
        <v>305</v>
      </c>
      <c r="L82">
        <v>54</v>
      </c>
      <c r="M82">
        <v>96</v>
      </c>
      <c r="N82">
        <v>68</v>
      </c>
      <c r="O82">
        <v>33</v>
      </c>
      <c r="P82">
        <v>69</v>
      </c>
      <c r="Q82">
        <v>67</v>
      </c>
      <c r="R82">
        <v>97</v>
      </c>
      <c r="S82">
        <f t="shared" si="45"/>
        <v>1151</v>
      </c>
      <c r="T82">
        <v>0</v>
      </c>
      <c r="U82">
        <v>0</v>
      </c>
      <c r="V82">
        <v>0</v>
      </c>
      <c r="W82">
        <v>0</v>
      </c>
      <c r="X82">
        <v>0</v>
      </c>
      <c r="Y82">
        <v>0</v>
      </c>
      <c r="Z82">
        <v>0</v>
      </c>
      <c r="AA82">
        <v>0</v>
      </c>
      <c r="AB82">
        <v>0</v>
      </c>
      <c r="AC82">
        <v>0</v>
      </c>
      <c r="AD82">
        <v>0</v>
      </c>
      <c r="AE82">
        <v>0</v>
      </c>
      <c r="AF82">
        <f t="shared" si="46"/>
        <v>0</v>
      </c>
      <c r="AG82">
        <v>0</v>
      </c>
      <c r="AH82">
        <v>0</v>
      </c>
      <c r="AI82">
        <v>0</v>
      </c>
      <c r="AJ82">
        <v>0</v>
      </c>
      <c r="AK82">
        <v>0</v>
      </c>
      <c r="AL82">
        <v>0</v>
      </c>
      <c r="AM82">
        <v>0</v>
      </c>
      <c r="AN82">
        <v>0</v>
      </c>
      <c r="AO82">
        <v>0</v>
      </c>
      <c r="AP82">
        <v>0</v>
      </c>
      <c r="AQ82">
        <v>0</v>
      </c>
      <c r="AR82">
        <v>0</v>
      </c>
      <c r="AS82">
        <f t="shared" si="47"/>
        <v>0</v>
      </c>
      <c r="AT82">
        <v>0</v>
      </c>
      <c r="AU82">
        <v>0</v>
      </c>
      <c r="AV82">
        <v>0</v>
      </c>
      <c r="AW82">
        <v>0</v>
      </c>
      <c r="AX82">
        <v>0</v>
      </c>
      <c r="AY82">
        <v>0</v>
      </c>
      <c r="AZ82">
        <v>0</v>
      </c>
      <c r="BA82">
        <v>0</v>
      </c>
      <c r="BB82">
        <v>0</v>
      </c>
      <c r="BC82">
        <v>0</v>
      </c>
      <c r="BD82">
        <v>0</v>
      </c>
      <c r="BE82">
        <v>0</v>
      </c>
      <c r="BF82">
        <f t="shared" si="48"/>
        <v>0</v>
      </c>
      <c r="BG82">
        <v>0</v>
      </c>
      <c r="BH82">
        <v>0</v>
      </c>
      <c r="BI82">
        <v>0</v>
      </c>
      <c r="BJ82">
        <v>0</v>
      </c>
      <c r="BK82">
        <v>0</v>
      </c>
      <c r="BL82">
        <v>0</v>
      </c>
      <c r="BM82">
        <v>0</v>
      </c>
      <c r="BN82">
        <v>0</v>
      </c>
      <c r="BO82">
        <v>0</v>
      </c>
      <c r="BP82">
        <v>0</v>
      </c>
      <c r="BQ82">
        <v>0</v>
      </c>
      <c r="BR82">
        <v>0</v>
      </c>
      <c r="BS82">
        <f t="shared" si="49"/>
        <v>0</v>
      </c>
      <c r="BT82">
        <v>0</v>
      </c>
      <c r="BU82">
        <v>0</v>
      </c>
      <c r="BV82">
        <v>0</v>
      </c>
      <c r="BW82">
        <v>0</v>
      </c>
      <c r="BX82">
        <v>0</v>
      </c>
      <c r="BY82">
        <v>0</v>
      </c>
      <c r="BZ82">
        <v>0</v>
      </c>
      <c r="CA82">
        <v>0</v>
      </c>
      <c r="CB82">
        <v>0</v>
      </c>
      <c r="CC82">
        <v>0</v>
      </c>
      <c r="CD82">
        <v>0</v>
      </c>
      <c r="CE82">
        <v>0</v>
      </c>
      <c r="CF82">
        <f t="shared" si="50"/>
        <v>0</v>
      </c>
      <c r="CG82">
        <v>0</v>
      </c>
      <c r="CH82">
        <v>0</v>
      </c>
      <c r="CI82">
        <v>0</v>
      </c>
      <c r="CJ82">
        <v>0</v>
      </c>
      <c r="CK82">
        <v>0</v>
      </c>
      <c r="CL82">
        <v>0</v>
      </c>
      <c r="CM82">
        <v>0</v>
      </c>
      <c r="CN82">
        <v>0</v>
      </c>
      <c r="CO82">
        <v>0</v>
      </c>
      <c r="CP82">
        <v>0</v>
      </c>
      <c r="CQ82">
        <v>0</v>
      </c>
      <c r="CR82">
        <v>0</v>
      </c>
      <c r="CS82">
        <f t="shared" si="51"/>
        <v>0</v>
      </c>
      <c r="CT82">
        <v>0</v>
      </c>
      <c r="CU82">
        <v>0</v>
      </c>
      <c r="CV82">
        <v>0</v>
      </c>
      <c r="CW82">
        <v>0</v>
      </c>
      <c r="CX82">
        <v>0</v>
      </c>
      <c r="CY82">
        <v>0</v>
      </c>
      <c r="CZ82">
        <v>0</v>
      </c>
      <c r="DA82">
        <v>0</v>
      </c>
      <c r="DB82">
        <v>0</v>
      </c>
      <c r="DC82">
        <v>0</v>
      </c>
      <c r="DD82">
        <v>0</v>
      </c>
      <c r="DE82">
        <v>0</v>
      </c>
      <c r="DF82">
        <f t="shared" si="52"/>
        <v>0</v>
      </c>
      <c r="DG82">
        <v>0</v>
      </c>
      <c r="DH82">
        <v>0</v>
      </c>
      <c r="DI82">
        <v>0</v>
      </c>
      <c r="DJ82">
        <v>0</v>
      </c>
      <c r="DK82">
        <v>0</v>
      </c>
      <c r="DL82">
        <v>0</v>
      </c>
      <c r="DM82">
        <v>0</v>
      </c>
      <c r="DN82">
        <v>0</v>
      </c>
      <c r="DO82">
        <v>0</v>
      </c>
      <c r="DP82">
        <v>0</v>
      </c>
      <c r="DQ82">
        <v>0</v>
      </c>
      <c r="DR82">
        <v>0</v>
      </c>
      <c r="DS82">
        <f t="shared" si="53"/>
        <v>0</v>
      </c>
      <c r="DT82">
        <v>0</v>
      </c>
      <c r="DU82">
        <v>0</v>
      </c>
      <c r="DV82">
        <v>0</v>
      </c>
      <c r="DW82">
        <v>0</v>
      </c>
      <c r="DX82">
        <v>0</v>
      </c>
      <c r="DY82">
        <v>0</v>
      </c>
      <c r="DZ82">
        <v>0</v>
      </c>
      <c r="EA82">
        <v>0</v>
      </c>
      <c r="EB82">
        <v>0</v>
      </c>
      <c r="EC82">
        <v>0</v>
      </c>
      <c r="ED82">
        <v>0</v>
      </c>
      <c r="EE82">
        <v>0</v>
      </c>
      <c r="EF82">
        <f t="shared" si="54"/>
        <v>0</v>
      </c>
      <c r="EG82">
        <f t="shared" si="55"/>
        <v>0</v>
      </c>
      <c r="EH82">
        <f t="shared" si="56"/>
        <v>0</v>
      </c>
      <c r="EI82">
        <v>1171</v>
      </c>
      <c r="EJ82">
        <v>1366</v>
      </c>
      <c r="EK82">
        <v>1518</v>
      </c>
      <c r="EL82">
        <v>3293</v>
      </c>
      <c r="EM82">
        <v>3366</v>
      </c>
      <c r="EN82">
        <v>1534</v>
      </c>
      <c r="EO82">
        <v>1644</v>
      </c>
      <c r="EP82">
        <v>883</v>
      </c>
      <c r="EQ82">
        <v>598</v>
      </c>
      <c r="ER82">
        <v>1399</v>
      </c>
      <c r="ES82">
        <v>1594</v>
      </c>
      <c r="ET82">
        <v>2993</v>
      </c>
      <c r="EU82">
        <f t="shared" si="57"/>
        <v>21359</v>
      </c>
      <c r="EV82">
        <v>591</v>
      </c>
      <c r="EW82">
        <v>649</v>
      </c>
      <c r="EX82">
        <v>823</v>
      </c>
      <c r="EY82">
        <v>2371</v>
      </c>
      <c r="EZ82">
        <v>2396</v>
      </c>
      <c r="FA82">
        <v>689</v>
      </c>
      <c r="FB82">
        <v>890</v>
      </c>
      <c r="FC82">
        <v>758</v>
      </c>
      <c r="FD82">
        <v>367</v>
      </c>
      <c r="FE82">
        <v>662</v>
      </c>
      <c r="FF82">
        <v>630</v>
      </c>
      <c r="FG82">
        <v>1292</v>
      </c>
      <c r="FH82">
        <f t="shared" si="58"/>
        <v>12118</v>
      </c>
      <c r="FI82">
        <v>21</v>
      </c>
      <c r="FJ82">
        <v>40</v>
      </c>
      <c r="FK82">
        <v>17</v>
      </c>
      <c r="FL82">
        <v>36</v>
      </c>
      <c r="FM82">
        <v>39</v>
      </c>
      <c r="FN82">
        <v>195</v>
      </c>
      <c r="FO82">
        <v>41</v>
      </c>
      <c r="FP82">
        <v>4</v>
      </c>
      <c r="FQ82">
        <v>1</v>
      </c>
      <c r="FR82">
        <v>25</v>
      </c>
      <c r="FS82">
        <v>49</v>
      </c>
      <c r="FT82">
        <v>74</v>
      </c>
      <c r="FU82">
        <f t="shared" si="59"/>
        <v>542</v>
      </c>
      <c r="FV82">
        <v>559</v>
      </c>
      <c r="FW82">
        <v>677</v>
      </c>
      <c r="FX82">
        <v>678</v>
      </c>
      <c r="FY82">
        <v>886</v>
      </c>
      <c r="FZ82">
        <v>931</v>
      </c>
      <c r="GA82">
        <v>650</v>
      </c>
      <c r="GB82">
        <v>713</v>
      </c>
      <c r="GC82">
        <v>121</v>
      </c>
      <c r="GD82">
        <v>230</v>
      </c>
      <c r="GE82">
        <v>712</v>
      </c>
      <c r="GF82">
        <v>915</v>
      </c>
      <c r="GG82">
        <v>1627</v>
      </c>
      <c r="GH82">
        <f t="shared" si="60"/>
        <v>8699</v>
      </c>
      <c r="GI82">
        <v>0</v>
      </c>
      <c r="GJ82">
        <v>0</v>
      </c>
      <c r="GK82">
        <v>0</v>
      </c>
      <c r="GL82">
        <v>0</v>
      </c>
      <c r="GM82">
        <v>0</v>
      </c>
      <c r="GN82">
        <v>0</v>
      </c>
      <c r="GO82">
        <v>0</v>
      </c>
      <c r="GP82">
        <v>0</v>
      </c>
      <c r="GQ82">
        <v>0</v>
      </c>
      <c r="GR82">
        <v>0</v>
      </c>
      <c r="GS82">
        <v>0</v>
      </c>
      <c r="GT82">
        <v>0</v>
      </c>
      <c r="GU82">
        <f t="shared" si="61"/>
        <v>0</v>
      </c>
      <c r="GV82">
        <v>0</v>
      </c>
      <c r="GW82">
        <v>0</v>
      </c>
      <c r="GX82">
        <v>0</v>
      </c>
      <c r="GY82">
        <v>0</v>
      </c>
      <c r="GZ82">
        <v>0</v>
      </c>
      <c r="HA82">
        <v>0</v>
      </c>
      <c r="HB82">
        <v>0</v>
      </c>
      <c r="HC82">
        <v>0</v>
      </c>
      <c r="HD82">
        <v>0</v>
      </c>
      <c r="HE82">
        <v>0</v>
      </c>
      <c r="HF82">
        <v>0</v>
      </c>
      <c r="HG82">
        <v>0</v>
      </c>
      <c r="HH82">
        <f t="shared" si="62"/>
        <v>0</v>
      </c>
      <c r="HI82">
        <v>0</v>
      </c>
      <c r="HJ82">
        <v>0</v>
      </c>
      <c r="HK82">
        <v>0</v>
      </c>
      <c r="HL82">
        <v>0</v>
      </c>
      <c r="HM82">
        <v>0</v>
      </c>
      <c r="HN82">
        <v>0</v>
      </c>
      <c r="HO82">
        <v>0</v>
      </c>
      <c r="HP82">
        <v>0</v>
      </c>
      <c r="HQ82">
        <v>0</v>
      </c>
      <c r="HR82">
        <v>0</v>
      </c>
      <c r="HS82">
        <v>0</v>
      </c>
      <c r="HT82">
        <v>0</v>
      </c>
      <c r="HU82">
        <f t="shared" si="63"/>
        <v>0</v>
      </c>
      <c r="HV82">
        <v>0</v>
      </c>
      <c r="HW82">
        <v>0</v>
      </c>
      <c r="HX82">
        <v>0</v>
      </c>
      <c r="HY82">
        <v>0</v>
      </c>
      <c r="HZ82">
        <v>0</v>
      </c>
      <c r="IA82">
        <v>0</v>
      </c>
      <c r="IB82">
        <v>0</v>
      </c>
      <c r="IC82">
        <v>0</v>
      </c>
      <c r="ID82">
        <v>0</v>
      </c>
      <c r="IE82">
        <v>0</v>
      </c>
      <c r="IF82">
        <v>0</v>
      </c>
      <c r="IG82">
        <v>0</v>
      </c>
      <c r="IH82">
        <f t="shared" si="64"/>
        <v>0</v>
      </c>
      <c r="II82">
        <f t="shared" si="65"/>
        <v>21359</v>
      </c>
      <c r="IJ82">
        <f t="shared" si="66"/>
        <v>0</v>
      </c>
      <c r="IK82">
        <v>33986</v>
      </c>
      <c r="IL82">
        <v>35188</v>
      </c>
      <c r="IM82">
        <v>31389</v>
      </c>
      <c r="IN82">
        <v>39990</v>
      </c>
      <c r="IO82">
        <v>39328</v>
      </c>
      <c r="IP82">
        <v>32150</v>
      </c>
      <c r="IQ82">
        <v>36078</v>
      </c>
      <c r="IR82">
        <v>32760</v>
      </c>
      <c r="IS82">
        <v>28748</v>
      </c>
      <c r="IT82">
        <v>33601</v>
      </c>
      <c r="IU82">
        <v>32303</v>
      </c>
      <c r="IV82">
        <v>33914</v>
      </c>
      <c r="IW82">
        <f t="shared" si="67"/>
        <v>409435</v>
      </c>
      <c r="IX82">
        <v>14656</v>
      </c>
      <c r="IY82">
        <v>14711</v>
      </c>
      <c r="IZ82">
        <v>12052</v>
      </c>
      <c r="JA82">
        <v>19271</v>
      </c>
      <c r="JB82">
        <v>19361</v>
      </c>
      <c r="JC82">
        <v>13018</v>
      </c>
      <c r="JD82">
        <v>14530</v>
      </c>
      <c r="JE82">
        <v>10282</v>
      </c>
      <c r="JF82">
        <v>10282</v>
      </c>
      <c r="JG82">
        <v>12877</v>
      </c>
      <c r="JH82">
        <v>13498</v>
      </c>
      <c r="JI82">
        <v>13750</v>
      </c>
      <c r="JJ82">
        <f t="shared" si="68"/>
        <v>168288</v>
      </c>
      <c r="JK82">
        <v>458</v>
      </c>
      <c r="JL82">
        <v>423</v>
      </c>
      <c r="JM82">
        <v>486</v>
      </c>
      <c r="JN82">
        <v>672</v>
      </c>
      <c r="JO82">
        <v>659</v>
      </c>
      <c r="JP82">
        <v>487</v>
      </c>
      <c r="JQ82">
        <v>524</v>
      </c>
      <c r="JR82">
        <v>388</v>
      </c>
      <c r="JS82">
        <v>388</v>
      </c>
      <c r="JT82">
        <v>476</v>
      </c>
      <c r="JU82">
        <v>475</v>
      </c>
      <c r="JV82">
        <v>448</v>
      </c>
      <c r="JW82">
        <f t="shared" si="69"/>
        <v>5884</v>
      </c>
      <c r="JX82">
        <v>18872</v>
      </c>
      <c r="JY82">
        <v>20054</v>
      </c>
      <c r="JZ82">
        <v>18851</v>
      </c>
      <c r="KA82">
        <v>20047</v>
      </c>
      <c r="KB82">
        <v>19308</v>
      </c>
      <c r="KC82">
        <v>18645</v>
      </c>
      <c r="KD82">
        <v>21024</v>
      </c>
      <c r="KE82">
        <v>18076</v>
      </c>
      <c r="KF82">
        <v>18076</v>
      </c>
      <c r="KG82">
        <v>20248</v>
      </c>
      <c r="KH82">
        <v>18330</v>
      </c>
      <c r="KI82">
        <v>19716</v>
      </c>
      <c r="KJ82">
        <f t="shared" si="70"/>
        <v>231247</v>
      </c>
      <c r="KK82">
        <v>2731</v>
      </c>
      <c r="KL82">
        <v>2337</v>
      </c>
      <c r="KM82">
        <v>2315</v>
      </c>
      <c r="KN82">
        <v>2533</v>
      </c>
      <c r="KO82">
        <v>2221</v>
      </c>
      <c r="KP82">
        <v>2357</v>
      </c>
      <c r="KQ82">
        <v>2963</v>
      </c>
      <c r="KR82">
        <v>2199</v>
      </c>
      <c r="KS82">
        <v>2038</v>
      </c>
      <c r="KT82">
        <v>2039</v>
      </c>
      <c r="KU82">
        <v>2323</v>
      </c>
      <c r="KV82">
        <v>2728</v>
      </c>
      <c r="KW82">
        <f t="shared" si="71"/>
        <v>28784</v>
      </c>
      <c r="KX82">
        <v>32</v>
      </c>
      <c r="KY82">
        <v>40</v>
      </c>
      <c r="KZ82">
        <v>73</v>
      </c>
      <c r="LA82">
        <v>72</v>
      </c>
      <c r="LB82">
        <v>62</v>
      </c>
      <c r="LC82">
        <v>39</v>
      </c>
      <c r="LD82">
        <v>31</v>
      </c>
      <c r="LE82">
        <v>19</v>
      </c>
      <c r="LF82">
        <v>39</v>
      </c>
      <c r="LG82">
        <v>30</v>
      </c>
      <c r="LH82">
        <v>56</v>
      </c>
      <c r="LI82">
        <v>61</v>
      </c>
      <c r="LJ82">
        <f t="shared" si="72"/>
        <v>554</v>
      </c>
      <c r="LK82">
        <v>2</v>
      </c>
      <c r="LL82">
        <v>4</v>
      </c>
      <c r="LM82">
        <v>0</v>
      </c>
      <c r="LN82">
        <v>0</v>
      </c>
      <c r="LO82">
        <v>0</v>
      </c>
      <c r="LP82">
        <v>0</v>
      </c>
      <c r="LQ82">
        <v>0</v>
      </c>
      <c r="LR82">
        <v>0</v>
      </c>
      <c r="LS82">
        <v>0</v>
      </c>
      <c r="LT82">
        <v>0</v>
      </c>
      <c r="LU82">
        <v>0</v>
      </c>
      <c r="LV82">
        <v>0</v>
      </c>
      <c r="LW82">
        <f t="shared" si="73"/>
        <v>6</v>
      </c>
      <c r="LX82">
        <v>2697</v>
      </c>
      <c r="LY82">
        <v>2293</v>
      </c>
      <c r="LZ82">
        <v>2242</v>
      </c>
      <c r="MA82">
        <v>2461</v>
      </c>
      <c r="MB82">
        <v>2159</v>
      </c>
      <c r="MC82">
        <v>2318</v>
      </c>
      <c r="MD82">
        <v>2932</v>
      </c>
      <c r="ME82">
        <v>2178</v>
      </c>
      <c r="MF82">
        <v>1997</v>
      </c>
      <c r="MG82">
        <v>2009</v>
      </c>
      <c r="MH82">
        <v>2267</v>
      </c>
      <c r="MI82">
        <v>2667</v>
      </c>
      <c r="MJ82">
        <f t="shared" si="74"/>
        <v>28220</v>
      </c>
      <c r="MK82">
        <v>837</v>
      </c>
      <c r="ML82">
        <v>851</v>
      </c>
      <c r="MM82">
        <v>836</v>
      </c>
      <c r="MN82">
        <v>971</v>
      </c>
      <c r="MO82">
        <v>1014</v>
      </c>
      <c r="MP82">
        <v>879</v>
      </c>
      <c r="MQ82">
        <v>937</v>
      </c>
      <c r="MR82">
        <v>822</v>
      </c>
      <c r="MS82">
        <v>898</v>
      </c>
      <c r="MT82">
        <v>846</v>
      </c>
      <c r="MU82">
        <v>850</v>
      </c>
      <c r="MV82">
        <v>961</v>
      </c>
      <c r="MW82">
        <f t="shared" si="75"/>
        <v>10702</v>
      </c>
      <c r="MX82">
        <v>81</v>
      </c>
      <c r="MY82">
        <v>73</v>
      </c>
      <c r="MZ82">
        <v>51</v>
      </c>
      <c r="NA82">
        <v>79</v>
      </c>
      <c r="NB82">
        <v>100</v>
      </c>
      <c r="NC82">
        <v>106</v>
      </c>
      <c r="ND82">
        <v>96</v>
      </c>
      <c r="NE82">
        <v>81</v>
      </c>
      <c r="NF82">
        <v>79</v>
      </c>
      <c r="NG82">
        <v>47</v>
      </c>
      <c r="NH82">
        <v>73</v>
      </c>
      <c r="NI82">
        <v>102</v>
      </c>
      <c r="NJ82">
        <f t="shared" si="76"/>
        <v>968</v>
      </c>
      <c r="NK82">
        <v>22</v>
      </c>
      <c r="NL82">
        <v>32</v>
      </c>
      <c r="NM82">
        <v>23</v>
      </c>
      <c r="NN82">
        <v>41</v>
      </c>
      <c r="NO82">
        <v>61</v>
      </c>
      <c r="NP82">
        <v>22</v>
      </c>
      <c r="NQ82">
        <v>36</v>
      </c>
      <c r="NR82">
        <v>24</v>
      </c>
      <c r="NS82">
        <v>23</v>
      </c>
      <c r="NT82">
        <v>19</v>
      </c>
      <c r="NU82">
        <v>25</v>
      </c>
      <c r="NV82">
        <v>30</v>
      </c>
      <c r="NW82">
        <f t="shared" si="77"/>
        <v>358</v>
      </c>
      <c r="NX82">
        <v>734</v>
      </c>
      <c r="NY82">
        <v>746</v>
      </c>
      <c r="NZ82">
        <v>762</v>
      </c>
      <c r="OA82">
        <v>851</v>
      </c>
      <c r="OB82">
        <v>853</v>
      </c>
      <c r="OC82">
        <v>751</v>
      </c>
      <c r="OD82">
        <v>805</v>
      </c>
      <c r="OE82">
        <v>717</v>
      </c>
      <c r="OF82">
        <v>796</v>
      </c>
      <c r="OG82">
        <v>780</v>
      </c>
      <c r="OH82">
        <v>752</v>
      </c>
      <c r="OI82">
        <v>829</v>
      </c>
      <c r="OJ82">
        <f t="shared" si="78"/>
        <v>9376</v>
      </c>
      <c r="OK82">
        <v>2461</v>
      </c>
      <c r="OL82">
        <v>2465</v>
      </c>
      <c r="OM82">
        <v>2334</v>
      </c>
      <c r="ON82">
        <v>2443</v>
      </c>
      <c r="OO82">
        <v>2536</v>
      </c>
      <c r="OP82">
        <v>2555</v>
      </c>
      <c r="OQ82">
        <v>2536</v>
      </c>
      <c r="OR82">
        <v>2478</v>
      </c>
      <c r="OS82">
        <v>2393</v>
      </c>
      <c r="OT82">
        <v>2507</v>
      </c>
      <c r="OU82">
        <v>2307</v>
      </c>
      <c r="OV82">
        <v>2693</v>
      </c>
      <c r="OW82">
        <f t="shared" si="79"/>
        <v>29708</v>
      </c>
      <c r="OX82">
        <v>403</v>
      </c>
      <c r="OY82">
        <v>405</v>
      </c>
      <c r="OZ82">
        <v>282</v>
      </c>
      <c r="PA82">
        <v>340</v>
      </c>
      <c r="PB82">
        <v>372</v>
      </c>
      <c r="PC82">
        <v>355</v>
      </c>
      <c r="PD82">
        <v>330</v>
      </c>
      <c r="PE82">
        <v>362</v>
      </c>
      <c r="PF82">
        <v>334</v>
      </c>
      <c r="PG82">
        <v>268</v>
      </c>
      <c r="PH82">
        <v>286</v>
      </c>
      <c r="PI82">
        <v>335</v>
      </c>
      <c r="PJ82">
        <f t="shared" si="80"/>
        <v>4072</v>
      </c>
      <c r="PK82">
        <v>87</v>
      </c>
      <c r="PL82">
        <v>96</v>
      </c>
      <c r="PM82">
        <v>73</v>
      </c>
      <c r="PN82">
        <v>72</v>
      </c>
      <c r="PO82">
        <v>97</v>
      </c>
      <c r="PP82">
        <v>90</v>
      </c>
      <c r="PQ82">
        <v>92</v>
      </c>
      <c r="PR82">
        <v>83</v>
      </c>
      <c r="PS82">
        <v>68</v>
      </c>
      <c r="PT82">
        <v>66</v>
      </c>
      <c r="PU82">
        <v>78</v>
      </c>
      <c r="PV82">
        <v>88</v>
      </c>
      <c r="PW82">
        <f t="shared" si="81"/>
        <v>990</v>
      </c>
      <c r="PX82">
        <v>1971</v>
      </c>
      <c r="PY82">
        <v>1964</v>
      </c>
      <c r="PZ82">
        <v>1979</v>
      </c>
      <c r="QA82">
        <v>2031</v>
      </c>
      <c r="QB82">
        <v>2067</v>
      </c>
      <c r="QC82">
        <v>2110</v>
      </c>
      <c r="QD82">
        <v>2114</v>
      </c>
      <c r="QE82">
        <v>2033</v>
      </c>
      <c r="QF82">
        <v>1991</v>
      </c>
      <c r="QG82">
        <v>2713</v>
      </c>
      <c r="QH82">
        <v>1943</v>
      </c>
      <c r="QI82">
        <v>2270</v>
      </c>
      <c r="QJ82">
        <f t="shared" si="82"/>
        <v>25186</v>
      </c>
      <c r="QK82">
        <v>41908</v>
      </c>
      <c r="QL82">
        <v>43034</v>
      </c>
      <c r="QM82">
        <v>37544</v>
      </c>
      <c r="QN82">
        <v>48288</v>
      </c>
      <c r="QO82">
        <v>49685</v>
      </c>
      <c r="QP82">
        <v>44791</v>
      </c>
      <c r="QQ82">
        <v>51620</v>
      </c>
      <c r="QR82">
        <v>43261</v>
      </c>
      <c r="QS82">
        <v>33307</v>
      </c>
      <c r="QT82">
        <v>25645</v>
      </c>
      <c r="QU82">
        <v>27966</v>
      </c>
      <c r="QV82">
        <v>12608</v>
      </c>
      <c r="QW82">
        <f t="shared" si="83"/>
        <v>459657</v>
      </c>
      <c r="QX82">
        <v>0</v>
      </c>
      <c r="QY82">
        <v>0</v>
      </c>
      <c r="QZ82">
        <v>0</v>
      </c>
      <c r="RA82">
        <v>0</v>
      </c>
      <c r="RB82">
        <v>0</v>
      </c>
      <c r="RC82">
        <v>0</v>
      </c>
      <c r="RD82">
        <v>0</v>
      </c>
      <c r="RE82">
        <v>0</v>
      </c>
      <c r="RF82">
        <v>0</v>
      </c>
      <c r="RG82">
        <v>0</v>
      </c>
      <c r="RH82">
        <v>0</v>
      </c>
      <c r="RI82">
        <v>0</v>
      </c>
      <c r="RJ82">
        <f t="shared" si="84"/>
        <v>0</v>
      </c>
      <c r="RK82">
        <v>0</v>
      </c>
      <c r="RL82">
        <v>0</v>
      </c>
      <c r="RM82">
        <v>0</v>
      </c>
      <c r="RN82">
        <v>0</v>
      </c>
      <c r="RO82">
        <v>0</v>
      </c>
      <c r="RP82">
        <v>0</v>
      </c>
      <c r="RQ82">
        <v>0</v>
      </c>
      <c r="RR82">
        <v>0</v>
      </c>
      <c r="RS82">
        <v>0</v>
      </c>
      <c r="RT82">
        <v>0</v>
      </c>
      <c r="RU82">
        <v>0</v>
      </c>
      <c r="RV82">
        <v>0</v>
      </c>
      <c r="RW82">
        <f t="shared" si="85"/>
        <v>0</v>
      </c>
      <c r="RX82">
        <v>0</v>
      </c>
      <c r="RY82">
        <v>0</v>
      </c>
      <c r="RZ82">
        <v>0</v>
      </c>
      <c r="SA82">
        <v>0</v>
      </c>
      <c r="SB82">
        <v>0</v>
      </c>
      <c r="SC82">
        <v>0</v>
      </c>
      <c r="SD82">
        <v>0</v>
      </c>
      <c r="SE82">
        <v>0</v>
      </c>
      <c r="SF82">
        <v>0</v>
      </c>
      <c r="SG82">
        <v>0</v>
      </c>
      <c r="SH82">
        <v>0</v>
      </c>
      <c r="SI82">
        <v>0</v>
      </c>
      <c r="SJ82">
        <f t="shared" si="86"/>
        <v>0</v>
      </c>
      <c r="SK82">
        <v>5848</v>
      </c>
      <c r="SL82">
        <v>3619</v>
      </c>
      <c r="SM82">
        <v>4017</v>
      </c>
      <c r="SN82">
        <v>5181</v>
      </c>
      <c r="SO82">
        <v>3299</v>
      </c>
      <c r="SP82">
        <v>4577</v>
      </c>
      <c r="SQ82">
        <v>4104</v>
      </c>
      <c r="SR82">
        <v>3786</v>
      </c>
      <c r="SS82">
        <v>3423</v>
      </c>
      <c r="ST82">
        <v>3893</v>
      </c>
      <c r="SU82">
        <v>3980</v>
      </c>
      <c r="SV82">
        <v>4010</v>
      </c>
      <c r="SW82">
        <f t="shared" si="87"/>
        <v>49737</v>
      </c>
      <c r="SX82">
        <v>0</v>
      </c>
      <c r="SY82">
        <v>2862</v>
      </c>
      <c r="SZ82">
        <v>2962</v>
      </c>
      <c r="TA82">
        <v>2872</v>
      </c>
      <c r="TB82">
        <v>3135</v>
      </c>
      <c r="TC82">
        <v>2834</v>
      </c>
      <c r="TD82">
        <v>3220</v>
      </c>
      <c r="TE82">
        <v>3012</v>
      </c>
      <c r="TF82">
        <v>2725</v>
      </c>
      <c r="TG82">
        <v>2746</v>
      </c>
      <c r="TH82">
        <v>3001</v>
      </c>
      <c r="TI82">
        <v>2771</v>
      </c>
      <c r="TJ82">
        <v>2961</v>
      </c>
      <c r="TK82">
        <f t="shared" si="88"/>
        <v>35101</v>
      </c>
      <c r="TL82">
        <v>5000</v>
      </c>
      <c r="TM82">
        <v>5796</v>
      </c>
      <c r="TN82">
        <v>5000</v>
      </c>
      <c r="TO82">
        <v>4883</v>
      </c>
      <c r="TP82">
        <v>5000</v>
      </c>
      <c r="TQ82">
        <v>5133</v>
      </c>
      <c r="TR82">
        <v>5685</v>
      </c>
      <c r="TS82">
        <v>5685</v>
      </c>
      <c r="TT82">
        <v>5563</v>
      </c>
      <c r="TU82">
        <v>4742</v>
      </c>
      <c r="TV82">
        <v>5308</v>
      </c>
      <c r="TW82">
        <v>6368</v>
      </c>
      <c r="TX82">
        <f t="shared" si="89"/>
        <v>64163</v>
      </c>
      <c r="TY82">
        <v>56</v>
      </c>
      <c r="TZ82">
        <v>0</v>
      </c>
      <c r="UA82">
        <v>0</v>
      </c>
      <c r="UB82">
        <v>0</v>
      </c>
    </row>
    <row r="83" spans="1:548" ht="16.5" customHeight="1" x14ac:dyDescent="0.35">
      <c r="A83" t="s">
        <v>1408</v>
      </c>
      <c r="B83" t="s">
        <v>2866</v>
      </c>
      <c r="C83" s="2">
        <v>31088</v>
      </c>
      <c r="D83">
        <v>0</v>
      </c>
      <c r="E83">
        <v>0</v>
      </c>
      <c r="F83">
        <v>0</v>
      </c>
      <c r="G83">
        <v>984</v>
      </c>
      <c r="H83">
        <v>762</v>
      </c>
      <c r="I83">
        <v>1286</v>
      </c>
      <c r="J83">
        <v>1194</v>
      </c>
      <c r="K83">
        <v>832</v>
      </c>
      <c r="L83">
        <v>1049</v>
      </c>
      <c r="M83">
        <v>1211</v>
      </c>
      <c r="N83">
        <v>1062</v>
      </c>
      <c r="O83">
        <v>918</v>
      </c>
      <c r="P83">
        <v>966</v>
      </c>
      <c r="Q83">
        <v>1055</v>
      </c>
      <c r="R83">
        <v>1153</v>
      </c>
      <c r="S83">
        <f t="shared" si="45"/>
        <v>12472</v>
      </c>
      <c r="T83">
        <v>0</v>
      </c>
      <c r="U83">
        <v>0</v>
      </c>
      <c r="V83">
        <v>0</v>
      </c>
      <c r="W83">
        <v>0</v>
      </c>
      <c r="X83">
        <v>0</v>
      </c>
      <c r="Y83">
        <v>0</v>
      </c>
      <c r="Z83">
        <v>0</v>
      </c>
      <c r="AA83">
        <v>0</v>
      </c>
      <c r="AB83">
        <v>0</v>
      </c>
      <c r="AC83">
        <v>0</v>
      </c>
      <c r="AD83">
        <v>0</v>
      </c>
      <c r="AE83">
        <v>0</v>
      </c>
      <c r="AF83">
        <f t="shared" si="46"/>
        <v>0</v>
      </c>
      <c r="AG83">
        <v>0</v>
      </c>
      <c r="AH83">
        <v>0</v>
      </c>
      <c r="AI83">
        <v>0</v>
      </c>
      <c r="AJ83">
        <v>0</v>
      </c>
      <c r="AK83">
        <v>0</v>
      </c>
      <c r="AL83">
        <v>0</v>
      </c>
      <c r="AM83">
        <v>0</v>
      </c>
      <c r="AN83">
        <v>0</v>
      </c>
      <c r="AO83">
        <v>0</v>
      </c>
      <c r="AP83">
        <v>0</v>
      </c>
      <c r="AQ83">
        <v>0</v>
      </c>
      <c r="AR83">
        <v>0</v>
      </c>
      <c r="AS83">
        <f t="shared" si="47"/>
        <v>0</v>
      </c>
      <c r="AT83">
        <v>0</v>
      </c>
      <c r="AU83">
        <v>0</v>
      </c>
      <c r="AV83">
        <v>0</v>
      </c>
      <c r="AW83">
        <v>0</v>
      </c>
      <c r="AX83">
        <v>0</v>
      </c>
      <c r="AY83">
        <v>0</v>
      </c>
      <c r="AZ83">
        <v>0</v>
      </c>
      <c r="BA83">
        <v>0</v>
      </c>
      <c r="BB83">
        <v>0</v>
      </c>
      <c r="BC83">
        <v>0</v>
      </c>
      <c r="BD83">
        <v>0</v>
      </c>
      <c r="BE83">
        <v>0</v>
      </c>
      <c r="BF83">
        <f t="shared" si="48"/>
        <v>0</v>
      </c>
      <c r="BG83">
        <v>0</v>
      </c>
      <c r="BH83">
        <v>0</v>
      </c>
      <c r="BI83">
        <v>0</v>
      </c>
      <c r="BJ83">
        <v>0</v>
      </c>
      <c r="BK83">
        <v>0</v>
      </c>
      <c r="BL83">
        <v>0</v>
      </c>
      <c r="BM83">
        <v>0</v>
      </c>
      <c r="BN83">
        <v>0</v>
      </c>
      <c r="BO83">
        <v>0</v>
      </c>
      <c r="BP83">
        <v>0</v>
      </c>
      <c r="BQ83">
        <v>0</v>
      </c>
      <c r="BR83">
        <v>0</v>
      </c>
      <c r="BS83">
        <f t="shared" si="49"/>
        <v>0</v>
      </c>
      <c r="BT83">
        <v>0</v>
      </c>
      <c r="BU83">
        <v>0</v>
      </c>
      <c r="BV83">
        <v>0</v>
      </c>
      <c r="BW83">
        <v>0</v>
      </c>
      <c r="BX83">
        <v>0</v>
      </c>
      <c r="BY83">
        <v>0</v>
      </c>
      <c r="BZ83">
        <v>0</v>
      </c>
      <c r="CA83">
        <v>0</v>
      </c>
      <c r="CB83">
        <v>0</v>
      </c>
      <c r="CC83">
        <v>0</v>
      </c>
      <c r="CD83">
        <v>0</v>
      </c>
      <c r="CE83">
        <v>0</v>
      </c>
      <c r="CF83">
        <f t="shared" si="50"/>
        <v>0</v>
      </c>
      <c r="CG83">
        <v>0</v>
      </c>
      <c r="CH83">
        <v>0</v>
      </c>
      <c r="CI83">
        <v>0</v>
      </c>
      <c r="CJ83">
        <v>0</v>
      </c>
      <c r="CK83">
        <v>0</v>
      </c>
      <c r="CL83">
        <v>0</v>
      </c>
      <c r="CM83">
        <v>0</v>
      </c>
      <c r="CN83">
        <v>0</v>
      </c>
      <c r="CO83">
        <v>0</v>
      </c>
      <c r="CP83">
        <v>0</v>
      </c>
      <c r="CQ83">
        <v>0</v>
      </c>
      <c r="CR83">
        <v>0</v>
      </c>
      <c r="CS83">
        <f t="shared" si="51"/>
        <v>0</v>
      </c>
      <c r="CT83">
        <v>0</v>
      </c>
      <c r="CU83">
        <v>0</v>
      </c>
      <c r="CV83">
        <v>0</v>
      </c>
      <c r="CW83">
        <v>0</v>
      </c>
      <c r="CX83">
        <v>0</v>
      </c>
      <c r="CY83">
        <v>0</v>
      </c>
      <c r="CZ83">
        <v>0</v>
      </c>
      <c r="DA83">
        <v>0</v>
      </c>
      <c r="DB83">
        <v>0</v>
      </c>
      <c r="DC83">
        <v>0</v>
      </c>
      <c r="DD83">
        <v>0</v>
      </c>
      <c r="DE83">
        <v>0</v>
      </c>
      <c r="DF83">
        <f t="shared" si="52"/>
        <v>0</v>
      </c>
      <c r="DG83">
        <v>0</v>
      </c>
      <c r="DH83">
        <v>0</v>
      </c>
      <c r="DI83">
        <v>0</v>
      </c>
      <c r="DJ83">
        <v>0</v>
      </c>
      <c r="DK83">
        <v>0</v>
      </c>
      <c r="DL83">
        <v>0</v>
      </c>
      <c r="DM83">
        <v>0</v>
      </c>
      <c r="DN83">
        <v>0</v>
      </c>
      <c r="DO83">
        <v>0</v>
      </c>
      <c r="DP83">
        <v>0</v>
      </c>
      <c r="DQ83">
        <v>0</v>
      </c>
      <c r="DR83">
        <v>0</v>
      </c>
      <c r="DS83">
        <f t="shared" si="53"/>
        <v>0</v>
      </c>
      <c r="DT83">
        <v>0</v>
      </c>
      <c r="DU83">
        <v>0</v>
      </c>
      <c r="DV83">
        <v>0</v>
      </c>
      <c r="DW83">
        <v>0</v>
      </c>
      <c r="DX83">
        <v>0</v>
      </c>
      <c r="DY83">
        <v>0</v>
      </c>
      <c r="DZ83">
        <v>0</v>
      </c>
      <c r="EA83">
        <v>0</v>
      </c>
      <c r="EB83">
        <v>0</v>
      </c>
      <c r="EC83">
        <v>0</v>
      </c>
      <c r="ED83">
        <v>0</v>
      </c>
      <c r="EE83">
        <v>0</v>
      </c>
      <c r="EF83">
        <f t="shared" si="54"/>
        <v>0</v>
      </c>
      <c r="EG83">
        <f t="shared" si="55"/>
        <v>0</v>
      </c>
      <c r="EH83">
        <f t="shared" si="56"/>
        <v>0</v>
      </c>
      <c r="EI83" s="2">
        <v>6407</v>
      </c>
      <c r="EJ83" s="2">
        <v>8435</v>
      </c>
      <c r="EK83" s="2">
        <v>9568</v>
      </c>
      <c r="EL83" s="2">
        <v>6947</v>
      </c>
      <c r="EM83" s="2">
        <v>4374</v>
      </c>
      <c r="EN83" s="2">
        <v>7336</v>
      </c>
      <c r="EO83" s="2">
        <v>9910</v>
      </c>
      <c r="EP83" s="2">
        <v>9413</v>
      </c>
      <c r="EQ83" s="2">
        <v>6533</v>
      </c>
      <c r="ER83" s="2">
        <v>7678</v>
      </c>
      <c r="ES83" s="2">
        <v>8169</v>
      </c>
      <c r="ET83" s="2">
        <v>9109</v>
      </c>
      <c r="EU83" s="2">
        <f t="shared" si="57"/>
        <v>93879</v>
      </c>
      <c r="EV83" s="2">
        <v>0</v>
      </c>
      <c r="EW83" s="2">
        <v>0</v>
      </c>
      <c r="EX83" s="2">
        <v>0</v>
      </c>
      <c r="EY83" s="2">
        <v>0</v>
      </c>
      <c r="EZ83" s="2">
        <v>0</v>
      </c>
      <c r="FA83" s="2">
        <v>0</v>
      </c>
      <c r="FB83" s="2">
        <v>0</v>
      </c>
      <c r="FC83" s="2">
        <v>0</v>
      </c>
      <c r="FD83" s="2">
        <v>0</v>
      </c>
      <c r="FE83" s="2">
        <v>0</v>
      </c>
      <c r="FF83" s="2">
        <v>0</v>
      </c>
      <c r="FG83" s="2">
        <v>0</v>
      </c>
      <c r="FH83" s="2">
        <f t="shared" si="58"/>
        <v>0</v>
      </c>
      <c r="FI83" s="2">
        <v>0</v>
      </c>
      <c r="FJ83" s="2">
        <v>0</v>
      </c>
      <c r="FK83" s="2">
        <v>0</v>
      </c>
      <c r="FL83" s="2">
        <v>0</v>
      </c>
      <c r="FM83" s="2">
        <v>0</v>
      </c>
      <c r="FN83" s="2">
        <v>0</v>
      </c>
      <c r="FO83" s="2">
        <v>0</v>
      </c>
      <c r="FP83" s="2">
        <v>0</v>
      </c>
      <c r="FQ83" s="2">
        <v>0</v>
      </c>
      <c r="FR83" s="2">
        <v>0</v>
      </c>
      <c r="FS83" s="2">
        <v>0</v>
      </c>
      <c r="FT83" s="2">
        <v>0</v>
      </c>
      <c r="FU83" s="2">
        <f t="shared" si="59"/>
        <v>0</v>
      </c>
      <c r="FV83" s="2">
        <v>0</v>
      </c>
      <c r="FW83" s="2">
        <v>0</v>
      </c>
      <c r="FX83" s="2">
        <v>0</v>
      </c>
      <c r="FY83" s="2">
        <v>0</v>
      </c>
      <c r="FZ83" s="2">
        <v>0</v>
      </c>
      <c r="GA83" s="2">
        <v>0</v>
      </c>
      <c r="GB83" s="2">
        <v>0</v>
      </c>
      <c r="GC83" s="2">
        <v>0</v>
      </c>
      <c r="GD83" s="2">
        <v>0</v>
      </c>
      <c r="GE83" s="2">
        <v>0</v>
      </c>
      <c r="GF83" s="2">
        <v>0</v>
      </c>
      <c r="GG83" s="2">
        <v>0</v>
      </c>
      <c r="GH83" s="2">
        <f t="shared" si="60"/>
        <v>0</v>
      </c>
      <c r="GI83" s="2">
        <v>0</v>
      </c>
      <c r="GJ83" s="2">
        <v>0</v>
      </c>
      <c r="GK83" s="2">
        <v>0</v>
      </c>
      <c r="GL83" s="2">
        <v>0</v>
      </c>
      <c r="GM83" s="2">
        <v>0</v>
      </c>
      <c r="GN83" s="2">
        <v>0</v>
      </c>
      <c r="GO83" s="2">
        <v>0</v>
      </c>
      <c r="GP83" s="2">
        <v>0</v>
      </c>
      <c r="GQ83" s="2">
        <v>0</v>
      </c>
      <c r="GR83" s="2">
        <v>0</v>
      </c>
      <c r="GS83" s="2">
        <v>0</v>
      </c>
      <c r="GT83" s="2">
        <v>0</v>
      </c>
      <c r="GU83" s="2">
        <f t="shared" si="61"/>
        <v>0</v>
      </c>
      <c r="GV83" s="2">
        <v>0</v>
      </c>
      <c r="GW83" s="2">
        <v>0</v>
      </c>
      <c r="GX83" s="2">
        <v>0</v>
      </c>
      <c r="GY83" s="2">
        <v>0</v>
      </c>
      <c r="GZ83" s="2">
        <v>0</v>
      </c>
      <c r="HA83" s="2">
        <v>0</v>
      </c>
      <c r="HB83" s="2">
        <v>0</v>
      </c>
      <c r="HC83" s="2">
        <v>0</v>
      </c>
      <c r="HD83" s="2">
        <v>0</v>
      </c>
      <c r="HE83" s="2">
        <v>0</v>
      </c>
      <c r="HF83" s="2">
        <v>0</v>
      </c>
      <c r="HG83" s="2">
        <v>0</v>
      </c>
      <c r="HH83" s="2">
        <f t="shared" si="62"/>
        <v>0</v>
      </c>
      <c r="HI83" s="2">
        <v>0</v>
      </c>
      <c r="HJ83" s="2">
        <v>0</v>
      </c>
      <c r="HK83" s="2">
        <v>0</v>
      </c>
      <c r="HL83" s="2">
        <v>0</v>
      </c>
      <c r="HM83" s="2">
        <v>0</v>
      </c>
      <c r="HN83" s="2">
        <v>0</v>
      </c>
      <c r="HO83" s="2">
        <v>0</v>
      </c>
      <c r="HP83" s="2">
        <v>0</v>
      </c>
      <c r="HQ83" s="2">
        <v>0</v>
      </c>
      <c r="HR83" s="2">
        <v>0</v>
      </c>
      <c r="HS83" s="2">
        <v>0</v>
      </c>
      <c r="HT83" s="2">
        <v>0</v>
      </c>
      <c r="HU83" s="2">
        <f t="shared" si="63"/>
        <v>0</v>
      </c>
      <c r="HV83" s="2">
        <v>0</v>
      </c>
      <c r="HW83" s="2">
        <v>0</v>
      </c>
      <c r="HX83" s="2">
        <v>0</v>
      </c>
      <c r="HY83" s="2">
        <v>0</v>
      </c>
      <c r="HZ83" s="2">
        <v>0</v>
      </c>
      <c r="IA83" s="2">
        <v>0</v>
      </c>
      <c r="IB83" s="2">
        <v>0</v>
      </c>
      <c r="IC83" s="2">
        <v>0</v>
      </c>
      <c r="ID83" s="2">
        <v>0</v>
      </c>
      <c r="IE83" s="2">
        <v>0</v>
      </c>
      <c r="IF83" s="2">
        <v>0</v>
      </c>
      <c r="IG83" s="2">
        <v>0</v>
      </c>
      <c r="IH83" s="2">
        <f t="shared" si="64"/>
        <v>0</v>
      </c>
      <c r="II83" s="2">
        <f t="shared" si="65"/>
        <v>0</v>
      </c>
      <c r="IJ83" s="2">
        <f t="shared" si="66"/>
        <v>0</v>
      </c>
      <c r="IK83" s="2">
        <v>70727</v>
      </c>
      <c r="IL83" s="2">
        <v>77504</v>
      </c>
      <c r="IM83" s="2">
        <v>74481</v>
      </c>
      <c r="IN83" s="2">
        <v>84361</v>
      </c>
      <c r="IO83" s="2">
        <v>80204</v>
      </c>
      <c r="IP83" s="2">
        <v>82403</v>
      </c>
      <c r="IQ83" s="2">
        <v>82502</v>
      </c>
      <c r="IR83" s="2">
        <v>76453</v>
      </c>
      <c r="IS83" s="2">
        <v>60200</v>
      </c>
      <c r="IT83" s="2">
        <v>73193</v>
      </c>
      <c r="IU83" s="2">
        <v>69983</v>
      </c>
      <c r="IV83" s="2">
        <v>71377</v>
      </c>
      <c r="IW83" s="2">
        <f t="shared" si="67"/>
        <v>903388</v>
      </c>
      <c r="IX83" s="2">
        <v>0</v>
      </c>
      <c r="IY83" s="2">
        <v>0</v>
      </c>
      <c r="IZ83" s="2">
        <v>0</v>
      </c>
      <c r="JA83" s="2">
        <v>0</v>
      </c>
      <c r="JB83" s="2">
        <v>0</v>
      </c>
      <c r="JC83" s="2">
        <v>0</v>
      </c>
      <c r="JD83" s="2">
        <v>0</v>
      </c>
      <c r="JE83" s="2">
        <v>0</v>
      </c>
      <c r="JF83" s="2">
        <v>0</v>
      </c>
      <c r="JG83" s="2">
        <v>0</v>
      </c>
      <c r="JH83" s="2">
        <v>0</v>
      </c>
      <c r="JI83" s="2">
        <v>0</v>
      </c>
      <c r="JJ83" s="2">
        <f t="shared" si="68"/>
        <v>0</v>
      </c>
      <c r="JK83" s="2">
        <v>0</v>
      </c>
      <c r="JL83" s="2">
        <v>0</v>
      </c>
      <c r="JM83" s="2">
        <v>0</v>
      </c>
      <c r="JN83" s="2">
        <v>0</v>
      </c>
      <c r="JO83" s="2">
        <v>0</v>
      </c>
      <c r="JP83" s="2">
        <v>0</v>
      </c>
      <c r="JQ83" s="2">
        <v>0</v>
      </c>
      <c r="JR83" s="2">
        <v>0</v>
      </c>
      <c r="JS83" s="2">
        <v>0</v>
      </c>
      <c r="JT83" s="2">
        <v>0</v>
      </c>
      <c r="JU83" s="2">
        <v>0</v>
      </c>
      <c r="JV83" s="2">
        <v>0</v>
      </c>
      <c r="JW83" s="2">
        <f t="shared" si="69"/>
        <v>0</v>
      </c>
      <c r="JX83" s="2">
        <v>0</v>
      </c>
      <c r="JY83" s="2">
        <v>0</v>
      </c>
      <c r="JZ83" s="2">
        <v>0</v>
      </c>
      <c r="KA83" s="2">
        <v>0</v>
      </c>
      <c r="KB83" s="2">
        <v>0</v>
      </c>
      <c r="KC83" s="2">
        <v>0</v>
      </c>
      <c r="KD83" s="2">
        <v>0</v>
      </c>
      <c r="KE83" s="2">
        <v>0</v>
      </c>
      <c r="KF83" s="2">
        <v>0</v>
      </c>
      <c r="KG83" s="2">
        <v>0</v>
      </c>
      <c r="KH83" s="2">
        <v>0</v>
      </c>
      <c r="KI83" s="2">
        <v>0</v>
      </c>
      <c r="KJ83" s="2">
        <f t="shared" si="70"/>
        <v>0</v>
      </c>
      <c r="KK83">
        <v>473</v>
      </c>
      <c r="KL83">
        <v>601</v>
      </c>
      <c r="KM83">
        <v>616</v>
      </c>
      <c r="KN83">
        <v>544</v>
      </c>
      <c r="KO83">
        <v>539</v>
      </c>
      <c r="KP83">
        <v>568</v>
      </c>
      <c r="KQ83">
        <v>396</v>
      </c>
      <c r="KR83">
        <v>549</v>
      </c>
      <c r="KS83">
        <v>538</v>
      </c>
      <c r="KT83">
        <v>375</v>
      </c>
      <c r="KU83">
        <v>543</v>
      </c>
      <c r="KV83">
        <v>417</v>
      </c>
      <c r="KW83">
        <f t="shared" si="71"/>
        <v>6159</v>
      </c>
      <c r="KX83">
        <v>0</v>
      </c>
      <c r="KY83">
        <v>0</v>
      </c>
      <c r="KZ83">
        <v>0</v>
      </c>
      <c r="LA83">
        <v>0</v>
      </c>
      <c r="LB83">
        <v>0</v>
      </c>
      <c r="LC83">
        <v>0</v>
      </c>
      <c r="LD83">
        <v>0</v>
      </c>
      <c r="LE83">
        <v>0</v>
      </c>
      <c r="LF83">
        <v>0</v>
      </c>
      <c r="LG83">
        <v>0</v>
      </c>
      <c r="LH83">
        <v>0</v>
      </c>
      <c r="LI83">
        <v>0</v>
      </c>
      <c r="LJ83">
        <f t="shared" si="72"/>
        <v>0</v>
      </c>
      <c r="LK83">
        <v>0</v>
      </c>
      <c r="LL83">
        <v>0</v>
      </c>
      <c r="LM83">
        <v>0</v>
      </c>
      <c r="LN83">
        <v>0</v>
      </c>
      <c r="LO83">
        <v>0</v>
      </c>
      <c r="LP83">
        <v>0</v>
      </c>
      <c r="LQ83">
        <v>0</v>
      </c>
      <c r="LR83">
        <v>0</v>
      </c>
      <c r="LS83">
        <v>0</v>
      </c>
      <c r="LT83">
        <v>0</v>
      </c>
      <c r="LU83">
        <v>0</v>
      </c>
      <c r="LV83">
        <v>0</v>
      </c>
      <c r="LW83">
        <f t="shared" si="73"/>
        <v>0</v>
      </c>
      <c r="LX83">
        <v>0</v>
      </c>
      <c r="LY83">
        <v>0</v>
      </c>
      <c r="LZ83">
        <v>0</v>
      </c>
      <c r="MA83">
        <v>0</v>
      </c>
      <c r="MB83">
        <v>0</v>
      </c>
      <c r="MC83">
        <v>0</v>
      </c>
      <c r="MD83">
        <v>0</v>
      </c>
      <c r="ME83">
        <v>0</v>
      </c>
      <c r="MF83">
        <v>0</v>
      </c>
      <c r="MG83">
        <v>0</v>
      </c>
      <c r="MH83">
        <v>0</v>
      </c>
      <c r="MI83">
        <v>0</v>
      </c>
      <c r="MJ83">
        <f t="shared" si="74"/>
        <v>0</v>
      </c>
      <c r="MK83" s="2">
        <v>6988</v>
      </c>
      <c r="ML83" s="2">
        <v>6839</v>
      </c>
      <c r="MM83" s="2">
        <v>6420</v>
      </c>
      <c r="MN83" s="2">
        <v>6327</v>
      </c>
      <c r="MO83" s="2">
        <v>6093</v>
      </c>
      <c r="MP83" s="2">
        <v>5003</v>
      </c>
      <c r="MQ83" s="2">
        <v>4905</v>
      </c>
      <c r="MR83" s="2">
        <v>4773</v>
      </c>
      <c r="MS83" s="2">
        <v>4688</v>
      </c>
      <c r="MT83" s="2">
        <v>5024</v>
      </c>
      <c r="MU83" s="2">
        <v>4546</v>
      </c>
      <c r="MV83" s="2">
        <v>4734</v>
      </c>
      <c r="MW83" s="2">
        <f t="shared" si="75"/>
        <v>66340</v>
      </c>
      <c r="MX83" s="2">
        <v>0</v>
      </c>
      <c r="MY83" s="2">
        <v>0</v>
      </c>
      <c r="MZ83" s="2">
        <v>0</v>
      </c>
      <c r="NA83" s="2">
        <v>0</v>
      </c>
      <c r="NB83" s="2">
        <v>0</v>
      </c>
      <c r="NC83" s="2">
        <v>0</v>
      </c>
      <c r="ND83" s="2">
        <v>0</v>
      </c>
      <c r="NE83" s="2">
        <v>0</v>
      </c>
      <c r="NF83" s="2">
        <v>0</v>
      </c>
      <c r="NG83" s="2">
        <v>0</v>
      </c>
      <c r="NH83" s="2">
        <v>0</v>
      </c>
      <c r="NI83" s="2">
        <v>0</v>
      </c>
      <c r="NJ83" s="2">
        <f t="shared" si="76"/>
        <v>0</v>
      </c>
      <c r="NK83" s="2">
        <v>0</v>
      </c>
      <c r="NL83" s="2">
        <v>0</v>
      </c>
      <c r="NM83" s="2">
        <v>0</v>
      </c>
      <c r="NN83" s="2">
        <v>0</v>
      </c>
      <c r="NO83" s="2">
        <v>0</v>
      </c>
      <c r="NP83" s="2">
        <v>0</v>
      </c>
      <c r="NQ83" s="2">
        <v>0</v>
      </c>
      <c r="NR83" s="2">
        <v>0</v>
      </c>
      <c r="NS83" s="2">
        <v>0</v>
      </c>
      <c r="NT83" s="2">
        <v>0</v>
      </c>
      <c r="NU83" s="2">
        <v>0</v>
      </c>
      <c r="NV83" s="2">
        <v>0</v>
      </c>
      <c r="NW83" s="2">
        <f t="shared" si="77"/>
        <v>0</v>
      </c>
      <c r="NX83" s="2">
        <v>0</v>
      </c>
      <c r="NY83" s="2">
        <v>0</v>
      </c>
      <c r="NZ83" s="2">
        <v>0</v>
      </c>
      <c r="OA83" s="2">
        <v>0</v>
      </c>
      <c r="OB83" s="2">
        <v>0</v>
      </c>
      <c r="OC83" s="2">
        <v>0</v>
      </c>
      <c r="OD83" s="2">
        <v>0</v>
      </c>
      <c r="OE83" s="2">
        <v>0</v>
      </c>
      <c r="OF83" s="2">
        <v>0</v>
      </c>
      <c r="OG83" s="2">
        <v>0</v>
      </c>
      <c r="OH83" s="2">
        <v>0</v>
      </c>
      <c r="OI83" s="2">
        <v>0</v>
      </c>
      <c r="OJ83" s="2">
        <f t="shared" si="78"/>
        <v>0</v>
      </c>
      <c r="OK83" s="2">
        <v>13174</v>
      </c>
      <c r="OL83" s="2">
        <v>13198</v>
      </c>
      <c r="OM83" s="2">
        <v>11927</v>
      </c>
      <c r="ON83" s="2">
        <v>12494</v>
      </c>
      <c r="OO83" s="2">
        <v>12201</v>
      </c>
      <c r="OP83" s="2">
        <v>10109</v>
      </c>
      <c r="OQ83" s="2">
        <v>10081</v>
      </c>
      <c r="OR83" s="2">
        <v>9855</v>
      </c>
      <c r="OS83" s="2">
        <v>9806</v>
      </c>
      <c r="OT83" s="2">
        <v>10510</v>
      </c>
      <c r="OU83" s="2">
        <v>10012</v>
      </c>
      <c r="OV83" s="2">
        <v>10683</v>
      </c>
      <c r="OW83" s="2">
        <f t="shared" si="79"/>
        <v>134050</v>
      </c>
      <c r="OX83" s="2">
        <v>0</v>
      </c>
      <c r="OY83" s="2">
        <v>0</v>
      </c>
      <c r="OZ83" s="2">
        <v>0</v>
      </c>
      <c r="PA83" s="2">
        <v>0</v>
      </c>
      <c r="PB83" s="2">
        <v>0</v>
      </c>
      <c r="PC83" s="2">
        <v>0</v>
      </c>
      <c r="PD83" s="2">
        <v>0</v>
      </c>
      <c r="PE83" s="2">
        <v>0</v>
      </c>
      <c r="PF83" s="2">
        <v>0</v>
      </c>
      <c r="PG83" s="2">
        <v>0</v>
      </c>
      <c r="PH83" s="2">
        <v>0</v>
      </c>
      <c r="PI83" s="2">
        <v>0</v>
      </c>
      <c r="PJ83" s="2">
        <f t="shared" si="80"/>
        <v>0</v>
      </c>
      <c r="PK83" s="2">
        <v>0</v>
      </c>
      <c r="PL83" s="2">
        <v>0</v>
      </c>
      <c r="PM83" s="2">
        <v>0</v>
      </c>
      <c r="PN83" s="2">
        <v>0</v>
      </c>
      <c r="PO83" s="2">
        <v>0</v>
      </c>
      <c r="PP83" s="2">
        <v>0</v>
      </c>
      <c r="PQ83" s="2">
        <v>0</v>
      </c>
      <c r="PR83" s="2">
        <v>0</v>
      </c>
      <c r="PS83" s="2">
        <v>0</v>
      </c>
      <c r="PT83" s="2">
        <v>0</v>
      </c>
      <c r="PU83" s="2">
        <v>0</v>
      </c>
      <c r="PV83" s="2">
        <v>0</v>
      </c>
      <c r="PW83" s="2">
        <f t="shared" si="81"/>
        <v>0</v>
      </c>
      <c r="PX83" s="2">
        <v>0</v>
      </c>
      <c r="PY83" s="2">
        <v>0</v>
      </c>
      <c r="PZ83" s="2">
        <v>0</v>
      </c>
      <c r="QA83" s="2">
        <v>0</v>
      </c>
      <c r="QB83" s="2">
        <v>0</v>
      </c>
      <c r="QC83" s="2">
        <v>0</v>
      </c>
      <c r="QD83" s="2">
        <v>0</v>
      </c>
      <c r="QE83" s="2">
        <v>0</v>
      </c>
      <c r="QF83" s="2">
        <v>0</v>
      </c>
      <c r="QG83" s="2">
        <v>0</v>
      </c>
      <c r="QH83" s="2">
        <v>0</v>
      </c>
      <c r="QI83" s="2">
        <v>0</v>
      </c>
      <c r="QJ83" s="2">
        <f t="shared" si="82"/>
        <v>0</v>
      </c>
      <c r="QK83" s="2">
        <v>111278</v>
      </c>
      <c r="QL83" s="2">
        <v>119063</v>
      </c>
      <c r="QM83" s="2">
        <v>110472</v>
      </c>
      <c r="QN83" s="2">
        <v>106695</v>
      </c>
      <c r="QO83" s="2">
        <v>97272</v>
      </c>
      <c r="QP83" s="2">
        <v>109000</v>
      </c>
      <c r="QQ83" s="2">
        <v>122401</v>
      </c>
      <c r="QR83" s="2">
        <v>107587</v>
      </c>
      <c r="QS83" s="2">
        <v>87535</v>
      </c>
      <c r="QT83" s="2">
        <v>105309</v>
      </c>
      <c r="QU83" s="2">
        <v>101041</v>
      </c>
      <c r="QV83" s="2">
        <v>112526</v>
      </c>
      <c r="QW83" s="2">
        <f t="shared" si="83"/>
        <v>1290179</v>
      </c>
      <c r="QX83" s="2">
        <v>23764</v>
      </c>
      <c r="QY83" s="2">
        <v>27288</v>
      </c>
      <c r="QZ83" s="2">
        <v>26489</v>
      </c>
      <c r="RA83" s="2">
        <v>26121</v>
      </c>
      <c r="RB83" s="2">
        <v>24268</v>
      </c>
      <c r="RC83" s="2">
        <v>27130</v>
      </c>
      <c r="RD83" s="2">
        <v>30659</v>
      </c>
      <c r="RE83" s="2">
        <v>27631</v>
      </c>
      <c r="RF83" s="2">
        <v>24247</v>
      </c>
      <c r="RG83" s="2">
        <v>28830</v>
      </c>
      <c r="RH83" s="2">
        <v>28837</v>
      </c>
      <c r="RI83" s="2">
        <v>32119</v>
      </c>
      <c r="RJ83" s="2">
        <f t="shared" si="84"/>
        <v>327383</v>
      </c>
      <c r="RK83" t="s">
        <v>1409</v>
      </c>
      <c r="RL83" t="s">
        <v>1409</v>
      </c>
      <c r="RM83" t="s">
        <v>1409</v>
      </c>
      <c r="RN83" t="s">
        <v>1409</v>
      </c>
      <c r="RO83" t="s">
        <v>1409</v>
      </c>
      <c r="RP83" t="s">
        <v>1409</v>
      </c>
      <c r="RQ83" t="s">
        <v>1409</v>
      </c>
      <c r="RR83" t="s">
        <v>1409</v>
      </c>
      <c r="RS83" t="s">
        <v>1409</v>
      </c>
      <c r="RT83" t="s">
        <v>1409</v>
      </c>
      <c r="RU83" t="s">
        <v>1409</v>
      </c>
      <c r="RV83" t="s">
        <v>1409</v>
      </c>
      <c r="RW83">
        <f t="shared" si="85"/>
        <v>0</v>
      </c>
      <c r="RX83" t="s">
        <v>1410</v>
      </c>
      <c r="RY83" t="s">
        <v>1410</v>
      </c>
      <c r="RZ83" t="s">
        <v>1410</v>
      </c>
      <c r="SA83" t="s">
        <v>1410</v>
      </c>
      <c r="SB83" t="s">
        <v>1410</v>
      </c>
      <c r="SC83" t="s">
        <v>1410</v>
      </c>
      <c r="SD83" t="s">
        <v>1410</v>
      </c>
      <c r="SE83" t="s">
        <v>1410</v>
      </c>
      <c r="SF83" t="s">
        <v>1410</v>
      </c>
      <c r="SG83" t="s">
        <v>1410</v>
      </c>
      <c r="SH83" t="s">
        <v>1410</v>
      </c>
      <c r="SI83" t="s">
        <v>1410</v>
      </c>
      <c r="SJ83">
        <f t="shared" si="86"/>
        <v>0</v>
      </c>
      <c r="SK83">
        <v>148</v>
      </c>
      <c r="SL83">
        <v>147</v>
      </c>
      <c r="SM83">
        <v>150</v>
      </c>
      <c r="SN83">
        <v>164</v>
      </c>
      <c r="SO83">
        <v>147</v>
      </c>
      <c r="SP83">
        <v>159</v>
      </c>
      <c r="SQ83">
        <v>165</v>
      </c>
      <c r="SR83">
        <v>141</v>
      </c>
      <c r="SS83">
        <v>153</v>
      </c>
      <c r="ST83">
        <v>151</v>
      </c>
      <c r="SU83">
        <v>141</v>
      </c>
      <c r="SV83">
        <v>159</v>
      </c>
      <c r="SW83">
        <f t="shared" si="87"/>
        <v>1825</v>
      </c>
      <c r="SX83">
        <v>0</v>
      </c>
      <c r="SY83" s="2">
        <v>11617</v>
      </c>
      <c r="SZ83" s="2">
        <v>11499</v>
      </c>
      <c r="TA83" s="2">
        <v>11531</v>
      </c>
      <c r="TB83" s="2">
        <v>11957</v>
      </c>
      <c r="TC83" s="2">
        <v>11177</v>
      </c>
      <c r="TD83" s="2">
        <v>12175</v>
      </c>
      <c r="TE83" s="2">
        <v>12705</v>
      </c>
      <c r="TF83" s="2">
        <v>11383</v>
      </c>
      <c r="TG83" s="2">
        <v>9696</v>
      </c>
      <c r="TH83" s="2">
        <v>11114</v>
      </c>
      <c r="TI83" s="2">
        <v>10668</v>
      </c>
      <c r="TJ83" s="2">
        <v>11992</v>
      </c>
      <c r="TK83" s="2">
        <f t="shared" si="88"/>
        <v>137514</v>
      </c>
      <c r="TL83" s="2">
        <v>63064</v>
      </c>
      <c r="TM83" s="2">
        <v>65690</v>
      </c>
      <c r="TN83" s="2">
        <v>55290</v>
      </c>
      <c r="TO83" s="2">
        <v>46075</v>
      </c>
      <c r="TP83" s="2">
        <v>44508</v>
      </c>
      <c r="TQ83" s="2">
        <v>51039</v>
      </c>
      <c r="TR83" s="2">
        <v>58416</v>
      </c>
      <c r="TS83" s="2">
        <v>42650</v>
      </c>
      <c r="TT83" s="2">
        <v>42650</v>
      </c>
      <c r="TU83" s="2">
        <v>54654</v>
      </c>
      <c r="TV83" s="2">
        <v>51021</v>
      </c>
      <c r="TW83" s="2">
        <v>82484</v>
      </c>
      <c r="TX83" s="2">
        <f t="shared" si="89"/>
        <v>657541</v>
      </c>
      <c r="TY83">
        <v>180</v>
      </c>
      <c r="TZ83">
        <v>0</v>
      </c>
      <c r="UA83">
        <v>0</v>
      </c>
      <c r="UB83">
        <v>0</v>
      </c>
    </row>
    <row r="84" spans="1:548" ht="16.5" customHeight="1" x14ac:dyDescent="0.35">
      <c r="A84" t="s">
        <v>1417</v>
      </c>
      <c r="B84" t="s">
        <v>2865</v>
      </c>
      <c r="C84">
        <v>34768</v>
      </c>
      <c r="D84">
        <v>3410</v>
      </c>
      <c r="E84">
        <v>5751</v>
      </c>
      <c r="F84">
        <v>580</v>
      </c>
      <c r="G84">
        <v>269</v>
      </c>
      <c r="H84">
        <v>309</v>
      </c>
      <c r="I84">
        <v>320</v>
      </c>
      <c r="J84">
        <v>346</v>
      </c>
      <c r="K84">
        <v>310</v>
      </c>
      <c r="L84">
        <v>320</v>
      </c>
      <c r="M84">
        <v>360</v>
      </c>
      <c r="N84">
        <v>310</v>
      </c>
      <c r="O84">
        <v>265</v>
      </c>
      <c r="P84">
        <v>297</v>
      </c>
      <c r="Q84">
        <v>301</v>
      </c>
      <c r="R84">
        <v>357</v>
      </c>
      <c r="S84">
        <f t="shared" si="45"/>
        <v>3764</v>
      </c>
      <c r="T84">
        <v>0</v>
      </c>
      <c r="U84">
        <v>0</v>
      </c>
      <c r="V84">
        <v>0</v>
      </c>
      <c r="W84">
        <v>0</v>
      </c>
      <c r="X84">
        <v>0</v>
      </c>
      <c r="Y84">
        <v>0</v>
      </c>
      <c r="Z84">
        <v>0</v>
      </c>
      <c r="AA84">
        <v>0</v>
      </c>
      <c r="AB84">
        <v>0</v>
      </c>
      <c r="AC84">
        <v>0</v>
      </c>
      <c r="AD84">
        <v>0</v>
      </c>
      <c r="AE84">
        <v>0</v>
      </c>
      <c r="AF84">
        <f t="shared" si="46"/>
        <v>0</v>
      </c>
      <c r="AG84">
        <v>0</v>
      </c>
      <c r="AH84">
        <v>0</v>
      </c>
      <c r="AI84">
        <v>0</v>
      </c>
      <c r="AJ84">
        <v>0</v>
      </c>
      <c r="AK84">
        <v>0</v>
      </c>
      <c r="AL84">
        <v>0</v>
      </c>
      <c r="AM84">
        <v>0</v>
      </c>
      <c r="AN84">
        <v>0</v>
      </c>
      <c r="AO84">
        <v>0</v>
      </c>
      <c r="AP84">
        <v>0</v>
      </c>
      <c r="AQ84">
        <v>0</v>
      </c>
      <c r="AR84">
        <v>0</v>
      </c>
      <c r="AS84">
        <f t="shared" si="47"/>
        <v>0</v>
      </c>
      <c r="AT84">
        <v>0</v>
      </c>
      <c r="AU84">
        <v>0</v>
      </c>
      <c r="AV84">
        <v>0</v>
      </c>
      <c r="AW84">
        <v>0</v>
      </c>
      <c r="AX84">
        <v>0</v>
      </c>
      <c r="AY84">
        <v>0</v>
      </c>
      <c r="AZ84">
        <v>0</v>
      </c>
      <c r="BA84">
        <v>0</v>
      </c>
      <c r="BB84">
        <v>0</v>
      </c>
      <c r="BC84">
        <v>0</v>
      </c>
      <c r="BD84">
        <v>0</v>
      </c>
      <c r="BE84">
        <v>0</v>
      </c>
      <c r="BF84">
        <f t="shared" si="48"/>
        <v>0</v>
      </c>
      <c r="BG84">
        <v>0</v>
      </c>
      <c r="BH84">
        <v>0</v>
      </c>
      <c r="BI84">
        <v>0</v>
      </c>
      <c r="BJ84">
        <v>0</v>
      </c>
      <c r="BK84">
        <v>0</v>
      </c>
      <c r="BL84">
        <v>0</v>
      </c>
      <c r="BM84">
        <v>0</v>
      </c>
      <c r="BN84">
        <v>0</v>
      </c>
      <c r="BO84">
        <v>0</v>
      </c>
      <c r="BP84">
        <v>0</v>
      </c>
      <c r="BQ84">
        <v>0</v>
      </c>
      <c r="BR84">
        <v>0</v>
      </c>
      <c r="BS84">
        <f t="shared" si="49"/>
        <v>0</v>
      </c>
      <c r="BT84">
        <v>0</v>
      </c>
      <c r="BU84">
        <v>0</v>
      </c>
      <c r="BV84">
        <v>0</v>
      </c>
      <c r="BW84">
        <v>0</v>
      </c>
      <c r="BX84">
        <v>0</v>
      </c>
      <c r="BY84">
        <v>0</v>
      </c>
      <c r="BZ84">
        <v>0</v>
      </c>
      <c r="CA84">
        <v>1</v>
      </c>
      <c r="CB84">
        <v>0</v>
      </c>
      <c r="CC84">
        <v>0</v>
      </c>
      <c r="CD84">
        <v>0</v>
      </c>
      <c r="CE84">
        <v>1</v>
      </c>
      <c r="CF84">
        <f t="shared" si="50"/>
        <v>2</v>
      </c>
      <c r="CG84">
        <v>0</v>
      </c>
      <c r="CH84">
        <v>0</v>
      </c>
      <c r="CI84">
        <v>0</v>
      </c>
      <c r="CJ84">
        <v>0</v>
      </c>
      <c r="CK84">
        <v>0</v>
      </c>
      <c r="CL84">
        <v>0</v>
      </c>
      <c r="CM84">
        <v>0</v>
      </c>
      <c r="CN84">
        <v>0</v>
      </c>
      <c r="CO84">
        <v>0</v>
      </c>
      <c r="CP84">
        <v>0</v>
      </c>
      <c r="CQ84">
        <v>0</v>
      </c>
      <c r="CR84">
        <v>0</v>
      </c>
      <c r="CS84">
        <f t="shared" si="51"/>
        <v>0</v>
      </c>
      <c r="CT84">
        <v>0</v>
      </c>
      <c r="CU84">
        <v>0</v>
      </c>
      <c r="CV84">
        <v>0</v>
      </c>
      <c r="CW84">
        <v>0</v>
      </c>
      <c r="CX84">
        <v>0</v>
      </c>
      <c r="CY84">
        <v>0</v>
      </c>
      <c r="CZ84">
        <v>0</v>
      </c>
      <c r="DA84">
        <v>0</v>
      </c>
      <c r="DB84">
        <v>0</v>
      </c>
      <c r="DC84">
        <v>0</v>
      </c>
      <c r="DD84">
        <v>0</v>
      </c>
      <c r="DE84">
        <v>0</v>
      </c>
      <c r="DF84">
        <f t="shared" si="52"/>
        <v>0</v>
      </c>
      <c r="DG84">
        <v>0</v>
      </c>
      <c r="DH84">
        <v>0</v>
      </c>
      <c r="DI84">
        <v>0</v>
      </c>
      <c r="DJ84">
        <v>0</v>
      </c>
      <c r="DK84">
        <v>0</v>
      </c>
      <c r="DL84">
        <v>0</v>
      </c>
      <c r="DM84">
        <v>0</v>
      </c>
      <c r="DN84">
        <v>0</v>
      </c>
      <c r="DO84">
        <v>0</v>
      </c>
      <c r="DP84">
        <v>0</v>
      </c>
      <c r="DQ84">
        <v>0</v>
      </c>
      <c r="DR84">
        <v>0</v>
      </c>
      <c r="DS84">
        <f t="shared" si="53"/>
        <v>0</v>
      </c>
      <c r="DT84">
        <v>0</v>
      </c>
      <c r="DU84">
        <v>0</v>
      </c>
      <c r="DV84">
        <v>0</v>
      </c>
      <c r="DW84">
        <v>0</v>
      </c>
      <c r="DX84">
        <v>0</v>
      </c>
      <c r="DY84">
        <v>0</v>
      </c>
      <c r="DZ84">
        <v>0</v>
      </c>
      <c r="EA84">
        <v>0</v>
      </c>
      <c r="EB84">
        <v>0</v>
      </c>
      <c r="EC84">
        <v>0</v>
      </c>
      <c r="ED84">
        <v>0</v>
      </c>
      <c r="EE84">
        <v>0</v>
      </c>
      <c r="EF84">
        <f t="shared" si="54"/>
        <v>0</v>
      </c>
      <c r="EG84">
        <f t="shared" si="55"/>
        <v>0</v>
      </c>
      <c r="EH84">
        <f t="shared" si="56"/>
        <v>0</v>
      </c>
      <c r="EI84">
        <v>3843</v>
      </c>
      <c r="EJ84">
        <v>4171</v>
      </c>
      <c r="EK84">
        <v>4514</v>
      </c>
      <c r="EL84">
        <v>8036</v>
      </c>
      <c r="EM84">
        <v>4055</v>
      </c>
      <c r="EN84">
        <v>4590</v>
      </c>
      <c r="EO84">
        <v>4339</v>
      </c>
      <c r="EP84">
        <v>3782</v>
      </c>
      <c r="EQ84">
        <v>2967</v>
      </c>
      <c r="ER84">
        <v>4186</v>
      </c>
      <c r="ES84">
        <v>4407</v>
      </c>
      <c r="ET84">
        <v>7789</v>
      </c>
      <c r="EU84">
        <f t="shared" si="57"/>
        <v>56679</v>
      </c>
      <c r="EV84">
        <v>0</v>
      </c>
      <c r="EW84">
        <v>0</v>
      </c>
      <c r="EX84">
        <v>0</v>
      </c>
      <c r="EY84">
        <v>0</v>
      </c>
      <c r="EZ84">
        <v>0</v>
      </c>
      <c r="FA84">
        <v>0</v>
      </c>
      <c r="FB84">
        <v>0</v>
      </c>
      <c r="FC84">
        <v>0</v>
      </c>
      <c r="FD84">
        <v>0</v>
      </c>
      <c r="FE84">
        <v>0</v>
      </c>
      <c r="FF84">
        <v>0</v>
      </c>
      <c r="FG84">
        <v>0</v>
      </c>
      <c r="FH84">
        <f t="shared" si="58"/>
        <v>0</v>
      </c>
      <c r="FI84">
        <v>0</v>
      </c>
      <c r="FJ84">
        <v>0</v>
      </c>
      <c r="FK84">
        <v>0</v>
      </c>
      <c r="FL84">
        <v>0</v>
      </c>
      <c r="FM84">
        <v>0</v>
      </c>
      <c r="FN84">
        <v>0</v>
      </c>
      <c r="FO84">
        <v>0</v>
      </c>
      <c r="FP84">
        <v>0</v>
      </c>
      <c r="FQ84">
        <v>0</v>
      </c>
      <c r="FR84">
        <v>0</v>
      </c>
      <c r="FS84">
        <v>0</v>
      </c>
      <c r="FT84">
        <v>0</v>
      </c>
      <c r="FU84">
        <f t="shared" si="59"/>
        <v>0</v>
      </c>
      <c r="FV84">
        <v>0</v>
      </c>
      <c r="FW84">
        <v>0</v>
      </c>
      <c r="FX84">
        <v>0</v>
      </c>
      <c r="FY84">
        <v>0</v>
      </c>
      <c r="FZ84">
        <v>0</v>
      </c>
      <c r="GA84">
        <v>0</v>
      </c>
      <c r="GB84">
        <v>0</v>
      </c>
      <c r="GC84">
        <v>0</v>
      </c>
      <c r="GD84">
        <v>0</v>
      </c>
      <c r="GE84">
        <v>0</v>
      </c>
      <c r="GF84">
        <v>0</v>
      </c>
      <c r="GG84">
        <v>0</v>
      </c>
      <c r="GH84">
        <f t="shared" si="60"/>
        <v>0</v>
      </c>
      <c r="GI84">
        <v>0</v>
      </c>
      <c r="GJ84">
        <v>0</v>
      </c>
      <c r="GK84">
        <v>0</v>
      </c>
      <c r="GL84">
        <v>0</v>
      </c>
      <c r="GM84">
        <v>0</v>
      </c>
      <c r="GN84">
        <v>0</v>
      </c>
      <c r="GO84">
        <v>0</v>
      </c>
      <c r="GP84">
        <v>5</v>
      </c>
      <c r="GQ84">
        <v>0</v>
      </c>
      <c r="GR84">
        <v>0</v>
      </c>
      <c r="GS84">
        <v>0</v>
      </c>
      <c r="GT84">
        <v>2620</v>
      </c>
      <c r="GU84">
        <f t="shared" si="61"/>
        <v>2625</v>
      </c>
      <c r="GV84">
        <v>0</v>
      </c>
      <c r="GW84">
        <v>0</v>
      </c>
      <c r="GX84">
        <v>0</v>
      </c>
      <c r="GY84">
        <v>0</v>
      </c>
      <c r="GZ84">
        <v>0</v>
      </c>
      <c r="HA84">
        <v>0</v>
      </c>
      <c r="HB84">
        <v>0</v>
      </c>
      <c r="HC84">
        <v>0</v>
      </c>
      <c r="HD84">
        <v>0</v>
      </c>
      <c r="HE84">
        <v>0</v>
      </c>
      <c r="HF84">
        <v>0</v>
      </c>
      <c r="HG84">
        <v>0</v>
      </c>
      <c r="HH84">
        <f t="shared" si="62"/>
        <v>0</v>
      </c>
      <c r="HI84">
        <v>0</v>
      </c>
      <c r="HJ84">
        <v>0</v>
      </c>
      <c r="HK84">
        <v>0</v>
      </c>
      <c r="HL84">
        <v>0</v>
      </c>
      <c r="HM84">
        <v>0</v>
      </c>
      <c r="HN84">
        <v>0</v>
      </c>
      <c r="HO84">
        <v>0</v>
      </c>
      <c r="HP84">
        <v>0</v>
      </c>
      <c r="HQ84">
        <v>0</v>
      </c>
      <c r="HR84">
        <v>0</v>
      </c>
      <c r="HS84">
        <v>0</v>
      </c>
      <c r="HT84">
        <v>0</v>
      </c>
      <c r="HU84">
        <f t="shared" si="63"/>
        <v>0</v>
      </c>
      <c r="HV84">
        <v>0</v>
      </c>
      <c r="HW84">
        <v>0</v>
      </c>
      <c r="HX84">
        <v>0</v>
      </c>
      <c r="HY84">
        <v>0</v>
      </c>
      <c r="HZ84">
        <v>0</v>
      </c>
      <c r="IA84">
        <v>0</v>
      </c>
      <c r="IB84">
        <v>0</v>
      </c>
      <c r="IC84">
        <v>0</v>
      </c>
      <c r="ID84">
        <v>0</v>
      </c>
      <c r="IE84">
        <v>0</v>
      </c>
      <c r="IF84">
        <v>0</v>
      </c>
      <c r="IG84">
        <v>0</v>
      </c>
      <c r="IH84">
        <f t="shared" si="64"/>
        <v>0</v>
      </c>
      <c r="II84">
        <f t="shared" si="65"/>
        <v>0</v>
      </c>
      <c r="IJ84">
        <f t="shared" si="66"/>
        <v>0</v>
      </c>
      <c r="IK84">
        <v>33279</v>
      </c>
      <c r="IL84">
        <v>19081</v>
      </c>
      <c r="IM84">
        <v>18083</v>
      </c>
      <c r="IN84">
        <v>21540</v>
      </c>
      <c r="IO84">
        <v>33680</v>
      </c>
      <c r="IP84">
        <v>27118</v>
      </c>
      <c r="IQ84">
        <v>20276</v>
      </c>
      <c r="IR84">
        <v>16444</v>
      </c>
      <c r="IS84">
        <v>25604</v>
      </c>
      <c r="IT84">
        <v>19732</v>
      </c>
      <c r="IU84">
        <v>16117</v>
      </c>
      <c r="IV84">
        <v>23047</v>
      </c>
      <c r="IW84">
        <f t="shared" si="67"/>
        <v>274001</v>
      </c>
      <c r="IX84">
        <v>23829</v>
      </c>
      <c r="IY84">
        <v>8814</v>
      </c>
      <c r="IZ84">
        <v>8187</v>
      </c>
      <c r="JA84">
        <v>10998</v>
      </c>
      <c r="JB84">
        <v>23247</v>
      </c>
      <c r="JC84">
        <v>17091</v>
      </c>
      <c r="JD84">
        <v>10411</v>
      </c>
      <c r="JE84">
        <v>8052</v>
      </c>
      <c r="JF84">
        <v>17653</v>
      </c>
      <c r="JG84">
        <v>11135</v>
      </c>
      <c r="JH84">
        <v>8424</v>
      </c>
      <c r="JI84">
        <v>13205</v>
      </c>
      <c r="JJ84">
        <f t="shared" si="68"/>
        <v>161046</v>
      </c>
      <c r="JK84">
        <v>196</v>
      </c>
      <c r="JL84">
        <v>133</v>
      </c>
      <c r="JM84">
        <v>154</v>
      </c>
      <c r="JN84">
        <v>184</v>
      </c>
      <c r="JO84">
        <v>211</v>
      </c>
      <c r="JP84">
        <v>164</v>
      </c>
      <c r="JQ84">
        <v>148</v>
      </c>
      <c r="JR84">
        <v>116</v>
      </c>
      <c r="JS84">
        <v>104</v>
      </c>
      <c r="JT84">
        <v>150</v>
      </c>
      <c r="JU84">
        <v>126</v>
      </c>
      <c r="JV84">
        <v>154</v>
      </c>
      <c r="JW84">
        <f t="shared" si="69"/>
        <v>1840</v>
      </c>
      <c r="JX84">
        <v>9254</v>
      </c>
      <c r="JY84">
        <v>10134</v>
      </c>
      <c r="JZ84">
        <v>9742</v>
      </c>
      <c r="KA84">
        <v>10358</v>
      </c>
      <c r="KB84">
        <v>10222</v>
      </c>
      <c r="KC84">
        <v>9863</v>
      </c>
      <c r="KD84">
        <v>9717</v>
      </c>
      <c r="KE84">
        <v>8276</v>
      </c>
      <c r="KF84">
        <v>7847</v>
      </c>
      <c r="KG84">
        <v>8447</v>
      </c>
      <c r="KH84">
        <v>7567</v>
      </c>
      <c r="KI84">
        <v>9688</v>
      </c>
      <c r="KJ84">
        <f t="shared" si="70"/>
        <v>111115</v>
      </c>
      <c r="KK84">
        <v>300</v>
      </c>
      <c r="KL84">
        <v>351</v>
      </c>
      <c r="KM84">
        <v>322</v>
      </c>
      <c r="KN84">
        <v>300</v>
      </c>
      <c r="KO84">
        <v>420</v>
      </c>
      <c r="KP84">
        <v>325</v>
      </c>
      <c r="KQ84">
        <v>397</v>
      </c>
      <c r="KR84">
        <v>254</v>
      </c>
      <c r="KS84">
        <v>254</v>
      </c>
      <c r="KT84">
        <v>337</v>
      </c>
      <c r="KU84">
        <v>285</v>
      </c>
      <c r="KV84">
        <v>357</v>
      </c>
      <c r="KW84">
        <f t="shared" si="71"/>
        <v>3902</v>
      </c>
      <c r="KX84">
        <v>0</v>
      </c>
      <c r="KY84">
        <v>0</v>
      </c>
      <c r="KZ84">
        <v>0</v>
      </c>
      <c r="LA84">
        <v>0</v>
      </c>
      <c r="LB84">
        <v>0</v>
      </c>
      <c r="LC84">
        <v>0</v>
      </c>
      <c r="LD84">
        <v>0</v>
      </c>
      <c r="LE84">
        <v>0</v>
      </c>
      <c r="LF84">
        <v>0</v>
      </c>
      <c r="LG84">
        <v>0</v>
      </c>
      <c r="LH84">
        <v>0</v>
      </c>
      <c r="LI84">
        <v>0</v>
      </c>
      <c r="LJ84">
        <f t="shared" si="72"/>
        <v>0</v>
      </c>
      <c r="LK84">
        <v>0</v>
      </c>
      <c r="LL84">
        <v>0</v>
      </c>
      <c r="LM84">
        <v>0</v>
      </c>
      <c r="LN84">
        <v>0</v>
      </c>
      <c r="LO84">
        <v>0</v>
      </c>
      <c r="LP84">
        <v>0</v>
      </c>
      <c r="LQ84">
        <v>0</v>
      </c>
      <c r="LR84">
        <v>0</v>
      </c>
      <c r="LS84">
        <v>0</v>
      </c>
      <c r="LT84">
        <v>0</v>
      </c>
      <c r="LU84">
        <v>0</v>
      </c>
      <c r="LV84">
        <v>0</v>
      </c>
      <c r="LW84">
        <f t="shared" si="73"/>
        <v>0</v>
      </c>
      <c r="LX84">
        <v>0</v>
      </c>
      <c r="LY84">
        <v>0</v>
      </c>
      <c r="LZ84">
        <v>0</v>
      </c>
      <c r="MA84">
        <v>0</v>
      </c>
      <c r="MB84">
        <v>0</v>
      </c>
      <c r="MC84">
        <v>0</v>
      </c>
      <c r="MD84">
        <v>0</v>
      </c>
      <c r="ME84">
        <v>0</v>
      </c>
      <c r="MF84">
        <v>0</v>
      </c>
      <c r="MG84">
        <v>0</v>
      </c>
      <c r="MH84">
        <v>0</v>
      </c>
      <c r="MI84">
        <v>0</v>
      </c>
      <c r="MJ84">
        <f t="shared" si="74"/>
        <v>0</v>
      </c>
      <c r="MK84">
        <v>2255</v>
      </c>
      <c r="ML84">
        <v>2262</v>
      </c>
      <c r="MM84">
        <v>2317</v>
      </c>
      <c r="MN84">
        <v>2481</v>
      </c>
      <c r="MO84">
        <v>2521</v>
      </c>
      <c r="MP84">
        <v>2253</v>
      </c>
      <c r="MQ84">
        <v>2247</v>
      </c>
      <c r="MR84">
        <v>2066</v>
      </c>
      <c r="MS84">
        <v>2098</v>
      </c>
      <c r="MT84">
        <v>2247</v>
      </c>
      <c r="MU84">
        <v>2260</v>
      </c>
      <c r="MV84">
        <v>2430</v>
      </c>
      <c r="MW84">
        <f t="shared" si="75"/>
        <v>27437</v>
      </c>
      <c r="MX84">
        <v>0</v>
      </c>
      <c r="MY84">
        <v>0</v>
      </c>
      <c r="MZ84">
        <v>0</v>
      </c>
      <c r="NA84">
        <v>0</v>
      </c>
      <c r="NB84">
        <v>0</v>
      </c>
      <c r="NC84">
        <v>0</v>
      </c>
      <c r="ND84">
        <v>0</v>
      </c>
      <c r="NE84">
        <v>0</v>
      </c>
      <c r="NF84">
        <v>0</v>
      </c>
      <c r="NG84">
        <v>0</v>
      </c>
      <c r="NH84">
        <v>0</v>
      </c>
      <c r="NI84">
        <v>0</v>
      </c>
      <c r="NJ84">
        <f t="shared" si="76"/>
        <v>0</v>
      </c>
      <c r="NK84">
        <v>0</v>
      </c>
      <c r="NL84">
        <v>0</v>
      </c>
      <c r="NM84">
        <v>0</v>
      </c>
      <c r="NN84">
        <v>0</v>
      </c>
      <c r="NO84">
        <v>0</v>
      </c>
      <c r="NP84">
        <v>0</v>
      </c>
      <c r="NQ84">
        <v>0</v>
      </c>
      <c r="NR84">
        <v>0</v>
      </c>
      <c r="NS84">
        <v>0</v>
      </c>
      <c r="NT84">
        <v>0</v>
      </c>
      <c r="NU84">
        <v>0</v>
      </c>
      <c r="NV84">
        <v>0</v>
      </c>
      <c r="NW84">
        <f t="shared" si="77"/>
        <v>0</v>
      </c>
      <c r="NX84">
        <v>0</v>
      </c>
      <c r="NY84">
        <v>0</v>
      </c>
      <c r="NZ84">
        <v>0</v>
      </c>
      <c r="OA84">
        <v>0</v>
      </c>
      <c r="OB84">
        <v>0</v>
      </c>
      <c r="OC84">
        <v>0</v>
      </c>
      <c r="OD84">
        <v>0</v>
      </c>
      <c r="OE84">
        <v>0</v>
      </c>
      <c r="OF84">
        <v>0</v>
      </c>
      <c r="OG84">
        <v>0</v>
      </c>
      <c r="OH84">
        <v>0</v>
      </c>
      <c r="OI84">
        <v>0</v>
      </c>
      <c r="OJ84">
        <f t="shared" si="78"/>
        <v>0</v>
      </c>
      <c r="OK84">
        <v>3036</v>
      </c>
      <c r="OL84">
        <v>3157</v>
      </c>
      <c r="OM84">
        <v>3093</v>
      </c>
      <c r="ON84">
        <v>3320</v>
      </c>
      <c r="OO84">
        <v>3237</v>
      </c>
      <c r="OP84">
        <v>3309</v>
      </c>
      <c r="OQ84">
        <v>3300</v>
      </c>
      <c r="OR84">
        <v>2999</v>
      </c>
      <c r="OS84">
        <v>3106</v>
      </c>
      <c r="OT84">
        <v>3357</v>
      </c>
      <c r="OU84">
        <v>3375</v>
      </c>
      <c r="OV84">
        <v>3849</v>
      </c>
      <c r="OW84">
        <f t="shared" si="79"/>
        <v>39138</v>
      </c>
      <c r="OX84">
        <v>0</v>
      </c>
      <c r="OY84">
        <v>0</v>
      </c>
      <c r="OZ84">
        <v>0</v>
      </c>
      <c r="PA84">
        <v>0</v>
      </c>
      <c r="PB84">
        <v>0</v>
      </c>
      <c r="PC84">
        <v>0</v>
      </c>
      <c r="PD84">
        <v>0</v>
      </c>
      <c r="PE84">
        <v>0</v>
      </c>
      <c r="PF84">
        <v>0</v>
      </c>
      <c r="PG84">
        <v>0</v>
      </c>
      <c r="PH84">
        <v>0</v>
      </c>
      <c r="PI84">
        <v>0</v>
      </c>
      <c r="PJ84">
        <f t="shared" si="80"/>
        <v>0</v>
      </c>
      <c r="PK84">
        <v>0</v>
      </c>
      <c r="PL84">
        <v>0</v>
      </c>
      <c r="PM84">
        <v>0</v>
      </c>
      <c r="PN84">
        <v>0</v>
      </c>
      <c r="PO84">
        <v>0</v>
      </c>
      <c r="PP84">
        <v>0</v>
      </c>
      <c r="PQ84">
        <v>0</v>
      </c>
      <c r="PR84">
        <v>0</v>
      </c>
      <c r="PS84">
        <v>0</v>
      </c>
      <c r="PT84">
        <v>0</v>
      </c>
      <c r="PU84">
        <v>0</v>
      </c>
      <c r="PV84">
        <v>0</v>
      </c>
      <c r="PW84">
        <f t="shared" si="81"/>
        <v>0</v>
      </c>
      <c r="PX84">
        <v>0</v>
      </c>
      <c r="PY84">
        <v>0</v>
      </c>
      <c r="PZ84">
        <v>0</v>
      </c>
      <c r="QA84">
        <v>0</v>
      </c>
      <c r="QB84">
        <v>0</v>
      </c>
      <c r="QC84">
        <v>0</v>
      </c>
      <c r="QD84">
        <v>0</v>
      </c>
      <c r="QE84">
        <v>0</v>
      </c>
      <c r="QF84">
        <v>0</v>
      </c>
      <c r="QG84">
        <v>0</v>
      </c>
      <c r="QH84">
        <v>0</v>
      </c>
      <c r="QI84">
        <v>0</v>
      </c>
      <c r="QJ84">
        <f t="shared" si="82"/>
        <v>0</v>
      </c>
      <c r="QK84">
        <v>7972</v>
      </c>
      <c r="QL84">
        <v>8733</v>
      </c>
      <c r="QM84">
        <v>8524</v>
      </c>
      <c r="QN84">
        <v>11016</v>
      </c>
      <c r="QO84">
        <v>9836</v>
      </c>
      <c r="QP84">
        <v>10242</v>
      </c>
      <c r="QQ84">
        <v>9372</v>
      </c>
      <c r="QR84">
        <v>8439</v>
      </c>
      <c r="QS84">
        <v>7138</v>
      </c>
      <c r="QT84">
        <v>7080</v>
      </c>
      <c r="QU84">
        <v>7599</v>
      </c>
      <c r="QV84">
        <v>9297</v>
      </c>
      <c r="QW84">
        <f t="shared" si="83"/>
        <v>105248</v>
      </c>
      <c r="QX84">
        <v>9257</v>
      </c>
      <c r="QY84">
        <v>8420</v>
      </c>
      <c r="QZ84">
        <v>8468</v>
      </c>
      <c r="RA84">
        <v>10888</v>
      </c>
      <c r="RB84">
        <v>10294</v>
      </c>
      <c r="RC84">
        <v>10234</v>
      </c>
      <c r="RD84">
        <v>9669</v>
      </c>
      <c r="RE84">
        <v>9432</v>
      </c>
      <c r="RF84">
        <v>7836</v>
      </c>
      <c r="RG84">
        <v>10958</v>
      </c>
      <c r="RH84">
        <v>11190</v>
      </c>
      <c r="RI84">
        <v>11458</v>
      </c>
      <c r="RJ84">
        <f t="shared" si="84"/>
        <v>118104</v>
      </c>
      <c r="RK84">
        <v>0</v>
      </c>
      <c r="RL84">
        <v>0</v>
      </c>
      <c r="RM84">
        <v>0</v>
      </c>
      <c r="RN84">
        <v>0</v>
      </c>
      <c r="RO84">
        <v>0</v>
      </c>
      <c r="RP84">
        <v>0</v>
      </c>
      <c r="RQ84">
        <v>0</v>
      </c>
      <c r="RR84">
        <v>0</v>
      </c>
      <c r="RS84">
        <v>0</v>
      </c>
      <c r="RT84">
        <v>0</v>
      </c>
      <c r="RU84">
        <v>0</v>
      </c>
      <c r="RV84">
        <v>0</v>
      </c>
      <c r="RW84">
        <f t="shared" si="85"/>
        <v>0</v>
      </c>
      <c r="RX84">
        <v>0</v>
      </c>
      <c r="RY84">
        <v>0</v>
      </c>
      <c r="RZ84">
        <v>0</v>
      </c>
      <c r="SA84">
        <v>0</v>
      </c>
      <c r="SB84">
        <v>0</v>
      </c>
      <c r="SC84">
        <v>0</v>
      </c>
      <c r="SD84">
        <v>0</v>
      </c>
      <c r="SE84">
        <v>0</v>
      </c>
      <c r="SF84">
        <v>0</v>
      </c>
      <c r="SG84">
        <v>0</v>
      </c>
      <c r="SH84">
        <v>0</v>
      </c>
      <c r="SI84">
        <v>0</v>
      </c>
      <c r="SJ84">
        <f t="shared" si="86"/>
        <v>0</v>
      </c>
      <c r="SK84">
        <v>622</v>
      </c>
      <c r="SL84">
        <v>998</v>
      </c>
      <c r="SM84">
        <v>929</v>
      </c>
      <c r="SN84">
        <v>868</v>
      </c>
      <c r="SO84">
        <v>1119</v>
      </c>
      <c r="SP84">
        <v>764</v>
      </c>
      <c r="SQ84">
        <v>1142</v>
      </c>
      <c r="SR84">
        <v>562</v>
      </c>
      <c r="SS84">
        <v>698</v>
      </c>
      <c r="ST84">
        <v>763</v>
      </c>
      <c r="SU84">
        <v>824</v>
      </c>
      <c r="SV84">
        <v>918</v>
      </c>
      <c r="SW84">
        <f t="shared" si="87"/>
        <v>10207</v>
      </c>
      <c r="SX84" t="s">
        <v>1418</v>
      </c>
      <c r="SY84">
        <v>0</v>
      </c>
      <c r="SZ84">
        <v>0</v>
      </c>
      <c r="TA84">
        <v>0</v>
      </c>
      <c r="TB84">
        <v>0</v>
      </c>
      <c r="TC84">
        <v>0</v>
      </c>
      <c r="TD84">
        <v>0</v>
      </c>
      <c r="TE84">
        <v>0</v>
      </c>
      <c r="TF84">
        <v>0</v>
      </c>
      <c r="TG84">
        <v>0</v>
      </c>
      <c r="TH84">
        <v>0</v>
      </c>
      <c r="TI84">
        <v>0</v>
      </c>
      <c r="TJ84">
        <v>0</v>
      </c>
      <c r="TK84">
        <f t="shared" si="88"/>
        <v>0</v>
      </c>
      <c r="TL84">
        <v>0</v>
      </c>
      <c r="TM84">
        <v>0</v>
      </c>
      <c r="TN84">
        <v>0</v>
      </c>
      <c r="TO84">
        <v>0</v>
      </c>
      <c r="TP84">
        <v>0</v>
      </c>
      <c r="TQ84">
        <v>0</v>
      </c>
      <c r="TR84">
        <v>0</v>
      </c>
      <c r="TS84">
        <v>0</v>
      </c>
      <c r="TT84">
        <v>0</v>
      </c>
      <c r="TU84">
        <v>0</v>
      </c>
      <c r="TV84">
        <v>0</v>
      </c>
      <c r="TW84">
        <v>0</v>
      </c>
      <c r="TX84">
        <f t="shared" si="89"/>
        <v>0</v>
      </c>
      <c r="TY84">
        <v>54</v>
      </c>
      <c r="TZ84">
        <v>0</v>
      </c>
      <c r="UA84">
        <v>0</v>
      </c>
      <c r="UB84">
        <v>0</v>
      </c>
    </row>
    <row r="85" spans="1:548" ht="16.5" customHeight="1" x14ac:dyDescent="0.35">
      <c r="A85" t="s">
        <v>1471</v>
      </c>
      <c r="B85" t="s">
        <v>2863</v>
      </c>
      <c r="C85">
        <v>61750</v>
      </c>
      <c r="D85">
        <v>25763</v>
      </c>
      <c r="E85">
        <v>3003</v>
      </c>
      <c r="F85">
        <v>30720</v>
      </c>
      <c r="G85">
        <v>1288</v>
      </c>
      <c r="H85">
        <v>1393</v>
      </c>
      <c r="I85">
        <v>1355</v>
      </c>
      <c r="J85">
        <v>1377</v>
      </c>
      <c r="K85">
        <v>1065</v>
      </c>
      <c r="L85">
        <v>1394</v>
      </c>
      <c r="M85">
        <v>1563</v>
      </c>
      <c r="N85">
        <v>1363</v>
      </c>
      <c r="O85">
        <v>1047</v>
      </c>
      <c r="P85">
        <v>1330</v>
      </c>
      <c r="Q85">
        <v>1526</v>
      </c>
      <c r="R85">
        <v>1656</v>
      </c>
      <c r="S85">
        <f t="shared" si="45"/>
        <v>16357</v>
      </c>
      <c r="T85">
        <v>431</v>
      </c>
      <c r="U85">
        <v>503</v>
      </c>
      <c r="V85">
        <v>505</v>
      </c>
      <c r="W85">
        <v>496</v>
      </c>
      <c r="X85">
        <v>311</v>
      </c>
      <c r="Y85">
        <v>439</v>
      </c>
      <c r="Z85">
        <v>519</v>
      </c>
      <c r="AA85">
        <v>493</v>
      </c>
      <c r="AB85">
        <v>360</v>
      </c>
      <c r="AC85">
        <v>397</v>
      </c>
      <c r="AD85">
        <v>508</v>
      </c>
      <c r="AE85">
        <v>578</v>
      </c>
      <c r="AF85">
        <f t="shared" si="46"/>
        <v>5540</v>
      </c>
      <c r="AG85">
        <v>19</v>
      </c>
      <c r="AH85">
        <v>21</v>
      </c>
      <c r="AI85">
        <v>11</v>
      </c>
      <c r="AJ85">
        <v>16</v>
      </c>
      <c r="AK85">
        <v>5</v>
      </c>
      <c r="AL85">
        <v>33</v>
      </c>
      <c r="AM85">
        <v>30</v>
      </c>
      <c r="AN85">
        <v>11</v>
      </c>
      <c r="AO85">
        <v>8</v>
      </c>
      <c r="AP85">
        <v>25</v>
      </c>
      <c r="AQ85">
        <v>34</v>
      </c>
      <c r="AR85">
        <v>65</v>
      </c>
      <c r="AS85">
        <f t="shared" si="47"/>
        <v>278</v>
      </c>
      <c r="AT85">
        <v>838</v>
      </c>
      <c r="AU85">
        <v>869</v>
      </c>
      <c r="AV85">
        <v>839</v>
      </c>
      <c r="AW85">
        <v>865</v>
      </c>
      <c r="AX85">
        <v>749</v>
      </c>
      <c r="AY85">
        <v>922</v>
      </c>
      <c r="AZ85">
        <v>1014</v>
      </c>
      <c r="BA85">
        <v>859</v>
      </c>
      <c r="BB85">
        <v>679</v>
      </c>
      <c r="BC85">
        <v>908</v>
      </c>
      <c r="BD85">
        <v>984</v>
      </c>
      <c r="BE85">
        <v>1013</v>
      </c>
      <c r="BF85">
        <f t="shared" si="48"/>
        <v>10539</v>
      </c>
      <c r="BG85">
        <v>0</v>
      </c>
      <c r="BH85">
        <v>0</v>
      </c>
      <c r="BI85">
        <v>0</v>
      </c>
      <c r="BJ85">
        <v>0</v>
      </c>
      <c r="BK85">
        <v>0</v>
      </c>
      <c r="BL85">
        <v>0</v>
      </c>
      <c r="BM85">
        <v>0</v>
      </c>
      <c r="BN85">
        <v>0</v>
      </c>
      <c r="BO85">
        <v>0</v>
      </c>
      <c r="BP85">
        <v>0</v>
      </c>
      <c r="BQ85">
        <v>0</v>
      </c>
      <c r="BR85">
        <v>0</v>
      </c>
      <c r="BS85">
        <f t="shared" si="49"/>
        <v>0</v>
      </c>
      <c r="BT85">
        <v>0</v>
      </c>
      <c r="BU85">
        <v>0</v>
      </c>
      <c r="BV85">
        <v>0</v>
      </c>
      <c r="BW85">
        <v>0</v>
      </c>
      <c r="BX85">
        <v>0</v>
      </c>
      <c r="BY85">
        <v>0</v>
      </c>
      <c r="BZ85">
        <v>0</v>
      </c>
      <c r="CA85">
        <v>0</v>
      </c>
      <c r="CB85">
        <v>0</v>
      </c>
      <c r="CC85">
        <v>0</v>
      </c>
      <c r="CD85">
        <v>0</v>
      </c>
      <c r="CE85">
        <v>9</v>
      </c>
      <c r="CF85">
        <f t="shared" si="50"/>
        <v>9</v>
      </c>
      <c r="CG85">
        <v>0</v>
      </c>
      <c r="CH85">
        <v>0</v>
      </c>
      <c r="CI85">
        <v>0</v>
      </c>
      <c r="CJ85">
        <v>0</v>
      </c>
      <c r="CK85">
        <v>0</v>
      </c>
      <c r="CL85">
        <v>0</v>
      </c>
      <c r="CM85">
        <v>0</v>
      </c>
      <c r="CN85">
        <v>0</v>
      </c>
      <c r="CO85">
        <v>0</v>
      </c>
      <c r="CP85">
        <v>0</v>
      </c>
      <c r="CQ85">
        <v>0</v>
      </c>
      <c r="CR85">
        <v>0</v>
      </c>
      <c r="CS85">
        <f t="shared" si="51"/>
        <v>0</v>
      </c>
      <c r="CT85">
        <v>0</v>
      </c>
      <c r="CU85">
        <v>0</v>
      </c>
      <c r="CV85">
        <v>0</v>
      </c>
      <c r="CW85">
        <v>0</v>
      </c>
      <c r="CX85">
        <v>0</v>
      </c>
      <c r="CY85">
        <v>0</v>
      </c>
      <c r="CZ85">
        <v>0</v>
      </c>
      <c r="DA85">
        <v>0</v>
      </c>
      <c r="DB85">
        <v>0</v>
      </c>
      <c r="DC85">
        <v>0</v>
      </c>
      <c r="DD85">
        <v>0</v>
      </c>
      <c r="DE85">
        <v>0</v>
      </c>
      <c r="DF85">
        <f t="shared" si="52"/>
        <v>0</v>
      </c>
      <c r="DG85">
        <v>0</v>
      </c>
      <c r="DH85">
        <v>0</v>
      </c>
      <c r="DI85">
        <v>0</v>
      </c>
      <c r="DJ85">
        <v>0</v>
      </c>
      <c r="DK85">
        <v>0</v>
      </c>
      <c r="DL85">
        <v>0</v>
      </c>
      <c r="DM85">
        <v>0</v>
      </c>
      <c r="DN85">
        <v>0</v>
      </c>
      <c r="DO85">
        <v>0</v>
      </c>
      <c r="DP85">
        <v>0</v>
      </c>
      <c r="DQ85">
        <v>0</v>
      </c>
      <c r="DR85">
        <v>9</v>
      </c>
      <c r="DS85">
        <f t="shared" si="53"/>
        <v>9</v>
      </c>
      <c r="DT85">
        <v>0</v>
      </c>
      <c r="DU85">
        <v>0</v>
      </c>
      <c r="DV85">
        <v>0</v>
      </c>
      <c r="DW85">
        <v>0</v>
      </c>
      <c r="DX85">
        <v>0</v>
      </c>
      <c r="DY85">
        <v>0</v>
      </c>
      <c r="DZ85">
        <v>0</v>
      </c>
      <c r="EA85">
        <v>0</v>
      </c>
      <c r="EB85">
        <v>0</v>
      </c>
      <c r="EC85">
        <v>0</v>
      </c>
      <c r="ED85">
        <v>0</v>
      </c>
      <c r="EE85">
        <v>0</v>
      </c>
      <c r="EF85">
        <f t="shared" si="54"/>
        <v>0</v>
      </c>
      <c r="EG85">
        <f t="shared" si="55"/>
        <v>16357</v>
      </c>
      <c r="EH85">
        <f t="shared" si="56"/>
        <v>9</v>
      </c>
      <c r="EI85">
        <v>18595</v>
      </c>
      <c r="EJ85">
        <v>22214</v>
      </c>
      <c r="EK85">
        <v>25874</v>
      </c>
      <c r="EL85">
        <v>32861</v>
      </c>
      <c r="EM85">
        <v>14945</v>
      </c>
      <c r="EN85">
        <v>18923</v>
      </c>
      <c r="EO85">
        <v>20954</v>
      </c>
      <c r="EP85">
        <v>20292</v>
      </c>
      <c r="EQ85">
        <v>16087</v>
      </c>
      <c r="ER85">
        <v>15521</v>
      </c>
      <c r="ES85">
        <v>20574</v>
      </c>
      <c r="ET85">
        <v>23071</v>
      </c>
      <c r="EU85">
        <f t="shared" si="57"/>
        <v>249911</v>
      </c>
      <c r="EV85">
        <v>9281</v>
      </c>
      <c r="EW85">
        <v>9485</v>
      </c>
      <c r="EX85">
        <v>17470</v>
      </c>
      <c r="EY85">
        <v>22633</v>
      </c>
      <c r="EZ85">
        <v>6443</v>
      </c>
      <c r="FA85">
        <v>8900</v>
      </c>
      <c r="FB85">
        <v>10259</v>
      </c>
      <c r="FC85">
        <v>9798</v>
      </c>
      <c r="FD85">
        <v>6573</v>
      </c>
      <c r="FE85">
        <v>7137</v>
      </c>
      <c r="FF85">
        <v>10685</v>
      </c>
      <c r="FG85">
        <v>12523</v>
      </c>
      <c r="FH85">
        <f t="shared" si="58"/>
        <v>131187</v>
      </c>
      <c r="FI85">
        <v>92</v>
      </c>
      <c r="FJ85">
        <v>125</v>
      </c>
      <c r="FK85">
        <v>74</v>
      </c>
      <c r="FL85">
        <v>87</v>
      </c>
      <c r="FM85">
        <v>32</v>
      </c>
      <c r="FN85">
        <v>135</v>
      </c>
      <c r="FO85">
        <v>182</v>
      </c>
      <c r="FP85">
        <v>109</v>
      </c>
      <c r="FQ85">
        <v>120</v>
      </c>
      <c r="FR85">
        <v>144</v>
      </c>
      <c r="FS85">
        <v>149</v>
      </c>
      <c r="FT85">
        <v>192</v>
      </c>
      <c r="FU85">
        <f t="shared" si="59"/>
        <v>1441</v>
      </c>
      <c r="FV85">
        <v>9222</v>
      </c>
      <c r="FW85">
        <v>12604</v>
      </c>
      <c r="FX85">
        <v>8330</v>
      </c>
      <c r="FY85">
        <v>10141</v>
      </c>
      <c r="FZ85">
        <v>8470</v>
      </c>
      <c r="GA85">
        <v>9888</v>
      </c>
      <c r="GB85">
        <v>10513</v>
      </c>
      <c r="GC85">
        <v>10385</v>
      </c>
      <c r="GD85">
        <v>9394</v>
      </c>
      <c r="GE85">
        <v>8240</v>
      </c>
      <c r="GF85">
        <v>9740</v>
      </c>
      <c r="GG85">
        <v>10356</v>
      </c>
      <c r="GH85">
        <f t="shared" si="60"/>
        <v>117283</v>
      </c>
      <c r="GI85">
        <v>0</v>
      </c>
      <c r="GJ85">
        <v>0</v>
      </c>
      <c r="GK85">
        <v>0</v>
      </c>
      <c r="GL85">
        <v>0</v>
      </c>
      <c r="GM85">
        <v>0</v>
      </c>
      <c r="GN85">
        <v>0</v>
      </c>
      <c r="GO85">
        <v>0</v>
      </c>
      <c r="GP85">
        <v>0</v>
      </c>
      <c r="GQ85">
        <v>0</v>
      </c>
      <c r="GR85">
        <v>0</v>
      </c>
      <c r="GS85">
        <v>0</v>
      </c>
      <c r="GT85">
        <v>19986</v>
      </c>
      <c r="GU85">
        <f t="shared" si="61"/>
        <v>19986</v>
      </c>
      <c r="GV85">
        <v>0</v>
      </c>
      <c r="GW85">
        <v>0</v>
      </c>
      <c r="GX85">
        <v>0</v>
      </c>
      <c r="GY85">
        <v>0</v>
      </c>
      <c r="GZ85">
        <v>0</v>
      </c>
      <c r="HA85">
        <v>0</v>
      </c>
      <c r="HB85">
        <v>0</v>
      </c>
      <c r="HC85">
        <v>0</v>
      </c>
      <c r="HD85">
        <v>0</v>
      </c>
      <c r="HE85">
        <v>0</v>
      </c>
      <c r="HF85">
        <v>0</v>
      </c>
      <c r="HG85">
        <v>0</v>
      </c>
      <c r="HH85">
        <f t="shared" si="62"/>
        <v>0</v>
      </c>
      <c r="HI85">
        <v>0</v>
      </c>
      <c r="HJ85">
        <v>0</v>
      </c>
      <c r="HK85">
        <v>0</v>
      </c>
      <c r="HL85">
        <v>0</v>
      </c>
      <c r="HM85">
        <v>0</v>
      </c>
      <c r="HN85">
        <v>0</v>
      </c>
      <c r="HO85">
        <v>0</v>
      </c>
      <c r="HP85">
        <v>0</v>
      </c>
      <c r="HQ85">
        <v>0</v>
      </c>
      <c r="HR85">
        <v>0</v>
      </c>
      <c r="HS85">
        <v>0</v>
      </c>
      <c r="HT85">
        <v>0</v>
      </c>
      <c r="HU85">
        <f t="shared" si="63"/>
        <v>0</v>
      </c>
      <c r="HV85">
        <v>0</v>
      </c>
      <c r="HW85">
        <v>0</v>
      </c>
      <c r="HX85">
        <v>0</v>
      </c>
      <c r="HY85">
        <v>0</v>
      </c>
      <c r="HZ85">
        <v>0</v>
      </c>
      <c r="IA85">
        <v>0</v>
      </c>
      <c r="IB85">
        <v>0</v>
      </c>
      <c r="IC85">
        <v>0</v>
      </c>
      <c r="ID85">
        <v>0</v>
      </c>
      <c r="IE85">
        <v>0</v>
      </c>
      <c r="IF85">
        <v>0</v>
      </c>
      <c r="IG85">
        <v>19986</v>
      </c>
      <c r="IH85">
        <f t="shared" si="64"/>
        <v>19986</v>
      </c>
      <c r="II85">
        <f t="shared" si="65"/>
        <v>249911</v>
      </c>
      <c r="IJ85">
        <f t="shared" si="66"/>
        <v>19986</v>
      </c>
      <c r="IK85">
        <v>107784</v>
      </c>
      <c r="IL85">
        <v>109334</v>
      </c>
      <c r="IM85">
        <v>108306</v>
      </c>
      <c r="IN85">
        <v>141714</v>
      </c>
      <c r="IO85">
        <v>134731</v>
      </c>
      <c r="IP85">
        <v>112614</v>
      </c>
      <c r="IQ85">
        <v>121093</v>
      </c>
      <c r="IR85">
        <v>101851</v>
      </c>
      <c r="IS85">
        <v>90539</v>
      </c>
      <c r="IT85">
        <v>105810</v>
      </c>
      <c r="IU85">
        <v>108566</v>
      </c>
      <c r="IV85">
        <v>113603</v>
      </c>
      <c r="IW85">
        <f t="shared" si="67"/>
        <v>1355945</v>
      </c>
      <c r="IX85">
        <v>46313</v>
      </c>
      <c r="IY85">
        <v>47952</v>
      </c>
      <c r="IZ85">
        <v>42994</v>
      </c>
      <c r="JA85">
        <v>71285</v>
      </c>
      <c r="JB85">
        <v>69393</v>
      </c>
      <c r="JC85">
        <v>50450</v>
      </c>
      <c r="JD85">
        <v>53373</v>
      </c>
      <c r="JE85">
        <v>44237</v>
      </c>
      <c r="JF85">
        <v>34593</v>
      </c>
      <c r="JG85">
        <v>45869</v>
      </c>
      <c r="JH85">
        <v>49121</v>
      </c>
      <c r="JI85">
        <v>50115</v>
      </c>
      <c r="JJ85">
        <f t="shared" si="68"/>
        <v>605695</v>
      </c>
      <c r="JK85">
        <v>650</v>
      </c>
      <c r="JL85">
        <v>709</v>
      </c>
      <c r="JM85">
        <v>593</v>
      </c>
      <c r="JN85">
        <v>864</v>
      </c>
      <c r="JO85">
        <v>845</v>
      </c>
      <c r="JP85">
        <v>695</v>
      </c>
      <c r="JQ85">
        <v>646</v>
      </c>
      <c r="JR85">
        <v>531</v>
      </c>
      <c r="JS85">
        <v>523</v>
      </c>
      <c r="JT85">
        <v>618</v>
      </c>
      <c r="JU85">
        <v>723</v>
      </c>
      <c r="JV85">
        <v>697</v>
      </c>
      <c r="JW85">
        <f t="shared" si="69"/>
        <v>8094</v>
      </c>
      <c r="JX85">
        <v>60821</v>
      </c>
      <c r="JY85">
        <v>60673</v>
      </c>
      <c r="JZ85">
        <v>64719</v>
      </c>
      <c r="KA85">
        <v>69565</v>
      </c>
      <c r="KB85">
        <v>64493</v>
      </c>
      <c r="KC85">
        <v>61469</v>
      </c>
      <c r="KD85">
        <v>67074</v>
      </c>
      <c r="KE85">
        <v>57083</v>
      </c>
      <c r="KF85">
        <v>55423</v>
      </c>
      <c r="KG85">
        <v>59323</v>
      </c>
      <c r="KH85">
        <v>58722</v>
      </c>
      <c r="KI85">
        <v>62791</v>
      </c>
      <c r="KJ85">
        <f t="shared" si="70"/>
        <v>742156</v>
      </c>
      <c r="KK85">
        <v>2108</v>
      </c>
      <c r="KL85">
        <v>1930</v>
      </c>
      <c r="KM85">
        <v>2441</v>
      </c>
      <c r="KN85">
        <v>2634</v>
      </c>
      <c r="KO85">
        <v>1906</v>
      </c>
      <c r="KP85">
        <v>1895</v>
      </c>
      <c r="KQ85">
        <v>2545</v>
      </c>
      <c r="KR85">
        <v>1694</v>
      </c>
      <c r="KS85">
        <v>1818</v>
      </c>
      <c r="KT85">
        <v>1632</v>
      </c>
      <c r="KU85">
        <v>1838</v>
      </c>
      <c r="KV85">
        <v>2252</v>
      </c>
      <c r="KW85">
        <f t="shared" si="71"/>
        <v>24693</v>
      </c>
      <c r="KX85">
        <v>106</v>
      </c>
      <c r="KY85">
        <v>125</v>
      </c>
      <c r="KZ85">
        <v>107</v>
      </c>
      <c r="LA85">
        <v>194</v>
      </c>
      <c r="LB85">
        <v>203</v>
      </c>
      <c r="LC85">
        <v>118</v>
      </c>
      <c r="LD85">
        <v>138</v>
      </c>
      <c r="LE85">
        <v>101</v>
      </c>
      <c r="LF85">
        <v>81</v>
      </c>
      <c r="LG85">
        <v>118</v>
      </c>
      <c r="LH85">
        <v>104</v>
      </c>
      <c r="LI85">
        <v>124</v>
      </c>
      <c r="LJ85">
        <f t="shared" si="72"/>
        <v>1519</v>
      </c>
      <c r="LK85">
        <v>0</v>
      </c>
      <c r="LL85">
        <v>0</v>
      </c>
      <c r="LM85">
        <v>0</v>
      </c>
      <c r="LN85">
        <v>0</v>
      </c>
      <c r="LO85">
        <v>0</v>
      </c>
      <c r="LP85">
        <v>0</v>
      </c>
      <c r="LQ85">
        <v>0</v>
      </c>
      <c r="LR85">
        <v>0</v>
      </c>
      <c r="LS85">
        <v>0</v>
      </c>
      <c r="LT85">
        <v>0</v>
      </c>
      <c r="LU85">
        <v>0</v>
      </c>
      <c r="LV85">
        <v>0</v>
      </c>
      <c r="LW85">
        <f t="shared" si="73"/>
        <v>0</v>
      </c>
      <c r="LX85">
        <v>2002</v>
      </c>
      <c r="LY85">
        <v>1805</v>
      </c>
      <c r="LZ85">
        <v>2334</v>
      </c>
      <c r="MA85">
        <v>2440</v>
      </c>
      <c r="MB85">
        <v>1703</v>
      </c>
      <c r="MC85">
        <v>1777</v>
      </c>
      <c r="MD85">
        <v>2407</v>
      </c>
      <c r="ME85">
        <v>1593</v>
      </c>
      <c r="MF85">
        <v>1737</v>
      </c>
      <c r="MG85">
        <v>1514</v>
      </c>
      <c r="MH85">
        <v>1734</v>
      </c>
      <c r="MI85">
        <v>2128</v>
      </c>
      <c r="MJ85">
        <f t="shared" si="74"/>
        <v>23174</v>
      </c>
      <c r="MK85">
        <v>8320</v>
      </c>
      <c r="ML85">
        <v>11036</v>
      </c>
      <c r="MM85">
        <v>7863</v>
      </c>
      <c r="MN85">
        <v>8197</v>
      </c>
      <c r="MO85">
        <v>8256</v>
      </c>
      <c r="MP85">
        <v>7872</v>
      </c>
      <c r="MQ85">
        <v>8200</v>
      </c>
      <c r="MR85">
        <v>7911</v>
      </c>
      <c r="MS85">
        <v>8089</v>
      </c>
      <c r="MT85">
        <v>8093</v>
      </c>
      <c r="MU85">
        <v>7383</v>
      </c>
      <c r="MV85">
        <v>7851</v>
      </c>
      <c r="MW85">
        <f t="shared" si="75"/>
        <v>99071</v>
      </c>
      <c r="MX85">
        <v>586</v>
      </c>
      <c r="MY85">
        <v>1029</v>
      </c>
      <c r="MZ85">
        <v>536</v>
      </c>
      <c r="NA85">
        <v>599</v>
      </c>
      <c r="NB85">
        <v>606</v>
      </c>
      <c r="NC85">
        <v>546</v>
      </c>
      <c r="ND85">
        <v>528</v>
      </c>
      <c r="NE85">
        <v>521</v>
      </c>
      <c r="NF85">
        <v>613</v>
      </c>
      <c r="NG85">
        <v>566</v>
      </c>
      <c r="NH85">
        <v>541</v>
      </c>
      <c r="NI85">
        <v>547</v>
      </c>
      <c r="NJ85">
        <f t="shared" si="76"/>
        <v>7218</v>
      </c>
      <c r="NK85">
        <v>322</v>
      </c>
      <c r="NL85">
        <v>372</v>
      </c>
      <c r="NM85">
        <v>289</v>
      </c>
      <c r="NN85">
        <v>342</v>
      </c>
      <c r="NO85">
        <v>328</v>
      </c>
      <c r="NP85">
        <v>296</v>
      </c>
      <c r="NQ85">
        <v>349</v>
      </c>
      <c r="NR85">
        <v>306</v>
      </c>
      <c r="NS85">
        <v>292</v>
      </c>
      <c r="NT85">
        <v>297</v>
      </c>
      <c r="NU85">
        <v>367</v>
      </c>
      <c r="NV85">
        <v>366</v>
      </c>
      <c r="NW85">
        <f t="shared" si="77"/>
        <v>3926</v>
      </c>
      <c r="NX85">
        <v>7412</v>
      </c>
      <c r="NY85">
        <v>9635</v>
      </c>
      <c r="NZ85">
        <v>7038</v>
      </c>
      <c r="OA85">
        <v>7256</v>
      </c>
      <c r="OB85">
        <v>7322</v>
      </c>
      <c r="OC85">
        <v>7030</v>
      </c>
      <c r="OD85">
        <v>7323</v>
      </c>
      <c r="OE85">
        <v>7084</v>
      </c>
      <c r="OF85">
        <v>7184</v>
      </c>
      <c r="OG85">
        <v>7230</v>
      </c>
      <c r="OH85">
        <v>6475</v>
      </c>
      <c r="OI85">
        <v>6938</v>
      </c>
      <c r="OJ85">
        <f t="shared" si="78"/>
        <v>87927</v>
      </c>
      <c r="OK85">
        <v>10646</v>
      </c>
      <c r="OL85">
        <v>8230</v>
      </c>
      <c r="OM85">
        <v>10552</v>
      </c>
      <c r="ON85">
        <v>11181</v>
      </c>
      <c r="OO85">
        <v>11522</v>
      </c>
      <c r="OP85">
        <v>11427</v>
      </c>
      <c r="OQ85">
        <v>12138</v>
      </c>
      <c r="OR85">
        <v>11676</v>
      </c>
      <c r="OS85">
        <v>11700</v>
      </c>
      <c r="OT85">
        <v>12667</v>
      </c>
      <c r="OU85">
        <v>11705</v>
      </c>
      <c r="OV85">
        <v>12727</v>
      </c>
      <c r="OW85">
        <f t="shared" si="79"/>
        <v>136171</v>
      </c>
      <c r="OX85">
        <v>1034</v>
      </c>
      <c r="OY85">
        <v>575</v>
      </c>
      <c r="OZ85">
        <v>967</v>
      </c>
      <c r="PA85">
        <v>1113</v>
      </c>
      <c r="PB85">
        <v>1115</v>
      </c>
      <c r="PC85">
        <v>975</v>
      </c>
      <c r="PD85">
        <v>1011</v>
      </c>
      <c r="PE85">
        <v>932</v>
      </c>
      <c r="PF85">
        <v>1097</v>
      </c>
      <c r="PG85">
        <v>1093</v>
      </c>
      <c r="PH85">
        <v>1009</v>
      </c>
      <c r="PI85">
        <v>1080</v>
      </c>
      <c r="PJ85">
        <f t="shared" si="80"/>
        <v>12001</v>
      </c>
      <c r="PK85">
        <v>385</v>
      </c>
      <c r="PL85">
        <v>298</v>
      </c>
      <c r="PM85">
        <v>364</v>
      </c>
      <c r="PN85">
        <v>410</v>
      </c>
      <c r="PO85">
        <v>412</v>
      </c>
      <c r="PP85">
        <v>410</v>
      </c>
      <c r="PQ85">
        <v>387</v>
      </c>
      <c r="PR85">
        <v>469</v>
      </c>
      <c r="PS85">
        <v>450</v>
      </c>
      <c r="PT85">
        <v>472</v>
      </c>
      <c r="PU85">
        <v>555</v>
      </c>
      <c r="PV85">
        <v>684</v>
      </c>
      <c r="PW85">
        <f t="shared" si="81"/>
        <v>5296</v>
      </c>
      <c r="PX85">
        <v>9227</v>
      </c>
      <c r="PY85">
        <v>7357</v>
      </c>
      <c r="PZ85">
        <v>9221</v>
      </c>
      <c r="QA85">
        <v>9658</v>
      </c>
      <c r="QB85">
        <v>9995</v>
      </c>
      <c r="QC85">
        <v>10042</v>
      </c>
      <c r="QD85">
        <v>10740</v>
      </c>
      <c r="QE85">
        <v>10275</v>
      </c>
      <c r="QF85">
        <v>10153</v>
      </c>
      <c r="QG85">
        <v>11102</v>
      </c>
      <c r="QH85">
        <v>10141</v>
      </c>
      <c r="QI85">
        <v>10963</v>
      </c>
      <c r="QJ85">
        <f t="shared" si="82"/>
        <v>118874</v>
      </c>
      <c r="QK85">
        <v>58532</v>
      </c>
      <c r="QL85">
        <v>60760</v>
      </c>
      <c r="QM85">
        <v>55234</v>
      </c>
      <c r="QN85">
        <v>65507</v>
      </c>
      <c r="QO85">
        <v>63666</v>
      </c>
      <c r="QP85">
        <v>56675</v>
      </c>
      <c r="QQ85">
        <v>62783</v>
      </c>
      <c r="QR85">
        <v>58552</v>
      </c>
      <c r="QS85">
        <v>51806</v>
      </c>
      <c r="QT85">
        <v>54098</v>
      </c>
      <c r="QU85">
        <v>56705</v>
      </c>
      <c r="QV85">
        <v>63679</v>
      </c>
      <c r="QW85">
        <f t="shared" si="83"/>
        <v>707997</v>
      </c>
      <c r="QX85">
        <v>100734</v>
      </c>
      <c r="QY85">
        <v>95632</v>
      </c>
      <c r="QZ85">
        <v>89606</v>
      </c>
      <c r="RA85">
        <v>103909</v>
      </c>
      <c r="RB85">
        <v>106741</v>
      </c>
      <c r="RC85">
        <v>95557</v>
      </c>
      <c r="RD85">
        <v>112081</v>
      </c>
      <c r="RE85">
        <v>95884</v>
      </c>
      <c r="RF85">
        <v>91053</v>
      </c>
      <c r="RG85">
        <v>94141</v>
      </c>
      <c r="RH85">
        <v>100015</v>
      </c>
      <c r="RI85">
        <v>107974</v>
      </c>
      <c r="RJ85">
        <f t="shared" si="84"/>
        <v>1193327</v>
      </c>
      <c r="RK85">
        <v>0</v>
      </c>
      <c r="RL85">
        <v>0</v>
      </c>
      <c r="RM85">
        <v>0</v>
      </c>
      <c r="RN85">
        <v>0</v>
      </c>
      <c r="RO85">
        <v>0</v>
      </c>
      <c r="RP85">
        <v>0</v>
      </c>
      <c r="RQ85">
        <v>0</v>
      </c>
      <c r="RR85">
        <v>0</v>
      </c>
      <c r="RS85">
        <v>0</v>
      </c>
      <c r="RT85">
        <v>0</v>
      </c>
      <c r="RU85">
        <v>0</v>
      </c>
      <c r="RV85">
        <v>0</v>
      </c>
      <c r="RW85">
        <f t="shared" si="85"/>
        <v>0</v>
      </c>
      <c r="RX85">
        <v>1508</v>
      </c>
      <c r="RY85">
        <v>1617</v>
      </c>
      <c r="RZ85">
        <v>1404</v>
      </c>
      <c r="SA85">
        <v>1335</v>
      </c>
      <c r="SB85">
        <v>853</v>
      </c>
      <c r="SC85">
        <v>1858</v>
      </c>
      <c r="SD85">
        <v>1970</v>
      </c>
      <c r="SE85">
        <v>1715</v>
      </c>
      <c r="SF85">
        <v>1308</v>
      </c>
      <c r="SG85">
        <v>1669</v>
      </c>
      <c r="SH85">
        <v>1529</v>
      </c>
      <c r="SI85">
        <v>1469</v>
      </c>
      <c r="SJ85">
        <f t="shared" si="86"/>
        <v>18235</v>
      </c>
      <c r="SK85">
        <v>80</v>
      </c>
      <c r="SL85">
        <v>81</v>
      </c>
      <c r="SM85">
        <v>81</v>
      </c>
      <c r="SN85">
        <v>82</v>
      </c>
      <c r="SO85">
        <v>83</v>
      </c>
      <c r="SP85">
        <v>79</v>
      </c>
      <c r="SQ85">
        <v>78</v>
      </c>
      <c r="SR85">
        <v>75</v>
      </c>
      <c r="SS85">
        <v>77</v>
      </c>
      <c r="ST85">
        <v>77</v>
      </c>
      <c r="SU85">
        <v>77</v>
      </c>
      <c r="SV85">
        <v>75</v>
      </c>
      <c r="SW85">
        <f t="shared" si="87"/>
        <v>945</v>
      </c>
      <c r="SX85" s="1" t="s">
        <v>1472</v>
      </c>
      <c r="SY85">
        <v>0</v>
      </c>
      <c r="SZ85">
        <v>0</v>
      </c>
      <c r="TA85">
        <v>0</v>
      </c>
      <c r="TB85">
        <v>0</v>
      </c>
      <c r="TC85">
        <v>0</v>
      </c>
      <c r="TD85">
        <v>0</v>
      </c>
      <c r="TE85">
        <v>0</v>
      </c>
      <c r="TF85">
        <v>0</v>
      </c>
      <c r="TG85">
        <v>0</v>
      </c>
      <c r="TH85">
        <v>0</v>
      </c>
      <c r="TI85">
        <v>0</v>
      </c>
      <c r="TJ85">
        <v>111759</v>
      </c>
      <c r="TK85">
        <f t="shared" si="88"/>
        <v>111759</v>
      </c>
      <c r="TL85">
        <v>0</v>
      </c>
      <c r="TM85">
        <v>0</v>
      </c>
      <c r="TN85">
        <v>0</v>
      </c>
      <c r="TO85">
        <v>0</v>
      </c>
      <c r="TP85">
        <v>0</v>
      </c>
      <c r="TQ85">
        <v>0</v>
      </c>
      <c r="TR85">
        <v>0</v>
      </c>
      <c r="TS85">
        <v>0</v>
      </c>
      <c r="TT85">
        <v>0</v>
      </c>
      <c r="TU85">
        <v>0</v>
      </c>
      <c r="TV85">
        <v>0</v>
      </c>
      <c r="TW85">
        <v>0</v>
      </c>
      <c r="TX85">
        <f t="shared" si="89"/>
        <v>0</v>
      </c>
      <c r="TY85">
        <v>345</v>
      </c>
      <c r="TZ85">
        <v>0</v>
      </c>
      <c r="UA85">
        <v>0</v>
      </c>
      <c r="UB85">
        <v>0</v>
      </c>
    </row>
    <row r="86" spans="1:548" ht="16.5" customHeight="1" x14ac:dyDescent="0.35">
      <c r="A86" t="s">
        <v>1550</v>
      </c>
      <c r="B86" t="s">
        <v>2865</v>
      </c>
      <c r="C86">
        <v>14324</v>
      </c>
      <c r="D86">
        <v>4206</v>
      </c>
      <c r="E86">
        <v>285</v>
      </c>
      <c r="F86">
        <v>9833</v>
      </c>
      <c r="G86">
        <v>321</v>
      </c>
      <c r="H86">
        <v>344</v>
      </c>
      <c r="I86">
        <v>349</v>
      </c>
      <c r="J86">
        <v>382</v>
      </c>
      <c r="K86">
        <v>245</v>
      </c>
      <c r="L86">
        <v>385</v>
      </c>
      <c r="M86">
        <v>375</v>
      </c>
      <c r="N86">
        <v>385</v>
      </c>
      <c r="O86">
        <v>281</v>
      </c>
      <c r="P86">
        <v>387</v>
      </c>
      <c r="Q86">
        <v>293</v>
      </c>
      <c r="R86">
        <v>242</v>
      </c>
      <c r="S86">
        <f t="shared" si="45"/>
        <v>3989</v>
      </c>
      <c r="T86">
        <v>0</v>
      </c>
      <c r="U86">
        <v>0</v>
      </c>
      <c r="V86">
        <v>0</v>
      </c>
      <c r="W86">
        <v>0</v>
      </c>
      <c r="X86">
        <v>0</v>
      </c>
      <c r="Y86">
        <v>0</v>
      </c>
      <c r="Z86">
        <v>0</v>
      </c>
      <c r="AA86">
        <v>0</v>
      </c>
      <c r="AB86">
        <v>0</v>
      </c>
      <c r="AC86">
        <v>0</v>
      </c>
      <c r="AD86">
        <v>0</v>
      </c>
      <c r="AE86">
        <v>0</v>
      </c>
      <c r="AF86">
        <f t="shared" si="46"/>
        <v>0</v>
      </c>
      <c r="AG86">
        <v>0</v>
      </c>
      <c r="AH86">
        <v>0</v>
      </c>
      <c r="AI86">
        <v>0</v>
      </c>
      <c r="AJ86">
        <v>0</v>
      </c>
      <c r="AK86">
        <v>0</v>
      </c>
      <c r="AL86">
        <v>0</v>
      </c>
      <c r="AM86">
        <v>0</v>
      </c>
      <c r="AN86">
        <v>0</v>
      </c>
      <c r="AO86">
        <v>0</v>
      </c>
      <c r="AP86">
        <v>0</v>
      </c>
      <c r="AQ86">
        <v>0</v>
      </c>
      <c r="AR86">
        <v>0</v>
      </c>
      <c r="AS86">
        <f t="shared" si="47"/>
        <v>0</v>
      </c>
      <c r="AT86">
        <v>0</v>
      </c>
      <c r="AU86">
        <v>0</v>
      </c>
      <c r="AV86">
        <v>0</v>
      </c>
      <c r="AW86">
        <v>0</v>
      </c>
      <c r="AX86">
        <v>0</v>
      </c>
      <c r="AY86">
        <v>0</v>
      </c>
      <c r="AZ86">
        <v>0</v>
      </c>
      <c r="BA86">
        <v>0</v>
      </c>
      <c r="BB86">
        <v>0</v>
      </c>
      <c r="BC86">
        <v>0</v>
      </c>
      <c r="BD86">
        <v>0</v>
      </c>
      <c r="BE86">
        <v>0</v>
      </c>
      <c r="BF86">
        <f t="shared" si="48"/>
        <v>0</v>
      </c>
      <c r="BG86">
        <v>0</v>
      </c>
      <c r="BH86">
        <v>0</v>
      </c>
      <c r="BI86">
        <v>0</v>
      </c>
      <c r="BJ86">
        <v>0</v>
      </c>
      <c r="BK86">
        <v>0</v>
      </c>
      <c r="BL86">
        <v>0</v>
      </c>
      <c r="BM86">
        <v>0</v>
      </c>
      <c r="BN86">
        <v>0</v>
      </c>
      <c r="BO86">
        <v>0</v>
      </c>
      <c r="BP86">
        <v>0</v>
      </c>
      <c r="BQ86">
        <v>0</v>
      </c>
      <c r="BR86">
        <v>0</v>
      </c>
      <c r="BS86">
        <f t="shared" si="49"/>
        <v>0</v>
      </c>
      <c r="BT86">
        <v>0</v>
      </c>
      <c r="BU86">
        <v>0</v>
      </c>
      <c r="BV86">
        <v>0</v>
      </c>
      <c r="BW86">
        <v>0</v>
      </c>
      <c r="BX86">
        <v>0</v>
      </c>
      <c r="BY86">
        <v>0</v>
      </c>
      <c r="BZ86">
        <v>0</v>
      </c>
      <c r="CA86">
        <v>0</v>
      </c>
      <c r="CB86">
        <v>0</v>
      </c>
      <c r="CC86">
        <v>0</v>
      </c>
      <c r="CD86">
        <v>0</v>
      </c>
      <c r="CE86">
        <v>0</v>
      </c>
      <c r="CF86">
        <f t="shared" si="50"/>
        <v>0</v>
      </c>
      <c r="CG86">
        <v>0</v>
      </c>
      <c r="CH86">
        <v>0</v>
      </c>
      <c r="CI86">
        <v>0</v>
      </c>
      <c r="CJ86">
        <v>0</v>
      </c>
      <c r="CK86">
        <v>0</v>
      </c>
      <c r="CL86">
        <v>0</v>
      </c>
      <c r="CM86">
        <v>0</v>
      </c>
      <c r="CN86">
        <v>0</v>
      </c>
      <c r="CO86">
        <v>0</v>
      </c>
      <c r="CP86">
        <v>0</v>
      </c>
      <c r="CQ86">
        <v>0</v>
      </c>
      <c r="CR86">
        <v>0</v>
      </c>
      <c r="CS86">
        <f t="shared" si="51"/>
        <v>0</v>
      </c>
      <c r="CT86">
        <v>0</v>
      </c>
      <c r="CU86">
        <v>0</v>
      </c>
      <c r="CV86">
        <v>0</v>
      </c>
      <c r="CW86">
        <v>0</v>
      </c>
      <c r="CX86">
        <v>0</v>
      </c>
      <c r="CY86">
        <v>0</v>
      </c>
      <c r="CZ86">
        <v>0</v>
      </c>
      <c r="DA86">
        <v>0</v>
      </c>
      <c r="DB86">
        <v>0</v>
      </c>
      <c r="DC86">
        <v>0</v>
      </c>
      <c r="DD86">
        <v>0</v>
      </c>
      <c r="DE86">
        <v>0</v>
      </c>
      <c r="DF86">
        <f t="shared" si="52"/>
        <v>0</v>
      </c>
      <c r="DG86">
        <v>0</v>
      </c>
      <c r="DH86">
        <v>0</v>
      </c>
      <c r="DI86">
        <v>0</v>
      </c>
      <c r="DJ86">
        <v>0</v>
      </c>
      <c r="DK86">
        <v>0</v>
      </c>
      <c r="DL86">
        <v>0</v>
      </c>
      <c r="DM86">
        <v>0</v>
      </c>
      <c r="DN86">
        <v>0</v>
      </c>
      <c r="DO86">
        <v>0</v>
      </c>
      <c r="DP86">
        <v>0</v>
      </c>
      <c r="DQ86">
        <v>0</v>
      </c>
      <c r="DR86">
        <v>0</v>
      </c>
      <c r="DS86">
        <f t="shared" si="53"/>
        <v>0</v>
      </c>
      <c r="DT86">
        <v>0</v>
      </c>
      <c r="DU86">
        <v>0</v>
      </c>
      <c r="DV86">
        <v>0</v>
      </c>
      <c r="DW86">
        <v>0</v>
      </c>
      <c r="DX86">
        <v>0</v>
      </c>
      <c r="DY86">
        <v>0</v>
      </c>
      <c r="DZ86">
        <v>0</v>
      </c>
      <c r="EA86">
        <v>0</v>
      </c>
      <c r="EB86">
        <v>0</v>
      </c>
      <c r="EC86">
        <v>0</v>
      </c>
      <c r="ED86">
        <v>0</v>
      </c>
      <c r="EE86">
        <v>0</v>
      </c>
      <c r="EF86">
        <f t="shared" si="54"/>
        <v>0</v>
      </c>
      <c r="EG86">
        <f t="shared" si="55"/>
        <v>0</v>
      </c>
      <c r="EH86">
        <f t="shared" si="56"/>
        <v>0</v>
      </c>
      <c r="EI86">
        <v>2072</v>
      </c>
      <c r="EJ86">
        <v>1516</v>
      </c>
      <c r="EK86">
        <v>906</v>
      </c>
      <c r="EL86">
        <v>1334</v>
      </c>
      <c r="EM86">
        <v>582</v>
      </c>
      <c r="EN86">
        <v>2534</v>
      </c>
      <c r="EO86">
        <v>2546</v>
      </c>
      <c r="EP86">
        <v>1587</v>
      </c>
      <c r="EQ86">
        <v>1259</v>
      </c>
      <c r="ER86">
        <v>1848</v>
      </c>
      <c r="ES86">
        <v>1940</v>
      </c>
      <c r="ET86">
        <v>2078</v>
      </c>
      <c r="EU86">
        <f t="shared" si="57"/>
        <v>20202</v>
      </c>
      <c r="EV86">
        <v>0</v>
      </c>
      <c r="EW86">
        <v>0</v>
      </c>
      <c r="EX86">
        <v>0</v>
      </c>
      <c r="EY86">
        <v>0</v>
      </c>
      <c r="EZ86">
        <v>0</v>
      </c>
      <c r="FA86">
        <v>0</v>
      </c>
      <c r="FB86">
        <v>0</v>
      </c>
      <c r="FC86">
        <v>0</v>
      </c>
      <c r="FD86">
        <v>0</v>
      </c>
      <c r="FE86">
        <v>0</v>
      </c>
      <c r="FF86">
        <v>0</v>
      </c>
      <c r="FG86">
        <v>0</v>
      </c>
      <c r="FH86">
        <f t="shared" si="58"/>
        <v>0</v>
      </c>
      <c r="FI86">
        <v>0</v>
      </c>
      <c r="FJ86">
        <v>0</v>
      </c>
      <c r="FK86">
        <v>0</v>
      </c>
      <c r="FL86">
        <v>0</v>
      </c>
      <c r="FM86">
        <v>0</v>
      </c>
      <c r="FN86">
        <v>0</v>
      </c>
      <c r="FO86">
        <v>0</v>
      </c>
      <c r="FP86">
        <v>0</v>
      </c>
      <c r="FQ86">
        <v>0</v>
      </c>
      <c r="FR86">
        <v>0</v>
      </c>
      <c r="FS86">
        <v>0</v>
      </c>
      <c r="FT86">
        <v>0</v>
      </c>
      <c r="FU86">
        <f t="shared" si="59"/>
        <v>0</v>
      </c>
      <c r="FV86">
        <v>0</v>
      </c>
      <c r="FW86">
        <v>0</v>
      </c>
      <c r="FX86">
        <v>0</v>
      </c>
      <c r="FY86">
        <v>0</v>
      </c>
      <c r="FZ86">
        <v>0</v>
      </c>
      <c r="GA86">
        <v>0</v>
      </c>
      <c r="GB86">
        <v>0</v>
      </c>
      <c r="GC86">
        <v>0</v>
      </c>
      <c r="GD86">
        <v>0</v>
      </c>
      <c r="GE86">
        <v>0</v>
      </c>
      <c r="GF86">
        <v>0</v>
      </c>
      <c r="GG86">
        <v>0</v>
      </c>
      <c r="GH86">
        <f t="shared" si="60"/>
        <v>0</v>
      </c>
      <c r="GI86">
        <v>0</v>
      </c>
      <c r="GJ86">
        <v>0</v>
      </c>
      <c r="GK86">
        <v>0</v>
      </c>
      <c r="GL86">
        <v>0</v>
      </c>
      <c r="GM86">
        <v>0</v>
      </c>
      <c r="GN86">
        <v>0</v>
      </c>
      <c r="GO86">
        <v>0</v>
      </c>
      <c r="GP86">
        <v>0</v>
      </c>
      <c r="GQ86">
        <v>0</v>
      </c>
      <c r="GR86">
        <v>0</v>
      </c>
      <c r="GS86">
        <v>0</v>
      </c>
      <c r="GT86">
        <v>0</v>
      </c>
      <c r="GU86">
        <f t="shared" si="61"/>
        <v>0</v>
      </c>
      <c r="GV86">
        <v>0</v>
      </c>
      <c r="GW86">
        <v>0</v>
      </c>
      <c r="GX86">
        <v>0</v>
      </c>
      <c r="GY86">
        <v>0</v>
      </c>
      <c r="GZ86">
        <v>0</v>
      </c>
      <c r="HA86">
        <v>0</v>
      </c>
      <c r="HB86">
        <v>0</v>
      </c>
      <c r="HC86">
        <v>0</v>
      </c>
      <c r="HD86">
        <v>0</v>
      </c>
      <c r="HE86">
        <v>0</v>
      </c>
      <c r="HF86">
        <v>0</v>
      </c>
      <c r="HG86">
        <v>0</v>
      </c>
      <c r="HH86">
        <f t="shared" si="62"/>
        <v>0</v>
      </c>
      <c r="HI86">
        <v>0</v>
      </c>
      <c r="HJ86">
        <v>0</v>
      </c>
      <c r="HK86">
        <v>0</v>
      </c>
      <c r="HL86">
        <v>0</v>
      </c>
      <c r="HM86">
        <v>0</v>
      </c>
      <c r="HN86">
        <v>0</v>
      </c>
      <c r="HO86">
        <v>0</v>
      </c>
      <c r="HP86">
        <v>0</v>
      </c>
      <c r="HQ86">
        <v>0</v>
      </c>
      <c r="HR86">
        <v>0</v>
      </c>
      <c r="HS86">
        <v>0</v>
      </c>
      <c r="HT86">
        <v>0</v>
      </c>
      <c r="HU86">
        <f t="shared" si="63"/>
        <v>0</v>
      </c>
      <c r="HV86">
        <v>0</v>
      </c>
      <c r="HW86">
        <v>0</v>
      </c>
      <c r="HX86">
        <v>0</v>
      </c>
      <c r="HY86">
        <v>0</v>
      </c>
      <c r="HZ86">
        <v>0</v>
      </c>
      <c r="IA86">
        <v>0</v>
      </c>
      <c r="IB86">
        <v>0</v>
      </c>
      <c r="IC86">
        <v>0</v>
      </c>
      <c r="ID86">
        <v>0</v>
      </c>
      <c r="IE86">
        <v>0</v>
      </c>
      <c r="IF86">
        <v>0</v>
      </c>
      <c r="IG86">
        <v>0</v>
      </c>
      <c r="IH86">
        <f t="shared" si="64"/>
        <v>0</v>
      </c>
      <c r="II86">
        <f t="shared" si="65"/>
        <v>0</v>
      </c>
      <c r="IJ86">
        <f t="shared" si="66"/>
        <v>0</v>
      </c>
      <c r="IK86">
        <v>26361</v>
      </c>
      <c r="IL86">
        <v>25901</v>
      </c>
      <c r="IM86">
        <v>24579</v>
      </c>
      <c r="IN86">
        <v>31077</v>
      </c>
      <c r="IO86">
        <v>30105</v>
      </c>
      <c r="IP86">
        <v>26779</v>
      </c>
      <c r="IQ86">
        <v>27074</v>
      </c>
      <c r="IR86">
        <v>23816</v>
      </c>
      <c r="IS86">
        <v>19336</v>
      </c>
      <c r="IT86">
        <v>25619</v>
      </c>
      <c r="IU86">
        <v>23540</v>
      </c>
      <c r="IV86">
        <v>25016</v>
      </c>
      <c r="IW86">
        <f t="shared" si="67"/>
        <v>309203</v>
      </c>
      <c r="IX86">
        <v>9032</v>
      </c>
      <c r="IY86">
        <v>8730</v>
      </c>
      <c r="IZ86">
        <v>8131</v>
      </c>
      <c r="JA86">
        <v>12811</v>
      </c>
      <c r="JB86">
        <v>12791</v>
      </c>
      <c r="JC86">
        <v>9474</v>
      </c>
      <c r="JD86">
        <v>9789</v>
      </c>
      <c r="JE86">
        <v>8359</v>
      </c>
      <c r="JF86">
        <v>5721</v>
      </c>
      <c r="JG86">
        <v>8863</v>
      </c>
      <c r="JH86">
        <v>8774</v>
      </c>
      <c r="JI86">
        <v>8726</v>
      </c>
      <c r="JJ86">
        <f t="shared" si="68"/>
        <v>111201</v>
      </c>
      <c r="JK86">
        <v>263</v>
      </c>
      <c r="JL86">
        <v>276</v>
      </c>
      <c r="JM86">
        <v>246</v>
      </c>
      <c r="JN86">
        <v>444</v>
      </c>
      <c r="JO86">
        <v>389</v>
      </c>
      <c r="JP86">
        <v>310</v>
      </c>
      <c r="JQ86">
        <v>276</v>
      </c>
      <c r="JR86">
        <v>307</v>
      </c>
      <c r="JS86">
        <v>241</v>
      </c>
      <c r="JT86">
        <v>279</v>
      </c>
      <c r="JU86">
        <v>260</v>
      </c>
      <c r="JV86">
        <v>244</v>
      </c>
      <c r="JW86">
        <f t="shared" si="69"/>
        <v>3535</v>
      </c>
      <c r="JX86">
        <v>17066</v>
      </c>
      <c r="JY86">
        <v>16895</v>
      </c>
      <c r="JZ86">
        <v>16202</v>
      </c>
      <c r="KA86">
        <v>17822</v>
      </c>
      <c r="KB86">
        <v>16925</v>
      </c>
      <c r="KC86">
        <v>16995</v>
      </c>
      <c r="KD86">
        <v>17009</v>
      </c>
      <c r="KE86">
        <v>15150</v>
      </c>
      <c r="KF86">
        <v>13374</v>
      </c>
      <c r="KG86">
        <v>16477</v>
      </c>
      <c r="KH86">
        <v>14506</v>
      </c>
      <c r="KI86">
        <v>16046</v>
      </c>
      <c r="KJ86">
        <f t="shared" si="70"/>
        <v>194467</v>
      </c>
      <c r="KK86">
        <v>647</v>
      </c>
      <c r="KL86">
        <v>715</v>
      </c>
      <c r="KM86">
        <v>645</v>
      </c>
      <c r="KN86">
        <v>809</v>
      </c>
      <c r="KO86">
        <v>586</v>
      </c>
      <c r="KP86">
        <v>692</v>
      </c>
      <c r="KQ86">
        <v>761</v>
      </c>
      <c r="KR86">
        <v>752</v>
      </c>
      <c r="KS86">
        <v>470</v>
      </c>
      <c r="KT86">
        <v>665</v>
      </c>
      <c r="KU86">
        <v>626</v>
      </c>
      <c r="KV86">
        <v>675</v>
      </c>
      <c r="KW86">
        <f t="shared" si="71"/>
        <v>8043</v>
      </c>
      <c r="KX86">
        <v>3</v>
      </c>
      <c r="KY86">
        <v>10</v>
      </c>
      <c r="KZ86">
        <v>3</v>
      </c>
      <c r="LA86">
        <v>3</v>
      </c>
      <c r="LB86">
        <v>0</v>
      </c>
      <c r="LC86">
        <v>3</v>
      </c>
      <c r="LD86">
        <v>1</v>
      </c>
      <c r="LE86">
        <v>2</v>
      </c>
      <c r="LF86">
        <v>0</v>
      </c>
      <c r="LG86">
        <v>3</v>
      </c>
      <c r="LH86">
        <v>2</v>
      </c>
      <c r="LI86">
        <v>4</v>
      </c>
      <c r="LJ86">
        <f t="shared" si="72"/>
        <v>34</v>
      </c>
      <c r="LK86">
        <v>0</v>
      </c>
      <c r="LL86">
        <v>0</v>
      </c>
      <c r="LM86">
        <v>1</v>
      </c>
      <c r="LN86">
        <v>0</v>
      </c>
      <c r="LO86">
        <v>0</v>
      </c>
      <c r="LP86">
        <v>0</v>
      </c>
      <c r="LQ86">
        <v>0</v>
      </c>
      <c r="LR86">
        <v>0</v>
      </c>
      <c r="LS86">
        <v>0</v>
      </c>
      <c r="LT86">
        <v>0</v>
      </c>
      <c r="LU86">
        <v>0</v>
      </c>
      <c r="LV86">
        <v>0</v>
      </c>
      <c r="LW86">
        <f t="shared" si="73"/>
        <v>1</v>
      </c>
      <c r="LX86">
        <v>644</v>
      </c>
      <c r="LY86">
        <v>705</v>
      </c>
      <c r="LZ86">
        <v>641</v>
      </c>
      <c r="MA86">
        <v>806</v>
      </c>
      <c r="MB86">
        <v>586</v>
      </c>
      <c r="MC86">
        <v>689</v>
      </c>
      <c r="MD86">
        <v>760</v>
      </c>
      <c r="ME86">
        <v>750</v>
      </c>
      <c r="MF86">
        <v>470</v>
      </c>
      <c r="MG86">
        <v>662</v>
      </c>
      <c r="MH86">
        <v>624</v>
      </c>
      <c r="MI86">
        <v>671</v>
      </c>
      <c r="MJ86">
        <f t="shared" si="74"/>
        <v>8008</v>
      </c>
      <c r="MK86">
        <v>3126</v>
      </c>
      <c r="ML86">
        <v>3367</v>
      </c>
      <c r="MM86">
        <v>3298</v>
      </c>
      <c r="MN86">
        <v>3392</v>
      </c>
      <c r="MO86">
        <v>3385</v>
      </c>
      <c r="MP86">
        <v>2951</v>
      </c>
      <c r="MQ86">
        <v>3039</v>
      </c>
      <c r="MR86">
        <v>2927</v>
      </c>
      <c r="MS86">
        <v>2891</v>
      </c>
      <c r="MT86">
        <v>3259</v>
      </c>
      <c r="MU86">
        <v>2847</v>
      </c>
      <c r="MV86">
        <v>2850</v>
      </c>
      <c r="MW86">
        <f t="shared" si="75"/>
        <v>37332</v>
      </c>
      <c r="MX86">
        <v>155</v>
      </c>
      <c r="MY86">
        <v>128</v>
      </c>
      <c r="MZ86">
        <v>104</v>
      </c>
      <c r="NA86">
        <v>122</v>
      </c>
      <c r="NB86">
        <v>185</v>
      </c>
      <c r="NC86">
        <v>115</v>
      </c>
      <c r="ND86">
        <v>125</v>
      </c>
      <c r="NE86">
        <v>129</v>
      </c>
      <c r="NF86">
        <v>130</v>
      </c>
      <c r="NG86">
        <v>107</v>
      </c>
      <c r="NH86">
        <v>126</v>
      </c>
      <c r="NI86">
        <v>113</v>
      </c>
      <c r="NJ86">
        <f t="shared" si="76"/>
        <v>1539</v>
      </c>
      <c r="NK86">
        <v>109</v>
      </c>
      <c r="NL86">
        <v>115</v>
      </c>
      <c r="NM86">
        <v>151</v>
      </c>
      <c r="NN86">
        <v>132</v>
      </c>
      <c r="NO86">
        <v>123</v>
      </c>
      <c r="NP86">
        <v>113</v>
      </c>
      <c r="NQ86">
        <v>133</v>
      </c>
      <c r="NR86">
        <v>90</v>
      </c>
      <c r="NS86">
        <v>115</v>
      </c>
      <c r="NT86">
        <v>159</v>
      </c>
      <c r="NU86">
        <v>115</v>
      </c>
      <c r="NV86">
        <v>112</v>
      </c>
      <c r="NW86">
        <f t="shared" si="77"/>
        <v>1467</v>
      </c>
      <c r="NX86">
        <v>2862</v>
      </c>
      <c r="NY86">
        <v>3124</v>
      </c>
      <c r="NZ86">
        <v>3043</v>
      </c>
      <c r="OA86">
        <v>3138</v>
      </c>
      <c r="OB86">
        <v>3077</v>
      </c>
      <c r="OC86">
        <v>2723</v>
      </c>
      <c r="OD86">
        <v>2781</v>
      </c>
      <c r="OE86">
        <v>2708</v>
      </c>
      <c r="OF86">
        <v>2646</v>
      </c>
      <c r="OG86">
        <v>2993</v>
      </c>
      <c r="OH86">
        <v>2606</v>
      </c>
      <c r="OI86">
        <v>2625</v>
      </c>
      <c r="OJ86">
        <f t="shared" si="78"/>
        <v>34326</v>
      </c>
      <c r="OK86">
        <v>2417</v>
      </c>
      <c r="OL86">
        <v>2499</v>
      </c>
      <c r="OM86">
        <v>2439</v>
      </c>
      <c r="ON86">
        <v>2502</v>
      </c>
      <c r="OO86">
        <v>2481</v>
      </c>
      <c r="OP86">
        <v>2341</v>
      </c>
      <c r="OQ86">
        <v>2654</v>
      </c>
      <c r="OR86">
        <v>2431</v>
      </c>
      <c r="OS86">
        <v>2266</v>
      </c>
      <c r="OT86">
        <v>2640</v>
      </c>
      <c r="OU86">
        <v>2464</v>
      </c>
      <c r="OV86">
        <v>2741</v>
      </c>
      <c r="OW86">
        <f t="shared" si="79"/>
        <v>29875</v>
      </c>
      <c r="OX86">
        <v>198</v>
      </c>
      <c r="OY86">
        <v>171</v>
      </c>
      <c r="OZ86">
        <v>166</v>
      </c>
      <c r="PA86">
        <v>185</v>
      </c>
      <c r="PB86">
        <v>174</v>
      </c>
      <c r="PC86">
        <v>175</v>
      </c>
      <c r="PD86">
        <v>181</v>
      </c>
      <c r="PE86">
        <v>188</v>
      </c>
      <c r="PF86">
        <v>163</v>
      </c>
      <c r="PG86">
        <v>177</v>
      </c>
      <c r="PH86">
        <v>152</v>
      </c>
      <c r="PI86">
        <v>163</v>
      </c>
      <c r="PJ86">
        <f t="shared" si="80"/>
        <v>2093</v>
      </c>
      <c r="PK86">
        <v>102</v>
      </c>
      <c r="PL86">
        <v>106</v>
      </c>
      <c r="PM86">
        <v>102</v>
      </c>
      <c r="PN86">
        <v>70</v>
      </c>
      <c r="PO86">
        <v>88</v>
      </c>
      <c r="PP86">
        <v>82</v>
      </c>
      <c r="PQ86">
        <v>175</v>
      </c>
      <c r="PR86">
        <v>139</v>
      </c>
      <c r="PS86">
        <v>128</v>
      </c>
      <c r="PT86">
        <v>132</v>
      </c>
      <c r="PU86">
        <v>92</v>
      </c>
      <c r="PV86">
        <v>126</v>
      </c>
      <c r="PW86">
        <f t="shared" si="81"/>
        <v>1342</v>
      </c>
      <c r="PX86">
        <v>2117</v>
      </c>
      <c r="PY86">
        <v>2222</v>
      </c>
      <c r="PZ86">
        <v>2171</v>
      </c>
      <c r="QA86">
        <v>2247</v>
      </c>
      <c r="QB86">
        <v>2219</v>
      </c>
      <c r="QC86">
        <v>2084</v>
      </c>
      <c r="QD86">
        <v>2298</v>
      </c>
      <c r="QE86">
        <v>2104</v>
      </c>
      <c r="QF86">
        <v>1975</v>
      </c>
      <c r="QG86">
        <v>2331</v>
      </c>
      <c r="QH86">
        <v>2220</v>
      </c>
      <c r="QI86">
        <v>2452</v>
      </c>
      <c r="QJ86">
        <f t="shared" si="82"/>
        <v>26440</v>
      </c>
      <c r="QK86">
        <v>2699</v>
      </c>
      <c r="QL86">
        <v>2520</v>
      </c>
      <c r="QM86">
        <v>2464</v>
      </c>
      <c r="QN86">
        <v>2942</v>
      </c>
      <c r="QO86">
        <v>2592</v>
      </c>
      <c r="QP86">
        <v>2684</v>
      </c>
      <c r="QQ86">
        <v>2622</v>
      </c>
      <c r="QR86">
        <v>2119</v>
      </c>
      <c r="QS86">
        <v>2167</v>
      </c>
      <c r="QT86">
        <v>2403</v>
      </c>
      <c r="QU86">
        <v>2238</v>
      </c>
      <c r="QV86">
        <v>2638</v>
      </c>
      <c r="QW86">
        <f t="shared" si="83"/>
        <v>30088</v>
      </c>
      <c r="QX86">
        <v>28991</v>
      </c>
      <c r="QY86">
        <v>30806</v>
      </c>
      <c r="QZ86">
        <v>28616</v>
      </c>
      <c r="RA86">
        <v>34530</v>
      </c>
      <c r="RB86">
        <v>31075</v>
      </c>
      <c r="RC86">
        <v>32771</v>
      </c>
      <c r="RD86">
        <v>33978</v>
      </c>
      <c r="RE86">
        <v>28757</v>
      </c>
      <c r="RF86">
        <v>25317</v>
      </c>
      <c r="RG86">
        <v>30163</v>
      </c>
      <c r="RH86">
        <v>31198</v>
      </c>
      <c r="RI86">
        <v>39050</v>
      </c>
      <c r="RJ86">
        <f t="shared" si="84"/>
        <v>375252</v>
      </c>
      <c r="RK86">
        <v>4864</v>
      </c>
      <c r="RL86">
        <v>4881</v>
      </c>
      <c r="RM86">
        <v>4732</v>
      </c>
      <c r="RN86">
        <v>5379</v>
      </c>
      <c r="RO86">
        <v>5107</v>
      </c>
      <c r="RP86">
        <v>4864</v>
      </c>
      <c r="RQ86">
        <v>5036</v>
      </c>
      <c r="RR86">
        <v>4630</v>
      </c>
      <c r="RS86">
        <v>3339</v>
      </c>
      <c r="RT86">
        <v>4907</v>
      </c>
      <c r="RU86">
        <v>4284</v>
      </c>
      <c r="RV86">
        <v>4766</v>
      </c>
      <c r="RW86">
        <f t="shared" si="85"/>
        <v>56789</v>
      </c>
      <c r="RX86">
        <v>824</v>
      </c>
      <c r="RY86">
        <v>919</v>
      </c>
      <c r="RZ86">
        <v>1394</v>
      </c>
      <c r="SA86">
        <v>576</v>
      </c>
      <c r="SB86">
        <v>472</v>
      </c>
      <c r="SC86">
        <v>1190</v>
      </c>
      <c r="SD86">
        <v>1151</v>
      </c>
      <c r="SE86">
        <v>1598</v>
      </c>
      <c r="SF86">
        <v>418</v>
      </c>
      <c r="SG86">
        <v>1287</v>
      </c>
      <c r="SH86">
        <v>806</v>
      </c>
      <c r="SI86">
        <v>1207</v>
      </c>
      <c r="SJ86">
        <f t="shared" si="86"/>
        <v>11842</v>
      </c>
      <c r="SK86">
        <v>339</v>
      </c>
      <c r="SL86">
        <v>311</v>
      </c>
      <c r="SM86">
        <v>332</v>
      </c>
      <c r="SN86">
        <v>370</v>
      </c>
      <c r="SO86">
        <v>282</v>
      </c>
      <c r="SP86">
        <v>290</v>
      </c>
      <c r="SQ86">
        <v>340</v>
      </c>
      <c r="SR86">
        <v>274</v>
      </c>
      <c r="SS86">
        <v>170</v>
      </c>
      <c r="ST86">
        <v>256</v>
      </c>
      <c r="SU86">
        <v>276</v>
      </c>
      <c r="SV86">
        <v>290</v>
      </c>
      <c r="SW86">
        <f t="shared" si="87"/>
        <v>3530</v>
      </c>
      <c r="SX86">
        <v>0</v>
      </c>
      <c r="SY86">
        <v>2495</v>
      </c>
      <c r="SZ86">
        <v>2479</v>
      </c>
      <c r="TA86">
        <v>2482</v>
      </c>
      <c r="TB86">
        <v>2801</v>
      </c>
      <c r="TC86">
        <v>2540</v>
      </c>
      <c r="TD86">
        <v>2688</v>
      </c>
      <c r="TE86">
        <v>2772</v>
      </c>
      <c r="TF86">
        <v>2437</v>
      </c>
      <c r="TG86">
        <v>2074</v>
      </c>
      <c r="TH86">
        <v>2530</v>
      </c>
      <c r="TI86">
        <v>2550</v>
      </c>
      <c r="TJ86">
        <v>2628</v>
      </c>
      <c r="TK86">
        <f t="shared" si="88"/>
        <v>30476</v>
      </c>
      <c r="TL86">
        <v>0</v>
      </c>
      <c r="TM86">
        <v>0</v>
      </c>
      <c r="TN86">
        <v>0</v>
      </c>
      <c r="TO86">
        <v>0</v>
      </c>
      <c r="TP86">
        <v>0</v>
      </c>
      <c r="TQ86">
        <v>0</v>
      </c>
      <c r="TR86">
        <v>0</v>
      </c>
      <c r="TS86">
        <v>0</v>
      </c>
      <c r="TT86">
        <v>0</v>
      </c>
      <c r="TU86">
        <v>0</v>
      </c>
      <c r="TV86">
        <v>0</v>
      </c>
      <c r="TW86">
        <v>0</v>
      </c>
      <c r="TX86">
        <f t="shared" si="89"/>
        <v>0</v>
      </c>
      <c r="TY86">
        <v>89</v>
      </c>
      <c r="TZ86">
        <v>0</v>
      </c>
      <c r="UA86">
        <v>0</v>
      </c>
      <c r="UB86">
        <v>0</v>
      </c>
    </row>
    <row r="87" spans="1:548" ht="16.5" customHeight="1" x14ac:dyDescent="0.35">
      <c r="A87" t="s">
        <v>1482</v>
      </c>
      <c r="B87" t="s">
        <v>2863</v>
      </c>
      <c r="C87">
        <v>15790</v>
      </c>
      <c r="D87">
        <v>5463</v>
      </c>
      <c r="E87">
        <v>1115</v>
      </c>
      <c r="F87">
        <v>9212</v>
      </c>
      <c r="G87">
        <v>189</v>
      </c>
      <c r="H87">
        <v>207</v>
      </c>
      <c r="I87">
        <v>229</v>
      </c>
      <c r="J87">
        <v>216</v>
      </c>
      <c r="K87">
        <v>225</v>
      </c>
      <c r="L87">
        <v>210</v>
      </c>
      <c r="M87">
        <v>251</v>
      </c>
      <c r="N87">
        <v>259</v>
      </c>
      <c r="O87">
        <v>199</v>
      </c>
      <c r="P87">
        <v>229</v>
      </c>
      <c r="Q87">
        <v>261</v>
      </c>
      <c r="R87">
        <v>271</v>
      </c>
      <c r="S87">
        <f t="shared" si="45"/>
        <v>2746</v>
      </c>
      <c r="T87">
        <v>0</v>
      </c>
      <c r="U87">
        <v>0</v>
      </c>
      <c r="V87">
        <v>0</v>
      </c>
      <c r="W87">
        <v>0</v>
      </c>
      <c r="X87">
        <v>0</v>
      </c>
      <c r="Y87">
        <v>0</v>
      </c>
      <c r="Z87">
        <v>0</v>
      </c>
      <c r="AA87">
        <v>0</v>
      </c>
      <c r="AB87">
        <v>0</v>
      </c>
      <c r="AC87">
        <v>0</v>
      </c>
      <c r="AD87">
        <v>0</v>
      </c>
      <c r="AE87">
        <v>0</v>
      </c>
      <c r="AF87">
        <f t="shared" si="46"/>
        <v>0</v>
      </c>
      <c r="AG87">
        <v>0</v>
      </c>
      <c r="AH87">
        <v>0</v>
      </c>
      <c r="AI87">
        <v>0</v>
      </c>
      <c r="AJ87">
        <v>0</v>
      </c>
      <c r="AK87">
        <v>0</v>
      </c>
      <c r="AL87">
        <v>0</v>
      </c>
      <c r="AM87">
        <v>0</v>
      </c>
      <c r="AN87">
        <v>0</v>
      </c>
      <c r="AO87">
        <v>0</v>
      </c>
      <c r="AP87">
        <v>0</v>
      </c>
      <c r="AQ87">
        <v>0</v>
      </c>
      <c r="AR87">
        <v>0</v>
      </c>
      <c r="AS87">
        <f t="shared" si="47"/>
        <v>0</v>
      </c>
      <c r="AT87">
        <v>0</v>
      </c>
      <c r="AU87">
        <v>0</v>
      </c>
      <c r="AV87">
        <v>0</v>
      </c>
      <c r="AW87">
        <v>0</v>
      </c>
      <c r="AX87">
        <v>0</v>
      </c>
      <c r="AY87">
        <v>0</v>
      </c>
      <c r="AZ87">
        <v>0</v>
      </c>
      <c r="BA87">
        <v>0</v>
      </c>
      <c r="BB87">
        <v>0</v>
      </c>
      <c r="BC87">
        <v>0</v>
      </c>
      <c r="BD87">
        <v>0</v>
      </c>
      <c r="BE87">
        <v>0</v>
      </c>
      <c r="BF87">
        <f t="shared" si="48"/>
        <v>0</v>
      </c>
      <c r="BG87">
        <v>0</v>
      </c>
      <c r="BH87">
        <v>0</v>
      </c>
      <c r="BI87">
        <v>0</v>
      </c>
      <c r="BJ87">
        <v>0</v>
      </c>
      <c r="BK87">
        <v>0</v>
      </c>
      <c r="BL87">
        <v>0</v>
      </c>
      <c r="BM87">
        <v>0</v>
      </c>
      <c r="BN87">
        <v>0</v>
      </c>
      <c r="BO87">
        <v>0</v>
      </c>
      <c r="BP87">
        <v>0</v>
      </c>
      <c r="BQ87">
        <v>0</v>
      </c>
      <c r="BR87">
        <v>0</v>
      </c>
      <c r="BS87">
        <f t="shared" si="49"/>
        <v>0</v>
      </c>
      <c r="BT87">
        <v>0</v>
      </c>
      <c r="BU87">
        <v>0</v>
      </c>
      <c r="BV87">
        <v>0</v>
      </c>
      <c r="BW87">
        <v>0</v>
      </c>
      <c r="BX87">
        <v>0</v>
      </c>
      <c r="BY87">
        <v>0</v>
      </c>
      <c r="BZ87">
        <v>0</v>
      </c>
      <c r="CA87">
        <v>0</v>
      </c>
      <c r="CB87">
        <v>0</v>
      </c>
      <c r="CC87">
        <v>0</v>
      </c>
      <c r="CD87">
        <v>0</v>
      </c>
      <c r="CE87">
        <v>0</v>
      </c>
      <c r="CF87">
        <f t="shared" si="50"/>
        <v>0</v>
      </c>
      <c r="CG87">
        <v>0</v>
      </c>
      <c r="CH87">
        <v>0</v>
      </c>
      <c r="CI87">
        <v>0</v>
      </c>
      <c r="CJ87">
        <v>0</v>
      </c>
      <c r="CK87">
        <v>0</v>
      </c>
      <c r="CL87">
        <v>0</v>
      </c>
      <c r="CM87">
        <v>0</v>
      </c>
      <c r="CN87">
        <v>0</v>
      </c>
      <c r="CO87">
        <v>0</v>
      </c>
      <c r="CP87">
        <v>0</v>
      </c>
      <c r="CQ87">
        <v>0</v>
      </c>
      <c r="CR87">
        <v>0</v>
      </c>
      <c r="CS87">
        <f t="shared" si="51"/>
        <v>0</v>
      </c>
      <c r="CT87">
        <v>0</v>
      </c>
      <c r="CU87">
        <v>0</v>
      </c>
      <c r="CV87">
        <v>0</v>
      </c>
      <c r="CW87">
        <v>0</v>
      </c>
      <c r="CX87">
        <v>0</v>
      </c>
      <c r="CY87">
        <v>0</v>
      </c>
      <c r="CZ87">
        <v>0</v>
      </c>
      <c r="DA87">
        <v>0</v>
      </c>
      <c r="DB87">
        <v>0</v>
      </c>
      <c r="DC87">
        <v>0</v>
      </c>
      <c r="DD87">
        <v>0</v>
      </c>
      <c r="DE87">
        <v>0</v>
      </c>
      <c r="DF87">
        <f t="shared" si="52"/>
        <v>0</v>
      </c>
      <c r="DG87">
        <v>0</v>
      </c>
      <c r="DH87">
        <v>0</v>
      </c>
      <c r="DI87">
        <v>0</v>
      </c>
      <c r="DJ87">
        <v>0</v>
      </c>
      <c r="DK87">
        <v>0</v>
      </c>
      <c r="DL87">
        <v>0</v>
      </c>
      <c r="DM87">
        <v>0</v>
      </c>
      <c r="DN87">
        <v>0</v>
      </c>
      <c r="DO87">
        <v>0</v>
      </c>
      <c r="DP87">
        <v>0</v>
      </c>
      <c r="DQ87">
        <v>0</v>
      </c>
      <c r="DR87">
        <v>0</v>
      </c>
      <c r="DS87">
        <f t="shared" si="53"/>
        <v>0</v>
      </c>
      <c r="DT87">
        <v>0</v>
      </c>
      <c r="DU87">
        <v>0</v>
      </c>
      <c r="DV87">
        <v>0</v>
      </c>
      <c r="DW87">
        <v>0</v>
      </c>
      <c r="DX87">
        <v>0</v>
      </c>
      <c r="DY87">
        <v>0</v>
      </c>
      <c r="DZ87">
        <v>0</v>
      </c>
      <c r="EA87">
        <v>0</v>
      </c>
      <c r="EB87">
        <v>0</v>
      </c>
      <c r="EC87">
        <v>0</v>
      </c>
      <c r="ED87">
        <v>0</v>
      </c>
      <c r="EE87">
        <v>0</v>
      </c>
      <c r="EF87">
        <f t="shared" si="54"/>
        <v>0</v>
      </c>
      <c r="EG87">
        <f t="shared" si="55"/>
        <v>0</v>
      </c>
      <c r="EH87">
        <f t="shared" si="56"/>
        <v>0</v>
      </c>
      <c r="EI87">
        <v>2867</v>
      </c>
      <c r="EJ87">
        <v>2929</v>
      </c>
      <c r="EK87">
        <v>4308</v>
      </c>
      <c r="EL87">
        <v>5888</v>
      </c>
      <c r="EM87">
        <v>3566</v>
      </c>
      <c r="EN87">
        <v>2968</v>
      </c>
      <c r="EO87">
        <v>3810</v>
      </c>
      <c r="EP87">
        <v>3904</v>
      </c>
      <c r="EQ87">
        <v>2490</v>
      </c>
      <c r="ER87">
        <v>3388</v>
      </c>
      <c r="ES87">
        <v>3267</v>
      </c>
      <c r="ET87">
        <v>4905</v>
      </c>
      <c r="EU87">
        <f t="shared" si="57"/>
        <v>44290</v>
      </c>
      <c r="EV87">
        <v>0</v>
      </c>
      <c r="EW87">
        <v>0</v>
      </c>
      <c r="EX87">
        <v>0</v>
      </c>
      <c r="EY87">
        <v>0</v>
      </c>
      <c r="EZ87">
        <v>0</v>
      </c>
      <c r="FA87">
        <v>0</v>
      </c>
      <c r="FB87">
        <v>0</v>
      </c>
      <c r="FC87">
        <v>0</v>
      </c>
      <c r="FD87">
        <v>0</v>
      </c>
      <c r="FE87">
        <v>0</v>
      </c>
      <c r="FF87">
        <v>0</v>
      </c>
      <c r="FG87">
        <v>0</v>
      </c>
      <c r="FH87">
        <f t="shared" si="58"/>
        <v>0</v>
      </c>
      <c r="FI87">
        <v>0</v>
      </c>
      <c r="FJ87">
        <v>0</v>
      </c>
      <c r="FK87">
        <v>0</v>
      </c>
      <c r="FL87">
        <v>0</v>
      </c>
      <c r="FM87">
        <v>0</v>
      </c>
      <c r="FN87">
        <v>0</v>
      </c>
      <c r="FO87">
        <v>0</v>
      </c>
      <c r="FP87">
        <v>0</v>
      </c>
      <c r="FQ87">
        <v>0</v>
      </c>
      <c r="FR87">
        <v>0</v>
      </c>
      <c r="FS87">
        <v>0</v>
      </c>
      <c r="FT87">
        <v>0</v>
      </c>
      <c r="FU87">
        <f t="shared" si="59"/>
        <v>0</v>
      </c>
      <c r="FV87">
        <v>0</v>
      </c>
      <c r="FW87">
        <v>0</v>
      </c>
      <c r="FX87">
        <v>0</v>
      </c>
      <c r="FY87">
        <v>0</v>
      </c>
      <c r="FZ87">
        <v>0</v>
      </c>
      <c r="GA87">
        <v>0</v>
      </c>
      <c r="GB87">
        <v>0</v>
      </c>
      <c r="GC87">
        <v>0</v>
      </c>
      <c r="GD87">
        <v>0</v>
      </c>
      <c r="GE87">
        <v>0</v>
      </c>
      <c r="GF87">
        <v>0</v>
      </c>
      <c r="GG87">
        <v>0</v>
      </c>
      <c r="GH87">
        <f t="shared" si="60"/>
        <v>0</v>
      </c>
      <c r="GI87">
        <v>0</v>
      </c>
      <c r="GJ87">
        <v>0</v>
      </c>
      <c r="GK87">
        <v>0</v>
      </c>
      <c r="GL87">
        <v>0</v>
      </c>
      <c r="GM87">
        <v>0</v>
      </c>
      <c r="GN87">
        <v>0</v>
      </c>
      <c r="GO87">
        <v>0</v>
      </c>
      <c r="GP87">
        <v>0</v>
      </c>
      <c r="GQ87">
        <v>0</v>
      </c>
      <c r="GR87">
        <v>0</v>
      </c>
      <c r="GS87">
        <v>0</v>
      </c>
      <c r="GT87">
        <v>0</v>
      </c>
      <c r="GU87">
        <f t="shared" si="61"/>
        <v>0</v>
      </c>
      <c r="GV87">
        <v>0</v>
      </c>
      <c r="GW87">
        <v>0</v>
      </c>
      <c r="GX87">
        <v>0</v>
      </c>
      <c r="GY87">
        <v>0</v>
      </c>
      <c r="GZ87">
        <v>0</v>
      </c>
      <c r="HA87">
        <v>0</v>
      </c>
      <c r="HB87">
        <v>0</v>
      </c>
      <c r="HC87">
        <v>0</v>
      </c>
      <c r="HD87">
        <v>0</v>
      </c>
      <c r="HE87">
        <v>0</v>
      </c>
      <c r="HF87">
        <v>0</v>
      </c>
      <c r="HG87">
        <v>0</v>
      </c>
      <c r="HH87">
        <f t="shared" si="62"/>
        <v>0</v>
      </c>
      <c r="HI87">
        <v>0</v>
      </c>
      <c r="HJ87">
        <v>0</v>
      </c>
      <c r="HK87">
        <v>0</v>
      </c>
      <c r="HL87">
        <v>0</v>
      </c>
      <c r="HM87">
        <v>0</v>
      </c>
      <c r="HN87">
        <v>0</v>
      </c>
      <c r="HO87">
        <v>0</v>
      </c>
      <c r="HP87">
        <v>0</v>
      </c>
      <c r="HQ87">
        <v>0</v>
      </c>
      <c r="HR87">
        <v>0</v>
      </c>
      <c r="HS87">
        <v>0</v>
      </c>
      <c r="HT87">
        <v>0</v>
      </c>
      <c r="HU87">
        <f t="shared" si="63"/>
        <v>0</v>
      </c>
      <c r="HV87">
        <v>0</v>
      </c>
      <c r="HW87">
        <v>0</v>
      </c>
      <c r="HX87">
        <v>0</v>
      </c>
      <c r="HY87">
        <v>0</v>
      </c>
      <c r="HZ87">
        <v>0</v>
      </c>
      <c r="IA87">
        <v>0</v>
      </c>
      <c r="IB87">
        <v>0</v>
      </c>
      <c r="IC87">
        <v>0</v>
      </c>
      <c r="ID87">
        <v>0</v>
      </c>
      <c r="IE87">
        <v>0</v>
      </c>
      <c r="IF87">
        <v>0</v>
      </c>
      <c r="IG87">
        <v>0</v>
      </c>
      <c r="IH87">
        <f t="shared" si="64"/>
        <v>0</v>
      </c>
      <c r="II87">
        <f t="shared" si="65"/>
        <v>0</v>
      </c>
      <c r="IJ87">
        <f t="shared" si="66"/>
        <v>0</v>
      </c>
      <c r="IK87">
        <v>20204</v>
      </c>
      <c r="IL87">
        <v>20161</v>
      </c>
      <c r="IM87">
        <v>19766</v>
      </c>
      <c r="IN87">
        <v>23173</v>
      </c>
      <c r="IO87">
        <v>24311</v>
      </c>
      <c r="IP87">
        <v>20660</v>
      </c>
      <c r="IQ87">
        <v>21718</v>
      </c>
      <c r="IR87">
        <v>19995</v>
      </c>
      <c r="IS87">
        <v>15140</v>
      </c>
      <c r="IT87">
        <v>21489</v>
      </c>
      <c r="IU87">
        <v>17350</v>
      </c>
      <c r="IV87">
        <v>20437</v>
      </c>
      <c r="IW87">
        <f t="shared" si="67"/>
        <v>244404</v>
      </c>
      <c r="IX87">
        <v>0</v>
      </c>
      <c r="IY87">
        <v>0</v>
      </c>
      <c r="IZ87">
        <v>0</v>
      </c>
      <c r="JA87">
        <v>0</v>
      </c>
      <c r="JB87">
        <v>0</v>
      </c>
      <c r="JC87">
        <v>0</v>
      </c>
      <c r="JD87">
        <v>0</v>
      </c>
      <c r="JE87">
        <v>0</v>
      </c>
      <c r="JF87">
        <v>0</v>
      </c>
      <c r="JG87">
        <v>0</v>
      </c>
      <c r="JH87">
        <v>0</v>
      </c>
      <c r="JI87">
        <v>0</v>
      </c>
      <c r="JJ87">
        <f t="shared" si="68"/>
        <v>0</v>
      </c>
      <c r="JK87">
        <v>0</v>
      </c>
      <c r="JL87">
        <v>0</v>
      </c>
      <c r="JM87">
        <v>0</v>
      </c>
      <c r="JN87">
        <v>0</v>
      </c>
      <c r="JO87">
        <v>0</v>
      </c>
      <c r="JP87">
        <v>0</v>
      </c>
      <c r="JQ87">
        <v>0</v>
      </c>
      <c r="JR87">
        <v>0</v>
      </c>
      <c r="JS87">
        <v>0</v>
      </c>
      <c r="JT87">
        <v>0</v>
      </c>
      <c r="JU87">
        <v>0</v>
      </c>
      <c r="JV87">
        <v>0</v>
      </c>
      <c r="JW87">
        <f t="shared" si="69"/>
        <v>0</v>
      </c>
      <c r="JX87">
        <v>0</v>
      </c>
      <c r="JY87">
        <v>0</v>
      </c>
      <c r="JZ87">
        <v>0</v>
      </c>
      <c r="KA87">
        <v>0</v>
      </c>
      <c r="KB87">
        <v>0</v>
      </c>
      <c r="KC87">
        <v>0</v>
      </c>
      <c r="KD87">
        <v>0</v>
      </c>
      <c r="KE87">
        <v>0</v>
      </c>
      <c r="KF87">
        <v>0</v>
      </c>
      <c r="KG87">
        <v>0</v>
      </c>
      <c r="KH87">
        <v>0</v>
      </c>
      <c r="KI87">
        <v>0</v>
      </c>
      <c r="KJ87">
        <f t="shared" si="70"/>
        <v>0</v>
      </c>
      <c r="KK87">
        <v>528</v>
      </c>
      <c r="KL87">
        <v>671</v>
      </c>
      <c r="KM87">
        <v>639</v>
      </c>
      <c r="KN87">
        <v>626</v>
      </c>
      <c r="KO87">
        <v>572</v>
      </c>
      <c r="KP87">
        <v>515</v>
      </c>
      <c r="KQ87">
        <v>835</v>
      </c>
      <c r="KR87">
        <v>745</v>
      </c>
      <c r="KS87">
        <v>417</v>
      </c>
      <c r="KT87">
        <v>702</v>
      </c>
      <c r="KU87">
        <v>396</v>
      </c>
      <c r="KV87">
        <v>657</v>
      </c>
      <c r="KW87">
        <f t="shared" si="71"/>
        <v>7303</v>
      </c>
      <c r="KX87">
        <v>0</v>
      </c>
      <c r="KY87">
        <v>0</v>
      </c>
      <c r="KZ87">
        <v>0</v>
      </c>
      <c r="LA87">
        <v>0</v>
      </c>
      <c r="LB87">
        <v>0</v>
      </c>
      <c r="LC87">
        <v>0</v>
      </c>
      <c r="LD87">
        <v>0</v>
      </c>
      <c r="LE87">
        <v>0</v>
      </c>
      <c r="LF87">
        <v>0</v>
      </c>
      <c r="LG87">
        <v>0</v>
      </c>
      <c r="LH87">
        <v>0</v>
      </c>
      <c r="LI87">
        <v>0</v>
      </c>
      <c r="LJ87">
        <f t="shared" si="72"/>
        <v>0</v>
      </c>
      <c r="LK87">
        <v>0</v>
      </c>
      <c r="LL87">
        <v>0</v>
      </c>
      <c r="LM87">
        <v>0</v>
      </c>
      <c r="LN87">
        <v>0</v>
      </c>
      <c r="LO87">
        <v>0</v>
      </c>
      <c r="LP87">
        <v>0</v>
      </c>
      <c r="LQ87">
        <v>0</v>
      </c>
      <c r="LR87">
        <v>0</v>
      </c>
      <c r="LS87">
        <v>0</v>
      </c>
      <c r="LT87">
        <v>0</v>
      </c>
      <c r="LU87">
        <v>0</v>
      </c>
      <c r="LV87">
        <v>0</v>
      </c>
      <c r="LW87">
        <f t="shared" si="73"/>
        <v>0</v>
      </c>
      <c r="LX87">
        <v>0</v>
      </c>
      <c r="LY87">
        <v>0</v>
      </c>
      <c r="LZ87">
        <v>0</v>
      </c>
      <c r="MA87">
        <v>0</v>
      </c>
      <c r="MB87">
        <v>0</v>
      </c>
      <c r="MC87">
        <v>0</v>
      </c>
      <c r="MD87">
        <v>0</v>
      </c>
      <c r="ME87">
        <v>0</v>
      </c>
      <c r="MF87">
        <v>0</v>
      </c>
      <c r="MG87">
        <v>0</v>
      </c>
      <c r="MH87">
        <v>0</v>
      </c>
      <c r="MI87">
        <v>0</v>
      </c>
      <c r="MJ87">
        <f t="shared" si="74"/>
        <v>0</v>
      </c>
      <c r="MK87">
        <v>1004</v>
      </c>
      <c r="ML87">
        <v>1078</v>
      </c>
      <c r="MM87">
        <v>1066</v>
      </c>
      <c r="MN87">
        <v>1026</v>
      </c>
      <c r="MO87">
        <v>1042</v>
      </c>
      <c r="MP87">
        <v>879</v>
      </c>
      <c r="MQ87">
        <v>997</v>
      </c>
      <c r="MR87">
        <v>849</v>
      </c>
      <c r="MS87">
        <v>846</v>
      </c>
      <c r="MT87">
        <v>992</v>
      </c>
      <c r="MU87">
        <v>772</v>
      </c>
      <c r="MV87">
        <v>850</v>
      </c>
      <c r="MW87">
        <f t="shared" si="75"/>
        <v>11401</v>
      </c>
      <c r="MX87">
        <v>0</v>
      </c>
      <c r="MY87">
        <v>0</v>
      </c>
      <c r="MZ87">
        <v>0</v>
      </c>
      <c r="NA87">
        <v>0</v>
      </c>
      <c r="NB87">
        <v>0</v>
      </c>
      <c r="NC87">
        <v>0</v>
      </c>
      <c r="ND87">
        <v>0</v>
      </c>
      <c r="NE87">
        <v>0</v>
      </c>
      <c r="NF87">
        <v>0</v>
      </c>
      <c r="NG87">
        <v>0</v>
      </c>
      <c r="NH87">
        <v>0</v>
      </c>
      <c r="NI87">
        <v>0</v>
      </c>
      <c r="NJ87">
        <f t="shared" si="76"/>
        <v>0</v>
      </c>
      <c r="NK87">
        <v>0</v>
      </c>
      <c r="NL87">
        <v>0</v>
      </c>
      <c r="NM87">
        <v>0</v>
      </c>
      <c r="NN87">
        <v>0</v>
      </c>
      <c r="NO87">
        <v>0</v>
      </c>
      <c r="NP87">
        <v>0</v>
      </c>
      <c r="NQ87">
        <v>0</v>
      </c>
      <c r="NR87">
        <v>0</v>
      </c>
      <c r="NS87">
        <v>0</v>
      </c>
      <c r="NT87">
        <v>0</v>
      </c>
      <c r="NU87">
        <v>0</v>
      </c>
      <c r="NV87">
        <v>0</v>
      </c>
      <c r="NW87">
        <f t="shared" si="77"/>
        <v>0</v>
      </c>
      <c r="NX87">
        <v>0</v>
      </c>
      <c r="NY87">
        <v>0</v>
      </c>
      <c r="NZ87">
        <v>0</v>
      </c>
      <c r="OA87">
        <v>0</v>
      </c>
      <c r="OB87">
        <v>0</v>
      </c>
      <c r="OC87">
        <v>0</v>
      </c>
      <c r="OD87">
        <v>0</v>
      </c>
      <c r="OE87">
        <v>0</v>
      </c>
      <c r="OF87">
        <v>0</v>
      </c>
      <c r="OG87">
        <v>0</v>
      </c>
      <c r="OH87">
        <v>0</v>
      </c>
      <c r="OI87">
        <v>0</v>
      </c>
      <c r="OJ87">
        <f t="shared" si="78"/>
        <v>0</v>
      </c>
      <c r="OK87">
        <v>1313</v>
      </c>
      <c r="OL87">
        <v>1453</v>
      </c>
      <c r="OM87">
        <v>1350</v>
      </c>
      <c r="ON87">
        <v>1502</v>
      </c>
      <c r="OO87">
        <v>1486</v>
      </c>
      <c r="OP87">
        <v>1426</v>
      </c>
      <c r="OQ87">
        <v>1444</v>
      </c>
      <c r="OR87">
        <v>1413</v>
      </c>
      <c r="OS87">
        <v>1348</v>
      </c>
      <c r="OT87">
        <v>1552</v>
      </c>
      <c r="OU87">
        <v>1344</v>
      </c>
      <c r="OV87">
        <v>1607</v>
      </c>
      <c r="OW87">
        <f t="shared" si="79"/>
        <v>17238</v>
      </c>
      <c r="OX87">
        <v>0</v>
      </c>
      <c r="OY87">
        <v>0</v>
      </c>
      <c r="OZ87">
        <v>0</v>
      </c>
      <c r="PA87">
        <v>0</v>
      </c>
      <c r="PB87">
        <v>0</v>
      </c>
      <c r="PC87">
        <v>0</v>
      </c>
      <c r="PD87">
        <v>0</v>
      </c>
      <c r="PE87">
        <v>0</v>
      </c>
      <c r="PF87">
        <v>0</v>
      </c>
      <c r="PG87">
        <v>0</v>
      </c>
      <c r="PH87">
        <v>0</v>
      </c>
      <c r="PI87">
        <v>0</v>
      </c>
      <c r="PJ87">
        <f t="shared" si="80"/>
        <v>0</v>
      </c>
      <c r="PK87">
        <v>0</v>
      </c>
      <c r="PL87">
        <v>0</v>
      </c>
      <c r="PM87">
        <v>0</v>
      </c>
      <c r="PN87">
        <v>0</v>
      </c>
      <c r="PO87">
        <v>0</v>
      </c>
      <c r="PP87">
        <v>0</v>
      </c>
      <c r="PQ87">
        <v>0</v>
      </c>
      <c r="PR87">
        <v>0</v>
      </c>
      <c r="PS87">
        <v>0</v>
      </c>
      <c r="PT87">
        <v>0</v>
      </c>
      <c r="PU87">
        <v>0</v>
      </c>
      <c r="PV87">
        <v>0</v>
      </c>
      <c r="PW87">
        <f t="shared" si="81"/>
        <v>0</v>
      </c>
      <c r="PX87">
        <v>0</v>
      </c>
      <c r="PY87">
        <v>0</v>
      </c>
      <c r="PZ87">
        <v>0</v>
      </c>
      <c r="QA87">
        <v>0</v>
      </c>
      <c r="QB87">
        <v>0</v>
      </c>
      <c r="QC87">
        <v>0</v>
      </c>
      <c r="QD87">
        <v>0</v>
      </c>
      <c r="QE87">
        <v>0</v>
      </c>
      <c r="QF87">
        <v>0</v>
      </c>
      <c r="QG87">
        <v>0</v>
      </c>
      <c r="QH87">
        <v>0</v>
      </c>
      <c r="QI87">
        <v>0</v>
      </c>
      <c r="QJ87">
        <f t="shared" si="82"/>
        <v>0</v>
      </c>
      <c r="QK87">
        <v>15202</v>
      </c>
      <c r="QL87">
        <v>14582</v>
      </c>
      <c r="QM87">
        <v>14454</v>
      </c>
      <c r="QN87">
        <v>17861</v>
      </c>
      <c r="QO87">
        <v>17414</v>
      </c>
      <c r="QP87">
        <v>15148</v>
      </c>
      <c r="QQ87">
        <v>19323</v>
      </c>
      <c r="QR87">
        <v>13883</v>
      </c>
      <c r="QS87">
        <v>11192</v>
      </c>
      <c r="QT87">
        <v>14417</v>
      </c>
      <c r="QU87">
        <v>15757</v>
      </c>
      <c r="QV87">
        <v>16747</v>
      </c>
      <c r="QW87">
        <f t="shared" si="83"/>
        <v>185980</v>
      </c>
      <c r="QX87">
        <v>5936</v>
      </c>
      <c r="QY87">
        <v>6047</v>
      </c>
      <c r="QZ87">
        <v>4860</v>
      </c>
      <c r="RA87">
        <v>6014</v>
      </c>
      <c r="RB87">
        <v>6348</v>
      </c>
      <c r="RC87">
        <v>6888</v>
      </c>
      <c r="RD87">
        <v>7096</v>
      </c>
      <c r="RE87">
        <v>6036</v>
      </c>
      <c r="RF87">
        <v>4328</v>
      </c>
      <c r="RG87">
        <v>5889</v>
      </c>
      <c r="RH87">
        <v>5918</v>
      </c>
      <c r="RI87">
        <v>6748</v>
      </c>
      <c r="RJ87">
        <f t="shared" si="84"/>
        <v>72108</v>
      </c>
      <c r="RK87">
        <v>0</v>
      </c>
      <c r="RL87">
        <v>0</v>
      </c>
      <c r="RM87">
        <v>0</v>
      </c>
      <c r="RN87">
        <v>0</v>
      </c>
      <c r="RO87">
        <v>0</v>
      </c>
      <c r="RP87">
        <v>0</v>
      </c>
      <c r="RQ87">
        <v>0</v>
      </c>
      <c r="RR87">
        <v>0</v>
      </c>
      <c r="RS87">
        <v>0</v>
      </c>
      <c r="RT87">
        <v>0</v>
      </c>
      <c r="RU87">
        <v>0</v>
      </c>
      <c r="RV87">
        <v>0</v>
      </c>
      <c r="RW87">
        <f t="shared" si="85"/>
        <v>0</v>
      </c>
      <c r="RX87">
        <v>0</v>
      </c>
      <c r="RY87">
        <v>0</v>
      </c>
      <c r="RZ87">
        <v>0</v>
      </c>
      <c r="SA87">
        <v>0</v>
      </c>
      <c r="SB87">
        <v>0</v>
      </c>
      <c r="SC87">
        <v>0</v>
      </c>
      <c r="SD87">
        <v>0</v>
      </c>
      <c r="SE87">
        <v>0</v>
      </c>
      <c r="SF87">
        <v>0</v>
      </c>
      <c r="SG87">
        <v>0</v>
      </c>
      <c r="SH87">
        <v>0</v>
      </c>
      <c r="SI87">
        <v>0</v>
      </c>
      <c r="SJ87">
        <f t="shared" si="86"/>
        <v>0</v>
      </c>
      <c r="SK87">
        <v>94</v>
      </c>
      <c r="SL87">
        <v>116</v>
      </c>
      <c r="SM87">
        <v>95</v>
      </c>
      <c r="SN87">
        <v>109</v>
      </c>
      <c r="SO87">
        <v>71</v>
      </c>
      <c r="SP87">
        <v>88</v>
      </c>
      <c r="SQ87">
        <v>115</v>
      </c>
      <c r="SR87">
        <v>92</v>
      </c>
      <c r="SS87">
        <v>68</v>
      </c>
      <c r="ST87">
        <v>90</v>
      </c>
      <c r="SU87">
        <v>88</v>
      </c>
      <c r="SV87">
        <v>97</v>
      </c>
      <c r="SW87">
        <f t="shared" si="87"/>
        <v>1123</v>
      </c>
      <c r="SX87" s="1" t="s">
        <v>1483</v>
      </c>
      <c r="SY87">
        <v>3624</v>
      </c>
      <c r="SZ87">
        <v>3619</v>
      </c>
      <c r="TA87">
        <v>3856</v>
      </c>
      <c r="TB87">
        <v>4148</v>
      </c>
      <c r="TC87">
        <v>3460</v>
      </c>
      <c r="TD87">
        <v>3552</v>
      </c>
      <c r="TE87">
        <v>3785</v>
      </c>
      <c r="TF87">
        <v>3442</v>
      </c>
      <c r="TG87">
        <v>2574</v>
      </c>
      <c r="TH87">
        <v>3571</v>
      </c>
      <c r="TI87">
        <v>3515</v>
      </c>
      <c r="TJ87">
        <v>4093</v>
      </c>
      <c r="TK87">
        <f t="shared" si="88"/>
        <v>43239</v>
      </c>
      <c r="TL87">
        <v>2373</v>
      </c>
      <c r="TM87">
        <v>2073</v>
      </c>
      <c r="TN87">
        <v>2356</v>
      </c>
      <c r="TO87">
        <v>2625</v>
      </c>
      <c r="TP87">
        <v>2448</v>
      </c>
      <c r="TQ87">
        <v>2504</v>
      </c>
      <c r="TR87">
        <v>2797</v>
      </c>
      <c r="TS87">
        <v>2385</v>
      </c>
      <c r="TT87">
        <v>1767</v>
      </c>
      <c r="TU87">
        <v>2659</v>
      </c>
      <c r="TV87">
        <v>2556</v>
      </c>
      <c r="TW87">
        <v>2544</v>
      </c>
      <c r="TX87">
        <f t="shared" si="89"/>
        <v>29087</v>
      </c>
      <c r="TY87">
        <v>81</v>
      </c>
      <c r="TZ87">
        <v>0</v>
      </c>
      <c r="UA87">
        <v>0</v>
      </c>
      <c r="UB87">
        <v>0</v>
      </c>
    </row>
    <row r="88" spans="1:548" ht="16.5" customHeight="1" x14ac:dyDescent="0.35">
      <c r="A88" t="s">
        <v>1453</v>
      </c>
      <c r="B88" t="s">
        <v>2862</v>
      </c>
      <c r="C88">
        <v>191589</v>
      </c>
      <c r="D88">
        <v>45240</v>
      </c>
      <c r="E88">
        <v>12271</v>
      </c>
      <c r="F88">
        <v>134078</v>
      </c>
      <c r="G88">
        <v>1199</v>
      </c>
      <c r="H88">
        <v>1298</v>
      </c>
      <c r="I88">
        <v>1258</v>
      </c>
      <c r="J88">
        <v>1353</v>
      </c>
      <c r="K88">
        <v>1344</v>
      </c>
      <c r="L88">
        <v>1134</v>
      </c>
      <c r="M88">
        <v>1306</v>
      </c>
      <c r="N88">
        <v>1248</v>
      </c>
      <c r="O88">
        <v>1128</v>
      </c>
      <c r="P88">
        <v>1359</v>
      </c>
      <c r="Q88">
        <v>1404</v>
      </c>
      <c r="R88">
        <v>1525</v>
      </c>
      <c r="S88">
        <f t="shared" si="45"/>
        <v>15556</v>
      </c>
      <c r="T88">
        <v>710</v>
      </c>
      <c r="U88">
        <v>784</v>
      </c>
      <c r="V88">
        <v>747</v>
      </c>
      <c r="W88">
        <v>827</v>
      </c>
      <c r="X88">
        <v>886</v>
      </c>
      <c r="Y88">
        <v>691</v>
      </c>
      <c r="Z88">
        <v>787</v>
      </c>
      <c r="AA88">
        <v>733</v>
      </c>
      <c r="AB88">
        <v>670</v>
      </c>
      <c r="AC88">
        <v>762</v>
      </c>
      <c r="AD88">
        <v>785</v>
      </c>
      <c r="AE88">
        <v>865</v>
      </c>
      <c r="AF88">
        <f t="shared" si="46"/>
        <v>9247</v>
      </c>
      <c r="AG88">
        <v>16</v>
      </c>
      <c r="AH88">
        <v>9</v>
      </c>
      <c r="AI88">
        <v>10</v>
      </c>
      <c r="AJ88">
        <v>3</v>
      </c>
      <c r="AK88">
        <v>4</v>
      </c>
      <c r="AL88">
        <v>2</v>
      </c>
      <c r="AM88">
        <v>10</v>
      </c>
      <c r="AN88">
        <v>12</v>
      </c>
      <c r="AO88">
        <v>13</v>
      </c>
      <c r="AP88">
        <v>24</v>
      </c>
      <c r="AQ88">
        <v>24</v>
      </c>
      <c r="AR88">
        <v>33</v>
      </c>
      <c r="AS88">
        <f t="shared" si="47"/>
        <v>160</v>
      </c>
      <c r="AT88">
        <v>178</v>
      </c>
      <c r="AU88">
        <v>206</v>
      </c>
      <c r="AV88">
        <v>159</v>
      </c>
      <c r="AW88">
        <v>185</v>
      </c>
      <c r="AX88">
        <v>142</v>
      </c>
      <c r="AY88">
        <v>173</v>
      </c>
      <c r="AZ88">
        <v>216</v>
      </c>
      <c r="BA88">
        <v>197</v>
      </c>
      <c r="BB88">
        <v>192</v>
      </c>
      <c r="BC88">
        <v>247</v>
      </c>
      <c r="BD88">
        <v>221</v>
      </c>
      <c r="BE88">
        <v>296</v>
      </c>
      <c r="BF88">
        <f t="shared" si="48"/>
        <v>2412</v>
      </c>
      <c r="BG88">
        <v>295</v>
      </c>
      <c r="BH88">
        <v>299</v>
      </c>
      <c r="BI88">
        <v>342</v>
      </c>
      <c r="BJ88">
        <v>338</v>
      </c>
      <c r="BK88">
        <v>312</v>
      </c>
      <c r="BL88">
        <v>268</v>
      </c>
      <c r="BM88">
        <v>293</v>
      </c>
      <c r="BN88">
        <v>306</v>
      </c>
      <c r="BO88">
        <v>253</v>
      </c>
      <c r="BP88">
        <v>326</v>
      </c>
      <c r="BQ88">
        <v>374</v>
      </c>
      <c r="BR88">
        <v>331</v>
      </c>
      <c r="BS88">
        <f t="shared" si="49"/>
        <v>3737</v>
      </c>
      <c r="BT88">
        <v>0</v>
      </c>
      <c r="BU88">
        <v>0</v>
      </c>
      <c r="BV88">
        <v>0</v>
      </c>
      <c r="BW88">
        <v>0</v>
      </c>
      <c r="BX88">
        <v>0</v>
      </c>
      <c r="BY88">
        <v>0</v>
      </c>
      <c r="BZ88">
        <v>0</v>
      </c>
      <c r="CA88">
        <v>0</v>
      </c>
      <c r="CB88">
        <v>0</v>
      </c>
      <c r="CC88">
        <v>0</v>
      </c>
      <c r="CD88">
        <v>0</v>
      </c>
      <c r="CE88">
        <v>0</v>
      </c>
      <c r="CF88">
        <f t="shared" si="50"/>
        <v>0</v>
      </c>
      <c r="CG88">
        <v>0</v>
      </c>
      <c r="CH88">
        <v>0</v>
      </c>
      <c r="CI88">
        <v>0</v>
      </c>
      <c r="CJ88">
        <v>0</v>
      </c>
      <c r="CK88">
        <v>0</v>
      </c>
      <c r="CL88">
        <v>0</v>
      </c>
      <c r="CM88">
        <v>0</v>
      </c>
      <c r="CN88">
        <v>0</v>
      </c>
      <c r="CO88">
        <v>0</v>
      </c>
      <c r="CP88">
        <v>0</v>
      </c>
      <c r="CQ88">
        <v>0</v>
      </c>
      <c r="CR88">
        <v>0</v>
      </c>
      <c r="CS88">
        <f t="shared" si="51"/>
        <v>0</v>
      </c>
      <c r="CT88">
        <v>0</v>
      </c>
      <c r="CU88">
        <v>0</v>
      </c>
      <c r="CV88">
        <v>0</v>
      </c>
      <c r="CW88">
        <v>0</v>
      </c>
      <c r="CX88">
        <v>0</v>
      </c>
      <c r="CY88">
        <v>0</v>
      </c>
      <c r="CZ88">
        <v>0</v>
      </c>
      <c r="DA88">
        <v>0</v>
      </c>
      <c r="DB88">
        <v>0</v>
      </c>
      <c r="DC88">
        <v>0</v>
      </c>
      <c r="DD88">
        <v>0</v>
      </c>
      <c r="DE88">
        <v>0</v>
      </c>
      <c r="DF88">
        <f t="shared" si="52"/>
        <v>0</v>
      </c>
      <c r="DG88">
        <v>0</v>
      </c>
      <c r="DH88">
        <v>0</v>
      </c>
      <c r="DI88">
        <v>0</v>
      </c>
      <c r="DJ88">
        <v>0</v>
      </c>
      <c r="DK88">
        <v>0</v>
      </c>
      <c r="DL88">
        <v>0</v>
      </c>
      <c r="DM88">
        <v>0</v>
      </c>
      <c r="DN88">
        <v>0</v>
      </c>
      <c r="DO88">
        <v>0</v>
      </c>
      <c r="DP88">
        <v>0</v>
      </c>
      <c r="DQ88">
        <v>0</v>
      </c>
      <c r="DR88">
        <v>0</v>
      </c>
      <c r="DS88">
        <f t="shared" si="53"/>
        <v>0</v>
      </c>
      <c r="DT88">
        <v>0</v>
      </c>
      <c r="DU88">
        <v>0</v>
      </c>
      <c r="DV88">
        <v>0</v>
      </c>
      <c r="DW88">
        <v>0</v>
      </c>
      <c r="DX88">
        <v>0</v>
      </c>
      <c r="DY88">
        <v>0</v>
      </c>
      <c r="DZ88">
        <v>0</v>
      </c>
      <c r="EA88">
        <v>0</v>
      </c>
      <c r="EB88">
        <v>0</v>
      </c>
      <c r="EC88">
        <v>0</v>
      </c>
      <c r="ED88">
        <v>0</v>
      </c>
      <c r="EE88">
        <v>0</v>
      </c>
      <c r="EF88">
        <f t="shared" si="54"/>
        <v>0</v>
      </c>
      <c r="EG88">
        <f t="shared" si="55"/>
        <v>15556</v>
      </c>
      <c r="EH88">
        <f t="shared" si="56"/>
        <v>0</v>
      </c>
      <c r="EI88">
        <v>16955</v>
      </c>
      <c r="EJ88">
        <v>19263</v>
      </c>
      <c r="EK88">
        <v>28691</v>
      </c>
      <c r="EL88">
        <v>34481</v>
      </c>
      <c r="EM88">
        <v>21274</v>
      </c>
      <c r="EN88">
        <v>19623</v>
      </c>
      <c r="EO88">
        <v>23060</v>
      </c>
      <c r="EP88">
        <v>23308</v>
      </c>
      <c r="EQ88">
        <v>15735</v>
      </c>
      <c r="ER88">
        <v>22062</v>
      </c>
      <c r="ES88">
        <v>26217</v>
      </c>
      <c r="ET88">
        <v>26021</v>
      </c>
      <c r="EU88">
        <f t="shared" si="57"/>
        <v>276690</v>
      </c>
      <c r="EV88">
        <v>8228</v>
      </c>
      <c r="EW88">
        <v>8953</v>
      </c>
      <c r="EX88">
        <v>18097</v>
      </c>
      <c r="EY88">
        <v>22950</v>
      </c>
      <c r="EZ88">
        <v>10420</v>
      </c>
      <c r="FA88">
        <v>9355</v>
      </c>
      <c r="FB88">
        <v>11117</v>
      </c>
      <c r="FC88">
        <v>10934</v>
      </c>
      <c r="FD88">
        <v>7229</v>
      </c>
      <c r="FE88">
        <v>10144</v>
      </c>
      <c r="FF88">
        <v>12298</v>
      </c>
      <c r="FG88">
        <v>12668</v>
      </c>
      <c r="FH88">
        <f t="shared" si="58"/>
        <v>142393</v>
      </c>
      <c r="FI88">
        <v>0</v>
      </c>
      <c r="FJ88">
        <v>0</v>
      </c>
      <c r="FK88">
        <v>0</v>
      </c>
      <c r="FL88">
        <v>0</v>
      </c>
      <c r="FM88">
        <v>0</v>
      </c>
      <c r="FN88">
        <v>0</v>
      </c>
      <c r="FO88">
        <v>0</v>
      </c>
      <c r="FP88">
        <v>0</v>
      </c>
      <c r="FQ88">
        <v>0</v>
      </c>
      <c r="FR88">
        <v>0</v>
      </c>
      <c r="FS88">
        <v>0</v>
      </c>
      <c r="FT88">
        <v>0</v>
      </c>
      <c r="FU88">
        <f t="shared" si="59"/>
        <v>0</v>
      </c>
      <c r="FV88">
        <v>8727</v>
      </c>
      <c r="FW88">
        <v>10310</v>
      </c>
      <c r="FX88">
        <v>10594</v>
      </c>
      <c r="FY88">
        <v>11531</v>
      </c>
      <c r="FZ88">
        <v>10854</v>
      </c>
      <c r="GA88">
        <v>10268</v>
      </c>
      <c r="GB88">
        <v>11943</v>
      </c>
      <c r="GC88">
        <v>12374</v>
      </c>
      <c r="GD88">
        <v>8506</v>
      </c>
      <c r="GE88">
        <v>11918</v>
      </c>
      <c r="GF88">
        <v>13919</v>
      </c>
      <c r="GG88">
        <v>13353</v>
      </c>
      <c r="GH88">
        <f t="shared" si="60"/>
        <v>134297</v>
      </c>
      <c r="GI88">
        <v>0</v>
      </c>
      <c r="GJ88">
        <v>0</v>
      </c>
      <c r="GK88">
        <v>0</v>
      </c>
      <c r="GL88">
        <v>0</v>
      </c>
      <c r="GM88">
        <v>0</v>
      </c>
      <c r="GN88">
        <v>0</v>
      </c>
      <c r="GO88">
        <v>0</v>
      </c>
      <c r="GP88">
        <v>0</v>
      </c>
      <c r="GQ88">
        <v>0</v>
      </c>
      <c r="GR88">
        <v>0</v>
      </c>
      <c r="GS88">
        <v>0</v>
      </c>
      <c r="GT88">
        <v>0</v>
      </c>
      <c r="GU88">
        <f t="shared" si="61"/>
        <v>0</v>
      </c>
      <c r="GV88">
        <v>0</v>
      </c>
      <c r="GW88">
        <v>0</v>
      </c>
      <c r="GX88">
        <v>0</v>
      </c>
      <c r="GY88">
        <v>0</v>
      </c>
      <c r="GZ88">
        <v>0</v>
      </c>
      <c r="HA88">
        <v>0</v>
      </c>
      <c r="HB88">
        <v>0</v>
      </c>
      <c r="HC88">
        <v>0</v>
      </c>
      <c r="HD88">
        <v>0</v>
      </c>
      <c r="HE88">
        <v>0</v>
      </c>
      <c r="HF88">
        <v>0</v>
      </c>
      <c r="HG88">
        <v>0</v>
      </c>
      <c r="HH88">
        <f t="shared" si="62"/>
        <v>0</v>
      </c>
      <c r="HI88">
        <v>0</v>
      </c>
      <c r="HJ88">
        <v>0</v>
      </c>
      <c r="HK88">
        <v>0</v>
      </c>
      <c r="HL88">
        <v>0</v>
      </c>
      <c r="HM88">
        <v>0</v>
      </c>
      <c r="HN88">
        <v>0</v>
      </c>
      <c r="HO88">
        <v>0</v>
      </c>
      <c r="HP88">
        <v>0</v>
      </c>
      <c r="HQ88">
        <v>0</v>
      </c>
      <c r="HR88">
        <v>0</v>
      </c>
      <c r="HS88">
        <v>0</v>
      </c>
      <c r="HT88">
        <v>0</v>
      </c>
      <c r="HU88">
        <f t="shared" si="63"/>
        <v>0</v>
      </c>
      <c r="HV88">
        <v>0</v>
      </c>
      <c r="HW88">
        <v>0</v>
      </c>
      <c r="HX88">
        <v>0</v>
      </c>
      <c r="HY88">
        <v>0</v>
      </c>
      <c r="HZ88">
        <v>0</v>
      </c>
      <c r="IA88">
        <v>0</v>
      </c>
      <c r="IB88">
        <v>0</v>
      </c>
      <c r="IC88">
        <v>0</v>
      </c>
      <c r="ID88">
        <v>0</v>
      </c>
      <c r="IE88">
        <v>0</v>
      </c>
      <c r="IF88">
        <v>0</v>
      </c>
      <c r="IG88">
        <v>0</v>
      </c>
      <c r="IH88">
        <f t="shared" si="64"/>
        <v>0</v>
      </c>
      <c r="II88">
        <f t="shared" si="65"/>
        <v>276690</v>
      </c>
      <c r="IJ88">
        <f t="shared" si="66"/>
        <v>0</v>
      </c>
      <c r="IK88">
        <v>308268</v>
      </c>
      <c r="IL88">
        <v>324065</v>
      </c>
      <c r="IM88">
        <v>294804</v>
      </c>
      <c r="IN88">
        <v>359708</v>
      </c>
      <c r="IO88">
        <v>377600</v>
      </c>
      <c r="IP88">
        <v>340599</v>
      </c>
      <c r="IQ88">
        <v>366192</v>
      </c>
      <c r="IR88">
        <v>326973</v>
      </c>
      <c r="IS88">
        <v>294226</v>
      </c>
      <c r="IT88">
        <v>326945</v>
      </c>
      <c r="IU88">
        <v>307310</v>
      </c>
      <c r="IV88">
        <v>324907</v>
      </c>
      <c r="IW88">
        <f t="shared" si="67"/>
        <v>3951597</v>
      </c>
      <c r="IX88">
        <v>166106</v>
      </c>
      <c r="IY88">
        <v>175541</v>
      </c>
      <c r="IZ88">
        <v>154038</v>
      </c>
      <c r="JA88">
        <v>203991</v>
      </c>
      <c r="JB88">
        <v>214713</v>
      </c>
      <c r="JC88">
        <v>190020</v>
      </c>
      <c r="JD88">
        <v>207463</v>
      </c>
      <c r="JE88">
        <v>181435</v>
      </c>
      <c r="JF88">
        <v>154713</v>
      </c>
      <c r="JG88">
        <v>180159</v>
      </c>
      <c r="JH88">
        <v>173414</v>
      </c>
      <c r="JI88">
        <v>180355</v>
      </c>
      <c r="JJ88">
        <f t="shared" si="68"/>
        <v>2181948</v>
      </c>
      <c r="JK88">
        <v>5698</v>
      </c>
      <c r="JL88">
        <v>6010</v>
      </c>
      <c r="JM88">
        <v>5446</v>
      </c>
      <c r="JN88">
        <v>7679</v>
      </c>
      <c r="JO88">
        <v>8430</v>
      </c>
      <c r="JP88">
        <v>6730</v>
      </c>
      <c r="JQ88">
        <v>7288</v>
      </c>
      <c r="JR88">
        <v>6220</v>
      </c>
      <c r="JS88">
        <v>5700</v>
      </c>
      <c r="JT88">
        <v>5813</v>
      </c>
      <c r="JU88">
        <v>5508</v>
      </c>
      <c r="JV88">
        <v>6099</v>
      </c>
      <c r="JW88">
        <f t="shared" si="69"/>
        <v>76621</v>
      </c>
      <c r="JX88">
        <v>136464</v>
      </c>
      <c r="JY88">
        <v>142514</v>
      </c>
      <c r="JZ88">
        <v>135320</v>
      </c>
      <c r="KA88">
        <v>148038</v>
      </c>
      <c r="KB88">
        <v>154457</v>
      </c>
      <c r="KC88">
        <v>143849</v>
      </c>
      <c r="KD88">
        <v>151441</v>
      </c>
      <c r="KE88">
        <v>139318</v>
      </c>
      <c r="KF88">
        <v>133813</v>
      </c>
      <c r="KG88">
        <v>140973</v>
      </c>
      <c r="KH88">
        <v>128388</v>
      </c>
      <c r="KI88">
        <v>138453</v>
      </c>
      <c r="KJ88">
        <f t="shared" si="70"/>
        <v>1693028</v>
      </c>
      <c r="KK88">
        <v>1572</v>
      </c>
      <c r="KL88">
        <v>1385</v>
      </c>
      <c r="KM88">
        <v>1409</v>
      </c>
      <c r="KN88">
        <v>1476</v>
      </c>
      <c r="KO88">
        <v>1651</v>
      </c>
      <c r="KP88">
        <v>1371</v>
      </c>
      <c r="KQ88">
        <v>1527</v>
      </c>
      <c r="KR88">
        <v>1307</v>
      </c>
      <c r="KS88">
        <v>1325</v>
      </c>
      <c r="KT88">
        <v>1479</v>
      </c>
      <c r="KU88">
        <v>1294</v>
      </c>
      <c r="KV88">
        <v>1335</v>
      </c>
      <c r="KW88">
        <f t="shared" si="71"/>
        <v>17131</v>
      </c>
      <c r="KX88">
        <v>431</v>
      </c>
      <c r="KY88">
        <v>353</v>
      </c>
      <c r="KZ88">
        <v>265</v>
      </c>
      <c r="LA88">
        <v>427</v>
      </c>
      <c r="LB88">
        <v>468</v>
      </c>
      <c r="LC88">
        <v>349</v>
      </c>
      <c r="LD88">
        <v>363</v>
      </c>
      <c r="LE88">
        <v>333</v>
      </c>
      <c r="LF88">
        <v>308</v>
      </c>
      <c r="LG88">
        <v>319</v>
      </c>
      <c r="LH88">
        <v>273</v>
      </c>
      <c r="LI88">
        <v>290</v>
      </c>
      <c r="LJ88">
        <f t="shared" si="72"/>
        <v>4179</v>
      </c>
      <c r="LK88">
        <v>11</v>
      </c>
      <c r="LL88">
        <v>8</v>
      </c>
      <c r="LM88">
        <v>13</v>
      </c>
      <c r="LN88">
        <v>17</v>
      </c>
      <c r="LO88">
        <v>15</v>
      </c>
      <c r="LP88">
        <v>14</v>
      </c>
      <c r="LQ88">
        <v>21</v>
      </c>
      <c r="LR88">
        <v>16</v>
      </c>
      <c r="LS88">
        <v>4</v>
      </c>
      <c r="LT88">
        <v>13</v>
      </c>
      <c r="LU88">
        <v>12</v>
      </c>
      <c r="LV88">
        <v>27</v>
      </c>
      <c r="LW88">
        <f t="shared" si="73"/>
        <v>171</v>
      </c>
      <c r="LX88">
        <v>1130</v>
      </c>
      <c r="LY88">
        <v>1024</v>
      </c>
      <c r="LZ88">
        <v>1131</v>
      </c>
      <c r="MA88">
        <v>1032</v>
      </c>
      <c r="MB88">
        <v>1168</v>
      </c>
      <c r="MC88">
        <v>1008</v>
      </c>
      <c r="MD88">
        <v>1143</v>
      </c>
      <c r="ME88">
        <v>958</v>
      </c>
      <c r="MF88">
        <v>1013</v>
      </c>
      <c r="MG88">
        <v>1147</v>
      </c>
      <c r="MH88">
        <v>1009</v>
      </c>
      <c r="MI88">
        <v>1018</v>
      </c>
      <c r="MJ88">
        <f t="shared" si="74"/>
        <v>12781</v>
      </c>
      <c r="MK88">
        <v>11632</v>
      </c>
      <c r="ML88">
        <v>12179</v>
      </c>
      <c r="MM88">
        <v>11446</v>
      </c>
      <c r="MN88">
        <v>12326</v>
      </c>
      <c r="MO88">
        <v>13130</v>
      </c>
      <c r="MP88">
        <v>11136</v>
      </c>
      <c r="MQ88">
        <v>11888</v>
      </c>
      <c r="MR88">
        <v>11237</v>
      </c>
      <c r="MS88">
        <v>11697</v>
      </c>
      <c r="MT88">
        <v>12842</v>
      </c>
      <c r="MU88">
        <v>11803</v>
      </c>
      <c r="MV88">
        <v>13025</v>
      </c>
      <c r="MW88">
        <f t="shared" si="75"/>
        <v>144341</v>
      </c>
      <c r="MX88">
        <v>0</v>
      </c>
      <c r="MY88">
        <v>0</v>
      </c>
      <c r="MZ88">
        <v>0</v>
      </c>
      <c r="NA88">
        <v>0</v>
      </c>
      <c r="NB88">
        <v>0</v>
      </c>
      <c r="NC88">
        <v>0</v>
      </c>
      <c r="ND88">
        <v>0</v>
      </c>
      <c r="NE88">
        <v>0</v>
      </c>
      <c r="NF88">
        <v>0</v>
      </c>
      <c r="NG88">
        <v>0</v>
      </c>
      <c r="NH88">
        <v>0</v>
      </c>
      <c r="NI88">
        <v>0</v>
      </c>
      <c r="NJ88">
        <f t="shared" si="76"/>
        <v>0</v>
      </c>
      <c r="NK88">
        <v>0</v>
      </c>
      <c r="NL88">
        <v>0</v>
      </c>
      <c r="NM88">
        <v>0</v>
      </c>
      <c r="NN88">
        <v>0</v>
      </c>
      <c r="NO88">
        <v>0</v>
      </c>
      <c r="NP88">
        <v>0</v>
      </c>
      <c r="NQ88">
        <v>0</v>
      </c>
      <c r="NR88">
        <v>0</v>
      </c>
      <c r="NS88">
        <v>0</v>
      </c>
      <c r="NT88">
        <v>0</v>
      </c>
      <c r="NU88">
        <v>0</v>
      </c>
      <c r="NV88">
        <v>0</v>
      </c>
      <c r="NW88">
        <f t="shared" si="77"/>
        <v>0</v>
      </c>
      <c r="NX88">
        <v>0</v>
      </c>
      <c r="NY88">
        <v>0</v>
      </c>
      <c r="NZ88">
        <v>0</v>
      </c>
      <c r="OA88">
        <v>0</v>
      </c>
      <c r="OB88">
        <v>0</v>
      </c>
      <c r="OC88">
        <v>0</v>
      </c>
      <c r="OD88">
        <v>0</v>
      </c>
      <c r="OE88">
        <v>0</v>
      </c>
      <c r="OF88">
        <v>0</v>
      </c>
      <c r="OG88">
        <v>0</v>
      </c>
      <c r="OH88">
        <v>0</v>
      </c>
      <c r="OI88">
        <v>0</v>
      </c>
      <c r="OJ88">
        <f t="shared" si="78"/>
        <v>0</v>
      </c>
      <c r="OK88">
        <v>17050</v>
      </c>
      <c r="OL88">
        <v>17617</v>
      </c>
      <c r="OM88">
        <v>17056</v>
      </c>
      <c r="ON88">
        <v>17609</v>
      </c>
      <c r="OO88">
        <v>18716</v>
      </c>
      <c r="OP88">
        <v>17363</v>
      </c>
      <c r="OQ88">
        <v>18169</v>
      </c>
      <c r="OR88">
        <v>17271</v>
      </c>
      <c r="OS88">
        <v>17025</v>
      </c>
      <c r="OT88">
        <v>18916</v>
      </c>
      <c r="OU88">
        <v>17490</v>
      </c>
      <c r="OV88">
        <v>18717</v>
      </c>
      <c r="OW88">
        <f t="shared" si="79"/>
        <v>212999</v>
      </c>
      <c r="OX88">
        <v>0</v>
      </c>
      <c r="OY88">
        <v>0</v>
      </c>
      <c r="OZ88">
        <v>0</v>
      </c>
      <c r="PA88">
        <v>0</v>
      </c>
      <c r="PB88">
        <v>0</v>
      </c>
      <c r="PC88">
        <v>0</v>
      </c>
      <c r="PD88">
        <v>0</v>
      </c>
      <c r="PE88">
        <v>0</v>
      </c>
      <c r="PF88">
        <v>0</v>
      </c>
      <c r="PG88">
        <v>0</v>
      </c>
      <c r="PH88">
        <v>0</v>
      </c>
      <c r="PI88">
        <v>0</v>
      </c>
      <c r="PJ88">
        <f t="shared" si="80"/>
        <v>0</v>
      </c>
      <c r="PK88">
        <v>0</v>
      </c>
      <c r="PL88">
        <v>0</v>
      </c>
      <c r="PM88">
        <v>0</v>
      </c>
      <c r="PN88">
        <v>0</v>
      </c>
      <c r="PO88">
        <v>0</v>
      </c>
      <c r="PP88">
        <v>0</v>
      </c>
      <c r="PQ88">
        <v>0</v>
      </c>
      <c r="PR88">
        <v>0</v>
      </c>
      <c r="PS88">
        <v>0</v>
      </c>
      <c r="PT88">
        <v>0</v>
      </c>
      <c r="PU88">
        <v>0</v>
      </c>
      <c r="PV88">
        <v>0</v>
      </c>
      <c r="PW88">
        <f t="shared" si="81"/>
        <v>0</v>
      </c>
      <c r="PX88">
        <v>0</v>
      </c>
      <c r="PY88">
        <v>0</v>
      </c>
      <c r="PZ88">
        <v>0</v>
      </c>
      <c r="QA88">
        <v>0</v>
      </c>
      <c r="QB88">
        <v>0</v>
      </c>
      <c r="QC88">
        <v>0</v>
      </c>
      <c r="QD88">
        <v>0</v>
      </c>
      <c r="QE88">
        <v>0</v>
      </c>
      <c r="QF88">
        <v>0</v>
      </c>
      <c r="QG88">
        <v>0</v>
      </c>
      <c r="QH88">
        <v>0</v>
      </c>
      <c r="QI88">
        <v>0</v>
      </c>
      <c r="QJ88">
        <f t="shared" si="82"/>
        <v>0</v>
      </c>
      <c r="QK88">
        <v>132371</v>
      </c>
      <c r="QL88">
        <v>136301</v>
      </c>
      <c r="QM88">
        <v>114457</v>
      </c>
      <c r="QN88">
        <v>135512</v>
      </c>
      <c r="QO88">
        <v>133209</v>
      </c>
      <c r="QP88">
        <v>127232</v>
      </c>
      <c r="QQ88">
        <v>121400</v>
      </c>
      <c r="QR88">
        <v>107911</v>
      </c>
      <c r="QS88">
        <v>96757</v>
      </c>
      <c r="QT88">
        <v>117621</v>
      </c>
      <c r="QU88">
        <v>117727</v>
      </c>
      <c r="QV88">
        <v>127164</v>
      </c>
      <c r="QW88">
        <f t="shared" si="83"/>
        <v>1467662</v>
      </c>
      <c r="QX88">
        <v>85787</v>
      </c>
      <c r="QY88">
        <v>100396</v>
      </c>
      <c r="QZ88">
        <v>91348</v>
      </c>
      <c r="RA88">
        <v>108760</v>
      </c>
      <c r="RB88">
        <v>112930</v>
      </c>
      <c r="RC88">
        <v>103614</v>
      </c>
      <c r="RD88">
        <v>123840</v>
      </c>
      <c r="RE88">
        <v>118593</v>
      </c>
      <c r="RF88">
        <v>101453</v>
      </c>
      <c r="RG88">
        <v>120323</v>
      </c>
      <c r="RH88">
        <v>119361</v>
      </c>
      <c r="RI88">
        <v>122091</v>
      </c>
      <c r="RJ88">
        <f t="shared" si="84"/>
        <v>1308496</v>
      </c>
      <c r="RK88">
        <v>0</v>
      </c>
      <c r="RL88">
        <v>0</v>
      </c>
      <c r="RM88">
        <v>0</v>
      </c>
      <c r="RN88">
        <v>0</v>
      </c>
      <c r="RO88">
        <v>0</v>
      </c>
      <c r="RP88">
        <v>0</v>
      </c>
      <c r="RQ88">
        <v>0</v>
      </c>
      <c r="RR88">
        <v>0</v>
      </c>
      <c r="RS88">
        <v>0</v>
      </c>
      <c r="RT88">
        <v>0</v>
      </c>
      <c r="RU88">
        <v>0</v>
      </c>
      <c r="RV88">
        <v>0</v>
      </c>
      <c r="RW88">
        <f t="shared" si="85"/>
        <v>0</v>
      </c>
      <c r="RX88">
        <v>0</v>
      </c>
      <c r="RY88">
        <v>0</v>
      </c>
      <c r="RZ88">
        <v>0</v>
      </c>
      <c r="SA88">
        <v>0</v>
      </c>
      <c r="SB88">
        <v>0</v>
      </c>
      <c r="SC88">
        <v>0</v>
      </c>
      <c r="SD88">
        <v>0</v>
      </c>
      <c r="SE88">
        <v>0</v>
      </c>
      <c r="SF88">
        <v>0</v>
      </c>
      <c r="SG88">
        <v>0</v>
      </c>
      <c r="SH88">
        <v>0</v>
      </c>
      <c r="SI88">
        <v>0</v>
      </c>
      <c r="SJ88">
        <f t="shared" si="86"/>
        <v>0</v>
      </c>
      <c r="SK88">
        <v>161</v>
      </c>
      <c r="SL88">
        <v>163</v>
      </c>
      <c r="SM88">
        <v>154</v>
      </c>
      <c r="SN88">
        <v>152</v>
      </c>
      <c r="SO88">
        <v>155</v>
      </c>
      <c r="SP88">
        <v>151</v>
      </c>
      <c r="SQ88">
        <v>151</v>
      </c>
      <c r="SR88">
        <v>151</v>
      </c>
      <c r="SS88">
        <v>148</v>
      </c>
      <c r="ST88">
        <v>147</v>
      </c>
      <c r="SU88">
        <v>150</v>
      </c>
      <c r="SV88">
        <v>148</v>
      </c>
      <c r="SW88">
        <f t="shared" si="87"/>
        <v>1831</v>
      </c>
      <c r="SX88" t="s">
        <v>1454</v>
      </c>
      <c r="SY88">
        <v>10804</v>
      </c>
      <c r="SZ88">
        <v>11937</v>
      </c>
      <c r="TA88">
        <v>11186</v>
      </c>
      <c r="TB88">
        <v>12191</v>
      </c>
      <c r="TC88">
        <v>11954</v>
      </c>
      <c r="TD88">
        <v>12610</v>
      </c>
      <c r="TE88">
        <v>13241</v>
      </c>
      <c r="TF88">
        <v>11304</v>
      </c>
      <c r="TG88">
        <v>10351</v>
      </c>
      <c r="TH88">
        <v>12442</v>
      </c>
      <c r="TI88">
        <v>12106</v>
      </c>
      <c r="TJ88">
        <v>12716</v>
      </c>
      <c r="TK88">
        <f t="shared" si="88"/>
        <v>142842</v>
      </c>
      <c r="TL88">
        <v>0</v>
      </c>
      <c r="TM88">
        <v>0</v>
      </c>
      <c r="TN88">
        <v>0</v>
      </c>
      <c r="TO88">
        <v>0</v>
      </c>
      <c r="TP88">
        <v>0</v>
      </c>
      <c r="TQ88">
        <v>0</v>
      </c>
      <c r="TR88">
        <v>0</v>
      </c>
      <c r="TS88">
        <v>0</v>
      </c>
      <c r="TT88">
        <v>0</v>
      </c>
      <c r="TU88">
        <v>0</v>
      </c>
      <c r="TV88">
        <v>0</v>
      </c>
      <c r="TW88">
        <v>0</v>
      </c>
      <c r="TX88">
        <f t="shared" si="89"/>
        <v>0</v>
      </c>
      <c r="TY88">
        <v>359</v>
      </c>
      <c r="TZ88">
        <v>77</v>
      </c>
      <c r="UA88">
        <v>142</v>
      </c>
      <c r="UB88">
        <v>0</v>
      </c>
    </row>
    <row r="89" spans="1:548" ht="16.5" customHeight="1" x14ac:dyDescent="0.35">
      <c r="A89" t="s">
        <v>1431</v>
      </c>
      <c r="B89" t="s">
        <v>2866</v>
      </c>
      <c r="C89">
        <v>0</v>
      </c>
      <c r="D89">
        <v>0</v>
      </c>
      <c r="E89">
        <v>0</v>
      </c>
      <c r="F89">
        <v>0</v>
      </c>
      <c r="G89">
        <v>225</v>
      </c>
      <c r="H89">
        <v>275</v>
      </c>
      <c r="I89">
        <v>247</v>
      </c>
      <c r="J89">
        <v>259</v>
      </c>
      <c r="K89">
        <v>238</v>
      </c>
      <c r="L89">
        <v>257</v>
      </c>
      <c r="M89">
        <v>311</v>
      </c>
      <c r="N89">
        <v>275</v>
      </c>
      <c r="O89">
        <v>185</v>
      </c>
      <c r="P89">
        <v>233</v>
      </c>
      <c r="Q89">
        <v>275</v>
      </c>
      <c r="R89">
        <v>299</v>
      </c>
      <c r="S89">
        <f t="shared" si="45"/>
        <v>3079</v>
      </c>
      <c r="T89">
        <v>142</v>
      </c>
      <c r="U89">
        <v>165</v>
      </c>
      <c r="V89">
        <v>163</v>
      </c>
      <c r="W89">
        <v>166</v>
      </c>
      <c r="X89">
        <v>152</v>
      </c>
      <c r="Y89">
        <v>151</v>
      </c>
      <c r="Z89">
        <v>202</v>
      </c>
      <c r="AA89">
        <v>177</v>
      </c>
      <c r="AB89">
        <v>118</v>
      </c>
      <c r="AC89">
        <v>136</v>
      </c>
      <c r="AD89">
        <v>177</v>
      </c>
      <c r="AE89">
        <v>176</v>
      </c>
      <c r="AF89">
        <f t="shared" si="46"/>
        <v>1925</v>
      </c>
      <c r="AG89">
        <v>0</v>
      </c>
      <c r="AH89">
        <v>0</v>
      </c>
      <c r="AI89">
        <v>0</v>
      </c>
      <c r="AJ89">
        <v>0</v>
      </c>
      <c r="AK89">
        <v>0</v>
      </c>
      <c r="AL89">
        <v>0</v>
      </c>
      <c r="AM89">
        <v>0</v>
      </c>
      <c r="AN89">
        <v>0</v>
      </c>
      <c r="AO89">
        <v>0</v>
      </c>
      <c r="AP89">
        <v>0</v>
      </c>
      <c r="AQ89">
        <v>0</v>
      </c>
      <c r="AR89">
        <v>0</v>
      </c>
      <c r="AS89">
        <f t="shared" si="47"/>
        <v>0</v>
      </c>
      <c r="AT89">
        <v>83</v>
      </c>
      <c r="AU89">
        <v>110</v>
      </c>
      <c r="AV89">
        <v>84</v>
      </c>
      <c r="AW89">
        <v>93</v>
      </c>
      <c r="AX89">
        <v>86</v>
      </c>
      <c r="AY89">
        <v>106</v>
      </c>
      <c r="AZ89">
        <v>109</v>
      </c>
      <c r="BA89">
        <v>98</v>
      </c>
      <c r="BB89">
        <v>67</v>
      </c>
      <c r="BC89">
        <v>97</v>
      </c>
      <c r="BD89">
        <v>98</v>
      </c>
      <c r="BE89">
        <v>123</v>
      </c>
      <c r="BF89">
        <f t="shared" si="48"/>
        <v>1154</v>
      </c>
      <c r="BG89">
        <v>0</v>
      </c>
      <c r="BH89">
        <v>0</v>
      </c>
      <c r="BI89">
        <v>0</v>
      </c>
      <c r="BJ89">
        <v>0</v>
      </c>
      <c r="BK89">
        <v>0</v>
      </c>
      <c r="BL89">
        <v>0</v>
      </c>
      <c r="BM89">
        <v>0</v>
      </c>
      <c r="BN89">
        <v>0</v>
      </c>
      <c r="BO89">
        <v>0</v>
      </c>
      <c r="BP89">
        <v>0</v>
      </c>
      <c r="BQ89">
        <v>0</v>
      </c>
      <c r="BR89">
        <v>0</v>
      </c>
      <c r="BS89">
        <f t="shared" si="49"/>
        <v>0</v>
      </c>
      <c r="BT89">
        <v>0</v>
      </c>
      <c r="BU89">
        <v>0</v>
      </c>
      <c r="BV89">
        <v>0</v>
      </c>
      <c r="BW89">
        <v>0</v>
      </c>
      <c r="BX89">
        <v>0</v>
      </c>
      <c r="BY89">
        <v>0</v>
      </c>
      <c r="BZ89">
        <v>0</v>
      </c>
      <c r="CA89">
        <v>0</v>
      </c>
      <c r="CB89">
        <v>0</v>
      </c>
      <c r="CC89">
        <v>0</v>
      </c>
      <c r="CD89">
        <v>0</v>
      </c>
      <c r="CE89">
        <v>0</v>
      </c>
      <c r="CF89">
        <f t="shared" si="50"/>
        <v>0</v>
      </c>
      <c r="CG89">
        <v>0</v>
      </c>
      <c r="CH89">
        <v>0</v>
      </c>
      <c r="CI89">
        <v>0</v>
      </c>
      <c r="CJ89">
        <v>0</v>
      </c>
      <c r="CK89">
        <v>0</v>
      </c>
      <c r="CL89">
        <v>0</v>
      </c>
      <c r="CM89">
        <v>0</v>
      </c>
      <c r="CN89">
        <v>0</v>
      </c>
      <c r="CO89">
        <v>0</v>
      </c>
      <c r="CP89">
        <v>0</v>
      </c>
      <c r="CQ89">
        <v>0</v>
      </c>
      <c r="CR89">
        <v>0</v>
      </c>
      <c r="CS89">
        <f t="shared" si="51"/>
        <v>0</v>
      </c>
      <c r="CT89">
        <v>0</v>
      </c>
      <c r="CU89">
        <v>0</v>
      </c>
      <c r="CV89">
        <v>0</v>
      </c>
      <c r="CW89">
        <v>0</v>
      </c>
      <c r="CX89">
        <v>0</v>
      </c>
      <c r="CY89">
        <v>0</v>
      </c>
      <c r="CZ89">
        <v>0</v>
      </c>
      <c r="DA89">
        <v>0</v>
      </c>
      <c r="DB89">
        <v>0</v>
      </c>
      <c r="DC89">
        <v>0</v>
      </c>
      <c r="DD89">
        <v>0</v>
      </c>
      <c r="DE89">
        <v>0</v>
      </c>
      <c r="DF89">
        <f t="shared" si="52"/>
        <v>0</v>
      </c>
      <c r="DG89">
        <v>0</v>
      </c>
      <c r="DH89">
        <v>0</v>
      </c>
      <c r="DI89">
        <v>0</v>
      </c>
      <c r="DJ89">
        <v>0</v>
      </c>
      <c r="DK89">
        <v>0</v>
      </c>
      <c r="DL89">
        <v>0</v>
      </c>
      <c r="DM89">
        <v>0</v>
      </c>
      <c r="DN89">
        <v>0</v>
      </c>
      <c r="DO89">
        <v>0</v>
      </c>
      <c r="DP89">
        <v>0</v>
      </c>
      <c r="DQ89">
        <v>0</v>
      </c>
      <c r="DR89">
        <v>0</v>
      </c>
      <c r="DS89">
        <f t="shared" si="53"/>
        <v>0</v>
      </c>
      <c r="DT89">
        <v>0</v>
      </c>
      <c r="DU89">
        <v>0</v>
      </c>
      <c r="DV89">
        <v>0</v>
      </c>
      <c r="DW89">
        <v>0</v>
      </c>
      <c r="DX89">
        <v>0</v>
      </c>
      <c r="DY89">
        <v>0</v>
      </c>
      <c r="DZ89">
        <v>0</v>
      </c>
      <c r="EA89">
        <v>0</v>
      </c>
      <c r="EB89">
        <v>0</v>
      </c>
      <c r="EC89">
        <v>0</v>
      </c>
      <c r="ED89">
        <v>0</v>
      </c>
      <c r="EE89">
        <v>0</v>
      </c>
      <c r="EF89">
        <f t="shared" si="54"/>
        <v>0</v>
      </c>
      <c r="EG89">
        <f t="shared" si="55"/>
        <v>3079</v>
      </c>
      <c r="EH89">
        <f t="shared" si="56"/>
        <v>0</v>
      </c>
      <c r="EI89">
        <v>3940</v>
      </c>
      <c r="EJ89">
        <v>4757</v>
      </c>
      <c r="EK89">
        <v>4196</v>
      </c>
      <c r="EL89">
        <v>5742</v>
      </c>
      <c r="EM89">
        <v>3502</v>
      </c>
      <c r="EN89">
        <v>4025</v>
      </c>
      <c r="EO89">
        <v>7550</v>
      </c>
      <c r="EP89">
        <v>4747</v>
      </c>
      <c r="EQ89">
        <v>3030</v>
      </c>
      <c r="ER89">
        <v>3088</v>
      </c>
      <c r="ES89">
        <v>7207</v>
      </c>
      <c r="ET89">
        <v>5400</v>
      </c>
      <c r="EU89">
        <f t="shared" si="57"/>
        <v>57184</v>
      </c>
      <c r="EV89">
        <v>3243</v>
      </c>
      <c r="EW89">
        <v>3650</v>
      </c>
      <c r="EX89">
        <v>3314</v>
      </c>
      <c r="EY89">
        <v>4795</v>
      </c>
      <c r="EZ89">
        <v>2838</v>
      </c>
      <c r="FA89">
        <v>3094</v>
      </c>
      <c r="FB89">
        <v>5478</v>
      </c>
      <c r="FC89">
        <v>3842</v>
      </c>
      <c r="FD89">
        <v>2268</v>
      </c>
      <c r="FE89">
        <v>2950</v>
      </c>
      <c r="FF89">
        <v>3839</v>
      </c>
      <c r="FG89">
        <v>4232</v>
      </c>
      <c r="FH89">
        <f t="shared" si="58"/>
        <v>43543</v>
      </c>
      <c r="FI89">
        <v>0</v>
      </c>
      <c r="FJ89">
        <v>0</v>
      </c>
      <c r="FK89">
        <v>0</v>
      </c>
      <c r="FL89">
        <v>0</v>
      </c>
      <c r="FM89">
        <v>0</v>
      </c>
      <c r="FN89">
        <v>0</v>
      </c>
      <c r="FO89">
        <v>0</v>
      </c>
      <c r="FP89">
        <v>0</v>
      </c>
      <c r="FQ89">
        <v>0</v>
      </c>
      <c r="FR89">
        <v>0</v>
      </c>
      <c r="FS89">
        <v>0</v>
      </c>
      <c r="FT89">
        <v>0</v>
      </c>
      <c r="FU89">
        <f t="shared" si="59"/>
        <v>0</v>
      </c>
      <c r="FV89">
        <v>706</v>
      </c>
      <c r="FW89">
        <v>1107</v>
      </c>
      <c r="FX89">
        <v>882</v>
      </c>
      <c r="FY89">
        <v>947</v>
      </c>
      <c r="FZ89">
        <v>664</v>
      </c>
      <c r="GA89">
        <v>931</v>
      </c>
      <c r="GB89">
        <v>2072</v>
      </c>
      <c r="GC89">
        <v>905</v>
      </c>
      <c r="GD89">
        <v>762</v>
      </c>
      <c r="GE89">
        <v>1038</v>
      </c>
      <c r="GF89">
        <v>3368</v>
      </c>
      <c r="GG89">
        <v>1168</v>
      </c>
      <c r="GH89">
        <f t="shared" si="60"/>
        <v>14550</v>
      </c>
      <c r="GI89">
        <v>0</v>
      </c>
      <c r="GJ89">
        <v>0</v>
      </c>
      <c r="GK89">
        <v>0</v>
      </c>
      <c r="GL89">
        <v>0</v>
      </c>
      <c r="GM89">
        <v>0</v>
      </c>
      <c r="GN89">
        <v>0</v>
      </c>
      <c r="GO89">
        <v>0</v>
      </c>
      <c r="GP89">
        <v>0</v>
      </c>
      <c r="GQ89">
        <v>0</v>
      </c>
      <c r="GR89">
        <v>0</v>
      </c>
      <c r="GS89">
        <v>0</v>
      </c>
      <c r="GT89">
        <v>0</v>
      </c>
      <c r="GU89">
        <f t="shared" si="61"/>
        <v>0</v>
      </c>
      <c r="GV89">
        <v>0</v>
      </c>
      <c r="GW89">
        <v>0</v>
      </c>
      <c r="GX89">
        <v>0</v>
      </c>
      <c r="GY89">
        <v>0</v>
      </c>
      <c r="GZ89">
        <v>0</v>
      </c>
      <c r="HA89">
        <v>0</v>
      </c>
      <c r="HB89">
        <v>0</v>
      </c>
      <c r="HC89">
        <v>0</v>
      </c>
      <c r="HD89">
        <v>0</v>
      </c>
      <c r="HE89">
        <v>0</v>
      </c>
      <c r="HF89">
        <v>0</v>
      </c>
      <c r="HG89">
        <v>0</v>
      </c>
      <c r="HH89">
        <f t="shared" si="62"/>
        <v>0</v>
      </c>
      <c r="HI89">
        <v>0</v>
      </c>
      <c r="HJ89">
        <v>0</v>
      </c>
      <c r="HK89">
        <v>0</v>
      </c>
      <c r="HL89">
        <v>0</v>
      </c>
      <c r="HM89">
        <v>0</v>
      </c>
      <c r="HN89">
        <v>0</v>
      </c>
      <c r="HO89">
        <v>0</v>
      </c>
      <c r="HP89">
        <v>0</v>
      </c>
      <c r="HQ89">
        <v>0</v>
      </c>
      <c r="HR89">
        <v>0</v>
      </c>
      <c r="HS89">
        <v>0</v>
      </c>
      <c r="HT89">
        <v>0</v>
      </c>
      <c r="HU89">
        <f t="shared" si="63"/>
        <v>0</v>
      </c>
      <c r="HV89">
        <v>0</v>
      </c>
      <c r="HW89">
        <v>0</v>
      </c>
      <c r="HX89">
        <v>0</v>
      </c>
      <c r="HY89">
        <v>0</v>
      </c>
      <c r="HZ89">
        <v>0</v>
      </c>
      <c r="IA89">
        <v>0</v>
      </c>
      <c r="IB89">
        <v>0</v>
      </c>
      <c r="IC89">
        <v>0</v>
      </c>
      <c r="ID89">
        <v>0</v>
      </c>
      <c r="IE89">
        <v>0</v>
      </c>
      <c r="IF89">
        <v>0</v>
      </c>
      <c r="IG89">
        <v>0</v>
      </c>
      <c r="IH89">
        <f t="shared" si="64"/>
        <v>0</v>
      </c>
      <c r="II89">
        <f t="shared" si="65"/>
        <v>58093</v>
      </c>
      <c r="IJ89">
        <f t="shared" si="66"/>
        <v>0</v>
      </c>
      <c r="IK89">
        <v>61093</v>
      </c>
      <c r="IL89">
        <v>63153</v>
      </c>
      <c r="IM89">
        <v>57602</v>
      </c>
      <c r="IN89">
        <v>62070</v>
      </c>
      <c r="IO89">
        <v>65491</v>
      </c>
      <c r="IP89">
        <v>62731</v>
      </c>
      <c r="IQ89">
        <v>63764</v>
      </c>
      <c r="IR89">
        <v>60170</v>
      </c>
      <c r="IS89">
        <v>58526</v>
      </c>
      <c r="IT89">
        <v>61161</v>
      </c>
      <c r="IU89">
        <v>56534</v>
      </c>
      <c r="IV89">
        <v>59876</v>
      </c>
      <c r="IW89">
        <f t="shared" si="67"/>
        <v>732171</v>
      </c>
      <c r="IX89">
        <v>43418</v>
      </c>
      <c r="IY89">
        <v>44834</v>
      </c>
      <c r="IZ89">
        <v>40627</v>
      </c>
      <c r="JA89">
        <v>44125</v>
      </c>
      <c r="JB89">
        <v>46036</v>
      </c>
      <c r="JC89">
        <v>44162</v>
      </c>
      <c r="JD89">
        <v>44762</v>
      </c>
      <c r="JE89">
        <v>42590</v>
      </c>
      <c r="JF89">
        <v>41454</v>
      </c>
      <c r="JG89">
        <v>43043</v>
      </c>
      <c r="JH89">
        <v>40251</v>
      </c>
      <c r="JI89">
        <v>42266</v>
      </c>
      <c r="JJ89">
        <f t="shared" si="68"/>
        <v>517568</v>
      </c>
      <c r="JK89">
        <v>0</v>
      </c>
      <c r="JL89">
        <v>0</v>
      </c>
      <c r="JM89">
        <v>0</v>
      </c>
      <c r="JN89">
        <v>0</v>
      </c>
      <c r="JO89">
        <v>0</v>
      </c>
      <c r="JP89">
        <v>0</v>
      </c>
      <c r="JQ89">
        <v>0</v>
      </c>
      <c r="JR89">
        <v>0</v>
      </c>
      <c r="JS89">
        <v>0</v>
      </c>
      <c r="JT89">
        <v>0</v>
      </c>
      <c r="JU89">
        <v>0</v>
      </c>
      <c r="JV89">
        <v>0</v>
      </c>
      <c r="JW89">
        <f t="shared" si="69"/>
        <v>0</v>
      </c>
      <c r="JX89">
        <v>17675</v>
      </c>
      <c r="JY89">
        <v>18319</v>
      </c>
      <c r="JZ89">
        <v>16975</v>
      </c>
      <c r="KA89">
        <v>17945</v>
      </c>
      <c r="KB89">
        <v>19455</v>
      </c>
      <c r="KC89">
        <v>18569</v>
      </c>
      <c r="KD89">
        <v>19002</v>
      </c>
      <c r="KE89">
        <v>17580</v>
      </c>
      <c r="KF89">
        <v>17072</v>
      </c>
      <c r="KG89">
        <v>18118</v>
      </c>
      <c r="KH89">
        <v>16283</v>
      </c>
      <c r="KI89">
        <v>17610</v>
      </c>
      <c r="KJ89">
        <f t="shared" si="70"/>
        <v>214603</v>
      </c>
      <c r="KK89">
        <v>198</v>
      </c>
      <c r="KL89">
        <v>184</v>
      </c>
      <c r="KM89">
        <v>175</v>
      </c>
      <c r="KN89">
        <v>171</v>
      </c>
      <c r="KO89">
        <v>145</v>
      </c>
      <c r="KP89">
        <v>149</v>
      </c>
      <c r="KQ89">
        <v>172</v>
      </c>
      <c r="KR89">
        <v>147</v>
      </c>
      <c r="KS89">
        <v>156</v>
      </c>
      <c r="KT89">
        <v>186</v>
      </c>
      <c r="KU89">
        <v>122</v>
      </c>
      <c r="KV89">
        <v>179</v>
      </c>
      <c r="KW89">
        <f t="shared" si="71"/>
        <v>1984</v>
      </c>
      <c r="KX89">
        <v>0</v>
      </c>
      <c r="KY89">
        <v>0</v>
      </c>
      <c r="KZ89">
        <v>0</v>
      </c>
      <c r="LA89">
        <v>0</v>
      </c>
      <c r="LB89">
        <v>0</v>
      </c>
      <c r="LC89">
        <v>0</v>
      </c>
      <c r="LD89">
        <v>0</v>
      </c>
      <c r="LE89">
        <v>0</v>
      </c>
      <c r="LF89">
        <v>0</v>
      </c>
      <c r="LG89">
        <v>0</v>
      </c>
      <c r="LH89">
        <v>0</v>
      </c>
      <c r="LI89">
        <v>0</v>
      </c>
      <c r="LJ89">
        <f t="shared" si="72"/>
        <v>0</v>
      </c>
      <c r="LK89">
        <v>0</v>
      </c>
      <c r="LL89">
        <v>0</v>
      </c>
      <c r="LM89">
        <v>0</v>
      </c>
      <c r="LN89">
        <v>0</v>
      </c>
      <c r="LO89">
        <v>0</v>
      </c>
      <c r="LP89">
        <v>0</v>
      </c>
      <c r="LQ89">
        <v>0</v>
      </c>
      <c r="LR89">
        <v>0</v>
      </c>
      <c r="LS89">
        <v>0</v>
      </c>
      <c r="LT89">
        <v>0</v>
      </c>
      <c r="LU89">
        <v>0</v>
      </c>
      <c r="LV89">
        <v>0</v>
      </c>
      <c r="LW89">
        <f t="shared" si="73"/>
        <v>0</v>
      </c>
      <c r="LX89">
        <v>198</v>
      </c>
      <c r="LY89">
        <v>184</v>
      </c>
      <c r="LZ89">
        <v>175</v>
      </c>
      <c r="MA89">
        <v>171</v>
      </c>
      <c r="MB89">
        <v>145</v>
      </c>
      <c r="MC89">
        <v>149</v>
      </c>
      <c r="MD89">
        <v>172</v>
      </c>
      <c r="ME89">
        <v>147</v>
      </c>
      <c r="MF89">
        <v>156</v>
      </c>
      <c r="MG89">
        <v>186</v>
      </c>
      <c r="MH89">
        <v>122</v>
      </c>
      <c r="MI89">
        <v>179</v>
      </c>
      <c r="MJ89">
        <f t="shared" si="74"/>
        <v>1984</v>
      </c>
      <c r="MK89">
        <v>0</v>
      </c>
      <c r="ML89">
        <v>0</v>
      </c>
      <c r="MM89">
        <v>0</v>
      </c>
      <c r="MN89">
        <v>0</v>
      </c>
      <c r="MO89">
        <v>0</v>
      </c>
      <c r="MP89">
        <v>0</v>
      </c>
      <c r="MQ89">
        <v>0</v>
      </c>
      <c r="MR89">
        <v>0</v>
      </c>
      <c r="MS89">
        <v>0</v>
      </c>
      <c r="MT89">
        <v>0</v>
      </c>
      <c r="MU89">
        <v>0</v>
      </c>
      <c r="MV89">
        <v>0</v>
      </c>
      <c r="MW89">
        <f t="shared" si="75"/>
        <v>0</v>
      </c>
      <c r="MX89">
        <v>0</v>
      </c>
      <c r="MY89">
        <v>0</v>
      </c>
      <c r="MZ89">
        <v>0</v>
      </c>
      <c r="NA89">
        <v>0</v>
      </c>
      <c r="NB89">
        <v>0</v>
      </c>
      <c r="NC89">
        <v>0</v>
      </c>
      <c r="ND89">
        <v>0</v>
      </c>
      <c r="NE89">
        <v>0</v>
      </c>
      <c r="NF89">
        <v>0</v>
      </c>
      <c r="NG89">
        <v>0</v>
      </c>
      <c r="NH89">
        <v>0</v>
      </c>
      <c r="NI89">
        <v>0</v>
      </c>
      <c r="NJ89">
        <f t="shared" si="76"/>
        <v>0</v>
      </c>
      <c r="NK89">
        <v>0</v>
      </c>
      <c r="NL89">
        <v>0</v>
      </c>
      <c r="NM89">
        <v>0</v>
      </c>
      <c r="NN89">
        <v>0</v>
      </c>
      <c r="NO89">
        <v>0</v>
      </c>
      <c r="NP89">
        <v>0</v>
      </c>
      <c r="NQ89">
        <v>0</v>
      </c>
      <c r="NR89">
        <v>0</v>
      </c>
      <c r="NS89">
        <v>0</v>
      </c>
      <c r="NT89">
        <v>0</v>
      </c>
      <c r="NU89">
        <v>0</v>
      </c>
      <c r="NV89">
        <v>0</v>
      </c>
      <c r="NW89">
        <f t="shared" si="77"/>
        <v>0</v>
      </c>
      <c r="NX89">
        <v>0</v>
      </c>
      <c r="NY89">
        <v>0</v>
      </c>
      <c r="NZ89">
        <v>0</v>
      </c>
      <c r="OA89">
        <v>0</v>
      </c>
      <c r="OB89">
        <v>0</v>
      </c>
      <c r="OC89">
        <v>0</v>
      </c>
      <c r="OD89">
        <v>0</v>
      </c>
      <c r="OE89">
        <v>0</v>
      </c>
      <c r="OF89">
        <v>0</v>
      </c>
      <c r="OG89">
        <v>0</v>
      </c>
      <c r="OH89">
        <v>0</v>
      </c>
      <c r="OI89">
        <v>0</v>
      </c>
      <c r="OJ89">
        <f t="shared" si="78"/>
        <v>0</v>
      </c>
      <c r="OK89">
        <v>0</v>
      </c>
      <c r="OL89">
        <v>0</v>
      </c>
      <c r="OM89">
        <v>0</v>
      </c>
      <c r="ON89">
        <v>0</v>
      </c>
      <c r="OO89">
        <v>0</v>
      </c>
      <c r="OP89">
        <v>0</v>
      </c>
      <c r="OQ89">
        <v>0</v>
      </c>
      <c r="OR89">
        <v>0</v>
      </c>
      <c r="OS89">
        <v>0</v>
      </c>
      <c r="OT89">
        <v>0</v>
      </c>
      <c r="OU89">
        <v>0</v>
      </c>
      <c r="OV89">
        <v>0</v>
      </c>
      <c r="OW89">
        <f t="shared" si="79"/>
        <v>0</v>
      </c>
      <c r="OX89">
        <v>0</v>
      </c>
      <c r="OY89">
        <v>0</v>
      </c>
      <c r="OZ89">
        <v>0</v>
      </c>
      <c r="PA89">
        <v>0</v>
      </c>
      <c r="PB89">
        <v>0</v>
      </c>
      <c r="PC89">
        <v>0</v>
      </c>
      <c r="PD89">
        <v>0</v>
      </c>
      <c r="PE89">
        <v>0</v>
      </c>
      <c r="PF89">
        <v>0</v>
      </c>
      <c r="PG89">
        <v>0</v>
      </c>
      <c r="PH89">
        <v>0</v>
      </c>
      <c r="PI89">
        <v>0</v>
      </c>
      <c r="PJ89">
        <f t="shared" si="80"/>
        <v>0</v>
      </c>
      <c r="PK89">
        <v>0</v>
      </c>
      <c r="PL89">
        <v>0</v>
      </c>
      <c r="PM89">
        <v>0</v>
      </c>
      <c r="PN89">
        <v>0</v>
      </c>
      <c r="PO89">
        <v>0</v>
      </c>
      <c r="PP89">
        <v>0</v>
      </c>
      <c r="PQ89">
        <v>0</v>
      </c>
      <c r="PR89">
        <v>0</v>
      </c>
      <c r="PS89">
        <v>0</v>
      </c>
      <c r="PT89">
        <v>0</v>
      </c>
      <c r="PU89">
        <v>0</v>
      </c>
      <c r="PV89">
        <v>0</v>
      </c>
      <c r="PW89">
        <f t="shared" si="81"/>
        <v>0</v>
      </c>
      <c r="PX89">
        <v>0</v>
      </c>
      <c r="PY89">
        <v>0</v>
      </c>
      <c r="PZ89">
        <v>0</v>
      </c>
      <c r="QA89">
        <v>0</v>
      </c>
      <c r="QB89">
        <v>0</v>
      </c>
      <c r="QC89">
        <v>0</v>
      </c>
      <c r="QD89">
        <v>0</v>
      </c>
      <c r="QE89">
        <v>0</v>
      </c>
      <c r="QF89">
        <v>0</v>
      </c>
      <c r="QG89">
        <v>0</v>
      </c>
      <c r="QH89">
        <v>0</v>
      </c>
      <c r="QI89">
        <v>0</v>
      </c>
      <c r="QJ89">
        <f t="shared" si="82"/>
        <v>0</v>
      </c>
      <c r="QK89">
        <v>81704</v>
      </c>
      <c r="QL89">
        <v>89036</v>
      </c>
      <c r="QM89">
        <v>75141</v>
      </c>
      <c r="QN89">
        <v>70140</v>
      </c>
      <c r="QO89">
        <v>61234</v>
      </c>
      <c r="QP89">
        <v>71534</v>
      </c>
      <c r="QQ89">
        <v>78541</v>
      </c>
      <c r="QR89">
        <v>73376</v>
      </c>
      <c r="QS89">
        <v>63613</v>
      </c>
      <c r="QT89">
        <v>80422</v>
      </c>
      <c r="QU89">
        <v>77352</v>
      </c>
      <c r="QV89">
        <v>80398</v>
      </c>
      <c r="QW89">
        <f t="shared" si="83"/>
        <v>902491</v>
      </c>
      <c r="QX89">
        <v>0</v>
      </c>
      <c r="QY89">
        <v>0</v>
      </c>
      <c r="QZ89">
        <v>0</v>
      </c>
      <c r="RA89">
        <v>0</v>
      </c>
      <c r="RB89">
        <v>0</v>
      </c>
      <c r="RC89">
        <v>0</v>
      </c>
      <c r="RD89">
        <v>0</v>
      </c>
      <c r="RE89">
        <v>0</v>
      </c>
      <c r="RF89">
        <v>0</v>
      </c>
      <c r="RG89">
        <v>0</v>
      </c>
      <c r="RH89">
        <v>0</v>
      </c>
      <c r="RI89">
        <v>0</v>
      </c>
      <c r="RJ89">
        <f t="shared" si="84"/>
        <v>0</v>
      </c>
      <c r="RK89">
        <v>0</v>
      </c>
      <c r="RL89">
        <v>0</v>
      </c>
      <c r="RM89">
        <v>0</v>
      </c>
      <c r="RN89">
        <v>0</v>
      </c>
      <c r="RO89">
        <v>0</v>
      </c>
      <c r="RP89">
        <v>0</v>
      </c>
      <c r="RQ89">
        <v>0</v>
      </c>
      <c r="RR89">
        <v>0</v>
      </c>
      <c r="RS89">
        <v>0</v>
      </c>
      <c r="RT89">
        <v>0</v>
      </c>
      <c r="RU89">
        <v>0</v>
      </c>
      <c r="RV89">
        <v>0</v>
      </c>
      <c r="RW89">
        <f t="shared" si="85"/>
        <v>0</v>
      </c>
      <c r="RX89">
        <v>0</v>
      </c>
      <c r="RY89">
        <v>0</v>
      </c>
      <c r="RZ89">
        <v>0</v>
      </c>
      <c r="SA89">
        <v>0</v>
      </c>
      <c r="SB89">
        <v>0</v>
      </c>
      <c r="SC89">
        <v>0</v>
      </c>
      <c r="SD89">
        <v>0</v>
      </c>
      <c r="SE89">
        <v>0</v>
      </c>
      <c r="SF89">
        <v>0</v>
      </c>
      <c r="SG89">
        <v>0</v>
      </c>
      <c r="SH89">
        <v>0</v>
      </c>
      <c r="SI89">
        <v>0</v>
      </c>
      <c r="SJ89">
        <f t="shared" si="86"/>
        <v>0</v>
      </c>
      <c r="SK89">
        <v>28</v>
      </c>
      <c r="SL89">
        <v>28</v>
      </c>
      <c r="SM89">
        <v>28</v>
      </c>
      <c r="SN89">
        <v>28</v>
      </c>
      <c r="SO89">
        <v>28</v>
      </c>
      <c r="SP89">
        <v>28</v>
      </c>
      <c r="SQ89">
        <v>28</v>
      </c>
      <c r="SR89">
        <v>28</v>
      </c>
      <c r="SS89">
        <v>28</v>
      </c>
      <c r="ST89">
        <v>28</v>
      </c>
      <c r="SU89">
        <v>28</v>
      </c>
      <c r="SV89">
        <v>28</v>
      </c>
      <c r="SW89">
        <f t="shared" si="87"/>
        <v>336</v>
      </c>
      <c r="SX89" t="s">
        <v>1555</v>
      </c>
      <c r="SY89">
        <v>4456</v>
      </c>
      <c r="SZ89">
        <v>4567</v>
      </c>
      <c r="TA89">
        <v>4357</v>
      </c>
      <c r="TB89">
        <v>4779</v>
      </c>
      <c r="TC89">
        <v>4607</v>
      </c>
      <c r="TD89">
        <v>4380</v>
      </c>
      <c r="TE89">
        <v>4523</v>
      </c>
      <c r="TF89">
        <v>4315</v>
      </c>
      <c r="TG89">
        <v>3733</v>
      </c>
      <c r="TH89">
        <v>4613</v>
      </c>
      <c r="TI89">
        <v>4553</v>
      </c>
      <c r="TJ89">
        <v>4544</v>
      </c>
      <c r="TK89">
        <f t="shared" si="88"/>
        <v>53427</v>
      </c>
      <c r="TL89">
        <v>0</v>
      </c>
      <c r="TM89">
        <v>0</v>
      </c>
      <c r="TN89">
        <v>0</v>
      </c>
      <c r="TO89">
        <v>0</v>
      </c>
      <c r="TP89">
        <v>0</v>
      </c>
      <c r="TQ89">
        <v>0</v>
      </c>
      <c r="TR89">
        <v>0</v>
      </c>
      <c r="TS89">
        <v>0</v>
      </c>
      <c r="TT89">
        <v>0</v>
      </c>
      <c r="TU89">
        <v>0</v>
      </c>
      <c r="TV89">
        <v>0</v>
      </c>
      <c r="TW89">
        <v>0</v>
      </c>
      <c r="TX89">
        <f t="shared" si="89"/>
        <v>0</v>
      </c>
      <c r="TY89">
        <v>58</v>
      </c>
      <c r="TZ89">
        <v>0</v>
      </c>
      <c r="UA89">
        <v>0</v>
      </c>
      <c r="UB89">
        <v>0</v>
      </c>
    </row>
    <row r="90" spans="1:548" ht="16.5" customHeight="1" x14ac:dyDescent="0.35">
      <c r="A90" t="s">
        <v>1495</v>
      </c>
      <c r="B90" t="s">
        <v>2865</v>
      </c>
      <c r="C90">
        <v>0</v>
      </c>
      <c r="D90">
        <v>0</v>
      </c>
      <c r="E90">
        <v>0</v>
      </c>
      <c r="F90">
        <v>0</v>
      </c>
      <c r="G90">
        <v>131</v>
      </c>
      <c r="H90">
        <v>120</v>
      </c>
      <c r="I90">
        <v>128</v>
      </c>
      <c r="J90">
        <v>121</v>
      </c>
      <c r="K90">
        <v>100</v>
      </c>
      <c r="L90">
        <v>130</v>
      </c>
      <c r="M90">
        <v>162</v>
      </c>
      <c r="N90">
        <v>141</v>
      </c>
      <c r="O90">
        <v>114</v>
      </c>
      <c r="P90">
        <v>122</v>
      </c>
      <c r="Q90">
        <v>153</v>
      </c>
      <c r="R90">
        <v>142</v>
      </c>
      <c r="S90">
        <f t="shared" si="45"/>
        <v>1564</v>
      </c>
      <c r="T90">
        <v>0</v>
      </c>
      <c r="U90">
        <v>0</v>
      </c>
      <c r="V90">
        <v>0</v>
      </c>
      <c r="W90">
        <v>0</v>
      </c>
      <c r="X90">
        <v>0</v>
      </c>
      <c r="Y90">
        <v>0</v>
      </c>
      <c r="Z90">
        <v>0</v>
      </c>
      <c r="AA90">
        <v>0</v>
      </c>
      <c r="AB90">
        <v>0</v>
      </c>
      <c r="AC90">
        <v>0</v>
      </c>
      <c r="AD90">
        <v>0</v>
      </c>
      <c r="AE90">
        <v>0</v>
      </c>
      <c r="AF90">
        <f t="shared" si="46"/>
        <v>0</v>
      </c>
      <c r="AG90">
        <v>0</v>
      </c>
      <c r="AH90">
        <v>0</v>
      </c>
      <c r="AI90">
        <v>0</v>
      </c>
      <c r="AJ90">
        <v>0</v>
      </c>
      <c r="AK90">
        <v>0</v>
      </c>
      <c r="AL90">
        <v>0</v>
      </c>
      <c r="AM90">
        <v>0</v>
      </c>
      <c r="AN90">
        <v>0</v>
      </c>
      <c r="AO90">
        <v>0</v>
      </c>
      <c r="AP90">
        <v>0</v>
      </c>
      <c r="AQ90">
        <v>0</v>
      </c>
      <c r="AR90">
        <v>0</v>
      </c>
      <c r="AS90">
        <f t="shared" si="47"/>
        <v>0</v>
      </c>
      <c r="AT90">
        <v>0</v>
      </c>
      <c r="AU90">
        <v>0</v>
      </c>
      <c r="AV90">
        <v>0</v>
      </c>
      <c r="AW90">
        <v>0</v>
      </c>
      <c r="AX90">
        <v>0</v>
      </c>
      <c r="AY90">
        <v>0</v>
      </c>
      <c r="AZ90">
        <v>0</v>
      </c>
      <c r="BA90">
        <v>0</v>
      </c>
      <c r="BB90">
        <v>0</v>
      </c>
      <c r="BC90">
        <v>0</v>
      </c>
      <c r="BD90">
        <v>0</v>
      </c>
      <c r="BE90">
        <v>0</v>
      </c>
      <c r="BF90">
        <f t="shared" si="48"/>
        <v>0</v>
      </c>
      <c r="BG90">
        <v>0</v>
      </c>
      <c r="BH90">
        <v>0</v>
      </c>
      <c r="BI90">
        <v>0</v>
      </c>
      <c r="BJ90">
        <v>0</v>
      </c>
      <c r="BK90">
        <v>0</v>
      </c>
      <c r="BL90">
        <v>0</v>
      </c>
      <c r="BM90">
        <v>0</v>
      </c>
      <c r="BN90">
        <v>0</v>
      </c>
      <c r="BO90">
        <v>0</v>
      </c>
      <c r="BP90">
        <v>0</v>
      </c>
      <c r="BQ90">
        <v>0</v>
      </c>
      <c r="BR90">
        <v>0</v>
      </c>
      <c r="BS90">
        <f t="shared" si="49"/>
        <v>0</v>
      </c>
      <c r="BT90">
        <v>4</v>
      </c>
      <c r="BU90">
        <v>2</v>
      </c>
      <c r="BV90">
        <v>0</v>
      </c>
      <c r="BW90">
        <v>1</v>
      </c>
      <c r="BX90">
        <v>0</v>
      </c>
      <c r="BY90">
        <v>1</v>
      </c>
      <c r="BZ90">
        <v>4</v>
      </c>
      <c r="CA90">
        <v>5</v>
      </c>
      <c r="CB90">
        <v>3</v>
      </c>
      <c r="CC90">
        <v>4</v>
      </c>
      <c r="CD90">
        <v>3</v>
      </c>
      <c r="CE90">
        <v>5</v>
      </c>
      <c r="CF90">
        <f t="shared" si="50"/>
        <v>32</v>
      </c>
      <c r="CG90">
        <v>0</v>
      </c>
      <c r="CH90">
        <v>0</v>
      </c>
      <c r="CI90">
        <v>0</v>
      </c>
      <c r="CJ90">
        <v>0</v>
      </c>
      <c r="CK90">
        <v>0</v>
      </c>
      <c r="CL90">
        <v>0</v>
      </c>
      <c r="CM90">
        <v>0</v>
      </c>
      <c r="CN90">
        <v>0</v>
      </c>
      <c r="CO90">
        <v>0</v>
      </c>
      <c r="CP90">
        <v>0</v>
      </c>
      <c r="CQ90">
        <v>0</v>
      </c>
      <c r="CR90">
        <v>0</v>
      </c>
      <c r="CS90">
        <f t="shared" si="51"/>
        <v>0</v>
      </c>
      <c r="CT90">
        <v>0</v>
      </c>
      <c r="CU90">
        <v>0</v>
      </c>
      <c r="CV90">
        <v>0</v>
      </c>
      <c r="CW90">
        <v>0</v>
      </c>
      <c r="CX90">
        <v>0</v>
      </c>
      <c r="CY90">
        <v>0</v>
      </c>
      <c r="CZ90">
        <v>0</v>
      </c>
      <c r="DA90">
        <v>0</v>
      </c>
      <c r="DB90">
        <v>0</v>
      </c>
      <c r="DC90">
        <v>0</v>
      </c>
      <c r="DD90">
        <v>0</v>
      </c>
      <c r="DE90">
        <v>0</v>
      </c>
      <c r="DF90">
        <f t="shared" si="52"/>
        <v>0</v>
      </c>
      <c r="DG90">
        <v>0</v>
      </c>
      <c r="DH90">
        <v>0</v>
      </c>
      <c r="DI90">
        <v>0</v>
      </c>
      <c r="DJ90">
        <v>0</v>
      </c>
      <c r="DK90">
        <v>0</v>
      </c>
      <c r="DL90">
        <v>0</v>
      </c>
      <c r="DM90">
        <v>0</v>
      </c>
      <c r="DN90">
        <v>0</v>
      </c>
      <c r="DO90">
        <v>0</v>
      </c>
      <c r="DP90">
        <v>0</v>
      </c>
      <c r="DQ90">
        <v>0</v>
      </c>
      <c r="DR90">
        <v>0</v>
      </c>
      <c r="DS90">
        <f t="shared" si="53"/>
        <v>0</v>
      </c>
      <c r="DT90">
        <v>0</v>
      </c>
      <c r="DU90">
        <v>0</v>
      </c>
      <c r="DV90">
        <v>0</v>
      </c>
      <c r="DW90">
        <v>0</v>
      </c>
      <c r="DX90">
        <v>0</v>
      </c>
      <c r="DY90">
        <v>0</v>
      </c>
      <c r="DZ90">
        <v>0</v>
      </c>
      <c r="EA90">
        <v>0</v>
      </c>
      <c r="EB90">
        <v>0</v>
      </c>
      <c r="EC90">
        <v>0</v>
      </c>
      <c r="ED90">
        <v>0</v>
      </c>
      <c r="EE90">
        <v>0</v>
      </c>
      <c r="EF90">
        <f t="shared" si="54"/>
        <v>0</v>
      </c>
      <c r="EG90">
        <f t="shared" si="55"/>
        <v>0</v>
      </c>
      <c r="EH90">
        <f t="shared" si="56"/>
        <v>0</v>
      </c>
      <c r="EI90">
        <v>2545</v>
      </c>
      <c r="EJ90">
        <v>1813</v>
      </c>
      <c r="EK90">
        <v>1721</v>
      </c>
      <c r="EL90">
        <v>1698</v>
      </c>
      <c r="EM90">
        <v>1541</v>
      </c>
      <c r="EN90">
        <v>2497</v>
      </c>
      <c r="EO90">
        <v>2881</v>
      </c>
      <c r="EP90">
        <v>2321</v>
      </c>
      <c r="EQ90">
        <v>1546</v>
      </c>
      <c r="ER90">
        <v>1695</v>
      </c>
      <c r="ES90">
        <v>2835</v>
      </c>
      <c r="ET90">
        <v>2745</v>
      </c>
      <c r="EU90">
        <f t="shared" si="57"/>
        <v>25838</v>
      </c>
      <c r="EV90">
        <v>0</v>
      </c>
      <c r="EW90">
        <v>0</v>
      </c>
      <c r="EX90">
        <v>0</v>
      </c>
      <c r="EY90">
        <v>0</v>
      </c>
      <c r="EZ90">
        <v>0</v>
      </c>
      <c r="FA90">
        <v>0</v>
      </c>
      <c r="FB90">
        <v>0</v>
      </c>
      <c r="FC90">
        <v>0</v>
      </c>
      <c r="FD90">
        <v>0</v>
      </c>
      <c r="FE90">
        <v>0</v>
      </c>
      <c r="FF90">
        <v>0</v>
      </c>
      <c r="FG90">
        <v>0</v>
      </c>
      <c r="FH90">
        <f t="shared" si="58"/>
        <v>0</v>
      </c>
      <c r="FI90">
        <v>0</v>
      </c>
      <c r="FJ90">
        <v>0</v>
      </c>
      <c r="FK90">
        <v>0</v>
      </c>
      <c r="FL90">
        <v>0</v>
      </c>
      <c r="FM90">
        <v>0</v>
      </c>
      <c r="FN90">
        <v>0</v>
      </c>
      <c r="FO90">
        <v>0</v>
      </c>
      <c r="FP90">
        <v>0</v>
      </c>
      <c r="FQ90">
        <v>0</v>
      </c>
      <c r="FR90">
        <v>0</v>
      </c>
      <c r="FS90">
        <v>0</v>
      </c>
      <c r="FT90">
        <v>0</v>
      </c>
      <c r="FU90">
        <f t="shared" si="59"/>
        <v>0</v>
      </c>
      <c r="FV90">
        <v>0</v>
      </c>
      <c r="FW90">
        <v>0</v>
      </c>
      <c r="FX90">
        <v>0</v>
      </c>
      <c r="FY90">
        <v>0</v>
      </c>
      <c r="FZ90">
        <v>0</v>
      </c>
      <c r="GA90">
        <v>0</v>
      </c>
      <c r="GB90">
        <v>0</v>
      </c>
      <c r="GC90">
        <v>0</v>
      </c>
      <c r="GD90">
        <v>0</v>
      </c>
      <c r="GE90">
        <v>0</v>
      </c>
      <c r="GF90">
        <v>0</v>
      </c>
      <c r="GG90">
        <v>0</v>
      </c>
      <c r="GH90">
        <f t="shared" si="60"/>
        <v>0</v>
      </c>
      <c r="GI90">
        <v>1546</v>
      </c>
      <c r="GJ90">
        <v>189</v>
      </c>
      <c r="GK90">
        <v>0</v>
      </c>
      <c r="GL90">
        <v>7</v>
      </c>
      <c r="GM90">
        <v>0</v>
      </c>
      <c r="GN90">
        <v>792</v>
      </c>
      <c r="GO90">
        <v>4006</v>
      </c>
      <c r="GP90">
        <v>3305</v>
      </c>
      <c r="GQ90">
        <v>2073</v>
      </c>
      <c r="GR90">
        <v>4031</v>
      </c>
      <c r="GS90">
        <v>2752</v>
      </c>
      <c r="GT90">
        <v>3322</v>
      </c>
      <c r="GU90">
        <f t="shared" si="61"/>
        <v>22023</v>
      </c>
      <c r="GV90">
        <v>0</v>
      </c>
      <c r="GW90">
        <v>0</v>
      </c>
      <c r="GX90">
        <v>0</v>
      </c>
      <c r="GY90">
        <v>0</v>
      </c>
      <c r="GZ90">
        <v>0</v>
      </c>
      <c r="HA90">
        <v>0</v>
      </c>
      <c r="HB90">
        <v>0</v>
      </c>
      <c r="HC90">
        <v>0</v>
      </c>
      <c r="HD90">
        <v>0</v>
      </c>
      <c r="HE90">
        <v>0</v>
      </c>
      <c r="HF90">
        <v>0</v>
      </c>
      <c r="HG90">
        <v>0</v>
      </c>
      <c r="HH90">
        <f t="shared" si="62"/>
        <v>0</v>
      </c>
      <c r="HI90">
        <v>0</v>
      </c>
      <c r="HJ90">
        <v>0</v>
      </c>
      <c r="HK90">
        <v>0</v>
      </c>
      <c r="HL90">
        <v>0</v>
      </c>
      <c r="HM90">
        <v>0</v>
      </c>
      <c r="HN90">
        <v>0</v>
      </c>
      <c r="HO90">
        <v>0</v>
      </c>
      <c r="HP90">
        <v>0</v>
      </c>
      <c r="HQ90">
        <v>0</v>
      </c>
      <c r="HR90">
        <v>0</v>
      </c>
      <c r="HS90">
        <v>0</v>
      </c>
      <c r="HT90">
        <v>0</v>
      </c>
      <c r="HU90">
        <f t="shared" si="63"/>
        <v>0</v>
      </c>
      <c r="HV90">
        <v>0</v>
      </c>
      <c r="HW90">
        <v>0</v>
      </c>
      <c r="HX90">
        <v>0</v>
      </c>
      <c r="HY90">
        <v>0</v>
      </c>
      <c r="HZ90">
        <v>0</v>
      </c>
      <c r="IA90">
        <v>0</v>
      </c>
      <c r="IB90">
        <v>0</v>
      </c>
      <c r="IC90">
        <v>0</v>
      </c>
      <c r="ID90">
        <v>0</v>
      </c>
      <c r="IE90">
        <v>0</v>
      </c>
      <c r="IF90">
        <v>0</v>
      </c>
      <c r="IG90">
        <v>0</v>
      </c>
      <c r="IH90">
        <f t="shared" si="64"/>
        <v>0</v>
      </c>
      <c r="II90">
        <f t="shared" si="65"/>
        <v>0</v>
      </c>
      <c r="IJ90">
        <f t="shared" si="66"/>
        <v>0</v>
      </c>
      <c r="IK90">
        <v>27194</v>
      </c>
      <c r="IL90">
        <v>28507</v>
      </c>
      <c r="IM90">
        <v>25915</v>
      </c>
      <c r="IN90">
        <v>32570</v>
      </c>
      <c r="IO90">
        <v>35942</v>
      </c>
      <c r="IP90">
        <v>29627</v>
      </c>
      <c r="IQ90">
        <v>28928</v>
      </c>
      <c r="IR90">
        <v>26093</v>
      </c>
      <c r="IS90">
        <v>19694</v>
      </c>
      <c r="IT90">
        <v>27952</v>
      </c>
      <c r="IU90">
        <v>24606</v>
      </c>
      <c r="IV90">
        <v>26394</v>
      </c>
      <c r="IW90">
        <f t="shared" si="67"/>
        <v>333422</v>
      </c>
      <c r="IX90">
        <v>10816</v>
      </c>
      <c r="IY90">
        <v>11537</v>
      </c>
      <c r="IZ90">
        <v>10714</v>
      </c>
      <c r="JA90">
        <v>14820</v>
      </c>
      <c r="JB90">
        <v>18400</v>
      </c>
      <c r="JC90">
        <v>13047</v>
      </c>
      <c r="JD90">
        <v>12494</v>
      </c>
      <c r="JE90">
        <v>10647</v>
      </c>
      <c r="JF90">
        <v>7727</v>
      </c>
      <c r="JG90">
        <v>10888</v>
      </c>
      <c r="JH90">
        <v>10638</v>
      </c>
      <c r="JI90">
        <v>10848</v>
      </c>
      <c r="JJ90">
        <f t="shared" si="68"/>
        <v>142576</v>
      </c>
      <c r="JK90">
        <v>736</v>
      </c>
      <c r="JL90">
        <v>756</v>
      </c>
      <c r="JM90">
        <v>649</v>
      </c>
      <c r="JN90">
        <v>877</v>
      </c>
      <c r="JO90">
        <v>1037</v>
      </c>
      <c r="JP90">
        <v>776</v>
      </c>
      <c r="JQ90">
        <v>774</v>
      </c>
      <c r="JR90">
        <v>607</v>
      </c>
      <c r="JS90">
        <v>514</v>
      </c>
      <c r="JT90">
        <v>666</v>
      </c>
      <c r="JU90">
        <v>565</v>
      </c>
      <c r="JV90">
        <v>666</v>
      </c>
      <c r="JW90">
        <f t="shared" si="69"/>
        <v>8623</v>
      </c>
      <c r="JX90">
        <v>15642</v>
      </c>
      <c r="JY90">
        <v>16214</v>
      </c>
      <c r="JZ90">
        <v>14552</v>
      </c>
      <c r="KA90">
        <v>16873</v>
      </c>
      <c r="KB90">
        <v>16505</v>
      </c>
      <c r="KC90">
        <v>15804</v>
      </c>
      <c r="KD90">
        <v>15660</v>
      </c>
      <c r="KE90">
        <v>14839</v>
      </c>
      <c r="KF90">
        <v>11453</v>
      </c>
      <c r="KG90">
        <v>16398</v>
      </c>
      <c r="KH90">
        <v>13403</v>
      </c>
      <c r="KI90">
        <v>14880</v>
      </c>
      <c r="KJ90">
        <f t="shared" si="70"/>
        <v>182223</v>
      </c>
      <c r="KK90">
        <v>266</v>
      </c>
      <c r="KL90">
        <v>242</v>
      </c>
      <c r="KM90">
        <v>276</v>
      </c>
      <c r="KN90">
        <v>266</v>
      </c>
      <c r="KO90">
        <v>251</v>
      </c>
      <c r="KP90">
        <v>268</v>
      </c>
      <c r="KQ90">
        <v>230</v>
      </c>
      <c r="KR90">
        <v>259</v>
      </c>
      <c r="KS90">
        <v>184</v>
      </c>
      <c r="KT90">
        <v>326</v>
      </c>
      <c r="KU90">
        <v>265</v>
      </c>
      <c r="KV90">
        <v>264</v>
      </c>
      <c r="KW90">
        <f t="shared" si="71"/>
        <v>3097</v>
      </c>
      <c r="KX90">
        <v>1</v>
      </c>
      <c r="KY90">
        <v>0</v>
      </c>
      <c r="KZ90">
        <v>4</v>
      </c>
      <c r="LA90">
        <v>6</v>
      </c>
      <c r="LB90">
        <v>5</v>
      </c>
      <c r="LC90">
        <v>1</v>
      </c>
      <c r="LD90">
        <v>0</v>
      </c>
      <c r="LE90">
        <v>1</v>
      </c>
      <c r="LF90">
        <v>0</v>
      </c>
      <c r="LG90">
        <v>0</v>
      </c>
      <c r="LH90">
        <v>0</v>
      </c>
      <c r="LI90">
        <v>2</v>
      </c>
      <c r="LJ90">
        <f t="shared" si="72"/>
        <v>20</v>
      </c>
      <c r="LK90">
        <v>0</v>
      </c>
      <c r="LL90">
        <v>0</v>
      </c>
      <c r="LM90">
        <v>0</v>
      </c>
      <c r="LN90">
        <v>0</v>
      </c>
      <c r="LO90">
        <v>0</v>
      </c>
      <c r="LP90">
        <v>0</v>
      </c>
      <c r="LQ90">
        <v>0</v>
      </c>
      <c r="LR90">
        <v>0</v>
      </c>
      <c r="LS90">
        <v>0</v>
      </c>
      <c r="LT90">
        <v>0</v>
      </c>
      <c r="LU90">
        <v>0</v>
      </c>
      <c r="LV90">
        <v>0</v>
      </c>
      <c r="LW90">
        <f t="shared" si="73"/>
        <v>0</v>
      </c>
      <c r="LX90">
        <v>265</v>
      </c>
      <c r="LY90">
        <v>242</v>
      </c>
      <c r="LZ90">
        <v>272</v>
      </c>
      <c r="MA90">
        <v>260</v>
      </c>
      <c r="MB90">
        <v>246</v>
      </c>
      <c r="MC90">
        <v>267</v>
      </c>
      <c r="MD90">
        <v>230</v>
      </c>
      <c r="ME90">
        <v>258</v>
      </c>
      <c r="MF90">
        <v>184</v>
      </c>
      <c r="MG90">
        <v>326</v>
      </c>
      <c r="MH90">
        <v>265</v>
      </c>
      <c r="MI90">
        <v>262</v>
      </c>
      <c r="MJ90">
        <f t="shared" si="74"/>
        <v>3077</v>
      </c>
      <c r="MK90">
        <v>2373</v>
      </c>
      <c r="ML90">
        <v>2605</v>
      </c>
      <c r="MM90">
        <v>2780</v>
      </c>
      <c r="MN90">
        <v>2696</v>
      </c>
      <c r="MO90">
        <v>2777</v>
      </c>
      <c r="MP90">
        <v>2692</v>
      </c>
      <c r="MQ90">
        <v>2546</v>
      </c>
      <c r="MR90">
        <v>2328</v>
      </c>
      <c r="MS90">
        <v>2335</v>
      </c>
      <c r="MT90">
        <v>2617</v>
      </c>
      <c r="MU90">
        <v>2381</v>
      </c>
      <c r="MV90">
        <v>2478</v>
      </c>
      <c r="MW90">
        <f t="shared" si="75"/>
        <v>30608</v>
      </c>
      <c r="MX90">
        <v>191</v>
      </c>
      <c r="MY90">
        <v>232</v>
      </c>
      <c r="MZ90">
        <v>185</v>
      </c>
      <c r="NA90">
        <v>200</v>
      </c>
      <c r="NB90">
        <v>232</v>
      </c>
      <c r="NC90">
        <v>246</v>
      </c>
      <c r="ND90">
        <v>226</v>
      </c>
      <c r="NE90">
        <v>186</v>
      </c>
      <c r="NF90">
        <v>188</v>
      </c>
      <c r="NG90">
        <v>221</v>
      </c>
      <c r="NH90">
        <v>161</v>
      </c>
      <c r="NI90">
        <v>231</v>
      </c>
      <c r="NJ90">
        <f t="shared" si="76"/>
        <v>2499</v>
      </c>
      <c r="NK90">
        <v>151</v>
      </c>
      <c r="NL90">
        <v>154</v>
      </c>
      <c r="NM90">
        <v>117</v>
      </c>
      <c r="NN90">
        <v>149</v>
      </c>
      <c r="NO90">
        <v>166</v>
      </c>
      <c r="NP90">
        <v>126</v>
      </c>
      <c r="NQ90">
        <v>111</v>
      </c>
      <c r="NR90">
        <v>108</v>
      </c>
      <c r="NS90">
        <v>102</v>
      </c>
      <c r="NT90">
        <v>142</v>
      </c>
      <c r="NU90">
        <v>120</v>
      </c>
      <c r="NV90">
        <v>119</v>
      </c>
      <c r="NW90">
        <f t="shared" si="77"/>
        <v>1565</v>
      </c>
      <c r="NX90">
        <v>2031</v>
      </c>
      <c r="NY90">
        <v>2219</v>
      </c>
      <c r="NZ90">
        <v>2478</v>
      </c>
      <c r="OA90">
        <v>2347</v>
      </c>
      <c r="OB90">
        <v>2379</v>
      </c>
      <c r="OC90">
        <v>2320</v>
      </c>
      <c r="OD90">
        <v>2209</v>
      </c>
      <c r="OE90">
        <v>2034</v>
      </c>
      <c r="OF90">
        <v>2045</v>
      </c>
      <c r="OG90">
        <v>2254</v>
      </c>
      <c r="OH90">
        <v>2100</v>
      </c>
      <c r="OI90">
        <v>2128</v>
      </c>
      <c r="OJ90">
        <f t="shared" si="78"/>
        <v>26544</v>
      </c>
      <c r="OK90">
        <v>3381</v>
      </c>
      <c r="OL90">
        <v>3493</v>
      </c>
      <c r="OM90">
        <v>3409</v>
      </c>
      <c r="ON90">
        <v>3310</v>
      </c>
      <c r="OO90">
        <v>3418</v>
      </c>
      <c r="OP90">
        <v>3381</v>
      </c>
      <c r="OQ90">
        <v>3478</v>
      </c>
      <c r="OR90">
        <v>3215</v>
      </c>
      <c r="OS90">
        <v>3263</v>
      </c>
      <c r="OT90">
        <v>3490</v>
      </c>
      <c r="OU90">
        <v>3225</v>
      </c>
      <c r="OV90">
        <v>3635</v>
      </c>
      <c r="OW90">
        <f t="shared" si="79"/>
        <v>40698</v>
      </c>
      <c r="OX90">
        <v>333</v>
      </c>
      <c r="OY90">
        <v>393</v>
      </c>
      <c r="OZ90">
        <v>394</v>
      </c>
      <c r="PA90">
        <v>362</v>
      </c>
      <c r="PB90">
        <v>411</v>
      </c>
      <c r="PC90">
        <v>388</v>
      </c>
      <c r="PD90">
        <v>399</v>
      </c>
      <c r="PE90">
        <v>375</v>
      </c>
      <c r="PF90">
        <v>387</v>
      </c>
      <c r="PG90">
        <v>360</v>
      </c>
      <c r="PH90">
        <v>366</v>
      </c>
      <c r="PI90">
        <v>359</v>
      </c>
      <c r="PJ90">
        <f t="shared" si="80"/>
        <v>4527</v>
      </c>
      <c r="PK90">
        <v>141</v>
      </c>
      <c r="PL90">
        <v>153</v>
      </c>
      <c r="PM90">
        <v>142</v>
      </c>
      <c r="PN90">
        <v>155</v>
      </c>
      <c r="PO90">
        <v>146</v>
      </c>
      <c r="PP90">
        <v>128</v>
      </c>
      <c r="PQ90">
        <v>115</v>
      </c>
      <c r="PR90">
        <v>116</v>
      </c>
      <c r="PS90">
        <v>120</v>
      </c>
      <c r="PT90">
        <v>142</v>
      </c>
      <c r="PU90">
        <v>115</v>
      </c>
      <c r="PV90">
        <v>133</v>
      </c>
      <c r="PW90">
        <f t="shared" si="81"/>
        <v>1606</v>
      </c>
      <c r="PX90">
        <v>2907</v>
      </c>
      <c r="PY90">
        <v>2947</v>
      </c>
      <c r="PZ90">
        <v>2873</v>
      </c>
      <c r="QA90">
        <v>2793</v>
      </c>
      <c r="QB90">
        <v>2861</v>
      </c>
      <c r="QC90">
        <v>2865</v>
      </c>
      <c r="QD90">
        <v>2964</v>
      </c>
      <c r="QE90">
        <v>2724</v>
      </c>
      <c r="QF90">
        <v>2756</v>
      </c>
      <c r="QG90">
        <v>2988</v>
      </c>
      <c r="QH90">
        <v>2744</v>
      </c>
      <c r="QI90">
        <v>3143</v>
      </c>
      <c r="QJ90">
        <f t="shared" si="82"/>
        <v>34565</v>
      </c>
      <c r="QK90">
        <v>4278</v>
      </c>
      <c r="QL90">
        <v>4373</v>
      </c>
      <c r="QM90">
        <v>4223</v>
      </c>
      <c r="QN90">
        <v>5013</v>
      </c>
      <c r="QO90">
        <v>5159</v>
      </c>
      <c r="QP90">
        <v>4769</v>
      </c>
      <c r="QQ90">
        <v>5325</v>
      </c>
      <c r="QR90">
        <v>4483</v>
      </c>
      <c r="QS90">
        <v>3297</v>
      </c>
      <c r="QT90">
        <v>4284</v>
      </c>
      <c r="QU90">
        <v>4257</v>
      </c>
      <c r="QV90">
        <v>4911</v>
      </c>
      <c r="QW90">
        <f t="shared" si="83"/>
        <v>54372</v>
      </c>
      <c r="QX90">
        <v>24559</v>
      </c>
      <c r="QY90">
        <v>26137</v>
      </c>
      <c r="QZ90">
        <v>24647</v>
      </c>
      <c r="RA90">
        <v>27916</v>
      </c>
      <c r="RB90">
        <v>28034</v>
      </c>
      <c r="RC90">
        <v>27213</v>
      </c>
      <c r="RD90">
        <v>28029</v>
      </c>
      <c r="RE90">
        <v>25178</v>
      </c>
      <c r="RF90">
        <v>18909</v>
      </c>
      <c r="RG90">
        <v>21567</v>
      </c>
      <c r="RH90">
        <v>23499</v>
      </c>
      <c r="RI90">
        <v>22913</v>
      </c>
      <c r="RJ90">
        <f t="shared" si="84"/>
        <v>298601</v>
      </c>
      <c r="RK90">
        <v>0</v>
      </c>
      <c r="RL90">
        <v>0</v>
      </c>
      <c r="RM90">
        <v>0</v>
      </c>
      <c r="RN90">
        <v>0</v>
      </c>
      <c r="RO90">
        <v>0</v>
      </c>
      <c r="RP90">
        <v>0</v>
      </c>
      <c r="RQ90">
        <v>0</v>
      </c>
      <c r="RR90">
        <v>0</v>
      </c>
      <c r="RS90">
        <v>0</v>
      </c>
      <c r="RT90">
        <v>0</v>
      </c>
      <c r="RU90">
        <v>0</v>
      </c>
      <c r="RV90">
        <v>0</v>
      </c>
      <c r="RW90">
        <f t="shared" si="85"/>
        <v>0</v>
      </c>
      <c r="RX90">
        <v>0</v>
      </c>
      <c r="RY90">
        <v>0</v>
      </c>
      <c r="RZ90">
        <v>0</v>
      </c>
      <c r="SA90">
        <v>0</v>
      </c>
      <c r="SB90">
        <v>0</v>
      </c>
      <c r="SC90">
        <v>0</v>
      </c>
      <c r="SD90">
        <v>0</v>
      </c>
      <c r="SE90">
        <v>0</v>
      </c>
      <c r="SF90">
        <v>0</v>
      </c>
      <c r="SG90">
        <v>0</v>
      </c>
      <c r="SH90">
        <v>0</v>
      </c>
      <c r="SI90">
        <v>0</v>
      </c>
      <c r="SJ90">
        <f t="shared" si="86"/>
        <v>0</v>
      </c>
      <c r="SK90">
        <v>1291</v>
      </c>
      <c r="SL90">
        <v>1380</v>
      </c>
      <c r="SM90">
        <v>1578</v>
      </c>
      <c r="SN90">
        <v>1578</v>
      </c>
      <c r="SO90">
        <v>1214</v>
      </c>
      <c r="SP90">
        <v>1250</v>
      </c>
      <c r="SQ90">
        <v>1267</v>
      </c>
      <c r="SR90">
        <v>1270</v>
      </c>
      <c r="SS90">
        <v>765</v>
      </c>
      <c r="ST90">
        <v>1368</v>
      </c>
      <c r="SU90">
        <v>997</v>
      </c>
      <c r="SV90">
        <v>994</v>
      </c>
      <c r="SW90">
        <f t="shared" si="87"/>
        <v>14952</v>
      </c>
      <c r="SX90">
        <v>0</v>
      </c>
      <c r="SY90">
        <v>3762</v>
      </c>
      <c r="SZ90">
        <v>4061</v>
      </c>
      <c r="TA90">
        <v>3794</v>
      </c>
      <c r="TB90">
        <v>4420</v>
      </c>
      <c r="TC90">
        <v>4197</v>
      </c>
      <c r="TD90">
        <v>4307</v>
      </c>
      <c r="TE90">
        <v>4293</v>
      </c>
      <c r="TF90">
        <v>3822</v>
      </c>
      <c r="TG90">
        <v>2940</v>
      </c>
      <c r="TH90">
        <v>3475</v>
      </c>
      <c r="TI90">
        <v>3441</v>
      </c>
      <c r="TJ90">
        <v>3521</v>
      </c>
      <c r="TK90">
        <f t="shared" si="88"/>
        <v>46033</v>
      </c>
      <c r="TL90">
        <v>0</v>
      </c>
      <c r="TM90">
        <v>0</v>
      </c>
      <c r="TN90">
        <v>0</v>
      </c>
      <c r="TO90">
        <v>0</v>
      </c>
      <c r="TP90">
        <v>0</v>
      </c>
      <c r="TQ90">
        <v>0</v>
      </c>
      <c r="TR90">
        <v>0</v>
      </c>
      <c r="TS90">
        <v>0</v>
      </c>
      <c r="TT90">
        <v>0</v>
      </c>
      <c r="TU90">
        <v>0</v>
      </c>
      <c r="TV90">
        <v>0</v>
      </c>
      <c r="TW90">
        <v>0</v>
      </c>
      <c r="TX90">
        <f t="shared" si="89"/>
        <v>0</v>
      </c>
      <c r="TY90">
        <v>109</v>
      </c>
      <c r="TZ90">
        <v>0</v>
      </c>
      <c r="UA90">
        <v>0</v>
      </c>
      <c r="UB90">
        <v>0</v>
      </c>
    </row>
    <row r="91" spans="1:548" ht="16.5" customHeight="1" x14ac:dyDescent="0.35">
      <c r="A91" t="s">
        <v>1537</v>
      </c>
      <c r="B91" t="s">
        <v>2863</v>
      </c>
      <c r="C91">
        <v>8796</v>
      </c>
      <c r="D91">
        <v>0</v>
      </c>
      <c r="E91">
        <v>0</v>
      </c>
      <c r="F91">
        <v>0</v>
      </c>
      <c r="G91">
        <v>16</v>
      </c>
      <c r="H91">
        <v>14</v>
      </c>
      <c r="I91">
        <v>12</v>
      </c>
      <c r="J91">
        <v>29</v>
      </c>
      <c r="K91">
        <v>30</v>
      </c>
      <c r="L91">
        <v>22</v>
      </c>
      <c r="M91">
        <v>31</v>
      </c>
      <c r="N91">
        <v>40</v>
      </c>
      <c r="O91">
        <v>19</v>
      </c>
      <c r="P91">
        <v>18</v>
      </c>
      <c r="Q91">
        <v>29</v>
      </c>
      <c r="R91">
        <v>31</v>
      </c>
      <c r="S91">
        <f t="shared" si="45"/>
        <v>291</v>
      </c>
      <c r="T91">
        <v>16</v>
      </c>
      <c r="U91">
        <v>14</v>
      </c>
      <c r="V91">
        <v>12</v>
      </c>
      <c r="W91">
        <v>27</v>
      </c>
      <c r="X91">
        <v>30</v>
      </c>
      <c r="Y91">
        <v>21</v>
      </c>
      <c r="Z91">
        <v>29</v>
      </c>
      <c r="AA91">
        <v>28</v>
      </c>
      <c r="AB91">
        <v>17</v>
      </c>
      <c r="AC91">
        <v>18</v>
      </c>
      <c r="AD91">
        <v>27</v>
      </c>
      <c r="AE91">
        <v>27</v>
      </c>
      <c r="AF91">
        <f t="shared" si="46"/>
        <v>266</v>
      </c>
      <c r="AG91">
        <v>0</v>
      </c>
      <c r="AH91">
        <v>0</v>
      </c>
      <c r="AI91">
        <v>0</v>
      </c>
      <c r="AJ91">
        <v>0</v>
      </c>
      <c r="AK91">
        <v>0</v>
      </c>
      <c r="AL91">
        <v>0</v>
      </c>
      <c r="AM91">
        <v>0</v>
      </c>
      <c r="AN91">
        <v>0</v>
      </c>
      <c r="AO91">
        <v>0</v>
      </c>
      <c r="AP91">
        <v>0</v>
      </c>
      <c r="AQ91">
        <v>0</v>
      </c>
      <c r="AR91">
        <v>0</v>
      </c>
      <c r="AS91">
        <f t="shared" si="47"/>
        <v>0</v>
      </c>
      <c r="AT91">
        <v>0</v>
      </c>
      <c r="AU91">
        <v>0</v>
      </c>
      <c r="AV91">
        <v>0</v>
      </c>
      <c r="AW91">
        <v>2</v>
      </c>
      <c r="AX91">
        <v>0</v>
      </c>
      <c r="AY91">
        <v>1</v>
      </c>
      <c r="AZ91">
        <v>2</v>
      </c>
      <c r="BA91">
        <v>12</v>
      </c>
      <c r="BB91">
        <v>2</v>
      </c>
      <c r="BC91">
        <v>0</v>
      </c>
      <c r="BD91">
        <v>2</v>
      </c>
      <c r="BE91">
        <v>4</v>
      </c>
      <c r="BF91">
        <f t="shared" si="48"/>
        <v>25</v>
      </c>
      <c r="BG91">
        <v>0</v>
      </c>
      <c r="BH91">
        <v>0</v>
      </c>
      <c r="BI91">
        <v>0</v>
      </c>
      <c r="BJ91">
        <v>0</v>
      </c>
      <c r="BK91">
        <v>0</v>
      </c>
      <c r="BL91">
        <v>0</v>
      </c>
      <c r="BM91">
        <v>0</v>
      </c>
      <c r="BN91">
        <v>0</v>
      </c>
      <c r="BO91">
        <v>0</v>
      </c>
      <c r="BP91">
        <v>0</v>
      </c>
      <c r="BQ91">
        <v>0</v>
      </c>
      <c r="BR91">
        <v>0</v>
      </c>
      <c r="BS91">
        <f t="shared" si="49"/>
        <v>0</v>
      </c>
      <c r="BT91">
        <v>0</v>
      </c>
      <c r="BU91">
        <v>0</v>
      </c>
      <c r="BV91">
        <v>0</v>
      </c>
      <c r="BW91">
        <v>0</v>
      </c>
      <c r="BX91">
        <v>0</v>
      </c>
      <c r="BY91">
        <v>0</v>
      </c>
      <c r="BZ91">
        <v>0</v>
      </c>
      <c r="CA91">
        <v>0</v>
      </c>
      <c r="CB91">
        <v>0</v>
      </c>
      <c r="CC91">
        <v>0</v>
      </c>
      <c r="CD91">
        <v>0</v>
      </c>
      <c r="CE91">
        <v>0</v>
      </c>
      <c r="CF91">
        <f t="shared" si="50"/>
        <v>0</v>
      </c>
      <c r="CG91">
        <v>0</v>
      </c>
      <c r="CH91">
        <v>0</v>
      </c>
      <c r="CI91">
        <v>0</v>
      </c>
      <c r="CJ91">
        <v>0</v>
      </c>
      <c r="CK91">
        <v>0</v>
      </c>
      <c r="CL91">
        <v>0</v>
      </c>
      <c r="CM91">
        <v>0</v>
      </c>
      <c r="CN91">
        <v>0</v>
      </c>
      <c r="CO91">
        <v>0</v>
      </c>
      <c r="CP91">
        <v>0</v>
      </c>
      <c r="CQ91">
        <v>0</v>
      </c>
      <c r="CR91">
        <v>0</v>
      </c>
      <c r="CS91">
        <f t="shared" si="51"/>
        <v>0</v>
      </c>
      <c r="CT91">
        <v>0</v>
      </c>
      <c r="CU91">
        <v>0</v>
      </c>
      <c r="CV91">
        <v>0</v>
      </c>
      <c r="CW91">
        <v>0</v>
      </c>
      <c r="CX91">
        <v>0</v>
      </c>
      <c r="CY91">
        <v>0</v>
      </c>
      <c r="CZ91">
        <v>0</v>
      </c>
      <c r="DA91">
        <v>0</v>
      </c>
      <c r="DB91">
        <v>0</v>
      </c>
      <c r="DC91">
        <v>0</v>
      </c>
      <c r="DD91">
        <v>0</v>
      </c>
      <c r="DE91">
        <v>0</v>
      </c>
      <c r="DF91">
        <f t="shared" si="52"/>
        <v>0</v>
      </c>
      <c r="DG91">
        <v>0</v>
      </c>
      <c r="DH91">
        <v>0</v>
      </c>
      <c r="DI91">
        <v>0</v>
      </c>
      <c r="DJ91">
        <v>0</v>
      </c>
      <c r="DK91">
        <v>0</v>
      </c>
      <c r="DL91">
        <v>0</v>
      </c>
      <c r="DM91">
        <v>0</v>
      </c>
      <c r="DN91">
        <v>0</v>
      </c>
      <c r="DO91">
        <v>0</v>
      </c>
      <c r="DP91">
        <v>0</v>
      </c>
      <c r="DQ91">
        <v>0</v>
      </c>
      <c r="DR91">
        <v>0</v>
      </c>
      <c r="DS91">
        <f t="shared" si="53"/>
        <v>0</v>
      </c>
      <c r="DT91">
        <v>0</v>
      </c>
      <c r="DU91">
        <v>0</v>
      </c>
      <c r="DV91">
        <v>0</v>
      </c>
      <c r="DW91">
        <v>0</v>
      </c>
      <c r="DX91">
        <v>0</v>
      </c>
      <c r="DY91">
        <v>0</v>
      </c>
      <c r="DZ91">
        <v>0</v>
      </c>
      <c r="EA91">
        <v>0</v>
      </c>
      <c r="EB91">
        <v>0</v>
      </c>
      <c r="EC91">
        <v>0</v>
      </c>
      <c r="ED91">
        <v>0</v>
      </c>
      <c r="EE91">
        <v>0</v>
      </c>
      <c r="EF91">
        <f t="shared" si="54"/>
        <v>0</v>
      </c>
      <c r="EG91">
        <f t="shared" si="55"/>
        <v>291</v>
      </c>
      <c r="EH91">
        <f t="shared" si="56"/>
        <v>0</v>
      </c>
      <c r="EI91">
        <v>428</v>
      </c>
      <c r="EJ91">
        <v>337</v>
      </c>
      <c r="EK91">
        <v>296</v>
      </c>
      <c r="EL91">
        <v>612</v>
      </c>
      <c r="EM91">
        <v>817</v>
      </c>
      <c r="EN91">
        <v>443</v>
      </c>
      <c r="EO91">
        <v>1223</v>
      </c>
      <c r="EP91">
        <v>892</v>
      </c>
      <c r="EQ91">
        <v>364</v>
      </c>
      <c r="ER91">
        <v>461</v>
      </c>
      <c r="ES91">
        <v>770</v>
      </c>
      <c r="ET91">
        <v>842</v>
      </c>
      <c r="EU91">
        <f t="shared" si="57"/>
        <v>7485</v>
      </c>
      <c r="EV91">
        <v>220</v>
      </c>
      <c r="EW91">
        <v>185</v>
      </c>
      <c r="EX91">
        <v>150</v>
      </c>
      <c r="EY91">
        <v>356</v>
      </c>
      <c r="EZ91">
        <v>412</v>
      </c>
      <c r="FA91">
        <v>247</v>
      </c>
      <c r="FB91">
        <v>334</v>
      </c>
      <c r="FC91">
        <v>287</v>
      </c>
      <c r="FD91">
        <v>188</v>
      </c>
      <c r="FE91">
        <v>222</v>
      </c>
      <c r="FF91">
        <v>464</v>
      </c>
      <c r="FG91">
        <v>336</v>
      </c>
      <c r="FH91">
        <f t="shared" si="58"/>
        <v>3401</v>
      </c>
      <c r="FI91">
        <v>0</v>
      </c>
      <c r="FJ91">
        <v>0</v>
      </c>
      <c r="FK91">
        <v>0</v>
      </c>
      <c r="FL91">
        <v>0</v>
      </c>
      <c r="FM91">
        <v>0</v>
      </c>
      <c r="FN91">
        <v>0</v>
      </c>
      <c r="FO91">
        <v>0</v>
      </c>
      <c r="FP91">
        <v>0</v>
      </c>
      <c r="FQ91">
        <v>0</v>
      </c>
      <c r="FR91">
        <v>0</v>
      </c>
      <c r="FS91">
        <v>0</v>
      </c>
      <c r="FT91">
        <v>0</v>
      </c>
      <c r="FU91">
        <f t="shared" si="59"/>
        <v>0</v>
      </c>
      <c r="FV91">
        <v>208</v>
      </c>
      <c r="FW91">
        <v>152</v>
      </c>
      <c r="FX91">
        <v>256</v>
      </c>
      <c r="FY91">
        <v>256</v>
      </c>
      <c r="FZ91">
        <v>405</v>
      </c>
      <c r="GA91">
        <v>196</v>
      </c>
      <c r="GB91">
        <v>889</v>
      </c>
      <c r="GC91">
        <v>605</v>
      </c>
      <c r="GD91">
        <v>176</v>
      </c>
      <c r="GE91">
        <v>239</v>
      </c>
      <c r="GF91">
        <v>306</v>
      </c>
      <c r="GG91">
        <v>506</v>
      </c>
      <c r="GH91">
        <f t="shared" si="60"/>
        <v>4194</v>
      </c>
      <c r="GI91">
        <v>0</v>
      </c>
      <c r="GJ91">
        <v>0</v>
      </c>
      <c r="GK91">
        <v>0</v>
      </c>
      <c r="GL91">
        <v>0</v>
      </c>
      <c r="GM91">
        <v>0</v>
      </c>
      <c r="GN91">
        <v>0</v>
      </c>
      <c r="GO91">
        <v>0</v>
      </c>
      <c r="GP91">
        <v>0</v>
      </c>
      <c r="GQ91">
        <v>0</v>
      </c>
      <c r="GR91">
        <v>0</v>
      </c>
      <c r="GS91">
        <v>0</v>
      </c>
      <c r="GT91">
        <v>0</v>
      </c>
      <c r="GU91">
        <f t="shared" si="61"/>
        <v>0</v>
      </c>
      <c r="GV91">
        <v>0</v>
      </c>
      <c r="GW91">
        <v>0</v>
      </c>
      <c r="GX91">
        <v>0</v>
      </c>
      <c r="GY91">
        <v>0</v>
      </c>
      <c r="GZ91">
        <v>0</v>
      </c>
      <c r="HA91">
        <v>0</v>
      </c>
      <c r="HB91">
        <v>0</v>
      </c>
      <c r="HC91">
        <v>0</v>
      </c>
      <c r="HD91">
        <v>0</v>
      </c>
      <c r="HE91">
        <v>0</v>
      </c>
      <c r="HF91">
        <v>0</v>
      </c>
      <c r="HG91">
        <v>0</v>
      </c>
      <c r="HH91">
        <f t="shared" si="62"/>
        <v>0</v>
      </c>
      <c r="HI91">
        <v>0</v>
      </c>
      <c r="HJ91">
        <v>0</v>
      </c>
      <c r="HK91">
        <v>0</v>
      </c>
      <c r="HL91">
        <v>0</v>
      </c>
      <c r="HM91">
        <v>0</v>
      </c>
      <c r="HN91">
        <v>0</v>
      </c>
      <c r="HO91">
        <v>0</v>
      </c>
      <c r="HP91">
        <v>0</v>
      </c>
      <c r="HQ91">
        <v>0</v>
      </c>
      <c r="HR91">
        <v>0</v>
      </c>
      <c r="HS91">
        <v>0</v>
      </c>
      <c r="HT91">
        <v>0</v>
      </c>
      <c r="HU91">
        <f t="shared" si="63"/>
        <v>0</v>
      </c>
      <c r="HV91">
        <v>0</v>
      </c>
      <c r="HW91">
        <v>0</v>
      </c>
      <c r="HX91">
        <v>0</v>
      </c>
      <c r="HY91">
        <v>0</v>
      </c>
      <c r="HZ91">
        <v>0</v>
      </c>
      <c r="IA91">
        <v>0</v>
      </c>
      <c r="IB91">
        <v>0</v>
      </c>
      <c r="IC91">
        <v>0</v>
      </c>
      <c r="ID91">
        <v>0</v>
      </c>
      <c r="IE91">
        <v>0</v>
      </c>
      <c r="IF91">
        <v>0</v>
      </c>
      <c r="IG91">
        <v>0</v>
      </c>
      <c r="IH91">
        <f t="shared" si="64"/>
        <v>0</v>
      </c>
      <c r="II91">
        <f t="shared" si="65"/>
        <v>7595</v>
      </c>
      <c r="IJ91">
        <f t="shared" si="66"/>
        <v>0</v>
      </c>
      <c r="IK91">
        <v>10855</v>
      </c>
      <c r="IL91">
        <v>11208</v>
      </c>
      <c r="IM91">
        <v>8827</v>
      </c>
      <c r="IN91">
        <v>12386</v>
      </c>
      <c r="IO91">
        <v>13155</v>
      </c>
      <c r="IP91">
        <v>11137</v>
      </c>
      <c r="IQ91">
        <v>11910</v>
      </c>
      <c r="IR91">
        <v>10221</v>
      </c>
      <c r="IS91">
        <v>7050</v>
      </c>
      <c r="IT91">
        <v>11092</v>
      </c>
      <c r="IU91">
        <v>10677</v>
      </c>
      <c r="IV91">
        <v>10565</v>
      </c>
      <c r="IW91">
        <f t="shared" si="67"/>
        <v>129083</v>
      </c>
      <c r="IX91">
        <v>4618</v>
      </c>
      <c r="IY91">
        <v>4627</v>
      </c>
      <c r="IZ91">
        <v>3470</v>
      </c>
      <c r="JA91">
        <v>5534</v>
      </c>
      <c r="JB91">
        <v>6435</v>
      </c>
      <c r="JC91">
        <v>4624</v>
      </c>
      <c r="JD91">
        <v>5518</v>
      </c>
      <c r="JE91">
        <v>4224</v>
      </c>
      <c r="JF91">
        <v>2645</v>
      </c>
      <c r="JG91">
        <v>4611</v>
      </c>
      <c r="JH91">
        <v>5198</v>
      </c>
      <c r="JI91">
        <v>4624</v>
      </c>
      <c r="JJ91">
        <f t="shared" si="68"/>
        <v>56128</v>
      </c>
      <c r="JK91">
        <v>223</v>
      </c>
      <c r="JL91">
        <v>233</v>
      </c>
      <c r="JM91">
        <v>149</v>
      </c>
      <c r="JN91">
        <v>307</v>
      </c>
      <c r="JO91">
        <v>356</v>
      </c>
      <c r="JP91">
        <v>238</v>
      </c>
      <c r="JQ91">
        <v>218</v>
      </c>
      <c r="JR91">
        <v>227</v>
      </c>
      <c r="JS91">
        <v>164</v>
      </c>
      <c r="JT91">
        <v>285</v>
      </c>
      <c r="JU91">
        <v>286</v>
      </c>
      <c r="JV91">
        <v>259</v>
      </c>
      <c r="JW91">
        <f t="shared" si="69"/>
        <v>2945</v>
      </c>
      <c r="JX91">
        <v>6014</v>
      </c>
      <c r="JY91">
        <v>6348</v>
      </c>
      <c r="JZ91">
        <v>5208</v>
      </c>
      <c r="KA91">
        <v>6545</v>
      </c>
      <c r="KB91">
        <v>6364</v>
      </c>
      <c r="KC91">
        <v>6275</v>
      </c>
      <c r="KD91">
        <v>6174</v>
      </c>
      <c r="KE91">
        <v>5770</v>
      </c>
      <c r="KF91">
        <v>4241</v>
      </c>
      <c r="KG91">
        <v>6196</v>
      </c>
      <c r="KH91">
        <v>5193</v>
      </c>
      <c r="KI91">
        <v>5682</v>
      </c>
      <c r="KJ91">
        <f t="shared" si="70"/>
        <v>70010</v>
      </c>
      <c r="KK91">
        <v>335</v>
      </c>
      <c r="KL91">
        <v>263</v>
      </c>
      <c r="KM91">
        <v>275</v>
      </c>
      <c r="KN91">
        <v>354</v>
      </c>
      <c r="KO91">
        <v>298</v>
      </c>
      <c r="KP91">
        <v>358</v>
      </c>
      <c r="KQ91">
        <v>292</v>
      </c>
      <c r="KR91">
        <v>329</v>
      </c>
      <c r="KS91">
        <v>139</v>
      </c>
      <c r="KT91">
        <v>384</v>
      </c>
      <c r="KU91">
        <v>230</v>
      </c>
      <c r="KV91">
        <v>277</v>
      </c>
      <c r="KW91">
        <f t="shared" si="71"/>
        <v>3534</v>
      </c>
      <c r="KX91">
        <v>23</v>
      </c>
      <c r="KY91">
        <v>23</v>
      </c>
      <c r="KZ91">
        <v>9</v>
      </c>
      <c r="LA91">
        <v>24</v>
      </c>
      <c r="LB91">
        <v>27</v>
      </c>
      <c r="LC91">
        <v>20</v>
      </c>
      <c r="LD91">
        <v>9</v>
      </c>
      <c r="LE91">
        <v>6</v>
      </c>
      <c r="LF91">
        <v>14</v>
      </c>
      <c r="LG91">
        <v>14</v>
      </c>
      <c r="LH91">
        <v>12</v>
      </c>
      <c r="LI91">
        <v>15</v>
      </c>
      <c r="LJ91">
        <f t="shared" si="72"/>
        <v>196</v>
      </c>
      <c r="LK91">
        <v>1</v>
      </c>
      <c r="LL91">
        <v>0</v>
      </c>
      <c r="LM91">
        <v>0</v>
      </c>
      <c r="LN91">
        <v>1</v>
      </c>
      <c r="LO91">
        <v>0</v>
      </c>
      <c r="LP91">
        <v>0</v>
      </c>
      <c r="LQ91">
        <v>0</v>
      </c>
      <c r="LR91">
        <v>2</v>
      </c>
      <c r="LS91">
        <v>1</v>
      </c>
      <c r="LT91">
        <v>4</v>
      </c>
      <c r="LU91">
        <v>2</v>
      </c>
      <c r="LV91">
        <v>2</v>
      </c>
      <c r="LW91">
        <f t="shared" si="73"/>
        <v>13</v>
      </c>
      <c r="LX91">
        <v>311</v>
      </c>
      <c r="LY91">
        <v>240</v>
      </c>
      <c r="LZ91">
        <v>266</v>
      </c>
      <c r="MA91">
        <v>328</v>
      </c>
      <c r="MB91">
        <v>271</v>
      </c>
      <c r="MC91">
        <v>338</v>
      </c>
      <c r="MD91">
        <v>281</v>
      </c>
      <c r="ME91">
        <v>321</v>
      </c>
      <c r="MF91">
        <v>124</v>
      </c>
      <c r="MG91">
        <v>366</v>
      </c>
      <c r="MH91">
        <v>215</v>
      </c>
      <c r="MI91">
        <v>261</v>
      </c>
      <c r="MJ91">
        <f t="shared" si="74"/>
        <v>3322</v>
      </c>
      <c r="MK91">
        <v>589</v>
      </c>
      <c r="ML91">
        <v>166</v>
      </c>
      <c r="MM91">
        <v>498</v>
      </c>
      <c r="MN91">
        <v>559</v>
      </c>
      <c r="MO91">
        <v>558</v>
      </c>
      <c r="MP91">
        <v>487</v>
      </c>
      <c r="MQ91">
        <v>495</v>
      </c>
      <c r="MR91">
        <v>420</v>
      </c>
      <c r="MS91">
        <v>465</v>
      </c>
      <c r="MT91">
        <v>515</v>
      </c>
      <c r="MU91">
        <v>451</v>
      </c>
      <c r="MV91">
        <v>446</v>
      </c>
      <c r="MW91">
        <f t="shared" si="75"/>
        <v>5649</v>
      </c>
      <c r="MX91">
        <v>0</v>
      </c>
      <c r="MY91">
        <v>0</v>
      </c>
      <c r="MZ91">
        <v>0</v>
      </c>
      <c r="NA91">
        <v>0</v>
      </c>
      <c r="NB91">
        <v>0</v>
      </c>
      <c r="NC91">
        <v>0</v>
      </c>
      <c r="ND91">
        <v>0</v>
      </c>
      <c r="NE91">
        <v>0</v>
      </c>
      <c r="NF91">
        <v>0</v>
      </c>
      <c r="NG91">
        <v>0</v>
      </c>
      <c r="NH91">
        <v>0</v>
      </c>
      <c r="NI91">
        <v>0</v>
      </c>
      <c r="NJ91">
        <f t="shared" si="76"/>
        <v>0</v>
      </c>
      <c r="NK91">
        <v>0</v>
      </c>
      <c r="NL91">
        <v>0</v>
      </c>
      <c r="NM91">
        <v>0</v>
      </c>
      <c r="NN91">
        <v>0</v>
      </c>
      <c r="NO91">
        <v>0</v>
      </c>
      <c r="NP91">
        <v>0</v>
      </c>
      <c r="NQ91">
        <v>0</v>
      </c>
      <c r="NR91">
        <v>0</v>
      </c>
      <c r="NS91">
        <v>0</v>
      </c>
      <c r="NT91">
        <v>0</v>
      </c>
      <c r="NU91">
        <v>0</v>
      </c>
      <c r="NV91">
        <v>0</v>
      </c>
      <c r="NW91">
        <f t="shared" si="77"/>
        <v>0</v>
      </c>
      <c r="NX91">
        <v>0</v>
      </c>
      <c r="NY91">
        <v>0</v>
      </c>
      <c r="NZ91">
        <v>0</v>
      </c>
      <c r="OA91">
        <v>0</v>
      </c>
      <c r="OB91">
        <v>0</v>
      </c>
      <c r="OC91">
        <v>0</v>
      </c>
      <c r="OD91">
        <v>0</v>
      </c>
      <c r="OE91">
        <v>0</v>
      </c>
      <c r="OF91">
        <v>0</v>
      </c>
      <c r="OG91">
        <v>0</v>
      </c>
      <c r="OH91">
        <v>0</v>
      </c>
      <c r="OI91">
        <v>0</v>
      </c>
      <c r="OJ91">
        <f t="shared" si="78"/>
        <v>0</v>
      </c>
      <c r="OK91">
        <v>226</v>
      </c>
      <c r="OL91">
        <v>275</v>
      </c>
      <c r="OM91">
        <v>880</v>
      </c>
      <c r="ON91">
        <v>1096</v>
      </c>
      <c r="OO91">
        <v>1184</v>
      </c>
      <c r="OP91">
        <v>1119</v>
      </c>
      <c r="OQ91">
        <v>1219</v>
      </c>
      <c r="OR91">
        <v>1194</v>
      </c>
      <c r="OS91">
        <v>1067</v>
      </c>
      <c r="OT91">
        <v>1151</v>
      </c>
      <c r="OU91">
        <v>1101</v>
      </c>
      <c r="OV91">
        <v>1316</v>
      </c>
      <c r="OW91">
        <f t="shared" si="79"/>
        <v>11828</v>
      </c>
      <c r="OX91">
        <v>0</v>
      </c>
      <c r="OY91">
        <v>0</v>
      </c>
      <c r="OZ91">
        <v>0</v>
      </c>
      <c r="PA91">
        <v>0</v>
      </c>
      <c r="PB91">
        <v>0</v>
      </c>
      <c r="PC91">
        <v>0</v>
      </c>
      <c r="PD91">
        <v>0</v>
      </c>
      <c r="PE91">
        <v>0</v>
      </c>
      <c r="PF91">
        <v>0</v>
      </c>
      <c r="PG91">
        <v>0</v>
      </c>
      <c r="PH91">
        <v>0</v>
      </c>
      <c r="PI91">
        <v>0</v>
      </c>
      <c r="PJ91">
        <f t="shared" si="80"/>
        <v>0</v>
      </c>
      <c r="PK91">
        <v>0</v>
      </c>
      <c r="PL91">
        <v>0</v>
      </c>
      <c r="PM91">
        <v>0</v>
      </c>
      <c r="PN91">
        <v>0</v>
      </c>
      <c r="PO91">
        <v>0</v>
      </c>
      <c r="PP91">
        <v>0</v>
      </c>
      <c r="PQ91">
        <v>0</v>
      </c>
      <c r="PR91">
        <v>0</v>
      </c>
      <c r="PS91">
        <v>0</v>
      </c>
      <c r="PT91">
        <v>0</v>
      </c>
      <c r="PU91">
        <v>0</v>
      </c>
      <c r="PV91">
        <v>0</v>
      </c>
      <c r="PW91">
        <f t="shared" si="81"/>
        <v>0</v>
      </c>
      <c r="PX91">
        <v>0</v>
      </c>
      <c r="PY91">
        <v>0</v>
      </c>
      <c r="PZ91">
        <v>0</v>
      </c>
      <c r="QA91">
        <v>0</v>
      </c>
      <c r="QB91">
        <v>0</v>
      </c>
      <c r="QC91">
        <v>0</v>
      </c>
      <c r="QD91">
        <v>0</v>
      </c>
      <c r="QE91">
        <v>0</v>
      </c>
      <c r="QF91">
        <v>0</v>
      </c>
      <c r="QG91">
        <v>0</v>
      </c>
      <c r="QH91">
        <v>0</v>
      </c>
      <c r="QI91">
        <v>0</v>
      </c>
      <c r="QJ91">
        <f t="shared" si="82"/>
        <v>0</v>
      </c>
      <c r="QK91" t="s">
        <v>1538</v>
      </c>
      <c r="QL91" t="s">
        <v>1538</v>
      </c>
      <c r="QM91" t="s">
        <v>1538</v>
      </c>
      <c r="QN91" t="s">
        <v>1538</v>
      </c>
      <c r="QO91" t="s">
        <v>1538</v>
      </c>
      <c r="QP91" t="s">
        <v>1538</v>
      </c>
      <c r="QQ91" t="s">
        <v>1538</v>
      </c>
      <c r="QR91" t="s">
        <v>1538</v>
      </c>
      <c r="QS91" t="s">
        <v>1538</v>
      </c>
      <c r="QT91" t="s">
        <v>1538</v>
      </c>
      <c r="QU91" t="s">
        <v>1538</v>
      </c>
      <c r="QV91" t="s">
        <v>1538</v>
      </c>
      <c r="QW91">
        <f t="shared" si="83"/>
        <v>0</v>
      </c>
      <c r="QX91">
        <v>0</v>
      </c>
      <c r="QY91">
        <v>0</v>
      </c>
      <c r="QZ91">
        <v>0</v>
      </c>
      <c r="RA91">
        <v>0</v>
      </c>
      <c r="RB91">
        <v>0</v>
      </c>
      <c r="RC91">
        <v>0</v>
      </c>
      <c r="RD91">
        <v>0</v>
      </c>
      <c r="RE91">
        <v>0</v>
      </c>
      <c r="RF91">
        <v>0</v>
      </c>
      <c r="RG91">
        <v>0</v>
      </c>
      <c r="RH91">
        <v>0</v>
      </c>
      <c r="RI91">
        <v>0</v>
      </c>
      <c r="RJ91">
        <f t="shared" si="84"/>
        <v>0</v>
      </c>
      <c r="RK91">
        <v>0</v>
      </c>
      <c r="RL91">
        <v>0</v>
      </c>
      <c r="RM91">
        <v>0</v>
      </c>
      <c r="RN91">
        <v>0</v>
      </c>
      <c r="RO91">
        <v>0</v>
      </c>
      <c r="RP91">
        <v>0</v>
      </c>
      <c r="RQ91">
        <v>0</v>
      </c>
      <c r="RR91">
        <v>0</v>
      </c>
      <c r="RS91">
        <v>0</v>
      </c>
      <c r="RT91">
        <v>0</v>
      </c>
      <c r="RU91">
        <v>0</v>
      </c>
      <c r="RV91">
        <v>0</v>
      </c>
      <c r="RW91">
        <f t="shared" si="85"/>
        <v>0</v>
      </c>
      <c r="RX91">
        <v>0</v>
      </c>
      <c r="RY91">
        <v>0</v>
      </c>
      <c r="RZ91">
        <v>0</v>
      </c>
      <c r="SA91">
        <v>0</v>
      </c>
      <c r="SB91">
        <v>0</v>
      </c>
      <c r="SC91">
        <v>0</v>
      </c>
      <c r="SD91">
        <v>0</v>
      </c>
      <c r="SE91">
        <v>0</v>
      </c>
      <c r="SF91">
        <v>0</v>
      </c>
      <c r="SG91">
        <v>0</v>
      </c>
      <c r="SH91">
        <v>0</v>
      </c>
      <c r="SI91">
        <v>0</v>
      </c>
      <c r="SJ91">
        <f t="shared" si="86"/>
        <v>0</v>
      </c>
      <c r="SK91">
        <v>34</v>
      </c>
      <c r="SL91">
        <v>68</v>
      </c>
      <c r="SM91">
        <v>34</v>
      </c>
      <c r="SN91">
        <v>68</v>
      </c>
      <c r="SO91">
        <v>34</v>
      </c>
      <c r="SP91">
        <v>34</v>
      </c>
      <c r="SQ91">
        <v>34</v>
      </c>
      <c r="SR91">
        <v>34</v>
      </c>
      <c r="SS91">
        <v>34</v>
      </c>
      <c r="ST91">
        <v>68</v>
      </c>
      <c r="SU91">
        <v>34</v>
      </c>
      <c r="SV91">
        <v>34</v>
      </c>
      <c r="SW91">
        <f t="shared" si="87"/>
        <v>510</v>
      </c>
      <c r="SX91" t="s">
        <v>1539</v>
      </c>
      <c r="SY91">
        <v>1932</v>
      </c>
      <c r="SZ91">
        <v>1877</v>
      </c>
      <c r="TA91">
        <v>1740</v>
      </c>
      <c r="TB91">
        <v>2022</v>
      </c>
      <c r="TC91">
        <v>2121</v>
      </c>
      <c r="TD91">
        <v>1989</v>
      </c>
      <c r="TE91">
        <v>2087</v>
      </c>
      <c r="TF91">
        <v>1939</v>
      </c>
      <c r="TG91">
        <v>1285</v>
      </c>
      <c r="TH91">
        <v>1931</v>
      </c>
      <c r="TI91">
        <v>1909</v>
      </c>
      <c r="TJ91">
        <v>2107</v>
      </c>
      <c r="TK91">
        <f t="shared" si="88"/>
        <v>22939</v>
      </c>
      <c r="TL91">
        <v>0</v>
      </c>
      <c r="TM91">
        <v>0</v>
      </c>
      <c r="TN91">
        <v>0</v>
      </c>
      <c r="TO91">
        <v>0</v>
      </c>
      <c r="TP91">
        <v>0</v>
      </c>
      <c r="TQ91">
        <v>0</v>
      </c>
      <c r="TR91">
        <v>0</v>
      </c>
      <c r="TS91">
        <v>0</v>
      </c>
      <c r="TT91">
        <v>0</v>
      </c>
      <c r="TU91">
        <v>0</v>
      </c>
      <c r="TV91">
        <v>0</v>
      </c>
      <c r="TW91">
        <v>0</v>
      </c>
      <c r="TX91">
        <f t="shared" si="89"/>
        <v>0</v>
      </c>
      <c r="TY91">
        <v>59</v>
      </c>
      <c r="TZ91">
        <v>33</v>
      </c>
      <c r="UA91">
        <v>41</v>
      </c>
      <c r="UB91">
        <v>0</v>
      </c>
    </row>
    <row r="92" spans="1:548" ht="16.5" customHeight="1" x14ac:dyDescent="0.35">
      <c r="A92" t="s">
        <v>1535</v>
      </c>
      <c r="B92" t="s">
        <v>2862</v>
      </c>
      <c r="C92">
        <v>19902</v>
      </c>
      <c r="D92">
        <v>6261</v>
      </c>
      <c r="E92">
        <v>1553</v>
      </c>
      <c r="F92">
        <v>12088</v>
      </c>
      <c r="G92">
        <v>0</v>
      </c>
      <c r="H92">
        <v>0</v>
      </c>
      <c r="I92">
        <v>0</v>
      </c>
      <c r="J92">
        <v>0</v>
      </c>
      <c r="K92">
        <v>0</v>
      </c>
      <c r="L92">
        <v>0</v>
      </c>
      <c r="M92">
        <v>0</v>
      </c>
      <c r="N92">
        <v>0</v>
      </c>
      <c r="O92">
        <v>0</v>
      </c>
      <c r="P92">
        <v>0</v>
      </c>
      <c r="Q92">
        <v>0</v>
      </c>
      <c r="R92">
        <v>0</v>
      </c>
      <c r="S92">
        <f t="shared" si="45"/>
        <v>0</v>
      </c>
      <c r="T92">
        <v>0</v>
      </c>
      <c r="U92">
        <v>0</v>
      </c>
      <c r="V92">
        <v>0</v>
      </c>
      <c r="W92">
        <v>0</v>
      </c>
      <c r="X92">
        <v>0</v>
      </c>
      <c r="Y92">
        <v>0</v>
      </c>
      <c r="Z92">
        <v>0</v>
      </c>
      <c r="AA92">
        <v>0</v>
      </c>
      <c r="AB92">
        <v>0</v>
      </c>
      <c r="AC92">
        <v>0</v>
      </c>
      <c r="AD92">
        <v>0</v>
      </c>
      <c r="AE92">
        <v>0</v>
      </c>
      <c r="AF92">
        <f t="shared" si="46"/>
        <v>0</v>
      </c>
      <c r="AG92">
        <v>0</v>
      </c>
      <c r="AH92">
        <v>0</v>
      </c>
      <c r="AI92">
        <v>0</v>
      </c>
      <c r="AJ92">
        <v>0</v>
      </c>
      <c r="AK92">
        <v>0</v>
      </c>
      <c r="AL92">
        <v>0</v>
      </c>
      <c r="AM92">
        <v>0</v>
      </c>
      <c r="AN92">
        <v>0</v>
      </c>
      <c r="AO92">
        <v>0</v>
      </c>
      <c r="AP92">
        <v>0</v>
      </c>
      <c r="AQ92">
        <v>0</v>
      </c>
      <c r="AR92">
        <v>0</v>
      </c>
      <c r="AS92">
        <f t="shared" si="47"/>
        <v>0</v>
      </c>
      <c r="AT92">
        <v>0</v>
      </c>
      <c r="AU92">
        <v>0</v>
      </c>
      <c r="AV92">
        <v>0</v>
      </c>
      <c r="AW92">
        <v>0</v>
      </c>
      <c r="AX92">
        <v>0</v>
      </c>
      <c r="AY92">
        <v>0</v>
      </c>
      <c r="AZ92">
        <v>0</v>
      </c>
      <c r="BA92">
        <v>0</v>
      </c>
      <c r="BB92">
        <v>0</v>
      </c>
      <c r="BC92">
        <v>0</v>
      </c>
      <c r="BD92">
        <v>0</v>
      </c>
      <c r="BE92">
        <v>0</v>
      </c>
      <c r="BF92">
        <f t="shared" si="48"/>
        <v>0</v>
      </c>
      <c r="BG92">
        <v>0</v>
      </c>
      <c r="BH92">
        <v>0</v>
      </c>
      <c r="BI92">
        <v>0</v>
      </c>
      <c r="BJ92">
        <v>0</v>
      </c>
      <c r="BK92">
        <v>0</v>
      </c>
      <c r="BL92">
        <v>0</v>
      </c>
      <c r="BM92">
        <v>0</v>
      </c>
      <c r="BN92">
        <v>0</v>
      </c>
      <c r="BO92">
        <v>0</v>
      </c>
      <c r="BP92">
        <v>0</v>
      </c>
      <c r="BQ92">
        <v>0</v>
      </c>
      <c r="BR92">
        <v>4147</v>
      </c>
      <c r="BS92">
        <f t="shared" si="49"/>
        <v>4147</v>
      </c>
      <c r="BT92">
        <v>0</v>
      </c>
      <c r="BU92">
        <v>0</v>
      </c>
      <c r="BV92">
        <v>0</v>
      </c>
      <c r="BW92">
        <v>0</v>
      </c>
      <c r="BX92">
        <v>0</v>
      </c>
      <c r="BY92">
        <v>0</v>
      </c>
      <c r="BZ92">
        <v>0</v>
      </c>
      <c r="CA92">
        <v>0</v>
      </c>
      <c r="CB92">
        <v>0</v>
      </c>
      <c r="CC92">
        <v>0</v>
      </c>
      <c r="CD92">
        <v>0</v>
      </c>
      <c r="CE92">
        <v>0</v>
      </c>
      <c r="CF92">
        <f t="shared" si="50"/>
        <v>0</v>
      </c>
      <c r="CG92">
        <v>0</v>
      </c>
      <c r="CH92">
        <v>0</v>
      </c>
      <c r="CI92">
        <v>0</v>
      </c>
      <c r="CJ92">
        <v>0</v>
      </c>
      <c r="CK92">
        <v>0</v>
      </c>
      <c r="CL92">
        <v>0</v>
      </c>
      <c r="CM92">
        <v>0</v>
      </c>
      <c r="CN92">
        <v>0</v>
      </c>
      <c r="CO92">
        <v>0</v>
      </c>
      <c r="CP92">
        <v>0</v>
      </c>
      <c r="CQ92">
        <v>0</v>
      </c>
      <c r="CR92">
        <v>0</v>
      </c>
      <c r="CS92">
        <f t="shared" si="51"/>
        <v>0</v>
      </c>
      <c r="CT92">
        <v>0</v>
      </c>
      <c r="CU92">
        <v>0</v>
      </c>
      <c r="CV92">
        <v>0</v>
      </c>
      <c r="CW92">
        <v>0</v>
      </c>
      <c r="CX92">
        <v>0</v>
      </c>
      <c r="CY92">
        <v>0</v>
      </c>
      <c r="CZ92">
        <v>0</v>
      </c>
      <c r="DA92">
        <v>0</v>
      </c>
      <c r="DB92">
        <v>0</v>
      </c>
      <c r="DC92">
        <v>0</v>
      </c>
      <c r="DD92">
        <v>0</v>
      </c>
      <c r="DE92">
        <v>0</v>
      </c>
      <c r="DF92">
        <f t="shared" si="52"/>
        <v>0</v>
      </c>
      <c r="DG92">
        <v>0</v>
      </c>
      <c r="DH92">
        <v>0</v>
      </c>
      <c r="DI92">
        <v>0</v>
      </c>
      <c r="DJ92">
        <v>0</v>
      </c>
      <c r="DK92">
        <v>0</v>
      </c>
      <c r="DL92">
        <v>0</v>
      </c>
      <c r="DM92">
        <v>0</v>
      </c>
      <c r="DN92">
        <v>0</v>
      </c>
      <c r="DO92">
        <v>0</v>
      </c>
      <c r="DP92">
        <v>0</v>
      </c>
      <c r="DQ92">
        <v>0</v>
      </c>
      <c r="DR92">
        <v>0</v>
      </c>
      <c r="DS92">
        <f t="shared" si="53"/>
        <v>0</v>
      </c>
      <c r="DT92">
        <v>0</v>
      </c>
      <c r="DU92">
        <v>0</v>
      </c>
      <c r="DV92">
        <v>0</v>
      </c>
      <c r="DW92">
        <v>0</v>
      </c>
      <c r="DX92">
        <v>0</v>
      </c>
      <c r="DY92">
        <v>0</v>
      </c>
      <c r="DZ92">
        <v>0</v>
      </c>
      <c r="EA92">
        <v>0</v>
      </c>
      <c r="EB92">
        <v>0</v>
      </c>
      <c r="EC92">
        <v>0</v>
      </c>
      <c r="ED92">
        <v>0</v>
      </c>
      <c r="EE92">
        <v>0</v>
      </c>
      <c r="EF92">
        <f t="shared" si="54"/>
        <v>0</v>
      </c>
      <c r="EG92">
        <f t="shared" si="55"/>
        <v>4147</v>
      </c>
      <c r="EH92">
        <f t="shared" si="56"/>
        <v>0</v>
      </c>
      <c r="EI92">
        <v>0</v>
      </c>
      <c r="EJ92">
        <v>0</v>
      </c>
      <c r="EK92">
        <v>0</v>
      </c>
      <c r="EL92">
        <v>0</v>
      </c>
      <c r="EM92">
        <v>0</v>
      </c>
      <c r="EN92">
        <v>0</v>
      </c>
      <c r="EO92">
        <v>0</v>
      </c>
      <c r="EP92">
        <v>0</v>
      </c>
      <c r="EQ92">
        <v>0</v>
      </c>
      <c r="ER92">
        <v>0</v>
      </c>
      <c r="ES92">
        <v>0</v>
      </c>
      <c r="ET92">
        <v>53358</v>
      </c>
      <c r="EU92">
        <f t="shared" si="57"/>
        <v>53358</v>
      </c>
      <c r="EV92">
        <v>0</v>
      </c>
      <c r="EW92">
        <v>0</v>
      </c>
      <c r="EX92">
        <v>0</v>
      </c>
      <c r="EY92">
        <v>0</v>
      </c>
      <c r="EZ92">
        <v>0</v>
      </c>
      <c r="FA92">
        <v>0</v>
      </c>
      <c r="FB92">
        <v>0</v>
      </c>
      <c r="FC92">
        <v>0</v>
      </c>
      <c r="FD92">
        <v>0</v>
      </c>
      <c r="FE92">
        <v>0</v>
      </c>
      <c r="FF92">
        <v>0</v>
      </c>
      <c r="FG92">
        <v>0</v>
      </c>
      <c r="FH92">
        <f t="shared" si="58"/>
        <v>0</v>
      </c>
      <c r="FI92">
        <v>0</v>
      </c>
      <c r="FJ92">
        <v>0</v>
      </c>
      <c r="FK92">
        <v>0</v>
      </c>
      <c r="FL92">
        <v>0</v>
      </c>
      <c r="FM92">
        <v>0</v>
      </c>
      <c r="FN92">
        <v>0</v>
      </c>
      <c r="FO92">
        <v>0</v>
      </c>
      <c r="FP92">
        <v>0</v>
      </c>
      <c r="FQ92">
        <v>0</v>
      </c>
      <c r="FR92">
        <v>0</v>
      </c>
      <c r="FS92">
        <v>0</v>
      </c>
      <c r="FT92">
        <v>0</v>
      </c>
      <c r="FU92">
        <f t="shared" si="59"/>
        <v>0</v>
      </c>
      <c r="FV92">
        <v>0</v>
      </c>
      <c r="FW92">
        <v>0</v>
      </c>
      <c r="FX92">
        <v>0</v>
      </c>
      <c r="FY92">
        <v>0</v>
      </c>
      <c r="FZ92">
        <v>0</v>
      </c>
      <c r="GA92">
        <v>0</v>
      </c>
      <c r="GB92">
        <v>0</v>
      </c>
      <c r="GC92">
        <v>0</v>
      </c>
      <c r="GD92">
        <v>0</v>
      </c>
      <c r="GE92">
        <v>0</v>
      </c>
      <c r="GF92">
        <v>0</v>
      </c>
      <c r="GG92">
        <v>0</v>
      </c>
      <c r="GH92">
        <f t="shared" si="60"/>
        <v>0</v>
      </c>
      <c r="GI92">
        <v>0</v>
      </c>
      <c r="GJ92">
        <v>0</v>
      </c>
      <c r="GK92">
        <v>0</v>
      </c>
      <c r="GL92">
        <v>0</v>
      </c>
      <c r="GM92">
        <v>0</v>
      </c>
      <c r="GN92">
        <v>0</v>
      </c>
      <c r="GO92">
        <v>0</v>
      </c>
      <c r="GP92">
        <v>0</v>
      </c>
      <c r="GQ92">
        <v>0</v>
      </c>
      <c r="GR92">
        <v>0</v>
      </c>
      <c r="GS92">
        <v>0</v>
      </c>
      <c r="GT92">
        <v>0</v>
      </c>
      <c r="GU92">
        <f t="shared" si="61"/>
        <v>0</v>
      </c>
      <c r="GV92">
        <v>0</v>
      </c>
      <c r="GW92">
        <v>0</v>
      </c>
      <c r="GX92">
        <v>0</v>
      </c>
      <c r="GY92">
        <v>0</v>
      </c>
      <c r="GZ92">
        <v>0</v>
      </c>
      <c r="HA92">
        <v>0</v>
      </c>
      <c r="HB92">
        <v>0</v>
      </c>
      <c r="HC92">
        <v>0</v>
      </c>
      <c r="HD92">
        <v>0</v>
      </c>
      <c r="HE92">
        <v>0</v>
      </c>
      <c r="HF92">
        <v>0</v>
      </c>
      <c r="HG92">
        <v>0</v>
      </c>
      <c r="HH92">
        <f t="shared" si="62"/>
        <v>0</v>
      </c>
      <c r="HI92">
        <v>0</v>
      </c>
      <c r="HJ92">
        <v>0</v>
      </c>
      <c r="HK92">
        <v>0</v>
      </c>
      <c r="HL92">
        <v>0</v>
      </c>
      <c r="HM92">
        <v>0</v>
      </c>
      <c r="HN92">
        <v>0</v>
      </c>
      <c r="HO92">
        <v>0</v>
      </c>
      <c r="HP92">
        <v>0</v>
      </c>
      <c r="HQ92">
        <v>0</v>
      </c>
      <c r="HR92">
        <v>0</v>
      </c>
      <c r="HS92">
        <v>0</v>
      </c>
      <c r="HT92">
        <v>0</v>
      </c>
      <c r="HU92">
        <f t="shared" si="63"/>
        <v>0</v>
      </c>
      <c r="HV92">
        <v>0</v>
      </c>
      <c r="HW92">
        <v>0</v>
      </c>
      <c r="HX92">
        <v>0</v>
      </c>
      <c r="HY92">
        <v>0</v>
      </c>
      <c r="HZ92">
        <v>0</v>
      </c>
      <c r="IA92">
        <v>0</v>
      </c>
      <c r="IB92">
        <v>0</v>
      </c>
      <c r="IC92">
        <v>0</v>
      </c>
      <c r="ID92">
        <v>0</v>
      </c>
      <c r="IE92">
        <v>0</v>
      </c>
      <c r="IF92">
        <v>0</v>
      </c>
      <c r="IG92">
        <v>0</v>
      </c>
      <c r="IH92">
        <f t="shared" si="64"/>
        <v>0</v>
      </c>
      <c r="II92">
        <f t="shared" si="65"/>
        <v>0</v>
      </c>
      <c r="IJ92">
        <f t="shared" si="66"/>
        <v>0</v>
      </c>
      <c r="IK92">
        <v>0</v>
      </c>
      <c r="IL92">
        <v>0</v>
      </c>
      <c r="IM92">
        <v>0</v>
      </c>
      <c r="IN92">
        <v>0</v>
      </c>
      <c r="IO92">
        <v>0</v>
      </c>
      <c r="IP92">
        <v>0</v>
      </c>
      <c r="IQ92">
        <v>0</v>
      </c>
      <c r="IR92">
        <v>0</v>
      </c>
      <c r="IS92">
        <v>0</v>
      </c>
      <c r="IT92">
        <v>0</v>
      </c>
      <c r="IU92">
        <v>0</v>
      </c>
      <c r="IV92">
        <v>260673</v>
      </c>
      <c r="IW92">
        <f t="shared" si="67"/>
        <v>260673</v>
      </c>
      <c r="IX92">
        <v>0</v>
      </c>
      <c r="IY92">
        <v>0</v>
      </c>
      <c r="IZ92">
        <v>0</v>
      </c>
      <c r="JA92">
        <v>0</v>
      </c>
      <c r="JB92">
        <v>0</v>
      </c>
      <c r="JC92">
        <v>0</v>
      </c>
      <c r="JD92">
        <v>0</v>
      </c>
      <c r="JE92">
        <v>0</v>
      </c>
      <c r="JF92">
        <v>0</v>
      </c>
      <c r="JG92">
        <v>0</v>
      </c>
      <c r="JH92">
        <v>0</v>
      </c>
      <c r="JI92">
        <v>151508</v>
      </c>
      <c r="JJ92">
        <f t="shared" si="68"/>
        <v>151508</v>
      </c>
      <c r="JK92">
        <v>0</v>
      </c>
      <c r="JL92">
        <v>0</v>
      </c>
      <c r="JM92">
        <v>0</v>
      </c>
      <c r="JN92">
        <v>0</v>
      </c>
      <c r="JO92">
        <v>0</v>
      </c>
      <c r="JP92">
        <v>0</v>
      </c>
      <c r="JQ92">
        <v>0</v>
      </c>
      <c r="JR92">
        <v>0</v>
      </c>
      <c r="JS92">
        <v>0</v>
      </c>
      <c r="JT92">
        <v>0</v>
      </c>
      <c r="JU92">
        <v>0</v>
      </c>
      <c r="JV92">
        <v>538</v>
      </c>
      <c r="JW92">
        <f t="shared" si="69"/>
        <v>538</v>
      </c>
      <c r="JX92">
        <v>0</v>
      </c>
      <c r="JY92">
        <v>0</v>
      </c>
      <c r="JZ92">
        <v>0</v>
      </c>
      <c r="KA92">
        <v>0</v>
      </c>
      <c r="KB92">
        <v>0</v>
      </c>
      <c r="KC92">
        <v>0</v>
      </c>
      <c r="KD92">
        <v>0</v>
      </c>
      <c r="KE92">
        <v>0</v>
      </c>
      <c r="KF92">
        <v>0</v>
      </c>
      <c r="KG92">
        <v>0</v>
      </c>
      <c r="KH92">
        <v>0</v>
      </c>
      <c r="KI92">
        <v>96004</v>
      </c>
      <c r="KJ92">
        <f t="shared" si="70"/>
        <v>96004</v>
      </c>
      <c r="KK92">
        <v>0</v>
      </c>
      <c r="KL92">
        <v>0</v>
      </c>
      <c r="KM92">
        <v>0</v>
      </c>
      <c r="KN92">
        <v>0</v>
      </c>
      <c r="KO92">
        <v>0</v>
      </c>
      <c r="KP92">
        <v>0</v>
      </c>
      <c r="KQ92">
        <v>0</v>
      </c>
      <c r="KR92">
        <v>0</v>
      </c>
      <c r="KS92">
        <v>0</v>
      </c>
      <c r="KT92">
        <v>0</v>
      </c>
      <c r="KU92">
        <v>0</v>
      </c>
      <c r="KV92">
        <v>3527</v>
      </c>
      <c r="KW92">
        <f t="shared" si="71"/>
        <v>3527</v>
      </c>
      <c r="KX92">
        <v>0</v>
      </c>
      <c r="KY92">
        <v>0</v>
      </c>
      <c r="KZ92">
        <v>0</v>
      </c>
      <c r="LA92">
        <v>0</v>
      </c>
      <c r="LB92">
        <v>0</v>
      </c>
      <c r="LC92">
        <v>0</v>
      </c>
      <c r="LD92">
        <v>0</v>
      </c>
      <c r="LE92">
        <v>0</v>
      </c>
      <c r="LF92">
        <v>0</v>
      </c>
      <c r="LG92">
        <v>0</v>
      </c>
      <c r="LH92">
        <v>0</v>
      </c>
      <c r="LI92">
        <v>98</v>
      </c>
      <c r="LJ92">
        <f t="shared" si="72"/>
        <v>98</v>
      </c>
      <c r="LK92">
        <v>0</v>
      </c>
      <c r="LL92">
        <v>0</v>
      </c>
      <c r="LM92">
        <v>0</v>
      </c>
      <c r="LN92">
        <v>0</v>
      </c>
      <c r="LO92">
        <v>0</v>
      </c>
      <c r="LP92">
        <v>0</v>
      </c>
      <c r="LQ92">
        <v>0</v>
      </c>
      <c r="LR92">
        <v>0</v>
      </c>
      <c r="LS92">
        <v>0</v>
      </c>
      <c r="LT92">
        <v>0</v>
      </c>
      <c r="LU92">
        <v>0</v>
      </c>
      <c r="LV92">
        <v>0</v>
      </c>
      <c r="LW92">
        <f t="shared" si="73"/>
        <v>0</v>
      </c>
      <c r="LX92">
        <v>0</v>
      </c>
      <c r="LY92">
        <v>0</v>
      </c>
      <c r="LZ92">
        <v>0</v>
      </c>
      <c r="MA92">
        <v>0</v>
      </c>
      <c r="MB92">
        <v>0</v>
      </c>
      <c r="MC92">
        <v>0</v>
      </c>
      <c r="MD92">
        <v>0</v>
      </c>
      <c r="ME92">
        <v>0</v>
      </c>
      <c r="MF92">
        <v>0</v>
      </c>
      <c r="MG92">
        <v>0</v>
      </c>
      <c r="MH92">
        <v>0</v>
      </c>
      <c r="MI92">
        <v>3347</v>
      </c>
      <c r="MJ92">
        <f t="shared" si="74"/>
        <v>3347</v>
      </c>
      <c r="MK92">
        <v>0</v>
      </c>
      <c r="ML92">
        <v>0</v>
      </c>
      <c r="MM92">
        <v>0</v>
      </c>
      <c r="MN92">
        <v>0</v>
      </c>
      <c r="MO92">
        <v>0</v>
      </c>
      <c r="MP92">
        <v>0</v>
      </c>
      <c r="MQ92">
        <v>0</v>
      </c>
      <c r="MR92">
        <v>0</v>
      </c>
      <c r="MS92">
        <v>0</v>
      </c>
      <c r="MT92">
        <v>0</v>
      </c>
      <c r="MU92">
        <v>0</v>
      </c>
      <c r="MV92">
        <v>0</v>
      </c>
      <c r="MW92">
        <f t="shared" si="75"/>
        <v>0</v>
      </c>
      <c r="MX92">
        <v>0</v>
      </c>
      <c r="MY92">
        <v>0</v>
      </c>
      <c r="MZ92">
        <v>0</v>
      </c>
      <c r="NA92">
        <v>0</v>
      </c>
      <c r="NB92">
        <v>0</v>
      </c>
      <c r="NC92">
        <v>0</v>
      </c>
      <c r="ND92">
        <v>0</v>
      </c>
      <c r="NE92">
        <v>0</v>
      </c>
      <c r="NF92">
        <v>0</v>
      </c>
      <c r="NG92">
        <v>0</v>
      </c>
      <c r="NH92">
        <v>0</v>
      </c>
      <c r="NI92">
        <v>0</v>
      </c>
      <c r="NJ92">
        <f t="shared" si="76"/>
        <v>0</v>
      </c>
      <c r="NK92">
        <v>0</v>
      </c>
      <c r="NL92">
        <v>0</v>
      </c>
      <c r="NM92">
        <v>0</v>
      </c>
      <c r="NN92">
        <v>0</v>
      </c>
      <c r="NO92">
        <v>0</v>
      </c>
      <c r="NP92">
        <v>0</v>
      </c>
      <c r="NQ92">
        <v>0</v>
      </c>
      <c r="NR92">
        <v>0</v>
      </c>
      <c r="NS92">
        <v>0</v>
      </c>
      <c r="NT92">
        <v>0</v>
      </c>
      <c r="NU92">
        <v>0</v>
      </c>
      <c r="NV92">
        <v>0</v>
      </c>
      <c r="NW92">
        <f t="shared" si="77"/>
        <v>0</v>
      </c>
      <c r="NX92">
        <v>0</v>
      </c>
      <c r="NY92">
        <v>0</v>
      </c>
      <c r="NZ92">
        <v>0</v>
      </c>
      <c r="OA92">
        <v>0</v>
      </c>
      <c r="OB92">
        <v>0</v>
      </c>
      <c r="OC92">
        <v>0</v>
      </c>
      <c r="OD92">
        <v>0</v>
      </c>
      <c r="OE92">
        <v>0</v>
      </c>
      <c r="OF92">
        <v>0</v>
      </c>
      <c r="OG92">
        <v>0</v>
      </c>
      <c r="OH92">
        <v>0</v>
      </c>
      <c r="OI92">
        <v>0</v>
      </c>
      <c r="OJ92">
        <f t="shared" si="78"/>
        <v>0</v>
      </c>
      <c r="OK92">
        <v>0</v>
      </c>
      <c r="OL92">
        <v>0</v>
      </c>
      <c r="OM92">
        <v>0</v>
      </c>
      <c r="ON92">
        <v>0</v>
      </c>
      <c r="OO92">
        <v>0</v>
      </c>
      <c r="OP92">
        <v>0</v>
      </c>
      <c r="OQ92">
        <v>0</v>
      </c>
      <c r="OR92">
        <v>0</v>
      </c>
      <c r="OS92">
        <v>0</v>
      </c>
      <c r="OT92">
        <v>0</v>
      </c>
      <c r="OU92">
        <v>0</v>
      </c>
      <c r="OV92">
        <v>0</v>
      </c>
      <c r="OW92">
        <f t="shared" si="79"/>
        <v>0</v>
      </c>
      <c r="OX92">
        <v>0</v>
      </c>
      <c r="OY92">
        <v>0</v>
      </c>
      <c r="OZ92">
        <v>0</v>
      </c>
      <c r="PA92">
        <v>0</v>
      </c>
      <c r="PB92">
        <v>0</v>
      </c>
      <c r="PC92">
        <v>0</v>
      </c>
      <c r="PD92">
        <v>0</v>
      </c>
      <c r="PE92">
        <v>0</v>
      </c>
      <c r="PF92">
        <v>0</v>
      </c>
      <c r="PG92">
        <v>0</v>
      </c>
      <c r="PH92">
        <v>0</v>
      </c>
      <c r="PI92">
        <v>0</v>
      </c>
      <c r="PJ92">
        <f t="shared" si="80"/>
        <v>0</v>
      </c>
      <c r="PK92">
        <v>0</v>
      </c>
      <c r="PL92">
        <v>0</v>
      </c>
      <c r="PM92">
        <v>0</v>
      </c>
      <c r="PN92">
        <v>0</v>
      </c>
      <c r="PO92">
        <v>0</v>
      </c>
      <c r="PP92">
        <v>0</v>
      </c>
      <c r="PQ92">
        <v>0</v>
      </c>
      <c r="PR92">
        <v>0</v>
      </c>
      <c r="PS92">
        <v>0</v>
      </c>
      <c r="PT92">
        <v>0</v>
      </c>
      <c r="PU92">
        <v>0</v>
      </c>
      <c r="PV92">
        <v>0</v>
      </c>
      <c r="PW92">
        <f t="shared" si="81"/>
        <v>0</v>
      </c>
      <c r="PX92">
        <v>0</v>
      </c>
      <c r="PY92">
        <v>0</v>
      </c>
      <c r="PZ92">
        <v>0</v>
      </c>
      <c r="QA92">
        <v>0</v>
      </c>
      <c r="QB92">
        <v>0</v>
      </c>
      <c r="QC92">
        <v>0</v>
      </c>
      <c r="QD92">
        <v>0</v>
      </c>
      <c r="QE92">
        <v>0</v>
      </c>
      <c r="QF92">
        <v>0</v>
      </c>
      <c r="QG92">
        <v>0</v>
      </c>
      <c r="QH92">
        <v>0</v>
      </c>
      <c r="QI92">
        <v>0</v>
      </c>
      <c r="QJ92">
        <f t="shared" si="82"/>
        <v>0</v>
      </c>
      <c r="QK92">
        <v>0</v>
      </c>
      <c r="QL92">
        <v>0</v>
      </c>
      <c r="QM92">
        <v>0</v>
      </c>
      <c r="QN92">
        <v>0</v>
      </c>
      <c r="QO92">
        <v>0</v>
      </c>
      <c r="QP92">
        <v>0</v>
      </c>
      <c r="QQ92">
        <v>0</v>
      </c>
      <c r="QR92">
        <v>0</v>
      </c>
      <c r="QS92">
        <v>0</v>
      </c>
      <c r="QT92">
        <v>0</v>
      </c>
      <c r="QU92">
        <v>0</v>
      </c>
      <c r="QV92">
        <v>309963</v>
      </c>
      <c r="QW92">
        <f t="shared" si="83"/>
        <v>309963</v>
      </c>
      <c r="QX92">
        <v>0</v>
      </c>
      <c r="QY92">
        <v>0</v>
      </c>
      <c r="QZ92">
        <v>0</v>
      </c>
      <c r="RA92">
        <v>0</v>
      </c>
      <c r="RB92">
        <v>0</v>
      </c>
      <c r="RC92">
        <v>0</v>
      </c>
      <c r="RD92">
        <v>0</v>
      </c>
      <c r="RE92">
        <v>0</v>
      </c>
      <c r="RF92">
        <v>0</v>
      </c>
      <c r="RG92">
        <v>0</v>
      </c>
      <c r="RH92">
        <v>0</v>
      </c>
      <c r="RI92">
        <v>299270</v>
      </c>
      <c r="RJ92">
        <f t="shared" si="84"/>
        <v>299270</v>
      </c>
      <c r="RK92">
        <v>0</v>
      </c>
      <c r="RL92">
        <v>0</v>
      </c>
      <c r="RM92">
        <v>0</v>
      </c>
      <c r="RN92">
        <v>0</v>
      </c>
      <c r="RO92">
        <v>0</v>
      </c>
      <c r="RP92">
        <v>0</v>
      </c>
      <c r="RQ92">
        <v>0</v>
      </c>
      <c r="RR92">
        <v>0</v>
      </c>
      <c r="RS92">
        <v>0</v>
      </c>
      <c r="RT92">
        <v>0</v>
      </c>
      <c r="RU92">
        <v>0</v>
      </c>
      <c r="RV92">
        <v>0</v>
      </c>
      <c r="RW92">
        <f t="shared" si="85"/>
        <v>0</v>
      </c>
      <c r="RX92">
        <v>0</v>
      </c>
      <c r="RY92">
        <v>0</v>
      </c>
      <c r="RZ92">
        <v>0</v>
      </c>
      <c r="SA92">
        <v>0</v>
      </c>
      <c r="SB92">
        <v>0</v>
      </c>
      <c r="SC92">
        <v>0</v>
      </c>
      <c r="SD92">
        <v>0</v>
      </c>
      <c r="SE92">
        <v>0</v>
      </c>
      <c r="SF92">
        <v>0</v>
      </c>
      <c r="SG92">
        <v>0</v>
      </c>
      <c r="SH92">
        <v>0</v>
      </c>
      <c r="SI92">
        <v>0</v>
      </c>
      <c r="SJ92">
        <f t="shared" si="86"/>
        <v>0</v>
      </c>
      <c r="SK92">
        <v>0</v>
      </c>
      <c r="SL92">
        <v>0</v>
      </c>
      <c r="SM92">
        <v>0</v>
      </c>
      <c r="SN92">
        <v>0</v>
      </c>
      <c r="SO92">
        <v>0</v>
      </c>
      <c r="SP92">
        <v>0</v>
      </c>
      <c r="SQ92">
        <v>0</v>
      </c>
      <c r="SR92">
        <v>0</v>
      </c>
      <c r="SS92">
        <v>0</v>
      </c>
      <c r="ST92">
        <v>0</v>
      </c>
      <c r="SU92">
        <v>0</v>
      </c>
      <c r="SV92">
        <v>876</v>
      </c>
      <c r="SW92">
        <f t="shared" si="87"/>
        <v>876</v>
      </c>
      <c r="SX92">
        <v>0</v>
      </c>
      <c r="SY92">
        <v>0</v>
      </c>
      <c r="SZ92">
        <v>0</v>
      </c>
      <c r="TA92">
        <v>0</v>
      </c>
      <c r="TB92">
        <v>0</v>
      </c>
      <c r="TC92">
        <v>0</v>
      </c>
      <c r="TD92">
        <v>0</v>
      </c>
      <c r="TE92">
        <v>0</v>
      </c>
      <c r="TF92">
        <v>0</v>
      </c>
      <c r="TG92">
        <v>0</v>
      </c>
      <c r="TH92">
        <v>0</v>
      </c>
      <c r="TI92">
        <v>0</v>
      </c>
      <c r="TJ92">
        <v>24569</v>
      </c>
      <c r="TK92">
        <f t="shared" si="88"/>
        <v>24569</v>
      </c>
      <c r="TL92">
        <v>0</v>
      </c>
      <c r="TM92">
        <v>0</v>
      </c>
      <c r="TN92">
        <v>0</v>
      </c>
      <c r="TO92">
        <v>0</v>
      </c>
      <c r="TP92">
        <v>0</v>
      </c>
      <c r="TQ92">
        <v>0</v>
      </c>
      <c r="TR92">
        <v>0</v>
      </c>
      <c r="TS92">
        <v>0</v>
      </c>
      <c r="TT92">
        <v>0</v>
      </c>
      <c r="TU92">
        <v>0</v>
      </c>
      <c r="TV92">
        <v>0</v>
      </c>
      <c r="TW92">
        <v>0</v>
      </c>
      <c r="TX92">
        <f t="shared" si="89"/>
        <v>0</v>
      </c>
      <c r="TY92">
        <v>77</v>
      </c>
      <c r="TZ92">
        <v>0</v>
      </c>
      <c r="UA92">
        <v>0</v>
      </c>
      <c r="UB92">
        <v>0</v>
      </c>
    </row>
    <row r="93" spans="1:548" ht="16.5" customHeight="1" x14ac:dyDescent="0.35">
      <c r="A93" t="s">
        <v>1477</v>
      </c>
      <c r="B93" t="s">
        <v>2864</v>
      </c>
      <c r="C93">
        <v>15276</v>
      </c>
      <c r="D93">
        <v>2927</v>
      </c>
      <c r="E93">
        <v>902</v>
      </c>
      <c r="F93">
        <v>11447</v>
      </c>
      <c r="G93">
        <v>156</v>
      </c>
      <c r="H93">
        <v>141</v>
      </c>
      <c r="I93">
        <v>154</v>
      </c>
      <c r="J93">
        <v>145</v>
      </c>
      <c r="K93">
        <v>127</v>
      </c>
      <c r="L93">
        <v>113</v>
      </c>
      <c r="M93">
        <v>151</v>
      </c>
      <c r="N93">
        <v>123</v>
      </c>
      <c r="O93">
        <v>124</v>
      </c>
      <c r="P93">
        <v>174</v>
      </c>
      <c r="Q93">
        <v>157</v>
      </c>
      <c r="R93">
        <v>190</v>
      </c>
      <c r="S93">
        <f t="shared" si="45"/>
        <v>1755</v>
      </c>
      <c r="T93">
        <v>82</v>
      </c>
      <c r="U93">
        <v>75</v>
      </c>
      <c r="V93">
        <v>73</v>
      </c>
      <c r="W93">
        <v>69</v>
      </c>
      <c r="X93">
        <v>85</v>
      </c>
      <c r="Y93">
        <v>57</v>
      </c>
      <c r="Z93">
        <v>83</v>
      </c>
      <c r="AA93">
        <v>68</v>
      </c>
      <c r="AB93">
        <v>60</v>
      </c>
      <c r="AC93">
        <v>82</v>
      </c>
      <c r="AD93">
        <v>81</v>
      </c>
      <c r="AE93">
        <v>76</v>
      </c>
      <c r="AF93">
        <f t="shared" si="46"/>
        <v>891</v>
      </c>
      <c r="AG93">
        <v>0</v>
      </c>
      <c r="AH93">
        <v>1</v>
      </c>
      <c r="AI93">
        <v>1</v>
      </c>
      <c r="AJ93">
        <v>0</v>
      </c>
      <c r="AK93">
        <v>0</v>
      </c>
      <c r="AL93">
        <v>0</v>
      </c>
      <c r="AM93">
        <v>2</v>
      </c>
      <c r="AN93">
        <v>0</v>
      </c>
      <c r="AO93">
        <v>1</v>
      </c>
      <c r="AP93">
        <v>1</v>
      </c>
      <c r="AQ93">
        <v>1</v>
      </c>
      <c r="AR93">
        <v>2</v>
      </c>
      <c r="AS93">
        <f t="shared" si="47"/>
        <v>9</v>
      </c>
      <c r="AT93">
        <v>74</v>
      </c>
      <c r="AU93">
        <v>65</v>
      </c>
      <c r="AV93">
        <v>80</v>
      </c>
      <c r="AW93">
        <v>76</v>
      </c>
      <c r="AX93">
        <v>42</v>
      </c>
      <c r="AY93">
        <v>56</v>
      </c>
      <c r="AZ93">
        <v>66</v>
      </c>
      <c r="BA93">
        <v>55</v>
      </c>
      <c r="BB93">
        <v>63</v>
      </c>
      <c r="BC93">
        <v>91</v>
      </c>
      <c r="BD93">
        <v>75</v>
      </c>
      <c r="BE93">
        <v>112</v>
      </c>
      <c r="BF93">
        <f t="shared" si="48"/>
        <v>855</v>
      </c>
      <c r="BG93">
        <v>0</v>
      </c>
      <c r="BH93">
        <v>0</v>
      </c>
      <c r="BI93">
        <v>0</v>
      </c>
      <c r="BJ93">
        <v>0</v>
      </c>
      <c r="BK93">
        <v>0</v>
      </c>
      <c r="BL93">
        <v>0</v>
      </c>
      <c r="BM93">
        <v>0</v>
      </c>
      <c r="BN93">
        <v>0</v>
      </c>
      <c r="BO93">
        <v>0</v>
      </c>
      <c r="BP93">
        <v>0</v>
      </c>
      <c r="BQ93">
        <v>0</v>
      </c>
      <c r="BR93">
        <v>0</v>
      </c>
      <c r="BS93">
        <f t="shared" si="49"/>
        <v>0</v>
      </c>
      <c r="BT93">
        <v>0</v>
      </c>
      <c r="BU93">
        <v>0</v>
      </c>
      <c r="BV93">
        <v>0</v>
      </c>
      <c r="BW93">
        <v>0</v>
      </c>
      <c r="BX93">
        <v>0</v>
      </c>
      <c r="BY93">
        <v>0</v>
      </c>
      <c r="BZ93">
        <v>0</v>
      </c>
      <c r="CA93">
        <v>0</v>
      </c>
      <c r="CB93">
        <v>0</v>
      </c>
      <c r="CC93">
        <v>0</v>
      </c>
      <c r="CD93">
        <v>0</v>
      </c>
      <c r="CE93">
        <v>0</v>
      </c>
      <c r="CF93">
        <f t="shared" si="50"/>
        <v>0</v>
      </c>
      <c r="CG93">
        <v>0</v>
      </c>
      <c r="CH93">
        <v>0</v>
      </c>
      <c r="CI93">
        <v>0</v>
      </c>
      <c r="CJ93">
        <v>0</v>
      </c>
      <c r="CK93">
        <v>0</v>
      </c>
      <c r="CL93">
        <v>0</v>
      </c>
      <c r="CM93">
        <v>0</v>
      </c>
      <c r="CN93">
        <v>0</v>
      </c>
      <c r="CO93">
        <v>0</v>
      </c>
      <c r="CP93">
        <v>0</v>
      </c>
      <c r="CQ93">
        <v>0</v>
      </c>
      <c r="CR93">
        <v>0</v>
      </c>
      <c r="CS93">
        <f t="shared" si="51"/>
        <v>0</v>
      </c>
      <c r="CT93">
        <v>0</v>
      </c>
      <c r="CU93">
        <v>0</v>
      </c>
      <c r="CV93">
        <v>0</v>
      </c>
      <c r="CW93">
        <v>0</v>
      </c>
      <c r="CX93">
        <v>0</v>
      </c>
      <c r="CY93">
        <v>0</v>
      </c>
      <c r="CZ93">
        <v>0</v>
      </c>
      <c r="DA93">
        <v>0</v>
      </c>
      <c r="DB93">
        <v>0</v>
      </c>
      <c r="DC93">
        <v>0</v>
      </c>
      <c r="DD93">
        <v>0</v>
      </c>
      <c r="DE93">
        <v>0</v>
      </c>
      <c r="DF93">
        <f t="shared" si="52"/>
        <v>0</v>
      </c>
      <c r="DG93">
        <v>0</v>
      </c>
      <c r="DH93">
        <v>0</v>
      </c>
      <c r="DI93">
        <v>0</v>
      </c>
      <c r="DJ93">
        <v>0</v>
      </c>
      <c r="DK93">
        <v>0</v>
      </c>
      <c r="DL93">
        <v>0</v>
      </c>
      <c r="DM93">
        <v>0</v>
      </c>
      <c r="DN93">
        <v>0</v>
      </c>
      <c r="DO93">
        <v>0</v>
      </c>
      <c r="DP93">
        <v>0</v>
      </c>
      <c r="DQ93">
        <v>0</v>
      </c>
      <c r="DR93">
        <v>0</v>
      </c>
      <c r="DS93">
        <f t="shared" si="53"/>
        <v>0</v>
      </c>
      <c r="DT93">
        <v>0</v>
      </c>
      <c r="DU93">
        <v>0</v>
      </c>
      <c r="DV93">
        <v>0</v>
      </c>
      <c r="DW93">
        <v>0</v>
      </c>
      <c r="DX93">
        <v>0</v>
      </c>
      <c r="DY93">
        <v>0</v>
      </c>
      <c r="DZ93">
        <v>0</v>
      </c>
      <c r="EA93">
        <v>0</v>
      </c>
      <c r="EB93">
        <v>0</v>
      </c>
      <c r="EC93">
        <v>0</v>
      </c>
      <c r="ED93">
        <v>0</v>
      </c>
      <c r="EE93">
        <v>0</v>
      </c>
      <c r="EF93">
        <f t="shared" si="54"/>
        <v>0</v>
      </c>
      <c r="EG93">
        <f t="shared" si="55"/>
        <v>1755</v>
      </c>
      <c r="EH93">
        <f t="shared" si="56"/>
        <v>0</v>
      </c>
      <c r="EI93">
        <v>1757</v>
      </c>
      <c r="EJ93">
        <v>1939</v>
      </c>
      <c r="EK93">
        <v>3459</v>
      </c>
      <c r="EL93">
        <v>2193</v>
      </c>
      <c r="EM93">
        <v>2522</v>
      </c>
      <c r="EN93">
        <v>1723</v>
      </c>
      <c r="EO93">
        <v>2727</v>
      </c>
      <c r="EP93">
        <v>1819</v>
      </c>
      <c r="EQ93">
        <v>1556</v>
      </c>
      <c r="ER93">
        <v>2553</v>
      </c>
      <c r="ES93">
        <v>3329</v>
      </c>
      <c r="ET93">
        <v>2501</v>
      </c>
      <c r="EU93">
        <f t="shared" si="57"/>
        <v>28078</v>
      </c>
      <c r="EV93">
        <v>0</v>
      </c>
      <c r="EW93">
        <v>0</v>
      </c>
      <c r="EX93">
        <v>0</v>
      </c>
      <c r="EY93">
        <v>0</v>
      </c>
      <c r="EZ93">
        <v>0</v>
      </c>
      <c r="FA93">
        <v>0</v>
      </c>
      <c r="FB93">
        <v>0</v>
      </c>
      <c r="FC93">
        <v>0</v>
      </c>
      <c r="FD93">
        <v>0</v>
      </c>
      <c r="FE93">
        <v>0</v>
      </c>
      <c r="FF93">
        <v>0</v>
      </c>
      <c r="FG93">
        <v>0</v>
      </c>
      <c r="FH93">
        <f t="shared" si="58"/>
        <v>0</v>
      </c>
      <c r="FI93">
        <v>0</v>
      </c>
      <c r="FJ93">
        <v>0</v>
      </c>
      <c r="FK93">
        <v>0</v>
      </c>
      <c r="FL93">
        <v>0</v>
      </c>
      <c r="FM93">
        <v>0</v>
      </c>
      <c r="FN93">
        <v>0</v>
      </c>
      <c r="FO93">
        <v>0</v>
      </c>
      <c r="FP93">
        <v>0</v>
      </c>
      <c r="FQ93">
        <v>0</v>
      </c>
      <c r="FR93">
        <v>0</v>
      </c>
      <c r="FS93">
        <v>0</v>
      </c>
      <c r="FT93">
        <v>0</v>
      </c>
      <c r="FU93">
        <f t="shared" si="59"/>
        <v>0</v>
      </c>
      <c r="FV93">
        <v>1042</v>
      </c>
      <c r="FW93">
        <v>1032</v>
      </c>
      <c r="FX93">
        <v>1065</v>
      </c>
      <c r="FY93">
        <v>981</v>
      </c>
      <c r="FZ93">
        <v>1307</v>
      </c>
      <c r="GA93">
        <v>1138</v>
      </c>
      <c r="GB93">
        <v>1200</v>
      </c>
      <c r="GC93">
        <v>1115</v>
      </c>
      <c r="GD93">
        <v>1078</v>
      </c>
      <c r="GE93">
        <v>1508</v>
      </c>
      <c r="GF93">
        <v>1812</v>
      </c>
      <c r="GG93">
        <v>1437</v>
      </c>
      <c r="GH93">
        <f t="shared" si="60"/>
        <v>14715</v>
      </c>
      <c r="GI93">
        <v>0</v>
      </c>
      <c r="GJ93">
        <v>0</v>
      </c>
      <c r="GK93">
        <v>0</v>
      </c>
      <c r="GL93">
        <v>0</v>
      </c>
      <c r="GM93">
        <v>0</v>
      </c>
      <c r="GN93">
        <v>0</v>
      </c>
      <c r="GO93">
        <v>0</v>
      </c>
      <c r="GP93">
        <v>0</v>
      </c>
      <c r="GQ93">
        <v>0</v>
      </c>
      <c r="GR93">
        <v>0</v>
      </c>
      <c r="GS93">
        <v>0</v>
      </c>
      <c r="GT93">
        <v>0</v>
      </c>
      <c r="GU93">
        <f t="shared" si="61"/>
        <v>0</v>
      </c>
      <c r="GV93">
        <v>0</v>
      </c>
      <c r="GW93">
        <v>0</v>
      </c>
      <c r="GX93">
        <v>0</v>
      </c>
      <c r="GY93">
        <v>0</v>
      </c>
      <c r="GZ93">
        <v>0</v>
      </c>
      <c r="HA93">
        <v>0</v>
      </c>
      <c r="HB93">
        <v>0</v>
      </c>
      <c r="HC93">
        <v>0</v>
      </c>
      <c r="HD93">
        <v>0</v>
      </c>
      <c r="HE93">
        <v>0</v>
      </c>
      <c r="HF93">
        <v>0</v>
      </c>
      <c r="HG93">
        <v>0</v>
      </c>
      <c r="HH93">
        <f t="shared" si="62"/>
        <v>0</v>
      </c>
      <c r="HI93">
        <v>0</v>
      </c>
      <c r="HJ93">
        <v>0</v>
      </c>
      <c r="HK93">
        <v>0</v>
      </c>
      <c r="HL93">
        <v>0</v>
      </c>
      <c r="HM93">
        <v>0</v>
      </c>
      <c r="HN93">
        <v>0</v>
      </c>
      <c r="HO93">
        <v>0</v>
      </c>
      <c r="HP93">
        <v>0</v>
      </c>
      <c r="HQ93">
        <v>0</v>
      </c>
      <c r="HR93">
        <v>0</v>
      </c>
      <c r="HS93">
        <v>0</v>
      </c>
      <c r="HT93">
        <v>0</v>
      </c>
      <c r="HU93">
        <f t="shared" si="63"/>
        <v>0</v>
      </c>
      <c r="HV93">
        <v>0</v>
      </c>
      <c r="HW93">
        <v>0</v>
      </c>
      <c r="HX93">
        <v>0</v>
      </c>
      <c r="HY93">
        <v>0</v>
      </c>
      <c r="HZ93">
        <v>0</v>
      </c>
      <c r="IA93">
        <v>0</v>
      </c>
      <c r="IB93">
        <v>0</v>
      </c>
      <c r="IC93">
        <v>0</v>
      </c>
      <c r="ID93">
        <v>0</v>
      </c>
      <c r="IE93">
        <v>0</v>
      </c>
      <c r="IF93">
        <v>0</v>
      </c>
      <c r="IG93">
        <v>0</v>
      </c>
      <c r="IH93">
        <f t="shared" si="64"/>
        <v>0</v>
      </c>
      <c r="II93">
        <f t="shared" si="65"/>
        <v>14715</v>
      </c>
      <c r="IJ93">
        <f t="shared" si="66"/>
        <v>0</v>
      </c>
      <c r="IK93">
        <v>19186</v>
      </c>
      <c r="IL93">
        <v>19340</v>
      </c>
      <c r="IM93">
        <v>18886</v>
      </c>
      <c r="IN93">
        <v>21729</v>
      </c>
      <c r="IO93">
        <v>23169</v>
      </c>
      <c r="IP93">
        <v>20656</v>
      </c>
      <c r="IQ93">
        <v>21730</v>
      </c>
      <c r="IR93">
        <v>18955</v>
      </c>
      <c r="IS93">
        <v>16208</v>
      </c>
      <c r="IT93">
        <v>19820</v>
      </c>
      <c r="IU93">
        <v>18455</v>
      </c>
      <c r="IV93">
        <v>19216</v>
      </c>
      <c r="IW93">
        <f t="shared" si="67"/>
        <v>237350</v>
      </c>
      <c r="IX93">
        <v>6500</v>
      </c>
      <c r="IY93">
        <v>6304</v>
      </c>
      <c r="IZ93">
        <v>5963</v>
      </c>
      <c r="JA93">
        <v>7845</v>
      </c>
      <c r="JB93">
        <v>9528</v>
      </c>
      <c r="JC93">
        <v>7334</v>
      </c>
      <c r="JD93">
        <v>7747</v>
      </c>
      <c r="JE93">
        <v>6517</v>
      </c>
      <c r="JF93">
        <v>4717</v>
      </c>
      <c r="JG93">
        <v>7002</v>
      </c>
      <c r="JH93">
        <v>6695</v>
      </c>
      <c r="JI93">
        <v>6176</v>
      </c>
      <c r="JJ93">
        <f t="shared" si="68"/>
        <v>82328</v>
      </c>
      <c r="JK93">
        <v>332</v>
      </c>
      <c r="JL93">
        <v>318</v>
      </c>
      <c r="JM93">
        <v>350</v>
      </c>
      <c r="JN93">
        <v>386</v>
      </c>
      <c r="JO93">
        <v>398</v>
      </c>
      <c r="JP93">
        <v>304</v>
      </c>
      <c r="JQ93">
        <v>367</v>
      </c>
      <c r="JR93">
        <v>281</v>
      </c>
      <c r="JS93">
        <v>229</v>
      </c>
      <c r="JT93">
        <v>260</v>
      </c>
      <c r="JU93">
        <v>229</v>
      </c>
      <c r="JV93">
        <v>249</v>
      </c>
      <c r="JW93">
        <f t="shared" si="69"/>
        <v>3703</v>
      </c>
      <c r="JX93">
        <v>12354</v>
      </c>
      <c r="JY93">
        <v>12718</v>
      </c>
      <c r="JZ93">
        <v>12573</v>
      </c>
      <c r="KA93">
        <v>13498</v>
      </c>
      <c r="KB93">
        <v>13243</v>
      </c>
      <c r="KC93">
        <v>13018</v>
      </c>
      <c r="KD93">
        <v>13616</v>
      </c>
      <c r="KE93">
        <v>12157</v>
      </c>
      <c r="KF93">
        <v>11262</v>
      </c>
      <c r="KG93">
        <v>12558</v>
      </c>
      <c r="KH93">
        <v>11531</v>
      </c>
      <c r="KI93">
        <v>12791</v>
      </c>
      <c r="KJ93">
        <f t="shared" si="70"/>
        <v>151319</v>
      </c>
      <c r="KK93">
        <v>397</v>
      </c>
      <c r="KL93">
        <v>412</v>
      </c>
      <c r="KM93">
        <v>406</v>
      </c>
      <c r="KN93">
        <v>424</v>
      </c>
      <c r="KO93">
        <v>362</v>
      </c>
      <c r="KP93">
        <v>460</v>
      </c>
      <c r="KQ93">
        <v>370</v>
      </c>
      <c r="KR93">
        <v>357</v>
      </c>
      <c r="KS93">
        <v>389</v>
      </c>
      <c r="KT93">
        <v>425</v>
      </c>
      <c r="KU93">
        <v>338</v>
      </c>
      <c r="KV93">
        <v>410</v>
      </c>
      <c r="KW93">
        <f t="shared" si="71"/>
        <v>4750</v>
      </c>
      <c r="KX93">
        <v>45</v>
      </c>
      <c r="KY93">
        <v>37</v>
      </c>
      <c r="KZ93">
        <v>27</v>
      </c>
      <c r="LA93">
        <v>57</v>
      </c>
      <c r="LB93">
        <v>37</v>
      </c>
      <c r="LC93">
        <v>23</v>
      </c>
      <c r="LD93">
        <v>26</v>
      </c>
      <c r="LE93">
        <v>39</v>
      </c>
      <c r="LF93">
        <v>21</v>
      </c>
      <c r="LG93">
        <v>40</v>
      </c>
      <c r="LH93">
        <v>30</v>
      </c>
      <c r="LI93">
        <v>33</v>
      </c>
      <c r="LJ93">
        <f t="shared" si="72"/>
        <v>415</v>
      </c>
      <c r="LK93">
        <v>0</v>
      </c>
      <c r="LL93">
        <v>0</v>
      </c>
      <c r="LM93">
        <v>0</v>
      </c>
      <c r="LN93">
        <v>0</v>
      </c>
      <c r="LO93">
        <v>0</v>
      </c>
      <c r="LP93">
        <v>0</v>
      </c>
      <c r="LQ93">
        <v>0</v>
      </c>
      <c r="LR93">
        <v>0</v>
      </c>
      <c r="LS93">
        <v>0</v>
      </c>
      <c r="LT93">
        <v>0</v>
      </c>
      <c r="LU93">
        <v>0</v>
      </c>
      <c r="LV93">
        <v>0</v>
      </c>
      <c r="LW93">
        <f t="shared" si="73"/>
        <v>0</v>
      </c>
      <c r="LX93">
        <v>352</v>
      </c>
      <c r="LY93">
        <v>375</v>
      </c>
      <c r="LZ93">
        <v>379</v>
      </c>
      <c r="MA93">
        <v>367</v>
      </c>
      <c r="MB93">
        <v>325</v>
      </c>
      <c r="MC93">
        <v>437</v>
      </c>
      <c r="MD93">
        <v>344</v>
      </c>
      <c r="ME93">
        <v>318</v>
      </c>
      <c r="MF93">
        <v>368</v>
      </c>
      <c r="MG93">
        <v>385</v>
      </c>
      <c r="MH93">
        <v>308</v>
      </c>
      <c r="MI93">
        <v>377</v>
      </c>
      <c r="MJ93">
        <f t="shared" si="74"/>
        <v>4335</v>
      </c>
      <c r="MK93">
        <v>2177</v>
      </c>
      <c r="ML93">
        <v>2207</v>
      </c>
      <c r="MM93">
        <v>2108</v>
      </c>
      <c r="MN93">
        <v>2185</v>
      </c>
      <c r="MO93">
        <v>2459</v>
      </c>
      <c r="MP93">
        <v>2277</v>
      </c>
      <c r="MQ93">
        <v>2439</v>
      </c>
      <c r="MR93">
        <v>2257</v>
      </c>
      <c r="MS93">
        <v>2135</v>
      </c>
      <c r="MT93">
        <v>2169</v>
      </c>
      <c r="MU93">
        <v>1991</v>
      </c>
      <c r="MV93">
        <v>2142</v>
      </c>
      <c r="MW93">
        <f t="shared" si="75"/>
        <v>26546</v>
      </c>
      <c r="MX93">
        <v>104</v>
      </c>
      <c r="MY93">
        <v>124</v>
      </c>
      <c r="MZ93">
        <v>97</v>
      </c>
      <c r="NA93">
        <v>150</v>
      </c>
      <c r="NB93">
        <v>184</v>
      </c>
      <c r="NC93">
        <v>179</v>
      </c>
      <c r="ND93">
        <v>174</v>
      </c>
      <c r="NE93">
        <v>153</v>
      </c>
      <c r="NF93">
        <v>190</v>
      </c>
      <c r="NG93">
        <v>158</v>
      </c>
      <c r="NH93">
        <v>118</v>
      </c>
      <c r="NI93">
        <v>143</v>
      </c>
      <c r="NJ93">
        <f t="shared" si="76"/>
        <v>1774</v>
      </c>
      <c r="NK93">
        <v>83</v>
      </c>
      <c r="NL93">
        <v>85</v>
      </c>
      <c r="NM93">
        <v>88</v>
      </c>
      <c r="NN93">
        <v>59</v>
      </c>
      <c r="NO93">
        <v>87</v>
      </c>
      <c r="NP93">
        <v>80</v>
      </c>
      <c r="NQ93">
        <v>103</v>
      </c>
      <c r="NR93">
        <v>103</v>
      </c>
      <c r="NS93">
        <v>78</v>
      </c>
      <c r="NT93">
        <v>83</v>
      </c>
      <c r="NU93">
        <v>89</v>
      </c>
      <c r="NV93">
        <v>90</v>
      </c>
      <c r="NW93">
        <f t="shared" si="77"/>
        <v>1028</v>
      </c>
      <c r="NX93">
        <v>1990</v>
      </c>
      <c r="NY93">
        <v>1998</v>
      </c>
      <c r="NZ93">
        <v>1923</v>
      </c>
      <c r="OA93">
        <v>1976</v>
      </c>
      <c r="OB93">
        <v>2188</v>
      </c>
      <c r="OC93">
        <v>2018</v>
      </c>
      <c r="OD93">
        <v>2162</v>
      </c>
      <c r="OE93">
        <v>2001</v>
      </c>
      <c r="OF93">
        <v>1867</v>
      </c>
      <c r="OG93">
        <v>1928</v>
      </c>
      <c r="OH93">
        <v>1784</v>
      </c>
      <c r="OI93">
        <v>1909</v>
      </c>
      <c r="OJ93">
        <f t="shared" si="78"/>
        <v>23744</v>
      </c>
      <c r="OK93">
        <v>2794</v>
      </c>
      <c r="OL93">
        <v>2885</v>
      </c>
      <c r="OM93">
        <v>2720</v>
      </c>
      <c r="ON93">
        <v>2849</v>
      </c>
      <c r="OO93">
        <v>2940</v>
      </c>
      <c r="OP93">
        <v>2881</v>
      </c>
      <c r="OQ93">
        <v>3112</v>
      </c>
      <c r="OR93">
        <v>2774</v>
      </c>
      <c r="OS93">
        <v>2662</v>
      </c>
      <c r="OT93">
        <v>2957</v>
      </c>
      <c r="OU93">
        <v>2717</v>
      </c>
      <c r="OV93">
        <v>3122</v>
      </c>
      <c r="OW93">
        <f t="shared" si="79"/>
        <v>34413</v>
      </c>
      <c r="OX93">
        <v>284</v>
      </c>
      <c r="OY93">
        <v>291</v>
      </c>
      <c r="OZ93">
        <v>267</v>
      </c>
      <c r="PA93">
        <v>339</v>
      </c>
      <c r="PB93">
        <v>362</v>
      </c>
      <c r="PC93">
        <v>294</v>
      </c>
      <c r="PD93">
        <v>329</v>
      </c>
      <c r="PE93">
        <v>312</v>
      </c>
      <c r="PF93">
        <v>317</v>
      </c>
      <c r="PG93">
        <v>294</v>
      </c>
      <c r="PH93">
        <v>328</v>
      </c>
      <c r="PI93">
        <v>300</v>
      </c>
      <c r="PJ93">
        <f t="shared" si="80"/>
        <v>3717</v>
      </c>
      <c r="PK93">
        <v>133</v>
      </c>
      <c r="PL93">
        <v>118</v>
      </c>
      <c r="PM93">
        <v>110</v>
      </c>
      <c r="PN93">
        <v>119</v>
      </c>
      <c r="PO93">
        <v>119</v>
      </c>
      <c r="PP93">
        <v>116</v>
      </c>
      <c r="PQ93">
        <v>109</v>
      </c>
      <c r="PR93">
        <v>101</v>
      </c>
      <c r="PS93">
        <v>78</v>
      </c>
      <c r="PT93">
        <v>94</v>
      </c>
      <c r="PU93">
        <v>97</v>
      </c>
      <c r="PV93">
        <v>87</v>
      </c>
      <c r="PW93">
        <f t="shared" si="81"/>
        <v>1281</v>
      </c>
      <c r="PX93">
        <v>2377</v>
      </c>
      <c r="PY93">
        <v>2476</v>
      </c>
      <c r="PZ93">
        <v>2343</v>
      </c>
      <c r="QA93">
        <v>2391</v>
      </c>
      <c r="QB93">
        <v>2459</v>
      </c>
      <c r="QC93">
        <v>2471</v>
      </c>
      <c r="QD93">
        <v>2674</v>
      </c>
      <c r="QE93">
        <v>2361</v>
      </c>
      <c r="QF93">
        <v>2267</v>
      </c>
      <c r="QG93">
        <v>2569</v>
      </c>
      <c r="QH93">
        <v>2292</v>
      </c>
      <c r="QI93">
        <v>2735</v>
      </c>
      <c r="QJ93">
        <f t="shared" si="82"/>
        <v>29415</v>
      </c>
      <c r="QK93">
        <v>135874</v>
      </c>
      <c r="QL93">
        <v>140502</v>
      </c>
      <c r="QM93">
        <v>128248</v>
      </c>
      <c r="QN93">
        <v>145700</v>
      </c>
      <c r="QO93">
        <v>148966</v>
      </c>
      <c r="QP93">
        <v>145646</v>
      </c>
      <c r="QQ93">
        <v>157210</v>
      </c>
      <c r="QR93">
        <v>143349</v>
      </c>
      <c r="QS93">
        <v>117482</v>
      </c>
      <c r="QT93">
        <v>142299</v>
      </c>
      <c r="QU93">
        <v>143751</v>
      </c>
      <c r="QV93">
        <v>151866</v>
      </c>
      <c r="QW93">
        <f t="shared" si="83"/>
        <v>1700893</v>
      </c>
      <c r="QX93">
        <v>35660</v>
      </c>
      <c r="QY93">
        <v>35993</v>
      </c>
      <c r="QZ93">
        <v>37987</v>
      </c>
      <c r="RA93">
        <v>48792</v>
      </c>
      <c r="RB93">
        <v>42051</v>
      </c>
      <c r="RC93">
        <v>48743</v>
      </c>
      <c r="RD93">
        <v>47944</v>
      </c>
      <c r="RE93">
        <v>44075</v>
      </c>
      <c r="RF93">
        <v>37196</v>
      </c>
      <c r="RG93">
        <v>46026</v>
      </c>
      <c r="RH93">
        <v>44928</v>
      </c>
      <c r="RI93">
        <v>48268</v>
      </c>
      <c r="RJ93">
        <f t="shared" si="84"/>
        <v>517663</v>
      </c>
      <c r="RK93">
        <v>0</v>
      </c>
      <c r="RL93">
        <v>0</v>
      </c>
      <c r="RM93">
        <v>0</v>
      </c>
      <c r="RN93">
        <v>0</v>
      </c>
      <c r="RO93">
        <v>0</v>
      </c>
      <c r="RP93">
        <v>0</v>
      </c>
      <c r="RQ93">
        <v>0</v>
      </c>
      <c r="RR93">
        <v>0</v>
      </c>
      <c r="RS93">
        <v>0</v>
      </c>
      <c r="RT93">
        <v>0</v>
      </c>
      <c r="RU93">
        <v>0</v>
      </c>
      <c r="RV93">
        <v>0</v>
      </c>
      <c r="RW93">
        <f t="shared" si="85"/>
        <v>0</v>
      </c>
      <c r="RX93">
        <v>0</v>
      </c>
      <c r="RY93">
        <v>0</v>
      </c>
      <c r="RZ93">
        <v>0</v>
      </c>
      <c r="SA93">
        <v>0</v>
      </c>
      <c r="SB93">
        <v>0</v>
      </c>
      <c r="SC93">
        <v>0</v>
      </c>
      <c r="SD93">
        <v>0</v>
      </c>
      <c r="SE93">
        <v>0</v>
      </c>
      <c r="SF93">
        <v>0</v>
      </c>
      <c r="SG93">
        <v>0</v>
      </c>
      <c r="SH93">
        <v>0</v>
      </c>
      <c r="SI93">
        <v>0</v>
      </c>
      <c r="SJ93">
        <f t="shared" si="86"/>
        <v>0</v>
      </c>
      <c r="SK93">
        <v>0</v>
      </c>
      <c r="SL93">
        <v>0</v>
      </c>
      <c r="SM93">
        <v>0</v>
      </c>
      <c r="SN93">
        <v>0</v>
      </c>
      <c r="SO93">
        <v>0</v>
      </c>
      <c r="SP93">
        <v>0</v>
      </c>
      <c r="SQ93">
        <v>0</v>
      </c>
      <c r="SR93">
        <v>0</v>
      </c>
      <c r="SS93">
        <v>0</v>
      </c>
      <c r="ST93">
        <v>0</v>
      </c>
      <c r="SU93">
        <v>0</v>
      </c>
      <c r="SV93">
        <v>0</v>
      </c>
      <c r="SW93">
        <f t="shared" si="87"/>
        <v>0</v>
      </c>
      <c r="SX93" t="s">
        <v>1479</v>
      </c>
      <c r="SY93" s="4">
        <v>1615</v>
      </c>
      <c r="SZ93" s="4">
        <v>1635</v>
      </c>
      <c r="TA93" s="4">
        <v>1699</v>
      </c>
      <c r="TB93" s="4">
        <v>1795</v>
      </c>
      <c r="TC93" s="4">
        <v>2297</v>
      </c>
      <c r="TD93" s="4">
        <v>1668</v>
      </c>
      <c r="TE93" s="4">
        <v>1876</v>
      </c>
      <c r="TF93" s="4">
        <v>1577</v>
      </c>
      <c r="TG93" s="4">
        <v>1414</v>
      </c>
      <c r="TH93" s="4">
        <v>1721</v>
      </c>
      <c r="TI93" s="4">
        <v>1607</v>
      </c>
      <c r="TJ93" s="4">
        <v>1680</v>
      </c>
      <c r="TK93" s="4">
        <f>ROUND(SUM(SY93:TJ93),0)</f>
        <v>20584</v>
      </c>
      <c r="TL93" s="4">
        <v>2328</v>
      </c>
      <c r="TM93" s="4">
        <v>2176</v>
      </c>
      <c r="TN93" s="4">
        <v>2135</v>
      </c>
      <c r="TO93" s="4">
        <v>2089</v>
      </c>
      <c r="TP93" s="4">
        <v>1860</v>
      </c>
      <c r="TQ93" s="4">
        <v>1657</v>
      </c>
      <c r="TR93" s="4">
        <v>0</v>
      </c>
      <c r="TS93" s="4">
        <v>1673</v>
      </c>
      <c r="TT93" s="4">
        <v>1872</v>
      </c>
      <c r="TU93" s="4">
        <v>2192</v>
      </c>
      <c r="TV93" s="4">
        <v>2324</v>
      </c>
      <c r="TW93" s="4">
        <v>2601</v>
      </c>
      <c r="TX93" s="4">
        <f t="shared" si="89"/>
        <v>22907</v>
      </c>
      <c r="TY93">
        <v>24</v>
      </c>
      <c r="TZ93" s="4">
        <v>0</v>
      </c>
      <c r="UA93" s="4">
        <v>0</v>
      </c>
      <c r="UB93" s="4">
        <v>0</v>
      </c>
    </row>
    <row r="94" spans="1:548" ht="16.5" customHeight="1" x14ac:dyDescent="0.35">
      <c r="A94" t="s">
        <v>1490</v>
      </c>
      <c r="B94" t="s">
        <v>2865</v>
      </c>
      <c r="C94">
        <v>29067</v>
      </c>
      <c r="D94">
        <v>6282</v>
      </c>
      <c r="E94">
        <v>1833</v>
      </c>
      <c r="F94">
        <v>20952</v>
      </c>
      <c r="G94">
        <v>840</v>
      </c>
      <c r="H94">
        <v>823</v>
      </c>
      <c r="I94">
        <v>912</v>
      </c>
      <c r="J94">
        <v>911</v>
      </c>
      <c r="K94">
        <v>800</v>
      </c>
      <c r="L94">
        <v>883</v>
      </c>
      <c r="M94">
        <v>1028</v>
      </c>
      <c r="N94">
        <v>777</v>
      </c>
      <c r="O94">
        <v>589</v>
      </c>
      <c r="P94">
        <v>756</v>
      </c>
      <c r="Q94">
        <v>811</v>
      </c>
      <c r="R94">
        <v>818</v>
      </c>
      <c r="S94">
        <f t="shared" si="45"/>
        <v>9948</v>
      </c>
      <c r="T94">
        <v>317</v>
      </c>
      <c r="U94">
        <v>313</v>
      </c>
      <c r="V94">
        <v>315</v>
      </c>
      <c r="W94">
        <v>383</v>
      </c>
      <c r="X94">
        <v>340</v>
      </c>
      <c r="Y94">
        <v>309</v>
      </c>
      <c r="Z94">
        <v>427</v>
      </c>
      <c r="AA94">
        <v>297</v>
      </c>
      <c r="AB94">
        <v>232</v>
      </c>
      <c r="AC94">
        <v>289</v>
      </c>
      <c r="AD94">
        <v>330</v>
      </c>
      <c r="AE94">
        <v>317</v>
      </c>
      <c r="AF94">
        <f t="shared" si="46"/>
        <v>3869</v>
      </c>
      <c r="AG94">
        <v>3</v>
      </c>
      <c r="AH94">
        <v>4</v>
      </c>
      <c r="AI94">
        <v>4</v>
      </c>
      <c r="AJ94">
        <v>1</v>
      </c>
      <c r="AK94">
        <v>5</v>
      </c>
      <c r="AL94">
        <v>4</v>
      </c>
      <c r="AM94">
        <v>5</v>
      </c>
      <c r="AN94">
        <v>3</v>
      </c>
      <c r="AO94">
        <v>2</v>
      </c>
      <c r="AP94">
        <v>4</v>
      </c>
      <c r="AQ94">
        <v>5</v>
      </c>
      <c r="AR94">
        <v>4</v>
      </c>
      <c r="AS94">
        <f t="shared" si="47"/>
        <v>44</v>
      </c>
      <c r="AT94">
        <v>520</v>
      </c>
      <c r="AU94">
        <v>506</v>
      </c>
      <c r="AV94">
        <v>593</v>
      </c>
      <c r="AW94">
        <v>527</v>
      </c>
      <c r="AX94">
        <v>455</v>
      </c>
      <c r="AY94">
        <v>570</v>
      </c>
      <c r="AZ94">
        <v>596</v>
      </c>
      <c r="BA94">
        <v>477</v>
      </c>
      <c r="BB94">
        <v>355</v>
      </c>
      <c r="BC94">
        <v>463</v>
      </c>
      <c r="BD94">
        <v>476</v>
      </c>
      <c r="BE94">
        <v>497</v>
      </c>
      <c r="BF94">
        <f t="shared" si="48"/>
        <v>6035</v>
      </c>
      <c r="BG94">
        <v>0</v>
      </c>
      <c r="BH94">
        <v>0</v>
      </c>
      <c r="BI94">
        <v>0</v>
      </c>
      <c r="BJ94">
        <v>0</v>
      </c>
      <c r="BK94">
        <v>0</v>
      </c>
      <c r="BL94">
        <v>0</v>
      </c>
      <c r="BM94">
        <v>0</v>
      </c>
      <c r="BN94">
        <v>0</v>
      </c>
      <c r="BO94">
        <v>0</v>
      </c>
      <c r="BP94">
        <v>0</v>
      </c>
      <c r="BQ94">
        <v>0</v>
      </c>
      <c r="BR94">
        <v>0</v>
      </c>
      <c r="BS94">
        <f t="shared" si="49"/>
        <v>0</v>
      </c>
      <c r="BT94">
        <v>0</v>
      </c>
      <c r="BU94">
        <v>0</v>
      </c>
      <c r="BV94">
        <v>0</v>
      </c>
      <c r="BW94">
        <v>0</v>
      </c>
      <c r="BX94">
        <v>0</v>
      </c>
      <c r="BY94">
        <v>0</v>
      </c>
      <c r="BZ94">
        <v>0</v>
      </c>
      <c r="CA94">
        <v>0</v>
      </c>
      <c r="CB94">
        <v>0</v>
      </c>
      <c r="CC94">
        <v>0</v>
      </c>
      <c r="CD94">
        <v>0</v>
      </c>
      <c r="CE94">
        <v>0</v>
      </c>
      <c r="CF94">
        <f t="shared" si="50"/>
        <v>0</v>
      </c>
      <c r="CG94">
        <v>0</v>
      </c>
      <c r="CH94">
        <v>0</v>
      </c>
      <c r="CI94">
        <v>0</v>
      </c>
      <c r="CJ94">
        <v>0</v>
      </c>
      <c r="CK94">
        <v>0</v>
      </c>
      <c r="CL94">
        <v>0</v>
      </c>
      <c r="CM94">
        <v>0</v>
      </c>
      <c r="CN94">
        <v>0</v>
      </c>
      <c r="CO94">
        <v>0</v>
      </c>
      <c r="CP94">
        <v>0</v>
      </c>
      <c r="CQ94">
        <v>0</v>
      </c>
      <c r="CR94">
        <v>0</v>
      </c>
      <c r="CS94">
        <f t="shared" si="51"/>
        <v>0</v>
      </c>
      <c r="CT94">
        <v>0</v>
      </c>
      <c r="CU94">
        <v>0</v>
      </c>
      <c r="CV94">
        <v>0</v>
      </c>
      <c r="CW94">
        <v>0</v>
      </c>
      <c r="CX94">
        <v>0</v>
      </c>
      <c r="CY94">
        <v>0</v>
      </c>
      <c r="CZ94">
        <v>0</v>
      </c>
      <c r="DA94">
        <v>0</v>
      </c>
      <c r="DB94">
        <v>0</v>
      </c>
      <c r="DC94">
        <v>0</v>
      </c>
      <c r="DD94">
        <v>0</v>
      </c>
      <c r="DE94">
        <v>0</v>
      </c>
      <c r="DF94">
        <f t="shared" si="52"/>
        <v>0</v>
      </c>
      <c r="DG94">
        <v>0</v>
      </c>
      <c r="DH94">
        <v>0</v>
      </c>
      <c r="DI94">
        <v>0</v>
      </c>
      <c r="DJ94">
        <v>0</v>
      </c>
      <c r="DK94">
        <v>0</v>
      </c>
      <c r="DL94">
        <v>0</v>
      </c>
      <c r="DM94">
        <v>0</v>
      </c>
      <c r="DN94">
        <v>0</v>
      </c>
      <c r="DO94">
        <v>0</v>
      </c>
      <c r="DP94">
        <v>0</v>
      </c>
      <c r="DQ94">
        <v>0</v>
      </c>
      <c r="DR94">
        <v>0</v>
      </c>
      <c r="DS94">
        <f t="shared" si="53"/>
        <v>0</v>
      </c>
      <c r="DT94">
        <v>0</v>
      </c>
      <c r="DU94">
        <v>0</v>
      </c>
      <c r="DV94">
        <v>0</v>
      </c>
      <c r="DW94">
        <v>0</v>
      </c>
      <c r="DX94">
        <v>0</v>
      </c>
      <c r="DY94">
        <v>0</v>
      </c>
      <c r="DZ94">
        <v>0</v>
      </c>
      <c r="EA94">
        <v>0</v>
      </c>
      <c r="EB94">
        <v>0</v>
      </c>
      <c r="EC94">
        <v>0</v>
      </c>
      <c r="ED94">
        <v>0</v>
      </c>
      <c r="EE94">
        <v>0</v>
      </c>
      <c r="EF94">
        <f t="shared" si="54"/>
        <v>0</v>
      </c>
      <c r="EG94">
        <f t="shared" si="55"/>
        <v>9948</v>
      </c>
      <c r="EH94">
        <f t="shared" si="56"/>
        <v>0</v>
      </c>
      <c r="EI94">
        <v>9432</v>
      </c>
      <c r="EJ94">
        <v>8422</v>
      </c>
      <c r="EK94">
        <v>9412</v>
      </c>
      <c r="EL94">
        <v>9770</v>
      </c>
      <c r="EM94">
        <v>11804</v>
      </c>
      <c r="EN94">
        <v>9095</v>
      </c>
      <c r="EO94">
        <v>12083</v>
      </c>
      <c r="EP94">
        <v>8564</v>
      </c>
      <c r="EQ94">
        <v>7203</v>
      </c>
      <c r="ER94">
        <v>7856</v>
      </c>
      <c r="ES94">
        <v>10290</v>
      </c>
      <c r="ET94">
        <v>9754</v>
      </c>
      <c r="EU94">
        <f t="shared" si="57"/>
        <v>113685</v>
      </c>
      <c r="EV94">
        <v>3053</v>
      </c>
      <c r="EW94">
        <v>2646</v>
      </c>
      <c r="EX94">
        <v>2445</v>
      </c>
      <c r="EY94">
        <v>3219</v>
      </c>
      <c r="EZ94">
        <v>4593</v>
      </c>
      <c r="FA94">
        <v>2766</v>
      </c>
      <c r="FB94">
        <v>4301</v>
      </c>
      <c r="FC94">
        <v>2555</v>
      </c>
      <c r="FD94">
        <v>2340</v>
      </c>
      <c r="FE94">
        <v>2217</v>
      </c>
      <c r="FF94">
        <v>3311</v>
      </c>
      <c r="FG94">
        <v>3008</v>
      </c>
      <c r="FH94">
        <f t="shared" si="58"/>
        <v>36454</v>
      </c>
      <c r="FI94">
        <v>11</v>
      </c>
      <c r="FJ94">
        <v>75</v>
      </c>
      <c r="FK94">
        <v>13</v>
      </c>
      <c r="FL94">
        <v>3</v>
      </c>
      <c r="FM94">
        <v>10</v>
      </c>
      <c r="FN94">
        <v>12</v>
      </c>
      <c r="FO94">
        <v>24</v>
      </c>
      <c r="FP94">
        <v>15</v>
      </c>
      <c r="FQ94">
        <v>6</v>
      </c>
      <c r="FR94">
        <v>21</v>
      </c>
      <c r="FS94">
        <v>18</v>
      </c>
      <c r="FT94">
        <v>17</v>
      </c>
      <c r="FU94">
        <f t="shared" si="59"/>
        <v>225</v>
      </c>
      <c r="FV94">
        <v>6370</v>
      </c>
      <c r="FW94">
        <v>5776</v>
      </c>
      <c r="FX94">
        <v>6967</v>
      </c>
      <c r="FY94">
        <v>6551</v>
      </c>
      <c r="FZ94">
        <v>7211</v>
      </c>
      <c r="GA94">
        <v>6329</v>
      </c>
      <c r="GB94">
        <v>7782</v>
      </c>
      <c r="GC94">
        <v>6009</v>
      </c>
      <c r="GD94">
        <v>4863</v>
      </c>
      <c r="GE94">
        <v>5639</v>
      </c>
      <c r="GF94">
        <v>6979</v>
      </c>
      <c r="GG94">
        <v>6746</v>
      </c>
      <c r="GH94">
        <f t="shared" si="60"/>
        <v>77222</v>
      </c>
      <c r="GI94">
        <v>0</v>
      </c>
      <c r="GJ94">
        <v>0</v>
      </c>
      <c r="GK94">
        <v>0</v>
      </c>
      <c r="GL94">
        <v>0</v>
      </c>
      <c r="GM94">
        <v>0</v>
      </c>
      <c r="GN94">
        <v>0</v>
      </c>
      <c r="GO94">
        <v>0</v>
      </c>
      <c r="GP94">
        <v>0</v>
      </c>
      <c r="GQ94">
        <v>0</v>
      </c>
      <c r="GR94">
        <v>0</v>
      </c>
      <c r="GS94">
        <v>0</v>
      </c>
      <c r="GT94">
        <v>0</v>
      </c>
      <c r="GU94">
        <f t="shared" si="61"/>
        <v>0</v>
      </c>
      <c r="GV94">
        <v>0</v>
      </c>
      <c r="GW94">
        <v>0</v>
      </c>
      <c r="GX94">
        <v>0</v>
      </c>
      <c r="GY94">
        <v>0</v>
      </c>
      <c r="GZ94">
        <v>0</v>
      </c>
      <c r="HA94">
        <v>0</v>
      </c>
      <c r="HB94">
        <v>0</v>
      </c>
      <c r="HC94">
        <v>0</v>
      </c>
      <c r="HD94">
        <v>0</v>
      </c>
      <c r="HE94">
        <v>0</v>
      </c>
      <c r="HF94">
        <v>0</v>
      </c>
      <c r="HG94">
        <v>0</v>
      </c>
      <c r="HH94">
        <f t="shared" si="62"/>
        <v>0</v>
      </c>
      <c r="HI94">
        <v>0</v>
      </c>
      <c r="HJ94">
        <v>0</v>
      </c>
      <c r="HK94">
        <v>0</v>
      </c>
      <c r="HL94">
        <v>0</v>
      </c>
      <c r="HM94">
        <v>0</v>
      </c>
      <c r="HN94">
        <v>0</v>
      </c>
      <c r="HO94">
        <v>0</v>
      </c>
      <c r="HP94">
        <v>0</v>
      </c>
      <c r="HQ94">
        <v>0</v>
      </c>
      <c r="HR94">
        <v>0</v>
      </c>
      <c r="HS94">
        <v>0</v>
      </c>
      <c r="HT94">
        <v>0</v>
      </c>
      <c r="HU94">
        <f t="shared" si="63"/>
        <v>0</v>
      </c>
      <c r="HV94">
        <v>0</v>
      </c>
      <c r="HW94">
        <v>0</v>
      </c>
      <c r="HX94">
        <v>0</v>
      </c>
      <c r="HY94">
        <v>0</v>
      </c>
      <c r="HZ94">
        <v>0</v>
      </c>
      <c r="IA94">
        <v>0</v>
      </c>
      <c r="IB94">
        <v>0</v>
      </c>
      <c r="IC94">
        <v>0</v>
      </c>
      <c r="ID94">
        <v>0</v>
      </c>
      <c r="IE94">
        <v>0</v>
      </c>
      <c r="IF94">
        <v>0</v>
      </c>
      <c r="IG94">
        <v>0</v>
      </c>
      <c r="IH94">
        <f t="shared" si="64"/>
        <v>0</v>
      </c>
      <c r="II94">
        <f t="shared" si="65"/>
        <v>113901</v>
      </c>
      <c r="IJ94">
        <f t="shared" si="66"/>
        <v>0</v>
      </c>
      <c r="IK94">
        <v>35925</v>
      </c>
      <c r="IL94">
        <v>37254</v>
      </c>
      <c r="IM94">
        <v>35091</v>
      </c>
      <c r="IN94">
        <v>44581</v>
      </c>
      <c r="IO94">
        <v>44778</v>
      </c>
      <c r="IP94">
        <v>38765</v>
      </c>
      <c r="IQ94">
        <v>39921</v>
      </c>
      <c r="IR94">
        <v>34940</v>
      </c>
      <c r="IS94">
        <v>26171</v>
      </c>
      <c r="IT94">
        <v>36893</v>
      </c>
      <c r="IU94">
        <v>36939</v>
      </c>
      <c r="IV94">
        <v>36317</v>
      </c>
      <c r="IW94">
        <f t="shared" si="67"/>
        <v>447575</v>
      </c>
      <c r="IX94">
        <v>15076</v>
      </c>
      <c r="IY94">
        <v>15046</v>
      </c>
      <c r="IZ94">
        <v>13527</v>
      </c>
      <c r="JA94">
        <v>20095</v>
      </c>
      <c r="JB94">
        <v>20765</v>
      </c>
      <c r="JC94">
        <v>15991</v>
      </c>
      <c r="JD94">
        <v>17394</v>
      </c>
      <c r="JE94">
        <v>14506</v>
      </c>
      <c r="JF94">
        <v>9641</v>
      </c>
      <c r="JG94">
        <v>14285</v>
      </c>
      <c r="JH94">
        <v>14876</v>
      </c>
      <c r="JI94">
        <v>15830</v>
      </c>
      <c r="JJ94">
        <f t="shared" si="68"/>
        <v>187032</v>
      </c>
      <c r="JK94">
        <v>645</v>
      </c>
      <c r="JL94">
        <v>630</v>
      </c>
      <c r="JM94">
        <v>631</v>
      </c>
      <c r="JN94">
        <v>799</v>
      </c>
      <c r="JO94">
        <v>797</v>
      </c>
      <c r="JP94">
        <v>645</v>
      </c>
      <c r="JQ94">
        <v>706</v>
      </c>
      <c r="JR94">
        <v>498</v>
      </c>
      <c r="JS94">
        <v>379</v>
      </c>
      <c r="JT94">
        <v>602</v>
      </c>
      <c r="JU94">
        <v>605</v>
      </c>
      <c r="JV94">
        <v>647</v>
      </c>
      <c r="JW94">
        <f t="shared" si="69"/>
        <v>7584</v>
      </c>
      <c r="JX94">
        <v>20204</v>
      </c>
      <c r="JY94">
        <v>21578</v>
      </c>
      <c r="JZ94">
        <v>20933</v>
      </c>
      <c r="KA94">
        <v>23687</v>
      </c>
      <c r="KB94">
        <v>23216</v>
      </c>
      <c r="KC94">
        <v>22129</v>
      </c>
      <c r="KD94">
        <v>21821</v>
      </c>
      <c r="KE94">
        <v>19936</v>
      </c>
      <c r="KF94">
        <v>16151</v>
      </c>
      <c r="KG94">
        <v>22006</v>
      </c>
      <c r="KH94">
        <v>21458</v>
      </c>
      <c r="KI94">
        <v>19840</v>
      </c>
      <c r="KJ94">
        <f t="shared" si="70"/>
        <v>252959</v>
      </c>
      <c r="KK94">
        <v>712</v>
      </c>
      <c r="KL94">
        <v>904</v>
      </c>
      <c r="KM94">
        <v>672</v>
      </c>
      <c r="KN94">
        <v>759</v>
      </c>
      <c r="KO94">
        <v>744</v>
      </c>
      <c r="KP94">
        <v>735</v>
      </c>
      <c r="KQ94">
        <v>777</v>
      </c>
      <c r="KR94">
        <v>637</v>
      </c>
      <c r="KS94">
        <v>539</v>
      </c>
      <c r="KT94">
        <v>757</v>
      </c>
      <c r="KU94">
        <v>749</v>
      </c>
      <c r="KV94">
        <v>794</v>
      </c>
      <c r="KW94">
        <f t="shared" si="71"/>
        <v>8779</v>
      </c>
      <c r="KX94">
        <v>51</v>
      </c>
      <c r="KY94">
        <v>61</v>
      </c>
      <c r="KZ94">
        <v>44</v>
      </c>
      <c r="LA94">
        <v>57</v>
      </c>
      <c r="LB94">
        <v>73</v>
      </c>
      <c r="LC94">
        <v>48</v>
      </c>
      <c r="LD94">
        <v>74</v>
      </c>
      <c r="LE94">
        <v>39</v>
      </c>
      <c r="LF94">
        <v>44</v>
      </c>
      <c r="LG94">
        <v>47</v>
      </c>
      <c r="LH94">
        <v>92</v>
      </c>
      <c r="LI94">
        <v>79</v>
      </c>
      <c r="LJ94">
        <f t="shared" si="72"/>
        <v>709</v>
      </c>
      <c r="LK94">
        <v>5</v>
      </c>
      <c r="LL94">
        <v>15</v>
      </c>
      <c r="LM94">
        <v>3</v>
      </c>
      <c r="LN94">
        <v>0</v>
      </c>
      <c r="LO94">
        <v>1</v>
      </c>
      <c r="LP94">
        <v>2</v>
      </c>
      <c r="LQ94">
        <v>4</v>
      </c>
      <c r="LR94">
        <v>2</v>
      </c>
      <c r="LS94">
        <v>3</v>
      </c>
      <c r="LT94">
        <v>5</v>
      </c>
      <c r="LU94">
        <v>5</v>
      </c>
      <c r="LV94">
        <v>4</v>
      </c>
      <c r="LW94">
        <f t="shared" si="73"/>
        <v>49</v>
      </c>
      <c r="LX94">
        <v>656</v>
      </c>
      <c r="LY94">
        <v>828</v>
      </c>
      <c r="LZ94">
        <v>625</v>
      </c>
      <c r="MA94">
        <v>702</v>
      </c>
      <c r="MB94">
        <v>670</v>
      </c>
      <c r="MC94">
        <v>685</v>
      </c>
      <c r="MD94">
        <v>699</v>
      </c>
      <c r="ME94">
        <v>596</v>
      </c>
      <c r="MF94">
        <v>492</v>
      </c>
      <c r="MG94">
        <v>705</v>
      </c>
      <c r="MH94">
        <v>652</v>
      </c>
      <c r="MI94">
        <v>711</v>
      </c>
      <c r="MJ94">
        <f t="shared" si="74"/>
        <v>8021</v>
      </c>
      <c r="MK94">
        <v>1119</v>
      </c>
      <c r="ML94">
        <v>1097</v>
      </c>
      <c r="MM94">
        <v>1056</v>
      </c>
      <c r="MN94">
        <v>1238</v>
      </c>
      <c r="MO94">
        <v>1274</v>
      </c>
      <c r="MP94">
        <v>1167</v>
      </c>
      <c r="MQ94">
        <v>1204</v>
      </c>
      <c r="MR94">
        <v>1058</v>
      </c>
      <c r="MS94">
        <v>1109</v>
      </c>
      <c r="MT94">
        <v>1272</v>
      </c>
      <c r="MU94">
        <v>1070</v>
      </c>
      <c r="MV94">
        <v>1214</v>
      </c>
      <c r="MW94">
        <f t="shared" si="75"/>
        <v>13878</v>
      </c>
      <c r="MX94">
        <v>68</v>
      </c>
      <c r="MY94">
        <v>56</v>
      </c>
      <c r="MZ94">
        <v>75</v>
      </c>
      <c r="NA94">
        <v>71</v>
      </c>
      <c r="NB94">
        <v>75</v>
      </c>
      <c r="NC94">
        <v>41</v>
      </c>
      <c r="ND94">
        <v>69</v>
      </c>
      <c r="NE94">
        <v>52</v>
      </c>
      <c r="NF94">
        <v>70</v>
      </c>
      <c r="NG94">
        <v>72</v>
      </c>
      <c r="NH94">
        <v>66</v>
      </c>
      <c r="NI94">
        <v>72</v>
      </c>
      <c r="NJ94">
        <f t="shared" si="76"/>
        <v>787</v>
      </c>
      <c r="NK94">
        <v>60</v>
      </c>
      <c r="NL94">
        <v>51</v>
      </c>
      <c r="NM94">
        <v>54</v>
      </c>
      <c r="NN94">
        <v>67</v>
      </c>
      <c r="NO94">
        <v>45</v>
      </c>
      <c r="NP94">
        <v>47</v>
      </c>
      <c r="NQ94">
        <v>48</v>
      </c>
      <c r="NR94">
        <v>48</v>
      </c>
      <c r="NS94">
        <v>45</v>
      </c>
      <c r="NT94">
        <v>57</v>
      </c>
      <c r="NU94">
        <v>60</v>
      </c>
      <c r="NV94">
        <v>56</v>
      </c>
      <c r="NW94">
        <f t="shared" si="77"/>
        <v>638</v>
      </c>
      <c r="NX94">
        <v>991</v>
      </c>
      <c r="NY94">
        <v>990</v>
      </c>
      <c r="NZ94">
        <v>927</v>
      </c>
      <c r="OA94">
        <v>1100</v>
      </c>
      <c r="OB94">
        <v>1154</v>
      </c>
      <c r="OC94">
        <v>1079</v>
      </c>
      <c r="OD94">
        <v>1087</v>
      </c>
      <c r="OE94">
        <v>958</v>
      </c>
      <c r="OF94">
        <v>994</v>
      </c>
      <c r="OG94">
        <v>1143</v>
      </c>
      <c r="OH94">
        <v>944</v>
      </c>
      <c r="OI94">
        <v>1086</v>
      </c>
      <c r="OJ94">
        <f t="shared" si="78"/>
        <v>12453</v>
      </c>
      <c r="OK94">
        <v>2717</v>
      </c>
      <c r="OL94">
        <v>2739</v>
      </c>
      <c r="OM94">
        <v>2405</v>
      </c>
      <c r="ON94">
        <v>2642</v>
      </c>
      <c r="OO94">
        <v>2773</v>
      </c>
      <c r="OP94">
        <v>2799</v>
      </c>
      <c r="OQ94">
        <v>2874</v>
      </c>
      <c r="OR94">
        <v>2658</v>
      </c>
      <c r="OS94">
        <v>2549</v>
      </c>
      <c r="OT94">
        <v>2964</v>
      </c>
      <c r="OU94">
        <v>2776</v>
      </c>
      <c r="OV94">
        <v>3062</v>
      </c>
      <c r="OW94">
        <f t="shared" si="79"/>
        <v>32958</v>
      </c>
      <c r="OX94">
        <v>206</v>
      </c>
      <c r="OY94">
        <v>222</v>
      </c>
      <c r="OZ94">
        <v>161</v>
      </c>
      <c r="PA94">
        <v>217</v>
      </c>
      <c r="PB94">
        <v>246</v>
      </c>
      <c r="PC94">
        <v>198</v>
      </c>
      <c r="PD94">
        <v>246</v>
      </c>
      <c r="PE94">
        <v>242</v>
      </c>
      <c r="PF94">
        <v>242</v>
      </c>
      <c r="PG94">
        <v>215</v>
      </c>
      <c r="PH94">
        <v>243</v>
      </c>
      <c r="PI94">
        <v>249</v>
      </c>
      <c r="PJ94">
        <f t="shared" si="80"/>
        <v>2687</v>
      </c>
      <c r="PK94">
        <v>102</v>
      </c>
      <c r="PL94">
        <v>101</v>
      </c>
      <c r="PM94">
        <v>96</v>
      </c>
      <c r="PN94">
        <v>94</v>
      </c>
      <c r="PO94">
        <v>93</v>
      </c>
      <c r="PP94">
        <v>95</v>
      </c>
      <c r="PQ94">
        <v>97</v>
      </c>
      <c r="PR94">
        <v>85</v>
      </c>
      <c r="PS94">
        <v>84</v>
      </c>
      <c r="PT94">
        <v>83</v>
      </c>
      <c r="PU94">
        <v>108</v>
      </c>
      <c r="PV94">
        <v>98</v>
      </c>
      <c r="PW94">
        <f t="shared" si="81"/>
        <v>1136</v>
      </c>
      <c r="PX94">
        <v>2409</v>
      </c>
      <c r="PY94">
        <v>2416</v>
      </c>
      <c r="PZ94">
        <v>2148</v>
      </c>
      <c r="QA94">
        <v>2331</v>
      </c>
      <c r="QB94">
        <v>2434</v>
      </c>
      <c r="QC94">
        <v>2506</v>
      </c>
      <c r="QD94">
        <v>2531</v>
      </c>
      <c r="QE94">
        <v>2331</v>
      </c>
      <c r="QF94">
        <v>2223</v>
      </c>
      <c r="QG94">
        <v>2666</v>
      </c>
      <c r="QH94">
        <v>2425</v>
      </c>
      <c r="QI94">
        <v>2715</v>
      </c>
      <c r="QJ94">
        <f t="shared" si="82"/>
        <v>29135</v>
      </c>
      <c r="QK94">
        <v>66257</v>
      </c>
      <c r="QL94">
        <v>65474</v>
      </c>
      <c r="QM94">
        <v>62556</v>
      </c>
      <c r="QN94">
        <v>72461</v>
      </c>
      <c r="QO94">
        <v>70387</v>
      </c>
      <c r="QP94">
        <v>68116</v>
      </c>
      <c r="QQ94">
        <v>71358</v>
      </c>
      <c r="QR94">
        <v>67092</v>
      </c>
      <c r="QS94">
        <v>53697</v>
      </c>
      <c r="QT94">
        <v>63832</v>
      </c>
      <c r="QU94">
        <v>68665</v>
      </c>
      <c r="QV94">
        <v>71956</v>
      </c>
      <c r="QW94">
        <f t="shared" si="83"/>
        <v>801851</v>
      </c>
      <c r="QX94">
        <v>0</v>
      </c>
      <c r="QY94">
        <v>0</v>
      </c>
      <c r="QZ94">
        <v>0</v>
      </c>
      <c r="RA94">
        <v>0</v>
      </c>
      <c r="RB94">
        <v>0</v>
      </c>
      <c r="RC94">
        <v>0</v>
      </c>
      <c r="RD94">
        <v>0</v>
      </c>
      <c r="RE94">
        <v>0</v>
      </c>
      <c r="RF94">
        <v>0</v>
      </c>
      <c r="RG94">
        <v>0</v>
      </c>
      <c r="RH94">
        <v>0</v>
      </c>
      <c r="RI94">
        <v>0</v>
      </c>
      <c r="RJ94">
        <f t="shared" si="84"/>
        <v>0</v>
      </c>
      <c r="RK94">
        <v>0</v>
      </c>
      <c r="RL94">
        <v>0</v>
      </c>
      <c r="RM94">
        <v>0</v>
      </c>
      <c r="RN94">
        <v>0</v>
      </c>
      <c r="RO94">
        <v>0</v>
      </c>
      <c r="RP94">
        <v>0</v>
      </c>
      <c r="RQ94">
        <v>0</v>
      </c>
      <c r="RR94">
        <v>0</v>
      </c>
      <c r="RS94">
        <v>0</v>
      </c>
      <c r="RT94">
        <v>0</v>
      </c>
      <c r="RU94">
        <v>0</v>
      </c>
      <c r="RV94">
        <v>0</v>
      </c>
      <c r="RW94">
        <f t="shared" si="85"/>
        <v>0</v>
      </c>
      <c r="RX94">
        <v>0</v>
      </c>
      <c r="RY94">
        <v>0</v>
      </c>
      <c r="RZ94">
        <v>0</v>
      </c>
      <c r="SA94">
        <v>0</v>
      </c>
      <c r="SB94">
        <v>0</v>
      </c>
      <c r="SC94">
        <v>0</v>
      </c>
      <c r="SD94">
        <v>0</v>
      </c>
      <c r="SE94">
        <v>0</v>
      </c>
      <c r="SF94">
        <v>0</v>
      </c>
      <c r="SG94">
        <v>0</v>
      </c>
      <c r="SH94">
        <v>0</v>
      </c>
      <c r="SI94">
        <v>0</v>
      </c>
      <c r="SJ94">
        <f t="shared" si="86"/>
        <v>0</v>
      </c>
      <c r="SK94">
        <v>147</v>
      </c>
      <c r="SL94">
        <v>133</v>
      </c>
      <c r="SM94">
        <v>139</v>
      </c>
      <c r="SN94">
        <v>166</v>
      </c>
      <c r="SO94">
        <v>142</v>
      </c>
      <c r="SP94">
        <v>126</v>
      </c>
      <c r="SQ94">
        <v>154</v>
      </c>
      <c r="SR94">
        <v>122</v>
      </c>
      <c r="SS94">
        <v>152</v>
      </c>
      <c r="ST94">
        <v>140</v>
      </c>
      <c r="SU94">
        <v>126</v>
      </c>
      <c r="SV94">
        <v>126</v>
      </c>
      <c r="SW94">
        <f t="shared" si="87"/>
        <v>1673</v>
      </c>
      <c r="SX94" t="s">
        <v>1491</v>
      </c>
      <c r="SY94">
        <v>4969</v>
      </c>
      <c r="SZ94">
        <v>4878</v>
      </c>
      <c r="TA94">
        <v>5134</v>
      </c>
      <c r="TB94">
        <v>5199</v>
      </c>
      <c r="TC94">
        <v>4603</v>
      </c>
      <c r="TD94">
        <v>4922</v>
      </c>
      <c r="TE94">
        <v>4962</v>
      </c>
      <c r="TF94">
        <v>4320</v>
      </c>
      <c r="TG94">
        <v>1833</v>
      </c>
      <c r="TH94">
        <v>2515</v>
      </c>
      <c r="TI94">
        <v>6630</v>
      </c>
      <c r="TJ94">
        <v>2503</v>
      </c>
      <c r="TK94">
        <f t="shared" si="88"/>
        <v>52468</v>
      </c>
      <c r="TL94">
        <v>0</v>
      </c>
      <c r="TM94">
        <v>0</v>
      </c>
      <c r="TN94">
        <v>0</v>
      </c>
      <c r="TO94">
        <v>0</v>
      </c>
      <c r="TP94">
        <v>0</v>
      </c>
      <c r="TQ94">
        <v>0</v>
      </c>
      <c r="TR94">
        <v>0</v>
      </c>
      <c r="TS94">
        <v>0</v>
      </c>
      <c r="TT94">
        <v>0</v>
      </c>
      <c r="TU94">
        <v>0</v>
      </c>
      <c r="TV94">
        <v>0</v>
      </c>
      <c r="TW94">
        <v>0</v>
      </c>
      <c r="TX94">
        <f t="shared" si="89"/>
        <v>0</v>
      </c>
      <c r="TY94">
        <v>187</v>
      </c>
      <c r="TZ94">
        <v>0</v>
      </c>
      <c r="UA94">
        <v>0</v>
      </c>
      <c r="UB94">
        <v>0</v>
      </c>
    </row>
    <row r="95" spans="1:548" ht="16.5" customHeight="1" x14ac:dyDescent="0.35">
      <c r="A95" t="s">
        <v>1445</v>
      </c>
      <c r="B95" t="s">
        <v>2866</v>
      </c>
      <c r="C95">
        <v>32609</v>
      </c>
      <c r="D95">
        <v>18566</v>
      </c>
      <c r="E95">
        <v>4492</v>
      </c>
      <c r="F95">
        <v>9551</v>
      </c>
      <c r="G95">
        <v>602</v>
      </c>
      <c r="H95">
        <v>620</v>
      </c>
      <c r="I95">
        <v>606</v>
      </c>
      <c r="J95">
        <v>587</v>
      </c>
      <c r="K95">
        <v>566</v>
      </c>
      <c r="L95">
        <v>553</v>
      </c>
      <c r="M95">
        <v>608</v>
      </c>
      <c r="N95">
        <v>603</v>
      </c>
      <c r="O95">
        <v>548</v>
      </c>
      <c r="P95">
        <v>575</v>
      </c>
      <c r="Q95">
        <v>553</v>
      </c>
      <c r="R95">
        <v>584</v>
      </c>
      <c r="S95">
        <f t="shared" si="45"/>
        <v>7005</v>
      </c>
      <c r="T95">
        <v>457</v>
      </c>
      <c r="U95">
        <v>471</v>
      </c>
      <c r="V95">
        <v>462</v>
      </c>
      <c r="W95">
        <v>449</v>
      </c>
      <c r="X95">
        <v>431</v>
      </c>
      <c r="Y95">
        <v>433</v>
      </c>
      <c r="Z95">
        <v>459</v>
      </c>
      <c r="AA95">
        <v>462</v>
      </c>
      <c r="AB95">
        <v>415</v>
      </c>
      <c r="AC95">
        <v>448</v>
      </c>
      <c r="AD95">
        <v>423</v>
      </c>
      <c r="AE95">
        <v>452</v>
      </c>
      <c r="AF95">
        <f t="shared" si="46"/>
        <v>5362</v>
      </c>
      <c r="AG95">
        <v>0</v>
      </c>
      <c r="AH95">
        <v>0</v>
      </c>
      <c r="AI95">
        <v>0</v>
      </c>
      <c r="AJ95">
        <v>0</v>
      </c>
      <c r="AK95">
        <v>0</v>
      </c>
      <c r="AL95">
        <v>0</v>
      </c>
      <c r="AM95">
        <v>0</v>
      </c>
      <c r="AN95">
        <v>0</v>
      </c>
      <c r="AO95">
        <v>0</v>
      </c>
      <c r="AP95">
        <v>0</v>
      </c>
      <c r="AQ95">
        <v>0</v>
      </c>
      <c r="AR95">
        <v>0</v>
      </c>
      <c r="AS95">
        <f t="shared" si="47"/>
        <v>0</v>
      </c>
      <c r="AT95">
        <v>145</v>
      </c>
      <c r="AU95">
        <v>149</v>
      </c>
      <c r="AV95">
        <v>144</v>
      </c>
      <c r="AW95">
        <v>138</v>
      </c>
      <c r="AX95">
        <v>135</v>
      </c>
      <c r="AY95">
        <v>120</v>
      </c>
      <c r="AZ95">
        <v>149</v>
      </c>
      <c r="BA95">
        <v>141</v>
      </c>
      <c r="BB95">
        <v>133</v>
      </c>
      <c r="BC95">
        <v>127</v>
      </c>
      <c r="BD95">
        <v>130</v>
      </c>
      <c r="BE95">
        <v>132</v>
      </c>
      <c r="BF95">
        <f t="shared" si="48"/>
        <v>1643</v>
      </c>
      <c r="BG95">
        <v>0</v>
      </c>
      <c r="BH95">
        <v>0</v>
      </c>
      <c r="BI95">
        <v>0</v>
      </c>
      <c r="BJ95">
        <v>0</v>
      </c>
      <c r="BK95">
        <v>0</v>
      </c>
      <c r="BL95">
        <v>0</v>
      </c>
      <c r="BM95">
        <v>0</v>
      </c>
      <c r="BN95">
        <v>0</v>
      </c>
      <c r="BO95">
        <v>0</v>
      </c>
      <c r="BP95">
        <v>0</v>
      </c>
      <c r="BQ95">
        <v>0</v>
      </c>
      <c r="BR95">
        <v>0</v>
      </c>
      <c r="BS95">
        <f t="shared" si="49"/>
        <v>0</v>
      </c>
      <c r="BT95">
        <v>0</v>
      </c>
      <c r="BU95">
        <v>0</v>
      </c>
      <c r="BV95">
        <v>0</v>
      </c>
      <c r="BW95">
        <v>0</v>
      </c>
      <c r="BX95">
        <v>0</v>
      </c>
      <c r="BY95">
        <v>0</v>
      </c>
      <c r="BZ95">
        <v>0</v>
      </c>
      <c r="CA95">
        <v>0</v>
      </c>
      <c r="CB95">
        <v>0</v>
      </c>
      <c r="CC95">
        <v>0</v>
      </c>
      <c r="CD95">
        <v>0</v>
      </c>
      <c r="CE95">
        <v>0</v>
      </c>
      <c r="CF95">
        <f t="shared" si="50"/>
        <v>0</v>
      </c>
      <c r="CG95">
        <v>0</v>
      </c>
      <c r="CH95">
        <v>0</v>
      </c>
      <c r="CI95">
        <v>0</v>
      </c>
      <c r="CJ95">
        <v>0</v>
      </c>
      <c r="CK95">
        <v>0</v>
      </c>
      <c r="CL95">
        <v>0</v>
      </c>
      <c r="CM95">
        <v>0</v>
      </c>
      <c r="CN95">
        <v>0</v>
      </c>
      <c r="CO95">
        <v>0</v>
      </c>
      <c r="CP95">
        <v>0</v>
      </c>
      <c r="CQ95">
        <v>0</v>
      </c>
      <c r="CR95">
        <v>0</v>
      </c>
      <c r="CS95">
        <f t="shared" si="51"/>
        <v>0</v>
      </c>
      <c r="CT95">
        <v>0</v>
      </c>
      <c r="CU95">
        <v>0</v>
      </c>
      <c r="CV95">
        <v>0</v>
      </c>
      <c r="CW95">
        <v>0</v>
      </c>
      <c r="CX95">
        <v>0</v>
      </c>
      <c r="CY95">
        <v>0</v>
      </c>
      <c r="CZ95">
        <v>0</v>
      </c>
      <c r="DA95">
        <v>0</v>
      </c>
      <c r="DB95">
        <v>0</v>
      </c>
      <c r="DC95">
        <v>0</v>
      </c>
      <c r="DD95">
        <v>0</v>
      </c>
      <c r="DE95">
        <v>0</v>
      </c>
      <c r="DF95">
        <f t="shared" si="52"/>
        <v>0</v>
      </c>
      <c r="DG95">
        <v>0</v>
      </c>
      <c r="DH95">
        <v>0</v>
      </c>
      <c r="DI95">
        <v>0</v>
      </c>
      <c r="DJ95">
        <v>0</v>
      </c>
      <c r="DK95">
        <v>0</v>
      </c>
      <c r="DL95">
        <v>0</v>
      </c>
      <c r="DM95">
        <v>0</v>
      </c>
      <c r="DN95">
        <v>0</v>
      </c>
      <c r="DO95">
        <v>0</v>
      </c>
      <c r="DP95">
        <v>0</v>
      </c>
      <c r="DQ95">
        <v>0</v>
      </c>
      <c r="DR95">
        <v>0</v>
      </c>
      <c r="DS95">
        <f t="shared" si="53"/>
        <v>0</v>
      </c>
      <c r="DT95">
        <v>0</v>
      </c>
      <c r="DU95">
        <v>0</v>
      </c>
      <c r="DV95">
        <v>0</v>
      </c>
      <c r="DW95">
        <v>0</v>
      </c>
      <c r="DX95">
        <v>0</v>
      </c>
      <c r="DY95">
        <v>0</v>
      </c>
      <c r="DZ95">
        <v>0</v>
      </c>
      <c r="EA95">
        <v>0</v>
      </c>
      <c r="EB95">
        <v>0</v>
      </c>
      <c r="EC95">
        <v>0</v>
      </c>
      <c r="ED95">
        <v>0</v>
      </c>
      <c r="EE95">
        <v>0</v>
      </c>
      <c r="EF95">
        <f t="shared" si="54"/>
        <v>0</v>
      </c>
      <c r="EG95">
        <f t="shared" si="55"/>
        <v>7005</v>
      </c>
      <c r="EH95">
        <f t="shared" si="56"/>
        <v>0</v>
      </c>
      <c r="EI95">
        <v>11002</v>
      </c>
      <c r="EJ95">
        <v>12461</v>
      </c>
      <c r="EK95">
        <v>11067</v>
      </c>
      <c r="EL95">
        <v>11328</v>
      </c>
      <c r="EM95">
        <v>10142</v>
      </c>
      <c r="EN95">
        <v>11784</v>
      </c>
      <c r="EO95">
        <v>12593</v>
      </c>
      <c r="EP95">
        <v>12397</v>
      </c>
      <c r="EQ95">
        <v>8816</v>
      </c>
      <c r="ER95">
        <v>11487</v>
      </c>
      <c r="ES95">
        <v>11890</v>
      </c>
      <c r="ET95">
        <v>12740</v>
      </c>
      <c r="EU95">
        <f t="shared" si="57"/>
        <v>137707</v>
      </c>
      <c r="EV95">
        <v>5696</v>
      </c>
      <c r="EW95">
        <v>6638</v>
      </c>
      <c r="EX95">
        <v>5701</v>
      </c>
      <c r="EY95">
        <v>6019</v>
      </c>
      <c r="EZ95">
        <v>5290</v>
      </c>
      <c r="FA95">
        <v>6086</v>
      </c>
      <c r="FB95">
        <v>6511</v>
      </c>
      <c r="FC95">
        <v>6546</v>
      </c>
      <c r="FD95">
        <v>4574</v>
      </c>
      <c r="FE95">
        <v>5781</v>
      </c>
      <c r="FF95">
        <v>6043</v>
      </c>
      <c r="FG95">
        <v>6695</v>
      </c>
      <c r="FH95">
        <f t="shared" si="58"/>
        <v>71580</v>
      </c>
      <c r="FI95">
        <v>0</v>
      </c>
      <c r="FJ95">
        <v>0</v>
      </c>
      <c r="FK95">
        <v>0</v>
      </c>
      <c r="FL95">
        <v>0</v>
      </c>
      <c r="FM95">
        <v>0</v>
      </c>
      <c r="FN95">
        <v>0</v>
      </c>
      <c r="FO95">
        <v>0</v>
      </c>
      <c r="FP95">
        <v>0</v>
      </c>
      <c r="FQ95">
        <v>0</v>
      </c>
      <c r="FR95">
        <v>0</v>
      </c>
      <c r="FS95">
        <v>0</v>
      </c>
      <c r="FT95">
        <v>0</v>
      </c>
      <c r="FU95">
        <f t="shared" si="59"/>
        <v>0</v>
      </c>
      <c r="FV95">
        <v>5306</v>
      </c>
      <c r="FW95">
        <v>5823</v>
      </c>
      <c r="FX95">
        <v>5366</v>
      </c>
      <c r="FY95">
        <v>5309</v>
      </c>
      <c r="FZ95">
        <v>4852</v>
      </c>
      <c r="GA95">
        <v>5698</v>
      </c>
      <c r="GB95">
        <v>6082</v>
      </c>
      <c r="GC95">
        <v>5851</v>
      </c>
      <c r="GD95">
        <v>4242</v>
      </c>
      <c r="GE95">
        <v>5706</v>
      </c>
      <c r="GF95">
        <v>5847</v>
      </c>
      <c r="GG95">
        <v>6045</v>
      </c>
      <c r="GH95">
        <f t="shared" si="60"/>
        <v>66127</v>
      </c>
      <c r="GI95">
        <v>0</v>
      </c>
      <c r="GJ95">
        <v>0</v>
      </c>
      <c r="GK95">
        <v>0</v>
      </c>
      <c r="GL95">
        <v>0</v>
      </c>
      <c r="GM95">
        <v>0</v>
      </c>
      <c r="GN95">
        <v>0</v>
      </c>
      <c r="GO95">
        <v>0</v>
      </c>
      <c r="GP95">
        <v>0</v>
      </c>
      <c r="GQ95">
        <v>0</v>
      </c>
      <c r="GR95">
        <v>0</v>
      </c>
      <c r="GS95">
        <v>0</v>
      </c>
      <c r="GT95">
        <v>0</v>
      </c>
      <c r="GU95">
        <f t="shared" si="61"/>
        <v>0</v>
      </c>
      <c r="GV95">
        <v>0</v>
      </c>
      <c r="GW95">
        <v>0</v>
      </c>
      <c r="GX95">
        <v>0</v>
      </c>
      <c r="GY95">
        <v>0</v>
      </c>
      <c r="GZ95">
        <v>0</v>
      </c>
      <c r="HA95">
        <v>0</v>
      </c>
      <c r="HB95">
        <v>0</v>
      </c>
      <c r="HC95">
        <v>0</v>
      </c>
      <c r="HD95">
        <v>0</v>
      </c>
      <c r="HE95">
        <v>0</v>
      </c>
      <c r="HF95">
        <v>0</v>
      </c>
      <c r="HG95">
        <v>0</v>
      </c>
      <c r="HH95">
        <f t="shared" si="62"/>
        <v>0</v>
      </c>
      <c r="HI95">
        <v>0</v>
      </c>
      <c r="HJ95">
        <v>0</v>
      </c>
      <c r="HK95">
        <v>0</v>
      </c>
      <c r="HL95">
        <v>0</v>
      </c>
      <c r="HM95">
        <v>0</v>
      </c>
      <c r="HN95">
        <v>0</v>
      </c>
      <c r="HO95">
        <v>0</v>
      </c>
      <c r="HP95">
        <v>0</v>
      </c>
      <c r="HQ95">
        <v>0</v>
      </c>
      <c r="HR95">
        <v>0</v>
      </c>
      <c r="HS95">
        <v>0</v>
      </c>
      <c r="HT95">
        <v>0</v>
      </c>
      <c r="HU95">
        <f t="shared" si="63"/>
        <v>0</v>
      </c>
      <c r="HV95">
        <v>0</v>
      </c>
      <c r="HW95">
        <v>0</v>
      </c>
      <c r="HX95">
        <v>0</v>
      </c>
      <c r="HY95">
        <v>0</v>
      </c>
      <c r="HZ95">
        <v>0</v>
      </c>
      <c r="IA95">
        <v>0</v>
      </c>
      <c r="IB95">
        <v>0</v>
      </c>
      <c r="IC95">
        <v>0</v>
      </c>
      <c r="ID95">
        <v>0</v>
      </c>
      <c r="IE95">
        <v>0</v>
      </c>
      <c r="IF95">
        <v>0</v>
      </c>
      <c r="IG95">
        <v>0</v>
      </c>
      <c r="IH95">
        <f t="shared" si="64"/>
        <v>0</v>
      </c>
      <c r="II95">
        <f t="shared" si="65"/>
        <v>137707</v>
      </c>
      <c r="IJ95">
        <f t="shared" si="66"/>
        <v>0</v>
      </c>
      <c r="IK95">
        <v>0</v>
      </c>
      <c r="IL95">
        <v>0</v>
      </c>
      <c r="IM95">
        <v>105717</v>
      </c>
      <c r="IN95">
        <v>0</v>
      </c>
      <c r="IO95">
        <v>0</v>
      </c>
      <c r="IP95">
        <v>124914</v>
      </c>
      <c r="IQ95">
        <v>0</v>
      </c>
      <c r="IR95">
        <v>0</v>
      </c>
      <c r="IS95">
        <v>123515</v>
      </c>
      <c r="IT95">
        <v>0</v>
      </c>
      <c r="IU95">
        <v>0</v>
      </c>
      <c r="IV95">
        <v>116889</v>
      </c>
      <c r="IW95">
        <f t="shared" si="67"/>
        <v>471035</v>
      </c>
      <c r="IX95">
        <v>0</v>
      </c>
      <c r="IY95">
        <v>0</v>
      </c>
      <c r="IZ95">
        <v>69291</v>
      </c>
      <c r="JA95">
        <v>0</v>
      </c>
      <c r="JB95">
        <v>0</v>
      </c>
      <c r="JC95">
        <v>84685</v>
      </c>
      <c r="JD95">
        <v>0</v>
      </c>
      <c r="JE95">
        <v>0</v>
      </c>
      <c r="JF95">
        <v>83500</v>
      </c>
      <c r="JG95">
        <v>0</v>
      </c>
      <c r="JH95">
        <v>0</v>
      </c>
      <c r="JI95">
        <v>78123</v>
      </c>
      <c r="JJ95">
        <f t="shared" si="68"/>
        <v>315599</v>
      </c>
      <c r="JK95">
        <v>0</v>
      </c>
      <c r="JL95">
        <v>0</v>
      </c>
      <c r="JM95">
        <v>1126</v>
      </c>
      <c r="JN95">
        <v>0</v>
      </c>
      <c r="JO95">
        <v>0</v>
      </c>
      <c r="JP95">
        <v>1303</v>
      </c>
      <c r="JQ95">
        <v>0</v>
      </c>
      <c r="JR95">
        <v>0</v>
      </c>
      <c r="JS95">
        <v>1114</v>
      </c>
      <c r="JT95">
        <v>0</v>
      </c>
      <c r="JU95">
        <v>0</v>
      </c>
      <c r="JV95">
        <v>1082</v>
      </c>
      <c r="JW95">
        <f t="shared" si="69"/>
        <v>4625</v>
      </c>
      <c r="JX95">
        <v>0</v>
      </c>
      <c r="JY95">
        <v>0</v>
      </c>
      <c r="JZ95">
        <v>35300</v>
      </c>
      <c r="KA95">
        <v>0</v>
      </c>
      <c r="KB95">
        <v>0</v>
      </c>
      <c r="KC95">
        <v>38926</v>
      </c>
      <c r="KD95">
        <v>0</v>
      </c>
      <c r="KE95">
        <v>0</v>
      </c>
      <c r="KF95">
        <v>38901</v>
      </c>
      <c r="KG95">
        <v>0</v>
      </c>
      <c r="KH95">
        <v>0</v>
      </c>
      <c r="KI95">
        <v>37684</v>
      </c>
      <c r="KJ95">
        <f t="shared" si="70"/>
        <v>150811</v>
      </c>
      <c r="KK95">
        <v>0</v>
      </c>
      <c r="KL95">
        <v>0</v>
      </c>
      <c r="KM95">
        <v>466</v>
      </c>
      <c r="KN95">
        <v>0</v>
      </c>
      <c r="KO95">
        <v>0</v>
      </c>
      <c r="KP95">
        <v>350</v>
      </c>
      <c r="KQ95">
        <v>0</v>
      </c>
      <c r="KR95">
        <v>0</v>
      </c>
      <c r="KS95">
        <v>387</v>
      </c>
      <c r="KT95">
        <v>0</v>
      </c>
      <c r="KU95">
        <v>0</v>
      </c>
      <c r="KV95">
        <v>436</v>
      </c>
      <c r="KW95">
        <f t="shared" si="71"/>
        <v>1639</v>
      </c>
      <c r="KX95">
        <v>0</v>
      </c>
      <c r="KY95">
        <v>0</v>
      </c>
      <c r="KZ95">
        <v>78</v>
      </c>
      <c r="LA95">
        <v>0</v>
      </c>
      <c r="LB95">
        <v>0</v>
      </c>
      <c r="LC95">
        <v>114</v>
      </c>
      <c r="LD95">
        <v>0</v>
      </c>
      <c r="LE95">
        <v>0</v>
      </c>
      <c r="LF95">
        <v>100</v>
      </c>
      <c r="LG95">
        <v>0</v>
      </c>
      <c r="LH95">
        <v>0</v>
      </c>
      <c r="LI95">
        <v>108</v>
      </c>
      <c r="LJ95">
        <f t="shared" si="72"/>
        <v>400</v>
      </c>
      <c r="LK95">
        <v>0</v>
      </c>
      <c r="LL95">
        <v>0</v>
      </c>
      <c r="LM95">
        <v>0</v>
      </c>
      <c r="LN95">
        <v>0</v>
      </c>
      <c r="LO95">
        <v>0</v>
      </c>
      <c r="LP95">
        <v>0</v>
      </c>
      <c r="LQ95">
        <v>0</v>
      </c>
      <c r="LR95">
        <v>0</v>
      </c>
      <c r="LS95">
        <v>0</v>
      </c>
      <c r="LT95">
        <v>0</v>
      </c>
      <c r="LU95">
        <v>0</v>
      </c>
      <c r="LV95">
        <v>0</v>
      </c>
      <c r="LW95">
        <f t="shared" si="73"/>
        <v>0</v>
      </c>
      <c r="LX95">
        <v>0</v>
      </c>
      <c r="LY95">
        <v>0</v>
      </c>
      <c r="LZ95">
        <v>388</v>
      </c>
      <c r="MA95">
        <v>0</v>
      </c>
      <c r="MB95">
        <v>0</v>
      </c>
      <c r="MC95">
        <v>236</v>
      </c>
      <c r="MD95">
        <v>0</v>
      </c>
      <c r="ME95">
        <v>0</v>
      </c>
      <c r="MF95">
        <v>287</v>
      </c>
      <c r="MG95">
        <v>0</v>
      </c>
      <c r="MH95">
        <v>0</v>
      </c>
      <c r="MI95">
        <v>328</v>
      </c>
      <c r="MJ95">
        <f t="shared" si="74"/>
        <v>1239</v>
      </c>
      <c r="MK95">
        <v>0</v>
      </c>
      <c r="ML95">
        <v>0</v>
      </c>
      <c r="MM95">
        <v>10107</v>
      </c>
      <c r="MN95">
        <v>0</v>
      </c>
      <c r="MO95">
        <v>0</v>
      </c>
      <c r="MP95">
        <v>10254</v>
      </c>
      <c r="MQ95">
        <v>0</v>
      </c>
      <c r="MR95">
        <v>0</v>
      </c>
      <c r="MS95">
        <v>10242</v>
      </c>
      <c r="MT95">
        <v>0</v>
      </c>
      <c r="MU95">
        <v>0</v>
      </c>
      <c r="MV95">
        <v>10600</v>
      </c>
      <c r="MW95">
        <f t="shared" si="75"/>
        <v>41203</v>
      </c>
      <c r="MX95">
        <v>0</v>
      </c>
      <c r="MY95">
        <v>0</v>
      </c>
      <c r="MZ95">
        <v>1861</v>
      </c>
      <c r="NA95">
        <v>0</v>
      </c>
      <c r="NB95">
        <v>0</v>
      </c>
      <c r="NC95">
        <v>1780</v>
      </c>
      <c r="ND95">
        <v>0</v>
      </c>
      <c r="NE95">
        <v>0</v>
      </c>
      <c r="NF95">
        <v>2046</v>
      </c>
      <c r="NG95">
        <v>0</v>
      </c>
      <c r="NH95">
        <v>0</v>
      </c>
      <c r="NI95">
        <v>2020</v>
      </c>
      <c r="NJ95">
        <f t="shared" si="76"/>
        <v>7707</v>
      </c>
      <c r="NK95">
        <v>0</v>
      </c>
      <c r="NL95">
        <v>0</v>
      </c>
      <c r="NM95">
        <v>1058</v>
      </c>
      <c r="NN95">
        <v>0</v>
      </c>
      <c r="NO95">
        <v>0</v>
      </c>
      <c r="NP95">
        <v>849</v>
      </c>
      <c r="NQ95">
        <v>0</v>
      </c>
      <c r="NR95">
        <v>0</v>
      </c>
      <c r="NS95">
        <v>872</v>
      </c>
      <c r="NT95">
        <v>0</v>
      </c>
      <c r="NU95">
        <v>0</v>
      </c>
      <c r="NV95">
        <v>922</v>
      </c>
      <c r="NW95">
        <f t="shared" si="77"/>
        <v>3701</v>
      </c>
      <c r="NX95">
        <v>0</v>
      </c>
      <c r="NY95">
        <v>0</v>
      </c>
      <c r="NZ95">
        <v>7188</v>
      </c>
      <c r="OA95">
        <v>0</v>
      </c>
      <c r="OB95">
        <v>0</v>
      </c>
      <c r="OC95">
        <v>7625</v>
      </c>
      <c r="OD95">
        <v>0</v>
      </c>
      <c r="OE95">
        <v>0</v>
      </c>
      <c r="OF95">
        <v>7324</v>
      </c>
      <c r="OG95">
        <v>0</v>
      </c>
      <c r="OH95">
        <v>0</v>
      </c>
      <c r="OI95">
        <v>7658</v>
      </c>
      <c r="OJ95">
        <f t="shared" si="78"/>
        <v>29795</v>
      </c>
      <c r="OK95">
        <v>0</v>
      </c>
      <c r="OL95">
        <v>0</v>
      </c>
      <c r="OM95">
        <v>11963</v>
      </c>
      <c r="ON95">
        <v>0</v>
      </c>
      <c r="OO95">
        <v>0</v>
      </c>
      <c r="OP95">
        <v>12678</v>
      </c>
      <c r="OQ95">
        <v>0</v>
      </c>
      <c r="OR95">
        <v>0</v>
      </c>
      <c r="OS95">
        <v>12462</v>
      </c>
      <c r="OT95">
        <v>0</v>
      </c>
      <c r="OU95">
        <v>0</v>
      </c>
      <c r="OV95">
        <v>13293</v>
      </c>
      <c r="OW95">
        <f t="shared" si="79"/>
        <v>50396</v>
      </c>
      <c r="OX95">
        <v>0</v>
      </c>
      <c r="OY95">
        <v>0</v>
      </c>
      <c r="OZ95">
        <v>1962</v>
      </c>
      <c r="PA95">
        <v>0</v>
      </c>
      <c r="PB95">
        <v>0</v>
      </c>
      <c r="PC95">
        <v>2194</v>
      </c>
      <c r="PD95">
        <v>0</v>
      </c>
      <c r="PE95">
        <v>0</v>
      </c>
      <c r="PF95">
        <v>1985</v>
      </c>
      <c r="PG95">
        <v>0</v>
      </c>
      <c r="PH95">
        <v>0</v>
      </c>
      <c r="PI95">
        <v>2040</v>
      </c>
      <c r="PJ95">
        <f t="shared" si="80"/>
        <v>8181</v>
      </c>
      <c r="PK95">
        <v>0</v>
      </c>
      <c r="PL95">
        <v>0</v>
      </c>
      <c r="PM95">
        <v>639</v>
      </c>
      <c r="PN95">
        <v>0</v>
      </c>
      <c r="PO95">
        <v>0</v>
      </c>
      <c r="PP95">
        <v>729</v>
      </c>
      <c r="PQ95">
        <v>0</v>
      </c>
      <c r="PR95">
        <v>0</v>
      </c>
      <c r="PS95">
        <v>665</v>
      </c>
      <c r="PT95">
        <v>0</v>
      </c>
      <c r="PU95">
        <v>0</v>
      </c>
      <c r="PV95">
        <v>773</v>
      </c>
      <c r="PW95">
        <f t="shared" si="81"/>
        <v>2806</v>
      </c>
      <c r="PX95">
        <v>0</v>
      </c>
      <c r="PY95">
        <v>0</v>
      </c>
      <c r="PZ95">
        <v>9362</v>
      </c>
      <c r="QA95">
        <v>0</v>
      </c>
      <c r="QB95">
        <v>0</v>
      </c>
      <c r="QC95">
        <v>9755</v>
      </c>
      <c r="QD95">
        <v>0</v>
      </c>
      <c r="QE95">
        <v>0</v>
      </c>
      <c r="QF95">
        <v>9812</v>
      </c>
      <c r="QG95">
        <v>0</v>
      </c>
      <c r="QH95">
        <v>0</v>
      </c>
      <c r="QI95">
        <v>10480</v>
      </c>
      <c r="QJ95">
        <f t="shared" si="82"/>
        <v>39409</v>
      </c>
      <c r="QK95">
        <v>90681</v>
      </c>
      <c r="QL95">
        <v>98405</v>
      </c>
      <c r="QM95">
        <v>90806</v>
      </c>
      <c r="QN95">
        <v>96953</v>
      </c>
      <c r="QO95">
        <v>87665</v>
      </c>
      <c r="QP95">
        <v>100333</v>
      </c>
      <c r="QQ95">
        <v>101676</v>
      </c>
      <c r="QR95">
        <v>94919</v>
      </c>
      <c r="QS95">
        <v>85323</v>
      </c>
      <c r="QT95">
        <v>91427</v>
      </c>
      <c r="QU95">
        <v>89381</v>
      </c>
      <c r="QV95">
        <v>103922</v>
      </c>
      <c r="QW95">
        <f t="shared" si="83"/>
        <v>1131491</v>
      </c>
      <c r="QX95">
        <v>0</v>
      </c>
      <c r="QY95">
        <v>0</v>
      </c>
      <c r="QZ95">
        <v>0</v>
      </c>
      <c r="RA95">
        <v>0</v>
      </c>
      <c r="RB95">
        <v>0</v>
      </c>
      <c r="RC95">
        <v>0</v>
      </c>
      <c r="RD95">
        <v>0</v>
      </c>
      <c r="RE95">
        <v>0</v>
      </c>
      <c r="RF95">
        <v>0</v>
      </c>
      <c r="RG95">
        <v>0</v>
      </c>
      <c r="RH95">
        <v>0</v>
      </c>
      <c r="RI95">
        <v>0</v>
      </c>
      <c r="RJ95">
        <f t="shared" si="84"/>
        <v>0</v>
      </c>
      <c r="RK95">
        <v>0</v>
      </c>
      <c r="RL95">
        <v>0</v>
      </c>
      <c r="RM95">
        <v>0</v>
      </c>
      <c r="RN95">
        <v>0</v>
      </c>
      <c r="RO95">
        <v>0</v>
      </c>
      <c r="RP95">
        <v>0</v>
      </c>
      <c r="RQ95">
        <v>0</v>
      </c>
      <c r="RR95">
        <v>0</v>
      </c>
      <c r="RS95">
        <v>0</v>
      </c>
      <c r="RT95">
        <v>0</v>
      </c>
      <c r="RU95">
        <v>0</v>
      </c>
      <c r="RV95">
        <v>0</v>
      </c>
      <c r="RW95">
        <f t="shared" si="85"/>
        <v>0</v>
      </c>
      <c r="RX95">
        <v>0</v>
      </c>
      <c r="RY95">
        <v>0</v>
      </c>
      <c r="RZ95">
        <v>0</v>
      </c>
      <c r="SA95">
        <v>0</v>
      </c>
      <c r="SB95">
        <v>0</v>
      </c>
      <c r="SC95">
        <v>0</v>
      </c>
      <c r="SD95">
        <v>0</v>
      </c>
      <c r="SE95">
        <v>0</v>
      </c>
      <c r="SF95">
        <v>0</v>
      </c>
      <c r="SG95">
        <v>0</v>
      </c>
      <c r="SH95">
        <v>0</v>
      </c>
      <c r="SI95">
        <v>0</v>
      </c>
      <c r="SJ95">
        <f t="shared" si="86"/>
        <v>0</v>
      </c>
      <c r="SK95">
        <v>61</v>
      </c>
      <c r="SL95">
        <v>59</v>
      </c>
      <c r="SM95">
        <v>45</v>
      </c>
      <c r="SN95">
        <v>19</v>
      </c>
      <c r="SO95">
        <v>53</v>
      </c>
      <c r="SP95">
        <v>50</v>
      </c>
      <c r="SQ95">
        <v>50</v>
      </c>
      <c r="SR95">
        <v>50</v>
      </c>
      <c r="SS95">
        <v>50</v>
      </c>
      <c r="ST95">
        <v>44</v>
      </c>
      <c r="SU95">
        <v>47</v>
      </c>
      <c r="SV95">
        <v>46</v>
      </c>
      <c r="SW95">
        <f t="shared" si="87"/>
        <v>574</v>
      </c>
      <c r="SX95">
        <v>0</v>
      </c>
      <c r="SY95">
        <v>5736</v>
      </c>
      <c r="SZ95">
        <v>6133</v>
      </c>
      <c r="TA95">
        <v>5338</v>
      </c>
      <c r="TB95">
        <v>5606</v>
      </c>
      <c r="TC95">
        <v>5559</v>
      </c>
      <c r="TD95">
        <v>5748</v>
      </c>
      <c r="TE95">
        <v>6167</v>
      </c>
      <c r="TF95">
        <v>5737</v>
      </c>
      <c r="TG95">
        <v>4697</v>
      </c>
      <c r="TH95">
        <v>5310</v>
      </c>
      <c r="TI95">
        <v>5474</v>
      </c>
      <c r="TJ95">
        <v>5965</v>
      </c>
      <c r="TK95">
        <f t="shared" si="88"/>
        <v>67470</v>
      </c>
      <c r="TL95">
        <v>0</v>
      </c>
      <c r="TM95">
        <v>0</v>
      </c>
      <c r="TN95">
        <v>0</v>
      </c>
      <c r="TO95">
        <v>0</v>
      </c>
      <c r="TP95">
        <v>0</v>
      </c>
      <c r="TQ95">
        <v>0</v>
      </c>
      <c r="TR95">
        <v>0</v>
      </c>
      <c r="TS95">
        <v>0</v>
      </c>
      <c r="TT95">
        <v>0</v>
      </c>
      <c r="TU95">
        <v>0</v>
      </c>
      <c r="TV95">
        <v>0</v>
      </c>
      <c r="TW95">
        <v>0</v>
      </c>
      <c r="TX95">
        <f t="shared" si="89"/>
        <v>0</v>
      </c>
      <c r="TY95">
        <v>154</v>
      </c>
      <c r="TZ95">
        <v>0</v>
      </c>
      <c r="UA95">
        <v>0</v>
      </c>
      <c r="UB95">
        <v>0</v>
      </c>
    </row>
    <row r="96" spans="1:548" ht="16.5" customHeight="1" x14ac:dyDescent="0.35">
      <c r="A96" t="s">
        <v>1484</v>
      </c>
      <c r="B96" t="s">
        <v>2866</v>
      </c>
      <c r="C96" s="2">
        <v>37274</v>
      </c>
      <c r="D96">
        <v>11424</v>
      </c>
      <c r="E96">
        <v>2856</v>
      </c>
      <c r="F96">
        <v>14921</v>
      </c>
      <c r="G96">
        <v>499</v>
      </c>
      <c r="H96">
        <v>542</v>
      </c>
      <c r="I96">
        <v>561</v>
      </c>
      <c r="J96">
        <v>527</v>
      </c>
      <c r="K96">
        <v>484</v>
      </c>
      <c r="L96">
        <v>560</v>
      </c>
      <c r="M96">
        <v>647</v>
      </c>
      <c r="N96">
        <v>637</v>
      </c>
      <c r="O96">
        <v>463</v>
      </c>
      <c r="P96">
        <v>631</v>
      </c>
      <c r="Q96">
        <v>595</v>
      </c>
      <c r="R96">
        <v>649</v>
      </c>
      <c r="S96">
        <f t="shared" si="45"/>
        <v>6795</v>
      </c>
      <c r="T96">
        <v>321</v>
      </c>
      <c r="U96">
        <v>339</v>
      </c>
      <c r="V96">
        <v>342</v>
      </c>
      <c r="W96">
        <v>357</v>
      </c>
      <c r="X96">
        <v>340</v>
      </c>
      <c r="Y96">
        <v>347</v>
      </c>
      <c r="Z96">
        <v>419</v>
      </c>
      <c r="AA96">
        <v>382</v>
      </c>
      <c r="AB96">
        <v>280</v>
      </c>
      <c r="AC96">
        <v>382</v>
      </c>
      <c r="AD96">
        <v>366</v>
      </c>
      <c r="AE96">
        <v>430</v>
      </c>
      <c r="AF96">
        <f t="shared" si="46"/>
        <v>4305</v>
      </c>
      <c r="AG96">
        <v>2</v>
      </c>
      <c r="AH96">
        <v>3</v>
      </c>
      <c r="AI96">
        <v>1</v>
      </c>
      <c r="AJ96">
        <v>1</v>
      </c>
      <c r="AK96">
        <v>0</v>
      </c>
      <c r="AL96">
        <v>1</v>
      </c>
      <c r="AM96">
        <v>2</v>
      </c>
      <c r="AN96">
        <v>2</v>
      </c>
      <c r="AO96">
        <v>2</v>
      </c>
      <c r="AP96">
        <v>1</v>
      </c>
      <c r="AQ96">
        <v>2</v>
      </c>
      <c r="AR96">
        <v>1</v>
      </c>
      <c r="AS96">
        <f t="shared" si="47"/>
        <v>18</v>
      </c>
      <c r="AT96">
        <v>176</v>
      </c>
      <c r="AU96">
        <v>200</v>
      </c>
      <c r="AV96">
        <v>218</v>
      </c>
      <c r="AW96">
        <v>169</v>
      </c>
      <c r="AX96">
        <v>144</v>
      </c>
      <c r="AY96">
        <v>212</v>
      </c>
      <c r="AZ96">
        <v>226</v>
      </c>
      <c r="BA96">
        <v>253</v>
      </c>
      <c r="BB96">
        <v>181</v>
      </c>
      <c r="BC96">
        <v>248</v>
      </c>
      <c r="BD96">
        <v>227</v>
      </c>
      <c r="BE96">
        <v>218</v>
      </c>
      <c r="BF96">
        <f t="shared" si="48"/>
        <v>2472</v>
      </c>
      <c r="BG96">
        <v>998</v>
      </c>
      <c r="BH96">
        <v>1084</v>
      </c>
      <c r="BI96">
        <v>1122</v>
      </c>
      <c r="BJ96">
        <v>1054</v>
      </c>
      <c r="BK96">
        <v>968</v>
      </c>
      <c r="BL96">
        <v>1120</v>
      </c>
      <c r="BM96">
        <v>1294</v>
      </c>
      <c r="BN96">
        <v>1274</v>
      </c>
      <c r="BO96">
        <v>926</v>
      </c>
      <c r="BP96">
        <v>1262</v>
      </c>
      <c r="BQ96">
        <v>1190</v>
      </c>
      <c r="BR96">
        <v>1298</v>
      </c>
      <c r="BS96">
        <f t="shared" si="49"/>
        <v>13590</v>
      </c>
      <c r="BT96">
        <v>0</v>
      </c>
      <c r="BU96">
        <v>0</v>
      </c>
      <c r="BV96">
        <v>0</v>
      </c>
      <c r="BW96">
        <v>0</v>
      </c>
      <c r="BX96">
        <v>0</v>
      </c>
      <c r="BY96">
        <v>0</v>
      </c>
      <c r="BZ96">
        <v>0</v>
      </c>
      <c r="CA96">
        <v>0</v>
      </c>
      <c r="CB96">
        <v>0</v>
      </c>
      <c r="CC96">
        <v>0</v>
      </c>
      <c r="CD96">
        <v>0</v>
      </c>
      <c r="CE96">
        <v>0</v>
      </c>
      <c r="CF96">
        <f t="shared" si="50"/>
        <v>0</v>
      </c>
      <c r="CG96">
        <v>0</v>
      </c>
      <c r="CH96">
        <v>0</v>
      </c>
      <c r="CI96">
        <v>0</v>
      </c>
      <c r="CJ96">
        <v>0</v>
      </c>
      <c r="CK96">
        <v>0</v>
      </c>
      <c r="CL96">
        <v>0</v>
      </c>
      <c r="CM96">
        <v>0</v>
      </c>
      <c r="CN96">
        <v>0</v>
      </c>
      <c r="CO96">
        <v>0</v>
      </c>
      <c r="CP96">
        <v>0</v>
      </c>
      <c r="CQ96">
        <v>0</v>
      </c>
      <c r="CR96">
        <v>0</v>
      </c>
      <c r="CS96">
        <f t="shared" si="51"/>
        <v>0</v>
      </c>
      <c r="CT96">
        <v>0</v>
      </c>
      <c r="CU96">
        <v>0</v>
      </c>
      <c r="CV96">
        <v>0</v>
      </c>
      <c r="CW96">
        <v>0</v>
      </c>
      <c r="CX96">
        <v>0</v>
      </c>
      <c r="CY96">
        <v>0</v>
      </c>
      <c r="CZ96">
        <v>0</v>
      </c>
      <c r="DA96">
        <v>0</v>
      </c>
      <c r="DB96">
        <v>0</v>
      </c>
      <c r="DC96">
        <v>0</v>
      </c>
      <c r="DD96">
        <v>0</v>
      </c>
      <c r="DE96">
        <v>0</v>
      </c>
      <c r="DF96">
        <f t="shared" si="52"/>
        <v>0</v>
      </c>
      <c r="DG96">
        <v>0</v>
      </c>
      <c r="DH96">
        <v>0</v>
      </c>
      <c r="DI96">
        <v>0</v>
      </c>
      <c r="DJ96">
        <v>0</v>
      </c>
      <c r="DK96">
        <v>0</v>
      </c>
      <c r="DL96">
        <v>0</v>
      </c>
      <c r="DM96">
        <v>0</v>
      </c>
      <c r="DN96">
        <v>0</v>
      </c>
      <c r="DO96">
        <v>0</v>
      </c>
      <c r="DP96">
        <v>0</v>
      </c>
      <c r="DQ96">
        <v>0</v>
      </c>
      <c r="DR96">
        <v>0</v>
      </c>
      <c r="DS96">
        <f t="shared" si="53"/>
        <v>0</v>
      </c>
      <c r="DT96">
        <v>0</v>
      </c>
      <c r="DU96">
        <v>0</v>
      </c>
      <c r="DV96">
        <v>0</v>
      </c>
      <c r="DW96">
        <v>0</v>
      </c>
      <c r="DX96">
        <v>0</v>
      </c>
      <c r="DY96">
        <v>0</v>
      </c>
      <c r="DZ96">
        <v>0</v>
      </c>
      <c r="EA96">
        <v>0</v>
      </c>
      <c r="EB96">
        <v>0</v>
      </c>
      <c r="EC96">
        <v>0</v>
      </c>
      <c r="ED96">
        <v>0</v>
      </c>
      <c r="EE96">
        <v>0</v>
      </c>
      <c r="EF96">
        <f t="shared" si="54"/>
        <v>0</v>
      </c>
      <c r="EG96">
        <f t="shared" si="55"/>
        <v>20385</v>
      </c>
      <c r="EH96">
        <f t="shared" si="56"/>
        <v>0</v>
      </c>
      <c r="EI96">
        <v>6417</v>
      </c>
      <c r="EJ96">
        <v>6126</v>
      </c>
      <c r="EK96">
        <v>7163</v>
      </c>
      <c r="EL96">
        <v>6332</v>
      </c>
      <c r="EM96">
        <v>5777</v>
      </c>
      <c r="EN96">
        <v>6866</v>
      </c>
      <c r="EO96">
        <v>8983</v>
      </c>
      <c r="EP96">
        <v>8466</v>
      </c>
      <c r="EQ96">
        <v>5805</v>
      </c>
      <c r="ER96">
        <v>7615</v>
      </c>
      <c r="ES96">
        <v>8743</v>
      </c>
      <c r="ET96">
        <v>8869</v>
      </c>
      <c r="EU96">
        <f t="shared" si="57"/>
        <v>87162</v>
      </c>
      <c r="EV96">
        <v>4471</v>
      </c>
      <c r="EW96">
        <v>4123</v>
      </c>
      <c r="EX96">
        <v>5047</v>
      </c>
      <c r="EY96">
        <v>4909</v>
      </c>
      <c r="EZ96">
        <v>4441</v>
      </c>
      <c r="FA96">
        <v>5008</v>
      </c>
      <c r="FB96">
        <v>6509</v>
      </c>
      <c r="FC96">
        <v>5585</v>
      </c>
      <c r="FD96">
        <v>3867</v>
      </c>
      <c r="FE96">
        <v>5143</v>
      </c>
      <c r="FF96">
        <v>6314</v>
      </c>
      <c r="FG96">
        <v>6307</v>
      </c>
      <c r="FH96">
        <f t="shared" si="58"/>
        <v>61724</v>
      </c>
      <c r="FI96">
        <v>1943</v>
      </c>
      <c r="FJ96">
        <v>3</v>
      </c>
      <c r="FK96">
        <v>2</v>
      </c>
      <c r="FL96">
        <v>5</v>
      </c>
      <c r="FM96">
        <v>0</v>
      </c>
      <c r="FN96">
        <v>4</v>
      </c>
      <c r="FO96">
        <v>5</v>
      </c>
      <c r="FP96">
        <v>4</v>
      </c>
      <c r="FQ96">
        <v>2</v>
      </c>
      <c r="FR96">
        <v>3</v>
      </c>
      <c r="FS96">
        <v>8</v>
      </c>
      <c r="FT96">
        <v>4</v>
      </c>
      <c r="FU96">
        <f t="shared" si="59"/>
        <v>1983</v>
      </c>
      <c r="FV96">
        <v>12834</v>
      </c>
      <c r="FW96">
        <v>2000</v>
      </c>
      <c r="FX96">
        <v>2114</v>
      </c>
      <c r="FY96">
        <v>1418</v>
      </c>
      <c r="FZ96">
        <v>1336</v>
      </c>
      <c r="GA96">
        <v>1854</v>
      </c>
      <c r="GB96">
        <v>2469</v>
      </c>
      <c r="GC96">
        <v>2877</v>
      </c>
      <c r="GD96">
        <v>1936</v>
      </c>
      <c r="GE96">
        <v>2469</v>
      </c>
      <c r="GF96">
        <v>2421</v>
      </c>
      <c r="GG96">
        <v>2558</v>
      </c>
      <c r="GH96">
        <f t="shared" si="60"/>
        <v>36286</v>
      </c>
      <c r="GI96">
        <v>12834</v>
      </c>
      <c r="GJ96">
        <v>12252</v>
      </c>
      <c r="GK96">
        <v>14326</v>
      </c>
      <c r="GL96">
        <v>12664</v>
      </c>
      <c r="GM96">
        <v>11554</v>
      </c>
      <c r="GN96">
        <v>13732</v>
      </c>
      <c r="GO96">
        <v>17966</v>
      </c>
      <c r="GP96">
        <v>16932</v>
      </c>
      <c r="GQ96">
        <v>11610</v>
      </c>
      <c r="GR96">
        <v>15230</v>
      </c>
      <c r="GS96">
        <v>17486</v>
      </c>
      <c r="GT96">
        <v>17738</v>
      </c>
      <c r="GU96">
        <f t="shared" si="61"/>
        <v>174324</v>
      </c>
      <c r="GV96">
        <v>0</v>
      </c>
      <c r="GW96">
        <v>0</v>
      </c>
      <c r="GX96">
        <v>0</v>
      </c>
      <c r="GY96">
        <v>0</v>
      </c>
      <c r="GZ96">
        <v>0</v>
      </c>
      <c r="HA96">
        <v>0</v>
      </c>
      <c r="HB96">
        <v>0</v>
      </c>
      <c r="HC96">
        <v>0</v>
      </c>
      <c r="HD96">
        <v>0</v>
      </c>
      <c r="HE96">
        <v>0</v>
      </c>
      <c r="HF96">
        <v>0</v>
      </c>
      <c r="HG96">
        <v>0</v>
      </c>
      <c r="HH96">
        <f t="shared" si="62"/>
        <v>0</v>
      </c>
      <c r="HI96">
        <v>0</v>
      </c>
      <c r="HJ96">
        <v>0</v>
      </c>
      <c r="HK96">
        <v>0</v>
      </c>
      <c r="HL96">
        <v>0</v>
      </c>
      <c r="HM96">
        <v>0</v>
      </c>
      <c r="HN96">
        <v>0</v>
      </c>
      <c r="HO96">
        <v>0</v>
      </c>
      <c r="HP96">
        <v>0</v>
      </c>
      <c r="HQ96">
        <v>0</v>
      </c>
      <c r="HR96">
        <v>0</v>
      </c>
      <c r="HS96">
        <v>0</v>
      </c>
      <c r="HT96">
        <v>0</v>
      </c>
      <c r="HU96">
        <f t="shared" si="63"/>
        <v>0</v>
      </c>
      <c r="HV96">
        <v>0</v>
      </c>
      <c r="HW96">
        <v>0</v>
      </c>
      <c r="HX96">
        <v>0</v>
      </c>
      <c r="HY96">
        <v>0</v>
      </c>
      <c r="HZ96">
        <v>0</v>
      </c>
      <c r="IA96">
        <v>0</v>
      </c>
      <c r="IB96">
        <v>0</v>
      </c>
      <c r="IC96">
        <v>0</v>
      </c>
      <c r="ID96">
        <v>0</v>
      </c>
      <c r="IE96">
        <v>0</v>
      </c>
      <c r="IF96">
        <v>0</v>
      </c>
      <c r="IG96">
        <v>0</v>
      </c>
      <c r="IH96">
        <f t="shared" si="64"/>
        <v>0</v>
      </c>
      <c r="II96">
        <f t="shared" si="65"/>
        <v>99993</v>
      </c>
      <c r="IJ96">
        <f t="shared" si="66"/>
        <v>0</v>
      </c>
      <c r="IK96">
        <v>107860</v>
      </c>
      <c r="IL96">
        <v>113666</v>
      </c>
      <c r="IM96">
        <v>107711</v>
      </c>
      <c r="IN96">
        <v>121158</v>
      </c>
      <c r="IO96">
        <v>114509</v>
      </c>
      <c r="IP96">
        <v>112403</v>
      </c>
      <c r="IQ96">
        <v>116626</v>
      </c>
      <c r="IR96">
        <v>110069</v>
      </c>
      <c r="IS96">
        <v>97287</v>
      </c>
      <c r="IT96">
        <v>111404</v>
      </c>
      <c r="IU96">
        <v>97370</v>
      </c>
      <c r="IV96">
        <v>102446</v>
      </c>
      <c r="IW96">
        <f t="shared" si="67"/>
        <v>1312509</v>
      </c>
      <c r="IX96">
        <v>53453</v>
      </c>
      <c r="IY96">
        <v>57341</v>
      </c>
      <c r="IZ96">
        <v>54391</v>
      </c>
      <c r="JA96">
        <v>66592</v>
      </c>
      <c r="JB96">
        <v>60865</v>
      </c>
      <c r="JC96">
        <v>62047</v>
      </c>
      <c r="JD96">
        <v>64419</v>
      </c>
      <c r="JE96">
        <v>58813</v>
      </c>
      <c r="JF96">
        <v>50054</v>
      </c>
      <c r="JG96">
        <v>59727</v>
      </c>
      <c r="JH96">
        <v>52231</v>
      </c>
      <c r="JI96">
        <v>53670</v>
      </c>
      <c r="JJ96">
        <f t="shared" si="68"/>
        <v>693603</v>
      </c>
      <c r="JK96">
        <v>0</v>
      </c>
      <c r="JL96">
        <v>0</v>
      </c>
      <c r="JM96">
        <v>0</v>
      </c>
      <c r="JN96">
        <v>0</v>
      </c>
      <c r="JO96">
        <v>0</v>
      </c>
      <c r="JP96">
        <v>0</v>
      </c>
      <c r="JQ96">
        <v>0</v>
      </c>
      <c r="JR96">
        <v>0</v>
      </c>
      <c r="JS96">
        <v>0</v>
      </c>
      <c r="JT96">
        <v>0</v>
      </c>
      <c r="JU96">
        <v>0</v>
      </c>
      <c r="JV96">
        <v>0</v>
      </c>
      <c r="JW96">
        <f t="shared" si="69"/>
        <v>0</v>
      </c>
      <c r="JX96">
        <v>53375</v>
      </c>
      <c r="JY96">
        <v>55368</v>
      </c>
      <c r="JZ96">
        <v>52373</v>
      </c>
      <c r="KA96">
        <v>53550</v>
      </c>
      <c r="KB96">
        <v>52505</v>
      </c>
      <c r="KC96">
        <v>49379</v>
      </c>
      <c r="KD96">
        <v>51214</v>
      </c>
      <c r="KE96">
        <v>50330</v>
      </c>
      <c r="KF96">
        <v>46403</v>
      </c>
      <c r="KG96">
        <v>50622</v>
      </c>
      <c r="KH96">
        <v>44222</v>
      </c>
      <c r="KI96">
        <v>48305</v>
      </c>
      <c r="KJ96">
        <f t="shared" si="70"/>
        <v>607646</v>
      </c>
      <c r="KK96">
        <v>451</v>
      </c>
      <c r="KL96">
        <v>439</v>
      </c>
      <c r="KM96">
        <v>529</v>
      </c>
      <c r="KN96">
        <v>555</v>
      </c>
      <c r="KO96">
        <v>459</v>
      </c>
      <c r="KP96">
        <v>435</v>
      </c>
      <c r="KQ96">
        <v>457</v>
      </c>
      <c r="KR96">
        <v>405</v>
      </c>
      <c r="KS96">
        <v>366</v>
      </c>
      <c r="KT96">
        <v>466</v>
      </c>
      <c r="KU96">
        <v>376</v>
      </c>
      <c r="KV96">
        <v>472</v>
      </c>
      <c r="KW96">
        <f t="shared" si="71"/>
        <v>5410</v>
      </c>
      <c r="KX96">
        <v>151</v>
      </c>
      <c r="KY96">
        <v>119</v>
      </c>
      <c r="KZ96">
        <v>142</v>
      </c>
      <c r="LA96">
        <v>225</v>
      </c>
      <c r="LB96">
        <v>154</v>
      </c>
      <c r="LC96">
        <v>160</v>
      </c>
      <c r="LD96">
        <v>172</v>
      </c>
      <c r="LE96">
        <v>121</v>
      </c>
      <c r="LF96">
        <v>146</v>
      </c>
      <c r="LG96">
        <v>150</v>
      </c>
      <c r="LH96">
        <v>125</v>
      </c>
      <c r="LI96">
        <v>112</v>
      </c>
      <c r="LJ96">
        <f t="shared" si="72"/>
        <v>1777</v>
      </c>
      <c r="LK96">
        <v>0</v>
      </c>
      <c r="LL96">
        <v>0</v>
      </c>
      <c r="LM96">
        <v>0</v>
      </c>
      <c r="LN96">
        <v>0</v>
      </c>
      <c r="LO96">
        <v>0</v>
      </c>
      <c r="LP96">
        <v>0</v>
      </c>
      <c r="LQ96">
        <v>0</v>
      </c>
      <c r="LR96">
        <v>0</v>
      </c>
      <c r="LS96">
        <v>0</v>
      </c>
      <c r="LT96">
        <v>0</v>
      </c>
      <c r="LU96">
        <v>0</v>
      </c>
      <c r="LV96">
        <v>0</v>
      </c>
      <c r="LW96">
        <f t="shared" si="73"/>
        <v>0</v>
      </c>
      <c r="LX96">
        <v>300</v>
      </c>
      <c r="LY96">
        <v>320</v>
      </c>
      <c r="LZ96">
        <v>387</v>
      </c>
      <c r="MA96">
        <v>330</v>
      </c>
      <c r="MB96">
        <v>305</v>
      </c>
      <c r="MC96">
        <v>275</v>
      </c>
      <c r="MD96">
        <v>285</v>
      </c>
      <c r="ME96">
        <v>284</v>
      </c>
      <c r="MF96">
        <v>220</v>
      </c>
      <c r="MG96">
        <v>316</v>
      </c>
      <c r="MH96">
        <v>251</v>
      </c>
      <c r="MI96">
        <v>360</v>
      </c>
      <c r="MJ96">
        <f t="shared" si="74"/>
        <v>3633</v>
      </c>
      <c r="MK96">
        <v>4185</v>
      </c>
      <c r="ML96">
        <v>4358</v>
      </c>
      <c r="MM96">
        <v>3870</v>
      </c>
      <c r="MN96">
        <v>4383</v>
      </c>
      <c r="MO96">
        <v>4578</v>
      </c>
      <c r="MP96">
        <v>4110</v>
      </c>
      <c r="MQ96">
        <v>4361</v>
      </c>
      <c r="MR96">
        <v>3998</v>
      </c>
      <c r="MS96">
        <v>4262</v>
      </c>
      <c r="MT96">
        <v>4379</v>
      </c>
      <c r="MU96">
        <v>4075</v>
      </c>
      <c r="MV96">
        <v>4343</v>
      </c>
      <c r="MW96">
        <f t="shared" si="75"/>
        <v>50902</v>
      </c>
      <c r="MX96">
        <v>965</v>
      </c>
      <c r="MY96">
        <v>951</v>
      </c>
      <c r="MZ96">
        <v>850</v>
      </c>
      <c r="NA96">
        <v>1032</v>
      </c>
      <c r="NB96">
        <v>1079</v>
      </c>
      <c r="NC96">
        <v>899</v>
      </c>
      <c r="ND96">
        <v>1054</v>
      </c>
      <c r="NE96">
        <v>1053</v>
      </c>
      <c r="NF96">
        <v>986</v>
      </c>
      <c r="NG96">
        <v>976</v>
      </c>
      <c r="NH96">
        <v>940</v>
      </c>
      <c r="NI96">
        <v>939</v>
      </c>
      <c r="NJ96">
        <f t="shared" si="76"/>
        <v>11724</v>
      </c>
      <c r="NK96">
        <v>0</v>
      </c>
      <c r="NL96">
        <v>0</v>
      </c>
      <c r="NM96">
        <v>0</v>
      </c>
      <c r="NN96">
        <v>0</v>
      </c>
      <c r="NO96">
        <v>0</v>
      </c>
      <c r="NP96">
        <v>0</v>
      </c>
      <c r="NQ96">
        <v>0</v>
      </c>
      <c r="NR96">
        <v>0</v>
      </c>
      <c r="NS96">
        <v>0</v>
      </c>
      <c r="NT96">
        <v>0</v>
      </c>
      <c r="NU96">
        <v>0</v>
      </c>
      <c r="NV96">
        <v>0</v>
      </c>
      <c r="NW96">
        <f t="shared" si="77"/>
        <v>0</v>
      </c>
      <c r="NX96">
        <v>3220</v>
      </c>
      <c r="NY96">
        <v>3407</v>
      </c>
      <c r="NZ96">
        <v>3020</v>
      </c>
      <c r="OA96">
        <v>3351</v>
      </c>
      <c r="OB96">
        <v>3499</v>
      </c>
      <c r="OC96">
        <v>3211</v>
      </c>
      <c r="OD96">
        <v>3307</v>
      </c>
      <c r="OE96">
        <v>2945</v>
      </c>
      <c r="OF96">
        <v>3276</v>
      </c>
      <c r="OG96">
        <v>3403</v>
      </c>
      <c r="OH96">
        <v>3135</v>
      </c>
      <c r="OI96">
        <v>3404</v>
      </c>
      <c r="OJ96">
        <f t="shared" si="78"/>
        <v>39178</v>
      </c>
      <c r="OK96">
        <v>4156</v>
      </c>
      <c r="OL96">
        <v>4393</v>
      </c>
      <c r="OM96">
        <v>4159</v>
      </c>
      <c r="ON96">
        <v>4358</v>
      </c>
      <c r="OO96">
        <v>4916</v>
      </c>
      <c r="OP96">
        <v>4480</v>
      </c>
      <c r="OQ96">
        <v>4736</v>
      </c>
      <c r="OR96">
        <v>4662</v>
      </c>
      <c r="OS96">
        <v>4543</v>
      </c>
      <c r="OT96">
        <v>5001</v>
      </c>
      <c r="OU96">
        <v>4928</v>
      </c>
      <c r="OV96">
        <v>5169</v>
      </c>
      <c r="OW96">
        <f t="shared" si="79"/>
        <v>55501</v>
      </c>
      <c r="OX96">
        <v>550</v>
      </c>
      <c r="OY96">
        <v>502</v>
      </c>
      <c r="OZ96">
        <v>510</v>
      </c>
      <c r="PA96">
        <v>604</v>
      </c>
      <c r="PB96">
        <v>715</v>
      </c>
      <c r="PC96">
        <v>604</v>
      </c>
      <c r="PD96">
        <v>609</v>
      </c>
      <c r="PE96">
        <v>587</v>
      </c>
      <c r="PF96">
        <v>606</v>
      </c>
      <c r="PG96">
        <v>690</v>
      </c>
      <c r="PH96">
        <v>663</v>
      </c>
      <c r="PI96">
        <v>670</v>
      </c>
      <c r="PJ96">
        <f t="shared" si="80"/>
        <v>7310</v>
      </c>
      <c r="PK96">
        <v>0</v>
      </c>
      <c r="PL96">
        <v>0</v>
      </c>
      <c r="PM96">
        <v>0</v>
      </c>
      <c r="PN96">
        <v>0</v>
      </c>
      <c r="PO96">
        <v>0</v>
      </c>
      <c r="PP96">
        <v>0</v>
      </c>
      <c r="PQ96">
        <v>0</v>
      </c>
      <c r="PR96">
        <v>0</v>
      </c>
      <c r="PS96">
        <v>0</v>
      </c>
      <c r="PT96">
        <v>0</v>
      </c>
      <c r="PU96">
        <v>0</v>
      </c>
      <c r="PV96">
        <v>0</v>
      </c>
      <c r="PW96">
        <f t="shared" si="81"/>
        <v>0</v>
      </c>
      <c r="PX96">
        <v>3606</v>
      </c>
      <c r="PY96">
        <v>3891</v>
      </c>
      <c r="PZ96">
        <v>3649</v>
      </c>
      <c r="QA96">
        <v>3754</v>
      </c>
      <c r="QB96">
        <v>4201</v>
      </c>
      <c r="QC96">
        <v>3876</v>
      </c>
      <c r="QD96">
        <v>4127</v>
      </c>
      <c r="QE96">
        <v>4075</v>
      </c>
      <c r="QF96">
        <v>3937</v>
      </c>
      <c r="QG96">
        <v>4311</v>
      </c>
      <c r="QH96">
        <v>4265</v>
      </c>
      <c r="QI96">
        <v>4499</v>
      </c>
      <c r="QJ96">
        <f t="shared" si="82"/>
        <v>48191</v>
      </c>
      <c r="QK96">
        <v>105626</v>
      </c>
      <c r="QL96">
        <v>113288</v>
      </c>
      <c r="QM96">
        <v>105820</v>
      </c>
      <c r="QN96">
        <v>107349</v>
      </c>
      <c r="QO96">
        <v>96101</v>
      </c>
      <c r="QP96">
        <v>116929</v>
      </c>
      <c r="QQ96">
        <v>121149</v>
      </c>
      <c r="QR96">
        <v>112337</v>
      </c>
      <c r="QS96">
        <v>95086</v>
      </c>
      <c r="QT96">
        <v>120313</v>
      </c>
      <c r="QU96">
        <v>111719</v>
      </c>
      <c r="QV96">
        <v>117613</v>
      </c>
      <c r="QW96">
        <f t="shared" si="83"/>
        <v>1323330</v>
      </c>
      <c r="QX96">
        <v>0</v>
      </c>
      <c r="QY96">
        <v>0</v>
      </c>
      <c r="QZ96">
        <v>0</v>
      </c>
      <c r="RA96">
        <v>0</v>
      </c>
      <c r="RB96">
        <v>0</v>
      </c>
      <c r="RC96">
        <v>0</v>
      </c>
      <c r="RD96">
        <v>0</v>
      </c>
      <c r="RE96">
        <v>0</v>
      </c>
      <c r="RF96">
        <v>0</v>
      </c>
      <c r="RG96">
        <v>0</v>
      </c>
      <c r="RH96">
        <v>0</v>
      </c>
      <c r="RI96">
        <v>0</v>
      </c>
      <c r="RJ96">
        <f t="shared" si="84"/>
        <v>0</v>
      </c>
      <c r="RK96">
        <v>0</v>
      </c>
      <c r="RL96">
        <v>0</v>
      </c>
      <c r="RM96">
        <v>0</v>
      </c>
      <c r="RN96">
        <v>0</v>
      </c>
      <c r="RO96">
        <v>0</v>
      </c>
      <c r="RP96">
        <v>0</v>
      </c>
      <c r="RQ96">
        <v>0</v>
      </c>
      <c r="RR96">
        <v>0</v>
      </c>
      <c r="RS96">
        <v>0</v>
      </c>
      <c r="RT96">
        <v>0</v>
      </c>
      <c r="RU96">
        <v>0</v>
      </c>
      <c r="RV96">
        <v>0</v>
      </c>
      <c r="RW96">
        <f t="shared" si="85"/>
        <v>0</v>
      </c>
      <c r="RX96">
        <v>0</v>
      </c>
      <c r="RY96">
        <v>0</v>
      </c>
      <c r="RZ96">
        <v>0</v>
      </c>
      <c r="SA96">
        <v>0</v>
      </c>
      <c r="SB96">
        <v>0</v>
      </c>
      <c r="SC96">
        <v>0</v>
      </c>
      <c r="SD96">
        <v>0</v>
      </c>
      <c r="SE96">
        <v>0</v>
      </c>
      <c r="SF96">
        <v>0</v>
      </c>
      <c r="SG96">
        <v>0</v>
      </c>
      <c r="SH96">
        <v>0</v>
      </c>
      <c r="SI96">
        <v>0</v>
      </c>
      <c r="SJ96">
        <f t="shared" si="86"/>
        <v>0</v>
      </c>
      <c r="SK96">
        <v>100</v>
      </c>
      <c r="SL96">
        <v>104</v>
      </c>
      <c r="SM96">
        <v>122</v>
      </c>
      <c r="SN96">
        <v>146</v>
      </c>
      <c r="SO96">
        <v>87</v>
      </c>
      <c r="SP96">
        <v>130</v>
      </c>
      <c r="SQ96">
        <v>107</v>
      </c>
      <c r="SR96">
        <v>115</v>
      </c>
      <c r="SS96">
        <v>81</v>
      </c>
      <c r="ST96">
        <v>117</v>
      </c>
      <c r="SU96">
        <v>112</v>
      </c>
      <c r="SV96">
        <v>105</v>
      </c>
      <c r="SW96">
        <f t="shared" si="87"/>
        <v>1326</v>
      </c>
      <c r="SX96" t="s">
        <v>1485</v>
      </c>
      <c r="SY96">
        <v>8203</v>
      </c>
      <c r="SZ96">
        <v>8642</v>
      </c>
      <c r="TA96">
        <v>8853</v>
      </c>
      <c r="TB96">
        <v>9365</v>
      </c>
      <c r="TC96">
        <v>9813</v>
      </c>
      <c r="TD96">
        <v>9440</v>
      </c>
      <c r="TE96">
        <v>9681</v>
      </c>
      <c r="TF96">
        <v>9033</v>
      </c>
      <c r="TG96">
        <v>8075</v>
      </c>
      <c r="TH96">
        <v>9047</v>
      </c>
      <c r="TI96">
        <v>8519</v>
      </c>
      <c r="TJ96">
        <v>9062</v>
      </c>
      <c r="TK96">
        <f t="shared" si="88"/>
        <v>107733</v>
      </c>
      <c r="TL96">
        <v>12551</v>
      </c>
      <c r="TM96">
        <v>24078</v>
      </c>
      <c r="TN96">
        <v>12216</v>
      </c>
      <c r="TO96">
        <v>8375</v>
      </c>
      <c r="TP96">
        <v>8253</v>
      </c>
      <c r="TQ96">
        <v>11060</v>
      </c>
      <c r="TR96">
        <v>12481</v>
      </c>
      <c r="TS96">
        <v>10702</v>
      </c>
      <c r="TT96">
        <v>9004</v>
      </c>
      <c r="TU96">
        <v>11054</v>
      </c>
      <c r="TV96">
        <v>10370</v>
      </c>
      <c r="TW96">
        <v>14252</v>
      </c>
      <c r="TX96">
        <f t="shared" si="89"/>
        <v>144396</v>
      </c>
      <c r="TY96">
        <v>256</v>
      </c>
      <c r="TZ96">
        <v>18</v>
      </c>
      <c r="UA96">
        <v>158</v>
      </c>
      <c r="UB96">
        <v>43</v>
      </c>
    </row>
    <row r="97" spans="1:548" ht="16.5" customHeight="1" x14ac:dyDescent="0.35">
      <c r="A97" t="s">
        <v>1496</v>
      </c>
      <c r="B97" t="s">
        <v>2865</v>
      </c>
      <c r="C97">
        <v>21198</v>
      </c>
      <c r="D97">
        <v>0</v>
      </c>
      <c r="E97">
        <v>0</v>
      </c>
      <c r="F97">
        <v>0</v>
      </c>
      <c r="G97">
        <v>0</v>
      </c>
      <c r="H97">
        <v>0</v>
      </c>
      <c r="I97">
        <v>626</v>
      </c>
      <c r="J97">
        <v>0</v>
      </c>
      <c r="K97">
        <v>0</v>
      </c>
      <c r="L97">
        <v>666</v>
      </c>
      <c r="M97">
        <v>0</v>
      </c>
      <c r="N97">
        <v>0</v>
      </c>
      <c r="O97">
        <v>567</v>
      </c>
      <c r="P97">
        <v>0</v>
      </c>
      <c r="Q97">
        <v>0</v>
      </c>
      <c r="R97">
        <v>519</v>
      </c>
      <c r="S97">
        <f t="shared" si="45"/>
        <v>2378</v>
      </c>
      <c r="T97">
        <v>0</v>
      </c>
      <c r="U97">
        <v>0</v>
      </c>
      <c r="V97">
        <v>352</v>
      </c>
      <c r="W97">
        <v>0</v>
      </c>
      <c r="X97">
        <v>0</v>
      </c>
      <c r="Y97">
        <v>400</v>
      </c>
      <c r="Z97">
        <v>0</v>
      </c>
      <c r="AA97">
        <v>0</v>
      </c>
      <c r="AB97">
        <v>273</v>
      </c>
      <c r="AC97">
        <v>0</v>
      </c>
      <c r="AD97">
        <v>0</v>
      </c>
      <c r="AE97">
        <v>245</v>
      </c>
      <c r="AF97">
        <f t="shared" si="46"/>
        <v>1270</v>
      </c>
      <c r="AG97">
        <v>0</v>
      </c>
      <c r="AH97">
        <v>0</v>
      </c>
      <c r="AI97">
        <v>0</v>
      </c>
      <c r="AJ97">
        <v>0</v>
      </c>
      <c r="AK97">
        <v>0</v>
      </c>
      <c r="AL97">
        <v>0</v>
      </c>
      <c r="AM97">
        <v>0</v>
      </c>
      <c r="AN97">
        <v>0</v>
      </c>
      <c r="AO97">
        <v>0</v>
      </c>
      <c r="AP97">
        <v>0</v>
      </c>
      <c r="AQ97">
        <v>0</v>
      </c>
      <c r="AR97">
        <v>0</v>
      </c>
      <c r="AS97">
        <f t="shared" si="47"/>
        <v>0</v>
      </c>
      <c r="AT97">
        <v>0</v>
      </c>
      <c r="AU97">
        <v>0</v>
      </c>
      <c r="AV97">
        <v>274</v>
      </c>
      <c r="AW97">
        <v>0</v>
      </c>
      <c r="AX97">
        <v>0</v>
      </c>
      <c r="AY97">
        <v>266</v>
      </c>
      <c r="AZ97">
        <v>0</v>
      </c>
      <c r="BA97">
        <v>0</v>
      </c>
      <c r="BB97">
        <v>294</v>
      </c>
      <c r="BC97">
        <v>0</v>
      </c>
      <c r="BD97">
        <v>0</v>
      </c>
      <c r="BE97">
        <v>274</v>
      </c>
      <c r="BF97">
        <f t="shared" si="48"/>
        <v>1108</v>
      </c>
      <c r="BG97">
        <v>0</v>
      </c>
      <c r="BH97">
        <v>0</v>
      </c>
      <c r="BI97">
        <v>0</v>
      </c>
      <c r="BJ97">
        <v>0</v>
      </c>
      <c r="BK97">
        <v>0</v>
      </c>
      <c r="BL97">
        <v>0</v>
      </c>
      <c r="BM97">
        <v>0</v>
      </c>
      <c r="BN97">
        <v>0</v>
      </c>
      <c r="BO97">
        <v>0</v>
      </c>
      <c r="BP97">
        <v>0</v>
      </c>
      <c r="BQ97">
        <v>0</v>
      </c>
      <c r="BR97">
        <v>0</v>
      </c>
      <c r="BS97">
        <f t="shared" si="49"/>
        <v>0</v>
      </c>
      <c r="BT97">
        <v>0</v>
      </c>
      <c r="BU97">
        <v>0</v>
      </c>
      <c r="BV97">
        <v>0</v>
      </c>
      <c r="BW97">
        <v>0</v>
      </c>
      <c r="BX97">
        <v>0</v>
      </c>
      <c r="BY97">
        <v>0</v>
      </c>
      <c r="BZ97">
        <v>0</v>
      </c>
      <c r="CA97">
        <v>0</v>
      </c>
      <c r="CB97">
        <v>0</v>
      </c>
      <c r="CC97">
        <v>0</v>
      </c>
      <c r="CD97">
        <v>0</v>
      </c>
      <c r="CE97">
        <v>0</v>
      </c>
      <c r="CF97">
        <f t="shared" si="50"/>
        <v>0</v>
      </c>
      <c r="CG97">
        <v>0</v>
      </c>
      <c r="CH97">
        <v>0</v>
      </c>
      <c r="CI97">
        <v>0</v>
      </c>
      <c r="CJ97">
        <v>0</v>
      </c>
      <c r="CK97">
        <v>0</v>
      </c>
      <c r="CL97">
        <v>0</v>
      </c>
      <c r="CM97">
        <v>0</v>
      </c>
      <c r="CN97">
        <v>0</v>
      </c>
      <c r="CO97">
        <v>0</v>
      </c>
      <c r="CP97">
        <v>0</v>
      </c>
      <c r="CQ97">
        <v>0</v>
      </c>
      <c r="CR97">
        <v>0</v>
      </c>
      <c r="CS97">
        <f t="shared" si="51"/>
        <v>0</v>
      </c>
      <c r="CT97">
        <v>0</v>
      </c>
      <c r="CU97">
        <v>0</v>
      </c>
      <c r="CV97">
        <v>0</v>
      </c>
      <c r="CW97">
        <v>0</v>
      </c>
      <c r="CX97">
        <v>0</v>
      </c>
      <c r="CY97">
        <v>0</v>
      </c>
      <c r="CZ97">
        <v>0</v>
      </c>
      <c r="DA97">
        <v>0</v>
      </c>
      <c r="DB97">
        <v>0</v>
      </c>
      <c r="DC97">
        <v>0</v>
      </c>
      <c r="DD97">
        <v>0</v>
      </c>
      <c r="DE97">
        <v>0</v>
      </c>
      <c r="DF97">
        <f t="shared" si="52"/>
        <v>0</v>
      </c>
      <c r="DG97">
        <v>0</v>
      </c>
      <c r="DH97">
        <v>0</v>
      </c>
      <c r="DI97">
        <v>0</v>
      </c>
      <c r="DJ97">
        <v>0</v>
      </c>
      <c r="DK97">
        <v>0</v>
      </c>
      <c r="DL97">
        <v>0</v>
      </c>
      <c r="DM97">
        <v>0</v>
      </c>
      <c r="DN97">
        <v>0</v>
      </c>
      <c r="DO97">
        <v>0</v>
      </c>
      <c r="DP97">
        <v>0</v>
      </c>
      <c r="DQ97">
        <v>0</v>
      </c>
      <c r="DR97">
        <v>0</v>
      </c>
      <c r="DS97">
        <f t="shared" si="53"/>
        <v>0</v>
      </c>
      <c r="DT97">
        <v>0</v>
      </c>
      <c r="DU97">
        <v>0</v>
      </c>
      <c r="DV97">
        <v>0</v>
      </c>
      <c r="DW97">
        <v>0</v>
      </c>
      <c r="DX97">
        <v>0</v>
      </c>
      <c r="DY97">
        <v>0</v>
      </c>
      <c r="DZ97">
        <v>0</v>
      </c>
      <c r="EA97">
        <v>0</v>
      </c>
      <c r="EB97">
        <v>0</v>
      </c>
      <c r="EC97">
        <v>0</v>
      </c>
      <c r="ED97">
        <v>0</v>
      </c>
      <c r="EE97">
        <v>0</v>
      </c>
      <c r="EF97">
        <f t="shared" si="54"/>
        <v>0</v>
      </c>
      <c r="EG97">
        <f t="shared" si="55"/>
        <v>2378</v>
      </c>
      <c r="EH97">
        <f t="shared" si="56"/>
        <v>0</v>
      </c>
      <c r="EI97">
        <v>0</v>
      </c>
      <c r="EJ97">
        <v>0</v>
      </c>
      <c r="EK97">
        <v>6482</v>
      </c>
      <c r="EL97">
        <v>0</v>
      </c>
      <c r="EM97">
        <v>0</v>
      </c>
      <c r="EN97">
        <v>9447</v>
      </c>
      <c r="EO97">
        <v>0</v>
      </c>
      <c r="EP97">
        <v>0</v>
      </c>
      <c r="EQ97">
        <v>5882</v>
      </c>
      <c r="ER97">
        <v>0</v>
      </c>
      <c r="ES97">
        <v>0</v>
      </c>
      <c r="ET97">
        <v>5413</v>
      </c>
      <c r="EU97">
        <f t="shared" si="57"/>
        <v>27224</v>
      </c>
      <c r="EV97">
        <v>0</v>
      </c>
      <c r="EW97">
        <v>0</v>
      </c>
      <c r="EX97">
        <v>3129</v>
      </c>
      <c r="EY97">
        <v>0</v>
      </c>
      <c r="EZ97">
        <v>0</v>
      </c>
      <c r="FA97">
        <v>5507</v>
      </c>
      <c r="FB97">
        <v>0</v>
      </c>
      <c r="FC97">
        <v>0</v>
      </c>
      <c r="FD97">
        <v>2906</v>
      </c>
      <c r="FE97">
        <v>0</v>
      </c>
      <c r="FF97">
        <v>0</v>
      </c>
      <c r="FG97">
        <v>2774</v>
      </c>
      <c r="FH97">
        <f t="shared" si="58"/>
        <v>14316</v>
      </c>
      <c r="FI97">
        <v>0</v>
      </c>
      <c r="FJ97">
        <v>0</v>
      </c>
      <c r="FK97">
        <v>0</v>
      </c>
      <c r="FL97">
        <v>0</v>
      </c>
      <c r="FM97">
        <v>0</v>
      </c>
      <c r="FN97">
        <v>0</v>
      </c>
      <c r="FO97">
        <v>0</v>
      </c>
      <c r="FP97">
        <v>0</v>
      </c>
      <c r="FQ97">
        <v>0</v>
      </c>
      <c r="FR97">
        <v>0</v>
      </c>
      <c r="FS97">
        <v>0</v>
      </c>
      <c r="FT97">
        <v>0</v>
      </c>
      <c r="FU97">
        <f t="shared" si="59"/>
        <v>0</v>
      </c>
      <c r="FV97">
        <v>0</v>
      </c>
      <c r="FW97">
        <v>0</v>
      </c>
      <c r="FX97">
        <v>3353</v>
      </c>
      <c r="FY97">
        <v>0</v>
      </c>
      <c r="FZ97">
        <v>0</v>
      </c>
      <c r="GA97">
        <v>3940</v>
      </c>
      <c r="GB97">
        <v>0</v>
      </c>
      <c r="GC97">
        <v>0</v>
      </c>
      <c r="GD97">
        <v>2976</v>
      </c>
      <c r="GE97">
        <v>0</v>
      </c>
      <c r="GF97">
        <v>0</v>
      </c>
      <c r="GG97">
        <v>2639</v>
      </c>
      <c r="GH97">
        <f t="shared" si="60"/>
        <v>12908</v>
      </c>
      <c r="GI97">
        <v>0</v>
      </c>
      <c r="GJ97">
        <v>0</v>
      </c>
      <c r="GK97">
        <v>0</v>
      </c>
      <c r="GL97">
        <v>0</v>
      </c>
      <c r="GM97">
        <v>0</v>
      </c>
      <c r="GN97">
        <v>0</v>
      </c>
      <c r="GO97">
        <v>0</v>
      </c>
      <c r="GP97">
        <v>0</v>
      </c>
      <c r="GQ97">
        <v>0</v>
      </c>
      <c r="GR97">
        <v>0</v>
      </c>
      <c r="GS97">
        <v>0</v>
      </c>
      <c r="GT97">
        <v>0</v>
      </c>
      <c r="GU97">
        <f t="shared" si="61"/>
        <v>0</v>
      </c>
      <c r="GV97">
        <v>0</v>
      </c>
      <c r="GW97">
        <v>0</v>
      </c>
      <c r="GX97">
        <v>0</v>
      </c>
      <c r="GY97">
        <v>0</v>
      </c>
      <c r="GZ97">
        <v>0</v>
      </c>
      <c r="HA97">
        <v>0</v>
      </c>
      <c r="HB97">
        <v>0</v>
      </c>
      <c r="HC97">
        <v>0</v>
      </c>
      <c r="HD97">
        <v>0</v>
      </c>
      <c r="HE97">
        <v>0</v>
      </c>
      <c r="HF97">
        <v>0</v>
      </c>
      <c r="HG97">
        <v>0</v>
      </c>
      <c r="HH97">
        <f t="shared" si="62"/>
        <v>0</v>
      </c>
      <c r="HI97">
        <v>0</v>
      </c>
      <c r="HJ97">
        <v>0</v>
      </c>
      <c r="HK97">
        <v>0</v>
      </c>
      <c r="HL97">
        <v>0</v>
      </c>
      <c r="HM97">
        <v>0</v>
      </c>
      <c r="HN97">
        <v>0</v>
      </c>
      <c r="HO97">
        <v>0</v>
      </c>
      <c r="HP97">
        <v>0</v>
      </c>
      <c r="HQ97">
        <v>0</v>
      </c>
      <c r="HR97">
        <v>0</v>
      </c>
      <c r="HS97">
        <v>0</v>
      </c>
      <c r="HT97">
        <v>0</v>
      </c>
      <c r="HU97">
        <f t="shared" si="63"/>
        <v>0</v>
      </c>
      <c r="HV97">
        <v>0</v>
      </c>
      <c r="HW97">
        <v>0</v>
      </c>
      <c r="HX97">
        <v>0</v>
      </c>
      <c r="HY97">
        <v>0</v>
      </c>
      <c r="HZ97">
        <v>0</v>
      </c>
      <c r="IA97">
        <v>0</v>
      </c>
      <c r="IB97">
        <v>0</v>
      </c>
      <c r="IC97">
        <v>0</v>
      </c>
      <c r="ID97">
        <v>0</v>
      </c>
      <c r="IE97">
        <v>0</v>
      </c>
      <c r="IF97">
        <v>0</v>
      </c>
      <c r="IG97">
        <v>0</v>
      </c>
      <c r="IH97">
        <f t="shared" si="64"/>
        <v>0</v>
      </c>
      <c r="II97">
        <f t="shared" si="65"/>
        <v>27224</v>
      </c>
      <c r="IJ97">
        <f t="shared" si="66"/>
        <v>0</v>
      </c>
      <c r="IK97">
        <v>0</v>
      </c>
      <c r="IL97">
        <v>0</v>
      </c>
      <c r="IM97">
        <v>96218</v>
      </c>
      <c r="IN97">
        <v>0</v>
      </c>
      <c r="IO97">
        <v>0</v>
      </c>
      <c r="IP97">
        <v>109583</v>
      </c>
      <c r="IQ97">
        <v>0</v>
      </c>
      <c r="IR97">
        <v>0</v>
      </c>
      <c r="IS97">
        <v>82609</v>
      </c>
      <c r="IT97">
        <v>0</v>
      </c>
      <c r="IU97">
        <v>0</v>
      </c>
      <c r="IV97">
        <v>86274</v>
      </c>
      <c r="IW97">
        <f t="shared" si="67"/>
        <v>374684</v>
      </c>
      <c r="IX97">
        <v>0</v>
      </c>
      <c r="IY97">
        <v>0</v>
      </c>
      <c r="IZ97">
        <v>0</v>
      </c>
      <c r="JA97">
        <v>0</v>
      </c>
      <c r="JB97">
        <v>0</v>
      </c>
      <c r="JC97">
        <v>0</v>
      </c>
      <c r="JD97">
        <v>0</v>
      </c>
      <c r="JE97">
        <v>0</v>
      </c>
      <c r="JF97">
        <v>0</v>
      </c>
      <c r="JG97">
        <v>0</v>
      </c>
      <c r="JH97">
        <v>0</v>
      </c>
      <c r="JI97">
        <v>0</v>
      </c>
      <c r="JJ97">
        <f t="shared" si="68"/>
        <v>0</v>
      </c>
      <c r="JK97">
        <v>0</v>
      </c>
      <c r="JL97">
        <v>0</v>
      </c>
      <c r="JM97">
        <v>0</v>
      </c>
      <c r="JN97">
        <v>0</v>
      </c>
      <c r="JO97">
        <v>0</v>
      </c>
      <c r="JP97">
        <v>0</v>
      </c>
      <c r="JQ97">
        <v>0</v>
      </c>
      <c r="JR97">
        <v>0</v>
      </c>
      <c r="JS97">
        <v>0</v>
      </c>
      <c r="JT97">
        <v>0</v>
      </c>
      <c r="JU97">
        <v>0</v>
      </c>
      <c r="JV97">
        <v>0</v>
      </c>
      <c r="JW97">
        <f t="shared" si="69"/>
        <v>0</v>
      </c>
      <c r="JX97">
        <v>0</v>
      </c>
      <c r="JY97">
        <v>0</v>
      </c>
      <c r="JZ97">
        <v>0</v>
      </c>
      <c r="KA97">
        <v>0</v>
      </c>
      <c r="KB97">
        <v>0</v>
      </c>
      <c r="KC97">
        <v>0</v>
      </c>
      <c r="KD97">
        <v>0</v>
      </c>
      <c r="KE97">
        <v>0</v>
      </c>
      <c r="KF97">
        <v>0</v>
      </c>
      <c r="KG97">
        <v>0</v>
      </c>
      <c r="KH97">
        <v>0</v>
      </c>
      <c r="KI97">
        <v>0</v>
      </c>
      <c r="KJ97">
        <f t="shared" si="70"/>
        <v>0</v>
      </c>
      <c r="KK97">
        <v>0</v>
      </c>
      <c r="KL97">
        <v>0</v>
      </c>
      <c r="KM97">
        <v>0</v>
      </c>
      <c r="KN97">
        <v>0</v>
      </c>
      <c r="KO97">
        <v>0</v>
      </c>
      <c r="KP97">
        <v>0</v>
      </c>
      <c r="KQ97">
        <v>0</v>
      </c>
      <c r="KR97">
        <v>0</v>
      </c>
      <c r="KS97">
        <v>0</v>
      </c>
      <c r="KT97">
        <v>0</v>
      </c>
      <c r="KU97">
        <v>0</v>
      </c>
      <c r="KV97">
        <v>0</v>
      </c>
      <c r="KW97">
        <f t="shared" si="71"/>
        <v>0</v>
      </c>
      <c r="KX97">
        <v>0</v>
      </c>
      <c r="KY97">
        <v>0</v>
      </c>
      <c r="KZ97">
        <v>0</v>
      </c>
      <c r="LA97">
        <v>0</v>
      </c>
      <c r="LB97">
        <v>0</v>
      </c>
      <c r="LC97">
        <v>0</v>
      </c>
      <c r="LD97">
        <v>0</v>
      </c>
      <c r="LE97">
        <v>0</v>
      </c>
      <c r="LF97">
        <v>0</v>
      </c>
      <c r="LG97">
        <v>0</v>
      </c>
      <c r="LH97">
        <v>0</v>
      </c>
      <c r="LI97">
        <v>0</v>
      </c>
      <c r="LJ97">
        <f t="shared" si="72"/>
        <v>0</v>
      </c>
      <c r="LK97">
        <v>0</v>
      </c>
      <c r="LL97">
        <v>0</v>
      </c>
      <c r="LM97">
        <v>0</v>
      </c>
      <c r="LN97">
        <v>0</v>
      </c>
      <c r="LO97">
        <v>0</v>
      </c>
      <c r="LP97">
        <v>0</v>
      </c>
      <c r="LQ97">
        <v>0</v>
      </c>
      <c r="LR97">
        <v>0</v>
      </c>
      <c r="LS97">
        <v>0</v>
      </c>
      <c r="LT97">
        <v>0</v>
      </c>
      <c r="LU97">
        <v>0</v>
      </c>
      <c r="LV97">
        <v>0</v>
      </c>
      <c r="LW97">
        <f t="shared" si="73"/>
        <v>0</v>
      </c>
      <c r="LX97">
        <v>0</v>
      </c>
      <c r="LY97">
        <v>0</v>
      </c>
      <c r="LZ97">
        <v>0</v>
      </c>
      <c r="MA97">
        <v>0</v>
      </c>
      <c r="MB97">
        <v>0</v>
      </c>
      <c r="MC97">
        <v>0</v>
      </c>
      <c r="MD97">
        <v>0</v>
      </c>
      <c r="ME97">
        <v>0</v>
      </c>
      <c r="MF97">
        <v>0</v>
      </c>
      <c r="MG97">
        <v>0</v>
      </c>
      <c r="MH97">
        <v>0</v>
      </c>
      <c r="MI97">
        <v>0</v>
      </c>
      <c r="MJ97">
        <f t="shared" si="74"/>
        <v>0</v>
      </c>
      <c r="MK97">
        <v>0</v>
      </c>
      <c r="ML97">
        <v>0</v>
      </c>
      <c r="MM97">
        <v>3103</v>
      </c>
      <c r="MN97">
        <v>0</v>
      </c>
      <c r="MO97">
        <v>0</v>
      </c>
      <c r="MP97">
        <v>3189</v>
      </c>
      <c r="MQ97">
        <v>0</v>
      </c>
      <c r="MR97">
        <v>0</v>
      </c>
      <c r="MS97">
        <v>2960</v>
      </c>
      <c r="MT97">
        <v>0</v>
      </c>
      <c r="MU97">
        <v>0</v>
      </c>
      <c r="MV97">
        <v>2702</v>
      </c>
      <c r="MW97">
        <f t="shared" si="75"/>
        <v>11954</v>
      </c>
      <c r="MX97">
        <v>0</v>
      </c>
      <c r="MY97">
        <v>0</v>
      </c>
      <c r="MZ97">
        <v>0</v>
      </c>
      <c r="NA97">
        <v>0</v>
      </c>
      <c r="NB97">
        <v>0</v>
      </c>
      <c r="NC97">
        <v>0</v>
      </c>
      <c r="ND97">
        <v>0</v>
      </c>
      <c r="NE97">
        <v>0</v>
      </c>
      <c r="NF97">
        <v>0</v>
      </c>
      <c r="NG97">
        <v>0</v>
      </c>
      <c r="NH97">
        <v>0</v>
      </c>
      <c r="NI97">
        <v>0</v>
      </c>
      <c r="NJ97">
        <f t="shared" si="76"/>
        <v>0</v>
      </c>
      <c r="NK97">
        <v>0</v>
      </c>
      <c r="NL97">
        <v>0</v>
      </c>
      <c r="NM97">
        <v>0</v>
      </c>
      <c r="NN97">
        <v>0</v>
      </c>
      <c r="NO97">
        <v>0</v>
      </c>
      <c r="NP97">
        <v>0</v>
      </c>
      <c r="NQ97">
        <v>0</v>
      </c>
      <c r="NR97">
        <v>0</v>
      </c>
      <c r="NS97">
        <v>0</v>
      </c>
      <c r="NT97">
        <v>0</v>
      </c>
      <c r="NU97">
        <v>0</v>
      </c>
      <c r="NV97">
        <v>0</v>
      </c>
      <c r="NW97">
        <f t="shared" si="77"/>
        <v>0</v>
      </c>
      <c r="NX97">
        <v>0</v>
      </c>
      <c r="NY97">
        <v>0</v>
      </c>
      <c r="NZ97">
        <v>0</v>
      </c>
      <c r="OA97">
        <v>0</v>
      </c>
      <c r="OB97">
        <v>0</v>
      </c>
      <c r="OC97">
        <v>0</v>
      </c>
      <c r="OD97">
        <v>0</v>
      </c>
      <c r="OE97">
        <v>0</v>
      </c>
      <c r="OF97">
        <v>0</v>
      </c>
      <c r="OG97">
        <v>0</v>
      </c>
      <c r="OH97">
        <v>0</v>
      </c>
      <c r="OI97">
        <v>0</v>
      </c>
      <c r="OJ97">
        <f t="shared" si="78"/>
        <v>0</v>
      </c>
      <c r="OK97">
        <v>0</v>
      </c>
      <c r="OL97">
        <v>0</v>
      </c>
      <c r="OM97">
        <v>3987</v>
      </c>
      <c r="ON97">
        <v>0</v>
      </c>
      <c r="OO97">
        <v>0</v>
      </c>
      <c r="OP97">
        <v>4313</v>
      </c>
      <c r="OQ97">
        <v>0</v>
      </c>
      <c r="OR97">
        <v>0</v>
      </c>
      <c r="OS97">
        <v>3960</v>
      </c>
      <c r="OT97">
        <v>0</v>
      </c>
      <c r="OU97">
        <v>0</v>
      </c>
      <c r="OV97">
        <v>4386</v>
      </c>
      <c r="OW97">
        <f t="shared" si="79"/>
        <v>16646</v>
      </c>
      <c r="OX97">
        <v>0</v>
      </c>
      <c r="OY97">
        <v>0</v>
      </c>
      <c r="OZ97">
        <v>0</v>
      </c>
      <c r="PA97">
        <v>0</v>
      </c>
      <c r="PB97">
        <v>0</v>
      </c>
      <c r="PC97">
        <v>0</v>
      </c>
      <c r="PD97">
        <v>0</v>
      </c>
      <c r="PE97">
        <v>0</v>
      </c>
      <c r="PF97">
        <v>0</v>
      </c>
      <c r="PG97">
        <v>0</v>
      </c>
      <c r="PH97">
        <v>0</v>
      </c>
      <c r="PI97">
        <v>0</v>
      </c>
      <c r="PJ97">
        <f t="shared" si="80"/>
        <v>0</v>
      </c>
      <c r="PK97">
        <v>0</v>
      </c>
      <c r="PL97">
        <v>0</v>
      </c>
      <c r="PM97">
        <v>0</v>
      </c>
      <c r="PN97">
        <v>0</v>
      </c>
      <c r="PO97">
        <v>0</v>
      </c>
      <c r="PP97">
        <v>0</v>
      </c>
      <c r="PQ97">
        <v>0</v>
      </c>
      <c r="PR97">
        <v>0</v>
      </c>
      <c r="PS97">
        <v>0</v>
      </c>
      <c r="PT97">
        <v>0</v>
      </c>
      <c r="PU97">
        <v>0</v>
      </c>
      <c r="PV97">
        <v>0</v>
      </c>
      <c r="PW97">
        <f t="shared" si="81"/>
        <v>0</v>
      </c>
      <c r="PX97">
        <v>0</v>
      </c>
      <c r="PY97">
        <v>0</v>
      </c>
      <c r="PZ97">
        <v>0</v>
      </c>
      <c r="QA97">
        <v>0</v>
      </c>
      <c r="QB97">
        <v>0</v>
      </c>
      <c r="QC97">
        <v>0</v>
      </c>
      <c r="QD97">
        <v>0</v>
      </c>
      <c r="QE97">
        <v>0</v>
      </c>
      <c r="QF97">
        <v>0</v>
      </c>
      <c r="QG97">
        <v>0</v>
      </c>
      <c r="QH97">
        <v>0</v>
      </c>
      <c r="QI97">
        <v>0</v>
      </c>
      <c r="QJ97">
        <f t="shared" si="82"/>
        <v>0</v>
      </c>
      <c r="QK97">
        <v>0</v>
      </c>
      <c r="QL97">
        <v>0</v>
      </c>
      <c r="QM97">
        <v>35675</v>
      </c>
      <c r="QN97">
        <v>0</v>
      </c>
      <c r="QO97">
        <v>0</v>
      </c>
      <c r="QP97">
        <v>43760</v>
      </c>
      <c r="QQ97">
        <v>0</v>
      </c>
      <c r="QR97">
        <v>0</v>
      </c>
      <c r="QS97">
        <v>37524</v>
      </c>
      <c r="QT97">
        <v>0</v>
      </c>
      <c r="QU97">
        <v>0</v>
      </c>
      <c r="QV97">
        <v>40237</v>
      </c>
      <c r="QW97">
        <f t="shared" si="83"/>
        <v>157196</v>
      </c>
      <c r="QX97">
        <v>0</v>
      </c>
      <c r="QY97">
        <v>0</v>
      </c>
      <c r="QZ97">
        <v>81800</v>
      </c>
      <c r="RA97">
        <v>0</v>
      </c>
      <c r="RB97">
        <v>0</v>
      </c>
      <c r="RC97">
        <v>82147</v>
      </c>
      <c r="RD97">
        <v>0</v>
      </c>
      <c r="RE97">
        <v>0</v>
      </c>
      <c r="RF97">
        <v>72425</v>
      </c>
      <c r="RG97">
        <v>0</v>
      </c>
      <c r="RH97">
        <v>0</v>
      </c>
      <c r="RI97">
        <v>78580</v>
      </c>
      <c r="RJ97">
        <f t="shared" si="84"/>
        <v>314952</v>
      </c>
      <c r="RK97">
        <v>0</v>
      </c>
      <c r="RL97">
        <v>0</v>
      </c>
      <c r="RM97">
        <v>0</v>
      </c>
      <c r="RN97">
        <v>0</v>
      </c>
      <c r="RO97">
        <v>0</v>
      </c>
      <c r="RP97">
        <v>0</v>
      </c>
      <c r="RQ97">
        <v>0</v>
      </c>
      <c r="RR97">
        <v>0</v>
      </c>
      <c r="RS97">
        <v>0</v>
      </c>
      <c r="RT97">
        <v>0</v>
      </c>
      <c r="RU97">
        <v>0</v>
      </c>
      <c r="RV97">
        <v>0</v>
      </c>
      <c r="RW97">
        <f t="shared" si="85"/>
        <v>0</v>
      </c>
      <c r="RX97">
        <v>0</v>
      </c>
      <c r="RY97">
        <v>0</v>
      </c>
      <c r="RZ97">
        <v>0</v>
      </c>
      <c r="SA97">
        <v>0</v>
      </c>
      <c r="SB97">
        <v>0</v>
      </c>
      <c r="SC97">
        <v>0</v>
      </c>
      <c r="SD97">
        <v>0</v>
      </c>
      <c r="SE97">
        <v>0</v>
      </c>
      <c r="SF97">
        <v>0</v>
      </c>
      <c r="SG97">
        <v>0</v>
      </c>
      <c r="SH97">
        <v>0</v>
      </c>
      <c r="SI97">
        <v>0</v>
      </c>
      <c r="SJ97">
        <f t="shared" si="86"/>
        <v>0</v>
      </c>
      <c r="SK97">
        <v>0</v>
      </c>
      <c r="SL97">
        <v>0</v>
      </c>
      <c r="SM97">
        <v>0</v>
      </c>
      <c r="SN97">
        <v>0</v>
      </c>
      <c r="SO97">
        <v>0</v>
      </c>
      <c r="SP97">
        <v>0</v>
      </c>
      <c r="SQ97">
        <v>0</v>
      </c>
      <c r="SR97">
        <v>0</v>
      </c>
      <c r="SS97">
        <v>0</v>
      </c>
      <c r="ST97">
        <v>0</v>
      </c>
      <c r="SU97">
        <v>0</v>
      </c>
      <c r="SV97">
        <v>0</v>
      </c>
      <c r="SW97">
        <f t="shared" si="87"/>
        <v>0</v>
      </c>
      <c r="SX97" t="s">
        <v>1497</v>
      </c>
      <c r="SY97">
        <v>0</v>
      </c>
      <c r="SZ97">
        <v>0</v>
      </c>
      <c r="TA97">
        <v>0</v>
      </c>
      <c r="TB97">
        <v>0</v>
      </c>
      <c r="TC97">
        <v>0</v>
      </c>
      <c r="TD97">
        <v>0</v>
      </c>
      <c r="TE97">
        <v>0</v>
      </c>
      <c r="TF97">
        <v>0</v>
      </c>
      <c r="TG97">
        <v>0</v>
      </c>
      <c r="TH97">
        <v>0</v>
      </c>
      <c r="TI97">
        <v>0</v>
      </c>
      <c r="TJ97">
        <v>13910</v>
      </c>
      <c r="TK97">
        <f t="shared" si="88"/>
        <v>13910</v>
      </c>
      <c r="TL97">
        <v>0</v>
      </c>
      <c r="TM97">
        <v>0</v>
      </c>
      <c r="TN97">
        <v>0</v>
      </c>
      <c r="TO97">
        <v>0</v>
      </c>
      <c r="TP97">
        <v>0</v>
      </c>
      <c r="TQ97">
        <v>0</v>
      </c>
      <c r="TR97">
        <v>0</v>
      </c>
      <c r="TS97">
        <v>0</v>
      </c>
      <c r="TT97">
        <v>0</v>
      </c>
      <c r="TU97">
        <v>0</v>
      </c>
      <c r="TV97">
        <v>0</v>
      </c>
      <c r="TW97">
        <v>0</v>
      </c>
      <c r="TX97">
        <f t="shared" si="89"/>
        <v>0</v>
      </c>
      <c r="TY97">
        <v>69</v>
      </c>
      <c r="TZ97">
        <v>0</v>
      </c>
      <c r="UA97">
        <v>0</v>
      </c>
      <c r="UB97">
        <v>0</v>
      </c>
    </row>
    <row r="98" spans="1:548" ht="16.5" customHeight="1" x14ac:dyDescent="0.35">
      <c r="A98" t="s">
        <v>1397</v>
      </c>
      <c r="B98" t="s">
        <v>2863</v>
      </c>
      <c r="C98">
        <v>75930</v>
      </c>
      <c r="D98">
        <v>17405</v>
      </c>
      <c r="E98">
        <v>3361</v>
      </c>
      <c r="F98">
        <v>55164</v>
      </c>
      <c r="G98">
        <v>635</v>
      </c>
      <c r="H98">
        <v>701</v>
      </c>
      <c r="I98">
        <v>548</v>
      </c>
      <c r="J98">
        <v>576</v>
      </c>
      <c r="K98">
        <v>597</v>
      </c>
      <c r="L98">
        <v>587</v>
      </c>
      <c r="M98">
        <v>668</v>
      </c>
      <c r="N98">
        <v>658</v>
      </c>
      <c r="O98">
        <v>598</v>
      </c>
      <c r="P98">
        <v>686</v>
      </c>
      <c r="Q98">
        <v>714</v>
      </c>
      <c r="R98">
        <v>831</v>
      </c>
      <c r="S98">
        <f t="shared" si="45"/>
        <v>7799</v>
      </c>
      <c r="T98">
        <v>293</v>
      </c>
      <c r="U98">
        <v>306</v>
      </c>
      <c r="V98">
        <v>265</v>
      </c>
      <c r="W98">
        <v>289</v>
      </c>
      <c r="X98">
        <v>305</v>
      </c>
      <c r="Y98">
        <v>302</v>
      </c>
      <c r="Z98">
        <v>326</v>
      </c>
      <c r="AA98">
        <v>289</v>
      </c>
      <c r="AB98">
        <v>290</v>
      </c>
      <c r="AC98">
        <v>316</v>
      </c>
      <c r="AD98">
        <v>316</v>
      </c>
      <c r="AE98">
        <v>362</v>
      </c>
      <c r="AF98">
        <f t="shared" si="46"/>
        <v>3659</v>
      </c>
      <c r="AG98">
        <v>33</v>
      </c>
      <c r="AH98">
        <v>29</v>
      </c>
      <c r="AI98">
        <v>41</v>
      </c>
      <c r="AJ98">
        <v>32</v>
      </c>
      <c r="AK98">
        <v>32</v>
      </c>
      <c r="AL98">
        <v>44</v>
      </c>
      <c r="AM98">
        <v>37</v>
      </c>
      <c r="AN98">
        <v>28</v>
      </c>
      <c r="AO98">
        <v>25</v>
      </c>
      <c r="AP98">
        <v>37</v>
      </c>
      <c r="AQ98">
        <v>34</v>
      </c>
      <c r="AR98">
        <v>31</v>
      </c>
      <c r="AS98">
        <f t="shared" si="47"/>
        <v>403</v>
      </c>
      <c r="AT98">
        <v>244</v>
      </c>
      <c r="AU98">
        <v>274</v>
      </c>
      <c r="AV98">
        <v>179</v>
      </c>
      <c r="AW98">
        <v>199</v>
      </c>
      <c r="AX98">
        <v>161</v>
      </c>
      <c r="AY98">
        <v>181</v>
      </c>
      <c r="AZ98">
        <v>222</v>
      </c>
      <c r="BA98">
        <v>238</v>
      </c>
      <c r="BB98">
        <v>212</v>
      </c>
      <c r="BC98">
        <v>249</v>
      </c>
      <c r="BD98">
        <v>279</v>
      </c>
      <c r="BE98">
        <v>331</v>
      </c>
      <c r="BF98">
        <f t="shared" si="48"/>
        <v>2769</v>
      </c>
      <c r="BG98">
        <v>7</v>
      </c>
      <c r="BH98">
        <v>8</v>
      </c>
      <c r="BI98">
        <v>9</v>
      </c>
      <c r="BJ98">
        <v>12</v>
      </c>
      <c r="BK98">
        <v>9</v>
      </c>
      <c r="BL98">
        <v>13</v>
      </c>
      <c r="BM98">
        <v>11</v>
      </c>
      <c r="BN98">
        <v>4</v>
      </c>
      <c r="BO98">
        <v>6</v>
      </c>
      <c r="BP98">
        <v>7</v>
      </c>
      <c r="BQ98">
        <v>9</v>
      </c>
      <c r="BR98">
        <v>4</v>
      </c>
      <c r="BS98">
        <f t="shared" si="49"/>
        <v>99</v>
      </c>
      <c r="BT98">
        <v>8</v>
      </c>
      <c r="BU98">
        <v>23</v>
      </c>
      <c r="BV98">
        <v>21</v>
      </c>
      <c r="BW98">
        <v>6</v>
      </c>
      <c r="BX98">
        <v>4</v>
      </c>
      <c r="BY98">
        <v>15</v>
      </c>
      <c r="BZ98">
        <v>12</v>
      </c>
      <c r="CA98">
        <v>12</v>
      </c>
      <c r="CB98">
        <v>8</v>
      </c>
      <c r="CC98">
        <v>11</v>
      </c>
      <c r="CD98">
        <v>13</v>
      </c>
      <c r="CE98">
        <v>17</v>
      </c>
      <c r="CF98">
        <f t="shared" si="50"/>
        <v>150</v>
      </c>
      <c r="CG98">
        <v>0</v>
      </c>
      <c r="CH98">
        <v>8</v>
      </c>
      <c r="CI98">
        <v>8</v>
      </c>
      <c r="CJ98">
        <v>4</v>
      </c>
      <c r="CK98">
        <v>0</v>
      </c>
      <c r="CL98">
        <v>7</v>
      </c>
      <c r="CM98">
        <v>6</v>
      </c>
      <c r="CN98">
        <v>10</v>
      </c>
      <c r="CO98">
        <v>6</v>
      </c>
      <c r="CP98">
        <v>6</v>
      </c>
      <c r="CQ98">
        <v>8</v>
      </c>
      <c r="CR98">
        <v>11</v>
      </c>
      <c r="CS98">
        <f t="shared" si="51"/>
        <v>74</v>
      </c>
      <c r="CT98">
        <v>5</v>
      </c>
      <c r="CU98">
        <v>7</v>
      </c>
      <c r="CV98">
        <v>12</v>
      </c>
      <c r="CW98">
        <v>1</v>
      </c>
      <c r="CX98">
        <v>4</v>
      </c>
      <c r="CY98">
        <v>6</v>
      </c>
      <c r="CZ98">
        <v>0</v>
      </c>
      <c r="DA98">
        <v>1</v>
      </c>
      <c r="DB98">
        <v>0</v>
      </c>
      <c r="DC98">
        <v>0</v>
      </c>
      <c r="DD98">
        <v>3</v>
      </c>
      <c r="DE98">
        <v>5</v>
      </c>
      <c r="DF98">
        <f t="shared" si="52"/>
        <v>44</v>
      </c>
      <c r="DG98">
        <v>3</v>
      </c>
      <c r="DH98">
        <v>8</v>
      </c>
      <c r="DI98">
        <v>1</v>
      </c>
      <c r="DJ98">
        <v>1</v>
      </c>
      <c r="DK98">
        <v>0</v>
      </c>
      <c r="DL98">
        <v>2</v>
      </c>
      <c r="DM98">
        <v>6</v>
      </c>
      <c r="DN98">
        <v>1</v>
      </c>
      <c r="DO98">
        <v>2</v>
      </c>
      <c r="DP98">
        <v>5</v>
      </c>
      <c r="DQ98">
        <v>2</v>
      </c>
      <c r="DR98">
        <v>4</v>
      </c>
      <c r="DS98">
        <f t="shared" si="53"/>
        <v>35</v>
      </c>
      <c r="DT98">
        <v>3</v>
      </c>
      <c r="DU98">
        <v>4</v>
      </c>
      <c r="DV98">
        <v>6</v>
      </c>
      <c r="DW98">
        <v>1</v>
      </c>
      <c r="DX98">
        <v>1</v>
      </c>
      <c r="DY98">
        <v>5</v>
      </c>
      <c r="DZ98">
        <v>0</v>
      </c>
      <c r="EA98">
        <v>0</v>
      </c>
      <c r="EB98">
        <v>0</v>
      </c>
      <c r="EC98">
        <v>0</v>
      </c>
      <c r="ED98">
        <v>0</v>
      </c>
      <c r="EE98">
        <v>0</v>
      </c>
      <c r="EF98">
        <f t="shared" si="54"/>
        <v>20</v>
      </c>
      <c r="EG98">
        <f t="shared" si="55"/>
        <v>6930</v>
      </c>
      <c r="EH98">
        <f t="shared" si="56"/>
        <v>173</v>
      </c>
      <c r="EI98">
        <v>9110</v>
      </c>
      <c r="EJ98">
        <v>10288</v>
      </c>
      <c r="EK98">
        <v>8490</v>
      </c>
      <c r="EL98">
        <v>9568</v>
      </c>
      <c r="EM98">
        <v>9597</v>
      </c>
      <c r="EN98">
        <v>10445</v>
      </c>
      <c r="EO98">
        <v>11129</v>
      </c>
      <c r="EP98">
        <v>9968</v>
      </c>
      <c r="EQ98">
        <v>7913</v>
      </c>
      <c r="ER98">
        <v>10693</v>
      </c>
      <c r="ES98">
        <v>11630</v>
      </c>
      <c r="ET98">
        <v>12876</v>
      </c>
      <c r="EU98">
        <f t="shared" si="57"/>
        <v>121707</v>
      </c>
      <c r="EV98">
        <v>4091</v>
      </c>
      <c r="EW98">
        <v>4516</v>
      </c>
      <c r="EX98">
        <v>3965</v>
      </c>
      <c r="EY98">
        <v>4371</v>
      </c>
      <c r="EZ98">
        <v>4552</v>
      </c>
      <c r="FA98">
        <v>4678</v>
      </c>
      <c r="FB98">
        <v>5167</v>
      </c>
      <c r="FC98">
        <v>4499</v>
      </c>
      <c r="FD98">
        <v>3537</v>
      </c>
      <c r="FE98">
        <v>4852</v>
      </c>
      <c r="FF98">
        <v>5313</v>
      </c>
      <c r="FG98">
        <v>6067</v>
      </c>
      <c r="FH98">
        <f t="shared" si="58"/>
        <v>55608</v>
      </c>
      <c r="FI98">
        <v>121</v>
      </c>
      <c r="FJ98">
        <v>54</v>
      </c>
      <c r="FK98">
        <v>74</v>
      </c>
      <c r="FL98">
        <v>99</v>
      </c>
      <c r="FM98">
        <v>83</v>
      </c>
      <c r="FN98">
        <v>112</v>
      </c>
      <c r="FO98">
        <v>103</v>
      </c>
      <c r="FP98">
        <v>72</v>
      </c>
      <c r="FQ98">
        <v>107</v>
      </c>
      <c r="FR98">
        <v>117</v>
      </c>
      <c r="FS98">
        <v>94</v>
      </c>
      <c r="FT98">
        <v>106</v>
      </c>
      <c r="FU98">
        <f t="shared" si="59"/>
        <v>1142</v>
      </c>
      <c r="FV98">
        <v>4898</v>
      </c>
      <c r="FW98">
        <v>5718</v>
      </c>
      <c r="FX98">
        <v>4451</v>
      </c>
      <c r="FY98">
        <v>5098</v>
      </c>
      <c r="FZ98">
        <v>4962</v>
      </c>
      <c r="GA98">
        <v>5655</v>
      </c>
      <c r="GB98">
        <v>5859</v>
      </c>
      <c r="GC98">
        <v>5397</v>
      </c>
      <c r="GD98">
        <v>4269</v>
      </c>
      <c r="GE98">
        <v>5724</v>
      </c>
      <c r="GF98">
        <v>6223</v>
      </c>
      <c r="GG98">
        <v>6703</v>
      </c>
      <c r="GH98">
        <f t="shared" si="60"/>
        <v>64957</v>
      </c>
      <c r="GI98">
        <v>60</v>
      </c>
      <c r="GJ98">
        <v>163</v>
      </c>
      <c r="GK98">
        <v>224</v>
      </c>
      <c r="GL98">
        <v>45</v>
      </c>
      <c r="GM98">
        <v>24</v>
      </c>
      <c r="GN98">
        <v>142</v>
      </c>
      <c r="GO98">
        <v>55</v>
      </c>
      <c r="GP98">
        <v>125</v>
      </c>
      <c r="GQ98">
        <v>78</v>
      </c>
      <c r="GR98">
        <v>75</v>
      </c>
      <c r="GS98">
        <v>130</v>
      </c>
      <c r="GT98">
        <v>156</v>
      </c>
      <c r="GU98">
        <f t="shared" si="61"/>
        <v>1277</v>
      </c>
      <c r="GV98">
        <v>17</v>
      </c>
      <c r="GW98">
        <v>59</v>
      </c>
      <c r="GX98">
        <v>90</v>
      </c>
      <c r="GY98">
        <v>19</v>
      </c>
      <c r="GZ98">
        <v>2</v>
      </c>
      <c r="HA98">
        <v>55</v>
      </c>
      <c r="HB98">
        <v>22</v>
      </c>
      <c r="HC98">
        <v>60</v>
      </c>
      <c r="HD98">
        <v>38</v>
      </c>
      <c r="HE98">
        <v>35</v>
      </c>
      <c r="HF98">
        <v>54</v>
      </c>
      <c r="HG98">
        <v>68</v>
      </c>
      <c r="HH98">
        <f t="shared" si="62"/>
        <v>519</v>
      </c>
      <c r="HI98">
        <v>11</v>
      </c>
      <c r="HJ98">
        <v>12</v>
      </c>
      <c r="HK98">
        <v>19</v>
      </c>
      <c r="HL98">
        <v>2</v>
      </c>
      <c r="HM98">
        <v>4</v>
      </c>
      <c r="HN98">
        <v>11</v>
      </c>
      <c r="HO98">
        <v>0</v>
      </c>
      <c r="HP98">
        <v>1</v>
      </c>
      <c r="HQ98">
        <v>0</v>
      </c>
      <c r="HR98">
        <v>0</v>
      </c>
      <c r="HS98">
        <v>9</v>
      </c>
      <c r="HT98">
        <v>5</v>
      </c>
      <c r="HU98">
        <f t="shared" si="63"/>
        <v>74</v>
      </c>
      <c r="HV98">
        <v>15</v>
      </c>
      <c r="HW98">
        <v>33</v>
      </c>
      <c r="HX98">
        <v>25</v>
      </c>
      <c r="HY98">
        <v>5</v>
      </c>
      <c r="HZ98">
        <v>16</v>
      </c>
      <c r="IA98">
        <v>21</v>
      </c>
      <c r="IB98">
        <v>11</v>
      </c>
      <c r="IC98">
        <v>4</v>
      </c>
      <c r="ID98">
        <v>2</v>
      </c>
      <c r="IE98">
        <v>5</v>
      </c>
      <c r="IF98">
        <v>13</v>
      </c>
      <c r="IG98">
        <v>15</v>
      </c>
      <c r="IH98">
        <f t="shared" si="64"/>
        <v>165</v>
      </c>
      <c r="II98">
        <f t="shared" si="65"/>
        <v>121707</v>
      </c>
      <c r="IJ98">
        <f t="shared" si="66"/>
        <v>758</v>
      </c>
      <c r="IK98">
        <v>52283</v>
      </c>
      <c r="IL98">
        <v>101881</v>
      </c>
      <c r="IM98">
        <v>96670</v>
      </c>
      <c r="IN98">
        <v>122060</v>
      </c>
      <c r="IO98">
        <v>122942</v>
      </c>
      <c r="IP98">
        <v>110248</v>
      </c>
      <c r="IQ98">
        <v>113331</v>
      </c>
      <c r="IR98">
        <v>102322</v>
      </c>
      <c r="IS98">
        <v>88100</v>
      </c>
      <c r="IT98">
        <v>108376</v>
      </c>
      <c r="IU98">
        <v>105301</v>
      </c>
      <c r="IV98">
        <v>111055</v>
      </c>
      <c r="IW98">
        <f t="shared" si="67"/>
        <v>1234569</v>
      </c>
      <c r="IX98">
        <v>24186</v>
      </c>
      <c r="IY98">
        <v>42432</v>
      </c>
      <c r="IZ98">
        <v>39271</v>
      </c>
      <c r="JA98">
        <v>55368</v>
      </c>
      <c r="JB98">
        <v>57209</v>
      </c>
      <c r="JC98">
        <v>46572</v>
      </c>
      <c r="JD98">
        <v>48881</v>
      </c>
      <c r="JE98">
        <v>41781</v>
      </c>
      <c r="JF98">
        <v>34067</v>
      </c>
      <c r="JG98">
        <v>45024</v>
      </c>
      <c r="JH98">
        <v>46722</v>
      </c>
      <c r="JI98">
        <v>48237</v>
      </c>
      <c r="JJ98">
        <f t="shared" si="68"/>
        <v>529750</v>
      </c>
      <c r="JK98">
        <v>0</v>
      </c>
      <c r="JL98">
        <v>0</v>
      </c>
      <c r="JM98">
        <v>0</v>
      </c>
      <c r="JN98">
        <v>0</v>
      </c>
      <c r="JO98">
        <v>0</v>
      </c>
      <c r="JP98">
        <v>0</v>
      </c>
      <c r="JQ98">
        <v>0</v>
      </c>
      <c r="JR98">
        <v>0</v>
      </c>
      <c r="JS98">
        <v>0</v>
      </c>
      <c r="JT98">
        <v>0</v>
      </c>
      <c r="JU98">
        <v>0</v>
      </c>
      <c r="JV98">
        <v>0</v>
      </c>
      <c r="JW98">
        <f t="shared" si="69"/>
        <v>0</v>
      </c>
      <c r="JX98">
        <v>25229</v>
      </c>
      <c r="JY98">
        <v>53171</v>
      </c>
      <c r="JZ98">
        <v>51717</v>
      </c>
      <c r="KA98">
        <v>59417</v>
      </c>
      <c r="KB98">
        <v>59746</v>
      </c>
      <c r="KC98">
        <v>57295</v>
      </c>
      <c r="KD98">
        <v>58603</v>
      </c>
      <c r="KE98">
        <v>53666</v>
      </c>
      <c r="KF98">
        <v>48505</v>
      </c>
      <c r="KG98">
        <v>57020</v>
      </c>
      <c r="KH98">
        <v>52196</v>
      </c>
      <c r="KI98">
        <v>56354</v>
      </c>
      <c r="KJ98">
        <f t="shared" si="70"/>
        <v>632919</v>
      </c>
      <c r="KK98">
        <v>457</v>
      </c>
      <c r="KL98">
        <v>999</v>
      </c>
      <c r="KM98">
        <v>922</v>
      </c>
      <c r="KN98">
        <v>999</v>
      </c>
      <c r="KO98">
        <v>985</v>
      </c>
      <c r="KP98">
        <v>991</v>
      </c>
      <c r="KQ98">
        <v>983</v>
      </c>
      <c r="KR98">
        <v>923</v>
      </c>
      <c r="KS98">
        <v>745</v>
      </c>
      <c r="KT98">
        <v>927</v>
      </c>
      <c r="KU98">
        <v>786</v>
      </c>
      <c r="KV98">
        <v>936</v>
      </c>
      <c r="KW98">
        <f t="shared" si="71"/>
        <v>10653</v>
      </c>
      <c r="KX98">
        <v>0</v>
      </c>
      <c r="KY98">
        <v>0</v>
      </c>
      <c r="KZ98">
        <v>0</v>
      </c>
      <c r="LA98">
        <v>0</v>
      </c>
      <c r="LB98">
        <v>0</v>
      </c>
      <c r="LC98">
        <v>0</v>
      </c>
      <c r="LD98">
        <v>0</v>
      </c>
      <c r="LE98">
        <v>0</v>
      </c>
      <c r="LF98">
        <v>0</v>
      </c>
      <c r="LG98">
        <v>0</v>
      </c>
      <c r="LH98">
        <v>0</v>
      </c>
      <c r="LI98">
        <v>0</v>
      </c>
      <c r="LJ98">
        <f t="shared" si="72"/>
        <v>0</v>
      </c>
      <c r="LK98">
        <v>0</v>
      </c>
      <c r="LL98">
        <v>0</v>
      </c>
      <c r="LM98">
        <v>0</v>
      </c>
      <c r="LN98">
        <v>0</v>
      </c>
      <c r="LO98">
        <v>0</v>
      </c>
      <c r="LP98">
        <v>0</v>
      </c>
      <c r="LQ98">
        <v>0</v>
      </c>
      <c r="LR98">
        <v>0</v>
      </c>
      <c r="LS98">
        <v>0</v>
      </c>
      <c r="LT98">
        <v>0</v>
      </c>
      <c r="LU98">
        <v>0</v>
      </c>
      <c r="LV98">
        <v>0</v>
      </c>
      <c r="LW98">
        <f t="shared" si="73"/>
        <v>0</v>
      </c>
      <c r="LX98">
        <v>0</v>
      </c>
      <c r="LY98">
        <v>0</v>
      </c>
      <c r="LZ98">
        <v>0</v>
      </c>
      <c r="MA98">
        <v>0</v>
      </c>
      <c r="MB98">
        <v>0</v>
      </c>
      <c r="MC98">
        <v>0</v>
      </c>
      <c r="MD98">
        <v>0</v>
      </c>
      <c r="ME98">
        <v>0</v>
      </c>
      <c r="MF98">
        <v>0</v>
      </c>
      <c r="MG98">
        <v>0</v>
      </c>
      <c r="MH98">
        <v>0</v>
      </c>
      <c r="MI98">
        <v>0</v>
      </c>
      <c r="MJ98">
        <f t="shared" si="74"/>
        <v>0</v>
      </c>
      <c r="MK98">
        <v>6869</v>
      </c>
      <c r="ML98">
        <v>7180</v>
      </c>
      <c r="MM98">
        <v>7050</v>
      </c>
      <c r="MN98">
        <v>7489</v>
      </c>
      <c r="MO98">
        <v>7564</v>
      </c>
      <c r="MP98">
        <v>7064</v>
      </c>
      <c r="MQ98">
        <v>7205</v>
      </c>
      <c r="MR98">
        <v>6725</v>
      </c>
      <c r="MS98">
        <v>6576</v>
      </c>
      <c r="MT98">
        <v>7117</v>
      </c>
      <c r="MU98">
        <v>6452</v>
      </c>
      <c r="MV98">
        <v>7338</v>
      </c>
      <c r="MW98">
        <f t="shared" si="75"/>
        <v>84629</v>
      </c>
      <c r="MX98">
        <v>0</v>
      </c>
      <c r="MY98">
        <v>0</v>
      </c>
      <c r="MZ98">
        <v>0</v>
      </c>
      <c r="NA98">
        <v>0</v>
      </c>
      <c r="NB98">
        <v>0</v>
      </c>
      <c r="NC98">
        <v>0</v>
      </c>
      <c r="ND98">
        <v>0</v>
      </c>
      <c r="NE98">
        <v>0</v>
      </c>
      <c r="NF98">
        <v>0</v>
      </c>
      <c r="NG98">
        <v>0</v>
      </c>
      <c r="NH98">
        <v>0</v>
      </c>
      <c r="NI98">
        <v>0</v>
      </c>
      <c r="NJ98">
        <f t="shared" si="76"/>
        <v>0</v>
      </c>
      <c r="NK98">
        <v>0</v>
      </c>
      <c r="NL98">
        <v>0</v>
      </c>
      <c r="NM98">
        <v>0</v>
      </c>
      <c r="NN98">
        <v>0</v>
      </c>
      <c r="NO98">
        <v>0</v>
      </c>
      <c r="NP98">
        <v>0</v>
      </c>
      <c r="NQ98">
        <v>0</v>
      </c>
      <c r="NR98">
        <v>0</v>
      </c>
      <c r="NS98">
        <v>0</v>
      </c>
      <c r="NT98">
        <v>0</v>
      </c>
      <c r="NU98">
        <v>0</v>
      </c>
      <c r="NV98">
        <v>0</v>
      </c>
      <c r="NW98">
        <f t="shared" si="77"/>
        <v>0</v>
      </c>
      <c r="NX98">
        <v>0</v>
      </c>
      <c r="NY98">
        <v>0</v>
      </c>
      <c r="NZ98">
        <v>0</v>
      </c>
      <c r="OA98">
        <v>0</v>
      </c>
      <c r="OB98">
        <v>0</v>
      </c>
      <c r="OC98">
        <v>0</v>
      </c>
      <c r="OD98">
        <v>0</v>
      </c>
      <c r="OE98">
        <v>0</v>
      </c>
      <c r="OF98">
        <v>0</v>
      </c>
      <c r="OG98">
        <v>0</v>
      </c>
      <c r="OH98">
        <v>0</v>
      </c>
      <c r="OI98">
        <v>0</v>
      </c>
      <c r="OJ98">
        <f t="shared" si="78"/>
        <v>0</v>
      </c>
      <c r="OK98">
        <v>17009</v>
      </c>
      <c r="OL98">
        <v>17779</v>
      </c>
      <c r="OM98">
        <v>17168</v>
      </c>
      <c r="ON98">
        <v>18226</v>
      </c>
      <c r="OO98">
        <v>18563</v>
      </c>
      <c r="OP98">
        <v>17658</v>
      </c>
      <c r="OQ98">
        <v>18733</v>
      </c>
      <c r="OR98">
        <v>17980</v>
      </c>
      <c r="OS98">
        <v>17649</v>
      </c>
      <c r="OT98">
        <v>19188</v>
      </c>
      <c r="OU98">
        <v>17876</v>
      </c>
      <c r="OV98">
        <v>19908</v>
      </c>
      <c r="OW98">
        <f t="shared" si="79"/>
        <v>217737</v>
      </c>
      <c r="OX98">
        <v>0</v>
      </c>
      <c r="OY98">
        <v>0</v>
      </c>
      <c r="OZ98">
        <v>0</v>
      </c>
      <c r="PA98">
        <v>0</v>
      </c>
      <c r="PB98">
        <v>0</v>
      </c>
      <c r="PC98">
        <v>0</v>
      </c>
      <c r="PD98">
        <v>0</v>
      </c>
      <c r="PE98">
        <v>0</v>
      </c>
      <c r="PF98">
        <v>0</v>
      </c>
      <c r="PG98">
        <v>0</v>
      </c>
      <c r="PH98">
        <v>0</v>
      </c>
      <c r="PI98">
        <v>0</v>
      </c>
      <c r="PJ98">
        <f t="shared" si="80"/>
        <v>0</v>
      </c>
      <c r="PK98">
        <v>0</v>
      </c>
      <c r="PL98">
        <v>0</v>
      </c>
      <c r="PM98">
        <v>0</v>
      </c>
      <c r="PN98">
        <v>0</v>
      </c>
      <c r="PO98">
        <v>0</v>
      </c>
      <c r="PP98">
        <v>0</v>
      </c>
      <c r="PQ98">
        <v>0</v>
      </c>
      <c r="PR98">
        <v>0</v>
      </c>
      <c r="PS98">
        <v>0</v>
      </c>
      <c r="PT98">
        <v>0</v>
      </c>
      <c r="PU98">
        <v>0</v>
      </c>
      <c r="PV98">
        <v>0</v>
      </c>
      <c r="PW98">
        <f t="shared" si="81"/>
        <v>0</v>
      </c>
      <c r="PX98">
        <v>0</v>
      </c>
      <c r="PY98">
        <v>0</v>
      </c>
      <c r="PZ98">
        <v>0</v>
      </c>
      <c r="QA98">
        <v>0</v>
      </c>
      <c r="QB98">
        <v>0</v>
      </c>
      <c r="QC98">
        <v>0</v>
      </c>
      <c r="QD98">
        <v>0</v>
      </c>
      <c r="QE98">
        <v>0</v>
      </c>
      <c r="QF98">
        <v>0</v>
      </c>
      <c r="QG98">
        <v>0</v>
      </c>
      <c r="QH98">
        <v>0</v>
      </c>
      <c r="QI98">
        <v>0</v>
      </c>
      <c r="QJ98">
        <f t="shared" si="82"/>
        <v>0</v>
      </c>
      <c r="QK98" s="2">
        <v>40113</v>
      </c>
      <c r="QL98" s="2">
        <v>41109</v>
      </c>
      <c r="QM98" s="2">
        <v>36286</v>
      </c>
      <c r="QN98" s="2">
        <v>43946</v>
      </c>
      <c r="QO98" s="2">
        <v>43474</v>
      </c>
      <c r="QP98" s="2">
        <v>41455</v>
      </c>
      <c r="QQ98" s="2">
        <v>41930</v>
      </c>
      <c r="QR98" s="2">
        <v>36787</v>
      </c>
      <c r="QS98" s="2">
        <v>31994</v>
      </c>
      <c r="QT98" s="2">
        <v>40077</v>
      </c>
      <c r="QU98" s="2">
        <v>40938</v>
      </c>
      <c r="QV98" s="2">
        <v>43650</v>
      </c>
      <c r="QW98" s="2">
        <f t="shared" si="83"/>
        <v>481759</v>
      </c>
      <c r="QX98" s="2">
        <v>57647</v>
      </c>
      <c r="QY98" s="2">
        <v>57416</v>
      </c>
      <c r="QZ98" s="2">
        <v>57541</v>
      </c>
      <c r="RA98" s="2">
        <v>62751</v>
      </c>
      <c r="RB98" s="2">
        <v>58689</v>
      </c>
      <c r="RC98" s="2">
        <v>59561</v>
      </c>
      <c r="RD98" s="2">
        <v>63375</v>
      </c>
      <c r="RE98" s="2">
        <v>56688</v>
      </c>
      <c r="RF98" s="2">
        <v>49505</v>
      </c>
      <c r="RG98" s="2">
        <v>57383</v>
      </c>
      <c r="RH98" s="2">
        <v>59861</v>
      </c>
      <c r="RI98" s="2">
        <v>63885</v>
      </c>
      <c r="RJ98" s="2">
        <f t="shared" si="84"/>
        <v>704302</v>
      </c>
      <c r="RK98" s="2">
        <v>0</v>
      </c>
      <c r="RL98" s="2">
        <v>0</v>
      </c>
      <c r="RM98" s="2">
        <v>0</v>
      </c>
      <c r="RN98" s="2">
        <v>0</v>
      </c>
      <c r="RO98" s="2">
        <v>0</v>
      </c>
      <c r="RP98" s="2">
        <v>0</v>
      </c>
      <c r="RQ98" s="2">
        <v>0</v>
      </c>
      <c r="RR98" s="2">
        <v>0</v>
      </c>
      <c r="RS98" s="2">
        <v>0</v>
      </c>
      <c r="RT98" s="2">
        <v>0</v>
      </c>
      <c r="RU98" s="2">
        <v>0</v>
      </c>
      <c r="RV98" s="2">
        <v>0</v>
      </c>
      <c r="RW98" s="2">
        <f t="shared" si="85"/>
        <v>0</v>
      </c>
      <c r="RX98">
        <v>829</v>
      </c>
      <c r="RY98">
        <v>6559</v>
      </c>
      <c r="RZ98">
        <v>5251</v>
      </c>
      <c r="SA98">
        <v>6449</v>
      </c>
      <c r="SB98">
        <v>5760</v>
      </c>
      <c r="SC98">
        <v>5980</v>
      </c>
      <c r="SD98">
        <v>5907</v>
      </c>
      <c r="SE98">
        <v>5593</v>
      </c>
      <c r="SF98">
        <v>4338</v>
      </c>
      <c r="SG98">
        <v>5369</v>
      </c>
      <c r="SH98">
        <v>5397</v>
      </c>
      <c r="SI98">
        <v>5820</v>
      </c>
      <c r="SJ98">
        <f t="shared" si="86"/>
        <v>63252</v>
      </c>
      <c r="SK98">
        <v>600</v>
      </c>
      <c r="SL98">
        <v>344</v>
      </c>
      <c r="SM98">
        <v>280</v>
      </c>
      <c r="SN98">
        <v>444</v>
      </c>
      <c r="SO98">
        <v>406</v>
      </c>
      <c r="SP98">
        <v>329</v>
      </c>
      <c r="SQ98">
        <v>436</v>
      </c>
      <c r="SR98">
        <v>334</v>
      </c>
      <c r="SS98">
        <v>358</v>
      </c>
      <c r="ST98">
        <v>188</v>
      </c>
      <c r="SU98">
        <v>337</v>
      </c>
      <c r="SV98">
        <v>433</v>
      </c>
      <c r="SW98">
        <f t="shared" si="87"/>
        <v>4489</v>
      </c>
      <c r="SX98" t="s">
        <v>1398</v>
      </c>
      <c r="SY98">
        <v>5289</v>
      </c>
      <c r="SZ98">
        <v>5065</v>
      </c>
      <c r="TA98">
        <v>4754</v>
      </c>
      <c r="TB98">
        <v>5125</v>
      </c>
      <c r="TC98">
        <v>5029</v>
      </c>
      <c r="TD98">
        <v>5216</v>
      </c>
      <c r="TE98">
        <v>5124</v>
      </c>
      <c r="TF98">
        <v>4752</v>
      </c>
      <c r="TG98">
        <v>4089</v>
      </c>
      <c r="TH98">
        <v>4874</v>
      </c>
      <c r="TI98">
        <v>5074</v>
      </c>
      <c r="TJ98">
        <v>5336</v>
      </c>
      <c r="TK98">
        <f t="shared" si="88"/>
        <v>59727</v>
      </c>
      <c r="TL98" s="2">
        <v>47898</v>
      </c>
      <c r="TM98" s="2">
        <v>86625</v>
      </c>
      <c r="TN98" s="2">
        <v>82701</v>
      </c>
      <c r="TO98" s="2">
        <v>84407</v>
      </c>
      <c r="TP98" s="2">
        <v>74628</v>
      </c>
      <c r="TQ98" s="2">
        <v>101696</v>
      </c>
      <c r="TR98" s="2">
        <v>103374</v>
      </c>
      <c r="TS98" s="2">
        <v>99770</v>
      </c>
      <c r="TT98" s="2">
        <v>60989</v>
      </c>
      <c r="TU98" s="2">
        <v>45205</v>
      </c>
      <c r="TV98" s="2">
        <v>120805</v>
      </c>
      <c r="TW98" s="2">
        <v>123747</v>
      </c>
      <c r="TX98" s="2">
        <f t="shared" si="89"/>
        <v>1031845</v>
      </c>
      <c r="TY98">
        <v>224</v>
      </c>
      <c r="TZ98">
        <v>39</v>
      </c>
      <c r="UA98">
        <v>4881</v>
      </c>
      <c r="UB98">
        <v>0</v>
      </c>
    </row>
    <row r="99" spans="1:548" ht="16.5" customHeight="1" x14ac:dyDescent="0.35">
      <c r="A99" t="s">
        <v>1380</v>
      </c>
      <c r="B99" t="s">
        <v>2862</v>
      </c>
      <c r="C99">
        <v>21953</v>
      </c>
      <c r="D99">
        <v>5488</v>
      </c>
      <c r="E99">
        <v>1417</v>
      </c>
      <c r="F99">
        <v>14651</v>
      </c>
      <c r="G99">
        <v>241</v>
      </c>
      <c r="H99">
        <v>255</v>
      </c>
      <c r="I99">
        <v>258</v>
      </c>
      <c r="J99">
        <v>262</v>
      </c>
      <c r="K99">
        <v>248</v>
      </c>
      <c r="L99">
        <v>258</v>
      </c>
      <c r="M99">
        <v>272</v>
      </c>
      <c r="N99">
        <v>256</v>
      </c>
      <c r="O99">
        <v>215</v>
      </c>
      <c r="P99">
        <v>245</v>
      </c>
      <c r="Q99">
        <v>283</v>
      </c>
      <c r="R99">
        <v>277</v>
      </c>
      <c r="S99">
        <f t="shared" si="45"/>
        <v>3070</v>
      </c>
      <c r="T99">
        <v>77</v>
      </c>
      <c r="U99">
        <v>89</v>
      </c>
      <c r="V99">
        <v>86</v>
      </c>
      <c r="W99">
        <v>87</v>
      </c>
      <c r="X99">
        <v>119</v>
      </c>
      <c r="Y99">
        <v>102</v>
      </c>
      <c r="Z99">
        <v>94</v>
      </c>
      <c r="AA99">
        <v>88</v>
      </c>
      <c r="AB99">
        <v>69</v>
      </c>
      <c r="AC99">
        <v>76</v>
      </c>
      <c r="AD99">
        <v>78</v>
      </c>
      <c r="AE99">
        <v>85</v>
      </c>
      <c r="AF99">
        <f t="shared" si="46"/>
        <v>1050</v>
      </c>
      <c r="AG99">
        <v>7</v>
      </c>
      <c r="AH99">
        <v>7</v>
      </c>
      <c r="AI99">
        <v>10</v>
      </c>
      <c r="AJ99">
        <v>8</v>
      </c>
      <c r="AK99">
        <v>3</v>
      </c>
      <c r="AL99">
        <v>9</v>
      </c>
      <c r="AM99">
        <v>10</v>
      </c>
      <c r="AN99">
        <v>13</v>
      </c>
      <c r="AO99">
        <v>7</v>
      </c>
      <c r="AP99">
        <v>11</v>
      </c>
      <c r="AQ99">
        <v>15</v>
      </c>
      <c r="AR99">
        <v>20</v>
      </c>
      <c r="AS99">
        <f t="shared" si="47"/>
        <v>120</v>
      </c>
      <c r="AT99">
        <v>157</v>
      </c>
      <c r="AU99">
        <v>159</v>
      </c>
      <c r="AV99">
        <v>162</v>
      </c>
      <c r="AW99">
        <v>167</v>
      </c>
      <c r="AX99">
        <v>126</v>
      </c>
      <c r="AY99">
        <v>147</v>
      </c>
      <c r="AZ99">
        <v>168</v>
      </c>
      <c r="BA99">
        <v>155</v>
      </c>
      <c r="BB99">
        <v>139</v>
      </c>
      <c r="BC99">
        <v>158</v>
      </c>
      <c r="BD99">
        <v>190</v>
      </c>
      <c r="BE99">
        <v>172</v>
      </c>
      <c r="BF99">
        <f t="shared" si="48"/>
        <v>1900</v>
      </c>
      <c r="BG99">
        <v>782</v>
      </c>
      <c r="BH99">
        <v>510</v>
      </c>
      <c r="BI99">
        <v>516</v>
      </c>
      <c r="BJ99">
        <v>524</v>
      </c>
      <c r="BK99">
        <v>496</v>
      </c>
      <c r="BL99">
        <v>516</v>
      </c>
      <c r="BM99">
        <v>544</v>
      </c>
      <c r="BN99">
        <v>512</v>
      </c>
      <c r="BO99">
        <v>430</v>
      </c>
      <c r="BP99">
        <v>490</v>
      </c>
      <c r="BQ99">
        <v>566</v>
      </c>
      <c r="BR99">
        <v>554</v>
      </c>
      <c r="BS99">
        <f t="shared" si="49"/>
        <v>6440</v>
      </c>
      <c r="BT99" t="s">
        <v>1381</v>
      </c>
      <c r="BU99" t="s">
        <v>1381</v>
      </c>
      <c r="BV99" t="s">
        <v>1381</v>
      </c>
      <c r="BW99" t="s">
        <v>1381</v>
      </c>
      <c r="BX99" t="s">
        <v>1381</v>
      </c>
      <c r="BY99" t="s">
        <v>1381</v>
      </c>
      <c r="BZ99" t="s">
        <v>1381</v>
      </c>
      <c r="CA99" t="s">
        <v>1381</v>
      </c>
      <c r="CB99" t="s">
        <v>1381</v>
      </c>
      <c r="CC99" t="s">
        <v>1381</v>
      </c>
      <c r="CD99" t="s">
        <v>1381</v>
      </c>
      <c r="CE99" t="s">
        <v>1381</v>
      </c>
      <c r="CF99">
        <f t="shared" si="50"/>
        <v>0</v>
      </c>
      <c r="CG99">
        <v>0</v>
      </c>
      <c r="CH99">
        <v>0</v>
      </c>
      <c r="CI99">
        <v>0</v>
      </c>
      <c r="CJ99">
        <v>0</v>
      </c>
      <c r="CK99">
        <v>0</v>
      </c>
      <c r="CL99">
        <v>0</v>
      </c>
      <c r="CM99">
        <v>0</v>
      </c>
      <c r="CN99">
        <v>0</v>
      </c>
      <c r="CO99">
        <v>0</v>
      </c>
      <c r="CP99">
        <v>0</v>
      </c>
      <c r="CQ99">
        <v>0</v>
      </c>
      <c r="CR99">
        <v>0</v>
      </c>
      <c r="CS99">
        <f t="shared" si="51"/>
        <v>0</v>
      </c>
      <c r="CT99">
        <v>0</v>
      </c>
      <c r="CU99">
        <v>0</v>
      </c>
      <c r="CV99">
        <v>0</v>
      </c>
      <c r="CW99">
        <v>0</v>
      </c>
      <c r="CX99">
        <v>0</v>
      </c>
      <c r="CY99">
        <v>0</v>
      </c>
      <c r="CZ99">
        <v>0</v>
      </c>
      <c r="DA99">
        <v>0</v>
      </c>
      <c r="DB99">
        <v>0</v>
      </c>
      <c r="DC99">
        <v>0</v>
      </c>
      <c r="DD99">
        <v>0</v>
      </c>
      <c r="DE99">
        <v>0</v>
      </c>
      <c r="DF99">
        <f t="shared" si="52"/>
        <v>0</v>
      </c>
      <c r="DG99">
        <v>0</v>
      </c>
      <c r="DH99">
        <v>0</v>
      </c>
      <c r="DI99">
        <v>0</v>
      </c>
      <c r="DJ99">
        <v>0</v>
      </c>
      <c r="DK99">
        <v>0</v>
      </c>
      <c r="DL99">
        <v>0</v>
      </c>
      <c r="DM99">
        <v>0</v>
      </c>
      <c r="DN99">
        <v>0</v>
      </c>
      <c r="DO99">
        <v>0</v>
      </c>
      <c r="DP99">
        <v>0</v>
      </c>
      <c r="DQ99">
        <v>0</v>
      </c>
      <c r="DR99">
        <v>0</v>
      </c>
      <c r="DS99">
        <f t="shared" si="53"/>
        <v>0</v>
      </c>
      <c r="DT99">
        <v>0</v>
      </c>
      <c r="DU99">
        <v>0</v>
      </c>
      <c r="DV99">
        <v>0</v>
      </c>
      <c r="DW99">
        <v>0</v>
      </c>
      <c r="DX99">
        <v>0</v>
      </c>
      <c r="DY99">
        <v>0</v>
      </c>
      <c r="DZ99">
        <v>0</v>
      </c>
      <c r="EA99">
        <v>0</v>
      </c>
      <c r="EB99">
        <v>0</v>
      </c>
      <c r="EC99">
        <v>0</v>
      </c>
      <c r="ED99">
        <v>0</v>
      </c>
      <c r="EE99">
        <v>0</v>
      </c>
      <c r="EF99">
        <f t="shared" si="54"/>
        <v>0</v>
      </c>
      <c r="EG99">
        <f t="shared" si="55"/>
        <v>9510</v>
      </c>
      <c r="EH99">
        <f t="shared" si="56"/>
        <v>0</v>
      </c>
      <c r="EI99">
        <v>3191</v>
      </c>
      <c r="EJ99">
        <v>3304</v>
      </c>
      <c r="EK99">
        <v>2337</v>
      </c>
      <c r="EL99">
        <v>3009</v>
      </c>
      <c r="EM99">
        <v>3739</v>
      </c>
      <c r="EN99">
        <v>3210</v>
      </c>
      <c r="EO99">
        <v>3730</v>
      </c>
      <c r="EP99">
        <v>2901</v>
      </c>
      <c r="EQ99">
        <v>1984</v>
      </c>
      <c r="ER99">
        <v>2894</v>
      </c>
      <c r="ES99">
        <v>3399</v>
      </c>
      <c r="ET99">
        <v>3408</v>
      </c>
      <c r="EU99">
        <f t="shared" si="57"/>
        <v>37106</v>
      </c>
      <c r="EV99" t="s">
        <v>1382</v>
      </c>
      <c r="EW99" t="s">
        <v>1382</v>
      </c>
      <c r="EX99" t="s">
        <v>1382</v>
      </c>
      <c r="EY99" t="s">
        <v>1382</v>
      </c>
      <c r="EZ99" t="s">
        <v>1382</v>
      </c>
      <c r="FA99" t="s">
        <v>1382</v>
      </c>
      <c r="FB99" t="s">
        <v>1382</v>
      </c>
      <c r="FC99" t="s">
        <v>1382</v>
      </c>
      <c r="FD99" t="s">
        <v>1382</v>
      </c>
      <c r="FE99" t="s">
        <v>1382</v>
      </c>
      <c r="FF99" t="s">
        <v>1382</v>
      </c>
      <c r="FG99" t="s">
        <v>1382</v>
      </c>
      <c r="FH99">
        <f t="shared" si="58"/>
        <v>0</v>
      </c>
      <c r="FI99">
        <v>1220</v>
      </c>
      <c r="FJ99">
        <v>1018</v>
      </c>
      <c r="FK99">
        <v>1016</v>
      </c>
      <c r="FL99">
        <v>1188</v>
      </c>
      <c r="FM99">
        <v>2071</v>
      </c>
      <c r="FN99">
        <v>1144</v>
      </c>
      <c r="FO99">
        <v>1211</v>
      </c>
      <c r="FP99">
        <v>922</v>
      </c>
      <c r="FQ99">
        <v>794</v>
      </c>
      <c r="FR99">
        <v>902</v>
      </c>
      <c r="FS99">
        <v>1159</v>
      </c>
      <c r="FT99">
        <v>116</v>
      </c>
      <c r="FU99">
        <f t="shared" si="59"/>
        <v>12761</v>
      </c>
      <c r="FV99">
        <v>1971</v>
      </c>
      <c r="FW99">
        <v>2286</v>
      </c>
      <c r="FX99">
        <v>1321</v>
      </c>
      <c r="FY99">
        <v>1821</v>
      </c>
      <c r="FZ99">
        <v>1668</v>
      </c>
      <c r="GA99">
        <v>2066</v>
      </c>
      <c r="GB99">
        <v>2519</v>
      </c>
      <c r="GC99">
        <v>1979</v>
      </c>
      <c r="GD99">
        <v>1190</v>
      </c>
      <c r="GE99">
        <v>1992</v>
      </c>
      <c r="GF99">
        <v>2240</v>
      </c>
      <c r="GG99">
        <v>2292</v>
      </c>
      <c r="GH99">
        <f t="shared" si="60"/>
        <v>23345</v>
      </c>
      <c r="GI99" t="s">
        <v>1381</v>
      </c>
      <c r="GJ99" t="s">
        <v>1381</v>
      </c>
      <c r="GK99" t="s">
        <v>1381</v>
      </c>
      <c r="GL99" t="s">
        <v>1381</v>
      </c>
      <c r="GM99" t="s">
        <v>1381</v>
      </c>
      <c r="GN99" t="s">
        <v>1381</v>
      </c>
      <c r="GO99" t="s">
        <v>1381</v>
      </c>
      <c r="GP99" t="s">
        <v>1381</v>
      </c>
      <c r="GQ99" t="s">
        <v>1381</v>
      </c>
      <c r="GR99" t="s">
        <v>1381</v>
      </c>
      <c r="GS99" t="s">
        <v>1381</v>
      </c>
      <c r="GT99" t="s">
        <v>1381</v>
      </c>
      <c r="GU99">
        <f t="shared" si="61"/>
        <v>0</v>
      </c>
      <c r="GV99">
        <v>0</v>
      </c>
      <c r="GW99">
        <v>0</v>
      </c>
      <c r="GX99">
        <v>0</v>
      </c>
      <c r="GY99">
        <v>0</v>
      </c>
      <c r="GZ99">
        <v>0</v>
      </c>
      <c r="HA99">
        <v>0</v>
      </c>
      <c r="HB99">
        <v>0</v>
      </c>
      <c r="HC99">
        <v>0</v>
      </c>
      <c r="HD99">
        <v>0</v>
      </c>
      <c r="HE99">
        <v>0</v>
      </c>
      <c r="HF99">
        <v>0</v>
      </c>
      <c r="HG99">
        <v>0</v>
      </c>
      <c r="HH99">
        <f t="shared" si="62"/>
        <v>0</v>
      </c>
      <c r="HI99">
        <v>0</v>
      </c>
      <c r="HJ99">
        <v>0</v>
      </c>
      <c r="HK99">
        <v>0</v>
      </c>
      <c r="HL99">
        <v>0</v>
      </c>
      <c r="HM99">
        <v>0</v>
      </c>
      <c r="HN99">
        <v>0</v>
      </c>
      <c r="HO99">
        <v>0</v>
      </c>
      <c r="HP99">
        <v>0</v>
      </c>
      <c r="HQ99">
        <v>0</v>
      </c>
      <c r="HR99">
        <v>0</v>
      </c>
      <c r="HS99">
        <v>0</v>
      </c>
      <c r="HT99">
        <v>0</v>
      </c>
      <c r="HU99">
        <f t="shared" si="63"/>
        <v>0</v>
      </c>
      <c r="HV99">
        <v>0</v>
      </c>
      <c r="HW99">
        <v>0</v>
      </c>
      <c r="HX99">
        <v>0</v>
      </c>
      <c r="HY99">
        <v>0</v>
      </c>
      <c r="HZ99">
        <v>0</v>
      </c>
      <c r="IA99">
        <v>0</v>
      </c>
      <c r="IB99">
        <v>0</v>
      </c>
      <c r="IC99">
        <v>0</v>
      </c>
      <c r="ID99">
        <v>0</v>
      </c>
      <c r="IE99">
        <v>0</v>
      </c>
      <c r="IF99">
        <v>0</v>
      </c>
      <c r="IG99">
        <v>0</v>
      </c>
      <c r="IH99">
        <f t="shared" si="64"/>
        <v>0</v>
      </c>
      <c r="II99">
        <f t="shared" si="65"/>
        <v>36106</v>
      </c>
      <c r="IJ99">
        <f t="shared" si="66"/>
        <v>0</v>
      </c>
      <c r="IK99">
        <v>32757</v>
      </c>
      <c r="IL99">
        <v>33260</v>
      </c>
      <c r="IM99">
        <v>30969</v>
      </c>
      <c r="IN99">
        <v>43035</v>
      </c>
      <c r="IO99">
        <v>47242</v>
      </c>
      <c r="IP99">
        <v>38032</v>
      </c>
      <c r="IQ99">
        <v>36949</v>
      </c>
      <c r="IR99">
        <v>33168</v>
      </c>
      <c r="IS99">
        <v>28001</v>
      </c>
      <c r="IT99">
        <v>32795</v>
      </c>
      <c r="IU99">
        <v>30844</v>
      </c>
      <c r="IV99">
        <v>34696</v>
      </c>
      <c r="IW99">
        <f t="shared" si="67"/>
        <v>421748</v>
      </c>
      <c r="IX99">
        <v>10237</v>
      </c>
      <c r="IY99">
        <v>10374</v>
      </c>
      <c r="IZ99">
        <v>8988</v>
      </c>
      <c r="JA99">
        <v>18043</v>
      </c>
      <c r="JB99">
        <v>21249</v>
      </c>
      <c r="JC99">
        <v>14261</v>
      </c>
      <c r="JD99">
        <v>12561</v>
      </c>
      <c r="JE99">
        <v>10419</v>
      </c>
      <c r="JF99">
        <v>8406</v>
      </c>
      <c r="JG99">
        <v>10050</v>
      </c>
      <c r="JH99">
        <v>10084</v>
      </c>
      <c r="JI99">
        <v>11341</v>
      </c>
      <c r="JJ99">
        <f t="shared" si="68"/>
        <v>146013</v>
      </c>
      <c r="JK99">
        <v>1495</v>
      </c>
      <c r="JL99">
        <v>1324</v>
      </c>
      <c r="JM99">
        <v>1128</v>
      </c>
      <c r="JN99">
        <v>1860</v>
      </c>
      <c r="JO99">
        <v>2138</v>
      </c>
      <c r="JP99">
        <v>1530</v>
      </c>
      <c r="JQ99">
        <v>1152</v>
      </c>
      <c r="JR99">
        <v>970</v>
      </c>
      <c r="JS99">
        <v>822</v>
      </c>
      <c r="JT99">
        <v>808</v>
      </c>
      <c r="JU99">
        <v>847</v>
      </c>
      <c r="JV99">
        <v>1008</v>
      </c>
      <c r="JW99">
        <f t="shared" si="69"/>
        <v>15082</v>
      </c>
      <c r="JX99">
        <v>21025</v>
      </c>
      <c r="JY99">
        <v>21562</v>
      </c>
      <c r="JZ99">
        <v>20853</v>
      </c>
      <c r="KA99">
        <v>23152</v>
      </c>
      <c r="KB99">
        <v>23855</v>
      </c>
      <c r="KC99">
        <v>22241</v>
      </c>
      <c r="KD99">
        <v>23236</v>
      </c>
      <c r="KE99">
        <v>21779</v>
      </c>
      <c r="KF99">
        <v>18773</v>
      </c>
      <c r="KG99">
        <v>21937</v>
      </c>
      <c r="KH99">
        <v>19913</v>
      </c>
      <c r="KI99">
        <v>22347</v>
      </c>
      <c r="KJ99">
        <f t="shared" si="70"/>
        <v>260673</v>
      </c>
      <c r="KK99">
        <v>708</v>
      </c>
      <c r="KL99">
        <v>647</v>
      </c>
      <c r="KM99">
        <v>653</v>
      </c>
      <c r="KN99">
        <v>767</v>
      </c>
      <c r="KO99">
        <v>798</v>
      </c>
      <c r="KP99">
        <v>711</v>
      </c>
      <c r="KQ99">
        <v>729</v>
      </c>
      <c r="KR99">
        <v>598</v>
      </c>
      <c r="KS99">
        <v>587</v>
      </c>
      <c r="KT99">
        <v>654</v>
      </c>
      <c r="KU99">
        <v>595</v>
      </c>
      <c r="KV99">
        <v>697</v>
      </c>
      <c r="KW99">
        <f t="shared" si="71"/>
        <v>8144</v>
      </c>
      <c r="KX99">
        <v>114</v>
      </c>
      <c r="KY99">
        <v>80</v>
      </c>
      <c r="KZ99">
        <v>48</v>
      </c>
      <c r="LA99">
        <v>105</v>
      </c>
      <c r="LB99">
        <v>141</v>
      </c>
      <c r="LC99">
        <v>86</v>
      </c>
      <c r="LD99">
        <v>108</v>
      </c>
      <c r="LE99">
        <v>85</v>
      </c>
      <c r="LF99">
        <v>60</v>
      </c>
      <c r="LG99">
        <v>62</v>
      </c>
      <c r="LH99">
        <v>78</v>
      </c>
      <c r="LI99">
        <v>79</v>
      </c>
      <c r="LJ99">
        <f t="shared" si="72"/>
        <v>1046</v>
      </c>
      <c r="LK99">
        <v>16</v>
      </c>
      <c r="LL99">
        <v>9</v>
      </c>
      <c r="LM99">
        <v>20</v>
      </c>
      <c r="LN99">
        <v>34</v>
      </c>
      <c r="LO99">
        <v>22</v>
      </c>
      <c r="LP99">
        <v>14</v>
      </c>
      <c r="LQ99">
        <v>6</v>
      </c>
      <c r="LR99">
        <v>0</v>
      </c>
      <c r="LS99">
        <v>2</v>
      </c>
      <c r="LT99">
        <v>3</v>
      </c>
      <c r="LU99">
        <v>6</v>
      </c>
      <c r="LV99">
        <v>3</v>
      </c>
      <c r="LW99">
        <f t="shared" si="73"/>
        <v>135</v>
      </c>
      <c r="LX99">
        <v>578</v>
      </c>
      <c r="LY99">
        <v>558</v>
      </c>
      <c r="LZ99">
        <v>585</v>
      </c>
      <c r="MA99">
        <v>628</v>
      </c>
      <c r="MB99">
        <v>635</v>
      </c>
      <c r="MC99">
        <v>611</v>
      </c>
      <c r="MD99">
        <v>615</v>
      </c>
      <c r="ME99">
        <v>513</v>
      </c>
      <c r="MF99">
        <v>525</v>
      </c>
      <c r="MG99">
        <v>589</v>
      </c>
      <c r="MH99">
        <v>511</v>
      </c>
      <c r="MI99">
        <v>615</v>
      </c>
      <c r="MJ99">
        <f t="shared" si="74"/>
        <v>6963</v>
      </c>
      <c r="MK99">
        <v>1431</v>
      </c>
      <c r="ML99">
        <v>2098</v>
      </c>
      <c r="MM99">
        <v>1994</v>
      </c>
      <c r="MN99">
        <v>2179</v>
      </c>
      <c r="MO99">
        <v>2366</v>
      </c>
      <c r="MP99">
        <v>2193</v>
      </c>
      <c r="MQ99">
        <v>2191</v>
      </c>
      <c r="MR99">
        <v>2054</v>
      </c>
      <c r="MS99">
        <v>2168</v>
      </c>
      <c r="MT99">
        <v>2277</v>
      </c>
      <c r="MU99">
        <v>2133</v>
      </c>
      <c r="MV99">
        <v>2165</v>
      </c>
      <c r="MW99">
        <f t="shared" si="75"/>
        <v>25249</v>
      </c>
      <c r="MX99">
        <v>99</v>
      </c>
      <c r="MY99">
        <v>142</v>
      </c>
      <c r="MZ99">
        <v>129</v>
      </c>
      <c r="NA99">
        <v>145</v>
      </c>
      <c r="NB99">
        <v>159</v>
      </c>
      <c r="NC99">
        <v>137</v>
      </c>
      <c r="ND99">
        <v>150</v>
      </c>
      <c r="NE99">
        <v>171</v>
      </c>
      <c r="NF99">
        <v>205</v>
      </c>
      <c r="NG99">
        <v>188</v>
      </c>
      <c r="NH99">
        <v>184</v>
      </c>
      <c r="NI99">
        <v>168</v>
      </c>
      <c r="NJ99">
        <f t="shared" si="76"/>
        <v>1877</v>
      </c>
      <c r="NK99">
        <v>28</v>
      </c>
      <c r="NL99">
        <v>42</v>
      </c>
      <c r="NM99">
        <v>45</v>
      </c>
      <c r="NN99">
        <v>76</v>
      </c>
      <c r="NO99">
        <v>113</v>
      </c>
      <c r="NP99">
        <v>91</v>
      </c>
      <c r="NQ99">
        <v>94</v>
      </c>
      <c r="NR99">
        <v>78</v>
      </c>
      <c r="NS99">
        <v>54</v>
      </c>
      <c r="NT99">
        <v>57</v>
      </c>
      <c r="NU99">
        <v>83</v>
      </c>
      <c r="NV99">
        <v>76</v>
      </c>
      <c r="NW99">
        <f t="shared" si="77"/>
        <v>837</v>
      </c>
      <c r="NX99">
        <v>1304</v>
      </c>
      <c r="NY99">
        <v>1914</v>
      </c>
      <c r="NZ99">
        <v>1820</v>
      </c>
      <c r="OA99">
        <v>1958</v>
      </c>
      <c r="OB99">
        <v>2094</v>
      </c>
      <c r="OC99">
        <v>1965</v>
      </c>
      <c r="OD99">
        <v>1947</v>
      </c>
      <c r="OE99">
        <v>1805</v>
      </c>
      <c r="OF99">
        <v>1909</v>
      </c>
      <c r="OG99">
        <v>2032</v>
      </c>
      <c r="OH99">
        <v>1866</v>
      </c>
      <c r="OI99">
        <v>1921</v>
      </c>
      <c r="OJ99">
        <f t="shared" si="78"/>
        <v>22535</v>
      </c>
      <c r="OK99">
        <v>3114</v>
      </c>
      <c r="OL99">
        <v>3854</v>
      </c>
      <c r="OM99">
        <v>3588</v>
      </c>
      <c r="ON99">
        <v>4114</v>
      </c>
      <c r="OO99">
        <v>4387</v>
      </c>
      <c r="OP99">
        <v>4169</v>
      </c>
      <c r="OQ99">
        <v>4433</v>
      </c>
      <c r="OR99">
        <v>4128</v>
      </c>
      <c r="OS99">
        <v>4041</v>
      </c>
      <c r="OT99">
        <v>4336</v>
      </c>
      <c r="OU99">
        <v>4159</v>
      </c>
      <c r="OV99">
        <v>4708</v>
      </c>
      <c r="OW99">
        <f t="shared" si="79"/>
        <v>49031</v>
      </c>
      <c r="OX99">
        <v>427</v>
      </c>
      <c r="OY99">
        <v>480</v>
      </c>
      <c r="OZ99">
        <v>383</v>
      </c>
      <c r="PA99">
        <v>109</v>
      </c>
      <c r="PB99">
        <v>645</v>
      </c>
      <c r="PC99">
        <v>511</v>
      </c>
      <c r="PD99">
        <v>650</v>
      </c>
      <c r="PE99">
        <v>640</v>
      </c>
      <c r="PF99">
        <v>623</v>
      </c>
      <c r="PG99">
        <v>555</v>
      </c>
      <c r="PH99">
        <v>589</v>
      </c>
      <c r="PI99">
        <v>632</v>
      </c>
      <c r="PJ99">
        <f t="shared" si="80"/>
        <v>6244</v>
      </c>
      <c r="PK99">
        <v>85</v>
      </c>
      <c r="PL99">
        <v>79</v>
      </c>
      <c r="PM99">
        <v>66</v>
      </c>
      <c r="PN99">
        <v>560</v>
      </c>
      <c r="PO99">
        <v>127</v>
      </c>
      <c r="PP99">
        <v>108</v>
      </c>
      <c r="PQ99">
        <v>99</v>
      </c>
      <c r="PR99">
        <v>78</v>
      </c>
      <c r="PS99">
        <v>103</v>
      </c>
      <c r="PT99">
        <v>101</v>
      </c>
      <c r="PU99">
        <v>114</v>
      </c>
      <c r="PV99">
        <v>174</v>
      </c>
      <c r="PW99">
        <f t="shared" si="81"/>
        <v>1694</v>
      </c>
      <c r="PX99">
        <v>2602</v>
      </c>
      <c r="PY99">
        <v>3295</v>
      </c>
      <c r="PZ99">
        <v>3139</v>
      </c>
      <c r="QA99">
        <v>3445</v>
      </c>
      <c r="QB99">
        <v>3615</v>
      </c>
      <c r="QC99">
        <v>3550</v>
      </c>
      <c r="QD99">
        <v>3684</v>
      </c>
      <c r="QE99">
        <v>3410</v>
      </c>
      <c r="QF99">
        <v>3315</v>
      </c>
      <c r="QG99">
        <v>3680</v>
      </c>
      <c r="QH99">
        <v>3456</v>
      </c>
      <c r="QI99">
        <v>3902</v>
      </c>
      <c r="QJ99">
        <f t="shared" si="82"/>
        <v>41093</v>
      </c>
      <c r="QK99">
        <v>25698</v>
      </c>
      <c r="QL99">
        <v>26734</v>
      </c>
      <c r="QM99">
        <v>24059</v>
      </c>
      <c r="QN99">
        <v>30663</v>
      </c>
      <c r="QO99">
        <v>31499</v>
      </c>
      <c r="QP99">
        <v>29635</v>
      </c>
      <c r="QQ99">
        <v>28949</v>
      </c>
      <c r="QR99">
        <v>25872</v>
      </c>
      <c r="QS99">
        <v>21177</v>
      </c>
      <c r="QT99">
        <v>25381</v>
      </c>
      <c r="QU99">
        <v>26009</v>
      </c>
      <c r="QV99">
        <v>28091</v>
      </c>
      <c r="QW99">
        <f t="shared" si="83"/>
        <v>323767</v>
      </c>
      <c r="QX99">
        <v>0</v>
      </c>
      <c r="QY99">
        <v>0</v>
      </c>
      <c r="QZ99">
        <v>0</v>
      </c>
      <c r="RA99">
        <v>0</v>
      </c>
      <c r="RB99">
        <v>0</v>
      </c>
      <c r="RC99">
        <v>0</v>
      </c>
      <c r="RD99">
        <v>0</v>
      </c>
      <c r="RE99">
        <v>0</v>
      </c>
      <c r="RF99">
        <v>0</v>
      </c>
      <c r="RG99">
        <v>0</v>
      </c>
      <c r="RH99">
        <v>0</v>
      </c>
      <c r="RI99">
        <v>0</v>
      </c>
      <c r="RJ99">
        <f t="shared" si="84"/>
        <v>0</v>
      </c>
      <c r="RK99" t="s">
        <v>1383</v>
      </c>
      <c r="RL99">
        <v>0</v>
      </c>
      <c r="RM99">
        <v>0</v>
      </c>
      <c r="RN99">
        <v>0</v>
      </c>
      <c r="RO99">
        <v>0</v>
      </c>
      <c r="RP99">
        <v>0</v>
      </c>
      <c r="RQ99">
        <v>0</v>
      </c>
      <c r="RR99">
        <v>0</v>
      </c>
      <c r="RS99">
        <v>0</v>
      </c>
      <c r="RT99">
        <v>0</v>
      </c>
      <c r="RU99">
        <v>0</v>
      </c>
      <c r="RV99">
        <v>0</v>
      </c>
      <c r="RW99">
        <f t="shared" si="85"/>
        <v>0</v>
      </c>
      <c r="RX99" t="s">
        <v>1384</v>
      </c>
      <c r="RY99">
        <v>0</v>
      </c>
      <c r="RZ99">
        <v>0</v>
      </c>
      <c r="SA99">
        <v>0</v>
      </c>
      <c r="SB99">
        <v>0</v>
      </c>
      <c r="SC99">
        <v>0</v>
      </c>
      <c r="SD99">
        <v>0</v>
      </c>
      <c r="SE99">
        <v>0</v>
      </c>
      <c r="SF99">
        <v>0</v>
      </c>
      <c r="SG99">
        <v>0</v>
      </c>
      <c r="SH99">
        <v>0</v>
      </c>
      <c r="SI99">
        <v>0</v>
      </c>
      <c r="SJ99">
        <f t="shared" si="86"/>
        <v>0</v>
      </c>
      <c r="SK99">
        <v>790</v>
      </c>
      <c r="SL99">
        <v>756</v>
      </c>
      <c r="SM99">
        <v>881</v>
      </c>
      <c r="SN99">
        <v>774</v>
      </c>
      <c r="SO99">
        <v>744</v>
      </c>
      <c r="SP99">
        <v>864</v>
      </c>
      <c r="SQ99">
        <v>825</v>
      </c>
      <c r="SR99">
        <v>897</v>
      </c>
      <c r="SS99">
        <v>740</v>
      </c>
      <c r="ST99">
        <v>890</v>
      </c>
      <c r="SU99">
        <v>864</v>
      </c>
      <c r="SV99">
        <v>823</v>
      </c>
      <c r="SW99">
        <f t="shared" si="87"/>
        <v>9848</v>
      </c>
      <c r="SX99">
        <v>0</v>
      </c>
      <c r="SY99">
        <v>1242</v>
      </c>
      <c r="SZ99">
        <v>1274</v>
      </c>
      <c r="TA99">
        <v>1221</v>
      </c>
      <c r="TB99">
        <v>1272</v>
      </c>
      <c r="TC99">
        <v>1338</v>
      </c>
      <c r="TD99">
        <v>1376</v>
      </c>
      <c r="TE99">
        <v>1432</v>
      </c>
      <c r="TF99">
        <v>1248</v>
      </c>
      <c r="TG99">
        <v>932</v>
      </c>
      <c r="TH99">
        <v>1242</v>
      </c>
      <c r="TI99">
        <v>1243</v>
      </c>
      <c r="TJ99">
        <v>1433</v>
      </c>
      <c r="TK99">
        <f t="shared" si="88"/>
        <v>15253</v>
      </c>
      <c r="TL99" t="s">
        <v>1385</v>
      </c>
      <c r="TM99">
        <v>0</v>
      </c>
      <c r="TN99">
        <v>0</v>
      </c>
      <c r="TO99">
        <v>0</v>
      </c>
      <c r="TP99">
        <v>0</v>
      </c>
      <c r="TQ99">
        <v>0</v>
      </c>
      <c r="TR99">
        <v>0</v>
      </c>
      <c r="TS99">
        <v>0</v>
      </c>
      <c r="TT99">
        <v>0</v>
      </c>
      <c r="TU99">
        <v>0</v>
      </c>
      <c r="TV99">
        <v>0</v>
      </c>
      <c r="TW99">
        <v>0</v>
      </c>
      <c r="TX99">
        <f t="shared" si="89"/>
        <v>0</v>
      </c>
      <c r="TY99">
        <v>45</v>
      </c>
      <c r="TZ99">
        <v>0</v>
      </c>
      <c r="UA99">
        <v>0</v>
      </c>
      <c r="UB99">
        <v>0</v>
      </c>
    </row>
    <row r="100" spans="1:548" ht="16.5" customHeight="1" x14ac:dyDescent="0.35">
      <c r="A100" t="s">
        <v>1366</v>
      </c>
      <c r="B100" t="s">
        <v>2870</v>
      </c>
      <c r="C100">
        <v>24902</v>
      </c>
      <c r="D100">
        <v>10297</v>
      </c>
      <c r="E100">
        <v>2002</v>
      </c>
      <c r="F100">
        <v>12603</v>
      </c>
      <c r="G100">
        <v>419</v>
      </c>
      <c r="H100">
        <v>608</v>
      </c>
      <c r="I100">
        <v>729</v>
      </c>
      <c r="J100">
        <v>853</v>
      </c>
      <c r="K100">
        <v>849</v>
      </c>
      <c r="L100">
        <v>729</v>
      </c>
      <c r="M100">
        <v>608</v>
      </c>
      <c r="N100">
        <v>547</v>
      </c>
      <c r="O100">
        <v>486</v>
      </c>
      <c r="P100">
        <v>423</v>
      </c>
      <c r="Q100">
        <v>427</v>
      </c>
      <c r="R100">
        <v>548</v>
      </c>
      <c r="S100">
        <f t="shared" si="45"/>
        <v>7226</v>
      </c>
      <c r="T100">
        <v>159</v>
      </c>
      <c r="U100">
        <v>231</v>
      </c>
      <c r="V100">
        <v>277</v>
      </c>
      <c r="W100">
        <v>325</v>
      </c>
      <c r="X100">
        <v>321</v>
      </c>
      <c r="Y100">
        <v>277</v>
      </c>
      <c r="Z100">
        <v>231</v>
      </c>
      <c r="AA100">
        <v>208</v>
      </c>
      <c r="AB100">
        <v>184</v>
      </c>
      <c r="AC100">
        <v>161</v>
      </c>
      <c r="AD100">
        <v>161</v>
      </c>
      <c r="AE100">
        <v>208</v>
      </c>
      <c r="AF100">
        <f t="shared" si="46"/>
        <v>2743</v>
      </c>
      <c r="AG100">
        <v>27</v>
      </c>
      <c r="AH100">
        <v>39</v>
      </c>
      <c r="AI100">
        <v>47</v>
      </c>
      <c r="AJ100">
        <v>55</v>
      </c>
      <c r="AK100">
        <v>55</v>
      </c>
      <c r="AL100">
        <v>47</v>
      </c>
      <c r="AM100">
        <v>39</v>
      </c>
      <c r="AN100">
        <v>35</v>
      </c>
      <c r="AO100">
        <v>31</v>
      </c>
      <c r="AP100">
        <v>27</v>
      </c>
      <c r="AQ100">
        <v>27</v>
      </c>
      <c r="AR100">
        <v>35</v>
      </c>
      <c r="AS100">
        <f t="shared" si="47"/>
        <v>464</v>
      </c>
      <c r="AT100">
        <v>127</v>
      </c>
      <c r="AU100">
        <v>184</v>
      </c>
      <c r="AV100">
        <v>221</v>
      </c>
      <c r="AW100">
        <v>256</v>
      </c>
      <c r="AX100">
        <v>258</v>
      </c>
      <c r="AY100">
        <v>221</v>
      </c>
      <c r="AZ100">
        <v>180</v>
      </c>
      <c r="BA100">
        <v>166</v>
      </c>
      <c r="BB100">
        <v>147</v>
      </c>
      <c r="BC100">
        <v>127</v>
      </c>
      <c r="BD100">
        <v>131</v>
      </c>
      <c r="BE100">
        <v>166</v>
      </c>
      <c r="BF100">
        <f t="shared" si="48"/>
        <v>2184</v>
      </c>
      <c r="BG100">
        <v>106</v>
      </c>
      <c r="BH100">
        <v>154</v>
      </c>
      <c r="BI100">
        <v>184</v>
      </c>
      <c r="BJ100">
        <v>217</v>
      </c>
      <c r="BK100">
        <v>215</v>
      </c>
      <c r="BL100">
        <v>184</v>
      </c>
      <c r="BM100">
        <v>158</v>
      </c>
      <c r="BN100">
        <v>138</v>
      </c>
      <c r="BO100">
        <v>124</v>
      </c>
      <c r="BP100">
        <v>108</v>
      </c>
      <c r="BQ100">
        <v>108</v>
      </c>
      <c r="BR100">
        <v>139</v>
      </c>
      <c r="BS100">
        <f t="shared" si="49"/>
        <v>1835</v>
      </c>
      <c r="BT100">
        <v>0</v>
      </c>
      <c r="BU100">
        <v>0</v>
      </c>
      <c r="BV100">
        <v>0</v>
      </c>
      <c r="BW100">
        <v>0</v>
      </c>
      <c r="BX100">
        <v>0</v>
      </c>
      <c r="BY100">
        <v>0</v>
      </c>
      <c r="BZ100">
        <v>0</v>
      </c>
      <c r="CA100">
        <v>0</v>
      </c>
      <c r="CB100">
        <v>0</v>
      </c>
      <c r="CC100">
        <v>0</v>
      </c>
      <c r="CD100">
        <v>0</v>
      </c>
      <c r="CE100">
        <v>0</v>
      </c>
      <c r="CF100">
        <f t="shared" si="50"/>
        <v>0</v>
      </c>
      <c r="CG100">
        <v>0</v>
      </c>
      <c r="CH100">
        <v>0</v>
      </c>
      <c r="CI100">
        <v>0</v>
      </c>
      <c r="CJ100">
        <v>0</v>
      </c>
      <c r="CK100">
        <v>0</v>
      </c>
      <c r="CL100">
        <v>0</v>
      </c>
      <c r="CM100">
        <v>0</v>
      </c>
      <c r="CN100">
        <v>0</v>
      </c>
      <c r="CO100">
        <v>0</v>
      </c>
      <c r="CP100">
        <v>0</v>
      </c>
      <c r="CQ100">
        <v>0</v>
      </c>
      <c r="CR100">
        <v>0</v>
      </c>
      <c r="CS100">
        <f t="shared" si="51"/>
        <v>0</v>
      </c>
      <c r="CT100">
        <v>0</v>
      </c>
      <c r="CU100">
        <v>0</v>
      </c>
      <c r="CV100">
        <v>0</v>
      </c>
      <c r="CW100">
        <v>0</v>
      </c>
      <c r="CX100">
        <v>0</v>
      </c>
      <c r="CY100">
        <v>0</v>
      </c>
      <c r="CZ100">
        <v>0</v>
      </c>
      <c r="DA100">
        <v>0</v>
      </c>
      <c r="DB100">
        <v>0</v>
      </c>
      <c r="DC100">
        <v>0</v>
      </c>
      <c r="DD100">
        <v>0</v>
      </c>
      <c r="DE100">
        <v>0</v>
      </c>
      <c r="DF100">
        <f t="shared" si="52"/>
        <v>0</v>
      </c>
      <c r="DG100">
        <v>0</v>
      </c>
      <c r="DH100">
        <v>0</v>
      </c>
      <c r="DI100">
        <v>0</v>
      </c>
      <c r="DJ100">
        <v>0</v>
      </c>
      <c r="DK100">
        <v>0</v>
      </c>
      <c r="DL100">
        <v>0</v>
      </c>
      <c r="DM100">
        <v>0</v>
      </c>
      <c r="DN100">
        <v>0</v>
      </c>
      <c r="DO100">
        <v>0</v>
      </c>
      <c r="DP100">
        <v>0</v>
      </c>
      <c r="DQ100">
        <v>0</v>
      </c>
      <c r="DR100">
        <v>0</v>
      </c>
      <c r="DS100">
        <f t="shared" si="53"/>
        <v>0</v>
      </c>
      <c r="DT100">
        <v>0</v>
      </c>
      <c r="DU100">
        <v>0</v>
      </c>
      <c r="DV100">
        <v>0</v>
      </c>
      <c r="DW100">
        <v>0</v>
      </c>
      <c r="DX100">
        <v>0</v>
      </c>
      <c r="DY100">
        <v>0</v>
      </c>
      <c r="DZ100">
        <v>0</v>
      </c>
      <c r="EA100">
        <v>0</v>
      </c>
      <c r="EB100">
        <v>0</v>
      </c>
      <c r="EC100">
        <v>0</v>
      </c>
      <c r="ED100">
        <v>0</v>
      </c>
      <c r="EE100">
        <v>0</v>
      </c>
      <c r="EF100">
        <f t="shared" si="54"/>
        <v>0</v>
      </c>
      <c r="EG100">
        <f t="shared" si="55"/>
        <v>7226</v>
      </c>
      <c r="EH100">
        <f t="shared" si="56"/>
        <v>0</v>
      </c>
      <c r="EI100">
        <v>8327</v>
      </c>
      <c r="EJ100">
        <v>8584</v>
      </c>
      <c r="EK100">
        <v>10391</v>
      </c>
      <c r="EL100">
        <v>12413</v>
      </c>
      <c r="EM100">
        <v>11860</v>
      </c>
      <c r="EN100">
        <v>10547</v>
      </c>
      <c r="EO100">
        <v>8769</v>
      </c>
      <c r="EP100">
        <v>7734</v>
      </c>
      <c r="EQ100">
        <v>7088</v>
      </c>
      <c r="ER100">
        <v>5921</v>
      </c>
      <c r="ES100">
        <v>6213</v>
      </c>
      <c r="ET100">
        <v>7851</v>
      </c>
      <c r="EU100">
        <f t="shared" si="57"/>
        <v>105698</v>
      </c>
      <c r="EV100">
        <v>4900</v>
      </c>
      <c r="EW100">
        <v>5051</v>
      </c>
      <c r="EX100">
        <v>6115</v>
      </c>
      <c r="EY100">
        <v>7305</v>
      </c>
      <c r="EZ100">
        <v>6979</v>
      </c>
      <c r="FA100">
        <v>6206</v>
      </c>
      <c r="FB100">
        <v>5160</v>
      </c>
      <c r="FC100">
        <v>4551</v>
      </c>
      <c r="FD100">
        <v>4171</v>
      </c>
      <c r="FE100">
        <v>3484</v>
      </c>
      <c r="FF100">
        <v>3656</v>
      </c>
      <c r="FG100">
        <v>4620</v>
      </c>
      <c r="FH100">
        <f t="shared" si="58"/>
        <v>62198</v>
      </c>
      <c r="FI100">
        <v>421</v>
      </c>
      <c r="FJ100">
        <v>434</v>
      </c>
      <c r="FK100">
        <v>526</v>
      </c>
      <c r="FL100">
        <v>628</v>
      </c>
      <c r="FM100">
        <v>600</v>
      </c>
      <c r="FN100">
        <v>533</v>
      </c>
      <c r="FO100">
        <v>444</v>
      </c>
      <c r="FP100">
        <v>391</v>
      </c>
      <c r="FQ100">
        <v>359</v>
      </c>
      <c r="FR100">
        <v>299</v>
      </c>
      <c r="FS100">
        <v>314</v>
      </c>
      <c r="FT100">
        <v>397</v>
      </c>
      <c r="FU100">
        <f t="shared" si="59"/>
        <v>5346</v>
      </c>
      <c r="FV100">
        <v>3006</v>
      </c>
      <c r="FW100">
        <v>3099</v>
      </c>
      <c r="FX100">
        <v>3750</v>
      </c>
      <c r="FY100">
        <v>4480</v>
      </c>
      <c r="FZ100">
        <v>4281</v>
      </c>
      <c r="GA100">
        <v>3808</v>
      </c>
      <c r="GB100">
        <v>3165</v>
      </c>
      <c r="GC100">
        <v>2792</v>
      </c>
      <c r="GD100">
        <v>2558</v>
      </c>
      <c r="GE100">
        <v>2138</v>
      </c>
      <c r="GF100">
        <v>2243</v>
      </c>
      <c r="GG100">
        <v>2834</v>
      </c>
      <c r="GH100">
        <f t="shared" si="60"/>
        <v>38154</v>
      </c>
      <c r="GI100">
        <v>0</v>
      </c>
      <c r="GJ100">
        <v>0</v>
      </c>
      <c r="GK100">
        <v>0</v>
      </c>
      <c r="GL100">
        <v>0</v>
      </c>
      <c r="GM100">
        <v>0</v>
      </c>
      <c r="GN100">
        <v>0</v>
      </c>
      <c r="GO100">
        <v>0</v>
      </c>
      <c r="GP100">
        <v>0</v>
      </c>
      <c r="GQ100">
        <v>0</v>
      </c>
      <c r="GR100">
        <v>0</v>
      </c>
      <c r="GS100">
        <v>0</v>
      </c>
      <c r="GT100">
        <v>0</v>
      </c>
      <c r="GU100">
        <f t="shared" si="61"/>
        <v>0</v>
      </c>
      <c r="GV100">
        <v>0</v>
      </c>
      <c r="GW100">
        <v>0</v>
      </c>
      <c r="GX100">
        <v>0</v>
      </c>
      <c r="GY100">
        <v>0</v>
      </c>
      <c r="GZ100">
        <v>0</v>
      </c>
      <c r="HA100">
        <v>0</v>
      </c>
      <c r="HB100">
        <v>0</v>
      </c>
      <c r="HC100">
        <v>0</v>
      </c>
      <c r="HD100">
        <v>0</v>
      </c>
      <c r="HE100">
        <v>0</v>
      </c>
      <c r="HF100">
        <v>0</v>
      </c>
      <c r="HG100">
        <v>0</v>
      </c>
      <c r="HH100">
        <f t="shared" si="62"/>
        <v>0</v>
      </c>
      <c r="HI100">
        <v>0</v>
      </c>
      <c r="HJ100">
        <v>0</v>
      </c>
      <c r="HK100">
        <v>0</v>
      </c>
      <c r="HL100">
        <v>0</v>
      </c>
      <c r="HM100">
        <v>0</v>
      </c>
      <c r="HN100">
        <v>0</v>
      </c>
      <c r="HO100">
        <v>0</v>
      </c>
      <c r="HP100">
        <v>0</v>
      </c>
      <c r="HQ100">
        <v>0</v>
      </c>
      <c r="HR100">
        <v>0</v>
      </c>
      <c r="HS100">
        <v>0</v>
      </c>
      <c r="HT100">
        <v>0</v>
      </c>
      <c r="HU100">
        <f t="shared" si="63"/>
        <v>0</v>
      </c>
      <c r="HV100">
        <v>0</v>
      </c>
      <c r="HW100">
        <v>0</v>
      </c>
      <c r="HX100">
        <v>0</v>
      </c>
      <c r="HY100">
        <v>0</v>
      </c>
      <c r="HZ100">
        <v>0</v>
      </c>
      <c r="IA100">
        <v>0</v>
      </c>
      <c r="IB100">
        <v>0</v>
      </c>
      <c r="IC100">
        <v>0</v>
      </c>
      <c r="ID100">
        <v>0</v>
      </c>
      <c r="IE100">
        <v>0</v>
      </c>
      <c r="IF100">
        <v>0</v>
      </c>
      <c r="IG100">
        <v>0</v>
      </c>
      <c r="IH100">
        <f t="shared" si="64"/>
        <v>0</v>
      </c>
      <c r="II100">
        <f t="shared" si="65"/>
        <v>105698</v>
      </c>
      <c r="IJ100">
        <f t="shared" si="66"/>
        <v>0</v>
      </c>
      <c r="IK100">
        <v>26886</v>
      </c>
      <c r="IL100">
        <v>27754</v>
      </c>
      <c r="IM100">
        <v>23345</v>
      </c>
      <c r="IN100">
        <v>40175</v>
      </c>
      <c r="IO100">
        <v>39070</v>
      </c>
      <c r="IP100">
        <v>28631</v>
      </c>
      <c r="IQ100">
        <v>29996</v>
      </c>
      <c r="IR100">
        <v>24492</v>
      </c>
      <c r="IS100">
        <v>20404</v>
      </c>
      <c r="IT100">
        <v>26667</v>
      </c>
      <c r="IU100">
        <v>27205</v>
      </c>
      <c r="IV100">
        <v>26961</v>
      </c>
      <c r="IW100">
        <f t="shared" si="67"/>
        <v>341586</v>
      </c>
      <c r="IX100">
        <v>11871</v>
      </c>
      <c r="IY100">
        <v>12342</v>
      </c>
      <c r="IZ100">
        <v>9224</v>
      </c>
      <c r="JA100">
        <v>21710</v>
      </c>
      <c r="JB100">
        <v>21269</v>
      </c>
      <c r="JC100">
        <v>13473</v>
      </c>
      <c r="JD100">
        <v>14049</v>
      </c>
      <c r="JE100">
        <v>10964</v>
      </c>
      <c r="JF100">
        <v>8644</v>
      </c>
      <c r="JG100">
        <v>12303</v>
      </c>
      <c r="JH100">
        <v>13606</v>
      </c>
      <c r="JI100">
        <v>13207</v>
      </c>
      <c r="JJ100">
        <f t="shared" si="68"/>
        <v>162662</v>
      </c>
      <c r="JK100">
        <v>784</v>
      </c>
      <c r="JL100">
        <v>823</v>
      </c>
      <c r="JM100">
        <v>564</v>
      </c>
      <c r="JN100">
        <v>1299</v>
      </c>
      <c r="JO100">
        <v>1174</v>
      </c>
      <c r="JP100">
        <v>748</v>
      </c>
      <c r="JQ100">
        <v>785</v>
      </c>
      <c r="JR100">
        <v>535</v>
      </c>
      <c r="JS100">
        <v>458</v>
      </c>
      <c r="JT100">
        <v>636</v>
      </c>
      <c r="JU100">
        <v>575</v>
      </c>
      <c r="JV100">
        <v>594</v>
      </c>
      <c r="JW100">
        <f t="shared" si="69"/>
        <v>8975</v>
      </c>
      <c r="JX100">
        <v>14231</v>
      </c>
      <c r="JY100">
        <v>14589</v>
      </c>
      <c r="JZ100">
        <v>13557</v>
      </c>
      <c r="KA100">
        <v>19764</v>
      </c>
      <c r="KB100">
        <v>16627</v>
      </c>
      <c r="KC100">
        <v>14410</v>
      </c>
      <c r="KD100">
        <v>15162</v>
      </c>
      <c r="KE100">
        <v>12993</v>
      </c>
      <c r="KF100">
        <v>11320</v>
      </c>
      <c r="KG100">
        <v>13728</v>
      </c>
      <c r="KH100">
        <v>13024</v>
      </c>
      <c r="KI100">
        <v>13160</v>
      </c>
      <c r="KJ100">
        <f t="shared" si="70"/>
        <v>172565</v>
      </c>
      <c r="KK100">
        <v>257</v>
      </c>
      <c r="KL100">
        <v>256</v>
      </c>
      <c r="KM100">
        <v>262</v>
      </c>
      <c r="KN100">
        <v>291</v>
      </c>
      <c r="KO100">
        <v>244</v>
      </c>
      <c r="KP100">
        <v>282</v>
      </c>
      <c r="KQ100">
        <v>86</v>
      </c>
      <c r="KR100">
        <v>226</v>
      </c>
      <c r="KS100">
        <v>244</v>
      </c>
      <c r="KT100">
        <v>301</v>
      </c>
      <c r="KU100">
        <v>256</v>
      </c>
      <c r="KV100">
        <v>251</v>
      </c>
      <c r="KW100">
        <f t="shared" si="71"/>
        <v>2956</v>
      </c>
      <c r="KX100">
        <v>6</v>
      </c>
      <c r="KY100">
        <v>4</v>
      </c>
      <c r="KZ100">
        <v>5</v>
      </c>
      <c r="LA100">
        <v>15</v>
      </c>
      <c r="LB100">
        <v>8</v>
      </c>
      <c r="LC100">
        <v>7</v>
      </c>
      <c r="LD100">
        <v>9</v>
      </c>
      <c r="LE100">
        <v>6</v>
      </c>
      <c r="LF100">
        <v>6</v>
      </c>
      <c r="LG100">
        <v>3</v>
      </c>
      <c r="LH100">
        <v>4</v>
      </c>
      <c r="LI100">
        <v>6</v>
      </c>
      <c r="LJ100">
        <f t="shared" si="72"/>
        <v>79</v>
      </c>
      <c r="LK100">
        <v>2</v>
      </c>
      <c r="LL100">
        <v>1</v>
      </c>
      <c r="LM100">
        <v>0</v>
      </c>
      <c r="LN100">
        <v>0</v>
      </c>
      <c r="LO100">
        <v>0</v>
      </c>
      <c r="LP100">
        <v>0</v>
      </c>
      <c r="LQ100">
        <v>1</v>
      </c>
      <c r="LR100">
        <v>0</v>
      </c>
      <c r="LS100">
        <v>0</v>
      </c>
      <c r="LT100">
        <v>0</v>
      </c>
      <c r="LU100">
        <v>0</v>
      </c>
      <c r="LV100">
        <v>0</v>
      </c>
      <c r="LW100">
        <f t="shared" si="73"/>
        <v>4</v>
      </c>
      <c r="LX100">
        <v>249</v>
      </c>
      <c r="LY100">
        <v>251</v>
      </c>
      <c r="LZ100">
        <v>257</v>
      </c>
      <c r="MA100">
        <v>276</v>
      </c>
      <c r="MB100">
        <v>236</v>
      </c>
      <c r="MC100">
        <v>275</v>
      </c>
      <c r="MD100">
        <v>276</v>
      </c>
      <c r="ME100">
        <v>220</v>
      </c>
      <c r="MF100">
        <v>238</v>
      </c>
      <c r="MG100">
        <v>298</v>
      </c>
      <c r="MH100">
        <v>252</v>
      </c>
      <c r="MI100">
        <v>245</v>
      </c>
      <c r="MJ100">
        <f t="shared" si="74"/>
        <v>3073</v>
      </c>
      <c r="MK100">
        <v>4313</v>
      </c>
      <c r="ML100">
        <v>4357</v>
      </c>
      <c r="MM100">
        <v>4097</v>
      </c>
      <c r="MN100">
        <v>4455</v>
      </c>
      <c r="MO100">
        <v>4523</v>
      </c>
      <c r="MP100">
        <v>4343</v>
      </c>
      <c r="MQ100">
        <v>4504</v>
      </c>
      <c r="MR100">
        <v>4296</v>
      </c>
      <c r="MS100">
        <v>4244</v>
      </c>
      <c r="MT100">
        <v>4513</v>
      </c>
      <c r="MU100">
        <v>4114</v>
      </c>
      <c r="MV100">
        <v>4382</v>
      </c>
      <c r="MW100">
        <f t="shared" si="75"/>
        <v>52141</v>
      </c>
      <c r="MX100">
        <v>0</v>
      </c>
      <c r="MY100">
        <v>0</v>
      </c>
      <c r="MZ100">
        <v>0</v>
      </c>
      <c r="NA100">
        <v>0</v>
      </c>
      <c r="NB100">
        <v>0</v>
      </c>
      <c r="NC100">
        <v>0</v>
      </c>
      <c r="ND100">
        <v>0</v>
      </c>
      <c r="NE100">
        <v>0</v>
      </c>
      <c r="NF100">
        <v>0</v>
      </c>
      <c r="NG100">
        <v>0</v>
      </c>
      <c r="NH100">
        <v>0</v>
      </c>
      <c r="NI100">
        <v>0</v>
      </c>
      <c r="NJ100">
        <f t="shared" si="76"/>
        <v>0</v>
      </c>
      <c r="NK100">
        <v>0</v>
      </c>
      <c r="NL100">
        <v>0</v>
      </c>
      <c r="NM100">
        <v>0</v>
      </c>
      <c r="NN100">
        <v>0</v>
      </c>
      <c r="NO100">
        <v>0</v>
      </c>
      <c r="NP100">
        <v>0</v>
      </c>
      <c r="NQ100">
        <v>0</v>
      </c>
      <c r="NR100">
        <v>0</v>
      </c>
      <c r="NS100">
        <v>0</v>
      </c>
      <c r="NT100">
        <v>0</v>
      </c>
      <c r="NU100">
        <v>0</v>
      </c>
      <c r="NV100">
        <v>0</v>
      </c>
      <c r="NW100">
        <f t="shared" si="77"/>
        <v>0</v>
      </c>
      <c r="NX100">
        <v>0</v>
      </c>
      <c r="NY100">
        <v>0</v>
      </c>
      <c r="NZ100">
        <v>0</v>
      </c>
      <c r="OA100">
        <v>0</v>
      </c>
      <c r="OB100">
        <v>0</v>
      </c>
      <c r="OC100">
        <v>0</v>
      </c>
      <c r="OD100">
        <v>0</v>
      </c>
      <c r="OE100">
        <v>0</v>
      </c>
      <c r="OF100">
        <v>0</v>
      </c>
      <c r="OG100">
        <v>0</v>
      </c>
      <c r="OH100">
        <v>0</v>
      </c>
      <c r="OI100">
        <v>0</v>
      </c>
      <c r="OJ100">
        <f t="shared" si="78"/>
        <v>0</v>
      </c>
      <c r="OK100">
        <v>9224</v>
      </c>
      <c r="OL100">
        <v>9417</v>
      </c>
      <c r="OM100">
        <v>9215</v>
      </c>
      <c r="ON100">
        <v>98017</v>
      </c>
      <c r="OO100">
        <v>10107</v>
      </c>
      <c r="OP100">
        <v>9637</v>
      </c>
      <c r="OQ100">
        <v>10018</v>
      </c>
      <c r="OR100">
        <v>9492</v>
      </c>
      <c r="OS100">
        <v>9333</v>
      </c>
      <c r="OT100">
        <v>10178</v>
      </c>
      <c r="OU100">
        <v>9347</v>
      </c>
      <c r="OV100">
        <v>10464</v>
      </c>
      <c r="OW100">
        <f t="shared" si="79"/>
        <v>204449</v>
      </c>
      <c r="OX100">
        <v>0</v>
      </c>
      <c r="OY100">
        <v>0</v>
      </c>
      <c r="OZ100">
        <v>0</v>
      </c>
      <c r="PA100">
        <v>0</v>
      </c>
      <c r="PB100">
        <v>0</v>
      </c>
      <c r="PC100">
        <v>0</v>
      </c>
      <c r="PD100">
        <v>0</v>
      </c>
      <c r="PE100">
        <v>0</v>
      </c>
      <c r="PF100">
        <v>0</v>
      </c>
      <c r="PG100">
        <v>0</v>
      </c>
      <c r="PH100">
        <v>0</v>
      </c>
      <c r="PI100">
        <v>0</v>
      </c>
      <c r="PJ100">
        <f t="shared" si="80"/>
        <v>0</v>
      </c>
      <c r="PK100">
        <v>0</v>
      </c>
      <c r="PL100">
        <v>0</v>
      </c>
      <c r="PM100">
        <v>0</v>
      </c>
      <c r="PN100">
        <v>0</v>
      </c>
      <c r="PO100">
        <v>0</v>
      </c>
      <c r="PP100">
        <v>0</v>
      </c>
      <c r="PQ100">
        <v>0</v>
      </c>
      <c r="PR100">
        <v>0</v>
      </c>
      <c r="PS100">
        <v>0</v>
      </c>
      <c r="PT100">
        <v>0</v>
      </c>
      <c r="PU100">
        <v>0</v>
      </c>
      <c r="PV100">
        <v>0</v>
      </c>
      <c r="PW100">
        <f t="shared" si="81"/>
        <v>0</v>
      </c>
      <c r="PX100">
        <v>0</v>
      </c>
      <c r="PY100">
        <v>0</v>
      </c>
      <c r="PZ100">
        <v>0</v>
      </c>
      <c r="QA100">
        <v>0</v>
      </c>
      <c r="QB100">
        <v>0</v>
      </c>
      <c r="QC100">
        <v>0</v>
      </c>
      <c r="QD100">
        <v>0</v>
      </c>
      <c r="QE100">
        <v>0</v>
      </c>
      <c r="QF100">
        <v>0</v>
      </c>
      <c r="QG100">
        <v>0</v>
      </c>
      <c r="QH100">
        <v>0</v>
      </c>
      <c r="QI100">
        <v>0</v>
      </c>
      <c r="QJ100">
        <f t="shared" si="82"/>
        <v>0</v>
      </c>
      <c r="QK100">
        <v>37351</v>
      </c>
      <c r="QL100">
        <v>39096</v>
      </c>
      <c r="QM100">
        <v>36204</v>
      </c>
      <c r="QN100">
        <v>42355</v>
      </c>
      <c r="QO100">
        <v>41842</v>
      </c>
      <c r="QP100">
        <v>39258</v>
      </c>
      <c r="QQ100">
        <v>42112</v>
      </c>
      <c r="QR100">
        <v>36410</v>
      </c>
      <c r="QS100">
        <v>30022</v>
      </c>
      <c r="QT100">
        <v>37344</v>
      </c>
      <c r="QU100">
        <v>40010</v>
      </c>
      <c r="QV100">
        <v>37555</v>
      </c>
      <c r="QW100">
        <f t="shared" si="83"/>
        <v>459559</v>
      </c>
      <c r="QX100">
        <v>46430</v>
      </c>
      <c r="QY100">
        <v>50577</v>
      </c>
      <c r="QZ100">
        <v>47730</v>
      </c>
      <c r="RA100">
        <v>57054</v>
      </c>
      <c r="RB100">
        <v>55018</v>
      </c>
      <c r="RC100">
        <v>50442</v>
      </c>
      <c r="RD100">
        <v>55057</v>
      </c>
      <c r="RE100">
        <v>49299</v>
      </c>
      <c r="RF100">
        <v>43731</v>
      </c>
      <c r="RG100">
        <v>48611</v>
      </c>
      <c r="RH100">
        <v>48696</v>
      </c>
      <c r="RI100">
        <v>51418</v>
      </c>
      <c r="RJ100">
        <f t="shared" si="84"/>
        <v>604063</v>
      </c>
      <c r="RK100">
        <v>0</v>
      </c>
      <c r="RL100">
        <v>0</v>
      </c>
      <c r="RM100">
        <v>0</v>
      </c>
      <c r="RN100">
        <v>0</v>
      </c>
      <c r="RO100">
        <v>0</v>
      </c>
      <c r="RP100">
        <v>0</v>
      </c>
      <c r="RQ100">
        <v>0</v>
      </c>
      <c r="RR100">
        <v>0</v>
      </c>
      <c r="RS100">
        <v>0</v>
      </c>
      <c r="RT100">
        <v>0</v>
      </c>
      <c r="RU100">
        <v>0</v>
      </c>
      <c r="RV100">
        <v>0</v>
      </c>
      <c r="RW100">
        <f t="shared" si="85"/>
        <v>0</v>
      </c>
      <c r="RX100">
        <v>0</v>
      </c>
      <c r="RY100">
        <v>0</v>
      </c>
      <c r="RZ100">
        <v>0</v>
      </c>
      <c r="SA100">
        <v>0</v>
      </c>
      <c r="SB100">
        <v>0</v>
      </c>
      <c r="SC100">
        <v>0</v>
      </c>
      <c r="SD100">
        <v>0</v>
      </c>
      <c r="SE100">
        <v>0</v>
      </c>
      <c r="SF100">
        <v>0</v>
      </c>
      <c r="SG100">
        <v>0</v>
      </c>
      <c r="SH100">
        <v>0</v>
      </c>
      <c r="SI100">
        <v>0</v>
      </c>
      <c r="SJ100">
        <f t="shared" si="86"/>
        <v>0</v>
      </c>
      <c r="SK100">
        <v>10</v>
      </c>
      <c r="SL100">
        <v>12</v>
      </c>
      <c r="SM100">
        <v>11</v>
      </c>
      <c r="SN100">
        <v>11</v>
      </c>
      <c r="SO100">
        <v>11</v>
      </c>
      <c r="SP100">
        <v>10</v>
      </c>
      <c r="SQ100">
        <v>9</v>
      </c>
      <c r="SR100">
        <v>9</v>
      </c>
      <c r="SS100">
        <v>8</v>
      </c>
      <c r="ST100">
        <v>8</v>
      </c>
      <c r="SU100">
        <v>10</v>
      </c>
      <c r="SV100">
        <v>10</v>
      </c>
      <c r="SW100">
        <f t="shared" si="87"/>
        <v>119</v>
      </c>
      <c r="SX100" t="s">
        <v>1367</v>
      </c>
      <c r="SY100">
        <v>1898</v>
      </c>
      <c r="SZ100">
        <v>1984</v>
      </c>
      <c r="TA100">
        <v>2276</v>
      </c>
      <c r="TB100">
        <v>1413</v>
      </c>
      <c r="TC100">
        <v>1734</v>
      </c>
      <c r="TD100">
        <v>2488</v>
      </c>
      <c r="TE100">
        <v>1712</v>
      </c>
      <c r="TF100">
        <v>2546</v>
      </c>
      <c r="TG100">
        <v>1529</v>
      </c>
      <c r="TH100">
        <v>1778</v>
      </c>
      <c r="TI100">
        <v>1629</v>
      </c>
      <c r="TJ100">
        <v>1680</v>
      </c>
      <c r="TK100">
        <f t="shared" si="88"/>
        <v>22667</v>
      </c>
      <c r="TL100">
        <v>0</v>
      </c>
      <c r="TM100">
        <v>0</v>
      </c>
      <c r="TN100">
        <v>0</v>
      </c>
      <c r="TO100">
        <v>0</v>
      </c>
      <c r="TP100">
        <v>0</v>
      </c>
      <c r="TQ100">
        <v>0</v>
      </c>
      <c r="TR100">
        <v>16359</v>
      </c>
      <c r="TS100">
        <v>13118</v>
      </c>
      <c r="TT100">
        <v>12421</v>
      </c>
      <c r="TU100">
        <v>16052</v>
      </c>
      <c r="TV100">
        <v>16110</v>
      </c>
      <c r="TW100">
        <v>18756</v>
      </c>
      <c r="TX100">
        <f t="shared" si="89"/>
        <v>92816</v>
      </c>
      <c r="TY100">
        <v>81</v>
      </c>
      <c r="TZ100">
        <v>0</v>
      </c>
      <c r="UA100">
        <v>0</v>
      </c>
      <c r="UB100">
        <v>0</v>
      </c>
    </row>
    <row r="101" spans="1:548" ht="16.5" customHeight="1" x14ac:dyDescent="0.35">
      <c r="A101" t="s">
        <v>1512</v>
      </c>
      <c r="B101" t="s">
        <v>2862</v>
      </c>
      <c r="C101">
        <v>131354</v>
      </c>
      <c r="D101">
        <v>39092</v>
      </c>
      <c r="E101">
        <v>5783</v>
      </c>
      <c r="F101">
        <v>86479</v>
      </c>
      <c r="G101">
        <v>775</v>
      </c>
      <c r="H101">
        <v>808</v>
      </c>
      <c r="I101">
        <v>831</v>
      </c>
      <c r="J101">
        <v>953</v>
      </c>
      <c r="K101">
        <v>776</v>
      </c>
      <c r="L101">
        <v>833</v>
      </c>
      <c r="M101">
        <v>865</v>
      </c>
      <c r="N101">
        <v>827</v>
      </c>
      <c r="O101">
        <v>747</v>
      </c>
      <c r="P101">
        <v>727</v>
      </c>
      <c r="Q101">
        <v>828</v>
      </c>
      <c r="R101">
        <v>919</v>
      </c>
      <c r="S101">
        <f t="shared" si="45"/>
        <v>9889</v>
      </c>
      <c r="T101">
        <v>466</v>
      </c>
      <c r="U101">
        <v>515</v>
      </c>
      <c r="V101">
        <v>521</v>
      </c>
      <c r="W101">
        <v>635</v>
      </c>
      <c r="X101">
        <v>512</v>
      </c>
      <c r="Y101">
        <v>497</v>
      </c>
      <c r="Z101">
        <v>528</v>
      </c>
      <c r="AA101">
        <v>498</v>
      </c>
      <c r="AB101">
        <v>454</v>
      </c>
      <c r="AC101">
        <v>460</v>
      </c>
      <c r="AD101">
        <v>518</v>
      </c>
      <c r="AE101">
        <v>584</v>
      </c>
      <c r="AF101">
        <f t="shared" si="46"/>
        <v>6188</v>
      </c>
      <c r="AG101">
        <v>0</v>
      </c>
      <c r="AH101">
        <v>0</v>
      </c>
      <c r="AI101">
        <v>0</v>
      </c>
      <c r="AJ101">
        <v>0</v>
      </c>
      <c r="AK101">
        <v>0</v>
      </c>
      <c r="AL101">
        <v>0</v>
      </c>
      <c r="AM101">
        <v>0</v>
      </c>
      <c r="AN101">
        <v>0</v>
      </c>
      <c r="AO101">
        <v>0</v>
      </c>
      <c r="AP101">
        <v>0</v>
      </c>
      <c r="AQ101">
        <v>0</v>
      </c>
      <c r="AR101">
        <v>0</v>
      </c>
      <c r="AS101">
        <f t="shared" si="47"/>
        <v>0</v>
      </c>
      <c r="AT101">
        <v>309</v>
      </c>
      <c r="AU101">
        <v>293</v>
      </c>
      <c r="AV101">
        <v>310</v>
      </c>
      <c r="AW101">
        <v>318</v>
      </c>
      <c r="AX101">
        <v>264</v>
      </c>
      <c r="AY101">
        <v>336</v>
      </c>
      <c r="AZ101">
        <v>337</v>
      </c>
      <c r="BA101">
        <v>329</v>
      </c>
      <c r="BB101">
        <v>293</v>
      </c>
      <c r="BC101">
        <v>267</v>
      </c>
      <c r="BD101">
        <v>310</v>
      </c>
      <c r="BE101">
        <v>335</v>
      </c>
      <c r="BF101">
        <f t="shared" si="48"/>
        <v>3701</v>
      </c>
      <c r="BG101">
        <v>0</v>
      </c>
      <c r="BH101">
        <v>0</v>
      </c>
      <c r="BI101">
        <v>0</v>
      </c>
      <c r="BJ101">
        <v>0</v>
      </c>
      <c r="BK101">
        <v>0</v>
      </c>
      <c r="BL101">
        <v>0</v>
      </c>
      <c r="BM101">
        <v>0</v>
      </c>
      <c r="BN101">
        <v>0</v>
      </c>
      <c r="BO101">
        <v>0</v>
      </c>
      <c r="BP101">
        <v>0</v>
      </c>
      <c r="BQ101">
        <v>0</v>
      </c>
      <c r="BR101">
        <v>0</v>
      </c>
      <c r="BS101">
        <f t="shared" si="49"/>
        <v>0</v>
      </c>
      <c r="BT101">
        <v>0</v>
      </c>
      <c r="BU101">
        <v>0</v>
      </c>
      <c r="BV101">
        <v>0</v>
      </c>
      <c r="BW101">
        <v>0</v>
      </c>
      <c r="BX101">
        <v>0</v>
      </c>
      <c r="BY101">
        <v>0</v>
      </c>
      <c r="BZ101">
        <v>1</v>
      </c>
      <c r="CA101">
        <v>0</v>
      </c>
      <c r="CB101">
        <v>0</v>
      </c>
      <c r="CC101">
        <v>0</v>
      </c>
      <c r="CD101">
        <v>0</v>
      </c>
      <c r="CE101">
        <v>0</v>
      </c>
      <c r="CF101">
        <f t="shared" si="50"/>
        <v>1</v>
      </c>
      <c r="CG101">
        <v>0</v>
      </c>
      <c r="CH101">
        <v>0</v>
      </c>
      <c r="CI101">
        <v>0</v>
      </c>
      <c r="CJ101">
        <v>0</v>
      </c>
      <c r="CK101">
        <v>0</v>
      </c>
      <c r="CL101">
        <v>0</v>
      </c>
      <c r="CM101">
        <v>0</v>
      </c>
      <c r="CN101">
        <v>0</v>
      </c>
      <c r="CO101">
        <v>0</v>
      </c>
      <c r="CP101">
        <v>0</v>
      </c>
      <c r="CQ101">
        <v>0</v>
      </c>
      <c r="CR101">
        <v>0</v>
      </c>
      <c r="CS101">
        <f t="shared" si="51"/>
        <v>0</v>
      </c>
      <c r="CT101">
        <v>0</v>
      </c>
      <c r="CU101">
        <v>0</v>
      </c>
      <c r="CV101">
        <v>0</v>
      </c>
      <c r="CW101">
        <v>0</v>
      </c>
      <c r="CX101">
        <v>0</v>
      </c>
      <c r="CY101">
        <v>0</v>
      </c>
      <c r="CZ101">
        <v>0</v>
      </c>
      <c r="DA101">
        <v>0</v>
      </c>
      <c r="DB101">
        <v>0</v>
      </c>
      <c r="DC101">
        <v>0</v>
      </c>
      <c r="DD101">
        <v>0</v>
      </c>
      <c r="DE101">
        <v>0</v>
      </c>
      <c r="DF101">
        <f t="shared" si="52"/>
        <v>0</v>
      </c>
      <c r="DG101">
        <v>0</v>
      </c>
      <c r="DH101">
        <v>0</v>
      </c>
      <c r="DI101">
        <v>0</v>
      </c>
      <c r="DJ101">
        <v>0</v>
      </c>
      <c r="DK101">
        <v>0</v>
      </c>
      <c r="DL101">
        <v>0</v>
      </c>
      <c r="DM101">
        <v>1</v>
      </c>
      <c r="DN101">
        <v>0</v>
      </c>
      <c r="DO101">
        <v>0</v>
      </c>
      <c r="DP101">
        <v>0</v>
      </c>
      <c r="DQ101">
        <v>0</v>
      </c>
      <c r="DR101">
        <v>0</v>
      </c>
      <c r="DS101">
        <f t="shared" si="53"/>
        <v>1</v>
      </c>
      <c r="DT101">
        <v>0</v>
      </c>
      <c r="DU101">
        <v>0</v>
      </c>
      <c r="DV101">
        <v>0</v>
      </c>
      <c r="DW101">
        <v>0</v>
      </c>
      <c r="DX101">
        <v>0</v>
      </c>
      <c r="DY101">
        <v>0</v>
      </c>
      <c r="DZ101">
        <v>0</v>
      </c>
      <c r="EA101">
        <v>0</v>
      </c>
      <c r="EB101">
        <v>0</v>
      </c>
      <c r="EC101">
        <v>0</v>
      </c>
      <c r="ED101">
        <v>0</v>
      </c>
      <c r="EE101">
        <v>0</v>
      </c>
      <c r="EF101">
        <f t="shared" si="54"/>
        <v>0</v>
      </c>
      <c r="EG101">
        <f t="shared" si="55"/>
        <v>9889</v>
      </c>
      <c r="EH101">
        <f t="shared" si="56"/>
        <v>1</v>
      </c>
      <c r="EI101">
        <v>12983</v>
      </c>
      <c r="EJ101">
        <v>14971</v>
      </c>
      <c r="EK101">
        <v>27501</v>
      </c>
      <c r="EL101">
        <v>48243</v>
      </c>
      <c r="EM101">
        <v>15288</v>
      </c>
      <c r="EN101">
        <v>15495</v>
      </c>
      <c r="EO101">
        <v>16071</v>
      </c>
      <c r="EP101">
        <v>15790</v>
      </c>
      <c r="EQ101">
        <v>12059</v>
      </c>
      <c r="ER101">
        <v>12726</v>
      </c>
      <c r="ES101">
        <v>15550</v>
      </c>
      <c r="ET101">
        <v>18253</v>
      </c>
      <c r="EU101">
        <f t="shared" si="57"/>
        <v>224930</v>
      </c>
      <c r="EV101">
        <v>5767</v>
      </c>
      <c r="EW101">
        <v>7124</v>
      </c>
      <c r="EX101">
        <v>19350</v>
      </c>
      <c r="EY101">
        <v>38726</v>
      </c>
      <c r="EZ101">
        <v>7086</v>
      </c>
      <c r="FA101">
        <v>6655</v>
      </c>
      <c r="FB101">
        <v>7050</v>
      </c>
      <c r="FC101">
        <v>6906</v>
      </c>
      <c r="FD101">
        <v>5244</v>
      </c>
      <c r="FE101">
        <v>5734</v>
      </c>
      <c r="FF101">
        <v>7086</v>
      </c>
      <c r="FG101">
        <v>8878</v>
      </c>
      <c r="FH101">
        <f t="shared" si="58"/>
        <v>125606</v>
      </c>
      <c r="FI101">
        <v>0</v>
      </c>
      <c r="FJ101">
        <v>0</v>
      </c>
      <c r="FK101">
        <v>0</v>
      </c>
      <c r="FL101">
        <v>0</v>
      </c>
      <c r="FM101">
        <v>0</v>
      </c>
      <c r="FN101">
        <v>0</v>
      </c>
      <c r="FO101">
        <v>0</v>
      </c>
      <c r="FP101">
        <v>0</v>
      </c>
      <c r="FQ101">
        <v>0</v>
      </c>
      <c r="FR101">
        <v>0</v>
      </c>
      <c r="FS101">
        <v>0</v>
      </c>
      <c r="FT101">
        <v>0</v>
      </c>
      <c r="FU101">
        <f t="shared" si="59"/>
        <v>0</v>
      </c>
      <c r="FV101">
        <v>7216</v>
      </c>
      <c r="FW101">
        <v>7847</v>
      </c>
      <c r="FX101">
        <v>8151</v>
      </c>
      <c r="FY101">
        <v>9517</v>
      </c>
      <c r="FZ101">
        <v>8202</v>
      </c>
      <c r="GA101">
        <v>8840</v>
      </c>
      <c r="GB101">
        <v>9021</v>
      </c>
      <c r="GC101">
        <v>8884</v>
      </c>
      <c r="GD101">
        <v>6815</v>
      </c>
      <c r="GE101">
        <v>6992</v>
      </c>
      <c r="GF101">
        <v>8464</v>
      </c>
      <c r="GG101">
        <v>9375</v>
      </c>
      <c r="GH101">
        <f t="shared" si="60"/>
        <v>99324</v>
      </c>
      <c r="GI101">
        <v>0</v>
      </c>
      <c r="GJ101">
        <v>0</v>
      </c>
      <c r="GK101">
        <v>0</v>
      </c>
      <c r="GL101">
        <v>0</v>
      </c>
      <c r="GM101">
        <v>0</v>
      </c>
      <c r="GN101">
        <v>0</v>
      </c>
      <c r="GO101">
        <v>3</v>
      </c>
      <c r="GP101">
        <v>0</v>
      </c>
      <c r="GQ101">
        <v>0</v>
      </c>
      <c r="GR101">
        <v>0</v>
      </c>
      <c r="GS101">
        <v>0</v>
      </c>
      <c r="GT101">
        <v>0</v>
      </c>
      <c r="GU101">
        <f t="shared" si="61"/>
        <v>3</v>
      </c>
      <c r="GV101">
        <v>0</v>
      </c>
      <c r="GW101">
        <v>0</v>
      </c>
      <c r="GX101">
        <v>0</v>
      </c>
      <c r="GY101">
        <v>0</v>
      </c>
      <c r="GZ101">
        <v>0</v>
      </c>
      <c r="HA101">
        <v>0</v>
      </c>
      <c r="HB101">
        <v>0</v>
      </c>
      <c r="HC101">
        <v>0</v>
      </c>
      <c r="HD101">
        <v>0</v>
      </c>
      <c r="HE101">
        <v>0</v>
      </c>
      <c r="HF101">
        <v>0</v>
      </c>
      <c r="HG101">
        <v>0</v>
      </c>
      <c r="HH101">
        <f t="shared" si="62"/>
        <v>0</v>
      </c>
      <c r="HI101">
        <v>0</v>
      </c>
      <c r="HJ101">
        <v>0</v>
      </c>
      <c r="HK101">
        <v>0</v>
      </c>
      <c r="HL101">
        <v>0</v>
      </c>
      <c r="HM101">
        <v>0</v>
      </c>
      <c r="HN101">
        <v>0</v>
      </c>
      <c r="HO101">
        <v>0</v>
      </c>
      <c r="HP101">
        <v>0</v>
      </c>
      <c r="HQ101">
        <v>0</v>
      </c>
      <c r="HR101">
        <v>0</v>
      </c>
      <c r="HS101">
        <v>0</v>
      </c>
      <c r="HT101">
        <v>0</v>
      </c>
      <c r="HU101">
        <f t="shared" si="63"/>
        <v>0</v>
      </c>
      <c r="HV101">
        <v>0</v>
      </c>
      <c r="HW101">
        <v>0</v>
      </c>
      <c r="HX101">
        <v>0</v>
      </c>
      <c r="HY101">
        <v>0</v>
      </c>
      <c r="HZ101">
        <v>0</v>
      </c>
      <c r="IA101">
        <v>0</v>
      </c>
      <c r="IB101">
        <v>3</v>
      </c>
      <c r="IC101">
        <v>0</v>
      </c>
      <c r="ID101">
        <v>0</v>
      </c>
      <c r="IE101">
        <v>0</v>
      </c>
      <c r="IF101">
        <v>0</v>
      </c>
      <c r="IG101">
        <v>0</v>
      </c>
      <c r="IH101">
        <f t="shared" si="64"/>
        <v>3</v>
      </c>
      <c r="II101">
        <f t="shared" si="65"/>
        <v>224930</v>
      </c>
      <c r="IJ101">
        <f t="shared" si="66"/>
        <v>3</v>
      </c>
      <c r="IK101">
        <v>226348</v>
      </c>
      <c r="IL101">
        <v>228638</v>
      </c>
      <c r="IM101">
        <v>217795</v>
      </c>
      <c r="IN101">
        <v>264647</v>
      </c>
      <c r="IO101">
        <v>272450</v>
      </c>
      <c r="IP101">
        <v>246362</v>
      </c>
      <c r="IQ101">
        <v>243418</v>
      </c>
      <c r="IR101">
        <v>221585</v>
      </c>
      <c r="IS101">
        <v>194650</v>
      </c>
      <c r="IT101">
        <v>222016</v>
      </c>
      <c r="IU101">
        <v>213502</v>
      </c>
      <c r="IV101">
        <v>237519</v>
      </c>
      <c r="IW101">
        <f t="shared" si="67"/>
        <v>2788930</v>
      </c>
      <c r="IX101">
        <v>99410</v>
      </c>
      <c r="IY101">
        <v>100260</v>
      </c>
      <c r="IZ101">
        <v>91393</v>
      </c>
      <c r="JA101">
        <v>128350</v>
      </c>
      <c r="JB101">
        <v>133446</v>
      </c>
      <c r="JC101">
        <v>113365</v>
      </c>
      <c r="JD101">
        <v>111583</v>
      </c>
      <c r="JE101">
        <v>99549</v>
      </c>
      <c r="JF101">
        <v>80412</v>
      </c>
      <c r="JG101">
        <v>95434</v>
      </c>
      <c r="JH101">
        <v>99953</v>
      </c>
      <c r="JI101">
        <v>106524</v>
      </c>
      <c r="JJ101">
        <f t="shared" si="68"/>
        <v>1259679</v>
      </c>
      <c r="JK101">
        <v>0</v>
      </c>
      <c r="JL101">
        <v>0</v>
      </c>
      <c r="JM101">
        <v>0</v>
      </c>
      <c r="JN101">
        <v>0</v>
      </c>
      <c r="JO101">
        <v>0</v>
      </c>
      <c r="JP101">
        <v>0</v>
      </c>
      <c r="JQ101">
        <v>0</v>
      </c>
      <c r="JR101">
        <v>0</v>
      </c>
      <c r="JS101">
        <v>0</v>
      </c>
      <c r="JT101">
        <v>0</v>
      </c>
      <c r="JU101">
        <v>0</v>
      </c>
      <c r="JV101">
        <v>0</v>
      </c>
      <c r="JW101">
        <f t="shared" si="69"/>
        <v>0</v>
      </c>
      <c r="JX101">
        <v>126938</v>
      </c>
      <c r="JY101">
        <v>128378</v>
      </c>
      <c r="JZ101">
        <v>126402</v>
      </c>
      <c r="KA101">
        <v>136297</v>
      </c>
      <c r="KB101">
        <v>139004</v>
      </c>
      <c r="KC101">
        <v>132997</v>
      </c>
      <c r="KD101">
        <v>131835</v>
      </c>
      <c r="KE101">
        <v>122036</v>
      </c>
      <c r="KF101">
        <v>114238</v>
      </c>
      <c r="KG101">
        <v>126582</v>
      </c>
      <c r="KH101">
        <v>113549</v>
      </c>
      <c r="KI101">
        <v>130995</v>
      </c>
      <c r="KJ101">
        <f t="shared" si="70"/>
        <v>1529251</v>
      </c>
      <c r="KK101">
        <v>3714</v>
      </c>
      <c r="KL101">
        <v>3785</v>
      </c>
      <c r="KM101">
        <v>3404</v>
      </c>
      <c r="KN101">
        <v>4463</v>
      </c>
      <c r="KO101">
        <v>4450</v>
      </c>
      <c r="KP101">
        <v>3978</v>
      </c>
      <c r="KQ101">
        <v>3951</v>
      </c>
      <c r="KR101">
        <v>3309</v>
      </c>
      <c r="KS101">
        <v>3328</v>
      </c>
      <c r="KT101">
        <v>3590</v>
      </c>
      <c r="KU101">
        <v>3422</v>
      </c>
      <c r="KV101">
        <v>3667</v>
      </c>
      <c r="KW101">
        <f t="shared" si="71"/>
        <v>45061</v>
      </c>
      <c r="KX101">
        <v>1030</v>
      </c>
      <c r="KY101">
        <v>935</v>
      </c>
      <c r="KZ101">
        <v>828</v>
      </c>
      <c r="LA101">
        <v>1650</v>
      </c>
      <c r="LB101">
        <v>1664</v>
      </c>
      <c r="LC101">
        <v>1109</v>
      </c>
      <c r="LD101">
        <v>1022</v>
      </c>
      <c r="LE101">
        <v>821</v>
      </c>
      <c r="LF101">
        <v>575</v>
      </c>
      <c r="LG101">
        <v>784</v>
      </c>
      <c r="LH101">
        <v>907</v>
      </c>
      <c r="LI101">
        <v>972</v>
      </c>
      <c r="LJ101">
        <f t="shared" si="72"/>
        <v>12297</v>
      </c>
      <c r="LK101">
        <v>0</v>
      </c>
      <c r="LL101">
        <v>0</v>
      </c>
      <c r="LM101">
        <v>0</v>
      </c>
      <c r="LN101">
        <v>0</v>
      </c>
      <c r="LO101">
        <v>0</v>
      </c>
      <c r="LP101">
        <v>0</v>
      </c>
      <c r="LQ101">
        <v>0</v>
      </c>
      <c r="LR101">
        <v>0</v>
      </c>
      <c r="LS101">
        <v>0</v>
      </c>
      <c r="LT101">
        <v>0</v>
      </c>
      <c r="LU101">
        <v>0</v>
      </c>
      <c r="LV101">
        <v>0</v>
      </c>
      <c r="LW101">
        <f t="shared" si="73"/>
        <v>0</v>
      </c>
      <c r="LX101">
        <v>2684</v>
      </c>
      <c r="LY101">
        <v>2850</v>
      </c>
      <c r="LZ101">
        <v>2576</v>
      </c>
      <c r="MA101">
        <v>2813</v>
      </c>
      <c r="MB101">
        <v>2786</v>
      </c>
      <c r="MC101">
        <v>2869</v>
      </c>
      <c r="MD101">
        <v>2929</v>
      </c>
      <c r="ME101">
        <v>2488</v>
      </c>
      <c r="MF101">
        <v>2753</v>
      </c>
      <c r="MG101">
        <v>2806</v>
      </c>
      <c r="MH101">
        <v>2515</v>
      </c>
      <c r="MI101">
        <v>2695</v>
      </c>
      <c r="MJ101">
        <f t="shared" si="74"/>
        <v>32764</v>
      </c>
      <c r="MK101">
        <v>10365</v>
      </c>
      <c r="ML101">
        <v>10693</v>
      </c>
      <c r="MM101">
        <v>10358</v>
      </c>
      <c r="MN101">
        <v>10845</v>
      </c>
      <c r="MO101">
        <v>11438</v>
      </c>
      <c r="MP101">
        <v>9904</v>
      </c>
      <c r="MQ101">
        <v>10509</v>
      </c>
      <c r="MR101">
        <v>9973</v>
      </c>
      <c r="MS101">
        <v>9831</v>
      </c>
      <c r="MT101">
        <v>11147</v>
      </c>
      <c r="MU101">
        <v>10615</v>
      </c>
      <c r="MV101">
        <v>11371</v>
      </c>
      <c r="MW101">
        <f t="shared" si="75"/>
        <v>127049</v>
      </c>
      <c r="MX101">
        <v>734</v>
      </c>
      <c r="MY101">
        <v>717</v>
      </c>
      <c r="MZ101">
        <v>714</v>
      </c>
      <c r="NA101">
        <v>888</v>
      </c>
      <c r="NB101">
        <v>870</v>
      </c>
      <c r="NC101">
        <v>611</v>
      </c>
      <c r="ND101">
        <v>867</v>
      </c>
      <c r="NE101">
        <v>708</v>
      </c>
      <c r="NF101">
        <v>635</v>
      </c>
      <c r="NG101">
        <v>715</v>
      </c>
      <c r="NH101">
        <v>656</v>
      </c>
      <c r="NI101">
        <v>965</v>
      </c>
      <c r="NJ101">
        <f t="shared" si="76"/>
        <v>9080</v>
      </c>
      <c r="NK101">
        <v>453</v>
      </c>
      <c r="NL101">
        <v>497</v>
      </c>
      <c r="NM101">
        <v>616</v>
      </c>
      <c r="NN101">
        <v>585</v>
      </c>
      <c r="NO101">
        <v>597</v>
      </c>
      <c r="NP101">
        <v>471</v>
      </c>
      <c r="NQ101">
        <v>487</v>
      </c>
      <c r="NR101">
        <v>473</v>
      </c>
      <c r="NS101">
        <v>530</v>
      </c>
      <c r="NT101">
        <v>526</v>
      </c>
      <c r="NU101">
        <v>501</v>
      </c>
      <c r="NV101">
        <v>511</v>
      </c>
      <c r="NW101">
        <f t="shared" si="77"/>
        <v>6247</v>
      </c>
      <c r="NX101">
        <v>9178</v>
      </c>
      <c r="NY101">
        <v>9479</v>
      </c>
      <c r="NZ101">
        <v>9028</v>
      </c>
      <c r="OA101">
        <v>9372</v>
      </c>
      <c r="OB101">
        <v>9971</v>
      </c>
      <c r="OC101">
        <v>8822</v>
      </c>
      <c r="OD101">
        <v>9155</v>
      </c>
      <c r="OE101">
        <v>8792</v>
      </c>
      <c r="OF101">
        <v>8666</v>
      </c>
      <c r="OG101">
        <v>9906</v>
      </c>
      <c r="OH101">
        <v>9458</v>
      </c>
      <c r="OI101">
        <v>9895</v>
      </c>
      <c r="OJ101">
        <f t="shared" si="78"/>
        <v>111722</v>
      </c>
      <c r="OK101">
        <v>18013</v>
      </c>
      <c r="OL101">
        <v>18567</v>
      </c>
      <c r="OM101">
        <v>18263</v>
      </c>
      <c r="ON101">
        <v>19229</v>
      </c>
      <c r="OO101">
        <v>20011</v>
      </c>
      <c r="OP101">
        <v>19085</v>
      </c>
      <c r="OQ101">
        <v>19962</v>
      </c>
      <c r="OR101">
        <v>19556</v>
      </c>
      <c r="OS101">
        <v>19097</v>
      </c>
      <c r="OT101">
        <v>21351</v>
      </c>
      <c r="OU101">
        <v>19671</v>
      </c>
      <c r="OV101">
        <v>21624</v>
      </c>
      <c r="OW101">
        <f t="shared" si="79"/>
        <v>234429</v>
      </c>
      <c r="OX101">
        <v>2266</v>
      </c>
      <c r="OY101">
        <v>2218</v>
      </c>
      <c r="OZ101">
        <v>2261</v>
      </c>
      <c r="PA101">
        <v>2534</v>
      </c>
      <c r="PB101">
        <v>2827</v>
      </c>
      <c r="PC101">
        <v>2268</v>
      </c>
      <c r="PD101">
        <v>2385</v>
      </c>
      <c r="PE101">
        <v>2350</v>
      </c>
      <c r="PF101">
        <v>2383</v>
      </c>
      <c r="PG101">
        <v>2467</v>
      </c>
      <c r="PH101">
        <v>2157</v>
      </c>
      <c r="PI101">
        <v>2294</v>
      </c>
      <c r="PJ101">
        <f t="shared" si="80"/>
        <v>28410</v>
      </c>
      <c r="PK101">
        <v>1110</v>
      </c>
      <c r="PL101">
        <v>983</v>
      </c>
      <c r="PM101">
        <v>1325</v>
      </c>
      <c r="PN101">
        <v>1627</v>
      </c>
      <c r="PO101">
        <v>1556</v>
      </c>
      <c r="PP101">
        <v>1289</v>
      </c>
      <c r="PQ101">
        <v>1345</v>
      </c>
      <c r="PR101">
        <v>1336</v>
      </c>
      <c r="PS101">
        <v>1049</v>
      </c>
      <c r="PT101">
        <v>1161</v>
      </c>
      <c r="PU101">
        <v>1024</v>
      </c>
      <c r="PV101">
        <v>1075</v>
      </c>
      <c r="PW101">
        <f t="shared" si="81"/>
        <v>14880</v>
      </c>
      <c r="PX101">
        <v>14637</v>
      </c>
      <c r="PY101">
        <v>15366</v>
      </c>
      <c r="PZ101">
        <v>14677</v>
      </c>
      <c r="QA101">
        <v>15068</v>
      </c>
      <c r="QB101">
        <v>15628</v>
      </c>
      <c r="QC101">
        <v>15528</v>
      </c>
      <c r="QD101">
        <v>16232</v>
      </c>
      <c r="QE101">
        <v>15870</v>
      </c>
      <c r="QF101">
        <v>15665</v>
      </c>
      <c r="QG101">
        <v>17728</v>
      </c>
      <c r="QH101">
        <v>16490</v>
      </c>
      <c r="QI101">
        <v>18255</v>
      </c>
      <c r="QJ101">
        <f t="shared" si="82"/>
        <v>191144</v>
      </c>
      <c r="QK101">
        <v>164887</v>
      </c>
      <c r="QL101">
        <v>162695</v>
      </c>
      <c r="QM101">
        <v>150257</v>
      </c>
      <c r="QN101">
        <v>185989</v>
      </c>
      <c r="QO101">
        <v>193042</v>
      </c>
      <c r="QP101">
        <v>179620</v>
      </c>
      <c r="QQ101">
        <v>180867</v>
      </c>
      <c r="QR101">
        <v>161538</v>
      </c>
      <c r="QS101">
        <v>143714</v>
      </c>
      <c r="QT101">
        <v>148088</v>
      </c>
      <c r="QU101">
        <v>154799</v>
      </c>
      <c r="QV101">
        <v>165005</v>
      </c>
      <c r="QW101">
        <f t="shared" si="83"/>
        <v>1990501</v>
      </c>
      <c r="QX101">
        <v>10088</v>
      </c>
      <c r="QY101">
        <v>11700</v>
      </c>
      <c r="QZ101">
        <v>11586</v>
      </c>
      <c r="RA101">
        <v>13537</v>
      </c>
      <c r="RB101">
        <v>12106</v>
      </c>
      <c r="RC101">
        <v>11901</v>
      </c>
      <c r="RD101">
        <v>13427</v>
      </c>
      <c r="RE101">
        <v>12040</v>
      </c>
      <c r="RF101">
        <v>8990</v>
      </c>
      <c r="RG101">
        <v>11187</v>
      </c>
      <c r="RH101">
        <v>12066</v>
      </c>
      <c r="RI101">
        <v>12351</v>
      </c>
      <c r="RJ101">
        <f t="shared" si="84"/>
        <v>140979</v>
      </c>
      <c r="RK101">
        <v>0</v>
      </c>
      <c r="RL101">
        <v>0</v>
      </c>
      <c r="RM101">
        <v>0</v>
      </c>
      <c r="RN101">
        <v>0</v>
      </c>
      <c r="RO101">
        <v>0</v>
      </c>
      <c r="RP101">
        <v>0</v>
      </c>
      <c r="RQ101">
        <v>0</v>
      </c>
      <c r="RR101">
        <v>0</v>
      </c>
      <c r="RS101">
        <v>0</v>
      </c>
      <c r="RT101">
        <v>0</v>
      </c>
      <c r="RU101">
        <v>0</v>
      </c>
      <c r="RV101">
        <v>0</v>
      </c>
      <c r="RW101">
        <f t="shared" si="85"/>
        <v>0</v>
      </c>
      <c r="RX101">
        <v>0</v>
      </c>
      <c r="RY101">
        <v>0</v>
      </c>
      <c r="RZ101">
        <v>0</v>
      </c>
      <c r="SA101">
        <v>0</v>
      </c>
      <c r="SB101">
        <v>0</v>
      </c>
      <c r="SC101">
        <v>0</v>
      </c>
      <c r="SD101">
        <v>0</v>
      </c>
      <c r="SE101">
        <v>0</v>
      </c>
      <c r="SF101">
        <v>0</v>
      </c>
      <c r="SG101">
        <v>0</v>
      </c>
      <c r="SH101">
        <v>0</v>
      </c>
      <c r="SI101">
        <v>0</v>
      </c>
      <c r="SJ101">
        <f t="shared" si="86"/>
        <v>0</v>
      </c>
      <c r="SK101">
        <v>0</v>
      </c>
      <c r="SL101">
        <v>0</v>
      </c>
      <c r="SM101">
        <v>0</v>
      </c>
      <c r="SN101">
        <v>0</v>
      </c>
      <c r="SO101">
        <v>0</v>
      </c>
      <c r="SP101">
        <v>0</v>
      </c>
      <c r="SQ101">
        <v>0</v>
      </c>
      <c r="SR101">
        <v>0</v>
      </c>
      <c r="SS101">
        <v>0</v>
      </c>
      <c r="ST101">
        <v>0</v>
      </c>
      <c r="SU101">
        <v>0</v>
      </c>
      <c r="SV101">
        <v>0</v>
      </c>
      <c r="SW101">
        <f t="shared" si="87"/>
        <v>0</v>
      </c>
      <c r="SX101" s="1" t="s">
        <v>1513</v>
      </c>
      <c r="SY101">
        <v>10293</v>
      </c>
      <c r="SZ101">
        <v>10218</v>
      </c>
      <c r="TA101">
        <v>10145</v>
      </c>
      <c r="TB101">
        <v>11229</v>
      </c>
      <c r="TC101">
        <v>10402</v>
      </c>
      <c r="TD101">
        <v>10968</v>
      </c>
      <c r="TE101">
        <v>10991</v>
      </c>
      <c r="TF101">
        <v>10323</v>
      </c>
      <c r="TG101">
        <v>9035</v>
      </c>
      <c r="TH101">
        <v>9578</v>
      </c>
      <c r="TI101">
        <v>10012</v>
      </c>
      <c r="TJ101">
        <v>10657</v>
      </c>
      <c r="TK101">
        <f t="shared" si="88"/>
        <v>123851</v>
      </c>
      <c r="TL101">
        <v>0</v>
      </c>
      <c r="TM101">
        <v>0</v>
      </c>
      <c r="TN101">
        <v>0</v>
      </c>
      <c r="TO101">
        <v>0</v>
      </c>
      <c r="TP101">
        <v>0</v>
      </c>
      <c r="TQ101">
        <v>0</v>
      </c>
      <c r="TR101">
        <v>0</v>
      </c>
      <c r="TS101">
        <v>0</v>
      </c>
      <c r="TT101">
        <v>0</v>
      </c>
      <c r="TU101">
        <v>0</v>
      </c>
      <c r="TV101">
        <v>0</v>
      </c>
      <c r="TW101">
        <v>0</v>
      </c>
      <c r="TX101">
        <f t="shared" si="89"/>
        <v>0</v>
      </c>
      <c r="TY101">
        <v>282</v>
      </c>
      <c r="TZ101">
        <v>0</v>
      </c>
      <c r="UA101">
        <v>0</v>
      </c>
      <c r="UB101">
        <v>0</v>
      </c>
    </row>
    <row r="102" spans="1:548" ht="16.5" customHeight="1" x14ac:dyDescent="0.35">
      <c r="A102" t="s">
        <v>1546</v>
      </c>
      <c r="B102" t="s">
        <v>2866</v>
      </c>
      <c r="C102">
        <v>36551</v>
      </c>
      <c r="D102">
        <v>4472</v>
      </c>
      <c r="E102">
        <v>1608</v>
      </c>
      <c r="F102">
        <v>24639</v>
      </c>
      <c r="G102">
        <v>417</v>
      </c>
      <c r="H102">
        <v>505</v>
      </c>
      <c r="I102">
        <v>589</v>
      </c>
      <c r="J102">
        <v>441</v>
      </c>
      <c r="K102">
        <v>348</v>
      </c>
      <c r="L102">
        <v>496</v>
      </c>
      <c r="M102">
        <v>607</v>
      </c>
      <c r="N102">
        <v>556</v>
      </c>
      <c r="O102">
        <v>354</v>
      </c>
      <c r="P102">
        <v>469</v>
      </c>
      <c r="Q102">
        <v>401</v>
      </c>
      <c r="R102">
        <v>518</v>
      </c>
      <c r="S102">
        <f t="shared" si="45"/>
        <v>5701</v>
      </c>
      <c r="T102">
        <v>0</v>
      </c>
      <c r="U102">
        <v>0</v>
      </c>
      <c r="V102">
        <v>0</v>
      </c>
      <c r="W102">
        <v>0</v>
      </c>
      <c r="X102">
        <v>0</v>
      </c>
      <c r="Y102">
        <v>0</v>
      </c>
      <c r="Z102">
        <v>0</v>
      </c>
      <c r="AA102">
        <v>0</v>
      </c>
      <c r="AB102">
        <v>0</v>
      </c>
      <c r="AC102">
        <v>0</v>
      </c>
      <c r="AD102">
        <v>0</v>
      </c>
      <c r="AE102">
        <v>0</v>
      </c>
      <c r="AF102">
        <f t="shared" si="46"/>
        <v>0</v>
      </c>
      <c r="AG102">
        <v>0</v>
      </c>
      <c r="AH102">
        <v>0</v>
      </c>
      <c r="AI102">
        <v>0</v>
      </c>
      <c r="AJ102">
        <v>0</v>
      </c>
      <c r="AK102">
        <v>0</v>
      </c>
      <c r="AL102">
        <v>0</v>
      </c>
      <c r="AM102">
        <v>0</v>
      </c>
      <c r="AN102">
        <v>0</v>
      </c>
      <c r="AO102">
        <v>0</v>
      </c>
      <c r="AP102">
        <v>0</v>
      </c>
      <c r="AQ102">
        <v>0</v>
      </c>
      <c r="AR102">
        <v>0</v>
      </c>
      <c r="AS102">
        <f t="shared" si="47"/>
        <v>0</v>
      </c>
      <c r="AT102">
        <v>0</v>
      </c>
      <c r="AU102">
        <v>0</v>
      </c>
      <c r="AV102">
        <v>0</v>
      </c>
      <c r="AW102">
        <v>0</v>
      </c>
      <c r="AX102">
        <v>0</v>
      </c>
      <c r="AY102">
        <v>0</v>
      </c>
      <c r="AZ102">
        <v>0</v>
      </c>
      <c r="BA102">
        <v>0</v>
      </c>
      <c r="BB102">
        <v>0</v>
      </c>
      <c r="BC102">
        <v>0</v>
      </c>
      <c r="BD102">
        <v>0</v>
      </c>
      <c r="BE102">
        <v>0</v>
      </c>
      <c r="BF102">
        <f t="shared" si="48"/>
        <v>0</v>
      </c>
      <c r="BG102">
        <v>0</v>
      </c>
      <c r="BH102">
        <v>0</v>
      </c>
      <c r="BI102">
        <v>0</v>
      </c>
      <c r="BJ102">
        <v>0</v>
      </c>
      <c r="BK102">
        <v>0</v>
      </c>
      <c r="BL102">
        <v>0</v>
      </c>
      <c r="BM102">
        <v>0</v>
      </c>
      <c r="BN102">
        <v>0</v>
      </c>
      <c r="BO102">
        <v>0</v>
      </c>
      <c r="BP102">
        <v>0</v>
      </c>
      <c r="BQ102">
        <v>0</v>
      </c>
      <c r="BR102">
        <v>0</v>
      </c>
      <c r="BS102">
        <f t="shared" si="49"/>
        <v>0</v>
      </c>
      <c r="BT102">
        <v>0</v>
      </c>
      <c r="BU102">
        <v>0</v>
      </c>
      <c r="BV102">
        <v>0</v>
      </c>
      <c r="BW102">
        <v>0</v>
      </c>
      <c r="BX102">
        <v>0</v>
      </c>
      <c r="BY102">
        <v>0</v>
      </c>
      <c r="BZ102">
        <v>0</v>
      </c>
      <c r="CA102">
        <v>0</v>
      </c>
      <c r="CB102">
        <v>0</v>
      </c>
      <c r="CC102">
        <v>0</v>
      </c>
      <c r="CD102">
        <v>0</v>
      </c>
      <c r="CE102">
        <v>0</v>
      </c>
      <c r="CF102">
        <f t="shared" si="50"/>
        <v>0</v>
      </c>
      <c r="CG102">
        <v>0</v>
      </c>
      <c r="CH102">
        <v>0</v>
      </c>
      <c r="CI102">
        <v>0</v>
      </c>
      <c r="CJ102">
        <v>0</v>
      </c>
      <c r="CK102">
        <v>0</v>
      </c>
      <c r="CL102">
        <v>0</v>
      </c>
      <c r="CM102">
        <v>0</v>
      </c>
      <c r="CN102">
        <v>0</v>
      </c>
      <c r="CO102">
        <v>0</v>
      </c>
      <c r="CP102">
        <v>0</v>
      </c>
      <c r="CQ102">
        <v>0</v>
      </c>
      <c r="CR102">
        <v>0</v>
      </c>
      <c r="CS102">
        <f t="shared" si="51"/>
        <v>0</v>
      </c>
      <c r="CT102">
        <v>0</v>
      </c>
      <c r="CU102">
        <v>0</v>
      </c>
      <c r="CV102">
        <v>0</v>
      </c>
      <c r="CW102">
        <v>0</v>
      </c>
      <c r="CX102">
        <v>0</v>
      </c>
      <c r="CY102">
        <v>0</v>
      </c>
      <c r="CZ102">
        <v>0</v>
      </c>
      <c r="DA102">
        <v>0</v>
      </c>
      <c r="DB102">
        <v>0</v>
      </c>
      <c r="DC102">
        <v>0</v>
      </c>
      <c r="DD102">
        <v>0</v>
      </c>
      <c r="DE102">
        <v>0</v>
      </c>
      <c r="DF102">
        <f t="shared" si="52"/>
        <v>0</v>
      </c>
      <c r="DG102">
        <v>0</v>
      </c>
      <c r="DH102">
        <v>0</v>
      </c>
      <c r="DI102">
        <v>0</v>
      </c>
      <c r="DJ102">
        <v>0</v>
      </c>
      <c r="DK102">
        <v>0</v>
      </c>
      <c r="DL102">
        <v>0</v>
      </c>
      <c r="DM102">
        <v>0</v>
      </c>
      <c r="DN102">
        <v>0</v>
      </c>
      <c r="DO102">
        <v>0</v>
      </c>
      <c r="DP102">
        <v>0</v>
      </c>
      <c r="DQ102">
        <v>0</v>
      </c>
      <c r="DR102">
        <v>0</v>
      </c>
      <c r="DS102">
        <f t="shared" si="53"/>
        <v>0</v>
      </c>
      <c r="DT102">
        <v>0</v>
      </c>
      <c r="DU102">
        <v>0</v>
      </c>
      <c r="DV102">
        <v>0</v>
      </c>
      <c r="DW102">
        <v>0</v>
      </c>
      <c r="DX102">
        <v>0</v>
      </c>
      <c r="DY102">
        <v>0</v>
      </c>
      <c r="DZ102">
        <v>0</v>
      </c>
      <c r="EA102">
        <v>0</v>
      </c>
      <c r="EB102">
        <v>0</v>
      </c>
      <c r="EC102">
        <v>0</v>
      </c>
      <c r="ED102">
        <v>0</v>
      </c>
      <c r="EE102">
        <v>0</v>
      </c>
      <c r="EF102">
        <f t="shared" si="54"/>
        <v>0</v>
      </c>
      <c r="EG102">
        <f t="shared" si="55"/>
        <v>0</v>
      </c>
      <c r="EH102">
        <f t="shared" si="56"/>
        <v>0</v>
      </c>
      <c r="EI102">
        <v>6126</v>
      </c>
      <c r="EJ102">
        <v>7657</v>
      </c>
      <c r="EK102">
        <v>8941</v>
      </c>
      <c r="EL102">
        <v>7386</v>
      </c>
      <c r="EM102">
        <v>4845</v>
      </c>
      <c r="EN102">
        <v>7281</v>
      </c>
      <c r="EO102">
        <v>9709</v>
      </c>
      <c r="EP102">
        <v>8352</v>
      </c>
      <c r="EQ102">
        <v>4944</v>
      </c>
      <c r="ER102">
        <v>6695</v>
      </c>
      <c r="ES102">
        <v>7280</v>
      </c>
      <c r="ET102">
        <v>10029</v>
      </c>
      <c r="EU102">
        <f t="shared" si="57"/>
        <v>89245</v>
      </c>
      <c r="EV102">
        <v>0</v>
      </c>
      <c r="EW102">
        <v>0</v>
      </c>
      <c r="EX102">
        <v>0</v>
      </c>
      <c r="EY102">
        <v>0</v>
      </c>
      <c r="EZ102">
        <v>0</v>
      </c>
      <c r="FA102">
        <v>0</v>
      </c>
      <c r="FB102">
        <v>0</v>
      </c>
      <c r="FC102">
        <v>0</v>
      </c>
      <c r="FD102">
        <v>0</v>
      </c>
      <c r="FE102">
        <v>0</v>
      </c>
      <c r="FF102">
        <v>0</v>
      </c>
      <c r="FG102">
        <v>0</v>
      </c>
      <c r="FH102">
        <f t="shared" si="58"/>
        <v>0</v>
      </c>
      <c r="FI102">
        <v>0</v>
      </c>
      <c r="FJ102">
        <v>0</v>
      </c>
      <c r="FK102">
        <v>0</v>
      </c>
      <c r="FL102">
        <v>0</v>
      </c>
      <c r="FM102">
        <v>0</v>
      </c>
      <c r="FN102">
        <v>0</v>
      </c>
      <c r="FO102">
        <v>0</v>
      </c>
      <c r="FP102">
        <v>0</v>
      </c>
      <c r="FQ102">
        <v>0</v>
      </c>
      <c r="FR102">
        <v>0</v>
      </c>
      <c r="FS102">
        <v>0</v>
      </c>
      <c r="FT102">
        <v>0</v>
      </c>
      <c r="FU102">
        <f t="shared" si="59"/>
        <v>0</v>
      </c>
      <c r="FV102">
        <v>0</v>
      </c>
      <c r="FW102">
        <v>0</v>
      </c>
      <c r="FX102">
        <v>0</v>
      </c>
      <c r="FY102">
        <v>0</v>
      </c>
      <c r="FZ102">
        <v>0</v>
      </c>
      <c r="GA102">
        <v>0</v>
      </c>
      <c r="GB102">
        <v>0</v>
      </c>
      <c r="GC102">
        <v>0</v>
      </c>
      <c r="GD102">
        <v>0</v>
      </c>
      <c r="GE102">
        <v>0</v>
      </c>
      <c r="GF102">
        <v>0</v>
      </c>
      <c r="GG102">
        <v>0</v>
      </c>
      <c r="GH102">
        <f t="shared" si="60"/>
        <v>0</v>
      </c>
      <c r="GI102">
        <v>0</v>
      </c>
      <c r="GJ102">
        <v>0</v>
      </c>
      <c r="GK102">
        <v>0</v>
      </c>
      <c r="GL102">
        <v>0</v>
      </c>
      <c r="GM102">
        <v>0</v>
      </c>
      <c r="GN102">
        <v>0</v>
      </c>
      <c r="GO102">
        <v>0</v>
      </c>
      <c r="GP102">
        <v>0</v>
      </c>
      <c r="GQ102">
        <v>0</v>
      </c>
      <c r="GR102">
        <v>0</v>
      </c>
      <c r="GS102">
        <v>0</v>
      </c>
      <c r="GT102">
        <v>0</v>
      </c>
      <c r="GU102">
        <f t="shared" si="61"/>
        <v>0</v>
      </c>
      <c r="GV102">
        <v>0</v>
      </c>
      <c r="GW102">
        <v>0</v>
      </c>
      <c r="GX102">
        <v>0</v>
      </c>
      <c r="GY102">
        <v>0</v>
      </c>
      <c r="GZ102">
        <v>0</v>
      </c>
      <c r="HA102">
        <v>0</v>
      </c>
      <c r="HB102">
        <v>0</v>
      </c>
      <c r="HC102">
        <v>0</v>
      </c>
      <c r="HD102">
        <v>0</v>
      </c>
      <c r="HE102">
        <v>0</v>
      </c>
      <c r="HF102">
        <v>0</v>
      </c>
      <c r="HG102">
        <v>0</v>
      </c>
      <c r="HH102">
        <f t="shared" si="62"/>
        <v>0</v>
      </c>
      <c r="HI102">
        <v>0</v>
      </c>
      <c r="HJ102">
        <v>0</v>
      </c>
      <c r="HK102">
        <v>0</v>
      </c>
      <c r="HL102">
        <v>0</v>
      </c>
      <c r="HM102">
        <v>0</v>
      </c>
      <c r="HN102">
        <v>0</v>
      </c>
      <c r="HO102">
        <v>0</v>
      </c>
      <c r="HP102">
        <v>0</v>
      </c>
      <c r="HQ102">
        <v>0</v>
      </c>
      <c r="HR102">
        <v>0</v>
      </c>
      <c r="HS102">
        <v>0</v>
      </c>
      <c r="HT102">
        <v>0</v>
      </c>
      <c r="HU102">
        <f t="shared" si="63"/>
        <v>0</v>
      </c>
      <c r="HV102">
        <v>0</v>
      </c>
      <c r="HW102">
        <v>0</v>
      </c>
      <c r="HX102">
        <v>0</v>
      </c>
      <c r="HY102">
        <v>0</v>
      </c>
      <c r="HZ102">
        <v>0</v>
      </c>
      <c r="IA102">
        <v>0</v>
      </c>
      <c r="IB102">
        <v>0</v>
      </c>
      <c r="IC102">
        <v>0</v>
      </c>
      <c r="ID102">
        <v>0</v>
      </c>
      <c r="IE102">
        <v>0</v>
      </c>
      <c r="IF102">
        <v>0</v>
      </c>
      <c r="IG102">
        <v>0</v>
      </c>
      <c r="IH102">
        <f t="shared" si="64"/>
        <v>0</v>
      </c>
      <c r="II102">
        <f t="shared" si="65"/>
        <v>0</v>
      </c>
      <c r="IJ102">
        <f t="shared" si="66"/>
        <v>0</v>
      </c>
      <c r="IK102">
        <v>37205</v>
      </c>
      <c r="IL102">
        <v>46576</v>
      </c>
      <c r="IM102">
        <v>46413</v>
      </c>
      <c r="IN102">
        <v>51293</v>
      </c>
      <c r="IO102">
        <v>48348</v>
      </c>
      <c r="IP102">
        <v>48713</v>
      </c>
      <c r="IQ102">
        <v>50445</v>
      </c>
      <c r="IR102">
        <v>47764</v>
      </c>
      <c r="IS102">
        <v>22952</v>
      </c>
      <c r="IT102">
        <v>31384</v>
      </c>
      <c r="IU102">
        <v>49938</v>
      </c>
      <c r="IV102">
        <v>49431</v>
      </c>
      <c r="IW102">
        <f t="shared" si="67"/>
        <v>530462</v>
      </c>
      <c r="IX102">
        <v>13549</v>
      </c>
      <c r="IY102">
        <v>16936</v>
      </c>
      <c r="IZ102">
        <v>17760</v>
      </c>
      <c r="JA102">
        <v>20109</v>
      </c>
      <c r="JB102">
        <v>17074</v>
      </c>
      <c r="JC102">
        <v>16935</v>
      </c>
      <c r="JD102">
        <v>19159</v>
      </c>
      <c r="JE102">
        <v>18716</v>
      </c>
      <c r="JF102">
        <v>9086</v>
      </c>
      <c r="JG102">
        <v>12497</v>
      </c>
      <c r="JH102">
        <v>21020</v>
      </c>
      <c r="JI102">
        <v>20819</v>
      </c>
      <c r="JJ102">
        <f t="shared" si="68"/>
        <v>203660</v>
      </c>
      <c r="JK102">
        <v>546</v>
      </c>
      <c r="JL102">
        <v>728</v>
      </c>
      <c r="JM102">
        <v>697</v>
      </c>
      <c r="JN102">
        <v>923</v>
      </c>
      <c r="JO102">
        <v>786</v>
      </c>
      <c r="JP102">
        <v>808</v>
      </c>
      <c r="JQ102">
        <v>783</v>
      </c>
      <c r="JR102">
        <v>739</v>
      </c>
      <c r="JS102">
        <v>394</v>
      </c>
      <c r="JT102">
        <v>544</v>
      </c>
      <c r="JU102">
        <v>817</v>
      </c>
      <c r="JV102">
        <v>827</v>
      </c>
      <c r="JW102">
        <f t="shared" si="69"/>
        <v>8592</v>
      </c>
      <c r="JX102">
        <v>23110</v>
      </c>
      <c r="JY102">
        <v>28912</v>
      </c>
      <c r="JZ102">
        <v>27956</v>
      </c>
      <c r="KA102">
        <v>30261</v>
      </c>
      <c r="KB102">
        <v>30488</v>
      </c>
      <c r="KC102">
        <v>30970</v>
      </c>
      <c r="KD102">
        <v>30503</v>
      </c>
      <c r="KE102">
        <v>28309</v>
      </c>
      <c r="KF102">
        <v>13472</v>
      </c>
      <c r="KG102">
        <v>18343</v>
      </c>
      <c r="KH102">
        <v>28101</v>
      </c>
      <c r="KI102">
        <v>27785</v>
      </c>
      <c r="KJ102">
        <f t="shared" si="70"/>
        <v>318210</v>
      </c>
      <c r="KK102">
        <v>132</v>
      </c>
      <c r="KL102">
        <v>317</v>
      </c>
      <c r="KM102">
        <v>347</v>
      </c>
      <c r="KN102">
        <v>247</v>
      </c>
      <c r="KO102">
        <v>366</v>
      </c>
      <c r="KP102">
        <v>355</v>
      </c>
      <c r="KQ102">
        <v>226</v>
      </c>
      <c r="KR102">
        <v>300</v>
      </c>
      <c r="KS102">
        <v>176</v>
      </c>
      <c r="KT102">
        <v>175</v>
      </c>
      <c r="KU102">
        <v>295</v>
      </c>
      <c r="KV102">
        <v>332</v>
      </c>
      <c r="KW102">
        <f t="shared" si="71"/>
        <v>3268</v>
      </c>
      <c r="KX102">
        <v>22</v>
      </c>
      <c r="KY102">
        <v>37</v>
      </c>
      <c r="KZ102">
        <v>40</v>
      </c>
      <c r="LA102">
        <v>20</v>
      </c>
      <c r="LB102">
        <v>32</v>
      </c>
      <c r="LC102">
        <v>46</v>
      </c>
      <c r="LD102">
        <v>35</v>
      </c>
      <c r="LE102">
        <v>32</v>
      </c>
      <c r="LF102">
        <v>23</v>
      </c>
      <c r="LG102">
        <v>31</v>
      </c>
      <c r="LH102">
        <v>35</v>
      </c>
      <c r="LI102">
        <v>53</v>
      </c>
      <c r="LJ102">
        <f t="shared" si="72"/>
        <v>406</v>
      </c>
      <c r="LK102">
        <v>0</v>
      </c>
      <c r="LL102">
        <v>0</v>
      </c>
      <c r="LM102">
        <v>0</v>
      </c>
      <c r="LN102">
        <v>0</v>
      </c>
      <c r="LO102">
        <v>0</v>
      </c>
      <c r="LP102">
        <v>0</v>
      </c>
      <c r="LQ102">
        <v>0</v>
      </c>
      <c r="LR102">
        <v>0</v>
      </c>
      <c r="LS102">
        <v>0</v>
      </c>
      <c r="LT102">
        <v>0</v>
      </c>
      <c r="LU102">
        <v>0</v>
      </c>
      <c r="LV102">
        <v>0</v>
      </c>
      <c r="LW102">
        <f t="shared" si="73"/>
        <v>0</v>
      </c>
      <c r="LX102">
        <v>110</v>
      </c>
      <c r="LY102">
        <v>280</v>
      </c>
      <c r="LZ102">
        <v>307</v>
      </c>
      <c r="MA102">
        <v>227</v>
      </c>
      <c r="MB102">
        <v>334</v>
      </c>
      <c r="MC102">
        <v>309</v>
      </c>
      <c r="MD102">
        <v>191</v>
      </c>
      <c r="ME102">
        <v>268</v>
      </c>
      <c r="MF102">
        <v>153</v>
      </c>
      <c r="MG102">
        <v>144</v>
      </c>
      <c r="MH102">
        <v>260</v>
      </c>
      <c r="MI102">
        <v>279</v>
      </c>
      <c r="MJ102">
        <f t="shared" si="74"/>
        <v>2862</v>
      </c>
      <c r="MK102">
        <v>2628</v>
      </c>
      <c r="ML102">
        <v>2210</v>
      </c>
      <c r="MM102">
        <v>1955</v>
      </c>
      <c r="MN102">
        <v>2101</v>
      </c>
      <c r="MO102">
        <v>2461</v>
      </c>
      <c r="MP102">
        <v>2250</v>
      </c>
      <c r="MQ102">
        <v>2103</v>
      </c>
      <c r="MR102">
        <v>1983</v>
      </c>
      <c r="MS102">
        <v>2147</v>
      </c>
      <c r="MT102">
        <v>2056</v>
      </c>
      <c r="MU102">
        <v>2037</v>
      </c>
      <c r="MV102">
        <v>2109</v>
      </c>
      <c r="MW102">
        <f t="shared" si="75"/>
        <v>26040</v>
      </c>
      <c r="MX102">
        <v>0</v>
      </c>
      <c r="MY102">
        <v>0</v>
      </c>
      <c r="MZ102">
        <v>0</v>
      </c>
      <c r="NA102">
        <v>0</v>
      </c>
      <c r="NB102">
        <v>0</v>
      </c>
      <c r="NC102">
        <v>0</v>
      </c>
      <c r="ND102">
        <v>0</v>
      </c>
      <c r="NE102">
        <v>0</v>
      </c>
      <c r="NF102">
        <v>0</v>
      </c>
      <c r="NG102">
        <v>0</v>
      </c>
      <c r="NH102">
        <v>0</v>
      </c>
      <c r="NI102">
        <v>0</v>
      </c>
      <c r="NJ102">
        <f t="shared" si="76"/>
        <v>0</v>
      </c>
      <c r="NK102">
        <v>0</v>
      </c>
      <c r="NL102">
        <v>0</v>
      </c>
      <c r="NM102">
        <v>0</v>
      </c>
      <c r="NN102">
        <v>0</v>
      </c>
      <c r="NO102">
        <v>0</v>
      </c>
      <c r="NP102">
        <v>0</v>
      </c>
      <c r="NQ102">
        <v>0</v>
      </c>
      <c r="NR102">
        <v>0</v>
      </c>
      <c r="NS102">
        <v>0</v>
      </c>
      <c r="NT102">
        <v>0</v>
      </c>
      <c r="NU102">
        <v>0</v>
      </c>
      <c r="NV102">
        <v>0</v>
      </c>
      <c r="NW102">
        <f t="shared" si="77"/>
        <v>0</v>
      </c>
      <c r="NX102">
        <v>0</v>
      </c>
      <c r="NY102">
        <v>0</v>
      </c>
      <c r="NZ102">
        <v>0</v>
      </c>
      <c r="OA102">
        <v>0</v>
      </c>
      <c r="OB102">
        <v>0</v>
      </c>
      <c r="OC102">
        <v>0</v>
      </c>
      <c r="OD102">
        <v>0</v>
      </c>
      <c r="OE102">
        <v>0</v>
      </c>
      <c r="OF102">
        <v>0</v>
      </c>
      <c r="OG102">
        <v>0</v>
      </c>
      <c r="OH102">
        <v>0</v>
      </c>
      <c r="OI102">
        <v>0</v>
      </c>
      <c r="OJ102">
        <f t="shared" si="78"/>
        <v>0</v>
      </c>
      <c r="OK102">
        <v>1846</v>
      </c>
      <c r="OL102">
        <v>1529</v>
      </c>
      <c r="OM102">
        <v>1485</v>
      </c>
      <c r="ON102">
        <v>1394</v>
      </c>
      <c r="OO102">
        <v>1621</v>
      </c>
      <c r="OP102">
        <v>1541</v>
      </c>
      <c r="OQ102">
        <v>1678</v>
      </c>
      <c r="OR102">
        <v>1648</v>
      </c>
      <c r="OS102">
        <v>1551</v>
      </c>
      <c r="OT102">
        <v>1733</v>
      </c>
      <c r="OU102">
        <v>1537</v>
      </c>
      <c r="OV102">
        <v>1712</v>
      </c>
      <c r="OW102">
        <f t="shared" si="79"/>
        <v>19275</v>
      </c>
      <c r="OX102">
        <v>0</v>
      </c>
      <c r="OY102">
        <v>0</v>
      </c>
      <c r="OZ102">
        <v>0</v>
      </c>
      <c r="PA102">
        <v>0</v>
      </c>
      <c r="PB102">
        <v>0</v>
      </c>
      <c r="PC102">
        <v>0</v>
      </c>
      <c r="PD102">
        <v>0</v>
      </c>
      <c r="PE102">
        <v>0</v>
      </c>
      <c r="PF102">
        <v>0</v>
      </c>
      <c r="PG102">
        <v>0</v>
      </c>
      <c r="PH102">
        <v>0</v>
      </c>
      <c r="PI102">
        <v>0</v>
      </c>
      <c r="PJ102">
        <f t="shared" si="80"/>
        <v>0</v>
      </c>
      <c r="PK102">
        <v>0</v>
      </c>
      <c r="PL102">
        <v>0</v>
      </c>
      <c r="PM102">
        <v>0</v>
      </c>
      <c r="PN102">
        <v>0</v>
      </c>
      <c r="PO102">
        <v>0</v>
      </c>
      <c r="PP102">
        <v>0</v>
      </c>
      <c r="PQ102">
        <v>0</v>
      </c>
      <c r="PR102">
        <v>0</v>
      </c>
      <c r="PS102">
        <v>0</v>
      </c>
      <c r="PT102">
        <v>0</v>
      </c>
      <c r="PU102">
        <v>0</v>
      </c>
      <c r="PV102">
        <v>0</v>
      </c>
      <c r="PW102">
        <f t="shared" si="81"/>
        <v>0</v>
      </c>
      <c r="PX102">
        <v>0</v>
      </c>
      <c r="PY102">
        <v>0</v>
      </c>
      <c r="PZ102">
        <v>0</v>
      </c>
      <c r="QA102">
        <v>0</v>
      </c>
      <c r="QB102">
        <v>0</v>
      </c>
      <c r="QC102">
        <v>0</v>
      </c>
      <c r="QD102">
        <v>0</v>
      </c>
      <c r="QE102">
        <v>0</v>
      </c>
      <c r="QF102">
        <v>0</v>
      </c>
      <c r="QG102">
        <v>0</v>
      </c>
      <c r="QH102">
        <v>0</v>
      </c>
      <c r="QI102">
        <v>0</v>
      </c>
      <c r="QJ102">
        <f t="shared" si="82"/>
        <v>0</v>
      </c>
      <c r="QK102">
        <v>125639</v>
      </c>
      <c r="QL102">
        <v>127529</v>
      </c>
      <c r="QM102">
        <v>128474</v>
      </c>
      <c r="QN102">
        <v>134431</v>
      </c>
      <c r="QO102">
        <v>125851</v>
      </c>
      <c r="QP102">
        <v>131478</v>
      </c>
      <c r="QQ102">
        <v>144115</v>
      </c>
      <c r="QR102">
        <v>127689</v>
      </c>
      <c r="QS102">
        <v>110199</v>
      </c>
      <c r="QT102">
        <v>124566</v>
      </c>
      <c r="QU102">
        <v>107756</v>
      </c>
      <c r="QV102">
        <v>127109</v>
      </c>
      <c r="QW102">
        <f t="shared" si="83"/>
        <v>1514836</v>
      </c>
      <c r="QX102">
        <v>6967</v>
      </c>
      <c r="QY102">
        <v>7127</v>
      </c>
      <c r="QZ102">
        <v>6758</v>
      </c>
      <c r="RA102">
        <v>7409</v>
      </c>
      <c r="RB102">
        <v>7639</v>
      </c>
      <c r="RC102">
        <v>8540</v>
      </c>
      <c r="RD102">
        <v>11113</v>
      </c>
      <c r="RE102">
        <v>10088</v>
      </c>
      <c r="RF102">
        <v>8548</v>
      </c>
      <c r="RG102">
        <v>9962</v>
      </c>
      <c r="RH102">
        <v>10868</v>
      </c>
      <c r="RI102">
        <v>10594</v>
      </c>
      <c r="RJ102">
        <f t="shared" si="84"/>
        <v>105613</v>
      </c>
      <c r="RK102">
        <v>0</v>
      </c>
      <c r="RL102">
        <v>0</v>
      </c>
      <c r="RM102">
        <v>0</v>
      </c>
      <c r="RN102">
        <v>0</v>
      </c>
      <c r="RO102">
        <v>0</v>
      </c>
      <c r="RP102">
        <v>0</v>
      </c>
      <c r="RQ102">
        <v>0</v>
      </c>
      <c r="RR102">
        <v>0</v>
      </c>
      <c r="RS102">
        <v>0</v>
      </c>
      <c r="RT102">
        <v>0</v>
      </c>
      <c r="RU102">
        <v>0</v>
      </c>
      <c r="RV102">
        <v>0</v>
      </c>
      <c r="RW102">
        <f t="shared" si="85"/>
        <v>0</v>
      </c>
      <c r="RX102">
        <v>0</v>
      </c>
      <c r="RY102">
        <v>0</v>
      </c>
      <c r="RZ102">
        <v>0</v>
      </c>
      <c r="SA102">
        <v>0</v>
      </c>
      <c r="SB102">
        <v>0</v>
      </c>
      <c r="SC102">
        <v>0</v>
      </c>
      <c r="SD102">
        <v>0</v>
      </c>
      <c r="SE102">
        <v>0</v>
      </c>
      <c r="SF102">
        <v>0</v>
      </c>
      <c r="SG102">
        <v>0</v>
      </c>
      <c r="SH102">
        <v>0</v>
      </c>
      <c r="SI102">
        <v>0</v>
      </c>
      <c r="SJ102">
        <f t="shared" si="86"/>
        <v>0</v>
      </c>
      <c r="SK102">
        <v>158</v>
      </c>
      <c r="SL102">
        <v>219</v>
      </c>
      <c r="SM102">
        <v>208</v>
      </c>
      <c r="SN102">
        <v>172</v>
      </c>
      <c r="SO102">
        <v>185</v>
      </c>
      <c r="SP102">
        <v>186</v>
      </c>
      <c r="SQ102">
        <v>174</v>
      </c>
      <c r="SR102">
        <v>180</v>
      </c>
      <c r="SS102">
        <v>158</v>
      </c>
      <c r="ST102">
        <v>161</v>
      </c>
      <c r="SU102">
        <v>145</v>
      </c>
      <c r="SV102">
        <v>195</v>
      </c>
      <c r="SW102">
        <f t="shared" si="87"/>
        <v>2141</v>
      </c>
      <c r="SX102" t="s">
        <v>1547</v>
      </c>
      <c r="SY102">
        <v>6985</v>
      </c>
      <c r="SZ102">
        <v>7541</v>
      </c>
      <c r="TA102">
        <v>7598</v>
      </c>
      <c r="TB102">
        <v>8126</v>
      </c>
      <c r="TC102">
        <v>7875</v>
      </c>
      <c r="TD102">
        <v>8799</v>
      </c>
      <c r="TE102">
        <v>9867</v>
      </c>
      <c r="TF102">
        <v>8173</v>
      </c>
      <c r="TG102">
        <v>5103</v>
      </c>
      <c r="TH102">
        <v>4705</v>
      </c>
      <c r="TI102">
        <v>5881</v>
      </c>
      <c r="TJ102">
        <v>6714</v>
      </c>
      <c r="TK102">
        <f t="shared" si="88"/>
        <v>87367</v>
      </c>
      <c r="TL102">
        <v>0</v>
      </c>
      <c r="TM102">
        <v>0</v>
      </c>
      <c r="TN102">
        <v>0</v>
      </c>
      <c r="TO102">
        <v>0</v>
      </c>
      <c r="TP102">
        <v>0</v>
      </c>
      <c r="TQ102">
        <v>0</v>
      </c>
      <c r="TR102">
        <v>0</v>
      </c>
      <c r="TS102">
        <v>0</v>
      </c>
      <c r="TT102">
        <v>0</v>
      </c>
      <c r="TU102">
        <v>0</v>
      </c>
      <c r="TV102">
        <v>0</v>
      </c>
      <c r="TW102">
        <v>0</v>
      </c>
      <c r="TX102">
        <f t="shared" si="89"/>
        <v>0</v>
      </c>
      <c r="TY102">
        <v>175</v>
      </c>
      <c r="TZ102">
        <v>0</v>
      </c>
      <c r="UA102">
        <v>0</v>
      </c>
      <c r="UB102">
        <v>0</v>
      </c>
    </row>
    <row r="103" spans="1:548" ht="16.5" customHeight="1" x14ac:dyDescent="0.35">
      <c r="A103" t="s">
        <v>1528</v>
      </c>
      <c r="B103" t="s">
        <v>2869</v>
      </c>
      <c r="C103">
        <v>18073</v>
      </c>
      <c r="D103">
        <v>0</v>
      </c>
      <c r="E103">
        <v>0</v>
      </c>
      <c r="F103">
        <v>0</v>
      </c>
      <c r="G103">
        <v>283</v>
      </c>
      <c r="H103">
        <v>311</v>
      </c>
      <c r="I103">
        <v>305</v>
      </c>
      <c r="J103">
        <v>348</v>
      </c>
      <c r="K103">
        <v>311</v>
      </c>
      <c r="L103">
        <v>275</v>
      </c>
      <c r="M103">
        <v>343</v>
      </c>
      <c r="N103">
        <v>321</v>
      </c>
      <c r="O103">
        <v>247</v>
      </c>
      <c r="P103">
        <v>311</v>
      </c>
      <c r="Q103">
        <v>329</v>
      </c>
      <c r="R103">
        <v>349</v>
      </c>
      <c r="S103">
        <f t="shared" si="45"/>
        <v>3733</v>
      </c>
      <c r="T103">
        <v>0</v>
      </c>
      <c r="U103">
        <v>0</v>
      </c>
      <c r="V103">
        <v>0</v>
      </c>
      <c r="W103">
        <v>0</v>
      </c>
      <c r="X103">
        <v>0</v>
      </c>
      <c r="Y103">
        <v>0</v>
      </c>
      <c r="Z103">
        <v>0</v>
      </c>
      <c r="AA103">
        <v>0</v>
      </c>
      <c r="AB103">
        <v>0</v>
      </c>
      <c r="AC103">
        <v>0</v>
      </c>
      <c r="AD103">
        <v>0</v>
      </c>
      <c r="AE103">
        <v>0</v>
      </c>
      <c r="AF103">
        <f t="shared" si="46"/>
        <v>0</v>
      </c>
      <c r="AG103">
        <v>0</v>
      </c>
      <c r="AH103">
        <v>0</v>
      </c>
      <c r="AI103">
        <v>0</v>
      </c>
      <c r="AJ103">
        <v>0</v>
      </c>
      <c r="AK103">
        <v>0</v>
      </c>
      <c r="AL103">
        <v>0</v>
      </c>
      <c r="AM103">
        <v>0</v>
      </c>
      <c r="AN103">
        <v>0</v>
      </c>
      <c r="AO103">
        <v>0</v>
      </c>
      <c r="AP103">
        <v>0</v>
      </c>
      <c r="AQ103">
        <v>0</v>
      </c>
      <c r="AR103">
        <v>0</v>
      </c>
      <c r="AS103">
        <f t="shared" si="47"/>
        <v>0</v>
      </c>
      <c r="AT103">
        <v>0</v>
      </c>
      <c r="AU103">
        <v>0</v>
      </c>
      <c r="AV103">
        <v>0</v>
      </c>
      <c r="AW103">
        <v>0</v>
      </c>
      <c r="AX103">
        <v>0</v>
      </c>
      <c r="AY103">
        <v>0</v>
      </c>
      <c r="AZ103">
        <v>0</v>
      </c>
      <c r="BA103">
        <v>0</v>
      </c>
      <c r="BB103">
        <v>0</v>
      </c>
      <c r="BC103">
        <v>0</v>
      </c>
      <c r="BD103">
        <v>0</v>
      </c>
      <c r="BE103">
        <v>0</v>
      </c>
      <c r="BF103">
        <f t="shared" si="48"/>
        <v>0</v>
      </c>
      <c r="BG103">
        <v>0</v>
      </c>
      <c r="BH103">
        <v>0</v>
      </c>
      <c r="BI103">
        <v>0</v>
      </c>
      <c r="BJ103">
        <v>0</v>
      </c>
      <c r="BK103">
        <v>0</v>
      </c>
      <c r="BL103">
        <v>0</v>
      </c>
      <c r="BM103">
        <v>0</v>
      </c>
      <c r="BN103">
        <v>0</v>
      </c>
      <c r="BO103">
        <v>0</v>
      </c>
      <c r="BP103">
        <v>0</v>
      </c>
      <c r="BQ103">
        <v>0</v>
      </c>
      <c r="BR103">
        <v>0</v>
      </c>
      <c r="BS103">
        <f t="shared" si="49"/>
        <v>0</v>
      </c>
      <c r="BT103">
        <v>0</v>
      </c>
      <c r="BU103">
        <v>0</v>
      </c>
      <c r="BV103">
        <v>0</v>
      </c>
      <c r="BW103">
        <v>0</v>
      </c>
      <c r="BX103">
        <v>0</v>
      </c>
      <c r="BY103">
        <v>0</v>
      </c>
      <c r="BZ103">
        <v>0</v>
      </c>
      <c r="CA103">
        <v>0</v>
      </c>
      <c r="CB103">
        <v>0</v>
      </c>
      <c r="CC103">
        <v>0</v>
      </c>
      <c r="CD103">
        <v>0</v>
      </c>
      <c r="CE103">
        <v>0</v>
      </c>
      <c r="CF103">
        <f t="shared" si="50"/>
        <v>0</v>
      </c>
      <c r="CG103">
        <v>0</v>
      </c>
      <c r="CH103">
        <v>0</v>
      </c>
      <c r="CI103">
        <v>0</v>
      </c>
      <c r="CJ103">
        <v>0</v>
      </c>
      <c r="CK103">
        <v>0</v>
      </c>
      <c r="CL103">
        <v>0</v>
      </c>
      <c r="CM103">
        <v>0</v>
      </c>
      <c r="CN103">
        <v>0</v>
      </c>
      <c r="CO103">
        <v>0</v>
      </c>
      <c r="CP103">
        <v>0</v>
      </c>
      <c r="CQ103">
        <v>0</v>
      </c>
      <c r="CR103">
        <v>0</v>
      </c>
      <c r="CS103">
        <f t="shared" si="51"/>
        <v>0</v>
      </c>
      <c r="CT103">
        <v>0</v>
      </c>
      <c r="CU103">
        <v>0</v>
      </c>
      <c r="CV103">
        <v>0</v>
      </c>
      <c r="CW103">
        <v>0</v>
      </c>
      <c r="CX103">
        <v>0</v>
      </c>
      <c r="CY103">
        <v>0</v>
      </c>
      <c r="CZ103">
        <v>0</v>
      </c>
      <c r="DA103">
        <v>0</v>
      </c>
      <c r="DB103">
        <v>0</v>
      </c>
      <c r="DC103">
        <v>0</v>
      </c>
      <c r="DD103">
        <v>0</v>
      </c>
      <c r="DE103">
        <v>0</v>
      </c>
      <c r="DF103">
        <f t="shared" si="52"/>
        <v>0</v>
      </c>
      <c r="DG103">
        <v>0</v>
      </c>
      <c r="DH103">
        <v>0</v>
      </c>
      <c r="DI103">
        <v>0</v>
      </c>
      <c r="DJ103">
        <v>0</v>
      </c>
      <c r="DK103">
        <v>0</v>
      </c>
      <c r="DL103">
        <v>0</v>
      </c>
      <c r="DM103">
        <v>0</v>
      </c>
      <c r="DN103">
        <v>0</v>
      </c>
      <c r="DO103">
        <v>0</v>
      </c>
      <c r="DP103">
        <v>0</v>
      </c>
      <c r="DQ103">
        <v>0</v>
      </c>
      <c r="DR103">
        <v>0</v>
      </c>
      <c r="DS103">
        <f t="shared" si="53"/>
        <v>0</v>
      </c>
      <c r="DT103">
        <v>0</v>
      </c>
      <c r="DU103">
        <v>0</v>
      </c>
      <c r="DV103">
        <v>0</v>
      </c>
      <c r="DW103">
        <v>0</v>
      </c>
      <c r="DX103">
        <v>0</v>
      </c>
      <c r="DY103">
        <v>0</v>
      </c>
      <c r="DZ103">
        <v>0</v>
      </c>
      <c r="EA103">
        <v>0</v>
      </c>
      <c r="EB103">
        <v>0</v>
      </c>
      <c r="EC103">
        <v>0</v>
      </c>
      <c r="ED103">
        <v>0</v>
      </c>
      <c r="EE103">
        <v>0</v>
      </c>
      <c r="EF103">
        <f t="shared" si="54"/>
        <v>0</v>
      </c>
      <c r="EG103">
        <f t="shared" si="55"/>
        <v>0</v>
      </c>
      <c r="EH103">
        <f t="shared" si="56"/>
        <v>0</v>
      </c>
      <c r="EI103">
        <v>2849</v>
      </c>
      <c r="EJ103">
        <v>3454</v>
      </c>
      <c r="EK103">
        <v>6036</v>
      </c>
      <c r="EL103">
        <v>6104</v>
      </c>
      <c r="EM103">
        <v>3736</v>
      </c>
      <c r="EN103">
        <v>3030</v>
      </c>
      <c r="EO103">
        <v>5146</v>
      </c>
      <c r="EP103">
        <v>3778</v>
      </c>
      <c r="EQ103">
        <v>3159</v>
      </c>
      <c r="ER103">
        <v>3113</v>
      </c>
      <c r="ES103">
        <v>4427</v>
      </c>
      <c r="ET103">
        <v>5778</v>
      </c>
      <c r="EU103">
        <f t="shared" si="57"/>
        <v>50610</v>
      </c>
      <c r="EV103">
        <v>0</v>
      </c>
      <c r="EW103">
        <v>0</v>
      </c>
      <c r="EX103">
        <v>0</v>
      </c>
      <c r="EY103">
        <v>0</v>
      </c>
      <c r="EZ103">
        <v>0</v>
      </c>
      <c r="FA103">
        <v>0</v>
      </c>
      <c r="FB103">
        <v>0</v>
      </c>
      <c r="FC103">
        <v>0</v>
      </c>
      <c r="FD103">
        <v>0</v>
      </c>
      <c r="FE103">
        <v>0</v>
      </c>
      <c r="FF103">
        <v>0</v>
      </c>
      <c r="FG103">
        <v>0</v>
      </c>
      <c r="FH103">
        <f t="shared" si="58"/>
        <v>0</v>
      </c>
      <c r="FI103">
        <v>0</v>
      </c>
      <c r="FJ103">
        <v>0</v>
      </c>
      <c r="FK103">
        <v>0</v>
      </c>
      <c r="FL103">
        <v>0</v>
      </c>
      <c r="FM103">
        <v>0</v>
      </c>
      <c r="FN103">
        <v>0</v>
      </c>
      <c r="FO103">
        <v>0</v>
      </c>
      <c r="FP103">
        <v>0</v>
      </c>
      <c r="FQ103">
        <v>0</v>
      </c>
      <c r="FR103">
        <v>0</v>
      </c>
      <c r="FS103">
        <v>0</v>
      </c>
      <c r="FT103">
        <v>0</v>
      </c>
      <c r="FU103">
        <f t="shared" si="59"/>
        <v>0</v>
      </c>
      <c r="FV103">
        <v>0</v>
      </c>
      <c r="FW103">
        <v>0</v>
      </c>
      <c r="FX103">
        <v>0</v>
      </c>
      <c r="FY103">
        <v>0</v>
      </c>
      <c r="FZ103">
        <v>0</v>
      </c>
      <c r="GA103">
        <v>0</v>
      </c>
      <c r="GB103">
        <v>0</v>
      </c>
      <c r="GC103">
        <v>0</v>
      </c>
      <c r="GD103">
        <v>0</v>
      </c>
      <c r="GE103">
        <v>0</v>
      </c>
      <c r="GF103">
        <v>0</v>
      </c>
      <c r="GG103">
        <v>0</v>
      </c>
      <c r="GH103">
        <f t="shared" si="60"/>
        <v>0</v>
      </c>
      <c r="GI103">
        <v>0</v>
      </c>
      <c r="GJ103">
        <v>0</v>
      </c>
      <c r="GK103">
        <v>0</v>
      </c>
      <c r="GL103">
        <v>0</v>
      </c>
      <c r="GM103">
        <v>0</v>
      </c>
      <c r="GN103">
        <v>0</v>
      </c>
      <c r="GO103">
        <v>0</v>
      </c>
      <c r="GP103">
        <v>0</v>
      </c>
      <c r="GQ103">
        <v>0</v>
      </c>
      <c r="GR103">
        <v>0</v>
      </c>
      <c r="GS103">
        <v>0</v>
      </c>
      <c r="GT103">
        <v>0</v>
      </c>
      <c r="GU103">
        <f t="shared" si="61"/>
        <v>0</v>
      </c>
      <c r="GV103">
        <v>0</v>
      </c>
      <c r="GW103">
        <v>0</v>
      </c>
      <c r="GX103">
        <v>0</v>
      </c>
      <c r="GY103">
        <v>0</v>
      </c>
      <c r="GZ103">
        <v>0</v>
      </c>
      <c r="HA103">
        <v>0</v>
      </c>
      <c r="HB103">
        <v>0</v>
      </c>
      <c r="HC103">
        <v>0</v>
      </c>
      <c r="HD103">
        <v>0</v>
      </c>
      <c r="HE103">
        <v>0</v>
      </c>
      <c r="HF103">
        <v>0</v>
      </c>
      <c r="HG103">
        <v>0</v>
      </c>
      <c r="HH103">
        <f t="shared" si="62"/>
        <v>0</v>
      </c>
      <c r="HI103">
        <v>0</v>
      </c>
      <c r="HJ103">
        <v>0</v>
      </c>
      <c r="HK103">
        <v>0</v>
      </c>
      <c r="HL103">
        <v>0</v>
      </c>
      <c r="HM103">
        <v>0</v>
      </c>
      <c r="HN103">
        <v>0</v>
      </c>
      <c r="HO103">
        <v>0</v>
      </c>
      <c r="HP103">
        <v>0</v>
      </c>
      <c r="HQ103">
        <v>0</v>
      </c>
      <c r="HR103">
        <v>0</v>
      </c>
      <c r="HS103">
        <v>0</v>
      </c>
      <c r="HT103">
        <v>0</v>
      </c>
      <c r="HU103">
        <f t="shared" si="63"/>
        <v>0</v>
      </c>
      <c r="HV103">
        <v>0</v>
      </c>
      <c r="HW103">
        <v>0</v>
      </c>
      <c r="HX103">
        <v>0</v>
      </c>
      <c r="HY103">
        <v>0</v>
      </c>
      <c r="HZ103">
        <v>0</v>
      </c>
      <c r="IA103">
        <v>0</v>
      </c>
      <c r="IB103">
        <v>0</v>
      </c>
      <c r="IC103">
        <v>0</v>
      </c>
      <c r="ID103">
        <v>0</v>
      </c>
      <c r="IE103">
        <v>0</v>
      </c>
      <c r="IF103">
        <v>0</v>
      </c>
      <c r="IG103">
        <v>0</v>
      </c>
      <c r="IH103">
        <f t="shared" si="64"/>
        <v>0</v>
      </c>
      <c r="II103">
        <f t="shared" si="65"/>
        <v>0</v>
      </c>
      <c r="IJ103">
        <f t="shared" si="66"/>
        <v>0</v>
      </c>
      <c r="IK103">
        <v>42120</v>
      </c>
      <c r="IL103">
        <v>40365</v>
      </c>
      <c r="IM103">
        <v>38070</v>
      </c>
      <c r="IN103">
        <v>48157</v>
      </c>
      <c r="IO103">
        <v>50650</v>
      </c>
      <c r="IP103">
        <v>45192</v>
      </c>
      <c r="IQ103">
        <v>46116</v>
      </c>
      <c r="IR103">
        <v>41271</v>
      </c>
      <c r="IS103">
        <v>39187</v>
      </c>
      <c r="IT103">
        <v>45164</v>
      </c>
      <c r="IU103">
        <v>42953</v>
      </c>
      <c r="IV103">
        <v>43316</v>
      </c>
      <c r="IW103">
        <f t="shared" si="67"/>
        <v>522561</v>
      </c>
      <c r="IX103">
        <v>0</v>
      </c>
      <c r="IY103">
        <v>0</v>
      </c>
      <c r="IZ103">
        <v>0</v>
      </c>
      <c r="JA103">
        <v>0</v>
      </c>
      <c r="JB103">
        <v>0</v>
      </c>
      <c r="JC103">
        <v>0</v>
      </c>
      <c r="JD103">
        <v>0</v>
      </c>
      <c r="JE103">
        <v>0</v>
      </c>
      <c r="JF103">
        <v>0</v>
      </c>
      <c r="JG103">
        <v>0</v>
      </c>
      <c r="JH103">
        <v>0</v>
      </c>
      <c r="JI103">
        <v>0</v>
      </c>
      <c r="JJ103">
        <f t="shared" si="68"/>
        <v>0</v>
      </c>
      <c r="JK103">
        <v>0</v>
      </c>
      <c r="JL103">
        <v>0</v>
      </c>
      <c r="JM103">
        <v>0</v>
      </c>
      <c r="JN103">
        <v>0</v>
      </c>
      <c r="JO103">
        <v>0</v>
      </c>
      <c r="JP103">
        <v>0</v>
      </c>
      <c r="JQ103">
        <v>0</v>
      </c>
      <c r="JR103">
        <v>0</v>
      </c>
      <c r="JS103">
        <v>0</v>
      </c>
      <c r="JT103">
        <v>0</v>
      </c>
      <c r="JU103">
        <v>0</v>
      </c>
      <c r="JV103">
        <v>0</v>
      </c>
      <c r="JW103">
        <f t="shared" si="69"/>
        <v>0</v>
      </c>
      <c r="JX103">
        <v>27541</v>
      </c>
      <c r="JY103">
        <v>26882</v>
      </c>
      <c r="JZ103">
        <v>25589</v>
      </c>
      <c r="KA103">
        <v>28358</v>
      </c>
      <c r="KB103">
        <v>29400</v>
      </c>
      <c r="KC103">
        <v>28392</v>
      </c>
      <c r="KD103">
        <v>28837</v>
      </c>
      <c r="KE103">
        <v>26404</v>
      </c>
      <c r="KF103">
        <v>26804</v>
      </c>
      <c r="KG103">
        <v>29782</v>
      </c>
      <c r="KH103">
        <v>26484</v>
      </c>
      <c r="KI103">
        <v>27469</v>
      </c>
      <c r="KJ103">
        <f t="shared" si="70"/>
        <v>331942</v>
      </c>
      <c r="KK103">
        <v>820</v>
      </c>
      <c r="KL103">
        <v>712</v>
      </c>
      <c r="KM103">
        <v>729</v>
      </c>
      <c r="KN103">
        <v>836</v>
      </c>
      <c r="KO103">
        <v>800</v>
      </c>
      <c r="KP103">
        <v>798</v>
      </c>
      <c r="KQ103">
        <v>857</v>
      </c>
      <c r="KR103">
        <v>776</v>
      </c>
      <c r="KS103">
        <v>813</v>
      </c>
      <c r="KT103">
        <v>833</v>
      </c>
      <c r="KU103">
        <v>771</v>
      </c>
      <c r="KV103">
        <v>727</v>
      </c>
      <c r="KW103">
        <f t="shared" si="71"/>
        <v>9472</v>
      </c>
      <c r="KX103">
        <v>0</v>
      </c>
      <c r="KY103">
        <v>0</v>
      </c>
      <c r="KZ103">
        <v>0</v>
      </c>
      <c r="LA103">
        <v>0</v>
      </c>
      <c r="LB103">
        <v>0</v>
      </c>
      <c r="LC103">
        <v>0</v>
      </c>
      <c r="LD103">
        <v>0</v>
      </c>
      <c r="LE103">
        <v>0</v>
      </c>
      <c r="LF103">
        <v>0</v>
      </c>
      <c r="LG103">
        <v>0</v>
      </c>
      <c r="LH103">
        <v>0</v>
      </c>
      <c r="LI103">
        <v>0</v>
      </c>
      <c r="LJ103">
        <f t="shared" si="72"/>
        <v>0</v>
      </c>
      <c r="LK103">
        <v>0</v>
      </c>
      <c r="LL103">
        <v>0</v>
      </c>
      <c r="LM103">
        <v>0</v>
      </c>
      <c r="LN103">
        <v>0</v>
      </c>
      <c r="LO103">
        <v>0</v>
      </c>
      <c r="LP103">
        <v>0</v>
      </c>
      <c r="LQ103">
        <v>0</v>
      </c>
      <c r="LR103">
        <v>0</v>
      </c>
      <c r="LS103">
        <v>0</v>
      </c>
      <c r="LT103">
        <v>0</v>
      </c>
      <c r="LU103">
        <v>0</v>
      </c>
      <c r="LV103">
        <v>0</v>
      </c>
      <c r="LW103">
        <f t="shared" si="73"/>
        <v>0</v>
      </c>
      <c r="LX103">
        <v>742</v>
      </c>
      <c r="LY103">
        <v>639</v>
      </c>
      <c r="LZ103">
        <v>656</v>
      </c>
      <c r="MA103">
        <v>726</v>
      </c>
      <c r="MB103">
        <v>685</v>
      </c>
      <c r="MC103">
        <v>712</v>
      </c>
      <c r="MD103">
        <v>725</v>
      </c>
      <c r="ME103">
        <v>693</v>
      </c>
      <c r="MF103">
        <v>725</v>
      </c>
      <c r="MG103">
        <v>760</v>
      </c>
      <c r="MH103">
        <v>659</v>
      </c>
      <c r="MI103">
        <v>647</v>
      </c>
      <c r="MJ103">
        <f t="shared" si="74"/>
        <v>8369</v>
      </c>
      <c r="MK103">
        <v>7806</v>
      </c>
      <c r="ML103">
        <v>8340</v>
      </c>
      <c r="MM103">
        <v>8192</v>
      </c>
      <c r="MN103">
        <v>7916</v>
      </c>
      <c r="MO103">
        <v>8994</v>
      </c>
      <c r="MP103">
        <v>8381</v>
      </c>
      <c r="MQ103">
        <v>8855</v>
      </c>
      <c r="MR103">
        <v>8316</v>
      </c>
      <c r="MS103">
        <v>8432</v>
      </c>
      <c r="MT103">
        <v>9041</v>
      </c>
      <c r="MU103">
        <v>8167</v>
      </c>
      <c r="MV103">
        <v>9414</v>
      </c>
      <c r="MW103">
        <f t="shared" si="75"/>
        <v>101854</v>
      </c>
      <c r="MX103">
        <v>0</v>
      </c>
      <c r="MY103">
        <v>0</v>
      </c>
      <c r="MZ103">
        <v>0</v>
      </c>
      <c r="NA103">
        <v>0</v>
      </c>
      <c r="NB103">
        <v>0</v>
      </c>
      <c r="NC103">
        <v>0</v>
      </c>
      <c r="ND103">
        <v>0</v>
      </c>
      <c r="NE103">
        <v>0</v>
      </c>
      <c r="NF103">
        <v>0</v>
      </c>
      <c r="NG103">
        <v>0</v>
      </c>
      <c r="NH103">
        <v>0</v>
      </c>
      <c r="NI103">
        <v>0</v>
      </c>
      <c r="NJ103">
        <f t="shared" si="76"/>
        <v>0</v>
      </c>
      <c r="NK103">
        <v>0</v>
      </c>
      <c r="NL103">
        <v>0</v>
      </c>
      <c r="NM103">
        <v>0</v>
      </c>
      <c r="NN103">
        <v>0</v>
      </c>
      <c r="NO103">
        <v>0</v>
      </c>
      <c r="NP103">
        <v>0</v>
      </c>
      <c r="NQ103">
        <v>0</v>
      </c>
      <c r="NR103">
        <v>0</v>
      </c>
      <c r="NS103">
        <v>0</v>
      </c>
      <c r="NT103">
        <v>0</v>
      </c>
      <c r="NU103">
        <v>0</v>
      </c>
      <c r="NV103">
        <v>0</v>
      </c>
      <c r="NW103">
        <f t="shared" si="77"/>
        <v>0</v>
      </c>
      <c r="NX103">
        <v>0</v>
      </c>
      <c r="NY103">
        <v>0</v>
      </c>
      <c r="NZ103">
        <v>0</v>
      </c>
      <c r="OA103">
        <v>0</v>
      </c>
      <c r="OB103">
        <v>0</v>
      </c>
      <c r="OC103">
        <v>0</v>
      </c>
      <c r="OD103">
        <v>0</v>
      </c>
      <c r="OE103">
        <v>0</v>
      </c>
      <c r="OF103">
        <v>0</v>
      </c>
      <c r="OG103">
        <v>0</v>
      </c>
      <c r="OH103">
        <v>0</v>
      </c>
      <c r="OI103">
        <v>0</v>
      </c>
      <c r="OJ103">
        <f t="shared" si="78"/>
        <v>0</v>
      </c>
      <c r="OK103">
        <v>14009</v>
      </c>
      <c r="OL103">
        <v>14176</v>
      </c>
      <c r="OM103">
        <v>14095</v>
      </c>
      <c r="ON103">
        <v>13484</v>
      </c>
      <c r="OO103">
        <v>15284</v>
      </c>
      <c r="OP103">
        <v>14749</v>
      </c>
      <c r="OQ103">
        <v>15250</v>
      </c>
      <c r="OR103">
        <v>14978</v>
      </c>
      <c r="OS103">
        <v>14635</v>
      </c>
      <c r="OT103">
        <v>16025</v>
      </c>
      <c r="OU103">
        <v>15010</v>
      </c>
      <c r="OV103">
        <v>16498</v>
      </c>
      <c r="OW103">
        <f t="shared" si="79"/>
        <v>178193</v>
      </c>
      <c r="OX103">
        <v>0</v>
      </c>
      <c r="OY103">
        <v>0</v>
      </c>
      <c r="OZ103">
        <v>0</v>
      </c>
      <c r="PA103">
        <v>0</v>
      </c>
      <c r="PB103">
        <v>0</v>
      </c>
      <c r="PC103">
        <v>0</v>
      </c>
      <c r="PD103">
        <v>0</v>
      </c>
      <c r="PE103">
        <v>0</v>
      </c>
      <c r="PF103">
        <v>0</v>
      </c>
      <c r="PG103">
        <v>0</v>
      </c>
      <c r="PH103">
        <v>0</v>
      </c>
      <c r="PI103">
        <v>0</v>
      </c>
      <c r="PJ103">
        <f t="shared" si="80"/>
        <v>0</v>
      </c>
      <c r="PK103">
        <v>0</v>
      </c>
      <c r="PL103">
        <v>0</v>
      </c>
      <c r="PM103">
        <v>0</v>
      </c>
      <c r="PN103">
        <v>0</v>
      </c>
      <c r="PO103">
        <v>0</v>
      </c>
      <c r="PP103">
        <v>0</v>
      </c>
      <c r="PQ103">
        <v>0</v>
      </c>
      <c r="PR103">
        <v>0</v>
      </c>
      <c r="PS103">
        <v>0</v>
      </c>
      <c r="PT103">
        <v>0</v>
      </c>
      <c r="PU103">
        <v>0</v>
      </c>
      <c r="PV103">
        <v>0</v>
      </c>
      <c r="PW103">
        <f t="shared" si="81"/>
        <v>0</v>
      </c>
      <c r="PX103">
        <v>0</v>
      </c>
      <c r="PY103">
        <v>0</v>
      </c>
      <c r="PZ103">
        <v>0</v>
      </c>
      <c r="QA103">
        <v>0</v>
      </c>
      <c r="QB103">
        <v>0</v>
      </c>
      <c r="QC103">
        <v>0</v>
      </c>
      <c r="QD103">
        <v>0</v>
      </c>
      <c r="QE103">
        <v>0</v>
      </c>
      <c r="QF103">
        <v>0</v>
      </c>
      <c r="QG103">
        <v>0</v>
      </c>
      <c r="QH103">
        <v>0</v>
      </c>
      <c r="QI103">
        <v>0</v>
      </c>
      <c r="QJ103">
        <f t="shared" si="82"/>
        <v>0</v>
      </c>
      <c r="QK103">
        <v>36887</v>
      </c>
      <c r="QL103">
        <v>30609</v>
      </c>
      <c r="QM103">
        <v>27698</v>
      </c>
      <c r="QN103">
        <v>32536</v>
      </c>
      <c r="QO103">
        <v>31037</v>
      </c>
      <c r="QP103">
        <v>32753</v>
      </c>
      <c r="QQ103">
        <v>31377</v>
      </c>
      <c r="QR103">
        <v>30378</v>
      </c>
      <c r="QS103">
        <v>26906</v>
      </c>
      <c r="QT103">
        <v>31941</v>
      </c>
      <c r="QU103">
        <v>30030</v>
      </c>
      <c r="QV103">
        <v>33670</v>
      </c>
      <c r="QW103">
        <f t="shared" si="83"/>
        <v>375822</v>
      </c>
      <c r="QX103">
        <v>0</v>
      </c>
      <c r="QY103">
        <v>0</v>
      </c>
      <c r="QZ103">
        <v>0</v>
      </c>
      <c r="RA103">
        <v>0</v>
      </c>
      <c r="RB103">
        <v>0</v>
      </c>
      <c r="RC103">
        <v>0</v>
      </c>
      <c r="RD103">
        <v>0</v>
      </c>
      <c r="RE103">
        <v>0</v>
      </c>
      <c r="RF103">
        <v>0</v>
      </c>
      <c r="RG103">
        <v>0</v>
      </c>
      <c r="RH103">
        <v>0</v>
      </c>
      <c r="RI103">
        <v>0</v>
      </c>
      <c r="RJ103">
        <f t="shared" si="84"/>
        <v>0</v>
      </c>
      <c r="RK103">
        <v>0</v>
      </c>
      <c r="RL103">
        <v>0</v>
      </c>
      <c r="RM103">
        <v>0</v>
      </c>
      <c r="RN103">
        <v>0</v>
      </c>
      <c r="RO103">
        <v>0</v>
      </c>
      <c r="RP103">
        <v>0</v>
      </c>
      <c r="RQ103">
        <v>0</v>
      </c>
      <c r="RR103">
        <v>0</v>
      </c>
      <c r="RS103">
        <v>0</v>
      </c>
      <c r="RT103">
        <v>0</v>
      </c>
      <c r="RU103">
        <v>0</v>
      </c>
      <c r="RV103">
        <v>0</v>
      </c>
      <c r="RW103">
        <f t="shared" si="85"/>
        <v>0</v>
      </c>
      <c r="RX103">
        <v>0</v>
      </c>
      <c r="RY103">
        <v>0</v>
      </c>
      <c r="RZ103">
        <v>0</v>
      </c>
      <c r="SA103">
        <v>0</v>
      </c>
      <c r="SB103">
        <v>0</v>
      </c>
      <c r="SC103">
        <v>0</v>
      </c>
      <c r="SD103">
        <v>0</v>
      </c>
      <c r="SE103">
        <v>0</v>
      </c>
      <c r="SF103">
        <v>0</v>
      </c>
      <c r="SG103">
        <v>0</v>
      </c>
      <c r="SH103">
        <v>0</v>
      </c>
      <c r="SI103">
        <v>0</v>
      </c>
      <c r="SJ103">
        <f t="shared" si="86"/>
        <v>0</v>
      </c>
      <c r="SK103">
        <v>74</v>
      </c>
      <c r="SL103">
        <v>75</v>
      </c>
      <c r="SM103">
        <v>76</v>
      </c>
      <c r="SN103">
        <v>76</v>
      </c>
      <c r="SO103">
        <v>73</v>
      </c>
      <c r="SP103">
        <v>87</v>
      </c>
      <c r="SQ103">
        <v>77</v>
      </c>
      <c r="SR103">
        <v>75</v>
      </c>
      <c r="SS103">
        <v>73</v>
      </c>
      <c r="ST103">
        <v>74</v>
      </c>
      <c r="SU103">
        <v>72</v>
      </c>
      <c r="SV103">
        <v>79</v>
      </c>
      <c r="SW103">
        <f t="shared" si="87"/>
        <v>911</v>
      </c>
      <c r="SX103" t="s">
        <v>1529</v>
      </c>
      <c r="SY103">
        <v>1992</v>
      </c>
      <c r="SZ103">
        <v>1978</v>
      </c>
      <c r="TA103">
        <v>2031</v>
      </c>
      <c r="TB103">
        <v>2228</v>
      </c>
      <c r="TC103">
        <v>2030</v>
      </c>
      <c r="TD103">
        <v>2003</v>
      </c>
      <c r="TE103">
        <v>2234</v>
      </c>
      <c r="TF103">
        <v>1981</v>
      </c>
      <c r="TG103">
        <v>1681</v>
      </c>
      <c r="TH103">
        <v>2136</v>
      </c>
      <c r="TI103">
        <v>2001</v>
      </c>
      <c r="TJ103">
        <v>2103</v>
      </c>
      <c r="TK103">
        <f>ROUND(SUM(SY103:TJ103),0)</f>
        <v>24398</v>
      </c>
      <c r="TL103">
        <v>17001</v>
      </c>
      <c r="TM103">
        <v>15581</v>
      </c>
      <c r="TN103">
        <v>15456</v>
      </c>
      <c r="TO103">
        <v>16059</v>
      </c>
      <c r="TP103">
        <v>15274</v>
      </c>
      <c r="TQ103">
        <v>14686</v>
      </c>
      <c r="TR103">
        <v>15627</v>
      </c>
      <c r="TS103">
        <v>16391</v>
      </c>
      <c r="TT103">
        <v>14982</v>
      </c>
      <c r="TU103">
        <v>16601</v>
      </c>
      <c r="TV103">
        <v>16335</v>
      </c>
      <c r="TW103">
        <v>18412</v>
      </c>
      <c r="TX103">
        <f t="shared" si="89"/>
        <v>192405</v>
      </c>
      <c r="TY103">
        <v>85</v>
      </c>
      <c r="TZ103">
        <v>0</v>
      </c>
      <c r="UA103">
        <v>0</v>
      </c>
      <c r="UB103">
        <v>0</v>
      </c>
    </row>
    <row r="104" spans="1:548" ht="16.5" customHeight="1" x14ac:dyDescent="0.35">
      <c r="A104" t="s">
        <v>1436</v>
      </c>
      <c r="B104" t="s">
        <v>2869</v>
      </c>
      <c r="C104">
        <v>12601</v>
      </c>
      <c r="D104">
        <v>2573</v>
      </c>
      <c r="E104">
        <v>1414</v>
      </c>
      <c r="F104">
        <v>5914</v>
      </c>
      <c r="G104">
        <v>830</v>
      </c>
      <c r="H104">
        <v>733</v>
      </c>
      <c r="I104">
        <v>741</v>
      </c>
      <c r="J104">
        <v>916</v>
      </c>
      <c r="K104">
        <v>712</v>
      </c>
      <c r="L104">
        <v>819</v>
      </c>
      <c r="M104">
        <v>1004</v>
      </c>
      <c r="N104">
        <v>844</v>
      </c>
      <c r="O104">
        <v>775</v>
      </c>
      <c r="P104">
        <v>843</v>
      </c>
      <c r="Q104">
        <v>906</v>
      </c>
      <c r="R104">
        <v>921</v>
      </c>
      <c r="S104">
        <f t="shared" si="45"/>
        <v>10044</v>
      </c>
      <c r="T104">
        <v>198</v>
      </c>
      <c r="U104">
        <v>193</v>
      </c>
      <c r="V104">
        <v>151</v>
      </c>
      <c r="W104">
        <v>263</v>
      </c>
      <c r="X104">
        <v>187</v>
      </c>
      <c r="Y104">
        <v>194</v>
      </c>
      <c r="Z104">
        <v>346</v>
      </c>
      <c r="AA104">
        <v>233</v>
      </c>
      <c r="AB104">
        <v>185</v>
      </c>
      <c r="AC104">
        <v>224</v>
      </c>
      <c r="AD104">
        <v>279</v>
      </c>
      <c r="AE104">
        <v>274</v>
      </c>
      <c r="AF104">
        <f t="shared" si="46"/>
        <v>2727</v>
      </c>
      <c r="AG104">
        <v>10</v>
      </c>
      <c r="AH104">
        <v>33</v>
      </c>
      <c r="AI104">
        <v>20</v>
      </c>
      <c r="AJ104">
        <v>49</v>
      </c>
      <c r="AK104">
        <v>12</v>
      </c>
      <c r="AL104">
        <v>13</v>
      </c>
      <c r="AM104">
        <v>15</v>
      </c>
      <c r="AN104">
        <v>21</v>
      </c>
      <c r="AO104">
        <v>7</v>
      </c>
      <c r="AP104">
        <v>12</v>
      </c>
      <c r="AQ104">
        <v>12</v>
      </c>
      <c r="AR104">
        <v>12</v>
      </c>
      <c r="AS104">
        <f t="shared" si="47"/>
        <v>216</v>
      </c>
      <c r="AT104">
        <v>446</v>
      </c>
      <c r="AU104">
        <v>337</v>
      </c>
      <c r="AV104">
        <v>394</v>
      </c>
      <c r="AW104">
        <v>425</v>
      </c>
      <c r="AX104">
        <v>338</v>
      </c>
      <c r="AY104">
        <v>425</v>
      </c>
      <c r="AZ104">
        <v>427</v>
      </c>
      <c r="BA104">
        <v>422</v>
      </c>
      <c r="BB104">
        <v>392</v>
      </c>
      <c r="BC104">
        <v>412</v>
      </c>
      <c r="BD104">
        <v>391</v>
      </c>
      <c r="BE104">
        <v>421</v>
      </c>
      <c r="BF104">
        <f t="shared" si="48"/>
        <v>4830</v>
      </c>
      <c r="BG104">
        <v>176</v>
      </c>
      <c r="BH104">
        <v>170</v>
      </c>
      <c r="BI104">
        <v>176</v>
      </c>
      <c r="BJ104">
        <v>179</v>
      </c>
      <c r="BK104">
        <v>175</v>
      </c>
      <c r="BL104">
        <v>187</v>
      </c>
      <c r="BM104">
        <v>216</v>
      </c>
      <c r="BN104">
        <v>168</v>
      </c>
      <c r="BO104">
        <v>191</v>
      </c>
      <c r="BP104">
        <v>195</v>
      </c>
      <c r="BQ104">
        <v>224</v>
      </c>
      <c r="BR104">
        <v>214</v>
      </c>
      <c r="BS104">
        <f t="shared" si="49"/>
        <v>2271</v>
      </c>
      <c r="BT104">
        <v>25</v>
      </c>
      <c r="BU104">
        <v>21</v>
      </c>
      <c r="BV104">
        <v>33</v>
      </c>
      <c r="BW104">
        <v>26</v>
      </c>
      <c r="BX104">
        <v>34</v>
      </c>
      <c r="BY104">
        <v>24</v>
      </c>
      <c r="BZ104">
        <v>32</v>
      </c>
      <c r="CA104">
        <v>36</v>
      </c>
      <c r="CB104">
        <v>13</v>
      </c>
      <c r="CC104">
        <v>20</v>
      </c>
      <c r="CD104">
        <v>26</v>
      </c>
      <c r="CE104">
        <v>27</v>
      </c>
      <c r="CF104">
        <f t="shared" si="50"/>
        <v>317</v>
      </c>
      <c r="CG104">
        <v>10</v>
      </c>
      <c r="CH104">
        <v>3</v>
      </c>
      <c r="CI104">
        <v>0</v>
      </c>
      <c r="CJ104">
        <v>5</v>
      </c>
      <c r="CK104">
        <v>16</v>
      </c>
      <c r="CL104">
        <v>0</v>
      </c>
      <c r="CM104">
        <v>5</v>
      </c>
      <c r="CN104">
        <v>0</v>
      </c>
      <c r="CO104">
        <v>4</v>
      </c>
      <c r="CP104">
        <v>2</v>
      </c>
      <c r="CQ104">
        <v>3</v>
      </c>
      <c r="CR104">
        <v>0</v>
      </c>
      <c r="CS104">
        <f t="shared" si="51"/>
        <v>48</v>
      </c>
      <c r="CT104">
        <v>0</v>
      </c>
      <c r="CU104">
        <v>0</v>
      </c>
      <c r="CV104">
        <v>0</v>
      </c>
      <c r="CW104">
        <v>0</v>
      </c>
      <c r="CX104">
        <v>0</v>
      </c>
      <c r="CY104">
        <v>0</v>
      </c>
      <c r="CZ104">
        <v>0</v>
      </c>
      <c r="DA104">
        <v>1</v>
      </c>
      <c r="DB104">
        <v>0</v>
      </c>
      <c r="DC104">
        <v>0</v>
      </c>
      <c r="DD104">
        <v>0</v>
      </c>
      <c r="DE104">
        <v>0</v>
      </c>
      <c r="DF104">
        <f t="shared" si="52"/>
        <v>1</v>
      </c>
      <c r="DG104">
        <v>15</v>
      </c>
      <c r="DH104">
        <v>18</v>
      </c>
      <c r="DI104">
        <v>31</v>
      </c>
      <c r="DJ104">
        <v>19</v>
      </c>
      <c r="DK104">
        <v>18</v>
      </c>
      <c r="DL104">
        <v>21</v>
      </c>
      <c r="DM104">
        <v>25</v>
      </c>
      <c r="DN104">
        <v>33</v>
      </c>
      <c r="DO104">
        <v>9</v>
      </c>
      <c r="DP104">
        <v>17</v>
      </c>
      <c r="DQ104">
        <v>21</v>
      </c>
      <c r="DR104">
        <v>27</v>
      </c>
      <c r="DS104">
        <f t="shared" si="53"/>
        <v>254</v>
      </c>
      <c r="DT104">
        <v>0</v>
      </c>
      <c r="DU104">
        <v>0</v>
      </c>
      <c r="DV104">
        <v>2</v>
      </c>
      <c r="DW104">
        <v>2</v>
      </c>
      <c r="DX104">
        <v>0</v>
      </c>
      <c r="DY104">
        <v>3</v>
      </c>
      <c r="DZ104">
        <v>2</v>
      </c>
      <c r="EA104">
        <v>2</v>
      </c>
      <c r="EB104">
        <v>0</v>
      </c>
      <c r="EC104">
        <v>1</v>
      </c>
      <c r="ED104">
        <v>2</v>
      </c>
      <c r="EE104">
        <v>0</v>
      </c>
      <c r="EF104">
        <f t="shared" si="54"/>
        <v>14</v>
      </c>
      <c r="EG104">
        <f t="shared" si="55"/>
        <v>10044</v>
      </c>
      <c r="EH104">
        <f t="shared" si="56"/>
        <v>317</v>
      </c>
      <c r="EI104">
        <v>7244</v>
      </c>
      <c r="EJ104">
        <v>4761</v>
      </c>
      <c r="EK104">
        <v>5122</v>
      </c>
      <c r="EL104">
        <v>6572</v>
      </c>
      <c r="EM104">
        <v>4737</v>
      </c>
      <c r="EN104">
        <v>6732</v>
      </c>
      <c r="EO104">
        <v>9459</v>
      </c>
      <c r="EP104">
        <v>8385</v>
      </c>
      <c r="EQ104">
        <v>7131</v>
      </c>
      <c r="ER104">
        <v>6959</v>
      </c>
      <c r="ES104">
        <v>8422</v>
      </c>
      <c r="ET104">
        <v>9411</v>
      </c>
      <c r="EU104">
        <f t="shared" si="57"/>
        <v>84935</v>
      </c>
      <c r="EV104">
        <v>2441</v>
      </c>
      <c r="EW104">
        <v>788</v>
      </c>
      <c r="EX104">
        <v>1415</v>
      </c>
      <c r="EY104">
        <v>2695</v>
      </c>
      <c r="EZ104">
        <v>1426</v>
      </c>
      <c r="FA104">
        <v>2082</v>
      </c>
      <c r="FB104">
        <v>4420</v>
      </c>
      <c r="FC104">
        <v>3610</v>
      </c>
      <c r="FD104">
        <v>2986</v>
      </c>
      <c r="FE104">
        <v>2446</v>
      </c>
      <c r="FF104">
        <v>3411</v>
      </c>
      <c r="FG104">
        <v>4166</v>
      </c>
      <c r="FH104">
        <f t="shared" si="58"/>
        <v>31886</v>
      </c>
      <c r="FI104">
        <v>52</v>
      </c>
      <c r="FJ104">
        <v>128</v>
      </c>
      <c r="FK104">
        <v>126</v>
      </c>
      <c r="FL104">
        <v>67</v>
      </c>
      <c r="FM104">
        <v>34</v>
      </c>
      <c r="FN104">
        <v>44</v>
      </c>
      <c r="FO104">
        <v>51</v>
      </c>
      <c r="FP104">
        <v>75</v>
      </c>
      <c r="FQ104">
        <v>92</v>
      </c>
      <c r="FR104">
        <v>109</v>
      </c>
      <c r="FS104">
        <v>31</v>
      </c>
      <c r="FT104">
        <v>38</v>
      </c>
      <c r="FU104">
        <f t="shared" si="59"/>
        <v>847</v>
      </c>
      <c r="FV104">
        <v>4751</v>
      </c>
      <c r="FW104">
        <v>3845</v>
      </c>
      <c r="FX104">
        <v>3581</v>
      </c>
      <c r="FY104">
        <v>3810</v>
      </c>
      <c r="FZ104">
        <v>3267</v>
      </c>
      <c r="GA104">
        <v>4606</v>
      </c>
      <c r="GB104">
        <v>4988</v>
      </c>
      <c r="GC104">
        <v>4700</v>
      </c>
      <c r="GD104">
        <v>4053</v>
      </c>
      <c r="GE104">
        <v>4404</v>
      </c>
      <c r="GF104">
        <v>4980</v>
      </c>
      <c r="GG104">
        <v>5201</v>
      </c>
      <c r="GH104">
        <f t="shared" si="60"/>
        <v>52186</v>
      </c>
      <c r="GI104">
        <v>360</v>
      </c>
      <c r="GJ104">
        <v>192</v>
      </c>
      <c r="GK104">
        <v>186</v>
      </c>
      <c r="GL104">
        <v>259</v>
      </c>
      <c r="GM104">
        <v>496</v>
      </c>
      <c r="GN104">
        <v>203</v>
      </c>
      <c r="GO104">
        <v>353</v>
      </c>
      <c r="GP104">
        <v>160</v>
      </c>
      <c r="GQ104">
        <v>151</v>
      </c>
      <c r="GR104">
        <v>132</v>
      </c>
      <c r="GS104">
        <v>216</v>
      </c>
      <c r="GT104">
        <v>225</v>
      </c>
      <c r="GU104" s="13">
        <v>3866</v>
      </c>
      <c r="GV104">
        <v>249</v>
      </c>
      <c r="GW104">
        <v>93</v>
      </c>
      <c r="GX104">
        <v>0</v>
      </c>
      <c r="GY104">
        <v>143</v>
      </c>
      <c r="GZ104">
        <v>369</v>
      </c>
      <c r="HA104">
        <v>0</v>
      </c>
      <c r="HB104">
        <v>159</v>
      </c>
      <c r="HC104">
        <v>0</v>
      </c>
      <c r="HD104">
        <v>71</v>
      </c>
      <c r="HE104">
        <v>36</v>
      </c>
      <c r="HF104">
        <v>77</v>
      </c>
      <c r="HG104">
        <v>41</v>
      </c>
      <c r="HH104">
        <f t="shared" si="62"/>
        <v>1238</v>
      </c>
      <c r="HI104">
        <v>0</v>
      </c>
      <c r="HJ104">
        <v>0</v>
      </c>
      <c r="HK104">
        <v>0</v>
      </c>
      <c r="HL104">
        <v>0</v>
      </c>
      <c r="HM104">
        <v>0</v>
      </c>
      <c r="HN104">
        <v>0</v>
      </c>
      <c r="HO104">
        <v>0</v>
      </c>
      <c r="HP104">
        <v>3</v>
      </c>
      <c r="HQ104">
        <v>0</v>
      </c>
      <c r="HR104">
        <v>0</v>
      </c>
      <c r="HS104">
        <v>0</v>
      </c>
      <c r="HT104">
        <v>0</v>
      </c>
      <c r="HU104">
        <f t="shared" si="63"/>
        <v>3</v>
      </c>
      <c r="HV104">
        <v>111</v>
      </c>
      <c r="HW104">
        <v>99</v>
      </c>
      <c r="HX104">
        <v>186</v>
      </c>
      <c r="HY104">
        <v>116</v>
      </c>
      <c r="HZ104">
        <v>127</v>
      </c>
      <c r="IA104">
        <v>203</v>
      </c>
      <c r="IB104">
        <v>194</v>
      </c>
      <c r="IC104">
        <v>157</v>
      </c>
      <c r="ID104">
        <v>80</v>
      </c>
      <c r="IE104">
        <v>96</v>
      </c>
      <c r="IF104">
        <v>139</v>
      </c>
      <c r="IG104">
        <v>184</v>
      </c>
      <c r="IH104">
        <f t="shared" si="64"/>
        <v>1692</v>
      </c>
      <c r="II104">
        <f t="shared" si="65"/>
        <v>84919</v>
      </c>
      <c r="IJ104">
        <f t="shared" si="66"/>
        <v>2933</v>
      </c>
      <c r="IK104">
        <v>15993</v>
      </c>
      <c r="IL104">
        <v>16139</v>
      </c>
      <c r="IM104">
        <v>15623</v>
      </c>
      <c r="IN104">
        <v>18672</v>
      </c>
      <c r="IO104">
        <v>18943</v>
      </c>
      <c r="IP104">
        <v>17124</v>
      </c>
      <c r="IQ104">
        <v>15030</v>
      </c>
      <c r="IR104">
        <v>14855</v>
      </c>
      <c r="IS104">
        <v>11350</v>
      </c>
      <c r="IT104">
        <v>16649</v>
      </c>
      <c r="IU104">
        <v>14726</v>
      </c>
      <c r="IV104">
        <v>15525</v>
      </c>
      <c r="IW104">
        <f t="shared" si="67"/>
        <v>190629</v>
      </c>
      <c r="IX104">
        <v>3028</v>
      </c>
      <c r="IY104">
        <v>2912</v>
      </c>
      <c r="IZ104">
        <v>2691</v>
      </c>
      <c r="JA104">
        <v>4567</v>
      </c>
      <c r="JB104">
        <v>4810</v>
      </c>
      <c r="JC104">
        <v>3313</v>
      </c>
      <c r="JD104">
        <v>3815</v>
      </c>
      <c r="JE104">
        <v>3137</v>
      </c>
      <c r="JF104">
        <v>2169</v>
      </c>
      <c r="JG104">
        <v>3358</v>
      </c>
      <c r="JH104">
        <v>3597</v>
      </c>
      <c r="JI104">
        <v>3375</v>
      </c>
      <c r="JJ104">
        <f t="shared" si="68"/>
        <v>40772</v>
      </c>
      <c r="JK104">
        <v>1230</v>
      </c>
      <c r="JL104">
        <v>1201</v>
      </c>
      <c r="JM104">
        <v>920</v>
      </c>
      <c r="JN104">
        <v>1516</v>
      </c>
      <c r="JO104">
        <v>1701</v>
      </c>
      <c r="JP104">
        <v>920</v>
      </c>
      <c r="JQ104">
        <v>1048</v>
      </c>
      <c r="JR104">
        <v>785</v>
      </c>
      <c r="JS104">
        <v>467</v>
      </c>
      <c r="JT104">
        <v>698</v>
      </c>
      <c r="JU104">
        <v>939</v>
      </c>
      <c r="JV104">
        <v>801</v>
      </c>
      <c r="JW104">
        <f t="shared" si="69"/>
        <v>12226</v>
      </c>
      <c r="JX104">
        <v>11735</v>
      </c>
      <c r="JY104">
        <v>12026</v>
      </c>
      <c r="JZ104">
        <v>12012</v>
      </c>
      <c r="KA104">
        <v>12589</v>
      </c>
      <c r="KB104">
        <v>12432</v>
      </c>
      <c r="KC104">
        <v>12891</v>
      </c>
      <c r="KD104">
        <v>10167</v>
      </c>
      <c r="KE104">
        <v>10993</v>
      </c>
      <c r="KF104">
        <v>8714</v>
      </c>
      <c r="KG104">
        <v>12593</v>
      </c>
      <c r="KH104">
        <v>10190</v>
      </c>
      <c r="KI104">
        <v>11349</v>
      </c>
      <c r="KJ104">
        <f t="shared" si="70"/>
        <v>137691</v>
      </c>
      <c r="KK104">
        <v>302</v>
      </c>
      <c r="KL104">
        <v>90</v>
      </c>
      <c r="KM104">
        <v>207</v>
      </c>
      <c r="KN104">
        <v>137</v>
      </c>
      <c r="KO104">
        <v>96</v>
      </c>
      <c r="KP104">
        <v>375</v>
      </c>
      <c r="KQ104">
        <v>246</v>
      </c>
      <c r="KR104">
        <v>426</v>
      </c>
      <c r="KS104">
        <v>29</v>
      </c>
      <c r="KT104">
        <v>923</v>
      </c>
      <c r="KU104">
        <v>58</v>
      </c>
      <c r="KV104">
        <v>25</v>
      </c>
      <c r="KW104">
        <f t="shared" si="71"/>
        <v>2914</v>
      </c>
      <c r="KX104">
        <v>0</v>
      </c>
      <c r="KY104">
        <v>0</v>
      </c>
      <c r="KZ104">
        <v>0</v>
      </c>
      <c r="LA104">
        <v>0</v>
      </c>
      <c r="LB104">
        <v>0</v>
      </c>
      <c r="LC104">
        <v>0</v>
      </c>
      <c r="LD104">
        <v>0</v>
      </c>
      <c r="LE104">
        <v>0</v>
      </c>
      <c r="LF104">
        <v>0</v>
      </c>
      <c r="LG104">
        <v>0</v>
      </c>
      <c r="LH104">
        <v>0</v>
      </c>
      <c r="LI104">
        <v>0</v>
      </c>
      <c r="LJ104">
        <f t="shared" si="72"/>
        <v>0</v>
      </c>
      <c r="LK104">
        <v>0</v>
      </c>
      <c r="LL104">
        <v>0</v>
      </c>
      <c r="LM104">
        <v>0</v>
      </c>
      <c r="LN104">
        <v>0</v>
      </c>
      <c r="LO104">
        <v>0</v>
      </c>
      <c r="LP104">
        <v>0</v>
      </c>
      <c r="LQ104">
        <v>0</v>
      </c>
      <c r="LR104">
        <v>0</v>
      </c>
      <c r="LS104">
        <v>0</v>
      </c>
      <c r="LT104">
        <v>0</v>
      </c>
      <c r="LU104">
        <v>0</v>
      </c>
      <c r="LV104">
        <v>0</v>
      </c>
      <c r="LW104" s="13">
        <v>5683</v>
      </c>
      <c r="LX104">
        <v>0</v>
      </c>
      <c r="LY104">
        <v>0</v>
      </c>
      <c r="LZ104">
        <v>0</v>
      </c>
      <c r="MA104">
        <v>0</v>
      </c>
      <c r="MB104">
        <v>0</v>
      </c>
      <c r="MC104">
        <v>0</v>
      </c>
      <c r="MD104">
        <v>0</v>
      </c>
      <c r="ME104">
        <v>0</v>
      </c>
      <c r="MF104">
        <v>0</v>
      </c>
      <c r="MG104">
        <v>0</v>
      </c>
      <c r="MH104">
        <v>0</v>
      </c>
      <c r="MI104">
        <v>0</v>
      </c>
      <c r="MJ104">
        <f t="shared" si="74"/>
        <v>0</v>
      </c>
      <c r="MK104">
        <v>2393</v>
      </c>
      <c r="ML104">
        <v>2563</v>
      </c>
      <c r="MM104">
        <v>2798</v>
      </c>
      <c r="MN104">
        <v>2685</v>
      </c>
      <c r="MO104">
        <v>2821</v>
      </c>
      <c r="MP104">
        <v>2829</v>
      </c>
      <c r="MQ104">
        <v>2791</v>
      </c>
      <c r="MR104">
        <v>2561</v>
      </c>
      <c r="MS104">
        <v>2551</v>
      </c>
      <c r="MT104">
        <v>2756</v>
      </c>
      <c r="MU104">
        <v>2755</v>
      </c>
      <c r="MV104">
        <v>2505</v>
      </c>
      <c r="MW104">
        <f t="shared" si="75"/>
        <v>32008</v>
      </c>
      <c r="MX104">
        <v>163</v>
      </c>
      <c r="MY104">
        <v>136</v>
      </c>
      <c r="MZ104">
        <v>178</v>
      </c>
      <c r="NA104">
        <v>180</v>
      </c>
      <c r="NB104">
        <v>212</v>
      </c>
      <c r="NC104">
        <v>209</v>
      </c>
      <c r="ND104">
        <v>172</v>
      </c>
      <c r="NE104">
        <v>158</v>
      </c>
      <c r="NF104">
        <v>151</v>
      </c>
      <c r="NG104">
        <v>171</v>
      </c>
      <c r="NH104">
        <v>158</v>
      </c>
      <c r="NI104">
        <v>173</v>
      </c>
      <c r="NJ104">
        <f t="shared" si="76"/>
        <v>2061</v>
      </c>
      <c r="NK104">
        <v>117</v>
      </c>
      <c r="NL104">
        <v>117</v>
      </c>
      <c r="NM104">
        <v>115</v>
      </c>
      <c r="NN104">
        <v>135</v>
      </c>
      <c r="NO104">
        <v>146</v>
      </c>
      <c r="NP104">
        <v>146</v>
      </c>
      <c r="NQ104">
        <v>147</v>
      </c>
      <c r="NR104">
        <v>124</v>
      </c>
      <c r="NS104">
        <v>118</v>
      </c>
      <c r="NT104">
        <v>103</v>
      </c>
      <c r="NU104">
        <v>119</v>
      </c>
      <c r="NV104">
        <v>112</v>
      </c>
      <c r="NW104">
        <f t="shared" si="77"/>
        <v>1499</v>
      </c>
      <c r="NX104">
        <v>2113</v>
      </c>
      <c r="NY104">
        <v>2310</v>
      </c>
      <c r="NZ104">
        <v>2505</v>
      </c>
      <c r="OA104">
        <v>2370</v>
      </c>
      <c r="OB104">
        <v>2463</v>
      </c>
      <c r="OC104">
        <v>2474</v>
      </c>
      <c r="OD104">
        <v>2472</v>
      </c>
      <c r="OE104">
        <v>2279</v>
      </c>
      <c r="OF104">
        <v>2282</v>
      </c>
      <c r="OG104">
        <v>2482</v>
      </c>
      <c r="OH104">
        <v>2478</v>
      </c>
      <c r="OI104">
        <v>2220</v>
      </c>
      <c r="OJ104">
        <f t="shared" si="78"/>
        <v>28448</v>
      </c>
      <c r="OK104">
        <v>3350</v>
      </c>
      <c r="OL104">
        <v>3333</v>
      </c>
      <c r="OM104">
        <v>3358</v>
      </c>
      <c r="ON104">
        <v>3604</v>
      </c>
      <c r="OO104">
        <v>3848</v>
      </c>
      <c r="OP104">
        <v>3807</v>
      </c>
      <c r="OQ104">
        <v>4173</v>
      </c>
      <c r="OR104">
        <v>3513</v>
      </c>
      <c r="OS104">
        <v>3700</v>
      </c>
      <c r="OT104">
        <v>3828</v>
      </c>
      <c r="OU104">
        <v>3598</v>
      </c>
      <c r="OV104">
        <v>4138</v>
      </c>
      <c r="OW104">
        <f t="shared" si="79"/>
        <v>44250</v>
      </c>
      <c r="OX104">
        <v>255</v>
      </c>
      <c r="OY104">
        <v>251</v>
      </c>
      <c r="OZ104">
        <v>283</v>
      </c>
      <c r="PA104">
        <v>308</v>
      </c>
      <c r="PB104">
        <v>410</v>
      </c>
      <c r="PC104">
        <v>327</v>
      </c>
      <c r="PD104">
        <v>394</v>
      </c>
      <c r="PE104">
        <v>300</v>
      </c>
      <c r="PF104">
        <v>358</v>
      </c>
      <c r="PG104">
        <v>299</v>
      </c>
      <c r="PH104">
        <v>324</v>
      </c>
      <c r="PI104">
        <v>411</v>
      </c>
      <c r="PJ104">
        <f t="shared" si="80"/>
        <v>3920</v>
      </c>
      <c r="PK104">
        <v>180</v>
      </c>
      <c r="PL104">
        <v>130</v>
      </c>
      <c r="PM104">
        <v>158</v>
      </c>
      <c r="PN104">
        <v>203</v>
      </c>
      <c r="PO104">
        <v>177</v>
      </c>
      <c r="PP104">
        <v>184</v>
      </c>
      <c r="PQ104">
        <v>179</v>
      </c>
      <c r="PR104">
        <v>158</v>
      </c>
      <c r="PS104">
        <v>123</v>
      </c>
      <c r="PT104">
        <v>160</v>
      </c>
      <c r="PU104">
        <v>141</v>
      </c>
      <c r="PV104">
        <v>165</v>
      </c>
      <c r="PW104">
        <f t="shared" si="81"/>
        <v>1958</v>
      </c>
      <c r="PX104">
        <v>2915</v>
      </c>
      <c r="PY104">
        <v>2952</v>
      </c>
      <c r="PZ104">
        <v>2917</v>
      </c>
      <c r="QA104">
        <v>3093</v>
      </c>
      <c r="QB104">
        <v>3261</v>
      </c>
      <c r="QC104">
        <v>3296</v>
      </c>
      <c r="QD104">
        <v>3600</v>
      </c>
      <c r="QE104">
        <v>3055</v>
      </c>
      <c r="QF104">
        <v>3219</v>
      </c>
      <c r="QG104">
        <v>3369</v>
      </c>
      <c r="QH104">
        <v>3133</v>
      </c>
      <c r="QI104">
        <v>3562</v>
      </c>
      <c r="QJ104">
        <f t="shared" si="82"/>
        <v>38372</v>
      </c>
      <c r="QK104">
        <v>22716</v>
      </c>
      <c r="QL104">
        <v>33171</v>
      </c>
      <c r="QM104">
        <v>24816</v>
      </c>
      <c r="QN104">
        <v>41391</v>
      </c>
      <c r="QO104">
        <v>40680</v>
      </c>
      <c r="QP104">
        <v>42126</v>
      </c>
      <c r="QQ104">
        <v>44990</v>
      </c>
      <c r="QR104">
        <v>42791</v>
      </c>
      <c r="QS104">
        <v>38587</v>
      </c>
      <c r="QT104">
        <v>40001</v>
      </c>
      <c r="QU104">
        <v>42577</v>
      </c>
      <c r="QV104">
        <v>44698</v>
      </c>
      <c r="QW104">
        <f t="shared" si="83"/>
        <v>458544</v>
      </c>
      <c r="QX104">
        <v>0</v>
      </c>
      <c r="QY104">
        <v>0</v>
      </c>
      <c r="QZ104">
        <v>0</v>
      </c>
      <c r="RA104">
        <v>0</v>
      </c>
      <c r="RB104">
        <v>0</v>
      </c>
      <c r="RC104">
        <v>0</v>
      </c>
      <c r="RD104">
        <v>0</v>
      </c>
      <c r="RE104">
        <v>0</v>
      </c>
      <c r="RF104">
        <v>0</v>
      </c>
      <c r="RG104">
        <v>0</v>
      </c>
      <c r="RH104">
        <v>0</v>
      </c>
      <c r="RI104">
        <v>0</v>
      </c>
      <c r="RJ104">
        <f t="shared" si="84"/>
        <v>0</v>
      </c>
      <c r="RK104">
        <v>0</v>
      </c>
      <c r="RL104">
        <v>0</v>
      </c>
      <c r="RM104">
        <v>0</v>
      </c>
      <c r="RN104">
        <v>0</v>
      </c>
      <c r="RO104">
        <v>0</v>
      </c>
      <c r="RP104">
        <v>0</v>
      </c>
      <c r="RQ104">
        <v>0</v>
      </c>
      <c r="RR104">
        <v>0</v>
      </c>
      <c r="RS104">
        <v>0</v>
      </c>
      <c r="RT104">
        <v>0</v>
      </c>
      <c r="RU104">
        <v>0</v>
      </c>
      <c r="RV104">
        <v>0</v>
      </c>
      <c r="RW104">
        <f t="shared" si="85"/>
        <v>0</v>
      </c>
      <c r="RX104">
        <v>0</v>
      </c>
      <c r="RY104">
        <v>0</v>
      </c>
      <c r="RZ104">
        <v>0</v>
      </c>
      <c r="SA104">
        <v>0</v>
      </c>
      <c r="SB104">
        <v>0</v>
      </c>
      <c r="SC104">
        <v>0</v>
      </c>
      <c r="SD104">
        <v>0</v>
      </c>
      <c r="SE104">
        <v>0</v>
      </c>
      <c r="SF104">
        <v>0</v>
      </c>
      <c r="SG104">
        <v>0</v>
      </c>
      <c r="SH104">
        <v>0</v>
      </c>
      <c r="SI104">
        <v>0</v>
      </c>
      <c r="SJ104">
        <f t="shared" si="86"/>
        <v>0</v>
      </c>
      <c r="SK104">
        <v>0</v>
      </c>
      <c r="SL104">
        <v>0</v>
      </c>
      <c r="SM104">
        <v>0</v>
      </c>
      <c r="SN104">
        <v>0</v>
      </c>
      <c r="SO104">
        <v>0</v>
      </c>
      <c r="SP104">
        <v>0</v>
      </c>
      <c r="SQ104">
        <v>0</v>
      </c>
      <c r="SR104">
        <v>0</v>
      </c>
      <c r="SS104">
        <v>0</v>
      </c>
      <c r="ST104">
        <v>0</v>
      </c>
      <c r="SU104">
        <v>0</v>
      </c>
      <c r="SV104">
        <v>0</v>
      </c>
      <c r="SW104">
        <f t="shared" si="87"/>
        <v>0</v>
      </c>
      <c r="SX104" t="s">
        <v>1437</v>
      </c>
      <c r="SY104">
        <v>3837</v>
      </c>
      <c r="SZ104">
        <v>3667</v>
      </c>
      <c r="TA104">
        <v>3716</v>
      </c>
      <c r="TB104">
        <v>4282</v>
      </c>
      <c r="TC104">
        <v>10545</v>
      </c>
      <c r="TD104">
        <v>6598</v>
      </c>
      <c r="TE104">
        <v>4577</v>
      </c>
      <c r="TF104">
        <v>3671</v>
      </c>
      <c r="TG104">
        <v>2668</v>
      </c>
      <c r="TH104">
        <v>3787</v>
      </c>
      <c r="TI104">
        <v>3672</v>
      </c>
      <c r="TJ104">
        <v>4019</v>
      </c>
      <c r="TK104">
        <f t="shared" si="88"/>
        <v>55039</v>
      </c>
      <c r="TL104">
        <v>4690</v>
      </c>
      <c r="TM104">
        <v>4371</v>
      </c>
      <c r="TN104">
        <v>4589</v>
      </c>
      <c r="TO104">
        <v>5102</v>
      </c>
      <c r="TP104">
        <v>13119</v>
      </c>
      <c r="TQ104">
        <v>8097</v>
      </c>
      <c r="TR104">
        <v>5472</v>
      </c>
      <c r="TS104">
        <v>4495</v>
      </c>
      <c r="TT104">
        <v>3432</v>
      </c>
      <c r="TU104">
        <v>4476</v>
      </c>
      <c r="TV104">
        <v>4547</v>
      </c>
      <c r="TW104">
        <v>4841</v>
      </c>
      <c r="TX104">
        <f t="shared" si="89"/>
        <v>67231</v>
      </c>
      <c r="TY104">
        <v>135</v>
      </c>
      <c r="TZ104">
        <v>0</v>
      </c>
      <c r="UA104">
        <v>0</v>
      </c>
      <c r="UB104">
        <v>0</v>
      </c>
    </row>
    <row r="105" spans="1:548" ht="16.5" customHeight="1" x14ac:dyDescent="0.35">
      <c r="A105" t="s">
        <v>1463</v>
      </c>
      <c r="B105" t="s">
        <v>2864</v>
      </c>
      <c r="C105">
        <v>50854</v>
      </c>
      <c r="D105">
        <v>17223</v>
      </c>
      <c r="E105">
        <v>2741</v>
      </c>
      <c r="F105">
        <v>30890</v>
      </c>
      <c r="G105">
        <v>757</v>
      </c>
      <c r="H105">
        <v>749</v>
      </c>
      <c r="I105">
        <v>798</v>
      </c>
      <c r="J105">
        <v>820</v>
      </c>
      <c r="K105">
        <v>695</v>
      </c>
      <c r="L105">
        <v>736</v>
      </c>
      <c r="M105">
        <v>797</v>
      </c>
      <c r="N105">
        <v>744</v>
      </c>
      <c r="O105">
        <v>575</v>
      </c>
      <c r="P105">
        <v>768</v>
      </c>
      <c r="Q105">
        <v>774</v>
      </c>
      <c r="R105">
        <v>848</v>
      </c>
      <c r="S105">
        <f t="shared" si="45"/>
        <v>9061</v>
      </c>
      <c r="T105">
        <v>398</v>
      </c>
      <c r="U105">
        <v>377</v>
      </c>
      <c r="V105">
        <v>438</v>
      </c>
      <c r="W105">
        <v>422</v>
      </c>
      <c r="X105">
        <v>397</v>
      </c>
      <c r="Y105">
        <v>343</v>
      </c>
      <c r="Z105">
        <v>409</v>
      </c>
      <c r="AA105">
        <v>362</v>
      </c>
      <c r="AB105">
        <v>301</v>
      </c>
      <c r="AC105">
        <v>387</v>
      </c>
      <c r="AD105">
        <v>399</v>
      </c>
      <c r="AE105">
        <v>430</v>
      </c>
      <c r="AF105">
        <f t="shared" si="46"/>
        <v>4663</v>
      </c>
      <c r="AG105">
        <v>6</v>
      </c>
      <c r="AH105">
        <v>5</v>
      </c>
      <c r="AI105">
        <v>5</v>
      </c>
      <c r="AJ105">
        <v>4</v>
      </c>
      <c r="AK105">
        <v>6</v>
      </c>
      <c r="AL105">
        <v>7</v>
      </c>
      <c r="AM105">
        <v>6</v>
      </c>
      <c r="AN105">
        <v>3</v>
      </c>
      <c r="AO105">
        <v>6</v>
      </c>
      <c r="AP105">
        <v>12</v>
      </c>
      <c r="AQ105">
        <v>17</v>
      </c>
      <c r="AR105">
        <v>21</v>
      </c>
      <c r="AS105">
        <f t="shared" si="47"/>
        <v>98</v>
      </c>
      <c r="AT105">
        <v>326</v>
      </c>
      <c r="AU105">
        <v>337</v>
      </c>
      <c r="AV105">
        <v>340</v>
      </c>
      <c r="AW105">
        <v>370</v>
      </c>
      <c r="AX105">
        <v>279</v>
      </c>
      <c r="AY105">
        <v>363</v>
      </c>
      <c r="AZ105">
        <v>277</v>
      </c>
      <c r="BA105">
        <v>366</v>
      </c>
      <c r="BB105">
        <v>253</v>
      </c>
      <c r="BC105">
        <v>343</v>
      </c>
      <c r="BD105">
        <v>318</v>
      </c>
      <c r="BE105">
        <v>328</v>
      </c>
      <c r="BF105">
        <f t="shared" si="48"/>
        <v>3900</v>
      </c>
      <c r="BG105">
        <v>27</v>
      </c>
      <c r="BH105">
        <v>30</v>
      </c>
      <c r="BI105">
        <v>15</v>
      </c>
      <c r="BJ105">
        <v>24</v>
      </c>
      <c r="BK105">
        <v>13</v>
      </c>
      <c r="BL105">
        <v>23</v>
      </c>
      <c r="BM105">
        <v>105</v>
      </c>
      <c r="BN105">
        <v>13</v>
      </c>
      <c r="BO105">
        <v>15</v>
      </c>
      <c r="BP105">
        <v>26</v>
      </c>
      <c r="BQ105">
        <v>40</v>
      </c>
      <c r="BR105">
        <v>69</v>
      </c>
      <c r="BS105">
        <f t="shared" si="49"/>
        <v>400</v>
      </c>
      <c r="BT105">
        <v>0</v>
      </c>
      <c r="BU105">
        <v>0</v>
      </c>
      <c r="BV105">
        <v>0</v>
      </c>
      <c r="BW105">
        <v>0</v>
      </c>
      <c r="BX105">
        <v>0</v>
      </c>
      <c r="BY105">
        <v>0</v>
      </c>
      <c r="BZ105">
        <v>0</v>
      </c>
      <c r="CA105">
        <v>0</v>
      </c>
      <c r="CB105">
        <v>0</v>
      </c>
      <c r="CC105">
        <v>0</v>
      </c>
      <c r="CD105">
        <v>0</v>
      </c>
      <c r="CE105">
        <v>0</v>
      </c>
      <c r="CF105">
        <f t="shared" si="50"/>
        <v>0</v>
      </c>
      <c r="CG105">
        <v>0</v>
      </c>
      <c r="CH105">
        <v>0</v>
      </c>
      <c r="CI105">
        <v>0</v>
      </c>
      <c r="CJ105">
        <v>0</v>
      </c>
      <c r="CK105">
        <v>0</v>
      </c>
      <c r="CL105">
        <v>0</v>
      </c>
      <c r="CM105">
        <v>0</v>
      </c>
      <c r="CN105">
        <v>0</v>
      </c>
      <c r="CO105">
        <v>0</v>
      </c>
      <c r="CP105">
        <v>0</v>
      </c>
      <c r="CQ105">
        <v>0</v>
      </c>
      <c r="CR105">
        <v>0</v>
      </c>
      <c r="CS105">
        <f t="shared" si="51"/>
        <v>0</v>
      </c>
      <c r="CT105">
        <v>0</v>
      </c>
      <c r="CU105">
        <v>0</v>
      </c>
      <c r="CV105">
        <v>0</v>
      </c>
      <c r="CW105">
        <v>0</v>
      </c>
      <c r="CX105">
        <v>0</v>
      </c>
      <c r="CY105">
        <v>0</v>
      </c>
      <c r="CZ105">
        <v>0</v>
      </c>
      <c r="DA105">
        <v>0</v>
      </c>
      <c r="DB105">
        <v>0</v>
      </c>
      <c r="DC105">
        <v>0</v>
      </c>
      <c r="DD105">
        <v>0</v>
      </c>
      <c r="DE105">
        <v>0</v>
      </c>
      <c r="DF105">
        <f t="shared" si="52"/>
        <v>0</v>
      </c>
      <c r="DG105">
        <v>0</v>
      </c>
      <c r="DH105">
        <v>0</v>
      </c>
      <c r="DI105">
        <v>0</v>
      </c>
      <c r="DJ105">
        <v>0</v>
      </c>
      <c r="DK105">
        <v>0</v>
      </c>
      <c r="DL105">
        <v>0</v>
      </c>
      <c r="DM105">
        <v>0</v>
      </c>
      <c r="DN105">
        <v>0</v>
      </c>
      <c r="DO105">
        <v>0</v>
      </c>
      <c r="DP105">
        <v>0</v>
      </c>
      <c r="DQ105">
        <v>0</v>
      </c>
      <c r="DR105">
        <v>0</v>
      </c>
      <c r="DS105">
        <f t="shared" si="53"/>
        <v>0</v>
      </c>
      <c r="DT105">
        <v>0</v>
      </c>
      <c r="DU105">
        <v>0</v>
      </c>
      <c r="DV105">
        <v>0</v>
      </c>
      <c r="DW105">
        <v>0</v>
      </c>
      <c r="DX105">
        <v>0</v>
      </c>
      <c r="DY105">
        <v>0</v>
      </c>
      <c r="DZ105">
        <v>0</v>
      </c>
      <c r="EA105">
        <v>0</v>
      </c>
      <c r="EB105">
        <v>0</v>
      </c>
      <c r="EC105">
        <v>0</v>
      </c>
      <c r="ED105">
        <v>0</v>
      </c>
      <c r="EE105">
        <v>0</v>
      </c>
      <c r="EF105">
        <f t="shared" si="54"/>
        <v>0</v>
      </c>
      <c r="EG105">
        <f t="shared" si="55"/>
        <v>9061</v>
      </c>
      <c r="EH105">
        <f t="shared" si="56"/>
        <v>0</v>
      </c>
      <c r="EI105">
        <v>10590</v>
      </c>
      <c r="EJ105">
        <v>10220</v>
      </c>
      <c r="EK105">
        <v>18910</v>
      </c>
      <c r="EL105">
        <v>19585</v>
      </c>
      <c r="EM105">
        <v>9230</v>
      </c>
      <c r="EN105">
        <v>9826</v>
      </c>
      <c r="EO105">
        <v>11401</v>
      </c>
      <c r="EP105">
        <v>10260</v>
      </c>
      <c r="EQ105">
        <v>6736</v>
      </c>
      <c r="ER105">
        <v>9794</v>
      </c>
      <c r="ES105">
        <v>11634</v>
      </c>
      <c r="ET105">
        <v>12032</v>
      </c>
      <c r="EU105">
        <f t="shared" si="57"/>
        <v>140218</v>
      </c>
      <c r="EV105">
        <v>4556</v>
      </c>
      <c r="EW105">
        <v>4413</v>
      </c>
      <c r="EX105">
        <v>12635</v>
      </c>
      <c r="EY105">
        <v>13159</v>
      </c>
      <c r="EZ105">
        <v>3954</v>
      </c>
      <c r="FA105">
        <v>4082</v>
      </c>
      <c r="FB105">
        <v>4921</v>
      </c>
      <c r="FC105">
        <v>4644</v>
      </c>
      <c r="FD105">
        <v>2915</v>
      </c>
      <c r="FE105">
        <v>4437</v>
      </c>
      <c r="FF105">
        <v>5150</v>
      </c>
      <c r="FG105">
        <v>5420</v>
      </c>
      <c r="FH105">
        <f t="shared" si="58"/>
        <v>70286</v>
      </c>
      <c r="FI105">
        <v>33</v>
      </c>
      <c r="FJ105">
        <v>42</v>
      </c>
      <c r="FK105">
        <v>32</v>
      </c>
      <c r="FL105">
        <v>25</v>
      </c>
      <c r="FM105">
        <v>21</v>
      </c>
      <c r="FN105">
        <v>28</v>
      </c>
      <c r="FO105">
        <v>64</v>
      </c>
      <c r="FP105">
        <v>33</v>
      </c>
      <c r="FQ105">
        <v>54</v>
      </c>
      <c r="FR105">
        <v>46</v>
      </c>
      <c r="FS105">
        <v>149</v>
      </c>
      <c r="FT105">
        <v>154</v>
      </c>
      <c r="FU105">
        <f t="shared" si="59"/>
        <v>681</v>
      </c>
      <c r="FV105">
        <v>6001</v>
      </c>
      <c r="FW105">
        <v>5765</v>
      </c>
      <c r="FX105">
        <v>6243</v>
      </c>
      <c r="FY105">
        <v>6401</v>
      </c>
      <c r="FZ105">
        <v>5255</v>
      </c>
      <c r="GA105">
        <v>5716</v>
      </c>
      <c r="GB105">
        <v>6416</v>
      </c>
      <c r="GC105">
        <v>5583</v>
      </c>
      <c r="GD105">
        <v>3767</v>
      </c>
      <c r="GE105">
        <v>5311</v>
      </c>
      <c r="GF105">
        <v>6335</v>
      </c>
      <c r="GG105">
        <v>6458</v>
      </c>
      <c r="GH105">
        <f t="shared" si="60"/>
        <v>69251</v>
      </c>
      <c r="GI105">
        <v>0</v>
      </c>
      <c r="GJ105">
        <v>0</v>
      </c>
      <c r="GK105">
        <v>0</v>
      </c>
      <c r="GL105">
        <v>0</v>
      </c>
      <c r="GM105">
        <v>0</v>
      </c>
      <c r="GN105">
        <v>0</v>
      </c>
      <c r="GO105">
        <v>0</v>
      </c>
      <c r="GP105">
        <v>0</v>
      </c>
      <c r="GQ105">
        <v>0</v>
      </c>
      <c r="GR105">
        <v>0</v>
      </c>
      <c r="GS105">
        <v>0</v>
      </c>
      <c r="GT105">
        <v>0</v>
      </c>
      <c r="GU105">
        <f t="shared" si="61"/>
        <v>0</v>
      </c>
      <c r="GV105">
        <v>0</v>
      </c>
      <c r="GW105">
        <v>0</v>
      </c>
      <c r="GX105">
        <v>0</v>
      </c>
      <c r="GY105">
        <v>0</v>
      </c>
      <c r="GZ105">
        <v>0</v>
      </c>
      <c r="HA105">
        <v>0</v>
      </c>
      <c r="HB105">
        <v>0</v>
      </c>
      <c r="HC105">
        <v>0</v>
      </c>
      <c r="HD105">
        <v>0</v>
      </c>
      <c r="HE105">
        <v>0</v>
      </c>
      <c r="HF105">
        <v>0</v>
      </c>
      <c r="HG105">
        <v>0</v>
      </c>
      <c r="HH105">
        <f t="shared" si="62"/>
        <v>0</v>
      </c>
      <c r="HI105">
        <v>0</v>
      </c>
      <c r="HJ105">
        <v>0</v>
      </c>
      <c r="HK105">
        <v>0</v>
      </c>
      <c r="HL105">
        <v>0</v>
      </c>
      <c r="HM105">
        <v>0</v>
      </c>
      <c r="HN105">
        <v>0</v>
      </c>
      <c r="HO105">
        <v>0</v>
      </c>
      <c r="HP105">
        <v>0</v>
      </c>
      <c r="HQ105">
        <v>0</v>
      </c>
      <c r="HR105">
        <v>0</v>
      </c>
      <c r="HS105">
        <v>0</v>
      </c>
      <c r="HT105">
        <v>0</v>
      </c>
      <c r="HU105">
        <f t="shared" si="63"/>
        <v>0</v>
      </c>
      <c r="HV105">
        <v>0</v>
      </c>
      <c r="HW105">
        <v>0</v>
      </c>
      <c r="HX105">
        <v>0</v>
      </c>
      <c r="HY105">
        <v>0</v>
      </c>
      <c r="HZ105">
        <v>0</v>
      </c>
      <c r="IA105">
        <v>0</v>
      </c>
      <c r="IB105">
        <v>0</v>
      </c>
      <c r="IC105">
        <v>0</v>
      </c>
      <c r="ID105">
        <v>0</v>
      </c>
      <c r="IE105">
        <v>0</v>
      </c>
      <c r="IF105">
        <v>0</v>
      </c>
      <c r="IG105">
        <v>0</v>
      </c>
      <c r="IH105">
        <f t="shared" si="64"/>
        <v>0</v>
      </c>
      <c r="II105">
        <f t="shared" si="65"/>
        <v>140218</v>
      </c>
      <c r="IJ105">
        <f t="shared" si="66"/>
        <v>0</v>
      </c>
      <c r="IK105">
        <v>117846</v>
      </c>
      <c r="IL105">
        <v>120862</v>
      </c>
      <c r="IM105">
        <v>115075</v>
      </c>
      <c r="IN105">
        <v>142258</v>
      </c>
      <c r="IO105">
        <v>147882</v>
      </c>
      <c r="IP105">
        <v>132201</v>
      </c>
      <c r="IQ105">
        <v>135695</v>
      </c>
      <c r="IR105">
        <v>119337</v>
      </c>
      <c r="IS105">
        <v>106223</v>
      </c>
      <c r="IT105">
        <v>123825</v>
      </c>
      <c r="IU105">
        <v>116043</v>
      </c>
      <c r="IV105">
        <v>124023</v>
      </c>
      <c r="IW105">
        <f t="shared" si="67"/>
        <v>1501270</v>
      </c>
      <c r="IX105">
        <v>53872</v>
      </c>
      <c r="IY105">
        <v>55377</v>
      </c>
      <c r="IZ105">
        <v>51173</v>
      </c>
      <c r="JA105">
        <v>70909</v>
      </c>
      <c r="JB105">
        <v>75639</v>
      </c>
      <c r="JC105">
        <v>62851</v>
      </c>
      <c r="JD105">
        <v>65416</v>
      </c>
      <c r="JE105">
        <v>55914</v>
      </c>
      <c r="JF105">
        <v>45155</v>
      </c>
      <c r="JG105">
        <v>56114</v>
      </c>
      <c r="JH105">
        <v>55586</v>
      </c>
      <c r="JI105">
        <v>57540</v>
      </c>
      <c r="JJ105">
        <f t="shared" si="68"/>
        <v>705546</v>
      </c>
      <c r="JK105">
        <v>2798</v>
      </c>
      <c r="JL105">
        <v>2746</v>
      </c>
      <c r="JM105">
        <v>2506</v>
      </c>
      <c r="JN105">
        <v>3776</v>
      </c>
      <c r="JO105">
        <v>3809</v>
      </c>
      <c r="JP105">
        <v>3071</v>
      </c>
      <c r="JQ105">
        <v>2829</v>
      </c>
      <c r="JR105">
        <v>2369</v>
      </c>
      <c r="JS105">
        <v>2058</v>
      </c>
      <c r="JT105">
        <v>2546</v>
      </c>
      <c r="JU105">
        <v>2478</v>
      </c>
      <c r="JV105">
        <v>2554</v>
      </c>
      <c r="JW105">
        <f t="shared" si="69"/>
        <v>33540</v>
      </c>
      <c r="JX105">
        <v>61176</v>
      </c>
      <c r="JY105">
        <v>62739</v>
      </c>
      <c r="JZ105">
        <v>61396</v>
      </c>
      <c r="KA105">
        <v>67573</v>
      </c>
      <c r="KB105">
        <v>68434</v>
      </c>
      <c r="KC105">
        <v>66279</v>
      </c>
      <c r="KD105">
        <v>67450</v>
      </c>
      <c r="KE105">
        <v>61054</v>
      </c>
      <c r="KF105">
        <v>59010</v>
      </c>
      <c r="KG105">
        <v>65165</v>
      </c>
      <c r="KH105">
        <v>57979</v>
      </c>
      <c r="KI105">
        <v>63929</v>
      </c>
      <c r="KJ105">
        <f t="shared" si="70"/>
        <v>762184</v>
      </c>
      <c r="KK105">
        <v>1588</v>
      </c>
      <c r="KL105">
        <v>1574</v>
      </c>
      <c r="KM105">
        <v>1453</v>
      </c>
      <c r="KN105">
        <v>1767</v>
      </c>
      <c r="KO105">
        <v>1719</v>
      </c>
      <c r="KP105">
        <v>1598</v>
      </c>
      <c r="KQ105">
        <v>1688</v>
      </c>
      <c r="KR105">
        <v>1454</v>
      </c>
      <c r="KS105">
        <v>1379</v>
      </c>
      <c r="KT105">
        <v>1707</v>
      </c>
      <c r="KU105">
        <v>1466</v>
      </c>
      <c r="KV105">
        <v>1602</v>
      </c>
      <c r="KW105">
        <f t="shared" si="71"/>
        <v>18995</v>
      </c>
      <c r="KX105">
        <v>514</v>
      </c>
      <c r="KY105">
        <v>511</v>
      </c>
      <c r="KZ105">
        <v>400</v>
      </c>
      <c r="LA105">
        <v>601</v>
      </c>
      <c r="LB105">
        <v>673</v>
      </c>
      <c r="LC105">
        <v>530</v>
      </c>
      <c r="LD105">
        <v>610</v>
      </c>
      <c r="LE105">
        <v>460</v>
      </c>
      <c r="LF105">
        <v>475</v>
      </c>
      <c r="LG105">
        <v>636</v>
      </c>
      <c r="LH105">
        <v>525</v>
      </c>
      <c r="LI105">
        <v>502</v>
      </c>
      <c r="LJ105">
        <f t="shared" si="72"/>
        <v>6437</v>
      </c>
      <c r="LK105">
        <v>20</v>
      </c>
      <c r="LL105">
        <v>15</v>
      </c>
      <c r="LM105">
        <v>9</v>
      </c>
      <c r="LN105">
        <v>15</v>
      </c>
      <c r="LO105">
        <v>24</v>
      </c>
      <c r="LP105">
        <v>30</v>
      </c>
      <c r="LQ105">
        <v>21</v>
      </c>
      <c r="LR105">
        <v>17</v>
      </c>
      <c r="LS105">
        <v>20</v>
      </c>
      <c r="LT105">
        <v>9</v>
      </c>
      <c r="LU105">
        <v>5</v>
      </c>
      <c r="LV105">
        <v>5</v>
      </c>
      <c r="LW105">
        <f t="shared" si="73"/>
        <v>190</v>
      </c>
      <c r="LX105">
        <v>1054</v>
      </c>
      <c r="LY105">
        <v>1048</v>
      </c>
      <c r="LZ105">
        <v>1044</v>
      </c>
      <c r="MA105">
        <v>1151</v>
      </c>
      <c r="MB105">
        <v>1022</v>
      </c>
      <c r="MC105">
        <v>1038</v>
      </c>
      <c r="MD105">
        <v>1057</v>
      </c>
      <c r="ME105">
        <v>977</v>
      </c>
      <c r="MF105">
        <v>884</v>
      </c>
      <c r="MG105">
        <v>1062</v>
      </c>
      <c r="MH105">
        <v>936</v>
      </c>
      <c r="MI105">
        <v>1095</v>
      </c>
      <c r="MJ105">
        <f t="shared" si="74"/>
        <v>12368</v>
      </c>
      <c r="MK105">
        <v>4358</v>
      </c>
      <c r="ML105">
        <v>4487</v>
      </c>
      <c r="MM105">
        <v>4334</v>
      </c>
      <c r="MN105">
        <v>4802</v>
      </c>
      <c r="MO105">
        <v>4870</v>
      </c>
      <c r="MP105">
        <v>4095</v>
      </c>
      <c r="MQ105">
        <v>4769</v>
      </c>
      <c r="MR105">
        <v>4298</v>
      </c>
      <c r="MS105">
        <v>4292</v>
      </c>
      <c r="MT105">
        <v>4934</v>
      </c>
      <c r="MU105">
        <v>4236</v>
      </c>
      <c r="MV105">
        <v>4655</v>
      </c>
      <c r="MW105">
        <f t="shared" si="75"/>
        <v>54130</v>
      </c>
      <c r="MX105">
        <v>425</v>
      </c>
      <c r="MY105">
        <v>363</v>
      </c>
      <c r="MZ105">
        <v>289</v>
      </c>
      <c r="NA105">
        <v>525</v>
      </c>
      <c r="NB105">
        <v>559</v>
      </c>
      <c r="NC105">
        <v>230</v>
      </c>
      <c r="ND105">
        <v>478</v>
      </c>
      <c r="NE105">
        <v>461</v>
      </c>
      <c r="NF105">
        <v>441</v>
      </c>
      <c r="NG105">
        <v>420</v>
      </c>
      <c r="NH105">
        <v>349</v>
      </c>
      <c r="NI105">
        <v>449</v>
      </c>
      <c r="NJ105">
        <f t="shared" si="76"/>
        <v>4989</v>
      </c>
      <c r="NK105">
        <v>230</v>
      </c>
      <c r="NL105">
        <v>238</v>
      </c>
      <c r="NM105">
        <v>289</v>
      </c>
      <c r="NN105">
        <v>352</v>
      </c>
      <c r="NO105">
        <v>296</v>
      </c>
      <c r="NP105">
        <v>315</v>
      </c>
      <c r="NQ105">
        <v>247</v>
      </c>
      <c r="NR105">
        <v>229</v>
      </c>
      <c r="NS105">
        <v>245</v>
      </c>
      <c r="NT105">
        <v>275</v>
      </c>
      <c r="NU105">
        <v>250</v>
      </c>
      <c r="NV105">
        <v>292</v>
      </c>
      <c r="NW105">
        <f t="shared" si="77"/>
        <v>3258</v>
      </c>
      <c r="NX105">
        <v>3703</v>
      </c>
      <c r="NY105">
        <v>3886</v>
      </c>
      <c r="NZ105">
        <v>3756</v>
      </c>
      <c r="OA105">
        <v>3925</v>
      </c>
      <c r="OB105">
        <v>4015</v>
      </c>
      <c r="OC105">
        <v>3550</v>
      </c>
      <c r="OD105">
        <v>4044</v>
      </c>
      <c r="OE105">
        <v>3608</v>
      </c>
      <c r="OF105">
        <v>3606</v>
      </c>
      <c r="OG105">
        <v>4239</v>
      </c>
      <c r="OH105">
        <v>3637</v>
      </c>
      <c r="OI105">
        <v>3914</v>
      </c>
      <c r="OJ105">
        <f t="shared" si="78"/>
        <v>45883</v>
      </c>
      <c r="OK105">
        <v>5122</v>
      </c>
      <c r="OL105">
        <v>4947</v>
      </c>
      <c r="OM105">
        <v>4840</v>
      </c>
      <c r="ON105">
        <v>4895</v>
      </c>
      <c r="OO105">
        <v>5918</v>
      </c>
      <c r="OP105">
        <v>5844</v>
      </c>
      <c r="OQ105">
        <v>6141</v>
      </c>
      <c r="OR105">
        <v>5439</v>
      </c>
      <c r="OS105">
        <v>5360</v>
      </c>
      <c r="OT105">
        <v>6175</v>
      </c>
      <c r="OU105">
        <v>5370</v>
      </c>
      <c r="OV105">
        <v>6314</v>
      </c>
      <c r="OW105">
        <f t="shared" si="79"/>
        <v>66365</v>
      </c>
      <c r="OX105">
        <v>750</v>
      </c>
      <c r="OY105">
        <v>707</v>
      </c>
      <c r="OZ105">
        <v>628</v>
      </c>
      <c r="PA105">
        <v>817</v>
      </c>
      <c r="PB105">
        <v>955</v>
      </c>
      <c r="PC105">
        <v>656</v>
      </c>
      <c r="PD105">
        <v>765</v>
      </c>
      <c r="PE105">
        <v>722</v>
      </c>
      <c r="PF105">
        <v>730</v>
      </c>
      <c r="PG105">
        <v>707</v>
      </c>
      <c r="PH105">
        <v>606</v>
      </c>
      <c r="PI105">
        <v>785</v>
      </c>
      <c r="PJ105">
        <f t="shared" si="80"/>
        <v>8828</v>
      </c>
      <c r="PK105">
        <v>277</v>
      </c>
      <c r="PL105">
        <v>273</v>
      </c>
      <c r="PM105">
        <v>259</v>
      </c>
      <c r="PN105">
        <v>271</v>
      </c>
      <c r="PO105">
        <v>306</v>
      </c>
      <c r="PP105">
        <v>258</v>
      </c>
      <c r="PQ105">
        <v>352</v>
      </c>
      <c r="PR105">
        <v>406</v>
      </c>
      <c r="PS105">
        <v>312</v>
      </c>
      <c r="PT105">
        <v>321</v>
      </c>
      <c r="PU105">
        <v>309</v>
      </c>
      <c r="PV105">
        <v>314</v>
      </c>
      <c r="PW105">
        <f t="shared" si="81"/>
        <v>3658</v>
      </c>
      <c r="PX105">
        <v>4095</v>
      </c>
      <c r="PY105">
        <v>3967</v>
      </c>
      <c r="PZ105">
        <v>3953</v>
      </c>
      <c r="QA105">
        <v>3807</v>
      </c>
      <c r="QB105">
        <v>4657</v>
      </c>
      <c r="QC105">
        <v>4930</v>
      </c>
      <c r="QD105">
        <v>5024</v>
      </c>
      <c r="QE105">
        <v>4311</v>
      </c>
      <c r="QF105">
        <v>4318</v>
      </c>
      <c r="QG105">
        <v>5147</v>
      </c>
      <c r="QH105">
        <v>4455</v>
      </c>
      <c r="QI105">
        <v>5215</v>
      </c>
      <c r="QJ105">
        <f t="shared" si="82"/>
        <v>53879</v>
      </c>
      <c r="QK105">
        <v>41806</v>
      </c>
      <c r="QL105">
        <v>41124</v>
      </c>
      <c r="QM105">
        <v>38083</v>
      </c>
      <c r="QN105">
        <v>46014</v>
      </c>
      <c r="QO105">
        <v>47508</v>
      </c>
      <c r="QP105">
        <v>44169</v>
      </c>
      <c r="QQ105">
        <v>46229</v>
      </c>
      <c r="QR105">
        <v>40366</v>
      </c>
      <c r="QS105">
        <v>34513</v>
      </c>
      <c r="QT105">
        <v>43642</v>
      </c>
      <c r="QU105">
        <v>41490</v>
      </c>
      <c r="QV105">
        <v>43403</v>
      </c>
      <c r="QW105">
        <f t="shared" si="83"/>
        <v>508347</v>
      </c>
      <c r="QX105">
        <v>71909</v>
      </c>
      <c r="QY105">
        <v>75005</v>
      </c>
      <c r="QZ105">
        <v>69693</v>
      </c>
      <c r="RA105">
        <v>81917</v>
      </c>
      <c r="RB105">
        <v>82962</v>
      </c>
      <c r="RC105">
        <v>79066</v>
      </c>
      <c r="RD105">
        <v>85330</v>
      </c>
      <c r="RE105">
        <v>74649</v>
      </c>
      <c r="RF105">
        <v>67395</v>
      </c>
      <c r="RG105">
        <v>82009</v>
      </c>
      <c r="RH105">
        <v>82429</v>
      </c>
      <c r="RI105">
        <v>86312</v>
      </c>
      <c r="RJ105">
        <f t="shared" si="84"/>
        <v>938676</v>
      </c>
      <c r="RK105">
        <v>0</v>
      </c>
      <c r="RL105">
        <v>0</v>
      </c>
      <c r="RM105">
        <v>0</v>
      </c>
      <c r="RN105">
        <v>0</v>
      </c>
      <c r="RO105">
        <v>0</v>
      </c>
      <c r="RP105">
        <v>0</v>
      </c>
      <c r="RQ105">
        <v>0</v>
      </c>
      <c r="RR105">
        <v>0</v>
      </c>
      <c r="RS105">
        <v>0</v>
      </c>
      <c r="RT105">
        <v>0</v>
      </c>
      <c r="RU105">
        <v>0</v>
      </c>
      <c r="RV105">
        <v>0</v>
      </c>
      <c r="RW105">
        <f t="shared" si="85"/>
        <v>0</v>
      </c>
      <c r="RX105">
        <v>1481</v>
      </c>
      <c r="RY105">
        <v>1830</v>
      </c>
      <c r="RZ105">
        <v>1540</v>
      </c>
      <c r="SA105">
        <v>1743</v>
      </c>
      <c r="SB105">
        <v>1248</v>
      </c>
      <c r="SC105">
        <v>1965</v>
      </c>
      <c r="SD105">
        <v>2044</v>
      </c>
      <c r="SE105">
        <v>2005</v>
      </c>
      <c r="SF105">
        <v>1249</v>
      </c>
      <c r="SG105">
        <v>1978</v>
      </c>
      <c r="SH105">
        <v>1614</v>
      </c>
      <c r="SI105">
        <v>1796</v>
      </c>
      <c r="SJ105">
        <f t="shared" si="86"/>
        <v>20493</v>
      </c>
      <c r="SK105">
        <v>153</v>
      </c>
      <c r="SL105">
        <v>152</v>
      </c>
      <c r="SM105">
        <v>155</v>
      </c>
      <c r="SN105">
        <v>156</v>
      </c>
      <c r="SO105">
        <v>157</v>
      </c>
      <c r="SP105">
        <v>155</v>
      </c>
      <c r="SQ105">
        <v>154</v>
      </c>
      <c r="SR105">
        <v>153</v>
      </c>
      <c r="SS105">
        <v>148</v>
      </c>
      <c r="ST105">
        <v>117</v>
      </c>
      <c r="SU105">
        <v>120</v>
      </c>
      <c r="SV105">
        <v>126</v>
      </c>
      <c r="SW105">
        <f t="shared" si="87"/>
        <v>1746</v>
      </c>
      <c r="SX105" t="s">
        <v>1464</v>
      </c>
      <c r="SY105">
        <v>3756</v>
      </c>
      <c r="SZ105">
        <v>3978</v>
      </c>
      <c r="TA105">
        <v>4046</v>
      </c>
      <c r="TB105">
        <v>4525</v>
      </c>
      <c r="TC105">
        <v>4057</v>
      </c>
      <c r="TD105">
        <v>4409</v>
      </c>
      <c r="TE105">
        <v>4463</v>
      </c>
      <c r="TF105">
        <v>3921</v>
      </c>
      <c r="TG105">
        <v>3455</v>
      </c>
      <c r="TH105">
        <v>4145</v>
      </c>
      <c r="TI105">
        <v>4004</v>
      </c>
      <c r="TJ105">
        <v>4486</v>
      </c>
      <c r="TK105">
        <f t="shared" si="88"/>
        <v>49245</v>
      </c>
      <c r="TL105">
        <v>0</v>
      </c>
      <c r="TM105">
        <v>0</v>
      </c>
      <c r="TN105">
        <v>0</v>
      </c>
      <c r="TO105">
        <v>0</v>
      </c>
      <c r="TP105">
        <v>0</v>
      </c>
      <c r="TQ105">
        <v>0</v>
      </c>
      <c r="TR105">
        <v>0</v>
      </c>
      <c r="TS105">
        <v>0</v>
      </c>
      <c r="TT105">
        <v>0</v>
      </c>
      <c r="TU105">
        <v>0</v>
      </c>
      <c r="TV105">
        <v>0</v>
      </c>
      <c r="TW105">
        <v>0</v>
      </c>
      <c r="TX105">
        <f t="shared" si="89"/>
        <v>0</v>
      </c>
      <c r="TY105">
        <v>170</v>
      </c>
      <c r="TZ105">
        <v>0</v>
      </c>
      <c r="UA105">
        <v>0</v>
      </c>
      <c r="UB105">
        <v>239</v>
      </c>
    </row>
    <row r="106" spans="1:548" ht="16.5" customHeight="1" x14ac:dyDescent="0.35">
      <c r="A106" t="s">
        <v>1389</v>
      </c>
      <c r="B106" t="s">
        <v>2862</v>
      </c>
      <c r="C106">
        <v>29589</v>
      </c>
      <c r="D106">
        <v>0</v>
      </c>
      <c r="E106">
        <v>0</v>
      </c>
      <c r="F106">
        <v>0</v>
      </c>
      <c r="G106">
        <v>177</v>
      </c>
      <c r="H106">
        <v>198</v>
      </c>
      <c r="I106">
        <v>186</v>
      </c>
      <c r="J106">
        <v>186</v>
      </c>
      <c r="K106">
        <v>161</v>
      </c>
      <c r="L106">
        <v>144</v>
      </c>
      <c r="M106">
        <v>201</v>
      </c>
      <c r="N106">
        <v>211</v>
      </c>
      <c r="O106">
        <v>153</v>
      </c>
      <c r="P106">
        <v>161</v>
      </c>
      <c r="Q106">
        <v>172</v>
      </c>
      <c r="R106">
        <v>209</v>
      </c>
      <c r="S106">
        <f t="shared" si="45"/>
        <v>2159</v>
      </c>
      <c r="T106">
        <v>0</v>
      </c>
      <c r="U106">
        <v>0</v>
      </c>
      <c r="V106">
        <v>0</v>
      </c>
      <c r="W106">
        <v>0</v>
      </c>
      <c r="X106">
        <v>0</v>
      </c>
      <c r="Y106">
        <v>0</v>
      </c>
      <c r="Z106">
        <v>0</v>
      </c>
      <c r="AA106">
        <v>0</v>
      </c>
      <c r="AB106">
        <v>0</v>
      </c>
      <c r="AC106">
        <v>0</v>
      </c>
      <c r="AD106">
        <v>0</v>
      </c>
      <c r="AE106">
        <v>0</v>
      </c>
      <c r="AF106">
        <f t="shared" si="46"/>
        <v>0</v>
      </c>
      <c r="AG106">
        <v>0</v>
      </c>
      <c r="AH106">
        <v>0</v>
      </c>
      <c r="AI106">
        <v>0</v>
      </c>
      <c r="AJ106">
        <v>0</v>
      </c>
      <c r="AK106">
        <v>0</v>
      </c>
      <c r="AL106">
        <v>0</v>
      </c>
      <c r="AM106">
        <v>0</v>
      </c>
      <c r="AN106">
        <v>0</v>
      </c>
      <c r="AO106">
        <v>0</v>
      </c>
      <c r="AP106">
        <v>0</v>
      </c>
      <c r="AQ106">
        <v>0</v>
      </c>
      <c r="AR106">
        <v>0</v>
      </c>
      <c r="AS106">
        <f t="shared" si="47"/>
        <v>0</v>
      </c>
      <c r="AT106">
        <v>0</v>
      </c>
      <c r="AU106">
        <v>0</v>
      </c>
      <c r="AV106">
        <v>0</v>
      </c>
      <c r="AW106">
        <v>0</v>
      </c>
      <c r="AX106">
        <v>0</v>
      </c>
      <c r="AY106">
        <v>0</v>
      </c>
      <c r="AZ106">
        <v>0</v>
      </c>
      <c r="BA106">
        <v>0</v>
      </c>
      <c r="BB106">
        <v>0</v>
      </c>
      <c r="BC106">
        <v>0</v>
      </c>
      <c r="BD106">
        <v>0</v>
      </c>
      <c r="BE106">
        <v>0</v>
      </c>
      <c r="BF106">
        <f t="shared" si="48"/>
        <v>0</v>
      </c>
      <c r="BG106">
        <v>0</v>
      </c>
      <c r="BH106">
        <v>0</v>
      </c>
      <c r="BI106">
        <v>0</v>
      </c>
      <c r="BJ106">
        <v>0</v>
      </c>
      <c r="BK106">
        <v>0</v>
      </c>
      <c r="BL106">
        <v>0</v>
      </c>
      <c r="BM106">
        <v>0</v>
      </c>
      <c r="BN106">
        <v>0</v>
      </c>
      <c r="BO106">
        <v>0</v>
      </c>
      <c r="BP106">
        <v>0</v>
      </c>
      <c r="BQ106">
        <v>0</v>
      </c>
      <c r="BR106">
        <v>0</v>
      </c>
      <c r="BS106">
        <f t="shared" si="49"/>
        <v>0</v>
      </c>
      <c r="BT106">
        <v>0</v>
      </c>
      <c r="BU106">
        <v>0</v>
      </c>
      <c r="BV106">
        <v>0</v>
      </c>
      <c r="BW106">
        <v>0</v>
      </c>
      <c r="BX106">
        <v>0</v>
      </c>
      <c r="BY106">
        <v>0</v>
      </c>
      <c r="BZ106">
        <v>0</v>
      </c>
      <c r="CA106">
        <v>0</v>
      </c>
      <c r="CB106">
        <v>0</v>
      </c>
      <c r="CC106">
        <v>0</v>
      </c>
      <c r="CD106">
        <v>0</v>
      </c>
      <c r="CE106">
        <v>0</v>
      </c>
      <c r="CF106">
        <f t="shared" si="50"/>
        <v>0</v>
      </c>
      <c r="CG106">
        <v>0</v>
      </c>
      <c r="CH106">
        <v>0</v>
      </c>
      <c r="CI106">
        <v>0</v>
      </c>
      <c r="CJ106">
        <v>0</v>
      </c>
      <c r="CK106">
        <v>0</v>
      </c>
      <c r="CL106">
        <v>0</v>
      </c>
      <c r="CM106">
        <v>0</v>
      </c>
      <c r="CN106">
        <v>0</v>
      </c>
      <c r="CO106">
        <v>0</v>
      </c>
      <c r="CP106">
        <v>0</v>
      </c>
      <c r="CQ106">
        <v>0</v>
      </c>
      <c r="CR106">
        <v>0</v>
      </c>
      <c r="CS106">
        <f t="shared" si="51"/>
        <v>0</v>
      </c>
      <c r="CT106">
        <v>0</v>
      </c>
      <c r="CU106">
        <v>0</v>
      </c>
      <c r="CV106">
        <v>0</v>
      </c>
      <c r="CW106">
        <v>0</v>
      </c>
      <c r="CX106">
        <v>0</v>
      </c>
      <c r="CY106">
        <v>0</v>
      </c>
      <c r="CZ106">
        <v>0</v>
      </c>
      <c r="DA106">
        <v>0</v>
      </c>
      <c r="DB106">
        <v>0</v>
      </c>
      <c r="DC106">
        <v>0</v>
      </c>
      <c r="DD106">
        <v>0</v>
      </c>
      <c r="DE106">
        <v>0</v>
      </c>
      <c r="DF106">
        <f t="shared" si="52"/>
        <v>0</v>
      </c>
      <c r="DG106">
        <v>0</v>
      </c>
      <c r="DH106">
        <v>0</v>
      </c>
      <c r="DI106">
        <v>0</v>
      </c>
      <c r="DJ106">
        <v>0</v>
      </c>
      <c r="DK106">
        <v>0</v>
      </c>
      <c r="DL106">
        <v>0</v>
      </c>
      <c r="DM106">
        <v>0</v>
      </c>
      <c r="DN106">
        <v>0</v>
      </c>
      <c r="DO106">
        <v>0</v>
      </c>
      <c r="DP106">
        <v>0</v>
      </c>
      <c r="DQ106">
        <v>0</v>
      </c>
      <c r="DR106">
        <v>0</v>
      </c>
      <c r="DS106">
        <f t="shared" si="53"/>
        <v>0</v>
      </c>
      <c r="DT106">
        <v>0</v>
      </c>
      <c r="DU106">
        <v>0</v>
      </c>
      <c r="DV106">
        <v>0</v>
      </c>
      <c r="DW106">
        <v>0</v>
      </c>
      <c r="DX106">
        <v>0</v>
      </c>
      <c r="DY106">
        <v>0</v>
      </c>
      <c r="DZ106">
        <v>0</v>
      </c>
      <c r="EA106">
        <v>0</v>
      </c>
      <c r="EB106">
        <v>0</v>
      </c>
      <c r="EC106">
        <v>0</v>
      </c>
      <c r="ED106">
        <v>0</v>
      </c>
      <c r="EE106">
        <v>0</v>
      </c>
      <c r="EF106">
        <f t="shared" si="54"/>
        <v>0</v>
      </c>
      <c r="EG106">
        <f t="shared" si="55"/>
        <v>0</v>
      </c>
      <c r="EH106">
        <f t="shared" si="56"/>
        <v>0</v>
      </c>
      <c r="EI106">
        <v>2688</v>
      </c>
      <c r="EJ106">
        <v>3670</v>
      </c>
      <c r="EK106">
        <v>3214</v>
      </c>
      <c r="EL106">
        <v>3172</v>
      </c>
      <c r="EM106">
        <v>2017</v>
      </c>
      <c r="EN106">
        <v>2514</v>
      </c>
      <c r="EO106">
        <v>3156</v>
      </c>
      <c r="EP106">
        <v>3156</v>
      </c>
      <c r="EQ106">
        <v>1989</v>
      </c>
      <c r="ER106">
        <v>2340</v>
      </c>
      <c r="ES106">
        <v>2639</v>
      </c>
      <c r="ET106">
        <v>4044</v>
      </c>
      <c r="EU106">
        <f t="shared" si="57"/>
        <v>34599</v>
      </c>
      <c r="EV106">
        <v>0</v>
      </c>
      <c r="EW106">
        <v>0</v>
      </c>
      <c r="EX106">
        <v>0</v>
      </c>
      <c r="EY106">
        <v>0</v>
      </c>
      <c r="EZ106">
        <v>0</v>
      </c>
      <c r="FA106">
        <v>0</v>
      </c>
      <c r="FB106">
        <v>0</v>
      </c>
      <c r="FC106">
        <v>0</v>
      </c>
      <c r="FD106">
        <v>0</v>
      </c>
      <c r="FE106">
        <v>0</v>
      </c>
      <c r="FF106">
        <v>0</v>
      </c>
      <c r="FG106">
        <v>0</v>
      </c>
      <c r="FH106">
        <f t="shared" si="58"/>
        <v>0</v>
      </c>
      <c r="FI106">
        <v>0</v>
      </c>
      <c r="FJ106">
        <v>0</v>
      </c>
      <c r="FK106">
        <v>0</v>
      </c>
      <c r="FL106">
        <v>0</v>
      </c>
      <c r="FM106">
        <v>0</v>
      </c>
      <c r="FN106">
        <v>0</v>
      </c>
      <c r="FO106">
        <v>0</v>
      </c>
      <c r="FP106">
        <v>0</v>
      </c>
      <c r="FQ106">
        <v>0</v>
      </c>
      <c r="FR106">
        <v>0</v>
      </c>
      <c r="FS106">
        <v>0</v>
      </c>
      <c r="FT106">
        <v>0</v>
      </c>
      <c r="FU106">
        <f t="shared" si="59"/>
        <v>0</v>
      </c>
      <c r="FV106">
        <v>0</v>
      </c>
      <c r="FW106">
        <v>0</v>
      </c>
      <c r="FX106">
        <v>0</v>
      </c>
      <c r="FY106">
        <v>0</v>
      </c>
      <c r="FZ106">
        <v>0</v>
      </c>
      <c r="GA106">
        <v>0</v>
      </c>
      <c r="GB106">
        <v>0</v>
      </c>
      <c r="GC106">
        <v>0</v>
      </c>
      <c r="GD106">
        <v>0</v>
      </c>
      <c r="GE106">
        <v>0</v>
      </c>
      <c r="GF106">
        <v>0</v>
      </c>
      <c r="GG106">
        <v>0</v>
      </c>
      <c r="GH106">
        <f t="shared" si="60"/>
        <v>0</v>
      </c>
      <c r="GI106">
        <v>0</v>
      </c>
      <c r="GJ106">
        <v>0</v>
      </c>
      <c r="GK106">
        <v>0</v>
      </c>
      <c r="GL106">
        <v>0</v>
      </c>
      <c r="GM106">
        <v>0</v>
      </c>
      <c r="GN106">
        <v>0</v>
      </c>
      <c r="GO106">
        <v>0</v>
      </c>
      <c r="GP106">
        <v>0</v>
      </c>
      <c r="GQ106">
        <v>0</v>
      </c>
      <c r="GR106">
        <v>0</v>
      </c>
      <c r="GS106">
        <v>0</v>
      </c>
      <c r="GT106">
        <v>0</v>
      </c>
      <c r="GU106">
        <f t="shared" si="61"/>
        <v>0</v>
      </c>
      <c r="GV106">
        <v>0</v>
      </c>
      <c r="GW106">
        <v>0</v>
      </c>
      <c r="GX106">
        <v>0</v>
      </c>
      <c r="GY106">
        <v>0</v>
      </c>
      <c r="GZ106">
        <v>0</v>
      </c>
      <c r="HA106">
        <v>0</v>
      </c>
      <c r="HB106">
        <v>0</v>
      </c>
      <c r="HC106">
        <v>0</v>
      </c>
      <c r="HD106">
        <v>0</v>
      </c>
      <c r="HE106">
        <v>0</v>
      </c>
      <c r="HF106">
        <v>0</v>
      </c>
      <c r="HG106">
        <v>0</v>
      </c>
      <c r="HH106">
        <f t="shared" si="62"/>
        <v>0</v>
      </c>
      <c r="HI106">
        <v>0</v>
      </c>
      <c r="HJ106">
        <v>0</v>
      </c>
      <c r="HK106">
        <v>0</v>
      </c>
      <c r="HL106">
        <v>0</v>
      </c>
      <c r="HM106">
        <v>0</v>
      </c>
      <c r="HN106">
        <v>0</v>
      </c>
      <c r="HO106">
        <v>0</v>
      </c>
      <c r="HP106">
        <v>0</v>
      </c>
      <c r="HQ106">
        <v>0</v>
      </c>
      <c r="HR106">
        <v>0</v>
      </c>
      <c r="HS106">
        <v>0</v>
      </c>
      <c r="HT106">
        <v>0</v>
      </c>
      <c r="HU106">
        <f t="shared" si="63"/>
        <v>0</v>
      </c>
      <c r="HV106">
        <v>0</v>
      </c>
      <c r="HW106">
        <v>0</v>
      </c>
      <c r="HX106">
        <v>0</v>
      </c>
      <c r="HY106">
        <v>0</v>
      </c>
      <c r="HZ106">
        <v>0</v>
      </c>
      <c r="IA106">
        <v>0</v>
      </c>
      <c r="IB106">
        <v>0</v>
      </c>
      <c r="IC106">
        <v>0</v>
      </c>
      <c r="ID106">
        <v>0</v>
      </c>
      <c r="IE106">
        <v>0</v>
      </c>
      <c r="IF106">
        <v>0</v>
      </c>
      <c r="IG106">
        <v>0</v>
      </c>
      <c r="IH106">
        <f t="shared" si="64"/>
        <v>0</v>
      </c>
      <c r="II106">
        <f t="shared" si="65"/>
        <v>0</v>
      </c>
      <c r="IJ106">
        <f t="shared" si="66"/>
        <v>0</v>
      </c>
      <c r="IK106">
        <v>39082</v>
      </c>
      <c r="IL106">
        <v>41091</v>
      </c>
      <c r="IM106">
        <v>39003</v>
      </c>
      <c r="IN106">
        <v>48081</v>
      </c>
      <c r="IO106">
        <v>48185</v>
      </c>
      <c r="IP106">
        <v>42389</v>
      </c>
      <c r="IQ106">
        <v>45346</v>
      </c>
      <c r="IR106">
        <v>41760</v>
      </c>
      <c r="IS106">
        <v>35260</v>
      </c>
      <c r="IT106">
        <v>42630</v>
      </c>
      <c r="IU106">
        <v>40307</v>
      </c>
      <c r="IV106">
        <v>43494</v>
      </c>
      <c r="IW106">
        <f t="shared" si="67"/>
        <v>506628</v>
      </c>
      <c r="IX106">
        <v>19391</v>
      </c>
      <c r="IY106">
        <v>19825</v>
      </c>
      <c r="IZ106">
        <v>18468</v>
      </c>
      <c r="JA106">
        <v>25242</v>
      </c>
      <c r="JB106">
        <v>25269</v>
      </c>
      <c r="JC106">
        <v>21045</v>
      </c>
      <c r="JD106">
        <v>22955</v>
      </c>
      <c r="JE106">
        <v>20782</v>
      </c>
      <c r="JF106">
        <v>17366</v>
      </c>
      <c r="JG106">
        <v>21046</v>
      </c>
      <c r="JH106">
        <v>20340</v>
      </c>
      <c r="JI106">
        <v>21556</v>
      </c>
      <c r="JJ106">
        <f t="shared" si="68"/>
        <v>253285</v>
      </c>
      <c r="JK106">
        <v>1220</v>
      </c>
      <c r="JL106">
        <v>1295</v>
      </c>
      <c r="JM106">
        <v>1232</v>
      </c>
      <c r="JN106">
        <v>1597</v>
      </c>
      <c r="JO106">
        <v>1537</v>
      </c>
      <c r="JP106">
        <v>1433</v>
      </c>
      <c r="JQ106">
        <v>1401</v>
      </c>
      <c r="JR106">
        <v>1397</v>
      </c>
      <c r="JS106">
        <v>1036</v>
      </c>
      <c r="JT106">
        <v>1273</v>
      </c>
      <c r="JU106">
        <v>1211</v>
      </c>
      <c r="JV106">
        <v>1424</v>
      </c>
      <c r="JW106">
        <f t="shared" si="69"/>
        <v>16056</v>
      </c>
      <c r="JX106">
        <v>18196</v>
      </c>
      <c r="JY106">
        <v>19731</v>
      </c>
      <c r="JZ106">
        <v>19092</v>
      </c>
      <c r="KA106">
        <v>21000</v>
      </c>
      <c r="KB106">
        <v>21162</v>
      </c>
      <c r="KC106">
        <v>19700</v>
      </c>
      <c r="KD106">
        <v>20761</v>
      </c>
      <c r="KE106">
        <v>19353</v>
      </c>
      <c r="KF106">
        <v>16659</v>
      </c>
      <c r="KG106">
        <v>20101</v>
      </c>
      <c r="KH106">
        <v>18571</v>
      </c>
      <c r="KI106">
        <v>20285</v>
      </c>
      <c r="KJ106">
        <f t="shared" si="70"/>
        <v>234611</v>
      </c>
      <c r="KK106">
        <v>206</v>
      </c>
      <c r="KL106">
        <v>181</v>
      </c>
      <c r="KM106">
        <v>139</v>
      </c>
      <c r="KN106">
        <v>162</v>
      </c>
      <c r="KO106">
        <v>155</v>
      </c>
      <c r="KP106">
        <v>145</v>
      </c>
      <c r="KQ106">
        <v>157</v>
      </c>
      <c r="KR106">
        <v>144</v>
      </c>
      <c r="KS106">
        <v>142</v>
      </c>
      <c r="KT106">
        <v>126</v>
      </c>
      <c r="KU106">
        <v>127</v>
      </c>
      <c r="KV106">
        <v>152</v>
      </c>
      <c r="KW106">
        <f t="shared" si="71"/>
        <v>1836</v>
      </c>
      <c r="KX106">
        <v>25</v>
      </c>
      <c r="KY106">
        <v>25</v>
      </c>
      <c r="KZ106">
        <v>22</v>
      </c>
      <c r="LA106">
        <v>29</v>
      </c>
      <c r="LB106">
        <v>31</v>
      </c>
      <c r="LC106">
        <v>20</v>
      </c>
      <c r="LD106">
        <v>24</v>
      </c>
      <c r="LE106">
        <v>17</v>
      </c>
      <c r="LF106">
        <v>21</v>
      </c>
      <c r="LG106">
        <v>17</v>
      </c>
      <c r="LH106">
        <v>17</v>
      </c>
      <c r="LI106">
        <v>23</v>
      </c>
      <c r="LJ106">
        <f t="shared" si="72"/>
        <v>271</v>
      </c>
      <c r="LK106">
        <v>0</v>
      </c>
      <c r="LL106">
        <v>1</v>
      </c>
      <c r="LM106">
        <v>0</v>
      </c>
      <c r="LN106">
        <v>0</v>
      </c>
      <c r="LO106">
        <v>0</v>
      </c>
      <c r="LP106">
        <v>0</v>
      </c>
      <c r="LQ106">
        <v>0</v>
      </c>
      <c r="LR106">
        <v>0</v>
      </c>
      <c r="LS106">
        <v>0</v>
      </c>
      <c r="LT106">
        <v>0</v>
      </c>
      <c r="LU106">
        <v>0</v>
      </c>
      <c r="LV106">
        <v>0</v>
      </c>
      <c r="LW106">
        <f t="shared" si="73"/>
        <v>1</v>
      </c>
      <c r="LX106">
        <v>181</v>
      </c>
      <c r="LY106">
        <v>155</v>
      </c>
      <c r="LZ106">
        <v>116</v>
      </c>
      <c r="MA106">
        <v>133</v>
      </c>
      <c r="MB106">
        <v>124</v>
      </c>
      <c r="MC106">
        <v>125</v>
      </c>
      <c r="MD106">
        <v>133</v>
      </c>
      <c r="ME106">
        <v>127</v>
      </c>
      <c r="MF106">
        <v>121</v>
      </c>
      <c r="MG106">
        <v>109</v>
      </c>
      <c r="MH106">
        <v>110</v>
      </c>
      <c r="MI106">
        <v>129</v>
      </c>
      <c r="MJ106">
        <f t="shared" si="74"/>
        <v>1563</v>
      </c>
      <c r="MK106">
        <v>635</v>
      </c>
      <c r="ML106">
        <v>1399</v>
      </c>
      <c r="MM106">
        <v>1421</v>
      </c>
      <c r="MN106">
        <v>1547</v>
      </c>
      <c r="MO106">
        <v>1919</v>
      </c>
      <c r="MP106">
        <v>1563</v>
      </c>
      <c r="MQ106">
        <v>1771</v>
      </c>
      <c r="MR106">
        <v>1499</v>
      </c>
      <c r="MS106">
        <v>1846</v>
      </c>
      <c r="MT106">
        <v>1894</v>
      </c>
      <c r="MU106">
        <v>1680</v>
      </c>
      <c r="MV106">
        <v>1763</v>
      </c>
      <c r="MW106">
        <f t="shared" si="75"/>
        <v>18937</v>
      </c>
      <c r="MX106">
        <v>133</v>
      </c>
      <c r="MY106">
        <v>166</v>
      </c>
      <c r="MZ106">
        <v>131</v>
      </c>
      <c r="NA106">
        <v>184</v>
      </c>
      <c r="NB106">
        <v>188</v>
      </c>
      <c r="NC106">
        <v>124</v>
      </c>
      <c r="ND106">
        <v>159</v>
      </c>
      <c r="NE106">
        <v>135</v>
      </c>
      <c r="NF106">
        <v>179</v>
      </c>
      <c r="NG106">
        <v>166</v>
      </c>
      <c r="NH106">
        <v>146</v>
      </c>
      <c r="NI106">
        <v>142</v>
      </c>
      <c r="NJ106">
        <f t="shared" si="76"/>
        <v>1853</v>
      </c>
      <c r="NK106">
        <v>82</v>
      </c>
      <c r="NL106">
        <v>61</v>
      </c>
      <c r="NM106">
        <v>88</v>
      </c>
      <c r="NN106">
        <v>99</v>
      </c>
      <c r="NO106">
        <v>132</v>
      </c>
      <c r="NP106">
        <v>88</v>
      </c>
      <c r="NQ106">
        <v>94</v>
      </c>
      <c r="NR106">
        <v>101</v>
      </c>
      <c r="NS106">
        <v>90</v>
      </c>
      <c r="NT106">
        <v>90</v>
      </c>
      <c r="NU106">
        <v>60</v>
      </c>
      <c r="NV106">
        <v>72</v>
      </c>
      <c r="NW106">
        <f t="shared" si="77"/>
        <v>1057</v>
      </c>
      <c r="NX106">
        <v>1351</v>
      </c>
      <c r="NY106">
        <v>1161</v>
      </c>
      <c r="NZ106">
        <v>1199</v>
      </c>
      <c r="OA106">
        <v>1256</v>
      </c>
      <c r="OB106">
        <v>1505</v>
      </c>
      <c r="OC106">
        <v>1296</v>
      </c>
      <c r="OD106">
        <v>1438</v>
      </c>
      <c r="OE106">
        <v>1201</v>
      </c>
      <c r="OF106">
        <v>1488</v>
      </c>
      <c r="OG106">
        <v>1612</v>
      </c>
      <c r="OH106">
        <v>1417</v>
      </c>
      <c r="OI106">
        <v>1530</v>
      </c>
      <c r="OJ106">
        <f t="shared" si="78"/>
        <v>16454</v>
      </c>
      <c r="OK106">
        <v>1840</v>
      </c>
      <c r="OL106">
        <v>1627</v>
      </c>
      <c r="OM106">
        <v>1645</v>
      </c>
      <c r="ON106">
        <v>1973</v>
      </c>
      <c r="OO106">
        <v>2056</v>
      </c>
      <c r="OP106">
        <v>1830</v>
      </c>
      <c r="OQ106">
        <v>1941</v>
      </c>
      <c r="OR106">
        <v>1879</v>
      </c>
      <c r="OS106">
        <v>1762</v>
      </c>
      <c r="OT106">
        <v>2183</v>
      </c>
      <c r="OU106">
        <v>1916</v>
      </c>
      <c r="OV106">
        <v>2148</v>
      </c>
      <c r="OW106">
        <f t="shared" si="79"/>
        <v>22800</v>
      </c>
      <c r="OX106">
        <v>376</v>
      </c>
      <c r="OY106">
        <v>343</v>
      </c>
      <c r="OZ106">
        <v>355</v>
      </c>
      <c r="PA106">
        <v>420</v>
      </c>
      <c r="PB106">
        <v>451</v>
      </c>
      <c r="PC106">
        <v>349</v>
      </c>
      <c r="PD106">
        <v>387</v>
      </c>
      <c r="PE106">
        <v>396</v>
      </c>
      <c r="PF106">
        <v>334</v>
      </c>
      <c r="PG106">
        <v>337</v>
      </c>
      <c r="PH106">
        <v>266</v>
      </c>
      <c r="PI106">
        <v>274</v>
      </c>
      <c r="PJ106">
        <f t="shared" si="80"/>
        <v>4288</v>
      </c>
      <c r="PK106">
        <v>97</v>
      </c>
      <c r="PL106">
        <v>84</v>
      </c>
      <c r="PM106">
        <v>96</v>
      </c>
      <c r="PN106">
        <v>91</v>
      </c>
      <c r="PO106">
        <v>114</v>
      </c>
      <c r="PP106">
        <v>106</v>
      </c>
      <c r="PQ106">
        <v>104</v>
      </c>
      <c r="PR106">
        <v>91</v>
      </c>
      <c r="PS106">
        <v>93</v>
      </c>
      <c r="PT106">
        <v>105</v>
      </c>
      <c r="PU106">
        <v>97</v>
      </c>
      <c r="PV106">
        <v>119</v>
      </c>
      <c r="PW106">
        <f t="shared" si="81"/>
        <v>1197</v>
      </c>
      <c r="PX106">
        <v>1367</v>
      </c>
      <c r="PY106">
        <v>1204</v>
      </c>
      <c r="PZ106">
        <v>1246</v>
      </c>
      <c r="QA106">
        <v>1357</v>
      </c>
      <c r="QB106">
        <v>1456</v>
      </c>
      <c r="QC106">
        <v>1270</v>
      </c>
      <c r="QD106">
        <v>1370</v>
      </c>
      <c r="QE106">
        <v>1363</v>
      </c>
      <c r="QF106">
        <v>1298</v>
      </c>
      <c r="QG106">
        <v>1657</v>
      </c>
      <c r="QH106">
        <v>1471</v>
      </c>
      <c r="QI106">
        <v>1659</v>
      </c>
      <c r="QJ106">
        <f t="shared" si="82"/>
        <v>16718</v>
      </c>
      <c r="QK106">
        <v>39164</v>
      </c>
      <c r="QL106">
        <v>41377</v>
      </c>
      <c r="QM106">
        <v>36463</v>
      </c>
      <c r="QN106">
        <v>42198</v>
      </c>
      <c r="QO106">
        <v>39380</v>
      </c>
      <c r="QP106">
        <v>41705</v>
      </c>
      <c r="QQ106">
        <v>40318</v>
      </c>
      <c r="QR106">
        <v>38833</v>
      </c>
      <c r="QS106">
        <v>31733</v>
      </c>
      <c r="QT106">
        <v>39533</v>
      </c>
      <c r="QU106">
        <v>37339</v>
      </c>
      <c r="QV106">
        <v>44462</v>
      </c>
      <c r="QW106">
        <f t="shared" si="83"/>
        <v>472505</v>
      </c>
      <c r="QX106">
        <v>0</v>
      </c>
      <c r="QY106">
        <v>0</v>
      </c>
      <c r="QZ106">
        <v>0</v>
      </c>
      <c r="RA106">
        <v>0</v>
      </c>
      <c r="RB106">
        <v>0</v>
      </c>
      <c r="RC106">
        <v>0</v>
      </c>
      <c r="RD106">
        <v>0</v>
      </c>
      <c r="RE106">
        <v>0</v>
      </c>
      <c r="RF106">
        <v>0</v>
      </c>
      <c r="RG106">
        <v>0</v>
      </c>
      <c r="RH106">
        <v>0</v>
      </c>
      <c r="RI106">
        <v>0</v>
      </c>
      <c r="RJ106">
        <f t="shared" si="84"/>
        <v>0</v>
      </c>
      <c r="RK106">
        <v>0</v>
      </c>
      <c r="RL106">
        <v>0</v>
      </c>
      <c r="RM106">
        <v>0</v>
      </c>
      <c r="RN106">
        <v>0</v>
      </c>
      <c r="RO106">
        <v>0</v>
      </c>
      <c r="RP106">
        <v>0</v>
      </c>
      <c r="RQ106">
        <v>0</v>
      </c>
      <c r="RR106">
        <v>64</v>
      </c>
      <c r="RS106">
        <v>36</v>
      </c>
      <c r="RT106">
        <v>79</v>
      </c>
      <c r="RU106">
        <v>54</v>
      </c>
      <c r="RV106">
        <v>69</v>
      </c>
      <c r="RW106">
        <f t="shared" si="85"/>
        <v>302</v>
      </c>
      <c r="RX106">
        <v>0</v>
      </c>
      <c r="RY106">
        <v>0</v>
      </c>
      <c r="RZ106">
        <v>0</v>
      </c>
      <c r="SA106">
        <v>0</v>
      </c>
      <c r="SB106">
        <v>0</v>
      </c>
      <c r="SC106">
        <v>0</v>
      </c>
      <c r="SD106">
        <v>0</v>
      </c>
      <c r="SE106">
        <v>0</v>
      </c>
      <c r="SF106">
        <v>0</v>
      </c>
      <c r="SG106">
        <v>0</v>
      </c>
      <c r="SH106">
        <v>0</v>
      </c>
      <c r="SI106">
        <v>0</v>
      </c>
      <c r="SJ106">
        <f t="shared" si="86"/>
        <v>0</v>
      </c>
      <c r="SK106">
        <v>825</v>
      </c>
      <c r="SL106">
        <v>676</v>
      </c>
      <c r="SM106">
        <v>643</v>
      </c>
      <c r="SN106">
        <v>746</v>
      </c>
      <c r="SO106">
        <v>410</v>
      </c>
      <c r="SP106">
        <v>771</v>
      </c>
      <c r="SQ106">
        <v>573</v>
      </c>
      <c r="SR106">
        <v>715</v>
      </c>
      <c r="SS106">
        <v>519</v>
      </c>
      <c r="ST106">
        <v>906</v>
      </c>
      <c r="SU106">
        <v>611</v>
      </c>
      <c r="SV106">
        <v>800</v>
      </c>
      <c r="SW106">
        <f t="shared" si="87"/>
        <v>8195</v>
      </c>
      <c r="SX106" s="1" t="s">
        <v>1390</v>
      </c>
      <c r="SY106">
        <v>2065</v>
      </c>
      <c r="SZ106">
        <v>2667</v>
      </c>
      <c r="TA106">
        <v>3089</v>
      </c>
      <c r="TB106">
        <v>2952</v>
      </c>
      <c r="TC106">
        <v>1110</v>
      </c>
      <c r="TD106">
        <v>3273</v>
      </c>
      <c r="TE106">
        <v>3016</v>
      </c>
      <c r="TF106">
        <v>3054</v>
      </c>
      <c r="TG106">
        <v>2675</v>
      </c>
      <c r="TH106">
        <v>3703</v>
      </c>
      <c r="TI106">
        <v>3013</v>
      </c>
      <c r="TJ106">
        <v>3463</v>
      </c>
      <c r="TK106">
        <f t="shared" si="88"/>
        <v>34080</v>
      </c>
      <c r="TL106">
        <v>0</v>
      </c>
      <c r="TM106">
        <v>0</v>
      </c>
      <c r="TN106">
        <v>0</v>
      </c>
      <c r="TO106">
        <v>0</v>
      </c>
      <c r="TP106">
        <v>0</v>
      </c>
      <c r="TQ106">
        <v>0</v>
      </c>
      <c r="TR106">
        <v>0</v>
      </c>
      <c r="TS106">
        <v>0</v>
      </c>
      <c r="TT106">
        <v>0</v>
      </c>
      <c r="TU106">
        <v>0</v>
      </c>
      <c r="TV106">
        <v>0</v>
      </c>
      <c r="TW106">
        <v>0</v>
      </c>
      <c r="TX106">
        <f t="shared" si="89"/>
        <v>0</v>
      </c>
      <c r="TY106">
        <v>90</v>
      </c>
      <c r="TZ106">
        <v>0</v>
      </c>
      <c r="UA106">
        <v>0</v>
      </c>
      <c r="UB106">
        <v>0</v>
      </c>
    </row>
    <row r="107" spans="1:548" ht="16.5" customHeight="1" x14ac:dyDescent="0.35">
      <c r="A107" t="s">
        <v>1450</v>
      </c>
      <c r="B107" t="s">
        <v>2869</v>
      </c>
      <c r="C107">
        <v>17397</v>
      </c>
      <c r="D107">
        <v>6351</v>
      </c>
      <c r="E107">
        <v>836</v>
      </c>
      <c r="F107">
        <v>10210</v>
      </c>
      <c r="G107">
        <v>135</v>
      </c>
      <c r="H107">
        <v>131</v>
      </c>
      <c r="I107">
        <v>167</v>
      </c>
      <c r="J107">
        <v>158</v>
      </c>
      <c r="K107">
        <v>120</v>
      </c>
      <c r="L107">
        <v>116</v>
      </c>
      <c r="M107">
        <v>154</v>
      </c>
      <c r="N107">
        <v>158</v>
      </c>
      <c r="O107">
        <v>98</v>
      </c>
      <c r="P107">
        <v>134</v>
      </c>
      <c r="Q107">
        <v>164</v>
      </c>
      <c r="R107">
        <v>166</v>
      </c>
      <c r="S107">
        <f t="shared" si="45"/>
        <v>1701</v>
      </c>
      <c r="T107">
        <v>116</v>
      </c>
      <c r="U107">
        <v>113</v>
      </c>
      <c r="V107">
        <v>139</v>
      </c>
      <c r="W107">
        <v>139</v>
      </c>
      <c r="X107">
        <v>107</v>
      </c>
      <c r="Y107">
        <v>97</v>
      </c>
      <c r="Z107">
        <v>126</v>
      </c>
      <c r="AA107">
        <v>139</v>
      </c>
      <c r="AB107">
        <v>80</v>
      </c>
      <c r="AC107">
        <v>122</v>
      </c>
      <c r="AD107">
        <v>132</v>
      </c>
      <c r="AE107">
        <v>141</v>
      </c>
      <c r="AF107">
        <f t="shared" si="46"/>
        <v>1451</v>
      </c>
      <c r="AG107">
        <v>0</v>
      </c>
      <c r="AH107">
        <v>0</v>
      </c>
      <c r="AI107">
        <v>0</v>
      </c>
      <c r="AJ107">
        <v>0</v>
      </c>
      <c r="AK107">
        <v>0</v>
      </c>
      <c r="AL107">
        <v>0</v>
      </c>
      <c r="AM107">
        <v>0</v>
      </c>
      <c r="AN107">
        <v>0</v>
      </c>
      <c r="AO107">
        <v>0</v>
      </c>
      <c r="AP107">
        <v>0</v>
      </c>
      <c r="AQ107">
        <v>0</v>
      </c>
      <c r="AR107">
        <v>0</v>
      </c>
      <c r="AS107">
        <f t="shared" si="47"/>
        <v>0</v>
      </c>
      <c r="AT107">
        <v>19</v>
      </c>
      <c r="AU107">
        <v>17</v>
      </c>
      <c r="AV107">
        <v>27</v>
      </c>
      <c r="AW107">
        <v>17</v>
      </c>
      <c r="AX107">
        <v>10</v>
      </c>
      <c r="AY107">
        <v>17</v>
      </c>
      <c r="AZ107">
        <v>25</v>
      </c>
      <c r="BA107">
        <v>18</v>
      </c>
      <c r="BB107">
        <v>17</v>
      </c>
      <c r="BC107">
        <v>11</v>
      </c>
      <c r="BD107">
        <v>24</v>
      </c>
      <c r="BE107">
        <v>23</v>
      </c>
      <c r="BF107">
        <f t="shared" si="48"/>
        <v>225</v>
      </c>
      <c r="BG107">
        <v>0</v>
      </c>
      <c r="BH107">
        <v>1</v>
      </c>
      <c r="BI107">
        <v>1</v>
      </c>
      <c r="BJ107">
        <v>2</v>
      </c>
      <c r="BK107">
        <v>3</v>
      </c>
      <c r="BL107">
        <v>2</v>
      </c>
      <c r="BM107">
        <v>3</v>
      </c>
      <c r="BN107">
        <v>1</v>
      </c>
      <c r="BO107">
        <v>1</v>
      </c>
      <c r="BP107">
        <v>1</v>
      </c>
      <c r="BQ107">
        <v>8</v>
      </c>
      <c r="BR107">
        <v>2</v>
      </c>
      <c r="BS107">
        <f t="shared" si="49"/>
        <v>25</v>
      </c>
      <c r="BT107">
        <v>1</v>
      </c>
      <c r="BU107">
        <v>1</v>
      </c>
      <c r="BV107">
        <v>1</v>
      </c>
      <c r="BW107">
        <v>1</v>
      </c>
      <c r="BX107">
        <v>1</v>
      </c>
      <c r="BY107">
        <v>1</v>
      </c>
      <c r="BZ107">
        <v>1</v>
      </c>
      <c r="CA107">
        <v>1</v>
      </c>
      <c r="CB107">
        <v>1</v>
      </c>
      <c r="CC107">
        <v>1</v>
      </c>
      <c r="CD107">
        <v>1</v>
      </c>
      <c r="CE107">
        <v>1</v>
      </c>
      <c r="CF107">
        <f t="shared" si="50"/>
        <v>12</v>
      </c>
      <c r="CG107">
        <v>0</v>
      </c>
      <c r="CH107">
        <v>0</v>
      </c>
      <c r="CI107">
        <v>0</v>
      </c>
      <c r="CJ107">
        <v>0</v>
      </c>
      <c r="CK107">
        <v>0</v>
      </c>
      <c r="CL107">
        <v>0</v>
      </c>
      <c r="CM107">
        <v>0</v>
      </c>
      <c r="CN107">
        <v>0</v>
      </c>
      <c r="CO107">
        <v>0</v>
      </c>
      <c r="CP107">
        <v>0</v>
      </c>
      <c r="CQ107">
        <v>0</v>
      </c>
      <c r="CR107">
        <v>0</v>
      </c>
      <c r="CS107">
        <f t="shared" si="51"/>
        <v>0</v>
      </c>
      <c r="CT107">
        <v>0</v>
      </c>
      <c r="CU107">
        <v>0</v>
      </c>
      <c r="CV107">
        <v>0</v>
      </c>
      <c r="CW107">
        <v>0</v>
      </c>
      <c r="CX107">
        <v>0</v>
      </c>
      <c r="CY107">
        <v>0</v>
      </c>
      <c r="CZ107">
        <v>0</v>
      </c>
      <c r="DA107">
        <v>0</v>
      </c>
      <c r="DB107">
        <v>0</v>
      </c>
      <c r="DC107">
        <v>0</v>
      </c>
      <c r="DD107">
        <v>0</v>
      </c>
      <c r="DE107">
        <v>0</v>
      </c>
      <c r="DF107">
        <f t="shared" si="52"/>
        <v>0</v>
      </c>
      <c r="DG107">
        <v>1</v>
      </c>
      <c r="DH107">
        <v>1</v>
      </c>
      <c r="DI107">
        <v>1</v>
      </c>
      <c r="DJ107">
        <v>1</v>
      </c>
      <c r="DK107">
        <v>1</v>
      </c>
      <c r="DL107">
        <v>1</v>
      </c>
      <c r="DM107">
        <v>1</v>
      </c>
      <c r="DN107">
        <v>1</v>
      </c>
      <c r="DO107">
        <v>1</v>
      </c>
      <c r="DP107">
        <v>1</v>
      </c>
      <c r="DQ107">
        <v>1</v>
      </c>
      <c r="DR107">
        <v>1</v>
      </c>
      <c r="DS107">
        <f t="shared" si="53"/>
        <v>12</v>
      </c>
      <c r="DT107">
        <v>0</v>
      </c>
      <c r="DU107">
        <v>0</v>
      </c>
      <c r="DV107">
        <v>0</v>
      </c>
      <c r="DW107">
        <v>0</v>
      </c>
      <c r="DX107">
        <v>0</v>
      </c>
      <c r="DY107">
        <v>0</v>
      </c>
      <c r="DZ107">
        <v>0</v>
      </c>
      <c r="EA107">
        <v>0</v>
      </c>
      <c r="EB107">
        <v>0</v>
      </c>
      <c r="EC107">
        <v>0</v>
      </c>
      <c r="ED107">
        <v>0</v>
      </c>
      <c r="EE107">
        <v>0</v>
      </c>
      <c r="EF107">
        <f t="shared" si="54"/>
        <v>0</v>
      </c>
      <c r="EG107">
        <f t="shared" si="55"/>
        <v>1701</v>
      </c>
      <c r="EH107">
        <f t="shared" si="56"/>
        <v>12</v>
      </c>
      <c r="EI107">
        <v>2117</v>
      </c>
      <c r="EJ107">
        <v>3616</v>
      </c>
      <c r="EK107">
        <v>2974</v>
      </c>
      <c r="EL107">
        <v>4653</v>
      </c>
      <c r="EM107">
        <v>3379</v>
      </c>
      <c r="EN107">
        <v>2139</v>
      </c>
      <c r="EO107">
        <v>3108</v>
      </c>
      <c r="EP107">
        <v>3301</v>
      </c>
      <c r="EQ107">
        <v>1736</v>
      </c>
      <c r="ER107">
        <v>2722</v>
      </c>
      <c r="ES107">
        <v>3477</v>
      </c>
      <c r="ET107">
        <v>3554</v>
      </c>
      <c r="EU107">
        <f t="shared" si="57"/>
        <v>36776</v>
      </c>
      <c r="EV107">
        <v>1175</v>
      </c>
      <c r="EW107">
        <v>1770</v>
      </c>
      <c r="EX107">
        <v>1712</v>
      </c>
      <c r="EY107">
        <v>3073</v>
      </c>
      <c r="EZ107">
        <v>1486</v>
      </c>
      <c r="FA107">
        <v>1056</v>
      </c>
      <c r="FB107">
        <v>1644</v>
      </c>
      <c r="FC107">
        <v>1957</v>
      </c>
      <c r="FD107">
        <v>848</v>
      </c>
      <c r="FE107">
        <v>1605</v>
      </c>
      <c r="FF107">
        <v>1971</v>
      </c>
      <c r="FG107">
        <v>2060</v>
      </c>
      <c r="FH107">
        <f t="shared" si="58"/>
        <v>20357</v>
      </c>
      <c r="FI107">
        <v>0</v>
      </c>
      <c r="FJ107">
        <v>0</v>
      </c>
      <c r="FK107">
        <v>0</v>
      </c>
      <c r="FL107">
        <v>0</v>
      </c>
      <c r="FM107">
        <v>0</v>
      </c>
      <c r="FN107">
        <v>0</v>
      </c>
      <c r="FO107">
        <v>0</v>
      </c>
      <c r="FP107">
        <v>0</v>
      </c>
      <c r="FQ107">
        <v>0</v>
      </c>
      <c r="FR107">
        <v>0</v>
      </c>
      <c r="FS107">
        <v>0</v>
      </c>
      <c r="FT107">
        <v>0</v>
      </c>
      <c r="FU107">
        <f t="shared" si="59"/>
        <v>0</v>
      </c>
      <c r="FV107">
        <v>942</v>
      </c>
      <c r="FW107">
        <v>1846</v>
      </c>
      <c r="FX107">
        <v>1262</v>
      </c>
      <c r="FY107">
        <v>1580</v>
      </c>
      <c r="FZ107">
        <v>1893</v>
      </c>
      <c r="GA107">
        <v>1083</v>
      </c>
      <c r="GB107">
        <v>1464</v>
      </c>
      <c r="GC107">
        <v>1344</v>
      </c>
      <c r="GD107">
        <v>888</v>
      </c>
      <c r="GE107">
        <v>1117</v>
      </c>
      <c r="GF107">
        <v>1506</v>
      </c>
      <c r="GG107">
        <v>1494</v>
      </c>
      <c r="GH107">
        <f t="shared" si="60"/>
        <v>16419</v>
      </c>
      <c r="GI107">
        <v>7</v>
      </c>
      <c r="GJ107">
        <v>8</v>
      </c>
      <c r="GK107">
        <v>6</v>
      </c>
      <c r="GL107">
        <v>9</v>
      </c>
      <c r="GM107">
        <v>7</v>
      </c>
      <c r="GN107">
        <v>9</v>
      </c>
      <c r="GO107">
        <v>8</v>
      </c>
      <c r="GP107">
        <v>7</v>
      </c>
      <c r="GQ107">
        <v>9</v>
      </c>
      <c r="GR107">
        <v>6</v>
      </c>
      <c r="GS107">
        <v>8</v>
      </c>
      <c r="GT107">
        <v>7</v>
      </c>
      <c r="GU107">
        <f t="shared" si="61"/>
        <v>91</v>
      </c>
      <c r="GV107">
        <v>0</v>
      </c>
      <c r="GW107">
        <v>0</v>
      </c>
      <c r="GX107">
        <v>0</v>
      </c>
      <c r="GY107">
        <v>0</v>
      </c>
      <c r="GZ107">
        <v>0</v>
      </c>
      <c r="HA107">
        <v>0</v>
      </c>
      <c r="HB107">
        <v>0</v>
      </c>
      <c r="HC107">
        <v>0</v>
      </c>
      <c r="HD107">
        <v>0</v>
      </c>
      <c r="HE107">
        <v>0</v>
      </c>
      <c r="HF107">
        <v>0</v>
      </c>
      <c r="HG107">
        <v>0</v>
      </c>
      <c r="HH107">
        <f t="shared" si="62"/>
        <v>0</v>
      </c>
      <c r="HI107">
        <v>0</v>
      </c>
      <c r="HJ107">
        <v>0</v>
      </c>
      <c r="HK107">
        <v>0</v>
      </c>
      <c r="HL107">
        <v>0</v>
      </c>
      <c r="HM107">
        <v>0</v>
      </c>
      <c r="HN107">
        <v>0</v>
      </c>
      <c r="HO107">
        <v>0</v>
      </c>
      <c r="HP107">
        <v>0</v>
      </c>
      <c r="HQ107">
        <v>0</v>
      </c>
      <c r="HR107">
        <v>0</v>
      </c>
      <c r="HS107">
        <v>0</v>
      </c>
      <c r="HT107">
        <v>0</v>
      </c>
      <c r="HU107">
        <f t="shared" si="63"/>
        <v>0</v>
      </c>
      <c r="HV107">
        <v>7</v>
      </c>
      <c r="HW107">
        <v>8</v>
      </c>
      <c r="HX107">
        <v>6</v>
      </c>
      <c r="HY107">
        <v>9</v>
      </c>
      <c r="HZ107">
        <v>7</v>
      </c>
      <c r="IA107">
        <v>9</v>
      </c>
      <c r="IB107">
        <v>8</v>
      </c>
      <c r="IC107">
        <v>7</v>
      </c>
      <c r="ID107">
        <v>9</v>
      </c>
      <c r="IE107">
        <v>6</v>
      </c>
      <c r="IF107">
        <v>8</v>
      </c>
      <c r="IG107">
        <v>7</v>
      </c>
      <c r="IH107">
        <f t="shared" si="64"/>
        <v>91</v>
      </c>
      <c r="II107">
        <f t="shared" si="65"/>
        <v>36776</v>
      </c>
      <c r="IJ107">
        <f t="shared" si="66"/>
        <v>91</v>
      </c>
      <c r="IK107">
        <v>37800</v>
      </c>
      <c r="IL107">
        <v>39247</v>
      </c>
      <c r="IM107">
        <v>36806</v>
      </c>
      <c r="IN107">
        <v>46266</v>
      </c>
      <c r="IO107">
        <v>49126</v>
      </c>
      <c r="IP107">
        <v>40608</v>
      </c>
      <c r="IQ107">
        <v>42051</v>
      </c>
      <c r="IR107">
        <v>37048</v>
      </c>
      <c r="IS107">
        <v>29263</v>
      </c>
      <c r="IT107">
        <v>35830</v>
      </c>
      <c r="IU107">
        <v>36857</v>
      </c>
      <c r="IV107">
        <v>37894</v>
      </c>
      <c r="IW107">
        <f t="shared" si="67"/>
        <v>468796</v>
      </c>
      <c r="IX107">
        <v>13987</v>
      </c>
      <c r="IY107">
        <v>14247</v>
      </c>
      <c r="IZ107">
        <v>12867</v>
      </c>
      <c r="JA107">
        <v>20445</v>
      </c>
      <c r="JB107">
        <v>23202</v>
      </c>
      <c r="JC107">
        <v>15643</v>
      </c>
      <c r="JD107">
        <v>16528</v>
      </c>
      <c r="JE107">
        <v>13951</v>
      </c>
      <c r="JF107">
        <v>9925</v>
      </c>
      <c r="JG107">
        <v>13568</v>
      </c>
      <c r="JH107">
        <v>14666</v>
      </c>
      <c r="JI107">
        <v>14819</v>
      </c>
      <c r="JJ107">
        <f t="shared" si="68"/>
        <v>183848</v>
      </c>
      <c r="JK107">
        <v>493</v>
      </c>
      <c r="JL107">
        <v>462</v>
      </c>
      <c r="JM107">
        <v>435</v>
      </c>
      <c r="JN107">
        <v>575</v>
      </c>
      <c r="JO107">
        <v>680</v>
      </c>
      <c r="JP107">
        <v>474</v>
      </c>
      <c r="JQ107">
        <v>460</v>
      </c>
      <c r="JR107">
        <v>351</v>
      </c>
      <c r="JS107">
        <v>266</v>
      </c>
      <c r="JT107">
        <v>413</v>
      </c>
      <c r="JU107">
        <v>423</v>
      </c>
      <c r="JV107">
        <v>405</v>
      </c>
      <c r="JW107">
        <f t="shared" si="69"/>
        <v>5437</v>
      </c>
      <c r="JX107">
        <v>23320</v>
      </c>
      <c r="JY107">
        <v>24538</v>
      </c>
      <c r="JZ107">
        <v>23504</v>
      </c>
      <c r="KA107">
        <v>25246</v>
      </c>
      <c r="KB107">
        <v>25244</v>
      </c>
      <c r="KC107">
        <v>24491</v>
      </c>
      <c r="KD107">
        <v>25063</v>
      </c>
      <c r="KE107">
        <v>22746</v>
      </c>
      <c r="KF107">
        <v>19072</v>
      </c>
      <c r="KG107">
        <v>21849</v>
      </c>
      <c r="KH107">
        <v>21768</v>
      </c>
      <c r="KI107">
        <v>22670</v>
      </c>
      <c r="KJ107">
        <f t="shared" si="70"/>
        <v>279511</v>
      </c>
      <c r="KK107">
        <v>460</v>
      </c>
      <c r="KL107">
        <v>600</v>
      </c>
      <c r="KM107">
        <v>504</v>
      </c>
      <c r="KN107">
        <v>583</v>
      </c>
      <c r="KO107">
        <v>533</v>
      </c>
      <c r="KP107">
        <v>556</v>
      </c>
      <c r="KQ107">
        <v>466</v>
      </c>
      <c r="KR107">
        <v>515</v>
      </c>
      <c r="KS107">
        <v>375</v>
      </c>
      <c r="KT107">
        <v>488</v>
      </c>
      <c r="KU107">
        <v>517</v>
      </c>
      <c r="KV107">
        <v>483</v>
      </c>
      <c r="KW107">
        <f t="shared" si="71"/>
        <v>6080</v>
      </c>
      <c r="KX107">
        <v>19</v>
      </c>
      <c r="KY107">
        <v>20</v>
      </c>
      <c r="KZ107">
        <v>17</v>
      </c>
      <c r="LA107">
        <v>22</v>
      </c>
      <c r="LB107">
        <v>28</v>
      </c>
      <c r="LC107">
        <v>24</v>
      </c>
      <c r="LD107">
        <v>11</v>
      </c>
      <c r="LE107">
        <v>18</v>
      </c>
      <c r="LF107">
        <v>13</v>
      </c>
      <c r="LG107">
        <v>21</v>
      </c>
      <c r="LH107">
        <v>21</v>
      </c>
      <c r="LI107">
        <v>27</v>
      </c>
      <c r="LJ107">
        <f t="shared" si="72"/>
        <v>241</v>
      </c>
      <c r="LK107">
        <v>0</v>
      </c>
      <c r="LL107">
        <v>0</v>
      </c>
      <c r="LM107">
        <v>0</v>
      </c>
      <c r="LN107">
        <v>0</v>
      </c>
      <c r="LO107">
        <v>0</v>
      </c>
      <c r="LP107">
        <v>0</v>
      </c>
      <c r="LQ107">
        <v>0</v>
      </c>
      <c r="LR107">
        <v>0</v>
      </c>
      <c r="LS107">
        <v>0</v>
      </c>
      <c r="LT107">
        <v>0</v>
      </c>
      <c r="LU107">
        <v>0</v>
      </c>
      <c r="LV107">
        <v>0</v>
      </c>
      <c r="LW107">
        <f t="shared" si="73"/>
        <v>0</v>
      </c>
      <c r="LX107">
        <v>441</v>
      </c>
      <c r="LY107">
        <v>580</v>
      </c>
      <c r="LZ107">
        <v>487</v>
      </c>
      <c r="MA107">
        <v>561</v>
      </c>
      <c r="MB107">
        <v>505</v>
      </c>
      <c r="MC107">
        <v>532</v>
      </c>
      <c r="MD107">
        <v>455</v>
      </c>
      <c r="ME107">
        <v>497</v>
      </c>
      <c r="MF107">
        <v>362</v>
      </c>
      <c r="MG107">
        <v>467</v>
      </c>
      <c r="MH107">
        <v>496</v>
      </c>
      <c r="MI107">
        <v>456</v>
      </c>
      <c r="MJ107">
        <f t="shared" si="74"/>
        <v>5839</v>
      </c>
      <c r="MK107">
        <v>3716</v>
      </c>
      <c r="ML107">
        <v>3818</v>
      </c>
      <c r="MM107">
        <v>3867</v>
      </c>
      <c r="MN107">
        <v>3983</v>
      </c>
      <c r="MO107">
        <v>3933</v>
      </c>
      <c r="MP107">
        <v>3790</v>
      </c>
      <c r="MQ107">
        <v>3904</v>
      </c>
      <c r="MR107">
        <v>3604</v>
      </c>
      <c r="MS107">
        <v>3717</v>
      </c>
      <c r="MT107">
        <v>4192</v>
      </c>
      <c r="MU107">
        <v>3877</v>
      </c>
      <c r="MV107">
        <v>4150</v>
      </c>
      <c r="MW107">
        <f t="shared" si="75"/>
        <v>46551</v>
      </c>
      <c r="MX107">
        <v>190</v>
      </c>
      <c r="MY107">
        <v>230</v>
      </c>
      <c r="MZ107">
        <v>209</v>
      </c>
      <c r="NA107">
        <v>397</v>
      </c>
      <c r="NB107">
        <v>265</v>
      </c>
      <c r="NC107">
        <v>197</v>
      </c>
      <c r="ND107">
        <v>183</v>
      </c>
      <c r="NE107">
        <v>225</v>
      </c>
      <c r="NF107">
        <v>221</v>
      </c>
      <c r="NG107">
        <v>253</v>
      </c>
      <c r="NH107">
        <v>243</v>
      </c>
      <c r="NI107">
        <v>274</v>
      </c>
      <c r="NJ107">
        <f t="shared" si="76"/>
        <v>2887</v>
      </c>
      <c r="NK107">
        <v>121</v>
      </c>
      <c r="NL107">
        <v>131</v>
      </c>
      <c r="NM107">
        <v>119</v>
      </c>
      <c r="NN107">
        <v>129</v>
      </c>
      <c r="NO107">
        <v>155</v>
      </c>
      <c r="NP107">
        <v>155</v>
      </c>
      <c r="NQ107">
        <v>150</v>
      </c>
      <c r="NR107">
        <v>118</v>
      </c>
      <c r="NS107">
        <v>120</v>
      </c>
      <c r="NT107">
        <v>160</v>
      </c>
      <c r="NU107">
        <v>180</v>
      </c>
      <c r="NV107">
        <v>142</v>
      </c>
      <c r="NW107">
        <f t="shared" si="77"/>
        <v>1680</v>
      </c>
      <c r="NX107">
        <v>3405</v>
      </c>
      <c r="NY107">
        <v>3457</v>
      </c>
      <c r="NZ107">
        <v>3539</v>
      </c>
      <c r="OA107">
        <v>3457</v>
      </c>
      <c r="OB107">
        <v>3513</v>
      </c>
      <c r="OC107">
        <v>3438</v>
      </c>
      <c r="OD107">
        <v>3571</v>
      </c>
      <c r="OE107">
        <v>3261</v>
      </c>
      <c r="OF107">
        <v>3376</v>
      </c>
      <c r="OG107">
        <v>3779</v>
      </c>
      <c r="OH107">
        <v>3454</v>
      </c>
      <c r="OI107">
        <v>3734</v>
      </c>
      <c r="OJ107">
        <f t="shared" si="78"/>
        <v>41984</v>
      </c>
      <c r="OK107">
        <v>4884</v>
      </c>
      <c r="OL107">
        <v>5126</v>
      </c>
      <c r="OM107">
        <v>4893</v>
      </c>
      <c r="ON107">
        <v>5250</v>
      </c>
      <c r="OO107">
        <v>5478</v>
      </c>
      <c r="OP107">
        <v>5386</v>
      </c>
      <c r="OQ107">
        <v>5694</v>
      </c>
      <c r="OR107">
        <v>5253</v>
      </c>
      <c r="OS107">
        <v>5374</v>
      </c>
      <c r="OT107">
        <v>6019</v>
      </c>
      <c r="OU107">
        <v>5629</v>
      </c>
      <c r="OV107">
        <v>6328</v>
      </c>
      <c r="OW107">
        <f t="shared" si="79"/>
        <v>65314</v>
      </c>
      <c r="OX107">
        <v>498</v>
      </c>
      <c r="OY107">
        <v>583</v>
      </c>
      <c r="OZ107">
        <v>550</v>
      </c>
      <c r="PA107">
        <v>671</v>
      </c>
      <c r="PB107">
        <v>832</v>
      </c>
      <c r="PC107">
        <v>629</v>
      </c>
      <c r="PD107">
        <v>582</v>
      </c>
      <c r="PE107">
        <v>497</v>
      </c>
      <c r="PF107">
        <v>539</v>
      </c>
      <c r="PG107">
        <v>658</v>
      </c>
      <c r="PH107">
        <v>668</v>
      </c>
      <c r="PI107">
        <v>761</v>
      </c>
      <c r="PJ107">
        <f t="shared" si="80"/>
        <v>7468</v>
      </c>
      <c r="PK107">
        <v>143</v>
      </c>
      <c r="PL107">
        <v>166</v>
      </c>
      <c r="PM107">
        <v>152</v>
      </c>
      <c r="PN107">
        <v>156</v>
      </c>
      <c r="PO107">
        <v>190</v>
      </c>
      <c r="PP107">
        <v>180</v>
      </c>
      <c r="PQ107">
        <v>149</v>
      </c>
      <c r="PR107">
        <v>126</v>
      </c>
      <c r="PS107">
        <v>136</v>
      </c>
      <c r="PT107">
        <v>162</v>
      </c>
      <c r="PU107">
        <v>145</v>
      </c>
      <c r="PV107">
        <v>192</v>
      </c>
      <c r="PW107">
        <f t="shared" si="81"/>
        <v>1897</v>
      </c>
      <c r="PX107">
        <v>4243</v>
      </c>
      <c r="PY107">
        <v>4377</v>
      </c>
      <c r="PZ107">
        <v>4191</v>
      </c>
      <c r="QA107">
        <v>4423</v>
      </c>
      <c r="QB107">
        <v>4456</v>
      </c>
      <c r="QC107">
        <v>4577</v>
      </c>
      <c r="QD107">
        <v>4963</v>
      </c>
      <c r="QE107">
        <v>4630</v>
      </c>
      <c r="QF107">
        <v>4699</v>
      </c>
      <c r="QG107">
        <v>5199</v>
      </c>
      <c r="QH107">
        <v>4816</v>
      </c>
      <c r="QI107">
        <v>5375</v>
      </c>
      <c r="QJ107">
        <f t="shared" si="82"/>
        <v>55949</v>
      </c>
      <c r="QK107">
        <v>0</v>
      </c>
      <c r="QL107">
        <v>0</v>
      </c>
      <c r="QM107">
        <v>0</v>
      </c>
      <c r="QN107">
        <v>0</v>
      </c>
      <c r="QO107">
        <v>0</v>
      </c>
      <c r="QP107">
        <v>0</v>
      </c>
      <c r="QQ107">
        <v>0</v>
      </c>
      <c r="QR107">
        <v>0</v>
      </c>
      <c r="QS107">
        <v>0</v>
      </c>
      <c r="QT107">
        <v>0</v>
      </c>
      <c r="QU107">
        <v>0</v>
      </c>
      <c r="QV107">
        <v>0</v>
      </c>
      <c r="QW107">
        <f t="shared" si="83"/>
        <v>0</v>
      </c>
      <c r="QX107">
        <v>0</v>
      </c>
      <c r="QY107">
        <v>0</v>
      </c>
      <c r="QZ107">
        <v>0</v>
      </c>
      <c r="RA107">
        <v>0</v>
      </c>
      <c r="RB107">
        <v>0</v>
      </c>
      <c r="RC107">
        <v>0</v>
      </c>
      <c r="RD107">
        <v>0</v>
      </c>
      <c r="RE107">
        <v>0</v>
      </c>
      <c r="RF107">
        <v>0</v>
      </c>
      <c r="RG107">
        <v>0</v>
      </c>
      <c r="RH107">
        <v>0</v>
      </c>
      <c r="RI107">
        <v>0</v>
      </c>
      <c r="RJ107">
        <f t="shared" si="84"/>
        <v>0</v>
      </c>
      <c r="RK107">
        <v>0</v>
      </c>
      <c r="RL107">
        <v>0</v>
      </c>
      <c r="RM107">
        <v>0</v>
      </c>
      <c r="RN107">
        <v>0</v>
      </c>
      <c r="RO107">
        <v>0</v>
      </c>
      <c r="RP107">
        <v>0</v>
      </c>
      <c r="RQ107">
        <v>0</v>
      </c>
      <c r="RR107">
        <v>0</v>
      </c>
      <c r="RS107">
        <v>0</v>
      </c>
      <c r="RT107">
        <v>0</v>
      </c>
      <c r="RU107">
        <v>0</v>
      </c>
      <c r="RV107">
        <v>0</v>
      </c>
      <c r="RW107">
        <f t="shared" si="85"/>
        <v>0</v>
      </c>
      <c r="RX107">
        <v>0</v>
      </c>
      <c r="RY107">
        <v>0</v>
      </c>
      <c r="RZ107">
        <v>0</v>
      </c>
      <c r="SA107">
        <v>0</v>
      </c>
      <c r="SB107">
        <v>0</v>
      </c>
      <c r="SC107">
        <v>0</v>
      </c>
      <c r="SD107">
        <v>0</v>
      </c>
      <c r="SE107">
        <v>0</v>
      </c>
      <c r="SF107">
        <v>0</v>
      </c>
      <c r="SG107">
        <v>0</v>
      </c>
      <c r="SH107">
        <v>0</v>
      </c>
      <c r="SI107">
        <v>0</v>
      </c>
      <c r="SJ107">
        <f t="shared" si="86"/>
        <v>0</v>
      </c>
      <c r="SK107">
        <v>244</v>
      </c>
      <c r="SL107">
        <v>352</v>
      </c>
      <c r="SM107">
        <v>307</v>
      </c>
      <c r="SN107">
        <v>423</v>
      </c>
      <c r="SO107">
        <v>289</v>
      </c>
      <c r="SP107">
        <v>326</v>
      </c>
      <c r="SQ107">
        <v>388</v>
      </c>
      <c r="SR107">
        <v>331</v>
      </c>
      <c r="SS107">
        <v>224</v>
      </c>
      <c r="ST107">
        <v>358</v>
      </c>
      <c r="SU107">
        <v>357</v>
      </c>
      <c r="SV107">
        <v>333</v>
      </c>
      <c r="SW107">
        <f t="shared" si="87"/>
        <v>3932</v>
      </c>
      <c r="SX107">
        <v>0</v>
      </c>
      <c r="SY107">
        <v>1724</v>
      </c>
      <c r="SZ107">
        <v>1776</v>
      </c>
      <c r="TA107">
        <v>1851</v>
      </c>
      <c r="TB107">
        <v>1845</v>
      </c>
      <c r="TC107">
        <v>1699</v>
      </c>
      <c r="TD107">
        <v>1740</v>
      </c>
      <c r="TE107">
        <v>1742</v>
      </c>
      <c r="TF107">
        <v>1724</v>
      </c>
      <c r="TG107">
        <v>1285</v>
      </c>
      <c r="TH107">
        <v>1508</v>
      </c>
      <c r="TI107">
        <v>1571</v>
      </c>
      <c r="TJ107">
        <v>1643</v>
      </c>
      <c r="TK107">
        <f t="shared" si="88"/>
        <v>20108</v>
      </c>
      <c r="TL107">
        <v>5190</v>
      </c>
      <c r="TM107">
        <v>5197</v>
      </c>
      <c r="TN107">
        <v>5000</v>
      </c>
      <c r="TO107">
        <v>5376</v>
      </c>
      <c r="TP107">
        <v>4971</v>
      </c>
      <c r="TQ107">
        <v>5269</v>
      </c>
      <c r="TR107">
        <v>5432</v>
      </c>
      <c r="TS107">
        <v>5035</v>
      </c>
      <c r="TT107">
        <v>4574</v>
      </c>
      <c r="TU107">
        <v>5186</v>
      </c>
      <c r="TV107">
        <v>5561</v>
      </c>
      <c r="TW107">
        <v>6193</v>
      </c>
      <c r="TX107">
        <f t="shared" si="89"/>
        <v>62984</v>
      </c>
      <c r="TY107">
        <v>90</v>
      </c>
      <c r="TZ107">
        <v>0</v>
      </c>
      <c r="UA107">
        <v>0</v>
      </c>
      <c r="UB107">
        <v>0</v>
      </c>
    </row>
    <row r="108" spans="1:548" ht="16.5" customHeight="1" x14ac:dyDescent="0.35">
      <c r="A108" t="s">
        <v>1459</v>
      </c>
      <c r="B108" t="s">
        <v>2868</v>
      </c>
      <c r="C108">
        <v>47010</v>
      </c>
      <c r="D108">
        <v>15663</v>
      </c>
      <c r="E108">
        <v>2810</v>
      </c>
      <c r="F108">
        <v>28537</v>
      </c>
      <c r="G108">
        <v>752</v>
      </c>
      <c r="H108">
        <v>784</v>
      </c>
      <c r="I108">
        <v>827</v>
      </c>
      <c r="J108">
        <v>860</v>
      </c>
      <c r="K108">
        <v>783</v>
      </c>
      <c r="L108">
        <v>705</v>
      </c>
      <c r="M108">
        <v>871</v>
      </c>
      <c r="N108">
        <v>836</v>
      </c>
      <c r="O108">
        <v>732</v>
      </c>
      <c r="P108">
        <v>787</v>
      </c>
      <c r="Q108">
        <v>834</v>
      </c>
      <c r="R108">
        <v>862</v>
      </c>
      <c r="S108">
        <f t="shared" si="45"/>
        <v>9633</v>
      </c>
      <c r="T108">
        <v>0</v>
      </c>
      <c r="U108">
        <v>0</v>
      </c>
      <c r="V108">
        <v>0</v>
      </c>
      <c r="W108">
        <v>0</v>
      </c>
      <c r="X108">
        <v>0</v>
      </c>
      <c r="Y108">
        <v>0</v>
      </c>
      <c r="Z108">
        <v>0</v>
      </c>
      <c r="AA108">
        <v>0</v>
      </c>
      <c r="AB108">
        <v>0</v>
      </c>
      <c r="AC108">
        <v>0</v>
      </c>
      <c r="AD108">
        <v>0</v>
      </c>
      <c r="AE108">
        <v>0</v>
      </c>
      <c r="AF108">
        <f t="shared" si="46"/>
        <v>0</v>
      </c>
      <c r="AG108">
        <v>0</v>
      </c>
      <c r="AH108">
        <v>0</v>
      </c>
      <c r="AI108">
        <v>0</v>
      </c>
      <c r="AJ108">
        <v>0</v>
      </c>
      <c r="AK108">
        <v>0</v>
      </c>
      <c r="AL108">
        <v>0</v>
      </c>
      <c r="AM108">
        <v>0</v>
      </c>
      <c r="AN108">
        <v>0</v>
      </c>
      <c r="AO108">
        <v>0</v>
      </c>
      <c r="AP108">
        <v>0</v>
      </c>
      <c r="AQ108">
        <v>0</v>
      </c>
      <c r="AR108">
        <v>0</v>
      </c>
      <c r="AS108">
        <f t="shared" si="47"/>
        <v>0</v>
      </c>
      <c r="AT108">
        <v>0</v>
      </c>
      <c r="AU108">
        <v>0</v>
      </c>
      <c r="AV108">
        <v>0</v>
      </c>
      <c r="AW108">
        <v>0</v>
      </c>
      <c r="AX108">
        <v>0</v>
      </c>
      <c r="AY108">
        <v>0</v>
      </c>
      <c r="AZ108">
        <v>0</v>
      </c>
      <c r="BA108">
        <v>0</v>
      </c>
      <c r="BB108">
        <v>0</v>
      </c>
      <c r="BC108">
        <v>0</v>
      </c>
      <c r="BD108">
        <v>0</v>
      </c>
      <c r="BE108">
        <v>0</v>
      </c>
      <c r="BF108">
        <f t="shared" si="48"/>
        <v>0</v>
      </c>
      <c r="BG108">
        <v>0</v>
      </c>
      <c r="BH108">
        <v>0</v>
      </c>
      <c r="BI108">
        <v>0</v>
      </c>
      <c r="BJ108">
        <v>0</v>
      </c>
      <c r="BK108">
        <v>0</v>
      </c>
      <c r="BL108">
        <v>0</v>
      </c>
      <c r="BM108">
        <v>0</v>
      </c>
      <c r="BN108">
        <v>0</v>
      </c>
      <c r="BO108">
        <v>0</v>
      </c>
      <c r="BP108">
        <v>0</v>
      </c>
      <c r="BQ108">
        <v>0</v>
      </c>
      <c r="BR108">
        <v>0</v>
      </c>
      <c r="BS108">
        <f t="shared" si="49"/>
        <v>0</v>
      </c>
      <c r="BT108">
        <v>0</v>
      </c>
      <c r="BU108">
        <v>0</v>
      </c>
      <c r="BV108">
        <v>0</v>
      </c>
      <c r="BW108">
        <v>0</v>
      </c>
      <c r="BX108">
        <v>0</v>
      </c>
      <c r="BY108">
        <v>0</v>
      </c>
      <c r="BZ108">
        <v>0</v>
      </c>
      <c r="CA108">
        <v>0</v>
      </c>
      <c r="CB108">
        <v>0</v>
      </c>
      <c r="CC108">
        <v>0</v>
      </c>
      <c r="CD108">
        <v>0</v>
      </c>
      <c r="CE108">
        <v>0</v>
      </c>
      <c r="CF108">
        <f t="shared" si="50"/>
        <v>0</v>
      </c>
      <c r="CG108">
        <v>0</v>
      </c>
      <c r="CH108">
        <v>0</v>
      </c>
      <c r="CI108">
        <v>0</v>
      </c>
      <c r="CJ108">
        <v>0</v>
      </c>
      <c r="CK108">
        <v>0</v>
      </c>
      <c r="CL108">
        <v>0</v>
      </c>
      <c r="CM108">
        <v>0</v>
      </c>
      <c r="CN108">
        <v>0</v>
      </c>
      <c r="CO108">
        <v>0</v>
      </c>
      <c r="CP108">
        <v>0</v>
      </c>
      <c r="CQ108">
        <v>0</v>
      </c>
      <c r="CR108">
        <v>0</v>
      </c>
      <c r="CS108">
        <f t="shared" si="51"/>
        <v>0</v>
      </c>
      <c r="CT108">
        <v>0</v>
      </c>
      <c r="CU108">
        <v>0</v>
      </c>
      <c r="CV108">
        <v>0</v>
      </c>
      <c r="CW108">
        <v>0</v>
      </c>
      <c r="CX108">
        <v>0</v>
      </c>
      <c r="CY108">
        <v>0</v>
      </c>
      <c r="CZ108">
        <v>0</v>
      </c>
      <c r="DA108">
        <v>0</v>
      </c>
      <c r="DB108">
        <v>0</v>
      </c>
      <c r="DC108">
        <v>0</v>
      </c>
      <c r="DD108">
        <v>0</v>
      </c>
      <c r="DE108">
        <v>0</v>
      </c>
      <c r="DF108">
        <f t="shared" si="52"/>
        <v>0</v>
      </c>
      <c r="DG108">
        <v>0</v>
      </c>
      <c r="DH108">
        <v>0</v>
      </c>
      <c r="DI108">
        <v>0</v>
      </c>
      <c r="DJ108">
        <v>0</v>
      </c>
      <c r="DK108">
        <v>0</v>
      </c>
      <c r="DL108">
        <v>0</v>
      </c>
      <c r="DM108">
        <v>0</v>
      </c>
      <c r="DN108">
        <v>0</v>
      </c>
      <c r="DO108">
        <v>0</v>
      </c>
      <c r="DP108">
        <v>0</v>
      </c>
      <c r="DQ108">
        <v>0</v>
      </c>
      <c r="DR108">
        <v>0</v>
      </c>
      <c r="DS108">
        <f t="shared" si="53"/>
        <v>0</v>
      </c>
      <c r="DT108">
        <v>0</v>
      </c>
      <c r="DU108">
        <v>0</v>
      </c>
      <c r="DV108">
        <v>0</v>
      </c>
      <c r="DW108">
        <v>0</v>
      </c>
      <c r="DX108">
        <v>0</v>
      </c>
      <c r="DY108">
        <v>0</v>
      </c>
      <c r="DZ108">
        <v>0</v>
      </c>
      <c r="EA108">
        <v>0</v>
      </c>
      <c r="EB108">
        <v>0</v>
      </c>
      <c r="EC108">
        <v>0</v>
      </c>
      <c r="ED108">
        <v>0</v>
      </c>
      <c r="EE108">
        <v>0</v>
      </c>
      <c r="EF108">
        <f t="shared" si="54"/>
        <v>0</v>
      </c>
      <c r="EG108">
        <f t="shared" si="55"/>
        <v>0</v>
      </c>
      <c r="EH108">
        <f t="shared" si="56"/>
        <v>0</v>
      </c>
      <c r="EI108">
        <v>9796</v>
      </c>
      <c r="EJ108">
        <v>10688</v>
      </c>
      <c r="EK108">
        <v>12253</v>
      </c>
      <c r="EL108">
        <v>12888</v>
      </c>
      <c r="EM108">
        <v>10811</v>
      </c>
      <c r="EN108">
        <v>12586</v>
      </c>
      <c r="EO108">
        <v>13718</v>
      </c>
      <c r="EP108">
        <v>15108</v>
      </c>
      <c r="EQ108">
        <v>11511</v>
      </c>
      <c r="ER108">
        <v>12879</v>
      </c>
      <c r="ES108">
        <v>15638</v>
      </c>
      <c r="ET108">
        <v>13835</v>
      </c>
      <c r="EU108">
        <f t="shared" si="57"/>
        <v>151711</v>
      </c>
      <c r="EV108">
        <v>4478</v>
      </c>
      <c r="EW108">
        <v>5564</v>
      </c>
      <c r="EX108">
        <v>6774</v>
      </c>
      <c r="EY108">
        <v>6524</v>
      </c>
      <c r="EZ108">
        <v>4556</v>
      </c>
      <c r="FA108">
        <v>5386</v>
      </c>
      <c r="FB108">
        <v>6144</v>
      </c>
      <c r="FC108">
        <v>6412</v>
      </c>
      <c r="FD108">
        <v>5657</v>
      </c>
      <c r="FE108">
        <v>6522</v>
      </c>
      <c r="FF108">
        <v>8015</v>
      </c>
      <c r="FG108">
        <v>6299</v>
      </c>
      <c r="FH108">
        <f t="shared" si="58"/>
        <v>72331</v>
      </c>
      <c r="FI108">
        <v>0</v>
      </c>
      <c r="FJ108">
        <v>0</v>
      </c>
      <c r="FK108">
        <v>0</v>
      </c>
      <c r="FL108">
        <v>0</v>
      </c>
      <c r="FM108">
        <v>0</v>
      </c>
      <c r="FN108">
        <v>0</v>
      </c>
      <c r="FO108">
        <v>0</v>
      </c>
      <c r="FP108">
        <v>0</v>
      </c>
      <c r="FQ108">
        <v>0</v>
      </c>
      <c r="FR108">
        <v>0</v>
      </c>
      <c r="FS108">
        <v>0</v>
      </c>
      <c r="FT108">
        <v>0</v>
      </c>
      <c r="FU108">
        <f t="shared" si="59"/>
        <v>0</v>
      </c>
      <c r="FV108">
        <v>5318</v>
      </c>
      <c r="FW108">
        <v>5124</v>
      </c>
      <c r="FX108">
        <v>5479</v>
      </c>
      <c r="FY108">
        <v>6364</v>
      </c>
      <c r="FZ108">
        <v>6255</v>
      </c>
      <c r="GA108">
        <v>7200</v>
      </c>
      <c r="GB108">
        <v>7574</v>
      </c>
      <c r="GC108">
        <v>8696</v>
      </c>
      <c r="GD108">
        <v>5854</v>
      </c>
      <c r="GE108">
        <v>6357</v>
      </c>
      <c r="GF108">
        <v>7623</v>
      </c>
      <c r="GG108">
        <v>7536</v>
      </c>
      <c r="GH108">
        <f t="shared" si="60"/>
        <v>79380</v>
      </c>
      <c r="GI108">
        <v>0</v>
      </c>
      <c r="GJ108">
        <v>0</v>
      </c>
      <c r="GK108">
        <v>0</v>
      </c>
      <c r="GL108">
        <v>0</v>
      </c>
      <c r="GM108">
        <v>0</v>
      </c>
      <c r="GN108">
        <v>0</v>
      </c>
      <c r="GO108">
        <v>0</v>
      </c>
      <c r="GP108">
        <v>0</v>
      </c>
      <c r="GQ108">
        <v>0</v>
      </c>
      <c r="GR108">
        <v>0</v>
      </c>
      <c r="GS108">
        <v>0</v>
      </c>
      <c r="GT108">
        <v>0</v>
      </c>
      <c r="GU108">
        <f t="shared" si="61"/>
        <v>0</v>
      </c>
      <c r="GV108">
        <v>0</v>
      </c>
      <c r="GW108">
        <v>0</v>
      </c>
      <c r="GX108">
        <v>0</v>
      </c>
      <c r="GY108">
        <v>0</v>
      </c>
      <c r="GZ108">
        <v>0</v>
      </c>
      <c r="HA108">
        <v>0</v>
      </c>
      <c r="HB108">
        <v>0</v>
      </c>
      <c r="HC108">
        <v>0</v>
      </c>
      <c r="HD108">
        <v>0</v>
      </c>
      <c r="HE108">
        <v>0</v>
      </c>
      <c r="HF108">
        <v>0</v>
      </c>
      <c r="HG108">
        <v>0</v>
      </c>
      <c r="HH108">
        <f t="shared" si="62"/>
        <v>0</v>
      </c>
      <c r="HI108">
        <v>0</v>
      </c>
      <c r="HJ108">
        <v>0</v>
      </c>
      <c r="HK108">
        <v>0</v>
      </c>
      <c r="HL108">
        <v>0</v>
      </c>
      <c r="HM108">
        <v>0</v>
      </c>
      <c r="HN108">
        <v>0</v>
      </c>
      <c r="HO108">
        <v>0</v>
      </c>
      <c r="HP108">
        <v>0</v>
      </c>
      <c r="HQ108">
        <v>0</v>
      </c>
      <c r="HR108">
        <v>0</v>
      </c>
      <c r="HS108">
        <v>0</v>
      </c>
      <c r="HT108">
        <v>0</v>
      </c>
      <c r="HU108">
        <f t="shared" si="63"/>
        <v>0</v>
      </c>
      <c r="HV108">
        <v>0</v>
      </c>
      <c r="HW108">
        <v>0</v>
      </c>
      <c r="HX108">
        <v>0</v>
      </c>
      <c r="HY108">
        <v>0</v>
      </c>
      <c r="HZ108">
        <v>0</v>
      </c>
      <c r="IA108">
        <v>0</v>
      </c>
      <c r="IB108">
        <v>0</v>
      </c>
      <c r="IC108">
        <v>0</v>
      </c>
      <c r="ID108">
        <v>0</v>
      </c>
      <c r="IE108">
        <v>0</v>
      </c>
      <c r="IF108">
        <v>0</v>
      </c>
      <c r="IG108">
        <v>0</v>
      </c>
      <c r="IH108">
        <f t="shared" si="64"/>
        <v>0</v>
      </c>
      <c r="II108">
        <f t="shared" si="65"/>
        <v>151711</v>
      </c>
      <c r="IJ108">
        <f t="shared" si="66"/>
        <v>0</v>
      </c>
      <c r="IK108">
        <v>111286</v>
      </c>
      <c r="IL108">
        <v>113578</v>
      </c>
      <c r="IM108">
        <v>104420</v>
      </c>
      <c r="IN108">
        <v>130914</v>
      </c>
      <c r="IO108">
        <v>129721</v>
      </c>
      <c r="IP108">
        <v>116692</v>
      </c>
      <c r="IQ108">
        <v>121438</v>
      </c>
      <c r="IR108">
        <v>109893</v>
      </c>
      <c r="IS108">
        <v>101194</v>
      </c>
      <c r="IT108">
        <v>111546</v>
      </c>
      <c r="IU108">
        <v>105341</v>
      </c>
      <c r="IV108">
        <v>113253</v>
      </c>
      <c r="IW108">
        <f t="shared" si="67"/>
        <v>1369276</v>
      </c>
      <c r="IX108" s="178"/>
      <c r="IY108" s="178"/>
      <c r="IZ108" s="178"/>
      <c r="JA108" s="178"/>
      <c r="JB108" s="178"/>
      <c r="JC108" s="178"/>
      <c r="JD108" s="178"/>
      <c r="JE108" s="178"/>
      <c r="JF108" s="178"/>
      <c r="JG108" s="178"/>
      <c r="JH108" s="178"/>
      <c r="JI108" s="178"/>
      <c r="JJ108" s="180">
        <f t="shared" si="68"/>
        <v>0</v>
      </c>
      <c r="JK108">
        <v>1540</v>
      </c>
      <c r="JL108">
        <v>1556</v>
      </c>
      <c r="JM108">
        <v>1397</v>
      </c>
      <c r="JN108">
        <v>2131</v>
      </c>
      <c r="JO108">
        <v>2049</v>
      </c>
      <c r="JP108">
        <v>1862</v>
      </c>
      <c r="JQ108">
        <v>1638</v>
      </c>
      <c r="JR108">
        <v>1491</v>
      </c>
      <c r="JS108">
        <v>1367</v>
      </c>
      <c r="JT108">
        <v>1344</v>
      </c>
      <c r="JU108">
        <v>1400</v>
      </c>
      <c r="JV108">
        <v>1782</v>
      </c>
      <c r="JW108">
        <f t="shared" si="69"/>
        <v>19557</v>
      </c>
      <c r="JX108">
        <v>71440</v>
      </c>
      <c r="JY108">
        <v>71817</v>
      </c>
      <c r="JZ108">
        <v>67442</v>
      </c>
      <c r="KA108">
        <v>73741</v>
      </c>
      <c r="KB108">
        <v>71616</v>
      </c>
      <c r="KC108">
        <v>70796</v>
      </c>
      <c r="KD108">
        <v>74733</v>
      </c>
      <c r="KE108">
        <v>69861</v>
      </c>
      <c r="KF108">
        <v>68027</v>
      </c>
      <c r="KG108">
        <v>70755</v>
      </c>
      <c r="KH108">
        <v>63049</v>
      </c>
      <c r="KI108">
        <v>70905</v>
      </c>
      <c r="KJ108">
        <f t="shared" si="70"/>
        <v>844182</v>
      </c>
      <c r="KK108">
        <v>532</v>
      </c>
      <c r="KL108">
        <v>385</v>
      </c>
      <c r="KM108">
        <v>407</v>
      </c>
      <c r="KN108">
        <v>378</v>
      </c>
      <c r="KO108">
        <v>384</v>
      </c>
      <c r="KP108">
        <v>349</v>
      </c>
      <c r="KQ108">
        <v>437</v>
      </c>
      <c r="KR108">
        <v>395</v>
      </c>
      <c r="KS108">
        <v>411</v>
      </c>
      <c r="KT108">
        <v>445</v>
      </c>
      <c r="KU108">
        <v>423</v>
      </c>
      <c r="KV108">
        <v>542</v>
      </c>
      <c r="KW108">
        <f t="shared" si="71"/>
        <v>5088</v>
      </c>
      <c r="KX108">
        <v>0</v>
      </c>
      <c r="KY108">
        <v>0</v>
      </c>
      <c r="KZ108">
        <v>0</v>
      </c>
      <c r="LA108">
        <v>0</v>
      </c>
      <c r="LB108">
        <v>0</v>
      </c>
      <c r="LC108">
        <v>0</v>
      </c>
      <c r="LD108">
        <v>0</v>
      </c>
      <c r="LE108">
        <v>0</v>
      </c>
      <c r="LF108">
        <v>0</v>
      </c>
      <c r="LG108">
        <v>0</v>
      </c>
      <c r="LH108">
        <v>0</v>
      </c>
      <c r="LI108">
        <v>0</v>
      </c>
      <c r="LJ108">
        <f t="shared" si="72"/>
        <v>0</v>
      </c>
      <c r="LK108">
        <v>0</v>
      </c>
      <c r="LL108">
        <v>0</v>
      </c>
      <c r="LM108">
        <v>0</v>
      </c>
      <c r="LN108">
        <v>0</v>
      </c>
      <c r="LO108">
        <v>0</v>
      </c>
      <c r="LP108">
        <v>0</v>
      </c>
      <c r="LQ108">
        <v>0</v>
      </c>
      <c r="LR108">
        <v>0</v>
      </c>
      <c r="LS108">
        <v>0</v>
      </c>
      <c r="LT108">
        <v>0</v>
      </c>
      <c r="LU108">
        <v>0</v>
      </c>
      <c r="LV108">
        <v>0</v>
      </c>
      <c r="LW108">
        <f t="shared" si="73"/>
        <v>0</v>
      </c>
      <c r="LX108">
        <v>0</v>
      </c>
      <c r="LY108">
        <v>0</v>
      </c>
      <c r="LZ108">
        <v>0</v>
      </c>
      <c r="MA108">
        <v>0</v>
      </c>
      <c r="MB108">
        <v>0</v>
      </c>
      <c r="MC108">
        <v>0</v>
      </c>
      <c r="MD108">
        <v>0</v>
      </c>
      <c r="ME108">
        <v>0</v>
      </c>
      <c r="MF108">
        <v>0</v>
      </c>
      <c r="MG108">
        <v>0</v>
      </c>
      <c r="MH108">
        <v>0</v>
      </c>
      <c r="MI108">
        <v>0</v>
      </c>
      <c r="MJ108">
        <f t="shared" si="74"/>
        <v>0</v>
      </c>
      <c r="MK108">
        <v>6293</v>
      </c>
      <c r="ML108">
        <v>6308</v>
      </c>
      <c r="MM108">
        <v>5940</v>
      </c>
      <c r="MN108">
        <v>6277</v>
      </c>
      <c r="MO108">
        <v>6369</v>
      </c>
      <c r="MP108">
        <v>5937</v>
      </c>
      <c r="MQ108">
        <v>6156</v>
      </c>
      <c r="MR108">
        <v>5771</v>
      </c>
      <c r="MS108">
        <v>5780</v>
      </c>
      <c r="MT108">
        <v>6319</v>
      </c>
      <c r="MU108">
        <v>6030</v>
      </c>
      <c r="MV108">
        <v>6388</v>
      </c>
      <c r="MW108">
        <f t="shared" si="75"/>
        <v>73568</v>
      </c>
      <c r="MX108">
        <v>478</v>
      </c>
      <c r="MY108">
        <v>403</v>
      </c>
      <c r="MZ108">
        <v>352</v>
      </c>
      <c r="NA108">
        <v>416</v>
      </c>
      <c r="NB108">
        <v>439</v>
      </c>
      <c r="NC108">
        <v>373</v>
      </c>
      <c r="ND108">
        <v>476</v>
      </c>
      <c r="NE108">
        <v>397</v>
      </c>
      <c r="NF108">
        <v>382</v>
      </c>
      <c r="NG108">
        <v>453</v>
      </c>
      <c r="NH108">
        <v>452</v>
      </c>
      <c r="NI108">
        <v>508</v>
      </c>
      <c r="NJ108">
        <f t="shared" si="76"/>
        <v>5129</v>
      </c>
      <c r="NK108">
        <v>319</v>
      </c>
      <c r="NL108">
        <v>283</v>
      </c>
      <c r="NM108">
        <v>280</v>
      </c>
      <c r="NN108">
        <v>328</v>
      </c>
      <c r="NO108">
        <v>375</v>
      </c>
      <c r="NP108">
        <v>356</v>
      </c>
      <c r="NQ108">
        <v>320</v>
      </c>
      <c r="NR108">
        <v>266</v>
      </c>
      <c r="NS108">
        <v>272</v>
      </c>
      <c r="NT108">
        <v>328</v>
      </c>
      <c r="NU108">
        <v>423</v>
      </c>
      <c r="NV108">
        <v>407</v>
      </c>
      <c r="NW108">
        <f t="shared" si="77"/>
        <v>3957</v>
      </c>
      <c r="NX108">
        <v>5496</v>
      </c>
      <c r="NY108">
        <v>5622</v>
      </c>
      <c r="NZ108">
        <v>5308</v>
      </c>
      <c r="OA108">
        <v>5533</v>
      </c>
      <c r="OB108">
        <v>5555</v>
      </c>
      <c r="OC108">
        <v>5208</v>
      </c>
      <c r="OD108">
        <v>5360</v>
      </c>
      <c r="OE108">
        <v>5108</v>
      </c>
      <c r="OF108">
        <v>5126</v>
      </c>
      <c r="OG108">
        <v>5538</v>
      </c>
      <c r="OH108">
        <v>5155</v>
      </c>
      <c r="OI108">
        <v>5473</v>
      </c>
      <c r="OJ108">
        <f t="shared" si="78"/>
        <v>64482</v>
      </c>
      <c r="OK108">
        <v>12443</v>
      </c>
      <c r="OL108">
        <v>13187</v>
      </c>
      <c r="OM108">
        <v>12410</v>
      </c>
      <c r="ON108">
        <v>12879</v>
      </c>
      <c r="OO108">
        <v>13685</v>
      </c>
      <c r="OP108">
        <v>13384</v>
      </c>
      <c r="OQ108">
        <v>13968</v>
      </c>
      <c r="OR108">
        <v>13135</v>
      </c>
      <c r="OS108">
        <v>12792</v>
      </c>
      <c r="OT108">
        <v>14488</v>
      </c>
      <c r="OU108">
        <v>13511</v>
      </c>
      <c r="OV108">
        <v>15011</v>
      </c>
      <c r="OW108">
        <f t="shared" si="79"/>
        <v>160893</v>
      </c>
      <c r="OX108">
        <v>1364</v>
      </c>
      <c r="OY108">
        <v>1280</v>
      </c>
      <c r="OZ108">
        <v>1128</v>
      </c>
      <c r="PA108">
        <v>1377</v>
      </c>
      <c r="PB108">
        <v>1449</v>
      </c>
      <c r="PC108">
        <v>1360</v>
      </c>
      <c r="PD108">
        <v>1420</v>
      </c>
      <c r="PE108">
        <v>1416</v>
      </c>
      <c r="PF108">
        <v>1416</v>
      </c>
      <c r="PG108">
        <v>1485</v>
      </c>
      <c r="PH108">
        <v>1393</v>
      </c>
      <c r="PI108">
        <v>1538</v>
      </c>
      <c r="PJ108">
        <f t="shared" si="80"/>
        <v>16626</v>
      </c>
      <c r="PK108">
        <v>429</v>
      </c>
      <c r="PL108">
        <v>475</v>
      </c>
      <c r="PM108">
        <v>436</v>
      </c>
      <c r="PN108">
        <v>475</v>
      </c>
      <c r="PO108">
        <v>526</v>
      </c>
      <c r="PP108">
        <v>447</v>
      </c>
      <c r="PQ108">
        <v>411</v>
      </c>
      <c r="PR108">
        <v>412</v>
      </c>
      <c r="PS108">
        <v>438</v>
      </c>
      <c r="PT108">
        <v>462</v>
      </c>
      <c r="PU108">
        <v>529</v>
      </c>
      <c r="PV108">
        <v>582</v>
      </c>
      <c r="PW108">
        <f t="shared" si="81"/>
        <v>5622</v>
      </c>
      <c r="PX108">
        <v>10650</v>
      </c>
      <c r="PY108">
        <v>11432</v>
      </c>
      <c r="PZ108">
        <v>10846</v>
      </c>
      <c r="QA108">
        <v>11027</v>
      </c>
      <c r="QB108">
        <v>11710</v>
      </c>
      <c r="QC108">
        <v>11577</v>
      </c>
      <c r="QD108">
        <v>12137</v>
      </c>
      <c r="QE108">
        <v>11307</v>
      </c>
      <c r="QF108">
        <v>10938</v>
      </c>
      <c r="QG108">
        <v>12541</v>
      </c>
      <c r="QH108">
        <v>11589</v>
      </c>
      <c r="QI108">
        <v>12891</v>
      </c>
      <c r="QJ108">
        <f t="shared" si="82"/>
        <v>138645</v>
      </c>
      <c r="QK108">
        <v>4503</v>
      </c>
      <c r="QL108">
        <v>4270</v>
      </c>
      <c r="QM108">
        <v>4257</v>
      </c>
      <c r="QN108">
        <v>4322</v>
      </c>
      <c r="QO108">
        <v>5653</v>
      </c>
      <c r="QP108">
        <v>5026</v>
      </c>
      <c r="QQ108">
        <v>5070</v>
      </c>
      <c r="QR108">
        <v>4456</v>
      </c>
      <c r="QS108">
        <v>4599</v>
      </c>
      <c r="QT108">
        <v>4712</v>
      </c>
      <c r="QU108">
        <v>4950</v>
      </c>
      <c r="QV108">
        <v>5517</v>
      </c>
      <c r="QW108">
        <f t="shared" si="83"/>
        <v>57335</v>
      </c>
      <c r="QX108">
        <v>145024</v>
      </c>
      <c r="QY108">
        <v>145900</v>
      </c>
      <c r="QZ108">
        <v>133145</v>
      </c>
      <c r="RA108">
        <v>148936</v>
      </c>
      <c r="RB108">
        <v>142388</v>
      </c>
      <c r="RC108">
        <v>147676</v>
      </c>
      <c r="RD108">
        <v>159655</v>
      </c>
      <c r="RE108">
        <v>142717</v>
      </c>
      <c r="RF108">
        <v>126047</v>
      </c>
      <c r="RG108">
        <v>145746</v>
      </c>
      <c r="RH108">
        <v>143539</v>
      </c>
      <c r="RI108">
        <v>149662</v>
      </c>
      <c r="RJ108">
        <f t="shared" si="84"/>
        <v>1730435</v>
      </c>
      <c r="RK108">
        <v>6585</v>
      </c>
      <c r="RL108">
        <v>7093</v>
      </c>
      <c r="RM108">
        <v>6556</v>
      </c>
      <c r="RN108">
        <v>7587</v>
      </c>
      <c r="RO108">
        <v>7609</v>
      </c>
      <c r="RP108">
        <v>7861</v>
      </c>
      <c r="RQ108">
        <v>7488</v>
      </c>
      <c r="RR108">
        <v>6536</v>
      </c>
      <c r="RS108">
        <v>5634</v>
      </c>
      <c r="RT108">
        <v>7518</v>
      </c>
      <c r="RU108">
        <v>7216</v>
      </c>
      <c r="RV108">
        <v>7288</v>
      </c>
      <c r="RW108">
        <f t="shared" si="85"/>
        <v>84971</v>
      </c>
      <c r="RX108">
        <v>413</v>
      </c>
      <c r="RY108">
        <v>421</v>
      </c>
      <c r="RZ108">
        <v>430</v>
      </c>
      <c r="SA108">
        <v>460</v>
      </c>
      <c r="SB108">
        <v>360</v>
      </c>
      <c r="SC108">
        <v>455</v>
      </c>
      <c r="SD108">
        <v>456</v>
      </c>
      <c r="SE108">
        <v>456</v>
      </c>
      <c r="SF108">
        <v>450</v>
      </c>
      <c r="SG108">
        <v>459</v>
      </c>
      <c r="SH108">
        <v>453</v>
      </c>
      <c r="SI108">
        <v>458</v>
      </c>
      <c r="SJ108">
        <f t="shared" si="86"/>
        <v>5271</v>
      </c>
      <c r="SK108">
        <v>0</v>
      </c>
      <c r="SL108">
        <v>0</v>
      </c>
      <c r="SM108">
        <v>0</v>
      </c>
      <c r="SN108">
        <v>0</v>
      </c>
      <c r="SO108">
        <v>0</v>
      </c>
      <c r="SP108">
        <v>0</v>
      </c>
      <c r="SQ108">
        <v>0</v>
      </c>
      <c r="SR108">
        <v>0</v>
      </c>
      <c r="SS108">
        <v>0</v>
      </c>
      <c r="ST108">
        <v>0</v>
      </c>
      <c r="SU108">
        <v>0</v>
      </c>
      <c r="SV108">
        <v>1939</v>
      </c>
      <c r="SW108">
        <f t="shared" si="87"/>
        <v>1939</v>
      </c>
      <c r="SX108">
        <v>0</v>
      </c>
      <c r="SY108" s="4">
        <v>12226</v>
      </c>
      <c r="SZ108" s="4">
        <v>11643</v>
      </c>
      <c r="TA108" s="4">
        <v>11425</v>
      </c>
      <c r="TB108" s="4">
        <v>11434</v>
      </c>
      <c r="TC108" s="4">
        <v>11227</v>
      </c>
      <c r="TD108" s="4">
        <v>11629</v>
      </c>
      <c r="TE108" s="4">
        <v>12406</v>
      </c>
      <c r="TF108" s="4">
        <v>11630</v>
      </c>
      <c r="TG108" s="4">
        <v>9914</v>
      </c>
      <c r="TH108" s="4">
        <v>11625</v>
      </c>
      <c r="TI108" s="4">
        <v>11128</v>
      </c>
      <c r="TJ108">
        <v>11860</v>
      </c>
      <c r="TK108">
        <f>ROUND(SUM(SY108:TJ108),0)</f>
        <v>138147</v>
      </c>
      <c r="TL108">
        <v>0</v>
      </c>
      <c r="TM108">
        <v>0</v>
      </c>
      <c r="TN108">
        <v>0</v>
      </c>
      <c r="TO108">
        <v>0</v>
      </c>
      <c r="TP108">
        <v>0</v>
      </c>
      <c r="TQ108">
        <v>0</v>
      </c>
      <c r="TR108">
        <v>0</v>
      </c>
      <c r="TS108">
        <v>0</v>
      </c>
      <c r="TT108">
        <v>0</v>
      </c>
      <c r="TU108">
        <v>0</v>
      </c>
      <c r="TV108">
        <v>0</v>
      </c>
      <c r="TW108">
        <v>0</v>
      </c>
      <c r="TX108">
        <f t="shared" si="89"/>
        <v>0</v>
      </c>
      <c r="TY108">
        <v>226</v>
      </c>
      <c r="TZ108">
        <v>0</v>
      </c>
      <c r="UA108">
        <v>0</v>
      </c>
      <c r="UB108">
        <v>0</v>
      </c>
    </row>
    <row r="109" spans="1:548" ht="16.5" customHeight="1" x14ac:dyDescent="0.35">
      <c r="A109" t="s">
        <v>1509</v>
      </c>
      <c r="B109" t="s">
        <v>2867</v>
      </c>
      <c r="C109">
        <v>25294</v>
      </c>
      <c r="D109">
        <v>0</v>
      </c>
      <c r="E109">
        <v>0</v>
      </c>
      <c r="F109">
        <v>0</v>
      </c>
      <c r="G109">
        <v>297</v>
      </c>
      <c r="H109">
        <v>329</v>
      </c>
      <c r="I109">
        <v>308</v>
      </c>
      <c r="J109">
        <v>317</v>
      </c>
      <c r="K109">
        <v>339</v>
      </c>
      <c r="L109">
        <v>286</v>
      </c>
      <c r="M109">
        <v>279</v>
      </c>
      <c r="N109">
        <v>259</v>
      </c>
      <c r="O109">
        <v>228</v>
      </c>
      <c r="P109">
        <v>316</v>
      </c>
      <c r="Q109">
        <v>317</v>
      </c>
      <c r="R109">
        <v>312</v>
      </c>
      <c r="S109">
        <f t="shared" si="45"/>
        <v>3587</v>
      </c>
      <c r="T109">
        <v>185</v>
      </c>
      <c r="U109">
        <v>210</v>
      </c>
      <c r="V109">
        <v>181</v>
      </c>
      <c r="W109">
        <v>197</v>
      </c>
      <c r="X109">
        <v>239</v>
      </c>
      <c r="Y109">
        <v>191</v>
      </c>
      <c r="Z109">
        <v>186</v>
      </c>
      <c r="AA109">
        <v>171</v>
      </c>
      <c r="AB109">
        <v>151</v>
      </c>
      <c r="AC109">
        <v>212</v>
      </c>
      <c r="AD109">
        <v>209</v>
      </c>
      <c r="AE109">
        <v>203</v>
      </c>
      <c r="AF109">
        <f t="shared" si="46"/>
        <v>2335</v>
      </c>
      <c r="AG109">
        <v>2</v>
      </c>
      <c r="AH109">
        <v>2</v>
      </c>
      <c r="AI109">
        <v>9</v>
      </c>
      <c r="AJ109">
        <v>1</v>
      </c>
      <c r="AK109">
        <v>5</v>
      </c>
      <c r="AL109">
        <v>0</v>
      </c>
      <c r="AM109">
        <v>0</v>
      </c>
      <c r="AN109">
        <v>2</v>
      </c>
      <c r="AO109">
        <v>0</v>
      </c>
      <c r="AP109">
        <v>6</v>
      </c>
      <c r="AQ109">
        <v>1</v>
      </c>
      <c r="AR109">
        <v>1</v>
      </c>
      <c r="AS109">
        <f t="shared" si="47"/>
        <v>29</v>
      </c>
      <c r="AT109">
        <v>110</v>
      </c>
      <c r="AU109">
        <v>117</v>
      </c>
      <c r="AV109">
        <v>118</v>
      </c>
      <c r="AW109">
        <v>119</v>
      </c>
      <c r="AX109">
        <v>95</v>
      </c>
      <c r="AY109">
        <v>95</v>
      </c>
      <c r="AZ109">
        <v>93</v>
      </c>
      <c r="BA109">
        <v>86</v>
      </c>
      <c r="BB109">
        <v>77</v>
      </c>
      <c r="BC109">
        <v>98</v>
      </c>
      <c r="BD109">
        <v>107</v>
      </c>
      <c r="BE109">
        <v>108</v>
      </c>
      <c r="BF109">
        <f t="shared" si="48"/>
        <v>1223</v>
      </c>
      <c r="BG109">
        <v>0</v>
      </c>
      <c r="BH109">
        <v>0</v>
      </c>
      <c r="BI109">
        <v>0</v>
      </c>
      <c r="BJ109">
        <v>0</v>
      </c>
      <c r="BK109">
        <v>0</v>
      </c>
      <c r="BL109">
        <v>0</v>
      </c>
      <c r="BM109">
        <v>0</v>
      </c>
      <c r="BN109">
        <v>0</v>
      </c>
      <c r="BO109">
        <v>0</v>
      </c>
      <c r="BP109">
        <v>0</v>
      </c>
      <c r="BQ109">
        <v>0</v>
      </c>
      <c r="BR109">
        <v>0</v>
      </c>
      <c r="BS109">
        <f t="shared" si="49"/>
        <v>0</v>
      </c>
      <c r="BT109">
        <v>1</v>
      </c>
      <c r="BU109">
        <v>1</v>
      </c>
      <c r="BV109">
        <v>1</v>
      </c>
      <c r="BW109">
        <v>0</v>
      </c>
      <c r="BX109">
        <v>0</v>
      </c>
      <c r="BY109">
        <v>0</v>
      </c>
      <c r="BZ109">
        <v>0</v>
      </c>
      <c r="CA109">
        <v>0</v>
      </c>
      <c r="CB109">
        <v>0</v>
      </c>
      <c r="CC109">
        <v>1</v>
      </c>
      <c r="CD109">
        <v>1</v>
      </c>
      <c r="CE109">
        <v>0</v>
      </c>
      <c r="CF109">
        <f t="shared" si="50"/>
        <v>5</v>
      </c>
      <c r="CG109">
        <v>0</v>
      </c>
      <c r="CH109">
        <v>0</v>
      </c>
      <c r="CI109">
        <v>0</v>
      </c>
      <c r="CJ109">
        <v>0</v>
      </c>
      <c r="CK109">
        <v>0</v>
      </c>
      <c r="CL109">
        <v>0</v>
      </c>
      <c r="CM109">
        <v>0</v>
      </c>
      <c r="CN109">
        <v>0</v>
      </c>
      <c r="CO109">
        <v>0</v>
      </c>
      <c r="CP109">
        <v>0</v>
      </c>
      <c r="CQ109">
        <v>0</v>
      </c>
      <c r="CR109">
        <v>0</v>
      </c>
      <c r="CS109">
        <f t="shared" si="51"/>
        <v>0</v>
      </c>
      <c r="CT109">
        <v>0</v>
      </c>
      <c r="CU109">
        <v>0</v>
      </c>
      <c r="CV109">
        <v>0</v>
      </c>
      <c r="CW109">
        <v>0</v>
      </c>
      <c r="CX109">
        <v>0</v>
      </c>
      <c r="CY109">
        <v>0</v>
      </c>
      <c r="CZ109">
        <v>0</v>
      </c>
      <c r="DA109">
        <v>0</v>
      </c>
      <c r="DB109">
        <v>0</v>
      </c>
      <c r="DC109">
        <v>0</v>
      </c>
      <c r="DD109">
        <v>0</v>
      </c>
      <c r="DE109">
        <v>0</v>
      </c>
      <c r="DF109">
        <f t="shared" si="52"/>
        <v>0</v>
      </c>
      <c r="DG109">
        <v>1</v>
      </c>
      <c r="DH109">
        <v>1</v>
      </c>
      <c r="DI109">
        <v>1</v>
      </c>
      <c r="DJ109">
        <v>0</v>
      </c>
      <c r="DK109">
        <v>0</v>
      </c>
      <c r="DL109">
        <v>0</v>
      </c>
      <c r="DM109">
        <v>0</v>
      </c>
      <c r="DN109">
        <v>0</v>
      </c>
      <c r="DO109">
        <v>0</v>
      </c>
      <c r="DP109">
        <v>1</v>
      </c>
      <c r="DQ109">
        <v>1</v>
      </c>
      <c r="DR109">
        <v>0</v>
      </c>
      <c r="DS109">
        <f t="shared" si="53"/>
        <v>5</v>
      </c>
      <c r="DT109">
        <v>0</v>
      </c>
      <c r="DU109">
        <v>0</v>
      </c>
      <c r="DV109">
        <v>0</v>
      </c>
      <c r="DW109">
        <v>0</v>
      </c>
      <c r="DX109">
        <v>0</v>
      </c>
      <c r="DY109">
        <v>0</v>
      </c>
      <c r="DZ109">
        <v>0</v>
      </c>
      <c r="EA109">
        <v>0</v>
      </c>
      <c r="EB109">
        <v>0</v>
      </c>
      <c r="EC109">
        <v>0</v>
      </c>
      <c r="ED109">
        <v>0</v>
      </c>
      <c r="EE109">
        <v>0</v>
      </c>
      <c r="EF109">
        <f t="shared" si="54"/>
        <v>0</v>
      </c>
      <c r="EG109">
        <f t="shared" si="55"/>
        <v>3587</v>
      </c>
      <c r="EH109">
        <f t="shared" si="56"/>
        <v>5</v>
      </c>
      <c r="EI109">
        <v>3820</v>
      </c>
      <c r="EJ109">
        <v>4232</v>
      </c>
      <c r="EK109">
        <v>5304</v>
      </c>
      <c r="EL109">
        <v>9601</v>
      </c>
      <c r="EM109">
        <v>4582</v>
      </c>
      <c r="EN109">
        <v>3117</v>
      </c>
      <c r="EO109">
        <v>3833</v>
      </c>
      <c r="EP109">
        <v>5534</v>
      </c>
      <c r="EQ109">
        <v>3093</v>
      </c>
      <c r="ER109">
        <v>4071</v>
      </c>
      <c r="ES109">
        <v>3830</v>
      </c>
      <c r="ET109">
        <v>3879</v>
      </c>
      <c r="EU109">
        <f t="shared" si="57"/>
        <v>54896</v>
      </c>
      <c r="EV109">
        <v>2871</v>
      </c>
      <c r="EW109">
        <v>3001</v>
      </c>
      <c r="EX109">
        <v>4148</v>
      </c>
      <c r="EY109">
        <v>8457</v>
      </c>
      <c r="EZ109">
        <v>3711</v>
      </c>
      <c r="FA109">
        <v>2289</v>
      </c>
      <c r="FB109">
        <v>2864</v>
      </c>
      <c r="FC109">
        <v>2257</v>
      </c>
      <c r="FD109">
        <v>1885</v>
      </c>
      <c r="FE109">
        <v>2930</v>
      </c>
      <c r="FF109">
        <v>2615</v>
      </c>
      <c r="FG109">
        <v>2653</v>
      </c>
      <c r="FH109">
        <f t="shared" si="58"/>
        <v>39681</v>
      </c>
      <c r="FI109">
        <v>10</v>
      </c>
      <c r="FJ109">
        <v>14</v>
      </c>
      <c r="FK109">
        <v>84</v>
      </c>
      <c r="FL109">
        <v>11</v>
      </c>
      <c r="FM109">
        <v>38</v>
      </c>
      <c r="FN109">
        <v>0</v>
      </c>
      <c r="FO109">
        <v>0</v>
      </c>
      <c r="FP109">
        <v>17</v>
      </c>
      <c r="FQ109">
        <v>0</v>
      </c>
      <c r="FR109">
        <v>30</v>
      </c>
      <c r="FS109">
        <v>8</v>
      </c>
      <c r="FT109">
        <v>12</v>
      </c>
      <c r="FU109">
        <f t="shared" si="59"/>
        <v>224</v>
      </c>
      <c r="FV109">
        <v>939</v>
      </c>
      <c r="FW109">
        <v>1217</v>
      </c>
      <c r="FX109">
        <v>1072</v>
      </c>
      <c r="FY109">
        <v>1133</v>
      </c>
      <c r="FZ109">
        <v>833</v>
      </c>
      <c r="GA109">
        <v>888</v>
      </c>
      <c r="GB109">
        <v>969</v>
      </c>
      <c r="GC109">
        <v>3260</v>
      </c>
      <c r="GD109">
        <v>1208</v>
      </c>
      <c r="GE109">
        <v>1111</v>
      </c>
      <c r="GF109">
        <v>1207</v>
      </c>
      <c r="GG109">
        <v>1214</v>
      </c>
      <c r="GH109">
        <f t="shared" si="60"/>
        <v>15051</v>
      </c>
      <c r="GI109">
        <v>36</v>
      </c>
      <c r="GJ109">
        <v>36</v>
      </c>
      <c r="GK109">
        <v>31</v>
      </c>
      <c r="GL109">
        <v>0</v>
      </c>
      <c r="GM109">
        <v>0</v>
      </c>
      <c r="GN109">
        <v>0</v>
      </c>
      <c r="GO109">
        <v>0</v>
      </c>
      <c r="GP109">
        <v>0</v>
      </c>
      <c r="GQ109">
        <v>0</v>
      </c>
      <c r="GR109">
        <v>0</v>
      </c>
      <c r="GS109">
        <v>0</v>
      </c>
      <c r="GT109">
        <v>0</v>
      </c>
      <c r="GU109">
        <f t="shared" si="61"/>
        <v>103</v>
      </c>
      <c r="GV109">
        <v>0</v>
      </c>
      <c r="GW109">
        <v>0</v>
      </c>
      <c r="GX109">
        <v>0</v>
      </c>
      <c r="GY109">
        <v>0</v>
      </c>
      <c r="GZ109">
        <v>0</v>
      </c>
      <c r="HA109">
        <v>0</v>
      </c>
      <c r="HB109">
        <v>0</v>
      </c>
      <c r="HC109">
        <v>0</v>
      </c>
      <c r="HD109">
        <v>0</v>
      </c>
      <c r="HE109">
        <v>42</v>
      </c>
      <c r="HF109">
        <v>45</v>
      </c>
      <c r="HG109">
        <v>0</v>
      </c>
      <c r="HH109">
        <f t="shared" si="62"/>
        <v>87</v>
      </c>
      <c r="HI109">
        <v>0</v>
      </c>
      <c r="HJ109">
        <v>0</v>
      </c>
      <c r="HK109">
        <v>0</v>
      </c>
      <c r="HL109">
        <v>0</v>
      </c>
      <c r="HM109">
        <v>0</v>
      </c>
      <c r="HN109">
        <v>0</v>
      </c>
      <c r="HO109">
        <v>0</v>
      </c>
      <c r="HP109">
        <v>0</v>
      </c>
      <c r="HQ109">
        <v>0</v>
      </c>
      <c r="HR109">
        <v>0</v>
      </c>
      <c r="HS109">
        <v>0</v>
      </c>
      <c r="HT109">
        <v>0</v>
      </c>
      <c r="HU109">
        <f t="shared" si="63"/>
        <v>0</v>
      </c>
      <c r="HV109">
        <v>36</v>
      </c>
      <c r="HW109">
        <v>36</v>
      </c>
      <c r="HX109">
        <v>31</v>
      </c>
      <c r="HY109">
        <v>0</v>
      </c>
      <c r="HZ109">
        <v>0</v>
      </c>
      <c r="IA109">
        <v>0</v>
      </c>
      <c r="IB109">
        <v>0</v>
      </c>
      <c r="IC109">
        <v>0</v>
      </c>
      <c r="ID109">
        <v>0</v>
      </c>
      <c r="IE109">
        <v>42</v>
      </c>
      <c r="IF109">
        <v>45</v>
      </c>
      <c r="IG109">
        <v>0</v>
      </c>
      <c r="IH109">
        <f t="shared" si="64"/>
        <v>190</v>
      </c>
      <c r="II109">
        <f t="shared" si="65"/>
        <v>54956</v>
      </c>
      <c r="IJ109">
        <f t="shared" si="66"/>
        <v>277</v>
      </c>
      <c r="IK109">
        <v>50913</v>
      </c>
      <c r="IL109">
        <v>52807</v>
      </c>
      <c r="IM109">
        <v>49987</v>
      </c>
      <c r="IN109">
        <v>58847</v>
      </c>
      <c r="IO109">
        <v>58662</v>
      </c>
      <c r="IP109">
        <v>54581</v>
      </c>
      <c r="IQ109">
        <v>50537</v>
      </c>
      <c r="IR109">
        <v>47862</v>
      </c>
      <c r="IS109">
        <v>40540</v>
      </c>
      <c r="IT109">
        <v>54665</v>
      </c>
      <c r="IU109">
        <v>50381</v>
      </c>
      <c r="IV109">
        <v>54517</v>
      </c>
      <c r="IW109">
        <f t="shared" si="67"/>
        <v>624299</v>
      </c>
      <c r="IX109">
        <v>21085</v>
      </c>
      <c r="IY109">
        <v>22597</v>
      </c>
      <c r="IZ109">
        <v>20835</v>
      </c>
      <c r="JA109">
        <v>27249</v>
      </c>
      <c r="JB109">
        <v>27215</v>
      </c>
      <c r="JC109">
        <v>23786</v>
      </c>
      <c r="JD109">
        <v>21792</v>
      </c>
      <c r="JE109">
        <v>20571</v>
      </c>
      <c r="JF109">
        <v>15769</v>
      </c>
      <c r="JG109">
        <v>23253</v>
      </c>
      <c r="JH109">
        <v>22495</v>
      </c>
      <c r="JI109">
        <v>23820</v>
      </c>
      <c r="JJ109">
        <f t="shared" si="68"/>
        <v>270467</v>
      </c>
      <c r="JK109">
        <v>1007</v>
      </c>
      <c r="JL109">
        <v>879</v>
      </c>
      <c r="JM109">
        <v>860</v>
      </c>
      <c r="JN109">
        <v>1162</v>
      </c>
      <c r="JO109">
        <v>1119</v>
      </c>
      <c r="JP109">
        <v>1018</v>
      </c>
      <c r="JQ109">
        <v>923</v>
      </c>
      <c r="JR109">
        <v>890</v>
      </c>
      <c r="JS109">
        <v>726</v>
      </c>
      <c r="JT109">
        <v>910</v>
      </c>
      <c r="JU109">
        <v>880</v>
      </c>
      <c r="JV109">
        <v>1046</v>
      </c>
      <c r="JW109">
        <f t="shared" si="69"/>
        <v>11420</v>
      </c>
      <c r="JX109">
        <v>28742</v>
      </c>
      <c r="JY109">
        <v>29238</v>
      </c>
      <c r="JZ109">
        <v>28238</v>
      </c>
      <c r="KA109">
        <v>30377</v>
      </c>
      <c r="KB109">
        <v>30232</v>
      </c>
      <c r="KC109">
        <v>29703</v>
      </c>
      <c r="KD109">
        <v>27741</v>
      </c>
      <c r="KE109">
        <v>26327</v>
      </c>
      <c r="KF109">
        <v>23969</v>
      </c>
      <c r="KG109">
        <v>30433</v>
      </c>
      <c r="KH109">
        <v>26936</v>
      </c>
      <c r="KI109">
        <v>29598</v>
      </c>
      <c r="KJ109">
        <f t="shared" si="70"/>
        <v>341534</v>
      </c>
      <c r="KK109">
        <v>0</v>
      </c>
      <c r="KL109">
        <v>0</v>
      </c>
      <c r="KM109">
        <v>0</v>
      </c>
      <c r="KN109">
        <v>0</v>
      </c>
      <c r="KO109">
        <v>0</v>
      </c>
      <c r="KP109">
        <v>0</v>
      </c>
      <c r="KQ109">
        <v>0</v>
      </c>
      <c r="KR109">
        <v>0</v>
      </c>
      <c r="KS109">
        <v>0</v>
      </c>
      <c r="KT109">
        <v>0</v>
      </c>
      <c r="KU109">
        <v>0</v>
      </c>
      <c r="KV109">
        <v>0</v>
      </c>
      <c r="KW109">
        <f t="shared" si="71"/>
        <v>0</v>
      </c>
      <c r="KX109">
        <v>0</v>
      </c>
      <c r="KY109">
        <v>0</v>
      </c>
      <c r="KZ109">
        <v>0</v>
      </c>
      <c r="LA109">
        <v>0</v>
      </c>
      <c r="LB109">
        <v>0</v>
      </c>
      <c r="LC109">
        <v>0</v>
      </c>
      <c r="LD109">
        <v>0</v>
      </c>
      <c r="LE109">
        <v>0</v>
      </c>
      <c r="LF109">
        <v>0</v>
      </c>
      <c r="LG109">
        <v>0</v>
      </c>
      <c r="LH109">
        <v>0</v>
      </c>
      <c r="LI109">
        <v>0</v>
      </c>
      <c r="LJ109">
        <f t="shared" si="72"/>
        <v>0</v>
      </c>
      <c r="LK109">
        <v>0</v>
      </c>
      <c r="LL109">
        <v>0</v>
      </c>
      <c r="LM109">
        <v>0</v>
      </c>
      <c r="LN109">
        <v>0</v>
      </c>
      <c r="LO109">
        <v>0</v>
      </c>
      <c r="LP109">
        <v>0</v>
      </c>
      <c r="LQ109">
        <v>0</v>
      </c>
      <c r="LR109">
        <v>0</v>
      </c>
      <c r="LS109">
        <v>0</v>
      </c>
      <c r="LT109">
        <v>0</v>
      </c>
      <c r="LU109">
        <v>0</v>
      </c>
      <c r="LV109">
        <v>0</v>
      </c>
      <c r="LW109">
        <f t="shared" si="73"/>
        <v>0</v>
      </c>
      <c r="LX109">
        <v>0</v>
      </c>
      <c r="LY109">
        <v>0</v>
      </c>
      <c r="LZ109">
        <v>0</v>
      </c>
      <c r="MA109">
        <v>0</v>
      </c>
      <c r="MB109">
        <v>0</v>
      </c>
      <c r="MC109">
        <v>0</v>
      </c>
      <c r="MD109">
        <v>0</v>
      </c>
      <c r="ME109">
        <v>0</v>
      </c>
      <c r="MF109">
        <v>0</v>
      </c>
      <c r="MG109">
        <v>0</v>
      </c>
      <c r="MH109">
        <v>0</v>
      </c>
      <c r="MI109">
        <v>0</v>
      </c>
      <c r="MJ109">
        <f t="shared" si="74"/>
        <v>0</v>
      </c>
      <c r="MK109">
        <v>4371</v>
      </c>
      <c r="ML109">
        <v>4759</v>
      </c>
      <c r="MM109">
        <v>4476</v>
      </c>
      <c r="MN109">
        <v>5046</v>
      </c>
      <c r="MO109">
        <v>4929</v>
      </c>
      <c r="MP109">
        <v>4481</v>
      </c>
      <c r="MQ109">
        <v>4498</v>
      </c>
      <c r="MR109">
        <v>4388</v>
      </c>
      <c r="MS109">
        <v>4434</v>
      </c>
      <c r="MT109">
        <v>4596</v>
      </c>
      <c r="MU109">
        <v>4323</v>
      </c>
      <c r="MV109">
        <v>4509</v>
      </c>
      <c r="MW109">
        <f t="shared" si="75"/>
        <v>54810</v>
      </c>
      <c r="MX109">
        <v>330</v>
      </c>
      <c r="MY109">
        <v>392</v>
      </c>
      <c r="MZ109">
        <v>297</v>
      </c>
      <c r="NA109">
        <v>415</v>
      </c>
      <c r="NB109">
        <v>426</v>
      </c>
      <c r="NC109">
        <v>329</v>
      </c>
      <c r="ND109">
        <v>343</v>
      </c>
      <c r="NE109">
        <v>388</v>
      </c>
      <c r="NF109">
        <v>360</v>
      </c>
      <c r="NG109">
        <v>332</v>
      </c>
      <c r="NH109">
        <v>342</v>
      </c>
      <c r="NI109">
        <v>361</v>
      </c>
      <c r="NJ109">
        <f t="shared" si="76"/>
        <v>4315</v>
      </c>
      <c r="NK109">
        <v>0</v>
      </c>
      <c r="NL109">
        <v>0</v>
      </c>
      <c r="NM109">
        <v>0</v>
      </c>
      <c r="NN109">
        <v>0</v>
      </c>
      <c r="NO109">
        <v>0</v>
      </c>
      <c r="NP109">
        <v>0</v>
      </c>
      <c r="NQ109">
        <v>0</v>
      </c>
      <c r="NR109">
        <v>0</v>
      </c>
      <c r="NS109">
        <v>0</v>
      </c>
      <c r="NT109">
        <v>0</v>
      </c>
      <c r="NU109">
        <v>0</v>
      </c>
      <c r="NV109">
        <v>0</v>
      </c>
      <c r="NW109">
        <f t="shared" si="77"/>
        <v>0</v>
      </c>
      <c r="NX109">
        <v>4041</v>
      </c>
      <c r="NY109">
        <v>4367</v>
      </c>
      <c r="NZ109">
        <v>4180</v>
      </c>
      <c r="OA109">
        <v>4631</v>
      </c>
      <c r="OB109">
        <v>4503</v>
      </c>
      <c r="OC109">
        <v>4152</v>
      </c>
      <c r="OD109">
        <v>4155</v>
      </c>
      <c r="OE109">
        <v>4000</v>
      </c>
      <c r="OF109">
        <v>4074</v>
      </c>
      <c r="OG109">
        <v>4264</v>
      </c>
      <c r="OH109">
        <v>3981</v>
      </c>
      <c r="OI109">
        <v>4148</v>
      </c>
      <c r="OJ109">
        <f t="shared" si="78"/>
        <v>50496</v>
      </c>
      <c r="OK109">
        <v>5536</v>
      </c>
      <c r="OL109">
        <v>5643</v>
      </c>
      <c r="OM109">
        <v>5538</v>
      </c>
      <c r="ON109">
        <v>5830</v>
      </c>
      <c r="OO109">
        <v>5654</v>
      </c>
      <c r="OP109">
        <v>5423</v>
      </c>
      <c r="OQ109">
        <v>5161</v>
      </c>
      <c r="OR109">
        <v>5660</v>
      </c>
      <c r="OS109">
        <v>5678</v>
      </c>
      <c r="OT109">
        <v>6403</v>
      </c>
      <c r="OU109">
        <v>5886</v>
      </c>
      <c r="OV109">
        <v>6451</v>
      </c>
      <c r="OW109">
        <f t="shared" si="79"/>
        <v>68863</v>
      </c>
      <c r="OX109">
        <v>738</v>
      </c>
      <c r="OY109">
        <v>773</v>
      </c>
      <c r="OZ109">
        <v>751</v>
      </c>
      <c r="PA109">
        <v>913</v>
      </c>
      <c r="PB109">
        <v>900</v>
      </c>
      <c r="PC109">
        <v>770</v>
      </c>
      <c r="PD109">
        <v>834</v>
      </c>
      <c r="PE109">
        <v>759</v>
      </c>
      <c r="PF109">
        <v>804</v>
      </c>
      <c r="PG109">
        <v>826</v>
      </c>
      <c r="PH109">
        <v>927</v>
      </c>
      <c r="PI109">
        <v>1041</v>
      </c>
      <c r="PJ109">
        <f t="shared" si="80"/>
        <v>10036</v>
      </c>
      <c r="PK109">
        <v>0</v>
      </c>
      <c r="PL109">
        <v>0</v>
      </c>
      <c r="PM109">
        <v>0</v>
      </c>
      <c r="PN109">
        <v>0</v>
      </c>
      <c r="PO109">
        <v>0</v>
      </c>
      <c r="PP109">
        <v>0</v>
      </c>
      <c r="PQ109">
        <v>0</v>
      </c>
      <c r="PR109">
        <v>0</v>
      </c>
      <c r="PS109">
        <v>0</v>
      </c>
      <c r="PT109">
        <v>0</v>
      </c>
      <c r="PU109">
        <v>0</v>
      </c>
      <c r="PV109">
        <v>0</v>
      </c>
      <c r="PW109">
        <f t="shared" si="81"/>
        <v>0</v>
      </c>
      <c r="PX109">
        <v>4798</v>
      </c>
      <c r="PY109">
        <v>4870</v>
      </c>
      <c r="PZ109">
        <v>4878</v>
      </c>
      <c r="QA109">
        <v>4917</v>
      </c>
      <c r="QB109">
        <v>4754</v>
      </c>
      <c r="QC109">
        <v>4653</v>
      </c>
      <c r="QD109">
        <v>5161</v>
      </c>
      <c r="QE109">
        <v>4901</v>
      </c>
      <c r="QF109">
        <v>4874</v>
      </c>
      <c r="QG109">
        <v>5577</v>
      </c>
      <c r="QH109">
        <v>4959</v>
      </c>
      <c r="QI109">
        <v>5410</v>
      </c>
      <c r="QJ109">
        <f t="shared" si="82"/>
        <v>59752</v>
      </c>
      <c r="QK109">
        <v>73012</v>
      </c>
      <c r="QL109">
        <v>77532</v>
      </c>
      <c r="QM109">
        <v>76448</v>
      </c>
      <c r="QN109">
        <v>83155</v>
      </c>
      <c r="QO109">
        <v>77154</v>
      </c>
      <c r="QP109">
        <v>78706</v>
      </c>
      <c r="QQ109">
        <v>76676</v>
      </c>
      <c r="QR109">
        <v>71164</v>
      </c>
      <c r="QS109">
        <v>58958</v>
      </c>
      <c r="QT109">
        <v>79625</v>
      </c>
      <c r="QU109">
        <v>76916</v>
      </c>
      <c r="QV109">
        <v>86508</v>
      </c>
      <c r="QW109">
        <f t="shared" si="83"/>
        <v>915854</v>
      </c>
      <c r="QX109">
        <v>0</v>
      </c>
      <c r="QY109">
        <v>0</v>
      </c>
      <c r="QZ109">
        <v>0</v>
      </c>
      <c r="RA109">
        <v>0</v>
      </c>
      <c r="RB109">
        <v>0</v>
      </c>
      <c r="RC109">
        <v>0</v>
      </c>
      <c r="RD109">
        <v>0</v>
      </c>
      <c r="RE109">
        <v>0</v>
      </c>
      <c r="RF109">
        <v>0</v>
      </c>
      <c r="RG109">
        <v>0</v>
      </c>
      <c r="RH109">
        <v>0</v>
      </c>
      <c r="RI109">
        <v>0</v>
      </c>
      <c r="RJ109">
        <f t="shared" si="84"/>
        <v>0</v>
      </c>
      <c r="RK109">
        <v>0</v>
      </c>
      <c r="RL109">
        <v>0</v>
      </c>
      <c r="RM109">
        <v>0</v>
      </c>
      <c r="RN109">
        <v>0</v>
      </c>
      <c r="RO109">
        <v>0</v>
      </c>
      <c r="RP109">
        <v>0</v>
      </c>
      <c r="RQ109">
        <v>0</v>
      </c>
      <c r="RR109">
        <v>0</v>
      </c>
      <c r="RS109">
        <v>0</v>
      </c>
      <c r="RT109">
        <v>0</v>
      </c>
      <c r="RU109">
        <v>0</v>
      </c>
      <c r="RV109">
        <v>0</v>
      </c>
      <c r="RW109">
        <f t="shared" si="85"/>
        <v>0</v>
      </c>
      <c r="RX109">
        <v>0</v>
      </c>
      <c r="RY109">
        <v>0</v>
      </c>
      <c r="RZ109">
        <v>0</v>
      </c>
      <c r="SA109">
        <v>0</v>
      </c>
      <c r="SB109">
        <v>0</v>
      </c>
      <c r="SC109">
        <v>0</v>
      </c>
      <c r="SD109">
        <v>0</v>
      </c>
      <c r="SE109">
        <v>0</v>
      </c>
      <c r="SF109">
        <v>0</v>
      </c>
      <c r="SG109">
        <v>0</v>
      </c>
      <c r="SH109">
        <v>0</v>
      </c>
      <c r="SI109">
        <v>0</v>
      </c>
      <c r="SJ109">
        <f t="shared" si="86"/>
        <v>0</v>
      </c>
      <c r="SK109">
        <v>0</v>
      </c>
      <c r="SL109">
        <v>0</v>
      </c>
      <c r="SM109">
        <v>0</v>
      </c>
      <c r="SN109">
        <v>0</v>
      </c>
      <c r="SO109">
        <v>0</v>
      </c>
      <c r="SP109">
        <v>0</v>
      </c>
      <c r="SQ109">
        <v>0</v>
      </c>
      <c r="SR109">
        <v>0</v>
      </c>
      <c r="SS109">
        <v>0</v>
      </c>
      <c r="ST109">
        <v>0</v>
      </c>
      <c r="SU109">
        <v>0</v>
      </c>
      <c r="SV109">
        <v>0</v>
      </c>
      <c r="SW109">
        <f t="shared" si="87"/>
        <v>0</v>
      </c>
      <c r="SX109" s="1" t="s">
        <v>1558</v>
      </c>
      <c r="SY109">
        <v>2879</v>
      </c>
      <c r="SZ109">
        <v>3222</v>
      </c>
      <c r="TA109">
        <v>2775</v>
      </c>
      <c r="TB109">
        <v>3187</v>
      </c>
      <c r="TC109">
        <v>3040</v>
      </c>
      <c r="TD109">
        <v>3105</v>
      </c>
      <c r="TE109">
        <v>3106</v>
      </c>
      <c r="TF109">
        <v>2837</v>
      </c>
      <c r="TG109">
        <v>2228</v>
      </c>
      <c r="TH109">
        <v>3041</v>
      </c>
      <c r="TI109">
        <v>2934</v>
      </c>
      <c r="TJ109">
        <v>3378</v>
      </c>
      <c r="TK109">
        <f t="shared" si="88"/>
        <v>35732</v>
      </c>
      <c r="TL109">
        <v>0</v>
      </c>
      <c r="TM109">
        <v>0</v>
      </c>
      <c r="TN109">
        <v>0</v>
      </c>
      <c r="TO109">
        <v>0</v>
      </c>
      <c r="TP109">
        <v>0</v>
      </c>
      <c r="TQ109">
        <v>0</v>
      </c>
      <c r="TR109">
        <v>0</v>
      </c>
      <c r="TS109">
        <v>0</v>
      </c>
      <c r="TT109">
        <v>0</v>
      </c>
      <c r="TU109">
        <v>0</v>
      </c>
      <c r="TV109">
        <v>0</v>
      </c>
      <c r="TW109">
        <v>0</v>
      </c>
      <c r="TX109">
        <f t="shared" si="89"/>
        <v>0</v>
      </c>
      <c r="TY109">
        <v>87</v>
      </c>
      <c r="TZ109">
        <v>0</v>
      </c>
      <c r="UA109">
        <v>0</v>
      </c>
      <c r="UB109">
        <v>0</v>
      </c>
    </row>
    <row r="110" spans="1:548" ht="16.5" customHeight="1" x14ac:dyDescent="0.35">
      <c r="A110" t="s">
        <v>1556</v>
      </c>
      <c r="B110" t="s">
        <v>2866</v>
      </c>
      <c r="C110">
        <v>33256</v>
      </c>
      <c r="D110">
        <v>0</v>
      </c>
      <c r="E110">
        <v>0</v>
      </c>
      <c r="F110">
        <v>0</v>
      </c>
      <c r="G110">
        <v>0</v>
      </c>
      <c r="H110">
        <v>0</v>
      </c>
      <c r="I110">
        <v>0</v>
      </c>
      <c r="J110">
        <v>0</v>
      </c>
      <c r="K110">
        <v>0</v>
      </c>
      <c r="L110">
        <v>0</v>
      </c>
      <c r="M110">
        <v>0</v>
      </c>
      <c r="N110">
        <v>0</v>
      </c>
      <c r="O110">
        <v>0</v>
      </c>
      <c r="P110">
        <v>0</v>
      </c>
      <c r="Q110">
        <v>0</v>
      </c>
      <c r="R110">
        <v>0</v>
      </c>
      <c r="S110">
        <f t="shared" si="45"/>
        <v>0</v>
      </c>
      <c r="T110">
        <v>214</v>
      </c>
      <c r="U110">
        <v>257</v>
      </c>
      <c r="V110">
        <v>247</v>
      </c>
      <c r="W110">
        <v>285</v>
      </c>
      <c r="X110">
        <v>138</v>
      </c>
      <c r="Y110">
        <v>238</v>
      </c>
      <c r="Z110">
        <v>410</v>
      </c>
      <c r="AA110">
        <v>301</v>
      </c>
      <c r="AB110">
        <v>371</v>
      </c>
      <c r="AC110">
        <v>293</v>
      </c>
      <c r="AD110">
        <v>275</v>
      </c>
      <c r="AE110">
        <v>319</v>
      </c>
      <c r="AF110">
        <f t="shared" si="46"/>
        <v>3348</v>
      </c>
      <c r="AG110">
        <v>0</v>
      </c>
      <c r="AH110">
        <v>0</v>
      </c>
      <c r="AI110">
        <v>0</v>
      </c>
      <c r="AJ110">
        <v>0</v>
      </c>
      <c r="AK110">
        <v>0</v>
      </c>
      <c r="AL110">
        <v>0</v>
      </c>
      <c r="AM110">
        <v>0</v>
      </c>
      <c r="AN110">
        <v>0</v>
      </c>
      <c r="AO110">
        <v>0</v>
      </c>
      <c r="AP110">
        <v>0</v>
      </c>
      <c r="AQ110">
        <v>0</v>
      </c>
      <c r="AR110">
        <v>0</v>
      </c>
      <c r="AS110">
        <f t="shared" si="47"/>
        <v>0</v>
      </c>
      <c r="AT110">
        <v>124</v>
      </c>
      <c r="AU110">
        <v>123</v>
      </c>
      <c r="AV110">
        <v>136</v>
      </c>
      <c r="AW110">
        <v>136</v>
      </c>
      <c r="AX110">
        <v>138</v>
      </c>
      <c r="AY110">
        <v>159</v>
      </c>
      <c r="AZ110">
        <v>170</v>
      </c>
      <c r="BA110">
        <v>162</v>
      </c>
      <c r="BB110">
        <v>127</v>
      </c>
      <c r="BC110">
        <v>179</v>
      </c>
      <c r="BD110">
        <v>163</v>
      </c>
      <c r="BE110">
        <v>165</v>
      </c>
      <c r="BF110">
        <f t="shared" si="48"/>
        <v>1782</v>
      </c>
      <c r="BG110">
        <v>0</v>
      </c>
      <c r="BH110">
        <v>0</v>
      </c>
      <c r="BI110">
        <v>0</v>
      </c>
      <c r="BJ110">
        <v>0</v>
      </c>
      <c r="BK110">
        <v>0</v>
      </c>
      <c r="BL110">
        <v>0</v>
      </c>
      <c r="BM110">
        <v>0</v>
      </c>
      <c r="BN110">
        <v>0</v>
      </c>
      <c r="BO110">
        <v>0</v>
      </c>
      <c r="BP110">
        <v>0</v>
      </c>
      <c r="BQ110">
        <v>0</v>
      </c>
      <c r="BR110">
        <v>0</v>
      </c>
      <c r="BS110">
        <f t="shared" si="49"/>
        <v>0</v>
      </c>
      <c r="BT110">
        <v>0</v>
      </c>
      <c r="BU110">
        <v>0</v>
      </c>
      <c r="BV110">
        <v>0</v>
      </c>
      <c r="BW110">
        <v>0</v>
      </c>
      <c r="BX110">
        <v>0</v>
      </c>
      <c r="BY110">
        <v>0</v>
      </c>
      <c r="BZ110">
        <v>0</v>
      </c>
      <c r="CA110">
        <v>0</v>
      </c>
      <c r="CB110">
        <v>0</v>
      </c>
      <c r="CC110">
        <v>0</v>
      </c>
      <c r="CD110">
        <v>0</v>
      </c>
      <c r="CE110">
        <v>0</v>
      </c>
      <c r="CF110">
        <f t="shared" si="50"/>
        <v>0</v>
      </c>
      <c r="CG110">
        <v>0</v>
      </c>
      <c r="CH110">
        <v>0</v>
      </c>
      <c r="CI110">
        <v>0</v>
      </c>
      <c r="CJ110">
        <v>0</v>
      </c>
      <c r="CK110">
        <v>0</v>
      </c>
      <c r="CL110">
        <v>4</v>
      </c>
      <c r="CM110">
        <v>0</v>
      </c>
      <c r="CN110">
        <v>0</v>
      </c>
      <c r="CO110">
        <v>0</v>
      </c>
      <c r="CP110">
        <v>0</v>
      </c>
      <c r="CQ110">
        <v>0</v>
      </c>
      <c r="CR110">
        <v>0</v>
      </c>
      <c r="CS110">
        <f t="shared" si="51"/>
        <v>4</v>
      </c>
      <c r="CT110">
        <v>0</v>
      </c>
      <c r="CU110">
        <v>0</v>
      </c>
      <c r="CV110">
        <v>0</v>
      </c>
      <c r="CW110">
        <v>0</v>
      </c>
      <c r="CX110">
        <v>0</v>
      </c>
      <c r="CY110">
        <v>0</v>
      </c>
      <c r="CZ110">
        <v>0</v>
      </c>
      <c r="DA110">
        <v>0</v>
      </c>
      <c r="DB110">
        <v>0</v>
      </c>
      <c r="DC110">
        <v>0</v>
      </c>
      <c r="DD110">
        <v>0</v>
      </c>
      <c r="DE110">
        <v>0</v>
      </c>
      <c r="DF110">
        <f t="shared" si="52"/>
        <v>0</v>
      </c>
      <c r="DG110">
        <v>0</v>
      </c>
      <c r="DH110">
        <v>0</v>
      </c>
      <c r="DI110">
        <v>0</v>
      </c>
      <c r="DJ110">
        <v>0</v>
      </c>
      <c r="DK110">
        <v>0</v>
      </c>
      <c r="DL110">
        <v>0</v>
      </c>
      <c r="DM110">
        <v>0</v>
      </c>
      <c r="DN110">
        <v>0</v>
      </c>
      <c r="DO110">
        <v>0</v>
      </c>
      <c r="DP110">
        <v>0</v>
      </c>
      <c r="DQ110">
        <v>0</v>
      </c>
      <c r="DR110">
        <v>0</v>
      </c>
      <c r="DS110">
        <f t="shared" si="53"/>
        <v>0</v>
      </c>
      <c r="DT110">
        <v>0</v>
      </c>
      <c r="DU110">
        <v>0</v>
      </c>
      <c r="DV110">
        <v>0</v>
      </c>
      <c r="DW110">
        <v>0</v>
      </c>
      <c r="DX110">
        <v>0</v>
      </c>
      <c r="DY110">
        <v>0</v>
      </c>
      <c r="DZ110">
        <v>0</v>
      </c>
      <c r="EA110">
        <v>0</v>
      </c>
      <c r="EB110">
        <v>0</v>
      </c>
      <c r="EC110">
        <v>0</v>
      </c>
      <c r="ED110">
        <v>0</v>
      </c>
      <c r="EE110">
        <v>0</v>
      </c>
      <c r="EF110">
        <f t="shared" si="54"/>
        <v>0</v>
      </c>
      <c r="EG110">
        <f t="shared" si="55"/>
        <v>5130</v>
      </c>
      <c r="EH110">
        <f t="shared" si="56"/>
        <v>4</v>
      </c>
      <c r="EI110">
        <v>0</v>
      </c>
      <c r="EJ110">
        <v>0</v>
      </c>
      <c r="EK110">
        <v>0</v>
      </c>
      <c r="EL110">
        <v>0</v>
      </c>
      <c r="EM110">
        <v>0</v>
      </c>
      <c r="EN110">
        <v>0</v>
      </c>
      <c r="EO110">
        <v>0</v>
      </c>
      <c r="EP110">
        <v>0</v>
      </c>
      <c r="EQ110">
        <v>0</v>
      </c>
      <c r="ER110">
        <v>0</v>
      </c>
      <c r="ES110">
        <v>0</v>
      </c>
      <c r="ET110">
        <v>0</v>
      </c>
      <c r="EU110">
        <f t="shared" si="57"/>
        <v>0</v>
      </c>
      <c r="EV110">
        <v>2483</v>
      </c>
      <c r="EW110">
        <v>3659</v>
      </c>
      <c r="EX110">
        <v>4332</v>
      </c>
      <c r="EY110">
        <v>14383</v>
      </c>
      <c r="EZ110">
        <v>3047</v>
      </c>
      <c r="FA110">
        <v>5638</v>
      </c>
      <c r="FB110">
        <v>5315</v>
      </c>
      <c r="FC110">
        <v>5035</v>
      </c>
      <c r="FD110">
        <v>3366</v>
      </c>
      <c r="FE110">
        <v>4774</v>
      </c>
      <c r="FF110">
        <v>14795</v>
      </c>
      <c r="FG110">
        <v>5699</v>
      </c>
      <c r="FH110">
        <f t="shared" si="58"/>
        <v>72526</v>
      </c>
      <c r="FI110">
        <v>0</v>
      </c>
      <c r="FJ110">
        <v>0</v>
      </c>
      <c r="FK110">
        <v>0</v>
      </c>
      <c r="FL110">
        <v>0</v>
      </c>
      <c r="FM110">
        <v>0</v>
      </c>
      <c r="FN110">
        <v>0</v>
      </c>
      <c r="FO110">
        <v>0</v>
      </c>
      <c r="FP110">
        <v>0</v>
      </c>
      <c r="FQ110">
        <v>0</v>
      </c>
      <c r="FR110">
        <v>0</v>
      </c>
      <c r="FS110">
        <v>0</v>
      </c>
      <c r="FT110">
        <v>0</v>
      </c>
      <c r="FU110">
        <f t="shared" si="59"/>
        <v>0</v>
      </c>
      <c r="FV110">
        <v>1159</v>
      </c>
      <c r="FW110">
        <v>1058</v>
      </c>
      <c r="FX110">
        <v>1099</v>
      </c>
      <c r="FY110">
        <v>1207</v>
      </c>
      <c r="FZ110">
        <v>1016</v>
      </c>
      <c r="GA110">
        <v>1185</v>
      </c>
      <c r="GB110">
        <v>1339</v>
      </c>
      <c r="GC110">
        <v>1196</v>
      </c>
      <c r="GD110">
        <v>1722</v>
      </c>
      <c r="GE110">
        <v>1420</v>
      </c>
      <c r="GF110">
        <v>1511</v>
      </c>
      <c r="GG110">
        <v>1613</v>
      </c>
      <c r="GH110">
        <f t="shared" si="60"/>
        <v>15525</v>
      </c>
      <c r="GI110">
        <v>0</v>
      </c>
      <c r="GJ110">
        <v>0</v>
      </c>
      <c r="GK110">
        <v>0</v>
      </c>
      <c r="GL110">
        <v>0</v>
      </c>
      <c r="GM110">
        <v>0</v>
      </c>
      <c r="GN110">
        <v>0</v>
      </c>
      <c r="GO110">
        <v>0</v>
      </c>
      <c r="GP110">
        <v>0</v>
      </c>
      <c r="GQ110">
        <v>0</v>
      </c>
      <c r="GR110">
        <v>0</v>
      </c>
      <c r="GS110">
        <v>0</v>
      </c>
      <c r="GT110">
        <v>0</v>
      </c>
      <c r="GU110">
        <f t="shared" si="61"/>
        <v>0</v>
      </c>
      <c r="GV110">
        <v>0</v>
      </c>
      <c r="GW110">
        <v>0</v>
      </c>
      <c r="GX110">
        <v>0</v>
      </c>
      <c r="GY110">
        <v>0</v>
      </c>
      <c r="GZ110">
        <v>0</v>
      </c>
      <c r="HA110">
        <v>120</v>
      </c>
      <c r="HB110">
        <v>0</v>
      </c>
      <c r="HC110">
        <v>0</v>
      </c>
      <c r="HD110">
        <v>0</v>
      </c>
      <c r="HE110">
        <v>0</v>
      </c>
      <c r="HF110">
        <v>0</v>
      </c>
      <c r="HG110">
        <v>0</v>
      </c>
      <c r="HH110">
        <f t="shared" si="62"/>
        <v>120</v>
      </c>
      <c r="HI110">
        <v>0</v>
      </c>
      <c r="HJ110">
        <v>0</v>
      </c>
      <c r="HK110">
        <v>0</v>
      </c>
      <c r="HL110">
        <v>0</v>
      </c>
      <c r="HM110">
        <v>0</v>
      </c>
      <c r="HN110">
        <v>0</v>
      </c>
      <c r="HO110">
        <v>0</v>
      </c>
      <c r="HP110">
        <v>0</v>
      </c>
      <c r="HQ110">
        <v>0</v>
      </c>
      <c r="HR110">
        <v>0</v>
      </c>
      <c r="HS110">
        <v>0</v>
      </c>
      <c r="HT110">
        <v>0</v>
      </c>
      <c r="HU110">
        <f t="shared" si="63"/>
        <v>0</v>
      </c>
      <c r="HV110">
        <v>0</v>
      </c>
      <c r="HW110">
        <v>0</v>
      </c>
      <c r="HX110">
        <v>0</v>
      </c>
      <c r="HY110">
        <v>0</v>
      </c>
      <c r="HZ110">
        <v>0</v>
      </c>
      <c r="IA110">
        <v>0</v>
      </c>
      <c r="IB110">
        <v>0</v>
      </c>
      <c r="IC110">
        <v>0</v>
      </c>
      <c r="ID110">
        <v>0</v>
      </c>
      <c r="IE110">
        <v>0</v>
      </c>
      <c r="IF110">
        <v>0</v>
      </c>
      <c r="IG110">
        <v>0</v>
      </c>
      <c r="IH110">
        <f t="shared" si="64"/>
        <v>0</v>
      </c>
      <c r="II110">
        <f t="shared" si="65"/>
        <v>88051</v>
      </c>
      <c r="IJ110">
        <f t="shared" si="66"/>
        <v>120</v>
      </c>
      <c r="IK110">
        <v>105842</v>
      </c>
      <c r="IL110">
        <v>106517</v>
      </c>
      <c r="IM110">
        <v>102050</v>
      </c>
      <c r="IN110">
        <v>125486</v>
      </c>
      <c r="IO110">
        <v>125981</v>
      </c>
      <c r="IP110">
        <v>117049</v>
      </c>
      <c r="IQ110">
        <v>122277</v>
      </c>
      <c r="IR110">
        <v>107932</v>
      </c>
      <c r="IS110">
        <v>96797</v>
      </c>
      <c r="IT110">
        <v>115768</v>
      </c>
      <c r="IU110">
        <v>102874</v>
      </c>
      <c r="IV110">
        <v>114853</v>
      </c>
      <c r="IW110">
        <f t="shared" si="67"/>
        <v>1343426</v>
      </c>
      <c r="IX110">
        <v>54018</v>
      </c>
      <c r="IY110">
        <v>54428</v>
      </c>
      <c r="IZ110">
        <v>51372</v>
      </c>
      <c r="JA110">
        <v>67874</v>
      </c>
      <c r="JB110">
        <v>67576</v>
      </c>
      <c r="JC110">
        <v>60164</v>
      </c>
      <c r="JD110">
        <v>63982</v>
      </c>
      <c r="JE110">
        <v>55397</v>
      </c>
      <c r="JF110">
        <v>48471</v>
      </c>
      <c r="JG110">
        <v>59275</v>
      </c>
      <c r="JH110">
        <v>53590</v>
      </c>
      <c r="JI110">
        <v>59269</v>
      </c>
      <c r="JJ110">
        <f t="shared" si="68"/>
        <v>695416</v>
      </c>
      <c r="JK110">
        <v>2815</v>
      </c>
      <c r="JL110">
        <v>2756</v>
      </c>
      <c r="JM110">
        <v>2741</v>
      </c>
      <c r="JN110">
        <v>3869</v>
      </c>
      <c r="JO110">
        <v>3953</v>
      </c>
      <c r="JP110">
        <v>3400</v>
      </c>
      <c r="JQ110">
        <v>3484</v>
      </c>
      <c r="JR110">
        <v>2877</v>
      </c>
      <c r="JS110">
        <v>2529</v>
      </c>
      <c r="JT110">
        <v>3298</v>
      </c>
      <c r="JU110">
        <v>2863</v>
      </c>
      <c r="JV110">
        <v>3010</v>
      </c>
      <c r="JW110">
        <f t="shared" si="69"/>
        <v>37595</v>
      </c>
      <c r="JX110">
        <v>49009</v>
      </c>
      <c r="JY110">
        <v>49333</v>
      </c>
      <c r="JZ110">
        <v>47937</v>
      </c>
      <c r="KA110">
        <v>53743</v>
      </c>
      <c r="KB110">
        <v>54452</v>
      </c>
      <c r="KC110">
        <v>53485</v>
      </c>
      <c r="KD110">
        <v>54811</v>
      </c>
      <c r="KE110">
        <v>49658</v>
      </c>
      <c r="KF110">
        <v>45797</v>
      </c>
      <c r="KG110">
        <v>53195</v>
      </c>
      <c r="KH110">
        <v>46421</v>
      </c>
      <c r="KI110">
        <v>52574</v>
      </c>
      <c r="KJ110">
        <f t="shared" si="70"/>
        <v>610415</v>
      </c>
      <c r="KK110">
        <v>584</v>
      </c>
      <c r="KL110">
        <v>609</v>
      </c>
      <c r="KM110">
        <v>545</v>
      </c>
      <c r="KN110">
        <v>611</v>
      </c>
      <c r="KO110">
        <v>621</v>
      </c>
      <c r="KP110">
        <v>680</v>
      </c>
      <c r="KQ110">
        <v>635</v>
      </c>
      <c r="KR110">
        <v>586</v>
      </c>
      <c r="KS110">
        <v>677</v>
      </c>
      <c r="KT110">
        <v>630</v>
      </c>
      <c r="KU110">
        <v>585</v>
      </c>
      <c r="KV110">
        <v>511</v>
      </c>
      <c r="KW110">
        <f t="shared" si="71"/>
        <v>7274</v>
      </c>
      <c r="KX110">
        <v>75</v>
      </c>
      <c r="KY110">
        <v>59</v>
      </c>
      <c r="KZ110">
        <v>62</v>
      </c>
      <c r="LA110">
        <v>74</v>
      </c>
      <c r="LB110">
        <v>85</v>
      </c>
      <c r="LC110">
        <v>68</v>
      </c>
      <c r="LD110">
        <v>72</v>
      </c>
      <c r="LE110">
        <v>63</v>
      </c>
      <c r="LF110">
        <v>90</v>
      </c>
      <c r="LG110">
        <v>77</v>
      </c>
      <c r="LH110">
        <v>92</v>
      </c>
      <c r="LI110">
        <v>95</v>
      </c>
      <c r="LJ110">
        <f t="shared" si="72"/>
        <v>912</v>
      </c>
      <c r="LK110">
        <v>0</v>
      </c>
      <c r="LL110">
        <v>0</v>
      </c>
      <c r="LM110">
        <v>0</v>
      </c>
      <c r="LN110">
        <v>0</v>
      </c>
      <c r="LO110">
        <v>0</v>
      </c>
      <c r="LP110">
        <v>0</v>
      </c>
      <c r="LQ110">
        <v>0</v>
      </c>
      <c r="LR110">
        <v>0</v>
      </c>
      <c r="LS110">
        <v>0</v>
      </c>
      <c r="LT110">
        <v>0</v>
      </c>
      <c r="LU110">
        <v>0</v>
      </c>
      <c r="LV110">
        <v>0</v>
      </c>
      <c r="LW110">
        <f t="shared" si="73"/>
        <v>0</v>
      </c>
      <c r="LX110">
        <v>509</v>
      </c>
      <c r="LY110">
        <v>550</v>
      </c>
      <c r="LZ110">
        <v>483</v>
      </c>
      <c r="MA110">
        <v>537</v>
      </c>
      <c r="MB110">
        <v>536</v>
      </c>
      <c r="MC110">
        <v>612</v>
      </c>
      <c r="MD110">
        <v>563</v>
      </c>
      <c r="ME110">
        <v>523</v>
      </c>
      <c r="MF110">
        <v>587</v>
      </c>
      <c r="MG110">
        <v>553</v>
      </c>
      <c r="MH110">
        <v>493</v>
      </c>
      <c r="MI110">
        <v>416</v>
      </c>
      <c r="MJ110">
        <f t="shared" si="74"/>
        <v>6362</v>
      </c>
      <c r="MK110">
        <v>4962</v>
      </c>
      <c r="ML110">
        <v>4885</v>
      </c>
      <c r="MM110">
        <v>4575</v>
      </c>
      <c r="MN110">
        <v>5018</v>
      </c>
      <c r="MO110">
        <v>5242</v>
      </c>
      <c r="MP110">
        <v>4749</v>
      </c>
      <c r="MQ110">
        <v>5099</v>
      </c>
      <c r="MR110">
        <v>4715</v>
      </c>
      <c r="MS110">
        <v>4883</v>
      </c>
      <c r="MT110">
        <v>4995</v>
      </c>
      <c r="MU110">
        <v>4349</v>
      </c>
      <c r="MV110">
        <v>4801</v>
      </c>
      <c r="MW110">
        <f t="shared" si="75"/>
        <v>58273</v>
      </c>
      <c r="MX110">
        <v>736</v>
      </c>
      <c r="MY110">
        <v>694</v>
      </c>
      <c r="MZ110">
        <v>561</v>
      </c>
      <c r="NA110">
        <v>761</v>
      </c>
      <c r="NB110">
        <v>846</v>
      </c>
      <c r="NC110">
        <v>734</v>
      </c>
      <c r="ND110">
        <v>788</v>
      </c>
      <c r="NE110">
        <v>652</v>
      </c>
      <c r="NF110">
        <v>712</v>
      </c>
      <c r="NG110">
        <v>665</v>
      </c>
      <c r="NH110">
        <v>598</v>
      </c>
      <c r="NI110">
        <v>712</v>
      </c>
      <c r="NJ110">
        <f t="shared" si="76"/>
        <v>8459</v>
      </c>
      <c r="NK110">
        <v>355</v>
      </c>
      <c r="NL110">
        <v>315</v>
      </c>
      <c r="NM110">
        <v>320</v>
      </c>
      <c r="NN110">
        <v>401</v>
      </c>
      <c r="NO110">
        <v>369</v>
      </c>
      <c r="NP110">
        <v>282</v>
      </c>
      <c r="NQ110">
        <v>341</v>
      </c>
      <c r="NR110">
        <v>301</v>
      </c>
      <c r="NS110">
        <v>320</v>
      </c>
      <c r="NT110">
        <v>294</v>
      </c>
      <c r="NU110">
        <v>260</v>
      </c>
      <c r="NV110">
        <v>289</v>
      </c>
      <c r="NW110">
        <f t="shared" si="77"/>
        <v>3847</v>
      </c>
      <c r="NX110">
        <v>3871</v>
      </c>
      <c r="NY110">
        <v>3876</v>
      </c>
      <c r="NZ110">
        <v>3694</v>
      </c>
      <c r="OA110">
        <v>3856</v>
      </c>
      <c r="OB110">
        <v>4027</v>
      </c>
      <c r="OC110">
        <v>3733</v>
      </c>
      <c r="OD110">
        <v>3970</v>
      </c>
      <c r="OE110">
        <v>3762</v>
      </c>
      <c r="OF110">
        <v>3851</v>
      </c>
      <c r="OG110">
        <v>4036</v>
      </c>
      <c r="OH110">
        <v>3491</v>
      </c>
      <c r="OI110">
        <v>3800</v>
      </c>
      <c r="OJ110">
        <f t="shared" si="78"/>
        <v>45967</v>
      </c>
      <c r="OK110">
        <v>5797</v>
      </c>
      <c r="OL110">
        <v>6150</v>
      </c>
      <c r="OM110">
        <v>5665</v>
      </c>
      <c r="ON110">
        <v>6178</v>
      </c>
      <c r="OO110">
        <v>6506</v>
      </c>
      <c r="OP110">
        <v>5998</v>
      </c>
      <c r="OQ110">
        <v>6664</v>
      </c>
      <c r="OR110">
        <v>6173</v>
      </c>
      <c r="OS110">
        <v>6029</v>
      </c>
      <c r="OT110">
        <v>6461</v>
      </c>
      <c r="OU110">
        <v>6197</v>
      </c>
      <c r="OV110">
        <v>6895</v>
      </c>
      <c r="OW110">
        <f t="shared" si="79"/>
        <v>74713</v>
      </c>
      <c r="OX110">
        <v>639</v>
      </c>
      <c r="OY110">
        <v>711</v>
      </c>
      <c r="OZ110">
        <v>639</v>
      </c>
      <c r="PA110">
        <v>746</v>
      </c>
      <c r="PB110">
        <v>832</v>
      </c>
      <c r="PC110">
        <v>648</v>
      </c>
      <c r="PD110">
        <v>722</v>
      </c>
      <c r="PE110">
        <v>630</v>
      </c>
      <c r="PF110">
        <v>673</v>
      </c>
      <c r="PG110">
        <v>716</v>
      </c>
      <c r="PH110">
        <v>696</v>
      </c>
      <c r="PI110">
        <v>881</v>
      </c>
      <c r="PJ110">
        <f t="shared" si="80"/>
        <v>8533</v>
      </c>
      <c r="PK110">
        <v>163</v>
      </c>
      <c r="PL110">
        <v>178</v>
      </c>
      <c r="PM110">
        <v>204</v>
      </c>
      <c r="PN110">
        <v>234</v>
      </c>
      <c r="PO110">
        <v>205</v>
      </c>
      <c r="PP110">
        <v>154</v>
      </c>
      <c r="PQ110">
        <v>206</v>
      </c>
      <c r="PR110">
        <v>189</v>
      </c>
      <c r="PS110">
        <v>215</v>
      </c>
      <c r="PT110">
        <v>210</v>
      </c>
      <c r="PU110">
        <v>215</v>
      </c>
      <c r="PV110">
        <v>240</v>
      </c>
      <c r="PW110">
        <f t="shared" si="81"/>
        <v>2413</v>
      </c>
      <c r="PX110">
        <v>4995</v>
      </c>
      <c r="PY110">
        <v>4261</v>
      </c>
      <c r="PZ110">
        <v>4822</v>
      </c>
      <c r="QA110">
        <v>5198</v>
      </c>
      <c r="QB110">
        <v>5469</v>
      </c>
      <c r="QC110">
        <v>5196</v>
      </c>
      <c r="QD110">
        <v>5736</v>
      </c>
      <c r="QE110">
        <v>5354</v>
      </c>
      <c r="QF110">
        <v>5141</v>
      </c>
      <c r="QG110">
        <v>5535</v>
      </c>
      <c r="QH110">
        <v>5286</v>
      </c>
      <c r="QI110">
        <v>5774</v>
      </c>
      <c r="QJ110">
        <f t="shared" si="82"/>
        <v>62767</v>
      </c>
      <c r="QK110">
        <v>78311</v>
      </c>
      <c r="QL110">
        <v>81405</v>
      </c>
      <c r="QM110">
        <v>71978</v>
      </c>
      <c r="QN110">
        <v>88133</v>
      </c>
      <c r="QO110">
        <v>87543</v>
      </c>
      <c r="QP110">
        <v>93824</v>
      </c>
      <c r="QQ110">
        <v>93980</v>
      </c>
      <c r="QR110">
        <v>85729</v>
      </c>
      <c r="QS110">
        <v>76700</v>
      </c>
      <c r="QT110">
        <v>96222</v>
      </c>
      <c r="QU110">
        <v>93805</v>
      </c>
      <c r="QV110">
        <v>101211</v>
      </c>
      <c r="QW110">
        <f t="shared" si="83"/>
        <v>1048841</v>
      </c>
      <c r="QX110">
        <v>16594</v>
      </c>
      <c r="QY110">
        <v>18786</v>
      </c>
      <c r="QZ110">
        <v>18255</v>
      </c>
      <c r="RA110">
        <v>18548</v>
      </c>
      <c r="RB110">
        <v>15145</v>
      </c>
      <c r="RC110">
        <v>18083</v>
      </c>
      <c r="RD110">
        <v>17817</v>
      </c>
      <c r="RE110">
        <v>18033</v>
      </c>
      <c r="RF110">
        <v>14087</v>
      </c>
      <c r="RG110">
        <v>18120</v>
      </c>
      <c r="RH110">
        <v>17899</v>
      </c>
      <c r="RI110">
        <v>18823</v>
      </c>
      <c r="RJ110">
        <f t="shared" si="84"/>
        <v>210190</v>
      </c>
      <c r="RK110">
        <v>0</v>
      </c>
      <c r="RL110">
        <v>0</v>
      </c>
      <c r="RM110">
        <v>0</v>
      </c>
      <c r="RN110">
        <v>0</v>
      </c>
      <c r="RO110">
        <v>0</v>
      </c>
      <c r="RP110">
        <v>0</v>
      </c>
      <c r="RQ110">
        <v>0</v>
      </c>
      <c r="RR110">
        <v>0</v>
      </c>
      <c r="RS110">
        <v>0</v>
      </c>
      <c r="RT110">
        <v>0</v>
      </c>
      <c r="RU110">
        <v>0</v>
      </c>
      <c r="RV110">
        <v>0</v>
      </c>
      <c r="RW110">
        <f t="shared" si="85"/>
        <v>0</v>
      </c>
      <c r="RX110">
        <v>0</v>
      </c>
      <c r="RY110">
        <v>0</v>
      </c>
      <c r="RZ110">
        <v>0</v>
      </c>
      <c r="SA110">
        <v>0</v>
      </c>
      <c r="SB110">
        <v>0</v>
      </c>
      <c r="SC110">
        <v>0</v>
      </c>
      <c r="SD110">
        <v>0</v>
      </c>
      <c r="SE110">
        <v>0</v>
      </c>
      <c r="SF110">
        <v>0</v>
      </c>
      <c r="SG110">
        <v>0</v>
      </c>
      <c r="SH110">
        <v>0</v>
      </c>
      <c r="SI110">
        <v>0</v>
      </c>
      <c r="SJ110">
        <f t="shared" si="86"/>
        <v>0</v>
      </c>
      <c r="SK110">
        <v>185</v>
      </c>
      <c r="SL110">
        <v>184</v>
      </c>
      <c r="SM110">
        <v>176</v>
      </c>
      <c r="SN110">
        <v>169</v>
      </c>
      <c r="SO110">
        <v>162</v>
      </c>
      <c r="SP110">
        <v>154</v>
      </c>
      <c r="SQ110">
        <v>173</v>
      </c>
      <c r="SR110">
        <v>178</v>
      </c>
      <c r="SS110">
        <v>192</v>
      </c>
      <c r="ST110">
        <v>198</v>
      </c>
      <c r="SU110">
        <v>187</v>
      </c>
      <c r="SV110">
        <v>185</v>
      </c>
      <c r="SW110">
        <f t="shared" si="87"/>
        <v>2143</v>
      </c>
      <c r="SX110">
        <v>0</v>
      </c>
      <c r="SY110">
        <v>6425</v>
      </c>
      <c r="SZ110">
        <v>6296</v>
      </c>
      <c r="TA110">
        <v>5472</v>
      </c>
      <c r="TB110">
        <v>5571</v>
      </c>
      <c r="TC110">
        <v>5473</v>
      </c>
      <c r="TD110">
        <v>5922</v>
      </c>
      <c r="TE110">
        <v>6154</v>
      </c>
      <c r="TF110">
        <v>5623</v>
      </c>
      <c r="TG110">
        <v>5147</v>
      </c>
      <c r="TH110">
        <v>6485</v>
      </c>
      <c r="TI110">
        <v>6375</v>
      </c>
      <c r="TJ110">
        <v>7277</v>
      </c>
      <c r="TK110">
        <f t="shared" si="88"/>
        <v>72220</v>
      </c>
      <c r="TL110">
        <v>11831</v>
      </c>
      <c r="TM110">
        <v>4139</v>
      </c>
      <c r="TN110">
        <v>9125</v>
      </c>
      <c r="TO110">
        <v>7386</v>
      </c>
      <c r="TP110">
        <v>8038</v>
      </c>
      <c r="TQ110">
        <v>8822</v>
      </c>
      <c r="TR110">
        <v>10125</v>
      </c>
      <c r="TS110">
        <v>8414</v>
      </c>
      <c r="TT110">
        <v>7874</v>
      </c>
      <c r="TU110">
        <v>9679</v>
      </c>
      <c r="TV110">
        <v>8776</v>
      </c>
      <c r="TW110">
        <v>12542</v>
      </c>
      <c r="TX110">
        <f t="shared" si="89"/>
        <v>106751</v>
      </c>
      <c r="TY110">
        <v>167</v>
      </c>
      <c r="TZ110">
        <v>30</v>
      </c>
      <c r="UA110">
        <v>2564</v>
      </c>
      <c r="UB110">
        <v>307</v>
      </c>
    </row>
    <row r="111" spans="1:548" ht="16.5" customHeight="1" x14ac:dyDescent="0.35">
      <c r="A111" t="s">
        <v>1557</v>
      </c>
      <c r="B111" t="s">
        <v>2864</v>
      </c>
      <c r="C111">
        <v>23582</v>
      </c>
      <c r="D111">
        <v>5006</v>
      </c>
      <c r="E111">
        <v>964</v>
      </c>
      <c r="F111">
        <v>17612</v>
      </c>
      <c r="G111">
        <v>122</v>
      </c>
      <c r="H111">
        <v>146</v>
      </c>
      <c r="I111">
        <v>154</v>
      </c>
      <c r="J111">
        <v>141</v>
      </c>
      <c r="K111">
        <v>98</v>
      </c>
      <c r="L111">
        <v>150</v>
      </c>
      <c r="M111">
        <v>163</v>
      </c>
      <c r="N111">
        <v>126</v>
      </c>
      <c r="O111">
        <v>125</v>
      </c>
      <c r="P111">
        <v>145</v>
      </c>
      <c r="Q111">
        <v>154</v>
      </c>
      <c r="R111">
        <v>171</v>
      </c>
      <c r="S111">
        <f t="shared" si="45"/>
        <v>1695</v>
      </c>
      <c r="T111">
        <v>44</v>
      </c>
      <c r="U111">
        <v>53</v>
      </c>
      <c r="V111">
        <v>69</v>
      </c>
      <c r="W111">
        <v>48</v>
      </c>
      <c r="X111">
        <v>27</v>
      </c>
      <c r="Y111">
        <v>59</v>
      </c>
      <c r="Z111">
        <v>47</v>
      </c>
      <c r="AA111">
        <v>57</v>
      </c>
      <c r="AB111">
        <v>47</v>
      </c>
      <c r="AC111">
        <v>71</v>
      </c>
      <c r="AD111">
        <v>66</v>
      </c>
      <c r="AE111">
        <v>77</v>
      </c>
      <c r="AF111">
        <f t="shared" si="46"/>
        <v>665</v>
      </c>
      <c r="AG111">
        <v>0</v>
      </c>
      <c r="AH111">
        <v>1</v>
      </c>
      <c r="AI111">
        <v>0</v>
      </c>
      <c r="AJ111">
        <v>0</v>
      </c>
      <c r="AK111">
        <v>0</v>
      </c>
      <c r="AL111">
        <v>0</v>
      </c>
      <c r="AM111">
        <v>1</v>
      </c>
      <c r="AN111">
        <v>0</v>
      </c>
      <c r="AO111">
        <v>0</v>
      </c>
      <c r="AP111">
        <v>0</v>
      </c>
      <c r="AQ111">
        <v>0</v>
      </c>
      <c r="AR111">
        <v>1</v>
      </c>
      <c r="AS111">
        <f t="shared" si="47"/>
        <v>3</v>
      </c>
      <c r="AT111">
        <v>77</v>
      </c>
      <c r="AU111">
        <v>92</v>
      </c>
      <c r="AV111">
        <v>84</v>
      </c>
      <c r="AW111">
        <v>92</v>
      </c>
      <c r="AX111">
        <v>70</v>
      </c>
      <c r="AY111">
        <v>90</v>
      </c>
      <c r="AZ111">
        <v>114</v>
      </c>
      <c r="BA111">
        <v>68</v>
      </c>
      <c r="BB111">
        <v>77</v>
      </c>
      <c r="BC111">
        <v>73</v>
      </c>
      <c r="BD111">
        <v>87</v>
      </c>
      <c r="BE111">
        <v>92</v>
      </c>
      <c r="BF111">
        <f t="shared" si="48"/>
        <v>1016</v>
      </c>
      <c r="BG111">
        <v>0</v>
      </c>
      <c r="BH111">
        <v>0</v>
      </c>
      <c r="BI111">
        <v>0</v>
      </c>
      <c r="BJ111">
        <v>0</v>
      </c>
      <c r="BK111">
        <v>0</v>
      </c>
      <c r="BL111">
        <v>0</v>
      </c>
      <c r="BM111">
        <v>0</v>
      </c>
      <c r="BN111">
        <v>0</v>
      </c>
      <c r="BO111">
        <v>0</v>
      </c>
      <c r="BP111">
        <v>0</v>
      </c>
      <c r="BQ111">
        <v>0</v>
      </c>
      <c r="BR111">
        <v>0</v>
      </c>
      <c r="BS111">
        <f t="shared" si="49"/>
        <v>0</v>
      </c>
      <c r="BT111">
        <v>0</v>
      </c>
      <c r="BU111">
        <v>0</v>
      </c>
      <c r="BV111">
        <v>0</v>
      </c>
      <c r="BW111">
        <v>0</v>
      </c>
      <c r="BX111">
        <v>0</v>
      </c>
      <c r="BY111">
        <v>0</v>
      </c>
      <c r="BZ111">
        <v>0</v>
      </c>
      <c r="CA111">
        <v>0</v>
      </c>
      <c r="CB111">
        <v>0</v>
      </c>
      <c r="CC111">
        <v>0</v>
      </c>
      <c r="CD111">
        <v>0</v>
      </c>
      <c r="CE111">
        <v>0</v>
      </c>
      <c r="CF111">
        <f t="shared" si="50"/>
        <v>0</v>
      </c>
      <c r="CG111">
        <v>0</v>
      </c>
      <c r="CH111">
        <v>0</v>
      </c>
      <c r="CI111">
        <v>0</v>
      </c>
      <c r="CJ111">
        <v>0</v>
      </c>
      <c r="CK111">
        <v>0</v>
      </c>
      <c r="CL111">
        <v>0</v>
      </c>
      <c r="CM111">
        <v>0</v>
      </c>
      <c r="CN111">
        <v>0</v>
      </c>
      <c r="CO111">
        <v>0</v>
      </c>
      <c r="CP111">
        <v>0</v>
      </c>
      <c r="CQ111">
        <v>0</v>
      </c>
      <c r="CR111">
        <v>0</v>
      </c>
      <c r="CS111">
        <f t="shared" si="51"/>
        <v>0</v>
      </c>
      <c r="CT111">
        <v>0</v>
      </c>
      <c r="CU111">
        <v>0</v>
      </c>
      <c r="CV111">
        <v>0</v>
      </c>
      <c r="CW111">
        <v>0</v>
      </c>
      <c r="CX111">
        <v>0</v>
      </c>
      <c r="CY111">
        <v>0</v>
      </c>
      <c r="CZ111">
        <v>0</v>
      </c>
      <c r="DA111">
        <v>0</v>
      </c>
      <c r="DB111">
        <v>0</v>
      </c>
      <c r="DC111">
        <v>0</v>
      </c>
      <c r="DD111">
        <v>0</v>
      </c>
      <c r="DE111">
        <v>0</v>
      </c>
      <c r="DF111">
        <f t="shared" si="52"/>
        <v>0</v>
      </c>
      <c r="DG111">
        <v>1</v>
      </c>
      <c r="DH111">
        <v>1</v>
      </c>
      <c r="DI111">
        <v>1</v>
      </c>
      <c r="DJ111">
        <v>1</v>
      </c>
      <c r="DK111">
        <v>1</v>
      </c>
      <c r="DL111">
        <v>1</v>
      </c>
      <c r="DM111">
        <v>1</v>
      </c>
      <c r="DN111">
        <v>1</v>
      </c>
      <c r="DO111">
        <v>1</v>
      </c>
      <c r="DP111">
        <v>1</v>
      </c>
      <c r="DQ111">
        <v>1</v>
      </c>
      <c r="DR111">
        <v>1</v>
      </c>
      <c r="DS111">
        <f t="shared" si="53"/>
        <v>12</v>
      </c>
      <c r="DT111">
        <v>0</v>
      </c>
      <c r="DU111">
        <v>0</v>
      </c>
      <c r="DV111">
        <v>0</v>
      </c>
      <c r="DW111">
        <v>0</v>
      </c>
      <c r="DX111">
        <v>0</v>
      </c>
      <c r="DY111">
        <v>0</v>
      </c>
      <c r="DZ111">
        <v>0</v>
      </c>
      <c r="EA111">
        <v>0</v>
      </c>
      <c r="EB111">
        <v>0</v>
      </c>
      <c r="EC111">
        <v>0</v>
      </c>
      <c r="ED111">
        <v>0</v>
      </c>
      <c r="EE111">
        <v>0</v>
      </c>
      <c r="EF111">
        <f t="shared" si="54"/>
        <v>0</v>
      </c>
      <c r="EG111">
        <f t="shared" si="55"/>
        <v>1684</v>
      </c>
      <c r="EH111">
        <f t="shared" si="56"/>
        <v>12</v>
      </c>
      <c r="EI111">
        <v>1833</v>
      </c>
      <c r="EJ111">
        <v>3107</v>
      </c>
      <c r="EK111">
        <v>6197</v>
      </c>
      <c r="EL111">
        <v>2896</v>
      </c>
      <c r="EM111">
        <v>1183</v>
      </c>
      <c r="EN111">
        <v>3338</v>
      </c>
      <c r="EO111">
        <v>2320</v>
      </c>
      <c r="EP111">
        <v>2898</v>
      </c>
      <c r="EQ111">
        <v>2419</v>
      </c>
      <c r="ER111">
        <v>2930</v>
      </c>
      <c r="ES111">
        <v>3992</v>
      </c>
      <c r="ET111">
        <v>3828</v>
      </c>
      <c r="EU111">
        <f t="shared" si="57"/>
        <v>36941</v>
      </c>
      <c r="EV111">
        <v>1269</v>
      </c>
      <c r="EW111">
        <v>1939</v>
      </c>
      <c r="EX111">
        <v>3163</v>
      </c>
      <c r="EY111">
        <v>2156</v>
      </c>
      <c r="EZ111">
        <v>314</v>
      </c>
      <c r="FA111">
        <v>2615</v>
      </c>
      <c r="FB111">
        <v>1520</v>
      </c>
      <c r="FC111">
        <v>1669</v>
      </c>
      <c r="FD111">
        <v>1521</v>
      </c>
      <c r="FE111">
        <v>2409</v>
      </c>
      <c r="FF111">
        <v>2778</v>
      </c>
      <c r="FG111">
        <v>3042</v>
      </c>
      <c r="FH111">
        <f t="shared" si="58"/>
        <v>24395</v>
      </c>
      <c r="FI111">
        <v>0</v>
      </c>
      <c r="FJ111">
        <v>0</v>
      </c>
      <c r="FK111">
        <v>0</v>
      </c>
      <c r="FL111">
        <v>0</v>
      </c>
      <c r="FM111">
        <v>0</v>
      </c>
      <c r="FN111">
        <v>0</v>
      </c>
      <c r="FO111">
        <v>0</v>
      </c>
      <c r="FP111">
        <v>0</v>
      </c>
      <c r="FQ111">
        <v>0</v>
      </c>
      <c r="FR111">
        <v>0</v>
      </c>
      <c r="FS111">
        <v>0</v>
      </c>
      <c r="FT111">
        <v>0</v>
      </c>
      <c r="FU111">
        <f t="shared" si="59"/>
        <v>0</v>
      </c>
      <c r="FV111">
        <v>557</v>
      </c>
      <c r="FW111">
        <v>1161</v>
      </c>
      <c r="FX111">
        <v>1029</v>
      </c>
      <c r="FY111">
        <v>732</v>
      </c>
      <c r="FZ111">
        <v>861</v>
      </c>
      <c r="GA111">
        <v>816</v>
      </c>
      <c r="GB111">
        <v>1393</v>
      </c>
      <c r="GC111">
        <v>1222</v>
      </c>
      <c r="GD111">
        <v>890</v>
      </c>
      <c r="GE111">
        <v>512</v>
      </c>
      <c r="GF111">
        <v>1204</v>
      </c>
      <c r="GG111">
        <v>776</v>
      </c>
      <c r="GH111">
        <f t="shared" si="60"/>
        <v>11153</v>
      </c>
      <c r="GI111">
        <v>7</v>
      </c>
      <c r="GJ111">
        <v>7</v>
      </c>
      <c r="GK111">
        <v>5</v>
      </c>
      <c r="GL111">
        <v>8</v>
      </c>
      <c r="GM111">
        <v>8</v>
      </c>
      <c r="GN111">
        <v>7</v>
      </c>
      <c r="GO111">
        <v>7</v>
      </c>
      <c r="GP111">
        <v>7</v>
      </c>
      <c r="GQ111">
        <v>8</v>
      </c>
      <c r="GR111">
        <v>9</v>
      </c>
      <c r="GS111">
        <v>10</v>
      </c>
      <c r="GT111">
        <v>10</v>
      </c>
      <c r="GU111">
        <f t="shared" si="61"/>
        <v>93</v>
      </c>
      <c r="GV111">
        <v>0</v>
      </c>
      <c r="GW111">
        <v>0</v>
      </c>
      <c r="GX111">
        <v>0</v>
      </c>
      <c r="GY111">
        <v>0</v>
      </c>
      <c r="GZ111">
        <v>0</v>
      </c>
      <c r="HA111">
        <v>0</v>
      </c>
      <c r="HB111">
        <v>0</v>
      </c>
      <c r="HC111">
        <v>0</v>
      </c>
      <c r="HD111">
        <v>0</v>
      </c>
      <c r="HE111">
        <v>0</v>
      </c>
      <c r="HF111">
        <v>0</v>
      </c>
      <c r="HG111">
        <v>0</v>
      </c>
      <c r="HH111">
        <f t="shared" si="62"/>
        <v>0</v>
      </c>
      <c r="HI111">
        <v>0</v>
      </c>
      <c r="HJ111">
        <v>0</v>
      </c>
      <c r="HK111">
        <v>0</v>
      </c>
      <c r="HL111">
        <v>0</v>
      </c>
      <c r="HM111">
        <v>0</v>
      </c>
      <c r="HN111">
        <v>0</v>
      </c>
      <c r="HO111">
        <v>0</v>
      </c>
      <c r="HP111">
        <v>0</v>
      </c>
      <c r="HQ111">
        <v>0</v>
      </c>
      <c r="HR111">
        <v>0</v>
      </c>
      <c r="HS111">
        <v>0</v>
      </c>
      <c r="HT111">
        <v>0</v>
      </c>
      <c r="HU111">
        <f t="shared" si="63"/>
        <v>0</v>
      </c>
      <c r="HV111">
        <v>7</v>
      </c>
      <c r="HW111">
        <v>7</v>
      </c>
      <c r="HX111">
        <v>5</v>
      </c>
      <c r="HY111">
        <v>8</v>
      </c>
      <c r="HZ111">
        <v>8</v>
      </c>
      <c r="IA111">
        <v>7</v>
      </c>
      <c r="IB111">
        <v>7</v>
      </c>
      <c r="IC111">
        <v>7</v>
      </c>
      <c r="ID111">
        <v>8</v>
      </c>
      <c r="IE111">
        <v>9</v>
      </c>
      <c r="IF111">
        <v>10</v>
      </c>
      <c r="IG111">
        <v>10</v>
      </c>
      <c r="IH111">
        <f t="shared" si="64"/>
        <v>93</v>
      </c>
      <c r="II111">
        <f t="shared" si="65"/>
        <v>35548</v>
      </c>
      <c r="IJ111">
        <f t="shared" si="66"/>
        <v>93</v>
      </c>
      <c r="IK111">
        <v>33762</v>
      </c>
      <c r="IL111">
        <v>36850</v>
      </c>
      <c r="IM111">
        <v>33510</v>
      </c>
      <c r="IN111">
        <v>41707</v>
      </c>
      <c r="IO111">
        <v>42045</v>
      </c>
      <c r="IP111">
        <v>38028</v>
      </c>
      <c r="IQ111">
        <v>39659</v>
      </c>
      <c r="IR111">
        <v>35826</v>
      </c>
      <c r="IS111">
        <v>33661</v>
      </c>
      <c r="IT111">
        <v>38840</v>
      </c>
      <c r="IU111">
        <v>35592</v>
      </c>
      <c r="IV111">
        <v>37960</v>
      </c>
      <c r="IW111">
        <f t="shared" si="67"/>
        <v>447440</v>
      </c>
      <c r="IX111">
        <v>15116</v>
      </c>
      <c r="IY111">
        <v>17725</v>
      </c>
      <c r="IZ111">
        <v>14710</v>
      </c>
      <c r="JA111">
        <v>21069</v>
      </c>
      <c r="JB111">
        <v>20734</v>
      </c>
      <c r="JC111">
        <v>18321</v>
      </c>
      <c r="JD111">
        <v>18954</v>
      </c>
      <c r="JE111">
        <v>16433</v>
      </c>
      <c r="JF111">
        <v>14406</v>
      </c>
      <c r="JG111">
        <v>17834</v>
      </c>
      <c r="JH111">
        <v>16614</v>
      </c>
      <c r="JI111">
        <v>17286</v>
      </c>
      <c r="JJ111">
        <f t="shared" si="68"/>
        <v>209202</v>
      </c>
      <c r="JK111">
        <v>812</v>
      </c>
      <c r="JL111">
        <v>789</v>
      </c>
      <c r="JM111">
        <v>725</v>
      </c>
      <c r="JN111">
        <v>1112</v>
      </c>
      <c r="JO111">
        <v>1112</v>
      </c>
      <c r="JP111">
        <v>918</v>
      </c>
      <c r="JQ111">
        <v>995</v>
      </c>
      <c r="JR111">
        <v>842</v>
      </c>
      <c r="JS111">
        <v>766</v>
      </c>
      <c r="JT111">
        <v>764</v>
      </c>
      <c r="JU111">
        <v>715</v>
      </c>
      <c r="JV111">
        <v>791</v>
      </c>
      <c r="JW111">
        <f t="shared" si="69"/>
        <v>10341</v>
      </c>
      <c r="JX111">
        <v>17834</v>
      </c>
      <c r="JY111">
        <v>18336</v>
      </c>
      <c r="JZ111">
        <v>18075</v>
      </c>
      <c r="KA111">
        <v>19526</v>
      </c>
      <c r="KB111">
        <v>20199</v>
      </c>
      <c r="KC111">
        <v>18789</v>
      </c>
      <c r="KD111">
        <v>19710</v>
      </c>
      <c r="KE111">
        <v>18551</v>
      </c>
      <c r="KF111">
        <v>18489</v>
      </c>
      <c r="KG111">
        <v>20242</v>
      </c>
      <c r="KH111">
        <v>18263</v>
      </c>
      <c r="KI111">
        <v>19883</v>
      </c>
      <c r="KJ111">
        <f t="shared" si="70"/>
        <v>227897</v>
      </c>
      <c r="KK111">
        <v>286</v>
      </c>
      <c r="KL111">
        <v>325</v>
      </c>
      <c r="KM111">
        <v>304</v>
      </c>
      <c r="KN111">
        <v>418</v>
      </c>
      <c r="KO111">
        <v>377</v>
      </c>
      <c r="KP111">
        <v>347</v>
      </c>
      <c r="KQ111">
        <v>326</v>
      </c>
      <c r="KR111">
        <v>277</v>
      </c>
      <c r="KS111">
        <v>279</v>
      </c>
      <c r="KT111">
        <v>322</v>
      </c>
      <c r="KU111">
        <v>280</v>
      </c>
      <c r="KV111">
        <v>202</v>
      </c>
      <c r="KW111">
        <f t="shared" si="71"/>
        <v>3743</v>
      </c>
      <c r="KX111">
        <v>73</v>
      </c>
      <c r="KY111">
        <v>73</v>
      </c>
      <c r="KZ111">
        <v>65</v>
      </c>
      <c r="LA111">
        <v>130</v>
      </c>
      <c r="LB111">
        <v>124</v>
      </c>
      <c r="LC111">
        <v>91</v>
      </c>
      <c r="LD111">
        <v>86</v>
      </c>
      <c r="LE111">
        <v>66</v>
      </c>
      <c r="LF111">
        <v>81</v>
      </c>
      <c r="LG111">
        <v>108</v>
      </c>
      <c r="LH111">
        <v>80</v>
      </c>
      <c r="LI111">
        <v>57</v>
      </c>
      <c r="LJ111">
        <f t="shared" si="72"/>
        <v>1034</v>
      </c>
      <c r="LK111">
        <v>0</v>
      </c>
      <c r="LL111">
        <v>0</v>
      </c>
      <c r="LM111">
        <v>0</v>
      </c>
      <c r="LN111">
        <v>0</v>
      </c>
      <c r="LO111">
        <v>0</v>
      </c>
      <c r="LP111">
        <v>0</v>
      </c>
      <c r="LQ111">
        <v>0</v>
      </c>
      <c r="LR111">
        <v>0</v>
      </c>
      <c r="LS111">
        <v>0</v>
      </c>
      <c r="LT111">
        <v>0</v>
      </c>
      <c r="LU111">
        <v>0</v>
      </c>
      <c r="LV111">
        <v>0</v>
      </c>
      <c r="LW111">
        <f t="shared" si="73"/>
        <v>0</v>
      </c>
      <c r="LX111">
        <v>213</v>
      </c>
      <c r="LY111">
        <v>252</v>
      </c>
      <c r="LZ111">
        <v>239</v>
      </c>
      <c r="MA111">
        <v>288</v>
      </c>
      <c r="MB111">
        <v>253</v>
      </c>
      <c r="MC111">
        <v>256</v>
      </c>
      <c r="MD111">
        <v>240</v>
      </c>
      <c r="ME111">
        <v>211</v>
      </c>
      <c r="MF111">
        <v>198</v>
      </c>
      <c r="MG111">
        <v>214</v>
      </c>
      <c r="MH111">
        <v>200</v>
      </c>
      <c r="MI111">
        <v>145</v>
      </c>
      <c r="MJ111">
        <f t="shared" si="74"/>
        <v>2709</v>
      </c>
      <c r="MK111">
        <v>2151</v>
      </c>
      <c r="ML111">
        <v>2149</v>
      </c>
      <c r="MM111">
        <v>2186</v>
      </c>
      <c r="MN111">
        <v>2493</v>
      </c>
      <c r="MO111">
        <v>2494</v>
      </c>
      <c r="MP111">
        <v>2349</v>
      </c>
      <c r="MQ111">
        <v>2332</v>
      </c>
      <c r="MR111">
        <v>2279</v>
      </c>
      <c r="MS111">
        <v>2196</v>
      </c>
      <c r="MT111">
        <v>2163</v>
      </c>
      <c r="MU111">
        <v>2089</v>
      </c>
      <c r="MV111">
        <v>2271</v>
      </c>
      <c r="MW111">
        <f t="shared" si="75"/>
        <v>27152</v>
      </c>
      <c r="MX111">
        <v>184</v>
      </c>
      <c r="MY111">
        <v>148</v>
      </c>
      <c r="MZ111">
        <v>191</v>
      </c>
      <c r="NA111">
        <v>202</v>
      </c>
      <c r="NB111">
        <v>279</v>
      </c>
      <c r="NC111">
        <v>208</v>
      </c>
      <c r="ND111">
        <v>204</v>
      </c>
      <c r="NE111">
        <v>193</v>
      </c>
      <c r="NF111">
        <v>129</v>
      </c>
      <c r="NG111">
        <v>150</v>
      </c>
      <c r="NH111">
        <v>209</v>
      </c>
      <c r="NI111">
        <v>216</v>
      </c>
      <c r="NJ111">
        <f t="shared" si="76"/>
        <v>2313</v>
      </c>
      <c r="NK111">
        <v>109</v>
      </c>
      <c r="NL111">
        <v>123</v>
      </c>
      <c r="NM111">
        <v>108</v>
      </c>
      <c r="NN111">
        <v>157</v>
      </c>
      <c r="NO111">
        <v>137</v>
      </c>
      <c r="NP111">
        <v>163</v>
      </c>
      <c r="NQ111">
        <v>143</v>
      </c>
      <c r="NR111">
        <v>124</v>
      </c>
      <c r="NS111">
        <v>97</v>
      </c>
      <c r="NT111">
        <v>115</v>
      </c>
      <c r="NU111">
        <v>125</v>
      </c>
      <c r="NV111">
        <v>97</v>
      </c>
      <c r="NW111">
        <f t="shared" si="77"/>
        <v>1498</v>
      </c>
      <c r="NX111">
        <v>1858</v>
      </c>
      <c r="NY111">
        <v>1878</v>
      </c>
      <c r="NZ111">
        <v>1886</v>
      </c>
      <c r="OA111">
        <v>2134</v>
      </c>
      <c r="OB111">
        <v>2078</v>
      </c>
      <c r="OC111">
        <v>1978</v>
      </c>
      <c r="OD111">
        <v>1985</v>
      </c>
      <c r="OE111">
        <v>1962</v>
      </c>
      <c r="OF111">
        <v>1970</v>
      </c>
      <c r="OG111">
        <v>1898</v>
      </c>
      <c r="OH111">
        <v>1755</v>
      </c>
      <c r="OI111">
        <v>1958</v>
      </c>
      <c r="OJ111">
        <f t="shared" si="78"/>
        <v>23340</v>
      </c>
      <c r="OK111">
        <v>7874</v>
      </c>
      <c r="OL111">
        <v>8154</v>
      </c>
      <c r="OM111">
        <v>8022</v>
      </c>
      <c r="ON111">
        <v>8498</v>
      </c>
      <c r="OO111">
        <v>8701</v>
      </c>
      <c r="OP111">
        <v>8440</v>
      </c>
      <c r="OQ111">
        <v>8877</v>
      </c>
      <c r="OR111">
        <v>8367</v>
      </c>
      <c r="OS111">
        <v>8330</v>
      </c>
      <c r="OT111">
        <v>8652</v>
      </c>
      <c r="OU111">
        <v>8601</v>
      </c>
      <c r="OV111">
        <v>9395</v>
      </c>
      <c r="OW111">
        <f t="shared" si="79"/>
        <v>101911</v>
      </c>
      <c r="OX111">
        <v>1103</v>
      </c>
      <c r="OY111">
        <v>1150</v>
      </c>
      <c r="OZ111">
        <v>1147</v>
      </c>
      <c r="PA111">
        <v>1278</v>
      </c>
      <c r="PB111">
        <v>1316</v>
      </c>
      <c r="PC111">
        <v>1048</v>
      </c>
      <c r="PD111">
        <v>1219</v>
      </c>
      <c r="PE111">
        <v>1191</v>
      </c>
      <c r="PF111">
        <v>1211</v>
      </c>
      <c r="PG111">
        <v>1129</v>
      </c>
      <c r="PH111">
        <v>1359</v>
      </c>
      <c r="PI111">
        <v>1245</v>
      </c>
      <c r="PJ111">
        <f t="shared" si="80"/>
        <v>14396</v>
      </c>
      <c r="PK111">
        <v>395</v>
      </c>
      <c r="PL111">
        <v>385</v>
      </c>
      <c r="PM111">
        <v>419</v>
      </c>
      <c r="PN111">
        <v>425</v>
      </c>
      <c r="PO111">
        <v>412</v>
      </c>
      <c r="PP111">
        <v>401</v>
      </c>
      <c r="PQ111">
        <v>352</v>
      </c>
      <c r="PR111">
        <v>334</v>
      </c>
      <c r="PS111">
        <v>326</v>
      </c>
      <c r="PT111">
        <v>411</v>
      </c>
      <c r="PU111">
        <v>375</v>
      </c>
      <c r="PV111">
        <v>453</v>
      </c>
      <c r="PW111">
        <f t="shared" si="81"/>
        <v>4688</v>
      </c>
      <c r="PX111">
        <v>6376</v>
      </c>
      <c r="PY111">
        <v>6619</v>
      </c>
      <c r="PZ111">
        <v>6456</v>
      </c>
      <c r="QA111">
        <v>6795</v>
      </c>
      <c r="QB111">
        <v>6973</v>
      </c>
      <c r="QC111">
        <v>6991</v>
      </c>
      <c r="QD111">
        <v>7306</v>
      </c>
      <c r="QE111">
        <v>6842</v>
      </c>
      <c r="QF111">
        <v>6793</v>
      </c>
      <c r="QG111">
        <v>7112</v>
      </c>
      <c r="QH111">
        <v>6867</v>
      </c>
      <c r="QI111">
        <v>7697</v>
      </c>
      <c r="QJ111">
        <f t="shared" si="82"/>
        <v>82827</v>
      </c>
      <c r="QK111">
        <v>21407</v>
      </c>
      <c r="QL111">
        <v>21727</v>
      </c>
      <c r="QM111">
        <v>17319</v>
      </c>
      <c r="QN111">
        <v>18877</v>
      </c>
      <c r="QO111">
        <v>19744</v>
      </c>
      <c r="QP111">
        <v>19899</v>
      </c>
      <c r="QQ111">
        <v>21582</v>
      </c>
      <c r="QR111">
        <v>18525</v>
      </c>
      <c r="QS111">
        <v>18474</v>
      </c>
      <c r="QT111">
        <v>21488</v>
      </c>
      <c r="QU111">
        <v>21571</v>
      </c>
      <c r="QV111">
        <v>20924</v>
      </c>
      <c r="QW111">
        <f t="shared" si="83"/>
        <v>241537</v>
      </c>
      <c r="QX111">
        <v>17768</v>
      </c>
      <c r="QY111">
        <v>17268</v>
      </c>
      <c r="QZ111">
        <v>17367</v>
      </c>
      <c r="RA111">
        <v>21099</v>
      </c>
      <c r="RB111">
        <v>19650</v>
      </c>
      <c r="RC111">
        <v>19151</v>
      </c>
      <c r="RD111">
        <v>20308</v>
      </c>
      <c r="RE111">
        <v>21848</v>
      </c>
      <c r="RF111">
        <v>16558</v>
      </c>
      <c r="RG111">
        <v>19017</v>
      </c>
      <c r="RH111">
        <v>19320</v>
      </c>
      <c r="RI111">
        <v>19054</v>
      </c>
      <c r="RJ111">
        <f t="shared" si="84"/>
        <v>228408</v>
      </c>
      <c r="RK111">
        <v>0</v>
      </c>
      <c r="RL111">
        <v>0</v>
      </c>
      <c r="RM111">
        <v>0</v>
      </c>
      <c r="RN111">
        <v>0</v>
      </c>
      <c r="RO111">
        <v>0</v>
      </c>
      <c r="RP111">
        <v>0</v>
      </c>
      <c r="RQ111">
        <v>0</v>
      </c>
      <c r="RR111">
        <v>0</v>
      </c>
      <c r="RS111">
        <v>0</v>
      </c>
      <c r="RT111">
        <v>0</v>
      </c>
      <c r="RU111">
        <v>0</v>
      </c>
      <c r="RV111">
        <v>0</v>
      </c>
      <c r="RW111">
        <f t="shared" si="85"/>
        <v>0</v>
      </c>
      <c r="RX111">
        <v>769</v>
      </c>
      <c r="RY111">
        <v>776</v>
      </c>
      <c r="RZ111">
        <v>937</v>
      </c>
      <c r="SA111">
        <v>563</v>
      </c>
      <c r="SB111">
        <v>273</v>
      </c>
      <c r="SC111">
        <v>700</v>
      </c>
      <c r="SD111">
        <v>734</v>
      </c>
      <c r="SE111">
        <v>549</v>
      </c>
      <c r="SF111">
        <v>398</v>
      </c>
      <c r="SG111">
        <v>893</v>
      </c>
      <c r="SH111">
        <v>671</v>
      </c>
      <c r="SI111">
        <v>807</v>
      </c>
      <c r="SJ111">
        <f t="shared" si="86"/>
        <v>8070</v>
      </c>
      <c r="SK111">
        <v>0</v>
      </c>
      <c r="SL111">
        <v>0</v>
      </c>
      <c r="SM111">
        <v>0</v>
      </c>
      <c r="SN111">
        <v>0</v>
      </c>
      <c r="SO111">
        <v>0</v>
      </c>
      <c r="SP111">
        <v>0</v>
      </c>
      <c r="SQ111">
        <v>0</v>
      </c>
      <c r="SR111">
        <v>0</v>
      </c>
      <c r="SS111">
        <v>0</v>
      </c>
      <c r="ST111">
        <v>0</v>
      </c>
      <c r="SU111">
        <v>0</v>
      </c>
      <c r="SV111">
        <v>0</v>
      </c>
      <c r="SW111">
        <f t="shared" si="87"/>
        <v>0</v>
      </c>
      <c r="SX111">
        <v>0</v>
      </c>
      <c r="SY111">
        <v>1362</v>
      </c>
      <c r="SZ111">
        <v>1441</v>
      </c>
      <c r="TA111">
        <v>1323</v>
      </c>
      <c r="TB111">
        <v>1610</v>
      </c>
      <c r="TC111">
        <v>1595</v>
      </c>
      <c r="TD111">
        <v>1620</v>
      </c>
      <c r="TE111">
        <v>1768</v>
      </c>
      <c r="TF111">
        <v>1514</v>
      </c>
      <c r="TG111">
        <v>1474</v>
      </c>
      <c r="TH111">
        <v>1576</v>
      </c>
      <c r="TI111">
        <v>1509</v>
      </c>
      <c r="TJ111">
        <v>1683</v>
      </c>
      <c r="TK111">
        <f t="shared" si="88"/>
        <v>18475</v>
      </c>
      <c r="TL111">
        <v>0</v>
      </c>
      <c r="TM111">
        <v>0</v>
      </c>
      <c r="TN111">
        <v>0</v>
      </c>
      <c r="TO111">
        <v>0</v>
      </c>
      <c r="TP111">
        <v>0</v>
      </c>
      <c r="TQ111">
        <v>0</v>
      </c>
      <c r="TR111">
        <v>0</v>
      </c>
      <c r="TS111">
        <v>0</v>
      </c>
      <c r="TT111">
        <v>0</v>
      </c>
      <c r="TU111">
        <v>0</v>
      </c>
      <c r="TV111">
        <v>0</v>
      </c>
      <c r="TW111">
        <v>0</v>
      </c>
      <c r="TX111">
        <f t="shared" si="89"/>
        <v>0</v>
      </c>
      <c r="TY111">
        <v>62</v>
      </c>
      <c r="TZ111">
        <v>0</v>
      </c>
      <c r="UA111">
        <v>0</v>
      </c>
      <c r="UB111">
        <v>0</v>
      </c>
    </row>
  </sheetData>
  <autoFilter ref="A2:UB111" xr:uid="{70E89158-1226-4794-9074-6A193FA77940}"/>
  <sortState xmlns:xlrd2="http://schemas.microsoft.com/office/spreadsheetml/2017/richdata2" ref="A5:UB109">
    <sortCondition ref="A5:A109"/>
  </sortState>
  <conditionalFormatting sqref="A1:B3 A99:B1048576 A4:A98">
    <cfRule type="duplicateValues" dxfId="22" priority="1"/>
  </conditionalFormatting>
  <conditionalFormatting sqref="AF4:AF111">
    <cfRule type="expression" dxfId="21" priority="12">
      <formula>TRUE</formula>
    </cfRule>
  </conditionalFormatting>
  <conditionalFormatting sqref="AS4:AS111">
    <cfRule type="expression" dxfId="20" priority="13">
      <formula>TRUE</formula>
    </cfRule>
  </conditionalFormatting>
  <conditionalFormatting sqref="BF4:BF111">
    <cfRule type="expression" dxfId="19" priority="14">
      <formula>TRUE</formula>
    </cfRule>
  </conditionalFormatting>
  <conditionalFormatting sqref="BS4:BS111">
    <cfRule type="expression" dxfId="18" priority="15">
      <formula>TRUE</formula>
    </cfRule>
  </conditionalFormatting>
  <conditionalFormatting sqref="CF4:CF111">
    <cfRule type="expression" dxfId="17" priority="16">
      <formula>TRUE</formula>
    </cfRule>
  </conditionalFormatting>
  <conditionalFormatting sqref="CS4:CS111">
    <cfRule type="expression" dxfId="16" priority="17">
      <formula>TRUE</formula>
    </cfRule>
  </conditionalFormatting>
  <conditionalFormatting sqref="DF4:DF111">
    <cfRule type="expression" dxfId="15" priority="18">
      <formula>TRUE</formula>
    </cfRule>
  </conditionalFormatting>
  <conditionalFormatting sqref="DS4:DS111">
    <cfRule type="expression" dxfId="14" priority="19">
      <formula>TRUE</formula>
    </cfRule>
  </conditionalFormatting>
  <conditionalFormatting sqref="EF4:EF111">
    <cfRule type="expression" dxfId="13" priority="20">
      <formula>TRUE</formula>
    </cfRule>
  </conditionalFormatting>
  <conditionalFormatting sqref="FH4:FH111">
    <cfRule type="expression" dxfId="12" priority="5">
      <formula>TRUE</formula>
    </cfRule>
  </conditionalFormatting>
  <conditionalFormatting sqref="FU4:FU111">
    <cfRule type="expression" dxfId="11" priority="6">
      <formula>TRUE</formula>
    </cfRule>
  </conditionalFormatting>
  <conditionalFormatting sqref="GH4:GH111">
    <cfRule type="expression" dxfId="10" priority="7">
      <formula>TRUE</formula>
    </cfRule>
  </conditionalFormatting>
  <conditionalFormatting sqref="HH4:HH111">
    <cfRule type="expression" dxfId="9" priority="9">
      <formula>TRUE</formula>
    </cfRule>
  </conditionalFormatting>
  <conditionalFormatting sqref="HU4:HU111">
    <cfRule type="expression" dxfId="8" priority="10">
      <formula>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0FEE-BC4E-404B-934B-6802BDC8069B}">
  <dimension ref="A1:X56"/>
  <sheetViews>
    <sheetView showGridLines="0" workbookViewId="0">
      <pane ySplit="4" topLeftCell="A18" activePane="bottomLeft" state="frozen"/>
      <selection pane="bottomLeft" activeCell="C2" sqref="C2:E3"/>
    </sheetView>
  </sheetViews>
  <sheetFormatPr defaultColWidth="0" defaultRowHeight="15.5" zeroHeight="1" x14ac:dyDescent="0.35"/>
  <cols>
    <col min="1" max="1" width="4.07421875" customWidth="1"/>
    <col min="2" max="2" width="15.69140625" customWidth="1"/>
    <col min="3" max="5" width="9.23046875" customWidth="1"/>
    <col min="6" max="6" width="3.61328125" customWidth="1"/>
    <col min="7" max="7" width="41.765625" customWidth="1"/>
    <col min="8" max="8" width="10.61328125" bestFit="1" customWidth="1"/>
    <col min="9" max="9" width="10.3046875" customWidth="1"/>
    <col min="10" max="10" width="10.61328125" bestFit="1" customWidth="1"/>
    <col min="11" max="11" width="11.07421875" customWidth="1"/>
    <col min="12" max="12" width="11.61328125" bestFit="1" customWidth="1"/>
    <col min="13" max="13" width="2.765625" customWidth="1"/>
    <col min="14" max="14" width="3.921875" hidden="1" customWidth="1"/>
    <col min="15" max="15" width="33.3046875" hidden="1" customWidth="1"/>
    <col min="16" max="16" width="6.53515625" hidden="1" customWidth="1"/>
    <col min="17" max="17" width="10.61328125" bestFit="1" customWidth="1"/>
    <col min="18" max="18" width="11.69140625" customWidth="1"/>
    <col min="19" max="19" width="12.07421875" customWidth="1"/>
    <col min="20" max="20" width="11.61328125" bestFit="1" customWidth="1"/>
    <col min="21" max="21" width="9.23046875" customWidth="1"/>
    <col min="22" max="24" width="0" hidden="1" customWidth="1"/>
    <col min="25" max="16384" width="9.23046875" hidden="1"/>
  </cols>
  <sheetData>
    <row r="1" spans="2:24" ht="16" thickBot="1" x14ac:dyDescent="0.4">
      <c r="H1" s="154" t="str">
        <f>IF(OR($C$2="",$C$2="All Libraries"),"All library services",$C$2)</f>
        <v>All library services</v>
      </c>
      <c r="I1" s="154"/>
      <c r="J1" s="154"/>
      <c r="K1" s="154"/>
      <c r="L1" s="154"/>
      <c r="Q1" s="154" t="str">
        <f>IF(OR($C$2="",$C$2="All Libraries"),"Constant Sample","Constant Sample — "&amp;$C$2)</f>
        <v>Constant Sample</v>
      </c>
      <c r="R1" s="154"/>
      <c r="S1" s="154"/>
      <c r="T1" s="154"/>
      <c r="X1" s="15"/>
    </row>
    <row r="2" spans="2:24" ht="18.5" thickBot="1" x14ac:dyDescent="0.45">
      <c r="B2" s="159" t="s">
        <v>2921</v>
      </c>
      <c r="C2" s="157" t="s">
        <v>2920</v>
      </c>
      <c r="D2" s="157"/>
      <c r="E2" s="157"/>
      <c r="I2" s="29"/>
      <c r="J2" s="17"/>
      <c r="K2" s="30"/>
      <c r="L2" s="30"/>
      <c r="R2" s="16"/>
      <c r="X2" s="15"/>
    </row>
    <row r="3" spans="2:24" ht="16" thickBot="1" x14ac:dyDescent="0.4">
      <c r="B3" s="160"/>
      <c r="C3" s="158"/>
      <c r="D3" s="158"/>
      <c r="E3" s="158"/>
      <c r="H3" s="170" t="s">
        <v>2923</v>
      </c>
      <c r="I3" s="171"/>
      <c r="J3" s="172" t="s">
        <v>2924</v>
      </c>
      <c r="K3" s="173"/>
      <c r="L3" s="174" t="s">
        <v>2925</v>
      </c>
      <c r="Q3" s="176" t="s">
        <v>2922</v>
      </c>
      <c r="R3" s="76" t="s">
        <v>2923</v>
      </c>
      <c r="S3" s="43" t="s">
        <v>2924</v>
      </c>
      <c r="T3" s="155" t="s">
        <v>2925</v>
      </c>
    </row>
    <row r="4" spans="2:24" ht="16" thickBot="1" x14ac:dyDescent="0.4">
      <c r="H4" s="42" t="s">
        <v>2922</v>
      </c>
      <c r="I4" s="45" t="s">
        <v>2918</v>
      </c>
      <c r="J4" s="44" t="s">
        <v>2922</v>
      </c>
      <c r="K4" s="41" t="s">
        <v>2918</v>
      </c>
      <c r="L4" s="175"/>
      <c r="Q4" s="177"/>
      <c r="R4" s="76" t="s">
        <v>2918</v>
      </c>
      <c r="S4" s="43" t="s">
        <v>2918</v>
      </c>
      <c r="T4" s="156"/>
    </row>
    <row r="5" spans="2:24" ht="16" thickBot="1" x14ac:dyDescent="0.4">
      <c r="G5" s="46" t="s">
        <v>2842</v>
      </c>
      <c r="H5" s="108">
        <f>IF(OR($C$2="",$C$2="(All)",$C$2="All Libraries"),COUNTIFS(SummarySource[Year],"24/25",SummarySource[Metric],"AM_Total",SummarySource[Value],"&gt;0"),COUNTIFS(SummarySource[Year],"24/25",SummarySource[Metric],"AM_Total",SummarySource[Value],"&gt;0",SummarySource[Library Service],$C$2))</f>
        <v>110</v>
      </c>
      <c r="I5" s="36">
        <f>IF(OR($C$2="",$C$2="(All)",$C$2="All Libraries"),SUMIFS(SummarySource[Value],SummarySource[Year],"24/25",SummarySource[Metric],"AM_Total"),SUMIFS(SummarySource[Value],SummarySource[Year],"24/25",SummarySource[Metric],"AM_Total",SummarySource[Library Service],$C$2))</f>
        <v>4232885</v>
      </c>
      <c r="J5" s="108">
        <f>IF(OR($C$2="",$C$2="(All)",$C$2="All Libraries"),COUNTIFS(SummarySource[Year],"25/26",SummarySource[Metric],"AM_Total",SummarySource[Value],"&gt;0"),COUNTIFS(SummarySource[Year],"25/26",SummarySource[Metric],"AM_Total",SummarySource[Value],"&gt;0",SummarySource[Library Service],$C$2))</f>
        <v>105</v>
      </c>
      <c r="K5" s="36">
        <f>IF(OR($C$2="",$C$2="(All)",$C$2="All Libraries"),SUMIFS(SummarySource[Value],SummarySource[Year],"25/26",SummarySource[Metric],"AM_Total"),SUMIFS(SummarySource[Value],SummarySource[Year],"25/26",SummarySource[Metric],"AM_Total",SummarySource[Library Service],$C$2))</f>
        <v>3794899</v>
      </c>
      <c r="L5" s="132">
        <f>IFERROR(K5/I5-1,"")</f>
        <v>-0.10347221812073804</v>
      </c>
      <c r="N5" s="31" t="s">
        <v>2842</v>
      </c>
      <c r="O5" s="32"/>
      <c r="P5" s="32"/>
      <c r="Q5" s="124">
        <f>IF(OR($C$2="",$C$2="(All)",$C$2="All Libraries"),COUNTIFS(SummarySource[Year],"24/25",SummarySource[Metric],"AM_Total",SummarySource[Value],"&gt;0",SummarySource[Matched Both Years],1),COUNTIFS(SummarySource[Year],"24/25",SummarySource[Metric],"AM_Total",SummarySource[Value],"&gt;0",SummarySource[Matched Both Years],1,SummarySource[Library Service],$C$2))</f>
        <v>85</v>
      </c>
      <c r="R5" s="88">
        <f>IF(OR($C$2="",$C$2="(All)",$C$2="All Libraries"),SUMIFS(SummarySource[Value],SummarySource[Year],"24/25",SummarySource[Metric],"AM_Total",SummarySource[Value],"&gt;0",SummarySource[Matched Both Years],1),SUMIFS(SummarySource[Value],SummarySource[Year],"24/25",SummarySource[Metric],"AM_Total",SummarySource[Value],"&gt;0",SummarySource[Matched Both Years],1,SummarySource[Library Service],$C$2))</f>
        <v>3251476</v>
      </c>
      <c r="S5" s="89">
        <f>IF(OR($C$2="",$C$2="(All)",$C$2="All Libraries"),SUMIFS(SummarySource[Value],SummarySource[Year],"25/26",SummarySource[Metric],"AM_Total",SummarySource[Value],"&gt;0",SummarySource[Matched Both Years],1),SUMIFS(SummarySource[Value],SummarySource[Year],"25/26",SummarySource[Metric],"AM_Total",SummarySource[Value],"&gt;0",SummarySource[Matched Both Years],1,SummarySource[Library Service],$C$2))</f>
        <v>3122034</v>
      </c>
      <c r="T5" s="146">
        <f>IFERROR(S5/R5-1,"")</f>
        <v>-3.9810227724270453E-2</v>
      </c>
    </row>
    <row r="6" spans="2:24" x14ac:dyDescent="0.35">
      <c r="G6" s="52" t="s">
        <v>2843</v>
      </c>
      <c r="H6" s="109">
        <f>IF(OR($C$2="",$C$2="(All)",$C$2="All Libraries"),COUNTIFS(SummarySource[Year],"24/25",SummarySource[Metric],"AM_Child",SummarySource[Value],"&gt;0"),COUNTIFS(SummarySource[Year],"24/25",SummarySource[Metric],"AM_Child",SummarySource[Value],"&gt;0",SummarySource[Library Service],$C$2))</f>
        <v>74</v>
      </c>
      <c r="I6" s="47">
        <f>IF(OR($C$2="",$C$2="(All)",$C$2="All Libraries"),SUMIFS(SummarySource[Value],SummarySource[Year],"24/25",SummarySource[Metric],"AM_Child"),SUMIFS(SummarySource[Value],SummarySource[Year],"24/25",SummarySource[Metric],"AM_Child",SummarySource[Library Service],$C$2))</f>
        <v>861954</v>
      </c>
      <c r="J6" s="109">
        <f>IF(OR($C$2="",$C$2="(All)",$C$2="All Libraries"),COUNTIFS(SummarySource[Year],"25/26",SummarySource[Metric],"AM_Child",SummarySource[Value],"&gt;0"),COUNTIFS(SummarySource[Year],"25/26",SummarySource[Metric],"AM_Child",SummarySource[Value],"&gt;0",SummarySource[Library Service],$C$2))</f>
        <v>77</v>
      </c>
      <c r="K6" s="47">
        <f>IF(OR($C$2="",$C$2="(All)",$C$2="All Libraries"),SUMIFS(SummarySource[Value],SummarySource[Year],"25/26",SummarySource[Metric],"AM_Child"),SUMIFS(SummarySource[Value],SummarySource[Year],"25/26",SummarySource[Metric],"AM_Child",SummarySource[Library Service],$C$2))</f>
        <v>944343</v>
      </c>
      <c r="L6" s="133">
        <f>IFERROR(K6/I6-1,"")</f>
        <v>9.5583987080517074E-2</v>
      </c>
      <c r="N6" s="31"/>
      <c r="O6" s="33" t="s">
        <v>2843</v>
      </c>
      <c r="P6" s="32"/>
      <c r="Q6" s="125">
        <f>IF(OR($C$2="",$C$2="(All)",$C$2="All Libraries"),COUNTIFS(SummarySource[Year],"24/25",SummarySource[Metric],"AM_Child",SummarySource[Value],"&gt;0",SummarySource[Matched Both Years],1),COUNTIFS(SummarySource[Year],"24/25",SummarySource[Metric],"AM_Child",SummarySource[Value],"&gt;0",SummarySource[Matched Both Years],1,SummarySource[Library Service],$C$2))</f>
        <v>50</v>
      </c>
      <c r="R6" s="77">
        <f>IF(OR($C$2="",$C$2="(All)",$C$2="All Libraries"),SUMIFS(SummarySource[Value],SummarySource[Year],"24/25",SummarySource[Metric],"AM_Child",SummarySource[Value],"&gt;0",SummarySource[Matched Both Years],1),SUMIFS(SummarySource[Value],SummarySource[Year],"24/25",SummarySource[Metric],"AM_Child",SummarySource[Value],"&gt;0",SummarySource[Matched Both Years],1,SummarySource[Library Service],$C$2))</f>
        <v>629553</v>
      </c>
      <c r="S6" s="48">
        <f>IF(OR($C$2="",$C$2="(All)",$C$2="All Libraries"),SUMIFS(SummarySource[Value],SummarySource[Year],"25/26",SummarySource[Metric],"AM_Child",SummarySource[Value],"&gt;0",SummarySource[Matched Both Years],1),SUMIFS(SummarySource[Value],SummarySource[Year],"25/26",SummarySource[Metric],"AM_Child",SummarySource[Value],"&gt;0",SummarySource[Matched Both Years],1,SummarySource[Library Service],$C$2))</f>
        <v>611534</v>
      </c>
      <c r="T6" s="147">
        <f>IFERROR(S6/R6-1,"")</f>
        <v>-2.8621895217717963E-2</v>
      </c>
    </row>
    <row r="7" spans="2:24" ht="16" thickBot="1" x14ac:dyDescent="0.4">
      <c r="G7" s="54" t="s">
        <v>2844</v>
      </c>
      <c r="H7" s="110">
        <f>IF(OR($C$2="",$C$2="(All)",$C$2="All Libraries"),COUNTIFS(SummarySource[Year],"24/25",SummarySource[Metric],"AM_Young",SummarySource[Value],"&gt;0"),COUNTIFS(SummarySource[Year],"24/25",SummarySource[Metric],"AM_Young",SummarySource[Value],"&gt;0",SummarySource[Library Service],$C$2))</f>
        <v>77</v>
      </c>
      <c r="I7" s="50">
        <f>IF(OR($C$2="",$C$2="(All)",$C$2="All Libraries"),SUMIFS(SummarySource[Value],SummarySource[Year],"24/25",SummarySource[Metric],"AM_Young"),SUMIFS(SummarySource[Value],SummarySource[Year],"24/25",SummarySource[Metric],"AM_Young",SummarySource[Library Service],$C$2))</f>
        <v>2023747</v>
      </c>
      <c r="J7" s="110">
        <f>IF(OR($C$2="",$C$2="(All)",$C$2="All Libraries"),COUNTIFS(SummarySource[Year],"25/26",SummarySource[Metric],"AM_Young",SummarySource[Value],"&gt;0"),COUNTIFS(SummarySource[Year],"25/26",SummarySource[Metric],"AM_Young",SummarySource[Value],"&gt;0",SummarySource[Library Service],$C$2))</f>
        <v>74</v>
      </c>
      <c r="K7" s="50">
        <f>IF(OR($C$2="",$C$2="(All)",$C$2="All Libraries"),SUMIFS(SummarySource[Value],SummarySource[Year],"25/26",SummarySource[Metric],"AM_Young"),SUMIFS(SummarySource[Value],SummarySource[Year],"25/26",SummarySource[Metric],"AM_Young",SummarySource[Library Service],$C$2))</f>
        <v>242878</v>
      </c>
      <c r="L7" s="134">
        <f>IFERROR(K7/I7-1,"")</f>
        <v>-0.87998598639059133</v>
      </c>
      <c r="N7" s="31"/>
      <c r="O7" s="33" t="s">
        <v>2844</v>
      </c>
      <c r="P7" s="32"/>
      <c r="Q7" s="126">
        <f>IF(OR($C$2="",$C$2="(All)",$C$2="All Libraries"),COUNTIFS(SummarySource[Year],"24/25",SummarySource[Metric],"AM_Young",SummarySource[Value],"&gt;0",SummarySource[Matched Both Years],1),COUNTIFS(SummarySource[Year],"24/25",SummarySource[Metric],"AM_Young",SummarySource[Value],"&gt;0",SummarySource[Matched Both Years],1,SummarySource[Library Service],$C$2))</f>
        <v>49</v>
      </c>
      <c r="R7" s="78">
        <f>IF(OR($C$2="",$C$2="(All)",$C$2="All Libraries"),SUMIFS(SummarySource[Value],SummarySource[Year],"24/25",SummarySource[Metric],"AM_Young",SummarySource[Value],"&gt;0",SummarySource[Matched Both Years],1),SUMIFS(SummarySource[Value],SummarySource[Year],"24/25",SummarySource[Metric],"AM_Young",SummarySource[Value],"&gt;0",SummarySource[Matched Both Years],1,SummarySource[Library Service],$C$2))</f>
        <v>1411006</v>
      </c>
      <c r="S7" s="50">
        <f>IF(OR($C$2="",$C$2="(All)",$C$2="All Libraries"),SUMIFS(SummarySource[Value],SummarySource[Year],"25/26",SummarySource[Metric],"AM_Young",SummarySource[Value],"&gt;0",SummarySource[Matched Both Years],1),SUMIFS(SummarySource[Value],SummarySource[Year],"25/26",SummarySource[Metric],"AM_Young",SummarySource[Value],"&gt;0",SummarySource[Matched Both Years],1,SummarySource[Library Service],$C$2))</f>
        <v>178404</v>
      </c>
      <c r="T7" s="141">
        <f>IFERROR(S7/R7-1,"")</f>
        <v>-0.87356255040729802</v>
      </c>
    </row>
    <row r="8" spans="2:24" ht="16" thickBot="1" x14ac:dyDescent="0.4">
      <c r="B8" s="161" t="s">
        <v>2936</v>
      </c>
      <c r="C8" s="162"/>
      <c r="D8" s="162"/>
      <c r="E8" s="163"/>
      <c r="G8" s="53" t="s">
        <v>2845</v>
      </c>
      <c r="H8" s="111">
        <f>IF(OR($C$2="",$C$2="(All)",$C$2="All Libraries"),COUNTIFS(SummarySource[Year],"24/25",SummarySource[Metric],"AM_Adult",SummarySource[Value],"&gt;0"),COUNTIFS(SummarySource[Year],"24/25",SummarySource[Metric],"AM_Adult",SummarySource[Value],"&gt;0",SummarySource[Library Service],$C$2))</f>
        <v>73</v>
      </c>
      <c r="I8" s="49">
        <f>IF(OR($C$2="",$C$2="(All)",$C$2="All Libraries"),SUMIFS(SummarySource[Value],SummarySource[Year],"24/25",SummarySource[Metric],"AM_Adult"),SUMIFS(SummarySource[Value],SummarySource[Year],"24/25",SummarySource[Metric],"AM_Adult",SummarySource[Library Service],$C$2))</f>
        <v>301626</v>
      </c>
      <c r="J8" s="111">
        <f>IF(OR($C$2="",$C$2="(All)",$C$2="All Libraries"),COUNTIFS(SummarySource[Year],"25/26",SummarySource[Metric],"AM_Adult",SummarySource[Value],"&gt;0"),COUNTIFS(SummarySource[Year],"25/26",SummarySource[Metric],"AM_Adult",SummarySource[Value],"&gt;0",SummarySource[Library Service],$C$2))</f>
        <v>83</v>
      </c>
      <c r="K8" s="49">
        <f>IF(OR($C$2="",$C$2="(All)",$C$2="All Libraries"),SUMIFS(SummarySource[Value],SummarySource[Year],"25/26",SummarySource[Metric],"AM_Adult"),SUMIFS(SummarySource[Value],SummarySource[Year],"25/26",SummarySource[Metric],"AM_Adult",SummarySource[Library Service],$C$2))</f>
        <v>1997784</v>
      </c>
      <c r="L8" s="135">
        <f>IFERROR(K8/I8-1,"")</f>
        <v>5.6233812734976425</v>
      </c>
      <c r="N8" s="31"/>
      <c r="O8" s="33" t="s">
        <v>2845</v>
      </c>
      <c r="P8" s="32"/>
      <c r="Q8" s="127">
        <f>IF(OR($C$2="",$C$2="(All)",$C$2="All Libraries"),COUNTIFS(SummarySource[Year],"24/25",SummarySource[Metric],"AM_Adult",SummarySource[Value],"&gt;0",SummarySource[Matched Both Years],1),COUNTIFS(SummarySource[Year],"24/25",SummarySource[Metric],"AM_Adult",SummarySource[Value],"&gt;0",SummarySource[Matched Both Years],1,SummarySource[Library Service],$C$2))</f>
        <v>51</v>
      </c>
      <c r="R8" s="79">
        <f>IF(OR($C$2="",$C$2="(All)",$C$2="All Libraries"),SUMIFS(SummarySource[Value],SummarySource[Year],"24/25",SummarySource[Metric],"AM_Adult",SummarySource[Value],"&gt;0",SummarySource[Matched Both Years],1),SUMIFS(SummarySource[Value],SummarySource[Year],"24/25",SummarySource[Metric],"AM_Adult",SummarySource[Value],"&gt;0",SummarySource[Matched Both Years],1,SummarySource[Library Service],$C$2))</f>
        <v>227983</v>
      </c>
      <c r="S8" s="49">
        <f>IF(OR($C$2="",$C$2="(All)",$C$2="All Libraries"),SUMIFS(SummarySource[Value],SummarySource[Year],"25/26",SummarySource[Metric],"AM_Adult",SummarySource[Value],"&gt;0",SummarySource[Matched Both Years],1),SUMIFS(SummarySource[Value],SummarySource[Year],"25/26",SummarySource[Metric],"AM_Adult",SummarySource[Value],"&gt;0",SummarySource[Matched Both Years],1,SummarySource[Library Service],$C$2))</f>
        <v>1306065</v>
      </c>
      <c r="T8" s="148">
        <f>IFERROR(S8/R8-1,"")</f>
        <v>4.7287824092147224</v>
      </c>
    </row>
    <row r="9" spans="2:24" ht="6.5" customHeight="1" thickBot="1" x14ac:dyDescent="0.4">
      <c r="B9" s="164"/>
      <c r="C9" s="165"/>
      <c r="D9" s="165"/>
      <c r="E9" s="166"/>
      <c r="H9" s="2"/>
      <c r="I9" s="2"/>
      <c r="J9" s="2"/>
      <c r="K9" s="2"/>
      <c r="L9" s="136"/>
      <c r="Q9" s="2"/>
      <c r="R9" s="2"/>
      <c r="S9" s="2"/>
      <c r="T9" s="136"/>
    </row>
    <row r="10" spans="2:24" ht="16" thickBot="1" x14ac:dyDescent="0.4">
      <c r="B10" s="164"/>
      <c r="C10" s="165"/>
      <c r="D10" s="165"/>
      <c r="E10" s="166"/>
      <c r="G10" s="35" t="s">
        <v>2926</v>
      </c>
      <c r="H10" s="108">
        <f>IF(OR($C$2="",$C$2="(All)",$C$2="All Libraries"),COUNTIFS(SummarySource[Year],"24/25",SummarySource[Metric],"EV_P_Total",SummarySource[Value],"&gt;0"),COUNTIFS(SummarySource[Year],"24/25",SummarySource[Metric],"EV_P_Total",SummarySource[Value],"&gt;0",SummarySource[Library Service],$C$2))</f>
        <v>101</v>
      </c>
      <c r="I10" s="36">
        <f>IF(OR($C$2="",$C$2="(All)",$C$2="All Libraries"),SUMIFS(SummarySource[Value],SummarySource[Year],"24/25",SummarySource[Metric],"EV_P_Total"),SUMIFS(SummarySource[Value],SummarySource[Year],"24/25",SummarySource[Metric],"EV_P_Total",SummarySource[Library Service],$C$2))</f>
        <v>535808</v>
      </c>
      <c r="J10" s="108">
        <f>IF(OR($C$2="",$C$2="(All)",$C$2="All Libraries"),COUNTIFS(SummarySource[Year],"25/26",SummarySource[Metric],"EV_P_Total",SummarySource[Value],"&gt;0"),COUNTIFS(SummarySource[Year],"25/26",SummarySource[Metric],"EV_P_Total",SummarySource[Value],"&gt;0",SummarySource[Library Service],$C$2))</f>
        <v>100</v>
      </c>
      <c r="K10" s="38">
        <f>IF(OR($C$2="",$C$2="(All)",$C$2="All Libraries"),SUMIFS(SummarySource[Value],SummarySource[Year],"25/26",SummarySource[Metric],"EV_P_Total"),SUMIFS(SummarySource[Value],SummarySource[Year],"25/26",SummarySource[Metric],"EV_P_Total",SummarySource[Library Service],$C$2))</f>
        <v>642264</v>
      </c>
      <c r="L10" s="132">
        <f t="shared" ref="L10:L17" si="0">IFERROR(K10/I10-1,"")</f>
        <v>0.19868311036789299</v>
      </c>
      <c r="N10" s="35" t="s">
        <v>2926</v>
      </c>
      <c r="O10" s="37"/>
      <c r="P10" s="32"/>
      <c r="Q10" s="118">
        <f>IF(OR($C$2="",$C$2="(All)",$C$2="All Libraries"),COUNTIFS(SummarySource[Year],"24/25",SummarySource[Metric],"EV_P_Total",SummarySource[Value],"&gt;0",SummarySource[Matched Both Years],1),COUNTIFS(SummarySource[Year],"24/25",SummarySource[Metric],"EV_P_Total",SummarySource[Value],"&gt;0",SummarySource[Matched Both Years],1,SummarySource[Library Service],$C$2))</f>
        <v>76</v>
      </c>
      <c r="R10" s="80">
        <f>IF(OR($C$2="",$C$2="(All)",$C$2="All Libraries"),SUMIFS(SummarySource[Value],SummarySource[Year],"24/25",SummarySource[Metric],"EV_P_Total",SummarySource[Value],"&gt;0",SummarySource[Matched Both Years],1),SUMIFS(SummarySource[Value],SummarySource[Year],"24/25",SummarySource[Metric],"EV_P_Total",SummarySource[Value],"&gt;0",SummarySource[Matched Both Years],1,SummarySource[Library Service],$C$2))</f>
        <v>407843</v>
      </c>
      <c r="S10" s="55">
        <f>IF(OR($C$2="",$C$2="(All)",$C$2="All Libraries"),SUMIFS(SummarySource[Value],SummarySource[Year],"25/26",SummarySource[Metric],"EV_P_Total",SummarySource[Value],"&gt;0",SummarySource[Matched Both Years],1),SUMIFS(SummarySource[Value],SummarySource[Year],"25/26",SummarySource[Metric],"EV_P_Total",SummarySource[Value],"&gt;0",SummarySource[Matched Both Years],1,SummarySource[Library Service],$C$2))</f>
        <v>530644</v>
      </c>
      <c r="T10" s="149">
        <f t="shared" ref="T10:T17" si="1">IFERROR(S10/R10-1,"")</f>
        <v>0.30109870710052644</v>
      </c>
    </row>
    <row r="11" spans="2:24" ht="16" thickBot="1" x14ac:dyDescent="0.4">
      <c r="B11" s="164"/>
      <c r="C11" s="165"/>
      <c r="D11" s="165"/>
      <c r="E11" s="166"/>
      <c r="G11" s="61" t="s">
        <v>2846</v>
      </c>
      <c r="H11" s="112">
        <f>IF(OR($C$2="",$C$2="(All)",$C$2="All Libraries"),COUNTIFS(SummarySource[Year],"24/25",SummarySource[Metric],"EV_P_Child",SummarySource[Value],"&gt;0"),COUNTIFS(SummarySource[Year],"24/25",SummarySource[Metric],"EV_P_Child",SummarySource[Value],"&gt;0",SummarySource[Library Service],$C$2))</f>
        <v>73</v>
      </c>
      <c r="I11" s="58">
        <f>IF(OR($C$2="",$C$2="(All)",$C$2="All Libraries"),SUMIFS(SummarySource[Value],SummarySource[Year],"24/25",SummarySource[Metric],"EV_P_Child"),SUMIFS(SummarySource[Value],SummarySource[Year],"24/25",SummarySource[Metric],"EV_P_Child",SummarySource[Library Service],$C$2))</f>
        <v>154143</v>
      </c>
      <c r="J11" s="113">
        <f>IF(OR($C$2="",$C$2="(All)",$C$2="All Libraries"),COUNTIFS(SummarySource[Year],"25/26",SummarySource[Metric],"EV_P_Child",SummarySource[Value],"&gt;0"),COUNTIFS(SummarySource[Year],"25/26",SummarySource[Metric],"EV_P_Child",SummarySource[Value],"&gt;0",SummarySource[Library Service],$C$2))</f>
        <v>74</v>
      </c>
      <c r="K11" s="58">
        <f>IF(OR($C$2="",$C$2="(All)",$C$2="All Libraries"),SUMIFS(SummarySource[Value],SummarySource[Year],"25/26",SummarySource[Metric],"EV_P_Child"),SUMIFS(SummarySource[Value],SummarySource[Year],"25/26",SummarySource[Metric],"EV_P_Child",SummarySource[Library Service],$C$2))</f>
        <v>196805</v>
      </c>
      <c r="L11" s="137">
        <f t="shared" si="0"/>
        <v>0.27676897426415725</v>
      </c>
      <c r="N11" s="40"/>
      <c r="O11" s="39" t="s">
        <v>2846</v>
      </c>
      <c r="P11" s="32"/>
      <c r="Q11" s="128">
        <f>IF(OR($C$2="",$C$2="(All)",$C$2="All Libraries"),COUNTIFS(SummarySource[Year],"24/25",SummarySource[Metric],"EV_P_Child",SummarySource[Value],"&gt;0",SummarySource[Matched Both Years],1),COUNTIFS(SummarySource[Year],"24/25",SummarySource[Metric],"EV_P_Child",SummarySource[Value],"&gt;0",SummarySource[Matched Both Years],1,SummarySource[Library Service],$C$2))</f>
        <v>51</v>
      </c>
      <c r="R11" s="81">
        <f>IF(OR($C$2="",$C$2="(All)",$C$2="All Libraries"),SUMIFS(SummarySource[Value],SummarySource[Year],"24/25",SummarySource[Metric],"EV_P_Child",SummarySource[Value],"&gt;0",SummarySource[Matched Both Years],1),SUMIFS(SummarySource[Value],SummarySource[Year],"24/25",SummarySource[Metric],"EV_P_Child",SummarySource[Value],"&gt;0",SummarySource[Matched Both Years],1,SummarySource[Library Service],$C$2))</f>
        <v>125588</v>
      </c>
      <c r="S11" s="69">
        <f>IF(OR($C$2="",$C$2="(All)",$C$2="All Libraries"),SUMIFS(SummarySource[Value],SummarySource[Year],"25/26",SummarySource[Metric],"EV_P_Child",SummarySource[Value],"&gt;0",SummarySource[Matched Both Years],1),SUMIFS(SummarySource[Value],SummarySource[Year],"25/26",SummarySource[Metric],"EV_P_Child",SummarySource[Value],"&gt;0",SummarySource[Matched Both Years],1,SummarySource[Library Service],$C$2))</f>
        <v>148888</v>
      </c>
      <c r="T11" s="150">
        <f t="shared" si="1"/>
        <v>0.18552727967640226</v>
      </c>
    </row>
    <row r="12" spans="2:24" ht="16" thickBot="1" x14ac:dyDescent="0.4">
      <c r="B12" s="164"/>
      <c r="C12" s="165"/>
      <c r="D12" s="165"/>
      <c r="E12" s="166"/>
      <c r="G12" s="62" t="s">
        <v>2847</v>
      </c>
      <c r="H12" s="114">
        <f>IF(OR($C$2="",$C$2="(All)",$C$2="All Libraries"),COUNTIFS(SummarySource[Year],"24/25",SummarySource[Metric],"EV_P_Young",SummarySource[Value],"&gt;0"),COUNTIFS(SummarySource[Year],"24/25",SummarySource[Metric],"EV_P_Young",SummarySource[Value],"&gt;0",SummarySource[Library Service],$C$2))</f>
        <v>74</v>
      </c>
      <c r="I12" s="59">
        <f>IF(OR($C$2="",$C$2="(All)",$C$2="All Libraries"),SUMIFS(SummarySource[Value],SummarySource[Year],"24/25",SummarySource[Metric],"EV_P_Young"),SUMIFS(SummarySource[Value],SummarySource[Year],"24/25",SummarySource[Metric],"EV_P_Young",SummarySource[Library Service],$C$2))</f>
        <v>181375</v>
      </c>
      <c r="J12" s="115">
        <f>IF(OR($C$2="",$C$2="(All)",$C$2="All Libraries"),COUNTIFS(SummarySource[Year],"25/26",SummarySource[Metric],"EV_P_Young",SummarySource[Value],"&gt;0"),COUNTIFS(SummarySource[Year],"25/26",SummarySource[Metric],"EV_P_Young",SummarySource[Value],"&gt;0",SummarySource[Library Service],$C$2))</f>
        <v>41</v>
      </c>
      <c r="K12" s="59">
        <f>IF(OR($C$2="",$C$2="(All)",$C$2="All Libraries"),SUMIFS(SummarySource[Value],SummarySource[Year],"25/26",SummarySource[Metric],"EV_P_Young"),SUMIFS(SummarySource[Value],SummarySource[Year],"25/26",SummarySource[Metric],"EV_P_Young",SummarySource[Library Service],$C$2))</f>
        <v>4455</v>
      </c>
      <c r="L12" s="134">
        <f t="shared" si="0"/>
        <v>-0.97543762922122679</v>
      </c>
      <c r="N12" s="40"/>
      <c r="O12" s="39" t="s">
        <v>2847</v>
      </c>
      <c r="P12" s="32"/>
      <c r="Q12" s="129">
        <f>IF(OR($C$2="",$C$2="(All)",$C$2="All Libraries"),COUNTIFS(SummarySource[Year],"24/25",SummarySource[Metric],"EV_P_Young",SummarySource[Value],"&gt;0",SummarySource[Matched Both Years],1),COUNTIFS(SummarySource[Year],"24/25",SummarySource[Metric],"EV_P_Young",SummarySource[Value],"&gt;0",SummarySource[Matched Both Years],1,SummarySource[Library Service],$C$2))</f>
        <v>30</v>
      </c>
      <c r="R12" s="82">
        <f>IF(OR($C$2="",$C$2="(All)",$C$2="All Libraries"),SUMIFS(SummarySource[Value],SummarySource[Year],"24/25",SummarySource[Metric],"EV_P_Young",SummarySource[Value],"&gt;0",SummarySource[Matched Both Years],1),SUMIFS(SummarySource[Value],SummarySource[Year],"24/25",SummarySource[Metric],"EV_P_Young",SummarySource[Value],"&gt;0",SummarySource[Matched Both Years],1,SummarySource[Library Service],$C$2))</f>
        <v>75526</v>
      </c>
      <c r="S12" s="51">
        <f>IF(OR($C$2="",$C$2="(All)",$C$2="All Libraries"),SUMIFS(SummarySource[Value],SummarySource[Year],"25/26",SummarySource[Metric],"EV_P_Young",SummarySource[Value],"&gt;0",SummarySource[Matched Both Years],1),SUMIFS(SummarySource[Value],SummarySource[Year],"25/26",SummarySource[Metric],"EV_P_Young",SummarySource[Value],"&gt;0",SummarySource[Matched Both Years],1,SummarySource[Library Service],$C$2))</f>
        <v>3233</v>
      </c>
      <c r="T12" s="151">
        <f t="shared" si="1"/>
        <v>-0.95719354924132083</v>
      </c>
    </row>
    <row r="13" spans="2:24" ht="16" thickBot="1" x14ac:dyDescent="0.4">
      <c r="B13" s="164"/>
      <c r="C13" s="165"/>
      <c r="D13" s="165"/>
      <c r="E13" s="166"/>
      <c r="G13" s="63" t="s">
        <v>2848</v>
      </c>
      <c r="H13" s="116">
        <f>IF(OR($C$2="",$C$2="(All)",$C$2="All Libraries"),COUNTIFS(SummarySource[Year],"24/25",SummarySource[Metric],"EV_P_Adult",SummarySource[Value],"&gt;0"),COUNTIFS(SummarySource[Year],"24/25",SummarySource[Metric],"EV_P_Adult",SummarySource[Value],"&gt;0",SummarySource[Library Service],$C$2))</f>
        <v>43</v>
      </c>
      <c r="I13" s="60">
        <f>IF(OR($C$2="",$C$2="(All)",$C$2="All Libraries"),SUMIFS(SummarySource[Value],SummarySource[Year],"24/25",SummarySource[Metric],"EV_P_Adult"),SUMIFS(SummarySource[Value],SummarySource[Year],"24/25",SummarySource[Metric],"EV_P_Adult",SummarySource[Library Service],$C$2))</f>
        <v>10136</v>
      </c>
      <c r="J13" s="117">
        <f>IF(OR($C$2="",$C$2="(All)",$C$2="All Libraries"),COUNTIFS(SummarySource[Year],"25/26",SummarySource[Metric],"EV_P_Adult",SummarySource[Value],"&gt;0"),COUNTIFS(SummarySource[Year],"25/26",SummarySource[Metric],"EV_P_Adult",SummarySource[Value],"&gt;0",SummarySource[Library Service],$C$2))</f>
        <v>75</v>
      </c>
      <c r="K13" s="60">
        <f>IF(OR($C$2="",$C$2="(All)",$C$2="All Libraries"),SUMIFS(SummarySource[Value],SummarySource[Year],"25/26",SummarySource[Metric],"EV_P_Adult"),SUMIFS(SummarySource[Value],SummarySource[Year],"25/26",SummarySource[Metric],"EV_P_Adult",SummarySource[Library Service],$C$2))</f>
        <v>187919</v>
      </c>
      <c r="L13" s="138">
        <f t="shared" si="0"/>
        <v>17.539759273875298</v>
      </c>
      <c r="N13" s="40"/>
      <c r="O13" s="39" t="s">
        <v>2848</v>
      </c>
      <c r="P13" s="32"/>
      <c r="Q13" s="130">
        <f>IF(OR($C$2="",$C$2="(All)",$C$2="All Libraries"),COUNTIFS(SummarySource[Year],"24/25",SummarySource[Metric],"EV_P_Adult",SummarySource[Value],"&gt;0",SummarySource[Matched Both Years],1),COUNTIFS(SummarySource[Year],"24/25",SummarySource[Metric],"EV_P_Adult",SummarySource[Value],"&gt;0",SummarySource[Matched Both Years],1,SummarySource[Library Service],$C$2))</f>
        <v>31</v>
      </c>
      <c r="R13" s="83">
        <f>IF(OR($C$2="",$C$2="(All)",$C$2="All Libraries"),SUMIFS(SummarySource[Value],SummarySource[Year],"24/25",SummarySource[Metric],"EV_P_Adult",SummarySource[Value],"&gt;0",SummarySource[Matched Both Years],1),SUMIFS(SummarySource[Value],SummarySource[Year],"24/25",SummarySource[Metric],"EV_P_Adult",SummarySource[Value],"&gt;0",SummarySource[Matched Both Years],1,SummarySource[Library Service],$C$2))</f>
        <v>4225</v>
      </c>
      <c r="S13" s="70">
        <f>IF(OR($C$2="",$C$2="(All)",$C$2="All Libraries"),SUMIFS(SummarySource[Value],SummarySource[Year],"25/26",SummarySource[Metric],"EV_P_Adult",SummarySource[Value],"&gt;0",SummarySource[Matched Both Years],1),SUMIFS(SummarySource[Value],SummarySource[Year],"25/26",SummarySource[Metric],"EV_P_Adult",SummarySource[Value],"&gt;0",SummarySource[Matched Both Years],1,SummarySource[Library Service],$C$2))</f>
        <v>90408</v>
      </c>
      <c r="T13" s="152">
        <f t="shared" si="1"/>
        <v>20.398343195266271</v>
      </c>
    </row>
    <row r="14" spans="2:24" ht="16" thickBot="1" x14ac:dyDescent="0.4">
      <c r="B14" s="164"/>
      <c r="C14" s="165"/>
      <c r="D14" s="165"/>
      <c r="E14" s="166"/>
      <c r="G14" s="64" t="s">
        <v>2927</v>
      </c>
      <c r="H14" s="118">
        <f>IF(OR($C$2="",$C$2="(All)",$C$2="All Libraries"),COUNTIFS(SummarySource[Year],"24/25",SummarySource[Metric],"EV_D_Total",SummarySource[Value],"&gt;0"),COUNTIFS(SummarySource[Year],"24/25",SummarySource[Metric],"EV_D_Total",SummarySource[Value],"&gt;0",SummarySource[Library Service],$C$2))</f>
        <v>31</v>
      </c>
      <c r="I14" s="55">
        <f>IF(OR($C$2="",$C$2="(All)",$C$2="All Libraries"),SUMIFS(SummarySource[Value],SummarySource[Year],"24/25",SummarySource[Metric],"EV_D_Total"),SUMIFS(SummarySource[Value],SummarySource[Year],"24/25",SummarySource[Metric],"EV_D_Total",SummarySource[Library Service],$C$2))</f>
        <v>3642</v>
      </c>
      <c r="J14" s="118">
        <f>IF(OR($C$2="",$C$2="(All)",$C$2="All Libraries"),COUNTIFS(SummarySource[Year],"25/26",SummarySource[Metric],"EV_D_Total",SummarySource[Value],"&gt;0"),COUNTIFS(SummarySource[Year],"25/26",SummarySource[Metric],"EV_D_Total",SummarySource[Value],"&gt;0",SummarySource[Library Service],$C$2))</f>
        <v>24</v>
      </c>
      <c r="K14" s="55">
        <f>IF(OR($C$2="",$C$2="(All)",$C$2="All Libraries"),SUMIFS(SummarySource[Value],SummarySource[Year],"25/26",SummarySource[Metric],"EV_D_Total"),SUMIFS(SummarySource[Value],SummarySource[Year],"25/26",SummarySource[Metric],"EV_D_Total",SummarySource[Library Service],$C$2))</f>
        <v>1914</v>
      </c>
      <c r="L14" s="139">
        <f t="shared" si="0"/>
        <v>-0.47446457990115321</v>
      </c>
      <c r="N14" s="35" t="s">
        <v>2927</v>
      </c>
      <c r="O14" s="37"/>
      <c r="P14" s="32"/>
      <c r="Q14" s="131">
        <f>IF(OR($C$2="",$C$2="(All)",$C$2="All Libraries"),COUNTIFS(SummarySource[Year],"24/25",SummarySource[Metric],"EV_D_Total",SummarySource[Value],"&gt;0",SummarySource[Matched Both Years],1),COUNTIFS(SummarySource[Year],"24/25",SummarySource[Metric],"EV_D_Total",SummarySource[Value],"&gt;0",SummarySource[Matched Both Years],1,SummarySource[Library Service],$C$2))</f>
        <v>14</v>
      </c>
      <c r="R14" s="84">
        <f>IF(OR($C$2="",$C$2="(All)",$C$2="All Libraries"),SUMIFS(SummarySource[Value],SummarySource[Year],"24/25",SummarySource[Metric],"EV_D_Total",SummarySource[Value],"&gt;0",SummarySource[Matched Both Years],1),SUMIFS(SummarySource[Value],SummarySource[Year],"24/25",SummarySource[Metric],"EV_D_Total",SummarySource[Value],"&gt;0",SummarySource[Matched Both Years],1,SummarySource[Library Service],$C$2))</f>
        <v>1582</v>
      </c>
      <c r="S14" s="68">
        <f>IF(OR($C$2="",$C$2="(All)",$C$2="All Libraries"),SUMIFS(SummarySource[Value],SummarySource[Year],"25/26",SummarySource[Metric],"EV_D_Total",SummarySource[Value],"&gt;0",SummarySource[Matched Both Years],1),SUMIFS(SummarySource[Value],SummarySource[Year],"25/26",SummarySource[Metric],"EV_D_Total",SummarySource[Value],"&gt;0",SummarySource[Matched Both Years],1,SummarySource[Library Service],$C$2))</f>
        <v>905</v>
      </c>
      <c r="T14" s="153">
        <f t="shared" si="1"/>
        <v>-0.42793931731984824</v>
      </c>
    </row>
    <row r="15" spans="2:24" ht="16" thickBot="1" x14ac:dyDescent="0.4">
      <c r="B15" s="164"/>
      <c r="C15" s="165"/>
      <c r="D15" s="165"/>
      <c r="E15" s="166"/>
      <c r="G15" s="65" t="s">
        <v>2846</v>
      </c>
      <c r="H15" s="119">
        <f>IF(OR($C$2="",$C$2="(All)",$C$2="All Libraries"),COUNTIFS(SummarySource[Year],"24/25",SummarySource[Metric],"EV_D_Child",SummarySource[Value],"&gt;0"),COUNTIFS(SummarySource[Year],"24/25",SummarySource[Metric],"EV_D_Child",SummarySource[Value],"&gt;0",SummarySource[Library Service],$C$2))</f>
        <v>24</v>
      </c>
      <c r="I15" s="56">
        <f>IF(OR($C$2="",$C$2="(All)",$C$2="All Libraries"),SUMIFS(SummarySource[Value],SummarySource[Year],"24/25",SummarySource[Metric],"EV_D_Child"),SUMIFS(SummarySource[Value],SummarySource[Year],"24/25",SummarySource[Metric],"EV_D_Child",SummarySource[Library Service],$C$2))</f>
        <v>1702</v>
      </c>
      <c r="J15" s="119">
        <f>IF(OR($C$2="",$C$2="(All)",$C$2="All Libraries"),COUNTIFS(SummarySource[Year],"25/26",SummarySource[Metric],"EV_D_Child",SummarySource[Value],"&gt;0"),COUNTIFS(SummarySource[Year],"25/26",SummarySource[Metric],"EV_D_Child",SummarySource[Value],"&gt;0",SummarySource[Library Service],$C$2))</f>
        <v>9</v>
      </c>
      <c r="K15" s="56">
        <f>IF(OR($C$2="",$C$2="(All)",$C$2="All Libraries"),SUMIFS(SummarySource[Value],SummarySource[Year],"25/26",SummarySource[Metric],"EV_D_Child"),SUMIFS(SummarySource[Value],SummarySource[Year],"25/26",SummarySource[Metric],"EV_D_Child",SummarySource[Library Service],$C$2))</f>
        <v>215</v>
      </c>
      <c r="L15" s="140">
        <f t="shared" si="0"/>
        <v>-0.87367802585193888</v>
      </c>
      <c r="N15" s="40"/>
      <c r="O15" s="39" t="s">
        <v>2846</v>
      </c>
      <c r="P15" s="32"/>
      <c r="Q15" s="128">
        <f>IF(OR($C$2="",$C$2="(All)",$C$2="All Libraries"),COUNTIFS(SummarySource[Year],"24/25",SummarySource[Metric],"EV_D_Child",SummarySource[Value],"&gt;0",SummarySource[Matched Both Years],1),COUNTIFS(SummarySource[Year],"24/25",SummarySource[Metric],"EV_D_Child",SummarySource[Value],"&gt;0",SummarySource[Matched Both Years],1,SummarySource[Library Service],$C$2))</f>
        <v>4</v>
      </c>
      <c r="R15" s="81">
        <f>IF(OR($C$2="",$C$2="(All)",$C$2="All Libraries"),SUMIFS(SummarySource[Value],SummarySource[Year],"24/25",SummarySource[Metric],"EV_D_Child",SummarySource[Value],"&gt;0",SummarySource[Matched Both Years],1),SUMIFS(SummarySource[Value],SummarySource[Year],"24/25",SummarySource[Metric],"EV_D_Child",SummarySource[Value],"&gt;0",SummarySource[Matched Both Years],1,SummarySource[Library Service],$C$2))</f>
        <v>482</v>
      </c>
      <c r="S15" s="69">
        <f>IF(OR($C$2="",$C$2="(All)",$C$2="All Libraries"),SUMIFS(SummarySource[Value],SummarySource[Year],"25/26",SummarySource[Metric],"EV_D_Child",SummarySource[Value],"&gt;0",SummarySource[Matched Both Years],1),SUMIFS(SummarySource[Value],SummarySource[Year],"25/26",SummarySource[Metric],"EV_D_Child",SummarySource[Value],"&gt;0",SummarySource[Matched Both Years],1,SummarySource[Library Service],$C$2))</f>
        <v>159</v>
      </c>
      <c r="T15" s="150">
        <f t="shared" si="1"/>
        <v>-0.67012448132780089</v>
      </c>
    </row>
    <row r="16" spans="2:24" ht="16" thickBot="1" x14ac:dyDescent="0.4">
      <c r="B16" s="164"/>
      <c r="C16" s="165"/>
      <c r="D16" s="165"/>
      <c r="E16" s="166"/>
      <c r="G16" s="66" t="s">
        <v>2847</v>
      </c>
      <c r="H16" s="110">
        <f>IF(OR($C$2="",$C$2="(All)",$C$2="All Libraries"),COUNTIFS(SummarySource[Year],"24/25",SummarySource[Metric],"EV_D_Young",SummarySource[Value],"&gt;0"),COUNTIFS(SummarySource[Year],"24/25",SummarySource[Metric],"EV_D_Young",SummarySource[Value],"&gt;0",SummarySource[Library Service],$C$2))</f>
        <v>12</v>
      </c>
      <c r="I16" s="50">
        <f>IF(OR($C$2="",$C$2="(All)",$C$2="All Libraries"),SUMIFS(SummarySource[Value],SummarySource[Year],"24/25",SummarySource[Metric],"EV_D_Young"),SUMIFS(SummarySource[Value],SummarySource[Year],"24/25",SummarySource[Metric],"EV_D_Young",SummarySource[Library Service],$C$2))</f>
        <v>712</v>
      </c>
      <c r="J16" s="110">
        <f>IF(OR($C$2="",$C$2="(All)",$C$2="All Libraries"),COUNTIFS(SummarySource[Year],"25/26",SummarySource[Metric],"EV_D_Young",SummarySource[Value],"&gt;0"),COUNTIFS(SummarySource[Year],"25/26",SummarySource[Metric],"EV_D_Young",SummarySource[Value],"&gt;0",SummarySource[Library Service],$C$2))</f>
        <v>5</v>
      </c>
      <c r="K16" s="50">
        <f>IF(OR($C$2="",$C$2="(All)",$C$2="All Libraries"),SUMIFS(SummarySource[Value],SummarySource[Year],"25/26",SummarySource[Metric],"EV_D_Young"),SUMIFS(SummarySource[Value],SummarySource[Year],"25/26",SummarySource[Metric],"EV_D_Young",SummarySource[Library Service],$C$2))</f>
        <v>92</v>
      </c>
      <c r="L16" s="141">
        <f t="shared" si="0"/>
        <v>-0.8707865168539326</v>
      </c>
      <c r="N16" s="40"/>
      <c r="O16" s="39" t="s">
        <v>2847</v>
      </c>
      <c r="P16" s="32"/>
      <c r="Q16" s="129">
        <f>IF(OR($C$2="",$C$2="(All)",$C$2="All Libraries"),COUNTIFS(SummarySource[Year],"24/25",SummarySource[Metric],"EV_D_Young",SummarySource[Value],"&gt;0",SummarySource[Matched Both Years],1),COUNTIFS(SummarySource[Year],"24/25",SummarySource[Metric],"EV_D_Young",SummarySource[Value],"&gt;0",SummarySource[Matched Both Years],1,SummarySource[Library Service],$C$2))</f>
        <v>2</v>
      </c>
      <c r="R16" s="82">
        <f>IF(OR($C$2="",$C$2="(All)",$C$2="All Libraries"),SUMIFS(SummarySource[Value],SummarySource[Year],"24/25",SummarySource[Metric],"EV_D_Young",SummarySource[Value],"&gt;0",SummarySource[Matched Both Years],1),SUMIFS(SummarySource[Value],SummarySource[Year],"24/25",SummarySource[Metric],"EV_D_Young",SummarySource[Value],"&gt;0",SummarySource[Matched Both Years],1,SummarySource[Library Service],$C$2))</f>
        <v>565</v>
      </c>
      <c r="S16" s="51">
        <f>IF(OR($C$2="",$C$2="(All)",$C$2="All Libraries"),SUMIFS(SummarySource[Value],SummarySource[Year],"25/26",SummarySource[Metric],"EV_D_Young",SummarySource[Value],"&gt;0",SummarySource[Matched Both Years],1),SUMIFS(SummarySource[Value],SummarySource[Year],"25/26",SummarySource[Metric],"EV_D_Young",SummarySource[Value],"&gt;0",SummarySource[Matched Both Years],1,SummarySource[Library Service],$C$2))</f>
        <v>45</v>
      </c>
      <c r="T16" s="151">
        <f t="shared" si="1"/>
        <v>-0.92035398230088494</v>
      </c>
    </row>
    <row r="17" spans="2:20" ht="16" thickBot="1" x14ac:dyDescent="0.4">
      <c r="B17" s="164"/>
      <c r="C17" s="165"/>
      <c r="D17" s="165"/>
      <c r="E17" s="166"/>
      <c r="G17" s="67" t="s">
        <v>2848</v>
      </c>
      <c r="H17" s="120">
        <f>IF(OR($C$2="",$C$2="(All)",$C$2="All Libraries"),COUNTIFS(SummarySource[Year],"24/25",SummarySource[Metric],"EV_D_Adult",SummarySource[Value],"&gt;0"),COUNTIFS(SummarySource[Year],"24/25",SummarySource[Metric],"EV_D_Adult",SummarySource[Value],"&gt;0",SummarySource[Library Service],$C$2))</f>
        <v>2</v>
      </c>
      <c r="I17" s="57">
        <f>IF(OR($C$2="",$C$2="(All)",$C$2="All Libraries"),SUMIFS(SummarySource[Value],SummarySource[Year],"24/25",SummarySource[Metric],"EV_D_Adult"),SUMIFS(SummarySource[Value],SummarySource[Year],"24/25",SummarySource[Metric],"EV_D_Adult",SummarySource[Library Service],$C$2))</f>
        <v>62</v>
      </c>
      <c r="J17" s="120">
        <f>IF(OR($C$2="",$C$2="(All)",$C$2="All Libraries"),COUNTIFS(SummarySource[Year],"25/26",SummarySource[Metric],"EV_D_Adult",SummarySource[Value],"&gt;0"),COUNTIFS(SummarySource[Year],"25/26",SummarySource[Metric],"EV_D_Adult",SummarySource[Value],"&gt;0",SummarySource[Library Service],$C$2))</f>
        <v>18</v>
      </c>
      <c r="K17" s="57">
        <f>IF(OR($C$2="",$C$2="(All)",$C$2="All Libraries"),SUMIFS(SummarySource[Value],SummarySource[Year],"25/26",SummarySource[Metric],"EV_D_Adult"),SUMIFS(SummarySource[Value],SummarySource[Year],"25/26",SummarySource[Metric],"EV_D_Adult",SummarySource[Library Service],$C$2))</f>
        <v>1011</v>
      </c>
      <c r="L17" s="142">
        <f t="shared" si="0"/>
        <v>15.306451612903224</v>
      </c>
      <c r="N17" s="40"/>
      <c r="O17" s="39" t="s">
        <v>2848</v>
      </c>
      <c r="P17" s="32"/>
      <c r="Q17" s="130">
        <f>IF(OR($C$2="",$C$2="(All)",$C$2="All Libraries"),COUNTIFS(SummarySource[Year],"24/25",SummarySource[Metric],"EV_D_Adult",SummarySource[Value],"&gt;0",SummarySource[Matched Both Years],1),COUNTIFS(SummarySource[Year],"24/25",SummarySource[Metric],"EV_D_Adult",SummarySource[Value],"&gt;0",SummarySource[Matched Both Years],1,SummarySource[Library Service],$C$2))</f>
        <v>1</v>
      </c>
      <c r="R17" s="83">
        <f>IF(OR($C$2="",$C$2="(All)",$C$2="All Libraries"),SUMIFS(SummarySource[Value],SummarySource[Year],"24/25",SummarySource[Metric],"EV_D_Adult",SummarySource[Value],"&gt;0",SummarySource[Matched Both Years],1),SUMIFS(SummarySource[Value],SummarySource[Year],"24/25",SummarySource[Metric],"EV_D_Adult",SummarySource[Value],"&gt;0",SummarySource[Matched Both Years],1,SummarySource[Library Service],$C$2))</f>
        <v>12</v>
      </c>
      <c r="S17" s="70">
        <f>IF(OR($C$2="",$C$2="(All)",$C$2="All Libraries"),SUMIFS(SummarySource[Value],SummarySource[Year],"25/26",SummarySource[Metric],"EV_D_Adult",SummarySource[Value],"&gt;0",SummarySource[Matched Both Years],1),SUMIFS(SummarySource[Value],SummarySource[Year],"25/26",SummarySource[Metric],"EV_D_Adult",SummarySource[Value],"&gt;0",SummarySource[Matched Both Years],1,SummarySource[Library Service],$C$2))</f>
        <v>24</v>
      </c>
      <c r="T17" s="152">
        <f t="shared" si="1"/>
        <v>1</v>
      </c>
    </row>
    <row r="18" spans="2:20" ht="7" customHeight="1" thickBot="1" x14ac:dyDescent="0.4">
      <c r="B18" s="164"/>
      <c r="C18" s="165"/>
      <c r="D18" s="165"/>
      <c r="E18" s="166"/>
      <c r="H18" s="2"/>
      <c r="I18" s="2"/>
      <c r="J18" s="2"/>
      <c r="K18" s="2"/>
      <c r="L18" s="136"/>
      <c r="Q18" s="2"/>
      <c r="R18" s="2"/>
      <c r="S18" s="2"/>
      <c r="T18" s="136"/>
    </row>
    <row r="19" spans="2:20" ht="16" thickBot="1" x14ac:dyDescent="0.4">
      <c r="B19" s="164"/>
      <c r="C19" s="165"/>
      <c r="D19" s="165"/>
      <c r="E19" s="166"/>
      <c r="G19" s="35" t="s">
        <v>2928</v>
      </c>
      <c r="H19" s="108">
        <f>IF(OR($C$2="",$C$2="(All)",$C$2="All Libraries"),COUNTIFS(SummarySource[Year],"24/25",SummarySource[Metric],"AT_P_Total",SummarySource[Value],"&gt;0"),COUNTIFS(SummarySource[Year],"24/25",SummarySource[Metric],"AT_P_Total",SummarySource[Value],"&gt;0",SummarySource[Library Service],$C$2))</f>
        <v>104</v>
      </c>
      <c r="I19" s="36">
        <f>IF(OR($C$2="",$C$2="(All)",$C$2="All Libraries"),SUMIFS(SummarySource[Value],SummarySource[Year],"24/25",SummarySource[Metric],"AT_P_Total"),SUMIFS(SummarySource[Value],SummarySource[Year],"24/25",SummarySource[Metric],"AT_P_Total",SummarySource[Library Service],$C$2))</f>
        <v>8300110</v>
      </c>
      <c r="J19" s="108">
        <f>IF(OR($C$2="",$C$2="(All)",$C$2="All Libraries"),COUNTIFS(SummarySource[Year],"25/26",SummarySource[Metric],"AT_P_Total",SummarySource[Value],"&gt;0"),COUNTIFS(SummarySource[Year],"25/26",SummarySource[Metric],"AT_P_Total",SummarySource[Value],"&gt;0",SummarySource[Library Service],$C$2))</f>
        <v>100</v>
      </c>
      <c r="K19" s="38">
        <f>IF(OR($C$2="",$C$2="(All)",$C$2="All Libraries"),SUMIFS(SummarySource[Value],SummarySource[Year],"25/26",SummarySource[Metric],"AT_P_Total"),SUMIFS(SummarySource[Value],SummarySource[Year],"25/26",SummarySource[Metric],"AT_P_Total",SummarySource[Library Service],$C$2))</f>
        <v>8177573</v>
      </c>
      <c r="L19" s="132">
        <f t="shared" ref="L19:L26" si="2">IFERROR(K19/I19-1,"")</f>
        <v>-1.4763298317733153E-2</v>
      </c>
      <c r="N19" s="35" t="s">
        <v>2928</v>
      </c>
      <c r="O19" s="37"/>
      <c r="P19" s="32"/>
      <c r="Q19" s="118">
        <f>IF(OR($C$2="",$C$2="(All)",$C$2="All Libraries"),COUNTIFS(SummarySource[Year],"24/25",SummarySource[Metric],"AT_P_Total",SummarySource[Value],"&gt;0",SummarySource[Matched Both Years],1),COUNTIFS(SummarySource[Year],"24/25",SummarySource[Metric],"AT_P_Total",SummarySource[Value],"&gt;0",SummarySource[Matched Both Years],1,SummarySource[Library Service],$C$2))</f>
        <v>80</v>
      </c>
      <c r="R19" s="80">
        <f>IF(OR($C$2="",$C$2="(All)",$C$2="All Libraries"),SUMIFS(SummarySource[Value],SummarySource[Year],"24/25",SummarySource[Metric],"AT_P_Total",SummarySource[Value],"&gt;0",SummarySource[Matched Both Years],1),SUMIFS(SummarySource[Value],SummarySource[Year],"24/25",SummarySource[Metric],"AT_P_Total",SummarySource[Value],"&gt;0",SummarySource[Matched Both Years],1,SummarySource[Library Service],$C$2))</f>
        <v>6601659</v>
      </c>
      <c r="S19" s="55">
        <f>IF(OR($C$2="",$C$2="(All)",$C$2="All Libraries"),SUMIFS(SummarySource[Value],SummarySource[Year],"25/26",SummarySource[Metric],"AT_P_Total",SummarySource[Value],"&gt;0",SummarySource[Matched Both Years],1),SUMIFS(SummarySource[Value],SummarySource[Year],"25/26",SummarySource[Metric],"AT_P_Total",SummarySource[Value],"&gt;0",SummarySource[Matched Both Years],1,SummarySource[Library Service],$C$2))</f>
        <v>6709050</v>
      </c>
      <c r="T19" s="149">
        <f t="shared" ref="T19:T26" si="3">IFERROR(S19/R19-1,"")</f>
        <v>1.6267274635057616E-2</v>
      </c>
    </row>
    <row r="20" spans="2:20" ht="16" thickBot="1" x14ac:dyDescent="0.4">
      <c r="B20" s="164"/>
      <c r="C20" s="165"/>
      <c r="D20" s="165"/>
      <c r="E20" s="166"/>
      <c r="G20" s="61" t="s">
        <v>2843</v>
      </c>
      <c r="H20" s="112">
        <f>IF(OR($C$2="",$C$2="(All)",$C$2="All Libraries"),COUNTIFS(SummarySource[Year],"24/25",SummarySource[Metric],"AT_P_Child",SummarySource[Value],"&gt;0"),COUNTIFS(SummarySource[Year],"24/25",SummarySource[Metric],"AT_P_Child",SummarySource[Value],"&gt;0",SummarySource[Library Service],$C$2))</f>
        <v>85</v>
      </c>
      <c r="I20" s="58">
        <f>IF(OR($C$2="",$C$2="(All)",$C$2="All Libraries"),SUMIFS(SummarySource[Value],SummarySource[Year],"24/25",SummarySource[Metric],"AT_P_Child"),SUMIFS(SummarySource[Value],SummarySource[Year],"24/25",SummarySource[Metric],"AT_P_Child",SummarySource[Library Service],$C$2))</f>
        <v>2553443</v>
      </c>
      <c r="J20" s="113">
        <f>IF(OR($C$2="",$C$2="(All)",$C$2="All Libraries"),COUNTIFS(SummarySource[Year],"25/26",SummarySource[Metric],"AT_P_Child",SummarySource[Value],"&gt;0"),COUNTIFS(SummarySource[Year],"25/26",SummarySource[Metric],"AT_P_Child",SummarySource[Value],"&gt;0",SummarySource[Library Service],$C$2))</f>
        <v>76</v>
      </c>
      <c r="K20" s="58">
        <f>IF(OR($C$2="",$C$2="(All)",$C$2="All Libraries"),SUMIFS(SummarySource[Value],SummarySource[Year],"25/26",SummarySource[Metric],"AT_P_Child"),SUMIFS(SummarySource[Value],SummarySource[Year],"25/26",SummarySource[Metric],"AT_P_Child",SummarySource[Library Service],$C$2))</f>
        <v>3275371</v>
      </c>
      <c r="L20" s="137">
        <f t="shared" si="2"/>
        <v>0.28272728233996225</v>
      </c>
      <c r="N20" s="40"/>
      <c r="O20" s="39" t="s">
        <v>2843</v>
      </c>
      <c r="P20" s="32"/>
      <c r="Q20" s="128">
        <f>IF(OR($C$2="",$C$2="(All)",$C$2="All Libraries"),COUNTIFS(SummarySource[Year],"24/25",SummarySource[Metric],"AT_P_Child",SummarySource[Value],"&gt;0",SummarySource[Matched Both Years],1),COUNTIFS(SummarySource[Year],"24/25",SummarySource[Metric],"AT_P_Child",SummarySource[Value],"&gt;0",SummarySource[Matched Both Years],1,SummarySource[Library Service],$C$2))</f>
        <v>58</v>
      </c>
      <c r="R20" s="81">
        <f>IF(OR($C$2="",$C$2="(All)",$C$2="All Libraries"),SUMIFS(SummarySource[Value],SummarySource[Year],"24/25",SummarySource[Metric],"AT_P_Child",SummarySource[Value],"&gt;0",SummarySource[Matched Both Years],1),SUMIFS(SummarySource[Value],SummarySource[Year],"24/25",SummarySource[Metric],"AT_P_Child",SummarySource[Value],"&gt;0",SummarySource[Matched Both Years],1,SummarySource[Library Service],$C$2))</f>
        <v>2121133</v>
      </c>
      <c r="S20" s="69">
        <f>IF(OR($C$2="",$C$2="(All)",$C$2="All Libraries"),SUMIFS(SummarySource[Value],SummarySource[Year],"25/26",SummarySource[Metric],"AT_P_Child",SummarySource[Value],"&gt;0",SummarySource[Matched Both Years],1),SUMIFS(SummarySource[Value],SummarySource[Year],"25/26",SummarySource[Metric],"AT_P_Child",SummarySource[Value],"&gt;0",SummarySource[Matched Both Years],1,SummarySource[Library Service],$C$2))</f>
        <v>2760317</v>
      </c>
      <c r="T20" s="150">
        <f t="shared" si="3"/>
        <v>0.30134084001333239</v>
      </c>
    </row>
    <row r="21" spans="2:20" ht="16" thickBot="1" x14ac:dyDescent="0.4">
      <c r="B21" s="164"/>
      <c r="C21" s="165"/>
      <c r="D21" s="165"/>
      <c r="E21" s="166"/>
      <c r="G21" s="62" t="s">
        <v>2849</v>
      </c>
      <c r="H21" s="114">
        <f>IF(OR($C$2="",$C$2="(All)",$C$2="All Libraries"),COUNTIFS(SummarySource[Year],"24/25",SummarySource[Metric],"AT_P_Young",SummarySource[Value],"&gt;0"),COUNTIFS(SummarySource[Year],"24/25",SummarySource[Metric],"AT_P_Young",SummarySource[Value],"&gt;0",SummarySource[Library Service],$C$2))</f>
        <v>77</v>
      </c>
      <c r="I21" s="59">
        <f>IF(OR($C$2="",$C$2="(All)",$C$2="All Libraries"),SUMIFS(SummarySource[Value],SummarySource[Year],"24/25",SummarySource[Metric],"AT_P_Young"),SUMIFS(SummarySource[Value],SummarySource[Year],"24/25",SummarySource[Metric],"AT_P_Young",SummarySource[Library Service],$C$2))</f>
        <v>3381802</v>
      </c>
      <c r="J21" s="115">
        <f>IF(OR($C$2="",$C$2="(All)",$C$2="All Libraries"),COUNTIFS(SummarySource[Year],"25/26",SummarySource[Metric],"AT_P_Young",SummarySource[Value],"&gt;0"),COUNTIFS(SummarySource[Year],"25/26",SummarySource[Metric],"AT_P_Young",SummarySource[Value],"&gt;0",SummarySource[Library Service],$C$2))</f>
        <v>36</v>
      </c>
      <c r="K21" s="59">
        <f>IF(OR($C$2="",$C$2="(All)",$C$2="All Libraries"),SUMIFS(SummarySource[Value],SummarySource[Year],"25/26",SummarySource[Metric],"AT_P_Young"),SUMIFS(SummarySource[Value],SummarySource[Year],"25/26",SummarySource[Metric],"AT_P_Young",SummarySource[Library Service],$C$2))</f>
        <v>144006</v>
      </c>
      <c r="L21" s="134">
        <f t="shared" si="2"/>
        <v>-0.95741737688959905</v>
      </c>
      <c r="N21" s="40"/>
      <c r="O21" s="39" t="s">
        <v>2849</v>
      </c>
      <c r="P21" s="32"/>
      <c r="Q21" s="129">
        <f>IF(OR($C$2="",$C$2="(All)",$C$2="All Libraries"),COUNTIFS(SummarySource[Year],"24/25",SummarySource[Metric],"AT_P_Young",SummarySource[Value],"&gt;0",SummarySource[Matched Both Years],1),COUNTIFS(SummarySource[Year],"24/25",SummarySource[Metric],"AT_P_Young",SummarySource[Value],"&gt;0",SummarySource[Matched Both Years],1,SummarySource[Library Service],$C$2))</f>
        <v>23</v>
      </c>
      <c r="R21" s="82">
        <f>IF(OR($C$2="",$C$2="(All)",$C$2="All Libraries"),SUMIFS(SummarySource[Value],SummarySource[Year],"24/25",SummarySource[Metric],"AT_P_Young",SummarySource[Value],"&gt;0",SummarySource[Matched Both Years],1),SUMIFS(SummarySource[Value],SummarySource[Year],"24/25",SummarySource[Metric],"AT_P_Young",SummarySource[Value],"&gt;0",SummarySource[Matched Both Years],1,SummarySource[Library Service],$C$2))</f>
        <v>1023823</v>
      </c>
      <c r="S21" s="51">
        <f>IF(OR($C$2="",$C$2="(All)",$C$2="All Libraries"),SUMIFS(SummarySource[Value],SummarySource[Year],"25/26",SummarySource[Metric],"AT_P_Young",SummarySource[Value],"&gt;0",SummarySource[Matched Both Years],1),SUMIFS(SummarySource[Value],SummarySource[Year],"25/26",SummarySource[Metric],"AT_P_Young",SummarySource[Value],"&gt;0",SummarySource[Matched Both Years],1,SummarySource[Library Service],$C$2))</f>
        <v>85348</v>
      </c>
      <c r="T21" s="151">
        <f t="shared" si="3"/>
        <v>-0.91663793448672282</v>
      </c>
    </row>
    <row r="22" spans="2:20" ht="16" thickBot="1" x14ac:dyDescent="0.4">
      <c r="B22" s="164"/>
      <c r="C22" s="165"/>
      <c r="D22" s="165"/>
      <c r="E22" s="166"/>
      <c r="G22" s="63" t="s">
        <v>2850</v>
      </c>
      <c r="H22" s="116">
        <f>IF(OR($C$2="",$C$2="(All)",$C$2="All Libraries"),COUNTIFS(SummarySource[Year],"24/25",SummarySource[Metric],"AT_P_Adult",SummarySource[Value],"&gt;0"),COUNTIFS(SummarySource[Year],"24/25",SummarySource[Metric],"AT_P_Adult",SummarySource[Value],"&gt;0",SummarySource[Library Service],$C$2))</f>
        <v>33</v>
      </c>
      <c r="I22" s="60">
        <f>IF(OR($C$2="",$C$2="(All)",$C$2="All Libraries"),SUMIFS(SummarySource[Value],SummarySource[Year],"24/25",SummarySource[Metric],"AT_P_Adult"),SUMIFS(SummarySource[Value],SummarySource[Year],"24/25",SummarySource[Metric],"AT_P_Adult",SummarySource[Library Service],$C$2))</f>
        <v>230422</v>
      </c>
      <c r="J22" s="117">
        <f>IF(OR($C$2="",$C$2="(All)",$C$2="All Libraries"),COUNTIFS(SummarySource[Year],"25/26",SummarySource[Metric],"AT_P_Adult",SummarySource[Value],"&gt;0"),COUNTIFS(SummarySource[Year],"25/26",SummarySource[Metric],"AT_P_Adult",SummarySource[Value],"&gt;0",SummarySource[Library Service],$C$2))</f>
        <v>82</v>
      </c>
      <c r="K22" s="60">
        <f>IF(OR($C$2="",$C$2="(All)",$C$2="All Libraries"),SUMIFS(SummarySource[Value],SummarySource[Year],"25/26",SummarySource[Metric],"AT_P_Adult"),SUMIFS(SummarySource[Value],SummarySource[Year],"25/26",SummarySource[Metric],"AT_P_Adult",SummarySource[Library Service],$C$2))</f>
        <v>3062519</v>
      </c>
      <c r="L22" s="138">
        <f t="shared" si="2"/>
        <v>12.290914062025328</v>
      </c>
      <c r="N22" s="40"/>
      <c r="O22" s="39" t="s">
        <v>2850</v>
      </c>
      <c r="P22" s="32"/>
      <c r="Q22" s="130">
        <f>IF(OR($C$2="",$C$2="(All)",$C$2="All Libraries"),COUNTIFS(SummarySource[Year],"24/25",SummarySource[Metric],"AT_P_Adult",SummarySource[Value],"&gt;0",SummarySource[Matched Both Years],1),COUNTIFS(SummarySource[Year],"24/25",SummarySource[Metric],"AT_P_Adult",SummarySource[Value],"&gt;0",SummarySource[Matched Both Years],1,SummarySource[Library Service],$C$2))</f>
        <v>23</v>
      </c>
      <c r="R22" s="83">
        <f>IF(OR($C$2="",$C$2="(All)",$C$2="All Libraries"),SUMIFS(SummarySource[Value],SummarySource[Year],"24/25",SummarySource[Metric],"AT_P_Adult",SummarySource[Value],"&gt;0",SummarySource[Matched Both Years],1),SUMIFS(SummarySource[Value],SummarySource[Year],"24/25",SummarySource[Metric],"AT_P_Adult",SummarySource[Value],"&gt;0",SummarySource[Matched Both Years],1,SummarySource[Library Service],$C$2))</f>
        <v>117225</v>
      </c>
      <c r="S22" s="70">
        <f>IF(OR($C$2="",$C$2="(All)",$C$2="All Libraries"),SUMIFS(SummarySource[Value],SummarySource[Year],"25/26",SummarySource[Metric],"AT_P_Adult",SummarySource[Value],"&gt;0",SummarySource[Matched Both Years],1),SUMIFS(SummarySource[Value],SummarySource[Year],"25/26",SummarySource[Metric],"AT_P_Adult",SummarySource[Value],"&gt;0",SummarySource[Matched Both Years],1,SummarySource[Library Service],$C$2))</f>
        <v>1085773</v>
      </c>
      <c r="T22" s="152">
        <f t="shared" si="3"/>
        <v>8.2622989976540833</v>
      </c>
    </row>
    <row r="23" spans="2:20" ht="16" thickBot="1" x14ac:dyDescent="0.4">
      <c r="B23" s="164"/>
      <c r="C23" s="165"/>
      <c r="D23" s="165"/>
      <c r="E23" s="166"/>
      <c r="G23" s="64" t="s">
        <v>2929</v>
      </c>
      <c r="H23" s="118">
        <f>IF(OR($C$2="",$C$2="(All)",$C$2="All Libraries"),COUNTIFS(SummarySource[Year],"24/25",SummarySource[Metric],"AT_D_Total",SummarySource[Value],"&gt;0"),COUNTIFS(SummarySource[Year],"24/25",SummarySource[Metric],"AT_D_Total",SummarySource[Value],"&gt;0",SummarySource[Library Service],$C$2))</f>
        <v>33</v>
      </c>
      <c r="I23" s="55">
        <f>IF(OR($C$2="",$C$2="(All)",$C$2="All Libraries"),SUMIFS(SummarySource[Value],SummarySource[Year],"24/25",SummarySource[Metric],"AT_D_Total"),SUMIFS(SummarySource[Value],SummarySource[Year],"24/25",SummarySource[Metric],"AT_D_Total",SummarySource[Library Service],$C$2))</f>
        <v>103369</v>
      </c>
      <c r="J23" s="118">
        <f>IF(OR($C$2="",$C$2="(All)",$C$2="All Libraries"),COUNTIFS(SummarySource[Year],"25/26",SummarySource[Metric],"AT_D_Total",SummarySource[Value],"&gt;0"),COUNTIFS(SummarySource[Year],"25/26",SummarySource[Metric],"AT_D_Total",SummarySource[Value],"&gt;0",SummarySource[Library Service],$C$2))</f>
        <v>27</v>
      </c>
      <c r="K23" s="55">
        <f>IF(OR($C$2="",$C$2="(All)",$C$2="All Libraries"),SUMIFS(SummarySource[Value],SummarySource[Year],"25/26",SummarySource[Metric],"AT_D_Total"),SUMIFS(SummarySource[Value],SummarySource[Year],"25/26",SummarySource[Metric],"AT_D_Total",SummarySource[Library Service],$C$2))</f>
        <v>260184</v>
      </c>
      <c r="L23" s="139">
        <f t="shared" si="2"/>
        <v>1.5170408923371612</v>
      </c>
      <c r="N23" s="35" t="s">
        <v>2929</v>
      </c>
      <c r="O23" s="37"/>
      <c r="P23" s="32"/>
      <c r="Q23" s="131">
        <f>IF(OR($C$2="",$C$2="(All)",$C$2="All Libraries"),COUNTIFS(SummarySource[Year],"24/25",SummarySource[Metric],"AT_D_Total",SummarySource[Value],"&gt;0",SummarySource[Matched Both Years],1),COUNTIFS(SummarySource[Year],"24/25",SummarySource[Metric],"AT_D_Total",SummarySource[Value],"&gt;0",SummarySource[Matched Both Years],1,SummarySource[Library Service],$C$2))</f>
        <v>18</v>
      </c>
      <c r="R23" s="84">
        <f>IF(OR($C$2="",$C$2="(All)",$C$2="All Libraries"),SUMIFS(SummarySource[Value],SummarySource[Year],"24/25",SummarySource[Metric],"AT_D_Total",SummarySource[Value],"&gt;0",SummarySource[Matched Both Years],1),SUMIFS(SummarySource[Value],SummarySource[Year],"24/25",SummarySource[Metric],"AT_D_Total",SummarySource[Value],"&gt;0",SummarySource[Matched Both Years],1,SummarySource[Library Service],$C$2))</f>
        <v>89237</v>
      </c>
      <c r="S23" s="68">
        <f>IF(OR($C$2="",$C$2="(All)",$C$2="All Libraries"),SUMIFS(SummarySource[Value],SummarySource[Year],"25/26",SummarySource[Metric],"AT_D_Total",SummarySource[Value],"&gt;0",SummarySource[Matched Both Years],1),SUMIFS(SummarySource[Value],SummarySource[Year],"25/26",SummarySource[Metric],"AT_D_Total",SummarySource[Value],"&gt;0",SummarySource[Matched Both Years],1,SummarySource[Library Service],$C$2))</f>
        <v>72658</v>
      </c>
      <c r="T23" s="153">
        <f t="shared" si="3"/>
        <v>-0.18578616493158673</v>
      </c>
    </row>
    <row r="24" spans="2:20" ht="16" thickBot="1" x14ac:dyDescent="0.4">
      <c r="B24" s="164"/>
      <c r="C24" s="165"/>
      <c r="D24" s="165"/>
      <c r="E24" s="166"/>
      <c r="G24" s="65" t="s">
        <v>2843</v>
      </c>
      <c r="H24" s="119">
        <f>IF(OR($C$2="",$C$2="(All)",$C$2="All Libraries"),COUNTIFS(SummarySource[Year],"24/25",SummarySource[Metric],"AT_D_Child",SummarySource[Value],"&gt;0"),COUNTIFS(SummarySource[Year],"24/25",SummarySource[Metric],"AT_D_Child",SummarySource[Value],"&gt;0",SummarySource[Library Service],$C$2))</f>
        <v>22</v>
      </c>
      <c r="I24" s="56">
        <f>IF(OR($C$2="",$C$2="(All)",$C$2="All Libraries"),SUMIFS(SummarySource[Value],SummarySource[Year],"24/25",SummarySource[Metric],"AT_D_Child"),SUMIFS(SummarySource[Value],SummarySource[Year],"24/25",SummarySource[Metric],"AT_D_Child",SummarySource[Library Service],$C$2))</f>
        <v>11194</v>
      </c>
      <c r="J24" s="119">
        <f>IF(OR($C$2="",$C$2="(All)",$C$2="All Libraries"),COUNTIFS(SummarySource[Year],"25/26",SummarySource[Metric],"AT_D_Child",SummarySource[Value],"&gt;0"),COUNTIFS(SummarySource[Year],"25/26",SummarySource[Metric],"AT_D_Child",SummarySource[Value],"&gt;0",SummarySource[Library Service],$C$2))</f>
        <v>11</v>
      </c>
      <c r="K24" s="56">
        <f>IF(OR($C$2="",$C$2="(All)",$C$2="All Libraries"),SUMIFS(SummarySource[Value],SummarySource[Year],"25/26",SummarySource[Metric],"AT_D_Child"),SUMIFS(SummarySource[Value],SummarySource[Year],"25/26",SummarySource[Metric],"AT_D_Child",SummarySource[Library Service],$C$2))</f>
        <v>3331</v>
      </c>
      <c r="L24" s="140">
        <f t="shared" si="2"/>
        <v>-0.70242987314632832</v>
      </c>
      <c r="N24" s="40"/>
      <c r="O24" s="39" t="s">
        <v>2843</v>
      </c>
      <c r="P24" s="32"/>
      <c r="Q24" s="128">
        <f>IF(OR($C$2="",$C$2="(All)",$C$2="All Libraries"),COUNTIFS(SummarySource[Year],"24/25",SummarySource[Metric],"AT_D_Child",SummarySource[Value],"&gt;0",SummarySource[Matched Both Years],1),COUNTIFS(SummarySource[Year],"24/25",SummarySource[Metric],"AT_D_Child",SummarySource[Value],"&gt;0",SummarySource[Matched Both Years],1,SummarySource[Library Service],$C$2))</f>
        <v>4</v>
      </c>
      <c r="R24" s="81">
        <f>IF(OR($C$2="",$C$2="(All)",$C$2="All Libraries"),SUMIFS(SummarySource[Value],SummarySource[Year],"24/25",SummarySource[Metric],"AT_D_Child",SummarySource[Value],"&gt;0",SummarySource[Matched Both Years],1),SUMIFS(SummarySource[Value],SummarySource[Year],"24/25",SummarySource[Metric],"AT_D_Child",SummarySource[Value],"&gt;0",SummarySource[Matched Both Years],1,SummarySource[Library Service],$C$2))</f>
        <v>4460</v>
      </c>
      <c r="S24" s="69">
        <f>IF(OR($C$2="",$C$2="(All)",$C$2="All Libraries"),SUMIFS(SummarySource[Value],SummarySource[Year],"25/26",SummarySource[Metric],"AT_D_Child",SummarySource[Value],"&gt;0",SummarySource[Matched Both Years],1),SUMIFS(SummarySource[Value],SummarySource[Year],"25/26",SummarySource[Metric],"AT_D_Child",SummarySource[Value],"&gt;0",SummarySource[Matched Both Years],1,SummarySource[Library Service],$C$2))</f>
        <v>1078</v>
      </c>
      <c r="T24" s="150">
        <f t="shared" si="3"/>
        <v>-0.75829596412556055</v>
      </c>
    </row>
    <row r="25" spans="2:20" ht="16" thickBot="1" x14ac:dyDescent="0.4">
      <c r="B25" s="164"/>
      <c r="C25" s="165"/>
      <c r="D25" s="165"/>
      <c r="E25" s="166"/>
      <c r="G25" s="66" t="s">
        <v>2849</v>
      </c>
      <c r="H25" s="110">
        <f>IF(OR($C$2="",$C$2="(All)",$C$2="All Libraries"),COUNTIFS(SummarySource[Year],"24/25",SummarySource[Metric],"AT_D_Young",SummarySource[Value],"&gt;0"),COUNTIFS(SummarySource[Year],"24/25",SummarySource[Metric],"AT_D_Young",SummarySource[Value],"&gt;0",SummarySource[Library Service],$C$2))</f>
        <v>13</v>
      </c>
      <c r="I25" s="50">
        <f>IF(OR($C$2="",$C$2="(All)",$C$2="All Libraries"),SUMIFS(SummarySource[Value],SummarySource[Year],"24/25",SummarySource[Metric],"AT_D_Young"),SUMIFS(SummarySource[Value],SummarySource[Year],"24/25",SummarySource[Metric],"AT_D_Young",SummarySource[Library Service],$C$2))</f>
        <v>34360</v>
      </c>
      <c r="J25" s="110">
        <f>IF(OR($C$2="",$C$2="(All)",$C$2="All Libraries"),COUNTIFS(SummarySource[Year],"25/26",SummarySource[Metric],"AT_D_Young",SummarySource[Value],"&gt;0"),COUNTIFS(SummarySource[Year],"25/26",SummarySource[Metric],"AT_D_Young",SummarySource[Value],"&gt;0",SummarySource[Library Service],$C$2))</f>
        <v>5</v>
      </c>
      <c r="K25" s="50">
        <f>IF(OR($C$2="",$C$2="(All)",$C$2="All Libraries"),SUMIFS(SummarySource[Value],SummarySource[Year],"25/26",SummarySource[Metric],"AT_D_Young"),SUMIFS(SummarySource[Value],SummarySource[Year],"25/26",SummarySource[Metric],"AT_D_Young",SummarySource[Library Service],$C$2))</f>
        <v>223</v>
      </c>
      <c r="L25" s="141">
        <f t="shared" si="2"/>
        <v>-0.99350989522700817</v>
      </c>
      <c r="N25" s="40"/>
      <c r="O25" s="39" t="s">
        <v>2849</v>
      </c>
      <c r="P25" s="32"/>
      <c r="Q25" s="129">
        <f>IF(OR($C$2="",$C$2="(All)",$C$2="All Libraries"),COUNTIFS(SummarySource[Year],"24/25",SummarySource[Metric],"AT_D_Young",SummarySource[Value],"&gt;0",SummarySource[Matched Both Years],1),COUNTIFS(SummarySource[Year],"24/25",SummarySource[Metric],"AT_D_Young",SummarySource[Value],"&gt;0",SummarySource[Matched Both Years],1,SummarySource[Library Service],$C$2))</f>
        <v>2</v>
      </c>
      <c r="R25" s="82">
        <f>IF(OR($C$2="",$C$2="(All)",$C$2="All Libraries"),SUMIFS(SummarySource[Value],SummarySource[Year],"24/25",SummarySource[Metric],"AT_D_Young",SummarySource[Value],"&gt;0",SummarySource[Matched Both Years],1),SUMIFS(SummarySource[Value],SummarySource[Year],"24/25",SummarySource[Metric],"AT_D_Young",SummarySource[Value],"&gt;0",SummarySource[Matched Both Years],1,SummarySource[Library Service],$C$2))</f>
        <v>970</v>
      </c>
      <c r="S25" s="51">
        <f>IF(OR($C$2="",$C$2="(All)",$C$2="All Libraries"),SUMIFS(SummarySource[Value],SummarySource[Year],"25/26",SummarySource[Metric],"AT_D_Young",SummarySource[Value],"&gt;0",SummarySource[Matched Both Years],1),SUMIFS(SummarySource[Value],SummarySource[Year],"25/26",SummarySource[Metric],"AT_D_Young",SummarySource[Value],"&gt;0",SummarySource[Matched Both Years],1,SummarySource[Library Service],$C$2))</f>
        <v>75</v>
      </c>
      <c r="T25" s="151">
        <f t="shared" si="3"/>
        <v>-0.92268041237113407</v>
      </c>
    </row>
    <row r="26" spans="2:20" ht="16" thickBot="1" x14ac:dyDescent="0.4">
      <c r="B26" s="164"/>
      <c r="C26" s="165"/>
      <c r="D26" s="165"/>
      <c r="E26" s="166"/>
      <c r="G26" s="67" t="s">
        <v>2850</v>
      </c>
      <c r="H26" s="120">
        <f>IF(OR($C$2="",$C$2="(All)",$C$2="All Libraries"),COUNTIFS(SummarySource[Year],"24/25",SummarySource[Metric],"AT_D_Adult",SummarySource[Value],"&gt;0"),COUNTIFS(SummarySource[Year],"24/25",SummarySource[Metric],"AT_D_Adult",SummarySource[Value],"&gt;0",SummarySource[Library Service],$C$2))</f>
        <v>4</v>
      </c>
      <c r="I26" s="57">
        <f>IF(OR($C$2="",$C$2="(All)",$C$2="All Libraries"),SUMIFS(SummarySource[Value],SummarySource[Year],"24/25",SummarySource[Metric],"AT_D_Adult"),SUMIFS(SummarySource[Value],SummarySource[Year],"24/25",SummarySource[Metric],"AT_D_Adult",SummarySource[Library Service],$C$2))</f>
        <v>500</v>
      </c>
      <c r="J26" s="120">
        <f>IF(OR($C$2="",$C$2="(All)",$C$2="All Libraries"),COUNTIFS(SummarySource[Year],"25/26",SummarySource[Metric],"AT_D_Adult",SummarySource[Value],"&gt;0"),COUNTIFS(SummarySource[Year],"25/26",SummarySource[Metric],"AT_D_Adult",SummarySource[Value],"&gt;0",SummarySource[Library Service],$C$2))</f>
        <v>20</v>
      </c>
      <c r="K26" s="57">
        <f>IF(OR($C$2="",$C$2="(All)",$C$2="All Libraries"),SUMIFS(SummarySource[Value],SummarySource[Year],"25/26",SummarySource[Metric],"AT_D_Adult"),SUMIFS(SummarySource[Value],SummarySource[Year],"25/26",SummarySource[Metric],"AT_D_Adult",SummarySource[Library Service],$C$2))</f>
        <v>26481</v>
      </c>
      <c r="L26" s="142">
        <f t="shared" si="2"/>
        <v>51.962000000000003</v>
      </c>
      <c r="N26" s="40"/>
      <c r="O26" s="39" t="s">
        <v>2850</v>
      </c>
      <c r="P26" s="32"/>
      <c r="Q26" s="130">
        <f>IF(OR($C$2="",$C$2="(All)",$C$2="All Libraries"),COUNTIFS(SummarySource[Year],"24/25",SummarySource[Metric],"AT_D_Adult",SummarySource[Value],"&gt;0",SummarySource[Matched Both Years],1),COUNTIFS(SummarySource[Year],"24/25",SummarySource[Metric],"AT_D_Adult",SummarySource[Value],"&gt;0",SummarySource[Matched Both Years],1,SummarySource[Library Service],$C$2))</f>
        <v>2</v>
      </c>
      <c r="R26" s="83">
        <f>IF(OR($C$2="",$C$2="(All)",$C$2="All Libraries"),SUMIFS(SummarySource[Value],SummarySource[Year],"24/25",SummarySource[Metric],"AT_D_Adult",SummarySource[Value],"&gt;0",SummarySource[Matched Both Years],1),SUMIFS(SummarySource[Value],SummarySource[Year],"24/25",SummarySource[Metric],"AT_D_Adult",SummarySource[Value],"&gt;0",SummarySource[Matched Both Years],1,SummarySource[Library Service],$C$2))</f>
        <v>209</v>
      </c>
      <c r="S26" s="70">
        <f>IF(OR($C$2="",$C$2="(All)",$C$2="All Libraries"),SUMIFS(SummarySource[Value],SummarySource[Year],"25/26",SummarySource[Metric],"AT_D_Adult",SummarySource[Value],"&gt;0",SummarySource[Matched Both Years],1),SUMIFS(SummarySource[Value],SummarySource[Year],"25/26",SummarySource[Metric],"AT_D_Adult",SummarySource[Value],"&gt;0",SummarySource[Matched Both Years],1,SummarySource[Library Service],$C$2))</f>
        <v>525</v>
      </c>
      <c r="T26" s="152">
        <f t="shared" si="3"/>
        <v>1.5119617224880382</v>
      </c>
    </row>
    <row r="27" spans="2:20" ht="7.5" customHeight="1" thickBot="1" x14ac:dyDescent="0.4">
      <c r="B27" s="164"/>
      <c r="C27" s="165"/>
      <c r="D27" s="165"/>
      <c r="E27" s="166"/>
      <c r="H27" s="2"/>
      <c r="I27" s="2"/>
      <c r="J27" s="2"/>
      <c r="K27" s="2"/>
      <c r="L27" s="136"/>
      <c r="Q27" s="2"/>
      <c r="R27" s="2"/>
      <c r="S27" s="2"/>
      <c r="T27" s="136"/>
    </row>
    <row r="28" spans="2:20" ht="16" thickBot="1" x14ac:dyDescent="0.4">
      <c r="B28" s="164"/>
      <c r="C28" s="165"/>
      <c r="D28" s="165"/>
      <c r="E28" s="166"/>
      <c r="G28" s="35" t="s">
        <v>2930</v>
      </c>
      <c r="H28" s="108">
        <f>IF(OR($C$2="",$C$2="(All)",$C$2="All Libraries"),COUNTIFS(SummarySource[Year],"24/25",SummarySource[Metric],"BK_P_Total",SummarySource[Value],"&gt;0"),COUNTIFS(SummarySource[Year],"24/25",SummarySource[Metric],"BK_P_Total",SummarySource[Value],"&gt;0",SummarySource[Library Service],$C$2))</f>
        <v>112</v>
      </c>
      <c r="I28" s="36">
        <f>IF(OR($C$2="",$C$2="(All)",$C$2="All Libraries"),SUMIFS(SummarySource[Value],SummarySource[Year],"24/25",SummarySource[Metric],"BK_P_Total"),SUMIFS(SummarySource[Value],SummarySource[Year],"24/25",SummarySource[Metric],"BK_P_Total",SummarySource[Library Service],$C$2))</f>
        <v>88723094</v>
      </c>
      <c r="J28" s="108">
        <f>IF(OR($C$2="",$C$2="(All)",$C$2="All Libraries"),COUNTIFS(SummarySource[Year],"25/26",SummarySource[Metric],"BK_P_Total",SummarySource[Value],"&gt;0"),COUNTIFS(SummarySource[Year],"25/26",SummarySource[Metric],"BK_P_Total",SummarySource[Value],"&gt;0",SummarySource[Library Service],$C$2))</f>
        <v>107</v>
      </c>
      <c r="K28" s="38">
        <f>IF(OR($C$2="",$C$2="(All)",$C$2="All Libraries"),SUMIFS(SummarySource[Value],SummarySource[Year],"25/26",SummarySource[Metric],"BK_P_Total"),SUMIFS(SummarySource[Value],SummarySource[Year],"25/26",SummarySource[Metric],"BK_P_Total",SummarySource[Library Service],$C$2))</f>
        <v>78704306</v>
      </c>
      <c r="L28" s="132">
        <f t="shared" ref="L28:L35" si="4">IFERROR(K28/I28-1,"")</f>
        <v>-0.11292198624182337</v>
      </c>
      <c r="N28" s="35" t="s">
        <v>2930</v>
      </c>
      <c r="O28" s="37"/>
      <c r="P28" s="32"/>
      <c r="Q28" s="118">
        <f>IF(OR($C$2="",$C$2="(All)",$C$2="All Libraries"),COUNTIFS(SummarySource[Year],"24/25",SummarySource[Metric],"BK_P_Total",SummarySource[Value],"&gt;0",SummarySource[Matched Both Years],1),COUNTIFS(SummarySource[Year],"24/25",SummarySource[Metric],"BK_P_Total",SummarySource[Value],"&gt;0",SummarySource[Matched Both Years],1,SummarySource[Library Service],$C$2))</f>
        <v>88</v>
      </c>
      <c r="R28" s="80">
        <f>IF(OR($C$2="",$C$2="(All)",$C$2="All Libraries"),SUMIFS(SummarySource[Value],SummarySource[Year],"24/25",SummarySource[Metric],"BK_P_Total",SummarySource[Value],"&gt;0",SummarySource[Matched Both Years],1),SUMIFS(SummarySource[Value],SummarySource[Year],"24/25",SummarySource[Metric],"BK_P_Total",SummarySource[Value],"&gt;0",SummarySource[Matched Both Years],1,SummarySource[Library Service],$C$2))</f>
        <v>69813871</v>
      </c>
      <c r="S28" s="55">
        <f>IF(OR($C$2="",$C$2="(All)",$C$2="All Libraries"),SUMIFS(SummarySource[Value],SummarySource[Year],"25/26",SummarySource[Metric],"BK_P_Total",SummarySource[Value],"&gt;0",SummarySource[Matched Both Years],1),SUMIFS(SummarySource[Value],SummarySource[Year],"25/26",SummarySource[Metric],"BK_P_Total",SummarySource[Value],"&gt;0",SummarySource[Matched Both Years],1,SummarySource[Library Service],$C$2))</f>
        <v>65163816</v>
      </c>
      <c r="T28" s="149">
        <f t="shared" ref="T28:T35" si="5">IFERROR(S28/R28-1,"")</f>
        <v>-6.6606462775857245E-2</v>
      </c>
    </row>
    <row r="29" spans="2:20" ht="16" thickBot="1" x14ac:dyDescent="0.4">
      <c r="B29" s="164"/>
      <c r="C29" s="165"/>
      <c r="D29" s="165"/>
      <c r="E29" s="166"/>
      <c r="G29" s="61" t="s">
        <v>2843</v>
      </c>
      <c r="H29" s="112">
        <f>IF(OR($C$2="",$C$2="(All)",$C$2="All Libraries"),COUNTIFS(SummarySource[Year],"24/25",SummarySource[Metric],"BK_P_Child",SummarySource[Value],"&gt;0"),COUNTIFS(SummarySource[Year],"24/25",SummarySource[Metric],"BK_P_Child",SummarySource[Value],"&gt;0",SummarySource[Library Service],$C$2))</f>
        <v>98</v>
      </c>
      <c r="I29" s="58">
        <f>IF(OR($C$2="",$C$2="(All)",$C$2="All Libraries"),SUMIFS(SummarySource[Value],SummarySource[Year],"24/25",SummarySource[Metric],"BK_P_Child"),SUMIFS(SummarySource[Value],SummarySource[Year],"24/25",SummarySource[Metric],"BK_P_Child",SummarySource[Library Service],$C$2))</f>
        <v>38875312</v>
      </c>
      <c r="J29" s="113">
        <f>IF(OR($C$2="",$C$2="(All)",$C$2="All Libraries"),COUNTIFS(SummarySource[Year],"25/26",SummarySource[Metric],"BK_P_Child",SummarySource[Value],"&gt;0"),COUNTIFS(SummarySource[Year],"25/26",SummarySource[Metric],"BK_P_Child",SummarySource[Value],"&gt;0",SummarySource[Library Service],$C$2))</f>
        <v>86</v>
      </c>
      <c r="K29" s="58">
        <f>IF(OR($C$2="",$C$2="(All)",$C$2="All Libraries"),SUMIFS(SummarySource[Value],SummarySource[Year],"25/26",SummarySource[Metric],"BK_P_Child",SummarySource[Library Service],"&lt;&gt;Bristol, City of",SummarySource[Library Service],"&lt;&gt;Worcestershire"),SUMIFS(SummarySource[Value],SummarySource[Year],"25/26",SummarySource[Metric],"BK_P_Child",SummarySource[Library Service],$C$2,SummarySource[Library Service],"&lt;&gt;Bristol, City of",SummarySource[Library Service],"&lt;&gt;Worcestershire"))</f>
        <v>33637060</v>
      </c>
      <c r="L29" s="137">
        <f t="shared" si="4"/>
        <v>-0.13474495072862691</v>
      </c>
      <c r="N29" s="40"/>
      <c r="O29" s="39" t="s">
        <v>2843</v>
      </c>
      <c r="P29" s="32"/>
      <c r="Q29" s="128">
        <f>IF(OR($C$2="",$C$2="(All)",$C$2="All Libraries"),COUNTIFS(SummarySource[Year],"24/25",SummarySource[Metric],"BK_P_Child",SummarySource[Value],"&gt;0",SummarySource[Matched Both Years],1),COUNTIFS(SummarySource[Year],"24/25",SummarySource[Metric],"BK_P_Child",SummarySource[Value],"&gt;0",SummarySource[Matched Both Years],1,SummarySource[Library Service],$C$2))</f>
        <v>68</v>
      </c>
      <c r="R29" s="81">
        <f>IF(OR($C$2="",$C$2="(All)",$C$2="All Libraries"),SUMIFS(SummarySource[Value],SummarySource[Year],"24/25",SummarySource[Metric],"BK_P_Child",SummarySource[Value],"&gt;0",SummarySource[Matched Both Years],1),SUMIFS(SummarySource[Value],SummarySource[Year],"24/25",SummarySource[Metric],"BK_P_Child",SummarySource[Value],"&gt;0",SummarySource[Matched Both Years],1,SummarySource[Library Service],$C$2))</f>
        <v>27627591</v>
      </c>
      <c r="S29" s="69">
        <f>IF(OR($C$2="",$C$2="(All)",$C$2="All Libraries"),SUMIFS(SummarySource[Value],SummarySource[Year],"25/26",SummarySource[Metric],"BK_P_Child",SummarySource[Value],"&gt;0",SummarySource[Matched Both Years],1,SummarySource[Library Service],"&lt;&gt;Bristol, City of",SummarySource[Library Service],"&lt;&gt;Worcestershire"),SUMIFS(SummarySource[Value],SummarySource[Year],"25/26",SummarySource[Metric],"BK_P_Child",SummarySource[Value],"&gt;0",SummarySource[Matched Both Years],1,SummarySource[Library Service],$C$2,SummarySource[Library Service],"&lt;&gt;Bristol, City of",SummarySource[Library Service],"&lt;&gt;Worcestershire"))</f>
        <v>25590294</v>
      </c>
      <c r="T29" s="150">
        <f t="shared" si="5"/>
        <v>-7.3741391350407692E-2</v>
      </c>
    </row>
    <row r="30" spans="2:20" ht="16" thickBot="1" x14ac:dyDescent="0.4">
      <c r="B30" s="167"/>
      <c r="C30" s="168"/>
      <c r="D30" s="168"/>
      <c r="E30" s="169"/>
      <c r="G30" s="62" t="s">
        <v>2849</v>
      </c>
      <c r="H30" s="114">
        <f>IF(OR($C$2="",$C$2="(All)",$C$2="All Libraries"),COUNTIFS(SummarySource[Year],"24/25",SummarySource[Metric],"BK_P_Young",SummarySource[Value],"&gt;0"),COUNTIFS(SummarySource[Year],"24/25",SummarySource[Metric],"BK_P_Young",SummarySource[Value],"&gt;0",SummarySource[Library Service],$C$2))</f>
        <v>95</v>
      </c>
      <c r="I30" s="59">
        <f>IF(OR($C$2="",$C$2="(All)",$C$2="All Libraries"),SUMIFS(SummarySource[Value],SummarySource[Year],"24/25",SummarySource[Metric],"BK_P_Young"),SUMIFS(SummarySource[Value],SummarySource[Year],"24/25",SummarySource[Metric],"BK_P_Young",SummarySource[Library Service],$C$2))</f>
        <v>37681713</v>
      </c>
      <c r="J30" s="115">
        <f>IF(OR($C$2="",$C$2="(All)",$C$2="All Libraries"),COUNTIFS(SummarySource[Year],"25/26",SummarySource[Metric],"BK_P_Young",SummarySource[Value],"&gt;0"),COUNTIFS(SummarySource[Year],"25/26",SummarySource[Metric],"BK_P_Young",SummarySource[Value],"&gt;0",SummarySource[Library Service],$C$2))</f>
        <v>78</v>
      </c>
      <c r="K30" s="59">
        <f>IF(OR($C$2="",$C$2="(All)",$C$2="All Libraries"),SUMIFS(SummarySource[Value],SummarySource[Year],"25/26",SummarySource[Metric],"BK_P_Young"),SUMIFS(SummarySource[Value],SummarySource[Year],"25/26",SummarySource[Metric],"BK_P_Young",SummarySource[Library Service],$C$2))</f>
        <v>1248794</v>
      </c>
      <c r="L30" s="134">
        <f t="shared" si="4"/>
        <v>-0.96685941533496633</v>
      </c>
      <c r="N30" s="40"/>
      <c r="O30" s="39" t="s">
        <v>2849</v>
      </c>
      <c r="P30" s="32"/>
      <c r="Q30" s="129">
        <f>IF(OR($C$2="",$C$2="(All)",$C$2="All Libraries"),COUNTIFS(SummarySource[Year],"24/25",SummarySource[Metric],"BK_P_Young",SummarySource[Value],"&gt;0",SummarySource[Matched Both Years],1),COUNTIFS(SummarySource[Year],"24/25",SummarySource[Metric],"BK_P_Young",SummarySource[Value],"&gt;0",SummarySource[Matched Both Years],1,SummarySource[Library Service],$C$2))</f>
        <v>62</v>
      </c>
      <c r="R30" s="82">
        <f>IF(OR($C$2="",$C$2="(All)",$C$2="All Libraries"),SUMIFS(SummarySource[Value],SummarySource[Year],"24/25",SummarySource[Metric],"BK_P_Young",SummarySource[Value],"&gt;0",SummarySource[Matched Both Years],1),SUMIFS(SummarySource[Value],SummarySource[Year],"24/25",SummarySource[Metric],"BK_P_Young",SummarySource[Value],"&gt;0",SummarySource[Matched Both Years],1,SummarySource[Library Service],$C$2))</f>
        <v>22712904</v>
      </c>
      <c r="S30" s="51">
        <f>IF(OR($C$2="",$C$2="(All)",$C$2="All Libraries"),SUMIFS(SummarySource[Value],SummarySource[Year],"25/26",SummarySource[Metric],"BK_P_Young",SummarySource[Value],"&gt;0",SummarySource[Matched Both Years],1),SUMIFS(SummarySource[Value],SummarySource[Year],"25/26",SummarySource[Metric],"BK_P_Young",SummarySource[Value],"&gt;0",SummarySource[Matched Both Years],1,SummarySource[Library Service],$C$2))</f>
        <v>905503</v>
      </c>
      <c r="T30" s="151">
        <f t="shared" si="5"/>
        <v>-0.96013266291267729</v>
      </c>
    </row>
    <row r="31" spans="2:20" ht="16" thickBot="1" x14ac:dyDescent="0.4">
      <c r="G31" s="63" t="s">
        <v>2850</v>
      </c>
      <c r="H31" s="116">
        <f>IF(OR($C$2="",$C$2="(All)",$C$2="All Libraries"),COUNTIFS(SummarySource[Year],"24/25",SummarySource[Metric],"BK_P_Adult",SummarySource[Value],"&gt;0"),COUNTIFS(SummarySource[Year],"24/25",SummarySource[Metric],"BK_P_Adult",SummarySource[Value],"&gt;0",SummarySource[Library Service],$C$2))</f>
        <v>81</v>
      </c>
      <c r="I31" s="60">
        <f>IF(OR($C$2="",$C$2="(All)",$C$2="All Libraries"),SUMIFS(SummarySource[Value],SummarySource[Year],"24/25",SummarySource[Metric],"BK_P_Adult"),SUMIFS(SummarySource[Value],SummarySource[Year],"24/25",SummarySource[Metric],"BK_P_Adult",SummarySource[Library Service],$C$2))</f>
        <v>1800171</v>
      </c>
      <c r="J31" s="117">
        <f>IF(OR($C$2="",$C$2="(All)",$C$2="All Libraries"),COUNTIFS(SummarySource[Year],"25/26",SummarySource[Metric],"BK_P_Adult",SummarySource[Value],"&gt;0"),COUNTIFS(SummarySource[Year],"25/26",SummarySource[Metric],"BK_P_Adult",SummarySource[Value],"&gt;0",SummarySource[Library Service],$C$2))</f>
        <v>92</v>
      </c>
      <c r="K31" s="60">
        <f>IF(OR($C$2="",$C$2="(All)",$C$2="All Libraries"),SUMIFS(SummarySource[Value],SummarySource[Year],"25/26",SummarySource[Metric],"BK_P_Adult"),SUMIFS(SummarySource[Value],SummarySource[Year],"25/26",SummarySource[Metric],"BK_P_Adult",SummarySource[Library Service],$C$2))</f>
        <v>36818645</v>
      </c>
      <c r="L31" s="138">
        <f t="shared" si="4"/>
        <v>19.452859756100949</v>
      </c>
      <c r="N31" s="40"/>
      <c r="O31" s="39" t="s">
        <v>2850</v>
      </c>
      <c r="P31" s="32"/>
      <c r="Q31" s="130">
        <f>IF(OR($C$2="",$C$2="(All)",$C$2="All Libraries"),COUNTIFS(SummarySource[Year],"24/25",SummarySource[Metric],"BK_P_Adult",SummarySource[Value],"&gt;0",SummarySource[Matched Both Years],1),COUNTIFS(SummarySource[Year],"24/25",SummarySource[Metric],"BK_P_Adult",SummarySource[Value],"&gt;0",SummarySource[Matched Both Years],1,SummarySource[Library Service],$C$2))</f>
        <v>61</v>
      </c>
      <c r="R31" s="83">
        <f>IF(OR($C$2="",$C$2="(All)",$C$2="All Libraries"),SUMIFS(SummarySource[Value],SummarySource[Year],"24/25",SummarySource[Metric],"BK_P_Adult",SummarySource[Value],"&gt;0",SummarySource[Matched Both Years],1),SUMIFS(SummarySource[Value],SummarySource[Year],"24/25",SummarySource[Metric],"BK_P_Adult",SummarySource[Value],"&gt;0",SummarySource[Matched Both Years],1,SummarySource[Library Service],$C$2))</f>
        <v>1466460</v>
      </c>
      <c r="S31" s="70">
        <f>IF(OR($C$2="",$C$2="(All)",$C$2="All Libraries"),SUMIFS(SummarySource[Value],SummarySource[Year],"25/26",SummarySource[Metric],"BK_P_Adult",SummarySource[Value],"&gt;0",SummarySource[Matched Both Years],1),SUMIFS(SummarySource[Value],SummarySource[Year],"25/26",SummarySource[Metric],"BK_P_Adult",SummarySource[Value],"&gt;0",SummarySource[Matched Both Years],1,SummarySource[Library Service],$C$2))</f>
        <v>23095716</v>
      </c>
      <c r="T31" s="152">
        <f t="shared" si="5"/>
        <v>14.749298310216439</v>
      </c>
    </row>
    <row r="32" spans="2:20" ht="16" thickBot="1" x14ac:dyDescent="0.4">
      <c r="G32" s="64" t="s">
        <v>2931</v>
      </c>
      <c r="H32" s="118">
        <f>IF(OR($C$2="",$C$2="(All)",$C$2="All Libraries"),COUNTIFS(SummarySource[Year],"24/25",SummarySource[Metric],"BK_A_Total",SummarySource[Value],"&gt;0"),COUNTIFS(SummarySource[Year],"24/25",SummarySource[Metric],"BK_A_Total",SummarySource[Value],"&gt;0",SummarySource[Library Service],$C$2))</f>
        <v>101</v>
      </c>
      <c r="I32" s="55">
        <f>IF(OR($C$2="",$C$2="(All)",$C$2="All Libraries"),SUMIFS(SummarySource[Value],SummarySource[Year],"24/25",SummarySource[Metric],"BK_A_Total"),SUMIFS(SummarySource[Value],SummarySource[Year],"24/25",SummarySource[Metric],"BK_A_Total",SummarySource[Library Service],$C$2))</f>
        <v>1066951</v>
      </c>
      <c r="J32" s="118">
        <f>IF(OR($C$2="",$C$2="(All)",$C$2="All Libraries"),COUNTIFS(SummarySource[Year],"25/26",SummarySource[Metric],"BK_A_Total",SummarySource[Value],"&gt;0"),COUNTIFS(SummarySource[Year],"25/26",SummarySource[Metric],"BK_A_Total",SummarySource[Value],"&gt;0",SummarySource[Library Service],$C$2))</f>
        <v>95</v>
      </c>
      <c r="K32" s="55">
        <f>IF(OR($C$2="",$C$2="(All)",$C$2="All Libraries"),SUMIFS(SummarySource[Value],SummarySource[Year],"25/26",SummarySource[Metric],"BK_A_Total"),SUMIFS(SummarySource[Value],SummarySource[Year],"25/26",SummarySource[Metric],"BK_A_Total",SummarySource[Library Service],$C$2))</f>
        <v>971321</v>
      </c>
      <c r="L32" s="139">
        <f t="shared" si="4"/>
        <v>-8.962923320752314E-2</v>
      </c>
      <c r="N32" s="35" t="s">
        <v>2931</v>
      </c>
      <c r="O32" s="37"/>
      <c r="P32" s="32"/>
      <c r="Q32" s="131">
        <f>IF(OR($C$2="",$C$2="(All)",$C$2="All Libraries"),COUNTIFS(SummarySource[Year],"24/25",SummarySource[Metric],"BK_A_Total",SummarySource[Value],"&gt;0",SummarySource[Matched Both Years],1),COUNTIFS(SummarySource[Year],"24/25",SummarySource[Metric],"BK_A_Total",SummarySource[Value],"&gt;0",SummarySource[Matched Both Years],1,SummarySource[Library Service],$C$2))</f>
        <v>77</v>
      </c>
      <c r="R32" s="84">
        <f>IF(OR($C$2="",$C$2="(All)",$C$2="All Libraries"),SUMIFS(SummarySource[Value],SummarySource[Year],"24/25",SummarySource[Metric],"BK_A_Total",SummarySource[Value],"&gt;0",SummarySource[Matched Both Years],1),SUMIFS(SummarySource[Value],SummarySource[Year],"24/25",SummarySource[Metric],"BK_A_Total",SummarySource[Value],"&gt;0",SummarySource[Matched Both Years],1,SummarySource[Library Service],$C$2))</f>
        <v>831107</v>
      </c>
      <c r="S32" s="68">
        <f>IF(OR($C$2="",$C$2="(All)",$C$2="All Libraries"),SUMIFS(SummarySource[Value],SummarySource[Year],"25/26",SummarySource[Metric],"BK_A_Total",SummarySource[Value],"&gt;0",SummarySource[Matched Both Years],1),SUMIFS(SummarySource[Value],SummarySource[Year],"25/26",SummarySource[Metric],"BK_A_Total",SummarySource[Value],"&gt;0",SummarySource[Matched Both Years],1,SummarySource[Library Service],$C$2))</f>
        <v>757630</v>
      </c>
      <c r="T32" s="153">
        <f t="shared" si="5"/>
        <v>-8.840859239544363E-2</v>
      </c>
    </row>
    <row r="33" spans="7:20" ht="16" thickBot="1" x14ac:dyDescent="0.4">
      <c r="G33" s="65" t="s">
        <v>2843</v>
      </c>
      <c r="H33" s="119">
        <f>IF(OR($C$2="",$C$2="(All)",$C$2="All Libraries"),COUNTIFS(SummarySource[Year],"24/25",SummarySource[Metric],"BK_A_Child",SummarySource[Value],"&gt;0"),COUNTIFS(SummarySource[Year],"24/25",SummarySource[Metric],"BK_A_Child",SummarySource[Value],"&gt;0",SummarySource[Library Service],$C$2))</f>
        <v>87</v>
      </c>
      <c r="I33" s="56">
        <f>IF(OR($C$2="",$C$2="(All)",$C$2="All Libraries"),SUMIFS(SummarySource[Value],SummarySource[Year],"24/25",SummarySource[Metric],"BK_A_Child"),SUMIFS(SummarySource[Value],SummarySource[Year],"24/25",SummarySource[Metric],"BK_A_Child",SummarySource[Library Service],$C$2))</f>
        <v>773361</v>
      </c>
      <c r="J33" s="119">
        <f>IF(OR($C$2="",$C$2="(All)",$C$2="All Libraries"),COUNTIFS(SummarySource[Year],"25/26",SummarySource[Metric],"BK_A_Child",SummarySource[Value],"&gt;0"),COUNTIFS(SummarySource[Year],"25/26",SummarySource[Metric],"BK_A_Child",SummarySource[Value],"&gt;0",SummarySource[Library Service],$C$2))</f>
        <v>73</v>
      </c>
      <c r="K33" s="56">
        <f>IF(OR($C$2="",$C$2="(All)",$C$2="All Libraries"),SUMIFS(SummarySource[Value],SummarySource[Year],"25/26",SummarySource[Metric],"BK_A_Child"),SUMIFS(SummarySource[Value],SummarySource[Year],"25/26",SummarySource[Metric],"BK_A_Child",SummarySource[Library Service],$C$2))</f>
        <v>251418</v>
      </c>
      <c r="L33" s="140">
        <f t="shared" si="4"/>
        <v>-0.67490214789729508</v>
      </c>
      <c r="N33" s="40"/>
      <c r="O33" s="39" t="s">
        <v>2843</v>
      </c>
      <c r="P33" s="32"/>
      <c r="Q33" s="128">
        <f>IF(OR($C$2="",$C$2="(All)",$C$2="All Libraries"),COUNTIFS(SummarySource[Year],"24/25",SummarySource[Metric],"BK_A_Child",SummarySource[Value],"&gt;0",SummarySource[Matched Both Years],1),COUNTIFS(SummarySource[Year],"24/25",SummarySource[Metric],"BK_A_Child",SummarySource[Value],"&gt;0",SummarySource[Matched Both Years],1,SummarySource[Library Service],$C$2))</f>
        <v>58</v>
      </c>
      <c r="R33" s="81">
        <f>IF(OR($C$2="",$C$2="(All)",$C$2="All Libraries"),SUMIFS(SummarySource[Value],SummarySource[Year],"24/25",SummarySource[Metric],"BK_A_Child",SummarySource[Value],"&gt;0",SummarySource[Matched Both Years],1),SUMIFS(SummarySource[Value],SummarySource[Year],"24/25",SummarySource[Metric],"BK_A_Child",SummarySource[Value],"&gt;0",SummarySource[Matched Both Years],1,SummarySource[Library Service],$C$2))</f>
        <v>532450</v>
      </c>
      <c r="S33" s="69">
        <f>IF(OR($C$2="",$C$2="(All)",$C$2="All Libraries"),SUMIFS(SummarySource[Value],SummarySource[Year],"25/26",SummarySource[Metric],"BK_A_Child",SummarySource[Value],"&gt;0",SummarySource[Matched Both Years],1),SUMIFS(SummarySource[Value],SummarySource[Year],"25/26",SummarySource[Metric],"BK_A_Child",SummarySource[Value],"&gt;0",SummarySource[Matched Both Years],1,SummarySource[Library Service],$C$2))</f>
        <v>241406</v>
      </c>
      <c r="T33" s="150">
        <f t="shared" si="5"/>
        <v>-0.54661282749553952</v>
      </c>
    </row>
    <row r="34" spans="7:20" ht="16" thickBot="1" x14ac:dyDescent="0.4">
      <c r="G34" s="66" t="s">
        <v>2849</v>
      </c>
      <c r="H34" s="110">
        <f>IF(OR($C$2="",$C$2="(All)",$C$2="All Libraries"),COUNTIFS(SummarySource[Year],"24/25",SummarySource[Metric],"BK_A_Young",SummarySource[Value],"&gt;0"),COUNTIFS(SummarySource[Year],"24/25",SummarySource[Metric],"BK_A_Young",SummarySource[Value],"&gt;0",SummarySource[Library Service],$C$2))</f>
        <v>81</v>
      </c>
      <c r="I34" s="50">
        <f>IF(OR($C$2="",$C$2="(All)",$C$2="All Libraries"),SUMIFS(SummarySource[Value],SummarySource[Year],"24/25",SummarySource[Metric],"BK_A_Young"),SUMIFS(SummarySource[Value],SummarySource[Year],"24/25",SummarySource[Metric],"BK_A_Young",SummarySource[Library Service],$C$2))</f>
        <v>111833</v>
      </c>
      <c r="J34" s="110">
        <f>IF(OR($C$2="",$C$2="(All)",$C$2="All Libraries"),COUNTIFS(SummarySource[Year],"25/26",SummarySource[Metric],"BK_A_Young",SummarySource[Value],"&gt;0"),COUNTIFS(SummarySource[Year],"25/26",SummarySource[Metric],"BK_A_Young",SummarySource[Value],"&gt;0",SummarySource[Library Service],$C$2))</f>
        <v>26</v>
      </c>
      <c r="K34" s="50">
        <f>IF(OR($C$2="",$C$2="(All)",$C$2="All Libraries"),SUMIFS(SummarySource[Value],SummarySource[Year],"25/26",SummarySource[Metric],"BK_A_Young"),SUMIFS(SummarySource[Value],SummarySource[Year],"25/26",SummarySource[Metric],"BK_A_Young",SummarySource[Library Service],$C$2))</f>
        <v>66003</v>
      </c>
      <c r="L34" s="141">
        <f t="shared" si="4"/>
        <v>-0.40980748079726015</v>
      </c>
      <c r="N34" s="40"/>
      <c r="O34" s="39" t="s">
        <v>2849</v>
      </c>
      <c r="P34" s="32"/>
      <c r="Q34" s="129">
        <f>IF(OR($C$2="",$C$2="(All)",$C$2="All Libraries"),COUNTIFS(SummarySource[Year],"24/25",SummarySource[Metric],"BK_A_Young",SummarySource[Value],"&gt;0",SummarySource[Matched Both Years],1),COUNTIFS(SummarySource[Year],"24/25",SummarySource[Metric],"BK_A_Young",SummarySource[Value],"&gt;0",SummarySource[Matched Both Years],1,SummarySource[Library Service],$C$2))</f>
        <v>21</v>
      </c>
      <c r="R34" s="82">
        <f>IF(OR($C$2="",$C$2="(All)",$C$2="All Libraries"),SUMIFS(SummarySource[Value],SummarySource[Year],"24/25",SummarySource[Metric],"BK_A_Young",SummarySource[Value],"&gt;0",SummarySource[Matched Both Years],1),SUMIFS(SummarySource[Value],SummarySource[Year],"24/25",SummarySource[Metric],"BK_A_Young",SummarySource[Value],"&gt;0",SummarySource[Matched Both Years],1,SummarySource[Library Service],$C$2))</f>
        <v>34797</v>
      </c>
      <c r="S34" s="51">
        <f>IF(OR($C$2="",$C$2="(All)",$C$2="All Libraries"),SUMIFS(SummarySource[Value],SummarySource[Year],"25/26",SummarySource[Metric],"BK_A_Young",SummarySource[Value],"&gt;0",SummarySource[Matched Both Years],1),SUMIFS(SummarySource[Value],SummarySource[Year],"25/26",SummarySource[Metric],"BK_A_Young",SummarySource[Value],"&gt;0",SummarySource[Matched Both Years],1,SummarySource[Library Service],$C$2))</f>
        <v>60292</v>
      </c>
      <c r="T34" s="151">
        <f t="shared" si="5"/>
        <v>0.73267810443429027</v>
      </c>
    </row>
    <row r="35" spans="7:20" ht="16" thickBot="1" x14ac:dyDescent="0.4">
      <c r="G35" s="67" t="s">
        <v>2850</v>
      </c>
      <c r="H35" s="120">
        <f>IF(OR($C$2="",$C$2="(All)",$C$2="All Libraries"),COUNTIFS(SummarySource[Year],"24/25",SummarySource[Metric],"BK_A_Adult",SummarySource[Value],"&gt;0"),COUNTIFS(SummarySource[Year],"24/25",SummarySource[Metric],"BK_A_Adult",SummarySource[Value],"&gt;0",SummarySource[Library Service],$C$2))</f>
        <v>22</v>
      </c>
      <c r="I35" s="57">
        <f>IF(OR($C$2="",$C$2="(All)",$C$2="All Libraries"),SUMIFS(SummarySource[Value],SummarySource[Year],"24/25",SummarySource[Metric],"BK_A_Adult"),SUMIFS(SummarySource[Value],SummarySource[Year],"24/25",SummarySource[Metric],"BK_A_Adult",SummarySource[Library Service],$C$2))</f>
        <v>2252</v>
      </c>
      <c r="J35" s="120">
        <f>IF(OR($C$2="",$C$2="(All)",$C$2="All Libraries"),COUNTIFS(SummarySource[Year],"25/26",SummarySource[Metric],"BK_A_Adult",SummarySource[Value],"&gt;0"),COUNTIFS(SummarySource[Year],"25/26",SummarySource[Metric],"BK_A_Adult",SummarySource[Value],"&gt;0",SummarySource[Library Service],$C$2))</f>
        <v>80</v>
      </c>
      <c r="K35" s="57">
        <f>IF(OR($C$2="",$C$2="(All)",$C$2="All Libraries"),SUMIFS(SummarySource[Value],SummarySource[Year],"25/26",SummarySource[Metric],"BK_A_Adult"),SUMIFS(SummarySource[Value],SummarySource[Year],"25/26",SummarySource[Metric],"BK_A_Adult",SummarySource[Library Service],$C$2))</f>
        <v>642026</v>
      </c>
      <c r="L35" s="142">
        <f t="shared" si="4"/>
        <v>284.09147424511548</v>
      </c>
      <c r="N35" s="40"/>
      <c r="O35" s="39" t="s">
        <v>2850</v>
      </c>
      <c r="P35" s="32"/>
      <c r="Q35" s="130">
        <f>IF(OR($C$2="",$C$2="(All)",$C$2="All Libraries"),COUNTIFS(SummarySource[Year],"24/25",SummarySource[Metric],"BK_A_Adult",SummarySource[Value],"&gt;0",SummarySource[Matched Both Years],1),COUNTIFS(SummarySource[Year],"24/25",SummarySource[Metric],"BK_A_Adult",SummarySource[Value],"&gt;0",SummarySource[Matched Both Years],1,SummarySource[Library Service],$C$2))</f>
        <v>17</v>
      </c>
      <c r="R35" s="83">
        <f>IF(OR($C$2="",$C$2="(All)",$C$2="All Libraries"),SUMIFS(SummarySource[Value],SummarySource[Year],"24/25",SummarySource[Metric],"BK_A_Adult",SummarySource[Value],"&gt;0",SummarySource[Matched Both Years],1),SUMIFS(SummarySource[Value],SummarySource[Year],"24/25",SummarySource[Metric],"BK_A_Adult",SummarySource[Value],"&gt;0",SummarySource[Matched Both Years],1,SummarySource[Library Service],$C$2))</f>
        <v>1495</v>
      </c>
      <c r="S35" s="70">
        <f>IF(OR($C$2="",$C$2="(All)",$C$2="All Libraries"),SUMIFS(SummarySource[Value],SummarySource[Year],"25/26",SummarySource[Metric],"BK_A_Adult",SummarySource[Value],"&gt;0",SummarySource[Matched Both Years],1),SUMIFS(SummarySource[Value],SummarySource[Year],"25/26",SummarySource[Metric],"BK_A_Adult",SummarySource[Value],"&gt;0",SummarySource[Matched Both Years],1,SummarySource[Library Service],$C$2))</f>
        <v>217379</v>
      </c>
      <c r="T35" s="152">
        <f t="shared" si="5"/>
        <v>144.40401337792642</v>
      </c>
    </row>
    <row r="36" spans="7:20" ht="6.5" customHeight="1" thickBot="1" x14ac:dyDescent="0.4">
      <c r="H36" s="2"/>
      <c r="I36" s="2"/>
      <c r="J36" s="2"/>
      <c r="K36" s="2"/>
      <c r="L36" s="136"/>
      <c r="Q36" s="2"/>
      <c r="R36" s="2"/>
      <c r="S36" s="2"/>
      <c r="T36" s="136"/>
    </row>
    <row r="37" spans="7:20" ht="16" thickBot="1" x14ac:dyDescent="0.4">
      <c r="G37" s="35" t="s">
        <v>2932</v>
      </c>
      <c r="H37" s="108">
        <f>IF(OR($C$2="",$C$2="(All)",$C$2="All Libraries"),COUNTIFS(SummarySource[Year],"24/25",SummarySource[Metric],"EB_Total",SummarySource[Value],"&gt;0"),COUNTIFS(SummarySource[Year],"24/25",SummarySource[Metric],"EB_Total",SummarySource[Value],"&gt;0",SummarySource[Library Service],$C$2))</f>
        <v>108</v>
      </c>
      <c r="I37" s="36">
        <f>IF(OR($C$2="",$C$2="(All)",$C$2="All Libraries"),SUMIFS(SummarySource[Value],SummarySource[Year],"24/25",SummarySource[Metric],"EB_Total"),SUMIFS(SummarySource[Value],SummarySource[Year],"24/25",SummarySource[Metric],"EB_Total",SummarySource[Library Service],$C$2))</f>
        <v>6535593</v>
      </c>
      <c r="J37" s="108">
        <f>IF(OR($C$2="",$C$2="(All)",$C$2="All Libraries"),COUNTIFS(SummarySource[Year],"25/26",SummarySource[Metric],"EB_Total",SummarySource[Value],"&gt;0"),COUNTIFS(SummarySource[Year],"25/26",SummarySource[Metric],"EB_Total",SummarySource[Value],"&gt;0",SummarySource[Library Service],$C$2))</f>
        <v>105</v>
      </c>
      <c r="K37" s="38">
        <f>IF(OR($C$2="",$C$2="(All)",$C$2="All Libraries"),SUMIFS(SummarySource[Value],SummarySource[Year],"25/26",SummarySource[Metric],"EB_Total"),SUMIFS(SummarySource[Value],SummarySource[Year],"25/26",SummarySource[Metric],"EB_Total",SummarySource[Library Service],$C$2))</f>
        <v>6454596</v>
      </c>
      <c r="L37" s="132">
        <f t="shared" ref="L37:L44" si="6">IFERROR(K37/I37-1,"")</f>
        <v>-1.2393213592094887E-2</v>
      </c>
      <c r="N37" s="35" t="s">
        <v>2932</v>
      </c>
      <c r="O37" s="37"/>
      <c r="P37" s="32"/>
      <c r="Q37" s="118">
        <f>IF(OR($C$2="",$C$2="(All)",$C$2="All Libraries"),COUNTIFS(SummarySource[Year],"24/25",SummarySource[Metric],"EB_Total",SummarySource[Value],"&gt;0",SummarySource[Matched Both Years],1),COUNTIFS(SummarySource[Year],"24/25",SummarySource[Metric],"EB_Total",SummarySource[Value],"&gt;0",SummarySource[Matched Both Years],1,SummarySource[Library Service],$C$2))</f>
        <v>82</v>
      </c>
      <c r="R37" s="80">
        <f>IF(OR($C$2="",$C$2="(All)",$C$2="All Libraries"),SUMIFS(SummarySource[Value],SummarySource[Year],"24/25",SummarySource[Metric],"EB_Total",SummarySource[Value],"&gt;0",SummarySource[Matched Both Years],1),SUMIFS(SummarySource[Value],SummarySource[Year],"24/25",SummarySource[Metric],"EB_Total",SummarySource[Value],"&gt;0",SummarySource[Matched Both Years],1,SummarySource[Library Service],$C$2))</f>
        <v>4844016</v>
      </c>
      <c r="S37" s="55">
        <f>IF(OR($C$2="",$C$2="(All)",$C$2="All Libraries"),SUMIFS(SummarySource[Value],SummarySource[Year],"25/26",SummarySource[Metric],"EB_Total",SummarySource[Value],"&gt;0",SummarySource[Matched Both Years],1),SUMIFS(SummarySource[Value],SummarySource[Year],"25/26",SummarySource[Metric],"EB_Total",SummarySource[Value],"&gt;0",SummarySource[Matched Both Years],1,SummarySource[Library Service],$C$2))</f>
        <v>4940137</v>
      </c>
      <c r="T37" s="149">
        <f t="shared" ref="T37:T44" si="7">IFERROR(S37/R37-1,"")</f>
        <v>1.9843245769625817E-2</v>
      </c>
    </row>
    <row r="38" spans="7:20" ht="16" thickBot="1" x14ac:dyDescent="0.4">
      <c r="G38" s="61" t="s">
        <v>2843</v>
      </c>
      <c r="H38" s="112">
        <f>IF(OR($C$2="",$C$2="(All)",$C$2="All Libraries"),COUNTIFS(SummarySource[Year],"24/25",SummarySource[Metric],"EB_Child",SummarySource[Value],"&gt;0"),COUNTIFS(SummarySource[Year],"24/25",SummarySource[Metric],"EB_Child",SummarySource[Value],"&gt;0",SummarySource[Library Service],$C$2))</f>
        <v>65</v>
      </c>
      <c r="I38" s="58">
        <f>IF(OR($C$2="",$C$2="(All)",$C$2="All Libraries"),SUMIFS(SummarySource[Value],SummarySource[Year],"24/25",SummarySource[Metric],"EB_Child"),SUMIFS(SummarySource[Value],SummarySource[Year],"24/25",SummarySource[Metric],"EB_Child",SummarySource[Library Service],$C$2))</f>
        <v>3119822</v>
      </c>
      <c r="J38" s="113">
        <f>IF(OR($C$2="",$C$2="(All)",$C$2="All Libraries"),COUNTIFS(SummarySource[Year],"25/26",SummarySource[Metric],"EB_Child",SummarySource[Value],"&gt;0"),COUNTIFS(SummarySource[Year],"25/26",SummarySource[Metric],"EB_Child",SummarySource[Value],"&gt;0",SummarySource[Library Service],$C$2))</f>
        <v>58</v>
      </c>
      <c r="K38" s="58">
        <f>IF(OR($C$2="",$C$2="(All)",$C$2="All Libraries"),SUMIFS(SummarySource[Value],SummarySource[Year],"25/26",SummarySource[Metric],"EB_Child"),SUMIFS(SummarySource[Value],SummarySource[Year],"25/26",SummarySource[Metric],"EB_Child",SummarySource[Library Service],$C$2))</f>
        <v>391787</v>
      </c>
      <c r="L38" s="137">
        <f t="shared" si="6"/>
        <v>-0.87442007909425601</v>
      </c>
      <c r="N38" s="40"/>
      <c r="O38" s="39" t="s">
        <v>2843</v>
      </c>
      <c r="P38" s="32"/>
      <c r="Q38" s="128">
        <f>IF(OR($C$2="",$C$2="(All)",$C$2="All Libraries"),COUNTIFS(SummarySource[Year],"24/25",SummarySource[Metric],"EB_Child",SummarySource[Value],"&gt;0",SummarySource[Matched Both Years],1),COUNTIFS(SummarySource[Year],"24/25",SummarySource[Metric],"EB_Child",SummarySource[Value],"&gt;0",SummarySource[Matched Both Years],1,SummarySource[Library Service],$C$2))</f>
        <v>42</v>
      </c>
      <c r="R38" s="81">
        <f>IF(OR($C$2="",$C$2="(All)",$C$2="All Libraries"),SUMIFS(SummarySource[Value],SummarySource[Year],"24/25",SummarySource[Metric],"EB_Child",SummarySource[Value],"&gt;0",SummarySource[Matched Both Years],1),SUMIFS(SummarySource[Value],SummarySource[Year],"24/25",SummarySource[Metric],"EB_Child",SummarySource[Value],"&gt;0",SummarySource[Matched Both Years],1,SummarySource[Library Service],$C$2))</f>
        <v>1605505</v>
      </c>
      <c r="S38" s="69">
        <f>IF(OR($C$2="",$C$2="(All)",$C$2="All Libraries"),SUMIFS(SummarySource[Value],SummarySource[Year],"25/26",SummarySource[Metric],"EB_Child",SummarySource[Value],"&gt;0",SummarySource[Matched Both Years],1),SUMIFS(SummarySource[Value],SummarySource[Year],"25/26",SummarySource[Metric],"EB_Child",SummarySource[Value],"&gt;0",SummarySource[Matched Both Years],1,SummarySource[Library Service],$C$2))</f>
        <v>197635</v>
      </c>
      <c r="T38" s="150">
        <f t="shared" si="7"/>
        <v>-0.87690166022528737</v>
      </c>
    </row>
    <row r="39" spans="7:20" ht="16" thickBot="1" x14ac:dyDescent="0.4">
      <c r="G39" s="62" t="s">
        <v>2849</v>
      </c>
      <c r="H39" s="114">
        <f>IF(OR($C$2="",$C$2="(All)",$C$2="All Libraries"),COUNTIFS(SummarySource[Year],"24/25",SummarySource[Metric],"EB_Young",SummarySource[Value],"&gt;0"),COUNTIFS(SummarySource[Year],"24/25",SummarySource[Metric],"EB_Young",SummarySource[Value],"&gt;0",SummarySource[Library Service],$C$2))</f>
        <v>63</v>
      </c>
      <c r="I39" s="59">
        <f>IF(OR($C$2="",$C$2="(All)",$C$2="All Libraries"),SUMIFS(SummarySource[Value],SummarySource[Year],"24/25",SummarySource[Metric],"EB_Young"),SUMIFS(SummarySource[Value],SummarySource[Year],"24/25",SummarySource[Metric],"EB_Young",SummarySource[Library Service],$C$2))</f>
        <v>334896</v>
      </c>
      <c r="J39" s="115">
        <f>IF(OR($C$2="",$C$2="(All)",$C$2="All Libraries"),COUNTIFS(SummarySource[Year],"25/26",SummarySource[Metric],"EB_Young",SummarySource[Value],"&gt;0"),COUNTIFS(SummarySource[Year],"25/26",SummarySource[Metric],"EB_Young",SummarySource[Value],"&gt;0",SummarySource[Library Service],$C$2))</f>
        <v>56</v>
      </c>
      <c r="K39" s="59">
        <f>IF(OR($C$2="",$C$2="(All)",$C$2="All Libraries"),SUMIFS(SummarySource[Value],SummarySource[Year],"25/26",SummarySource[Metric],"EB_Young"),SUMIFS(SummarySource[Value],SummarySource[Year],"25/26",SummarySource[Metric],"EB_Young",SummarySource[Library Service],$C$2))</f>
        <v>180525</v>
      </c>
      <c r="L39" s="134">
        <f t="shared" si="6"/>
        <v>-0.46095205675791884</v>
      </c>
      <c r="N39" s="40"/>
      <c r="O39" s="39" t="s">
        <v>2849</v>
      </c>
      <c r="P39" s="32"/>
      <c r="Q39" s="129">
        <f>IF(OR($C$2="",$C$2="(All)",$C$2="All Libraries"),COUNTIFS(SummarySource[Year],"24/25",SummarySource[Metric],"EB_Young",SummarySource[Value],"&gt;0",SummarySource[Matched Both Years],1),COUNTIFS(SummarySource[Year],"24/25",SummarySource[Metric],"EB_Young",SummarySource[Value],"&gt;0",SummarySource[Matched Both Years],1,SummarySource[Library Service],$C$2))</f>
        <v>40</v>
      </c>
      <c r="R39" s="82">
        <f>IF(OR($C$2="",$C$2="(All)",$C$2="All Libraries"),SUMIFS(SummarySource[Value],SummarySource[Year],"24/25",SummarySource[Metric],"EB_Young",SummarySource[Value],"&gt;0",SummarySource[Matched Both Years],1),SUMIFS(SummarySource[Value],SummarySource[Year],"24/25",SummarySource[Metric],"EB_Young",SummarySource[Value],"&gt;0",SummarySource[Matched Both Years],1,SummarySource[Library Service],$C$2))</f>
        <v>143290</v>
      </c>
      <c r="S39" s="51">
        <f>IF(OR($C$2="",$C$2="(All)",$C$2="All Libraries"),SUMIFS(SummarySource[Value],SummarySource[Year],"25/26",SummarySource[Metric],"EB_Young",SummarySource[Value],"&gt;0",SummarySource[Matched Both Years],1),SUMIFS(SummarySource[Value],SummarySource[Year],"25/26",SummarySource[Metric],"EB_Young",SummarySource[Value],"&gt;0",SummarySource[Matched Both Years],1,SummarySource[Library Service],$C$2))</f>
        <v>89434</v>
      </c>
      <c r="T39" s="151">
        <f t="shared" si="7"/>
        <v>-0.37585316491032172</v>
      </c>
    </row>
    <row r="40" spans="7:20" ht="16" thickBot="1" x14ac:dyDescent="0.4">
      <c r="G40" s="63" t="s">
        <v>2850</v>
      </c>
      <c r="H40" s="116">
        <f>IF(OR($C$2="",$C$2="(All)",$C$2="All Libraries"),COUNTIFS(SummarySource[Year],"24/25",SummarySource[Metric],"EB_Adult",SummarySource[Value],"&gt;0"),COUNTIFS(SummarySource[Year],"24/25",SummarySource[Metric],"EB_Adult",SummarySource[Value],"&gt;0",SummarySource[Library Service],$C$2))</f>
        <v>59</v>
      </c>
      <c r="I40" s="60">
        <f>IF(OR($C$2="",$C$2="(All)",$C$2="All Libraries"),SUMIFS(SummarySource[Value],SummarySource[Year],"24/25",SummarySource[Metric],"EB_Adult"),SUMIFS(SummarySource[Value],SummarySource[Year],"24/25",SummarySource[Metric],"EB_Adult",SummarySource[Library Service],$C$2))</f>
        <v>158829</v>
      </c>
      <c r="J40" s="117">
        <f>IF(OR($C$2="",$C$2="(All)",$C$2="All Libraries"),COUNTIFS(SummarySource[Year],"25/26",SummarySource[Metric],"EB_Adult",SummarySource[Value],"&gt;0"),COUNTIFS(SummarySource[Year],"25/26",SummarySource[Metric],"EB_Adult",SummarySource[Value],"&gt;0",SummarySource[Library Service],$C$2))</f>
        <v>59</v>
      </c>
      <c r="K40" s="60">
        <f>IF(OR($C$2="",$C$2="(All)",$C$2="All Libraries"),SUMIFS(SummarySource[Value],SummarySource[Year],"25/26",SummarySource[Metric],"EB_Adult"),SUMIFS(SummarySource[Value],SummarySource[Year],"25/26",SummarySource[Metric],"EB_Adult",SummarySource[Library Service],$C$2))</f>
        <v>3145095</v>
      </c>
      <c r="L40" s="138">
        <f t="shared" si="6"/>
        <v>18.80176793910432</v>
      </c>
      <c r="N40" s="40"/>
      <c r="O40" s="39" t="s">
        <v>2850</v>
      </c>
      <c r="P40" s="32"/>
      <c r="Q40" s="130">
        <f>IF(OR($C$2="",$C$2="(All)",$C$2="All Libraries"),COUNTIFS(SummarySource[Year],"24/25",SummarySource[Metric],"EB_Adult",SummarySource[Value],"&gt;0",SummarySource[Matched Both Years],1),COUNTIFS(SummarySource[Year],"24/25",SummarySource[Metric],"EB_Adult",SummarySource[Value],"&gt;0",SummarySource[Matched Both Years],1,SummarySource[Library Service],$C$2))</f>
        <v>40</v>
      </c>
      <c r="R40" s="83">
        <f>IF(OR($C$2="",$C$2="(All)",$C$2="All Libraries"),SUMIFS(SummarySource[Value],SummarySource[Year],"24/25",SummarySource[Metric],"EB_Adult",SummarySource[Value],"&gt;0",SummarySource[Matched Both Years],1),SUMIFS(SummarySource[Value],SummarySource[Year],"24/25",SummarySource[Metric],"EB_Adult",SummarySource[Value],"&gt;0",SummarySource[Matched Both Years],1,SummarySource[Library Service],$C$2))</f>
        <v>81005</v>
      </c>
      <c r="S40" s="70">
        <f>IF(OR($C$2="",$C$2="(All)",$C$2="All Libraries"),SUMIFS(SummarySource[Value],SummarySource[Year],"25/26",SummarySource[Metric],"EB_Adult",SummarySource[Value],"&gt;0",SummarySource[Matched Both Years],1),SUMIFS(SummarySource[Value],SummarySource[Year],"25/26",SummarySource[Metric],"EB_Adult",SummarySource[Value],"&gt;0",SummarySource[Matched Both Years],1,SummarySource[Library Service],$C$2))</f>
        <v>1569282</v>
      </c>
      <c r="T40" s="152">
        <f t="shared" si="7"/>
        <v>18.372656008888342</v>
      </c>
    </row>
    <row r="41" spans="7:20" ht="16" thickBot="1" x14ac:dyDescent="0.4">
      <c r="G41" s="64" t="s">
        <v>2933</v>
      </c>
      <c r="H41" s="118">
        <f>IF(OR($C$2="",$C$2="(All)",$C$2="All Libraries"),COUNTIFS(SummarySource[Year],"24/25",SummarySource[Metric],"EA_Total",SummarySource[Value],"&gt;0"),COUNTIFS(SummarySource[Year],"24/25",SummarySource[Metric],"EA_Total",SummarySource[Value],"&gt;0",SummarySource[Library Service],$C$2))</f>
        <v>106</v>
      </c>
      <c r="I41" s="55">
        <f>IF(OR($C$2="",$C$2="(All)",$C$2="All Libraries"),SUMIFS(SummarySource[Value],SummarySource[Year],"24/25",SummarySource[Metric],"EA_Total"),SUMIFS(SummarySource[Value],SummarySource[Year],"24/25",SummarySource[Metric],"EA_Total",SummarySource[Library Service],$C$2))</f>
        <v>9291937</v>
      </c>
      <c r="J41" s="118">
        <f>IF(OR($C$2="",$C$2="(All)",$C$2="All Libraries"),COUNTIFS(SummarySource[Year],"25/26",SummarySource[Metric],"EA_Total",SummarySource[Value],"&gt;0"),COUNTIFS(SummarySource[Year],"25/26",SummarySource[Metric],"EA_Total",SummarySource[Value],"&gt;0",SummarySource[Library Service],$C$2))</f>
        <v>104</v>
      </c>
      <c r="K41" s="55">
        <f>IF(OR($C$2="",$C$2="(All)",$C$2="All Libraries"),SUMIFS(SummarySource[Value],SummarySource[Year],"25/26",SummarySource[Metric],"EA_Total"),SUMIFS(SummarySource[Value],SummarySource[Year],"25/26",SummarySource[Metric],"EA_Total",SummarySource[Library Service],$C$2))</f>
        <v>9479344</v>
      </c>
      <c r="L41" s="139">
        <f t="shared" si="6"/>
        <v>2.0168776434881019E-2</v>
      </c>
      <c r="N41" s="35" t="s">
        <v>2933</v>
      </c>
      <c r="O41" s="37"/>
      <c r="P41" s="32"/>
      <c r="Q41" s="131">
        <f>IF(OR($C$2="",$C$2="(All)",$C$2="All Libraries"),COUNTIFS(SummarySource[Year],"24/25",SummarySource[Metric],"EA_Total",SummarySource[Value],"&gt;0",SummarySource[Matched Both Years],1),COUNTIFS(SummarySource[Year],"24/25",SummarySource[Metric],"EA_Total",SummarySource[Value],"&gt;0",SummarySource[Matched Both Years],1,SummarySource[Library Service],$C$2))</f>
        <v>79</v>
      </c>
      <c r="R41" s="84">
        <f>IF(OR($C$2="",$C$2="(All)",$C$2="All Libraries"),SUMIFS(SummarySource[Value],SummarySource[Year],"24/25",SummarySource[Metric],"EA_Total",SummarySource[Value],"&gt;0",SummarySource[Matched Both Years],1),SUMIFS(SummarySource[Value],SummarySource[Year],"24/25",SummarySource[Metric],"EA_Total",SummarySource[Value],"&gt;0",SummarySource[Matched Both Years],1,SummarySource[Library Service],$C$2))</f>
        <v>6646488</v>
      </c>
      <c r="S41" s="68">
        <f>IF(OR($C$2="",$C$2="(All)",$C$2="All Libraries"),SUMIFS(SummarySource[Value],SummarySource[Year],"25/26",SummarySource[Metric],"EA_Total",SummarySource[Value],"&gt;0",SummarySource[Matched Both Years],1),SUMIFS(SummarySource[Value],SummarySource[Year],"25/26",SummarySource[Metric],"EA_Total",SummarySource[Value],"&gt;0",SummarySource[Matched Both Years],1,SummarySource[Library Service],$C$2))</f>
        <v>7146465</v>
      </c>
      <c r="T41" s="153">
        <f t="shared" si="7"/>
        <v>7.5224238725775106E-2</v>
      </c>
    </row>
    <row r="42" spans="7:20" ht="16" thickBot="1" x14ac:dyDescent="0.4">
      <c r="G42" s="65" t="s">
        <v>2843</v>
      </c>
      <c r="H42" s="119">
        <f>IF(OR($C$2="",$C$2="(All)",$C$2="All Libraries"),COUNTIFS(SummarySource[Year],"24/25",SummarySource[Metric],"EA_Child",SummarySource[Value],"&gt;0"),COUNTIFS(SummarySource[Year],"24/25",SummarySource[Metric],"EA_Child",SummarySource[Value],"&gt;0",SummarySource[Library Service],$C$2))</f>
        <v>65</v>
      </c>
      <c r="I42" s="56">
        <f>IF(OR($C$2="",$C$2="(All)",$C$2="All Libraries"),SUMIFS(SummarySource[Value],SummarySource[Year],"24/25",SummarySource[Metric],"EA_Child"),SUMIFS(SummarySource[Value],SummarySource[Year],"24/25",SummarySource[Metric],"EA_Child",SummarySource[Library Service],$C$2))</f>
        <v>4639511</v>
      </c>
      <c r="J42" s="119">
        <f>IF(OR($C$2="",$C$2="(All)",$C$2="All Libraries"),COUNTIFS(SummarySource[Year],"25/26",SummarySource[Metric],"EA_Child",SummarySource[Value],"&gt;0"),COUNTIFS(SummarySource[Year],"25/26",SummarySource[Metric],"EA_Child",SummarySource[Value],"&gt;0",SummarySource[Library Service],$C$2))</f>
        <v>58</v>
      </c>
      <c r="K42" s="56">
        <f>IF(OR($C$2="",$C$2="(All)",$C$2="All Libraries"),SUMIFS(SummarySource[Value],SummarySource[Year],"25/26",SummarySource[Metric],"EA_Child"),SUMIFS(SummarySource[Value],SummarySource[Year],"25/26",SummarySource[Metric],"EA_Child",SummarySource[Library Service],$C$2))</f>
        <v>797639</v>
      </c>
      <c r="L42" s="140">
        <f t="shared" si="6"/>
        <v>-0.82807692448622283</v>
      </c>
      <c r="N42" s="40"/>
      <c r="O42" s="39" t="s">
        <v>2843</v>
      </c>
      <c r="P42" s="32"/>
      <c r="Q42" s="128">
        <f>IF(OR($C$2="",$C$2="(All)",$C$2="All Libraries"),COUNTIFS(SummarySource[Year],"24/25",SummarySource[Metric],"EA_Child",SummarySource[Value],"&gt;0",SummarySource[Matched Both Years],1),COUNTIFS(SummarySource[Year],"24/25",SummarySource[Metric],"EA_Child",SummarySource[Value],"&gt;0",SummarySource[Matched Both Years],1,SummarySource[Library Service],$C$2))</f>
        <v>42</v>
      </c>
      <c r="R42" s="81">
        <f>IF(OR($C$2="",$C$2="(All)",$C$2="All Libraries"),SUMIFS(SummarySource[Value],SummarySource[Year],"24/25",SummarySource[Metric],"EA_Child",SummarySource[Value],"&gt;0",SummarySource[Matched Both Years],1),SUMIFS(SummarySource[Value],SummarySource[Year],"24/25",SummarySource[Metric],"EA_Child",SummarySource[Value],"&gt;0",SummarySource[Matched Both Years],1,SummarySource[Library Service],$C$2))</f>
        <v>2193030</v>
      </c>
      <c r="S42" s="69">
        <f>IF(OR($C$2="",$C$2="(All)",$C$2="All Libraries"),SUMIFS(SummarySource[Value],SummarySource[Year],"25/26",SummarySource[Metric],"EA_Child",SummarySource[Value],"&gt;0",SummarySource[Matched Both Years],1),SUMIFS(SummarySource[Value],SummarySource[Year],"25/26",SummarySource[Metric],"EA_Child",SummarySource[Value],"&gt;0",SummarySource[Matched Both Years],1,SummarySource[Library Service],$C$2))</f>
        <v>430018</v>
      </c>
      <c r="T42" s="150">
        <f t="shared" si="7"/>
        <v>-0.80391604310018561</v>
      </c>
    </row>
    <row r="43" spans="7:20" ht="16" thickBot="1" x14ac:dyDescent="0.4">
      <c r="G43" s="66" t="s">
        <v>2849</v>
      </c>
      <c r="H43" s="110">
        <f>IF(OR($C$2="",$C$2="(All)",$C$2="All Libraries"),COUNTIFS(SummarySource[Year],"24/25",SummarySource[Metric],"EA_Young",SummarySource[Value],"&gt;0"),COUNTIFS(SummarySource[Year],"24/25",SummarySource[Metric],"EA_Young",SummarySource[Value],"&gt;0",SummarySource[Library Service],$C$2))</f>
        <v>63</v>
      </c>
      <c r="I43" s="50">
        <f>IF(OR($C$2="",$C$2="(All)",$C$2="All Libraries"),SUMIFS(SummarySource[Value],SummarySource[Year],"24/25",SummarySource[Metric],"EA_Young"),SUMIFS(SummarySource[Value],SummarySource[Year],"24/25",SummarySource[Metric],"EA_Young",SummarySource[Library Service],$C$2))</f>
        <v>749044</v>
      </c>
      <c r="J43" s="110">
        <f>IF(OR($C$2="",$C$2="(All)",$C$2="All Libraries"),COUNTIFS(SummarySource[Year],"25/26",SummarySource[Metric],"EA_Young",SummarySource[Value],"&gt;0"),COUNTIFS(SummarySource[Year],"25/26",SummarySource[Metric],"EA_Young",SummarySource[Value],"&gt;0",SummarySource[Library Service],$C$2))</f>
        <v>57</v>
      </c>
      <c r="K43" s="50">
        <f>IF(OR($C$2="",$C$2="(All)",$C$2="All Libraries"),SUMIFS(SummarySource[Value],SummarySource[Year],"25/26",SummarySource[Metric],"EA_Young"),SUMIFS(SummarySource[Value],SummarySource[Year],"25/26",SummarySource[Metric],"EA_Young",SummarySource[Library Service],$C$2))</f>
        <v>252571</v>
      </c>
      <c r="L43" s="141">
        <f t="shared" si="6"/>
        <v>-0.66280886036067299</v>
      </c>
      <c r="N43" s="40"/>
      <c r="O43" s="39" t="s">
        <v>2849</v>
      </c>
      <c r="P43" s="32"/>
      <c r="Q43" s="129">
        <f>IF(OR($C$2="",$C$2="(All)",$C$2="All Libraries"),COUNTIFS(SummarySource[Year],"24/25",SummarySource[Metric],"EA_Young",SummarySource[Value],"&gt;0",SummarySource[Matched Both Years],1),COUNTIFS(SummarySource[Year],"24/25",SummarySource[Metric],"EA_Young",SummarySource[Value],"&gt;0",SummarySource[Matched Both Years],1,SummarySource[Library Service],$C$2))</f>
        <v>40</v>
      </c>
      <c r="R43" s="82">
        <f>IF(OR($C$2="",$C$2="(All)",$C$2="All Libraries"),SUMIFS(SummarySource[Value],SummarySource[Year],"24/25",SummarySource[Metric],"EA_Young",SummarySource[Value],"&gt;0",SummarySource[Matched Both Years],1),SUMIFS(SummarySource[Value],SummarySource[Year],"24/25",SummarySource[Metric],"EA_Young",SummarySource[Value],"&gt;0",SummarySource[Matched Both Years],1,SummarySource[Library Service],$C$2))</f>
        <v>308598</v>
      </c>
      <c r="S43" s="51">
        <f>IF(OR($C$2="",$C$2="(All)",$C$2="All Libraries"),SUMIFS(SummarySource[Value],SummarySource[Year],"25/26",SummarySource[Metric],"EA_Young",SummarySource[Value],"&gt;0",SummarySource[Matched Both Years],1),SUMIFS(SummarySource[Value],SummarySource[Year],"25/26",SummarySource[Metric],"EA_Young",SummarySource[Value],"&gt;0",SummarySource[Matched Both Years],1,SummarySource[Library Service],$C$2))</f>
        <v>119374</v>
      </c>
      <c r="T43" s="151">
        <f t="shared" si="7"/>
        <v>-0.61317312490683673</v>
      </c>
    </row>
    <row r="44" spans="7:20" ht="16" thickBot="1" x14ac:dyDescent="0.4">
      <c r="G44" s="67" t="s">
        <v>2850</v>
      </c>
      <c r="H44" s="120">
        <f>IF(OR($C$2="",$C$2="(All)",$C$2="All Libraries"),COUNTIFS(SummarySource[Year],"24/25",SummarySource[Metric],"EA_Adult",SummarySource[Value],"&gt;0"),COUNTIFS(SummarySource[Year],"24/25",SummarySource[Metric],"EA_Adult",SummarySource[Value],"&gt;0",SummarySource[Library Service],$C$2))</f>
        <v>59</v>
      </c>
      <c r="I44" s="57">
        <f>IF(OR($C$2="",$C$2="(All)",$C$2="All Libraries"),SUMIFS(SummarySource[Value],SummarySource[Year],"24/25",SummarySource[Metric],"EA_Adult"),SUMIFS(SummarySource[Value],SummarySource[Year],"24/25",SummarySource[Metric],"EA_Adult",SummarySource[Library Service],$C$2))</f>
        <v>241900</v>
      </c>
      <c r="J44" s="120">
        <f>IF(OR($C$2="",$C$2="(All)",$C$2="All Libraries"),COUNTIFS(SummarySource[Year],"25/26",SummarySource[Metric],"EA_Adult",SummarySource[Value],"&gt;0"),COUNTIFS(SummarySource[Year],"25/26",SummarySource[Metric],"EA_Adult",SummarySource[Value],"&gt;0",SummarySource[Library Service],$C$2))</f>
        <v>59</v>
      </c>
      <c r="K44" s="57">
        <f>IF(OR($C$2="",$C$2="(All)",$C$2="All Libraries"),SUMIFS(SummarySource[Value],SummarySource[Year],"25/26",SummarySource[Metric],"EA_Adult"),SUMIFS(SummarySource[Value],SummarySource[Year],"25/26",SummarySource[Metric],"EA_Adult",SummarySource[Library Service],$C$2))</f>
        <v>4644780</v>
      </c>
      <c r="L44" s="142">
        <f t="shared" si="6"/>
        <v>18.201240181893343</v>
      </c>
      <c r="N44" s="40"/>
      <c r="O44" s="39" t="s">
        <v>2850</v>
      </c>
      <c r="P44" s="32"/>
      <c r="Q44" s="130">
        <f>IF(OR($C$2="",$C$2="(All)",$C$2="All Libraries"),COUNTIFS(SummarySource[Year],"24/25",SummarySource[Metric],"EA_Adult",SummarySource[Value],"&gt;0",SummarySource[Matched Both Years],1),COUNTIFS(SummarySource[Year],"24/25",SummarySource[Metric],"EA_Adult",SummarySource[Value],"&gt;0",SummarySource[Matched Both Years],1,SummarySource[Library Service],$C$2))</f>
        <v>40</v>
      </c>
      <c r="R44" s="83">
        <f>IF(OR($C$2="",$C$2="(All)",$C$2="All Libraries"),SUMIFS(SummarySource[Value],SummarySource[Year],"24/25",SummarySource[Metric],"EA_Adult",SummarySource[Value],"&gt;0",SummarySource[Matched Both Years],1),SUMIFS(SummarySource[Value],SummarySource[Year],"24/25",SummarySource[Metric],"EA_Adult",SummarySource[Value],"&gt;0",SummarySource[Matched Both Years],1,SummarySource[Library Service],$C$2))</f>
        <v>108750</v>
      </c>
      <c r="S44" s="70">
        <f>IF(OR($C$2="",$C$2="(All)",$C$2="All Libraries"),SUMIFS(SummarySource[Value],SummarySource[Year],"25/26",SummarySource[Metric],"EA_Adult",SummarySource[Value],"&gt;0",SummarySource[Matched Both Years],1),SUMIFS(SummarySource[Value],SummarySource[Year],"25/26",SummarySource[Metric],"EA_Adult",SummarySource[Value],"&gt;0",SummarySource[Matched Both Years],1,SummarySource[Library Service],$C$2))</f>
        <v>2582681</v>
      </c>
      <c r="T44" s="152">
        <f t="shared" si="7"/>
        <v>22.7487908045977</v>
      </c>
    </row>
    <row r="45" spans="7:20" ht="7" customHeight="1" thickBot="1" x14ac:dyDescent="0.4">
      <c r="H45" s="2"/>
      <c r="I45" s="2"/>
      <c r="J45" s="2"/>
      <c r="K45" s="2"/>
      <c r="L45" s="136"/>
      <c r="Q45" s="2"/>
      <c r="R45" s="2"/>
      <c r="S45" s="2"/>
      <c r="T45" s="136"/>
    </row>
    <row r="46" spans="7:20" ht="16" thickBot="1" x14ac:dyDescent="0.4">
      <c r="G46" s="73" t="s">
        <v>2934</v>
      </c>
      <c r="H46" s="121">
        <f>IF(OR($C$2="",$C$2="(All)",$C$2="All Libraries"),COUNTIFS(SummarySource[Year],"24/25",SummarySource[Metric],"VIS_Lib",SummarySource[Value],"&gt;0"),COUNTIFS(SummarySource[Year],"24/25",SummarySource[Metric],"VIS_Lib",SummarySource[Value],"&gt;0",SummarySource[Library Service],$C$2))</f>
        <v>106</v>
      </c>
      <c r="I46" s="71">
        <f>IF(OR($C$2="",$C$2="(All)",$C$2="All Libraries"),SUMIFS(SummarySource[Value],SummarySource[Year],"24/25",SummarySource[Metric],"VIS_Lib"),SUMIFS(SummarySource[Value],SummarySource[Year],"24/25",SummarySource[Metric],"VIS_Lib",SummarySource[Library Service],$C$2))</f>
        <v>70269226</v>
      </c>
      <c r="J46" s="121">
        <f>IF(OR($C$2="",$C$2="(All)",$C$2="All Libraries"),COUNTIFS(SummarySource[Year],"25/26",SummarySource[Metric],"VIS_Lib",SummarySource[Value],"&gt;0"),COUNTIFS(SummarySource[Year],"25/26",SummarySource[Metric],"VIS_Lib",SummarySource[Value],"&gt;0",SummarySource[Library Service],$C$2))</f>
        <v>103</v>
      </c>
      <c r="K46" s="71">
        <f>IF(OR($C$2="",$C$2="(All)",$C$2="All Libraries"),SUMIFS(SummarySource[Value],SummarySource[Year],"25/26",SummarySource[Metric],"VIS_Lib"),SUMIFS(SummarySource[Value],SummarySource[Year],"25/26",SummarySource[Metric],"VIS_Lib",SummarySource[Library Service],$C$2))</f>
        <v>67424526</v>
      </c>
      <c r="L46" s="143">
        <f>IFERROR(K46/I46-1,"")</f>
        <v>-4.0482870837370566E-2</v>
      </c>
      <c r="N46" s="35" t="s">
        <v>2934</v>
      </c>
      <c r="O46" s="37"/>
      <c r="P46" s="32"/>
      <c r="Q46" s="121">
        <f>IF(OR($C$2="",$C$2="(All)",$C$2="All Libraries"),COUNTIFS(SummarySource[Year],"24/25",SummarySource[Metric],"VIS_Lib",SummarySource[Value],"&gt;0",SummarySource[Matched Both Years],1),COUNTIFS(SummarySource[Year],"24/25",SummarySource[Metric],"VIS_Lib",SummarySource[Value],"&gt;0",SummarySource[Matched Both Years],1,SummarySource[Library Service],$C$2))</f>
        <v>83</v>
      </c>
      <c r="R46" s="85">
        <f>IF(OR($C$2="",$C$2="(All)",$C$2="All Libraries"),SUMIFS(SummarySource[Value],SummarySource[Year],"24/25",SummarySource[Metric],"VIS_Lib",SummarySource[Value],"&gt;0",SummarySource[Matched Both Years],1),SUMIFS(SummarySource[Value],SummarySource[Year],"24/25",SummarySource[Metric],"VIS_Lib",SummarySource[Value],"&gt;0",SummarySource[Matched Both Years],1,SummarySource[Library Service],$C$2))</f>
        <v>55517278</v>
      </c>
      <c r="S46" s="71">
        <f>IF(OR($C$2="",$C$2="(All)",$C$2="All Libraries"),SUMIFS(SummarySource[Value],SummarySource[Year],"25/26",SummarySource[Metric],"VIS_Lib",SummarySource[Value],"&gt;0",SummarySource[Matched Both Years],1),SUMIFS(SummarySource[Value],SummarySource[Year],"25/26",SummarySource[Metric],"VIS_Lib",SummarySource[Value],"&gt;0",SummarySource[Matched Both Years],1,SummarySource[Library Service],$C$2))</f>
        <v>51844211</v>
      </c>
      <c r="T46" s="143">
        <f>IFERROR(S46/R46-1,"")</f>
        <v>-6.6160790520025103E-2</v>
      </c>
    </row>
    <row r="47" spans="7:20" ht="16" thickBot="1" x14ac:dyDescent="0.4">
      <c r="G47" s="74" t="s">
        <v>2935</v>
      </c>
      <c r="H47" s="122">
        <f>IF(OR($C$2="",$C$2="(All)",$C$2="All Libraries"),COUNTIFS(SummarySource[Year],"24/25",SummarySource[Metric],"VIS_Co",SummarySource[Value],"&gt;0"),COUNTIFS(SummarySource[Year],"24/25",SummarySource[Metric],"VIS_Co",SummarySource[Value],"&gt;0",SummarySource[Library Service],$C$2))</f>
        <v>73</v>
      </c>
      <c r="I47" s="34">
        <f>IF(OR($C$2="",$C$2="(All)",$C$2="All Libraries"),SUMIFS(SummarySource[Value],SummarySource[Year],"24/25",SummarySource[Metric],"VIS_Co"),SUMIFS(SummarySource[Value],SummarySource[Year],"24/25",SummarySource[Metric],"VIS_Co",SummarySource[Library Service],$C$2))</f>
        <v>33073785</v>
      </c>
      <c r="J47" s="122">
        <f>IF(OR($C$2="",$C$2="(All)",$C$2="All Libraries"),COUNTIFS(SummarySource[Year],"25/26",SummarySource[Metric],"VIS_Co",SummarySource[Value],"&gt;0"),COUNTIFS(SummarySource[Year],"25/26",SummarySource[Metric],"VIS_Co",SummarySource[Value],"&gt;0",SummarySource[Library Service],$C$2))</f>
        <v>60</v>
      </c>
      <c r="K47" s="34">
        <f>IF(OR($C$2="",$C$2="(All)",$C$2="All Libraries"),SUMIFS(SummarySource[Value],SummarySource[Year],"25/26",SummarySource[Metric],"VIS_Co"),SUMIFS(SummarySource[Value],SummarySource[Year],"25/26",SummarySource[Metric],"VIS_Co",SummarySource[Library Service],$C$2))</f>
        <v>26341500</v>
      </c>
      <c r="L47" s="144">
        <f>IFERROR(K47/I47-1,"")</f>
        <v>-0.20355350922188076</v>
      </c>
      <c r="N47" s="35" t="s">
        <v>2935</v>
      </c>
      <c r="O47" s="37"/>
      <c r="P47" s="32"/>
      <c r="Q47" s="122">
        <f>IF(OR($C$2="",$C$2="(All)",$C$2="All Libraries"),COUNTIFS(SummarySource[Year],"24/25",SummarySource[Metric],"VIS_Co",SummarySource[Value],"&gt;0",SummarySource[Matched Both Years],1),COUNTIFS(SummarySource[Year],"24/25",SummarySource[Metric],"VIS_Co",SummarySource[Value],"&gt;0",SummarySource[Matched Both Years],1,SummarySource[Library Service],$C$2))</f>
        <v>50</v>
      </c>
      <c r="R47" s="86">
        <f>IF(OR($C$2="",$C$2="(All)",$C$2="All Libraries"),SUMIFS(SummarySource[Value],SummarySource[Year],"24/25",SummarySource[Metric],"VIS_Co",SummarySource[Value],"&gt;0",SummarySource[Matched Both Years],1),SUMIFS(SummarySource[Value],SummarySource[Year],"24/25",SummarySource[Metric],"VIS_Co",SummarySource[Value],"&gt;0",SummarySource[Matched Both Years],1,SummarySource[Library Service],$C$2))</f>
        <v>19754930</v>
      </c>
      <c r="S47" s="34">
        <f>IF(OR($C$2="",$C$2="(All)",$C$2="All Libraries"),SUMIFS(SummarySource[Value],SummarySource[Year],"25/26",SummarySource[Metric],"VIS_Co",SummarySource[Value],"&gt;0",SummarySource[Matched Both Years],1),SUMIFS(SummarySource[Value],SummarySource[Year],"25/26",SummarySource[Metric],"VIS_Co",SummarySource[Value],"&gt;0",SummarySource[Matched Both Years],1,SummarySource[Library Service],$C$2))</f>
        <v>24174275</v>
      </c>
      <c r="T47" s="144">
        <f>IFERROR(S47/R47-1,"")</f>
        <v>0.22370846163464009</v>
      </c>
    </row>
    <row r="48" spans="7:20" ht="7.5" customHeight="1" thickBot="1" x14ac:dyDescent="0.4">
      <c r="H48" s="2"/>
      <c r="I48" s="2"/>
      <c r="J48" s="2"/>
      <c r="K48" s="2"/>
      <c r="L48" s="136"/>
      <c r="Q48" s="2"/>
      <c r="R48" s="2"/>
      <c r="S48" s="2"/>
      <c r="T48" s="136"/>
    </row>
    <row r="49" spans="7:20" ht="16" thickBot="1" x14ac:dyDescent="0.4">
      <c r="G49" s="73" t="s">
        <v>2851</v>
      </c>
      <c r="H49" s="121">
        <f>IF(OR($C$2="",$C$2="(All)",$C$2="All Libraries"),COUNTIFS(SummarySource[Year],"24/25",SummarySource[Metric],"ADD_Click",SummarySource[Value],"&gt;0"),COUNTIFS(SummarySource[Year],"24/25",SummarySource[Metric],"ADD_Click",SummarySource[Value],"&gt;0",SummarySource[Library Service],$C$2))</f>
        <v>9</v>
      </c>
      <c r="I49" s="71">
        <f>IF(OR($C$2="",$C$2="(All)",$C$2="All Libraries"),SUMIFS(SummarySource[Value],SummarySource[Year],"24/25",SummarySource[Metric],"ADD_Click"),SUMIFS(SummarySource[Value],SummarySource[Year],"24/25",SummarySource[Metric],"ADD_Click",SummarySource[Library Service],$C$2))</f>
        <v>452681</v>
      </c>
      <c r="J49" s="121">
        <f>IF(OR($C$2="",$C$2="(All)",$C$2="All Libraries"),COUNTIFS(SummarySource[Year],"25/26",SummarySource[Metric],"ADD_Click",SummarySource[Value],"&gt;0"),COUNTIFS(SummarySource[Year],"25/26",SummarySource[Metric],"ADD_Click",SummarySource[Value],"&gt;0",SummarySource[Library Service],$C$2))</f>
        <v>5</v>
      </c>
      <c r="K49" s="71">
        <f>IF(OR($C$2="",$C$2="(All)",$C$2="All Libraries"),SUMIFS(SummarySource[Value],SummarySource[Year],"25/26",SummarySource[Metric],"ADD_Click"),SUMIFS(SummarySource[Value],SummarySource[Year],"25/26",SummarySource[Metric],"ADD_Click",SummarySource[Library Service],$C$2))</f>
        <v>242708</v>
      </c>
      <c r="L49" s="143">
        <f>IFERROR(K49/I49-1,"")</f>
        <v>-0.46384319200496593</v>
      </c>
      <c r="N49" s="35" t="s">
        <v>2851</v>
      </c>
      <c r="O49" s="37"/>
      <c r="P49" s="32"/>
      <c r="Q49" s="121">
        <f>IF(OR($C$2="",$C$2="(All)",$C$2="All Libraries"),COUNTIFS(SummarySource[Year],"24/25",SummarySource[Metric],"ADD_Click",SummarySource[Value],"&gt;0",SummarySource[Matched Both Years],1),COUNTIFS(SummarySource[Year],"24/25",SummarySource[Metric],"ADD_Click",SummarySource[Value],"&gt;0",SummarySource[Matched Both Years],1,SummarySource[Library Service],$C$2))</f>
        <v>4</v>
      </c>
      <c r="R49" s="85">
        <f>IF(OR($C$2="",$C$2="(All)",$C$2="All Libraries"),SUMIFS(SummarySource[Value],SummarySource[Year],"24/25",SummarySource[Metric],"ADD_Click",SummarySource[Value],"&gt;0",SummarySource[Matched Both Years],1),SUMIFS(SummarySource[Value],SummarySource[Year],"24/25",SummarySource[Metric],"ADD_Click",SummarySource[Value],"&gt;0",SummarySource[Matched Both Years],1,SummarySource[Library Service],$C$2))</f>
        <v>216238</v>
      </c>
      <c r="S49" s="71">
        <f>IF(OR($C$2="",$C$2="(All)",$C$2="All Libraries"),SUMIFS(SummarySource[Value],SummarySource[Year],"25/26",SummarySource[Metric],"ADD_Click",SummarySource[Value],"&gt;0",SummarySource[Matched Both Years],1),SUMIFS(SummarySource[Value],SummarySource[Year],"25/26",SummarySource[Metric],"ADD_Click",SummarySource[Value],"&gt;0",SummarySource[Matched Both Years],1,SummarySource[Library Service],$C$2))</f>
        <v>242406</v>
      </c>
      <c r="T49" s="143">
        <f>IFERROR(S49/R49-1,"")</f>
        <v>0.12101480775811835</v>
      </c>
    </row>
    <row r="50" spans="7:20" ht="16" thickBot="1" x14ac:dyDescent="0.4">
      <c r="G50" s="75" t="s">
        <v>2852</v>
      </c>
      <c r="H50" s="123">
        <f>IF(OR($C$2="",$C$2="(All)",$C$2="All Libraries"),COUNTIFS(SummarySource[Year],"24/25",SummarySource[Metric],"ADD_Mobile",SummarySource[Value],"&gt;0"),COUNTIFS(SummarySource[Year],"24/25",SummarySource[Metric],"ADD_Mobile",SummarySource[Value],"&gt;0",SummarySource[Library Service],$C$2))</f>
        <v>26</v>
      </c>
      <c r="I50" s="72">
        <f>IF(OR($C$2="",$C$2="(All)",$C$2="All Libraries"),SUMIFS(SummarySource[Value],SummarySource[Year],"24/25",SummarySource[Metric],"ADD_Mobile"),SUMIFS(SummarySource[Value],SummarySource[Year],"24/25",SummarySource[Metric],"ADD_Mobile",SummarySource[Library Service],$C$2))</f>
        <v>372790</v>
      </c>
      <c r="J50" s="123">
        <f>IF(OR($C$2="",$C$2="(All)",$C$2="All Libraries"),COUNTIFS(SummarySource[Year],"25/26",SummarySource[Metric],"ADD_Mobile",SummarySource[Value],"&gt;0"),COUNTIFS(SummarySource[Year],"25/26",SummarySource[Metric],"ADD_Mobile",SummarySource[Value],"&gt;0",SummarySource[Library Service],$C$2))</f>
        <v>24</v>
      </c>
      <c r="K50" s="72">
        <f>IF(OR($C$2="",$C$2="(All)",$C$2="All Libraries"),SUMIFS(SummarySource[Value],SummarySource[Year],"25/26",SummarySource[Metric],"ADD_Mobile"),SUMIFS(SummarySource[Value],SummarySource[Year],"25/26",SummarySource[Metric],"ADD_Mobile",SummarySource[Library Service],$C$2))</f>
        <v>418453</v>
      </c>
      <c r="L50" s="145">
        <f>IFERROR(K50/I50-1,"")</f>
        <v>0.1224898736554092</v>
      </c>
      <c r="N50" s="35" t="s">
        <v>2852</v>
      </c>
      <c r="O50" s="37"/>
      <c r="P50" s="32"/>
      <c r="Q50" s="123">
        <f>IF(OR($C$2="",$C$2="(All)",$C$2="All Libraries"),COUNTIFS(SummarySource[Year],"24/25",SummarySource[Metric],"ADD_Mobile",SummarySource[Value],"&gt;0",SummarySource[Matched Both Years],1),COUNTIFS(SummarySource[Year],"24/25",SummarySource[Metric],"ADD_Mobile",SummarySource[Value],"&gt;0",SummarySource[Matched Both Years],1,SummarySource[Library Service],$C$2))</f>
        <v>19</v>
      </c>
      <c r="R50" s="87">
        <f>IF(OR($C$2="",$C$2="(All)",$C$2="All Libraries"),SUMIFS(SummarySource[Value],SummarySource[Year],"24/25",SummarySource[Metric],"ADD_Mobile",SummarySource[Value],"&gt;0",SummarySource[Matched Both Years],1),SUMIFS(SummarySource[Value],SummarySource[Year],"24/25",SummarySource[Metric],"ADD_Mobile",SummarySource[Value],"&gt;0",SummarySource[Matched Both Years],1,SummarySource[Library Service],$C$2))</f>
        <v>309279</v>
      </c>
      <c r="S50" s="72">
        <f>IF(OR($C$2="",$C$2="(All)",$C$2="All Libraries"),SUMIFS(SummarySource[Value],SummarySource[Year],"25/26",SummarySource[Metric],"ADD_Mobile",SummarySource[Value],"&gt;0",SummarySource[Matched Both Years],1),SUMIFS(SummarySource[Value],SummarySource[Year],"25/26",SummarySource[Metric],"ADD_Mobile",SummarySource[Value],"&gt;0",SummarySource[Matched Both Years],1,SummarySource[Library Service],$C$2))</f>
        <v>346316</v>
      </c>
      <c r="T50" s="145">
        <f>IFERROR(S50/R50-1,"")</f>
        <v>0.11975271518596475</v>
      </c>
    </row>
    <row r="51" spans="7:20" ht="16" thickBot="1" x14ac:dyDescent="0.4">
      <c r="G51" s="74" t="s">
        <v>2853</v>
      </c>
      <c r="H51" s="122">
        <f>IF(OR($C$2="",$C$2="(All)",$C$2="All Libraries"),COUNTIFS(SummarySource[Year],"24/25",SummarySource[Metric],"ADD_Home",SummarySource[Value],"&gt;0"),COUNTIFS(SummarySource[Year],"24/25",SummarySource[Metric],"ADD_Home",SummarySource[Value],"&gt;0",SummarySource[Library Service],$C$2))</f>
        <v>89</v>
      </c>
      <c r="I51" s="34">
        <f>IF(OR($C$2="",$C$2="(All)",$C$2="All Libraries"),SUMIFS(SummarySource[Value],SummarySource[Year],"24/25",SummarySource[Metric],"ADD_Home"),SUMIFS(SummarySource[Value],SummarySource[Year],"24/25",SummarySource[Metric],"ADD_Home",SummarySource[Library Service],$C$2))</f>
        <v>396971</v>
      </c>
      <c r="J51" s="122">
        <f>IF(OR($C$2="",$C$2="(All)",$C$2="All Libraries"),COUNTIFS(SummarySource[Year],"25/26",SummarySource[Metric],"ADD_Home",SummarySource[Value],"&gt;0"),COUNTIFS(SummarySource[Year],"25/26",SummarySource[Metric],"ADD_Home",SummarySource[Value],"&gt;0",SummarySource[Library Service],$C$2))</f>
        <v>82</v>
      </c>
      <c r="K51" s="34">
        <f>IF(OR($C$2="",$C$2="(All)",$C$2="All Libraries"),SUMIFS(SummarySource[Value],SummarySource[Year],"25/26",SummarySource[Metric],"ADD_Home"),SUMIFS(SummarySource[Value],SummarySource[Year],"25/26",SummarySource[Metric],"ADD_Home",SummarySource[Library Service],$C$2))</f>
        <v>359428</v>
      </c>
      <c r="L51" s="144">
        <f>IFERROR(K51/I51-1,"")</f>
        <v>-9.4573659033027613E-2</v>
      </c>
      <c r="N51" s="35" t="s">
        <v>2853</v>
      </c>
      <c r="O51" s="37"/>
      <c r="P51" s="32"/>
      <c r="Q51" s="122">
        <f>IF(OR($C$2="",$C$2="(All)",$C$2="All Libraries"),COUNTIFS(SummarySource[Year],"24/25",SummarySource[Metric],"ADD_Home",SummarySource[Value],"&gt;0",SummarySource[Matched Both Years],1),COUNTIFS(SummarySource[Year],"24/25",SummarySource[Metric],"ADD_Home",SummarySource[Value],"&gt;0",SummarySource[Matched Both Years],1,SummarySource[Library Service],$C$2))</f>
        <v>66</v>
      </c>
      <c r="R51" s="86">
        <f>IF(OR($C$2="",$C$2="(All)",$C$2="All Libraries"),SUMIFS(SummarySource[Value],SummarySource[Year],"24/25",SummarySource[Metric],"ADD_Home",SummarySource[Value],"&gt;0",SummarySource[Matched Both Years],1),SUMIFS(SummarySource[Value],SummarySource[Year],"24/25",SummarySource[Metric],"ADD_Home",SummarySource[Value],"&gt;0",SummarySource[Matched Both Years],1,SummarySource[Library Service],$C$2))</f>
        <v>290719</v>
      </c>
      <c r="S51" s="34">
        <f>IF(OR($C$2="",$C$2="(All)",$C$2="All Libraries"),SUMIFS(SummarySource[Value],SummarySource[Year],"25/26",SummarySource[Metric],"ADD_Home",SummarySource[Value],"&gt;0",SummarySource[Matched Both Years],1),SUMIFS(SummarySource[Value],SummarySource[Year],"25/26",SummarySource[Metric],"ADD_Home",SummarySource[Value],"&gt;0",SummarySource[Matched Both Years],1,SummarySource[Library Service],$C$2))</f>
        <v>219677</v>
      </c>
      <c r="T51" s="144">
        <f>IFERROR(S51/R51-1,"")</f>
        <v>-0.24436655326965218</v>
      </c>
    </row>
    <row r="52" spans="7:20" ht="7.5" customHeight="1" thickBot="1" x14ac:dyDescent="0.4">
      <c r="H52" s="2"/>
      <c r="I52" s="2"/>
      <c r="J52" s="2"/>
      <c r="K52" s="2"/>
      <c r="L52" s="136"/>
      <c r="Q52" s="2"/>
      <c r="R52" s="2"/>
      <c r="S52" s="2"/>
      <c r="T52" s="136"/>
    </row>
    <row r="53" spans="7:20" ht="16" thickBot="1" x14ac:dyDescent="0.4">
      <c r="G53" s="73" t="s">
        <v>2937</v>
      </c>
      <c r="H53" s="121">
        <f>IF(OR($C$2="",$C$2="(All)",$C$2="All Libraries"),COUNTIFS(SummarySource[Year],"24/25",SummarySource[Metric],"PC_Hours",SummarySource[Value],"&gt;0"),COUNTIFS(SummarySource[Year],"24/25",SummarySource[Metric],"PC_Hours",SummarySource[Value],"&gt;0",SummarySource[Library Service],$C$2))</f>
        <v>101</v>
      </c>
      <c r="I53" s="71">
        <f>IF(OR($C$2="",$C$2="(All)",$C$2="All Libraries"),SUMIFS(SummarySource[Value],SummarySource[Year],"24/25",SummarySource[Metric],"PC_Hours"),SUMIFS(SummarySource[Value],SummarySource[Year],"24/25",SummarySource[Metric],"PC_Hours",SummarySource[Library Service],$C$2))</f>
        <v>6353548.75</v>
      </c>
      <c r="J53" s="121">
        <f>IF(OR($C$2="",$C$2="(All)",$C$2="All Libraries"),COUNTIFS(SummarySource[Year],"25/26",SummarySource[Metric],"PC_Hours",SummarySource[Value],"&gt;0"),COUNTIFS(SummarySource[Year],"25/26",SummarySource[Metric],"PC_Hours",SummarySource[Value],"&gt;0",SummarySource[Library Service],$C$2))</f>
        <v>104</v>
      </c>
      <c r="K53" s="71">
        <f>IF(OR($C$2="",$C$2="(All)",$C$2="All Libraries"),SUMIFS(SummarySource[Value],SummarySource[Year],"25/26",SummarySource[Metric],"PC_Hours"),SUMIFS(SummarySource[Value],SummarySource[Year],"25/26",SummarySource[Metric],"PC_Hours",SummarySource[Library Service],$C$2))</f>
        <v>9981815.4583333321</v>
      </c>
      <c r="L53" s="143">
        <f>IFERROR(K53/I53-1,"")</f>
        <v>0.57106144158149919</v>
      </c>
      <c r="N53" s="35" t="s">
        <v>2854</v>
      </c>
      <c r="O53" s="37"/>
      <c r="P53" s="32"/>
      <c r="Q53" s="121">
        <f>IF(OR($C$2="",$C$2="(All)",$C$2="All Libraries"),COUNTIFS(SummarySource[Year],"24/25",SummarySource[Metric],"PC_Hours",SummarySource[Value],"&gt;0",SummarySource[Matched Both Years],1),COUNTIFS(SummarySource[Year],"24/25",SummarySource[Metric],"PC_Hours",SummarySource[Value],"&gt;0",SummarySource[Matched Both Years],1,SummarySource[Library Service],$C$2))</f>
        <v>81</v>
      </c>
      <c r="R53" s="85">
        <f>IF(OR($C$2="",$C$2="(All)",$C$2="All Libraries"),SUMIFS(SummarySource[Value],SummarySource[Year],"24/25",SummarySource[Metric],"PC_Hours",SummarySource[Value],"&gt;0",SummarySource[Matched Both Years],1),SUMIFS(SummarySource[Value],SummarySource[Year],"24/25",SummarySource[Metric],"PC_Hours",SummarySource[Value],"&gt;0",SummarySource[Matched Both Years],1,SummarySource[Library Service],$C$2))</f>
        <v>4735536.37</v>
      </c>
      <c r="S53" s="71">
        <f>IF(OR($C$2="",$C$2="(All)",$C$2="All Libraries"),SUMIFS(SummarySource[Value],SummarySource[Year],"25/26",SummarySource[Metric],"PC_Hours",SummarySource[Value],"&gt;0",SummarySource[Matched Both Years],1),SUMIFS(SummarySource[Value],SummarySource[Year],"25/26",SummarySource[Metric],"PC_Hours",SummarySource[Value],"&gt;0",SummarySource[Matched Both Years],1,SummarySource[Library Service],$C$2))</f>
        <v>4586630.9083333332</v>
      </c>
      <c r="T53" s="143">
        <f>IFERROR(S53/R53-1,"")</f>
        <v>-3.1444265238885105E-2</v>
      </c>
    </row>
    <row r="54" spans="7:20" ht="16" thickBot="1" x14ac:dyDescent="0.4">
      <c r="G54" s="74" t="s">
        <v>2855</v>
      </c>
      <c r="H54" s="122">
        <f>IF(OR($C$2="",$C$2="(All)",$C$2="All Libraries"),COUNTIFS(SummarySource[Year],"24/25",SummarySource[Metric],"PC_Wifi",SummarySource[Value],"&gt;0"),COUNTIFS(SummarySource[Year],"24/25",SummarySource[Metric],"PC_Wifi",SummarySource[Value],"&gt;0",SummarySource[Library Service],$C$2))</f>
        <v>41</v>
      </c>
      <c r="I54" s="34">
        <f>IF(OR($C$2="",$C$2="(All)",$C$2="All Libraries"),SUMIFS(SummarySource[Value],SummarySource[Year],"24/25",SummarySource[Metric],"PC_Wifi"),SUMIFS(SummarySource[Value],SummarySource[Year],"24/25",SummarySource[Metric],"PC_Wifi",SummarySource[Library Service],$C$2))</f>
        <v>6806252</v>
      </c>
      <c r="J54" s="122">
        <f>IF(OR($C$2="",$C$2="(All)",$C$2="All Libraries"),COUNTIFS(SummarySource[Year],"25/26",SummarySource[Metric],"PC_Wifi",SummarySource[Value],"&gt;0"),COUNTIFS(SummarySource[Year],"25/26",SummarySource[Metric],"PC_Wifi",SummarySource[Value],"&gt;0",SummarySource[Library Service],$C$2))</f>
        <v>37</v>
      </c>
      <c r="K54" s="34">
        <f>IF(OR($C$2="",$C$2="(All)",$C$2="All Libraries"),SUMIFS(SummarySource[Value],SummarySource[Year],"25/26",SummarySource[Metric],"PC_Wifi"),SUMIFS(SummarySource[Value],SummarySource[Year],"25/26",SummarySource[Metric],"PC_Wifi",SummarySource[Library Service],$C$2))</f>
        <v>7695097</v>
      </c>
      <c r="L54" s="144">
        <f>IFERROR(K54/I54-1,"")</f>
        <v>0.13059243178183833</v>
      </c>
      <c r="N54" s="35" t="s">
        <v>2855</v>
      </c>
      <c r="O54" s="37"/>
      <c r="P54" s="32"/>
      <c r="Q54" s="122">
        <f>IF(OR($C$2="",$C$2="(All)",$C$2="All Libraries"),COUNTIFS(SummarySource[Year],"24/25",SummarySource[Metric],"PC_Wifi",SummarySource[Value],"&gt;0",SummarySource[Matched Both Years],1),COUNTIFS(SummarySource[Year],"24/25",SummarySource[Metric],"PC_Wifi",SummarySource[Value],"&gt;0",SummarySource[Matched Both Years],1,SummarySource[Library Service],$C$2))</f>
        <v>27</v>
      </c>
      <c r="R54" s="86">
        <f>IF(OR($C$2="",$C$2="(All)",$C$2="All Libraries"),SUMIFS(SummarySource[Value],SummarySource[Year],"24/25",SummarySource[Metric],"PC_Wifi",SummarySource[Value],"&gt;0",SummarySource[Matched Both Years],1),SUMIFS(SummarySource[Value],SummarySource[Year],"24/25",SummarySource[Metric],"PC_Wifi",SummarySource[Value],"&gt;0",SummarySource[Matched Both Years],1,SummarySource[Library Service],$C$2))</f>
        <v>5447320</v>
      </c>
      <c r="S54" s="34">
        <f>IF(OR($C$2="",$C$2="(All)",$C$2="All Libraries"),SUMIFS(SummarySource[Value],SummarySource[Year],"25/26",SummarySource[Metric],"PC_Wifi",SummarySource[Value],"&gt;0",SummarySource[Matched Both Years],1),SUMIFS(SummarySource[Value],SummarySource[Year],"25/26",SummarySource[Metric],"PC_Wifi",SummarySource[Value],"&gt;0",SummarySource[Matched Both Years],1,SummarySource[Library Service],$C$2))</f>
        <v>7068210</v>
      </c>
      <c r="T54" s="144">
        <f>IFERROR(S54/R54-1,"")</f>
        <v>0.29755733094439107</v>
      </c>
    </row>
    <row r="55" spans="7:20" x14ac:dyDescent="0.35"/>
    <row r="56" spans="7:20" x14ac:dyDescent="0.35"/>
  </sheetData>
  <sheetProtection algorithmName="SHA-512" hashValue="Him8M27wcNuuCT+CHtk88eSKNrS2D2TFmHOwzEhxQI+oEv3afPmc5W0scgZSLEIGvixGEQDPoAGb0tAQnTi9dw==" saltValue="tWrSh4dfSLcwovTDPwZa9w==" spinCount="100000" sheet="1" selectLockedCells="1"/>
  <mergeCells count="10">
    <mergeCell ref="B8:E30"/>
    <mergeCell ref="H3:I3"/>
    <mergeCell ref="J3:K3"/>
    <mergeCell ref="L3:L4"/>
    <mergeCell ref="Q3:Q4"/>
    <mergeCell ref="Q1:T1"/>
    <mergeCell ref="H1:L1"/>
    <mergeCell ref="T3:T4"/>
    <mergeCell ref="C2:E3"/>
    <mergeCell ref="B2:B3"/>
  </mergeCells>
  <phoneticPr fontId="19" type="noConversion"/>
  <conditionalFormatting sqref="L5:L54">
    <cfRule type="expression" dxfId="7" priority="1">
      <formula>AND(ISNUMBER(L5),L5&lt;0)</formula>
    </cfRule>
    <cfRule type="expression" dxfId="6" priority="2">
      <formula>AND(ISNUMBER(L5),L5&gt;=0,L5&lt;=5%)</formula>
    </cfRule>
    <cfRule type="expression" dxfId="5" priority="3">
      <formula>AND(ISNUMBER(L5),L5&gt;5%)</formula>
    </cfRule>
  </conditionalFormatting>
  <conditionalFormatting sqref="T5:T54">
    <cfRule type="expression" dxfId="4" priority="4">
      <formula>AND(ISNUMBER(T5),T5&lt;0)</formula>
    </cfRule>
    <cfRule type="expression" dxfId="3" priority="5">
      <formula>AND(ISNUMBER(T5),T5&gt;=0,T5&lt;=5%)</formula>
    </cfRule>
    <cfRule type="expression" dxfId="2" priority="6">
      <formula>AND(ISNUMBER(T5),T5&gt;5%)</formula>
    </cfRule>
  </conditionalFormatting>
  <dataValidations xWindow="161" yWindow="480" count="3">
    <dataValidation type="list" allowBlank="1" showInputMessage="1" showErrorMessage="1" promptTitle="Library service" prompt="Select a library service; clear the cell to return to all services." sqref="E2" xr:uid="{E5AB51E0-2E3F-4D29-BCCF-5018DF22D969}">
      <formula1>LibraryServiceList</formula1>
    </dataValidation>
    <dataValidation type="list" allowBlank="1" showErrorMessage="1" promptTitle="Library service" prompt="Select a library service." sqref="B2 D2" xr:uid="{C3632AAB-9EA5-41F7-B06F-601C09740935}">
      <formula1>LibraryServiceList</formula1>
    </dataValidation>
    <dataValidation type="list" allowBlank="1" showErrorMessage="1" errorTitle="Invalid library service" error="Select a library service from the dropdown." sqref="C2" xr:uid="{1ABB783B-FD75-42B2-8B47-74613806067F}">
      <formula1>LibraryServiceList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2156-4FE1-4F10-8FBD-8E06BE114004}">
  <dimension ref="A1:A134"/>
  <sheetViews>
    <sheetView workbookViewId="0">
      <pane ySplit="1" topLeftCell="A110" activePane="bottomLeft" state="frozen"/>
      <selection pane="bottomLeft" activeCell="E126" sqref="E126"/>
    </sheetView>
  </sheetViews>
  <sheetFormatPr defaultRowHeight="15.5" x14ac:dyDescent="0.35"/>
  <sheetData>
    <row r="1" spans="1:1" x14ac:dyDescent="0.35">
      <c r="A1" t="s">
        <v>2919</v>
      </c>
    </row>
    <row r="2" spans="1:1" x14ac:dyDescent="0.35">
      <c r="A2" s="11" t="s">
        <v>2920</v>
      </c>
    </row>
    <row r="3" spans="1:1" x14ac:dyDescent="0.35">
      <c r="A3" s="11" t="s">
        <v>1516</v>
      </c>
    </row>
    <row r="4" spans="1:1" x14ac:dyDescent="0.35">
      <c r="A4" s="11" t="s">
        <v>1427</v>
      </c>
    </row>
    <row r="5" spans="1:1" x14ac:dyDescent="0.35">
      <c r="A5" t="s">
        <v>1557</v>
      </c>
    </row>
    <row r="6" spans="1:1" x14ac:dyDescent="0.35">
      <c r="A6" s="11" t="s">
        <v>1401</v>
      </c>
    </row>
    <row r="7" spans="1:1" x14ac:dyDescent="0.35">
      <c r="A7" s="11" t="s">
        <v>2643</v>
      </c>
    </row>
    <row r="8" spans="1:1" x14ac:dyDescent="0.35">
      <c r="A8" s="11" t="s">
        <v>1455</v>
      </c>
    </row>
    <row r="9" spans="1:1" x14ac:dyDescent="0.35">
      <c r="A9" s="11" t="s">
        <v>1440</v>
      </c>
    </row>
    <row r="10" spans="1:1" x14ac:dyDescent="0.35">
      <c r="A10" s="11" t="s">
        <v>1399</v>
      </c>
    </row>
    <row r="11" spans="1:1" x14ac:dyDescent="0.35">
      <c r="A11" s="11" t="s">
        <v>1395</v>
      </c>
    </row>
    <row r="12" spans="1:1" x14ac:dyDescent="0.35">
      <c r="A12" s="11" t="s">
        <v>1514</v>
      </c>
    </row>
    <row r="13" spans="1:1" x14ac:dyDescent="0.35">
      <c r="A13" t="s">
        <v>1527</v>
      </c>
    </row>
    <row r="14" spans="1:1" x14ac:dyDescent="0.35">
      <c r="A14" s="11" t="s">
        <v>1393</v>
      </c>
    </row>
    <row r="15" spans="1:1" x14ac:dyDescent="0.35">
      <c r="A15" s="11" t="s">
        <v>1501</v>
      </c>
    </row>
    <row r="16" spans="1:1" x14ac:dyDescent="0.35">
      <c r="A16" t="s">
        <v>1556</v>
      </c>
    </row>
    <row r="17" spans="1:1" x14ac:dyDescent="0.35">
      <c r="A17" s="11" t="s">
        <v>1433</v>
      </c>
    </row>
    <row r="18" spans="1:1" x14ac:dyDescent="0.35">
      <c r="A18" t="s">
        <v>1498</v>
      </c>
    </row>
    <row r="19" spans="1:1" x14ac:dyDescent="0.35">
      <c r="A19" s="11" t="s">
        <v>1419</v>
      </c>
    </row>
    <row r="20" spans="1:1" x14ac:dyDescent="0.35">
      <c r="A20" t="s">
        <v>1430</v>
      </c>
    </row>
    <row r="21" spans="1:1" x14ac:dyDescent="0.35">
      <c r="A21" s="11" t="s">
        <v>1391</v>
      </c>
    </row>
    <row r="22" spans="1:1" x14ac:dyDescent="0.35">
      <c r="A22" s="11" t="s">
        <v>1507</v>
      </c>
    </row>
    <row r="23" spans="1:1" x14ac:dyDescent="0.35">
      <c r="A23" s="11" t="s">
        <v>1510</v>
      </c>
    </row>
    <row r="24" spans="1:1" x14ac:dyDescent="0.35">
      <c r="A24" s="11" t="s">
        <v>1376</v>
      </c>
    </row>
    <row r="25" spans="1:1" x14ac:dyDescent="0.35">
      <c r="A25" s="11" t="s">
        <v>1362</v>
      </c>
    </row>
    <row r="26" spans="1:1" x14ac:dyDescent="0.35">
      <c r="A26" s="11" t="s">
        <v>1425</v>
      </c>
    </row>
    <row r="27" spans="1:1" x14ac:dyDescent="0.35">
      <c r="A27" s="11" t="s">
        <v>1413</v>
      </c>
    </row>
    <row r="28" spans="1:1" x14ac:dyDescent="0.35">
      <c r="A28" s="11" t="s">
        <v>1536</v>
      </c>
    </row>
    <row r="29" spans="1:1" x14ac:dyDescent="0.35">
      <c r="A29" t="s">
        <v>1411</v>
      </c>
    </row>
    <row r="30" spans="1:1" x14ac:dyDescent="0.35">
      <c r="A30" s="11" t="s">
        <v>1523</v>
      </c>
    </row>
    <row r="31" spans="1:1" x14ac:dyDescent="0.35">
      <c r="A31" s="11" t="s">
        <v>1469</v>
      </c>
    </row>
    <row r="32" spans="1:1" x14ac:dyDescent="0.35">
      <c r="A32" s="11" t="s">
        <v>1478</v>
      </c>
    </row>
    <row r="33" spans="1:1" x14ac:dyDescent="0.35">
      <c r="A33" s="11" t="s">
        <v>1499</v>
      </c>
    </row>
    <row r="34" spans="1:1" x14ac:dyDescent="0.35">
      <c r="A34" s="11" t="s">
        <v>1465</v>
      </c>
    </row>
    <row r="35" spans="1:1" x14ac:dyDescent="0.35">
      <c r="A35" s="11" t="s">
        <v>1533</v>
      </c>
    </row>
    <row r="36" spans="1:1" x14ac:dyDescent="0.35">
      <c r="A36" s="11" t="s">
        <v>2665</v>
      </c>
    </row>
    <row r="37" spans="1:1" x14ac:dyDescent="0.35">
      <c r="A37" s="11" t="s">
        <v>2667</v>
      </c>
    </row>
    <row r="38" spans="1:1" x14ac:dyDescent="0.35">
      <c r="A38" s="11" t="s">
        <v>1475</v>
      </c>
    </row>
    <row r="39" spans="1:1" x14ac:dyDescent="0.35">
      <c r="A39" s="11" t="s">
        <v>2670</v>
      </c>
    </row>
    <row r="40" spans="1:1" x14ac:dyDescent="0.35">
      <c r="A40" s="11" t="s">
        <v>2672</v>
      </c>
    </row>
    <row r="41" spans="1:1" x14ac:dyDescent="0.35">
      <c r="A41" s="11" t="s">
        <v>1542</v>
      </c>
    </row>
    <row r="42" spans="1:1" x14ac:dyDescent="0.35">
      <c r="A42" s="11" t="s">
        <v>1435</v>
      </c>
    </row>
    <row r="43" spans="1:1" x14ac:dyDescent="0.35">
      <c r="A43" s="11" t="s">
        <v>1520</v>
      </c>
    </row>
    <row r="44" spans="1:1" x14ac:dyDescent="0.35">
      <c r="A44" t="s">
        <v>2677</v>
      </c>
    </row>
    <row r="45" spans="1:1" x14ac:dyDescent="0.35">
      <c r="A45" t="s">
        <v>1368</v>
      </c>
    </row>
    <row r="46" spans="1:1" x14ac:dyDescent="0.35">
      <c r="A46" s="11" t="s">
        <v>1403</v>
      </c>
    </row>
    <row r="47" spans="1:1" x14ac:dyDescent="0.35">
      <c r="A47" s="11" t="s">
        <v>1480</v>
      </c>
    </row>
    <row r="48" spans="1:1" x14ac:dyDescent="0.35">
      <c r="A48" s="11" t="s">
        <v>2679</v>
      </c>
    </row>
    <row r="49" spans="1:1" x14ac:dyDescent="0.35">
      <c r="A49" s="11" t="s">
        <v>1486</v>
      </c>
    </row>
    <row r="50" spans="1:1" x14ac:dyDescent="0.35">
      <c r="A50" s="11" t="s">
        <v>2682</v>
      </c>
    </row>
    <row r="51" spans="1:1" x14ac:dyDescent="0.35">
      <c r="A51" t="s">
        <v>1525</v>
      </c>
    </row>
    <row r="52" spans="1:1" x14ac:dyDescent="0.35">
      <c r="A52" s="11" t="s">
        <v>1369</v>
      </c>
    </row>
    <row r="53" spans="1:1" x14ac:dyDescent="0.35">
      <c r="A53" s="11" t="s">
        <v>1545</v>
      </c>
    </row>
    <row r="54" spans="1:1" x14ac:dyDescent="0.35">
      <c r="A54" t="s">
        <v>1530</v>
      </c>
    </row>
    <row r="55" spans="1:1" x14ac:dyDescent="0.35">
      <c r="A55" t="s">
        <v>1444</v>
      </c>
    </row>
    <row r="56" spans="1:1" x14ac:dyDescent="0.35">
      <c r="A56" s="11" t="s">
        <v>1548</v>
      </c>
    </row>
    <row r="57" spans="1:1" x14ac:dyDescent="0.35">
      <c r="A57" s="11" t="s">
        <v>1493</v>
      </c>
    </row>
    <row r="58" spans="1:1" x14ac:dyDescent="0.35">
      <c r="A58" s="11" t="s">
        <v>1420</v>
      </c>
    </row>
    <row r="59" spans="1:1" x14ac:dyDescent="0.35">
      <c r="A59" s="11" t="s">
        <v>2687</v>
      </c>
    </row>
    <row r="60" spans="1:1" x14ac:dyDescent="0.35">
      <c r="A60" s="11" t="s">
        <v>1522</v>
      </c>
    </row>
    <row r="61" spans="1:1" x14ac:dyDescent="0.35">
      <c r="A61" t="s">
        <v>2690</v>
      </c>
    </row>
    <row r="62" spans="1:1" x14ac:dyDescent="0.35">
      <c r="A62" s="11" t="s">
        <v>1473</v>
      </c>
    </row>
    <row r="63" spans="1:1" x14ac:dyDescent="0.35">
      <c r="A63" s="11" t="s">
        <v>2691</v>
      </c>
    </row>
    <row r="64" spans="1:1" x14ac:dyDescent="0.35">
      <c r="A64" s="11" t="s">
        <v>2692</v>
      </c>
    </row>
    <row r="65" spans="1:1" x14ac:dyDescent="0.35">
      <c r="A65" s="11" t="s">
        <v>1415</v>
      </c>
    </row>
    <row r="66" spans="1:1" x14ac:dyDescent="0.35">
      <c r="A66" s="11" t="s">
        <v>1460</v>
      </c>
    </row>
    <row r="67" spans="1:1" x14ac:dyDescent="0.35">
      <c r="A67" s="11" t="s">
        <v>2695</v>
      </c>
    </row>
    <row r="68" spans="1:1" x14ac:dyDescent="0.35">
      <c r="A68" s="11" t="s">
        <v>2697</v>
      </c>
    </row>
    <row r="69" spans="1:1" x14ac:dyDescent="0.35">
      <c r="A69" t="s">
        <v>1438</v>
      </c>
    </row>
    <row r="70" spans="1:1" x14ac:dyDescent="0.35">
      <c r="A70" s="11" t="s">
        <v>1416</v>
      </c>
    </row>
    <row r="71" spans="1:1" x14ac:dyDescent="0.35">
      <c r="A71" s="11" t="s">
        <v>1378</v>
      </c>
    </row>
    <row r="72" spans="1:1" x14ac:dyDescent="0.35">
      <c r="A72" t="s">
        <v>1488</v>
      </c>
    </row>
    <row r="73" spans="1:1" x14ac:dyDescent="0.35">
      <c r="A73" s="11" t="s">
        <v>1540</v>
      </c>
    </row>
    <row r="74" spans="1:1" x14ac:dyDescent="0.35">
      <c r="A74" t="s">
        <v>1451</v>
      </c>
    </row>
    <row r="75" spans="1:1" x14ac:dyDescent="0.35">
      <c r="A75" s="11" t="s">
        <v>1371</v>
      </c>
    </row>
    <row r="76" spans="1:1" x14ac:dyDescent="0.35">
      <c r="A76" s="11" t="s">
        <v>1386</v>
      </c>
    </row>
    <row r="77" spans="1:1" x14ac:dyDescent="0.35">
      <c r="A77" s="11" t="s">
        <v>1467</v>
      </c>
    </row>
    <row r="78" spans="1:1" x14ac:dyDescent="0.35">
      <c r="A78" s="11" t="s">
        <v>1457</v>
      </c>
    </row>
    <row r="79" spans="1:1" x14ac:dyDescent="0.35">
      <c r="A79" s="11" t="s">
        <v>1446</v>
      </c>
    </row>
    <row r="80" spans="1:1" x14ac:dyDescent="0.35">
      <c r="A80" s="11" t="s">
        <v>1448</v>
      </c>
    </row>
    <row r="81" spans="1:1" x14ac:dyDescent="0.35">
      <c r="A81" s="11" t="s">
        <v>1551</v>
      </c>
    </row>
    <row r="82" spans="1:1" x14ac:dyDescent="0.35">
      <c r="A82" s="11" t="s">
        <v>1503</v>
      </c>
    </row>
    <row r="83" spans="1:1" x14ac:dyDescent="0.35">
      <c r="A83" s="11" t="s">
        <v>1544</v>
      </c>
    </row>
    <row r="84" spans="1:1" x14ac:dyDescent="0.35">
      <c r="A84" s="11" t="s">
        <v>1442</v>
      </c>
    </row>
    <row r="85" spans="1:1" x14ac:dyDescent="0.35">
      <c r="A85" t="s">
        <v>1375</v>
      </c>
    </row>
    <row r="86" spans="1:1" x14ac:dyDescent="0.35">
      <c r="A86" s="11" t="s">
        <v>1422</v>
      </c>
    </row>
    <row r="87" spans="1:1" x14ac:dyDescent="0.35">
      <c r="A87" s="11" t="s">
        <v>1429</v>
      </c>
    </row>
    <row r="88" spans="1:1" x14ac:dyDescent="0.35">
      <c r="A88" s="11" t="s">
        <v>2712</v>
      </c>
    </row>
    <row r="89" spans="1:1" x14ac:dyDescent="0.35">
      <c r="A89" s="11" t="s">
        <v>2713</v>
      </c>
    </row>
    <row r="90" spans="1:1" x14ac:dyDescent="0.35">
      <c r="A90" s="11" t="s">
        <v>1518</v>
      </c>
    </row>
    <row r="91" spans="1:1" x14ac:dyDescent="0.35">
      <c r="A91" s="11" t="s">
        <v>2716</v>
      </c>
    </row>
    <row r="92" spans="1:1" x14ac:dyDescent="0.35">
      <c r="A92" s="11" t="s">
        <v>1373</v>
      </c>
    </row>
    <row r="93" spans="1:1" x14ac:dyDescent="0.35">
      <c r="A93" s="11" t="s">
        <v>1553</v>
      </c>
    </row>
    <row r="94" spans="1:1" x14ac:dyDescent="0.35">
      <c r="A94" s="11" t="s">
        <v>2719</v>
      </c>
    </row>
    <row r="95" spans="1:1" x14ac:dyDescent="0.35">
      <c r="A95" s="11" t="s">
        <v>1423</v>
      </c>
    </row>
    <row r="96" spans="1:1" x14ac:dyDescent="0.35">
      <c r="A96" s="11" t="s">
        <v>1364</v>
      </c>
    </row>
    <row r="97" spans="1:1" x14ac:dyDescent="0.35">
      <c r="A97" s="11" t="s">
        <v>1461</v>
      </c>
    </row>
    <row r="98" spans="1:1" x14ac:dyDescent="0.35">
      <c r="A98" t="s">
        <v>1387</v>
      </c>
    </row>
    <row r="99" spans="1:1" x14ac:dyDescent="0.35">
      <c r="A99" t="s">
        <v>1406</v>
      </c>
    </row>
    <row r="100" spans="1:1" x14ac:dyDescent="0.35">
      <c r="A100" s="11" t="s">
        <v>1492</v>
      </c>
    </row>
    <row r="101" spans="1:1" x14ac:dyDescent="0.35">
      <c r="A101" s="11" t="s">
        <v>1404</v>
      </c>
    </row>
    <row r="102" spans="1:1" x14ac:dyDescent="0.35">
      <c r="A102" t="s">
        <v>1532</v>
      </c>
    </row>
    <row r="103" spans="1:1" x14ac:dyDescent="0.35">
      <c r="A103" s="11" t="s">
        <v>1476</v>
      </c>
    </row>
    <row r="104" spans="1:1" x14ac:dyDescent="0.35">
      <c r="A104" s="11" t="s">
        <v>1408</v>
      </c>
    </row>
    <row r="105" spans="1:1" x14ac:dyDescent="0.35">
      <c r="A105" s="11" t="s">
        <v>1417</v>
      </c>
    </row>
    <row r="106" spans="1:1" x14ac:dyDescent="0.35">
      <c r="A106" s="11" t="s">
        <v>1471</v>
      </c>
    </row>
    <row r="107" spans="1:1" x14ac:dyDescent="0.35">
      <c r="A107" s="11" t="s">
        <v>1550</v>
      </c>
    </row>
    <row r="108" spans="1:1" x14ac:dyDescent="0.35">
      <c r="A108" s="11" t="s">
        <v>1482</v>
      </c>
    </row>
    <row r="109" spans="1:1" x14ac:dyDescent="0.35">
      <c r="A109" s="11" t="s">
        <v>2731</v>
      </c>
    </row>
    <row r="110" spans="1:1" x14ac:dyDescent="0.35">
      <c r="A110" s="11" t="s">
        <v>1453</v>
      </c>
    </row>
    <row r="111" spans="1:1" x14ac:dyDescent="0.35">
      <c r="A111" s="11" t="s">
        <v>1431</v>
      </c>
    </row>
    <row r="112" spans="1:1" x14ac:dyDescent="0.35">
      <c r="A112" s="11" t="s">
        <v>1495</v>
      </c>
    </row>
    <row r="113" spans="1:1" x14ac:dyDescent="0.35">
      <c r="A113" s="11" t="s">
        <v>1537</v>
      </c>
    </row>
    <row r="114" spans="1:1" x14ac:dyDescent="0.35">
      <c r="A114" s="11" t="s">
        <v>1535</v>
      </c>
    </row>
    <row r="115" spans="1:1" x14ac:dyDescent="0.35">
      <c r="A115" s="11" t="s">
        <v>1477</v>
      </c>
    </row>
    <row r="116" spans="1:1" x14ac:dyDescent="0.35">
      <c r="A116" s="11" t="s">
        <v>2738</v>
      </c>
    </row>
    <row r="117" spans="1:1" x14ac:dyDescent="0.35">
      <c r="A117" s="11" t="s">
        <v>1554</v>
      </c>
    </row>
    <row r="118" spans="1:1" x14ac:dyDescent="0.35">
      <c r="A118" s="11" t="s">
        <v>1490</v>
      </c>
    </row>
    <row r="119" spans="1:1" x14ac:dyDescent="0.35">
      <c r="A119" s="11" t="s">
        <v>2741</v>
      </c>
    </row>
    <row r="120" spans="1:1" x14ac:dyDescent="0.35">
      <c r="A120" s="11" t="s">
        <v>1445</v>
      </c>
    </row>
    <row r="121" spans="1:1" x14ac:dyDescent="0.35">
      <c r="A121" s="11" t="s">
        <v>1484</v>
      </c>
    </row>
    <row r="122" spans="1:1" x14ac:dyDescent="0.35">
      <c r="A122" s="11" t="s">
        <v>1496</v>
      </c>
    </row>
    <row r="123" spans="1:1" x14ac:dyDescent="0.35">
      <c r="A123" s="11" t="s">
        <v>1397</v>
      </c>
    </row>
    <row r="124" spans="1:1" x14ac:dyDescent="0.35">
      <c r="A124" s="11" t="s">
        <v>1380</v>
      </c>
    </row>
    <row r="125" spans="1:1" x14ac:dyDescent="0.35">
      <c r="A125" s="11" t="s">
        <v>1366</v>
      </c>
    </row>
    <row r="126" spans="1:1" x14ac:dyDescent="0.35">
      <c r="A126" t="s">
        <v>1512</v>
      </c>
    </row>
    <row r="127" spans="1:1" x14ac:dyDescent="0.35">
      <c r="A127" s="11" t="s">
        <v>1546</v>
      </c>
    </row>
    <row r="128" spans="1:1" x14ac:dyDescent="0.35">
      <c r="A128" s="11" t="s">
        <v>1528</v>
      </c>
    </row>
    <row r="129" spans="1:1" x14ac:dyDescent="0.35">
      <c r="A129" s="11" t="s">
        <v>1436</v>
      </c>
    </row>
    <row r="130" spans="1:1" x14ac:dyDescent="0.35">
      <c r="A130" s="11" t="s">
        <v>1463</v>
      </c>
    </row>
    <row r="131" spans="1:1" x14ac:dyDescent="0.35">
      <c r="A131" s="11" t="s">
        <v>1389</v>
      </c>
    </row>
    <row r="132" spans="1:1" x14ac:dyDescent="0.35">
      <c r="A132" s="11" t="s">
        <v>1450</v>
      </c>
    </row>
    <row r="133" spans="1:1" x14ac:dyDescent="0.35">
      <c r="A133" s="11" t="s">
        <v>2754</v>
      </c>
    </row>
    <row r="134" spans="1:1" x14ac:dyDescent="0.35">
      <c r="A134" s="11" t="s">
        <v>1459</v>
      </c>
    </row>
  </sheetData>
  <sortState xmlns:xlrd2="http://schemas.microsoft.com/office/spreadsheetml/2017/richdata2" ref="A2:A134">
    <sortCondition ref="A2:A134"/>
  </sortState>
  <conditionalFormatting sqref="A2:A73">
    <cfRule type="duplicateValues" dxfId="1" priority="63"/>
  </conditionalFormatting>
  <conditionalFormatting sqref="A74:A134">
    <cfRule type="duplicateValues" dxfId="0" priority="11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15B27-0560-4B8A-8436-333AEE1EFE3C}">
  <dimension ref="A1:F9547"/>
  <sheetViews>
    <sheetView workbookViewId="0">
      <selection activeCell="U4" sqref="U4"/>
    </sheetView>
  </sheetViews>
  <sheetFormatPr defaultRowHeight="15.5" x14ac:dyDescent="0.35"/>
  <cols>
    <col min="1" max="1" width="6.61328125" bestFit="1" customWidth="1"/>
    <col min="2" max="2" width="10.53515625" bestFit="1" customWidth="1"/>
    <col min="3" max="3" width="33" bestFit="1" customWidth="1"/>
    <col min="4" max="4" width="12" bestFit="1" customWidth="1"/>
    <col min="5" max="5" width="11.84375" bestFit="1" customWidth="1"/>
  </cols>
  <sheetData>
    <row r="1" spans="1:6" x14ac:dyDescent="0.35">
      <c r="A1" t="s">
        <v>2872</v>
      </c>
      <c r="B1" t="s">
        <v>2861</v>
      </c>
      <c r="C1" t="s">
        <v>2871</v>
      </c>
      <c r="D1" t="s">
        <v>2873</v>
      </c>
      <c r="E1" t="s">
        <v>2874</v>
      </c>
      <c r="F1" t="s">
        <v>2952</v>
      </c>
    </row>
    <row r="2" spans="1:6" x14ac:dyDescent="0.35">
      <c r="A2" t="s">
        <v>2856</v>
      </c>
      <c r="B2" t="s">
        <v>2866</v>
      </c>
      <c r="C2" t="s">
        <v>1516</v>
      </c>
      <c r="D2" t="s">
        <v>2875</v>
      </c>
      <c r="E2">
        <v>28753</v>
      </c>
      <c r="F2" s="11">
        <v>1</v>
      </c>
    </row>
    <row r="3" spans="1:6" x14ac:dyDescent="0.35">
      <c r="A3" t="s">
        <v>2856</v>
      </c>
      <c r="B3" t="s">
        <v>2866</v>
      </c>
      <c r="C3" t="s">
        <v>1516</v>
      </c>
      <c r="D3" t="s">
        <v>2876</v>
      </c>
      <c r="E3">
        <v>0</v>
      </c>
      <c r="F3" s="11">
        <v>0</v>
      </c>
    </row>
    <row r="4" spans="1:6" x14ac:dyDescent="0.35">
      <c r="A4" t="s">
        <v>2856</v>
      </c>
      <c r="B4" t="s">
        <v>2866</v>
      </c>
      <c r="C4" t="s">
        <v>1516</v>
      </c>
      <c r="D4" t="s">
        <v>2877</v>
      </c>
      <c r="E4">
        <v>0</v>
      </c>
      <c r="F4" s="11">
        <v>0</v>
      </c>
    </row>
    <row r="5" spans="1:6" x14ac:dyDescent="0.35">
      <c r="A5" t="s">
        <v>2856</v>
      </c>
      <c r="B5" t="s">
        <v>2866</v>
      </c>
      <c r="C5" t="s">
        <v>1516</v>
      </c>
      <c r="D5" t="s">
        <v>2878</v>
      </c>
      <c r="E5">
        <v>0</v>
      </c>
      <c r="F5" s="11">
        <v>0</v>
      </c>
    </row>
    <row r="6" spans="1:6" x14ac:dyDescent="0.35">
      <c r="A6" t="s">
        <v>2856</v>
      </c>
      <c r="B6" t="s">
        <v>2866</v>
      </c>
      <c r="C6" t="s">
        <v>1516</v>
      </c>
      <c r="D6" t="s">
        <v>2879</v>
      </c>
      <c r="E6">
        <v>1937</v>
      </c>
      <c r="F6" s="11">
        <v>1</v>
      </c>
    </row>
    <row r="7" spans="1:6" x14ac:dyDescent="0.35">
      <c r="A7" t="s">
        <v>2856</v>
      </c>
      <c r="B7" t="s">
        <v>2866</v>
      </c>
      <c r="C7" t="s">
        <v>1516</v>
      </c>
      <c r="D7" t="s">
        <v>2880</v>
      </c>
      <c r="E7">
        <v>601</v>
      </c>
      <c r="F7" s="11">
        <v>1</v>
      </c>
    </row>
    <row r="8" spans="1:6" x14ac:dyDescent="0.35">
      <c r="A8" t="s">
        <v>2856</v>
      </c>
      <c r="B8" t="s">
        <v>2866</v>
      </c>
      <c r="C8" t="s">
        <v>1516</v>
      </c>
      <c r="D8" t="s">
        <v>2881</v>
      </c>
      <c r="E8">
        <v>1323</v>
      </c>
      <c r="F8" s="11">
        <v>1</v>
      </c>
    </row>
    <row r="9" spans="1:6" x14ac:dyDescent="0.35">
      <c r="A9" t="s">
        <v>2856</v>
      </c>
      <c r="B9" t="s">
        <v>2866</v>
      </c>
      <c r="C9" t="s">
        <v>1516</v>
      </c>
      <c r="D9" t="s">
        <v>2882</v>
      </c>
      <c r="E9">
        <v>2</v>
      </c>
      <c r="F9" s="11">
        <v>1</v>
      </c>
    </row>
    <row r="10" spans="1:6" x14ac:dyDescent="0.35">
      <c r="A10" t="s">
        <v>2856</v>
      </c>
      <c r="B10" t="s">
        <v>2866</v>
      </c>
      <c r="C10" t="s">
        <v>1516</v>
      </c>
      <c r="D10" t="s">
        <v>2883</v>
      </c>
      <c r="E10">
        <v>75</v>
      </c>
      <c r="F10" s="11">
        <v>1</v>
      </c>
    </row>
    <row r="11" spans="1:6" x14ac:dyDescent="0.35">
      <c r="A11" t="s">
        <v>2856</v>
      </c>
      <c r="B11" t="s">
        <v>2866</v>
      </c>
      <c r="C11" t="s">
        <v>1516</v>
      </c>
      <c r="D11" t="s">
        <v>2884</v>
      </c>
      <c r="E11">
        <v>71</v>
      </c>
      <c r="F11" s="11">
        <v>0</v>
      </c>
    </row>
    <row r="12" spans="1:6" x14ac:dyDescent="0.35">
      <c r="A12" t="s">
        <v>2856</v>
      </c>
      <c r="B12" t="s">
        <v>2866</v>
      </c>
      <c r="C12" t="s">
        <v>1516</v>
      </c>
      <c r="D12" t="s">
        <v>2885</v>
      </c>
      <c r="E12">
        <v>4</v>
      </c>
      <c r="F12" s="11">
        <v>0</v>
      </c>
    </row>
    <row r="13" spans="1:6" x14ac:dyDescent="0.35">
      <c r="A13" t="s">
        <v>2856</v>
      </c>
      <c r="B13" t="s">
        <v>2866</v>
      </c>
      <c r="C13" t="s">
        <v>1516</v>
      </c>
      <c r="D13" t="s">
        <v>2886</v>
      </c>
      <c r="E13">
        <v>0</v>
      </c>
      <c r="F13" s="11">
        <v>1</v>
      </c>
    </row>
    <row r="14" spans="1:6" x14ac:dyDescent="0.35">
      <c r="A14" t="s">
        <v>2856</v>
      </c>
      <c r="B14" t="s">
        <v>2866</v>
      </c>
      <c r="C14" t="s">
        <v>1516</v>
      </c>
      <c r="D14" t="s">
        <v>2887</v>
      </c>
      <c r="E14">
        <v>38726</v>
      </c>
      <c r="F14" s="11">
        <v>1</v>
      </c>
    </row>
    <row r="15" spans="1:6" x14ac:dyDescent="0.35">
      <c r="A15" t="s">
        <v>2856</v>
      </c>
      <c r="B15" t="s">
        <v>2866</v>
      </c>
      <c r="C15" t="s">
        <v>1516</v>
      </c>
      <c r="D15" t="s">
        <v>2888</v>
      </c>
      <c r="E15">
        <v>19094</v>
      </c>
      <c r="F15" s="11">
        <v>1</v>
      </c>
    </row>
    <row r="16" spans="1:6" x14ac:dyDescent="0.35">
      <c r="A16" t="s">
        <v>2856</v>
      </c>
      <c r="B16" t="s">
        <v>2866</v>
      </c>
      <c r="C16" t="s">
        <v>1516</v>
      </c>
      <c r="D16" t="s">
        <v>2889</v>
      </c>
      <c r="E16">
        <v>19632</v>
      </c>
      <c r="F16" s="11">
        <v>1</v>
      </c>
    </row>
    <row r="17" spans="1:6" x14ac:dyDescent="0.35">
      <c r="A17" t="s">
        <v>2856</v>
      </c>
      <c r="B17" t="s">
        <v>2866</v>
      </c>
      <c r="C17" t="s">
        <v>1516</v>
      </c>
      <c r="D17" t="s">
        <v>2890</v>
      </c>
      <c r="E17">
        <v>0</v>
      </c>
      <c r="F17" s="11">
        <v>1</v>
      </c>
    </row>
    <row r="18" spans="1:6" x14ac:dyDescent="0.35">
      <c r="A18" t="s">
        <v>2856</v>
      </c>
      <c r="B18" t="s">
        <v>2866</v>
      </c>
      <c r="C18" t="s">
        <v>1516</v>
      </c>
      <c r="D18" t="s">
        <v>2891</v>
      </c>
      <c r="E18">
        <v>2203</v>
      </c>
      <c r="F18" s="11">
        <v>1</v>
      </c>
    </row>
    <row r="19" spans="1:6" x14ac:dyDescent="0.35">
      <c r="A19" t="s">
        <v>2856</v>
      </c>
      <c r="B19" t="s">
        <v>2866</v>
      </c>
      <c r="C19" t="s">
        <v>1516</v>
      </c>
      <c r="D19" t="s">
        <v>2892</v>
      </c>
      <c r="E19">
        <v>406</v>
      </c>
      <c r="F19" s="11">
        <v>0</v>
      </c>
    </row>
    <row r="20" spans="1:6" x14ac:dyDescent="0.35">
      <c r="A20" t="s">
        <v>2856</v>
      </c>
      <c r="B20" t="s">
        <v>2866</v>
      </c>
      <c r="C20" t="s">
        <v>1516</v>
      </c>
      <c r="D20" t="s">
        <v>2893</v>
      </c>
      <c r="E20">
        <v>1797</v>
      </c>
      <c r="F20" s="11">
        <v>0</v>
      </c>
    </row>
    <row r="21" spans="1:6" x14ac:dyDescent="0.35">
      <c r="A21" t="s">
        <v>2856</v>
      </c>
      <c r="B21" t="s">
        <v>2866</v>
      </c>
      <c r="C21" t="s">
        <v>1516</v>
      </c>
      <c r="D21" t="s">
        <v>2894</v>
      </c>
      <c r="E21">
        <v>0</v>
      </c>
      <c r="F21" s="11">
        <v>1</v>
      </c>
    </row>
    <row r="22" spans="1:6" x14ac:dyDescent="0.35">
      <c r="A22" t="s">
        <v>2856</v>
      </c>
      <c r="B22" t="s">
        <v>2866</v>
      </c>
      <c r="C22" t="s">
        <v>1516</v>
      </c>
      <c r="D22" t="s">
        <v>2895</v>
      </c>
      <c r="E22">
        <v>1169757</v>
      </c>
      <c r="F22" s="11">
        <v>1</v>
      </c>
    </row>
    <row r="23" spans="1:6" x14ac:dyDescent="0.35">
      <c r="A23" t="s">
        <v>2856</v>
      </c>
      <c r="B23" t="s">
        <v>2866</v>
      </c>
      <c r="C23" t="s">
        <v>1516</v>
      </c>
      <c r="D23" t="s">
        <v>2896</v>
      </c>
      <c r="E23">
        <v>401456</v>
      </c>
      <c r="F23" s="11">
        <v>1</v>
      </c>
    </row>
    <row r="24" spans="1:6" x14ac:dyDescent="0.35">
      <c r="A24" t="s">
        <v>2856</v>
      </c>
      <c r="B24" t="s">
        <v>2866</v>
      </c>
      <c r="C24" t="s">
        <v>1516</v>
      </c>
      <c r="D24" t="s">
        <v>2897</v>
      </c>
      <c r="E24">
        <v>702353</v>
      </c>
      <c r="F24" s="11">
        <v>1</v>
      </c>
    </row>
    <row r="25" spans="1:6" x14ac:dyDescent="0.35">
      <c r="A25" t="s">
        <v>2856</v>
      </c>
      <c r="B25" t="s">
        <v>2866</v>
      </c>
      <c r="C25" t="s">
        <v>1516</v>
      </c>
      <c r="D25" t="s">
        <v>2898</v>
      </c>
      <c r="E25">
        <v>60284</v>
      </c>
      <c r="F25" s="11">
        <v>1</v>
      </c>
    </row>
    <row r="26" spans="1:6" x14ac:dyDescent="0.35">
      <c r="A26" t="s">
        <v>2856</v>
      </c>
      <c r="B26" t="s">
        <v>2866</v>
      </c>
      <c r="C26" t="s">
        <v>1516</v>
      </c>
      <c r="D26" t="s">
        <v>2899</v>
      </c>
      <c r="E26">
        <v>4404</v>
      </c>
      <c r="F26" s="11">
        <v>1</v>
      </c>
    </row>
    <row r="27" spans="1:6" x14ac:dyDescent="0.35">
      <c r="A27" t="s">
        <v>2856</v>
      </c>
      <c r="B27" t="s">
        <v>2866</v>
      </c>
      <c r="C27" t="s">
        <v>1516</v>
      </c>
      <c r="D27" t="s">
        <v>2900</v>
      </c>
      <c r="E27">
        <v>4368</v>
      </c>
      <c r="F27" s="11">
        <v>1</v>
      </c>
    </row>
    <row r="28" spans="1:6" x14ac:dyDescent="0.35">
      <c r="A28" t="s">
        <v>2856</v>
      </c>
      <c r="B28" t="s">
        <v>2866</v>
      </c>
      <c r="C28" t="s">
        <v>1516</v>
      </c>
      <c r="D28" t="s">
        <v>2901</v>
      </c>
      <c r="E28">
        <v>36</v>
      </c>
      <c r="F28" s="11">
        <v>0</v>
      </c>
    </row>
    <row r="29" spans="1:6" x14ac:dyDescent="0.35">
      <c r="A29" t="s">
        <v>2856</v>
      </c>
      <c r="B29" t="s">
        <v>2866</v>
      </c>
      <c r="C29" t="s">
        <v>1516</v>
      </c>
      <c r="D29" t="s">
        <v>2902</v>
      </c>
      <c r="E29">
        <v>0</v>
      </c>
      <c r="F29" s="11">
        <v>1</v>
      </c>
    </row>
    <row r="30" spans="1:6" x14ac:dyDescent="0.35">
      <c r="A30" t="s">
        <v>2856</v>
      </c>
      <c r="B30" t="s">
        <v>2866</v>
      </c>
      <c r="C30" t="s">
        <v>1516</v>
      </c>
      <c r="D30" t="s">
        <v>2903</v>
      </c>
      <c r="E30">
        <v>71423</v>
      </c>
      <c r="F30" s="11">
        <v>1</v>
      </c>
    </row>
    <row r="31" spans="1:6" x14ac:dyDescent="0.35">
      <c r="A31" t="s">
        <v>2856</v>
      </c>
      <c r="B31" t="s">
        <v>2866</v>
      </c>
      <c r="C31" t="s">
        <v>1516</v>
      </c>
      <c r="D31" t="s">
        <v>2904</v>
      </c>
      <c r="E31">
        <v>0</v>
      </c>
      <c r="F31" s="11">
        <v>0</v>
      </c>
    </row>
    <row r="32" spans="1:6" x14ac:dyDescent="0.35">
      <c r="A32" t="s">
        <v>2856</v>
      </c>
      <c r="B32" t="s">
        <v>2866</v>
      </c>
      <c r="C32" t="s">
        <v>1516</v>
      </c>
      <c r="D32" t="s">
        <v>2905</v>
      </c>
      <c r="E32">
        <v>0</v>
      </c>
      <c r="F32" s="11">
        <v>0</v>
      </c>
    </row>
    <row r="33" spans="1:6" x14ac:dyDescent="0.35">
      <c r="A33" t="s">
        <v>2856</v>
      </c>
      <c r="B33" t="s">
        <v>2866</v>
      </c>
      <c r="C33" t="s">
        <v>1516</v>
      </c>
      <c r="D33" t="s">
        <v>2906</v>
      </c>
      <c r="E33">
        <v>0</v>
      </c>
      <c r="F33" s="11">
        <v>0</v>
      </c>
    </row>
    <row r="34" spans="1:6" x14ac:dyDescent="0.35">
      <c r="A34" t="s">
        <v>2856</v>
      </c>
      <c r="B34" t="s">
        <v>2866</v>
      </c>
      <c r="C34" t="s">
        <v>1516</v>
      </c>
      <c r="D34" t="s">
        <v>2907</v>
      </c>
      <c r="E34">
        <v>71088</v>
      </c>
      <c r="F34" s="11">
        <v>1</v>
      </c>
    </row>
    <row r="35" spans="1:6" x14ac:dyDescent="0.35">
      <c r="A35" t="s">
        <v>2856</v>
      </c>
      <c r="B35" t="s">
        <v>2866</v>
      </c>
      <c r="C35" t="s">
        <v>1516</v>
      </c>
      <c r="D35" t="s">
        <v>2908</v>
      </c>
      <c r="E35">
        <v>0</v>
      </c>
      <c r="F35" s="11">
        <v>0</v>
      </c>
    </row>
    <row r="36" spans="1:6" x14ac:dyDescent="0.35">
      <c r="A36" t="s">
        <v>2856</v>
      </c>
      <c r="B36" t="s">
        <v>2866</v>
      </c>
      <c r="C36" t="s">
        <v>1516</v>
      </c>
      <c r="D36" t="s">
        <v>2909</v>
      </c>
      <c r="E36">
        <v>0</v>
      </c>
      <c r="F36" s="11">
        <v>0</v>
      </c>
    </row>
    <row r="37" spans="1:6" x14ac:dyDescent="0.35">
      <c r="A37" t="s">
        <v>2856</v>
      </c>
      <c r="B37" t="s">
        <v>2866</v>
      </c>
      <c r="C37" t="s">
        <v>1516</v>
      </c>
      <c r="D37" t="s">
        <v>2910</v>
      </c>
      <c r="E37">
        <v>0</v>
      </c>
      <c r="F37" s="11">
        <v>0</v>
      </c>
    </row>
    <row r="38" spans="1:6" x14ac:dyDescent="0.35">
      <c r="A38" t="s">
        <v>2856</v>
      </c>
      <c r="B38" t="s">
        <v>2866</v>
      </c>
      <c r="C38" t="s">
        <v>1516</v>
      </c>
      <c r="D38" t="s">
        <v>2911</v>
      </c>
      <c r="E38">
        <v>191147</v>
      </c>
      <c r="F38" s="11">
        <v>1</v>
      </c>
    </row>
    <row r="39" spans="1:6" x14ac:dyDescent="0.35">
      <c r="A39" t="s">
        <v>2856</v>
      </c>
      <c r="B39" t="s">
        <v>2866</v>
      </c>
      <c r="C39" t="s">
        <v>1516</v>
      </c>
      <c r="D39" t="s">
        <v>2912</v>
      </c>
      <c r="E39">
        <v>670077</v>
      </c>
      <c r="F39" s="11">
        <v>1</v>
      </c>
    </row>
    <row r="40" spans="1:6" x14ac:dyDescent="0.35">
      <c r="A40" t="s">
        <v>2856</v>
      </c>
      <c r="B40" t="s">
        <v>2866</v>
      </c>
      <c r="C40" t="s">
        <v>1516</v>
      </c>
      <c r="D40" t="s">
        <v>2913</v>
      </c>
      <c r="E40">
        <v>101041</v>
      </c>
      <c r="F40" s="11">
        <v>1</v>
      </c>
    </row>
    <row r="41" spans="1:6" x14ac:dyDescent="0.35">
      <c r="A41" t="s">
        <v>2856</v>
      </c>
      <c r="B41" t="s">
        <v>2866</v>
      </c>
      <c r="C41" t="s">
        <v>1516</v>
      </c>
      <c r="D41" t="s">
        <v>2914</v>
      </c>
      <c r="E41">
        <v>6552</v>
      </c>
      <c r="F41" s="11">
        <v>1</v>
      </c>
    </row>
    <row r="42" spans="1:6" x14ac:dyDescent="0.35">
      <c r="A42" t="s">
        <v>2856</v>
      </c>
      <c r="B42" t="s">
        <v>2866</v>
      </c>
      <c r="C42" t="s">
        <v>1516</v>
      </c>
      <c r="D42" t="s">
        <v>2915</v>
      </c>
      <c r="E42">
        <v>4669</v>
      </c>
      <c r="F42" s="11">
        <v>1</v>
      </c>
    </row>
    <row r="43" spans="1:6" x14ac:dyDescent="0.35">
      <c r="A43" t="s">
        <v>2856</v>
      </c>
      <c r="B43" t="s">
        <v>2866</v>
      </c>
      <c r="C43" t="s">
        <v>1516</v>
      </c>
      <c r="D43" t="s">
        <v>2916</v>
      </c>
      <c r="E43">
        <v>80754</v>
      </c>
      <c r="F43" s="11">
        <v>1</v>
      </c>
    </row>
    <row r="44" spans="1:6" x14ac:dyDescent="0.35">
      <c r="A44" t="s">
        <v>2856</v>
      </c>
      <c r="B44" t="s">
        <v>2866</v>
      </c>
      <c r="C44" t="s">
        <v>1516</v>
      </c>
      <c r="D44" t="s">
        <v>2917</v>
      </c>
      <c r="E44">
        <v>128850</v>
      </c>
      <c r="F44" s="11">
        <v>1</v>
      </c>
    </row>
    <row r="45" spans="1:6" x14ac:dyDescent="0.35">
      <c r="A45" t="s">
        <v>2856</v>
      </c>
      <c r="B45" t="s">
        <v>2865</v>
      </c>
      <c r="C45" t="s">
        <v>1427</v>
      </c>
      <c r="D45" t="s">
        <v>2875</v>
      </c>
      <c r="E45">
        <v>13371</v>
      </c>
      <c r="F45" s="11">
        <v>1</v>
      </c>
    </row>
    <row r="46" spans="1:6" x14ac:dyDescent="0.35">
      <c r="A46" t="s">
        <v>2856</v>
      </c>
      <c r="B46" t="s">
        <v>2865</v>
      </c>
      <c r="C46" t="s">
        <v>1427</v>
      </c>
      <c r="D46" t="s">
        <v>2876</v>
      </c>
      <c r="E46">
        <v>0</v>
      </c>
      <c r="F46" s="11">
        <v>0</v>
      </c>
    </row>
    <row r="47" spans="1:6" x14ac:dyDescent="0.35">
      <c r="A47" t="s">
        <v>2856</v>
      </c>
      <c r="B47" t="s">
        <v>2865</v>
      </c>
      <c r="C47" t="s">
        <v>1427</v>
      </c>
      <c r="D47" t="s">
        <v>2877</v>
      </c>
      <c r="E47">
        <v>0</v>
      </c>
      <c r="F47" s="11">
        <v>0</v>
      </c>
    </row>
    <row r="48" spans="1:6" x14ac:dyDescent="0.35">
      <c r="A48" t="s">
        <v>2856</v>
      </c>
      <c r="B48" t="s">
        <v>2865</v>
      </c>
      <c r="C48" t="s">
        <v>1427</v>
      </c>
      <c r="D48" t="s">
        <v>2878</v>
      </c>
      <c r="E48">
        <v>0</v>
      </c>
      <c r="F48" s="11">
        <v>0</v>
      </c>
    </row>
    <row r="49" spans="1:6" x14ac:dyDescent="0.35">
      <c r="A49" t="s">
        <v>2856</v>
      </c>
      <c r="B49" t="s">
        <v>2865</v>
      </c>
      <c r="C49" t="s">
        <v>1427</v>
      </c>
      <c r="D49" t="s">
        <v>2879</v>
      </c>
      <c r="E49">
        <v>8289</v>
      </c>
      <c r="F49" s="11">
        <v>1</v>
      </c>
    </row>
    <row r="50" spans="1:6" x14ac:dyDescent="0.35">
      <c r="A50" t="s">
        <v>2856</v>
      </c>
      <c r="B50" t="s">
        <v>2865</v>
      </c>
      <c r="C50" t="s">
        <v>1427</v>
      </c>
      <c r="D50" t="s">
        <v>2880</v>
      </c>
      <c r="E50">
        <v>5038</v>
      </c>
      <c r="F50" s="11">
        <v>1</v>
      </c>
    </row>
    <row r="51" spans="1:6" x14ac:dyDescent="0.35">
      <c r="A51" t="s">
        <v>2856</v>
      </c>
      <c r="B51" t="s">
        <v>2865</v>
      </c>
      <c r="C51" t="s">
        <v>1427</v>
      </c>
      <c r="D51" t="s">
        <v>2881</v>
      </c>
      <c r="E51">
        <v>3216</v>
      </c>
      <c r="F51" s="11">
        <v>1</v>
      </c>
    </row>
    <row r="52" spans="1:6" x14ac:dyDescent="0.35">
      <c r="A52" t="s">
        <v>2856</v>
      </c>
      <c r="B52" t="s">
        <v>2865</v>
      </c>
      <c r="C52" t="s">
        <v>1427</v>
      </c>
      <c r="D52" t="s">
        <v>2882</v>
      </c>
      <c r="E52">
        <v>20</v>
      </c>
      <c r="F52" s="11">
        <v>1</v>
      </c>
    </row>
    <row r="53" spans="1:6" x14ac:dyDescent="0.35">
      <c r="A53" t="s">
        <v>2856</v>
      </c>
      <c r="B53" t="s">
        <v>2865</v>
      </c>
      <c r="C53" t="s">
        <v>1427</v>
      </c>
      <c r="D53" t="s">
        <v>2883</v>
      </c>
      <c r="E53">
        <v>0</v>
      </c>
      <c r="F53" s="11">
        <v>0</v>
      </c>
    </row>
    <row r="54" spans="1:6" x14ac:dyDescent="0.35">
      <c r="A54" t="s">
        <v>2856</v>
      </c>
      <c r="B54" t="s">
        <v>2865</v>
      </c>
      <c r="C54" t="s">
        <v>1427</v>
      </c>
      <c r="D54" t="s">
        <v>2884</v>
      </c>
      <c r="E54">
        <v>0</v>
      </c>
      <c r="F54" s="11">
        <v>0</v>
      </c>
    </row>
    <row r="55" spans="1:6" x14ac:dyDescent="0.35">
      <c r="A55" t="s">
        <v>2856</v>
      </c>
      <c r="B55" t="s">
        <v>2865</v>
      </c>
      <c r="C55" t="s">
        <v>1427</v>
      </c>
      <c r="D55" t="s">
        <v>2885</v>
      </c>
      <c r="E55">
        <v>0</v>
      </c>
      <c r="F55" s="11">
        <v>0</v>
      </c>
    </row>
    <row r="56" spans="1:6" x14ac:dyDescent="0.35">
      <c r="A56" t="s">
        <v>2856</v>
      </c>
      <c r="B56" t="s">
        <v>2865</v>
      </c>
      <c r="C56" t="s">
        <v>1427</v>
      </c>
      <c r="D56" t="s">
        <v>2886</v>
      </c>
      <c r="E56">
        <v>0</v>
      </c>
      <c r="F56" s="11">
        <v>0</v>
      </c>
    </row>
    <row r="57" spans="1:6" x14ac:dyDescent="0.35">
      <c r="A57" t="s">
        <v>2856</v>
      </c>
      <c r="B57" t="s">
        <v>2865</v>
      </c>
      <c r="C57" t="s">
        <v>1427</v>
      </c>
      <c r="D57" t="s">
        <v>2887</v>
      </c>
      <c r="E57">
        <v>92405</v>
      </c>
      <c r="F57" s="11">
        <v>1</v>
      </c>
    </row>
    <row r="58" spans="1:6" x14ac:dyDescent="0.35">
      <c r="A58" t="s">
        <v>2856</v>
      </c>
      <c r="B58" t="s">
        <v>2865</v>
      </c>
      <c r="C58" t="s">
        <v>1427</v>
      </c>
      <c r="D58" t="s">
        <v>2888</v>
      </c>
      <c r="E58">
        <v>66475</v>
      </c>
      <c r="F58" s="11">
        <v>1</v>
      </c>
    </row>
    <row r="59" spans="1:6" x14ac:dyDescent="0.35">
      <c r="A59" t="s">
        <v>2856</v>
      </c>
      <c r="B59" t="s">
        <v>2865</v>
      </c>
      <c r="C59" t="s">
        <v>1427</v>
      </c>
      <c r="D59" t="s">
        <v>2889</v>
      </c>
      <c r="E59">
        <v>25679</v>
      </c>
      <c r="F59" s="11">
        <v>1</v>
      </c>
    </row>
    <row r="60" spans="1:6" x14ac:dyDescent="0.35">
      <c r="A60" t="s">
        <v>2856</v>
      </c>
      <c r="B60" t="s">
        <v>2865</v>
      </c>
      <c r="C60" t="s">
        <v>1427</v>
      </c>
      <c r="D60" t="s">
        <v>2890</v>
      </c>
      <c r="E60">
        <v>251</v>
      </c>
      <c r="F60" s="11">
        <v>1</v>
      </c>
    </row>
    <row r="61" spans="1:6" x14ac:dyDescent="0.35">
      <c r="A61" t="s">
        <v>2856</v>
      </c>
      <c r="B61" t="s">
        <v>2865</v>
      </c>
      <c r="C61" t="s">
        <v>1427</v>
      </c>
      <c r="D61" t="s">
        <v>2891</v>
      </c>
      <c r="E61">
        <v>0</v>
      </c>
      <c r="F61" s="11">
        <v>0</v>
      </c>
    </row>
    <row r="62" spans="1:6" x14ac:dyDescent="0.35">
      <c r="A62" t="s">
        <v>2856</v>
      </c>
      <c r="B62" t="s">
        <v>2865</v>
      </c>
      <c r="C62" t="s">
        <v>1427</v>
      </c>
      <c r="D62" t="s">
        <v>2892</v>
      </c>
      <c r="E62">
        <v>0</v>
      </c>
      <c r="F62" s="11">
        <v>0</v>
      </c>
    </row>
    <row r="63" spans="1:6" x14ac:dyDescent="0.35">
      <c r="A63" t="s">
        <v>2856</v>
      </c>
      <c r="B63" t="s">
        <v>2865</v>
      </c>
      <c r="C63" t="s">
        <v>1427</v>
      </c>
      <c r="D63" t="s">
        <v>2893</v>
      </c>
      <c r="E63">
        <v>0</v>
      </c>
      <c r="F63" s="11">
        <v>0</v>
      </c>
    </row>
    <row r="64" spans="1:6" x14ac:dyDescent="0.35">
      <c r="A64" t="s">
        <v>2856</v>
      </c>
      <c r="B64" t="s">
        <v>2865</v>
      </c>
      <c r="C64" t="s">
        <v>1427</v>
      </c>
      <c r="D64" t="s">
        <v>2894</v>
      </c>
      <c r="E64">
        <v>0</v>
      </c>
      <c r="F64" s="11">
        <v>0</v>
      </c>
    </row>
    <row r="65" spans="1:6" x14ac:dyDescent="0.35">
      <c r="A65" t="s">
        <v>2856</v>
      </c>
      <c r="B65" t="s">
        <v>2865</v>
      </c>
      <c r="C65" t="s">
        <v>1427</v>
      </c>
      <c r="D65" t="s">
        <v>2895</v>
      </c>
      <c r="E65">
        <v>345502</v>
      </c>
      <c r="F65" s="11">
        <v>1</v>
      </c>
    </row>
    <row r="66" spans="1:6" x14ac:dyDescent="0.35">
      <c r="A66" t="s">
        <v>2856</v>
      </c>
      <c r="B66" t="s">
        <v>2865</v>
      </c>
      <c r="C66" t="s">
        <v>1427</v>
      </c>
      <c r="D66" t="s">
        <v>2896</v>
      </c>
      <c r="E66">
        <v>210847</v>
      </c>
      <c r="F66" s="11">
        <v>1</v>
      </c>
    </row>
    <row r="67" spans="1:6" x14ac:dyDescent="0.35">
      <c r="A67" t="s">
        <v>2856</v>
      </c>
      <c r="B67" t="s">
        <v>2865</v>
      </c>
      <c r="C67" t="s">
        <v>1427</v>
      </c>
      <c r="D67" t="s">
        <v>2897</v>
      </c>
      <c r="E67">
        <v>114763</v>
      </c>
      <c r="F67" s="11">
        <v>1</v>
      </c>
    </row>
    <row r="68" spans="1:6" x14ac:dyDescent="0.35">
      <c r="A68" t="s">
        <v>2856</v>
      </c>
      <c r="B68" t="s">
        <v>2865</v>
      </c>
      <c r="C68" t="s">
        <v>1427</v>
      </c>
      <c r="D68" t="s">
        <v>2898</v>
      </c>
      <c r="E68">
        <v>19892</v>
      </c>
      <c r="F68" s="11">
        <v>1</v>
      </c>
    </row>
    <row r="69" spans="1:6" x14ac:dyDescent="0.35">
      <c r="A69" t="s">
        <v>2856</v>
      </c>
      <c r="B69" t="s">
        <v>2865</v>
      </c>
      <c r="C69" t="s">
        <v>1427</v>
      </c>
      <c r="D69" t="s">
        <v>2899</v>
      </c>
      <c r="E69">
        <v>3279</v>
      </c>
      <c r="F69" s="11">
        <v>1</v>
      </c>
    </row>
    <row r="70" spans="1:6" x14ac:dyDescent="0.35">
      <c r="A70" t="s">
        <v>2856</v>
      </c>
      <c r="B70" t="s">
        <v>2865</v>
      </c>
      <c r="C70" t="s">
        <v>1427</v>
      </c>
      <c r="D70" t="s">
        <v>2900</v>
      </c>
      <c r="E70">
        <v>3267</v>
      </c>
      <c r="F70" s="11">
        <v>1</v>
      </c>
    </row>
    <row r="71" spans="1:6" x14ac:dyDescent="0.35">
      <c r="A71" t="s">
        <v>2856</v>
      </c>
      <c r="B71" t="s">
        <v>2865</v>
      </c>
      <c r="C71" t="s">
        <v>1427</v>
      </c>
      <c r="D71" t="s">
        <v>2901</v>
      </c>
      <c r="E71">
        <v>12</v>
      </c>
      <c r="F71" s="11">
        <v>0</v>
      </c>
    </row>
    <row r="72" spans="1:6" x14ac:dyDescent="0.35">
      <c r="A72" t="s">
        <v>2856</v>
      </c>
      <c r="B72" t="s">
        <v>2865</v>
      </c>
      <c r="C72" t="s">
        <v>1427</v>
      </c>
      <c r="D72" t="s">
        <v>2902</v>
      </c>
      <c r="E72">
        <v>0</v>
      </c>
      <c r="F72" s="11">
        <v>1</v>
      </c>
    </row>
    <row r="73" spans="1:6" x14ac:dyDescent="0.35">
      <c r="A73" t="s">
        <v>2856</v>
      </c>
      <c r="B73" t="s">
        <v>2865</v>
      </c>
      <c r="C73" t="s">
        <v>1427</v>
      </c>
      <c r="D73" t="s">
        <v>2903</v>
      </c>
      <c r="E73">
        <v>20085</v>
      </c>
      <c r="F73" s="11">
        <v>1</v>
      </c>
    </row>
    <row r="74" spans="1:6" x14ac:dyDescent="0.35">
      <c r="A74" t="s">
        <v>2856</v>
      </c>
      <c r="B74" t="s">
        <v>2865</v>
      </c>
      <c r="C74" t="s">
        <v>1427</v>
      </c>
      <c r="D74" t="s">
        <v>2904</v>
      </c>
      <c r="E74">
        <v>17774</v>
      </c>
      <c r="F74" s="11">
        <v>1</v>
      </c>
    </row>
    <row r="75" spans="1:6" x14ac:dyDescent="0.35">
      <c r="A75" t="s">
        <v>2856</v>
      </c>
      <c r="B75" t="s">
        <v>2865</v>
      </c>
      <c r="C75" t="s">
        <v>1427</v>
      </c>
      <c r="D75" t="s">
        <v>2905</v>
      </c>
      <c r="E75">
        <v>886</v>
      </c>
      <c r="F75" s="11">
        <v>1</v>
      </c>
    </row>
    <row r="76" spans="1:6" x14ac:dyDescent="0.35">
      <c r="A76" t="s">
        <v>2856</v>
      </c>
      <c r="B76" t="s">
        <v>2865</v>
      </c>
      <c r="C76" t="s">
        <v>1427</v>
      </c>
      <c r="D76" t="s">
        <v>2906</v>
      </c>
      <c r="E76">
        <v>1425</v>
      </c>
      <c r="F76" s="11">
        <v>1</v>
      </c>
    </row>
    <row r="77" spans="1:6" x14ac:dyDescent="0.35">
      <c r="A77" t="s">
        <v>2856</v>
      </c>
      <c r="B77" t="s">
        <v>2865</v>
      </c>
      <c r="C77" t="s">
        <v>1427</v>
      </c>
      <c r="D77" t="s">
        <v>2907</v>
      </c>
      <c r="E77">
        <v>12857</v>
      </c>
      <c r="F77" s="11">
        <v>1</v>
      </c>
    </row>
    <row r="78" spans="1:6" x14ac:dyDescent="0.35">
      <c r="A78" t="s">
        <v>2856</v>
      </c>
      <c r="B78" t="s">
        <v>2865</v>
      </c>
      <c r="C78" t="s">
        <v>1427</v>
      </c>
      <c r="D78" t="s">
        <v>2908</v>
      </c>
      <c r="E78">
        <v>10985</v>
      </c>
      <c r="F78" s="11">
        <v>1</v>
      </c>
    </row>
    <row r="79" spans="1:6" x14ac:dyDescent="0.35">
      <c r="A79" t="s">
        <v>2856</v>
      </c>
      <c r="B79" t="s">
        <v>2865</v>
      </c>
      <c r="C79" t="s">
        <v>1427</v>
      </c>
      <c r="D79" t="s">
        <v>2909</v>
      </c>
      <c r="E79">
        <v>1100</v>
      </c>
      <c r="F79" s="11">
        <v>1</v>
      </c>
    </row>
    <row r="80" spans="1:6" x14ac:dyDescent="0.35">
      <c r="A80" t="s">
        <v>2856</v>
      </c>
      <c r="B80" t="s">
        <v>2865</v>
      </c>
      <c r="C80" t="s">
        <v>1427</v>
      </c>
      <c r="D80" t="s">
        <v>2910</v>
      </c>
      <c r="E80">
        <v>772</v>
      </c>
      <c r="F80" s="11">
        <v>1</v>
      </c>
    </row>
    <row r="81" spans="1:6" x14ac:dyDescent="0.35">
      <c r="A81" t="s">
        <v>2856</v>
      </c>
      <c r="B81" t="s">
        <v>2865</v>
      </c>
      <c r="C81" t="s">
        <v>1427</v>
      </c>
      <c r="D81" t="s">
        <v>2911</v>
      </c>
      <c r="E81">
        <v>347263</v>
      </c>
      <c r="F81" s="11">
        <v>1</v>
      </c>
    </row>
    <row r="82" spans="1:6" x14ac:dyDescent="0.35">
      <c r="A82" t="s">
        <v>2856</v>
      </c>
      <c r="B82" t="s">
        <v>2865</v>
      </c>
      <c r="C82" t="s">
        <v>1427</v>
      </c>
      <c r="D82" t="s">
        <v>2912</v>
      </c>
      <c r="E82">
        <v>256150</v>
      </c>
      <c r="F82" s="11">
        <v>1</v>
      </c>
    </row>
    <row r="83" spans="1:6" x14ac:dyDescent="0.35">
      <c r="A83" t="s">
        <v>2856</v>
      </c>
      <c r="B83" t="s">
        <v>2865</v>
      </c>
      <c r="C83" t="s">
        <v>1427</v>
      </c>
      <c r="D83" t="s">
        <v>2913</v>
      </c>
      <c r="E83">
        <v>0</v>
      </c>
      <c r="F83" s="11">
        <v>0</v>
      </c>
    </row>
    <row r="84" spans="1:6" x14ac:dyDescent="0.35">
      <c r="A84" t="s">
        <v>2856</v>
      </c>
      <c r="B84" t="s">
        <v>2865</v>
      </c>
      <c r="C84" t="s">
        <v>1427</v>
      </c>
      <c r="D84" t="s">
        <v>2914</v>
      </c>
      <c r="E84">
        <v>0</v>
      </c>
      <c r="F84" s="11">
        <v>0</v>
      </c>
    </row>
    <row r="85" spans="1:6" x14ac:dyDescent="0.35">
      <c r="A85" t="s">
        <v>2856</v>
      </c>
      <c r="B85" t="s">
        <v>2865</v>
      </c>
      <c r="C85" t="s">
        <v>1427</v>
      </c>
      <c r="D85" t="s">
        <v>2915</v>
      </c>
      <c r="E85">
        <v>2440</v>
      </c>
      <c r="F85" s="11">
        <v>1</v>
      </c>
    </row>
    <row r="86" spans="1:6" x14ac:dyDescent="0.35">
      <c r="A86" t="s">
        <v>2856</v>
      </c>
      <c r="B86" t="s">
        <v>2865</v>
      </c>
      <c r="C86" t="s">
        <v>1427</v>
      </c>
      <c r="D86" t="s">
        <v>2916</v>
      </c>
      <c r="E86">
        <v>36044</v>
      </c>
      <c r="F86" s="11">
        <v>1</v>
      </c>
    </row>
    <row r="87" spans="1:6" x14ac:dyDescent="0.35">
      <c r="A87" t="s">
        <v>2856</v>
      </c>
      <c r="B87" t="s">
        <v>2865</v>
      </c>
      <c r="C87" t="s">
        <v>1427</v>
      </c>
      <c r="D87" t="s">
        <v>2917</v>
      </c>
      <c r="E87">
        <v>0</v>
      </c>
      <c r="F87" s="11">
        <v>0</v>
      </c>
    </row>
    <row r="88" spans="1:6" x14ac:dyDescent="0.35">
      <c r="A88" t="s">
        <v>2856</v>
      </c>
      <c r="B88" t="s">
        <v>2864</v>
      </c>
      <c r="C88" t="s">
        <v>1557</v>
      </c>
      <c r="D88" t="s">
        <v>2875</v>
      </c>
      <c r="E88">
        <v>21168</v>
      </c>
      <c r="F88" s="11">
        <v>1</v>
      </c>
    </row>
    <row r="89" spans="1:6" x14ac:dyDescent="0.35">
      <c r="A89" t="s">
        <v>2856</v>
      </c>
      <c r="B89" t="s">
        <v>2864</v>
      </c>
      <c r="C89" t="s">
        <v>1557</v>
      </c>
      <c r="D89" t="s">
        <v>2876</v>
      </c>
      <c r="E89">
        <v>4849</v>
      </c>
      <c r="F89" s="11">
        <v>1</v>
      </c>
    </row>
    <row r="90" spans="1:6" x14ac:dyDescent="0.35">
      <c r="A90" t="s">
        <v>2856</v>
      </c>
      <c r="B90" t="s">
        <v>2864</v>
      </c>
      <c r="C90" t="s">
        <v>1557</v>
      </c>
      <c r="D90" t="s">
        <v>2877</v>
      </c>
      <c r="E90">
        <v>15314</v>
      </c>
      <c r="F90" s="11">
        <v>1</v>
      </c>
    </row>
    <row r="91" spans="1:6" x14ac:dyDescent="0.35">
      <c r="A91" t="s">
        <v>2856</v>
      </c>
      <c r="B91" t="s">
        <v>2864</v>
      </c>
      <c r="C91" t="s">
        <v>1557</v>
      </c>
      <c r="D91" t="s">
        <v>2878</v>
      </c>
      <c r="E91">
        <v>1005</v>
      </c>
      <c r="F91" s="11">
        <v>1</v>
      </c>
    </row>
    <row r="92" spans="1:6" x14ac:dyDescent="0.35">
      <c r="A92" t="s">
        <v>2856</v>
      </c>
      <c r="B92" t="s">
        <v>2864</v>
      </c>
      <c r="C92" t="s">
        <v>1557</v>
      </c>
      <c r="D92" t="s">
        <v>2879</v>
      </c>
      <c r="E92">
        <v>1528</v>
      </c>
      <c r="F92" s="11">
        <v>1</v>
      </c>
    </row>
    <row r="93" spans="1:6" x14ac:dyDescent="0.35">
      <c r="A93" t="s">
        <v>2856</v>
      </c>
      <c r="B93" t="s">
        <v>2864</v>
      </c>
      <c r="C93" t="s">
        <v>1557</v>
      </c>
      <c r="D93" t="s">
        <v>2880</v>
      </c>
      <c r="E93">
        <v>0</v>
      </c>
      <c r="F93" s="11">
        <v>1</v>
      </c>
    </row>
    <row r="94" spans="1:6" x14ac:dyDescent="0.35">
      <c r="A94" t="s">
        <v>2856</v>
      </c>
      <c r="B94" t="s">
        <v>2864</v>
      </c>
      <c r="C94" t="s">
        <v>1557</v>
      </c>
      <c r="D94" t="s">
        <v>2881</v>
      </c>
      <c r="E94">
        <v>0</v>
      </c>
      <c r="F94" s="11">
        <v>1</v>
      </c>
    </row>
    <row r="95" spans="1:6" x14ac:dyDescent="0.35">
      <c r="A95" t="s">
        <v>2856</v>
      </c>
      <c r="B95" t="s">
        <v>2864</v>
      </c>
      <c r="C95" t="s">
        <v>1557</v>
      </c>
      <c r="D95" t="s">
        <v>2882</v>
      </c>
      <c r="E95">
        <v>0</v>
      </c>
      <c r="F95" s="11">
        <v>1</v>
      </c>
    </row>
    <row r="96" spans="1:6" x14ac:dyDescent="0.35">
      <c r="A96" t="s">
        <v>2856</v>
      </c>
      <c r="B96" t="s">
        <v>2864</v>
      </c>
      <c r="C96" t="s">
        <v>1557</v>
      </c>
      <c r="D96" t="s">
        <v>2883</v>
      </c>
      <c r="E96">
        <v>13</v>
      </c>
      <c r="F96" s="11">
        <v>0</v>
      </c>
    </row>
    <row r="97" spans="1:6" x14ac:dyDescent="0.35">
      <c r="A97" t="s">
        <v>2856</v>
      </c>
      <c r="B97" t="s">
        <v>2864</v>
      </c>
      <c r="C97" t="s">
        <v>1557</v>
      </c>
      <c r="D97" t="s">
        <v>2884</v>
      </c>
      <c r="E97">
        <v>13</v>
      </c>
      <c r="F97" s="11">
        <v>0</v>
      </c>
    </row>
    <row r="98" spans="1:6" x14ac:dyDescent="0.35">
      <c r="A98" t="s">
        <v>2856</v>
      </c>
      <c r="B98" t="s">
        <v>2864</v>
      </c>
      <c r="C98" t="s">
        <v>1557</v>
      </c>
      <c r="D98" t="s">
        <v>2885</v>
      </c>
      <c r="E98">
        <v>0</v>
      </c>
      <c r="F98" s="11">
        <v>0</v>
      </c>
    </row>
    <row r="99" spans="1:6" x14ac:dyDescent="0.35">
      <c r="A99" t="s">
        <v>2856</v>
      </c>
      <c r="B99" t="s">
        <v>2864</v>
      </c>
      <c r="C99" t="s">
        <v>1557</v>
      </c>
      <c r="D99" t="s">
        <v>2886</v>
      </c>
      <c r="E99">
        <v>0</v>
      </c>
      <c r="F99" s="11">
        <v>1</v>
      </c>
    </row>
    <row r="100" spans="1:6" x14ac:dyDescent="0.35">
      <c r="A100" t="s">
        <v>2856</v>
      </c>
      <c r="B100" t="s">
        <v>2864</v>
      </c>
      <c r="C100" t="s">
        <v>1557</v>
      </c>
      <c r="D100" t="s">
        <v>2887</v>
      </c>
      <c r="E100">
        <v>29604</v>
      </c>
      <c r="F100" s="11">
        <v>1</v>
      </c>
    </row>
    <row r="101" spans="1:6" x14ac:dyDescent="0.35">
      <c r="A101" t="s">
        <v>2856</v>
      </c>
      <c r="B101" t="s">
        <v>2864</v>
      </c>
      <c r="C101" t="s">
        <v>1557</v>
      </c>
      <c r="D101" t="s">
        <v>2888</v>
      </c>
      <c r="E101">
        <v>13082</v>
      </c>
      <c r="F101" s="11">
        <v>1</v>
      </c>
    </row>
    <row r="102" spans="1:6" x14ac:dyDescent="0.35">
      <c r="A102" t="s">
        <v>2856</v>
      </c>
      <c r="B102" t="s">
        <v>2864</v>
      </c>
      <c r="C102" t="s">
        <v>1557</v>
      </c>
      <c r="D102" t="s">
        <v>2889</v>
      </c>
      <c r="E102">
        <v>16495</v>
      </c>
      <c r="F102" s="11">
        <v>0</v>
      </c>
    </row>
    <row r="103" spans="1:6" x14ac:dyDescent="0.35">
      <c r="A103" t="s">
        <v>2856</v>
      </c>
      <c r="B103" t="s">
        <v>2864</v>
      </c>
      <c r="C103" t="s">
        <v>1557</v>
      </c>
      <c r="D103" t="s">
        <v>2890</v>
      </c>
      <c r="E103">
        <v>0</v>
      </c>
      <c r="F103" s="11">
        <v>1</v>
      </c>
    </row>
    <row r="104" spans="1:6" x14ac:dyDescent="0.35">
      <c r="A104" t="s">
        <v>2856</v>
      </c>
      <c r="B104" t="s">
        <v>2864</v>
      </c>
      <c r="C104" t="s">
        <v>1557</v>
      </c>
      <c r="D104" t="s">
        <v>2891</v>
      </c>
      <c r="E104">
        <v>99</v>
      </c>
      <c r="F104" s="11">
        <v>1</v>
      </c>
    </row>
    <row r="105" spans="1:6" x14ac:dyDescent="0.35">
      <c r="A105" t="s">
        <v>2856</v>
      </c>
      <c r="B105" t="s">
        <v>2864</v>
      </c>
      <c r="C105" t="s">
        <v>1557</v>
      </c>
      <c r="D105" t="s">
        <v>2892</v>
      </c>
      <c r="E105">
        <v>99</v>
      </c>
      <c r="F105" s="11">
        <v>0</v>
      </c>
    </row>
    <row r="106" spans="1:6" x14ac:dyDescent="0.35">
      <c r="A106" t="s">
        <v>2856</v>
      </c>
      <c r="B106" t="s">
        <v>2864</v>
      </c>
      <c r="C106" t="s">
        <v>1557</v>
      </c>
      <c r="D106" t="s">
        <v>2893</v>
      </c>
      <c r="E106">
        <v>0</v>
      </c>
      <c r="F106" s="11">
        <v>0</v>
      </c>
    </row>
    <row r="107" spans="1:6" x14ac:dyDescent="0.35">
      <c r="A107" t="s">
        <v>2856</v>
      </c>
      <c r="B107" t="s">
        <v>2864</v>
      </c>
      <c r="C107" t="s">
        <v>1557</v>
      </c>
      <c r="D107" t="s">
        <v>2894</v>
      </c>
      <c r="E107">
        <v>0</v>
      </c>
      <c r="F107" s="11">
        <v>1</v>
      </c>
    </row>
    <row r="108" spans="1:6" x14ac:dyDescent="0.35">
      <c r="A108" t="s">
        <v>2856</v>
      </c>
      <c r="B108" t="s">
        <v>2864</v>
      </c>
      <c r="C108" t="s">
        <v>1557</v>
      </c>
      <c r="D108" t="s">
        <v>2895</v>
      </c>
      <c r="E108">
        <v>410788</v>
      </c>
      <c r="F108" s="11">
        <v>1</v>
      </c>
    </row>
    <row r="109" spans="1:6" x14ac:dyDescent="0.35">
      <c r="A109" t="s">
        <v>2856</v>
      </c>
      <c r="B109" t="s">
        <v>2864</v>
      </c>
      <c r="C109" t="s">
        <v>1557</v>
      </c>
      <c r="D109" t="s">
        <v>2896</v>
      </c>
      <c r="E109">
        <v>207546</v>
      </c>
      <c r="F109" s="11">
        <v>1</v>
      </c>
    </row>
    <row r="110" spans="1:6" x14ac:dyDescent="0.35">
      <c r="A110" t="s">
        <v>2856</v>
      </c>
      <c r="B110" t="s">
        <v>2864</v>
      </c>
      <c r="C110" t="s">
        <v>1557</v>
      </c>
      <c r="D110" t="s">
        <v>2897</v>
      </c>
      <c r="E110">
        <v>193150</v>
      </c>
      <c r="F110" s="11">
        <v>1</v>
      </c>
    </row>
    <row r="111" spans="1:6" x14ac:dyDescent="0.35">
      <c r="A111" t="s">
        <v>2856</v>
      </c>
      <c r="B111" t="s">
        <v>2864</v>
      </c>
      <c r="C111" t="s">
        <v>1557</v>
      </c>
      <c r="D111" t="s">
        <v>2898</v>
      </c>
      <c r="E111">
        <v>10092</v>
      </c>
      <c r="F111" s="11">
        <v>1</v>
      </c>
    </row>
    <row r="112" spans="1:6" x14ac:dyDescent="0.35">
      <c r="A112" t="s">
        <v>2856</v>
      </c>
      <c r="B112" t="s">
        <v>2864</v>
      </c>
      <c r="C112" t="s">
        <v>1557</v>
      </c>
      <c r="D112" t="s">
        <v>2899</v>
      </c>
      <c r="E112">
        <v>3517</v>
      </c>
      <c r="F112" s="11">
        <v>1</v>
      </c>
    </row>
    <row r="113" spans="1:6" x14ac:dyDescent="0.35">
      <c r="A113" t="s">
        <v>2856</v>
      </c>
      <c r="B113" t="s">
        <v>2864</v>
      </c>
      <c r="C113" t="s">
        <v>1557</v>
      </c>
      <c r="D113" t="s">
        <v>2900</v>
      </c>
      <c r="E113">
        <v>2174</v>
      </c>
      <c r="F113" s="11">
        <v>1</v>
      </c>
    </row>
    <row r="114" spans="1:6" x14ac:dyDescent="0.35">
      <c r="A114" t="s">
        <v>2856</v>
      </c>
      <c r="B114" t="s">
        <v>2864</v>
      </c>
      <c r="C114" t="s">
        <v>1557</v>
      </c>
      <c r="D114" t="s">
        <v>2901</v>
      </c>
      <c r="E114">
        <v>1343</v>
      </c>
      <c r="F114" s="11">
        <v>0</v>
      </c>
    </row>
    <row r="115" spans="1:6" x14ac:dyDescent="0.35">
      <c r="A115" t="s">
        <v>2856</v>
      </c>
      <c r="B115" t="s">
        <v>2864</v>
      </c>
      <c r="C115" t="s">
        <v>1557</v>
      </c>
      <c r="D115" t="s">
        <v>2902</v>
      </c>
      <c r="E115">
        <v>0</v>
      </c>
      <c r="F115" s="11">
        <v>1</v>
      </c>
    </row>
    <row r="116" spans="1:6" x14ac:dyDescent="0.35">
      <c r="A116" t="s">
        <v>2856</v>
      </c>
      <c r="B116" t="s">
        <v>2864</v>
      </c>
      <c r="C116" t="s">
        <v>1557</v>
      </c>
      <c r="D116" t="s">
        <v>2903</v>
      </c>
      <c r="E116">
        <v>26139</v>
      </c>
      <c r="F116" s="11">
        <v>1</v>
      </c>
    </row>
    <row r="117" spans="1:6" x14ac:dyDescent="0.35">
      <c r="A117" t="s">
        <v>2856</v>
      </c>
      <c r="B117" t="s">
        <v>2864</v>
      </c>
      <c r="C117" t="s">
        <v>1557</v>
      </c>
      <c r="D117" t="s">
        <v>2904</v>
      </c>
      <c r="E117">
        <v>21964</v>
      </c>
      <c r="F117" s="11">
        <v>1</v>
      </c>
    </row>
    <row r="118" spans="1:6" x14ac:dyDescent="0.35">
      <c r="A118" t="s">
        <v>2856</v>
      </c>
      <c r="B118" t="s">
        <v>2864</v>
      </c>
      <c r="C118" t="s">
        <v>1557</v>
      </c>
      <c r="D118" t="s">
        <v>2905</v>
      </c>
      <c r="E118">
        <v>2647</v>
      </c>
      <c r="F118" s="11">
        <v>1</v>
      </c>
    </row>
    <row r="119" spans="1:6" x14ac:dyDescent="0.35">
      <c r="A119" t="s">
        <v>2856</v>
      </c>
      <c r="B119" t="s">
        <v>2864</v>
      </c>
      <c r="C119" t="s">
        <v>1557</v>
      </c>
      <c r="D119" t="s">
        <v>2906</v>
      </c>
      <c r="E119">
        <v>1528</v>
      </c>
      <c r="F119" s="11">
        <v>1</v>
      </c>
    </row>
    <row r="120" spans="1:6" x14ac:dyDescent="0.35">
      <c r="A120" t="s">
        <v>2856</v>
      </c>
      <c r="B120" t="s">
        <v>2864</v>
      </c>
      <c r="C120" t="s">
        <v>1557</v>
      </c>
      <c r="D120" t="s">
        <v>2907</v>
      </c>
      <c r="E120">
        <v>89529</v>
      </c>
      <c r="F120" s="11">
        <v>1</v>
      </c>
    </row>
    <row r="121" spans="1:6" x14ac:dyDescent="0.35">
      <c r="A121" t="s">
        <v>2856</v>
      </c>
      <c r="B121" t="s">
        <v>2864</v>
      </c>
      <c r="C121" t="s">
        <v>1557</v>
      </c>
      <c r="D121" t="s">
        <v>2908</v>
      </c>
      <c r="E121">
        <v>71343</v>
      </c>
      <c r="F121" s="11">
        <v>1</v>
      </c>
    </row>
    <row r="122" spans="1:6" x14ac:dyDescent="0.35">
      <c r="A122" t="s">
        <v>2856</v>
      </c>
      <c r="B122" t="s">
        <v>2864</v>
      </c>
      <c r="C122" t="s">
        <v>1557</v>
      </c>
      <c r="D122" t="s">
        <v>2909</v>
      </c>
      <c r="E122">
        <v>14067</v>
      </c>
      <c r="F122" s="11">
        <v>1</v>
      </c>
    </row>
    <row r="123" spans="1:6" x14ac:dyDescent="0.35">
      <c r="A123" t="s">
        <v>2856</v>
      </c>
      <c r="B123" t="s">
        <v>2864</v>
      </c>
      <c r="C123" t="s">
        <v>1557</v>
      </c>
      <c r="D123" t="s">
        <v>2910</v>
      </c>
      <c r="E123">
        <v>4115</v>
      </c>
      <c r="F123" s="11">
        <v>1</v>
      </c>
    </row>
    <row r="124" spans="1:6" x14ac:dyDescent="0.35">
      <c r="A124" t="s">
        <v>2856</v>
      </c>
      <c r="B124" t="s">
        <v>2864</v>
      </c>
      <c r="C124" t="s">
        <v>1557</v>
      </c>
      <c r="D124" t="s">
        <v>2911</v>
      </c>
      <c r="E124">
        <v>241141</v>
      </c>
      <c r="F124" s="11">
        <v>1</v>
      </c>
    </row>
    <row r="125" spans="1:6" x14ac:dyDescent="0.35">
      <c r="A125" t="s">
        <v>2856</v>
      </c>
      <c r="B125" t="s">
        <v>2864</v>
      </c>
      <c r="C125" t="s">
        <v>1557</v>
      </c>
      <c r="D125" t="s">
        <v>2912</v>
      </c>
      <c r="E125">
        <v>224207</v>
      </c>
      <c r="F125" s="11">
        <v>1</v>
      </c>
    </row>
    <row r="126" spans="1:6" x14ac:dyDescent="0.35">
      <c r="A126" t="s">
        <v>2856</v>
      </c>
      <c r="B126" t="s">
        <v>2864</v>
      </c>
      <c r="C126" t="s">
        <v>1557</v>
      </c>
      <c r="D126" t="s">
        <v>2913</v>
      </c>
      <c r="E126">
        <v>0</v>
      </c>
      <c r="F126" s="11">
        <v>0</v>
      </c>
    </row>
    <row r="127" spans="1:6" x14ac:dyDescent="0.35">
      <c r="A127" t="s">
        <v>2856</v>
      </c>
      <c r="B127" t="s">
        <v>2864</v>
      </c>
      <c r="C127" t="s">
        <v>1557</v>
      </c>
      <c r="D127" t="s">
        <v>2914</v>
      </c>
      <c r="E127">
        <v>5506</v>
      </c>
      <c r="F127" s="11">
        <v>1</v>
      </c>
    </row>
    <row r="128" spans="1:6" x14ac:dyDescent="0.35">
      <c r="A128" t="s">
        <v>2856</v>
      </c>
      <c r="B128" t="s">
        <v>2864</v>
      </c>
      <c r="C128" t="s">
        <v>1557</v>
      </c>
      <c r="D128" t="s">
        <v>2915</v>
      </c>
      <c r="E128">
        <v>659</v>
      </c>
      <c r="F128" s="11">
        <v>0</v>
      </c>
    </row>
    <row r="129" spans="1:6" x14ac:dyDescent="0.35">
      <c r="A129" t="s">
        <v>2856</v>
      </c>
      <c r="B129" t="s">
        <v>2864</v>
      </c>
      <c r="C129" t="s">
        <v>1557</v>
      </c>
      <c r="D129" t="s">
        <v>2916</v>
      </c>
      <c r="E129">
        <v>20544</v>
      </c>
      <c r="F129" s="11">
        <v>1</v>
      </c>
    </row>
    <row r="130" spans="1:6" x14ac:dyDescent="0.35">
      <c r="A130" t="s">
        <v>2856</v>
      </c>
      <c r="B130" t="s">
        <v>2864</v>
      </c>
      <c r="C130" t="s">
        <v>1557</v>
      </c>
      <c r="D130" t="s">
        <v>2917</v>
      </c>
      <c r="E130">
        <v>0</v>
      </c>
      <c r="F130" s="11">
        <v>0</v>
      </c>
    </row>
    <row r="131" spans="1:6" x14ac:dyDescent="0.35">
      <c r="A131" t="s">
        <v>2856</v>
      </c>
      <c r="B131" t="s">
        <v>2863</v>
      </c>
      <c r="C131" t="s">
        <v>2643</v>
      </c>
      <c r="D131" t="s">
        <v>2875</v>
      </c>
      <c r="E131">
        <v>63079</v>
      </c>
      <c r="F131" s="11">
        <v>0</v>
      </c>
    </row>
    <row r="132" spans="1:6" x14ac:dyDescent="0.35">
      <c r="A132" t="s">
        <v>2856</v>
      </c>
      <c r="B132" t="s">
        <v>2863</v>
      </c>
      <c r="C132" t="s">
        <v>2643</v>
      </c>
      <c r="D132" t="s">
        <v>2876</v>
      </c>
      <c r="E132">
        <v>20085</v>
      </c>
      <c r="F132" s="11">
        <v>0</v>
      </c>
    </row>
    <row r="133" spans="1:6" x14ac:dyDescent="0.35">
      <c r="A133" t="s">
        <v>2856</v>
      </c>
      <c r="B133" t="s">
        <v>2863</v>
      </c>
      <c r="C133" t="s">
        <v>2643</v>
      </c>
      <c r="D133" t="s">
        <v>2877</v>
      </c>
      <c r="E133">
        <v>36438</v>
      </c>
      <c r="F133" s="11">
        <v>0</v>
      </c>
    </row>
    <row r="134" spans="1:6" x14ac:dyDescent="0.35">
      <c r="A134" t="s">
        <v>2856</v>
      </c>
      <c r="B134" t="s">
        <v>2863</v>
      </c>
      <c r="C134" t="s">
        <v>2643</v>
      </c>
      <c r="D134" t="s">
        <v>2878</v>
      </c>
      <c r="E134">
        <v>6556</v>
      </c>
      <c r="F134" s="11">
        <v>0</v>
      </c>
    </row>
    <row r="135" spans="1:6" x14ac:dyDescent="0.35">
      <c r="A135" t="s">
        <v>2856</v>
      </c>
      <c r="B135" t="s">
        <v>2863</v>
      </c>
      <c r="C135" t="s">
        <v>2643</v>
      </c>
      <c r="D135" t="s">
        <v>2879</v>
      </c>
      <c r="E135">
        <v>13779</v>
      </c>
      <c r="F135" s="11">
        <v>0</v>
      </c>
    </row>
    <row r="136" spans="1:6" x14ac:dyDescent="0.35">
      <c r="A136" t="s">
        <v>2856</v>
      </c>
      <c r="B136" t="s">
        <v>2863</v>
      </c>
      <c r="C136" t="s">
        <v>2643</v>
      </c>
      <c r="D136" t="s">
        <v>2880</v>
      </c>
      <c r="E136">
        <v>0</v>
      </c>
      <c r="F136" s="11">
        <v>0</v>
      </c>
    </row>
    <row r="137" spans="1:6" x14ac:dyDescent="0.35">
      <c r="A137" t="s">
        <v>2856</v>
      </c>
      <c r="B137" t="s">
        <v>2863</v>
      </c>
      <c r="C137" t="s">
        <v>2643</v>
      </c>
      <c r="D137" t="s">
        <v>2881</v>
      </c>
      <c r="E137">
        <v>0</v>
      </c>
      <c r="F137" s="11">
        <v>0</v>
      </c>
    </row>
    <row r="138" spans="1:6" x14ac:dyDescent="0.35">
      <c r="A138" t="s">
        <v>2856</v>
      </c>
      <c r="B138" t="s">
        <v>2863</v>
      </c>
      <c r="C138" t="s">
        <v>2643</v>
      </c>
      <c r="D138" t="s">
        <v>2882</v>
      </c>
      <c r="E138">
        <v>0</v>
      </c>
      <c r="F138" s="11">
        <v>0</v>
      </c>
    </row>
    <row r="139" spans="1:6" x14ac:dyDescent="0.35">
      <c r="A139" t="s">
        <v>2856</v>
      </c>
      <c r="B139" t="s">
        <v>2863</v>
      </c>
      <c r="C139" t="s">
        <v>2643</v>
      </c>
      <c r="D139" t="s">
        <v>2883</v>
      </c>
      <c r="E139">
        <v>0</v>
      </c>
      <c r="F139" s="11">
        <v>0</v>
      </c>
    </row>
    <row r="140" spans="1:6" x14ac:dyDescent="0.35">
      <c r="A140" t="s">
        <v>2856</v>
      </c>
      <c r="B140" t="s">
        <v>2863</v>
      </c>
      <c r="C140" t="s">
        <v>2643</v>
      </c>
      <c r="D140" t="s">
        <v>2884</v>
      </c>
      <c r="E140">
        <v>0</v>
      </c>
      <c r="F140" s="11">
        <v>0</v>
      </c>
    </row>
    <row r="141" spans="1:6" x14ac:dyDescent="0.35">
      <c r="A141" t="s">
        <v>2856</v>
      </c>
      <c r="B141" t="s">
        <v>2863</v>
      </c>
      <c r="C141" t="s">
        <v>2643</v>
      </c>
      <c r="D141" t="s">
        <v>2885</v>
      </c>
      <c r="E141">
        <v>0</v>
      </c>
      <c r="F141" s="11">
        <v>0</v>
      </c>
    </row>
    <row r="142" spans="1:6" x14ac:dyDescent="0.35">
      <c r="A142" t="s">
        <v>2856</v>
      </c>
      <c r="B142" t="s">
        <v>2863</v>
      </c>
      <c r="C142" t="s">
        <v>2643</v>
      </c>
      <c r="D142" t="s">
        <v>2886</v>
      </c>
      <c r="E142">
        <v>0</v>
      </c>
      <c r="F142" s="11">
        <v>0</v>
      </c>
    </row>
    <row r="143" spans="1:6" x14ac:dyDescent="0.35">
      <c r="A143" t="s">
        <v>2856</v>
      </c>
      <c r="B143" t="s">
        <v>2863</v>
      </c>
      <c r="C143" t="s">
        <v>2643</v>
      </c>
      <c r="D143" t="s">
        <v>2887</v>
      </c>
      <c r="E143">
        <v>220636</v>
      </c>
      <c r="F143" s="11">
        <v>0</v>
      </c>
    </row>
    <row r="144" spans="1:6" x14ac:dyDescent="0.35">
      <c r="A144" t="s">
        <v>2856</v>
      </c>
      <c r="B144" t="s">
        <v>2863</v>
      </c>
      <c r="C144" t="s">
        <v>2643</v>
      </c>
      <c r="D144" t="s">
        <v>2888</v>
      </c>
      <c r="E144">
        <v>0</v>
      </c>
      <c r="F144" s="11">
        <v>0</v>
      </c>
    </row>
    <row r="145" spans="1:6" x14ac:dyDescent="0.35">
      <c r="A145" t="s">
        <v>2856</v>
      </c>
      <c r="B145" t="s">
        <v>2863</v>
      </c>
      <c r="C145" t="s">
        <v>2643</v>
      </c>
      <c r="D145" t="s">
        <v>2889</v>
      </c>
      <c r="E145">
        <v>0</v>
      </c>
      <c r="F145" s="11">
        <v>0</v>
      </c>
    </row>
    <row r="146" spans="1:6" x14ac:dyDescent="0.35">
      <c r="A146" t="s">
        <v>2856</v>
      </c>
      <c r="B146" t="s">
        <v>2863</v>
      </c>
      <c r="C146" t="s">
        <v>2643</v>
      </c>
      <c r="D146" t="s">
        <v>2890</v>
      </c>
      <c r="E146">
        <v>0</v>
      </c>
      <c r="F146" s="11">
        <v>0</v>
      </c>
    </row>
    <row r="147" spans="1:6" x14ac:dyDescent="0.35">
      <c r="A147" t="s">
        <v>2856</v>
      </c>
      <c r="B147" t="s">
        <v>2863</v>
      </c>
      <c r="C147" t="s">
        <v>2643</v>
      </c>
      <c r="D147" t="s">
        <v>2891</v>
      </c>
      <c r="E147">
        <v>0</v>
      </c>
      <c r="F147" s="11">
        <v>0</v>
      </c>
    </row>
    <row r="148" spans="1:6" x14ac:dyDescent="0.35">
      <c r="A148" t="s">
        <v>2856</v>
      </c>
      <c r="B148" t="s">
        <v>2863</v>
      </c>
      <c r="C148" t="s">
        <v>2643</v>
      </c>
      <c r="D148" t="s">
        <v>2892</v>
      </c>
      <c r="E148">
        <v>0</v>
      </c>
      <c r="F148" s="11">
        <v>0</v>
      </c>
    </row>
    <row r="149" spans="1:6" x14ac:dyDescent="0.35">
      <c r="A149" t="s">
        <v>2856</v>
      </c>
      <c r="B149" t="s">
        <v>2863</v>
      </c>
      <c r="C149" t="s">
        <v>2643</v>
      </c>
      <c r="D149" t="s">
        <v>2893</v>
      </c>
      <c r="E149">
        <v>0</v>
      </c>
      <c r="F149" s="11">
        <v>0</v>
      </c>
    </row>
    <row r="150" spans="1:6" x14ac:dyDescent="0.35">
      <c r="A150" t="s">
        <v>2856</v>
      </c>
      <c r="B150" t="s">
        <v>2863</v>
      </c>
      <c r="C150" t="s">
        <v>2643</v>
      </c>
      <c r="D150" t="s">
        <v>2894</v>
      </c>
      <c r="E150">
        <v>0</v>
      </c>
      <c r="F150" s="11">
        <v>0</v>
      </c>
    </row>
    <row r="151" spans="1:6" x14ac:dyDescent="0.35">
      <c r="A151" t="s">
        <v>2856</v>
      </c>
      <c r="B151" t="s">
        <v>2863</v>
      </c>
      <c r="C151" t="s">
        <v>2643</v>
      </c>
      <c r="D151" t="s">
        <v>2895</v>
      </c>
      <c r="E151">
        <v>1319974</v>
      </c>
      <c r="F151" s="11">
        <v>0</v>
      </c>
    </row>
    <row r="152" spans="1:6" x14ac:dyDescent="0.35">
      <c r="A152" t="s">
        <v>2856</v>
      </c>
      <c r="B152" t="s">
        <v>2863</v>
      </c>
      <c r="C152" t="s">
        <v>2643</v>
      </c>
      <c r="D152" t="s">
        <v>2896</v>
      </c>
      <c r="E152">
        <v>566699</v>
      </c>
      <c r="F152" s="11">
        <v>0</v>
      </c>
    </row>
    <row r="153" spans="1:6" x14ac:dyDescent="0.35">
      <c r="A153" t="s">
        <v>2856</v>
      </c>
      <c r="B153" t="s">
        <v>2863</v>
      </c>
      <c r="C153" t="s">
        <v>2643</v>
      </c>
      <c r="D153" t="s">
        <v>2897</v>
      </c>
      <c r="E153">
        <v>696575</v>
      </c>
      <c r="F153" s="11">
        <v>0</v>
      </c>
    </row>
    <row r="154" spans="1:6" x14ac:dyDescent="0.35">
      <c r="A154" t="s">
        <v>2856</v>
      </c>
      <c r="B154" t="s">
        <v>2863</v>
      </c>
      <c r="C154" t="s">
        <v>2643</v>
      </c>
      <c r="D154" t="s">
        <v>2898</v>
      </c>
      <c r="E154">
        <v>56700</v>
      </c>
      <c r="F154" s="11">
        <v>0</v>
      </c>
    </row>
    <row r="155" spans="1:6" x14ac:dyDescent="0.35">
      <c r="A155" t="s">
        <v>2856</v>
      </c>
      <c r="B155" t="s">
        <v>2863</v>
      </c>
      <c r="C155" t="s">
        <v>2643</v>
      </c>
      <c r="D155" t="s">
        <v>2899</v>
      </c>
      <c r="E155">
        <v>19771</v>
      </c>
      <c r="F155" s="11">
        <v>0</v>
      </c>
    </row>
    <row r="156" spans="1:6" x14ac:dyDescent="0.35">
      <c r="A156" t="s">
        <v>2856</v>
      </c>
      <c r="B156" t="s">
        <v>2863</v>
      </c>
      <c r="C156" t="s">
        <v>2643</v>
      </c>
      <c r="D156" t="s">
        <v>2900</v>
      </c>
      <c r="E156">
        <v>17973</v>
      </c>
      <c r="F156" s="11">
        <v>0</v>
      </c>
    </row>
    <row r="157" spans="1:6" x14ac:dyDescent="0.35">
      <c r="A157" t="s">
        <v>2856</v>
      </c>
      <c r="B157" t="s">
        <v>2863</v>
      </c>
      <c r="C157" t="s">
        <v>2643</v>
      </c>
      <c r="D157" t="s">
        <v>2901</v>
      </c>
      <c r="E157">
        <v>1715</v>
      </c>
      <c r="F157" s="11">
        <v>0</v>
      </c>
    </row>
    <row r="158" spans="1:6" x14ac:dyDescent="0.35">
      <c r="A158" t="s">
        <v>2856</v>
      </c>
      <c r="B158" t="s">
        <v>2863</v>
      </c>
      <c r="C158" t="s">
        <v>2643</v>
      </c>
      <c r="D158" t="s">
        <v>2902</v>
      </c>
      <c r="E158">
        <v>83</v>
      </c>
      <c r="F158" s="11">
        <v>0</v>
      </c>
    </row>
    <row r="159" spans="1:6" x14ac:dyDescent="0.35">
      <c r="A159" t="s">
        <v>2856</v>
      </c>
      <c r="B159" t="s">
        <v>2863</v>
      </c>
      <c r="C159" t="s">
        <v>2643</v>
      </c>
      <c r="D159" t="s">
        <v>2903</v>
      </c>
      <c r="E159">
        <v>39828</v>
      </c>
      <c r="F159" s="11">
        <v>0</v>
      </c>
    </row>
    <row r="160" spans="1:6" x14ac:dyDescent="0.35">
      <c r="A160" t="s">
        <v>2856</v>
      </c>
      <c r="B160" t="s">
        <v>2863</v>
      </c>
      <c r="C160" t="s">
        <v>2643</v>
      </c>
      <c r="D160" t="s">
        <v>2904</v>
      </c>
      <c r="E160">
        <v>34269</v>
      </c>
      <c r="F160" s="11">
        <v>0</v>
      </c>
    </row>
    <row r="161" spans="1:6" x14ac:dyDescent="0.35">
      <c r="A161" t="s">
        <v>2856</v>
      </c>
      <c r="B161" t="s">
        <v>2863</v>
      </c>
      <c r="C161" t="s">
        <v>2643</v>
      </c>
      <c r="D161" t="s">
        <v>2905</v>
      </c>
      <c r="E161">
        <v>3430</v>
      </c>
      <c r="F161" s="11">
        <v>0</v>
      </c>
    </row>
    <row r="162" spans="1:6" x14ac:dyDescent="0.35">
      <c r="A162" t="s">
        <v>2856</v>
      </c>
      <c r="B162" t="s">
        <v>2863</v>
      </c>
      <c r="C162" t="s">
        <v>2643</v>
      </c>
      <c r="D162" t="s">
        <v>2906</v>
      </c>
      <c r="E162">
        <v>2129</v>
      </c>
      <c r="F162" s="11">
        <v>0</v>
      </c>
    </row>
    <row r="163" spans="1:6" x14ac:dyDescent="0.35">
      <c r="A163" t="s">
        <v>2856</v>
      </c>
      <c r="B163" t="s">
        <v>2863</v>
      </c>
      <c r="C163" t="s">
        <v>2643</v>
      </c>
      <c r="D163" t="s">
        <v>2907</v>
      </c>
      <c r="E163">
        <v>24530</v>
      </c>
      <c r="F163" s="11">
        <v>0</v>
      </c>
    </row>
    <row r="164" spans="1:6" x14ac:dyDescent="0.35">
      <c r="A164" t="s">
        <v>2856</v>
      </c>
      <c r="B164" t="s">
        <v>2863</v>
      </c>
      <c r="C164" t="s">
        <v>2643</v>
      </c>
      <c r="D164" t="s">
        <v>2908</v>
      </c>
      <c r="E164">
        <v>21008</v>
      </c>
      <c r="F164" s="11">
        <v>0</v>
      </c>
    </row>
    <row r="165" spans="1:6" x14ac:dyDescent="0.35">
      <c r="A165" t="s">
        <v>2856</v>
      </c>
      <c r="B165" t="s">
        <v>2863</v>
      </c>
      <c r="C165" t="s">
        <v>2643</v>
      </c>
      <c r="D165" t="s">
        <v>2909</v>
      </c>
      <c r="E165">
        <v>2564</v>
      </c>
      <c r="F165" s="11">
        <v>0</v>
      </c>
    </row>
    <row r="166" spans="1:6" x14ac:dyDescent="0.35">
      <c r="A166" t="s">
        <v>2856</v>
      </c>
      <c r="B166" t="s">
        <v>2863</v>
      </c>
      <c r="C166" t="s">
        <v>2643</v>
      </c>
      <c r="D166" t="s">
        <v>2910</v>
      </c>
      <c r="E166">
        <v>958</v>
      </c>
      <c r="F166" s="11">
        <v>0</v>
      </c>
    </row>
    <row r="167" spans="1:6" x14ac:dyDescent="0.35">
      <c r="A167" t="s">
        <v>2856</v>
      </c>
      <c r="B167" t="s">
        <v>2863</v>
      </c>
      <c r="C167" t="s">
        <v>2643</v>
      </c>
      <c r="D167" t="s">
        <v>2911</v>
      </c>
      <c r="E167">
        <v>2159836</v>
      </c>
      <c r="F167" s="11">
        <v>0</v>
      </c>
    </row>
    <row r="168" spans="1:6" x14ac:dyDescent="0.35">
      <c r="A168" t="s">
        <v>2856</v>
      </c>
      <c r="B168" t="s">
        <v>2863</v>
      </c>
      <c r="C168" t="s">
        <v>2643</v>
      </c>
      <c r="D168" t="s">
        <v>2912</v>
      </c>
      <c r="E168">
        <v>0</v>
      </c>
      <c r="F168" s="11">
        <v>0</v>
      </c>
    </row>
    <row r="169" spans="1:6" x14ac:dyDescent="0.35">
      <c r="A169" t="s">
        <v>2856</v>
      </c>
      <c r="B169" t="s">
        <v>2863</v>
      </c>
      <c r="C169" t="s">
        <v>2643</v>
      </c>
      <c r="D169" t="s">
        <v>2913</v>
      </c>
      <c r="E169">
        <v>0</v>
      </c>
      <c r="F169" s="11">
        <v>0</v>
      </c>
    </row>
    <row r="170" spans="1:6" x14ac:dyDescent="0.35">
      <c r="A170" t="s">
        <v>2856</v>
      </c>
      <c r="B170" t="s">
        <v>2863</v>
      </c>
      <c r="C170" t="s">
        <v>2643</v>
      </c>
      <c r="D170" t="s">
        <v>2914</v>
      </c>
      <c r="E170">
        <v>3172</v>
      </c>
      <c r="F170" s="11">
        <v>0</v>
      </c>
    </row>
    <row r="171" spans="1:6" x14ac:dyDescent="0.35">
      <c r="A171" t="s">
        <v>2856</v>
      </c>
      <c r="B171" t="s">
        <v>2863</v>
      </c>
      <c r="C171" t="s">
        <v>2643</v>
      </c>
      <c r="D171" t="s">
        <v>2915</v>
      </c>
      <c r="E171">
        <v>3427</v>
      </c>
      <c r="F171" s="11">
        <v>0</v>
      </c>
    </row>
    <row r="172" spans="1:6" x14ac:dyDescent="0.35">
      <c r="A172" t="s">
        <v>2856</v>
      </c>
      <c r="B172" t="s">
        <v>2863</v>
      </c>
      <c r="C172" t="s">
        <v>2643</v>
      </c>
      <c r="D172" t="s">
        <v>2916</v>
      </c>
      <c r="E172">
        <v>166970</v>
      </c>
      <c r="F172" s="11">
        <v>0</v>
      </c>
    </row>
    <row r="173" spans="1:6" x14ac:dyDescent="0.35">
      <c r="A173" t="s">
        <v>2856</v>
      </c>
      <c r="B173" t="s">
        <v>2863</v>
      </c>
      <c r="C173" t="s">
        <v>2643</v>
      </c>
      <c r="D173" t="s">
        <v>2917</v>
      </c>
      <c r="E173">
        <v>0</v>
      </c>
      <c r="F173" s="11">
        <v>0</v>
      </c>
    </row>
    <row r="174" spans="1:6" x14ac:dyDescent="0.35">
      <c r="A174" t="s">
        <v>2856</v>
      </c>
      <c r="B174" t="s">
        <v>2865</v>
      </c>
      <c r="C174" t="s">
        <v>1455</v>
      </c>
      <c r="D174" t="s">
        <v>2875</v>
      </c>
      <c r="E174">
        <v>12572</v>
      </c>
      <c r="F174" s="11">
        <v>1</v>
      </c>
    </row>
    <row r="175" spans="1:6" x14ac:dyDescent="0.35">
      <c r="A175" t="s">
        <v>2856</v>
      </c>
      <c r="B175" t="s">
        <v>2865</v>
      </c>
      <c r="C175" t="s">
        <v>1455</v>
      </c>
      <c r="D175" t="s">
        <v>2876</v>
      </c>
      <c r="E175">
        <v>2911</v>
      </c>
      <c r="F175" s="11">
        <v>0</v>
      </c>
    </row>
    <row r="176" spans="1:6" x14ac:dyDescent="0.35">
      <c r="A176" t="s">
        <v>2856</v>
      </c>
      <c r="B176" t="s">
        <v>2865</v>
      </c>
      <c r="C176" t="s">
        <v>1455</v>
      </c>
      <c r="D176" t="s">
        <v>2877</v>
      </c>
      <c r="E176">
        <v>8782</v>
      </c>
      <c r="F176" s="11">
        <v>0</v>
      </c>
    </row>
    <row r="177" spans="1:6" x14ac:dyDescent="0.35">
      <c r="A177" t="s">
        <v>2856</v>
      </c>
      <c r="B177" t="s">
        <v>2865</v>
      </c>
      <c r="C177" t="s">
        <v>1455</v>
      </c>
      <c r="D177" t="s">
        <v>2878</v>
      </c>
      <c r="E177">
        <v>879</v>
      </c>
      <c r="F177" s="11">
        <v>0</v>
      </c>
    </row>
    <row r="178" spans="1:6" x14ac:dyDescent="0.35">
      <c r="A178" t="s">
        <v>2856</v>
      </c>
      <c r="B178" t="s">
        <v>2865</v>
      </c>
      <c r="C178" t="s">
        <v>1455</v>
      </c>
      <c r="D178" t="s">
        <v>2879</v>
      </c>
      <c r="E178">
        <v>1530</v>
      </c>
      <c r="F178" s="11">
        <v>1</v>
      </c>
    </row>
    <row r="179" spans="1:6" x14ac:dyDescent="0.35">
      <c r="A179" t="s">
        <v>2856</v>
      </c>
      <c r="B179" t="s">
        <v>2865</v>
      </c>
      <c r="C179" t="s">
        <v>1455</v>
      </c>
      <c r="D179" t="s">
        <v>2880</v>
      </c>
      <c r="E179">
        <v>780</v>
      </c>
      <c r="F179" s="11">
        <v>1</v>
      </c>
    </row>
    <row r="180" spans="1:6" x14ac:dyDescent="0.35">
      <c r="A180" t="s">
        <v>2856</v>
      </c>
      <c r="B180" t="s">
        <v>2865</v>
      </c>
      <c r="C180" t="s">
        <v>1455</v>
      </c>
      <c r="D180" t="s">
        <v>2881</v>
      </c>
      <c r="E180">
        <v>0</v>
      </c>
      <c r="F180" s="11">
        <v>1</v>
      </c>
    </row>
    <row r="181" spans="1:6" x14ac:dyDescent="0.35">
      <c r="A181" t="s">
        <v>2856</v>
      </c>
      <c r="B181" t="s">
        <v>2865</v>
      </c>
      <c r="C181" t="s">
        <v>1455</v>
      </c>
      <c r="D181" t="s">
        <v>2882</v>
      </c>
      <c r="E181">
        <v>0</v>
      </c>
      <c r="F181" s="11">
        <v>1</v>
      </c>
    </row>
    <row r="182" spans="1:6" x14ac:dyDescent="0.35">
      <c r="A182" t="s">
        <v>2856</v>
      </c>
      <c r="B182" t="s">
        <v>2865</v>
      </c>
      <c r="C182" t="s">
        <v>1455</v>
      </c>
      <c r="D182" t="s">
        <v>2883</v>
      </c>
      <c r="E182">
        <v>0</v>
      </c>
      <c r="F182" s="11">
        <v>1</v>
      </c>
    </row>
    <row r="183" spans="1:6" x14ac:dyDescent="0.35">
      <c r="A183" t="s">
        <v>2856</v>
      </c>
      <c r="B183" t="s">
        <v>2865</v>
      </c>
      <c r="C183" t="s">
        <v>1455</v>
      </c>
      <c r="D183" t="s">
        <v>2884</v>
      </c>
      <c r="E183">
        <v>0</v>
      </c>
      <c r="F183" s="11">
        <v>1</v>
      </c>
    </row>
    <row r="184" spans="1:6" x14ac:dyDescent="0.35">
      <c r="A184" t="s">
        <v>2856</v>
      </c>
      <c r="B184" t="s">
        <v>2865</v>
      </c>
      <c r="C184" t="s">
        <v>1455</v>
      </c>
      <c r="D184" t="s">
        <v>2885</v>
      </c>
      <c r="E184">
        <v>0</v>
      </c>
      <c r="F184" s="11">
        <v>1</v>
      </c>
    </row>
    <row r="185" spans="1:6" x14ac:dyDescent="0.35">
      <c r="A185" t="s">
        <v>2856</v>
      </c>
      <c r="B185" t="s">
        <v>2865</v>
      </c>
      <c r="C185" t="s">
        <v>1455</v>
      </c>
      <c r="D185" t="s">
        <v>2886</v>
      </c>
      <c r="E185">
        <v>0</v>
      </c>
      <c r="F185" s="11">
        <v>1</v>
      </c>
    </row>
    <row r="186" spans="1:6" x14ac:dyDescent="0.35">
      <c r="A186" t="s">
        <v>2856</v>
      </c>
      <c r="B186" t="s">
        <v>2865</v>
      </c>
      <c r="C186" t="s">
        <v>1455</v>
      </c>
      <c r="D186" t="s">
        <v>2887</v>
      </c>
      <c r="E186">
        <v>15716</v>
      </c>
      <c r="F186" s="11">
        <v>1</v>
      </c>
    </row>
    <row r="187" spans="1:6" x14ac:dyDescent="0.35">
      <c r="A187" t="s">
        <v>2856</v>
      </c>
      <c r="B187" t="s">
        <v>2865</v>
      </c>
      <c r="C187" t="s">
        <v>1455</v>
      </c>
      <c r="D187" t="s">
        <v>2888</v>
      </c>
      <c r="E187">
        <v>4884</v>
      </c>
      <c r="F187" s="11">
        <v>1</v>
      </c>
    </row>
    <row r="188" spans="1:6" x14ac:dyDescent="0.35">
      <c r="A188" t="s">
        <v>2856</v>
      </c>
      <c r="B188" t="s">
        <v>2865</v>
      </c>
      <c r="C188" t="s">
        <v>1455</v>
      </c>
      <c r="D188" t="s">
        <v>2889</v>
      </c>
      <c r="E188">
        <v>0</v>
      </c>
      <c r="F188" s="11">
        <v>1</v>
      </c>
    </row>
    <row r="189" spans="1:6" x14ac:dyDescent="0.35">
      <c r="A189" t="s">
        <v>2856</v>
      </c>
      <c r="B189" t="s">
        <v>2865</v>
      </c>
      <c r="C189" t="s">
        <v>1455</v>
      </c>
      <c r="D189" t="s">
        <v>2890</v>
      </c>
      <c r="E189">
        <v>0</v>
      </c>
      <c r="F189" s="11">
        <v>1</v>
      </c>
    </row>
    <row r="190" spans="1:6" x14ac:dyDescent="0.35">
      <c r="A190" t="s">
        <v>2856</v>
      </c>
      <c r="B190" t="s">
        <v>2865</v>
      </c>
      <c r="C190" t="s">
        <v>1455</v>
      </c>
      <c r="D190" t="s">
        <v>2891</v>
      </c>
      <c r="E190">
        <v>0</v>
      </c>
      <c r="F190" s="11">
        <v>1</v>
      </c>
    </row>
    <row r="191" spans="1:6" x14ac:dyDescent="0.35">
      <c r="A191" t="s">
        <v>2856</v>
      </c>
      <c r="B191" t="s">
        <v>2865</v>
      </c>
      <c r="C191" t="s">
        <v>1455</v>
      </c>
      <c r="D191" t="s">
        <v>2892</v>
      </c>
      <c r="E191">
        <v>0</v>
      </c>
      <c r="F191" s="11">
        <v>1</v>
      </c>
    </row>
    <row r="192" spans="1:6" x14ac:dyDescent="0.35">
      <c r="A192" t="s">
        <v>2856</v>
      </c>
      <c r="B192" t="s">
        <v>2865</v>
      </c>
      <c r="C192" t="s">
        <v>1455</v>
      </c>
      <c r="D192" t="s">
        <v>2893</v>
      </c>
      <c r="E192">
        <v>0</v>
      </c>
      <c r="F192" s="11">
        <v>1</v>
      </c>
    </row>
    <row r="193" spans="1:6" x14ac:dyDescent="0.35">
      <c r="A193" t="s">
        <v>2856</v>
      </c>
      <c r="B193" t="s">
        <v>2865</v>
      </c>
      <c r="C193" t="s">
        <v>1455</v>
      </c>
      <c r="D193" t="s">
        <v>2894</v>
      </c>
      <c r="E193">
        <v>0</v>
      </c>
      <c r="F193" s="11">
        <v>1</v>
      </c>
    </row>
    <row r="194" spans="1:6" x14ac:dyDescent="0.35">
      <c r="A194" t="s">
        <v>2856</v>
      </c>
      <c r="B194" t="s">
        <v>2865</v>
      </c>
      <c r="C194" t="s">
        <v>1455</v>
      </c>
      <c r="D194" t="s">
        <v>2895</v>
      </c>
      <c r="E194">
        <v>174731</v>
      </c>
      <c r="F194" s="11">
        <v>1</v>
      </c>
    </row>
    <row r="195" spans="1:6" x14ac:dyDescent="0.35">
      <c r="A195" t="s">
        <v>2856</v>
      </c>
      <c r="B195" t="s">
        <v>2865</v>
      </c>
      <c r="C195" t="s">
        <v>1455</v>
      </c>
      <c r="D195" t="s">
        <v>2896</v>
      </c>
      <c r="E195">
        <v>97926</v>
      </c>
      <c r="F195" s="11">
        <v>1</v>
      </c>
    </row>
    <row r="196" spans="1:6" x14ac:dyDescent="0.35">
      <c r="A196" t="s">
        <v>2856</v>
      </c>
      <c r="B196" t="s">
        <v>2865</v>
      </c>
      <c r="C196" t="s">
        <v>1455</v>
      </c>
      <c r="D196" t="s">
        <v>2897</v>
      </c>
      <c r="E196">
        <v>76805</v>
      </c>
      <c r="F196" s="11">
        <v>0</v>
      </c>
    </row>
    <row r="197" spans="1:6" x14ac:dyDescent="0.35">
      <c r="A197" t="s">
        <v>2856</v>
      </c>
      <c r="B197" t="s">
        <v>2865</v>
      </c>
      <c r="C197" t="s">
        <v>1455</v>
      </c>
      <c r="D197" t="s">
        <v>2898</v>
      </c>
      <c r="E197">
        <v>0</v>
      </c>
      <c r="F197" s="11">
        <v>1</v>
      </c>
    </row>
    <row r="198" spans="1:6" x14ac:dyDescent="0.35">
      <c r="A198" t="s">
        <v>2856</v>
      </c>
      <c r="B198" t="s">
        <v>2865</v>
      </c>
      <c r="C198" t="s">
        <v>1455</v>
      </c>
      <c r="D198" t="s">
        <v>2899</v>
      </c>
      <c r="E198">
        <v>2693</v>
      </c>
      <c r="F198" s="11">
        <v>1</v>
      </c>
    </row>
    <row r="199" spans="1:6" x14ac:dyDescent="0.35">
      <c r="A199" t="s">
        <v>2856</v>
      </c>
      <c r="B199" t="s">
        <v>2865</v>
      </c>
      <c r="C199" t="s">
        <v>1455</v>
      </c>
      <c r="D199" t="s">
        <v>2900</v>
      </c>
      <c r="E199">
        <v>2499</v>
      </c>
      <c r="F199" s="11">
        <v>1</v>
      </c>
    </row>
    <row r="200" spans="1:6" x14ac:dyDescent="0.35">
      <c r="A200" t="s">
        <v>2856</v>
      </c>
      <c r="B200" t="s">
        <v>2865</v>
      </c>
      <c r="C200" t="s">
        <v>1455</v>
      </c>
      <c r="D200" t="s">
        <v>2901</v>
      </c>
      <c r="E200">
        <v>194</v>
      </c>
      <c r="F200" s="11">
        <v>0</v>
      </c>
    </row>
    <row r="201" spans="1:6" x14ac:dyDescent="0.35">
      <c r="A201" t="s">
        <v>2856</v>
      </c>
      <c r="B201" t="s">
        <v>2865</v>
      </c>
      <c r="C201" t="s">
        <v>1455</v>
      </c>
      <c r="D201" t="s">
        <v>2902</v>
      </c>
      <c r="E201">
        <v>0</v>
      </c>
      <c r="F201" s="11">
        <v>1</v>
      </c>
    </row>
    <row r="202" spans="1:6" x14ac:dyDescent="0.35">
      <c r="A202" t="s">
        <v>2856</v>
      </c>
      <c r="B202" t="s">
        <v>2865</v>
      </c>
      <c r="C202" t="s">
        <v>1455</v>
      </c>
      <c r="D202" t="s">
        <v>2903</v>
      </c>
      <c r="E202">
        <v>16444</v>
      </c>
      <c r="F202" s="11">
        <v>1</v>
      </c>
    </row>
    <row r="203" spans="1:6" x14ac:dyDescent="0.35">
      <c r="A203" t="s">
        <v>2856</v>
      </c>
      <c r="B203" t="s">
        <v>2865</v>
      </c>
      <c r="C203" t="s">
        <v>1455</v>
      </c>
      <c r="D203" t="s">
        <v>2904</v>
      </c>
      <c r="E203">
        <v>13761</v>
      </c>
      <c r="F203" s="11">
        <v>1</v>
      </c>
    </row>
    <row r="204" spans="1:6" x14ac:dyDescent="0.35">
      <c r="A204" t="s">
        <v>2856</v>
      </c>
      <c r="B204" t="s">
        <v>2865</v>
      </c>
      <c r="C204" t="s">
        <v>1455</v>
      </c>
      <c r="D204" t="s">
        <v>2905</v>
      </c>
      <c r="E204">
        <v>1652</v>
      </c>
      <c r="F204" s="11">
        <v>1</v>
      </c>
    </row>
    <row r="205" spans="1:6" x14ac:dyDescent="0.35">
      <c r="A205" t="s">
        <v>2856</v>
      </c>
      <c r="B205" t="s">
        <v>2865</v>
      </c>
      <c r="C205" t="s">
        <v>1455</v>
      </c>
      <c r="D205" t="s">
        <v>2906</v>
      </c>
      <c r="E205">
        <v>1031</v>
      </c>
      <c r="F205" s="11">
        <v>1</v>
      </c>
    </row>
    <row r="206" spans="1:6" x14ac:dyDescent="0.35">
      <c r="A206" t="s">
        <v>2856</v>
      </c>
      <c r="B206" t="s">
        <v>2865</v>
      </c>
      <c r="C206" t="s">
        <v>1455</v>
      </c>
      <c r="D206" t="s">
        <v>2907</v>
      </c>
      <c r="E206">
        <v>21942</v>
      </c>
      <c r="F206" s="11">
        <v>1</v>
      </c>
    </row>
    <row r="207" spans="1:6" x14ac:dyDescent="0.35">
      <c r="A207" t="s">
        <v>2856</v>
      </c>
      <c r="B207" t="s">
        <v>2865</v>
      </c>
      <c r="C207" t="s">
        <v>1455</v>
      </c>
      <c r="D207" t="s">
        <v>2908</v>
      </c>
      <c r="E207">
        <v>18415</v>
      </c>
      <c r="F207" s="11">
        <v>1</v>
      </c>
    </row>
    <row r="208" spans="1:6" x14ac:dyDescent="0.35">
      <c r="A208" t="s">
        <v>2856</v>
      </c>
      <c r="B208" t="s">
        <v>2865</v>
      </c>
      <c r="C208" t="s">
        <v>1455</v>
      </c>
      <c r="D208" t="s">
        <v>2909</v>
      </c>
      <c r="E208">
        <v>2383</v>
      </c>
      <c r="F208" s="11">
        <v>1</v>
      </c>
    </row>
    <row r="209" spans="1:6" x14ac:dyDescent="0.35">
      <c r="A209" t="s">
        <v>2856</v>
      </c>
      <c r="B209" t="s">
        <v>2865</v>
      </c>
      <c r="C209" t="s">
        <v>1455</v>
      </c>
      <c r="D209" t="s">
        <v>2910</v>
      </c>
      <c r="E209">
        <v>1144</v>
      </c>
      <c r="F209" s="11">
        <v>1</v>
      </c>
    </row>
    <row r="210" spans="1:6" x14ac:dyDescent="0.35">
      <c r="A210" t="s">
        <v>2856</v>
      </c>
      <c r="B210" t="s">
        <v>2865</v>
      </c>
      <c r="C210" t="s">
        <v>1455</v>
      </c>
      <c r="D210" t="s">
        <v>2911</v>
      </c>
      <c r="E210">
        <v>217725</v>
      </c>
      <c r="F210" s="11">
        <v>1</v>
      </c>
    </row>
    <row r="211" spans="1:6" x14ac:dyDescent="0.35">
      <c r="A211" t="s">
        <v>2856</v>
      </c>
      <c r="B211" t="s">
        <v>2865</v>
      </c>
      <c r="C211" t="s">
        <v>1455</v>
      </c>
      <c r="D211" t="s">
        <v>2912</v>
      </c>
      <c r="E211">
        <v>0</v>
      </c>
      <c r="F211" s="11">
        <v>1</v>
      </c>
    </row>
    <row r="212" spans="1:6" x14ac:dyDescent="0.35">
      <c r="A212" t="s">
        <v>2856</v>
      </c>
      <c r="B212" t="s">
        <v>2865</v>
      </c>
      <c r="C212" t="s">
        <v>1455</v>
      </c>
      <c r="D212" t="s">
        <v>2913</v>
      </c>
      <c r="E212">
        <v>0</v>
      </c>
      <c r="F212" s="11">
        <v>0</v>
      </c>
    </row>
    <row r="213" spans="1:6" x14ac:dyDescent="0.35">
      <c r="A213" t="s">
        <v>2856</v>
      </c>
      <c r="B213" t="s">
        <v>2865</v>
      </c>
      <c r="C213" t="s">
        <v>1455</v>
      </c>
      <c r="D213" t="s">
        <v>2914</v>
      </c>
      <c r="E213">
        <v>0</v>
      </c>
      <c r="F213" s="11">
        <v>0</v>
      </c>
    </row>
    <row r="214" spans="1:6" x14ac:dyDescent="0.35">
      <c r="A214" t="s">
        <v>2856</v>
      </c>
      <c r="B214" t="s">
        <v>2865</v>
      </c>
      <c r="C214" t="s">
        <v>1455</v>
      </c>
      <c r="D214" t="s">
        <v>2915</v>
      </c>
      <c r="E214">
        <v>1522</v>
      </c>
      <c r="F214" s="11">
        <v>1</v>
      </c>
    </row>
    <row r="215" spans="1:6" x14ac:dyDescent="0.35">
      <c r="A215" t="s">
        <v>2856</v>
      </c>
      <c r="B215" t="s">
        <v>2865</v>
      </c>
      <c r="C215" t="s">
        <v>1455</v>
      </c>
      <c r="D215" t="s">
        <v>2916</v>
      </c>
      <c r="E215">
        <v>0</v>
      </c>
      <c r="F215" s="11">
        <v>0</v>
      </c>
    </row>
    <row r="216" spans="1:6" x14ac:dyDescent="0.35">
      <c r="A216" t="s">
        <v>2856</v>
      </c>
      <c r="B216" t="s">
        <v>2865</v>
      </c>
      <c r="C216" t="s">
        <v>1455</v>
      </c>
      <c r="D216" t="s">
        <v>2917</v>
      </c>
      <c r="E216">
        <v>0</v>
      </c>
      <c r="F216" s="11">
        <v>0</v>
      </c>
    </row>
    <row r="217" spans="1:6" x14ac:dyDescent="0.35">
      <c r="A217" t="s">
        <v>2856</v>
      </c>
      <c r="B217" t="s">
        <v>2865</v>
      </c>
      <c r="C217" t="s">
        <v>1440</v>
      </c>
      <c r="D217" t="s">
        <v>2875</v>
      </c>
      <c r="E217">
        <v>13600</v>
      </c>
      <c r="F217" s="11">
        <v>1</v>
      </c>
    </row>
    <row r="218" spans="1:6" x14ac:dyDescent="0.35">
      <c r="A218" t="s">
        <v>2856</v>
      </c>
      <c r="B218" t="s">
        <v>2865</v>
      </c>
      <c r="C218" t="s">
        <v>1440</v>
      </c>
      <c r="D218" t="s">
        <v>2876</v>
      </c>
      <c r="E218">
        <v>0</v>
      </c>
      <c r="F218" s="11">
        <v>0</v>
      </c>
    </row>
    <row r="219" spans="1:6" x14ac:dyDescent="0.35">
      <c r="A219" t="s">
        <v>2856</v>
      </c>
      <c r="B219" t="s">
        <v>2865</v>
      </c>
      <c r="C219" t="s">
        <v>1440</v>
      </c>
      <c r="D219" t="s">
        <v>2877</v>
      </c>
      <c r="E219">
        <v>10403</v>
      </c>
      <c r="F219" s="11">
        <v>0</v>
      </c>
    </row>
    <row r="220" spans="1:6" x14ac:dyDescent="0.35">
      <c r="A220" t="s">
        <v>2856</v>
      </c>
      <c r="B220" t="s">
        <v>2865</v>
      </c>
      <c r="C220" t="s">
        <v>1440</v>
      </c>
      <c r="D220" t="s">
        <v>2878</v>
      </c>
      <c r="E220">
        <v>0</v>
      </c>
      <c r="F220" s="11">
        <v>0</v>
      </c>
    </row>
    <row r="221" spans="1:6" x14ac:dyDescent="0.35">
      <c r="A221" t="s">
        <v>2856</v>
      </c>
      <c r="B221" t="s">
        <v>2865</v>
      </c>
      <c r="C221" t="s">
        <v>1440</v>
      </c>
      <c r="D221" t="s">
        <v>2879</v>
      </c>
      <c r="E221">
        <v>2107</v>
      </c>
      <c r="F221" s="11">
        <v>1</v>
      </c>
    </row>
    <row r="222" spans="1:6" x14ac:dyDescent="0.35">
      <c r="A222" t="s">
        <v>2856</v>
      </c>
      <c r="B222" t="s">
        <v>2865</v>
      </c>
      <c r="C222" t="s">
        <v>1440</v>
      </c>
      <c r="D222" t="s">
        <v>2880</v>
      </c>
      <c r="E222">
        <v>0</v>
      </c>
      <c r="F222" s="11">
        <v>0</v>
      </c>
    </row>
    <row r="223" spans="1:6" x14ac:dyDescent="0.35">
      <c r="A223" t="s">
        <v>2856</v>
      </c>
      <c r="B223" t="s">
        <v>2865</v>
      </c>
      <c r="C223" t="s">
        <v>1440</v>
      </c>
      <c r="D223" t="s">
        <v>2881</v>
      </c>
      <c r="E223">
        <v>0</v>
      </c>
      <c r="F223" s="11">
        <v>0</v>
      </c>
    </row>
    <row r="224" spans="1:6" x14ac:dyDescent="0.35">
      <c r="A224" t="s">
        <v>2856</v>
      </c>
      <c r="B224" t="s">
        <v>2865</v>
      </c>
      <c r="C224" t="s">
        <v>1440</v>
      </c>
      <c r="D224" t="s">
        <v>2882</v>
      </c>
      <c r="E224">
        <v>0</v>
      </c>
      <c r="F224" s="11">
        <v>0</v>
      </c>
    </row>
    <row r="225" spans="1:6" x14ac:dyDescent="0.35">
      <c r="A225" t="s">
        <v>2856</v>
      </c>
      <c r="B225" t="s">
        <v>2865</v>
      </c>
      <c r="C225" t="s">
        <v>1440</v>
      </c>
      <c r="D225" t="s">
        <v>2883</v>
      </c>
      <c r="E225">
        <v>0</v>
      </c>
      <c r="F225" s="11">
        <v>0</v>
      </c>
    </row>
    <row r="226" spans="1:6" x14ac:dyDescent="0.35">
      <c r="A226" t="s">
        <v>2856</v>
      </c>
      <c r="B226" t="s">
        <v>2865</v>
      </c>
      <c r="C226" t="s">
        <v>1440</v>
      </c>
      <c r="D226" t="s">
        <v>2884</v>
      </c>
      <c r="E226">
        <v>0</v>
      </c>
      <c r="F226" s="11">
        <v>0</v>
      </c>
    </row>
    <row r="227" spans="1:6" x14ac:dyDescent="0.35">
      <c r="A227" t="s">
        <v>2856</v>
      </c>
      <c r="B227" t="s">
        <v>2865</v>
      </c>
      <c r="C227" t="s">
        <v>1440</v>
      </c>
      <c r="D227" t="s">
        <v>2885</v>
      </c>
      <c r="E227">
        <v>0</v>
      </c>
      <c r="F227" s="11">
        <v>0</v>
      </c>
    </row>
    <row r="228" spans="1:6" x14ac:dyDescent="0.35">
      <c r="A228" t="s">
        <v>2856</v>
      </c>
      <c r="B228" t="s">
        <v>2865</v>
      </c>
      <c r="C228" t="s">
        <v>1440</v>
      </c>
      <c r="D228" t="s">
        <v>2886</v>
      </c>
      <c r="E228">
        <v>0</v>
      </c>
      <c r="F228" s="11">
        <v>0</v>
      </c>
    </row>
    <row r="229" spans="1:6" x14ac:dyDescent="0.35">
      <c r="A229" t="s">
        <v>2856</v>
      </c>
      <c r="B229" t="s">
        <v>2865</v>
      </c>
      <c r="C229" t="s">
        <v>1440</v>
      </c>
      <c r="D229" t="s">
        <v>2887</v>
      </c>
      <c r="E229">
        <v>29767</v>
      </c>
      <c r="F229" s="11">
        <v>1</v>
      </c>
    </row>
    <row r="230" spans="1:6" x14ac:dyDescent="0.35">
      <c r="A230" t="s">
        <v>2856</v>
      </c>
      <c r="B230" t="s">
        <v>2865</v>
      </c>
      <c r="C230" t="s">
        <v>1440</v>
      </c>
      <c r="D230" t="s">
        <v>2888</v>
      </c>
      <c r="E230">
        <v>15566</v>
      </c>
      <c r="F230" s="11">
        <v>1</v>
      </c>
    </row>
    <row r="231" spans="1:6" x14ac:dyDescent="0.35">
      <c r="A231" t="s">
        <v>2856</v>
      </c>
      <c r="B231" t="s">
        <v>2865</v>
      </c>
      <c r="C231" t="s">
        <v>1440</v>
      </c>
      <c r="D231" t="s">
        <v>2889</v>
      </c>
      <c r="E231">
        <v>13039</v>
      </c>
      <c r="F231" s="11">
        <v>1</v>
      </c>
    </row>
    <row r="232" spans="1:6" x14ac:dyDescent="0.35">
      <c r="A232" t="s">
        <v>2856</v>
      </c>
      <c r="B232" t="s">
        <v>2865</v>
      </c>
      <c r="C232" t="s">
        <v>1440</v>
      </c>
      <c r="D232" t="s">
        <v>2890</v>
      </c>
      <c r="E232">
        <v>1162</v>
      </c>
      <c r="F232" s="11">
        <v>1</v>
      </c>
    </row>
    <row r="233" spans="1:6" x14ac:dyDescent="0.35">
      <c r="A233" t="s">
        <v>2856</v>
      </c>
      <c r="B233" t="s">
        <v>2865</v>
      </c>
      <c r="C233" t="s">
        <v>1440</v>
      </c>
      <c r="D233" t="s">
        <v>2891</v>
      </c>
      <c r="E233">
        <v>0</v>
      </c>
      <c r="F233" s="11">
        <v>0</v>
      </c>
    </row>
    <row r="234" spans="1:6" x14ac:dyDescent="0.35">
      <c r="A234" t="s">
        <v>2856</v>
      </c>
      <c r="B234" t="s">
        <v>2865</v>
      </c>
      <c r="C234" t="s">
        <v>1440</v>
      </c>
      <c r="D234" t="s">
        <v>2892</v>
      </c>
      <c r="E234">
        <v>0</v>
      </c>
      <c r="F234" s="11">
        <v>0</v>
      </c>
    </row>
    <row r="235" spans="1:6" x14ac:dyDescent="0.35">
      <c r="A235" t="s">
        <v>2856</v>
      </c>
      <c r="B235" t="s">
        <v>2865</v>
      </c>
      <c r="C235" t="s">
        <v>1440</v>
      </c>
      <c r="D235" t="s">
        <v>2893</v>
      </c>
      <c r="E235">
        <v>0</v>
      </c>
      <c r="F235" s="11">
        <v>0</v>
      </c>
    </row>
    <row r="236" spans="1:6" x14ac:dyDescent="0.35">
      <c r="A236" t="s">
        <v>2856</v>
      </c>
      <c r="B236" t="s">
        <v>2865</v>
      </c>
      <c r="C236" t="s">
        <v>1440</v>
      </c>
      <c r="D236" t="s">
        <v>2894</v>
      </c>
      <c r="E236">
        <v>0</v>
      </c>
      <c r="F236" s="11">
        <v>0</v>
      </c>
    </row>
    <row r="237" spans="1:6" x14ac:dyDescent="0.35">
      <c r="A237" t="s">
        <v>2856</v>
      </c>
      <c r="B237" t="s">
        <v>2865</v>
      </c>
      <c r="C237" t="s">
        <v>1440</v>
      </c>
      <c r="D237" t="s">
        <v>2895</v>
      </c>
      <c r="E237">
        <v>137857</v>
      </c>
      <c r="F237" s="11">
        <v>1</v>
      </c>
    </row>
    <row r="238" spans="1:6" x14ac:dyDescent="0.35">
      <c r="A238" t="s">
        <v>2856</v>
      </c>
      <c r="B238" t="s">
        <v>2865</v>
      </c>
      <c r="C238" t="s">
        <v>1440</v>
      </c>
      <c r="D238" t="s">
        <v>2896</v>
      </c>
      <c r="E238">
        <v>86416</v>
      </c>
      <c r="F238" s="11">
        <v>1</v>
      </c>
    </row>
    <row r="239" spans="1:6" x14ac:dyDescent="0.35">
      <c r="A239" t="s">
        <v>2856</v>
      </c>
      <c r="B239" t="s">
        <v>2865</v>
      </c>
      <c r="C239" t="s">
        <v>1440</v>
      </c>
      <c r="D239" t="s">
        <v>2897</v>
      </c>
      <c r="E239">
        <v>49633</v>
      </c>
      <c r="F239" s="11">
        <v>1</v>
      </c>
    </row>
    <row r="240" spans="1:6" x14ac:dyDescent="0.35">
      <c r="A240" t="s">
        <v>2856</v>
      </c>
      <c r="B240" t="s">
        <v>2865</v>
      </c>
      <c r="C240" t="s">
        <v>1440</v>
      </c>
      <c r="D240" t="s">
        <v>2898</v>
      </c>
      <c r="E240">
        <v>1808</v>
      </c>
      <c r="F240" s="11">
        <v>1</v>
      </c>
    </row>
    <row r="241" spans="1:6" x14ac:dyDescent="0.35">
      <c r="A241" t="s">
        <v>2856</v>
      </c>
      <c r="B241" t="s">
        <v>2865</v>
      </c>
      <c r="C241" t="s">
        <v>1440</v>
      </c>
      <c r="D241" t="s">
        <v>2899</v>
      </c>
      <c r="E241">
        <v>2707</v>
      </c>
      <c r="F241" s="11">
        <v>1</v>
      </c>
    </row>
    <row r="242" spans="1:6" x14ac:dyDescent="0.35">
      <c r="A242" t="s">
        <v>2856</v>
      </c>
      <c r="B242" t="s">
        <v>2865</v>
      </c>
      <c r="C242" t="s">
        <v>1440</v>
      </c>
      <c r="D242" t="s">
        <v>2900</v>
      </c>
      <c r="E242">
        <v>0</v>
      </c>
      <c r="F242" s="11">
        <v>0</v>
      </c>
    </row>
    <row r="243" spans="1:6" x14ac:dyDescent="0.35">
      <c r="A243" t="s">
        <v>2856</v>
      </c>
      <c r="B243" t="s">
        <v>2865</v>
      </c>
      <c r="C243" t="s">
        <v>1440</v>
      </c>
      <c r="D243" t="s">
        <v>2901</v>
      </c>
      <c r="E243">
        <v>0</v>
      </c>
      <c r="F243" s="11">
        <v>0</v>
      </c>
    </row>
    <row r="244" spans="1:6" x14ac:dyDescent="0.35">
      <c r="A244" t="s">
        <v>2856</v>
      </c>
      <c r="B244" t="s">
        <v>2865</v>
      </c>
      <c r="C244" t="s">
        <v>1440</v>
      </c>
      <c r="D244" t="s">
        <v>2902</v>
      </c>
      <c r="E244">
        <v>0</v>
      </c>
      <c r="F244" s="11">
        <v>1</v>
      </c>
    </row>
    <row r="245" spans="1:6" x14ac:dyDescent="0.35">
      <c r="A245" t="s">
        <v>2856</v>
      </c>
      <c r="B245" t="s">
        <v>2865</v>
      </c>
      <c r="C245" t="s">
        <v>1440</v>
      </c>
      <c r="D245" t="s">
        <v>2903</v>
      </c>
      <c r="E245">
        <v>9096</v>
      </c>
      <c r="F245" s="11">
        <v>1</v>
      </c>
    </row>
    <row r="246" spans="1:6" x14ac:dyDescent="0.35">
      <c r="A246" t="s">
        <v>2856</v>
      </c>
      <c r="B246" t="s">
        <v>2865</v>
      </c>
      <c r="C246" t="s">
        <v>1440</v>
      </c>
      <c r="D246" t="s">
        <v>2904</v>
      </c>
      <c r="E246">
        <v>8300</v>
      </c>
      <c r="F246" s="11">
        <v>1</v>
      </c>
    </row>
    <row r="247" spans="1:6" x14ac:dyDescent="0.35">
      <c r="A247" t="s">
        <v>2856</v>
      </c>
      <c r="B247" t="s">
        <v>2865</v>
      </c>
      <c r="C247" t="s">
        <v>1440</v>
      </c>
      <c r="D247" t="s">
        <v>2905</v>
      </c>
      <c r="E247">
        <v>283</v>
      </c>
      <c r="F247" s="11">
        <v>1</v>
      </c>
    </row>
    <row r="248" spans="1:6" x14ac:dyDescent="0.35">
      <c r="A248" t="s">
        <v>2856</v>
      </c>
      <c r="B248" t="s">
        <v>2865</v>
      </c>
      <c r="C248" t="s">
        <v>1440</v>
      </c>
      <c r="D248" t="s">
        <v>2906</v>
      </c>
      <c r="E248">
        <v>513</v>
      </c>
      <c r="F248" s="11">
        <v>1</v>
      </c>
    </row>
    <row r="249" spans="1:6" x14ac:dyDescent="0.35">
      <c r="A249" t="s">
        <v>2856</v>
      </c>
      <c r="B249" t="s">
        <v>2865</v>
      </c>
      <c r="C249" t="s">
        <v>1440</v>
      </c>
      <c r="D249" t="s">
        <v>2907</v>
      </c>
      <c r="E249">
        <v>4944</v>
      </c>
      <c r="F249" s="11">
        <v>1</v>
      </c>
    </row>
    <row r="250" spans="1:6" x14ac:dyDescent="0.35">
      <c r="A250" t="s">
        <v>2856</v>
      </c>
      <c r="B250" t="s">
        <v>2865</v>
      </c>
      <c r="C250" t="s">
        <v>1440</v>
      </c>
      <c r="D250" t="s">
        <v>2908</v>
      </c>
      <c r="E250">
        <v>4200</v>
      </c>
      <c r="F250" s="11">
        <v>1</v>
      </c>
    </row>
    <row r="251" spans="1:6" x14ac:dyDescent="0.35">
      <c r="A251" t="s">
        <v>2856</v>
      </c>
      <c r="B251" t="s">
        <v>2865</v>
      </c>
      <c r="C251" t="s">
        <v>1440</v>
      </c>
      <c r="D251" t="s">
        <v>2909</v>
      </c>
      <c r="E251">
        <v>424</v>
      </c>
      <c r="F251" s="11">
        <v>1</v>
      </c>
    </row>
    <row r="252" spans="1:6" x14ac:dyDescent="0.35">
      <c r="A252" t="s">
        <v>2856</v>
      </c>
      <c r="B252" t="s">
        <v>2865</v>
      </c>
      <c r="C252" t="s">
        <v>1440</v>
      </c>
      <c r="D252" t="s">
        <v>2910</v>
      </c>
      <c r="E252">
        <v>320</v>
      </c>
      <c r="F252" s="11">
        <v>1</v>
      </c>
    </row>
    <row r="253" spans="1:6" x14ac:dyDescent="0.35">
      <c r="A253" t="s">
        <v>2856</v>
      </c>
      <c r="B253" t="s">
        <v>2865</v>
      </c>
      <c r="C253" t="s">
        <v>1440</v>
      </c>
      <c r="D253" t="s">
        <v>2911</v>
      </c>
      <c r="E253">
        <v>182519</v>
      </c>
      <c r="F253" s="11">
        <v>1</v>
      </c>
    </row>
    <row r="254" spans="1:6" x14ac:dyDescent="0.35">
      <c r="A254" t="s">
        <v>2856</v>
      </c>
      <c r="B254" t="s">
        <v>2865</v>
      </c>
      <c r="C254" t="s">
        <v>1440</v>
      </c>
      <c r="D254" t="s">
        <v>2912</v>
      </c>
      <c r="E254">
        <v>202398</v>
      </c>
      <c r="F254" s="11">
        <v>1</v>
      </c>
    </row>
    <row r="255" spans="1:6" x14ac:dyDescent="0.35">
      <c r="A255" t="s">
        <v>2856</v>
      </c>
      <c r="B255" t="s">
        <v>2865</v>
      </c>
      <c r="C255" t="s">
        <v>1440</v>
      </c>
      <c r="D255" t="s">
        <v>2913</v>
      </c>
      <c r="E255">
        <v>0</v>
      </c>
      <c r="F255" s="11">
        <v>0</v>
      </c>
    </row>
    <row r="256" spans="1:6" x14ac:dyDescent="0.35">
      <c r="A256" t="s">
        <v>2856</v>
      </c>
      <c r="B256" t="s">
        <v>2865</v>
      </c>
      <c r="C256" t="s">
        <v>1440</v>
      </c>
      <c r="D256" t="s">
        <v>2914</v>
      </c>
      <c r="E256">
        <v>0</v>
      </c>
      <c r="F256" s="11">
        <v>0</v>
      </c>
    </row>
    <row r="257" spans="1:6" x14ac:dyDescent="0.35">
      <c r="A257" t="s">
        <v>2856</v>
      </c>
      <c r="B257" t="s">
        <v>2865</v>
      </c>
      <c r="C257" t="s">
        <v>1440</v>
      </c>
      <c r="D257" t="s">
        <v>2915</v>
      </c>
      <c r="E257">
        <v>475</v>
      </c>
      <c r="F257" s="11">
        <v>1</v>
      </c>
    </row>
    <row r="258" spans="1:6" x14ac:dyDescent="0.35">
      <c r="A258" t="s">
        <v>2856</v>
      </c>
      <c r="B258" t="s">
        <v>2865</v>
      </c>
      <c r="C258" t="s">
        <v>1440</v>
      </c>
      <c r="D258" t="s">
        <v>2916</v>
      </c>
      <c r="E258">
        <v>25956</v>
      </c>
      <c r="F258" s="11">
        <v>1</v>
      </c>
    </row>
    <row r="259" spans="1:6" x14ac:dyDescent="0.35">
      <c r="A259" t="s">
        <v>2856</v>
      </c>
      <c r="B259" t="s">
        <v>2865</v>
      </c>
      <c r="C259" t="s">
        <v>1440</v>
      </c>
      <c r="D259" t="s">
        <v>2917</v>
      </c>
      <c r="E259">
        <v>0</v>
      </c>
      <c r="F259" s="11">
        <v>0</v>
      </c>
    </row>
    <row r="260" spans="1:6" x14ac:dyDescent="0.35">
      <c r="A260" t="s">
        <v>2856</v>
      </c>
      <c r="B260" t="s">
        <v>2865</v>
      </c>
      <c r="C260" t="s">
        <v>1399</v>
      </c>
      <c r="D260" t="s">
        <v>2875</v>
      </c>
      <c r="E260">
        <v>17669</v>
      </c>
      <c r="F260" s="11">
        <v>1</v>
      </c>
    </row>
    <row r="261" spans="1:6" x14ac:dyDescent="0.35">
      <c r="A261" t="s">
        <v>2856</v>
      </c>
      <c r="B261" t="s">
        <v>2865</v>
      </c>
      <c r="C261" t="s">
        <v>1399</v>
      </c>
      <c r="D261" t="s">
        <v>2876</v>
      </c>
      <c r="E261">
        <v>0</v>
      </c>
      <c r="F261" s="11">
        <v>1</v>
      </c>
    </row>
    <row r="262" spans="1:6" x14ac:dyDescent="0.35">
      <c r="A262" t="s">
        <v>2856</v>
      </c>
      <c r="B262" t="s">
        <v>2865</v>
      </c>
      <c r="C262" t="s">
        <v>1399</v>
      </c>
      <c r="D262" t="s">
        <v>2877</v>
      </c>
      <c r="E262">
        <v>0</v>
      </c>
      <c r="F262" s="11">
        <v>1</v>
      </c>
    </row>
    <row r="263" spans="1:6" x14ac:dyDescent="0.35">
      <c r="A263" t="s">
        <v>2856</v>
      </c>
      <c r="B263" t="s">
        <v>2865</v>
      </c>
      <c r="C263" t="s">
        <v>1399</v>
      </c>
      <c r="D263" t="s">
        <v>2878</v>
      </c>
      <c r="E263">
        <v>0</v>
      </c>
      <c r="F263" s="11">
        <v>1</v>
      </c>
    </row>
    <row r="264" spans="1:6" x14ac:dyDescent="0.35">
      <c r="A264" t="s">
        <v>2856</v>
      </c>
      <c r="B264" t="s">
        <v>2865</v>
      </c>
      <c r="C264" t="s">
        <v>1399</v>
      </c>
      <c r="D264" t="s">
        <v>2879</v>
      </c>
      <c r="E264">
        <v>0</v>
      </c>
      <c r="F264" s="11">
        <v>1</v>
      </c>
    </row>
    <row r="265" spans="1:6" x14ac:dyDescent="0.35">
      <c r="A265" t="s">
        <v>2856</v>
      </c>
      <c r="B265" t="s">
        <v>2865</v>
      </c>
      <c r="C265" t="s">
        <v>1399</v>
      </c>
      <c r="D265" t="s">
        <v>2880</v>
      </c>
      <c r="E265">
        <v>3042</v>
      </c>
      <c r="F265" s="11">
        <v>0</v>
      </c>
    </row>
    <row r="266" spans="1:6" x14ac:dyDescent="0.35">
      <c r="A266" t="s">
        <v>2856</v>
      </c>
      <c r="B266" t="s">
        <v>2865</v>
      </c>
      <c r="C266" t="s">
        <v>1399</v>
      </c>
      <c r="D266" t="s">
        <v>2881</v>
      </c>
      <c r="E266">
        <v>1908</v>
      </c>
      <c r="F266" s="11">
        <v>0</v>
      </c>
    </row>
    <row r="267" spans="1:6" x14ac:dyDescent="0.35">
      <c r="A267" t="s">
        <v>2856</v>
      </c>
      <c r="B267" t="s">
        <v>2865</v>
      </c>
      <c r="C267" t="s">
        <v>1399</v>
      </c>
      <c r="D267" t="s">
        <v>2882</v>
      </c>
      <c r="E267">
        <v>0</v>
      </c>
      <c r="F267" s="11">
        <v>0</v>
      </c>
    </row>
    <row r="268" spans="1:6" x14ac:dyDescent="0.35">
      <c r="A268" t="s">
        <v>2856</v>
      </c>
      <c r="B268" t="s">
        <v>2865</v>
      </c>
      <c r="C268" t="s">
        <v>1399</v>
      </c>
      <c r="D268" t="s">
        <v>2883</v>
      </c>
      <c r="E268">
        <v>0</v>
      </c>
      <c r="F268" s="11">
        <v>0</v>
      </c>
    </row>
    <row r="269" spans="1:6" x14ac:dyDescent="0.35">
      <c r="A269" t="s">
        <v>2856</v>
      </c>
      <c r="B269" t="s">
        <v>2865</v>
      </c>
      <c r="C269" t="s">
        <v>1399</v>
      </c>
      <c r="D269" t="s">
        <v>2884</v>
      </c>
      <c r="E269">
        <v>0</v>
      </c>
      <c r="F269" s="11">
        <v>0</v>
      </c>
    </row>
    <row r="270" spans="1:6" x14ac:dyDescent="0.35">
      <c r="A270" t="s">
        <v>2856</v>
      </c>
      <c r="B270" t="s">
        <v>2865</v>
      </c>
      <c r="C270" t="s">
        <v>1399</v>
      </c>
      <c r="D270" t="s">
        <v>2885</v>
      </c>
      <c r="E270">
        <v>0</v>
      </c>
      <c r="F270" s="11">
        <v>0</v>
      </c>
    </row>
    <row r="271" spans="1:6" x14ac:dyDescent="0.35">
      <c r="A271" t="s">
        <v>2856</v>
      </c>
      <c r="B271" t="s">
        <v>2865</v>
      </c>
      <c r="C271" t="s">
        <v>1399</v>
      </c>
      <c r="D271" t="s">
        <v>2886</v>
      </c>
      <c r="E271">
        <v>0</v>
      </c>
      <c r="F271" s="11">
        <v>0</v>
      </c>
    </row>
    <row r="272" spans="1:6" x14ac:dyDescent="0.35">
      <c r="A272" t="s">
        <v>2856</v>
      </c>
      <c r="B272" t="s">
        <v>2865</v>
      </c>
      <c r="C272" t="s">
        <v>1399</v>
      </c>
      <c r="D272" t="s">
        <v>2887</v>
      </c>
      <c r="E272">
        <v>0</v>
      </c>
      <c r="F272" s="11">
        <v>1</v>
      </c>
    </row>
    <row r="273" spans="1:6" x14ac:dyDescent="0.35">
      <c r="A273" t="s">
        <v>2856</v>
      </c>
      <c r="B273" t="s">
        <v>2865</v>
      </c>
      <c r="C273" t="s">
        <v>1399</v>
      </c>
      <c r="D273" t="s">
        <v>2888</v>
      </c>
      <c r="E273">
        <v>25069</v>
      </c>
      <c r="F273" s="11">
        <v>0</v>
      </c>
    </row>
    <row r="274" spans="1:6" x14ac:dyDescent="0.35">
      <c r="A274" t="s">
        <v>2856</v>
      </c>
      <c r="B274" t="s">
        <v>2865</v>
      </c>
      <c r="C274" t="s">
        <v>1399</v>
      </c>
      <c r="D274" t="s">
        <v>2889</v>
      </c>
      <c r="E274">
        <v>44094</v>
      </c>
      <c r="F274" s="11">
        <v>0</v>
      </c>
    </row>
    <row r="275" spans="1:6" x14ac:dyDescent="0.35">
      <c r="A275" t="s">
        <v>2856</v>
      </c>
      <c r="B275" t="s">
        <v>2865</v>
      </c>
      <c r="C275" t="s">
        <v>1399</v>
      </c>
      <c r="D275" t="s">
        <v>2890</v>
      </c>
      <c r="E275">
        <v>0</v>
      </c>
      <c r="F275" s="11">
        <v>0</v>
      </c>
    </row>
    <row r="276" spans="1:6" x14ac:dyDescent="0.35">
      <c r="A276" t="s">
        <v>2856</v>
      </c>
      <c r="B276" t="s">
        <v>2865</v>
      </c>
      <c r="C276" t="s">
        <v>1399</v>
      </c>
      <c r="D276" t="s">
        <v>2891</v>
      </c>
      <c r="E276">
        <v>0</v>
      </c>
      <c r="F276" s="11">
        <v>0</v>
      </c>
    </row>
    <row r="277" spans="1:6" x14ac:dyDescent="0.35">
      <c r="A277" t="s">
        <v>2856</v>
      </c>
      <c r="B277" t="s">
        <v>2865</v>
      </c>
      <c r="C277" t="s">
        <v>1399</v>
      </c>
      <c r="D277" t="s">
        <v>2892</v>
      </c>
      <c r="E277">
        <v>0</v>
      </c>
      <c r="F277" s="11">
        <v>0</v>
      </c>
    </row>
    <row r="278" spans="1:6" x14ac:dyDescent="0.35">
      <c r="A278" t="s">
        <v>2856</v>
      </c>
      <c r="B278" t="s">
        <v>2865</v>
      </c>
      <c r="C278" t="s">
        <v>1399</v>
      </c>
      <c r="D278" t="s">
        <v>2893</v>
      </c>
      <c r="E278">
        <v>0</v>
      </c>
      <c r="F278" s="11">
        <v>0</v>
      </c>
    </row>
    <row r="279" spans="1:6" x14ac:dyDescent="0.35">
      <c r="A279" t="s">
        <v>2856</v>
      </c>
      <c r="B279" t="s">
        <v>2865</v>
      </c>
      <c r="C279" t="s">
        <v>1399</v>
      </c>
      <c r="D279" t="s">
        <v>2894</v>
      </c>
      <c r="E279">
        <v>0</v>
      </c>
      <c r="F279" s="11">
        <v>0</v>
      </c>
    </row>
    <row r="280" spans="1:6" x14ac:dyDescent="0.35">
      <c r="A280" t="s">
        <v>2856</v>
      </c>
      <c r="B280" t="s">
        <v>2865</v>
      </c>
      <c r="C280" t="s">
        <v>1399</v>
      </c>
      <c r="D280" t="s">
        <v>2895</v>
      </c>
      <c r="E280">
        <v>331989</v>
      </c>
      <c r="F280" s="11">
        <v>1</v>
      </c>
    </row>
    <row r="281" spans="1:6" x14ac:dyDescent="0.35">
      <c r="A281" t="s">
        <v>2856</v>
      </c>
      <c r="B281" t="s">
        <v>2865</v>
      </c>
      <c r="C281" t="s">
        <v>1399</v>
      </c>
      <c r="D281" t="s">
        <v>2896</v>
      </c>
      <c r="E281">
        <v>173256</v>
      </c>
      <c r="F281" s="11">
        <v>1</v>
      </c>
    </row>
    <row r="282" spans="1:6" x14ac:dyDescent="0.35">
      <c r="A282" t="s">
        <v>2856</v>
      </c>
      <c r="B282" t="s">
        <v>2865</v>
      </c>
      <c r="C282" t="s">
        <v>1399</v>
      </c>
      <c r="D282" t="s">
        <v>2897</v>
      </c>
      <c r="E282">
        <v>158733</v>
      </c>
      <c r="F282" s="11">
        <v>0</v>
      </c>
    </row>
    <row r="283" spans="1:6" x14ac:dyDescent="0.35">
      <c r="A283" t="s">
        <v>2856</v>
      </c>
      <c r="B283" t="s">
        <v>2865</v>
      </c>
      <c r="C283" t="s">
        <v>1399</v>
      </c>
      <c r="D283" t="s">
        <v>2898</v>
      </c>
      <c r="E283">
        <v>0</v>
      </c>
      <c r="F283" s="11">
        <v>1</v>
      </c>
    </row>
    <row r="284" spans="1:6" x14ac:dyDescent="0.35">
      <c r="A284" t="s">
        <v>2856</v>
      </c>
      <c r="B284" t="s">
        <v>2865</v>
      </c>
      <c r="C284" t="s">
        <v>1399</v>
      </c>
      <c r="D284" t="s">
        <v>2899</v>
      </c>
      <c r="E284">
        <v>6782</v>
      </c>
      <c r="F284" s="11">
        <v>1</v>
      </c>
    </row>
    <row r="285" spans="1:6" x14ac:dyDescent="0.35">
      <c r="A285" t="s">
        <v>2856</v>
      </c>
      <c r="B285" t="s">
        <v>2865</v>
      </c>
      <c r="C285" t="s">
        <v>1399</v>
      </c>
      <c r="D285" t="s">
        <v>2900</v>
      </c>
      <c r="E285">
        <v>6663</v>
      </c>
      <c r="F285" s="11">
        <v>1</v>
      </c>
    </row>
    <row r="286" spans="1:6" x14ac:dyDescent="0.35">
      <c r="A286" t="s">
        <v>2856</v>
      </c>
      <c r="B286" t="s">
        <v>2865</v>
      </c>
      <c r="C286" t="s">
        <v>1399</v>
      </c>
      <c r="D286" t="s">
        <v>2901</v>
      </c>
      <c r="E286">
        <v>119</v>
      </c>
      <c r="F286" s="11">
        <v>0</v>
      </c>
    </row>
    <row r="287" spans="1:6" x14ac:dyDescent="0.35">
      <c r="A287" t="s">
        <v>2856</v>
      </c>
      <c r="B287" t="s">
        <v>2865</v>
      </c>
      <c r="C287" t="s">
        <v>1399</v>
      </c>
      <c r="D287" t="s">
        <v>2902</v>
      </c>
      <c r="E287">
        <v>0</v>
      </c>
      <c r="F287" s="11">
        <v>1</v>
      </c>
    </row>
    <row r="288" spans="1:6" x14ac:dyDescent="0.35">
      <c r="A288" t="s">
        <v>2856</v>
      </c>
      <c r="B288" t="s">
        <v>2865</v>
      </c>
      <c r="C288" t="s">
        <v>1399</v>
      </c>
      <c r="D288" t="s">
        <v>2903</v>
      </c>
      <c r="E288">
        <v>41023</v>
      </c>
      <c r="F288" s="11">
        <v>1</v>
      </c>
    </row>
    <row r="289" spans="1:6" x14ac:dyDescent="0.35">
      <c r="A289" t="s">
        <v>2856</v>
      </c>
      <c r="B289" t="s">
        <v>2865</v>
      </c>
      <c r="C289" t="s">
        <v>1399</v>
      </c>
      <c r="D289" t="s">
        <v>2904</v>
      </c>
      <c r="E289">
        <v>0</v>
      </c>
      <c r="F289" s="11">
        <v>0</v>
      </c>
    </row>
    <row r="290" spans="1:6" x14ac:dyDescent="0.35">
      <c r="A290" t="s">
        <v>2856</v>
      </c>
      <c r="B290" t="s">
        <v>2865</v>
      </c>
      <c r="C290" t="s">
        <v>1399</v>
      </c>
      <c r="D290" t="s">
        <v>2905</v>
      </c>
      <c r="E290">
        <v>0</v>
      </c>
      <c r="F290" s="11">
        <v>0</v>
      </c>
    </row>
    <row r="291" spans="1:6" x14ac:dyDescent="0.35">
      <c r="A291" t="s">
        <v>2856</v>
      </c>
      <c r="B291" t="s">
        <v>2865</v>
      </c>
      <c r="C291" t="s">
        <v>1399</v>
      </c>
      <c r="D291" t="s">
        <v>2906</v>
      </c>
      <c r="E291">
        <v>0</v>
      </c>
      <c r="F291" s="11">
        <v>0</v>
      </c>
    </row>
    <row r="292" spans="1:6" x14ac:dyDescent="0.35">
      <c r="A292" t="s">
        <v>2856</v>
      </c>
      <c r="B292" t="s">
        <v>2865</v>
      </c>
      <c r="C292" t="s">
        <v>1399</v>
      </c>
      <c r="D292" t="s">
        <v>2907</v>
      </c>
      <c r="E292">
        <v>54714</v>
      </c>
      <c r="F292" s="11">
        <v>1</v>
      </c>
    </row>
    <row r="293" spans="1:6" x14ac:dyDescent="0.35">
      <c r="A293" t="s">
        <v>2856</v>
      </c>
      <c r="B293" t="s">
        <v>2865</v>
      </c>
      <c r="C293" t="s">
        <v>1399</v>
      </c>
      <c r="D293" t="s">
        <v>2908</v>
      </c>
      <c r="E293">
        <v>0</v>
      </c>
      <c r="F293" s="11">
        <v>0</v>
      </c>
    </row>
    <row r="294" spans="1:6" x14ac:dyDescent="0.35">
      <c r="A294" t="s">
        <v>2856</v>
      </c>
      <c r="B294" t="s">
        <v>2865</v>
      </c>
      <c r="C294" t="s">
        <v>1399</v>
      </c>
      <c r="D294" t="s">
        <v>2909</v>
      </c>
      <c r="E294">
        <v>0</v>
      </c>
      <c r="F294" s="11">
        <v>1</v>
      </c>
    </row>
    <row r="295" spans="1:6" x14ac:dyDescent="0.35">
      <c r="A295" t="s">
        <v>2856</v>
      </c>
      <c r="B295" t="s">
        <v>2865</v>
      </c>
      <c r="C295" t="s">
        <v>1399</v>
      </c>
      <c r="D295" t="s">
        <v>2910</v>
      </c>
      <c r="E295">
        <v>0</v>
      </c>
      <c r="F295" s="11">
        <v>0</v>
      </c>
    </row>
    <row r="296" spans="1:6" x14ac:dyDescent="0.35">
      <c r="A296" t="s">
        <v>2856</v>
      </c>
      <c r="B296" t="s">
        <v>2865</v>
      </c>
      <c r="C296" t="s">
        <v>1399</v>
      </c>
      <c r="D296" t="s">
        <v>2911</v>
      </c>
      <c r="E296">
        <v>727331</v>
      </c>
      <c r="F296" s="11">
        <v>1</v>
      </c>
    </row>
    <row r="297" spans="1:6" x14ac:dyDescent="0.35">
      <c r="A297" t="s">
        <v>2856</v>
      </c>
      <c r="B297" t="s">
        <v>2865</v>
      </c>
      <c r="C297" t="s">
        <v>1399</v>
      </c>
      <c r="D297" t="s">
        <v>2912</v>
      </c>
      <c r="E297">
        <v>73551</v>
      </c>
      <c r="F297" s="11">
        <v>0</v>
      </c>
    </row>
    <row r="298" spans="1:6" x14ac:dyDescent="0.35">
      <c r="A298" t="s">
        <v>2856</v>
      </c>
      <c r="B298" t="s">
        <v>2865</v>
      </c>
      <c r="C298" t="s">
        <v>1399</v>
      </c>
      <c r="D298" t="s">
        <v>2913</v>
      </c>
      <c r="E298">
        <v>0</v>
      </c>
      <c r="F298" s="11">
        <v>0</v>
      </c>
    </row>
    <row r="299" spans="1:6" x14ac:dyDescent="0.35">
      <c r="A299" t="s">
        <v>2856</v>
      </c>
      <c r="B299" t="s">
        <v>2865</v>
      </c>
      <c r="C299" t="s">
        <v>1399</v>
      </c>
      <c r="D299" t="s">
        <v>2914</v>
      </c>
      <c r="E299">
        <v>0</v>
      </c>
      <c r="F299" s="11">
        <v>0</v>
      </c>
    </row>
    <row r="300" spans="1:6" x14ac:dyDescent="0.35">
      <c r="A300" t="s">
        <v>2856</v>
      </c>
      <c r="B300" t="s">
        <v>2865</v>
      </c>
      <c r="C300" t="s">
        <v>1399</v>
      </c>
      <c r="D300" t="s">
        <v>2915</v>
      </c>
      <c r="E300">
        <v>2472</v>
      </c>
      <c r="F300" s="11">
        <v>1</v>
      </c>
    </row>
    <row r="301" spans="1:6" x14ac:dyDescent="0.35">
      <c r="A301" t="s">
        <v>2856</v>
      </c>
      <c r="B301" t="s">
        <v>2865</v>
      </c>
      <c r="C301" t="s">
        <v>1399</v>
      </c>
      <c r="D301" t="s">
        <v>2916</v>
      </c>
      <c r="E301">
        <v>59044</v>
      </c>
      <c r="F301" s="11">
        <v>1</v>
      </c>
    </row>
    <row r="302" spans="1:6" x14ac:dyDescent="0.35">
      <c r="A302" t="s">
        <v>2856</v>
      </c>
      <c r="B302" t="s">
        <v>2865</v>
      </c>
      <c r="C302" t="s">
        <v>1399</v>
      </c>
      <c r="D302" t="s">
        <v>2917</v>
      </c>
      <c r="E302">
        <v>207875</v>
      </c>
      <c r="F302" s="11">
        <v>0</v>
      </c>
    </row>
    <row r="303" spans="1:6" x14ac:dyDescent="0.35">
      <c r="A303" t="s">
        <v>2856</v>
      </c>
      <c r="B303" t="s">
        <v>2864</v>
      </c>
      <c r="C303" t="s">
        <v>1395</v>
      </c>
      <c r="D303" t="s">
        <v>2875</v>
      </c>
      <c r="E303">
        <v>29380</v>
      </c>
      <c r="F303" s="11">
        <v>1</v>
      </c>
    </row>
    <row r="304" spans="1:6" x14ac:dyDescent="0.35">
      <c r="A304" t="s">
        <v>2856</v>
      </c>
      <c r="B304" t="s">
        <v>2864</v>
      </c>
      <c r="C304" t="s">
        <v>1395</v>
      </c>
      <c r="D304" t="s">
        <v>2876</v>
      </c>
      <c r="E304">
        <v>9900</v>
      </c>
      <c r="F304" s="11">
        <v>0</v>
      </c>
    </row>
    <row r="305" spans="1:6" x14ac:dyDescent="0.35">
      <c r="A305" t="s">
        <v>2856</v>
      </c>
      <c r="B305" t="s">
        <v>2864</v>
      </c>
      <c r="C305" t="s">
        <v>1395</v>
      </c>
      <c r="D305" t="s">
        <v>2877</v>
      </c>
      <c r="E305">
        <v>18020</v>
      </c>
      <c r="F305" s="11">
        <v>0</v>
      </c>
    </row>
    <row r="306" spans="1:6" x14ac:dyDescent="0.35">
      <c r="A306" t="s">
        <v>2856</v>
      </c>
      <c r="B306" t="s">
        <v>2864</v>
      </c>
      <c r="C306" t="s">
        <v>1395</v>
      </c>
      <c r="D306" t="s">
        <v>2878</v>
      </c>
      <c r="E306">
        <v>1460</v>
      </c>
      <c r="F306" s="11">
        <v>1</v>
      </c>
    </row>
    <row r="307" spans="1:6" x14ac:dyDescent="0.35">
      <c r="A307" t="s">
        <v>2856</v>
      </c>
      <c r="B307" t="s">
        <v>2864</v>
      </c>
      <c r="C307" t="s">
        <v>1395</v>
      </c>
      <c r="D307" t="s">
        <v>2879</v>
      </c>
      <c r="E307">
        <v>10870</v>
      </c>
      <c r="F307" s="11">
        <v>1</v>
      </c>
    </row>
    <row r="308" spans="1:6" x14ac:dyDescent="0.35">
      <c r="A308" t="s">
        <v>2856</v>
      </c>
      <c r="B308" t="s">
        <v>2864</v>
      </c>
      <c r="C308" t="s">
        <v>1395</v>
      </c>
      <c r="D308" t="s">
        <v>2880</v>
      </c>
      <c r="E308">
        <v>3725</v>
      </c>
      <c r="F308" s="11">
        <v>0</v>
      </c>
    </row>
    <row r="309" spans="1:6" x14ac:dyDescent="0.35">
      <c r="A309" t="s">
        <v>2856</v>
      </c>
      <c r="B309" t="s">
        <v>2864</v>
      </c>
      <c r="C309" t="s">
        <v>1395</v>
      </c>
      <c r="D309" t="s">
        <v>2881</v>
      </c>
      <c r="E309">
        <v>5865</v>
      </c>
      <c r="F309" s="11">
        <v>0</v>
      </c>
    </row>
    <row r="310" spans="1:6" x14ac:dyDescent="0.35">
      <c r="A310" t="s">
        <v>2856</v>
      </c>
      <c r="B310" t="s">
        <v>2864</v>
      </c>
      <c r="C310" t="s">
        <v>1395</v>
      </c>
      <c r="D310" t="s">
        <v>2882</v>
      </c>
      <c r="E310">
        <v>2</v>
      </c>
      <c r="F310" s="11">
        <v>0</v>
      </c>
    </row>
    <row r="311" spans="1:6" x14ac:dyDescent="0.35">
      <c r="A311" t="s">
        <v>2856</v>
      </c>
      <c r="B311" t="s">
        <v>2864</v>
      </c>
      <c r="C311" t="s">
        <v>1395</v>
      </c>
      <c r="D311" t="s">
        <v>2883</v>
      </c>
      <c r="E311">
        <v>33</v>
      </c>
      <c r="F311" s="11">
        <v>0</v>
      </c>
    </row>
    <row r="312" spans="1:6" x14ac:dyDescent="0.35">
      <c r="A312" t="s">
        <v>2856</v>
      </c>
      <c r="B312" t="s">
        <v>2864</v>
      </c>
      <c r="C312" t="s">
        <v>1395</v>
      </c>
      <c r="D312" t="s">
        <v>2884</v>
      </c>
      <c r="E312">
        <v>15</v>
      </c>
      <c r="F312" s="11">
        <v>0</v>
      </c>
    </row>
    <row r="313" spans="1:6" x14ac:dyDescent="0.35">
      <c r="A313" t="s">
        <v>2856</v>
      </c>
      <c r="B313" t="s">
        <v>2864</v>
      </c>
      <c r="C313" t="s">
        <v>1395</v>
      </c>
      <c r="D313" t="s">
        <v>2885</v>
      </c>
      <c r="E313">
        <v>18</v>
      </c>
      <c r="F313" s="11">
        <v>0</v>
      </c>
    </row>
    <row r="314" spans="1:6" x14ac:dyDescent="0.35">
      <c r="A314" t="s">
        <v>2856</v>
      </c>
      <c r="B314" t="s">
        <v>2864</v>
      </c>
      <c r="C314" t="s">
        <v>1395</v>
      </c>
      <c r="D314" t="s">
        <v>2886</v>
      </c>
      <c r="E314">
        <v>0</v>
      </c>
      <c r="F314" s="11">
        <v>0</v>
      </c>
    </row>
    <row r="315" spans="1:6" x14ac:dyDescent="0.35">
      <c r="A315" t="s">
        <v>2856</v>
      </c>
      <c r="B315" t="s">
        <v>2864</v>
      </c>
      <c r="C315" t="s">
        <v>1395</v>
      </c>
      <c r="D315" t="s">
        <v>2887</v>
      </c>
      <c r="E315">
        <v>121785</v>
      </c>
      <c r="F315" s="11">
        <v>1</v>
      </c>
    </row>
    <row r="316" spans="1:6" x14ac:dyDescent="0.35">
      <c r="A316" t="s">
        <v>2856</v>
      </c>
      <c r="B316" t="s">
        <v>2864</v>
      </c>
      <c r="C316" t="s">
        <v>1395</v>
      </c>
      <c r="D316" t="s">
        <v>2888</v>
      </c>
      <c r="E316">
        <v>62233</v>
      </c>
      <c r="F316" s="11">
        <v>1</v>
      </c>
    </row>
    <row r="317" spans="1:6" x14ac:dyDescent="0.35">
      <c r="A317" t="s">
        <v>2856</v>
      </c>
      <c r="B317" t="s">
        <v>2864</v>
      </c>
      <c r="C317" t="s">
        <v>1395</v>
      </c>
      <c r="D317" t="s">
        <v>2889</v>
      </c>
      <c r="E317">
        <v>59162</v>
      </c>
      <c r="F317" s="11">
        <v>1</v>
      </c>
    </row>
    <row r="318" spans="1:6" x14ac:dyDescent="0.35">
      <c r="A318" t="s">
        <v>2856</v>
      </c>
      <c r="B318" t="s">
        <v>2864</v>
      </c>
      <c r="C318" t="s">
        <v>1395</v>
      </c>
      <c r="D318" t="s">
        <v>2890</v>
      </c>
      <c r="E318">
        <v>390</v>
      </c>
      <c r="F318" s="11">
        <v>1</v>
      </c>
    </row>
    <row r="319" spans="1:6" x14ac:dyDescent="0.35">
      <c r="A319" t="s">
        <v>2856</v>
      </c>
      <c r="B319" t="s">
        <v>2864</v>
      </c>
      <c r="C319" t="s">
        <v>1395</v>
      </c>
      <c r="D319" t="s">
        <v>2891</v>
      </c>
      <c r="E319">
        <v>266</v>
      </c>
      <c r="F319" s="11">
        <v>1</v>
      </c>
    </row>
    <row r="320" spans="1:6" x14ac:dyDescent="0.35">
      <c r="A320" t="s">
        <v>2856</v>
      </c>
      <c r="B320" t="s">
        <v>2864</v>
      </c>
      <c r="C320" t="s">
        <v>1395</v>
      </c>
      <c r="D320" t="s">
        <v>2892</v>
      </c>
      <c r="E320">
        <v>210</v>
      </c>
      <c r="F320" s="11">
        <v>1</v>
      </c>
    </row>
    <row r="321" spans="1:6" x14ac:dyDescent="0.35">
      <c r="A321" t="s">
        <v>2856</v>
      </c>
      <c r="B321" t="s">
        <v>2864</v>
      </c>
      <c r="C321" t="s">
        <v>1395</v>
      </c>
      <c r="D321" t="s">
        <v>2893</v>
      </c>
      <c r="E321">
        <v>56</v>
      </c>
      <c r="F321" s="11">
        <v>1</v>
      </c>
    </row>
    <row r="322" spans="1:6" x14ac:dyDescent="0.35">
      <c r="A322" t="s">
        <v>2856</v>
      </c>
      <c r="B322" t="s">
        <v>2864</v>
      </c>
      <c r="C322" t="s">
        <v>1395</v>
      </c>
      <c r="D322" t="s">
        <v>2894</v>
      </c>
      <c r="E322">
        <v>0</v>
      </c>
      <c r="F322" s="11">
        <v>1</v>
      </c>
    </row>
    <row r="323" spans="1:6" x14ac:dyDescent="0.35">
      <c r="A323" t="s">
        <v>2856</v>
      </c>
      <c r="B323" t="s">
        <v>2864</v>
      </c>
      <c r="C323" t="s">
        <v>1395</v>
      </c>
      <c r="D323" t="s">
        <v>2895</v>
      </c>
      <c r="E323">
        <v>800786</v>
      </c>
      <c r="F323" s="11">
        <v>1</v>
      </c>
    </row>
    <row r="324" spans="1:6" x14ac:dyDescent="0.35">
      <c r="A324" t="s">
        <v>2856</v>
      </c>
      <c r="B324" t="s">
        <v>2864</v>
      </c>
      <c r="C324" t="s">
        <v>1395</v>
      </c>
      <c r="D324" t="s">
        <v>2896</v>
      </c>
      <c r="E324">
        <v>461150</v>
      </c>
      <c r="F324" s="11">
        <v>1</v>
      </c>
    </row>
    <row r="325" spans="1:6" x14ac:dyDescent="0.35">
      <c r="A325" t="s">
        <v>2856</v>
      </c>
      <c r="B325" t="s">
        <v>2864</v>
      </c>
      <c r="C325" t="s">
        <v>1395</v>
      </c>
      <c r="D325" t="s">
        <v>2897</v>
      </c>
      <c r="E325">
        <v>323994</v>
      </c>
      <c r="F325" s="11">
        <v>1</v>
      </c>
    </row>
    <row r="326" spans="1:6" x14ac:dyDescent="0.35">
      <c r="A326" t="s">
        <v>2856</v>
      </c>
      <c r="B326" t="s">
        <v>2864</v>
      </c>
      <c r="C326" t="s">
        <v>1395</v>
      </c>
      <c r="D326" t="s">
        <v>2898</v>
      </c>
      <c r="E326">
        <v>15705</v>
      </c>
      <c r="F326" s="11">
        <v>1</v>
      </c>
    </row>
    <row r="327" spans="1:6" x14ac:dyDescent="0.35">
      <c r="A327" t="s">
        <v>2856</v>
      </c>
      <c r="B327" t="s">
        <v>2864</v>
      </c>
      <c r="C327" t="s">
        <v>1395</v>
      </c>
      <c r="D327" t="s">
        <v>2899</v>
      </c>
      <c r="E327">
        <v>15169</v>
      </c>
      <c r="F327" s="11">
        <v>1</v>
      </c>
    </row>
    <row r="328" spans="1:6" x14ac:dyDescent="0.35">
      <c r="A328" t="s">
        <v>2856</v>
      </c>
      <c r="B328" t="s">
        <v>2864</v>
      </c>
      <c r="C328" t="s">
        <v>1395</v>
      </c>
      <c r="D328" t="s">
        <v>2900</v>
      </c>
      <c r="E328">
        <v>13983</v>
      </c>
      <c r="F328" s="11">
        <v>1</v>
      </c>
    </row>
    <row r="329" spans="1:6" x14ac:dyDescent="0.35">
      <c r="A329" t="s">
        <v>2856</v>
      </c>
      <c r="B329" t="s">
        <v>2864</v>
      </c>
      <c r="C329" t="s">
        <v>1395</v>
      </c>
      <c r="D329" t="s">
        <v>2901</v>
      </c>
      <c r="E329">
        <v>1186</v>
      </c>
      <c r="F329" s="11">
        <v>0</v>
      </c>
    </row>
    <row r="330" spans="1:6" x14ac:dyDescent="0.35">
      <c r="A330" t="s">
        <v>2856</v>
      </c>
      <c r="B330" t="s">
        <v>2864</v>
      </c>
      <c r="C330" t="s">
        <v>1395</v>
      </c>
      <c r="D330" t="s">
        <v>2902</v>
      </c>
      <c r="E330">
        <v>0</v>
      </c>
      <c r="F330" s="11">
        <v>1</v>
      </c>
    </row>
    <row r="331" spans="1:6" x14ac:dyDescent="0.35">
      <c r="A331" t="s">
        <v>2856</v>
      </c>
      <c r="B331" t="s">
        <v>2864</v>
      </c>
      <c r="C331" t="s">
        <v>1395</v>
      </c>
      <c r="D331" t="s">
        <v>2903</v>
      </c>
      <c r="E331">
        <v>52569</v>
      </c>
      <c r="F331" s="11">
        <v>1</v>
      </c>
    </row>
    <row r="332" spans="1:6" x14ac:dyDescent="0.35">
      <c r="A332" t="s">
        <v>2856</v>
      </c>
      <c r="B332" t="s">
        <v>2864</v>
      </c>
      <c r="C332" t="s">
        <v>1395</v>
      </c>
      <c r="D332" t="s">
        <v>2904</v>
      </c>
      <c r="E332">
        <v>46745</v>
      </c>
      <c r="F332" s="11">
        <v>1</v>
      </c>
    </row>
    <row r="333" spans="1:6" x14ac:dyDescent="0.35">
      <c r="A333" t="s">
        <v>2856</v>
      </c>
      <c r="B333" t="s">
        <v>2864</v>
      </c>
      <c r="C333" t="s">
        <v>1395</v>
      </c>
      <c r="D333" t="s">
        <v>2905</v>
      </c>
      <c r="E333">
        <v>3837</v>
      </c>
      <c r="F333" s="11">
        <v>1</v>
      </c>
    </row>
    <row r="334" spans="1:6" x14ac:dyDescent="0.35">
      <c r="A334" t="s">
        <v>2856</v>
      </c>
      <c r="B334" t="s">
        <v>2864</v>
      </c>
      <c r="C334" t="s">
        <v>1395</v>
      </c>
      <c r="D334" t="s">
        <v>2906</v>
      </c>
      <c r="E334">
        <v>1987</v>
      </c>
      <c r="F334" s="11">
        <v>1</v>
      </c>
    </row>
    <row r="335" spans="1:6" x14ac:dyDescent="0.35">
      <c r="A335" t="s">
        <v>2856</v>
      </c>
      <c r="B335" t="s">
        <v>2864</v>
      </c>
      <c r="C335" t="s">
        <v>1395</v>
      </c>
      <c r="D335" t="s">
        <v>2907</v>
      </c>
      <c r="E335">
        <v>153767</v>
      </c>
      <c r="F335" s="11">
        <v>1</v>
      </c>
    </row>
    <row r="336" spans="1:6" x14ac:dyDescent="0.35">
      <c r="A336" t="s">
        <v>2856</v>
      </c>
      <c r="B336" t="s">
        <v>2864</v>
      </c>
      <c r="C336" t="s">
        <v>1395</v>
      </c>
      <c r="D336" t="s">
        <v>2908</v>
      </c>
      <c r="E336">
        <v>131336</v>
      </c>
      <c r="F336" s="11">
        <v>1</v>
      </c>
    </row>
    <row r="337" spans="1:6" x14ac:dyDescent="0.35">
      <c r="A337" t="s">
        <v>2856</v>
      </c>
      <c r="B337" t="s">
        <v>2864</v>
      </c>
      <c r="C337" t="s">
        <v>1395</v>
      </c>
      <c r="D337" t="s">
        <v>2909</v>
      </c>
      <c r="E337">
        <v>16743</v>
      </c>
      <c r="F337" s="11">
        <v>1</v>
      </c>
    </row>
    <row r="338" spans="1:6" x14ac:dyDescent="0.35">
      <c r="A338" t="s">
        <v>2856</v>
      </c>
      <c r="B338" t="s">
        <v>2864</v>
      </c>
      <c r="C338" t="s">
        <v>1395</v>
      </c>
      <c r="D338" t="s">
        <v>2910</v>
      </c>
      <c r="E338">
        <v>5688</v>
      </c>
      <c r="F338" s="11">
        <v>1</v>
      </c>
    </row>
    <row r="339" spans="1:6" x14ac:dyDescent="0.35">
      <c r="A339" t="s">
        <v>2856</v>
      </c>
      <c r="B339" t="s">
        <v>2864</v>
      </c>
      <c r="C339" t="s">
        <v>1395</v>
      </c>
      <c r="D339" t="s">
        <v>2911</v>
      </c>
      <c r="E339">
        <v>622854</v>
      </c>
      <c r="F339" s="11">
        <v>1</v>
      </c>
    </row>
    <row r="340" spans="1:6" x14ac:dyDescent="0.35">
      <c r="A340" t="s">
        <v>2856</v>
      </c>
      <c r="B340" t="s">
        <v>2864</v>
      </c>
      <c r="C340" t="s">
        <v>1395</v>
      </c>
      <c r="D340" t="s">
        <v>2912</v>
      </c>
      <c r="E340">
        <v>433884</v>
      </c>
      <c r="F340" s="11">
        <v>1</v>
      </c>
    </row>
    <row r="341" spans="1:6" x14ac:dyDescent="0.35">
      <c r="A341" t="s">
        <v>2856</v>
      </c>
      <c r="B341" t="s">
        <v>2864</v>
      </c>
      <c r="C341" t="s">
        <v>1395</v>
      </c>
      <c r="D341" t="s">
        <v>2913</v>
      </c>
      <c r="E341">
        <v>0</v>
      </c>
      <c r="F341" s="11">
        <v>0</v>
      </c>
    </row>
    <row r="342" spans="1:6" x14ac:dyDescent="0.35">
      <c r="A342" t="s">
        <v>2856</v>
      </c>
      <c r="B342" t="s">
        <v>2864</v>
      </c>
      <c r="C342" t="s">
        <v>1395</v>
      </c>
      <c r="D342" t="s">
        <v>2914</v>
      </c>
      <c r="E342">
        <v>0</v>
      </c>
      <c r="F342" s="11">
        <v>0</v>
      </c>
    </row>
    <row r="343" spans="1:6" x14ac:dyDescent="0.35">
      <c r="A343" t="s">
        <v>2856</v>
      </c>
      <c r="B343" t="s">
        <v>2864</v>
      </c>
      <c r="C343" t="s">
        <v>1395</v>
      </c>
      <c r="D343" t="s">
        <v>2915</v>
      </c>
      <c r="E343">
        <v>4677</v>
      </c>
      <c r="F343" s="11">
        <v>1</v>
      </c>
    </row>
    <row r="344" spans="1:6" x14ac:dyDescent="0.35">
      <c r="A344" t="s">
        <v>2856</v>
      </c>
      <c r="B344" t="s">
        <v>2864</v>
      </c>
      <c r="C344" t="s">
        <v>1395</v>
      </c>
      <c r="D344" t="s">
        <v>2916</v>
      </c>
      <c r="E344">
        <v>81565</v>
      </c>
      <c r="F344" s="11">
        <v>1</v>
      </c>
    </row>
    <row r="345" spans="1:6" x14ac:dyDescent="0.35">
      <c r="A345" t="s">
        <v>2856</v>
      </c>
      <c r="B345" t="s">
        <v>2864</v>
      </c>
      <c r="C345" t="s">
        <v>1395</v>
      </c>
      <c r="D345" t="s">
        <v>2917</v>
      </c>
      <c r="E345">
        <v>0</v>
      </c>
      <c r="F345" s="11">
        <v>0</v>
      </c>
    </row>
    <row r="346" spans="1:6" x14ac:dyDescent="0.35">
      <c r="A346" t="s">
        <v>2856</v>
      </c>
      <c r="B346" t="s">
        <v>2865</v>
      </c>
      <c r="C346" t="s">
        <v>1514</v>
      </c>
      <c r="D346" t="s">
        <v>2875</v>
      </c>
      <c r="E346">
        <v>37054</v>
      </c>
      <c r="F346" s="11">
        <v>1</v>
      </c>
    </row>
    <row r="347" spans="1:6" x14ac:dyDescent="0.35">
      <c r="A347" t="s">
        <v>2856</v>
      </c>
      <c r="B347" t="s">
        <v>2865</v>
      </c>
      <c r="C347" t="s">
        <v>1514</v>
      </c>
      <c r="D347" t="s">
        <v>2876</v>
      </c>
      <c r="E347">
        <v>22427</v>
      </c>
      <c r="F347" s="11">
        <v>0</v>
      </c>
    </row>
    <row r="348" spans="1:6" x14ac:dyDescent="0.35">
      <c r="A348" t="s">
        <v>2856</v>
      </c>
      <c r="B348" t="s">
        <v>2865</v>
      </c>
      <c r="C348" t="s">
        <v>1514</v>
      </c>
      <c r="D348" t="s">
        <v>2877</v>
      </c>
      <c r="E348">
        <v>0</v>
      </c>
      <c r="F348" s="11">
        <v>0</v>
      </c>
    </row>
    <row r="349" spans="1:6" x14ac:dyDescent="0.35">
      <c r="A349" t="s">
        <v>2856</v>
      </c>
      <c r="B349" t="s">
        <v>2865</v>
      </c>
      <c r="C349" t="s">
        <v>1514</v>
      </c>
      <c r="D349" t="s">
        <v>2878</v>
      </c>
      <c r="E349">
        <v>0</v>
      </c>
      <c r="F349" s="11">
        <v>1</v>
      </c>
    </row>
    <row r="350" spans="1:6" x14ac:dyDescent="0.35">
      <c r="A350" t="s">
        <v>2856</v>
      </c>
      <c r="B350" t="s">
        <v>2865</v>
      </c>
      <c r="C350" t="s">
        <v>1514</v>
      </c>
      <c r="D350" t="s">
        <v>2879</v>
      </c>
      <c r="E350">
        <v>5228</v>
      </c>
      <c r="F350" s="11">
        <v>1</v>
      </c>
    </row>
    <row r="351" spans="1:6" x14ac:dyDescent="0.35">
      <c r="A351" t="s">
        <v>2856</v>
      </c>
      <c r="B351" t="s">
        <v>2865</v>
      </c>
      <c r="C351" t="s">
        <v>1514</v>
      </c>
      <c r="D351" t="s">
        <v>2880</v>
      </c>
      <c r="E351">
        <v>2341</v>
      </c>
      <c r="F351" s="11">
        <v>1</v>
      </c>
    </row>
    <row r="352" spans="1:6" x14ac:dyDescent="0.35">
      <c r="A352" t="s">
        <v>2856</v>
      </c>
      <c r="B352" t="s">
        <v>2865</v>
      </c>
      <c r="C352" t="s">
        <v>1514</v>
      </c>
      <c r="D352" t="s">
        <v>2881</v>
      </c>
      <c r="E352">
        <v>2887</v>
      </c>
      <c r="F352" s="11">
        <v>0</v>
      </c>
    </row>
    <row r="353" spans="1:6" x14ac:dyDescent="0.35">
      <c r="A353" t="s">
        <v>2856</v>
      </c>
      <c r="B353" t="s">
        <v>2865</v>
      </c>
      <c r="C353" t="s">
        <v>1514</v>
      </c>
      <c r="D353" t="s">
        <v>2882</v>
      </c>
      <c r="E353">
        <v>0</v>
      </c>
      <c r="F353" s="11">
        <v>1</v>
      </c>
    </row>
    <row r="354" spans="1:6" x14ac:dyDescent="0.35">
      <c r="A354" t="s">
        <v>2856</v>
      </c>
      <c r="B354" t="s">
        <v>2865</v>
      </c>
      <c r="C354" t="s">
        <v>1514</v>
      </c>
      <c r="D354" t="s">
        <v>2883</v>
      </c>
      <c r="E354">
        <v>0</v>
      </c>
      <c r="F354" s="11">
        <v>0</v>
      </c>
    </row>
    <row r="355" spans="1:6" x14ac:dyDescent="0.35">
      <c r="A355" t="s">
        <v>2856</v>
      </c>
      <c r="B355" t="s">
        <v>2865</v>
      </c>
      <c r="C355" t="s">
        <v>1514</v>
      </c>
      <c r="D355" t="s">
        <v>2884</v>
      </c>
      <c r="E355">
        <v>0</v>
      </c>
      <c r="F355" s="11">
        <v>0</v>
      </c>
    </row>
    <row r="356" spans="1:6" x14ac:dyDescent="0.35">
      <c r="A356" t="s">
        <v>2856</v>
      </c>
      <c r="B356" t="s">
        <v>2865</v>
      </c>
      <c r="C356" t="s">
        <v>1514</v>
      </c>
      <c r="D356" t="s">
        <v>2885</v>
      </c>
      <c r="E356">
        <v>0</v>
      </c>
      <c r="F356" s="11">
        <v>0</v>
      </c>
    </row>
    <row r="357" spans="1:6" x14ac:dyDescent="0.35">
      <c r="A357" t="s">
        <v>2856</v>
      </c>
      <c r="B357" t="s">
        <v>2865</v>
      </c>
      <c r="C357" t="s">
        <v>1514</v>
      </c>
      <c r="D357" t="s">
        <v>2886</v>
      </c>
      <c r="E357">
        <v>0</v>
      </c>
      <c r="F357" s="11">
        <v>0</v>
      </c>
    </row>
    <row r="358" spans="1:6" x14ac:dyDescent="0.35">
      <c r="A358" t="s">
        <v>2856</v>
      </c>
      <c r="B358" t="s">
        <v>2865</v>
      </c>
      <c r="C358" t="s">
        <v>1514</v>
      </c>
      <c r="D358" t="s">
        <v>2887</v>
      </c>
      <c r="E358">
        <v>82073</v>
      </c>
      <c r="F358" s="11">
        <v>1</v>
      </c>
    </row>
    <row r="359" spans="1:6" x14ac:dyDescent="0.35">
      <c r="A359" t="s">
        <v>2856</v>
      </c>
      <c r="B359" t="s">
        <v>2865</v>
      </c>
      <c r="C359" t="s">
        <v>1514</v>
      </c>
      <c r="D359" t="s">
        <v>2888</v>
      </c>
      <c r="E359">
        <v>43877</v>
      </c>
      <c r="F359" s="11">
        <v>1</v>
      </c>
    </row>
    <row r="360" spans="1:6" x14ac:dyDescent="0.35">
      <c r="A360" t="s">
        <v>2856</v>
      </c>
      <c r="B360" t="s">
        <v>2865</v>
      </c>
      <c r="C360" t="s">
        <v>1514</v>
      </c>
      <c r="D360" t="s">
        <v>2889</v>
      </c>
      <c r="E360">
        <v>38196</v>
      </c>
      <c r="F360" s="11">
        <v>0</v>
      </c>
    </row>
    <row r="361" spans="1:6" x14ac:dyDescent="0.35">
      <c r="A361" t="s">
        <v>2856</v>
      </c>
      <c r="B361" t="s">
        <v>2865</v>
      </c>
      <c r="C361" t="s">
        <v>1514</v>
      </c>
      <c r="D361" t="s">
        <v>2890</v>
      </c>
      <c r="E361">
        <v>0</v>
      </c>
      <c r="F361" s="11">
        <v>1</v>
      </c>
    </row>
    <row r="362" spans="1:6" x14ac:dyDescent="0.35">
      <c r="A362" t="s">
        <v>2856</v>
      </c>
      <c r="B362" t="s">
        <v>2865</v>
      </c>
      <c r="C362" t="s">
        <v>1514</v>
      </c>
      <c r="D362" t="s">
        <v>2891</v>
      </c>
      <c r="E362">
        <v>0</v>
      </c>
      <c r="F362" s="11">
        <v>0</v>
      </c>
    </row>
    <row r="363" spans="1:6" x14ac:dyDescent="0.35">
      <c r="A363" t="s">
        <v>2856</v>
      </c>
      <c r="B363" t="s">
        <v>2865</v>
      </c>
      <c r="C363" t="s">
        <v>1514</v>
      </c>
      <c r="D363" t="s">
        <v>2892</v>
      </c>
      <c r="E363">
        <v>0</v>
      </c>
      <c r="F363" s="11">
        <v>0</v>
      </c>
    </row>
    <row r="364" spans="1:6" x14ac:dyDescent="0.35">
      <c r="A364" t="s">
        <v>2856</v>
      </c>
      <c r="B364" t="s">
        <v>2865</v>
      </c>
      <c r="C364" t="s">
        <v>1514</v>
      </c>
      <c r="D364" t="s">
        <v>2893</v>
      </c>
      <c r="E364">
        <v>0</v>
      </c>
      <c r="F364" s="11">
        <v>0</v>
      </c>
    </row>
    <row r="365" spans="1:6" x14ac:dyDescent="0.35">
      <c r="A365" t="s">
        <v>2856</v>
      </c>
      <c r="B365" t="s">
        <v>2865</v>
      </c>
      <c r="C365" t="s">
        <v>1514</v>
      </c>
      <c r="D365" t="s">
        <v>2894</v>
      </c>
      <c r="E365">
        <v>0</v>
      </c>
      <c r="F365" s="11">
        <v>0</v>
      </c>
    </row>
    <row r="366" spans="1:6" x14ac:dyDescent="0.35">
      <c r="A366" t="s">
        <v>2856</v>
      </c>
      <c r="B366" t="s">
        <v>2865</v>
      </c>
      <c r="C366" t="s">
        <v>1514</v>
      </c>
      <c r="D366" t="s">
        <v>2895</v>
      </c>
      <c r="E366">
        <v>512666</v>
      </c>
      <c r="F366" s="11">
        <v>1</v>
      </c>
    </row>
    <row r="367" spans="1:6" x14ac:dyDescent="0.35">
      <c r="A367" t="s">
        <v>2856</v>
      </c>
      <c r="B367" t="s">
        <v>2865</v>
      </c>
      <c r="C367" t="s">
        <v>1514</v>
      </c>
      <c r="D367" t="s">
        <v>2896</v>
      </c>
      <c r="E367">
        <v>0</v>
      </c>
      <c r="F367" s="11">
        <v>0</v>
      </c>
    </row>
    <row r="368" spans="1:6" x14ac:dyDescent="0.35">
      <c r="A368" t="s">
        <v>2856</v>
      </c>
      <c r="B368" t="s">
        <v>2865</v>
      </c>
      <c r="C368" t="s">
        <v>1514</v>
      </c>
      <c r="D368" t="s">
        <v>2897</v>
      </c>
      <c r="E368">
        <v>0</v>
      </c>
      <c r="F368" s="11">
        <v>0</v>
      </c>
    </row>
    <row r="369" spans="1:6" x14ac:dyDescent="0.35">
      <c r="A369" t="s">
        <v>2856</v>
      </c>
      <c r="B369" t="s">
        <v>2865</v>
      </c>
      <c r="C369" t="s">
        <v>1514</v>
      </c>
      <c r="D369" t="s">
        <v>2898</v>
      </c>
      <c r="E369">
        <v>0</v>
      </c>
      <c r="F369" s="11">
        <v>1</v>
      </c>
    </row>
    <row r="370" spans="1:6" x14ac:dyDescent="0.35">
      <c r="A370" t="s">
        <v>2856</v>
      </c>
      <c r="B370" t="s">
        <v>2865</v>
      </c>
      <c r="C370" t="s">
        <v>1514</v>
      </c>
      <c r="D370" t="s">
        <v>2899</v>
      </c>
      <c r="E370">
        <v>7236</v>
      </c>
      <c r="F370" s="11">
        <v>1</v>
      </c>
    </row>
    <row r="371" spans="1:6" x14ac:dyDescent="0.35">
      <c r="A371" t="s">
        <v>2856</v>
      </c>
      <c r="B371" t="s">
        <v>2865</v>
      </c>
      <c r="C371" t="s">
        <v>1514</v>
      </c>
      <c r="D371" t="s">
        <v>2900</v>
      </c>
      <c r="E371">
        <v>0</v>
      </c>
      <c r="F371" s="11">
        <v>0</v>
      </c>
    </row>
    <row r="372" spans="1:6" x14ac:dyDescent="0.35">
      <c r="A372" t="s">
        <v>2856</v>
      </c>
      <c r="B372" t="s">
        <v>2865</v>
      </c>
      <c r="C372" t="s">
        <v>1514</v>
      </c>
      <c r="D372" t="s">
        <v>2901</v>
      </c>
      <c r="E372">
        <v>0</v>
      </c>
      <c r="F372" s="11">
        <v>0</v>
      </c>
    </row>
    <row r="373" spans="1:6" x14ac:dyDescent="0.35">
      <c r="A373" t="s">
        <v>2856</v>
      </c>
      <c r="B373" t="s">
        <v>2865</v>
      </c>
      <c r="C373" t="s">
        <v>1514</v>
      </c>
      <c r="D373" t="s">
        <v>2902</v>
      </c>
      <c r="E373">
        <v>0</v>
      </c>
      <c r="F373" s="11">
        <v>1</v>
      </c>
    </row>
    <row r="374" spans="1:6" x14ac:dyDescent="0.35">
      <c r="A374" t="s">
        <v>2856</v>
      </c>
      <c r="B374" t="s">
        <v>2865</v>
      </c>
      <c r="C374" t="s">
        <v>1514</v>
      </c>
      <c r="D374" t="s">
        <v>2903</v>
      </c>
      <c r="E374">
        <v>22505</v>
      </c>
      <c r="F374" s="11">
        <v>1</v>
      </c>
    </row>
    <row r="375" spans="1:6" x14ac:dyDescent="0.35">
      <c r="A375" t="s">
        <v>2856</v>
      </c>
      <c r="B375" t="s">
        <v>2865</v>
      </c>
      <c r="C375" t="s">
        <v>1514</v>
      </c>
      <c r="D375" t="s">
        <v>2904</v>
      </c>
      <c r="E375">
        <v>18842</v>
      </c>
      <c r="F375" s="11">
        <v>1</v>
      </c>
    </row>
    <row r="376" spans="1:6" x14ac:dyDescent="0.35">
      <c r="A376" t="s">
        <v>2856</v>
      </c>
      <c r="B376" t="s">
        <v>2865</v>
      </c>
      <c r="C376" t="s">
        <v>1514</v>
      </c>
      <c r="D376" t="s">
        <v>2905</v>
      </c>
      <c r="E376">
        <v>2414</v>
      </c>
      <c r="F376" s="11">
        <v>1</v>
      </c>
    </row>
    <row r="377" spans="1:6" x14ac:dyDescent="0.35">
      <c r="A377" t="s">
        <v>2856</v>
      </c>
      <c r="B377" t="s">
        <v>2865</v>
      </c>
      <c r="C377" t="s">
        <v>1514</v>
      </c>
      <c r="D377" t="s">
        <v>2906</v>
      </c>
      <c r="E377">
        <v>1249</v>
      </c>
      <c r="F377" s="11">
        <v>1</v>
      </c>
    </row>
    <row r="378" spans="1:6" x14ac:dyDescent="0.35">
      <c r="A378" t="s">
        <v>2856</v>
      </c>
      <c r="B378" t="s">
        <v>2865</v>
      </c>
      <c r="C378" t="s">
        <v>1514</v>
      </c>
      <c r="D378" t="s">
        <v>2907</v>
      </c>
      <c r="E378">
        <v>28425</v>
      </c>
      <c r="F378" s="11">
        <v>1</v>
      </c>
    </row>
    <row r="379" spans="1:6" x14ac:dyDescent="0.35">
      <c r="A379" t="s">
        <v>2856</v>
      </c>
      <c r="B379" t="s">
        <v>2865</v>
      </c>
      <c r="C379" t="s">
        <v>1514</v>
      </c>
      <c r="D379" t="s">
        <v>2908</v>
      </c>
      <c r="E379">
        <v>22284</v>
      </c>
      <c r="F379" s="11">
        <v>1</v>
      </c>
    </row>
    <row r="380" spans="1:6" x14ac:dyDescent="0.35">
      <c r="A380" t="s">
        <v>2856</v>
      </c>
      <c r="B380" t="s">
        <v>2865</v>
      </c>
      <c r="C380" t="s">
        <v>1514</v>
      </c>
      <c r="D380" t="s">
        <v>2909</v>
      </c>
      <c r="E380">
        <v>4847</v>
      </c>
      <c r="F380" s="11">
        <v>1</v>
      </c>
    </row>
    <row r="381" spans="1:6" x14ac:dyDescent="0.35">
      <c r="A381" t="s">
        <v>2856</v>
      </c>
      <c r="B381" t="s">
        <v>2865</v>
      </c>
      <c r="C381" t="s">
        <v>1514</v>
      </c>
      <c r="D381" t="s">
        <v>2910</v>
      </c>
      <c r="E381">
        <v>1294</v>
      </c>
      <c r="F381" s="11">
        <v>1</v>
      </c>
    </row>
    <row r="382" spans="1:6" x14ac:dyDescent="0.35">
      <c r="A382" t="s">
        <v>2856</v>
      </c>
      <c r="B382" t="s">
        <v>2865</v>
      </c>
      <c r="C382" t="s">
        <v>1514</v>
      </c>
      <c r="D382" t="s">
        <v>2911</v>
      </c>
      <c r="E382">
        <v>303326</v>
      </c>
      <c r="F382" s="11">
        <v>1</v>
      </c>
    </row>
    <row r="383" spans="1:6" x14ac:dyDescent="0.35">
      <c r="A383" t="s">
        <v>2856</v>
      </c>
      <c r="B383" t="s">
        <v>2865</v>
      </c>
      <c r="C383" t="s">
        <v>1514</v>
      </c>
      <c r="D383" t="s">
        <v>2912</v>
      </c>
      <c r="E383">
        <v>460625</v>
      </c>
      <c r="F383" s="11">
        <v>1</v>
      </c>
    </row>
    <row r="384" spans="1:6" x14ac:dyDescent="0.35">
      <c r="A384" t="s">
        <v>2856</v>
      </c>
      <c r="B384" t="s">
        <v>2865</v>
      </c>
      <c r="C384" t="s">
        <v>1514</v>
      </c>
      <c r="D384" t="s">
        <v>2913</v>
      </c>
      <c r="E384">
        <v>0</v>
      </c>
      <c r="F384" s="11">
        <v>0</v>
      </c>
    </row>
    <row r="385" spans="1:6" x14ac:dyDescent="0.35">
      <c r="A385" t="s">
        <v>2856</v>
      </c>
      <c r="B385" t="s">
        <v>2865</v>
      </c>
      <c r="C385" t="s">
        <v>1514</v>
      </c>
      <c r="D385" t="s">
        <v>2914</v>
      </c>
      <c r="E385">
        <v>0</v>
      </c>
      <c r="F385" s="11">
        <v>0</v>
      </c>
    </row>
    <row r="386" spans="1:6" x14ac:dyDescent="0.35">
      <c r="A386" t="s">
        <v>2856</v>
      </c>
      <c r="B386" t="s">
        <v>2865</v>
      </c>
      <c r="C386" t="s">
        <v>1514</v>
      </c>
      <c r="D386" t="s">
        <v>2915</v>
      </c>
      <c r="E386">
        <v>1091</v>
      </c>
      <c r="F386" s="11">
        <v>1</v>
      </c>
    </row>
    <row r="387" spans="1:6" x14ac:dyDescent="0.35">
      <c r="A387" t="s">
        <v>2856</v>
      </c>
      <c r="B387" t="s">
        <v>2865</v>
      </c>
      <c r="C387" t="s">
        <v>1514</v>
      </c>
      <c r="D387" t="s">
        <v>2916</v>
      </c>
      <c r="E387">
        <v>38461.5</v>
      </c>
      <c r="F387" s="11">
        <v>1</v>
      </c>
    </row>
    <row r="388" spans="1:6" x14ac:dyDescent="0.35">
      <c r="A388" t="s">
        <v>2856</v>
      </c>
      <c r="B388" t="s">
        <v>2865</v>
      </c>
      <c r="C388" t="s">
        <v>1514</v>
      </c>
      <c r="D388" t="s">
        <v>2917</v>
      </c>
      <c r="E388">
        <v>0</v>
      </c>
      <c r="F388" s="11">
        <v>0</v>
      </c>
    </row>
    <row r="389" spans="1:6" x14ac:dyDescent="0.35">
      <c r="A389" t="s">
        <v>2856</v>
      </c>
      <c r="B389" t="s">
        <v>2866</v>
      </c>
      <c r="C389" t="s">
        <v>1527</v>
      </c>
      <c r="D389" t="s">
        <v>2875</v>
      </c>
      <c r="E389">
        <v>22163</v>
      </c>
      <c r="F389" s="11">
        <v>1</v>
      </c>
    </row>
    <row r="390" spans="1:6" x14ac:dyDescent="0.35">
      <c r="A390" t="s">
        <v>2856</v>
      </c>
      <c r="B390" t="s">
        <v>2866</v>
      </c>
      <c r="C390" t="s">
        <v>1527</v>
      </c>
      <c r="D390" t="s">
        <v>2876</v>
      </c>
      <c r="E390">
        <v>6758</v>
      </c>
      <c r="F390" s="11">
        <v>1</v>
      </c>
    </row>
    <row r="391" spans="1:6" x14ac:dyDescent="0.35">
      <c r="A391" t="s">
        <v>2856</v>
      </c>
      <c r="B391" t="s">
        <v>2866</v>
      </c>
      <c r="C391" t="s">
        <v>1527</v>
      </c>
      <c r="D391" t="s">
        <v>2877</v>
      </c>
      <c r="E391">
        <v>12677</v>
      </c>
      <c r="F391" s="11">
        <v>1</v>
      </c>
    </row>
    <row r="392" spans="1:6" x14ac:dyDescent="0.35">
      <c r="A392" t="s">
        <v>2856</v>
      </c>
      <c r="B392" t="s">
        <v>2866</v>
      </c>
      <c r="C392" t="s">
        <v>1527</v>
      </c>
      <c r="D392" t="s">
        <v>2878</v>
      </c>
      <c r="E392">
        <v>2728</v>
      </c>
      <c r="F392" s="11">
        <v>1</v>
      </c>
    </row>
    <row r="393" spans="1:6" x14ac:dyDescent="0.35">
      <c r="A393" t="s">
        <v>2856</v>
      </c>
      <c r="B393" t="s">
        <v>2866</v>
      </c>
      <c r="C393" t="s">
        <v>1527</v>
      </c>
      <c r="D393" t="s">
        <v>2879</v>
      </c>
      <c r="E393">
        <v>1389</v>
      </c>
      <c r="F393" s="11">
        <v>1</v>
      </c>
    </row>
    <row r="394" spans="1:6" x14ac:dyDescent="0.35">
      <c r="A394" t="s">
        <v>2856</v>
      </c>
      <c r="B394" t="s">
        <v>2866</v>
      </c>
      <c r="C394" t="s">
        <v>1527</v>
      </c>
      <c r="D394" t="s">
        <v>2880</v>
      </c>
      <c r="E394">
        <v>628</v>
      </c>
      <c r="F394" s="11">
        <v>1</v>
      </c>
    </row>
    <row r="395" spans="1:6" x14ac:dyDescent="0.35">
      <c r="A395" t="s">
        <v>2856</v>
      </c>
      <c r="B395" t="s">
        <v>2866</v>
      </c>
      <c r="C395" t="s">
        <v>1527</v>
      </c>
      <c r="D395" t="s">
        <v>2881</v>
      </c>
      <c r="E395">
        <v>761</v>
      </c>
      <c r="F395" s="11">
        <v>0</v>
      </c>
    </row>
    <row r="396" spans="1:6" x14ac:dyDescent="0.35">
      <c r="A396" t="s">
        <v>2856</v>
      </c>
      <c r="B396" t="s">
        <v>2866</v>
      </c>
      <c r="C396" t="s">
        <v>1527</v>
      </c>
      <c r="D396" t="s">
        <v>2882</v>
      </c>
      <c r="E396">
        <v>0</v>
      </c>
      <c r="F396" s="11">
        <v>1</v>
      </c>
    </row>
    <row r="397" spans="1:6" x14ac:dyDescent="0.35">
      <c r="A397" t="s">
        <v>2856</v>
      </c>
      <c r="B397" t="s">
        <v>2866</v>
      </c>
      <c r="C397" t="s">
        <v>1527</v>
      </c>
      <c r="D397" t="s">
        <v>2883</v>
      </c>
      <c r="E397">
        <v>0</v>
      </c>
      <c r="F397" s="11">
        <v>0</v>
      </c>
    </row>
    <row r="398" spans="1:6" x14ac:dyDescent="0.35">
      <c r="A398" t="s">
        <v>2856</v>
      </c>
      <c r="B398" t="s">
        <v>2866</v>
      </c>
      <c r="C398" t="s">
        <v>1527</v>
      </c>
      <c r="D398" t="s">
        <v>2884</v>
      </c>
      <c r="E398">
        <v>0</v>
      </c>
      <c r="F398" s="11">
        <v>0</v>
      </c>
    </row>
    <row r="399" spans="1:6" x14ac:dyDescent="0.35">
      <c r="A399" t="s">
        <v>2856</v>
      </c>
      <c r="B399" t="s">
        <v>2866</v>
      </c>
      <c r="C399" t="s">
        <v>1527</v>
      </c>
      <c r="D399" t="s">
        <v>2885</v>
      </c>
      <c r="E399">
        <v>0</v>
      </c>
      <c r="F399" s="11">
        <v>0</v>
      </c>
    </row>
    <row r="400" spans="1:6" x14ac:dyDescent="0.35">
      <c r="A400" t="s">
        <v>2856</v>
      </c>
      <c r="B400" t="s">
        <v>2866</v>
      </c>
      <c r="C400" t="s">
        <v>1527</v>
      </c>
      <c r="D400" t="s">
        <v>2886</v>
      </c>
      <c r="E400">
        <v>0</v>
      </c>
      <c r="F400" s="11">
        <v>0</v>
      </c>
    </row>
    <row r="401" spans="1:6" x14ac:dyDescent="0.35">
      <c r="A401" t="s">
        <v>2856</v>
      </c>
      <c r="B401" t="s">
        <v>2866</v>
      </c>
      <c r="C401" t="s">
        <v>1527</v>
      </c>
      <c r="D401" t="s">
        <v>2887</v>
      </c>
      <c r="E401">
        <v>35129</v>
      </c>
      <c r="F401" s="11">
        <v>1</v>
      </c>
    </row>
    <row r="402" spans="1:6" x14ac:dyDescent="0.35">
      <c r="A402" t="s">
        <v>2856</v>
      </c>
      <c r="B402" t="s">
        <v>2866</v>
      </c>
      <c r="C402" t="s">
        <v>1527</v>
      </c>
      <c r="D402" t="s">
        <v>2888</v>
      </c>
      <c r="E402">
        <v>16817</v>
      </c>
      <c r="F402" s="11">
        <v>1</v>
      </c>
    </row>
    <row r="403" spans="1:6" x14ac:dyDescent="0.35">
      <c r="A403" t="s">
        <v>2856</v>
      </c>
      <c r="B403" t="s">
        <v>2866</v>
      </c>
      <c r="C403" t="s">
        <v>1527</v>
      </c>
      <c r="D403" t="s">
        <v>2889</v>
      </c>
      <c r="E403">
        <v>18312</v>
      </c>
      <c r="F403" s="11">
        <v>0</v>
      </c>
    </row>
    <row r="404" spans="1:6" x14ac:dyDescent="0.35">
      <c r="A404" t="s">
        <v>2856</v>
      </c>
      <c r="B404" t="s">
        <v>2866</v>
      </c>
      <c r="C404" t="s">
        <v>1527</v>
      </c>
      <c r="D404" t="s">
        <v>2890</v>
      </c>
      <c r="E404">
        <v>0</v>
      </c>
      <c r="F404" s="11">
        <v>1</v>
      </c>
    </row>
    <row r="405" spans="1:6" x14ac:dyDescent="0.35">
      <c r="A405" t="s">
        <v>2856</v>
      </c>
      <c r="B405" t="s">
        <v>2866</v>
      </c>
      <c r="C405" t="s">
        <v>1527</v>
      </c>
      <c r="D405" t="s">
        <v>2891</v>
      </c>
      <c r="E405">
        <v>0</v>
      </c>
      <c r="F405" s="11">
        <v>0</v>
      </c>
    </row>
    <row r="406" spans="1:6" x14ac:dyDescent="0.35">
      <c r="A406" t="s">
        <v>2856</v>
      </c>
      <c r="B406" t="s">
        <v>2866</v>
      </c>
      <c r="C406" t="s">
        <v>1527</v>
      </c>
      <c r="D406" t="s">
        <v>2892</v>
      </c>
      <c r="E406">
        <v>0</v>
      </c>
      <c r="F406" s="11">
        <v>0</v>
      </c>
    </row>
    <row r="407" spans="1:6" x14ac:dyDescent="0.35">
      <c r="A407" t="s">
        <v>2856</v>
      </c>
      <c r="B407" t="s">
        <v>2866</v>
      </c>
      <c r="C407" t="s">
        <v>1527</v>
      </c>
      <c r="D407" t="s">
        <v>2893</v>
      </c>
      <c r="E407">
        <v>0</v>
      </c>
      <c r="F407" s="11">
        <v>0</v>
      </c>
    </row>
    <row r="408" spans="1:6" x14ac:dyDescent="0.35">
      <c r="A408" t="s">
        <v>2856</v>
      </c>
      <c r="B408" t="s">
        <v>2866</v>
      </c>
      <c r="C408" t="s">
        <v>1527</v>
      </c>
      <c r="D408" t="s">
        <v>2894</v>
      </c>
      <c r="E408">
        <v>0</v>
      </c>
      <c r="F408" s="11">
        <v>0</v>
      </c>
    </row>
    <row r="409" spans="1:6" x14ac:dyDescent="0.35">
      <c r="A409" t="s">
        <v>2856</v>
      </c>
      <c r="B409" t="s">
        <v>2866</v>
      </c>
      <c r="C409" t="s">
        <v>1527</v>
      </c>
      <c r="D409" t="s">
        <v>2895</v>
      </c>
      <c r="E409">
        <v>623315</v>
      </c>
      <c r="F409" s="11">
        <v>1</v>
      </c>
    </row>
    <row r="410" spans="1:6" x14ac:dyDescent="0.35">
      <c r="A410" t="s">
        <v>2856</v>
      </c>
      <c r="B410" t="s">
        <v>2866</v>
      </c>
      <c r="C410" t="s">
        <v>1527</v>
      </c>
      <c r="D410" t="s">
        <v>2896</v>
      </c>
      <c r="E410">
        <v>228723</v>
      </c>
      <c r="F410" s="11">
        <v>1</v>
      </c>
    </row>
    <row r="411" spans="1:6" x14ac:dyDescent="0.35">
      <c r="A411" t="s">
        <v>2856</v>
      </c>
      <c r="B411" t="s">
        <v>2866</v>
      </c>
      <c r="C411" t="s">
        <v>1527</v>
      </c>
      <c r="D411" t="s">
        <v>2897</v>
      </c>
      <c r="E411">
        <v>386554</v>
      </c>
      <c r="F411" s="11">
        <v>1</v>
      </c>
    </row>
    <row r="412" spans="1:6" x14ac:dyDescent="0.35">
      <c r="A412" t="s">
        <v>2856</v>
      </c>
      <c r="B412" t="s">
        <v>2866</v>
      </c>
      <c r="C412" t="s">
        <v>1527</v>
      </c>
      <c r="D412" t="s">
        <v>2898</v>
      </c>
      <c r="E412">
        <v>0</v>
      </c>
      <c r="F412" s="11">
        <v>1</v>
      </c>
    </row>
    <row r="413" spans="1:6" x14ac:dyDescent="0.35">
      <c r="A413" t="s">
        <v>2856</v>
      </c>
      <c r="B413" t="s">
        <v>2866</v>
      </c>
      <c r="C413" t="s">
        <v>1527</v>
      </c>
      <c r="D413" t="s">
        <v>2899</v>
      </c>
      <c r="E413">
        <v>1929</v>
      </c>
      <c r="F413" s="11">
        <v>1</v>
      </c>
    </row>
    <row r="414" spans="1:6" x14ac:dyDescent="0.35">
      <c r="A414" t="s">
        <v>2856</v>
      </c>
      <c r="B414" t="s">
        <v>2866</v>
      </c>
      <c r="C414" t="s">
        <v>1527</v>
      </c>
      <c r="D414" t="s">
        <v>2900</v>
      </c>
      <c r="E414">
        <v>1642</v>
      </c>
      <c r="F414" s="11">
        <v>1</v>
      </c>
    </row>
    <row r="415" spans="1:6" x14ac:dyDescent="0.35">
      <c r="A415" t="s">
        <v>2856</v>
      </c>
      <c r="B415" t="s">
        <v>2866</v>
      </c>
      <c r="C415" t="s">
        <v>1527</v>
      </c>
      <c r="D415" t="s">
        <v>2901</v>
      </c>
      <c r="E415">
        <v>287</v>
      </c>
      <c r="F415" s="11">
        <v>1</v>
      </c>
    </row>
    <row r="416" spans="1:6" x14ac:dyDescent="0.35">
      <c r="A416" t="s">
        <v>2856</v>
      </c>
      <c r="B416" t="s">
        <v>2866</v>
      </c>
      <c r="C416" t="s">
        <v>1527</v>
      </c>
      <c r="D416" t="s">
        <v>2902</v>
      </c>
      <c r="E416">
        <v>0</v>
      </c>
      <c r="F416" s="11">
        <v>1</v>
      </c>
    </row>
    <row r="417" spans="1:6" x14ac:dyDescent="0.35">
      <c r="A417" t="s">
        <v>2856</v>
      </c>
      <c r="B417" t="s">
        <v>2866</v>
      </c>
      <c r="C417" t="s">
        <v>1527</v>
      </c>
      <c r="D417" t="s">
        <v>2903</v>
      </c>
      <c r="E417">
        <v>42806</v>
      </c>
      <c r="F417" s="11">
        <v>1</v>
      </c>
    </row>
    <row r="418" spans="1:6" x14ac:dyDescent="0.35">
      <c r="A418" t="s">
        <v>2856</v>
      </c>
      <c r="B418" t="s">
        <v>2866</v>
      </c>
      <c r="C418" t="s">
        <v>1527</v>
      </c>
      <c r="D418" t="s">
        <v>2904</v>
      </c>
      <c r="E418">
        <v>30737</v>
      </c>
      <c r="F418" s="11">
        <v>1</v>
      </c>
    </row>
    <row r="419" spans="1:6" x14ac:dyDescent="0.35">
      <c r="A419" t="s">
        <v>2856</v>
      </c>
      <c r="B419" t="s">
        <v>2866</v>
      </c>
      <c r="C419" t="s">
        <v>1527</v>
      </c>
      <c r="D419" t="s">
        <v>2905</v>
      </c>
      <c r="E419">
        <v>8205</v>
      </c>
      <c r="F419" s="11">
        <v>1</v>
      </c>
    </row>
    <row r="420" spans="1:6" x14ac:dyDescent="0.35">
      <c r="A420" t="s">
        <v>2856</v>
      </c>
      <c r="B420" t="s">
        <v>2866</v>
      </c>
      <c r="C420" t="s">
        <v>1527</v>
      </c>
      <c r="D420" t="s">
        <v>2906</v>
      </c>
      <c r="E420">
        <v>4164</v>
      </c>
      <c r="F420" s="11">
        <v>1</v>
      </c>
    </row>
    <row r="421" spans="1:6" x14ac:dyDescent="0.35">
      <c r="A421" t="s">
        <v>2856</v>
      </c>
      <c r="B421" t="s">
        <v>2866</v>
      </c>
      <c r="C421" t="s">
        <v>1527</v>
      </c>
      <c r="D421" t="s">
        <v>2907</v>
      </c>
      <c r="E421">
        <v>32543</v>
      </c>
      <c r="F421" s="11">
        <v>1</v>
      </c>
    </row>
    <row r="422" spans="1:6" x14ac:dyDescent="0.35">
      <c r="A422" t="s">
        <v>2856</v>
      </c>
      <c r="B422" t="s">
        <v>2866</v>
      </c>
      <c r="C422" t="s">
        <v>1527</v>
      </c>
      <c r="D422" t="s">
        <v>2908</v>
      </c>
      <c r="E422">
        <v>29049</v>
      </c>
      <c r="F422" s="11">
        <v>1</v>
      </c>
    </row>
    <row r="423" spans="1:6" x14ac:dyDescent="0.35">
      <c r="A423" t="s">
        <v>2856</v>
      </c>
      <c r="B423" t="s">
        <v>2866</v>
      </c>
      <c r="C423" t="s">
        <v>1527</v>
      </c>
      <c r="D423" t="s">
        <v>2909</v>
      </c>
      <c r="E423">
        <v>2019</v>
      </c>
      <c r="F423" s="11">
        <v>1</v>
      </c>
    </row>
    <row r="424" spans="1:6" x14ac:dyDescent="0.35">
      <c r="A424" t="s">
        <v>2856</v>
      </c>
      <c r="B424" t="s">
        <v>2866</v>
      </c>
      <c r="C424" t="s">
        <v>1527</v>
      </c>
      <c r="D424" t="s">
        <v>2910</v>
      </c>
      <c r="E424">
        <v>1715</v>
      </c>
      <c r="F424" s="11">
        <v>1</v>
      </c>
    </row>
    <row r="425" spans="1:6" x14ac:dyDescent="0.35">
      <c r="A425" t="s">
        <v>2856</v>
      </c>
      <c r="B425" t="s">
        <v>2866</v>
      </c>
      <c r="C425" t="s">
        <v>1527</v>
      </c>
      <c r="D425" t="s">
        <v>2911</v>
      </c>
      <c r="E425">
        <v>337747</v>
      </c>
      <c r="F425" s="11">
        <v>1</v>
      </c>
    </row>
    <row r="426" spans="1:6" x14ac:dyDescent="0.35">
      <c r="A426" t="s">
        <v>2856</v>
      </c>
      <c r="B426" t="s">
        <v>2866</v>
      </c>
      <c r="C426" t="s">
        <v>1527</v>
      </c>
      <c r="D426" t="s">
        <v>2912</v>
      </c>
      <c r="E426">
        <v>601714</v>
      </c>
      <c r="F426" s="11">
        <v>1</v>
      </c>
    </row>
    <row r="427" spans="1:6" x14ac:dyDescent="0.35">
      <c r="A427" t="s">
        <v>2856</v>
      </c>
      <c r="B427" t="s">
        <v>2866</v>
      </c>
      <c r="C427" t="s">
        <v>1527</v>
      </c>
      <c r="D427" t="s">
        <v>2913</v>
      </c>
      <c r="E427">
        <v>0</v>
      </c>
      <c r="F427" s="11">
        <v>0</v>
      </c>
    </row>
    <row r="428" spans="1:6" x14ac:dyDescent="0.35">
      <c r="A428" t="s">
        <v>2856</v>
      </c>
      <c r="B428" t="s">
        <v>2866</v>
      </c>
      <c r="C428" t="s">
        <v>1527</v>
      </c>
      <c r="D428" t="s">
        <v>2914</v>
      </c>
      <c r="E428">
        <v>0</v>
      </c>
      <c r="F428" s="11">
        <v>0</v>
      </c>
    </row>
    <row r="429" spans="1:6" x14ac:dyDescent="0.35">
      <c r="A429" t="s">
        <v>2856</v>
      </c>
      <c r="B429" t="s">
        <v>2866</v>
      </c>
      <c r="C429" t="s">
        <v>1527</v>
      </c>
      <c r="D429" t="s">
        <v>2915</v>
      </c>
      <c r="E429">
        <v>6685</v>
      </c>
      <c r="F429" s="11">
        <v>1</v>
      </c>
    </row>
    <row r="430" spans="1:6" x14ac:dyDescent="0.35">
      <c r="A430" t="s">
        <v>2856</v>
      </c>
      <c r="B430" t="s">
        <v>2866</v>
      </c>
      <c r="C430" t="s">
        <v>1527</v>
      </c>
      <c r="D430" t="s">
        <v>2916</v>
      </c>
      <c r="E430">
        <v>90514</v>
      </c>
      <c r="F430" s="11">
        <v>1</v>
      </c>
    </row>
    <row r="431" spans="1:6" x14ac:dyDescent="0.35">
      <c r="A431" t="s">
        <v>2856</v>
      </c>
      <c r="B431" t="s">
        <v>2866</v>
      </c>
      <c r="C431" t="s">
        <v>1527</v>
      </c>
      <c r="D431" t="s">
        <v>2917</v>
      </c>
      <c r="E431">
        <v>0</v>
      </c>
      <c r="F431" s="11">
        <v>0</v>
      </c>
    </row>
    <row r="432" spans="1:6" x14ac:dyDescent="0.35">
      <c r="A432" t="s">
        <v>2856</v>
      </c>
      <c r="B432" t="s">
        <v>2864</v>
      </c>
      <c r="C432" t="s">
        <v>1501</v>
      </c>
      <c r="D432" t="s">
        <v>2875</v>
      </c>
      <c r="E432">
        <v>75546</v>
      </c>
      <c r="F432" s="11">
        <v>1</v>
      </c>
    </row>
    <row r="433" spans="1:6" x14ac:dyDescent="0.35">
      <c r="A433" t="s">
        <v>2856</v>
      </c>
      <c r="B433" t="s">
        <v>2864</v>
      </c>
      <c r="C433" t="s">
        <v>1501</v>
      </c>
      <c r="D433" t="s">
        <v>2876</v>
      </c>
      <c r="E433">
        <v>15543</v>
      </c>
      <c r="F433" s="11">
        <v>1</v>
      </c>
    </row>
    <row r="434" spans="1:6" x14ac:dyDescent="0.35">
      <c r="A434" t="s">
        <v>2856</v>
      </c>
      <c r="B434" t="s">
        <v>2864</v>
      </c>
      <c r="C434" t="s">
        <v>1501</v>
      </c>
      <c r="D434" t="s">
        <v>2877</v>
      </c>
      <c r="E434">
        <v>55613</v>
      </c>
      <c r="F434" s="11">
        <v>1</v>
      </c>
    </row>
    <row r="435" spans="1:6" x14ac:dyDescent="0.35">
      <c r="A435" t="s">
        <v>2856</v>
      </c>
      <c r="B435" t="s">
        <v>2864</v>
      </c>
      <c r="C435" t="s">
        <v>1501</v>
      </c>
      <c r="D435" t="s">
        <v>2878</v>
      </c>
      <c r="E435">
        <v>4176</v>
      </c>
      <c r="F435" s="11">
        <v>1</v>
      </c>
    </row>
    <row r="436" spans="1:6" x14ac:dyDescent="0.35">
      <c r="A436" t="s">
        <v>2856</v>
      </c>
      <c r="B436" t="s">
        <v>2864</v>
      </c>
      <c r="C436" t="s">
        <v>1501</v>
      </c>
      <c r="D436" t="s">
        <v>2879</v>
      </c>
      <c r="E436">
        <v>5140</v>
      </c>
      <c r="F436" s="11">
        <v>0</v>
      </c>
    </row>
    <row r="437" spans="1:6" x14ac:dyDescent="0.35">
      <c r="A437" t="s">
        <v>2856</v>
      </c>
      <c r="B437" t="s">
        <v>2864</v>
      </c>
      <c r="C437" t="s">
        <v>1501</v>
      </c>
      <c r="D437" t="s">
        <v>2880</v>
      </c>
      <c r="E437">
        <v>2421</v>
      </c>
      <c r="F437" s="11">
        <v>1</v>
      </c>
    </row>
    <row r="438" spans="1:6" x14ac:dyDescent="0.35">
      <c r="A438" t="s">
        <v>2856</v>
      </c>
      <c r="B438" t="s">
        <v>2864</v>
      </c>
      <c r="C438" t="s">
        <v>1501</v>
      </c>
      <c r="D438" t="s">
        <v>2881</v>
      </c>
      <c r="E438">
        <v>2396</v>
      </c>
      <c r="F438" s="11">
        <v>1</v>
      </c>
    </row>
    <row r="439" spans="1:6" x14ac:dyDescent="0.35">
      <c r="A439" t="s">
        <v>2856</v>
      </c>
      <c r="B439" t="s">
        <v>2864</v>
      </c>
      <c r="C439" t="s">
        <v>1501</v>
      </c>
      <c r="D439" t="s">
        <v>2882</v>
      </c>
      <c r="E439">
        <v>158</v>
      </c>
      <c r="F439" s="11">
        <v>1</v>
      </c>
    </row>
    <row r="440" spans="1:6" x14ac:dyDescent="0.35">
      <c r="A440" t="s">
        <v>2856</v>
      </c>
      <c r="B440" t="s">
        <v>2864</v>
      </c>
      <c r="C440" t="s">
        <v>1501</v>
      </c>
      <c r="D440" t="s">
        <v>2883</v>
      </c>
      <c r="E440">
        <v>139</v>
      </c>
      <c r="F440" s="11">
        <v>0</v>
      </c>
    </row>
    <row r="441" spans="1:6" x14ac:dyDescent="0.35">
      <c r="A441" t="s">
        <v>2856</v>
      </c>
      <c r="B441" t="s">
        <v>2864</v>
      </c>
      <c r="C441" t="s">
        <v>1501</v>
      </c>
      <c r="D441" t="s">
        <v>2884</v>
      </c>
      <c r="E441">
        <v>139</v>
      </c>
      <c r="F441" s="11">
        <v>0</v>
      </c>
    </row>
    <row r="442" spans="1:6" x14ac:dyDescent="0.35">
      <c r="A442" t="s">
        <v>2856</v>
      </c>
      <c r="B442" t="s">
        <v>2864</v>
      </c>
      <c r="C442" t="s">
        <v>1501</v>
      </c>
      <c r="D442" t="s">
        <v>2885</v>
      </c>
      <c r="E442">
        <v>0</v>
      </c>
      <c r="F442" s="11">
        <v>0</v>
      </c>
    </row>
    <row r="443" spans="1:6" x14ac:dyDescent="0.35">
      <c r="A443" t="s">
        <v>2856</v>
      </c>
      <c r="B443" t="s">
        <v>2864</v>
      </c>
      <c r="C443" t="s">
        <v>1501</v>
      </c>
      <c r="D443" t="s">
        <v>2886</v>
      </c>
      <c r="E443">
        <v>0</v>
      </c>
      <c r="F443" s="11">
        <v>1</v>
      </c>
    </row>
    <row r="444" spans="1:6" x14ac:dyDescent="0.35">
      <c r="A444" t="s">
        <v>2856</v>
      </c>
      <c r="B444" t="s">
        <v>2864</v>
      </c>
      <c r="C444" t="s">
        <v>1501</v>
      </c>
      <c r="D444" t="s">
        <v>2887</v>
      </c>
      <c r="E444">
        <v>81534</v>
      </c>
      <c r="F444" s="11">
        <v>0</v>
      </c>
    </row>
    <row r="445" spans="1:6" x14ac:dyDescent="0.35">
      <c r="A445" t="s">
        <v>2856</v>
      </c>
      <c r="B445" t="s">
        <v>2864</v>
      </c>
      <c r="C445" t="s">
        <v>1501</v>
      </c>
      <c r="D445" t="s">
        <v>2888</v>
      </c>
      <c r="E445">
        <v>31262</v>
      </c>
      <c r="F445" s="11">
        <v>1</v>
      </c>
    </row>
    <row r="446" spans="1:6" x14ac:dyDescent="0.35">
      <c r="A446" t="s">
        <v>2856</v>
      </c>
      <c r="B446" t="s">
        <v>2864</v>
      </c>
      <c r="C446" t="s">
        <v>1501</v>
      </c>
      <c r="D446" t="s">
        <v>2889</v>
      </c>
      <c r="E446">
        <v>50272</v>
      </c>
      <c r="F446" s="11">
        <v>1</v>
      </c>
    </row>
    <row r="447" spans="1:6" x14ac:dyDescent="0.35">
      <c r="A447" t="s">
        <v>2856</v>
      </c>
      <c r="B447" t="s">
        <v>2864</v>
      </c>
      <c r="C447" t="s">
        <v>1501</v>
      </c>
      <c r="D447" t="s">
        <v>2890</v>
      </c>
      <c r="E447">
        <v>0</v>
      </c>
      <c r="F447" s="11">
        <v>1</v>
      </c>
    </row>
    <row r="448" spans="1:6" x14ac:dyDescent="0.35">
      <c r="A448" t="s">
        <v>2856</v>
      </c>
      <c r="B448" t="s">
        <v>2864</v>
      </c>
      <c r="C448" t="s">
        <v>1501</v>
      </c>
      <c r="D448" t="s">
        <v>2891</v>
      </c>
      <c r="E448">
        <v>290</v>
      </c>
      <c r="F448" s="11">
        <v>0</v>
      </c>
    </row>
    <row r="449" spans="1:6" x14ac:dyDescent="0.35">
      <c r="A449" t="s">
        <v>2856</v>
      </c>
      <c r="B449" t="s">
        <v>2864</v>
      </c>
      <c r="C449" t="s">
        <v>1501</v>
      </c>
      <c r="D449" t="s">
        <v>2892</v>
      </c>
      <c r="E449">
        <v>290</v>
      </c>
      <c r="F449" s="11">
        <v>0</v>
      </c>
    </row>
    <row r="450" spans="1:6" x14ac:dyDescent="0.35">
      <c r="A450" t="s">
        <v>2856</v>
      </c>
      <c r="B450" t="s">
        <v>2864</v>
      </c>
      <c r="C450" t="s">
        <v>1501</v>
      </c>
      <c r="D450" t="s">
        <v>2893</v>
      </c>
      <c r="E450">
        <v>0</v>
      </c>
      <c r="F450" s="11">
        <v>0</v>
      </c>
    </row>
    <row r="451" spans="1:6" x14ac:dyDescent="0.35">
      <c r="A451" t="s">
        <v>2856</v>
      </c>
      <c r="B451" t="s">
        <v>2864</v>
      </c>
      <c r="C451" t="s">
        <v>1501</v>
      </c>
      <c r="D451" t="s">
        <v>2894</v>
      </c>
      <c r="E451">
        <v>0</v>
      </c>
      <c r="F451" s="11">
        <v>1</v>
      </c>
    </row>
    <row r="452" spans="1:6" x14ac:dyDescent="0.35">
      <c r="A452" t="s">
        <v>2856</v>
      </c>
      <c r="B452" t="s">
        <v>2864</v>
      </c>
      <c r="C452" t="s">
        <v>1501</v>
      </c>
      <c r="D452" t="s">
        <v>2895</v>
      </c>
      <c r="E452">
        <v>1112933</v>
      </c>
      <c r="F452" s="11">
        <v>0</v>
      </c>
    </row>
    <row r="453" spans="1:6" x14ac:dyDescent="0.35">
      <c r="A453" t="s">
        <v>2856</v>
      </c>
      <c r="B453" t="s">
        <v>2864</v>
      </c>
      <c r="C453" t="s">
        <v>1501</v>
      </c>
      <c r="D453" t="s">
        <v>2896</v>
      </c>
      <c r="E453">
        <v>625439</v>
      </c>
      <c r="F453" s="11">
        <v>0</v>
      </c>
    </row>
    <row r="454" spans="1:6" x14ac:dyDescent="0.35">
      <c r="A454" t="s">
        <v>2856</v>
      </c>
      <c r="B454" t="s">
        <v>2864</v>
      </c>
      <c r="C454" t="s">
        <v>1501</v>
      </c>
      <c r="D454" t="s">
        <v>2897</v>
      </c>
      <c r="E454">
        <v>506432</v>
      </c>
      <c r="F454" s="11">
        <v>1</v>
      </c>
    </row>
    <row r="455" spans="1:6" x14ac:dyDescent="0.35">
      <c r="A455" t="s">
        <v>2856</v>
      </c>
      <c r="B455" t="s">
        <v>2864</v>
      </c>
      <c r="C455" t="s">
        <v>1501</v>
      </c>
      <c r="D455" t="s">
        <v>2898</v>
      </c>
      <c r="E455">
        <v>20900</v>
      </c>
      <c r="F455" s="11">
        <v>1</v>
      </c>
    </row>
    <row r="456" spans="1:6" x14ac:dyDescent="0.35">
      <c r="A456" t="s">
        <v>2856</v>
      </c>
      <c r="B456" t="s">
        <v>2864</v>
      </c>
      <c r="C456" t="s">
        <v>1501</v>
      </c>
      <c r="D456" t="s">
        <v>2899</v>
      </c>
      <c r="E456">
        <v>14199</v>
      </c>
      <c r="F456" s="11">
        <v>0</v>
      </c>
    </row>
    <row r="457" spans="1:6" x14ac:dyDescent="0.35">
      <c r="A457" t="s">
        <v>2856</v>
      </c>
      <c r="B457" t="s">
        <v>2864</v>
      </c>
      <c r="C457" t="s">
        <v>1501</v>
      </c>
      <c r="D457" t="s">
        <v>2900</v>
      </c>
      <c r="E457">
        <v>9418</v>
      </c>
      <c r="F457" s="11">
        <v>1</v>
      </c>
    </row>
    <row r="458" spans="1:6" x14ac:dyDescent="0.35">
      <c r="A458" t="s">
        <v>2856</v>
      </c>
      <c r="B458" t="s">
        <v>2864</v>
      </c>
      <c r="C458" t="s">
        <v>1501</v>
      </c>
      <c r="D458" t="s">
        <v>2901</v>
      </c>
      <c r="E458">
        <v>4781</v>
      </c>
      <c r="F458" s="11">
        <v>0</v>
      </c>
    </row>
    <row r="459" spans="1:6" x14ac:dyDescent="0.35">
      <c r="A459" t="s">
        <v>2856</v>
      </c>
      <c r="B459" t="s">
        <v>2864</v>
      </c>
      <c r="C459" t="s">
        <v>1501</v>
      </c>
      <c r="D459" t="s">
        <v>2902</v>
      </c>
      <c r="E459">
        <v>0</v>
      </c>
      <c r="F459" s="11">
        <v>1</v>
      </c>
    </row>
    <row r="460" spans="1:6" x14ac:dyDescent="0.35">
      <c r="A460" t="s">
        <v>2856</v>
      </c>
      <c r="B460" t="s">
        <v>2864</v>
      </c>
      <c r="C460" t="s">
        <v>1501</v>
      </c>
      <c r="D460" t="s">
        <v>2903</v>
      </c>
      <c r="E460">
        <v>72576</v>
      </c>
      <c r="F460" s="11">
        <v>0</v>
      </c>
    </row>
    <row r="461" spans="1:6" x14ac:dyDescent="0.35">
      <c r="A461" t="s">
        <v>2856</v>
      </c>
      <c r="B461" t="s">
        <v>2864</v>
      </c>
      <c r="C461" t="s">
        <v>1501</v>
      </c>
      <c r="D461" t="s">
        <v>2904</v>
      </c>
      <c r="E461">
        <v>60982</v>
      </c>
      <c r="F461" s="11">
        <v>0</v>
      </c>
    </row>
    <row r="462" spans="1:6" x14ac:dyDescent="0.35">
      <c r="A462" t="s">
        <v>2856</v>
      </c>
      <c r="B462" t="s">
        <v>2864</v>
      </c>
      <c r="C462" t="s">
        <v>1501</v>
      </c>
      <c r="D462" t="s">
        <v>2905</v>
      </c>
      <c r="E462">
        <v>8058</v>
      </c>
      <c r="F462" s="11">
        <v>0</v>
      </c>
    </row>
    <row r="463" spans="1:6" x14ac:dyDescent="0.35">
      <c r="A463" t="s">
        <v>2856</v>
      </c>
      <c r="B463" t="s">
        <v>2864</v>
      </c>
      <c r="C463" t="s">
        <v>1501</v>
      </c>
      <c r="D463" t="s">
        <v>2906</v>
      </c>
      <c r="E463">
        <v>3536</v>
      </c>
      <c r="F463" s="11">
        <v>1</v>
      </c>
    </row>
    <row r="464" spans="1:6" x14ac:dyDescent="0.35">
      <c r="A464" t="s">
        <v>2856</v>
      </c>
      <c r="B464" t="s">
        <v>2864</v>
      </c>
      <c r="C464" t="s">
        <v>1501</v>
      </c>
      <c r="D464" t="s">
        <v>2907</v>
      </c>
      <c r="E464">
        <v>277242</v>
      </c>
      <c r="F464" s="11">
        <v>0</v>
      </c>
    </row>
    <row r="465" spans="1:6" x14ac:dyDescent="0.35">
      <c r="A465" t="s">
        <v>2856</v>
      </c>
      <c r="B465" t="s">
        <v>2864</v>
      </c>
      <c r="C465" t="s">
        <v>1501</v>
      </c>
      <c r="D465" t="s">
        <v>2908</v>
      </c>
      <c r="E465">
        <v>213396</v>
      </c>
      <c r="F465" s="11">
        <v>0</v>
      </c>
    </row>
    <row r="466" spans="1:6" x14ac:dyDescent="0.35">
      <c r="A466" t="s">
        <v>2856</v>
      </c>
      <c r="B466" t="s">
        <v>2864</v>
      </c>
      <c r="C466" t="s">
        <v>1501</v>
      </c>
      <c r="D466" t="s">
        <v>2909</v>
      </c>
      <c r="E466">
        <v>51057</v>
      </c>
      <c r="F466" s="11">
        <v>0</v>
      </c>
    </row>
    <row r="467" spans="1:6" x14ac:dyDescent="0.35">
      <c r="A467" t="s">
        <v>2856</v>
      </c>
      <c r="B467" t="s">
        <v>2864</v>
      </c>
      <c r="C467" t="s">
        <v>1501</v>
      </c>
      <c r="D467" t="s">
        <v>2910</v>
      </c>
      <c r="E467">
        <v>12789</v>
      </c>
      <c r="F467" s="11">
        <v>1</v>
      </c>
    </row>
    <row r="468" spans="1:6" x14ac:dyDescent="0.35">
      <c r="A468" t="s">
        <v>2856</v>
      </c>
      <c r="B468" t="s">
        <v>2864</v>
      </c>
      <c r="C468" t="s">
        <v>1501</v>
      </c>
      <c r="D468" t="s">
        <v>2911</v>
      </c>
      <c r="E468">
        <v>966449</v>
      </c>
      <c r="F468" s="11">
        <v>1</v>
      </c>
    </row>
    <row r="469" spans="1:6" x14ac:dyDescent="0.35">
      <c r="A469" t="s">
        <v>2856</v>
      </c>
      <c r="B469" t="s">
        <v>2864</v>
      </c>
      <c r="C469" t="s">
        <v>1501</v>
      </c>
      <c r="D469" t="s">
        <v>2912</v>
      </c>
      <c r="E469">
        <v>75296</v>
      </c>
      <c r="F469" s="11">
        <v>1</v>
      </c>
    </row>
    <row r="470" spans="1:6" x14ac:dyDescent="0.35">
      <c r="A470" t="s">
        <v>2856</v>
      </c>
      <c r="B470" t="s">
        <v>2864</v>
      </c>
      <c r="C470" t="s">
        <v>1501</v>
      </c>
      <c r="D470" t="s">
        <v>2913</v>
      </c>
      <c r="E470">
        <v>0</v>
      </c>
      <c r="F470" s="11">
        <v>0</v>
      </c>
    </row>
    <row r="471" spans="1:6" x14ac:dyDescent="0.35">
      <c r="A471" t="s">
        <v>2856</v>
      </c>
      <c r="B471" t="s">
        <v>2864</v>
      </c>
      <c r="C471" t="s">
        <v>1501</v>
      </c>
      <c r="D471" t="s">
        <v>2914</v>
      </c>
      <c r="E471">
        <v>0</v>
      </c>
      <c r="F471" s="11">
        <v>0</v>
      </c>
    </row>
    <row r="472" spans="1:6" x14ac:dyDescent="0.35">
      <c r="A472" t="s">
        <v>2856</v>
      </c>
      <c r="B472" t="s">
        <v>2864</v>
      </c>
      <c r="C472" t="s">
        <v>1501</v>
      </c>
      <c r="D472" t="s">
        <v>2915</v>
      </c>
      <c r="E472">
        <v>636</v>
      </c>
      <c r="F472" s="11">
        <v>1</v>
      </c>
    </row>
    <row r="473" spans="1:6" x14ac:dyDescent="0.35">
      <c r="A473" t="s">
        <v>2856</v>
      </c>
      <c r="B473" t="s">
        <v>2864</v>
      </c>
      <c r="C473" t="s">
        <v>1501</v>
      </c>
      <c r="D473" t="s">
        <v>2916</v>
      </c>
      <c r="E473">
        <v>95564</v>
      </c>
      <c r="F473" s="11">
        <v>1</v>
      </c>
    </row>
    <row r="474" spans="1:6" x14ac:dyDescent="0.35">
      <c r="A474" t="s">
        <v>2856</v>
      </c>
      <c r="B474" t="s">
        <v>2864</v>
      </c>
      <c r="C474" t="s">
        <v>1501</v>
      </c>
      <c r="D474" t="s">
        <v>2917</v>
      </c>
      <c r="E474">
        <v>169359</v>
      </c>
      <c r="F474" s="11">
        <v>1</v>
      </c>
    </row>
    <row r="475" spans="1:6" x14ac:dyDescent="0.35">
      <c r="A475" t="s">
        <v>2856</v>
      </c>
      <c r="B475" t="s">
        <v>2862</v>
      </c>
      <c r="C475" t="s">
        <v>1556</v>
      </c>
      <c r="D475" t="s">
        <v>2875</v>
      </c>
      <c r="E475">
        <v>31006</v>
      </c>
      <c r="F475" s="11">
        <v>1</v>
      </c>
    </row>
    <row r="476" spans="1:6" x14ac:dyDescent="0.35">
      <c r="A476" t="s">
        <v>2856</v>
      </c>
      <c r="B476" t="s">
        <v>2862</v>
      </c>
      <c r="C476" t="s">
        <v>1556</v>
      </c>
      <c r="D476" t="s">
        <v>2876</v>
      </c>
      <c r="E476">
        <v>8880</v>
      </c>
      <c r="F476" s="11">
        <v>0</v>
      </c>
    </row>
    <row r="477" spans="1:6" x14ac:dyDescent="0.35">
      <c r="A477" t="s">
        <v>2856</v>
      </c>
      <c r="B477" t="s">
        <v>2862</v>
      </c>
      <c r="C477" t="s">
        <v>1556</v>
      </c>
      <c r="D477" t="s">
        <v>2877</v>
      </c>
      <c r="E477">
        <v>19344</v>
      </c>
      <c r="F477" s="11">
        <v>0</v>
      </c>
    </row>
    <row r="478" spans="1:6" x14ac:dyDescent="0.35">
      <c r="A478" t="s">
        <v>2856</v>
      </c>
      <c r="B478" t="s">
        <v>2862</v>
      </c>
      <c r="C478" t="s">
        <v>1556</v>
      </c>
      <c r="D478" t="s">
        <v>2878</v>
      </c>
      <c r="E478">
        <v>2782</v>
      </c>
      <c r="F478" s="11">
        <v>0</v>
      </c>
    </row>
    <row r="479" spans="1:6" x14ac:dyDescent="0.35">
      <c r="A479" t="s">
        <v>2856</v>
      </c>
      <c r="B479" t="s">
        <v>2862</v>
      </c>
      <c r="C479" t="s">
        <v>1556</v>
      </c>
      <c r="D479" t="s">
        <v>2879</v>
      </c>
      <c r="E479">
        <v>4625</v>
      </c>
      <c r="F479" s="11">
        <v>0</v>
      </c>
    </row>
    <row r="480" spans="1:6" x14ac:dyDescent="0.35">
      <c r="A480" t="s">
        <v>2856</v>
      </c>
      <c r="B480" t="s">
        <v>2862</v>
      </c>
      <c r="C480" t="s">
        <v>1556</v>
      </c>
      <c r="D480" t="s">
        <v>2880</v>
      </c>
      <c r="E480">
        <v>1148</v>
      </c>
      <c r="F480" s="11">
        <v>1</v>
      </c>
    </row>
    <row r="481" spans="1:6" x14ac:dyDescent="0.35">
      <c r="A481" t="s">
        <v>2856</v>
      </c>
      <c r="B481" t="s">
        <v>2862</v>
      </c>
      <c r="C481" t="s">
        <v>1556</v>
      </c>
      <c r="D481" t="s">
        <v>2881</v>
      </c>
      <c r="E481">
        <v>3125</v>
      </c>
      <c r="F481" s="11">
        <v>0</v>
      </c>
    </row>
    <row r="482" spans="1:6" x14ac:dyDescent="0.35">
      <c r="A482" t="s">
        <v>2856</v>
      </c>
      <c r="B482" t="s">
        <v>2862</v>
      </c>
      <c r="C482" t="s">
        <v>1556</v>
      </c>
      <c r="D482" t="s">
        <v>2882</v>
      </c>
      <c r="E482">
        <v>0</v>
      </c>
      <c r="F482" s="11">
        <v>1</v>
      </c>
    </row>
    <row r="483" spans="1:6" x14ac:dyDescent="0.35">
      <c r="A483" t="s">
        <v>2856</v>
      </c>
      <c r="B483" t="s">
        <v>2862</v>
      </c>
      <c r="C483" t="s">
        <v>1556</v>
      </c>
      <c r="D483" t="s">
        <v>2883</v>
      </c>
      <c r="E483">
        <v>0</v>
      </c>
      <c r="F483" s="11">
        <v>0</v>
      </c>
    </row>
    <row r="484" spans="1:6" x14ac:dyDescent="0.35">
      <c r="A484" t="s">
        <v>2856</v>
      </c>
      <c r="B484" t="s">
        <v>2862</v>
      </c>
      <c r="C484" t="s">
        <v>1556</v>
      </c>
      <c r="D484" t="s">
        <v>2884</v>
      </c>
      <c r="E484">
        <v>0</v>
      </c>
      <c r="F484" s="11">
        <v>1</v>
      </c>
    </row>
    <row r="485" spans="1:6" x14ac:dyDescent="0.35">
      <c r="A485" t="s">
        <v>2856</v>
      </c>
      <c r="B485" t="s">
        <v>2862</v>
      </c>
      <c r="C485" t="s">
        <v>1556</v>
      </c>
      <c r="D485" t="s">
        <v>2885</v>
      </c>
      <c r="E485">
        <v>0</v>
      </c>
      <c r="F485" s="11">
        <v>0</v>
      </c>
    </row>
    <row r="486" spans="1:6" x14ac:dyDescent="0.35">
      <c r="A486" t="s">
        <v>2856</v>
      </c>
      <c r="B486" t="s">
        <v>2862</v>
      </c>
      <c r="C486" t="s">
        <v>1556</v>
      </c>
      <c r="D486" t="s">
        <v>2886</v>
      </c>
      <c r="E486">
        <v>0</v>
      </c>
      <c r="F486" s="11">
        <v>0</v>
      </c>
    </row>
    <row r="487" spans="1:6" x14ac:dyDescent="0.35">
      <c r="A487" t="s">
        <v>2856</v>
      </c>
      <c r="B487" t="s">
        <v>2862</v>
      </c>
      <c r="C487" t="s">
        <v>1556</v>
      </c>
      <c r="D487" t="s">
        <v>2887</v>
      </c>
      <c r="E487">
        <v>70102</v>
      </c>
      <c r="F487" s="11">
        <v>0</v>
      </c>
    </row>
    <row r="488" spans="1:6" x14ac:dyDescent="0.35">
      <c r="A488" t="s">
        <v>2856</v>
      </c>
      <c r="B488" t="s">
        <v>2862</v>
      </c>
      <c r="C488" t="s">
        <v>1556</v>
      </c>
      <c r="D488" t="s">
        <v>2888</v>
      </c>
      <c r="E488">
        <v>9490</v>
      </c>
      <c r="F488" s="11">
        <v>1</v>
      </c>
    </row>
    <row r="489" spans="1:6" x14ac:dyDescent="0.35">
      <c r="A489" t="s">
        <v>2856</v>
      </c>
      <c r="B489" t="s">
        <v>2862</v>
      </c>
      <c r="C489" t="s">
        <v>1556</v>
      </c>
      <c r="D489" t="s">
        <v>2889</v>
      </c>
      <c r="E489">
        <v>60612</v>
      </c>
      <c r="F489" s="11">
        <v>0</v>
      </c>
    </row>
    <row r="490" spans="1:6" x14ac:dyDescent="0.35">
      <c r="A490" t="s">
        <v>2856</v>
      </c>
      <c r="B490" t="s">
        <v>2862</v>
      </c>
      <c r="C490" t="s">
        <v>1556</v>
      </c>
      <c r="D490" t="s">
        <v>2890</v>
      </c>
      <c r="E490">
        <v>0</v>
      </c>
      <c r="F490" s="11">
        <v>1</v>
      </c>
    </row>
    <row r="491" spans="1:6" x14ac:dyDescent="0.35">
      <c r="A491" t="s">
        <v>2856</v>
      </c>
      <c r="B491" t="s">
        <v>2862</v>
      </c>
      <c r="C491" t="s">
        <v>1556</v>
      </c>
      <c r="D491" t="s">
        <v>2891</v>
      </c>
      <c r="E491">
        <v>0</v>
      </c>
      <c r="F491" s="11">
        <v>0</v>
      </c>
    </row>
    <row r="492" spans="1:6" x14ac:dyDescent="0.35">
      <c r="A492" t="s">
        <v>2856</v>
      </c>
      <c r="B492" t="s">
        <v>2862</v>
      </c>
      <c r="C492" t="s">
        <v>1556</v>
      </c>
      <c r="D492" t="s">
        <v>2892</v>
      </c>
      <c r="E492">
        <v>0</v>
      </c>
      <c r="F492" s="11">
        <v>1</v>
      </c>
    </row>
    <row r="493" spans="1:6" x14ac:dyDescent="0.35">
      <c r="A493" t="s">
        <v>2856</v>
      </c>
      <c r="B493" t="s">
        <v>2862</v>
      </c>
      <c r="C493" t="s">
        <v>1556</v>
      </c>
      <c r="D493" t="s">
        <v>2893</v>
      </c>
      <c r="E493">
        <v>0</v>
      </c>
      <c r="F493" s="11">
        <v>0</v>
      </c>
    </row>
    <row r="494" spans="1:6" x14ac:dyDescent="0.35">
      <c r="A494" t="s">
        <v>2856</v>
      </c>
      <c r="B494" t="s">
        <v>2862</v>
      </c>
      <c r="C494" t="s">
        <v>1556</v>
      </c>
      <c r="D494" t="s">
        <v>2894</v>
      </c>
      <c r="E494">
        <v>0</v>
      </c>
      <c r="F494" s="11">
        <v>0</v>
      </c>
    </row>
    <row r="495" spans="1:6" x14ac:dyDescent="0.35">
      <c r="A495" t="s">
        <v>2856</v>
      </c>
      <c r="B495" t="s">
        <v>2862</v>
      </c>
      <c r="C495" t="s">
        <v>1556</v>
      </c>
      <c r="D495" t="s">
        <v>2895</v>
      </c>
      <c r="E495">
        <v>1203330</v>
      </c>
      <c r="F495" s="11">
        <v>1</v>
      </c>
    </row>
    <row r="496" spans="1:6" x14ac:dyDescent="0.35">
      <c r="A496" t="s">
        <v>2856</v>
      </c>
      <c r="B496" t="s">
        <v>2862</v>
      </c>
      <c r="C496" t="s">
        <v>1556</v>
      </c>
      <c r="D496" t="s">
        <v>2896</v>
      </c>
      <c r="E496">
        <v>0</v>
      </c>
      <c r="F496" s="11">
        <v>1</v>
      </c>
    </row>
    <row r="497" spans="1:6" x14ac:dyDescent="0.35">
      <c r="A497" t="s">
        <v>2856</v>
      </c>
      <c r="B497" t="s">
        <v>2862</v>
      </c>
      <c r="C497" t="s">
        <v>1556</v>
      </c>
      <c r="D497" t="s">
        <v>2897</v>
      </c>
      <c r="E497">
        <v>0</v>
      </c>
      <c r="F497" s="11">
        <v>1</v>
      </c>
    </row>
    <row r="498" spans="1:6" x14ac:dyDescent="0.35">
      <c r="A498" t="s">
        <v>2856</v>
      </c>
      <c r="B498" t="s">
        <v>2862</v>
      </c>
      <c r="C498" t="s">
        <v>1556</v>
      </c>
      <c r="D498" t="s">
        <v>2898</v>
      </c>
      <c r="E498">
        <v>0</v>
      </c>
      <c r="F498" s="11">
        <v>1</v>
      </c>
    </row>
    <row r="499" spans="1:6" x14ac:dyDescent="0.35">
      <c r="A499" t="s">
        <v>2856</v>
      </c>
      <c r="B499" t="s">
        <v>2862</v>
      </c>
      <c r="C499" t="s">
        <v>1556</v>
      </c>
      <c r="D499" t="s">
        <v>2899</v>
      </c>
      <c r="E499">
        <v>0</v>
      </c>
      <c r="F499" s="11">
        <v>1</v>
      </c>
    </row>
    <row r="500" spans="1:6" x14ac:dyDescent="0.35">
      <c r="A500" t="s">
        <v>2856</v>
      </c>
      <c r="B500" t="s">
        <v>2862</v>
      </c>
      <c r="C500" t="s">
        <v>1556</v>
      </c>
      <c r="D500" t="s">
        <v>2900</v>
      </c>
      <c r="E500">
        <v>0</v>
      </c>
      <c r="F500" s="11">
        <v>1</v>
      </c>
    </row>
    <row r="501" spans="1:6" x14ac:dyDescent="0.35">
      <c r="A501" t="s">
        <v>2856</v>
      </c>
      <c r="B501" t="s">
        <v>2862</v>
      </c>
      <c r="C501" t="s">
        <v>1556</v>
      </c>
      <c r="D501" t="s">
        <v>2901</v>
      </c>
      <c r="E501">
        <v>0</v>
      </c>
      <c r="F501" s="11">
        <v>0</v>
      </c>
    </row>
    <row r="502" spans="1:6" x14ac:dyDescent="0.35">
      <c r="A502" t="s">
        <v>2856</v>
      </c>
      <c r="B502" t="s">
        <v>2862</v>
      </c>
      <c r="C502" t="s">
        <v>1556</v>
      </c>
      <c r="D502" t="s">
        <v>2902</v>
      </c>
      <c r="E502">
        <v>0</v>
      </c>
      <c r="F502" s="11">
        <v>1</v>
      </c>
    </row>
    <row r="503" spans="1:6" x14ac:dyDescent="0.35">
      <c r="A503" t="s">
        <v>2856</v>
      </c>
      <c r="B503" t="s">
        <v>2862</v>
      </c>
      <c r="C503" t="s">
        <v>1556</v>
      </c>
      <c r="D503" t="s">
        <v>2903</v>
      </c>
      <c r="E503">
        <v>58770</v>
      </c>
      <c r="F503" s="11">
        <v>1</v>
      </c>
    </row>
    <row r="504" spans="1:6" x14ac:dyDescent="0.35">
      <c r="A504" t="s">
        <v>2856</v>
      </c>
      <c r="B504" t="s">
        <v>2862</v>
      </c>
      <c r="C504" t="s">
        <v>1556</v>
      </c>
      <c r="D504" t="s">
        <v>2904</v>
      </c>
      <c r="E504">
        <v>0</v>
      </c>
      <c r="F504" s="11">
        <v>1</v>
      </c>
    </row>
    <row r="505" spans="1:6" x14ac:dyDescent="0.35">
      <c r="A505" t="s">
        <v>2856</v>
      </c>
      <c r="B505" t="s">
        <v>2862</v>
      </c>
      <c r="C505" t="s">
        <v>1556</v>
      </c>
      <c r="D505" t="s">
        <v>2905</v>
      </c>
      <c r="E505">
        <v>0</v>
      </c>
      <c r="F505" s="11">
        <v>1</v>
      </c>
    </row>
    <row r="506" spans="1:6" x14ac:dyDescent="0.35">
      <c r="A506" t="s">
        <v>2856</v>
      </c>
      <c r="B506" t="s">
        <v>2862</v>
      </c>
      <c r="C506" t="s">
        <v>1556</v>
      </c>
      <c r="D506" t="s">
        <v>2906</v>
      </c>
      <c r="E506">
        <v>0</v>
      </c>
      <c r="F506" s="11">
        <v>1</v>
      </c>
    </row>
    <row r="507" spans="1:6" x14ac:dyDescent="0.35">
      <c r="A507" t="s">
        <v>2856</v>
      </c>
      <c r="B507" t="s">
        <v>2862</v>
      </c>
      <c r="C507" t="s">
        <v>1556</v>
      </c>
      <c r="D507" t="s">
        <v>2907</v>
      </c>
      <c r="E507">
        <v>64322</v>
      </c>
      <c r="F507" s="11">
        <v>1</v>
      </c>
    </row>
    <row r="508" spans="1:6" x14ac:dyDescent="0.35">
      <c r="A508" t="s">
        <v>2856</v>
      </c>
      <c r="B508" t="s">
        <v>2862</v>
      </c>
      <c r="C508" t="s">
        <v>1556</v>
      </c>
      <c r="D508" t="s">
        <v>2908</v>
      </c>
      <c r="E508">
        <v>0</v>
      </c>
      <c r="F508" s="11">
        <v>1</v>
      </c>
    </row>
    <row r="509" spans="1:6" x14ac:dyDescent="0.35">
      <c r="A509" t="s">
        <v>2856</v>
      </c>
      <c r="B509" t="s">
        <v>2862</v>
      </c>
      <c r="C509" t="s">
        <v>1556</v>
      </c>
      <c r="D509" t="s">
        <v>2909</v>
      </c>
      <c r="E509">
        <v>0</v>
      </c>
      <c r="F509" s="11">
        <v>1</v>
      </c>
    </row>
    <row r="510" spans="1:6" x14ac:dyDescent="0.35">
      <c r="A510" t="s">
        <v>2856</v>
      </c>
      <c r="B510" t="s">
        <v>2862</v>
      </c>
      <c r="C510" t="s">
        <v>1556</v>
      </c>
      <c r="D510" t="s">
        <v>2910</v>
      </c>
      <c r="E510">
        <v>0</v>
      </c>
      <c r="F510" s="11">
        <v>1</v>
      </c>
    </row>
    <row r="511" spans="1:6" x14ac:dyDescent="0.35">
      <c r="A511" t="s">
        <v>2856</v>
      </c>
      <c r="B511" t="s">
        <v>2862</v>
      </c>
      <c r="C511" t="s">
        <v>1556</v>
      </c>
      <c r="D511" t="s">
        <v>2911</v>
      </c>
      <c r="E511">
        <v>435598</v>
      </c>
      <c r="F511" s="11">
        <v>1</v>
      </c>
    </row>
    <row r="512" spans="1:6" x14ac:dyDescent="0.35">
      <c r="A512" t="s">
        <v>2856</v>
      </c>
      <c r="B512" t="s">
        <v>2862</v>
      </c>
      <c r="C512" t="s">
        <v>1556</v>
      </c>
      <c r="D512" t="s">
        <v>2912</v>
      </c>
      <c r="E512">
        <v>629870</v>
      </c>
      <c r="F512" s="11">
        <v>1</v>
      </c>
    </row>
    <row r="513" spans="1:6" x14ac:dyDescent="0.35">
      <c r="A513" t="s">
        <v>2856</v>
      </c>
      <c r="B513" t="s">
        <v>2862</v>
      </c>
      <c r="C513" t="s">
        <v>1556</v>
      </c>
      <c r="D513" t="s">
        <v>2913</v>
      </c>
      <c r="E513">
        <v>0</v>
      </c>
      <c r="F513" s="11">
        <v>0</v>
      </c>
    </row>
    <row r="514" spans="1:6" x14ac:dyDescent="0.35">
      <c r="A514" t="s">
        <v>2856</v>
      </c>
      <c r="B514" t="s">
        <v>2862</v>
      </c>
      <c r="C514" t="s">
        <v>1556</v>
      </c>
      <c r="D514" t="s">
        <v>2914</v>
      </c>
      <c r="E514">
        <v>0</v>
      </c>
      <c r="F514" s="11">
        <v>0</v>
      </c>
    </row>
    <row r="515" spans="1:6" x14ac:dyDescent="0.35">
      <c r="A515" t="s">
        <v>2856</v>
      </c>
      <c r="B515" t="s">
        <v>2862</v>
      </c>
      <c r="C515" t="s">
        <v>1556</v>
      </c>
      <c r="D515" t="s">
        <v>2915</v>
      </c>
      <c r="E515">
        <v>2232</v>
      </c>
      <c r="F515" s="11">
        <v>1</v>
      </c>
    </row>
    <row r="516" spans="1:6" x14ac:dyDescent="0.35">
      <c r="A516" t="s">
        <v>2856</v>
      </c>
      <c r="B516" t="s">
        <v>2862</v>
      </c>
      <c r="C516" t="s">
        <v>1556</v>
      </c>
      <c r="D516" t="s">
        <v>2916</v>
      </c>
      <c r="E516">
        <v>76460</v>
      </c>
      <c r="F516" s="11">
        <v>1</v>
      </c>
    </row>
    <row r="517" spans="1:6" x14ac:dyDescent="0.35">
      <c r="A517" t="s">
        <v>2856</v>
      </c>
      <c r="B517" t="s">
        <v>2862</v>
      </c>
      <c r="C517" t="s">
        <v>1556</v>
      </c>
      <c r="D517" t="s">
        <v>2917</v>
      </c>
      <c r="E517">
        <v>98781</v>
      </c>
      <c r="F517" s="11">
        <v>1</v>
      </c>
    </row>
    <row r="518" spans="1:6" x14ac:dyDescent="0.35">
      <c r="A518" t="s">
        <v>2856</v>
      </c>
      <c r="B518" t="s">
        <v>2865</v>
      </c>
      <c r="C518" t="s">
        <v>1498</v>
      </c>
      <c r="D518" t="s">
        <v>2875</v>
      </c>
      <c r="E518">
        <v>18725</v>
      </c>
      <c r="F518" s="11">
        <v>1</v>
      </c>
    </row>
    <row r="519" spans="1:6" x14ac:dyDescent="0.35">
      <c r="A519" t="s">
        <v>2856</v>
      </c>
      <c r="B519" t="s">
        <v>2865</v>
      </c>
      <c r="C519" t="s">
        <v>1498</v>
      </c>
      <c r="D519" t="s">
        <v>2876</v>
      </c>
      <c r="E519">
        <v>5953</v>
      </c>
      <c r="F519" s="11">
        <v>1</v>
      </c>
    </row>
    <row r="520" spans="1:6" x14ac:dyDescent="0.35">
      <c r="A520" t="s">
        <v>2856</v>
      </c>
      <c r="B520" t="s">
        <v>2865</v>
      </c>
      <c r="C520" t="s">
        <v>1498</v>
      </c>
      <c r="D520" t="s">
        <v>2877</v>
      </c>
      <c r="E520">
        <v>11244</v>
      </c>
      <c r="F520" s="11">
        <v>1</v>
      </c>
    </row>
    <row r="521" spans="1:6" x14ac:dyDescent="0.35">
      <c r="A521" t="s">
        <v>2856</v>
      </c>
      <c r="B521" t="s">
        <v>2865</v>
      </c>
      <c r="C521" t="s">
        <v>1498</v>
      </c>
      <c r="D521" t="s">
        <v>2878</v>
      </c>
      <c r="E521">
        <v>1528</v>
      </c>
      <c r="F521" s="11">
        <v>1</v>
      </c>
    </row>
    <row r="522" spans="1:6" x14ac:dyDescent="0.35">
      <c r="A522" t="s">
        <v>2856</v>
      </c>
      <c r="B522" t="s">
        <v>2865</v>
      </c>
      <c r="C522" t="s">
        <v>1498</v>
      </c>
      <c r="D522" t="s">
        <v>2879</v>
      </c>
      <c r="E522">
        <v>1829</v>
      </c>
      <c r="F522" s="11">
        <v>1</v>
      </c>
    </row>
    <row r="523" spans="1:6" x14ac:dyDescent="0.35">
      <c r="A523" t="s">
        <v>2856</v>
      </c>
      <c r="B523" t="s">
        <v>2865</v>
      </c>
      <c r="C523" t="s">
        <v>1498</v>
      </c>
      <c r="D523" t="s">
        <v>2880</v>
      </c>
      <c r="E523">
        <v>0</v>
      </c>
      <c r="F523" s="11">
        <v>1</v>
      </c>
    </row>
    <row r="524" spans="1:6" x14ac:dyDescent="0.35">
      <c r="A524" t="s">
        <v>2856</v>
      </c>
      <c r="B524" t="s">
        <v>2865</v>
      </c>
      <c r="C524" t="s">
        <v>1498</v>
      </c>
      <c r="D524" t="s">
        <v>2881</v>
      </c>
      <c r="E524">
        <v>0</v>
      </c>
      <c r="F524" s="11">
        <v>1</v>
      </c>
    </row>
    <row r="525" spans="1:6" x14ac:dyDescent="0.35">
      <c r="A525" t="s">
        <v>2856</v>
      </c>
      <c r="B525" t="s">
        <v>2865</v>
      </c>
      <c r="C525" t="s">
        <v>1498</v>
      </c>
      <c r="D525" t="s">
        <v>2882</v>
      </c>
      <c r="E525">
        <v>0</v>
      </c>
      <c r="F525" s="11">
        <v>1</v>
      </c>
    </row>
    <row r="526" spans="1:6" x14ac:dyDescent="0.35">
      <c r="A526" t="s">
        <v>2856</v>
      </c>
      <c r="B526" t="s">
        <v>2865</v>
      </c>
      <c r="C526" t="s">
        <v>1498</v>
      </c>
      <c r="D526" t="s">
        <v>2883</v>
      </c>
      <c r="E526">
        <v>0</v>
      </c>
      <c r="F526" s="11">
        <v>0</v>
      </c>
    </row>
    <row r="527" spans="1:6" x14ac:dyDescent="0.35">
      <c r="A527" t="s">
        <v>2856</v>
      </c>
      <c r="B527" t="s">
        <v>2865</v>
      </c>
      <c r="C527" t="s">
        <v>1498</v>
      </c>
      <c r="D527" t="s">
        <v>2884</v>
      </c>
      <c r="E527">
        <v>0</v>
      </c>
      <c r="F527" s="11">
        <v>0</v>
      </c>
    </row>
    <row r="528" spans="1:6" x14ac:dyDescent="0.35">
      <c r="A528" t="s">
        <v>2856</v>
      </c>
      <c r="B528" t="s">
        <v>2865</v>
      </c>
      <c r="C528" t="s">
        <v>1498</v>
      </c>
      <c r="D528" t="s">
        <v>2885</v>
      </c>
      <c r="E528">
        <v>0</v>
      </c>
      <c r="F528" s="11">
        <v>0</v>
      </c>
    </row>
    <row r="529" spans="1:6" x14ac:dyDescent="0.35">
      <c r="A529" t="s">
        <v>2856</v>
      </c>
      <c r="B529" t="s">
        <v>2865</v>
      </c>
      <c r="C529" t="s">
        <v>1498</v>
      </c>
      <c r="D529" t="s">
        <v>2886</v>
      </c>
      <c r="E529">
        <v>0</v>
      </c>
      <c r="F529" s="11">
        <v>0</v>
      </c>
    </row>
    <row r="530" spans="1:6" x14ac:dyDescent="0.35">
      <c r="A530" t="s">
        <v>2856</v>
      </c>
      <c r="B530" t="s">
        <v>2865</v>
      </c>
      <c r="C530" t="s">
        <v>1498</v>
      </c>
      <c r="D530" t="s">
        <v>2887</v>
      </c>
      <c r="E530">
        <v>395150</v>
      </c>
      <c r="F530" s="11">
        <v>1</v>
      </c>
    </row>
    <row r="531" spans="1:6" x14ac:dyDescent="0.35">
      <c r="A531" t="s">
        <v>2856</v>
      </c>
      <c r="B531" t="s">
        <v>2865</v>
      </c>
      <c r="C531" t="s">
        <v>1498</v>
      </c>
      <c r="D531" t="s">
        <v>2888</v>
      </c>
      <c r="E531">
        <v>0</v>
      </c>
      <c r="F531" s="11">
        <v>1</v>
      </c>
    </row>
    <row r="532" spans="1:6" x14ac:dyDescent="0.35">
      <c r="A532" t="s">
        <v>2856</v>
      </c>
      <c r="B532" t="s">
        <v>2865</v>
      </c>
      <c r="C532" t="s">
        <v>1498</v>
      </c>
      <c r="D532" t="s">
        <v>2889</v>
      </c>
      <c r="E532">
        <v>0</v>
      </c>
      <c r="F532" s="11">
        <v>1</v>
      </c>
    </row>
    <row r="533" spans="1:6" x14ac:dyDescent="0.35">
      <c r="A533" t="s">
        <v>2856</v>
      </c>
      <c r="B533" t="s">
        <v>2865</v>
      </c>
      <c r="C533" t="s">
        <v>1498</v>
      </c>
      <c r="D533" t="s">
        <v>2890</v>
      </c>
      <c r="E533">
        <v>0</v>
      </c>
      <c r="F533" s="11">
        <v>1</v>
      </c>
    </row>
    <row r="534" spans="1:6" x14ac:dyDescent="0.35">
      <c r="A534" t="s">
        <v>2856</v>
      </c>
      <c r="B534" t="s">
        <v>2865</v>
      </c>
      <c r="C534" t="s">
        <v>1498</v>
      </c>
      <c r="D534" t="s">
        <v>2891</v>
      </c>
      <c r="E534">
        <v>0</v>
      </c>
      <c r="F534" s="11">
        <v>0</v>
      </c>
    </row>
    <row r="535" spans="1:6" x14ac:dyDescent="0.35">
      <c r="A535" t="s">
        <v>2856</v>
      </c>
      <c r="B535" t="s">
        <v>2865</v>
      </c>
      <c r="C535" t="s">
        <v>1498</v>
      </c>
      <c r="D535" t="s">
        <v>2892</v>
      </c>
      <c r="E535">
        <v>0</v>
      </c>
      <c r="F535" s="11">
        <v>0</v>
      </c>
    </row>
    <row r="536" spans="1:6" x14ac:dyDescent="0.35">
      <c r="A536" t="s">
        <v>2856</v>
      </c>
      <c r="B536" t="s">
        <v>2865</v>
      </c>
      <c r="C536" t="s">
        <v>1498</v>
      </c>
      <c r="D536" t="s">
        <v>2893</v>
      </c>
      <c r="E536">
        <v>0</v>
      </c>
      <c r="F536" s="11">
        <v>0</v>
      </c>
    </row>
    <row r="537" spans="1:6" x14ac:dyDescent="0.35">
      <c r="A537" t="s">
        <v>2856</v>
      </c>
      <c r="B537" t="s">
        <v>2865</v>
      </c>
      <c r="C537" t="s">
        <v>1498</v>
      </c>
      <c r="D537" t="s">
        <v>2894</v>
      </c>
      <c r="E537">
        <v>0</v>
      </c>
      <c r="F537" s="11">
        <v>0</v>
      </c>
    </row>
    <row r="538" spans="1:6" x14ac:dyDescent="0.35">
      <c r="A538" t="s">
        <v>2856</v>
      </c>
      <c r="B538" t="s">
        <v>2865</v>
      </c>
      <c r="C538" t="s">
        <v>1498</v>
      </c>
      <c r="D538" t="s">
        <v>2895</v>
      </c>
      <c r="E538">
        <v>626166</v>
      </c>
      <c r="F538" s="11">
        <v>1</v>
      </c>
    </row>
    <row r="539" spans="1:6" x14ac:dyDescent="0.35">
      <c r="A539" t="s">
        <v>2856</v>
      </c>
      <c r="B539" t="s">
        <v>2865</v>
      </c>
      <c r="C539" t="s">
        <v>1498</v>
      </c>
      <c r="D539" t="s">
        <v>2896</v>
      </c>
      <c r="E539">
        <v>565488</v>
      </c>
      <c r="F539" s="11">
        <v>1</v>
      </c>
    </row>
    <row r="540" spans="1:6" x14ac:dyDescent="0.35">
      <c r="A540" t="s">
        <v>2856</v>
      </c>
      <c r="B540" t="s">
        <v>2865</v>
      </c>
      <c r="C540" t="s">
        <v>1498</v>
      </c>
      <c r="D540" t="s">
        <v>2897</v>
      </c>
      <c r="E540">
        <v>337298</v>
      </c>
      <c r="F540" s="11">
        <v>1</v>
      </c>
    </row>
    <row r="541" spans="1:6" x14ac:dyDescent="0.35">
      <c r="A541" t="s">
        <v>2856</v>
      </c>
      <c r="B541" t="s">
        <v>2865</v>
      </c>
      <c r="C541" t="s">
        <v>1498</v>
      </c>
      <c r="D541" t="s">
        <v>2898</v>
      </c>
      <c r="E541">
        <v>127840</v>
      </c>
      <c r="F541" s="11">
        <v>1</v>
      </c>
    </row>
    <row r="542" spans="1:6" x14ac:dyDescent="0.35">
      <c r="A542" t="s">
        <v>2856</v>
      </c>
      <c r="B542" t="s">
        <v>2865</v>
      </c>
      <c r="C542" t="s">
        <v>1498</v>
      </c>
      <c r="D542" t="s">
        <v>2899</v>
      </c>
      <c r="E542">
        <v>5163</v>
      </c>
      <c r="F542" s="11">
        <v>1</v>
      </c>
    </row>
    <row r="543" spans="1:6" x14ac:dyDescent="0.35">
      <c r="A543" t="s">
        <v>2856</v>
      </c>
      <c r="B543" t="s">
        <v>2865</v>
      </c>
      <c r="C543" t="s">
        <v>1498</v>
      </c>
      <c r="D543" t="s">
        <v>2900</v>
      </c>
      <c r="E543">
        <v>0</v>
      </c>
      <c r="F543" s="11">
        <v>1</v>
      </c>
    </row>
    <row r="544" spans="1:6" x14ac:dyDescent="0.35">
      <c r="A544" t="s">
        <v>2856</v>
      </c>
      <c r="B544" t="s">
        <v>2865</v>
      </c>
      <c r="C544" t="s">
        <v>1498</v>
      </c>
      <c r="D544" t="s">
        <v>2901</v>
      </c>
      <c r="E544">
        <v>0</v>
      </c>
      <c r="F544" s="11">
        <v>0</v>
      </c>
    </row>
    <row r="545" spans="1:6" x14ac:dyDescent="0.35">
      <c r="A545" t="s">
        <v>2856</v>
      </c>
      <c r="B545" t="s">
        <v>2865</v>
      </c>
      <c r="C545" t="s">
        <v>1498</v>
      </c>
      <c r="D545" t="s">
        <v>2902</v>
      </c>
      <c r="E545">
        <v>0</v>
      </c>
      <c r="F545" s="11">
        <v>1</v>
      </c>
    </row>
    <row r="546" spans="1:6" x14ac:dyDescent="0.35">
      <c r="A546" t="s">
        <v>2856</v>
      </c>
      <c r="B546" t="s">
        <v>2865</v>
      </c>
      <c r="C546" t="s">
        <v>1498</v>
      </c>
      <c r="D546" t="s">
        <v>2903</v>
      </c>
      <c r="E546">
        <v>31056</v>
      </c>
      <c r="F546" s="11">
        <v>1</v>
      </c>
    </row>
    <row r="547" spans="1:6" x14ac:dyDescent="0.35">
      <c r="A547" t="s">
        <v>2856</v>
      </c>
      <c r="B547" t="s">
        <v>2865</v>
      </c>
      <c r="C547" t="s">
        <v>1498</v>
      </c>
      <c r="D547" t="s">
        <v>2904</v>
      </c>
      <c r="E547">
        <v>0</v>
      </c>
      <c r="F547" s="11">
        <v>1</v>
      </c>
    </row>
    <row r="548" spans="1:6" x14ac:dyDescent="0.35">
      <c r="A548" t="s">
        <v>2856</v>
      </c>
      <c r="B548" t="s">
        <v>2865</v>
      </c>
      <c r="C548" t="s">
        <v>1498</v>
      </c>
      <c r="D548" t="s">
        <v>2905</v>
      </c>
      <c r="E548">
        <v>0</v>
      </c>
      <c r="F548" s="11">
        <v>1</v>
      </c>
    </row>
    <row r="549" spans="1:6" x14ac:dyDescent="0.35">
      <c r="A549" t="s">
        <v>2856</v>
      </c>
      <c r="B549" t="s">
        <v>2865</v>
      </c>
      <c r="C549" t="s">
        <v>1498</v>
      </c>
      <c r="D549" t="s">
        <v>2906</v>
      </c>
      <c r="E549">
        <v>0</v>
      </c>
      <c r="F549" s="11">
        <v>1</v>
      </c>
    </row>
    <row r="550" spans="1:6" x14ac:dyDescent="0.35">
      <c r="A550" t="s">
        <v>2856</v>
      </c>
      <c r="B550" t="s">
        <v>2865</v>
      </c>
      <c r="C550" t="s">
        <v>1498</v>
      </c>
      <c r="D550" t="s">
        <v>2907</v>
      </c>
      <c r="E550">
        <v>29506</v>
      </c>
      <c r="F550" s="11">
        <v>1</v>
      </c>
    </row>
    <row r="551" spans="1:6" x14ac:dyDescent="0.35">
      <c r="A551" t="s">
        <v>2856</v>
      </c>
      <c r="B551" t="s">
        <v>2865</v>
      </c>
      <c r="C551" t="s">
        <v>1498</v>
      </c>
      <c r="D551" t="s">
        <v>2908</v>
      </c>
      <c r="E551">
        <v>0</v>
      </c>
      <c r="F551" s="11">
        <v>1</v>
      </c>
    </row>
    <row r="552" spans="1:6" x14ac:dyDescent="0.35">
      <c r="A552" t="s">
        <v>2856</v>
      </c>
      <c r="B552" t="s">
        <v>2865</v>
      </c>
      <c r="C552" t="s">
        <v>1498</v>
      </c>
      <c r="D552" t="s">
        <v>2909</v>
      </c>
      <c r="E552">
        <v>0</v>
      </c>
      <c r="F552" s="11">
        <v>1</v>
      </c>
    </row>
    <row r="553" spans="1:6" x14ac:dyDescent="0.35">
      <c r="A553" t="s">
        <v>2856</v>
      </c>
      <c r="B553" t="s">
        <v>2865</v>
      </c>
      <c r="C553" t="s">
        <v>1498</v>
      </c>
      <c r="D553" t="s">
        <v>2910</v>
      </c>
      <c r="E553">
        <v>0</v>
      </c>
      <c r="F553" s="11">
        <v>1</v>
      </c>
    </row>
    <row r="554" spans="1:6" x14ac:dyDescent="0.35">
      <c r="A554" t="s">
        <v>2856</v>
      </c>
      <c r="B554" t="s">
        <v>2865</v>
      </c>
      <c r="C554" t="s">
        <v>1498</v>
      </c>
      <c r="D554" t="s">
        <v>2911</v>
      </c>
      <c r="E554">
        <v>433500</v>
      </c>
      <c r="F554" s="11">
        <v>1</v>
      </c>
    </row>
    <row r="555" spans="1:6" x14ac:dyDescent="0.35">
      <c r="A555" t="s">
        <v>2856</v>
      </c>
      <c r="B555" t="s">
        <v>2865</v>
      </c>
      <c r="C555" t="s">
        <v>1498</v>
      </c>
      <c r="D555" t="s">
        <v>2912</v>
      </c>
      <c r="E555">
        <v>61450</v>
      </c>
      <c r="F555" s="11">
        <v>1</v>
      </c>
    </row>
    <row r="556" spans="1:6" x14ac:dyDescent="0.35">
      <c r="A556" t="s">
        <v>2856</v>
      </c>
      <c r="B556" t="s">
        <v>2865</v>
      </c>
      <c r="C556" t="s">
        <v>1498</v>
      </c>
      <c r="D556" t="s">
        <v>2913</v>
      </c>
      <c r="E556">
        <v>0</v>
      </c>
      <c r="F556" s="11">
        <v>0</v>
      </c>
    </row>
    <row r="557" spans="1:6" x14ac:dyDescent="0.35">
      <c r="A557" t="s">
        <v>2856</v>
      </c>
      <c r="B557" t="s">
        <v>2865</v>
      </c>
      <c r="C557" t="s">
        <v>1498</v>
      </c>
      <c r="D557" t="s">
        <v>2914</v>
      </c>
      <c r="E557">
        <v>0</v>
      </c>
      <c r="F557" s="11">
        <v>0</v>
      </c>
    </row>
    <row r="558" spans="1:6" x14ac:dyDescent="0.35">
      <c r="A558" t="s">
        <v>2856</v>
      </c>
      <c r="B558" t="s">
        <v>2865</v>
      </c>
      <c r="C558" t="s">
        <v>1498</v>
      </c>
      <c r="D558" t="s">
        <v>2915</v>
      </c>
      <c r="E558">
        <v>16442</v>
      </c>
      <c r="F558" s="11">
        <v>1</v>
      </c>
    </row>
    <row r="559" spans="1:6" x14ac:dyDescent="0.35">
      <c r="A559" t="s">
        <v>2856</v>
      </c>
      <c r="B559" t="s">
        <v>2865</v>
      </c>
      <c r="C559" t="s">
        <v>1498</v>
      </c>
      <c r="D559" t="s">
        <v>2916</v>
      </c>
      <c r="E559">
        <v>0</v>
      </c>
      <c r="F559" s="11">
        <v>1</v>
      </c>
    </row>
    <row r="560" spans="1:6" x14ac:dyDescent="0.35">
      <c r="A560" t="s">
        <v>2856</v>
      </c>
      <c r="B560" t="s">
        <v>2865</v>
      </c>
      <c r="C560" t="s">
        <v>1498</v>
      </c>
      <c r="D560" t="s">
        <v>2917</v>
      </c>
      <c r="E560">
        <v>25379</v>
      </c>
      <c r="F560" s="11">
        <v>0</v>
      </c>
    </row>
    <row r="561" spans="1:6" x14ac:dyDescent="0.35">
      <c r="A561" t="s">
        <v>2856</v>
      </c>
      <c r="B561" t="s">
        <v>2862</v>
      </c>
      <c r="C561" t="s">
        <v>1430</v>
      </c>
      <c r="D561" t="s">
        <v>2875</v>
      </c>
      <c r="E561">
        <v>100256</v>
      </c>
      <c r="F561" s="11">
        <v>1</v>
      </c>
    </row>
    <row r="562" spans="1:6" x14ac:dyDescent="0.35">
      <c r="A562" t="s">
        <v>2856</v>
      </c>
      <c r="B562" t="s">
        <v>2862</v>
      </c>
      <c r="C562" t="s">
        <v>1430</v>
      </c>
      <c r="D562" t="s">
        <v>2876</v>
      </c>
      <c r="E562">
        <v>24525</v>
      </c>
      <c r="F562" s="11">
        <v>1</v>
      </c>
    </row>
    <row r="563" spans="1:6" x14ac:dyDescent="0.35">
      <c r="A563" t="s">
        <v>2856</v>
      </c>
      <c r="B563" t="s">
        <v>2862</v>
      </c>
      <c r="C563" t="s">
        <v>1430</v>
      </c>
      <c r="D563" t="s">
        <v>2877</v>
      </c>
      <c r="E563">
        <v>68534</v>
      </c>
      <c r="F563" s="11">
        <v>1</v>
      </c>
    </row>
    <row r="564" spans="1:6" x14ac:dyDescent="0.35">
      <c r="A564" t="s">
        <v>2856</v>
      </c>
      <c r="B564" t="s">
        <v>2862</v>
      </c>
      <c r="C564" t="s">
        <v>1430</v>
      </c>
      <c r="D564" t="s">
        <v>2878</v>
      </c>
      <c r="E564">
        <v>7197</v>
      </c>
      <c r="F564" s="11">
        <v>1</v>
      </c>
    </row>
    <row r="565" spans="1:6" x14ac:dyDescent="0.35">
      <c r="A565" t="s">
        <v>2856</v>
      </c>
      <c r="B565" t="s">
        <v>2862</v>
      </c>
      <c r="C565" t="s">
        <v>1430</v>
      </c>
      <c r="D565" t="s">
        <v>2879</v>
      </c>
      <c r="E565">
        <v>7476</v>
      </c>
      <c r="F565" s="11">
        <v>1</v>
      </c>
    </row>
    <row r="566" spans="1:6" x14ac:dyDescent="0.35">
      <c r="A566" t="s">
        <v>2856</v>
      </c>
      <c r="B566" t="s">
        <v>2862</v>
      </c>
      <c r="C566" t="s">
        <v>1430</v>
      </c>
      <c r="D566" t="s">
        <v>2880</v>
      </c>
      <c r="E566">
        <v>719</v>
      </c>
      <c r="F566" s="11">
        <v>1</v>
      </c>
    </row>
    <row r="567" spans="1:6" x14ac:dyDescent="0.35">
      <c r="A567" t="s">
        <v>2856</v>
      </c>
      <c r="B567" t="s">
        <v>2862</v>
      </c>
      <c r="C567" t="s">
        <v>1430</v>
      </c>
      <c r="D567" t="s">
        <v>2881</v>
      </c>
      <c r="E567">
        <v>2980</v>
      </c>
      <c r="F567" s="11">
        <v>1</v>
      </c>
    </row>
    <row r="568" spans="1:6" x14ac:dyDescent="0.35">
      <c r="A568" t="s">
        <v>2856</v>
      </c>
      <c r="B568" t="s">
        <v>2862</v>
      </c>
      <c r="C568" t="s">
        <v>1430</v>
      </c>
      <c r="D568" t="s">
        <v>2882</v>
      </c>
      <c r="E568">
        <v>93</v>
      </c>
      <c r="F568" s="11">
        <v>1</v>
      </c>
    </row>
    <row r="569" spans="1:6" x14ac:dyDescent="0.35">
      <c r="A569" t="s">
        <v>2856</v>
      </c>
      <c r="B569" t="s">
        <v>2862</v>
      </c>
      <c r="C569" t="s">
        <v>1430</v>
      </c>
      <c r="D569" t="s">
        <v>2883</v>
      </c>
      <c r="E569">
        <v>0</v>
      </c>
      <c r="F569" s="11">
        <v>0</v>
      </c>
    </row>
    <row r="570" spans="1:6" x14ac:dyDescent="0.35">
      <c r="A570" t="s">
        <v>2856</v>
      </c>
      <c r="B570" t="s">
        <v>2862</v>
      </c>
      <c r="C570" t="s">
        <v>1430</v>
      </c>
      <c r="D570" t="s">
        <v>2884</v>
      </c>
      <c r="E570">
        <v>0</v>
      </c>
      <c r="F570" s="11">
        <v>0</v>
      </c>
    </row>
    <row r="571" spans="1:6" x14ac:dyDescent="0.35">
      <c r="A571" t="s">
        <v>2856</v>
      </c>
      <c r="B571" t="s">
        <v>2862</v>
      </c>
      <c r="C571" t="s">
        <v>1430</v>
      </c>
      <c r="D571" t="s">
        <v>2885</v>
      </c>
      <c r="E571">
        <v>0</v>
      </c>
      <c r="F571" s="11">
        <v>0</v>
      </c>
    </row>
    <row r="572" spans="1:6" x14ac:dyDescent="0.35">
      <c r="A572" t="s">
        <v>2856</v>
      </c>
      <c r="B572" t="s">
        <v>2862</v>
      </c>
      <c r="C572" t="s">
        <v>1430</v>
      </c>
      <c r="D572" t="s">
        <v>2886</v>
      </c>
      <c r="E572">
        <v>0</v>
      </c>
      <c r="F572" s="11">
        <v>0</v>
      </c>
    </row>
    <row r="573" spans="1:6" x14ac:dyDescent="0.35">
      <c r="A573" t="s">
        <v>2856</v>
      </c>
      <c r="B573" t="s">
        <v>2862</v>
      </c>
      <c r="C573" t="s">
        <v>1430</v>
      </c>
      <c r="D573" t="s">
        <v>2887</v>
      </c>
      <c r="E573">
        <v>165238</v>
      </c>
      <c r="F573" s="11">
        <v>1</v>
      </c>
    </row>
    <row r="574" spans="1:6" x14ac:dyDescent="0.35">
      <c r="A574" t="s">
        <v>2856</v>
      </c>
      <c r="B574" t="s">
        <v>2862</v>
      </c>
      <c r="C574" t="s">
        <v>1430</v>
      </c>
      <c r="D574" t="s">
        <v>2888</v>
      </c>
      <c r="E574">
        <v>83432</v>
      </c>
      <c r="F574" s="11">
        <v>1</v>
      </c>
    </row>
    <row r="575" spans="1:6" x14ac:dyDescent="0.35">
      <c r="A575" t="s">
        <v>2856</v>
      </c>
      <c r="B575" t="s">
        <v>2862</v>
      </c>
      <c r="C575" t="s">
        <v>1430</v>
      </c>
      <c r="D575" t="s">
        <v>2889</v>
      </c>
      <c r="E575">
        <v>79966</v>
      </c>
      <c r="F575" s="11">
        <v>1</v>
      </c>
    </row>
    <row r="576" spans="1:6" x14ac:dyDescent="0.35">
      <c r="A576" t="s">
        <v>2856</v>
      </c>
      <c r="B576" t="s">
        <v>2862</v>
      </c>
      <c r="C576" t="s">
        <v>1430</v>
      </c>
      <c r="D576" t="s">
        <v>2890</v>
      </c>
      <c r="E576">
        <v>1210</v>
      </c>
      <c r="F576" s="11">
        <v>1</v>
      </c>
    </row>
    <row r="577" spans="1:6" x14ac:dyDescent="0.35">
      <c r="A577" t="s">
        <v>2856</v>
      </c>
      <c r="B577" t="s">
        <v>2862</v>
      </c>
      <c r="C577" t="s">
        <v>1430</v>
      </c>
      <c r="D577" t="s">
        <v>2891</v>
      </c>
      <c r="E577">
        <v>0</v>
      </c>
      <c r="F577" s="11">
        <v>0</v>
      </c>
    </row>
    <row r="578" spans="1:6" x14ac:dyDescent="0.35">
      <c r="A578" t="s">
        <v>2856</v>
      </c>
      <c r="B578" t="s">
        <v>2862</v>
      </c>
      <c r="C578" t="s">
        <v>1430</v>
      </c>
      <c r="D578" t="s">
        <v>2892</v>
      </c>
      <c r="E578">
        <v>0</v>
      </c>
      <c r="F578" s="11">
        <v>0</v>
      </c>
    </row>
    <row r="579" spans="1:6" x14ac:dyDescent="0.35">
      <c r="A579" t="s">
        <v>2856</v>
      </c>
      <c r="B579" t="s">
        <v>2862</v>
      </c>
      <c r="C579" t="s">
        <v>1430</v>
      </c>
      <c r="D579" t="s">
        <v>2893</v>
      </c>
      <c r="E579">
        <v>0</v>
      </c>
      <c r="F579" s="11">
        <v>0</v>
      </c>
    </row>
    <row r="580" spans="1:6" x14ac:dyDescent="0.35">
      <c r="A580" t="s">
        <v>2856</v>
      </c>
      <c r="B580" t="s">
        <v>2862</v>
      </c>
      <c r="C580" t="s">
        <v>1430</v>
      </c>
      <c r="D580" t="s">
        <v>2894</v>
      </c>
      <c r="E580">
        <v>0</v>
      </c>
      <c r="F580" s="11">
        <v>0</v>
      </c>
    </row>
    <row r="581" spans="1:6" x14ac:dyDescent="0.35">
      <c r="A581" t="s">
        <v>2856</v>
      </c>
      <c r="B581" t="s">
        <v>2862</v>
      </c>
      <c r="C581" t="s">
        <v>1430</v>
      </c>
      <c r="D581" t="s">
        <v>2895</v>
      </c>
      <c r="E581">
        <v>1544550</v>
      </c>
      <c r="F581" s="11">
        <v>1</v>
      </c>
    </row>
    <row r="582" spans="1:6" x14ac:dyDescent="0.35">
      <c r="A582" t="s">
        <v>2856</v>
      </c>
      <c r="B582" t="s">
        <v>2862</v>
      </c>
      <c r="C582" t="s">
        <v>1430</v>
      </c>
      <c r="D582" t="s">
        <v>2896</v>
      </c>
      <c r="E582">
        <v>605791</v>
      </c>
      <c r="F582" s="11">
        <v>1</v>
      </c>
    </row>
    <row r="583" spans="1:6" x14ac:dyDescent="0.35">
      <c r="A583" t="s">
        <v>2856</v>
      </c>
      <c r="B583" t="s">
        <v>2862</v>
      </c>
      <c r="C583" t="s">
        <v>1430</v>
      </c>
      <c r="D583" t="s">
        <v>2897</v>
      </c>
      <c r="E583">
        <v>903833</v>
      </c>
      <c r="F583" s="11">
        <v>1</v>
      </c>
    </row>
    <row r="584" spans="1:6" x14ac:dyDescent="0.35">
      <c r="A584" t="s">
        <v>2856</v>
      </c>
      <c r="B584" t="s">
        <v>2862</v>
      </c>
      <c r="C584" t="s">
        <v>1430</v>
      </c>
      <c r="D584" t="s">
        <v>2898</v>
      </c>
      <c r="E584">
        <v>11411</v>
      </c>
      <c r="F584" s="11">
        <v>1</v>
      </c>
    </row>
    <row r="585" spans="1:6" x14ac:dyDescent="0.35">
      <c r="A585" t="s">
        <v>2856</v>
      </c>
      <c r="B585" t="s">
        <v>2862</v>
      </c>
      <c r="C585" t="s">
        <v>1430</v>
      </c>
      <c r="D585" t="s">
        <v>2899</v>
      </c>
      <c r="E585">
        <v>11411</v>
      </c>
      <c r="F585" s="11">
        <v>1</v>
      </c>
    </row>
    <row r="586" spans="1:6" x14ac:dyDescent="0.35">
      <c r="A586" t="s">
        <v>2856</v>
      </c>
      <c r="B586" t="s">
        <v>2862</v>
      </c>
      <c r="C586" t="s">
        <v>1430</v>
      </c>
      <c r="D586" t="s">
        <v>2900</v>
      </c>
      <c r="E586">
        <v>7494</v>
      </c>
      <c r="F586" s="11">
        <v>1</v>
      </c>
    </row>
    <row r="587" spans="1:6" x14ac:dyDescent="0.35">
      <c r="A587" t="s">
        <v>2856</v>
      </c>
      <c r="B587" t="s">
        <v>2862</v>
      </c>
      <c r="C587" t="s">
        <v>1430</v>
      </c>
      <c r="D587" t="s">
        <v>2901</v>
      </c>
      <c r="E587">
        <v>3820</v>
      </c>
      <c r="F587" s="11">
        <v>0</v>
      </c>
    </row>
    <row r="588" spans="1:6" x14ac:dyDescent="0.35">
      <c r="A588" t="s">
        <v>2856</v>
      </c>
      <c r="B588" t="s">
        <v>2862</v>
      </c>
      <c r="C588" t="s">
        <v>1430</v>
      </c>
      <c r="D588" t="s">
        <v>2902</v>
      </c>
      <c r="E588">
        <v>97</v>
      </c>
      <c r="F588" s="11">
        <v>1</v>
      </c>
    </row>
    <row r="589" spans="1:6" x14ac:dyDescent="0.35">
      <c r="A589" t="s">
        <v>2856</v>
      </c>
      <c r="B589" t="s">
        <v>2862</v>
      </c>
      <c r="C589" t="s">
        <v>1430</v>
      </c>
      <c r="D589" t="s">
        <v>2903</v>
      </c>
      <c r="E589">
        <v>111097</v>
      </c>
      <c r="F589" s="11">
        <v>1</v>
      </c>
    </row>
    <row r="590" spans="1:6" x14ac:dyDescent="0.35">
      <c r="A590" t="s">
        <v>2856</v>
      </c>
      <c r="B590" t="s">
        <v>2862</v>
      </c>
      <c r="C590" t="s">
        <v>1430</v>
      </c>
      <c r="D590" t="s">
        <v>2904</v>
      </c>
      <c r="E590">
        <v>0</v>
      </c>
      <c r="F590" s="11">
        <v>0</v>
      </c>
    </row>
    <row r="591" spans="1:6" x14ac:dyDescent="0.35">
      <c r="A591" t="s">
        <v>2856</v>
      </c>
      <c r="B591" t="s">
        <v>2862</v>
      </c>
      <c r="C591" t="s">
        <v>1430</v>
      </c>
      <c r="D591" t="s">
        <v>2905</v>
      </c>
      <c r="E591">
        <v>0</v>
      </c>
      <c r="F591" s="11">
        <v>0</v>
      </c>
    </row>
    <row r="592" spans="1:6" x14ac:dyDescent="0.35">
      <c r="A592" t="s">
        <v>2856</v>
      </c>
      <c r="B592" t="s">
        <v>2862</v>
      </c>
      <c r="C592" t="s">
        <v>1430</v>
      </c>
      <c r="D592" t="s">
        <v>2906</v>
      </c>
      <c r="E592">
        <v>0</v>
      </c>
      <c r="F592" s="11">
        <v>0</v>
      </c>
    </row>
    <row r="593" spans="1:6" x14ac:dyDescent="0.35">
      <c r="A593" t="s">
        <v>2856</v>
      </c>
      <c r="B593" t="s">
        <v>2862</v>
      </c>
      <c r="C593" t="s">
        <v>1430</v>
      </c>
      <c r="D593" t="s">
        <v>2907</v>
      </c>
      <c r="E593">
        <v>155125</v>
      </c>
      <c r="F593" s="11">
        <v>1</v>
      </c>
    </row>
    <row r="594" spans="1:6" x14ac:dyDescent="0.35">
      <c r="A594" t="s">
        <v>2856</v>
      </c>
      <c r="B594" t="s">
        <v>2862</v>
      </c>
      <c r="C594" t="s">
        <v>1430</v>
      </c>
      <c r="D594" t="s">
        <v>2908</v>
      </c>
      <c r="E594">
        <v>0</v>
      </c>
      <c r="F594" s="11">
        <v>0</v>
      </c>
    </row>
    <row r="595" spans="1:6" x14ac:dyDescent="0.35">
      <c r="A595" t="s">
        <v>2856</v>
      </c>
      <c r="B595" t="s">
        <v>2862</v>
      </c>
      <c r="C595" t="s">
        <v>1430</v>
      </c>
      <c r="D595" t="s">
        <v>2909</v>
      </c>
      <c r="E595">
        <v>0</v>
      </c>
      <c r="F595" s="11">
        <v>0</v>
      </c>
    </row>
    <row r="596" spans="1:6" x14ac:dyDescent="0.35">
      <c r="A596" t="s">
        <v>2856</v>
      </c>
      <c r="B596" t="s">
        <v>2862</v>
      </c>
      <c r="C596" t="s">
        <v>1430</v>
      </c>
      <c r="D596" t="s">
        <v>2910</v>
      </c>
      <c r="E596">
        <v>0</v>
      </c>
      <c r="F596" s="11">
        <v>0</v>
      </c>
    </row>
    <row r="597" spans="1:6" x14ac:dyDescent="0.35">
      <c r="A597" t="s">
        <v>2856</v>
      </c>
      <c r="B597" t="s">
        <v>2862</v>
      </c>
      <c r="C597" t="s">
        <v>1430</v>
      </c>
      <c r="D597" t="s">
        <v>2911</v>
      </c>
      <c r="E597">
        <v>1604742</v>
      </c>
      <c r="F597" s="11">
        <v>1</v>
      </c>
    </row>
    <row r="598" spans="1:6" x14ac:dyDescent="0.35">
      <c r="A598" t="s">
        <v>2856</v>
      </c>
      <c r="B598" t="s">
        <v>2862</v>
      </c>
      <c r="C598" t="s">
        <v>1430</v>
      </c>
      <c r="D598" t="s">
        <v>2912</v>
      </c>
      <c r="E598">
        <v>0</v>
      </c>
      <c r="F598" s="11">
        <v>0</v>
      </c>
    </row>
    <row r="599" spans="1:6" x14ac:dyDescent="0.35">
      <c r="A599" t="s">
        <v>2856</v>
      </c>
      <c r="B599" t="s">
        <v>2862</v>
      </c>
      <c r="C599" t="s">
        <v>1430</v>
      </c>
      <c r="D599" t="s">
        <v>2913</v>
      </c>
      <c r="E599">
        <v>0</v>
      </c>
      <c r="F599" s="11">
        <v>0</v>
      </c>
    </row>
    <row r="600" spans="1:6" x14ac:dyDescent="0.35">
      <c r="A600" t="s">
        <v>2856</v>
      </c>
      <c r="B600" t="s">
        <v>2862</v>
      </c>
      <c r="C600" t="s">
        <v>1430</v>
      </c>
      <c r="D600" t="s">
        <v>2914</v>
      </c>
      <c r="E600">
        <v>8474</v>
      </c>
      <c r="F600" s="11">
        <v>1</v>
      </c>
    </row>
    <row r="601" spans="1:6" x14ac:dyDescent="0.35">
      <c r="A601" t="s">
        <v>2856</v>
      </c>
      <c r="B601" t="s">
        <v>2862</v>
      </c>
      <c r="C601" t="s">
        <v>1430</v>
      </c>
      <c r="D601" t="s">
        <v>2915</v>
      </c>
      <c r="E601">
        <v>2028</v>
      </c>
      <c r="F601" s="11">
        <v>1</v>
      </c>
    </row>
    <row r="602" spans="1:6" x14ac:dyDescent="0.35">
      <c r="A602" t="s">
        <v>2856</v>
      </c>
      <c r="B602" t="s">
        <v>2862</v>
      </c>
      <c r="C602" t="s">
        <v>1430</v>
      </c>
      <c r="D602" t="s">
        <v>2916</v>
      </c>
      <c r="E602">
        <v>92480</v>
      </c>
      <c r="F602" s="11">
        <v>1</v>
      </c>
    </row>
    <row r="603" spans="1:6" x14ac:dyDescent="0.35">
      <c r="A603" t="s">
        <v>2856</v>
      </c>
      <c r="B603" t="s">
        <v>2862</v>
      </c>
      <c r="C603" t="s">
        <v>1430</v>
      </c>
      <c r="D603" t="s">
        <v>2917</v>
      </c>
      <c r="E603">
        <v>0</v>
      </c>
      <c r="F603" s="11">
        <v>0</v>
      </c>
    </row>
    <row r="604" spans="1:6" x14ac:dyDescent="0.35">
      <c r="A604" t="s">
        <v>2856</v>
      </c>
      <c r="B604" t="s">
        <v>2865</v>
      </c>
      <c r="C604" t="s">
        <v>1507</v>
      </c>
      <c r="D604" t="s">
        <v>2875</v>
      </c>
      <c r="E604">
        <v>44774</v>
      </c>
      <c r="F604" s="11">
        <v>1</v>
      </c>
    </row>
    <row r="605" spans="1:6" x14ac:dyDescent="0.35">
      <c r="A605" t="s">
        <v>2856</v>
      </c>
      <c r="B605" t="s">
        <v>2865</v>
      </c>
      <c r="C605" t="s">
        <v>1507</v>
      </c>
      <c r="D605" t="s">
        <v>2876</v>
      </c>
      <c r="E605">
        <v>0</v>
      </c>
      <c r="F605" s="11">
        <v>1</v>
      </c>
    </row>
    <row r="606" spans="1:6" x14ac:dyDescent="0.35">
      <c r="A606" t="s">
        <v>2856</v>
      </c>
      <c r="B606" t="s">
        <v>2865</v>
      </c>
      <c r="C606" t="s">
        <v>1507</v>
      </c>
      <c r="D606" t="s">
        <v>2877</v>
      </c>
      <c r="E606">
        <v>0</v>
      </c>
      <c r="F606" s="11">
        <v>1</v>
      </c>
    </row>
    <row r="607" spans="1:6" x14ac:dyDescent="0.35">
      <c r="A607" t="s">
        <v>2856</v>
      </c>
      <c r="B607" t="s">
        <v>2865</v>
      </c>
      <c r="C607" t="s">
        <v>1507</v>
      </c>
      <c r="D607" t="s">
        <v>2878</v>
      </c>
      <c r="E607">
        <v>0</v>
      </c>
      <c r="F607" s="11">
        <v>1</v>
      </c>
    </row>
    <row r="608" spans="1:6" x14ac:dyDescent="0.35">
      <c r="A608" t="s">
        <v>2856</v>
      </c>
      <c r="B608" t="s">
        <v>2865</v>
      </c>
      <c r="C608" t="s">
        <v>1507</v>
      </c>
      <c r="D608" t="s">
        <v>2879</v>
      </c>
      <c r="E608">
        <v>8273</v>
      </c>
      <c r="F608" s="11">
        <v>1</v>
      </c>
    </row>
    <row r="609" spans="1:6" x14ac:dyDescent="0.35">
      <c r="A609" t="s">
        <v>2856</v>
      </c>
      <c r="B609" t="s">
        <v>2865</v>
      </c>
      <c r="C609" t="s">
        <v>1507</v>
      </c>
      <c r="D609" t="s">
        <v>2880</v>
      </c>
      <c r="E609">
        <v>4601</v>
      </c>
      <c r="F609" s="11">
        <v>1</v>
      </c>
    </row>
    <row r="610" spans="1:6" x14ac:dyDescent="0.35">
      <c r="A610" t="s">
        <v>2856</v>
      </c>
      <c r="B610" t="s">
        <v>2865</v>
      </c>
      <c r="C610" t="s">
        <v>1507</v>
      </c>
      <c r="D610" t="s">
        <v>2881</v>
      </c>
      <c r="E610">
        <v>3672</v>
      </c>
      <c r="F610" s="11">
        <v>0</v>
      </c>
    </row>
    <row r="611" spans="1:6" x14ac:dyDescent="0.35">
      <c r="A611" t="s">
        <v>2856</v>
      </c>
      <c r="B611" t="s">
        <v>2865</v>
      </c>
      <c r="C611" t="s">
        <v>1507</v>
      </c>
      <c r="D611" t="s">
        <v>2882</v>
      </c>
      <c r="E611">
        <v>0</v>
      </c>
      <c r="F611" s="11">
        <v>1</v>
      </c>
    </row>
    <row r="612" spans="1:6" x14ac:dyDescent="0.35">
      <c r="A612" t="s">
        <v>2856</v>
      </c>
      <c r="B612" t="s">
        <v>2865</v>
      </c>
      <c r="C612" t="s">
        <v>1507</v>
      </c>
      <c r="D612" t="s">
        <v>2883</v>
      </c>
      <c r="E612">
        <v>430</v>
      </c>
      <c r="F612" s="11">
        <v>0</v>
      </c>
    </row>
    <row r="613" spans="1:6" x14ac:dyDescent="0.35">
      <c r="A613" t="s">
        <v>2856</v>
      </c>
      <c r="B613" t="s">
        <v>2865</v>
      </c>
      <c r="C613" t="s">
        <v>1507</v>
      </c>
      <c r="D613" t="s">
        <v>2884</v>
      </c>
      <c r="E613">
        <v>0</v>
      </c>
      <c r="F613" s="11">
        <v>0</v>
      </c>
    </row>
    <row r="614" spans="1:6" x14ac:dyDescent="0.35">
      <c r="A614" t="s">
        <v>2856</v>
      </c>
      <c r="B614" t="s">
        <v>2865</v>
      </c>
      <c r="C614" t="s">
        <v>1507</v>
      </c>
      <c r="D614" t="s">
        <v>2885</v>
      </c>
      <c r="E614">
        <v>0</v>
      </c>
      <c r="F614" s="11">
        <v>0</v>
      </c>
    </row>
    <row r="615" spans="1:6" x14ac:dyDescent="0.35">
      <c r="A615" t="s">
        <v>2856</v>
      </c>
      <c r="B615" t="s">
        <v>2865</v>
      </c>
      <c r="C615" t="s">
        <v>1507</v>
      </c>
      <c r="D615" t="s">
        <v>2886</v>
      </c>
      <c r="E615">
        <v>0</v>
      </c>
      <c r="F615" s="11">
        <v>0</v>
      </c>
    </row>
    <row r="616" spans="1:6" x14ac:dyDescent="0.35">
      <c r="A616" t="s">
        <v>2856</v>
      </c>
      <c r="B616" t="s">
        <v>2865</v>
      </c>
      <c r="C616" t="s">
        <v>1507</v>
      </c>
      <c r="D616" t="s">
        <v>2887</v>
      </c>
      <c r="E616">
        <v>145333</v>
      </c>
      <c r="F616" s="11">
        <v>1</v>
      </c>
    </row>
    <row r="617" spans="1:6" x14ac:dyDescent="0.35">
      <c r="A617" t="s">
        <v>2856</v>
      </c>
      <c r="B617" t="s">
        <v>2865</v>
      </c>
      <c r="C617" t="s">
        <v>1507</v>
      </c>
      <c r="D617" t="s">
        <v>2888</v>
      </c>
      <c r="E617">
        <v>31340</v>
      </c>
      <c r="F617" s="11">
        <v>1</v>
      </c>
    </row>
    <row r="618" spans="1:6" x14ac:dyDescent="0.35">
      <c r="A618" t="s">
        <v>2856</v>
      </c>
      <c r="B618" t="s">
        <v>2865</v>
      </c>
      <c r="C618" t="s">
        <v>1507</v>
      </c>
      <c r="D618" t="s">
        <v>2889</v>
      </c>
      <c r="E618">
        <v>113993</v>
      </c>
      <c r="F618" s="11">
        <v>0</v>
      </c>
    </row>
    <row r="619" spans="1:6" x14ac:dyDescent="0.35">
      <c r="A619" t="s">
        <v>2856</v>
      </c>
      <c r="B619" t="s">
        <v>2865</v>
      </c>
      <c r="C619" t="s">
        <v>1507</v>
      </c>
      <c r="D619" t="s">
        <v>2890</v>
      </c>
      <c r="E619">
        <v>0</v>
      </c>
      <c r="F619" s="11">
        <v>1</v>
      </c>
    </row>
    <row r="620" spans="1:6" x14ac:dyDescent="0.35">
      <c r="A620" t="s">
        <v>2856</v>
      </c>
      <c r="B620" t="s">
        <v>2865</v>
      </c>
      <c r="C620" t="s">
        <v>1507</v>
      </c>
      <c r="D620" t="s">
        <v>2891</v>
      </c>
      <c r="E620">
        <v>1228</v>
      </c>
      <c r="F620" s="11">
        <v>0</v>
      </c>
    </row>
    <row r="621" spans="1:6" x14ac:dyDescent="0.35">
      <c r="A621" t="s">
        <v>2856</v>
      </c>
      <c r="B621" t="s">
        <v>2865</v>
      </c>
      <c r="C621" t="s">
        <v>1507</v>
      </c>
      <c r="D621" t="s">
        <v>2892</v>
      </c>
      <c r="E621">
        <v>0</v>
      </c>
      <c r="F621" s="11">
        <v>0</v>
      </c>
    </row>
    <row r="622" spans="1:6" x14ac:dyDescent="0.35">
      <c r="A622" t="s">
        <v>2856</v>
      </c>
      <c r="B622" t="s">
        <v>2865</v>
      </c>
      <c r="C622" t="s">
        <v>1507</v>
      </c>
      <c r="D622" t="s">
        <v>2893</v>
      </c>
      <c r="E622">
        <v>0</v>
      </c>
      <c r="F622" s="11">
        <v>0</v>
      </c>
    </row>
    <row r="623" spans="1:6" x14ac:dyDescent="0.35">
      <c r="A623" t="s">
        <v>2856</v>
      </c>
      <c r="B623" t="s">
        <v>2865</v>
      </c>
      <c r="C623" t="s">
        <v>1507</v>
      </c>
      <c r="D623" t="s">
        <v>2894</v>
      </c>
      <c r="E623">
        <v>0</v>
      </c>
      <c r="F623" s="11">
        <v>0</v>
      </c>
    </row>
    <row r="624" spans="1:6" x14ac:dyDescent="0.35">
      <c r="A624" t="s">
        <v>2856</v>
      </c>
      <c r="B624" t="s">
        <v>2865</v>
      </c>
      <c r="C624" t="s">
        <v>1507</v>
      </c>
      <c r="D624" t="s">
        <v>2895</v>
      </c>
      <c r="E624">
        <v>1573112</v>
      </c>
      <c r="F624" s="11">
        <v>1</v>
      </c>
    </row>
    <row r="625" spans="1:6" x14ac:dyDescent="0.35">
      <c r="A625" t="s">
        <v>2856</v>
      </c>
      <c r="B625" t="s">
        <v>2865</v>
      </c>
      <c r="C625" t="s">
        <v>1507</v>
      </c>
      <c r="D625" t="s">
        <v>2896</v>
      </c>
      <c r="E625">
        <v>798449</v>
      </c>
      <c r="F625" s="11">
        <v>1</v>
      </c>
    </row>
    <row r="626" spans="1:6" x14ac:dyDescent="0.35">
      <c r="A626" t="s">
        <v>2856</v>
      </c>
      <c r="B626" t="s">
        <v>2865</v>
      </c>
      <c r="C626" t="s">
        <v>1507</v>
      </c>
      <c r="D626" t="s">
        <v>2897</v>
      </c>
      <c r="E626">
        <v>750496</v>
      </c>
      <c r="F626" s="11">
        <v>1</v>
      </c>
    </row>
    <row r="627" spans="1:6" x14ac:dyDescent="0.35">
      <c r="A627" t="s">
        <v>2856</v>
      </c>
      <c r="B627" t="s">
        <v>2865</v>
      </c>
      <c r="C627" t="s">
        <v>1507</v>
      </c>
      <c r="D627" t="s">
        <v>2898</v>
      </c>
      <c r="E627">
        <v>24167</v>
      </c>
      <c r="F627" s="11">
        <v>1</v>
      </c>
    </row>
    <row r="628" spans="1:6" x14ac:dyDescent="0.35">
      <c r="A628" t="s">
        <v>2856</v>
      </c>
      <c r="B628" t="s">
        <v>2865</v>
      </c>
      <c r="C628" t="s">
        <v>1507</v>
      </c>
      <c r="D628" t="s">
        <v>2899</v>
      </c>
      <c r="E628">
        <v>8042</v>
      </c>
      <c r="F628" s="11">
        <v>1</v>
      </c>
    </row>
    <row r="629" spans="1:6" x14ac:dyDescent="0.35">
      <c r="A629" t="s">
        <v>2856</v>
      </c>
      <c r="B629" t="s">
        <v>2865</v>
      </c>
      <c r="C629" t="s">
        <v>1507</v>
      </c>
      <c r="D629" t="s">
        <v>2900</v>
      </c>
      <c r="E629">
        <v>7237</v>
      </c>
      <c r="F629" s="11">
        <v>1</v>
      </c>
    </row>
    <row r="630" spans="1:6" x14ac:dyDescent="0.35">
      <c r="A630" t="s">
        <v>2856</v>
      </c>
      <c r="B630" t="s">
        <v>2865</v>
      </c>
      <c r="C630" t="s">
        <v>1507</v>
      </c>
      <c r="D630" t="s">
        <v>2901</v>
      </c>
      <c r="E630">
        <v>805</v>
      </c>
      <c r="F630" s="11">
        <v>0</v>
      </c>
    </row>
    <row r="631" spans="1:6" x14ac:dyDescent="0.35">
      <c r="A631" t="s">
        <v>2856</v>
      </c>
      <c r="B631" t="s">
        <v>2865</v>
      </c>
      <c r="C631" t="s">
        <v>1507</v>
      </c>
      <c r="D631" t="s">
        <v>2902</v>
      </c>
      <c r="E631">
        <v>0</v>
      </c>
      <c r="F631" s="11">
        <v>1</v>
      </c>
    </row>
    <row r="632" spans="1:6" x14ac:dyDescent="0.35">
      <c r="A632" t="s">
        <v>2856</v>
      </c>
      <c r="B632" t="s">
        <v>2865</v>
      </c>
      <c r="C632" t="s">
        <v>1507</v>
      </c>
      <c r="D632" t="s">
        <v>2903</v>
      </c>
      <c r="E632">
        <v>41365</v>
      </c>
      <c r="F632" s="11">
        <v>1</v>
      </c>
    </row>
    <row r="633" spans="1:6" x14ac:dyDescent="0.35">
      <c r="A633" t="s">
        <v>2856</v>
      </c>
      <c r="B633" t="s">
        <v>2865</v>
      </c>
      <c r="C633" t="s">
        <v>1507</v>
      </c>
      <c r="D633" t="s">
        <v>2904</v>
      </c>
      <c r="E633">
        <v>36504</v>
      </c>
      <c r="F633" s="11">
        <v>1</v>
      </c>
    </row>
    <row r="634" spans="1:6" x14ac:dyDescent="0.35">
      <c r="A634" t="s">
        <v>2856</v>
      </c>
      <c r="B634" t="s">
        <v>2865</v>
      </c>
      <c r="C634" t="s">
        <v>1507</v>
      </c>
      <c r="D634" t="s">
        <v>2905</v>
      </c>
      <c r="E634">
        <v>3665</v>
      </c>
      <c r="F634" s="11">
        <v>1</v>
      </c>
    </row>
    <row r="635" spans="1:6" x14ac:dyDescent="0.35">
      <c r="A635" t="s">
        <v>2856</v>
      </c>
      <c r="B635" t="s">
        <v>2865</v>
      </c>
      <c r="C635" t="s">
        <v>1507</v>
      </c>
      <c r="D635" t="s">
        <v>2906</v>
      </c>
      <c r="E635">
        <v>1196</v>
      </c>
      <c r="F635" s="11">
        <v>1</v>
      </c>
    </row>
    <row r="636" spans="1:6" x14ac:dyDescent="0.35">
      <c r="A636" t="s">
        <v>2856</v>
      </c>
      <c r="B636" t="s">
        <v>2865</v>
      </c>
      <c r="C636" t="s">
        <v>1507</v>
      </c>
      <c r="D636" t="s">
        <v>2907</v>
      </c>
      <c r="E636">
        <v>57865</v>
      </c>
      <c r="F636" s="11">
        <v>1</v>
      </c>
    </row>
    <row r="637" spans="1:6" x14ac:dyDescent="0.35">
      <c r="A637" t="s">
        <v>2856</v>
      </c>
      <c r="B637" t="s">
        <v>2865</v>
      </c>
      <c r="C637" t="s">
        <v>1507</v>
      </c>
      <c r="D637" t="s">
        <v>2908</v>
      </c>
      <c r="E637">
        <v>50225</v>
      </c>
      <c r="F637" s="11">
        <v>1</v>
      </c>
    </row>
    <row r="638" spans="1:6" x14ac:dyDescent="0.35">
      <c r="A638" t="s">
        <v>2856</v>
      </c>
      <c r="B638" t="s">
        <v>2865</v>
      </c>
      <c r="C638" t="s">
        <v>1507</v>
      </c>
      <c r="D638" t="s">
        <v>2909</v>
      </c>
      <c r="E638">
        <v>6416</v>
      </c>
      <c r="F638" s="11">
        <v>1</v>
      </c>
    </row>
    <row r="639" spans="1:6" x14ac:dyDescent="0.35">
      <c r="A639" t="s">
        <v>2856</v>
      </c>
      <c r="B639" t="s">
        <v>2865</v>
      </c>
      <c r="C639" t="s">
        <v>1507</v>
      </c>
      <c r="D639" t="s">
        <v>2910</v>
      </c>
      <c r="E639">
        <v>1224</v>
      </c>
      <c r="F639" s="11">
        <v>1</v>
      </c>
    </row>
    <row r="640" spans="1:6" x14ac:dyDescent="0.35">
      <c r="A640" t="s">
        <v>2856</v>
      </c>
      <c r="B640" t="s">
        <v>2865</v>
      </c>
      <c r="C640" t="s">
        <v>1507</v>
      </c>
      <c r="D640" t="s">
        <v>2911</v>
      </c>
      <c r="E640">
        <v>1084847</v>
      </c>
      <c r="F640" s="11">
        <v>1</v>
      </c>
    </row>
    <row r="641" spans="1:6" x14ac:dyDescent="0.35">
      <c r="A641" t="s">
        <v>2856</v>
      </c>
      <c r="B641" t="s">
        <v>2865</v>
      </c>
      <c r="C641" t="s">
        <v>1507</v>
      </c>
      <c r="D641" t="s">
        <v>2912</v>
      </c>
      <c r="E641">
        <v>0</v>
      </c>
      <c r="F641" s="11">
        <v>0</v>
      </c>
    </row>
    <row r="642" spans="1:6" x14ac:dyDescent="0.35">
      <c r="A642" t="s">
        <v>2856</v>
      </c>
      <c r="B642" t="s">
        <v>2865</v>
      </c>
      <c r="C642" t="s">
        <v>1507</v>
      </c>
      <c r="D642" t="s">
        <v>2913</v>
      </c>
      <c r="E642">
        <v>0</v>
      </c>
      <c r="F642" s="11">
        <v>0</v>
      </c>
    </row>
    <row r="643" spans="1:6" x14ac:dyDescent="0.35">
      <c r="A643" t="s">
        <v>2856</v>
      </c>
      <c r="B643" t="s">
        <v>2865</v>
      </c>
      <c r="C643" t="s">
        <v>1507</v>
      </c>
      <c r="D643" t="s">
        <v>2914</v>
      </c>
      <c r="E643">
        <v>0</v>
      </c>
      <c r="F643" s="11">
        <v>1</v>
      </c>
    </row>
    <row r="644" spans="1:6" x14ac:dyDescent="0.35">
      <c r="A644" t="s">
        <v>2856</v>
      </c>
      <c r="B644" t="s">
        <v>2865</v>
      </c>
      <c r="C644" t="s">
        <v>1507</v>
      </c>
      <c r="D644" t="s">
        <v>2915</v>
      </c>
      <c r="E644">
        <v>0</v>
      </c>
      <c r="F644" s="11">
        <v>1</v>
      </c>
    </row>
    <row r="645" spans="1:6" x14ac:dyDescent="0.35">
      <c r="A645" t="s">
        <v>2856</v>
      </c>
      <c r="B645" t="s">
        <v>2865</v>
      </c>
      <c r="C645" t="s">
        <v>1507</v>
      </c>
      <c r="D645" t="s">
        <v>2916</v>
      </c>
      <c r="E645">
        <v>29535</v>
      </c>
      <c r="F645" s="11">
        <v>1</v>
      </c>
    </row>
    <row r="646" spans="1:6" x14ac:dyDescent="0.35">
      <c r="A646" t="s">
        <v>2856</v>
      </c>
      <c r="B646" t="s">
        <v>2865</v>
      </c>
      <c r="C646" t="s">
        <v>1507</v>
      </c>
      <c r="D646" t="s">
        <v>2917</v>
      </c>
      <c r="E646">
        <v>0</v>
      </c>
      <c r="F646" s="11">
        <v>0</v>
      </c>
    </row>
    <row r="647" spans="1:6" x14ac:dyDescent="0.35">
      <c r="A647" t="s">
        <v>2856</v>
      </c>
      <c r="B647" t="s">
        <v>2865</v>
      </c>
      <c r="C647" t="s">
        <v>1510</v>
      </c>
      <c r="D647" t="s">
        <v>2875</v>
      </c>
      <c r="E647">
        <v>37455</v>
      </c>
      <c r="F647" s="11">
        <v>1</v>
      </c>
    </row>
    <row r="648" spans="1:6" x14ac:dyDescent="0.35">
      <c r="A648" t="s">
        <v>2856</v>
      </c>
      <c r="B648" t="s">
        <v>2865</v>
      </c>
      <c r="C648" t="s">
        <v>1510</v>
      </c>
      <c r="D648" t="s">
        <v>2876</v>
      </c>
      <c r="E648">
        <v>0</v>
      </c>
      <c r="F648" s="11">
        <v>1</v>
      </c>
    </row>
    <row r="649" spans="1:6" x14ac:dyDescent="0.35">
      <c r="A649" t="s">
        <v>2856</v>
      </c>
      <c r="B649" t="s">
        <v>2865</v>
      </c>
      <c r="C649" t="s">
        <v>1510</v>
      </c>
      <c r="D649" t="s">
        <v>2877</v>
      </c>
      <c r="E649">
        <v>0</v>
      </c>
      <c r="F649" s="11">
        <v>1</v>
      </c>
    </row>
    <row r="650" spans="1:6" x14ac:dyDescent="0.35">
      <c r="A650" t="s">
        <v>2856</v>
      </c>
      <c r="B650" t="s">
        <v>2865</v>
      </c>
      <c r="C650" t="s">
        <v>1510</v>
      </c>
      <c r="D650" t="s">
        <v>2878</v>
      </c>
      <c r="E650">
        <v>0</v>
      </c>
      <c r="F650" s="11">
        <v>1</v>
      </c>
    </row>
    <row r="651" spans="1:6" x14ac:dyDescent="0.35">
      <c r="A651" t="s">
        <v>2856</v>
      </c>
      <c r="B651" t="s">
        <v>2865</v>
      </c>
      <c r="C651" t="s">
        <v>1510</v>
      </c>
      <c r="D651" t="s">
        <v>2879</v>
      </c>
      <c r="E651">
        <v>10588</v>
      </c>
      <c r="F651" s="11">
        <v>1</v>
      </c>
    </row>
    <row r="652" spans="1:6" x14ac:dyDescent="0.35">
      <c r="A652" t="s">
        <v>2856</v>
      </c>
      <c r="B652" t="s">
        <v>2865</v>
      </c>
      <c r="C652" t="s">
        <v>1510</v>
      </c>
      <c r="D652" t="s">
        <v>2880</v>
      </c>
      <c r="E652">
        <v>5754</v>
      </c>
      <c r="F652" s="11">
        <v>1</v>
      </c>
    </row>
    <row r="653" spans="1:6" x14ac:dyDescent="0.35">
      <c r="A653" t="s">
        <v>2856</v>
      </c>
      <c r="B653" t="s">
        <v>2865</v>
      </c>
      <c r="C653" t="s">
        <v>1510</v>
      </c>
      <c r="D653" t="s">
        <v>2881</v>
      </c>
      <c r="E653">
        <v>4834</v>
      </c>
      <c r="F653" s="11">
        <v>0</v>
      </c>
    </row>
    <row r="654" spans="1:6" x14ac:dyDescent="0.35">
      <c r="A654" t="s">
        <v>2856</v>
      </c>
      <c r="B654" t="s">
        <v>2865</v>
      </c>
      <c r="C654" t="s">
        <v>1510</v>
      </c>
      <c r="D654" t="s">
        <v>2882</v>
      </c>
      <c r="E654">
        <v>0</v>
      </c>
      <c r="F654" s="11">
        <v>1</v>
      </c>
    </row>
    <row r="655" spans="1:6" x14ac:dyDescent="0.35">
      <c r="A655" t="s">
        <v>2856</v>
      </c>
      <c r="B655" t="s">
        <v>2865</v>
      </c>
      <c r="C655" t="s">
        <v>1510</v>
      </c>
      <c r="D655" t="s">
        <v>2883</v>
      </c>
      <c r="E655">
        <v>0</v>
      </c>
      <c r="F655" s="11">
        <v>0</v>
      </c>
    </row>
    <row r="656" spans="1:6" x14ac:dyDescent="0.35">
      <c r="A656" t="s">
        <v>2856</v>
      </c>
      <c r="B656" t="s">
        <v>2865</v>
      </c>
      <c r="C656" t="s">
        <v>1510</v>
      </c>
      <c r="D656" t="s">
        <v>2884</v>
      </c>
      <c r="E656">
        <v>0</v>
      </c>
      <c r="F656" s="11">
        <v>0</v>
      </c>
    </row>
    <row r="657" spans="1:6" x14ac:dyDescent="0.35">
      <c r="A657" t="s">
        <v>2856</v>
      </c>
      <c r="B657" t="s">
        <v>2865</v>
      </c>
      <c r="C657" t="s">
        <v>1510</v>
      </c>
      <c r="D657" t="s">
        <v>2885</v>
      </c>
      <c r="E657">
        <v>0</v>
      </c>
      <c r="F657" s="11">
        <v>0</v>
      </c>
    </row>
    <row r="658" spans="1:6" x14ac:dyDescent="0.35">
      <c r="A658" t="s">
        <v>2856</v>
      </c>
      <c r="B658" t="s">
        <v>2865</v>
      </c>
      <c r="C658" t="s">
        <v>1510</v>
      </c>
      <c r="D658" t="s">
        <v>2886</v>
      </c>
      <c r="E658">
        <v>0</v>
      </c>
      <c r="F658" s="11">
        <v>0</v>
      </c>
    </row>
    <row r="659" spans="1:6" x14ac:dyDescent="0.35">
      <c r="A659" t="s">
        <v>2856</v>
      </c>
      <c r="B659" t="s">
        <v>2865</v>
      </c>
      <c r="C659" t="s">
        <v>1510</v>
      </c>
      <c r="D659" t="s">
        <v>2887</v>
      </c>
      <c r="E659">
        <v>117597</v>
      </c>
      <c r="F659" s="11">
        <v>1</v>
      </c>
    </row>
    <row r="660" spans="1:6" x14ac:dyDescent="0.35">
      <c r="A660" t="s">
        <v>2856</v>
      </c>
      <c r="B660" t="s">
        <v>2865</v>
      </c>
      <c r="C660" t="s">
        <v>1510</v>
      </c>
      <c r="D660" t="s">
        <v>2888</v>
      </c>
      <c r="E660">
        <v>62693</v>
      </c>
      <c r="F660" s="11">
        <v>1</v>
      </c>
    </row>
    <row r="661" spans="1:6" x14ac:dyDescent="0.35">
      <c r="A661" t="s">
        <v>2856</v>
      </c>
      <c r="B661" t="s">
        <v>2865</v>
      </c>
      <c r="C661" t="s">
        <v>1510</v>
      </c>
      <c r="D661" t="s">
        <v>2889</v>
      </c>
      <c r="E661">
        <v>54904</v>
      </c>
      <c r="F661" s="11">
        <v>0</v>
      </c>
    </row>
    <row r="662" spans="1:6" x14ac:dyDescent="0.35">
      <c r="A662" t="s">
        <v>2856</v>
      </c>
      <c r="B662" t="s">
        <v>2865</v>
      </c>
      <c r="C662" t="s">
        <v>1510</v>
      </c>
      <c r="D662" t="s">
        <v>2890</v>
      </c>
      <c r="E662">
        <v>0</v>
      </c>
      <c r="F662" s="11">
        <v>1</v>
      </c>
    </row>
    <row r="663" spans="1:6" x14ac:dyDescent="0.35">
      <c r="A663" t="s">
        <v>2856</v>
      </c>
      <c r="B663" t="s">
        <v>2865</v>
      </c>
      <c r="C663" t="s">
        <v>1510</v>
      </c>
      <c r="D663" t="s">
        <v>2891</v>
      </c>
      <c r="E663">
        <v>0</v>
      </c>
      <c r="F663" s="11">
        <v>0</v>
      </c>
    </row>
    <row r="664" spans="1:6" x14ac:dyDescent="0.35">
      <c r="A664" t="s">
        <v>2856</v>
      </c>
      <c r="B664" t="s">
        <v>2865</v>
      </c>
      <c r="C664" t="s">
        <v>1510</v>
      </c>
      <c r="D664" t="s">
        <v>2892</v>
      </c>
      <c r="E664">
        <v>0</v>
      </c>
      <c r="F664" s="11">
        <v>0</v>
      </c>
    </row>
    <row r="665" spans="1:6" x14ac:dyDescent="0.35">
      <c r="A665" t="s">
        <v>2856</v>
      </c>
      <c r="B665" t="s">
        <v>2865</v>
      </c>
      <c r="C665" t="s">
        <v>1510</v>
      </c>
      <c r="D665" t="s">
        <v>2893</v>
      </c>
      <c r="E665">
        <v>0</v>
      </c>
      <c r="F665" s="11">
        <v>0</v>
      </c>
    </row>
    <row r="666" spans="1:6" x14ac:dyDescent="0.35">
      <c r="A666" t="s">
        <v>2856</v>
      </c>
      <c r="B666" t="s">
        <v>2865</v>
      </c>
      <c r="C666" t="s">
        <v>1510</v>
      </c>
      <c r="D666" t="s">
        <v>2894</v>
      </c>
      <c r="E666">
        <v>0</v>
      </c>
      <c r="F666" s="11">
        <v>0</v>
      </c>
    </row>
    <row r="667" spans="1:6" x14ac:dyDescent="0.35">
      <c r="A667" t="s">
        <v>2856</v>
      </c>
      <c r="B667" t="s">
        <v>2865</v>
      </c>
      <c r="C667" t="s">
        <v>1510</v>
      </c>
      <c r="D667" t="s">
        <v>2895</v>
      </c>
      <c r="E667">
        <v>1103050</v>
      </c>
      <c r="F667" s="11">
        <v>1</v>
      </c>
    </row>
    <row r="668" spans="1:6" x14ac:dyDescent="0.35">
      <c r="A668" t="s">
        <v>2856</v>
      </c>
      <c r="B668" t="s">
        <v>2865</v>
      </c>
      <c r="C668" t="s">
        <v>1510</v>
      </c>
      <c r="D668" t="s">
        <v>2896</v>
      </c>
      <c r="E668">
        <v>556603</v>
      </c>
      <c r="F668" s="11">
        <v>1</v>
      </c>
    </row>
    <row r="669" spans="1:6" x14ac:dyDescent="0.35">
      <c r="A669" t="s">
        <v>2856</v>
      </c>
      <c r="B669" t="s">
        <v>2865</v>
      </c>
      <c r="C669" t="s">
        <v>1510</v>
      </c>
      <c r="D669" t="s">
        <v>2897</v>
      </c>
      <c r="E669">
        <v>525418</v>
      </c>
      <c r="F669" s="11">
        <v>1</v>
      </c>
    </row>
    <row r="670" spans="1:6" x14ac:dyDescent="0.35">
      <c r="A670" t="s">
        <v>2856</v>
      </c>
      <c r="B670" t="s">
        <v>2865</v>
      </c>
      <c r="C670" t="s">
        <v>1510</v>
      </c>
      <c r="D670" t="s">
        <v>2898</v>
      </c>
      <c r="E670">
        <v>21029</v>
      </c>
      <c r="F670" s="11">
        <v>1</v>
      </c>
    </row>
    <row r="671" spans="1:6" x14ac:dyDescent="0.35">
      <c r="A671" t="s">
        <v>2856</v>
      </c>
      <c r="B671" t="s">
        <v>2865</v>
      </c>
      <c r="C671" t="s">
        <v>1510</v>
      </c>
      <c r="D671" t="s">
        <v>2899</v>
      </c>
      <c r="E671">
        <v>5671</v>
      </c>
      <c r="F671" s="11">
        <v>1</v>
      </c>
    </row>
    <row r="672" spans="1:6" x14ac:dyDescent="0.35">
      <c r="A672" t="s">
        <v>2856</v>
      </c>
      <c r="B672" t="s">
        <v>2865</v>
      </c>
      <c r="C672" t="s">
        <v>1510</v>
      </c>
      <c r="D672" t="s">
        <v>2900</v>
      </c>
      <c r="E672">
        <v>5553</v>
      </c>
      <c r="F672" s="11">
        <v>1</v>
      </c>
    </row>
    <row r="673" spans="1:6" x14ac:dyDescent="0.35">
      <c r="A673" t="s">
        <v>2856</v>
      </c>
      <c r="B673" t="s">
        <v>2865</v>
      </c>
      <c r="C673" t="s">
        <v>1510</v>
      </c>
      <c r="D673" t="s">
        <v>2901</v>
      </c>
      <c r="E673">
        <v>118</v>
      </c>
      <c r="F673" s="11">
        <v>0</v>
      </c>
    </row>
    <row r="674" spans="1:6" x14ac:dyDescent="0.35">
      <c r="A674" t="s">
        <v>2856</v>
      </c>
      <c r="B674" t="s">
        <v>2865</v>
      </c>
      <c r="C674" t="s">
        <v>1510</v>
      </c>
      <c r="D674" t="s">
        <v>2902</v>
      </c>
      <c r="E674">
        <v>0</v>
      </c>
      <c r="F674" s="11">
        <v>1</v>
      </c>
    </row>
    <row r="675" spans="1:6" x14ac:dyDescent="0.35">
      <c r="A675" t="s">
        <v>2856</v>
      </c>
      <c r="B675" t="s">
        <v>2865</v>
      </c>
      <c r="C675" t="s">
        <v>1510</v>
      </c>
      <c r="D675" t="s">
        <v>2903</v>
      </c>
      <c r="E675">
        <v>41341</v>
      </c>
      <c r="F675" s="11">
        <v>1</v>
      </c>
    </row>
    <row r="676" spans="1:6" x14ac:dyDescent="0.35">
      <c r="A676" t="s">
        <v>2856</v>
      </c>
      <c r="B676" t="s">
        <v>2865</v>
      </c>
      <c r="C676" t="s">
        <v>1510</v>
      </c>
      <c r="D676" t="s">
        <v>2904</v>
      </c>
      <c r="E676">
        <v>36495</v>
      </c>
      <c r="F676" s="11">
        <v>1</v>
      </c>
    </row>
    <row r="677" spans="1:6" x14ac:dyDescent="0.35">
      <c r="A677" t="s">
        <v>2856</v>
      </c>
      <c r="B677" t="s">
        <v>2865</v>
      </c>
      <c r="C677" t="s">
        <v>1510</v>
      </c>
      <c r="D677" t="s">
        <v>2905</v>
      </c>
      <c r="E677">
        <v>3656</v>
      </c>
      <c r="F677" s="11">
        <v>1</v>
      </c>
    </row>
    <row r="678" spans="1:6" x14ac:dyDescent="0.35">
      <c r="A678" t="s">
        <v>2856</v>
      </c>
      <c r="B678" t="s">
        <v>2865</v>
      </c>
      <c r="C678" t="s">
        <v>1510</v>
      </c>
      <c r="D678" t="s">
        <v>2906</v>
      </c>
      <c r="E678">
        <v>1190</v>
      </c>
      <c r="F678" s="11">
        <v>1</v>
      </c>
    </row>
    <row r="679" spans="1:6" x14ac:dyDescent="0.35">
      <c r="A679" t="s">
        <v>2856</v>
      </c>
      <c r="B679" t="s">
        <v>2865</v>
      </c>
      <c r="C679" t="s">
        <v>1510</v>
      </c>
      <c r="D679" t="s">
        <v>2907</v>
      </c>
      <c r="E679">
        <v>57845</v>
      </c>
      <c r="F679" s="11">
        <v>1</v>
      </c>
    </row>
    <row r="680" spans="1:6" x14ac:dyDescent="0.35">
      <c r="A680" t="s">
        <v>2856</v>
      </c>
      <c r="B680" t="s">
        <v>2865</v>
      </c>
      <c r="C680" t="s">
        <v>1510</v>
      </c>
      <c r="D680" t="s">
        <v>2908</v>
      </c>
      <c r="E680">
        <v>50220</v>
      </c>
      <c r="F680" s="11">
        <v>1</v>
      </c>
    </row>
    <row r="681" spans="1:6" x14ac:dyDescent="0.35">
      <c r="A681" t="s">
        <v>2856</v>
      </c>
      <c r="B681" t="s">
        <v>2865</v>
      </c>
      <c r="C681" t="s">
        <v>1510</v>
      </c>
      <c r="D681" t="s">
        <v>2909</v>
      </c>
      <c r="E681">
        <v>6410</v>
      </c>
      <c r="F681" s="11">
        <v>1</v>
      </c>
    </row>
    <row r="682" spans="1:6" x14ac:dyDescent="0.35">
      <c r="A682" t="s">
        <v>2856</v>
      </c>
      <c r="B682" t="s">
        <v>2865</v>
      </c>
      <c r="C682" t="s">
        <v>1510</v>
      </c>
      <c r="D682" t="s">
        <v>2910</v>
      </c>
      <c r="E682">
        <v>1215</v>
      </c>
      <c r="F682" s="11">
        <v>1</v>
      </c>
    </row>
    <row r="683" spans="1:6" x14ac:dyDescent="0.35">
      <c r="A683" t="s">
        <v>2856</v>
      </c>
      <c r="B683" t="s">
        <v>2865</v>
      </c>
      <c r="C683" t="s">
        <v>1510</v>
      </c>
      <c r="D683" t="s">
        <v>2911</v>
      </c>
      <c r="E683">
        <v>649213</v>
      </c>
      <c r="F683" s="11">
        <v>1</v>
      </c>
    </row>
    <row r="684" spans="1:6" x14ac:dyDescent="0.35">
      <c r="A684" t="s">
        <v>2856</v>
      </c>
      <c r="B684" t="s">
        <v>2865</v>
      </c>
      <c r="C684" t="s">
        <v>1510</v>
      </c>
      <c r="D684" t="s">
        <v>2912</v>
      </c>
      <c r="E684">
        <v>1040863</v>
      </c>
      <c r="F684" s="11">
        <v>1</v>
      </c>
    </row>
    <row r="685" spans="1:6" x14ac:dyDescent="0.35">
      <c r="A685" t="s">
        <v>2856</v>
      </c>
      <c r="B685" t="s">
        <v>2865</v>
      </c>
      <c r="C685" t="s">
        <v>1510</v>
      </c>
      <c r="D685" t="s">
        <v>2913</v>
      </c>
      <c r="E685">
        <v>0</v>
      </c>
      <c r="F685" s="11">
        <v>0</v>
      </c>
    </row>
    <row r="686" spans="1:6" x14ac:dyDescent="0.35">
      <c r="A686" t="s">
        <v>2856</v>
      </c>
      <c r="B686" t="s">
        <v>2865</v>
      </c>
      <c r="C686" t="s">
        <v>1510</v>
      </c>
      <c r="D686" t="s">
        <v>2914</v>
      </c>
      <c r="E686">
        <v>0</v>
      </c>
      <c r="F686" s="11">
        <v>1</v>
      </c>
    </row>
    <row r="687" spans="1:6" x14ac:dyDescent="0.35">
      <c r="A687" t="s">
        <v>2856</v>
      </c>
      <c r="B687" t="s">
        <v>2865</v>
      </c>
      <c r="C687" t="s">
        <v>1510</v>
      </c>
      <c r="D687" t="s">
        <v>2915</v>
      </c>
      <c r="E687">
        <v>0</v>
      </c>
      <c r="F687" s="11">
        <v>1</v>
      </c>
    </row>
    <row r="688" spans="1:6" x14ac:dyDescent="0.35">
      <c r="A688" t="s">
        <v>2856</v>
      </c>
      <c r="B688" t="s">
        <v>2865</v>
      </c>
      <c r="C688" t="s">
        <v>1510</v>
      </c>
      <c r="D688" t="s">
        <v>2916</v>
      </c>
      <c r="E688">
        <v>26140</v>
      </c>
      <c r="F688" s="11">
        <v>1</v>
      </c>
    </row>
    <row r="689" spans="1:6" x14ac:dyDescent="0.35">
      <c r="A689" t="s">
        <v>2856</v>
      </c>
      <c r="B689" t="s">
        <v>2865</v>
      </c>
      <c r="C689" t="s">
        <v>1510</v>
      </c>
      <c r="D689" t="s">
        <v>2917</v>
      </c>
      <c r="E689">
        <v>0</v>
      </c>
      <c r="F689" s="11">
        <v>0</v>
      </c>
    </row>
    <row r="690" spans="1:6" x14ac:dyDescent="0.35">
      <c r="A690" t="s">
        <v>2856</v>
      </c>
      <c r="B690" t="s">
        <v>2866</v>
      </c>
      <c r="C690" t="s">
        <v>1376</v>
      </c>
      <c r="D690" t="s">
        <v>2875</v>
      </c>
      <c r="E690">
        <v>19077</v>
      </c>
      <c r="F690" s="11">
        <v>1</v>
      </c>
    </row>
    <row r="691" spans="1:6" x14ac:dyDescent="0.35">
      <c r="A691" t="s">
        <v>2856</v>
      </c>
      <c r="B691" t="s">
        <v>2866</v>
      </c>
      <c r="C691" t="s">
        <v>1376</v>
      </c>
      <c r="D691" t="s">
        <v>2876</v>
      </c>
      <c r="E691">
        <v>1362</v>
      </c>
      <c r="F691" s="11">
        <v>1</v>
      </c>
    </row>
    <row r="692" spans="1:6" x14ac:dyDescent="0.35">
      <c r="A692" t="s">
        <v>2856</v>
      </c>
      <c r="B692" t="s">
        <v>2866</v>
      </c>
      <c r="C692" t="s">
        <v>1376</v>
      </c>
      <c r="D692" t="s">
        <v>2877</v>
      </c>
      <c r="E692">
        <v>17497</v>
      </c>
      <c r="F692" s="11">
        <v>1</v>
      </c>
    </row>
    <row r="693" spans="1:6" x14ac:dyDescent="0.35">
      <c r="A693" t="s">
        <v>2856</v>
      </c>
      <c r="B693" t="s">
        <v>2866</v>
      </c>
      <c r="C693" t="s">
        <v>1376</v>
      </c>
      <c r="D693" t="s">
        <v>2878</v>
      </c>
      <c r="E693">
        <v>218</v>
      </c>
      <c r="F693" s="11">
        <v>1</v>
      </c>
    </row>
    <row r="694" spans="1:6" x14ac:dyDescent="0.35">
      <c r="A694" t="s">
        <v>2856</v>
      </c>
      <c r="B694" t="s">
        <v>2866</v>
      </c>
      <c r="C694" t="s">
        <v>1376</v>
      </c>
      <c r="D694" t="s">
        <v>2879</v>
      </c>
      <c r="E694">
        <v>5557</v>
      </c>
      <c r="F694" s="11">
        <v>1</v>
      </c>
    </row>
    <row r="695" spans="1:6" x14ac:dyDescent="0.35">
      <c r="A695" t="s">
        <v>2856</v>
      </c>
      <c r="B695" t="s">
        <v>2866</v>
      </c>
      <c r="C695" t="s">
        <v>1376</v>
      </c>
      <c r="D695" t="s">
        <v>2880</v>
      </c>
      <c r="E695">
        <v>4345</v>
      </c>
      <c r="F695" s="11">
        <v>1</v>
      </c>
    </row>
    <row r="696" spans="1:6" x14ac:dyDescent="0.35">
      <c r="A696" t="s">
        <v>2856</v>
      </c>
      <c r="B696" t="s">
        <v>2866</v>
      </c>
      <c r="C696" t="s">
        <v>1376</v>
      </c>
      <c r="D696" t="s">
        <v>2881</v>
      </c>
      <c r="E696">
        <v>713</v>
      </c>
      <c r="F696" s="11">
        <v>1</v>
      </c>
    </row>
    <row r="697" spans="1:6" x14ac:dyDescent="0.35">
      <c r="A697" t="s">
        <v>2856</v>
      </c>
      <c r="B697" t="s">
        <v>2866</v>
      </c>
      <c r="C697" t="s">
        <v>1376</v>
      </c>
      <c r="D697" t="s">
        <v>2882</v>
      </c>
      <c r="E697">
        <v>1</v>
      </c>
      <c r="F697" s="11">
        <v>1</v>
      </c>
    </row>
    <row r="698" spans="1:6" x14ac:dyDescent="0.35">
      <c r="A698" t="s">
        <v>2856</v>
      </c>
      <c r="B698" t="s">
        <v>2866</v>
      </c>
      <c r="C698" t="s">
        <v>1376</v>
      </c>
      <c r="D698" t="s">
        <v>2883</v>
      </c>
      <c r="E698">
        <v>169</v>
      </c>
      <c r="F698" s="11">
        <v>1</v>
      </c>
    </row>
    <row r="699" spans="1:6" x14ac:dyDescent="0.35">
      <c r="A699" t="s">
        <v>2856</v>
      </c>
      <c r="B699" t="s">
        <v>2866</v>
      </c>
      <c r="C699" t="s">
        <v>1376</v>
      </c>
      <c r="D699" t="s">
        <v>2884</v>
      </c>
      <c r="E699">
        <v>169</v>
      </c>
      <c r="F699" s="11">
        <v>1</v>
      </c>
    </row>
    <row r="700" spans="1:6" x14ac:dyDescent="0.35">
      <c r="A700" t="s">
        <v>2856</v>
      </c>
      <c r="B700" t="s">
        <v>2866</v>
      </c>
      <c r="C700" t="s">
        <v>1376</v>
      </c>
      <c r="D700" t="s">
        <v>2885</v>
      </c>
      <c r="E700">
        <v>0</v>
      </c>
      <c r="F700" s="11">
        <v>0</v>
      </c>
    </row>
    <row r="701" spans="1:6" x14ac:dyDescent="0.35">
      <c r="A701" t="s">
        <v>2856</v>
      </c>
      <c r="B701" t="s">
        <v>2866</v>
      </c>
      <c r="C701" t="s">
        <v>1376</v>
      </c>
      <c r="D701" t="s">
        <v>2886</v>
      </c>
      <c r="E701">
        <v>0</v>
      </c>
      <c r="F701" s="11">
        <v>1</v>
      </c>
    </row>
    <row r="702" spans="1:6" x14ac:dyDescent="0.35">
      <c r="A702" t="s">
        <v>2856</v>
      </c>
      <c r="B702" t="s">
        <v>2866</v>
      </c>
      <c r="C702" t="s">
        <v>1376</v>
      </c>
      <c r="D702" t="s">
        <v>2887</v>
      </c>
      <c r="E702">
        <v>28800</v>
      </c>
      <c r="F702" s="11">
        <v>1</v>
      </c>
    </row>
    <row r="703" spans="1:6" x14ac:dyDescent="0.35">
      <c r="A703" t="s">
        <v>2856</v>
      </c>
      <c r="B703" t="s">
        <v>2866</v>
      </c>
      <c r="C703" t="s">
        <v>1376</v>
      </c>
      <c r="D703" t="s">
        <v>2888</v>
      </c>
      <c r="E703">
        <v>17659</v>
      </c>
      <c r="F703" s="11">
        <v>1</v>
      </c>
    </row>
    <row r="704" spans="1:6" x14ac:dyDescent="0.35">
      <c r="A704" t="s">
        <v>2856</v>
      </c>
      <c r="B704" t="s">
        <v>2866</v>
      </c>
      <c r="C704" t="s">
        <v>1376</v>
      </c>
      <c r="D704" t="s">
        <v>2889</v>
      </c>
      <c r="E704">
        <v>11141</v>
      </c>
      <c r="F704" s="11">
        <v>1</v>
      </c>
    </row>
    <row r="705" spans="1:6" x14ac:dyDescent="0.35">
      <c r="A705" t="s">
        <v>2856</v>
      </c>
      <c r="B705" t="s">
        <v>2866</v>
      </c>
      <c r="C705" t="s">
        <v>1376</v>
      </c>
      <c r="D705" t="s">
        <v>2890</v>
      </c>
      <c r="E705">
        <v>0</v>
      </c>
      <c r="F705" s="11">
        <v>1</v>
      </c>
    </row>
    <row r="706" spans="1:6" x14ac:dyDescent="0.35">
      <c r="A706" t="s">
        <v>2856</v>
      </c>
      <c r="B706" t="s">
        <v>2866</v>
      </c>
      <c r="C706" t="s">
        <v>1376</v>
      </c>
      <c r="D706" t="s">
        <v>2891</v>
      </c>
      <c r="E706">
        <v>1696</v>
      </c>
      <c r="F706" s="11">
        <v>1</v>
      </c>
    </row>
    <row r="707" spans="1:6" x14ac:dyDescent="0.35">
      <c r="A707" t="s">
        <v>2856</v>
      </c>
      <c r="B707" t="s">
        <v>2866</v>
      </c>
      <c r="C707" t="s">
        <v>1376</v>
      </c>
      <c r="D707" t="s">
        <v>2892</v>
      </c>
      <c r="E707">
        <v>1696</v>
      </c>
      <c r="F707" s="11">
        <v>1</v>
      </c>
    </row>
    <row r="708" spans="1:6" x14ac:dyDescent="0.35">
      <c r="A708" t="s">
        <v>2856</v>
      </c>
      <c r="B708" t="s">
        <v>2866</v>
      </c>
      <c r="C708" t="s">
        <v>1376</v>
      </c>
      <c r="D708" t="s">
        <v>2893</v>
      </c>
      <c r="E708">
        <v>0</v>
      </c>
      <c r="F708" s="11">
        <v>0</v>
      </c>
    </row>
    <row r="709" spans="1:6" x14ac:dyDescent="0.35">
      <c r="A709" t="s">
        <v>2856</v>
      </c>
      <c r="B709" t="s">
        <v>2866</v>
      </c>
      <c r="C709" t="s">
        <v>1376</v>
      </c>
      <c r="D709" t="s">
        <v>2894</v>
      </c>
      <c r="E709">
        <v>0</v>
      </c>
      <c r="F709" s="11">
        <v>1</v>
      </c>
    </row>
    <row r="710" spans="1:6" x14ac:dyDescent="0.35">
      <c r="A710" t="s">
        <v>2856</v>
      </c>
      <c r="B710" t="s">
        <v>2866</v>
      </c>
      <c r="C710" t="s">
        <v>1376</v>
      </c>
      <c r="D710" t="s">
        <v>2895</v>
      </c>
      <c r="E710">
        <v>279078</v>
      </c>
      <c r="F710" s="11">
        <v>1</v>
      </c>
    </row>
    <row r="711" spans="1:6" x14ac:dyDescent="0.35">
      <c r="A711" t="s">
        <v>2856</v>
      </c>
      <c r="B711" t="s">
        <v>2866</v>
      </c>
      <c r="C711" t="s">
        <v>1376</v>
      </c>
      <c r="D711" t="s">
        <v>2896</v>
      </c>
      <c r="E711">
        <v>224650</v>
      </c>
      <c r="F711" s="11">
        <v>1</v>
      </c>
    </row>
    <row r="712" spans="1:6" x14ac:dyDescent="0.35">
      <c r="A712" t="s">
        <v>2856</v>
      </c>
      <c r="B712" t="s">
        <v>2866</v>
      </c>
      <c r="C712" t="s">
        <v>1376</v>
      </c>
      <c r="D712" t="s">
        <v>2897</v>
      </c>
      <c r="E712">
        <v>53614</v>
      </c>
      <c r="F712" s="11">
        <v>1</v>
      </c>
    </row>
    <row r="713" spans="1:6" x14ac:dyDescent="0.35">
      <c r="A713" t="s">
        <v>2856</v>
      </c>
      <c r="B713" t="s">
        <v>2866</v>
      </c>
      <c r="C713" t="s">
        <v>1376</v>
      </c>
      <c r="D713" t="s">
        <v>2898</v>
      </c>
      <c r="E713">
        <v>814</v>
      </c>
      <c r="F713" s="11">
        <v>1</v>
      </c>
    </row>
    <row r="714" spans="1:6" x14ac:dyDescent="0.35">
      <c r="A714" t="s">
        <v>2856</v>
      </c>
      <c r="B714" t="s">
        <v>2866</v>
      </c>
      <c r="C714" t="s">
        <v>1376</v>
      </c>
      <c r="D714" t="s">
        <v>2899</v>
      </c>
      <c r="E714">
        <v>4928</v>
      </c>
      <c r="F714" s="11">
        <v>1</v>
      </c>
    </row>
    <row r="715" spans="1:6" x14ac:dyDescent="0.35">
      <c r="A715" t="s">
        <v>2856</v>
      </c>
      <c r="B715" t="s">
        <v>2866</v>
      </c>
      <c r="C715" t="s">
        <v>1376</v>
      </c>
      <c r="D715" t="s">
        <v>2900</v>
      </c>
      <c r="E715">
        <v>4830</v>
      </c>
      <c r="F715" s="11">
        <v>1</v>
      </c>
    </row>
    <row r="716" spans="1:6" x14ac:dyDescent="0.35">
      <c r="A716" t="s">
        <v>2856</v>
      </c>
      <c r="B716" t="s">
        <v>2866</v>
      </c>
      <c r="C716" t="s">
        <v>1376</v>
      </c>
      <c r="D716" t="s">
        <v>2901</v>
      </c>
      <c r="E716">
        <v>98</v>
      </c>
      <c r="F716" s="11">
        <v>0</v>
      </c>
    </row>
    <row r="717" spans="1:6" x14ac:dyDescent="0.35">
      <c r="A717" t="s">
        <v>2856</v>
      </c>
      <c r="B717" t="s">
        <v>2866</v>
      </c>
      <c r="C717" t="s">
        <v>1376</v>
      </c>
      <c r="D717" t="s">
        <v>2902</v>
      </c>
      <c r="E717">
        <v>0</v>
      </c>
      <c r="F717" s="11">
        <v>1</v>
      </c>
    </row>
    <row r="718" spans="1:6" x14ac:dyDescent="0.35">
      <c r="A718" t="s">
        <v>2856</v>
      </c>
      <c r="B718" t="s">
        <v>2866</v>
      </c>
      <c r="C718" t="s">
        <v>1376</v>
      </c>
      <c r="D718" t="s">
        <v>2903</v>
      </c>
      <c r="E718">
        <v>48486</v>
      </c>
      <c r="F718" s="11">
        <v>1</v>
      </c>
    </row>
    <row r="719" spans="1:6" x14ac:dyDescent="0.35">
      <c r="A719" t="s">
        <v>2856</v>
      </c>
      <c r="B719" t="s">
        <v>2866</v>
      </c>
      <c r="C719" t="s">
        <v>1376</v>
      </c>
      <c r="D719" t="s">
        <v>2904</v>
      </c>
      <c r="E719">
        <v>42325</v>
      </c>
      <c r="F719" s="11">
        <v>1</v>
      </c>
    </row>
    <row r="720" spans="1:6" x14ac:dyDescent="0.35">
      <c r="A720" t="s">
        <v>2856</v>
      </c>
      <c r="B720" t="s">
        <v>2866</v>
      </c>
      <c r="C720" t="s">
        <v>1376</v>
      </c>
      <c r="D720" t="s">
        <v>2905</v>
      </c>
      <c r="E720">
        <v>4174</v>
      </c>
      <c r="F720" s="11">
        <v>1</v>
      </c>
    </row>
    <row r="721" spans="1:6" x14ac:dyDescent="0.35">
      <c r="A721" t="s">
        <v>2856</v>
      </c>
      <c r="B721" t="s">
        <v>2866</v>
      </c>
      <c r="C721" t="s">
        <v>1376</v>
      </c>
      <c r="D721" t="s">
        <v>2906</v>
      </c>
      <c r="E721">
        <v>1987</v>
      </c>
      <c r="F721" s="11">
        <v>1</v>
      </c>
    </row>
    <row r="722" spans="1:6" x14ac:dyDescent="0.35">
      <c r="A722" t="s">
        <v>2856</v>
      </c>
      <c r="B722" t="s">
        <v>2866</v>
      </c>
      <c r="C722" t="s">
        <v>1376</v>
      </c>
      <c r="D722" t="s">
        <v>2907</v>
      </c>
      <c r="E722">
        <v>26496</v>
      </c>
      <c r="F722" s="11">
        <v>1</v>
      </c>
    </row>
    <row r="723" spans="1:6" x14ac:dyDescent="0.35">
      <c r="A723" t="s">
        <v>2856</v>
      </c>
      <c r="B723" t="s">
        <v>2866</v>
      </c>
      <c r="C723" t="s">
        <v>1376</v>
      </c>
      <c r="D723" t="s">
        <v>2908</v>
      </c>
      <c r="E723">
        <v>23217</v>
      </c>
      <c r="F723" s="11">
        <v>1</v>
      </c>
    </row>
    <row r="724" spans="1:6" x14ac:dyDescent="0.35">
      <c r="A724" t="s">
        <v>2856</v>
      </c>
      <c r="B724" t="s">
        <v>2866</v>
      </c>
      <c r="C724" t="s">
        <v>1376</v>
      </c>
      <c r="D724" t="s">
        <v>2909</v>
      </c>
      <c r="E724">
        <v>2705</v>
      </c>
      <c r="F724" s="11">
        <v>1</v>
      </c>
    </row>
    <row r="725" spans="1:6" x14ac:dyDescent="0.35">
      <c r="A725" t="s">
        <v>2856</v>
      </c>
      <c r="B725" t="s">
        <v>2866</v>
      </c>
      <c r="C725" t="s">
        <v>1376</v>
      </c>
      <c r="D725" t="s">
        <v>2910</v>
      </c>
      <c r="E725">
        <v>574</v>
      </c>
      <c r="F725" s="11">
        <v>1</v>
      </c>
    </row>
    <row r="726" spans="1:6" x14ac:dyDescent="0.35">
      <c r="A726" t="s">
        <v>2856</v>
      </c>
      <c r="B726" t="s">
        <v>2866</v>
      </c>
      <c r="C726" t="s">
        <v>1376</v>
      </c>
      <c r="D726" t="s">
        <v>2911</v>
      </c>
      <c r="E726">
        <v>0</v>
      </c>
      <c r="F726" s="11">
        <v>1</v>
      </c>
    </row>
    <row r="727" spans="1:6" x14ac:dyDescent="0.35">
      <c r="A727" t="s">
        <v>2856</v>
      </c>
      <c r="B727" t="s">
        <v>2866</v>
      </c>
      <c r="C727" t="s">
        <v>1376</v>
      </c>
      <c r="D727" t="s">
        <v>2912</v>
      </c>
      <c r="E727">
        <v>406799</v>
      </c>
      <c r="F727" s="11">
        <v>0</v>
      </c>
    </row>
    <row r="728" spans="1:6" x14ac:dyDescent="0.35">
      <c r="A728" t="s">
        <v>2856</v>
      </c>
      <c r="B728" t="s">
        <v>2866</v>
      </c>
      <c r="C728" t="s">
        <v>1376</v>
      </c>
      <c r="D728" t="s">
        <v>2913</v>
      </c>
      <c r="E728">
        <v>0</v>
      </c>
      <c r="F728" s="11">
        <v>0</v>
      </c>
    </row>
    <row r="729" spans="1:6" x14ac:dyDescent="0.35">
      <c r="A729" t="s">
        <v>2856</v>
      </c>
      <c r="B729" t="s">
        <v>2866</v>
      </c>
      <c r="C729" t="s">
        <v>1376</v>
      </c>
      <c r="D729" t="s">
        <v>2914</v>
      </c>
      <c r="E729">
        <v>0</v>
      </c>
      <c r="F729" s="11">
        <v>0</v>
      </c>
    </row>
    <row r="730" spans="1:6" x14ac:dyDescent="0.35">
      <c r="A730" t="s">
        <v>2856</v>
      </c>
      <c r="B730" t="s">
        <v>2866</v>
      </c>
      <c r="C730" t="s">
        <v>1376</v>
      </c>
      <c r="D730" t="s">
        <v>2915</v>
      </c>
      <c r="E730">
        <v>45</v>
      </c>
      <c r="F730" s="11">
        <v>1</v>
      </c>
    </row>
    <row r="731" spans="1:6" x14ac:dyDescent="0.35">
      <c r="A731" t="s">
        <v>2856</v>
      </c>
      <c r="B731" t="s">
        <v>2866</v>
      </c>
      <c r="C731" t="s">
        <v>1376</v>
      </c>
      <c r="D731" t="s">
        <v>2916</v>
      </c>
      <c r="E731">
        <v>19256</v>
      </c>
      <c r="F731" s="11">
        <v>1</v>
      </c>
    </row>
    <row r="732" spans="1:6" x14ac:dyDescent="0.35">
      <c r="A732" t="s">
        <v>2856</v>
      </c>
      <c r="B732" t="s">
        <v>2866</v>
      </c>
      <c r="C732" t="s">
        <v>1376</v>
      </c>
      <c r="D732" t="s">
        <v>2917</v>
      </c>
      <c r="E732">
        <v>0</v>
      </c>
      <c r="F732" s="11">
        <v>0</v>
      </c>
    </row>
    <row r="733" spans="1:6" x14ac:dyDescent="0.35">
      <c r="A733" t="s">
        <v>2856</v>
      </c>
      <c r="B733" t="s">
        <v>2864</v>
      </c>
      <c r="C733" t="s">
        <v>1362</v>
      </c>
      <c r="D733" t="s">
        <v>2875</v>
      </c>
      <c r="E733">
        <v>48654</v>
      </c>
      <c r="F733" s="11">
        <v>1</v>
      </c>
    </row>
    <row r="734" spans="1:6" x14ac:dyDescent="0.35">
      <c r="A734" t="s">
        <v>2856</v>
      </c>
      <c r="B734" t="s">
        <v>2864</v>
      </c>
      <c r="C734" t="s">
        <v>1362</v>
      </c>
      <c r="D734" t="s">
        <v>2876</v>
      </c>
      <c r="E734">
        <v>13814</v>
      </c>
      <c r="F734" s="11">
        <v>1</v>
      </c>
    </row>
    <row r="735" spans="1:6" x14ac:dyDescent="0.35">
      <c r="A735" t="s">
        <v>2856</v>
      </c>
      <c r="B735" t="s">
        <v>2864</v>
      </c>
      <c r="C735" t="s">
        <v>1362</v>
      </c>
      <c r="D735" t="s">
        <v>2877</v>
      </c>
      <c r="E735">
        <v>27668</v>
      </c>
      <c r="F735" s="11">
        <v>1</v>
      </c>
    </row>
    <row r="736" spans="1:6" x14ac:dyDescent="0.35">
      <c r="A736" t="s">
        <v>2856</v>
      </c>
      <c r="B736" t="s">
        <v>2864</v>
      </c>
      <c r="C736" t="s">
        <v>1362</v>
      </c>
      <c r="D736" t="s">
        <v>2878</v>
      </c>
      <c r="E736">
        <v>4195</v>
      </c>
      <c r="F736" s="11">
        <v>1</v>
      </c>
    </row>
    <row r="737" spans="1:6" x14ac:dyDescent="0.35">
      <c r="A737" t="s">
        <v>2856</v>
      </c>
      <c r="B737" t="s">
        <v>2864</v>
      </c>
      <c r="C737" t="s">
        <v>1362</v>
      </c>
      <c r="D737" t="s">
        <v>2879</v>
      </c>
      <c r="E737">
        <v>0</v>
      </c>
      <c r="F737" s="11">
        <v>0</v>
      </c>
    </row>
    <row r="738" spans="1:6" x14ac:dyDescent="0.35">
      <c r="A738" t="s">
        <v>2856</v>
      </c>
      <c r="B738" t="s">
        <v>2864</v>
      </c>
      <c r="C738" t="s">
        <v>1362</v>
      </c>
      <c r="D738" t="s">
        <v>2880</v>
      </c>
      <c r="E738">
        <v>0</v>
      </c>
      <c r="F738" s="11">
        <v>0</v>
      </c>
    </row>
    <row r="739" spans="1:6" x14ac:dyDescent="0.35">
      <c r="A739" t="s">
        <v>2856</v>
      </c>
      <c r="B739" t="s">
        <v>2864</v>
      </c>
      <c r="C739" t="s">
        <v>1362</v>
      </c>
      <c r="D739" t="s">
        <v>2881</v>
      </c>
      <c r="E739">
        <v>0</v>
      </c>
      <c r="F739" s="11">
        <v>0</v>
      </c>
    </row>
    <row r="740" spans="1:6" x14ac:dyDescent="0.35">
      <c r="A740" t="s">
        <v>2856</v>
      </c>
      <c r="B740" t="s">
        <v>2864</v>
      </c>
      <c r="C740" t="s">
        <v>1362</v>
      </c>
      <c r="D740" t="s">
        <v>2882</v>
      </c>
      <c r="E740">
        <v>0</v>
      </c>
      <c r="F740" s="11">
        <v>0</v>
      </c>
    </row>
    <row r="741" spans="1:6" x14ac:dyDescent="0.35">
      <c r="A741" t="s">
        <v>2856</v>
      </c>
      <c r="B741" t="s">
        <v>2864</v>
      </c>
      <c r="C741" t="s">
        <v>1362</v>
      </c>
      <c r="D741" t="s">
        <v>2883</v>
      </c>
      <c r="E741">
        <v>0</v>
      </c>
      <c r="F741" s="11">
        <v>0</v>
      </c>
    </row>
    <row r="742" spans="1:6" x14ac:dyDescent="0.35">
      <c r="A742" t="s">
        <v>2856</v>
      </c>
      <c r="B742" t="s">
        <v>2864</v>
      </c>
      <c r="C742" t="s">
        <v>1362</v>
      </c>
      <c r="D742" t="s">
        <v>2884</v>
      </c>
      <c r="E742">
        <v>0</v>
      </c>
      <c r="F742" s="11">
        <v>0</v>
      </c>
    </row>
    <row r="743" spans="1:6" x14ac:dyDescent="0.35">
      <c r="A743" t="s">
        <v>2856</v>
      </c>
      <c r="B743" t="s">
        <v>2864</v>
      </c>
      <c r="C743" t="s">
        <v>1362</v>
      </c>
      <c r="D743" t="s">
        <v>2885</v>
      </c>
      <c r="E743">
        <v>0</v>
      </c>
      <c r="F743" s="11">
        <v>0</v>
      </c>
    </row>
    <row r="744" spans="1:6" x14ac:dyDescent="0.35">
      <c r="A744" t="s">
        <v>2856</v>
      </c>
      <c r="B744" t="s">
        <v>2864</v>
      </c>
      <c r="C744" t="s">
        <v>1362</v>
      </c>
      <c r="D744" t="s">
        <v>2886</v>
      </c>
      <c r="E744">
        <v>0</v>
      </c>
      <c r="F744" s="11">
        <v>0</v>
      </c>
    </row>
    <row r="745" spans="1:6" x14ac:dyDescent="0.35">
      <c r="A745" t="s">
        <v>2856</v>
      </c>
      <c r="B745" t="s">
        <v>2864</v>
      </c>
      <c r="C745" t="s">
        <v>1362</v>
      </c>
      <c r="D745" t="s">
        <v>2887</v>
      </c>
      <c r="E745">
        <v>0</v>
      </c>
      <c r="F745" s="11">
        <v>0</v>
      </c>
    </row>
    <row r="746" spans="1:6" x14ac:dyDescent="0.35">
      <c r="A746" t="s">
        <v>2856</v>
      </c>
      <c r="B746" t="s">
        <v>2864</v>
      </c>
      <c r="C746" t="s">
        <v>1362</v>
      </c>
      <c r="D746" t="s">
        <v>2888</v>
      </c>
      <c r="E746">
        <v>0</v>
      </c>
      <c r="F746" s="11">
        <v>0</v>
      </c>
    </row>
    <row r="747" spans="1:6" x14ac:dyDescent="0.35">
      <c r="A747" t="s">
        <v>2856</v>
      </c>
      <c r="B747" t="s">
        <v>2864</v>
      </c>
      <c r="C747" t="s">
        <v>1362</v>
      </c>
      <c r="D747" t="s">
        <v>2889</v>
      </c>
      <c r="E747">
        <v>0</v>
      </c>
      <c r="F747" s="11">
        <v>0</v>
      </c>
    </row>
    <row r="748" spans="1:6" x14ac:dyDescent="0.35">
      <c r="A748" t="s">
        <v>2856</v>
      </c>
      <c r="B748" t="s">
        <v>2864</v>
      </c>
      <c r="C748" t="s">
        <v>1362</v>
      </c>
      <c r="D748" t="s">
        <v>2890</v>
      </c>
      <c r="E748">
        <v>0</v>
      </c>
      <c r="F748" s="11">
        <v>0</v>
      </c>
    </row>
    <row r="749" spans="1:6" x14ac:dyDescent="0.35">
      <c r="A749" t="s">
        <v>2856</v>
      </c>
      <c r="B749" t="s">
        <v>2864</v>
      </c>
      <c r="C749" t="s">
        <v>1362</v>
      </c>
      <c r="D749" t="s">
        <v>2891</v>
      </c>
      <c r="E749">
        <v>0</v>
      </c>
      <c r="F749" s="11">
        <v>0</v>
      </c>
    </row>
    <row r="750" spans="1:6" x14ac:dyDescent="0.35">
      <c r="A750" t="s">
        <v>2856</v>
      </c>
      <c r="B750" t="s">
        <v>2864</v>
      </c>
      <c r="C750" t="s">
        <v>1362</v>
      </c>
      <c r="D750" t="s">
        <v>2892</v>
      </c>
      <c r="E750">
        <v>0</v>
      </c>
      <c r="F750" s="11">
        <v>0</v>
      </c>
    </row>
    <row r="751" spans="1:6" x14ac:dyDescent="0.35">
      <c r="A751" t="s">
        <v>2856</v>
      </c>
      <c r="B751" t="s">
        <v>2864</v>
      </c>
      <c r="C751" t="s">
        <v>1362</v>
      </c>
      <c r="D751" t="s">
        <v>2893</v>
      </c>
      <c r="E751">
        <v>0</v>
      </c>
      <c r="F751" s="11">
        <v>0</v>
      </c>
    </row>
    <row r="752" spans="1:6" x14ac:dyDescent="0.35">
      <c r="A752" t="s">
        <v>2856</v>
      </c>
      <c r="B752" t="s">
        <v>2864</v>
      </c>
      <c r="C752" t="s">
        <v>1362</v>
      </c>
      <c r="D752" t="s">
        <v>2894</v>
      </c>
      <c r="E752">
        <v>0</v>
      </c>
      <c r="F752" s="11">
        <v>0</v>
      </c>
    </row>
    <row r="753" spans="1:6" x14ac:dyDescent="0.35">
      <c r="A753" t="s">
        <v>2856</v>
      </c>
      <c r="B753" t="s">
        <v>2864</v>
      </c>
      <c r="C753" t="s">
        <v>1362</v>
      </c>
      <c r="D753" t="s">
        <v>2895</v>
      </c>
      <c r="E753">
        <v>1466228</v>
      </c>
      <c r="F753" s="11">
        <v>1</v>
      </c>
    </row>
    <row r="754" spans="1:6" x14ac:dyDescent="0.35">
      <c r="A754" t="s">
        <v>2856</v>
      </c>
      <c r="B754" t="s">
        <v>2864</v>
      </c>
      <c r="C754" t="s">
        <v>1362</v>
      </c>
      <c r="D754" t="s">
        <v>2896</v>
      </c>
      <c r="E754">
        <v>843457</v>
      </c>
      <c r="F754" s="11">
        <v>1</v>
      </c>
    </row>
    <row r="755" spans="1:6" x14ac:dyDescent="0.35">
      <c r="A755" t="s">
        <v>2856</v>
      </c>
      <c r="B755" t="s">
        <v>2864</v>
      </c>
      <c r="C755" t="s">
        <v>1362</v>
      </c>
      <c r="D755" t="s">
        <v>2897</v>
      </c>
      <c r="E755">
        <v>843457</v>
      </c>
      <c r="F755" s="11">
        <v>1</v>
      </c>
    </row>
    <row r="756" spans="1:6" x14ac:dyDescent="0.35">
      <c r="A756" t="s">
        <v>2856</v>
      </c>
      <c r="B756" t="s">
        <v>2864</v>
      </c>
      <c r="C756" t="s">
        <v>1362</v>
      </c>
      <c r="D756" t="s">
        <v>2898</v>
      </c>
      <c r="E756">
        <v>549005</v>
      </c>
      <c r="F756" s="11">
        <v>1</v>
      </c>
    </row>
    <row r="757" spans="1:6" x14ac:dyDescent="0.35">
      <c r="A757" t="s">
        <v>2856</v>
      </c>
      <c r="B757" t="s">
        <v>2864</v>
      </c>
      <c r="C757" t="s">
        <v>1362</v>
      </c>
      <c r="D757" t="s">
        <v>2899</v>
      </c>
      <c r="E757">
        <v>13819</v>
      </c>
      <c r="F757" s="11">
        <v>1</v>
      </c>
    </row>
    <row r="758" spans="1:6" x14ac:dyDescent="0.35">
      <c r="A758" t="s">
        <v>2856</v>
      </c>
      <c r="B758" t="s">
        <v>2864</v>
      </c>
      <c r="C758" t="s">
        <v>1362</v>
      </c>
      <c r="D758" t="s">
        <v>2900</v>
      </c>
      <c r="E758">
        <v>13021</v>
      </c>
      <c r="F758" s="11">
        <v>1</v>
      </c>
    </row>
    <row r="759" spans="1:6" x14ac:dyDescent="0.35">
      <c r="A759" t="s">
        <v>2856</v>
      </c>
      <c r="B759" t="s">
        <v>2864</v>
      </c>
      <c r="C759" t="s">
        <v>1362</v>
      </c>
      <c r="D759" t="s">
        <v>2901</v>
      </c>
      <c r="E759">
        <v>798</v>
      </c>
      <c r="F759" s="11">
        <v>1</v>
      </c>
    </row>
    <row r="760" spans="1:6" x14ac:dyDescent="0.35">
      <c r="A760" t="s">
        <v>2856</v>
      </c>
      <c r="B760" t="s">
        <v>2864</v>
      </c>
      <c r="C760" t="s">
        <v>1362</v>
      </c>
      <c r="D760" t="s">
        <v>2902</v>
      </c>
      <c r="E760">
        <v>0</v>
      </c>
      <c r="F760" s="11">
        <v>1</v>
      </c>
    </row>
    <row r="761" spans="1:6" x14ac:dyDescent="0.35">
      <c r="A761" t="s">
        <v>2856</v>
      </c>
      <c r="B761" t="s">
        <v>2864</v>
      </c>
      <c r="C761" t="s">
        <v>1362</v>
      </c>
      <c r="D761" t="s">
        <v>2903</v>
      </c>
      <c r="E761">
        <v>146836</v>
      </c>
      <c r="F761" s="11">
        <v>1</v>
      </c>
    </row>
    <row r="762" spans="1:6" x14ac:dyDescent="0.35">
      <c r="A762" t="s">
        <v>2856</v>
      </c>
      <c r="B762" t="s">
        <v>2864</v>
      </c>
      <c r="C762" t="s">
        <v>1362</v>
      </c>
      <c r="D762" t="s">
        <v>2904</v>
      </c>
      <c r="E762">
        <v>0</v>
      </c>
      <c r="F762" s="11">
        <v>0</v>
      </c>
    </row>
    <row r="763" spans="1:6" x14ac:dyDescent="0.35">
      <c r="A763" t="s">
        <v>2856</v>
      </c>
      <c r="B763" t="s">
        <v>2864</v>
      </c>
      <c r="C763" t="s">
        <v>1362</v>
      </c>
      <c r="D763" t="s">
        <v>2905</v>
      </c>
      <c r="E763">
        <v>0</v>
      </c>
      <c r="F763" s="11">
        <v>0</v>
      </c>
    </row>
    <row r="764" spans="1:6" x14ac:dyDescent="0.35">
      <c r="A764" t="s">
        <v>2856</v>
      </c>
      <c r="B764" t="s">
        <v>2864</v>
      </c>
      <c r="C764" t="s">
        <v>1362</v>
      </c>
      <c r="D764" t="s">
        <v>2906</v>
      </c>
      <c r="E764">
        <v>0</v>
      </c>
      <c r="F764" s="11">
        <v>0</v>
      </c>
    </row>
    <row r="765" spans="1:6" x14ac:dyDescent="0.35">
      <c r="A765" t="s">
        <v>2856</v>
      </c>
      <c r="B765" t="s">
        <v>2864</v>
      </c>
      <c r="C765" t="s">
        <v>1362</v>
      </c>
      <c r="D765" t="s">
        <v>2907</v>
      </c>
      <c r="E765">
        <v>346327</v>
      </c>
      <c r="F765" s="11">
        <v>1</v>
      </c>
    </row>
    <row r="766" spans="1:6" x14ac:dyDescent="0.35">
      <c r="A766" t="s">
        <v>2856</v>
      </c>
      <c r="B766" t="s">
        <v>2864</v>
      </c>
      <c r="C766" t="s">
        <v>1362</v>
      </c>
      <c r="D766" t="s">
        <v>2908</v>
      </c>
      <c r="E766">
        <v>0</v>
      </c>
      <c r="F766" s="11">
        <v>0</v>
      </c>
    </row>
    <row r="767" spans="1:6" x14ac:dyDescent="0.35">
      <c r="A767" t="s">
        <v>2856</v>
      </c>
      <c r="B767" t="s">
        <v>2864</v>
      </c>
      <c r="C767" t="s">
        <v>1362</v>
      </c>
      <c r="D767" t="s">
        <v>2909</v>
      </c>
      <c r="E767">
        <v>0</v>
      </c>
      <c r="F767" s="11">
        <v>0</v>
      </c>
    </row>
    <row r="768" spans="1:6" x14ac:dyDescent="0.35">
      <c r="A768" t="s">
        <v>2856</v>
      </c>
      <c r="B768" t="s">
        <v>2864</v>
      </c>
      <c r="C768" t="s">
        <v>1362</v>
      </c>
      <c r="D768" t="s">
        <v>2910</v>
      </c>
      <c r="E768">
        <v>0</v>
      </c>
      <c r="F768" s="11">
        <v>0</v>
      </c>
    </row>
    <row r="769" spans="1:6" x14ac:dyDescent="0.35">
      <c r="A769" t="s">
        <v>2856</v>
      </c>
      <c r="B769" t="s">
        <v>2864</v>
      </c>
      <c r="C769" t="s">
        <v>1362</v>
      </c>
      <c r="D769" t="s">
        <v>2911</v>
      </c>
      <c r="E769">
        <v>0</v>
      </c>
      <c r="F769" s="11">
        <v>0</v>
      </c>
    </row>
    <row r="770" spans="1:6" x14ac:dyDescent="0.35">
      <c r="A770" t="s">
        <v>2856</v>
      </c>
      <c r="B770" t="s">
        <v>2864</v>
      </c>
      <c r="C770" t="s">
        <v>1362</v>
      </c>
      <c r="D770" t="s">
        <v>2912</v>
      </c>
      <c r="E770">
        <v>0</v>
      </c>
      <c r="F770" s="11">
        <v>0</v>
      </c>
    </row>
    <row r="771" spans="1:6" x14ac:dyDescent="0.35">
      <c r="A771" t="s">
        <v>2856</v>
      </c>
      <c r="B771" t="s">
        <v>2864</v>
      </c>
      <c r="C771" t="s">
        <v>1362</v>
      </c>
      <c r="D771" t="s">
        <v>2913</v>
      </c>
      <c r="E771">
        <v>0</v>
      </c>
      <c r="F771" s="11">
        <v>0</v>
      </c>
    </row>
    <row r="772" spans="1:6" x14ac:dyDescent="0.35">
      <c r="A772" t="s">
        <v>2856</v>
      </c>
      <c r="B772" t="s">
        <v>2864</v>
      </c>
      <c r="C772" t="s">
        <v>1362</v>
      </c>
      <c r="D772" t="s">
        <v>2914</v>
      </c>
      <c r="E772">
        <v>44180</v>
      </c>
      <c r="F772" s="11">
        <v>1</v>
      </c>
    </row>
    <row r="773" spans="1:6" x14ac:dyDescent="0.35">
      <c r="A773" t="s">
        <v>2856</v>
      </c>
      <c r="B773" t="s">
        <v>2864</v>
      </c>
      <c r="C773" t="s">
        <v>1362</v>
      </c>
      <c r="D773" t="s">
        <v>2915</v>
      </c>
      <c r="E773">
        <v>38616</v>
      </c>
      <c r="F773" s="11">
        <v>1</v>
      </c>
    </row>
    <row r="774" spans="1:6" x14ac:dyDescent="0.35">
      <c r="A774" t="s">
        <v>2856</v>
      </c>
      <c r="B774" t="s">
        <v>2864</v>
      </c>
      <c r="C774" t="s">
        <v>1362</v>
      </c>
      <c r="D774" t="s">
        <v>2916</v>
      </c>
      <c r="E774">
        <v>61940</v>
      </c>
      <c r="F774" s="11">
        <v>1</v>
      </c>
    </row>
    <row r="775" spans="1:6" x14ac:dyDescent="0.35">
      <c r="A775" t="s">
        <v>2856</v>
      </c>
      <c r="B775" t="s">
        <v>2864</v>
      </c>
      <c r="C775" t="s">
        <v>1362</v>
      </c>
      <c r="D775" t="s">
        <v>2917</v>
      </c>
      <c r="E775">
        <v>0</v>
      </c>
      <c r="F775" s="11">
        <v>0</v>
      </c>
    </row>
    <row r="776" spans="1:6" x14ac:dyDescent="0.35">
      <c r="A776" t="s">
        <v>2856</v>
      </c>
      <c r="B776" t="s">
        <v>2863</v>
      </c>
      <c r="C776" t="s">
        <v>1425</v>
      </c>
      <c r="D776" t="s">
        <v>2875</v>
      </c>
      <c r="E776">
        <v>20649</v>
      </c>
      <c r="F776" s="11">
        <v>1</v>
      </c>
    </row>
    <row r="777" spans="1:6" x14ac:dyDescent="0.35">
      <c r="A777" t="s">
        <v>2856</v>
      </c>
      <c r="B777" t="s">
        <v>2863</v>
      </c>
      <c r="C777" t="s">
        <v>1425</v>
      </c>
      <c r="D777" t="s">
        <v>2876</v>
      </c>
      <c r="E777">
        <v>0</v>
      </c>
      <c r="F777" s="11">
        <v>0</v>
      </c>
    </row>
    <row r="778" spans="1:6" x14ac:dyDescent="0.35">
      <c r="A778" t="s">
        <v>2856</v>
      </c>
      <c r="B778" t="s">
        <v>2863</v>
      </c>
      <c r="C778" t="s">
        <v>1425</v>
      </c>
      <c r="D778" t="s">
        <v>2877</v>
      </c>
      <c r="E778">
        <v>0</v>
      </c>
      <c r="F778" s="11">
        <v>0</v>
      </c>
    </row>
    <row r="779" spans="1:6" x14ac:dyDescent="0.35">
      <c r="A779" t="s">
        <v>2856</v>
      </c>
      <c r="B779" t="s">
        <v>2863</v>
      </c>
      <c r="C779" t="s">
        <v>1425</v>
      </c>
      <c r="D779" t="s">
        <v>2878</v>
      </c>
      <c r="E779">
        <v>0</v>
      </c>
      <c r="F779" s="11">
        <v>1</v>
      </c>
    </row>
    <row r="780" spans="1:6" x14ac:dyDescent="0.35">
      <c r="A780" t="s">
        <v>2856</v>
      </c>
      <c r="B780" t="s">
        <v>2863</v>
      </c>
      <c r="C780" t="s">
        <v>1425</v>
      </c>
      <c r="D780" t="s">
        <v>2879</v>
      </c>
      <c r="E780">
        <v>10654</v>
      </c>
      <c r="F780" s="11">
        <v>0</v>
      </c>
    </row>
    <row r="781" spans="1:6" x14ac:dyDescent="0.35">
      <c r="A781" t="s">
        <v>2856</v>
      </c>
      <c r="B781" t="s">
        <v>2863</v>
      </c>
      <c r="C781" t="s">
        <v>1425</v>
      </c>
      <c r="D781" t="s">
        <v>2880</v>
      </c>
      <c r="E781">
        <v>2954</v>
      </c>
      <c r="F781" s="11">
        <v>0</v>
      </c>
    </row>
    <row r="782" spans="1:6" x14ac:dyDescent="0.35">
      <c r="A782" t="s">
        <v>2856</v>
      </c>
      <c r="B782" t="s">
        <v>2863</v>
      </c>
      <c r="C782" t="s">
        <v>1425</v>
      </c>
      <c r="D782" t="s">
        <v>2881</v>
      </c>
      <c r="E782">
        <v>2469</v>
      </c>
      <c r="F782" s="11">
        <v>0</v>
      </c>
    </row>
    <row r="783" spans="1:6" x14ac:dyDescent="0.35">
      <c r="A783" t="s">
        <v>2856</v>
      </c>
      <c r="B783" t="s">
        <v>2863</v>
      </c>
      <c r="C783" t="s">
        <v>1425</v>
      </c>
      <c r="D783" t="s">
        <v>2882</v>
      </c>
      <c r="E783">
        <v>0</v>
      </c>
      <c r="F783" s="11">
        <v>0</v>
      </c>
    </row>
    <row r="784" spans="1:6" x14ac:dyDescent="0.35">
      <c r="A784" t="s">
        <v>2856</v>
      </c>
      <c r="B784" t="s">
        <v>2863</v>
      </c>
      <c r="C784" t="s">
        <v>1425</v>
      </c>
      <c r="D784" t="s">
        <v>2883</v>
      </c>
      <c r="E784">
        <v>568</v>
      </c>
      <c r="F784" s="11">
        <v>0</v>
      </c>
    </row>
    <row r="785" spans="1:6" x14ac:dyDescent="0.35">
      <c r="A785" t="s">
        <v>2856</v>
      </c>
      <c r="B785" t="s">
        <v>2863</v>
      </c>
      <c r="C785" t="s">
        <v>1425</v>
      </c>
      <c r="D785" t="s">
        <v>2884</v>
      </c>
      <c r="E785">
        <v>0</v>
      </c>
      <c r="F785" s="11">
        <v>0</v>
      </c>
    </row>
    <row r="786" spans="1:6" x14ac:dyDescent="0.35">
      <c r="A786" t="s">
        <v>2856</v>
      </c>
      <c r="B786" t="s">
        <v>2863</v>
      </c>
      <c r="C786" t="s">
        <v>1425</v>
      </c>
      <c r="D786" t="s">
        <v>2885</v>
      </c>
      <c r="E786">
        <v>0</v>
      </c>
      <c r="F786" s="11">
        <v>0</v>
      </c>
    </row>
    <row r="787" spans="1:6" x14ac:dyDescent="0.35">
      <c r="A787" t="s">
        <v>2856</v>
      </c>
      <c r="B787" t="s">
        <v>2863</v>
      </c>
      <c r="C787" t="s">
        <v>1425</v>
      </c>
      <c r="D787" t="s">
        <v>2886</v>
      </c>
      <c r="E787">
        <v>0</v>
      </c>
      <c r="F787" s="11">
        <v>0</v>
      </c>
    </row>
    <row r="788" spans="1:6" x14ac:dyDescent="0.35">
      <c r="A788" t="s">
        <v>2856</v>
      </c>
      <c r="B788" t="s">
        <v>2863</v>
      </c>
      <c r="C788" t="s">
        <v>1425</v>
      </c>
      <c r="D788" t="s">
        <v>2887</v>
      </c>
      <c r="E788">
        <v>99535</v>
      </c>
      <c r="F788" s="11">
        <v>1</v>
      </c>
    </row>
    <row r="789" spans="1:6" x14ac:dyDescent="0.35">
      <c r="A789" t="s">
        <v>2856</v>
      </c>
      <c r="B789" t="s">
        <v>2863</v>
      </c>
      <c r="C789" t="s">
        <v>1425</v>
      </c>
      <c r="D789" t="s">
        <v>2888</v>
      </c>
      <c r="E789">
        <v>33278</v>
      </c>
      <c r="F789" s="11">
        <v>1</v>
      </c>
    </row>
    <row r="790" spans="1:6" x14ac:dyDescent="0.35">
      <c r="A790" t="s">
        <v>2856</v>
      </c>
      <c r="B790" t="s">
        <v>2863</v>
      </c>
      <c r="C790" t="s">
        <v>1425</v>
      </c>
      <c r="D790" t="s">
        <v>2889</v>
      </c>
      <c r="E790">
        <v>20882</v>
      </c>
      <c r="F790" s="11">
        <v>0</v>
      </c>
    </row>
    <row r="791" spans="1:6" x14ac:dyDescent="0.35">
      <c r="A791" t="s">
        <v>2856</v>
      </c>
      <c r="B791" t="s">
        <v>2863</v>
      </c>
      <c r="C791" t="s">
        <v>1425</v>
      </c>
      <c r="D791" t="s">
        <v>2890</v>
      </c>
      <c r="E791">
        <v>0</v>
      </c>
      <c r="F791" s="11">
        <v>1</v>
      </c>
    </row>
    <row r="792" spans="1:6" x14ac:dyDescent="0.35">
      <c r="A792" t="s">
        <v>2856</v>
      </c>
      <c r="B792" t="s">
        <v>2863</v>
      </c>
      <c r="C792" t="s">
        <v>1425</v>
      </c>
      <c r="D792" t="s">
        <v>2891</v>
      </c>
      <c r="E792">
        <v>3212</v>
      </c>
      <c r="F792" s="11">
        <v>0</v>
      </c>
    </row>
    <row r="793" spans="1:6" x14ac:dyDescent="0.35">
      <c r="A793" t="s">
        <v>2856</v>
      </c>
      <c r="B793" t="s">
        <v>2863</v>
      </c>
      <c r="C793" t="s">
        <v>1425</v>
      </c>
      <c r="D793" t="s">
        <v>2892</v>
      </c>
      <c r="E793">
        <v>1693</v>
      </c>
      <c r="F793" s="11">
        <v>0</v>
      </c>
    </row>
    <row r="794" spans="1:6" x14ac:dyDescent="0.35">
      <c r="A794" t="s">
        <v>2856</v>
      </c>
      <c r="B794" t="s">
        <v>2863</v>
      </c>
      <c r="C794" t="s">
        <v>1425</v>
      </c>
      <c r="D794" t="s">
        <v>2893</v>
      </c>
      <c r="E794">
        <v>572</v>
      </c>
      <c r="F794" s="11">
        <v>0</v>
      </c>
    </row>
    <row r="795" spans="1:6" x14ac:dyDescent="0.35">
      <c r="A795" t="s">
        <v>2856</v>
      </c>
      <c r="B795" t="s">
        <v>2863</v>
      </c>
      <c r="C795" t="s">
        <v>1425</v>
      </c>
      <c r="D795" t="s">
        <v>2894</v>
      </c>
      <c r="E795">
        <v>0</v>
      </c>
      <c r="F795" s="11">
        <v>0</v>
      </c>
    </row>
    <row r="796" spans="1:6" x14ac:dyDescent="0.35">
      <c r="A796" t="s">
        <v>2856</v>
      </c>
      <c r="B796" t="s">
        <v>2863</v>
      </c>
      <c r="C796" t="s">
        <v>1425</v>
      </c>
      <c r="D796" t="s">
        <v>2895</v>
      </c>
      <c r="E796">
        <v>467059</v>
      </c>
      <c r="F796" s="11">
        <v>1</v>
      </c>
    </row>
    <row r="797" spans="1:6" x14ac:dyDescent="0.35">
      <c r="A797" t="s">
        <v>2856</v>
      </c>
      <c r="B797" t="s">
        <v>2863</v>
      </c>
      <c r="C797" t="s">
        <v>1425</v>
      </c>
      <c r="D797" t="s">
        <v>2896</v>
      </c>
      <c r="E797">
        <v>205722</v>
      </c>
      <c r="F797" s="11">
        <v>1</v>
      </c>
    </row>
    <row r="798" spans="1:6" x14ac:dyDescent="0.35">
      <c r="A798" t="s">
        <v>2856</v>
      </c>
      <c r="B798" t="s">
        <v>2863</v>
      </c>
      <c r="C798" t="s">
        <v>1425</v>
      </c>
      <c r="D798" t="s">
        <v>2897</v>
      </c>
      <c r="E798">
        <v>247484</v>
      </c>
      <c r="F798" s="11">
        <v>1</v>
      </c>
    </row>
    <row r="799" spans="1:6" x14ac:dyDescent="0.35">
      <c r="A799" t="s">
        <v>2856</v>
      </c>
      <c r="B799" t="s">
        <v>2863</v>
      </c>
      <c r="C799" t="s">
        <v>1425</v>
      </c>
      <c r="D799" t="s">
        <v>2898</v>
      </c>
      <c r="E799">
        <v>12066</v>
      </c>
      <c r="F799" s="11">
        <v>1</v>
      </c>
    </row>
    <row r="800" spans="1:6" x14ac:dyDescent="0.35">
      <c r="A800" t="s">
        <v>2856</v>
      </c>
      <c r="B800" t="s">
        <v>2863</v>
      </c>
      <c r="C800" t="s">
        <v>1425</v>
      </c>
      <c r="D800" t="s">
        <v>2899</v>
      </c>
      <c r="E800">
        <v>6237</v>
      </c>
      <c r="F800" s="11">
        <v>1</v>
      </c>
    </row>
    <row r="801" spans="1:6" x14ac:dyDescent="0.35">
      <c r="A801" t="s">
        <v>2856</v>
      </c>
      <c r="B801" t="s">
        <v>2863</v>
      </c>
      <c r="C801" t="s">
        <v>1425</v>
      </c>
      <c r="D801" t="s">
        <v>2900</v>
      </c>
      <c r="E801">
        <v>6011</v>
      </c>
      <c r="F801" s="11">
        <v>1</v>
      </c>
    </row>
    <row r="802" spans="1:6" x14ac:dyDescent="0.35">
      <c r="A802" t="s">
        <v>2856</v>
      </c>
      <c r="B802" t="s">
        <v>2863</v>
      </c>
      <c r="C802" t="s">
        <v>1425</v>
      </c>
      <c r="D802" t="s">
        <v>2901</v>
      </c>
      <c r="E802">
        <v>226</v>
      </c>
      <c r="F802" s="11">
        <v>0</v>
      </c>
    </row>
    <row r="803" spans="1:6" x14ac:dyDescent="0.35">
      <c r="A803" t="s">
        <v>2856</v>
      </c>
      <c r="B803" t="s">
        <v>2863</v>
      </c>
      <c r="C803" t="s">
        <v>1425</v>
      </c>
      <c r="D803" t="s">
        <v>2902</v>
      </c>
      <c r="E803">
        <v>0</v>
      </c>
      <c r="F803" s="11">
        <v>1</v>
      </c>
    </row>
    <row r="804" spans="1:6" x14ac:dyDescent="0.35">
      <c r="A804" t="s">
        <v>2856</v>
      </c>
      <c r="B804" t="s">
        <v>2863</v>
      </c>
      <c r="C804" t="s">
        <v>1425</v>
      </c>
      <c r="D804" t="s">
        <v>2903</v>
      </c>
      <c r="E804">
        <v>31210</v>
      </c>
      <c r="F804" s="11">
        <v>1</v>
      </c>
    </row>
    <row r="805" spans="1:6" x14ac:dyDescent="0.35">
      <c r="A805" t="s">
        <v>2856</v>
      </c>
      <c r="B805" t="s">
        <v>2863</v>
      </c>
      <c r="C805" t="s">
        <v>1425</v>
      </c>
      <c r="D805" t="s">
        <v>2904</v>
      </c>
      <c r="E805">
        <v>24115</v>
      </c>
      <c r="F805" s="11">
        <v>1</v>
      </c>
    </row>
    <row r="806" spans="1:6" x14ac:dyDescent="0.35">
      <c r="A806" t="s">
        <v>2856</v>
      </c>
      <c r="B806" t="s">
        <v>2863</v>
      </c>
      <c r="C806" t="s">
        <v>1425</v>
      </c>
      <c r="D806" t="s">
        <v>2905</v>
      </c>
      <c r="E806">
        <v>4606</v>
      </c>
      <c r="F806" s="11">
        <v>1</v>
      </c>
    </row>
    <row r="807" spans="1:6" x14ac:dyDescent="0.35">
      <c r="A807" t="s">
        <v>2856</v>
      </c>
      <c r="B807" t="s">
        <v>2863</v>
      </c>
      <c r="C807" t="s">
        <v>1425</v>
      </c>
      <c r="D807" t="s">
        <v>2906</v>
      </c>
      <c r="E807">
        <v>2489</v>
      </c>
      <c r="F807" s="11">
        <v>1</v>
      </c>
    </row>
    <row r="808" spans="1:6" x14ac:dyDescent="0.35">
      <c r="A808" t="s">
        <v>2856</v>
      </c>
      <c r="B808" t="s">
        <v>2863</v>
      </c>
      <c r="C808" t="s">
        <v>1425</v>
      </c>
      <c r="D808" t="s">
        <v>2907</v>
      </c>
      <c r="E808">
        <v>51909</v>
      </c>
      <c r="F808" s="11">
        <v>1</v>
      </c>
    </row>
    <row r="809" spans="1:6" x14ac:dyDescent="0.35">
      <c r="A809" t="s">
        <v>2856</v>
      </c>
      <c r="B809" t="s">
        <v>2863</v>
      </c>
      <c r="C809" t="s">
        <v>1425</v>
      </c>
      <c r="D809" t="s">
        <v>2908</v>
      </c>
      <c r="E809">
        <v>41554</v>
      </c>
      <c r="F809" s="11">
        <v>1</v>
      </c>
    </row>
    <row r="810" spans="1:6" x14ac:dyDescent="0.35">
      <c r="A810" t="s">
        <v>2856</v>
      </c>
      <c r="B810" t="s">
        <v>2863</v>
      </c>
      <c r="C810" t="s">
        <v>1425</v>
      </c>
      <c r="D810" t="s">
        <v>2909</v>
      </c>
      <c r="E810">
        <v>7683</v>
      </c>
      <c r="F810" s="11">
        <v>1</v>
      </c>
    </row>
    <row r="811" spans="1:6" x14ac:dyDescent="0.35">
      <c r="A811" t="s">
        <v>2856</v>
      </c>
      <c r="B811" t="s">
        <v>2863</v>
      </c>
      <c r="C811" t="s">
        <v>1425</v>
      </c>
      <c r="D811" t="s">
        <v>2910</v>
      </c>
      <c r="E811">
        <v>2672</v>
      </c>
      <c r="F811" s="11">
        <v>1</v>
      </c>
    </row>
    <row r="812" spans="1:6" x14ac:dyDescent="0.35">
      <c r="A812" t="s">
        <v>2856</v>
      </c>
      <c r="B812" t="s">
        <v>2863</v>
      </c>
      <c r="C812" t="s">
        <v>1425</v>
      </c>
      <c r="D812" t="s">
        <v>2911</v>
      </c>
      <c r="E812">
        <v>667200</v>
      </c>
      <c r="F812" s="11">
        <v>1</v>
      </c>
    </row>
    <row r="813" spans="1:6" x14ac:dyDescent="0.35">
      <c r="A813" t="s">
        <v>2856</v>
      </c>
      <c r="B813" t="s">
        <v>2863</v>
      </c>
      <c r="C813" t="s">
        <v>1425</v>
      </c>
      <c r="D813" t="s">
        <v>2912</v>
      </c>
      <c r="E813">
        <v>143905</v>
      </c>
      <c r="F813" s="11">
        <v>1</v>
      </c>
    </row>
    <row r="814" spans="1:6" x14ac:dyDescent="0.35">
      <c r="A814" t="s">
        <v>2856</v>
      </c>
      <c r="B814" t="s">
        <v>2863</v>
      </c>
      <c r="C814" t="s">
        <v>1425</v>
      </c>
      <c r="D814" t="s">
        <v>2913</v>
      </c>
      <c r="E814">
        <v>0</v>
      </c>
      <c r="F814" s="11">
        <v>0</v>
      </c>
    </row>
    <row r="815" spans="1:6" x14ac:dyDescent="0.35">
      <c r="A815" t="s">
        <v>2856</v>
      </c>
      <c r="B815" t="s">
        <v>2863</v>
      </c>
      <c r="C815" t="s">
        <v>1425</v>
      </c>
      <c r="D815" t="s">
        <v>2914</v>
      </c>
      <c r="E815">
        <v>0</v>
      </c>
      <c r="F815" s="11">
        <v>0</v>
      </c>
    </row>
    <row r="816" spans="1:6" x14ac:dyDescent="0.35">
      <c r="A816" t="s">
        <v>2856</v>
      </c>
      <c r="B816" t="s">
        <v>2863</v>
      </c>
      <c r="C816" t="s">
        <v>1425</v>
      </c>
      <c r="D816" t="s">
        <v>2915</v>
      </c>
      <c r="E816">
        <v>720</v>
      </c>
      <c r="F816" s="11">
        <v>1</v>
      </c>
    </row>
    <row r="817" spans="1:6" x14ac:dyDescent="0.35">
      <c r="A817" t="s">
        <v>2856</v>
      </c>
      <c r="B817" t="s">
        <v>2863</v>
      </c>
      <c r="C817" t="s">
        <v>1425</v>
      </c>
      <c r="D817" t="s">
        <v>2916</v>
      </c>
      <c r="E817">
        <v>89245</v>
      </c>
      <c r="F817" s="11">
        <v>1</v>
      </c>
    </row>
    <row r="818" spans="1:6" x14ac:dyDescent="0.35">
      <c r="A818" t="s">
        <v>2856</v>
      </c>
      <c r="B818" t="s">
        <v>2863</v>
      </c>
      <c r="C818" t="s">
        <v>1425</v>
      </c>
      <c r="D818" t="s">
        <v>2917</v>
      </c>
      <c r="E818">
        <v>523561</v>
      </c>
      <c r="F818" s="11">
        <v>1</v>
      </c>
    </row>
    <row r="819" spans="1:6" x14ac:dyDescent="0.35">
      <c r="A819" t="s">
        <v>2856</v>
      </c>
      <c r="B819" t="s">
        <v>2866</v>
      </c>
      <c r="C819" t="s">
        <v>1413</v>
      </c>
      <c r="D819" t="s">
        <v>2875</v>
      </c>
      <c r="E819">
        <v>40405</v>
      </c>
      <c r="F819" s="11">
        <v>1</v>
      </c>
    </row>
    <row r="820" spans="1:6" x14ac:dyDescent="0.35">
      <c r="A820" t="s">
        <v>2856</v>
      </c>
      <c r="B820" t="s">
        <v>2866</v>
      </c>
      <c r="C820" t="s">
        <v>1413</v>
      </c>
      <c r="D820" t="s">
        <v>2876</v>
      </c>
      <c r="E820">
        <v>10238</v>
      </c>
      <c r="F820" s="11">
        <v>1</v>
      </c>
    </row>
    <row r="821" spans="1:6" x14ac:dyDescent="0.35">
      <c r="A821" t="s">
        <v>2856</v>
      </c>
      <c r="B821" t="s">
        <v>2866</v>
      </c>
      <c r="C821" t="s">
        <v>1413</v>
      </c>
      <c r="D821" t="s">
        <v>2877</v>
      </c>
      <c r="E821">
        <v>25968</v>
      </c>
      <c r="F821" s="11">
        <v>1</v>
      </c>
    </row>
    <row r="822" spans="1:6" x14ac:dyDescent="0.35">
      <c r="A822" t="s">
        <v>2856</v>
      </c>
      <c r="B822" t="s">
        <v>2866</v>
      </c>
      <c r="C822" t="s">
        <v>1413</v>
      </c>
      <c r="D822" t="s">
        <v>2878</v>
      </c>
      <c r="E822">
        <v>4199</v>
      </c>
      <c r="F822" s="11">
        <v>1</v>
      </c>
    </row>
    <row r="823" spans="1:6" x14ac:dyDescent="0.35">
      <c r="A823" t="s">
        <v>2856</v>
      </c>
      <c r="B823" t="s">
        <v>2866</v>
      </c>
      <c r="C823" t="s">
        <v>1413</v>
      </c>
      <c r="D823" t="s">
        <v>2879</v>
      </c>
      <c r="E823">
        <v>3337</v>
      </c>
      <c r="F823" s="11">
        <v>1</v>
      </c>
    </row>
    <row r="824" spans="1:6" x14ac:dyDescent="0.35">
      <c r="A824" t="s">
        <v>2856</v>
      </c>
      <c r="B824" t="s">
        <v>2866</v>
      </c>
      <c r="C824" t="s">
        <v>1413</v>
      </c>
      <c r="D824" t="s">
        <v>2880</v>
      </c>
      <c r="E824">
        <v>1792</v>
      </c>
      <c r="F824" s="11">
        <v>1</v>
      </c>
    </row>
    <row r="825" spans="1:6" x14ac:dyDescent="0.35">
      <c r="A825" t="s">
        <v>2856</v>
      </c>
      <c r="B825" t="s">
        <v>2866</v>
      </c>
      <c r="C825" t="s">
        <v>1413</v>
      </c>
      <c r="D825" t="s">
        <v>2881</v>
      </c>
      <c r="E825">
        <v>1417</v>
      </c>
      <c r="F825" s="11">
        <v>1</v>
      </c>
    </row>
    <row r="826" spans="1:6" x14ac:dyDescent="0.35">
      <c r="A826" t="s">
        <v>2856</v>
      </c>
      <c r="B826" t="s">
        <v>2866</v>
      </c>
      <c r="C826" t="s">
        <v>1413</v>
      </c>
      <c r="D826" t="s">
        <v>2882</v>
      </c>
      <c r="E826">
        <v>21</v>
      </c>
      <c r="F826" s="11">
        <v>1</v>
      </c>
    </row>
    <row r="827" spans="1:6" x14ac:dyDescent="0.35">
      <c r="A827" t="s">
        <v>2856</v>
      </c>
      <c r="B827" t="s">
        <v>2866</v>
      </c>
      <c r="C827" t="s">
        <v>1413</v>
      </c>
      <c r="D827" t="s">
        <v>2883</v>
      </c>
      <c r="E827">
        <v>0</v>
      </c>
      <c r="F827" s="11">
        <v>0</v>
      </c>
    </row>
    <row r="828" spans="1:6" x14ac:dyDescent="0.35">
      <c r="A828" t="s">
        <v>2856</v>
      </c>
      <c r="B828" t="s">
        <v>2866</v>
      </c>
      <c r="C828" t="s">
        <v>1413</v>
      </c>
      <c r="D828" t="s">
        <v>2884</v>
      </c>
      <c r="E828">
        <v>0</v>
      </c>
      <c r="F828" s="11">
        <v>0</v>
      </c>
    </row>
    <row r="829" spans="1:6" x14ac:dyDescent="0.35">
      <c r="A829" t="s">
        <v>2856</v>
      </c>
      <c r="B829" t="s">
        <v>2866</v>
      </c>
      <c r="C829" t="s">
        <v>1413</v>
      </c>
      <c r="D829" t="s">
        <v>2885</v>
      </c>
      <c r="E829">
        <v>0</v>
      </c>
      <c r="F829" s="11">
        <v>0</v>
      </c>
    </row>
    <row r="830" spans="1:6" x14ac:dyDescent="0.35">
      <c r="A830" t="s">
        <v>2856</v>
      </c>
      <c r="B830" t="s">
        <v>2866</v>
      </c>
      <c r="C830" t="s">
        <v>1413</v>
      </c>
      <c r="D830" t="s">
        <v>2886</v>
      </c>
      <c r="E830">
        <v>0</v>
      </c>
      <c r="F830" s="11">
        <v>0</v>
      </c>
    </row>
    <row r="831" spans="1:6" x14ac:dyDescent="0.35">
      <c r="A831" t="s">
        <v>2856</v>
      </c>
      <c r="B831" t="s">
        <v>2866</v>
      </c>
      <c r="C831" t="s">
        <v>1413</v>
      </c>
      <c r="D831" t="s">
        <v>2887</v>
      </c>
      <c r="E831">
        <v>39331</v>
      </c>
      <c r="F831" s="11">
        <v>1</v>
      </c>
    </row>
    <row r="832" spans="1:6" x14ac:dyDescent="0.35">
      <c r="A832" t="s">
        <v>2856</v>
      </c>
      <c r="B832" t="s">
        <v>2866</v>
      </c>
      <c r="C832" t="s">
        <v>1413</v>
      </c>
      <c r="D832" t="s">
        <v>2888</v>
      </c>
      <c r="E832">
        <v>13629</v>
      </c>
      <c r="F832" s="11">
        <v>1</v>
      </c>
    </row>
    <row r="833" spans="1:6" x14ac:dyDescent="0.35">
      <c r="A833" t="s">
        <v>2856</v>
      </c>
      <c r="B833" t="s">
        <v>2866</v>
      </c>
      <c r="C833" t="s">
        <v>1413</v>
      </c>
      <c r="D833" t="s">
        <v>2889</v>
      </c>
      <c r="E833">
        <v>25403</v>
      </c>
      <c r="F833" s="11">
        <v>1</v>
      </c>
    </row>
    <row r="834" spans="1:6" x14ac:dyDescent="0.35">
      <c r="A834" t="s">
        <v>2856</v>
      </c>
      <c r="B834" t="s">
        <v>2866</v>
      </c>
      <c r="C834" t="s">
        <v>1413</v>
      </c>
      <c r="D834" t="s">
        <v>2890</v>
      </c>
      <c r="E834">
        <v>299</v>
      </c>
      <c r="F834" s="11">
        <v>1</v>
      </c>
    </row>
    <row r="835" spans="1:6" x14ac:dyDescent="0.35">
      <c r="A835" t="s">
        <v>2856</v>
      </c>
      <c r="B835" t="s">
        <v>2866</v>
      </c>
      <c r="C835" t="s">
        <v>1413</v>
      </c>
      <c r="D835" t="s">
        <v>2891</v>
      </c>
      <c r="E835">
        <v>0</v>
      </c>
      <c r="F835" s="11">
        <v>0</v>
      </c>
    </row>
    <row r="836" spans="1:6" x14ac:dyDescent="0.35">
      <c r="A836" t="s">
        <v>2856</v>
      </c>
      <c r="B836" t="s">
        <v>2866</v>
      </c>
      <c r="C836" t="s">
        <v>1413</v>
      </c>
      <c r="D836" t="s">
        <v>2892</v>
      </c>
      <c r="E836">
        <v>0</v>
      </c>
      <c r="F836" s="11">
        <v>0</v>
      </c>
    </row>
    <row r="837" spans="1:6" x14ac:dyDescent="0.35">
      <c r="A837" t="s">
        <v>2856</v>
      </c>
      <c r="B837" t="s">
        <v>2866</v>
      </c>
      <c r="C837" t="s">
        <v>1413</v>
      </c>
      <c r="D837" t="s">
        <v>2893</v>
      </c>
      <c r="E837">
        <v>0</v>
      </c>
      <c r="F837" s="11">
        <v>0</v>
      </c>
    </row>
    <row r="838" spans="1:6" x14ac:dyDescent="0.35">
      <c r="A838" t="s">
        <v>2856</v>
      </c>
      <c r="B838" t="s">
        <v>2866</v>
      </c>
      <c r="C838" t="s">
        <v>1413</v>
      </c>
      <c r="D838" t="s">
        <v>2894</v>
      </c>
      <c r="E838">
        <v>0</v>
      </c>
      <c r="F838" s="11">
        <v>0</v>
      </c>
    </row>
    <row r="839" spans="1:6" x14ac:dyDescent="0.35">
      <c r="A839" t="s">
        <v>2856</v>
      </c>
      <c r="B839" t="s">
        <v>2866</v>
      </c>
      <c r="C839" t="s">
        <v>1413</v>
      </c>
      <c r="D839" t="s">
        <v>2895</v>
      </c>
      <c r="E839">
        <v>543230</v>
      </c>
      <c r="F839" s="11">
        <v>1</v>
      </c>
    </row>
    <row r="840" spans="1:6" x14ac:dyDescent="0.35">
      <c r="A840" t="s">
        <v>2856</v>
      </c>
      <c r="B840" t="s">
        <v>2866</v>
      </c>
      <c r="C840" t="s">
        <v>1413</v>
      </c>
      <c r="D840" t="s">
        <v>2896</v>
      </c>
      <c r="E840">
        <v>255440</v>
      </c>
      <c r="F840" s="11">
        <v>1</v>
      </c>
    </row>
    <row r="841" spans="1:6" x14ac:dyDescent="0.35">
      <c r="A841" t="s">
        <v>2856</v>
      </c>
      <c r="B841" t="s">
        <v>2866</v>
      </c>
      <c r="C841" t="s">
        <v>1413</v>
      </c>
      <c r="D841" t="s">
        <v>2897</v>
      </c>
      <c r="E841">
        <v>276211</v>
      </c>
      <c r="F841" s="11">
        <v>1</v>
      </c>
    </row>
    <row r="842" spans="1:6" x14ac:dyDescent="0.35">
      <c r="A842" t="s">
        <v>2856</v>
      </c>
      <c r="B842" t="s">
        <v>2866</v>
      </c>
      <c r="C842" t="s">
        <v>1413</v>
      </c>
      <c r="D842" t="s">
        <v>2898</v>
      </c>
      <c r="E842">
        <v>11579</v>
      </c>
      <c r="F842" s="11">
        <v>1</v>
      </c>
    </row>
    <row r="843" spans="1:6" x14ac:dyDescent="0.35">
      <c r="A843" t="s">
        <v>2856</v>
      </c>
      <c r="B843" t="s">
        <v>2866</v>
      </c>
      <c r="C843" t="s">
        <v>1413</v>
      </c>
      <c r="D843" t="s">
        <v>2899</v>
      </c>
      <c r="E843">
        <v>2945</v>
      </c>
      <c r="F843" s="11">
        <v>1</v>
      </c>
    </row>
    <row r="844" spans="1:6" x14ac:dyDescent="0.35">
      <c r="A844" t="s">
        <v>2856</v>
      </c>
      <c r="B844" t="s">
        <v>2866</v>
      </c>
      <c r="C844" t="s">
        <v>1413</v>
      </c>
      <c r="D844" t="s">
        <v>2900</v>
      </c>
      <c r="E844">
        <v>2341</v>
      </c>
      <c r="F844" s="11">
        <v>1</v>
      </c>
    </row>
    <row r="845" spans="1:6" x14ac:dyDescent="0.35">
      <c r="A845" t="s">
        <v>2856</v>
      </c>
      <c r="B845" t="s">
        <v>2866</v>
      </c>
      <c r="C845" t="s">
        <v>1413</v>
      </c>
      <c r="D845" t="s">
        <v>2901</v>
      </c>
      <c r="E845">
        <v>604</v>
      </c>
      <c r="F845" s="11">
        <v>0</v>
      </c>
    </row>
    <row r="846" spans="1:6" x14ac:dyDescent="0.35">
      <c r="A846" t="s">
        <v>2856</v>
      </c>
      <c r="B846" t="s">
        <v>2866</v>
      </c>
      <c r="C846" t="s">
        <v>1413</v>
      </c>
      <c r="D846" t="s">
        <v>2902</v>
      </c>
      <c r="E846">
        <v>0</v>
      </c>
      <c r="F846" s="11">
        <v>1</v>
      </c>
    </row>
    <row r="847" spans="1:6" x14ac:dyDescent="0.35">
      <c r="A847" t="s">
        <v>2856</v>
      </c>
      <c r="B847" t="s">
        <v>2866</v>
      </c>
      <c r="C847" t="s">
        <v>1413</v>
      </c>
      <c r="D847" t="s">
        <v>2903</v>
      </c>
      <c r="E847">
        <v>44021</v>
      </c>
      <c r="F847" s="11">
        <v>1</v>
      </c>
    </row>
    <row r="848" spans="1:6" x14ac:dyDescent="0.35">
      <c r="A848" t="s">
        <v>2856</v>
      </c>
      <c r="B848" t="s">
        <v>2866</v>
      </c>
      <c r="C848" t="s">
        <v>1413</v>
      </c>
      <c r="D848" t="s">
        <v>2904</v>
      </c>
      <c r="E848">
        <v>35546</v>
      </c>
      <c r="F848" s="11">
        <v>1</v>
      </c>
    </row>
    <row r="849" spans="1:6" x14ac:dyDescent="0.35">
      <c r="A849" t="s">
        <v>2856</v>
      </c>
      <c r="B849" t="s">
        <v>2866</v>
      </c>
      <c r="C849" t="s">
        <v>1413</v>
      </c>
      <c r="D849" t="s">
        <v>2905</v>
      </c>
      <c r="E849">
        <v>8475</v>
      </c>
      <c r="F849" s="11">
        <v>1</v>
      </c>
    </row>
    <row r="850" spans="1:6" x14ac:dyDescent="0.35">
      <c r="A850" t="s">
        <v>2856</v>
      </c>
      <c r="B850" t="s">
        <v>2866</v>
      </c>
      <c r="C850" t="s">
        <v>1413</v>
      </c>
      <c r="D850" t="s">
        <v>2906</v>
      </c>
      <c r="E850">
        <v>0</v>
      </c>
      <c r="F850" s="11">
        <v>1</v>
      </c>
    </row>
    <row r="851" spans="1:6" x14ac:dyDescent="0.35">
      <c r="A851" t="s">
        <v>2856</v>
      </c>
      <c r="B851" t="s">
        <v>2866</v>
      </c>
      <c r="C851" t="s">
        <v>1413</v>
      </c>
      <c r="D851" t="s">
        <v>2907</v>
      </c>
      <c r="E851">
        <v>55712</v>
      </c>
      <c r="F851" s="11">
        <v>1</v>
      </c>
    </row>
    <row r="852" spans="1:6" x14ac:dyDescent="0.35">
      <c r="A852" t="s">
        <v>2856</v>
      </c>
      <c r="B852" t="s">
        <v>2866</v>
      </c>
      <c r="C852" t="s">
        <v>1413</v>
      </c>
      <c r="D852" t="s">
        <v>2908</v>
      </c>
      <c r="E852">
        <v>46224</v>
      </c>
      <c r="F852" s="11">
        <v>1</v>
      </c>
    </row>
    <row r="853" spans="1:6" x14ac:dyDescent="0.35">
      <c r="A853" t="s">
        <v>2856</v>
      </c>
      <c r="B853" t="s">
        <v>2866</v>
      </c>
      <c r="C853" t="s">
        <v>1413</v>
      </c>
      <c r="D853" t="s">
        <v>2909</v>
      </c>
      <c r="E853">
        <v>9488</v>
      </c>
      <c r="F853" s="11">
        <v>1</v>
      </c>
    </row>
    <row r="854" spans="1:6" x14ac:dyDescent="0.35">
      <c r="A854" t="s">
        <v>2856</v>
      </c>
      <c r="B854" t="s">
        <v>2866</v>
      </c>
      <c r="C854" t="s">
        <v>1413</v>
      </c>
      <c r="D854" t="s">
        <v>2910</v>
      </c>
      <c r="E854">
        <v>0</v>
      </c>
      <c r="F854" s="11">
        <v>1</v>
      </c>
    </row>
    <row r="855" spans="1:6" x14ac:dyDescent="0.35">
      <c r="A855" t="s">
        <v>2856</v>
      </c>
      <c r="B855" t="s">
        <v>2866</v>
      </c>
      <c r="C855" t="s">
        <v>1413</v>
      </c>
      <c r="D855" t="s">
        <v>2911</v>
      </c>
      <c r="E855">
        <v>339076</v>
      </c>
      <c r="F855" s="11">
        <v>1</v>
      </c>
    </row>
    <row r="856" spans="1:6" x14ac:dyDescent="0.35">
      <c r="A856" t="s">
        <v>2856</v>
      </c>
      <c r="B856" t="s">
        <v>2866</v>
      </c>
      <c r="C856" t="s">
        <v>1413</v>
      </c>
      <c r="D856" t="s">
        <v>2912</v>
      </c>
      <c r="E856">
        <v>349270</v>
      </c>
      <c r="F856" s="11">
        <v>1</v>
      </c>
    </row>
    <row r="857" spans="1:6" x14ac:dyDescent="0.35">
      <c r="A857" t="s">
        <v>2856</v>
      </c>
      <c r="B857" t="s">
        <v>2866</v>
      </c>
      <c r="C857" t="s">
        <v>1413</v>
      </c>
      <c r="D857" t="s">
        <v>2913</v>
      </c>
      <c r="E857">
        <v>0</v>
      </c>
      <c r="F857" s="11">
        <v>0</v>
      </c>
    </row>
    <row r="858" spans="1:6" x14ac:dyDescent="0.35">
      <c r="A858" t="s">
        <v>2856</v>
      </c>
      <c r="B858" t="s">
        <v>2866</v>
      </c>
      <c r="C858" t="s">
        <v>1413</v>
      </c>
      <c r="D858" t="s">
        <v>2914</v>
      </c>
      <c r="E858">
        <v>0</v>
      </c>
      <c r="F858" s="11">
        <v>0</v>
      </c>
    </row>
    <row r="859" spans="1:6" x14ac:dyDescent="0.35">
      <c r="A859" t="s">
        <v>2856</v>
      </c>
      <c r="B859" t="s">
        <v>2866</v>
      </c>
      <c r="C859" t="s">
        <v>1413</v>
      </c>
      <c r="D859" t="s">
        <v>2915</v>
      </c>
      <c r="E859">
        <v>804</v>
      </c>
      <c r="F859" s="11">
        <v>1</v>
      </c>
    </row>
    <row r="860" spans="1:6" x14ac:dyDescent="0.35">
      <c r="A860" t="s">
        <v>2856</v>
      </c>
      <c r="B860" t="s">
        <v>2866</v>
      </c>
      <c r="C860" t="s">
        <v>1413</v>
      </c>
      <c r="D860" t="s">
        <v>2916</v>
      </c>
      <c r="E860">
        <v>61278</v>
      </c>
      <c r="F860" s="11">
        <v>1</v>
      </c>
    </row>
    <row r="861" spans="1:6" x14ac:dyDescent="0.35">
      <c r="A861" t="s">
        <v>2856</v>
      </c>
      <c r="B861" t="s">
        <v>2866</v>
      </c>
      <c r="C861" t="s">
        <v>1413</v>
      </c>
      <c r="D861" t="s">
        <v>2917</v>
      </c>
      <c r="E861">
        <v>0</v>
      </c>
      <c r="F861" s="11">
        <v>0</v>
      </c>
    </row>
    <row r="862" spans="1:6" x14ac:dyDescent="0.35">
      <c r="A862" t="s">
        <v>2856</v>
      </c>
      <c r="B862" t="s">
        <v>2865</v>
      </c>
      <c r="C862" t="s">
        <v>1536</v>
      </c>
      <c r="D862" t="s">
        <v>2875</v>
      </c>
      <c r="E862">
        <v>16582</v>
      </c>
      <c r="F862" s="11">
        <v>1</v>
      </c>
    </row>
    <row r="863" spans="1:6" x14ac:dyDescent="0.35">
      <c r="A863" t="s">
        <v>2856</v>
      </c>
      <c r="B863" t="s">
        <v>2865</v>
      </c>
      <c r="C863" t="s">
        <v>1536</v>
      </c>
      <c r="D863" t="s">
        <v>2876</v>
      </c>
      <c r="E863">
        <v>0</v>
      </c>
      <c r="F863" s="11">
        <v>0</v>
      </c>
    </row>
    <row r="864" spans="1:6" x14ac:dyDescent="0.35">
      <c r="A864" t="s">
        <v>2856</v>
      </c>
      <c r="B864" t="s">
        <v>2865</v>
      </c>
      <c r="C864" t="s">
        <v>1536</v>
      </c>
      <c r="D864" t="s">
        <v>2877</v>
      </c>
      <c r="E864">
        <v>0</v>
      </c>
      <c r="F864" s="11">
        <v>0</v>
      </c>
    </row>
    <row r="865" spans="1:6" x14ac:dyDescent="0.35">
      <c r="A865" t="s">
        <v>2856</v>
      </c>
      <c r="B865" t="s">
        <v>2865</v>
      </c>
      <c r="C865" t="s">
        <v>1536</v>
      </c>
      <c r="D865" t="s">
        <v>2878</v>
      </c>
      <c r="E865">
        <v>0</v>
      </c>
      <c r="F865" s="11">
        <v>0</v>
      </c>
    </row>
    <row r="866" spans="1:6" x14ac:dyDescent="0.35">
      <c r="A866" t="s">
        <v>2856</v>
      </c>
      <c r="B866" t="s">
        <v>2865</v>
      </c>
      <c r="C866" t="s">
        <v>1536</v>
      </c>
      <c r="D866" t="s">
        <v>2879</v>
      </c>
      <c r="E866">
        <v>3037</v>
      </c>
      <c r="F866" s="11">
        <v>1</v>
      </c>
    </row>
    <row r="867" spans="1:6" x14ac:dyDescent="0.35">
      <c r="A867" t="s">
        <v>2856</v>
      </c>
      <c r="B867" t="s">
        <v>2865</v>
      </c>
      <c r="C867" t="s">
        <v>1536</v>
      </c>
      <c r="D867" t="s">
        <v>2880</v>
      </c>
      <c r="E867">
        <v>0</v>
      </c>
      <c r="F867" s="11">
        <v>0</v>
      </c>
    </row>
    <row r="868" spans="1:6" x14ac:dyDescent="0.35">
      <c r="A868" t="s">
        <v>2856</v>
      </c>
      <c r="B868" t="s">
        <v>2865</v>
      </c>
      <c r="C868" t="s">
        <v>1536</v>
      </c>
      <c r="D868" t="s">
        <v>2881</v>
      </c>
      <c r="E868">
        <v>0</v>
      </c>
      <c r="F868" s="11">
        <v>0</v>
      </c>
    </row>
    <row r="869" spans="1:6" x14ac:dyDescent="0.35">
      <c r="A869" t="s">
        <v>2856</v>
      </c>
      <c r="B869" t="s">
        <v>2865</v>
      </c>
      <c r="C869" t="s">
        <v>1536</v>
      </c>
      <c r="D869" t="s">
        <v>2882</v>
      </c>
      <c r="E869">
        <v>0</v>
      </c>
      <c r="F869" s="11">
        <v>0</v>
      </c>
    </row>
    <row r="870" spans="1:6" x14ac:dyDescent="0.35">
      <c r="A870" t="s">
        <v>2856</v>
      </c>
      <c r="B870" t="s">
        <v>2865</v>
      </c>
      <c r="C870" t="s">
        <v>1536</v>
      </c>
      <c r="D870" t="s">
        <v>2883</v>
      </c>
      <c r="E870">
        <v>0</v>
      </c>
      <c r="F870" s="11">
        <v>0</v>
      </c>
    </row>
    <row r="871" spans="1:6" x14ac:dyDescent="0.35">
      <c r="A871" t="s">
        <v>2856</v>
      </c>
      <c r="B871" t="s">
        <v>2865</v>
      </c>
      <c r="C871" t="s">
        <v>1536</v>
      </c>
      <c r="D871" t="s">
        <v>2884</v>
      </c>
      <c r="E871">
        <v>0</v>
      </c>
      <c r="F871" s="11">
        <v>0</v>
      </c>
    </row>
    <row r="872" spans="1:6" x14ac:dyDescent="0.35">
      <c r="A872" t="s">
        <v>2856</v>
      </c>
      <c r="B872" t="s">
        <v>2865</v>
      </c>
      <c r="C872" t="s">
        <v>1536</v>
      </c>
      <c r="D872" t="s">
        <v>2885</v>
      </c>
      <c r="E872">
        <v>0</v>
      </c>
      <c r="F872" s="11">
        <v>0</v>
      </c>
    </row>
    <row r="873" spans="1:6" x14ac:dyDescent="0.35">
      <c r="A873" t="s">
        <v>2856</v>
      </c>
      <c r="B873" t="s">
        <v>2865</v>
      </c>
      <c r="C873" t="s">
        <v>1536</v>
      </c>
      <c r="D873" t="s">
        <v>2886</v>
      </c>
      <c r="E873">
        <v>0</v>
      </c>
      <c r="F873" s="11">
        <v>0</v>
      </c>
    </row>
    <row r="874" spans="1:6" x14ac:dyDescent="0.35">
      <c r="A874" t="s">
        <v>2856</v>
      </c>
      <c r="B874" t="s">
        <v>2865</v>
      </c>
      <c r="C874" t="s">
        <v>1536</v>
      </c>
      <c r="D874" t="s">
        <v>2887</v>
      </c>
      <c r="E874">
        <v>33503</v>
      </c>
      <c r="F874" s="11">
        <v>1</v>
      </c>
    </row>
    <row r="875" spans="1:6" x14ac:dyDescent="0.35">
      <c r="A875" t="s">
        <v>2856</v>
      </c>
      <c r="B875" t="s">
        <v>2865</v>
      </c>
      <c r="C875" t="s">
        <v>1536</v>
      </c>
      <c r="D875" t="s">
        <v>2888</v>
      </c>
      <c r="E875">
        <v>21369</v>
      </c>
      <c r="F875" s="11">
        <v>0</v>
      </c>
    </row>
    <row r="876" spans="1:6" x14ac:dyDescent="0.35">
      <c r="A876" t="s">
        <v>2856</v>
      </c>
      <c r="B876" t="s">
        <v>2865</v>
      </c>
      <c r="C876" t="s">
        <v>1536</v>
      </c>
      <c r="D876" t="s">
        <v>2889</v>
      </c>
      <c r="E876">
        <v>0</v>
      </c>
      <c r="F876" s="11">
        <v>0</v>
      </c>
    </row>
    <row r="877" spans="1:6" x14ac:dyDescent="0.35">
      <c r="A877" t="s">
        <v>2856</v>
      </c>
      <c r="B877" t="s">
        <v>2865</v>
      </c>
      <c r="C877" t="s">
        <v>1536</v>
      </c>
      <c r="D877" t="s">
        <v>2890</v>
      </c>
      <c r="E877">
        <v>0</v>
      </c>
      <c r="F877" s="11">
        <v>0</v>
      </c>
    </row>
    <row r="878" spans="1:6" x14ac:dyDescent="0.35">
      <c r="A878" t="s">
        <v>2856</v>
      </c>
      <c r="B878" t="s">
        <v>2865</v>
      </c>
      <c r="C878" t="s">
        <v>1536</v>
      </c>
      <c r="D878" t="s">
        <v>2891</v>
      </c>
      <c r="E878">
        <v>0</v>
      </c>
      <c r="F878" s="11">
        <v>0</v>
      </c>
    </row>
    <row r="879" spans="1:6" x14ac:dyDescent="0.35">
      <c r="A879" t="s">
        <v>2856</v>
      </c>
      <c r="B879" t="s">
        <v>2865</v>
      </c>
      <c r="C879" t="s">
        <v>1536</v>
      </c>
      <c r="D879" t="s">
        <v>2892</v>
      </c>
      <c r="E879">
        <v>0</v>
      </c>
      <c r="F879" s="11">
        <v>0</v>
      </c>
    </row>
    <row r="880" spans="1:6" x14ac:dyDescent="0.35">
      <c r="A880" t="s">
        <v>2856</v>
      </c>
      <c r="B880" t="s">
        <v>2865</v>
      </c>
      <c r="C880" t="s">
        <v>1536</v>
      </c>
      <c r="D880" t="s">
        <v>2893</v>
      </c>
      <c r="E880">
        <v>0</v>
      </c>
      <c r="F880" s="11">
        <v>0</v>
      </c>
    </row>
    <row r="881" spans="1:6" x14ac:dyDescent="0.35">
      <c r="A881" t="s">
        <v>2856</v>
      </c>
      <c r="B881" t="s">
        <v>2865</v>
      </c>
      <c r="C881" t="s">
        <v>1536</v>
      </c>
      <c r="D881" t="s">
        <v>2894</v>
      </c>
      <c r="E881">
        <v>0</v>
      </c>
      <c r="F881" s="11">
        <v>0</v>
      </c>
    </row>
    <row r="882" spans="1:6" x14ac:dyDescent="0.35">
      <c r="A882" t="s">
        <v>2856</v>
      </c>
      <c r="B882" t="s">
        <v>2865</v>
      </c>
      <c r="C882" t="s">
        <v>1536</v>
      </c>
      <c r="D882" t="s">
        <v>2895</v>
      </c>
      <c r="E882">
        <v>448341</v>
      </c>
      <c r="F882" s="11">
        <v>1</v>
      </c>
    </row>
    <row r="883" spans="1:6" x14ac:dyDescent="0.35">
      <c r="A883" t="s">
        <v>2856</v>
      </c>
      <c r="B883" t="s">
        <v>2865</v>
      </c>
      <c r="C883" t="s">
        <v>1536</v>
      </c>
      <c r="D883" t="s">
        <v>2896</v>
      </c>
      <c r="E883">
        <v>294750</v>
      </c>
      <c r="F883" s="11">
        <v>0</v>
      </c>
    </row>
    <row r="884" spans="1:6" x14ac:dyDescent="0.35">
      <c r="A884" t="s">
        <v>2856</v>
      </c>
      <c r="B884" t="s">
        <v>2865</v>
      </c>
      <c r="C884" t="s">
        <v>1536</v>
      </c>
      <c r="D884" t="s">
        <v>2897</v>
      </c>
      <c r="E884">
        <v>0</v>
      </c>
      <c r="F884" s="11">
        <v>0</v>
      </c>
    </row>
    <row r="885" spans="1:6" x14ac:dyDescent="0.35">
      <c r="A885" t="s">
        <v>2856</v>
      </c>
      <c r="B885" t="s">
        <v>2865</v>
      </c>
      <c r="C885" t="s">
        <v>1536</v>
      </c>
      <c r="D885" t="s">
        <v>2898</v>
      </c>
      <c r="E885">
        <v>0</v>
      </c>
      <c r="F885" s="11">
        <v>1</v>
      </c>
    </row>
    <row r="886" spans="1:6" x14ac:dyDescent="0.35">
      <c r="A886" t="s">
        <v>2856</v>
      </c>
      <c r="B886" t="s">
        <v>2865</v>
      </c>
      <c r="C886" t="s">
        <v>1536</v>
      </c>
      <c r="D886" t="s">
        <v>2899</v>
      </c>
      <c r="E886">
        <v>9885</v>
      </c>
      <c r="F886" s="11">
        <v>1</v>
      </c>
    </row>
    <row r="887" spans="1:6" x14ac:dyDescent="0.35">
      <c r="A887" t="s">
        <v>2856</v>
      </c>
      <c r="B887" t="s">
        <v>2865</v>
      </c>
      <c r="C887" t="s">
        <v>1536</v>
      </c>
      <c r="D887" t="s">
        <v>2900</v>
      </c>
      <c r="E887">
        <v>8982</v>
      </c>
      <c r="F887" s="11">
        <v>0</v>
      </c>
    </row>
    <row r="888" spans="1:6" x14ac:dyDescent="0.35">
      <c r="A888" t="s">
        <v>2856</v>
      </c>
      <c r="B888" t="s">
        <v>2865</v>
      </c>
      <c r="C888" t="s">
        <v>1536</v>
      </c>
      <c r="D888" t="s">
        <v>2901</v>
      </c>
      <c r="E888">
        <v>0</v>
      </c>
      <c r="F888" s="11">
        <v>0</v>
      </c>
    </row>
    <row r="889" spans="1:6" x14ac:dyDescent="0.35">
      <c r="A889" t="s">
        <v>2856</v>
      </c>
      <c r="B889" t="s">
        <v>2865</v>
      </c>
      <c r="C889" t="s">
        <v>1536</v>
      </c>
      <c r="D889" t="s">
        <v>2902</v>
      </c>
      <c r="E889">
        <v>0</v>
      </c>
      <c r="F889" s="11">
        <v>1</v>
      </c>
    </row>
    <row r="890" spans="1:6" x14ac:dyDescent="0.35">
      <c r="A890" t="s">
        <v>2856</v>
      </c>
      <c r="B890" t="s">
        <v>2865</v>
      </c>
      <c r="C890" t="s">
        <v>1536</v>
      </c>
      <c r="D890" t="s">
        <v>2903</v>
      </c>
      <c r="E890">
        <v>94393</v>
      </c>
      <c r="F890" s="11">
        <v>1</v>
      </c>
    </row>
    <row r="891" spans="1:6" x14ac:dyDescent="0.35">
      <c r="A891" t="s">
        <v>2856</v>
      </c>
      <c r="B891" t="s">
        <v>2865</v>
      </c>
      <c r="C891" t="s">
        <v>1536</v>
      </c>
      <c r="D891" t="s">
        <v>2904</v>
      </c>
      <c r="E891">
        <v>0</v>
      </c>
      <c r="F891" s="11">
        <v>0</v>
      </c>
    </row>
    <row r="892" spans="1:6" x14ac:dyDescent="0.35">
      <c r="A892" t="s">
        <v>2856</v>
      </c>
      <c r="B892" t="s">
        <v>2865</v>
      </c>
      <c r="C892" t="s">
        <v>1536</v>
      </c>
      <c r="D892" t="s">
        <v>2905</v>
      </c>
      <c r="E892">
        <v>0</v>
      </c>
      <c r="F892" s="11">
        <v>0</v>
      </c>
    </row>
    <row r="893" spans="1:6" x14ac:dyDescent="0.35">
      <c r="A893" t="s">
        <v>2856</v>
      </c>
      <c r="B893" t="s">
        <v>2865</v>
      </c>
      <c r="C893" t="s">
        <v>1536</v>
      </c>
      <c r="D893" t="s">
        <v>2906</v>
      </c>
      <c r="E893">
        <v>0</v>
      </c>
      <c r="F893" s="11">
        <v>0</v>
      </c>
    </row>
    <row r="894" spans="1:6" x14ac:dyDescent="0.35">
      <c r="A894" t="s">
        <v>2856</v>
      </c>
      <c r="B894" t="s">
        <v>2865</v>
      </c>
      <c r="C894" t="s">
        <v>1536</v>
      </c>
      <c r="D894" t="s">
        <v>2907</v>
      </c>
      <c r="E894">
        <v>167132</v>
      </c>
      <c r="F894" s="11">
        <v>1</v>
      </c>
    </row>
    <row r="895" spans="1:6" x14ac:dyDescent="0.35">
      <c r="A895" t="s">
        <v>2856</v>
      </c>
      <c r="B895" t="s">
        <v>2865</v>
      </c>
      <c r="C895" t="s">
        <v>1536</v>
      </c>
      <c r="D895" t="s">
        <v>2908</v>
      </c>
      <c r="E895">
        <v>0</v>
      </c>
      <c r="F895" s="11">
        <v>0</v>
      </c>
    </row>
    <row r="896" spans="1:6" x14ac:dyDescent="0.35">
      <c r="A896" t="s">
        <v>2856</v>
      </c>
      <c r="B896" t="s">
        <v>2865</v>
      </c>
      <c r="C896" t="s">
        <v>1536</v>
      </c>
      <c r="D896" t="s">
        <v>2909</v>
      </c>
      <c r="E896">
        <v>0</v>
      </c>
      <c r="F896" s="11">
        <v>0</v>
      </c>
    </row>
    <row r="897" spans="1:6" x14ac:dyDescent="0.35">
      <c r="A897" t="s">
        <v>2856</v>
      </c>
      <c r="B897" t="s">
        <v>2865</v>
      </c>
      <c r="C897" t="s">
        <v>1536</v>
      </c>
      <c r="D897" t="s">
        <v>2910</v>
      </c>
      <c r="E897">
        <v>0</v>
      </c>
      <c r="F897" s="11">
        <v>0</v>
      </c>
    </row>
    <row r="898" spans="1:6" x14ac:dyDescent="0.35">
      <c r="A898" t="s">
        <v>2856</v>
      </c>
      <c r="B898" t="s">
        <v>2865</v>
      </c>
      <c r="C898" t="s">
        <v>1536</v>
      </c>
      <c r="D898" t="s">
        <v>2911</v>
      </c>
      <c r="E898">
        <v>466306</v>
      </c>
      <c r="F898" s="11">
        <v>1</v>
      </c>
    </row>
    <row r="899" spans="1:6" x14ac:dyDescent="0.35">
      <c r="A899" t="s">
        <v>2856</v>
      </c>
      <c r="B899" t="s">
        <v>2865</v>
      </c>
      <c r="C899" t="s">
        <v>1536</v>
      </c>
      <c r="D899" t="s">
        <v>2912</v>
      </c>
      <c r="E899">
        <v>0</v>
      </c>
      <c r="F899" s="11">
        <v>0</v>
      </c>
    </row>
    <row r="900" spans="1:6" x14ac:dyDescent="0.35">
      <c r="A900" t="s">
        <v>2856</v>
      </c>
      <c r="B900" t="s">
        <v>2865</v>
      </c>
      <c r="C900" t="s">
        <v>1536</v>
      </c>
      <c r="D900" t="s">
        <v>2913</v>
      </c>
      <c r="E900">
        <v>0</v>
      </c>
      <c r="F900" s="11">
        <v>0</v>
      </c>
    </row>
    <row r="901" spans="1:6" x14ac:dyDescent="0.35">
      <c r="A901" t="s">
        <v>2856</v>
      </c>
      <c r="B901" t="s">
        <v>2865</v>
      </c>
      <c r="C901" t="s">
        <v>1536</v>
      </c>
      <c r="D901" t="s">
        <v>2914</v>
      </c>
      <c r="E901">
        <v>0</v>
      </c>
      <c r="F901" s="11">
        <v>0</v>
      </c>
    </row>
    <row r="902" spans="1:6" x14ac:dyDescent="0.35">
      <c r="A902" t="s">
        <v>2856</v>
      </c>
      <c r="B902" t="s">
        <v>2865</v>
      </c>
      <c r="C902" t="s">
        <v>1536</v>
      </c>
      <c r="D902" t="s">
        <v>2915</v>
      </c>
      <c r="E902">
        <v>1154</v>
      </c>
      <c r="F902" s="11">
        <v>0</v>
      </c>
    </row>
    <row r="903" spans="1:6" x14ac:dyDescent="0.35">
      <c r="A903" t="s">
        <v>2856</v>
      </c>
      <c r="B903" t="s">
        <v>2865</v>
      </c>
      <c r="C903" t="s">
        <v>1536</v>
      </c>
      <c r="D903" t="s">
        <v>2916</v>
      </c>
      <c r="E903">
        <v>19862</v>
      </c>
      <c r="F903" s="11">
        <v>1</v>
      </c>
    </row>
    <row r="904" spans="1:6" x14ac:dyDescent="0.35">
      <c r="A904" t="s">
        <v>2856</v>
      </c>
      <c r="B904" t="s">
        <v>2865</v>
      </c>
      <c r="C904" t="s">
        <v>1536</v>
      </c>
      <c r="D904" t="s">
        <v>2917</v>
      </c>
      <c r="E904">
        <v>231554</v>
      </c>
      <c r="F904" s="11">
        <v>1</v>
      </c>
    </row>
    <row r="905" spans="1:6" x14ac:dyDescent="0.35">
      <c r="A905" t="s">
        <v>2856</v>
      </c>
      <c r="B905" t="s">
        <v>2865</v>
      </c>
      <c r="C905" t="s">
        <v>1411</v>
      </c>
      <c r="D905" t="s">
        <v>2875</v>
      </c>
      <c r="E905">
        <v>7038</v>
      </c>
      <c r="F905" s="11">
        <v>1</v>
      </c>
    </row>
    <row r="906" spans="1:6" x14ac:dyDescent="0.35">
      <c r="A906" t="s">
        <v>2856</v>
      </c>
      <c r="B906" t="s">
        <v>2865</v>
      </c>
      <c r="C906" t="s">
        <v>1411</v>
      </c>
      <c r="D906" t="s">
        <v>2876</v>
      </c>
      <c r="E906">
        <v>0</v>
      </c>
      <c r="F906" s="11">
        <v>0</v>
      </c>
    </row>
    <row r="907" spans="1:6" x14ac:dyDescent="0.35">
      <c r="A907" t="s">
        <v>2856</v>
      </c>
      <c r="B907" t="s">
        <v>2865</v>
      </c>
      <c r="C907" t="s">
        <v>1411</v>
      </c>
      <c r="D907" t="s">
        <v>2877</v>
      </c>
      <c r="E907">
        <v>0</v>
      </c>
      <c r="F907" s="11">
        <v>0</v>
      </c>
    </row>
    <row r="908" spans="1:6" x14ac:dyDescent="0.35">
      <c r="A908" t="s">
        <v>2856</v>
      </c>
      <c r="B908" t="s">
        <v>2865</v>
      </c>
      <c r="C908" t="s">
        <v>1411</v>
      </c>
      <c r="D908" t="s">
        <v>2878</v>
      </c>
      <c r="E908">
        <v>0</v>
      </c>
      <c r="F908" s="11">
        <v>0</v>
      </c>
    </row>
    <row r="909" spans="1:6" x14ac:dyDescent="0.35">
      <c r="A909" t="s">
        <v>2856</v>
      </c>
      <c r="B909" t="s">
        <v>2865</v>
      </c>
      <c r="C909" t="s">
        <v>1411</v>
      </c>
      <c r="D909" t="s">
        <v>2879</v>
      </c>
      <c r="E909">
        <v>1400</v>
      </c>
      <c r="F909" s="11">
        <v>1</v>
      </c>
    </row>
    <row r="910" spans="1:6" x14ac:dyDescent="0.35">
      <c r="A910" t="s">
        <v>2856</v>
      </c>
      <c r="B910" t="s">
        <v>2865</v>
      </c>
      <c r="C910" t="s">
        <v>1411</v>
      </c>
      <c r="D910" t="s">
        <v>2880</v>
      </c>
      <c r="E910">
        <v>392</v>
      </c>
      <c r="F910" s="11">
        <v>0</v>
      </c>
    </row>
    <row r="911" spans="1:6" x14ac:dyDescent="0.35">
      <c r="A911" t="s">
        <v>2856</v>
      </c>
      <c r="B911" t="s">
        <v>2865</v>
      </c>
      <c r="C911" t="s">
        <v>1411</v>
      </c>
      <c r="D911" t="s">
        <v>2881</v>
      </c>
      <c r="E911">
        <v>0</v>
      </c>
      <c r="F911" s="11">
        <v>0</v>
      </c>
    </row>
    <row r="912" spans="1:6" x14ac:dyDescent="0.35">
      <c r="A912" t="s">
        <v>2856</v>
      </c>
      <c r="B912" t="s">
        <v>2865</v>
      </c>
      <c r="C912" t="s">
        <v>1411</v>
      </c>
      <c r="D912" t="s">
        <v>2882</v>
      </c>
      <c r="E912">
        <v>0</v>
      </c>
      <c r="F912" s="11">
        <v>0</v>
      </c>
    </row>
    <row r="913" spans="1:6" x14ac:dyDescent="0.35">
      <c r="A913" t="s">
        <v>2856</v>
      </c>
      <c r="B913" t="s">
        <v>2865</v>
      </c>
      <c r="C913" t="s">
        <v>1411</v>
      </c>
      <c r="D913" t="s">
        <v>2883</v>
      </c>
      <c r="E913">
        <v>0</v>
      </c>
      <c r="F913" s="11">
        <v>0</v>
      </c>
    </row>
    <row r="914" spans="1:6" x14ac:dyDescent="0.35">
      <c r="A914" t="s">
        <v>2856</v>
      </c>
      <c r="B914" t="s">
        <v>2865</v>
      </c>
      <c r="C914" t="s">
        <v>1411</v>
      </c>
      <c r="D914" t="s">
        <v>2884</v>
      </c>
      <c r="E914">
        <v>0</v>
      </c>
      <c r="F914" s="11">
        <v>0</v>
      </c>
    </row>
    <row r="915" spans="1:6" x14ac:dyDescent="0.35">
      <c r="A915" t="s">
        <v>2856</v>
      </c>
      <c r="B915" t="s">
        <v>2865</v>
      </c>
      <c r="C915" t="s">
        <v>1411</v>
      </c>
      <c r="D915" t="s">
        <v>2885</v>
      </c>
      <c r="E915">
        <v>0</v>
      </c>
      <c r="F915" s="11">
        <v>0</v>
      </c>
    </row>
    <row r="916" spans="1:6" x14ac:dyDescent="0.35">
      <c r="A916" t="s">
        <v>2856</v>
      </c>
      <c r="B916" t="s">
        <v>2865</v>
      </c>
      <c r="C916" t="s">
        <v>1411</v>
      </c>
      <c r="D916" t="s">
        <v>2886</v>
      </c>
      <c r="E916">
        <v>0</v>
      </c>
      <c r="F916" s="11">
        <v>0</v>
      </c>
    </row>
    <row r="917" spans="1:6" x14ac:dyDescent="0.35">
      <c r="A917" t="s">
        <v>2856</v>
      </c>
      <c r="B917" t="s">
        <v>2865</v>
      </c>
      <c r="C917" t="s">
        <v>1411</v>
      </c>
      <c r="D917" t="s">
        <v>2887</v>
      </c>
      <c r="E917">
        <v>40996</v>
      </c>
      <c r="F917" s="11">
        <v>1</v>
      </c>
    </row>
    <row r="918" spans="1:6" x14ac:dyDescent="0.35">
      <c r="A918" t="s">
        <v>2856</v>
      </c>
      <c r="B918" t="s">
        <v>2865</v>
      </c>
      <c r="C918" t="s">
        <v>1411</v>
      </c>
      <c r="D918" t="s">
        <v>2888</v>
      </c>
      <c r="E918">
        <v>16755</v>
      </c>
      <c r="F918" s="11">
        <v>1</v>
      </c>
    </row>
    <row r="919" spans="1:6" x14ac:dyDescent="0.35">
      <c r="A919" t="s">
        <v>2856</v>
      </c>
      <c r="B919" t="s">
        <v>2865</v>
      </c>
      <c r="C919" t="s">
        <v>1411</v>
      </c>
      <c r="D919" t="s">
        <v>2889</v>
      </c>
      <c r="E919">
        <v>0</v>
      </c>
      <c r="F919" s="11">
        <v>0</v>
      </c>
    </row>
    <row r="920" spans="1:6" x14ac:dyDescent="0.35">
      <c r="A920" t="s">
        <v>2856</v>
      </c>
      <c r="B920" t="s">
        <v>2865</v>
      </c>
      <c r="C920" t="s">
        <v>1411</v>
      </c>
      <c r="D920" t="s">
        <v>2890</v>
      </c>
      <c r="E920">
        <v>24241</v>
      </c>
      <c r="F920" s="11">
        <v>1</v>
      </c>
    </row>
    <row r="921" spans="1:6" x14ac:dyDescent="0.35">
      <c r="A921" t="s">
        <v>2856</v>
      </c>
      <c r="B921" t="s">
        <v>2865</v>
      </c>
      <c r="C921" t="s">
        <v>1411</v>
      </c>
      <c r="D921" t="s">
        <v>2891</v>
      </c>
      <c r="E921">
        <v>0</v>
      </c>
      <c r="F921" s="11">
        <v>0</v>
      </c>
    </row>
    <row r="922" spans="1:6" x14ac:dyDescent="0.35">
      <c r="A922" t="s">
        <v>2856</v>
      </c>
      <c r="B922" t="s">
        <v>2865</v>
      </c>
      <c r="C922" t="s">
        <v>1411</v>
      </c>
      <c r="D922" t="s">
        <v>2892</v>
      </c>
      <c r="E922">
        <v>0</v>
      </c>
      <c r="F922" s="11">
        <v>0</v>
      </c>
    </row>
    <row r="923" spans="1:6" x14ac:dyDescent="0.35">
      <c r="A923" t="s">
        <v>2856</v>
      </c>
      <c r="B923" t="s">
        <v>2865</v>
      </c>
      <c r="C923" t="s">
        <v>1411</v>
      </c>
      <c r="D923" t="s">
        <v>2893</v>
      </c>
      <c r="E923">
        <v>0</v>
      </c>
      <c r="F923" s="11">
        <v>0</v>
      </c>
    </row>
    <row r="924" spans="1:6" x14ac:dyDescent="0.35">
      <c r="A924" t="s">
        <v>2856</v>
      </c>
      <c r="B924" t="s">
        <v>2865</v>
      </c>
      <c r="C924" t="s">
        <v>1411</v>
      </c>
      <c r="D924" t="s">
        <v>2894</v>
      </c>
      <c r="E924">
        <v>0</v>
      </c>
      <c r="F924" s="11">
        <v>0</v>
      </c>
    </row>
    <row r="925" spans="1:6" x14ac:dyDescent="0.35">
      <c r="A925" t="s">
        <v>2856</v>
      </c>
      <c r="B925" t="s">
        <v>2865</v>
      </c>
      <c r="C925" t="s">
        <v>1411</v>
      </c>
      <c r="D925" t="s">
        <v>2895</v>
      </c>
      <c r="E925">
        <v>194765</v>
      </c>
      <c r="F925" s="11">
        <v>1</v>
      </c>
    </row>
    <row r="926" spans="1:6" x14ac:dyDescent="0.35">
      <c r="A926" t="s">
        <v>2856</v>
      </c>
      <c r="B926" t="s">
        <v>2865</v>
      </c>
      <c r="C926" t="s">
        <v>1411</v>
      </c>
      <c r="D926" t="s">
        <v>2896</v>
      </c>
      <c r="E926">
        <v>0</v>
      </c>
      <c r="F926" s="11">
        <v>1</v>
      </c>
    </row>
    <row r="927" spans="1:6" x14ac:dyDescent="0.35">
      <c r="A927" t="s">
        <v>2856</v>
      </c>
      <c r="B927" t="s">
        <v>2865</v>
      </c>
      <c r="C927" t="s">
        <v>1411</v>
      </c>
      <c r="D927" t="s">
        <v>2897</v>
      </c>
      <c r="E927">
        <v>0</v>
      </c>
      <c r="F927" s="11">
        <v>0</v>
      </c>
    </row>
    <row r="928" spans="1:6" x14ac:dyDescent="0.35">
      <c r="A928" t="s">
        <v>2856</v>
      </c>
      <c r="B928" t="s">
        <v>2865</v>
      </c>
      <c r="C928" t="s">
        <v>1411</v>
      </c>
      <c r="D928" t="s">
        <v>2898</v>
      </c>
      <c r="E928">
        <v>0</v>
      </c>
      <c r="F928" s="11">
        <v>1</v>
      </c>
    </row>
    <row r="929" spans="1:6" x14ac:dyDescent="0.35">
      <c r="A929" t="s">
        <v>2856</v>
      </c>
      <c r="B929" t="s">
        <v>2865</v>
      </c>
      <c r="C929" t="s">
        <v>1411</v>
      </c>
      <c r="D929" t="s">
        <v>2899</v>
      </c>
      <c r="E929">
        <v>4632</v>
      </c>
      <c r="F929" s="11">
        <v>1</v>
      </c>
    </row>
    <row r="930" spans="1:6" x14ac:dyDescent="0.35">
      <c r="A930" t="s">
        <v>2856</v>
      </c>
      <c r="B930" t="s">
        <v>2865</v>
      </c>
      <c r="C930" t="s">
        <v>1411</v>
      </c>
      <c r="D930" t="s">
        <v>2900</v>
      </c>
      <c r="E930">
        <v>0</v>
      </c>
      <c r="F930" s="11">
        <v>1</v>
      </c>
    </row>
    <row r="931" spans="1:6" x14ac:dyDescent="0.35">
      <c r="A931" t="s">
        <v>2856</v>
      </c>
      <c r="B931" t="s">
        <v>2865</v>
      </c>
      <c r="C931" t="s">
        <v>1411</v>
      </c>
      <c r="D931" t="s">
        <v>2901</v>
      </c>
      <c r="E931">
        <v>0</v>
      </c>
      <c r="F931" s="11">
        <v>0</v>
      </c>
    </row>
    <row r="932" spans="1:6" x14ac:dyDescent="0.35">
      <c r="A932" t="s">
        <v>2856</v>
      </c>
      <c r="B932" t="s">
        <v>2865</v>
      </c>
      <c r="C932" t="s">
        <v>1411</v>
      </c>
      <c r="D932" t="s">
        <v>2902</v>
      </c>
      <c r="E932">
        <v>0</v>
      </c>
      <c r="F932" s="11">
        <v>1</v>
      </c>
    </row>
    <row r="933" spans="1:6" x14ac:dyDescent="0.35">
      <c r="A933" t="s">
        <v>2856</v>
      </c>
      <c r="B933" t="s">
        <v>2865</v>
      </c>
      <c r="C933" t="s">
        <v>1411</v>
      </c>
      <c r="D933" t="s">
        <v>2903</v>
      </c>
      <c r="E933">
        <v>20025</v>
      </c>
      <c r="F933" s="11">
        <v>1</v>
      </c>
    </row>
    <row r="934" spans="1:6" x14ac:dyDescent="0.35">
      <c r="A934" t="s">
        <v>2856</v>
      </c>
      <c r="B934" t="s">
        <v>2865</v>
      </c>
      <c r="C934" t="s">
        <v>1411</v>
      </c>
      <c r="D934" t="s">
        <v>2904</v>
      </c>
      <c r="E934">
        <v>0</v>
      </c>
      <c r="F934" s="11">
        <v>0</v>
      </c>
    </row>
    <row r="935" spans="1:6" x14ac:dyDescent="0.35">
      <c r="A935" t="s">
        <v>2856</v>
      </c>
      <c r="B935" t="s">
        <v>2865</v>
      </c>
      <c r="C935" t="s">
        <v>1411</v>
      </c>
      <c r="D935" t="s">
        <v>2905</v>
      </c>
      <c r="E935">
        <v>0</v>
      </c>
      <c r="F935" s="11">
        <v>0</v>
      </c>
    </row>
    <row r="936" spans="1:6" x14ac:dyDescent="0.35">
      <c r="A936" t="s">
        <v>2856</v>
      </c>
      <c r="B936" t="s">
        <v>2865</v>
      </c>
      <c r="C936" t="s">
        <v>1411</v>
      </c>
      <c r="D936" t="s">
        <v>2906</v>
      </c>
      <c r="E936">
        <v>0</v>
      </c>
      <c r="F936" s="11">
        <v>0</v>
      </c>
    </row>
    <row r="937" spans="1:6" x14ac:dyDescent="0.35">
      <c r="A937" t="s">
        <v>2856</v>
      </c>
      <c r="B937" t="s">
        <v>2865</v>
      </c>
      <c r="C937" t="s">
        <v>1411</v>
      </c>
      <c r="D937" t="s">
        <v>2907</v>
      </c>
      <c r="E937">
        <v>27551</v>
      </c>
      <c r="F937" s="11">
        <v>1</v>
      </c>
    </row>
    <row r="938" spans="1:6" x14ac:dyDescent="0.35">
      <c r="A938" t="s">
        <v>2856</v>
      </c>
      <c r="B938" t="s">
        <v>2865</v>
      </c>
      <c r="C938" t="s">
        <v>1411</v>
      </c>
      <c r="D938" t="s">
        <v>2908</v>
      </c>
      <c r="E938">
        <v>0</v>
      </c>
      <c r="F938" s="11">
        <v>0</v>
      </c>
    </row>
    <row r="939" spans="1:6" x14ac:dyDescent="0.35">
      <c r="A939" t="s">
        <v>2856</v>
      </c>
      <c r="B939" t="s">
        <v>2865</v>
      </c>
      <c r="C939" t="s">
        <v>1411</v>
      </c>
      <c r="D939" t="s">
        <v>2909</v>
      </c>
      <c r="E939">
        <v>0</v>
      </c>
      <c r="F939" s="11">
        <v>0</v>
      </c>
    </row>
    <row r="940" spans="1:6" x14ac:dyDescent="0.35">
      <c r="A940" t="s">
        <v>2856</v>
      </c>
      <c r="B940" t="s">
        <v>2865</v>
      </c>
      <c r="C940" t="s">
        <v>1411</v>
      </c>
      <c r="D940" t="s">
        <v>2910</v>
      </c>
      <c r="E940">
        <v>0</v>
      </c>
      <c r="F940" s="11">
        <v>0</v>
      </c>
    </row>
    <row r="941" spans="1:6" x14ac:dyDescent="0.35">
      <c r="A941" t="s">
        <v>2856</v>
      </c>
      <c r="B941" t="s">
        <v>2865</v>
      </c>
      <c r="C941" t="s">
        <v>1411</v>
      </c>
      <c r="D941" t="s">
        <v>2911</v>
      </c>
      <c r="E941">
        <v>226533</v>
      </c>
      <c r="F941" s="11">
        <v>1</v>
      </c>
    </row>
    <row r="942" spans="1:6" x14ac:dyDescent="0.35">
      <c r="A942" t="s">
        <v>2856</v>
      </c>
      <c r="B942" t="s">
        <v>2865</v>
      </c>
      <c r="C942" t="s">
        <v>1411</v>
      </c>
      <c r="D942" t="s">
        <v>2912</v>
      </c>
      <c r="E942">
        <v>0</v>
      </c>
      <c r="F942" s="11">
        <v>0</v>
      </c>
    </row>
    <row r="943" spans="1:6" x14ac:dyDescent="0.35">
      <c r="A943" t="s">
        <v>2856</v>
      </c>
      <c r="B943" t="s">
        <v>2865</v>
      </c>
      <c r="C943" t="s">
        <v>1411</v>
      </c>
      <c r="D943" t="s">
        <v>2913</v>
      </c>
      <c r="E943">
        <v>4</v>
      </c>
      <c r="F943" s="11">
        <v>0</v>
      </c>
    </row>
    <row r="944" spans="1:6" x14ac:dyDescent="0.35">
      <c r="A944" t="s">
        <v>2856</v>
      </c>
      <c r="B944" t="s">
        <v>2865</v>
      </c>
      <c r="C944" t="s">
        <v>1411</v>
      </c>
      <c r="D944" t="s">
        <v>2914</v>
      </c>
      <c r="E944">
        <v>0</v>
      </c>
      <c r="F944" s="11">
        <v>0</v>
      </c>
    </row>
    <row r="945" spans="1:6" x14ac:dyDescent="0.35">
      <c r="A945" t="s">
        <v>2856</v>
      </c>
      <c r="B945" t="s">
        <v>2865</v>
      </c>
      <c r="C945" t="s">
        <v>1411</v>
      </c>
      <c r="D945" t="s">
        <v>2915</v>
      </c>
      <c r="E945">
        <v>1716</v>
      </c>
      <c r="F945" s="11">
        <v>1</v>
      </c>
    </row>
    <row r="946" spans="1:6" x14ac:dyDescent="0.35">
      <c r="A946" t="s">
        <v>2856</v>
      </c>
      <c r="B946" t="s">
        <v>2865</v>
      </c>
      <c r="C946" t="s">
        <v>1411</v>
      </c>
      <c r="D946" t="s">
        <v>2916</v>
      </c>
      <c r="E946">
        <v>8645</v>
      </c>
      <c r="F946" s="11">
        <v>1</v>
      </c>
    </row>
    <row r="947" spans="1:6" x14ac:dyDescent="0.35">
      <c r="A947" t="s">
        <v>2856</v>
      </c>
      <c r="B947" t="s">
        <v>2865</v>
      </c>
      <c r="C947" t="s">
        <v>1411</v>
      </c>
      <c r="D947" t="s">
        <v>2917</v>
      </c>
      <c r="E947">
        <v>0</v>
      </c>
      <c r="F947" s="11">
        <v>0</v>
      </c>
    </row>
    <row r="948" spans="1:6" x14ac:dyDescent="0.35">
      <c r="A948" t="s">
        <v>2856</v>
      </c>
      <c r="B948" t="s">
        <v>2863</v>
      </c>
      <c r="C948" t="s">
        <v>1469</v>
      </c>
      <c r="D948" t="s">
        <v>2875</v>
      </c>
      <c r="E948">
        <v>80930</v>
      </c>
      <c r="F948" s="11">
        <v>1</v>
      </c>
    </row>
    <row r="949" spans="1:6" x14ac:dyDescent="0.35">
      <c r="A949" t="s">
        <v>2856</v>
      </c>
      <c r="B949" t="s">
        <v>2863</v>
      </c>
      <c r="C949" t="s">
        <v>1469</v>
      </c>
      <c r="D949" t="s">
        <v>2876</v>
      </c>
      <c r="E949">
        <v>23319</v>
      </c>
      <c r="F949" s="11">
        <v>1</v>
      </c>
    </row>
    <row r="950" spans="1:6" x14ac:dyDescent="0.35">
      <c r="A950" t="s">
        <v>2856</v>
      </c>
      <c r="B950" t="s">
        <v>2863</v>
      </c>
      <c r="C950" t="s">
        <v>1469</v>
      </c>
      <c r="D950" t="s">
        <v>2877</v>
      </c>
      <c r="E950">
        <v>5835</v>
      </c>
      <c r="F950" s="11">
        <v>1</v>
      </c>
    </row>
    <row r="951" spans="1:6" x14ac:dyDescent="0.35">
      <c r="A951" t="s">
        <v>2856</v>
      </c>
      <c r="B951" t="s">
        <v>2863</v>
      </c>
      <c r="C951" t="s">
        <v>1469</v>
      </c>
      <c r="D951" t="s">
        <v>2878</v>
      </c>
      <c r="E951">
        <v>51776</v>
      </c>
      <c r="F951" s="11">
        <v>1</v>
      </c>
    </row>
    <row r="952" spans="1:6" x14ac:dyDescent="0.35">
      <c r="A952" t="s">
        <v>2856</v>
      </c>
      <c r="B952" t="s">
        <v>2863</v>
      </c>
      <c r="C952" t="s">
        <v>1469</v>
      </c>
      <c r="D952" t="s">
        <v>2879</v>
      </c>
      <c r="E952">
        <v>12002</v>
      </c>
      <c r="F952" s="11">
        <v>1</v>
      </c>
    </row>
    <row r="953" spans="1:6" x14ac:dyDescent="0.35">
      <c r="A953" t="s">
        <v>2856</v>
      </c>
      <c r="B953" t="s">
        <v>2863</v>
      </c>
      <c r="C953" t="s">
        <v>1469</v>
      </c>
      <c r="D953" t="s">
        <v>2880</v>
      </c>
      <c r="E953">
        <v>0</v>
      </c>
      <c r="F953" s="11">
        <v>0</v>
      </c>
    </row>
    <row r="954" spans="1:6" x14ac:dyDescent="0.35">
      <c r="A954" t="s">
        <v>2856</v>
      </c>
      <c r="B954" t="s">
        <v>2863</v>
      </c>
      <c r="C954" t="s">
        <v>1469</v>
      </c>
      <c r="D954" t="s">
        <v>2881</v>
      </c>
      <c r="E954">
        <v>0</v>
      </c>
      <c r="F954" s="11">
        <v>0</v>
      </c>
    </row>
    <row r="955" spans="1:6" x14ac:dyDescent="0.35">
      <c r="A955" t="s">
        <v>2856</v>
      </c>
      <c r="B955" t="s">
        <v>2863</v>
      </c>
      <c r="C955" t="s">
        <v>1469</v>
      </c>
      <c r="D955" t="s">
        <v>2882</v>
      </c>
      <c r="E955">
        <v>0</v>
      </c>
      <c r="F955" s="11">
        <v>0</v>
      </c>
    </row>
    <row r="956" spans="1:6" x14ac:dyDescent="0.35">
      <c r="A956" t="s">
        <v>2856</v>
      </c>
      <c r="B956" t="s">
        <v>2863</v>
      </c>
      <c r="C956" t="s">
        <v>1469</v>
      </c>
      <c r="D956" t="s">
        <v>2883</v>
      </c>
      <c r="E956">
        <v>0</v>
      </c>
      <c r="F956" s="11">
        <v>0</v>
      </c>
    </row>
    <row r="957" spans="1:6" x14ac:dyDescent="0.35">
      <c r="A957" t="s">
        <v>2856</v>
      </c>
      <c r="B957" t="s">
        <v>2863</v>
      </c>
      <c r="C957" t="s">
        <v>1469</v>
      </c>
      <c r="D957" t="s">
        <v>2884</v>
      </c>
      <c r="E957">
        <v>0</v>
      </c>
      <c r="F957" s="11">
        <v>0</v>
      </c>
    </row>
    <row r="958" spans="1:6" x14ac:dyDescent="0.35">
      <c r="A958" t="s">
        <v>2856</v>
      </c>
      <c r="B958" t="s">
        <v>2863</v>
      </c>
      <c r="C958" t="s">
        <v>1469</v>
      </c>
      <c r="D958" t="s">
        <v>2885</v>
      </c>
      <c r="E958">
        <v>0</v>
      </c>
      <c r="F958" s="11">
        <v>0</v>
      </c>
    </row>
    <row r="959" spans="1:6" x14ac:dyDescent="0.35">
      <c r="A959" t="s">
        <v>2856</v>
      </c>
      <c r="B959" t="s">
        <v>2863</v>
      </c>
      <c r="C959" t="s">
        <v>1469</v>
      </c>
      <c r="D959" t="s">
        <v>2886</v>
      </c>
      <c r="E959">
        <v>0</v>
      </c>
      <c r="F959" s="11">
        <v>0</v>
      </c>
    </row>
    <row r="960" spans="1:6" x14ac:dyDescent="0.35">
      <c r="A960" t="s">
        <v>2856</v>
      </c>
      <c r="B960" t="s">
        <v>2863</v>
      </c>
      <c r="C960" t="s">
        <v>1469</v>
      </c>
      <c r="D960" t="s">
        <v>2887</v>
      </c>
      <c r="E960">
        <v>55393</v>
      </c>
      <c r="F960" s="11">
        <v>1</v>
      </c>
    </row>
    <row r="961" spans="1:6" x14ac:dyDescent="0.35">
      <c r="A961" t="s">
        <v>2856</v>
      </c>
      <c r="B961" t="s">
        <v>2863</v>
      </c>
      <c r="C961" t="s">
        <v>1469</v>
      </c>
      <c r="D961" t="s">
        <v>2888</v>
      </c>
      <c r="E961">
        <v>29302</v>
      </c>
      <c r="F961" s="11">
        <v>1</v>
      </c>
    </row>
    <row r="962" spans="1:6" x14ac:dyDescent="0.35">
      <c r="A962" t="s">
        <v>2856</v>
      </c>
      <c r="B962" t="s">
        <v>2863</v>
      </c>
      <c r="C962" t="s">
        <v>1469</v>
      </c>
      <c r="D962" t="s">
        <v>2889</v>
      </c>
      <c r="E962">
        <v>26091</v>
      </c>
      <c r="F962" s="11">
        <v>0</v>
      </c>
    </row>
    <row r="963" spans="1:6" x14ac:dyDescent="0.35">
      <c r="A963" t="s">
        <v>2856</v>
      </c>
      <c r="B963" t="s">
        <v>2863</v>
      </c>
      <c r="C963" t="s">
        <v>1469</v>
      </c>
      <c r="D963" t="s">
        <v>2890</v>
      </c>
      <c r="E963">
        <v>0</v>
      </c>
      <c r="F963" s="11">
        <v>1</v>
      </c>
    </row>
    <row r="964" spans="1:6" x14ac:dyDescent="0.35">
      <c r="A964" t="s">
        <v>2856</v>
      </c>
      <c r="B964" t="s">
        <v>2863</v>
      </c>
      <c r="C964" t="s">
        <v>1469</v>
      </c>
      <c r="D964" t="s">
        <v>2891</v>
      </c>
      <c r="E964">
        <v>0</v>
      </c>
      <c r="F964" s="11">
        <v>0</v>
      </c>
    </row>
    <row r="965" spans="1:6" x14ac:dyDescent="0.35">
      <c r="A965" t="s">
        <v>2856</v>
      </c>
      <c r="B965" t="s">
        <v>2863</v>
      </c>
      <c r="C965" t="s">
        <v>1469</v>
      </c>
      <c r="D965" t="s">
        <v>2892</v>
      </c>
      <c r="E965">
        <v>0</v>
      </c>
      <c r="F965" s="11">
        <v>0</v>
      </c>
    </row>
    <row r="966" spans="1:6" x14ac:dyDescent="0.35">
      <c r="A966" t="s">
        <v>2856</v>
      </c>
      <c r="B966" t="s">
        <v>2863</v>
      </c>
      <c r="C966" t="s">
        <v>1469</v>
      </c>
      <c r="D966" t="s">
        <v>2893</v>
      </c>
      <c r="E966">
        <v>0</v>
      </c>
      <c r="F966" s="11">
        <v>0</v>
      </c>
    </row>
    <row r="967" spans="1:6" x14ac:dyDescent="0.35">
      <c r="A967" t="s">
        <v>2856</v>
      </c>
      <c r="B967" t="s">
        <v>2863</v>
      </c>
      <c r="C967" t="s">
        <v>1469</v>
      </c>
      <c r="D967" t="s">
        <v>2894</v>
      </c>
      <c r="E967">
        <v>0</v>
      </c>
      <c r="F967" s="11">
        <v>0</v>
      </c>
    </row>
    <row r="968" spans="1:6" x14ac:dyDescent="0.35">
      <c r="A968" t="s">
        <v>2856</v>
      </c>
      <c r="B968" t="s">
        <v>2863</v>
      </c>
      <c r="C968" t="s">
        <v>1469</v>
      </c>
      <c r="D968" t="s">
        <v>2895</v>
      </c>
      <c r="E968">
        <v>1640246</v>
      </c>
      <c r="F968" s="11">
        <v>1</v>
      </c>
    </row>
    <row r="969" spans="1:6" x14ac:dyDescent="0.35">
      <c r="A969" t="s">
        <v>2856</v>
      </c>
      <c r="B969" t="s">
        <v>2863</v>
      </c>
      <c r="C969" t="s">
        <v>1469</v>
      </c>
      <c r="D969" t="s">
        <v>2896</v>
      </c>
      <c r="E969">
        <v>970788</v>
      </c>
      <c r="F969" s="11">
        <v>1</v>
      </c>
    </row>
    <row r="970" spans="1:6" x14ac:dyDescent="0.35">
      <c r="A970" t="s">
        <v>2856</v>
      </c>
      <c r="B970" t="s">
        <v>2863</v>
      </c>
      <c r="C970" t="s">
        <v>1469</v>
      </c>
      <c r="D970" t="s">
        <v>2897</v>
      </c>
      <c r="E970">
        <v>655794</v>
      </c>
      <c r="F970" s="11">
        <v>1</v>
      </c>
    </row>
    <row r="971" spans="1:6" x14ac:dyDescent="0.35">
      <c r="A971" t="s">
        <v>2856</v>
      </c>
      <c r="B971" t="s">
        <v>2863</v>
      </c>
      <c r="C971" t="s">
        <v>1469</v>
      </c>
      <c r="D971" t="s">
        <v>2898</v>
      </c>
      <c r="E971">
        <v>13664</v>
      </c>
      <c r="F971" s="11">
        <v>1</v>
      </c>
    </row>
    <row r="972" spans="1:6" x14ac:dyDescent="0.35">
      <c r="A972" t="s">
        <v>2856</v>
      </c>
      <c r="B972" t="s">
        <v>2863</v>
      </c>
      <c r="C972" t="s">
        <v>1469</v>
      </c>
      <c r="D972" t="s">
        <v>2899</v>
      </c>
      <c r="E972">
        <v>30079</v>
      </c>
      <c r="F972" s="11">
        <v>1</v>
      </c>
    </row>
    <row r="973" spans="1:6" x14ac:dyDescent="0.35">
      <c r="A973" t="s">
        <v>2856</v>
      </c>
      <c r="B973" t="s">
        <v>2863</v>
      </c>
      <c r="C973" t="s">
        <v>1469</v>
      </c>
      <c r="D973" t="s">
        <v>2900</v>
      </c>
      <c r="E973">
        <v>27525</v>
      </c>
      <c r="F973" s="11">
        <v>1</v>
      </c>
    </row>
    <row r="974" spans="1:6" x14ac:dyDescent="0.35">
      <c r="A974" t="s">
        <v>2856</v>
      </c>
      <c r="B974" t="s">
        <v>2863</v>
      </c>
      <c r="C974" t="s">
        <v>1469</v>
      </c>
      <c r="D974" t="s">
        <v>2901</v>
      </c>
      <c r="E974">
        <v>2495</v>
      </c>
      <c r="F974" s="11">
        <v>1</v>
      </c>
    </row>
    <row r="975" spans="1:6" x14ac:dyDescent="0.35">
      <c r="A975" t="s">
        <v>2856</v>
      </c>
      <c r="B975" t="s">
        <v>2863</v>
      </c>
      <c r="C975" t="s">
        <v>1469</v>
      </c>
      <c r="D975" t="s">
        <v>2902</v>
      </c>
      <c r="E975">
        <v>59</v>
      </c>
      <c r="F975" s="11">
        <v>1</v>
      </c>
    </row>
    <row r="976" spans="1:6" x14ac:dyDescent="0.35">
      <c r="A976" t="s">
        <v>2856</v>
      </c>
      <c r="B976" t="s">
        <v>2863</v>
      </c>
      <c r="C976" t="s">
        <v>1469</v>
      </c>
      <c r="D976" t="s">
        <v>2903</v>
      </c>
      <c r="E976">
        <v>122486</v>
      </c>
      <c r="F976" s="11">
        <v>1</v>
      </c>
    </row>
    <row r="977" spans="1:6" x14ac:dyDescent="0.35">
      <c r="A977" t="s">
        <v>2856</v>
      </c>
      <c r="B977" t="s">
        <v>2863</v>
      </c>
      <c r="C977" t="s">
        <v>1469</v>
      </c>
      <c r="D977" t="s">
        <v>2904</v>
      </c>
      <c r="E977">
        <v>110037</v>
      </c>
      <c r="F977" s="11">
        <v>1</v>
      </c>
    </row>
    <row r="978" spans="1:6" x14ac:dyDescent="0.35">
      <c r="A978" t="s">
        <v>2856</v>
      </c>
      <c r="B978" t="s">
        <v>2863</v>
      </c>
      <c r="C978" t="s">
        <v>1469</v>
      </c>
      <c r="D978" t="s">
        <v>2905</v>
      </c>
      <c r="E978">
        <v>7586</v>
      </c>
      <c r="F978" s="11">
        <v>1</v>
      </c>
    </row>
    <row r="979" spans="1:6" x14ac:dyDescent="0.35">
      <c r="A979" t="s">
        <v>2856</v>
      </c>
      <c r="B979" t="s">
        <v>2863</v>
      </c>
      <c r="C979" t="s">
        <v>1469</v>
      </c>
      <c r="D979" t="s">
        <v>2906</v>
      </c>
      <c r="E979">
        <v>4863</v>
      </c>
      <c r="F979" s="11">
        <v>1</v>
      </c>
    </row>
    <row r="980" spans="1:6" x14ac:dyDescent="0.35">
      <c r="A980" t="s">
        <v>2856</v>
      </c>
      <c r="B980" t="s">
        <v>2863</v>
      </c>
      <c r="C980" t="s">
        <v>1469</v>
      </c>
      <c r="D980" t="s">
        <v>2907</v>
      </c>
      <c r="E980">
        <v>173978</v>
      </c>
      <c r="F980" s="11">
        <v>1</v>
      </c>
    </row>
    <row r="981" spans="1:6" x14ac:dyDescent="0.35">
      <c r="A981" t="s">
        <v>2856</v>
      </c>
      <c r="B981" t="s">
        <v>2863</v>
      </c>
      <c r="C981" t="s">
        <v>1469</v>
      </c>
      <c r="D981" t="s">
        <v>2908</v>
      </c>
      <c r="E981">
        <v>149380</v>
      </c>
      <c r="F981" s="11">
        <v>1</v>
      </c>
    </row>
    <row r="982" spans="1:6" x14ac:dyDescent="0.35">
      <c r="A982" t="s">
        <v>2856</v>
      </c>
      <c r="B982" t="s">
        <v>2863</v>
      </c>
      <c r="C982" t="s">
        <v>1469</v>
      </c>
      <c r="D982" t="s">
        <v>2909</v>
      </c>
      <c r="E982">
        <v>18994</v>
      </c>
      <c r="F982" s="11">
        <v>1</v>
      </c>
    </row>
    <row r="983" spans="1:6" x14ac:dyDescent="0.35">
      <c r="A983" t="s">
        <v>2856</v>
      </c>
      <c r="B983" t="s">
        <v>2863</v>
      </c>
      <c r="C983" t="s">
        <v>1469</v>
      </c>
      <c r="D983" t="s">
        <v>2910</v>
      </c>
      <c r="E983">
        <v>5987</v>
      </c>
      <c r="F983" s="11">
        <v>1</v>
      </c>
    </row>
    <row r="984" spans="1:6" x14ac:dyDescent="0.35">
      <c r="A984" t="s">
        <v>2856</v>
      </c>
      <c r="B984" t="s">
        <v>2863</v>
      </c>
      <c r="C984" t="s">
        <v>1469</v>
      </c>
      <c r="D984" t="s">
        <v>2911</v>
      </c>
      <c r="E984">
        <v>895548</v>
      </c>
      <c r="F984" s="11">
        <v>1</v>
      </c>
    </row>
    <row r="985" spans="1:6" x14ac:dyDescent="0.35">
      <c r="A985" t="s">
        <v>2856</v>
      </c>
      <c r="B985" t="s">
        <v>2863</v>
      </c>
      <c r="C985" t="s">
        <v>1469</v>
      </c>
      <c r="D985" t="s">
        <v>2912</v>
      </c>
      <c r="E985">
        <v>413902</v>
      </c>
      <c r="F985" s="11">
        <v>1</v>
      </c>
    </row>
    <row r="986" spans="1:6" x14ac:dyDescent="0.35">
      <c r="A986" t="s">
        <v>2856</v>
      </c>
      <c r="B986" t="s">
        <v>2863</v>
      </c>
      <c r="C986" t="s">
        <v>1469</v>
      </c>
      <c r="D986" t="s">
        <v>2913</v>
      </c>
      <c r="E986">
        <v>0</v>
      </c>
      <c r="F986" s="11">
        <v>0</v>
      </c>
    </row>
    <row r="987" spans="1:6" x14ac:dyDescent="0.35">
      <c r="A987" t="s">
        <v>2856</v>
      </c>
      <c r="B987" t="s">
        <v>2863</v>
      </c>
      <c r="C987" t="s">
        <v>1469</v>
      </c>
      <c r="D987" t="s">
        <v>2914</v>
      </c>
      <c r="E987">
        <v>0</v>
      </c>
      <c r="F987" s="11">
        <v>0</v>
      </c>
    </row>
    <row r="988" spans="1:6" x14ac:dyDescent="0.35">
      <c r="A988" t="s">
        <v>2856</v>
      </c>
      <c r="B988" t="s">
        <v>2863</v>
      </c>
      <c r="C988" t="s">
        <v>1469</v>
      </c>
      <c r="D988" t="s">
        <v>2915</v>
      </c>
      <c r="E988">
        <v>0</v>
      </c>
      <c r="F988" s="11">
        <v>0</v>
      </c>
    </row>
    <row r="989" spans="1:6" x14ac:dyDescent="0.35">
      <c r="A989" t="s">
        <v>2856</v>
      </c>
      <c r="B989" t="s">
        <v>2863</v>
      </c>
      <c r="C989" t="s">
        <v>1469</v>
      </c>
      <c r="D989" t="s">
        <v>2916</v>
      </c>
      <c r="E989">
        <v>90924</v>
      </c>
      <c r="F989" s="11">
        <v>1</v>
      </c>
    </row>
    <row r="990" spans="1:6" x14ac:dyDescent="0.35">
      <c r="A990" t="s">
        <v>2856</v>
      </c>
      <c r="B990" t="s">
        <v>2863</v>
      </c>
      <c r="C990" t="s">
        <v>1469</v>
      </c>
      <c r="D990" t="s">
        <v>2917</v>
      </c>
      <c r="E990">
        <v>0</v>
      </c>
      <c r="F990" s="11">
        <v>0</v>
      </c>
    </row>
    <row r="991" spans="1:6" x14ac:dyDescent="0.35">
      <c r="A991" t="s">
        <v>2856</v>
      </c>
      <c r="B991" t="s">
        <v>2864</v>
      </c>
      <c r="C991" t="s">
        <v>1478</v>
      </c>
      <c r="D991" t="s">
        <v>2875</v>
      </c>
      <c r="E991">
        <v>113661</v>
      </c>
      <c r="F991" s="11">
        <v>1</v>
      </c>
    </row>
    <row r="992" spans="1:6" x14ac:dyDescent="0.35">
      <c r="A992" t="s">
        <v>2856</v>
      </c>
      <c r="B992" t="s">
        <v>2864</v>
      </c>
      <c r="C992" t="s">
        <v>1478</v>
      </c>
      <c r="D992" t="s">
        <v>2876</v>
      </c>
      <c r="E992">
        <v>26536</v>
      </c>
      <c r="F992" s="11">
        <v>1</v>
      </c>
    </row>
    <row r="993" spans="1:6" x14ac:dyDescent="0.35">
      <c r="A993" t="s">
        <v>2856</v>
      </c>
      <c r="B993" t="s">
        <v>2864</v>
      </c>
      <c r="C993" t="s">
        <v>1478</v>
      </c>
      <c r="D993" t="s">
        <v>2877</v>
      </c>
      <c r="E993">
        <v>79448</v>
      </c>
      <c r="F993" s="11">
        <v>1</v>
      </c>
    </row>
    <row r="994" spans="1:6" x14ac:dyDescent="0.35">
      <c r="A994" t="s">
        <v>2856</v>
      </c>
      <c r="B994" t="s">
        <v>2864</v>
      </c>
      <c r="C994" t="s">
        <v>1478</v>
      </c>
      <c r="D994" t="s">
        <v>2878</v>
      </c>
      <c r="E994">
        <v>7677</v>
      </c>
      <c r="F994" s="11">
        <v>1</v>
      </c>
    </row>
    <row r="995" spans="1:6" x14ac:dyDescent="0.35">
      <c r="A995" t="s">
        <v>2856</v>
      </c>
      <c r="B995" t="s">
        <v>2864</v>
      </c>
      <c r="C995" t="s">
        <v>1478</v>
      </c>
      <c r="D995" t="s">
        <v>2879</v>
      </c>
      <c r="E995">
        <v>12394</v>
      </c>
      <c r="F995" s="11">
        <v>1</v>
      </c>
    </row>
    <row r="996" spans="1:6" x14ac:dyDescent="0.35">
      <c r="A996" t="s">
        <v>2856</v>
      </c>
      <c r="B996" t="s">
        <v>2864</v>
      </c>
      <c r="C996" t="s">
        <v>1478</v>
      </c>
      <c r="D996" t="s">
        <v>2880</v>
      </c>
      <c r="E996">
        <v>4027</v>
      </c>
      <c r="F996" s="11">
        <v>1</v>
      </c>
    </row>
    <row r="997" spans="1:6" x14ac:dyDescent="0.35">
      <c r="A997" t="s">
        <v>2856</v>
      </c>
      <c r="B997" t="s">
        <v>2864</v>
      </c>
      <c r="C997" t="s">
        <v>1478</v>
      </c>
      <c r="D997" t="s">
        <v>2881</v>
      </c>
      <c r="E997">
        <v>4406</v>
      </c>
      <c r="F997" s="11">
        <v>1</v>
      </c>
    </row>
    <row r="998" spans="1:6" x14ac:dyDescent="0.35">
      <c r="A998" t="s">
        <v>2856</v>
      </c>
      <c r="B998" t="s">
        <v>2864</v>
      </c>
      <c r="C998" t="s">
        <v>1478</v>
      </c>
      <c r="D998" t="s">
        <v>2882</v>
      </c>
      <c r="E998">
        <v>129</v>
      </c>
      <c r="F998" s="11">
        <v>1</v>
      </c>
    </row>
    <row r="999" spans="1:6" x14ac:dyDescent="0.35">
      <c r="A999" t="s">
        <v>2856</v>
      </c>
      <c r="B999" t="s">
        <v>2864</v>
      </c>
      <c r="C999" t="s">
        <v>1478</v>
      </c>
      <c r="D999" t="s">
        <v>2883</v>
      </c>
      <c r="E999">
        <v>0</v>
      </c>
      <c r="F999" s="11">
        <v>0</v>
      </c>
    </row>
    <row r="1000" spans="1:6" x14ac:dyDescent="0.35">
      <c r="A1000" t="s">
        <v>2856</v>
      </c>
      <c r="B1000" t="s">
        <v>2864</v>
      </c>
      <c r="C1000" t="s">
        <v>1478</v>
      </c>
      <c r="D1000" t="s">
        <v>2884</v>
      </c>
      <c r="E1000">
        <v>0</v>
      </c>
      <c r="F1000" s="11">
        <v>0</v>
      </c>
    </row>
    <row r="1001" spans="1:6" x14ac:dyDescent="0.35">
      <c r="A1001" t="s">
        <v>2856</v>
      </c>
      <c r="B1001" t="s">
        <v>2864</v>
      </c>
      <c r="C1001" t="s">
        <v>1478</v>
      </c>
      <c r="D1001" t="s">
        <v>2885</v>
      </c>
      <c r="E1001">
        <v>0</v>
      </c>
      <c r="F1001" s="11">
        <v>0</v>
      </c>
    </row>
    <row r="1002" spans="1:6" x14ac:dyDescent="0.35">
      <c r="A1002" t="s">
        <v>2856</v>
      </c>
      <c r="B1002" t="s">
        <v>2864</v>
      </c>
      <c r="C1002" t="s">
        <v>1478</v>
      </c>
      <c r="D1002" t="s">
        <v>2886</v>
      </c>
      <c r="E1002">
        <v>0</v>
      </c>
      <c r="F1002" s="11">
        <v>0</v>
      </c>
    </row>
    <row r="1003" spans="1:6" x14ac:dyDescent="0.35">
      <c r="A1003" t="s">
        <v>2856</v>
      </c>
      <c r="B1003" t="s">
        <v>2864</v>
      </c>
      <c r="C1003" t="s">
        <v>1478</v>
      </c>
      <c r="D1003" t="s">
        <v>2887</v>
      </c>
      <c r="E1003">
        <v>129562</v>
      </c>
      <c r="F1003" s="11">
        <v>1</v>
      </c>
    </row>
    <row r="1004" spans="1:6" x14ac:dyDescent="0.35">
      <c r="A1004" t="s">
        <v>2856</v>
      </c>
      <c r="B1004" t="s">
        <v>2864</v>
      </c>
      <c r="C1004" t="s">
        <v>1478</v>
      </c>
      <c r="D1004" t="s">
        <v>2888</v>
      </c>
      <c r="E1004">
        <v>1257</v>
      </c>
      <c r="F1004" s="11">
        <v>0</v>
      </c>
    </row>
    <row r="1005" spans="1:6" x14ac:dyDescent="0.35">
      <c r="A1005" t="s">
        <v>2856</v>
      </c>
      <c r="B1005" t="s">
        <v>2864</v>
      </c>
      <c r="C1005" t="s">
        <v>1478</v>
      </c>
      <c r="D1005" t="s">
        <v>2889</v>
      </c>
      <c r="E1005">
        <v>139234</v>
      </c>
      <c r="F1005" s="11">
        <v>0</v>
      </c>
    </row>
    <row r="1006" spans="1:6" x14ac:dyDescent="0.35">
      <c r="A1006" t="s">
        <v>2856</v>
      </c>
      <c r="B1006" t="s">
        <v>2864</v>
      </c>
      <c r="C1006" t="s">
        <v>1478</v>
      </c>
      <c r="D1006" t="s">
        <v>2890</v>
      </c>
      <c r="E1006">
        <v>2314</v>
      </c>
      <c r="F1006" s="11">
        <v>1</v>
      </c>
    </row>
    <row r="1007" spans="1:6" x14ac:dyDescent="0.35">
      <c r="A1007" t="s">
        <v>2856</v>
      </c>
      <c r="B1007" t="s">
        <v>2864</v>
      </c>
      <c r="C1007" t="s">
        <v>1478</v>
      </c>
      <c r="D1007" t="s">
        <v>2891</v>
      </c>
      <c r="E1007">
        <v>0</v>
      </c>
      <c r="F1007" s="11">
        <v>0</v>
      </c>
    </row>
    <row r="1008" spans="1:6" x14ac:dyDescent="0.35">
      <c r="A1008" t="s">
        <v>2856</v>
      </c>
      <c r="B1008" t="s">
        <v>2864</v>
      </c>
      <c r="C1008" t="s">
        <v>1478</v>
      </c>
      <c r="D1008" t="s">
        <v>2892</v>
      </c>
      <c r="E1008">
        <v>0</v>
      </c>
      <c r="F1008" s="11">
        <v>0</v>
      </c>
    </row>
    <row r="1009" spans="1:6" x14ac:dyDescent="0.35">
      <c r="A1009" t="s">
        <v>2856</v>
      </c>
      <c r="B1009" t="s">
        <v>2864</v>
      </c>
      <c r="C1009" t="s">
        <v>1478</v>
      </c>
      <c r="D1009" t="s">
        <v>2893</v>
      </c>
      <c r="E1009">
        <v>0</v>
      </c>
      <c r="F1009" s="11">
        <v>0</v>
      </c>
    </row>
    <row r="1010" spans="1:6" x14ac:dyDescent="0.35">
      <c r="A1010" t="s">
        <v>2856</v>
      </c>
      <c r="B1010" t="s">
        <v>2864</v>
      </c>
      <c r="C1010" t="s">
        <v>1478</v>
      </c>
      <c r="D1010" t="s">
        <v>2894</v>
      </c>
      <c r="E1010">
        <v>0</v>
      </c>
      <c r="F1010" s="11">
        <v>0</v>
      </c>
    </row>
    <row r="1011" spans="1:6" x14ac:dyDescent="0.35">
      <c r="A1011" t="s">
        <v>2856</v>
      </c>
      <c r="B1011" t="s">
        <v>2864</v>
      </c>
      <c r="C1011" t="s">
        <v>1478</v>
      </c>
      <c r="D1011" t="s">
        <v>2895</v>
      </c>
      <c r="E1011">
        <v>2389714</v>
      </c>
      <c r="F1011" s="11">
        <v>1</v>
      </c>
    </row>
    <row r="1012" spans="1:6" x14ac:dyDescent="0.35">
      <c r="A1012" t="s">
        <v>2856</v>
      </c>
      <c r="B1012" t="s">
        <v>2864</v>
      </c>
      <c r="C1012" t="s">
        <v>1478</v>
      </c>
      <c r="D1012" t="s">
        <v>2896</v>
      </c>
      <c r="E1012">
        <v>729135</v>
      </c>
      <c r="F1012" s="11">
        <v>1</v>
      </c>
    </row>
    <row r="1013" spans="1:6" x14ac:dyDescent="0.35">
      <c r="A1013" t="s">
        <v>2856</v>
      </c>
      <c r="B1013" t="s">
        <v>2864</v>
      </c>
      <c r="C1013" t="s">
        <v>1478</v>
      </c>
      <c r="D1013" t="s">
        <v>2897</v>
      </c>
      <c r="E1013">
        <v>567166</v>
      </c>
      <c r="F1013" s="11">
        <v>1</v>
      </c>
    </row>
    <row r="1014" spans="1:6" x14ac:dyDescent="0.35">
      <c r="A1014" t="s">
        <v>2856</v>
      </c>
      <c r="B1014" t="s">
        <v>2864</v>
      </c>
      <c r="C1014" t="s">
        <v>1478</v>
      </c>
      <c r="D1014" t="s">
        <v>2898</v>
      </c>
      <c r="E1014">
        <v>18939</v>
      </c>
      <c r="F1014" s="11">
        <v>1</v>
      </c>
    </row>
    <row r="1015" spans="1:6" x14ac:dyDescent="0.35">
      <c r="A1015" t="s">
        <v>2856</v>
      </c>
      <c r="B1015" t="s">
        <v>2864</v>
      </c>
      <c r="C1015" t="s">
        <v>1478</v>
      </c>
      <c r="D1015" t="s">
        <v>2899</v>
      </c>
      <c r="E1015">
        <v>18939</v>
      </c>
      <c r="F1015" s="11">
        <v>1</v>
      </c>
    </row>
    <row r="1016" spans="1:6" x14ac:dyDescent="0.35">
      <c r="A1016" t="s">
        <v>2856</v>
      </c>
      <c r="B1016" t="s">
        <v>2864</v>
      </c>
      <c r="C1016" t="s">
        <v>1478</v>
      </c>
      <c r="D1016" t="s">
        <v>2900</v>
      </c>
      <c r="E1016">
        <v>18534</v>
      </c>
      <c r="F1016" s="11">
        <v>1</v>
      </c>
    </row>
    <row r="1017" spans="1:6" x14ac:dyDescent="0.35">
      <c r="A1017" t="s">
        <v>2856</v>
      </c>
      <c r="B1017" t="s">
        <v>2864</v>
      </c>
      <c r="C1017" t="s">
        <v>1478</v>
      </c>
      <c r="D1017" t="s">
        <v>2901</v>
      </c>
      <c r="E1017">
        <v>405</v>
      </c>
      <c r="F1017" s="11">
        <v>1</v>
      </c>
    </row>
    <row r="1018" spans="1:6" x14ac:dyDescent="0.35">
      <c r="A1018" t="s">
        <v>2856</v>
      </c>
      <c r="B1018" t="s">
        <v>2864</v>
      </c>
      <c r="C1018" t="s">
        <v>1478</v>
      </c>
      <c r="D1018" t="s">
        <v>2902</v>
      </c>
      <c r="E1018">
        <v>0</v>
      </c>
      <c r="F1018" s="11">
        <v>1</v>
      </c>
    </row>
    <row r="1019" spans="1:6" x14ac:dyDescent="0.35">
      <c r="A1019" t="s">
        <v>2856</v>
      </c>
      <c r="B1019" t="s">
        <v>2864</v>
      </c>
      <c r="C1019" t="s">
        <v>1478</v>
      </c>
      <c r="D1019" t="s">
        <v>2903</v>
      </c>
      <c r="E1019">
        <v>0</v>
      </c>
      <c r="F1019" s="11">
        <v>1</v>
      </c>
    </row>
    <row r="1020" spans="1:6" x14ac:dyDescent="0.35">
      <c r="A1020" t="s">
        <v>2856</v>
      </c>
      <c r="B1020" t="s">
        <v>2864</v>
      </c>
      <c r="C1020" t="s">
        <v>1478</v>
      </c>
      <c r="D1020" t="s">
        <v>2904</v>
      </c>
      <c r="E1020">
        <v>0</v>
      </c>
      <c r="F1020" s="11">
        <v>1</v>
      </c>
    </row>
    <row r="1021" spans="1:6" x14ac:dyDescent="0.35">
      <c r="A1021" t="s">
        <v>2856</v>
      </c>
      <c r="B1021" t="s">
        <v>2864</v>
      </c>
      <c r="C1021" t="s">
        <v>1478</v>
      </c>
      <c r="D1021" t="s">
        <v>2905</v>
      </c>
      <c r="E1021">
        <v>0</v>
      </c>
      <c r="F1021" s="11">
        <v>1</v>
      </c>
    </row>
    <row r="1022" spans="1:6" x14ac:dyDescent="0.35">
      <c r="A1022" t="s">
        <v>2856</v>
      </c>
      <c r="B1022" t="s">
        <v>2864</v>
      </c>
      <c r="C1022" t="s">
        <v>1478</v>
      </c>
      <c r="D1022" t="s">
        <v>2906</v>
      </c>
      <c r="E1022">
        <v>0</v>
      </c>
      <c r="F1022" s="11">
        <v>1</v>
      </c>
    </row>
    <row r="1023" spans="1:6" x14ac:dyDescent="0.35">
      <c r="A1023" t="s">
        <v>2856</v>
      </c>
      <c r="B1023" t="s">
        <v>2864</v>
      </c>
      <c r="C1023" t="s">
        <v>1478</v>
      </c>
      <c r="D1023" t="s">
        <v>2907</v>
      </c>
      <c r="E1023">
        <v>0</v>
      </c>
      <c r="F1023" s="11">
        <v>1</v>
      </c>
    </row>
    <row r="1024" spans="1:6" x14ac:dyDescent="0.35">
      <c r="A1024" t="s">
        <v>2856</v>
      </c>
      <c r="B1024" t="s">
        <v>2864</v>
      </c>
      <c r="C1024" t="s">
        <v>1478</v>
      </c>
      <c r="D1024" t="s">
        <v>2908</v>
      </c>
      <c r="E1024">
        <v>0</v>
      </c>
      <c r="F1024" s="11">
        <v>1</v>
      </c>
    </row>
    <row r="1025" spans="1:6" x14ac:dyDescent="0.35">
      <c r="A1025" t="s">
        <v>2856</v>
      </c>
      <c r="B1025" t="s">
        <v>2864</v>
      </c>
      <c r="C1025" t="s">
        <v>1478</v>
      </c>
      <c r="D1025" t="s">
        <v>2909</v>
      </c>
      <c r="E1025">
        <v>0</v>
      </c>
      <c r="F1025" s="11">
        <v>1</v>
      </c>
    </row>
    <row r="1026" spans="1:6" x14ac:dyDescent="0.35">
      <c r="A1026" t="s">
        <v>2856</v>
      </c>
      <c r="B1026" t="s">
        <v>2864</v>
      </c>
      <c r="C1026" t="s">
        <v>1478</v>
      </c>
      <c r="D1026" t="s">
        <v>2910</v>
      </c>
      <c r="E1026">
        <v>0</v>
      </c>
      <c r="F1026" s="11">
        <v>1</v>
      </c>
    </row>
    <row r="1027" spans="1:6" x14ac:dyDescent="0.35">
      <c r="A1027" t="s">
        <v>2856</v>
      </c>
      <c r="B1027" t="s">
        <v>2864</v>
      </c>
      <c r="C1027" t="s">
        <v>1478</v>
      </c>
      <c r="D1027" t="s">
        <v>2911</v>
      </c>
      <c r="E1027">
        <v>2215671</v>
      </c>
      <c r="F1027" s="11">
        <v>1</v>
      </c>
    </row>
    <row r="1028" spans="1:6" x14ac:dyDescent="0.35">
      <c r="A1028" t="s">
        <v>2856</v>
      </c>
      <c r="B1028" t="s">
        <v>2864</v>
      </c>
      <c r="C1028" t="s">
        <v>1478</v>
      </c>
      <c r="D1028" t="s">
        <v>2912</v>
      </c>
      <c r="E1028">
        <v>0</v>
      </c>
      <c r="F1028" s="11">
        <v>1</v>
      </c>
    </row>
    <row r="1029" spans="1:6" x14ac:dyDescent="0.35">
      <c r="A1029" t="s">
        <v>2856</v>
      </c>
      <c r="B1029" t="s">
        <v>2864</v>
      </c>
      <c r="C1029" t="s">
        <v>1478</v>
      </c>
      <c r="D1029" t="s">
        <v>2913</v>
      </c>
      <c r="E1029">
        <v>0</v>
      </c>
      <c r="F1029" s="11">
        <v>0</v>
      </c>
    </row>
    <row r="1030" spans="1:6" x14ac:dyDescent="0.35">
      <c r="A1030" t="s">
        <v>2856</v>
      </c>
      <c r="B1030" t="s">
        <v>2864</v>
      </c>
      <c r="C1030" t="s">
        <v>1478</v>
      </c>
      <c r="D1030" t="s">
        <v>2914</v>
      </c>
      <c r="E1030">
        <v>0</v>
      </c>
      <c r="F1030" s="11">
        <v>0</v>
      </c>
    </row>
    <row r="1031" spans="1:6" x14ac:dyDescent="0.35">
      <c r="A1031" t="s">
        <v>2856</v>
      </c>
      <c r="B1031" t="s">
        <v>2864</v>
      </c>
      <c r="C1031" t="s">
        <v>1478</v>
      </c>
      <c r="D1031" t="s">
        <v>2915</v>
      </c>
      <c r="E1031">
        <v>0</v>
      </c>
      <c r="F1031" s="11">
        <v>0</v>
      </c>
    </row>
    <row r="1032" spans="1:6" x14ac:dyDescent="0.35">
      <c r="A1032" t="s">
        <v>2856</v>
      </c>
      <c r="B1032" t="s">
        <v>2864</v>
      </c>
      <c r="C1032" t="s">
        <v>1478</v>
      </c>
      <c r="D1032" t="s">
        <v>2916</v>
      </c>
      <c r="E1032">
        <v>0</v>
      </c>
      <c r="F1032" s="11">
        <v>1</v>
      </c>
    </row>
    <row r="1033" spans="1:6" x14ac:dyDescent="0.35">
      <c r="A1033" t="s">
        <v>2856</v>
      </c>
      <c r="B1033" t="s">
        <v>2864</v>
      </c>
      <c r="C1033" t="s">
        <v>1478</v>
      </c>
      <c r="D1033" t="s">
        <v>2917</v>
      </c>
      <c r="E1033">
        <v>194104</v>
      </c>
      <c r="F1033" s="11">
        <v>1</v>
      </c>
    </row>
    <row r="1034" spans="1:6" x14ac:dyDescent="0.35">
      <c r="A1034" t="s">
        <v>2856</v>
      </c>
      <c r="B1034" t="s">
        <v>2865</v>
      </c>
      <c r="C1034" t="s">
        <v>1499</v>
      </c>
      <c r="D1034" t="s">
        <v>2875</v>
      </c>
      <c r="E1034">
        <v>19119</v>
      </c>
      <c r="F1034" s="11">
        <v>1</v>
      </c>
    </row>
    <row r="1035" spans="1:6" x14ac:dyDescent="0.35">
      <c r="A1035" t="s">
        <v>2856</v>
      </c>
      <c r="B1035" t="s">
        <v>2865</v>
      </c>
      <c r="C1035" t="s">
        <v>1499</v>
      </c>
      <c r="D1035" t="s">
        <v>2876</v>
      </c>
      <c r="E1035">
        <v>4477</v>
      </c>
      <c r="F1035" s="11">
        <v>1</v>
      </c>
    </row>
    <row r="1036" spans="1:6" x14ac:dyDescent="0.35">
      <c r="A1036" t="s">
        <v>2856</v>
      </c>
      <c r="B1036" t="s">
        <v>2865</v>
      </c>
      <c r="C1036" t="s">
        <v>1499</v>
      </c>
      <c r="D1036" t="s">
        <v>2877</v>
      </c>
      <c r="E1036">
        <v>13548</v>
      </c>
      <c r="F1036" s="11">
        <v>1</v>
      </c>
    </row>
    <row r="1037" spans="1:6" x14ac:dyDescent="0.35">
      <c r="A1037" t="s">
        <v>2856</v>
      </c>
      <c r="B1037" t="s">
        <v>2865</v>
      </c>
      <c r="C1037" t="s">
        <v>1499</v>
      </c>
      <c r="D1037" t="s">
        <v>2878</v>
      </c>
      <c r="E1037">
        <v>1094</v>
      </c>
      <c r="F1037" s="11">
        <v>1</v>
      </c>
    </row>
    <row r="1038" spans="1:6" x14ac:dyDescent="0.35">
      <c r="A1038" t="s">
        <v>2856</v>
      </c>
      <c r="B1038" t="s">
        <v>2865</v>
      </c>
      <c r="C1038" t="s">
        <v>1499</v>
      </c>
      <c r="D1038" t="s">
        <v>2879</v>
      </c>
      <c r="E1038">
        <v>0</v>
      </c>
      <c r="F1038" s="11">
        <v>0</v>
      </c>
    </row>
    <row r="1039" spans="1:6" x14ac:dyDescent="0.35">
      <c r="A1039" t="s">
        <v>2856</v>
      </c>
      <c r="B1039" t="s">
        <v>2865</v>
      </c>
      <c r="C1039" t="s">
        <v>1499</v>
      </c>
      <c r="D1039" t="s">
        <v>2880</v>
      </c>
      <c r="E1039">
        <v>0</v>
      </c>
      <c r="F1039" s="11">
        <v>0</v>
      </c>
    </row>
    <row r="1040" spans="1:6" x14ac:dyDescent="0.35">
      <c r="A1040" t="s">
        <v>2856</v>
      </c>
      <c r="B1040" t="s">
        <v>2865</v>
      </c>
      <c r="C1040" t="s">
        <v>1499</v>
      </c>
      <c r="D1040" t="s">
        <v>2881</v>
      </c>
      <c r="E1040">
        <v>0</v>
      </c>
      <c r="F1040" s="11">
        <v>0</v>
      </c>
    </row>
    <row r="1041" spans="1:6" x14ac:dyDescent="0.35">
      <c r="A1041" t="s">
        <v>2856</v>
      </c>
      <c r="B1041" t="s">
        <v>2865</v>
      </c>
      <c r="C1041" t="s">
        <v>1499</v>
      </c>
      <c r="D1041" t="s">
        <v>2882</v>
      </c>
      <c r="E1041">
        <v>0</v>
      </c>
      <c r="F1041" s="11">
        <v>0</v>
      </c>
    </row>
    <row r="1042" spans="1:6" x14ac:dyDescent="0.35">
      <c r="A1042" t="s">
        <v>2856</v>
      </c>
      <c r="B1042" t="s">
        <v>2865</v>
      </c>
      <c r="C1042" t="s">
        <v>1499</v>
      </c>
      <c r="D1042" t="s">
        <v>2883</v>
      </c>
      <c r="E1042">
        <v>0</v>
      </c>
      <c r="F1042" s="11">
        <v>0</v>
      </c>
    </row>
    <row r="1043" spans="1:6" x14ac:dyDescent="0.35">
      <c r="A1043" t="s">
        <v>2856</v>
      </c>
      <c r="B1043" t="s">
        <v>2865</v>
      </c>
      <c r="C1043" t="s">
        <v>1499</v>
      </c>
      <c r="D1043" t="s">
        <v>2884</v>
      </c>
      <c r="E1043">
        <v>0</v>
      </c>
      <c r="F1043" s="11">
        <v>0</v>
      </c>
    </row>
    <row r="1044" spans="1:6" x14ac:dyDescent="0.35">
      <c r="A1044" t="s">
        <v>2856</v>
      </c>
      <c r="B1044" t="s">
        <v>2865</v>
      </c>
      <c r="C1044" t="s">
        <v>1499</v>
      </c>
      <c r="D1044" t="s">
        <v>2885</v>
      </c>
      <c r="E1044">
        <v>0</v>
      </c>
      <c r="F1044" s="11">
        <v>0</v>
      </c>
    </row>
    <row r="1045" spans="1:6" x14ac:dyDescent="0.35">
      <c r="A1045" t="s">
        <v>2856</v>
      </c>
      <c r="B1045" t="s">
        <v>2865</v>
      </c>
      <c r="C1045" t="s">
        <v>1499</v>
      </c>
      <c r="D1045" t="s">
        <v>2886</v>
      </c>
      <c r="E1045">
        <v>0</v>
      </c>
      <c r="F1045" s="11">
        <v>0</v>
      </c>
    </row>
    <row r="1046" spans="1:6" x14ac:dyDescent="0.35">
      <c r="A1046" t="s">
        <v>2856</v>
      </c>
      <c r="B1046" t="s">
        <v>2865</v>
      </c>
      <c r="C1046" t="s">
        <v>1499</v>
      </c>
      <c r="D1046" t="s">
        <v>2887</v>
      </c>
      <c r="E1046">
        <v>0</v>
      </c>
      <c r="F1046" s="11">
        <v>0</v>
      </c>
    </row>
    <row r="1047" spans="1:6" x14ac:dyDescent="0.35">
      <c r="A1047" t="s">
        <v>2856</v>
      </c>
      <c r="B1047" t="s">
        <v>2865</v>
      </c>
      <c r="C1047" t="s">
        <v>1499</v>
      </c>
      <c r="D1047" t="s">
        <v>2888</v>
      </c>
      <c r="E1047">
        <v>0</v>
      </c>
      <c r="F1047" s="11">
        <v>0</v>
      </c>
    </row>
    <row r="1048" spans="1:6" x14ac:dyDescent="0.35">
      <c r="A1048" t="s">
        <v>2856</v>
      </c>
      <c r="B1048" t="s">
        <v>2865</v>
      </c>
      <c r="C1048" t="s">
        <v>1499</v>
      </c>
      <c r="D1048" t="s">
        <v>2889</v>
      </c>
      <c r="E1048">
        <v>0</v>
      </c>
      <c r="F1048" s="11">
        <v>0</v>
      </c>
    </row>
    <row r="1049" spans="1:6" x14ac:dyDescent="0.35">
      <c r="A1049" t="s">
        <v>2856</v>
      </c>
      <c r="B1049" t="s">
        <v>2865</v>
      </c>
      <c r="C1049" t="s">
        <v>1499</v>
      </c>
      <c r="D1049" t="s">
        <v>2890</v>
      </c>
      <c r="E1049">
        <v>0</v>
      </c>
      <c r="F1049" s="11">
        <v>0</v>
      </c>
    </row>
    <row r="1050" spans="1:6" x14ac:dyDescent="0.35">
      <c r="A1050" t="s">
        <v>2856</v>
      </c>
      <c r="B1050" t="s">
        <v>2865</v>
      </c>
      <c r="C1050" t="s">
        <v>1499</v>
      </c>
      <c r="D1050" t="s">
        <v>2891</v>
      </c>
      <c r="E1050">
        <v>0</v>
      </c>
      <c r="F1050" s="11">
        <v>0</v>
      </c>
    </row>
    <row r="1051" spans="1:6" x14ac:dyDescent="0.35">
      <c r="A1051" t="s">
        <v>2856</v>
      </c>
      <c r="B1051" t="s">
        <v>2865</v>
      </c>
      <c r="C1051" t="s">
        <v>1499</v>
      </c>
      <c r="D1051" t="s">
        <v>2892</v>
      </c>
      <c r="E1051">
        <v>0</v>
      </c>
      <c r="F1051" s="11">
        <v>0</v>
      </c>
    </row>
    <row r="1052" spans="1:6" x14ac:dyDescent="0.35">
      <c r="A1052" t="s">
        <v>2856</v>
      </c>
      <c r="B1052" t="s">
        <v>2865</v>
      </c>
      <c r="C1052" t="s">
        <v>1499</v>
      </c>
      <c r="D1052" t="s">
        <v>2893</v>
      </c>
      <c r="E1052">
        <v>0</v>
      </c>
      <c r="F1052" s="11">
        <v>0</v>
      </c>
    </row>
    <row r="1053" spans="1:6" x14ac:dyDescent="0.35">
      <c r="A1053" t="s">
        <v>2856</v>
      </c>
      <c r="B1053" t="s">
        <v>2865</v>
      </c>
      <c r="C1053" t="s">
        <v>1499</v>
      </c>
      <c r="D1053" t="s">
        <v>2894</v>
      </c>
      <c r="E1053">
        <v>0</v>
      </c>
      <c r="F1053" s="11">
        <v>0</v>
      </c>
    </row>
    <row r="1054" spans="1:6" x14ac:dyDescent="0.35">
      <c r="A1054" t="s">
        <v>2856</v>
      </c>
      <c r="B1054" t="s">
        <v>2865</v>
      </c>
      <c r="C1054" t="s">
        <v>1499</v>
      </c>
      <c r="D1054" t="s">
        <v>2895</v>
      </c>
      <c r="E1054">
        <v>249284</v>
      </c>
      <c r="F1054" s="11">
        <v>1</v>
      </c>
    </row>
    <row r="1055" spans="1:6" x14ac:dyDescent="0.35">
      <c r="A1055" t="s">
        <v>2856</v>
      </c>
      <c r="B1055" t="s">
        <v>2865</v>
      </c>
      <c r="C1055" t="s">
        <v>1499</v>
      </c>
      <c r="D1055" t="s">
        <v>2896</v>
      </c>
      <c r="E1055">
        <v>180932</v>
      </c>
      <c r="F1055" s="11">
        <v>1</v>
      </c>
    </row>
    <row r="1056" spans="1:6" x14ac:dyDescent="0.35">
      <c r="A1056" t="s">
        <v>2856</v>
      </c>
      <c r="B1056" t="s">
        <v>2865</v>
      </c>
      <c r="C1056" t="s">
        <v>1499</v>
      </c>
      <c r="D1056" t="s">
        <v>2897</v>
      </c>
      <c r="E1056">
        <v>65547</v>
      </c>
      <c r="F1056" s="11">
        <v>1</v>
      </c>
    </row>
    <row r="1057" spans="1:6" x14ac:dyDescent="0.35">
      <c r="A1057" t="s">
        <v>2856</v>
      </c>
      <c r="B1057" t="s">
        <v>2865</v>
      </c>
      <c r="C1057" t="s">
        <v>1499</v>
      </c>
      <c r="D1057" t="s">
        <v>2898</v>
      </c>
      <c r="E1057">
        <v>2805</v>
      </c>
      <c r="F1057" s="11">
        <v>1</v>
      </c>
    </row>
    <row r="1058" spans="1:6" x14ac:dyDescent="0.35">
      <c r="A1058" t="s">
        <v>2856</v>
      </c>
      <c r="B1058" t="s">
        <v>2865</v>
      </c>
      <c r="C1058" t="s">
        <v>1499</v>
      </c>
      <c r="D1058" t="s">
        <v>2899</v>
      </c>
      <c r="E1058">
        <v>8049</v>
      </c>
      <c r="F1058" s="11">
        <v>1</v>
      </c>
    </row>
    <row r="1059" spans="1:6" x14ac:dyDescent="0.35">
      <c r="A1059" t="s">
        <v>2856</v>
      </c>
      <c r="B1059" t="s">
        <v>2865</v>
      </c>
      <c r="C1059" t="s">
        <v>1499</v>
      </c>
      <c r="D1059" t="s">
        <v>2900</v>
      </c>
      <c r="E1059">
        <v>7833</v>
      </c>
      <c r="F1059" s="11">
        <v>1</v>
      </c>
    </row>
    <row r="1060" spans="1:6" x14ac:dyDescent="0.35">
      <c r="A1060" t="s">
        <v>2856</v>
      </c>
      <c r="B1060" t="s">
        <v>2865</v>
      </c>
      <c r="C1060" t="s">
        <v>1499</v>
      </c>
      <c r="D1060" t="s">
        <v>2901</v>
      </c>
      <c r="E1060">
        <v>216</v>
      </c>
      <c r="F1060" s="11">
        <v>0</v>
      </c>
    </row>
    <row r="1061" spans="1:6" x14ac:dyDescent="0.35">
      <c r="A1061" t="s">
        <v>2856</v>
      </c>
      <c r="B1061" t="s">
        <v>2865</v>
      </c>
      <c r="C1061" t="s">
        <v>1499</v>
      </c>
      <c r="D1061" t="s">
        <v>2902</v>
      </c>
      <c r="E1061">
        <v>0</v>
      </c>
      <c r="F1061" s="11">
        <v>1</v>
      </c>
    </row>
    <row r="1062" spans="1:6" x14ac:dyDescent="0.35">
      <c r="A1062" t="s">
        <v>2856</v>
      </c>
      <c r="B1062" t="s">
        <v>2865</v>
      </c>
      <c r="C1062" t="s">
        <v>1499</v>
      </c>
      <c r="D1062" t="s">
        <v>2903</v>
      </c>
      <c r="E1062">
        <v>17408</v>
      </c>
      <c r="F1062" s="11">
        <v>1</v>
      </c>
    </row>
    <row r="1063" spans="1:6" x14ac:dyDescent="0.35">
      <c r="A1063" t="s">
        <v>2856</v>
      </c>
      <c r="B1063" t="s">
        <v>2865</v>
      </c>
      <c r="C1063" t="s">
        <v>1499</v>
      </c>
      <c r="D1063" t="s">
        <v>2904</v>
      </c>
      <c r="E1063">
        <v>16689</v>
      </c>
      <c r="F1063" s="11">
        <v>1</v>
      </c>
    </row>
    <row r="1064" spans="1:6" x14ac:dyDescent="0.35">
      <c r="A1064" t="s">
        <v>2856</v>
      </c>
      <c r="B1064" t="s">
        <v>2865</v>
      </c>
      <c r="C1064" t="s">
        <v>1499</v>
      </c>
      <c r="D1064" t="s">
        <v>2905</v>
      </c>
      <c r="E1064">
        <v>446</v>
      </c>
      <c r="F1064" s="11">
        <v>1</v>
      </c>
    </row>
    <row r="1065" spans="1:6" x14ac:dyDescent="0.35">
      <c r="A1065" t="s">
        <v>2856</v>
      </c>
      <c r="B1065" t="s">
        <v>2865</v>
      </c>
      <c r="C1065" t="s">
        <v>1499</v>
      </c>
      <c r="D1065" t="s">
        <v>2906</v>
      </c>
      <c r="E1065">
        <v>273</v>
      </c>
      <c r="F1065" s="11">
        <v>1</v>
      </c>
    </row>
    <row r="1066" spans="1:6" x14ac:dyDescent="0.35">
      <c r="A1066" t="s">
        <v>2856</v>
      </c>
      <c r="B1066" t="s">
        <v>2865</v>
      </c>
      <c r="C1066" t="s">
        <v>1499</v>
      </c>
      <c r="D1066" t="s">
        <v>2907</v>
      </c>
      <c r="E1066">
        <v>14282</v>
      </c>
      <c r="F1066" s="11">
        <v>1</v>
      </c>
    </row>
    <row r="1067" spans="1:6" x14ac:dyDescent="0.35">
      <c r="A1067" t="s">
        <v>2856</v>
      </c>
      <c r="B1067" t="s">
        <v>2865</v>
      </c>
      <c r="C1067" t="s">
        <v>1499</v>
      </c>
      <c r="D1067" t="s">
        <v>2908</v>
      </c>
      <c r="E1067">
        <v>12649</v>
      </c>
      <c r="F1067" s="11">
        <v>1</v>
      </c>
    </row>
    <row r="1068" spans="1:6" x14ac:dyDescent="0.35">
      <c r="A1068" t="s">
        <v>2856</v>
      </c>
      <c r="B1068" t="s">
        <v>2865</v>
      </c>
      <c r="C1068" t="s">
        <v>1499</v>
      </c>
      <c r="D1068" t="s">
        <v>2909</v>
      </c>
      <c r="E1068">
        <v>1155</v>
      </c>
      <c r="F1068" s="11">
        <v>1</v>
      </c>
    </row>
    <row r="1069" spans="1:6" x14ac:dyDescent="0.35">
      <c r="A1069" t="s">
        <v>2856</v>
      </c>
      <c r="B1069" t="s">
        <v>2865</v>
      </c>
      <c r="C1069" t="s">
        <v>1499</v>
      </c>
      <c r="D1069" t="s">
        <v>2910</v>
      </c>
      <c r="E1069">
        <v>478</v>
      </c>
      <c r="F1069" s="11">
        <v>1</v>
      </c>
    </row>
    <row r="1070" spans="1:6" x14ac:dyDescent="0.35">
      <c r="A1070" t="s">
        <v>2856</v>
      </c>
      <c r="B1070" t="s">
        <v>2865</v>
      </c>
      <c r="C1070" t="s">
        <v>1499</v>
      </c>
      <c r="D1070" t="s">
        <v>2911</v>
      </c>
      <c r="E1070">
        <v>199109</v>
      </c>
      <c r="F1070" s="11">
        <v>1</v>
      </c>
    </row>
    <row r="1071" spans="1:6" x14ac:dyDescent="0.35">
      <c r="A1071" t="s">
        <v>2856</v>
      </c>
      <c r="B1071" t="s">
        <v>2865</v>
      </c>
      <c r="C1071" t="s">
        <v>1499</v>
      </c>
      <c r="D1071" t="s">
        <v>2912</v>
      </c>
      <c r="E1071">
        <v>274201</v>
      </c>
      <c r="F1071" s="11">
        <v>1</v>
      </c>
    </row>
    <row r="1072" spans="1:6" x14ac:dyDescent="0.35">
      <c r="A1072" t="s">
        <v>2856</v>
      </c>
      <c r="B1072" t="s">
        <v>2865</v>
      </c>
      <c r="C1072" t="s">
        <v>1499</v>
      </c>
      <c r="D1072" t="s">
        <v>2913</v>
      </c>
      <c r="E1072">
        <v>0</v>
      </c>
      <c r="F1072" s="11">
        <v>0</v>
      </c>
    </row>
    <row r="1073" spans="1:6" x14ac:dyDescent="0.35">
      <c r="A1073" t="s">
        <v>2856</v>
      </c>
      <c r="B1073" t="s">
        <v>2865</v>
      </c>
      <c r="C1073" t="s">
        <v>1499</v>
      </c>
      <c r="D1073" t="s">
        <v>2914</v>
      </c>
      <c r="E1073">
        <v>0</v>
      </c>
      <c r="F1073" s="11">
        <v>0</v>
      </c>
    </row>
    <row r="1074" spans="1:6" x14ac:dyDescent="0.35">
      <c r="A1074" t="s">
        <v>2856</v>
      </c>
      <c r="B1074" t="s">
        <v>2865</v>
      </c>
      <c r="C1074" t="s">
        <v>1499</v>
      </c>
      <c r="D1074" t="s">
        <v>2915</v>
      </c>
      <c r="E1074">
        <v>1971</v>
      </c>
      <c r="F1074" s="11">
        <v>1</v>
      </c>
    </row>
    <row r="1075" spans="1:6" x14ac:dyDescent="0.35">
      <c r="A1075" t="s">
        <v>2856</v>
      </c>
      <c r="B1075" t="s">
        <v>2865</v>
      </c>
      <c r="C1075" t="s">
        <v>1499</v>
      </c>
      <c r="D1075" t="s">
        <v>2916</v>
      </c>
      <c r="E1075">
        <v>33303</v>
      </c>
      <c r="F1075" s="11">
        <v>1</v>
      </c>
    </row>
    <row r="1076" spans="1:6" x14ac:dyDescent="0.35">
      <c r="A1076" t="s">
        <v>2856</v>
      </c>
      <c r="B1076" t="s">
        <v>2865</v>
      </c>
      <c r="C1076" t="s">
        <v>1499</v>
      </c>
      <c r="D1076" t="s">
        <v>2917</v>
      </c>
      <c r="E1076">
        <v>0</v>
      </c>
      <c r="F1076" s="11">
        <v>0</v>
      </c>
    </row>
    <row r="1077" spans="1:6" x14ac:dyDescent="0.35">
      <c r="A1077" t="s">
        <v>2856</v>
      </c>
      <c r="B1077" t="s">
        <v>2864</v>
      </c>
      <c r="C1077" t="s">
        <v>1465</v>
      </c>
      <c r="D1077" t="s">
        <v>2875</v>
      </c>
      <c r="E1077">
        <v>46758</v>
      </c>
      <c r="F1077" s="11">
        <v>1</v>
      </c>
    </row>
    <row r="1078" spans="1:6" x14ac:dyDescent="0.35">
      <c r="A1078" t="s">
        <v>2856</v>
      </c>
      <c r="B1078" t="s">
        <v>2864</v>
      </c>
      <c r="C1078" t="s">
        <v>1465</v>
      </c>
      <c r="D1078" t="s">
        <v>2876</v>
      </c>
      <c r="E1078">
        <v>0</v>
      </c>
      <c r="F1078" s="11">
        <v>0</v>
      </c>
    </row>
    <row r="1079" spans="1:6" x14ac:dyDescent="0.35">
      <c r="A1079" t="s">
        <v>2856</v>
      </c>
      <c r="B1079" t="s">
        <v>2864</v>
      </c>
      <c r="C1079" t="s">
        <v>1465</v>
      </c>
      <c r="D1079" t="s">
        <v>2877</v>
      </c>
      <c r="E1079">
        <v>0</v>
      </c>
      <c r="F1079" s="11">
        <v>0</v>
      </c>
    </row>
    <row r="1080" spans="1:6" x14ac:dyDescent="0.35">
      <c r="A1080" t="s">
        <v>2856</v>
      </c>
      <c r="B1080" t="s">
        <v>2864</v>
      </c>
      <c r="C1080" t="s">
        <v>1465</v>
      </c>
      <c r="D1080" t="s">
        <v>2878</v>
      </c>
      <c r="E1080">
        <v>0</v>
      </c>
      <c r="F1080" s="11">
        <v>0</v>
      </c>
    </row>
    <row r="1081" spans="1:6" x14ac:dyDescent="0.35">
      <c r="A1081" t="s">
        <v>2856</v>
      </c>
      <c r="B1081" t="s">
        <v>2864</v>
      </c>
      <c r="C1081" t="s">
        <v>1465</v>
      </c>
      <c r="D1081" t="s">
        <v>2879</v>
      </c>
      <c r="E1081">
        <v>6610</v>
      </c>
      <c r="F1081" s="11">
        <v>1</v>
      </c>
    </row>
    <row r="1082" spans="1:6" x14ac:dyDescent="0.35">
      <c r="A1082" t="s">
        <v>2856</v>
      </c>
      <c r="B1082" t="s">
        <v>2864</v>
      </c>
      <c r="C1082" t="s">
        <v>1465</v>
      </c>
      <c r="D1082" t="s">
        <v>2880</v>
      </c>
      <c r="E1082">
        <v>0</v>
      </c>
      <c r="F1082" s="11">
        <v>0</v>
      </c>
    </row>
    <row r="1083" spans="1:6" x14ac:dyDescent="0.35">
      <c r="A1083" t="s">
        <v>2856</v>
      </c>
      <c r="B1083" t="s">
        <v>2864</v>
      </c>
      <c r="C1083" t="s">
        <v>1465</v>
      </c>
      <c r="D1083" t="s">
        <v>2881</v>
      </c>
      <c r="E1083">
        <v>0</v>
      </c>
      <c r="F1083" s="11">
        <v>0</v>
      </c>
    </row>
    <row r="1084" spans="1:6" x14ac:dyDescent="0.35">
      <c r="A1084" t="s">
        <v>2856</v>
      </c>
      <c r="B1084" t="s">
        <v>2864</v>
      </c>
      <c r="C1084" t="s">
        <v>1465</v>
      </c>
      <c r="D1084" t="s">
        <v>2882</v>
      </c>
      <c r="E1084">
        <v>0</v>
      </c>
      <c r="F1084" s="11">
        <v>0</v>
      </c>
    </row>
    <row r="1085" spans="1:6" x14ac:dyDescent="0.35">
      <c r="A1085" t="s">
        <v>2856</v>
      </c>
      <c r="B1085" t="s">
        <v>2864</v>
      </c>
      <c r="C1085" t="s">
        <v>1465</v>
      </c>
      <c r="D1085" t="s">
        <v>2883</v>
      </c>
      <c r="E1085">
        <v>31</v>
      </c>
      <c r="F1085" s="11">
        <v>1</v>
      </c>
    </row>
    <row r="1086" spans="1:6" x14ac:dyDescent="0.35">
      <c r="A1086" t="s">
        <v>2856</v>
      </c>
      <c r="B1086" t="s">
        <v>2864</v>
      </c>
      <c r="C1086" t="s">
        <v>1465</v>
      </c>
      <c r="D1086" t="s">
        <v>2884</v>
      </c>
      <c r="E1086">
        <v>0</v>
      </c>
      <c r="F1086" s="11">
        <v>0</v>
      </c>
    </row>
    <row r="1087" spans="1:6" x14ac:dyDescent="0.35">
      <c r="A1087" t="s">
        <v>2856</v>
      </c>
      <c r="B1087" t="s">
        <v>2864</v>
      </c>
      <c r="C1087" t="s">
        <v>1465</v>
      </c>
      <c r="D1087" t="s">
        <v>2885</v>
      </c>
      <c r="E1087">
        <v>0</v>
      </c>
      <c r="F1087" s="11">
        <v>0</v>
      </c>
    </row>
    <row r="1088" spans="1:6" x14ac:dyDescent="0.35">
      <c r="A1088" t="s">
        <v>2856</v>
      </c>
      <c r="B1088" t="s">
        <v>2864</v>
      </c>
      <c r="C1088" t="s">
        <v>1465</v>
      </c>
      <c r="D1088" t="s">
        <v>2886</v>
      </c>
      <c r="E1088">
        <v>0</v>
      </c>
      <c r="F1088" s="11">
        <v>0</v>
      </c>
    </row>
    <row r="1089" spans="1:6" x14ac:dyDescent="0.35">
      <c r="A1089" t="s">
        <v>2856</v>
      </c>
      <c r="B1089" t="s">
        <v>2864</v>
      </c>
      <c r="C1089" t="s">
        <v>1465</v>
      </c>
      <c r="D1089" t="s">
        <v>2887</v>
      </c>
      <c r="E1089">
        <v>76283</v>
      </c>
      <c r="F1089" s="11">
        <v>1</v>
      </c>
    </row>
    <row r="1090" spans="1:6" x14ac:dyDescent="0.35">
      <c r="A1090" t="s">
        <v>2856</v>
      </c>
      <c r="B1090" t="s">
        <v>2864</v>
      </c>
      <c r="C1090" t="s">
        <v>1465</v>
      </c>
      <c r="D1090" t="s">
        <v>2888</v>
      </c>
      <c r="E1090">
        <v>0</v>
      </c>
      <c r="F1090" s="11">
        <v>0</v>
      </c>
    </row>
    <row r="1091" spans="1:6" x14ac:dyDescent="0.35">
      <c r="A1091" t="s">
        <v>2856</v>
      </c>
      <c r="B1091" t="s">
        <v>2864</v>
      </c>
      <c r="C1091" t="s">
        <v>1465</v>
      </c>
      <c r="D1091" t="s">
        <v>2889</v>
      </c>
      <c r="E1091">
        <v>0</v>
      </c>
      <c r="F1091" s="11">
        <v>0</v>
      </c>
    </row>
    <row r="1092" spans="1:6" x14ac:dyDescent="0.35">
      <c r="A1092" t="s">
        <v>2856</v>
      </c>
      <c r="B1092" t="s">
        <v>2864</v>
      </c>
      <c r="C1092" t="s">
        <v>1465</v>
      </c>
      <c r="D1092" t="s">
        <v>2890</v>
      </c>
      <c r="E1092">
        <v>0</v>
      </c>
      <c r="F1092" s="11">
        <v>0</v>
      </c>
    </row>
    <row r="1093" spans="1:6" x14ac:dyDescent="0.35">
      <c r="A1093" t="s">
        <v>2856</v>
      </c>
      <c r="B1093" t="s">
        <v>2864</v>
      </c>
      <c r="C1093" t="s">
        <v>1465</v>
      </c>
      <c r="D1093" t="s">
        <v>2891</v>
      </c>
      <c r="E1093">
        <v>9467</v>
      </c>
      <c r="F1093" s="11">
        <v>1</v>
      </c>
    </row>
    <row r="1094" spans="1:6" x14ac:dyDescent="0.35">
      <c r="A1094" t="s">
        <v>2856</v>
      </c>
      <c r="B1094" t="s">
        <v>2864</v>
      </c>
      <c r="C1094" t="s">
        <v>1465</v>
      </c>
      <c r="D1094" t="s">
        <v>2892</v>
      </c>
      <c r="E1094">
        <v>0</v>
      </c>
      <c r="F1094" s="11">
        <v>0</v>
      </c>
    </row>
    <row r="1095" spans="1:6" x14ac:dyDescent="0.35">
      <c r="A1095" t="s">
        <v>2856</v>
      </c>
      <c r="B1095" t="s">
        <v>2864</v>
      </c>
      <c r="C1095" t="s">
        <v>1465</v>
      </c>
      <c r="D1095" t="s">
        <v>2893</v>
      </c>
      <c r="E1095">
        <v>0</v>
      </c>
      <c r="F1095" s="11">
        <v>0</v>
      </c>
    </row>
    <row r="1096" spans="1:6" x14ac:dyDescent="0.35">
      <c r="A1096" t="s">
        <v>2856</v>
      </c>
      <c r="B1096" t="s">
        <v>2864</v>
      </c>
      <c r="C1096" t="s">
        <v>1465</v>
      </c>
      <c r="D1096" t="s">
        <v>2894</v>
      </c>
      <c r="E1096">
        <v>0</v>
      </c>
      <c r="F1096" s="11">
        <v>0</v>
      </c>
    </row>
    <row r="1097" spans="1:6" x14ac:dyDescent="0.35">
      <c r="A1097" t="s">
        <v>2856</v>
      </c>
      <c r="B1097" t="s">
        <v>2864</v>
      </c>
      <c r="C1097" t="s">
        <v>1465</v>
      </c>
      <c r="D1097" t="s">
        <v>2895</v>
      </c>
      <c r="E1097">
        <v>786679</v>
      </c>
      <c r="F1097" s="11">
        <v>1</v>
      </c>
    </row>
    <row r="1098" spans="1:6" x14ac:dyDescent="0.35">
      <c r="A1098" t="s">
        <v>2856</v>
      </c>
      <c r="B1098" t="s">
        <v>2864</v>
      </c>
      <c r="C1098" t="s">
        <v>1465</v>
      </c>
      <c r="D1098" t="s">
        <v>2896</v>
      </c>
      <c r="E1098">
        <v>0</v>
      </c>
      <c r="F1098" s="11">
        <v>0</v>
      </c>
    </row>
    <row r="1099" spans="1:6" x14ac:dyDescent="0.35">
      <c r="A1099" t="s">
        <v>2856</v>
      </c>
      <c r="B1099" t="s">
        <v>2864</v>
      </c>
      <c r="C1099" t="s">
        <v>1465</v>
      </c>
      <c r="D1099" t="s">
        <v>2897</v>
      </c>
      <c r="E1099">
        <v>0</v>
      </c>
      <c r="F1099" s="11">
        <v>0</v>
      </c>
    </row>
    <row r="1100" spans="1:6" x14ac:dyDescent="0.35">
      <c r="A1100" t="s">
        <v>2856</v>
      </c>
      <c r="B1100" t="s">
        <v>2864</v>
      </c>
      <c r="C1100" t="s">
        <v>1465</v>
      </c>
      <c r="D1100" t="s">
        <v>2898</v>
      </c>
      <c r="E1100">
        <v>0</v>
      </c>
      <c r="F1100" s="11">
        <v>0</v>
      </c>
    </row>
    <row r="1101" spans="1:6" x14ac:dyDescent="0.35">
      <c r="A1101" t="s">
        <v>2856</v>
      </c>
      <c r="B1101" t="s">
        <v>2864</v>
      </c>
      <c r="C1101" t="s">
        <v>1465</v>
      </c>
      <c r="D1101" t="s">
        <v>2899</v>
      </c>
      <c r="E1101">
        <v>0</v>
      </c>
      <c r="F1101" s="11">
        <v>0</v>
      </c>
    </row>
    <row r="1102" spans="1:6" x14ac:dyDescent="0.35">
      <c r="A1102" t="s">
        <v>2856</v>
      </c>
      <c r="B1102" t="s">
        <v>2864</v>
      </c>
      <c r="C1102" t="s">
        <v>1465</v>
      </c>
      <c r="D1102" t="s">
        <v>2900</v>
      </c>
      <c r="E1102">
        <v>0</v>
      </c>
      <c r="F1102" s="11">
        <v>0</v>
      </c>
    </row>
    <row r="1103" spans="1:6" x14ac:dyDescent="0.35">
      <c r="A1103" t="s">
        <v>2856</v>
      </c>
      <c r="B1103" t="s">
        <v>2864</v>
      </c>
      <c r="C1103" t="s">
        <v>1465</v>
      </c>
      <c r="D1103" t="s">
        <v>2901</v>
      </c>
      <c r="E1103">
        <v>0</v>
      </c>
      <c r="F1103" s="11">
        <v>0</v>
      </c>
    </row>
    <row r="1104" spans="1:6" x14ac:dyDescent="0.35">
      <c r="A1104" t="s">
        <v>2856</v>
      </c>
      <c r="B1104" t="s">
        <v>2864</v>
      </c>
      <c r="C1104" t="s">
        <v>1465</v>
      </c>
      <c r="D1104" t="s">
        <v>2902</v>
      </c>
      <c r="E1104">
        <v>0</v>
      </c>
      <c r="F1104" s="11">
        <v>0</v>
      </c>
    </row>
    <row r="1105" spans="1:6" x14ac:dyDescent="0.35">
      <c r="A1105" t="s">
        <v>2856</v>
      </c>
      <c r="B1105" t="s">
        <v>2864</v>
      </c>
      <c r="C1105" t="s">
        <v>1465</v>
      </c>
      <c r="D1105" t="s">
        <v>2903</v>
      </c>
      <c r="E1105">
        <v>66145</v>
      </c>
      <c r="F1105" s="11">
        <v>1</v>
      </c>
    </row>
    <row r="1106" spans="1:6" x14ac:dyDescent="0.35">
      <c r="A1106" t="s">
        <v>2856</v>
      </c>
      <c r="B1106" t="s">
        <v>2864</v>
      </c>
      <c r="C1106" t="s">
        <v>1465</v>
      </c>
      <c r="D1106" t="s">
        <v>2904</v>
      </c>
      <c r="E1106">
        <v>0</v>
      </c>
      <c r="F1106" s="11">
        <v>0</v>
      </c>
    </row>
    <row r="1107" spans="1:6" x14ac:dyDescent="0.35">
      <c r="A1107" t="s">
        <v>2856</v>
      </c>
      <c r="B1107" t="s">
        <v>2864</v>
      </c>
      <c r="C1107" t="s">
        <v>1465</v>
      </c>
      <c r="D1107" t="s">
        <v>2905</v>
      </c>
      <c r="E1107">
        <v>0</v>
      </c>
      <c r="F1107" s="11">
        <v>0</v>
      </c>
    </row>
    <row r="1108" spans="1:6" x14ac:dyDescent="0.35">
      <c r="A1108" t="s">
        <v>2856</v>
      </c>
      <c r="B1108" t="s">
        <v>2864</v>
      </c>
      <c r="C1108" t="s">
        <v>1465</v>
      </c>
      <c r="D1108" t="s">
        <v>2906</v>
      </c>
      <c r="E1108">
        <v>0</v>
      </c>
      <c r="F1108" s="11">
        <v>0</v>
      </c>
    </row>
    <row r="1109" spans="1:6" x14ac:dyDescent="0.35">
      <c r="A1109" t="s">
        <v>2856</v>
      </c>
      <c r="B1109" t="s">
        <v>2864</v>
      </c>
      <c r="C1109" t="s">
        <v>1465</v>
      </c>
      <c r="D1109" t="s">
        <v>2907</v>
      </c>
      <c r="E1109">
        <v>274973</v>
      </c>
      <c r="F1109" s="11">
        <v>1</v>
      </c>
    </row>
    <row r="1110" spans="1:6" x14ac:dyDescent="0.35">
      <c r="A1110" t="s">
        <v>2856</v>
      </c>
      <c r="B1110" t="s">
        <v>2864</v>
      </c>
      <c r="C1110" t="s">
        <v>1465</v>
      </c>
      <c r="D1110" t="s">
        <v>2908</v>
      </c>
      <c r="E1110">
        <v>0</v>
      </c>
      <c r="F1110" s="11">
        <v>0</v>
      </c>
    </row>
    <row r="1111" spans="1:6" x14ac:dyDescent="0.35">
      <c r="A1111" t="s">
        <v>2856</v>
      </c>
      <c r="B1111" t="s">
        <v>2864</v>
      </c>
      <c r="C1111" t="s">
        <v>1465</v>
      </c>
      <c r="D1111" t="s">
        <v>2909</v>
      </c>
      <c r="E1111">
        <v>0</v>
      </c>
      <c r="F1111" s="11">
        <v>0</v>
      </c>
    </row>
    <row r="1112" spans="1:6" x14ac:dyDescent="0.35">
      <c r="A1112" t="s">
        <v>2856</v>
      </c>
      <c r="B1112" t="s">
        <v>2864</v>
      </c>
      <c r="C1112" t="s">
        <v>1465</v>
      </c>
      <c r="D1112" t="s">
        <v>2910</v>
      </c>
      <c r="E1112">
        <v>0</v>
      </c>
      <c r="F1112" s="11">
        <v>0</v>
      </c>
    </row>
    <row r="1113" spans="1:6" x14ac:dyDescent="0.35">
      <c r="A1113" t="s">
        <v>2856</v>
      </c>
      <c r="B1113" t="s">
        <v>2864</v>
      </c>
      <c r="C1113" t="s">
        <v>1465</v>
      </c>
      <c r="D1113" t="s">
        <v>2911</v>
      </c>
      <c r="E1113">
        <v>939389</v>
      </c>
      <c r="F1113" s="11">
        <v>1</v>
      </c>
    </row>
    <row r="1114" spans="1:6" x14ac:dyDescent="0.35">
      <c r="A1114" t="s">
        <v>2856</v>
      </c>
      <c r="B1114" t="s">
        <v>2864</v>
      </c>
      <c r="C1114" t="s">
        <v>1465</v>
      </c>
      <c r="D1114" t="s">
        <v>2912</v>
      </c>
      <c r="E1114">
        <v>0</v>
      </c>
      <c r="F1114" s="11">
        <v>0</v>
      </c>
    </row>
    <row r="1115" spans="1:6" x14ac:dyDescent="0.35">
      <c r="A1115" t="s">
        <v>2856</v>
      </c>
      <c r="B1115" t="s">
        <v>2864</v>
      </c>
      <c r="C1115" t="s">
        <v>1465</v>
      </c>
      <c r="D1115" t="s">
        <v>2913</v>
      </c>
      <c r="E1115">
        <v>0</v>
      </c>
      <c r="F1115" s="11">
        <v>0</v>
      </c>
    </row>
    <row r="1116" spans="1:6" x14ac:dyDescent="0.35">
      <c r="A1116" t="s">
        <v>2856</v>
      </c>
      <c r="B1116" t="s">
        <v>2864</v>
      </c>
      <c r="C1116" t="s">
        <v>1465</v>
      </c>
      <c r="D1116" t="s">
        <v>2914</v>
      </c>
      <c r="E1116">
        <v>0</v>
      </c>
      <c r="F1116" s="11">
        <v>0</v>
      </c>
    </row>
    <row r="1117" spans="1:6" x14ac:dyDescent="0.35">
      <c r="A1117" t="s">
        <v>2856</v>
      </c>
      <c r="B1117" t="s">
        <v>2864</v>
      </c>
      <c r="C1117" t="s">
        <v>1465</v>
      </c>
      <c r="D1117" t="s">
        <v>2915</v>
      </c>
      <c r="E1117">
        <v>2112</v>
      </c>
      <c r="F1117" s="11">
        <v>1</v>
      </c>
    </row>
    <row r="1118" spans="1:6" x14ac:dyDescent="0.35">
      <c r="A1118" t="s">
        <v>2856</v>
      </c>
      <c r="B1118" t="s">
        <v>2864</v>
      </c>
      <c r="C1118" t="s">
        <v>1465</v>
      </c>
      <c r="D1118" t="s">
        <v>2916</v>
      </c>
      <c r="E1118">
        <v>36526</v>
      </c>
      <c r="F1118" s="11">
        <v>1</v>
      </c>
    </row>
    <row r="1119" spans="1:6" x14ac:dyDescent="0.35">
      <c r="A1119" t="s">
        <v>2856</v>
      </c>
      <c r="B1119" t="s">
        <v>2864</v>
      </c>
      <c r="C1119" t="s">
        <v>1465</v>
      </c>
      <c r="D1119" t="s">
        <v>2917</v>
      </c>
      <c r="E1119">
        <v>0</v>
      </c>
      <c r="F1119" s="11">
        <v>0</v>
      </c>
    </row>
    <row r="1120" spans="1:6" x14ac:dyDescent="0.35">
      <c r="A1120" t="s">
        <v>2856</v>
      </c>
      <c r="B1120" t="s">
        <v>2863</v>
      </c>
      <c r="C1120" t="s">
        <v>1533</v>
      </c>
      <c r="D1120" t="s">
        <v>2875</v>
      </c>
      <c r="E1120">
        <v>21642</v>
      </c>
      <c r="F1120" s="11">
        <v>1</v>
      </c>
    </row>
    <row r="1121" spans="1:6" x14ac:dyDescent="0.35">
      <c r="A1121" t="s">
        <v>2856</v>
      </c>
      <c r="B1121" t="s">
        <v>2863</v>
      </c>
      <c r="C1121" t="s">
        <v>1533</v>
      </c>
      <c r="D1121" t="s">
        <v>2876</v>
      </c>
      <c r="E1121">
        <v>0</v>
      </c>
      <c r="F1121" s="11">
        <v>0</v>
      </c>
    </row>
    <row r="1122" spans="1:6" x14ac:dyDescent="0.35">
      <c r="A1122" t="s">
        <v>2856</v>
      </c>
      <c r="B1122" t="s">
        <v>2863</v>
      </c>
      <c r="C1122" t="s">
        <v>1533</v>
      </c>
      <c r="D1122" t="s">
        <v>2877</v>
      </c>
      <c r="E1122">
        <v>0</v>
      </c>
      <c r="F1122" s="11">
        <v>0</v>
      </c>
    </row>
    <row r="1123" spans="1:6" x14ac:dyDescent="0.35">
      <c r="A1123" t="s">
        <v>2856</v>
      </c>
      <c r="B1123" t="s">
        <v>2863</v>
      </c>
      <c r="C1123" t="s">
        <v>1533</v>
      </c>
      <c r="D1123" t="s">
        <v>2878</v>
      </c>
      <c r="E1123">
        <v>0</v>
      </c>
      <c r="F1123" s="11">
        <v>0</v>
      </c>
    </row>
    <row r="1124" spans="1:6" x14ac:dyDescent="0.35">
      <c r="A1124" t="s">
        <v>2856</v>
      </c>
      <c r="B1124" t="s">
        <v>2863</v>
      </c>
      <c r="C1124" t="s">
        <v>1533</v>
      </c>
      <c r="D1124" t="s">
        <v>2879</v>
      </c>
      <c r="E1124">
        <v>0</v>
      </c>
      <c r="F1124" s="11">
        <v>1</v>
      </c>
    </row>
    <row r="1125" spans="1:6" x14ac:dyDescent="0.35">
      <c r="A1125" t="s">
        <v>2856</v>
      </c>
      <c r="B1125" t="s">
        <v>2863</v>
      </c>
      <c r="C1125" t="s">
        <v>1533</v>
      </c>
      <c r="D1125" t="s">
        <v>2880</v>
      </c>
      <c r="E1125">
        <v>0</v>
      </c>
      <c r="F1125" s="11">
        <v>1</v>
      </c>
    </row>
    <row r="1126" spans="1:6" x14ac:dyDescent="0.35">
      <c r="A1126" t="s">
        <v>2856</v>
      </c>
      <c r="B1126" t="s">
        <v>2863</v>
      </c>
      <c r="C1126" t="s">
        <v>1533</v>
      </c>
      <c r="D1126" t="s">
        <v>2881</v>
      </c>
      <c r="E1126">
        <v>5880</v>
      </c>
      <c r="F1126" s="11">
        <v>0</v>
      </c>
    </row>
    <row r="1127" spans="1:6" x14ac:dyDescent="0.35">
      <c r="A1127" t="s">
        <v>2856</v>
      </c>
      <c r="B1127" t="s">
        <v>2863</v>
      </c>
      <c r="C1127" t="s">
        <v>1533</v>
      </c>
      <c r="D1127" t="s">
        <v>2882</v>
      </c>
      <c r="E1127">
        <v>0</v>
      </c>
      <c r="F1127" s="11">
        <v>1</v>
      </c>
    </row>
    <row r="1128" spans="1:6" x14ac:dyDescent="0.35">
      <c r="A1128" t="s">
        <v>2856</v>
      </c>
      <c r="B1128" t="s">
        <v>2863</v>
      </c>
      <c r="C1128" t="s">
        <v>1533</v>
      </c>
      <c r="D1128" t="s">
        <v>2883</v>
      </c>
      <c r="E1128">
        <v>0</v>
      </c>
      <c r="F1128" s="11">
        <v>0</v>
      </c>
    </row>
    <row r="1129" spans="1:6" x14ac:dyDescent="0.35">
      <c r="A1129" t="s">
        <v>2856</v>
      </c>
      <c r="B1129" t="s">
        <v>2863</v>
      </c>
      <c r="C1129" t="s">
        <v>1533</v>
      </c>
      <c r="D1129" t="s">
        <v>2884</v>
      </c>
      <c r="E1129">
        <v>0</v>
      </c>
      <c r="F1129" s="11">
        <v>0</v>
      </c>
    </row>
    <row r="1130" spans="1:6" x14ac:dyDescent="0.35">
      <c r="A1130" t="s">
        <v>2856</v>
      </c>
      <c r="B1130" t="s">
        <v>2863</v>
      </c>
      <c r="C1130" t="s">
        <v>1533</v>
      </c>
      <c r="D1130" t="s">
        <v>2885</v>
      </c>
      <c r="E1130">
        <v>0</v>
      </c>
      <c r="F1130" s="11">
        <v>0</v>
      </c>
    </row>
    <row r="1131" spans="1:6" x14ac:dyDescent="0.35">
      <c r="A1131" t="s">
        <v>2856</v>
      </c>
      <c r="B1131" t="s">
        <v>2863</v>
      </c>
      <c r="C1131" t="s">
        <v>1533</v>
      </c>
      <c r="D1131" t="s">
        <v>2886</v>
      </c>
      <c r="E1131">
        <v>0</v>
      </c>
      <c r="F1131" s="11">
        <v>0</v>
      </c>
    </row>
    <row r="1132" spans="1:6" x14ac:dyDescent="0.35">
      <c r="A1132" t="s">
        <v>2856</v>
      </c>
      <c r="B1132" t="s">
        <v>2863</v>
      </c>
      <c r="C1132" t="s">
        <v>1533</v>
      </c>
      <c r="D1132" t="s">
        <v>2887</v>
      </c>
      <c r="E1132">
        <v>0</v>
      </c>
      <c r="F1132" s="11">
        <v>0</v>
      </c>
    </row>
    <row r="1133" spans="1:6" x14ac:dyDescent="0.35">
      <c r="A1133" t="s">
        <v>2856</v>
      </c>
      <c r="B1133" t="s">
        <v>2863</v>
      </c>
      <c r="C1133" t="s">
        <v>1533</v>
      </c>
      <c r="D1133" t="s">
        <v>2888</v>
      </c>
      <c r="E1133">
        <v>67973</v>
      </c>
      <c r="F1133" s="11">
        <v>1</v>
      </c>
    </row>
    <row r="1134" spans="1:6" x14ac:dyDescent="0.35">
      <c r="A1134" t="s">
        <v>2856</v>
      </c>
      <c r="B1134" t="s">
        <v>2863</v>
      </c>
      <c r="C1134" t="s">
        <v>1533</v>
      </c>
      <c r="D1134" t="s">
        <v>2889</v>
      </c>
      <c r="E1134">
        <v>53383</v>
      </c>
      <c r="F1134" s="11">
        <v>1</v>
      </c>
    </row>
    <row r="1135" spans="1:6" x14ac:dyDescent="0.35">
      <c r="A1135" t="s">
        <v>2856</v>
      </c>
      <c r="B1135" t="s">
        <v>2863</v>
      </c>
      <c r="C1135" t="s">
        <v>1533</v>
      </c>
      <c r="D1135" t="s">
        <v>2890</v>
      </c>
      <c r="E1135">
        <v>2088</v>
      </c>
      <c r="F1135" s="11">
        <v>1</v>
      </c>
    </row>
    <row r="1136" spans="1:6" x14ac:dyDescent="0.35">
      <c r="A1136" t="s">
        <v>2856</v>
      </c>
      <c r="B1136" t="s">
        <v>2863</v>
      </c>
      <c r="C1136" t="s">
        <v>1533</v>
      </c>
      <c r="D1136" t="s">
        <v>2891</v>
      </c>
      <c r="E1136">
        <v>0</v>
      </c>
      <c r="F1136" s="11">
        <v>0</v>
      </c>
    </row>
    <row r="1137" spans="1:6" x14ac:dyDescent="0.35">
      <c r="A1137" t="s">
        <v>2856</v>
      </c>
      <c r="B1137" t="s">
        <v>2863</v>
      </c>
      <c r="C1137" t="s">
        <v>1533</v>
      </c>
      <c r="D1137" t="s">
        <v>2892</v>
      </c>
      <c r="E1137">
        <v>0</v>
      </c>
      <c r="F1137" s="11">
        <v>0</v>
      </c>
    </row>
    <row r="1138" spans="1:6" x14ac:dyDescent="0.35">
      <c r="A1138" t="s">
        <v>2856</v>
      </c>
      <c r="B1138" t="s">
        <v>2863</v>
      </c>
      <c r="C1138" t="s">
        <v>1533</v>
      </c>
      <c r="D1138" t="s">
        <v>2893</v>
      </c>
      <c r="E1138">
        <v>0</v>
      </c>
      <c r="F1138" s="11">
        <v>0</v>
      </c>
    </row>
    <row r="1139" spans="1:6" x14ac:dyDescent="0.35">
      <c r="A1139" t="s">
        <v>2856</v>
      </c>
      <c r="B1139" t="s">
        <v>2863</v>
      </c>
      <c r="C1139" t="s">
        <v>1533</v>
      </c>
      <c r="D1139" t="s">
        <v>2894</v>
      </c>
      <c r="E1139">
        <v>0</v>
      </c>
      <c r="F1139" s="11">
        <v>0</v>
      </c>
    </row>
    <row r="1140" spans="1:6" x14ac:dyDescent="0.35">
      <c r="A1140" t="s">
        <v>2856</v>
      </c>
      <c r="B1140" t="s">
        <v>2863</v>
      </c>
      <c r="C1140" t="s">
        <v>1533</v>
      </c>
      <c r="D1140" t="s">
        <v>2895</v>
      </c>
      <c r="E1140">
        <v>772451</v>
      </c>
      <c r="F1140" s="11">
        <v>1</v>
      </c>
    </row>
    <row r="1141" spans="1:6" x14ac:dyDescent="0.35">
      <c r="A1141" t="s">
        <v>2856</v>
      </c>
      <c r="B1141" t="s">
        <v>2863</v>
      </c>
      <c r="C1141" t="s">
        <v>1533</v>
      </c>
      <c r="D1141" t="s">
        <v>2896</v>
      </c>
      <c r="E1141">
        <v>479829</v>
      </c>
      <c r="F1141" s="11">
        <v>0</v>
      </c>
    </row>
    <row r="1142" spans="1:6" x14ac:dyDescent="0.35">
      <c r="A1142" t="s">
        <v>2856</v>
      </c>
      <c r="B1142" t="s">
        <v>2863</v>
      </c>
      <c r="C1142" t="s">
        <v>1533</v>
      </c>
      <c r="D1142" t="s">
        <v>2897</v>
      </c>
      <c r="E1142">
        <v>292802</v>
      </c>
      <c r="F1142" s="11">
        <v>0</v>
      </c>
    </row>
    <row r="1143" spans="1:6" x14ac:dyDescent="0.35">
      <c r="A1143" t="s">
        <v>2856</v>
      </c>
      <c r="B1143" t="s">
        <v>2863</v>
      </c>
      <c r="C1143" t="s">
        <v>1533</v>
      </c>
      <c r="D1143" t="s">
        <v>2898</v>
      </c>
      <c r="E1143">
        <v>0</v>
      </c>
      <c r="F1143" s="11">
        <v>0</v>
      </c>
    </row>
    <row r="1144" spans="1:6" x14ac:dyDescent="0.35">
      <c r="A1144" t="s">
        <v>2856</v>
      </c>
      <c r="B1144" t="s">
        <v>2863</v>
      </c>
      <c r="C1144" t="s">
        <v>1533</v>
      </c>
      <c r="D1144" t="s">
        <v>2899</v>
      </c>
      <c r="E1144">
        <v>21523</v>
      </c>
      <c r="F1144" s="11">
        <v>1</v>
      </c>
    </row>
    <row r="1145" spans="1:6" x14ac:dyDescent="0.35">
      <c r="A1145" t="s">
        <v>2856</v>
      </c>
      <c r="B1145" t="s">
        <v>2863</v>
      </c>
      <c r="C1145" t="s">
        <v>1533</v>
      </c>
      <c r="D1145" t="s">
        <v>2900</v>
      </c>
      <c r="E1145">
        <v>0</v>
      </c>
      <c r="F1145" s="11">
        <v>0</v>
      </c>
    </row>
    <row r="1146" spans="1:6" x14ac:dyDescent="0.35">
      <c r="A1146" t="s">
        <v>2856</v>
      </c>
      <c r="B1146" t="s">
        <v>2863</v>
      </c>
      <c r="C1146" t="s">
        <v>1533</v>
      </c>
      <c r="D1146" t="s">
        <v>2901</v>
      </c>
      <c r="E1146">
        <v>0</v>
      </c>
      <c r="F1146" s="11">
        <v>0</v>
      </c>
    </row>
    <row r="1147" spans="1:6" x14ac:dyDescent="0.35">
      <c r="A1147" t="s">
        <v>2856</v>
      </c>
      <c r="B1147" t="s">
        <v>2863</v>
      </c>
      <c r="C1147" t="s">
        <v>1533</v>
      </c>
      <c r="D1147" t="s">
        <v>2902</v>
      </c>
      <c r="E1147">
        <v>0</v>
      </c>
      <c r="F1147" s="11">
        <v>0</v>
      </c>
    </row>
    <row r="1148" spans="1:6" x14ac:dyDescent="0.35">
      <c r="A1148" t="s">
        <v>2856</v>
      </c>
      <c r="B1148" t="s">
        <v>2863</v>
      </c>
      <c r="C1148" t="s">
        <v>1533</v>
      </c>
      <c r="D1148" t="s">
        <v>2903</v>
      </c>
      <c r="E1148">
        <v>33964</v>
      </c>
      <c r="F1148" s="11">
        <v>1</v>
      </c>
    </row>
    <row r="1149" spans="1:6" x14ac:dyDescent="0.35">
      <c r="A1149" t="s">
        <v>2856</v>
      </c>
      <c r="B1149" t="s">
        <v>2863</v>
      </c>
      <c r="C1149" t="s">
        <v>1533</v>
      </c>
      <c r="D1149" t="s">
        <v>2904</v>
      </c>
      <c r="E1149">
        <v>0</v>
      </c>
      <c r="F1149" s="11">
        <v>0</v>
      </c>
    </row>
    <row r="1150" spans="1:6" x14ac:dyDescent="0.35">
      <c r="A1150" t="s">
        <v>2856</v>
      </c>
      <c r="B1150" t="s">
        <v>2863</v>
      </c>
      <c r="C1150" t="s">
        <v>1533</v>
      </c>
      <c r="D1150" t="s">
        <v>2905</v>
      </c>
      <c r="E1150">
        <v>0</v>
      </c>
      <c r="F1150" s="11">
        <v>0</v>
      </c>
    </row>
    <row r="1151" spans="1:6" x14ac:dyDescent="0.35">
      <c r="A1151" t="s">
        <v>2856</v>
      </c>
      <c r="B1151" t="s">
        <v>2863</v>
      </c>
      <c r="C1151" t="s">
        <v>1533</v>
      </c>
      <c r="D1151" t="s">
        <v>2906</v>
      </c>
      <c r="E1151">
        <v>0</v>
      </c>
      <c r="F1151" s="11">
        <v>0</v>
      </c>
    </row>
    <row r="1152" spans="1:6" x14ac:dyDescent="0.35">
      <c r="A1152" t="s">
        <v>2856</v>
      </c>
      <c r="B1152" t="s">
        <v>2863</v>
      </c>
      <c r="C1152" t="s">
        <v>1533</v>
      </c>
      <c r="D1152" t="s">
        <v>2907</v>
      </c>
      <c r="E1152">
        <v>44344</v>
      </c>
      <c r="F1152" s="11">
        <v>1</v>
      </c>
    </row>
    <row r="1153" spans="1:6" x14ac:dyDescent="0.35">
      <c r="A1153" t="s">
        <v>2856</v>
      </c>
      <c r="B1153" t="s">
        <v>2863</v>
      </c>
      <c r="C1153" t="s">
        <v>1533</v>
      </c>
      <c r="D1153" t="s">
        <v>2908</v>
      </c>
      <c r="E1153">
        <v>0</v>
      </c>
      <c r="F1153" s="11">
        <v>0</v>
      </c>
    </row>
    <row r="1154" spans="1:6" x14ac:dyDescent="0.35">
      <c r="A1154" t="s">
        <v>2856</v>
      </c>
      <c r="B1154" t="s">
        <v>2863</v>
      </c>
      <c r="C1154" t="s">
        <v>1533</v>
      </c>
      <c r="D1154" t="s">
        <v>2909</v>
      </c>
      <c r="E1154">
        <v>0</v>
      </c>
      <c r="F1154" s="11">
        <v>0</v>
      </c>
    </row>
    <row r="1155" spans="1:6" x14ac:dyDescent="0.35">
      <c r="A1155" t="s">
        <v>2856</v>
      </c>
      <c r="B1155" t="s">
        <v>2863</v>
      </c>
      <c r="C1155" t="s">
        <v>1533</v>
      </c>
      <c r="D1155" t="s">
        <v>2910</v>
      </c>
      <c r="E1155">
        <v>0</v>
      </c>
      <c r="F1155" s="11">
        <v>0</v>
      </c>
    </row>
    <row r="1156" spans="1:6" x14ac:dyDescent="0.35">
      <c r="A1156" t="s">
        <v>2856</v>
      </c>
      <c r="B1156" t="s">
        <v>2863</v>
      </c>
      <c r="C1156" t="s">
        <v>1533</v>
      </c>
      <c r="D1156" t="s">
        <v>2911</v>
      </c>
      <c r="E1156">
        <v>531453</v>
      </c>
      <c r="F1156" s="11">
        <v>1</v>
      </c>
    </row>
    <row r="1157" spans="1:6" x14ac:dyDescent="0.35">
      <c r="A1157" t="s">
        <v>2856</v>
      </c>
      <c r="B1157" t="s">
        <v>2863</v>
      </c>
      <c r="C1157" t="s">
        <v>1533</v>
      </c>
      <c r="D1157" t="s">
        <v>2912</v>
      </c>
      <c r="E1157">
        <v>323646</v>
      </c>
      <c r="F1157" s="11">
        <v>0</v>
      </c>
    </row>
    <row r="1158" spans="1:6" x14ac:dyDescent="0.35">
      <c r="A1158" t="s">
        <v>2856</v>
      </c>
      <c r="B1158" t="s">
        <v>2863</v>
      </c>
      <c r="C1158" t="s">
        <v>1533</v>
      </c>
      <c r="D1158" t="s">
        <v>2913</v>
      </c>
      <c r="E1158">
        <v>0</v>
      </c>
      <c r="F1158" s="11">
        <v>0</v>
      </c>
    </row>
    <row r="1159" spans="1:6" x14ac:dyDescent="0.35">
      <c r="A1159" t="s">
        <v>2856</v>
      </c>
      <c r="B1159" t="s">
        <v>2863</v>
      </c>
      <c r="C1159" t="s">
        <v>1533</v>
      </c>
      <c r="D1159" t="s">
        <v>2914</v>
      </c>
      <c r="E1159">
        <v>0</v>
      </c>
      <c r="F1159" s="11">
        <v>0</v>
      </c>
    </row>
    <row r="1160" spans="1:6" x14ac:dyDescent="0.35">
      <c r="A1160" t="s">
        <v>2856</v>
      </c>
      <c r="B1160" t="s">
        <v>2863</v>
      </c>
      <c r="C1160" t="s">
        <v>1533</v>
      </c>
      <c r="D1160" t="s">
        <v>2915</v>
      </c>
      <c r="E1160">
        <v>4839</v>
      </c>
      <c r="F1160" s="11">
        <v>0</v>
      </c>
    </row>
    <row r="1161" spans="1:6" x14ac:dyDescent="0.35">
      <c r="A1161" t="s">
        <v>2856</v>
      </c>
      <c r="B1161" t="s">
        <v>2863</v>
      </c>
      <c r="C1161" t="s">
        <v>1533</v>
      </c>
      <c r="D1161" t="s">
        <v>2916</v>
      </c>
      <c r="E1161">
        <v>78208</v>
      </c>
      <c r="F1161" s="11">
        <v>1</v>
      </c>
    </row>
    <row r="1162" spans="1:6" x14ac:dyDescent="0.35">
      <c r="A1162" t="s">
        <v>2856</v>
      </c>
      <c r="B1162" t="s">
        <v>2863</v>
      </c>
      <c r="C1162" t="s">
        <v>1533</v>
      </c>
      <c r="D1162" t="s">
        <v>2917</v>
      </c>
      <c r="E1162">
        <v>0</v>
      </c>
      <c r="F1162" s="11">
        <v>0</v>
      </c>
    </row>
    <row r="1163" spans="1:6" x14ac:dyDescent="0.35">
      <c r="A1163" t="s">
        <v>2856</v>
      </c>
      <c r="B1163" t="s">
        <v>2862</v>
      </c>
      <c r="C1163" t="s">
        <v>2665</v>
      </c>
      <c r="D1163" t="s">
        <v>2875</v>
      </c>
      <c r="E1163">
        <v>20962</v>
      </c>
      <c r="F1163" s="11">
        <v>0</v>
      </c>
    </row>
    <row r="1164" spans="1:6" x14ac:dyDescent="0.35">
      <c r="A1164" t="s">
        <v>2856</v>
      </c>
      <c r="B1164" t="s">
        <v>2862</v>
      </c>
      <c r="C1164" t="s">
        <v>2665</v>
      </c>
      <c r="D1164" t="s">
        <v>2876</v>
      </c>
      <c r="E1164">
        <v>4201</v>
      </c>
      <c r="F1164" s="11">
        <v>0</v>
      </c>
    </row>
    <row r="1165" spans="1:6" x14ac:dyDescent="0.35">
      <c r="A1165" t="s">
        <v>2856</v>
      </c>
      <c r="B1165" t="s">
        <v>2862</v>
      </c>
      <c r="C1165" t="s">
        <v>2665</v>
      </c>
      <c r="D1165" t="s">
        <v>2877</v>
      </c>
      <c r="E1165">
        <v>14614</v>
      </c>
      <c r="F1165" s="11">
        <v>0</v>
      </c>
    </row>
    <row r="1166" spans="1:6" x14ac:dyDescent="0.35">
      <c r="A1166" t="s">
        <v>2856</v>
      </c>
      <c r="B1166" t="s">
        <v>2862</v>
      </c>
      <c r="C1166" t="s">
        <v>2665</v>
      </c>
      <c r="D1166" t="s">
        <v>2878</v>
      </c>
      <c r="E1166">
        <v>2147</v>
      </c>
      <c r="F1166" s="11">
        <v>0</v>
      </c>
    </row>
    <row r="1167" spans="1:6" x14ac:dyDescent="0.35">
      <c r="A1167" t="s">
        <v>2856</v>
      </c>
      <c r="B1167" t="s">
        <v>2862</v>
      </c>
      <c r="C1167" t="s">
        <v>2665</v>
      </c>
      <c r="D1167" t="s">
        <v>2879</v>
      </c>
      <c r="E1167">
        <v>2980</v>
      </c>
      <c r="F1167" s="11">
        <v>0</v>
      </c>
    </row>
    <row r="1168" spans="1:6" x14ac:dyDescent="0.35">
      <c r="A1168" t="s">
        <v>2856</v>
      </c>
      <c r="B1168" t="s">
        <v>2862</v>
      </c>
      <c r="C1168" t="s">
        <v>2665</v>
      </c>
      <c r="D1168" t="s">
        <v>2880</v>
      </c>
      <c r="E1168">
        <v>666</v>
      </c>
      <c r="F1168" s="11">
        <v>0</v>
      </c>
    </row>
    <row r="1169" spans="1:6" x14ac:dyDescent="0.35">
      <c r="A1169" t="s">
        <v>2856</v>
      </c>
      <c r="B1169" t="s">
        <v>2862</v>
      </c>
      <c r="C1169" t="s">
        <v>2665</v>
      </c>
      <c r="D1169" t="s">
        <v>2881</v>
      </c>
      <c r="E1169">
        <v>1579</v>
      </c>
      <c r="F1169" s="11">
        <v>0</v>
      </c>
    </row>
    <row r="1170" spans="1:6" x14ac:dyDescent="0.35">
      <c r="A1170" t="s">
        <v>2856</v>
      </c>
      <c r="B1170" t="s">
        <v>2862</v>
      </c>
      <c r="C1170" t="s">
        <v>2665</v>
      </c>
      <c r="D1170" t="s">
        <v>2882</v>
      </c>
      <c r="E1170">
        <v>108</v>
      </c>
      <c r="F1170" s="11">
        <v>0</v>
      </c>
    </row>
    <row r="1171" spans="1:6" x14ac:dyDescent="0.35">
      <c r="A1171" t="s">
        <v>2856</v>
      </c>
      <c r="B1171" t="s">
        <v>2862</v>
      </c>
      <c r="C1171" t="s">
        <v>2665</v>
      </c>
      <c r="D1171" t="s">
        <v>2883</v>
      </c>
      <c r="E1171">
        <v>0</v>
      </c>
      <c r="F1171" s="11">
        <v>0</v>
      </c>
    </row>
    <row r="1172" spans="1:6" x14ac:dyDescent="0.35">
      <c r="A1172" t="s">
        <v>2856</v>
      </c>
      <c r="B1172" t="s">
        <v>2862</v>
      </c>
      <c r="C1172" t="s">
        <v>2665</v>
      </c>
      <c r="D1172" t="s">
        <v>2884</v>
      </c>
      <c r="E1172">
        <v>0</v>
      </c>
      <c r="F1172" s="11">
        <v>0</v>
      </c>
    </row>
    <row r="1173" spans="1:6" x14ac:dyDescent="0.35">
      <c r="A1173" t="s">
        <v>2856</v>
      </c>
      <c r="B1173" t="s">
        <v>2862</v>
      </c>
      <c r="C1173" t="s">
        <v>2665</v>
      </c>
      <c r="D1173" t="s">
        <v>2885</v>
      </c>
      <c r="E1173">
        <v>0</v>
      </c>
      <c r="F1173" s="11">
        <v>0</v>
      </c>
    </row>
    <row r="1174" spans="1:6" x14ac:dyDescent="0.35">
      <c r="A1174" t="s">
        <v>2856</v>
      </c>
      <c r="B1174" t="s">
        <v>2862</v>
      </c>
      <c r="C1174" t="s">
        <v>2665</v>
      </c>
      <c r="D1174" t="s">
        <v>2886</v>
      </c>
      <c r="E1174">
        <v>0</v>
      </c>
      <c r="F1174" s="11">
        <v>0</v>
      </c>
    </row>
    <row r="1175" spans="1:6" x14ac:dyDescent="0.35">
      <c r="A1175" t="s">
        <v>2856</v>
      </c>
      <c r="B1175" t="s">
        <v>2862</v>
      </c>
      <c r="C1175" t="s">
        <v>2665</v>
      </c>
      <c r="D1175" t="s">
        <v>2887</v>
      </c>
      <c r="E1175">
        <v>37209</v>
      </c>
      <c r="F1175" s="11">
        <v>0</v>
      </c>
    </row>
    <row r="1176" spans="1:6" x14ac:dyDescent="0.35">
      <c r="A1176" t="s">
        <v>2856</v>
      </c>
      <c r="B1176" t="s">
        <v>2862</v>
      </c>
      <c r="C1176" t="s">
        <v>2665</v>
      </c>
      <c r="D1176" t="s">
        <v>2888</v>
      </c>
      <c r="E1176">
        <v>10092</v>
      </c>
      <c r="F1176" s="11">
        <v>0</v>
      </c>
    </row>
    <row r="1177" spans="1:6" x14ac:dyDescent="0.35">
      <c r="A1177" t="s">
        <v>2856</v>
      </c>
      <c r="B1177" t="s">
        <v>2862</v>
      </c>
      <c r="C1177" t="s">
        <v>2665</v>
      </c>
      <c r="D1177" t="s">
        <v>2889</v>
      </c>
      <c r="E1177">
        <v>25716</v>
      </c>
      <c r="F1177" s="11">
        <v>0</v>
      </c>
    </row>
    <row r="1178" spans="1:6" x14ac:dyDescent="0.35">
      <c r="A1178" t="s">
        <v>2856</v>
      </c>
      <c r="B1178" t="s">
        <v>2862</v>
      </c>
      <c r="C1178" t="s">
        <v>2665</v>
      </c>
      <c r="D1178" t="s">
        <v>2890</v>
      </c>
      <c r="E1178">
        <v>1401</v>
      </c>
      <c r="F1178" s="11">
        <v>0</v>
      </c>
    </row>
    <row r="1179" spans="1:6" x14ac:dyDescent="0.35">
      <c r="A1179" t="s">
        <v>2856</v>
      </c>
      <c r="B1179" t="s">
        <v>2862</v>
      </c>
      <c r="C1179" t="s">
        <v>2665</v>
      </c>
      <c r="D1179" t="s">
        <v>2891</v>
      </c>
      <c r="E1179">
        <v>0</v>
      </c>
      <c r="F1179" s="11">
        <v>0</v>
      </c>
    </row>
    <row r="1180" spans="1:6" x14ac:dyDescent="0.35">
      <c r="A1180" t="s">
        <v>2856</v>
      </c>
      <c r="B1180" t="s">
        <v>2862</v>
      </c>
      <c r="C1180" t="s">
        <v>2665</v>
      </c>
      <c r="D1180" t="s">
        <v>2892</v>
      </c>
      <c r="E1180">
        <v>0</v>
      </c>
      <c r="F1180" s="11">
        <v>0</v>
      </c>
    </row>
    <row r="1181" spans="1:6" x14ac:dyDescent="0.35">
      <c r="A1181" t="s">
        <v>2856</v>
      </c>
      <c r="B1181" t="s">
        <v>2862</v>
      </c>
      <c r="C1181" t="s">
        <v>2665</v>
      </c>
      <c r="D1181" t="s">
        <v>2893</v>
      </c>
      <c r="E1181">
        <v>0</v>
      </c>
      <c r="F1181" s="11">
        <v>0</v>
      </c>
    </row>
    <row r="1182" spans="1:6" x14ac:dyDescent="0.35">
      <c r="A1182" t="s">
        <v>2856</v>
      </c>
      <c r="B1182" t="s">
        <v>2862</v>
      </c>
      <c r="C1182" t="s">
        <v>2665</v>
      </c>
      <c r="D1182" t="s">
        <v>2894</v>
      </c>
      <c r="E1182">
        <v>0</v>
      </c>
      <c r="F1182" s="11">
        <v>0</v>
      </c>
    </row>
    <row r="1183" spans="1:6" x14ac:dyDescent="0.35">
      <c r="A1183" t="s">
        <v>2856</v>
      </c>
      <c r="B1183" t="s">
        <v>2862</v>
      </c>
      <c r="C1183" t="s">
        <v>2665</v>
      </c>
      <c r="D1183" t="s">
        <v>2895</v>
      </c>
      <c r="E1183">
        <v>489798</v>
      </c>
      <c r="F1183" s="11">
        <v>0</v>
      </c>
    </row>
    <row r="1184" spans="1:6" x14ac:dyDescent="0.35">
      <c r="A1184" t="s">
        <v>2856</v>
      </c>
      <c r="B1184" t="s">
        <v>2862</v>
      </c>
      <c r="C1184" t="s">
        <v>2665</v>
      </c>
      <c r="D1184" t="s">
        <v>2896</v>
      </c>
      <c r="E1184">
        <v>184206</v>
      </c>
      <c r="F1184" s="11">
        <v>0</v>
      </c>
    </row>
    <row r="1185" spans="1:6" x14ac:dyDescent="0.35">
      <c r="A1185" t="s">
        <v>2856</v>
      </c>
      <c r="B1185" t="s">
        <v>2862</v>
      </c>
      <c r="C1185" t="s">
        <v>2665</v>
      </c>
      <c r="D1185" t="s">
        <v>2897</v>
      </c>
      <c r="E1185">
        <v>292847</v>
      </c>
      <c r="F1185" s="11">
        <v>0</v>
      </c>
    </row>
    <row r="1186" spans="1:6" x14ac:dyDescent="0.35">
      <c r="A1186" t="s">
        <v>2856</v>
      </c>
      <c r="B1186" t="s">
        <v>2862</v>
      </c>
      <c r="C1186" t="s">
        <v>2665</v>
      </c>
      <c r="D1186" t="s">
        <v>2898</v>
      </c>
      <c r="E1186">
        <v>12745</v>
      </c>
      <c r="F1186" s="11">
        <v>0</v>
      </c>
    </row>
    <row r="1187" spans="1:6" x14ac:dyDescent="0.35">
      <c r="A1187" t="s">
        <v>2856</v>
      </c>
      <c r="B1187" t="s">
        <v>2862</v>
      </c>
      <c r="C1187" t="s">
        <v>2665</v>
      </c>
      <c r="D1187" t="s">
        <v>2899</v>
      </c>
      <c r="E1187">
        <v>1627</v>
      </c>
      <c r="F1187" s="11">
        <v>0</v>
      </c>
    </row>
    <row r="1188" spans="1:6" x14ac:dyDescent="0.35">
      <c r="A1188" t="s">
        <v>2856</v>
      </c>
      <c r="B1188" t="s">
        <v>2862</v>
      </c>
      <c r="C1188" t="s">
        <v>2665</v>
      </c>
      <c r="D1188" t="s">
        <v>2900</v>
      </c>
      <c r="E1188">
        <v>766</v>
      </c>
      <c r="F1188" s="11">
        <v>0</v>
      </c>
    </row>
    <row r="1189" spans="1:6" x14ac:dyDescent="0.35">
      <c r="A1189" t="s">
        <v>2856</v>
      </c>
      <c r="B1189" t="s">
        <v>2862</v>
      </c>
      <c r="C1189" t="s">
        <v>2665</v>
      </c>
      <c r="D1189" t="s">
        <v>2901</v>
      </c>
      <c r="E1189">
        <v>861</v>
      </c>
      <c r="F1189" s="11">
        <v>0</v>
      </c>
    </row>
    <row r="1190" spans="1:6" x14ac:dyDescent="0.35">
      <c r="A1190" t="s">
        <v>2856</v>
      </c>
      <c r="B1190" t="s">
        <v>2862</v>
      </c>
      <c r="C1190" t="s">
        <v>2665</v>
      </c>
      <c r="D1190" t="s">
        <v>2902</v>
      </c>
      <c r="E1190">
        <v>0</v>
      </c>
      <c r="F1190" s="11">
        <v>0</v>
      </c>
    </row>
    <row r="1191" spans="1:6" x14ac:dyDescent="0.35">
      <c r="A1191" t="s">
        <v>2856</v>
      </c>
      <c r="B1191" t="s">
        <v>2862</v>
      </c>
      <c r="C1191" t="s">
        <v>2665</v>
      </c>
      <c r="D1191" t="s">
        <v>2903</v>
      </c>
      <c r="E1191">
        <v>38790</v>
      </c>
      <c r="F1191" s="11">
        <v>0</v>
      </c>
    </row>
    <row r="1192" spans="1:6" x14ac:dyDescent="0.35">
      <c r="A1192" t="s">
        <v>2856</v>
      </c>
      <c r="B1192" t="s">
        <v>2862</v>
      </c>
      <c r="C1192" t="s">
        <v>2665</v>
      </c>
      <c r="D1192" t="s">
        <v>2904</v>
      </c>
      <c r="E1192">
        <v>30761</v>
      </c>
      <c r="F1192" s="11">
        <v>0</v>
      </c>
    </row>
    <row r="1193" spans="1:6" x14ac:dyDescent="0.35">
      <c r="A1193" t="s">
        <v>2856</v>
      </c>
      <c r="B1193" t="s">
        <v>2862</v>
      </c>
      <c r="C1193" t="s">
        <v>2665</v>
      </c>
      <c r="D1193" t="s">
        <v>2905</v>
      </c>
      <c r="E1193">
        <v>5404</v>
      </c>
      <c r="F1193" s="11">
        <v>0</v>
      </c>
    </row>
    <row r="1194" spans="1:6" x14ac:dyDescent="0.35">
      <c r="A1194" t="s">
        <v>2856</v>
      </c>
      <c r="B1194" t="s">
        <v>2862</v>
      </c>
      <c r="C1194" t="s">
        <v>2665</v>
      </c>
      <c r="D1194" t="s">
        <v>2906</v>
      </c>
      <c r="E1194">
        <v>2625</v>
      </c>
      <c r="F1194" s="11">
        <v>0</v>
      </c>
    </row>
    <row r="1195" spans="1:6" x14ac:dyDescent="0.35">
      <c r="A1195" t="s">
        <v>2856</v>
      </c>
      <c r="B1195" t="s">
        <v>2862</v>
      </c>
      <c r="C1195" t="s">
        <v>2665</v>
      </c>
      <c r="D1195" t="s">
        <v>2907</v>
      </c>
      <c r="E1195">
        <v>35988</v>
      </c>
      <c r="F1195" s="11">
        <v>0</v>
      </c>
    </row>
    <row r="1196" spans="1:6" x14ac:dyDescent="0.35">
      <c r="A1196" t="s">
        <v>2856</v>
      </c>
      <c r="B1196" t="s">
        <v>2862</v>
      </c>
      <c r="C1196" t="s">
        <v>2665</v>
      </c>
      <c r="D1196" t="s">
        <v>2908</v>
      </c>
      <c r="E1196">
        <v>29109</v>
      </c>
      <c r="F1196" s="11">
        <v>0</v>
      </c>
    </row>
    <row r="1197" spans="1:6" x14ac:dyDescent="0.35">
      <c r="A1197" t="s">
        <v>2856</v>
      </c>
      <c r="B1197" t="s">
        <v>2862</v>
      </c>
      <c r="C1197" t="s">
        <v>2665</v>
      </c>
      <c r="D1197" t="s">
        <v>2909</v>
      </c>
      <c r="E1197">
        <v>4771</v>
      </c>
      <c r="F1197" s="11">
        <v>0</v>
      </c>
    </row>
    <row r="1198" spans="1:6" x14ac:dyDescent="0.35">
      <c r="A1198" t="s">
        <v>2856</v>
      </c>
      <c r="B1198" t="s">
        <v>2862</v>
      </c>
      <c r="C1198" t="s">
        <v>2665</v>
      </c>
      <c r="D1198" t="s">
        <v>2910</v>
      </c>
      <c r="E1198">
        <v>2108</v>
      </c>
      <c r="F1198" s="11">
        <v>0</v>
      </c>
    </row>
    <row r="1199" spans="1:6" x14ac:dyDescent="0.35">
      <c r="A1199" t="s">
        <v>2856</v>
      </c>
      <c r="B1199" t="s">
        <v>2862</v>
      </c>
      <c r="C1199" t="s">
        <v>2665</v>
      </c>
      <c r="D1199" t="s">
        <v>2911</v>
      </c>
      <c r="E1199">
        <v>73164</v>
      </c>
      <c r="F1199" s="11">
        <v>0</v>
      </c>
    </row>
    <row r="1200" spans="1:6" x14ac:dyDescent="0.35">
      <c r="A1200" t="s">
        <v>2856</v>
      </c>
      <c r="B1200" t="s">
        <v>2862</v>
      </c>
      <c r="C1200" t="s">
        <v>2665</v>
      </c>
      <c r="D1200" t="s">
        <v>2912</v>
      </c>
      <c r="E1200">
        <v>460105</v>
      </c>
      <c r="F1200" s="11">
        <v>0</v>
      </c>
    </row>
    <row r="1201" spans="1:6" x14ac:dyDescent="0.35">
      <c r="A1201" t="s">
        <v>2856</v>
      </c>
      <c r="B1201" t="s">
        <v>2862</v>
      </c>
      <c r="C1201" t="s">
        <v>2665</v>
      </c>
      <c r="D1201" t="s">
        <v>2913</v>
      </c>
      <c r="E1201">
        <v>0</v>
      </c>
      <c r="F1201" s="11">
        <v>0</v>
      </c>
    </row>
    <row r="1202" spans="1:6" x14ac:dyDescent="0.35">
      <c r="A1202" t="s">
        <v>2856</v>
      </c>
      <c r="B1202" t="s">
        <v>2862</v>
      </c>
      <c r="C1202" t="s">
        <v>2665</v>
      </c>
      <c r="D1202" t="s">
        <v>2914</v>
      </c>
      <c r="E1202">
        <v>0</v>
      </c>
      <c r="F1202" s="11">
        <v>0</v>
      </c>
    </row>
    <row r="1203" spans="1:6" x14ac:dyDescent="0.35">
      <c r="A1203" t="s">
        <v>2856</v>
      </c>
      <c r="B1203" t="s">
        <v>2862</v>
      </c>
      <c r="C1203" t="s">
        <v>2665</v>
      </c>
      <c r="D1203" t="s">
        <v>2915</v>
      </c>
      <c r="E1203">
        <v>1260</v>
      </c>
      <c r="F1203" s="11">
        <v>0</v>
      </c>
    </row>
    <row r="1204" spans="1:6" x14ac:dyDescent="0.35">
      <c r="A1204" t="s">
        <v>2856</v>
      </c>
      <c r="B1204" t="s">
        <v>2862</v>
      </c>
      <c r="C1204" t="s">
        <v>2665</v>
      </c>
      <c r="D1204" t="s">
        <v>2916</v>
      </c>
      <c r="E1204">
        <v>0</v>
      </c>
      <c r="F1204" s="11">
        <v>0</v>
      </c>
    </row>
    <row r="1205" spans="1:6" x14ac:dyDescent="0.35">
      <c r="A1205" t="s">
        <v>2856</v>
      </c>
      <c r="B1205" t="s">
        <v>2862</v>
      </c>
      <c r="C1205" t="s">
        <v>2665</v>
      </c>
      <c r="D1205" t="s">
        <v>2917</v>
      </c>
      <c r="E1205">
        <v>0</v>
      </c>
      <c r="F1205" s="11">
        <v>0</v>
      </c>
    </row>
    <row r="1206" spans="1:6" x14ac:dyDescent="0.35">
      <c r="A1206" t="s">
        <v>2856</v>
      </c>
      <c r="B1206" t="s">
        <v>2865</v>
      </c>
      <c r="C1206" t="s">
        <v>2667</v>
      </c>
      <c r="D1206" t="s">
        <v>2875</v>
      </c>
      <c r="E1206">
        <v>41429</v>
      </c>
      <c r="F1206" s="11">
        <v>0</v>
      </c>
    </row>
    <row r="1207" spans="1:6" x14ac:dyDescent="0.35">
      <c r="A1207" t="s">
        <v>2856</v>
      </c>
      <c r="B1207" t="s">
        <v>2865</v>
      </c>
      <c r="C1207" t="s">
        <v>2667</v>
      </c>
      <c r="D1207" t="s">
        <v>2876</v>
      </c>
      <c r="E1207">
        <v>8548</v>
      </c>
      <c r="F1207" s="11">
        <v>0</v>
      </c>
    </row>
    <row r="1208" spans="1:6" x14ac:dyDescent="0.35">
      <c r="A1208" t="s">
        <v>2856</v>
      </c>
      <c r="B1208" t="s">
        <v>2865</v>
      </c>
      <c r="C1208" t="s">
        <v>2667</v>
      </c>
      <c r="D1208" t="s">
        <v>2877</v>
      </c>
      <c r="E1208">
        <v>30736</v>
      </c>
      <c r="F1208" s="11">
        <v>0</v>
      </c>
    </row>
    <row r="1209" spans="1:6" x14ac:dyDescent="0.35">
      <c r="A1209" t="s">
        <v>2856</v>
      </c>
      <c r="B1209" t="s">
        <v>2865</v>
      </c>
      <c r="C1209" t="s">
        <v>2667</v>
      </c>
      <c r="D1209" t="s">
        <v>2878</v>
      </c>
      <c r="E1209">
        <v>896</v>
      </c>
      <c r="F1209" s="11">
        <v>0</v>
      </c>
    </row>
    <row r="1210" spans="1:6" x14ac:dyDescent="0.35">
      <c r="A1210" t="s">
        <v>2856</v>
      </c>
      <c r="B1210" t="s">
        <v>2865</v>
      </c>
      <c r="C1210" t="s">
        <v>2667</v>
      </c>
      <c r="D1210" t="s">
        <v>2879</v>
      </c>
      <c r="E1210">
        <v>5728</v>
      </c>
      <c r="F1210" s="11">
        <v>0</v>
      </c>
    </row>
    <row r="1211" spans="1:6" x14ac:dyDescent="0.35">
      <c r="A1211" t="s">
        <v>2856</v>
      </c>
      <c r="B1211" t="s">
        <v>2865</v>
      </c>
      <c r="C1211" t="s">
        <v>2667</v>
      </c>
      <c r="D1211" t="s">
        <v>2880</v>
      </c>
      <c r="E1211">
        <v>0</v>
      </c>
      <c r="F1211" s="11">
        <v>0</v>
      </c>
    </row>
    <row r="1212" spans="1:6" x14ac:dyDescent="0.35">
      <c r="A1212" t="s">
        <v>2856</v>
      </c>
      <c r="B1212" t="s">
        <v>2865</v>
      </c>
      <c r="C1212" t="s">
        <v>2667</v>
      </c>
      <c r="D1212" t="s">
        <v>2881</v>
      </c>
      <c r="E1212">
        <v>0</v>
      </c>
      <c r="F1212" s="11">
        <v>0</v>
      </c>
    </row>
    <row r="1213" spans="1:6" x14ac:dyDescent="0.35">
      <c r="A1213" t="s">
        <v>2856</v>
      </c>
      <c r="B1213" t="s">
        <v>2865</v>
      </c>
      <c r="C1213" t="s">
        <v>2667</v>
      </c>
      <c r="D1213" t="s">
        <v>2882</v>
      </c>
      <c r="E1213">
        <v>0</v>
      </c>
      <c r="F1213" s="11">
        <v>0</v>
      </c>
    </row>
    <row r="1214" spans="1:6" x14ac:dyDescent="0.35">
      <c r="A1214" t="s">
        <v>2856</v>
      </c>
      <c r="B1214" t="s">
        <v>2865</v>
      </c>
      <c r="C1214" t="s">
        <v>2667</v>
      </c>
      <c r="D1214" t="s">
        <v>2883</v>
      </c>
      <c r="E1214">
        <v>0</v>
      </c>
      <c r="F1214" s="11">
        <v>0</v>
      </c>
    </row>
    <row r="1215" spans="1:6" x14ac:dyDescent="0.35">
      <c r="A1215" t="s">
        <v>2856</v>
      </c>
      <c r="B1215" t="s">
        <v>2865</v>
      </c>
      <c r="C1215" t="s">
        <v>2667</v>
      </c>
      <c r="D1215" t="s">
        <v>2884</v>
      </c>
      <c r="E1215">
        <v>0</v>
      </c>
      <c r="F1215" s="11">
        <v>0</v>
      </c>
    </row>
    <row r="1216" spans="1:6" x14ac:dyDescent="0.35">
      <c r="A1216" t="s">
        <v>2856</v>
      </c>
      <c r="B1216" t="s">
        <v>2865</v>
      </c>
      <c r="C1216" t="s">
        <v>2667</v>
      </c>
      <c r="D1216" t="s">
        <v>2885</v>
      </c>
      <c r="E1216">
        <v>0</v>
      </c>
      <c r="F1216" s="11">
        <v>0</v>
      </c>
    </row>
    <row r="1217" spans="1:6" x14ac:dyDescent="0.35">
      <c r="A1217" t="s">
        <v>2856</v>
      </c>
      <c r="B1217" t="s">
        <v>2865</v>
      </c>
      <c r="C1217" t="s">
        <v>2667</v>
      </c>
      <c r="D1217" t="s">
        <v>2886</v>
      </c>
      <c r="E1217">
        <v>0</v>
      </c>
      <c r="F1217" s="11">
        <v>0</v>
      </c>
    </row>
    <row r="1218" spans="1:6" x14ac:dyDescent="0.35">
      <c r="A1218" t="s">
        <v>2856</v>
      </c>
      <c r="B1218" t="s">
        <v>2865</v>
      </c>
      <c r="C1218" t="s">
        <v>2667</v>
      </c>
      <c r="D1218" t="s">
        <v>2887</v>
      </c>
      <c r="E1218">
        <v>47994</v>
      </c>
      <c r="F1218" s="11">
        <v>0</v>
      </c>
    </row>
    <row r="1219" spans="1:6" x14ac:dyDescent="0.35">
      <c r="A1219" t="s">
        <v>2856</v>
      </c>
      <c r="B1219" t="s">
        <v>2865</v>
      </c>
      <c r="C1219" t="s">
        <v>2667</v>
      </c>
      <c r="D1219" t="s">
        <v>2888</v>
      </c>
      <c r="E1219">
        <v>0</v>
      </c>
      <c r="F1219" s="11">
        <v>0</v>
      </c>
    </row>
    <row r="1220" spans="1:6" x14ac:dyDescent="0.35">
      <c r="A1220" t="s">
        <v>2856</v>
      </c>
      <c r="B1220" t="s">
        <v>2865</v>
      </c>
      <c r="C1220" t="s">
        <v>2667</v>
      </c>
      <c r="D1220" t="s">
        <v>2889</v>
      </c>
      <c r="E1220">
        <v>0</v>
      </c>
      <c r="F1220" s="11">
        <v>0</v>
      </c>
    </row>
    <row r="1221" spans="1:6" x14ac:dyDescent="0.35">
      <c r="A1221" t="s">
        <v>2856</v>
      </c>
      <c r="B1221" t="s">
        <v>2865</v>
      </c>
      <c r="C1221" t="s">
        <v>2667</v>
      </c>
      <c r="D1221" t="s">
        <v>2890</v>
      </c>
      <c r="E1221">
        <v>0</v>
      </c>
      <c r="F1221" s="11">
        <v>0</v>
      </c>
    </row>
    <row r="1222" spans="1:6" x14ac:dyDescent="0.35">
      <c r="A1222" t="s">
        <v>2856</v>
      </c>
      <c r="B1222" t="s">
        <v>2865</v>
      </c>
      <c r="C1222" t="s">
        <v>2667</v>
      </c>
      <c r="D1222" t="s">
        <v>2891</v>
      </c>
      <c r="E1222">
        <v>0</v>
      </c>
      <c r="F1222" s="11">
        <v>0</v>
      </c>
    </row>
    <row r="1223" spans="1:6" x14ac:dyDescent="0.35">
      <c r="A1223" t="s">
        <v>2856</v>
      </c>
      <c r="B1223" t="s">
        <v>2865</v>
      </c>
      <c r="C1223" t="s">
        <v>2667</v>
      </c>
      <c r="D1223" t="s">
        <v>2892</v>
      </c>
      <c r="E1223">
        <v>0</v>
      </c>
      <c r="F1223" s="11">
        <v>0</v>
      </c>
    </row>
    <row r="1224" spans="1:6" x14ac:dyDescent="0.35">
      <c r="A1224" t="s">
        <v>2856</v>
      </c>
      <c r="B1224" t="s">
        <v>2865</v>
      </c>
      <c r="C1224" t="s">
        <v>2667</v>
      </c>
      <c r="D1224" t="s">
        <v>2893</v>
      </c>
      <c r="E1224">
        <v>0</v>
      </c>
      <c r="F1224" s="11">
        <v>0</v>
      </c>
    </row>
    <row r="1225" spans="1:6" x14ac:dyDescent="0.35">
      <c r="A1225" t="s">
        <v>2856</v>
      </c>
      <c r="B1225" t="s">
        <v>2865</v>
      </c>
      <c r="C1225" t="s">
        <v>2667</v>
      </c>
      <c r="D1225" t="s">
        <v>2894</v>
      </c>
      <c r="E1225">
        <v>0</v>
      </c>
      <c r="F1225" s="11">
        <v>0</v>
      </c>
    </row>
    <row r="1226" spans="1:6" x14ac:dyDescent="0.35">
      <c r="A1226" t="s">
        <v>2856</v>
      </c>
      <c r="B1226" t="s">
        <v>2865</v>
      </c>
      <c r="C1226" t="s">
        <v>2667</v>
      </c>
      <c r="D1226" t="s">
        <v>2895</v>
      </c>
      <c r="E1226">
        <v>648489</v>
      </c>
      <c r="F1226" s="11">
        <v>0</v>
      </c>
    </row>
    <row r="1227" spans="1:6" x14ac:dyDescent="0.35">
      <c r="A1227" t="s">
        <v>2856</v>
      </c>
      <c r="B1227" t="s">
        <v>2865</v>
      </c>
      <c r="C1227" t="s">
        <v>2667</v>
      </c>
      <c r="D1227" t="s">
        <v>2896</v>
      </c>
      <c r="E1227">
        <v>399605</v>
      </c>
      <c r="F1227" s="11">
        <v>0</v>
      </c>
    </row>
    <row r="1228" spans="1:6" x14ac:dyDescent="0.35">
      <c r="A1228" t="s">
        <v>2856</v>
      </c>
      <c r="B1228" t="s">
        <v>2865</v>
      </c>
      <c r="C1228" t="s">
        <v>2667</v>
      </c>
      <c r="D1228" t="s">
        <v>2897</v>
      </c>
      <c r="E1228">
        <v>185231</v>
      </c>
      <c r="F1228" s="11">
        <v>0</v>
      </c>
    </row>
    <row r="1229" spans="1:6" x14ac:dyDescent="0.35">
      <c r="A1229" t="s">
        <v>2856</v>
      </c>
      <c r="B1229" t="s">
        <v>2865</v>
      </c>
      <c r="C1229" t="s">
        <v>2667</v>
      </c>
      <c r="D1229" t="s">
        <v>2898</v>
      </c>
      <c r="E1229">
        <v>7165</v>
      </c>
      <c r="F1229" s="11">
        <v>0</v>
      </c>
    </row>
    <row r="1230" spans="1:6" x14ac:dyDescent="0.35">
      <c r="A1230" t="s">
        <v>2856</v>
      </c>
      <c r="B1230" t="s">
        <v>2865</v>
      </c>
      <c r="C1230" t="s">
        <v>2667</v>
      </c>
      <c r="D1230" t="s">
        <v>2899</v>
      </c>
      <c r="E1230">
        <v>16348</v>
      </c>
      <c r="F1230" s="11">
        <v>0</v>
      </c>
    </row>
    <row r="1231" spans="1:6" x14ac:dyDescent="0.35">
      <c r="A1231" t="s">
        <v>2856</v>
      </c>
      <c r="B1231" t="s">
        <v>2865</v>
      </c>
      <c r="C1231" t="s">
        <v>2667</v>
      </c>
      <c r="D1231" t="s">
        <v>2900</v>
      </c>
      <c r="E1231">
        <v>15480</v>
      </c>
      <c r="F1231" s="11">
        <v>0</v>
      </c>
    </row>
    <row r="1232" spans="1:6" x14ac:dyDescent="0.35">
      <c r="A1232" t="s">
        <v>2856</v>
      </c>
      <c r="B1232" t="s">
        <v>2865</v>
      </c>
      <c r="C1232" t="s">
        <v>2667</v>
      </c>
      <c r="D1232" t="s">
        <v>2901</v>
      </c>
      <c r="E1232">
        <v>868</v>
      </c>
      <c r="F1232" s="11">
        <v>0</v>
      </c>
    </row>
    <row r="1233" spans="1:6" x14ac:dyDescent="0.35">
      <c r="A1233" t="s">
        <v>2856</v>
      </c>
      <c r="B1233" t="s">
        <v>2865</v>
      </c>
      <c r="C1233" t="s">
        <v>2667</v>
      </c>
      <c r="D1233" t="s">
        <v>2902</v>
      </c>
      <c r="E1233">
        <v>0</v>
      </c>
      <c r="F1233" s="11">
        <v>0</v>
      </c>
    </row>
    <row r="1234" spans="1:6" x14ac:dyDescent="0.35">
      <c r="A1234" t="s">
        <v>2856</v>
      </c>
      <c r="B1234" t="s">
        <v>2865</v>
      </c>
      <c r="C1234" t="s">
        <v>2667</v>
      </c>
      <c r="D1234" t="s">
        <v>2903</v>
      </c>
      <c r="E1234">
        <v>64852</v>
      </c>
      <c r="F1234" s="11">
        <v>0</v>
      </c>
    </row>
    <row r="1235" spans="1:6" x14ac:dyDescent="0.35">
      <c r="A1235" t="s">
        <v>2856</v>
      </c>
      <c r="B1235" t="s">
        <v>2865</v>
      </c>
      <c r="C1235" t="s">
        <v>2667</v>
      </c>
      <c r="D1235" t="s">
        <v>2904</v>
      </c>
      <c r="E1235">
        <v>60397</v>
      </c>
      <c r="F1235" s="11">
        <v>0</v>
      </c>
    </row>
    <row r="1236" spans="1:6" x14ac:dyDescent="0.35">
      <c r="A1236" t="s">
        <v>2856</v>
      </c>
      <c r="B1236" t="s">
        <v>2865</v>
      </c>
      <c r="C1236" t="s">
        <v>2667</v>
      </c>
      <c r="D1236" t="s">
        <v>2905</v>
      </c>
      <c r="E1236">
        <v>2101</v>
      </c>
      <c r="F1236" s="11">
        <v>0</v>
      </c>
    </row>
    <row r="1237" spans="1:6" x14ac:dyDescent="0.35">
      <c r="A1237" t="s">
        <v>2856</v>
      </c>
      <c r="B1237" t="s">
        <v>2865</v>
      </c>
      <c r="C1237" t="s">
        <v>2667</v>
      </c>
      <c r="D1237" t="s">
        <v>2906</v>
      </c>
      <c r="E1237">
        <v>2354</v>
      </c>
      <c r="F1237" s="11">
        <v>0</v>
      </c>
    </row>
    <row r="1238" spans="1:6" x14ac:dyDescent="0.35">
      <c r="A1238" t="s">
        <v>2856</v>
      </c>
      <c r="B1238" t="s">
        <v>2865</v>
      </c>
      <c r="C1238" t="s">
        <v>2667</v>
      </c>
      <c r="D1238" t="s">
        <v>2907</v>
      </c>
      <c r="E1238">
        <v>98531</v>
      </c>
      <c r="F1238" s="11">
        <v>0</v>
      </c>
    </row>
    <row r="1239" spans="1:6" x14ac:dyDescent="0.35">
      <c r="A1239" t="s">
        <v>2856</v>
      </c>
      <c r="B1239" t="s">
        <v>2865</v>
      </c>
      <c r="C1239" t="s">
        <v>2667</v>
      </c>
      <c r="D1239" t="s">
        <v>2908</v>
      </c>
      <c r="E1239">
        <v>87356</v>
      </c>
      <c r="F1239" s="11">
        <v>0</v>
      </c>
    </row>
    <row r="1240" spans="1:6" x14ac:dyDescent="0.35">
      <c r="A1240" t="s">
        <v>2856</v>
      </c>
      <c r="B1240" t="s">
        <v>2865</v>
      </c>
      <c r="C1240" t="s">
        <v>2667</v>
      </c>
      <c r="D1240" t="s">
        <v>2909</v>
      </c>
      <c r="E1240">
        <v>6722</v>
      </c>
      <c r="F1240" s="11">
        <v>0</v>
      </c>
    </row>
    <row r="1241" spans="1:6" x14ac:dyDescent="0.35">
      <c r="A1241" t="s">
        <v>2856</v>
      </c>
      <c r="B1241" t="s">
        <v>2865</v>
      </c>
      <c r="C1241" t="s">
        <v>2667</v>
      </c>
      <c r="D1241" t="s">
        <v>2910</v>
      </c>
      <c r="E1241">
        <v>4453</v>
      </c>
      <c r="F1241" s="11">
        <v>0</v>
      </c>
    </row>
    <row r="1242" spans="1:6" x14ac:dyDescent="0.35">
      <c r="A1242" t="s">
        <v>2856</v>
      </c>
      <c r="B1242" t="s">
        <v>2865</v>
      </c>
      <c r="C1242" t="s">
        <v>2667</v>
      </c>
      <c r="D1242" t="s">
        <v>2911</v>
      </c>
      <c r="E1242">
        <v>0</v>
      </c>
      <c r="F1242" s="11">
        <v>0</v>
      </c>
    </row>
    <row r="1243" spans="1:6" x14ac:dyDescent="0.35">
      <c r="A1243" t="s">
        <v>2856</v>
      </c>
      <c r="B1243" t="s">
        <v>2865</v>
      </c>
      <c r="C1243" t="s">
        <v>2667</v>
      </c>
      <c r="D1243" t="s">
        <v>2912</v>
      </c>
      <c r="E1243">
        <v>0</v>
      </c>
      <c r="F1243" s="11">
        <v>0</v>
      </c>
    </row>
    <row r="1244" spans="1:6" x14ac:dyDescent="0.35">
      <c r="A1244" t="s">
        <v>2856</v>
      </c>
      <c r="B1244" t="s">
        <v>2865</v>
      </c>
      <c r="C1244" t="s">
        <v>2667</v>
      </c>
      <c r="D1244" t="s">
        <v>2913</v>
      </c>
      <c r="E1244">
        <v>0</v>
      </c>
      <c r="F1244" s="11">
        <v>0</v>
      </c>
    </row>
    <row r="1245" spans="1:6" x14ac:dyDescent="0.35">
      <c r="A1245" t="s">
        <v>2856</v>
      </c>
      <c r="B1245" t="s">
        <v>2865</v>
      </c>
      <c r="C1245" t="s">
        <v>2667</v>
      </c>
      <c r="D1245" t="s">
        <v>2914</v>
      </c>
      <c r="E1245">
        <v>0</v>
      </c>
      <c r="F1245" s="11">
        <v>0</v>
      </c>
    </row>
    <row r="1246" spans="1:6" x14ac:dyDescent="0.35">
      <c r="A1246" t="s">
        <v>2856</v>
      </c>
      <c r="B1246" t="s">
        <v>2865</v>
      </c>
      <c r="C1246" t="s">
        <v>2667</v>
      </c>
      <c r="D1246" t="s">
        <v>2915</v>
      </c>
      <c r="E1246">
        <v>0</v>
      </c>
      <c r="F1246" s="11">
        <v>0</v>
      </c>
    </row>
    <row r="1247" spans="1:6" x14ac:dyDescent="0.35">
      <c r="A1247" t="s">
        <v>2856</v>
      </c>
      <c r="B1247" t="s">
        <v>2865</v>
      </c>
      <c r="C1247" t="s">
        <v>2667</v>
      </c>
      <c r="D1247" t="s">
        <v>2916</v>
      </c>
      <c r="E1247">
        <v>36199</v>
      </c>
      <c r="F1247" s="11">
        <v>0</v>
      </c>
    </row>
    <row r="1248" spans="1:6" x14ac:dyDescent="0.35">
      <c r="A1248" t="s">
        <v>2856</v>
      </c>
      <c r="B1248" t="s">
        <v>2865</v>
      </c>
      <c r="C1248" t="s">
        <v>2667</v>
      </c>
      <c r="D1248" t="s">
        <v>2917</v>
      </c>
      <c r="E1248">
        <v>206671</v>
      </c>
      <c r="F1248" s="11">
        <v>0</v>
      </c>
    </row>
    <row r="1249" spans="1:6" x14ac:dyDescent="0.35">
      <c r="A1249" t="s">
        <v>2856</v>
      </c>
      <c r="B1249" t="s">
        <v>2862</v>
      </c>
      <c r="C1249" t="s">
        <v>1475</v>
      </c>
      <c r="D1249" t="s">
        <v>2875</v>
      </c>
      <c r="E1249">
        <v>48670</v>
      </c>
      <c r="F1249" s="11">
        <v>1</v>
      </c>
    </row>
    <row r="1250" spans="1:6" x14ac:dyDescent="0.35">
      <c r="A1250" t="s">
        <v>2856</v>
      </c>
      <c r="B1250" t="s">
        <v>2862</v>
      </c>
      <c r="C1250" t="s">
        <v>1475</v>
      </c>
      <c r="D1250" t="s">
        <v>2876</v>
      </c>
      <c r="E1250">
        <v>0</v>
      </c>
      <c r="F1250" s="11">
        <v>1</v>
      </c>
    </row>
    <row r="1251" spans="1:6" x14ac:dyDescent="0.35">
      <c r="A1251" t="s">
        <v>2856</v>
      </c>
      <c r="B1251" t="s">
        <v>2862</v>
      </c>
      <c r="C1251" t="s">
        <v>1475</v>
      </c>
      <c r="D1251" t="s">
        <v>2877</v>
      </c>
      <c r="E1251">
        <v>0</v>
      </c>
      <c r="F1251" s="11">
        <v>1</v>
      </c>
    </row>
    <row r="1252" spans="1:6" x14ac:dyDescent="0.35">
      <c r="A1252" t="s">
        <v>2856</v>
      </c>
      <c r="B1252" t="s">
        <v>2862</v>
      </c>
      <c r="C1252" t="s">
        <v>1475</v>
      </c>
      <c r="D1252" t="s">
        <v>2878</v>
      </c>
      <c r="E1252">
        <v>0</v>
      </c>
      <c r="F1252" s="11">
        <v>1</v>
      </c>
    </row>
    <row r="1253" spans="1:6" x14ac:dyDescent="0.35">
      <c r="A1253" t="s">
        <v>2856</v>
      </c>
      <c r="B1253" t="s">
        <v>2862</v>
      </c>
      <c r="C1253" t="s">
        <v>1475</v>
      </c>
      <c r="D1253" t="s">
        <v>2879</v>
      </c>
      <c r="E1253">
        <v>6373</v>
      </c>
      <c r="F1253" s="11">
        <v>1</v>
      </c>
    </row>
    <row r="1254" spans="1:6" x14ac:dyDescent="0.35">
      <c r="A1254" t="s">
        <v>2856</v>
      </c>
      <c r="B1254" t="s">
        <v>2862</v>
      </c>
      <c r="C1254" t="s">
        <v>1475</v>
      </c>
      <c r="D1254" t="s">
        <v>2880</v>
      </c>
      <c r="E1254">
        <v>4081</v>
      </c>
      <c r="F1254" s="11">
        <v>1</v>
      </c>
    </row>
    <row r="1255" spans="1:6" x14ac:dyDescent="0.35">
      <c r="A1255" t="s">
        <v>2856</v>
      </c>
      <c r="B1255" t="s">
        <v>2862</v>
      </c>
      <c r="C1255" t="s">
        <v>1475</v>
      </c>
      <c r="D1255" t="s">
        <v>2881</v>
      </c>
      <c r="E1255">
        <v>1871</v>
      </c>
      <c r="F1255" s="11">
        <v>1</v>
      </c>
    </row>
    <row r="1256" spans="1:6" x14ac:dyDescent="0.35">
      <c r="A1256" t="s">
        <v>2856</v>
      </c>
      <c r="B1256" t="s">
        <v>2862</v>
      </c>
      <c r="C1256" t="s">
        <v>1475</v>
      </c>
      <c r="D1256" t="s">
        <v>2882</v>
      </c>
      <c r="E1256">
        <v>13</v>
      </c>
      <c r="F1256" s="11">
        <v>1</v>
      </c>
    </row>
    <row r="1257" spans="1:6" x14ac:dyDescent="0.35">
      <c r="A1257" t="s">
        <v>2856</v>
      </c>
      <c r="B1257" t="s">
        <v>2862</v>
      </c>
      <c r="C1257" t="s">
        <v>1475</v>
      </c>
      <c r="D1257" t="s">
        <v>2883</v>
      </c>
      <c r="E1257">
        <v>13</v>
      </c>
      <c r="F1257" s="11">
        <v>1</v>
      </c>
    </row>
    <row r="1258" spans="1:6" x14ac:dyDescent="0.35">
      <c r="A1258" t="s">
        <v>2856</v>
      </c>
      <c r="B1258" t="s">
        <v>2862</v>
      </c>
      <c r="C1258" t="s">
        <v>1475</v>
      </c>
      <c r="D1258" t="s">
        <v>2884</v>
      </c>
      <c r="E1258">
        <v>13</v>
      </c>
      <c r="F1258" s="11">
        <v>0</v>
      </c>
    </row>
    <row r="1259" spans="1:6" x14ac:dyDescent="0.35">
      <c r="A1259" t="s">
        <v>2856</v>
      </c>
      <c r="B1259" t="s">
        <v>2862</v>
      </c>
      <c r="C1259" t="s">
        <v>1475</v>
      </c>
      <c r="D1259" t="s">
        <v>2885</v>
      </c>
      <c r="E1259">
        <v>0</v>
      </c>
      <c r="F1259" s="11">
        <v>0</v>
      </c>
    </row>
    <row r="1260" spans="1:6" x14ac:dyDescent="0.35">
      <c r="A1260" t="s">
        <v>2856</v>
      </c>
      <c r="B1260" t="s">
        <v>2862</v>
      </c>
      <c r="C1260" t="s">
        <v>1475</v>
      </c>
      <c r="D1260" t="s">
        <v>2886</v>
      </c>
      <c r="E1260">
        <v>0</v>
      </c>
      <c r="F1260" s="11">
        <v>1</v>
      </c>
    </row>
    <row r="1261" spans="1:6" x14ac:dyDescent="0.35">
      <c r="A1261" t="s">
        <v>2856</v>
      </c>
      <c r="B1261" t="s">
        <v>2862</v>
      </c>
      <c r="C1261" t="s">
        <v>1475</v>
      </c>
      <c r="D1261" t="s">
        <v>2887</v>
      </c>
      <c r="E1261">
        <v>57373</v>
      </c>
      <c r="F1261" s="11">
        <v>1</v>
      </c>
    </row>
    <row r="1262" spans="1:6" x14ac:dyDescent="0.35">
      <c r="A1262" t="s">
        <v>2856</v>
      </c>
      <c r="B1262" t="s">
        <v>2862</v>
      </c>
      <c r="C1262" t="s">
        <v>1475</v>
      </c>
      <c r="D1262" t="s">
        <v>2888</v>
      </c>
      <c r="E1262">
        <v>0</v>
      </c>
      <c r="F1262" s="11">
        <v>0</v>
      </c>
    </row>
    <row r="1263" spans="1:6" x14ac:dyDescent="0.35">
      <c r="A1263" t="s">
        <v>2856</v>
      </c>
      <c r="B1263" t="s">
        <v>2862</v>
      </c>
      <c r="C1263" t="s">
        <v>1475</v>
      </c>
      <c r="D1263" t="s">
        <v>2889</v>
      </c>
      <c r="E1263">
        <v>0</v>
      </c>
      <c r="F1263" s="11">
        <v>0</v>
      </c>
    </row>
    <row r="1264" spans="1:6" x14ac:dyDescent="0.35">
      <c r="A1264" t="s">
        <v>2856</v>
      </c>
      <c r="B1264" t="s">
        <v>2862</v>
      </c>
      <c r="C1264" t="s">
        <v>1475</v>
      </c>
      <c r="D1264" t="s">
        <v>2890</v>
      </c>
      <c r="E1264">
        <v>0</v>
      </c>
      <c r="F1264" s="11">
        <v>0</v>
      </c>
    </row>
    <row r="1265" spans="1:6" x14ac:dyDescent="0.35">
      <c r="A1265" t="s">
        <v>2856</v>
      </c>
      <c r="B1265" t="s">
        <v>2862</v>
      </c>
      <c r="C1265" t="s">
        <v>1475</v>
      </c>
      <c r="D1265" t="s">
        <v>2891</v>
      </c>
      <c r="E1265">
        <v>194</v>
      </c>
      <c r="F1265" s="11">
        <v>1</v>
      </c>
    </row>
    <row r="1266" spans="1:6" x14ac:dyDescent="0.35">
      <c r="A1266" t="s">
        <v>2856</v>
      </c>
      <c r="B1266" t="s">
        <v>2862</v>
      </c>
      <c r="C1266" t="s">
        <v>1475</v>
      </c>
      <c r="D1266" t="s">
        <v>2892</v>
      </c>
      <c r="E1266">
        <v>0</v>
      </c>
      <c r="F1266" s="11">
        <v>0</v>
      </c>
    </row>
    <row r="1267" spans="1:6" x14ac:dyDescent="0.35">
      <c r="A1267" t="s">
        <v>2856</v>
      </c>
      <c r="B1267" t="s">
        <v>2862</v>
      </c>
      <c r="C1267" t="s">
        <v>1475</v>
      </c>
      <c r="D1267" t="s">
        <v>2893</v>
      </c>
      <c r="E1267">
        <v>0</v>
      </c>
      <c r="F1267" s="11">
        <v>0</v>
      </c>
    </row>
    <row r="1268" spans="1:6" x14ac:dyDescent="0.35">
      <c r="A1268" t="s">
        <v>2856</v>
      </c>
      <c r="B1268" t="s">
        <v>2862</v>
      </c>
      <c r="C1268" t="s">
        <v>1475</v>
      </c>
      <c r="D1268" t="s">
        <v>2894</v>
      </c>
      <c r="E1268">
        <v>0</v>
      </c>
      <c r="F1268" s="11">
        <v>0</v>
      </c>
    </row>
    <row r="1269" spans="1:6" x14ac:dyDescent="0.35">
      <c r="A1269" t="s">
        <v>2856</v>
      </c>
      <c r="B1269" t="s">
        <v>2862</v>
      </c>
      <c r="C1269" t="s">
        <v>1475</v>
      </c>
      <c r="D1269" t="s">
        <v>2895</v>
      </c>
      <c r="E1269">
        <v>1076678</v>
      </c>
      <c r="F1269" s="11">
        <v>1</v>
      </c>
    </row>
    <row r="1270" spans="1:6" x14ac:dyDescent="0.35">
      <c r="A1270" t="s">
        <v>2856</v>
      </c>
      <c r="B1270" t="s">
        <v>2862</v>
      </c>
      <c r="C1270" t="s">
        <v>1475</v>
      </c>
      <c r="D1270" t="s">
        <v>2896</v>
      </c>
      <c r="E1270">
        <v>542503</v>
      </c>
      <c r="F1270" s="11">
        <v>1</v>
      </c>
    </row>
    <row r="1271" spans="1:6" x14ac:dyDescent="0.35">
      <c r="A1271" t="s">
        <v>2856</v>
      </c>
      <c r="B1271" t="s">
        <v>2862</v>
      </c>
      <c r="C1271" t="s">
        <v>1475</v>
      </c>
      <c r="D1271" t="s">
        <v>2897</v>
      </c>
      <c r="E1271">
        <v>517884</v>
      </c>
      <c r="F1271" s="11">
        <v>1</v>
      </c>
    </row>
    <row r="1272" spans="1:6" x14ac:dyDescent="0.35">
      <c r="A1272" t="s">
        <v>2856</v>
      </c>
      <c r="B1272" t="s">
        <v>2862</v>
      </c>
      <c r="C1272" t="s">
        <v>1475</v>
      </c>
      <c r="D1272" t="s">
        <v>2898</v>
      </c>
      <c r="E1272">
        <v>16291</v>
      </c>
      <c r="F1272" s="11">
        <v>1</v>
      </c>
    </row>
    <row r="1273" spans="1:6" x14ac:dyDescent="0.35">
      <c r="A1273" t="s">
        <v>2856</v>
      </c>
      <c r="B1273" t="s">
        <v>2862</v>
      </c>
      <c r="C1273" t="s">
        <v>1475</v>
      </c>
      <c r="D1273" t="s">
        <v>2899</v>
      </c>
      <c r="E1273">
        <v>13776</v>
      </c>
      <c r="F1273" s="11">
        <v>1</v>
      </c>
    </row>
    <row r="1274" spans="1:6" x14ac:dyDescent="0.35">
      <c r="A1274" t="s">
        <v>2856</v>
      </c>
      <c r="B1274" t="s">
        <v>2862</v>
      </c>
      <c r="C1274" t="s">
        <v>1475</v>
      </c>
      <c r="D1274" t="s">
        <v>2900</v>
      </c>
      <c r="E1274">
        <v>11468</v>
      </c>
      <c r="F1274" s="11">
        <v>1</v>
      </c>
    </row>
    <row r="1275" spans="1:6" x14ac:dyDescent="0.35">
      <c r="A1275" t="s">
        <v>2856</v>
      </c>
      <c r="B1275" t="s">
        <v>2862</v>
      </c>
      <c r="C1275" t="s">
        <v>1475</v>
      </c>
      <c r="D1275" t="s">
        <v>2901</v>
      </c>
      <c r="E1275">
        <v>2274</v>
      </c>
      <c r="F1275" s="11">
        <v>1</v>
      </c>
    </row>
    <row r="1276" spans="1:6" x14ac:dyDescent="0.35">
      <c r="A1276" t="s">
        <v>2856</v>
      </c>
      <c r="B1276" t="s">
        <v>2862</v>
      </c>
      <c r="C1276" t="s">
        <v>1475</v>
      </c>
      <c r="D1276" t="s">
        <v>2902</v>
      </c>
      <c r="E1276">
        <v>34</v>
      </c>
      <c r="F1276" s="11">
        <v>1</v>
      </c>
    </row>
    <row r="1277" spans="1:6" x14ac:dyDescent="0.35">
      <c r="A1277" t="s">
        <v>2856</v>
      </c>
      <c r="B1277" t="s">
        <v>2862</v>
      </c>
      <c r="C1277" t="s">
        <v>1475</v>
      </c>
      <c r="D1277" t="s">
        <v>2903</v>
      </c>
      <c r="E1277">
        <v>90169</v>
      </c>
      <c r="F1277" s="11">
        <v>1</v>
      </c>
    </row>
    <row r="1278" spans="1:6" x14ac:dyDescent="0.35">
      <c r="A1278" t="s">
        <v>2856</v>
      </c>
      <c r="B1278" t="s">
        <v>2862</v>
      </c>
      <c r="C1278" t="s">
        <v>1475</v>
      </c>
      <c r="D1278" t="s">
        <v>2904</v>
      </c>
      <c r="E1278">
        <v>80682</v>
      </c>
      <c r="F1278" s="11">
        <v>1</v>
      </c>
    </row>
    <row r="1279" spans="1:6" x14ac:dyDescent="0.35">
      <c r="A1279" t="s">
        <v>2856</v>
      </c>
      <c r="B1279" t="s">
        <v>2862</v>
      </c>
      <c r="C1279" t="s">
        <v>1475</v>
      </c>
      <c r="D1279" t="s">
        <v>2905</v>
      </c>
      <c r="E1279">
        <v>5904</v>
      </c>
      <c r="F1279" s="11">
        <v>1</v>
      </c>
    </row>
    <row r="1280" spans="1:6" x14ac:dyDescent="0.35">
      <c r="A1280" t="s">
        <v>2856</v>
      </c>
      <c r="B1280" t="s">
        <v>2862</v>
      </c>
      <c r="C1280" t="s">
        <v>1475</v>
      </c>
      <c r="D1280" t="s">
        <v>2906</v>
      </c>
      <c r="E1280">
        <v>3583</v>
      </c>
      <c r="F1280" s="11">
        <v>1</v>
      </c>
    </row>
    <row r="1281" spans="1:6" x14ac:dyDescent="0.35">
      <c r="A1281" t="s">
        <v>2856</v>
      </c>
      <c r="B1281" t="s">
        <v>2862</v>
      </c>
      <c r="C1281" t="s">
        <v>1475</v>
      </c>
      <c r="D1281" t="s">
        <v>2907</v>
      </c>
      <c r="E1281">
        <v>120052</v>
      </c>
      <c r="F1281" s="11">
        <v>1</v>
      </c>
    </row>
    <row r="1282" spans="1:6" x14ac:dyDescent="0.35">
      <c r="A1282" t="s">
        <v>2856</v>
      </c>
      <c r="B1282" t="s">
        <v>2862</v>
      </c>
      <c r="C1282" t="s">
        <v>1475</v>
      </c>
      <c r="D1282" t="s">
        <v>2908</v>
      </c>
      <c r="E1282">
        <v>102935</v>
      </c>
      <c r="F1282" s="11">
        <v>1</v>
      </c>
    </row>
    <row r="1283" spans="1:6" x14ac:dyDescent="0.35">
      <c r="A1283" t="s">
        <v>2856</v>
      </c>
      <c r="B1283" t="s">
        <v>2862</v>
      </c>
      <c r="C1283" t="s">
        <v>1475</v>
      </c>
      <c r="D1283" t="s">
        <v>2909</v>
      </c>
      <c r="E1283">
        <v>13030</v>
      </c>
      <c r="F1283" s="11">
        <v>1</v>
      </c>
    </row>
    <row r="1284" spans="1:6" x14ac:dyDescent="0.35">
      <c r="A1284" t="s">
        <v>2856</v>
      </c>
      <c r="B1284" t="s">
        <v>2862</v>
      </c>
      <c r="C1284" t="s">
        <v>1475</v>
      </c>
      <c r="D1284" t="s">
        <v>2910</v>
      </c>
      <c r="E1284">
        <v>4087</v>
      </c>
      <c r="F1284" s="11">
        <v>1</v>
      </c>
    </row>
    <row r="1285" spans="1:6" x14ac:dyDescent="0.35">
      <c r="A1285" t="s">
        <v>2856</v>
      </c>
      <c r="B1285" t="s">
        <v>2862</v>
      </c>
      <c r="C1285" t="s">
        <v>1475</v>
      </c>
      <c r="D1285" t="s">
        <v>2911</v>
      </c>
      <c r="E1285">
        <v>800319</v>
      </c>
      <c r="F1285" s="11">
        <v>1</v>
      </c>
    </row>
    <row r="1286" spans="1:6" x14ac:dyDescent="0.35">
      <c r="A1286" t="s">
        <v>2856</v>
      </c>
      <c r="B1286" t="s">
        <v>2862</v>
      </c>
      <c r="C1286" t="s">
        <v>1475</v>
      </c>
      <c r="D1286" t="s">
        <v>2912</v>
      </c>
      <c r="E1286">
        <v>50307</v>
      </c>
      <c r="F1286" s="11">
        <v>1</v>
      </c>
    </row>
    <row r="1287" spans="1:6" x14ac:dyDescent="0.35">
      <c r="A1287" t="s">
        <v>2856</v>
      </c>
      <c r="B1287" t="s">
        <v>2862</v>
      </c>
      <c r="C1287" t="s">
        <v>1475</v>
      </c>
      <c r="D1287" t="s">
        <v>2913</v>
      </c>
      <c r="E1287">
        <v>1</v>
      </c>
      <c r="F1287" s="11">
        <v>0</v>
      </c>
    </row>
    <row r="1288" spans="1:6" x14ac:dyDescent="0.35">
      <c r="A1288" t="s">
        <v>2856</v>
      </c>
      <c r="B1288" t="s">
        <v>2862</v>
      </c>
      <c r="C1288" t="s">
        <v>1475</v>
      </c>
      <c r="D1288" t="s">
        <v>2914</v>
      </c>
      <c r="E1288">
        <v>0</v>
      </c>
      <c r="F1288" s="11">
        <v>0</v>
      </c>
    </row>
    <row r="1289" spans="1:6" x14ac:dyDescent="0.35">
      <c r="A1289" t="s">
        <v>2856</v>
      </c>
      <c r="B1289" t="s">
        <v>2862</v>
      </c>
      <c r="C1289" t="s">
        <v>1475</v>
      </c>
      <c r="D1289" t="s">
        <v>2915</v>
      </c>
      <c r="E1289">
        <v>792</v>
      </c>
      <c r="F1289" s="11">
        <v>1</v>
      </c>
    </row>
    <row r="1290" spans="1:6" x14ac:dyDescent="0.35">
      <c r="A1290" t="s">
        <v>2856</v>
      </c>
      <c r="B1290" t="s">
        <v>2862</v>
      </c>
      <c r="C1290" t="s">
        <v>1475</v>
      </c>
      <c r="D1290" t="s">
        <v>2916</v>
      </c>
      <c r="E1290">
        <v>69285</v>
      </c>
      <c r="F1290" s="11">
        <v>1</v>
      </c>
    </row>
    <row r="1291" spans="1:6" x14ac:dyDescent="0.35">
      <c r="A1291" t="s">
        <v>2856</v>
      </c>
      <c r="B1291" t="s">
        <v>2862</v>
      </c>
      <c r="C1291" t="s">
        <v>1475</v>
      </c>
      <c r="D1291" t="s">
        <v>2917</v>
      </c>
      <c r="E1291">
        <v>37897</v>
      </c>
      <c r="F1291" s="11">
        <v>1</v>
      </c>
    </row>
    <row r="1292" spans="1:6" x14ac:dyDescent="0.35">
      <c r="A1292" t="s">
        <v>2856</v>
      </c>
      <c r="B1292" t="s">
        <v>2862</v>
      </c>
      <c r="C1292" t="s">
        <v>2670</v>
      </c>
      <c r="D1292" t="s">
        <v>2875</v>
      </c>
      <c r="E1292">
        <v>16023</v>
      </c>
      <c r="F1292" s="11">
        <v>0</v>
      </c>
    </row>
    <row r="1293" spans="1:6" x14ac:dyDescent="0.35">
      <c r="A1293" t="s">
        <v>2856</v>
      </c>
      <c r="B1293" t="s">
        <v>2862</v>
      </c>
      <c r="C1293" t="s">
        <v>2670</v>
      </c>
      <c r="D1293" t="s">
        <v>2876</v>
      </c>
      <c r="E1293">
        <v>2872</v>
      </c>
      <c r="F1293" s="11">
        <v>0</v>
      </c>
    </row>
    <row r="1294" spans="1:6" x14ac:dyDescent="0.35">
      <c r="A1294" t="s">
        <v>2856</v>
      </c>
      <c r="B1294" t="s">
        <v>2862</v>
      </c>
      <c r="C1294" t="s">
        <v>2670</v>
      </c>
      <c r="D1294" t="s">
        <v>2877</v>
      </c>
      <c r="E1294">
        <v>10747</v>
      </c>
      <c r="F1294" s="11">
        <v>0</v>
      </c>
    </row>
    <row r="1295" spans="1:6" x14ac:dyDescent="0.35">
      <c r="A1295" t="s">
        <v>2856</v>
      </c>
      <c r="B1295" t="s">
        <v>2862</v>
      </c>
      <c r="C1295" t="s">
        <v>2670</v>
      </c>
      <c r="D1295" t="s">
        <v>2878</v>
      </c>
      <c r="E1295">
        <v>2404</v>
      </c>
      <c r="F1295" s="11">
        <v>0</v>
      </c>
    </row>
    <row r="1296" spans="1:6" x14ac:dyDescent="0.35">
      <c r="A1296" t="s">
        <v>2856</v>
      </c>
      <c r="B1296" t="s">
        <v>2862</v>
      </c>
      <c r="C1296" t="s">
        <v>2670</v>
      </c>
      <c r="D1296" t="s">
        <v>2879</v>
      </c>
      <c r="E1296">
        <v>0</v>
      </c>
      <c r="F1296" s="11">
        <v>0</v>
      </c>
    </row>
    <row r="1297" spans="1:6" x14ac:dyDescent="0.35">
      <c r="A1297" t="s">
        <v>2856</v>
      </c>
      <c r="B1297" t="s">
        <v>2862</v>
      </c>
      <c r="C1297" t="s">
        <v>2670</v>
      </c>
      <c r="D1297" t="s">
        <v>2880</v>
      </c>
      <c r="E1297">
        <v>0</v>
      </c>
      <c r="F1297" s="11">
        <v>0</v>
      </c>
    </row>
    <row r="1298" spans="1:6" x14ac:dyDescent="0.35">
      <c r="A1298" t="s">
        <v>2856</v>
      </c>
      <c r="B1298" t="s">
        <v>2862</v>
      </c>
      <c r="C1298" t="s">
        <v>2670</v>
      </c>
      <c r="D1298" t="s">
        <v>2881</v>
      </c>
      <c r="E1298">
        <v>0</v>
      </c>
      <c r="F1298" s="11">
        <v>0</v>
      </c>
    </row>
    <row r="1299" spans="1:6" x14ac:dyDescent="0.35">
      <c r="A1299" t="s">
        <v>2856</v>
      </c>
      <c r="B1299" t="s">
        <v>2862</v>
      </c>
      <c r="C1299" t="s">
        <v>2670</v>
      </c>
      <c r="D1299" t="s">
        <v>2882</v>
      </c>
      <c r="E1299">
        <v>0</v>
      </c>
      <c r="F1299" s="11">
        <v>0</v>
      </c>
    </row>
    <row r="1300" spans="1:6" x14ac:dyDescent="0.35">
      <c r="A1300" t="s">
        <v>2856</v>
      </c>
      <c r="B1300" t="s">
        <v>2862</v>
      </c>
      <c r="C1300" t="s">
        <v>2670</v>
      </c>
      <c r="D1300" t="s">
        <v>2883</v>
      </c>
      <c r="E1300">
        <v>0</v>
      </c>
      <c r="F1300" s="11">
        <v>0</v>
      </c>
    </row>
    <row r="1301" spans="1:6" x14ac:dyDescent="0.35">
      <c r="A1301" t="s">
        <v>2856</v>
      </c>
      <c r="B1301" t="s">
        <v>2862</v>
      </c>
      <c r="C1301" t="s">
        <v>2670</v>
      </c>
      <c r="D1301" t="s">
        <v>2884</v>
      </c>
      <c r="E1301">
        <v>0</v>
      </c>
      <c r="F1301" s="11">
        <v>0</v>
      </c>
    </row>
    <row r="1302" spans="1:6" x14ac:dyDescent="0.35">
      <c r="A1302" t="s">
        <v>2856</v>
      </c>
      <c r="B1302" t="s">
        <v>2862</v>
      </c>
      <c r="C1302" t="s">
        <v>2670</v>
      </c>
      <c r="D1302" t="s">
        <v>2885</v>
      </c>
      <c r="E1302">
        <v>0</v>
      </c>
      <c r="F1302" s="11">
        <v>0</v>
      </c>
    </row>
    <row r="1303" spans="1:6" x14ac:dyDescent="0.35">
      <c r="A1303" t="s">
        <v>2856</v>
      </c>
      <c r="B1303" t="s">
        <v>2862</v>
      </c>
      <c r="C1303" t="s">
        <v>2670</v>
      </c>
      <c r="D1303" t="s">
        <v>2886</v>
      </c>
      <c r="E1303">
        <v>0</v>
      </c>
      <c r="F1303" s="11">
        <v>0</v>
      </c>
    </row>
    <row r="1304" spans="1:6" x14ac:dyDescent="0.35">
      <c r="A1304" t="s">
        <v>2856</v>
      </c>
      <c r="B1304" t="s">
        <v>2862</v>
      </c>
      <c r="C1304" t="s">
        <v>2670</v>
      </c>
      <c r="D1304" t="s">
        <v>2887</v>
      </c>
      <c r="E1304">
        <v>0</v>
      </c>
      <c r="F1304" s="11">
        <v>0</v>
      </c>
    </row>
    <row r="1305" spans="1:6" x14ac:dyDescent="0.35">
      <c r="A1305" t="s">
        <v>2856</v>
      </c>
      <c r="B1305" t="s">
        <v>2862</v>
      </c>
      <c r="C1305" t="s">
        <v>2670</v>
      </c>
      <c r="D1305" t="s">
        <v>2888</v>
      </c>
      <c r="E1305">
        <v>0</v>
      </c>
      <c r="F1305" s="11">
        <v>0</v>
      </c>
    </row>
    <row r="1306" spans="1:6" x14ac:dyDescent="0.35">
      <c r="A1306" t="s">
        <v>2856</v>
      </c>
      <c r="B1306" t="s">
        <v>2862</v>
      </c>
      <c r="C1306" t="s">
        <v>2670</v>
      </c>
      <c r="D1306" t="s">
        <v>2889</v>
      </c>
      <c r="E1306">
        <v>0</v>
      </c>
      <c r="F1306" s="11">
        <v>0</v>
      </c>
    </row>
    <row r="1307" spans="1:6" x14ac:dyDescent="0.35">
      <c r="A1307" t="s">
        <v>2856</v>
      </c>
      <c r="B1307" t="s">
        <v>2862</v>
      </c>
      <c r="C1307" t="s">
        <v>2670</v>
      </c>
      <c r="D1307" t="s">
        <v>2890</v>
      </c>
      <c r="E1307">
        <v>0</v>
      </c>
      <c r="F1307" s="11">
        <v>0</v>
      </c>
    </row>
    <row r="1308" spans="1:6" x14ac:dyDescent="0.35">
      <c r="A1308" t="s">
        <v>2856</v>
      </c>
      <c r="B1308" t="s">
        <v>2862</v>
      </c>
      <c r="C1308" t="s">
        <v>2670</v>
      </c>
      <c r="D1308" t="s">
        <v>2891</v>
      </c>
      <c r="E1308">
        <v>0</v>
      </c>
      <c r="F1308" s="11">
        <v>0</v>
      </c>
    </row>
    <row r="1309" spans="1:6" x14ac:dyDescent="0.35">
      <c r="A1309" t="s">
        <v>2856</v>
      </c>
      <c r="B1309" t="s">
        <v>2862</v>
      </c>
      <c r="C1309" t="s">
        <v>2670</v>
      </c>
      <c r="D1309" t="s">
        <v>2892</v>
      </c>
      <c r="E1309">
        <v>0</v>
      </c>
      <c r="F1309" s="11">
        <v>0</v>
      </c>
    </row>
    <row r="1310" spans="1:6" x14ac:dyDescent="0.35">
      <c r="A1310" t="s">
        <v>2856</v>
      </c>
      <c r="B1310" t="s">
        <v>2862</v>
      </c>
      <c r="C1310" t="s">
        <v>2670</v>
      </c>
      <c r="D1310" t="s">
        <v>2893</v>
      </c>
      <c r="E1310">
        <v>0</v>
      </c>
      <c r="F1310" s="11">
        <v>0</v>
      </c>
    </row>
    <row r="1311" spans="1:6" x14ac:dyDescent="0.35">
      <c r="A1311" t="s">
        <v>2856</v>
      </c>
      <c r="B1311" t="s">
        <v>2862</v>
      </c>
      <c r="C1311" t="s">
        <v>2670</v>
      </c>
      <c r="D1311" t="s">
        <v>2894</v>
      </c>
      <c r="E1311">
        <v>0</v>
      </c>
      <c r="F1311" s="11">
        <v>0</v>
      </c>
    </row>
    <row r="1312" spans="1:6" x14ac:dyDescent="0.35">
      <c r="A1312" t="s">
        <v>2856</v>
      </c>
      <c r="B1312" t="s">
        <v>2862</v>
      </c>
      <c r="C1312" t="s">
        <v>2670</v>
      </c>
      <c r="D1312" t="s">
        <v>2895</v>
      </c>
      <c r="E1312">
        <v>0</v>
      </c>
      <c r="F1312" s="11">
        <v>0</v>
      </c>
    </row>
    <row r="1313" spans="1:6" x14ac:dyDescent="0.35">
      <c r="A1313" t="s">
        <v>2856</v>
      </c>
      <c r="B1313" t="s">
        <v>2862</v>
      </c>
      <c r="C1313" t="s">
        <v>2670</v>
      </c>
      <c r="D1313" t="s">
        <v>2896</v>
      </c>
      <c r="E1313">
        <v>0</v>
      </c>
      <c r="F1313" s="11">
        <v>0</v>
      </c>
    </row>
    <row r="1314" spans="1:6" x14ac:dyDescent="0.35">
      <c r="A1314" t="s">
        <v>2856</v>
      </c>
      <c r="B1314" t="s">
        <v>2862</v>
      </c>
      <c r="C1314" t="s">
        <v>2670</v>
      </c>
      <c r="D1314" t="s">
        <v>2897</v>
      </c>
      <c r="E1314">
        <v>0</v>
      </c>
      <c r="F1314" s="11">
        <v>0</v>
      </c>
    </row>
    <row r="1315" spans="1:6" x14ac:dyDescent="0.35">
      <c r="A1315" t="s">
        <v>2856</v>
      </c>
      <c r="B1315" t="s">
        <v>2862</v>
      </c>
      <c r="C1315" t="s">
        <v>2670</v>
      </c>
      <c r="D1315" t="s">
        <v>2898</v>
      </c>
      <c r="E1315">
        <v>0</v>
      </c>
      <c r="F1315" s="11">
        <v>0</v>
      </c>
    </row>
    <row r="1316" spans="1:6" x14ac:dyDescent="0.35">
      <c r="A1316" t="s">
        <v>2856</v>
      </c>
      <c r="B1316" t="s">
        <v>2862</v>
      </c>
      <c r="C1316" t="s">
        <v>2670</v>
      </c>
      <c r="D1316" t="s">
        <v>2899</v>
      </c>
      <c r="E1316">
        <v>0</v>
      </c>
      <c r="F1316" s="11">
        <v>0</v>
      </c>
    </row>
    <row r="1317" spans="1:6" x14ac:dyDescent="0.35">
      <c r="A1317" t="s">
        <v>2856</v>
      </c>
      <c r="B1317" t="s">
        <v>2862</v>
      </c>
      <c r="C1317" t="s">
        <v>2670</v>
      </c>
      <c r="D1317" t="s">
        <v>2900</v>
      </c>
      <c r="E1317">
        <v>0</v>
      </c>
      <c r="F1317" s="11">
        <v>0</v>
      </c>
    </row>
    <row r="1318" spans="1:6" x14ac:dyDescent="0.35">
      <c r="A1318" t="s">
        <v>2856</v>
      </c>
      <c r="B1318" t="s">
        <v>2862</v>
      </c>
      <c r="C1318" t="s">
        <v>2670</v>
      </c>
      <c r="D1318" t="s">
        <v>2901</v>
      </c>
      <c r="E1318">
        <v>0</v>
      </c>
      <c r="F1318" s="11">
        <v>0</v>
      </c>
    </row>
    <row r="1319" spans="1:6" x14ac:dyDescent="0.35">
      <c r="A1319" t="s">
        <v>2856</v>
      </c>
      <c r="B1319" t="s">
        <v>2862</v>
      </c>
      <c r="C1319" t="s">
        <v>2670</v>
      </c>
      <c r="D1319" t="s">
        <v>2902</v>
      </c>
      <c r="E1319">
        <v>0</v>
      </c>
      <c r="F1319" s="11">
        <v>0</v>
      </c>
    </row>
    <row r="1320" spans="1:6" x14ac:dyDescent="0.35">
      <c r="A1320" t="s">
        <v>2856</v>
      </c>
      <c r="B1320" t="s">
        <v>2862</v>
      </c>
      <c r="C1320" t="s">
        <v>2670</v>
      </c>
      <c r="D1320" t="s">
        <v>2903</v>
      </c>
      <c r="E1320">
        <v>33957</v>
      </c>
      <c r="F1320" s="11">
        <v>0</v>
      </c>
    </row>
    <row r="1321" spans="1:6" x14ac:dyDescent="0.35">
      <c r="A1321" t="s">
        <v>2856</v>
      </c>
      <c r="B1321" t="s">
        <v>2862</v>
      </c>
      <c r="C1321" t="s">
        <v>2670</v>
      </c>
      <c r="D1321" t="s">
        <v>2904</v>
      </c>
      <c r="E1321">
        <v>0</v>
      </c>
      <c r="F1321" s="11">
        <v>0</v>
      </c>
    </row>
    <row r="1322" spans="1:6" x14ac:dyDescent="0.35">
      <c r="A1322" t="s">
        <v>2856</v>
      </c>
      <c r="B1322" t="s">
        <v>2862</v>
      </c>
      <c r="C1322" t="s">
        <v>2670</v>
      </c>
      <c r="D1322" t="s">
        <v>2905</v>
      </c>
      <c r="E1322">
        <v>0</v>
      </c>
      <c r="F1322" s="11">
        <v>0</v>
      </c>
    </row>
    <row r="1323" spans="1:6" x14ac:dyDescent="0.35">
      <c r="A1323" t="s">
        <v>2856</v>
      </c>
      <c r="B1323" t="s">
        <v>2862</v>
      </c>
      <c r="C1323" t="s">
        <v>2670</v>
      </c>
      <c r="D1323" t="s">
        <v>2906</v>
      </c>
      <c r="E1323">
        <v>0</v>
      </c>
      <c r="F1323" s="11">
        <v>0</v>
      </c>
    </row>
    <row r="1324" spans="1:6" x14ac:dyDescent="0.35">
      <c r="A1324" t="s">
        <v>2856</v>
      </c>
      <c r="B1324" t="s">
        <v>2862</v>
      </c>
      <c r="C1324" t="s">
        <v>2670</v>
      </c>
      <c r="D1324" t="s">
        <v>2907</v>
      </c>
      <c r="E1324">
        <v>33214</v>
      </c>
      <c r="F1324" s="11">
        <v>0</v>
      </c>
    </row>
    <row r="1325" spans="1:6" x14ac:dyDescent="0.35">
      <c r="A1325" t="s">
        <v>2856</v>
      </c>
      <c r="B1325" t="s">
        <v>2862</v>
      </c>
      <c r="C1325" t="s">
        <v>2670</v>
      </c>
      <c r="D1325" t="s">
        <v>2908</v>
      </c>
      <c r="E1325">
        <v>0</v>
      </c>
      <c r="F1325" s="11">
        <v>0</v>
      </c>
    </row>
    <row r="1326" spans="1:6" x14ac:dyDescent="0.35">
      <c r="A1326" t="s">
        <v>2856</v>
      </c>
      <c r="B1326" t="s">
        <v>2862</v>
      </c>
      <c r="C1326" t="s">
        <v>2670</v>
      </c>
      <c r="D1326" t="s">
        <v>2909</v>
      </c>
      <c r="E1326">
        <v>0</v>
      </c>
      <c r="F1326" s="11">
        <v>0</v>
      </c>
    </row>
    <row r="1327" spans="1:6" x14ac:dyDescent="0.35">
      <c r="A1327" t="s">
        <v>2856</v>
      </c>
      <c r="B1327" t="s">
        <v>2862</v>
      </c>
      <c r="C1327" t="s">
        <v>2670</v>
      </c>
      <c r="D1327" t="s">
        <v>2910</v>
      </c>
      <c r="E1327">
        <v>0</v>
      </c>
      <c r="F1327" s="11">
        <v>0</v>
      </c>
    </row>
    <row r="1328" spans="1:6" x14ac:dyDescent="0.35">
      <c r="A1328" t="s">
        <v>2856</v>
      </c>
      <c r="B1328" t="s">
        <v>2862</v>
      </c>
      <c r="C1328" t="s">
        <v>2670</v>
      </c>
      <c r="D1328" t="s">
        <v>2911</v>
      </c>
      <c r="E1328">
        <v>147189</v>
      </c>
      <c r="F1328" s="11">
        <v>0</v>
      </c>
    </row>
    <row r="1329" spans="1:6" x14ac:dyDescent="0.35">
      <c r="A1329" t="s">
        <v>2856</v>
      </c>
      <c r="B1329" t="s">
        <v>2862</v>
      </c>
      <c r="C1329" t="s">
        <v>2670</v>
      </c>
      <c r="D1329" t="s">
        <v>2912</v>
      </c>
      <c r="E1329">
        <v>1131857</v>
      </c>
      <c r="F1329" s="11">
        <v>0</v>
      </c>
    </row>
    <row r="1330" spans="1:6" x14ac:dyDescent="0.35">
      <c r="A1330" t="s">
        <v>2856</v>
      </c>
      <c r="B1330" t="s">
        <v>2862</v>
      </c>
      <c r="C1330" t="s">
        <v>2670</v>
      </c>
      <c r="D1330" t="s">
        <v>2913</v>
      </c>
      <c r="E1330">
        <v>0</v>
      </c>
      <c r="F1330" s="11">
        <v>0</v>
      </c>
    </row>
    <row r="1331" spans="1:6" x14ac:dyDescent="0.35">
      <c r="A1331" t="s">
        <v>2856</v>
      </c>
      <c r="B1331" t="s">
        <v>2862</v>
      </c>
      <c r="C1331" t="s">
        <v>2670</v>
      </c>
      <c r="D1331" t="s">
        <v>2914</v>
      </c>
      <c r="E1331">
        <v>0</v>
      </c>
      <c r="F1331" s="11">
        <v>0</v>
      </c>
    </row>
    <row r="1332" spans="1:6" x14ac:dyDescent="0.35">
      <c r="A1332" t="s">
        <v>2856</v>
      </c>
      <c r="B1332" t="s">
        <v>2862</v>
      </c>
      <c r="C1332" t="s">
        <v>2670</v>
      </c>
      <c r="D1332" t="s">
        <v>2915</v>
      </c>
      <c r="E1332">
        <v>1642</v>
      </c>
      <c r="F1332" s="11">
        <v>0</v>
      </c>
    </row>
    <row r="1333" spans="1:6" x14ac:dyDescent="0.35">
      <c r="A1333" t="s">
        <v>2856</v>
      </c>
      <c r="B1333" t="s">
        <v>2862</v>
      </c>
      <c r="C1333" t="s">
        <v>2670</v>
      </c>
      <c r="D1333" t="s">
        <v>2916</v>
      </c>
      <c r="E1333">
        <v>86379</v>
      </c>
      <c r="F1333" s="11">
        <v>0</v>
      </c>
    </row>
    <row r="1334" spans="1:6" x14ac:dyDescent="0.35">
      <c r="A1334" t="s">
        <v>2856</v>
      </c>
      <c r="B1334" t="s">
        <v>2862</v>
      </c>
      <c r="C1334" t="s">
        <v>2670</v>
      </c>
      <c r="D1334" t="s">
        <v>2917</v>
      </c>
      <c r="E1334">
        <v>0</v>
      </c>
      <c r="F1334" s="11">
        <v>0</v>
      </c>
    </row>
    <row r="1335" spans="1:6" x14ac:dyDescent="0.35">
      <c r="A1335" t="s">
        <v>2856</v>
      </c>
      <c r="B1335" t="s">
        <v>2862</v>
      </c>
      <c r="C1335" t="s">
        <v>2672</v>
      </c>
      <c r="D1335" t="s">
        <v>2875</v>
      </c>
      <c r="E1335">
        <v>189750</v>
      </c>
      <c r="F1335" s="11">
        <v>0</v>
      </c>
    </row>
    <row r="1336" spans="1:6" x14ac:dyDescent="0.35">
      <c r="A1336" t="s">
        <v>2856</v>
      </c>
      <c r="B1336" t="s">
        <v>2862</v>
      </c>
      <c r="C1336" t="s">
        <v>2672</v>
      </c>
      <c r="D1336" t="s">
        <v>2876</v>
      </c>
      <c r="E1336">
        <v>56642</v>
      </c>
      <c r="F1336" s="11">
        <v>0</v>
      </c>
    </row>
    <row r="1337" spans="1:6" x14ac:dyDescent="0.35">
      <c r="A1337" t="s">
        <v>2856</v>
      </c>
      <c r="B1337" t="s">
        <v>2862</v>
      </c>
      <c r="C1337" t="s">
        <v>2672</v>
      </c>
      <c r="D1337" t="s">
        <v>2877</v>
      </c>
      <c r="E1337">
        <v>120625</v>
      </c>
      <c r="F1337" s="11">
        <v>0</v>
      </c>
    </row>
    <row r="1338" spans="1:6" x14ac:dyDescent="0.35">
      <c r="A1338" t="s">
        <v>2856</v>
      </c>
      <c r="B1338" t="s">
        <v>2862</v>
      </c>
      <c r="C1338" t="s">
        <v>2672</v>
      </c>
      <c r="D1338" t="s">
        <v>2878</v>
      </c>
      <c r="E1338">
        <v>12483</v>
      </c>
      <c r="F1338" s="11">
        <v>0</v>
      </c>
    </row>
    <row r="1339" spans="1:6" x14ac:dyDescent="0.35">
      <c r="A1339" t="s">
        <v>2856</v>
      </c>
      <c r="B1339" t="s">
        <v>2862</v>
      </c>
      <c r="C1339" t="s">
        <v>2672</v>
      </c>
      <c r="D1339" t="s">
        <v>2879</v>
      </c>
      <c r="E1339">
        <v>6634</v>
      </c>
      <c r="F1339" s="11">
        <v>0</v>
      </c>
    </row>
    <row r="1340" spans="1:6" x14ac:dyDescent="0.35">
      <c r="A1340" t="s">
        <v>2856</v>
      </c>
      <c r="B1340" t="s">
        <v>2862</v>
      </c>
      <c r="C1340" t="s">
        <v>2672</v>
      </c>
      <c r="D1340" t="s">
        <v>2880</v>
      </c>
      <c r="E1340">
        <v>0</v>
      </c>
      <c r="F1340" s="11">
        <v>0</v>
      </c>
    </row>
    <row r="1341" spans="1:6" x14ac:dyDescent="0.35">
      <c r="A1341" t="s">
        <v>2856</v>
      </c>
      <c r="B1341" t="s">
        <v>2862</v>
      </c>
      <c r="C1341" t="s">
        <v>2672</v>
      </c>
      <c r="D1341" t="s">
        <v>2881</v>
      </c>
      <c r="E1341">
        <v>0</v>
      </c>
      <c r="F1341" s="11">
        <v>0</v>
      </c>
    </row>
    <row r="1342" spans="1:6" x14ac:dyDescent="0.35">
      <c r="A1342" t="s">
        <v>2856</v>
      </c>
      <c r="B1342" t="s">
        <v>2862</v>
      </c>
      <c r="C1342" t="s">
        <v>2672</v>
      </c>
      <c r="D1342" t="s">
        <v>2882</v>
      </c>
      <c r="E1342">
        <v>0</v>
      </c>
      <c r="F1342" s="11">
        <v>0</v>
      </c>
    </row>
    <row r="1343" spans="1:6" x14ac:dyDescent="0.35">
      <c r="A1343" t="s">
        <v>2856</v>
      </c>
      <c r="B1343" t="s">
        <v>2862</v>
      </c>
      <c r="C1343" t="s">
        <v>2672</v>
      </c>
      <c r="D1343" t="s">
        <v>2883</v>
      </c>
      <c r="E1343">
        <v>0</v>
      </c>
      <c r="F1343" s="11">
        <v>0</v>
      </c>
    </row>
    <row r="1344" spans="1:6" x14ac:dyDescent="0.35">
      <c r="A1344" t="s">
        <v>2856</v>
      </c>
      <c r="B1344" t="s">
        <v>2862</v>
      </c>
      <c r="C1344" t="s">
        <v>2672</v>
      </c>
      <c r="D1344" t="s">
        <v>2884</v>
      </c>
      <c r="E1344">
        <v>0</v>
      </c>
      <c r="F1344" s="11">
        <v>0</v>
      </c>
    </row>
    <row r="1345" spans="1:6" x14ac:dyDescent="0.35">
      <c r="A1345" t="s">
        <v>2856</v>
      </c>
      <c r="B1345" t="s">
        <v>2862</v>
      </c>
      <c r="C1345" t="s">
        <v>2672</v>
      </c>
      <c r="D1345" t="s">
        <v>2885</v>
      </c>
      <c r="E1345">
        <v>0</v>
      </c>
      <c r="F1345" s="11">
        <v>0</v>
      </c>
    </row>
    <row r="1346" spans="1:6" x14ac:dyDescent="0.35">
      <c r="A1346" t="s">
        <v>2856</v>
      </c>
      <c r="B1346" t="s">
        <v>2862</v>
      </c>
      <c r="C1346" t="s">
        <v>2672</v>
      </c>
      <c r="D1346" t="s">
        <v>2886</v>
      </c>
      <c r="E1346">
        <v>0</v>
      </c>
      <c r="F1346" s="11">
        <v>0</v>
      </c>
    </row>
    <row r="1347" spans="1:6" x14ac:dyDescent="0.35">
      <c r="A1347" t="s">
        <v>2856</v>
      </c>
      <c r="B1347" t="s">
        <v>2862</v>
      </c>
      <c r="C1347" t="s">
        <v>2672</v>
      </c>
      <c r="D1347" t="s">
        <v>2887</v>
      </c>
      <c r="E1347">
        <v>154093</v>
      </c>
      <c r="F1347" s="11">
        <v>0</v>
      </c>
    </row>
    <row r="1348" spans="1:6" x14ac:dyDescent="0.35">
      <c r="A1348" t="s">
        <v>2856</v>
      </c>
      <c r="B1348" t="s">
        <v>2862</v>
      </c>
      <c r="C1348" t="s">
        <v>2672</v>
      </c>
      <c r="D1348" t="s">
        <v>2888</v>
      </c>
      <c r="E1348">
        <v>0</v>
      </c>
      <c r="F1348" s="11">
        <v>0</v>
      </c>
    </row>
    <row r="1349" spans="1:6" x14ac:dyDescent="0.35">
      <c r="A1349" t="s">
        <v>2856</v>
      </c>
      <c r="B1349" t="s">
        <v>2862</v>
      </c>
      <c r="C1349" t="s">
        <v>2672</v>
      </c>
      <c r="D1349" t="s">
        <v>2889</v>
      </c>
      <c r="E1349">
        <v>0</v>
      </c>
      <c r="F1349" s="11">
        <v>0</v>
      </c>
    </row>
    <row r="1350" spans="1:6" x14ac:dyDescent="0.35">
      <c r="A1350" t="s">
        <v>2856</v>
      </c>
      <c r="B1350" t="s">
        <v>2862</v>
      </c>
      <c r="C1350" t="s">
        <v>2672</v>
      </c>
      <c r="D1350" t="s">
        <v>2890</v>
      </c>
      <c r="E1350">
        <v>0</v>
      </c>
      <c r="F1350" s="11">
        <v>0</v>
      </c>
    </row>
    <row r="1351" spans="1:6" x14ac:dyDescent="0.35">
      <c r="A1351" t="s">
        <v>2856</v>
      </c>
      <c r="B1351" t="s">
        <v>2862</v>
      </c>
      <c r="C1351" t="s">
        <v>2672</v>
      </c>
      <c r="D1351" t="s">
        <v>2891</v>
      </c>
      <c r="E1351">
        <v>0</v>
      </c>
      <c r="F1351" s="11">
        <v>0</v>
      </c>
    </row>
    <row r="1352" spans="1:6" x14ac:dyDescent="0.35">
      <c r="A1352" t="s">
        <v>2856</v>
      </c>
      <c r="B1352" t="s">
        <v>2862</v>
      </c>
      <c r="C1352" t="s">
        <v>2672</v>
      </c>
      <c r="D1352" t="s">
        <v>2892</v>
      </c>
      <c r="E1352">
        <v>0</v>
      </c>
      <c r="F1352" s="11">
        <v>0</v>
      </c>
    </row>
    <row r="1353" spans="1:6" x14ac:dyDescent="0.35">
      <c r="A1353" t="s">
        <v>2856</v>
      </c>
      <c r="B1353" t="s">
        <v>2862</v>
      </c>
      <c r="C1353" t="s">
        <v>2672</v>
      </c>
      <c r="D1353" t="s">
        <v>2893</v>
      </c>
      <c r="E1353">
        <v>0</v>
      </c>
      <c r="F1353" s="11">
        <v>0</v>
      </c>
    </row>
    <row r="1354" spans="1:6" x14ac:dyDescent="0.35">
      <c r="A1354" t="s">
        <v>2856</v>
      </c>
      <c r="B1354" t="s">
        <v>2862</v>
      </c>
      <c r="C1354" t="s">
        <v>2672</v>
      </c>
      <c r="D1354" t="s">
        <v>2894</v>
      </c>
      <c r="E1354">
        <v>0</v>
      </c>
      <c r="F1354" s="11">
        <v>0</v>
      </c>
    </row>
    <row r="1355" spans="1:6" x14ac:dyDescent="0.35">
      <c r="A1355" t="s">
        <v>2856</v>
      </c>
      <c r="B1355" t="s">
        <v>2862</v>
      </c>
      <c r="C1355" t="s">
        <v>2672</v>
      </c>
      <c r="D1355" t="s">
        <v>2895</v>
      </c>
      <c r="E1355">
        <v>3538886</v>
      </c>
      <c r="F1355" s="11">
        <v>0</v>
      </c>
    </row>
    <row r="1356" spans="1:6" x14ac:dyDescent="0.35">
      <c r="A1356" t="s">
        <v>2856</v>
      </c>
      <c r="B1356" t="s">
        <v>2862</v>
      </c>
      <c r="C1356" t="s">
        <v>2672</v>
      </c>
      <c r="D1356" t="s">
        <v>2896</v>
      </c>
      <c r="E1356">
        <v>1696971</v>
      </c>
      <c r="F1356" s="11">
        <v>0</v>
      </c>
    </row>
    <row r="1357" spans="1:6" x14ac:dyDescent="0.35">
      <c r="A1357" t="s">
        <v>2856</v>
      </c>
      <c r="B1357" t="s">
        <v>2862</v>
      </c>
      <c r="C1357" t="s">
        <v>2672</v>
      </c>
      <c r="D1357" t="s">
        <v>2897</v>
      </c>
      <c r="E1357">
        <v>1796327</v>
      </c>
      <c r="F1357" s="11">
        <v>0</v>
      </c>
    </row>
    <row r="1358" spans="1:6" x14ac:dyDescent="0.35">
      <c r="A1358" t="s">
        <v>2856</v>
      </c>
      <c r="B1358" t="s">
        <v>2862</v>
      </c>
      <c r="C1358" t="s">
        <v>2672</v>
      </c>
      <c r="D1358" t="s">
        <v>2898</v>
      </c>
      <c r="E1358">
        <v>45585</v>
      </c>
      <c r="F1358" s="11">
        <v>0</v>
      </c>
    </row>
    <row r="1359" spans="1:6" x14ac:dyDescent="0.35">
      <c r="A1359" t="s">
        <v>2856</v>
      </c>
      <c r="B1359" t="s">
        <v>2862</v>
      </c>
      <c r="C1359" t="s">
        <v>2672</v>
      </c>
      <c r="D1359" t="s">
        <v>2899</v>
      </c>
      <c r="E1359">
        <v>34694</v>
      </c>
      <c r="F1359" s="11">
        <v>0</v>
      </c>
    </row>
    <row r="1360" spans="1:6" x14ac:dyDescent="0.35">
      <c r="A1360" t="s">
        <v>2856</v>
      </c>
      <c r="B1360" t="s">
        <v>2862</v>
      </c>
      <c r="C1360" t="s">
        <v>2672</v>
      </c>
      <c r="D1360" t="s">
        <v>2900</v>
      </c>
      <c r="E1360">
        <v>34150</v>
      </c>
      <c r="F1360" s="11">
        <v>0</v>
      </c>
    </row>
    <row r="1361" spans="1:6" x14ac:dyDescent="0.35">
      <c r="A1361" t="s">
        <v>2856</v>
      </c>
      <c r="B1361" t="s">
        <v>2862</v>
      </c>
      <c r="C1361" t="s">
        <v>2672</v>
      </c>
      <c r="D1361" t="s">
        <v>2901</v>
      </c>
      <c r="E1361">
        <v>541</v>
      </c>
      <c r="F1361" s="11">
        <v>0</v>
      </c>
    </row>
    <row r="1362" spans="1:6" x14ac:dyDescent="0.35">
      <c r="A1362" t="s">
        <v>2856</v>
      </c>
      <c r="B1362" t="s">
        <v>2862</v>
      </c>
      <c r="C1362" t="s">
        <v>2672</v>
      </c>
      <c r="D1362" t="s">
        <v>2902</v>
      </c>
      <c r="E1362">
        <v>3</v>
      </c>
      <c r="F1362" s="11">
        <v>0</v>
      </c>
    </row>
    <row r="1363" spans="1:6" x14ac:dyDescent="0.35">
      <c r="A1363" t="s">
        <v>2856</v>
      </c>
      <c r="B1363" t="s">
        <v>2862</v>
      </c>
      <c r="C1363" t="s">
        <v>2672</v>
      </c>
      <c r="D1363" t="s">
        <v>2903</v>
      </c>
      <c r="E1363">
        <v>321751</v>
      </c>
      <c r="F1363" s="11">
        <v>0</v>
      </c>
    </row>
    <row r="1364" spans="1:6" x14ac:dyDescent="0.35">
      <c r="A1364" t="s">
        <v>2856</v>
      </c>
      <c r="B1364" t="s">
        <v>2862</v>
      </c>
      <c r="C1364" t="s">
        <v>2672</v>
      </c>
      <c r="D1364" t="s">
        <v>2904</v>
      </c>
      <c r="E1364">
        <v>283234</v>
      </c>
      <c r="F1364" s="11">
        <v>0</v>
      </c>
    </row>
    <row r="1365" spans="1:6" x14ac:dyDescent="0.35">
      <c r="A1365" t="s">
        <v>2856</v>
      </c>
      <c r="B1365" t="s">
        <v>2862</v>
      </c>
      <c r="C1365" t="s">
        <v>2672</v>
      </c>
      <c r="D1365" t="s">
        <v>2905</v>
      </c>
      <c r="E1365">
        <v>26495</v>
      </c>
      <c r="F1365" s="11">
        <v>0</v>
      </c>
    </row>
    <row r="1366" spans="1:6" x14ac:dyDescent="0.35">
      <c r="A1366" t="s">
        <v>2856</v>
      </c>
      <c r="B1366" t="s">
        <v>2862</v>
      </c>
      <c r="C1366" t="s">
        <v>2672</v>
      </c>
      <c r="D1366" t="s">
        <v>2906</v>
      </c>
      <c r="E1366">
        <v>12022</v>
      </c>
      <c r="F1366" s="11">
        <v>0</v>
      </c>
    </row>
    <row r="1367" spans="1:6" x14ac:dyDescent="0.35">
      <c r="A1367" t="s">
        <v>2856</v>
      </c>
      <c r="B1367" t="s">
        <v>2862</v>
      </c>
      <c r="C1367" t="s">
        <v>2672</v>
      </c>
      <c r="D1367" t="s">
        <v>2907</v>
      </c>
      <c r="E1367">
        <v>531247</v>
      </c>
      <c r="F1367" s="11">
        <v>0</v>
      </c>
    </row>
    <row r="1368" spans="1:6" x14ac:dyDescent="0.35">
      <c r="A1368" t="s">
        <v>2856</v>
      </c>
      <c r="B1368" t="s">
        <v>2862</v>
      </c>
      <c r="C1368" t="s">
        <v>2672</v>
      </c>
      <c r="D1368" t="s">
        <v>2908</v>
      </c>
      <c r="E1368">
        <v>443027</v>
      </c>
      <c r="F1368" s="11">
        <v>0</v>
      </c>
    </row>
    <row r="1369" spans="1:6" x14ac:dyDescent="0.35">
      <c r="A1369" t="s">
        <v>2856</v>
      </c>
      <c r="B1369" t="s">
        <v>2862</v>
      </c>
      <c r="C1369" t="s">
        <v>2672</v>
      </c>
      <c r="D1369" t="s">
        <v>2909</v>
      </c>
      <c r="E1369">
        <v>69001</v>
      </c>
      <c r="F1369" s="11">
        <v>0</v>
      </c>
    </row>
    <row r="1370" spans="1:6" x14ac:dyDescent="0.35">
      <c r="A1370" t="s">
        <v>2856</v>
      </c>
      <c r="B1370" t="s">
        <v>2862</v>
      </c>
      <c r="C1370" t="s">
        <v>2672</v>
      </c>
      <c r="D1370" t="s">
        <v>2910</v>
      </c>
      <c r="E1370">
        <v>19219</v>
      </c>
      <c r="F1370" s="11">
        <v>0</v>
      </c>
    </row>
    <row r="1371" spans="1:6" x14ac:dyDescent="0.35">
      <c r="A1371" t="s">
        <v>2856</v>
      </c>
      <c r="B1371" t="s">
        <v>2862</v>
      </c>
      <c r="C1371" t="s">
        <v>2672</v>
      </c>
      <c r="D1371" t="s">
        <v>2911</v>
      </c>
      <c r="E1371">
        <v>1484572</v>
      </c>
      <c r="F1371" s="11">
        <v>0</v>
      </c>
    </row>
    <row r="1372" spans="1:6" x14ac:dyDescent="0.35">
      <c r="A1372" t="s">
        <v>2856</v>
      </c>
      <c r="B1372" t="s">
        <v>2862</v>
      </c>
      <c r="C1372" t="s">
        <v>2672</v>
      </c>
      <c r="D1372" t="s">
        <v>2912</v>
      </c>
      <c r="E1372">
        <v>1628529</v>
      </c>
      <c r="F1372" s="11">
        <v>0</v>
      </c>
    </row>
    <row r="1373" spans="1:6" x14ac:dyDescent="0.35">
      <c r="A1373" t="s">
        <v>2856</v>
      </c>
      <c r="B1373" t="s">
        <v>2862</v>
      </c>
      <c r="C1373" t="s">
        <v>2672</v>
      </c>
      <c r="D1373" t="s">
        <v>2913</v>
      </c>
      <c r="E1373">
        <v>0</v>
      </c>
      <c r="F1373" s="11">
        <v>0</v>
      </c>
    </row>
    <row r="1374" spans="1:6" x14ac:dyDescent="0.35">
      <c r="A1374" t="s">
        <v>2856</v>
      </c>
      <c r="B1374" t="s">
        <v>2862</v>
      </c>
      <c r="C1374" t="s">
        <v>2672</v>
      </c>
      <c r="D1374" t="s">
        <v>2914</v>
      </c>
      <c r="E1374">
        <v>6823</v>
      </c>
      <c r="F1374" s="11">
        <v>0</v>
      </c>
    </row>
    <row r="1375" spans="1:6" x14ac:dyDescent="0.35">
      <c r="A1375" t="s">
        <v>2856</v>
      </c>
      <c r="B1375" t="s">
        <v>2862</v>
      </c>
      <c r="C1375" t="s">
        <v>2672</v>
      </c>
      <c r="D1375" t="s">
        <v>2915</v>
      </c>
      <c r="E1375">
        <v>3551</v>
      </c>
      <c r="F1375" s="11">
        <v>0</v>
      </c>
    </row>
    <row r="1376" spans="1:6" x14ac:dyDescent="0.35">
      <c r="A1376" t="s">
        <v>2856</v>
      </c>
      <c r="B1376" t="s">
        <v>2862</v>
      </c>
      <c r="C1376" t="s">
        <v>2672</v>
      </c>
      <c r="D1376" t="s">
        <v>2916</v>
      </c>
      <c r="E1376">
        <v>201438</v>
      </c>
      <c r="F1376" s="11">
        <v>0</v>
      </c>
    </row>
    <row r="1377" spans="1:6" x14ac:dyDescent="0.35">
      <c r="A1377" t="s">
        <v>2856</v>
      </c>
      <c r="B1377" t="s">
        <v>2862</v>
      </c>
      <c r="C1377" t="s">
        <v>2672</v>
      </c>
      <c r="D1377" t="s">
        <v>2917</v>
      </c>
      <c r="E1377">
        <v>47238</v>
      </c>
      <c r="F1377" s="11">
        <v>0</v>
      </c>
    </row>
    <row r="1378" spans="1:6" x14ac:dyDescent="0.35">
      <c r="A1378" t="s">
        <v>2856</v>
      </c>
      <c r="B1378" t="s">
        <v>2865</v>
      </c>
      <c r="C1378" t="s">
        <v>1542</v>
      </c>
      <c r="D1378" t="s">
        <v>2875</v>
      </c>
      <c r="E1378">
        <v>28783</v>
      </c>
      <c r="F1378" s="11">
        <v>1</v>
      </c>
    </row>
    <row r="1379" spans="1:6" x14ac:dyDescent="0.35">
      <c r="A1379" t="s">
        <v>2856</v>
      </c>
      <c r="B1379" t="s">
        <v>2865</v>
      </c>
      <c r="C1379" t="s">
        <v>1542</v>
      </c>
      <c r="D1379" t="s">
        <v>2876</v>
      </c>
      <c r="E1379">
        <v>5926</v>
      </c>
      <c r="F1379" s="11">
        <v>1</v>
      </c>
    </row>
    <row r="1380" spans="1:6" x14ac:dyDescent="0.35">
      <c r="A1380" t="s">
        <v>2856</v>
      </c>
      <c r="B1380" t="s">
        <v>2865</v>
      </c>
      <c r="C1380" t="s">
        <v>1542</v>
      </c>
      <c r="D1380" t="s">
        <v>2877</v>
      </c>
      <c r="E1380">
        <v>16314</v>
      </c>
      <c r="F1380" s="11">
        <v>1</v>
      </c>
    </row>
    <row r="1381" spans="1:6" x14ac:dyDescent="0.35">
      <c r="A1381" t="s">
        <v>2856</v>
      </c>
      <c r="B1381" t="s">
        <v>2865</v>
      </c>
      <c r="C1381" t="s">
        <v>1542</v>
      </c>
      <c r="D1381" t="s">
        <v>2878</v>
      </c>
      <c r="E1381">
        <v>5056</v>
      </c>
      <c r="F1381" s="11">
        <v>1</v>
      </c>
    </row>
    <row r="1382" spans="1:6" x14ac:dyDescent="0.35">
      <c r="A1382" t="s">
        <v>2856</v>
      </c>
      <c r="B1382" t="s">
        <v>2865</v>
      </c>
      <c r="C1382" t="s">
        <v>1542</v>
      </c>
      <c r="D1382" t="s">
        <v>2879</v>
      </c>
      <c r="E1382">
        <v>1978</v>
      </c>
      <c r="F1382" s="11">
        <v>1</v>
      </c>
    </row>
    <row r="1383" spans="1:6" x14ac:dyDescent="0.35">
      <c r="A1383" t="s">
        <v>2856</v>
      </c>
      <c r="B1383" t="s">
        <v>2865</v>
      </c>
      <c r="C1383" t="s">
        <v>1542</v>
      </c>
      <c r="D1383" t="s">
        <v>2880</v>
      </c>
      <c r="E1383">
        <v>251</v>
      </c>
      <c r="F1383" s="11">
        <v>0</v>
      </c>
    </row>
    <row r="1384" spans="1:6" x14ac:dyDescent="0.35">
      <c r="A1384" t="s">
        <v>2856</v>
      </c>
      <c r="B1384" t="s">
        <v>2865</v>
      </c>
      <c r="C1384" t="s">
        <v>1542</v>
      </c>
      <c r="D1384" t="s">
        <v>2881</v>
      </c>
      <c r="E1384">
        <v>1236</v>
      </c>
      <c r="F1384" s="11">
        <v>0</v>
      </c>
    </row>
    <row r="1385" spans="1:6" x14ac:dyDescent="0.35">
      <c r="A1385" t="s">
        <v>2856</v>
      </c>
      <c r="B1385" t="s">
        <v>2865</v>
      </c>
      <c r="C1385" t="s">
        <v>1542</v>
      </c>
      <c r="D1385" t="s">
        <v>2882</v>
      </c>
      <c r="E1385">
        <v>60</v>
      </c>
      <c r="F1385" s="11">
        <v>0</v>
      </c>
    </row>
    <row r="1386" spans="1:6" x14ac:dyDescent="0.35">
      <c r="A1386" t="s">
        <v>2856</v>
      </c>
      <c r="B1386" t="s">
        <v>2865</v>
      </c>
      <c r="C1386" t="s">
        <v>1542</v>
      </c>
      <c r="D1386" t="s">
        <v>2883</v>
      </c>
      <c r="E1386">
        <v>0</v>
      </c>
      <c r="F1386" s="11">
        <v>0</v>
      </c>
    </row>
    <row r="1387" spans="1:6" x14ac:dyDescent="0.35">
      <c r="A1387" t="s">
        <v>2856</v>
      </c>
      <c r="B1387" t="s">
        <v>2865</v>
      </c>
      <c r="C1387" t="s">
        <v>1542</v>
      </c>
      <c r="D1387" t="s">
        <v>2884</v>
      </c>
      <c r="E1387">
        <v>0</v>
      </c>
      <c r="F1387" s="11">
        <v>0</v>
      </c>
    </row>
    <row r="1388" spans="1:6" x14ac:dyDescent="0.35">
      <c r="A1388" t="s">
        <v>2856</v>
      </c>
      <c r="B1388" t="s">
        <v>2865</v>
      </c>
      <c r="C1388" t="s">
        <v>1542</v>
      </c>
      <c r="D1388" t="s">
        <v>2885</v>
      </c>
      <c r="E1388">
        <v>0</v>
      </c>
      <c r="F1388" s="11">
        <v>0</v>
      </c>
    </row>
    <row r="1389" spans="1:6" x14ac:dyDescent="0.35">
      <c r="A1389" t="s">
        <v>2856</v>
      </c>
      <c r="B1389" t="s">
        <v>2865</v>
      </c>
      <c r="C1389" t="s">
        <v>1542</v>
      </c>
      <c r="D1389" t="s">
        <v>2886</v>
      </c>
      <c r="E1389">
        <v>0</v>
      </c>
      <c r="F1389" s="11">
        <v>0</v>
      </c>
    </row>
    <row r="1390" spans="1:6" x14ac:dyDescent="0.35">
      <c r="A1390" t="s">
        <v>2856</v>
      </c>
      <c r="B1390" t="s">
        <v>2865</v>
      </c>
      <c r="C1390" t="s">
        <v>1542</v>
      </c>
      <c r="D1390" t="s">
        <v>2887</v>
      </c>
      <c r="E1390">
        <v>36070</v>
      </c>
      <c r="F1390" s="11">
        <v>1</v>
      </c>
    </row>
    <row r="1391" spans="1:6" x14ac:dyDescent="0.35">
      <c r="A1391" t="s">
        <v>2856</v>
      </c>
      <c r="B1391" t="s">
        <v>2865</v>
      </c>
      <c r="C1391" t="s">
        <v>1542</v>
      </c>
      <c r="D1391" t="s">
        <v>2888</v>
      </c>
      <c r="E1391">
        <v>13590</v>
      </c>
      <c r="F1391" s="11">
        <v>1</v>
      </c>
    </row>
    <row r="1392" spans="1:6" x14ac:dyDescent="0.35">
      <c r="A1392" t="s">
        <v>2856</v>
      </c>
      <c r="B1392" t="s">
        <v>2865</v>
      </c>
      <c r="C1392" t="s">
        <v>1542</v>
      </c>
      <c r="D1392" t="s">
        <v>2889</v>
      </c>
      <c r="E1392">
        <v>21489</v>
      </c>
      <c r="F1392" s="11">
        <v>1</v>
      </c>
    </row>
    <row r="1393" spans="1:6" x14ac:dyDescent="0.35">
      <c r="A1393" t="s">
        <v>2856</v>
      </c>
      <c r="B1393" t="s">
        <v>2865</v>
      </c>
      <c r="C1393" t="s">
        <v>1542</v>
      </c>
      <c r="D1393" t="s">
        <v>2890</v>
      </c>
      <c r="E1393">
        <v>991</v>
      </c>
      <c r="F1393" s="11">
        <v>1</v>
      </c>
    </row>
    <row r="1394" spans="1:6" x14ac:dyDescent="0.35">
      <c r="A1394" t="s">
        <v>2856</v>
      </c>
      <c r="B1394" t="s">
        <v>2865</v>
      </c>
      <c r="C1394" t="s">
        <v>1542</v>
      </c>
      <c r="D1394" t="s">
        <v>2891</v>
      </c>
      <c r="E1394">
        <v>0</v>
      </c>
      <c r="F1394" s="11">
        <v>0</v>
      </c>
    </row>
    <row r="1395" spans="1:6" x14ac:dyDescent="0.35">
      <c r="A1395" t="s">
        <v>2856</v>
      </c>
      <c r="B1395" t="s">
        <v>2865</v>
      </c>
      <c r="C1395" t="s">
        <v>1542</v>
      </c>
      <c r="D1395" t="s">
        <v>2892</v>
      </c>
      <c r="E1395">
        <v>0</v>
      </c>
      <c r="F1395" s="11">
        <v>0</v>
      </c>
    </row>
    <row r="1396" spans="1:6" x14ac:dyDescent="0.35">
      <c r="A1396" t="s">
        <v>2856</v>
      </c>
      <c r="B1396" t="s">
        <v>2865</v>
      </c>
      <c r="C1396" t="s">
        <v>1542</v>
      </c>
      <c r="D1396" t="s">
        <v>2893</v>
      </c>
      <c r="E1396">
        <v>0</v>
      </c>
      <c r="F1396" s="11">
        <v>0</v>
      </c>
    </row>
    <row r="1397" spans="1:6" x14ac:dyDescent="0.35">
      <c r="A1397" t="s">
        <v>2856</v>
      </c>
      <c r="B1397" t="s">
        <v>2865</v>
      </c>
      <c r="C1397" t="s">
        <v>1542</v>
      </c>
      <c r="D1397" t="s">
        <v>2894</v>
      </c>
      <c r="E1397">
        <v>0</v>
      </c>
      <c r="F1397" s="11">
        <v>0</v>
      </c>
    </row>
    <row r="1398" spans="1:6" x14ac:dyDescent="0.35">
      <c r="A1398" t="s">
        <v>2856</v>
      </c>
      <c r="B1398" t="s">
        <v>2865</v>
      </c>
      <c r="C1398" t="s">
        <v>1542</v>
      </c>
      <c r="D1398" t="s">
        <v>2895</v>
      </c>
      <c r="E1398">
        <v>384767</v>
      </c>
      <c r="F1398" s="11">
        <v>1</v>
      </c>
    </row>
    <row r="1399" spans="1:6" x14ac:dyDescent="0.35">
      <c r="A1399" t="s">
        <v>2856</v>
      </c>
      <c r="B1399" t="s">
        <v>2865</v>
      </c>
      <c r="C1399" t="s">
        <v>1542</v>
      </c>
      <c r="D1399" t="s">
        <v>2896</v>
      </c>
      <c r="E1399">
        <v>244505</v>
      </c>
      <c r="F1399" s="11">
        <v>0</v>
      </c>
    </row>
    <row r="1400" spans="1:6" x14ac:dyDescent="0.35">
      <c r="A1400" t="s">
        <v>2856</v>
      </c>
      <c r="B1400" t="s">
        <v>2865</v>
      </c>
      <c r="C1400" t="s">
        <v>1542</v>
      </c>
      <c r="D1400" t="s">
        <v>2897</v>
      </c>
      <c r="E1400">
        <v>134761</v>
      </c>
      <c r="F1400" s="11">
        <v>0</v>
      </c>
    </row>
    <row r="1401" spans="1:6" x14ac:dyDescent="0.35">
      <c r="A1401" t="s">
        <v>2856</v>
      </c>
      <c r="B1401" t="s">
        <v>2865</v>
      </c>
      <c r="C1401" t="s">
        <v>1542</v>
      </c>
      <c r="D1401" t="s">
        <v>2898</v>
      </c>
      <c r="E1401">
        <v>5081</v>
      </c>
      <c r="F1401" s="11">
        <v>0</v>
      </c>
    </row>
    <row r="1402" spans="1:6" x14ac:dyDescent="0.35">
      <c r="A1402" t="s">
        <v>2856</v>
      </c>
      <c r="B1402" t="s">
        <v>2865</v>
      </c>
      <c r="C1402" t="s">
        <v>1542</v>
      </c>
      <c r="D1402" t="s">
        <v>2899</v>
      </c>
      <c r="E1402">
        <v>12119</v>
      </c>
      <c r="F1402" s="11">
        <v>0</v>
      </c>
    </row>
    <row r="1403" spans="1:6" x14ac:dyDescent="0.35">
      <c r="A1403" t="s">
        <v>2856</v>
      </c>
      <c r="B1403" t="s">
        <v>2865</v>
      </c>
      <c r="C1403" t="s">
        <v>1542</v>
      </c>
      <c r="D1403" t="s">
        <v>2900</v>
      </c>
      <c r="E1403">
        <v>11778</v>
      </c>
      <c r="F1403" s="11">
        <v>0</v>
      </c>
    </row>
    <row r="1404" spans="1:6" x14ac:dyDescent="0.35">
      <c r="A1404" t="s">
        <v>2856</v>
      </c>
      <c r="B1404" t="s">
        <v>2865</v>
      </c>
      <c r="C1404" t="s">
        <v>1542</v>
      </c>
      <c r="D1404" t="s">
        <v>2901</v>
      </c>
      <c r="E1404">
        <v>341</v>
      </c>
      <c r="F1404" s="11">
        <v>0</v>
      </c>
    </row>
    <row r="1405" spans="1:6" x14ac:dyDescent="0.35">
      <c r="A1405" t="s">
        <v>2856</v>
      </c>
      <c r="B1405" t="s">
        <v>2865</v>
      </c>
      <c r="C1405" t="s">
        <v>1542</v>
      </c>
      <c r="D1405" t="s">
        <v>2902</v>
      </c>
      <c r="E1405">
        <v>0</v>
      </c>
      <c r="F1405" s="11">
        <v>0</v>
      </c>
    </row>
    <row r="1406" spans="1:6" x14ac:dyDescent="0.35">
      <c r="A1406" t="s">
        <v>2856</v>
      </c>
      <c r="B1406" t="s">
        <v>2865</v>
      </c>
      <c r="C1406" t="s">
        <v>1542</v>
      </c>
      <c r="D1406" t="s">
        <v>2903</v>
      </c>
      <c r="E1406">
        <v>27858</v>
      </c>
      <c r="F1406" s="11">
        <v>1</v>
      </c>
    </row>
    <row r="1407" spans="1:6" x14ac:dyDescent="0.35">
      <c r="A1407" t="s">
        <v>2856</v>
      </c>
      <c r="B1407" t="s">
        <v>2865</v>
      </c>
      <c r="C1407" t="s">
        <v>1542</v>
      </c>
      <c r="D1407" t="s">
        <v>2904</v>
      </c>
      <c r="E1407">
        <v>26345</v>
      </c>
      <c r="F1407" s="11">
        <v>0</v>
      </c>
    </row>
    <row r="1408" spans="1:6" x14ac:dyDescent="0.35">
      <c r="A1408" t="s">
        <v>2856</v>
      </c>
      <c r="B1408" t="s">
        <v>2865</v>
      </c>
      <c r="C1408" t="s">
        <v>1542</v>
      </c>
      <c r="D1408" t="s">
        <v>2905</v>
      </c>
      <c r="E1408">
        <v>840</v>
      </c>
      <c r="F1408" s="11">
        <v>0</v>
      </c>
    </row>
    <row r="1409" spans="1:6" x14ac:dyDescent="0.35">
      <c r="A1409" t="s">
        <v>2856</v>
      </c>
      <c r="B1409" t="s">
        <v>2865</v>
      </c>
      <c r="C1409" t="s">
        <v>1542</v>
      </c>
      <c r="D1409" t="s">
        <v>2906</v>
      </c>
      <c r="E1409">
        <v>673</v>
      </c>
      <c r="F1409" s="11">
        <v>0</v>
      </c>
    </row>
    <row r="1410" spans="1:6" x14ac:dyDescent="0.35">
      <c r="A1410" t="s">
        <v>2856</v>
      </c>
      <c r="B1410" t="s">
        <v>2865</v>
      </c>
      <c r="C1410" t="s">
        <v>1542</v>
      </c>
      <c r="D1410" t="s">
        <v>2907</v>
      </c>
      <c r="E1410">
        <v>36507</v>
      </c>
      <c r="F1410" s="11">
        <v>0</v>
      </c>
    </row>
    <row r="1411" spans="1:6" x14ac:dyDescent="0.35">
      <c r="A1411" t="s">
        <v>2856</v>
      </c>
      <c r="B1411" t="s">
        <v>2865</v>
      </c>
      <c r="C1411" t="s">
        <v>1542</v>
      </c>
      <c r="D1411" t="s">
        <v>2908</v>
      </c>
      <c r="E1411">
        <v>32820</v>
      </c>
      <c r="F1411" s="11">
        <v>0</v>
      </c>
    </row>
    <row r="1412" spans="1:6" x14ac:dyDescent="0.35">
      <c r="A1412" t="s">
        <v>2856</v>
      </c>
      <c r="B1412" t="s">
        <v>2865</v>
      </c>
      <c r="C1412" t="s">
        <v>1542</v>
      </c>
      <c r="D1412" t="s">
        <v>2909</v>
      </c>
      <c r="E1412">
        <v>3306</v>
      </c>
      <c r="F1412" s="11">
        <v>0</v>
      </c>
    </row>
    <row r="1413" spans="1:6" x14ac:dyDescent="0.35">
      <c r="A1413" t="s">
        <v>2856</v>
      </c>
      <c r="B1413" t="s">
        <v>2865</v>
      </c>
      <c r="C1413" t="s">
        <v>1542</v>
      </c>
      <c r="D1413" t="s">
        <v>2910</v>
      </c>
      <c r="E1413">
        <v>354</v>
      </c>
      <c r="F1413" s="11">
        <v>0</v>
      </c>
    </row>
    <row r="1414" spans="1:6" x14ac:dyDescent="0.35">
      <c r="A1414" t="s">
        <v>2856</v>
      </c>
      <c r="B1414" t="s">
        <v>2865</v>
      </c>
      <c r="C1414" t="s">
        <v>1542</v>
      </c>
      <c r="D1414" t="s">
        <v>2911</v>
      </c>
      <c r="E1414">
        <v>201562</v>
      </c>
      <c r="F1414" s="11">
        <v>1</v>
      </c>
    </row>
    <row r="1415" spans="1:6" x14ac:dyDescent="0.35">
      <c r="A1415" t="s">
        <v>2856</v>
      </c>
      <c r="B1415" t="s">
        <v>2865</v>
      </c>
      <c r="C1415" t="s">
        <v>1542</v>
      </c>
      <c r="D1415" t="s">
        <v>2912</v>
      </c>
      <c r="E1415">
        <v>128451</v>
      </c>
      <c r="F1415" s="11">
        <v>1</v>
      </c>
    </row>
    <row r="1416" spans="1:6" x14ac:dyDescent="0.35">
      <c r="A1416" t="s">
        <v>2856</v>
      </c>
      <c r="B1416" t="s">
        <v>2865</v>
      </c>
      <c r="C1416" t="s">
        <v>1542</v>
      </c>
      <c r="D1416" t="s">
        <v>2913</v>
      </c>
      <c r="E1416">
        <v>0</v>
      </c>
      <c r="F1416" s="11">
        <v>0</v>
      </c>
    </row>
    <row r="1417" spans="1:6" x14ac:dyDescent="0.35">
      <c r="A1417" t="s">
        <v>2856</v>
      </c>
      <c r="B1417" t="s">
        <v>2865</v>
      </c>
      <c r="C1417" t="s">
        <v>1542</v>
      </c>
      <c r="D1417" t="s">
        <v>2914</v>
      </c>
      <c r="E1417">
        <v>0</v>
      </c>
      <c r="F1417" s="11">
        <v>0</v>
      </c>
    </row>
    <row r="1418" spans="1:6" x14ac:dyDescent="0.35">
      <c r="A1418" t="s">
        <v>2856</v>
      </c>
      <c r="B1418" t="s">
        <v>2865</v>
      </c>
      <c r="C1418" t="s">
        <v>1542</v>
      </c>
      <c r="D1418" t="s">
        <v>2915</v>
      </c>
      <c r="E1418">
        <v>37404</v>
      </c>
      <c r="F1418" s="11">
        <v>1</v>
      </c>
    </row>
    <row r="1419" spans="1:6" x14ac:dyDescent="0.35">
      <c r="A1419" t="s">
        <v>2856</v>
      </c>
      <c r="B1419" t="s">
        <v>2865</v>
      </c>
      <c r="C1419" t="s">
        <v>1542</v>
      </c>
      <c r="D1419" t="s">
        <v>2916</v>
      </c>
      <c r="E1419">
        <v>28403</v>
      </c>
      <c r="F1419" s="11">
        <v>1</v>
      </c>
    </row>
    <row r="1420" spans="1:6" x14ac:dyDescent="0.35">
      <c r="A1420" t="s">
        <v>2856</v>
      </c>
      <c r="B1420" t="s">
        <v>2865</v>
      </c>
      <c r="C1420" t="s">
        <v>1542</v>
      </c>
      <c r="D1420" t="s">
        <v>2917</v>
      </c>
      <c r="E1420">
        <v>0</v>
      </c>
      <c r="F1420" s="11">
        <v>0</v>
      </c>
    </row>
    <row r="1421" spans="1:6" x14ac:dyDescent="0.35">
      <c r="A1421" t="s">
        <v>2856</v>
      </c>
      <c r="B1421" t="s">
        <v>2864</v>
      </c>
      <c r="C1421" t="s">
        <v>1435</v>
      </c>
      <c r="D1421" t="s">
        <v>2875</v>
      </c>
      <c r="E1421">
        <v>65926</v>
      </c>
      <c r="F1421" s="11">
        <v>1</v>
      </c>
    </row>
    <row r="1422" spans="1:6" x14ac:dyDescent="0.35">
      <c r="A1422" t="s">
        <v>2856</v>
      </c>
      <c r="B1422" t="s">
        <v>2864</v>
      </c>
      <c r="C1422" t="s">
        <v>1435</v>
      </c>
      <c r="D1422" t="s">
        <v>2876</v>
      </c>
      <c r="E1422">
        <v>0</v>
      </c>
      <c r="F1422" s="11">
        <v>1</v>
      </c>
    </row>
    <row r="1423" spans="1:6" x14ac:dyDescent="0.35">
      <c r="A1423" t="s">
        <v>2856</v>
      </c>
      <c r="B1423" t="s">
        <v>2864</v>
      </c>
      <c r="C1423" t="s">
        <v>1435</v>
      </c>
      <c r="D1423" t="s">
        <v>2877</v>
      </c>
      <c r="E1423">
        <v>0</v>
      </c>
      <c r="F1423" s="11">
        <v>1</v>
      </c>
    </row>
    <row r="1424" spans="1:6" x14ac:dyDescent="0.35">
      <c r="A1424" t="s">
        <v>2856</v>
      </c>
      <c r="B1424" t="s">
        <v>2864</v>
      </c>
      <c r="C1424" t="s">
        <v>1435</v>
      </c>
      <c r="D1424" t="s">
        <v>2878</v>
      </c>
      <c r="E1424">
        <v>0</v>
      </c>
      <c r="F1424" s="11">
        <v>1</v>
      </c>
    </row>
    <row r="1425" spans="1:6" x14ac:dyDescent="0.35">
      <c r="A1425" t="s">
        <v>2856</v>
      </c>
      <c r="B1425" t="s">
        <v>2864</v>
      </c>
      <c r="C1425" t="s">
        <v>1435</v>
      </c>
      <c r="D1425" t="s">
        <v>2879</v>
      </c>
      <c r="E1425">
        <v>0</v>
      </c>
      <c r="F1425" s="11">
        <v>1</v>
      </c>
    </row>
    <row r="1426" spans="1:6" x14ac:dyDescent="0.35">
      <c r="A1426" t="s">
        <v>2856</v>
      </c>
      <c r="B1426" t="s">
        <v>2864</v>
      </c>
      <c r="C1426" t="s">
        <v>1435</v>
      </c>
      <c r="D1426" t="s">
        <v>2880</v>
      </c>
      <c r="E1426">
        <v>1575</v>
      </c>
      <c r="F1426" s="11">
        <v>1</v>
      </c>
    </row>
    <row r="1427" spans="1:6" x14ac:dyDescent="0.35">
      <c r="A1427" t="s">
        <v>2856</v>
      </c>
      <c r="B1427" t="s">
        <v>2864</v>
      </c>
      <c r="C1427" t="s">
        <v>1435</v>
      </c>
      <c r="D1427" t="s">
        <v>2881</v>
      </c>
      <c r="E1427">
        <v>4642</v>
      </c>
      <c r="F1427" s="11">
        <v>0</v>
      </c>
    </row>
    <row r="1428" spans="1:6" x14ac:dyDescent="0.35">
      <c r="A1428" t="s">
        <v>2856</v>
      </c>
      <c r="B1428" t="s">
        <v>2864</v>
      </c>
      <c r="C1428" t="s">
        <v>1435</v>
      </c>
      <c r="D1428" t="s">
        <v>2882</v>
      </c>
      <c r="E1428">
        <v>0</v>
      </c>
      <c r="F1428" s="11">
        <v>1</v>
      </c>
    </row>
    <row r="1429" spans="1:6" x14ac:dyDescent="0.35">
      <c r="A1429" t="s">
        <v>2856</v>
      </c>
      <c r="B1429" t="s">
        <v>2864</v>
      </c>
      <c r="C1429" t="s">
        <v>1435</v>
      </c>
      <c r="D1429" t="s">
        <v>2883</v>
      </c>
      <c r="E1429">
        <v>0</v>
      </c>
      <c r="F1429" s="11">
        <v>0</v>
      </c>
    </row>
    <row r="1430" spans="1:6" x14ac:dyDescent="0.35">
      <c r="A1430" t="s">
        <v>2856</v>
      </c>
      <c r="B1430" t="s">
        <v>2864</v>
      </c>
      <c r="C1430" t="s">
        <v>1435</v>
      </c>
      <c r="D1430" t="s">
        <v>2884</v>
      </c>
      <c r="E1430">
        <v>0</v>
      </c>
      <c r="F1430" s="11">
        <v>0</v>
      </c>
    </row>
    <row r="1431" spans="1:6" x14ac:dyDescent="0.35">
      <c r="A1431" t="s">
        <v>2856</v>
      </c>
      <c r="B1431" t="s">
        <v>2864</v>
      </c>
      <c r="C1431" t="s">
        <v>1435</v>
      </c>
      <c r="D1431" t="s">
        <v>2885</v>
      </c>
      <c r="E1431">
        <v>0</v>
      </c>
      <c r="F1431" s="11">
        <v>0</v>
      </c>
    </row>
    <row r="1432" spans="1:6" x14ac:dyDescent="0.35">
      <c r="A1432" t="s">
        <v>2856</v>
      </c>
      <c r="B1432" t="s">
        <v>2864</v>
      </c>
      <c r="C1432" t="s">
        <v>1435</v>
      </c>
      <c r="D1432" t="s">
        <v>2886</v>
      </c>
      <c r="E1432">
        <v>0</v>
      </c>
      <c r="F1432" s="11">
        <v>0</v>
      </c>
    </row>
    <row r="1433" spans="1:6" x14ac:dyDescent="0.35">
      <c r="A1433" t="s">
        <v>2856</v>
      </c>
      <c r="B1433" t="s">
        <v>2864</v>
      </c>
      <c r="C1433" t="s">
        <v>1435</v>
      </c>
      <c r="D1433" t="s">
        <v>2887</v>
      </c>
      <c r="E1433">
        <v>0</v>
      </c>
      <c r="F1433" s="11">
        <v>1</v>
      </c>
    </row>
    <row r="1434" spans="1:6" x14ac:dyDescent="0.35">
      <c r="A1434" t="s">
        <v>2856</v>
      </c>
      <c r="B1434" t="s">
        <v>2864</v>
      </c>
      <c r="C1434" t="s">
        <v>1435</v>
      </c>
      <c r="D1434" t="s">
        <v>2888</v>
      </c>
      <c r="E1434">
        <v>12463</v>
      </c>
      <c r="F1434" s="11">
        <v>1</v>
      </c>
    </row>
    <row r="1435" spans="1:6" x14ac:dyDescent="0.35">
      <c r="A1435" t="s">
        <v>2856</v>
      </c>
      <c r="B1435" t="s">
        <v>2864</v>
      </c>
      <c r="C1435" t="s">
        <v>1435</v>
      </c>
      <c r="D1435" t="s">
        <v>2889</v>
      </c>
      <c r="E1435">
        <v>46520</v>
      </c>
      <c r="F1435" s="11">
        <v>0</v>
      </c>
    </row>
    <row r="1436" spans="1:6" x14ac:dyDescent="0.35">
      <c r="A1436" t="s">
        <v>2856</v>
      </c>
      <c r="B1436" t="s">
        <v>2864</v>
      </c>
      <c r="C1436" t="s">
        <v>1435</v>
      </c>
      <c r="D1436" t="s">
        <v>2890</v>
      </c>
      <c r="E1436">
        <v>0</v>
      </c>
      <c r="F1436" s="11">
        <v>1</v>
      </c>
    </row>
    <row r="1437" spans="1:6" x14ac:dyDescent="0.35">
      <c r="A1437" t="s">
        <v>2856</v>
      </c>
      <c r="B1437" t="s">
        <v>2864</v>
      </c>
      <c r="C1437" t="s">
        <v>1435</v>
      </c>
      <c r="D1437" t="s">
        <v>2891</v>
      </c>
      <c r="E1437">
        <v>0</v>
      </c>
      <c r="F1437" s="11">
        <v>0</v>
      </c>
    </row>
    <row r="1438" spans="1:6" x14ac:dyDescent="0.35">
      <c r="A1438" t="s">
        <v>2856</v>
      </c>
      <c r="B1438" t="s">
        <v>2864</v>
      </c>
      <c r="C1438" t="s">
        <v>1435</v>
      </c>
      <c r="D1438" t="s">
        <v>2892</v>
      </c>
      <c r="E1438">
        <v>0</v>
      </c>
      <c r="F1438" s="11">
        <v>0</v>
      </c>
    </row>
    <row r="1439" spans="1:6" x14ac:dyDescent="0.35">
      <c r="A1439" t="s">
        <v>2856</v>
      </c>
      <c r="B1439" t="s">
        <v>2864</v>
      </c>
      <c r="C1439" t="s">
        <v>1435</v>
      </c>
      <c r="D1439" t="s">
        <v>2893</v>
      </c>
      <c r="E1439">
        <v>0</v>
      </c>
      <c r="F1439" s="11">
        <v>0</v>
      </c>
    </row>
    <row r="1440" spans="1:6" x14ac:dyDescent="0.35">
      <c r="A1440" t="s">
        <v>2856</v>
      </c>
      <c r="B1440" t="s">
        <v>2864</v>
      </c>
      <c r="C1440" t="s">
        <v>1435</v>
      </c>
      <c r="D1440" t="s">
        <v>2894</v>
      </c>
      <c r="E1440">
        <v>0</v>
      </c>
      <c r="F1440" s="11">
        <v>0</v>
      </c>
    </row>
    <row r="1441" spans="1:6" x14ac:dyDescent="0.35">
      <c r="A1441" t="s">
        <v>2856</v>
      </c>
      <c r="B1441" t="s">
        <v>2864</v>
      </c>
      <c r="C1441" t="s">
        <v>1435</v>
      </c>
      <c r="D1441" t="s">
        <v>2895</v>
      </c>
      <c r="E1441">
        <v>1555680</v>
      </c>
      <c r="F1441" s="11">
        <v>1</v>
      </c>
    </row>
    <row r="1442" spans="1:6" x14ac:dyDescent="0.35">
      <c r="A1442" t="s">
        <v>2856</v>
      </c>
      <c r="B1442" t="s">
        <v>2864</v>
      </c>
      <c r="C1442" t="s">
        <v>1435</v>
      </c>
      <c r="D1442" t="s">
        <v>2896</v>
      </c>
      <c r="E1442">
        <v>712754</v>
      </c>
      <c r="F1442" s="11">
        <v>1</v>
      </c>
    </row>
    <row r="1443" spans="1:6" x14ac:dyDescent="0.35">
      <c r="A1443" t="s">
        <v>2856</v>
      </c>
      <c r="B1443" t="s">
        <v>2864</v>
      </c>
      <c r="C1443" t="s">
        <v>1435</v>
      </c>
      <c r="D1443" t="s">
        <v>2897</v>
      </c>
      <c r="E1443">
        <v>812763</v>
      </c>
      <c r="F1443" s="11">
        <v>1</v>
      </c>
    </row>
    <row r="1444" spans="1:6" x14ac:dyDescent="0.35">
      <c r="A1444" t="s">
        <v>2856</v>
      </c>
      <c r="B1444" t="s">
        <v>2864</v>
      </c>
      <c r="C1444" t="s">
        <v>1435</v>
      </c>
      <c r="D1444" t="s">
        <v>2898</v>
      </c>
      <c r="E1444">
        <v>23150</v>
      </c>
      <c r="F1444" s="11">
        <v>1</v>
      </c>
    </row>
    <row r="1445" spans="1:6" x14ac:dyDescent="0.35">
      <c r="A1445" t="s">
        <v>2856</v>
      </c>
      <c r="B1445" t="s">
        <v>2864</v>
      </c>
      <c r="C1445" t="s">
        <v>1435</v>
      </c>
      <c r="D1445" t="s">
        <v>2899</v>
      </c>
      <c r="E1445">
        <v>0</v>
      </c>
      <c r="F1445" s="11">
        <v>1</v>
      </c>
    </row>
    <row r="1446" spans="1:6" x14ac:dyDescent="0.35">
      <c r="A1446" t="s">
        <v>2856</v>
      </c>
      <c r="B1446" t="s">
        <v>2864</v>
      </c>
      <c r="C1446" t="s">
        <v>1435</v>
      </c>
      <c r="D1446" t="s">
        <v>2900</v>
      </c>
      <c r="E1446">
        <v>5182</v>
      </c>
      <c r="F1446" s="11">
        <v>1</v>
      </c>
    </row>
    <row r="1447" spans="1:6" x14ac:dyDescent="0.35">
      <c r="A1447" t="s">
        <v>2856</v>
      </c>
      <c r="B1447" t="s">
        <v>2864</v>
      </c>
      <c r="C1447" t="s">
        <v>1435</v>
      </c>
      <c r="D1447" t="s">
        <v>2901</v>
      </c>
      <c r="E1447">
        <v>2348</v>
      </c>
      <c r="F1447" s="11">
        <v>0</v>
      </c>
    </row>
    <row r="1448" spans="1:6" x14ac:dyDescent="0.35">
      <c r="A1448" t="s">
        <v>2856</v>
      </c>
      <c r="B1448" t="s">
        <v>2864</v>
      </c>
      <c r="C1448" t="s">
        <v>1435</v>
      </c>
      <c r="D1448" t="s">
        <v>2902</v>
      </c>
      <c r="E1448">
        <v>0</v>
      </c>
      <c r="F1448" s="11">
        <v>1</v>
      </c>
    </row>
    <row r="1449" spans="1:6" x14ac:dyDescent="0.35">
      <c r="A1449" t="s">
        <v>2856</v>
      </c>
      <c r="B1449" t="s">
        <v>2864</v>
      </c>
      <c r="C1449" t="s">
        <v>1435</v>
      </c>
      <c r="D1449" t="s">
        <v>2903</v>
      </c>
      <c r="E1449">
        <v>90851</v>
      </c>
      <c r="F1449" s="11">
        <v>1</v>
      </c>
    </row>
    <row r="1450" spans="1:6" x14ac:dyDescent="0.35">
      <c r="A1450" t="s">
        <v>2856</v>
      </c>
      <c r="B1450" t="s">
        <v>2864</v>
      </c>
      <c r="C1450" t="s">
        <v>1435</v>
      </c>
      <c r="D1450" t="s">
        <v>2904</v>
      </c>
      <c r="E1450">
        <v>78002</v>
      </c>
      <c r="F1450" s="11">
        <v>1</v>
      </c>
    </row>
    <row r="1451" spans="1:6" x14ac:dyDescent="0.35">
      <c r="A1451" t="s">
        <v>2856</v>
      </c>
      <c r="B1451" t="s">
        <v>2864</v>
      </c>
      <c r="C1451" t="s">
        <v>1435</v>
      </c>
      <c r="D1451" t="s">
        <v>2905</v>
      </c>
      <c r="E1451">
        <v>9232</v>
      </c>
      <c r="F1451" s="11">
        <v>1</v>
      </c>
    </row>
    <row r="1452" spans="1:6" x14ac:dyDescent="0.35">
      <c r="A1452" t="s">
        <v>2856</v>
      </c>
      <c r="B1452" t="s">
        <v>2864</v>
      </c>
      <c r="C1452" t="s">
        <v>1435</v>
      </c>
      <c r="D1452" t="s">
        <v>2906</v>
      </c>
      <c r="E1452">
        <v>3617</v>
      </c>
      <c r="F1452" s="11">
        <v>1</v>
      </c>
    </row>
    <row r="1453" spans="1:6" x14ac:dyDescent="0.35">
      <c r="A1453" t="s">
        <v>2856</v>
      </c>
      <c r="B1453" t="s">
        <v>2864</v>
      </c>
      <c r="C1453" t="s">
        <v>1435</v>
      </c>
      <c r="D1453" t="s">
        <v>2907</v>
      </c>
      <c r="E1453">
        <v>255007</v>
      </c>
      <c r="F1453" s="11">
        <v>1</v>
      </c>
    </row>
    <row r="1454" spans="1:6" x14ac:dyDescent="0.35">
      <c r="A1454" t="s">
        <v>2856</v>
      </c>
      <c r="B1454" t="s">
        <v>2864</v>
      </c>
      <c r="C1454" t="s">
        <v>1435</v>
      </c>
      <c r="D1454" t="s">
        <v>2908</v>
      </c>
      <c r="E1454">
        <v>202475</v>
      </c>
      <c r="F1454" s="11">
        <v>1</v>
      </c>
    </row>
    <row r="1455" spans="1:6" x14ac:dyDescent="0.35">
      <c r="A1455" t="s">
        <v>2856</v>
      </c>
      <c r="B1455" t="s">
        <v>2864</v>
      </c>
      <c r="C1455" t="s">
        <v>1435</v>
      </c>
      <c r="D1455" t="s">
        <v>2909</v>
      </c>
      <c r="E1455">
        <v>41482</v>
      </c>
      <c r="F1455" s="11">
        <v>1</v>
      </c>
    </row>
    <row r="1456" spans="1:6" x14ac:dyDescent="0.35">
      <c r="A1456" t="s">
        <v>2856</v>
      </c>
      <c r="B1456" t="s">
        <v>2864</v>
      </c>
      <c r="C1456" t="s">
        <v>1435</v>
      </c>
      <c r="D1456" t="s">
        <v>2910</v>
      </c>
      <c r="E1456">
        <v>9979</v>
      </c>
      <c r="F1456" s="11">
        <v>1</v>
      </c>
    </row>
    <row r="1457" spans="1:6" x14ac:dyDescent="0.35">
      <c r="A1457" t="s">
        <v>2856</v>
      </c>
      <c r="B1457" t="s">
        <v>2864</v>
      </c>
      <c r="C1457" t="s">
        <v>1435</v>
      </c>
      <c r="D1457" t="s">
        <v>2911</v>
      </c>
      <c r="E1457">
        <v>697457</v>
      </c>
      <c r="F1457" s="11">
        <v>1</v>
      </c>
    </row>
    <row r="1458" spans="1:6" x14ac:dyDescent="0.35">
      <c r="A1458" t="s">
        <v>2856</v>
      </c>
      <c r="B1458" t="s">
        <v>2864</v>
      </c>
      <c r="C1458" t="s">
        <v>1435</v>
      </c>
      <c r="D1458" t="s">
        <v>2912</v>
      </c>
      <c r="E1458">
        <v>834366</v>
      </c>
      <c r="F1458" s="11">
        <v>1</v>
      </c>
    </row>
    <row r="1459" spans="1:6" x14ac:dyDescent="0.35">
      <c r="A1459" t="s">
        <v>2856</v>
      </c>
      <c r="B1459" t="s">
        <v>2864</v>
      </c>
      <c r="C1459" t="s">
        <v>1435</v>
      </c>
      <c r="D1459" t="s">
        <v>2913</v>
      </c>
      <c r="E1459">
        <v>0</v>
      </c>
      <c r="F1459" s="11">
        <v>0</v>
      </c>
    </row>
    <row r="1460" spans="1:6" x14ac:dyDescent="0.35">
      <c r="A1460" t="s">
        <v>2856</v>
      </c>
      <c r="B1460" t="s">
        <v>2864</v>
      </c>
      <c r="C1460" t="s">
        <v>1435</v>
      </c>
      <c r="D1460" t="s">
        <v>2914</v>
      </c>
      <c r="E1460">
        <v>0</v>
      </c>
      <c r="F1460" s="11">
        <v>0</v>
      </c>
    </row>
    <row r="1461" spans="1:6" x14ac:dyDescent="0.35">
      <c r="A1461" t="s">
        <v>2856</v>
      </c>
      <c r="B1461" t="s">
        <v>2864</v>
      </c>
      <c r="C1461" t="s">
        <v>1435</v>
      </c>
      <c r="D1461" t="s">
        <v>2915</v>
      </c>
      <c r="E1461">
        <v>284</v>
      </c>
      <c r="F1461" s="11">
        <v>1</v>
      </c>
    </row>
    <row r="1462" spans="1:6" x14ac:dyDescent="0.35">
      <c r="A1462" t="s">
        <v>2856</v>
      </c>
      <c r="B1462" t="s">
        <v>2864</v>
      </c>
      <c r="C1462" t="s">
        <v>1435</v>
      </c>
      <c r="D1462" t="s">
        <v>2916</v>
      </c>
      <c r="E1462">
        <v>86516</v>
      </c>
      <c r="F1462" s="11">
        <v>1</v>
      </c>
    </row>
    <row r="1463" spans="1:6" x14ac:dyDescent="0.35">
      <c r="A1463" t="s">
        <v>2856</v>
      </c>
      <c r="B1463" t="s">
        <v>2864</v>
      </c>
      <c r="C1463" t="s">
        <v>1435</v>
      </c>
      <c r="D1463" t="s">
        <v>2917</v>
      </c>
      <c r="E1463">
        <v>0</v>
      </c>
      <c r="F1463" s="11">
        <v>0</v>
      </c>
    </row>
    <row r="1464" spans="1:6" x14ac:dyDescent="0.35">
      <c r="A1464" t="s">
        <v>2856</v>
      </c>
      <c r="B1464" t="s">
        <v>2866</v>
      </c>
      <c r="C1464" t="s">
        <v>1520</v>
      </c>
      <c r="D1464" t="s">
        <v>2875</v>
      </c>
      <c r="E1464">
        <v>24685</v>
      </c>
      <c r="F1464" s="11">
        <v>1</v>
      </c>
    </row>
    <row r="1465" spans="1:6" x14ac:dyDescent="0.35">
      <c r="A1465" t="s">
        <v>2856</v>
      </c>
      <c r="B1465" t="s">
        <v>2866</v>
      </c>
      <c r="C1465" t="s">
        <v>1520</v>
      </c>
      <c r="D1465" t="s">
        <v>2876</v>
      </c>
      <c r="E1465">
        <v>3504</v>
      </c>
      <c r="F1465" s="11">
        <v>1</v>
      </c>
    </row>
    <row r="1466" spans="1:6" x14ac:dyDescent="0.35">
      <c r="A1466" t="s">
        <v>2856</v>
      </c>
      <c r="B1466" t="s">
        <v>2866</v>
      </c>
      <c r="C1466" t="s">
        <v>1520</v>
      </c>
      <c r="D1466" t="s">
        <v>2877</v>
      </c>
      <c r="E1466">
        <v>19151</v>
      </c>
      <c r="F1466" s="11">
        <v>1</v>
      </c>
    </row>
    <row r="1467" spans="1:6" x14ac:dyDescent="0.35">
      <c r="A1467" t="s">
        <v>2856</v>
      </c>
      <c r="B1467" t="s">
        <v>2866</v>
      </c>
      <c r="C1467" t="s">
        <v>1520</v>
      </c>
      <c r="D1467" t="s">
        <v>2878</v>
      </c>
      <c r="E1467">
        <v>2030</v>
      </c>
      <c r="F1467" s="11">
        <v>1</v>
      </c>
    </row>
    <row r="1468" spans="1:6" x14ac:dyDescent="0.35">
      <c r="A1468" t="s">
        <v>2856</v>
      </c>
      <c r="B1468" t="s">
        <v>2866</v>
      </c>
      <c r="C1468" t="s">
        <v>1520</v>
      </c>
      <c r="D1468" t="s">
        <v>2879</v>
      </c>
      <c r="E1468">
        <v>7654</v>
      </c>
      <c r="F1468" s="11">
        <v>1</v>
      </c>
    </row>
    <row r="1469" spans="1:6" x14ac:dyDescent="0.35">
      <c r="A1469" t="s">
        <v>2856</v>
      </c>
      <c r="B1469" t="s">
        <v>2866</v>
      </c>
      <c r="C1469" t="s">
        <v>1520</v>
      </c>
      <c r="D1469" t="s">
        <v>2880</v>
      </c>
      <c r="E1469">
        <v>2830</v>
      </c>
      <c r="F1469" s="11">
        <v>1</v>
      </c>
    </row>
    <row r="1470" spans="1:6" x14ac:dyDescent="0.35">
      <c r="A1470" t="s">
        <v>2856</v>
      </c>
      <c r="B1470" t="s">
        <v>2866</v>
      </c>
      <c r="C1470" t="s">
        <v>1520</v>
      </c>
      <c r="D1470" t="s">
        <v>2881</v>
      </c>
      <c r="E1470">
        <v>4630</v>
      </c>
      <c r="F1470" s="11">
        <v>1</v>
      </c>
    </row>
    <row r="1471" spans="1:6" x14ac:dyDescent="0.35">
      <c r="A1471" t="s">
        <v>2856</v>
      </c>
      <c r="B1471" t="s">
        <v>2866</v>
      </c>
      <c r="C1471" t="s">
        <v>1520</v>
      </c>
      <c r="D1471" t="s">
        <v>2882</v>
      </c>
      <c r="E1471">
        <v>134</v>
      </c>
      <c r="F1471" s="11">
        <v>1</v>
      </c>
    </row>
    <row r="1472" spans="1:6" x14ac:dyDescent="0.35">
      <c r="A1472" t="s">
        <v>2856</v>
      </c>
      <c r="B1472" t="s">
        <v>2866</v>
      </c>
      <c r="C1472" t="s">
        <v>1520</v>
      </c>
      <c r="D1472" t="s">
        <v>2883</v>
      </c>
      <c r="E1472">
        <v>144</v>
      </c>
      <c r="F1472" s="11">
        <v>1</v>
      </c>
    </row>
    <row r="1473" spans="1:6" x14ac:dyDescent="0.35">
      <c r="A1473" t="s">
        <v>2856</v>
      </c>
      <c r="B1473" t="s">
        <v>2866</v>
      </c>
      <c r="C1473" t="s">
        <v>1520</v>
      </c>
      <c r="D1473" t="s">
        <v>2884</v>
      </c>
      <c r="E1473">
        <v>96</v>
      </c>
      <c r="F1473" s="11">
        <v>1</v>
      </c>
    </row>
    <row r="1474" spans="1:6" x14ac:dyDescent="0.35">
      <c r="A1474" t="s">
        <v>2856</v>
      </c>
      <c r="B1474" t="s">
        <v>2866</v>
      </c>
      <c r="C1474" t="s">
        <v>1520</v>
      </c>
      <c r="D1474" t="s">
        <v>2885</v>
      </c>
      <c r="E1474">
        <v>36</v>
      </c>
      <c r="F1474" s="11">
        <v>0</v>
      </c>
    </row>
    <row r="1475" spans="1:6" x14ac:dyDescent="0.35">
      <c r="A1475" t="s">
        <v>2856</v>
      </c>
      <c r="B1475" t="s">
        <v>2866</v>
      </c>
      <c r="C1475" t="s">
        <v>1520</v>
      </c>
      <c r="D1475" t="s">
        <v>2886</v>
      </c>
      <c r="E1475">
        <v>12</v>
      </c>
      <c r="F1475" s="11">
        <v>1</v>
      </c>
    </row>
    <row r="1476" spans="1:6" x14ac:dyDescent="0.35">
      <c r="A1476" t="s">
        <v>2856</v>
      </c>
      <c r="B1476" t="s">
        <v>2866</v>
      </c>
      <c r="C1476" t="s">
        <v>1520</v>
      </c>
      <c r="D1476" t="s">
        <v>2887</v>
      </c>
      <c r="E1476">
        <v>150540</v>
      </c>
      <c r="F1476" s="11">
        <v>1</v>
      </c>
    </row>
    <row r="1477" spans="1:6" x14ac:dyDescent="0.35">
      <c r="A1477" t="s">
        <v>2856</v>
      </c>
      <c r="B1477" t="s">
        <v>2866</v>
      </c>
      <c r="C1477" t="s">
        <v>1520</v>
      </c>
      <c r="D1477" t="s">
        <v>2888</v>
      </c>
      <c r="E1477">
        <v>56600</v>
      </c>
      <c r="F1477" s="11">
        <v>1</v>
      </c>
    </row>
    <row r="1478" spans="1:6" x14ac:dyDescent="0.35">
      <c r="A1478" t="s">
        <v>2856</v>
      </c>
      <c r="B1478" t="s">
        <v>2866</v>
      </c>
      <c r="C1478" t="s">
        <v>1520</v>
      </c>
      <c r="D1478" t="s">
        <v>2889</v>
      </c>
      <c r="E1478">
        <v>92600</v>
      </c>
      <c r="F1478" s="11">
        <v>1</v>
      </c>
    </row>
    <row r="1479" spans="1:6" x14ac:dyDescent="0.35">
      <c r="A1479" t="s">
        <v>2856</v>
      </c>
      <c r="B1479" t="s">
        <v>2866</v>
      </c>
      <c r="C1479" t="s">
        <v>1520</v>
      </c>
      <c r="D1479" t="s">
        <v>2890</v>
      </c>
      <c r="E1479">
        <v>1340</v>
      </c>
      <c r="F1479" s="11">
        <v>1</v>
      </c>
    </row>
    <row r="1480" spans="1:6" x14ac:dyDescent="0.35">
      <c r="A1480" t="s">
        <v>2856</v>
      </c>
      <c r="B1480" t="s">
        <v>2866</v>
      </c>
      <c r="C1480" t="s">
        <v>1520</v>
      </c>
      <c r="D1480" t="s">
        <v>2891</v>
      </c>
      <c r="E1480">
        <v>1440</v>
      </c>
      <c r="F1480" s="11">
        <v>1</v>
      </c>
    </row>
    <row r="1481" spans="1:6" x14ac:dyDescent="0.35">
      <c r="A1481" t="s">
        <v>2856</v>
      </c>
      <c r="B1481" t="s">
        <v>2866</v>
      </c>
      <c r="C1481" t="s">
        <v>1520</v>
      </c>
      <c r="D1481" t="s">
        <v>2892</v>
      </c>
      <c r="E1481">
        <v>960</v>
      </c>
      <c r="F1481" s="11">
        <v>1</v>
      </c>
    </row>
    <row r="1482" spans="1:6" x14ac:dyDescent="0.35">
      <c r="A1482" t="s">
        <v>2856</v>
      </c>
      <c r="B1482" t="s">
        <v>2866</v>
      </c>
      <c r="C1482" t="s">
        <v>1520</v>
      </c>
      <c r="D1482" t="s">
        <v>2893</v>
      </c>
      <c r="E1482">
        <v>360</v>
      </c>
      <c r="F1482" s="11">
        <v>0</v>
      </c>
    </row>
    <row r="1483" spans="1:6" x14ac:dyDescent="0.35">
      <c r="A1483" t="s">
        <v>2856</v>
      </c>
      <c r="B1483" t="s">
        <v>2866</v>
      </c>
      <c r="C1483" t="s">
        <v>1520</v>
      </c>
      <c r="D1483" t="s">
        <v>2894</v>
      </c>
      <c r="E1483">
        <v>120</v>
      </c>
      <c r="F1483" s="11">
        <v>1</v>
      </c>
    </row>
    <row r="1484" spans="1:6" x14ac:dyDescent="0.35">
      <c r="A1484" t="s">
        <v>2856</v>
      </c>
      <c r="B1484" t="s">
        <v>2866</v>
      </c>
      <c r="C1484" t="s">
        <v>1520</v>
      </c>
      <c r="D1484" t="s">
        <v>2895</v>
      </c>
      <c r="E1484">
        <v>994009</v>
      </c>
      <c r="F1484" s="11">
        <v>1</v>
      </c>
    </row>
    <row r="1485" spans="1:6" x14ac:dyDescent="0.35">
      <c r="A1485" t="s">
        <v>2856</v>
      </c>
      <c r="B1485" t="s">
        <v>2866</v>
      </c>
      <c r="C1485" t="s">
        <v>1520</v>
      </c>
      <c r="D1485" t="s">
        <v>2896</v>
      </c>
      <c r="E1485">
        <v>427845</v>
      </c>
      <c r="F1485" s="11">
        <v>1</v>
      </c>
    </row>
    <row r="1486" spans="1:6" x14ac:dyDescent="0.35">
      <c r="A1486" t="s">
        <v>2856</v>
      </c>
      <c r="B1486" t="s">
        <v>2866</v>
      </c>
      <c r="C1486" t="s">
        <v>1520</v>
      </c>
      <c r="D1486" t="s">
        <v>2897</v>
      </c>
      <c r="E1486">
        <v>537102</v>
      </c>
      <c r="F1486" s="11">
        <v>1</v>
      </c>
    </row>
    <row r="1487" spans="1:6" x14ac:dyDescent="0.35">
      <c r="A1487" t="s">
        <v>2856</v>
      </c>
      <c r="B1487" t="s">
        <v>2866</v>
      </c>
      <c r="C1487" t="s">
        <v>1520</v>
      </c>
      <c r="D1487" t="s">
        <v>2898</v>
      </c>
      <c r="E1487">
        <v>29062</v>
      </c>
      <c r="F1487" s="11">
        <v>1</v>
      </c>
    </row>
    <row r="1488" spans="1:6" x14ac:dyDescent="0.35">
      <c r="A1488" t="s">
        <v>2856</v>
      </c>
      <c r="B1488" t="s">
        <v>2866</v>
      </c>
      <c r="C1488" t="s">
        <v>1520</v>
      </c>
      <c r="D1488" t="s">
        <v>2899</v>
      </c>
      <c r="E1488">
        <v>17343</v>
      </c>
      <c r="F1488" s="11">
        <v>1</v>
      </c>
    </row>
    <row r="1489" spans="1:6" x14ac:dyDescent="0.35">
      <c r="A1489" t="s">
        <v>2856</v>
      </c>
      <c r="B1489" t="s">
        <v>2866</v>
      </c>
      <c r="C1489" t="s">
        <v>1520</v>
      </c>
      <c r="D1489" t="s">
        <v>2900</v>
      </c>
      <c r="E1489">
        <v>16978</v>
      </c>
      <c r="F1489" s="11">
        <v>1</v>
      </c>
    </row>
    <row r="1490" spans="1:6" x14ac:dyDescent="0.35">
      <c r="A1490" t="s">
        <v>2856</v>
      </c>
      <c r="B1490" t="s">
        <v>2866</v>
      </c>
      <c r="C1490" t="s">
        <v>1520</v>
      </c>
      <c r="D1490" t="s">
        <v>2901</v>
      </c>
      <c r="E1490">
        <v>323</v>
      </c>
      <c r="F1490" s="11">
        <v>1</v>
      </c>
    </row>
    <row r="1491" spans="1:6" x14ac:dyDescent="0.35">
      <c r="A1491" t="s">
        <v>2856</v>
      </c>
      <c r="B1491" t="s">
        <v>2866</v>
      </c>
      <c r="C1491" t="s">
        <v>1520</v>
      </c>
      <c r="D1491" t="s">
        <v>2902</v>
      </c>
      <c r="E1491">
        <v>42</v>
      </c>
      <c r="F1491" s="11">
        <v>1</v>
      </c>
    </row>
    <row r="1492" spans="1:6" x14ac:dyDescent="0.35">
      <c r="A1492" t="s">
        <v>2856</v>
      </c>
      <c r="B1492" t="s">
        <v>2866</v>
      </c>
      <c r="C1492" t="s">
        <v>1520</v>
      </c>
      <c r="D1492" t="s">
        <v>2903</v>
      </c>
      <c r="E1492">
        <v>39504</v>
      </c>
      <c r="F1492" s="11">
        <v>1</v>
      </c>
    </row>
    <row r="1493" spans="1:6" x14ac:dyDescent="0.35">
      <c r="A1493" t="s">
        <v>2856</v>
      </c>
      <c r="B1493" t="s">
        <v>2866</v>
      </c>
      <c r="C1493" t="s">
        <v>1520</v>
      </c>
      <c r="D1493" t="s">
        <v>2904</v>
      </c>
      <c r="E1493">
        <v>29814</v>
      </c>
      <c r="F1493" s="11">
        <v>1</v>
      </c>
    </row>
    <row r="1494" spans="1:6" x14ac:dyDescent="0.35">
      <c r="A1494" t="s">
        <v>2856</v>
      </c>
      <c r="B1494" t="s">
        <v>2866</v>
      </c>
      <c r="C1494" t="s">
        <v>1520</v>
      </c>
      <c r="D1494" t="s">
        <v>2905</v>
      </c>
      <c r="E1494">
        <v>5659</v>
      </c>
      <c r="F1494" s="11">
        <v>1</v>
      </c>
    </row>
    <row r="1495" spans="1:6" x14ac:dyDescent="0.35">
      <c r="A1495" t="s">
        <v>2856</v>
      </c>
      <c r="B1495" t="s">
        <v>2866</v>
      </c>
      <c r="C1495" t="s">
        <v>1520</v>
      </c>
      <c r="D1495" t="s">
        <v>2906</v>
      </c>
      <c r="E1495">
        <v>4041</v>
      </c>
      <c r="F1495" s="11">
        <v>1</v>
      </c>
    </row>
    <row r="1496" spans="1:6" x14ac:dyDescent="0.35">
      <c r="A1496" t="s">
        <v>2856</v>
      </c>
      <c r="B1496" t="s">
        <v>2866</v>
      </c>
      <c r="C1496" t="s">
        <v>1520</v>
      </c>
      <c r="D1496" t="s">
        <v>2907</v>
      </c>
      <c r="E1496">
        <v>44019</v>
      </c>
      <c r="F1496" s="11">
        <v>1</v>
      </c>
    </row>
    <row r="1497" spans="1:6" x14ac:dyDescent="0.35">
      <c r="A1497" t="s">
        <v>2856</v>
      </c>
      <c r="B1497" t="s">
        <v>2866</v>
      </c>
      <c r="C1497" t="s">
        <v>1520</v>
      </c>
      <c r="D1497" t="s">
        <v>2908</v>
      </c>
      <c r="E1497">
        <v>37385</v>
      </c>
      <c r="F1497" s="11">
        <v>1</v>
      </c>
    </row>
    <row r="1498" spans="1:6" x14ac:dyDescent="0.35">
      <c r="A1498" t="s">
        <v>2856</v>
      </c>
      <c r="B1498" t="s">
        <v>2866</v>
      </c>
      <c r="C1498" t="s">
        <v>1520</v>
      </c>
      <c r="D1498" t="s">
        <v>2909</v>
      </c>
      <c r="E1498">
        <v>4621</v>
      </c>
      <c r="F1498" s="11">
        <v>1</v>
      </c>
    </row>
    <row r="1499" spans="1:6" x14ac:dyDescent="0.35">
      <c r="A1499" t="s">
        <v>2856</v>
      </c>
      <c r="B1499" t="s">
        <v>2866</v>
      </c>
      <c r="C1499" t="s">
        <v>1520</v>
      </c>
      <c r="D1499" t="s">
        <v>2910</v>
      </c>
      <c r="E1499">
        <v>2013</v>
      </c>
      <c r="F1499" s="11">
        <v>1</v>
      </c>
    </row>
    <row r="1500" spans="1:6" x14ac:dyDescent="0.35">
      <c r="A1500" t="s">
        <v>2856</v>
      </c>
      <c r="B1500" t="s">
        <v>2866</v>
      </c>
      <c r="C1500" t="s">
        <v>1520</v>
      </c>
      <c r="D1500" t="s">
        <v>2911</v>
      </c>
      <c r="E1500">
        <v>1833894</v>
      </c>
      <c r="F1500" s="11">
        <v>1</v>
      </c>
    </row>
    <row r="1501" spans="1:6" x14ac:dyDescent="0.35">
      <c r="A1501" t="s">
        <v>2856</v>
      </c>
      <c r="B1501" t="s">
        <v>2866</v>
      </c>
      <c r="C1501" t="s">
        <v>1520</v>
      </c>
      <c r="D1501" t="s">
        <v>2912</v>
      </c>
      <c r="E1501">
        <v>163386</v>
      </c>
      <c r="F1501" s="11">
        <v>1</v>
      </c>
    </row>
    <row r="1502" spans="1:6" x14ac:dyDescent="0.35">
      <c r="A1502" t="s">
        <v>2856</v>
      </c>
      <c r="B1502" t="s">
        <v>2866</v>
      </c>
      <c r="C1502" t="s">
        <v>1520</v>
      </c>
      <c r="D1502" t="s">
        <v>2913</v>
      </c>
      <c r="E1502">
        <v>0</v>
      </c>
      <c r="F1502" s="11">
        <v>0</v>
      </c>
    </row>
    <row r="1503" spans="1:6" x14ac:dyDescent="0.35">
      <c r="A1503" t="s">
        <v>2856</v>
      </c>
      <c r="B1503" t="s">
        <v>2866</v>
      </c>
      <c r="C1503" t="s">
        <v>1520</v>
      </c>
      <c r="D1503" t="s">
        <v>2914</v>
      </c>
      <c r="E1503">
        <v>0</v>
      </c>
      <c r="F1503" s="11">
        <v>0</v>
      </c>
    </row>
    <row r="1504" spans="1:6" x14ac:dyDescent="0.35">
      <c r="A1504" t="s">
        <v>2856</v>
      </c>
      <c r="B1504" t="s">
        <v>2866</v>
      </c>
      <c r="C1504" t="s">
        <v>1520</v>
      </c>
      <c r="D1504" t="s">
        <v>2915</v>
      </c>
      <c r="E1504">
        <v>0</v>
      </c>
      <c r="F1504" s="11">
        <v>0</v>
      </c>
    </row>
    <row r="1505" spans="1:6" x14ac:dyDescent="0.35">
      <c r="A1505" t="s">
        <v>2856</v>
      </c>
      <c r="B1505" t="s">
        <v>2866</v>
      </c>
      <c r="C1505" t="s">
        <v>1520</v>
      </c>
      <c r="D1505" t="s">
        <v>2916</v>
      </c>
      <c r="E1505">
        <v>144863</v>
      </c>
      <c r="F1505" s="11">
        <v>1</v>
      </c>
    </row>
    <row r="1506" spans="1:6" x14ac:dyDescent="0.35">
      <c r="A1506" t="s">
        <v>2856</v>
      </c>
      <c r="B1506" t="s">
        <v>2866</v>
      </c>
      <c r="C1506" t="s">
        <v>1520</v>
      </c>
      <c r="D1506" t="s">
        <v>2917</v>
      </c>
      <c r="E1506">
        <v>356985</v>
      </c>
      <c r="F1506" s="11">
        <v>1</v>
      </c>
    </row>
    <row r="1507" spans="1:6" x14ac:dyDescent="0.35">
      <c r="A1507" t="s">
        <v>2856</v>
      </c>
      <c r="B1507" t="s">
        <v>2866</v>
      </c>
      <c r="C1507" t="s">
        <v>2677</v>
      </c>
      <c r="D1507" t="s">
        <v>2875</v>
      </c>
      <c r="E1507">
        <v>47558</v>
      </c>
      <c r="F1507" s="11">
        <v>0</v>
      </c>
    </row>
    <row r="1508" spans="1:6" x14ac:dyDescent="0.35">
      <c r="A1508" t="s">
        <v>2856</v>
      </c>
      <c r="B1508" t="s">
        <v>2866</v>
      </c>
      <c r="C1508" t="s">
        <v>2677</v>
      </c>
      <c r="D1508" t="s">
        <v>2876</v>
      </c>
      <c r="E1508">
        <v>4953</v>
      </c>
      <c r="F1508" s="11">
        <v>0</v>
      </c>
    </row>
    <row r="1509" spans="1:6" x14ac:dyDescent="0.35">
      <c r="A1509" t="s">
        <v>2856</v>
      </c>
      <c r="B1509" t="s">
        <v>2866</v>
      </c>
      <c r="C1509" t="s">
        <v>2677</v>
      </c>
      <c r="D1509" t="s">
        <v>2877</v>
      </c>
      <c r="E1509">
        <v>34643</v>
      </c>
      <c r="F1509" s="11">
        <v>0</v>
      </c>
    </row>
    <row r="1510" spans="1:6" x14ac:dyDescent="0.35">
      <c r="A1510" t="s">
        <v>2856</v>
      </c>
      <c r="B1510" t="s">
        <v>2866</v>
      </c>
      <c r="C1510" t="s">
        <v>2677</v>
      </c>
      <c r="D1510" t="s">
        <v>2878</v>
      </c>
      <c r="E1510">
        <v>7962</v>
      </c>
      <c r="F1510" s="11">
        <v>0</v>
      </c>
    </row>
    <row r="1511" spans="1:6" x14ac:dyDescent="0.35">
      <c r="A1511" t="s">
        <v>2856</v>
      </c>
      <c r="B1511" t="s">
        <v>2866</v>
      </c>
      <c r="C1511" t="s">
        <v>2677</v>
      </c>
      <c r="D1511" t="s">
        <v>2879</v>
      </c>
      <c r="E1511">
        <v>1953</v>
      </c>
      <c r="F1511" s="11">
        <v>0</v>
      </c>
    </row>
    <row r="1512" spans="1:6" x14ac:dyDescent="0.35">
      <c r="A1512" t="s">
        <v>2856</v>
      </c>
      <c r="B1512" t="s">
        <v>2866</v>
      </c>
      <c r="C1512" t="s">
        <v>2677</v>
      </c>
      <c r="D1512" t="s">
        <v>2880</v>
      </c>
      <c r="E1512">
        <v>335</v>
      </c>
      <c r="F1512" s="11">
        <v>0</v>
      </c>
    </row>
    <row r="1513" spans="1:6" x14ac:dyDescent="0.35">
      <c r="A1513" t="s">
        <v>2856</v>
      </c>
      <c r="B1513" t="s">
        <v>2866</v>
      </c>
      <c r="C1513" t="s">
        <v>2677</v>
      </c>
      <c r="D1513" t="s">
        <v>2881</v>
      </c>
      <c r="E1513">
        <v>1618</v>
      </c>
      <c r="F1513" s="11">
        <v>0</v>
      </c>
    </row>
    <row r="1514" spans="1:6" x14ac:dyDescent="0.35">
      <c r="A1514" t="s">
        <v>2856</v>
      </c>
      <c r="B1514" t="s">
        <v>2866</v>
      </c>
      <c r="C1514" t="s">
        <v>2677</v>
      </c>
      <c r="D1514" t="s">
        <v>2882</v>
      </c>
      <c r="E1514">
        <v>0</v>
      </c>
      <c r="F1514" s="11">
        <v>0</v>
      </c>
    </row>
    <row r="1515" spans="1:6" x14ac:dyDescent="0.35">
      <c r="A1515" t="s">
        <v>2856</v>
      </c>
      <c r="B1515" t="s">
        <v>2866</v>
      </c>
      <c r="C1515" t="s">
        <v>2677</v>
      </c>
      <c r="D1515" t="s">
        <v>2883</v>
      </c>
      <c r="E1515">
        <v>0</v>
      </c>
      <c r="F1515" s="11">
        <v>0</v>
      </c>
    </row>
    <row r="1516" spans="1:6" x14ac:dyDescent="0.35">
      <c r="A1516" t="s">
        <v>2856</v>
      </c>
      <c r="B1516" t="s">
        <v>2866</v>
      </c>
      <c r="C1516" t="s">
        <v>2677</v>
      </c>
      <c r="D1516" t="s">
        <v>2884</v>
      </c>
      <c r="E1516">
        <v>0</v>
      </c>
      <c r="F1516" s="11">
        <v>0</v>
      </c>
    </row>
    <row r="1517" spans="1:6" x14ac:dyDescent="0.35">
      <c r="A1517" t="s">
        <v>2856</v>
      </c>
      <c r="B1517" t="s">
        <v>2866</v>
      </c>
      <c r="C1517" t="s">
        <v>2677</v>
      </c>
      <c r="D1517" t="s">
        <v>2885</v>
      </c>
      <c r="E1517">
        <v>0</v>
      </c>
      <c r="F1517" s="11">
        <v>0</v>
      </c>
    </row>
    <row r="1518" spans="1:6" x14ac:dyDescent="0.35">
      <c r="A1518" t="s">
        <v>2856</v>
      </c>
      <c r="B1518" t="s">
        <v>2866</v>
      </c>
      <c r="C1518" t="s">
        <v>2677</v>
      </c>
      <c r="D1518" t="s">
        <v>2886</v>
      </c>
      <c r="E1518">
        <v>0</v>
      </c>
      <c r="F1518" s="11">
        <v>0</v>
      </c>
    </row>
    <row r="1519" spans="1:6" x14ac:dyDescent="0.35">
      <c r="A1519" t="s">
        <v>2856</v>
      </c>
      <c r="B1519" t="s">
        <v>2866</v>
      </c>
      <c r="C1519" t="s">
        <v>2677</v>
      </c>
      <c r="D1519" t="s">
        <v>2887</v>
      </c>
      <c r="E1519">
        <v>20889</v>
      </c>
      <c r="F1519" s="11">
        <v>0</v>
      </c>
    </row>
    <row r="1520" spans="1:6" x14ac:dyDescent="0.35">
      <c r="A1520" t="s">
        <v>2856</v>
      </c>
      <c r="B1520" t="s">
        <v>2866</v>
      </c>
      <c r="C1520" t="s">
        <v>2677</v>
      </c>
      <c r="D1520" t="s">
        <v>2888</v>
      </c>
      <c r="E1520">
        <v>2173</v>
      </c>
      <c r="F1520" s="11">
        <v>0</v>
      </c>
    </row>
    <row r="1521" spans="1:6" x14ac:dyDescent="0.35">
      <c r="A1521" t="s">
        <v>2856</v>
      </c>
      <c r="B1521" t="s">
        <v>2866</v>
      </c>
      <c r="C1521" t="s">
        <v>2677</v>
      </c>
      <c r="D1521" t="s">
        <v>2889</v>
      </c>
      <c r="E1521">
        <v>18716</v>
      </c>
      <c r="F1521" s="11">
        <v>0</v>
      </c>
    </row>
    <row r="1522" spans="1:6" x14ac:dyDescent="0.35">
      <c r="A1522" t="s">
        <v>2856</v>
      </c>
      <c r="B1522" t="s">
        <v>2866</v>
      </c>
      <c r="C1522" t="s">
        <v>2677</v>
      </c>
      <c r="D1522" t="s">
        <v>2890</v>
      </c>
      <c r="E1522">
        <v>0</v>
      </c>
      <c r="F1522" s="11">
        <v>0</v>
      </c>
    </row>
    <row r="1523" spans="1:6" x14ac:dyDescent="0.35">
      <c r="A1523" t="s">
        <v>2856</v>
      </c>
      <c r="B1523" t="s">
        <v>2866</v>
      </c>
      <c r="C1523" t="s">
        <v>2677</v>
      </c>
      <c r="D1523" t="s">
        <v>2891</v>
      </c>
      <c r="E1523">
        <v>0</v>
      </c>
      <c r="F1523" s="11">
        <v>0</v>
      </c>
    </row>
    <row r="1524" spans="1:6" x14ac:dyDescent="0.35">
      <c r="A1524" t="s">
        <v>2856</v>
      </c>
      <c r="B1524" t="s">
        <v>2866</v>
      </c>
      <c r="C1524" t="s">
        <v>2677</v>
      </c>
      <c r="D1524" t="s">
        <v>2892</v>
      </c>
      <c r="E1524">
        <v>0</v>
      </c>
      <c r="F1524" s="11">
        <v>0</v>
      </c>
    </row>
    <row r="1525" spans="1:6" x14ac:dyDescent="0.35">
      <c r="A1525" t="s">
        <v>2856</v>
      </c>
      <c r="B1525" t="s">
        <v>2866</v>
      </c>
      <c r="C1525" t="s">
        <v>2677</v>
      </c>
      <c r="D1525" t="s">
        <v>2893</v>
      </c>
      <c r="E1525">
        <v>0</v>
      </c>
      <c r="F1525" s="11">
        <v>0</v>
      </c>
    </row>
    <row r="1526" spans="1:6" x14ac:dyDescent="0.35">
      <c r="A1526" t="s">
        <v>2856</v>
      </c>
      <c r="B1526" t="s">
        <v>2866</v>
      </c>
      <c r="C1526" t="s">
        <v>2677</v>
      </c>
      <c r="D1526" t="s">
        <v>2894</v>
      </c>
      <c r="E1526">
        <v>0</v>
      </c>
      <c r="F1526" s="11">
        <v>0</v>
      </c>
    </row>
    <row r="1527" spans="1:6" x14ac:dyDescent="0.35">
      <c r="A1527" t="s">
        <v>2856</v>
      </c>
      <c r="B1527" t="s">
        <v>2866</v>
      </c>
      <c r="C1527" t="s">
        <v>2677</v>
      </c>
      <c r="D1527" t="s">
        <v>2895</v>
      </c>
      <c r="E1527">
        <v>386361</v>
      </c>
      <c r="F1527" s="11">
        <v>0</v>
      </c>
    </row>
    <row r="1528" spans="1:6" x14ac:dyDescent="0.35">
      <c r="A1528" t="s">
        <v>2856</v>
      </c>
      <c r="B1528" t="s">
        <v>2866</v>
      </c>
      <c r="C1528" t="s">
        <v>2677</v>
      </c>
      <c r="D1528" t="s">
        <v>2896</v>
      </c>
      <c r="E1528">
        <v>178334</v>
      </c>
      <c r="F1528" s="11">
        <v>0</v>
      </c>
    </row>
    <row r="1529" spans="1:6" x14ac:dyDescent="0.35">
      <c r="A1529" t="s">
        <v>2856</v>
      </c>
      <c r="B1529" t="s">
        <v>2866</v>
      </c>
      <c r="C1529" t="s">
        <v>2677</v>
      </c>
      <c r="D1529" t="s">
        <v>2897</v>
      </c>
      <c r="E1529">
        <v>206594</v>
      </c>
      <c r="F1529" s="11">
        <v>0</v>
      </c>
    </row>
    <row r="1530" spans="1:6" x14ac:dyDescent="0.35">
      <c r="A1530" t="s">
        <v>2856</v>
      </c>
      <c r="B1530" t="s">
        <v>2866</v>
      </c>
      <c r="C1530" t="s">
        <v>2677</v>
      </c>
      <c r="D1530" t="s">
        <v>2898</v>
      </c>
      <c r="E1530">
        <v>1433</v>
      </c>
      <c r="F1530" s="11">
        <v>0</v>
      </c>
    </row>
    <row r="1531" spans="1:6" x14ac:dyDescent="0.35">
      <c r="A1531" t="s">
        <v>2856</v>
      </c>
      <c r="B1531" t="s">
        <v>2866</v>
      </c>
      <c r="C1531" t="s">
        <v>2677</v>
      </c>
      <c r="D1531" t="s">
        <v>2899</v>
      </c>
      <c r="E1531">
        <v>8080</v>
      </c>
      <c r="F1531" s="11">
        <v>0</v>
      </c>
    </row>
    <row r="1532" spans="1:6" x14ac:dyDescent="0.35">
      <c r="A1532" t="s">
        <v>2856</v>
      </c>
      <c r="B1532" t="s">
        <v>2866</v>
      </c>
      <c r="C1532" t="s">
        <v>2677</v>
      </c>
      <c r="D1532" t="s">
        <v>2900</v>
      </c>
      <c r="E1532">
        <v>7847</v>
      </c>
      <c r="F1532" s="11">
        <v>0</v>
      </c>
    </row>
    <row r="1533" spans="1:6" x14ac:dyDescent="0.35">
      <c r="A1533" t="s">
        <v>2856</v>
      </c>
      <c r="B1533" t="s">
        <v>2866</v>
      </c>
      <c r="C1533" t="s">
        <v>2677</v>
      </c>
      <c r="D1533" t="s">
        <v>2901</v>
      </c>
      <c r="E1533">
        <v>233</v>
      </c>
      <c r="F1533" s="11">
        <v>0</v>
      </c>
    </row>
    <row r="1534" spans="1:6" x14ac:dyDescent="0.35">
      <c r="A1534" t="s">
        <v>2856</v>
      </c>
      <c r="B1534" t="s">
        <v>2866</v>
      </c>
      <c r="C1534" t="s">
        <v>2677</v>
      </c>
      <c r="D1534" t="s">
        <v>2902</v>
      </c>
      <c r="E1534">
        <v>0</v>
      </c>
      <c r="F1534" s="11">
        <v>0</v>
      </c>
    </row>
    <row r="1535" spans="1:6" x14ac:dyDescent="0.35">
      <c r="A1535" t="s">
        <v>2856</v>
      </c>
      <c r="B1535" t="s">
        <v>2866</v>
      </c>
      <c r="C1535" t="s">
        <v>2677</v>
      </c>
      <c r="D1535" t="s">
        <v>2903</v>
      </c>
      <c r="E1535">
        <v>45866</v>
      </c>
      <c r="F1535" s="11">
        <v>0</v>
      </c>
    </row>
    <row r="1536" spans="1:6" x14ac:dyDescent="0.35">
      <c r="A1536" t="s">
        <v>2856</v>
      </c>
      <c r="B1536" t="s">
        <v>2866</v>
      </c>
      <c r="C1536" t="s">
        <v>2677</v>
      </c>
      <c r="D1536" t="s">
        <v>2904</v>
      </c>
      <c r="E1536">
        <v>36020</v>
      </c>
      <c r="F1536" s="11">
        <v>0</v>
      </c>
    </row>
    <row r="1537" spans="1:6" x14ac:dyDescent="0.35">
      <c r="A1537" t="s">
        <v>2856</v>
      </c>
      <c r="B1537" t="s">
        <v>2866</v>
      </c>
      <c r="C1537" t="s">
        <v>2677</v>
      </c>
      <c r="D1537" t="s">
        <v>2905</v>
      </c>
      <c r="E1537">
        <v>6436</v>
      </c>
      <c r="F1537" s="11">
        <v>0</v>
      </c>
    </row>
    <row r="1538" spans="1:6" x14ac:dyDescent="0.35">
      <c r="A1538" t="s">
        <v>2856</v>
      </c>
      <c r="B1538" t="s">
        <v>2866</v>
      </c>
      <c r="C1538" t="s">
        <v>2677</v>
      </c>
      <c r="D1538" t="s">
        <v>2906</v>
      </c>
      <c r="E1538">
        <v>3410</v>
      </c>
      <c r="F1538" s="11">
        <v>0</v>
      </c>
    </row>
    <row r="1539" spans="1:6" x14ac:dyDescent="0.35">
      <c r="A1539" t="s">
        <v>2856</v>
      </c>
      <c r="B1539" t="s">
        <v>2866</v>
      </c>
      <c r="C1539" t="s">
        <v>2677</v>
      </c>
      <c r="D1539" t="s">
        <v>2907</v>
      </c>
      <c r="E1539">
        <v>47190</v>
      </c>
      <c r="F1539" s="11">
        <v>0</v>
      </c>
    </row>
    <row r="1540" spans="1:6" x14ac:dyDescent="0.35">
      <c r="A1540" t="s">
        <v>2856</v>
      </c>
      <c r="B1540" t="s">
        <v>2866</v>
      </c>
      <c r="C1540" t="s">
        <v>2677</v>
      </c>
      <c r="D1540" t="s">
        <v>2908</v>
      </c>
      <c r="E1540">
        <v>42781</v>
      </c>
      <c r="F1540" s="11">
        <v>0</v>
      </c>
    </row>
    <row r="1541" spans="1:6" x14ac:dyDescent="0.35">
      <c r="A1541" t="s">
        <v>2856</v>
      </c>
      <c r="B1541" t="s">
        <v>2866</v>
      </c>
      <c r="C1541" t="s">
        <v>2677</v>
      </c>
      <c r="D1541" t="s">
        <v>2909</v>
      </c>
      <c r="E1541">
        <v>2792</v>
      </c>
      <c r="F1541" s="11">
        <v>0</v>
      </c>
    </row>
    <row r="1542" spans="1:6" x14ac:dyDescent="0.35">
      <c r="A1542" t="s">
        <v>2856</v>
      </c>
      <c r="B1542" t="s">
        <v>2866</v>
      </c>
      <c r="C1542" t="s">
        <v>2677</v>
      </c>
      <c r="D1542" t="s">
        <v>2910</v>
      </c>
      <c r="E1542">
        <v>1617</v>
      </c>
      <c r="F1542" s="11">
        <v>0</v>
      </c>
    </row>
    <row r="1543" spans="1:6" x14ac:dyDescent="0.35">
      <c r="A1543" t="s">
        <v>2856</v>
      </c>
      <c r="B1543" t="s">
        <v>2866</v>
      </c>
      <c r="C1543" t="s">
        <v>2677</v>
      </c>
      <c r="D1543" t="s">
        <v>2911</v>
      </c>
      <c r="E1543">
        <v>719774</v>
      </c>
      <c r="F1543" s="11">
        <v>0</v>
      </c>
    </row>
    <row r="1544" spans="1:6" x14ac:dyDescent="0.35">
      <c r="A1544" t="s">
        <v>2856</v>
      </c>
      <c r="B1544" t="s">
        <v>2866</v>
      </c>
      <c r="C1544" t="s">
        <v>2677</v>
      </c>
      <c r="D1544" t="s">
        <v>2912</v>
      </c>
      <c r="E1544">
        <v>0</v>
      </c>
      <c r="F1544" s="11">
        <v>0</v>
      </c>
    </row>
    <row r="1545" spans="1:6" x14ac:dyDescent="0.35">
      <c r="A1545" t="s">
        <v>2856</v>
      </c>
      <c r="B1545" t="s">
        <v>2866</v>
      </c>
      <c r="C1545" t="s">
        <v>2677</v>
      </c>
      <c r="D1545" t="s">
        <v>2913</v>
      </c>
      <c r="E1545">
        <v>0</v>
      </c>
      <c r="F1545" s="11">
        <v>0</v>
      </c>
    </row>
    <row r="1546" spans="1:6" x14ac:dyDescent="0.35">
      <c r="A1546" t="s">
        <v>2856</v>
      </c>
      <c r="B1546" t="s">
        <v>2866</v>
      </c>
      <c r="C1546" t="s">
        <v>2677</v>
      </c>
      <c r="D1546" t="s">
        <v>2914</v>
      </c>
      <c r="E1546">
        <v>0</v>
      </c>
      <c r="F1546" s="11">
        <v>0</v>
      </c>
    </row>
    <row r="1547" spans="1:6" x14ac:dyDescent="0.35">
      <c r="A1547" t="s">
        <v>2856</v>
      </c>
      <c r="B1547" t="s">
        <v>2866</v>
      </c>
      <c r="C1547" t="s">
        <v>2677</v>
      </c>
      <c r="D1547" t="s">
        <v>2915</v>
      </c>
      <c r="E1547">
        <v>3432</v>
      </c>
      <c r="F1547" s="11">
        <v>0</v>
      </c>
    </row>
    <row r="1548" spans="1:6" x14ac:dyDescent="0.35">
      <c r="A1548" t="s">
        <v>2856</v>
      </c>
      <c r="B1548" t="s">
        <v>2866</v>
      </c>
      <c r="C1548" t="s">
        <v>2677</v>
      </c>
      <c r="D1548" t="s">
        <v>2916</v>
      </c>
      <c r="E1548">
        <v>119084</v>
      </c>
      <c r="F1548" s="11">
        <v>0</v>
      </c>
    </row>
    <row r="1549" spans="1:6" x14ac:dyDescent="0.35">
      <c r="A1549" t="s">
        <v>2856</v>
      </c>
      <c r="B1549" t="s">
        <v>2866</v>
      </c>
      <c r="C1549" t="s">
        <v>2677</v>
      </c>
      <c r="D1549" t="s">
        <v>2917</v>
      </c>
      <c r="E1549">
        <v>0</v>
      </c>
      <c r="F1549" s="11">
        <v>0</v>
      </c>
    </row>
    <row r="1550" spans="1:6" x14ac:dyDescent="0.35">
      <c r="A1550" t="s">
        <v>2856</v>
      </c>
      <c r="B1550" t="s">
        <v>2862</v>
      </c>
      <c r="C1550" t="s">
        <v>1480</v>
      </c>
      <c r="D1550" t="s">
        <v>2875</v>
      </c>
      <c r="E1550">
        <v>147413</v>
      </c>
      <c r="F1550" s="11">
        <v>0</v>
      </c>
    </row>
    <row r="1551" spans="1:6" x14ac:dyDescent="0.35">
      <c r="A1551" t="s">
        <v>2856</v>
      </c>
      <c r="B1551" t="s">
        <v>2862</v>
      </c>
      <c r="C1551" t="s">
        <v>1480</v>
      </c>
      <c r="D1551" t="s">
        <v>2876</v>
      </c>
      <c r="E1551">
        <v>0</v>
      </c>
      <c r="F1551" s="11">
        <v>0</v>
      </c>
    </row>
    <row r="1552" spans="1:6" x14ac:dyDescent="0.35">
      <c r="A1552" t="s">
        <v>2856</v>
      </c>
      <c r="B1552" t="s">
        <v>2862</v>
      </c>
      <c r="C1552" t="s">
        <v>1480</v>
      </c>
      <c r="D1552" t="s">
        <v>2877</v>
      </c>
      <c r="E1552">
        <v>0</v>
      </c>
      <c r="F1552" s="11">
        <v>0</v>
      </c>
    </row>
    <row r="1553" spans="1:6" x14ac:dyDescent="0.35">
      <c r="A1553" t="s">
        <v>2856</v>
      </c>
      <c r="B1553" t="s">
        <v>2862</v>
      </c>
      <c r="C1553" t="s">
        <v>1480</v>
      </c>
      <c r="D1553" t="s">
        <v>2878</v>
      </c>
      <c r="E1553">
        <v>0</v>
      </c>
      <c r="F1553" s="11">
        <v>0</v>
      </c>
    </row>
    <row r="1554" spans="1:6" x14ac:dyDescent="0.35">
      <c r="A1554" t="s">
        <v>2856</v>
      </c>
      <c r="B1554" t="s">
        <v>2862</v>
      </c>
      <c r="C1554" t="s">
        <v>1480</v>
      </c>
      <c r="D1554" t="s">
        <v>2879</v>
      </c>
      <c r="E1554">
        <v>19081</v>
      </c>
      <c r="F1554" s="11">
        <v>0</v>
      </c>
    </row>
    <row r="1555" spans="1:6" x14ac:dyDescent="0.35">
      <c r="A1555" t="s">
        <v>2856</v>
      </c>
      <c r="B1555" t="s">
        <v>2862</v>
      </c>
      <c r="C1555" t="s">
        <v>1480</v>
      </c>
      <c r="D1555" t="s">
        <v>2880</v>
      </c>
      <c r="E1555">
        <v>4270</v>
      </c>
      <c r="F1555" s="11">
        <v>0</v>
      </c>
    </row>
    <row r="1556" spans="1:6" x14ac:dyDescent="0.35">
      <c r="A1556" t="s">
        <v>2856</v>
      </c>
      <c r="B1556" t="s">
        <v>2862</v>
      </c>
      <c r="C1556" t="s">
        <v>1480</v>
      </c>
      <c r="D1556" t="s">
        <v>2881</v>
      </c>
      <c r="E1556">
        <v>9190</v>
      </c>
      <c r="F1556" s="11">
        <v>0</v>
      </c>
    </row>
    <row r="1557" spans="1:6" x14ac:dyDescent="0.35">
      <c r="A1557" t="s">
        <v>2856</v>
      </c>
      <c r="B1557" t="s">
        <v>2862</v>
      </c>
      <c r="C1557" t="s">
        <v>1480</v>
      </c>
      <c r="D1557" t="s">
        <v>2882</v>
      </c>
      <c r="E1557">
        <v>5390</v>
      </c>
      <c r="F1557" s="11">
        <v>0</v>
      </c>
    </row>
    <row r="1558" spans="1:6" x14ac:dyDescent="0.35">
      <c r="A1558" t="s">
        <v>2856</v>
      </c>
      <c r="B1558" t="s">
        <v>2862</v>
      </c>
      <c r="C1558" t="s">
        <v>1480</v>
      </c>
      <c r="D1558" t="s">
        <v>2883</v>
      </c>
      <c r="E1558">
        <v>12</v>
      </c>
      <c r="F1558" s="11">
        <v>0</v>
      </c>
    </row>
    <row r="1559" spans="1:6" x14ac:dyDescent="0.35">
      <c r="A1559" t="s">
        <v>2856</v>
      </c>
      <c r="B1559" t="s">
        <v>2862</v>
      </c>
      <c r="C1559" t="s">
        <v>1480</v>
      </c>
      <c r="D1559" t="s">
        <v>2884</v>
      </c>
      <c r="E1559">
        <v>12</v>
      </c>
      <c r="F1559" s="11">
        <v>0</v>
      </c>
    </row>
    <row r="1560" spans="1:6" x14ac:dyDescent="0.35">
      <c r="A1560" t="s">
        <v>2856</v>
      </c>
      <c r="B1560" t="s">
        <v>2862</v>
      </c>
      <c r="C1560" t="s">
        <v>1480</v>
      </c>
      <c r="D1560" t="s">
        <v>2885</v>
      </c>
      <c r="E1560">
        <v>0</v>
      </c>
      <c r="F1560" s="11">
        <v>0</v>
      </c>
    </row>
    <row r="1561" spans="1:6" x14ac:dyDescent="0.35">
      <c r="A1561" t="s">
        <v>2856</v>
      </c>
      <c r="B1561" t="s">
        <v>2862</v>
      </c>
      <c r="C1561" t="s">
        <v>1480</v>
      </c>
      <c r="D1561" t="s">
        <v>2886</v>
      </c>
      <c r="E1561">
        <v>0</v>
      </c>
      <c r="F1561" s="11">
        <v>0</v>
      </c>
    </row>
    <row r="1562" spans="1:6" x14ac:dyDescent="0.35">
      <c r="A1562" t="s">
        <v>2856</v>
      </c>
      <c r="B1562" t="s">
        <v>2862</v>
      </c>
      <c r="C1562" t="s">
        <v>1480</v>
      </c>
      <c r="D1562" t="s">
        <v>2887</v>
      </c>
      <c r="E1562">
        <v>380108</v>
      </c>
      <c r="F1562" s="11">
        <v>0</v>
      </c>
    </row>
    <row r="1563" spans="1:6" x14ac:dyDescent="0.35">
      <c r="A1563" t="s">
        <v>2856</v>
      </c>
      <c r="B1563" t="s">
        <v>2862</v>
      </c>
      <c r="C1563" t="s">
        <v>1480</v>
      </c>
      <c r="D1563" t="s">
        <v>2888</v>
      </c>
      <c r="E1563">
        <v>46782</v>
      </c>
      <c r="F1563" s="11">
        <v>0</v>
      </c>
    </row>
    <row r="1564" spans="1:6" x14ac:dyDescent="0.35">
      <c r="A1564" t="s">
        <v>2856</v>
      </c>
      <c r="B1564" t="s">
        <v>2862</v>
      </c>
      <c r="C1564" t="s">
        <v>1480</v>
      </c>
      <c r="D1564" t="s">
        <v>2889</v>
      </c>
      <c r="E1564">
        <v>250336</v>
      </c>
      <c r="F1564" s="11">
        <v>0</v>
      </c>
    </row>
    <row r="1565" spans="1:6" x14ac:dyDescent="0.35">
      <c r="A1565" t="s">
        <v>2856</v>
      </c>
      <c r="B1565" t="s">
        <v>2862</v>
      </c>
      <c r="C1565" t="s">
        <v>1480</v>
      </c>
      <c r="D1565" t="s">
        <v>2890</v>
      </c>
      <c r="E1565">
        <v>99887</v>
      </c>
      <c r="F1565" s="11">
        <v>0</v>
      </c>
    </row>
    <row r="1566" spans="1:6" x14ac:dyDescent="0.35">
      <c r="A1566" t="s">
        <v>2856</v>
      </c>
      <c r="B1566" t="s">
        <v>2862</v>
      </c>
      <c r="C1566" t="s">
        <v>1480</v>
      </c>
      <c r="D1566" t="s">
        <v>2891</v>
      </c>
      <c r="E1566">
        <v>95</v>
      </c>
      <c r="F1566" s="11">
        <v>0</v>
      </c>
    </row>
    <row r="1567" spans="1:6" x14ac:dyDescent="0.35">
      <c r="A1567" t="s">
        <v>2856</v>
      </c>
      <c r="B1567" t="s">
        <v>2862</v>
      </c>
      <c r="C1567" t="s">
        <v>1480</v>
      </c>
      <c r="D1567" t="s">
        <v>2892</v>
      </c>
      <c r="E1567">
        <v>95</v>
      </c>
      <c r="F1567" s="11">
        <v>0</v>
      </c>
    </row>
    <row r="1568" spans="1:6" x14ac:dyDescent="0.35">
      <c r="A1568" t="s">
        <v>2856</v>
      </c>
      <c r="B1568" t="s">
        <v>2862</v>
      </c>
      <c r="C1568" t="s">
        <v>1480</v>
      </c>
      <c r="D1568" t="s">
        <v>2893</v>
      </c>
      <c r="E1568">
        <v>0</v>
      </c>
      <c r="F1568" s="11">
        <v>0</v>
      </c>
    </row>
    <row r="1569" spans="1:6" x14ac:dyDescent="0.35">
      <c r="A1569" t="s">
        <v>2856</v>
      </c>
      <c r="B1569" t="s">
        <v>2862</v>
      </c>
      <c r="C1569" t="s">
        <v>1480</v>
      </c>
      <c r="D1569" t="s">
        <v>2894</v>
      </c>
      <c r="E1569">
        <v>0</v>
      </c>
      <c r="F1569" s="11">
        <v>0</v>
      </c>
    </row>
    <row r="1570" spans="1:6" x14ac:dyDescent="0.35">
      <c r="A1570" t="s">
        <v>2856</v>
      </c>
      <c r="B1570" t="s">
        <v>2862</v>
      </c>
      <c r="C1570" t="s">
        <v>1480</v>
      </c>
      <c r="D1570" t="s">
        <v>2895</v>
      </c>
      <c r="E1570">
        <v>3540204</v>
      </c>
      <c r="F1570" s="11">
        <v>0</v>
      </c>
    </row>
    <row r="1571" spans="1:6" x14ac:dyDescent="0.35">
      <c r="A1571" t="s">
        <v>2856</v>
      </c>
      <c r="B1571" t="s">
        <v>2862</v>
      </c>
      <c r="C1571" t="s">
        <v>1480</v>
      </c>
      <c r="D1571" t="s">
        <v>2896</v>
      </c>
      <c r="E1571">
        <v>1680276</v>
      </c>
      <c r="F1571" s="11">
        <v>0</v>
      </c>
    </row>
    <row r="1572" spans="1:6" x14ac:dyDescent="0.35">
      <c r="A1572" t="s">
        <v>2856</v>
      </c>
      <c r="B1572" t="s">
        <v>2862</v>
      </c>
      <c r="C1572" t="s">
        <v>1480</v>
      </c>
      <c r="D1572" t="s">
        <v>2897</v>
      </c>
      <c r="E1572">
        <v>1791073</v>
      </c>
      <c r="F1572" s="11">
        <v>0</v>
      </c>
    </row>
    <row r="1573" spans="1:6" x14ac:dyDescent="0.35">
      <c r="A1573" t="s">
        <v>2856</v>
      </c>
      <c r="B1573" t="s">
        <v>2862</v>
      </c>
      <c r="C1573" t="s">
        <v>1480</v>
      </c>
      <c r="D1573" t="s">
        <v>2898</v>
      </c>
      <c r="E1573">
        <v>68855</v>
      </c>
      <c r="F1573" s="11">
        <v>0</v>
      </c>
    </row>
    <row r="1574" spans="1:6" x14ac:dyDescent="0.35">
      <c r="A1574" t="s">
        <v>2856</v>
      </c>
      <c r="B1574" t="s">
        <v>2862</v>
      </c>
      <c r="C1574" t="s">
        <v>1480</v>
      </c>
      <c r="D1574" t="s">
        <v>2899</v>
      </c>
      <c r="E1574">
        <v>47060</v>
      </c>
      <c r="F1574" s="11">
        <v>0</v>
      </c>
    </row>
    <row r="1575" spans="1:6" x14ac:dyDescent="0.35">
      <c r="A1575" t="s">
        <v>2856</v>
      </c>
      <c r="B1575" t="s">
        <v>2862</v>
      </c>
      <c r="C1575" t="s">
        <v>1480</v>
      </c>
      <c r="D1575" t="s">
        <v>2900</v>
      </c>
      <c r="E1575">
        <v>35951</v>
      </c>
      <c r="F1575" s="11">
        <v>0</v>
      </c>
    </row>
    <row r="1576" spans="1:6" x14ac:dyDescent="0.35">
      <c r="A1576" t="s">
        <v>2856</v>
      </c>
      <c r="B1576" t="s">
        <v>2862</v>
      </c>
      <c r="C1576" t="s">
        <v>1480</v>
      </c>
      <c r="D1576" t="s">
        <v>2901</v>
      </c>
      <c r="E1576">
        <v>10481</v>
      </c>
      <c r="F1576" s="11">
        <v>0</v>
      </c>
    </row>
    <row r="1577" spans="1:6" x14ac:dyDescent="0.35">
      <c r="A1577" t="s">
        <v>2856</v>
      </c>
      <c r="B1577" t="s">
        <v>2862</v>
      </c>
      <c r="C1577" t="s">
        <v>1480</v>
      </c>
      <c r="D1577" t="s">
        <v>2902</v>
      </c>
      <c r="E1577">
        <v>628</v>
      </c>
      <c r="F1577" s="11">
        <v>0</v>
      </c>
    </row>
    <row r="1578" spans="1:6" x14ac:dyDescent="0.35">
      <c r="A1578" t="s">
        <v>2856</v>
      </c>
      <c r="B1578" t="s">
        <v>2862</v>
      </c>
      <c r="C1578" t="s">
        <v>1480</v>
      </c>
      <c r="D1578" t="s">
        <v>2903</v>
      </c>
      <c r="E1578">
        <v>483104</v>
      </c>
      <c r="F1578" s="11">
        <v>0</v>
      </c>
    </row>
    <row r="1579" spans="1:6" x14ac:dyDescent="0.35">
      <c r="A1579" t="s">
        <v>2856</v>
      </c>
      <c r="B1579" t="s">
        <v>2862</v>
      </c>
      <c r="C1579" t="s">
        <v>1480</v>
      </c>
      <c r="D1579" t="s">
        <v>2904</v>
      </c>
      <c r="E1579">
        <v>423598</v>
      </c>
      <c r="F1579" s="11">
        <v>0</v>
      </c>
    </row>
    <row r="1580" spans="1:6" x14ac:dyDescent="0.35">
      <c r="A1580" t="s">
        <v>2856</v>
      </c>
      <c r="B1580" t="s">
        <v>2862</v>
      </c>
      <c r="C1580" t="s">
        <v>1480</v>
      </c>
      <c r="D1580" t="s">
        <v>2905</v>
      </c>
      <c r="E1580">
        <v>43316</v>
      </c>
      <c r="F1580" s="11">
        <v>0</v>
      </c>
    </row>
    <row r="1581" spans="1:6" x14ac:dyDescent="0.35">
      <c r="A1581" t="s">
        <v>2856</v>
      </c>
      <c r="B1581" t="s">
        <v>2862</v>
      </c>
      <c r="C1581" t="s">
        <v>1480</v>
      </c>
      <c r="D1581" t="s">
        <v>2906</v>
      </c>
      <c r="E1581">
        <v>16190</v>
      </c>
      <c r="F1581" s="11">
        <v>0</v>
      </c>
    </row>
    <row r="1582" spans="1:6" x14ac:dyDescent="0.35">
      <c r="A1582" t="s">
        <v>2856</v>
      </c>
      <c r="B1582" t="s">
        <v>2862</v>
      </c>
      <c r="C1582" t="s">
        <v>1480</v>
      </c>
      <c r="D1582" t="s">
        <v>2907</v>
      </c>
      <c r="E1582">
        <v>787658</v>
      </c>
      <c r="F1582" s="11">
        <v>0</v>
      </c>
    </row>
    <row r="1583" spans="1:6" x14ac:dyDescent="0.35">
      <c r="A1583" t="s">
        <v>2856</v>
      </c>
      <c r="B1583" t="s">
        <v>2862</v>
      </c>
      <c r="C1583" t="s">
        <v>1480</v>
      </c>
      <c r="D1583" t="s">
        <v>2908</v>
      </c>
      <c r="E1583">
        <v>615542</v>
      </c>
      <c r="F1583" s="11">
        <v>0</v>
      </c>
    </row>
    <row r="1584" spans="1:6" x14ac:dyDescent="0.35">
      <c r="A1584" t="s">
        <v>2856</v>
      </c>
      <c r="B1584" t="s">
        <v>2862</v>
      </c>
      <c r="C1584" t="s">
        <v>1480</v>
      </c>
      <c r="D1584" t="s">
        <v>2909</v>
      </c>
      <c r="E1584">
        <v>143989</v>
      </c>
      <c r="F1584" s="11">
        <v>0</v>
      </c>
    </row>
    <row r="1585" spans="1:6" x14ac:dyDescent="0.35">
      <c r="A1585" t="s">
        <v>2856</v>
      </c>
      <c r="B1585" t="s">
        <v>2862</v>
      </c>
      <c r="C1585" t="s">
        <v>1480</v>
      </c>
      <c r="D1585" t="s">
        <v>2910</v>
      </c>
      <c r="E1585">
        <v>28127</v>
      </c>
      <c r="F1585" s="11">
        <v>0</v>
      </c>
    </row>
    <row r="1586" spans="1:6" x14ac:dyDescent="0.35">
      <c r="A1586" t="s">
        <v>2856</v>
      </c>
      <c r="B1586" t="s">
        <v>2862</v>
      </c>
      <c r="C1586" t="s">
        <v>1480</v>
      </c>
      <c r="D1586" t="s">
        <v>2911</v>
      </c>
      <c r="E1586">
        <v>2440466</v>
      </c>
      <c r="F1586" s="11">
        <v>0</v>
      </c>
    </row>
    <row r="1587" spans="1:6" x14ac:dyDescent="0.35">
      <c r="A1587" t="s">
        <v>2856</v>
      </c>
      <c r="B1587" t="s">
        <v>2862</v>
      </c>
      <c r="C1587" t="s">
        <v>1480</v>
      </c>
      <c r="D1587" t="s">
        <v>2912</v>
      </c>
      <c r="E1587">
        <v>991293</v>
      </c>
      <c r="F1587" s="11">
        <v>0</v>
      </c>
    </row>
    <row r="1588" spans="1:6" x14ac:dyDescent="0.35">
      <c r="A1588" t="s">
        <v>2856</v>
      </c>
      <c r="B1588" t="s">
        <v>2862</v>
      </c>
      <c r="C1588" t="s">
        <v>1480</v>
      </c>
      <c r="D1588" t="s">
        <v>2913</v>
      </c>
      <c r="E1588">
        <v>157522</v>
      </c>
      <c r="F1588" s="11">
        <v>0</v>
      </c>
    </row>
    <row r="1589" spans="1:6" x14ac:dyDescent="0.35">
      <c r="A1589" t="s">
        <v>2856</v>
      </c>
      <c r="B1589" t="s">
        <v>2862</v>
      </c>
      <c r="C1589" t="s">
        <v>1480</v>
      </c>
      <c r="D1589" t="s">
        <v>2914</v>
      </c>
      <c r="E1589">
        <v>0</v>
      </c>
      <c r="F1589" s="11">
        <v>0</v>
      </c>
    </row>
    <row r="1590" spans="1:6" x14ac:dyDescent="0.35">
      <c r="A1590" t="s">
        <v>2856</v>
      </c>
      <c r="B1590" t="s">
        <v>2862</v>
      </c>
      <c r="C1590" t="s">
        <v>1480</v>
      </c>
      <c r="D1590" t="s">
        <v>2915</v>
      </c>
      <c r="E1590">
        <v>3582</v>
      </c>
      <c r="F1590" s="11">
        <v>0</v>
      </c>
    </row>
    <row r="1591" spans="1:6" x14ac:dyDescent="0.35">
      <c r="A1591" t="s">
        <v>2856</v>
      </c>
      <c r="B1591" t="s">
        <v>2862</v>
      </c>
      <c r="C1591" t="s">
        <v>1480</v>
      </c>
      <c r="D1591" t="s">
        <v>2916</v>
      </c>
      <c r="E1591">
        <v>102268.38</v>
      </c>
      <c r="F1591" s="11">
        <v>0</v>
      </c>
    </row>
    <row r="1592" spans="1:6" x14ac:dyDescent="0.35">
      <c r="A1592" t="s">
        <v>2856</v>
      </c>
      <c r="B1592" t="s">
        <v>2862</v>
      </c>
      <c r="C1592" t="s">
        <v>1480</v>
      </c>
      <c r="D1592" t="s">
        <v>2917</v>
      </c>
      <c r="E1592">
        <v>0</v>
      </c>
      <c r="F1592" s="11">
        <v>0</v>
      </c>
    </row>
    <row r="1593" spans="1:6" x14ac:dyDescent="0.35">
      <c r="A1593" t="s">
        <v>2856</v>
      </c>
      <c r="B1593" t="s">
        <v>2866</v>
      </c>
      <c r="C1593" t="s">
        <v>2679</v>
      </c>
      <c r="D1593" t="s">
        <v>2875</v>
      </c>
      <c r="E1593">
        <v>34273</v>
      </c>
      <c r="F1593" s="11">
        <v>0</v>
      </c>
    </row>
    <row r="1594" spans="1:6" x14ac:dyDescent="0.35">
      <c r="A1594" t="s">
        <v>2856</v>
      </c>
      <c r="B1594" t="s">
        <v>2866</v>
      </c>
      <c r="C1594" t="s">
        <v>2679</v>
      </c>
      <c r="D1594" t="s">
        <v>2876</v>
      </c>
      <c r="E1594">
        <v>0</v>
      </c>
      <c r="F1594" s="11">
        <v>0</v>
      </c>
    </row>
    <row r="1595" spans="1:6" x14ac:dyDescent="0.35">
      <c r="A1595" t="s">
        <v>2856</v>
      </c>
      <c r="B1595" t="s">
        <v>2866</v>
      </c>
      <c r="C1595" t="s">
        <v>2679</v>
      </c>
      <c r="D1595" t="s">
        <v>2877</v>
      </c>
      <c r="E1595">
        <v>0</v>
      </c>
      <c r="F1595" s="11">
        <v>0</v>
      </c>
    </row>
    <row r="1596" spans="1:6" x14ac:dyDescent="0.35">
      <c r="A1596" t="s">
        <v>2856</v>
      </c>
      <c r="B1596" t="s">
        <v>2866</v>
      </c>
      <c r="C1596" t="s">
        <v>2679</v>
      </c>
      <c r="D1596" t="s">
        <v>2878</v>
      </c>
      <c r="E1596">
        <v>0</v>
      </c>
      <c r="F1596" s="11">
        <v>0</v>
      </c>
    </row>
    <row r="1597" spans="1:6" x14ac:dyDescent="0.35">
      <c r="A1597" t="s">
        <v>2856</v>
      </c>
      <c r="B1597" t="s">
        <v>2866</v>
      </c>
      <c r="C1597" t="s">
        <v>2679</v>
      </c>
      <c r="D1597" t="s">
        <v>2879</v>
      </c>
      <c r="E1597">
        <v>2178</v>
      </c>
      <c r="F1597" s="11">
        <v>0</v>
      </c>
    </row>
    <row r="1598" spans="1:6" x14ac:dyDescent="0.35">
      <c r="A1598" t="s">
        <v>2856</v>
      </c>
      <c r="B1598" t="s">
        <v>2866</v>
      </c>
      <c r="C1598" t="s">
        <v>2679</v>
      </c>
      <c r="D1598" t="s">
        <v>2880</v>
      </c>
      <c r="E1598">
        <v>779</v>
      </c>
      <c r="F1598" s="11">
        <v>0</v>
      </c>
    </row>
    <row r="1599" spans="1:6" x14ac:dyDescent="0.35">
      <c r="A1599" t="s">
        <v>2856</v>
      </c>
      <c r="B1599" t="s">
        <v>2866</v>
      </c>
      <c r="C1599" t="s">
        <v>2679</v>
      </c>
      <c r="D1599" t="s">
        <v>2881</v>
      </c>
      <c r="E1599">
        <v>1224</v>
      </c>
      <c r="F1599" s="11">
        <v>0</v>
      </c>
    </row>
    <row r="1600" spans="1:6" x14ac:dyDescent="0.35">
      <c r="A1600" t="s">
        <v>2856</v>
      </c>
      <c r="B1600" t="s">
        <v>2866</v>
      </c>
      <c r="C1600" t="s">
        <v>2679</v>
      </c>
      <c r="D1600" t="s">
        <v>2882</v>
      </c>
      <c r="E1600">
        <v>32</v>
      </c>
      <c r="F1600" s="11">
        <v>0</v>
      </c>
    </row>
    <row r="1601" spans="1:6" x14ac:dyDescent="0.35">
      <c r="A1601" t="s">
        <v>2856</v>
      </c>
      <c r="B1601" t="s">
        <v>2866</v>
      </c>
      <c r="C1601" t="s">
        <v>2679</v>
      </c>
      <c r="D1601" t="s">
        <v>2883</v>
      </c>
      <c r="E1601">
        <v>30</v>
      </c>
      <c r="F1601" s="11">
        <v>0</v>
      </c>
    </row>
    <row r="1602" spans="1:6" x14ac:dyDescent="0.35">
      <c r="A1602" t="s">
        <v>2856</v>
      </c>
      <c r="B1602" t="s">
        <v>2866</v>
      </c>
      <c r="C1602" t="s">
        <v>2679</v>
      </c>
      <c r="D1602" t="s">
        <v>2884</v>
      </c>
      <c r="E1602">
        <v>6</v>
      </c>
      <c r="F1602" s="11">
        <v>0</v>
      </c>
    </row>
    <row r="1603" spans="1:6" x14ac:dyDescent="0.35">
      <c r="A1603" t="s">
        <v>2856</v>
      </c>
      <c r="B1603" t="s">
        <v>2866</v>
      </c>
      <c r="C1603" t="s">
        <v>2679</v>
      </c>
      <c r="D1603" t="s">
        <v>2885</v>
      </c>
      <c r="E1603">
        <v>24</v>
      </c>
      <c r="F1603" s="11">
        <v>0</v>
      </c>
    </row>
    <row r="1604" spans="1:6" x14ac:dyDescent="0.35">
      <c r="A1604" t="s">
        <v>2856</v>
      </c>
      <c r="B1604" t="s">
        <v>2866</v>
      </c>
      <c r="C1604" t="s">
        <v>2679</v>
      </c>
      <c r="D1604" t="s">
        <v>2886</v>
      </c>
      <c r="E1604">
        <v>0</v>
      </c>
      <c r="F1604" s="11">
        <v>0</v>
      </c>
    </row>
    <row r="1605" spans="1:6" x14ac:dyDescent="0.35">
      <c r="A1605" t="s">
        <v>2856</v>
      </c>
      <c r="B1605" t="s">
        <v>2866</v>
      </c>
      <c r="C1605" t="s">
        <v>2679</v>
      </c>
      <c r="D1605" t="s">
        <v>2887</v>
      </c>
      <c r="E1605">
        <v>32987</v>
      </c>
      <c r="F1605" s="11">
        <v>0</v>
      </c>
    </row>
    <row r="1606" spans="1:6" x14ac:dyDescent="0.35">
      <c r="A1606" t="s">
        <v>2856</v>
      </c>
      <c r="B1606" t="s">
        <v>2866</v>
      </c>
      <c r="C1606" t="s">
        <v>2679</v>
      </c>
      <c r="D1606" t="s">
        <v>2888</v>
      </c>
      <c r="E1606">
        <v>9508</v>
      </c>
      <c r="F1606" s="11">
        <v>0</v>
      </c>
    </row>
    <row r="1607" spans="1:6" x14ac:dyDescent="0.35">
      <c r="A1607" t="s">
        <v>2856</v>
      </c>
      <c r="B1607" t="s">
        <v>2866</v>
      </c>
      <c r="C1607" t="s">
        <v>2679</v>
      </c>
      <c r="D1607" t="s">
        <v>2889</v>
      </c>
      <c r="E1607">
        <v>24931</v>
      </c>
      <c r="F1607" s="11">
        <v>0</v>
      </c>
    </row>
    <row r="1608" spans="1:6" x14ac:dyDescent="0.35">
      <c r="A1608" t="s">
        <v>2856</v>
      </c>
      <c r="B1608" t="s">
        <v>2866</v>
      </c>
      <c r="C1608" t="s">
        <v>2679</v>
      </c>
      <c r="D1608" t="s">
        <v>2890</v>
      </c>
      <c r="E1608">
        <v>703</v>
      </c>
      <c r="F1608" s="11">
        <v>0</v>
      </c>
    </row>
    <row r="1609" spans="1:6" x14ac:dyDescent="0.35">
      <c r="A1609" t="s">
        <v>2856</v>
      </c>
      <c r="B1609" t="s">
        <v>2866</v>
      </c>
      <c r="C1609" t="s">
        <v>2679</v>
      </c>
      <c r="D1609" t="s">
        <v>2891</v>
      </c>
      <c r="E1609">
        <v>847</v>
      </c>
      <c r="F1609" s="11">
        <v>0</v>
      </c>
    </row>
    <row r="1610" spans="1:6" x14ac:dyDescent="0.35">
      <c r="A1610" t="s">
        <v>2856</v>
      </c>
      <c r="B1610" t="s">
        <v>2866</v>
      </c>
      <c r="C1610" t="s">
        <v>2679</v>
      </c>
      <c r="D1610" t="s">
        <v>2892</v>
      </c>
      <c r="E1610">
        <v>101</v>
      </c>
      <c r="F1610" s="11">
        <v>0</v>
      </c>
    </row>
    <row r="1611" spans="1:6" x14ac:dyDescent="0.35">
      <c r="A1611" t="s">
        <v>2856</v>
      </c>
      <c r="B1611" t="s">
        <v>2866</v>
      </c>
      <c r="C1611" t="s">
        <v>2679</v>
      </c>
      <c r="D1611" t="s">
        <v>2893</v>
      </c>
      <c r="E1611">
        <v>746</v>
      </c>
      <c r="F1611" s="11">
        <v>0</v>
      </c>
    </row>
    <row r="1612" spans="1:6" x14ac:dyDescent="0.35">
      <c r="A1612" t="s">
        <v>2856</v>
      </c>
      <c r="B1612" t="s">
        <v>2866</v>
      </c>
      <c r="C1612" t="s">
        <v>2679</v>
      </c>
      <c r="D1612" t="s">
        <v>2894</v>
      </c>
      <c r="E1612">
        <v>0</v>
      </c>
      <c r="F1612" s="11">
        <v>0</v>
      </c>
    </row>
    <row r="1613" spans="1:6" x14ac:dyDescent="0.35">
      <c r="A1613" t="s">
        <v>2856</v>
      </c>
      <c r="B1613" t="s">
        <v>2866</v>
      </c>
      <c r="C1613" t="s">
        <v>2679</v>
      </c>
      <c r="D1613" t="s">
        <v>2895</v>
      </c>
      <c r="E1613">
        <v>578075</v>
      </c>
      <c r="F1613" s="11">
        <v>0</v>
      </c>
    </row>
    <row r="1614" spans="1:6" x14ac:dyDescent="0.35">
      <c r="A1614" t="s">
        <v>2856</v>
      </c>
      <c r="B1614" t="s">
        <v>2866</v>
      </c>
      <c r="C1614" t="s">
        <v>2679</v>
      </c>
      <c r="D1614" t="s">
        <v>2896</v>
      </c>
      <c r="E1614">
        <v>250177</v>
      </c>
      <c r="F1614" s="11">
        <v>0</v>
      </c>
    </row>
    <row r="1615" spans="1:6" x14ac:dyDescent="0.35">
      <c r="A1615" t="s">
        <v>2856</v>
      </c>
      <c r="B1615" t="s">
        <v>2866</v>
      </c>
      <c r="C1615" t="s">
        <v>2679</v>
      </c>
      <c r="D1615" t="s">
        <v>2897</v>
      </c>
      <c r="E1615">
        <v>306395</v>
      </c>
      <c r="F1615" s="11">
        <v>0</v>
      </c>
    </row>
    <row r="1616" spans="1:6" x14ac:dyDescent="0.35">
      <c r="A1616" t="s">
        <v>2856</v>
      </c>
      <c r="B1616" t="s">
        <v>2866</v>
      </c>
      <c r="C1616" t="s">
        <v>2679</v>
      </c>
      <c r="D1616" t="s">
        <v>2898</v>
      </c>
      <c r="E1616">
        <v>12454</v>
      </c>
      <c r="F1616" s="11">
        <v>0</v>
      </c>
    </row>
    <row r="1617" spans="1:6" x14ac:dyDescent="0.35">
      <c r="A1617" t="s">
        <v>2856</v>
      </c>
      <c r="B1617" t="s">
        <v>2866</v>
      </c>
      <c r="C1617" t="s">
        <v>2679</v>
      </c>
      <c r="D1617" t="s">
        <v>2899</v>
      </c>
      <c r="E1617">
        <v>4308</v>
      </c>
      <c r="F1617" s="11">
        <v>0</v>
      </c>
    </row>
    <row r="1618" spans="1:6" x14ac:dyDescent="0.35">
      <c r="A1618" t="s">
        <v>2856</v>
      </c>
      <c r="B1618" t="s">
        <v>2866</v>
      </c>
      <c r="C1618" t="s">
        <v>2679</v>
      </c>
      <c r="D1618" t="s">
        <v>2900</v>
      </c>
      <c r="E1618">
        <v>3849</v>
      </c>
      <c r="F1618" s="11">
        <v>0</v>
      </c>
    </row>
    <row r="1619" spans="1:6" x14ac:dyDescent="0.35">
      <c r="A1619" t="s">
        <v>2856</v>
      </c>
      <c r="B1619" t="s">
        <v>2866</v>
      </c>
      <c r="C1619" t="s">
        <v>2679</v>
      </c>
      <c r="D1619" t="s">
        <v>2901</v>
      </c>
      <c r="E1619">
        <v>459</v>
      </c>
      <c r="F1619" s="11">
        <v>0</v>
      </c>
    </row>
    <row r="1620" spans="1:6" x14ac:dyDescent="0.35">
      <c r="A1620" t="s">
        <v>2856</v>
      </c>
      <c r="B1620" t="s">
        <v>2866</v>
      </c>
      <c r="C1620" t="s">
        <v>2679</v>
      </c>
      <c r="D1620" t="s">
        <v>2902</v>
      </c>
      <c r="E1620">
        <v>0</v>
      </c>
      <c r="F1620" s="11">
        <v>0</v>
      </c>
    </row>
    <row r="1621" spans="1:6" x14ac:dyDescent="0.35">
      <c r="A1621" t="s">
        <v>2856</v>
      </c>
      <c r="B1621" t="s">
        <v>2866</v>
      </c>
      <c r="C1621" t="s">
        <v>2679</v>
      </c>
      <c r="D1621" t="s">
        <v>2903</v>
      </c>
      <c r="E1621">
        <v>26954</v>
      </c>
      <c r="F1621" s="11">
        <v>0</v>
      </c>
    </row>
    <row r="1622" spans="1:6" x14ac:dyDescent="0.35">
      <c r="A1622" t="s">
        <v>2856</v>
      </c>
      <c r="B1622" t="s">
        <v>2866</v>
      </c>
      <c r="C1622" t="s">
        <v>2679</v>
      </c>
      <c r="D1622" t="s">
        <v>2904</v>
      </c>
      <c r="E1622">
        <v>0</v>
      </c>
      <c r="F1622" s="11">
        <v>0</v>
      </c>
    </row>
    <row r="1623" spans="1:6" x14ac:dyDescent="0.35">
      <c r="A1623" t="s">
        <v>2856</v>
      </c>
      <c r="B1623" t="s">
        <v>2866</v>
      </c>
      <c r="C1623" t="s">
        <v>2679</v>
      </c>
      <c r="D1623" t="s">
        <v>2905</v>
      </c>
      <c r="E1623">
        <v>0</v>
      </c>
      <c r="F1623" s="11">
        <v>0</v>
      </c>
    </row>
    <row r="1624" spans="1:6" x14ac:dyDescent="0.35">
      <c r="A1624" t="s">
        <v>2856</v>
      </c>
      <c r="B1624" t="s">
        <v>2866</v>
      </c>
      <c r="C1624" t="s">
        <v>2679</v>
      </c>
      <c r="D1624" t="s">
        <v>2906</v>
      </c>
      <c r="E1624">
        <v>0</v>
      </c>
      <c r="F1624" s="11">
        <v>0</v>
      </c>
    </row>
    <row r="1625" spans="1:6" x14ac:dyDescent="0.35">
      <c r="A1625" t="s">
        <v>2856</v>
      </c>
      <c r="B1625" t="s">
        <v>2866</v>
      </c>
      <c r="C1625" t="s">
        <v>2679</v>
      </c>
      <c r="D1625" t="s">
        <v>2907</v>
      </c>
      <c r="E1625">
        <v>14218</v>
      </c>
      <c r="F1625" s="11">
        <v>0</v>
      </c>
    </row>
    <row r="1626" spans="1:6" x14ac:dyDescent="0.35">
      <c r="A1626" t="s">
        <v>2856</v>
      </c>
      <c r="B1626" t="s">
        <v>2866</v>
      </c>
      <c r="C1626" t="s">
        <v>2679</v>
      </c>
      <c r="D1626" t="s">
        <v>2908</v>
      </c>
      <c r="E1626">
        <v>0</v>
      </c>
      <c r="F1626" s="11">
        <v>0</v>
      </c>
    </row>
    <row r="1627" spans="1:6" x14ac:dyDescent="0.35">
      <c r="A1627" t="s">
        <v>2856</v>
      </c>
      <c r="B1627" t="s">
        <v>2866</v>
      </c>
      <c r="C1627" t="s">
        <v>2679</v>
      </c>
      <c r="D1627" t="s">
        <v>2909</v>
      </c>
      <c r="E1627">
        <v>0</v>
      </c>
      <c r="F1627" s="11">
        <v>0</v>
      </c>
    </row>
    <row r="1628" spans="1:6" x14ac:dyDescent="0.35">
      <c r="A1628" t="s">
        <v>2856</v>
      </c>
      <c r="B1628" t="s">
        <v>2866</v>
      </c>
      <c r="C1628" t="s">
        <v>2679</v>
      </c>
      <c r="D1628" t="s">
        <v>2910</v>
      </c>
      <c r="E1628">
        <v>0</v>
      </c>
      <c r="F1628" s="11">
        <v>0</v>
      </c>
    </row>
    <row r="1629" spans="1:6" x14ac:dyDescent="0.35">
      <c r="A1629" t="s">
        <v>2856</v>
      </c>
      <c r="B1629" t="s">
        <v>2866</v>
      </c>
      <c r="C1629" t="s">
        <v>2679</v>
      </c>
      <c r="D1629" t="s">
        <v>2911</v>
      </c>
      <c r="E1629">
        <v>480693</v>
      </c>
      <c r="F1629" s="11">
        <v>0</v>
      </c>
    </row>
    <row r="1630" spans="1:6" x14ac:dyDescent="0.35">
      <c r="A1630" t="s">
        <v>2856</v>
      </c>
      <c r="B1630" t="s">
        <v>2866</v>
      </c>
      <c r="C1630" t="s">
        <v>2679</v>
      </c>
      <c r="D1630" t="s">
        <v>2912</v>
      </c>
      <c r="E1630">
        <v>0</v>
      </c>
      <c r="F1630" s="11">
        <v>0</v>
      </c>
    </row>
    <row r="1631" spans="1:6" x14ac:dyDescent="0.35">
      <c r="A1631" t="s">
        <v>2856</v>
      </c>
      <c r="B1631" t="s">
        <v>2866</v>
      </c>
      <c r="C1631" t="s">
        <v>2679</v>
      </c>
      <c r="D1631" t="s">
        <v>2913</v>
      </c>
      <c r="E1631">
        <v>0</v>
      </c>
      <c r="F1631" s="11">
        <v>0</v>
      </c>
    </row>
    <row r="1632" spans="1:6" x14ac:dyDescent="0.35">
      <c r="A1632" t="s">
        <v>2856</v>
      </c>
      <c r="B1632" t="s">
        <v>2866</v>
      </c>
      <c r="C1632" t="s">
        <v>2679</v>
      </c>
      <c r="D1632" t="s">
        <v>2914</v>
      </c>
      <c r="E1632">
        <v>0</v>
      </c>
      <c r="F1632" s="11">
        <v>0</v>
      </c>
    </row>
    <row r="1633" spans="1:6" x14ac:dyDescent="0.35">
      <c r="A1633" t="s">
        <v>2856</v>
      </c>
      <c r="B1633" t="s">
        <v>2866</v>
      </c>
      <c r="C1633" t="s">
        <v>2679</v>
      </c>
      <c r="D1633" t="s">
        <v>2915</v>
      </c>
      <c r="E1633">
        <v>3852</v>
      </c>
      <c r="F1633" s="11">
        <v>0</v>
      </c>
    </row>
    <row r="1634" spans="1:6" x14ac:dyDescent="0.35">
      <c r="A1634" t="s">
        <v>2856</v>
      </c>
      <c r="B1634" t="s">
        <v>2866</v>
      </c>
      <c r="C1634" t="s">
        <v>2679</v>
      </c>
      <c r="D1634" t="s">
        <v>2916</v>
      </c>
      <c r="E1634">
        <v>31749</v>
      </c>
      <c r="F1634" s="11">
        <v>0</v>
      </c>
    </row>
    <row r="1635" spans="1:6" x14ac:dyDescent="0.35">
      <c r="A1635" t="s">
        <v>2856</v>
      </c>
      <c r="B1635" t="s">
        <v>2866</v>
      </c>
      <c r="C1635" t="s">
        <v>2679</v>
      </c>
      <c r="D1635" t="s">
        <v>2917</v>
      </c>
      <c r="E1635">
        <v>91959</v>
      </c>
      <c r="F1635" s="11">
        <v>0</v>
      </c>
    </row>
    <row r="1636" spans="1:6" x14ac:dyDescent="0.35">
      <c r="A1636" t="s">
        <v>2856</v>
      </c>
      <c r="B1636" t="s">
        <v>2865</v>
      </c>
      <c r="C1636" t="s">
        <v>1486</v>
      </c>
      <c r="D1636" t="s">
        <v>2875</v>
      </c>
      <c r="E1636">
        <v>3253</v>
      </c>
      <c r="F1636" s="11">
        <v>1</v>
      </c>
    </row>
    <row r="1637" spans="1:6" x14ac:dyDescent="0.35">
      <c r="A1637" t="s">
        <v>2856</v>
      </c>
      <c r="B1637" t="s">
        <v>2865</v>
      </c>
      <c r="C1637" t="s">
        <v>1486</v>
      </c>
      <c r="D1637" t="s">
        <v>2876</v>
      </c>
      <c r="E1637">
        <v>842</v>
      </c>
      <c r="F1637" s="11">
        <v>1</v>
      </c>
    </row>
    <row r="1638" spans="1:6" x14ac:dyDescent="0.35">
      <c r="A1638" t="s">
        <v>2856</v>
      </c>
      <c r="B1638" t="s">
        <v>2865</v>
      </c>
      <c r="C1638" t="s">
        <v>1486</v>
      </c>
      <c r="D1638" t="s">
        <v>2877</v>
      </c>
      <c r="E1638">
        <v>2330</v>
      </c>
      <c r="F1638" s="11">
        <v>1</v>
      </c>
    </row>
    <row r="1639" spans="1:6" x14ac:dyDescent="0.35">
      <c r="A1639" t="s">
        <v>2856</v>
      </c>
      <c r="B1639" t="s">
        <v>2865</v>
      </c>
      <c r="C1639" t="s">
        <v>1486</v>
      </c>
      <c r="D1639" t="s">
        <v>2878</v>
      </c>
      <c r="E1639">
        <v>81</v>
      </c>
      <c r="F1639" s="11">
        <v>1</v>
      </c>
    </row>
    <row r="1640" spans="1:6" x14ac:dyDescent="0.35">
      <c r="A1640" t="s">
        <v>2856</v>
      </c>
      <c r="B1640" t="s">
        <v>2865</v>
      </c>
      <c r="C1640" t="s">
        <v>1486</v>
      </c>
      <c r="D1640" t="s">
        <v>2879</v>
      </c>
      <c r="E1640">
        <v>1194</v>
      </c>
      <c r="F1640" s="11">
        <v>1</v>
      </c>
    </row>
    <row r="1641" spans="1:6" x14ac:dyDescent="0.35">
      <c r="A1641" t="s">
        <v>2856</v>
      </c>
      <c r="B1641" t="s">
        <v>2865</v>
      </c>
      <c r="C1641" t="s">
        <v>1486</v>
      </c>
      <c r="D1641" t="s">
        <v>2880</v>
      </c>
      <c r="E1641">
        <v>491</v>
      </c>
      <c r="F1641" s="11">
        <v>1</v>
      </c>
    </row>
    <row r="1642" spans="1:6" x14ac:dyDescent="0.35">
      <c r="A1642" t="s">
        <v>2856</v>
      </c>
      <c r="B1642" t="s">
        <v>2865</v>
      </c>
      <c r="C1642" t="s">
        <v>1486</v>
      </c>
      <c r="D1642" t="s">
        <v>2881</v>
      </c>
      <c r="E1642">
        <v>603</v>
      </c>
      <c r="F1642" s="11">
        <v>1</v>
      </c>
    </row>
    <row r="1643" spans="1:6" x14ac:dyDescent="0.35">
      <c r="A1643" t="s">
        <v>2856</v>
      </c>
      <c r="B1643" t="s">
        <v>2865</v>
      </c>
      <c r="C1643" t="s">
        <v>1486</v>
      </c>
      <c r="D1643" t="s">
        <v>2882</v>
      </c>
      <c r="E1643">
        <v>101</v>
      </c>
      <c r="F1643" s="11">
        <v>1</v>
      </c>
    </row>
    <row r="1644" spans="1:6" x14ac:dyDescent="0.35">
      <c r="A1644" t="s">
        <v>2856</v>
      </c>
      <c r="B1644" t="s">
        <v>2865</v>
      </c>
      <c r="C1644" t="s">
        <v>1486</v>
      </c>
      <c r="D1644" t="s">
        <v>2883</v>
      </c>
      <c r="E1644">
        <v>9</v>
      </c>
      <c r="F1644" s="11">
        <v>0</v>
      </c>
    </row>
    <row r="1645" spans="1:6" x14ac:dyDescent="0.35">
      <c r="A1645" t="s">
        <v>2856</v>
      </c>
      <c r="B1645" t="s">
        <v>2865</v>
      </c>
      <c r="C1645" t="s">
        <v>1486</v>
      </c>
      <c r="D1645" t="s">
        <v>2884</v>
      </c>
      <c r="E1645">
        <v>8</v>
      </c>
      <c r="F1645" s="11">
        <v>0</v>
      </c>
    </row>
    <row r="1646" spans="1:6" x14ac:dyDescent="0.35">
      <c r="A1646" t="s">
        <v>2856</v>
      </c>
      <c r="B1646" t="s">
        <v>2865</v>
      </c>
      <c r="C1646" t="s">
        <v>1486</v>
      </c>
      <c r="D1646" t="s">
        <v>2885</v>
      </c>
      <c r="E1646">
        <v>1</v>
      </c>
      <c r="F1646" s="11">
        <v>0</v>
      </c>
    </row>
    <row r="1647" spans="1:6" x14ac:dyDescent="0.35">
      <c r="A1647" t="s">
        <v>2856</v>
      </c>
      <c r="B1647" t="s">
        <v>2865</v>
      </c>
      <c r="C1647" t="s">
        <v>1486</v>
      </c>
      <c r="D1647" t="s">
        <v>2886</v>
      </c>
      <c r="E1647">
        <v>0</v>
      </c>
      <c r="F1647" s="11">
        <v>0</v>
      </c>
    </row>
    <row r="1648" spans="1:6" x14ac:dyDescent="0.35">
      <c r="A1648" t="s">
        <v>2856</v>
      </c>
      <c r="B1648" t="s">
        <v>2865</v>
      </c>
      <c r="C1648" t="s">
        <v>1486</v>
      </c>
      <c r="D1648" t="s">
        <v>2887</v>
      </c>
      <c r="E1648">
        <v>27675</v>
      </c>
      <c r="F1648" s="11">
        <v>1</v>
      </c>
    </row>
    <row r="1649" spans="1:6" x14ac:dyDescent="0.35">
      <c r="A1649" t="s">
        <v>2856</v>
      </c>
      <c r="B1649" t="s">
        <v>2865</v>
      </c>
      <c r="C1649" t="s">
        <v>1486</v>
      </c>
      <c r="D1649" t="s">
        <v>2888</v>
      </c>
      <c r="E1649">
        <v>8541</v>
      </c>
      <c r="F1649" s="11">
        <v>1</v>
      </c>
    </row>
    <row r="1650" spans="1:6" x14ac:dyDescent="0.35">
      <c r="A1650" t="s">
        <v>2856</v>
      </c>
      <c r="B1650" t="s">
        <v>2865</v>
      </c>
      <c r="C1650" t="s">
        <v>1486</v>
      </c>
      <c r="D1650" t="s">
        <v>2889</v>
      </c>
      <c r="E1650">
        <v>16582</v>
      </c>
      <c r="F1650" s="11">
        <v>1</v>
      </c>
    </row>
    <row r="1651" spans="1:6" x14ac:dyDescent="0.35">
      <c r="A1651" t="s">
        <v>2856</v>
      </c>
      <c r="B1651" t="s">
        <v>2865</v>
      </c>
      <c r="C1651" t="s">
        <v>1486</v>
      </c>
      <c r="D1651" t="s">
        <v>2890</v>
      </c>
      <c r="E1651">
        <v>2552</v>
      </c>
      <c r="F1651" s="11">
        <v>1</v>
      </c>
    </row>
    <row r="1652" spans="1:6" x14ac:dyDescent="0.35">
      <c r="A1652" t="s">
        <v>2856</v>
      </c>
      <c r="B1652" t="s">
        <v>2865</v>
      </c>
      <c r="C1652" t="s">
        <v>1486</v>
      </c>
      <c r="D1652" t="s">
        <v>2891</v>
      </c>
      <c r="E1652">
        <v>78</v>
      </c>
      <c r="F1652" s="11">
        <v>0</v>
      </c>
    </row>
    <row r="1653" spans="1:6" x14ac:dyDescent="0.35">
      <c r="A1653" t="s">
        <v>2856</v>
      </c>
      <c r="B1653" t="s">
        <v>2865</v>
      </c>
      <c r="C1653" t="s">
        <v>1486</v>
      </c>
      <c r="D1653" t="s">
        <v>2892</v>
      </c>
      <c r="E1653">
        <v>50</v>
      </c>
      <c r="F1653" s="11">
        <v>0</v>
      </c>
    </row>
    <row r="1654" spans="1:6" x14ac:dyDescent="0.35">
      <c r="A1654" t="s">
        <v>2856</v>
      </c>
      <c r="B1654" t="s">
        <v>2865</v>
      </c>
      <c r="C1654" t="s">
        <v>1486</v>
      </c>
      <c r="D1654" t="s">
        <v>2893</v>
      </c>
      <c r="E1654">
        <v>28</v>
      </c>
      <c r="F1654" s="11">
        <v>0</v>
      </c>
    </row>
    <row r="1655" spans="1:6" x14ac:dyDescent="0.35">
      <c r="A1655" t="s">
        <v>2856</v>
      </c>
      <c r="B1655" t="s">
        <v>2865</v>
      </c>
      <c r="C1655" t="s">
        <v>1486</v>
      </c>
      <c r="D1655" t="s">
        <v>2894</v>
      </c>
      <c r="E1655">
        <v>0</v>
      </c>
      <c r="F1655" s="11">
        <v>0</v>
      </c>
    </row>
    <row r="1656" spans="1:6" x14ac:dyDescent="0.35">
      <c r="A1656" t="s">
        <v>2856</v>
      </c>
      <c r="B1656" t="s">
        <v>2865</v>
      </c>
      <c r="C1656" t="s">
        <v>1486</v>
      </c>
      <c r="D1656" t="s">
        <v>2895</v>
      </c>
      <c r="E1656">
        <v>81881</v>
      </c>
      <c r="F1656" s="11">
        <v>1</v>
      </c>
    </row>
    <row r="1657" spans="1:6" x14ac:dyDescent="0.35">
      <c r="A1657" t="s">
        <v>2856</v>
      </c>
      <c r="B1657" t="s">
        <v>2865</v>
      </c>
      <c r="C1657" t="s">
        <v>1486</v>
      </c>
      <c r="D1657" t="s">
        <v>2896</v>
      </c>
      <c r="E1657">
        <v>68084</v>
      </c>
      <c r="F1657" s="11">
        <v>1</v>
      </c>
    </row>
    <row r="1658" spans="1:6" x14ac:dyDescent="0.35">
      <c r="A1658" t="s">
        <v>2856</v>
      </c>
      <c r="B1658" t="s">
        <v>2865</v>
      </c>
      <c r="C1658" t="s">
        <v>1486</v>
      </c>
      <c r="D1658" t="s">
        <v>2897</v>
      </c>
      <c r="E1658">
        <v>13322</v>
      </c>
      <c r="F1658" s="11">
        <v>1</v>
      </c>
    </row>
    <row r="1659" spans="1:6" x14ac:dyDescent="0.35">
      <c r="A1659" t="s">
        <v>2856</v>
      </c>
      <c r="B1659" t="s">
        <v>2865</v>
      </c>
      <c r="C1659" t="s">
        <v>1486</v>
      </c>
      <c r="D1659" t="s">
        <v>2898</v>
      </c>
      <c r="E1659">
        <v>475</v>
      </c>
      <c r="F1659" s="11">
        <v>1</v>
      </c>
    </row>
    <row r="1660" spans="1:6" x14ac:dyDescent="0.35">
      <c r="A1660" t="s">
        <v>2856</v>
      </c>
      <c r="B1660" t="s">
        <v>2865</v>
      </c>
      <c r="C1660" t="s">
        <v>1486</v>
      </c>
      <c r="D1660" t="s">
        <v>2899</v>
      </c>
      <c r="E1660">
        <v>2484</v>
      </c>
      <c r="F1660" s="11">
        <v>1</v>
      </c>
    </row>
    <row r="1661" spans="1:6" x14ac:dyDescent="0.35">
      <c r="A1661" t="s">
        <v>2856</v>
      </c>
      <c r="B1661" t="s">
        <v>2865</v>
      </c>
      <c r="C1661" t="s">
        <v>1486</v>
      </c>
      <c r="D1661" t="s">
        <v>2900</v>
      </c>
      <c r="E1661">
        <v>2477</v>
      </c>
      <c r="F1661" s="11">
        <v>1</v>
      </c>
    </row>
    <row r="1662" spans="1:6" x14ac:dyDescent="0.35">
      <c r="A1662" t="s">
        <v>2856</v>
      </c>
      <c r="B1662" t="s">
        <v>2865</v>
      </c>
      <c r="C1662" t="s">
        <v>1486</v>
      </c>
      <c r="D1662" t="s">
        <v>2901</v>
      </c>
      <c r="E1662">
        <v>7</v>
      </c>
      <c r="F1662" s="11">
        <v>0</v>
      </c>
    </row>
    <row r="1663" spans="1:6" x14ac:dyDescent="0.35">
      <c r="A1663" t="s">
        <v>2856</v>
      </c>
      <c r="B1663" t="s">
        <v>2865</v>
      </c>
      <c r="C1663" t="s">
        <v>1486</v>
      </c>
      <c r="D1663" t="s">
        <v>2902</v>
      </c>
      <c r="E1663">
        <v>0</v>
      </c>
      <c r="F1663" s="11">
        <v>1</v>
      </c>
    </row>
    <row r="1664" spans="1:6" x14ac:dyDescent="0.35">
      <c r="A1664" t="s">
        <v>2856</v>
      </c>
      <c r="B1664" t="s">
        <v>2865</v>
      </c>
      <c r="C1664" t="s">
        <v>1486</v>
      </c>
      <c r="D1664" t="s">
        <v>2903</v>
      </c>
      <c r="E1664">
        <v>11962</v>
      </c>
      <c r="F1664" s="11">
        <v>1</v>
      </c>
    </row>
    <row r="1665" spans="1:6" x14ac:dyDescent="0.35">
      <c r="A1665" t="s">
        <v>2856</v>
      </c>
      <c r="B1665" t="s">
        <v>2865</v>
      </c>
      <c r="C1665" t="s">
        <v>1486</v>
      </c>
      <c r="D1665" t="s">
        <v>2904</v>
      </c>
      <c r="E1665">
        <v>11388</v>
      </c>
      <c r="F1665" s="11">
        <v>1</v>
      </c>
    </row>
    <row r="1666" spans="1:6" x14ac:dyDescent="0.35">
      <c r="A1666" t="s">
        <v>2856</v>
      </c>
      <c r="B1666" t="s">
        <v>2865</v>
      </c>
      <c r="C1666" t="s">
        <v>1486</v>
      </c>
      <c r="D1666" t="s">
        <v>2905</v>
      </c>
      <c r="E1666">
        <v>303</v>
      </c>
      <c r="F1666" s="11">
        <v>1</v>
      </c>
    </row>
    <row r="1667" spans="1:6" x14ac:dyDescent="0.35">
      <c r="A1667" t="s">
        <v>2856</v>
      </c>
      <c r="B1667" t="s">
        <v>2865</v>
      </c>
      <c r="C1667" t="s">
        <v>1486</v>
      </c>
      <c r="D1667" t="s">
        <v>2906</v>
      </c>
      <c r="E1667">
        <v>271</v>
      </c>
      <c r="F1667" s="11">
        <v>1</v>
      </c>
    </row>
    <row r="1668" spans="1:6" x14ac:dyDescent="0.35">
      <c r="A1668" t="s">
        <v>2856</v>
      </c>
      <c r="B1668" t="s">
        <v>2865</v>
      </c>
      <c r="C1668" t="s">
        <v>1486</v>
      </c>
      <c r="D1668" t="s">
        <v>2907</v>
      </c>
      <c r="E1668">
        <v>16249</v>
      </c>
      <c r="F1668" s="11">
        <v>1</v>
      </c>
    </row>
    <row r="1669" spans="1:6" x14ac:dyDescent="0.35">
      <c r="A1669" t="s">
        <v>2856</v>
      </c>
      <c r="B1669" t="s">
        <v>2865</v>
      </c>
      <c r="C1669" t="s">
        <v>1486</v>
      </c>
      <c r="D1669" t="s">
        <v>2908</v>
      </c>
      <c r="E1669">
        <v>15379</v>
      </c>
      <c r="F1669" s="11">
        <v>1</v>
      </c>
    </row>
    <row r="1670" spans="1:6" x14ac:dyDescent="0.35">
      <c r="A1670" t="s">
        <v>2856</v>
      </c>
      <c r="B1670" t="s">
        <v>2865</v>
      </c>
      <c r="C1670" t="s">
        <v>1486</v>
      </c>
      <c r="D1670" t="s">
        <v>2909</v>
      </c>
      <c r="E1670">
        <v>607</v>
      </c>
      <c r="F1670" s="11">
        <v>1</v>
      </c>
    </row>
    <row r="1671" spans="1:6" x14ac:dyDescent="0.35">
      <c r="A1671" t="s">
        <v>2856</v>
      </c>
      <c r="B1671" t="s">
        <v>2865</v>
      </c>
      <c r="C1671" t="s">
        <v>1486</v>
      </c>
      <c r="D1671" t="s">
        <v>2910</v>
      </c>
      <c r="E1671">
        <v>263</v>
      </c>
      <c r="F1671" s="11">
        <v>1</v>
      </c>
    </row>
    <row r="1672" spans="1:6" x14ac:dyDescent="0.35">
      <c r="A1672" t="s">
        <v>2856</v>
      </c>
      <c r="B1672" t="s">
        <v>2865</v>
      </c>
      <c r="C1672" t="s">
        <v>1486</v>
      </c>
      <c r="D1672" t="s">
        <v>2911</v>
      </c>
      <c r="E1672">
        <v>263548</v>
      </c>
      <c r="F1672" s="11">
        <v>1</v>
      </c>
    </row>
    <row r="1673" spans="1:6" x14ac:dyDescent="0.35">
      <c r="A1673" t="s">
        <v>2856</v>
      </c>
      <c r="B1673" t="s">
        <v>2865</v>
      </c>
      <c r="C1673" t="s">
        <v>1486</v>
      </c>
      <c r="D1673" t="s">
        <v>2912</v>
      </c>
      <c r="E1673">
        <v>0</v>
      </c>
      <c r="F1673" s="11">
        <v>0</v>
      </c>
    </row>
    <row r="1674" spans="1:6" x14ac:dyDescent="0.35">
      <c r="A1674" t="s">
        <v>2856</v>
      </c>
      <c r="B1674" t="s">
        <v>2865</v>
      </c>
      <c r="C1674" t="s">
        <v>1486</v>
      </c>
      <c r="D1674" t="s">
        <v>2913</v>
      </c>
      <c r="E1674">
        <v>0</v>
      </c>
      <c r="F1674" s="11">
        <v>0</v>
      </c>
    </row>
    <row r="1675" spans="1:6" x14ac:dyDescent="0.35">
      <c r="A1675" t="s">
        <v>2856</v>
      </c>
      <c r="B1675" t="s">
        <v>2865</v>
      </c>
      <c r="C1675" t="s">
        <v>1486</v>
      </c>
      <c r="D1675" t="s">
        <v>2914</v>
      </c>
      <c r="E1675">
        <v>0</v>
      </c>
      <c r="F1675" s="11">
        <v>0</v>
      </c>
    </row>
    <row r="1676" spans="1:6" x14ac:dyDescent="0.35">
      <c r="A1676" t="s">
        <v>2856</v>
      </c>
      <c r="B1676" t="s">
        <v>2865</v>
      </c>
      <c r="C1676" t="s">
        <v>1486</v>
      </c>
      <c r="D1676" t="s">
        <v>2915</v>
      </c>
      <c r="E1676">
        <v>3951</v>
      </c>
      <c r="F1676" s="11">
        <v>1</v>
      </c>
    </row>
    <row r="1677" spans="1:6" x14ac:dyDescent="0.35">
      <c r="A1677" t="s">
        <v>2856</v>
      </c>
      <c r="B1677" t="s">
        <v>2865</v>
      </c>
      <c r="C1677" t="s">
        <v>1486</v>
      </c>
      <c r="D1677" t="s">
        <v>2916</v>
      </c>
      <c r="E1677">
        <v>11102</v>
      </c>
      <c r="F1677" s="11">
        <v>1</v>
      </c>
    </row>
    <row r="1678" spans="1:6" x14ac:dyDescent="0.35">
      <c r="A1678" t="s">
        <v>2856</v>
      </c>
      <c r="B1678" t="s">
        <v>2865</v>
      </c>
      <c r="C1678" t="s">
        <v>1486</v>
      </c>
      <c r="D1678" t="s">
        <v>2917</v>
      </c>
      <c r="E1678">
        <v>0</v>
      </c>
      <c r="F1678" s="11">
        <v>0</v>
      </c>
    </row>
    <row r="1679" spans="1:6" x14ac:dyDescent="0.35">
      <c r="A1679" t="s">
        <v>2856</v>
      </c>
      <c r="B1679" t="s">
        <v>2862</v>
      </c>
      <c r="C1679" t="s">
        <v>2682</v>
      </c>
      <c r="D1679" t="s">
        <v>2875</v>
      </c>
      <c r="E1679">
        <v>30506</v>
      </c>
      <c r="F1679" s="11">
        <v>0</v>
      </c>
    </row>
    <row r="1680" spans="1:6" x14ac:dyDescent="0.35">
      <c r="A1680" t="s">
        <v>2856</v>
      </c>
      <c r="B1680" t="s">
        <v>2862</v>
      </c>
      <c r="C1680" t="s">
        <v>2682</v>
      </c>
      <c r="D1680" t="s">
        <v>2876</v>
      </c>
      <c r="E1680">
        <v>0</v>
      </c>
      <c r="F1680" s="11">
        <v>0</v>
      </c>
    </row>
    <row r="1681" spans="1:6" x14ac:dyDescent="0.35">
      <c r="A1681" t="s">
        <v>2856</v>
      </c>
      <c r="B1681" t="s">
        <v>2862</v>
      </c>
      <c r="C1681" t="s">
        <v>2682</v>
      </c>
      <c r="D1681" t="s">
        <v>2877</v>
      </c>
      <c r="E1681">
        <v>17971</v>
      </c>
      <c r="F1681" s="11">
        <v>0</v>
      </c>
    </row>
    <row r="1682" spans="1:6" x14ac:dyDescent="0.35">
      <c r="A1682" t="s">
        <v>2856</v>
      </c>
      <c r="B1682" t="s">
        <v>2862</v>
      </c>
      <c r="C1682" t="s">
        <v>2682</v>
      </c>
      <c r="D1682" t="s">
        <v>2878</v>
      </c>
      <c r="E1682">
        <v>0</v>
      </c>
      <c r="F1682" s="11">
        <v>0</v>
      </c>
    </row>
    <row r="1683" spans="1:6" x14ac:dyDescent="0.35">
      <c r="A1683" t="s">
        <v>2856</v>
      </c>
      <c r="B1683" t="s">
        <v>2862</v>
      </c>
      <c r="C1683" t="s">
        <v>2682</v>
      </c>
      <c r="D1683" t="s">
        <v>2879</v>
      </c>
      <c r="E1683">
        <v>3761</v>
      </c>
      <c r="F1683" s="11">
        <v>0</v>
      </c>
    </row>
    <row r="1684" spans="1:6" x14ac:dyDescent="0.35">
      <c r="A1684" t="s">
        <v>2856</v>
      </c>
      <c r="B1684" t="s">
        <v>2862</v>
      </c>
      <c r="C1684" t="s">
        <v>2682</v>
      </c>
      <c r="D1684" t="s">
        <v>2880</v>
      </c>
      <c r="E1684">
        <v>0</v>
      </c>
      <c r="F1684" s="11">
        <v>0</v>
      </c>
    </row>
    <row r="1685" spans="1:6" x14ac:dyDescent="0.35">
      <c r="A1685" t="s">
        <v>2856</v>
      </c>
      <c r="B1685" t="s">
        <v>2862</v>
      </c>
      <c r="C1685" t="s">
        <v>2682</v>
      </c>
      <c r="D1685" t="s">
        <v>2881</v>
      </c>
      <c r="E1685">
        <v>0</v>
      </c>
      <c r="F1685" s="11">
        <v>0</v>
      </c>
    </row>
    <row r="1686" spans="1:6" x14ac:dyDescent="0.35">
      <c r="A1686" t="s">
        <v>2856</v>
      </c>
      <c r="B1686" t="s">
        <v>2862</v>
      </c>
      <c r="C1686" t="s">
        <v>2682</v>
      </c>
      <c r="D1686" t="s">
        <v>2882</v>
      </c>
      <c r="E1686">
        <v>0</v>
      </c>
      <c r="F1686" s="11">
        <v>0</v>
      </c>
    </row>
    <row r="1687" spans="1:6" x14ac:dyDescent="0.35">
      <c r="A1687" t="s">
        <v>2856</v>
      </c>
      <c r="B1687" t="s">
        <v>2862</v>
      </c>
      <c r="C1687" t="s">
        <v>2682</v>
      </c>
      <c r="D1687" t="s">
        <v>2883</v>
      </c>
      <c r="E1687">
        <v>25</v>
      </c>
      <c r="F1687" s="11">
        <v>0</v>
      </c>
    </row>
    <row r="1688" spans="1:6" x14ac:dyDescent="0.35">
      <c r="A1688" t="s">
        <v>2856</v>
      </c>
      <c r="B1688" t="s">
        <v>2862</v>
      </c>
      <c r="C1688" t="s">
        <v>2682</v>
      </c>
      <c r="D1688" t="s">
        <v>2884</v>
      </c>
      <c r="E1688">
        <v>21</v>
      </c>
      <c r="F1688" s="11">
        <v>0</v>
      </c>
    </row>
    <row r="1689" spans="1:6" x14ac:dyDescent="0.35">
      <c r="A1689" t="s">
        <v>2856</v>
      </c>
      <c r="B1689" t="s">
        <v>2862</v>
      </c>
      <c r="C1689" t="s">
        <v>2682</v>
      </c>
      <c r="D1689" t="s">
        <v>2885</v>
      </c>
      <c r="E1689">
        <v>4</v>
      </c>
      <c r="F1689" s="11">
        <v>0</v>
      </c>
    </row>
    <row r="1690" spans="1:6" x14ac:dyDescent="0.35">
      <c r="A1690" t="s">
        <v>2856</v>
      </c>
      <c r="B1690" t="s">
        <v>2862</v>
      </c>
      <c r="C1690" t="s">
        <v>2682</v>
      </c>
      <c r="D1690" t="s">
        <v>2886</v>
      </c>
      <c r="E1690">
        <v>0</v>
      </c>
      <c r="F1690" s="11">
        <v>0</v>
      </c>
    </row>
    <row r="1691" spans="1:6" x14ac:dyDescent="0.35">
      <c r="A1691" t="s">
        <v>2856</v>
      </c>
      <c r="B1691" t="s">
        <v>2862</v>
      </c>
      <c r="C1691" t="s">
        <v>2682</v>
      </c>
      <c r="D1691" t="s">
        <v>2887</v>
      </c>
      <c r="E1691">
        <v>51843</v>
      </c>
      <c r="F1691" s="11">
        <v>0</v>
      </c>
    </row>
    <row r="1692" spans="1:6" x14ac:dyDescent="0.35">
      <c r="A1692" t="s">
        <v>2856</v>
      </c>
      <c r="B1692" t="s">
        <v>2862</v>
      </c>
      <c r="C1692" t="s">
        <v>2682</v>
      </c>
      <c r="D1692" t="s">
        <v>2888</v>
      </c>
      <c r="E1692">
        <v>26375</v>
      </c>
      <c r="F1692" s="11">
        <v>0</v>
      </c>
    </row>
    <row r="1693" spans="1:6" x14ac:dyDescent="0.35">
      <c r="A1693" t="s">
        <v>2856</v>
      </c>
      <c r="B1693" t="s">
        <v>2862</v>
      </c>
      <c r="C1693" t="s">
        <v>2682</v>
      </c>
      <c r="D1693" t="s">
        <v>2889</v>
      </c>
      <c r="E1693">
        <v>25468</v>
      </c>
      <c r="F1693" s="11">
        <v>0</v>
      </c>
    </row>
    <row r="1694" spans="1:6" x14ac:dyDescent="0.35">
      <c r="A1694" t="s">
        <v>2856</v>
      </c>
      <c r="B1694" t="s">
        <v>2862</v>
      </c>
      <c r="C1694" t="s">
        <v>2682</v>
      </c>
      <c r="D1694" t="s">
        <v>2890</v>
      </c>
      <c r="E1694">
        <v>0</v>
      </c>
      <c r="F1694" s="11">
        <v>0</v>
      </c>
    </row>
    <row r="1695" spans="1:6" x14ac:dyDescent="0.35">
      <c r="A1695" t="s">
        <v>2856</v>
      </c>
      <c r="B1695" t="s">
        <v>2862</v>
      </c>
      <c r="C1695" t="s">
        <v>2682</v>
      </c>
      <c r="D1695" t="s">
        <v>2891</v>
      </c>
      <c r="E1695">
        <v>4549</v>
      </c>
      <c r="F1695" s="11">
        <v>0</v>
      </c>
    </row>
    <row r="1696" spans="1:6" x14ac:dyDescent="0.35">
      <c r="A1696" t="s">
        <v>2856</v>
      </c>
      <c r="B1696" t="s">
        <v>2862</v>
      </c>
      <c r="C1696" t="s">
        <v>2682</v>
      </c>
      <c r="D1696" t="s">
        <v>2892</v>
      </c>
      <c r="E1696">
        <v>0</v>
      </c>
      <c r="F1696" s="11">
        <v>0</v>
      </c>
    </row>
    <row r="1697" spans="1:6" x14ac:dyDescent="0.35">
      <c r="A1697" t="s">
        <v>2856</v>
      </c>
      <c r="B1697" t="s">
        <v>2862</v>
      </c>
      <c r="C1697" t="s">
        <v>2682</v>
      </c>
      <c r="D1697" t="s">
        <v>2893</v>
      </c>
      <c r="E1697">
        <v>0</v>
      </c>
      <c r="F1697" s="11">
        <v>0</v>
      </c>
    </row>
    <row r="1698" spans="1:6" x14ac:dyDescent="0.35">
      <c r="A1698" t="s">
        <v>2856</v>
      </c>
      <c r="B1698" t="s">
        <v>2862</v>
      </c>
      <c r="C1698" t="s">
        <v>2682</v>
      </c>
      <c r="D1698" t="s">
        <v>2894</v>
      </c>
      <c r="E1698">
        <v>0</v>
      </c>
      <c r="F1698" s="11">
        <v>0</v>
      </c>
    </row>
    <row r="1699" spans="1:6" x14ac:dyDescent="0.35">
      <c r="A1699" t="s">
        <v>2856</v>
      </c>
      <c r="B1699" t="s">
        <v>2862</v>
      </c>
      <c r="C1699" t="s">
        <v>2682</v>
      </c>
      <c r="D1699" t="s">
        <v>2895</v>
      </c>
      <c r="E1699">
        <v>639537</v>
      </c>
      <c r="F1699" s="11">
        <v>0</v>
      </c>
    </row>
    <row r="1700" spans="1:6" x14ac:dyDescent="0.35">
      <c r="A1700" t="s">
        <v>2856</v>
      </c>
      <c r="B1700" t="s">
        <v>2862</v>
      </c>
      <c r="C1700" t="s">
        <v>2682</v>
      </c>
      <c r="D1700" t="s">
        <v>2896</v>
      </c>
      <c r="E1700">
        <v>0</v>
      </c>
      <c r="F1700" s="11">
        <v>0</v>
      </c>
    </row>
    <row r="1701" spans="1:6" x14ac:dyDescent="0.35">
      <c r="A1701" t="s">
        <v>2856</v>
      </c>
      <c r="B1701" t="s">
        <v>2862</v>
      </c>
      <c r="C1701" t="s">
        <v>2682</v>
      </c>
      <c r="D1701" t="s">
        <v>2897</v>
      </c>
      <c r="E1701">
        <v>0</v>
      </c>
      <c r="F1701" s="11">
        <v>0</v>
      </c>
    </row>
    <row r="1702" spans="1:6" x14ac:dyDescent="0.35">
      <c r="A1702" t="s">
        <v>2856</v>
      </c>
      <c r="B1702" t="s">
        <v>2862</v>
      </c>
      <c r="C1702" t="s">
        <v>2682</v>
      </c>
      <c r="D1702" t="s">
        <v>2898</v>
      </c>
      <c r="E1702">
        <v>0</v>
      </c>
      <c r="F1702" s="11">
        <v>0</v>
      </c>
    </row>
    <row r="1703" spans="1:6" x14ac:dyDescent="0.35">
      <c r="A1703" t="s">
        <v>2856</v>
      </c>
      <c r="B1703" t="s">
        <v>2862</v>
      </c>
      <c r="C1703" t="s">
        <v>2682</v>
      </c>
      <c r="D1703" t="s">
        <v>2899</v>
      </c>
      <c r="E1703">
        <v>0</v>
      </c>
      <c r="F1703" s="11">
        <v>0</v>
      </c>
    </row>
    <row r="1704" spans="1:6" x14ac:dyDescent="0.35">
      <c r="A1704" t="s">
        <v>2856</v>
      </c>
      <c r="B1704" t="s">
        <v>2862</v>
      </c>
      <c r="C1704" t="s">
        <v>2682</v>
      </c>
      <c r="D1704" t="s">
        <v>2900</v>
      </c>
      <c r="E1704">
        <v>0</v>
      </c>
      <c r="F1704" s="11">
        <v>0</v>
      </c>
    </row>
    <row r="1705" spans="1:6" x14ac:dyDescent="0.35">
      <c r="A1705" t="s">
        <v>2856</v>
      </c>
      <c r="B1705" t="s">
        <v>2862</v>
      </c>
      <c r="C1705" t="s">
        <v>2682</v>
      </c>
      <c r="D1705" t="s">
        <v>2901</v>
      </c>
      <c r="E1705">
        <v>0</v>
      </c>
      <c r="F1705" s="11">
        <v>0</v>
      </c>
    </row>
    <row r="1706" spans="1:6" x14ac:dyDescent="0.35">
      <c r="A1706" t="s">
        <v>2856</v>
      </c>
      <c r="B1706" t="s">
        <v>2862</v>
      </c>
      <c r="C1706" t="s">
        <v>2682</v>
      </c>
      <c r="D1706" t="s">
        <v>2902</v>
      </c>
      <c r="E1706">
        <v>0</v>
      </c>
      <c r="F1706" s="11">
        <v>0</v>
      </c>
    </row>
    <row r="1707" spans="1:6" x14ac:dyDescent="0.35">
      <c r="A1707" t="s">
        <v>2856</v>
      </c>
      <c r="B1707" t="s">
        <v>2862</v>
      </c>
      <c r="C1707" t="s">
        <v>2682</v>
      </c>
      <c r="D1707" t="s">
        <v>2903</v>
      </c>
      <c r="E1707">
        <v>28495</v>
      </c>
      <c r="F1707" s="11">
        <v>0</v>
      </c>
    </row>
    <row r="1708" spans="1:6" x14ac:dyDescent="0.35">
      <c r="A1708" t="s">
        <v>2856</v>
      </c>
      <c r="B1708" t="s">
        <v>2862</v>
      </c>
      <c r="C1708" t="s">
        <v>2682</v>
      </c>
      <c r="D1708" t="s">
        <v>2904</v>
      </c>
      <c r="E1708">
        <v>0</v>
      </c>
      <c r="F1708" s="11">
        <v>0</v>
      </c>
    </row>
    <row r="1709" spans="1:6" x14ac:dyDescent="0.35">
      <c r="A1709" t="s">
        <v>2856</v>
      </c>
      <c r="B1709" t="s">
        <v>2862</v>
      </c>
      <c r="C1709" t="s">
        <v>2682</v>
      </c>
      <c r="D1709" t="s">
        <v>2905</v>
      </c>
      <c r="E1709">
        <v>0</v>
      </c>
      <c r="F1709" s="11">
        <v>0</v>
      </c>
    </row>
    <row r="1710" spans="1:6" x14ac:dyDescent="0.35">
      <c r="A1710" t="s">
        <v>2856</v>
      </c>
      <c r="B1710" t="s">
        <v>2862</v>
      </c>
      <c r="C1710" t="s">
        <v>2682</v>
      </c>
      <c r="D1710" t="s">
        <v>2906</v>
      </c>
      <c r="E1710">
        <v>0</v>
      </c>
      <c r="F1710" s="11">
        <v>0</v>
      </c>
    </row>
    <row r="1711" spans="1:6" x14ac:dyDescent="0.35">
      <c r="A1711" t="s">
        <v>2856</v>
      </c>
      <c r="B1711" t="s">
        <v>2862</v>
      </c>
      <c r="C1711" t="s">
        <v>2682</v>
      </c>
      <c r="D1711" t="s">
        <v>2907</v>
      </c>
      <c r="E1711">
        <v>32711</v>
      </c>
      <c r="F1711" s="11">
        <v>0</v>
      </c>
    </row>
    <row r="1712" spans="1:6" x14ac:dyDescent="0.35">
      <c r="A1712" t="s">
        <v>2856</v>
      </c>
      <c r="B1712" t="s">
        <v>2862</v>
      </c>
      <c r="C1712" t="s">
        <v>2682</v>
      </c>
      <c r="D1712" t="s">
        <v>2908</v>
      </c>
      <c r="E1712">
        <v>0</v>
      </c>
      <c r="F1712" s="11">
        <v>0</v>
      </c>
    </row>
    <row r="1713" spans="1:6" x14ac:dyDescent="0.35">
      <c r="A1713" t="s">
        <v>2856</v>
      </c>
      <c r="B1713" t="s">
        <v>2862</v>
      </c>
      <c r="C1713" t="s">
        <v>2682</v>
      </c>
      <c r="D1713" t="s">
        <v>2909</v>
      </c>
      <c r="E1713">
        <v>0</v>
      </c>
      <c r="F1713" s="11">
        <v>0</v>
      </c>
    </row>
    <row r="1714" spans="1:6" x14ac:dyDescent="0.35">
      <c r="A1714" t="s">
        <v>2856</v>
      </c>
      <c r="B1714" t="s">
        <v>2862</v>
      </c>
      <c r="C1714" t="s">
        <v>2682</v>
      </c>
      <c r="D1714" t="s">
        <v>2910</v>
      </c>
      <c r="E1714">
        <v>0</v>
      </c>
      <c r="F1714" s="11">
        <v>0</v>
      </c>
    </row>
    <row r="1715" spans="1:6" x14ac:dyDescent="0.35">
      <c r="A1715" t="s">
        <v>2856</v>
      </c>
      <c r="B1715" t="s">
        <v>2862</v>
      </c>
      <c r="C1715" t="s">
        <v>2682</v>
      </c>
      <c r="D1715" t="s">
        <v>2911</v>
      </c>
      <c r="E1715">
        <v>1015473</v>
      </c>
      <c r="F1715" s="11">
        <v>0</v>
      </c>
    </row>
    <row r="1716" spans="1:6" x14ac:dyDescent="0.35">
      <c r="A1716" t="s">
        <v>2856</v>
      </c>
      <c r="B1716" t="s">
        <v>2862</v>
      </c>
      <c r="C1716" t="s">
        <v>2682</v>
      </c>
      <c r="D1716" t="s">
        <v>2912</v>
      </c>
      <c r="E1716">
        <v>0</v>
      </c>
      <c r="F1716" s="11">
        <v>0</v>
      </c>
    </row>
    <row r="1717" spans="1:6" x14ac:dyDescent="0.35">
      <c r="A1717" t="s">
        <v>2856</v>
      </c>
      <c r="B1717" t="s">
        <v>2862</v>
      </c>
      <c r="C1717" t="s">
        <v>2682</v>
      </c>
      <c r="D1717" t="s">
        <v>2913</v>
      </c>
      <c r="E1717">
        <v>0</v>
      </c>
      <c r="F1717" s="11">
        <v>0</v>
      </c>
    </row>
    <row r="1718" spans="1:6" x14ac:dyDescent="0.35">
      <c r="A1718" t="s">
        <v>2856</v>
      </c>
      <c r="B1718" t="s">
        <v>2862</v>
      </c>
      <c r="C1718" t="s">
        <v>2682</v>
      </c>
      <c r="D1718" t="s">
        <v>2914</v>
      </c>
      <c r="E1718">
        <v>0</v>
      </c>
      <c r="F1718" s="11">
        <v>0</v>
      </c>
    </row>
    <row r="1719" spans="1:6" x14ac:dyDescent="0.35">
      <c r="A1719" t="s">
        <v>2856</v>
      </c>
      <c r="B1719" t="s">
        <v>2862</v>
      </c>
      <c r="C1719" t="s">
        <v>2682</v>
      </c>
      <c r="D1719" t="s">
        <v>2915</v>
      </c>
      <c r="E1719">
        <v>252</v>
      </c>
      <c r="F1719" s="11">
        <v>0</v>
      </c>
    </row>
    <row r="1720" spans="1:6" x14ac:dyDescent="0.35">
      <c r="A1720" t="s">
        <v>2856</v>
      </c>
      <c r="B1720" t="s">
        <v>2862</v>
      </c>
      <c r="C1720" t="s">
        <v>2682</v>
      </c>
      <c r="D1720" t="s">
        <v>2916</v>
      </c>
      <c r="E1720">
        <v>0</v>
      </c>
      <c r="F1720" s="11">
        <v>0</v>
      </c>
    </row>
    <row r="1721" spans="1:6" x14ac:dyDescent="0.35">
      <c r="A1721" t="s">
        <v>2856</v>
      </c>
      <c r="B1721" t="s">
        <v>2862</v>
      </c>
      <c r="C1721" t="s">
        <v>2682</v>
      </c>
      <c r="D1721" t="s">
        <v>2917</v>
      </c>
      <c r="E1721">
        <v>49166</v>
      </c>
      <c r="F1721" s="11">
        <v>0</v>
      </c>
    </row>
    <row r="1722" spans="1:6" x14ac:dyDescent="0.35">
      <c r="A1722" t="s">
        <v>2856</v>
      </c>
      <c r="B1722" t="s">
        <v>2863</v>
      </c>
      <c r="C1722" t="s">
        <v>1525</v>
      </c>
      <c r="D1722" t="s">
        <v>2875</v>
      </c>
      <c r="E1722">
        <v>13108</v>
      </c>
      <c r="F1722" s="11">
        <v>1</v>
      </c>
    </row>
    <row r="1723" spans="1:6" x14ac:dyDescent="0.35">
      <c r="A1723" t="s">
        <v>2856</v>
      </c>
      <c r="B1723" t="s">
        <v>2863</v>
      </c>
      <c r="C1723" t="s">
        <v>1525</v>
      </c>
      <c r="D1723" t="s">
        <v>2876</v>
      </c>
      <c r="E1723">
        <v>2951</v>
      </c>
      <c r="F1723" s="11">
        <v>1</v>
      </c>
    </row>
    <row r="1724" spans="1:6" x14ac:dyDescent="0.35">
      <c r="A1724" t="s">
        <v>2856</v>
      </c>
      <c r="B1724" t="s">
        <v>2863</v>
      </c>
      <c r="C1724" t="s">
        <v>1525</v>
      </c>
      <c r="D1724" t="s">
        <v>2877</v>
      </c>
      <c r="E1724">
        <v>9169</v>
      </c>
      <c r="F1724" s="11">
        <v>1</v>
      </c>
    </row>
    <row r="1725" spans="1:6" x14ac:dyDescent="0.35">
      <c r="A1725" t="s">
        <v>2856</v>
      </c>
      <c r="B1725" t="s">
        <v>2863</v>
      </c>
      <c r="C1725" t="s">
        <v>1525</v>
      </c>
      <c r="D1725" t="s">
        <v>2878</v>
      </c>
      <c r="E1725">
        <v>772</v>
      </c>
      <c r="F1725" s="11">
        <v>1</v>
      </c>
    </row>
    <row r="1726" spans="1:6" x14ac:dyDescent="0.35">
      <c r="A1726" t="s">
        <v>2856</v>
      </c>
      <c r="B1726" t="s">
        <v>2863</v>
      </c>
      <c r="C1726" t="s">
        <v>1525</v>
      </c>
      <c r="D1726" t="s">
        <v>2879</v>
      </c>
      <c r="E1726">
        <v>949</v>
      </c>
      <c r="F1726" s="11">
        <v>1</v>
      </c>
    </row>
    <row r="1727" spans="1:6" x14ac:dyDescent="0.35">
      <c r="A1727" t="s">
        <v>2856</v>
      </c>
      <c r="B1727" t="s">
        <v>2863</v>
      </c>
      <c r="C1727" t="s">
        <v>1525</v>
      </c>
      <c r="D1727" t="s">
        <v>2880</v>
      </c>
      <c r="E1727">
        <v>0</v>
      </c>
      <c r="F1727" s="11">
        <v>0</v>
      </c>
    </row>
    <row r="1728" spans="1:6" x14ac:dyDescent="0.35">
      <c r="A1728" t="s">
        <v>2856</v>
      </c>
      <c r="B1728" t="s">
        <v>2863</v>
      </c>
      <c r="C1728" t="s">
        <v>1525</v>
      </c>
      <c r="D1728" t="s">
        <v>2881</v>
      </c>
      <c r="E1728">
        <v>0</v>
      </c>
      <c r="F1728" s="11">
        <v>0</v>
      </c>
    </row>
    <row r="1729" spans="1:6" x14ac:dyDescent="0.35">
      <c r="A1729" t="s">
        <v>2856</v>
      </c>
      <c r="B1729" t="s">
        <v>2863</v>
      </c>
      <c r="C1729" t="s">
        <v>1525</v>
      </c>
      <c r="D1729" t="s">
        <v>2882</v>
      </c>
      <c r="E1729">
        <v>0</v>
      </c>
      <c r="F1729" s="11">
        <v>0</v>
      </c>
    </row>
    <row r="1730" spans="1:6" x14ac:dyDescent="0.35">
      <c r="A1730" t="s">
        <v>2856</v>
      </c>
      <c r="B1730" t="s">
        <v>2863</v>
      </c>
      <c r="C1730" t="s">
        <v>1525</v>
      </c>
      <c r="D1730" t="s">
        <v>2883</v>
      </c>
      <c r="E1730">
        <v>0</v>
      </c>
      <c r="F1730" s="11">
        <v>0</v>
      </c>
    </row>
    <row r="1731" spans="1:6" x14ac:dyDescent="0.35">
      <c r="A1731" t="s">
        <v>2856</v>
      </c>
      <c r="B1731" t="s">
        <v>2863</v>
      </c>
      <c r="C1731" t="s">
        <v>1525</v>
      </c>
      <c r="D1731" t="s">
        <v>2884</v>
      </c>
      <c r="E1731">
        <v>0</v>
      </c>
      <c r="F1731" s="11">
        <v>0</v>
      </c>
    </row>
    <row r="1732" spans="1:6" x14ac:dyDescent="0.35">
      <c r="A1732" t="s">
        <v>2856</v>
      </c>
      <c r="B1732" t="s">
        <v>2863</v>
      </c>
      <c r="C1732" t="s">
        <v>1525</v>
      </c>
      <c r="D1732" t="s">
        <v>2885</v>
      </c>
      <c r="E1732">
        <v>0</v>
      </c>
      <c r="F1732" s="11">
        <v>0</v>
      </c>
    </row>
    <row r="1733" spans="1:6" x14ac:dyDescent="0.35">
      <c r="A1733" t="s">
        <v>2856</v>
      </c>
      <c r="B1733" t="s">
        <v>2863</v>
      </c>
      <c r="C1733" t="s">
        <v>1525</v>
      </c>
      <c r="D1733" t="s">
        <v>2886</v>
      </c>
      <c r="E1733">
        <v>0</v>
      </c>
      <c r="F1733" s="11">
        <v>0</v>
      </c>
    </row>
    <row r="1734" spans="1:6" x14ac:dyDescent="0.35">
      <c r="A1734" t="s">
        <v>2856</v>
      </c>
      <c r="B1734" t="s">
        <v>2863</v>
      </c>
      <c r="C1734" t="s">
        <v>1525</v>
      </c>
      <c r="D1734" t="s">
        <v>2887</v>
      </c>
      <c r="E1734">
        <v>9166</v>
      </c>
      <c r="F1734" s="11">
        <v>1</v>
      </c>
    </row>
    <row r="1735" spans="1:6" x14ac:dyDescent="0.35">
      <c r="A1735" t="s">
        <v>2856</v>
      </c>
      <c r="B1735" t="s">
        <v>2863</v>
      </c>
      <c r="C1735" t="s">
        <v>1525</v>
      </c>
      <c r="D1735" t="s">
        <v>2888</v>
      </c>
      <c r="E1735">
        <v>4760</v>
      </c>
      <c r="F1735" s="11">
        <v>1</v>
      </c>
    </row>
    <row r="1736" spans="1:6" x14ac:dyDescent="0.35">
      <c r="A1736" t="s">
        <v>2856</v>
      </c>
      <c r="B1736" t="s">
        <v>2863</v>
      </c>
      <c r="C1736" t="s">
        <v>1525</v>
      </c>
      <c r="D1736" t="s">
        <v>2889</v>
      </c>
      <c r="E1736">
        <v>4875</v>
      </c>
      <c r="F1736" s="11">
        <v>0</v>
      </c>
    </row>
    <row r="1737" spans="1:6" x14ac:dyDescent="0.35">
      <c r="A1737" t="s">
        <v>2856</v>
      </c>
      <c r="B1737" t="s">
        <v>2863</v>
      </c>
      <c r="C1737" t="s">
        <v>1525</v>
      </c>
      <c r="D1737" t="s">
        <v>2890</v>
      </c>
      <c r="E1737">
        <v>0</v>
      </c>
      <c r="F1737" s="11">
        <v>1</v>
      </c>
    </row>
    <row r="1738" spans="1:6" x14ac:dyDescent="0.35">
      <c r="A1738" t="s">
        <v>2856</v>
      </c>
      <c r="B1738" t="s">
        <v>2863</v>
      </c>
      <c r="C1738" t="s">
        <v>1525</v>
      </c>
      <c r="D1738" t="s">
        <v>2891</v>
      </c>
      <c r="E1738">
        <v>0</v>
      </c>
      <c r="F1738" s="11">
        <v>0</v>
      </c>
    </row>
    <row r="1739" spans="1:6" x14ac:dyDescent="0.35">
      <c r="A1739" t="s">
        <v>2856</v>
      </c>
      <c r="B1739" t="s">
        <v>2863</v>
      </c>
      <c r="C1739" t="s">
        <v>1525</v>
      </c>
      <c r="D1739" t="s">
        <v>2892</v>
      </c>
      <c r="E1739">
        <v>0</v>
      </c>
      <c r="F1739" s="11">
        <v>0</v>
      </c>
    </row>
    <row r="1740" spans="1:6" x14ac:dyDescent="0.35">
      <c r="A1740" t="s">
        <v>2856</v>
      </c>
      <c r="B1740" t="s">
        <v>2863</v>
      </c>
      <c r="C1740" t="s">
        <v>1525</v>
      </c>
      <c r="D1740" t="s">
        <v>2893</v>
      </c>
      <c r="E1740">
        <v>0</v>
      </c>
      <c r="F1740" s="11">
        <v>0</v>
      </c>
    </row>
    <row r="1741" spans="1:6" x14ac:dyDescent="0.35">
      <c r="A1741" t="s">
        <v>2856</v>
      </c>
      <c r="B1741" t="s">
        <v>2863</v>
      </c>
      <c r="C1741" t="s">
        <v>1525</v>
      </c>
      <c r="D1741" t="s">
        <v>2894</v>
      </c>
      <c r="E1741">
        <v>0</v>
      </c>
      <c r="F1741" s="11">
        <v>0</v>
      </c>
    </row>
    <row r="1742" spans="1:6" x14ac:dyDescent="0.35">
      <c r="A1742" t="s">
        <v>2856</v>
      </c>
      <c r="B1742" t="s">
        <v>2863</v>
      </c>
      <c r="C1742" t="s">
        <v>1525</v>
      </c>
      <c r="D1742" t="s">
        <v>2895</v>
      </c>
      <c r="E1742">
        <v>314506</v>
      </c>
      <c r="F1742" s="11">
        <v>1</v>
      </c>
    </row>
    <row r="1743" spans="1:6" x14ac:dyDescent="0.35">
      <c r="A1743" t="s">
        <v>2856</v>
      </c>
      <c r="B1743" t="s">
        <v>2863</v>
      </c>
      <c r="C1743" t="s">
        <v>1525</v>
      </c>
      <c r="D1743" t="s">
        <v>2896</v>
      </c>
      <c r="E1743">
        <v>224489</v>
      </c>
      <c r="F1743" s="11">
        <v>1</v>
      </c>
    </row>
    <row r="1744" spans="1:6" x14ac:dyDescent="0.35">
      <c r="A1744" t="s">
        <v>2856</v>
      </c>
      <c r="B1744" t="s">
        <v>2863</v>
      </c>
      <c r="C1744" t="s">
        <v>1525</v>
      </c>
      <c r="D1744" t="s">
        <v>2897</v>
      </c>
      <c r="E1744">
        <v>86333</v>
      </c>
      <c r="F1744" s="11">
        <v>1</v>
      </c>
    </row>
    <row r="1745" spans="1:6" x14ac:dyDescent="0.35">
      <c r="A1745" t="s">
        <v>2856</v>
      </c>
      <c r="B1745" t="s">
        <v>2863</v>
      </c>
      <c r="C1745" t="s">
        <v>1525</v>
      </c>
      <c r="D1745" t="s">
        <v>2898</v>
      </c>
      <c r="E1745">
        <v>3684</v>
      </c>
      <c r="F1745" s="11">
        <v>1</v>
      </c>
    </row>
    <row r="1746" spans="1:6" x14ac:dyDescent="0.35">
      <c r="A1746" t="s">
        <v>2856</v>
      </c>
      <c r="B1746" t="s">
        <v>2863</v>
      </c>
      <c r="C1746" t="s">
        <v>1525</v>
      </c>
      <c r="D1746" t="s">
        <v>2899</v>
      </c>
      <c r="E1746">
        <v>4624</v>
      </c>
      <c r="F1746" s="11">
        <v>1</v>
      </c>
    </row>
    <row r="1747" spans="1:6" x14ac:dyDescent="0.35">
      <c r="A1747" t="s">
        <v>2856</v>
      </c>
      <c r="B1747" t="s">
        <v>2863</v>
      </c>
      <c r="C1747" t="s">
        <v>1525</v>
      </c>
      <c r="D1747" t="s">
        <v>2900</v>
      </c>
      <c r="E1747">
        <v>4504</v>
      </c>
      <c r="F1747" s="11">
        <v>0</v>
      </c>
    </row>
    <row r="1748" spans="1:6" x14ac:dyDescent="0.35">
      <c r="A1748" t="s">
        <v>2856</v>
      </c>
      <c r="B1748" t="s">
        <v>2863</v>
      </c>
      <c r="C1748" t="s">
        <v>1525</v>
      </c>
      <c r="D1748" t="s">
        <v>2901</v>
      </c>
      <c r="E1748">
        <v>0</v>
      </c>
      <c r="F1748" s="11">
        <v>0</v>
      </c>
    </row>
    <row r="1749" spans="1:6" x14ac:dyDescent="0.35">
      <c r="A1749" t="s">
        <v>2856</v>
      </c>
      <c r="B1749" t="s">
        <v>2863</v>
      </c>
      <c r="C1749" t="s">
        <v>1525</v>
      </c>
      <c r="D1749" t="s">
        <v>2902</v>
      </c>
      <c r="E1749">
        <v>120</v>
      </c>
      <c r="F1749" s="11">
        <v>1</v>
      </c>
    </row>
    <row r="1750" spans="1:6" x14ac:dyDescent="0.35">
      <c r="A1750" t="s">
        <v>2856</v>
      </c>
      <c r="B1750" t="s">
        <v>2863</v>
      </c>
      <c r="C1750" t="s">
        <v>1525</v>
      </c>
      <c r="D1750" t="s">
        <v>2903</v>
      </c>
      <c r="E1750">
        <v>27531</v>
      </c>
      <c r="F1750" s="11">
        <v>1</v>
      </c>
    </row>
    <row r="1751" spans="1:6" x14ac:dyDescent="0.35">
      <c r="A1751" t="s">
        <v>2856</v>
      </c>
      <c r="B1751" t="s">
        <v>2863</v>
      </c>
      <c r="C1751" t="s">
        <v>1525</v>
      </c>
      <c r="D1751" t="s">
        <v>2904</v>
      </c>
      <c r="E1751">
        <v>24787</v>
      </c>
      <c r="F1751" s="11">
        <v>0</v>
      </c>
    </row>
    <row r="1752" spans="1:6" x14ac:dyDescent="0.35">
      <c r="A1752" t="s">
        <v>2856</v>
      </c>
      <c r="B1752" t="s">
        <v>2863</v>
      </c>
      <c r="C1752" t="s">
        <v>1525</v>
      </c>
      <c r="D1752" t="s">
        <v>2905</v>
      </c>
      <c r="E1752">
        <v>1112</v>
      </c>
      <c r="F1752" s="11">
        <v>0</v>
      </c>
    </row>
    <row r="1753" spans="1:6" x14ac:dyDescent="0.35">
      <c r="A1753" t="s">
        <v>2856</v>
      </c>
      <c r="B1753" t="s">
        <v>2863</v>
      </c>
      <c r="C1753" t="s">
        <v>1525</v>
      </c>
      <c r="D1753" t="s">
        <v>2906</v>
      </c>
      <c r="E1753">
        <v>1632</v>
      </c>
      <c r="F1753" s="11">
        <v>0</v>
      </c>
    </row>
    <row r="1754" spans="1:6" x14ac:dyDescent="0.35">
      <c r="A1754" t="s">
        <v>2856</v>
      </c>
      <c r="B1754" t="s">
        <v>2863</v>
      </c>
      <c r="C1754" t="s">
        <v>1525</v>
      </c>
      <c r="D1754" t="s">
        <v>2907</v>
      </c>
      <c r="E1754">
        <v>244597</v>
      </c>
      <c r="F1754" s="11">
        <v>1</v>
      </c>
    </row>
    <row r="1755" spans="1:6" x14ac:dyDescent="0.35">
      <c r="A1755" t="s">
        <v>2856</v>
      </c>
      <c r="B1755" t="s">
        <v>2863</v>
      </c>
      <c r="C1755" t="s">
        <v>1525</v>
      </c>
      <c r="D1755" t="s">
        <v>2908</v>
      </c>
      <c r="E1755">
        <v>198697</v>
      </c>
      <c r="F1755" s="11">
        <v>0</v>
      </c>
    </row>
    <row r="1756" spans="1:6" x14ac:dyDescent="0.35">
      <c r="A1756" t="s">
        <v>2856</v>
      </c>
      <c r="B1756" t="s">
        <v>2863</v>
      </c>
      <c r="C1756" t="s">
        <v>1525</v>
      </c>
      <c r="D1756" t="s">
        <v>2909</v>
      </c>
      <c r="E1756">
        <v>9498</v>
      </c>
      <c r="F1756" s="11">
        <v>0</v>
      </c>
    </row>
    <row r="1757" spans="1:6" x14ac:dyDescent="0.35">
      <c r="A1757" t="s">
        <v>2856</v>
      </c>
      <c r="B1757" t="s">
        <v>2863</v>
      </c>
      <c r="C1757" t="s">
        <v>1525</v>
      </c>
      <c r="D1757" t="s">
        <v>2910</v>
      </c>
      <c r="E1757">
        <v>36402</v>
      </c>
      <c r="F1757" s="11">
        <v>0</v>
      </c>
    </row>
    <row r="1758" spans="1:6" x14ac:dyDescent="0.35">
      <c r="A1758" t="s">
        <v>2856</v>
      </c>
      <c r="B1758" t="s">
        <v>2863</v>
      </c>
      <c r="C1758" t="s">
        <v>1525</v>
      </c>
      <c r="D1758" t="s">
        <v>2911</v>
      </c>
      <c r="E1758">
        <v>259389</v>
      </c>
      <c r="F1758" s="11">
        <v>1</v>
      </c>
    </row>
    <row r="1759" spans="1:6" x14ac:dyDescent="0.35">
      <c r="A1759" t="s">
        <v>2856</v>
      </c>
      <c r="B1759" t="s">
        <v>2863</v>
      </c>
      <c r="C1759" t="s">
        <v>1525</v>
      </c>
      <c r="D1759" t="s">
        <v>2912</v>
      </c>
      <c r="E1759">
        <v>0</v>
      </c>
      <c r="F1759" s="11">
        <v>1</v>
      </c>
    </row>
    <row r="1760" spans="1:6" x14ac:dyDescent="0.35">
      <c r="A1760" t="s">
        <v>2856</v>
      </c>
      <c r="B1760" t="s">
        <v>2863</v>
      </c>
      <c r="C1760" t="s">
        <v>1525</v>
      </c>
      <c r="D1760" t="s">
        <v>2913</v>
      </c>
      <c r="E1760">
        <v>85</v>
      </c>
      <c r="F1760" s="11">
        <v>0</v>
      </c>
    </row>
    <row r="1761" spans="1:6" x14ac:dyDescent="0.35">
      <c r="A1761" t="s">
        <v>2856</v>
      </c>
      <c r="B1761" t="s">
        <v>2863</v>
      </c>
      <c r="C1761" t="s">
        <v>1525</v>
      </c>
      <c r="D1761" t="s">
        <v>2914</v>
      </c>
      <c r="E1761">
        <v>0</v>
      </c>
      <c r="F1761" s="11">
        <v>0</v>
      </c>
    </row>
    <row r="1762" spans="1:6" x14ac:dyDescent="0.35">
      <c r="A1762" t="s">
        <v>2856</v>
      </c>
      <c r="B1762" t="s">
        <v>2863</v>
      </c>
      <c r="C1762" t="s">
        <v>1525</v>
      </c>
      <c r="D1762" t="s">
        <v>2915</v>
      </c>
      <c r="E1762">
        <v>723</v>
      </c>
      <c r="F1762" s="11">
        <v>1</v>
      </c>
    </row>
    <row r="1763" spans="1:6" x14ac:dyDescent="0.35">
      <c r="A1763" t="s">
        <v>2856</v>
      </c>
      <c r="B1763" t="s">
        <v>2863</v>
      </c>
      <c r="C1763" t="s">
        <v>1525</v>
      </c>
      <c r="D1763" t="s">
        <v>2916</v>
      </c>
      <c r="E1763">
        <v>35400</v>
      </c>
      <c r="F1763" s="11">
        <v>1</v>
      </c>
    </row>
    <row r="1764" spans="1:6" x14ac:dyDescent="0.35">
      <c r="A1764" t="s">
        <v>2856</v>
      </c>
      <c r="B1764" t="s">
        <v>2863</v>
      </c>
      <c r="C1764" t="s">
        <v>1525</v>
      </c>
      <c r="D1764" t="s">
        <v>2917</v>
      </c>
      <c r="E1764">
        <v>0</v>
      </c>
      <c r="F1764" s="11">
        <v>1</v>
      </c>
    </row>
    <row r="1765" spans="1:6" x14ac:dyDescent="0.35">
      <c r="A1765" t="s">
        <v>2856</v>
      </c>
      <c r="B1765" t="s">
        <v>2866</v>
      </c>
      <c r="C1765" t="s">
        <v>1545</v>
      </c>
      <c r="D1765" t="s">
        <v>2875</v>
      </c>
      <c r="E1765">
        <v>31455</v>
      </c>
      <c r="F1765" s="11">
        <v>1</v>
      </c>
    </row>
    <row r="1766" spans="1:6" x14ac:dyDescent="0.35">
      <c r="A1766" t="s">
        <v>2856</v>
      </c>
      <c r="B1766" t="s">
        <v>2866</v>
      </c>
      <c r="C1766" t="s">
        <v>1545</v>
      </c>
      <c r="D1766" t="s">
        <v>2876</v>
      </c>
      <c r="E1766">
        <v>11922</v>
      </c>
      <c r="F1766" s="11">
        <v>1</v>
      </c>
    </row>
    <row r="1767" spans="1:6" x14ac:dyDescent="0.35">
      <c r="A1767" t="s">
        <v>2856</v>
      </c>
      <c r="B1767" t="s">
        <v>2866</v>
      </c>
      <c r="C1767" t="s">
        <v>1545</v>
      </c>
      <c r="D1767" t="s">
        <v>2877</v>
      </c>
      <c r="E1767">
        <v>16097</v>
      </c>
      <c r="F1767" s="11">
        <v>1</v>
      </c>
    </row>
    <row r="1768" spans="1:6" x14ac:dyDescent="0.35">
      <c r="A1768" t="s">
        <v>2856</v>
      </c>
      <c r="B1768" t="s">
        <v>2866</v>
      </c>
      <c r="C1768" t="s">
        <v>1545</v>
      </c>
      <c r="D1768" t="s">
        <v>2878</v>
      </c>
      <c r="E1768">
        <v>3436</v>
      </c>
      <c r="F1768" s="11">
        <v>1</v>
      </c>
    </row>
    <row r="1769" spans="1:6" x14ac:dyDescent="0.35">
      <c r="A1769" t="s">
        <v>2856</v>
      </c>
      <c r="B1769" t="s">
        <v>2866</v>
      </c>
      <c r="C1769" t="s">
        <v>1545</v>
      </c>
      <c r="D1769" t="s">
        <v>2879</v>
      </c>
      <c r="E1769">
        <v>7980</v>
      </c>
      <c r="F1769" s="11">
        <v>1</v>
      </c>
    </row>
    <row r="1770" spans="1:6" x14ac:dyDescent="0.35">
      <c r="A1770" t="s">
        <v>2856</v>
      </c>
      <c r="B1770" t="s">
        <v>2866</v>
      </c>
      <c r="C1770" t="s">
        <v>1545</v>
      </c>
      <c r="D1770" t="s">
        <v>2880</v>
      </c>
      <c r="E1770">
        <v>3219</v>
      </c>
      <c r="F1770" s="11">
        <v>1</v>
      </c>
    </row>
    <row r="1771" spans="1:6" x14ac:dyDescent="0.35">
      <c r="A1771" t="s">
        <v>2856</v>
      </c>
      <c r="B1771" t="s">
        <v>2866</v>
      </c>
      <c r="C1771" t="s">
        <v>1545</v>
      </c>
      <c r="D1771" t="s">
        <v>2881</v>
      </c>
      <c r="E1771">
        <v>2921</v>
      </c>
      <c r="F1771" s="11">
        <v>1</v>
      </c>
    </row>
    <row r="1772" spans="1:6" x14ac:dyDescent="0.35">
      <c r="A1772" t="s">
        <v>2856</v>
      </c>
      <c r="B1772" t="s">
        <v>2866</v>
      </c>
      <c r="C1772" t="s">
        <v>1545</v>
      </c>
      <c r="D1772" t="s">
        <v>2882</v>
      </c>
      <c r="E1772">
        <v>371</v>
      </c>
      <c r="F1772" s="11">
        <v>1</v>
      </c>
    </row>
    <row r="1773" spans="1:6" x14ac:dyDescent="0.35">
      <c r="A1773" t="s">
        <v>2856</v>
      </c>
      <c r="B1773" t="s">
        <v>2866</v>
      </c>
      <c r="C1773" t="s">
        <v>1545</v>
      </c>
      <c r="D1773" t="s">
        <v>2883</v>
      </c>
      <c r="E1773">
        <v>30</v>
      </c>
      <c r="F1773" s="11">
        <v>1</v>
      </c>
    </row>
    <row r="1774" spans="1:6" x14ac:dyDescent="0.35">
      <c r="A1774" t="s">
        <v>2856</v>
      </c>
      <c r="B1774" t="s">
        <v>2866</v>
      </c>
      <c r="C1774" t="s">
        <v>1545</v>
      </c>
      <c r="D1774" t="s">
        <v>2884</v>
      </c>
      <c r="E1774">
        <v>0</v>
      </c>
      <c r="F1774" s="11">
        <v>1</v>
      </c>
    </row>
    <row r="1775" spans="1:6" x14ac:dyDescent="0.35">
      <c r="A1775" t="s">
        <v>2856</v>
      </c>
      <c r="B1775" t="s">
        <v>2866</v>
      </c>
      <c r="C1775" t="s">
        <v>1545</v>
      </c>
      <c r="D1775" t="s">
        <v>2885</v>
      </c>
      <c r="E1775">
        <v>27</v>
      </c>
      <c r="F1775" s="11">
        <v>0</v>
      </c>
    </row>
    <row r="1776" spans="1:6" x14ac:dyDescent="0.35">
      <c r="A1776" t="s">
        <v>2856</v>
      </c>
      <c r="B1776" t="s">
        <v>2866</v>
      </c>
      <c r="C1776" t="s">
        <v>1545</v>
      </c>
      <c r="D1776" t="s">
        <v>2886</v>
      </c>
      <c r="E1776">
        <v>0</v>
      </c>
      <c r="F1776" s="11">
        <v>0</v>
      </c>
    </row>
    <row r="1777" spans="1:6" x14ac:dyDescent="0.35">
      <c r="A1777" t="s">
        <v>2856</v>
      </c>
      <c r="B1777" t="s">
        <v>2866</v>
      </c>
      <c r="C1777" t="s">
        <v>1545</v>
      </c>
      <c r="D1777" t="s">
        <v>2887</v>
      </c>
      <c r="E1777">
        <v>107333</v>
      </c>
      <c r="F1777" s="11">
        <v>1</v>
      </c>
    </row>
    <row r="1778" spans="1:6" x14ac:dyDescent="0.35">
      <c r="A1778" t="s">
        <v>2856</v>
      </c>
      <c r="B1778" t="s">
        <v>2866</v>
      </c>
      <c r="C1778" t="s">
        <v>1545</v>
      </c>
      <c r="D1778" t="s">
        <v>2888</v>
      </c>
      <c r="E1778">
        <v>27803</v>
      </c>
      <c r="F1778" s="11">
        <v>0</v>
      </c>
    </row>
    <row r="1779" spans="1:6" x14ac:dyDescent="0.35">
      <c r="A1779" t="s">
        <v>2856</v>
      </c>
      <c r="B1779" t="s">
        <v>2866</v>
      </c>
      <c r="C1779" t="s">
        <v>1545</v>
      </c>
      <c r="D1779" t="s">
        <v>2889</v>
      </c>
      <c r="E1779">
        <v>48142</v>
      </c>
      <c r="F1779" s="11">
        <v>0</v>
      </c>
    </row>
    <row r="1780" spans="1:6" x14ac:dyDescent="0.35">
      <c r="A1780" t="s">
        <v>2856</v>
      </c>
      <c r="B1780" t="s">
        <v>2866</v>
      </c>
      <c r="C1780" t="s">
        <v>1545</v>
      </c>
      <c r="D1780" t="s">
        <v>2890</v>
      </c>
      <c r="E1780">
        <v>6734</v>
      </c>
      <c r="F1780" s="11">
        <v>0</v>
      </c>
    </row>
    <row r="1781" spans="1:6" x14ac:dyDescent="0.35">
      <c r="A1781" t="s">
        <v>2856</v>
      </c>
      <c r="B1781" t="s">
        <v>2866</v>
      </c>
      <c r="C1781" t="s">
        <v>1545</v>
      </c>
      <c r="D1781" t="s">
        <v>2891</v>
      </c>
      <c r="E1781">
        <v>10170</v>
      </c>
      <c r="F1781" s="11">
        <v>1</v>
      </c>
    </row>
    <row r="1782" spans="1:6" x14ac:dyDescent="0.35">
      <c r="A1782" t="s">
        <v>2856</v>
      </c>
      <c r="B1782" t="s">
        <v>2866</v>
      </c>
      <c r="C1782" t="s">
        <v>1545</v>
      </c>
      <c r="D1782" t="s">
        <v>2892</v>
      </c>
      <c r="E1782">
        <v>0</v>
      </c>
      <c r="F1782" s="11">
        <v>0</v>
      </c>
    </row>
    <row r="1783" spans="1:6" x14ac:dyDescent="0.35">
      <c r="A1783" t="s">
        <v>2856</v>
      </c>
      <c r="B1783" t="s">
        <v>2866</v>
      </c>
      <c r="C1783" t="s">
        <v>1545</v>
      </c>
      <c r="D1783" t="s">
        <v>2893</v>
      </c>
      <c r="E1783">
        <v>10162</v>
      </c>
      <c r="F1783" s="11">
        <v>0</v>
      </c>
    </row>
    <row r="1784" spans="1:6" x14ac:dyDescent="0.35">
      <c r="A1784" t="s">
        <v>2856</v>
      </c>
      <c r="B1784" t="s">
        <v>2866</v>
      </c>
      <c r="C1784" t="s">
        <v>1545</v>
      </c>
      <c r="D1784" t="s">
        <v>2894</v>
      </c>
      <c r="E1784">
        <v>8</v>
      </c>
      <c r="F1784" s="11">
        <v>0</v>
      </c>
    </row>
    <row r="1785" spans="1:6" x14ac:dyDescent="0.35">
      <c r="A1785" t="s">
        <v>2856</v>
      </c>
      <c r="B1785" t="s">
        <v>2866</v>
      </c>
      <c r="C1785" t="s">
        <v>1545</v>
      </c>
      <c r="D1785" t="s">
        <v>2895</v>
      </c>
      <c r="E1785">
        <v>754221</v>
      </c>
      <c r="F1785" s="11">
        <v>1</v>
      </c>
    </row>
    <row r="1786" spans="1:6" x14ac:dyDescent="0.35">
      <c r="A1786" t="s">
        <v>2856</v>
      </c>
      <c r="B1786" t="s">
        <v>2866</v>
      </c>
      <c r="C1786" t="s">
        <v>1545</v>
      </c>
      <c r="D1786" t="s">
        <v>2896</v>
      </c>
      <c r="E1786">
        <v>277228</v>
      </c>
      <c r="F1786" s="11">
        <v>1</v>
      </c>
    </row>
    <row r="1787" spans="1:6" x14ac:dyDescent="0.35">
      <c r="A1787" t="s">
        <v>2856</v>
      </c>
      <c r="B1787" t="s">
        <v>2866</v>
      </c>
      <c r="C1787" t="s">
        <v>1545</v>
      </c>
      <c r="D1787" t="s">
        <v>2897</v>
      </c>
      <c r="E1787">
        <v>458952</v>
      </c>
      <c r="F1787" s="11">
        <v>1</v>
      </c>
    </row>
    <row r="1788" spans="1:6" x14ac:dyDescent="0.35">
      <c r="A1788" t="s">
        <v>2856</v>
      </c>
      <c r="B1788" t="s">
        <v>2866</v>
      </c>
      <c r="C1788" t="s">
        <v>1545</v>
      </c>
      <c r="D1788" t="s">
        <v>2898</v>
      </c>
      <c r="E1788">
        <v>18021</v>
      </c>
      <c r="F1788" s="11">
        <v>1</v>
      </c>
    </row>
    <row r="1789" spans="1:6" x14ac:dyDescent="0.35">
      <c r="A1789" t="s">
        <v>2856</v>
      </c>
      <c r="B1789" t="s">
        <v>2866</v>
      </c>
      <c r="C1789" t="s">
        <v>1545</v>
      </c>
      <c r="D1789" t="s">
        <v>2899</v>
      </c>
      <c r="E1789">
        <v>10370</v>
      </c>
      <c r="F1789" s="11">
        <v>1</v>
      </c>
    </row>
    <row r="1790" spans="1:6" x14ac:dyDescent="0.35">
      <c r="A1790" t="s">
        <v>2856</v>
      </c>
      <c r="B1790" t="s">
        <v>2866</v>
      </c>
      <c r="C1790" t="s">
        <v>1545</v>
      </c>
      <c r="D1790" t="s">
        <v>2900</v>
      </c>
      <c r="E1790">
        <v>8181</v>
      </c>
      <c r="F1790" s="11">
        <v>1</v>
      </c>
    </row>
    <row r="1791" spans="1:6" x14ac:dyDescent="0.35">
      <c r="A1791" t="s">
        <v>2856</v>
      </c>
      <c r="B1791" t="s">
        <v>2866</v>
      </c>
      <c r="C1791" t="s">
        <v>1545</v>
      </c>
      <c r="D1791" t="s">
        <v>2901</v>
      </c>
      <c r="E1791">
        <v>2189</v>
      </c>
      <c r="F1791" s="11">
        <v>0</v>
      </c>
    </row>
    <row r="1792" spans="1:6" x14ac:dyDescent="0.35">
      <c r="A1792" t="s">
        <v>2856</v>
      </c>
      <c r="B1792" t="s">
        <v>2866</v>
      </c>
      <c r="C1792" t="s">
        <v>1545</v>
      </c>
      <c r="D1792" t="s">
        <v>2902</v>
      </c>
      <c r="E1792">
        <v>0</v>
      </c>
      <c r="F1792" s="11">
        <v>1</v>
      </c>
    </row>
    <row r="1793" spans="1:6" x14ac:dyDescent="0.35">
      <c r="A1793" t="s">
        <v>2856</v>
      </c>
      <c r="B1793" t="s">
        <v>2866</v>
      </c>
      <c r="C1793" t="s">
        <v>1545</v>
      </c>
      <c r="D1793" t="s">
        <v>2903</v>
      </c>
      <c r="E1793">
        <v>25756</v>
      </c>
      <c r="F1793" s="11">
        <v>1</v>
      </c>
    </row>
    <row r="1794" spans="1:6" x14ac:dyDescent="0.35">
      <c r="A1794" t="s">
        <v>2856</v>
      </c>
      <c r="B1794" t="s">
        <v>2866</v>
      </c>
      <c r="C1794" t="s">
        <v>1545</v>
      </c>
      <c r="D1794" t="s">
        <v>2904</v>
      </c>
      <c r="E1794">
        <v>21120</v>
      </c>
      <c r="F1794" s="11">
        <v>1</v>
      </c>
    </row>
    <row r="1795" spans="1:6" x14ac:dyDescent="0.35">
      <c r="A1795" t="s">
        <v>2856</v>
      </c>
      <c r="B1795" t="s">
        <v>2866</v>
      </c>
      <c r="C1795" t="s">
        <v>1545</v>
      </c>
      <c r="D1795" t="s">
        <v>2905</v>
      </c>
      <c r="E1795">
        <v>3517</v>
      </c>
      <c r="F1795" s="11">
        <v>1</v>
      </c>
    </row>
    <row r="1796" spans="1:6" x14ac:dyDescent="0.35">
      <c r="A1796" t="s">
        <v>2856</v>
      </c>
      <c r="B1796" t="s">
        <v>2866</v>
      </c>
      <c r="C1796" t="s">
        <v>1545</v>
      </c>
      <c r="D1796" t="s">
        <v>2906</v>
      </c>
      <c r="E1796">
        <v>1119</v>
      </c>
      <c r="F1796" s="11">
        <v>1</v>
      </c>
    </row>
    <row r="1797" spans="1:6" x14ac:dyDescent="0.35">
      <c r="A1797" t="s">
        <v>2856</v>
      </c>
      <c r="B1797" t="s">
        <v>2866</v>
      </c>
      <c r="C1797" t="s">
        <v>1545</v>
      </c>
      <c r="D1797" t="s">
        <v>2907</v>
      </c>
      <c r="E1797">
        <v>45980</v>
      </c>
      <c r="F1797" s="11">
        <v>1</v>
      </c>
    </row>
    <row r="1798" spans="1:6" x14ac:dyDescent="0.35">
      <c r="A1798" t="s">
        <v>2856</v>
      </c>
      <c r="B1798" t="s">
        <v>2866</v>
      </c>
      <c r="C1798" t="s">
        <v>1545</v>
      </c>
      <c r="D1798" t="s">
        <v>2908</v>
      </c>
      <c r="E1798">
        <v>36048</v>
      </c>
      <c r="F1798" s="11">
        <v>1</v>
      </c>
    </row>
    <row r="1799" spans="1:6" x14ac:dyDescent="0.35">
      <c r="A1799" t="s">
        <v>2856</v>
      </c>
      <c r="B1799" t="s">
        <v>2866</v>
      </c>
      <c r="C1799" t="s">
        <v>1545</v>
      </c>
      <c r="D1799" t="s">
        <v>2909</v>
      </c>
      <c r="E1799">
        <v>8360</v>
      </c>
      <c r="F1799" s="11">
        <v>1</v>
      </c>
    </row>
    <row r="1800" spans="1:6" x14ac:dyDescent="0.35">
      <c r="A1800" t="s">
        <v>2856</v>
      </c>
      <c r="B1800" t="s">
        <v>2866</v>
      </c>
      <c r="C1800" t="s">
        <v>1545</v>
      </c>
      <c r="D1800" t="s">
        <v>2910</v>
      </c>
      <c r="E1800">
        <v>1572</v>
      </c>
      <c r="F1800" s="11">
        <v>1</v>
      </c>
    </row>
    <row r="1801" spans="1:6" x14ac:dyDescent="0.35">
      <c r="A1801" t="s">
        <v>2856</v>
      </c>
      <c r="B1801" t="s">
        <v>2866</v>
      </c>
      <c r="C1801" t="s">
        <v>1545</v>
      </c>
      <c r="D1801" t="s">
        <v>2911</v>
      </c>
      <c r="E1801">
        <v>857275</v>
      </c>
      <c r="F1801" s="11">
        <v>1</v>
      </c>
    </row>
    <row r="1802" spans="1:6" x14ac:dyDescent="0.35">
      <c r="A1802" t="s">
        <v>2856</v>
      </c>
      <c r="B1802" t="s">
        <v>2866</v>
      </c>
      <c r="C1802" t="s">
        <v>1545</v>
      </c>
      <c r="D1802" t="s">
        <v>2912</v>
      </c>
      <c r="E1802">
        <v>222780</v>
      </c>
      <c r="F1802" s="11">
        <v>1</v>
      </c>
    </row>
    <row r="1803" spans="1:6" x14ac:dyDescent="0.35">
      <c r="A1803" t="s">
        <v>2856</v>
      </c>
      <c r="B1803" t="s">
        <v>2866</v>
      </c>
      <c r="C1803" t="s">
        <v>1545</v>
      </c>
      <c r="D1803" t="s">
        <v>2913</v>
      </c>
      <c r="E1803">
        <v>0</v>
      </c>
      <c r="F1803" s="11">
        <v>0</v>
      </c>
    </row>
    <row r="1804" spans="1:6" x14ac:dyDescent="0.35">
      <c r="A1804" t="s">
        <v>2856</v>
      </c>
      <c r="B1804" t="s">
        <v>2866</v>
      </c>
      <c r="C1804" t="s">
        <v>1545</v>
      </c>
      <c r="D1804" t="s">
        <v>2914</v>
      </c>
      <c r="E1804">
        <v>9645</v>
      </c>
      <c r="F1804" s="11">
        <v>1</v>
      </c>
    </row>
    <row r="1805" spans="1:6" x14ac:dyDescent="0.35">
      <c r="A1805" t="s">
        <v>2856</v>
      </c>
      <c r="B1805" t="s">
        <v>2866</v>
      </c>
      <c r="C1805" t="s">
        <v>1545</v>
      </c>
      <c r="D1805" t="s">
        <v>2915</v>
      </c>
      <c r="E1805">
        <v>988</v>
      </c>
      <c r="F1805" s="11">
        <v>1</v>
      </c>
    </row>
    <row r="1806" spans="1:6" x14ac:dyDescent="0.35">
      <c r="A1806" t="s">
        <v>2856</v>
      </c>
      <c r="B1806" t="s">
        <v>2866</v>
      </c>
      <c r="C1806" t="s">
        <v>1545</v>
      </c>
      <c r="D1806" t="s">
        <v>2916</v>
      </c>
      <c r="E1806">
        <v>109691</v>
      </c>
      <c r="F1806" s="11">
        <v>1</v>
      </c>
    </row>
    <row r="1807" spans="1:6" x14ac:dyDescent="0.35">
      <c r="A1807" t="s">
        <v>2856</v>
      </c>
      <c r="B1807" t="s">
        <v>2866</v>
      </c>
      <c r="C1807" t="s">
        <v>1545</v>
      </c>
      <c r="D1807" t="s">
        <v>2917</v>
      </c>
      <c r="E1807">
        <v>0</v>
      </c>
      <c r="F1807" s="11">
        <v>0</v>
      </c>
    </row>
    <row r="1808" spans="1:6" x14ac:dyDescent="0.35">
      <c r="A1808" t="s">
        <v>2856</v>
      </c>
      <c r="B1808" t="s">
        <v>2864</v>
      </c>
      <c r="C1808" t="s">
        <v>1530</v>
      </c>
      <c r="D1808" t="s">
        <v>2875</v>
      </c>
      <c r="E1808">
        <v>9696</v>
      </c>
      <c r="F1808" s="11">
        <v>1</v>
      </c>
    </row>
    <row r="1809" spans="1:6" x14ac:dyDescent="0.35">
      <c r="A1809" t="s">
        <v>2856</v>
      </c>
      <c r="B1809" t="s">
        <v>2864</v>
      </c>
      <c r="C1809" t="s">
        <v>1530</v>
      </c>
      <c r="D1809" t="s">
        <v>2876</v>
      </c>
      <c r="E1809">
        <v>0</v>
      </c>
      <c r="F1809" s="11">
        <v>1</v>
      </c>
    </row>
    <row r="1810" spans="1:6" x14ac:dyDescent="0.35">
      <c r="A1810" t="s">
        <v>2856</v>
      </c>
      <c r="B1810" t="s">
        <v>2864</v>
      </c>
      <c r="C1810" t="s">
        <v>1530</v>
      </c>
      <c r="D1810" t="s">
        <v>2877</v>
      </c>
      <c r="E1810">
        <v>0</v>
      </c>
      <c r="F1810" s="11">
        <v>0</v>
      </c>
    </row>
    <row r="1811" spans="1:6" x14ac:dyDescent="0.35">
      <c r="A1811" t="s">
        <v>2856</v>
      </c>
      <c r="B1811" t="s">
        <v>2864</v>
      </c>
      <c r="C1811" t="s">
        <v>1530</v>
      </c>
      <c r="D1811" t="s">
        <v>2878</v>
      </c>
      <c r="E1811">
        <v>0</v>
      </c>
      <c r="F1811" s="11">
        <v>1</v>
      </c>
    </row>
    <row r="1812" spans="1:6" x14ac:dyDescent="0.35">
      <c r="A1812" t="s">
        <v>2856</v>
      </c>
      <c r="B1812" t="s">
        <v>2864</v>
      </c>
      <c r="C1812" t="s">
        <v>1530</v>
      </c>
      <c r="D1812" t="s">
        <v>2879</v>
      </c>
      <c r="E1812">
        <v>3492</v>
      </c>
      <c r="F1812" s="11">
        <v>1</v>
      </c>
    </row>
    <row r="1813" spans="1:6" x14ac:dyDescent="0.35">
      <c r="A1813" t="s">
        <v>2856</v>
      </c>
      <c r="B1813" t="s">
        <v>2864</v>
      </c>
      <c r="C1813" t="s">
        <v>1530</v>
      </c>
      <c r="D1813" t="s">
        <v>2880</v>
      </c>
      <c r="E1813">
        <v>1573</v>
      </c>
      <c r="F1813" s="11">
        <v>1</v>
      </c>
    </row>
    <row r="1814" spans="1:6" x14ac:dyDescent="0.35">
      <c r="A1814" t="s">
        <v>2856</v>
      </c>
      <c r="B1814" t="s">
        <v>2864</v>
      </c>
      <c r="C1814" t="s">
        <v>1530</v>
      </c>
      <c r="D1814" t="s">
        <v>2881</v>
      </c>
      <c r="E1814">
        <v>919</v>
      </c>
      <c r="F1814" s="11">
        <v>0</v>
      </c>
    </row>
    <row r="1815" spans="1:6" x14ac:dyDescent="0.35">
      <c r="A1815" t="s">
        <v>2856</v>
      </c>
      <c r="B1815" t="s">
        <v>2864</v>
      </c>
      <c r="C1815" t="s">
        <v>1530</v>
      </c>
      <c r="D1815" t="s">
        <v>2882</v>
      </c>
      <c r="E1815">
        <v>0</v>
      </c>
      <c r="F1815" s="11">
        <v>1</v>
      </c>
    </row>
    <row r="1816" spans="1:6" x14ac:dyDescent="0.35">
      <c r="A1816" t="s">
        <v>2856</v>
      </c>
      <c r="B1816" t="s">
        <v>2864</v>
      </c>
      <c r="C1816" t="s">
        <v>1530</v>
      </c>
      <c r="D1816" t="s">
        <v>2883</v>
      </c>
      <c r="E1816">
        <v>0</v>
      </c>
      <c r="F1816" s="11">
        <v>0</v>
      </c>
    </row>
    <row r="1817" spans="1:6" x14ac:dyDescent="0.35">
      <c r="A1817" t="s">
        <v>2856</v>
      </c>
      <c r="B1817" t="s">
        <v>2864</v>
      </c>
      <c r="C1817" t="s">
        <v>1530</v>
      </c>
      <c r="D1817" t="s">
        <v>2884</v>
      </c>
      <c r="E1817">
        <v>0</v>
      </c>
      <c r="F1817" s="11">
        <v>0</v>
      </c>
    </row>
    <row r="1818" spans="1:6" x14ac:dyDescent="0.35">
      <c r="A1818" t="s">
        <v>2856</v>
      </c>
      <c r="B1818" t="s">
        <v>2864</v>
      </c>
      <c r="C1818" t="s">
        <v>1530</v>
      </c>
      <c r="D1818" t="s">
        <v>2885</v>
      </c>
      <c r="E1818">
        <v>0</v>
      </c>
      <c r="F1818" s="11">
        <v>0</v>
      </c>
    </row>
    <row r="1819" spans="1:6" x14ac:dyDescent="0.35">
      <c r="A1819" t="s">
        <v>2856</v>
      </c>
      <c r="B1819" t="s">
        <v>2864</v>
      </c>
      <c r="C1819" t="s">
        <v>1530</v>
      </c>
      <c r="D1819" t="s">
        <v>2886</v>
      </c>
      <c r="E1819">
        <v>0</v>
      </c>
      <c r="F1819" s="11">
        <v>0</v>
      </c>
    </row>
    <row r="1820" spans="1:6" x14ac:dyDescent="0.35">
      <c r="A1820" t="s">
        <v>2856</v>
      </c>
      <c r="B1820" t="s">
        <v>2864</v>
      </c>
      <c r="C1820" t="s">
        <v>1530</v>
      </c>
      <c r="D1820" t="s">
        <v>2887</v>
      </c>
      <c r="E1820">
        <v>28067</v>
      </c>
      <c r="F1820" s="11">
        <v>1</v>
      </c>
    </row>
    <row r="1821" spans="1:6" x14ac:dyDescent="0.35">
      <c r="A1821" t="s">
        <v>2856</v>
      </c>
      <c r="B1821" t="s">
        <v>2864</v>
      </c>
      <c r="C1821" t="s">
        <v>1530</v>
      </c>
      <c r="D1821" t="s">
        <v>2888</v>
      </c>
      <c r="E1821">
        <v>15589</v>
      </c>
      <c r="F1821" s="11">
        <v>1</v>
      </c>
    </row>
    <row r="1822" spans="1:6" x14ac:dyDescent="0.35">
      <c r="A1822" t="s">
        <v>2856</v>
      </c>
      <c r="B1822" t="s">
        <v>2864</v>
      </c>
      <c r="C1822" t="s">
        <v>1530</v>
      </c>
      <c r="D1822" t="s">
        <v>2889</v>
      </c>
      <c r="E1822">
        <v>12478</v>
      </c>
      <c r="F1822" s="11">
        <v>0</v>
      </c>
    </row>
    <row r="1823" spans="1:6" x14ac:dyDescent="0.35">
      <c r="A1823" t="s">
        <v>2856</v>
      </c>
      <c r="B1823" t="s">
        <v>2864</v>
      </c>
      <c r="C1823" t="s">
        <v>1530</v>
      </c>
      <c r="D1823" t="s">
        <v>2890</v>
      </c>
      <c r="E1823">
        <v>0</v>
      </c>
      <c r="F1823" s="11">
        <v>1</v>
      </c>
    </row>
    <row r="1824" spans="1:6" x14ac:dyDescent="0.35">
      <c r="A1824" t="s">
        <v>2856</v>
      </c>
      <c r="B1824" t="s">
        <v>2864</v>
      </c>
      <c r="C1824" t="s">
        <v>1530</v>
      </c>
      <c r="D1824" t="s">
        <v>2891</v>
      </c>
      <c r="E1824">
        <v>0</v>
      </c>
      <c r="F1824" s="11">
        <v>0</v>
      </c>
    </row>
    <row r="1825" spans="1:6" x14ac:dyDescent="0.35">
      <c r="A1825" t="s">
        <v>2856</v>
      </c>
      <c r="B1825" t="s">
        <v>2864</v>
      </c>
      <c r="C1825" t="s">
        <v>1530</v>
      </c>
      <c r="D1825" t="s">
        <v>2892</v>
      </c>
      <c r="E1825">
        <v>0</v>
      </c>
      <c r="F1825" s="11">
        <v>0</v>
      </c>
    </row>
    <row r="1826" spans="1:6" x14ac:dyDescent="0.35">
      <c r="A1826" t="s">
        <v>2856</v>
      </c>
      <c r="B1826" t="s">
        <v>2864</v>
      </c>
      <c r="C1826" t="s">
        <v>1530</v>
      </c>
      <c r="D1826" t="s">
        <v>2893</v>
      </c>
      <c r="E1826">
        <v>0</v>
      </c>
      <c r="F1826" s="11">
        <v>0</v>
      </c>
    </row>
    <row r="1827" spans="1:6" x14ac:dyDescent="0.35">
      <c r="A1827" t="s">
        <v>2856</v>
      </c>
      <c r="B1827" t="s">
        <v>2864</v>
      </c>
      <c r="C1827" t="s">
        <v>1530</v>
      </c>
      <c r="D1827" t="s">
        <v>2894</v>
      </c>
      <c r="E1827">
        <v>0</v>
      </c>
      <c r="F1827" s="11">
        <v>0</v>
      </c>
    </row>
    <row r="1828" spans="1:6" x14ac:dyDescent="0.35">
      <c r="A1828" t="s">
        <v>2856</v>
      </c>
      <c r="B1828" t="s">
        <v>2864</v>
      </c>
      <c r="C1828" t="s">
        <v>1530</v>
      </c>
      <c r="D1828" t="s">
        <v>2895</v>
      </c>
      <c r="E1828">
        <v>312222</v>
      </c>
      <c r="F1828" s="11">
        <v>1</v>
      </c>
    </row>
    <row r="1829" spans="1:6" x14ac:dyDescent="0.35">
      <c r="A1829" t="s">
        <v>2856</v>
      </c>
      <c r="B1829" t="s">
        <v>2864</v>
      </c>
      <c r="C1829" t="s">
        <v>1530</v>
      </c>
      <c r="D1829" t="s">
        <v>2896</v>
      </c>
      <c r="E1829">
        <v>221536</v>
      </c>
      <c r="F1829" s="11">
        <v>1</v>
      </c>
    </row>
    <row r="1830" spans="1:6" x14ac:dyDescent="0.35">
      <c r="A1830" t="s">
        <v>2856</v>
      </c>
      <c r="B1830" t="s">
        <v>2864</v>
      </c>
      <c r="C1830" t="s">
        <v>1530</v>
      </c>
      <c r="D1830" t="s">
        <v>2897</v>
      </c>
      <c r="E1830">
        <v>87081</v>
      </c>
      <c r="F1830" s="11">
        <v>1</v>
      </c>
    </row>
    <row r="1831" spans="1:6" x14ac:dyDescent="0.35">
      <c r="A1831" t="s">
        <v>2856</v>
      </c>
      <c r="B1831" t="s">
        <v>2864</v>
      </c>
      <c r="C1831" t="s">
        <v>1530</v>
      </c>
      <c r="D1831" t="s">
        <v>2898</v>
      </c>
      <c r="E1831">
        <v>3605</v>
      </c>
      <c r="F1831" s="11">
        <v>1</v>
      </c>
    </row>
    <row r="1832" spans="1:6" x14ac:dyDescent="0.35">
      <c r="A1832" t="s">
        <v>2856</v>
      </c>
      <c r="B1832" t="s">
        <v>2864</v>
      </c>
      <c r="C1832" t="s">
        <v>1530</v>
      </c>
      <c r="D1832" t="s">
        <v>2899</v>
      </c>
      <c r="E1832">
        <v>5777</v>
      </c>
      <c r="F1832" s="11">
        <v>1</v>
      </c>
    </row>
    <row r="1833" spans="1:6" x14ac:dyDescent="0.35">
      <c r="A1833" t="s">
        <v>2856</v>
      </c>
      <c r="B1833" t="s">
        <v>2864</v>
      </c>
      <c r="C1833" t="s">
        <v>1530</v>
      </c>
      <c r="D1833" t="s">
        <v>2900</v>
      </c>
      <c r="E1833">
        <v>5545</v>
      </c>
      <c r="F1833" s="11">
        <v>1</v>
      </c>
    </row>
    <row r="1834" spans="1:6" x14ac:dyDescent="0.35">
      <c r="A1834" t="s">
        <v>2856</v>
      </c>
      <c r="B1834" t="s">
        <v>2864</v>
      </c>
      <c r="C1834" t="s">
        <v>1530</v>
      </c>
      <c r="D1834" t="s">
        <v>2901</v>
      </c>
      <c r="E1834">
        <v>247</v>
      </c>
      <c r="F1834" s="11">
        <v>1</v>
      </c>
    </row>
    <row r="1835" spans="1:6" x14ac:dyDescent="0.35">
      <c r="A1835" t="s">
        <v>2856</v>
      </c>
      <c r="B1835" t="s">
        <v>2864</v>
      </c>
      <c r="C1835" t="s">
        <v>1530</v>
      </c>
      <c r="D1835" t="s">
        <v>2902</v>
      </c>
      <c r="E1835">
        <v>3</v>
      </c>
      <c r="F1835" s="11">
        <v>1</v>
      </c>
    </row>
    <row r="1836" spans="1:6" x14ac:dyDescent="0.35">
      <c r="A1836" t="s">
        <v>2856</v>
      </c>
      <c r="B1836" t="s">
        <v>2864</v>
      </c>
      <c r="C1836" t="s">
        <v>1530</v>
      </c>
      <c r="D1836" t="s">
        <v>2903</v>
      </c>
      <c r="E1836">
        <v>13584</v>
      </c>
      <c r="F1836" s="11">
        <v>1</v>
      </c>
    </row>
    <row r="1837" spans="1:6" x14ac:dyDescent="0.35">
      <c r="A1837" t="s">
        <v>2856</v>
      </c>
      <c r="B1837" t="s">
        <v>2864</v>
      </c>
      <c r="C1837" t="s">
        <v>1530</v>
      </c>
      <c r="D1837" t="s">
        <v>2904</v>
      </c>
      <c r="E1837">
        <v>0</v>
      </c>
      <c r="F1837" s="11">
        <v>0</v>
      </c>
    </row>
    <row r="1838" spans="1:6" x14ac:dyDescent="0.35">
      <c r="A1838" t="s">
        <v>2856</v>
      </c>
      <c r="B1838" t="s">
        <v>2864</v>
      </c>
      <c r="C1838" t="s">
        <v>1530</v>
      </c>
      <c r="D1838" t="s">
        <v>2905</v>
      </c>
      <c r="E1838">
        <v>0</v>
      </c>
      <c r="F1838" s="11">
        <v>0</v>
      </c>
    </row>
    <row r="1839" spans="1:6" x14ac:dyDescent="0.35">
      <c r="A1839" t="s">
        <v>2856</v>
      </c>
      <c r="B1839" t="s">
        <v>2864</v>
      </c>
      <c r="C1839" t="s">
        <v>1530</v>
      </c>
      <c r="D1839" t="s">
        <v>2906</v>
      </c>
      <c r="E1839">
        <v>0</v>
      </c>
      <c r="F1839" s="11">
        <v>0</v>
      </c>
    </row>
    <row r="1840" spans="1:6" x14ac:dyDescent="0.35">
      <c r="A1840" t="s">
        <v>2856</v>
      </c>
      <c r="B1840" t="s">
        <v>2864</v>
      </c>
      <c r="C1840" t="s">
        <v>1530</v>
      </c>
      <c r="D1840" t="s">
        <v>2907</v>
      </c>
      <c r="E1840">
        <v>30381</v>
      </c>
      <c r="F1840" s="11">
        <v>1</v>
      </c>
    </row>
    <row r="1841" spans="1:6" x14ac:dyDescent="0.35">
      <c r="A1841" t="s">
        <v>2856</v>
      </c>
      <c r="B1841" t="s">
        <v>2864</v>
      </c>
      <c r="C1841" t="s">
        <v>1530</v>
      </c>
      <c r="D1841" t="s">
        <v>2908</v>
      </c>
      <c r="E1841">
        <v>0</v>
      </c>
      <c r="F1841" s="11">
        <v>0</v>
      </c>
    </row>
    <row r="1842" spans="1:6" x14ac:dyDescent="0.35">
      <c r="A1842" t="s">
        <v>2856</v>
      </c>
      <c r="B1842" t="s">
        <v>2864</v>
      </c>
      <c r="C1842" t="s">
        <v>1530</v>
      </c>
      <c r="D1842" t="s">
        <v>2909</v>
      </c>
      <c r="E1842">
        <v>0</v>
      </c>
      <c r="F1842" s="11">
        <v>0</v>
      </c>
    </row>
    <row r="1843" spans="1:6" x14ac:dyDescent="0.35">
      <c r="A1843" t="s">
        <v>2856</v>
      </c>
      <c r="B1843" t="s">
        <v>2864</v>
      </c>
      <c r="C1843" t="s">
        <v>1530</v>
      </c>
      <c r="D1843" t="s">
        <v>2910</v>
      </c>
      <c r="E1843">
        <v>0</v>
      </c>
      <c r="F1843" s="11">
        <v>0</v>
      </c>
    </row>
    <row r="1844" spans="1:6" x14ac:dyDescent="0.35">
      <c r="A1844" t="s">
        <v>2856</v>
      </c>
      <c r="B1844" t="s">
        <v>2864</v>
      </c>
      <c r="C1844" t="s">
        <v>1530</v>
      </c>
      <c r="D1844" t="s">
        <v>2911</v>
      </c>
      <c r="E1844">
        <v>213766</v>
      </c>
      <c r="F1844" s="11">
        <v>1</v>
      </c>
    </row>
    <row r="1845" spans="1:6" x14ac:dyDescent="0.35">
      <c r="A1845" t="s">
        <v>2856</v>
      </c>
      <c r="B1845" t="s">
        <v>2864</v>
      </c>
      <c r="C1845" t="s">
        <v>1530</v>
      </c>
      <c r="D1845" t="s">
        <v>2912</v>
      </c>
      <c r="E1845">
        <v>190554</v>
      </c>
      <c r="F1845" s="11">
        <v>1</v>
      </c>
    </row>
    <row r="1846" spans="1:6" x14ac:dyDescent="0.35">
      <c r="A1846" t="s">
        <v>2856</v>
      </c>
      <c r="B1846" t="s">
        <v>2864</v>
      </c>
      <c r="C1846" t="s">
        <v>1530</v>
      </c>
      <c r="D1846" t="s">
        <v>2913</v>
      </c>
      <c r="E1846">
        <v>0</v>
      </c>
      <c r="F1846" s="11">
        <v>0</v>
      </c>
    </row>
    <row r="1847" spans="1:6" x14ac:dyDescent="0.35">
      <c r="A1847" t="s">
        <v>2856</v>
      </c>
      <c r="B1847" t="s">
        <v>2864</v>
      </c>
      <c r="C1847" t="s">
        <v>1530</v>
      </c>
      <c r="D1847" t="s">
        <v>2914</v>
      </c>
      <c r="E1847">
        <v>0</v>
      </c>
      <c r="F1847" s="11">
        <v>0</v>
      </c>
    </row>
    <row r="1848" spans="1:6" x14ac:dyDescent="0.35">
      <c r="A1848" t="s">
        <v>2856</v>
      </c>
      <c r="B1848" t="s">
        <v>2864</v>
      </c>
      <c r="C1848" t="s">
        <v>1530</v>
      </c>
      <c r="D1848" t="s">
        <v>2915</v>
      </c>
      <c r="E1848">
        <v>842</v>
      </c>
      <c r="F1848" s="11">
        <v>1</v>
      </c>
    </row>
    <row r="1849" spans="1:6" x14ac:dyDescent="0.35">
      <c r="A1849" t="s">
        <v>2856</v>
      </c>
      <c r="B1849" t="s">
        <v>2864</v>
      </c>
      <c r="C1849" t="s">
        <v>1530</v>
      </c>
      <c r="D1849" t="s">
        <v>2916</v>
      </c>
      <c r="E1849">
        <v>0</v>
      </c>
      <c r="F1849" s="11">
        <v>1</v>
      </c>
    </row>
    <row r="1850" spans="1:6" x14ac:dyDescent="0.35">
      <c r="A1850" t="s">
        <v>2856</v>
      </c>
      <c r="B1850" t="s">
        <v>2864</v>
      </c>
      <c r="C1850" t="s">
        <v>1530</v>
      </c>
      <c r="D1850" t="s">
        <v>2917</v>
      </c>
      <c r="E1850">
        <v>0</v>
      </c>
      <c r="F1850" s="11">
        <v>0</v>
      </c>
    </row>
    <row r="1851" spans="1:6" x14ac:dyDescent="0.35">
      <c r="A1851" t="s">
        <v>2856</v>
      </c>
      <c r="B1851" t="s">
        <v>2862</v>
      </c>
      <c r="C1851" t="s">
        <v>1493</v>
      </c>
      <c r="D1851" t="s">
        <v>2875</v>
      </c>
      <c r="E1851">
        <v>120725</v>
      </c>
      <c r="F1851" s="11">
        <v>1</v>
      </c>
    </row>
    <row r="1852" spans="1:6" x14ac:dyDescent="0.35">
      <c r="A1852" t="s">
        <v>2856</v>
      </c>
      <c r="B1852" t="s">
        <v>2862</v>
      </c>
      <c r="C1852" t="s">
        <v>1493</v>
      </c>
      <c r="D1852" t="s">
        <v>2876</v>
      </c>
      <c r="E1852">
        <v>62259</v>
      </c>
      <c r="F1852" s="11">
        <v>1</v>
      </c>
    </row>
    <row r="1853" spans="1:6" x14ac:dyDescent="0.35">
      <c r="A1853" t="s">
        <v>2856</v>
      </c>
      <c r="B1853" t="s">
        <v>2862</v>
      </c>
      <c r="C1853" t="s">
        <v>1493</v>
      </c>
      <c r="D1853" t="s">
        <v>2877</v>
      </c>
      <c r="E1853">
        <v>101500</v>
      </c>
      <c r="F1853" s="11">
        <v>1</v>
      </c>
    </row>
    <row r="1854" spans="1:6" x14ac:dyDescent="0.35">
      <c r="A1854" t="s">
        <v>2856</v>
      </c>
      <c r="B1854" t="s">
        <v>2862</v>
      </c>
      <c r="C1854" t="s">
        <v>1493</v>
      </c>
      <c r="D1854" t="s">
        <v>2878</v>
      </c>
      <c r="E1854">
        <v>18932</v>
      </c>
      <c r="F1854" s="11">
        <v>1</v>
      </c>
    </row>
    <row r="1855" spans="1:6" x14ac:dyDescent="0.35">
      <c r="A1855" t="s">
        <v>2856</v>
      </c>
      <c r="B1855" t="s">
        <v>2862</v>
      </c>
      <c r="C1855" t="s">
        <v>1493</v>
      </c>
      <c r="D1855" t="s">
        <v>2879</v>
      </c>
      <c r="E1855">
        <v>17544</v>
      </c>
      <c r="F1855" s="11">
        <v>1</v>
      </c>
    </row>
    <row r="1856" spans="1:6" x14ac:dyDescent="0.35">
      <c r="A1856" t="s">
        <v>2856</v>
      </c>
      <c r="B1856" t="s">
        <v>2862</v>
      </c>
      <c r="C1856" t="s">
        <v>1493</v>
      </c>
      <c r="D1856" t="s">
        <v>2880</v>
      </c>
      <c r="E1856">
        <v>9785</v>
      </c>
      <c r="F1856" s="11">
        <v>1</v>
      </c>
    </row>
    <row r="1857" spans="1:6" x14ac:dyDescent="0.35">
      <c r="A1857" t="s">
        <v>2856</v>
      </c>
      <c r="B1857" t="s">
        <v>2862</v>
      </c>
      <c r="C1857" t="s">
        <v>1493</v>
      </c>
      <c r="D1857" t="s">
        <v>2881</v>
      </c>
      <c r="E1857">
        <v>7737</v>
      </c>
      <c r="F1857" s="11">
        <v>1</v>
      </c>
    </row>
    <row r="1858" spans="1:6" x14ac:dyDescent="0.35">
      <c r="A1858" t="s">
        <v>2856</v>
      </c>
      <c r="B1858" t="s">
        <v>2862</v>
      </c>
      <c r="C1858" t="s">
        <v>1493</v>
      </c>
      <c r="D1858" t="s">
        <v>2882</v>
      </c>
      <c r="E1858">
        <v>22</v>
      </c>
      <c r="F1858" s="11">
        <v>1</v>
      </c>
    </row>
    <row r="1859" spans="1:6" x14ac:dyDescent="0.35">
      <c r="A1859" t="s">
        <v>2856</v>
      </c>
      <c r="B1859" t="s">
        <v>2862</v>
      </c>
      <c r="C1859" t="s">
        <v>1493</v>
      </c>
      <c r="D1859" t="s">
        <v>2883</v>
      </c>
      <c r="E1859">
        <v>0</v>
      </c>
      <c r="F1859" s="11">
        <v>1</v>
      </c>
    </row>
    <row r="1860" spans="1:6" x14ac:dyDescent="0.35">
      <c r="A1860" t="s">
        <v>2856</v>
      </c>
      <c r="B1860" t="s">
        <v>2862</v>
      </c>
      <c r="C1860" t="s">
        <v>1493</v>
      </c>
      <c r="D1860" t="s">
        <v>2884</v>
      </c>
      <c r="E1860">
        <v>0</v>
      </c>
      <c r="F1860" s="11">
        <v>1</v>
      </c>
    </row>
    <row r="1861" spans="1:6" x14ac:dyDescent="0.35">
      <c r="A1861" t="s">
        <v>2856</v>
      </c>
      <c r="B1861" t="s">
        <v>2862</v>
      </c>
      <c r="C1861" t="s">
        <v>1493</v>
      </c>
      <c r="D1861" t="s">
        <v>2885</v>
      </c>
      <c r="E1861">
        <v>0</v>
      </c>
      <c r="F1861" s="11">
        <v>0</v>
      </c>
    </row>
    <row r="1862" spans="1:6" x14ac:dyDescent="0.35">
      <c r="A1862" t="s">
        <v>2856</v>
      </c>
      <c r="B1862" t="s">
        <v>2862</v>
      </c>
      <c r="C1862" t="s">
        <v>1493</v>
      </c>
      <c r="D1862" t="s">
        <v>2886</v>
      </c>
      <c r="E1862">
        <v>0</v>
      </c>
      <c r="F1862" s="11">
        <v>1</v>
      </c>
    </row>
    <row r="1863" spans="1:6" x14ac:dyDescent="0.35">
      <c r="A1863" t="s">
        <v>2856</v>
      </c>
      <c r="B1863" t="s">
        <v>2862</v>
      </c>
      <c r="C1863" t="s">
        <v>1493</v>
      </c>
      <c r="D1863" t="s">
        <v>2887</v>
      </c>
      <c r="E1863">
        <v>212629</v>
      </c>
      <c r="F1863" s="11">
        <v>1</v>
      </c>
    </row>
    <row r="1864" spans="1:6" x14ac:dyDescent="0.35">
      <c r="A1864" t="s">
        <v>2856</v>
      </c>
      <c r="B1864" t="s">
        <v>2862</v>
      </c>
      <c r="C1864" t="s">
        <v>1493</v>
      </c>
      <c r="D1864" t="s">
        <v>2888</v>
      </c>
      <c r="E1864">
        <v>64123</v>
      </c>
      <c r="F1864" s="11">
        <v>1</v>
      </c>
    </row>
    <row r="1865" spans="1:6" x14ac:dyDescent="0.35">
      <c r="A1865" t="s">
        <v>2856</v>
      </c>
      <c r="B1865" t="s">
        <v>2862</v>
      </c>
      <c r="C1865" t="s">
        <v>1493</v>
      </c>
      <c r="D1865" t="s">
        <v>2889</v>
      </c>
      <c r="E1865">
        <v>148339</v>
      </c>
      <c r="F1865" s="11">
        <v>1</v>
      </c>
    </row>
    <row r="1866" spans="1:6" x14ac:dyDescent="0.35">
      <c r="A1866" t="s">
        <v>2856</v>
      </c>
      <c r="B1866" t="s">
        <v>2862</v>
      </c>
      <c r="C1866" t="s">
        <v>1493</v>
      </c>
      <c r="D1866" t="s">
        <v>2890</v>
      </c>
      <c r="E1866">
        <v>167</v>
      </c>
      <c r="F1866" s="11">
        <v>1</v>
      </c>
    </row>
    <row r="1867" spans="1:6" x14ac:dyDescent="0.35">
      <c r="A1867" t="s">
        <v>2856</v>
      </c>
      <c r="B1867" t="s">
        <v>2862</v>
      </c>
      <c r="C1867" t="s">
        <v>1493</v>
      </c>
      <c r="D1867" t="s">
        <v>2891</v>
      </c>
      <c r="E1867">
        <v>0</v>
      </c>
      <c r="F1867" s="11">
        <v>1</v>
      </c>
    </row>
    <row r="1868" spans="1:6" x14ac:dyDescent="0.35">
      <c r="A1868" t="s">
        <v>2856</v>
      </c>
      <c r="B1868" t="s">
        <v>2862</v>
      </c>
      <c r="C1868" t="s">
        <v>1493</v>
      </c>
      <c r="D1868" t="s">
        <v>2892</v>
      </c>
      <c r="E1868">
        <v>0</v>
      </c>
      <c r="F1868" s="11">
        <v>1</v>
      </c>
    </row>
    <row r="1869" spans="1:6" x14ac:dyDescent="0.35">
      <c r="A1869" t="s">
        <v>2856</v>
      </c>
      <c r="B1869" t="s">
        <v>2862</v>
      </c>
      <c r="C1869" t="s">
        <v>1493</v>
      </c>
      <c r="D1869" t="s">
        <v>2893</v>
      </c>
      <c r="E1869">
        <v>0</v>
      </c>
      <c r="F1869" s="11">
        <v>0</v>
      </c>
    </row>
    <row r="1870" spans="1:6" x14ac:dyDescent="0.35">
      <c r="A1870" t="s">
        <v>2856</v>
      </c>
      <c r="B1870" t="s">
        <v>2862</v>
      </c>
      <c r="C1870" t="s">
        <v>1493</v>
      </c>
      <c r="D1870" t="s">
        <v>2894</v>
      </c>
      <c r="E1870">
        <v>0</v>
      </c>
      <c r="F1870" s="11">
        <v>1</v>
      </c>
    </row>
    <row r="1871" spans="1:6" x14ac:dyDescent="0.35">
      <c r="A1871" t="s">
        <v>2856</v>
      </c>
      <c r="B1871" t="s">
        <v>2862</v>
      </c>
      <c r="C1871" t="s">
        <v>1493</v>
      </c>
      <c r="D1871" t="s">
        <v>2895</v>
      </c>
      <c r="E1871">
        <v>2956410</v>
      </c>
      <c r="F1871" s="11">
        <v>1</v>
      </c>
    </row>
    <row r="1872" spans="1:6" x14ac:dyDescent="0.35">
      <c r="A1872" t="s">
        <v>2856</v>
      </c>
      <c r="B1872" t="s">
        <v>2862</v>
      </c>
      <c r="C1872" t="s">
        <v>1493</v>
      </c>
      <c r="D1872" t="s">
        <v>2896</v>
      </c>
      <c r="E1872">
        <v>1312545</v>
      </c>
      <c r="F1872" s="11">
        <v>1</v>
      </c>
    </row>
    <row r="1873" spans="1:6" x14ac:dyDescent="0.35">
      <c r="A1873" t="s">
        <v>2856</v>
      </c>
      <c r="B1873" t="s">
        <v>2862</v>
      </c>
      <c r="C1873" t="s">
        <v>1493</v>
      </c>
      <c r="D1873" t="s">
        <v>2897</v>
      </c>
      <c r="E1873">
        <v>1620382</v>
      </c>
      <c r="F1873" s="11">
        <v>1</v>
      </c>
    </row>
    <row r="1874" spans="1:6" x14ac:dyDescent="0.35">
      <c r="A1874" t="s">
        <v>2856</v>
      </c>
      <c r="B1874" t="s">
        <v>2862</v>
      </c>
      <c r="C1874" t="s">
        <v>1493</v>
      </c>
      <c r="D1874" t="s">
        <v>2898</v>
      </c>
      <c r="E1874">
        <v>23483</v>
      </c>
      <c r="F1874" s="11">
        <v>1</v>
      </c>
    </row>
    <row r="1875" spans="1:6" x14ac:dyDescent="0.35">
      <c r="A1875" t="s">
        <v>2856</v>
      </c>
      <c r="B1875" t="s">
        <v>2862</v>
      </c>
      <c r="C1875" t="s">
        <v>1493</v>
      </c>
      <c r="D1875" t="s">
        <v>2899</v>
      </c>
      <c r="E1875">
        <v>39736</v>
      </c>
      <c r="F1875" s="11">
        <v>1</v>
      </c>
    </row>
    <row r="1876" spans="1:6" x14ac:dyDescent="0.35">
      <c r="A1876" t="s">
        <v>2856</v>
      </c>
      <c r="B1876" t="s">
        <v>2862</v>
      </c>
      <c r="C1876" t="s">
        <v>1493</v>
      </c>
      <c r="D1876" t="s">
        <v>2900</v>
      </c>
      <c r="E1876">
        <v>35948</v>
      </c>
      <c r="F1876" s="11">
        <v>1</v>
      </c>
    </row>
    <row r="1877" spans="1:6" x14ac:dyDescent="0.35">
      <c r="A1877" t="s">
        <v>2856</v>
      </c>
      <c r="B1877" t="s">
        <v>2862</v>
      </c>
      <c r="C1877" t="s">
        <v>1493</v>
      </c>
      <c r="D1877" t="s">
        <v>2901</v>
      </c>
      <c r="E1877">
        <v>3762</v>
      </c>
      <c r="F1877" s="11">
        <v>1</v>
      </c>
    </row>
    <row r="1878" spans="1:6" x14ac:dyDescent="0.35">
      <c r="A1878" t="s">
        <v>2856</v>
      </c>
      <c r="B1878" t="s">
        <v>2862</v>
      </c>
      <c r="C1878" t="s">
        <v>1493</v>
      </c>
      <c r="D1878" t="s">
        <v>2902</v>
      </c>
      <c r="E1878">
        <v>26</v>
      </c>
      <c r="F1878" s="11">
        <v>1</v>
      </c>
    </row>
    <row r="1879" spans="1:6" x14ac:dyDescent="0.35">
      <c r="A1879" t="s">
        <v>2856</v>
      </c>
      <c r="B1879" t="s">
        <v>2862</v>
      </c>
      <c r="C1879" t="s">
        <v>1493</v>
      </c>
      <c r="D1879" t="s">
        <v>2903</v>
      </c>
      <c r="E1879">
        <v>521667</v>
      </c>
      <c r="F1879" s="11">
        <v>1</v>
      </c>
    </row>
    <row r="1880" spans="1:6" x14ac:dyDescent="0.35">
      <c r="A1880" t="s">
        <v>2856</v>
      </c>
      <c r="B1880" t="s">
        <v>2862</v>
      </c>
      <c r="C1880" t="s">
        <v>1493</v>
      </c>
      <c r="D1880" t="s">
        <v>2904</v>
      </c>
      <c r="E1880">
        <v>0</v>
      </c>
      <c r="F1880" s="11">
        <v>1</v>
      </c>
    </row>
    <row r="1881" spans="1:6" x14ac:dyDescent="0.35">
      <c r="A1881" t="s">
        <v>2856</v>
      </c>
      <c r="B1881" t="s">
        <v>2862</v>
      </c>
      <c r="C1881" t="s">
        <v>1493</v>
      </c>
      <c r="D1881" t="s">
        <v>2905</v>
      </c>
      <c r="E1881">
        <v>0</v>
      </c>
      <c r="F1881" s="11">
        <v>1</v>
      </c>
    </row>
    <row r="1882" spans="1:6" x14ac:dyDescent="0.35">
      <c r="A1882" t="s">
        <v>2856</v>
      </c>
      <c r="B1882" t="s">
        <v>2862</v>
      </c>
      <c r="C1882" t="s">
        <v>1493</v>
      </c>
      <c r="D1882" t="s">
        <v>2906</v>
      </c>
      <c r="E1882">
        <v>0</v>
      </c>
      <c r="F1882" s="11">
        <v>1</v>
      </c>
    </row>
    <row r="1883" spans="1:6" x14ac:dyDescent="0.35">
      <c r="A1883" t="s">
        <v>2856</v>
      </c>
      <c r="B1883" t="s">
        <v>2862</v>
      </c>
      <c r="C1883" t="s">
        <v>1493</v>
      </c>
      <c r="D1883" t="s">
        <v>2907</v>
      </c>
      <c r="E1883">
        <v>467301</v>
      </c>
      <c r="F1883" s="11">
        <v>1</v>
      </c>
    </row>
    <row r="1884" spans="1:6" x14ac:dyDescent="0.35">
      <c r="A1884" t="s">
        <v>2856</v>
      </c>
      <c r="B1884" t="s">
        <v>2862</v>
      </c>
      <c r="C1884" t="s">
        <v>1493</v>
      </c>
      <c r="D1884" t="s">
        <v>2908</v>
      </c>
      <c r="E1884">
        <v>0</v>
      </c>
      <c r="F1884" s="11">
        <v>1</v>
      </c>
    </row>
    <row r="1885" spans="1:6" x14ac:dyDescent="0.35">
      <c r="A1885" t="s">
        <v>2856</v>
      </c>
      <c r="B1885" t="s">
        <v>2862</v>
      </c>
      <c r="C1885" t="s">
        <v>1493</v>
      </c>
      <c r="D1885" t="s">
        <v>2909</v>
      </c>
      <c r="E1885">
        <v>0</v>
      </c>
      <c r="F1885" s="11">
        <v>1</v>
      </c>
    </row>
    <row r="1886" spans="1:6" x14ac:dyDescent="0.35">
      <c r="A1886" t="s">
        <v>2856</v>
      </c>
      <c r="B1886" t="s">
        <v>2862</v>
      </c>
      <c r="C1886" t="s">
        <v>1493</v>
      </c>
      <c r="D1886" t="s">
        <v>2910</v>
      </c>
      <c r="E1886">
        <v>0</v>
      </c>
      <c r="F1886" s="11">
        <v>1</v>
      </c>
    </row>
    <row r="1887" spans="1:6" x14ac:dyDescent="0.35">
      <c r="A1887" t="s">
        <v>2856</v>
      </c>
      <c r="B1887" t="s">
        <v>2862</v>
      </c>
      <c r="C1887" t="s">
        <v>1493</v>
      </c>
      <c r="D1887" t="s">
        <v>2911</v>
      </c>
      <c r="E1887">
        <v>1759521</v>
      </c>
      <c r="F1887" s="11">
        <v>1</v>
      </c>
    </row>
    <row r="1888" spans="1:6" x14ac:dyDescent="0.35">
      <c r="A1888" t="s">
        <v>2856</v>
      </c>
      <c r="B1888" t="s">
        <v>2862</v>
      </c>
      <c r="C1888" t="s">
        <v>1493</v>
      </c>
      <c r="D1888" t="s">
        <v>2912</v>
      </c>
      <c r="E1888">
        <v>1421322</v>
      </c>
      <c r="F1888" s="11">
        <v>1</v>
      </c>
    </row>
    <row r="1889" spans="1:6" x14ac:dyDescent="0.35">
      <c r="A1889" t="s">
        <v>2856</v>
      </c>
      <c r="B1889" t="s">
        <v>2862</v>
      </c>
      <c r="C1889" t="s">
        <v>1493</v>
      </c>
      <c r="D1889" t="s">
        <v>2913</v>
      </c>
      <c r="E1889">
        <v>0</v>
      </c>
      <c r="F1889" s="11">
        <v>0</v>
      </c>
    </row>
    <row r="1890" spans="1:6" x14ac:dyDescent="0.35">
      <c r="A1890" t="s">
        <v>2856</v>
      </c>
      <c r="B1890" t="s">
        <v>2862</v>
      </c>
      <c r="C1890" t="s">
        <v>1493</v>
      </c>
      <c r="D1890" t="s">
        <v>2914</v>
      </c>
      <c r="E1890">
        <v>30795</v>
      </c>
      <c r="F1890" s="11">
        <v>1</v>
      </c>
    </row>
    <row r="1891" spans="1:6" x14ac:dyDescent="0.35">
      <c r="A1891" t="s">
        <v>2856</v>
      </c>
      <c r="B1891" t="s">
        <v>2862</v>
      </c>
      <c r="C1891" t="s">
        <v>1493</v>
      </c>
      <c r="D1891" t="s">
        <v>2915</v>
      </c>
      <c r="E1891">
        <v>0</v>
      </c>
      <c r="F1891" s="11">
        <v>0</v>
      </c>
    </row>
    <row r="1892" spans="1:6" x14ac:dyDescent="0.35">
      <c r="A1892" t="s">
        <v>2856</v>
      </c>
      <c r="B1892" t="s">
        <v>2862</v>
      </c>
      <c r="C1892" t="s">
        <v>1493</v>
      </c>
      <c r="D1892" t="s">
        <v>2916</v>
      </c>
      <c r="E1892">
        <v>177818</v>
      </c>
      <c r="F1892" s="11">
        <v>1</v>
      </c>
    </row>
    <row r="1893" spans="1:6" x14ac:dyDescent="0.35">
      <c r="A1893" t="s">
        <v>2856</v>
      </c>
      <c r="B1893" t="s">
        <v>2862</v>
      </c>
      <c r="C1893" t="s">
        <v>1493</v>
      </c>
      <c r="D1893" t="s">
        <v>2917</v>
      </c>
      <c r="E1893">
        <v>111731</v>
      </c>
      <c r="F1893" s="11">
        <v>1</v>
      </c>
    </row>
    <row r="1894" spans="1:6" x14ac:dyDescent="0.35">
      <c r="A1894" t="s">
        <v>2856</v>
      </c>
      <c r="B1894" t="s">
        <v>2865</v>
      </c>
      <c r="C1894" t="s">
        <v>1420</v>
      </c>
      <c r="D1894" t="s">
        <v>2875</v>
      </c>
      <c r="E1894">
        <v>0</v>
      </c>
      <c r="F1894" s="11">
        <v>1</v>
      </c>
    </row>
    <row r="1895" spans="1:6" x14ac:dyDescent="0.35">
      <c r="A1895" t="s">
        <v>2856</v>
      </c>
      <c r="B1895" t="s">
        <v>2865</v>
      </c>
      <c r="C1895" t="s">
        <v>1420</v>
      </c>
      <c r="D1895" t="s">
        <v>2876</v>
      </c>
      <c r="E1895">
        <v>0</v>
      </c>
      <c r="F1895" s="11">
        <v>0</v>
      </c>
    </row>
    <row r="1896" spans="1:6" x14ac:dyDescent="0.35">
      <c r="A1896" t="s">
        <v>2856</v>
      </c>
      <c r="B1896" t="s">
        <v>2865</v>
      </c>
      <c r="C1896" t="s">
        <v>1420</v>
      </c>
      <c r="D1896" t="s">
        <v>2877</v>
      </c>
      <c r="E1896">
        <v>0</v>
      </c>
      <c r="F1896" s="11">
        <v>0</v>
      </c>
    </row>
    <row r="1897" spans="1:6" x14ac:dyDescent="0.35">
      <c r="A1897" t="s">
        <v>2856</v>
      </c>
      <c r="B1897" t="s">
        <v>2865</v>
      </c>
      <c r="C1897" t="s">
        <v>1420</v>
      </c>
      <c r="D1897" t="s">
        <v>2878</v>
      </c>
      <c r="E1897">
        <v>0</v>
      </c>
      <c r="F1897" s="11">
        <v>0</v>
      </c>
    </row>
    <row r="1898" spans="1:6" x14ac:dyDescent="0.35">
      <c r="A1898" t="s">
        <v>2856</v>
      </c>
      <c r="B1898" t="s">
        <v>2865</v>
      </c>
      <c r="C1898" t="s">
        <v>1420</v>
      </c>
      <c r="D1898" t="s">
        <v>2879</v>
      </c>
      <c r="E1898">
        <v>2076</v>
      </c>
      <c r="F1898" s="11">
        <v>1</v>
      </c>
    </row>
    <row r="1899" spans="1:6" x14ac:dyDescent="0.35">
      <c r="A1899" t="s">
        <v>2856</v>
      </c>
      <c r="B1899" t="s">
        <v>2865</v>
      </c>
      <c r="C1899" t="s">
        <v>1420</v>
      </c>
      <c r="D1899" t="s">
        <v>2880</v>
      </c>
      <c r="E1899">
        <v>175</v>
      </c>
      <c r="F1899" s="11">
        <v>1</v>
      </c>
    </row>
    <row r="1900" spans="1:6" x14ac:dyDescent="0.35">
      <c r="A1900" t="s">
        <v>2856</v>
      </c>
      <c r="B1900" t="s">
        <v>2865</v>
      </c>
      <c r="C1900" t="s">
        <v>1420</v>
      </c>
      <c r="D1900" t="s">
        <v>2881</v>
      </c>
      <c r="E1900">
        <v>1082</v>
      </c>
      <c r="F1900" s="11">
        <v>1</v>
      </c>
    </row>
    <row r="1901" spans="1:6" x14ac:dyDescent="0.35">
      <c r="A1901" t="s">
        <v>2856</v>
      </c>
      <c r="B1901" t="s">
        <v>2865</v>
      </c>
      <c r="C1901" t="s">
        <v>1420</v>
      </c>
      <c r="D1901" t="s">
        <v>2882</v>
      </c>
      <c r="E1901">
        <v>736</v>
      </c>
      <c r="F1901" s="11">
        <v>1</v>
      </c>
    </row>
    <row r="1902" spans="1:6" x14ac:dyDescent="0.35">
      <c r="A1902" t="s">
        <v>2856</v>
      </c>
      <c r="B1902" t="s">
        <v>2865</v>
      </c>
      <c r="C1902" t="s">
        <v>1420</v>
      </c>
      <c r="D1902" t="s">
        <v>2883</v>
      </c>
      <c r="E1902">
        <v>111</v>
      </c>
      <c r="F1902" s="11">
        <v>1</v>
      </c>
    </row>
    <row r="1903" spans="1:6" x14ac:dyDescent="0.35">
      <c r="A1903" t="s">
        <v>2856</v>
      </c>
      <c r="B1903" t="s">
        <v>2865</v>
      </c>
      <c r="C1903" t="s">
        <v>1420</v>
      </c>
      <c r="D1903" t="s">
        <v>2884</v>
      </c>
      <c r="E1903">
        <v>0</v>
      </c>
      <c r="F1903" s="11">
        <v>0</v>
      </c>
    </row>
    <row r="1904" spans="1:6" x14ac:dyDescent="0.35">
      <c r="A1904" t="s">
        <v>2856</v>
      </c>
      <c r="B1904" t="s">
        <v>2865</v>
      </c>
      <c r="C1904" t="s">
        <v>1420</v>
      </c>
      <c r="D1904" t="s">
        <v>2885</v>
      </c>
      <c r="E1904">
        <v>0</v>
      </c>
      <c r="F1904" s="11">
        <v>0</v>
      </c>
    </row>
    <row r="1905" spans="1:6" x14ac:dyDescent="0.35">
      <c r="A1905" t="s">
        <v>2856</v>
      </c>
      <c r="B1905" t="s">
        <v>2865</v>
      </c>
      <c r="C1905" t="s">
        <v>1420</v>
      </c>
      <c r="D1905" t="s">
        <v>2886</v>
      </c>
      <c r="E1905">
        <v>0</v>
      </c>
      <c r="F1905" s="11">
        <v>1</v>
      </c>
    </row>
    <row r="1906" spans="1:6" x14ac:dyDescent="0.35">
      <c r="A1906" t="s">
        <v>2856</v>
      </c>
      <c r="B1906" t="s">
        <v>2865</v>
      </c>
      <c r="C1906" t="s">
        <v>1420</v>
      </c>
      <c r="D1906" t="s">
        <v>2887</v>
      </c>
      <c r="E1906">
        <v>17008</v>
      </c>
      <c r="F1906" s="11">
        <v>1</v>
      </c>
    </row>
    <row r="1907" spans="1:6" x14ac:dyDescent="0.35">
      <c r="A1907" t="s">
        <v>2856</v>
      </c>
      <c r="B1907" t="s">
        <v>2865</v>
      </c>
      <c r="C1907" t="s">
        <v>1420</v>
      </c>
      <c r="D1907" t="s">
        <v>2888</v>
      </c>
      <c r="E1907">
        <v>5250</v>
      </c>
      <c r="F1907" s="11">
        <v>0</v>
      </c>
    </row>
    <row r="1908" spans="1:6" x14ac:dyDescent="0.35">
      <c r="A1908" t="s">
        <v>2856</v>
      </c>
      <c r="B1908" t="s">
        <v>2865</v>
      </c>
      <c r="C1908" t="s">
        <v>1420</v>
      </c>
      <c r="D1908" t="s">
        <v>2889</v>
      </c>
      <c r="E1908">
        <v>8852</v>
      </c>
      <c r="F1908" s="11">
        <v>0</v>
      </c>
    </row>
    <row r="1909" spans="1:6" x14ac:dyDescent="0.35">
      <c r="A1909" t="s">
        <v>2856</v>
      </c>
      <c r="B1909" t="s">
        <v>2865</v>
      </c>
      <c r="C1909" t="s">
        <v>1420</v>
      </c>
      <c r="D1909" t="s">
        <v>2890</v>
      </c>
      <c r="E1909">
        <v>2906</v>
      </c>
      <c r="F1909" s="11">
        <v>1</v>
      </c>
    </row>
    <row r="1910" spans="1:6" x14ac:dyDescent="0.35">
      <c r="A1910" t="s">
        <v>2856</v>
      </c>
      <c r="B1910" t="s">
        <v>2865</v>
      </c>
      <c r="C1910" t="s">
        <v>1420</v>
      </c>
      <c r="D1910" t="s">
        <v>2891</v>
      </c>
      <c r="E1910">
        <v>401</v>
      </c>
      <c r="F1910" s="11">
        <v>1</v>
      </c>
    </row>
    <row r="1911" spans="1:6" x14ac:dyDescent="0.35">
      <c r="A1911" t="s">
        <v>2856</v>
      </c>
      <c r="B1911" t="s">
        <v>2865</v>
      </c>
      <c r="C1911" t="s">
        <v>1420</v>
      </c>
      <c r="D1911" t="s">
        <v>2892</v>
      </c>
      <c r="E1911">
        <v>0</v>
      </c>
      <c r="F1911" s="11">
        <v>0</v>
      </c>
    </row>
    <row r="1912" spans="1:6" x14ac:dyDescent="0.35">
      <c r="A1912" t="s">
        <v>2856</v>
      </c>
      <c r="B1912" t="s">
        <v>2865</v>
      </c>
      <c r="C1912" t="s">
        <v>1420</v>
      </c>
      <c r="D1912" t="s">
        <v>2893</v>
      </c>
      <c r="E1912">
        <v>0</v>
      </c>
      <c r="F1912" s="11">
        <v>0</v>
      </c>
    </row>
    <row r="1913" spans="1:6" x14ac:dyDescent="0.35">
      <c r="A1913" t="s">
        <v>2856</v>
      </c>
      <c r="B1913" t="s">
        <v>2865</v>
      </c>
      <c r="C1913" t="s">
        <v>1420</v>
      </c>
      <c r="D1913" t="s">
        <v>2894</v>
      </c>
      <c r="E1913">
        <v>0</v>
      </c>
      <c r="F1913" s="11">
        <v>1</v>
      </c>
    </row>
    <row r="1914" spans="1:6" x14ac:dyDescent="0.35">
      <c r="A1914" t="s">
        <v>2856</v>
      </c>
      <c r="B1914" t="s">
        <v>2865</v>
      </c>
      <c r="C1914" t="s">
        <v>1420</v>
      </c>
      <c r="D1914" t="s">
        <v>2895</v>
      </c>
      <c r="E1914">
        <v>260974</v>
      </c>
      <c r="F1914" s="11">
        <v>1</v>
      </c>
    </row>
    <row r="1915" spans="1:6" x14ac:dyDescent="0.35">
      <c r="A1915" t="s">
        <v>2856</v>
      </c>
      <c r="B1915" t="s">
        <v>2865</v>
      </c>
      <c r="C1915" t="s">
        <v>1420</v>
      </c>
      <c r="D1915" t="s">
        <v>2896</v>
      </c>
      <c r="E1915">
        <v>172780</v>
      </c>
      <c r="F1915" s="11">
        <v>1</v>
      </c>
    </row>
    <row r="1916" spans="1:6" x14ac:dyDescent="0.35">
      <c r="A1916" t="s">
        <v>2856</v>
      </c>
      <c r="B1916" t="s">
        <v>2865</v>
      </c>
      <c r="C1916" t="s">
        <v>1420</v>
      </c>
      <c r="D1916" t="s">
        <v>2897</v>
      </c>
      <c r="E1916">
        <v>82548</v>
      </c>
      <c r="F1916" s="11">
        <v>1</v>
      </c>
    </row>
    <row r="1917" spans="1:6" x14ac:dyDescent="0.35">
      <c r="A1917" t="s">
        <v>2856</v>
      </c>
      <c r="B1917" t="s">
        <v>2865</v>
      </c>
      <c r="C1917" t="s">
        <v>1420</v>
      </c>
      <c r="D1917" t="s">
        <v>2898</v>
      </c>
      <c r="E1917">
        <v>5646</v>
      </c>
      <c r="F1917" s="11">
        <v>1</v>
      </c>
    </row>
    <row r="1918" spans="1:6" x14ac:dyDescent="0.35">
      <c r="A1918" t="s">
        <v>2856</v>
      </c>
      <c r="B1918" t="s">
        <v>2865</v>
      </c>
      <c r="C1918" t="s">
        <v>1420</v>
      </c>
      <c r="D1918" t="s">
        <v>2899</v>
      </c>
      <c r="E1918">
        <v>5934</v>
      </c>
      <c r="F1918" s="11">
        <v>1</v>
      </c>
    </row>
    <row r="1919" spans="1:6" x14ac:dyDescent="0.35">
      <c r="A1919" t="s">
        <v>2856</v>
      </c>
      <c r="B1919" t="s">
        <v>2865</v>
      </c>
      <c r="C1919" t="s">
        <v>1420</v>
      </c>
      <c r="D1919" t="s">
        <v>2900</v>
      </c>
      <c r="E1919">
        <v>5479</v>
      </c>
      <c r="F1919" s="11">
        <v>1</v>
      </c>
    </row>
    <row r="1920" spans="1:6" x14ac:dyDescent="0.35">
      <c r="A1920" t="s">
        <v>2856</v>
      </c>
      <c r="B1920" t="s">
        <v>2865</v>
      </c>
      <c r="C1920" t="s">
        <v>1420</v>
      </c>
      <c r="D1920" t="s">
        <v>2901</v>
      </c>
      <c r="E1920">
        <v>455</v>
      </c>
      <c r="F1920" s="11">
        <v>0</v>
      </c>
    </row>
    <row r="1921" spans="1:6" x14ac:dyDescent="0.35">
      <c r="A1921" t="s">
        <v>2856</v>
      </c>
      <c r="B1921" t="s">
        <v>2865</v>
      </c>
      <c r="C1921" t="s">
        <v>1420</v>
      </c>
      <c r="D1921" t="s">
        <v>2902</v>
      </c>
      <c r="E1921">
        <v>0</v>
      </c>
      <c r="F1921" s="11">
        <v>1</v>
      </c>
    </row>
    <row r="1922" spans="1:6" x14ac:dyDescent="0.35">
      <c r="A1922" t="s">
        <v>2856</v>
      </c>
      <c r="B1922" t="s">
        <v>2865</v>
      </c>
      <c r="C1922" t="s">
        <v>1420</v>
      </c>
      <c r="D1922" t="s">
        <v>2903</v>
      </c>
      <c r="E1922">
        <v>14054</v>
      </c>
      <c r="F1922" s="11">
        <v>1</v>
      </c>
    </row>
    <row r="1923" spans="1:6" x14ac:dyDescent="0.35">
      <c r="A1923" t="s">
        <v>2856</v>
      </c>
      <c r="B1923" t="s">
        <v>2865</v>
      </c>
      <c r="C1923" t="s">
        <v>1420</v>
      </c>
      <c r="D1923" t="s">
        <v>2904</v>
      </c>
      <c r="E1923">
        <v>12884</v>
      </c>
      <c r="F1923" s="11">
        <v>1</v>
      </c>
    </row>
    <row r="1924" spans="1:6" x14ac:dyDescent="0.35">
      <c r="A1924" t="s">
        <v>2856</v>
      </c>
      <c r="B1924" t="s">
        <v>2865</v>
      </c>
      <c r="C1924" t="s">
        <v>1420</v>
      </c>
      <c r="D1924" t="s">
        <v>2905</v>
      </c>
      <c r="E1924">
        <v>763</v>
      </c>
      <c r="F1924" s="11">
        <v>1</v>
      </c>
    </row>
    <row r="1925" spans="1:6" x14ac:dyDescent="0.35">
      <c r="A1925" t="s">
        <v>2856</v>
      </c>
      <c r="B1925" t="s">
        <v>2865</v>
      </c>
      <c r="C1925" t="s">
        <v>1420</v>
      </c>
      <c r="D1925" t="s">
        <v>2906</v>
      </c>
      <c r="E1925">
        <v>407</v>
      </c>
      <c r="F1925" s="11">
        <v>1</v>
      </c>
    </row>
    <row r="1926" spans="1:6" x14ac:dyDescent="0.35">
      <c r="A1926" t="s">
        <v>2856</v>
      </c>
      <c r="B1926" t="s">
        <v>2865</v>
      </c>
      <c r="C1926" t="s">
        <v>1420</v>
      </c>
      <c r="D1926" t="s">
        <v>2907</v>
      </c>
      <c r="E1926">
        <v>21361</v>
      </c>
      <c r="F1926" s="11">
        <v>1</v>
      </c>
    </row>
    <row r="1927" spans="1:6" x14ac:dyDescent="0.35">
      <c r="A1927" t="s">
        <v>2856</v>
      </c>
      <c r="B1927" t="s">
        <v>2865</v>
      </c>
      <c r="C1927" t="s">
        <v>1420</v>
      </c>
      <c r="D1927" t="s">
        <v>2908</v>
      </c>
      <c r="E1927">
        <v>18689</v>
      </c>
      <c r="F1927" s="11">
        <v>1</v>
      </c>
    </row>
    <row r="1928" spans="1:6" x14ac:dyDescent="0.35">
      <c r="A1928" t="s">
        <v>2856</v>
      </c>
      <c r="B1928" t="s">
        <v>2865</v>
      </c>
      <c r="C1928" t="s">
        <v>1420</v>
      </c>
      <c r="D1928" t="s">
        <v>2909</v>
      </c>
      <c r="E1928">
        <v>1825</v>
      </c>
      <c r="F1928" s="11">
        <v>1</v>
      </c>
    </row>
    <row r="1929" spans="1:6" x14ac:dyDescent="0.35">
      <c r="A1929" t="s">
        <v>2856</v>
      </c>
      <c r="B1929" t="s">
        <v>2865</v>
      </c>
      <c r="C1929" t="s">
        <v>1420</v>
      </c>
      <c r="D1929" t="s">
        <v>2910</v>
      </c>
      <c r="E1929">
        <v>847</v>
      </c>
      <c r="F1929" s="11">
        <v>1</v>
      </c>
    </row>
    <row r="1930" spans="1:6" x14ac:dyDescent="0.35">
      <c r="A1930" t="s">
        <v>2856</v>
      </c>
      <c r="B1930" t="s">
        <v>2865</v>
      </c>
      <c r="C1930" t="s">
        <v>1420</v>
      </c>
      <c r="D1930" t="s">
        <v>2911</v>
      </c>
      <c r="E1930">
        <v>435179</v>
      </c>
      <c r="F1930" s="11">
        <v>1</v>
      </c>
    </row>
    <row r="1931" spans="1:6" x14ac:dyDescent="0.35">
      <c r="A1931" t="s">
        <v>2856</v>
      </c>
      <c r="B1931" t="s">
        <v>2865</v>
      </c>
      <c r="C1931" t="s">
        <v>1420</v>
      </c>
      <c r="D1931" t="s">
        <v>2912</v>
      </c>
      <c r="E1931">
        <v>75800</v>
      </c>
      <c r="F1931" s="11">
        <v>1</v>
      </c>
    </row>
    <row r="1932" spans="1:6" x14ac:dyDescent="0.35">
      <c r="A1932" t="s">
        <v>2856</v>
      </c>
      <c r="B1932" t="s">
        <v>2865</v>
      </c>
      <c r="C1932" t="s">
        <v>1420</v>
      </c>
      <c r="D1932" t="s">
        <v>2913</v>
      </c>
      <c r="E1932">
        <v>0</v>
      </c>
      <c r="F1932" s="11">
        <v>0</v>
      </c>
    </row>
    <row r="1933" spans="1:6" x14ac:dyDescent="0.35">
      <c r="A1933" t="s">
        <v>2856</v>
      </c>
      <c r="B1933" t="s">
        <v>2865</v>
      </c>
      <c r="C1933" t="s">
        <v>1420</v>
      </c>
      <c r="D1933" t="s">
        <v>2914</v>
      </c>
      <c r="E1933">
        <v>0</v>
      </c>
      <c r="F1933" s="11">
        <v>0</v>
      </c>
    </row>
    <row r="1934" spans="1:6" x14ac:dyDescent="0.35">
      <c r="A1934" t="s">
        <v>2856</v>
      </c>
      <c r="B1934" t="s">
        <v>2865</v>
      </c>
      <c r="C1934" t="s">
        <v>1420</v>
      </c>
      <c r="D1934" t="s">
        <v>2915</v>
      </c>
      <c r="E1934">
        <v>1355</v>
      </c>
      <c r="F1934" s="11">
        <v>1</v>
      </c>
    </row>
    <row r="1935" spans="1:6" x14ac:dyDescent="0.35">
      <c r="A1935" t="s">
        <v>2856</v>
      </c>
      <c r="B1935" t="s">
        <v>2865</v>
      </c>
      <c r="C1935" t="s">
        <v>1420</v>
      </c>
      <c r="D1935" t="s">
        <v>2916</v>
      </c>
      <c r="E1935">
        <v>7151</v>
      </c>
      <c r="F1935" s="11">
        <v>1</v>
      </c>
    </row>
    <row r="1936" spans="1:6" x14ac:dyDescent="0.35">
      <c r="A1936" t="s">
        <v>2856</v>
      </c>
      <c r="B1936" t="s">
        <v>2865</v>
      </c>
      <c r="C1936" t="s">
        <v>1420</v>
      </c>
      <c r="D1936" t="s">
        <v>2917</v>
      </c>
      <c r="E1936">
        <v>0</v>
      </c>
      <c r="F1936" s="11">
        <v>1</v>
      </c>
    </row>
    <row r="1937" spans="1:6" x14ac:dyDescent="0.35">
      <c r="A1937" t="s">
        <v>2856</v>
      </c>
      <c r="B1937" t="s">
        <v>2866</v>
      </c>
      <c r="C1937" t="s">
        <v>2687</v>
      </c>
      <c r="D1937" t="s">
        <v>2875</v>
      </c>
      <c r="E1937">
        <v>15990</v>
      </c>
      <c r="F1937" s="11">
        <v>0</v>
      </c>
    </row>
    <row r="1938" spans="1:6" x14ac:dyDescent="0.35">
      <c r="A1938" t="s">
        <v>2856</v>
      </c>
      <c r="B1938" t="s">
        <v>2866</v>
      </c>
      <c r="C1938" t="s">
        <v>2687</v>
      </c>
      <c r="D1938" t="s">
        <v>2876</v>
      </c>
      <c r="E1938">
        <v>0</v>
      </c>
      <c r="F1938" s="11">
        <v>0</v>
      </c>
    </row>
    <row r="1939" spans="1:6" x14ac:dyDescent="0.35">
      <c r="A1939" t="s">
        <v>2856</v>
      </c>
      <c r="B1939" t="s">
        <v>2866</v>
      </c>
      <c r="C1939" t="s">
        <v>2687</v>
      </c>
      <c r="D1939" t="s">
        <v>2877</v>
      </c>
      <c r="E1939">
        <v>0</v>
      </c>
      <c r="F1939" s="11">
        <v>0</v>
      </c>
    </row>
    <row r="1940" spans="1:6" x14ac:dyDescent="0.35">
      <c r="A1940" t="s">
        <v>2856</v>
      </c>
      <c r="B1940" t="s">
        <v>2866</v>
      </c>
      <c r="C1940" t="s">
        <v>2687</v>
      </c>
      <c r="D1940" t="s">
        <v>2878</v>
      </c>
      <c r="E1940">
        <v>0</v>
      </c>
      <c r="F1940" s="11">
        <v>0</v>
      </c>
    </row>
    <row r="1941" spans="1:6" x14ac:dyDescent="0.35">
      <c r="A1941" t="s">
        <v>2856</v>
      </c>
      <c r="B1941" t="s">
        <v>2866</v>
      </c>
      <c r="C1941" t="s">
        <v>2687</v>
      </c>
      <c r="D1941" t="s">
        <v>2879</v>
      </c>
      <c r="E1941">
        <v>532</v>
      </c>
      <c r="F1941" s="11">
        <v>0</v>
      </c>
    </row>
    <row r="1942" spans="1:6" x14ac:dyDescent="0.35">
      <c r="A1942" t="s">
        <v>2856</v>
      </c>
      <c r="B1942" t="s">
        <v>2866</v>
      </c>
      <c r="C1942" t="s">
        <v>2687</v>
      </c>
      <c r="D1942" t="s">
        <v>2880</v>
      </c>
      <c r="E1942">
        <v>274</v>
      </c>
      <c r="F1942" s="11">
        <v>0</v>
      </c>
    </row>
    <row r="1943" spans="1:6" x14ac:dyDescent="0.35">
      <c r="A1943" t="s">
        <v>2856</v>
      </c>
      <c r="B1943" t="s">
        <v>2866</v>
      </c>
      <c r="C1943" t="s">
        <v>2687</v>
      </c>
      <c r="D1943" t="s">
        <v>2881</v>
      </c>
      <c r="E1943">
        <v>258</v>
      </c>
      <c r="F1943" s="11">
        <v>0</v>
      </c>
    </row>
    <row r="1944" spans="1:6" x14ac:dyDescent="0.35">
      <c r="A1944" t="s">
        <v>2856</v>
      </c>
      <c r="B1944" t="s">
        <v>2866</v>
      </c>
      <c r="C1944" t="s">
        <v>2687</v>
      </c>
      <c r="D1944" t="s">
        <v>2882</v>
      </c>
      <c r="E1944">
        <v>0</v>
      </c>
      <c r="F1944" s="11">
        <v>0</v>
      </c>
    </row>
    <row r="1945" spans="1:6" x14ac:dyDescent="0.35">
      <c r="A1945" t="s">
        <v>2856</v>
      </c>
      <c r="B1945" t="s">
        <v>2866</v>
      </c>
      <c r="C1945" t="s">
        <v>2687</v>
      </c>
      <c r="D1945" t="s">
        <v>2883</v>
      </c>
      <c r="E1945">
        <v>0</v>
      </c>
      <c r="F1945" s="11">
        <v>0</v>
      </c>
    </row>
    <row r="1946" spans="1:6" x14ac:dyDescent="0.35">
      <c r="A1946" t="s">
        <v>2856</v>
      </c>
      <c r="B1946" t="s">
        <v>2866</v>
      </c>
      <c r="C1946" t="s">
        <v>2687</v>
      </c>
      <c r="D1946" t="s">
        <v>2884</v>
      </c>
      <c r="E1946">
        <v>0</v>
      </c>
      <c r="F1946" s="11">
        <v>0</v>
      </c>
    </row>
    <row r="1947" spans="1:6" x14ac:dyDescent="0.35">
      <c r="A1947" t="s">
        <v>2856</v>
      </c>
      <c r="B1947" t="s">
        <v>2866</v>
      </c>
      <c r="C1947" t="s">
        <v>2687</v>
      </c>
      <c r="D1947" t="s">
        <v>2885</v>
      </c>
      <c r="E1947">
        <v>0</v>
      </c>
      <c r="F1947" s="11">
        <v>0</v>
      </c>
    </row>
    <row r="1948" spans="1:6" x14ac:dyDescent="0.35">
      <c r="A1948" t="s">
        <v>2856</v>
      </c>
      <c r="B1948" t="s">
        <v>2866</v>
      </c>
      <c r="C1948" t="s">
        <v>2687</v>
      </c>
      <c r="D1948" t="s">
        <v>2886</v>
      </c>
      <c r="E1948">
        <v>0</v>
      </c>
      <c r="F1948" s="11">
        <v>0</v>
      </c>
    </row>
    <row r="1949" spans="1:6" x14ac:dyDescent="0.35">
      <c r="A1949" t="s">
        <v>2856</v>
      </c>
      <c r="B1949" t="s">
        <v>2866</v>
      </c>
      <c r="C1949" t="s">
        <v>2687</v>
      </c>
      <c r="D1949" t="s">
        <v>2887</v>
      </c>
      <c r="E1949">
        <v>26109</v>
      </c>
      <c r="F1949" s="11">
        <v>0</v>
      </c>
    </row>
    <row r="1950" spans="1:6" x14ac:dyDescent="0.35">
      <c r="A1950" t="s">
        <v>2856</v>
      </c>
      <c r="B1950" t="s">
        <v>2866</v>
      </c>
      <c r="C1950" t="s">
        <v>2687</v>
      </c>
      <c r="D1950" t="s">
        <v>2888</v>
      </c>
      <c r="E1950">
        <v>9979</v>
      </c>
      <c r="F1950" s="11">
        <v>0</v>
      </c>
    </row>
    <row r="1951" spans="1:6" x14ac:dyDescent="0.35">
      <c r="A1951" t="s">
        <v>2856</v>
      </c>
      <c r="B1951" t="s">
        <v>2866</v>
      </c>
      <c r="C1951" t="s">
        <v>2687</v>
      </c>
      <c r="D1951" t="s">
        <v>2889</v>
      </c>
      <c r="E1951">
        <v>16130</v>
      </c>
      <c r="F1951" s="11">
        <v>0</v>
      </c>
    </row>
    <row r="1952" spans="1:6" x14ac:dyDescent="0.35">
      <c r="A1952" t="s">
        <v>2856</v>
      </c>
      <c r="B1952" t="s">
        <v>2866</v>
      </c>
      <c r="C1952" t="s">
        <v>2687</v>
      </c>
      <c r="D1952" t="s">
        <v>2890</v>
      </c>
      <c r="E1952">
        <v>0</v>
      </c>
      <c r="F1952" s="11">
        <v>0</v>
      </c>
    </row>
    <row r="1953" spans="1:6" x14ac:dyDescent="0.35">
      <c r="A1953" t="s">
        <v>2856</v>
      </c>
      <c r="B1953" t="s">
        <v>2866</v>
      </c>
      <c r="C1953" t="s">
        <v>2687</v>
      </c>
      <c r="D1953" t="s">
        <v>2891</v>
      </c>
      <c r="E1953">
        <v>0</v>
      </c>
      <c r="F1953" s="11">
        <v>0</v>
      </c>
    </row>
    <row r="1954" spans="1:6" x14ac:dyDescent="0.35">
      <c r="A1954" t="s">
        <v>2856</v>
      </c>
      <c r="B1954" t="s">
        <v>2866</v>
      </c>
      <c r="C1954" t="s">
        <v>2687</v>
      </c>
      <c r="D1954" t="s">
        <v>2892</v>
      </c>
      <c r="E1954">
        <v>0</v>
      </c>
      <c r="F1954" s="11">
        <v>0</v>
      </c>
    </row>
    <row r="1955" spans="1:6" x14ac:dyDescent="0.35">
      <c r="A1955" t="s">
        <v>2856</v>
      </c>
      <c r="B1955" t="s">
        <v>2866</v>
      </c>
      <c r="C1955" t="s">
        <v>2687</v>
      </c>
      <c r="D1955" t="s">
        <v>2893</v>
      </c>
      <c r="E1955">
        <v>0</v>
      </c>
      <c r="F1955" s="11">
        <v>0</v>
      </c>
    </row>
    <row r="1956" spans="1:6" x14ac:dyDescent="0.35">
      <c r="A1956" t="s">
        <v>2856</v>
      </c>
      <c r="B1956" t="s">
        <v>2866</v>
      </c>
      <c r="C1956" t="s">
        <v>2687</v>
      </c>
      <c r="D1956" t="s">
        <v>2894</v>
      </c>
      <c r="E1956">
        <v>0</v>
      </c>
      <c r="F1956" s="11">
        <v>0</v>
      </c>
    </row>
    <row r="1957" spans="1:6" x14ac:dyDescent="0.35">
      <c r="A1957" t="s">
        <v>2856</v>
      </c>
      <c r="B1957" t="s">
        <v>2866</v>
      </c>
      <c r="C1957" t="s">
        <v>2687</v>
      </c>
      <c r="D1957" t="s">
        <v>2895</v>
      </c>
      <c r="E1957">
        <v>620925</v>
      </c>
      <c r="F1957" s="11">
        <v>0</v>
      </c>
    </row>
    <row r="1958" spans="1:6" x14ac:dyDescent="0.35">
      <c r="A1958" t="s">
        <v>2856</v>
      </c>
      <c r="B1958" t="s">
        <v>2866</v>
      </c>
      <c r="C1958" t="s">
        <v>2687</v>
      </c>
      <c r="D1958" t="s">
        <v>2896</v>
      </c>
      <c r="E1958">
        <v>173345</v>
      </c>
      <c r="F1958" s="11">
        <v>0</v>
      </c>
    </row>
    <row r="1959" spans="1:6" x14ac:dyDescent="0.35">
      <c r="A1959" t="s">
        <v>2856</v>
      </c>
      <c r="B1959" t="s">
        <v>2866</v>
      </c>
      <c r="C1959" t="s">
        <v>2687</v>
      </c>
      <c r="D1959" t="s">
        <v>2897</v>
      </c>
      <c r="E1959">
        <v>424393</v>
      </c>
      <c r="F1959" s="11">
        <v>0</v>
      </c>
    </row>
    <row r="1960" spans="1:6" x14ac:dyDescent="0.35">
      <c r="A1960" t="s">
        <v>2856</v>
      </c>
      <c r="B1960" t="s">
        <v>2866</v>
      </c>
      <c r="C1960" t="s">
        <v>2687</v>
      </c>
      <c r="D1960" t="s">
        <v>2898</v>
      </c>
      <c r="E1960">
        <v>23187</v>
      </c>
      <c r="F1960" s="11">
        <v>0</v>
      </c>
    </row>
    <row r="1961" spans="1:6" x14ac:dyDescent="0.35">
      <c r="A1961" t="s">
        <v>2856</v>
      </c>
      <c r="B1961" t="s">
        <v>2866</v>
      </c>
      <c r="C1961" t="s">
        <v>2687</v>
      </c>
      <c r="D1961" t="s">
        <v>2899</v>
      </c>
      <c r="E1961">
        <v>1839</v>
      </c>
      <c r="F1961" s="11">
        <v>0</v>
      </c>
    </row>
    <row r="1962" spans="1:6" x14ac:dyDescent="0.35">
      <c r="A1962" t="s">
        <v>2856</v>
      </c>
      <c r="B1962" t="s">
        <v>2866</v>
      </c>
      <c r="C1962" t="s">
        <v>2687</v>
      </c>
      <c r="D1962" t="s">
        <v>2900</v>
      </c>
      <c r="E1962">
        <v>1217</v>
      </c>
      <c r="F1962" s="11">
        <v>0</v>
      </c>
    </row>
    <row r="1963" spans="1:6" x14ac:dyDescent="0.35">
      <c r="A1963" t="s">
        <v>2856</v>
      </c>
      <c r="B1963" t="s">
        <v>2866</v>
      </c>
      <c r="C1963" t="s">
        <v>2687</v>
      </c>
      <c r="D1963" t="s">
        <v>2901</v>
      </c>
      <c r="E1963">
        <v>893</v>
      </c>
      <c r="F1963" s="11">
        <v>0</v>
      </c>
    </row>
    <row r="1964" spans="1:6" x14ac:dyDescent="0.35">
      <c r="A1964" t="s">
        <v>2856</v>
      </c>
      <c r="B1964" t="s">
        <v>2866</v>
      </c>
      <c r="C1964" t="s">
        <v>2687</v>
      </c>
      <c r="D1964" t="s">
        <v>2902</v>
      </c>
      <c r="E1964">
        <v>0</v>
      </c>
      <c r="F1964" s="11">
        <v>0</v>
      </c>
    </row>
    <row r="1965" spans="1:6" x14ac:dyDescent="0.35">
      <c r="A1965" t="s">
        <v>2856</v>
      </c>
      <c r="B1965" t="s">
        <v>2866</v>
      </c>
      <c r="C1965" t="s">
        <v>2687</v>
      </c>
      <c r="D1965" t="s">
        <v>2903</v>
      </c>
      <c r="E1965">
        <v>38049</v>
      </c>
      <c r="F1965" s="11">
        <v>0</v>
      </c>
    </row>
    <row r="1966" spans="1:6" x14ac:dyDescent="0.35">
      <c r="A1966" t="s">
        <v>2856</v>
      </c>
      <c r="B1966" t="s">
        <v>2866</v>
      </c>
      <c r="C1966" t="s">
        <v>2687</v>
      </c>
      <c r="D1966" t="s">
        <v>2904</v>
      </c>
      <c r="E1966">
        <v>0</v>
      </c>
      <c r="F1966" s="11">
        <v>0</v>
      </c>
    </row>
    <row r="1967" spans="1:6" x14ac:dyDescent="0.35">
      <c r="A1967" t="s">
        <v>2856</v>
      </c>
      <c r="B1967" t="s">
        <v>2866</v>
      </c>
      <c r="C1967" t="s">
        <v>2687</v>
      </c>
      <c r="D1967" t="s">
        <v>2905</v>
      </c>
      <c r="E1967">
        <v>0</v>
      </c>
      <c r="F1967" s="11">
        <v>0</v>
      </c>
    </row>
    <row r="1968" spans="1:6" x14ac:dyDescent="0.35">
      <c r="A1968" t="s">
        <v>2856</v>
      </c>
      <c r="B1968" t="s">
        <v>2866</v>
      </c>
      <c r="C1968" t="s">
        <v>2687</v>
      </c>
      <c r="D1968" t="s">
        <v>2906</v>
      </c>
      <c r="E1968">
        <v>0</v>
      </c>
      <c r="F1968" s="11">
        <v>0</v>
      </c>
    </row>
    <row r="1969" spans="1:6" x14ac:dyDescent="0.35">
      <c r="A1969" t="s">
        <v>2856</v>
      </c>
      <c r="B1969" t="s">
        <v>2866</v>
      </c>
      <c r="C1969" t="s">
        <v>2687</v>
      </c>
      <c r="D1969" t="s">
        <v>2907</v>
      </c>
      <c r="E1969">
        <v>77470</v>
      </c>
      <c r="F1969" s="11">
        <v>0</v>
      </c>
    </row>
    <row r="1970" spans="1:6" x14ac:dyDescent="0.35">
      <c r="A1970" t="s">
        <v>2856</v>
      </c>
      <c r="B1970" t="s">
        <v>2866</v>
      </c>
      <c r="C1970" t="s">
        <v>2687</v>
      </c>
      <c r="D1970" t="s">
        <v>2908</v>
      </c>
      <c r="E1970">
        <v>0</v>
      </c>
      <c r="F1970" s="11">
        <v>0</v>
      </c>
    </row>
    <row r="1971" spans="1:6" x14ac:dyDescent="0.35">
      <c r="A1971" t="s">
        <v>2856</v>
      </c>
      <c r="B1971" t="s">
        <v>2866</v>
      </c>
      <c r="C1971" t="s">
        <v>2687</v>
      </c>
      <c r="D1971" t="s">
        <v>2909</v>
      </c>
      <c r="E1971">
        <v>0</v>
      </c>
      <c r="F1971" s="11">
        <v>0</v>
      </c>
    </row>
    <row r="1972" spans="1:6" x14ac:dyDescent="0.35">
      <c r="A1972" t="s">
        <v>2856</v>
      </c>
      <c r="B1972" t="s">
        <v>2866</v>
      </c>
      <c r="C1972" t="s">
        <v>2687</v>
      </c>
      <c r="D1972" t="s">
        <v>2910</v>
      </c>
      <c r="E1972">
        <v>0</v>
      </c>
      <c r="F1972" s="11">
        <v>0</v>
      </c>
    </row>
    <row r="1973" spans="1:6" x14ac:dyDescent="0.35">
      <c r="A1973" t="s">
        <v>2856</v>
      </c>
      <c r="B1973" t="s">
        <v>2866</v>
      </c>
      <c r="C1973" t="s">
        <v>2687</v>
      </c>
      <c r="D1973" t="s">
        <v>2911</v>
      </c>
      <c r="E1973">
        <v>276948</v>
      </c>
      <c r="F1973" s="11">
        <v>0</v>
      </c>
    </row>
    <row r="1974" spans="1:6" x14ac:dyDescent="0.35">
      <c r="A1974" t="s">
        <v>2856</v>
      </c>
      <c r="B1974" t="s">
        <v>2866</v>
      </c>
      <c r="C1974" t="s">
        <v>2687</v>
      </c>
      <c r="D1974" t="s">
        <v>2912</v>
      </c>
      <c r="E1974">
        <v>0</v>
      </c>
      <c r="F1974" s="11">
        <v>0</v>
      </c>
    </row>
    <row r="1975" spans="1:6" x14ac:dyDescent="0.35">
      <c r="A1975" t="s">
        <v>2856</v>
      </c>
      <c r="B1975" t="s">
        <v>2866</v>
      </c>
      <c r="C1975" t="s">
        <v>2687</v>
      </c>
      <c r="D1975" t="s">
        <v>2913</v>
      </c>
      <c r="E1975">
        <v>0</v>
      </c>
      <c r="F1975" s="11">
        <v>0</v>
      </c>
    </row>
    <row r="1976" spans="1:6" x14ac:dyDescent="0.35">
      <c r="A1976" t="s">
        <v>2856</v>
      </c>
      <c r="B1976" t="s">
        <v>2866</v>
      </c>
      <c r="C1976" t="s">
        <v>2687</v>
      </c>
      <c r="D1976" t="s">
        <v>2914</v>
      </c>
      <c r="E1976">
        <v>0</v>
      </c>
      <c r="F1976" s="11">
        <v>0</v>
      </c>
    </row>
    <row r="1977" spans="1:6" x14ac:dyDescent="0.35">
      <c r="A1977" t="s">
        <v>2856</v>
      </c>
      <c r="B1977" t="s">
        <v>2866</v>
      </c>
      <c r="C1977" t="s">
        <v>2687</v>
      </c>
      <c r="D1977" t="s">
        <v>2915</v>
      </c>
      <c r="E1977">
        <v>3372</v>
      </c>
      <c r="F1977" s="11">
        <v>0</v>
      </c>
    </row>
    <row r="1978" spans="1:6" x14ac:dyDescent="0.35">
      <c r="A1978" t="s">
        <v>2856</v>
      </c>
      <c r="B1978" t="s">
        <v>2866</v>
      </c>
      <c r="C1978" t="s">
        <v>2687</v>
      </c>
      <c r="D1978" t="s">
        <v>2916</v>
      </c>
      <c r="E1978">
        <v>18606</v>
      </c>
      <c r="F1978" s="11">
        <v>0</v>
      </c>
    </row>
    <row r="1979" spans="1:6" x14ac:dyDescent="0.35">
      <c r="A1979" t="s">
        <v>2856</v>
      </c>
      <c r="B1979" t="s">
        <v>2866</v>
      </c>
      <c r="C1979" t="s">
        <v>2687</v>
      </c>
      <c r="D1979" t="s">
        <v>2917</v>
      </c>
      <c r="E1979">
        <v>0</v>
      </c>
      <c r="F1979" s="11">
        <v>0</v>
      </c>
    </row>
    <row r="1980" spans="1:6" x14ac:dyDescent="0.35">
      <c r="A1980" t="s">
        <v>2856</v>
      </c>
      <c r="B1980" t="s">
        <v>2865</v>
      </c>
      <c r="C1980" t="s">
        <v>1522</v>
      </c>
      <c r="D1980" t="s">
        <v>2875</v>
      </c>
      <c r="E1980">
        <v>40737</v>
      </c>
      <c r="F1980" s="11">
        <v>1</v>
      </c>
    </row>
    <row r="1981" spans="1:6" x14ac:dyDescent="0.35">
      <c r="A1981" t="s">
        <v>2856</v>
      </c>
      <c r="B1981" t="s">
        <v>2865</v>
      </c>
      <c r="C1981" t="s">
        <v>1522</v>
      </c>
      <c r="D1981" t="s">
        <v>2876</v>
      </c>
      <c r="E1981">
        <v>0</v>
      </c>
      <c r="F1981" s="11">
        <v>0</v>
      </c>
    </row>
    <row r="1982" spans="1:6" x14ac:dyDescent="0.35">
      <c r="A1982" t="s">
        <v>2856</v>
      </c>
      <c r="B1982" t="s">
        <v>2865</v>
      </c>
      <c r="C1982" t="s">
        <v>1522</v>
      </c>
      <c r="D1982" t="s">
        <v>2877</v>
      </c>
      <c r="E1982">
        <v>0</v>
      </c>
      <c r="F1982" s="11">
        <v>0</v>
      </c>
    </row>
    <row r="1983" spans="1:6" x14ac:dyDescent="0.35">
      <c r="A1983" t="s">
        <v>2856</v>
      </c>
      <c r="B1983" t="s">
        <v>2865</v>
      </c>
      <c r="C1983" t="s">
        <v>1522</v>
      </c>
      <c r="D1983" t="s">
        <v>2878</v>
      </c>
      <c r="E1983">
        <v>0</v>
      </c>
      <c r="F1983" s="11">
        <v>1</v>
      </c>
    </row>
    <row r="1984" spans="1:6" x14ac:dyDescent="0.35">
      <c r="A1984" t="s">
        <v>2856</v>
      </c>
      <c r="B1984" t="s">
        <v>2865</v>
      </c>
      <c r="C1984" t="s">
        <v>1522</v>
      </c>
      <c r="D1984" t="s">
        <v>2879</v>
      </c>
      <c r="E1984">
        <v>9059</v>
      </c>
      <c r="F1984" s="11">
        <v>1</v>
      </c>
    </row>
    <row r="1985" spans="1:6" x14ac:dyDescent="0.35">
      <c r="A1985" t="s">
        <v>2856</v>
      </c>
      <c r="B1985" t="s">
        <v>2865</v>
      </c>
      <c r="C1985" t="s">
        <v>1522</v>
      </c>
      <c r="D1985" t="s">
        <v>2880</v>
      </c>
      <c r="E1985">
        <v>5956</v>
      </c>
      <c r="F1985" s="11">
        <v>1</v>
      </c>
    </row>
    <row r="1986" spans="1:6" x14ac:dyDescent="0.35">
      <c r="A1986" t="s">
        <v>2856</v>
      </c>
      <c r="B1986" t="s">
        <v>2865</v>
      </c>
      <c r="C1986" t="s">
        <v>1522</v>
      </c>
      <c r="D1986" t="s">
        <v>2881</v>
      </c>
      <c r="E1986">
        <v>2978</v>
      </c>
      <c r="F1986" s="11">
        <v>1</v>
      </c>
    </row>
    <row r="1987" spans="1:6" x14ac:dyDescent="0.35">
      <c r="A1987" t="s">
        <v>2856</v>
      </c>
      <c r="B1987" t="s">
        <v>2865</v>
      </c>
      <c r="C1987" t="s">
        <v>1522</v>
      </c>
      <c r="D1987" t="s">
        <v>2882</v>
      </c>
      <c r="E1987">
        <v>125</v>
      </c>
      <c r="F1987" s="11">
        <v>1</v>
      </c>
    </row>
    <row r="1988" spans="1:6" x14ac:dyDescent="0.35">
      <c r="A1988" t="s">
        <v>2856</v>
      </c>
      <c r="B1988" t="s">
        <v>2865</v>
      </c>
      <c r="C1988" t="s">
        <v>1522</v>
      </c>
      <c r="D1988" t="s">
        <v>2883</v>
      </c>
      <c r="E1988">
        <v>0</v>
      </c>
      <c r="F1988" s="11">
        <v>0</v>
      </c>
    </row>
    <row r="1989" spans="1:6" x14ac:dyDescent="0.35">
      <c r="A1989" t="s">
        <v>2856</v>
      </c>
      <c r="B1989" t="s">
        <v>2865</v>
      </c>
      <c r="C1989" t="s">
        <v>1522</v>
      </c>
      <c r="D1989" t="s">
        <v>2884</v>
      </c>
      <c r="E1989">
        <v>0</v>
      </c>
      <c r="F1989" s="11">
        <v>0</v>
      </c>
    </row>
    <row r="1990" spans="1:6" x14ac:dyDescent="0.35">
      <c r="A1990" t="s">
        <v>2856</v>
      </c>
      <c r="B1990" t="s">
        <v>2865</v>
      </c>
      <c r="C1990" t="s">
        <v>1522</v>
      </c>
      <c r="D1990" t="s">
        <v>2885</v>
      </c>
      <c r="E1990">
        <v>0</v>
      </c>
      <c r="F1990" s="11">
        <v>0</v>
      </c>
    </row>
    <row r="1991" spans="1:6" x14ac:dyDescent="0.35">
      <c r="A1991" t="s">
        <v>2856</v>
      </c>
      <c r="B1991" t="s">
        <v>2865</v>
      </c>
      <c r="C1991" t="s">
        <v>1522</v>
      </c>
      <c r="D1991" t="s">
        <v>2886</v>
      </c>
      <c r="E1991">
        <v>0</v>
      </c>
      <c r="F1991" s="11">
        <v>0</v>
      </c>
    </row>
    <row r="1992" spans="1:6" x14ac:dyDescent="0.35">
      <c r="A1992" t="s">
        <v>2856</v>
      </c>
      <c r="B1992" t="s">
        <v>2865</v>
      </c>
      <c r="C1992" t="s">
        <v>1522</v>
      </c>
      <c r="D1992" t="s">
        <v>2887</v>
      </c>
      <c r="E1992">
        <v>133450</v>
      </c>
      <c r="F1992" s="11">
        <v>1</v>
      </c>
    </row>
    <row r="1993" spans="1:6" x14ac:dyDescent="0.35">
      <c r="A1993" t="s">
        <v>2856</v>
      </c>
      <c r="B1993" t="s">
        <v>2865</v>
      </c>
      <c r="C1993" t="s">
        <v>1522</v>
      </c>
      <c r="D1993" t="s">
        <v>2888</v>
      </c>
      <c r="E1993">
        <v>84707</v>
      </c>
      <c r="F1993" s="11">
        <v>1</v>
      </c>
    </row>
    <row r="1994" spans="1:6" x14ac:dyDescent="0.35">
      <c r="A1994" t="s">
        <v>2856</v>
      </c>
      <c r="B1994" t="s">
        <v>2865</v>
      </c>
      <c r="C1994" t="s">
        <v>1522</v>
      </c>
      <c r="D1994" t="s">
        <v>2889</v>
      </c>
      <c r="E1994">
        <v>48013</v>
      </c>
      <c r="F1994" s="11">
        <v>0</v>
      </c>
    </row>
    <row r="1995" spans="1:6" x14ac:dyDescent="0.35">
      <c r="A1995" t="s">
        <v>2856</v>
      </c>
      <c r="B1995" t="s">
        <v>2865</v>
      </c>
      <c r="C1995" t="s">
        <v>1522</v>
      </c>
      <c r="D1995" t="s">
        <v>2890</v>
      </c>
      <c r="E1995">
        <v>730</v>
      </c>
      <c r="F1995" s="11">
        <v>1</v>
      </c>
    </row>
    <row r="1996" spans="1:6" x14ac:dyDescent="0.35">
      <c r="A1996" t="s">
        <v>2856</v>
      </c>
      <c r="B1996" t="s">
        <v>2865</v>
      </c>
      <c r="C1996" t="s">
        <v>1522</v>
      </c>
      <c r="D1996" t="s">
        <v>2891</v>
      </c>
      <c r="E1996">
        <v>0</v>
      </c>
      <c r="F1996" s="11">
        <v>0</v>
      </c>
    </row>
    <row r="1997" spans="1:6" x14ac:dyDescent="0.35">
      <c r="A1997" t="s">
        <v>2856</v>
      </c>
      <c r="B1997" t="s">
        <v>2865</v>
      </c>
      <c r="C1997" t="s">
        <v>1522</v>
      </c>
      <c r="D1997" t="s">
        <v>2892</v>
      </c>
      <c r="E1997">
        <v>0</v>
      </c>
      <c r="F1997" s="11">
        <v>0</v>
      </c>
    </row>
    <row r="1998" spans="1:6" x14ac:dyDescent="0.35">
      <c r="A1998" t="s">
        <v>2856</v>
      </c>
      <c r="B1998" t="s">
        <v>2865</v>
      </c>
      <c r="C1998" t="s">
        <v>1522</v>
      </c>
      <c r="D1998" t="s">
        <v>2893</v>
      </c>
      <c r="E1998">
        <v>0</v>
      </c>
      <c r="F1998" s="11">
        <v>0</v>
      </c>
    </row>
    <row r="1999" spans="1:6" x14ac:dyDescent="0.35">
      <c r="A1999" t="s">
        <v>2856</v>
      </c>
      <c r="B1999" t="s">
        <v>2865</v>
      </c>
      <c r="C1999" t="s">
        <v>1522</v>
      </c>
      <c r="D1999" t="s">
        <v>2894</v>
      </c>
      <c r="E1999">
        <v>0</v>
      </c>
      <c r="F1999" s="11">
        <v>0</v>
      </c>
    </row>
    <row r="2000" spans="1:6" x14ac:dyDescent="0.35">
      <c r="A2000" t="s">
        <v>2856</v>
      </c>
      <c r="B2000" t="s">
        <v>2865</v>
      </c>
      <c r="C2000" t="s">
        <v>1522</v>
      </c>
      <c r="D2000" t="s">
        <v>2895</v>
      </c>
      <c r="E2000">
        <v>795545</v>
      </c>
      <c r="F2000" s="11">
        <v>1</v>
      </c>
    </row>
    <row r="2001" spans="1:6" x14ac:dyDescent="0.35">
      <c r="A2001" t="s">
        <v>2856</v>
      </c>
      <c r="B2001" t="s">
        <v>2865</v>
      </c>
      <c r="C2001" t="s">
        <v>1522</v>
      </c>
      <c r="D2001" t="s">
        <v>2896</v>
      </c>
      <c r="E2001">
        <v>371866</v>
      </c>
      <c r="F2001" s="11">
        <v>1</v>
      </c>
    </row>
    <row r="2002" spans="1:6" x14ac:dyDescent="0.35">
      <c r="A2002" t="s">
        <v>2856</v>
      </c>
      <c r="B2002" t="s">
        <v>2865</v>
      </c>
      <c r="C2002" t="s">
        <v>1522</v>
      </c>
      <c r="D2002" t="s">
        <v>2897</v>
      </c>
      <c r="E2002">
        <v>410114</v>
      </c>
      <c r="F2002" s="11">
        <v>1</v>
      </c>
    </row>
    <row r="2003" spans="1:6" x14ac:dyDescent="0.35">
      <c r="A2003" t="s">
        <v>2856</v>
      </c>
      <c r="B2003" t="s">
        <v>2865</v>
      </c>
      <c r="C2003" t="s">
        <v>1522</v>
      </c>
      <c r="D2003" t="s">
        <v>2898</v>
      </c>
      <c r="E2003">
        <v>13565</v>
      </c>
      <c r="F2003" s="11">
        <v>1</v>
      </c>
    </row>
    <row r="2004" spans="1:6" x14ac:dyDescent="0.35">
      <c r="A2004" t="s">
        <v>2856</v>
      </c>
      <c r="B2004" t="s">
        <v>2865</v>
      </c>
      <c r="C2004" t="s">
        <v>1522</v>
      </c>
      <c r="D2004" t="s">
        <v>2899</v>
      </c>
      <c r="E2004">
        <v>18148</v>
      </c>
      <c r="F2004" s="11">
        <v>1</v>
      </c>
    </row>
    <row r="2005" spans="1:6" x14ac:dyDescent="0.35">
      <c r="A2005" t="s">
        <v>2856</v>
      </c>
      <c r="B2005" t="s">
        <v>2865</v>
      </c>
      <c r="C2005" t="s">
        <v>1522</v>
      </c>
      <c r="D2005" t="s">
        <v>2900</v>
      </c>
      <c r="E2005">
        <v>16391</v>
      </c>
      <c r="F2005" s="11">
        <v>1</v>
      </c>
    </row>
    <row r="2006" spans="1:6" x14ac:dyDescent="0.35">
      <c r="A2006" t="s">
        <v>2856</v>
      </c>
      <c r="B2006" t="s">
        <v>2865</v>
      </c>
      <c r="C2006" t="s">
        <v>1522</v>
      </c>
      <c r="D2006" t="s">
        <v>2901</v>
      </c>
      <c r="E2006">
        <v>1757</v>
      </c>
      <c r="F2006" s="11">
        <v>1</v>
      </c>
    </row>
    <row r="2007" spans="1:6" x14ac:dyDescent="0.35">
      <c r="A2007" t="s">
        <v>2856</v>
      </c>
      <c r="B2007" t="s">
        <v>2865</v>
      </c>
      <c r="C2007" t="s">
        <v>1522</v>
      </c>
      <c r="D2007" t="s">
        <v>2902</v>
      </c>
      <c r="E2007">
        <v>0</v>
      </c>
      <c r="F2007" s="11">
        <v>1</v>
      </c>
    </row>
    <row r="2008" spans="1:6" x14ac:dyDescent="0.35">
      <c r="A2008" t="s">
        <v>2856</v>
      </c>
      <c r="B2008" t="s">
        <v>2865</v>
      </c>
      <c r="C2008" t="s">
        <v>1522</v>
      </c>
      <c r="D2008" t="s">
        <v>2903</v>
      </c>
      <c r="E2008">
        <v>66065</v>
      </c>
      <c r="F2008" s="11">
        <v>1</v>
      </c>
    </row>
    <row r="2009" spans="1:6" x14ac:dyDescent="0.35">
      <c r="A2009" t="s">
        <v>2856</v>
      </c>
      <c r="B2009" t="s">
        <v>2865</v>
      </c>
      <c r="C2009" t="s">
        <v>1522</v>
      </c>
      <c r="D2009" t="s">
        <v>2904</v>
      </c>
      <c r="E2009">
        <v>57008</v>
      </c>
      <c r="F2009" s="11">
        <v>1</v>
      </c>
    </row>
    <row r="2010" spans="1:6" x14ac:dyDescent="0.35">
      <c r="A2010" t="s">
        <v>2856</v>
      </c>
      <c r="B2010" t="s">
        <v>2865</v>
      </c>
      <c r="C2010" t="s">
        <v>1522</v>
      </c>
      <c r="D2010" t="s">
        <v>2905</v>
      </c>
      <c r="E2010">
        <v>5288</v>
      </c>
      <c r="F2010" s="11">
        <v>1</v>
      </c>
    </row>
    <row r="2011" spans="1:6" x14ac:dyDescent="0.35">
      <c r="A2011" t="s">
        <v>2856</v>
      </c>
      <c r="B2011" t="s">
        <v>2865</v>
      </c>
      <c r="C2011" t="s">
        <v>1522</v>
      </c>
      <c r="D2011" t="s">
        <v>2906</v>
      </c>
      <c r="E2011">
        <v>3769</v>
      </c>
      <c r="F2011" s="11">
        <v>1</v>
      </c>
    </row>
    <row r="2012" spans="1:6" x14ac:dyDescent="0.35">
      <c r="A2012" t="s">
        <v>2856</v>
      </c>
      <c r="B2012" t="s">
        <v>2865</v>
      </c>
      <c r="C2012" t="s">
        <v>1522</v>
      </c>
      <c r="D2012" t="s">
        <v>2907</v>
      </c>
      <c r="E2012">
        <v>38226</v>
      </c>
      <c r="F2012" s="11">
        <v>1</v>
      </c>
    </row>
    <row r="2013" spans="1:6" x14ac:dyDescent="0.35">
      <c r="A2013" t="s">
        <v>2856</v>
      </c>
      <c r="B2013" t="s">
        <v>2865</v>
      </c>
      <c r="C2013" t="s">
        <v>1522</v>
      </c>
      <c r="D2013" t="s">
        <v>2908</v>
      </c>
      <c r="E2013">
        <v>28690</v>
      </c>
      <c r="F2013" s="11">
        <v>1</v>
      </c>
    </row>
    <row r="2014" spans="1:6" x14ac:dyDescent="0.35">
      <c r="A2014" t="s">
        <v>2856</v>
      </c>
      <c r="B2014" t="s">
        <v>2865</v>
      </c>
      <c r="C2014" t="s">
        <v>1522</v>
      </c>
      <c r="D2014" t="s">
        <v>2909</v>
      </c>
      <c r="E2014">
        <v>6717</v>
      </c>
      <c r="F2014" s="11">
        <v>1</v>
      </c>
    </row>
    <row r="2015" spans="1:6" x14ac:dyDescent="0.35">
      <c r="A2015" t="s">
        <v>2856</v>
      </c>
      <c r="B2015" t="s">
        <v>2865</v>
      </c>
      <c r="C2015" t="s">
        <v>1522</v>
      </c>
      <c r="D2015" t="s">
        <v>2910</v>
      </c>
      <c r="E2015">
        <v>2819</v>
      </c>
      <c r="F2015" s="11">
        <v>1</v>
      </c>
    </row>
    <row r="2016" spans="1:6" x14ac:dyDescent="0.35">
      <c r="A2016" t="s">
        <v>2856</v>
      </c>
      <c r="B2016" t="s">
        <v>2865</v>
      </c>
      <c r="C2016" t="s">
        <v>1522</v>
      </c>
      <c r="D2016" t="s">
        <v>2911</v>
      </c>
      <c r="E2016">
        <v>510247</v>
      </c>
      <c r="F2016" s="11">
        <v>1</v>
      </c>
    </row>
    <row r="2017" spans="1:6" x14ac:dyDescent="0.35">
      <c r="A2017" t="s">
        <v>2856</v>
      </c>
      <c r="B2017" t="s">
        <v>2865</v>
      </c>
      <c r="C2017" t="s">
        <v>1522</v>
      </c>
      <c r="D2017" t="s">
        <v>2912</v>
      </c>
      <c r="E2017">
        <v>401840</v>
      </c>
      <c r="F2017" s="11">
        <v>1</v>
      </c>
    </row>
    <row r="2018" spans="1:6" x14ac:dyDescent="0.35">
      <c r="A2018" t="s">
        <v>2856</v>
      </c>
      <c r="B2018" t="s">
        <v>2865</v>
      </c>
      <c r="C2018" t="s">
        <v>1522</v>
      </c>
      <c r="D2018" t="s">
        <v>2913</v>
      </c>
      <c r="E2018">
        <v>0</v>
      </c>
      <c r="F2018" s="11">
        <v>0</v>
      </c>
    </row>
    <row r="2019" spans="1:6" x14ac:dyDescent="0.35">
      <c r="A2019" t="s">
        <v>2856</v>
      </c>
      <c r="B2019" t="s">
        <v>2865</v>
      </c>
      <c r="C2019" t="s">
        <v>1522</v>
      </c>
      <c r="D2019" t="s">
        <v>2914</v>
      </c>
      <c r="E2019">
        <v>0</v>
      </c>
      <c r="F2019" s="11">
        <v>0</v>
      </c>
    </row>
    <row r="2020" spans="1:6" x14ac:dyDescent="0.35">
      <c r="A2020" t="s">
        <v>2856</v>
      </c>
      <c r="B2020" t="s">
        <v>2865</v>
      </c>
      <c r="C2020" t="s">
        <v>1522</v>
      </c>
      <c r="D2020" t="s">
        <v>2915</v>
      </c>
      <c r="E2020">
        <v>8538</v>
      </c>
      <c r="F2020" s="11">
        <v>1</v>
      </c>
    </row>
    <row r="2021" spans="1:6" x14ac:dyDescent="0.35">
      <c r="A2021" t="s">
        <v>2856</v>
      </c>
      <c r="B2021" t="s">
        <v>2865</v>
      </c>
      <c r="C2021" t="s">
        <v>1522</v>
      </c>
      <c r="D2021" t="s">
        <v>2916</v>
      </c>
      <c r="E2021">
        <v>0</v>
      </c>
      <c r="F2021" s="11">
        <v>0</v>
      </c>
    </row>
    <row r="2022" spans="1:6" x14ac:dyDescent="0.35">
      <c r="A2022" t="s">
        <v>2856</v>
      </c>
      <c r="B2022" t="s">
        <v>2865</v>
      </c>
      <c r="C2022" t="s">
        <v>1522</v>
      </c>
      <c r="D2022" t="s">
        <v>2917</v>
      </c>
      <c r="E2022">
        <v>0</v>
      </c>
      <c r="F2022" s="11">
        <v>0</v>
      </c>
    </row>
    <row r="2023" spans="1:6" x14ac:dyDescent="0.35">
      <c r="A2023" t="s">
        <v>2856</v>
      </c>
      <c r="B2023" t="s">
        <v>2865</v>
      </c>
      <c r="C2023" t="s">
        <v>2690</v>
      </c>
      <c r="D2023" t="s">
        <v>2875</v>
      </c>
      <c r="E2023">
        <v>7101</v>
      </c>
      <c r="F2023" s="11">
        <v>0</v>
      </c>
    </row>
    <row r="2024" spans="1:6" x14ac:dyDescent="0.35">
      <c r="A2024" t="s">
        <v>2856</v>
      </c>
      <c r="B2024" t="s">
        <v>2865</v>
      </c>
      <c r="C2024" t="s">
        <v>2690</v>
      </c>
      <c r="D2024" t="s">
        <v>2876</v>
      </c>
      <c r="E2024">
        <v>2514</v>
      </c>
      <c r="F2024" s="11">
        <v>0</v>
      </c>
    </row>
    <row r="2025" spans="1:6" x14ac:dyDescent="0.35">
      <c r="A2025" t="s">
        <v>2856</v>
      </c>
      <c r="B2025" t="s">
        <v>2865</v>
      </c>
      <c r="C2025" t="s">
        <v>2690</v>
      </c>
      <c r="D2025" t="s">
        <v>2877</v>
      </c>
      <c r="E2025">
        <v>4226</v>
      </c>
      <c r="F2025" s="11">
        <v>0</v>
      </c>
    </row>
    <row r="2026" spans="1:6" x14ac:dyDescent="0.35">
      <c r="A2026" t="s">
        <v>2856</v>
      </c>
      <c r="B2026" t="s">
        <v>2865</v>
      </c>
      <c r="C2026" t="s">
        <v>2690</v>
      </c>
      <c r="D2026" t="s">
        <v>2878</v>
      </c>
      <c r="E2026">
        <v>361</v>
      </c>
      <c r="F2026" s="11">
        <v>0</v>
      </c>
    </row>
    <row r="2027" spans="1:6" x14ac:dyDescent="0.35">
      <c r="A2027" t="s">
        <v>2856</v>
      </c>
      <c r="B2027" t="s">
        <v>2865</v>
      </c>
      <c r="C2027" t="s">
        <v>2690</v>
      </c>
      <c r="D2027" t="s">
        <v>2879</v>
      </c>
      <c r="E2027">
        <v>3524</v>
      </c>
      <c r="F2027" s="11">
        <v>0</v>
      </c>
    </row>
    <row r="2028" spans="1:6" x14ac:dyDescent="0.35">
      <c r="A2028" t="s">
        <v>2856</v>
      </c>
      <c r="B2028" t="s">
        <v>2865</v>
      </c>
      <c r="C2028" t="s">
        <v>2690</v>
      </c>
      <c r="D2028" t="s">
        <v>2880</v>
      </c>
      <c r="E2028">
        <v>2021</v>
      </c>
      <c r="F2028" s="11">
        <v>0</v>
      </c>
    </row>
    <row r="2029" spans="1:6" x14ac:dyDescent="0.35">
      <c r="A2029" t="s">
        <v>2856</v>
      </c>
      <c r="B2029" t="s">
        <v>2865</v>
      </c>
      <c r="C2029" t="s">
        <v>2690</v>
      </c>
      <c r="D2029" t="s">
        <v>2881</v>
      </c>
      <c r="E2029">
        <v>1503</v>
      </c>
      <c r="F2029" s="11">
        <v>0</v>
      </c>
    </row>
    <row r="2030" spans="1:6" x14ac:dyDescent="0.35">
      <c r="A2030" t="s">
        <v>2856</v>
      </c>
      <c r="B2030" t="s">
        <v>2865</v>
      </c>
      <c r="C2030" t="s">
        <v>2690</v>
      </c>
      <c r="D2030" t="s">
        <v>2882</v>
      </c>
      <c r="E2030">
        <v>0</v>
      </c>
      <c r="F2030" s="11">
        <v>0</v>
      </c>
    </row>
    <row r="2031" spans="1:6" x14ac:dyDescent="0.35">
      <c r="A2031" t="s">
        <v>2856</v>
      </c>
      <c r="B2031" t="s">
        <v>2865</v>
      </c>
      <c r="C2031" t="s">
        <v>2690</v>
      </c>
      <c r="D2031" t="s">
        <v>2883</v>
      </c>
      <c r="E2031">
        <v>0</v>
      </c>
      <c r="F2031" s="11">
        <v>0</v>
      </c>
    </row>
    <row r="2032" spans="1:6" x14ac:dyDescent="0.35">
      <c r="A2032" t="s">
        <v>2856</v>
      </c>
      <c r="B2032" t="s">
        <v>2865</v>
      </c>
      <c r="C2032" t="s">
        <v>2690</v>
      </c>
      <c r="D2032" t="s">
        <v>2884</v>
      </c>
      <c r="E2032">
        <v>0</v>
      </c>
      <c r="F2032" s="11">
        <v>0</v>
      </c>
    </row>
    <row r="2033" spans="1:6" x14ac:dyDescent="0.35">
      <c r="A2033" t="s">
        <v>2856</v>
      </c>
      <c r="B2033" t="s">
        <v>2865</v>
      </c>
      <c r="C2033" t="s">
        <v>2690</v>
      </c>
      <c r="D2033" t="s">
        <v>2885</v>
      </c>
      <c r="E2033">
        <v>0</v>
      </c>
      <c r="F2033" s="11">
        <v>0</v>
      </c>
    </row>
    <row r="2034" spans="1:6" x14ac:dyDescent="0.35">
      <c r="A2034" t="s">
        <v>2856</v>
      </c>
      <c r="B2034" t="s">
        <v>2865</v>
      </c>
      <c r="C2034" t="s">
        <v>2690</v>
      </c>
      <c r="D2034" t="s">
        <v>2886</v>
      </c>
      <c r="E2034">
        <v>0</v>
      </c>
      <c r="F2034" s="11">
        <v>0</v>
      </c>
    </row>
    <row r="2035" spans="1:6" x14ac:dyDescent="0.35">
      <c r="A2035" t="s">
        <v>2856</v>
      </c>
      <c r="B2035" t="s">
        <v>2865</v>
      </c>
      <c r="C2035" t="s">
        <v>2690</v>
      </c>
      <c r="D2035" t="s">
        <v>2887</v>
      </c>
      <c r="E2035">
        <v>45137</v>
      </c>
      <c r="F2035" s="11">
        <v>0</v>
      </c>
    </row>
    <row r="2036" spans="1:6" x14ac:dyDescent="0.35">
      <c r="A2036" t="s">
        <v>2856</v>
      </c>
      <c r="B2036" t="s">
        <v>2865</v>
      </c>
      <c r="C2036" t="s">
        <v>2690</v>
      </c>
      <c r="D2036" t="s">
        <v>2888</v>
      </c>
      <c r="E2036">
        <v>13493</v>
      </c>
      <c r="F2036" s="11">
        <v>0</v>
      </c>
    </row>
    <row r="2037" spans="1:6" x14ac:dyDescent="0.35">
      <c r="A2037" t="s">
        <v>2856</v>
      </c>
      <c r="B2037" t="s">
        <v>2865</v>
      </c>
      <c r="C2037" t="s">
        <v>2690</v>
      </c>
      <c r="D2037" t="s">
        <v>2889</v>
      </c>
      <c r="E2037">
        <v>31644</v>
      </c>
      <c r="F2037" s="11">
        <v>0</v>
      </c>
    </row>
    <row r="2038" spans="1:6" x14ac:dyDescent="0.35">
      <c r="A2038" t="s">
        <v>2856</v>
      </c>
      <c r="B2038" t="s">
        <v>2865</v>
      </c>
      <c r="C2038" t="s">
        <v>2690</v>
      </c>
      <c r="D2038" t="s">
        <v>2890</v>
      </c>
      <c r="E2038">
        <v>0</v>
      </c>
      <c r="F2038" s="11">
        <v>0</v>
      </c>
    </row>
    <row r="2039" spans="1:6" x14ac:dyDescent="0.35">
      <c r="A2039" t="s">
        <v>2856</v>
      </c>
      <c r="B2039" t="s">
        <v>2865</v>
      </c>
      <c r="C2039" t="s">
        <v>2690</v>
      </c>
      <c r="D2039" t="s">
        <v>2891</v>
      </c>
      <c r="E2039">
        <v>0</v>
      </c>
      <c r="F2039" s="11">
        <v>0</v>
      </c>
    </row>
    <row r="2040" spans="1:6" x14ac:dyDescent="0.35">
      <c r="A2040" t="s">
        <v>2856</v>
      </c>
      <c r="B2040" t="s">
        <v>2865</v>
      </c>
      <c r="C2040" t="s">
        <v>2690</v>
      </c>
      <c r="D2040" t="s">
        <v>2892</v>
      </c>
      <c r="E2040">
        <v>0</v>
      </c>
      <c r="F2040" s="11">
        <v>0</v>
      </c>
    </row>
    <row r="2041" spans="1:6" x14ac:dyDescent="0.35">
      <c r="A2041" t="s">
        <v>2856</v>
      </c>
      <c r="B2041" t="s">
        <v>2865</v>
      </c>
      <c r="C2041" t="s">
        <v>2690</v>
      </c>
      <c r="D2041" t="s">
        <v>2893</v>
      </c>
      <c r="E2041">
        <v>0</v>
      </c>
      <c r="F2041" s="11">
        <v>0</v>
      </c>
    </row>
    <row r="2042" spans="1:6" x14ac:dyDescent="0.35">
      <c r="A2042" t="s">
        <v>2856</v>
      </c>
      <c r="B2042" t="s">
        <v>2865</v>
      </c>
      <c r="C2042" t="s">
        <v>2690</v>
      </c>
      <c r="D2042" t="s">
        <v>2894</v>
      </c>
      <c r="E2042">
        <v>0</v>
      </c>
      <c r="F2042" s="11">
        <v>0</v>
      </c>
    </row>
    <row r="2043" spans="1:6" x14ac:dyDescent="0.35">
      <c r="A2043" t="s">
        <v>2856</v>
      </c>
      <c r="B2043" t="s">
        <v>2865</v>
      </c>
      <c r="C2043" t="s">
        <v>2690</v>
      </c>
      <c r="D2043" t="s">
        <v>2895</v>
      </c>
      <c r="E2043">
        <v>124562</v>
      </c>
      <c r="F2043" s="11">
        <v>0</v>
      </c>
    </row>
    <row r="2044" spans="1:6" x14ac:dyDescent="0.35">
      <c r="A2044" t="s">
        <v>2856</v>
      </c>
      <c r="B2044" t="s">
        <v>2865</v>
      </c>
      <c r="C2044" t="s">
        <v>2690</v>
      </c>
      <c r="D2044" t="s">
        <v>2896</v>
      </c>
      <c r="E2044">
        <v>79171</v>
      </c>
      <c r="F2044" s="11">
        <v>0</v>
      </c>
    </row>
    <row r="2045" spans="1:6" x14ac:dyDescent="0.35">
      <c r="A2045" t="s">
        <v>2856</v>
      </c>
      <c r="B2045" t="s">
        <v>2865</v>
      </c>
      <c r="C2045" t="s">
        <v>2690</v>
      </c>
      <c r="D2045" t="s">
        <v>2897</v>
      </c>
      <c r="E2045">
        <v>53307</v>
      </c>
      <c r="F2045" s="11">
        <v>0</v>
      </c>
    </row>
    <row r="2046" spans="1:6" x14ac:dyDescent="0.35">
      <c r="A2046" t="s">
        <v>2856</v>
      </c>
      <c r="B2046" t="s">
        <v>2865</v>
      </c>
      <c r="C2046" t="s">
        <v>2690</v>
      </c>
      <c r="D2046" t="s">
        <v>2898</v>
      </c>
      <c r="E2046">
        <v>2084</v>
      </c>
      <c r="F2046" s="11">
        <v>0</v>
      </c>
    </row>
    <row r="2047" spans="1:6" x14ac:dyDescent="0.35">
      <c r="A2047" t="s">
        <v>2856</v>
      </c>
      <c r="B2047" t="s">
        <v>2865</v>
      </c>
      <c r="C2047" t="s">
        <v>2690</v>
      </c>
      <c r="D2047" t="s">
        <v>2899</v>
      </c>
      <c r="E2047">
        <v>3364</v>
      </c>
      <c r="F2047" s="11">
        <v>0</v>
      </c>
    </row>
    <row r="2048" spans="1:6" x14ac:dyDescent="0.35">
      <c r="A2048" t="s">
        <v>2856</v>
      </c>
      <c r="B2048" t="s">
        <v>2865</v>
      </c>
      <c r="C2048" t="s">
        <v>2690</v>
      </c>
      <c r="D2048" t="s">
        <v>2900</v>
      </c>
      <c r="E2048">
        <v>3364</v>
      </c>
      <c r="F2048" s="11">
        <v>0</v>
      </c>
    </row>
    <row r="2049" spans="1:6" x14ac:dyDescent="0.35">
      <c r="A2049" t="s">
        <v>2856</v>
      </c>
      <c r="B2049" t="s">
        <v>2865</v>
      </c>
      <c r="C2049" t="s">
        <v>2690</v>
      </c>
      <c r="D2049" t="s">
        <v>2901</v>
      </c>
      <c r="E2049">
        <v>0</v>
      </c>
      <c r="F2049" s="11">
        <v>0</v>
      </c>
    </row>
    <row r="2050" spans="1:6" x14ac:dyDescent="0.35">
      <c r="A2050" t="s">
        <v>2856</v>
      </c>
      <c r="B2050" t="s">
        <v>2865</v>
      </c>
      <c r="C2050" t="s">
        <v>2690</v>
      </c>
      <c r="D2050" t="s">
        <v>2902</v>
      </c>
      <c r="E2050">
        <v>0</v>
      </c>
      <c r="F2050" s="11">
        <v>0</v>
      </c>
    </row>
    <row r="2051" spans="1:6" x14ac:dyDescent="0.35">
      <c r="A2051" t="s">
        <v>2856</v>
      </c>
      <c r="B2051" t="s">
        <v>2865</v>
      </c>
      <c r="C2051" t="s">
        <v>2690</v>
      </c>
      <c r="D2051" t="s">
        <v>2903</v>
      </c>
      <c r="E2051">
        <v>10604</v>
      </c>
      <c r="F2051" s="11">
        <v>0</v>
      </c>
    </row>
    <row r="2052" spans="1:6" x14ac:dyDescent="0.35">
      <c r="A2052" t="s">
        <v>2856</v>
      </c>
      <c r="B2052" t="s">
        <v>2865</v>
      </c>
      <c r="C2052" t="s">
        <v>2690</v>
      </c>
      <c r="D2052" t="s">
        <v>2904</v>
      </c>
      <c r="E2052">
        <v>10604</v>
      </c>
      <c r="F2052" s="11">
        <v>0</v>
      </c>
    </row>
    <row r="2053" spans="1:6" x14ac:dyDescent="0.35">
      <c r="A2053" t="s">
        <v>2856</v>
      </c>
      <c r="B2053" t="s">
        <v>2865</v>
      </c>
      <c r="C2053" t="s">
        <v>2690</v>
      </c>
      <c r="D2053" t="s">
        <v>2905</v>
      </c>
      <c r="E2053">
        <v>0</v>
      </c>
      <c r="F2053" s="11">
        <v>0</v>
      </c>
    </row>
    <row r="2054" spans="1:6" x14ac:dyDescent="0.35">
      <c r="A2054" t="s">
        <v>2856</v>
      </c>
      <c r="B2054" t="s">
        <v>2865</v>
      </c>
      <c r="C2054" t="s">
        <v>2690</v>
      </c>
      <c r="D2054" t="s">
        <v>2906</v>
      </c>
      <c r="E2054">
        <v>0</v>
      </c>
      <c r="F2054" s="11">
        <v>0</v>
      </c>
    </row>
    <row r="2055" spans="1:6" x14ac:dyDescent="0.35">
      <c r="A2055" t="s">
        <v>2856</v>
      </c>
      <c r="B2055" t="s">
        <v>2865</v>
      </c>
      <c r="C2055" t="s">
        <v>2690</v>
      </c>
      <c r="D2055" t="s">
        <v>2907</v>
      </c>
      <c r="E2055">
        <v>13891</v>
      </c>
      <c r="F2055" s="11">
        <v>0</v>
      </c>
    </row>
    <row r="2056" spans="1:6" x14ac:dyDescent="0.35">
      <c r="A2056" t="s">
        <v>2856</v>
      </c>
      <c r="B2056" t="s">
        <v>2865</v>
      </c>
      <c r="C2056" t="s">
        <v>2690</v>
      </c>
      <c r="D2056" t="s">
        <v>2908</v>
      </c>
      <c r="E2056">
        <v>13892</v>
      </c>
      <c r="F2056" s="11">
        <v>0</v>
      </c>
    </row>
    <row r="2057" spans="1:6" x14ac:dyDescent="0.35">
      <c r="A2057" t="s">
        <v>2856</v>
      </c>
      <c r="B2057" t="s">
        <v>2865</v>
      </c>
      <c r="C2057" t="s">
        <v>2690</v>
      </c>
      <c r="D2057" t="s">
        <v>2909</v>
      </c>
      <c r="E2057">
        <v>0</v>
      </c>
      <c r="F2057" s="11">
        <v>0</v>
      </c>
    </row>
    <row r="2058" spans="1:6" x14ac:dyDescent="0.35">
      <c r="A2058" t="s">
        <v>2856</v>
      </c>
      <c r="B2058" t="s">
        <v>2865</v>
      </c>
      <c r="C2058" t="s">
        <v>2690</v>
      </c>
      <c r="D2058" t="s">
        <v>2910</v>
      </c>
      <c r="E2058">
        <v>0</v>
      </c>
      <c r="F2058" s="11">
        <v>0</v>
      </c>
    </row>
    <row r="2059" spans="1:6" x14ac:dyDescent="0.35">
      <c r="A2059" t="s">
        <v>2856</v>
      </c>
      <c r="B2059" t="s">
        <v>2865</v>
      </c>
      <c r="C2059" t="s">
        <v>2690</v>
      </c>
      <c r="D2059" t="s">
        <v>2911</v>
      </c>
      <c r="E2059">
        <v>0</v>
      </c>
      <c r="F2059" s="11">
        <v>0</v>
      </c>
    </row>
    <row r="2060" spans="1:6" x14ac:dyDescent="0.35">
      <c r="A2060" t="s">
        <v>2856</v>
      </c>
      <c r="B2060" t="s">
        <v>2865</v>
      </c>
      <c r="C2060" t="s">
        <v>2690</v>
      </c>
      <c r="D2060" t="s">
        <v>2912</v>
      </c>
      <c r="E2060">
        <v>224162</v>
      </c>
      <c r="F2060" s="11">
        <v>0</v>
      </c>
    </row>
    <row r="2061" spans="1:6" x14ac:dyDescent="0.35">
      <c r="A2061" t="s">
        <v>2856</v>
      </c>
      <c r="B2061" t="s">
        <v>2865</v>
      </c>
      <c r="C2061" t="s">
        <v>2690</v>
      </c>
      <c r="D2061" t="s">
        <v>2913</v>
      </c>
      <c r="E2061">
        <v>0</v>
      </c>
      <c r="F2061" s="11">
        <v>0</v>
      </c>
    </row>
    <row r="2062" spans="1:6" x14ac:dyDescent="0.35">
      <c r="A2062" t="s">
        <v>2856</v>
      </c>
      <c r="B2062" t="s">
        <v>2865</v>
      </c>
      <c r="C2062" t="s">
        <v>2690</v>
      </c>
      <c r="D2062" t="s">
        <v>2914</v>
      </c>
      <c r="E2062">
        <v>0</v>
      </c>
      <c r="F2062" s="11">
        <v>0</v>
      </c>
    </row>
    <row r="2063" spans="1:6" x14ac:dyDescent="0.35">
      <c r="A2063" t="s">
        <v>2856</v>
      </c>
      <c r="B2063" t="s">
        <v>2865</v>
      </c>
      <c r="C2063" t="s">
        <v>2690</v>
      </c>
      <c r="D2063" t="s">
        <v>2915</v>
      </c>
      <c r="E2063">
        <v>8394</v>
      </c>
      <c r="F2063" s="11">
        <v>0</v>
      </c>
    </row>
    <row r="2064" spans="1:6" x14ac:dyDescent="0.35">
      <c r="A2064" t="s">
        <v>2856</v>
      </c>
      <c r="B2064" t="s">
        <v>2865</v>
      </c>
      <c r="C2064" t="s">
        <v>2690</v>
      </c>
      <c r="D2064" t="s">
        <v>2916</v>
      </c>
      <c r="E2064">
        <v>16899</v>
      </c>
      <c r="F2064" s="11">
        <v>0</v>
      </c>
    </row>
    <row r="2065" spans="1:6" x14ac:dyDescent="0.35">
      <c r="A2065" t="s">
        <v>2856</v>
      </c>
      <c r="B2065" t="s">
        <v>2865</v>
      </c>
      <c r="C2065" t="s">
        <v>2690</v>
      </c>
      <c r="D2065" t="s">
        <v>2917</v>
      </c>
      <c r="E2065">
        <v>21298</v>
      </c>
      <c r="F2065" s="11">
        <v>0</v>
      </c>
    </row>
    <row r="2066" spans="1:6" x14ac:dyDescent="0.35">
      <c r="A2066" t="s">
        <v>2856</v>
      </c>
      <c r="B2066" t="s">
        <v>2863</v>
      </c>
      <c r="C2066" t="s">
        <v>2691</v>
      </c>
      <c r="D2066" t="s">
        <v>2875</v>
      </c>
      <c r="E2066">
        <v>55062</v>
      </c>
      <c r="F2066" s="11">
        <v>0</v>
      </c>
    </row>
    <row r="2067" spans="1:6" x14ac:dyDescent="0.35">
      <c r="A2067" t="s">
        <v>2856</v>
      </c>
      <c r="B2067" t="s">
        <v>2863</v>
      </c>
      <c r="C2067" t="s">
        <v>2691</v>
      </c>
      <c r="D2067" t="s">
        <v>2876</v>
      </c>
      <c r="E2067">
        <v>18533</v>
      </c>
      <c r="F2067" s="11">
        <v>0</v>
      </c>
    </row>
    <row r="2068" spans="1:6" x14ac:dyDescent="0.35">
      <c r="A2068" t="s">
        <v>2856</v>
      </c>
      <c r="B2068" t="s">
        <v>2863</v>
      </c>
      <c r="C2068" t="s">
        <v>2691</v>
      </c>
      <c r="D2068" t="s">
        <v>2877</v>
      </c>
      <c r="E2068">
        <v>30566</v>
      </c>
      <c r="F2068" s="11">
        <v>0</v>
      </c>
    </row>
    <row r="2069" spans="1:6" x14ac:dyDescent="0.35">
      <c r="A2069" t="s">
        <v>2856</v>
      </c>
      <c r="B2069" t="s">
        <v>2863</v>
      </c>
      <c r="C2069" t="s">
        <v>2691</v>
      </c>
      <c r="D2069" t="s">
        <v>2878</v>
      </c>
      <c r="E2069">
        <v>5963</v>
      </c>
      <c r="F2069" s="11">
        <v>0</v>
      </c>
    </row>
    <row r="2070" spans="1:6" x14ac:dyDescent="0.35">
      <c r="A2070" t="s">
        <v>2856</v>
      </c>
      <c r="B2070" t="s">
        <v>2863</v>
      </c>
      <c r="C2070" t="s">
        <v>2691</v>
      </c>
      <c r="D2070" t="s">
        <v>2879</v>
      </c>
      <c r="E2070">
        <v>4560</v>
      </c>
      <c r="F2070" s="11">
        <v>0</v>
      </c>
    </row>
    <row r="2071" spans="1:6" x14ac:dyDescent="0.35">
      <c r="A2071" t="s">
        <v>2856</v>
      </c>
      <c r="B2071" t="s">
        <v>2863</v>
      </c>
      <c r="C2071" t="s">
        <v>2691</v>
      </c>
      <c r="D2071" t="s">
        <v>2880</v>
      </c>
      <c r="E2071">
        <v>716</v>
      </c>
      <c r="F2071" s="11">
        <v>0</v>
      </c>
    </row>
    <row r="2072" spans="1:6" x14ac:dyDescent="0.35">
      <c r="A2072" t="s">
        <v>2856</v>
      </c>
      <c r="B2072" t="s">
        <v>2863</v>
      </c>
      <c r="C2072" t="s">
        <v>2691</v>
      </c>
      <c r="D2072" t="s">
        <v>2881</v>
      </c>
      <c r="E2072">
        <v>3180</v>
      </c>
      <c r="F2072" s="11">
        <v>0</v>
      </c>
    </row>
    <row r="2073" spans="1:6" x14ac:dyDescent="0.35">
      <c r="A2073" t="s">
        <v>2856</v>
      </c>
      <c r="B2073" t="s">
        <v>2863</v>
      </c>
      <c r="C2073" t="s">
        <v>2691</v>
      </c>
      <c r="D2073" t="s">
        <v>2882</v>
      </c>
      <c r="E2073">
        <v>120</v>
      </c>
      <c r="F2073" s="11">
        <v>0</v>
      </c>
    </row>
    <row r="2074" spans="1:6" x14ac:dyDescent="0.35">
      <c r="A2074" t="s">
        <v>2856</v>
      </c>
      <c r="B2074" t="s">
        <v>2863</v>
      </c>
      <c r="C2074" t="s">
        <v>2691</v>
      </c>
      <c r="D2074" t="s">
        <v>2883</v>
      </c>
      <c r="E2074">
        <v>0</v>
      </c>
      <c r="F2074" s="11">
        <v>0</v>
      </c>
    </row>
    <row r="2075" spans="1:6" x14ac:dyDescent="0.35">
      <c r="A2075" t="s">
        <v>2856</v>
      </c>
      <c r="B2075" t="s">
        <v>2863</v>
      </c>
      <c r="C2075" t="s">
        <v>2691</v>
      </c>
      <c r="D2075" t="s">
        <v>2884</v>
      </c>
      <c r="E2075">
        <v>0</v>
      </c>
      <c r="F2075" s="11">
        <v>0</v>
      </c>
    </row>
    <row r="2076" spans="1:6" x14ac:dyDescent="0.35">
      <c r="A2076" t="s">
        <v>2856</v>
      </c>
      <c r="B2076" t="s">
        <v>2863</v>
      </c>
      <c r="C2076" t="s">
        <v>2691</v>
      </c>
      <c r="D2076" t="s">
        <v>2885</v>
      </c>
      <c r="E2076">
        <v>0</v>
      </c>
      <c r="F2076" s="11">
        <v>0</v>
      </c>
    </row>
    <row r="2077" spans="1:6" x14ac:dyDescent="0.35">
      <c r="A2077" t="s">
        <v>2856</v>
      </c>
      <c r="B2077" t="s">
        <v>2863</v>
      </c>
      <c r="C2077" t="s">
        <v>2691</v>
      </c>
      <c r="D2077" t="s">
        <v>2886</v>
      </c>
      <c r="E2077">
        <v>0</v>
      </c>
      <c r="F2077" s="11">
        <v>0</v>
      </c>
    </row>
    <row r="2078" spans="1:6" x14ac:dyDescent="0.35">
      <c r="A2078" t="s">
        <v>2856</v>
      </c>
      <c r="B2078" t="s">
        <v>2863</v>
      </c>
      <c r="C2078" t="s">
        <v>2691</v>
      </c>
      <c r="D2078" t="s">
        <v>2887</v>
      </c>
      <c r="E2078">
        <v>68844</v>
      </c>
      <c r="F2078" s="11">
        <v>0</v>
      </c>
    </row>
    <row r="2079" spans="1:6" x14ac:dyDescent="0.35">
      <c r="A2079" t="s">
        <v>2856</v>
      </c>
      <c r="B2079" t="s">
        <v>2863</v>
      </c>
      <c r="C2079" t="s">
        <v>2691</v>
      </c>
      <c r="D2079" t="s">
        <v>2888</v>
      </c>
      <c r="E2079">
        <v>13340</v>
      </c>
      <c r="F2079" s="11">
        <v>0</v>
      </c>
    </row>
    <row r="2080" spans="1:6" x14ac:dyDescent="0.35">
      <c r="A2080" t="s">
        <v>2856</v>
      </c>
      <c r="B2080" t="s">
        <v>2863</v>
      </c>
      <c r="C2080" t="s">
        <v>2691</v>
      </c>
      <c r="D2080" t="s">
        <v>2889</v>
      </c>
      <c r="E2080">
        <v>53204</v>
      </c>
      <c r="F2080" s="11">
        <v>0</v>
      </c>
    </row>
    <row r="2081" spans="1:6" x14ac:dyDescent="0.35">
      <c r="A2081" t="s">
        <v>2856</v>
      </c>
      <c r="B2081" t="s">
        <v>2863</v>
      </c>
      <c r="C2081" t="s">
        <v>2691</v>
      </c>
      <c r="D2081" t="s">
        <v>2890</v>
      </c>
      <c r="E2081">
        <v>2300</v>
      </c>
      <c r="F2081" s="11">
        <v>0</v>
      </c>
    </row>
    <row r="2082" spans="1:6" x14ac:dyDescent="0.35">
      <c r="A2082" t="s">
        <v>2856</v>
      </c>
      <c r="B2082" t="s">
        <v>2863</v>
      </c>
      <c r="C2082" t="s">
        <v>2691</v>
      </c>
      <c r="D2082" t="s">
        <v>2891</v>
      </c>
      <c r="E2082">
        <v>0</v>
      </c>
      <c r="F2082" s="11">
        <v>0</v>
      </c>
    </row>
    <row r="2083" spans="1:6" x14ac:dyDescent="0.35">
      <c r="A2083" t="s">
        <v>2856</v>
      </c>
      <c r="B2083" t="s">
        <v>2863</v>
      </c>
      <c r="C2083" t="s">
        <v>2691</v>
      </c>
      <c r="D2083" t="s">
        <v>2892</v>
      </c>
      <c r="E2083">
        <v>0</v>
      </c>
      <c r="F2083" s="11">
        <v>0</v>
      </c>
    </row>
    <row r="2084" spans="1:6" x14ac:dyDescent="0.35">
      <c r="A2084" t="s">
        <v>2856</v>
      </c>
      <c r="B2084" t="s">
        <v>2863</v>
      </c>
      <c r="C2084" t="s">
        <v>2691</v>
      </c>
      <c r="D2084" t="s">
        <v>2893</v>
      </c>
      <c r="E2084">
        <v>0</v>
      </c>
      <c r="F2084" s="11">
        <v>0</v>
      </c>
    </row>
    <row r="2085" spans="1:6" x14ac:dyDescent="0.35">
      <c r="A2085" t="s">
        <v>2856</v>
      </c>
      <c r="B2085" t="s">
        <v>2863</v>
      </c>
      <c r="C2085" t="s">
        <v>2691</v>
      </c>
      <c r="D2085" t="s">
        <v>2894</v>
      </c>
      <c r="E2085">
        <v>0</v>
      </c>
      <c r="F2085" s="11">
        <v>0</v>
      </c>
    </row>
    <row r="2086" spans="1:6" x14ac:dyDescent="0.35">
      <c r="A2086" t="s">
        <v>2856</v>
      </c>
      <c r="B2086" t="s">
        <v>2863</v>
      </c>
      <c r="C2086" t="s">
        <v>2691</v>
      </c>
      <c r="D2086" t="s">
        <v>2895</v>
      </c>
      <c r="E2086">
        <v>594949</v>
      </c>
      <c r="F2086" s="11">
        <v>0</v>
      </c>
    </row>
    <row r="2087" spans="1:6" x14ac:dyDescent="0.35">
      <c r="A2087" t="s">
        <v>2856</v>
      </c>
      <c r="B2087" t="s">
        <v>2863</v>
      </c>
      <c r="C2087" t="s">
        <v>2691</v>
      </c>
      <c r="D2087" t="s">
        <v>2896</v>
      </c>
      <c r="E2087">
        <v>234221</v>
      </c>
      <c r="F2087" s="11">
        <v>0</v>
      </c>
    </row>
    <row r="2088" spans="1:6" x14ac:dyDescent="0.35">
      <c r="A2088" t="s">
        <v>2856</v>
      </c>
      <c r="B2088" t="s">
        <v>2863</v>
      </c>
      <c r="C2088" t="s">
        <v>2691</v>
      </c>
      <c r="D2088" t="s">
        <v>2897</v>
      </c>
      <c r="E2088">
        <v>335901</v>
      </c>
      <c r="F2088" s="11">
        <v>0</v>
      </c>
    </row>
    <row r="2089" spans="1:6" x14ac:dyDescent="0.35">
      <c r="A2089" t="s">
        <v>2856</v>
      </c>
      <c r="B2089" t="s">
        <v>2863</v>
      </c>
      <c r="C2089" t="s">
        <v>2691</v>
      </c>
      <c r="D2089" t="s">
        <v>2898</v>
      </c>
      <c r="E2089">
        <v>0</v>
      </c>
      <c r="F2089" s="11">
        <v>0</v>
      </c>
    </row>
    <row r="2090" spans="1:6" x14ac:dyDescent="0.35">
      <c r="A2090" t="s">
        <v>2856</v>
      </c>
      <c r="B2090" t="s">
        <v>2863</v>
      </c>
      <c r="C2090" t="s">
        <v>2691</v>
      </c>
      <c r="D2090" t="s">
        <v>2899</v>
      </c>
      <c r="E2090">
        <v>2916</v>
      </c>
      <c r="F2090" s="11">
        <v>0</v>
      </c>
    </row>
    <row r="2091" spans="1:6" x14ac:dyDescent="0.35">
      <c r="A2091" t="s">
        <v>2856</v>
      </c>
      <c r="B2091" t="s">
        <v>2863</v>
      </c>
      <c r="C2091" t="s">
        <v>2691</v>
      </c>
      <c r="D2091" t="s">
        <v>2900</v>
      </c>
      <c r="E2091">
        <v>2879</v>
      </c>
      <c r="F2091" s="11">
        <v>0</v>
      </c>
    </row>
    <row r="2092" spans="1:6" x14ac:dyDescent="0.35">
      <c r="A2092" t="s">
        <v>2856</v>
      </c>
      <c r="B2092" t="s">
        <v>2863</v>
      </c>
      <c r="C2092" t="s">
        <v>2691</v>
      </c>
      <c r="D2092" t="s">
        <v>2901</v>
      </c>
      <c r="E2092">
        <v>35</v>
      </c>
      <c r="F2092" s="11">
        <v>0</v>
      </c>
    </row>
    <row r="2093" spans="1:6" x14ac:dyDescent="0.35">
      <c r="A2093" t="s">
        <v>2856</v>
      </c>
      <c r="B2093" t="s">
        <v>2863</v>
      </c>
      <c r="C2093" t="s">
        <v>2691</v>
      </c>
      <c r="D2093" t="s">
        <v>2902</v>
      </c>
      <c r="E2093">
        <v>0</v>
      </c>
      <c r="F2093" s="11">
        <v>0</v>
      </c>
    </row>
    <row r="2094" spans="1:6" x14ac:dyDescent="0.35">
      <c r="A2094" t="s">
        <v>2856</v>
      </c>
      <c r="B2094" t="s">
        <v>2863</v>
      </c>
      <c r="C2094" t="s">
        <v>2691</v>
      </c>
      <c r="D2094" t="s">
        <v>2903</v>
      </c>
      <c r="E2094">
        <v>56199</v>
      </c>
      <c r="F2094" s="11">
        <v>0</v>
      </c>
    </row>
    <row r="2095" spans="1:6" x14ac:dyDescent="0.35">
      <c r="A2095" t="s">
        <v>2856</v>
      </c>
      <c r="B2095" t="s">
        <v>2863</v>
      </c>
      <c r="C2095" t="s">
        <v>2691</v>
      </c>
      <c r="D2095" t="s">
        <v>2904</v>
      </c>
      <c r="E2095">
        <v>0</v>
      </c>
      <c r="F2095" s="11">
        <v>0</v>
      </c>
    </row>
    <row r="2096" spans="1:6" x14ac:dyDescent="0.35">
      <c r="A2096" t="s">
        <v>2856</v>
      </c>
      <c r="B2096" t="s">
        <v>2863</v>
      </c>
      <c r="C2096" t="s">
        <v>2691</v>
      </c>
      <c r="D2096" t="s">
        <v>2905</v>
      </c>
      <c r="E2096">
        <v>0</v>
      </c>
      <c r="F2096" s="11">
        <v>0</v>
      </c>
    </row>
    <row r="2097" spans="1:6" x14ac:dyDescent="0.35">
      <c r="A2097" t="s">
        <v>2856</v>
      </c>
      <c r="B2097" t="s">
        <v>2863</v>
      </c>
      <c r="C2097" t="s">
        <v>2691</v>
      </c>
      <c r="D2097" t="s">
        <v>2906</v>
      </c>
      <c r="E2097">
        <v>0</v>
      </c>
      <c r="F2097" s="11">
        <v>0</v>
      </c>
    </row>
    <row r="2098" spans="1:6" x14ac:dyDescent="0.35">
      <c r="A2098" t="s">
        <v>2856</v>
      </c>
      <c r="B2098" t="s">
        <v>2863</v>
      </c>
      <c r="C2098" t="s">
        <v>2691</v>
      </c>
      <c r="D2098" t="s">
        <v>2907</v>
      </c>
      <c r="E2098">
        <v>19834</v>
      </c>
      <c r="F2098" s="11">
        <v>0</v>
      </c>
    </row>
    <row r="2099" spans="1:6" x14ac:dyDescent="0.35">
      <c r="A2099" t="s">
        <v>2856</v>
      </c>
      <c r="B2099" t="s">
        <v>2863</v>
      </c>
      <c r="C2099" t="s">
        <v>2691</v>
      </c>
      <c r="D2099" t="s">
        <v>2908</v>
      </c>
      <c r="E2099">
        <v>0</v>
      </c>
      <c r="F2099" s="11">
        <v>0</v>
      </c>
    </row>
    <row r="2100" spans="1:6" x14ac:dyDescent="0.35">
      <c r="A2100" t="s">
        <v>2856</v>
      </c>
      <c r="B2100" t="s">
        <v>2863</v>
      </c>
      <c r="C2100" t="s">
        <v>2691</v>
      </c>
      <c r="D2100" t="s">
        <v>2909</v>
      </c>
      <c r="E2100">
        <v>0</v>
      </c>
      <c r="F2100" s="11">
        <v>0</v>
      </c>
    </row>
    <row r="2101" spans="1:6" x14ac:dyDescent="0.35">
      <c r="A2101" t="s">
        <v>2856</v>
      </c>
      <c r="B2101" t="s">
        <v>2863</v>
      </c>
      <c r="C2101" t="s">
        <v>2691</v>
      </c>
      <c r="D2101" t="s">
        <v>2910</v>
      </c>
      <c r="E2101">
        <v>0</v>
      </c>
      <c r="F2101" s="11">
        <v>0</v>
      </c>
    </row>
    <row r="2102" spans="1:6" x14ac:dyDescent="0.35">
      <c r="A2102" t="s">
        <v>2856</v>
      </c>
      <c r="B2102" t="s">
        <v>2863</v>
      </c>
      <c r="C2102" t="s">
        <v>2691</v>
      </c>
      <c r="D2102" t="s">
        <v>2911</v>
      </c>
      <c r="E2102">
        <v>105296</v>
      </c>
      <c r="F2102" s="11">
        <v>0</v>
      </c>
    </row>
    <row r="2103" spans="1:6" x14ac:dyDescent="0.35">
      <c r="A2103" t="s">
        <v>2856</v>
      </c>
      <c r="B2103" t="s">
        <v>2863</v>
      </c>
      <c r="C2103" t="s">
        <v>2691</v>
      </c>
      <c r="D2103" t="s">
        <v>2912</v>
      </c>
      <c r="E2103">
        <v>1024440</v>
      </c>
      <c r="F2103" s="11">
        <v>0</v>
      </c>
    </row>
    <row r="2104" spans="1:6" x14ac:dyDescent="0.35">
      <c r="A2104" t="s">
        <v>2856</v>
      </c>
      <c r="B2104" t="s">
        <v>2863</v>
      </c>
      <c r="C2104" t="s">
        <v>2691</v>
      </c>
      <c r="D2104" t="s">
        <v>2913</v>
      </c>
      <c r="E2104">
        <v>0</v>
      </c>
      <c r="F2104" s="11">
        <v>0</v>
      </c>
    </row>
    <row r="2105" spans="1:6" x14ac:dyDescent="0.35">
      <c r="A2105" t="s">
        <v>2856</v>
      </c>
      <c r="B2105" t="s">
        <v>2863</v>
      </c>
      <c r="C2105" t="s">
        <v>2691</v>
      </c>
      <c r="D2105" t="s">
        <v>2914</v>
      </c>
      <c r="E2105">
        <v>6855</v>
      </c>
      <c r="F2105" s="11">
        <v>0</v>
      </c>
    </row>
    <row r="2106" spans="1:6" x14ac:dyDescent="0.35">
      <c r="A2106" t="s">
        <v>2856</v>
      </c>
      <c r="B2106" t="s">
        <v>2863</v>
      </c>
      <c r="C2106" t="s">
        <v>2691</v>
      </c>
      <c r="D2106" t="s">
        <v>2915</v>
      </c>
      <c r="E2106">
        <v>5547</v>
      </c>
      <c r="F2106" s="11">
        <v>0</v>
      </c>
    </row>
    <row r="2107" spans="1:6" x14ac:dyDescent="0.35">
      <c r="A2107" t="s">
        <v>2856</v>
      </c>
      <c r="B2107" t="s">
        <v>2863</v>
      </c>
      <c r="C2107" t="s">
        <v>2691</v>
      </c>
      <c r="D2107" t="s">
        <v>2916</v>
      </c>
      <c r="E2107">
        <v>89288</v>
      </c>
      <c r="F2107" s="11">
        <v>0</v>
      </c>
    </row>
    <row r="2108" spans="1:6" x14ac:dyDescent="0.35">
      <c r="A2108" t="s">
        <v>2856</v>
      </c>
      <c r="B2108" t="s">
        <v>2863</v>
      </c>
      <c r="C2108" t="s">
        <v>2691</v>
      </c>
      <c r="D2108" t="s">
        <v>2917</v>
      </c>
      <c r="E2108">
        <v>98877</v>
      </c>
      <c r="F2108" s="11">
        <v>0</v>
      </c>
    </row>
    <row r="2109" spans="1:6" x14ac:dyDescent="0.35">
      <c r="A2109" t="s">
        <v>2856</v>
      </c>
      <c r="B2109" t="s">
        <v>2866</v>
      </c>
      <c r="C2109" t="s">
        <v>2692</v>
      </c>
      <c r="D2109" t="s">
        <v>2875</v>
      </c>
      <c r="E2109">
        <v>17351</v>
      </c>
      <c r="F2109" s="11">
        <v>0</v>
      </c>
    </row>
    <row r="2110" spans="1:6" x14ac:dyDescent="0.35">
      <c r="A2110" t="s">
        <v>2856</v>
      </c>
      <c r="B2110" t="s">
        <v>2866</v>
      </c>
      <c r="C2110" t="s">
        <v>2692</v>
      </c>
      <c r="D2110" t="s">
        <v>2876</v>
      </c>
      <c r="E2110">
        <v>5109</v>
      </c>
      <c r="F2110" s="11">
        <v>0</v>
      </c>
    </row>
    <row r="2111" spans="1:6" x14ac:dyDescent="0.35">
      <c r="A2111" t="s">
        <v>2856</v>
      </c>
      <c r="B2111" t="s">
        <v>2866</v>
      </c>
      <c r="C2111" t="s">
        <v>2692</v>
      </c>
      <c r="D2111" t="s">
        <v>2877</v>
      </c>
      <c r="E2111">
        <v>10757</v>
      </c>
      <c r="F2111" s="11">
        <v>0</v>
      </c>
    </row>
    <row r="2112" spans="1:6" x14ac:dyDescent="0.35">
      <c r="A2112" t="s">
        <v>2856</v>
      </c>
      <c r="B2112" t="s">
        <v>2866</v>
      </c>
      <c r="C2112" t="s">
        <v>2692</v>
      </c>
      <c r="D2112" t="s">
        <v>2878</v>
      </c>
      <c r="E2112">
        <v>1485</v>
      </c>
      <c r="F2112" s="11">
        <v>0</v>
      </c>
    </row>
    <row r="2113" spans="1:6" x14ac:dyDescent="0.35">
      <c r="A2113" t="s">
        <v>2856</v>
      </c>
      <c r="B2113" t="s">
        <v>2866</v>
      </c>
      <c r="C2113" t="s">
        <v>2692</v>
      </c>
      <c r="D2113" t="s">
        <v>2879</v>
      </c>
      <c r="E2113">
        <v>1560</v>
      </c>
      <c r="F2113" s="11">
        <v>0</v>
      </c>
    </row>
    <row r="2114" spans="1:6" x14ac:dyDescent="0.35">
      <c r="A2114" t="s">
        <v>2856</v>
      </c>
      <c r="B2114" t="s">
        <v>2866</v>
      </c>
      <c r="C2114" t="s">
        <v>2692</v>
      </c>
      <c r="D2114" t="s">
        <v>2880</v>
      </c>
      <c r="E2114">
        <v>446</v>
      </c>
      <c r="F2114" s="11">
        <v>0</v>
      </c>
    </row>
    <row r="2115" spans="1:6" x14ac:dyDescent="0.35">
      <c r="A2115" t="s">
        <v>2856</v>
      </c>
      <c r="B2115" t="s">
        <v>2866</v>
      </c>
      <c r="C2115" t="s">
        <v>2692</v>
      </c>
      <c r="D2115" t="s">
        <v>2881</v>
      </c>
      <c r="E2115">
        <v>1027</v>
      </c>
      <c r="F2115" s="11">
        <v>0</v>
      </c>
    </row>
    <row r="2116" spans="1:6" x14ac:dyDescent="0.35">
      <c r="A2116" t="s">
        <v>2856</v>
      </c>
      <c r="B2116" t="s">
        <v>2866</v>
      </c>
      <c r="C2116" t="s">
        <v>2692</v>
      </c>
      <c r="D2116" t="s">
        <v>2882</v>
      </c>
      <c r="E2116">
        <v>80</v>
      </c>
      <c r="F2116" s="11">
        <v>0</v>
      </c>
    </row>
    <row r="2117" spans="1:6" x14ac:dyDescent="0.35">
      <c r="A2117" t="s">
        <v>2856</v>
      </c>
      <c r="B2117" t="s">
        <v>2866</v>
      </c>
      <c r="C2117" t="s">
        <v>2692</v>
      </c>
      <c r="D2117" t="s">
        <v>2883</v>
      </c>
      <c r="E2117">
        <v>71</v>
      </c>
      <c r="F2117" s="11">
        <v>0</v>
      </c>
    </row>
    <row r="2118" spans="1:6" x14ac:dyDescent="0.35">
      <c r="A2118" t="s">
        <v>2856</v>
      </c>
      <c r="B2118" t="s">
        <v>2866</v>
      </c>
      <c r="C2118" t="s">
        <v>2692</v>
      </c>
      <c r="D2118" t="s">
        <v>2884</v>
      </c>
      <c r="E2118">
        <v>21</v>
      </c>
      <c r="F2118" s="11">
        <v>0</v>
      </c>
    </row>
    <row r="2119" spans="1:6" x14ac:dyDescent="0.35">
      <c r="A2119" t="s">
        <v>2856</v>
      </c>
      <c r="B2119" t="s">
        <v>2866</v>
      </c>
      <c r="C2119" t="s">
        <v>2692</v>
      </c>
      <c r="D2119" t="s">
        <v>2885</v>
      </c>
      <c r="E2119">
        <v>0</v>
      </c>
      <c r="F2119" s="11">
        <v>0</v>
      </c>
    </row>
    <row r="2120" spans="1:6" x14ac:dyDescent="0.35">
      <c r="A2120" t="s">
        <v>2856</v>
      </c>
      <c r="B2120" t="s">
        <v>2866</v>
      </c>
      <c r="C2120" t="s">
        <v>2692</v>
      </c>
      <c r="D2120" t="s">
        <v>2886</v>
      </c>
      <c r="E2120">
        <v>50</v>
      </c>
      <c r="F2120" s="11">
        <v>0</v>
      </c>
    </row>
    <row r="2121" spans="1:6" x14ac:dyDescent="0.35">
      <c r="A2121" t="s">
        <v>2856</v>
      </c>
      <c r="B2121" t="s">
        <v>2866</v>
      </c>
      <c r="C2121" t="s">
        <v>2692</v>
      </c>
      <c r="D2121" t="s">
        <v>2887</v>
      </c>
      <c r="E2121">
        <v>34380</v>
      </c>
      <c r="F2121" s="11">
        <v>0</v>
      </c>
    </row>
    <row r="2122" spans="1:6" x14ac:dyDescent="0.35">
      <c r="A2122" t="s">
        <v>2856</v>
      </c>
      <c r="B2122" t="s">
        <v>2866</v>
      </c>
      <c r="C2122" t="s">
        <v>2692</v>
      </c>
      <c r="D2122" t="s">
        <v>2888</v>
      </c>
      <c r="E2122">
        <v>7230</v>
      </c>
      <c r="F2122" s="11">
        <v>0</v>
      </c>
    </row>
    <row r="2123" spans="1:6" x14ac:dyDescent="0.35">
      <c r="A2123" t="s">
        <v>2856</v>
      </c>
      <c r="B2123" t="s">
        <v>2866</v>
      </c>
      <c r="C2123" t="s">
        <v>2692</v>
      </c>
      <c r="D2123" t="s">
        <v>2889</v>
      </c>
      <c r="E2123">
        <v>28801</v>
      </c>
      <c r="F2123" s="11">
        <v>0</v>
      </c>
    </row>
    <row r="2124" spans="1:6" x14ac:dyDescent="0.35">
      <c r="A2124" t="s">
        <v>2856</v>
      </c>
      <c r="B2124" t="s">
        <v>2866</v>
      </c>
      <c r="C2124" t="s">
        <v>2692</v>
      </c>
      <c r="D2124" t="s">
        <v>2890</v>
      </c>
      <c r="E2124">
        <v>979</v>
      </c>
      <c r="F2124" s="11">
        <v>0</v>
      </c>
    </row>
    <row r="2125" spans="1:6" x14ac:dyDescent="0.35">
      <c r="A2125" t="s">
        <v>2856</v>
      </c>
      <c r="B2125" t="s">
        <v>2866</v>
      </c>
      <c r="C2125" t="s">
        <v>2692</v>
      </c>
      <c r="D2125" t="s">
        <v>2891</v>
      </c>
      <c r="E2125">
        <v>311</v>
      </c>
      <c r="F2125" s="11">
        <v>0</v>
      </c>
    </row>
    <row r="2126" spans="1:6" x14ac:dyDescent="0.35">
      <c r="A2126" t="s">
        <v>2856</v>
      </c>
      <c r="B2126" t="s">
        <v>2866</v>
      </c>
      <c r="C2126" t="s">
        <v>2692</v>
      </c>
      <c r="D2126" t="s">
        <v>2892</v>
      </c>
      <c r="E2126">
        <v>28</v>
      </c>
      <c r="F2126" s="11">
        <v>0</v>
      </c>
    </row>
    <row r="2127" spans="1:6" x14ac:dyDescent="0.35">
      <c r="A2127" t="s">
        <v>2856</v>
      </c>
      <c r="B2127" t="s">
        <v>2866</v>
      </c>
      <c r="C2127" t="s">
        <v>2692</v>
      </c>
      <c r="D2127" t="s">
        <v>2893</v>
      </c>
      <c r="E2127">
        <v>0</v>
      </c>
      <c r="F2127" s="11">
        <v>0</v>
      </c>
    </row>
    <row r="2128" spans="1:6" x14ac:dyDescent="0.35">
      <c r="A2128" t="s">
        <v>2856</v>
      </c>
      <c r="B2128" t="s">
        <v>2866</v>
      </c>
      <c r="C2128" t="s">
        <v>2692</v>
      </c>
      <c r="D2128" t="s">
        <v>2894</v>
      </c>
      <c r="E2128">
        <v>283</v>
      </c>
      <c r="F2128" s="11">
        <v>0</v>
      </c>
    </row>
    <row r="2129" spans="1:6" x14ac:dyDescent="0.35">
      <c r="A2129" t="s">
        <v>2856</v>
      </c>
      <c r="B2129" t="s">
        <v>2866</v>
      </c>
      <c r="C2129" t="s">
        <v>2692</v>
      </c>
      <c r="D2129" t="s">
        <v>2895</v>
      </c>
      <c r="E2129">
        <v>681627</v>
      </c>
      <c r="F2129" s="11">
        <v>0</v>
      </c>
    </row>
    <row r="2130" spans="1:6" x14ac:dyDescent="0.35">
      <c r="A2130" t="s">
        <v>2856</v>
      </c>
      <c r="B2130" t="s">
        <v>2866</v>
      </c>
      <c r="C2130" t="s">
        <v>2692</v>
      </c>
      <c r="D2130" t="s">
        <v>2896</v>
      </c>
      <c r="E2130">
        <v>195248</v>
      </c>
      <c r="F2130" s="11">
        <v>0</v>
      </c>
    </row>
    <row r="2131" spans="1:6" x14ac:dyDescent="0.35">
      <c r="A2131" t="s">
        <v>2856</v>
      </c>
      <c r="B2131" t="s">
        <v>2866</v>
      </c>
      <c r="C2131" t="s">
        <v>2692</v>
      </c>
      <c r="D2131" t="s">
        <v>2897</v>
      </c>
      <c r="E2131">
        <v>465733</v>
      </c>
      <c r="F2131" s="11">
        <v>0</v>
      </c>
    </row>
    <row r="2132" spans="1:6" x14ac:dyDescent="0.35">
      <c r="A2132" t="s">
        <v>2856</v>
      </c>
      <c r="B2132" t="s">
        <v>2866</v>
      </c>
      <c r="C2132" t="s">
        <v>2692</v>
      </c>
      <c r="D2132" t="s">
        <v>2898</v>
      </c>
      <c r="E2132">
        <v>20646</v>
      </c>
      <c r="F2132" s="11">
        <v>0</v>
      </c>
    </row>
    <row r="2133" spans="1:6" x14ac:dyDescent="0.35">
      <c r="A2133" t="s">
        <v>2856</v>
      </c>
      <c r="B2133" t="s">
        <v>2866</v>
      </c>
      <c r="C2133" t="s">
        <v>2692</v>
      </c>
      <c r="D2133" t="s">
        <v>2899</v>
      </c>
      <c r="E2133">
        <v>716</v>
      </c>
      <c r="F2133" s="11">
        <v>0</v>
      </c>
    </row>
    <row r="2134" spans="1:6" x14ac:dyDescent="0.35">
      <c r="A2134" t="s">
        <v>2856</v>
      </c>
      <c r="B2134" t="s">
        <v>2866</v>
      </c>
      <c r="C2134" t="s">
        <v>2692</v>
      </c>
      <c r="D2134" t="s">
        <v>2900</v>
      </c>
      <c r="E2134">
        <v>0</v>
      </c>
      <c r="F2134" s="11">
        <v>0</v>
      </c>
    </row>
    <row r="2135" spans="1:6" x14ac:dyDescent="0.35">
      <c r="A2135" t="s">
        <v>2856</v>
      </c>
      <c r="B2135" t="s">
        <v>2866</v>
      </c>
      <c r="C2135" t="s">
        <v>2692</v>
      </c>
      <c r="D2135" t="s">
        <v>2901</v>
      </c>
      <c r="E2135">
        <v>716</v>
      </c>
      <c r="F2135" s="11">
        <v>0</v>
      </c>
    </row>
    <row r="2136" spans="1:6" x14ac:dyDescent="0.35">
      <c r="A2136" t="s">
        <v>2856</v>
      </c>
      <c r="B2136" t="s">
        <v>2866</v>
      </c>
      <c r="C2136" t="s">
        <v>2692</v>
      </c>
      <c r="D2136" t="s">
        <v>2902</v>
      </c>
      <c r="E2136">
        <v>0</v>
      </c>
      <c r="F2136" s="11">
        <v>0</v>
      </c>
    </row>
    <row r="2137" spans="1:6" x14ac:dyDescent="0.35">
      <c r="A2137" t="s">
        <v>2856</v>
      </c>
      <c r="B2137" t="s">
        <v>2866</v>
      </c>
      <c r="C2137" t="s">
        <v>2692</v>
      </c>
      <c r="D2137" t="s">
        <v>2903</v>
      </c>
      <c r="E2137">
        <v>49562</v>
      </c>
      <c r="F2137" s="11">
        <v>0</v>
      </c>
    </row>
    <row r="2138" spans="1:6" x14ac:dyDescent="0.35">
      <c r="A2138" t="s">
        <v>2856</v>
      </c>
      <c r="B2138" t="s">
        <v>2866</v>
      </c>
      <c r="C2138" t="s">
        <v>2692</v>
      </c>
      <c r="D2138" t="s">
        <v>2904</v>
      </c>
      <c r="E2138">
        <v>38521</v>
      </c>
      <c r="F2138" s="11">
        <v>0</v>
      </c>
    </row>
    <row r="2139" spans="1:6" x14ac:dyDescent="0.35">
      <c r="A2139" t="s">
        <v>2856</v>
      </c>
      <c r="B2139" t="s">
        <v>2866</v>
      </c>
      <c r="C2139" t="s">
        <v>2692</v>
      </c>
      <c r="D2139" t="s">
        <v>2905</v>
      </c>
      <c r="E2139">
        <v>7134</v>
      </c>
      <c r="F2139" s="11">
        <v>0</v>
      </c>
    </row>
    <row r="2140" spans="1:6" x14ac:dyDescent="0.35">
      <c r="A2140" t="s">
        <v>2856</v>
      </c>
      <c r="B2140" t="s">
        <v>2866</v>
      </c>
      <c r="C2140" t="s">
        <v>2692</v>
      </c>
      <c r="D2140" t="s">
        <v>2906</v>
      </c>
      <c r="E2140">
        <v>3907</v>
      </c>
      <c r="F2140" s="11">
        <v>0</v>
      </c>
    </row>
    <row r="2141" spans="1:6" x14ac:dyDescent="0.35">
      <c r="A2141" t="s">
        <v>2856</v>
      </c>
      <c r="B2141" t="s">
        <v>2866</v>
      </c>
      <c r="C2141" t="s">
        <v>2692</v>
      </c>
      <c r="D2141" t="s">
        <v>2907</v>
      </c>
      <c r="E2141">
        <v>55725</v>
      </c>
      <c r="F2141" s="11">
        <v>0</v>
      </c>
    </row>
    <row r="2142" spans="1:6" x14ac:dyDescent="0.35">
      <c r="A2142" t="s">
        <v>2856</v>
      </c>
      <c r="B2142" t="s">
        <v>2866</v>
      </c>
      <c r="C2142" t="s">
        <v>2692</v>
      </c>
      <c r="D2142" t="s">
        <v>2908</v>
      </c>
      <c r="E2142">
        <v>49816</v>
      </c>
      <c r="F2142" s="11">
        <v>0</v>
      </c>
    </row>
    <row r="2143" spans="1:6" x14ac:dyDescent="0.35">
      <c r="A2143" t="s">
        <v>2856</v>
      </c>
      <c r="B2143" t="s">
        <v>2866</v>
      </c>
      <c r="C2143" t="s">
        <v>2692</v>
      </c>
      <c r="D2143" t="s">
        <v>2909</v>
      </c>
      <c r="E2143">
        <v>4092</v>
      </c>
      <c r="F2143" s="11">
        <v>0</v>
      </c>
    </row>
    <row r="2144" spans="1:6" x14ac:dyDescent="0.35">
      <c r="A2144" t="s">
        <v>2856</v>
      </c>
      <c r="B2144" t="s">
        <v>2866</v>
      </c>
      <c r="C2144" t="s">
        <v>2692</v>
      </c>
      <c r="D2144" t="s">
        <v>2910</v>
      </c>
      <c r="E2144">
        <v>1817</v>
      </c>
      <c r="F2144" s="11">
        <v>0</v>
      </c>
    </row>
    <row r="2145" spans="1:6" x14ac:dyDescent="0.35">
      <c r="A2145" t="s">
        <v>2856</v>
      </c>
      <c r="B2145" t="s">
        <v>2866</v>
      </c>
      <c r="C2145" t="s">
        <v>2692</v>
      </c>
      <c r="D2145" t="s">
        <v>2911</v>
      </c>
      <c r="E2145">
        <v>1044164</v>
      </c>
      <c r="F2145" s="11">
        <v>0</v>
      </c>
    </row>
    <row r="2146" spans="1:6" x14ac:dyDescent="0.35">
      <c r="A2146" t="s">
        <v>2856</v>
      </c>
      <c r="B2146" t="s">
        <v>2866</v>
      </c>
      <c r="C2146" t="s">
        <v>2692</v>
      </c>
      <c r="D2146" t="s">
        <v>2912</v>
      </c>
      <c r="E2146">
        <v>274085</v>
      </c>
      <c r="F2146" s="11">
        <v>0</v>
      </c>
    </row>
    <row r="2147" spans="1:6" x14ac:dyDescent="0.35">
      <c r="A2147" t="s">
        <v>2856</v>
      </c>
      <c r="B2147" t="s">
        <v>2866</v>
      </c>
      <c r="C2147" t="s">
        <v>2692</v>
      </c>
      <c r="D2147" t="s">
        <v>2913</v>
      </c>
      <c r="E2147">
        <v>0</v>
      </c>
      <c r="F2147" s="11">
        <v>0</v>
      </c>
    </row>
    <row r="2148" spans="1:6" x14ac:dyDescent="0.35">
      <c r="A2148" t="s">
        <v>2856</v>
      </c>
      <c r="B2148" t="s">
        <v>2866</v>
      </c>
      <c r="C2148" t="s">
        <v>2692</v>
      </c>
      <c r="D2148" t="s">
        <v>2914</v>
      </c>
      <c r="E2148">
        <v>0</v>
      </c>
      <c r="F2148" s="11">
        <v>0</v>
      </c>
    </row>
    <row r="2149" spans="1:6" x14ac:dyDescent="0.35">
      <c r="A2149" t="s">
        <v>2856</v>
      </c>
      <c r="B2149" t="s">
        <v>2866</v>
      </c>
      <c r="C2149" t="s">
        <v>2692</v>
      </c>
      <c r="D2149" t="s">
        <v>2915</v>
      </c>
      <c r="E2149">
        <v>0</v>
      </c>
      <c r="F2149" s="11">
        <v>0</v>
      </c>
    </row>
    <row r="2150" spans="1:6" x14ac:dyDescent="0.35">
      <c r="A2150" t="s">
        <v>2856</v>
      </c>
      <c r="B2150" t="s">
        <v>2866</v>
      </c>
      <c r="C2150" t="s">
        <v>2692</v>
      </c>
      <c r="D2150" t="s">
        <v>2916</v>
      </c>
      <c r="E2150">
        <v>28716</v>
      </c>
      <c r="F2150" s="11">
        <v>0</v>
      </c>
    </row>
    <row r="2151" spans="1:6" x14ac:dyDescent="0.35">
      <c r="A2151" t="s">
        <v>2856</v>
      </c>
      <c r="B2151" t="s">
        <v>2866</v>
      </c>
      <c r="C2151" t="s">
        <v>2692</v>
      </c>
      <c r="D2151" t="s">
        <v>2917</v>
      </c>
      <c r="E2151">
        <v>14480</v>
      </c>
      <c r="F2151" s="11">
        <v>0</v>
      </c>
    </row>
    <row r="2152" spans="1:6" x14ac:dyDescent="0.35">
      <c r="A2152" t="s">
        <v>2856</v>
      </c>
      <c r="B2152" t="s">
        <v>2865</v>
      </c>
      <c r="C2152" t="s">
        <v>1415</v>
      </c>
      <c r="D2152" t="s">
        <v>2875</v>
      </c>
      <c r="E2152">
        <v>43877</v>
      </c>
      <c r="F2152" s="11">
        <v>1</v>
      </c>
    </row>
    <row r="2153" spans="1:6" x14ac:dyDescent="0.35">
      <c r="A2153" t="s">
        <v>2856</v>
      </c>
      <c r="B2153" t="s">
        <v>2865</v>
      </c>
      <c r="C2153" t="s">
        <v>1415</v>
      </c>
      <c r="D2153" t="s">
        <v>2876</v>
      </c>
      <c r="E2153">
        <v>11844</v>
      </c>
      <c r="F2153" s="11">
        <v>1</v>
      </c>
    </row>
    <row r="2154" spans="1:6" x14ac:dyDescent="0.35">
      <c r="A2154" t="s">
        <v>2856</v>
      </c>
      <c r="B2154" t="s">
        <v>2865</v>
      </c>
      <c r="C2154" t="s">
        <v>1415</v>
      </c>
      <c r="D2154" t="s">
        <v>2877</v>
      </c>
      <c r="E2154">
        <v>29057</v>
      </c>
      <c r="F2154" s="11">
        <v>1</v>
      </c>
    </row>
    <row r="2155" spans="1:6" x14ac:dyDescent="0.35">
      <c r="A2155" t="s">
        <v>2856</v>
      </c>
      <c r="B2155" t="s">
        <v>2865</v>
      </c>
      <c r="C2155" t="s">
        <v>1415</v>
      </c>
      <c r="D2155" t="s">
        <v>2878</v>
      </c>
      <c r="E2155">
        <v>2976</v>
      </c>
      <c r="F2155" s="11">
        <v>1</v>
      </c>
    </row>
    <row r="2156" spans="1:6" x14ac:dyDescent="0.35">
      <c r="A2156" t="s">
        <v>2856</v>
      </c>
      <c r="B2156" t="s">
        <v>2865</v>
      </c>
      <c r="C2156" t="s">
        <v>1415</v>
      </c>
      <c r="D2156" t="s">
        <v>2879</v>
      </c>
      <c r="E2156">
        <v>6796</v>
      </c>
      <c r="F2156" s="11">
        <v>1</v>
      </c>
    </row>
    <row r="2157" spans="1:6" x14ac:dyDescent="0.35">
      <c r="A2157" t="s">
        <v>2856</v>
      </c>
      <c r="B2157" t="s">
        <v>2865</v>
      </c>
      <c r="C2157" t="s">
        <v>1415</v>
      </c>
      <c r="D2157" t="s">
        <v>2880</v>
      </c>
      <c r="E2157">
        <v>0</v>
      </c>
      <c r="F2157" s="11">
        <v>0</v>
      </c>
    </row>
    <row r="2158" spans="1:6" x14ac:dyDescent="0.35">
      <c r="A2158" t="s">
        <v>2856</v>
      </c>
      <c r="B2158" t="s">
        <v>2865</v>
      </c>
      <c r="C2158" t="s">
        <v>1415</v>
      </c>
      <c r="D2158" t="s">
        <v>2881</v>
      </c>
      <c r="E2158">
        <v>0</v>
      </c>
      <c r="F2158" s="11">
        <v>0</v>
      </c>
    </row>
    <row r="2159" spans="1:6" x14ac:dyDescent="0.35">
      <c r="A2159" t="s">
        <v>2856</v>
      </c>
      <c r="B2159" t="s">
        <v>2865</v>
      </c>
      <c r="C2159" t="s">
        <v>1415</v>
      </c>
      <c r="D2159" t="s">
        <v>2882</v>
      </c>
      <c r="E2159">
        <v>0</v>
      </c>
      <c r="F2159" s="11">
        <v>0</v>
      </c>
    </row>
    <row r="2160" spans="1:6" x14ac:dyDescent="0.35">
      <c r="A2160" t="s">
        <v>2856</v>
      </c>
      <c r="B2160" t="s">
        <v>2865</v>
      </c>
      <c r="C2160" t="s">
        <v>1415</v>
      </c>
      <c r="D2160" t="s">
        <v>2883</v>
      </c>
      <c r="E2160">
        <v>0</v>
      </c>
      <c r="F2160" s="11">
        <v>0</v>
      </c>
    </row>
    <row r="2161" spans="1:6" x14ac:dyDescent="0.35">
      <c r="A2161" t="s">
        <v>2856</v>
      </c>
      <c r="B2161" t="s">
        <v>2865</v>
      </c>
      <c r="C2161" t="s">
        <v>1415</v>
      </c>
      <c r="D2161" t="s">
        <v>2884</v>
      </c>
      <c r="E2161">
        <v>0</v>
      </c>
      <c r="F2161" s="11">
        <v>0</v>
      </c>
    </row>
    <row r="2162" spans="1:6" x14ac:dyDescent="0.35">
      <c r="A2162" t="s">
        <v>2856</v>
      </c>
      <c r="B2162" t="s">
        <v>2865</v>
      </c>
      <c r="C2162" t="s">
        <v>1415</v>
      </c>
      <c r="D2162" t="s">
        <v>2885</v>
      </c>
      <c r="E2162">
        <v>0</v>
      </c>
      <c r="F2162" s="11">
        <v>0</v>
      </c>
    </row>
    <row r="2163" spans="1:6" x14ac:dyDescent="0.35">
      <c r="A2163" t="s">
        <v>2856</v>
      </c>
      <c r="B2163" t="s">
        <v>2865</v>
      </c>
      <c r="C2163" t="s">
        <v>1415</v>
      </c>
      <c r="D2163" t="s">
        <v>2886</v>
      </c>
      <c r="E2163">
        <v>0</v>
      </c>
      <c r="F2163" s="11">
        <v>0</v>
      </c>
    </row>
    <row r="2164" spans="1:6" x14ac:dyDescent="0.35">
      <c r="A2164" t="s">
        <v>2856</v>
      </c>
      <c r="B2164" t="s">
        <v>2865</v>
      </c>
      <c r="C2164" t="s">
        <v>1415</v>
      </c>
      <c r="D2164" t="s">
        <v>2887</v>
      </c>
      <c r="E2164">
        <v>82143</v>
      </c>
      <c r="F2164" s="11">
        <v>1</v>
      </c>
    </row>
    <row r="2165" spans="1:6" x14ac:dyDescent="0.35">
      <c r="A2165" t="s">
        <v>2856</v>
      </c>
      <c r="B2165" t="s">
        <v>2865</v>
      </c>
      <c r="C2165" t="s">
        <v>1415</v>
      </c>
      <c r="D2165" t="s">
        <v>2888</v>
      </c>
      <c r="E2165">
        <v>0</v>
      </c>
      <c r="F2165" s="11">
        <v>0</v>
      </c>
    </row>
    <row r="2166" spans="1:6" x14ac:dyDescent="0.35">
      <c r="A2166" t="s">
        <v>2856</v>
      </c>
      <c r="B2166" t="s">
        <v>2865</v>
      </c>
      <c r="C2166" t="s">
        <v>1415</v>
      </c>
      <c r="D2166" t="s">
        <v>2889</v>
      </c>
      <c r="E2166">
        <v>0</v>
      </c>
      <c r="F2166" s="11">
        <v>0</v>
      </c>
    </row>
    <row r="2167" spans="1:6" x14ac:dyDescent="0.35">
      <c r="A2167" t="s">
        <v>2856</v>
      </c>
      <c r="B2167" t="s">
        <v>2865</v>
      </c>
      <c r="C2167" t="s">
        <v>1415</v>
      </c>
      <c r="D2167" t="s">
        <v>2890</v>
      </c>
      <c r="E2167">
        <v>0</v>
      </c>
      <c r="F2167" s="11">
        <v>0</v>
      </c>
    </row>
    <row r="2168" spans="1:6" x14ac:dyDescent="0.35">
      <c r="A2168" t="s">
        <v>2856</v>
      </c>
      <c r="B2168" t="s">
        <v>2865</v>
      </c>
      <c r="C2168" t="s">
        <v>1415</v>
      </c>
      <c r="D2168" t="s">
        <v>2891</v>
      </c>
      <c r="E2168">
        <v>0</v>
      </c>
      <c r="F2168" s="11">
        <v>0</v>
      </c>
    </row>
    <row r="2169" spans="1:6" x14ac:dyDescent="0.35">
      <c r="A2169" t="s">
        <v>2856</v>
      </c>
      <c r="B2169" t="s">
        <v>2865</v>
      </c>
      <c r="C2169" t="s">
        <v>1415</v>
      </c>
      <c r="D2169" t="s">
        <v>2892</v>
      </c>
      <c r="E2169">
        <v>0</v>
      </c>
      <c r="F2169" s="11">
        <v>0</v>
      </c>
    </row>
    <row r="2170" spans="1:6" x14ac:dyDescent="0.35">
      <c r="A2170" t="s">
        <v>2856</v>
      </c>
      <c r="B2170" t="s">
        <v>2865</v>
      </c>
      <c r="C2170" t="s">
        <v>1415</v>
      </c>
      <c r="D2170" t="s">
        <v>2893</v>
      </c>
      <c r="E2170">
        <v>0</v>
      </c>
      <c r="F2170" s="11">
        <v>0</v>
      </c>
    </row>
    <row r="2171" spans="1:6" x14ac:dyDescent="0.35">
      <c r="A2171" t="s">
        <v>2856</v>
      </c>
      <c r="B2171" t="s">
        <v>2865</v>
      </c>
      <c r="C2171" t="s">
        <v>1415</v>
      </c>
      <c r="D2171" t="s">
        <v>2894</v>
      </c>
      <c r="E2171">
        <v>0</v>
      </c>
      <c r="F2171" s="11">
        <v>0</v>
      </c>
    </row>
    <row r="2172" spans="1:6" x14ac:dyDescent="0.35">
      <c r="A2172" t="s">
        <v>2856</v>
      </c>
      <c r="B2172" t="s">
        <v>2865</v>
      </c>
      <c r="C2172" t="s">
        <v>1415</v>
      </c>
      <c r="D2172" t="s">
        <v>2895</v>
      </c>
      <c r="E2172">
        <v>1576835</v>
      </c>
      <c r="F2172" s="11">
        <v>1</v>
      </c>
    </row>
    <row r="2173" spans="1:6" x14ac:dyDescent="0.35">
      <c r="A2173" t="s">
        <v>2856</v>
      </c>
      <c r="B2173" t="s">
        <v>2865</v>
      </c>
      <c r="C2173" t="s">
        <v>1415</v>
      </c>
      <c r="D2173" t="s">
        <v>2896</v>
      </c>
      <c r="E2173">
        <v>1023825</v>
      </c>
      <c r="F2173" s="11">
        <v>1</v>
      </c>
    </row>
    <row r="2174" spans="1:6" x14ac:dyDescent="0.35">
      <c r="A2174" t="s">
        <v>2856</v>
      </c>
      <c r="B2174" t="s">
        <v>2865</v>
      </c>
      <c r="C2174" t="s">
        <v>1415</v>
      </c>
      <c r="D2174" t="s">
        <v>2897</v>
      </c>
      <c r="E2174">
        <v>522808</v>
      </c>
      <c r="F2174" s="11">
        <v>1</v>
      </c>
    </row>
    <row r="2175" spans="1:6" x14ac:dyDescent="0.35">
      <c r="A2175" t="s">
        <v>2856</v>
      </c>
      <c r="B2175" t="s">
        <v>2865</v>
      </c>
      <c r="C2175" t="s">
        <v>1415</v>
      </c>
      <c r="D2175" t="s">
        <v>2898</v>
      </c>
      <c r="E2175">
        <v>27202</v>
      </c>
      <c r="F2175" s="11">
        <v>1</v>
      </c>
    </row>
    <row r="2176" spans="1:6" x14ac:dyDescent="0.35">
      <c r="A2176" t="s">
        <v>2856</v>
      </c>
      <c r="B2176" t="s">
        <v>2865</v>
      </c>
      <c r="C2176" t="s">
        <v>1415</v>
      </c>
      <c r="D2176" t="s">
        <v>2899</v>
      </c>
      <c r="E2176">
        <v>56201</v>
      </c>
      <c r="F2176" s="11">
        <v>1</v>
      </c>
    </row>
    <row r="2177" spans="1:6" x14ac:dyDescent="0.35">
      <c r="A2177" t="s">
        <v>2856</v>
      </c>
      <c r="B2177" t="s">
        <v>2865</v>
      </c>
      <c r="C2177" t="s">
        <v>1415</v>
      </c>
      <c r="D2177" t="s">
        <v>2900</v>
      </c>
      <c r="E2177">
        <v>52511</v>
      </c>
      <c r="F2177" s="11">
        <v>1</v>
      </c>
    </row>
    <row r="2178" spans="1:6" x14ac:dyDescent="0.35">
      <c r="A2178" t="s">
        <v>2856</v>
      </c>
      <c r="B2178" t="s">
        <v>2865</v>
      </c>
      <c r="C2178" t="s">
        <v>1415</v>
      </c>
      <c r="D2178" t="s">
        <v>2901</v>
      </c>
      <c r="E2178">
        <v>3352</v>
      </c>
      <c r="F2178" s="11">
        <v>1</v>
      </c>
    </row>
    <row r="2179" spans="1:6" x14ac:dyDescent="0.35">
      <c r="A2179" t="s">
        <v>2856</v>
      </c>
      <c r="B2179" t="s">
        <v>2865</v>
      </c>
      <c r="C2179" t="s">
        <v>1415</v>
      </c>
      <c r="D2179" t="s">
        <v>2902</v>
      </c>
      <c r="E2179">
        <v>338</v>
      </c>
      <c r="F2179" s="11">
        <v>1</v>
      </c>
    </row>
    <row r="2180" spans="1:6" x14ac:dyDescent="0.35">
      <c r="A2180" t="s">
        <v>2856</v>
      </c>
      <c r="B2180" t="s">
        <v>2865</v>
      </c>
      <c r="C2180" t="s">
        <v>1415</v>
      </c>
      <c r="D2180" t="s">
        <v>2903</v>
      </c>
      <c r="E2180">
        <v>142908</v>
      </c>
      <c r="F2180" s="11">
        <v>1</v>
      </c>
    </row>
    <row r="2181" spans="1:6" x14ac:dyDescent="0.35">
      <c r="A2181" t="s">
        <v>2856</v>
      </c>
      <c r="B2181" t="s">
        <v>2865</v>
      </c>
      <c r="C2181" t="s">
        <v>1415</v>
      </c>
      <c r="D2181" t="s">
        <v>2904</v>
      </c>
      <c r="E2181">
        <v>0</v>
      </c>
      <c r="F2181" s="11">
        <v>0</v>
      </c>
    </row>
    <row r="2182" spans="1:6" x14ac:dyDescent="0.35">
      <c r="A2182" t="s">
        <v>2856</v>
      </c>
      <c r="B2182" t="s">
        <v>2865</v>
      </c>
      <c r="C2182" t="s">
        <v>1415</v>
      </c>
      <c r="D2182" t="s">
        <v>2905</v>
      </c>
      <c r="E2182">
        <v>0</v>
      </c>
      <c r="F2182" s="11">
        <v>0</v>
      </c>
    </row>
    <row r="2183" spans="1:6" x14ac:dyDescent="0.35">
      <c r="A2183" t="s">
        <v>2856</v>
      </c>
      <c r="B2183" t="s">
        <v>2865</v>
      </c>
      <c r="C2183" t="s">
        <v>1415</v>
      </c>
      <c r="D2183" t="s">
        <v>2906</v>
      </c>
      <c r="E2183">
        <v>0</v>
      </c>
      <c r="F2183" s="11">
        <v>0</v>
      </c>
    </row>
    <row r="2184" spans="1:6" x14ac:dyDescent="0.35">
      <c r="A2184" t="s">
        <v>2856</v>
      </c>
      <c r="B2184" t="s">
        <v>2865</v>
      </c>
      <c r="C2184" t="s">
        <v>1415</v>
      </c>
      <c r="D2184" t="s">
        <v>2907</v>
      </c>
      <c r="E2184">
        <v>131332</v>
      </c>
      <c r="F2184" s="11">
        <v>1</v>
      </c>
    </row>
    <row r="2185" spans="1:6" x14ac:dyDescent="0.35">
      <c r="A2185" t="s">
        <v>2856</v>
      </c>
      <c r="B2185" t="s">
        <v>2865</v>
      </c>
      <c r="C2185" t="s">
        <v>1415</v>
      </c>
      <c r="D2185" t="s">
        <v>2908</v>
      </c>
      <c r="E2185">
        <v>0</v>
      </c>
      <c r="F2185" s="11">
        <v>0</v>
      </c>
    </row>
    <row r="2186" spans="1:6" x14ac:dyDescent="0.35">
      <c r="A2186" t="s">
        <v>2856</v>
      </c>
      <c r="B2186" t="s">
        <v>2865</v>
      </c>
      <c r="C2186" t="s">
        <v>1415</v>
      </c>
      <c r="D2186" t="s">
        <v>2909</v>
      </c>
      <c r="E2186">
        <v>0</v>
      </c>
      <c r="F2186" s="11">
        <v>0</v>
      </c>
    </row>
    <row r="2187" spans="1:6" x14ac:dyDescent="0.35">
      <c r="A2187" t="s">
        <v>2856</v>
      </c>
      <c r="B2187" t="s">
        <v>2865</v>
      </c>
      <c r="C2187" t="s">
        <v>1415</v>
      </c>
      <c r="D2187" t="s">
        <v>2910</v>
      </c>
      <c r="E2187">
        <v>0</v>
      </c>
      <c r="F2187" s="11">
        <v>0</v>
      </c>
    </row>
    <row r="2188" spans="1:6" x14ac:dyDescent="0.35">
      <c r="A2188" t="s">
        <v>2856</v>
      </c>
      <c r="B2188" t="s">
        <v>2865</v>
      </c>
      <c r="C2188" t="s">
        <v>1415</v>
      </c>
      <c r="D2188" t="s">
        <v>2911</v>
      </c>
      <c r="E2188">
        <v>1040909</v>
      </c>
      <c r="F2188" s="11">
        <v>1</v>
      </c>
    </row>
    <row r="2189" spans="1:6" x14ac:dyDescent="0.35">
      <c r="A2189" t="s">
        <v>2856</v>
      </c>
      <c r="B2189" t="s">
        <v>2865</v>
      </c>
      <c r="C2189" t="s">
        <v>1415</v>
      </c>
      <c r="D2189" t="s">
        <v>2912</v>
      </c>
      <c r="E2189">
        <v>0</v>
      </c>
      <c r="F2189" s="11">
        <v>0</v>
      </c>
    </row>
    <row r="2190" spans="1:6" x14ac:dyDescent="0.35">
      <c r="A2190" t="s">
        <v>2856</v>
      </c>
      <c r="B2190" t="s">
        <v>2865</v>
      </c>
      <c r="C2190" t="s">
        <v>1415</v>
      </c>
      <c r="D2190" t="s">
        <v>2913</v>
      </c>
      <c r="E2190">
        <v>0</v>
      </c>
      <c r="F2190" s="11">
        <v>0</v>
      </c>
    </row>
    <row r="2191" spans="1:6" x14ac:dyDescent="0.35">
      <c r="A2191" t="s">
        <v>2856</v>
      </c>
      <c r="B2191" t="s">
        <v>2865</v>
      </c>
      <c r="C2191" t="s">
        <v>1415</v>
      </c>
      <c r="D2191" t="s">
        <v>2914</v>
      </c>
      <c r="E2191">
        <v>64610</v>
      </c>
      <c r="F2191" s="11">
        <v>1</v>
      </c>
    </row>
    <row r="2192" spans="1:6" x14ac:dyDescent="0.35">
      <c r="A2192" t="s">
        <v>2856</v>
      </c>
      <c r="B2192" t="s">
        <v>2865</v>
      </c>
      <c r="C2192" t="s">
        <v>1415</v>
      </c>
      <c r="D2192" t="s">
        <v>2915</v>
      </c>
      <c r="E2192">
        <v>6603</v>
      </c>
      <c r="F2192" s="11">
        <v>1</v>
      </c>
    </row>
    <row r="2193" spans="1:6" x14ac:dyDescent="0.35">
      <c r="A2193" t="s">
        <v>2856</v>
      </c>
      <c r="B2193" t="s">
        <v>2865</v>
      </c>
      <c r="C2193" t="s">
        <v>1415</v>
      </c>
      <c r="D2193" t="s">
        <v>2916</v>
      </c>
      <c r="E2193">
        <v>74596</v>
      </c>
      <c r="F2193" s="11">
        <v>1</v>
      </c>
    </row>
    <row r="2194" spans="1:6" x14ac:dyDescent="0.35">
      <c r="A2194" t="s">
        <v>2856</v>
      </c>
      <c r="B2194" t="s">
        <v>2865</v>
      </c>
      <c r="C2194" t="s">
        <v>1415</v>
      </c>
      <c r="D2194" t="s">
        <v>2917</v>
      </c>
      <c r="E2194">
        <v>50732</v>
      </c>
      <c r="F2194" s="11">
        <v>1</v>
      </c>
    </row>
    <row r="2195" spans="1:6" x14ac:dyDescent="0.35">
      <c r="A2195" t="s">
        <v>2856</v>
      </c>
      <c r="B2195" t="s">
        <v>2865</v>
      </c>
      <c r="C2195" t="s">
        <v>1460</v>
      </c>
      <c r="D2195" t="s">
        <v>2875</v>
      </c>
      <c r="E2195">
        <v>29775</v>
      </c>
      <c r="F2195" s="11">
        <v>1</v>
      </c>
    </row>
    <row r="2196" spans="1:6" x14ac:dyDescent="0.35">
      <c r="A2196" t="s">
        <v>2856</v>
      </c>
      <c r="B2196" t="s">
        <v>2865</v>
      </c>
      <c r="C2196" t="s">
        <v>1460</v>
      </c>
      <c r="D2196" t="s">
        <v>2876</v>
      </c>
      <c r="E2196">
        <v>6138</v>
      </c>
      <c r="F2196" s="11">
        <v>1</v>
      </c>
    </row>
    <row r="2197" spans="1:6" x14ac:dyDescent="0.35">
      <c r="A2197" t="s">
        <v>2856</v>
      </c>
      <c r="B2197" t="s">
        <v>2865</v>
      </c>
      <c r="C2197" t="s">
        <v>1460</v>
      </c>
      <c r="D2197" t="s">
        <v>2877</v>
      </c>
      <c r="E2197">
        <v>2270</v>
      </c>
      <c r="F2197" s="11">
        <v>1</v>
      </c>
    </row>
    <row r="2198" spans="1:6" x14ac:dyDescent="0.35">
      <c r="A2198" t="s">
        <v>2856</v>
      </c>
      <c r="B2198" t="s">
        <v>2865</v>
      </c>
      <c r="C2198" t="s">
        <v>1460</v>
      </c>
      <c r="D2198" t="s">
        <v>2878</v>
      </c>
      <c r="E2198">
        <v>21367</v>
      </c>
      <c r="F2198" s="11">
        <v>1</v>
      </c>
    </row>
    <row r="2199" spans="1:6" x14ac:dyDescent="0.35">
      <c r="A2199" t="s">
        <v>2856</v>
      </c>
      <c r="B2199" t="s">
        <v>2865</v>
      </c>
      <c r="C2199" t="s">
        <v>1460</v>
      </c>
      <c r="D2199" t="s">
        <v>2879</v>
      </c>
      <c r="E2199">
        <v>1890</v>
      </c>
      <c r="F2199" s="11">
        <v>1</v>
      </c>
    </row>
    <row r="2200" spans="1:6" x14ac:dyDescent="0.35">
      <c r="A2200" t="s">
        <v>2856</v>
      </c>
      <c r="B2200" t="s">
        <v>2865</v>
      </c>
      <c r="C2200" t="s">
        <v>1460</v>
      </c>
      <c r="D2200" t="s">
        <v>2880</v>
      </c>
      <c r="E2200">
        <v>0</v>
      </c>
      <c r="F2200" s="11">
        <v>0</v>
      </c>
    </row>
    <row r="2201" spans="1:6" x14ac:dyDescent="0.35">
      <c r="A2201" t="s">
        <v>2856</v>
      </c>
      <c r="B2201" t="s">
        <v>2865</v>
      </c>
      <c r="C2201" t="s">
        <v>1460</v>
      </c>
      <c r="D2201" t="s">
        <v>2881</v>
      </c>
      <c r="E2201">
        <v>0</v>
      </c>
      <c r="F2201" s="11">
        <v>0</v>
      </c>
    </row>
    <row r="2202" spans="1:6" x14ac:dyDescent="0.35">
      <c r="A2202" t="s">
        <v>2856</v>
      </c>
      <c r="B2202" t="s">
        <v>2865</v>
      </c>
      <c r="C2202" t="s">
        <v>1460</v>
      </c>
      <c r="D2202" t="s">
        <v>2882</v>
      </c>
      <c r="E2202">
        <v>0</v>
      </c>
      <c r="F2202" s="11">
        <v>0</v>
      </c>
    </row>
    <row r="2203" spans="1:6" x14ac:dyDescent="0.35">
      <c r="A2203" t="s">
        <v>2856</v>
      </c>
      <c r="B2203" t="s">
        <v>2865</v>
      </c>
      <c r="C2203" t="s">
        <v>1460</v>
      </c>
      <c r="D2203" t="s">
        <v>2883</v>
      </c>
      <c r="E2203">
        <v>0</v>
      </c>
      <c r="F2203" s="11">
        <v>0</v>
      </c>
    </row>
    <row r="2204" spans="1:6" x14ac:dyDescent="0.35">
      <c r="A2204" t="s">
        <v>2856</v>
      </c>
      <c r="B2204" t="s">
        <v>2865</v>
      </c>
      <c r="C2204" t="s">
        <v>1460</v>
      </c>
      <c r="D2204" t="s">
        <v>2884</v>
      </c>
      <c r="E2204">
        <v>0</v>
      </c>
      <c r="F2204" s="11">
        <v>0</v>
      </c>
    </row>
    <row r="2205" spans="1:6" x14ac:dyDescent="0.35">
      <c r="A2205" t="s">
        <v>2856</v>
      </c>
      <c r="B2205" t="s">
        <v>2865</v>
      </c>
      <c r="C2205" t="s">
        <v>1460</v>
      </c>
      <c r="D2205" t="s">
        <v>2885</v>
      </c>
      <c r="E2205">
        <v>0</v>
      </c>
      <c r="F2205" s="11">
        <v>0</v>
      </c>
    </row>
    <row r="2206" spans="1:6" x14ac:dyDescent="0.35">
      <c r="A2206" t="s">
        <v>2856</v>
      </c>
      <c r="B2206" t="s">
        <v>2865</v>
      </c>
      <c r="C2206" t="s">
        <v>1460</v>
      </c>
      <c r="D2206" t="s">
        <v>2886</v>
      </c>
      <c r="E2206">
        <v>0</v>
      </c>
      <c r="F2206" s="11">
        <v>0</v>
      </c>
    </row>
    <row r="2207" spans="1:6" x14ac:dyDescent="0.35">
      <c r="A2207" t="s">
        <v>2856</v>
      </c>
      <c r="B2207" t="s">
        <v>2865</v>
      </c>
      <c r="C2207" t="s">
        <v>1460</v>
      </c>
      <c r="D2207" t="s">
        <v>2887</v>
      </c>
      <c r="E2207">
        <v>25276</v>
      </c>
      <c r="F2207" s="11">
        <v>0</v>
      </c>
    </row>
    <row r="2208" spans="1:6" x14ac:dyDescent="0.35">
      <c r="A2208" t="s">
        <v>2856</v>
      </c>
      <c r="B2208" t="s">
        <v>2865</v>
      </c>
      <c r="C2208" t="s">
        <v>1460</v>
      </c>
      <c r="D2208" t="s">
        <v>2888</v>
      </c>
      <c r="E2208">
        <v>0</v>
      </c>
      <c r="F2208" s="11">
        <v>0</v>
      </c>
    </row>
    <row r="2209" spans="1:6" x14ac:dyDescent="0.35">
      <c r="A2209" t="s">
        <v>2856</v>
      </c>
      <c r="B2209" t="s">
        <v>2865</v>
      </c>
      <c r="C2209" t="s">
        <v>1460</v>
      </c>
      <c r="D2209" t="s">
        <v>2889</v>
      </c>
      <c r="E2209">
        <v>0</v>
      </c>
      <c r="F2209" s="11">
        <v>0</v>
      </c>
    </row>
    <row r="2210" spans="1:6" x14ac:dyDescent="0.35">
      <c r="A2210" t="s">
        <v>2856</v>
      </c>
      <c r="B2210" t="s">
        <v>2865</v>
      </c>
      <c r="C2210" t="s">
        <v>1460</v>
      </c>
      <c r="D2210" t="s">
        <v>2890</v>
      </c>
      <c r="E2210">
        <v>0</v>
      </c>
      <c r="F2210" s="11">
        <v>0</v>
      </c>
    </row>
    <row r="2211" spans="1:6" x14ac:dyDescent="0.35">
      <c r="A2211" t="s">
        <v>2856</v>
      </c>
      <c r="B2211" t="s">
        <v>2865</v>
      </c>
      <c r="C2211" t="s">
        <v>1460</v>
      </c>
      <c r="D2211" t="s">
        <v>2891</v>
      </c>
      <c r="E2211">
        <v>0</v>
      </c>
      <c r="F2211" s="11">
        <v>0</v>
      </c>
    </row>
    <row r="2212" spans="1:6" x14ac:dyDescent="0.35">
      <c r="A2212" t="s">
        <v>2856</v>
      </c>
      <c r="B2212" t="s">
        <v>2865</v>
      </c>
      <c r="C2212" t="s">
        <v>1460</v>
      </c>
      <c r="D2212" t="s">
        <v>2892</v>
      </c>
      <c r="E2212">
        <v>0</v>
      </c>
      <c r="F2212" s="11">
        <v>0</v>
      </c>
    </row>
    <row r="2213" spans="1:6" x14ac:dyDescent="0.35">
      <c r="A2213" t="s">
        <v>2856</v>
      </c>
      <c r="B2213" t="s">
        <v>2865</v>
      </c>
      <c r="C2213" t="s">
        <v>1460</v>
      </c>
      <c r="D2213" t="s">
        <v>2893</v>
      </c>
      <c r="E2213">
        <v>0</v>
      </c>
      <c r="F2213" s="11">
        <v>0</v>
      </c>
    </row>
    <row r="2214" spans="1:6" x14ac:dyDescent="0.35">
      <c r="A2214" t="s">
        <v>2856</v>
      </c>
      <c r="B2214" t="s">
        <v>2865</v>
      </c>
      <c r="C2214" t="s">
        <v>1460</v>
      </c>
      <c r="D2214" t="s">
        <v>2894</v>
      </c>
      <c r="E2214">
        <v>0</v>
      </c>
      <c r="F2214" s="11">
        <v>0</v>
      </c>
    </row>
    <row r="2215" spans="1:6" x14ac:dyDescent="0.35">
      <c r="A2215" t="s">
        <v>2856</v>
      </c>
      <c r="B2215" t="s">
        <v>2865</v>
      </c>
      <c r="C2215" t="s">
        <v>1460</v>
      </c>
      <c r="D2215" t="s">
        <v>2895</v>
      </c>
      <c r="E2215">
        <v>607010</v>
      </c>
      <c r="F2215" s="11">
        <v>1</v>
      </c>
    </row>
    <row r="2216" spans="1:6" x14ac:dyDescent="0.35">
      <c r="A2216" t="s">
        <v>2856</v>
      </c>
      <c r="B2216" t="s">
        <v>2865</v>
      </c>
      <c r="C2216" t="s">
        <v>1460</v>
      </c>
      <c r="D2216" t="s">
        <v>2896</v>
      </c>
      <c r="E2216">
        <v>0</v>
      </c>
      <c r="F2216" s="11">
        <v>0</v>
      </c>
    </row>
    <row r="2217" spans="1:6" x14ac:dyDescent="0.35">
      <c r="A2217" t="s">
        <v>2856</v>
      </c>
      <c r="B2217" t="s">
        <v>2865</v>
      </c>
      <c r="C2217" t="s">
        <v>1460</v>
      </c>
      <c r="D2217" t="s">
        <v>2897</v>
      </c>
      <c r="E2217">
        <v>0</v>
      </c>
      <c r="F2217" s="11">
        <v>0</v>
      </c>
    </row>
    <row r="2218" spans="1:6" x14ac:dyDescent="0.35">
      <c r="A2218" t="s">
        <v>2856</v>
      </c>
      <c r="B2218" t="s">
        <v>2865</v>
      </c>
      <c r="C2218" t="s">
        <v>1460</v>
      </c>
      <c r="D2218" t="s">
        <v>2898</v>
      </c>
      <c r="E2218">
        <v>0</v>
      </c>
      <c r="F2218" s="11">
        <v>0</v>
      </c>
    </row>
    <row r="2219" spans="1:6" x14ac:dyDescent="0.35">
      <c r="A2219" t="s">
        <v>2856</v>
      </c>
      <c r="B2219" t="s">
        <v>2865</v>
      </c>
      <c r="C2219" t="s">
        <v>1460</v>
      </c>
      <c r="D2219" t="s">
        <v>2899</v>
      </c>
      <c r="E2219">
        <v>0</v>
      </c>
      <c r="F2219" s="11">
        <v>1</v>
      </c>
    </row>
    <row r="2220" spans="1:6" x14ac:dyDescent="0.35">
      <c r="A2220" t="s">
        <v>2856</v>
      </c>
      <c r="B2220" t="s">
        <v>2865</v>
      </c>
      <c r="C2220" t="s">
        <v>1460</v>
      </c>
      <c r="D2220" t="s">
        <v>2900</v>
      </c>
      <c r="E2220">
        <v>0</v>
      </c>
      <c r="F2220" s="11">
        <v>0</v>
      </c>
    </row>
    <row r="2221" spans="1:6" x14ac:dyDescent="0.35">
      <c r="A2221" t="s">
        <v>2856</v>
      </c>
      <c r="B2221" t="s">
        <v>2865</v>
      </c>
      <c r="C2221" t="s">
        <v>1460</v>
      </c>
      <c r="D2221" t="s">
        <v>2901</v>
      </c>
      <c r="E2221">
        <v>0</v>
      </c>
      <c r="F2221" s="11">
        <v>0</v>
      </c>
    </row>
    <row r="2222" spans="1:6" x14ac:dyDescent="0.35">
      <c r="A2222" t="s">
        <v>2856</v>
      </c>
      <c r="B2222" t="s">
        <v>2865</v>
      </c>
      <c r="C2222" t="s">
        <v>1460</v>
      </c>
      <c r="D2222" t="s">
        <v>2902</v>
      </c>
      <c r="E2222">
        <v>0</v>
      </c>
      <c r="F2222" s="11">
        <v>0</v>
      </c>
    </row>
    <row r="2223" spans="1:6" x14ac:dyDescent="0.35">
      <c r="A2223" t="s">
        <v>2856</v>
      </c>
      <c r="B2223" t="s">
        <v>2865</v>
      </c>
      <c r="C2223" t="s">
        <v>1460</v>
      </c>
      <c r="D2223" t="s">
        <v>2903</v>
      </c>
      <c r="E2223">
        <v>0</v>
      </c>
      <c r="F2223" s="11">
        <v>1</v>
      </c>
    </row>
    <row r="2224" spans="1:6" x14ac:dyDescent="0.35">
      <c r="A2224" t="s">
        <v>2856</v>
      </c>
      <c r="B2224" t="s">
        <v>2865</v>
      </c>
      <c r="C2224" t="s">
        <v>1460</v>
      </c>
      <c r="D2224" t="s">
        <v>2904</v>
      </c>
      <c r="E2224">
        <v>0</v>
      </c>
      <c r="F2224" s="11">
        <v>0</v>
      </c>
    </row>
    <row r="2225" spans="1:6" x14ac:dyDescent="0.35">
      <c r="A2225" t="s">
        <v>2856</v>
      </c>
      <c r="B2225" t="s">
        <v>2865</v>
      </c>
      <c r="C2225" t="s">
        <v>1460</v>
      </c>
      <c r="D2225" t="s">
        <v>2905</v>
      </c>
      <c r="E2225">
        <v>0</v>
      </c>
      <c r="F2225" s="11">
        <v>0</v>
      </c>
    </row>
    <row r="2226" spans="1:6" x14ac:dyDescent="0.35">
      <c r="A2226" t="s">
        <v>2856</v>
      </c>
      <c r="B2226" t="s">
        <v>2865</v>
      </c>
      <c r="C2226" t="s">
        <v>1460</v>
      </c>
      <c r="D2226" t="s">
        <v>2906</v>
      </c>
      <c r="E2226">
        <v>0</v>
      </c>
      <c r="F2226" s="11">
        <v>0</v>
      </c>
    </row>
    <row r="2227" spans="1:6" x14ac:dyDescent="0.35">
      <c r="A2227" t="s">
        <v>2856</v>
      </c>
      <c r="B2227" t="s">
        <v>2865</v>
      </c>
      <c r="C2227" t="s">
        <v>1460</v>
      </c>
      <c r="D2227" t="s">
        <v>2907</v>
      </c>
      <c r="E2227">
        <v>0</v>
      </c>
      <c r="F2227" s="11">
        <v>1</v>
      </c>
    </row>
    <row r="2228" spans="1:6" x14ac:dyDescent="0.35">
      <c r="A2228" t="s">
        <v>2856</v>
      </c>
      <c r="B2228" t="s">
        <v>2865</v>
      </c>
      <c r="C2228" t="s">
        <v>1460</v>
      </c>
      <c r="D2228" t="s">
        <v>2908</v>
      </c>
      <c r="E2228">
        <v>0</v>
      </c>
      <c r="F2228" s="11">
        <v>0</v>
      </c>
    </row>
    <row r="2229" spans="1:6" x14ac:dyDescent="0.35">
      <c r="A2229" t="s">
        <v>2856</v>
      </c>
      <c r="B2229" t="s">
        <v>2865</v>
      </c>
      <c r="C2229" t="s">
        <v>1460</v>
      </c>
      <c r="D2229" t="s">
        <v>2909</v>
      </c>
      <c r="E2229">
        <v>0</v>
      </c>
      <c r="F2229" s="11">
        <v>0</v>
      </c>
    </row>
    <row r="2230" spans="1:6" x14ac:dyDescent="0.35">
      <c r="A2230" t="s">
        <v>2856</v>
      </c>
      <c r="B2230" t="s">
        <v>2865</v>
      </c>
      <c r="C2230" t="s">
        <v>1460</v>
      </c>
      <c r="D2230" t="s">
        <v>2910</v>
      </c>
      <c r="E2230">
        <v>0</v>
      </c>
      <c r="F2230" s="11">
        <v>0</v>
      </c>
    </row>
    <row r="2231" spans="1:6" x14ac:dyDescent="0.35">
      <c r="A2231" t="s">
        <v>2856</v>
      </c>
      <c r="B2231" t="s">
        <v>2865</v>
      </c>
      <c r="C2231" t="s">
        <v>1460</v>
      </c>
      <c r="D2231" t="s">
        <v>2911</v>
      </c>
      <c r="E2231">
        <v>813170</v>
      </c>
      <c r="F2231" s="11">
        <v>1</v>
      </c>
    </row>
    <row r="2232" spans="1:6" x14ac:dyDescent="0.35">
      <c r="A2232" t="s">
        <v>2856</v>
      </c>
      <c r="B2232" t="s">
        <v>2865</v>
      </c>
      <c r="C2232" t="s">
        <v>1460</v>
      </c>
      <c r="D2232" t="s">
        <v>2912</v>
      </c>
      <c r="E2232">
        <v>0</v>
      </c>
      <c r="F2232" s="11">
        <v>0</v>
      </c>
    </row>
    <row r="2233" spans="1:6" x14ac:dyDescent="0.35">
      <c r="A2233" t="s">
        <v>2856</v>
      </c>
      <c r="B2233" t="s">
        <v>2865</v>
      </c>
      <c r="C2233" t="s">
        <v>1460</v>
      </c>
      <c r="D2233" t="s">
        <v>2913</v>
      </c>
      <c r="E2233">
        <v>0</v>
      </c>
      <c r="F2233" s="11">
        <v>0</v>
      </c>
    </row>
    <row r="2234" spans="1:6" x14ac:dyDescent="0.35">
      <c r="A2234" t="s">
        <v>2856</v>
      </c>
      <c r="B2234" t="s">
        <v>2865</v>
      </c>
      <c r="C2234" t="s">
        <v>1460</v>
      </c>
      <c r="D2234" t="s">
        <v>2914</v>
      </c>
      <c r="E2234">
        <v>0</v>
      </c>
      <c r="F2234" s="11">
        <v>0</v>
      </c>
    </row>
    <row r="2235" spans="1:6" x14ac:dyDescent="0.35">
      <c r="A2235" t="s">
        <v>2856</v>
      </c>
      <c r="B2235" t="s">
        <v>2865</v>
      </c>
      <c r="C2235" t="s">
        <v>1460</v>
      </c>
      <c r="D2235" t="s">
        <v>2915</v>
      </c>
      <c r="E2235">
        <v>0</v>
      </c>
      <c r="F2235" s="11">
        <v>0</v>
      </c>
    </row>
    <row r="2236" spans="1:6" x14ac:dyDescent="0.35">
      <c r="A2236" t="s">
        <v>2856</v>
      </c>
      <c r="B2236" t="s">
        <v>2865</v>
      </c>
      <c r="C2236" t="s">
        <v>1460</v>
      </c>
      <c r="D2236" t="s">
        <v>2916</v>
      </c>
      <c r="E2236">
        <v>23475</v>
      </c>
      <c r="F2236" s="11">
        <v>1</v>
      </c>
    </row>
    <row r="2237" spans="1:6" x14ac:dyDescent="0.35">
      <c r="A2237" t="s">
        <v>2856</v>
      </c>
      <c r="B2237" t="s">
        <v>2865</v>
      </c>
      <c r="C2237" t="s">
        <v>1460</v>
      </c>
      <c r="D2237" t="s">
        <v>2917</v>
      </c>
      <c r="E2237">
        <v>0</v>
      </c>
      <c r="F2237" s="11">
        <v>0</v>
      </c>
    </row>
    <row r="2238" spans="1:6" x14ac:dyDescent="0.35">
      <c r="A2238" t="s">
        <v>2856</v>
      </c>
      <c r="B2238" t="s">
        <v>2866</v>
      </c>
      <c r="C2238" t="s">
        <v>2695</v>
      </c>
      <c r="D2238" t="s">
        <v>2875</v>
      </c>
      <c r="E2238">
        <v>0</v>
      </c>
      <c r="F2238" s="11">
        <v>0</v>
      </c>
    </row>
    <row r="2239" spans="1:6" x14ac:dyDescent="0.35">
      <c r="A2239" t="s">
        <v>2856</v>
      </c>
      <c r="B2239" t="s">
        <v>2866</v>
      </c>
      <c r="C2239" t="s">
        <v>2695</v>
      </c>
      <c r="D2239" t="s">
        <v>2876</v>
      </c>
      <c r="E2239">
        <v>0</v>
      </c>
      <c r="F2239" s="11">
        <v>0</v>
      </c>
    </row>
    <row r="2240" spans="1:6" x14ac:dyDescent="0.35">
      <c r="A2240" t="s">
        <v>2856</v>
      </c>
      <c r="B2240" t="s">
        <v>2866</v>
      </c>
      <c r="C2240" t="s">
        <v>2695</v>
      </c>
      <c r="D2240" t="s">
        <v>2877</v>
      </c>
      <c r="E2240">
        <v>0</v>
      </c>
      <c r="F2240" s="11">
        <v>0</v>
      </c>
    </row>
    <row r="2241" spans="1:6" x14ac:dyDescent="0.35">
      <c r="A2241" t="s">
        <v>2856</v>
      </c>
      <c r="B2241" t="s">
        <v>2866</v>
      </c>
      <c r="C2241" t="s">
        <v>2695</v>
      </c>
      <c r="D2241" t="s">
        <v>2878</v>
      </c>
      <c r="E2241">
        <v>0</v>
      </c>
      <c r="F2241" s="11">
        <v>0</v>
      </c>
    </row>
    <row r="2242" spans="1:6" x14ac:dyDescent="0.35">
      <c r="A2242" t="s">
        <v>2856</v>
      </c>
      <c r="B2242" t="s">
        <v>2866</v>
      </c>
      <c r="C2242" t="s">
        <v>2695</v>
      </c>
      <c r="D2242" t="s">
        <v>2879</v>
      </c>
      <c r="E2242">
        <v>0</v>
      </c>
      <c r="F2242" s="11">
        <v>0</v>
      </c>
    </row>
    <row r="2243" spans="1:6" x14ac:dyDescent="0.35">
      <c r="A2243" t="s">
        <v>2856</v>
      </c>
      <c r="B2243" t="s">
        <v>2866</v>
      </c>
      <c r="C2243" t="s">
        <v>2695</v>
      </c>
      <c r="D2243" t="s">
        <v>2880</v>
      </c>
      <c r="E2243">
        <v>0</v>
      </c>
      <c r="F2243" s="11">
        <v>0</v>
      </c>
    </row>
    <row r="2244" spans="1:6" x14ac:dyDescent="0.35">
      <c r="A2244" t="s">
        <v>2856</v>
      </c>
      <c r="B2244" t="s">
        <v>2866</v>
      </c>
      <c r="C2244" t="s">
        <v>2695</v>
      </c>
      <c r="D2244" t="s">
        <v>2881</v>
      </c>
      <c r="E2244">
        <v>0</v>
      </c>
      <c r="F2244" s="11">
        <v>0</v>
      </c>
    </row>
    <row r="2245" spans="1:6" x14ac:dyDescent="0.35">
      <c r="A2245" t="s">
        <v>2856</v>
      </c>
      <c r="B2245" t="s">
        <v>2866</v>
      </c>
      <c r="C2245" t="s">
        <v>2695</v>
      </c>
      <c r="D2245" t="s">
        <v>2882</v>
      </c>
      <c r="E2245">
        <v>0</v>
      </c>
      <c r="F2245" s="11">
        <v>0</v>
      </c>
    </row>
    <row r="2246" spans="1:6" x14ac:dyDescent="0.35">
      <c r="A2246" t="s">
        <v>2856</v>
      </c>
      <c r="B2246" t="s">
        <v>2866</v>
      </c>
      <c r="C2246" t="s">
        <v>2695</v>
      </c>
      <c r="D2246" t="s">
        <v>2883</v>
      </c>
      <c r="E2246">
        <v>0</v>
      </c>
      <c r="F2246" s="11">
        <v>0</v>
      </c>
    </row>
    <row r="2247" spans="1:6" x14ac:dyDescent="0.35">
      <c r="A2247" t="s">
        <v>2856</v>
      </c>
      <c r="B2247" t="s">
        <v>2866</v>
      </c>
      <c r="C2247" t="s">
        <v>2695</v>
      </c>
      <c r="D2247" t="s">
        <v>2884</v>
      </c>
      <c r="E2247">
        <v>0</v>
      </c>
      <c r="F2247" s="11">
        <v>0</v>
      </c>
    </row>
    <row r="2248" spans="1:6" x14ac:dyDescent="0.35">
      <c r="A2248" t="s">
        <v>2856</v>
      </c>
      <c r="B2248" t="s">
        <v>2866</v>
      </c>
      <c r="C2248" t="s">
        <v>2695</v>
      </c>
      <c r="D2248" t="s">
        <v>2885</v>
      </c>
      <c r="E2248">
        <v>0</v>
      </c>
      <c r="F2248" s="11">
        <v>0</v>
      </c>
    </row>
    <row r="2249" spans="1:6" x14ac:dyDescent="0.35">
      <c r="A2249" t="s">
        <v>2856</v>
      </c>
      <c r="B2249" t="s">
        <v>2866</v>
      </c>
      <c r="C2249" t="s">
        <v>2695</v>
      </c>
      <c r="D2249" t="s">
        <v>2886</v>
      </c>
      <c r="E2249">
        <v>0</v>
      </c>
      <c r="F2249" s="11">
        <v>0</v>
      </c>
    </row>
    <row r="2250" spans="1:6" x14ac:dyDescent="0.35">
      <c r="A2250" t="s">
        <v>2856</v>
      </c>
      <c r="B2250" t="s">
        <v>2866</v>
      </c>
      <c r="C2250" t="s">
        <v>2695</v>
      </c>
      <c r="D2250" t="s">
        <v>2887</v>
      </c>
      <c r="E2250">
        <v>0</v>
      </c>
      <c r="F2250" s="11">
        <v>0</v>
      </c>
    </row>
    <row r="2251" spans="1:6" x14ac:dyDescent="0.35">
      <c r="A2251" t="s">
        <v>2856</v>
      </c>
      <c r="B2251" t="s">
        <v>2866</v>
      </c>
      <c r="C2251" t="s">
        <v>2695</v>
      </c>
      <c r="D2251" t="s">
        <v>2888</v>
      </c>
      <c r="E2251">
        <v>0</v>
      </c>
      <c r="F2251" s="11">
        <v>0</v>
      </c>
    </row>
    <row r="2252" spans="1:6" x14ac:dyDescent="0.35">
      <c r="A2252" t="s">
        <v>2856</v>
      </c>
      <c r="B2252" t="s">
        <v>2866</v>
      </c>
      <c r="C2252" t="s">
        <v>2695</v>
      </c>
      <c r="D2252" t="s">
        <v>2889</v>
      </c>
      <c r="E2252">
        <v>0</v>
      </c>
      <c r="F2252" s="11">
        <v>0</v>
      </c>
    </row>
    <row r="2253" spans="1:6" x14ac:dyDescent="0.35">
      <c r="A2253" t="s">
        <v>2856</v>
      </c>
      <c r="B2253" t="s">
        <v>2866</v>
      </c>
      <c r="C2253" t="s">
        <v>2695</v>
      </c>
      <c r="D2253" t="s">
        <v>2890</v>
      </c>
      <c r="E2253">
        <v>0</v>
      </c>
      <c r="F2253" s="11">
        <v>0</v>
      </c>
    </row>
    <row r="2254" spans="1:6" x14ac:dyDescent="0.35">
      <c r="A2254" t="s">
        <v>2856</v>
      </c>
      <c r="B2254" t="s">
        <v>2866</v>
      </c>
      <c r="C2254" t="s">
        <v>2695</v>
      </c>
      <c r="D2254" t="s">
        <v>2891</v>
      </c>
      <c r="E2254">
        <v>0</v>
      </c>
      <c r="F2254" s="11">
        <v>0</v>
      </c>
    </row>
    <row r="2255" spans="1:6" x14ac:dyDescent="0.35">
      <c r="A2255" t="s">
        <v>2856</v>
      </c>
      <c r="B2255" t="s">
        <v>2866</v>
      </c>
      <c r="C2255" t="s">
        <v>2695</v>
      </c>
      <c r="D2255" t="s">
        <v>2892</v>
      </c>
      <c r="E2255">
        <v>0</v>
      </c>
      <c r="F2255" s="11">
        <v>0</v>
      </c>
    </row>
    <row r="2256" spans="1:6" x14ac:dyDescent="0.35">
      <c r="A2256" t="s">
        <v>2856</v>
      </c>
      <c r="B2256" t="s">
        <v>2866</v>
      </c>
      <c r="C2256" t="s">
        <v>2695</v>
      </c>
      <c r="D2256" t="s">
        <v>2893</v>
      </c>
      <c r="E2256">
        <v>0</v>
      </c>
      <c r="F2256" s="11">
        <v>0</v>
      </c>
    </row>
    <row r="2257" spans="1:6" x14ac:dyDescent="0.35">
      <c r="A2257" t="s">
        <v>2856</v>
      </c>
      <c r="B2257" t="s">
        <v>2866</v>
      </c>
      <c r="C2257" t="s">
        <v>2695</v>
      </c>
      <c r="D2257" t="s">
        <v>2894</v>
      </c>
      <c r="E2257">
        <v>0</v>
      </c>
      <c r="F2257" s="11">
        <v>0</v>
      </c>
    </row>
    <row r="2258" spans="1:6" x14ac:dyDescent="0.35">
      <c r="A2258" t="s">
        <v>2856</v>
      </c>
      <c r="B2258" t="s">
        <v>2866</v>
      </c>
      <c r="C2258" t="s">
        <v>2695</v>
      </c>
      <c r="D2258" t="s">
        <v>2895</v>
      </c>
      <c r="E2258">
        <v>0</v>
      </c>
      <c r="F2258" s="11">
        <v>0</v>
      </c>
    </row>
    <row r="2259" spans="1:6" x14ac:dyDescent="0.35">
      <c r="A2259" t="s">
        <v>2856</v>
      </c>
      <c r="B2259" t="s">
        <v>2866</v>
      </c>
      <c r="C2259" t="s">
        <v>2695</v>
      </c>
      <c r="D2259" t="s">
        <v>2896</v>
      </c>
      <c r="E2259">
        <v>0</v>
      </c>
      <c r="F2259" s="11">
        <v>0</v>
      </c>
    </row>
    <row r="2260" spans="1:6" x14ac:dyDescent="0.35">
      <c r="A2260" t="s">
        <v>2856</v>
      </c>
      <c r="B2260" t="s">
        <v>2866</v>
      </c>
      <c r="C2260" t="s">
        <v>2695</v>
      </c>
      <c r="D2260" t="s">
        <v>2897</v>
      </c>
      <c r="E2260">
        <v>0</v>
      </c>
      <c r="F2260" s="11">
        <v>0</v>
      </c>
    </row>
    <row r="2261" spans="1:6" x14ac:dyDescent="0.35">
      <c r="A2261" t="s">
        <v>2856</v>
      </c>
      <c r="B2261" t="s">
        <v>2866</v>
      </c>
      <c r="C2261" t="s">
        <v>2695</v>
      </c>
      <c r="D2261" t="s">
        <v>2898</v>
      </c>
      <c r="E2261">
        <v>0</v>
      </c>
      <c r="F2261" s="11">
        <v>0</v>
      </c>
    </row>
    <row r="2262" spans="1:6" x14ac:dyDescent="0.35">
      <c r="A2262" t="s">
        <v>2856</v>
      </c>
      <c r="B2262" t="s">
        <v>2866</v>
      </c>
      <c r="C2262" t="s">
        <v>2695</v>
      </c>
      <c r="D2262" t="s">
        <v>2899</v>
      </c>
      <c r="E2262">
        <v>0</v>
      </c>
      <c r="F2262" s="11">
        <v>0</v>
      </c>
    </row>
    <row r="2263" spans="1:6" x14ac:dyDescent="0.35">
      <c r="A2263" t="s">
        <v>2856</v>
      </c>
      <c r="B2263" t="s">
        <v>2866</v>
      </c>
      <c r="C2263" t="s">
        <v>2695</v>
      </c>
      <c r="D2263" t="s">
        <v>2900</v>
      </c>
      <c r="E2263">
        <v>0</v>
      </c>
      <c r="F2263" s="11">
        <v>0</v>
      </c>
    </row>
    <row r="2264" spans="1:6" x14ac:dyDescent="0.35">
      <c r="A2264" t="s">
        <v>2856</v>
      </c>
      <c r="B2264" t="s">
        <v>2866</v>
      </c>
      <c r="C2264" t="s">
        <v>2695</v>
      </c>
      <c r="D2264" t="s">
        <v>2901</v>
      </c>
      <c r="E2264">
        <v>0</v>
      </c>
      <c r="F2264" s="11">
        <v>0</v>
      </c>
    </row>
    <row r="2265" spans="1:6" x14ac:dyDescent="0.35">
      <c r="A2265" t="s">
        <v>2856</v>
      </c>
      <c r="B2265" t="s">
        <v>2866</v>
      </c>
      <c r="C2265" t="s">
        <v>2695</v>
      </c>
      <c r="D2265" t="s">
        <v>2902</v>
      </c>
      <c r="E2265">
        <v>0</v>
      </c>
      <c r="F2265" s="11">
        <v>0</v>
      </c>
    </row>
    <row r="2266" spans="1:6" x14ac:dyDescent="0.35">
      <c r="A2266" t="s">
        <v>2856</v>
      </c>
      <c r="B2266" t="s">
        <v>2866</v>
      </c>
      <c r="C2266" t="s">
        <v>2695</v>
      </c>
      <c r="D2266" t="s">
        <v>2903</v>
      </c>
      <c r="E2266">
        <v>23859</v>
      </c>
      <c r="F2266" s="11">
        <v>0</v>
      </c>
    </row>
    <row r="2267" spans="1:6" x14ac:dyDescent="0.35">
      <c r="A2267" t="s">
        <v>2856</v>
      </c>
      <c r="B2267" t="s">
        <v>2866</v>
      </c>
      <c r="C2267" t="s">
        <v>2695</v>
      </c>
      <c r="D2267" t="s">
        <v>2904</v>
      </c>
      <c r="E2267">
        <v>0</v>
      </c>
      <c r="F2267" s="11">
        <v>0</v>
      </c>
    </row>
    <row r="2268" spans="1:6" x14ac:dyDescent="0.35">
      <c r="A2268" t="s">
        <v>2856</v>
      </c>
      <c r="B2268" t="s">
        <v>2866</v>
      </c>
      <c r="C2268" t="s">
        <v>2695</v>
      </c>
      <c r="D2268" t="s">
        <v>2905</v>
      </c>
      <c r="E2268">
        <v>0</v>
      </c>
      <c r="F2268" s="11">
        <v>0</v>
      </c>
    </row>
    <row r="2269" spans="1:6" x14ac:dyDescent="0.35">
      <c r="A2269" t="s">
        <v>2856</v>
      </c>
      <c r="B2269" t="s">
        <v>2866</v>
      </c>
      <c r="C2269" t="s">
        <v>2695</v>
      </c>
      <c r="D2269" t="s">
        <v>2906</v>
      </c>
      <c r="E2269">
        <v>0</v>
      </c>
      <c r="F2269" s="11">
        <v>0</v>
      </c>
    </row>
    <row r="2270" spans="1:6" x14ac:dyDescent="0.35">
      <c r="A2270" t="s">
        <v>2856</v>
      </c>
      <c r="B2270" t="s">
        <v>2866</v>
      </c>
      <c r="C2270" t="s">
        <v>2695</v>
      </c>
      <c r="D2270" t="s">
        <v>2907</v>
      </c>
      <c r="E2270">
        <v>19687</v>
      </c>
      <c r="F2270" s="11">
        <v>0</v>
      </c>
    </row>
    <row r="2271" spans="1:6" x14ac:dyDescent="0.35">
      <c r="A2271" t="s">
        <v>2856</v>
      </c>
      <c r="B2271" t="s">
        <v>2866</v>
      </c>
      <c r="C2271" t="s">
        <v>2695</v>
      </c>
      <c r="D2271" t="s">
        <v>2908</v>
      </c>
      <c r="E2271">
        <v>0</v>
      </c>
      <c r="F2271" s="11">
        <v>0</v>
      </c>
    </row>
    <row r="2272" spans="1:6" x14ac:dyDescent="0.35">
      <c r="A2272" t="s">
        <v>2856</v>
      </c>
      <c r="B2272" t="s">
        <v>2866</v>
      </c>
      <c r="C2272" t="s">
        <v>2695</v>
      </c>
      <c r="D2272" t="s">
        <v>2909</v>
      </c>
      <c r="E2272">
        <v>0</v>
      </c>
      <c r="F2272" s="11">
        <v>0</v>
      </c>
    </row>
    <row r="2273" spans="1:6" x14ac:dyDescent="0.35">
      <c r="A2273" t="s">
        <v>2856</v>
      </c>
      <c r="B2273" t="s">
        <v>2866</v>
      </c>
      <c r="C2273" t="s">
        <v>2695</v>
      </c>
      <c r="D2273" t="s">
        <v>2910</v>
      </c>
      <c r="E2273">
        <v>0</v>
      </c>
      <c r="F2273" s="11">
        <v>0</v>
      </c>
    </row>
    <row r="2274" spans="1:6" x14ac:dyDescent="0.35">
      <c r="A2274" t="s">
        <v>2856</v>
      </c>
      <c r="B2274" t="s">
        <v>2866</v>
      </c>
      <c r="C2274" t="s">
        <v>2695</v>
      </c>
      <c r="D2274" t="s">
        <v>2911</v>
      </c>
      <c r="E2274">
        <v>108528</v>
      </c>
      <c r="F2274" s="11">
        <v>0</v>
      </c>
    </row>
    <row r="2275" spans="1:6" x14ac:dyDescent="0.35">
      <c r="A2275" t="s">
        <v>2856</v>
      </c>
      <c r="B2275" t="s">
        <v>2866</v>
      </c>
      <c r="C2275" t="s">
        <v>2695</v>
      </c>
      <c r="D2275" t="s">
        <v>2912</v>
      </c>
      <c r="E2275">
        <v>209284</v>
      </c>
      <c r="F2275" s="11">
        <v>0</v>
      </c>
    </row>
    <row r="2276" spans="1:6" x14ac:dyDescent="0.35">
      <c r="A2276" t="s">
        <v>2856</v>
      </c>
      <c r="B2276" t="s">
        <v>2866</v>
      </c>
      <c r="C2276" t="s">
        <v>2695</v>
      </c>
      <c r="D2276" t="s">
        <v>2913</v>
      </c>
      <c r="E2276">
        <v>0</v>
      </c>
      <c r="F2276" s="11">
        <v>0</v>
      </c>
    </row>
    <row r="2277" spans="1:6" x14ac:dyDescent="0.35">
      <c r="A2277" t="s">
        <v>2856</v>
      </c>
      <c r="B2277" t="s">
        <v>2866</v>
      </c>
      <c r="C2277" t="s">
        <v>2695</v>
      </c>
      <c r="D2277" t="s">
        <v>2914</v>
      </c>
      <c r="E2277">
        <v>0</v>
      </c>
      <c r="F2277" s="11">
        <v>0</v>
      </c>
    </row>
    <row r="2278" spans="1:6" x14ac:dyDescent="0.35">
      <c r="A2278" t="s">
        <v>2856</v>
      </c>
      <c r="B2278" t="s">
        <v>2866</v>
      </c>
      <c r="C2278" t="s">
        <v>2695</v>
      </c>
      <c r="D2278" t="s">
        <v>2915</v>
      </c>
      <c r="E2278">
        <v>0</v>
      </c>
      <c r="F2278" s="11">
        <v>0</v>
      </c>
    </row>
    <row r="2279" spans="1:6" x14ac:dyDescent="0.35">
      <c r="A2279" t="s">
        <v>2856</v>
      </c>
      <c r="B2279" t="s">
        <v>2866</v>
      </c>
      <c r="C2279" t="s">
        <v>2695</v>
      </c>
      <c r="D2279" t="s">
        <v>2916</v>
      </c>
      <c r="E2279">
        <v>37375</v>
      </c>
      <c r="F2279" s="11">
        <v>0</v>
      </c>
    </row>
    <row r="2280" spans="1:6" x14ac:dyDescent="0.35">
      <c r="A2280" t="s">
        <v>2856</v>
      </c>
      <c r="B2280" t="s">
        <v>2866</v>
      </c>
      <c r="C2280" t="s">
        <v>2695</v>
      </c>
      <c r="D2280" t="s">
        <v>2917</v>
      </c>
      <c r="E2280">
        <v>0</v>
      </c>
      <c r="F2280" s="11">
        <v>0</v>
      </c>
    </row>
    <row r="2281" spans="1:6" x14ac:dyDescent="0.35">
      <c r="A2281" t="s">
        <v>2856</v>
      </c>
      <c r="B2281" t="s">
        <v>2865</v>
      </c>
      <c r="C2281" t="s">
        <v>2697</v>
      </c>
      <c r="D2281" t="s">
        <v>2875</v>
      </c>
      <c r="E2281">
        <v>82599</v>
      </c>
      <c r="F2281" s="11">
        <v>0</v>
      </c>
    </row>
    <row r="2282" spans="1:6" x14ac:dyDescent="0.35">
      <c r="A2282" t="s">
        <v>2856</v>
      </c>
      <c r="B2282" t="s">
        <v>2865</v>
      </c>
      <c r="C2282" t="s">
        <v>2697</v>
      </c>
      <c r="D2282" t="s">
        <v>2876</v>
      </c>
      <c r="E2282">
        <v>14399</v>
      </c>
      <c r="F2282" s="11">
        <v>0</v>
      </c>
    </row>
    <row r="2283" spans="1:6" x14ac:dyDescent="0.35">
      <c r="A2283" t="s">
        <v>2856</v>
      </c>
      <c r="B2283" t="s">
        <v>2865</v>
      </c>
      <c r="C2283" t="s">
        <v>2697</v>
      </c>
      <c r="D2283" t="s">
        <v>2877</v>
      </c>
      <c r="E2283">
        <v>59382</v>
      </c>
      <c r="F2283" s="11">
        <v>0</v>
      </c>
    </row>
    <row r="2284" spans="1:6" x14ac:dyDescent="0.35">
      <c r="A2284" t="s">
        <v>2856</v>
      </c>
      <c r="B2284" t="s">
        <v>2865</v>
      </c>
      <c r="C2284" t="s">
        <v>2697</v>
      </c>
      <c r="D2284" t="s">
        <v>2878</v>
      </c>
      <c r="E2284">
        <v>8818</v>
      </c>
      <c r="F2284" s="11">
        <v>0</v>
      </c>
    </row>
    <row r="2285" spans="1:6" x14ac:dyDescent="0.35">
      <c r="A2285" t="s">
        <v>2856</v>
      </c>
      <c r="B2285" t="s">
        <v>2865</v>
      </c>
      <c r="C2285" t="s">
        <v>2697</v>
      </c>
      <c r="D2285" t="s">
        <v>2879</v>
      </c>
      <c r="E2285">
        <v>15309</v>
      </c>
      <c r="F2285" s="11">
        <v>0</v>
      </c>
    </row>
    <row r="2286" spans="1:6" x14ac:dyDescent="0.35">
      <c r="A2286" t="s">
        <v>2856</v>
      </c>
      <c r="B2286" t="s">
        <v>2865</v>
      </c>
      <c r="C2286" t="s">
        <v>2697</v>
      </c>
      <c r="D2286" t="s">
        <v>2880</v>
      </c>
      <c r="E2286">
        <v>0</v>
      </c>
      <c r="F2286" s="11">
        <v>0</v>
      </c>
    </row>
    <row r="2287" spans="1:6" x14ac:dyDescent="0.35">
      <c r="A2287" t="s">
        <v>2856</v>
      </c>
      <c r="B2287" t="s">
        <v>2865</v>
      </c>
      <c r="C2287" t="s">
        <v>2697</v>
      </c>
      <c r="D2287" t="s">
        <v>2881</v>
      </c>
      <c r="E2287">
        <v>0</v>
      </c>
      <c r="F2287" s="11">
        <v>0</v>
      </c>
    </row>
    <row r="2288" spans="1:6" x14ac:dyDescent="0.35">
      <c r="A2288" t="s">
        <v>2856</v>
      </c>
      <c r="B2288" t="s">
        <v>2865</v>
      </c>
      <c r="C2288" t="s">
        <v>2697</v>
      </c>
      <c r="D2288" t="s">
        <v>2882</v>
      </c>
      <c r="E2288">
        <v>0</v>
      </c>
      <c r="F2288" s="11">
        <v>0</v>
      </c>
    </row>
    <row r="2289" spans="1:6" x14ac:dyDescent="0.35">
      <c r="A2289" t="s">
        <v>2856</v>
      </c>
      <c r="B2289" t="s">
        <v>2865</v>
      </c>
      <c r="C2289" t="s">
        <v>2697</v>
      </c>
      <c r="D2289" t="s">
        <v>2883</v>
      </c>
      <c r="E2289">
        <v>37</v>
      </c>
      <c r="F2289" s="11">
        <v>0</v>
      </c>
    </row>
    <row r="2290" spans="1:6" x14ac:dyDescent="0.35">
      <c r="A2290" t="s">
        <v>2856</v>
      </c>
      <c r="B2290" t="s">
        <v>2865</v>
      </c>
      <c r="C2290" t="s">
        <v>2697</v>
      </c>
      <c r="D2290" t="s">
        <v>2884</v>
      </c>
      <c r="E2290">
        <v>0</v>
      </c>
      <c r="F2290" s="11">
        <v>0</v>
      </c>
    </row>
    <row r="2291" spans="1:6" x14ac:dyDescent="0.35">
      <c r="A2291" t="s">
        <v>2856</v>
      </c>
      <c r="B2291" t="s">
        <v>2865</v>
      </c>
      <c r="C2291" t="s">
        <v>2697</v>
      </c>
      <c r="D2291" t="s">
        <v>2885</v>
      </c>
      <c r="E2291">
        <v>0</v>
      </c>
      <c r="F2291" s="11">
        <v>0</v>
      </c>
    </row>
    <row r="2292" spans="1:6" x14ac:dyDescent="0.35">
      <c r="A2292" t="s">
        <v>2856</v>
      </c>
      <c r="B2292" t="s">
        <v>2865</v>
      </c>
      <c r="C2292" t="s">
        <v>2697</v>
      </c>
      <c r="D2292" t="s">
        <v>2886</v>
      </c>
      <c r="E2292">
        <v>0</v>
      </c>
      <c r="F2292" s="11">
        <v>0</v>
      </c>
    </row>
    <row r="2293" spans="1:6" x14ac:dyDescent="0.35">
      <c r="A2293" t="s">
        <v>2856</v>
      </c>
      <c r="B2293" t="s">
        <v>2865</v>
      </c>
      <c r="C2293" t="s">
        <v>2697</v>
      </c>
      <c r="D2293" t="s">
        <v>2887</v>
      </c>
      <c r="E2293">
        <v>0</v>
      </c>
      <c r="F2293" s="11">
        <v>0</v>
      </c>
    </row>
    <row r="2294" spans="1:6" x14ac:dyDescent="0.35">
      <c r="A2294" t="s">
        <v>2856</v>
      </c>
      <c r="B2294" t="s">
        <v>2865</v>
      </c>
      <c r="C2294" t="s">
        <v>2697</v>
      </c>
      <c r="D2294" t="s">
        <v>2888</v>
      </c>
      <c r="E2294">
        <v>0</v>
      </c>
      <c r="F2294" s="11">
        <v>0</v>
      </c>
    </row>
    <row r="2295" spans="1:6" x14ac:dyDescent="0.35">
      <c r="A2295" t="s">
        <v>2856</v>
      </c>
      <c r="B2295" t="s">
        <v>2865</v>
      </c>
      <c r="C2295" t="s">
        <v>2697</v>
      </c>
      <c r="D2295" t="s">
        <v>2889</v>
      </c>
      <c r="E2295">
        <v>0</v>
      </c>
      <c r="F2295" s="11">
        <v>0</v>
      </c>
    </row>
    <row r="2296" spans="1:6" x14ac:dyDescent="0.35">
      <c r="A2296" t="s">
        <v>2856</v>
      </c>
      <c r="B2296" t="s">
        <v>2865</v>
      </c>
      <c r="C2296" t="s">
        <v>2697</v>
      </c>
      <c r="D2296" t="s">
        <v>2890</v>
      </c>
      <c r="E2296">
        <v>0</v>
      </c>
      <c r="F2296" s="11">
        <v>0</v>
      </c>
    </row>
    <row r="2297" spans="1:6" x14ac:dyDescent="0.35">
      <c r="A2297" t="s">
        <v>2856</v>
      </c>
      <c r="B2297" t="s">
        <v>2865</v>
      </c>
      <c r="C2297" t="s">
        <v>2697</v>
      </c>
      <c r="D2297" t="s">
        <v>2891</v>
      </c>
      <c r="E2297">
        <v>0</v>
      </c>
      <c r="F2297" s="11">
        <v>0</v>
      </c>
    </row>
    <row r="2298" spans="1:6" x14ac:dyDescent="0.35">
      <c r="A2298" t="s">
        <v>2856</v>
      </c>
      <c r="B2298" t="s">
        <v>2865</v>
      </c>
      <c r="C2298" t="s">
        <v>2697</v>
      </c>
      <c r="D2298" t="s">
        <v>2892</v>
      </c>
      <c r="E2298">
        <v>0</v>
      </c>
      <c r="F2298" s="11">
        <v>0</v>
      </c>
    </row>
    <row r="2299" spans="1:6" x14ac:dyDescent="0.35">
      <c r="A2299" t="s">
        <v>2856</v>
      </c>
      <c r="B2299" t="s">
        <v>2865</v>
      </c>
      <c r="C2299" t="s">
        <v>2697</v>
      </c>
      <c r="D2299" t="s">
        <v>2893</v>
      </c>
      <c r="E2299">
        <v>0</v>
      </c>
      <c r="F2299" s="11">
        <v>0</v>
      </c>
    </row>
    <row r="2300" spans="1:6" x14ac:dyDescent="0.35">
      <c r="A2300" t="s">
        <v>2856</v>
      </c>
      <c r="B2300" t="s">
        <v>2865</v>
      </c>
      <c r="C2300" t="s">
        <v>2697</v>
      </c>
      <c r="D2300" t="s">
        <v>2894</v>
      </c>
      <c r="E2300">
        <v>0</v>
      </c>
      <c r="F2300" s="11">
        <v>0</v>
      </c>
    </row>
    <row r="2301" spans="1:6" x14ac:dyDescent="0.35">
      <c r="A2301" t="s">
        <v>2856</v>
      </c>
      <c r="B2301" t="s">
        <v>2865</v>
      </c>
      <c r="C2301" t="s">
        <v>2697</v>
      </c>
      <c r="D2301" t="s">
        <v>2895</v>
      </c>
      <c r="E2301">
        <v>742108</v>
      </c>
      <c r="F2301" s="11">
        <v>0</v>
      </c>
    </row>
    <row r="2302" spans="1:6" x14ac:dyDescent="0.35">
      <c r="A2302" t="s">
        <v>2856</v>
      </c>
      <c r="B2302" t="s">
        <v>2865</v>
      </c>
      <c r="C2302" t="s">
        <v>2697</v>
      </c>
      <c r="D2302" t="s">
        <v>2896</v>
      </c>
      <c r="E2302">
        <v>559976</v>
      </c>
      <c r="F2302" s="11">
        <v>0</v>
      </c>
    </row>
    <row r="2303" spans="1:6" x14ac:dyDescent="0.35">
      <c r="A2303" t="s">
        <v>2856</v>
      </c>
      <c r="B2303" t="s">
        <v>2865</v>
      </c>
      <c r="C2303" t="s">
        <v>2697</v>
      </c>
      <c r="D2303" t="s">
        <v>2897</v>
      </c>
      <c r="E2303">
        <v>163639</v>
      </c>
      <c r="F2303" s="11">
        <v>0</v>
      </c>
    </row>
    <row r="2304" spans="1:6" x14ac:dyDescent="0.35">
      <c r="A2304" t="s">
        <v>2856</v>
      </c>
      <c r="B2304" t="s">
        <v>2865</v>
      </c>
      <c r="C2304" t="s">
        <v>2697</v>
      </c>
      <c r="D2304" t="s">
        <v>2898</v>
      </c>
      <c r="E2304">
        <v>18493</v>
      </c>
      <c r="F2304" s="11">
        <v>0</v>
      </c>
    </row>
    <row r="2305" spans="1:6" x14ac:dyDescent="0.35">
      <c r="A2305" t="s">
        <v>2856</v>
      </c>
      <c r="B2305" t="s">
        <v>2865</v>
      </c>
      <c r="C2305" t="s">
        <v>2697</v>
      </c>
      <c r="D2305" t="s">
        <v>2899</v>
      </c>
      <c r="E2305">
        <v>12647</v>
      </c>
      <c r="F2305" s="11">
        <v>0</v>
      </c>
    </row>
    <row r="2306" spans="1:6" x14ac:dyDescent="0.35">
      <c r="A2306" t="s">
        <v>2856</v>
      </c>
      <c r="B2306" t="s">
        <v>2865</v>
      </c>
      <c r="C2306" t="s">
        <v>2697</v>
      </c>
      <c r="D2306" t="s">
        <v>2900</v>
      </c>
      <c r="E2306">
        <v>12170</v>
      </c>
      <c r="F2306" s="11">
        <v>0</v>
      </c>
    </row>
    <row r="2307" spans="1:6" x14ac:dyDescent="0.35">
      <c r="A2307" t="s">
        <v>2856</v>
      </c>
      <c r="B2307" t="s">
        <v>2865</v>
      </c>
      <c r="C2307" t="s">
        <v>2697</v>
      </c>
      <c r="D2307" t="s">
        <v>2901</v>
      </c>
      <c r="E2307">
        <v>454</v>
      </c>
      <c r="F2307" s="11">
        <v>0</v>
      </c>
    </row>
    <row r="2308" spans="1:6" x14ac:dyDescent="0.35">
      <c r="A2308" t="s">
        <v>2856</v>
      </c>
      <c r="B2308" t="s">
        <v>2865</v>
      </c>
      <c r="C2308" t="s">
        <v>2697</v>
      </c>
      <c r="D2308" t="s">
        <v>2902</v>
      </c>
      <c r="E2308">
        <v>23</v>
      </c>
      <c r="F2308" s="11">
        <v>0</v>
      </c>
    </row>
    <row r="2309" spans="1:6" x14ac:dyDescent="0.35">
      <c r="A2309" t="s">
        <v>2856</v>
      </c>
      <c r="B2309" t="s">
        <v>2865</v>
      </c>
      <c r="C2309" t="s">
        <v>2697</v>
      </c>
      <c r="D2309" t="s">
        <v>2903</v>
      </c>
      <c r="E2309">
        <v>115606</v>
      </c>
      <c r="F2309" s="11">
        <v>0</v>
      </c>
    </row>
    <row r="2310" spans="1:6" x14ac:dyDescent="0.35">
      <c r="A2310" t="s">
        <v>2856</v>
      </c>
      <c r="B2310" t="s">
        <v>2865</v>
      </c>
      <c r="C2310" t="s">
        <v>2697</v>
      </c>
      <c r="D2310" t="s">
        <v>2904</v>
      </c>
      <c r="E2310">
        <v>97768</v>
      </c>
      <c r="F2310" s="11">
        <v>0</v>
      </c>
    </row>
    <row r="2311" spans="1:6" x14ac:dyDescent="0.35">
      <c r="A2311" t="s">
        <v>2856</v>
      </c>
      <c r="B2311" t="s">
        <v>2865</v>
      </c>
      <c r="C2311" t="s">
        <v>2697</v>
      </c>
      <c r="D2311" t="s">
        <v>2905</v>
      </c>
      <c r="E2311">
        <v>10787</v>
      </c>
      <c r="F2311" s="11">
        <v>0</v>
      </c>
    </row>
    <row r="2312" spans="1:6" x14ac:dyDescent="0.35">
      <c r="A2312" t="s">
        <v>2856</v>
      </c>
      <c r="B2312" t="s">
        <v>2865</v>
      </c>
      <c r="C2312" t="s">
        <v>2697</v>
      </c>
      <c r="D2312" t="s">
        <v>2906</v>
      </c>
      <c r="E2312">
        <v>7051</v>
      </c>
      <c r="F2312" s="11">
        <v>0</v>
      </c>
    </row>
    <row r="2313" spans="1:6" x14ac:dyDescent="0.35">
      <c r="A2313" t="s">
        <v>2856</v>
      </c>
      <c r="B2313" t="s">
        <v>2865</v>
      </c>
      <c r="C2313" t="s">
        <v>2697</v>
      </c>
      <c r="D2313" t="s">
        <v>2907</v>
      </c>
      <c r="E2313">
        <v>183498</v>
      </c>
      <c r="F2313" s="11">
        <v>0</v>
      </c>
    </row>
    <row r="2314" spans="1:6" x14ac:dyDescent="0.35">
      <c r="A2314" t="s">
        <v>2856</v>
      </c>
      <c r="B2314" t="s">
        <v>2865</v>
      </c>
      <c r="C2314" t="s">
        <v>2697</v>
      </c>
      <c r="D2314" t="s">
        <v>2908</v>
      </c>
      <c r="E2314">
        <v>147891</v>
      </c>
      <c r="F2314" s="11">
        <v>0</v>
      </c>
    </row>
    <row r="2315" spans="1:6" x14ac:dyDescent="0.35">
      <c r="A2315" t="s">
        <v>2856</v>
      </c>
      <c r="B2315" t="s">
        <v>2865</v>
      </c>
      <c r="C2315" t="s">
        <v>2697</v>
      </c>
      <c r="D2315" t="s">
        <v>2909</v>
      </c>
      <c r="E2315">
        <v>25352</v>
      </c>
      <c r="F2315" s="11">
        <v>0</v>
      </c>
    </row>
    <row r="2316" spans="1:6" x14ac:dyDescent="0.35">
      <c r="A2316" t="s">
        <v>2856</v>
      </c>
      <c r="B2316" t="s">
        <v>2865</v>
      </c>
      <c r="C2316" t="s">
        <v>2697</v>
      </c>
      <c r="D2316" t="s">
        <v>2910</v>
      </c>
      <c r="E2316">
        <v>10255</v>
      </c>
      <c r="F2316" s="11">
        <v>0</v>
      </c>
    </row>
    <row r="2317" spans="1:6" x14ac:dyDescent="0.35">
      <c r="A2317" t="s">
        <v>2856</v>
      </c>
      <c r="B2317" t="s">
        <v>2865</v>
      </c>
      <c r="C2317" t="s">
        <v>2697</v>
      </c>
      <c r="D2317" t="s">
        <v>2911</v>
      </c>
      <c r="E2317">
        <v>1784074</v>
      </c>
      <c r="F2317" s="11">
        <v>0</v>
      </c>
    </row>
    <row r="2318" spans="1:6" x14ac:dyDescent="0.35">
      <c r="A2318" t="s">
        <v>2856</v>
      </c>
      <c r="B2318" t="s">
        <v>2865</v>
      </c>
      <c r="C2318" t="s">
        <v>2697</v>
      </c>
      <c r="D2318" t="s">
        <v>2912</v>
      </c>
      <c r="E2318">
        <v>1212357</v>
      </c>
      <c r="F2318" s="11">
        <v>0</v>
      </c>
    </row>
    <row r="2319" spans="1:6" x14ac:dyDescent="0.35">
      <c r="A2319" t="s">
        <v>2856</v>
      </c>
      <c r="B2319" t="s">
        <v>2865</v>
      </c>
      <c r="C2319" t="s">
        <v>2697</v>
      </c>
      <c r="D2319" t="s">
        <v>2913</v>
      </c>
      <c r="E2319">
        <v>0</v>
      </c>
      <c r="F2319" s="11">
        <v>0</v>
      </c>
    </row>
    <row r="2320" spans="1:6" x14ac:dyDescent="0.35">
      <c r="A2320" t="s">
        <v>2856</v>
      </c>
      <c r="B2320" t="s">
        <v>2865</v>
      </c>
      <c r="C2320" t="s">
        <v>2697</v>
      </c>
      <c r="D2320" t="s">
        <v>2914</v>
      </c>
      <c r="E2320">
        <v>0</v>
      </c>
      <c r="F2320" s="11">
        <v>0</v>
      </c>
    </row>
    <row r="2321" spans="1:6" x14ac:dyDescent="0.35">
      <c r="A2321" t="s">
        <v>2856</v>
      </c>
      <c r="B2321" t="s">
        <v>2865</v>
      </c>
      <c r="C2321" t="s">
        <v>2697</v>
      </c>
      <c r="D2321" t="s">
        <v>2915</v>
      </c>
      <c r="E2321">
        <v>4775</v>
      </c>
      <c r="F2321" s="11">
        <v>0</v>
      </c>
    </row>
    <row r="2322" spans="1:6" x14ac:dyDescent="0.35">
      <c r="A2322" t="s">
        <v>2856</v>
      </c>
      <c r="B2322" t="s">
        <v>2865</v>
      </c>
      <c r="C2322" t="s">
        <v>2697</v>
      </c>
      <c r="D2322" t="s">
        <v>2916</v>
      </c>
      <c r="E2322">
        <v>327574</v>
      </c>
      <c r="F2322" s="11">
        <v>0</v>
      </c>
    </row>
    <row r="2323" spans="1:6" x14ac:dyDescent="0.35">
      <c r="A2323" t="s">
        <v>2856</v>
      </c>
      <c r="B2323" t="s">
        <v>2865</v>
      </c>
      <c r="C2323" t="s">
        <v>2697</v>
      </c>
      <c r="D2323" t="s">
        <v>2917</v>
      </c>
      <c r="E2323">
        <v>264982</v>
      </c>
      <c r="F2323" s="11">
        <v>0</v>
      </c>
    </row>
    <row r="2324" spans="1:6" x14ac:dyDescent="0.35">
      <c r="A2324" t="s">
        <v>2856</v>
      </c>
      <c r="B2324" t="s">
        <v>2866</v>
      </c>
      <c r="C2324" t="s">
        <v>1438</v>
      </c>
      <c r="D2324" t="s">
        <v>2875</v>
      </c>
      <c r="E2324">
        <v>60695</v>
      </c>
      <c r="F2324" s="11">
        <v>1</v>
      </c>
    </row>
    <row r="2325" spans="1:6" x14ac:dyDescent="0.35">
      <c r="A2325" t="s">
        <v>2856</v>
      </c>
      <c r="B2325" t="s">
        <v>2866</v>
      </c>
      <c r="C2325" t="s">
        <v>1438</v>
      </c>
      <c r="D2325" t="s">
        <v>2876</v>
      </c>
      <c r="E2325">
        <v>0</v>
      </c>
      <c r="F2325" s="11">
        <v>1</v>
      </c>
    </row>
    <row r="2326" spans="1:6" x14ac:dyDescent="0.35">
      <c r="A2326" t="s">
        <v>2856</v>
      </c>
      <c r="B2326" t="s">
        <v>2866</v>
      </c>
      <c r="C2326" t="s">
        <v>1438</v>
      </c>
      <c r="D2326" t="s">
        <v>2877</v>
      </c>
      <c r="E2326">
        <v>0</v>
      </c>
      <c r="F2326" s="11">
        <v>1</v>
      </c>
    </row>
    <row r="2327" spans="1:6" x14ac:dyDescent="0.35">
      <c r="A2327" t="s">
        <v>2856</v>
      </c>
      <c r="B2327" t="s">
        <v>2866</v>
      </c>
      <c r="C2327" t="s">
        <v>1438</v>
      </c>
      <c r="D2327" t="s">
        <v>2878</v>
      </c>
      <c r="E2327">
        <v>0</v>
      </c>
      <c r="F2327" s="11">
        <v>1</v>
      </c>
    </row>
    <row r="2328" spans="1:6" x14ac:dyDescent="0.35">
      <c r="A2328" t="s">
        <v>2856</v>
      </c>
      <c r="B2328" t="s">
        <v>2866</v>
      </c>
      <c r="C2328" t="s">
        <v>1438</v>
      </c>
      <c r="D2328" t="s">
        <v>2879</v>
      </c>
      <c r="E2328">
        <v>8609</v>
      </c>
      <c r="F2328" s="11">
        <v>1</v>
      </c>
    </row>
    <row r="2329" spans="1:6" x14ac:dyDescent="0.35">
      <c r="A2329" t="s">
        <v>2856</v>
      </c>
      <c r="B2329" t="s">
        <v>2866</v>
      </c>
      <c r="C2329" t="s">
        <v>1438</v>
      </c>
      <c r="D2329" t="s">
        <v>2880</v>
      </c>
      <c r="E2329">
        <v>4702</v>
      </c>
      <c r="F2329" s="11">
        <v>1</v>
      </c>
    </row>
    <row r="2330" spans="1:6" x14ac:dyDescent="0.35">
      <c r="A2330" t="s">
        <v>2856</v>
      </c>
      <c r="B2330" t="s">
        <v>2866</v>
      </c>
      <c r="C2330" t="s">
        <v>1438</v>
      </c>
      <c r="D2330" t="s">
        <v>2881</v>
      </c>
      <c r="E2330">
        <v>3293</v>
      </c>
      <c r="F2330" s="11">
        <v>1</v>
      </c>
    </row>
    <row r="2331" spans="1:6" x14ac:dyDescent="0.35">
      <c r="A2331" t="s">
        <v>2856</v>
      </c>
      <c r="B2331" t="s">
        <v>2866</v>
      </c>
      <c r="C2331" t="s">
        <v>1438</v>
      </c>
      <c r="D2331" t="s">
        <v>2882</v>
      </c>
      <c r="E2331">
        <v>54</v>
      </c>
      <c r="F2331" s="11">
        <v>1</v>
      </c>
    </row>
    <row r="2332" spans="1:6" x14ac:dyDescent="0.35">
      <c r="A2332" t="s">
        <v>2856</v>
      </c>
      <c r="B2332" t="s">
        <v>2866</v>
      </c>
      <c r="C2332" t="s">
        <v>1438</v>
      </c>
      <c r="D2332" t="s">
        <v>2883</v>
      </c>
      <c r="E2332">
        <v>0</v>
      </c>
      <c r="F2332" s="11">
        <v>0</v>
      </c>
    </row>
    <row r="2333" spans="1:6" x14ac:dyDescent="0.35">
      <c r="A2333" t="s">
        <v>2856</v>
      </c>
      <c r="B2333" t="s">
        <v>2866</v>
      </c>
      <c r="C2333" t="s">
        <v>1438</v>
      </c>
      <c r="D2333" t="s">
        <v>2884</v>
      </c>
      <c r="E2333">
        <v>0</v>
      </c>
      <c r="F2333" s="11">
        <v>0</v>
      </c>
    </row>
    <row r="2334" spans="1:6" x14ac:dyDescent="0.35">
      <c r="A2334" t="s">
        <v>2856</v>
      </c>
      <c r="B2334" t="s">
        <v>2866</v>
      </c>
      <c r="C2334" t="s">
        <v>1438</v>
      </c>
      <c r="D2334" t="s">
        <v>2885</v>
      </c>
      <c r="E2334">
        <v>0</v>
      </c>
      <c r="F2334" s="11">
        <v>0</v>
      </c>
    </row>
    <row r="2335" spans="1:6" x14ac:dyDescent="0.35">
      <c r="A2335" t="s">
        <v>2856</v>
      </c>
      <c r="B2335" t="s">
        <v>2866</v>
      </c>
      <c r="C2335" t="s">
        <v>1438</v>
      </c>
      <c r="D2335" t="s">
        <v>2886</v>
      </c>
      <c r="E2335">
        <v>0</v>
      </c>
      <c r="F2335" s="11">
        <v>0</v>
      </c>
    </row>
    <row r="2336" spans="1:6" x14ac:dyDescent="0.35">
      <c r="A2336" t="s">
        <v>2856</v>
      </c>
      <c r="B2336" t="s">
        <v>2866</v>
      </c>
      <c r="C2336" t="s">
        <v>1438</v>
      </c>
      <c r="D2336" t="s">
        <v>2887</v>
      </c>
      <c r="E2336">
        <v>112016</v>
      </c>
      <c r="F2336" s="11">
        <v>1</v>
      </c>
    </row>
    <row r="2337" spans="1:6" x14ac:dyDescent="0.35">
      <c r="A2337" t="s">
        <v>2856</v>
      </c>
      <c r="B2337" t="s">
        <v>2866</v>
      </c>
      <c r="C2337" t="s">
        <v>1438</v>
      </c>
      <c r="D2337" t="s">
        <v>2888</v>
      </c>
      <c r="E2337">
        <v>46102</v>
      </c>
      <c r="F2337" s="11">
        <v>1</v>
      </c>
    </row>
    <row r="2338" spans="1:6" x14ac:dyDescent="0.35">
      <c r="A2338" t="s">
        <v>2856</v>
      </c>
      <c r="B2338" t="s">
        <v>2866</v>
      </c>
      <c r="C2338" t="s">
        <v>1438</v>
      </c>
      <c r="D2338" t="s">
        <v>2889</v>
      </c>
      <c r="E2338">
        <v>51191</v>
      </c>
      <c r="F2338" s="11">
        <v>1</v>
      </c>
    </row>
    <row r="2339" spans="1:6" x14ac:dyDescent="0.35">
      <c r="A2339" t="s">
        <v>2856</v>
      </c>
      <c r="B2339" t="s">
        <v>2866</v>
      </c>
      <c r="C2339" t="s">
        <v>1438</v>
      </c>
      <c r="D2339" t="s">
        <v>2890</v>
      </c>
      <c r="E2339">
        <v>779</v>
      </c>
      <c r="F2339" s="11">
        <v>1</v>
      </c>
    </row>
    <row r="2340" spans="1:6" x14ac:dyDescent="0.35">
      <c r="A2340" t="s">
        <v>2856</v>
      </c>
      <c r="B2340" t="s">
        <v>2866</v>
      </c>
      <c r="C2340" t="s">
        <v>1438</v>
      </c>
      <c r="D2340" t="s">
        <v>2891</v>
      </c>
      <c r="E2340">
        <v>0</v>
      </c>
      <c r="F2340" s="11">
        <v>0</v>
      </c>
    </row>
    <row r="2341" spans="1:6" x14ac:dyDescent="0.35">
      <c r="A2341" t="s">
        <v>2856</v>
      </c>
      <c r="B2341" t="s">
        <v>2866</v>
      </c>
      <c r="C2341" t="s">
        <v>1438</v>
      </c>
      <c r="D2341" t="s">
        <v>2892</v>
      </c>
      <c r="E2341">
        <v>0</v>
      </c>
      <c r="F2341" s="11">
        <v>0</v>
      </c>
    </row>
    <row r="2342" spans="1:6" x14ac:dyDescent="0.35">
      <c r="A2342" t="s">
        <v>2856</v>
      </c>
      <c r="B2342" t="s">
        <v>2866</v>
      </c>
      <c r="C2342" t="s">
        <v>1438</v>
      </c>
      <c r="D2342" t="s">
        <v>2893</v>
      </c>
      <c r="E2342">
        <v>0</v>
      </c>
      <c r="F2342" s="11">
        <v>0</v>
      </c>
    </row>
    <row r="2343" spans="1:6" x14ac:dyDescent="0.35">
      <c r="A2343" t="s">
        <v>2856</v>
      </c>
      <c r="B2343" t="s">
        <v>2866</v>
      </c>
      <c r="C2343" t="s">
        <v>1438</v>
      </c>
      <c r="D2343" t="s">
        <v>2894</v>
      </c>
      <c r="E2343">
        <v>0</v>
      </c>
      <c r="F2343" s="11">
        <v>0</v>
      </c>
    </row>
    <row r="2344" spans="1:6" x14ac:dyDescent="0.35">
      <c r="A2344" t="s">
        <v>2856</v>
      </c>
      <c r="B2344" t="s">
        <v>2866</v>
      </c>
      <c r="C2344" t="s">
        <v>1438</v>
      </c>
      <c r="D2344" t="s">
        <v>2895</v>
      </c>
      <c r="E2344">
        <v>592621</v>
      </c>
      <c r="F2344" s="11">
        <v>1</v>
      </c>
    </row>
    <row r="2345" spans="1:6" x14ac:dyDescent="0.35">
      <c r="A2345" t="s">
        <v>2856</v>
      </c>
      <c r="B2345" t="s">
        <v>2866</v>
      </c>
      <c r="C2345" t="s">
        <v>1438</v>
      </c>
      <c r="D2345" t="s">
        <v>2896</v>
      </c>
      <c r="E2345">
        <v>227118</v>
      </c>
      <c r="F2345" s="11">
        <v>0</v>
      </c>
    </row>
    <row r="2346" spans="1:6" x14ac:dyDescent="0.35">
      <c r="A2346" t="s">
        <v>2856</v>
      </c>
      <c r="B2346" t="s">
        <v>2866</v>
      </c>
      <c r="C2346" t="s">
        <v>1438</v>
      </c>
      <c r="D2346" t="s">
        <v>2897</v>
      </c>
      <c r="E2346">
        <v>353376</v>
      </c>
      <c r="F2346" s="11">
        <v>0</v>
      </c>
    </row>
    <row r="2347" spans="1:6" x14ac:dyDescent="0.35">
      <c r="A2347" t="s">
        <v>2856</v>
      </c>
      <c r="B2347" t="s">
        <v>2866</v>
      </c>
      <c r="C2347" t="s">
        <v>1438</v>
      </c>
      <c r="D2347" t="s">
        <v>2898</v>
      </c>
      <c r="E2347">
        <v>11981</v>
      </c>
      <c r="F2347" s="11">
        <v>0</v>
      </c>
    </row>
    <row r="2348" spans="1:6" x14ac:dyDescent="0.35">
      <c r="A2348" t="s">
        <v>2856</v>
      </c>
      <c r="B2348" t="s">
        <v>2866</v>
      </c>
      <c r="C2348" t="s">
        <v>1438</v>
      </c>
      <c r="D2348" t="s">
        <v>2899</v>
      </c>
      <c r="E2348">
        <v>2140</v>
      </c>
      <c r="F2348" s="11">
        <v>1</v>
      </c>
    </row>
    <row r="2349" spans="1:6" x14ac:dyDescent="0.35">
      <c r="A2349" t="s">
        <v>2856</v>
      </c>
      <c r="B2349" t="s">
        <v>2866</v>
      </c>
      <c r="C2349" t="s">
        <v>1438</v>
      </c>
      <c r="D2349" t="s">
        <v>2900</v>
      </c>
      <c r="E2349">
        <v>0</v>
      </c>
      <c r="F2349" s="11">
        <v>0</v>
      </c>
    </row>
    <row r="2350" spans="1:6" x14ac:dyDescent="0.35">
      <c r="A2350" t="s">
        <v>2856</v>
      </c>
      <c r="B2350" t="s">
        <v>2866</v>
      </c>
      <c r="C2350" t="s">
        <v>1438</v>
      </c>
      <c r="D2350" t="s">
        <v>2901</v>
      </c>
      <c r="E2350">
        <v>0</v>
      </c>
      <c r="F2350" s="11">
        <v>0</v>
      </c>
    </row>
    <row r="2351" spans="1:6" x14ac:dyDescent="0.35">
      <c r="A2351" t="s">
        <v>2856</v>
      </c>
      <c r="B2351" t="s">
        <v>2866</v>
      </c>
      <c r="C2351" t="s">
        <v>1438</v>
      </c>
      <c r="D2351" t="s">
        <v>2902</v>
      </c>
      <c r="E2351">
        <v>0</v>
      </c>
      <c r="F2351" s="11">
        <v>0</v>
      </c>
    </row>
    <row r="2352" spans="1:6" x14ac:dyDescent="0.35">
      <c r="A2352" t="s">
        <v>2856</v>
      </c>
      <c r="B2352" t="s">
        <v>2866</v>
      </c>
      <c r="C2352" t="s">
        <v>1438</v>
      </c>
      <c r="D2352" t="s">
        <v>2903</v>
      </c>
      <c r="E2352">
        <v>50424</v>
      </c>
      <c r="F2352" s="11">
        <v>1</v>
      </c>
    </row>
    <row r="2353" spans="1:6" x14ac:dyDescent="0.35">
      <c r="A2353" t="s">
        <v>2856</v>
      </c>
      <c r="B2353" t="s">
        <v>2866</v>
      </c>
      <c r="C2353" t="s">
        <v>1438</v>
      </c>
      <c r="D2353" t="s">
        <v>2904</v>
      </c>
      <c r="E2353">
        <v>33805</v>
      </c>
      <c r="F2353" s="11">
        <v>0</v>
      </c>
    </row>
    <row r="2354" spans="1:6" x14ac:dyDescent="0.35">
      <c r="A2354" t="s">
        <v>2856</v>
      </c>
      <c r="B2354" t="s">
        <v>2866</v>
      </c>
      <c r="C2354" t="s">
        <v>1438</v>
      </c>
      <c r="D2354" t="s">
        <v>2905</v>
      </c>
      <c r="E2354">
        <v>8084</v>
      </c>
      <c r="F2354" s="11">
        <v>0</v>
      </c>
    </row>
    <row r="2355" spans="1:6" x14ac:dyDescent="0.35">
      <c r="A2355" t="s">
        <v>2856</v>
      </c>
      <c r="B2355" t="s">
        <v>2866</v>
      </c>
      <c r="C2355" t="s">
        <v>1438</v>
      </c>
      <c r="D2355" t="s">
        <v>2906</v>
      </c>
      <c r="E2355">
        <v>4742</v>
      </c>
      <c r="F2355" s="11">
        <v>0</v>
      </c>
    </row>
    <row r="2356" spans="1:6" x14ac:dyDescent="0.35">
      <c r="A2356" t="s">
        <v>2856</v>
      </c>
      <c r="B2356" t="s">
        <v>2866</v>
      </c>
      <c r="C2356" t="s">
        <v>1438</v>
      </c>
      <c r="D2356" t="s">
        <v>2907</v>
      </c>
      <c r="E2356">
        <v>36056</v>
      </c>
      <c r="F2356" s="11">
        <v>1</v>
      </c>
    </row>
    <row r="2357" spans="1:6" x14ac:dyDescent="0.35">
      <c r="A2357" t="s">
        <v>2856</v>
      </c>
      <c r="B2357" t="s">
        <v>2866</v>
      </c>
      <c r="C2357" t="s">
        <v>1438</v>
      </c>
      <c r="D2357" t="s">
        <v>2908</v>
      </c>
      <c r="E2357">
        <v>19457</v>
      </c>
      <c r="F2357" s="11">
        <v>0</v>
      </c>
    </row>
    <row r="2358" spans="1:6" x14ac:dyDescent="0.35">
      <c r="A2358" t="s">
        <v>2856</v>
      </c>
      <c r="B2358" t="s">
        <v>2866</v>
      </c>
      <c r="C2358" t="s">
        <v>1438</v>
      </c>
      <c r="D2358" t="s">
        <v>2909</v>
      </c>
      <c r="E2358">
        <v>3802</v>
      </c>
      <c r="F2358" s="11">
        <v>0</v>
      </c>
    </row>
    <row r="2359" spans="1:6" x14ac:dyDescent="0.35">
      <c r="A2359" t="s">
        <v>2856</v>
      </c>
      <c r="B2359" t="s">
        <v>2866</v>
      </c>
      <c r="C2359" t="s">
        <v>1438</v>
      </c>
      <c r="D2359" t="s">
        <v>2910</v>
      </c>
      <c r="E2359">
        <v>1387</v>
      </c>
      <c r="F2359" s="11">
        <v>0</v>
      </c>
    </row>
    <row r="2360" spans="1:6" x14ac:dyDescent="0.35">
      <c r="A2360" t="s">
        <v>2856</v>
      </c>
      <c r="B2360" t="s">
        <v>2866</v>
      </c>
      <c r="C2360" t="s">
        <v>1438</v>
      </c>
      <c r="D2360" t="s">
        <v>2911</v>
      </c>
      <c r="E2360">
        <v>939335</v>
      </c>
      <c r="F2360" s="11">
        <v>1</v>
      </c>
    </row>
    <row r="2361" spans="1:6" x14ac:dyDescent="0.35">
      <c r="A2361" t="s">
        <v>2856</v>
      </c>
      <c r="B2361" t="s">
        <v>2866</v>
      </c>
      <c r="C2361" t="s">
        <v>1438</v>
      </c>
      <c r="D2361" t="s">
        <v>2912</v>
      </c>
      <c r="E2361">
        <v>0</v>
      </c>
      <c r="F2361" s="11">
        <v>0</v>
      </c>
    </row>
    <row r="2362" spans="1:6" x14ac:dyDescent="0.35">
      <c r="A2362" t="s">
        <v>2856</v>
      </c>
      <c r="B2362" t="s">
        <v>2866</v>
      </c>
      <c r="C2362" t="s">
        <v>1438</v>
      </c>
      <c r="D2362" t="s">
        <v>2913</v>
      </c>
      <c r="E2362">
        <v>0</v>
      </c>
      <c r="F2362" s="11">
        <v>0</v>
      </c>
    </row>
    <row r="2363" spans="1:6" x14ac:dyDescent="0.35">
      <c r="A2363" t="s">
        <v>2856</v>
      </c>
      <c r="B2363" t="s">
        <v>2866</v>
      </c>
      <c r="C2363" t="s">
        <v>1438</v>
      </c>
      <c r="D2363" t="s">
        <v>2914</v>
      </c>
      <c r="E2363">
        <v>0</v>
      </c>
      <c r="F2363" s="11">
        <v>0</v>
      </c>
    </row>
    <row r="2364" spans="1:6" x14ac:dyDescent="0.35">
      <c r="A2364" t="s">
        <v>2856</v>
      </c>
      <c r="B2364" t="s">
        <v>2866</v>
      </c>
      <c r="C2364" t="s">
        <v>1438</v>
      </c>
      <c r="D2364" t="s">
        <v>2915</v>
      </c>
      <c r="E2364">
        <v>4779</v>
      </c>
      <c r="F2364" s="11">
        <v>1</v>
      </c>
    </row>
    <row r="2365" spans="1:6" x14ac:dyDescent="0.35">
      <c r="A2365" t="s">
        <v>2856</v>
      </c>
      <c r="B2365" t="s">
        <v>2866</v>
      </c>
      <c r="C2365" t="s">
        <v>1438</v>
      </c>
      <c r="D2365" t="s">
        <v>2916</v>
      </c>
      <c r="E2365">
        <v>93369</v>
      </c>
      <c r="F2365" s="11">
        <v>1</v>
      </c>
    </row>
    <row r="2366" spans="1:6" x14ac:dyDescent="0.35">
      <c r="A2366" t="s">
        <v>2856</v>
      </c>
      <c r="B2366" t="s">
        <v>2866</v>
      </c>
      <c r="C2366" t="s">
        <v>1438</v>
      </c>
      <c r="D2366" t="s">
        <v>2917</v>
      </c>
      <c r="E2366">
        <v>22705</v>
      </c>
      <c r="F2366" s="11">
        <v>1</v>
      </c>
    </row>
    <row r="2367" spans="1:6" x14ac:dyDescent="0.35">
      <c r="A2367" t="s">
        <v>2856</v>
      </c>
      <c r="B2367" t="s">
        <v>2862</v>
      </c>
      <c r="C2367" t="s">
        <v>1378</v>
      </c>
      <c r="D2367" t="s">
        <v>2875</v>
      </c>
      <c r="E2367">
        <v>0</v>
      </c>
      <c r="F2367" s="11">
        <v>0</v>
      </c>
    </row>
    <row r="2368" spans="1:6" x14ac:dyDescent="0.35">
      <c r="A2368" t="s">
        <v>2856</v>
      </c>
      <c r="B2368" t="s">
        <v>2862</v>
      </c>
      <c r="C2368" t="s">
        <v>1378</v>
      </c>
      <c r="D2368" t="s">
        <v>2876</v>
      </c>
      <c r="E2368">
        <v>0</v>
      </c>
      <c r="F2368" s="11">
        <v>0</v>
      </c>
    </row>
    <row r="2369" spans="1:6" x14ac:dyDescent="0.35">
      <c r="A2369" t="s">
        <v>2856</v>
      </c>
      <c r="B2369" t="s">
        <v>2862</v>
      </c>
      <c r="C2369" t="s">
        <v>1378</v>
      </c>
      <c r="D2369" t="s">
        <v>2877</v>
      </c>
      <c r="E2369">
        <v>0</v>
      </c>
      <c r="F2369" s="11">
        <v>0</v>
      </c>
    </row>
    <row r="2370" spans="1:6" x14ac:dyDescent="0.35">
      <c r="A2370" t="s">
        <v>2856</v>
      </c>
      <c r="B2370" t="s">
        <v>2862</v>
      </c>
      <c r="C2370" t="s">
        <v>1378</v>
      </c>
      <c r="D2370" t="s">
        <v>2878</v>
      </c>
      <c r="E2370">
        <v>0</v>
      </c>
      <c r="F2370" s="11">
        <v>0</v>
      </c>
    </row>
    <row r="2371" spans="1:6" x14ac:dyDescent="0.35">
      <c r="A2371" t="s">
        <v>2856</v>
      </c>
      <c r="B2371" t="s">
        <v>2862</v>
      </c>
      <c r="C2371" t="s">
        <v>1378</v>
      </c>
      <c r="D2371" t="s">
        <v>2879</v>
      </c>
      <c r="E2371">
        <v>2398</v>
      </c>
      <c r="F2371" s="11">
        <v>1</v>
      </c>
    </row>
    <row r="2372" spans="1:6" x14ac:dyDescent="0.35">
      <c r="A2372" t="s">
        <v>2856</v>
      </c>
      <c r="B2372" t="s">
        <v>2862</v>
      </c>
      <c r="C2372" t="s">
        <v>1378</v>
      </c>
      <c r="D2372" t="s">
        <v>2880</v>
      </c>
      <c r="E2372">
        <v>686</v>
      </c>
      <c r="F2372" s="11">
        <v>0</v>
      </c>
    </row>
    <row r="2373" spans="1:6" x14ac:dyDescent="0.35">
      <c r="A2373" t="s">
        <v>2856</v>
      </c>
      <c r="B2373" t="s">
        <v>2862</v>
      </c>
      <c r="C2373" t="s">
        <v>1378</v>
      </c>
      <c r="D2373" t="s">
        <v>2881</v>
      </c>
      <c r="E2373">
        <v>1625</v>
      </c>
      <c r="F2373" s="11">
        <v>0</v>
      </c>
    </row>
    <row r="2374" spans="1:6" x14ac:dyDescent="0.35">
      <c r="A2374" t="s">
        <v>2856</v>
      </c>
      <c r="B2374" t="s">
        <v>2862</v>
      </c>
      <c r="C2374" t="s">
        <v>1378</v>
      </c>
      <c r="D2374" t="s">
        <v>2882</v>
      </c>
      <c r="E2374">
        <v>48</v>
      </c>
      <c r="F2374" s="11">
        <v>0</v>
      </c>
    </row>
    <row r="2375" spans="1:6" x14ac:dyDescent="0.35">
      <c r="A2375" t="s">
        <v>2856</v>
      </c>
      <c r="B2375" t="s">
        <v>2862</v>
      </c>
      <c r="C2375" t="s">
        <v>1378</v>
      </c>
      <c r="D2375" t="s">
        <v>2883</v>
      </c>
      <c r="E2375">
        <v>0</v>
      </c>
      <c r="F2375" s="11">
        <v>0</v>
      </c>
    </row>
    <row r="2376" spans="1:6" x14ac:dyDescent="0.35">
      <c r="A2376" t="s">
        <v>2856</v>
      </c>
      <c r="B2376" t="s">
        <v>2862</v>
      </c>
      <c r="C2376" t="s">
        <v>1378</v>
      </c>
      <c r="D2376" t="s">
        <v>2884</v>
      </c>
      <c r="E2376">
        <v>0</v>
      </c>
      <c r="F2376" s="11">
        <v>0</v>
      </c>
    </row>
    <row r="2377" spans="1:6" x14ac:dyDescent="0.35">
      <c r="A2377" t="s">
        <v>2856</v>
      </c>
      <c r="B2377" t="s">
        <v>2862</v>
      </c>
      <c r="C2377" t="s">
        <v>1378</v>
      </c>
      <c r="D2377" t="s">
        <v>2885</v>
      </c>
      <c r="E2377">
        <v>0</v>
      </c>
      <c r="F2377" s="11">
        <v>0</v>
      </c>
    </row>
    <row r="2378" spans="1:6" x14ac:dyDescent="0.35">
      <c r="A2378" t="s">
        <v>2856</v>
      </c>
      <c r="B2378" t="s">
        <v>2862</v>
      </c>
      <c r="C2378" t="s">
        <v>1378</v>
      </c>
      <c r="D2378" t="s">
        <v>2886</v>
      </c>
      <c r="E2378">
        <v>0</v>
      </c>
      <c r="F2378" s="11">
        <v>0</v>
      </c>
    </row>
    <row r="2379" spans="1:6" x14ac:dyDescent="0.35">
      <c r="A2379" t="s">
        <v>2856</v>
      </c>
      <c r="B2379" t="s">
        <v>2862</v>
      </c>
      <c r="C2379" t="s">
        <v>1378</v>
      </c>
      <c r="D2379" t="s">
        <v>2887</v>
      </c>
      <c r="E2379">
        <v>66472</v>
      </c>
      <c r="F2379" s="11">
        <v>1</v>
      </c>
    </row>
    <row r="2380" spans="1:6" x14ac:dyDescent="0.35">
      <c r="A2380" t="s">
        <v>2856</v>
      </c>
      <c r="B2380" t="s">
        <v>2862</v>
      </c>
      <c r="C2380" t="s">
        <v>1378</v>
      </c>
      <c r="D2380" t="s">
        <v>2888</v>
      </c>
      <c r="E2380">
        <v>31784</v>
      </c>
      <c r="F2380" s="11">
        <v>0</v>
      </c>
    </row>
    <row r="2381" spans="1:6" x14ac:dyDescent="0.35">
      <c r="A2381" t="s">
        <v>2856</v>
      </c>
      <c r="B2381" t="s">
        <v>2862</v>
      </c>
      <c r="C2381" t="s">
        <v>1378</v>
      </c>
      <c r="D2381" t="s">
        <v>2889</v>
      </c>
      <c r="E2381">
        <v>34305</v>
      </c>
      <c r="F2381" s="11">
        <v>0</v>
      </c>
    </row>
    <row r="2382" spans="1:6" x14ac:dyDescent="0.35">
      <c r="A2382" t="s">
        <v>2856</v>
      </c>
      <c r="B2382" t="s">
        <v>2862</v>
      </c>
      <c r="C2382" t="s">
        <v>1378</v>
      </c>
      <c r="D2382" t="s">
        <v>2890</v>
      </c>
      <c r="E2382">
        <v>383</v>
      </c>
      <c r="F2382" s="11">
        <v>0</v>
      </c>
    </row>
    <row r="2383" spans="1:6" x14ac:dyDescent="0.35">
      <c r="A2383" t="s">
        <v>2856</v>
      </c>
      <c r="B2383" t="s">
        <v>2862</v>
      </c>
      <c r="C2383" t="s">
        <v>1378</v>
      </c>
      <c r="D2383" t="s">
        <v>2891</v>
      </c>
      <c r="E2383">
        <v>0</v>
      </c>
      <c r="F2383" s="11">
        <v>0</v>
      </c>
    </row>
    <row r="2384" spans="1:6" x14ac:dyDescent="0.35">
      <c r="A2384" t="s">
        <v>2856</v>
      </c>
      <c r="B2384" t="s">
        <v>2862</v>
      </c>
      <c r="C2384" t="s">
        <v>1378</v>
      </c>
      <c r="D2384" t="s">
        <v>2892</v>
      </c>
      <c r="E2384">
        <v>0</v>
      </c>
      <c r="F2384" s="11">
        <v>0</v>
      </c>
    </row>
    <row r="2385" spans="1:6" x14ac:dyDescent="0.35">
      <c r="A2385" t="s">
        <v>2856</v>
      </c>
      <c r="B2385" t="s">
        <v>2862</v>
      </c>
      <c r="C2385" t="s">
        <v>1378</v>
      </c>
      <c r="D2385" t="s">
        <v>2893</v>
      </c>
      <c r="E2385">
        <v>0</v>
      </c>
      <c r="F2385" s="11">
        <v>0</v>
      </c>
    </row>
    <row r="2386" spans="1:6" x14ac:dyDescent="0.35">
      <c r="A2386" t="s">
        <v>2856</v>
      </c>
      <c r="B2386" t="s">
        <v>2862</v>
      </c>
      <c r="C2386" t="s">
        <v>1378</v>
      </c>
      <c r="D2386" t="s">
        <v>2894</v>
      </c>
      <c r="E2386">
        <v>0</v>
      </c>
      <c r="F2386" s="11">
        <v>0</v>
      </c>
    </row>
    <row r="2387" spans="1:6" x14ac:dyDescent="0.35">
      <c r="A2387" t="s">
        <v>2856</v>
      </c>
      <c r="B2387" t="s">
        <v>2862</v>
      </c>
      <c r="C2387" t="s">
        <v>1378</v>
      </c>
      <c r="D2387" t="s">
        <v>2895</v>
      </c>
      <c r="E2387">
        <v>713995</v>
      </c>
      <c r="F2387" s="11">
        <v>1</v>
      </c>
    </row>
    <row r="2388" spans="1:6" x14ac:dyDescent="0.35">
      <c r="A2388" t="s">
        <v>2856</v>
      </c>
      <c r="B2388" t="s">
        <v>2862</v>
      </c>
      <c r="C2388" t="s">
        <v>1378</v>
      </c>
      <c r="D2388" t="s">
        <v>2896</v>
      </c>
      <c r="E2388">
        <v>238007</v>
      </c>
      <c r="F2388" s="11">
        <v>1</v>
      </c>
    </row>
    <row r="2389" spans="1:6" x14ac:dyDescent="0.35">
      <c r="A2389" t="s">
        <v>2856</v>
      </c>
      <c r="B2389" t="s">
        <v>2862</v>
      </c>
      <c r="C2389" t="s">
        <v>1378</v>
      </c>
      <c r="D2389" t="s">
        <v>2897</v>
      </c>
      <c r="E2389">
        <v>458907</v>
      </c>
      <c r="F2389" s="11">
        <v>1</v>
      </c>
    </row>
    <row r="2390" spans="1:6" x14ac:dyDescent="0.35">
      <c r="A2390" t="s">
        <v>2856</v>
      </c>
      <c r="B2390" t="s">
        <v>2862</v>
      </c>
      <c r="C2390" t="s">
        <v>1378</v>
      </c>
      <c r="D2390" t="s">
        <v>2898</v>
      </c>
      <c r="E2390">
        <v>17081</v>
      </c>
      <c r="F2390" s="11">
        <v>1</v>
      </c>
    </row>
    <row r="2391" spans="1:6" x14ac:dyDescent="0.35">
      <c r="A2391" t="s">
        <v>2856</v>
      </c>
      <c r="B2391" t="s">
        <v>2862</v>
      </c>
      <c r="C2391" t="s">
        <v>1378</v>
      </c>
      <c r="D2391" t="s">
        <v>2899</v>
      </c>
      <c r="E2391">
        <v>2531</v>
      </c>
      <c r="F2391" s="11">
        <v>1</v>
      </c>
    </row>
    <row r="2392" spans="1:6" x14ac:dyDescent="0.35">
      <c r="A2392" t="s">
        <v>2856</v>
      </c>
      <c r="B2392" t="s">
        <v>2862</v>
      </c>
      <c r="C2392" t="s">
        <v>1378</v>
      </c>
      <c r="D2392" t="s">
        <v>2900</v>
      </c>
      <c r="E2392">
        <v>2437</v>
      </c>
      <c r="F2392" s="11">
        <v>1</v>
      </c>
    </row>
    <row r="2393" spans="1:6" x14ac:dyDescent="0.35">
      <c r="A2393" t="s">
        <v>2856</v>
      </c>
      <c r="B2393" t="s">
        <v>2862</v>
      </c>
      <c r="C2393" t="s">
        <v>1378</v>
      </c>
      <c r="D2393" t="s">
        <v>2901</v>
      </c>
      <c r="E2393">
        <v>94</v>
      </c>
      <c r="F2393" s="11">
        <v>0</v>
      </c>
    </row>
    <row r="2394" spans="1:6" x14ac:dyDescent="0.35">
      <c r="A2394" t="s">
        <v>2856</v>
      </c>
      <c r="B2394" t="s">
        <v>2862</v>
      </c>
      <c r="C2394" t="s">
        <v>1378</v>
      </c>
      <c r="D2394" t="s">
        <v>2902</v>
      </c>
      <c r="E2394">
        <v>0</v>
      </c>
      <c r="F2394" s="11">
        <v>1</v>
      </c>
    </row>
    <row r="2395" spans="1:6" x14ac:dyDescent="0.35">
      <c r="A2395" t="s">
        <v>2856</v>
      </c>
      <c r="B2395" t="s">
        <v>2862</v>
      </c>
      <c r="C2395" t="s">
        <v>1378</v>
      </c>
      <c r="D2395" t="s">
        <v>2903</v>
      </c>
      <c r="E2395">
        <v>16969</v>
      </c>
      <c r="F2395" s="11">
        <v>1</v>
      </c>
    </row>
    <row r="2396" spans="1:6" x14ac:dyDescent="0.35">
      <c r="A2396" t="s">
        <v>2856</v>
      </c>
      <c r="B2396" t="s">
        <v>2862</v>
      </c>
      <c r="C2396" t="s">
        <v>1378</v>
      </c>
      <c r="D2396" t="s">
        <v>2904</v>
      </c>
      <c r="E2396">
        <v>0</v>
      </c>
      <c r="F2396" s="11">
        <v>0</v>
      </c>
    </row>
    <row r="2397" spans="1:6" x14ac:dyDescent="0.35">
      <c r="A2397" t="s">
        <v>2856</v>
      </c>
      <c r="B2397" t="s">
        <v>2862</v>
      </c>
      <c r="C2397" t="s">
        <v>1378</v>
      </c>
      <c r="D2397" t="s">
        <v>2905</v>
      </c>
      <c r="E2397">
        <v>0</v>
      </c>
      <c r="F2397" s="11">
        <v>0</v>
      </c>
    </row>
    <row r="2398" spans="1:6" x14ac:dyDescent="0.35">
      <c r="A2398" t="s">
        <v>2856</v>
      </c>
      <c r="B2398" t="s">
        <v>2862</v>
      </c>
      <c r="C2398" t="s">
        <v>1378</v>
      </c>
      <c r="D2398" t="s">
        <v>2906</v>
      </c>
      <c r="E2398">
        <v>0</v>
      </c>
      <c r="F2398" s="11">
        <v>0</v>
      </c>
    </row>
    <row r="2399" spans="1:6" x14ac:dyDescent="0.35">
      <c r="A2399" t="s">
        <v>2856</v>
      </c>
      <c r="B2399" t="s">
        <v>2862</v>
      </c>
      <c r="C2399" t="s">
        <v>1378</v>
      </c>
      <c r="D2399" t="s">
        <v>2907</v>
      </c>
      <c r="E2399">
        <v>34247</v>
      </c>
      <c r="F2399" s="11">
        <v>1</v>
      </c>
    </row>
    <row r="2400" spans="1:6" x14ac:dyDescent="0.35">
      <c r="A2400" t="s">
        <v>2856</v>
      </c>
      <c r="B2400" t="s">
        <v>2862</v>
      </c>
      <c r="C2400" t="s">
        <v>1378</v>
      </c>
      <c r="D2400" t="s">
        <v>2908</v>
      </c>
      <c r="E2400">
        <v>0</v>
      </c>
      <c r="F2400" s="11">
        <v>0</v>
      </c>
    </row>
    <row r="2401" spans="1:6" x14ac:dyDescent="0.35">
      <c r="A2401" t="s">
        <v>2856</v>
      </c>
      <c r="B2401" t="s">
        <v>2862</v>
      </c>
      <c r="C2401" t="s">
        <v>1378</v>
      </c>
      <c r="D2401" t="s">
        <v>2909</v>
      </c>
      <c r="E2401">
        <v>0</v>
      </c>
      <c r="F2401" s="11">
        <v>0</v>
      </c>
    </row>
    <row r="2402" spans="1:6" x14ac:dyDescent="0.35">
      <c r="A2402" t="s">
        <v>2856</v>
      </c>
      <c r="B2402" t="s">
        <v>2862</v>
      </c>
      <c r="C2402" t="s">
        <v>1378</v>
      </c>
      <c r="D2402" t="s">
        <v>2910</v>
      </c>
      <c r="E2402">
        <v>0</v>
      </c>
      <c r="F2402" s="11">
        <v>0</v>
      </c>
    </row>
    <row r="2403" spans="1:6" x14ac:dyDescent="0.35">
      <c r="A2403" t="s">
        <v>2856</v>
      </c>
      <c r="B2403" t="s">
        <v>2862</v>
      </c>
      <c r="C2403" t="s">
        <v>1378</v>
      </c>
      <c r="D2403" t="s">
        <v>2911</v>
      </c>
      <c r="E2403">
        <v>475109</v>
      </c>
      <c r="F2403" s="11">
        <v>1</v>
      </c>
    </row>
    <row r="2404" spans="1:6" x14ac:dyDescent="0.35">
      <c r="A2404" t="s">
        <v>2856</v>
      </c>
      <c r="B2404" t="s">
        <v>2862</v>
      </c>
      <c r="C2404" t="s">
        <v>1378</v>
      </c>
      <c r="D2404" t="s">
        <v>2912</v>
      </c>
      <c r="E2404">
        <v>19239</v>
      </c>
      <c r="F2404" s="11">
        <v>0</v>
      </c>
    </row>
    <row r="2405" spans="1:6" x14ac:dyDescent="0.35">
      <c r="A2405" t="s">
        <v>2856</v>
      </c>
      <c r="B2405" t="s">
        <v>2862</v>
      </c>
      <c r="C2405" t="s">
        <v>1378</v>
      </c>
      <c r="D2405" t="s">
        <v>2913</v>
      </c>
      <c r="E2405">
        <v>0</v>
      </c>
      <c r="F2405" s="11">
        <v>0</v>
      </c>
    </row>
    <row r="2406" spans="1:6" x14ac:dyDescent="0.35">
      <c r="A2406" t="s">
        <v>2856</v>
      </c>
      <c r="B2406" t="s">
        <v>2862</v>
      </c>
      <c r="C2406" t="s">
        <v>1378</v>
      </c>
      <c r="D2406" t="s">
        <v>2914</v>
      </c>
      <c r="E2406">
        <v>0</v>
      </c>
      <c r="F2406" s="11">
        <v>0</v>
      </c>
    </row>
    <row r="2407" spans="1:6" x14ac:dyDescent="0.35">
      <c r="A2407" t="s">
        <v>2856</v>
      </c>
      <c r="B2407" t="s">
        <v>2862</v>
      </c>
      <c r="C2407" t="s">
        <v>1378</v>
      </c>
      <c r="D2407" t="s">
        <v>2915</v>
      </c>
      <c r="E2407">
        <v>717</v>
      </c>
      <c r="F2407" s="11">
        <v>1</v>
      </c>
    </row>
    <row r="2408" spans="1:6" x14ac:dyDescent="0.35">
      <c r="A2408" t="s">
        <v>2856</v>
      </c>
      <c r="B2408" t="s">
        <v>2862</v>
      </c>
      <c r="C2408" t="s">
        <v>1378</v>
      </c>
      <c r="D2408" t="s">
        <v>2916</v>
      </c>
      <c r="E2408">
        <v>11936.5</v>
      </c>
      <c r="F2408" s="11">
        <v>1</v>
      </c>
    </row>
    <row r="2409" spans="1:6" x14ac:dyDescent="0.35">
      <c r="A2409" t="s">
        <v>2856</v>
      </c>
      <c r="B2409" t="s">
        <v>2862</v>
      </c>
      <c r="C2409" t="s">
        <v>1378</v>
      </c>
      <c r="D2409" t="s">
        <v>2917</v>
      </c>
      <c r="E2409">
        <v>50747</v>
      </c>
      <c r="F2409" s="11">
        <v>1</v>
      </c>
    </row>
    <row r="2410" spans="1:6" x14ac:dyDescent="0.35">
      <c r="A2410" t="s">
        <v>2856</v>
      </c>
      <c r="B2410" t="s">
        <v>2865</v>
      </c>
      <c r="C2410" t="s">
        <v>1488</v>
      </c>
      <c r="D2410" t="s">
        <v>2875</v>
      </c>
      <c r="E2410">
        <v>13228</v>
      </c>
      <c r="F2410" s="11">
        <v>1</v>
      </c>
    </row>
    <row r="2411" spans="1:6" x14ac:dyDescent="0.35">
      <c r="A2411" t="s">
        <v>2856</v>
      </c>
      <c r="B2411" t="s">
        <v>2865</v>
      </c>
      <c r="C2411" t="s">
        <v>1488</v>
      </c>
      <c r="D2411" t="s">
        <v>2876</v>
      </c>
      <c r="E2411">
        <v>0</v>
      </c>
      <c r="F2411" s="11">
        <v>0</v>
      </c>
    </row>
    <row r="2412" spans="1:6" x14ac:dyDescent="0.35">
      <c r="A2412" t="s">
        <v>2856</v>
      </c>
      <c r="B2412" t="s">
        <v>2865</v>
      </c>
      <c r="C2412" t="s">
        <v>1488</v>
      </c>
      <c r="D2412" t="s">
        <v>2877</v>
      </c>
      <c r="E2412">
        <v>9825</v>
      </c>
      <c r="F2412" s="11">
        <v>0</v>
      </c>
    </row>
    <row r="2413" spans="1:6" x14ac:dyDescent="0.35">
      <c r="A2413" t="s">
        <v>2856</v>
      </c>
      <c r="B2413" t="s">
        <v>2865</v>
      </c>
      <c r="C2413" t="s">
        <v>1488</v>
      </c>
      <c r="D2413" t="s">
        <v>2878</v>
      </c>
      <c r="E2413">
        <v>0</v>
      </c>
      <c r="F2413" s="11">
        <v>1</v>
      </c>
    </row>
    <row r="2414" spans="1:6" x14ac:dyDescent="0.35">
      <c r="A2414" t="s">
        <v>2856</v>
      </c>
      <c r="B2414" t="s">
        <v>2865</v>
      </c>
      <c r="C2414" t="s">
        <v>1488</v>
      </c>
      <c r="D2414" t="s">
        <v>2879</v>
      </c>
      <c r="E2414">
        <v>1238</v>
      </c>
      <c r="F2414" s="11">
        <v>1</v>
      </c>
    </row>
    <row r="2415" spans="1:6" x14ac:dyDescent="0.35">
      <c r="A2415" t="s">
        <v>2856</v>
      </c>
      <c r="B2415" t="s">
        <v>2865</v>
      </c>
      <c r="C2415" t="s">
        <v>1488</v>
      </c>
      <c r="D2415" t="s">
        <v>2880</v>
      </c>
      <c r="E2415">
        <v>0</v>
      </c>
      <c r="F2415" s="11">
        <v>0</v>
      </c>
    </row>
    <row r="2416" spans="1:6" x14ac:dyDescent="0.35">
      <c r="A2416" t="s">
        <v>2856</v>
      </c>
      <c r="B2416" t="s">
        <v>2865</v>
      </c>
      <c r="C2416" t="s">
        <v>1488</v>
      </c>
      <c r="D2416" t="s">
        <v>2881</v>
      </c>
      <c r="E2416">
        <v>0</v>
      </c>
      <c r="F2416" s="11">
        <v>0</v>
      </c>
    </row>
    <row r="2417" spans="1:6" x14ac:dyDescent="0.35">
      <c r="A2417" t="s">
        <v>2856</v>
      </c>
      <c r="B2417" t="s">
        <v>2865</v>
      </c>
      <c r="C2417" t="s">
        <v>1488</v>
      </c>
      <c r="D2417" t="s">
        <v>2882</v>
      </c>
      <c r="E2417">
        <v>0</v>
      </c>
      <c r="F2417" s="11">
        <v>1</v>
      </c>
    </row>
    <row r="2418" spans="1:6" x14ac:dyDescent="0.35">
      <c r="A2418" t="s">
        <v>2856</v>
      </c>
      <c r="B2418" t="s">
        <v>2865</v>
      </c>
      <c r="C2418" t="s">
        <v>1488</v>
      </c>
      <c r="D2418" t="s">
        <v>2883</v>
      </c>
      <c r="E2418">
        <v>0</v>
      </c>
      <c r="F2418" s="11">
        <v>0</v>
      </c>
    </row>
    <row r="2419" spans="1:6" x14ac:dyDescent="0.35">
      <c r="A2419" t="s">
        <v>2856</v>
      </c>
      <c r="B2419" t="s">
        <v>2865</v>
      </c>
      <c r="C2419" t="s">
        <v>1488</v>
      </c>
      <c r="D2419" t="s">
        <v>2884</v>
      </c>
      <c r="E2419">
        <v>0</v>
      </c>
      <c r="F2419" s="11">
        <v>0</v>
      </c>
    </row>
    <row r="2420" spans="1:6" x14ac:dyDescent="0.35">
      <c r="A2420" t="s">
        <v>2856</v>
      </c>
      <c r="B2420" t="s">
        <v>2865</v>
      </c>
      <c r="C2420" t="s">
        <v>1488</v>
      </c>
      <c r="D2420" t="s">
        <v>2885</v>
      </c>
      <c r="E2420">
        <v>0</v>
      </c>
      <c r="F2420" s="11">
        <v>0</v>
      </c>
    </row>
    <row r="2421" spans="1:6" x14ac:dyDescent="0.35">
      <c r="A2421" t="s">
        <v>2856</v>
      </c>
      <c r="B2421" t="s">
        <v>2865</v>
      </c>
      <c r="C2421" t="s">
        <v>1488</v>
      </c>
      <c r="D2421" t="s">
        <v>2886</v>
      </c>
      <c r="E2421">
        <v>0</v>
      </c>
      <c r="F2421" s="11">
        <v>0</v>
      </c>
    </row>
    <row r="2422" spans="1:6" x14ac:dyDescent="0.35">
      <c r="A2422" t="s">
        <v>2856</v>
      </c>
      <c r="B2422" t="s">
        <v>2865</v>
      </c>
      <c r="C2422" t="s">
        <v>1488</v>
      </c>
      <c r="D2422" t="s">
        <v>2887</v>
      </c>
      <c r="E2422">
        <v>11615</v>
      </c>
      <c r="F2422" s="11">
        <v>1</v>
      </c>
    </row>
    <row r="2423" spans="1:6" x14ac:dyDescent="0.35">
      <c r="A2423" t="s">
        <v>2856</v>
      </c>
      <c r="B2423" t="s">
        <v>2865</v>
      </c>
      <c r="C2423" t="s">
        <v>1488</v>
      </c>
      <c r="D2423" t="s">
        <v>2888</v>
      </c>
      <c r="E2423">
        <v>0</v>
      </c>
      <c r="F2423" s="11">
        <v>0</v>
      </c>
    </row>
    <row r="2424" spans="1:6" x14ac:dyDescent="0.35">
      <c r="A2424" t="s">
        <v>2856</v>
      </c>
      <c r="B2424" t="s">
        <v>2865</v>
      </c>
      <c r="C2424" t="s">
        <v>1488</v>
      </c>
      <c r="D2424" t="s">
        <v>2889</v>
      </c>
      <c r="E2424">
        <v>0</v>
      </c>
      <c r="F2424" s="11">
        <v>0</v>
      </c>
    </row>
    <row r="2425" spans="1:6" x14ac:dyDescent="0.35">
      <c r="A2425" t="s">
        <v>2856</v>
      </c>
      <c r="B2425" t="s">
        <v>2865</v>
      </c>
      <c r="C2425" t="s">
        <v>1488</v>
      </c>
      <c r="D2425" t="s">
        <v>2890</v>
      </c>
      <c r="E2425">
        <v>0</v>
      </c>
      <c r="F2425" s="11">
        <v>1</v>
      </c>
    </row>
    <row r="2426" spans="1:6" x14ac:dyDescent="0.35">
      <c r="A2426" t="s">
        <v>2856</v>
      </c>
      <c r="B2426" t="s">
        <v>2865</v>
      </c>
      <c r="C2426" t="s">
        <v>1488</v>
      </c>
      <c r="D2426" t="s">
        <v>2891</v>
      </c>
      <c r="E2426">
        <v>0</v>
      </c>
      <c r="F2426" s="11">
        <v>0</v>
      </c>
    </row>
    <row r="2427" spans="1:6" x14ac:dyDescent="0.35">
      <c r="A2427" t="s">
        <v>2856</v>
      </c>
      <c r="B2427" t="s">
        <v>2865</v>
      </c>
      <c r="C2427" t="s">
        <v>1488</v>
      </c>
      <c r="D2427" t="s">
        <v>2892</v>
      </c>
      <c r="E2427">
        <v>0</v>
      </c>
      <c r="F2427" s="11">
        <v>0</v>
      </c>
    </row>
    <row r="2428" spans="1:6" x14ac:dyDescent="0.35">
      <c r="A2428" t="s">
        <v>2856</v>
      </c>
      <c r="B2428" t="s">
        <v>2865</v>
      </c>
      <c r="C2428" t="s">
        <v>1488</v>
      </c>
      <c r="D2428" t="s">
        <v>2893</v>
      </c>
      <c r="E2428">
        <v>0</v>
      </c>
      <c r="F2428" s="11">
        <v>0</v>
      </c>
    </row>
    <row r="2429" spans="1:6" x14ac:dyDescent="0.35">
      <c r="A2429" t="s">
        <v>2856</v>
      </c>
      <c r="B2429" t="s">
        <v>2865</v>
      </c>
      <c r="C2429" t="s">
        <v>1488</v>
      </c>
      <c r="D2429" t="s">
        <v>2894</v>
      </c>
      <c r="E2429">
        <v>0</v>
      </c>
      <c r="F2429" s="11">
        <v>0</v>
      </c>
    </row>
    <row r="2430" spans="1:6" x14ac:dyDescent="0.35">
      <c r="A2430" t="s">
        <v>2856</v>
      </c>
      <c r="B2430" t="s">
        <v>2865</v>
      </c>
      <c r="C2430" t="s">
        <v>1488</v>
      </c>
      <c r="D2430" t="s">
        <v>2895</v>
      </c>
      <c r="E2430">
        <v>237784</v>
      </c>
      <c r="F2430" s="11">
        <v>1</v>
      </c>
    </row>
    <row r="2431" spans="1:6" x14ac:dyDescent="0.35">
      <c r="A2431" t="s">
        <v>2856</v>
      </c>
      <c r="B2431" t="s">
        <v>2865</v>
      </c>
      <c r="C2431" t="s">
        <v>1488</v>
      </c>
      <c r="D2431" t="s">
        <v>2896</v>
      </c>
      <c r="E2431">
        <v>0</v>
      </c>
      <c r="F2431" s="11">
        <v>0</v>
      </c>
    </row>
    <row r="2432" spans="1:6" x14ac:dyDescent="0.35">
      <c r="A2432" t="s">
        <v>2856</v>
      </c>
      <c r="B2432" t="s">
        <v>2865</v>
      </c>
      <c r="C2432" t="s">
        <v>1488</v>
      </c>
      <c r="D2432" t="s">
        <v>2897</v>
      </c>
      <c r="E2432">
        <v>0</v>
      </c>
      <c r="F2432" s="11">
        <v>0</v>
      </c>
    </row>
    <row r="2433" spans="1:6" x14ac:dyDescent="0.35">
      <c r="A2433" t="s">
        <v>2856</v>
      </c>
      <c r="B2433" t="s">
        <v>2865</v>
      </c>
      <c r="C2433" t="s">
        <v>1488</v>
      </c>
      <c r="D2433" t="s">
        <v>2898</v>
      </c>
      <c r="E2433">
        <v>0</v>
      </c>
      <c r="F2433" s="11">
        <v>0</v>
      </c>
    </row>
    <row r="2434" spans="1:6" x14ac:dyDescent="0.35">
      <c r="A2434" t="s">
        <v>2856</v>
      </c>
      <c r="B2434" t="s">
        <v>2865</v>
      </c>
      <c r="C2434" t="s">
        <v>1488</v>
      </c>
      <c r="D2434" t="s">
        <v>2899</v>
      </c>
      <c r="E2434">
        <v>57530</v>
      </c>
      <c r="F2434" s="11">
        <v>1</v>
      </c>
    </row>
    <row r="2435" spans="1:6" x14ac:dyDescent="0.35">
      <c r="A2435" t="s">
        <v>2856</v>
      </c>
      <c r="B2435" t="s">
        <v>2865</v>
      </c>
      <c r="C2435" t="s">
        <v>1488</v>
      </c>
      <c r="D2435" t="s">
        <v>2900</v>
      </c>
      <c r="E2435">
        <v>0</v>
      </c>
      <c r="F2435" s="11">
        <v>0</v>
      </c>
    </row>
    <row r="2436" spans="1:6" x14ac:dyDescent="0.35">
      <c r="A2436" t="s">
        <v>2856</v>
      </c>
      <c r="B2436" t="s">
        <v>2865</v>
      </c>
      <c r="C2436" t="s">
        <v>1488</v>
      </c>
      <c r="D2436" t="s">
        <v>2901</v>
      </c>
      <c r="E2436">
        <v>0</v>
      </c>
      <c r="F2436" s="11">
        <v>0</v>
      </c>
    </row>
    <row r="2437" spans="1:6" x14ac:dyDescent="0.35">
      <c r="A2437" t="s">
        <v>2856</v>
      </c>
      <c r="B2437" t="s">
        <v>2865</v>
      </c>
      <c r="C2437" t="s">
        <v>1488</v>
      </c>
      <c r="D2437" t="s">
        <v>2902</v>
      </c>
      <c r="E2437">
        <v>0</v>
      </c>
      <c r="F2437" s="11">
        <v>0</v>
      </c>
    </row>
    <row r="2438" spans="1:6" x14ac:dyDescent="0.35">
      <c r="A2438" t="s">
        <v>2856</v>
      </c>
      <c r="B2438" t="s">
        <v>2865</v>
      </c>
      <c r="C2438" t="s">
        <v>1488</v>
      </c>
      <c r="D2438" t="s">
        <v>2903</v>
      </c>
      <c r="E2438">
        <v>34078</v>
      </c>
      <c r="F2438" s="11">
        <v>1</v>
      </c>
    </row>
    <row r="2439" spans="1:6" x14ac:dyDescent="0.35">
      <c r="A2439" t="s">
        <v>2856</v>
      </c>
      <c r="B2439" t="s">
        <v>2865</v>
      </c>
      <c r="C2439" t="s">
        <v>1488</v>
      </c>
      <c r="D2439" t="s">
        <v>2904</v>
      </c>
      <c r="E2439">
        <v>0</v>
      </c>
      <c r="F2439" s="11">
        <v>0</v>
      </c>
    </row>
    <row r="2440" spans="1:6" x14ac:dyDescent="0.35">
      <c r="A2440" t="s">
        <v>2856</v>
      </c>
      <c r="B2440" t="s">
        <v>2865</v>
      </c>
      <c r="C2440" t="s">
        <v>1488</v>
      </c>
      <c r="D2440" t="s">
        <v>2905</v>
      </c>
      <c r="E2440">
        <v>0</v>
      </c>
      <c r="F2440" s="11">
        <v>0</v>
      </c>
    </row>
    <row r="2441" spans="1:6" x14ac:dyDescent="0.35">
      <c r="A2441" t="s">
        <v>2856</v>
      </c>
      <c r="B2441" t="s">
        <v>2865</v>
      </c>
      <c r="C2441" t="s">
        <v>1488</v>
      </c>
      <c r="D2441" t="s">
        <v>2906</v>
      </c>
      <c r="E2441">
        <v>0</v>
      </c>
      <c r="F2441" s="11">
        <v>0</v>
      </c>
    </row>
    <row r="2442" spans="1:6" x14ac:dyDescent="0.35">
      <c r="A2442" t="s">
        <v>2856</v>
      </c>
      <c r="B2442" t="s">
        <v>2865</v>
      </c>
      <c r="C2442" t="s">
        <v>1488</v>
      </c>
      <c r="D2442" t="s">
        <v>2907</v>
      </c>
      <c r="E2442">
        <v>57530</v>
      </c>
      <c r="F2442" s="11">
        <v>1</v>
      </c>
    </row>
    <row r="2443" spans="1:6" x14ac:dyDescent="0.35">
      <c r="A2443" t="s">
        <v>2856</v>
      </c>
      <c r="B2443" t="s">
        <v>2865</v>
      </c>
      <c r="C2443" t="s">
        <v>1488</v>
      </c>
      <c r="D2443" t="s">
        <v>2908</v>
      </c>
      <c r="E2443">
        <v>0</v>
      </c>
      <c r="F2443" s="11">
        <v>0</v>
      </c>
    </row>
    <row r="2444" spans="1:6" x14ac:dyDescent="0.35">
      <c r="A2444" t="s">
        <v>2856</v>
      </c>
      <c r="B2444" t="s">
        <v>2865</v>
      </c>
      <c r="C2444" t="s">
        <v>1488</v>
      </c>
      <c r="D2444" t="s">
        <v>2909</v>
      </c>
      <c r="E2444">
        <v>0</v>
      </c>
      <c r="F2444" s="11">
        <v>0</v>
      </c>
    </row>
    <row r="2445" spans="1:6" x14ac:dyDescent="0.35">
      <c r="A2445" t="s">
        <v>2856</v>
      </c>
      <c r="B2445" t="s">
        <v>2865</v>
      </c>
      <c r="C2445" t="s">
        <v>1488</v>
      </c>
      <c r="D2445" t="s">
        <v>2910</v>
      </c>
      <c r="E2445">
        <v>0</v>
      </c>
      <c r="F2445" s="11">
        <v>0</v>
      </c>
    </row>
    <row r="2446" spans="1:6" x14ac:dyDescent="0.35">
      <c r="A2446" t="s">
        <v>2856</v>
      </c>
      <c r="B2446" t="s">
        <v>2865</v>
      </c>
      <c r="C2446" t="s">
        <v>1488</v>
      </c>
      <c r="D2446" t="s">
        <v>2911</v>
      </c>
      <c r="E2446">
        <v>599106</v>
      </c>
      <c r="F2446" s="11">
        <v>1</v>
      </c>
    </row>
    <row r="2447" spans="1:6" x14ac:dyDescent="0.35">
      <c r="A2447" t="s">
        <v>2856</v>
      </c>
      <c r="B2447" t="s">
        <v>2865</v>
      </c>
      <c r="C2447" t="s">
        <v>1488</v>
      </c>
      <c r="D2447" t="s">
        <v>2912</v>
      </c>
      <c r="E2447">
        <v>0</v>
      </c>
      <c r="F2447" s="11">
        <v>0</v>
      </c>
    </row>
    <row r="2448" spans="1:6" x14ac:dyDescent="0.35">
      <c r="A2448" t="s">
        <v>2856</v>
      </c>
      <c r="B2448" t="s">
        <v>2865</v>
      </c>
      <c r="C2448" t="s">
        <v>1488</v>
      </c>
      <c r="D2448" t="s">
        <v>2913</v>
      </c>
      <c r="E2448">
        <v>0</v>
      </c>
      <c r="F2448" s="11">
        <v>0</v>
      </c>
    </row>
    <row r="2449" spans="1:6" x14ac:dyDescent="0.35">
      <c r="A2449" t="s">
        <v>2856</v>
      </c>
      <c r="B2449" t="s">
        <v>2865</v>
      </c>
      <c r="C2449" t="s">
        <v>1488</v>
      </c>
      <c r="D2449" t="s">
        <v>2914</v>
      </c>
      <c r="E2449">
        <v>0</v>
      </c>
      <c r="F2449" s="11">
        <v>0</v>
      </c>
    </row>
    <row r="2450" spans="1:6" x14ac:dyDescent="0.35">
      <c r="A2450" t="s">
        <v>2856</v>
      </c>
      <c r="B2450" t="s">
        <v>2865</v>
      </c>
      <c r="C2450" t="s">
        <v>1488</v>
      </c>
      <c r="D2450" t="s">
        <v>2915</v>
      </c>
      <c r="E2450">
        <v>0</v>
      </c>
      <c r="F2450" s="11">
        <v>1</v>
      </c>
    </row>
    <row r="2451" spans="1:6" x14ac:dyDescent="0.35">
      <c r="A2451" t="s">
        <v>2856</v>
      </c>
      <c r="B2451" t="s">
        <v>2865</v>
      </c>
      <c r="C2451" t="s">
        <v>1488</v>
      </c>
      <c r="D2451" t="s">
        <v>2916</v>
      </c>
      <c r="E2451">
        <v>92015</v>
      </c>
      <c r="F2451" s="11">
        <v>1</v>
      </c>
    </row>
    <row r="2452" spans="1:6" x14ac:dyDescent="0.35">
      <c r="A2452" t="s">
        <v>2856</v>
      </c>
      <c r="B2452" t="s">
        <v>2865</v>
      </c>
      <c r="C2452" t="s">
        <v>1488</v>
      </c>
      <c r="D2452" t="s">
        <v>2917</v>
      </c>
      <c r="E2452">
        <v>0</v>
      </c>
      <c r="F2452" s="11">
        <v>0</v>
      </c>
    </row>
    <row r="2453" spans="1:6" x14ac:dyDescent="0.35">
      <c r="A2453" t="s">
        <v>2856</v>
      </c>
      <c r="B2453" t="s">
        <v>2865</v>
      </c>
      <c r="C2453" t="s">
        <v>1451</v>
      </c>
      <c r="D2453" t="s">
        <v>2875</v>
      </c>
      <c r="E2453">
        <v>4993</v>
      </c>
      <c r="F2453" s="11">
        <v>1</v>
      </c>
    </row>
    <row r="2454" spans="1:6" x14ac:dyDescent="0.35">
      <c r="A2454" t="s">
        <v>2856</v>
      </c>
      <c r="B2454" t="s">
        <v>2865</v>
      </c>
      <c r="C2454" t="s">
        <v>1451</v>
      </c>
      <c r="D2454" t="s">
        <v>2876</v>
      </c>
      <c r="E2454">
        <v>1399</v>
      </c>
      <c r="F2454" s="11">
        <v>1</v>
      </c>
    </row>
    <row r="2455" spans="1:6" x14ac:dyDescent="0.35">
      <c r="A2455" t="s">
        <v>2856</v>
      </c>
      <c r="B2455" t="s">
        <v>2865</v>
      </c>
      <c r="C2455" t="s">
        <v>1451</v>
      </c>
      <c r="D2455" t="s">
        <v>2877</v>
      </c>
      <c r="E2455">
        <v>3361</v>
      </c>
      <c r="F2455" s="11">
        <v>1</v>
      </c>
    </row>
    <row r="2456" spans="1:6" x14ac:dyDescent="0.35">
      <c r="A2456" t="s">
        <v>2856</v>
      </c>
      <c r="B2456" t="s">
        <v>2865</v>
      </c>
      <c r="C2456" t="s">
        <v>1451</v>
      </c>
      <c r="D2456" t="s">
        <v>2878</v>
      </c>
      <c r="E2456">
        <v>233</v>
      </c>
      <c r="F2456" s="11">
        <v>1</v>
      </c>
    </row>
    <row r="2457" spans="1:6" x14ac:dyDescent="0.35">
      <c r="A2457" t="s">
        <v>2856</v>
      </c>
      <c r="B2457" t="s">
        <v>2865</v>
      </c>
      <c r="C2457" t="s">
        <v>1451</v>
      </c>
      <c r="D2457" t="s">
        <v>2879</v>
      </c>
      <c r="E2457">
        <v>543</v>
      </c>
      <c r="F2457" s="11">
        <v>1</v>
      </c>
    </row>
    <row r="2458" spans="1:6" x14ac:dyDescent="0.35">
      <c r="A2458" t="s">
        <v>2856</v>
      </c>
      <c r="B2458" t="s">
        <v>2865</v>
      </c>
      <c r="C2458" t="s">
        <v>1451</v>
      </c>
      <c r="D2458" t="s">
        <v>2880</v>
      </c>
      <c r="E2458">
        <v>148</v>
      </c>
      <c r="F2458" s="11">
        <v>1</v>
      </c>
    </row>
    <row r="2459" spans="1:6" x14ac:dyDescent="0.35">
      <c r="A2459" t="s">
        <v>2856</v>
      </c>
      <c r="B2459" t="s">
        <v>2865</v>
      </c>
      <c r="C2459" t="s">
        <v>1451</v>
      </c>
      <c r="D2459" t="s">
        <v>2881</v>
      </c>
      <c r="E2459">
        <v>380</v>
      </c>
      <c r="F2459" s="11">
        <v>0</v>
      </c>
    </row>
    <row r="2460" spans="1:6" x14ac:dyDescent="0.35">
      <c r="A2460" t="s">
        <v>2856</v>
      </c>
      <c r="B2460" t="s">
        <v>2865</v>
      </c>
      <c r="C2460" t="s">
        <v>1451</v>
      </c>
      <c r="D2460" t="s">
        <v>2882</v>
      </c>
      <c r="E2460">
        <v>3</v>
      </c>
      <c r="F2460" s="11">
        <v>1</v>
      </c>
    </row>
    <row r="2461" spans="1:6" x14ac:dyDescent="0.35">
      <c r="A2461" t="s">
        <v>2856</v>
      </c>
      <c r="B2461" t="s">
        <v>2865</v>
      </c>
      <c r="C2461" t="s">
        <v>1451</v>
      </c>
      <c r="D2461" t="s">
        <v>2883</v>
      </c>
      <c r="E2461">
        <v>81</v>
      </c>
      <c r="F2461" s="11">
        <v>0</v>
      </c>
    </row>
    <row r="2462" spans="1:6" x14ac:dyDescent="0.35">
      <c r="A2462" t="s">
        <v>2856</v>
      </c>
      <c r="B2462" t="s">
        <v>2865</v>
      </c>
      <c r="C2462" t="s">
        <v>1451</v>
      </c>
      <c r="D2462" t="s">
        <v>2884</v>
      </c>
      <c r="E2462">
        <v>81</v>
      </c>
      <c r="F2462" s="11">
        <v>0</v>
      </c>
    </row>
    <row r="2463" spans="1:6" x14ac:dyDescent="0.35">
      <c r="A2463" t="s">
        <v>2856</v>
      </c>
      <c r="B2463" t="s">
        <v>2865</v>
      </c>
      <c r="C2463" t="s">
        <v>1451</v>
      </c>
      <c r="D2463" t="s">
        <v>2885</v>
      </c>
      <c r="E2463">
        <v>0</v>
      </c>
      <c r="F2463" s="11">
        <v>0</v>
      </c>
    </row>
    <row r="2464" spans="1:6" x14ac:dyDescent="0.35">
      <c r="A2464" t="s">
        <v>2856</v>
      </c>
      <c r="B2464" t="s">
        <v>2865</v>
      </c>
      <c r="C2464" t="s">
        <v>1451</v>
      </c>
      <c r="D2464" t="s">
        <v>2886</v>
      </c>
      <c r="E2464">
        <v>0</v>
      </c>
      <c r="F2464" s="11">
        <v>0</v>
      </c>
    </row>
    <row r="2465" spans="1:6" x14ac:dyDescent="0.35">
      <c r="A2465" t="s">
        <v>2856</v>
      </c>
      <c r="B2465" t="s">
        <v>2865</v>
      </c>
      <c r="C2465" t="s">
        <v>1451</v>
      </c>
      <c r="D2465" t="s">
        <v>2887</v>
      </c>
      <c r="E2465">
        <v>12645</v>
      </c>
      <c r="F2465" s="11">
        <v>1</v>
      </c>
    </row>
    <row r="2466" spans="1:6" x14ac:dyDescent="0.35">
      <c r="A2466" t="s">
        <v>2856</v>
      </c>
      <c r="B2466" t="s">
        <v>2865</v>
      </c>
      <c r="C2466" t="s">
        <v>1451</v>
      </c>
      <c r="D2466" t="s">
        <v>2888</v>
      </c>
      <c r="E2466">
        <v>6383</v>
      </c>
      <c r="F2466" s="11">
        <v>1</v>
      </c>
    </row>
    <row r="2467" spans="1:6" x14ac:dyDescent="0.35">
      <c r="A2467" t="s">
        <v>2856</v>
      </c>
      <c r="B2467" t="s">
        <v>2865</v>
      </c>
      <c r="C2467" t="s">
        <v>1451</v>
      </c>
      <c r="D2467" t="s">
        <v>2889</v>
      </c>
      <c r="E2467">
        <v>4762</v>
      </c>
      <c r="F2467" s="11">
        <v>0</v>
      </c>
    </row>
    <row r="2468" spans="1:6" x14ac:dyDescent="0.35">
      <c r="A2468" t="s">
        <v>2856</v>
      </c>
      <c r="B2468" t="s">
        <v>2865</v>
      </c>
      <c r="C2468" t="s">
        <v>1451</v>
      </c>
      <c r="D2468" t="s">
        <v>2890</v>
      </c>
      <c r="E2468">
        <v>1500</v>
      </c>
      <c r="F2468" s="11">
        <v>1</v>
      </c>
    </row>
    <row r="2469" spans="1:6" x14ac:dyDescent="0.35">
      <c r="A2469" t="s">
        <v>2856</v>
      </c>
      <c r="B2469" t="s">
        <v>2865</v>
      </c>
      <c r="C2469" t="s">
        <v>1451</v>
      </c>
      <c r="D2469" t="s">
        <v>2891</v>
      </c>
      <c r="E2469">
        <v>165</v>
      </c>
      <c r="F2469" s="11">
        <v>0</v>
      </c>
    </row>
    <row r="2470" spans="1:6" x14ac:dyDescent="0.35">
      <c r="A2470" t="s">
        <v>2856</v>
      </c>
      <c r="B2470" t="s">
        <v>2865</v>
      </c>
      <c r="C2470" t="s">
        <v>1451</v>
      </c>
      <c r="D2470" t="s">
        <v>2892</v>
      </c>
      <c r="E2470">
        <v>165</v>
      </c>
      <c r="F2470" s="11">
        <v>0</v>
      </c>
    </row>
    <row r="2471" spans="1:6" x14ac:dyDescent="0.35">
      <c r="A2471" t="s">
        <v>2856</v>
      </c>
      <c r="B2471" t="s">
        <v>2865</v>
      </c>
      <c r="C2471" t="s">
        <v>1451</v>
      </c>
      <c r="D2471" t="s">
        <v>2893</v>
      </c>
      <c r="E2471">
        <v>0</v>
      </c>
      <c r="F2471" s="11">
        <v>0</v>
      </c>
    </row>
    <row r="2472" spans="1:6" x14ac:dyDescent="0.35">
      <c r="A2472" t="s">
        <v>2856</v>
      </c>
      <c r="B2472" t="s">
        <v>2865</v>
      </c>
      <c r="C2472" t="s">
        <v>1451</v>
      </c>
      <c r="D2472" t="s">
        <v>2894</v>
      </c>
      <c r="E2472">
        <v>0</v>
      </c>
      <c r="F2472" s="11">
        <v>0</v>
      </c>
    </row>
    <row r="2473" spans="1:6" x14ac:dyDescent="0.35">
      <c r="A2473" t="s">
        <v>2856</v>
      </c>
      <c r="B2473" t="s">
        <v>2865</v>
      </c>
      <c r="C2473" t="s">
        <v>1451</v>
      </c>
      <c r="D2473" t="s">
        <v>2895</v>
      </c>
      <c r="E2473">
        <v>180748</v>
      </c>
      <c r="F2473" s="11">
        <v>1</v>
      </c>
    </row>
    <row r="2474" spans="1:6" x14ac:dyDescent="0.35">
      <c r="A2474" t="s">
        <v>2856</v>
      </c>
      <c r="B2474" t="s">
        <v>2865</v>
      </c>
      <c r="C2474" t="s">
        <v>1451</v>
      </c>
      <c r="D2474" t="s">
        <v>2896</v>
      </c>
      <c r="E2474">
        <v>131414</v>
      </c>
      <c r="F2474" s="11">
        <v>1</v>
      </c>
    </row>
    <row r="2475" spans="1:6" x14ac:dyDescent="0.35">
      <c r="A2475" t="s">
        <v>2856</v>
      </c>
      <c r="B2475" t="s">
        <v>2865</v>
      </c>
      <c r="C2475" t="s">
        <v>1451</v>
      </c>
      <c r="D2475" t="s">
        <v>2897</v>
      </c>
      <c r="E2475">
        <v>46496</v>
      </c>
      <c r="F2475" s="11">
        <v>1</v>
      </c>
    </row>
    <row r="2476" spans="1:6" x14ac:dyDescent="0.35">
      <c r="A2476" t="s">
        <v>2856</v>
      </c>
      <c r="B2476" t="s">
        <v>2865</v>
      </c>
      <c r="C2476" t="s">
        <v>1451</v>
      </c>
      <c r="D2476" t="s">
        <v>2898</v>
      </c>
      <c r="E2476">
        <v>2838</v>
      </c>
      <c r="F2476" s="11">
        <v>1</v>
      </c>
    </row>
    <row r="2477" spans="1:6" x14ac:dyDescent="0.35">
      <c r="A2477" t="s">
        <v>2856</v>
      </c>
      <c r="B2477" t="s">
        <v>2865</v>
      </c>
      <c r="C2477" t="s">
        <v>1451</v>
      </c>
      <c r="D2477" t="s">
        <v>2899</v>
      </c>
      <c r="E2477">
        <v>7275</v>
      </c>
      <c r="F2477" s="11">
        <v>1</v>
      </c>
    </row>
    <row r="2478" spans="1:6" x14ac:dyDescent="0.35">
      <c r="A2478" t="s">
        <v>2856</v>
      </c>
      <c r="B2478" t="s">
        <v>2865</v>
      </c>
      <c r="C2478" t="s">
        <v>1451</v>
      </c>
      <c r="D2478" t="s">
        <v>2900</v>
      </c>
      <c r="E2478">
        <v>6866</v>
      </c>
      <c r="F2478" s="11">
        <v>1</v>
      </c>
    </row>
    <row r="2479" spans="1:6" x14ac:dyDescent="0.35">
      <c r="A2479" t="s">
        <v>2856</v>
      </c>
      <c r="B2479" t="s">
        <v>2865</v>
      </c>
      <c r="C2479" t="s">
        <v>1451</v>
      </c>
      <c r="D2479" t="s">
        <v>2901</v>
      </c>
      <c r="E2479">
        <v>409</v>
      </c>
      <c r="F2479" s="11">
        <v>0</v>
      </c>
    </row>
    <row r="2480" spans="1:6" x14ac:dyDescent="0.35">
      <c r="A2480" t="s">
        <v>2856</v>
      </c>
      <c r="B2480" t="s">
        <v>2865</v>
      </c>
      <c r="C2480" t="s">
        <v>1451</v>
      </c>
      <c r="D2480" t="s">
        <v>2902</v>
      </c>
      <c r="E2480">
        <v>0</v>
      </c>
      <c r="F2480" s="11">
        <v>1</v>
      </c>
    </row>
    <row r="2481" spans="1:6" x14ac:dyDescent="0.35">
      <c r="A2481" t="s">
        <v>2856</v>
      </c>
      <c r="B2481" t="s">
        <v>2865</v>
      </c>
      <c r="C2481" t="s">
        <v>1451</v>
      </c>
      <c r="D2481" t="s">
        <v>2903</v>
      </c>
      <c r="E2481">
        <v>2634</v>
      </c>
      <c r="F2481" s="11">
        <v>1</v>
      </c>
    </row>
    <row r="2482" spans="1:6" x14ac:dyDescent="0.35">
      <c r="A2482" t="s">
        <v>2856</v>
      </c>
      <c r="B2482" t="s">
        <v>2865</v>
      </c>
      <c r="C2482" t="s">
        <v>1451</v>
      </c>
      <c r="D2482" t="s">
        <v>2904</v>
      </c>
      <c r="E2482">
        <v>2307</v>
      </c>
      <c r="F2482" s="11">
        <v>1</v>
      </c>
    </row>
    <row r="2483" spans="1:6" x14ac:dyDescent="0.35">
      <c r="A2483" t="s">
        <v>2856</v>
      </c>
      <c r="B2483" t="s">
        <v>2865</v>
      </c>
      <c r="C2483" t="s">
        <v>1451</v>
      </c>
      <c r="D2483" t="s">
        <v>2905</v>
      </c>
      <c r="E2483">
        <v>216</v>
      </c>
      <c r="F2483" s="11">
        <v>1</v>
      </c>
    </row>
    <row r="2484" spans="1:6" x14ac:dyDescent="0.35">
      <c r="A2484" t="s">
        <v>2856</v>
      </c>
      <c r="B2484" t="s">
        <v>2865</v>
      </c>
      <c r="C2484" t="s">
        <v>1451</v>
      </c>
      <c r="D2484" t="s">
        <v>2906</v>
      </c>
      <c r="E2484">
        <v>111</v>
      </c>
      <c r="F2484" s="11">
        <v>1</v>
      </c>
    </row>
    <row r="2485" spans="1:6" x14ac:dyDescent="0.35">
      <c r="A2485" t="s">
        <v>2856</v>
      </c>
      <c r="B2485" t="s">
        <v>2865</v>
      </c>
      <c r="C2485" t="s">
        <v>1451</v>
      </c>
      <c r="D2485" t="s">
        <v>2907</v>
      </c>
      <c r="E2485">
        <v>10659</v>
      </c>
      <c r="F2485" s="11">
        <v>1</v>
      </c>
    </row>
    <row r="2486" spans="1:6" x14ac:dyDescent="0.35">
      <c r="A2486" t="s">
        <v>2856</v>
      </c>
      <c r="B2486" t="s">
        <v>2865</v>
      </c>
      <c r="C2486" t="s">
        <v>1451</v>
      </c>
      <c r="D2486" t="s">
        <v>2908</v>
      </c>
      <c r="E2486">
        <v>9624</v>
      </c>
      <c r="F2486" s="11">
        <v>1</v>
      </c>
    </row>
    <row r="2487" spans="1:6" x14ac:dyDescent="0.35">
      <c r="A2487" t="s">
        <v>2856</v>
      </c>
      <c r="B2487" t="s">
        <v>2865</v>
      </c>
      <c r="C2487" t="s">
        <v>1451</v>
      </c>
      <c r="D2487" t="s">
        <v>2909</v>
      </c>
      <c r="E2487">
        <v>768</v>
      </c>
      <c r="F2487" s="11">
        <v>1</v>
      </c>
    </row>
    <row r="2488" spans="1:6" x14ac:dyDescent="0.35">
      <c r="A2488" t="s">
        <v>2856</v>
      </c>
      <c r="B2488" t="s">
        <v>2865</v>
      </c>
      <c r="C2488" t="s">
        <v>1451</v>
      </c>
      <c r="D2488" t="s">
        <v>2910</v>
      </c>
      <c r="E2488">
        <v>267</v>
      </c>
      <c r="F2488" s="11">
        <v>1</v>
      </c>
    </row>
    <row r="2489" spans="1:6" x14ac:dyDescent="0.35">
      <c r="A2489" t="s">
        <v>2856</v>
      </c>
      <c r="B2489" t="s">
        <v>2865</v>
      </c>
      <c r="C2489" t="s">
        <v>1451</v>
      </c>
      <c r="D2489" t="s">
        <v>2911</v>
      </c>
      <c r="E2489">
        <v>150653</v>
      </c>
      <c r="F2489" s="11">
        <v>1</v>
      </c>
    </row>
    <row r="2490" spans="1:6" x14ac:dyDescent="0.35">
      <c r="A2490" t="s">
        <v>2856</v>
      </c>
      <c r="B2490" t="s">
        <v>2865</v>
      </c>
      <c r="C2490" t="s">
        <v>1451</v>
      </c>
      <c r="D2490" t="s">
        <v>2912</v>
      </c>
      <c r="E2490">
        <v>0</v>
      </c>
      <c r="F2490" s="11">
        <v>0</v>
      </c>
    </row>
    <row r="2491" spans="1:6" x14ac:dyDescent="0.35">
      <c r="A2491" t="s">
        <v>2856</v>
      </c>
      <c r="B2491" t="s">
        <v>2865</v>
      </c>
      <c r="C2491" t="s">
        <v>1451</v>
      </c>
      <c r="D2491" t="s">
        <v>2913</v>
      </c>
      <c r="E2491">
        <v>0</v>
      </c>
      <c r="F2491" s="11">
        <v>0</v>
      </c>
    </row>
    <row r="2492" spans="1:6" x14ac:dyDescent="0.35">
      <c r="A2492" t="s">
        <v>2856</v>
      </c>
      <c r="B2492" t="s">
        <v>2865</v>
      </c>
      <c r="C2492" t="s">
        <v>1451</v>
      </c>
      <c r="D2492" t="s">
        <v>2914</v>
      </c>
      <c r="E2492">
        <v>0</v>
      </c>
      <c r="F2492" s="11">
        <v>0</v>
      </c>
    </row>
    <row r="2493" spans="1:6" x14ac:dyDescent="0.35">
      <c r="A2493" t="s">
        <v>2856</v>
      </c>
      <c r="B2493" t="s">
        <v>2865</v>
      </c>
      <c r="C2493" t="s">
        <v>1451</v>
      </c>
      <c r="D2493" t="s">
        <v>2915</v>
      </c>
      <c r="E2493">
        <v>14334</v>
      </c>
      <c r="F2493" s="11">
        <v>1</v>
      </c>
    </row>
    <row r="2494" spans="1:6" x14ac:dyDescent="0.35">
      <c r="A2494" t="s">
        <v>2856</v>
      </c>
      <c r="B2494" t="s">
        <v>2865</v>
      </c>
      <c r="C2494" t="s">
        <v>1451</v>
      </c>
      <c r="D2494" t="s">
        <v>2916</v>
      </c>
      <c r="E2494">
        <v>6103.1</v>
      </c>
      <c r="F2494" s="11">
        <v>1</v>
      </c>
    </row>
    <row r="2495" spans="1:6" x14ac:dyDescent="0.35">
      <c r="A2495" t="s">
        <v>2856</v>
      </c>
      <c r="B2495" t="s">
        <v>2865</v>
      </c>
      <c r="C2495" t="s">
        <v>1451</v>
      </c>
      <c r="D2495" t="s">
        <v>2917</v>
      </c>
      <c r="E2495">
        <v>0</v>
      </c>
      <c r="F2495" s="11">
        <v>0</v>
      </c>
    </row>
    <row r="2496" spans="1:6" x14ac:dyDescent="0.35">
      <c r="A2496" t="s">
        <v>2856</v>
      </c>
      <c r="B2496" t="s">
        <v>2865</v>
      </c>
      <c r="C2496" t="s">
        <v>1371</v>
      </c>
      <c r="D2496" t="s">
        <v>2875</v>
      </c>
      <c r="E2496">
        <v>16113</v>
      </c>
      <c r="F2496" s="11">
        <v>1</v>
      </c>
    </row>
    <row r="2497" spans="1:6" x14ac:dyDescent="0.35">
      <c r="A2497" t="s">
        <v>2856</v>
      </c>
      <c r="B2497" t="s">
        <v>2865</v>
      </c>
      <c r="C2497" t="s">
        <v>1371</v>
      </c>
      <c r="D2497" t="s">
        <v>2876</v>
      </c>
      <c r="E2497">
        <v>5530</v>
      </c>
      <c r="F2497" s="11">
        <v>1</v>
      </c>
    </row>
    <row r="2498" spans="1:6" x14ac:dyDescent="0.35">
      <c r="A2498" t="s">
        <v>2856</v>
      </c>
      <c r="B2498" t="s">
        <v>2865</v>
      </c>
      <c r="C2498" t="s">
        <v>1371</v>
      </c>
      <c r="D2498" t="s">
        <v>2877</v>
      </c>
      <c r="E2498">
        <v>1279</v>
      </c>
      <c r="F2498" s="11">
        <v>1</v>
      </c>
    </row>
    <row r="2499" spans="1:6" x14ac:dyDescent="0.35">
      <c r="A2499" t="s">
        <v>2856</v>
      </c>
      <c r="B2499" t="s">
        <v>2865</v>
      </c>
      <c r="C2499" t="s">
        <v>1371</v>
      </c>
      <c r="D2499" t="s">
        <v>2878</v>
      </c>
      <c r="E2499">
        <v>9304</v>
      </c>
      <c r="F2499" s="11">
        <v>1</v>
      </c>
    </row>
    <row r="2500" spans="1:6" x14ac:dyDescent="0.35">
      <c r="A2500" t="s">
        <v>2856</v>
      </c>
      <c r="B2500" t="s">
        <v>2865</v>
      </c>
      <c r="C2500" t="s">
        <v>1371</v>
      </c>
      <c r="D2500" t="s">
        <v>2879</v>
      </c>
      <c r="E2500">
        <v>900</v>
      </c>
      <c r="F2500" s="11">
        <v>1</v>
      </c>
    </row>
    <row r="2501" spans="1:6" x14ac:dyDescent="0.35">
      <c r="A2501" t="s">
        <v>2856</v>
      </c>
      <c r="B2501" t="s">
        <v>2865</v>
      </c>
      <c r="C2501" t="s">
        <v>1371</v>
      </c>
      <c r="D2501" t="s">
        <v>2880</v>
      </c>
      <c r="E2501">
        <v>526</v>
      </c>
      <c r="F2501" s="11">
        <v>1</v>
      </c>
    </row>
    <row r="2502" spans="1:6" x14ac:dyDescent="0.35">
      <c r="A2502" t="s">
        <v>2856</v>
      </c>
      <c r="B2502" t="s">
        <v>2865</v>
      </c>
      <c r="C2502" t="s">
        <v>1371</v>
      </c>
      <c r="D2502" t="s">
        <v>2881</v>
      </c>
      <c r="E2502">
        <v>424</v>
      </c>
      <c r="F2502" s="11">
        <v>1</v>
      </c>
    </row>
    <row r="2503" spans="1:6" x14ac:dyDescent="0.35">
      <c r="A2503" t="s">
        <v>2856</v>
      </c>
      <c r="B2503" t="s">
        <v>2865</v>
      </c>
      <c r="C2503" t="s">
        <v>1371</v>
      </c>
      <c r="D2503" t="s">
        <v>2882</v>
      </c>
      <c r="E2503">
        <v>262</v>
      </c>
      <c r="F2503" s="11">
        <v>1</v>
      </c>
    </row>
    <row r="2504" spans="1:6" x14ac:dyDescent="0.35">
      <c r="A2504" t="s">
        <v>2856</v>
      </c>
      <c r="B2504" t="s">
        <v>2865</v>
      </c>
      <c r="C2504" t="s">
        <v>1371</v>
      </c>
      <c r="D2504" t="s">
        <v>2883</v>
      </c>
      <c r="E2504">
        <v>0</v>
      </c>
      <c r="F2504" s="11">
        <v>0</v>
      </c>
    </row>
    <row r="2505" spans="1:6" x14ac:dyDescent="0.35">
      <c r="A2505" t="s">
        <v>2856</v>
      </c>
      <c r="B2505" t="s">
        <v>2865</v>
      </c>
      <c r="C2505" t="s">
        <v>1371</v>
      </c>
      <c r="D2505" t="s">
        <v>2884</v>
      </c>
      <c r="E2505">
        <v>0</v>
      </c>
      <c r="F2505" s="11">
        <v>0</v>
      </c>
    </row>
    <row r="2506" spans="1:6" x14ac:dyDescent="0.35">
      <c r="A2506" t="s">
        <v>2856</v>
      </c>
      <c r="B2506" t="s">
        <v>2865</v>
      </c>
      <c r="C2506" t="s">
        <v>1371</v>
      </c>
      <c r="D2506" t="s">
        <v>2885</v>
      </c>
      <c r="E2506">
        <v>0</v>
      </c>
      <c r="F2506" s="11">
        <v>0</v>
      </c>
    </row>
    <row r="2507" spans="1:6" x14ac:dyDescent="0.35">
      <c r="A2507" t="s">
        <v>2856</v>
      </c>
      <c r="B2507" t="s">
        <v>2865</v>
      </c>
      <c r="C2507" t="s">
        <v>1371</v>
      </c>
      <c r="D2507" t="s">
        <v>2886</v>
      </c>
      <c r="E2507">
        <v>0</v>
      </c>
      <c r="F2507" s="11">
        <v>0</v>
      </c>
    </row>
    <row r="2508" spans="1:6" x14ac:dyDescent="0.35">
      <c r="A2508" t="s">
        <v>2856</v>
      </c>
      <c r="B2508" t="s">
        <v>2865</v>
      </c>
      <c r="C2508" t="s">
        <v>1371</v>
      </c>
      <c r="D2508" t="s">
        <v>2887</v>
      </c>
      <c r="E2508">
        <v>0</v>
      </c>
      <c r="F2508" s="11">
        <v>1</v>
      </c>
    </row>
    <row r="2509" spans="1:6" x14ac:dyDescent="0.35">
      <c r="A2509" t="s">
        <v>2856</v>
      </c>
      <c r="B2509" t="s">
        <v>2865</v>
      </c>
      <c r="C2509" t="s">
        <v>1371</v>
      </c>
      <c r="D2509" t="s">
        <v>2888</v>
      </c>
      <c r="E2509">
        <v>0</v>
      </c>
      <c r="F2509" s="11">
        <v>1</v>
      </c>
    </row>
    <row r="2510" spans="1:6" x14ac:dyDescent="0.35">
      <c r="A2510" t="s">
        <v>2856</v>
      </c>
      <c r="B2510" t="s">
        <v>2865</v>
      </c>
      <c r="C2510" t="s">
        <v>1371</v>
      </c>
      <c r="D2510" t="s">
        <v>2889</v>
      </c>
      <c r="E2510">
        <v>0</v>
      </c>
      <c r="F2510" s="11">
        <v>1</v>
      </c>
    </row>
    <row r="2511" spans="1:6" x14ac:dyDescent="0.35">
      <c r="A2511" t="s">
        <v>2856</v>
      </c>
      <c r="B2511" t="s">
        <v>2865</v>
      </c>
      <c r="C2511" t="s">
        <v>1371</v>
      </c>
      <c r="D2511" t="s">
        <v>2890</v>
      </c>
      <c r="E2511">
        <v>0</v>
      </c>
      <c r="F2511" s="11">
        <v>1</v>
      </c>
    </row>
    <row r="2512" spans="1:6" x14ac:dyDescent="0.35">
      <c r="A2512" t="s">
        <v>2856</v>
      </c>
      <c r="B2512" t="s">
        <v>2865</v>
      </c>
      <c r="C2512" t="s">
        <v>1371</v>
      </c>
      <c r="D2512" t="s">
        <v>2891</v>
      </c>
      <c r="E2512">
        <v>0</v>
      </c>
      <c r="F2512" s="11">
        <v>0</v>
      </c>
    </row>
    <row r="2513" spans="1:6" x14ac:dyDescent="0.35">
      <c r="A2513" t="s">
        <v>2856</v>
      </c>
      <c r="B2513" t="s">
        <v>2865</v>
      </c>
      <c r="C2513" t="s">
        <v>1371</v>
      </c>
      <c r="D2513" t="s">
        <v>2892</v>
      </c>
      <c r="E2513">
        <v>0</v>
      </c>
      <c r="F2513" s="11">
        <v>0</v>
      </c>
    </row>
    <row r="2514" spans="1:6" x14ac:dyDescent="0.35">
      <c r="A2514" t="s">
        <v>2856</v>
      </c>
      <c r="B2514" t="s">
        <v>2865</v>
      </c>
      <c r="C2514" t="s">
        <v>1371</v>
      </c>
      <c r="D2514" t="s">
        <v>2893</v>
      </c>
      <c r="E2514">
        <v>0</v>
      </c>
      <c r="F2514" s="11">
        <v>0</v>
      </c>
    </row>
    <row r="2515" spans="1:6" x14ac:dyDescent="0.35">
      <c r="A2515" t="s">
        <v>2856</v>
      </c>
      <c r="B2515" t="s">
        <v>2865</v>
      </c>
      <c r="C2515" t="s">
        <v>1371</v>
      </c>
      <c r="D2515" t="s">
        <v>2894</v>
      </c>
      <c r="E2515">
        <v>0</v>
      </c>
      <c r="F2515" s="11">
        <v>0</v>
      </c>
    </row>
    <row r="2516" spans="1:6" x14ac:dyDescent="0.35">
      <c r="A2516" t="s">
        <v>2856</v>
      </c>
      <c r="B2516" t="s">
        <v>2865</v>
      </c>
      <c r="C2516" t="s">
        <v>1371</v>
      </c>
      <c r="D2516" t="s">
        <v>2895</v>
      </c>
      <c r="E2516">
        <v>154185</v>
      </c>
      <c r="F2516" s="11">
        <v>1</v>
      </c>
    </row>
    <row r="2517" spans="1:6" x14ac:dyDescent="0.35">
      <c r="A2517" t="s">
        <v>2856</v>
      </c>
      <c r="B2517" t="s">
        <v>2865</v>
      </c>
      <c r="C2517" t="s">
        <v>1371</v>
      </c>
      <c r="D2517" t="s">
        <v>2896</v>
      </c>
      <c r="E2517">
        <v>87400</v>
      </c>
      <c r="F2517" s="11">
        <v>1</v>
      </c>
    </row>
    <row r="2518" spans="1:6" x14ac:dyDescent="0.35">
      <c r="A2518" t="s">
        <v>2856</v>
      </c>
      <c r="B2518" t="s">
        <v>2865</v>
      </c>
      <c r="C2518" t="s">
        <v>1371</v>
      </c>
      <c r="D2518" t="s">
        <v>2897</v>
      </c>
      <c r="E2518">
        <v>66052</v>
      </c>
      <c r="F2518" s="11">
        <v>1</v>
      </c>
    </row>
    <row r="2519" spans="1:6" x14ac:dyDescent="0.35">
      <c r="A2519" t="s">
        <v>2856</v>
      </c>
      <c r="B2519" t="s">
        <v>2865</v>
      </c>
      <c r="C2519" t="s">
        <v>1371</v>
      </c>
      <c r="D2519" t="s">
        <v>2898</v>
      </c>
      <c r="E2519">
        <v>733</v>
      </c>
      <c r="F2519" s="11">
        <v>1</v>
      </c>
    </row>
    <row r="2520" spans="1:6" x14ac:dyDescent="0.35">
      <c r="A2520" t="s">
        <v>2856</v>
      </c>
      <c r="B2520" t="s">
        <v>2865</v>
      </c>
      <c r="C2520" t="s">
        <v>1371</v>
      </c>
      <c r="D2520" t="s">
        <v>2899</v>
      </c>
      <c r="E2520">
        <v>2672</v>
      </c>
      <c r="F2520" s="11">
        <v>1</v>
      </c>
    </row>
    <row r="2521" spans="1:6" x14ac:dyDescent="0.35">
      <c r="A2521" t="s">
        <v>2856</v>
      </c>
      <c r="B2521" t="s">
        <v>2865</v>
      </c>
      <c r="C2521" t="s">
        <v>1371</v>
      </c>
      <c r="D2521" t="s">
        <v>2900</v>
      </c>
      <c r="E2521">
        <v>2653</v>
      </c>
      <c r="F2521" s="11">
        <v>1</v>
      </c>
    </row>
    <row r="2522" spans="1:6" x14ac:dyDescent="0.35">
      <c r="A2522" t="s">
        <v>2856</v>
      </c>
      <c r="B2522" t="s">
        <v>2865</v>
      </c>
      <c r="C2522" t="s">
        <v>1371</v>
      </c>
      <c r="D2522" t="s">
        <v>2901</v>
      </c>
      <c r="E2522">
        <v>19</v>
      </c>
      <c r="F2522" s="11">
        <v>0</v>
      </c>
    </row>
    <row r="2523" spans="1:6" x14ac:dyDescent="0.35">
      <c r="A2523" t="s">
        <v>2856</v>
      </c>
      <c r="B2523" t="s">
        <v>2865</v>
      </c>
      <c r="C2523" t="s">
        <v>1371</v>
      </c>
      <c r="D2523" t="s">
        <v>2902</v>
      </c>
      <c r="E2523">
        <v>0</v>
      </c>
      <c r="F2523" s="11">
        <v>1</v>
      </c>
    </row>
    <row r="2524" spans="1:6" x14ac:dyDescent="0.35">
      <c r="A2524" t="s">
        <v>2856</v>
      </c>
      <c r="B2524" t="s">
        <v>2865</v>
      </c>
      <c r="C2524" t="s">
        <v>1371</v>
      </c>
      <c r="D2524" t="s">
        <v>2903</v>
      </c>
      <c r="E2524">
        <v>25162</v>
      </c>
      <c r="F2524" s="11">
        <v>1</v>
      </c>
    </row>
    <row r="2525" spans="1:6" x14ac:dyDescent="0.35">
      <c r="A2525" t="s">
        <v>2856</v>
      </c>
      <c r="B2525" t="s">
        <v>2865</v>
      </c>
      <c r="C2525" t="s">
        <v>1371</v>
      </c>
      <c r="D2525" t="s">
        <v>2904</v>
      </c>
      <c r="E2525">
        <v>22961</v>
      </c>
      <c r="F2525" s="11">
        <v>1</v>
      </c>
    </row>
    <row r="2526" spans="1:6" x14ac:dyDescent="0.35">
      <c r="A2526" t="s">
        <v>2856</v>
      </c>
      <c r="B2526" t="s">
        <v>2865</v>
      </c>
      <c r="C2526" t="s">
        <v>1371</v>
      </c>
      <c r="D2526" t="s">
        <v>2905</v>
      </c>
      <c r="E2526">
        <v>1415</v>
      </c>
      <c r="F2526" s="11">
        <v>1</v>
      </c>
    </row>
    <row r="2527" spans="1:6" x14ac:dyDescent="0.35">
      <c r="A2527" t="s">
        <v>2856</v>
      </c>
      <c r="B2527" t="s">
        <v>2865</v>
      </c>
      <c r="C2527" t="s">
        <v>1371</v>
      </c>
      <c r="D2527" t="s">
        <v>2906</v>
      </c>
      <c r="E2527">
        <v>777</v>
      </c>
      <c r="F2527" s="11">
        <v>1</v>
      </c>
    </row>
    <row r="2528" spans="1:6" x14ac:dyDescent="0.35">
      <c r="A2528" t="s">
        <v>2856</v>
      </c>
      <c r="B2528" t="s">
        <v>2865</v>
      </c>
      <c r="C2528" t="s">
        <v>1371</v>
      </c>
      <c r="D2528" t="s">
        <v>2907</v>
      </c>
      <c r="E2528">
        <v>30850</v>
      </c>
      <c r="F2528" s="11">
        <v>1</v>
      </c>
    </row>
    <row r="2529" spans="1:6" x14ac:dyDescent="0.35">
      <c r="A2529" t="s">
        <v>2856</v>
      </c>
      <c r="B2529" t="s">
        <v>2865</v>
      </c>
      <c r="C2529" t="s">
        <v>1371</v>
      </c>
      <c r="D2529" t="s">
        <v>2908</v>
      </c>
      <c r="E2529">
        <v>26791</v>
      </c>
      <c r="F2529" s="11">
        <v>1</v>
      </c>
    </row>
    <row r="2530" spans="1:6" x14ac:dyDescent="0.35">
      <c r="A2530" t="s">
        <v>2856</v>
      </c>
      <c r="B2530" t="s">
        <v>2865</v>
      </c>
      <c r="C2530" t="s">
        <v>1371</v>
      </c>
      <c r="D2530" t="s">
        <v>2909</v>
      </c>
      <c r="E2530">
        <v>3275</v>
      </c>
      <c r="F2530" s="11">
        <v>1</v>
      </c>
    </row>
    <row r="2531" spans="1:6" x14ac:dyDescent="0.35">
      <c r="A2531" t="s">
        <v>2856</v>
      </c>
      <c r="B2531" t="s">
        <v>2865</v>
      </c>
      <c r="C2531" t="s">
        <v>1371</v>
      </c>
      <c r="D2531" t="s">
        <v>2910</v>
      </c>
      <c r="E2531">
        <v>784</v>
      </c>
      <c r="F2531" s="11">
        <v>1</v>
      </c>
    </row>
    <row r="2532" spans="1:6" x14ac:dyDescent="0.35">
      <c r="A2532" t="s">
        <v>2856</v>
      </c>
      <c r="B2532" t="s">
        <v>2865</v>
      </c>
      <c r="C2532" t="s">
        <v>1371</v>
      </c>
      <c r="D2532" t="s">
        <v>2911</v>
      </c>
      <c r="E2532">
        <v>22679</v>
      </c>
      <c r="F2532" s="11">
        <v>1</v>
      </c>
    </row>
    <row r="2533" spans="1:6" x14ac:dyDescent="0.35">
      <c r="A2533" t="s">
        <v>2856</v>
      </c>
      <c r="B2533" t="s">
        <v>2865</v>
      </c>
      <c r="C2533" t="s">
        <v>1371</v>
      </c>
      <c r="D2533" t="s">
        <v>2912</v>
      </c>
      <c r="E2533">
        <v>432715</v>
      </c>
      <c r="F2533" s="11">
        <v>1</v>
      </c>
    </row>
    <row r="2534" spans="1:6" x14ac:dyDescent="0.35">
      <c r="A2534" t="s">
        <v>2856</v>
      </c>
      <c r="B2534" t="s">
        <v>2865</v>
      </c>
      <c r="C2534" t="s">
        <v>1371</v>
      </c>
      <c r="D2534" t="s">
        <v>2913</v>
      </c>
      <c r="E2534">
        <v>0</v>
      </c>
      <c r="F2534" s="11">
        <v>0</v>
      </c>
    </row>
    <row r="2535" spans="1:6" x14ac:dyDescent="0.35">
      <c r="A2535" t="s">
        <v>2856</v>
      </c>
      <c r="B2535" t="s">
        <v>2865</v>
      </c>
      <c r="C2535" t="s">
        <v>1371</v>
      </c>
      <c r="D2535" t="s">
        <v>2914</v>
      </c>
      <c r="E2535">
        <v>8444</v>
      </c>
      <c r="F2535" s="11">
        <v>1</v>
      </c>
    </row>
    <row r="2536" spans="1:6" x14ac:dyDescent="0.35">
      <c r="A2536" t="s">
        <v>2856</v>
      </c>
      <c r="B2536" t="s">
        <v>2865</v>
      </c>
      <c r="C2536" t="s">
        <v>1371</v>
      </c>
      <c r="D2536" t="s">
        <v>2915</v>
      </c>
      <c r="E2536">
        <v>1402</v>
      </c>
      <c r="F2536" s="11">
        <v>1</v>
      </c>
    </row>
    <row r="2537" spans="1:6" x14ac:dyDescent="0.35">
      <c r="A2537" t="s">
        <v>2856</v>
      </c>
      <c r="B2537" t="s">
        <v>2865</v>
      </c>
      <c r="C2537" t="s">
        <v>1371</v>
      </c>
      <c r="D2537" t="s">
        <v>2916</v>
      </c>
      <c r="E2537">
        <v>8485</v>
      </c>
      <c r="F2537" s="11">
        <v>1</v>
      </c>
    </row>
    <row r="2538" spans="1:6" x14ac:dyDescent="0.35">
      <c r="A2538" t="s">
        <v>2856</v>
      </c>
      <c r="B2538" t="s">
        <v>2865</v>
      </c>
      <c r="C2538" t="s">
        <v>1371</v>
      </c>
      <c r="D2538" t="s">
        <v>2917</v>
      </c>
      <c r="E2538">
        <v>0</v>
      </c>
      <c r="F2538" s="11">
        <v>0</v>
      </c>
    </row>
    <row r="2539" spans="1:6" x14ac:dyDescent="0.35">
      <c r="A2539" t="s">
        <v>2856</v>
      </c>
      <c r="B2539" t="s">
        <v>2863</v>
      </c>
      <c r="C2539" t="s">
        <v>1386</v>
      </c>
      <c r="D2539" t="s">
        <v>2875</v>
      </c>
      <c r="E2539">
        <v>17741</v>
      </c>
      <c r="F2539" s="11">
        <v>1</v>
      </c>
    </row>
    <row r="2540" spans="1:6" x14ac:dyDescent="0.35">
      <c r="A2540" t="s">
        <v>2856</v>
      </c>
      <c r="B2540" t="s">
        <v>2863</v>
      </c>
      <c r="C2540" t="s">
        <v>1386</v>
      </c>
      <c r="D2540" t="s">
        <v>2876</v>
      </c>
      <c r="E2540">
        <v>6592</v>
      </c>
      <c r="F2540" s="11">
        <v>1</v>
      </c>
    </row>
    <row r="2541" spans="1:6" x14ac:dyDescent="0.35">
      <c r="A2541" t="s">
        <v>2856</v>
      </c>
      <c r="B2541" t="s">
        <v>2863</v>
      </c>
      <c r="C2541" t="s">
        <v>1386</v>
      </c>
      <c r="D2541" t="s">
        <v>2877</v>
      </c>
      <c r="E2541">
        <v>10081</v>
      </c>
      <c r="F2541" s="11">
        <v>1</v>
      </c>
    </row>
    <row r="2542" spans="1:6" x14ac:dyDescent="0.35">
      <c r="A2542" t="s">
        <v>2856</v>
      </c>
      <c r="B2542" t="s">
        <v>2863</v>
      </c>
      <c r="C2542" t="s">
        <v>1386</v>
      </c>
      <c r="D2542" t="s">
        <v>2878</v>
      </c>
      <c r="E2542">
        <v>1058</v>
      </c>
      <c r="F2542" s="11">
        <v>1</v>
      </c>
    </row>
    <row r="2543" spans="1:6" x14ac:dyDescent="0.35">
      <c r="A2543" t="s">
        <v>2856</v>
      </c>
      <c r="B2543" t="s">
        <v>2863</v>
      </c>
      <c r="C2543" t="s">
        <v>1386</v>
      </c>
      <c r="D2543" t="s">
        <v>2879</v>
      </c>
      <c r="E2543">
        <v>2363</v>
      </c>
      <c r="F2543" s="11">
        <v>1</v>
      </c>
    </row>
    <row r="2544" spans="1:6" x14ac:dyDescent="0.35">
      <c r="A2544" t="s">
        <v>2856</v>
      </c>
      <c r="B2544" t="s">
        <v>2863</v>
      </c>
      <c r="C2544" t="s">
        <v>1386</v>
      </c>
      <c r="D2544" t="s">
        <v>2880</v>
      </c>
      <c r="E2544">
        <v>0</v>
      </c>
      <c r="F2544" s="11">
        <v>1</v>
      </c>
    </row>
    <row r="2545" spans="1:6" x14ac:dyDescent="0.35">
      <c r="A2545" t="s">
        <v>2856</v>
      </c>
      <c r="B2545" t="s">
        <v>2863</v>
      </c>
      <c r="C2545" t="s">
        <v>1386</v>
      </c>
      <c r="D2545" t="s">
        <v>2881</v>
      </c>
      <c r="E2545">
        <v>467</v>
      </c>
      <c r="F2545" s="11">
        <v>1</v>
      </c>
    </row>
    <row r="2546" spans="1:6" x14ac:dyDescent="0.35">
      <c r="A2546" t="s">
        <v>2856</v>
      </c>
      <c r="B2546" t="s">
        <v>2863</v>
      </c>
      <c r="C2546" t="s">
        <v>1386</v>
      </c>
      <c r="D2546" t="s">
        <v>2882</v>
      </c>
      <c r="E2546">
        <v>0</v>
      </c>
      <c r="F2546" s="11">
        <v>1</v>
      </c>
    </row>
    <row r="2547" spans="1:6" x14ac:dyDescent="0.35">
      <c r="A2547" t="s">
        <v>2856</v>
      </c>
      <c r="B2547" t="s">
        <v>2863</v>
      </c>
      <c r="C2547" t="s">
        <v>1386</v>
      </c>
      <c r="D2547" t="s">
        <v>2883</v>
      </c>
      <c r="E2547">
        <v>0</v>
      </c>
      <c r="F2547" s="11">
        <v>0</v>
      </c>
    </row>
    <row r="2548" spans="1:6" x14ac:dyDescent="0.35">
      <c r="A2548" t="s">
        <v>2856</v>
      </c>
      <c r="B2548" t="s">
        <v>2863</v>
      </c>
      <c r="C2548" t="s">
        <v>1386</v>
      </c>
      <c r="D2548" t="s">
        <v>2884</v>
      </c>
      <c r="E2548">
        <v>0</v>
      </c>
      <c r="F2548" s="11">
        <v>0</v>
      </c>
    </row>
    <row r="2549" spans="1:6" x14ac:dyDescent="0.35">
      <c r="A2549" t="s">
        <v>2856</v>
      </c>
      <c r="B2549" t="s">
        <v>2863</v>
      </c>
      <c r="C2549" t="s">
        <v>1386</v>
      </c>
      <c r="D2549" t="s">
        <v>2885</v>
      </c>
      <c r="E2549">
        <v>0</v>
      </c>
      <c r="F2549" s="11">
        <v>0</v>
      </c>
    </row>
    <row r="2550" spans="1:6" x14ac:dyDescent="0.35">
      <c r="A2550" t="s">
        <v>2856</v>
      </c>
      <c r="B2550" t="s">
        <v>2863</v>
      </c>
      <c r="C2550" t="s">
        <v>1386</v>
      </c>
      <c r="D2550" t="s">
        <v>2886</v>
      </c>
      <c r="E2550">
        <v>0</v>
      </c>
      <c r="F2550" s="11">
        <v>0</v>
      </c>
    </row>
    <row r="2551" spans="1:6" x14ac:dyDescent="0.35">
      <c r="A2551" t="s">
        <v>2856</v>
      </c>
      <c r="B2551" t="s">
        <v>2863</v>
      </c>
      <c r="C2551" t="s">
        <v>1386</v>
      </c>
      <c r="D2551" t="s">
        <v>2887</v>
      </c>
      <c r="E2551">
        <v>33238</v>
      </c>
      <c r="F2551" s="11">
        <v>1</v>
      </c>
    </row>
    <row r="2552" spans="1:6" x14ac:dyDescent="0.35">
      <c r="A2552" t="s">
        <v>2856</v>
      </c>
      <c r="B2552" t="s">
        <v>2863</v>
      </c>
      <c r="C2552" t="s">
        <v>1386</v>
      </c>
      <c r="D2552" t="s">
        <v>2888</v>
      </c>
      <c r="E2552">
        <v>1113</v>
      </c>
      <c r="F2552" s="11">
        <v>1</v>
      </c>
    </row>
    <row r="2553" spans="1:6" x14ac:dyDescent="0.35">
      <c r="A2553" t="s">
        <v>2856</v>
      </c>
      <c r="B2553" t="s">
        <v>2863</v>
      </c>
      <c r="C2553" t="s">
        <v>1386</v>
      </c>
      <c r="D2553" t="s">
        <v>2889</v>
      </c>
      <c r="E2553">
        <v>1672</v>
      </c>
      <c r="F2553" s="11">
        <v>1</v>
      </c>
    </row>
    <row r="2554" spans="1:6" x14ac:dyDescent="0.35">
      <c r="A2554" t="s">
        <v>2856</v>
      </c>
      <c r="B2554" t="s">
        <v>2863</v>
      </c>
      <c r="C2554" t="s">
        <v>1386</v>
      </c>
      <c r="D2554" t="s">
        <v>2890</v>
      </c>
      <c r="E2554">
        <v>0</v>
      </c>
      <c r="F2554" s="11">
        <v>1</v>
      </c>
    </row>
    <row r="2555" spans="1:6" x14ac:dyDescent="0.35">
      <c r="A2555" t="s">
        <v>2856</v>
      </c>
      <c r="B2555" t="s">
        <v>2863</v>
      </c>
      <c r="C2555" t="s">
        <v>1386</v>
      </c>
      <c r="D2555" t="s">
        <v>2891</v>
      </c>
      <c r="E2555">
        <v>0</v>
      </c>
      <c r="F2555" s="11">
        <v>0</v>
      </c>
    </row>
    <row r="2556" spans="1:6" x14ac:dyDescent="0.35">
      <c r="A2556" t="s">
        <v>2856</v>
      </c>
      <c r="B2556" t="s">
        <v>2863</v>
      </c>
      <c r="C2556" t="s">
        <v>1386</v>
      </c>
      <c r="D2556" t="s">
        <v>2892</v>
      </c>
      <c r="E2556">
        <v>0</v>
      </c>
      <c r="F2556" s="11">
        <v>0</v>
      </c>
    </row>
    <row r="2557" spans="1:6" x14ac:dyDescent="0.35">
      <c r="A2557" t="s">
        <v>2856</v>
      </c>
      <c r="B2557" t="s">
        <v>2863</v>
      </c>
      <c r="C2557" t="s">
        <v>1386</v>
      </c>
      <c r="D2557" t="s">
        <v>2893</v>
      </c>
      <c r="E2557">
        <v>0</v>
      </c>
      <c r="F2557" s="11">
        <v>0</v>
      </c>
    </row>
    <row r="2558" spans="1:6" x14ac:dyDescent="0.35">
      <c r="A2558" t="s">
        <v>2856</v>
      </c>
      <c r="B2558" t="s">
        <v>2863</v>
      </c>
      <c r="C2558" t="s">
        <v>1386</v>
      </c>
      <c r="D2558" t="s">
        <v>2894</v>
      </c>
      <c r="E2558">
        <v>0</v>
      </c>
      <c r="F2558" s="11">
        <v>0</v>
      </c>
    </row>
    <row r="2559" spans="1:6" x14ac:dyDescent="0.35">
      <c r="A2559" t="s">
        <v>2856</v>
      </c>
      <c r="B2559" t="s">
        <v>2863</v>
      </c>
      <c r="C2559" t="s">
        <v>1386</v>
      </c>
      <c r="D2559" t="s">
        <v>2895</v>
      </c>
      <c r="E2559">
        <v>208772</v>
      </c>
      <c r="F2559" s="11">
        <v>1</v>
      </c>
    </row>
    <row r="2560" spans="1:6" x14ac:dyDescent="0.35">
      <c r="A2560" t="s">
        <v>2856</v>
      </c>
      <c r="B2560" t="s">
        <v>2863</v>
      </c>
      <c r="C2560" t="s">
        <v>1386</v>
      </c>
      <c r="D2560" t="s">
        <v>2896</v>
      </c>
      <c r="E2560">
        <v>115540</v>
      </c>
      <c r="F2560" s="11">
        <v>1</v>
      </c>
    </row>
    <row r="2561" spans="1:6" x14ac:dyDescent="0.35">
      <c r="A2561" t="s">
        <v>2856</v>
      </c>
      <c r="B2561" t="s">
        <v>2863</v>
      </c>
      <c r="C2561" t="s">
        <v>1386</v>
      </c>
      <c r="D2561" t="s">
        <v>2897</v>
      </c>
      <c r="E2561">
        <v>104301</v>
      </c>
      <c r="F2561" s="11">
        <v>1</v>
      </c>
    </row>
    <row r="2562" spans="1:6" x14ac:dyDescent="0.35">
      <c r="A2562" t="s">
        <v>2856</v>
      </c>
      <c r="B2562" t="s">
        <v>2863</v>
      </c>
      <c r="C2562" t="s">
        <v>1386</v>
      </c>
      <c r="D2562" t="s">
        <v>2898</v>
      </c>
      <c r="E2562">
        <v>6828</v>
      </c>
      <c r="F2562" s="11">
        <v>1</v>
      </c>
    </row>
    <row r="2563" spans="1:6" x14ac:dyDescent="0.35">
      <c r="A2563" t="s">
        <v>2856</v>
      </c>
      <c r="B2563" t="s">
        <v>2863</v>
      </c>
      <c r="C2563" t="s">
        <v>1386</v>
      </c>
      <c r="D2563" t="s">
        <v>2899</v>
      </c>
      <c r="E2563">
        <v>2535</v>
      </c>
      <c r="F2563" s="11">
        <v>1</v>
      </c>
    </row>
    <row r="2564" spans="1:6" x14ac:dyDescent="0.35">
      <c r="A2564" t="s">
        <v>2856</v>
      </c>
      <c r="B2564" t="s">
        <v>2863</v>
      </c>
      <c r="C2564" t="s">
        <v>1386</v>
      </c>
      <c r="D2564" t="s">
        <v>2900</v>
      </c>
      <c r="E2564">
        <v>2467</v>
      </c>
      <c r="F2564" s="11">
        <v>1</v>
      </c>
    </row>
    <row r="2565" spans="1:6" x14ac:dyDescent="0.35">
      <c r="A2565" t="s">
        <v>2856</v>
      </c>
      <c r="B2565" t="s">
        <v>2863</v>
      </c>
      <c r="C2565" t="s">
        <v>1386</v>
      </c>
      <c r="D2565" t="s">
        <v>2901</v>
      </c>
      <c r="E2565">
        <v>68</v>
      </c>
      <c r="F2565" s="11">
        <v>1</v>
      </c>
    </row>
    <row r="2566" spans="1:6" x14ac:dyDescent="0.35">
      <c r="A2566" t="s">
        <v>2856</v>
      </c>
      <c r="B2566" t="s">
        <v>2863</v>
      </c>
      <c r="C2566" t="s">
        <v>1386</v>
      </c>
      <c r="D2566" t="s">
        <v>2902</v>
      </c>
      <c r="E2566">
        <v>0</v>
      </c>
      <c r="F2566" s="11">
        <v>1</v>
      </c>
    </row>
    <row r="2567" spans="1:6" x14ac:dyDescent="0.35">
      <c r="A2567" t="s">
        <v>2856</v>
      </c>
      <c r="B2567" t="s">
        <v>2863</v>
      </c>
      <c r="C2567" t="s">
        <v>1386</v>
      </c>
      <c r="D2567" t="s">
        <v>2903</v>
      </c>
      <c r="E2567">
        <v>53759</v>
      </c>
      <c r="F2567" s="11">
        <v>1</v>
      </c>
    </row>
    <row r="2568" spans="1:6" x14ac:dyDescent="0.35">
      <c r="A2568" t="s">
        <v>2856</v>
      </c>
      <c r="B2568" t="s">
        <v>2863</v>
      </c>
      <c r="C2568" t="s">
        <v>1386</v>
      </c>
      <c r="D2568" t="s">
        <v>2904</v>
      </c>
      <c r="E2568">
        <v>46421</v>
      </c>
      <c r="F2568" s="11">
        <v>0</v>
      </c>
    </row>
    <row r="2569" spans="1:6" x14ac:dyDescent="0.35">
      <c r="A2569" t="s">
        <v>2856</v>
      </c>
      <c r="B2569" t="s">
        <v>2863</v>
      </c>
      <c r="C2569" t="s">
        <v>1386</v>
      </c>
      <c r="D2569" t="s">
        <v>2905</v>
      </c>
      <c r="E2569">
        <v>5010</v>
      </c>
      <c r="F2569" s="11">
        <v>0</v>
      </c>
    </row>
    <row r="2570" spans="1:6" x14ac:dyDescent="0.35">
      <c r="A2570" t="s">
        <v>2856</v>
      </c>
      <c r="B2570" t="s">
        <v>2863</v>
      </c>
      <c r="C2570" t="s">
        <v>1386</v>
      </c>
      <c r="D2570" t="s">
        <v>2906</v>
      </c>
      <c r="E2570">
        <v>2203</v>
      </c>
      <c r="F2570" s="11">
        <v>0</v>
      </c>
    </row>
    <row r="2571" spans="1:6" x14ac:dyDescent="0.35">
      <c r="A2571" t="s">
        <v>2856</v>
      </c>
      <c r="B2571" t="s">
        <v>2863</v>
      </c>
      <c r="C2571" t="s">
        <v>1386</v>
      </c>
      <c r="D2571" t="s">
        <v>2907</v>
      </c>
      <c r="E2571">
        <v>102299</v>
      </c>
      <c r="F2571" s="11">
        <v>1</v>
      </c>
    </row>
    <row r="2572" spans="1:6" x14ac:dyDescent="0.35">
      <c r="A2572" t="s">
        <v>2856</v>
      </c>
      <c r="B2572" t="s">
        <v>2863</v>
      </c>
      <c r="C2572" t="s">
        <v>1386</v>
      </c>
      <c r="D2572" t="s">
        <v>2908</v>
      </c>
      <c r="E2572">
        <v>86794</v>
      </c>
      <c r="F2572" s="11">
        <v>0</v>
      </c>
    </row>
    <row r="2573" spans="1:6" x14ac:dyDescent="0.35">
      <c r="A2573" t="s">
        <v>2856</v>
      </c>
      <c r="B2573" t="s">
        <v>2863</v>
      </c>
      <c r="C2573" t="s">
        <v>1386</v>
      </c>
      <c r="D2573" t="s">
        <v>2909</v>
      </c>
      <c r="E2573">
        <v>12009</v>
      </c>
      <c r="F2573" s="11">
        <v>0</v>
      </c>
    </row>
    <row r="2574" spans="1:6" x14ac:dyDescent="0.35">
      <c r="A2574" t="s">
        <v>2856</v>
      </c>
      <c r="B2574" t="s">
        <v>2863</v>
      </c>
      <c r="C2574" t="s">
        <v>1386</v>
      </c>
      <c r="D2574" t="s">
        <v>2910</v>
      </c>
      <c r="E2574">
        <v>3490</v>
      </c>
      <c r="F2574" s="11">
        <v>0</v>
      </c>
    </row>
    <row r="2575" spans="1:6" x14ac:dyDescent="0.35">
      <c r="A2575" t="s">
        <v>2856</v>
      </c>
      <c r="B2575" t="s">
        <v>2863</v>
      </c>
      <c r="C2575" t="s">
        <v>1386</v>
      </c>
      <c r="D2575" t="s">
        <v>2911</v>
      </c>
      <c r="E2575">
        <v>329678</v>
      </c>
      <c r="F2575" s="11">
        <v>1</v>
      </c>
    </row>
    <row r="2576" spans="1:6" x14ac:dyDescent="0.35">
      <c r="A2576" t="s">
        <v>2856</v>
      </c>
      <c r="B2576" t="s">
        <v>2863</v>
      </c>
      <c r="C2576" t="s">
        <v>1386</v>
      </c>
      <c r="D2576" t="s">
        <v>2912</v>
      </c>
      <c r="E2576">
        <v>308310</v>
      </c>
      <c r="F2576" s="11">
        <v>1</v>
      </c>
    </row>
    <row r="2577" spans="1:6" x14ac:dyDescent="0.35">
      <c r="A2577" t="s">
        <v>2856</v>
      </c>
      <c r="B2577" t="s">
        <v>2863</v>
      </c>
      <c r="C2577" t="s">
        <v>1386</v>
      </c>
      <c r="D2577" t="s">
        <v>2913</v>
      </c>
      <c r="E2577">
        <v>0</v>
      </c>
      <c r="F2577" s="11">
        <v>0</v>
      </c>
    </row>
    <row r="2578" spans="1:6" x14ac:dyDescent="0.35">
      <c r="A2578" t="s">
        <v>2856</v>
      </c>
      <c r="B2578" t="s">
        <v>2863</v>
      </c>
      <c r="C2578" t="s">
        <v>1386</v>
      </c>
      <c r="D2578" t="s">
        <v>2914</v>
      </c>
      <c r="E2578">
        <v>0</v>
      </c>
      <c r="F2578" s="11">
        <v>0</v>
      </c>
    </row>
    <row r="2579" spans="1:6" x14ac:dyDescent="0.35">
      <c r="A2579" t="s">
        <v>2856</v>
      </c>
      <c r="B2579" t="s">
        <v>2863</v>
      </c>
      <c r="C2579" t="s">
        <v>1386</v>
      </c>
      <c r="D2579" t="s">
        <v>2915</v>
      </c>
      <c r="E2579">
        <v>2244</v>
      </c>
      <c r="F2579" s="11">
        <v>1</v>
      </c>
    </row>
    <row r="2580" spans="1:6" x14ac:dyDescent="0.35">
      <c r="A2580" t="s">
        <v>2856</v>
      </c>
      <c r="B2580" t="s">
        <v>2863</v>
      </c>
      <c r="C2580" t="s">
        <v>1386</v>
      </c>
      <c r="D2580" t="s">
        <v>2916</v>
      </c>
      <c r="E2580">
        <v>23673</v>
      </c>
      <c r="F2580" s="11">
        <v>1</v>
      </c>
    </row>
    <row r="2581" spans="1:6" x14ac:dyDescent="0.35">
      <c r="A2581" t="s">
        <v>2856</v>
      </c>
      <c r="B2581" t="s">
        <v>2863</v>
      </c>
      <c r="C2581" t="s">
        <v>1386</v>
      </c>
      <c r="D2581" t="s">
        <v>2917</v>
      </c>
      <c r="E2581">
        <v>60201</v>
      </c>
      <c r="F2581" s="11">
        <v>1</v>
      </c>
    </row>
    <row r="2582" spans="1:6" x14ac:dyDescent="0.35">
      <c r="A2582" t="s">
        <v>2856</v>
      </c>
      <c r="B2582" t="s">
        <v>2864</v>
      </c>
      <c r="C2582" t="s">
        <v>1467</v>
      </c>
      <c r="D2582" t="s">
        <v>2875</v>
      </c>
      <c r="E2582">
        <v>27385</v>
      </c>
      <c r="F2582" s="11">
        <v>1</v>
      </c>
    </row>
    <row r="2583" spans="1:6" x14ac:dyDescent="0.35">
      <c r="A2583" t="s">
        <v>2856</v>
      </c>
      <c r="B2583" t="s">
        <v>2864</v>
      </c>
      <c r="C2583" t="s">
        <v>1467</v>
      </c>
      <c r="D2583" t="s">
        <v>2876</v>
      </c>
      <c r="E2583">
        <v>7212</v>
      </c>
      <c r="F2583" s="11">
        <v>1</v>
      </c>
    </row>
    <row r="2584" spans="1:6" x14ac:dyDescent="0.35">
      <c r="A2584" t="s">
        <v>2856</v>
      </c>
      <c r="B2584" t="s">
        <v>2864</v>
      </c>
      <c r="C2584" t="s">
        <v>1467</v>
      </c>
      <c r="D2584" t="s">
        <v>2877</v>
      </c>
      <c r="E2584">
        <v>18929</v>
      </c>
      <c r="F2584" s="11">
        <v>1</v>
      </c>
    </row>
    <row r="2585" spans="1:6" x14ac:dyDescent="0.35">
      <c r="A2585" t="s">
        <v>2856</v>
      </c>
      <c r="B2585" t="s">
        <v>2864</v>
      </c>
      <c r="C2585" t="s">
        <v>1467</v>
      </c>
      <c r="D2585" t="s">
        <v>2878</v>
      </c>
      <c r="E2585">
        <v>1244</v>
      </c>
      <c r="F2585" s="11">
        <v>1</v>
      </c>
    </row>
    <row r="2586" spans="1:6" x14ac:dyDescent="0.35">
      <c r="A2586" t="s">
        <v>2856</v>
      </c>
      <c r="B2586" t="s">
        <v>2864</v>
      </c>
      <c r="C2586" t="s">
        <v>1467</v>
      </c>
      <c r="D2586" t="s">
        <v>2879</v>
      </c>
      <c r="E2586">
        <v>0</v>
      </c>
      <c r="F2586" s="11">
        <v>1</v>
      </c>
    </row>
    <row r="2587" spans="1:6" x14ac:dyDescent="0.35">
      <c r="A2587" t="s">
        <v>2856</v>
      </c>
      <c r="B2587" t="s">
        <v>2864</v>
      </c>
      <c r="C2587" t="s">
        <v>1467</v>
      </c>
      <c r="D2587" t="s">
        <v>2880</v>
      </c>
      <c r="E2587">
        <v>1930</v>
      </c>
      <c r="F2587" s="11">
        <v>1</v>
      </c>
    </row>
    <row r="2588" spans="1:6" x14ac:dyDescent="0.35">
      <c r="A2588" t="s">
        <v>2856</v>
      </c>
      <c r="B2588" t="s">
        <v>2864</v>
      </c>
      <c r="C2588" t="s">
        <v>1467</v>
      </c>
      <c r="D2588" t="s">
        <v>2881</v>
      </c>
      <c r="E2588">
        <v>1846</v>
      </c>
      <c r="F2588" s="11">
        <v>1</v>
      </c>
    </row>
    <row r="2589" spans="1:6" x14ac:dyDescent="0.35">
      <c r="A2589" t="s">
        <v>2856</v>
      </c>
      <c r="B2589" t="s">
        <v>2864</v>
      </c>
      <c r="C2589" t="s">
        <v>1467</v>
      </c>
      <c r="D2589" t="s">
        <v>2882</v>
      </c>
      <c r="E2589">
        <v>32</v>
      </c>
      <c r="F2589" s="11">
        <v>1</v>
      </c>
    </row>
    <row r="2590" spans="1:6" x14ac:dyDescent="0.35">
      <c r="A2590" t="s">
        <v>2856</v>
      </c>
      <c r="B2590" t="s">
        <v>2864</v>
      </c>
      <c r="C2590" t="s">
        <v>1467</v>
      </c>
      <c r="D2590" t="s">
        <v>2883</v>
      </c>
      <c r="E2590">
        <v>0</v>
      </c>
      <c r="F2590" s="11">
        <v>0</v>
      </c>
    </row>
    <row r="2591" spans="1:6" x14ac:dyDescent="0.35">
      <c r="A2591" t="s">
        <v>2856</v>
      </c>
      <c r="B2591" t="s">
        <v>2864</v>
      </c>
      <c r="C2591" t="s">
        <v>1467</v>
      </c>
      <c r="D2591" t="s">
        <v>2884</v>
      </c>
      <c r="E2591">
        <v>0</v>
      </c>
      <c r="F2591" s="11">
        <v>0</v>
      </c>
    </row>
    <row r="2592" spans="1:6" x14ac:dyDescent="0.35">
      <c r="A2592" t="s">
        <v>2856</v>
      </c>
      <c r="B2592" t="s">
        <v>2864</v>
      </c>
      <c r="C2592" t="s">
        <v>1467</v>
      </c>
      <c r="D2592" t="s">
        <v>2885</v>
      </c>
      <c r="E2592">
        <v>0</v>
      </c>
      <c r="F2592" s="11">
        <v>0</v>
      </c>
    </row>
    <row r="2593" spans="1:6" x14ac:dyDescent="0.35">
      <c r="A2593" t="s">
        <v>2856</v>
      </c>
      <c r="B2593" t="s">
        <v>2864</v>
      </c>
      <c r="C2593" t="s">
        <v>1467</v>
      </c>
      <c r="D2593" t="s">
        <v>2886</v>
      </c>
      <c r="E2593">
        <v>0</v>
      </c>
      <c r="F2593" s="11">
        <v>0</v>
      </c>
    </row>
    <row r="2594" spans="1:6" x14ac:dyDescent="0.35">
      <c r="A2594" t="s">
        <v>2856</v>
      </c>
      <c r="B2594" t="s">
        <v>2864</v>
      </c>
      <c r="C2594" t="s">
        <v>1467</v>
      </c>
      <c r="D2594" t="s">
        <v>2887</v>
      </c>
      <c r="E2594">
        <v>40099</v>
      </c>
      <c r="F2594" s="11">
        <v>1</v>
      </c>
    </row>
    <row r="2595" spans="1:6" x14ac:dyDescent="0.35">
      <c r="A2595" t="s">
        <v>2856</v>
      </c>
      <c r="B2595" t="s">
        <v>2864</v>
      </c>
      <c r="C2595" t="s">
        <v>1467</v>
      </c>
      <c r="D2595" t="s">
        <v>2888</v>
      </c>
      <c r="E2595">
        <v>20905</v>
      </c>
      <c r="F2595" s="11">
        <v>0</v>
      </c>
    </row>
    <row r="2596" spans="1:6" x14ac:dyDescent="0.35">
      <c r="A2596" t="s">
        <v>2856</v>
      </c>
      <c r="B2596" t="s">
        <v>2864</v>
      </c>
      <c r="C2596" t="s">
        <v>1467</v>
      </c>
      <c r="D2596" t="s">
        <v>2889</v>
      </c>
      <c r="E2596">
        <v>19194</v>
      </c>
      <c r="F2596" s="11">
        <v>0</v>
      </c>
    </row>
    <row r="2597" spans="1:6" x14ac:dyDescent="0.35">
      <c r="A2597" t="s">
        <v>2856</v>
      </c>
      <c r="B2597" t="s">
        <v>2864</v>
      </c>
      <c r="C2597" t="s">
        <v>1467</v>
      </c>
      <c r="D2597" t="s">
        <v>2890</v>
      </c>
      <c r="E2597">
        <v>0</v>
      </c>
      <c r="F2597" s="11">
        <v>1</v>
      </c>
    </row>
    <row r="2598" spans="1:6" x14ac:dyDescent="0.35">
      <c r="A2598" t="s">
        <v>2856</v>
      </c>
      <c r="B2598" t="s">
        <v>2864</v>
      </c>
      <c r="C2598" t="s">
        <v>1467</v>
      </c>
      <c r="D2598" t="s">
        <v>2891</v>
      </c>
      <c r="E2598">
        <v>0</v>
      </c>
      <c r="F2598" s="11">
        <v>0</v>
      </c>
    </row>
    <row r="2599" spans="1:6" x14ac:dyDescent="0.35">
      <c r="A2599" t="s">
        <v>2856</v>
      </c>
      <c r="B2599" t="s">
        <v>2864</v>
      </c>
      <c r="C2599" t="s">
        <v>1467</v>
      </c>
      <c r="D2599" t="s">
        <v>2892</v>
      </c>
      <c r="E2599">
        <v>0</v>
      </c>
      <c r="F2599" s="11">
        <v>0</v>
      </c>
    </row>
    <row r="2600" spans="1:6" x14ac:dyDescent="0.35">
      <c r="A2600" t="s">
        <v>2856</v>
      </c>
      <c r="B2600" t="s">
        <v>2864</v>
      </c>
      <c r="C2600" t="s">
        <v>1467</v>
      </c>
      <c r="D2600" t="s">
        <v>2893</v>
      </c>
      <c r="E2600">
        <v>0</v>
      </c>
      <c r="F2600" s="11">
        <v>0</v>
      </c>
    </row>
    <row r="2601" spans="1:6" x14ac:dyDescent="0.35">
      <c r="A2601" t="s">
        <v>2856</v>
      </c>
      <c r="B2601" t="s">
        <v>2864</v>
      </c>
      <c r="C2601" t="s">
        <v>1467</v>
      </c>
      <c r="D2601" t="s">
        <v>2894</v>
      </c>
      <c r="E2601">
        <v>0</v>
      </c>
      <c r="F2601" s="11">
        <v>0</v>
      </c>
    </row>
    <row r="2602" spans="1:6" x14ac:dyDescent="0.35">
      <c r="A2602" t="s">
        <v>2856</v>
      </c>
      <c r="B2602" t="s">
        <v>2864</v>
      </c>
      <c r="C2602" t="s">
        <v>1467</v>
      </c>
      <c r="D2602" t="s">
        <v>2895</v>
      </c>
      <c r="E2602">
        <v>515368</v>
      </c>
      <c r="F2602" s="11">
        <v>1</v>
      </c>
    </row>
    <row r="2603" spans="1:6" x14ac:dyDescent="0.35">
      <c r="A2603" t="s">
        <v>2856</v>
      </c>
      <c r="B2603" t="s">
        <v>2864</v>
      </c>
      <c r="C2603" t="s">
        <v>1467</v>
      </c>
      <c r="D2603" t="s">
        <v>2896</v>
      </c>
      <c r="E2603">
        <v>274968</v>
      </c>
      <c r="F2603" s="11">
        <v>1</v>
      </c>
    </row>
    <row r="2604" spans="1:6" x14ac:dyDescent="0.35">
      <c r="A2604" t="s">
        <v>2856</v>
      </c>
      <c r="B2604" t="s">
        <v>2864</v>
      </c>
      <c r="C2604" t="s">
        <v>1467</v>
      </c>
      <c r="D2604" t="s">
        <v>2897</v>
      </c>
      <c r="E2604">
        <v>232813</v>
      </c>
      <c r="F2604" s="11">
        <v>1</v>
      </c>
    </row>
    <row r="2605" spans="1:6" x14ac:dyDescent="0.35">
      <c r="A2605" t="s">
        <v>2856</v>
      </c>
      <c r="B2605" t="s">
        <v>2864</v>
      </c>
      <c r="C2605" t="s">
        <v>1467</v>
      </c>
      <c r="D2605" t="s">
        <v>2898</v>
      </c>
      <c r="E2605">
        <v>0</v>
      </c>
      <c r="F2605" s="11">
        <v>1</v>
      </c>
    </row>
    <row r="2606" spans="1:6" x14ac:dyDescent="0.35">
      <c r="A2606" t="s">
        <v>2856</v>
      </c>
      <c r="B2606" t="s">
        <v>2864</v>
      </c>
      <c r="C2606" t="s">
        <v>1467</v>
      </c>
      <c r="D2606" t="s">
        <v>2899</v>
      </c>
      <c r="E2606">
        <v>6868</v>
      </c>
      <c r="F2606" s="11">
        <v>1</v>
      </c>
    </row>
    <row r="2607" spans="1:6" x14ac:dyDescent="0.35">
      <c r="A2607" t="s">
        <v>2856</v>
      </c>
      <c r="B2607" t="s">
        <v>2864</v>
      </c>
      <c r="C2607" t="s">
        <v>1467</v>
      </c>
      <c r="D2607" t="s">
        <v>2900</v>
      </c>
      <c r="E2607">
        <v>4506</v>
      </c>
      <c r="F2607" s="11">
        <v>1</v>
      </c>
    </row>
    <row r="2608" spans="1:6" x14ac:dyDescent="0.35">
      <c r="A2608" t="s">
        <v>2856</v>
      </c>
      <c r="B2608" t="s">
        <v>2864</v>
      </c>
      <c r="C2608" t="s">
        <v>1467</v>
      </c>
      <c r="D2608" t="s">
        <v>2901</v>
      </c>
      <c r="E2608">
        <v>2350</v>
      </c>
      <c r="F2608" s="11">
        <v>0</v>
      </c>
    </row>
    <row r="2609" spans="1:6" x14ac:dyDescent="0.35">
      <c r="A2609" t="s">
        <v>2856</v>
      </c>
      <c r="B2609" t="s">
        <v>2864</v>
      </c>
      <c r="C2609" t="s">
        <v>1467</v>
      </c>
      <c r="D2609" t="s">
        <v>2902</v>
      </c>
      <c r="E2609">
        <v>0</v>
      </c>
      <c r="F2609" s="11">
        <v>1</v>
      </c>
    </row>
    <row r="2610" spans="1:6" x14ac:dyDescent="0.35">
      <c r="A2610" t="s">
        <v>2856</v>
      </c>
      <c r="B2610" t="s">
        <v>2864</v>
      </c>
      <c r="C2610" t="s">
        <v>1467</v>
      </c>
      <c r="D2610" t="s">
        <v>2903</v>
      </c>
      <c r="E2610">
        <v>32145</v>
      </c>
      <c r="F2610" s="11">
        <v>1</v>
      </c>
    </row>
    <row r="2611" spans="1:6" x14ac:dyDescent="0.35">
      <c r="A2611" t="s">
        <v>2856</v>
      </c>
      <c r="B2611" t="s">
        <v>2864</v>
      </c>
      <c r="C2611" t="s">
        <v>1467</v>
      </c>
      <c r="D2611" t="s">
        <v>2904</v>
      </c>
      <c r="E2611">
        <v>0</v>
      </c>
      <c r="F2611" s="11">
        <v>0</v>
      </c>
    </row>
    <row r="2612" spans="1:6" x14ac:dyDescent="0.35">
      <c r="A2612" t="s">
        <v>2856</v>
      </c>
      <c r="B2612" t="s">
        <v>2864</v>
      </c>
      <c r="C2612" t="s">
        <v>1467</v>
      </c>
      <c r="D2612" t="s">
        <v>2905</v>
      </c>
      <c r="E2612">
        <v>0</v>
      </c>
      <c r="F2612" s="11">
        <v>0</v>
      </c>
    </row>
    <row r="2613" spans="1:6" x14ac:dyDescent="0.35">
      <c r="A2613" t="s">
        <v>2856</v>
      </c>
      <c r="B2613" t="s">
        <v>2864</v>
      </c>
      <c r="C2613" t="s">
        <v>1467</v>
      </c>
      <c r="D2613" t="s">
        <v>2906</v>
      </c>
      <c r="E2613">
        <v>0</v>
      </c>
      <c r="F2613" s="11">
        <v>0</v>
      </c>
    </row>
    <row r="2614" spans="1:6" x14ac:dyDescent="0.35">
      <c r="A2614" t="s">
        <v>2856</v>
      </c>
      <c r="B2614" t="s">
        <v>2864</v>
      </c>
      <c r="C2614" t="s">
        <v>1467</v>
      </c>
      <c r="D2614" t="s">
        <v>2907</v>
      </c>
      <c r="E2614">
        <v>99537</v>
      </c>
      <c r="F2614" s="11">
        <v>1</v>
      </c>
    </row>
    <row r="2615" spans="1:6" x14ac:dyDescent="0.35">
      <c r="A2615" t="s">
        <v>2856</v>
      </c>
      <c r="B2615" t="s">
        <v>2864</v>
      </c>
      <c r="C2615" t="s">
        <v>1467</v>
      </c>
      <c r="D2615" t="s">
        <v>2908</v>
      </c>
      <c r="E2615">
        <v>0</v>
      </c>
      <c r="F2615" s="11">
        <v>0</v>
      </c>
    </row>
    <row r="2616" spans="1:6" x14ac:dyDescent="0.35">
      <c r="A2616" t="s">
        <v>2856</v>
      </c>
      <c r="B2616" t="s">
        <v>2864</v>
      </c>
      <c r="C2616" t="s">
        <v>1467</v>
      </c>
      <c r="D2616" t="s">
        <v>2909</v>
      </c>
      <c r="E2616">
        <v>0</v>
      </c>
      <c r="F2616" s="11">
        <v>0</v>
      </c>
    </row>
    <row r="2617" spans="1:6" x14ac:dyDescent="0.35">
      <c r="A2617" t="s">
        <v>2856</v>
      </c>
      <c r="B2617" t="s">
        <v>2864</v>
      </c>
      <c r="C2617" t="s">
        <v>1467</v>
      </c>
      <c r="D2617" t="s">
        <v>2910</v>
      </c>
      <c r="E2617">
        <v>0</v>
      </c>
      <c r="F2617" s="11">
        <v>0</v>
      </c>
    </row>
    <row r="2618" spans="1:6" x14ac:dyDescent="0.35">
      <c r="A2618" t="s">
        <v>2856</v>
      </c>
      <c r="B2618" t="s">
        <v>2864</v>
      </c>
      <c r="C2618" t="s">
        <v>1467</v>
      </c>
      <c r="D2618" t="s">
        <v>2911</v>
      </c>
      <c r="E2618">
        <v>219708</v>
      </c>
      <c r="F2618" s="11">
        <v>1</v>
      </c>
    </row>
    <row r="2619" spans="1:6" x14ac:dyDescent="0.35">
      <c r="A2619" t="s">
        <v>2856</v>
      </c>
      <c r="B2619" t="s">
        <v>2864</v>
      </c>
      <c r="C2619" t="s">
        <v>1467</v>
      </c>
      <c r="D2619" t="s">
        <v>2912</v>
      </c>
      <c r="E2619">
        <v>193133</v>
      </c>
      <c r="F2619" s="11">
        <v>1</v>
      </c>
    </row>
    <row r="2620" spans="1:6" x14ac:dyDescent="0.35">
      <c r="A2620" t="s">
        <v>2856</v>
      </c>
      <c r="B2620" t="s">
        <v>2864</v>
      </c>
      <c r="C2620" t="s">
        <v>1467</v>
      </c>
      <c r="D2620" t="s">
        <v>2913</v>
      </c>
      <c r="E2620">
        <v>0</v>
      </c>
      <c r="F2620" s="11">
        <v>0</v>
      </c>
    </row>
    <row r="2621" spans="1:6" x14ac:dyDescent="0.35">
      <c r="A2621" t="s">
        <v>2856</v>
      </c>
      <c r="B2621" t="s">
        <v>2864</v>
      </c>
      <c r="C2621" t="s">
        <v>1467</v>
      </c>
      <c r="D2621" t="s">
        <v>2914</v>
      </c>
      <c r="E2621">
        <v>4363</v>
      </c>
      <c r="F2621" s="11">
        <v>1</v>
      </c>
    </row>
    <row r="2622" spans="1:6" x14ac:dyDescent="0.35">
      <c r="A2622" t="s">
        <v>2856</v>
      </c>
      <c r="B2622" t="s">
        <v>2864</v>
      </c>
      <c r="C2622" t="s">
        <v>1467</v>
      </c>
      <c r="D2622" t="s">
        <v>2915</v>
      </c>
      <c r="E2622">
        <v>1294</v>
      </c>
      <c r="F2622" s="11">
        <v>1</v>
      </c>
    </row>
    <row r="2623" spans="1:6" x14ac:dyDescent="0.35">
      <c r="A2623" t="s">
        <v>2856</v>
      </c>
      <c r="B2623" t="s">
        <v>2864</v>
      </c>
      <c r="C2623" t="s">
        <v>1467</v>
      </c>
      <c r="D2623" t="s">
        <v>2916</v>
      </c>
      <c r="E2623">
        <v>30934</v>
      </c>
      <c r="F2623" s="11">
        <v>1</v>
      </c>
    </row>
    <row r="2624" spans="1:6" x14ac:dyDescent="0.35">
      <c r="A2624" t="s">
        <v>2856</v>
      </c>
      <c r="B2624" t="s">
        <v>2864</v>
      </c>
      <c r="C2624" t="s">
        <v>1467</v>
      </c>
      <c r="D2624" t="s">
        <v>2917</v>
      </c>
      <c r="E2624">
        <v>0</v>
      </c>
      <c r="F2624" s="11">
        <v>0</v>
      </c>
    </row>
    <row r="2625" spans="1:6" x14ac:dyDescent="0.35">
      <c r="A2625" t="s">
        <v>2856</v>
      </c>
      <c r="B2625" t="s">
        <v>2865</v>
      </c>
      <c r="C2625" t="s">
        <v>1457</v>
      </c>
      <c r="D2625" t="s">
        <v>2875</v>
      </c>
      <c r="E2625">
        <v>27634</v>
      </c>
      <c r="F2625" s="11">
        <v>1</v>
      </c>
    </row>
    <row r="2626" spans="1:6" x14ac:dyDescent="0.35">
      <c r="A2626" t="s">
        <v>2856</v>
      </c>
      <c r="B2626" t="s">
        <v>2865</v>
      </c>
      <c r="C2626" t="s">
        <v>1457</v>
      </c>
      <c r="D2626" t="s">
        <v>2876</v>
      </c>
      <c r="E2626">
        <v>9448</v>
      </c>
      <c r="F2626" s="11">
        <v>1</v>
      </c>
    </row>
    <row r="2627" spans="1:6" x14ac:dyDescent="0.35">
      <c r="A2627" t="s">
        <v>2856</v>
      </c>
      <c r="B2627" t="s">
        <v>2865</v>
      </c>
      <c r="C2627" t="s">
        <v>1457</v>
      </c>
      <c r="D2627" t="s">
        <v>2877</v>
      </c>
      <c r="E2627">
        <v>16321</v>
      </c>
      <c r="F2627" s="11">
        <v>1</v>
      </c>
    </row>
    <row r="2628" spans="1:6" x14ac:dyDescent="0.35">
      <c r="A2628" t="s">
        <v>2856</v>
      </c>
      <c r="B2628" t="s">
        <v>2865</v>
      </c>
      <c r="C2628" t="s">
        <v>1457</v>
      </c>
      <c r="D2628" t="s">
        <v>2878</v>
      </c>
      <c r="E2628">
        <v>1865</v>
      </c>
      <c r="F2628" s="11">
        <v>1</v>
      </c>
    </row>
    <row r="2629" spans="1:6" x14ac:dyDescent="0.35">
      <c r="A2629" t="s">
        <v>2856</v>
      </c>
      <c r="B2629" t="s">
        <v>2865</v>
      </c>
      <c r="C2629" t="s">
        <v>1457</v>
      </c>
      <c r="D2629" t="s">
        <v>2879</v>
      </c>
      <c r="E2629">
        <v>4395</v>
      </c>
      <c r="F2629" s="11">
        <v>1</v>
      </c>
    </row>
    <row r="2630" spans="1:6" x14ac:dyDescent="0.35">
      <c r="A2630" t="s">
        <v>2856</v>
      </c>
      <c r="B2630" t="s">
        <v>2865</v>
      </c>
      <c r="C2630" t="s">
        <v>1457</v>
      </c>
      <c r="D2630" t="s">
        <v>2880</v>
      </c>
      <c r="E2630">
        <v>0</v>
      </c>
      <c r="F2630" s="11">
        <v>1</v>
      </c>
    </row>
    <row r="2631" spans="1:6" x14ac:dyDescent="0.35">
      <c r="A2631" t="s">
        <v>2856</v>
      </c>
      <c r="B2631" t="s">
        <v>2865</v>
      </c>
      <c r="C2631" t="s">
        <v>1457</v>
      </c>
      <c r="D2631" t="s">
        <v>2881</v>
      </c>
      <c r="E2631">
        <v>0</v>
      </c>
      <c r="F2631" s="11">
        <v>0</v>
      </c>
    </row>
    <row r="2632" spans="1:6" x14ac:dyDescent="0.35">
      <c r="A2632" t="s">
        <v>2856</v>
      </c>
      <c r="B2632" t="s">
        <v>2865</v>
      </c>
      <c r="C2632" t="s">
        <v>1457</v>
      </c>
      <c r="D2632" t="s">
        <v>2882</v>
      </c>
      <c r="E2632">
        <v>0</v>
      </c>
      <c r="F2632" s="11">
        <v>1</v>
      </c>
    </row>
    <row r="2633" spans="1:6" x14ac:dyDescent="0.35">
      <c r="A2633" t="s">
        <v>2856</v>
      </c>
      <c r="B2633" t="s">
        <v>2865</v>
      </c>
      <c r="C2633" t="s">
        <v>1457</v>
      </c>
      <c r="D2633" t="s">
        <v>2883</v>
      </c>
      <c r="E2633">
        <v>0</v>
      </c>
      <c r="F2633" s="11">
        <v>0</v>
      </c>
    </row>
    <row r="2634" spans="1:6" x14ac:dyDescent="0.35">
      <c r="A2634" t="s">
        <v>2856</v>
      </c>
      <c r="B2634" t="s">
        <v>2865</v>
      </c>
      <c r="C2634" t="s">
        <v>1457</v>
      </c>
      <c r="D2634" t="s">
        <v>2884</v>
      </c>
      <c r="E2634">
        <v>0</v>
      </c>
      <c r="F2634" s="11">
        <v>0</v>
      </c>
    </row>
    <row r="2635" spans="1:6" x14ac:dyDescent="0.35">
      <c r="A2635" t="s">
        <v>2856</v>
      </c>
      <c r="B2635" t="s">
        <v>2865</v>
      </c>
      <c r="C2635" t="s">
        <v>1457</v>
      </c>
      <c r="D2635" t="s">
        <v>2885</v>
      </c>
      <c r="E2635">
        <v>0</v>
      </c>
      <c r="F2635" s="11">
        <v>0</v>
      </c>
    </row>
    <row r="2636" spans="1:6" x14ac:dyDescent="0.35">
      <c r="A2636" t="s">
        <v>2856</v>
      </c>
      <c r="B2636" t="s">
        <v>2865</v>
      </c>
      <c r="C2636" t="s">
        <v>1457</v>
      </c>
      <c r="D2636" t="s">
        <v>2886</v>
      </c>
      <c r="E2636">
        <v>0</v>
      </c>
      <c r="F2636" s="11">
        <v>0</v>
      </c>
    </row>
    <row r="2637" spans="1:6" x14ac:dyDescent="0.35">
      <c r="A2637" t="s">
        <v>2856</v>
      </c>
      <c r="B2637" t="s">
        <v>2865</v>
      </c>
      <c r="C2637" t="s">
        <v>1457</v>
      </c>
      <c r="D2637" t="s">
        <v>2887</v>
      </c>
      <c r="E2637">
        <v>57129</v>
      </c>
      <c r="F2637" s="11">
        <v>1</v>
      </c>
    </row>
    <row r="2638" spans="1:6" x14ac:dyDescent="0.35">
      <c r="A2638" t="s">
        <v>2856</v>
      </c>
      <c r="B2638" t="s">
        <v>2865</v>
      </c>
      <c r="C2638" t="s">
        <v>1457</v>
      </c>
      <c r="D2638" t="s">
        <v>2888</v>
      </c>
      <c r="E2638">
        <v>25120</v>
      </c>
      <c r="F2638" s="11">
        <v>1</v>
      </c>
    </row>
    <row r="2639" spans="1:6" x14ac:dyDescent="0.35">
      <c r="A2639" t="s">
        <v>2856</v>
      </c>
      <c r="B2639" t="s">
        <v>2865</v>
      </c>
      <c r="C2639" t="s">
        <v>1457</v>
      </c>
      <c r="D2639" t="s">
        <v>2889</v>
      </c>
      <c r="E2639">
        <v>32132</v>
      </c>
      <c r="F2639" s="11">
        <v>0</v>
      </c>
    </row>
    <row r="2640" spans="1:6" x14ac:dyDescent="0.35">
      <c r="A2640" t="s">
        <v>2856</v>
      </c>
      <c r="B2640" t="s">
        <v>2865</v>
      </c>
      <c r="C2640" t="s">
        <v>1457</v>
      </c>
      <c r="D2640" t="s">
        <v>2890</v>
      </c>
      <c r="E2640">
        <v>0</v>
      </c>
      <c r="F2640" s="11">
        <v>1</v>
      </c>
    </row>
    <row r="2641" spans="1:6" x14ac:dyDescent="0.35">
      <c r="A2641" t="s">
        <v>2856</v>
      </c>
      <c r="B2641" t="s">
        <v>2865</v>
      </c>
      <c r="C2641" t="s">
        <v>1457</v>
      </c>
      <c r="D2641" t="s">
        <v>2891</v>
      </c>
      <c r="E2641">
        <v>0</v>
      </c>
      <c r="F2641" s="11">
        <v>0</v>
      </c>
    </row>
    <row r="2642" spans="1:6" x14ac:dyDescent="0.35">
      <c r="A2642" t="s">
        <v>2856</v>
      </c>
      <c r="B2642" t="s">
        <v>2865</v>
      </c>
      <c r="C2642" t="s">
        <v>1457</v>
      </c>
      <c r="D2642" t="s">
        <v>2892</v>
      </c>
      <c r="E2642">
        <v>0</v>
      </c>
      <c r="F2642" s="11">
        <v>0</v>
      </c>
    </row>
    <row r="2643" spans="1:6" x14ac:dyDescent="0.35">
      <c r="A2643" t="s">
        <v>2856</v>
      </c>
      <c r="B2643" t="s">
        <v>2865</v>
      </c>
      <c r="C2643" t="s">
        <v>1457</v>
      </c>
      <c r="D2643" t="s">
        <v>2893</v>
      </c>
      <c r="E2643">
        <v>0</v>
      </c>
      <c r="F2643" s="11">
        <v>0</v>
      </c>
    </row>
    <row r="2644" spans="1:6" x14ac:dyDescent="0.35">
      <c r="A2644" t="s">
        <v>2856</v>
      </c>
      <c r="B2644" t="s">
        <v>2865</v>
      </c>
      <c r="C2644" t="s">
        <v>1457</v>
      </c>
      <c r="D2644" t="s">
        <v>2894</v>
      </c>
      <c r="E2644">
        <v>0</v>
      </c>
      <c r="F2644" s="11">
        <v>0</v>
      </c>
    </row>
    <row r="2645" spans="1:6" x14ac:dyDescent="0.35">
      <c r="A2645" t="s">
        <v>2856</v>
      </c>
      <c r="B2645" t="s">
        <v>2865</v>
      </c>
      <c r="C2645" t="s">
        <v>1457</v>
      </c>
      <c r="D2645" t="s">
        <v>2895</v>
      </c>
      <c r="E2645">
        <v>411018</v>
      </c>
      <c r="F2645" s="11">
        <v>1</v>
      </c>
    </row>
    <row r="2646" spans="1:6" x14ac:dyDescent="0.35">
      <c r="A2646" t="s">
        <v>2856</v>
      </c>
      <c r="B2646" t="s">
        <v>2865</v>
      </c>
      <c r="C2646" t="s">
        <v>1457</v>
      </c>
      <c r="D2646" t="s">
        <v>2896</v>
      </c>
      <c r="E2646">
        <v>252405</v>
      </c>
      <c r="F2646" s="11">
        <v>1</v>
      </c>
    </row>
    <row r="2647" spans="1:6" x14ac:dyDescent="0.35">
      <c r="A2647" t="s">
        <v>2856</v>
      </c>
      <c r="B2647" t="s">
        <v>2865</v>
      </c>
      <c r="C2647" t="s">
        <v>1457</v>
      </c>
      <c r="D2647" t="s">
        <v>2897</v>
      </c>
      <c r="E2647">
        <v>170606</v>
      </c>
      <c r="F2647" s="11">
        <v>1</v>
      </c>
    </row>
    <row r="2648" spans="1:6" x14ac:dyDescent="0.35">
      <c r="A2648" t="s">
        <v>2856</v>
      </c>
      <c r="B2648" t="s">
        <v>2865</v>
      </c>
      <c r="C2648" t="s">
        <v>1457</v>
      </c>
      <c r="D2648" t="s">
        <v>2898</v>
      </c>
      <c r="E2648">
        <v>8368</v>
      </c>
      <c r="F2648" s="11">
        <v>1</v>
      </c>
    </row>
    <row r="2649" spans="1:6" x14ac:dyDescent="0.35">
      <c r="A2649" t="s">
        <v>2856</v>
      </c>
      <c r="B2649" t="s">
        <v>2865</v>
      </c>
      <c r="C2649" t="s">
        <v>1457</v>
      </c>
      <c r="D2649" t="s">
        <v>2899</v>
      </c>
      <c r="E2649">
        <v>6320</v>
      </c>
      <c r="F2649" s="11">
        <v>1</v>
      </c>
    </row>
    <row r="2650" spans="1:6" x14ac:dyDescent="0.35">
      <c r="A2650" t="s">
        <v>2856</v>
      </c>
      <c r="B2650" t="s">
        <v>2865</v>
      </c>
      <c r="C2650" t="s">
        <v>1457</v>
      </c>
      <c r="D2650" t="s">
        <v>2900</v>
      </c>
      <c r="E2650">
        <v>6184</v>
      </c>
      <c r="F2650" s="11">
        <v>1</v>
      </c>
    </row>
    <row r="2651" spans="1:6" x14ac:dyDescent="0.35">
      <c r="A2651" t="s">
        <v>2856</v>
      </c>
      <c r="B2651" t="s">
        <v>2865</v>
      </c>
      <c r="C2651" t="s">
        <v>1457</v>
      </c>
      <c r="D2651" t="s">
        <v>2901</v>
      </c>
      <c r="E2651">
        <v>124</v>
      </c>
      <c r="F2651" s="11">
        <v>0</v>
      </c>
    </row>
    <row r="2652" spans="1:6" x14ac:dyDescent="0.35">
      <c r="A2652" t="s">
        <v>2856</v>
      </c>
      <c r="B2652" t="s">
        <v>2865</v>
      </c>
      <c r="C2652" t="s">
        <v>1457</v>
      </c>
      <c r="D2652" t="s">
        <v>2902</v>
      </c>
      <c r="E2652">
        <v>0</v>
      </c>
      <c r="F2652" s="11">
        <v>0</v>
      </c>
    </row>
    <row r="2653" spans="1:6" x14ac:dyDescent="0.35">
      <c r="A2653" t="s">
        <v>2856</v>
      </c>
      <c r="B2653" t="s">
        <v>2865</v>
      </c>
      <c r="C2653" t="s">
        <v>1457</v>
      </c>
      <c r="D2653" t="s">
        <v>2903</v>
      </c>
      <c r="E2653">
        <v>20998</v>
      </c>
      <c r="F2653" s="11">
        <v>1</v>
      </c>
    </row>
    <row r="2654" spans="1:6" x14ac:dyDescent="0.35">
      <c r="A2654" t="s">
        <v>2856</v>
      </c>
      <c r="B2654" t="s">
        <v>2865</v>
      </c>
      <c r="C2654" t="s">
        <v>1457</v>
      </c>
      <c r="D2654" t="s">
        <v>2904</v>
      </c>
      <c r="E2654">
        <v>17194</v>
      </c>
      <c r="F2654" s="11">
        <v>1</v>
      </c>
    </row>
    <row r="2655" spans="1:6" x14ac:dyDescent="0.35">
      <c r="A2655" t="s">
        <v>2856</v>
      </c>
      <c r="B2655" t="s">
        <v>2865</v>
      </c>
      <c r="C2655" t="s">
        <v>1457</v>
      </c>
      <c r="D2655" t="s">
        <v>2905</v>
      </c>
      <c r="E2655">
        <v>1495</v>
      </c>
      <c r="F2655" s="11">
        <v>1</v>
      </c>
    </row>
    <row r="2656" spans="1:6" x14ac:dyDescent="0.35">
      <c r="A2656" t="s">
        <v>2856</v>
      </c>
      <c r="B2656" t="s">
        <v>2865</v>
      </c>
      <c r="C2656" t="s">
        <v>1457</v>
      </c>
      <c r="D2656" t="s">
        <v>2906</v>
      </c>
      <c r="E2656">
        <v>940</v>
      </c>
      <c r="F2656" s="11">
        <v>1</v>
      </c>
    </row>
    <row r="2657" spans="1:6" x14ac:dyDescent="0.35">
      <c r="A2657" t="s">
        <v>2856</v>
      </c>
      <c r="B2657" t="s">
        <v>2865</v>
      </c>
      <c r="C2657" t="s">
        <v>1457</v>
      </c>
      <c r="D2657" t="s">
        <v>2907</v>
      </c>
      <c r="E2657">
        <v>40610</v>
      </c>
      <c r="F2657" s="11">
        <v>1</v>
      </c>
    </row>
    <row r="2658" spans="1:6" x14ac:dyDescent="0.35">
      <c r="A2658" t="s">
        <v>2856</v>
      </c>
      <c r="B2658" t="s">
        <v>2865</v>
      </c>
      <c r="C2658" t="s">
        <v>1457</v>
      </c>
      <c r="D2658" t="s">
        <v>2908</v>
      </c>
      <c r="E2658">
        <v>32551</v>
      </c>
      <c r="F2658" s="11">
        <v>1</v>
      </c>
    </row>
    <row r="2659" spans="1:6" x14ac:dyDescent="0.35">
      <c r="A2659" t="s">
        <v>2856</v>
      </c>
      <c r="B2659" t="s">
        <v>2865</v>
      </c>
      <c r="C2659" t="s">
        <v>1457</v>
      </c>
      <c r="D2659" t="s">
        <v>2909</v>
      </c>
      <c r="E2659">
        <v>6294</v>
      </c>
      <c r="F2659" s="11">
        <v>1</v>
      </c>
    </row>
    <row r="2660" spans="1:6" x14ac:dyDescent="0.35">
      <c r="A2660" t="s">
        <v>2856</v>
      </c>
      <c r="B2660" t="s">
        <v>2865</v>
      </c>
      <c r="C2660" t="s">
        <v>1457</v>
      </c>
      <c r="D2660" t="s">
        <v>2910</v>
      </c>
      <c r="E2660">
        <v>1768</v>
      </c>
      <c r="F2660" s="11">
        <v>1</v>
      </c>
    </row>
    <row r="2661" spans="1:6" x14ac:dyDescent="0.35">
      <c r="A2661" t="s">
        <v>2856</v>
      </c>
      <c r="B2661" t="s">
        <v>2865</v>
      </c>
      <c r="C2661" t="s">
        <v>1457</v>
      </c>
      <c r="D2661" t="s">
        <v>2911</v>
      </c>
      <c r="E2661">
        <v>93677</v>
      </c>
      <c r="F2661" s="11">
        <v>1</v>
      </c>
    </row>
    <row r="2662" spans="1:6" x14ac:dyDescent="0.35">
      <c r="A2662" t="s">
        <v>2856</v>
      </c>
      <c r="B2662" t="s">
        <v>2865</v>
      </c>
      <c r="C2662" t="s">
        <v>1457</v>
      </c>
      <c r="D2662" t="s">
        <v>2912</v>
      </c>
      <c r="E2662">
        <v>941653</v>
      </c>
      <c r="F2662" s="11">
        <v>1</v>
      </c>
    </row>
    <row r="2663" spans="1:6" x14ac:dyDescent="0.35">
      <c r="A2663" t="s">
        <v>2856</v>
      </c>
      <c r="B2663" t="s">
        <v>2865</v>
      </c>
      <c r="C2663" t="s">
        <v>1457</v>
      </c>
      <c r="D2663" t="s">
        <v>2913</v>
      </c>
      <c r="E2663">
        <v>0</v>
      </c>
      <c r="F2663" s="11">
        <v>0</v>
      </c>
    </row>
    <row r="2664" spans="1:6" x14ac:dyDescent="0.35">
      <c r="A2664" t="s">
        <v>2856</v>
      </c>
      <c r="B2664" t="s">
        <v>2865</v>
      </c>
      <c r="C2664" t="s">
        <v>1457</v>
      </c>
      <c r="D2664" t="s">
        <v>2914</v>
      </c>
      <c r="E2664">
        <v>11441</v>
      </c>
      <c r="F2664" s="11">
        <v>1</v>
      </c>
    </row>
    <row r="2665" spans="1:6" x14ac:dyDescent="0.35">
      <c r="A2665" t="s">
        <v>2856</v>
      </c>
      <c r="B2665" t="s">
        <v>2865</v>
      </c>
      <c r="C2665" t="s">
        <v>1457</v>
      </c>
      <c r="D2665" t="s">
        <v>2915</v>
      </c>
      <c r="E2665">
        <v>11228</v>
      </c>
      <c r="F2665" s="11">
        <v>1</v>
      </c>
    </row>
    <row r="2666" spans="1:6" x14ac:dyDescent="0.35">
      <c r="A2666" t="s">
        <v>2856</v>
      </c>
      <c r="B2666" t="s">
        <v>2865</v>
      </c>
      <c r="C2666" t="s">
        <v>1457</v>
      </c>
      <c r="D2666" t="s">
        <v>2916</v>
      </c>
      <c r="E2666">
        <v>52948</v>
      </c>
      <c r="F2666" s="11">
        <v>1</v>
      </c>
    </row>
    <row r="2667" spans="1:6" x14ac:dyDescent="0.35">
      <c r="A2667" t="s">
        <v>2856</v>
      </c>
      <c r="B2667" t="s">
        <v>2865</v>
      </c>
      <c r="C2667" t="s">
        <v>1457</v>
      </c>
      <c r="D2667" t="s">
        <v>2917</v>
      </c>
      <c r="E2667">
        <v>60253</v>
      </c>
      <c r="F2667" s="11">
        <v>1</v>
      </c>
    </row>
    <row r="2668" spans="1:6" x14ac:dyDescent="0.35">
      <c r="A2668" t="s">
        <v>2856</v>
      </c>
      <c r="B2668" t="s">
        <v>2865</v>
      </c>
      <c r="C2668" t="s">
        <v>1446</v>
      </c>
      <c r="D2668" t="s">
        <v>2875</v>
      </c>
      <c r="E2668">
        <v>55895</v>
      </c>
      <c r="F2668" s="11">
        <v>1</v>
      </c>
    </row>
    <row r="2669" spans="1:6" x14ac:dyDescent="0.35">
      <c r="A2669" t="s">
        <v>2856</v>
      </c>
      <c r="B2669" t="s">
        <v>2865</v>
      </c>
      <c r="C2669" t="s">
        <v>1446</v>
      </c>
      <c r="D2669" t="s">
        <v>2876</v>
      </c>
      <c r="E2669">
        <v>0</v>
      </c>
      <c r="F2669" s="11">
        <v>0</v>
      </c>
    </row>
    <row r="2670" spans="1:6" x14ac:dyDescent="0.35">
      <c r="A2670" t="s">
        <v>2856</v>
      </c>
      <c r="B2670" t="s">
        <v>2865</v>
      </c>
      <c r="C2670" t="s">
        <v>1446</v>
      </c>
      <c r="D2670" t="s">
        <v>2877</v>
      </c>
      <c r="E2670">
        <v>0</v>
      </c>
      <c r="F2670" s="11">
        <v>0</v>
      </c>
    </row>
    <row r="2671" spans="1:6" x14ac:dyDescent="0.35">
      <c r="A2671" t="s">
        <v>2856</v>
      </c>
      <c r="B2671" t="s">
        <v>2865</v>
      </c>
      <c r="C2671" t="s">
        <v>1446</v>
      </c>
      <c r="D2671" t="s">
        <v>2878</v>
      </c>
      <c r="E2671">
        <v>0</v>
      </c>
      <c r="F2671" s="11">
        <v>0</v>
      </c>
    </row>
    <row r="2672" spans="1:6" x14ac:dyDescent="0.35">
      <c r="A2672" t="s">
        <v>2856</v>
      </c>
      <c r="B2672" t="s">
        <v>2865</v>
      </c>
      <c r="C2672" t="s">
        <v>1446</v>
      </c>
      <c r="D2672" t="s">
        <v>2879</v>
      </c>
      <c r="E2672">
        <v>10722</v>
      </c>
      <c r="F2672" s="11">
        <v>1</v>
      </c>
    </row>
    <row r="2673" spans="1:6" x14ac:dyDescent="0.35">
      <c r="A2673" t="s">
        <v>2856</v>
      </c>
      <c r="B2673" t="s">
        <v>2865</v>
      </c>
      <c r="C2673" t="s">
        <v>1446</v>
      </c>
      <c r="D2673" t="s">
        <v>2880</v>
      </c>
      <c r="E2673">
        <v>0</v>
      </c>
      <c r="F2673" s="11">
        <v>0</v>
      </c>
    </row>
    <row r="2674" spans="1:6" x14ac:dyDescent="0.35">
      <c r="A2674" t="s">
        <v>2856</v>
      </c>
      <c r="B2674" t="s">
        <v>2865</v>
      </c>
      <c r="C2674" t="s">
        <v>1446</v>
      </c>
      <c r="D2674" t="s">
        <v>2881</v>
      </c>
      <c r="E2674">
        <v>0</v>
      </c>
      <c r="F2674" s="11">
        <v>0</v>
      </c>
    </row>
    <row r="2675" spans="1:6" x14ac:dyDescent="0.35">
      <c r="A2675" t="s">
        <v>2856</v>
      </c>
      <c r="B2675" t="s">
        <v>2865</v>
      </c>
      <c r="C2675" t="s">
        <v>1446</v>
      </c>
      <c r="D2675" t="s">
        <v>2882</v>
      </c>
      <c r="E2675">
        <v>0</v>
      </c>
      <c r="F2675" s="11">
        <v>0</v>
      </c>
    </row>
    <row r="2676" spans="1:6" x14ac:dyDescent="0.35">
      <c r="A2676" t="s">
        <v>2856</v>
      </c>
      <c r="B2676" t="s">
        <v>2865</v>
      </c>
      <c r="C2676" t="s">
        <v>1446</v>
      </c>
      <c r="D2676" t="s">
        <v>2883</v>
      </c>
      <c r="E2676">
        <v>0</v>
      </c>
      <c r="F2676" s="11">
        <v>0</v>
      </c>
    </row>
    <row r="2677" spans="1:6" x14ac:dyDescent="0.35">
      <c r="A2677" t="s">
        <v>2856</v>
      </c>
      <c r="B2677" t="s">
        <v>2865</v>
      </c>
      <c r="C2677" t="s">
        <v>1446</v>
      </c>
      <c r="D2677" t="s">
        <v>2884</v>
      </c>
      <c r="E2677">
        <v>0</v>
      </c>
      <c r="F2677" s="11">
        <v>0</v>
      </c>
    </row>
    <row r="2678" spans="1:6" x14ac:dyDescent="0.35">
      <c r="A2678" t="s">
        <v>2856</v>
      </c>
      <c r="B2678" t="s">
        <v>2865</v>
      </c>
      <c r="C2678" t="s">
        <v>1446</v>
      </c>
      <c r="D2678" t="s">
        <v>2885</v>
      </c>
      <c r="E2678">
        <v>0</v>
      </c>
      <c r="F2678" s="11">
        <v>0</v>
      </c>
    </row>
    <row r="2679" spans="1:6" x14ac:dyDescent="0.35">
      <c r="A2679" t="s">
        <v>2856</v>
      </c>
      <c r="B2679" t="s">
        <v>2865</v>
      </c>
      <c r="C2679" t="s">
        <v>1446</v>
      </c>
      <c r="D2679" t="s">
        <v>2886</v>
      </c>
      <c r="E2679">
        <v>0</v>
      </c>
      <c r="F2679" s="11">
        <v>0</v>
      </c>
    </row>
    <row r="2680" spans="1:6" x14ac:dyDescent="0.35">
      <c r="A2680" t="s">
        <v>2856</v>
      </c>
      <c r="B2680" t="s">
        <v>2865</v>
      </c>
      <c r="C2680" t="s">
        <v>1446</v>
      </c>
      <c r="D2680" t="s">
        <v>2887</v>
      </c>
      <c r="E2680">
        <v>149583</v>
      </c>
      <c r="F2680" s="11">
        <v>1</v>
      </c>
    </row>
    <row r="2681" spans="1:6" x14ac:dyDescent="0.35">
      <c r="A2681" t="s">
        <v>2856</v>
      </c>
      <c r="B2681" t="s">
        <v>2865</v>
      </c>
      <c r="C2681" t="s">
        <v>1446</v>
      </c>
      <c r="D2681" t="s">
        <v>2888</v>
      </c>
      <c r="E2681">
        <v>0</v>
      </c>
      <c r="F2681" s="11">
        <v>0</v>
      </c>
    </row>
    <row r="2682" spans="1:6" x14ac:dyDescent="0.35">
      <c r="A2682" t="s">
        <v>2856</v>
      </c>
      <c r="B2682" t="s">
        <v>2865</v>
      </c>
      <c r="C2682" t="s">
        <v>1446</v>
      </c>
      <c r="D2682" t="s">
        <v>2889</v>
      </c>
      <c r="E2682">
        <v>0</v>
      </c>
      <c r="F2682" s="11">
        <v>0</v>
      </c>
    </row>
    <row r="2683" spans="1:6" x14ac:dyDescent="0.35">
      <c r="A2683" t="s">
        <v>2856</v>
      </c>
      <c r="B2683" t="s">
        <v>2865</v>
      </c>
      <c r="C2683" t="s">
        <v>1446</v>
      </c>
      <c r="D2683" t="s">
        <v>2890</v>
      </c>
      <c r="E2683">
        <v>0</v>
      </c>
      <c r="F2683" s="11">
        <v>0</v>
      </c>
    </row>
    <row r="2684" spans="1:6" x14ac:dyDescent="0.35">
      <c r="A2684" t="s">
        <v>2856</v>
      </c>
      <c r="B2684" t="s">
        <v>2865</v>
      </c>
      <c r="C2684" t="s">
        <v>1446</v>
      </c>
      <c r="D2684" t="s">
        <v>2891</v>
      </c>
      <c r="E2684">
        <v>0</v>
      </c>
      <c r="F2684" s="11">
        <v>0</v>
      </c>
    </row>
    <row r="2685" spans="1:6" x14ac:dyDescent="0.35">
      <c r="A2685" t="s">
        <v>2856</v>
      </c>
      <c r="B2685" t="s">
        <v>2865</v>
      </c>
      <c r="C2685" t="s">
        <v>1446</v>
      </c>
      <c r="D2685" t="s">
        <v>2892</v>
      </c>
      <c r="E2685">
        <v>0</v>
      </c>
      <c r="F2685" s="11">
        <v>0</v>
      </c>
    </row>
    <row r="2686" spans="1:6" x14ac:dyDescent="0.35">
      <c r="A2686" t="s">
        <v>2856</v>
      </c>
      <c r="B2686" t="s">
        <v>2865</v>
      </c>
      <c r="C2686" t="s">
        <v>1446</v>
      </c>
      <c r="D2686" t="s">
        <v>2893</v>
      </c>
      <c r="E2686">
        <v>0</v>
      </c>
      <c r="F2686" s="11">
        <v>0</v>
      </c>
    </row>
    <row r="2687" spans="1:6" x14ac:dyDescent="0.35">
      <c r="A2687" t="s">
        <v>2856</v>
      </c>
      <c r="B2687" t="s">
        <v>2865</v>
      </c>
      <c r="C2687" t="s">
        <v>1446</v>
      </c>
      <c r="D2687" t="s">
        <v>2894</v>
      </c>
      <c r="E2687">
        <v>0</v>
      </c>
      <c r="F2687" s="11">
        <v>0</v>
      </c>
    </row>
    <row r="2688" spans="1:6" x14ac:dyDescent="0.35">
      <c r="A2688" t="s">
        <v>2856</v>
      </c>
      <c r="B2688" t="s">
        <v>2865</v>
      </c>
      <c r="C2688" t="s">
        <v>1446</v>
      </c>
      <c r="D2688" t="s">
        <v>2895</v>
      </c>
      <c r="E2688">
        <v>1572148</v>
      </c>
      <c r="F2688" s="11">
        <v>1</v>
      </c>
    </row>
    <row r="2689" spans="1:6" x14ac:dyDescent="0.35">
      <c r="A2689" t="s">
        <v>2856</v>
      </c>
      <c r="B2689" t="s">
        <v>2865</v>
      </c>
      <c r="C2689" t="s">
        <v>1446</v>
      </c>
      <c r="D2689" t="s">
        <v>2896</v>
      </c>
      <c r="E2689">
        <v>0</v>
      </c>
      <c r="F2689" s="11">
        <v>1</v>
      </c>
    </row>
    <row r="2690" spans="1:6" x14ac:dyDescent="0.35">
      <c r="A2690" t="s">
        <v>2856</v>
      </c>
      <c r="B2690" t="s">
        <v>2865</v>
      </c>
      <c r="C2690" t="s">
        <v>1446</v>
      </c>
      <c r="D2690" t="s">
        <v>2897</v>
      </c>
      <c r="E2690">
        <v>0</v>
      </c>
      <c r="F2690" s="11">
        <v>1</v>
      </c>
    </row>
    <row r="2691" spans="1:6" x14ac:dyDescent="0.35">
      <c r="A2691" t="s">
        <v>2856</v>
      </c>
      <c r="B2691" t="s">
        <v>2865</v>
      </c>
      <c r="C2691" t="s">
        <v>1446</v>
      </c>
      <c r="D2691" t="s">
        <v>2898</v>
      </c>
      <c r="E2691">
        <v>0</v>
      </c>
      <c r="F2691" s="11">
        <v>1</v>
      </c>
    </row>
    <row r="2692" spans="1:6" x14ac:dyDescent="0.35">
      <c r="A2692" t="s">
        <v>2856</v>
      </c>
      <c r="B2692" t="s">
        <v>2865</v>
      </c>
      <c r="C2692" t="s">
        <v>1446</v>
      </c>
      <c r="D2692" t="s">
        <v>2899</v>
      </c>
      <c r="E2692">
        <v>30712</v>
      </c>
      <c r="F2692" s="11">
        <v>1</v>
      </c>
    </row>
    <row r="2693" spans="1:6" x14ac:dyDescent="0.35">
      <c r="A2693" t="s">
        <v>2856</v>
      </c>
      <c r="B2693" t="s">
        <v>2865</v>
      </c>
      <c r="C2693" t="s">
        <v>1446</v>
      </c>
      <c r="D2693" t="s">
        <v>2900</v>
      </c>
      <c r="E2693">
        <v>0</v>
      </c>
      <c r="F2693" s="11">
        <v>0</v>
      </c>
    </row>
    <row r="2694" spans="1:6" x14ac:dyDescent="0.35">
      <c r="A2694" t="s">
        <v>2856</v>
      </c>
      <c r="B2694" t="s">
        <v>2865</v>
      </c>
      <c r="C2694" t="s">
        <v>1446</v>
      </c>
      <c r="D2694" t="s">
        <v>2901</v>
      </c>
      <c r="E2694">
        <v>0</v>
      </c>
      <c r="F2694" s="11">
        <v>0</v>
      </c>
    </row>
    <row r="2695" spans="1:6" x14ac:dyDescent="0.35">
      <c r="A2695" t="s">
        <v>2856</v>
      </c>
      <c r="B2695" t="s">
        <v>2865</v>
      </c>
      <c r="C2695" t="s">
        <v>1446</v>
      </c>
      <c r="D2695" t="s">
        <v>2902</v>
      </c>
      <c r="E2695">
        <v>0</v>
      </c>
      <c r="F2695" s="11">
        <v>1</v>
      </c>
    </row>
    <row r="2696" spans="1:6" x14ac:dyDescent="0.35">
      <c r="A2696" t="s">
        <v>2856</v>
      </c>
      <c r="B2696" t="s">
        <v>2865</v>
      </c>
      <c r="C2696" t="s">
        <v>1446</v>
      </c>
      <c r="D2696" t="s">
        <v>2903</v>
      </c>
      <c r="E2696">
        <v>214300</v>
      </c>
      <c r="F2696" s="11">
        <v>1</v>
      </c>
    </row>
    <row r="2697" spans="1:6" x14ac:dyDescent="0.35">
      <c r="A2697" t="s">
        <v>2856</v>
      </c>
      <c r="B2697" t="s">
        <v>2865</v>
      </c>
      <c r="C2697" t="s">
        <v>1446</v>
      </c>
      <c r="D2697" t="s">
        <v>2904</v>
      </c>
      <c r="E2697">
        <v>0</v>
      </c>
      <c r="F2697" s="11">
        <v>0</v>
      </c>
    </row>
    <row r="2698" spans="1:6" x14ac:dyDescent="0.35">
      <c r="A2698" t="s">
        <v>2856</v>
      </c>
      <c r="B2698" t="s">
        <v>2865</v>
      </c>
      <c r="C2698" t="s">
        <v>1446</v>
      </c>
      <c r="D2698" t="s">
        <v>2905</v>
      </c>
      <c r="E2698">
        <v>0</v>
      </c>
      <c r="F2698" s="11">
        <v>0</v>
      </c>
    </row>
    <row r="2699" spans="1:6" x14ac:dyDescent="0.35">
      <c r="A2699" t="s">
        <v>2856</v>
      </c>
      <c r="B2699" t="s">
        <v>2865</v>
      </c>
      <c r="C2699" t="s">
        <v>1446</v>
      </c>
      <c r="D2699" t="s">
        <v>2906</v>
      </c>
      <c r="E2699">
        <v>0</v>
      </c>
      <c r="F2699" s="11">
        <v>0</v>
      </c>
    </row>
    <row r="2700" spans="1:6" x14ac:dyDescent="0.35">
      <c r="A2700" t="s">
        <v>2856</v>
      </c>
      <c r="B2700" t="s">
        <v>2865</v>
      </c>
      <c r="C2700" t="s">
        <v>1446</v>
      </c>
      <c r="D2700" t="s">
        <v>2907</v>
      </c>
      <c r="E2700">
        <v>199930</v>
      </c>
      <c r="F2700" s="11">
        <v>1</v>
      </c>
    </row>
    <row r="2701" spans="1:6" x14ac:dyDescent="0.35">
      <c r="A2701" t="s">
        <v>2856</v>
      </c>
      <c r="B2701" t="s">
        <v>2865</v>
      </c>
      <c r="C2701" t="s">
        <v>1446</v>
      </c>
      <c r="D2701" t="s">
        <v>2908</v>
      </c>
      <c r="E2701">
        <v>0</v>
      </c>
      <c r="F2701" s="11">
        <v>0</v>
      </c>
    </row>
    <row r="2702" spans="1:6" x14ac:dyDescent="0.35">
      <c r="A2702" t="s">
        <v>2856</v>
      </c>
      <c r="B2702" t="s">
        <v>2865</v>
      </c>
      <c r="C2702" t="s">
        <v>1446</v>
      </c>
      <c r="D2702" t="s">
        <v>2909</v>
      </c>
      <c r="E2702">
        <v>0</v>
      </c>
      <c r="F2702" s="11">
        <v>0</v>
      </c>
    </row>
    <row r="2703" spans="1:6" x14ac:dyDescent="0.35">
      <c r="A2703" t="s">
        <v>2856</v>
      </c>
      <c r="B2703" t="s">
        <v>2865</v>
      </c>
      <c r="C2703" t="s">
        <v>1446</v>
      </c>
      <c r="D2703" t="s">
        <v>2910</v>
      </c>
      <c r="E2703">
        <v>0</v>
      </c>
      <c r="F2703" s="11">
        <v>0</v>
      </c>
    </row>
    <row r="2704" spans="1:6" x14ac:dyDescent="0.35">
      <c r="A2704" t="s">
        <v>2856</v>
      </c>
      <c r="B2704" t="s">
        <v>2865</v>
      </c>
      <c r="C2704" t="s">
        <v>1446</v>
      </c>
      <c r="D2704" t="s">
        <v>2911</v>
      </c>
      <c r="E2704">
        <v>1797332</v>
      </c>
      <c r="F2704" s="11">
        <v>1</v>
      </c>
    </row>
    <row r="2705" spans="1:6" x14ac:dyDescent="0.35">
      <c r="A2705" t="s">
        <v>2856</v>
      </c>
      <c r="B2705" t="s">
        <v>2865</v>
      </c>
      <c r="C2705" t="s">
        <v>1446</v>
      </c>
      <c r="D2705" t="s">
        <v>2912</v>
      </c>
      <c r="E2705">
        <v>0</v>
      </c>
      <c r="F2705" s="11">
        <v>1</v>
      </c>
    </row>
    <row r="2706" spans="1:6" x14ac:dyDescent="0.35">
      <c r="A2706" t="s">
        <v>2856</v>
      </c>
      <c r="B2706" t="s">
        <v>2865</v>
      </c>
      <c r="C2706" t="s">
        <v>1446</v>
      </c>
      <c r="D2706" t="s">
        <v>2913</v>
      </c>
      <c r="E2706">
        <v>0</v>
      </c>
      <c r="F2706" s="11">
        <v>0</v>
      </c>
    </row>
    <row r="2707" spans="1:6" x14ac:dyDescent="0.35">
      <c r="A2707" t="s">
        <v>2856</v>
      </c>
      <c r="B2707" t="s">
        <v>2865</v>
      </c>
      <c r="C2707" t="s">
        <v>1446</v>
      </c>
      <c r="D2707" t="s">
        <v>2914</v>
      </c>
      <c r="E2707">
        <v>5297</v>
      </c>
      <c r="F2707" s="11">
        <v>1</v>
      </c>
    </row>
    <row r="2708" spans="1:6" x14ac:dyDescent="0.35">
      <c r="A2708" t="s">
        <v>2856</v>
      </c>
      <c r="B2708" t="s">
        <v>2865</v>
      </c>
      <c r="C2708" t="s">
        <v>1446</v>
      </c>
      <c r="D2708" t="s">
        <v>2915</v>
      </c>
      <c r="E2708">
        <v>0</v>
      </c>
      <c r="F2708" s="11">
        <v>1</v>
      </c>
    </row>
    <row r="2709" spans="1:6" x14ac:dyDescent="0.35">
      <c r="A2709" t="s">
        <v>2856</v>
      </c>
      <c r="B2709" t="s">
        <v>2865</v>
      </c>
      <c r="C2709" t="s">
        <v>1446</v>
      </c>
      <c r="D2709" t="s">
        <v>2916</v>
      </c>
      <c r="E2709">
        <v>107772</v>
      </c>
      <c r="F2709" s="11">
        <v>1</v>
      </c>
    </row>
    <row r="2710" spans="1:6" x14ac:dyDescent="0.35">
      <c r="A2710" t="s">
        <v>2856</v>
      </c>
      <c r="B2710" t="s">
        <v>2865</v>
      </c>
      <c r="C2710" t="s">
        <v>1446</v>
      </c>
      <c r="D2710" t="s">
        <v>2917</v>
      </c>
      <c r="E2710">
        <v>1620794</v>
      </c>
      <c r="F2710" s="11">
        <v>1</v>
      </c>
    </row>
    <row r="2711" spans="1:6" x14ac:dyDescent="0.35">
      <c r="A2711" t="s">
        <v>2856</v>
      </c>
      <c r="B2711" t="s">
        <v>2865</v>
      </c>
      <c r="C2711" t="s">
        <v>1448</v>
      </c>
      <c r="D2711" t="s">
        <v>2875</v>
      </c>
      <c r="E2711">
        <v>20016</v>
      </c>
      <c r="F2711" s="11">
        <v>1</v>
      </c>
    </row>
    <row r="2712" spans="1:6" x14ac:dyDescent="0.35">
      <c r="A2712" t="s">
        <v>2856</v>
      </c>
      <c r="B2712" t="s">
        <v>2865</v>
      </c>
      <c r="C2712" t="s">
        <v>1448</v>
      </c>
      <c r="D2712" t="s">
        <v>2876</v>
      </c>
      <c r="E2712">
        <v>0</v>
      </c>
      <c r="F2712" s="11">
        <v>0</v>
      </c>
    </row>
    <row r="2713" spans="1:6" x14ac:dyDescent="0.35">
      <c r="A2713" t="s">
        <v>2856</v>
      </c>
      <c r="B2713" t="s">
        <v>2865</v>
      </c>
      <c r="C2713" t="s">
        <v>1448</v>
      </c>
      <c r="D2713" t="s">
        <v>2877</v>
      </c>
      <c r="E2713">
        <v>12957</v>
      </c>
      <c r="F2713" s="11">
        <v>0</v>
      </c>
    </row>
    <row r="2714" spans="1:6" x14ac:dyDescent="0.35">
      <c r="A2714" t="s">
        <v>2856</v>
      </c>
      <c r="B2714" t="s">
        <v>2865</v>
      </c>
      <c r="C2714" t="s">
        <v>1448</v>
      </c>
      <c r="D2714" t="s">
        <v>2878</v>
      </c>
      <c r="E2714">
        <v>0</v>
      </c>
      <c r="F2714" s="11">
        <v>0</v>
      </c>
    </row>
    <row r="2715" spans="1:6" x14ac:dyDescent="0.35">
      <c r="A2715" t="s">
        <v>2856</v>
      </c>
      <c r="B2715" t="s">
        <v>2865</v>
      </c>
      <c r="C2715" t="s">
        <v>1448</v>
      </c>
      <c r="D2715" t="s">
        <v>2879</v>
      </c>
      <c r="E2715">
        <v>3383</v>
      </c>
      <c r="F2715" s="11">
        <v>1</v>
      </c>
    </row>
    <row r="2716" spans="1:6" x14ac:dyDescent="0.35">
      <c r="A2716" t="s">
        <v>2856</v>
      </c>
      <c r="B2716" t="s">
        <v>2865</v>
      </c>
      <c r="C2716" t="s">
        <v>1448</v>
      </c>
      <c r="D2716" t="s">
        <v>2880</v>
      </c>
      <c r="E2716">
        <v>1885</v>
      </c>
      <c r="F2716" s="11">
        <v>1</v>
      </c>
    </row>
    <row r="2717" spans="1:6" x14ac:dyDescent="0.35">
      <c r="A2717" t="s">
        <v>2856</v>
      </c>
      <c r="B2717" t="s">
        <v>2865</v>
      </c>
      <c r="C2717" t="s">
        <v>1448</v>
      </c>
      <c r="D2717" t="s">
        <v>2881</v>
      </c>
      <c r="E2717">
        <v>1498</v>
      </c>
      <c r="F2717" s="11">
        <v>0</v>
      </c>
    </row>
    <row r="2718" spans="1:6" x14ac:dyDescent="0.35">
      <c r="A2718" t="s">
        <v>2856</v>
      </c>
      <c r="B2718" t="s">
        <v>2865</v>
      </c>
      <c r="C2718" t="s">
        <v>1448</v>
      </c>
      <c r="D2718" t="s">
        <v>2882</v>
      </c>
      <c r="E2718">
        <v>0</v>
      </c>
      <c r="F2718" s="11">
        <v>1</v>
      </c>
    </row>
    <row r="2719" spans="1:6" x14ac:dyDescent="0.35">
      <c r="A2719" t="s">
        <v>2856</v>
      </c>
      <c r="B2719" t="s">
        <v>2865</v>
      </c>
      <c r="C2719" t="s">
        <v>1448</v>
      </c>
      <c r="D2719" t="s">
        <v>2883</v>
      </c>
      <c r="E2719">
        <v>0</v>
      </c>
      <c r="F2719" s="11">
        <v>0</v>
      </c>
    </row>
    <row r="2720" spans="1:6" x14ac:dyDescent="0.35">
      <c r="A2720" t="s">
        <v>2856</v>
      </c>
      <c r="B2720" t="s">
        <v>2865</v>
      </c>
      <c r="C2720" t="s">
        <v>1448</v>
      </c>
      <c r="D2720" t="s">
        <v>2884</v>
      </c>
      <c r="E2720">
        <v>0</v>
      </c>
      <c r="F2720" s="11">
        <v>0</v>
      </c>
    </row>
    <row r="2721" spans="1:6" x14ac:dyDescent="0.35">
      <c r="A2721" t="s">
        <v>2856</v>
      </c>
      <c r="B2721" t="s">
        <v>2865</v>
      </c>
      <c r="C2721" t="s">
        <v>1448</v>
      </c>
      <c r="D2721" t="s">
        <v>2885</v>
      </c>
      <c r="E2721">
        <v>0</v>
      </c>
      <c r="F2721" s="11">
        <v>0</v>
      </c>
    </row>
    <row r="2722" spans="1:6" x14ac:dyDescent="0.35">
      <c r="A2722" t="s">
        <v>2856</v>
      </c>
      <c r="B2722" t="s">
        <v>2865</v>
      </c>
      <c r="C2722" t="s">
        <v>1448</v>
      </c>
      <c r="D2722" t="s">
        <v>2886</v>
      </c>
      <c r="E2722">
        <v>0</v>
      </c>
      <c r="F2722" s="11">
        <v>0</v>
      </c>
    </row>
    <row r="2723" spans="1:6" x14ac:dyDescent="0.35">
      <c r="A2723" t="s">
        <v>2856</v>
      </c>
      <c r="B2723" t="s">
        <v>2865</v>
      </c>
      <c r="C2723" t="s">
        <v>1448</v>
      </c>
      <c r="D2723" t="s">
        <v>2887</v>
      </c>
      <c r="E2723">
        <v>27478</v>
      </c>
      <c r="F2723" s="11">
        <v>1</v>
      </c>
    </row>
    <row r="2724" spans="1:6" x14ac:dyDescent="0.35">
      <c r="A2724" t="s">
        <v>2856</v>
      </c>
      <c r="B2724" t="s">
        <v>2865</v>
      </c>
      <c r="C2724" t="s">
        <v>1448</v>
      </c>
      <c r="D2724" t="s">
        <v>2888</v>
      </c>
      <c r="E2724">
        <v>12968</v>
      </c>
      <c r="F2724" s="11">
        <v>1</v>
      </c>
    </row>
    <row r="2725" spans="1:6" x14ac:dyDescent="0.35">
      <c r="A2725" t="s">
        <v>2856</v>
      </c>
      <c r="B2725" t="s">
        <v>2865</v>
      </c>
      <c r="C2725" t="s">
        <v>1448</v>
      </c>
      <c r="D2725" t="s">
        <v>2889</v>
      </c>
      <c r="E2725">
        <v>14510</v>
      </c>
      <c r="F2725" s="11">
        <v>0</v>
      </c>
    </row>
    <row r="2726" spans="1:6" x14ac:dyDescent="0.35">
      <c r="A2726" t="s">
        <v>2856</v>
      </c>
      <c r="B2726" t="s">
        <v>2865</v>
      </c>
      <c r="C2726" t="s">
        <v>1448</v>
      </c>
      <c r="D2726" t="s">
        <v>2890</v>
      </c>
      <c r="E2726">
        <v>0</v>
      </c>
      <c r="F2726" s="11">
        <v>1</v>
      </c>
    </row>
    <row r="2727" spans="1:6" x14ac:dyDescent="0.35">
      <c r="A2727" t="s">
        <v>2856</v>
      </c>
      <c r="B2727" t="s">
        <v>2865</v>
      </c>
      <c r="C2727" t="s">
        <v>1448</v>
      </c>
      <c r="D2727" t="s">
        <v>2891</v>
      </c>
      <c r="E2727">
        <v>0</v>
      </c>
      <c r="F2727" s="11">
        <v>0</v>
      </c>
    </row>
    <row r="2728" spans="1:6" x14ac:dyDescent="0.35">
      <c r="A2728" t="s">
        <v>2856</v>
      </c>
      <c r="B2728" t="s">
        <v>2865</v>
      </c>
      <c r="C2728" t="s">
        <v>1448</v>
      </c>
      <c r="D2728" t="s">
        <v>2892</v>
      </c>
      <c r="E2728">
        <v>0</v>
      </c>
      <c r="F2728" s="11">
        <v>0</v>
      </c>
    </row>
    <row r="2729" spans="1:6" x14ac:dyDescent="0.35">
      <c r="A2729" t="s">
        <v>2856</v>
      </c>
      <c r="B2729" t="s">
        <v>2865</v>
      </c>
      <c r="C2729" t="s">
        <v>1448</v>
      </c>
      <c r="D2729" t="s">
        <v>2893</v>
      </c>
      <c r="E2729">
        <v>0</v>
      </c>
      <c r="F2729" s="11">
        <v>0</v>
      </c>
    </row>
    <row r="2730" spans="1:6" x14ac:dyDescent="0.35">
      <c r="A2730" t="s">
        <v>2856</v>
      </c>
      <c r="B2730" t="s">
        <v>2865</v>
      </c>
      <c r="C2730" t="s">
        <v>1448</v>
      </c>
      <c r="D2730" t="s">
        <v>2894</v>
      </c>
      <c r="E2730">
        <v>0</v>
      </c>
      <c r="F2730" s="11">
        <v>0</v>
      </c>
    </row>
    <row r="2731" spans="1:6" x14ac:dyDescent="0.35">
      <c r="A2731" t="s">
        <v>2856</v>
      </c>
      <c r="B2731" t="s">
        <v>2865</v>
      </c>
      <c r="C2731" t="s">
        <v>1448</v>
      </c>
      <c r="D2731" t="s">
        <v>2895</v>
      </c>
      <c r="E2731">
        <v>474953</v>
      </c>
      <c r="F2731" s="11">
        <v>1</v>
      </c>
    </row>
    <row r="2732" spans="1:6" x14ac:dyDescent="0.35">
      <c r="A2732" t="s">
        <v>2856</v>
      </c>
      <c r="B2732" t="s">
        <v>2865</v>
      </c>
      <c r="C2732" t="s">
        <v>1448</v>
      </c>
      <c r="D2732" t="s">
        <v>2896</v>
      </c>
      <c r="E2732">
        <v>291812</v>
      </c>
      <c r="F2732" s="11">
        <v>1</v>
      </c>
    </row>
    <row r="2733" spans="1:6" x14ac:dyDescent="0.35">
      <c r="A2733" t="s">
        <v>2856</v>
      </c>
      <c r="B2733" t="s">
        <v>2865</v>
      </c>
      <c r="C2733" t="s">
        <v>1448</v>
      </c>
      <c r="D2733" t="s">
        <v>2897</v>
      </c>
      <c r="E2733">
        <v>178879</v>
      </c>
      <c r="F2733" s="11">
        <v>1</v>
      </c>
    </row>
    <row r="2734" spans="1:6" x14ac:dyDescent="0.35">
      <c r="A2734" t="s">
        <v>2856</v>
      </c>
      <c r="B2734" t="s">
        <v>2865</v>
      </c>
      <c r="C2734" t="s">
        <v>1448</v>
      </c>
      <c r="D2734" t="s">
        <v>2898</v>
      </c>
      <c r="E2734">
        <v>4262</v>
      </c>
      <c r="F2734" s="11">
        <v>1</v>
      </c>
    </row>
    <row r="2735" spans="1:6" x14ac:dyDescent="0.35">
      <c r="A2735" t="s">
        <v>2856</v>
      </c>
      <c r="B2735" t="s">
        <v>2865</v>
      </c>
      <c r="C2735" t="s">
        <v>1448</v>
      </c>
      <c r="D2735" t="s">
        <v>2899</v>
      </c>
      <c r="E2735">
        <v>6521</v>
      </c>
      <c r="F2735" s="11">
        <v>1</v>
      </c>
    </row>
    <row r="2736" spans="1:6" x14ac:dyDescent="0.35">
      <c r="A2736" t="s">
        <v>2856</v>
      </c>
      <c r="B2736" t="s">
        <v>2865</v>
      </c>
      <c r="C2736" t="s">
        <v>1448</v>
      </c>
      <c r="D2736" t="s">
        <v>2900</v>
      </c>
      <c r="E2736">
        <v>6002</v>
      </c>
      <c r="F2736" s="11">
        <v>1</v>
      </c>
    </row>
    <row r="2737" spans="1:6" x14ac:dyDescent="0.35">
      <c r="A2737" t="s">
        <v>2856</v>
      </c>
      <c r="B2737" t="s">
        <v>2865</v>
      </c>
      <c r="C2737" t="s">
        <v>1448</v>
      </c>
      <c r="D2737" t="s">
        <v>2901</v>
      </c>
      <c r="E2737">
        <v>519</v>
      </c>
      <c r="F2737" s="11">
        <v>0</v>
      </c>
    </row>
    <row r="2738" spans="1:6" x14ac:dyDescent="0.35">
      <c r="A2738" t="s">
        <v>2856</v>
      </c>
      <c r="B2738" t="s">
        <v>2865</v>
      </c>
      <c r="C2738" t="s">
        <v>1448</v>
      </c>
      <c r="D2738" t="s">
        <v>2902</v>
      </c>
      <c r="E2738">
        <v>0</v>
      </c>
      <c r="F2738" s="11">
        <v>1</v>
      </c>
    </row>
    <row r="2739" spans="1:6" x14ac:dyDescent="0.35">
      <c r="A2739" t="s">
        <v>2856</v>
      </c>
      <c r="B2739" t="s">
        <v>2865</v>
      </c>
      <c r="C2739" t="s">
        <v>1448</v>
      </c>
      <c r="D2739" t="s">
        <v>2903</v>
      </c>
      <c r="E2739">
        <v>45735</v>
      </c>
      <c r="F2739" s="11">
        <v>1</v>
      </c>
    </row>
    <row r="2740" spans="1:6" x14ac:dyDescent="0.35">
      <c r="A2740" t="s">
        <v>2856</v>
      </c>
      <c r="B2740" t="s">
        <v>2865</v>
      </c>
      <c r="C2740" t="s">
        <v>1448</v>
      </c>
      <c r="D2740" t="s">
        <v>2904</v>
      </c>
      <c r="E2740">
        <v>41778</v>
      </c>
      <c r="F2740" s="11">
        <v>1</v>
      </c>
    </row>
    <row r="2741" spans="1:6" x14ac:dyDescent="0.35">
      <c r="A2741" t="s">
        <v>2856</v>
      </c>
      <c r="B2741" t="s">
        <v>2865</v>
      </c>
      <c r="C2741" t="s">
        <v>1448</v>
      </c>
      <c r="D2741" t="s">
        <v>2905</v>
      </c>
      <c r="E2741">
        <v>2161</v>
      </c>
      <c r="F2741" s="11">
        <v>1</v>
      </c>
    </row>
    <row r="2742" spans="1:6" x14ac:dyDescent="0.35">
      <c r="A2742" t="s">
        <v>2856</v>
      </c>
      <c r="B2742" t="s">
        <v>2865</v>
      </c>
      <c r="C2742" t="s">
        <v>1448</v>
      </c>
      <c r="D2742" t="s">
        <v>2906</v>
      </c>
      <c r="E2742">
        <v>1796</v>
      </c>
      <c r="F2742" s="11">
        <v>1</v>
      </c>
    </row>
    <row r="2743" spans="1:6" x14ac:dyDescent="0.35">
      <c r="A2743" t="s">
        <v>2856</v>
      </c>
      <c r="B2743" t="s">
        <v>2865</v>
      </c>
      <c r="C2743" t="s">
        <v>1448</v>
      </c>
      <c r="D2743" t="s">
        <v>2907</v>
      </c>
      <c r="E2743">
        <v>84409</v>
      </c>
      <c r="F2743" s="11">
        <v>1</v>
      </c>
    </row>
    <row r="2744" spans="1:6" x14ac:dyDescent="0.35">
      <c r="A2744" t="s">
        <v>2856</v>
      </c>
      <c r="B2744" t="s">
        <v>2865</v>
      </c>
      <c r="C2744" t="s">
        <v>1448</v>
      </c>
      <c r="D2744" t="s">
        <v>2908</v>
      </c>
      <c r="E2744">
        <v>69125</v>
      </c>
      <c r="F2744" s="11">
        <v>1</v>
      </c>
    </row>
    <row r="2745" spans="1:6" x14ac:dyDescent="0.35">
      <c r="A2745" t="s">
        <v>2856</v>
      </c>
      <c r="B2745" t="s">
        <v>2865</v>
      </c>
      <c r="C2745" t="s">
        <v>1448</v>
      </c>
      <c r="D2745" t="s">
        <v>2909</v>
      </c>
      <c r="E2745">
        <v>12562</v>
      </c>
      <c r="F2745" s="11">
        <v>1</v>
      </c>
    </row>
    <row r="2746" spans="1:6" x14ac:dyDescent="0.35">
      <c r="A2746" t="s">
        <v>2856</v>
      </c>
      <c r="B2746" t="s">
        <v>2865</v>
      </c>
      <c r="C2746" t="s">
        <v>1448</v>
      </c>
      <c r="D2746" t="s">
        <v>2910</v>
      </c>
      <c r="E2746">
        <v>2722</v>
      </c>
      <c r="F2746" s="11">
        <v>1</v>
      </c>
    </row>
    <row r="2747" spans="1:6" x14ac:dyDescent="0.35">
      <c r="A2747" t="s">
        <v>2856</v>
      </c>
      <c r="B2747" t="s">
        <v>2865</v>
      </c>
      <c r="C2747" t="s">
        <v>1448</v>
      </c>
      <c r="D2747" t="s">
        <v>2911</v>
      </c>
      <c r="E2747">
        <v>0</v>
      </c>
      <c r="F2747" s="11">
        <v>0</v>
      </c>
    </row>
    <row r="2748" spans="1:6" x14ac:dyDescent="0.35">
      <c r="A2748" t="s">
        <v>2856</v>
      </c>
      <c r="B2748" t="s">
        <v>2865</v>
      </c>
      <c r="C2748" t="s">
        <v>1448</v>
      </c>
      <c r="D2748" t="s">
        <v>2912</v>
      </c>
      <c r="E2748">
        <v>0</v>
      </c>
      <c r="F2748" s="11">
        <v>0</v>
      </c>
    </row>
    <row r="2749" spans="1:6" x14ac:dyDescent="0.35">
      <c r="A2749" t="s">
        <v>2856</v>
      </c>
      <c r="B2749" t="s">
        <v>2865</v>
      </c>
      <c r="C2749" t="s">
        <v>1448</v>
      </c>
      <c r="D2749" t="s">
        <v>2913</v>
      </c>
      <c r="E2749">
        <v>0</v>
      </c>
      <c r="F2749" s="11">
        <v>0</v>
      </c>
    </row>
    <row r="2750" spans="1:6" x14ac:dyDescent="0.35">
      <c r="A2750" t="s">
        <v>2856</v>
      </c>
      <c r="B2750" t="s">
        <v>2865</v>
      </c>
      <c r="C2750" t="s">
        <v>1448</v>
      </c>
      <c r="D2750" t="s">
        <v>2914</v>
      </c>
      <c r="E2750">
        <v>0</v>
      </c>
      <c r="F2750" s="11">
        <v>0</v>
      </c>
    </row>
    <row r="2751" spans="1:6" x14ac:dyDescent="0.35">
      <c r="A2751" t="s">
        <v>2856</v>
      </c>
      <c r="B2751" t="s">
        <v>2865</v>
      </c>
      <c r="C2751" t="s">
        <v>1448</v>
      </c>
      <c r="D2751" t="s">
        <v>2915</v>
      </c>
      <c r="E2751">
        <v>0</v>
      </c>
      <c r="F2751" s="11">
        <v>0</v>
      </c>
    </row>
    <row r="2752" spans="1:6" x14ac:dyDescent="0.35">
      <c r="A2752" t="s">
        <v>2856</v>
      </c>
      <c r="B2752" t="s">
        <v>2865</v>
      </c>
      <c r="C2752" t="s">
        <v>1448</v>
      </c>
      <c r="D2752" t="s">
        <v>2916</v>
      </c>
      <c r="E2752">
        <v>25266</v>
      </c>
      <c r="F2752" s="11">
        <v>1</v>
      </c>
    </row>
    <row r="2753" spans="1:6" x14ac:dyDescent="0.35">
      <c r="A2753" t="s">
        <v>2856</v>
      </c>
      <c r="B2753" t="s">
        <v>2865</v>
      </c>
      <c r="C2753" t="s">
        <v>1448</v>
      </c>
      <c r="D2753" t="s">
        <v>2917</v>
      </c>
      <c r="E2753">
        <v>0</v>
      </c>
      <c r="F2753" s="11">
        <v>0</v>
      </c>
    </row>
    <row r="2754" spans="1:6" x14ac:dyDescent="0.35">
      <c r="A2754" t="s">
        <v>2856</v>
      </c>
      <c r="B2754" t="s">
        <v>2863</v>
      </c>
      <c r="C2754" t="s">
        <v>1551</v>
      </c>
      <c r="D2754" t="s">
        <v>2875</v>
      </c>
      <c r="E2754">
        <v>39896</v>
      </c>
      <c r="F2754" s="11">
        <v>1</v>
      </c>
    </row>
    <row r="2755" spans="1:6" x14ac:dyDescent="0.35">
      <c r="A2755" t="s">
        <v>2856</v>
      </c>
      <c r="B2755" t="s">
        <v>2863</v>
      </c>
      <c r="C2755" t="s">
        <v>1551</v>
      </c>
      <c r="D2755" t="s">
        <v>2876</v>
      </c>
      <c r="E2755">
        <v>9284</v>
      </c>
      <c r="F2755" s="11">
        <v>1</v>
      </c>
    </row>
    <row r="2756" spans="1:6" x14ac:dyDescent="0.35">
      <c r="A2756" t="s">
        <v>2856</v>
      </c>
      <c r="B2756" t="s">
        <v>2863</v>
      </c>
      <c r="C2756" t="s">
        <v>1551</v>
      </c>
      <c r="D2756" t="s">
        <v>2877</v>
      </c>
      <c r="E2756">
        <v>26702</v>
      </c>
      <c r="F2756" s="11">
        <v>1</v>
      </c>
    </row>
    <row r="2757" spans="1:6" x14ac:dyDescent="0.35">
      <c r="A2757" t="s">
        <v>2856</v>
      </c>
      <c r="B2757" t="s">
        <v>2863</v>
      </c>
      <c r="C2757" t="s">
        <v>1551</v>
      </c>
      <c r="D2757" t="s">
        <v>2878</v>
      </c>
      <c r="E2757">
        <v>3910</v>
      </c>
      <c r="F2757" s="11">
        <v>1</v>
      </c>
    </row>
    <row r="2758" spans="1:6" x14ac:dyDescent="0.35">
      <c r="A2758" t="s">
        <v>2856</v>
      </c>
      <c r="B2758" t="s">
        <v>2863</v>
      </c>
      <c r="C2758" t="s">
        <v>1551</v>
      </c>
      <c r="D2758" t="s">
        <v>2879</v>
      </c>
      <c r="E2758">
        <v>4933</v>
      </c>
      <c r="F2758" s="11">
        <v>1</v>
      </c>
    </row>
    <row r="2759" spans="1:6" x14ac:dyDescent="0.35">
      <c r="A2759" t="s">
        <v>2856</v>
      </c>
      <c r="B2759" t="s">
        <v>2863</v>
      </c>
      <c r="C2759" t="s">
        <v>1551</v>
      </c>
      <c r="D2759" t="s">
        <v>2880</v>
      </c>
      <c r="E2759">
        <v>2707</v>
      </c>
      <c r="F2759" s="11">
        <v>1</v>
      </c>
    </row>
    <row r="2760" spans="1:6" x14ac:dyDescent="0.35">
      <c r="A2760" t="s">
        <v>2856</v>
      </c>
      <c r="B2760" t="s">
        <v>2863</v>
      </c>
      <c r="C2760" t="s">
        <v>1551</v>
      </c>
      <c r="D2760" t="s">
        <v>2881</v>
      </c>
      <c r="E2760">
        <v>2226</v>
      </c>
      <c r="F2760" s="11">
        <v>0</v>
      </c>
    </row>
    <row r="2761" spans="1:6" x14ac:dyDescent="0.35">
      <c r="A2761" t="s">
        <v>2856</v>
      </c>
      <c r="B2761" t="s">
        <v>2863</v>
      </c>
      <c r="C2761" t="s">
        <v>1551</v>
      </c>
      <c r="D2761" t="s">
        <v>2882</v>
      </c>
      <c r="E2761">
        <v>0</v>
      </c>
      <c r="F2761" s="11">
        <v>1</v>
      </c>
    </row>
    <row r="2762" spans="1:6" x14ac:dyDescent="0.35">
      <c r="A2762" t="s">
        <v>2856</v>
      </c>
      <c r="B2762" t="s">
        <v>2863</v>
      </c>
      <c r="C2762" t="s">
        <v>1551</v>
      </c>
      <c r="D2762" t="s">
        <v>2883</v>
      </c>
      <c r="E2762">
        <v>172</v>
      </c>
      <c r="F2762" s="11">
        <v>1</v>
      </c>
    </row>
    <row r="2763" spans="1:6" x14ac:dyDescent="0.35">
      <c r="A2763" t="s">
        <v>2856</v>
      </c>
      <c r="B2763" t="s">
        <v>2863</v>
      </c>
      <c r="C2763" t="s">
        <v>1551</v>
      </c>
      <c r="D2763" t="s">
        <v>2884</v>
      </c>
      <c r="E2763">
        <v>172</v>
      </c>
      <c r="F2763" s="11">
        <v>0</v>
      </c>
    </row>
    <row r="2764" spans="1:6" x14ac:dyDescent="0.35">
      <c r="A2764" t="s">
        <v>2856</v>
      </c>
      <c r="B2764" t="s">
        <v>2863</v>
      </c>
      <c r="C2764" t="s">
        <v>1551</v>
      </c>
      <c r="D2764" t="s">
        <v>2885</v>
      </c>
      <c r="E2764">
        <v>0</v>
      </c>
      <c r="F2764" s="11">
        <v>0</v>
      </c>
    </row>
    <row r="2765" spans="1:6" x14ac:dyDescent="0.35">
      <c r="A2765" t="s">
        <v>2856</v>
      </c>
      <c r="B2765" t="s">
        <v>2863</v>
      </c>
      <c r="C2765" t="s">
        <v>1551</v>
      </c>
      <c r="D2765" t="s">
        <v>2886</v>
      </c>
      <c r="E2765">
        <v>0</v>
      </c>
      <c r="F2765" s="11">
        <v>1</v>
      </c>
    </row>
    <row r="2766" spans="1:6" x14ac:dyDescent="0.35">
      <c r="A2766" t="s">
        <v>2856</v>
      </c>
      <c r="B2766" t="s">
        <v>2863</v>
      </c>
      <c r="C2766" t="s">
        <v>1551</v>
      </c>
      <c r="D2766" t="s">
        <v>2887</v>
      </c>
      <c r="E2766">
        <v>85197</v>
      </c>
      <c r="F2766" s="11">
        <v>1</v>
      </c>
    </row>
    <row r="2767" spans="1:6" x14ac:dyDescent="0.35">
      <c r="A2767" t="s">
        <v>2856</v>
      </c>
      <c r="B2767" t="s">
        <v>2863</v>
      </c>
      <c r="C2767" t="s">
        <v>1551</v>
      </c>
      <c r="D2767" t="s">
        <v>2888</v>
      </c>
      <c r="E2767">
        <v>48247</v>
      </c>
      <c r="F2767" s="11">
        <v>1</v>
      </c>
    </row>
    <row r="2768" spans="1:6" x14ac:dyDescent="0.35">
      <c r="A2768" t="s">
        <v>2856</v>
      </c>
      <c r="B2768" t="s">
        <v>2863</v>
      </c>
      <c r="C2768" t="s">
        <v>1551</v>
      </c>
      <c r="D2768" t="s">
        <v>2889</v>
      </c>
      <c r="E2768">
        <v>36950</v>
      </c>
      <c r="F2768" s="11">
        <v>0</v>
      </c>
    </row>
    <row r="2769" spans="1:6" x14ac:dyDescent="0.35">
      <c r="A2769" t="s">
        <v>2856</v>
      </c>
      <c r="B2769" t="s">
        <v>2863</v>
      </c>
      <c r="C2769" t="s">
        <v>1551</v>
      </c>
      <c r="D2769" t="s">
        <v>2890</v>
      </c>
      <c r="E2769">
        <v>0</v>
      </c>
      <c r="F2769" s="11">
        <v>1</v>
      </c>
    </row>
    <row r="2770" spans="1:6" x14ac:dyDescent="0.35">
      <c r="A2770" t="s">
        <v>2856</v>
      </c>
      <c r="B2770" t="s">
        <v>2863</v>
      </c>
      <c r="C2770" t="s">
        <v>1551</v>
      </c>
      <c r="D2770" t="s">
        <v>2891</v>
      </c>
      <c r="E2770">
        <v>556</v>
      </c>
      <c r="F2770" s="11">
        <v>1</v>
      </c>
    </row>
    <row r="2771" spans="1:6" x14ac:dyDescent="0.35">
      <c r="A2771" t="s">
        <v>2856</v>
      </c>
      <c r="B2771" t="s">
        <v>2863</v>
      </c>
      <c r="C2771" t="s">
        <v>1551</v>
      </c>
      <c r="D2771" t="s">
        <v>2892</v>
      </c>
      <c r="E2771">
        <v>560</v>
      </c>
      <c r="F2771" s="11">
        <v>0</v>
      </c>
    </row>
    <row r="2772" spans="1:6" x14ac:dyDescent="0.35">
      <c r="A2772" t="s">
        <v>2856</v>
      </c>
      <c r="B2772" t="s">
        <v>2863</v>
      </c>
      <c r="C2772" t="s">
        <v>1551</v>
      </c>
      <c r="D2772" t="s">
        <v>2893</v>
      </c>
      <c r="E2772">
        <v>0</v>
      </c>
      <c r="F2772" s="11">
        <v>0</v>
      </c>
    </row>
    <row r="2773" spans="1:6" x14ac:dyDescent="0.35">
      <c r="A2773" t="s">
        <v>2856</v>
      </c>
      <c r="B2773" t="s">
        <v>2863</v>
      </c>
      <c r="C2773" t="s">
        <v>1551</v>
      </c>
      <c r="D2773" t="s">
        <v>2894</v>
      </c>
      <c r="E2773">
        <v>0</v>
      </c>
      <c r="F2773" s="11">
        <v>1</v>
      </c>
    </row>
    <row r="2774" spans="1:6" x14ac:dyDescent="0.35">
      <c r="A2774" t="s">
        <v>2856</v>
      </c>
      <c r="B2774" t="s">
        <v>2863</v>
      </c>
      <c r="C2774" t="s">
        <v>1551</v>
      </c>
      <c r="D2774" t="s">
        <v>2895</v>
      </c>
      <c r="E2774">
        <v>433444</v>
      </c>
      <c r="F2774" s="11">
        <v>1</v>
      </c>
    </row>
    <row r="2775" spans="1:6" x14ac:dyDescent="0.35">
      <c r="A2775" t="s">
        <v>2856</v>
      </c>
      <c r="B2775" t="s">
        <v>2863</v>
      </c>
      <c r="C2775" t="s">
        <v>1551</v>
      </c>
      <c r="D2775" t="s">
        <v>2896</v>
      </c>
      <c r="E2775">
        <v>208294</v>
      </c>
      <c r="F2775" s="11">
        <v>1</v>
      </c>
    </row>
    <row r="2776" spans="1:6" x14ac:dyDescent="0.35">
      <c r="A2776" t="s">
        <v>2856</v>
      </c>
      <c r="B2776" t="s">
        <v>2863</v>
      </c>
      <c r="C2776" t="s">
        <v>1551</v>
      </c>
      <c r="D2776" t="s">
        <v>2897</v>
      </c>
      <c r="E2776">
        <v>205866</v>
      </c>
      <c r="F2776" s="11">
        <v>1</v>
      </c>
    </row>
    <row r="2777" spans="1:6" x14ac:dyDescent="0.35">
      <c r="A2777" t="s">
        <v>2856</v>
      </c>
      <c r="B2777" t="s">
        <v>2863</v>
      </c>
      <c r="C2777" t="s">
        <v>1551</v>
      </c>
      <c r="D2777" t="s">
        <v>2898</v>
      </c>
      <c r="E2777">
        <v>19284</v>
      </c>
      <c r="F2777" s="11">
        <v>1</v>
      </c>
    </row>
    <row r="2778" spans="1:6" x14ac:dyDescent="0.35">
      <c r="A2778" t="s">
        <v>2856</v>
      </c>
      <c r="B2778" t="s">
        <v>2863</v>
      </c>
      <c r="C2778" t="s">
        <v>1551</v>
      </c>
      <c r="D2778" t="s">
        <v>2899</v>
      </c>
      <c r="E2778">
        <v>6791</v>
      </c>
      <c r="F2778" s="11">
        <v>1</v>
      </c>
    </row>
    <row r="2779" spans="1:6" x14ac:dyDescent="0.35">
      <c r="A2779" t="s">
        <v>2856</v>
      </c>
      <c r="B2779" t="s">
        <v>2863</v>
      </c>
      <c r="C2779" t="s">
        <v>1551</v>
      </c>
      <c r="D2779" t="s">
        <v>2900</v>
      </c>
      <c r="E2779">
        <v>5576</v>
      </c>
      <c r="F2779" s="11">
        <v>1</v>
      </c>
    </row>
    <row r="2780" spans="1:6" x14ac:dyDescent="0.35">
      <c r="A2780" t="s">
        <v>2856</v>
      </c>
      <c r="B2780" t="s">
        <v>2863</v>
      </c>
      <c r="C2780" t="s">
        <v>1551</v>
      </c>
      <c r="D2780" t="s">
        <v>2901</v>
      </c>
      <c r="E2780">
        <v>1215</v>
      </c>
      <c r="F2780" s="11">
        <v>0</v>
      </c>
    </row>
    <row r="2781" spans="1:6" x14ac:dyDescent="0.35">
      <c r="A2781" t="s">
        <v>2856</v>
      </c>
      <c r="B2781" t="s">
        <v>2863</v>
      </c>
      <c r="C2781" t="s">
        <v>1551</v>
      </c>
      <c r="D2781" t="s">
        <v>2902</v>
      </c>
      <c r="E2781">
        <v>0</v>
      </c>
      <c r="F2781" s="11">
        <v>1</v>
      </c>
    </row>
    <row r="2782" spans="1:6" x14ac:dyDescent="0.35">
      <c r="A2782" t="s">
        <v>2856</v>
      </c>
      <c r="B2782" t="s">
        <v>2863</v>
      </c>
      <c r="C2782" t="s">
        <v>1551</v>
      </c>
      <c r="D2782" t="s">
        <v>2903</v>
      </c>
      <c r="E2782">
        <v>26440</v>
      </c>
      <c r="F2782" s="11">
        <v>1</v>
      </c>
    </row>
    <row r="2783" spans="1:6" x14ac:dyDescent="0.35">
      <c r="A2783" t="s">
        <v>2856</v>
      </c>
      <c r="B2783" t="s">
        <v>2863</v>
      </c>
      <c r="C2783" t="s">
        <v>1551</v>
      </c>
      <c r="D2783" t="s">
        <v>2904</v>
      </c>
      <c r="E2783">
        <v>22631</v>
      </c>
      <c r="F2783" s="11">
        <v>1</v>
      </c>
    </row>
    <row r="2784" spans="1:6" x14ac:dyDescent="0.35">
      <c r="A2784" t="s">
        <v>2856</v>
      </c>
      <c r="B2784" t="s">
        <v>2863</v>
      </c>
      <c r="C2784" t="s">
        <v>1551</v>
      </c>
      <c r="D2784" t="s">
        <v>2905</v>
      </c>
      <c r="E2784">
        <v>2196</v>
      </c>
      <c r="F2784" s="11">
        <v>1</v>
      </c>
    </row>
    <row r="2785" spans="1:6" x14ac:dyDescent="0.35">
      <c r="A2785" t="s">
        <v>2856</v>
      </c>
      <c r="B2785" t="s">
        <v>2863</v>
      </c>
      <c r="C2785" t="s">
        <v>1551</v>
      </c>
      <c r="D2785" t="s">
        <v>2906</v>
      </c>
      <c r="E2785">
        <v>1613</v>
      </c>
      <c r="F2785" s="11">
        <v>1</v>
      </c>
    </row>
    <row r="2786" spans="1:6" x14ac:dyDescent="0.35">
      <c r="A2786" t="s">
        <v>2856</v>
      </c>
      <c r="B2786" t="s">
        <v>2863</v>
      </c>
      <c r="C2786" t="s">
        <v>1551</v>
      </c>
      <c r="D2786" t="s">
        <v>2907</v>
      </c>
      <c r="E2786">
        <v>47408</v>
      </c>
      <c r="F2786" s="11">
        <v>1</v>
      </c>
    </row>
    <row r="2787" spans="1:6" x14ac:dyDescent="0.35">
      <c r="A2787" t="s">
        <v>2856</v>
      </c>
      <c r="B2787" t="s">
        <v>2863</v>
      </c>
      <c r="C2787" t="s">
        <v>1551</v>
      </c>
      <c r="D2787" t="s">
        <v>2908</v>
      </c>
      <c r="E2787">
        <v>28488</v>
      </c>
      <c r="F2787" s="11">
        <v>1</v>
      </c>
    </row>
    <row r="2788" spans="1:6" x14ac:dyDescent="0.35">
      <c r="A2788" t="s">
        <v>2856</v>
      </c>
      <c r="B2788" t="s">
        <v>2863</v>
      </c>
      <c r="C2788" t="s">
        <v>1551</v>
      </c>
      <c r="D2788" t="s">
        <v>2909</v>
      </c>
      <c r="E2788">
        <v>4352</v>
      </c>
      <c r="F2788" s="11">
        <v>1</v>
      </c>
    </row>
    <row r="2789" spans="1:6" x14ac:dyDescent="0.35">
      <c r="A2789" t="s">
        <v>2856</v>
      </c>
      <c r="B2789" t="s">
        <v>2863</v>
      </c>
      <c r="C2789" t="s">
        <v>1551</v>
      </c>
      <c r="D2789" t="s">
        <v>2910</v>
      </c>
      <c r="E2789">
        <v>1940</v>
      </c>
      <c r="F2789" s="11">
        <v>1</v>
      </c>
    </row>
    <row r="2790" spans="1:6" x14ac:dyDescent="0.35">
      <c r="A2790" t="s">
        <v>2856</v>
      </c>
      <c r="B2790" t="s">
        <v>2863</v>
      </c>
      <c r="C2790" t="s">
        <v>1551</v>
      </c>
      <c r="D2790" t="s">
        <v>2911</v>
      </c>
      <c r="E2790">
        <v>530769</v>
      </c>
      <c r="F2790" s="11">
        <v>1</v>
      </c>
    </row>
    <row r="2791" spans="1:6" x14ac:dyDescent="0.35">
      <c r="A2791" t="s">
        <v>2856</v>
      </c>
      <c r="B2791" t="s">
        <v>2863</v>
      </c>
      <c r="C2791" t="s">
        <v>1551</v>
      </c>
      <c r="D2791" t="s">
        <v>2912</v>
      </c>
      <c r="E2791">
        <v>178447</v>
      </c>
      <c r="F2791" s="11">
        <v>1</v>
      </c>
    </row>
    <row r="2792" spans="1:6" x14ac:dyDescent="0.35">
      <c r="A2792" t="s">
        <v>2856</v>
      </c>
      <c r="B2792" t="s">
        <v>2863</v>
      </c>
      <c r="C2792" t="s">
        <v>1551</v>
      </c>
      <c r="D2792" t="s">
        <v>2913</v>
      </c>
      <c r="E2792">
        <v>0</v>
      </c>
      <c r="F2792" s="11">
        <v>0</v>
      </c>
    </row>
    <row r="2793" spans="1:6" x14ac:dyDescent="0.35">
      <c r="A2793" t="s">
        <v>2856</v>
      </c>
      <c r="B2793" t="s">
        <v>2863</v>
      </c>
      <c r="C2793" t="s">
        <v>1551</v>
      </c>
      <c r="D2793" t="s">
        <v>2914</v>
      </c>
      <c r="E2793">
        <v>0</v>
      </c>
      <c r="F2793" s="11">
        <v>0</v>
      </c>
    </row>
    <row r="2794" spans="1:6" x14ac:dyDescent="0.35">
      <c r="A2794" t="s">
        <v>2856</v>
      </c>
      <c r="B2794" t="s">
        <v>2863</v>
      </c>
      <c r="C2794" t="s">
        <v>1551</v>
      </c>
      <c r="D2794" t="s">
        <v>2915</v>
      </c>
      <c r="E2794">
        <v>0</v>
      </c>
      <c r="F2794" s="11">
        <v>0</v>
      </c>
    </row>
    <row r="2795" spans="1:6" x14ac:dyDescent="0.35">
      <c r="A2795" t="s">
        <v>2856</v>
      </c>
      <c r="B2795" t="s">
        <v>2863</v>
      </c>
      <c r="C2795" t="s">
        <v>1551</v>
      </c>
      <c r="D2795" t="s">
        <v>2916</v>
      </c>
      <c r="E2795">
        <v>111708</v>
      </c>
      <c r="F2795" s="11">
        <v>1</v>
      </c>
    </row>
    <row r="2796" spans="1:6" x14ac:dyDescent="0.35">
      <c r="A2796" t="s">
        <v>2856</v>
      </c>
      <c r="B2796" t="s">
        <v>2863</v>
      </c>
      <c r="C2796" t="s">
        <v>1551</v>
      </c>
      <c r="D2796" t="s">
        <v>2917</v>
      </c>
      <c r="E2796">
        <v>0</v>
      </c>
      <c r="F2796" s="11">
        <v>0</v>
      </c>
    </row>
    <row r="2797" spans="1:6" x14ac:dyDescent="0.35">
      <c r="A2797" t="s">
        <v>2856</v>
      </c>
      <c r="B2797" t="s">
        <v>2863</v>
      </c>
      <c r="C2797" t="s">
        <v>1503</v>
      </c>
      <c r="D2797" t="s">
        <v>2875</v>
      </c>
      <c r="E2797">
        <v>108690</v>
      </c>
      <c r="F2797" s="11">
        <v>1</v>
      </c>
    </row>
    <row r="2798" spans="1:6" x14ac:dyDescent="0.35">
      <c r="A2798" t="s">
        <v>2856</v>
      </c>
      <c r="B2798" t="s">
        <v>2863</v>
      </c>
      <c r="C2798" t="s">
        <v>1503</v>
      </c>
      <c r="D2798" t="s">
        <v>2876</v>
      </c>
      <c r="E2798">
        <v>37961</v>
      </c>
      <c r="F2798" s="11">
        <v>1</v>
      </c>
    </row>
    <row r="2799" spans="1:6" x14ac:dyDescent="0.35">
      <c r="A2799" t="s">
        <v>2856</v>
      </c>
      <c r="B2799" t="s">
        <v>2863</v>
      </c>
      <c r="C2799" t="s">
        <v>1503</v>
      </c>
      <c r="D2799" t="s">
        <v>2877</v>
      </c>
      <c r="E2799">
        <v>63174</v>
      </c>
      <c r="F2799" s="11">
        <v>1</v>
      </c>
    </row>
    <row r="2800" spans="1:6" x14ac:dyDescent="0.35">
      <c r="A2800" t="s">
        <v>2856</v>
      </c>
      <c r="B2800" t="s">
        <v>2863</v>
      </c>
      <c r="C2800" t="s">
        <v>1503</v>
      </c>
      <c r="D2800" t="s">
        <v>2878</v>
      </c>
      <c r="E2800">
        <v>7555</v>
      </c>
      <c r="F2800" s="11">
        <v>1</v>
      </c>
    </row>
    <row r="2801" spans="1:6" x14ac:dyDescent="0.35">
      <c r="A2801" t="s">
        <v>2856</v>
      </c>
      <c r="B2801" t="s">
        <v>2863</v>
      </c>
      <c r="C2801" t="s">
        <v>1503</v>
      </c>
      <c r="D2801" t="s">
        <v>2879</v>
      </c>
      <c r="E2801">
        <v>21738</v>
      </c>
      <c r="F2801" s="11">
        <v>1</v>
      </c>
    </row>
    <row r="2802" spans="1:6" x14ac:dyDescent="0.35">
      <c r="A2802" t="s">
        <v>2856</v>
      </c>
      <c r="B2802" t="s">
        <v>2863</v>
      </c>
      <c r="C2802" t="s">
        <v>1503</v>
      </c>
      <c r="D2802" t="s">
        <v>2880</v>
      </c>
      <c r="E2802">
        <v>0</v>
      </c>
      <c r="F2802" s="11">
        <v>0</v>
      </c>
    </row>
    <row r="2803" spans="1:6" x14ac:dyDescent="0.35">
      <c r="A2803" t="s">
        <v>2856</v>
      </c>
      <c r="B2803" t="s">
        <v>2863</v>
      </c>
      <c r="C2803" t="s">
        <v>1503</v>
      </c>
      <c r="D2803" t="s">
        <v>2881</v>
      </c>
      <c r="E2803">
        <v>0</v>
      </c>
      <c r="F2803" s="11">
        <v>0</v>
      </c>
    </row>
    <row r="2804" spans="1:6" x14ac:dyDescent="0.35">
      <c r="A2804" t="s">
        <v>2856</v>
      </c>
      <c r="B2804" t="s">
        <v>2863</v>
      </c>
      <c r="C2804" t="s">
        <v>1503</v>
      </c>
      <c r="D2804" t="s">
        <v>2882</v>
      </c>
      <c r="E2804">
        <v>0</v>
      </c>
      <c r="F2804" s="11">
        <v>0</v>
      </c>
    </row>
    <row r="2805" spans="1:6" x14ac:dyDescent="0.35">
      <c r="A2805" t="s">
        <v>2856</v>
      </c>
      <c r="B2805" t="s">
        <v>2863</v>
      </c>
      <c r="C2805" t="s">
        <v>1503</v>
      </c>
      <c r="D2805" t="s">
        <v>2883</v>
      </c>
      <c r="E2805">
        <v>200</v>
      </c>
      <c r="F2805" s="11">
        <v>1</v>
      </c>
    </row>
    <row r="2806" spans="1:6" x14ac:dyDescent="0.35">
      <c r="A2806" t="s">
        <v>2856</v>
      </c>
      <c r="B2806" t="s">
        <v>2863</v>
      </c>
      <c r="C2806" t="s">
        <v>1503</v>
      </c>
      <c r="D2806" t="s">
        <v>2884</v>
      </c>
      <c r="E2806">
        <v>0</v>
      </c>
      <c r="F2806" s="11">
        <v>0</v>
      </c>
    </row>
    <row r="2807" spans="1:6" x14ac:dyDescent="0.35">
      <c r="A2807" t="s">
        <v>2856</v>
      </c>
      <c r="B2807" t="s">
        <v>2863</v>
      </c>
      <c r="C2807" t="s">
        <v>1503</v>
      </c>
      <c r="D2807" t="s">
        <v>2885</v>
      </c>
      <c r="E2807">
        <v>0</v>
      </c>
      <c r="F2807" s="11">
        <v>0</v>
      </c>
    </row>
    <row r="2808" spans="1:6" x14ac:dyDescent="0.35">
      <c r="A2808" t="s">
        <v>2856</v>
      </c>
      <c r="B2808" t="s">
        <v>2863</v>
      </c>
      <c r="C2808" t="s">
        <v>1503</v>
      </c>
      <c r="D2808" t="s">
        <v>2886</v>
      </c>
      <c r="E2808">
        <v>0</v>
      </c>
      <c r="F2808" s="11">
        <v>0</v>
      </c>
    </row>
    <row r="2809" spans="1:6" x14ac:dyDescent="0.35">
      <c r="A2809" t="s">
        <v>2856</v>
      </c>
      <c r="B2809" t="s">
        <v>2863</v>
      </c>
      <c r="C2809" t="s">
        <v>1503</v>
      </c>
      <c r="D2809" t="s">
        <v>2887</v>
      </c>
      <c r="E2809">
        <v>344592</v>
      </c>
      <c r="F2809" s="11">
        <v>1</v>
      </c>
    </row>
    <row r="2810" spans="1:6" x14ac:dyDescent="0.35">
      <c r="A2810" t="s">
        <v>2856</v>
      </c>
      <c r="B2810" t="s">
        <v>2863</v>
      </c>
      <c r="C2810" t="s">
        <v>1503</v>
      </c>
      <c r="D2810" t="s">
        <v>2888</v>
      </c>
      <c r="E2810">
        <v>0</v>
      </c>
      <c r="F2810" s="11">
        <v>0</v>
      </c>
    </row>
    <row r="2811" spans="1:6" x14ac:dyDescent="0.35">
      <c r="A2811" t="s">
        <v>2856</v>
      </c>
      <c r="B2811" t="s">
        <v>2863</v>
      </c>
      <c r="C2811" t="s">
        <v>1503</v>
      </c>
      <c r="D2811" t="s">
        <v>2889</v>
      </c>
      <c r="E2811">
        <v>0</v>
      </c>
      <c r="F2811" s="11">
        <v>0</v>
      </c>
    </row>
    <row r="2812" spans="1:6" x14ac:dyDescent="0.35">
      <c r="A2812" t="s">
        <v>2856</v>
      </c>
      <c r="B2812" t="s">
        <v>2863</v>
      </c>
      <c r="C2812" t="s">
        <v>1503</v>
      </c>
      <c r="D2812" t="s">
        <v>2890</v>
      </c>
      <c r="E2812">
        <v>0</v>
      </c>
      <c r="F2812" s="11">
        <v>0</v>
      </c>
    </row>
    <row r="2813" spans="1:6" x14ac:dyDescent="0.35">
      <c r="A2813" t="s">
        <v>2856</v>
      </c>
      <c r="B2813" t="s">
        <v>2863</v>
      </c>
      <c r="C2813" t="s">
        <v>1503</v>
      </c>
      <c r="D2813" t="s">
        <v>2891</v>
      </c>
      <c r="E2813">
        <v>8434</v>
      </c>
      <c r="F2813" s="11">
        <v>1</v>
      </c>
    </row>
    <row r="2814" spans="1:6" x14ac:dyDescent="0.35">
      <c r="A2814" t="s">
        <v>2856</v>
      </c>
      <c r="B2814" t="s">
        <v>2863</v>
      </c>
      <c r="C2814" t="s">
        <v>1503</v>
      </c>
      <c r="D2814" t="s">
        <v>2892</v>
      </c>
      <c r="E2814">
        <v>0</v>
      </c>
      <c r="F2814" s="11">
        <v>0</v>
      </c>
    </row>
    <row r="2815" spans="1:6" x14ac:dyDescent="0.35">
      <c r="A2815" t="s">
        <v>2856</v>
      </c>
      <c r="B2815" t="s">
        <v>2863</v>
      </c>
      <c r="C2815" t="s">
        <v>1503</v>
      </c>
      <c r="D2815" t="s">
        <v>2893</v>
      </c>
      <c r="E2815">
        <v>0</v>
      </c>
      <c r="F2815" s="11">
        <v>0</v>
      </c>
    </row>
    <row r="2816" spans="1:6" x14ac:dyDescent="0.35">
      <c r="A2816" t="s">
        <v>2856</v>
      </c>
      <c r="B2816" t="s">
        <v>2863</v>
      </c>
      <c r="C2816" t="s">
        <v>1503</v>
      </c>
      <c r="D2816" t="s">
        <v>2894</v>
      </c>
      <c r="E2816">
        <v>0</v>
      </c>
      <c r="F2816" s="11">
        <v>0</v>
      </c>
    </row>
    <row r="2817" spans="1:6" x14ac:dyDescent="0.35">
      <c r="A2817" t="s">
        <v>2856</v>
      </c>
      <c r="B2817" t="s">
        <v>2863</v>
      </c>
      <c r="C2817" t="s">
        <v>1503</v>
      </c>
      <c r="D2817" t="s">
        <v>2895</v>
      </c>
      <c r="E2817">
        <v>1979250</v>
      </c>
      <c r="F2817" s="11">
        <v>1</v>
      </c>
    </row>
    <row r="2818" spans="1:6" x14ac:dyDescent="0.35">
      <c r="A2818" t="s">
        <v>2856</v>
      </c>
      <c r="B2818" t="s">
        <v>2863</v>
      </c>
      <c r="C2818" t="s">
        <v>1503</v>
      </c>
      <c r="D2818" t="s">
        <v>2896</v>
      </c>
      <c r="E2818">
        <v>378166</v>
      </c>
      <c r="F2818" s="11">
        <v>1</v>
      </c>
    </row>
    <row r="2819" spans="1:6" x14ac:dyDescent="0.35">
      <c r="A2819" t="s">
        <v>2856</v>
      </c>
      <c r="B2819" t="s">
        <v>2863</v>
      </c>
      <c r="C2819" t="s">
        <v>1503</v>
      </c>
      <c r="D2819" t="s">
        <v>2897</v>
      </c>
      <c r="E2819">
        <v>326875</v>
      </c>
      <c r="F2819" s="11">
        <v>1</v>
      </c>
    </row>
    <row r="2820" spans="1:6" x14ac:dyDescent="0.35">
      <c r="A2820" t="s">
        <v>2856</v>
      </c>
      <c r="B2820" t="s">
        <v>2863</v>
      </c>
      <c r="C2820" t="s">
        <v>1503</v>
      </c>
      <c r="D2820" t="s">
        <v>2898</v>
      </c>
      <c r="E2820">
        <v>6421</v>
      </c>
      <c r="F2820" s="11">
        <v>1</v>
      </c>
    </row>
    <row r="2821" spans="1:6" x14ac:dyDescent="0.35">
      <c r="A2821" t="s">
        <v>2856</v>
      </c>
      <c r="B2821" t="s">
        <v>2863</v>
      </c>
      <c r="C2821" t="s">
        <v>1503</v>
      </c>
      <c r="D2821" t="s">
        <v>2899</v>
      </c>
      <c r="E2821">
        <v>34343</v>
      </c>
      <c r="F2821" s="11">
        <v>1</v>
      </c>
    </row>
    <row r="2822" spans="1:6" x14ac:dyDescent="0.35">
      <c r="A2822" t="s">
        <v>2856</v>
      </c>
      <c r="B2822" t="s">
        <v>2863</v>
      </c>
      <c r="C2822" t="s">
        <v>1503</v>
      </c>
      <c r="D2822" t="s">
        <v>2900</v>
      </c>
      <c r="E2822">
        <v>10982</v>
      </c>
      <c r="F2822" s="11">
        <v>1</v>
      </c>
    </row>
    <row r="2823" spans="1:6" x14ac:dyDescent="0.35">
      <c r="A2823" t="s">
        <v>2856</v>
      </c>
      <c r="B2823" t="s">
        <v>2863</v>
      </c>
      <c r="C2823" t="s">
        <v>1503</v>
      </c>
      <c r="D2823" t="s">
        <v>2901</v>
      </c>
      <c r="E2823">
        <v>1527</v>
      </c>
      <c r="F2823" s="11">
        <v>0</v>
      </c>
    </row>
    <row r="2824" spans="1:6" x14ac:dyDescent="0.35">
      <c r="A2824" t="s">
        <v>2856</v>
      </c>
      <c r="B2824" t="s">
        <v>2863</v>
      </c>
      <c r="C2824" t="s">
        <v>1503</v>
      </c>
      <c r="D2824" t="s">
        <v>2902</v>
      </c>
      <c r="E2824">
        <v>0</v>
      </c>
      <c r="F2824" s="11">
        <v>1</v>
      </c>
    </row>
    <row r="2825" spans="1:6" x14ac:dyDescent="0.35">
      <c r="A2825" t="s">
        <v>2856</v>
      </c>
      <c r="B2825" t="s">
        <v>2863</v>
      </c>
      <c r="C2825" t="s">
        <v>1503</v>
      </c>
      <c r="D2825" t="s">
        <v>2903</v>
      </c>
      <c r="E2825">
        <v>79140</v>
      </c>
      <c r="F2825" s="11">
        <v>1</v>
      </c>
    </row>
    <row r="2826" spans="1:6" x14ac:dyDescent="0.35">
      <c r="A2826" t="s">
        <v>2856</v>
      </c>
      <c r="B2826" t="s">
        <v>2863</v>
      </c>
      <c r="C2826" t="s">
        <v>1503</v>
      </c>
      <c r="D2826" t="s">
        <v>2904</v>
      </c>
      <c r="E2826">
        <v>69981</v>
      </c>
      <c r="F2826" s="11">
        <v>1</v>
      </c>
    </row>
    <row r="2827" spans="1:6" x14ac:dyDescent="0.35">
      <c r="A2827" t="s">
        <v>2856</v>
      </c>
      <c r="B2827" t="s">
        <v>2863</v>
      </c>
      <c r="C2827" t="s">
        <v>1503</v>
      </c>
      <c r="D2827" t="s">
        <v>2905</v>
      </c>
      <c r="E2827">
        <v>6143</v>
      </c>
      <c r="F2827" s="11">
        <v>1</v>
      </c>
    </row>
    <row r="2828" spans="1:6" x14ac:dyDescent="0.35">
      <c r="A2828" t="s">
        <v>2856</v>
      </c>
      <c r="B2828" t="s">
        <v>2863</v>
      </c>
      <c r="C2828" t="s">
        <v>1503</v>
      </c>
      <c r="D2828" t="s">
        <v>2906</v>
      </c>
      <c r="E2828">
        <v>3016</v>
      </c>
      <c r="F2828" s="11">
        <v>1</v>
      </c>
    </row>
    <row r="2829" spans="1:6" x14ac:dyDescent="0.35">
      <c r="A2829" t="s">
        <v>2856</v>
      </c>
      <c r="B2829" t="s">
        <v>2863</v>
      </c>
      <c r="C2829" t="s">
        <v>1503</v>
      </c>
      <c r="D2829" t="s">
        <v>2907</v>
      </c>
      <c r="E2829">
        <v>123502</v>
      </c>
      <c r="F2829" s="11">
        <v>1</v>
      </c>
    </row>
    <row r="2830" spans="1:6" x14ac:dyDescent="0.35">
      <c r="A2830" t="s">
        <v>2856</v>
      </c>
      <c r="B2830" t="s">
        <v>2863</v>
      </c>
      <c r="C2830" t="s">
        <v>1503</v>
      </c>
      <c r="D2830" t="s">
        <v>2908</v>
      </c>
      <c r="E2830">
        <v>102351</v>
      </c>
      <c r="F2830" s="11">
        <v>1</v>
      </c>
    </row>
    <row r="2831" spans="1:6" x14ac:dyDescent="0.35">
      <c r="A2831" t="s">
        <v>2856</v>
      </c>
      <c r="B2831" t="s">
        <v>2863</v>
      </c>
      <c r="C2831" t="s">
        <v>1503</v>
      </c>
      <c r="D2831" t="s">
        <v>2909</v>
      </c>
      <c r="E2831">
        <v>16359</v>
      </c>
      <c r="F2831" s="11">
        <v>1</v>
      </c>
    </row>
    <row r="2832" spans="1:6" x14ac:dyDescent="0.35">
      <c r="A2832" t="s">
        <v>2856</v>
      </c>
      <c r="B2832" t="s">
        <v>2863</v>
      </c>
      <c r="C2832" t="s">
        <v>1503</v>
      </c>
      <c r="D2832" t="s">
        <v>2910</v>
      </c>
      <c r="E2832">
        <v>4792</v>
      </c>
      <c r="F2832" s="11">
        <v>1</v>
      </c>
    </row>
    <row r="2833" spans="1:6" x14ac:dyDescent="0.35">
      <c r="A2833" t="s">
        <v>2856</v>
      </c>
      <c r="B2833" t="s">
        <v>2863</v>
      </c>
      <c r="C2833" t="s">
        <v>1503</v>
      </c>
      <c r="D2833" t="s">
        <v>2911</v>
      </c>
      <c r="E2833">
        <v>1841432</v>
      </c>
      <c r="F2833" s="11">
        <v>1</v>
      </c>
    </row>
    <row r="2834" spans="1:6" x14ac:dyDescent="0.35">
      <c r="A2834" t="s">
        <v>2856</v>
      </c>
      <c r="B2834" t="s">
        <v>2863</v>
      </c>
      <c r="C2834" t="s">
        <v>1503</v>
      </c>
      <c r="D2834" t="s">
        <v>2912</v>
      </c>
      <c r="E2834">
        <v>0</v>
      </c>
      <c r="F2834" s="11">
        <v>0</v>
      </c>
    </row>
    <row r="2835" spans="1:6" x14ac:dyDescent="0.35">
      <c r="A2835" t="s">
        <v>2856</v>
      </c>
      <c r="B2835" t="s">
        <v>2863</v>
      </c>
      <c r="C2835" t="s">
        <v>1503</v>
      </c>
      <c r="D2835" t="s">
        <v>2913</v>
      </c>
      <c r="E2835">
        <v>0</v>
      </c>
      <c r="F2835" s="11">
        <v>0</v>
      </c>
    </row>
    <row r="2836" spans="1:6" x14ac:dyDescent="0.35">
      <c r="A2836" t="s">
        <v>2856</v>
      </c>
      <c r="B2836" t="s">
        <v>2863</v>
      </c>
      <c r="C2836" t="s">
        <v>1503</v>
      </c>
      <c r="D2836" t="s">
        <v>2914</v>
      </c>
      <c r="E2836">
        <v>28574</v>
      </c>
      <c r="F2836" s="11">
        <v>1</v>
      </c>
    </row>
    <row r="2837" spans="1:6" x14ac:dyDescent="0.35">
      <c r="A2837" t="s">
        <v>2856</v>
      </c>
      <c r="B2837" t="s">
        <v>2863</v>
      </c>
      <c r="C2837" t="s">
        <v>1503</v>
      </c>
      <c r="D2837" t="s">
        <v>2915</v>
      </c>
      <c r="E2837">
        <v>0</v>
      </c>
      <c r="F2837" s="11">
        <v>0</v>
      </c>
    </row>
    <row r="2838" spans="1:6" x14ac:dyDescent="0.35">
      <c r="A2838" t="s">
        <v>2856</v>
      </c>
      <c r="B2838" t="s">
        <v>2863</v>
      </c>
      <c r="C2838" t="s">
        <v>1503</v>
      </c>
      <c r="D2838" t="s">
        <v>2916</v>
      </c>
      <c r="E2838">
        <v>98288</v>
      </c>
      <c r="F2838" s="11">
        <v>1</v>
      </c>
    </row>
    <row r="2839" spans="1:6" x14ac:dyDescent="0.35">
      <c r="A2839" t="s">
        <v>2856</v>
      </c>
      <c r="B2839" t="s">
        <v>2863</v>
      </c>
      <c r="C2839" t="s">
        <v>1503</v>
      </c>
      <c r="D2839" t="s">
        <v>2917</v>
      </c>
      <c r="E2839">
        <v>126926</v>
      </c>
      <c r="F2839" s="11">
        <v>1</v>
      </c>
    </row>
    <row r="2840" spans="1:6" x14ac:dyDescent="0.35">
      <c r="A2840" t="s">
        <v>2856</v>
      </c>
      <c r="B2840" t="s">
        <v>2865</v>
      </c>
      <c r="C2840" t="s">
        <v>1544</v>
      </c>
      <c r="D2840" t="s">
        <v>2875</v>
      </c>
      <c r="E2840">
        <v>14794</v>
      </c>
      <c r="F2840" s="11">
        <v>1</v>
      </c>
    </row>
    <row r="2841" spans="1:6" x14ac:dyDescent="0.35">
      <c r="A2841" t="s">
        <v>2856</v>
      </c>
      <c r="B2841" t="s">
        <v>2865</v>
      </c>
      <c r="C2841" t="s">
        <v>1544</v>
      </c>
      <c r="D2841" t="s">
        <v>2876</v>
      </c>
      <c r="E2841">
        <v>5622</v>
      </c>
      <c r="F2841" s="11">
        <v>1</v>
      </c>
    </row>
    <row r="2842" spans="1:6" x14ac:dyDescent="0.35">
      <c r="A2842" t="s">
        <v>2856</v>
      </c>
      <c r="B2842" t="s">
        <v>2865</v>
      </c>
      <c r="C2842" t="s">
        <v>1544</v>
      </c>
      <c r="D2842" t="s">
        <v>2877</v>
      </c>
      <c r="E2842">
        <v>7808</v>
      </c>
      <c r="F2842" s="11">
        <v>1</v>
      </c>
    </row>
    <row r="2843" spans="1:6" x14ac:dyDescent="0.35">
      <c r="A2843" t="s">
        <v>2856</v>
      </c>
      <c r="B2843" t="s">
        <v>2865</v>
      </c>
      <c r="C2843" t="s">
        <v>1544</v>
      </c>
      <c r="D2843" t="s">
        <v>2878</v>
      </c>
      <c r="E2843">
        <v>1364</v>
      </c>
      <c r="F2843" s="11">
        <v>1</v>
      </c>
    </row>
    <row r="2844" spans="1:6" x14ac:dyDescent="0.35">
      <c r="A2844" t="s">
        <v>2856</v>
      </c>
      <c r="B2844" t="s">
        <v>2865</v>
      </c>
      <c r="C2844" t="s">
        <v>1544</v>
      </c>
      <c r="D2844" t="s">
        <v>2879</v>
      </c>
      <c r="E2844">
        <v>4698</v>
      </c>
      <c r="F2844" s="11">
        <v>1</v>
      </c>
    </row>
    <row r="2845" spans="1:6" x14ac:dyDescent="0.35">
      <c r="A2845" t="s">
        <v>2856</v>
      </c>
      <c r="B2845" t="s">
        <v>2865</v>
      </c>
      <c r="C2845" t="s">
        <v>1544</v>
      </c>
      <c r="D2845" t="s">
        <v>2880</v>
      </c>
      <c r="E2845">
        <v>3417</v>
      </c>
      <c r="F2845" s="11">
        <v>1</v>
      </c>
    </row>
    <row r="2846" spans="1:6" x14ac:dyDescent="0.35">
      <c r="A2846" t="s">
        <v>2856</v>
      </c>
      <c r="B2846" t="s">
        <v>2865</v>
      </c>
      <c r="C2846" t="s">
        <v>1544</v>
      </c>
      <c r="D2846" t="s">
        <v>2881</v>
      </c>
      <c r="E2846">
        <v>781</v>
      </c>
      <c r="F2846" s="11">
        <v>1</v>
      </c>
    </row>
    <row r="2847" spans="1:6" x14ac:dyDescent="0.35">
      <c r="A2847" t="s">
        <v>2856</v>
      </c>
      <c r="B2847" t="s">
        <v>2865</v>
      </c>
      <c r="C2847" t="s">
        <v>1544</v>
      </c>
      <c r="D2847" t="s">
        <v>2882</v>
      </c>
      <c r="E2847">
        <v>21</v>
      </c>
      <c r="F2847" s="11">
        <v>1</v>
      </c>
    </row>
    <row r="2848" spans="1:6" x14ac:dyDescent="0.35">
      <c r="A2848" t="s">
        <v>2856</v>
      </c>
      <c r="B2848" t="s">
        <v>2865</v>
      </c>
      <c r="C2848" t="s">
        <v>1544</v>
      </c>
      <c r="D2848" t="s">
        <v>2883</v>
      </c>
      <c r="E2848">
        <v>0</v>
      </c>
      <c r="F2848" s="11">
        <v>0</v>
      </c>
    </row>
    <row r="2849" spans="1:6" x14ac:dyDescent="0.35">
      <c r="A2849" t="s">
        <v>2856</v>
      </c>
      <c r="B2849" t="s">
        <v>2865</v>
      </c>
      <c r="C2849" t="s">
        <v>1544</v>
      </c>
      <c r="D2849" t="s">
        <v>2884</v>
      </c>
      <c r="E2849">
        <v>0</v>
      </c>
      <c r="F2849" s="11">
        <v>0</v>
      </c>
    </row>
    <row r="2850" spans="1:6" x14ac:dyDescent="0.35">
      <c r="A2850" t="s">
        <v>2856</v>
      </c>
      <c r="B2850" t="s">
        <v>2865</v>
      </c>
      <c r="C2850" t="s">
        <v>1544</v>
      </c>
      <c r="D2850" t="s">
        <v>2885</v>
      </c>
      <c r="E2850">
        <v>0</v>
      </c>
      <c r="F2850" s="11">
        <v>0</v>
      </c>
    </row>
    <row r="2851" spans="1:6" x14ac:dyDescent="0.35">
      <c r="A2851" t="s">
        <v>2856</v>
      </c>
      <c r="B2851" t="s">
        <v>2865</v>
      </c>
      <c r="C2851" t="s">
        <v>1544</v>
      </c>
      <c r="D2851" t="s">
        <v>2886</v>
      </c>
      <c r="E2851">
        <v>0</v>
      </c>
      <c r="F2851" s="11">
        <v>0</v>
      </c>
    </row>
    <row r="2852" spans="1:6" x14ac:dyDescent="0.35">
      <c r="A2852" t="s">
        <v>2856</v>
      </c>
      <c r="B2852" t="s">
        <v>2865</v>
      </c>
      <c r="C2852" t="s">
        <v>1544</v>
      </c>
      <c r="D2852" t="s">
        <v>2887</v>
      </c>
      <c r="E2852">
        <v>69146</v>
      </c>
      <c r="F2852" s="11">
        <v>1</v>
      </c>
    </row>
    <row r="2853" spans="1:6" x14ac:dyDescent="0.35">
      <c r="A2853" t="s">
        <v>2856</v>
      </c>
      <c r="B2853" t="s">
        <v>2865</v>
      </c>
      <c r="C2853" t="s">
        <v>1544</v>
      </c>
      <c r="D2853" t="s">
        <v>2888</v>
      </c>
      <c r="E2853">
        <v>47251</v>
      </c>
      <c r="F2853" s="11">
        <v>1</v>
      </c>
    </row>
    <row r="2854" spans="1:6" x14ac:dyDescent="0.35">
      <c r="A2854" t="s">
        <v>2856</v>
      </c>
      <c r="B2854" t="s">
        <v>2865</v>
      </c>
      <c r="C2854" t="s">
        <v>1544</v>
      </c>
      <c r="D2854" t="s">
        <v>2889</v>
      </c>
      <c r="E2854">
        <v>21603</v>
      </c>
      <c r="F2854" s="11">
        <v>1</v>
      </c>
    </row>
    <row r="2855" spans="1:6" x14ac:dyDescent="0.35">
      <c r="A2855" t="s">
        <v>2856</v>
      </c>
      <c r="B2855" t="s">
        <v>2865</v>
      </c>
      <c r="C2855" t="s">
        <v>1544</v>
      </c>
      <c r="D2855" t="s">
        <v>2890</v>
      </c>
      <c r="E2855">
        <v>292</v>
      </c>
      <c r="F2855" s="11">
        <v>1</v>
      </c>
    </row>
    <row r="2856" spans="1:6" x14ac:dyDescent="0.35">
      <c r="A2856" t="s">
        <v>2856</v>
      </c>
      <c r="B2856" t="s">
        <v>2865</v>
      </c>
      <c r="C2856" t="s">
        <v>1544</v>
      </c>
      <c r="D2856" t="s">
        <v>2891</v>
      </c>
      <c r="E2856">
        <v>0</v>
      </c>
      <c r="F2856" s="11">
        <v>0</v>
      </c>
    </row>
    <row r="2857" spans="1:6" x14ac:dyDescent="0.35">
      <c r="A2857" t="s">
        <v>2856</v>
      </c>
      <c r="B2857" t="s">
        <v>2865</v>
      </c>
      <c r="C2857" t="s">
        <v>1544</v>
      </c>
      <c r="D2857" t="s">
        <v>2892</v>
      </c>
      <c r="E2857">
        <v>0</v>
      </c>
      <c r="F2857" s="11">
        <v>0</v>
      </c>
    </row>
    <row r="2858" spans="1:6" x14ac:dyDescent="0.35">
      <c r="A2858" t="s">
        <v>2856</v>
      </c>
      <c r="B2858" t="s">
        <v>2865</v>
      </c>
      <c r="C2858" t="s">
        <v>1544</v>
      </c>
      <c r="D2858" t="s">
        <v>2893</v>
      </c>
      <c r="E2858">
        <v>0</v>
      </c>
      <c r="F2858" s="11">
        <v>0</v>
      </c>
    </row>
    <row r="2859" spans="1:6" x14ac:dyDescent="0.35">
      <c r="A2859" t="s">
        <v>2856</v>
      </c>
      <c r="B2859" t="s">
        <v>2865</v>
      </c>
      <c r="C2859" t="s">
        <v>1544</v>
      </c>
      <c r="D2859" t="s">
        <v>2894</v>
      </c>
      <c r="E2859">
        <v>0</v>
      </c>
      <c r="F2859" s="11">
        <v>0</v>
      </c>
    </row>
    <row r="2860" spans="1:6" x14ac:dyDescent="0.35">
      <c r="A2860" t="s">
        <v>2856</v>
      </c>
      <c r="B2860" t="s">
        <v>2865</v>
      </c>
      <c r="C2860" t="s">
        <v>1544</v>
      </c>
      <c r="D2860" t="s">
        <v>2895</v>
      </c>
      <c r="E2860">
        <v>232740</v>
      </c>
      <c r="F2860" s="11">
        <v>1</v>
      </c>
    </row>
    <row r="2861" spans="1:6" x14ac:dyDescent="0.35">
      <c r="A2861" t="s">
        <v>2856</v>
      </c>
      <c r="B2861" t="s">
        <v>2865</v>
      </c>
      <c r="C2861" t="s">
        <v>1544</v>
      </c>
      <c r="D2861" t="s">
        <v>2896</v>
      </c>
      <c r="E2861">
        <v>127456</v>
      </c>
      <c r="F2861" s="11">
        <v>1</v>
      </c>
    </row>
    <row r="2862" spans="1:6" x14ac:dyDescent="0.35">
      <c r="A2862" t="s">
        <v>2856</v>
      </c>
      <c r="B2862" t="s">
        <v>2865</v>
      </c>
      <c r="C2862" t="s">
        <v>1544</v>
      </c>
      <c r="D2862" t="s">
        <v>2897</v>
      </c>
      <c r="E2862">
        <v>102583</v>
      </c>
      <c r="F2862" s="11">
        <v>1</v>
      </c>
    </row>
    <row r="2863" spans="1:6" x14ac:dyDescent="0.35">
      <c r="A2863" t="s">
        <v>2856</v>
      </c>
      <c r="B2863" t="s">
        <v>2865</v>
      </c>
      <c r="C2863" t="s">
        <v>1544</v>
      </c>
      <c r="D2863" t="s">
        <v>2898</v>
      </c>
      <c r="E2863">
        <v>2701</v>
      </c>
      <c r="F2863" s="11">
        <v>1</v>
      </c>
    </row>
    <row r="2864" spans="1:6" x14ac:dyDescent="0.35">
      <c r="A2864" t="s">
        <v>2856</v>
      </c>
      <c r="B2864" t="s">
        <v>2865</v>
      </c>
      <c r="C2864" t="s">
        <v>1544</v>
      </c>
      <c r="D2864" t="s">
        <v>2899</v>
      </c>
      <c r="E2864">
        <v>997</v>
      </c>
      <c r="F2864" s="11">
        <v>1</v>
      </c>
    </row>
    <row r="2865" spans="1:6" x14ac:dyDescent="0.35">
      <c r="A2865" t="s">
        <v>2856</v>
      </c>
      <c r="B2865" t="s">
        <v>2865</v>
      </c>
      <c r="C2865" t="s">
        <v>1544</v>
      </c>
      <c r="D2865" t="s">
        <v>2900</v>
      </c>
      <c r="E2865">
        <v>906</v>
      </c>
      <c r="F2865" s="11">
        <v>1</v>
      </c>
    </row>
    <row r="2866" spans="1:6" x14ac:dyDescent="0.35">
      <c r="A2866" t="s">
        <v>2856</v>
      </c>
      <c r="B2866" t="s">
        <v>2865</v>
      </c>
      <c r="C2866" t="s">
        <v>1544</v>
      </c>
      <c r="D2866" t="s">
        <v>2901</v>
      </c>
      <c r="E2866">
        <v>88</v>
      </c>
      <c r="F2866" s="11">
        <v>1</v>
      </c>
    </row>
    <row r="2867" spans="1:6" x14ac:dyDescent="0.35">
      <c r="A2867" t="s">
        <v>2856</v>
      </c>
      <c r="B2867" t="s">
        <v>2865</v>
      </c>
      <c r="C2867" t="s">
        <v>1544</v>
      </c>
      <c r="D2867" t="s">
        <v>2902</v>
      </c>
      <c r="E2867">
        <v>3</v>
      </c>
      <c r="F2867" s="11">
        <v>1</v>
      </c>
    </row>
    <row r="2868" spans="1:6" x14ac:dyDescent="0.35">
      <c r="A2868" t="s">
        <v>2856</v>
      </c>
      <c r="B2868" t="s">
        <v>2865</v>
      </c>
      <c r="C2868" t="s">
        <v>1544</v>
      </c>
      <c r="D2868" t="s">
        <v>2903</v>
      </c>
      <c r="E2868">
        <v>43796</v>
      </c>
      <c r="F2868" s="11">
        <v>1</v>
      </c>
    </row>
    <row r="2869" spans="1:6" x14ac:dyDescent="0.35">
      <c r="A2869" t="s">
        <v>2856</v>
      </c>
      <c r="B2869" t="s">
        <v>2865</v>
      </c>
      <c r="C2869" t="s">
        <v>1544</v>
      </c>
      <c r="D2869" t="s">
        <v>2904</v>
      </c>
      <c r="E2869">
        <v>39325</v>
      </c>
      <c r="F2869" s="11">
        <v>1</v>
      </c>
    </row>
    <row r="2870" spans="1:6" x14ac:dyDescent="0.35">
      <c r="A2870" t="s">
        <v>2856</v>
      </c>
      <c r="B2870" t="s">
        <v>2865</v>
      </c>
      <c r="C2870" t="s">
        <v>1544</v>
      </c>
      <c r="D2870" t="s">
        <v>2905</v>
      </c>
      <c r="E2870">
        <v>2431</v>
      </c>
      <c r="F2870" s="11">
        <v>1</v>
      </c>
    </row>
    <row r="2871" spans="1:6" x14ac:dyDescent="0.35">
      <c r="A2871" t="s">
        <v>2856</v>
      </c>
      <c r="B2871" t="s">
        <v>2865</v>
      </c>
      <c r="C2871" t="s">
        <v>1544</v>
      </c>
      <c r="D2871" t="s">
        <v>2906</v>
      </c>
      <c r="E2871">
        <v>2040</v>
      </c>
      <c r="F2871" s="11">
        <v>1</v>
      </c>
    </row>
    <row r="2872" spans="1:6" x14ac:dyDescent="0.35">
      <c r="A2872" t="s">
        <v>2856</v>
      </c>
      <c r="B2872" t="s">
        <v>2865</v>
      </c>
      <c r="C2872" t="s">
        <v>1544</v>
      </c>
      <c r="D2872" t="s">
        <v>2907</v>
      </c>
      <c r="E2872">
        <v>56753</v>
      </c>
      <c r="F2872" s="11">
        <v>1</v>
      </c>
    </row>
    <row r="2873" spans="1:6" x14ac:dyDescent="0.35">
      <c r="A2873" t="s">
        <v>2856</v>
      </c>
      <c r="B2873" t="s">
        <v>2865</v>
      </c>
      <c r="C2873" t="s">
        <v>1544</v>
      </c>
      <c r="D2873" t="s">
        <v>2908</v>
      </c>
      <c r="E2873">
        <v>50033</v>
      </c>
      <c r="F2873" s="11">
        <v>1</v>
      </c>
    </row>
    <row r="2874" spans="1:6" x14ac:dyDescent="0.35">
      <c r="A2874" t="s">
        <v>2856</v>
      </c>
      <c r="B2874" t="s">
        <v>2865</v>
      </c>
      <c r="C2874" t="s">
        <v>1544</v>
      </c>
      <c r="D2874" t="s">
        <v>2909</v>
      </c>
      <c r="E2874">
        <v>4425</v>
      </c>
      <c r="F2874" s="11">
        <v>1</v>
      </c>
    </row>
    <row r="2875" spans="1:6" x14ac:dyDescent="0.35">
      <c r="A2875" t="s">
        <v>2856</v>
      </c>
      <c r="B2875" t="s">
        <v>2865</v>
      </c>
      <c r="C2875" t="s">
        <v>1544</v>
      </c>
      <c r="D2875" t="s">
        <v>2910</v>
      </c>
      <c r="E2875">
        <v>2205</v>
      </c>
      <c r="F2875" s="11">
        <v>1</v>
      </c>
    </row>
    <row r="2876" spans="1:6" x14ac:dyDescent="0.35">
      <c r="A2876" t="s">
        <v>2856</v>
      </c>
      <c r="B2876" t="s">
        <v>2865</v>
      </c>
      <c r="C2876" t="s">
        <v>1544</v>
      </c>
      <c r="D2876" t="s">
        <v>2911</v>
      </c>
      <c r="E2876">
        <v>176247</v>
      </c>
      <c r="F2876" s="11">
        <v>1</v>
      </c>
    </row>
    <row r="2877" spans="1:6" x14ac:dyDescent="0.35">
      <c r="A2877" t="s">
        <v>2856</v>
      </c>
      <c r="B2877" t="s">
        <v>2865</v>
      </c>
      <c r="C2877" t="s">
        <v>1544</v>
      </c>
      <c r="D2877" t="s">
        <v>2912</v>
      </c>
      <c r="E2877">
        <v>663453</v>
      </c>
      <c r="F2877" s="11">
        <v>1</v>
      </c>
    </row>
    <row r="2878" spans="1:6" x14ac:dyDescent="0.35">
      <c r="A2878" t="s">
        <v>2856</v>
      </c>
      <c r="B2878" t="s">
        <v>2865</v>
      </c>
      <c r="C2878" t="s">
        <v>1544</v>
      </c>
      <c r="D2878" t="s">
        <v>2913</v>
      </c>
      <c r="E2878">
        <v>13</v>
      </c>
      <c r="F2878" s="11">
        <v>1</v>
      </c>
    </row>
    <row r="2879" spans="1:6" x14ac:dyDescent="0.35">
      <c r="A2879" t="s">
        <v>2856</v>
      </c>
      <c r="B2879" t="s">
        <v>2865</v>
      </c>
      <c r="C2879" t="s">
        <v>1544</v>
      </c>
      <c r="D2879" t="s">
        <v>2914</v>
      </c>
      <c r="E2879">
        <v>0</v>
      </c>
      <c r="F2879" s="11">
        <v>0</v>
      </c>
    </row>
    <row r="2880" spans="1:6" x14ac:dyDescent="0.35">
      <c r="A2880" t="s">
        <v>2856</v>
      </c>
      <c r="B2880" t="s">
        <v>2865</v>
      </c>
      <c r="C2880" t="s">
        <v>1544</v>
      </c>
      <c r="D2880" t="s">
        <v>2915</v>
      </c>
      <c r="E2880">
        <v>67</v>
      </c>
      <c r="F2880" s="11">
        <v>1</v>
      </c>
    </row>
    <row r="2881" spans="1:6" x14ac:dyDescent="0.35">
      <c r="A2881" t="s">
        <v>2856</v>
      </c>
      <c r="B2881" t="s">
        <v>2865</v>
      </c>
      <c r="C2881" t="s">
        <v>1544</v>
      </c>
      <c r="D2881" t="s">
        <v>2916</v>
      </c>
      <c r="E2881">
        <v>76408</v>
      </c>
      <c r="F2881" s="11">
        <v>1</v>
      </c>
    </row>
    <row r="2882" spans="1:6" x14ac:dyDescent="0.35">
      <c r="A2882" t="s">
        <v>2856</v>
      </c>
      <c r="B2882" t="s">
        <v>2865</v>
      </c>
      <c r="C2882" t="s">
        <v>1544</v>
      </c>
      <c r="D2882" t="s">
        <v>2917</v>
      </c>
      <c r="E2882">
        <v>0</v>
      </c>
      <c r="F2882" s="11">
        <v>0</v>
      </c>
    </row>
    <row r="2883" spans="1:6" x14ac:dyDescent="0.35">
      <c r="A2883" t="s">
        <v>2856</v>
      </c>
      <c r="B2883" t="s">
        <v>2864</v>
      </c>
      <c r="C2883" t="s">
        <v>1442</v>
      </c>
      <c r="D2883" t="s">
        <v>2875</v>
      </c>
      <c r="E2883">
        <v>68809</v>
      </c>
      <c r="F2883" s="11">
        <v>1</v>
      </c>
    </row>
    <row r="2884" spans="1:6" x14ac:dyDescent="0.35">
      <c r="A2884" t="s">
        <v>2856</v>
      </c>
      <c r="B2884" t="s">
        <v>2864</v>
      </c>
      <c r="C2884" t="s">
        <v>1442</v>
      </c>
      <c r="D2884" t="s">
        <v>2876</v>
      </c>
      <c r="E2884">
        <v>25964</v>
      </c>
      <c r="F2884" s="11">
        <v>1</v>
      </c>
    </row>
    <row r="2885" spans="1:6" x14ac:dyDescent="0.35">
      <c r="A2885" t="s">
        <v>2856</v>
      </c>
      <c r="B2885" t="s">
        <v>2864</v>
      </c>
      <c r="C2885" t="s">
        <v>1442</v>
      </c>
      <c r="D2885" t="s">
        <v>2877</v>
      </c>
      <c r="E2885">
        <v>38302</v>
      </c>
      <c r="F2885" s="11">
        <v>1</v>
      </c>
    </row>
    <row r="2886" spans="1:6" x14ac:dyDescent="0.35">
      <c r="A2886" t="s">
        <v>2856</v>
      </c>
      <c r="B2886" t="s">
        <v>2864</v>
      </c>
      <c r="C2886" t="s">
        <v>1442</v>
      </c>
      <c r="D2886" t="s">
        <v>2878</v>
      </c>
      <c r="E2886">
        <v>4543</v>
      </c>
      <c r="F2886" s="11">
        <v>1</v>
      </c>
    </row>
    <row r="2887" spans="1:6" x14ac:dyDescent="0.35">
      <c r="A2887" t="s">
        <v>2856</v>
      </c>
      <c r="B2887" t="s">
        <v>2864</v>
      </c>
      <c r="C2887" t="s">
        <v>1442</v>
      </c>
      <c r="D2887" t="s">
        <v>2879</v>
      </c>
      <c r="E2887">
        <v>12879</v>
      </c>
      <c r="F2887" s="11">
        <v>1</v>
      </c>
    </row>
    <row r="2888" spans="1:6" x14ac:dyDescent="0.35">
      <c r="A2888" t="s">
        <v>2856</v>
      </c>
      <c r="B2888" t="s">
        <v>2864</v>
      </c>
      <c r="C2888" t="s">
        <v>1442</v>
      </c>
      <c r="D2888" t="s">
        <v>2880</v>
      </c>
      <c r="E2888">
        <v>4650</v>
      </c>
      <c r="F2888" s="11">
        <v>1</v>
      </c>
    </row>
    <row r="2889" spans="1:6" x14ac:dyDescent="0.35">
      <c r="A2889" t="s">
        <v>2856</v>
      </c>
      <c r="B2889" t="s">
        <v>2864</v>
      </c>
      <c r="C2889" t="s">
        <v>1442</v>
      </c>
      <c r="D2889" t="s">
        <v>2881</v>
      </c>
      <c r="E2889">
        <v>8229</v>
      </c>
      <c r="F2889" s="11">
        <v>0</v>
      </c>
    </row>
    <row r="2890" spans="1:6" x14ac:dyDescent="0.35">
      <c r="A2890" t="s">
        <v>2856</v>
      </c>
      <c r="B2890" t="s">
        <v>2864</v>
      </c>
      <c r="C2890" t="s">
        <v>1442</v>
      </c>
      <c r="D2890" t="s">
        <v>2882</v>
      </c>
      <c r="E2890">
        <v>0</v>
      </c>
      <c r="F2890" s="11">
        <v>1</v>
      </c>
    </row>
    <row r="2891" spans="1:6" x14ac:dyDescent="0.35">
      <c r="A2891" t="s">
        <v>2856</v>
      </c>
      <c r="B2891" t="s">
        <v>2864</v>
      </c>
      <c r="C2891" t="s">
        <v>1442</v>
      </c>
      <c r="D2891" t="s">
        <v>2883</v>
      </c>
      <c r="E2891">
        <v>0</v>
      </c>
      <c r="F2891" s="11">
        <v>0</v>
      </c>
    </row>
    <row r="2892" spans="1:6" x14ac:dyDescent="0.35">
      <c r="A2892" t="s">
        <v>2856</v>
      </c>
      <c r="B2892" t="s">
        <v>2864</v>
      </c>
      <c r="C2892" t="s">
        <v>1442</v>
      </c>
      <c r="D2892" t="s">
        <v>2884</v>
      </c>
      <c r="E2892">
        <v>0</v>
      </c>
      <c r="F2892" s="11">
        <v>0</v>
      </c>
    </row>
    <row r="2893" spans="1:6" x14ac:dyDescent="0.35">
      <c r="A2893" t="s">
        <v>2856</v>
      </c>
      <c r="B2893" t="s">
        <v>2864</v>
      </c>
      <c r="C2893" t="s">
        <v>1442</v>
      </c>
      <c r="D2893" t="s">
        <v>2885</v>
      </c>
      <c r="E2893">
        <v>0</v>
      </c>
      <c r="F2893" s="11">
        <v>0</v>
      </c>
    </row>
    <row r="2894" spans="1:6" x14ac:dyDescent="0.35">
      <c r="A2894" t="s">
        <v>2856</v>
      </c>
      <c r="B2894" t="s">
        <v>2864</v>
      </c>
      <c r="C2894" t="s">
        <v>1442</v>
      </c>
      <c r="D2894" t="s">
        <v>2886</v>
      </c>
      <c r="E2894">
        <v>0</v>
      </c>
      <c r="F2894" s="11">
        <v>0</v>
      </c>
    </row>
    <row r="2895" spans="1:6" x14ac:dyDescent="0.35">
      <c r="A2895" t="s">
        <v>2856</v>
      </c>
      <c r="B2895" t="s">
        <v>2864</v>
      </c>
      <c r="C2895" t="s">
        <v>1442</v>
      </c>
      <c r="D2895" t="s">
        <v>2887</v>
      </c>
      <c r="E2895">
        <v>224574</v>
      </c>
      <c r="F2895" s="11">
        <v>1</v>
      </c>
    </row>
    <row r="2896" spans="1:6" x14ac:dyDescent="0.35">
      <c r="A2896" t="s">
        <v>2856</v>
      </c>
      <c r="B2896" t="s">
        <v>2864</v>
      </c>
      <c r="C2896" t="s">
        <v>1442</v>
      </c>
      <c r="D2896" t="s">
        <v>2888</v>
      </c>
      <c r="E2896">
        <v>48157</v>
      </c>
      <c r="F2896" s="11">
        <v>1</v>
      </c>
    </row>
    <row r="2897" spans="1:6" x14ac:dyDescent="0.35">
      <c r="A2897" t="s">
        <v>2856</v>
      </c>
      <c r="B2897" t="s">
        <v>2864</v>
      </c>
      <c r="C2897" t="s">
        <v>1442</v>
      </c>
      <c r="D2897" t="s">
        <v>2889</v>
      </c>
      <c r="E2897">
        <v>176417</v>
      </c>
      <c r="F2897" s="11">
        <v>0</v>
      </c>
    </row>
    <row r="2898" spans="1:6" x14ac:dyDescent="0.35">
      <c r="A2898" t="s">
        <v>2856</v>
      </c>
      <c r="B2898" t="s">
        <v>2864</v>
      </c>
      <c r="C2898" t="s">
        <v>1442</v>
      </c>
      <c r="D2898" t="s">
        <v>2890</v>
      </c>
      <c r="E2898">
        <v>0</v>
      </c>
      <c r="F2898" s="11">
        <v>1</v>
      </c>
    </row>
    <row r="2899" spans="1:6" x14ac:dyDescent="0.35">
      <c r="A2899" t="s">
        <v>2856</v>
      </c>
      <c r="B2899" t="s">
        <v>2864</v>
      </c>
      <c r="C2899" t="s">
        <v>1442</v>
      </c>
      <c r="D2899" t="s">
        <v>2891</v>
      </c>
      <c r="E2899">
        <v>0</v>
      </c>
      <c r="F2899" s="11">
        <v>0</v>
      </c>
    </row>
    <row r="2900" spans="1:6" x14ac:dyDescent="0.35">
      <c r="A2900" t="s">
        <v>2856</v>
      </c>
      <c r="B2900" t="s">
        <v>2864</v>
      </c>
      <c r="C2900" t="s">
        <v>1442</v>
      </c>
      <c r="D2900" t="s">
        <v>2892</v>
      </c>
      <c r="E2900">
        <v>0</v>
      </c>
      <c r="F2900" s="11">
        <v>0</v>
      </c>
    </row>
    <row r="2901" spans="1:6" x14ac:dyDescent="0.35">
      <c r="A2901" t="s">
        <v>2856</v>
      </c>
      <c r="B2901" t="s">
        <v>2864</v>
      </c>
      <c r="C2901" t="s">
        <v>1442</v>
      </c>
      <c r="D2901" t="s">
        <v>2893</v>
      </c>
      <c r="E2901">
        <v>0</v>
      </c>
      <c r="F2901" s="11">
        <v>0</v>
      </c>
    </row>
    <row r="2902" spans="1:6" x14ac:dyDescent="0.35">
      <c r="A2902" t="s">
        <v>2856</v>
      </c>
      <c r="B2902" t="s">
        <v>2864</v>
      </c>
      <c r="C2902" t="s">
        <v>1442</v>
      </c>
      <c r="D2902" t="s">
        <v>2894</v>
      </c>
      <c r="E2902">
        <v>0</v>
      </c>
      <c r="F2902" s="11">
        <v>0</v>
      </c>
    </row>
    <row r="2903" spans="1:6" x14ac:dyDescent="0.35">
      <c r="A2903" t="s">
        <v>2856</v>
      </c>
      <c r="B2903" t="s">
        <v>2864</v>
      </c>
      <c r="C2903" t="s">
        <v>1442</v>
      </c>
      <c r="D2903" t="s">
        <v>2895</v>
      </c>
      <c r="E2903">
        <v>2976281</v>
      </c>
      <c r="F2903" s="11">
        <v>1</v>
      </c>
    </row>
    <row r="2904" spans="1:6" x14ac:dyDescent="0.35">
      <c r="A2904" t="s">
        <v>2856</v>
      </c>
      <c r="B2904" t="s">
        <v>2864</v>
      </c>
      <c r="C2904" t="s">
        <v>1442</v>
      </c>
      <c r="D2904" t="s">
        <v>2896</v>
      </c>
      <c r="E2904">
        <v>1356698</v>
      </c>
      <c r="F2904" s="11">
        <v>1</v>
      </c>
    </row>
    <row r="2905" spans="1:6" x14ac:dyDescent="0.35">
      <c r="A2905" t="s">
        <v>2856</v>
      </c>
      <c r="B2905" t="s">
        <v>2864</v>
      </c>
      <c r="C2905" t="s">
        <v>1442</v>
      </c>
      <c r="D2905" t="s">
        <v>2897</v>
      </c>
      <c r="E2905">
        <v>1619583</v>
      </c>
      <c r="F2905" s="11">
        <v>0</v>
      </c>
    </row>
    <row r="2906" spans="1:6" x14ac:dyDescent="0.35">
      <c r="A2906" t="s">
        <v>2856</v>
      </c>
      <c r="B2906" t="s">
        <v>2864</v>
      </c>
      <c r="C2906" t="s">
        <v>1442</v>
      </c>
      <c r="D2906" t="s">
        <v>2898</v>
      </c>
      <c r="E2906">
        <v>0</v>
      </c>
      <c r="F2906" s="11">
        <v>1</v>
      </c>
    </row>
    <row r="2907" spans="1:6" x14ac:dyDescent="0.35">
      <c r="A2907" t="s">
        <v>2856</v>
      </c>
      <c r="B2907" t="s">
        <v>2864</v>
      </c>
      <c r="C2907" t="s">
        <v>1442</v>
      </c>
      <c r="D2907" t="s">
        <v>2899</v>
      </c>
      <c r="E2907">
        <v>10876</v>
      </c>
      <c r="F2907" s="11">
        <v>1</v>
      </c>
    </row>
    <row r="2908" spans="1:6" x14ac:dyDescent="0.35">
      <c r="A2908" t="s">
        <v>2856</v>
      </c>
      <c r="B2908" t="s">
        <v>2864</v>
      </c>
      <c r="C2908" t="s">
        <v>1442</v>
      </c>
      <c r="D2908" t="s">
        <v>2900</v>
      </c>
      <c r="E2908">
        <v>0</v>
      </c>
      <c r="F2908" s="11">
        <v>0</v>
      </c>
    </row>
    <row r="2909" spans="1:6" x14ac:dyDescent="0.35">
      <c r="A2909" t="s">
        <v>2856</v>
      </c>
      <c r="B2909" t="s">
        <v>2864</v>
      </c>
      <c r="C2909" t="s">
        <v>1442</v>
      </c>
      <c r="D2909" t="s">
        <v>2901</v>
      </c>
      <c r="E2909">
        <v>0</v>
      </c>
      <c r="F2909" s="11">
        <v>0</v>
      </c>
    </row>
    <row r="2910" spans="1:6" x14ac:dyDescent="0.35">
      <c r="A2910" t="s">
        <v>2856</v>
      </c>
      <c r="B2910" t="s">
        <v>2864</v>
      </c>
      <c r="C2910" t="s">
        <v>1442</v>
      </c>
      <c r="D2910" t="s">
        <v>2902</v>
      </c>
      <c r="E2910">
        <v>0</v>
      </c>
      <c r="F2910" s="11">
        <v>0</v>
      </c>
    </row>
    <row r="2911" spans="1:6" x14ac:dyDescent="0.35">
      <c r="A2911" t="s">
        <v>2856</v>
      </c>
      <c r="B2911" t="s">
        <v>2864</v>
      </c>
      <c r="C2911" t="s">
        <v>1442</v>
      </c>
      <c r="D2911" t="s">
        <v>2903</v>
      </c>
      <c r="E2911">
        <v>180668</v>
      </c>
      <c r="F2911" s="11">
        <v>1</v>
      </c>
    </row>
    <row r="2912" spans="1:6" x14ac:dyDescent="0.35">
      <c r="A2912" t="s">
        <v>2856</v>
      </c>
      <c r="B2912" t="s">
        <v>2864</v>
      </c>
      <c r="C2912" t="s">
        <v>1442</v>
      </c>
      <c r="D2912" t="s">
        <v>2904</v>
      </c>
      <c r="E2912">
        <v>0</v>
      </c>
      <c r="F2912" s="11">
        <v>0</v>
      </c>
    </row>
    <row r="2913" spans="1:6" x14ac:dyDescent="0.35">
      <c r="A2913" t="s">
        <v>2856</v>
      </c>
      <c r="B2913" t="s">
        <v>2864</v>
      </c>
      <c r="C2913" t="s">
        <v>1442</v>
      </c>
      <c r="D2913" t="s">
        <v>2905</v>
      </c>
      <c r="E2913">
        <v>0</v>
      </c>
      <c r="F2913" s="11">
        <v>0</v>
      </c>
    </row>
    <row r="2914" spans="1:6" x14ac:dyDescent="0.35">
      <c r="A2914" t="s">
        <v>2856</v>
      </c>
      <c r="B2914" t="s">
        <v>2864</v>
      </c>
      <c r="C2914" t="s">
        <v>1442</v>
      </c>
      <c r="D2914" t="s">
        <v>2906</v>
      </c>
      <c r="E2914">
        <v>0</v>
      </c>
      <c r="F2914" s="11">
        <v>0</v>
      </c>
    </row>
    <row r="2915" spans="1:6" x14ac:dyDescent="0.35">
      <c r="A2915" t="s">
        <v>2856</v>
      </c>
      <c r="B2915" t="s">
        <v>2864</v>
      </c>
      <c r="C2915" t="s">
        <v>1442</v>
      </c>
      <c r="D2915" t="s">
        <v>2907</v>
      </c>
      <c r="E2915">
        <v>182342</v>
      </c>
      <c r="F2915" s="11">
        <v>1</v>
      </c>
    </row>
    <row r="2916" spans="1:6" x14ac:dyDescent="0.35">
      <c r="A2916" t="s">
        <v>2856</v>
      </c>
      <c r="B2916" t="s">
        <v>2864</v>
      </c>
      <c r="C2916" t="s">
        <v>1442</v>
      </c>
      <c r="D2916" t="s">
        <v>2908</v>
      </c>
      <c r="E2916">
        <v>0</v>
      </c>
      <c r="F2916" s="11">
        <v>0</v>
      </c>
    </row>
    <row r="2917" spans="1:6" x14ac:dyDescent="0.35">
      <c r="A2917" t="s">
        <v>2856</v>
      </c>
      <c r="B2917" t="s">
        <v>2864</v>
      </c>
      <c r="C2917" t="s">
        <v>1442</v>
      </c>
      <c r="D2917" t="s">
        <v>2909</v>
      </c>
      <c r="E2917">
        <v>0</v>
      </c>
      <c r="F2917" s="11">
        <v>0</v>
      </c>
    </row>
    <row r="2918" spans="1:6" x14ac:dyDescent="0.35">
      <c r="A2918" t="s">
        <v>2856</v>
      </c>
      <c r="B2918" t="s">
        <v>2864</v>
      </c>
      <c r="C2918" t="s">
        <v>1442</v>
      </c>
      <c r="D2918" t="s">
        <v>2910</v>
      </c>
      <c r="E2918">
        <v>0</v>
      </c>
      <c r="F2918" s="11">
        <v>0</v>
      </c>
    </row>
    <row r="2919" spans="1:6" x14ac:dyDescent="0.35">
      <c r="A2919" t="s">
        <v>2856</v>
      </c>
      <c r="B2919" t="s">
        <v>2864</v>
      </c>
      <c r="C2919" t="s">
        <v>1442</v>
      </c>
      <c r="D2919" t="s">
        <v>2911</v>
      </c>
      <c r="E2919">
        <v>2021941</v>
      </c>
      <c r="F2919" s="11">
        <v>1</v>
      </c>
    </row>
    <row r="2920" spans="1:6" x14ac:dyDescent="0.35">
      <c r="A2920" t="s">
        <v>2856</v>
      </c>
      <c r="B2920" t="s">
        <v>2864</v>
      </c>
      <c r="C2920" t="s">
        <v>1442</v>
      </c>
      <c r="D2920" t="s">
        <v>2912</v>
      </c>
      <c r="E2920">
        <v>0</v>
      </c>
      <c r="F2920" s="11">
        <v>0</v>
      </c>
    </row>
    <row r="2921" spans="1:6" x14ac:dyDescent="0.35">
      <c r="A2921" t="s">
        <v>2856</v>
      </c>
      <c r="B2921" t="s">
        <v>2864</v>
      </c>
      <c r="C2921" t="s">
        <v>1442</v>
      </c>
      <c r="D2921" t="s">
        <v>2913</v>
      </c>
      <c r="E2921">
        <v>0</v>
      </c>
      <c r="F2921" s="11">
        <v>0</v>
      </c>
    </row>
    <row r="2922" spans="1:6" x14ac:dyDescent="0.35">
      <c r="A2922" t="s">
        <v>2856</v>
      </c>
      <c r="B2922" t="s">
        <v>2864</v>
      </c>
      <c r="C2922" t="s">
        <v>1442</v>
      </c>
      <c r="D2922" t="s">
        <v>2914</v>
      </c>
      <c r="E2922">
        <v>0</v>
      </c>
      <c r="F2922" s="11">
        <v>0</v>
      </c>
    </row>
    <row r="2923" spans="1:6" x14ac:dyDescent="0.35">
      <c r="A2923" t="s">
        <v>2856</v>
      </c>
      <c r="B2923" t="s">
        <v>2864</v>
      </c>
      <c r="C2923" t="s">
        <v>1442</v>
      </c>
      <c r="D2923" t="s">
        <v>2915</v>
      </c>
      <c r="E2923">
        <v>14736</v>
      </c>
      <c r="F2923" s="11">
        <v>1</v>
      </c>
    </row>
    <row r="2924" spans="1:6" x14ac:dyDescent="0.35">
      <c r="A2924" t="s">
        <v>2856</v>
      </c>
      <c r="B2924" t="s">
        <v>2864</v>
      </c>
      <c r="C2924" t="s">
        <v>1442</v>
      </c>
      <c r="D2924" t="s">
        <v>2916</v>
      </c>
      <c r="E2924">
        <v>74593</v>
      </c>
      <c r="F2924" s="11">
        <v>1</v>
      </c>
    </row>
    <row r="2925" spans="1:6" x14ac:dyDescent="0.35">
      <c r="A2925" t="s">
        <v>2856</v>
      </c>
      <c r="B2925" t="s">
        <v>2864</v>
      </c>
      <c r="C2925" t="s">
        <v>1442</v>
      </c>
      <c r="D2925" t="s">
        <v>2917</v>
      </c>
      <c r="E2925">
        <v>145687</v>
      </c>
      <c r="F2925" s="11">
        <v>1</v>
      </c>
    </row>
    <row r="2926" spans="1:6" x14ac:dyDescent="0.35">
      <c r="A2926" t="s">
        <v>2856</v>
      </c>
      <c r="B2926" t="s">
        <v>2862</v>
      </c>
      <c r="C2926" t="s">
        <v>1375</v>
      </c>
      <c r="D2926" t="s">
        <v>2875</v>
      </c>
      <c r="E2926">
        <v>14690</v>
      </c>
      <c r="F2926" s="11">
        <v>1</v>
      </c>
    </row>
    <row r="2927" spans="1:6" x14ac:dyDescent="0.35">
      <c r="A2927" t="s">
        <v>2856</v>
      </c>
      <c r="B2927" t="s">
        <v>2862</v>
      </c>
      <c r="C2927" t="s">
        <v>1375</v>
      </c>
      <c r="D2927" t="s">
        <v>2876</v>
      </c>
      <c r="E2927">
        <v>3441</v>
      </c>
      <c r="F2927" s="11">
        <v>1</v>
      </c>
    </row>
    <row r="2928" spans="1:6" x14ac:dyDescent="0.35">
      <c r="A2928" t="s">
        <v>2856</v>
      </c>
      <c r="B2928" t="s">
        <v>2862</v>
      </c>
      <c r="C2928" t="s">
        <v>1375</v>
      </c>
      <c r="D2928" t="s">
        <v>2877</v>
      </c>
      <c r="E2928">
        <v>10177</v>
      </c>
      <c r="F2928" s="11">
        <v>1</v>
      </c>
    </row>
    <row r="2929" spans="1:6" x14ac:dyDescent="0.35">
      <c r="A2929" t="s">
        <v>2856</v>
      </c>
      <c r="B2929" t="s">
        <v>2862</v>
      </c>
      <c r="C2929" t="s">
        <v>1375</v>
      </c>
      <c r="D2929" t="s">
        <v>2878</v>
      </c>
      <c r="E2929">
        <v>1072</v>
      </c>
      <c r="F2929" s="11">
        <v>1</v>
      </c>
    </row>
    <row r="2930" spans="1:6" x14ac:dyDescent="0.35">
      <c r="A2930" t="s">
        <v>2856</v>
      </c>
      <c r="B2930" t="s">
        <v>2862</v>
      </c>
      <c r="C2930" t="s">
        <v>1375</v>
      </c>
      <c r="D2930" t="s">
        <v>2879</v>
      </c>
      <c r="E2930">
        <v>1541</v>
      </c>
      <c r="F2930" s="11">
        <v>1</v>
      </c>
    </row>
    <row r="2931" spans="1:6" x14ac:dyDescent="0.35">
      <c r="A2931" t="s">
        <v>2856</v>
      </c>
      <c r="B2931" t="s">
        <v>2862</v>
      </c>
      <c r="C2931" t="s">
        <v>1375</v>
      </c>
      <c r="D2931" t="s">
        <v>2880</v>
      </c>
      <c r="E2931">
        <v>410</v>
      </c>
      <c r="F2931" s="11">
        <v>1</v>
      </c>
    </row>
    <row r="2932" spans="1:6" x14ac:dyDescent="0.35">
      <c r="A2932" t="s">
        <v>2856</v>
      </c>
      <c r="B2932" t="s">
        <v>2862</v>
      </c>
      <c r="C2932" t="s">
        <v>1375</v>
      </c>
      <c r="D2932" t="s">
        <v>2881</v>
      </c>
      <c r="E2932">
        <v>1097</v>
      </c>
      <c r="F2932" s="11">
        <v>0</v>
      </c>
    </row>
    <row r="2933" spans="1:6" x14ac:dyDescent="0.35">
      <c r="A2933" t="s">
        <v>2856</v>
      </c>
      <c r="B2933" t="s">
        <v>2862</v>
      </c>
      <c r="C2933" t="s">
        <v>1375</v>
      </c>
      <c r="D2933" t="s">
        <v>2882</v>
      </c>
      <c r="E2933">
        <v>0</v>
      </c>
      <c r="F2933" s="11">
        <v>1</v>
      </c>
    </row>
    <row r="2934" spans="1:6" x14ac:dyDescent="0.35">
      <c r="A2934" t="s">
        <v>2856</v>
      </c>
      <c r="B2934" t="s">
        <v>2862</v>
      </c>
      <c r="C2934" t="s">
        <v>1375</v>
      </c>
      <c r="D2934" t="s">
        <v>2883</v>
      </c>
      <c r="E2934">
        <v>0</v>
      </c>
      <c r="F2934" s="11">
        <v>0</v>
      </c>
    </row>
    <row r="2935" spans="1:6" x14ac:dyDescent="0.35">
      <c r="A2935" t="s">
        <v>2856</v>
      </c>
      <c r="B2935" t="s">
        <v>2862</v>
      </c>
      <c r="C2935" t="s">
        <v>1375</v>
      </c>
      <c r="D2935" t="s">
        <v>2884</v>
      </c>
      <c r="E2935">
        <v>0</v>
      </c>
      <c r="F2935" s="11">
        <v>0</v>
      </c>
    </row>
    <row r="2936" spans="1:6" x14ac:dyDescent="0.35">
      <c r="A2936" t="s">
        <v>2856</v>
      </c>
      <c r="B2936" t="s">
        <v>2862</v>
      </c>
      <c r="C2936" t="s">
        <v>1375</v>
      </c>
      <c r="D2936" t="s">
        <v>2885</v>
      </c>
      <c r="E2936">
        <v>0</v>
      </c>
      <c r="F2936" s="11">
        <v>0</v>
      </c>
    </row>
    <row r="2937" spans="1:6" x14ac:dyDescent="0.35">
      <c r="A2937" t="s">
        <v>2856</v>
      </c>
      <c r="B2937" t="s">
        <v>2862</v>
      </c>
      <c r="C2937" t="s">
        <v>1375</v>
      </c>
      <c r="D2937" t="s">
        <v>2886</v>
      </c>
      <c r="E2937">
        <v>0</v>
      </c>
      <c r="F2937" s="11">
        <v>0</v>
      </c>
    </row>
    <row r="2938" spans="1:6" x14ac:dyDescent="0.35">
      <c r="A2938" t="s">
        <v>2856</v>
      </c>
      <c r="B2938" t="s">
        <v>2862</v>
      </c>
      <c r="C2938" t="s">
        <v>1375</v>
      </c>
      <c r="D2938" t="s">
        <v>2887</v>
      </c>
      <c r="E2938">
        <v>1541</v>
      </c>
      <c r="F2938" s="11">
        <v>1</v>
      </c>
    </row>
    <row r="2939" spans="1:6" x14ac:dyDescent="0.35">
      <c r="A2939" t="s">
        <v>2856</v>
      </c>
      <c r="B2939" t="s">
        <v>2862</v>
      </c>
      <c r="C2939" t="s">
        <v>1375</v>
      </c>
      <c r="D2939" t="s">
        <v>2888</v>
      </c>
      <c r="E2939">
        <v>410</v>
      </c>
      <c r="F2939" s="11">
        <v>1</v>
      </c>
    </row>
    <row r="2940" spans="1:6" x14ac:dyDescent="0.35">
      <c r="A2940" t="s">
        <v>2856</v>
      </c>
      <c r="B2940" t="s">
        <v>2862</v>
      </c>
      <c r="C2940" t="s">
        <v>1375</v>
      </c>
      <c r="D2940" t="s">
        <v>2889</v>
      </c>
      <c r="E2940">
        <v>1097</v>
      </c>
      <c r="F2940" s="11">
        <v>0</v>
      </c>
    </row>
    <row r="2941" spans="1:6" x14ac:dyDescent="0.35">
      <c r="A2941" t="s">
        <v>2856</v>
      </c>
      <c r="B2941" t="s">
        <v>2862</v>
      </c>
      <c r="C2941" t="s">
        <v>1375</v>
      </c>
      <c r="D2941" t="s">
        <v>2890</v>
      </c>
      <c r="E2941">
        <v>0</v>
      </c>
      <c r="F2941" s="11">
        <v>1</v>
      </c>
    </row>
    <row r="2942" spans="1:6" x14ac:dyDescent="0.35">
      <c r="A2942" t="s">
        <v>2856</v>
      </c>
      <c r="B2942" t="s">
        <v>2862</v>
      </c>
      <c r="C2942" t="s">
        <v>1375</v>
      </c>
      <c r="D2942" t="s">
        <v>2891</v>
      </c>
      <c r="E2942">
        <v>0</v>
      </c>
      <c r="F2942" s="11">
        <v>0</v>
      </c>
    </row>
    <row r="2943" spans="1:6" x14ac:dyDescent="0.35">
      <c r="A2943" t="s">
        <v>2856</v>
      </c>
      <c r="B2943" t="s">
        <v>2862</v>
      </c>
      <c r="C2943" t="s">
        <v>1375</v>
      </c>
      <c r="D2943" t="s">
        <v>2892</v>
      </c>
      <c r="E2943">
        <v>0</v>
      </c>
      <c r="F2943" s="11">
        <v>0</v>
      </c>
    </row>
    <row r="2944" spans="1:6" x14ac:dyDescent="0.35">
      <c r="A2944" t="s">
        <v>2856</v>
      </c>
      <c r="B2944" t="s">
        <v>2862</v>
      </c>
      <c r="C2944" t="s">
        <v>1375</v>
      </c>
      <c r="D2944" t="s">
        <v>2893</v>
      </c>
      <c r="E2944">
        <v>0</v>
      </c>
      <c r="F2944" s="11">
        <v>0</v>
      </c>
    </row>
    <row r="2945" spans="1:6" x14ac:dyDescent="0.35">
      <c r="A2945" t="s">
        <v>2856</v>
      </c>
      <c r="B2945" t="s">
        <v>2862</v>
      </c>
      <c r="C2945" t="s">
        <v>1375</v>
      </c>
      <c r="D2945" t="s">
        <v>2894</v>
      </c>
      <c r="E2945">
        <v>0</v>
      </c>
      <c r="F2945" s="11">
        <v>0</v>
      </c>
    </row>
    <row r="2946" spans="1:6" x14ac:dyDescent="0.35">
      <c r="A2946" t="s">
        <v>2856</v>
      </c>
      <c r="B2946" t="s">
        <v>2862</v>
      </c>
      <c r="C2946" t="s">
        <v>1375</v>
      </c>
      <c r="D2946" t="s">
        <v>2895</v>
      </c>
      <c r="E2946">
        <v>229154</v>
      </c>
      <c r="F2946" s="11">
        <v>1</v>
      </c>
    </row>
    <row r="2947" spans="1:6" x14ac:dyDescent="0.35">
      <c r="A2947" t="s">
        <v>2856</v>
      </c>
      <c r="B2947" t="s">
        <v>2862</v>
      </c>
      <c r="C2947" t="s">
        <v>1375</v>
      </c>
      <c r="D2947" t="s">
        <v>2896</v>
      </c>
      <c r="E2947">
        <v>109707</v>
      </c>
      <c r="F2947" s="11">
        <v>0</v>
      </c>
    </row>
    <row r="2948" spans="1:6" x14ac:dyDescent="0.35">
      <c r="A2948" t="s">
        <v>2856</v>
      </c>
      <c r="B2948" t="s">
        <v>2862</v>
      </c>
      <c r="C2948" t="s">
        <v>1375</v>
      </c>
      <c r="D2948" t="s">
        <v>2897</v>
      </c>
      <c r="E2948">
        <v>115399</v>
      </c>
      <c r="F2948" s="11">
        <v>0</v>
      </c>
    </row>
    <row r="2949" spans="1:6" x14ac:dyDescent="0.35">
      <c r="A2949" t="s">
        <v>2856</v>
      </c>
      <c r="B2949" t="s">
        <v>2862</v>
      </c>
      <c r="C2949" t="s">
        <v>1375</v>
      </c>
      <c r="D2949" t="s">
        <v>2898</v>
      </c>
      <c r="E2949">
        <v>4048</v>
      </c>
      <c r="F2949" s="11">
        <v>0</v>
      </c>
    </row>
    <row r="2950" spans="1:6" x14ac:dyDescent="0.35">
      <c r="A2950" t="s">
        <v>2856</v>
      </c>
      <c r="B2950" t="s">
        <v>2862</v>
      </c>
      <c r="C2950" t="s">
        <v>1375</v>
      </c>
      <c r="D2950" t="s">
        <v>2899</v>
      </c>
      <c r="E2950">
        <v>3470</v>
      </c>
      <c r="F2950" s="11">
        <v>1</v>
      </c>
    </row>
    <row r="2951" spans="1:6" x14ac:dyDescent="0.35">
      <c r="A2951" t="s">
        <v>2856</v>
      </c>
      <c r="B2951" t="s">
        <v>2862</v>
      </c>
      <c r="C2951" t="s">
        <v>1375</v>
      </c>
      <c r="D2951" t="s">
        <v>2900</v>
      </c>
      <c r="E2951">
        <v>3252</v>
      </c>
      <c r="F2951" s="11">
        <v>0</v>
      </c>
    </row>
    <row r="2952" spans="1:6" x14ac:dyDescent="0.35">
      <c r="A2952" t="s">
        <v>2856</v>
      </c>
      <c r="B2952" t="s">
        <v>2862</v>
      </c>
      <c r="C2952" t="s">
        <v>1375</v>
      </c>
      <c r="D2952" t="s">
        <v>2901</v>
      </c>
      <c r="E2952">
        <v>218</v>
      </c>
      <c r="F2952" s="11">
        <v>0</v>
      </c>
    </row>
    <row r="2953" spans="1:6" x14ac:dyDescent="0.35">
      <c r="A2953" t="s">
        <v>2856</v>
      </c>
      <c r="B2953" t="s">
        <v>2862</v>
      </c>
      <c r="C2953" t="s">
        <v>1375</v>
      </c>
      <c r="D2953" t="s">
        <v>2902</v>
      </c>
      <c r="E2953">
        <v>0</v>
      </c>
      <c r="F2953" s="11">
        <v>0</v>
      </c>
    </row>
    <row r="2954" spans="1:6" x14ac:dyDescent="0.35">
      <c r="A2954" t="s">
        <v>2856</v>
      </c>
      <c r="B2954" t="s">
        <v>2862</v>
      </c>
      <c r="C2954" t="s">
        <v>1375</v>
      </c>
      <c r="D2954" t="s">
        <v>2903</v>
      </c>
      <c r="E2954">
        <v>16014</v>
      </c>
      <c r="F2954" s="11">
        <v>1</v>
      </c>
    </row>
    <row r="2955" spans="1:6" x14ac:dyDescent="0.35">
      <c r="A2955" t="s">
        <v>2856</v>
      </c>
      <c r="B2955" t="s">
        <v>2862</v>
      </c>
      <c r="C2955" t="s">
        <v>1375</v>
      </c>
      <c r="D2955" t="s">
        <v>2904</v>
      </c>
      <c r="E2955">
        <v>13959</v>
      </c>
      <c r="F2955" s="11">
        <v>1</v>
      </c>
    </row>
    <row r="2956" spans="1:6" x14ac:dyDescent="0.35">
      <c r="A2956" t="s">
        <v>2856</v>
      </c>
      <c r="B2956" t="s">
        <v>2862</v>
      </c>
      <c r="C2956" t="s">
        <v>1375</v>
      </c>
      <c r="D2956" t="s">
        <v>2905</v>
      </c>
      <c r="E2956">
        <v>1636</v>
      </c>
      <c r="F2956" s="11">
        <v>1</v>
      </c>
    </row>
    <row r="2957" spans="1:6" x14ac:dyDescent="0.35">
      <c r="A2957" t="s">
        <v>2856</v>
      </c>
      <c r="B2957" t="s">
        <v>2862</v>
      </c>
      <c r="C2957" t="s">
        <v>1375</v>
      </c>
      <c r="D2957" t="s">
        <v>2906</v>
      </c>
      <c r="E2957">
        <v>419</v>
      </c>
      <c r="F2957" s="11">
        <v>1</v>
      </c>
    </row>
    <row r="2958" spans="1:6" x14ac:dyDescent="0.35">
      <c r="A2958" t="s">
        <v>2856</v>
      </c>
      <c r="B2958" t="s">
        <v>2862</v>
      </c>
      <c r="C2958" t="s">
        <v>1375</v>
      </c>
      <c r="D2958" t="s">
        <v>2907</v>
      </c>
      <c r="E2958">
        <v>21058</v>
      </c>
      <c r="F2958" s="11">
        <v>1</v>
      </c>
    </row>
    <row r="2959" spans="1:6" x14ac:dyDescent="0.35">
      <c r="A2959" t="s">
        <v>2856</v>
      </c>
      <c r="B2959" t="s">
        <v>2862</v>
      </c>
      <c r="C2959" t="s">
        <v>1375</v>
      </c>
      <c r="D2959" t="s">
        <v>2908</v>
      </c>
      <c r="E2959">
        <v>17574</v>
      </c>
      <c r="F2959" s="11">
        <v>1</v>
      </c>
    </row>
    <row r="2960" spans="1:6" x14ac:dyDescent="0.35">
      <c r="A2960" t="s">
        <v>2856</v>
      </c>
      <c r="B2960" t="s">
        <v>2862</v>
      </c>
      <c r="C2960" t="s">
        <v>1375</v>
      </c>
      <c r="D2960" t="s">
        <v>2909</v>
      </c>
      <c r="E2960">
        <v>2806</v>
      </c>
      <c r="F2960" s="11">
        <v>1</v>
      </c>
    </row>
    <row r="2961" spans="1:6" x14ac:dyDescent="0.35">
      <c r="A2961" t="s">
        <v>2856</v>
      </c>
      <c r="B2961" t="s">
        <v>2862</v>
      </c>
      <c r="C2961" t="s">
        <v>1375</v>
      </c>
      <c r="D2961" t="s">
        <v>2910</v>
      </c>
      <c r="E2961">
        <v>678</v>
      </c>
      <c r="F2961" s="11">
        <v>1</v>
      </c>
    </row>
    <row r="2962" spans="1:6" x14ac:dyDescent="0.35">
      <c r="A2962" t="s">
        <v>2856</v>
      </c>
      <c r="B2962" t="s">
        <v>2862</v>
      </c>
      <c r="C2962" t="s">
        <v>1375</v>
      </c>
      <c r="D2962" t="s">
        <v>2911</v>
      </c>
      <c r="E2962">
        <v>136909</v>
      </c>
      <c r="F2962" s="11">
        <v>1</v>
      </c>
    </row>
    <row r="2963" spans="1:6" x14ac:dyDescent="0.35">
      <c r="A2963" t="s">
        <v>2856</v>
      </c>
      <c r="B2963" t="s">
        <v>2862</v>
      </c>
      <c r="C2963" t="s">
        <v>1375</v>
      </c>
      <c r="D2963" t="s">
        <v>2912</v>
      </c>
      <c r="E2963">
        <v>26252</v>
      </c>
      <c r="F2963" s="11">
        <v>0</v>
      </c>
    </row>
    <row r="2964" spans="1:6" x14ac:dyDescent="0.35">
      <c r="A2964" t="s">
        <v>2856</v>
      </c>
      <c r="B2964" t="s">
        <v>2862</v>
      </c>
      <c r="C2964" t="s">
        <v>1375</v>
      </c>
      <c r="D2964" t="s">
        <v>2913</v>
      </c>
      <c r="E2964">
        <v>0</v>
      </c>
      <c r="F2964" s="11">
        <v>0</v>
      </c>
    </row>
    <row r="2965" spans="1:6" x14ac:dyDescent="0.35">
      <c r="A2965" t="s">
        <v>2856</v>
      </c>
      <c r="B2965" t="s">
        <v>2862</v>
      </c>
      <c r="C2965" t="s">
        <v>1375</v>
      </c>
      <c r="D2965" t="s">
        <v>2914</v>
      </c>
      <c r="E2965">
        <v>2809</v>
      </c>
      <c r="F2965" s="11">
        <v>1</v>
      </c>
    </row>
    <row r="2966" spans="1:6" x14ac:dyDescent="0.35">
      <c r="A2966" t="s">
        <v>2856</v>
      </c>
      <c r="B2966" t="s">
        <v>2862</v>
      </c>
      <c r="C2966" t="s">
        <v>1375</v>
      </c>
      <c r="D2966" t="s">
        <v>2915</v>
      </c>
      <c r="E2966">
        <v>0</v>
      </c>
      <c r="F2966" s="11">
        <v>0</v>
      </c>
    </row>
    <row r="2967" spans="1:6" x14ac:dyDescent="0.35">
      <c r="A2967" t="s">
        <v>2856</v>
      </c>
      <c r="B2967" t="s">
        <v>2862</v>
      </c>
      <c r="C2967" t="s">
        <v>1375</v>
      </c>
      <c r="D2967" t="s">
        <v>2916</v>
      </c>
      <c r="E2967">
        <v>0</v>
      </c>
      <c r="F2967" s="11">
        <v>0</v>
      </c>
    </row>
    <row r="2968" spans="1:6" x14ac:dyDescent="0.35">
      <c r="A2968" t="s">
        <v>2856</v>
      </c>
      <c r="B2968" t="s">
        <v>2862</v>
      </c>
      <c r="C2968" t="s">
        <v>1375</v>
      </c>
      <c r="D2968" t="s">
        <v>2917</v>
      </c>
      <c r="E2968">
        <v>26218</v>
      </c>
      <c r="F2968" s="11">
        <v>0</v>
      </c>
    </row>
    <row r="2969" spans="1:6" x14ac:dyDescent="0.35">
      <c r="A2969" t="s">
        <v>2856</v>
      </c>
      <c r="B2969" t="s">
        <v>2862</v>
      </c>
      <c r="C2969" t="s">
        <v>1429</v>
      </c>
      <c r="D2969" t="s">
        <v>2875</v>
      </c>
      <c r="E2969">
        <v>17176</v>
      </c>
      <c r="F2969" s="11">
        <v>1</v>
      </c>
    </row>
    <row r="2970" spans="1:6" x14ac:dyDescent="0.35">
      <c r="A2970" t="s">
        <v>2856</v>
      </c>
      <c r="B2970" t="s">
        <v>2862</v>
      </c>
      <c r="C2970" t="s">
        <v>1429</v>
      </c>
      <c r="D2970" t="s">
        <v>2876</v>
      </c>
      <c r="E2970">
        <v>0</v>
      </c>
      <c r="F2970" s="11">
        <v>1</v>
      </c>
    </row>
    <row r="2971" spans="1:6" x14ac:dyDescent="0.35">
      <c r="A2971" t="s">
        <v>2856</v>
      </c>
      <c r="B2971" t="s">
        <v>2862</v>
      </c>
      <c r="C2971" t="s">
        <v>1429</v>
      </c>
      <c r="D2971" t="s">
        <v>2877</v>
      </c>
      <c r="E2971">
        <v>0</v>
      </c>
      <c r="F2971" s="11">
        <v>1</v>
      </c>
    </row>
    <row r="2972" spans="1:6" x14ac:dyDescent="0.35">
      <c r="A2972" t="s">
        <v>2856</v>
      </c>
      <c r="B2972" t="s">
        <v>2862</v>
      </c>
      <c r="C2972" t="s">
        <v>1429</v>
      </c>
      <c r="D2972" t="s">
        <v>2878</v>
      </c>
      <c r="E2972">
        <v>0</v>
      </c>
      <c r="F2972" s="11">
        <v>1</v>
      </c>
    </row>
    <row r="2973" spans="1:6" x14ac:dyDescent="0.35">
      <c r="A2973" t="s">
        <v>2856</v>
      </c>
      <c r="B2973" t="s">
        <v>2862</v>
      </c>
      <c r="C2973" t="s">
        <v>1429</v>
      </c>
      <c r="D2973" t="s">
        <v>2879</v>
      </c>
      <c r="E2973">
        <v>990</v>
      </c>
      <c r="F2973" s="11">
        <v>1</v>
      </c>
    </row>
    <row r="2974" spans="1:6" x14ac:dyDescent="0.35">
      <c r="A2974" t="s">
        <v>2856</v>
      </c>
      <c r="B2974" t="s">
        <v>2862</v>
      </c>
      <c r="C2974" t="s">
        <v>1429</v>
      </c>
      <c r="D2974" t="s">
        <v>2880</v>
      </c>
      <c r="E2974">
        <v>210</v>
      </c>
      <c r="F2974" s="11">
        <v>1</v>
      </c>
    </row>
    <row r="2975" spans="1:6" x14ac:dyDescent="0.35">
      <c r="A2975" t="s">
        <v>2856</v>
      </c>
      <c r="B2975" t="s">
        <v>2862</v>
      </c>
      <c r="C2975" t="s">
        <v>1429</v>
      </c>
      <c r="D2975" t="s">
        <v>2881</v>
      </c>
      <c r="E2975">
        <v>780</v>
      </c>
      <c r="F2975" s="11">
        <v>0</v>
      </c>
    </row>
    <row r="2976" spans="1:6" x14ac:dyDescent="0.35">
      <c r="A2976" t="s">
        <v>2856</v>
      </c>
      <c r="B2976" t="s">
        <v>2862</v>
      </c>
      <c r="C2976" t="s">
        <v>1429</v>
      </c>
      <c r="D2976" t="s">
        <v>2882</v>
      </c>
      <c r="E2976">
        <v>0</v>
      </c>
      <c r="F2976" s="11">
        <v>1</v>
      </c>
    </row>
    <row r="2977" spans="1:6" x14ac:dyDescent="0.35">
      <c r="A2977" t="s">
        <v>2856</v>
      </c>
      <c r="B2977" t="s">
        <v>2862</v>
      </c>
      <c r="C2977" t="s">
        <v>1429</v>
      </c>
      <c r="D2977" t="s">
        <v>2883</v>
      </c>
      <c r="E2977">
        <v>0</v>
      </c>
      <c r="F2977" s="11">
        <v>0</v>
      </c>
    </row>
    <row r="2978" spans="1:6" x14ac:dyDescent="0.35">
      <c r="A2978" t="s">
        <v>2856</v>
      </c>
      <c r="B2978" t="s">
        <v>2862</v>
      </c>
      <c r="C2978" t="s">
        <v>1429</v>
      </c>
      <c r="D2978" t="s">
        <v>2884</v>
      </c>
      <c r="E2978">
        <v>0</v>
      </c>
      <c r="F2978" s="11">
        <v>0</v>
      </c>
    </row>
    <row r="2979" spans="1:6" x14ac:dyDescent="0.35">
      <c r="A2979" t="s">
        <v>2856</v>
      </c>
      <c r="B2979" t="s">
        <v>2862</v>
      </c>
      <c r="C2979" t="s">
        <v>1429</v>
      </c>
      <c r="D2979" t="s">
        <v>2885</v>
      </c>
      <c r="E2979">
        <v>0</v>
      </c>
      <c r="F2979" s="11">
        <v>0</v>
      </c>
    </row>
    <row r="2980" spans="1:6" x14ac:dyDescent="0.35">
      <c r="A2980" t="s">
        <v>2856</v>
      </c>
      <c r="B2980" t="s">
        <v>2862</v>
      </c>
      <c r="C2980" t="s">
        <v>1429</v>
      </c>
      <c r="D2980" t="s">
        <v>2886</v>
      </c>
      <c r="E2980">
        <v>0</v>
      </c>
      <c r="F2980" s="11">
        <v>0</v>
      </c>
    </row>
    <row r="2981" spans="1:6" x14ac:dyDescent="0.35">
      <c r="A2981" t="s">
        <v>2856</v>
      </c>
      <c r="B2981" t="s">
        <v>2862</v>
      </c>
      <c r="C2981" t="s">
        <v>1429</v>
      </c>
      <c r="D2981" t="s">
        <v>2887</v>
      </c>
      <c r="E2981">
        <v>32656</v>
      </c>
      <c r="F2981" s="11">
        <v>1</v>
      </c>
    </row>
    <row r="2982" spans="1:6" x14ac:dyDescent="0.35">
      <c r="A2982" t="s">
        <v>2856</v>
      </c>
      <c r="B2982" t="s">
        <v>2862</v>
      </c>
      <c r="C2982" t="s">
        <v>1429</v>
      </c>
      <c r="D2982" t="s">
        <v>2888</v>
      </c>
      <c r="E2982">
        <v>15630</v>
      </c>
      <c r="F2982" s="11">
        <v>1</v>
      </c>
    </row>
    <row r="2983" spans="1:6" x14ac:dyDescent="0.35">
      <c r="A2983" t="s">
        <v>2856</v>
      </c>
      <c r="B2983" t="s">
        <v>2862</v>
      </c>
      <c r="C2983" t="s">
        <v>1429</v>
      </c>
      <c r="D2983" t="s">
        <v>2889</v>
      </c>
      <c r="E2983">
        <v>17026</v>
      </c>
      <c r="F2983" s="11">
        <v>0</v>
      </c>
    </row>
    <row r="2984" spans="1:6" x14ac:dyDescent="0.35">
      <c r="A2984" t="s">
        <v>2856</v>
      </c>
      <c r="B2984" t="s">
        <v>2862</v>
      </c>
      <c r="C2984" t="s">
        <v>1429</v>
      </c>
      <c r="D2984" t="s">
        <v>2890</v>
      </c>
      <c r="E2984">
        <v>0</v>
      </c>
      <c r="F2984" s="11">
        <v>0</v>
      </c>
    </row>
    <row r="2985" spans="1:6" x14ac:dyDescent="0.35">
      <c r="A2985" t="s">
        <v>2856</v>
      </c>
      <c r="B2985" t="s">
        <v>2862</v>
      </c>
      <c r="C2985" t="s">
        <v>1429</v>
      </c>
      <c r="D2985" t="s">
        <v>2891</v>
      </c>
      <c r="E2985">
        <v>0</v>
      </c>
      <c r="F2985" s="11">
        <v>0</v>
      </c>
    </row>
    <row r="2986" spans="1:6" x14ac:dyDescent="0.35">
      <c r="A2986" t="s">
        <v>2856</v>
      </c>
      <c r="B2986" t="s">
        <v>2862</v>
      </c>
      <c r="C2986" t="s">
        <v>1429</v>
      </c>
      <c r="D2986" t="s">
        <v>2892</v>
      </c>
      <c r="E2986">
        <v>0</v>
      </c>
      <c r="F2986" s="11">
        <v>0</v>
      </c>
    </row>
    <row r="2987" spans="1:6" x14ac:dyDescent="0.35">
      <c r="A2987" t="s">
        <v>2856</v>
      </c>
      <c r="B2987" t="s">
        <v>2862</v>
      </c>
      <c r="C2987" t="s">
        <v>1429</v>
      </c>
      <c r="D2987" t="s">
        <v>2893</v>
      </c>
      <c r="E2987">
        <v>0</v>
      </c>
      <c r="F2987" s="11">
        <v>0</v>
      </c>
    </row>
    <row r="2988" spans="1:6" x14ac:dyDescent="0.35">
      <c r="A2988" t="s">
        <v>2856</v>
      </c>
      <c r="B2988" t="s">
        <v>2862</v>
      </c>
      <c r="C2988" t="s">
        <v>1429</v>
      </c>
      <c r="D2988" t="s">
        <v>2894</v>
      </c>
      <c r="E2988">
        <v>0</v>
      </c>
      <c r="F2988" s="11">
        <v>0</v>
      </c>
    </row>
    <row r="2989" spans="1:6" x14ac:dyDescent="0.35">
      <c r="A2989" t="s">
        <v>2856</v>
      </c>
      <c r="B2989" t="s">
        <v>2862</v>
      </c>
      <c r="C2989" t="s">
        <v>1429</v>
      </c>
      <c r="D2989" t="s">
        <v>2895</v>
      </c>
      <c r="E2989">
        <v>377432</v>
      </c>
      <c r="F2989" s="11">
        <v>1</v>
      </c>
    </row>
    <row r="2990" spans="1:6" x14ac:dyDescent="0.35">
      <c r="A2990" t="s">
        <v>2856</v>
      </c>
      <c r="B2990" t="s">
        <v>2862</v>
      </c>
      <c r="C2990" t="s">
        <v>1429</v>
      </c>
      <c r="D2990" t="s">
        <v>2896</v>
      </c>
      <c r="E2990">
        <v>180186</v>
      </c>
      <c r="F2990" s="11">
        <v>1</v>
      </c>
    </row>
    <row r="2991" spans="1:6" x14ac:dyDescent="0.35">
      <c r="A2991" t="s">
        <v>2856</v>
      </c>
      <c r="B2991" t="s">
        <v>2862</v>
      </c>
      <c r="C2991" t="s">
        <v>1429</v>
      </c>
      <c r="D2991" t="s">
        <v>2897</v>
      </c>
      <c r="E2991">
        <v>193305</v>
      </c>
      <c r="F2991" s="11">
        <v>1</v>
      </c>
    </row>
    <row r="2992" spans="1:6" x14ac:dyDescent="0.35">
      <c r="A2992" t="s">
        <v>2856</v>
      </c>
      <c r="B2992" t="s">
        <v>2862</v>
      </c>
      <c r="C2992" t="s">
        <v>1429</v>
      </c>
      <c r="D2992" t="s">
        <v>2898</v>
      </c>
      <c r="E2992">
        <v>3941</v>
      </c>
      <c r="F2992" s="11">
        <v>1</v>
      </c>
    </row>
    <row r="2993" spans="1:6" x14ac:dyDescent="0.35">
      <c r="A2993" t="s">
        <v>2856</v>
      </c>
      <c r="B2993" t="s">
        <v>2862</v>
      </c>
      <c r="C2993" t="s">
        <v>1429</v>
      </c>
      <c r="D2993" t="s">
        <v>2899</v>
      </c>
      <c r="E2993">
        <v>4551</v>
      </c>
      <c r="F2993" s="11">
        <v>1</v>
      </c>
    </row>
    <row r="2994" spans="1:6" x14ac:dyDescent="0.35">
      <c r="A2994" t="s">
        <v>2856</v>
      </c>
      <c r="B2994" t="s">
        <v>2862</v>
      </c>
      <c r="C2994" t="s">
        <v>1429</v>
      </c>
      <c r="D2994" t="s">
        <v>2900</v>
      </c>
      <c r="E2994">
        <v>3911</v>
      </c>
      <c r="F2994" s="11">
        <v>1</v>
      </c>
    </row>
    <row r="2995" spans="1:6" x14ac:dyDescent="0.35">
      <c r="A2995" t="s">
        <v>2856</v>
      </c>
      <c r="B2995" t="s">
        <v>2862</v>
      </c>
      <c r="C2995" t="s">
        <v>1429</v>
      </c>
      <c r="D2995" t="s">
        <v>2901</v>
      </c>
      <c r="E2995">
        <v>637</v>
      </c>
      <c r="F2995" s="11">
        <v>1</v>
      </c>
    </row>
    <row r="2996" spans="1:6" x14ac:dyDescent="0.35">
      <c r="A2996" t="s">
        <v>2856</v>
      </c>
      <c r="B2996" t="s">
        <v>2862</v>
      </c>
      <c r="C2996" t="s">
        <v>1429</v>
      </c>
      <c r="D2996" t="s">
        <v>2902</v>
      </c>
      <c r="E2996">
        <v>3</v>
      </c>
      <c r="F2996" s="11">
        <v>1</v>
      </c>
    </row>
    <row r="2997" spans="1:6" x14ac:dyDescent="0.35">
      <c r="A2997" t="s">
        <v>2856</v>
      </c>
      <c r="B2997" t="s">
        <v>2862</v>
      </c>
      <c r="C2997" t="s">
        <v>1429</v>
      </c>
      <c r="D2997" t="s">
        <v>2903</v>
      </c>
      <c r="E2997">
        <v>25500</v>
      </c>
      <c r="F2997" s="11">
        <v>1</v>
      </c>
    </row>
    <row r="2998" spans="1:6" x14ac:dyDescent="0.35">
      <c r="A2998" t="s">
        <v>2856</v>
      </c>
      <c r="B2998" t="s">
        <v>2862</v>
      </c>
      <c r="C2998" t="s">
        <v>1429</v>
      </c>
      <c r="D2998" t="s">
        <v>2904</v>
      </c>
      <c r="E2998">
        <v>0</v>
      </c>
      <c r="F2998" s="11">
        <v>0</v>
      </c>
    </row>
    <row r="2999" spans="1:6" x14ac:dyDescent="0.35">
      <c r="A2999" t="s">
        <v>2856</v>
      </c>
      <c r="B2999" t="s">
        <v>2862</v>
      </c>
      <c r="C2999" t="s">
        <v>1429</v>
      </c>
      <c r="D2999" t="s">
        <v>2905</v>
      </c>
      <c r="E2999">
        <v>0</v>
      </c>
      <c r="F2999" s="11">
        <v>0</v>
      </c>
    </row>
    <row r="3000" spans="1:6" x14ac:dyDescent="0.35">
      <c r="A3000" t="s">
        <v>2856</v>
      </c>
      <c r="B3000" t="s">
        <v>2862</v>
      </c>
      <c r="C3000" t="s">
        <v>1429</v>
      </c>
      <c r="D3000" t="s">
        <v>2906</v>
      </c>
      <c r="E3000">
        <v>0</v>
      </c>
      <c r="F3000" s="11">
        <v>0</v>
      </c>
    </row>
    <row r="3001" spans="1:6" x14ac:dyDescent="0.35">
      <c r="A3001" t="s">
        <v>2856</v>
      </c>
      <c r="B3001" t="s">
        <v>2862</v>
      </c>
      <c r="C3001" t="s">
        <v>1429</v>
      </c>
      <c r="D3001" t="s">
        <v>2907</v>
      </c>
      <c r="E3001">
        <v>26665</v>
      </c>
      <c r="F3001" s="11">
        <v>1</v>
      </c>
    </row>
    <row r="3002" spans="1:6" x14ac:dyDescent="0.35">
      <c r="A3002" t="s">
        <v>2856</v>
      </c>
      <c r="B3002" t="s">
        <v>2862</v>
      </c>
      <c r="C3002" t="s">
        <v>1429</v>
      </c>
      <c r="D3002" t="s">
        <v>2908</v>
      </c>
      <c r="E3002">
        <v>0</v>
      </c>
      <c r="F3002" s="11">
        <v>0</v>
      </c>
    </row>
    <row r="3003" spans="1:6" x14ac:dyDescent="0.35">
      <c r="A3003" t="s">
        <v>2856</v>
      </c>
      <c r="B3003" t="s">
        <v>2862</v>
      </c>
      <c r="C3003" t="s">
        <v>1429</v>
      </c>
      <c r="D3003" t="s">
        <v>2909</v>
      </c>
      <c r="E3003">
        <v>0</v>
      </c>
      <c r="F3003" s="11">
        <v>0</v>
      </c>
    </row>
    <row r="3004" spans="1:6" x14ac:dyDescent="0.35">
      <c r="A3004" t="s">
        <v>2856</v>
      </c>
      <c r="B3004" t="s">
        <v>2862</v>
      </c>
      <c r="C3004" t="s">
        <v>1429</v>
      </c>
      <c r="D3004" t="s">
        <v>2910</v>
      </c>
      <c r="E3004">
        <v>0</v>
      </c>
      <c r="F3004" s="11">
        <v>0</v>
      </c>
    </row>
    <row r="3005" spans="1:6" x14ac:dyDescent="0.35">
      <c r="A3005" t="s">
        <v>2856</v>
      </c>
      <c r="B3005" t="s">
        <v>2862</v>
      </c>
      <c r="C3005" t="s">
        <v>1429</v>
      </c>
      <c r="D3005" t="s">
        <v>2911</v>
      </c>
      <c r="E3005">
        <v>282855</v>
      </c>
      <c r="F3005" s="11">
        <v>1</v>
      </c>
    </row>
    <row r="3006" spans="1:6" x14ac:dyDescent="0.35">
      <c r="A3006" t="s">
        <v>2856</v>
      </c>
      <c r="B3006" t="s">
        <v>2862</v>
      </c>
      <c r="C3006" t="s">
        <v>1429</v>
      </c>
      <c r="D3006" t="s">
        <v>2912</v>
      </c>
      <c r="E3006">
        <v>26298</v>
      </c>
      <c r="F3006" s="11">
        <v>1</v>
      </c>
    </row>
    <row r="3007" spans="1:6" x14ac:dyDescent="0.35">
      <c r="A3007" t="s">
        <v>2856</v>
      </c>
      <c r="B3007" t="s">
        <v>2862</v>
      </c>
      <c r="C3007" t="s">
        <v>1429</v>
      </c>
      <c r="D3007" t="s">
        <v>2913</v>
      </c>
      <c r="E3007">
        <v>0</v>
      </c>
      <c r="F3007" s="11">
        <v>0</v>
      </c>
    </row>
    <row r="3008" spans="1:6" x14ac:dyDescent="0.35">
      <c r="A3008" t="s">
        <v>2856</v>
      </c>
      <c r="B3008" t="s">
        <v>2862</v>
      </c>
      <c r="C3008" t="s">
        <v>1429</v>
      </c>
      <c r="D3008" t="s">
        <v>2914</v>
      </c>
      <c r="E3008">
        <v>0</v>
      </c>
      <c r="F3008" s="11">
        <v>0</v>
      </c>
    </row>
    <row r="3009" spans="1:6" x14ac:dyDescent="0.35">
      <c r="A3009" t="s">
        <v>2856</v>
      </c>
      <c r="B3009" t="s">
        <v>2862</v>
      </c>
      <c r="C3009" t="s">
        <v>1429</v>
      </c>
      <c r="D3009" t="s">
        <v>2915</v>
      </c>
      <c r="E3009">
        <v>2856</v>
      </c>
      <c r="F3009" s="11">
        <v>1</v>
      </c>
    </row>
    <row r="3010" spans="1:6" x14ac:dyDescent="0.35">
      <c r="A3010" t="s">
        <v>2856</v>
      </c>
      <c r="B3010" t="s">
        <v>2862</v>
      </c>
      <c r="C3010" t="s">
        <v>1429</v>
      </c>
      <c r="D3010" t="s">
        <v>2916</v>
      </c>
      <c r="E3010">
        <v>22480</v>
      </c>
      <c r="F3010" s="11">
        <v>1</v>
      </c>
    </row>
    <row r="3011" spans="1:6" x14ac:dyDescent="0.35">
      <c r="A3011" t="s">
        <v>2856</v>
      </c>
      <c r="B3011" t="s">
        <v>2862</v>
      </c>
      <c r="C3011" t="s">
        <v>1429</v>
      </c>
      <c r="D3011" t="s">
        <v>2917</v>
      </c>
      <c r="E3011">
        <v>9170</v>
      </c>
      <c r="F3011" s="11">
        <v>1</v>
      </c>
    </row>
    <row r="3012" spans="1:6" x14ac:dyDescent="0.35">
      <c r="A3012" t="s">
        <v>2856</v>
      </c>
      <c r="B3012" t="s">
        <v>2862</v>
      </c>
      <c r="C3012" t="s">
        <v>2712</v>
      </c>
      <c r="D3012" t="s">
        <v>2875</v>
      </c>
      <c r="E3012">
        <v>15465</v>
      </c>
      <c r="F3012" s="11">
        <v>0</v>
      </c>
    </row>
    <row r="3013" spans="1:6" x14ac:dyDescent="0.35">
      <c r="A3013" t="s">
        <v>2856</v>
      </c>
      <c r="B3013" t="s">
        <v>2862</v>
      </c>
      <c r="C3013" t="s">
        <v>2712</v>
      </c>
      <c r="D3013" t="s">
        <v>2876</v>
      </c>
      <c r="E3013">
        <v>3270</v>
      </c>
      <c r="F3013" s="11">
        <v>0</v>
      </c>
    </row>
    <row r="3014" spans="1:6" x14ac:dyDescent="0.35">
      <c r="A3014" t="s">
        <v>2856</v>
      </c>
      <c r="B3014" t="s">
        <v>2862</v>
      </c>
      <c r="C3014" t="s">
        <v>2712</v>
      </c>
      <c r="D3014" t="s">
        <v>2877</v>
      </c>
      <c r="E3014">
        <v>10221</v>
      </c>
      <c r="F3014" s="11">
        <v>0</v>
      </c>
    </row>
    <row r="3015" spans="1:6" x14ac:dyDescent="0.35">
      <c r="A3015" t="s">
        <v>2856</v>
      </c>
      <c r="B3015" t="s">
        <v>2862</v>
      </c>
      <c r="C3015" t="s">
        <v>2712</v>
      </c>
      <c r="D3015" t="s">
        <v>2878</v>
      </c>
      <c r="E3015">
        <v>1974</v>
      </c>
      <c r="F3015" s="11">
        <v>0</v>
      </c>
    </row>
    <row r="3016" spans="1:6" x14ac:dyDescent="0.35">
      <c r="A3016" t="s">
        <v>2856</v>
      </c>
      <c r="B3016" t="s">
        <v>2862</v>
      </c>
      <c r="C3016" t="s">
        <v>2712</v>
      </c>
      <c r="D3016" t="s">
        <v>2879</v>
      </c>
      <c r="E3016">
        <v>4762</v>
      </c>
      <c r="F3016" s="11">
        <v>0</v>
      </c>
    </row>
    <row r="3017" spans="1:6" x14ac:dyDescent="0.35">
      <c r="A3017" t="s">
        <v>2856</v>
      </c>
      <c r="B3017" t="s">
        <v>2862</v>
      </c>
      <c r="C3017" t="s">
        <v>2712</v>
      </c>
      <c r="D3017" t="s">
        <v>2880</v>
      </c>
      <c r="E3017">
        <v>1957</v>
      </c>
      <c r="F3017" s="11">
        <v>0</v>
      </c>
    </row>
    <row r="3018" spans="1:6" x14ac:dyDescent="0.35">
      <c r="A3018" t="s">
        <v>2856</v>
      </c>
      <c r="B3018" t="s">
        <v>2862</v>
      </c>
      <c r="C3018" t="s">
        <v>2712</v>
      </c>
      <c r="D3018" t="s">
        <v>2881</v>
      </c>
      <c r="E3018">
        <v>2697</v>
      </c>
      <c r="F3018" s="11">
        <v>0</v>
      </c>
    </row>
    <row r="3019" spans="1:6" x14ac:dyDescent="0.35">
      <c r="A3019" t="s">
        <v>2856</v>
      </c>
      <c r="B3019" t="s">
        <v>2862</v>
      </c>
      <c r="C3019" t="s">
        <v>2712</v>
      </c>
      <c r="D3019" t="s">
        <v>2882</v>
      </c>
      <c r="E3019">
        <v>6</v>
      </c>
      <c r="F3019" s="11">
        <v>0</v>
      </c>
    </row>
    <row r="3020" spans="1:6" x14ac:dyDescent="0.35">
      <c r="A3020" t="s">
        <v>2856</v>
      </c>
      <c r="B3020" t="s">
        <v>2862</v>
      </c>
      <c r="C3020" t="s">
        <v>2712</v>
      </c>
      <c r="D3020" t="s">
        <v>2883</v>
      </c>
      <c r="E3020">
        <v>0</v>
      </c>
      <c r="F3020" s="11">
        <v>0</v>
      </c>
    </row>
    <row r="3021" spans="1:6" x14ac:dyDescent="0.35">
      <c r="A3021" t="s">
        <v>2856</v>
      </c>
      <c r="B3021" t="s">
        <v>2862</v>
      </c>
      <c r="C3021" t="s">
        <v>2712</v>
      </c>
      <c r="D3021" t="s">
        <v>2884</v>
      </c>
      <c r="E3021">
        <v>0</v>
      </c>
      <c r="F3021" s="11">
        <v>0</v>
      </c>
    </row>
    <row r="3022" spans="1:6" x14ac:dyDescent="0.35">
      <c r="A3022" t="s">
        <v>2856</v>
      </c>
      <c r="B3022" t="s">
        <v>2862</v>
      </c>
      <c r="C3022" t="s">
        <v>2712</v>
      </c>
      <c r="D3022" t="s">
        <v>2885</v>
      </c>
      <c r="E3022">
        <v>0</v>
      </c>
      <c r="F3022" s="11">
        <v>0</v>
      </c>
    </row>
    <row r="3023" spans="1:6" x14ac:dyDescent="0.35">
      <c r="A3023" t="s">
        <v>2856</v>
      </c>
      <c r="B3023" t="s">
        <v>2862</v>
      </c>
      <c r="C3023" t="s">
        <v>2712</v>
      </c>
      <c r="D3023" t="s">
        <v>2886</v>
      </c>
      <c r="E3023">
        <v>0</v>
      </c>
      <c r="F3023" s="11">
        <v>0</v>
      </c>
    </row>
    <row r="3024" spans="1:6" x14ac:dyDescent="0.35">
      <c r="A3024" t="s">
        <v>2856</v>
      </c>
      <c r="B3024" t="s">
        <v>2862</v>
      </c>
      <c r="C3024" t="s">
        <v>2712</v>
      </c>
      <c r="D3024" t="s">
        <v>2887</v>
      </c>
      <c r="E3024">
        <v>123006</v>
      </c>
      <c r="F3024" s="11">
        <v>0</v>
      </c>
    </row>
    <row r="3025" spans="1:6" x14ac:dyDescent="0.35">
      <c r="A3025" t="s">
        <v>2856</v>
      </c>
      <c r="B3025" t="s">
        <v>2862</v>
      </c>
      <c r="C3025" t="s">
        <v>2712</v>
      </c>
      <c r="D3025" t="s">
        <v>2888</v>
      </c>
      <c r="E3025">
        <v>16160</v>
      </c>
      <c r="F3025" s="11">
        <v>0</v>
      </c>
    </row>
    <row r="3026" spans="1:6" x14ac:dyDescent="0.35">
      <c r="A3026" t="s">
        <v>2856</v>
      </c>
      <c r="B3026" t="s">
        <v>2862</v>
      </c>
      <c r="C3026" t="s">
        <v>2712</v>
      </c>
      <c r="D3026" t="s">
        <v>2889</v>
      </c>
      <c r="E3026">
        <v>47547</v>
      </c>
      <c r="F3026" s="11">
        <v>0</v>
      </c>
    </row>
    <row r="3027" spans="1:6" x14ac:dyDescent="0.35">
      <c r="A3027" t="s">
        <v>2856</v>
      </c>
      <c r="B3027" t="s">
        <v>2862</v>
      </c>
      <c r="C3027" t="s">
        <v>2712</v>
      </c>
      <c r="D3027" t="s">
        <v>2890</v>
      </c>
      <c r="E3027">
        <v>186</v>
      </c>
      <c r="F3027" s="11">
        <v>0</v>
      </c>
    </row>
    <row r="3028" spans="1:6" x14ac:dyDescent="0.35">
      <c r="A3028" t="s">
        <v>2856</v>
      </c>
      <c r="B3028" t="s">
        <v>2862</v>
      </c>
      <c r="C3028" t="s">
        <v>2712</v>
      </c>
      <c r="D3028" t="s">
        <v>2891</v>
      </c>
      <c r="E3028">
        <v>159</v>
      </c>
      <c r="F3028" s="11">
        <v>0</v>
      </c>
    </row>
    <row r="3029" spans="1:6" x14ac:dyDescent="0.35">
      <c r="A3029" t="s">
        <v>2856</v>
      </c>
      <c r="B3029" t="s">
        <v>2862</v>
      </c>
      <c r="C3029" t="s">
        <v>2712</v>
      </c>
      <c r="D3029" t="s">
        <v>2892</v>
      </c>
      <c r="E3029">
        <v>0</v>
      </c>
      <c r="F3029" s="11">
        <v>0</v>
      </c>
    </row>
    <row r="3030" spans="1:6" x14ac:dyDescent="0.35">
      <c r="A3030" t="s">
        <v>2856</v>
      </c>
      <c r="B3030" t="s">
        <v>2862</v>
      </c>
      <c r="C3030" t="s">
        <v>2712</v>
      </c>
      <c r="D3030" t="s">
        <v>2893</v>
      </c>
      <c r="E3030">
        <v>159</v>
      </c>
      <c r="F3030" s="11">
        <v>0</v>
      </c>
    </row>
    <row r="3031" spans="1:6" x14ac:dyDescent="0.35">
      <c r="A3031" t="s">
        <v>2856</v>
      </c>
      <c r="B3031" t="s">
        <v>2862</v>
      </c>
      <c r="C3031" t="s">
        <v>2712</v>
      </c>
      <c r="D3031" t="s">
        <v>2894</v>
      </c>
      <c r="E3031">
        <v>0</v>
      </c>
      <c r="F3031" s="11">
        <v>0</v>
      </c>
    </row>
    <row r="3032" spans="1:6" x14ac:dyDescent="0.35">
      <c r="A3032" t="s">
        <v>2856</v>
      </c>
      <c r="B3032" t="s">
        <v>2862</v>
      </c>
      <c r="C3032" t="s">
        <v>2712</v>
      </c>
      <c r="D3032" t="s">
        <v>2895</v>
      </c>
      <c r="E3032">
        <v>1138690</v>
      </c>
      <c r="F3032" s="11">
        <v>0</v>
      </c>
    </row>
    <row r="3033" spans="1:6" x14ac:dyDescent="0.35">
      <c r="A3033" t="s">
        <v>2856</v>
      </c>
      <c r="B3033" t="s">
        <v>2862</v>
      </c>
      <c r="C3033" t="s">
        <v>2712</v>
      </c>
      <c r="D3033" t="s">
        <v>2896</v>
      </c>
      <c r="E3033">
        <v>425774</v>
      </c>
      <c r="F3033" s="11">
        <v>0</v>
      </c>
    </row>
    <row r="3034" spans="1:6" x14ac:dyDescent="0.35">
      <c r="A3034" t="s">
        <v>2856</v>
      </c>
      <c r="B3034" t="s">
        <v>2862</v>
      </c>
      <c r="C3034" t="s">
        <v>2712</v>
      </c>
      <c r="D3034" t="s">
        <v>2897</v>
      </c>
      <c r="E3034">
        <v>697807</v>
      </c>
      <c r="F3034" s="11">
        <v>0</v>
      </c>
    </row>
    <row r="3035" spans="1:6" x14ac:dyDescent="0.35">
      <c r="A3035" t="s">
        <v>2856</v>
      </c>
      <c r="B3035" t="s">
        <v>2862</v>
      </c>
      <c r="C3035" t="s">
        <v>2712</v>
      </c>
      <c r="D3035" t="s">
        <v>2898</v>
      </c>
      <c r="E3035">
        <v>15109</v>
      </c>
      <c r="F3035" s="11">
        <v>0</v>
      </c>
    </row>
    <row r="3036" spans="1:6" x14ac:dyDescent="0.35">
      <c r="A3036" t="s">
        <v>2856</v>
      </c>
      <c r="B3036" t="s">
        <v>2862</v>
      </c>
      <c r="C3036" t="s">
        <v>2712</v>
      </c>
      <c r="D3036" t="s">
        <v>2899</v>
      </c>
      <c r="E3036">
        <v>3289</v>
      </c>
      <c r="F3036" s="11">
        <v>0</v>
      </c>
    </row>
    <row r="3037" spans="1:6" x14ac:dyDescent="0.35">
      <c r="A3037" t="s">
        <v>2856</v>
      </c>
      <c r="B3037" t="s">
        <v>2862</v>
      </c>
      <c r="C3037" t="s">
        <v>2712</v>
      </c>
      <c r="D3037" t="s">
        <v>2900</v>
      </c>
      <c r="E3037">
        <v>3084</v>
      </c>
      <c r="F3037" s="11">
        <v>0</v>
      </c>
    </row>
    <row r="3038" spans="1:6" x14ac:dyDescent="0.35">
      <c r="A3038" t="s">
        <v>2856</v>
      </c>
      <c r="B3038" t="s">
        <v>2862</v>
      </c>
      <c r="C3038" t="s">
        <v>2712</v>
      </c>
      <c r="D3038" t="s">
        <v>2901</v>
      </c>
      <c r="E3038">
        <v>205</v>
      </c>
      <c r="F3038" s="11">
        <v>0</v>
      </c>
    </row>
    <row r="3039" spans="1:6" x14ac:dyDescent="0.35">
      <c r="A3039" t="s">
        <v>2856</v>
      </c>
      <c r="B3039" t="s">
        <v>2862</v>
      </c>
      <c r="C3039" t="s">
        <v>2712</v>
      </c>
      <c r="D3039" t="s">
        <v>2902</v>
      </c>
      <c r="E3039">
        <v>0</v>
      </c>
      <c r="F3039" s="11">
        <v>0</v>
      </c>
    </row>
    <row r="3040" spans="1:6" x14ac:dyDescent="0.35">
      <c r="A3040" t="s">
        <v>2856</v>
      </c>
      <c r="B3040" t="s">
        <v>2862</v>
      </c>
      <c r="C3040" t="s">
        <v>2712</v>
      </c>
      <c r="D3040" t="s">
        <v>2903</v>
      </c>
      <c r="E3040">
        <v>27454</v>
      </c>
      <c r="F3040" s="11">
        <v>0</v>
      </c>
    </row>
    <row r="3041" spans="1:6" x14ac:dyDescent="0.35">
      <c r="A3041" t="s">
        <v>2856</v>
      </c>
      <c r="B3041" t="s">
        <v>2862</v>
      </c>
      <c r="C3041" t="s">
        <v>2712</v>
      </c>
      <c r="D3041" t="s">
        <v>2904</v>
      </c>
      <c r="E3041">
        <v>22457</v>
      </c>
      <c r="F3041" s="11">
        <v>0</v>
      </c>
    </row>
    <row r="3042" spans="1:6" x14ac:dyDescent="0.35">
      <c r="A3042" t="s">
        <v>2856</v>
      </c>
      <c r="B3042" t="s">
        <v>2862</v>
      </c>
      <c r="C3042" t="s">
        <v>2712</v>
      </c>
      <c r="D3042" t="s">
        <v>2905</v>
      </c>
      <c r="E3042">
        <v>3159</v>
      </c>
      <c r="F3042" s="11">
        <v>0</v>
      </c>
    </row>
    <row r="3043" spans="1:6" x14ac:dyDescent="0.35">
      <c r="A3043" t="s">
        <v>2856</v>
      </c>
      <c r="B3043" t="s">
        <v>2862</v>
      </c>
      <c r="C3043" t="s">
        <v>2712</v>
      </c>
      <c r="D3043" t="s">
        <v>2906</v>
      </c>
      <c r="E3043">
        <v>1739</v>
      </c>
      <c r="F3043" s="11">
        <v>0</v>
      </c>
    </row>
    <row r="3044" spans="1:6" x14ac:dyDescent="0.35">
      <c r="A3044" t="s">
        <v>2856</v>
      </c>
      <c r="B3044" t="s">
        <v>2862</v>
      </c>
      <c r="C3044" t="s">
        <v>2712</v>
      </c>
      <c r="D3044" t="s">
        <v>2907</v>
      </c>
      <c r="E3044">
        <v>56806</v>
      </c>
      <c r="F3044" s="11">
        <v>0</v>
      </c>
    </row>
    <row r="3045" spans="1:6" x14ac:dyDescent="0.35">
      <c r="A3045" t="s">
        <v>2856</v>
      </c>
      <c r="B3045" t="s">
        <v>2862</v>
      </c>
      <c r="C3045" t="s">
        <v>2712</v>
      </c>
      <c r="D3045" t="s">
        <v>2908</v>
      </c>
      <c r="E3045">
        <v>43415</v>
      </c>
      <c r="F3045" s="11">
        <v>0</v>
      </c>
    </row>
    <row r="3046" spans="1:6" x14ac:dyDescent="0.35">
      <c r="A3046" t="s">
        <v>2856</v>
      </c>
      <c r="B3046" t="s">
        <v>2862</v>
      </c>
      <c r="C3046" t="s">
        <v>2712</v>
      </c>
      <c r="D3046" t="s">
        <v>2909</v>
      </c>
      <c r="E3046">
        <v>8739</v>
      </c>
      <c r="F3046" s="11">
        <v>0</v>
      </c>
    </row>
    <row r="3047" spans="1:6" x14ac:dyDescent="0.35">
      <c r="A3047" t="s">
        <v>2856</v>
      </c>
      <c r="B3047" t="s">
        <v>2862</v>
      </c>
      <c r="C3047" t="s">
        <v>2712</v>
      </c>
      <c r="D3047" t="s">
        <v>2910</v>
      </c>
      <c r="E3047">
        <v>4652</v>
      </c>
      <c r="F3047" s="11">
        <v>0</v>
      </c>
    </row>
    <row r="3048" spans="1:6" x14ac:dyDescent="0.35">
      <c r="A3048" t="s">
        <v>2856</v>
      </c>
      <c r="B3048" t="s">
        <v>2862</v>
      </c>
      <c r="C3048" t="s">
        <v>2712</v>
      </c>
      <c r="D3048" t="s">
        <v>2911</v>
      </c>
      <c r="E3048">
        <v>523730</v>
      </c>
      <c r="F3048" s="11">
        <v>0</v>
      </c>
    </row>
    <row r="3049" spans="1:6" x14ac:dyDescent="0.35">
      <c r="A3049" t="s">
        <v>2856</v>
      </c>
      <c r="B3049" t="s">
        <v>2862</v>
      </c>
      <c r="C3049" t="s">
        <v>2712</v>
      </c>
      <c r="D3049" t="s">
        <v>2912</v>
      </c>
      <c r="E3049">
        <v>662430</v>
      </c>
      <c r="F3049" s="11">
        <v>0</v>
      </c>
    </row>
    <row r="3050" spans="1:6" x14ac:dyDescent="0.35">
      <c r="A3050" t="s">
        <v>2856</v>
      </c>
      <c r="B3050" t="s">
        <v>2862</v>
      </c>
      <c r="C3050" t="s">
        <v>2712</v>
      </c>
      <c r="D3050" t="s">
        <v>2913</v>
      </c>
      <c r="E3050">
        <v>0</v>
      </c>
      <c r="F3050" s="11">
        <v>0</v>
      </c>
    </row>
    <row r="3051" spans="1:6" x14ac:dyDescent="0.35">
      <c r="A3051" t="s">
        <v>2856</v>
      </c>
      <c r="B3051" t="s">
        <v>2862</v>
      </c>
      <c r="C3051" t="s">
        <v>2712</v>
      </c>
      <c r="D3051" t="s">
        <v>2914</v>
      </c>
      <c r="E3051">
        <v>0</v>
      </c>
      <c r="F3051" s="11">
        <v>0</v>
      </c>
    </row>
    <row r="3052" spans="1:6" x14ac:dyDescent="0.35">
      <c r="A3052" t="s">
        <v>2856</v>
      </c>
      <c r="B3052" t="s">
        <v>2862</v>
      </c>
      <c r="C3052" t="s">
        <v>2712</v>
      </c>
      <c r="D3052" t="s">
        <v>2915</v>
      </c>
      <c r="E3052">
        <v>217</v>
      </c>
      <c r="F3052" s="11">
        <v>0</v>
      </c>
    </row>
    <row r="3053" spans="1:6" x14ac:dyDescent="0.35">
      <c r="A3053" t="s">
        <v>2856</v>
      </c>
      <c r="B3053" t="s">
        <v>2862</v>
      </c>
      <c r="C3053" t="s">
        <v>2712</v>
      </c>
      <c r="D3053" t="s">
        <v>2916</v>
      </c>
      <c r="E3053">
        <v>92400</v>
      </c>
      <c r="F3053" s="11">
        <v>0</v>
      </c>
    </row>
    <row r="3054" spans="1:6" x14ac:dyDescent="0.35">
      <c r="A3054" t="s">
        <v>2856</v>
      </c>
      <c r="B3054" t="s">
        <v>2862</v>
      </c>
      <c r="C3054" t="s">
        <v>2712</v>
      </c>
      <c r="D3054" t="s">
        <v>2917</v>
      </c>
      <c r="E3054">
        <v>260646</v>
      </c>
      <c r="F3054" s="11">
        <v>0</v>
      </c>
    </row>
    <row r="3055" spans="1:6" x14ac:dyDescent="0.35">
      <c r="A3055" t="s">
        <v>2856</v>
      </c>
      <c r="B3055" t="s">
        <v>2865</v>
      </c>
      <c r="C3055" t="s">
        <v>2713</v>
      </c>
      <c r="D3055" t="s">
        <v>2875</v>
      </c>
      <c r="E3055">
        <v>5870</v>
      </c>
      <c r="F3055" s="11">
        <v>0</v>
      </c>
    </row>
    <row r="3056" spans="1:6" x14ac:dyDescent="0.35">
      <c r="A3056" t="s">
        <v>2856</v>
      </c>
      <c r="B3056" t="s">
        <v>2865</v>
      </c>
      <c r="C3056" t="s">
        <v>2713</v>
      </c>
      <c r="D3056" t="s">
        <v>2876</v>
      </c>
      <c r="E3056">
        <v>1596</v>
      </c>
      <c r="F3056" s="11">
        <v>0</v>
      </c>
    </row>
    <row r="3057" spans="1:6" x14ac:dyDescent="0.35">
      <c r="A3057" t="s">
        <v>2856</v>
      </c>
      <c r="B3057" t="s">
        <v>2865</v>
      </c>
      <c r="C3057" t="s">
        <v>2713</v>
      </c>
      <c r="D3057" t="s">
        <v>2877</v>
      </c>
      <c r="E3057">
        <v>4189</v>
      </c>
      <c r="F3057" s="11">
        <v>0</v>
      </c>
    </row>
    <row r="3058" spans="1:6" x14ac:dyDescent="0.35">
      <c r="A3058" t="s">
        <v>2856</v>
      </c>
      <c r="B3058" t="s">
        <v>2865</v>
      </c>
      <c r="C3058" t="s">
        <v>2713</v>
      </c>
      <c r="D3058" t="s">
        <v>2878</v>
      </c>
      <c r="E3058">
        <v>85</v>
      </c>
      <c r="F3058" s="11">
        <v>0</v>
      </c>
    </row>
    <row r="3059" spans="1:6" x14ac:dyDescent="0.35">
      <c r="A3059" t="s">
        <v>2856</v>
      </c>
      <c r="B3059" t="s">
        <v>2865</v>
      </c>
      <c r="C3059" t="s">
        <v>2713</v>
      </c>
      <c r="D3059" t="s">
        <v>2879</v>
      </c>
      <c r="E3059">
        <v>0</v>
      </c>
      <c r="F3059" s="11">
        <v>0</v>
      </c>
    </row>
    <row r="3060" spans="1:6" x14ac:dyDescent="0.35">
      <c r="A3060" t="s">
        <v>2856</v>
      </c>
      <c r="B3060" t="s">
        <v>2865</v>
      </c>
      <c r="C3060" t="s">
        <v>2713</v>
      </c>
      <c r="D3060" t="s">
        <v>2880</v>
      </c>
      <c r="E3060">
        <v>0</v>
      </c>
      <c r="F3060" s="11">
        <v>0</v>
      </c>
    </row>
    <row r="3061" spans="1:6" x14ac:dyDescent="0.35">
      <c r="A3061" t="s">
        <v>2856</v>
      </c>
      <c r="B3061" t="s">
        <v>2865</v>
      </c>
      <c r="C3061" t="s">
        <v>2713</v>
      </c>
      <c r="D3061" t="s">
        <v>2881</v>
      </c>
      <c r="E3061">
        <v>0</v>
      </c>
      <c r="F3061" s="11">
        <v>0</v>
      </c>
    </row>
    <row r="3062" spans="1:6" x14ac:dyDescent="0.35">
      <c r="A3062" t="s">
        <v>2856</v>
      </c>
      <c r="B3062" t="s">
        <v>2865</v>
      </c>
      <c r="C3062" t="s">
        <v>2713</v>
      </c>
      <c r="D3062" t="s">
        <v>2882</v>
      </c>
      <c r="E3062">
        <v>0</v>
      </c>
      <c r="F3062" s="11">
        <v>0</v>
      </c>
    </row>
    <row r="3063" spans="1:6" x14ac:dyDescent="0.35">
      <c r="A3063" t="s">
        <v>2856</v>
      </c>
      <c r="B3063" t="s">
        <v>2865</v>
      </c>
      <c r="C3063" t="s">
        <v>2713</v>
      </c>
      <c r="D3063" t="s">
        <v>2883</v>
      </c>
      <c r="E3063">
        <v>0</v>
      </c>
      <c r="F3063" s="11">
        <v>0</v>
      </c>
    </row>
    <row r="3064" spans="1:6" x14ac:dyDescent="0.35">
      <c r="A3064" t="s">
        <v>2856</v>
      </c>
      <c r="B3064" t="s">
        <v>2865</v>
      </c>
      <c r="C3064" t="s">
        <v>2713</v>
      </c>
      <c r="D3064" t="s">
        <v>2884</v>
      </c>
      <c r="E3064">
        <v>0</v>
      </c>
      <c r="F3064" s="11">
        <v>0</v>
      </c>
    </row>
    <row r="3065" spans="1:6" x14ac:dyDescent="0.35">
      <c r="A3065" t="s">
        <v>2856</v>
      </c>
      <c r="B3065" t="s">
        <v>2865</v>
      </c>
      <c r="C3065" t="s">
        <v>2713</v>
      </c>
      <c r="D3065" t="s">
        <v>2885</v>
      </c>
      <c r="E3065">
        <v>0</v>
      </c>
      <c r="F3065" s="11">
        <v>0</v>
      </c>
    </row>
    <row r="3066" spans="1:6" x14ac:dyDescent="0.35">
      <c r="A3066" t="s">
        <v>2856</v>
      </c>
      <c r="B3066" t="s">
        <v>2865</v>
      </c>
      <c r="C3066" t="s">
        <v>2713</v>
      </c>
      <c r="D3066" t="s">
        <v>2886</v>
      </c>
      <c r="E3066">
        <v>0</v>
      </c>
      <c r="F3066" s="11">
        <v>0</v>
      </c>
    </row>
    <row r="3067" spans="1:6" x14ac:dyDescent="0.35">
      <c r="A3067" t="s">
        <v>2856</v>
      </c>
      <c r="B3067" t="s">
        <v>2865</v>
      </c>
      <c r="C3067" t="s">
        <v>2713</v>
      </c>
      <c r="D3067" t="s">
        <v>2887</v>
      </c>
      <c r="E3067">
        <v>34389</v>
      </c>
      <c r="F3067" s="11">
        <v>0</v>
      </c>
    </row>
    <row r="3068" spans="1:6" x14ac:dyDescent="0.35">
      <c r="A3068" t="s">
        <v>2856</v>
      </c>
      <c r="B3068" t="s">
        <v>2865</v>
      </c>
      <c r="C3068" t="s">
        <v>2713</v>
      </c>
      <c r="D3068" t="s">
        <v>2888</v>
      </c>
      <c r="E3068">
        <v>22908</v>
      </c>
      <c r="F3068" s="11">
        <v>0</v>
      </c>
    </row>
    <row r="3069" spans="1:6" x14ac:dyDescent="0.35">
      <c r="A3069" t="s">
        <v>2856</v>
      </c>
      <c r="B3069" t="s">
        <v>2865</v>
      </c>
      <c r="C3069" t="s">
        <v>2713</v>
      </c>
      <c r="D3069" t="s">
        <v>2889</v>
      </c>
      <c r="E3069">
        <v>0</v>
      </c>
      <c r="F3069" s="11">
        <v>0</v>
      </c>
    </row>
    <row r="3070" spans="1:6" x14ac:dyDescent="0.35">
      <c r="A3070" t="s">
        <v>2856</v>
      </c>
      <c r="B3070" t="s">
        <v>2865</v>
      </c>
      <c r="C3070" t="s">
        <v>2713</v>
      </c>
      <c r="D3070" t="s">
        <v>2890</v>
      </c>
      <c r="E3070">
        <v>0</v>
      </c>
      <c r="F3070" s="11">
        <v>0</v>
      </c>
    </row>
    <row r="3071" spans="1:6" x14ac:dyDescent="0.35">
      <c r="A3071" t="s">
        <v>2856</v>
      </c>
      <c r="B3071" t="s">
        <v>2865</v>
      </c>
      <c r="C3071" t="s">
        <v>2713</v>
      </c>
      <c r="D3071" t="s">
        <v>2891</v>
      </c>
      <c r="E3071">
        <v>0</v>
      </c>
      <c r="F3071" s="11">
        <v>0</v>
      </c>
    </row>
    <row r="3072" spans="1:6" x14ac:dyDescent="0.35">
      <c r="A3072" t="s">
        <v>2856</v>
      </c>
      <c r="B3072" t="s">
        <v>2865</v>
      </c>
      <c r="C3072" t="s">
        <v>2713</v>
      </c>
      <c r="D3072" t="s">
        <v>2892</v>
      </c>
      <c r="E3072">
        <v>0</v>
      </c>
      <c r="F3072" s="11">
        <v>0</v>
      </c>
    </row>
    <row r="3073" spans="1:6" x14ac:dyDescent="0.35">
      <c r="A3073" t="s">
        <v>2856</v>
      </c>
      <c r="B3073" t="s">
        <v>2865</v>
      </c>
      <c r="C3073" t="s">
        <v>2713</v>
      </c>
      <c r="D3073" t="s">
        <v>2893</v>
      </c>
      <c r="E3073">
        <v>0</v>
      </c>
      <c r="F3073" s="11">
        <v>0</v>
      </c>
    </row>
    <row r="3074" spans="1:6" x14ac:dyDescent="0.35">
      <c r="A3074" t="s">
        <v>2856</v>
      </c>
      <c r="B3074" t="s">
        <v>2865</v>
      </c>
      <c r="C3074" t="s">
        <v>2713</v>
      </c>
      <c r="D3074" t="s">
        <v>2894</v>
      </c>
      <c r="E3074">
        <v>0</v>
      </c>
      <c r="F3074" s="11">
        <v>0</v>
      </c>
    </row>
    <row r="3075" spans="1:6" x14ac:dyDescent="0.35">
      <c r="A3075" t="s">
        <v>2856</v>
      </c>
      <c r="B3075" t="s">
        <v>2865</v>
      </c>
      <c r="C3075" t="s">
        <v>2713</v>
      </c>
      <c r="D3075" t="s">
        <v>2895</v>
      </c>
      <c r="E3075">
        <v>106951</v>
      </c>
      <c r="F3075" s="11">
        <v>0</v>
      </c>
    </row>
    <row r="3076" spans="1:6" x14ac:dyDescent="0.35">
      <c r="A3076" t="s">
        <v>2856</v>
      </c>
      <c r="B3076" t="s">
        <v>2865</v>
      </c>
      <c r="C3076" t="s">
        <v>2713</v>
      </c>
      <c r="D3076" t="s">
        <v>2896</v>
      </c>
      <c r="E3076">
        <v>0</v>
      </c>
      <c r="F3076" s="11">
        <v>0</v>
      </c>
    </row>
    <row r="3077" spans="1:6" x14ac:dyDescent="0.35">
      <c r="A3077" t="s">
        <v>2856</v>
      </c>
      <c r="B3077" t="s">
        <v>2865</v>
      </c>
      <c r="C3077" t="s">
        <v>2713</v>
      </c>
      <c r="D3077" t="s">
        <v>2897</v>
      </c>
      <c r="E3077">
        <v>0</v>
      </c>
      <c r="F3077" s="11">
        <v>0</v>
      </c>
    </row>
    <row r="3078" spans="1:6" x14ac:dyDescent="0.35">
      <c r="A3078" t="s">
        <v>2856</v>
      </c>
      <c r="B3078" t="s">
        <v>2865</v>
      </c>
      <c r="C3078" t="s">
        <v>2713</v>
      </c>
      <c r="D3078" t="s">
        <v>2898</v>
      </c>
      <c r="E3078">
        <v>0</v>
      </c>
      <c r="F3078" s="11">
        <v>0</v>
      </c>
    </row>
    <row r="3079" spans="1:6" x14ac:dyDescent="0.35">
      <c r="A3079" t="s">
        <v>2856</v>
      </c>
      <c r="B3079" t="s">
        <v>2865</v>
      </c>
      <c r="C3079" t="s">
        <v>2713</v>
      </c>
      <c r="D3079" t="s">
        <v>2899</v>
      </c>
      <c r="E3079">
        <v>0</v>
      </c>
      <c r="F3079" s="11">
        <v>0</v>
      </c>
    </row>
    <row r="3080" spans="1:6" x14ac:dyDescent="0.35">
      <c r="A3080" t="s">
        <v>2856</v>
      </c>
      <c r="B3080" t="s">
        <v>2865</v>
      </c>
      <c r="C3080" t="s">
        <v>2713</v>
      </c>
      <c r="D3080" t="s">
        <v>2900</v>
      </c>
      <c r="E3080">
        <v>0</v>
      </c>
      <c r="F3080" s="11">
        <v>0</v>
      </c>
    </row>
    <row r="3081" spans="1:6" x14ac:dyDescent="0.35">
      <c r="A3081" t="s">
        <v>2856</v>
      </c>
      <c r="B3081" t="s">
        <v>2865</v>
      </c>
      <c r="C3081" t="s">
        <v>2713</v>
      </c>
      <c r="D3081" t="s">
        <v>2901</v>
      </c>
      <c r="E3081">
        <v>0</v>
      </c>
      <c r="F3081" s="11">
        <v>0</v>
      </c>
    </row>
    <row r="3082" spans="1:6" x14ac:dyDescent="0.35">
      <c r="A3082" t="s">
        <v>2856</v>
      </c>
      <c r="B3082" t="s">
        <v>2865</v>
      </c>
      <c r="C3082" t="s">
        <v>2713</v>
      </c>
      <c r="D3082" t="s">
        <v>2902</v>
      </c>
      <c r="E3082">
        <v>0</v>
      </c>
      <c r="F3082" s="11">
        <v>0</v>
      </c>
    </row>
    <row r="3083" spans="1:6" x14ac:dyDescent="0.35">
      <c r="A3083" t="s">
        <v>2856</v>
      </c>
      <c r="B3083" t="s">
        <v>2865</v>
      </c>
      <c r="C3083" t="s">
        <v>2713</v>
      </c>
      <c r="D3083" t="s">
        <v>2903</v>
      </c>
      <c r="E3083">
        <v>9653</v>
      </c>
      <c r="F3083" s="11">
        <v>0</v>
      </c>
    </row>
    <row r="3084" spans="1:6" x14ac:dyDescent="0.35">
      <c r="A3084" t="s">
        <v>2856</v>
      </c>
      <c r="B3084" t="s">
        <v>2865</v>
      </c>
      <c r="C3084" t="s">
        <v>2713</v>
      </c>
      <c r="D3084" t="s">
        <v>2904</v>
      </c>
      <c r="E3084">
        <v>8782</v>
      </c>
      <c r="F3084" s="11">
        <v>0</v>
      </c>
    </row>
    <row r="3085" spans="1:6" x14ac:dyDescent="0.35">
      <c r="A3085" t="s">
        <v>2856</v>
      </c>
      <c r="B3085" t="s">
        <v>2865</v>
      </c>
      <c r="C3085" t="s">
        <v>2713</v>
      </c>
      <c r="D3085" t="s">
        <v>2905</v>
      </c>
      <c r="E3085">
        <v>532</v>
      </c>
      <c r="F3085" s="11">
        <v>0</v>
      </c>
    </row>
    <row r="3086" spans="1:6" x14ac:dyDescent="0.35">
      <c r="A3086" t="s">
        <v>2856</v>
      </c>
      <c r="B3086" t="s">
        <v>2865</v>
      </c>
      <c r="C3086" t="s">
        <v>2713</v>
      </c>
      <c r="D3086" t="s">
        <v>2906</v>
      </c>
      <c r="E3086">
        <v>339</v>
      </c>
      <c r="F3086" s="11">
        <v>0</v>
      </c>
    </row>
    <row r="3087" spans="1:6" x14ac:dyDescent="0.35">
      <c r="A3087" t="s">
        <v>2856</v>
      </c>
      <c r="B3087" t="s">
        <v>2865</v>
      </c>
      <c r="C3087" t="s">
        <v>2713</v>
      </c>
      <c r="D3087" t="s">
        <v>2907</v>
      </c>
      <c r="E3087">
        <v>13333</v>
      </c>
      <c r="F3087" s="11">
        <v>0</v>
      </c>
    </row>
    <row r="3088" spans="1:6" x14ac:dyDescent="0.35">
      <c r="A3088" t="s">
        <v>2856</v>
      </c>
      <c r="B3088" t="s">
        <v>2865</v>
      </c>
      <c r="C3088" t="s">
        <v>2713</v>
      </c>
      <c r="D3088" t="s">
        <v>2908</v>
      </c>
      <c r="E3088">
        <v>11674</v>
      </c>
      <c r="F3088" s="11">
        <v>0</v>
      </c>
    </row>
    <row r="3089" spans="1:6" x14ac:dyDescent="0.35">
      <c r="A3089" t="s">
        <v>2856</v>
      </c>
      <c r="B3089" t="s">
        <v>2865</v>
      </c>
      <c r="C3089" t="s">
        <v>2713</v>
      </c>
      <c r="D3089" t="s">
        <v>2909</v>
      </c>
      <c r="E3089">
        <v>981</v>
      </c>
      <c r="F3089" s="11">
        <v>0</v>
      </c>
    </row>
    <row r="3090" spans="1:6" x14ac:dyDescent="0.35">
      <c r="A3090" t="s">
        <v>2856</v>
      </c>
      <c r="B3090" t="s">
        <v>2865</v>
      </c>
      <c r="C3090" t="s">
        <v>2713</v>
      </c>
      <c r="D3090" t="s">
        <v>2910</v>
      </c>
      <c r="E3090">
        <v>678</v>
      </c>
      <c r="F3090" s="11">
        <v>0</v>
      </c>
    </row>
    <row r="3091" spans="1:6" x14ac:dyDescent="0.35">
      <c r="A3091" t="s">
        <v>2856</v>
      </c>
      <c r="B3091" t="s">
        <v>2865</v>
      </c>
      <c r="C3091" t="s">
        <v>2713</v>
      </c>
      <c r="D3091" t="s">
        <v>2911</v>
      </c>
      <c r="E3091">
        <v>242624</v>
      </c>
      <c r="F3091" s="11">
        <v>0</v>
      </c>
    </row>
    <row r="3092" spans="1:6" x14ac:dyDescent="0.35">
      <c r="A3092" t="s">
        <v>2856</v>
      </c>
      <c r="B3092" t="s">
        <v>2865</v>
      </c>
      <c r="C3092" t="s">
        <v>2713</v>
      </c>
      <c r="D3092" t="s">
        <v>2912</v>
      </c>
      <c r="E3092">
        <v>0</v>
      </c>
      <c r="F3092" s="11">
        <v>0</v>
      </c>
    </row>
    <row r="3093" spans="1:6" x14ac:dyDescent="0.35">
      <c r="A3093" t="s">
        <v>2856</v>
      </c>
      <c r="B3093" t="s">
        <v>2865</v>
      </c>
      <c r="C3093" t="s">
        <v>2713</v>
      </c>
      <c r="D3093" t="s">
        <v>2913</v>
      </c>
      <c r="E3093">
        <v>0</v>
      </c>
      <c r="F3093" s="11">
        <v>0</v>
      </c>
    </row>
    <row r="3094" spans="1:6" x14ac:dyDescent="0.35">
      <c r="A3094" t="s">
        <v>2856</v>
      </c>
      <c r="B3094" t="s">
        <v>2865</v>
      </c>
      <c r="C3094" t="s">
        <v>2713</v>
      </c>
      <c r="D3094" t="s">
        <v>2914</v>
      </c>
      <c r="E3094">
        <v>0</v>
      </c>
      <c r="F3094" s="11">
        <v>0</v>
      </c>
    </row>
    <row r="3095" spans="1:6" x14ac:dyDescent="0.35">
      <c r="A3095" t="s">
        <v>2856</v>
      </c>
      <c r="B3095" t="s">
        <v>2865</v>
      </c>
      <c r="C3095" t="s">
        <v>2713</v>
      </c>
      <c r="D3095" t="s">
        <v>2915</v>
      </c>
      <c r="E3095">
        <v>1075</v>
      </c>
      <c r="F3095" s="11">
        <v>0</v>
      </c>
    </row>
    <row r="3096" spans="1:6" x14ac:dyDescent="0.35">
      <c r="A3096" t="s">
        <v>2856</v>
      </c>
      <c r="B3096" t="s">
        <v>2865</v>
      </c>
      <c r="C3096" t="s">
        <v>2713</v>
      </c>
      <c r="D3096" t="s">
        <v>2916</v>
      </c>
      <c r="E3096">
        <v>0</v>
      </c>
      <c r="F3096" s="11">
        <v>0</v>
      </c>
    </row>
    <row r="3097" spans="1:6" x14ac:dyDescent="0.35">
      <c r="A3097" t="s">
        <v>2856</v>
      </c>
      <c r="B3097" t="s">
        <v>2865</v>
      </c>
      <c r="C3097" t="s">
        <v>2713</v>
      </c>
      <c r="D3097" t="s">
        <v>2917</v>
      </c>
      <c r="E3097">
        <v>11421</v>
      </c>
      <c r="F3097" s="11">
        <v>0</v>
      </c>
    </row>
    <row r="3098" spans="1:6" x14ac:dyDescent="0.35">
      <c r="A3098" t="s">
        <v>2856</v>
      </c>
      <c r="B3098" t="s">
        <v>2866</v>
      </c>
      <c r="C3098" t="s">
        <v>1518</v>
      </c>
      <c r="D3098" t="s">
        <v>2875</v>
      </c>
      <c r="E3098">
        <v>28403</v>
      </c>
      <c r="F3098" s="11">
        <v>1</v>
      </c>
    </row>
    <row r="3099" spans="1:6" x14ac:dyDescent="0.35">
      <c r="A3099" t="s">
        <v>2856</v>
      </c>
      <c r="B3099" t="s">
        <v>2866</v>
      </c>
      <c r="C3099" t="s">
        <v>1518</v>
      </c>
      <c r="D3099" t="s">
        <v>2876</v>
      </c>
      <c r="E3099">
        <v>6688</v>
      </c>
      <c r="F3099" s="11">
        <v>1</v>
      </c>
    </row>
    <row r="3100" spans="1:6" x14ac:dyDescent="0.35">
      <c r="A3100" t="s">
        <v>2856</v>
      </c>
      <c r="B3100" t="s">
        <v>2866</v>
      </c>
      <c r="C3100" t="s">
        <v>1518</v>
      </c>
      <c r="D3100" t="s">
        <v>2877</v>
      </c>
      <c r="E3100">
        <v>19967</v>
      </c>
      <c r="F3100" s="11">
        <v>1</v>
      </c>
    </row>
    <row r="3101" spans="1:6" x14ac:dyDescent="0.35">
      <c r="A3101" t="s">
        <v>2856</v>
      </c>
      <c r="B3101" t="s">
        <v>2866</v>
      </c>
      <c r="C3101" t="s">
        <v>1518</v>
      </c>
      <c r="D3101" t="s">
        <v>2878</v>
      </c>
      <c r="E3101">
        <v>1748</v>
      </c>
      <c r="F3101" s="11">
        <v>1</v>
      </c>
    </row>
    <row r="3102" spans="1:6" x14ac:dyDescent="0.35">
      <c r="A3102" t="s">
        <v>2856</v>
      </c>
      <c r="B3102" t="s">
        <v>2866</v>
      </c>
      <c r="C3102" t="s">
        <v>1518</v>
      </c>
      <c r="D3102" t="s">
        <v>2879</v>
      </c>
      <c r="E3102">
        <v>1851</v>
      </c>
      <c r="F3102" s="11">
        <v>1</v>
      </c>
    </row>
    <row r="3103" spans="1:6" x14ac:dyDescent="0.35">
      <c r="A3103" t="s">
        <v>2856</v>
      </c>
      <c r="B3103" t="s">
        <v>2866</v>
      </c>
      <c r="C3103" t="s">
        <v>1518</v>
      </c>
      <c r="D3103" t="s">
        <v>2880</v>
      </c>
      <c r="E3103">
        <v>725</v>
      </c>
      <c r="F3103" s="11">
        <v>1</v>
      </c>
    </row>
    <row r="3104" spans="1:6" x14ac:dyDescent="0.35">
      <c r="A3104" t="s">
        <v>2856</v>
      </c>
      <c r="B3104" t="s">
        <v>2866</v>
      </c>
      <c r="C3104" t="s">
        <v>1518</v>
      </c>
      <c r="D3104" t="s">
        <v>2881</v>
      </c>
      <c r="E3104">
        <v>1126</v>
      </c>
      <c r="F3104" s="11">
        <v>0</v>
      </c>
    </row>
    <row r="3105" spans="1:6" x14ac:dyDescent="0.35">
      <c r="A3105" t="s">
        <v>2856</v>
      </c>
      <c r="B3105" t="s">
        <v>2866</v>
      </c>
      <c r="C3105" t="s">
        <v>1518</v>
      </c>
      <c r="D3105" t="s">
        <v>2882</v>
      </c>
      <c r="E3105">
        <v>0</v>
      </c>
      <c r="F3105" s="11">
        <v>1</v>
      </c>
    </row>
    <row r="3106" spans="1:6" x14ac:dyDescent="0.35">
      <c r="A3106" t="s">
        <v>2856</v>
      </c>
      <c r="B3106" t="s">
        <v>2866</v>
      </c>
      <c r="C3106" t="s">
        <v>1518</v>
      </c>
      <c r="D3106" t="s">
        <v>2883</v>
      </c>
      <c r="E3106">
        <v>0</v>
      </c>
      <c r="F3106" s="11">
        <v>0</v>
      </c>
    </row>
    <row r="3107" spans="1:6" x14ac:dyDescent="0.35">
      <c r="A3107" t="s">
        <v>2856</v>
      </c>
      <c r="B3107" t="s">
        <v>2866</v>
      </c>
      <c r="C3107" t="s">
        <v>1518</v>
      </c>
      <c r="D3107" t="s">
        <v>2884</v>
      </c>
      <c r="E3107">
        <v>0</v>
      </c>
      <c r="F3107" s="11">
        <v>0</v>
      </c>
    </row>
    <row r="3108" spans="1:6" x14ac:dyDescent="0.35">
      <c r="A3108" t="s">
        <v>2856</v>
      </c>
      <c r="B3108" t="s">
        <v>2866</v>
      </c>
      <c r="C3108" t="s">
        <v>1518</v>
      </c>
      <c r="D3108" t="s">
        <v>2885</v>
      </c>
      <c r="E3108">
        <v>0</v>
      </c>
      <c r="F3108" s="11">
        <v>0</v>
      </c>
    </row>
    <row r="3109" spans="1:6" x14ac:dyDescent="0.35">
      <c r="A3109" t="s">
        <v>2856</v>
      </c>
      <c r="B3109" t="s">
        <v>2866</v>
      </c>
      <c r="C3109" t="s">
        <v>1518</v>
      </c>
      <c r="D3109" t="s">
        <v>2886</v>
      </c>
      <c r="E3109">
        <v>0</v>
      </c>
      <c r="F3109" s="11">
        <v>0</v>
      </c>
    </row>
    <row r="3110" spans="1:6" x14ac:dyDescent="0.35">
      <c r="A3110" t="s">
        <v>2856</v>
      </c>
      <c r="B3110" t="s">
        <v>2866</v>
      </c>
      <c r="C3110" t="s">
        <v>1518</v>
      </c>
      <c r="D3110" t="s">
        <v>2887</v>
      </c>
      <c r="E3110">
        <v>20529</v>
      </c>
      <c r="F3110" s="11">
        <v>1</v>
      </c>
    </row>
    <row r="3111" spans="1:6" x14ac:dyDescent="0.35">
      <c r="A3111" t="s">
        <v>2856</v>
      </c>
      <c r="B3111" t="s">
        <v>2866</v>
      </c>
      <c r="C3111" t="s">
        <v>1518</v>
      </c>
      <c r="D3111" t="s">
        <v>2888</v>
      </c>
      <c r="E3111">
        <v>6739</v>
      </c>
      <c r="F3111" s="11">
        <v>1</v>
      </c>
    </row>
    <row r="3112" spans="1:6" x14ac:dyDescent="0.35">
      <c r="A3112" t="s">
        <v>2856</v>
      </c>
      <c r="B3112" t="s">
        <v>2866</v>
      </c>
      <c r="C3112" t="s">
        <v>1518</v>
      </c>
      <c r="D3112" t="s">
        <v>2889</v>
      </c>
      <c r="E3112">
        <v>13790</v>
      </c>
      <c r="F3112" s="11">
        <v>0</v>
      </c>
    </row>
    <row r="3113" spans="1:6" x14ac:dyDescent="0.35">
      <c r="A3113" t="s">
        <v>2856</v>
      </c>
      <c r="B3113" t="s">
        <v>2866</v>
      </c>
      <c r="C3113" t="s">
        <v>1518</v>
      </c>
      <c r="D3113" t="s">
        <v>2890</v>
      </c>
      <c r="E3113">
        <v>0</v>
      </c>
      <c r="F3113" s="11">
        <v>1</v>
      </c>
    </row>
    <row r="3114" spans="1:6" x14ac:dyDescent="0.35">
      <c r="A3114" t="s">
        <v>2856</v>
      </c>
      <c r="B3114" t="s">
        <v>2866</v>
      </c>
      <c r="C3114" t="s">
        <v>1518</v>
      </c>
      <c r="D3114" t="s">
        <v>2891</v>
      </c>
      <c r="E3114">
        <v>0</v>
      </c>
      <c r="F3114" s="11">
        <v>0</v>
      </c>
    </row>
    <row r="3115" spans="1:6" x14ac:dyDescent="0.35">
      <c r="A3115" t="s">
        <v>2856</v>
      </c>
      <c r="B3115" t="s">
        <v>2866</v>
      </c>
      <c r="C3115" t="s">
        <v>1518</v>
      </c>
      <c r="D3115" t="s">
        <v>2892</v>
      </c>
      <c r="E3115">
        <v>0</v>
      </c>
      <c r="F3115" s="11">
        <v>0</v>
      </c>
    </row>
    <row r="3116" spans="1:6" x14ac:dyDescent="0.35">
      <c r="A3116" t="s">
        <v>2856</v>
      </c>
      <c r="B3116" t="s">
        <v>2866</v>
      </c>
      <c r="C3116" t="s">
        <v>1518</v>
      </c>
      <c r="D3116" t="s">
        <v>2893</v>
      </c>
      <c r="E3116">
        <v>0</v>
      </c>
      <c r="F3116" s="11">
        <v>0</v>
      </c>
    </row>
    <row r="3117" spans="1:6" x14ac:dyDescent="0.35">
      <c r="A3117" t="s">
        <v>2856</v>
      </c>
      <c r="B3117" t="s">
        <v>2866</v>
      </c>
      <c r="C3117" t="s">
        <v>1518</v>
      </c>
      <c r="D3117" t="s">
        <v>2894</v>
      </c>
      <c r="E3117">
        <v>0</v>
      </c>
      <c r="F3117" s="11">
        <v>0</v>
      </c>
    </row>
    <row r="3118" spans="1:6" x14ac:dyDescent="0.35">
      <c r="A3118" t="s">
        <v>2856</v>
      </c>
      <c r="B3118" t="s">
        <v>2866</v>
      </c>
      <c r="C3118" t="s">
        <v>1518</v>
      </c>
      <c r="D3118" t="s">
        <v>2895</v>
      </c>
      <c r="E3118">
        <v>929885</v>
      </c>
      <c r="F3118" s="11">
        <v>1</v>
      </c>
    </row>
    <row r="3119" spans="1:6" x14ac:dyDescent="0.35">
      <c r="A3119" t="s">
        <v>2856</v>
      </c>
      <c r="B3119" t="s">
        <v>2866</v>
      </c>
      <c r="C3119" t="s">
        <v>1518</v>
      </c>
      <c r="D3119" t="s">
        <v>2896</v>
      </c>
      <c r="E3119">
        <v>408601</v>
      </c>
      <c r="F3119" s="11">
        <v>1</v>
      </c>
    </row>
    <row r="3120" spans="1:6" x14ac:dyDescent="0.35">
      <c r="A3120" t="s">
        <v>2856</v>
      </c>
      <c r="B3120" t="s">
        <v>2866</v>
      </c>
      <c r="C3120" t="s">
        <v>1518</v>
      </c>
      <c r="D3120" t="s">
        <v>2897</v>
      </c>
      <c r="E3120">
        <v>492557</v>
      </c>
      <c r="F3120" s="11">
        <v>1</v>
      </c>
    </row>
    <row r="3121" spans="1:6" x14ac:dyDescent="0.35">
      <c r="A3121" t="s">
        <v>2856</v>
      </c>
      <c r="B3121" t="s">
        <v>2866</v>
      </c>
      <c r="C3121" t="s">
        <v>1518</v>
      </c>
      <c r="D3121" t="s">
        <v>2898</v>
      </c>
      <c r="E3121">
        <v>28727</v>
      </c>
      <c r="F3121" s="11">
        <v>1</v>
      </c>
    </row>
    <row r="3122" spans="1:6" x14ac:dyDescent="0.35">
      <c r="A3122" t="s">
        <v>2856</v>
      </c>
      <c r="B3122" t="s">
        <v>2866</v>
      </c>
      <c r="C3122" t="s">
        <v>1518</v>
      </c>
      <c r="D3122" t="s">
        <v>2899</v>
      </c>
      <c r="E3122">
        <v>5877</v>
      </c>
      <c r="F3122" s="11">
        <v>1</v>
      </c>
    </row>
    <row r="3123" spans="1:6" x14ac:dyDescent="0.35">
      <c r="A3123" t="s">
        <v>2856</v>
      </c>
      <c r="B3123" t="s">
        <v>2866</v>
      </c>
      <c r="C3123" t="s">
        <v>1518</v>
      </c>
      <c r="D3123" t="s">
        <v>2900</v>
      </c>
      <c r="E3123">
        <v>4094</v>
      </c>
      <c r="F3123" s="11">
        <v>1</v>
      </c>
    </row>
    <row r="3124" spans="1:6" x14ac:dyDescent="0.35">
      <c r="A3124" t="s">
        <v>2856</v>
      </c>
      <c r="B3124" t="s">
        <v>2866</v>
      </c>
      <c r="C3124" t="s">
        <v>1518</v>
      </c>
      <c r="D3124" t="s">
        <v>2901</v>
      </c>
      <c r="E3124">
        <v>1776</v>
      </c>
      <c r="F3124" s="11">
        <v>1</v>
      </c>
    </row>
    <row r="3125" spans="1:6" x14ac:dyDescent="0.35">
      <c r="A3125" t="s">
        <v>2856</v>
      </c>
      <c r="B3125" t="s">
        <v>2866</v>
      </c>
      <c r="C3125" t="s">
        <v>1518</v>
      </c>
      <c r="D3125" t="s">
        <v>2902</v>
      </c>
      <c r="E3125">
        <v>7</v>
      </c>
      <c r="F3125" s="11">
        <v>1</v>
      </c>
    </row>
    <row r="3126" spans="1:6" x14ac:dyDescent="0.35">
      <c r="A3126" t="s">
        <v>2856</v>
      </c>
      <c r="B3126" t="s">
        <v>2866</v>
      </c>
      <c r="C3126" t="s">
        <v>1518</v>
      </c>
      <c r="D3126" t="s">
        <v>2903</v>
      </c>
      <c r="E3126">
        <v>54967</v>
      </c>
      <c r="F3126" s="11">
        <v>1</v>
      </c>
    </row>
    <row r="3127" spans="1:6" x14ac:dyDescent="0.35">
      <c r="A3127" t="s">
        <v>2856</v>
      </c>
      <c r="B3127" t="s">
        <v>2866</v>
      </c>
      <c r="C3127" t="s">
        <v>1518</v>
      </c>
      <c r="D3127" t="s">
        <v>2904</v>
      </c>
      <c r="E3127">
        <v>0</v>
      </c>
      <c r="F3127" s="11">
        <v>1</v>
      </c>
    </row>
    <row r="3128" spans="1:6" x14ac:dyDescent="0.35">
      <c r="A3128" t="s">
        <v>2856</v>
      </c>
      <c r="B3128" t="s">
        <v>2866</v>
      </c>
      <c r="C3128" t="s">
        <v>1518</v>
      </c>
      <c r="D3128" t="s">
        <v>2905</v>
      </c>
      <c r="E3128">
        <v>0</v>
      </c>
      <c r="F3128" s="11">
        <v>1</v>
      </c>
    </row>
    <row r="3129" spans="1:6" x14ac:dyDescent="0.35">
      <c r="A3129" t="s">
        <v>2856</v>
      </c>
      <c r="B3129" t="s">
        <v>2866</v>
      </c>
      <c r="C3129" t="s">
        <v>1518</v>
      </c>
      <c r="D3129" t="s">
        <v>2906</v>
      </c>
      <c r="E3129">
        <v>0</v>
      </c>
      <c r="F3129" s="11">
        <v>1</v>
      </c>
    </row>
    <row r="3130" spans="1:6" x14ac:dyDescent="0.35">
      <c r="A3130" t="s">
        <v>2856</v>
      </c>
      <c r="B3130" t="s">
        <v>2866</v>
      </c>
      <c r="C3130" t="s">
        <v>1518</v>
      </c>
      <c r="D3130" t="s">
        <v>2907</v>
      </c>
      <c r="E3130">
        <v>69840</v>
      </c>
      <c r="F3130" s="11">
        <v>1</v>
      </c>
    </row>
    <row r="3131" spans="1:6" x14ac:dyDescent="0.35">
      <c r="A3131" t="s">
        <v>2856</v>
      </c>
      <c r="B3131" t="s">
        <v>2866</v>
      </c>
      <c r="C3131" t="s">
        <v>1518</v>
      </c>
      <c r="D3131" t="s">
        <v>2908</v>
      </c>
      <c r="E3131">
        <v>0</v>
      </c>
      <c r="F3131" s="11">
        <v>1</v>
      </c>
    </row>
    <row r="3132" spans="1:6" x14ac:dyDescent="0.35">
      <c r="A3132" t="s">
        <v>2856</v>
      </c>
      <c r="B3132" t="s">
        <v>2866</v>
      </c>
      <c r="C3132" t="s">
        <v>1518</v>
      </c>
      <c r="D3132" t="s">
        <v>2909</v>
      </c>
      <c r="E3132">
        <v>0</v>
      </c>
      <c r="F3132" s="11">
        <v>1</v>
      </c>
    </row>
    <row r="3133" spans="1:6" x14ac:dyDescent="0.35">
      <c r="A3133" t="s">
        <v>2856</v>
      </c>
      <c r="B3133" t="s">
        <v>2866</v>
      </c>
      <c r="C3133" t="s">
        <v>1518</v>
      </c>
      <c r="D3133" t="s">
        <v>2910</v>
      </c>
      <c r="E3133">
        <v>0</v>
      </c>
      <c r="F3133" s="11">
        <v>1</v>
      </c>
    </row>
    <row r="3134" spans="1:6" x14ac:dyDescent="0.35">
      <c r="A3134" t="s">
        <v>2856</v>
      </c>
      <c r="B3134" t="s">
        <v>2866</v>
      </c>
      <c r="C3134" t="s">
        <v>1518</v>
      </c>
      <c r="D3134" t="s">
        <v>2911</v>
      </c>
      <c r="E3134">
        <v>942166</v>
      </c>
      <c r="F3134" s="11">
        <v>1</v>
      </c>
    </row>
    <row r="3135" spans="1:6" x14ac:dyDescent="0.35">
      <c r="A3135" t="s">
        <v>2856</v>
      </c>
      <c r="B3135" t="s">
        <v>2866</v>
      </c>
      <c r="C3135" t="s">
        <v>1518</v>
      </c>
      <c r="D3135" t="s">
        <v>2912</v>
      </c>
      <c r="E3135">
        <v>0</v>
      </c>
      <c r="F3135" s="11">
        <v>0</v>
      </c>
    </row>
    <row r="3136" spans="1:6" x14ac:dyDescent="0.35">
      <c r="A3136" t="s">
        <v>2856</v>
      </c>
      <c r="B3136" t="s">
        <v>2866</v>
      </c>
      <c r="C3136" t="s">
        <v>1518</v>
      </c>
      <c r="D3136" t="s">
        <v>2913</v>
      </c>
      <c r="E3136">
        <v>0</v>
      </c>
      <c r="F3136" s="11">
        <v>0</v>
      </c>
    </row>
    <row r="3137" spans="1:6" x14ac:dyDescent="0.35">
      <c r="A3137" t="s">
        <v>2856</v>
      </c>
      <c r="B3137" t="s">
        <v>2866</v>
      </c>
      <c r="C3137" t="s">
        <v>1518</v>
      </c>
      <c r="D3137" t="s">
        <v>2914</v>
      </c>
      <c r="E3137">
        <v>0</v>
      </c>
      <c r="F3137" s="11">
        <v>0</v>
      </c>
    </row>
    <row r="3138" spans="1:6" x14ac:dyDescent="0.35">
      <c r="A3138" t="s">
        <v>2856</v>
      </c>
      <c r="B3138" t="s">
        <v>2866</v>
      </c>
      <c r="C3138" t="s">
        <v>1518</v>
      </c>
      <c r="D3138" t="s">
        <v>2915</v>
      </c>
      <c r="E3138">
        <v>936</v>
      </c>
      <c r="F3138" s="11">
        <v>1</v>
      </c>
    </row>
    <row r="3139" spans="1:6" x14ac:dyDescent="0.35">
      <c r="A3139" t="s">
        <v>2856</v>
      </c>
      <c r="B3139" t="s">
        <v>2866</v>
      </c>
      <c r="C3139" t="s">
        <v>1518</v>
      </c>
      <c r="D3139" t="s">
        <v>2916</v>
      </c>
      <c r="E3139">
        <v>48051</v>
      </c>
      <c r="F3139" s="11">
        <v>1</v>
      </c>
    </row>
    <row r="3140" spans="1:6" x14ac:dyDescent="0.35">
      <c r="A3140" t="s">
        <v>2856</v>
      </c>
      <c r="B3140" t="s">
        <v>2866</v>
      </c>
      <c r="C3140" t="s">
        <v>1518</v>
      </c>
      <c r="D3140" t="s">
        <v>2917</v>
      </c>
      <c r="E3140">
        <v>0</v>
      </c>
      <c r="F3140" s="11">
        <v>0</v>
      </c>
    </row>
    <row r="3141" spans="1:6" x14ac:dyDescent="0.35">
      <c r="A3141" t="s">
        <v>2856</v>
      </c>
      <c r="B3141" t="s">
        <v>2865</v>
      </c>
      <c r="C3141" t="s">
        <v>2716</v>
      </c>
      <c r="D3141" t="s">
        <v>2875</v>
      </c>
      <c r="E3141">
        <v>11716</v>
      </c>
      <c r="F3141" s="11">
        <v>0</v>
      </c>
    </row>
    <row r="3142" spans="1:6" x14ac:dyDescent="0.35">
      <c r="A3142" t="s">
        <v>2856</v>
      </c>
      <c r="B3142" t="s">
        <v>2865</v>
      </c>
      <c r="C3142" t="s">
        <v>2716</v>
      </c>
      <c r="D3142" t="s">
        <v>2876</v>
      </c>
      <c r="E3142">
        <v>4281</v>
      </c>
      <c r="F3142" s="11">
        <v>0</v>
      </c>
    </row>
    <row r="3143" spans="1:6" x14ac:dyDescent="0.35">
      <c r="A3143" t="s">
        <v>2856</v>
      </c>
      <c r="B3143" t="s">
        <v>2865</v>
      </c>
      <c r="C3143" t="s">
        <v>2716</v>
      </c>
      <c r="D3143" t="s">
        <v>2877</v>
      </c>
      <c r="E3143">
        <v>6383</v>
      </c>
      <c r="F3143" s="11">
        <v>0</v>
      </c>
    </row>
    <row r="3144" spans="1:6" x14ac:dyDescent="0.35">
      <c r="A3144" t="s">
        <v>2856</v>
      </c>
      <c r="B3144" t="s">
        <v>2865</v>
      </c>
      <c r="C3144" t="s">
        <v>2716</v>
      </c>
      <c r="D3144" t="s">
        <v>2878</v>
      </c>
      <c r="E3144">
        <v>1052</v>
      </c>
      <c r="F3144" s="11">
        <v>0</v>
      </c>
    </row>
    <row r="3145" spans="1:6" x14ac:dyDescent="0.35">
      <c r="A3145" t="s">
        <v>2856</v>
      </c>
      <c r="B3145" t="s">
        <v>2865</v>
      </c>
      <c r="C3145" t="s">
        <v>2716</v>
      </c>
      <c r="D3145" t="s">
        <v>2879</v>
      </c>
      <c r="E3145">
        <v>4208</v>
      </c>
      <c r="F3145" s="11">
        <v>0</v>
      </c>
    </row>
    <row r="3146" spans="1:6" x14ac:dyDescent="0.35">
      <c r="A3146" t="s">
        <v>2856</v>
      </c>
      <c r="B3146" t="s">
        <v>2865</v>
      </c>
      <c r="C3146" t="s">
        <v>2716</v>
      </c>
      <c r="D3146" t="s">
        <v>2880</v>
      </c>
      <c r="E3146">
        <v>2531</v>
      </c>
      <c r="F3146" s="11">
        <v>0</v>
      </c>
    </row>
    <row r="3147" spans="1:6" x14ac:dyDescent="0.35">
      <c r="A3147" t="s">
        <v>2856</v>
      </c>
      <c r="B3147" t="s">
        <v>2865</v>
      </c>
      <c r="C3147" t="s">
        <v>2716</v>
      </c>
      <c r="D3147" t="s">
        <v>2881</v>
      </c>
      <c r="E3147">
        <v>1577</v>
      </c>
      <c r="F3147" s="11">
        <v>0</v>
      </c>
    </row>
    <row r="3148" spans="1:6" x14ac:dyDescent="0.35">
      <c r="A3148" t="s">
        <v>2856</v>
      </c>
      <c r="B3148" t="s">
        <v>2865</v>
      </c>
      <c r="C3148" t="s">
        <v>2716</v>
      </c>
      <c r="D3148" t="s">
        <v>2882</v>
      </c>
      <c r="E3148">
        <v>47</v>
      </c>
      <c r="F3148" s="11">
        <v>0</v>
      </c>
    </row>
    <row r="3149" spans="1:6" x14ac:dyDescent="0.35">
      <c r="A3149" t="s">
        <v>2856</v>
      </c>
      <c r="B3149" t="s">
        <v>2865</v>
      </c>
      <c r="C3149" t="s">
        <v>2716</v>
      </c>
      <c r="D3149" t="s">
        <v>2883</v>
      </c>
      <c r="E3149">
        <v>458</v>
      </c>
      <c r="F3149" s="11">
        <v>0</v>
      </c>
    </row>
    <row r="3150" spans="1:6" x14ac:dyDescent="0.35">
      <c r="A3150" t="s">
        <v>2856</v>
      </c>
      <c r="B3150" t="s">
        <v>2865</v>
      </c>
      <c r="C3150" t="s">
        <v>2716</v>
      </c>
      <c r="D3150" t="s">
        <v>2884</v>
      </c>
      <c r="E3150">
        <v>458</v>
      </c>
      <c r="F3150" s="11">
        <v>0</v>
      </c>
    </row>
    <row r="3151" spans="1:6" x14ac:dyDescent="0.35">
      <c r="A3151" t="s">
        <v>2856</v>
      </c>
      <c r="B3151" t="s">
        <v>2865</v>
      </c>
      <c r="C3151" t="s">
        <v>2716</v>
      </c>
      <c r="D3151" t="s">
        <v>2885</v>
      </c>
      <c r="E3151">
        <v>0</v>
      </c>
      <c r="F3151" s="11">
        <v>0</v>
      </c>
    </row>
    <row r="3152" spans="1:6" x14ac:dyDescent="0.35">
      <c r="A3152" t="s">
        <v>2856</v>
      </c>
      <c r="B3152" t="s">
        <v>2865</v>
      </c>
      <c r="C3152" t="s">
        <v>2716</v>
      </c>
      <c r="D3152" t="s">
        <v>2886</v>
      </c>
      <c r="E3152">
        <v>0</v>
      </c>
      <c r="F3152" s="11">
        <v>0</v>
      </c>
    </row>
    <row r="3153" spans="1:6" x14ac:dyDescent="0.35">
      <c r="A3153" t="s">
        <v>2856</v>
      </c>
      <c r="B3153" t="s">
        <v>2865</v>
      </c>
      <c r="C3153" t="s">
        <v>2716</v>
      </c>
      <c r="D3153" t="s">
        <v>2887</v>
      </c>
      <c r="E3153">
        <v>52556</v>
      </c>
      <c r="F3153" s="11">
        <v>0</v>
      </c>
    </row>
    <row r="3154" spans="1:6" x14ac:dyDescent="0.35">
      <c r="A3154" t="s">
        <v>2856</v>
      </c>
      <c r="B3154" t="s">
        <v>2865</v>
      </c>
      <c r="C3154" t="s">
        <v>2716</v>
      </c>
      <c r="D3154" t="s">
        <v>2888</v>
      </c>
      <c r="E3154">
        <v>35108</v>
      </c>
      <c r="F3154" s="11">
        <v>0</v>
      </c>
    </row>
    <row r="3155" spans="1:6" x14ac:dyDescent="0.35">
      <c r="A3155" t="s">
        <v>2856</v>
      </c>
      <c r="B3155" t="s">
        <v>2865</v>
      </c>
      <c r="C3155" t="s">
        <v>2716</v>
      </c>
      <c r="D3155" t="s">
        <v>2889</v>
      </c>
      <c r="E3155">
        <v>14928</v>
      </c>
      <c r="F3155" s="11">
        <v>0</v>
      </c>
    </row>
    <row r="3156" spans="1:6" x14ac:dyDescent="0.35">
      <c r="A3156" t="s">
        <v>2856</v>
      </c>
      <c r="B3156" t="s">
        <v>2865</v>
      </c>
      <c r="C3156" t="s">
        <v>2716</v>
      </c>
      <c r="D3156" t="s">
        <v>2890</v>
      </c>
      <c r="E3156">
        <v>0</v>
      </c>
      <c r="F3156" s="11">
        <v>0</v>
      </c>
    </row>
    <row r="3157" spans="1:6" x14ac:dyDescent="0.35">
      <c r="A3157" t="s">
        <v>2856</v>
      </c>
      <c r="B3157" t="s">
        <v>2865</v>
      </c>
      <c r="C3157" t="s">
        <v>2716</v>
      </c>
      <c r="D3157" t="s">
        <v>2891</v>
      </c>
      <c r="E3157">
        <v>2529</v>
      </c>
      <c r="F3157" s="11">
        <v>0</v>
      </c>
    </row>
    <row r="3158" spans="1:6" x14ac:dyDescent="0.35">
      <c r="A3158" t="s">
        <v>2856</v>
      </c>
      <c r="B3158" t="s">
        <v>2865</v>
      </c>
      <c r="C3158" t="s">
        <v>2716</v>
      </c>
      <c r="D3158" t="s">
        <v>2892</v>
      </c>
      <c r="E3158">
        <v>2405</v>
      </c>
      <c r="F3158" s="11">
        <v>0</v>
      </c>
    </row>
    <row r="3159" spans="1:6" x14ac:dyDescent="0.35">
      <c r="A3159" t="s">
        <v>2856</v>
      </c>
      <c r="B3159" t="s">
        <v>2865</v>
      </c>
      <c r="C3159" t="s">
        <v>2716</v>
      </c>
      <c r="D3159" t="s">
        <v>2893</v>
      </c>
      <c r="E3159">
        <v>124</v>
      </c>
      <c r="F3159" s="11">
        <v>0</v>
      </c>
    </row>
    <row r="3160" spans="1:6" x14ac:dyDescent="0.35">
      <c r="A3160" t="s">
        <v>2856</v>
      </c>
      <c r="B3160" t="s">
        <v>2865</v>
      </c>
      <c r="C3160" t="s">
        <v>2716</v>
      </c>
      <c r="D3160" t="s">
        <v>2894</v>
      </c>
      <c r="E3160">
        <v>0</v>
      </c>
      <c r="F3160" s="11">
        <v>0</v>
      </c>
    </row>
    <row r="3161" spans="1:6" x14ac:dyDescent="0.35">
      <c r="A3161" t="s">
        <v>2856</v>
      </c>
      <c r="B3161" t="s">
        <v>2865</v>
      </c>
      <c r="C3161" t="s">
        <v>2716</v>
      </c>
      <c r="D3161" t="s">
        <v>2895</v>
      </c>
      <c r="E3161">
        <v>264766</v>
      </c>
      <c r="F3161" s="11">
        <v>0</v>
      </c>
    </row>
    <row r="3162" spans="1:6" x14ac:dyDescent="0.35">
      <c r="A3162" t="s">
        <v>2856</v>
      </c>
      <c r="B3162" t="s">
        <v>2865</v>
      </c>
      <c r="C3162" t="s">
        <v>2716</v>
      </c>
      <c r="D3162" t="s">
        <v>2896</v>
      </c>
      <c r="E3162">
        <v>134484</v>
      </c>
      <c r="F3162" s="11">
        <v>0</v>
      </c>
    </row>
    <row r="3163" spans="1:6" x14ac:dyDescent="0.35">
      <c r="A3163" t="s">
        <v>2856</v>
      </c>
      <c r="B3163" t="s">
        <v>2865</v>
      </c>
      <c r="C3163" t="s">
        <v>2716</v>
      </c>
      <c r="D3163" t="s">
        <v>2897</v>
      </c>
      <c r="E3163">
        <v>127320</v>
      </c>
      <c r="F3163" s="11">
        <v>0</v>
      </c>
    </row>
    <row r="3164" spans="1:6" x14ac:dyDescent="0.35">
      <c r="A3164" t="s">
        <v>2856</v>
      </c>
      <c r="B3164" t="s">
        <v>2865</v>
      </c>
      <c r="C3164" t="s">
        <v>2716</v>
      </c>
      <c r="D3164" t="s">
        <v>2898</v>
      </c>
      <c r="E3164">
        <v>3011</v>
      </c>
      <c r="F3164" s="11">
        <v>0</v>
      </c>
    </row>
    <row r="3165" spans="1:6" x14ac:dyDescent="0.35">
      <c r="A3165" t="s">
        <v>2856</v>
      </c>
      <c r="B3165" t="s">
        <v>2865</v>
      </c>
      <c r="C3165" t="s">
        <v>2716</v>
      </c>
      <c r="D3165" t="s">
        <v>2899</v>
      </c>
      <c r="E3165">
        <v>5076</v>
      </c>
      <c r="F3165" s="11">
        <v>0</v>
      </c>
    </row>
    <row r="3166" spans="1:6" x14ac:dyDescent="0.35">
      <c r="A3166" t="s">
        <v>2856</v>
      </c>
      <c r="B3166" t="s">
        <v>2865</v>
      </c>
      <c r="C3166" t="s">
        <v>2716</v>
      </c>
      <c r="D3166" t="s">
        <v>2900</v>
      </c>
      <c r="E3166">
        <v>5057</v>
      </c>
      <c r="F3166" s="11">
        <v>0</v>
      </c>
    </row>
    <row r="3167" spans="1:6" x14ac:dyDescent="0.35">
      <c r="A3167" t="s">
        <v>2856</v>
      </c>
      <c r="B3167" t="s">
        <v>2865</v>
      </c>
      <c r="C3167" t="s">
        <v>2716</v>
      </c>
      <c r="D3167" t="s">
        <v>2901</v>
      </c>
      <c r="E3167">
        <v>14</v>
      </c>
      <c r="F3167" s="11">
        <v>0</v>
      </c>
    </row>
    <row r="3168" spans="1:6" x14ac:dyDescent="0.35">
      <c r="A3168" t="s">
        <v>2856</v>
      </c>
      <c r="B3168" t="s">
        <v>2865</v>
      </c>
      <c r="C3168" t="s">
        <v>2716</v>
      </c>
      <c r="D3168" t="s">
        <v>2902</v>
      </c>
      <c r="E3168">
        <v>0</v>
      </c>
      <c r="F3168" s="11">
        <v>0</v>
      </c>
    </row>
    <row r="3169" spans="1:6" x14ac:dyDescent="0.35">
      <c r="A3169" t="s">
        <v>2856</v>
      </c>
      <c r="B3169" t="s">
        <v>2865</v>
      </c>
      <c r="C3169" t="s">
        <v>2716</v>
      </c>
      <c r="D3169" t="s">
        <v>2903</v>
      </c>
      <c r="E3169">
        <v>0</v>
      </c>
      <c r="F3169" s="11">
        <v>0</v>
      </c>
    </row>
    <row r="3170" spans="1:6" x14ac:dyDescent="0.35">
      <c r="A3170" t="s">
        <v>2856</v>
      </c>
      <c r="B3170" t="s">
        <v>2865</v>
      </c>
      <c r="C3170" t="s">
        <v>2716</v>
      </c>
      <c r="D3170" t="s">
        <v>2904</v>
      </c>
      <c r="E3170">
        <v>0</v>
      </c>
      <c r="F3170" s="11">
        <v>0</v>
      </c>
    </row>
    <row r="3171" spans="1:6" x14ac:dyDescent="0.35">
      <c r="A3171" t="s">
        <v>2856</v>
      </c>
      <c r="B3171" t="s">
        <v>2865</v>
      </c>
      <c r="C3171" t="s">
        <v>2716</v>
      </c>
      <c r="D3171" t="s">
        <v>2905</v>
      </c>
      <c r="E3171">
        <v>0</v>
      </c>
      <c r="F3171" s="11">
        <v>0</v>
      </c>
    </row>
    <row r="3172" spans="1:6" x14ac:dyDescent="0.35">
      <c r="A3172" t="s">
        <v>2856</v>
      </c>
      <c r="B3172" t="s">
        <v>2865</v>
      </c>
      <c r="C3172" t="s">
        <v>2716</v>
      </c>
      <c r="D3172" t="s">
        <v>2906</v>
      </c>
      <c r="E3172">
        <v>0</v>
      </c>
      <c r="F3172" s="11">
        <v>0</v>
      </c>
    </row>
    <row r="3173" spans="1:6" x14ac:dyDescent="0.35">
      <c r="A3173" t="s">
        <v>2856</v>
      </c>
      <c r="B3173" t="s">
        <v>2865</v>
      </c>
      <c r="C3173" t="s">
        <v>2716</v>
      </c>
      <c r="D3173" t="s">
        <v>2907</v>
      </c>
      <c r="E3173">
        <v>0</v>
      </c>
      <c r="F3173" s="11">
        <v>0</v>
      </c>
    </row>
    <row r="3174" spans="1:6" x14ac:dyDescent="0.35">
      <c r="A3174" t="s">
        <v>2856</v>
      </c>
      <c r="B3174" t="s">
        <v>2865</v>
      </c>
      <c r="C3174" t="s">
        <v>2716</v>
      </c>
      <c r="D3174" t="s">
        <v>2908</v>
      </c>
      <c r="E3174">
        <v>0</v>
      </c>
      <c r="F3174" s="11">
        <v>0</v>
      </c>
    </row>
    <row r="3175" spans="1:6" x14ac:dyDescent="0.35">
      <c r="A3175" t="s">
        <v>2856</v>
      </c>
      <c r="B3175" t="s">
        <v>2865</v>
      </c>
      <c r="C3175" t="s">
        <v>2716</v>
      </c>
      <c r="D3175" t="s">
        <v>2909</v>
      </c>
      <c r="E3175">
        <v>0</v>
      </c>
      <c r="F3175" s="11">
        <v>0</v>
      </c>
    </row>
    <row r="3176" spans="1:6" x14ac:dyDescent="0.35">
      <c r="A3176" t="s">
        <v>2856</v>
      </c>
      <c r="B3176" t="s">
        <v>2865</v>
      </c>
      <c r="C3176" t="s">
        <v>2716</v>
      </c>
      <c r="D3176" t="s">
        <v>2910</v>
      </c>
      <c r="E3176">
        <v>0</v>
      </c>
      <c r="F3176" s="11">
        <v>0</v>
      </c>
    </row>
    <row r="3177" spans="1:6" x14ac:dyDescent="0.35">
      <c r="A3177" t="s">
        <v>2856</v>
      </c>
      <c r="B3177" t="s">
        <v>2865</v>
      </c>
      <c r="C3177" t="s">
        <v>2716</v>
      </c>
      <c r="D3177" t="s">
        <v>2911</v>
      </c>
      <c r="E3177">
        <v>204261</v>
      </c>
      <c r="F3177" s="11">
        <v>0</v>
      </c>
    </row>
    <row r="3178" spans="1:6" x14ac:dyDescent="0.35">
      <c r="A3178" t="s">
        <v>2856</v>
      </c>
      <c r="B3178" t="s">
        <v>2865</v>
      </c>
      <c r="C3178" t="s">
        <v>2716</v>
      </c>
      <c r="D3178" t="s">
        <v>2912</v>
      </c>
      <c r="E3178">
        <v>0</v>
      </c>
      <c r="F3178" s="11">
        <v>0</v>
      </c>
    </row>
    <row r="3179" spans="1:6" x14ac:dyDescent="0.35">
      <c r="A3179" t="s">
        <v>2856</v>
      </c>
      <c r="B3179" t="s">
        <v>2865</v>
      </c>
      <c r="C3179" t="s">
        <v>2716</v>
      </c>
      <c r="D3179" t="s">
        <v>2913</v>
      </c>
      <c r="E3179">
        <v>0</v>
      </c>
      <c r="F3179" s="11">
        <v>0</v>
      </c>
    </row>
    <row r="3180" spans="1:6" x14ac:dyDescent="0.35">
      <c r="A3180" t="s">
        <v>2856</v>
      </c>
      <c r="B3180" t="s">
        <v>2865</v>
      </c>
      <c r="C3180" t="s">
        <v>2716</v>
      </c>
      <c r="D3180" t="s">
        <v>2914</v>
      </c>
      <c r="E3180">
        <v>1068</v>
      </c>
      <c r="F3180" s="11">
        <v>0</v>
      </c>
    </row>
    <row r="3181" spans="1:6" x14ac:dyDescent="0.35">
      <c r="A3181" t="s">
        <v>2856</v>
      </c>
      <c r="B3181" t="s">
        <v>2865</v>
      </c>
      <c r="C3181" t="s">
        <v>2716</v>
      </c>
      <c r="D3181" t="s">
        <v>2915</v>
      </c>
      <c r="E3181">
        <v>0</v>
      </c>
      <c r="F3181" s="11">
        <v>0</v>
      </c>
    </row>
    <row r="3182" spans="1:6" x14ac:dyDescent="0.35">
      <c r="A3182" t="s">
        <v>2856</v>
      </c>
      <c r="B3182" t="s">
        <v>2865</v>
      </c>
      <c r="C3182" t="s">
        <v>2716</v>
      </c>
      <c r="D3182" t="s">
        <v>2916</v>
      </c>
      <c r="E3182">
        <v>47252</v>
      </c>
      <c r="F3182" s="11">
        <v>0</v>
      </c>
    </row>
    <row r="3183" spans="1:6" x14ac:dyDescent="0.35">
      <c r="A3183" t="s">
        <v>2856</v>
      </c>
      <c r="B3183" t="s">
        <v>2865</v>
      </c>
      <c r="C3183" t="s">
        <v>2716</v>
      </c>
      <c r="D3183" t="s">
        <v>2917</v>
      </c>
      <c r="E3183">
        <v>0</v>
      </c>
      <c r="F3183" s="11">
        <v>0</v>
      </c>
    </row>
    <row r="3184" spans="1:6" x14ac:dyDescent="0.35">
      <c r="A3184" t="s">
        <v>2856</v>
      </c>
      <c r="B3184" t="s">
        <v>2865</v>
      </c>
      <c r="C3184" t="s">
        <v>1373</v>
      </c>
      <c r="D3184" t="s">
        <v>2875</v>
      </c>
      <c r="E3184">
        <v>15719</v>
      </c>
      <c r="F3184" s="11">
        <v>1</v>
      </c>
    </row>
    <row r="3185" spans="1:6" x14ac:dyDescent="0.35">
      <c r="A3185" t="s">
        <v>2856</v>
      </c>
      <c r="B3185" t="s">
        <v>2865</v>
      </c>
      <c r="C3185" t="s">
        <v>1373</v>
      </c>
      <c r="D3185" t="s">
        <v>2876</v>
      </c>
      <c r="E3185">
        <v>6768</v>
      </c>
      <c r="F3185" s="11">
        <v>1</v>
      </c>
    </row>
    <row r="3186" spans="1:6" x14ac:dyDescent="0.35">
      <c r="A3186" t="s">
        <v>2856</v>
      </c>
      <c r="B3186" t="s">
        <v>2865</v>
      </c>
      <c r="C3186" t="s">
        <v>1373</v>
      </c>
      <c r="D3186" t="s">
        <v>2877</v>
      </c>
      <c r="E3186">
        <v>7978</v>
      </c>
      <c r="F3186" s="11">
        <v>1</v>
      </c>
    </row>
    <row r="3187" spans="1:6" x14ac:dyDescent="0.35">
      <c r="A3187" t="s">
        <v>2856</v>
      </c>
      <c r="B3187" t="s">
        <v>2865</v>
      </c>
      <c r="C3187" t="s">
        <v>1373</v>
      </c>
      <c r="D3187" t="s">
        <v>2878</v>
      </c>
      <c r="E3187">
        <v>973</v>
      </c>
      <c r="F3187" s="11">
        <v>1</v>
      </c>
    </row>
    <row r="3188" spans="1:6" x14ac:dyDescent="0.35">
      <c r="A3188" t="s">
        <v>2856</v>
      </c>
      <c r="B3188" t="s">
        <v>2865</v>
      </c>
      <c r="C3188" t="s">
        <v>1373</v>
      </c>
      <c r="D3188" t="s">
        <v>2879</v>
      </c>
      <c r="E3188">
        <v>0</v>
      </c>
      <c r="F3188" s="11">
        <v>0</v>
      </c>
    </row>
    <row r="3189" spans="1:6" x14ac:dyDescent="0.35">
      <c r="A3189" t="s">
        <v>2856</v>
      </c>
      <c r="B3189" t="s">
        <v>2865</v>
      </c>
      <c r="C3189" t="s">
        <v>1373</v>
      </c>
      <c r="D3189" t="s">
        <v>2880</v>
      </c>
      <c r="E3189">
        <v>0</v>
      </c>
      <c r="F3189" s="11">
        <v>0</v>
      </c>
    </row>
    <row r="3190" spans="1:6" x14ac:dyDescent="0.35">
      <c r="A3190" t="s">
        <v>2856</v>
      </c>
      <c r="B3190" t="s">
        <v>2865</v>
      </c>
      <c r="C3190" t="s">
        <v>1373</v>
      </c>
      <c r="D3190" t="s">
        <v>2881</v>
      </c>
      <c r="E3190">
        <v>0</v>
      </c>
      <c r="F3190" s="11">
        <v>0</v>
      </c>
    </row>
    <row r="3191" spans="1:6" x14ac:dyDescent="0.35">
      <c r="A3191" t="s">
        <v>2856</v>
      </c>
      <c r="B3191" t="s">
        <v>2865</v>
      </c>
      <c r="C3191" t="s">
        <v>1373</v>
      </c>
      <c r="D3191" t="s">
        <v>2882</v>
      </c>
      <c r="E3191">
        <v>0</v>
      </c>
      <c r="F3191" s="11">
        <v>0</v>
      </c>
    </row>
    <row r="3192" spans="1:6" x14ac:dyDescent="0.35">
      <c r="A3192" t="s">
        <v>2856</v>
      </c>
      <c r="B3192" t="s">
        <v>2865</v>
      </c>
      <c r="C3192" t="s">
        <v>1373</v>
      </c>
      <c r="D3192" t="s">
        <v>2883</v>
      </c>
      <c r="E3192">
        <v>0</v>
      </c>
      <c r="F3192" s="11">
        <v>0</v>
      </c>
    </row>
    <row r="3193" spans="1:6" x14ac:dyDescent="0.35">
      <c r="A3193" t="s">
        <v>2856</v>
      </c>
      <c r="B3193" t="s">
        <v>2865</v>
      </c>
      <c r="C3193" t="s">
        <v>1373</v>
      </c>
      <c r="D3193" t="s">
        <v>2884</v>
      </c>
      <c r="E3193">
        <v>0</v>
      </c>
      <c r="F3193" s="11">
        <v>0</v>
      </c>
    </row>
    <row r="3194" spans="1:6" x14ac:dyDescent="0.35">
      <c r="A3194" t="s">
        <v>2856</v>
      </c>
      <c r="B3194" t="s">
        <v>2865</v>
      </c>
      <c r="C3194" t="s">
        <v>1373</v>
      </c>
      <c r="D3194" t="s">
        <v>2885</v>
      </c>
      <c r="E3194">
        <v>0</v>
      </c>
      <c r="F3194" s="11">
        <v>0</v>
      </c>
    </row>
    <row r="3195" spans="1:6" x14ac:dyDescent="0.35">
      <c r="A3195" t="s">
        <v>2856</v>
      </c>
      <c r="B3195" t="s">
        <v>2865</v>
      </c>
      <c r="C3195" t="s">
        <v>1373</v>
      </c>
      <c r="D3195" t="s">
        <v>2886</v>
      </c>
      <c r="E3195">
        <v>0</v>
      </c>
      <c r="F3195" s="11">
        <v>0</v>
      </c>
    </row>
    <row r="3196" spans="1:6" x14ac:dyDescent="0.35">
      <c r="A3196" t="s">
        <v>2856</v>
      </c>
      <c r="B3196" t="s">
        <v>2865</v>
      </c>
      <c r="C3196" t="s">
        <v>1373</v>
      </c>
      <c r="D3196" t="s">
        <v>2887</v>
      </c>
      <c r="E3196">
        <v>132952</v>
      </c>
      <c r="F3196" s="11">
        <v>1</v>
      </c>
    </row>
    <row r="3197" spans="1:6" x14ac:dyDescent="0.35">
      <c r="A3197" t="s">
        <v>2856</v>
      </c>
      <c r="B3197" t="s">
        <v>2865</v>
      </c>
      <c r="C3197" t="s">
        <v>1373</v>
      </c>
      <c r="D3197" t="s">
        <v>2888</v>
      </c>
      <c r="E3197">
        <v>81675</v>
      </c>
      <c r="F3197" s="11">
        <v>1</v>
      </c>
    </row>
    <row r="3198" spans="1:6" x14ac:dyDescent="0.35">
      <c r="A3198" t="s">
        <v>2856</v>
      </c>
      <c r="B3198" t="s">
        <v>2865</v>
      </c>
      <c r="C3198" t="s">
        <v>1373</v>
      </c>
      <c r="D3198" t="s">
        <v>2889</v>
      </c>
      <c r="E3198">
        <v>51277</v>
      </c>
      <c r="F3198" s="11">
        <v>0</v>
      </c>
    </row>
    <row r="3199" spans="1:6" x14ac:dyDescent="0.35">
      <c r="A3199" t="s">
        <v>2856</v>
      </c>
      <c r="B3199" t="s">
        <v>2865</v>
      </c>
      <c r="C3199" t="s">
        <v>1373</v>
      </c>
      <c r="D3199" t="s">
        <v>2890</v>
      </c>
      <c r="E3199">
        <v>0</v>
      </c>
      <c r="F3199" s="11">
        <v>1</v>
      </c>
    </row>
    <row r="3200" spans="1:6" x14ac:dyDescent="0.35">
      <c r="A3200" t="s">
        <v>2856</v>
      </c>
      <c r="B3200" t="s">
        <v>2865</v>
      </c>
      <c r="C3200" t="s">
        <v>1373</v>
      </c>
      <c r="D3200" t="s">
        <v>2891</v>
      </c>
      <c r="E3200">
        <v>0</v>
      </c>
      <c r="F3200" s="11">
        <v>0</v>
      </c>
    </row>
    <row r="3201" spans="1:6" x14ac:dyDescent="0.35">
      <c r="A3201" t="s">
        <v>2856</v>
      </c>
      <c r="B3201" t="s">
        <v>2865</v>
      </c>
      <c r="C3201" t="s">
        <v>1373</v>
      </c>
      <c r="D3201" t="s">
        <v>2892</v>
      </c>
      <c r="E3201">
        <v>0</v>
      </c>
      <c r="F3201" s="11">
        <v>0</v>
      </c>
    </row>
    <row r="3202" spans="1:6" x14ac:dyDescent="0.35">
      <c r="A3202" t="s">
        <v>2856</v>
      </c>
      <c r="B3202" t="s">
        <v>2865</v>
      </c>
      <c r="C3202" t="s">
        <v>1373</v>
      </c>
      <c r="D3202" t="s">
        <v>2893</v>
      </c>
      <c r="E3202">
        <v>0</v>
      </c>
      <c r="F3202" s="11">
        <v>0</v>
      </c>
    </row>
    <row r="3203" spans="1:6" x14ac:dyDescent="0.35">
      <c r="A3203" t="s">
        <v>2856</v>
      </c>
      <c r="B3203" t="s">
        <v>2865</v>
      </c>
      <c r="C3203" t="s">
        <v>1373</v>
      </c>
      <c r="D3203" t="s">
        <v>2894</v>
      </c>
      <c r="E3203">
        <v>0</v>
      </c>
      <c r="F3203" s="11">
        <v>0</v>
      </c>
    </row>
    <row r="3204" spans="1:6" x14ac:dyDescent="0.35">
      <c r="A3204" t="s">
        <v>2856</v>
      </c>
      <c r="B3204" t="s">
        <v>2865</v>
      </c>
      <c r="C3204" t="s">
        <v>1373</v>
      </c>
      <c r="D3204" t="s">
        <v>2895</v>
      </c>
      <c r="E3204">
        <v>326032</v>
      </c>
      <c r="F3204" s="11">
        <v>1</v>
      </c>
    </row>
    <row r="3205" spans="1:6" x14ac:dyDescent="0.35">
      <c r="A3205" t="s">
        <v>2856</v>
      </c>
      <c r="B3205" t="s">
        <v>2865</v>
      </c>
      <c r="C3205" t="s">
        <v>1373</v>
      </c>
      <c r="D3205" t="s">
        <v>2896</v>
      </c>
      <c r="E3205">
        <v>149333</v>
      </c>
      <c r="F3205" s="11">
        <v>1</v>
      </c>
    </row>
    <row r="3206" spans="1:6" x14ac:dyDescent="0.35">
      <c r="A3206" t="s">
        <v>2856</v>
      </c>
      <c r="B3206" t="s">
        <v>2865</v>
      </c>
      <c r="C3206" t="s">
        <v>1373</v>
      </c>
      <c r="D3206" t="s">
        <v>2897</v>
      </c>
      <c r="E3206">
        <v>172413</v>
      </c>
      <c r="F3206" s="11">
        <v>1</v>
      </c>
    </row>
    <row r="3207" spans="1:6" x14ac:dyDescent="0.35">
      <c r="A3207" t="s">
        <v>2856</v>
      </c>
      <c r="B3207" t="s">
        <v>2865</v>
      </c>
      <c r="C3207" t="s">
        <v>1373</v>
      </c>
      <c r="D3207" t="s">
        <v>2898</v>
      </c>
      <c r="E3207">
        <v>4286</v>
      </c>
      <c r="F3207" s="11">
        <v>1</v>
      </c>
    </row>
    <row r="3208" spans="1:6" x14ac:dyDescent="0.35">
      <c r="A3208" t="s">
        <v>2856</v>
      </c>
      <c r="B3208" t="s">
        <v>2865</v>
      </c>
      <c r="C3208" t="s">
        <v>1373</v>
      </c>
      <c r="D3208" t="s">
        <v>2899</v>
      </c>
      <c r="E3208">
        <v>6471</v>
      </c>
      <c r="F3208" s="11">
        <v>1</v>
      </c>
    </row>
    <row r="3209" spans="1:6" x14ac:dyDescent="0.35">
      <c r="A3209" t="s">
        <v>2856</v>
      </c>
      <c r="B3209" t="s">
        <v>2865</v>
      </c>
      <c r="C3209" t="s">
        <v>1373</v>
      </c>
      <c r="D3209" t="s">
        <v>2900</v>
      </c>
      <c r="E3209">
        <v>6388</v>
      </c>
      <c r="F3209" s="11">
        <v>1</v>
      </c>
    </row>
    <row r="3210" spans="1:6" x14ac:dyDescent="0.35">
      <c r="A3210" t="s">
        <v>2856</v>
      </c>
      <c r="B3210" t="s">
        <v>2865</v>
      </c>
      <c r="C3210" t="s">
        <v>1373</v>
      </c>
      <c r="D3210" t="s">
        <v>2901</v>
      </c>
      <c r="E3210">
        <v>283</v>
      </c>
      <c r="F3210" s="11">
        <v>0</v>
      </c>
    </row>
    <row r="3211" spans="1:6" x14ac:dyDescent="0.35">
      <c r="A3211" t="s">
        <v>2856</v>
      </c>
      <c r="B3211" t="s">
        <v>2865</v>
      </c>
      <c r="C3211" t="s">
        <v>1373</v>
      </c>
      <c r="D3211" t="s">
        <v>2902</v>
      </c>
      <c r="E3211">
        <v>0</v>
      </c>
      <c r="F3211" s="11">
        <v>1</v>
      </c>
    </row>
    <row r="3212" spans="1:6" x14ac:dyDescent="0.35">
      <c r="A3212" t="s">
        <v>2856</v>
      </c>
      <c r="B3212" t="s">
        <v>2865</v>
      </c>
      <c r="C3212" t="s">
        <v>1373</v>
      </c>
      <c r="D3212" t="s">
        <v>2903</v>
      </c>
      <c r="E3212">
        <v>22297</v>
      </c>
      <c r="F3212" s="11">
        <v>1</v>
      </c>
    </row>
    <row r="3213" spans="1:6" x14ac:dyDescent="0.35">
      <c r="A3213" t="s">
        <v>2856</v>
      </c>
      <c r="B3213" t="s">
        <v>2865</v>
      </c>
      <c r="C3213" t="s">
        <v>1373</v>
      </c>
      <c r="D3213" t="s">
        <v>2904</v>
      </c>
      <c r="E3213">
        <v>0</v>
      </c>
      <c r="F3213" s="11">
        <v>0</v>
      </c>
    </row>
    <row r="3214" spans="1:6" x14ac:dyDescent="0.35">
      <c r="A3214" t="s">
        <v>2856</v>
      </c>
      <c r="B3214" t="s">
        <v>2865</v>
      </c>
      <c r="C3214" t="s">
        <v>1373</v>
      </c>
      <c r="D3214" t="s">
        <v>2905</v>
      </c>
      <c r="E3214">
        <v>0</v>
      </c>
      <c r="F3214" s="11">
        <v>0</v>
      </c>
    </row>
    <row r="3215" spans="1:6" x14ac:dyDescent="0.35">
      <c r="A3215" t="s">
        <v>2856</v>
      </c>
      <c r="B3215" t="s">
        <v>2865</v>
      </c>
      <c r="C3215" t="s">
        <v>1373</v>
      </c>
      <c r="D3215" t="s">
        <v>2906</v>
      </c>
      <c r="E3215">
        <v>0</v>
      </c>
      <c r="F3215" s="11">
        <v>0</v>
      </c>
    </row>
    <row r="3216" spans="1:6" x14ac:dyDescent="0.35">
      <c r="A3216" t="s">
        <v>2856</v>
      </c>
      <c r="B3216" t="s">
        <v>2865</v>
      </c>
      <c r="C3216" t="s">
        <v>1373</v>
      </c>
      <c r="D3216" t="s">
        <v>2907</v>
      </c>
      <c r="E3216">
        <v>13386</v>
      </c>
      <c r="F3216" s="11">
        <v>1</v>
      </c>
    </row>
    <row r="3217" spans="1:6" x14ac:dyDescent="0.35">
      <c r="A3217" t="s">
        <v>2856</v>
      </c>
      <c r="B3217" t="s">
        <v>2865</v>
      </c>
      <c r="C3217" t="s">
        <v>1373</v>
      </c>
      <c r="D3217" t="s">
        <v>2908</v>
      </c>
      <c r="E3217">
        <v>0</v>
      </c>
      <c r="F3217" s="11">
        <v>0</v>
      </c>
    </row>
    <row r="3218" spans="1:6" x14ac:dyDescent="0.35">
      <c r="A3218" t="s">
        <v>2856</v>
      </c>
      <c r="B3218" t="s">
        <v>2865</v>
      </c>
      <c r="C3218" t="s">
        <v>1373</v>
      </c>
      <c r="D3218" t="s">
        <v>2909</v>
      </c>
      <c r="E3218">
        <v>0</v>
      </c>
      <c r="F3218" s="11">
        <v>0</v>
      </c>
    </row>
    <row r="3219" spans="1:6" x14ac:dyDescent="0.35">
      <c r="A3219" t="s">
        <v>2856</v>
      </c>
      <c r="B3219" t="s">
        <v>2865</v>
      </c>
      <c r="C3219" t="s">
        <v>1373</v>
      </c>
      <c r="D3219" t="s">
        <v>2910</v>
      </c>
      <c r="E3219">
        <v>0</v>
      </c>
      <c r="F3219" s="11">
        <v>0</v>
      </c>
    </row>
    <row r="3220" spans="1:6" x14ac:dyDescent="0.35">
      <c r="A3220" t="s">
        <v>2856</v>
      </c>
      <c r="B3220" t="s">
        <v>2865</v>
      </c>
      <c r="C3220" t="s">
        <v>1373</v>
      </c>
      <c r="D3220" t="s">
        <v>2911</v>
      </c>
      <c r="E3220">
        <v>394248</v>
      </c>
      <c r="F3220" s="11">
        <v>1</v>
      </c>
    </row>
    <row r="3221" spans="1:6" x14ac:dyDescent="0.35">
      <c r="A3221" t="s">
        <v>2856</v>
      </c>
      <c r="B3221" t="s">
        <v>2865</v>
      </c>
      <c r="C3221" t="s">
        <v>1373</v>
      </c>
      <c r="D3221" t="s">
        <v>2912</v>
      </c>
      <c r="E3221">
        <v>230965</v>
      </c>
      <c r="F3221" s="11">
        <v>1</v>
      </c>
    </row>
    <row r="3222" spans="1:6" x14ac:dyDescent="0.35">
      <c r="A3222" t="s">
        <v>2856</v>
      </c>
      <c r="B3222" t="s">
        <v>2865</v>
      </c>
      <c r="C3222" t="s">
        <v>1373</v>
      </c>
      <c r="D3222" t="s">
        <v>2913</v>
      </c>
      <c r="E3222">
        <v>0</v>
      </c>
      <c r="F3222" s="11">
        <v>0</v>
      </c>
    </row>
    <row r="3223" spans="1:6" x14ac:dyDescent="0.35">
      <c r="A3223" t="s">
        <v>2856</v>
      </c>
      <c r="B3223" t="s">
        <v>2865</v>
      </c>
      <c r="C3223" t="s">
        <v>1373</v>
      </c>
      <c r="D3223" t="s">
        <v>2914</v>
      </c>
      <c r="E3223">
        <v>0</v>
      </c>
      <c r="F3223" s="11">
        <v>0</v>
      </c>
    </row>
    <row r="3224" spans="1:6" x14ac:dyDescent="0.35">
      <c r="A3224" t="s">
        <v>2856</v>
      </c>
      <c r="B3224" t="s">
        <v>2865</v>
      </c>
      <c r="C3224" t="s">
        <v>1373</v>
      </c>
      <c r="D3224" t="s">
        <v>2915</v>
      </c>
      <c r="E3224">
        <v>2062</v>
      </c>
      <c r="F3224" s="11">
        <v>1</v>
      </c>
    </row>
    <row r="3225" spans="1:6" x14ac:dyDescent="0.35">
      <c r="A3225" t="s">
        <v>2856</v>
      </c>
      <c r="B3225" t="s">
        <v>2865</v>
      </c>
      <c r="C3225" t="s">
        <v>1373</v>
      </c>
      <c r="D3225" t="s">
        <v>2916</v>
      </c>
      <c r="E3225">
        <v>61095</v>
      </c>
      <c r="F3225" s="11">
        <v>1</v>
      </c>
    </row>
    <row r="3226" spans="1:6" x14ac:dyDescent="0.35">
      <c r="A3226" t="s">
        <v>2856</v>
      </c>
      <c r="B3226" t="s">
        <v>2865</v>
      </c>
      <c r="C3226" t="s">
        <v>1373</v>
      </c>
      <c r="D3226" t="s">
        <v>2917</v>
      </c>
      <c r="E3226">
        <v>0</v>
      </c>
      <c r="F3226" s="11">
        <v>0</v>
      </c>
    </row>
    <row r="3227" spans="1:6" x14ac:dyDescent="0.35">
      <c r="A3227" t="s">
        <v>2856</v>
      </c>
      <c r="B3227" t="s">
        <v>2865</v>
      </c>
      <c r="C3227" t="s">
        <v>1553</v>
      </c>
      <c r="D3227" t="s">
        <v>2875</v>
      </c>
      <c r="E3227">
        <v>5860</v>
      </c>
      <c r="F3227" s="11">
        <v>0</v>
      </c>
    </row>
    <row r="3228" spans="1:6" x14ac:dyDescent="0.35">
      <c r="A3228" t="s">
        <v>2856</v>
      </c>
      <c r="B3228" t="s">
        <v>2865</v>
      </c>
      <c r="C3228" t="s">
        <v>1553</v>
      </c>
      <c r="D3228" t="s">
        <v>2876</v>
      </c>
      <c r="E3228">
        <v>1263</v>
      </c>
      <c r="F3228" s="11">
        <v>0</v>
      </c>
    </row>
    <row r="3229" spans="1:6" x14ac:dyDescent="0.35">
      <c r="A3229" t="s">
        <v>2856</v>
      </c>
      <c r="B3229" t="s">
        <v>2865</v>
      </c>
      <c r="C3229" t="s">
        <v>1553</v>
      </c>
      <c r="D3229" t="s">
        <v>2877</v>
      </c>
      <c r="E3229">
        <v>4125</v>
      </c>
      <c r="F3229" s="11">
        <v>0</v>
      </c>
    </row>
    <row r="3230" spans="1:6" x14ac:dyDescent="0.35">
      <c r="A3230" t="s">
        <v>2856</v>
      </c>
      <c r="B3230" t="s">
        <v>2865</v>
      </c>
      <c r="C3230" t="s">
        <v>1553</v>
      </c>
      <c r="D3230" t="s">
        <v>2878</v>
      </c>
      <c r="E3230">
        <v>354</v>
      </c>
      <c r="F3230" s="11">
        <v>0</v>
      </c>
    </row>
    <row r="3231" spans="1:6" x14ac:dyDescent="0.35">
      <c r="A3231" t="s">
        <v>2856</v>
      </c>
      <c r="B3231" t="s">
        <v>2865</v>
      </c>
      <c r="C3231" t="s">
        <v>1553</v>
      </c>
      <c r="D3231" t="s">
        <v>2879</v>
      </c>
      <c r="E3231">
        <v>67</v>
      </c>
      <c r="F3231" s="11">
        <v>0</v>
      </c>
    </row>
    <row r="3232" spans="1:6" x14ac:dyDescent="0.35">
      <c r="A3232" t="s">
        <v>2856</v>
      </c>
      <c r="B3232" t="s">
        <v>2865</v>
      </c>
      <c r="C3232" t="s">
        <v>1553</v>
      </c>
      <c r="D3232" t="s">
        <v>2880</v>
      </c>
      <c r="E3232">
        <v>1</v>
      </c>
      <c r="F3232" s="11">
        <v>0</v>
      </c>
    </row>
    <row r="3233" spans="1:6" x14ac:dyDescent="0.35">
      <c r="A3233" t="s">
        <v>2856</v>
      </c>
      <c r="B3233" t="s">
        <v>2865</v>
      </c>
      <c r="C3233" t="s">
        <v>1553</v>
      </c>
      <c r="D3233" t="s">
        <v>2881</v>
      </c>
      <c r="E3233">
        <v>64</v>
      </c>
      <c r="F3233" s="11">
        <v>0</v>
      </c>
    </row>
    <row r="3234" spans="1:6" x14ac:dyDescent="0.35">
      <c r="A3234" t="s">
        <v>2856</v>
      </c>
      <c r="B3234" t="s">
        <v>2865</v>
      </c>
      <c r="C3234" t="s">
        <v>1553</v>
      </c>
      <c r="D3234" t="s">
        <v>2882</v>
      </c>
      <c r="E3234">
        <v>0</v>
      </c>
      <c r="F3234" s="11">
        <v>0</v>
      </c>
    </row>
    <row r="3235" spans="1:6" x14ac:dyDescent="0.35">
      <c r="A3235" t="s">
        <v>2856</v>
      </c>
      <c r="B3235" t="s">
        <v>2865</v>
      </c>
      <c r="C3235" t="s">
        <v>1553</v>
      </c>
      <c r="D3235" t="s">
        <v>2883</v>
      </c>
      <c r="E3235">
        <v>0</v>
      </c>
      <c r="F3235" s="11">
        <v>0</v>
      </c>
    </row>
    <row r="3236" spans="1:6" x14ac:dyDescent="0.35">
      <c r="A3236" t="s">
        <v>2856</v>
      </c>
      <c r="B3236" t="s">
        <v>2865</v>
      </c>
      <c r="C3236" t="s">
        <v>1553</v>
      </c>
      <c r="D3236" t="s">
        <v>2884</v>
      </c>
      <c r="E3236">
        <v>0</v>
      </c>
      <c r="F3236" s="11">
        <v>0</v>
      </c>
    </row>
    <row r="3237" spans="1:6" x14ac:dyDescent="0.35">
      <c r="A3237" t="s">
        <v>2856</v>
      </c>
      <c r="B3237" t="s">
        <v>2865</v>
      </c>
      <c r="C3237" t="s">
        <v>1553</v>
      </c>
      <c r="D3237" t="s">
        <v>2885</v>
      </c>
      <c r="E3237">
        <v>0</v>
      </c>
      <c r="F3237" s="11">
        <v>0</v>
      </c>
    </row>
    <row r="3238" spans="1:6" x14ac:dyDescent="0.35">
      <c r="A3238" t="s">
        <v>2856</v>
      </c>
      <c r="B3238" t="s">
        <v>2865</v>
      </c>
      <c r="C3238" t="s">
        <v>1553</v>
      </c>
      <c r="D3238" t="s">
        <v>2886</v>
      </c>
      <c r="E3238">
        <v>0</v>
      </c>
      <c r="F3238" s="11">
        <v>0</v>
      </c>
    </row>
    <row r="3239" spans="1:6" x14ac:dyDescent="0.35">
      <c r="A3239" t="s">
        <v>2856</v>
      </c>
      <c r="B3239" t="s">
        <v>2865</v>
      </c>
      <c r="C3239" t="s">
        <v>1553</v>
      </c>
      <c r="D3239" t="s">
        <v>2887</v>
      </c>
      <c r="E3239">
        <v>683</v>
      </c>
      <c r="F3239" s="11">
        <v>0</v>
      </c>
    </row>
    <row r="3240" spans="1:6" x14ac:dyDescent="0.35">
      <c r="A3240" t="s">
        <v>2856</v>
      </c>
      <c r="B3240" t="s">
        <v>2865</v>
      </c>
      <c r="C3240" t="s">
        <v>1553</v>
      </c>
      <c r="D3240" t="s">
        <v>2888</v>
      </c>
      <c r="E3240">
        <v>259</v>
      </c>
      <c r="F3240" s="11">
        <v>0</v>
      </c>
    </row>
    <row r="3241" spans="1:6" x14ac:dyDescent="0.35">
      <c r="A3241" t="s">
        <v>2856</v>
      </c>
      <c r="B3241" t="s">
        <v>2865</v>
      </c>
      <c r="C3241" t="s">
        <v>1553</v>
      </c>
      <c r="D3241" t="s">
        <v>2889</v>
      </c>
      <c r="E3241">
        <v>0</v>
      </c>
      <c r="F3241" s="11">
        <v>0</v>
      </c>
    </row>
    <row r="3242" spans="1:6" x14ac:dyDescent="0.35">
      <c r="A3242" t="s">
        <v>2856</v>
      </c>
      <c r="B3242" t="s">
        <v>2865</v>
      </c>
      <c r="C3242" t="s">
        <v>1553</v>
      </c>
      <c r="D3242" t="s">
        <v>2890</v>
      </c>
      <c r="E3242">
        <v>0</v>
      </c>
      <c r="F3242" s="11">
        <v>0</v>
      </c>
    </row>
    <row r="3243" spans="1:6" x14ac:dyDescent="0.35">
      <c r="A3243" t="s">
        <v>2856</v>
      </c>
      <c r="B3243" t="s">
        <v>2865</v>
      </c>
      <c r="C3243" t="s">
        <v>1553</v>
      </c>
      <c r="D3243" t="s">
        <v>2891</v>
      </c>
      <c r="E3243">
        <v>0</v>
      </c>
      <c r="F3243" s="11">
        <v>0</v>
      </c>
    </row>
    <row r="3244" spans="1:6" x14ac:dyDescent="0.35">
      <c r="A3244" t="s">
        <v>2856</v>
      </c>
      <c r="B3244" t="s">
        <v>2865</v>
      </c>
      <c r="C3244" t="s">
        <v>1553</v>
      </c>
      <c r="D3244" t="s">
        <v>2892</v>
      </c>
      <c r="E3244">
        <v>0</v>
      </c>
      <c r="F3244" s="11">
        <v>0</v>
      </c>
    </row>
    <row r="3245" spans="1:6" x14ac:dyDescent="0.35">
      <c r="A3245" t="s">
        <v>2856</v>
      </c>
      <c r="B3245" t="s">
        <v>2865</v>
      </c>
      <c r="C3245" t="s">
        <v>1553</v>
      </c>
      <c r="D3245" t="s">
        <v>2893</v>
      </c>
      <c r="E3245">
        <v>0</v>
      </c>
      <c r="F3245" s="11">
        <v>0</v>
      </c>
    </row>
    <row r="3246" spans="1:6" x14ac:dyDescent="0.35">
      <c r="A3246" t="s">
        <v>2856</v>
      </c>
      <c r="B3246" t="s">
        <v>2865</v>
      </c>
      <c r="C3246" t="s">
        <v>1553</v>
      </c>
      <c r="D3246" t="s">
        <v>2894</v>
      </c>
      <c r="E3246">
        <v>0</v>
      </c>
      <c r="F3246" s="11">
        <v>0</v>
      </c>
    </row>
    <row r="3247" spans="1:6" x14ac:dyDescent="0.35">
      <c r="A3247" t="s">
        <v>2856</v>
      </c>
      <c r="B3247" t="s">
        <v>2865</v>
      </c>
      <c r="C3247" t="s">
        <v>1553</v>
      </c>
      <c r="D3247" t="s">
        <v>2895</v>
      </c>
      <c r="E3247">
        <v>110033</v>
      </c>
      <c r="F3247" s="11">
        <v>0</v>
      </c>
    </row>
    <row r="3248" spans="1:6" x14ac:dyDescent="0.35">
      <c r="A3248" t="s">
        <v>2856</v>
      </c>
      <c r="B3248" t="s">
        <v>2865</v>
      </c>
      <c r="C3248" t="s">
        <v>1553</v>
      </c>
      <c r="D3248" t="s">
        <v>2896</v>
      </c>
      <c r="E3248">
        <v>64513</v>
      </c>
      <c r="F3248" s="11">
        <v>0</v>
      </c>
    </row>
    <row r="3249" spans="1:6" x14ac:dyDescent="0.35">
      <c r="A3249" t="s">
        <v>2856</v>
      </c>
      <c r="B3249" t="s">
        <v>2865</v>
      </c>
      <c r="C3249" t="s">
        <v>1553</v>
      </c>
      <c r="D3249" t="s">
        <v>2897</v>
      </c>
      <c r="E3249">
        <v>0</v>
      </c>
      <c r="F3249" s="11">
        <v>0</v>
      </c>
    </row>
    <row r="3250" spans="1:6" x14ac:dyDescent="0.35">
      <c r="A3250" t="s">
        <v>2856</v>
      </c>
      <c r="B3250" t="s">
        <v>2865</v>
      </c>
      <c r="C3250" t="s">
        <v>1553</v>
      </c>
      <c r="D3250" t="s">
        <v>2898</v>
      </c>
      <c r="E3250">
        <v>0</v>
      </c>
      <c r="F3250" s="11">
        <v>0</v>
      </c>
    </row>
    <row r="3251" spans="1:6" x14ac:dyDescent="0.35">
      <c r="A3251" t="s">
        <v>2856</v>
      </c>
      <c r="B3251" t="s">
        <v>2865</v>
      </c>
      <c r="C3251" t="s">
        <v>1553</v>
      </c>
      <c r="D3251" t="s">
        <v>2899</v>
      </c>
      <c r="E3251">
        <v>3166</v>
      </c>
      <c r="F3251" s="11">
        <v>0</v>
      </c>
    </row>
    <row r="3252" spans="1:6" x14ac:dyDescent="0.35">
      <c r="A3252" t="s">
        <v>2856</v>
      </c>
      <c r="B3252" t="s">
        <v>2865</v>
      </c>
      <c r="C3252" t="s">
        <v>1553</v>
      </c>
      <c r="D3252" t="s">
        <v>2900</v>
      </c>
      <c r="E3252">
        <v>2677</v>
      </c>
      <c r="F3252" s="11">
        <v>0</v>
      </c>
    </row>
    <row r="3253" spans="1:6" x14ac:dyDescent="0.35">
      <c r="A3253" t="s">
        <v>2856</v>
      </c>
      <c r="B3253" t="s">
        <v>2865</v>
      </c>
      <c r="C3253" t="s">
        <v>1553</v>
      </c>
      <c r="D3253" t="s">
        <v>2901</v>
      </c>
      <c r="E3253">
        <v>0</v>
      </c>
      <c r="F3253" s="11">
        <v>0</v>
      </c>
    </row>
    <row r="3254" spans="1:6" x14ac:dyDescent="0.35">
      <c r="A3254" t="s">
        <v>2856</v>
      </c>
      <c r="B3254" t="s">
        <v>2865</v>
      </c>
      <c r="C3254" t="s">
        <v>1553</v>
      </c>
      <c r="D3254" t="s">
        <v>2902</v>
      </c>
      <c r="E3254">
        <v>0</v>
      </c>
      <c r="F3254" s="11">
        <v>0</v>
      </c>
    </row>
    <row r="3255" spans="1:6" x14ac:dyDescent="0.35">
      <c r="A3255" t="s">
        <v>2856</v>
      </c>
      <c r="B3255" t="s">
        <v>2865</v>
      </c>
      <c r="C3255" t="s">
        <v>1553</v>
      </c>
      <c r="D3255" t="s">
        <v>2903</v>
      </c>
      <c r="E3255">
        <v>7361</v>
      </c>
      <c r="F3255" s="11">
        <v>0</v>
      </c>
    </row>
    <row r="3256" spans="1:6" x14ac:dyDescent="0.35">
      <c r="A3256" t="s">
        <v>2856</v>
      </c>
      <c r="B3256" t="s">
        <v>2865</v>
      </c>
      <c r="C3256" t="s">
        <v>1553</v>
      </c>
      <c r="D3256" t="s">
        <v>2904</v>
      </c>
      <c r="E3256">
        <v>6437</v>
      </c>
      <c r="F3256" s="11">
        <v>0</v>
      </c>
    </row>
    <row r="3257" spans="1:6" x14ac:dyDescent="0.35">
      <c r="A3257" t="s">
        <v>2856</v>
      </c>
      <c r="B3257" t="s">
        <v>2865</v>
      </c>
      <c r="C3257" t="s">
        <v>1553</v>
      </c>
      <c r="D3257" t="s">
        <v>2905</v>
      </c>
      <c r="E3257">
        <v>0</v>
      </c>
      <c r="F3257" s="11">
        <v>0</v>
      </c>
    </row>
    <row r="3258" spans="1:6" x14ac:dyDescent="0.35">
      <c r="A3258" t="s">
        <v>2856</v>
      </c>
      <c r="B3258" t="s">
        <v>2865</v>
      </c>
      <c r="C3258" t="s">
        <v>1553</v>
      </c>
      <c r="D3258" t="s">
        <v>2906</v>
      </c>
      <c r="E3258">
        <v>0</v>
      </c>
      <c r="F3258" s="11">
        <v>0</v>
      </c>
    </row>
    <row r="3259" spans="1:6" x14ac:dyDescent="0.35">
      <c r="A3259" t="s">
        <v>2856</v>
      </c>
      <c r="B3259" t="s">
        <v>2865</v>
      </c>
      <c r="C3259" t="s">
        <v>1553</v>
      </c>
      <c r="D3259" t="s">
        <v>2907</v>
      </c>
      <c r="E3259">
        <v>16845</v>
      </c>
      <c r="F3259" s="11">
        <v>0</v>
      </c>
    </row>
    <row r="3260" spans="1:6" x14ac:dyDescent="0.35">
      <c r="A3260" t="s">
        <v>2856</v>
      </c>
      <c r="B3260" t="s">
        <v>2865</v>
      </c>
      <c r="C3260" t="s">
        <v>1553</v>
      </c>
      <c r="D3260" t="s">
        <v>2908</v>
      </c>
      <c r="E3260">
        <v>13333</v>
      </c>
      <c r="F3260" s="11">
        <v>0</v>
      </c>
    </row>
    <row r="3261" spans="1:6" x14ac:dyDescent="0.35">
      <c r="A3261" t="s">
        <v>2856</v>
      </c>
      <c r="B3261" t="s">
        <v>2865</v>
      </c>
      <c r="C3261" t="s">
        <v>1553</v>
      </c>
      <c r="D3261" t="s">
        <v>2909</v>
      </c>
      <c r="E3261">
        <v>0</v>
      </c>
      <c r="F3261" s="11">
        <v>0</v>
      </c>
    </row>
    <row r="3262" spans="1:6" x14ac:dyDescent="0.35">
      <c r="A3262" t="s">
        <v>2856</v>
      </c>
      <c r="B3262" t="s">
        <v>2865</v>
      </c>
      <c r="C3262" t="s">
        <v>1553</v>
      </c>
      <c r="D3262" t="s">
        <v>2910</v>
      </c>
      <c r="E3262">
        <v>0</v>
      </c>
      <c r="F3262" s="11">
        <v>0</v>
      </c>
    </row>
    <row r="3263" spans="1:6" x14ac:dyDescent="0.35">
      <c r="A3263" t="s">
        <v>2856</v>
      </c>
      <c r="B3263" t="s">
        <v>2865</v>
      </c>
      <c r="C3263" t="s">
        <v>1553</v>
      </c>
      <c r="D3263" t="s">
        <v>2911</v>
      </c>
      <c r="E3263">
        <v>88922</v>
      </c>
      <c r="F3263" s="11">
        <v>0</v>
      </c>
    </row>
    <row r="3264" spans="1:6" x14ac:dyDescent="0.35">
      <c r="A3264" t="s">
        <v>2856</v>
      </c>
      <c r="B3264" t="s">
        <v>2865</v>
      </c>
      <c r="C3264" t="s">
        <v>1553</v>
      </c>
      <c r="D3264" t="s">
        <v>2912</v>
      </c>
      <c r="E3264">
        <v>0</v>
      </c>
      <c r="F3264" s="11">
        <v>0</v>
      </c>
    </row>
    <row r="3265" spans="1:6" x14ac:dyDescent="0.35">
      <c r="A3265" t="s">
        <v>2856</v>
      </c>
      <c r="B3265" t="s">
        <v>2865</v>
      </c>
      <c r="C3265" t="s">
        <v>1553</v>
      </c>
      <c r="D3265" t="s">
        <v>2913</v>
      </c>
      <c r="E3265">
        <v>0</v>
      </c>
      <c r="F3265" s="11">
        <v>0</v>
      </c>
    </row>
    <row r="3266" spans="1:6" x14ac:dyDescent="0.35">
      <c r="A3266" t="s">
        <v>2856</v>
      </c>
      <c r="B3266" t="s">
        <v>2865</v>
      </c>
      <c r="C3266" t="s">
        <v>1553</v>
      </c>
      <c r="D3266" t="s">
        <v>2914</v>
      </c>
      <c r="E3266">
        <v>0</v>
      </c>
      <c r="F3266" s="11">
        <v>0</v>
      </c>
    </row>
    <row r="3267" spans="1:6" x14ac:dyDescent="0.35">
      <c r="A3267" t="s">
        <v>2856</v>
      </c>
      <c r="B3267" t="s">
        <v>2865</v>
      </c>
      <c r="C3267" t="s">
        <v>1553</v>
      </c>
      <c r="D3267" t="s">
        <v>2915</v>
      </c>
      <c r="E3267">
        <v>1370</v>
      </c>
      <c r="F3267" s="11">
        <v>0</v>
      </c>
    </row>
    <row r="3268" spans="1:6" x14ac:dyDescent="0.35">
      <c r="A3268" t="s">
        <v>2856</v>
      </c>
      <c r="B3268" t="s">
        <v>2865</v>
      </c>
      <c r="C3268" t="s">
        <v>1553</v>
      </c>
      <c r="D3268" t="s">
        <v>2916</v>
      </c>
      <c r="E3268">
        <v>4830</v>
      </c>
      <c r="F3268" s="11">
        <v>0</v>
      </c>
    </row>
    <row r="3269" spans="1:6" x14ac:dyDescent="0.35">
      <c r="A3269" t="s">
        <v>2856</v>
      </c>
      <c r="B3269" t="s">
        <v>2865</v>
      </c>
      <c r="C3269" t="s">
        <v>1553</v>
      </c>
      <c r="D3269" t="s">
        <v>2917</v>
      </c>
      <c r="E3269">
        <v>0</v>
      </c>
      <c r="F3269" s="11">
        <v>0</v>
      </c>
    </row>
    <row r="3270" spans="1:6" x14ac:dyDescent="0.35">
      <c r="A3270" t="s">
        <v>2856</v>
      </c>
      <c r="B3270" t="s">
        <v>2865</v>
      </c>
      <c r="C3270" t="s">
        <v>2719</v>
      </c>
      <c r="D3270" t="s">
        <v>2875</v>
      </c>
      <c r="E3270">
        <v>18495</v>
      </c>
      <c r="F3270" s="11">
        <v>0</v>
      </c>
    </row>
    <row r="3271" spans="1:6" x14ac:dyDescent="0.35">
      <c r="A3271" t="s">
        <v>2856</v>
      </c>
      <c r="B3271" t="s">
        <v>2865</v>
      </c>
      <c r="C3271" t="s">
        <v>2719</v>
      </c>
      <c r="D3271" t="s">
        <v>2876</v>
      </c>
      <c r="E3271">
        <v>0</v>
      </c>
      <c r="F3271" s="11">
        <v>0</v>
      </c>
    </row>
    <row r="3272" spans="1:6" x14ac:dyDescent="0.35">
      <c r="A3272" t="s">
        <v>2856</v>
      </c>
      <c r="B3272" t="s">
        <v>2865</v>
      </c>
      <c r="C3272" t="s">
        <v>2719</v>
      </c>
      <c r="D3272" t="s">
        <v>2877</v>
      </c>
      <c r="E3272">
        <v>0</v>
      </c>
      <c r="F3272" s="11">
        <v>0</v>
      </c>
    </row>
    <row r="3273" spans="1:6" x14ac:dyDescent="0.35">
      <c r="A3273" t="s">
        <v>2856</v>
      </c>
      <c r="B3273" t="s">
        <v>2865</v>
      </c>
      <c r="C3273" t="s">
        <v>2719</v>
      </c>
      <c r="D3273" t="s">
        <v>2878</v>
      </c>
      <c r="E3273">
        <v>0</v>
      </c>
      <c r="F3273" s="11">
        <v>0</v>
      </c>
    </row>
    <row r="3274" spans="1:6" x14ac:dyDescent="0.35">
      <c r="A3274" t="s">
        <v>2856</v>
      </c>
      <c r="B3274" t="s">
        <v>2865</v>
      </c>
      <c r="C3274" t="s">
        <v>2719</v>
      </c>
      <c r="D3274" t="s">
        <v>2879</v>
      </c>
      <c r="E3274">
        <v>4842</v>
      </c>
      <c r="F3274" s="11">
        <v>0</v>
      </c>
    </row>
    <row r="3275" spans="1:6" x14ac:dyDescent="0.35">
      <c r="A3275" t="s">
        <v>2856</v>
      </c>
      <c r="B3275" t="s">
        <v>2865</v>
      </c>
      <c r="C3275" t="s">
        <v>2719</v>
      </c>
      <c r="D3275" t="s">
        <v>2880</v>
      </c>
      <c r="E3275">
        <v>0</v>
      </c>
      <c r="F3275" s="11">
        <v>0</v>
      </c>
    </row>
    <row r="3276" spans="1:6" x14ac:dyDescent="0.35">
      <c r="A3276" t="s">
        <v>2856</v>
      </c>
      <c r="B3276" t="s">
        <v>2865</v>
      </c>
      <c r="C3276" t="s">
        <v>2719</v>
      </c>
      <c r="D3276" t="s">
        <v>2881</v>
      </c>
      <c r="E3276">
        <v>0</v>
      </c>
      <c r="F3276" s="11">
        <v>0</v>
      </c>
    </row>
    <row r="3277" spans="1:6" x14ac:dyDescent="0.35">
      <c r="A3277" t="s">
        <v>2856</v>
      </c>
      <c r="B3277" t="s">
        <v>2865</v>
      </c>
      <c r="C3277" t="s">
        <v>2719</v>
      </c>
      <c r="D3277" t="s">
        <v>2882</v>
      </c>
      <c r="E3277">
        <v>0</v>
      </c>
      <c r="F3277" s="11">
        <v>0</v>
      </c>
    </row>
    <row r="3278" spans="1:6" x14ac:dyDescent="0.35">
      <c r="A3278" t="s">
        <v>2856</v>
      </c>
      <c r="B3278" t="s">
        <v>2865</v>
      </c>
      <c r="C3278" t="s">
        <v>2719</v>
      </c>
      <c r="D3278" t="s">
        <v>2883</v>
      </c>
      <c r="E3278">
        <v>0</v>
      </c>
      <c r="F3278" s="11">
        <v>0</v>
      </c>
    </row>
    <row r="3279" spans="1:6" x14ac:dyDescent="0.35">
      <c r="A3279" t="s">
        <v>2856</v>
      </c>
      <c r="B3279" t="s">
        <v>2865</v>
      </c>
      <c r="C3279" t="s">
        <v>2719</v>
      </c>
      <c r="D3279" t="s">
        <v>2884</v>
      </c>
      <c r="E3279">
        <v>0</v>
      </c>
      <c r="F3279" s="11">
        <v>0</v>
      </c>
    </row>
    <row r="3280" spans="1:6" x14ac:dyDescent="0.35">
      <c r="A3280" t="s">
        <v>2856</v>
      </c>
      <c r="B3280" t="s">
        <v>2865</v>
      </c>
      <c r="C3280" t="s">
        <v>2719</v>
      </c>
      <c r="D3280" t="s">
        <v>2885</v>
      </c>
      <c r="E3280">
        <v>0</v>
      </c>
      <c r="F3280" s="11">
        <v>0</v>
      </c>
    </row>
    <row r="3281" spans="1:6" x14ac:dyDescent="0.35">
      <c r="A3281" t="s">
        <v>2856</v>
      </c>
      <c r="B3281" t="s">
        <v>2865</v>
      </c>
      <c r="C3281" t="s">
        <v>2719</v>
      </c>
      <c r="D3281" t="s">
        <v>2886</v>
      </c>
      <c r="E3281">
        <v>0</v>
      </c>
      <c r="F3281" s="11">
        <v>0</v>
      </c>
    </row>
    <row r="3282" spans="1:6" x14ac:dyDescent="0.35">
      <c r="A3282" t="s">
        <v>2856</v>
      </c>
      <c r="B3282" t="s">
        <v>2865</v>
      </c>
      <c r="C3282" t="s">
        <v>2719</v>
      </c>
      <c r="D3282" t="s">
        <v>2887</v>
      </c>
      <c r="E3282">
        <v>48070</v>
      </c>
      <c r="F3282" s="11">
        <v>0</v>
      </c>
    </row>
    <row r="3283" spans="1:6" x14ac:dyDescent="0.35">
      <c r="A3283" t="s">
        <v>2856</v>
      </c>
      <c r="B3283" t="s">
        <v>2865</v>
      </c>
      <c r="C3283" t="s">
        <v>2719</v>
      </c>
      <c r="D3283" t="s">
        <v>2888</v>
      </c>
      <c r="E3283">
        <v>0</v>
      </c>
      <c r="F3283" s="11">
        <v>0</v>
      </c>
    </row>
    <row r="3284" spans="1:6" x14ac:dyDescent="0.35">
      <c r="A3284" t="s">
        <v>2856</v>
      </c>
      <c r="B3284" t="s">
        <v>2865</v>
      </c>
      <c r="C3284" t="s">
        <v>2719</v>
      </c>
      <c r="D3284" t="s">
        <v>2889</v>
      </c>
      <c r="E3284">
        <v>0</v>
      </c>
      <c r="F3284" s="11">
        <v>0</v>
      </c>
    </row>
    <row r="3285" spans="1:6" x14ac:dyDescent="0.35">
      <c r="A3285" t="s">
        <v>2856</v>
      </c>
      <c r="B3285" t="s">
        <v>2865</v>
      </c>
      <c r="C3285" t="s">
        <v>2719</v>
      </c>
      <c r="D3285" t="s">
        <v>2890</v>
      </c>
      <c r="E3285">
        <v>0</v>
      </c>
      <c r="F3285" s="11">
        <v>0</v>
      </c>
    </row>
    <row r="3286" spans="1:6" x14ac:dyDescent="0.35">
      <c r="A3286" t="s">
        <v>2856</v>
      </c>
      <c r="B3286" t="s">
        <v>2865</v>
      </c>
      <c r="C3286" t="s">
        <v>2719</v>
      </c>
      <c r="D3286" t="s">
        <v>2891</v>
      </c>
      <c r="E3286">
        <v>0</v>
      </c>
      <c r="F3286" s="11">
        <v>0</v>
      </c>
    </row>
    <row r="3287" spans="1:6" x14ac:dyDescent="0.35">
      <c r="A3287" t="s">
        <v>2856</v>
      </c>
      <c r="B3287" t="s">
        <v>2865</v>
      </c>
      <c r="C3287" t="s">
        <v>2719</v>
      </c>
      <c r="D3287" t="s">
        <v>2892</v>
      </c>
      <c r="E3287">
        <v>0</v>
      </c>
      <c r="F3287" s="11">
        <v>0</v>
      </c>
    </row>
    <row r="3288" spans="1:6" x14ac:dyDescent="0.35">
      <c r="A3288" t="s">
        <v>2856</v>
      </c>
      <c r="B3288" t="s">
        <v>2865</v>
      </c>
      <c r="C3288" t="s">
        <v>2719</v>
      </c>
      <c r="D3288" t="s">
        <v>2893</v>
      </c>
      <c r="E3288">
        <v>0</v>
      </c>
      <c r="F3288" s="11">
        <v>0</v>
      </c>
    </row>
    <row r="3289" spans="1:6" x14ac:dyDescent="0.35">
      <c r="A3289" t="s">
        <v>2856</v>
      </c>
      <c r="B3289" t="s">
        <v>2865</v>
      </c>
      <c r="C3289" t="s">
        <v>2719</v>
      </c>
      <c r="D3289" t="s">
        <v>2894</v>
      </c>
      <c r="E3289">
        <v>0</v>
      </c>
      <c r="F3289" s="11">
        <v>0</v>
      </c>
    </row>
    <row r="3290" spans="1:6" x14ac:dyDescent="0.35">
      <c r="A3290" t="s">
        <v>2856</v>
      </c>
      <c r="B3290" t="s">
        <v>2865</v>
      </c>
      <c r="C3290" t="s">
        <v>2719</v>
      </c>
      <c r="D3290" t="s">
        <v>2895</v>
      </c>
      <c r="E3290">
        <v>290226</v>
      </c>
      <c r="F3290" s="11">
        <v>0</v>
      </c>
    </row>
    <row r="3291" spans="1:6" x14ac:dyDescent="0.35">
      <c r="A3291" t="s">
        <v>2856</v>
      </c>
      <c r="B3291" t="s">
        <v>2865</v>
      </c>
      <c r="C3291" t="s">
        <v>2719</v>
      </c>
      <c r="D3291" t="s">
        <v>2896</v>
      </c>
      <c r="E3291">
        <v>136605</v>
      </c>
      <c r="F3291" s="11">
        <v>0</v>
      </c>
    </row>
    <row r="3292" spans="1:6" x14ac:dyDescent="0.35">
      <c r="A3292" t="s">
        <v>2856</v>
      </c>
      <c r="B3292" t="s">
        <v>2865</v>
      </c>
      <c r="C3292" t="s">
        <v>2719</v>
      </c>
      <c r="D3292" t="s">
        <v>2897</v>
      </c>
      <c r="E3292">
        <v>146653</v>
      </c>
      <c r="F3292" s="11">
        <v>0</v>
      </c>
    </row>
    <row r="3293" spans="1:6" x14ac:dyDescent="0.35">
      <c r="A3293" t="s">
        <v>2856</v>
      </c>
      <c r="B3293" t="s">
        <v>2865</v>
      </c>
      <c r="C3293" t="s">
        <v>2719</v>
      </c>
      <c r="D3293" t="s">
        <v>2898</v>
      </c>
      <c r="E3293">
        <v>4115</v>
      </c>
      <c r="F3293" s="11">
        <v>0</v>
      </c>
    </row>
    <row r="3294" spans="1:6" x14ac:dyDescent="0.35">
      <c r="A3294" t="s">
        <v>2856</v>
      </c>
      <c r="B3294" t="s">
        <v>2865</v>
      </c>
      <c r="C3294" t="s">
        <v>2719</v>
      </c>
      <c r="D3294" t="s">
        <v>2899</v>
      </c>
      <c r="E3294">
        <v>14927</v>
      </c>
      <c r="F3294" s="11">
        <v>0</v>
      </c>
    </row>
    <row r="3295" spans="1:6" x14ac:dyDescent="0.35">
      <c r="A3295" t="s">
        <v>2856</v>
      </c>
      <c r="B3295" t="s">
        <v>2865</v>
      </c>
      <c r="C3295" t="s">
        <v>2719</v>
      </c>
      <c r="D3295" t="s">
        <v>2900</v>
      </c>
      <c r="E3295">
        <v>14835</v>
      </c>
      <c r="F3295" s="11">
        <v>0</v>
      </c>
    </row>
    <row r="3296" spans="1:6" x14ac:dyDescent="0.35">
      <c r="A3296" t="s">
        <v>2856</v>
      </c>
      <c r="B3296" t="s">
        <v>2865</v>
      </c>
      <c r="C3296" t="s">
        <v>2719</v>
      </c>
      <c r="D3296" t="s">
        <v>2901</v>
      </c>
      <c r="E3296">
        <v>90</v>
      </c>
      <c r="F3296" s="11">
        <v>0</v>
      </c>
    </row>
    <row r="3297" spans="1:6" x14ac:dyDescent="0.35">
      <c r="A3297" t="s">
        <v>2856</v>
      </c>
      <c r="B3297" t="s">
        <v>2865</v>
      </c>
      <c r="C3297" t="s">
        <v>2719</v>
      </c>
      <c r="D3297" t="s">
        <v>2902</v>
      </c>
      <c r="E3297">
        <v>0</v>
      </c>
      <c r="F3297" s="11">
        <v>0</v>
      </c>
    </row>
    <row r="3298" spans="1:6" x14ac:dyDescent="0.35">
      <c r="A3298" t="s">
        <v>2856</v>
      </c>
      <c r="B3298" t="s">
        <v>2865</v>
      </c>
      <c r="C3298" t="s">
        <v>2719</v>
      </c>
      <c r="D3298" t="s">
        <v>2903</v>
      </c>
      <c r="E3298">
        <v>32206</v>
      </c>
      <c r="F3298" s="11">
        <v>0</v>
      </c>
    </row>
    <row r="3299" spans="1:6" x14ac:dyDescent="0.35">
      <c r="A3299" t="s">
        <v>2856</v>
      </c>
      <c r="B3299" t="s">
        <v>2865</v>
      </c>
      <c r="C3299" t="s">
        <v>2719</v>
      </c>
      <c r="D3299" t="s">
        <v>2904</v>
      </c>
      <c r="E3299">
        <v>0</v>
      </c>
      <c r="F3299" s="11">
        <v>0</v>
      </c>
    </row>
    <row r="3300" spans="1:6" x14ac:dyDescent="0.35">
      <c r="A3300" t="s">
        <v>2856</v>
      </c>
      <c r="B3300" t="s">
        <v>2865</v>
      </c>
      <c r="C3300" t="s">
        <v>2719</v>
      </c>
      <c r="D3300" t="s">
        <v>2905</v>
      </c>
      <c r="E3300">
        <v>0</v>
      </c>
      <c r="F3300" s="11">
        <v>0</v>
      </c>
    </row>
    <row r="3301" spans="1:6" x14ac:dyDescent="0.35">
      <c r="A3301" t="s">
        <v>2856</v>
      </c>
      <c r="B3301" t="s">
        <v>2865</v>
      </c>
      <c r="C3301" t="s">
        <v>2719</v>
      </c>
      <c r="D3301" t="s">
        <v>2906</v>
      </c>
      <c r="E3301">
        <v>0</v>
      </c>
      <c r="F3301" s="11">
        <v>0</v>
      </c>
    </row>
    <row r="3302" spans="1:6" x14ac:dyDescent="0.35">
      <c r="A3302" t="s">
        <v>2856</v>
      </c>
      <c r="B3302" t="s">
        <v>2865</v>
      </c>
      <c r="C3302" t="s">
        <v>2719</v>
      </c>
      <c r="D3302" t="s">
        <v>2907</v>
      </c>
      <c r="E3302">
        <v>50270</v>
      </c>
      <c r="F3302" s="11">
        <v>0</v>
      </c>
    </row>
    <row r="3303" spans="1:6" x14ac:dyDescent="0.35">
      <c r="A3303" t="s">
        <v>2856</v>
      </c>
      <c r="B3303" t="s">
        <v>2865</v>
      </c>
      <c r="C3303" t="s">
        <v>2719</v>
      </c>
      <c r="D3303" t="s">
        <v>2908</v>
      </c>
      <c r="E3303">
        <v>0</v>
      </c>
      <c r="F3303" s="11">
        <v>0</v>
      </c>
    </row>
    <row r="3304" spans="1:6" x14ac:dyDescent="0.35">
      <c r="A3304" t="s">
        <v>2856</v>
      </c>
      <c r="B3304" t="s">
        <v>2865</v>
      </c>
      <c r="C3304" t="s">
        <v>2719</v>
      </c>
      <c r="D3304" t="s">
        <v>2909</v>
      </c>
      <c r="E3304">
        <v>0</v>
      </c>
      <c r="F3304" s="11">
        <v>0</v>
      </c>
    </row>
    <row r="3305" spans="1:6" x14ac:dyDescent="0.35">
      <c r="A3305" t="s">
        <v>2856</v>
      </c>
      <c r="B3305" t="s">
        <v>2865</v>
      </c>
      <c r="C3305" t="s">
        <v>2719</v>
      </c>
      <c r="D3305" t="s">
        <v>2910</v>
      </c>
      <c r="E3305">
        <v>0</v>
      </c>
      <c r="F3305" s="11">
        <v>0</v>
      </c>
    </row>
    <row r="3306" spans="1:6" x14ac:dyDescent="0.35">
      <c r="A3306" t="s">
        <v>2856</v>
      </c>
      <c r="B3306" t="s">
        <v>2865</v>
      </c>
      <c r="C3306" t="s">
        <v>2719</v>
      </c>
      <c r="D3306" t="s">
        <v>2911</v>
      </c>
      <c r="E3306">
        <v>79438</v>
      </c>
      <c r="F3306" s="11">
        <v>0</v>
      </c>
    </row>
    <row r="3307" spans="1:6" x14ac:dyDescent="0.35">
      <c r="A3307" t="s">
        <v>2856</v>
      </c>
      <c r="B3307" t="s">
        <v>2865</v>
      </c>
      <c r="C3307" t="s">
        <v>2719</v>
      </c>
      <c r="D3307" t="s">
        <v>2912</v>
      </c>
      <c r="E3307">
        <v>1364403</v>
      </c>
      <c r="F3307" s="11">
        <v>0</v>
      </c>
    </row>
    <row r="3308" spans="1:6" x14ac:dyDescent="0.35">
      <c r="A3308" t="s">
        <v>2856</v>
      </c>
      <c r="B3308" t="s">
        <v>2865</v>
      </c>
      <c r="C3308" t="s">
        <v>2719</v>
      </c>
      <c r="D3308" t="s">
        <v>2913</v>
      </c>
      <c r="E3308">
        <v>0</v>
      </c>
      <c r="F3308" s="11">
        <v>0</v>
      </c>
    </row>
    <row r="3309" spans="1:6" x14ac:dyDescent="0.35">
      <c r="A3309" t="s">
        <v>2856</v>
      </c>
      <c r="B3309" t="s">
        <v>2865</v>
      </c>
      <c r="C3309" t="s">
        <v>2719</v>
      </c>
      <c r="D3309" t="s">
        <v>2914</v>
      </c>
      <c r="E3309">
        <v>0</v>
      </c>
      <c r="F3309" s="11">
        <v>0</v>
      </c>
    </row>
    <row r="3310" spans="1:6" x14ac:dyDescent="0.35">
      <c r="A3310" t="s">
        <v>2856</v>
      </c>
      <c r="B3310" t="s">
        <v>2865</v>
      </c>
      <c r="C3310" t="s">
        <v>2719</v>
      </c>
      <c r="D3310" t="s">
        <v>2915</v>
      </c>
      <c r="E3310">
        <v>2237</v>
      </c>
      <c r="F3310" s="11">
        <v>0</v>
      </c>
    </row>
    <row r="3311" spans="1:6" x14ac:dyDescent="0.35">
      <c r="A3311" t="s">
        <v>2856</v>
      </c>
      <c r="B3311" t="s">
        <v>2865</v>
      </c>
      <c r="C3311" t="s">
        <v>2719</v>
      </c>
      <c r="D3311" t="s">
        <v>2916</v>
      </c>
      <c r="E3311">
        <v>88418</v>
      </c>
      <c r="F3311" s="11">
        <v>0</v>
      </c>
    </row>
    <row r="3312" spans="1:6" x14ac:dyDescent="0.35">
      <c r="A3312" t="s">
        <v>2856</v>
      </c>
      <c r="B3312" t="s">
        <v>2865</v>
      </c>
      <c r="C3312" t="s">
        <v>2719</v>
      </c>
      <c r="D3312" t="s">
        <v>2917</v>
      </c>
      <c r="E3312">
        <v>0</v>
      </c>
      <c r="F3312" s="11">
        <v>0</v>
      </c>
    </row>
    <row r="3313" spans="1:6" x14ac:dyDescent="0.35">
      <c r="A3313" t="s">
        <v>2856</v>
      </c>
      <c r="B3313" t="s">
        <v>2863</v>
      </c>
      <c r="C3313" t="s">
        <v>1423</v>
      </c>
      <c r="D3313" t="s">
        <v>2875</v>
      </c>
      <c r="E3313">
        <v>22585</v>
      </c>
      <c r="F3313" s="11">
        <v>1</v>
      </c>
    </row>
    <row r="3314" spans="1:6" x14ac:dyDescent="0.35">
      <c r="A3314" t="s">
        <v>2856</v>
      </c>
      <c r="B3314" t="s">
        <v>2863</v>
      </c>
      <c r="C3314" t="s">
        <v>1423</v>
      </c>
      <c r="D3314" t="s">
        <v>2876</v>
      </c>
      <c r="E3314">
        <v>6497</v>
      </c>
      <c r="F3314" s="11">
        <v>1</v>
      </c>
    </row>
    <row r="3315" spans="1:6" x14ac:dyDescent="0.35">
      <c r="A3315" t="s">
        <v>2856</v>
      </c>
      <c r="B3315" t="s">
        <v>2863</v>
      </c>
      <c r="C3315" t="s">
        <v>1423</v>
      </c>
      <c r="D3315" t="s">
        <v>2877</v>
      </c>
      <c r="E3315">
        <v>13590</v>
      </c>
      <c r="F3315" s="11">
        <v>1</v>
      </c>
    </row>
    <row r="3316" spans="1:6" x14ac:dyDescent="0.35">
      <c r="A3316" t="s">
        <v>2856</v>
      </c>
      <c r="B3316" t="s">
        <v>2863</v>
      </c>
      <c r="C3316" t="s">
        <v>1423</v>
      </c>
      <c r="D3316" t="s">
        <v>2878</v>
      </c>
      <c r="E3316">
        <v>2498</v>
      </c>
      <c r="F3316" s="11">
        <v>1</v>
      </c>
    </row>
    <row r="3317" spans="1:6" x14ac:dyDescent="0.35">
      <c r="A3317" t="s">
        <v>2856</v>
      </c>
      <c r="B3317" t="s">
        <v>2863</v>
      </c>
      <c r="C3317" t="s">
        <v>1423</v>
      </c>
      <c r="D3317" t="s">
        <v>2879</v>
      </c>
      <c r="E3317">
        <v>12766</v>
      </c>
      <c r="F3317" s="11">
        <v>1</v>
      </c>
    </row>
    <row r="3318" spans="1:6" x14ac:dyDescent="0.35">
      <c r="A3318" t="s">
        <v>2856</v>
      </c>
      <c r="B3318" t="s">
        <v>2863</v>
      </c>
      <c r="C3318" t="s">
        <v>1423</v>
      </c>
      <c r="D3318" t="s">
        <v>2880</v>
      </c>
      <c r="E3318">
        <v>4579</v>
      </c>
      <c r="F3318" s="11">
        <v>1</v>
      </c>
    </row>
    <row r="3319" spans="1:6" x14ac:dyDescent="0.35">
      <c r="A3319" t="s">
        <v>2856</v>
      </c>
      <c r="B3319" t="s">
        <v>2863</v>
      </c>
      <c r="C3319" t="s">
        <v>1423</v>
      </c>
      <c r="D3319" t="s">
        <v>2881</v>
      </c>
      <c r="E3319">
        <v>8187</v>
      </c>
      <c r="F3319" s="11">
        <v>0</v>
      </c>
    </row>
    <row r="3320" spans="1:6" x14ac:dyDescent="0.35">
      <c r="A3320" t="s">
        <v>2856</v>
      </c>
      <c r="B3320" t="s">
        <v>2863</v>
      </c>
      <c r="C3320" t="s">
        <v>1423</v>
      </c>
      <c r="D3320" t="s">
        <v>2882</v>
      </c>
      <c r="E3320">
        <v>0</v>
      </c>
      <c r="F3320" s="11">
        <v>1</v>
      </c>
    </row>
    <row r="3321" spans="1:6" x14ac:dyDescent="0.35">
      <c r="A3321" t="s">
        <v>2856</v>
      </c>
      <c r="B3321" t="s">
        <v>2863</v>
      </c>
      <c r="C3321" t="s">
        <v>1423</v>
      </c>
      <c r="D3321" t="s">
        <v>2883</v>
      </c>
      <c r="E3321">
        <v>0</v>
      </c>
      <c r="F3321" s="11">
        <v>0</v>
      </c>
    </row>
    <row r="3322" spans="1:6" x14ac:dyDescent="0.35">
      <c r="A3322" t="s">
        <v>2856</v>
      </c>
      <c r="B3322" t="s">
        <v>2863</v>
      </c>
      <c r="C3322" t="s">
        <v>1423</v>
      </c>
      <c r="D3322" t="s">
        <v>2884</v>
      </c>
      <c r="E3322">
        <v>0</v>
      </c>
      <c r="F3322" s="11">
        <v>0</v>
      </c>
    </row>
    <row r="3323" spans="1:6" x14ac:dyDescent="0.35">
      <c r="A3323" t="s">
        <v>2856</v>
      </c>
      <c r="B3323" t="s">
        <v>2863</v>
      </c>
      <c r="C3323" t="s">
        <v>1423</v>
      </c>
      <c r="D3323" t="s">
        <v>2885</v>
      </c>
      <c r="E3323">
        <v>0</v>
      </c>
      <c r="F3323" s="11">
        <v>0</v>
      </c>
    </row>
    <row r="3324" spans="1:6" x14ac:dyDescent="0.35">
      <c r="A3324" t="s">
        <v>2856</v>
      </c>
      <c r="B3324" t="s">
        <v>2863</v>
      </c>
      <c r="C3324" t="s">
        <v>1423</v>
      </c>
      <c r="D3324" t="s">
        <v>2886</v>
      </c>
      <c r="E3324">
        <v>0</v>
      </c>
      <c r="F3324" s="11">
        <v>0</v>
      </c>
    </row>
    <row r="3325" spans="1:6" x14ac:dyDescent="0.35">
      <c r="A3325" t="s">
        <v>2856</v>
      </c>
      <c r="B3325" t="s">
        <v>2863</v>
      </c>
      <c r="C3325" t="s">
        <v>1423</v>
      </c>
      <c r="D3325" t="s">
        <v>2887</v>
      </c>
      <c r="E3325">
        <v>181838</v>
      </c>
      <c r="F3325" s="11">
        <v>1</v>
      </c>
    </row>
    <row r="3326" spans="1:6" x14ac:dyDescent="0.35">
      <c r="A3326" t="s">
        <v>2856</v>
      </c>
      <c r="B3326" t="s">
        <v>2863</v>
      </c>
      <c r="C3326" t="s">
        <v>1423</v>
      </c>
      <c r="D3326" t="s">
        <v>2888</v>
      </c>
      <c r="E3326">
        <v>71207</v>
      </c>
      <c r="F3326" s="11">
        <v>1</v>
      </c>
    </row>
    <row r="3327" spans="1:6" x14ac:dyDescent="0.35">
      <c r="A3327" t="s">
        <v>2856</v>
      </c>
      <c r="B3327" t="s">
        <v>2863</v>
      </c>
      <c r="C3327" t="s">
        <v>1423</v>
      </c>
      <c r="D3327" t="s">
        <v>2889</v>
      </c>
      <c r="E3327">
        <v>110631</v>
      </c>
      <c r="F3327" s="11">
        <v>0</v>
      </c>
    </row>
    <row r="3328" spans="1:6" x14ac:dyDescent="0.35">
      <c r="A3328" t="s">
        <v>2856</v>
      </c>
      <c r="B3328" t="s">
        <v>2863</v>
      </c>
      <c r="C3328" t="s">
        <v>1423</v>
      </c>
      <c r="D3328" t="s">
        <v>2890</v>
      </c>
      <c r="E3328">
        <v>0</v>
      </c>
      <c r="F3328" s="11">
        <v>1</v>
      </c>
    </row>
    <row r="3329" spans="1:6" x14ac:dyDescent="0.35">
      <c r="A3329" t="s">
        <v>2856</v>
      </c>
      <c r="B3329" t="s">
        <v>2863</v>
      </c>
      <c r="C3329" t="s">
        <v>1423</v>
      </c>
      <c r="D3329" t="s">
        <v>2891</v>
      </c>
      <c r="E3329">
        <v>0</v>
      </c>
      <c r="F3329" s="11">
        <v>0</v>
      </c>
    </row>
    <row r="3330" spans="1:6" x14ac:dyDescent="0.35">
      <c r="A3330" t="s">
        <v>2856</v>
      </c>
      <c r="B3330" t="s">
        <v>2863</v>
      </c>
      <c r="C3330" t="s">
        <v>1423</v>
      </c>
      <c r="D3330" t="s">
        <v>2892</v>
      </c>
      <c r="E3330">
        <v>0</v>
      </c>
      <c r="F3330" s="11">
        <v>0</v>
      </c>
    </row>
    <row r="3331" spans="1:6" x14ac:dyDescent="0.35">
      <c r="A3331" t="s">
        <v>2856</v>
      </c>
      <c r="B3331" t="s">
        <v>2863</v>
      </c>
      <c r="C3331" t="s">
        <v>1423</v>
      </c>
      <c r="D3331" t="s">
        <v>2893</v>
      </c>
      <c r="E3331">
        <v>0</v>
      </c>
      <c r="F3331" s="11">
        <v>0</v>
      </c>
    </row>
    <row r="3332" spans="1:6" x14ac:dyDescent="0.35">
      <c r="A3332" t="s">
        <v>2856</v>
      </c>
      <c r="B3332" t="s">
        <v>2863</v>
      </c>
      <c r="C3332" t="s">
        <v>1423</v>
      </c>
      <c r="D3332" t="s">
        <v>2894</v>
      </c>
      <c r="E3332">
        <v>0</v>
      </c>
      <c r="F3332" s="11">
        <v>0</v>
      </c>
    </row>
    <row r="3333" spans="1:6" x14ac:dyDescent="0.35">
      <c r="A3333" t="s">
        <v>2856</v>
      </c>
      <c r="B3333" t="s">
        <v>2863</v>
      </c>
      <c r="C3333" t="s">
        <v>1423</v>
      </c>
      <c r="D3333" t="s">
        <v>2895</v>
      </c>
      <c r="E3333">
        <v>438497</v>
      </c>
      <c r="F3333" s="11">
        <v>1</v>
      </c>
    </row>
    <row r="3334" spans="1:6" x14ac:dyDescent="0.35">
      <c r="A3334" t="s">
        <v>2856</v>
      </c>
      <c r="B3334" t="s">
        <v>2863</v>
      </c>
      <c r="C3334" t="s">
        <v>1423</v>
      </c>
      <c r="D3334" t="s">
        <v>2896</v>
      </c>
      <c r="E3334">
        <v>242564</v>
      </c>
      <c r="F3334" s="11">
        <v>1</v>
      </c>
    </row>
    <row r="3335" spans="1:6" x14ac:dyDescent="0.35">
      <c r="A3335" t="s">
        <v>2856</v>
      </c>
      <c r="B3335" t="s">
        <v>2863</v>
      </c>
      <c r="C3335" t="s">
        <v>1423</v>
      </c>
      <c r="D3335" t="s">
        <v>2897</v>
      </c>
      <c r="E3335">
        <v>195933</v>
      </c>
      <c r="F3335" s="11">
        <v>0</v>
      </c>
    </row>
    <row r="3336" spans="1:6" x14ac:dyDescent="0.35">
      <c r="A3336" t="s">
        <v>2856</v>
      </c>
      <c r="B3336" t="s">
        <v>2863</v>
      </c>
      <c r="C3336" t="s">
        <v>1423</v>
      </c>
      <c r="D3336" t="s">
        <v>2898</v>
      </c>
      <c r="E3336">
        <v>0</v>
      </c>
      <c r="F3336" s="11">
        <v>1</v>
      </c>
    </row>
    <row r="3337" spans="1:6" x14ac:dyDescent="0.35">
      <c r="A3337" t="s">
        <v>2856</v>
      </c>
      <c r="B3337" t="s">
        <v>2863</v>
      </c>
      <c r="C3337" t="s">
        <v>1423</v>
      </c>
      <c r="D3337" t="s">
        <v>2899</v>
      </c>
      <c r="E3337">
        <v>0</v>
      </c>
      <c r="F3337" s="11">
        <v>0</v>
      </c>
    </row>
    <row r="3338" spans="1:6" x14ac:dyDescent="0.35">
      <c r="A3338" t="s">
        <v>2856</v>
      </c>
      <c r="B3338" t="s">
        <v>2863</v>
      </c>
      <c r="C3338" t="s">
        <v>1423</v>
      </c>
      <c r="D3338" t="s">
        <v>2900</v>
      </c>
      <c r="E3338">
        <v>0</v>
      </c>
      <c r="F3338" s="11">
        <v>0</v>
      </c>
    </row>
    <row r="3339" spans="1:6" x14ac:dyDescent="0.35">
      <c r="A3339" t="s">
        <v>2856</v>
      </c>
      <c r="B3339" t="s">
        <v>2863</v>
      </c>
      <c r="C3339" t="s">
        <v>1423</v>
      </c>
      <c r="D3339" t="s">
        <v>2901</v>
      </c>
      <c r="E3339">
        <v>0</v>
      </c>
      <c r="F3339" s="11">
        <v>0</v>
      </c>
    </row>
    <row r="3340" spans="1:6" x14ac:dyDescent="0.35">
      <c r="A3340" t="s">
        <v>2856</v>
      </c>
      <c r="B3340" t="s">
        <v>2863</v>
      </c>
      <c r="C3340" t="s">
        <v>1423</v>
      </c>
      <c r="D3340" t="s">
        <v>2902</v>
      </c>
      <c r="E3340">
        <v>0</v>
      </c>
      <c r="F3340" s="11">
        <v>0</v>
      </c>
    </row>
    <row r="3341" spans="1:6" x14ac:dyDescent="0.35">
      <c r="A3341" t="s">
        <v>2856</v>
      </c>
      <c r="B3341" t="s">
        <v>2863</v>
      </c>
      <c r="C3341" t="s">
        <v>1423</v>
      </c>
      <c r="D3341" t="s">
        <v>2903</v>
      </c>
      <c r="E3341">
        <v>9991</v>
      </c>
      <c r="F3341" s="11">
        <v>1</v>
      </c>
    </row>
    <row r="3342" spans="1:6" x14ac:dyDescent="0.35">
      <c r="A3342" t="s">
        <v>2856</v>
      </c>
      <c r="B3342" t="s">
        <v>2863</v>
      </c>
      <c r="C3342" t="s">
        <v>1423</v>
      </c>
      <c r="D3342" t="s">
        <v>2904</v>
      </c>
      <c r="E3342">
        <v>8364</v>
      </c>
      <c r="F3342" s="11">
        <v>0</v>
      </c>
    </row>
    <row r="3343" spans="1:6" x14ac:dyDescent="0.35">
      <c r="A3343" t="s">
        <v>2856</v>
      </c>
      <c r="B3343" t="s">
        <v>2863</v>
      </c>
      <c r="C3343" t="s">
        <v>1423</v>
      </c>
      <c r="D3343" t="s">
        <v>2905</v>
      </c>
      <c r="E3343">
        <v>1023</v>
      </c>
      <c r="F3343" s="11">
        <v>0</v>
      </c>
    </row>
    <row r="3344" spans="1:6" x14ac:dyDescent="0.35">
      <c r="A3344" t="s">
        <v>2856</v>
      </c>
      <c r="B3344" t="s">
        <v>2863</v>
      </c>
      <c r="C3344" t="s">
        <v>1423</v>
      </c>
      <c r="D3344" t="s">
        <v>2906</v>
      </c>
      <c r="E3344">
        <v>604</v>
      </c>
      <c r="F3344" s="11">
        <v>0</v>
      </c>
    </row>
    <row r="3345" spans="1:6" x14ac:dyDescent="0.35">
      <c r="A3345" t="s">
        <v>2856</v>
      </c>
      <c r="B3345" t="s">
        <v>2863</v>
      </c>
      <c r="C3345" t="s">
        <v>1423</v>
      </c>
      <c r="D3345" t="s">
        <v>2907</v>
      </c>
      <c r="E3345">
        <v>24283</v>
      </c>
      <c r="F3345" s="11">
        <v>1</v>
      </c>
    </row>
    <row r="3346" spans="1:6" x14ac:dyDescent="0.35">
      <c r="A3346" t="s">
        <v>2856</v>
      </c>
      <c r="B3346" t="s">
        <v>2863</v>
      </c>
      <c r="C3346" t="s">
        <v>1423</v>
      </c>
      <c r="D3346" t="s">
        <v>2908</v>
      </c>
      <c r="E3346">
        <v>20381</v>
      </c>
      <c r="F3346" s="11">
        <v>0</v>
      </c>
    </row>
    <row r="3347" spans="1:6" x14ac:dyDescent="0.35">
      <c r="A3347" t="s">
        <v>2856</v>
      </c>
      <c r="B3347" t="s">
        <v>2863</v>
      </c>
      <c r="C3347" t="s">
        <v>1423</v>
      </c>
      <c r="D3347" t="s">
        <v>2909</v>
      </c>
      <c r="E3347">
        <v>3088</v>
      </c>
      <c r="F3347" s="11">
        <v>0</v>
      </c>
    </row>
    <row r="3348" spans="1:6" x14ac:dyDescent="0.35">
      <c r="A3348" t="s">
        <v>2856</v>
      </c>
      <c r="B3348" t="s">
        <v>2863</v>
      </c>
      <c r="C3348" t="s">
        <v>1423</v>
      </c>
      <c r="D3348" t="s">
        <v>2910</v>
      </c>
      <c r="E3348">
        <v>950</v>
      </c>
      <c r="F3348" s="11">
        <v>0</v>
      </c>
    </row>
    <row r="3349" spans="1:6" x14ac:dyDescent="0.35">
      <c r="A3349" t="s">
        <v>2856</v>
      </c>
      <c r="B3349" t="s">
        <v>2863</v>
      </c>
      <c r="C3349" t="s">
        <v>1423</v>
      </c>
      <c r="D3349" t="s">
        <v>2911</v>
      </c>
      <c r="E3349">
        <v>589166</v>
      </c>
      <c r="F3349" s="11">
        <v>1</v>
      </c>
    </row>
    <row r="3350" spans="1:6" x14ac:dyDescent="0.35">
      <c r="A3350" t="s">
        <v>2856</v>
      </c>
      <c r="B3350" t="s">
        <v>2863</v>
      </c>
      <c r="C3350" t="s">
        <v>1423</v>
      </c>
      <c r="D3350" t="s">
        <v>2912</v>
      </c>
      <c r="E3350">
        <v>141122</v>
      </c>
      <c r="F3350" s="11">
        <v>1</v>
      </c>
    </row>
    <row r="3351" spans="1:6" x14ac:dyDescent="0.35">
      <c r="A3351" t="s">
        <v>2856</v>
      </c>
      <c r="B3351" t="s">
        <v>2863</v>
      </c>
      <c r="C3351" t="s">
        <v>1423</v>
      </c>
      <c r="D3351" t="s">
        <v>2913</v>
      </c>
      <c r="E3351">
        <v>0</v>
      </c>
      <c r="F3351" s="11">
        <v>0</v>
      </c>
    </row>
    <row r="3352" spans="1:6" x14ac:dyDescent="0.35">
      <c r="A3352" t="s">
        <v>2856</v>
      </c>
      <c r="B3352" t="s">
        <v>2863</v>
      </c>
      <c r="C3352" t="s">
        <v>1423</v>
      </c>
      <c r="D3352" t="s">
        <v>2914</v>
      </c>
      <c r="E3352">
        <v>0</v>
      </c>
      <c r="F3352" s="11">
        <v>1</v>
      </c>
    </row>
    <row r="3353" spans="1:6" x14ac:dyDescent="0.35">
      <c r="A3353" t="s">
        <v>2856</v>
      </c>
      <c r="B3353" t="s">
        <v>2863</v>
      </c>
      <c r="C3353" t="s">
        <v>1423</v>
      </c>
      <c r="D3353" t="s">
        <v>2915</v>
      </c>
      <c r="E3353">
        <v>0</v>
      </c>
      <c r="F3353" s="11">
        <v>1</v>
      </c>
    </row>
    <row r="3354" spans="1:6" x14ac:dyDescent="0.35">
      <c r="A3354" t="s">
        <v>2856</v>
      </c>
      <c r="B3354" t="s">
        <v>2863</v>
      </c>
      <c r="C3354" t="s">
        <v>1423</v>
      </c>
      <c r="D3354" t="s">
        <v>2916</v>
      </c>
      <c r="E3354">
        <v>80358</v>
      </c>
      <c r="F3354" s="11">
        <v>1</v>
      </c>
    </row>
    <row r="3355" spans="1:6" x14ac:dyDescent="0.35">
      <c r="A3355" t="s">
        <v>2856</v>
      </c>
      <c r="B3355" t="s">
        <v>2863</v>
      </c>
      <c r="C3355" t="s">
        <v>1423</v>
      </c>
      <c r="D3355" t="s">
        <v>2917</v>
      </c>
      <c r="E3355">
        <v>102459</v>
      </c>
      <c r="F3355" s="11">
        <v>1</v>
      </c>
    </row>
    <row r="3356" spans="1:6" x14ac:dyDescent="0.35">
      <c r="A3356" t="s">
        <v>2856</v>
      </c>
      <c r="B3356" t="s">
        <v>2865</v>
      </c>
      <c r="C3356" t="s">
        <v>1364</v>
      </c>
      <c r="D3356" t="s">
        <v>2875</v>
      </c>
      <c r="E3356">
        <v>192095</v>
      </c>
      <c r="F3356" s="11">
        <v>1</v>
      </c>
    </row>
    <row r="3357" spans="1:6" x14ac:dyDescent="0.35">
      <c r="A3357" t="s">
        <v>2856</v>
      </c>
      <c r="B3357" t="s">
        <v>2865</v>
      </c>
      <c r="C3357" t="s">
        <v>1364</v>
      </c>
      <c r="D3357" t="s">
        <v>2876</v>
      </c>
      <c r="E3357">
        <v>13578</v>
      </c>
      <c r="F3357" s="11">
        <v>1</v>
      </c>
    </row>
    <row r="3358" spans="1:6" x14ac:dyDescent="0.35">
      <c r="A3358" t="s">
        <v>2856</v>
      </c>
      <c r="B3358" t="s">
        <v>2865</v>
      </c>
      <c r="C3358" t="s">
        <v>1364</v>
      </c>
      <c r="D3358" t="s">
        <v>2877</v>
      </c>
      <c r="E3358">
        <v>164409</v>
      </c>
      <c r="F3358" s="11">
        <v>1</v>
      </c>
    </row>
    <row r="3359" spans="1:6" x14ac:dyDescent="0.35">
      <c r="A3359" t="s">
        <v>2856</v>
      </c>
      <c r="B3359" t="s">
        <v>2865</v>
      </c>
      <c r="C3359" t="s">
        <v>1364</v>
      </c>
      <c r="D3359" t="s">
        <v>2878</v>
      </c>
      <c r="E3359">
        <v>1408</v>
      </c>
      <c r="F3359" s="11">
        <v>1</v>
      </c>
    </row>
    <row r="3360" spans="1:6" x14ac:dyDescent="0.35">
      <c r="A3360" t="s">
        <v>2856</v>
      </c>
      <c r="B3360" t="s">
        <v>2865</v>
      </c>
      <c r="C3360" t="s">
        <v>1364</v>
      </c>
      <c r="D3360" t="s">
        <v>2879</v>
      </c>
      <c r="E3360">
        <v>2030</v>
      </c>
      <c r="F3360" s="11">
        <v>1</v>
      </c>
    </row>
    <row r="3361" spans="1:6" x14ac:dyDescent="0.35">
      <c r="A3361" t="s">
        <v>2856</v>
      </c>
      <c r="B3361" t="s">
        <v>2865</v>
      </c>
      <c r="C3361" t="s">
        <v>1364</v>
      </c>
      <c r="D3361" t="s">
        <v>2880</v>
      </c>
      <c r="E3361">
        <v>1269</v>
      </c>
      <c r="F3361" s="11">
        <v>1</v>
      </c>
    </row>
    <row r="3362" spans="1:6" x14ac:dyDescent="0.35">
      <c r="A3362" t="s">
        <v>2856</v>
      </c>
      <c r="B3362" t="s">
        <v>2865</v>
      </c>
      <c r="C3362" t="s">
        <v>1364</v>
      </c>
      <c r="D3362" t="s">
        <v>2881</v>
      </c>
      <c r="E3362">
        <v>699</v>
      </c>
      <c r="F3362" s="11">
        <v>0</v>
      </c>
    </row>
    <row r="3363" spans="1:6" x14ac:dyDescent="0.35">
      <c r="A3363" t="s">
        <v>2856</v>
      </c>
      <c r="B3363" t="s">
        <v>2865</v>
      </c>
      <c r="C3363" t="s">
        <v>1364</v>
      </c>
      <c r="D3363" t="s">
        <v>2882</v>
      </c>
      <c r="E3363">
        <v>62</v>
      </c>
      <c r="F3363" s="11">
        <v>1</v>
      </c>
    </row>
    <row r="3364" spans="1:6" x14ac:dyDescent="0.35">
      <c r="A3364" t="s">
        <v>2856</v>
      </c>
      <c r="B3364" t="s">
        <v>2865</v>
      </c>
      <c r="C3364" t="s">
        <v>1364</v>
      </c>
      <c r="D3364" t="s">
        <v>2883</v>
      </c>
      <c r="E3364">
        <v>0</v>
      </c>
      <c r="F3364" s="11">
        <v>0</v>
      </c>
    </row>
    <row r="3365" spans="1:6" x14ac:dyDescent="0.35">
      <c r="A3365" t="s">
        <v>2856</v>
      </c>
      <c r="B3365" t="s">
        <v>2865</v>
      </c>
      <c r="C3365" t="s">
        <v>1364</v>
      </c>
      <c r="D3365" t="s">
        <v>2884</v>
      </c>
      <c r="E3365">
        <v>0</v>
      </c>
      <c r="F3365" s="11">
        <v>0</v>
      </c>
    </row>
    <row r="3366" spans="1:6" x14ac:dyDescent="0.35">
      <c r="A3366" t="s">
        <v>2856</v>
      </c>
      <c r="B3366" t="s">
        <v>2865</v>
      </c>
      <c r="C3366" t="s">
        <v>1364</v>
      </c>
      <c r="D3366" t="s">
        <v>2885</v>
      </c>
      <c r="E3366">
        <v>0</v>
      </c>
      <c r="F3366" s="11">
        <v>0</v>
      </c>
    </row>
    <row r="3367" spans="1:6" x14ac:dyDescent="0.35">
      <c r="A3367" t="s">
        <v>2856</v>
      </c>
      <c r="B3367" t="s">
        <v>2865</v>
      </c>
      <c r="C3367" t="s">
        <v>1364</v>
      </c>
      <c r="D3367" t="s">
        <v>2886</v>
      </c>
      <c r="E3367">
        <v>0</v>
      </c>
      <c r="F3367" s="11">
        <v>0</v>
      </c>
    </row>
    <row r="3368" spans="1:6" x14ac:dyDescent="0.35">
      <c r="A3368" t="s">
        <v>2856</v>
      </c>
      <c r="B3368" t="s">
        <v>2865</v>
      </c>
      <c r="C3368" t="s">
        <v>1364</v>
      </c>
      <c r="D3368" t="s">
        <v>2887</v>
      </c>
      <c r="E3368">
        <v>63606</v>
      </c>
      <c r="F3368" s="11">
        <v>1</v>
      </c>
    </row>
    <row r="3369" spans="1:6" x14ac:dyDescent="0.35">
      <c r="A3369" t="s">
        <v>2856</v>
      </c>
      <c r="B3369" t="s">
        <v>2865</v>
      </c>
      <c r="C3369" t="s">
        <v>1364</v>
      </c>
      <c r="D3369" t="s">
        <v>2888</v>
      </c>
      <c r="E3369">
        <v>26537</v>
      </c>
      <c r="F3369" s="11">
        <v>1</v>
      </c>
    </row>
    <row r="3370" spans="1:6" x14ac:dyDescent="0.35">
      <c r="A3370" t="s">
        <v>2856</v>
      </c>
      <c r="B3370" t="s">
        <v>2865</v>
      </c>
      <c r="C3370" t="s">
        <v>1364</v>
      </c>
      <c r="D3370" t="s">
        <v>2889</v>
      </c>
      <c r="E3370">
        <v>36001</v>
      </c>
      <c r="F3370" s="11">
        <v>0</v>
      </c>
    </row>
    <row r="3371" spans="1:6" x14ac:dyDescent="0.35">
      <c r="A3371" t="s">
        <v>2856</v>
      </c>
      <c r="B3371" t="s">
        <v>2865</v>
      </c>
      <c r="C3371" t="s">
        <v>1364</v>
      </c>
      <c r="D3371" t="s">
        <v>2890</v>
      </c>
      <c r="E3371">
        <v>1088</v>
      </c>
      <c r="F3371" s="11">
        <v>1</v>
      </c>
    </row>
    <row r="3372" spans="1:6" x14ac:dyDescent="0.35">
      <c r="A3372" t="s">
        <v>2856</v>
      </c>
      <c r="B3372" t="s">
        <v>2865</v>
      </c>
      <c r="C3372" t="s">
        <v>1364</v>
      </c>
      <c r="D3372" t="s">
        <v>2891</v>
      </c>
      <c r="E3372">
        <v>0</v>
      </c>
      <c r="F3372" s="11">
        <v>0</v>
      </c>
    </row>
    <row r="3373" spans="1:6" x14ac:dyDescent="0.35">
      <c r="A3373" t="s">
        <v>2856</v>
      </c>
      <c r="B3373" t="s">
        <v>2865</v>
      </c>
      <c r="C3373" t="s">
        <v>1364</v>
      </c>
      <c r="D3373" t="s">
        <v>2892</v>
      </c>
      <c r="E3373">
        <v>0</v>
      </c>
      <c r="F3373" s="11">
        <v>0</v>
      </c>
    </row>
    <row r="3374" spans="1:6" x14ac:dyDescent="0.35">
      <c r="A3374" t="s">
        <v>2856</v>
      </c>
      <c r="B3374" t="s">
        <v>2865</v>
      </c>
      <c r="C3374" t="s">
        <v>1364</v>
      </c>
      <c r="D3374" t="s">
        <v>2893</v>
      </c>
      <c r="E3374">
        <v>0</v>
      </c>
      <c r="F3374" s="11">
        <v>0</v>
      </c>
    </row>
    <row r="3375" spans="1:6" x14ac:dyDescent="0.35">
      <c r="A3375" t="s">
        <v>2856</v>
      </c>
      <c r="B3375" t="s">
        <v>2865</v>
      </c>
      <c r="C3375" t="s">
        <v>1364</v>
      </c>
      <c r="D3375" t="s">
        <v>2894</v>
      </c>
      <c r="E3375">
        <v>0</v>
      </c>
      <c r="F3375" s="11">
        <v>0</v>
      </c>
    </row>
    <row r="3376" spans="1:6" x14ac:dyDescent="0.35">
      <c r="A3376" t="s">
        <v>2856</v>
      </c>
      <c r="B3376" t="s">
        <v>2865</v>
      </c>
      <c r="C3376" t="s">
        <v>1364</v>
      </c>
      <c r="D3376" t="s">
        <v>2895</v>
      </c>
      <c r="E3376">
        <v>282841</v>
      </c>
      <c r="F3376" s="11">
        <v>1</v>
      </c>
    </row>
    <row r="3377" spans="1:6" x14ac:dyDescent="0.35">
      <c r="A3377" t="s">
        <v>2856</v>
      </c>
      <c r="B3377" t="s">
        <v>2865</v>
      </c>
      <c r="C3377" t="s">
        <v>1364</v>
      </c>
      <c r="D3377" t="s">
        <v>2896</v>
      </c>
      <c r="E3377">
        <v>0</v>
      </c>
      <c r="F3377" s="11">
        <v>0</v>
      </c>
    </row>
    <row r="3378" spans="1:6" x14ac:dyDescent="0.35">
      <c r="A3378" t="s">
        <v>2856</v>
      </c>
      <c r="B3378" t="s">
        <v>2865</v>
      </c>
      <c r="C3378" t="s">
        <v>1364</v>
      </c>
      <c r="D3378" t="s">
        <v>2897</v>
      </c>
      <c r="E3378">
        <v>0</v>
      </c>
      <c r="F3378" s="11">
        <v>0</v>
      </c>
    </row>
    <row r="3379" spans="1:6" x14ac:dyDescent="0.35">
      <c r="A3379" t="s">
        <v>2856</v>
      </c>
      <c r="B3379" t="s">
        <v>2865</v>
      </c>
      <c r="C3379" t="s">
        <v>1364</v>
      </c>
      <c r="D3379" t="s">
        <v>2898</v>
      </c>
      <c r="E3379">
        <v>0</v>
      </c>
      <c r="F3379" s="11">
        <v>0</v>
      </c>
    </row>
    <row r="3380" spans="1:6" x14ac:dyDescent="0.35">
      <c r="A3380" t="s">
        <v>2856</v>
      </c>
      <c r="B3380" t="s">
        <v>2865</v>
      </c>
      <c r="C3380" t="s">
        <v>1364</v>
      </c>
      <c r="D3380" t="s">
        <v>2899</v>
      </c>
      <c r="E3380">
        <v>0</v>
      </c>
      <c r="F3380" s="11">
        <v>0</v>
      </c>
    </row>
    <row r="3381" spans="1:6" x14ac:dyDescent="0.35">
      <c r="A3381" t="s">
        <v>2856</v>
      </c>
      <c r="B3381" t="s">
        <v>2865</v>
      </c>
      <c r="C3381" t="s">
        <v>1364</v>
      </c>
      <c r="D3381" t="s">
        <v>2900</v>
      </c>
      <c r="E3381">
        <v>0</v>
      </c>
      <c r="F3381" s="11">
        <v>0</v>
      </c>
    </row>
    <row r="3382" spans="1:6" x14ac:dyDescent="0.35">
      <c r="A3382" t="s">
        <v>2856</v>
      </c>
      <c r="B3382" t="s">
        <v>2865</v>
      </c>
      <c r="C3382" t="s">
        <v>1364</v>
      </c>
      <c r="D3382" t="s">
        <v>2901</v>
      </c>
      <c r="E3382">
        <v>0</v>
      </c>
      <c r="F3382" s="11">
        <v>0</v>
      </c>
    </row>
    <row r="3383" spans="1:6" x14ac:dyDescent="0.35">
      <c r="A3383" t="s">
        <v>2856</v>
      </c>
      <c r="B3383" t="s">
        <v>2865</v>
      </c>
      <c r="C3383" t="s">
        <v>1364</v>
      </c>
      <c r="D3383" t="s">
        <v>2902</v>
      </c>
      <c r="E3383">
        <v>0</v>
      </c>
      <c r="F3383" s="11">
        <v>0</v>
      </c>
    </row>
    <row r="3384" spans="1:6" x14ac:dyDescent="0.35">
      <c r="A3384" t="s">
        <v>2856</v>
      </c>
      <c r="B3384" t="s">
        <v>2865</v>
      </c>
      <c r="C3384" t="s">
        <v>1364</v>
      </c>
      <c r="D3384" t="s">
        <v>2903</v>
      </c>
      <c r="E3384">
        <v>251404</v>
      </c>
      <c r="F3384" s="11">
        <v>1</v>
      </c>
    </row>
    <row r="3385" spans="1:6" x14ac:dyDescent="0.35">
      <c r="A3385" t="s">
        <v>2856</v>
      </c>
      <c r="B3385" t="s">
        <v>2865</v>
      </c>
      <c r="C3385" t="s">
        <v>1364</v>
      </c>
      <c r="D3385" t="s">
        <v>2904</v>
      </c>
      <c r="E3385">
        <v>0</v>
      </c>
      <c r="F3385" s="11">
        <v>0</v>
      </c>
    </row>
    <row r="3386" spans="1:6" x14ac:dyDescent="0.35">
      <c r="A3386" t="s">
        <v>2856</v>
      </c>
      <c r="B3386" t="s">
        <v>2865</v>
      </c>
      <c r="C3386" t="s">
        <v>1364</v>
      </c>
      <c r="D3386" t="s">
        <v>2905</v>
      </c>
      <c r="E3386">
        <v>0</v>
      </c>
      <c r="F3386" s="11">
        <v>0</v>
      </c>
    </row>
    <row r="3387" spans="1:6" x14ac:dyDescent="0.35">
      <c r="A3387" t="s">
        <v>2856</v>
      </c>
      <c r="B3387" t="s">
        <v>2865</v>
      </c>
      <c r="C3387" t="s">
        <v>1364</v>
      </c>
      <c r="D3387" t="s">
        <v>2906</v>
      </c>
      <c r="E3387">
        <v>0</v>
      </c>
      <c r="F3387" s="11">
        <v>0</v>
      </c>
    </row>
    <row r="3388" spans="1:6" x14ac:dyDescent="0.35">
      <c r="A3388" t="s">
        <v>2856</v>
      </c>
      <c r="B3388" t="s">
        <v>2865</v>
      </c>
      <c r="C3388" t="s">
        <v>1364</v>
      </c>
      <c r="D3388" t="s">
        <v>2907</v>
      </c>
      <c r="E3388">
        <v>0</v>
      </c>
      <c r="F3388" s="11">
        <v>1</v>
      </c>
    </row>
    <row r="3389" spans="1:6" x14ac:dyDescent="0.35">
      <c r="A3389" t="s">
        <v>2856</v>
      </c>
      <c r="B3389" t="s">
        <v>2865</v>
      </c>
      <c r="C3389" t="s">
        <v>1364</v>
      </c>
      <c r="D3389" t="s">
        <v>2908</v>
      </c>
      <c r="E3389">
        <v>0</v>
      </c>
      <c r="F3389" s="11">
        <v>0</v>
      </c>
    </row>
    <row r="3390" spans="1:6" x14ac:dyDescent="0.35">
      <c r="A3390" t="s">
        <v>2856</v>
      </c>
      <c r="B3390" t="s">
        <v>2865</v>
      </c>
      <c r="C3390" t="s">
        <v>1364</v>
      </c>
      <c r="D3390" t="s">
        <v>2909</v>
      </c>
      <c r="E3390">
        <v>0</v>
      </c>
      <c r="F3390" s="11">
        <v>0</v>
      </c>
    </row>
    <row r="3391" spans="1:6" x14ac:dyDescent="0.35">
      <c r="A3391" t="s">
        <v>2856</v>
      </c>
      <c r="B3391" t="s">
        <v>2865</v>
      </c>
      <c r="C3391" t="s">
        <v>1364</v>
      </c>
      <c r="D3391" t="s">
        <v>2910</v>
      </c>
      <c r="E3391">
        <v>0</v>
      </c>
      <c r="F3391" s="11">
        <v>0</v>
      </c>
    </row>
    <row r="3392" spans="1:6" x14ac:dyDescent="0.35">
      <c r="A3392" t="s">
        <v>2856</v>
      </c>
      <c r="B3392" t="s">
        <v>2865</v>
      </c>
      <c r="C3392" t="s">
        <v>1364</v>
      </c>
      <c r="D3392" t="s">
        <v>2911</v>
      </c>
      <c r="E3392">
        <v>668718</v>
      </c>
      <c r="F3392" s="11">
        <v>1</v>
      </c>
    </row>
    <row r="3393" spans="1:6" x14ac:dyDescent="0.35">
      <c r="A3393" t="s">
        <v>2856</v>
      </c>
      <c r="B3393" t="s">
        <v>2865</v>
      </c>
      <c r="C3393" t="s">
        <v>1364</v>
      </c>
      <c r="D3393" t="s">
        <v>2912</v>
      </c>
      <c r="E3393">
        <v>244871</v>
      </c>
      <c r="F3393" s="11">
        <v>1</v>
      </c>
    </row>
    <row r="3394" spans="1:6" x14ac:dyDescent="0.35">
      <c r="A3394" t="s">
        <v>2856</v>
      </c>
      <c r="B3394" t="s">
        <v>2865</v>
      </c>
      <c r="C3394" t="s">
        <v>1364</v>
      </c>
      <c r="D3394" t="s">
        <v>2913</v>
      </c>
      <c r="E3394">
        <v>0</v>
      </c>
      <c r="F3394" s="11">
        <v>0</v>
      </c>
    </row>
    <row r="3395" spans="1:6" x14ac:dyDescent="0.35">
      <c r="A3395" t="s">
        <v>2856</v>
      </c>
      <c r="B3395" t="s">
        <v>2865</v>
      </c>
      <c r="C3395" t="s">
        <v>1364</v>
      </c>
      <c r="D3395" t="s">
        <v>2914</v>
      </c>
      <c r="E3395">
        <v>0</v>
      </c>
      <c r="F3395" s="11">
        <v>0</v>
      </c>
    </row>
    <row r="3396" spans="1:6" x14ac:dyDescent="0.35">
      <c r="A3396" t="s">
        <v>2856</v>
      </c>
      <c r="B3396" t="s">
        <v>2865</v>
      </c>
      <c r="C3396" t="s">
        <v>1364</v>
      </c>
      <c r="D3396" t="s">
        <v>2915</v>
      </c>
      <c r="E3396">
        <v>0</v>
      </c>
      <c r="F3396" s="11">
        <v>0</v>
      </c>
    </row>
    <row r="3397" spans="1:6" x14ac:dyDescent="0.35">
      <c r="A3397" t="s">
        <v>2856</v>
      </c>
      <c r="B3397" t="s">
        <v>2865</v>
      </c>
      <c r="C3397" t="s">
        <v>1364</v>
      </c>
      <c r="D3397" t="s">
        <v>2916</v>
      </c>
      <c r="E3397">
        <v>30647</v>
      </c>
      <c r="F3397" s="11">
        <v>1</v>
      </c>
    </row>
    <row r="3398" spans="1:6" x14ac:dyDescent="0.35">
      <c r="A3398" t="s">
        <v>2856</v>
      </c>
      <c r="B3398" t="s">
        <v>2865</v>
      </c>
      <c r="C3398" t="s">
        <v>1364</v>
      </c>
      <c r="D3398" t="s">
        <v>2917</v>
      </c>
      <c r="E3398">
        <v>0</v>
      </c>
      <c r="F3398" s="11">
        <v>0</v>
      </c>
    </row>
    <row r="3399" spans="1:6" x14ac:dyDescent="0.35">
      <c r="A3399" t="s">
        <v>2856</v>
      </c>
      <c r="B3399" t="s">
        <v>2865</v>
      </c>
      <c r="C3399" t="s">
        <v>1461</v>
      </c>
      <c r="D3399" t="s">
        <v>2875</v>
      </c>
      <c r="E3399">
        <v>62798</v>
      </c>
      <c r="F3399" s="11">
        <v>1</v>
      </c>
    </row>
    <row r="3400" spans="1:6" x14ac:dyDescent="0.35">
      <c r="A3400" t="s">
        <v>2856</v>
      </c>
      <c r="B3400" t="s">
        <v>2865</v>
      </c>
      <c r="C3400" t="s">
        <v>1461</v>
      </c>
      <c r="D3400" t="s">
        <v>2876</v>
      </c>
      <c r="E3400">
        <v>21323</v>
      </c>
      <c r="F3400" s="11">
        <v>1</v>
      </c>
    </row>
    <row r="3401" spans="1:6" x14ac:dyDescent="0.35">
      <c r="A3401" t="s">
        <v>2856</v>
      </c>
      <c r="B3401" t="s">
        <v>2865</v>
      </c>
      <c r="C3401" t="s">
        <v>1461</v>
      </c>
      <c r="D3401" t="s">
        <v>2877</v>
      </c>
      <c r="E3401">
        <v>40343</v>
      </c>
      <c r="F3401" s="11">
        <v>0</v>
      </c>
    </row>
    <row r="3402" spans="1:6" x14ac:dyDescent="0.35">
      <c r="A3402" t="s">
        <v>2856</v>
      </c>
      <c r="B3402" t="s">
        <v>2865</v>
      </c>
      <c r="C3402" t="s">
        <v>1461</v>
      </c>
      <c r="D3402" t="s">
        <v>2878</v>
      </c>
      <c r="E3402">
        <v>1132</v>
      </c>
      <c r="F3402" s="11">
        <v>1</v>
      </c>
    </row>
    <row r="3403" spans="1:6" x14ac:dyDescent="0.35">
      <c r="A3403" t="s">
        <v>2856</v>
      </c>
      <c r="B3403" t="s">
        <v>2865</v>
      </c>
      <c r="C3403" t="s">
        <v>1461</v>
      </c>
      <c r="D3403" t="s">
        <v>2879</v>
      </c>
      <c r="E3403">
        <v>2727</v>
      </c>
      <c r="F3403" s="11">
        <v>1</v>
      </c>
    </row>
    <row r="3404" spans="1:6" x14ac:dyDescent="0.35">
      <c r="A3404" t="s">
        <v>2856</v>
      </c>
      <c r="B3404" t="s">
        <v>2865</v>
      </c>
      <c r="C3404" t="s">
        <v>1461</v>
      </c>
      <c r="D3404" t="s">
        <v>2880</v>
      </c>
      <c r="E3404">
        <v>1216</v>
      </c>
      <c r="F3404" s="11">
        <v>1</v>
      </c>
    </row>
    <row r="3405" spans="1:6" x14ac:dyDescent="0.35">
      <c r="A3405" t="s">
        <v>2856</v>
      </c>
      <c r="B3405" t="s">
        <v>2865</v>
      </c>
      <c r="C3405" t="s">
        <v>1461</v>
      </c>
      <c r="D3405" t="s">
        <v>2881</v>
      </c>
      <c r="E3405">
        <v>1484</v>
      </c>
      <c r="F3405" s="11">
        <v>0</v>
      </c>
    </row>
    <row r="3406" spans="1:6" x14ac:dyDescent="0.35">
      <c r="A3406" t="s">
        <v>2856</v>
      </c>
      <c r="B3406" t="s">
        <v>2865</v>
      </c>
      <c r="C3406" t="s">
        <v>1461</v>
      </c>
      <c r="D3406" t="s">
        <v>2882</v>
      </c>
      <c r="E3406">
        <v>0</v>
      </c>
      <c r="F3406" s="11">
        <v>1</v>
      </c>
    </row>
    <row r="3407" spans="1:6" x14ac:dyDescent="0.35">
      <c r="A3407" t="s">
        <v>2856</v>
      </c>
      <c r="B3407" t="s">
        <v>2865</v>
      </c>
      <c r="C3407" t="s">
        <v>1461</v>
      </c>
      <c r="D3407" t="s">
        <v>2883</v>
      </c>
      <c r="E3407">
        <v>0</v>
      </c>
      <c r="F3407" s="11">
        <v>0</v>
      </c>
    </row>
    <row r="3408" spans="1:6" x14ac:dyDescent="0.35">
      <c r="A3408" t="s">
        <v>2856</v>
      </c>
      <c r="B3408" t="s">
        <v>2865</v>
      </c>
      <c r="C3408" t="s">
        <v>1461</v>
      </c>
      <c r="D3408" t="s">
        <v>2884</v>
      </c>
      <c r="E3408">
        <v>0</v>
      </c>
      <c r="F3408" s="11">
        <v>0</v>
      </c>
    </row>
    <row r="3409" spans="1:6" x14ac:dyDescent="0.35">
      <c r="A3409" t="s">
        <v>2856</v>
      </c>
      <c r="B3409" t="s">
        <v>2865</v>
      </c>
      <c r="C3409" t="s">
        <v>1461</v>
      </c>
      <c r="D3409" t="s">
        <v>2885</v>
      </c>
      <c r="E3409">
        <v>0</v>
      </c>
      <c r="F3409" s="11">
        <v>0</v>
      </c>
    </row>
    <row r="3410" spans="1:6" x14ac:dyDescent="0.35">
      <c r="A3410" t="s">
        <v>2856</v>
      </c>
      <c r="B3410" t="s">
        <v>2865</v>
      </c>
      <c r="C3410" t="s">
        <v>1461</v>
      </c>
      <c r="D3410" t="s">
        <v>2886</v>
      </c>
      <c r="E3410">
        <v>0</v>
      </c>
      <c r="F3410" s="11">
        <v>0</v>
      </c>
    </row>
    <row r="3411" spans="1:6" x14ac:dyDescent="0.35">
      <c r="A3411" t="s">
        <v>2856</v>
      </c>
      <c r="B3411" t="s">
        <v>2865</v>
      </c>
      <c r="C3411" t="s">
        <v>1461</v>
      </c>
      <c r="D3411" t="s">
        <v>2887</v>
      </c>
      <c r="E3411">
        <v>53088</v>
      </c>
      <c r="F3411" s="11">
        <v>1</v>
      </c>
    </row>
    <row r="3412" spans="1:6" x14ac:dyDescent="0.35">
      <c r="A3412" t="s">
        <v>2856</v>
      </c>
      <c r="B3412" t="s">
        <v>2865</v>
      </c>
      <c r="C3412" t="s">
        <v>1461</v>
      </c>
      <c r="D3412" t="s">
        <v>2888</v>
      </c>
      <c r="E3412">
        <v>29802</v>
      </c>
      <c r="F3412" s="11">
        <v>1</v>
      </c>
    </row>
    <row r="3413" spans="1:6" x14ac:dyDescent="0.35">
      <c r="A3413" t="s">
        <v>2856</v>
      </c>
      <c r="B3413" t="s">
        <v>2865</v>
      </c>
      <c r="C3413" t="s">
        <v>1461</v>
      </c>
      <c r="D3413" t="s">
        <v>2889</v>
      </c>
      <c r="E3413">
        <v>23148</v>
      </c>
      <c r="F3413" s="11">
        <v>0</v>
      </c>
    </row>
    <row r="3414" spans="1:6" x14ac:dyDescent="0.35">
      <c r="A3414" t="s">
        <v>2856</v>
      </c>
      <c r="B3414" t="s">
        <v>2865</v>
      </c>
      <c r="C3414" t="s">
        <v>1461</v>
      </c>
      <c r="D3414" t="s">
        <v>2890</v>
      </c>
      <c r="E3414">
        <v>0</v>
      </c>
      <c r="F3414" s="11">
        <v>1</v>
      </c>
    </row>
    <row r="3415" spans="1:6" x14ac:dyDescent="0.35">
      <c r="A3415" t="s">
        <v>2856</v>
      </c>
      <c r="B3415" t="s">
        <v>2865</v>
      </c>
      <c r="C3415" t="s">
        <v>1461</v>
      </c>
      <c r="D3415" t="s">
        <v>2891</v>
      </c>
      <c r="E3415">
        <v>0</v>
      </c>
      <c r="F3415" s="11">
        <v>0</v>
      </c>
    </row>
    <row r="3416" spans="1:6" x14ac:dyDescent="0.35">
      <c r="A3416" t="s">
        <v>2856</v>
      </c>
      <c r="B3416" t="s">
        <v>2865</v>
      </c>
      <c r="C3416" t="s">
        <v>1461</v>
      </c>
      <c r="D3416" t="s">
        <v>2892</v>
      </c>
      <c r="E3416">
        <v>0</v>
      </c>
      <c r="F3416" s="11">
        <v>0</v>
      </c>
    </row>
    <row r="3417" spans="1:6" x14ac:dyDescent="0.35">
      <c r="A3417" t="s">
        <v>2856</v>
      </c>
      <c r="B3417" t="s">
        <v>2865</v>
      </c>
      <c r="C3417" t="s">
        <v>1461</v>
      </c>
      <c r="D3417" t="s">
        <v>2893</v>
      </c>
      <c r="E3417">
        <v>0</v>
      </c>
      <c r="F3417" s="11">
        <v>0</v>
      </c>
    </row>
    <row r="3418" spans="1:6" x14ac:dyDescent="0.35">
      <c r="A3418" t="s">
        <v>2856</v>
      </c>
      <c r="B3418" t="s">
        <v>2865</v>
      </c>
      <c r="C3418" t="s">
        <v>1461</v>
      </c>
      <c r="D3418" t="s">
        <v>2894</v>
      </c>
      <c r="E3418">
        <v>0</v>
      </c>
      <c r="F3418" s="11">
        <v>0</v>
      </c>
    </row>
    <row r="3419" spans="1:6" x14ac:dyDescent="0.35">
      <c r="A3419" t="s">
        <v>2856</v>
      </c>
      <c r="B3419" t="s">
        <v>2865</v>
      </c>
      <c r="C3419" t="s">
        <v>1461</v>
      </c>
      <c r="D3419" t="s">
        <v>2895</v>
      </c>
      <c r="E3419">
        <v>898172</v>
      </c>
      <c r="F3419" s="11">
        <v>1</v>
      </c>
    </row>
    <row r="3420" spans="1:6" x14ac:dyDescent="0.35">
      <c r="A3420" t="s">
        <v>2856</v>
      </c>
      <c r="B3420" t="s">
        <v>2865</v>
      </c>
      <c r="C3420" t="s">
        <v>1461</v>
      </c>
      <c r="D3420" t="s">
        <v>2896</v>
      </c>
      <c r="E3420">
        <v>465503</v>
      </c>
      <c r="F3420" s="11">
        <v>1</v>
      </c>
    </row>
    <row r="3421" spans="1:6" x14ac:dyDescent="0.35">
      <c r="A3421" t="s">
        <v>2856</v>
      </c>
      <c r="B3421" t="s">
        <v>2865</v>
      </c>
      <c r="C3421" t="s">
        <v>1461</v>
      </c>
      <c r="D3421" t="s">
        <v>2897</v>
      </c>
      <c r="E3421">
        <v>426300</v>
      </c>
      <c r="F3421" s="11">
        <v>1</v>
      </c>
    </row>
    <row r="3422" spans="1:6" x14ac:dyDescent="0.35">
      <c r="A3422" t="s">
        <v>2856</v>
      </c>
      <c r="B3422" t="s">
        <v>2865</v>
      </c>
      <c r="C3422" t="s">
        <v>1461</v>
      </c>
      <c r="D3422" t="s">
        <v>2898</v>
      </c>
      <c r="E3422">
        <v>6369</v>
      </c>
      <c r="F3422" s="11">
        <v>1</v>
      </c>
    </row>
    <row r="3423" spans="1:6" x14ac:dyDescent="0.35">
      <c r="A3423" t="s">
        <v>2856</v>
      </c>
      <c r="B3423" t="s">
        <v>2865</v>
      </c>
      <c r="C3423" t="s">
        <v>1461</v>
      </c>
      <c r="D3423" t="s">
        <v>2899</v>
      </c>
      <c r="E3423">
        <v>8434</v>
      </c>
      <c r="F3423" s="11">
        <v>1</v>
      </c>
    </row>
    <row r="3424" spans="1:6" x14ac:dyDescent="0.35">
      <c r="A3424" t="s">
        <v>2856</v>
      </c>
      <c r="B3424" t="s">
        <v>2865</v>
      </c>
      <c r="C3424" t="s">
        <v>1461</v>
      </c>
      <c r="D3424" t="s">
        <v>2900</v>
      </c>
      <c r="E3424">
        <v>7273</v>
      </c>
      <c r="F3424" s="11">
        <v>1</v>
      </c>
    </row>
    <row r="3425" spans="1:6" x14ac:dyDescent="0.35">
      <c r="A3425" t="s">
        <v>2856</v>
      </c>
      <c r="B3425" t="s">
        <v>2865</v>
      </c>
      <c r="C3425" t="s">
        <v>1461</v>
      </c>
      <c r="D3425" t="s">
        <v>2901</v>
      </c>
      <c r="E3425">
        <v>1161</v>
      </c>
      <c r="F3425" s="11">
        <v>0</v>
      </c>
    </row>
    <row r="3426" spans="1:6" x14ac:dyDescent="0.35">
      <c r="A3426" t="s">
        <v>2856</v>
      </c>
      <c r="B3426" t="s">
        <v>2865</v>
      </c>
      <c r="C3426" t="s">
        <v>1461</v>
      </c>
      <c r="D3426" t="s">
        <v>2902</v>
      </c>
      <c r="E3426">
        <v>0</v>
      </c>
      <c r="F3426" s="11">
        <v>1</v>
      </c>
    </row>
    <row r="3427" spans="1:6" x14ac:dyDescent="0.35">
      <c r="A3427" t="s">
        <v>2856</v>
      </c>
      <c r="B3427" t="s">
        <v>2865</v>
      </c>
      <c r="C3427" t="s">
        <v>1461</v>
      </c>
      <c r="D3427" t="s">
        <v>2903</v>
      </c>
      <c r="E3427">
        <v>46382</v>
      </c>
      <c r="F3427" s="11">
        <v>1</v>
      </c>
    </row>
    <row r="3428" spans="1:6" x14ac:dyDescent="0.35">
      <c r="A3428" t="s">
        <v>2856</v>
      </c>
      <c r="B3428" t="s">
        <v>2865</v>
      </c>
      <c r="C3428" t="s">
        <v>1461</v>
      </c>
      <c r="D3428" t="s">
        <v>2904</v>
      </c>
      <c r="E3428">
        <v>41775</v>
      </c>
      <c r="F3428" s="11">
        <v>1</v>
      </c>
    </row>
    <row r="3429" spans="1:6" x14ac:dyDescent="0.35">
      <c r="A3429" t="s">
        <v>2856</v>
      </c>
      <c r="B3429" t="s">
        <v>2865</v>
      </c>
      <c r="C3429" t="s">
        <v>1461</v>
      </c>
      <c r="D3429" t="s">
        <v>2905</v>
      </c>
      <c r="E3429">
        <v>3094</v>
      </c>
      <c r="F3429" s="11">
        <v>1</v>
      </c>
    </row>
    <row r="3430" spans="1:6" x14ac:dyDescent="0.35">
      <c r="A3430" t="s">
        <v>2856</v>
      </c>
      <c r="B3430" t="s">
        <v>2865</v>
      </c>
      <c r="C3430" t="s">
        <v>1461</v>
      </c>
      <c r="D3430" t="s">
        <v>2906</v>
      </c>
      <c r="E3430">
        <v>1713</v>
      </c>
      <c r="F3430" s="11">
        <v>1</v>
      </c>
    </row>
    <row r="3431" spans="1:6" x14ac:dyDescent="0.35">
      <c r="A3431" t="s">
        <v>2856</v>
      </c>
      <c r="B3431" t="s">
        <v>2865</v>
      </c>
      <c r="C3431" t="s">
        <v>1461</v>
      </c>
      <c r="D3431" t="s">
        <v>2907</v>
      </c>
      <c r="E3431">
        <v>35551</v>
      </c>
      <c r="F3431" s="11">
        <v>1</v>
      </c>
    </row>
    <row r="3432" spans="1:6" x14ac:dyDescent="0.35">
      <c r="A3432" t="s">
        <v>2856</v>
      </c>
      <c r="B3432" t="s">
        <v>2865</v>
      </c>
      <c r="C3432" t="s">
        <v>1461</v>
      </c>
      <c r="D3432" t="s">
        <v>2908</v>
      </c>
      <c r="E3432">
        <v>52849</v>
      </c>
      <c r="F3432" s="11">
        <v>1</v>
      </c>
    </row>
    <row r="3433" spans="1:6" x14ac:dyDescent="0.35">
      <c r="A3433" t="s">
        <v>2856</v>
      </c>
      <c r="B3433" t="s">
        <v>2865</v>
      </c>
      <c r="C3433" t="s">
        <v>1461</v>
      </c>
      <c r="D3433" t="s">
        <v>2909</v>
      </c>
      <c r="E3433">
        <v>4734</v>
      </c>
      <c r="F3433" s="11">
        <v>1</v>
      </c>
    </row>
    <row r="3434" spans="1:6" x14ac:dyDescent="0.35">
      <c r="A3434" t="s">
        <v>2856</v>
      </c>
      <c r="B3434" t="s">
        <v>2865</v>
      </c>
      <c r="C3434" t="s">
        <v>1461</v>
      </c>
      <c r="D3434" t="s">
        <v>2910</v>
      </c>
      <c r="E3434">
        <v>968</v>
      </c>
      <c r="F3434" s="11">
        <v>1</v>
      </c>
    </row>
    <row r="3435" spans="1:6" x14ac:dyDescent="0.35">
      <c r="A3435" t="s">
        <v>2856</v>
      </c>
      <c r="B3435" t="s">
        <v>2865</v>
      </c>
      <c r="C3435" t="s">
        <v>1461</v>
      </c>
      <c r="D3435" t="s">
        <v>2911</v>
      </c>
      <c r="E3435">
        <v>300306</v>
      </c>
      <c r="F3435" s="11">
        <v>1</v>
      </c>
    </row>
    <row r="3436" spans="1:6" x14ac:dyDescent="0.35">
      <c r="A3436" t="s">
        <v>2856</v>
      </c>
      <c r="B3436" t="s">
        <v>2865</v>
      </c>
      <c r="C3436" t="s">
        <v>1461</v>
      </c>
      <c r="D3436" t="s">
        <v>2912</v>
      </c>
      <c r="E3436">
        <v>660021</v>
      </c>
      <c r="F3436" s="11">
        <v>1</v>
      </c>
    </row>
    <row r="3437" spans="1:6" x14ac:dyDescent="0.35">
      <c r="A3437" t="s">
        <v>2856</v>
      </c>
      <c r="B3437" t="s">
        <v>2865</v>
      </c>
      <c r="C3437" t="s">
        <v>1461</v>
      </c>
      <c r="D3437" t="s">
        <v>2913</v>
      </c>
      <c r="E3437">
        <v>0</v>
      </c>
      <c r="F3437" s="11">
        <v>0</v>
      </c>
    </row>
    <row r="3438" spans="1:6" x14ac:dyDescent="0.35">
      <c r="A3438" t="s">
        <v>2856</v>
      </c>
      <c r="B3438" t="s">
        <v>2865</v>
      </c>
      <c r="C3438" t="s">
        <v>1461</v>
      </c>
      <c r="D3438" t="s">
        <v>2914</v>
      </c>
      <c r="E3438">
        <v>0</v>
      </c>
      <c r="F3438" s="11">
        <v>0</v>
      </c>
    </row>
    <row r="3439" spans="1:6" x14ac:dyDescent="0.35">
      <c r="A3439" t="s">
        <v>2856</v>
      </c>
      <c r="B3439" t="s">
        <v>2865</v>
      </c>
      <c r="C3439" t="s">
        <v>1461</v>
      </c>
      <c r="D3439" t="s">
        <v>2915</v>
      </c>
      <c r="E3439">
        <v>20292</v>
      </c>
      <c r="F3439" s="11">
        <v>1</v>
      </c>
    </row>
    <row r="3440" spans="1:6" x14ac:dyDescent="0.35">
      <c r="A3440" t="s">
        <v>2856</v>
      </c>
      <c r="B3440" t="s">
        <v>2865</v>
      </c>
      <c r="C3440" t="s">
        <v>1461</v>
      </c>
      <c r="D3440" t="s">
        <v>2916</v>
      </c>
      <c r="E3440">
        <v>75524</v>
      </c>
      <c r="F3440" s="11">
        <v>1</v>
      </c>
    </row>
    <row r="3441" spans="1:6" x14ac:dyDescent="0.35">
      <c r="A3441" t="s">
        <v>2856</v>
      </c>
      <c r="B3441" t="s">
        <v>2865</v>
      </c>
      <c r="C3441" t="s">
        <v>1461</v>
      </c>
      <c r="D3441" t="s">
        <v>2917</v>
      </c>
      <c r="E3441">
        <v>0</v>
      </c>
      <c r="F3441" s="11">
        <v>0</v>
      </c>
    </row>
    <row r="3442" spans="1:6" x14ac:dyDescent="0.35">
      <c r="A3442" t="s">
        <v>2856</v>
      </c>
      <c r="B3442" t="s">
        <v>2863</v>
      </c>
      <c r="C3442" t="s">
        <v>1387</v>
      </c>
      <c r="D3442" t="s">
        <v>2875</v>
      </c>
      <c r="E3442">
        <v>34509</v>
      </c>
      <c r="F3442" s="11">
        <v>1</v>
      </c>
    </row>
    <row r="3443" spans="1:6" x14ac:dyDescent="0.35">
      <c r="A3443" t="s">
        <v>2856</v>
      </c>
      <c r="B3443" t="s">
        <v>2863</v>
      </c>
      <c r="C3443" t="s">
        <v>1387</v>
      </c>
      <c r="D3443" t="s">
        <v>2876</v>
      </c>
      <c r="E3443">
        <v>0</v>
      </c>
      <c r="F3443" s="11">
        <v>0</v>
      </c>
    </row>
    <row r="3444" spans="1:6" x14ac:dyDescent="0.35">
      <c r="A3444" t="s">
        <v>2856</v>
      </c>
      <c r="B3444" t="s">
        <v>2863</v>
      </c>
      <c r="C3444" t="s">
        <v>1387</v>
      </c>
      <c r="D3444" t="s">
        <v>2877</v>
      </c>
      <c r="E3444">
        <v>0</v>
      </c>
      <c r="F3444" s="11">
        <v>0</v>
      </c>
    </row>
    <row r="3445" spans="1:6" x14ac:dyDescent="0.35">
      <c r="A3445" t="s">
        <v>2856</v>
      </c>
      <c r="B3445" t="s">
        <v>2863</v>
      </c>
      <c r="C3445" t="s">
        <v>1387</v>
      </c>
      <c r="D3445" t="s">
        <v>2878</v>
      </c>
      <c r="E3445">
        <v>0</v>
      </c>
      <c r="F3445" s="11">
        <v>0</v>
      </c>
    </row>
    <row r="3446" spans="1:6" x14ac:dyDescent="0.35">
      <c r="A3446" t="s">
        <v>2856</v>
      </c>
      <c r="B3446" t="s">
        <v>2863</v>
      </c>
      <c r="C3446" t="s">
        <v>1387</v>
      </c>
      <c r="D3446" t="s">
        <v>2879</v>
      </c>
      <c r="E3446">
        <v>6299</v>
      </c>
      <c r="F3446" s="11">
        <v>1</v>
      </c>
    </row>
    <row r="3447" spans="1:6" x14ac:dyDescent="0.35">
      <c r="A3447" t="s">
        <v>2856</v>
      </c>
      <c r="B3447" t="s">
        <v>2863</v>
      </c>
      <c r="C3447" t="s">
        <v>1387</v>
      </c>
      <c r="D3447" t="s">
        <v>2880</v>
      </c>
      <c r="E3447">
        <v>3585</v>
      </c>
      <c r="F3447" s="11">
        <v>1</v>
      </c>
    </row>
    <row r="3448" spans="1:6" x14ac:dyDescent="0.35">
      <c r="A3448" t="s">
        <v>2856</v>
      </c>
      <c r="B3448" t="s">
        <v>2863</v>
      </c>
      <c r="C3448" t="s">
        <v>1387</v>
      </c>
      <c r="D3448" t="s">
        <v>2881</v>
      </c>
      <c r="E3448">
        <v>1657</v>
      </c>
      <c r="F3448" s="11">
        <v>1</v>
      </c>
    </row>
    <row r="3449" spans="1:6" x14ac:dyDescent="0.35">
      <c r="A3449" t="s">
        <v>2856</v>
      </c>
      <c r="B3449" t="s">
        <v>2863</v>
      </c>
      <c r="C3449" t="s">
        <v>1387</v>
      </c>
      <c r="D3449" t="s">
        <v>2882</v>
      </c>
      <c r="E3449">
        <v>110</v>
      </c>
      <c r="F3449" s="11">
        <v>1</v>
      </c>
    </row>
    <row r="3450" spans="1:6" x14ac:dyDescent="0.35">
      <c r="A3450" t="s">
        <v>2856</v>
      </c>
      <c r="B3450" t="s">
        <v>2863</v>
      </c>
      <c r="C3450" t="s">
        <v>1387</v>
      </c>
      <c r="D3450" t="s">
        <v>2883</v>
      </c>
      <c r="E3450">
        <v>3</v>
      </c>
      <c r="F3450" s="11">
        <v>0</v>
      </c>
    </row>
    <row r="3451" spans="1:6" x14ac:dyDescent="0.35">
      <c r="A3451" t="s">
        <v>2856</v>
      </c>
      <c r="B3451" t="s">
        <v>2863</v>
      </c>
      <c r="C3451" t="s">
        <v>1387</v>
      </c>
      <c r="D3451" t="s">
        <v>2884</v>
      </c>
      <c r="E3451">
        <v>1</v>
      </c>
      <c r="F3451" s="11">
        <v>0</v>
      </c>
    </row>
    <row r="3452" spans="1:6" x14ac:dyDescent="0.35">
      <c r="A3452" t="s">
        <v>2856</v>
      </c>
      <c r="B3452" t="s">
        <v>2863</v>
      </c>
      <c r="C3452" t="s">
        <v>1387</v>
      </c>
      <c r="D3452" t="s">
        <v>2885</v>
      </c>
      <c r="E3452">
        <v>2</v>
      </c>
      <c r="F3452" s="11">
        <v>0</v>
      </c>
    </row>
    <row r="3453" spans="1:6" x14ac:dyDescent="0.35">
      <c r="A3453" t="s">
        <v>2856</v>
      </c>
      <c r="B3453" t="s">
        <v>2863</v>
      </c>
      <c r="C3453" t="s">
        <v>1387</v>
      </c>
      <c r="D3453" t="s">
        <v>2886</v>
      </c>
      <c r="E3453">
        <v>0</v>
      </c>
      <c r="F3453" s="11">
        <v>0</v>
      </c>
    </row>
    <row r="3454" spans="1:6" x14ac:dyDescent="0.35">
      <c r="A3454" t="s">
        <v>2856</v>
      </c>
      <c r="B3454" t="s">
        <v>2863</v>
      </c>
      <c r="C3454" t="s">
        <v>1387</v>
      </c>
      <c r="D3454" t="s">
        <v>2887</v>
      </c>
      <c r="E3454">
        <v>73800</v>
      </c>
      <c r="F3454" s="11">
        <v>1</v>
      </c>
    </row>
    <row r="3455" spans="1:6" x14ac:dyDescent="0.35">
      <c r="A3455" t="s">
        <v>2856</v>
      </c>
      <c r="B3455" t="s">
        <v>2863</v>
      </c>
      <c r="C3455" t="s">
        <v>1387</v>
      </c>
      <c r="D3455" t="s">
        <v>2888</v>
      </c>
      <c r="E3455">
        <v>48429</v>
      </c>
      <c r="F3455" s="11">
        <v>1</v>
      </c>
    </row>
    <row r="3456" spans="1:6" x14ac:dyDescent="0.35">
      <c r="A3456" t="s">
        <v>2856</v>
      </c>
      <c r="B3456" t="s">
        <v>2863</v>
      </c>
      <c r="C3456" t="s">
        <v>1387</v>
      </c>
      <c r="D3456" t="s">
        <v>2889</v>
      </c>
      <c r="E3456">
        <v>0</v>
      </c>
      <c r="F3456" s="11">
        <v>0</v>
      </c>
    </row>
    <row r="3457" spans="1:6" x14ac:dyDescent="0.35">
      <c r="A3457" t="s">
        <v>2856</v>
      </c>
      <c r="B3457" t="s">
        <v>2863</v>
      </c>
      <c r="C3457" t="s">
        <v>1387</v>
      </c>
      <c r="D3457" t="s">
        <v>2890</v>
      </c>
      <c r="E3457">
        <v>0</v>
      </c>
      <c r="F3457" s="11">
        <v>1</v>
      </c>
    </row>
    <row r="3458" spans="1:6" x14ac:dyDescent="0.35">
      <c r="A3458" t="s">
        <v>2856</v>
      </c>
      <c r="B3458" t="s">
        <v>2863</v>
      </c>
      <c r="C3458" t="s">
        <v>1387</v>
      </c>
      <c r="D3458" t="s">
        <v>2891</v>
      </c>
      <c r="E3458">
        <v>6</v>
      </c>
      <c r="F3458" s="11">
        <v>0</v>
      </c>
    </row>
    <row r="3459" spans="1:6" x14ac:dyDescent="0.35">
      <c r="A3459" t="s">
        <v>2856</v>
      </c>
      <c r="B3459" t="s">
        <v>2863</v>
      </c>
      <c r="C3459" t="s">
        <v>1387</v>
      </c>
      <c r="D3459" t="s">
        <v>2892</v>
      </c>
      <c r="E3459">
        <v>2</v>
      </c>
      <c r="F3459" s="11">
        <v>0</v>
      </c>
    </row>
    <row r="3460" spans="1:6" x14ac:dyDescent="0.35">
      <c r="A3460" t="s">
        <v>2856</v>
      </c>
      <c r="B3460" t="s">
        <v>2863</v>
      </c>
      <c r="C3460" t="s">
        <v>1387</v>
      </c>
      <c r="D3460" t="s">
        <v>2893</v>
      </c>
      <c r="E3460">
        <v>4</v>
      </c>
      <c r="F3460" s="11">
        <v>0</v>
      </c>
    </row>
    <row r="3461" spans="1:6" x14ac:dyDescent="0.35">
      <c r="A3461" t="s">
        <v>2856</v>
      </c>
      <c r="B3461" t="s">
        <v>2863</v>
      </c>
      <c r="C3461" t="s">
        <v>1387</v>
      </c>
      <c r="D3461" t="s">
        <v>2894</v>
      </c>
      <c r="E3461">
        <v>0</v>
      </c>
      <c r="F3461" s="11">
        <v>0</v>
      </c>
    </row>
    <row r="3462" spans="1:6" x14ac:dyDescent="0.35">
      <c r="A3462" t="s">
        <v>2856</v>
      </c>
      <c r="B3462" t="s">
        <v>2863</v>
      </c>
      <c r="C3462" t="s">
        <v>1387</v>
      </c>
      <c r="D3462" t="s">
        <v>2895</v>
      </c>
      <c r="E3462">
        <v>605102</v>
      </c>
      <c r="F3462" s="11">
        <v>1</v>
      </c>
    </row>
    <row r="3463" spans="1:6" x14ac:dyDescent="0.35">
      <c r="A3463" t="s">
        <v>2856</v>
      </c>
      <c r="B3463" t="s">
        <v>2863</v>
      </c>
      <c r="C3463" t="s">
        <v>1387</v>
      </c>
      <c r="D3463" t="s">
        <v>2896</v>
      </c>
      <c r="E3463">
        <v>403824</v>
      </c>
      <c r="F3463" s="11">
        <v>1</v>
      </c>
    </row>
    <row r="3464" spans="1:6" x14ac:dyDescent="0.35">
      <c r="A3464" t="s">
        <v>2856</v>
      </c>
      <c r="B3464" t="s">
        <v>2863</v>
      </c>
      <c r="C3464" t="s">
        <v>1387</v>
      </c>
      <c r="D3464" t="s">
        <v>2897</v>
      </c>
      <c r="E3464">
        <v>184081</v>
      </c>
      <c r="F3464" s="11">
        <v>1</v>
      </c>
    </row>
    <row r="3465" spans="1:6" x14ac:dyDescent="0.35">
      <c r="A3465" t="s">
        <v>2856</v>
      </c>
      <c r="B3465" t="s">
        <v>2863</v>
      </c>
      <c r="C3465" t="s">
        <v>1387</v>
      </c>
      <c r="D3465" t="s">
        <v>2898</v>
      </c>
      <c r="E3465">
        <v>17197</v>
      </c>
      <c r="F3465" s="11">
        <v>1</v>
      </c>
    </row>
    <row r="3466" spans="1:6" x14ac:dyDescent="0.35">
      <c r="A3466" t="s">
        <v>2856</v>
      </c>
      <c r="B3466" t="s">
        <v>2863</v>
      </c>
      <c r="C3466" t="s">
        <v>1387</v>
      </c>
      <c r="D3466" t="s">
        <v>2899</v>
      </c>
      <c r="E3466">
        <v>8076</v>
      </c>
      <c r="F3466" s="11">
        <v>1</v>
      </c>
    </row>
    <row r="3467" spans="1:6" x14ac:dyDescent="0.35">
      <c r="A3467" t="s">
        <v>2856</v>
      </c>
      <c r="B3467" t="s">
        <v>2863</v>
      </c>
      <c r="C3467" t="s">
        <v>1387</v>
      </c>
      <c r="D3467" t="s">
        <v>2900</v>
      </c>
      <c r="E3467">
        <v>6735</v>
      </c>
      <c r="F3467" s="11">
        <v>1</v>
      </c>
    </row>
    <row r="3468" spans="1:6" x14ac:dyDescent="0.35">
      <c r="A3468" t="s">
        <v>2856</v>
      </c>
      <c r="B3468" t="s">
        <v>2863</v>
      </c>
      <c r="C3468" t="s">
        <v>1387</v>
      </c>
      <c r="D3468" t="s">
        <v>2901</v>
      </c>
      <c r="E3468">
        <v>1341</v>
      </c>
      <c r="F3468" s="11">
        <v>0</v>
      </c>
    </row>
    <row r="3469" spans="1:6" x14ac:dyDescent="0.35">
      <c r="A3469" t="s">
        <v>2856</v>
      </c>
      <c r="B3469" t="s">
        <v>2863</v>
      </c>
      <c r="C3469" t="s">
        <v>1387</v>
      </c>
      <c r="D3469" t="s">
        <v>2902</v>
      </c>
      <c r="E3469">
        <v>0</v>
      </c>
      <c r="F3469" s="11">
        <v>1</v>
      </c>
    </row>
    <row r="3470" spans="1:6" x14ac:dyDescent="0.35">
      <c r="A3470" t="s">
        <v>2856</v>
      </c>
      <c r="B3470" t="s">
        <v>2863</v>
      </c>
      <c r="C3470" t="s">
        <v>1387</v>
      </c>
      <c r="D3470" t="s">
        <v>2903</v>
      </c>
      <c r="E3470">
        <v>46719</v>
      </c>
      <c r="F3470" s="11">
        <v>1</v>
      </c>
    </row>
    <row r="3471" spans="1:6" x14ac:dyDescent="0.35">
      <c r="A3471" t="s">
        <v>2856</v>
      </c>
      <c r="B3471" t="s">
        <v>2863</v>
      </c>
      <c r="C3471" t="s">
        <v>1387</v>
      </c>
      <c r="D3471" t="s">
        <v>2904</v>
      </c>
      <c r="E3471">
        <v>0</v>
      </c>
      <c r="F3471" s="11">
        <v>0</v>
      </c>
    </row>
    <row r="3472" spans="1:6" x14ac:dyDescent="0.35">
      <c r="A3472" t="s">
        <v>2856</v>
      </c>
      <c r="B3472" t="s">
        <v>2863</v>
      </c>
      <c r="C3472" t="s">
        <v>1387</v>
      </c>
      <c r="D3472" t="s">
        <v>2905</v>
      </c>
      <c r="E3472">
        <v>0</v>
      </c>
      <c r="F3472" s="11">
        <v>0</v>
      </c>
    </row>
    <row r="3473" spans="1:6" x14ac:dyDescent="0.35">
      <c r="A3473" t="s">
        <v>2856</v>
      </c>
      <c r="B3473" t="s">
        <v>2863</v>
      </c>
      <c r="C3473" t="s">
        <v>1387</v>
      </c>
      <c r="D3473" t="s">
        <v>2906</v>
      </c>
      <c r="E3473">
        <v>0</v>
      </c>
      <c r="F3473" s="11">
        <v>0</v>
      </c>
    </row>
    <row r="3474" spans="1:6" x14ac:dyDescent="0.35">
      <c r="A3474" t="s">
        <v>2856</v>
      </c>
      <c r="B3474" t="s">
        <v>2863</v>
      </c>
      <c r="C3474" t="s">
        <v>1387</v>
      </c>
      <c r="D3474" t="s">
        <v>2907</v>
      </c>
      <c r="E3474">
        <v>32795</v>
      </c>
      <c r="F3474" s="11">
        <v>1</v>
      </c>
    </row>
    <row r="3475" spans="1:6" x14ac:dyDescent="0.35">
      <c r="A3475" t="s">
        <v>2856</v>
      </c>
      <c r="B3475" t="s">
        <v>2863</v>
      </c>
      <c r="C3475" t="s">
        <v>1387</v>
      </c>
      <c r="D3475" t="s">
        <v>2908</v>
      </c>
      <c r="E3475">
        <v>0</v>
      </c>
      <c r="F3475" s="11">
        <v>0</v>
      </c>
    </row>
    <row r="3476" spans="1:6" x14ac:dyDescent="0.35">
      <c r="A3476" t="s">
        <v>2856</v>
      </c>
      <c r="B3476" t="s">
        <v>2863</v>
      </c>
      <c r="C3476" t="s">
        <v>1387</v>
      </c>
      <c r="D3476" t="s">
        <v>2909</v>
      </c>
      <c r="E3476">
        <v>0</v>
      </c>
      <c r="F3476" s="11">
        <v>0</v>
      </c>
    </row>
    <row r="3477" spans="1:6" x14ac:dyDescent="0.35">
      <c r="A3477" t="s">
        <v>2856</v>
      </c>
      <c r="B3477" t="s">
        <v>2863</v>
      </c>
      <c r="C3477" t="s">
        <v>1387</v>
      </c>
      <c r="D3477" t="s">
        <v>2910</v>
      </c>
      <c r="E3477">
        <v>0</v>
      </c>
      <c r="F3477" s="11">
        <v>0</v>
      </c>
    </row>
    <row r="3478" spans="1:6" x14ac:dyDescent="0.35">
      <c r="A3478" t="s">
        <v>2856</v>
      </c>
      <c r="B3478" t="s">
        <v>2863</v>
      </c>
      <c r="C3478" t="s">
        <v>1387</v>
      </c>
      <c r="D3478" t="s">
        <v>2911</v>
      </c>
      <c r="E3478">
        <v>451513</v>
      </c>
      <c r="F3478" s="11">
        <v>1</v>
      </c>
    </row>
    <row r="3479" spans="1:6" x14ac:dyDescent="0.35">
      <c r="A3479" t="s">
        <v>2856</v>
      </c>
      <c r="B3479" t="s">
        <v>2863</v>
      </c>
      <c r="C3479" t="s">
        <v>1387</v>
      </c>
      <c r="D3479" t="s">
        <v>2912</v>
      </c>
      <c r="E3479">
        <v>177004</v>
      </c>
      <c r="F3479" s="11">
        <v>1</v>
      </c>
    </row>
    <row r="3480" spans="1:6" x14ac:dyDescent="0.35">
      <c r="A3480" t="s">
        <v>2856</v>
      </c>
      <c r="B3480" t="s">
        <v>2863</v>
      </c>
      <c r="C3480" t="s">
        <v>1387</v>
      </c>
      <c r="D3480" t="s">
        <v>2913</v>
      </c>
      <c r="E3480">
        <v>0</v>
      </c>
      <c r="F3480" s="11">
        <v>0</v>
      </c>
    </row>
    <row r="3481" spans="1:6" x14ac:dyDescent="0.35">
      <c r="A3481" t="s">
        <v>2856</v>
      </c>
      <c r="B3481" t="s">
        <v>2863</v>
      </c>
      <c r="C3481" t="s">
        <v>1387</v>
      </c>
      <c r="D3481" t="s">
        <v>2914</v>
      </c>
      <c r="E3481">
        <v>23088</v>
      </c>
      <c r="F3481" s="11">
        <v>1</v>
      </c>
    </row>
    <row r="3482" spans="1:6" x14ac:dyDescent="0.35">
      <c r="A3482" t="s">
        <v>2856</v>
      </c>
      <c r="B3482" t="s">
        <v>2863</v>
      </c>
      <c r="C3482" t="s">
        <v>1387</v>
      </c>
      <c r="D3482" t="s">
        <v>2915</v>
      </c>
      <c r="E3482">
        <v>1416</v>
      </c>
      <c r="F3482" s="11">
        <v>1</v>
      </c>
    </row>
    <row r="3483" spans="1:6" x14ac:dyDescent="0.35">
      <c r="A3483" t="s">
        <v>2856</v>
      </c>
      <c r="B3483" t="s">
        <v>2863</v>
      </c>
      <c r="C3483" t="s">
        <v>1387</v>
      </c>
      <c r="D3483" t="s">
        <v>2916</v>
      </c>
      <c r="E3483">
        <v>25456</v>
      </c>
      <c r="F3483" s="11">
        <v>1</v>
      </c>
    </row>
    <row r="3484" spans="1:6" x14ac:dyDescent="0.35">
      <c r="A3484" t="s">
        <v>2856</v>
      </c>
      <c r="B3484" t="s">
        <v>2863</v>
      </c>
      <c r="C3484" t="s">
        <v>1387</v>
      </c>
      <c r="D3484" t="s">
        <v>2917</v>
      </c>
      <c r="E3484">
        <v>0</v>
      </c>
      <c r="F3484" s="11">
        <v>0</v>
      </c>
    </row>
    <row r="3485" spans="1:6" x14ac:dyDescent="0.35">
      <c r="A3485" t="s">
        <v>2856</v>
      </c>
      <c r="B3485" t="s">
        <v>2864</v>
      </c>
      <c r="C3485" t="s">
        <v>1404</v>
      </c>
      <c r="D3485" t="s">
        <v>2875</v>
      </c>
      <c r="E3485">
        <v>41159</v>
      </c>
      <c r="F3485" s="11">
        <v>1</v>
      </c>
    </row>
    <row r="3486" spans="1:6" x14ac:dyDescent="0.35">
      <c r="A3486" t="s">
        <v>2856</v>
      </c>
      <c r="B3486" t="s">
        <v>2864</v>
      </c>
      <c r="C3486" t="s">
        <v>1404</v>
      </c>
      <c r="D3486" t="s">
        <v>2876</v>
      </c>
      <c r="E3486">
        <v>14515</v>
      </c>
      <c r="F3486" s="11">
        <v>1</v>
      </c>
    </row>
    <row r="3487" spans="1:6" x14ac:dyDescent="0.35">
      <c r="A3487" t="s">
        <v>2856</v>
      </c>
      <c r="B3487" t="s">
        <v>2864</v>
      </c>
      <c r="C3487" t="s">
        <v>1404</v>
      </c>
      <c r="D3487" t="s">
        <v>2877</v>
      </c>
      <c r="E3487">
        <v>24599</v>
      </c>
      <c r="F3487" s="11">
        <v>1</v>
      </c>
    </row>
    <row r="3488" spans="1:6" x14ac:dyDescent="0.35">
      <c r="A3488" t="s">
        <v>2856</v>
      </c>
      <c r="B3488" t="s">
        <v>2864</v>
      </c>
      <c r="C3488" t="s">
        <v>1404</v>
      </c>
      <c r="D3488" t="s">
        <v>2878</v>
      </c>
      <c r="E3488">
        <v>2045</v>
      </c>
      <c r="F3488" s="11">
        <v>1</v>
      </c>
    </row>
    <row r="3489" spans="1:6" x14ac:dyDescent="0.35">
      <c r="A3489" t="s">
        <v>2856</v>
      </c>
      <c r="B3489" t="s">
        <v>2864</v>
      </c>
      <c r="C3489" t="s">
        <v>1404</v>
      </c>
      <c r="D3489" t="s">
        <v>2879</v>
      </c>
      <c r="E3489">
        <v>3711</v>
      </c>
      <c r="F3489" s="11">
        <v>1</v>
      </c>
    </row>
    <row r="3490" spans="1:6" x14ac:dyDescent="0.35">
      <c r="A3490" t="s">
        <v>2856</v>
      </c>
      <c r="B3490" t="s">
        <v>2864</v>
      </c>
      <c r="C3490" t="s">
        <v>1404</v>
      </c>
      <c r="D3490" t="s">
        <v>2880</v>
      </c>
      <c r="E3490">
        <v>1084</v>
      </c>
      <c r="F3490" s="11">
        <v>1</v>
      </c>
    </row>
    <row r="3491" spans="1:6" x14ac:dyDescent="0.35">
      <c r="A3491" t="s">
        <v>2856</v>
      </c>
      <c r="B3491" t="s">
        <v>2864</v>
      </c>
      <c r="C3491" t="s">
        <v>1404</v>
      </c>
      <c r="D3491" t="s">
        <v>2881</v>
      </c>
      <c r="E3491">
        <v>2618</v>
      </c>
      <c r="F3491" s="11">
        <v>1</v>
      </c>
    </row>
    <row r="3492" spans="1:6" x14ac:dyDescent="0.35">
      <c r="A3492" t="s">
        <v>2856</v>
      </c>
      <c r="B3492" t="s">
        <v>2864</v>
      </c>
      <c r="C3492" t="s">
        <v>1404</v>
      </c>
      <c r="D3492" t="s">
        <v>2882</v>
      </c>
      <c r="E3492">
        <v>9</v>
      </c>
      <c r="F3492" s="11">
        <v>1</v>
      </c>
    </row>
    <row r="3493" spans="1:6" x14ac:dyDescent="0.35">
      <c r="A3493" t="s">
        <v>2856</v>
      </c>
      <c r="B3493" t="s">
        <v>2864</v>
      </c>
      <c r="C3493" t="s">
        <v>1404</v>
      </c>
      <c r="D3493" t="s">
        <v>2883</v>
      </c>
      <c r="E3493">
        <v>0</v>
      </c>
      <c r="F3493" s="11">
        <v>0</v>
      </c>
    </row>
    <row r="3494" spans="1:6" x14ac:dyDescent="0.35">
      <c r="A3494" t="s">
        <v>2856</v>
      </c>
      <c r="B3494" t="s">
        <v>2864</v>
      </c>
      <c r="C3494" t="s">
        <v>1404</v>
      </c>
      <c r="D3494" t="s">
        <v>2884</v>
      </c>
      <c r="E3494">
        <v>0</v>
      </c>
      <c r="F3494" s="11">
        <v>0</v>
      </c>
    </row>
    <row r="3495" spans="1:6" x14ac:dyDescent="0.35">
      <c r="A3495" t="s">
        <v>2856</v>
      </c>
      <c r="B3495" t="s">
        <v>2864</v>
      </c>
      <c r="C3495" t="s">
        <v>1404</v>
      </c>
      <c r="D3495" t="s">
        <v>2885</v>
      </c>
      <c r="E3495">
        <v>0</v>
      </c>
      <c r="F3495" s="11">
        <v>0</v>
      </c>
    </row>
    <row r="3496" spans="1:6" x14ac:dyDescent="0.35">
      <c r="A3496" t="s">
        <v>2856</v>
      </c>
      <c r="B3496" t="s">
        <v>2864</v>
      </c>
      <c r="C3496" t="s">
        <v>1404</v>
      </c>
      <c r="D3496" t="s">
        <v>2886</v>
      </c>
      <c r="E3496">
        <v>0</v>
      </c>
      <c r="F3496" s="11">
        <v>0</v>
      </c>
    </row>
    <row r="3497" spans="1:6" x14ac:dyDescent="0.35">
      <c r="A3497" t="s">
        <v>2856</v>
      </c>
      <c r="B3497" t="s">
        <v>2864</v>
      </c>
      <c r="C3497" t="s">
        <v>1404</v>
      </c>
      <c r="D3497" t="s">
        <v>2887</v>
      </c>
      <c r="E3497">
        <v>74562</v>
      </c>
      <c r="F3497" s="11">
        <v>1</v>
      </c>
    </row>
    <row r="3498" spans="1:6" x14ac:dyDescent="0.35">
      <c r="A3498" t="s">
        <v>2856</v>
      </c>
      <c r="B3498" t="s">
        <v>2864</v>
      </c>
      <c r="C3498" t="s">
        <v>1404</v>
      </c>
      <c r="D3498" t="s">
        <v>2888</v>
      </c>
      <c r="E3498">
        <v>8630</v>
      </c>
      <c r="F3498" s="11">
        <v>1</v>
      </c>
    </row>
    <row r="3499" spans="1:6" x14ac:dyDescent="0.35">
      <c r="A3499" t="s">
        <v>2856</v>
      </c>
      <c r="B3499" t="s">
        <v>2864</v>
      </c>
      <c r="C3499" t="s">
        <v>1404</v>
      </c>
      <c r="D3499" t="s">
        <v>2889</v>
      </c>
      <c r="E3499">
        <v>65891</v>
      </c>
      <c r="F3499" s="11">
        <v>1</v>
      </c>
    </row>
    <row r="3500" spans="1:6" x14ac:dyDescent="0.35">
      <c r="A3500" t="s">
        <v>2856</v>
      </c>
      <c r="B3500" t="s">
        <v>2864</v>
      </c>
      <c r="C3500" t="s">
        <v>1404</v>
      </c>
      <c r="D3500" t="s">
        <v>2890</v>
      </c>
      <c r="E3500">
        <v>41</v>
      </c>
      <c r="F3500" s="11">
        <v>1</v>
      </c>
    </row>
    <row r="3501" spans="1:6" x14ac:dyDescent="0.35">
      <c r="A3501" t="s">
        <v>2856</v>
      </c>
      <c r="B3501" t="s">
        <v>2864</v>
      </c>
      <c r="C3501" t="s">
        <v>1404</v>
      </c>
      <c r="D3501" t="s">
        <v>2891</v>
      </c>
      <c r="E3501">
        <v>0</v>
      </c>
      <c r="F3501" s="11">
        <v>0</v>
      </c>
    </row>
    <row r="3502" spans="1:6" x14ac:dyDescent="0.35">
      <c r="A3502" t="s">
        <v>2856</v>
      </c>
      <c r="B3502" t="s">
        <v>2864</v>
      </c>
      <c r="C3502" t="s">
        <v>1404</v>
      </c>
      <c r="D3502" t="s">
        <v>2892</v>
      </c>
      <c r="E3502">
        <v>0</v>
      </c>
      <c r="F3502" s="11">
        <v>0</v>
      </c>
    </row>
    <row r="3503" spans="1:6" x14ac:dyDescent="0.35">
      <c r="A3503" t="s">
        <v>2856</v>
      </c>
      <c r="B3503" t="s">
        <v>2864</v>
      </c>
      <c r="C3503" t="s">
        <v>1404</v>
      </c>
      <c r="D3503" t="s">
        <v>2893</v>
      </c>
      <c r="E3503">
        <v>0</v>
      </c>
      <c r="F3503" s="11">
        <v>0</v>
      </c>
    </row>
    <row r="3504" spans="1:6" x14ac:dyDescent="0.35">
      <c r="A3504" t="s">
        <v>2856</v>
      </c>
      <c r="B3504" t="s">
        <v>2864</v>
      </c>
      <c r="C3504" t="s">
        <v>1404</v>
      </c>
      <c r="D3504" t="s">
        <v>2894</v>
      </c>
      <c r="E3504">
        <v>0</v>
      </c>
      <c r="F3504" s="11">
        <v>0</v>
      </c>
    </row>
    <row r="3505" spans="1:6" x14ac:dyDescent="0.35">
      <c r="A3505" t="s">
        <v>2856</v>
      </c>
      <c r="B3505" t="s">
        <v>2864</v>
      </c>
      <c r="C3505" t="s">
        <v>1404</v>
      </c>
      <c r="D3505" t="s">
        <v>2895</v>
      </c>
      <c r="E3505">
        <v>730068</v>
      </c>
      <c r="F3505" s="11">
        <v>1</v>
      </c>
    </row>
    <row r="3506" spans="1:6" x14ac:dyDescent="0.35">
      <c r="A3506" t="s">
        <v>2856</v>
      </c>
      <c r="B3506" t="s">
        <v>2864</v>
      </c>
      <c r="C3506" t="s">
        <v>1404</v>
      </c>
      <c r="D3506" t="s">
        <v>2896</v>
      </c>
      <c r="E3506">
        <v>311201</v>
      </c>
      <c r="F3506" s="11">
        <v>1</v>
      </c>
    </row>
    <row r="3507" spans="1:6" x14ac:dyDescent="0.35">
      <c r="A3507" t="s">
        <v>2856</v>
      </c>
      <c r="B3507" t="s">
        <v>2864</v>
      </c>
      <c r="C3507" t="s">
        <v>1404</v>
      </c>
      <c r="D3507" t="s">
        <v>2897</v>
      </c>
      <c r="E3507">
        <v>404283</v>
      </c>
      <c r="F3507" s="11">
        <v>1</v>
      </c>
    </row>
    <row r="3508" spans="1:6" x14ac:dyDescent="0.35">
      <c r="A3508" t="s">
        <v>2856</v>
      </c>
      <c r="B3508" t="s">
        <v>2864</v>
      </c>
      <c r="C3508" t="s">
        <v>1404</v>
      </c>
      <c r="D3508" t="s">
        <v>2898</v>
      </c>
      <c r="E3508">
        <v>14584</v>
      </c>
      <c r="F3508" s="11">
        <v>1</v>
      </c>
    </row>
    <row r="3509" spans="1:6" x14ac:dyDescent="0.35">
      <c r="A3509" t="s">
        <v>2856</v>
      </c>
      <c r="B3509" t="s">
        <v>2864</v>
      </c>
      <c r="C3509" t="s">
        <v>1404</v>
      </c>
      <c r="D3509" t="s">
        <v>2899</v>
      </c>
      <c r="E3509">
        <v>13810</v>
      </c>
      <c r="F3509" s="11">
        <v>1</v>
      </c>
    </row>
    <row r="3510" spans="1:6" x14ac:dyDescent="0.35">
      <c r="A3510" t="s">
        <v>2856</v>
      </c>
      <c r="B3510" t="s">
        <v>2864</v>
      </c>
      <c r="C3510" t="s">
        <v>1404</v>
      </c>
      <c r="D3510" t="s">
        <v>2900</v>
      </c>
      <c r="E3510">
        <v>10336</v>
      </c>
      <c r="F3510" s="11">
        <v>1</v>
      </c>
    </row>
    <row r="3511" spans="1:6" x14ac:dyDescent="0.35">
      <c r="A3511" t="s">
        <v>2856</v>
      </c>
      <c r="B3511" t="s">
        <v>2864</v>
      </c>
      <c r="C3511" t="s">
        <v>1404</v>
      </c>
      <c r="D3511" t="s">
        <v>2901</v>
      </c>
      <c r="E3511">
        <v>3474</v>
      </c>
      <c r="F3511" s="11">
        <v>0</v>
      </c>
    </row>
    <row r="3512" spans="1:6" x14ac:dyDescent="0.35">
      <c r="A3512" t="s">
        <v>2856</v>
      </c>
      <c r="B3512" t="s">
        <v>2864</v>
      </c>
      <c r="C3512" t="s">
        <v>1404</v>
      </c>
      <c r="D3512" t="s">
        <v>2902</v>
      </c>
      <c r="E3512">
        <v>0</v>
      </c>
      <c r="F3512" s="11">
        <v>1</v>
      </c>
    </row>
    <row r="3513" spans="1:6" x14ac:dyDescent="0.35">
      <c r="A3513" t="s">
        <v>2856</v>
      </c>
      <c r="B3513" t="s">
        <v>2864</v>
      </c>
      <c r="C3513" t="s">
        <v>1404</v>
      </c>
      <c r="D3513" t="s">
        <v>2903</v>
      </c>
      <c r="E3513">
        <v>31684</v>
      </c>
      <c r="F3513" s="11">
        <v>1</v>
      </c>
    </row>
    <row r="3514" spans="1:6" x14ac:dyDescent="0.35">
      <c r="A3514" t="s">
        <v>2856</v>
      </c>
      <c r="B3514" t="s">
        <v>2864</v>
      </c>
      <c r="C3514" t="s">
        <v>1404</v>
      </c>
      <c r="D3514" t="s">
        <v>2904</v>
      </c>
      <c r="E3514">
        <v>0</v>
      </c>
      <c r="F3514" s="11">
        <v>0</v>
      </c>
    </row>
    <row r="3515" spans="1:6" x14ac:dyDescent="0.35">
      <c r="A3515" t="s">
        <v>2856</v>
      </c>
      <c r="B3515" t="s">
        <v>2864</v>
      </c>
      <c r="C3515" t="s">
        <v>1404</v>
      </c>
      <c r="D3515" t="s">
        <v>2905</v>
      </c>
      <c r="E3515">
        <v>0</v>
      </c>
      <c r="F3515" s="11">
        <v>0</v>
      </c>
    </row>
    <row r="3516" spans="1:6" x14ac:dyDescent="0.35">
      <c r="A3516" t="s">
        <v>2856</v>
      </c>
      <c r="B3516" t="s">
        <v>2864</v>
      </c>
      <c r="C3516" t="s">
        <v>1404</v>
      </c>
      <c r="D3516" t="s">
        <v>2906</v>
      </c>
      <c r="E3516">
        <v>0</v>
      </c>
      <c r="F3516" s="11">
        <v>0</v>
      </c>
    </row>
    <row r="3517" spans="1:6" x14ac:dyDescent="0.35">
      <c r="A3517" t="s">
        <v>2856</v>
      </c>
      <c r="B3517" t="s">
        <v>2864</v>
      </c>
      <c r="C3517" t="s">
        <v>1404</v>
      </c>
      <c r="D3517" t="s">
        <v>2907</v>
      </c>
      <c r="E3517">
        <v>111764</v>
      </c>
      <c r="F3517" s="11">
        <v>1</v>
      </c>
    </row>
    <row r="3518" spans="1:6" x14ac:dyDescent="0.35">
      <c r="A3518" t="s">
        <v>2856</v>
      </c>
      <c r="B3518" t="s">
        <v>2864</v>
      </c>
      <c r="C3518" t="s">
        <v>1404</v>
      </c>
      <c r="D3518" t="s">
        <v>2908</v>
      </c>
      <c r="E3518">
        <v>0</v>
      </c>
      <c r="F3518" s="11">
        <v>0</v>
      </c>
    </row>
    <row r="3519" spans="1:6" x14ac:dyDescent="0.35">
      <c r="A3519" t="s">
        <v>2856</v>
      </c>
      <c r="B3519" t="s">
        <v>2864</v>
      </c>
      <c r="C3519" t="s">
        <v>1404</v>
      </c>
      <c r="D3519" t="s">
        <v>2909</v>
      </c>
      <c r="E3519">
        <v>0</v>
      </c>
      <c r="F3519" s="11">
        <v>0</v>
      </c>
    </row>
    <row r="3520" spans="1:6" x14ac:dyDescent="0.35">
      <c r="A3520" t="s">
        <v>2856</v>
      </c>
      <c r="B3520" t="s">
        <v>2864</v>
      </c>
      <c r="C3520" t="s">
        <v>1404</v>
      </c>
      <c r="D3520" t="s">
        <v>2910</v>
      </c>
      <c r="E3520">
        <v>0</v>
      </c>
      <c r="F3520" s="11">
        <v>0</v>
      </c>
    </row>
    <row r="3521" spans="1:6" x14ac:dyDescent="0.35">
      <c r="A3521" t="s">
        <v>2856</v>
      </c>
      <c r="B3521" t="s">
        <v>2864</v>
      </c>
      <c r="C3521" t="s">
        <v>1404</v>
      </c>
      <c r="D3521" t="s">
        <v>2911</v>
      </c>
      <c r="E3521">
        <v>588526</v>
      </c>
      <c r="F3521" s="11">
        <v>1</v>
      </c>
    </row>
    <row r="3522" spans="1:6" x14ac:dyDescent="0.35">
      <c r="A3522" t="s">
        <v>2856</v>
      </c>
      <c r="B3522" t="s">
        <v>2864</v>
      </c>
      <c r="C3522" t="s">
        <v>1404</v>
      </c>
      <c r="D3522" t="s">
        <v>2912</v>
      </c>
      <c r="E3522">
        <v>0</v>
      </c>
      <c r="F3522" s="11">
        <v>0</v>
      </c>
    </row>
    <row r="3523" spans="1:6" x14ac:dyDescent="0.35">
      <c r="A3523" t="s">
        <v>2856</v>
      </c>
      <c r="B3523" t="s">
        <v>2864</v>
      </c>
      <c r="C3523" t="s">
        <v>1404</v>
      </c>
      <c r="D3523" t="s">
        <v>2913</v>
      </c>
      <c r="E3523">
        <v>0</v>
      </c>
      <c r="F3523" s="11">
        <v>0</v>
      </c>
    </row>
    <row r="3524" spans="1:6" x14ac:dyDescent="0.35">
      <c r="A3524" t="s">
        <v>2856</v>
      </c>
      <c r="B3524" t="s">
        <v>2864</v>
      </c>
      <c r="C3524" t="s">
        <v>1404</v>
      </c>
      <c r="D3524" t="s">
        <v>2914</v>
      </c>
      <c r="E3524">
        <v>0</v>
      </c>
      <c r="F3524" s="11">
        <v>0</v>
      </c>
    </row>
    <row r="3525" spans="1:6" x14ac:dyDescent="0.35">
      <c r="A3525" t="s">
        <v>2856</v>
      </c>
      <c r="B3525" t="s">
        <v>2864</v>
      </c>
      <c r="C3525" t="s">
        <v>1404</v>
      </c>
      <c r="D3525" t="s">
        <v>2915</v>
      </c>
      <c r="E3525">
        <v>1308</v>
      </c>
      <c r="F3525" s="11">
        <v>1</v>
      </c>
    </row>
    <row r="3526" spans="1:6" x14ac:dyDescent="0.35">
      <c r="A3526" t="s">
        <v>2856</v>
      </c>
      <c r="B3526" t="s">
        <v>2864</v>
      </c>
      <c r="C3526" t="s">
        <v>1404</v>
      </c>
      <c r="D3526" t="s">
        <v>2916</v>
      </c>
      <c r="E3526">
        <v>48138</v>
      </c>
      <c r="F3526" s="11">
        <v>1</v>
      </c>
    </row>
    <row r="3527" spans="1:6" x14ac:dyDescent="0.35">
      <c r="A3527" t="s">
        <v>2856</v>
      </c>
      <c r="B3527" t="s">
        <v>2864</v>
      </c>
      <c r="C3527" t="s">
        <v>1404</v>
      </c>
      <c r="D3527" t="s">
        <v>2917</v>
      </c>
      <c r="E3527">
        <v>0</v>
      </c>
      <c r="F3527" s="11">
        <v>0</v>
      </c>
    </row>
    <row r="3528" spans="1:6" x14ac:dyDescent="0.35">
      <c r="A3528" t="s">
        <v>2856</v>
      </c>
      <c r="B3528" t="s">
        <v>2865</v>
      </c>
      <c r="C3528" t="s">
        <v>1532</v>
      </c>
      <c r="D3528" t="s">
        <v>2875</v>
      </c>
      <c r="E3528">
        <v>15443</v>
      </c>
      <c r="F3528" s="11">
        <v>1</v>
      </c>
    </row>
    <row r="3529" spans="1:6" x14ac:dyDescent="0.35">
      <c r="A3529" t="s">
        <v>2856</v>
      </c>
      <c r="B3529" t="s">
        <v>2865</v>
      </c>
      <c r="C3529" t="s">
        <v>1532</v>
      </c>
      <c r="D3529" t="s">
        <v>2876</v>
      </c>
      <c r="E3529">
        <v>4902</v>
      </c>
      <c r="F3529" s="11">
        <v>1</v>
      </c>
    </row>
    <row r="3530" spans="1:6" x14ac:dyDescent="0.35">
      <c r="A3530" t="s">
        <v>2856</v>
      </c>
      <c r="B3530" t="s">
        <v>2865</v>
      </c>
      <c r="C3530" t="s">
        <v>1532</v>
      </c>
      <c r="D3530" t="s">
        <v>2877</v>
      </c>
      <c r="E3530">
        <v>8751</v>
      </c>
      <c r="F3530" s="11">
        <v>1</v>
      </c>
    </row>
    <row r="3531" spans="1:6" x14ac:dyDescent="0.35">
      <c r="A3531" t="s">
        <v>2856</v>
      </c>
      <c r="B3531" t="s">
        <v>2865</v>
      </c>
      <c r="C3531" t="s">
        <v>1532</v>
      </c>
      <c r="D3531" t="s">
        <v>2878</v>
      </c>
      <c r="E3531">
        <v>1790</v>
      </c>
      <c r="F3531" s="11">
        <v>1</v>
      </c>
    </row>
    <row r="3532" spans="1:6" x14ac:dyDescent="0.35">
      <c r="A3532" t="s">
        <v>2856</v>
      </c>
      <c r="B3532" t="s">
        <v>2865</v>
      </c>
      <c r="C3532" t="s">
        <v>1532</v>
      </c>
      <c r="D3532" t="s">
        <v>2879</v>
      </c>
      <c r="E3532">
        <v>1315</v>
      </c>
      <c r="F3532" s="11">
        <v>1</v>
      </c>
    </row>
    <row r="3533" spans="1:6" x14ac:dyDescent="0.35">
      <c r="A3533" t="s">
        <v>2856</v>
      </c>
      <c r="B3533" t="s">
        <v>2865</v>
      </c>
      <c r="C3533" t="s">
        <v>1532</v>
      </c>
      <c r="D3533" t="s">
        <v>2880</v>
      </c>
      <c r="E3533">
        <v>961</v>
      </c>
      <c r="F3533" s="11">
        <v>1</v>
      </c>
    </row>
    <row r="3534" spans="1:6" x14ac:dyDescent="0.35">
      <c r="A3534" t="s">
        <v>2856</v>
      </c>
      <c r="B3534" t="s">
        <v>2865</v>
      </c>
      <c r="C3534" t="s">
        <v>1532</v>
      </c>
      <c r="D3534" t="s">
        <v>2881</v>
      </c>
      <c r="E3534">
        <v>580</v>
      </c>
      <c r="F3534" s="11">
        <v>1</v>
      </c>
    </row>
    <row r="3535" spans="1:6" x14ac:dyDescent="0.35">
      <c r="A3535" t="s">
        <v>2856</v>
      </c>
      <c r="B3535" t="s">
        <v>2865</v>
      </c>
      <c r="C3535" t="s">
        <v>1532</v>
      </c>
      <c r="D3535" t="s">
        <v>2882</v>
      </c>
      <c r="E3535">
        <v>55</v>
      </c>
      <c r="F3535" s="11">
        <v>1</v>
      </c>
    </row>
    <row r="3536" spans="1:6" x14ac:dyDescent="0.35">
      <c r="A3536" t="s">
        <v>2856</v>
      </c>
      <c r="B3536" t="s">
        <v>2865</v>
      </c>
      <c r="C3536" t="s">
        <v>1532</v>
      </c>
      <c r="D3536" t="s">
        <v>2883</v>
      </c>
      <c r="E3536">
        <v>0</v>
      </c>
      <c r="F3536" s="11">
        <v>0</v>
      </c>
    </row>
    <row r="3537" spans="1:6" x14ac:dyDescent="0.35">
      <c r="A3537" t="s">
        <v>2856</v>
      </c>
      <c r="B3537" t="s">
        <v>2865</v>
      </c>
      <c r="C3537" t="s">
        <v>1532</v>
      </c>
      <c r="D3537" t="s">
        <v>2884</v>
      </c>
      <c r="E3537">
        <v>0</v>
      </c>
      <c r="F3537" s="11">
        <v>0</v>
      </c>
    </row>
    <row r="3538" spans="1:6" x14ac:dyDescent="0.35">
      <c r="A3538" t="s">
        <v>2856</v>
      </c>
      <c r="B3538" t="s">
        <v>2865</v>
      </c>
      <c r="C3538" t="s">
        <v>1532</v>
      </c>
      <c r="D3538" t="s">
        <v>2885</v>
      </c>
      <c r="E3538">
        <v>0</v>
      </c>
      <c r="F3538" s="11">
        <v>0</v>
      </c>
    </row>
    <row r="3539" spans="1:6" x14ac:dyDescent="0.35">
      <c r="A3539" t="s">
        <v>2856</v>
      </c>
      <c r="B3539" t="s">
        <v>2865</v>
      </c>
      <c r="C3539" t="s">
        <v>1532</v>
      </c>
      <c r="D3539" t="s">
        <v>2886</v>
      </c>
      <c r="E3539">
        <v>0</v>
      </c>
      <c r="F3539" s="11">
        <v>0</v>
      </c>
    </row>
    <row r="3540" spans="1:6" x14ac:dyDescent="0.35">
      <c r="A3540" t="s">
        <v>2856</v>
      </c>
      <c r="B3540" t="s">
        <v>2865</v>
      </c>
      <c r="C3540" t="s">
        <v>1532</v>
      </c>
      <c r="D3540" t="s">
        <v>2887</v>
      </c>
      <c r="E3540">
        <v>38742</v>
      </c>
      <c r="F3540" s="11">
        <v>1</v>
      </c>
    </row>
    <row r="3541" spans="1:6" x14ac:dyDescent="0.35">
      <c r="A3541" t="s">
        <v>2856</v>
      </c>
      <c r="B3541" t="s">
        <v>2865</v>
      </c>
      <c r="C3541" t="s">
        <v>1532</v>
      </c>
      <c r="D3541" t="s">
        <v>2888</v>
      </c>
      <c r="E3541">
        <v>0</v>
      </c>
      <c r="F3541" s="11">
        <v>0</v>
      </c>
    </row>
    <row r="3542" spans="1:6" x14ac:dyDescent="0.35">
      <c r="A3542" t="s">
        <v>2856</v>
      </c>
      <c r="B3542" t="s">
        <v>2865</v>
      </c>
      <c r="C3542" t="s">
        <v>1532</v>
      </c>
      <c r="D3542" t="s">
        <v>2889</v>
      </c>
      <c r="E3542">
        <v>0</v>
      </c>
      <c r="F3542" s="11">
        <v>0</v>
      </c>
    </row>
    <row r="3543" spans="1:6" x14ac:dyDescent="0.35">
      <c r="A3543" t="s">
        <v>2856</v>
      </c>
      <c r="B3543" t="s">
        <v>2865</v>
      </c>
      <c r="C3543" t="s">
        <v>1532</v>
      </c>
      <c r="D3543" t="s">
        <v>2890</v>
      </c>
      <c r="E3543">
        <v>0</v>
      </c>
      <c r="F3543" s="11">
        <v>1</v>
      </c>
    </row>
    <row r="3544" spans="1:6" x14ac:dyDescent="0.35">
      <c r="A3544" t="s">
        <v>2856</v>
      </c>
      <c r="B3544" t="s">
        <v>2865</v>
      </c>
      <c r="C3544" t="s">
        <v>1532</v>
      </c>
      <c r="D3544" t="s">
        <v>2891</v>
      </c>
      <c r="E3544">
        <v>0</v>
      </c>
      <c r="F3544" s="11">
        <v>0</v>
      </c>
    </row>
    <row r="3545" spans="1:6" x14ac:dyDescent="0.35">
      <c r="A3545" t="s">
        <v>2856</v>
      </c>
      <c r="B3545" t="s">
        <v>2865</v>
      </c>
      <c r="C3545" t="s">
        <v>1532</v>
      </c>
      <c r="D3545" t="s">
        <v>2892</v>
      </c>
      <c r="E3545">
        <v>0</v>
      </c>
      <c r="F3545" s="11">
        <v>0</v>
      </c>
    </row>
    <row r="3546" spans="1:6" x14ac:dyDescent="0.35">
      <c r="A3546" t="s">
        <v>2856</v>
      </c>
      <c r="B3546" t="s">
        <v>2865</v>
      </c>
      <c r="C3546" t="s">
        <v>1532</v>
      </c>
      <c r="D3546" t="s">
        <v>2893</v>
      </c>
      <c r="E3546">
        <v>0</v>
      </c>
      <c r="F3546" s="11">
        <v>0</v>
      </c>
    </row>
    <row r="3547" spans="1:6" x14ac:dyDescent="0.35">
      <c r="A3547" t="s">
        <v>2856</v>
      </c>
      <c r="B3547" t="s">
        <v>2865</v>
      </c>
      <c r="C3547" t="s">
        <v>1532</v>
      </c>
      <c r="D3547" t="s">
        <v>2894</v>
      </c>
      <c r="E3547">
        <v>0</v>
      </c>
      <c r="F3547" s="11">
        <v>0</v>
      </c>
    </row>
    <row r="3548" spans="1:6" x14ac:dyDescent="0.35">
      <c r="A3548" t="s">
        <v>2856</v>
      </c>
      <c r="B3548" t="s">
        <v>2865</v>
      </c>
      <c r="C3548" t="s">
        <v>1532</v>
      </c>
      <c r="D3548" t="s">
        <v>2895</v>
      </c>
      <c r="E3548">
        <v>215932</v>
      </c>
      <c r="F3548" s="11">
        <v>1</v>
      </c>
    </row>
    <row r="3549" spans="1:6" x14ac:dyDescent="0.35">
      <c r="A3549" t="s">
        <v>2856</v>
      </c>
      <c r="B3549" t="s">
        <v>2865</v>
      </c>
      <c r="C3549" t="s">
        <v>1532</v>
      </c>
      <c r="D3549" t="s">
        <v>2896</v>
      </c>
      <c r="E3549">
        <v>136681</v>
      </c>
      <c r="F3549" s="11">
        <v>0</v>
      </c>
    </row>
    <row r="3550" spans="1:6" x14ac:dyDescent="0.35">
      <c r="A3550" t="s">
        <v>2856</v>
      </c>
      <c r="B3550" t="s">
        <v>2865</v>
      </c>
      <c r="C3550" t="s">
        <v>1532</v>
      </c>
      <c r="D3550" t="s">
        <v>2897</v>
      </c>
      <c r="E3550">
        <v>73506</v>
      </c>
      <c r="F3550" s="11">
        <v>0</v>
      </c>
    </row>
    <row r="3551" spans="1:6" x14ac:dyDescent="0.35">
      <c r="A3551" t="s">
        <v>2856</v>
      </c>
      <c r="B3551" t="s">
        <v>2865</v>
      </c>
      <c r="C3551" t="s">
        <v>1532</v>
      </c>
      <c r="D3551" t="s">
        <v>2898</v>
      </c>
      <c r="E3551">
        <v>1618</v>
      </c>
      <c r="F3551" s="11">
        <v>0</v>
      </c>
    </row>
    <row r="3552" spans="1:6" x14ac:dyDescent="0.35">
      <c r="A3552" t="s">
        <v>2856</v>
      </c>
      <c r="B3552" t="s">
        <v>2865</v>
      </c>
      <c r="C3552" t="s">
        <v>1532</v>
      </c>
      <c r="D3552" t="s">
        <v>2899</v>
      </c>
      <c r="E3552">
        <v>4078</v>
      </c>
      <c r="F3552" s="11">
        <v>1</v>
      </c>
    </row>
    <row r="3553" spans="1:6" x14ac:dyDescent="0.35">
      <c r="A3553" t="s">
        <v>2856</v>
      </c>
      <c r="B3553" t="s">
        <v>2865</v>
      </c>
      <c r="C3553" t="s">
        <v>1532</v>
      </c>
      <c r="D3553" t="s">
        <v>2900</v>
      </c>
      <c r="E3553">
        <v>0</v>
      </c>
      <c r="F3553" s="11">
        <v>0</v>
      </c>
    </row>
    <row r="3554" spans="1:6" x14ac:dyDescent="0.35">
      <c r="A3554" t="s">
        <v>2856</v>
      </c>
      <c r="B3554" t="s">
        <v>2865</v>
      </c>
      <c r="C3554" t="s">
        <v>1532</v>
      </c>
      <c r="D3554" t="s">
        <v>2901</v>
      </c>
      <c r="E3554">
        <v>0</v>
      </c>
      <c r="F3554" s="11">
        <v>0</v>
      </c>
    </row>
    <row r="3555" spans="1:6" x14ac:dyDescent="0.35">
      <c r="A3555" t="s">
        <v>2856</v>
      </c>
      <c r="B3555" t="s">
        <v>2865</v>
      </c>
      <c r="C3555" t="s">
        <v>1532</v>
      </c>
      <c r="D3555" t="s">
        <v>2902</v>
      </c>
      <c r="E3555">
        <v>0</v>
      </c>
      <c r="F3555" s="11">
        <v>0</v>
      </c>
    </row>
    <row r="3556" spans="1:6" x14ac:dyDescent="0.35">
      <c r="A3556" t="s">
        <v>2856</v>
      </c>
      <c r="B3556" t="s">
        <v>2865</v>
      </c>
      <c r="C3556" t="s">
        <v>1532</v>
      </c>
      <c r="D3556" t="s">
        <v>2903</v>
      </c>
      <c r="E3556">
        <v>20010</v>
      </c>
      <c r="F3556" s="11">
        <v>1</v>
      </c>
    </row>
    <row r="3557" spans="1:6" x14ac:dyDescent="0.35">
      <c r="A3557" t="s">
        <v>2856</v>
      </c>
      <c r="B3557" t="s">
        <v>2865</v>
      </c>
      <c r="C3557" t="s">
        <v>1532</v>
      </c>
      <c r="D3557" t="s">
        <v>2904</v>
      </c>
      <c r="E3557">
        <v>0</v>
      </c>
      <c r="F3557" s="11">
        <v>0</v>
      </c>
    </row>
    <row r="3558" spans="1:6" x14ac:dyDescent="0.35">
      <c r="A3558" t="s">
        <v>2856</v>
      </c>
      <c r="B3558" t="s">
        <v>2865</v>
      </c>
      <c r="C3558" t="s">
        <v>1532</v>
      </c>
      <c r="D3558" t="s">
        <v>2905</v>
      </c>
      <c r="E3558">
        <v>0</v>
      </c>
      <c r="F3558" s="11">
        <v>0</v>
      </c>
    </row>
    <row r="3559" spans="1:6" x14ac:dyDescent="0.35">
      <c r="A3559" t="s">
        <v>2856</v>
      </c>
      <c r="B3559" t="s">
        <v>2865</v>
      </c>
      <c r="C3559" t="s">
        <v>1532</v>
      </c>
      <c r="D3559" t="s">
        <v>2906</v>
      </c>
      <c r="E3559">
        <v>0</v>
      </c>
      <c r="F3559" s="11">
        <v>0</v>
      </c>
    </row>
    <row r="3560" spans="1:6" x14ac:dyDescent="0.35">
      <c r="A3560" t="s">
        <v>2856</v>
      </c>
      <c r="B3560" t="s">
        <v>2865</v>
      </c>
      <c r="C3560" t="s">
        <v>1532</v>
      </c>
      <c r="D3560" t="s">
        <v>2907</v>
      </c>
      <c r="E3560">
        <v>24048</v>
      </c>
      <c r="F3560" s="11">
        <v>1</v>
      </c>
    </row>
    <row r="3561" spans="1:6" x14ac:dyDescent="0.35">
      <c r="A3561" t="s">
        <v>2856</v>
      </c>
      <c r="B3561" t="s">
        <v>2865</v>
      </c>
      <c r="C3561" t="s">
        <v>1532</v>
      </c>
      <c r="D3561" t="s">
        <v>2908</v>
      </c>
      <c r="E3561">
        <v>0</v>
      </c>
      <c r="F3561" s="11">
        <v>0</v>
      </c>
    </row>
    <row r="3562" spans="1:6" x14ac:dyDescent="0.35">
      <c r="A3562" t="s">
        <v>2856</v>
      </c>
      <c r="B3562" t="s">
        <v>2865</v>
      </c>
      <c r="C3562" t="s">
        <v>1532</v>
      </c>
      <c r="D3562" t="s">
        <v>2909</v>
      </c>
      <c r="E3562">
        <v>0</v>
      </c>
      <c r="F3562" s="11">
        <v>0</v>
      </c>
    </row>
    <row r="3563" spans="1:6" x14ac:dyDescent="0.35">
      <c r="A3563" t="s">
        <v>2856</v>
      </c>
      <c r="B3563" t="s">
        <v>2865</v>
      </c>
      <c r="C3563" t="s">
        <v>1532</v>
      </c>
      <c r="D3563" t="s">
        <v>2910</v>
      </c>
      <c r="E3563">
        <v>0</v>
      </c>
      <c r="F3563" s="11">
        <v>0</v>
      </c>
    </row>
    <row r="3564" spans="1:6" x14ac:dyDescent="0.35">
      <c r="A3564" t="s">
        <v>2856</v>
      </c>
      <c r="B3564" t="s">
        <v>2865</v>
      </c>
      <c r="C3564" t="s">
        <v>1532</v>
      </c>
      <c r="D3564" t="s">
        <v>2911</v>
      </c>
      <c r="E3564">
        <v>293275</v>
      </c>
      <c r="F3564" s="11">
        <v>1</v>
      </c>
    </row>
    <row r="3565" spans="1:6" x14ac:dyDescent="0.35">
      <c r="A3565" t="s">
        <v>2856</v>
      </c>
      <c r="B3565" t="s">
        <v>2865</v>
      </c>
      <c r="C3565" t="s">
        <v>1532</v>
      </c>
      <c r="D3565" t="s">
        <v>2912</v>
      </c>
      <c r="E3565">
        <v>0</v>
      </c>
      <c r="F3565" s="11">
        <v>1</v>
      </c>
    </row>
    <row r="3566" spans="1:6" x14ac:dyDescent="0.35">
      <c r="A3566" t="s">
        <v>2856</v>
      </c>
      <c r="B3566" t="s">
        <v>2865</v>
      </c>
      <c r="C3566" t="s">
        <v>1532</v>
      </c>
      <c r="D3566" t="s">
        <v>2913</v>
      </c>
      <c r="E3566">
        <v>0</v>
      </c>
      <c r="F3566" s="11">
        <v>0</v>
      </c>
    </row>
    <row r="3567" spans="1:6" x14ac:dyDescent="0.35">
      <c r="A3567" t="s">
        <v>2856</v>
      </c>
      <c r="B3567" t="s">
        <v>2865</v>
      </c>
      <c r="C3567" t="s">
        <v>1532</v>
      </c>
      <c r="D3567" t="s">
        <v>2914</v>
      </c>
      <c r="E3567">
        <v>0</v>
      </c>
      <c r="F3567" s="11">
        <v>0</v>
      </c>
    </row>
    <row r="3568" spans="1:6" x14ac:dyDescent="0.35">
      <c r="A3568" t="s">
        <v>2856</v>
      </c>
      <c r="B3568" t="s">
        <v>2865</v>
      </c>
      <c r="C3568" t="s">
        <v>1532</v>
      </c>
      <c r="D3568" t="s">
        <v>2915</v>
      </c>
      <c r="E3568">
        <v>1577</v>
      </c>
      <c r="F3568" s="11">
        <v>1</v>
      </c>
    </row>
    <row r="3569" spans="1:6" x14ac:dyDescent="0.35">
      <c r="A3569" t="s">
        <v>2856</v>
      </c>
      <c r="B3569" t="s">
        <v>2865</v>
      </c>
      <c r="C3569" t="s">
        <v>1532</v>
      </c>
      <c r="D3569" t="s">
        <v>2916</v>
      </c>
      <c r="E3569">
        <v>44611</v>
      </c>
      <c r="F3569" s="11">
        <v>1</v>
      </c>
    </row>
    <row r="3570" spans="1:6" x14ac:dyDescent="0.35">
      <c r="A3570" t="s">
        <v>2856</v>
      </c>
      <c r="B3570" t="s">
        <v>2865</v>
      </c>
      <c r="C3570" t="s">
        <v>1532</v>
      </c>
      <c r="D3570" t="s">
        <v>2917</v>
      </c>
      <c r="E3570">
        <v>91880</v>
      </c>
      <c r="F3570" s="11">
        <v>1</v>
      </c>
    </row>
    <row r="3571" spans="1:6" x14ac:dyDescent="0.35">
      <c r="A3571" t="s">
        <v>2856</v>
      </c>
      <c r="B3571" t="s">
        <v>2866</v>
      </c>
      <c r="C3571" t="s">
        <v>1408</v>
      </c>
      <c r="D3571" t="s">
        <v>2875</v>
      </c>
      <c r="E3571">
        <v>32160</v>
      </c>
      <c r="F3571" s="11">
        <v>1</v>
      </c>
    </row>
    <row r="3572" spans="1:6" x14ac:dyDescent="0.35">
      <c r="A3572" t="s">
        <v>2856</v>
      </c>
      <c r="B3572" t="s">
        <v>2866</v>
      </c>
      <c r="C3572" t="s">
        <v>1408</v>
      </c>
      <c r="D3572" t="s">
        <v>2876</v>
      </c>
      <c r="E3572">
        <v>0</v>
      </c>
      <c r="F3572" s="11">
        <v>0</v>
      </c>
    </row>
    <row r="3573" spans="1:6" x14ac:dyDescent="0.35">
      <c r="A3573" t="s">
        <v>2856</v>
      </c>
      <c r="B3573" t="s">
        <v>2866</v>
      </c>
      <c r="C3573" t="s">
        <v>1408</v>
      </c>
      <c r="D3573" t="s">
        <v>2877</v>
      </c>
      <c r="E3573">
        <v>0</v>
      </c>
      <c r="F3573" s="11">
        <v>0</v>
      </c>
    </row>
    <row r="3574" spans="1:6" x14ac:dyDescent="0.35">
      <c r="A3574" t="s">
        <v>2856</v>
      </c>
      <c r="B3574" t="s">
        <v>2866</v>
      </c>
      <c r="C3574" t="s">
        <v>1408</v>
      </c>
      <c r="D3574" t="s">
        <v>2878</v>
      </c>
      <c r="E3574">
        <v>0</v>
      </c>
      <c r="F3574" s="11">
        <v>0</v>
      </c>
    </row>
    <row r="3575" spans="1:6" x14ac:dyDescent="0.35">
      <c r="A3575" t="s">
        <v>2856</v>
      </c>
      <c r="B3575" t="s">
        <v>2866</v>
      </c>
      <c r="C3575" t="s">
        <v>1408</v>
      </c>
      <c r="D3575" t="s">
        <v>2879</v>
      </c>
      <c r="E3575">
        <v>14500</v>
      </c>
      <c r="F3575" s="11">
        <v>1</v>
      </c>
    </row>
    <row r="3576" spans="1:6" x14ac:dyDescent="0.35">
      <c r="A3576" t="s">
        <v>2856</v>
      </c>
      <c r="B3576" t="s">
        <v>2866</v>
      </c>
      <c r="C3576" t="s">
        <v>1408</v>
      </c>
      <c r="D3576" t="s">
        <v>2880</v>
      </c>
      <c r="E3576">
        <v>0</v>
      </c>
      <c r="F3576" s="11">
        <v>0</v>
      </c>
    </row>
    <row r="3577" spans="1:6" x14ac:dyDescent="0.35">
      <c r="A3577" t="s">
        <v>2856</v>
      </c>
      <c r="B3577" t="s">
        <v>2866</v>
      </c>
      <c r="C3577" t="s">
        <v>1408</v>
      </c>
      <c r="D3577" t="s">
        <v>2881</v>
      </c>
      <c r="E3577">
        <v>0</v>
      </c>
      <c r="F3577" s="11">
        <v>0</v>
      </c>
    </row>
    <row r="3578" spans="1:6" x14ac:dyDescent="0.35">
      <c r="A3578" t="s">
        <v>2856</v>
      </c>
      <c r="B3578" t="s">
        <v>2866</v>
      </c>
      <c r="C3578" t="s">
        <v>1408</v>
      </c>
      <c r="D3578" t="s">
        <v>2882</v>
      </c>
      <c r="E3578">
        <v>0</v>
      </c>
      <c r="F3578" s="11">
        <v>0</v>
      </c>
    </row>
    <row r="3579" spans="1:6" x14ac:dyDescent="0.35">
      <c r="A3579" t="s">
        <v>2856</v>
      </c>
      <c r="B3579" t="s">
        <v>2866</v>
      </c>
      <c r="C3579" t="s">
        <v>1408</v>
      </c>
      <c r="D3579" t="s">
        <v>2883</v>
      </c>
      <c r="E3579">
        <v>0</v>
      </c>
      <c r="F3579" s="11">
        <v>0</v>
      </c>
    </row>
    <row r="3580" spans="1:6" x14ac:dyDescent="0.35">
      <c r="A3580" t="s">
        <v>2856</v>
      </c>
      <c r="B3580" t="s">
        <v>2866</v>
      </c>
      <c r="C3580" t="s">
        <v>1408</v>
      </c>
      <c r="D3580" t="s">
        <v>2884</v>
      </c>
      <c r="E3580">
        <v>0</v>
      </c>
      <c r="F3580" s="11">
        <v>0</v>
      </c>
    </row>
    <row r="3581" spans="1:6" x14ac:dyDescent="0.35">
      <c r="A3581" t="s">
        <v>2856</v>
      </c>
      <c r="B3581" t="s">
        <v>2866</v>
      </c>
      <c r="C3581" t="s">
        <v>1408</v>
      </c>
      <c r="D3581" t="s">
        <v>2885</v>
      </c>
      <c r="E3581">
        <v>0</v>
      </c>
      <c r="F3581" s="11">
        <v>0</v>
      </c>
    </row>
    <row r="3582" spans="1:6" x14ac:dyDescent="0.35">
      <c r="A3582" t="s">
        <v>2856</v>
      </c>
      <c r="B3582" t="s">
        <v>2866</v>
      </c>
      <c r="C3582" t="s">
        <v>1408</v>
      </c>
      <c r="D3582" t="s">
        <v>2886</v>
      </c>
      <c r="E3582">
        <v>0</v>
      </c>
      <c r="F3582" s="11">
        <v>0</v>
      </c>
    </row>
    <row r="3583" spans="1:6" x14ac:dyDescent="0.35">
      <c r="A3583" t="s">
        <v>2856</v>
      </c>
      <c r="B3583" t="s">
        <v>2866</v>
      </c>
      <c r="C3583" t="s">
        <v>1408</v>
      </c>
      <c r="D3583" t="s">
        <v>2887</v>
      </c>
      <c r="E3583">
        <v>102386</v>
      </c>
      <c r="F3583" s="11">
        <v>1</v>
      </c>
    </row>
    <row r="3584" spans="1:6" x14ac:dyDescent="0.35">
      <c r="A3584" t="s">
        <v>2856</v>
      </c>
      <c r="B3584" t="s">
        <v>2866</v>
      </c>
      <c r="C3584" t="s">
        <v>1408</v>
      </c>
      <c r="D3584" t="s">
        <v>2888</v>
      </c>
      <c r="E3584">
        <v>0</v>
      </c>
      <c r="F3584" s="11">
        <v>0</v>
      </c>
    </row>
    <row r="3585" spans="1:6" x14ac:dyDescent="0.35">
      <c r="A3585" t="s">
        <v>2856</v>
      </c>
      <c r="B3585" t="s">
        <v>2866</v>
      </c>
      <c r="C3585" t="s">
        <v>1408</v>
      </c>
      <c r="D3585" t="s">
        <v>2889</v>
      </c>
      <c r="E3585">
        <v>0</v>
      </c>
      <c r="F3585" s="11">
        <v>0</v>
      </c>
    </row>
    <row r="3586" spans="1:6" x14ac:dyDescent="0.35">
      <c r="A3586" t="s">
        <v>2856</v>
      </c>
      <c r="B3586" t="s">
        <v>2866</v>
      </c>
      <c r="C3586" t="s">
        <v>1408</v>
      </c>
      <c r="D3586" t="s">
        <v>2890</v>
      </c>
      <c r="E3586">
        <v>0</v>
      </c>
      <c r="F3586" s="11">
        <v>0</v>
      </c>
    </row>
    <row r="3587" spans="1:6" x14ac:dyDescent="0.35">
      <c r="A3587" t="s">
        <v>2856</v>
      </c>
      <c r="B3587" t="s">
        <v>2866</v>
      </c>
      <c r="C3587" t="s">
        <v>1408</v>
      </c>
      <c r="D3587" t="s">
        <v>2891</v>
      </c>
      <c r="E3587">
        <v>0</v>
      </c>
      <c r="F3587" s="11">
        <v>0</v>
      </c>
    </row>
    <row r="3588" spans="1:6" x14ac:dyDescent="0.35">
      <c r="A3588" t="s">
        <v>2856</v>
      </c>
      <c r="B3588" t="s">
        <v>2866</v>
      </c>
      <c r="C3588" t="s">
        <v>1408</v>
      </c>
      <c r="D3588" t="s">
        <v>2892</v>
      </c>
      <c r="E3588">
        <v>0</v>
      </c>
      <c r="F3588" s="11">
        <v>0</v>
      </c>
    </row>
    <row r="3589" spans="1:6" x14ac:dyDescent="0.35">
      <c r="A3589" t="s">
        <v>2856</v>
      </c>
      <c r="B3589" t="s">
        <v>2866</v>
      </c>
      <c r="C3589" t="s">
        <v>1408</v>
      </c>
      <c r="D3589" t="s">
        <v>2893</v>
      </c>
      <c r="E3589">
        <v>0</v>
      </c>
      <c r="F3589" s="11">
        <v>0</v>
      </c>
    </row>
    <row r="3590" spans="1:6" x14ac:dyDescent="0.35">
      <c r="A3590" t="s">
        <v>2856</v>
      </c>
      <c r="B3590" t="s">
        <v>2866</v>
      </c>
      <c r="C3590" t="s">
        <v>1408</v>
      </c>
      <c r="D3590" t="s">
        <v>2894</v>
      </c>
      <c r="E3590">
        <v>0</v>
      </c>
      <c r="F3590" s="11">
        <v>0</v>
      </c>
    </row>
    <row r="3591" spans="1:6" x14ac:dyDescent="0.35">
      <c r="A3591" t="s">
        <v>2856</v>
      </c>
      <c r="B3591" t="s">
        <v>2866</v>
      </c>
      <c r="C3591" t="s">
        <v>1408</v>
      </c>
      <c r="D3591" t="s">
        <v>2895</v>
      </c>
      <c r="E3591">
        <v>904928</v>
      </c>
      <c r="F3591" s="11">
        <v>1</v>
      </c>
    </row>
    <row r="3592" spans="1:6" x14ac:dyDescent="0.35">
      <c r="A3592" t="s">
        <v>2856</v>
      </c>
      <c r="B3592" t="s">
        <v>2866</v>
      </c>
      <c r="C3592" t="s">
        <v>1408</v>
      </c>
      <c r="D3592" t="s">
        <v>2896</v>
      </c>
      <c r="E3592">
        <v>0</v>
      </c>
      <c r="F3592" s="11">
        <v>0</v>
      </c>
    </row>
    <row r="3593" spans="1:6" x14ac:dyDescent="0.35">
      <c r="A3593" t="s">
        <v>2856</v>
      </c>
      <c r="B3593" t="s">
        <v>2866</v>
      </c>
      <c r="C3593" t="s">
        <v>1408</v>
      </c>
      <c r="D3593" t="s">
        <v>2897</v>
      </c>
      <c r="E3593">
        <v>0</v>
      </c>
      <c r="F3593" s="11">
        <v>0</v>
      </c>
    </row>
    <row r="3594" spans="1:6" x14ac:dyDescent="0.35">
      <c r="A3594" t="s">
        <v>2856</v>
      </c>
      <c r="B3594" t="s">
        <v>2866</v>
      </c>
      <c r="C3594" t="s">
        <v>1408</v>
      </c>
      <c r="D3594" t="s">
        <v>2898</v>
      </c>
      <c r="E3594">
        <v>0</v>
      </c>
      <c r="F3594" s="11">
        <v>0</v>
      </c>
    </row>
    <row r="3595" spans="1:6" x14ac:dyDescent="0.35">
      <c r="A3595" t="s">
        <v>2856</v>
      </c>
      <c r="B3595" t="s">
        <v>2866</v>
      </c>
      <c r="C3595" t="s">
        <v>1408</v>
      </c>
      <c r="D3595" t="s">
        <v>2899</v>
      </c>
      <c r="E3595">
        <v>5624</v>
      </c>
      <c r="F3595" s="11">
        <v>1</v>
      </c>
    </row>
    <row r="3596" spans="1:6" x14ac:dyDescent="0.35">
      <c r="A3596" t="s">
        <v>2856</v>
      </c>
      <c r="B3596" t="s">
        <v>2866</v>
      </c>
      <c r="C3596" t="s">
        <v>1408</v>
      </c>
      <c r="D3596" t="s">
        <v>2900</v>
      </c>
      <c r="E3596">
        <v>0</v>
      </c>
      <c r="F3596" s="11">
        <v>0</v>
      </c>
    </row>
    <row r="3597" spans="1:6" x14ac:dyDescent="0.35">
      <c r="A3597" t="s">
        <v>2856</v>
      </c>
      <c r="B3597" t="s">
        <v>2866</v>
      </c>
      <c r="C3597" t="s">
        <v>1408</v>
      </c>
      <c r="D3597" t="s">
        <v>2901</v>
      </c>
      <c r="E3597">
        <v>0</v>
      </c>
      <c r="F3597" s="11">
        <v>0</v>
      </c>
    </row>
    <row r="3598" spans="1:6" x14ac:dyDescent="0.35">
      <c r="A3598" t="s">
        <v>2856</v>
      </c>
      <c r="B3598" t="s">
        <v>2866</v>
      </c>
      <c r="C3598" t="s">
        <v>1408</v>
      </c>
      <c r="D3598" t="s">
        <v>2902</v>
      </c>
      <c r="E3598">
        <v>0</v>
      </c>
      <c r="F3598" s="11">
        <v>0</v>
      </c>
    </row>
    <row r="3599" spans="1:6" x14ac:dyDescent="0.35">
      <c r="A3599" t="s">
        <v>2856</v>
      </c>
      <c r="B3599" t="s">
        <v>2866</v>
      </c>
      <c r="C3599" t="s">
        <v>1408</v>
      </c>
      <c r="D3599" t="s">
        <v>2903</v>
      </c>
      <c r="E3599">
        <v>83163</v>
      </c>
      <c r="F3599" s="11">
        <v>1</v>
      </c>
    </row>
    <row r="3600" spans="1:6" x14ac:dyDescent="0.35">
      <c r="A3600" t="s">
        <v>2856</v>
      </c>
      <c r="B3600" t="s">
        <v>2866</v>
      </c>
      <c r="C3600" t="s">
        <v>1408</v>
      </c>
      <c r="D3600" t="s">
        <v>2904</v>
      </c>
      <c r="E3600">
        <v>0</v>
      </c>
      <c r="F3600" s="11">
        <v>0</v>
      </c>
    </row>
    <row r="3601" spans="1:6" x14ac:dyDescent="0.35">
      <c r="A3601" t="s">
        <v>2856</v>
      </c>
      <c r="B3601" t="s">
        <v>2866</v>
      </c>
      <c r="C3601" t="s">
        <v>1408</v>
      </c>
      <c r="D3601" t="s">
        <v>2905</v>
      </c>
      <c r="E3601">
        <v>0</v>
      </c>
      <c r="F3601" s="11">
        <v>0</v>
      </c>
    </row>
    <row r="3602" spans="1:6" x14ac:dyDescent="0.35">
      <c r="A3602" t="s">
        <v>2856</v>
      </c>
      <c r="B3602" t="s">
        <v>2866</v>
      </c>
      <c r="C3602" t="s">
        <v>1408</v>
      </c>
      <c r="D3602" t="s">
        <v>2906</v>
      </c>
      <c r="E3602">
        <v>0</v>
      </c>
      <c r="F3602" s="11">
        <v>0</v>
      </c>
    </row>
    <row r="3603" spans="1:6" x14ac:dyDescent="0.35">
      <c r="A3603" t="s">
        <v>2856</v>
      </c>
      <c r="B3603" t="s">
        <v>2866</v>
      </c>
      <c r="C3603" t="s">
        <v>1408</v>
      </c>
      <c r="D3603" t="s">
        <v>2907</v>
      </c>
      <c r="E3603">
        <v>148609</v>
      </c>
      <c r="F3603" s="11">
        <v>1</v>
      </c>
    </row>
    <row r="3604" spans="1:6" x14ac:dyDescent="0.35">
      <c r="A3604" t="s">
        <v>2856</v>
      </c>
      <c r="B3604" t="s">
        <v>2866</v>
      </c>
      <c r="C3604" t="s">
        <v>1408</v>
      </c>
      <c r="D3604" t="s">
        <v>2908</v>
      </c>
      <c r="E3604">
        <v>0</v>
      </c>
      <c r="F3604" s="11">
        <v>0</v>
      </c>
    </row>
    <row r="3605" spans="1:6" x14ac:dyDescent="0.35">
      <c r="A3605" t="s">
        <v>2856</v>
      </c>
      <c r="B3605" t="s">
        <v>2866</v>
      </c>
      <c r="C3605" t="s">
        <v>1408</v>
      </c>
      <c r="D3605" t="s">
        <v>2909</v>
      </c>
      <c r="E3605">
        <v>0</v>
      </c>
      <c r="F3605" s="11">
        <v>0</v>
      </c>
    </row>
    <row r="3606" spans="1:6" x14ac:dyDescent="0.35">
      <c r="A3606" t="s">
        <v>2856</v>
      </c>
      <c r="B3606" t="s">
        <v>2866</v>
      </c>
      <c r="C3606" t="s">
        <v>1408</v>
      </c>
      <c r="D3606" t="s">
        <v>2910</v>
      </c>
      <c r="E3606">
        <v>0</v>
      </c>
      <c r="F3606" s="11">
        <v>0</v>
      </c>
    </row>
    <row r="3607" spans="1:6" x14ac:dyDescent="0.35">
      <c r="A3607" t="s">
        <v>2856</v>
      </c>
      <c r="B3607" t="s">
        <v>2866</v>
      </c>
      <c r="C3607" t="s">
        <v>1408</v>
      </c>
      <c r="D3607" t="s">
        <v>2911</v>
      </c>
      <c r="E3607">
        <v>1280975</v>
      </c>
      <c r="F3607" s="11">
        <v>1</v>
      </c>
    </row>
    <row r="3608" spans="1:6" x14ac:dyDescent="0.35">
      <c r="A3608" t="s">
        <v>2856</v>
      </c>
      <c r="B3608" t="s">
        <v>2866</v>
      </c>
      <c r="C3608" t="s">
        <v>1408</v>
      </c>
      <c r="D3608" t="s">
        <v>2912</v>
      </c>
      <c r="E3608">
        <v>325349</v>
      </c>
      <c r="F3608" s="11">
        <v>1</v>
      </c>
    </row>
    <row r="3609" spans="1:6" x14ac:dyDescent="0.35">
      <c r="A3609" t="s">
        <v>2856</v>
      </c>
      <c r="B3609" t="s">
        <v>2866</v>
      </c>
      <c r="C3609" t="s">
        <v>1408</v>
      </c>
      <c r="D3609" t="s">
        <v>2913</v>
      </c>
      <c r="E3609">
        <v>0</v>
      </c>
      <c r="F3609" s="11">
        <v>0</v>
      </c>
    </row>
    <row r="3610" spans="1:6" x14ac:dyDescent="0.35">
      <c r="A3610" t="s">
        <v>2856</v>
      </c>
      <c r="B3610" t="s">
        <v>2866</v>
      </c>
      <c r="C3610" t="s">
        <v>1408</v>
      </c>
      <c r="D3610" t="s">
        <v>2914</v>
      </c>
      <c r="E3610">
        <v>0</v>
      </c>
      <c r="F3610" s="11">
        <v>0</v>
      </c>
    </row>
    <row r="3611" spans="1:6" x14ac:dyDescent="0.35">
      <c r="A3611" t="s">
        <v>2856</v>
      </c>
      <c r="B3611" t="s">
        <v>2866</v>
      </c>
      <c r="C3611" t="s">
        <v>1408</v>
      </c>
      <c r="D3611" t="s">
        <v>2915</v>
      </c>
      <c r="E3611">
        <v>1886</v>
      </c>
      <c r="F3611" s="11">
        <v>1</v>
      </c>
    </row>
    <row r="3612" spans="1:6" x14ac:dyDescent="0.35">
      <c r="A3612" t="s">
        <v>2856</v>
      </c>
      <c r="B3612" t="s">
        <v>2866</v>
      </c>
      <c r="C3612" t="s">
        <v>1408</v>
      </c>
      <c r="D3612" t="s">
        <v>2916</v>
      </c>
      <c r="E3612">
        <v>133346</v>
      </c>
      <c r="F3612" s="11">
        <v>1</v>
      </c>
    </row>
    <row r="3613" spans="1:6" x14ac:dyDescent="0.35">
      <c r="A3613" t="s">
        <v>2856</v>
      </c>
      <c r="B3613" t="s">
        <v>2866</v>
      </c>
      <c r="C3613" t="s">
        <v>1408</v>
      </c>
      <c r="D3613" t="s">
        <v>2917</v>
      </c>
      <c r="E3613">
        <v>624097</v>
      </c>
      <c r="F3613" s="11">
        <v>1</v>
      </c>
    </row>
    <row r="3614" spans="1:6" x14ac:dyDescent="0.35">
      <c r="A3614" t="s">
        <v>2856</v>
      </c>
      <c r="B3614" t="s">
        <v>2865</v>
      </c>
      <c r="C3614" t="s">
        <v>1417</v>
      </c>
      <c r="D3614" t="s">
        <v>2875</v>
      </c>
      <c r="E3614">
        <v>25987</v>
      </c>
      <c r="F3614" s="11">
        <v>1</v>
      </c>
    </row>
    <row r="3615" spans="1:6" x14ac:dyDescent="0.35">
      <c r="A3615" t="s">
        <v>2856</v>
      </c>
      <c r="B3615" t="s">
        <v>2865</v>
      </c>
      <c r="C3615" t="s">
        <v>1417</v>
      </c>
      <c r="D3615" t="s">
        <v>2876</v>
      </c>
      <c r="E3615">
        <v>3105</v>
      </c>
      <c r="F3615" s="11">
        <v>1</v>
      </c>
    </row>
    <row r="3616" spans="1:6" x14ac:dyDescent="0.35">
      <c r="A3616" t="s">
        <v>2856</v>
      </c>
      <c r="B3616" t="s">
        <v>2865</v>
      </c>
      <c r="C3616" t="s">
        <v>1417</v>
      </c>
      <c r="D3616" t="s">
        <v>2877</v>
      </c>
      <c r="E3616">
        <v>5512</v>
      </c>
      <c r="F3616" s="11">
        <v>1</v>
      </c>
    </row>
    <row r="3617" spans="1:6" x14ac:dyDescent="0.35">
      <c r="A3617" t="s">
        <v>2856</v>
      </c>
      <c r="B3617" t="s">
        <v>2865</v>
      </c>
      <c r="C3617" t="s">
        <v>1417</v>
      </c>
      <c r="D3617" t="s">
        <v>2878</v>
      </c>
      <c r="E3617">
        <v>462</v>
      </c>
      <c r="F3617" s="11">
        <v>1</v>
      </c>
    </row>
    <row r="3618" spans="1:6" x14ac:dyDescent="0.35">
      <c r="A3618" t="s">
        <v>2856</v>
      </c>
      <c r="B3618" t="s">
        <v>2865</v>
      </c>
      <c r="C3618" t="s">
        <v>1417</v>
      </c>
      <c r="D3618" t="s">
        <v>2879</v>
      </c>
      <c r="E3618">
        <v>3311</v>
      </c>
      <c r="F3618" s="11">
        <v>1</v>
      </c>
    </row>
    <row r="3619" spans="1:6" x14ac:dyDescent="0.35">
      <c r="A3619" t="s">
        <v>2856</v>
      </c>
      <c r="B3619" t="s">
        <v>2865</v>
      </c>
      <c r="C3619" t="s">
        <v>1417</v>
      </c>
      <c r="D3619" t="s">
        <v>2880</v>
      </c>
      <c r="E3619">
        <v>0</v>
      </c>
      <c r="F3619" s="11">
        <v>0</v>
      </c>
    </row>
    <row r="3620" spans="1:6" x14ac:dyDescent="0.35">
      <c r="A3620" t="s">
        <v>2856</v>
      </c>
      <c r="B3620" t="s">
        <v>2865</v>
      </c>
      <c r="C3620" t="s">
        <v>1417</v>
      </c>
      <c r="D3620" t="s">
        <v>2881</v>
      </c>
      <c r="E3620">
        <v>0</v>
      </c>
      <c r="F3620" s="11">
        <v>0</v>
      </c>
    </row>
    <row r="3621" spans="1:6" x14ac:dyDescent="0.35">
      <c r="A3621" t="s">
        <v>2856</v>
      </c>
      <c r="B3621" t="s">
        <v>2865</v>
      </c>
      <c r="C3621" t="s">
        <v>1417</v>
      </c>
      <c r="D3621" t="s">
        <v>2882</v>
      </c>
      <c r="E3621">
        <v>0</v>
      </c>
      <c r="F3621" s="11">
        <v>0</v>
      </c>
    </row>
    <row r="3622" spans="1:6" x14ac:dyDescent="0.35">
      <c r="A3622" t="s">
        <v>2856</v>
      </c>
      <c r="B3622" t="s">
        <v>2865</v>
      </c>
      <c r="C3622" t="s">
        <v>1417</v>
      </c>
      <c r="D3622" t="s">
        <v>2883</v>
      </c>
      <c r="E3622">
        <v>0</v>
      </c>
      <c r="F3622" s="11">
        <v>1</v>
      </c>
    </row>
    <row r="3623" spans="1:6" x14ac:dyDescent="0.35">
      <c r="A3623" t="s">
        <v>2856</v>
      </c>
      <c r="B3623" t="s">
        <v>2865</v>
      </c>
      <c r="C3623" t="s">
        <v>1417</v>
      </c>
      <c r="D3623" t="s">
        <v>2884</v>
      </c>
      <c r="E3623">
        <v>0</v>
      </c>
      <c r="F3623" s="11">
        <v>0</v>
      </c>
    </row>
    <row r="3624" spans="1:6" x14ac:dyDescent="0.35">
      <c r="A3624" t="s">
        <v>2856</v>
      </c>
      <c r="B3624" t="s">
        <v>2865</v>
      </c>
      <c r="C3624" t="s">
        <v>1417</v>
      </c>
      <c r="D3624" t="s">
        <v>2885</v>
      </c>
      <c r="E3624">
        <v>0</v>
      </c>
      <c r="F3624" s="11">
        <v>0</v>
      </c>
    </row>
    <row r="3625" spans="1:6" x14ac:dyDescent="0.35">
      <c r="A3625" t="s">
        <v>2856</v>
      </c>
      <c r="B3625" t="s">
        <v>2865</v>
      </c>
      <c r="C3625" t="s">
        <v>1417</v>
      </c>
      <c r="D3625" t="s">
        <v>2886</v>
      </c>
      <c r="E3625">
        <v>0</v>
      </c>
      <c r="F3625" s="11">
        <v>0</v>
      </c>
    </row>
    <row r="3626" spans="1:6" x14ac:dyDescent="0.35">
      <c r="A3626" t="s">
        <v>2856</v>
      </c>
      <c r="B3626" t="s">
        <v>2865</v>
      </c>
      <c r="C3626" t="s">
        <v>1417</v>
      </c>
      <c r="D3626" t="s">
        <v>2887</v>
      </c>
      <c r="E3626">
        <v>55904</v>
      </c>
      <c r="F3626" s="11">
        <v>1</v>
      </c>
    </row>
    <row r="3627" spans="1:6" x14ac:dyDescent="0.35">
      <c r="A3627" t="s">
        <v>2856</v>
      </c>
      <c r="B3627" t="s">
        <v>2865</v>
      </c>
      <c r="C3627" t="s">
        <v>1417</v>
      </c>
      <c r="D3627" t="s">
        <v>2888</v>
      </c>
      <c r="E3627">
        <v>0</v>
      </c>
      <c r="F3627" s="11">
        <v>0</v>
      </c>
    </row>
    <row r="3628" spans="1:6" x14ac:dyDescent="0.35">
      <c r="A3628" t="s">
        <v>2856</v>
      </c>
      <c r="B3628" t="s">
        <v>2865</v>
      </c>
      <c r="C3628" t="s">
        <v>1417</v>
      </c>
      <c r="D3628" t="s">
        <v>2889</v>
      </c>
      <c r="E3628">
        <v>0</v>
      </c>
      <c r="F3628" s="11">
        <v>0</v>
      </c>
    </row>
    <row r="3629" spans="1:6" x14ac:dyDescent="0.35">
      <c r="A3629" t="s">
        <v>2856</v>
      </c>
      <c r="B3629" t="s">
        <v>2865</v>
      </c>
      <c r="C3629" t="s">
        <v>1417</v>
      </c>
      <c r="D3629" t="s">
        <v>2890</v>
      </c>
      <c r="E3629">
        <v>0</v>
      </c>
      <c r="F3629" s="11">
        <v>0</v>
      </c>
    </row>
    <row r="3630" spans="1:6" x14ac:dyDescent="0.35">
      <c r="A3630" t="s">
        <v>2856</v>
      </c>
      <c r="B3630" t="s">
        <v>2865</v>
      </c>
      <c r="C3630" t="s">
        <v>1417</v>
      </c>
      <c r="D3630" t="s">
        <v>2891</v>
      </c>
      <c r="E3630">
        <v>0</v>
      </c>
      <c r="F3630" s="11">
        <v>1</v>
      </c>
    </row>
    <row r="3631" spans="1:6" x14ac:dyDescent="0.35">
      <c r="A3631" t="s">
        <v>2856</v>
      </c>
      <c r="B3631" t="s">
        <v>2865</v>
      </c>
      <c r="C3631" t="s">
        <v>1417</v>
      </c>
      <c r="D3631" t="s">
        <v>2892</v>
      </c>
      <c r="E3631">
        <v>0</v>
      </c>
      <c r="F3631" s="11">
        <v>0</v>
      </c>
    </row>
    <row r="3632" spans="1:6" x14ac:dyDescent="0.35">
      <c r="A3632" t="s">
        <v>2856</v>
      </c>
      <c r="B3632" t="s">
        <v>2865</v>
      </c>
      <c r="C3632" t="s">
        <v>1417</v>
      </c>
      <c r="D3632" t="s">
        <v>2893</v>
      </c>
      <c r="E3632">
        <v>0</v>
      </c>
      <c r="F3632" s="11">
        <v>0</v>
      </c>
    </row>
    <row r="3633" spans="1:6" x14ac:dyDescent="0.35">
      <c r="A3633" t="s">
        <v>2856</v>
      </c>
      <c r="B3633" t="s">
        <v>2865</v>
      </c>
      <c r="C3633" t="s">
        <v>1417</v>
      </c>
      <c r="D3633" t="s">
        <v>2894</v>
      </c>
      <c r="E3633">
        <v>0</v>
      </c>
      <c r="F3633" s="11">
        <v>0</v>
      </c>
    </row>
    <row r="3634" spans="1:6" x14ac:dyDescent="0.35">
      <c r="A3634" t="s">
        <v>2856</v>
      </c>
      <c r="B3634" t="s">
        <v>2865</v>
      </c>
      <c r="C3634" t="s">
        <v>1417</v>
      </c>
      <c r="D3634" t="s">
        <v>2895</v>
      </c>
      <c r="E3634">
        <v>302108</v>
      </c>
      <c r="F3634" s="11">
        <v>1</v>
      </c>
    </row>
    <row r="3635" spans="1:6" x14ac:dyDescent="0.35">
      <c r="A3635" t="s">
        <v>2856</v>
      </c>
      <c r="B3635" t="s">
        <v>2865</v>
      </c>
      <c r="C3635" t="s">
        <v>1417</v>
      </c>
      <c r="D3635" t="s">
        <v>2896</v>
      </c>
      <c r="E3635">
        <v>130747</v>
      </c>
      <c r="F3635" s="11">
        <v>1</v>
      </c>
    </row>
    <row r="3636" spans="1:6" x14ac:dyDescent="0.35">
      <c r="A3636" t="s">
        <v>2856</v>
      </c>
      <c r="B3636" t="s">
        <v>2865</v>
      </c>
      <c r="C3636" t="s">
        <v>1417</v>
      </c>
      <c r="D3636" t="s">
        <v>2897</v>
      </c>
      <c r="E3636">
        <v>168691</v>
      </c>
      <c r="F3636" s="11">
        <v>1</v>
      </c>
    </row>
    <row r="3637" spans="1:6" x14ac:dyDescent="0.35">
      <c r="A3637" t="s">
        <v>2856</v>
      </c>
      <c r="B3637" t="s">
        <v>2865</v>
      </c>
      <c r="C3637" t="s">
        <v>1417</v>
      </c>
      <c r="D3637" t="s">
        <v>2898</v>
      </c>
      <c r="E3637">
        <v>2670</v>
      </c>
      <c r="F3637" s="11">
        <v>1</v>
      </c>
    </row>
    <row r="3638" spans="1:6" x14ac:dyDescent="0.35">
      <c r="A3638" t="s">
        <v>2856</v>
      </c>
      <c r="B3638" t="s">
        <v>2865</v>
      </c>
      <c r="C3638" t="s">
        <v>1417</v>
      </c>
      <c r="D3638" t="s">
        <v>2899</v>
      </c>
      <c r="E3638">
        <v>7036</v>
      </c>
      <c r="F3638" s="11">
        <v>1</v>
      </c>
    </row>
    <row r="3639" spans="1:6" x14ac:dyDescent="0.35">
      <c r="A3639" t="s">
        <v>2856</v>
      </c>
      <c r="B3639" t="s">
        <v>2865</v>
      </c>
      <c r="C3639" t="s">
        <v>1417</v>
      </c>
      <c r="D3639" t="s">
        <v>2900</v>
      </c>
      <c r="E3639">
        <v>7036</v>
      </c>
      <c r="F3639" s="11">
        <v>0</v>
      </c>
    </row>
    <row r="3640" spans="1:6" x14ac:dyDescent="0.35">
      <c r="A3640" t="s">
        <v>2856</v>
      </c>
      <c r="B3640" t="s">
        <v>2865</v>
      </c>
      <c r="C3640" t="s">
        <v>1417</v>
      </c>
      <c r="D3640" t="s">
        <v>2901</v>
      </c>
      <c r="E3640">
        <v>0</v>
      </c>
      <c r="F3640" s="11">
        <v>0</v>
      </c>
    </row>
    <row r="3641" spans="1:6" x14ac:dyDescent="0.35">
      <c r="A3641" t="s">
        <v>2856</v>
      </c>
      <c r="B3641" t="s">
        <v>2865</v>
      </c>
      <c r="C3641" t="s">
        <v>1417</v>
      </c>
      <c r="D3641" t="s">
        <v>2902</v>
      </c>
      <c r="E3641">
        <v>0</v>
      </c>
      <c r="F3641" s="11">
        <v>0</v>
      </c>
    </row>
    <row r="3642" spans="1:6" x14ac:dyDescent="0.35">
      <c r="A3642" t="s">
        <v>2856</v>
      </c>
      <c r="B3642" t="s">
        <v>2865</v>
      </c>
      <c r="C3642" t="s">
        <v>1417</v>
      </c>
      <c r="D3642" t="s">
        <v>2903</v>
      </c>
      <c r="E3642">
        <v>26064</v>
      </c>
      <c r="F3642" s="11">
        <v>1</v>
      </c>
    </row>
    <row r="3643" spans="1:6" x14ac:dyDescent="0.35">
      <c r="A3643" t="s">
        <v>2856</v>
      </c>
      <c r="B3643" t="s">
        <v>2865</v>
      </c>
      <c r="C3643" t="s">
        <v>1417</v>
      </c>
      <c r="D3643" t="s">
        <v>2904</v>
      </c>
      <c r="E3643">
        <v>0</v>
      </c>
      <c r="F3643" s="11">
        <v>0</v>
      </c>
    </row>
    <row r="3644" spans="1:6" x14ac:dyDescent="0.35">
      <c r="A3644" t="s">
        <v>2856</v>
      </c>
      <c r="B3644" t="s">
        <v>2865</v>
      </c>
      <c r="C3644" t="s">
        <v>1417</v>
      </c>
      <c r="D3644" t="s">
        <v>2905</v>
      </c>
      <c r="E3644">
        <v>0</v>
      </c>
      <c r="F3644" s="11">
        <v>0</v>
      </c>
    </row>
    <row r="3645" spans="1:6" x14ac:dyDescent="0.35">
      <c r="A3645" t="s">
        <v>2856</v>
      </c>
      <c r="B3645" t="s">
        <v>2865</v>
      </c>
      <c r="C3645" t="s">
        <v>1417</v>
      </c>
      <c r="D3645" t="s">
        <v>2906</v>
      </c>
      <c r="E3645">
        <v>0</v>
      </c>
      <c r="F3645" s="11">
        <v>0</v>
      </c>
    </row>
    <row r="3646" spans="1:6" x14ac:dyDescent="0.35">
      <c r="A3646" t="s">
        <v>2856</v>
      </c>
      <c r="B3646" t="s">
        <v>2865</v>
      </c>
      <c r="C3646" t="s">
        <v>1417</v>
      </c>
      <c r="D3646" t="s">
        <v>2907</v>
      </c>
      <c r="E3646">
        <v>32034</v>
      </c>
      <c r="F3646" s="11">
        <v>1</v>
      </c>
    </row>
    <row r="3647" spans="1:6" x14ac:dyDescent="0.35">
      <c r="A3647" t="s">
        <v>2856</v>
      </c>
      <c r="B3647" t="s">
        <v>2865</v>
      </c>
      <c r="C3647" t="s">
        <v>1417</v>
      </c>
      <c r="D3647" t="s">
        <v>2908</v>
      </c>
      <c r="E3647">
        <v>0</v>
      </c>
      <c r="F3647" s="11">
        <v>0</v>
      </c>
    </row>
    <row r="3648" spans="1:6" x14ac:dyDescent="0.35">
      <c r="A3648" t="s">
        <v>2856</v>
      </c>
      <c r="B3648" t="s">
        <v>2865</v>
      </c>
      <c r="C3648" t="s">
        <v>1417</v>
      </c>
      <c r="D3648" t="s">
        <v>2909</v>
      </c>
      <c r="E3648">
        <v>0</v>
      </c>
      <c r="F3648" s="11">
        <v>0</v>
      </c>
    </row>
    <row r="3649" spans="1:6" x14ac:dyDescent="0.35">
      <c r="A3649" t="s">
        <v>2856</v>
      </c>
      <c r="B3649" t="s">
        <v>2865</v>
      </c>
      <c r="C3649" t="s">
        <v>1417</v>
      </c>
      <c r="D3649" t="s">
        <v>2910</v>
      </c>
      <c r="E3649">
        <v>0</v>
      </c>
      <c r="F3649" s="11">
        <v>0</v>
      </c>
    </row>
    <row r="3650" spans="1:6" x14ac:dyDescent="0.35">
      <c r="A3650" t="s">
        <v>2856</v>
      </c>
      <c r="B3650" t="s">
        <v>2865</v>
      </c>
      <c r="C3650" t="s">
        <v>1417</v>
      </c>
      <c r="D3650" t="s">
        <v>2911</v>
      </c>
      <c r="E3650">
        <v>158160</v>
      </c>
      <c r="F3650" s="11">
        <v>1</v>
      </c>
    </row>
    <row r="3651" spans="1:6" x14ac:dyDescent="0.35">
      <c r="A3651" t="s">
        <v>2856</v>
      </c>
      <c r="B3651" t="s">
        <v>2865</v>
      </c>
      <c r="C3651" t="s">
        <v>1417</v>
      </c>
      <c r="D3651" t="s">
        <v>2912</v>
      </c>
      <c r="E3651">
        <v>72652</v>
      </c>
      <c r="F3651" s="11">
        <v>1</v>
      </c>
    </row>
    <row r="3652" spans="1:6" x14ac:dyDescent="0.35">
      <c r="A3652" t="s">
        <v>2856</v>
      </c>
      <c r="B3652" t="s">
        <v>2865</v>
      </c>
      <c r="C3652" t="s">
        <v>1417</v>
      </c>
      <c r="D3652" t="s">
        <v>2913</v>
      </c>
      <c r="E3652">
        <v>0</v>
      </c>
      <c r="F3652" s="11">
        <v>0</v>
      </c>
    </row>
    <row r="3653" spans="1:6" x14ac:dyDescent="0.35">
      <c r="A3653" t="s">
        <v>2856</v>
      </c>
      <c r="B3653" t="s">
        <v>2865</v>
      </c>
      <c r="C3653" t="s">
        <v>1417</v>
      </c>
      <c r="D3653" t="s">
        <v>2914</v>
      </c>
      <c r="E3653">
        <v>0</v>
      </c>
      <c r="F3653" s="11">
        <v>0</v>
      </c>
    </row>
    <row r="3654" spans="1:6" x14ac:dyDescent="0.35">
      <c r="A3654" t="s">
        <v>2856</v>
      </c>
      <c r="B3654" t="s">
        <v>2865</v>
      </c>
      <c r="C3654" t="s">
        <v>1417</v>
      </c>
      <c r="D3654" t="s">
        <v>2915</v>
      </c>
      <c r="E3654">
        <v>18235</v>
      </c>
      <c r="F3654" s="11">
        <v>1</v>
      </c>
    </row>
    <row r="3655" spans="1:6" x14ac:dyDescent="0.35">
      <c r="A3655" t="s">
        <v>2856</v>
      </c>
      <c r="B3655" t="s">
        <v>2865</v>
      </c>
      <c r="C3655" t="s">
        <v>1417</v>
      </c>
      <c r="D3655" t="s">
        <v>2916</v>
      </c>
      <c r="E3655">
        <v>0</v>
      </c>
      <c r="F3655" s="11">
        <v>0</v>
      </c>
    </row>
    <row r="3656" spans="1:6" x14ac:dyDescent="0.35">
      <c r="A3656" t="s">
        <v>2856</v>
      </c>
      <c r="B3656" t="s">
        <v>2865</v>
      </c>
      <c r="C3656" t="s">
        <v>1417</v>
      </c>
      <c r="D3656" t="s">
        <v>2917</v>
      </c>
      <c r="E3656">
        <v>0</v>
      </c>
      <c r="F3656" s="11">
        <v>0</v>
      </c>
    </row>
    <row r="3657" spans="1:6" x14ac:dyDescent="0.35">
      <c r="A3657" t="s">
        <v>2856</v>
      </c>
      <c r="B3657" t="s">
        <v>2863</v>
      </c>
      <c r="C3657" t="s">
        <v>1471</v>
      </c>
      <c r="D3657" t="s">
        <v>2875</v>
      </c>
      <c r="E3657">
        <v>66041</v>
      </c>
      <c r="F3657" s="11">
        <v>1</v>
      </c>
    </row>
    <row r="3658" spans="1:6" x14ac:dyDescent="0.35">
      <c r="A3658" t="s">
        <v>2856</v>
      </c>
      <c r="B3658" t="s">
        <v>2863</v>
      </c>
      <c r="C3658" t="s">
        <v>1471</v>
      </c>
      <c r="D3658" t="s">
        <v>2876</v>
      </c>
      <c r="E3658">
        <v>25461</v>
      </c>
      <c r="F3658" s="11">
        <v>1</v>
      </c>
    </row>
    <row r="3659" spans="1:6" x14ac:dyDescent="0.35">
      <c r="A3659" t="s">
        <v>2856</v>
      </c>
      <c r="B3659" t="s">
        <v>2863</v>
      </c>
      <c r="C3659" t="s">
        <v>1471</v>
      </c>
      <c r="D3659" t="s">
        <v>2877</v>
      </c>
      <c r="E3659">
        <v>33392</v>
      </c>
      <c r="F3659" s="11">
        <v>1</v>
      </c>
    </row>
    <row r="3660" spans="1:6" x14ac:dyDescent="0.35">
      <c r="A3660" t="s">
        <v>2856</v>
      </c>
      <c r="B3660" t="s">
        <v>2863</v>
      </c>
      <c r="C3660" t="s">
        <v>1471</v>
      </c>
      <c r="D3660" t="s">
        <v>2878</v>
      </c>
      <c r="E3660">
        <v>4347</v>
      </c>
      <c r="F3660" s="11">
        <v>1</v>
      </c>
    </row>
    <row r="3661" spans="1:6" x14ac:dyDescent="0.35">
      <c r="A3661" t="s">
        <v>2856</v>
      </c>
      <c r="B3661" t="s">
        <v>2863</v>
      </c>
      <c r="C3661" t="s">
        <v>1471</v>
      </c>
      <c r="D3661" t="s">
        <v>2879</v>
      </c>
      <c r="E3661">
        <v>10009</v>
      </c>
      <c r="F3661" s="11">
        <v>1</v>
      </c>
    </row>
    <row r="3662" spans="1:6" x14ac:dyDescent="0.35">
      <c r="A3662" t="s">
        <v>2856</v>
      </c>
      <c r="B3662" t="s">
        <v>2863</v>
      </c>
      <c r="C3662" t="s">
        <v>1471</v>
      </c>
      <c r="D3662" t="s">
        <v>2880</v>
      </c>
      <c r="E3662">
        <v>0</v>
      </c>
      <c r="F3662" s="11">
        <v>1</v>
      </c>
    </row>
    <row r="3663" spans="1:6" x14ac:dyDescent="0.35">
      <c r="A3663" t="s">
        <v>2856</v>
      </c>
      <c r="B3663" t="s">
        <v>2863</v>
      </c>
      <c r="C3663" t="s">
        <v>1471</v>
      </c>
      <c r="D3663" t="s">
        <v>2881</v>
      </c>
      <c r="E3663">
        <v>0</v>
      </c>
      <c r="F3663" s="11">
        <v>1</v>
      </c>
    </row>
    <row r="3664" spans="1:6" x14ac:dyDescent="0.35">
      <c r="A3664" t="s">
        <v>2856</v>
      </c>
      <c r="B3664" t="s">
        <v>2863</v>
      </c>
      <c r="C3664" t="s">
        <v>1471</v>
      </c>
      <c r="D3664" t="s">
        <v>2882</v>
      </c>
      <c r="E3664">
        <v>0</v>
      </c>
      <c r="F3664" s="11">
        <v>1</v>
      </c>
    </row>
    <row r="3665" spans="1:6" x14ac:dyDescent="0.35">
      <c r="A3665" t="s">
        <v>2856</v>
      </c>
      <c r="B3665" t="s">
        <v>2863</v>
      </c>
      <c r="C3665" t="s">
        <v>1471</v>
      </c>
      <c r="D3665" t="s">
        <v>2883</v>
      </c>
      <c r="E3665">
        <v>15</v>
      </c>
      <c r="F3665" s="11">
        <v>1</v>
      </c>
    </row>
    <row r="3666" spans="1:6" x14ac:dyDescent="0.35">
      <c r="A3666" t="s">
        <v>2856</v>
      </c>
      <c r="B3666" t="s">
        <v>2863</v>
      </c>
      <c r="C3666" t="s">
        <v>1471</v>
      </c>
      <c r="D3666" t="s">
        <v>2884</v>
      </c>
      <c r="E3666">
        <v>15</v>
      </c>
      <c r="F3666" s="11">
        <v>0</v>
      </c>
    </row>
    <row r="3667" spans="1:6" x14ac:dyDescent="0.35">
      <c r="A3667" t="s">
        <v>2856</v>
      </c>
      <c r="B3667" t="s">
        <v>2863</v>
      </c>
      <c r="C3667" t="s">
        <v>1471</v>
      </c>
      <c r="D3667" t="s">
        <v>2885</v>
      </c>
      <c r="E3667">
        <v>0</v>
      </c>
      <c r="F3667" s="11">
        <v>0</v>
      </c>
    </row>
    <row r="3668" spans="1:6" x14ac:dyDescent="0.35">
      <c r="A3668" t="s">
        <v>2856</v>
      </c>
      <c r="B3668" t="s">
        <v>2863</v>
      </c>
      <c r="C3668" t="s">
        <v>1471</v>
      </c>
      <c r="D3668" t="s">
        <v>2886</v>
      </c>
      <c r="E3668">
        <v>0</v>
      </c>
      <c r="F3668" s="11">
        <v>1</v>
      </c>
    </row>
    <row r="3669" spans="1:6" x14ac:dyDescent="0.35">
      <c r="A3669" t="s">
        <v>2856</v>
      </c>
      <c r="B3669" t="s">
        <v>2863</v>
      </c>
      <c r="C3669" t="s">
        <v>1471</v>
      </c>
      <c r="D3669" t="s">
        <v>2887</v>
      </c>
      <c r="E3669">
        <v>145776</v>
      </c>
      <c r="F3669" s="11">
        <v>1</v>
      </c>
    </row>
    <row r="3670" spans="1:6" x14ac:dyDescent="0.35">
      <c r="A3670" t="s">
        <v>2856</v>
      </c>
      <c r="B3670" t="s">
        <v>2863</v>
      </c>
      <c r="C3670" t="s">
        <v>1471</v>
      </c>
      <c r="D3670" t="s">
        <v>2888</v>
      </c>
      <c r="E3670">
        <v>75483</v>
      </c>
      <c r="F3670" s="11">
        <v>1</v>
      </c>
    </row>
    <row r="3671" spans="1:6" x14ac:dyDescent="0.35">
      <c r="A3671" t="s">
        <v>2856</v>
      </c>
      <c r="B3671" t="s">
        <v>2863</v>
      </c>
      <c r="C3671" t="s">
        <v>1471</v>
      </c>
      <c r="D3671" t="s">
        <v>2889</v>
      </c>
      <c r="E3671">
        <v>68794</v>
      </c>
      <c r="F3671" s="11">
        <v>1</v>
      </c>
    </row>
    <row r="3672" spans="1:6" x14ac:dyDescent="0.35">
      <c r="A3672" t="s">
        <v>2856</v>
      </c>
      <c r="B3672" t="s">
        <v>2863</v>
      </c>
      <c r="C3672" t="s">
        <v>1471</v>
      </c>
      <c r="D3672" t="s">
        <v>2890</v>
      </c>
      <c r="E3672">
        <v>1499</v>
      </c>
      <c r="F3672" s="11">
        <v>1</v>
      </c>
    </row>
    <row r="3673" spans="1:6" x14ac:dyDescent="0.35">
      <c r="A3673" t="s">
        <v>2856</v>
      </c>
      <c r="B3673" t="s">
        <v>2863</v>
      </c>
      <c r="C3673" t="s">
        <v>1471</v>
      </c>
      <c r="D3673" t="s">
        <v>2891</v>
      </c>
      <c r="E3673">
        <v>29323</v>
      </c>
      <c r="F3673" s="11">
        <v>1</v>
      </c>
    </row>
    <row r="3674" spans="1:6" x14ac:dyDescent="0.35">
      <c r="A3674" t="s">
        <v>2856</v>
      </c>
      <c r="B3674" t="s">
        <v>2863</v>
      </c>
      <c r="C3674" t="s">
        <v>1471</v>
      </c>
      <c r="D3674" t="s">
        <v>2892</v>
      </c>
      <c r="E3674">
        <v>0</v>
      </c>
      <c r="F3674" s="11">
        <v>0</v>
      </c>
    </row>
    <row r="3675" spans="1:6" x14ac:dyDescent="0.35">
      <c r="A3675" t="s">
        <v>2856</v>
      </c>
      <c r="B3675" t="s">
        <v>2863</v>
      </c>
      <c r="C3675" t="s">
        <v>1471</v>
      </c>
      <c r="D3675" t="s">
        <v>2893</v>
      </c>
      <c r="E3675">
        <v>0</v>
      </c>
      <c r="F3675" s="11">
        <v>0</v>
      </c>
    </row>
    <row r="3676" spans="1:6" x14ac:dyDescent="0.35">
      <c r="A3676" t="s">
        <v>2856</v>
      </c>
      <c r="B3676" t="s">
        <v>2863</v>
      </c>
      <c r="C3676" t="s">
        <v>1471</v>
      </c>
      <c r="D3676" t="s">
        <v>2894</v>
      </c>
      <c r="E3676">
        <v>0</v>
      </c>
      <c r="F3676" s="11">
        <v>1</v>
      </c>
    </row>
    <row r="3677" spans="1:6" x14ac:dyDescent="0.35">
      <c r="A3677" t="s">
        <v>2856</v>
      </c>
      <c r="B3677" t="s">
        <v>2863</v>
      </c>
      <c r="C3677" t="s">
        <v>1471</v>
      </c>
      <c r="D3677" t="s">
        <v>2895</v>
      </c>
      <c r="E3677">
        <v>1508751</v>
      </c>
      <c r="F3677" s="11">
        <v>1</v>
      </c>
    </row>
    <row r="3678" spans="1:6" x14ac:dyDescent="0.35">
      <c r="A3678" t="s">
        <v>2856</v>
      </c>
      <c r="B3678" t="s">
        <v>2863</v>
      </c>
      <c r="C3678" t="s">
        <v>1471</v>
      </c>
      <c r="D3678" t="s">
        <v>2896</v>
      </c>
      <c r="E3678">
        <v>869164</v>
      </c>
      <c r="F3678" s="11">
        <v>1</v>
      </c>
    </row>
    <row r="3679" spans="1:6" x14ac:dyDescent="0.35">
      <c r="A3679" t="s">
        <v>2856</v>
      </c>
      <c r="B3679" t="s">
        <v>2863</v>
      </c>
      <c r="C3679" t="s">
        <v>1471</v>
      </c>
      <c r="D3679" t="s">
        <v>2897</v>
      </c>
      <c r="E3679">
        <v>631553</v>
      </c>
      <c r="F3679" s="11">
        <v>1</v>
      </c>
    </row>
    <row r="3680" spans="1:6" x14ac:dyDescent="0.35">
      <c r="A3680" t="s">
        <v>2856</v>
      </c>
      <c r="B3680" t="s">
        <v>2863</v>
      </c>
      <c r="C3680" t="s">
        <v>1471</v>
      </c>
      <c r="D3680" t="s">
        <v>2898</v>
      </c>
      <c r="E3680">
        <v>8034</v>
      </c>
      <c r="F3680" s="11">
        <v>1</v>
      </c>
    </row>
    <row r="3681" spans="1:6" x14ac:dyDescent="0.35">
      <c r="A3681" t="s">
        <v>2856</v>
      </c>
      <c r="B3681" t="s">
        <v>2863</v>
      </c>
      <c r="C3681" t="s">
        <v>1471</v>
      </c>
      <c r="D3681" t="s">
        <v>2899</v>
      </c>
      <c r="E3681">
        <v>27817</v>
      </c>
      <c r="F3681" s="11">
        <v>1</v>
      </c>
    </row>
    <row r="3682" spans="1:6" x14ac:dyDescent="0.35">
      <c r="A3682" t="s">
        <v>2856</v>
      </c>
      <c r="B3682" t="s">
        <v>2863</v>
      </c>
      <c r="C3682" t="s">
        <v>1471</v>
      </c>
      <c r="D3682" t="s">
        <v>2900</v>
      </c>
      <c r="E3682">
        <v>25887</v>
      </c>
      <c r="F3682" s="11">
        <v>1</v>
      </c>
    </row>
    <row r="3683" spans="1:6" x14ac:dyDescent="0.35">
      <c r="A3683" t="s">
        <v>2856</v>
      </c>
      <c r="B3683" t="s">
        <v>2863</v>
      </c>
      <c r="C3683" t="s">
        <v>1471</v>
      </c>
      <c r="D3683" t="s">
        <v>2901</v>
      </c>
      <c r="E3683">
        <v>1930</v>
      </c>
      <c r="F3683" s="11">
        <v>0</v>
      </c>
    </row>
    <row r="3684" spans="1:6" x14ac:dyDescent="0.35">
      <c r="A3684" t="s">
        <v>2856</v>
      </c>
      <c r="B3684" t="s">
        <v>2863</v>
      </c>
      <c r="C3684" t="s">
        <v>1471</v>
      </c>
      <c r="D3684" t="s">
        <v>2902</v>
      </c>
      <c r="E3684">
        <v>0</v>
      </c>
      <c r="F3684" s="11">
        <v>1</v>
      </c>
    </row>
    <row r="3685" spans="1:6" x14ac:dyDescent="0.35">
      <c r="A3685" t="s">
        <v>2856</v>
      </c>
      <c r="B3685" t="s">
        <v>2863</v>
      </c>
      <c r="C3685" t="s">
        <v>1471</v>
      </c>
      <c r="D3685" t="s">
        <v>2903</v>
      </c>
      <c r="E3685">
        <v>106353</v>
      </c>
      <c r="F3685" s="11">
        <v>1</v>
      </c>
    </row>
    <row r="3686" spans="1:6" x14ac:dyDescent="0.35">
      <c r="A3686" t="s">
        <v>2856</v>
      </c>
      <c r="B3686" t="s">
        <v>2863</v>
      </c>
      <c r="C3686" t="s">
        <v>1471</v>
      </c>
      <c r="D3686" t="s">
        <v>2904</v>
      </c>
      <c r="E3686">
        <v>94275</v>
      </c>
      <c r="F3686" s="11">
        <v>1</v>
      </c>
    </row>
    <row r="3687" spans="1:6" x14ac:dyDescent="0.35">
      <c r="A3687" t="s">
        <v>2856</v>
      </c>
      <c r="B3687" t="s">
        <v>2863</v>
      </c>
      <c r="C3687" t="s">
        <v>1471</v>
      </c>
      <c r="D3687" t="s">
        <v>2905</v>
      </c>
      <c r="E3687">
        <v>7716</v>
      </c>
      <c r="F3687" s="11">
        <v>1</v>
      </c>
    </row>
    <row r="3688" spans="1:6" x14ac:dyDescent="0.35">
      <c r="A3688" t="s">
        <v>2856</v>
      </c>
      <c r="B3688" t="s">
        <v>2863</v>
      </c>
      <c r="C3688" t="s">
        <v>1471</v>
      </c>
      <c r="D3688" t="s">
        <v>2906</v>
      </c>
      <c r="E3688">
        <v>4362</v>
      </c>
      <c r="F3688" s="11">
        <v>1</v>
      </c>
    </row>
    <row r="3689" spans="1:6" x14ac:dyDescent="0.35">
      <c r="A3689" t="s">
        <v>2856</v>
      </c>
      <c r="B3689" t="s">
        <v>2863</v>
      </c>
      <c r="C3689" t="s">
        <v>1471</v>
      </c>
      <c r="D3689" t="s">
        <v>2907</v>
      </c>
      <c r="E3689">
        <v>118685</v>
      </c>
      <c r="F3689" s="11">
        <v>1</v>
      </c>
    </row>
    <row r="3690" spans="1:6" x14ac:dyDescent="0.35">
      <c r="A3690" t="s">
        <v>2856</v>
      </c>
      <c r="B3690" t="s">
        <v>2863</v>
      </c>
      <c r="C3690" t="s">
        <v>1471</v>
      </c>
      <c r="D3690" t="s">
        <v>2908</v>
      </c>
      <c r="E3690">
        <v>102972</v>
      </c>
      <c r="F3690" s="11">
        <v>1</v>
      </c>
    </row>
    <row r="3691" spans="1:6" x14ac:dyDescent="0.35">
      <c r="A3691" t="s">
        <v>2856</v>
      </c>
      <c r="B3691" t="s">
        <v>2863</v>
      </c>
      <c r="C3691" t="s">
        <v>1471</v>
      </c>
      <c r="D3691" t="s">
        <v>2909</v>
      </c>
      <c r="E3691">
        <v>11450</v>
      </c>
      <c r="F3691" s="11">
        <v>1</v>
      </c>
    </row>
    <row r="3692" spans="1:6" x14ac:dyDescent="0.35">
      <c r="A3692" t="s">
        <v>2856</v>
      </c>
      <c r="B3692" t="s">
        <v>2863</v>
      </c>
      <c r="C3692" t="s">
        <v>1471</v>
      </c>
      <c r="D3692" t="s">
        <v>2910</v>
      </c>
      <c r="E3692">
        <v>4263</v>
      </c>
      <c r="F3692" s="11">
        <v>1</v>
      </c>
    </row>
    <row r="3693" spans="1:6" x14ac:dyDescent="0.35">
      <c r="A3693" t="s">
        <v>2856</v>
      </c>
      <c r="B3693" t="s">
        <v>2863</v>
      </c>
      <c r="C3693" t="s">
        <v>1471</v>
      </c>
      <c r="D3693" t="s">
        <v>2911</v>
      </c>
      <c r="E3693">
        <v>743916</v>
      </c>
      <c r="F3693" s="11">
        <v>1</v>
      </c>
    </row>
    <row r="3694" spans="1:6" x14ac:dyDescent="0.35">
      <c r="A3694" t="s">
        <v>2856</v>
      </c>
      <c r="B3694" t="s">
        <v>2863</v>
      </c>
      <c r="C3694" t="s">
        <v>1471</v>
      </c>
      <c r="D3694" t="s">
        <v>2912</v>
      </c>
      <c r="E3694">
        <v>1174869</v>
      </c>
      <c r="F3694" s="11">
        <v>1</v>
      </c>
    </row>
    <row r="3695" spans="1:6" x14ac:dyDescent="0.35">
      <c r="A3695" t="s">
        <v>2856</v>
      </c>
      <c r="B3695" t="s">
        <v>2863</v>
      </c>
      <c r="C3695" t="s">
        <v>1471</v>
      </c>
      <c r="D3695" t="s">
        <v>2913</v>
      </c>
      <c r="E3695">
        <v>0</v>
      </c>
      <c r="F3695" s="11">
        <v>0</v>
      </c>
    </row>
    <row r="3696" spans="1:6" x14ac:dyDescent="0.35">
      <c r="A3696" t="s">
        <v>2856</v>
      </c>
      <c r="B3696" t="s">
        <v>2863</v>
      </c>
      <c r="C3696" t="s">
        <v>1471</v>
      </c>
      <c r="D3696" t="s">
        <v>2914</v>
      </c>
      <c r="E3696">
        <v>7727</v>
      </c>
      <c r="F3696" s="11">
        <v>1</v>
      </c>
    </row>
    <row r="3697" spans="1:6" x14ac:dyDescent="0.35">
      <c r="A3697" t="s">
        <v>2856</v>
      </c>
      <c r="B3697" t="s">
        <v>2863</v>
      </c>
      <c r="C3697" t="s">
        <v>1471</v>
      </c>
      <c r="D3697" t="s">
        <v>2915</v>
      </c>
      <c r="E3697">
        <v>884</v>
      </c>
      <c r="F3697" s="11">
        <v>1</v>
      </c>
    </row>
    <row r="3698" spans="1:6" x14ac:dyDescent="0.35">
      <c r="A3698" t="s">
        <v>2856</v>
      </c>
      <c r="B3698" t="s">
        <v>2863</v>
      </c>
      <c r="C3698" t="s">
        <v>1471</v>
      </c>
      <c r="D3698" t="s">
        <v>2916</v>
      </c>
      <c r="E3698">
        <v>115283</v>
      </c>
      <c r="F3698" s="11">
        <v>1</v>
      </c>
    </row>
    <row r="3699" spans="1:6" x14ac:dyDescent="0.35">
      <c r="A3699" t="s">
        <v>2856</v>
      </c>
      <c r="B3699" t="s">
        <v>2863</v>
      </c>
      <c r="C3699" t="s">
        <v>1471</v>
      </c>
      <c r="D3699" t="s">
        <v>2917</v>
      </c>
      <c r="E3699">
        <v>0</v>
      </c>
      <c r="F3699" s="11">
        <v>0</v>
      </c>
    </row>
    <row r="3700" spans="1:6" x14ac:dyDescent="0.35">
      <c r="A3700" t="s">
        <v>2856</v>
      </c>
      <c r="B3700" t="s">
        <v>2865</v>
      </c>
      <c r="C3700" t="s">
        <v>1550</v>
      </c>
      <c r="D3700" t="s">
        <v>2875</v>
      </c>
      <c r="E3700">
        <v>14565</v>
      </c>
      <c r="F3700" s="11">
        <v>1</v>
      </c>
    </row>
    <row r="3701" spans="1:6" x14ac:dyDescent="0.35">
      <c r="A3701" t="s">
        <v>2856</v>
      </c>
      <c r="B3701" t="s">
        <v>2865</v>
      </c>
      <c r="C3701" t="s">
        <v>1550</v>
      </c>
      <c r="D3701" t="s">
        <v>2876</v>
      </c>
      <c r="E3701">
        <v>4723</v>
      </c>
      <c r="F3701" s="11">
        <v>1</v>
      </c>
    </row>
    <row r="3702" spans="1:6" x14ac:dyDescent="0.35">
      <c r="A3702" t="s">
        <v>2856</v>
      </c>
      <c r="B3702" t="s">
        <v>2865</v>
      </c>
      <c r="C3702" t="s">
        <v>1550</v>
      </c>
      <c r="D3702" t="s">
        <v>2877</v>
      </c>
      <c r="E3702">
        <v>9560</v>
      </c>
      <c r="F3702" s="11">
        <v>1</v>
      </c>
    </row>
    <row r="3703" spans="1:6" x14ac:dyDescent="0.35">
      <c r="A3703" t="s">
        <v>2856</v>
      </c>
      <c r="B3703" t="s">
        <v>2865</v>
      </c>
      <c r="C3703" t="s">
        <v>1550</v>
      </c>
      <c r="D3703" t="s">
        <v>2878</v>
      </c>
      <c r="E3703">
        <v>282</v>
      </c>
      <c r="F3703" s="11">
        <v>1</v>
      </c>
    </row>
    <row r="3704" spans="1:6" x14ac:dyDescent="0.35">
      <c r="A3704" t="s">
        <v>2856</v>
      </c>
      <c r="B3704" t="s">
        <v>2865</v>
      </c>
      <c r="C3704" t="s">
        <v>1550</v>
      </c>
      <c r="D3704" t="s">
        <v>2879</v>
      </c>
      <c r="E3704">
        <v>4175</v>
      </c>
      <c r="F3704" s="11">
        <v>1</v>
      </c>
    </row>
    <row r="3705" spans="1:6" x14ac:dyDescent="0.35">
      <c r="A3705" t="s">
        <v>2856</v>
      </c>
      <c r="B3705" t="s">
        <v>2865</v>
      </c>
      <c r="C3705" t="s">
        <v>1550</v>
      </c>
      <c r="D3705" t="s">
        <v>2880</v>
      </c>
      <c r="E3705">
        <v>0</v>
      </c>
      <c r="F3705" s="11">
        <v>0</v>
      </c>
    </row>
    <row r="3706" spans="1:6" x14ac:dyDescent="0.35">
      <c r="A3706" t="s">
        <v>2856</v>
      </c>
      <c r="B3706" t="s">
        <v>2865</v>
      </c>
      <c r="C3706" t="s">
        <v>1550</v>
      </c>
      <c r="D3706" t="s">
        <v>2881</v>
      </c>
      <c r="E3706">
        <v>0</v>
      </c>
      <c r="F3706" s="11">
        <v>0</v>
      </c>
    </row>
    <row r="3707" spans="1:6" x14ac:dyDescent="0.35">
      <c r="A3707" t="s">
        <v>2856</v>
      </c>
      <c r="B3707" t="s">
        <v>2865</v>
      </c>
      <c r="C3707" t="s">
        <v>1550</v>
      </c>
      <c r="D3707" t="s">
        <v>2882</v>
      </c>
      <c r="E3707">
        <v>0</v>
      </c>
      <c r="F3707" s="11">
        <v>0</v>
      </c>
    </row>
    <row r="3708" spans="1:6" x14ac:dyDescent="0.35">
      <c r="A3708" t="s">
        <v>2856</v>
      </c>
      <c r="B3708" t="s">
        <v>2865</v>
      </c>
      <c r="C3708" t="s">
        <v>1550</v>
      </c>
      <c r="D3708" t="s">
        <v>2883</v>
      </c>
      <c r="E3708">
        <v>0</v>
      </c>
      <c r="F3708" s="11">
        <v>0</v>
      </c>
    </row>
    <row r="3709" spans="1:6" x14ac:dyDescent="0.35">
      <c r="A3709" t="s">
        <v>2856</v>
      </c>
      <c r="B3709" t="s">
        <v>2865</v>
      </c>
      <c r="C3709" t="s">
        <v>1550</v>
      </c>
      <c r="D3709" t="s">
        <v>2884</v>
      </c>
      <c r="E3709">
        <v>0</v>
      </c>
      <c r="F3709" s="11">
        <v>0</v>
      </c>
    </row>
    <row r="3710" spans="1:6" x14ac:dyDescent="0.35">
      <c r="A3710" t="s">
        <v>2856</v>
      </c>
      <c r="B3710" t="s">
        <v>2865</v>
      </c>
      <c r="C3710" t="s">
        <v>1550</v>
      </c>
      <c r="D3710" t="s">
        <v>2885</v>
      </c>
      <c r="E3710">
        <v>0</v>
      </c>
      <c r="F3710" s="11">
        <v>0</v>
      </c>
    </row>
    <row r="3711" spans="1:6" x14ac:dyDescent="0.35">
      <c r="A3711" t="s">
        <v>2856</v>
      </c>
      <c r="B3711" t="s">
        <v>2865</v>
      </c>
      <c r="C3711" t="s">
        <v>1550</v>
      </c>
      <c r="D3711" t="s">
        <v>2886</v>
      </c>
      <c r="E3711">
        <v>0</v>
      </c>
      <c r="F3711" s="11">
        <v>0</v>
      </c>
    </row>
    <row r="3712" spans="1:6" x14ac:dyDescent="0.35">
      <c r="A3712" t="s">
        <v>2856</v>
      </c>
      <c r="B3712" t="s">
        <v>2865</v>
      </c>
      <c r="C3712" t="s">
        <v>1550</v>
      </c>
      <c r="D3712" t="s">
        <v>2887</v>
      </c>
      <c r="E3712">
        <v>23630</v>
      </c>
      <c r="F3712" s="11">
        <v>1</v>
      </c>
    </row>
    <row r="3713" spans="1:6" x14ac:dyDescent="0.35">
      <c r="A3713" t="s">
        <v>2856</v>
      </c>
      <c r="B3713" t="s">
        <v>2865</v>
      </c>
      <c r="C3713" t="s">
        <v>1550</v>
      </c>
      <c r="D3713" t="s">
        <v>2888</v>
      </c>
      <c r="E3713">
        <v>0</v>
      </c>
      <c r="F3713" s="11">
        <v>0</v>
      </c>
    </row>
    <row r="3714" spans="1:6" x14ac:dyDescent="0.35">
      <c r="A3714" t="s">
        <v>2856</v>
      </c>
      <c r="B3714" t="s">
        <v>2865</v>
      </c>
      <c r="C3714" t="s">
        <v>1550</v>
      </c>
      <c r="D3714" t="s">
        <v>2889</v>
      </c>
      <c r="E3714">
        <v>0</v>
      </c>
      <c r="F3714" s="11">
        <v>0</v>
      </c>
    </row>
    <row r="3715" spans="1:6" x14ac:dyDescent="0.35">
      <c r="A3715" t="s">
        <v>2856</v>
      </c>
      <c r="B3715" t="s">
        <v>2865</v>
      </c>
      <c r="C3715" t="s">
        <v>1550</v>
      </c>
      <c r="D3715" t="s">
        <v>2890</v>
      </c>
      <c r="E3715">
        <v>0</v>
      </c>
      <c r="F3715" s="11">
        <v>0</v>
      </c>
    </row>
    <row r="3716" spans="1:6" x14ac:dyDescent="0.35">
      <c r="A3716" t="s">
        <v>2856</v>
      </c>
      <c r="B3716" t="s">
        <v>2865</v>
      </c>
      <c r="C3716" t="s">
        <v>1550</v>
      </c>
      <c r="D3716" t="s">
        <v>2891</v>
      </c>
      <c r="E3716">
        <v>0</v>
      </c>
      <c r="F3716" s="11">
        <v>0</v>
      </c>
    </row>
    <row r="3717" spans="1:6" x14ac:dyDescent="0.35">
      <c r="A3717" t="s">
        <v>2856</v>
      </c>
      <c r="B3717" t="s">
        <v>2865</v>
      </c>
      <c r="C3717" t="s">
        <v>1550</v>
      </c>
      <c r="D3717" t="s">
        <v>2892</v>
      </c>
      <c r="E3717">
        <v>0</v>
      </c>
      <c r="F3717" s="11">
        <v>0</v>
      </c>
    </row>
    <row r="3718" spans="1:6" x14ac:dyDescent="0.35">
      <c r="A3718" t="s">
        <v>2856</v>
      </c>
      <c r="B3718" t="s">
        <v>2865</v>
      </c>
      <c r="C3718" t="s">
        <v>1550</v>
      </c>
      <c r="D3718" t="s">
        <v>2893</v>
      </c>
      <c r="E3718">
        <v>0</v>
      </c>
      <c r="F3718" s="11">
        <v>0</v>
      </c>
    </row>
    <row r="3719" spans="1:6" x14ac:dyDescent="0.35">
      <c r="A3719" t="s">
        <v>2856</v>
      </c>
      <c r="B3719" t="s">
        <v>2865</v>
      </c>
      <c r="C3719" t="s">
        <v>1550</v>
      </c>
      <c r="D3719" t="s">
        <v>2894</v>
      </c>
      <c r="E3719">
        <v>0</v>
      </c>
      <c r="F3719" s="11">
        <v>0</v>
      </c>
    </row>
    <row r="3720" spans="1:6" x14ac:dyDescent="0.35">
      <c r="A3720" t="s">
        <v>2856</v>
      </c>
      <c r="B3720" t="s">
        <v>2865</v>
      </c>
      <c r="C3720" t="s">
        <v>1550</v>
      </c>
      <c r="D3720" t="s">
        <v>2895</v>
      </c>
      <c r="E3720">
        <v>476690</v>
      </c>
      <c r="F3720" s="11">
        <v>1</v>
      </c>
    </row>
    <row r="3721" spans="1:6" x14ac:dyDescent="0.35">
      <c r="A3721" t="s">
        <v>2856</v>
      </c>
      <c r="B3721" t="s">
        <v>2865</v>
      </c>
      <c r="C3721" t="s">
        <v>1550</v>
      </c>
      <c r="D3721" t="s">
        <v>2896</v>
      </c>
      <c r="E3721">
        <v>202855</v>
      </c>
      <c r="F3721" s="11">
        <v>1</v>
      </c>
    </row>
    <row r="3722" spans="1:6" x14ac:dyDescent="0.35">
      <c r="A3722" t="s">
        <v>2856</v>
      </c>
      <c r="B3722" t="s">
        <v>2865</v>
      </c>
      <c r="C3722" t="s">
        <v>1550</v>
      </c>
      <c r="D3722" t="s">
        <v>2897</v>
      </c>
      <c r="E3722">
        <v>74595</v>
      </c>
      <c r="F3722" s="11">
        <v>1</v>
      </c>
    </row>
    <row r="3723" spans="1:6" x14ac:dyDescent="0.35">
      <c r="A3723" t="s">
        <v>2856</v>
      </c>
      <c r="B3723" t="s">
        <v>2865</v>
      </c>
      <c r="C3723" t="s">
        <v>1550</v>
      </c>
      <c r="D3723" t="s">
        <v>2898</v>
      </c>
      <c r="E3723">
        <v>2140</v>
      </c>
      <c r="F3723" s="11">
        <v>1</v>
      </c>
    </row>
    <row r="3724" spans="1:6" x14ac:dyDescent="0.35">
      <c r="A3724" t="s">
        <v>2856</v>
      </c>
      <c r="B3724" t="s">
        <v>2865</v>
      </c>
      <c r="C3724" t="s">
        <v>1550</v>
      </c>
      <c r="D3724" t="s">
        <v>2899</v>
      </c>
      <c r="E3724">
        <v>9143</v>
      </c>
      <c r="F3724" s="11">
        <v>1</v>
      </c>
    </row>
    <row r="3725" spans="1:6" x14ac:dyDescent="0.35">
      <c r="A3725" t="s">
        <v>2856</v>
      </c>
      <c r="B3725" t="s">
        <v>2865</v>
      </c>
      <c r="C3725" t="s">
        <v>1550</v>
      </c>
      <c r="D3725" t="s">
        <v>2900</v>
      </c>
      <c r="E3725">
        <v>9090</v>
      </c>
      <c r="F3725" s="11">
        <v>1</v>
      </c>
    </row>
    <row r="3726" spans="1:6" x14ac:dyDescent="0.35">
      <c r="A3726" t="s">
        <v>2856</v>
      </c>
      <c r="B3726" t="s">
        <v>2865</v>
      </c>
      <c r="C3726" t="s">
        <v>1550</v>
      </c>
      <c r="D3726" t="s">
        <v>2901</v>
      </c>
      <c r="E3726">
        <v>52</v>
      </c>
      <c r="F3726" s="11">
        <v>1</v>
      </c>
    </row>
    <row r="3727" spans="1:6" x14ac:dyDescent="0.35">
      <c r="A3727" t="s">
        <v>2856</v>
      </c>
      <c r="B3727" t="s">
        <v>2865</v>
      </c>
      <c r="C3727" t="s">
        <v>1550</v>
      </c>
      <c r="D3727" t="s">
        <v>2902</v>
      </c>
      <c r="E3727">
        <v>1</v>
      </c>
      <c r="F3727" s="11">
        <v>1</v>
      </c>
    </row>
    <row r="3728" spans="1:6" x14ac:dyDescent="0.35">
      <c r="A3728" t="s">
        <v>2856</v>
      </c>
      <c r="B3728" t="s">
        <v>2865</v>
      </c>
      <c r="C3728" t="s">
        <v>1550</v>
      </c>
      <c r="D3728" t="s">
        <v>2903</v>
      </c>
      <c r="E3728">
        <v>38405</v>
      </c>
      <c r="F3728" s="11">
        <v>1</v>
      </c>
    </row>
    <row r="3729" spans="1:6" x14ac:dyDescent="0.35">
      <c r="A3729" t="s">
        <v>2856</v>
      </c>
      <c r="B3729" t="s">
        <v>2865</v>
      </c>
      <c r="C3729" t="s">
        <v>1550</v>
      </c>
      <c r="D3729" t="s">
        <v>2904</v>
      </c>
      <c r="E3729">
        <v>36010</v>
      </c>
      <c r="F3729" s="11">
        <v>1</v>
      </c>
    </row>
    <row r="3730" spans="1:6" x14ac:dyDescent="0.35">
      <c r="A3730" t="s">
        <v>2856</v>
      </c>
      <c r="B3730" t="s">
        <v>2865</v>
      </c>
      <c r="C3730" t="s">
        <v>1550</v>
      </c>
      <c r="D3730" t="s">
        <v>2905</v>
      </c>
      <c r="E3730">
        <v>1092</v>
      </c>
      <c r="F3730" s="11">
        <v>1</v>
      </c>
    </row>
    <row r="3731" spans="1:6" x14ac:dyDescent="0.35">
      <c r="A3731" t="s">
        <v>2856</v>
      </c>
      <c r="B3731" t="s">
        <v>2865</v>
      </c>
      <c r="C3731" t="s">
        <v>1550</v>
      </c>
      <c r="D3731" t="s">
        <v>2906</v>
      </c>
      <c r="E3731">
        <v>1303</v>
      </c>
      <c r="F3731" s="11">
        <v>1</v>
      </c>
    </row>
    <row r="3732" spans="1:6" x14ac:dyDescent="0.35">
      <c r="A3732" t="s">
        <v>2856</v>
      </c>
      <c r="B3732" t="s">
        <v>2865</v>
      </c>
      <c r="C3732" t="s">
        <v>1550</v>
      </c>
      <c r="D3732" t="s">
        <v>2907</v>
      </c>
      <c r="E3732">
        <v>25111</v>
      </c>
      <c r="F3732" s="11">
        <v>1</v>
      </c>
    </row>
    <row r="3733" spans="1:6" x14ac:dyDescent="0.35">
      <c r="A3733" t="s">
        <v>2856</v>
      </c>
      <c r="B3733" t="s">
        <v>2865</v>
      </c>
      <c r="C3733" t="s">
        <v>1550</v>
      </c>
      <c r="D3733" t="s">
        <v>2908</v>
      </c>
      <c r="E3733">
        <v>22497</v>
      </c>
      <c r="F3733" s="11">
        <v>1</v>
      </c>
    </row>
    <row r="3734" spans="1:6" x14ac:dyDescent="0.35">
      <c r="A3734" t="s">
        <v>2856</v>
      </c>
      <c r="B3734" t="s">
        <v>2865</v>
      </c>
      <c r="C3734" t="s">
        <v>1550</v>
      </c>
      <c r="D3734" t="s">
        <v>2909</v>
      </c>
      <c r="E3734">
        <v>1868</v>
      </c>
      <c r="F3734" s="11">
        <v>1</v>
      </c>
    </row>
    <row r="3735" spans="1:6" x14ac:dyDescent="0.35">
      <c r="A3735" t="s">
        <v>2856</v>
      </c>
      <c r="B3735" t="s">
        <v>2865</v>
      </c>
      <c r="C3735" t="s">
        <v>1550</v>
      </c>
      <c r="D3735" t="s">
        <v>2910</v>
      </c>
      <c r="E3735">
        <v>746</v>
      </c>
      <c r="F3735" s="11">
        <v>1</v>
      </c>
    </row>
    <row r="3736" spans="1:6" x14ac:dyDescent="0.35">
      <c r="A3736" t="s">
        <v>2856</v>
      </c>
      <c r="B3736" t="s">
        <v>2865</v>
      </c>
      <c r="C3736" t="s">
        <v>1550</v>
      </c>
      <c r="D3736" t="s">
        <v>2911</v>
      </c>
      <c r="E3736">
        <v>29255</v>
      </c>
      <c r="F3736" s="11">
        <v>1</v>
      </c>
    </row>
    <row r="3737" spans="1:6" x14ac:dyDescent="0.35">
      <c r="A3737" t="s">
        <v>2856</v>
      </c>
      <c r="B3737" t="s">
        <v>2865</v>
      </c>
      <c r="C3737" t="s">
        <v>1550</v>
      </c>
      <c r="D3737" t="s">
        <v>2912</v>
      </c>
      <c r="E3737">
        <v>385930</v>
      </c>
      <c r="F3737" s="11">
        <v>1</v>
      </c>
    </row>
    <row r="3738" spans="1:6" x14ac:dyDescent="0.35">
      <c r="A3738" t="s">
        <v>2856</v>
      </c>
      <c r="B3738" t="s">
        <v>2865</v>
      </c>
      <c r="C3738" t="s">
        <v>1550</v>
      </c>
      <c r="D3738" t="s">
        <v>2913</v>
      </c>
      <c r="E3738">
        <v>54695</v>
      </c>
      <c r="F3738" s="11">
        <v>1</v>
      </c>
    </row>
    <row r="3739" spans="1:6" x14ac:dyDescent="0.35">
      <c r="A3739" t="s">
        <v>2856</v>
      </c>
      <c r="B3739" t="s">
        <v>2865</v>
      </c>
      <c r="C3739" t="s">
        <v>1550</v>
      </c>
      <c r="D3739" t="s">
        <v>2914</v>
      </c>
      <c r="E3739">
        <v>9399</v>
      </c>
      <c r="F3739" s="11">
        <v>1</v>
      </c>
    </row>
    <row r="3740" spans="1:6" x14ac:dyDescent="0.35">
      <c r="A3740" t="s">
        <v>2856</v>
      </c>
      <c r="B3740" t="s">
        <v>2865</v>
      </c>
      <c r="C3740" t="s">
        <v>1550</v>
      </c>
      <c r="D3740" t="s">
        <v>2915</v>
      </c>
      <c r="E3740">
        <v>4029</v>
      </c>
      <c r="F3740" s="11">
        <v>1</v>
      </c>
    </row>
    <row r="3741" spans="1:6" x14ac:dyDescent="0.35">
      <c r="A3741" t="s">
        <v>2856</v>
      </c>
      <c r="B3741" t="s">
        <v>2865</v>
      </c>
      <c r="C3741" t="s">
        <v>1550</v>
      </c>
      <c r="D3741" t="s">
        <v>2916</v>
      </c>
      <c r="E3741">
        <v>30776</v>
      </c>
      <c r="F3741" s="11">
        <v>1</v>
      </c>
    </row>
    <row r="3742" spans="1:6" x14ac:dyDescent="0.35">
      <c r="A3742" t="s">
        <v>2856</v>
      </c>
      <c r="B3742" t="s">
        <v>2865</v>
      </c>
      <c r="C3742" t="s">
        <v>1550</v>
      </c>
      <c r="D3742" t="s">
        <v>2917</v>
      </c>
      <c r="E3742">
        <v>0</v>
      </c>
      <c r="F3742" s="11">
        <v>0</v>
      </c>
    </row>
    <row r="3743" spans="1:6" x14ac:dyDescent="0.35">
      <c r="A3743" t="s">
        <v>2856</v>
      </c>
      <c r="B3743" t="s">
        <v>2863</v>
      </c>
      <c r="C3743" t="s">
        <v>1482</v>
      </c>
      <c r="D3743" t="s">
        <v>2875</v>
      </c>
      <c r="E3743">
        <v>15455</v>
      </c>
      <c r="F3743" s="11">
        <v>1</v>
      </c>
    </row>
    <row r="3744" spans="1:6" x14ac:dyDescent="0.35">
      <c r="A3744" t="s">
        <v>2856</v>
      </c>
      <c r="B3744" t="s">
        <v>2863</v>
      </c>
      <c r="C3744" t="s">
        <v>1482</v>
      </c>
      <c r="D3744" t="s">
        <v>2876</v>
      </c>
      <c r="E3744">
        <v>4683</v>
      </c>
      <c r="F3744" s="11">
        <v>1</v>
      </c>
    </row>
    <row r="3745" spans="1:6" x14ac:dyDescent="0.35">
      <c r="A3745" t="s">
        <v>2856</v>
      </c>
      <c r="B3745" t="s">
        <v>2863</v>
      </c>
      <c r="C3745" t="s">
        <v>1482</v>
      </c>
      <c r="D3745" t="s">
        <v>2877</v>
      </c>
      <c r="E3745">
        <v>8787</v>
      </c>
      <c r="F3745" s="11">
        <v>1</v>
      </c>
    </row>
    <row r="3746" spans="1:6" x14ac:dyDescent="0.35">
      <c r="A3746" t="s">
        <v>2856</v>
      </c>
      <c r="B3746" t="s">
        <v>2863</v>
      </c>
      <c r="C3746" t="s">
        <v>1482</v>
      </c>
      <c r="D3746" t="s">
        <v>2878</v>
      </c>
      <c r="E3746">
        <v>1985</v>
      </c>
      <c r="F3746" s="11">
        <v>1</v>
      </c>
    </row>
    <row r="3747" spans="1:6" x14ac:dyDescent="0.35">
      <c r="A3747" t="s">
        <v>2856</v>
      </c>
      <c r="B3747" t="s">
        <v>2863</v>
      </c>
      <c r="C3747" t="s">
        <v>1482</v>
      </c>
      <c r="D3747" t="s">
        <v>2879</v>
      </c>
      <c r="E3747">
        <v>2474</v>
      </c>
      <c r="F3747" s="11">
        <v>1</v>
      </c>
    </row>
    <row r="3748" spans="1:6" x14ac:dyDescent="0.35">
      <c r="A3748" t="s">
        <v>2856</v>
      </c>
      <c r="B3748" t="s">
        <v>2863</v>
      </c>
      <c r="C3748" t="s">
        <v>1482</v>
      </c>
      <c r="D3748" t="s">
        <v>2880</v>
      </c>
      <c r="E3748">
        <v>0</v>
      </c>
      <c r="F3748" s="11">
        <v>0</v>
      </c>
    </row>
    <row r="3749" spans="1:6" x14ac:dyDescent="0.35">
      <c r="A3749" t="s">
        <v>2856</v>
      </c>
      <c r="B3749" t="s">
        <v>2863</v>
      </c>
      <c r="C3749" t="s">
        <v>1482</v>
      </c>
      <c r="D3749" t="s">
        <v>2881</v>
      </c>
      <c r="E3749">
        <v>0</v>
      </c>
      <c r="F3749" s="11">
        <v>0</v>
      </c>
    </row>
    <row r="3750" spans="1:6" x14ac:dyDescent="0.35">
      <c r="A3750" t="s">
        <v>2856</v>
      </c>
      <c r="B3750" t="s">
        <v>2863</v>
      </c>
      <c r="C3750" t="s">
        <v>1482</v>
      </c>
      <c r="D3750" t="s">
        <v>2882</v>
      </c>
      <c r="E3750">
        <v>0</v>
      </c>
      <c r="F3750" s="11">
        <v>0</v>
      </c>
    </row>
    <row r="3751" spans="1:6" x14ac:dyDescent="0.35">
      <c r="A3751" t="s">
        <v>2856</v>
      </c>
      <c r="B3751" t="s">
        <v>2863</v>
      </c>
      <c r="C3751" t="s">
        <v>1482</v>
      </c>
      <c r="D3751" t="s">
        <v>2883</v>
      </c>
      <c r="E3751">
        <v>0</v>
      </c>
      <c r="F3751" s="11">
        <v>0</v>
      </c>
    </row>
    <row r="3752" spans="1:6" x14ac:dyDescent="0.35">
      <c r="A3752" t="s">
        <v>2856</v>
      </c>
      <c r="B3752" t="s">
        <v>2863</v>
      </c>
      <c r="C3752" t="s">
        <v>1482</v>
      </c>
      <c r="D3752" t="s">
        <v>2884</v>
      </c>
      <c r="E3752">
        <v>0</v>
      </c>
      <c r="F3752" s="11">
        <v>0</v>
      </c>
    </row>
    <row r="3753" spans="1:6" x14ac:dyDescent="0.35">
      <c r="A3753" t="s">
        <v>2856</v>
      </c>
      <c r="B3753" t="s">
        <v>2863</v>
      </c>
      <c r="C3753" t="s">
        <v>1482</v>
      </c>
      <c r="D3753" t="s">
        <v>2885</v>
      </c>
      <c r="E3753">
        <v>0</v>
      </c>
      <c r="F3753" s="11">
        <v>0</v>
      </c>
    </row>
    <row r="3754" spans="1:6" x14ac:dyDescent="0.35">
      <c r="A3754" t="s">
        <v>2856</v>
      </c>
      <c r="B3754" t="s">
        <v>2863</v>
      </c>
      <c r="C3754" t="s">
        <v>1482</v>
      </c>
      <c r="D3754" t="s">
        <v>2886</v>
      </c>
      <c r="E3754">
        <v>0</v>
      </c>
      <c r="F3754" s="11">
        <v>0</v>
      </c>
    </row>
    <row r="3755" spans="1:6" x14ac:dyDescent="0.35">
      <c r="A3755" t="s">
        <v>2856</v>
      </c>
      <c r="B3755" t="s">
        <v>2863</v>
      </c>
      <c r="C3755" t="s">
        <v>1482</v>
      </c>
      <c r="D3755" t="s">
        <v>2887</v>
      </c>
      <c r="E3755">
        <v>38280</v>
      </c>
      <c r="F3755" s="11">
        <v>1</v>
      </c>
    </row>
    <row r="3756" spans="1:6" x14ac:dyDescent="0.35">
      <c r="A3756" t="s">
        <v>2856</v>
      </c>
      <c r="B3756" t="s">
        <v>2863</v>
      </c>
      <c r="C3756" t="s">
        <v>1482</v>
      </c>
      <c r="D3756" t="s">
        <v>2888</v>
      </c>
      <c r="E3756">
        <v>0</v>
      </c>
      <c r="F3756" s="11">
        <v>0</v>
      </c>
    </row>
    <row r="3757" spans="1:6" x14ac:dyDescent="0.35">
      <c r="A3757" t="s">
        <v>2856</v>
      </c>
      <c r="B3757" t="s">
        <v>2863</v>
      </c>
      <c r="C3757" t="s">
        <v>1482</v>
      </c>
      <c r="D3757" t="s">
        <v>2889</v>
      </c>
      <c r="E3757">
        <v>0</v>
      </c>
      <c r="F3757" s="11">
        <v>0</v>
      </c>
    </row>
    <row r="3758" spans="1:6" x14ac:dyDescent="0.35">
      <c r="A3758" t="s">
        <v>2856</v>
      </c>
      <c r="B3758" t="s">
        <v>2863</v>
      </c>
      <c r="C3758" t="s">
        <v>1482</v>
      </c>
      <c r="D3758" t="s">
        <v>2890</v>
      </c>
      <c r="E3758">
        <v>0</v>
      </c>
      <c r="F3758" s="11">
        <v>0</v>
      </c>
    </row>
    <row r="3759" spans="1:6" x14ac:dyDescent="0.35">
      <c r="A3759" t="s">
        <v>2856</v>
      </c>
      <c r="B3759" t="s">
        <v>2863</v>
      </c>
      <c r="C3759" t="s">
        <v>1482</v>
      </c>
      <c r="D3759" t="s">
        <v>2891</v>
      </c>
      <c r="E3759">
        <v>0</v>
      </c>
      <c r="F3759" s="11">
        <v>0</v>
      </c>
    </row>
    <row r="3760" spans="1:6" x14ac:dyDescent="0.35">
      <c r="A3760" t="s">
        <v>2856</v>
      </c>
      <c r="B3760" t="s">
        <v>2863</v>
      </c>
      <c r="C3760" t="s">
        <v>1482</v>
      </c>
      <c r="D3760" t="s">
        <v>2892</v>
      </c>
      <c r="E3760">
        <v>0</v>
      </c>
      <c r="F3760" s="11">
        <v>0</v>
      </c>
    </row>
    <row r="3761" spans="1:6" x14ac:dyDescent="0.35">
      <c r="A3761" t="s">
        <v>2856</v>
      </c>
      <c r="B3761" t="s">
        <v>2863</v>
      </c>
      <c r="C3761" t="s">
        <v>1482</v>
      </c>
      <c r="D3761" t="s">
        <v>2893</v>
      </c>
      <c r="E3761">
        <v>0</v>
      </c>
      <c r="F3761" s="11">
        <v>0</v>
      </c>
    </row>
    <row r="3762" spans="1:6" x14ac:dyDescent="0.35">
      <c r="A3762" t="s">
        <v>2856</v>
      </c>
      <c r="B3762" t="s">
        <v>2863</v>
      </c>
      <c r="C3762" t="s">
        <v>1482</v>
      </c>
      <c r="D3762" t="s">
        <v>2894</v>
      </c>
      <c r="E3762">
        <v>0</v>
      </c>
      <c r="F3762" s="11">
        <v>0</v>
      </c>
    </row>
    <row r="3763" spans="1:6" x14ac:dyDescent="0.35">
      <c r="A3763" t="s">
        <v>2856</v>
      </c>
      <c r="B3763" t="s">
        <v>2863</v>
      </c>
      <c r="C3763" t="s">
        <v>1482</v>
      </c>
      <c r="D3763" t="s">
        <v>2895</v>
      </c>
      <c r="E3763">
        <v>239115</v>
      </c>
      <c r="F3763" s="11">
        <v>1</v>
      </c>
    </row>
    <row r="3764" spans="1:6" x14ac:dyDescent="0.35">
      <c r="A3764" t="s">
        <v>2856</v>
      </c>
      <c r="B3764" t="s">
        <v>2863</v>
      </c>
      <c r="C3764" t="s">
        <v>1482</v>
      </c>
      <c r="D3764" t="s">
        <v>2896</v>
      </c>
      <c r="E3764">
        <v>0</v>
      </c>
      <c r="F3764" s="11">
        <v>0</v>
      </c>
    </row>
    <row r="3765" spans="1:6" x14ac:dyDescent="0.35">
      <c r="A3765" t="s">
        <v>2856</v>
      </c>
      <c r="B3765" t="s">
        <v>2863</v>
      </c>
      <c r="C3765" t="s">
        <v>1482</v>
      </c>
      <c r="D3765" t="s">
        <v>2897</v>
      </c>
      <c r="E3765">
        <v>0</v>
      </c>
      <c r="F3765" s="11">
        <v>0</v>
      </c>
    </row>
    <row r="3766" spans="1:6" x14ac:dyDescent="0.35">
      <c r="A3766" t="s">
        <v>2856</v>
      </c>
      <c r="B3766" t="s">
        <v>2863</v>
      </c>
      <c r="C3766" t="s">
        <v>1482</v>
      </c>
      <c r="D3766" t="s">
        <v>2898</v>
      </c>
      <c r="E3766">
        <v>0</v>
      </c>
      <c r="F3766" s="11">
        <v>0</v>
      </c>
    </row>
    <row r="3767" spans="1:6" x14ac:dyDescent="0.35">
      <c r="A3767" t="s">
        <v>2856</v>
      </c>
      <c r="B3767" t="s">
        <v>2863</v>
      </c>
      <c r="C3767" t="s">
        <v>1482</v>
      </c>
      <c r="D3767" t="s">
        <v>2899</v>
      </c>
      <c r="E3767">
        <v>7801</v>
      </c>
      <c r="F3767" s="11">
        <v>1</v>
      </c>
    </row>
    <row r="3768" spans="1:6" x14ac:dyDescent="0.35">
      <c r="A3768" t="s">
        <v>2856</v>
      </c>
      <c r="B3768" t="s">
        <v>2863</v>
      </c>
      <c r="C3768" t="s">
        <v>1482</v>
      </c>
      <c r="D3768" t="s">
        <v>2900</v>
      </c>
      <c r="E3768">
        <v>0</v>
      </c>
      <c r="F3768" s="11">
        <v>0</v>
      </c>
    </row>
    <row r="3769" spans="1:6" x14ac:dyDescent="0.35">
      <c r="A3769" t="s">
        <v>2856</v>
      </c>
      <c r="B3769" t="s">
        <v>2863</v>
      </c>
      <c r="C3769" t="s">
        <v>1482</v>
      </c>
      <c r="D3769" t="s">
        <v>2901</v>
      </c>
      <c r="E3769">
        <v>0</v>
      </c>
      <c r="F3769" s="11">
        <v>0</v>
      </c>
    </row>
    <row r="3770" spans="1:6" x14ac:dyDescent="0.35">
      <c r="A3770" t="s">
        <v>2856</v>
      </c>
      <c r="B3770" t="s">
        <v>2863</v>
      </c>
      <c r="C3770" t="s">
        <v>1482</v>
      </c>
      <c r="D3770" t="s">
        <v>2902</v>
      </c>
      <c r="E3770">
        <v>0</v>
      </c>
      <c r="F3770" s="11">
        <v>0</v>
      </c>
    </row>
    <row r="3771" spans="1:6" x14ac:dyDescent="0.35">
      <c r="A3771" t="s">
        <v>2856</v>
      </c>
      <c r="B3771" t="s">
        <v>2863</v>
      </c>
      <c r="C3771" t="s">
        <v>1482</v>
      </c>
      <c r="D3771" t="s">
        <v>2903</v>
      </c>
      <c r="E3771">
        <v>10972</v>
      </c>
      <c r="F3771" s="11">
        <v>1</v>
      </c>
    </row>
    <row r="3772" spans="1:6" x14ac:dyDescent="0.35">
      <c r="A3772" t="s">
        <v>2856</v>
      </c>
      <c r="B3772" t="s">
        <v>2863</v>
      </c>
      <c r="C3772" t="s">
        <v>1482</v>
      </c>
      <c r="D3772" t="s">
        <v>2904</v>
      </c>
      <c r="E3772">
        <v>0</v>
      </c>
      <c r="F3772" s="11">
        <v>0</v>
      </c>
    </row>
    <row r="3773" spans="1:6" x14ac:dyDescent="0.35">
      <c r="A3773" t="s">
        <v>2856</v>
      </c>
      <c r="B3773" t="s">
        <v>2863</v>
      </c>
      <c r="C3773" t="s">
        <v>1482</v>
      </c>
      <c r="D3773" t="s">
        <v>2905</v>
      </c>
      <c r="E3773">
        <v>0</v>
      </c>
      <c r="F3773" s="11">
        <v>0</v>
      </c>
    </row>
    <row r="3774" spans="1:6" x14ac:dyDescent="0.35">
      <c r="A3774" t="s">
        <v>2856</v>
      </c>
      <c r="B3774" t="s">
        <v>2863</v>
      </c>
      <c r="C3774" t="s">
        <v>1482</v>
      </c>
      <c r="D3774" t="s">
        <v>2906</v>
      </c>
      <c r="E3774">
        <v>0</v>
      </c>
      <c r="F3774" s="11">
        <v>0</v>
      </c>
    </row>
    <row r="3775" spans="1:6" x14ac:dyDescent="0.35">
      <c r="A3775" t="s">
        <v>2856</v>
      </c>
      <c r="B3775" t="s">
        <v>2863</v>
      </c>
      <c r="C3775" t="s">
        <v>1482</v>
      </c>
      <c r="D3775" t="s">
        <v>2907</v>
      </c>
      <c r="E3775">
        <v>15458</v>
      </c>
      <c r="F3775" s="11">
        <v>1</v>
      </c>
    </row>
    <row r="3776" spans="1:6" x14ac:dyDescent="0.35">
      <c r="A3776" t="s">
        <v>2856</v>
      </c>
      <c r="B3776" t="s">
        <v>2863</v>
      </c>
      <c r="C3776" t="s">
        <v>1482</v>
      </c>
      <c r="D3776" t="s">
        <v>2908</v>
      </c>
      <c r="E3776">
        <v>0</v>
      </c>
      <c r="F3776" s="11">
        <v>0</v>
      </c>
    </row>
    <row r="3777" spans="1:6" x14ac:dyDescent="0.35">
      <c r="A3777" t="s">
        <v>2856</v>
      </c>
      <c r="B3777" t="s">
        <v>2863</v>
      </c>
      <c r="C3777" t="s">
        <v>1482</v>
      </c>
      <c r="D3777" t="s">
        <v>2909</v>
      </c>
      <c r="E3777">
        <v>0</v>
      </c>
      <c r="F3777" s="11">
        <v>0</v>
      </c>
    </row>
    <row r="3778" spans="1:6" x14ac:dyDescent="0.35">
      <c r="A3778" t="s">
        <v>2856</v>
      </c>
      <c r="B3778" t="s">
        <v>2863</v>
      </c>
      <c r="C3778" t="s">
        <v>1482</v>
      </c>
      <c r="D3778" t="s">
        <v>2910</v>
      </c>
      <c r="E3778">
        <v>0</v>
      </c>
      <c r="F3778" s="11">
        <v>0</v>
      </c>
    </row>
    <row r="3779" spans="1:6" x14ac:dyDescent="0.35">
      <c r="A3779" t="s">
        <v>2856</v>
      </c>
      <c r="B3779" t="s">
        <v>2863</v>
      </c>
      <c r="C3779" t="s">
        <v>1482</v>
      </c>
      <c r="D3779" t="s">
        <v>2911</v>
      </c>
      <c r="E3779">
        <v>214547</v>
      </c>
      <c r="F3779" s="11">
        <v>1</v>
      </c>
    </row>
    <row r="3780" spans="1:6" x14ac:dyDescent="0.35">
      <c r="A3780" t="s">
        <v>2856</v>
      </c>
      <c r="B3780" t="s">
        <v>2863</v>
      </c>
      <c r="C3780" t="s">
        <v>1482</v>
      </c>
      <c r="D3780" t="s">
        <v>2912</v>
      </c>
      <c r="E3780">
        <v>18985</v>
      </c>
      <c r="F3780" s="11">
        <v>1</v>
      </c>
    </row>
    <row r="3781" spans="1:6" x14ac:dyDescent="0.35">
      <c r="A3781" t="s">
        <v>2856</v>
      </c>
      <c r="B3781" t="s">
        <v>2863</v>
      </c>
      <c r="C3781" t="s">
        <v>1482</v>
      </c>
      <c r="D3781" t="s">
        <v>2913</v>
      </c>
      <c r="E3781">
        <v>0</v>
      </c>
      <c r="F3781" s="11">
        <v>0</v>
      </c>
    </row>
    <row r="3782" spans="1:6" x14ac:dyDescent="0.35">
      <c r="A3782" t="s">
        <v>2856</v>
      </c>
      <c r="B3782" t="s">
        <v>2863</v>
      </c>
      <c r="C3782" t="s">
        <v>1482</v>
      </c>
      <c r="D3782" t="s">
        <v>2914</v>
      </c>
      <c r="E3782">
        <v>0</v>
      </c>
      <c r="F3782" s="11">
        <v>0</v>
      </c>
    </row>
    <row r="3783" spans="1:6" x14ac:dyDescent="0.35">
      <c r="A3783" t="s">
        <v>2856</v>
      </c>
      <c r="B3783" t="s">
        <v>2863</v>
      </c>
      <c r="C3783" t="s">
        <v>1482</v>
      </c>
      <c r="D3783" t="s">
        <v>2915</v>
      </c>
      <c r="E3783">
        <v>1213</v>
      </c>
      <c r="F3783" s="11">
        <v>1</v>
      </c>
    </row>
    <row r="3784" spans="1:6" x14ac:dyDescent="0.35">
      <c r="A3784" t="s">
        <v>2856</v>
      </c>
      <c r="B3784" t="s">
        <v>2863</v>
      </c>
      <c r="C3784" t="s">
        <v>1482</v>
      </c>
      <c r="D3784" t="s">
        <v>2916</v>
      </c>
      <c r="E3784">
        <v>45002</v>
      </c>
      <c r="F3784" s="11">
        <v>1</v>
      </c>
    </row>
    <row r="3785" spans="1:6" x14ac:dyDescent="0.35">
      <c r="A3785" t="s">
        <v>2856</v>
      </c>
      <c r="B3785" t="s">
        <v>2863</v>
      </c>
      <c r="C3785" t="s">
        <v>1482</v>
      </c>
      <c r="D3785" t="s">
        <v>2917</v>
      </c>
      <c r="E3785">
        <v>18524</v>
      </c>
      <c r="F3785" s="11">
        <v>1</v>
      </c>
    </row>
    <row r="3786" spans="1:6" x14ac:dyDescent="0.35">
      <c r="A3786" t="s">
        <v>2856</v>
      </c>
      <c r="B3786" t="s">
        <v>2865</v>
      </c>
      <c r="C3786" t="s">
        <v>2731</v>
      </c>
      <c r="D3786" t="s">
        <v>2875</v>
      </c>
      <c r="E3786">
        <v>39147</v>
      </c>
      <c r="F3786" s="11">
        <v>0</v>
      </c>
    </row>
    <row r="3787" spans="1:6" x14ac:dyDescent="0.35">
      <c r="A3787" t="s">
        <v>2856</v>
      </c>
      <c r="B3787" t="s">
        <v>2865</v>
      </c>
      <c r="C3787" t="s">
        <v>2731</v>
      </c>
      <c r="D3787" t="s">
        <v>2876</v>
      </c>
      <c r="E3787">
        <v>6489</v>
      </c>
      <c r="F3787" s="11">
        <v>0</v>
      </c>
    </row>
    <row r="3788" spans="1:6" x14ac:dyDescent="0.35">
      <c r="A3788" t="s">
        <v>2856</v>
      </c>
      <c r="B3788" t="s">
        <v>2865</v>
      </c>
      <c r="C3788" t="s">
        <v>2731</v>
      </c>
      <c r="D3788" t="s">
        <v>2877</v>
      </c>
      <c r="E3788">
        <v>27100</v>
      </c>
      <c r="F3788" s="11">
        <v>0</v>
      </c>
    </row>
    <row r="3789" spans="1:6" x14ac:dyDescent="0.35">
      <c r="A3789" t="s">
        <v>2856</v>
      </c>
      <c r="B3789" t="s">
        <v>2865</v>
      </c>
      <c r="C3789" t="s">
        <v>2731</v>
      </c>
      <c r="D3789" t="s">
        <v>2878</v>
      </c>
      <c r="E3789">
        <v>5558</v>
      </c>
      <c r="F3789" s="11">
        <v>0</v>
      </c>
    </row>
    <row r="3790" spans="1:6" x14ac:dyDescent="0.35">
      <c r="A3790" t="s">
        <v>2856</v>
      </c>
      <c r="B3790" t="s">
        <v>2865</v>
      </c>
      <c r="C3790" t="s">
        <v>2731</v>
      </c>
      <c r="D3790" t="s">
        <v>2879</v>
      </c>
      <c r="E3790">
        <v>474</v>
      </c>
      <c r="F3790" s="11">
        <v>0</v>
      </c>
    </row>
    <row r="3791" spans="1:6" x14ac:dyDescent="0.35">
      <c r="A3791" t="s">
        <v>2856</v>
      </c>
      <c r="B3791" t="s">
        <v>2865</v>
      </c>
      <c r="C3791" t="s">
        <v>2731</v>
      </c>
      <c r="D3791" t="s">
        <v>2880</v>
      </c>
      <c r="E3791">
        <v>179</v>
      </c>
      <c r="F3791" s="11">
        <v>0</v>
      </c>
    </row>
    <row r="3792" spans="1:6" x14ac:dyDescent="0.35">
      <c r="A3792" t="s">
        <v>2856</v>
      </c>
      <c r="B3792" t="s">
        <v>2865</v>
      </c>
      <c r="C3792" t="s">
        <v>2731</v>
      </c>
      <c r="D3792" t="s">
        <v>2881</v>
      </c>
      <c r="E3792">
        <v>295</v>
      </c>
      <c r="F3792" s="11">
        <v>0</v>
      </c>
    </row>
    <row r="3793" spans="1:6" x14ac:dyDescent="0.35">
      <c r="A3793" t="s">
        <v>2856</v>
      </c>
      <c r="B3793" t="s">
        <v>2865</v>
      </c>
      <c r="C3793" t="s">
        <v>2731</v>
      </c>
      <c r="D3793" t="s">
        <v>2882</v>
      </c>
      <c r="E3793">
        <v>0</v>
      </c>
      <c r="F3793" s="11">
        <v>0</v>
      </c>
    </row>
    <row r="3794" spans="1:6" x14ac:dyDescent="0.35">
      <c r="A3794" t="s">
        <v>2856</v>
      </c>
      <c r="B3794" t="s">
        <v>2865</v>
      </c>
      <c r="C3794" t="s">
        <v>2731</v>
      </c>
      <c r="D3794" t="s">
        <v>2883</v>
      </c>
      <c r="E3794">
        <v>0</v>
      </c>
      <c r="F3794" s="11">
        <v>0</v>
      </c>
    </row>
    <row r="3795" spans="1:6" x14ac:dyDescent="0.35">
      <c r="A3795" t="s">
        <v>2856</v>
      </c>
      <c r="B3795" t="s">
        <v>2865</v>
      </c>
      <c r="C3795" t="s">
        <v>2731</v>
      </c>
      <c r="D3795" t="s">
        <v>2884</v>
      </c>
      <c r="E3795">
        <v>0</v>
      </c>
      <c r="F3795" s="11">
        <v>0</v>
      </c>
    </row>
    <row r="3796" spans="1:6" x14ac:dyDescent="0.35">
      <c r="A3796" t="s">
        <v>2856</v>
      </c>
      <c r="B3796" t="s">
        <v>2865</v>
      </c>
      <c r="C3796" t="s">
        <v>2731</v>
      </c>
      <c r="D3796" t="s">
        <v>2885</v>
      </c>
      <c r="E3796">
        <v>0</v>
      </c>
      <c r="F3796" s="11">
        <v>0</v>
      </c>
    </row>
    <row r="3797" spans="1:6" x14ac:dyDescent="0.35">
      <c r="A3797" t="s">
        <v>2856</v>
      </c>
      <c r="B3797" t="s">
        <v>2865</v>
      </c>
      <c r="C3797" t="s">
        <v>2731</v>
      </c>
      <c r="D3797" t="s">
        <v>2886</v>
      </c>
      <c r="E3797">
        <v>0</v>
      </c>
      <c r="F3797" s="11">
        <v>0</v>
      </c>
    </row>
    <row r="3798" spans="1:6" x14ac:dyDescent="0.35">
      <c r="A3798" t="s">
        <v>2856</v>
      </c>
      <c r="B3798" t="s">
        <v>2865</v>
      </c>
      <c r="C3798" t="s">
        <v>2731</v>
      </c>
      <c r="D3798" t="s">
        <v>2887</v>
      </c>
      <c r="E3798">
        <v>6548</v>
      </c>
      <c r="F3798" s="11">
        <v>0</v>
      </c>
    </row>
    <row r="3799" spans="1:6" x14ac:dyDescent="0.35">
      <c r="A3799" t="s">
        <v>2856</v>
      </c>
      <c r="B3799" t="s">
        <v>2865</v>
      </c>
      <c r="C3799" t="s">
        <v>2731</v>
      </c>
      <c r="D3799" t="s">
        <v>2888</v>
      </c>
      <c r="E3799">
        <v>2952</v>
      </c>
      <c r="F3799" s="11">
        <v>0</v>
      </c>
    </row>
    <row r="3800" spans="1:6" x14ac:dyDescent="0.35">
      <c r="A3800" t="s">
        <v>2856</v>
      </c>
      <c r="B3800" t="s">
        <v>2865</v>
      </c>
      <c r="C3800" t="s">
        <v>2731</v>
      </c>
      <c r="D3800" t="s">
        <v>2889</v>
      </c>
      <c r="E3800">
        <v>3596</v>
      </c>
      <c r="F3800" s="11">
        <v>0</v>
      </c>
    </row>
    <row r="3801" spans="1:6" x14ac:dyDescent="0.35">
      <c r="A3801" t="s">
        <v>2856</v>
      </c>
      <c r="B3801" t="s">
        <v>2865</v>
      </c>
      <c r="C3801" t="s">
        <v>2731</v>
      </c>
      <c r="D3801" t="s">
        <v>2890</v>
      </c>
      <c r="E3801">
        <v>0</v>
      </c>
      <c r="F3801" s="11">
        <v>0</v>
      </c>
    </row>
    <row r="3802" spans="1:6" x14ac:dyDescent="0.35">
      <c r="A3802" t="s">
        <v>2856</v>
      </c>
      <c r="B3802" t="s">
        <v>2865</v>
      </c>
      <c r="C3802" t="s">
        <v>2731</v>
      </c>
      <c r="D3802" t="s">
        <v>2891</v>
      </c>
      <c r="E3802">
        <v>0</v>
      </c>
      <c r="F3802" s="11">
        <v>0</v>
      </c>
    </row>
    <row r="3803" spans="1:6" x14ac:dyDescent="0.35">
      <c r="A3803" t="s">
        <v>2856</v>
      </c>
      <c r="B3803" t="s">
        <v>2865</v>
      </c>
      <c r="C3803" t="s">
        <v>2731</v>
      </c>
      <c r="D3803" t="s">
        <v>2892</v>
      </c>
      <c r="E3803">
        <v>0</v>
      </c>
      <c r="F3803" s="11">
        <v>0</v>
      </c>
    </row>
    <row r="3804" spans="1:6" x14ac:dyDescent="0.35">
      <c r="A3804" t="s">
        <v>2856</v>
      </c>
      <c r="B3804" t="s">
        <v>2865</v>
      </c>
      <c r="C3804" t="s">
        <v>2731</v>
      </c>
      <c r="D3804" t="s">
        <v>2893</v>
      </c>
      <c r="E3804">
        <v>0</v>
      </c>
      <c r="F3804" s="11">
        <v>0</v>
      </c>
    </row>
    <row r="3805" spans="1:6" x14ac:dyDescent="0.35">
      <c r="A3805" t="s">
        <v>2856</v>
      </c>
      <c r="B3805" t="s">
        <v>2865</v>
      </c>
      <c r="C3805" t="s">
        <v>2731</v>
      </c>
      <c r="D3805" t="s">
        <v>2894</v>
      </c>
      <c r="E3805">
        <v>0</v>
      </c>
      <c r="F3805" s="11">
        <v>0</v>
      </c>
    </row>
    <row r="3806" spans="1:6" x14ac:dyDescent="0.35">
      <c r="A3806" t="s">
        <v>2856</v>
      </c>
      <c r="B3806" t="s">
        <v>2865</v>
      </c>
      <c r="C3806" t="s">
        <v>2731</v>
      </c>
      <c r="D3806" t="s">
        <v>2895</v>
      </c>
      <c r="E3806">
        <v>109554</v>
      </c>
      <c r="F3806" s="11">
        <v>0</v>
      </c>
    </row>
    <row r="3807" spans="1:6" x14ac:dyDescent="0.35">
      <c r="A3807" t="s">
        <v>2856</v>
      </c>
      <c r="B3807" t="s">
        <v>2865</v>
      </c>
      <c r="C3807" t="s">
        <v>2731</v>
      </c>
      <c r="D3807" t="s">
        <v>2896</v>
      </c>
      <c r="E3807">
        <v>79460</v>
      </c>
      <c r="F3807" s="11">
        <v>0</v>
      </c>
    </row>
    <row r="3808" spans="1:6" x14ac:dyDescent="0.35">
      <c r="A3808" t="s">
        <v>2856</v>
      </c>
      <c r="B3808" t="s">
        <v>2865</v>
      </c>
      <c r="C3808" t="s">
        <v>2731</v>
      </c>
      <c r="D3808" t="s">
        <v>2897</v>
      </c>
      <c r="E3808">
        <v>30094</v>
      </c>
      <c r="F3808" s="11">
        <v>0</v>
      </c>
    </row>
    <row r="3809" spans="1:6" x14ac:dyDescent="0.35">
      <c r="A3809" t="s">
        <v>2856</v>
      </c>
      <c r="B3809" t="s">
        <v>2865</v>
      </c>
      <c r="C3809" t="s">
        <v>2731</v>
      </c>
      <c r="D3809" t="s">
        <v>2898</v>
      </c>
      <c r="E3809">
        <v>0</v>
      </c>
      <c r="F3809" s="11">
        <v>0</v>
      </c>
    </row>
    <row r="3810" spans="1:6" x14ac:dyDescent="0.35">
      <c r="A3810" t="s">
        <v>2856</v>
      </c>
      <c r="B3810" t="s">
        <v>2865</v>
      </c>
      <c r="C3810" t="s">
        <v>2731</v>
      </c>
      <c r="D3810" t="s">
        <v>2899</v>
      </c>
      <c r="E3810">
        <v>3293</v>
      </c>
      <c r="F3810" s="11">
        <v>0</v>
      </c>
    </row>
    <row r="3811" spans="1:6" x14ac:dyDescent="0.35">
      <c r="A3811" t="s">
        <v>2856</v>
      </c>
      <c r="B3811" t="s">
        <v>2865</v>
      </c>
      <c r="C3811" t="s">
        <v>2731</v>
      </c>
      <c r="D3811" t="s">
        <v>2900</v>
      </c>
      <c r="E3811">
        <v>3265</v>
      </c>
      <c r="F3811" s="11">
        <v>0</v>
      </c>
    </row>
    <row r="3812" spans="1:6" x14ac:dyDescent="0.35">
      <c r="A3812" t="s">
        <v>2856</v>
      </c>
      <c r="B3812" t="s">
        <v>2865</v>
      </c>
      <c r="C3812" t="s">
        <v>2731</v>
      </c>
      <c r="D3812" t="s">
        <v>2901</v>
      </c>
      <c r="E3812">
        <v>28</v>
      </c>
      <c r="F3812" s="11">
        <v>0</v>
      </c>
    </row>
    <row r="3813" spans="1:6" x14ac:dyDescent="0.35">
      <c r="A3813" t="s">
        <v>2856</v>
      </c>
      <c r="B3813" t="s">
        <v>2865</v>
      </c>
      <c r="C3813" t="s">
        <v>2731</v>
      </c>
      <c r="D3813" t="s">
        <v>2902</v>
      </c>
      <c r="E3813">
        <v>0</v>
      </c>
      <c r="F3813" s="11">
        <v>0</v>
      </c>
    </row>
    <row r="3814" spans="1:6" x14ac:dyDescent="0.35">
      <c r="A3814" t="s">
        <v>2856</v>
      </c>
      <c r="B3814" t="s">
        <v>2865</v>
      </c>
      <c r="C3814" t="s">
        <v>2731</v>
      </c>
      <c r="D3814" t="s">
        <v>2903</v>
      </c>
      <c r="E3814">
        <v>16034</v>
      </c>
      <c r="F3814" s="11">
        <v>0</v>
      </c>
    </row>
    <row r="3815" spans="1:6" x14ac:dyDescent="0.35">
      <c r="A3815" t="s">
        <v>2856</v>
      </c>
      <c r="B3815" t="s">
        <v>2865</v>
      </c>
      <c r="C3815" t="s">
        <v>2731</v>
      </c>
      <c r="D3815" t="s">
        <v>2904</v>
      </c>
      <c r="E3815">
        <v>0</v>
      </c>
      <c r="F3815" s="11">
        <v>0</v>
      </c>
    </row>
    <row r="3816" spans="1:6" x14ac:dyDescent="0.35">
      <c r="A3816" t="s">
        <v>2856</v>
      </c>
      <c r="B3816" t="s">
        <v>2865</v>
      </c>
      <c r="C3816" t="s">
        <v>2731</v>
      </c>
      <c r="D3816" t="s">
        <v>2905</v>
      </c>
      <c r="E3816">
        <v>0</v>
      </c>
      <c r="F3816" s="11">
        <v>0</v>
      </c>
    </row>
    <row r="3817" spans="1:6" x14ac:dyDescent="0.35">
      <c r="A3817" t="s">
        <v>2856</v>
      </c>
      <c r="B3817" t="s">
        <v>2865</v>
      </c>
      <c r="C3817" t="s">
        <v>2731</v>
      </c>
      <c r="D3817" t="s">
        <v>2906</v>
      </c>
      <c r="E3817">
        <v>0</v>
      </c>
      <c r="F3817" s="11">
        <v>0</v>
      </c>
    </row>
    <row r="3818" spans="1:6" x14ac:dyDescent="0.35">
      <c r="A3818" t="s">
        <v>2856</v>
      </c>
      <c r="B3818" t="s">
        <v>2865</v>
      </c>
      <c r="C3818" t="s">
        <v>2731</v>
      </c>
      <c r="D3818" t="s">
        <v>2907</v>
      </c>
      <c r="E3818">
        <v>20579</v>
      </c>
      <c r="F3818" s="11">
        <v>0</v>
      </c>
    </row>
    <row r="3819" spans="1:6" x14ac:dyDescent="0.35">
      <c r="A3819" t="s">
        <v>2856</v>
      </c>
      <c r="B3819" t="s">
        <v>2865</v>
      </c>
      <c r="C3819" t="s">
        <v>2731</v>
      </c>
      <c r="D3819" t="s">
        <v>2908</v>
      </c>
      <c r="E3819">
        <v>0</v>
      </c>
      <c r="F3819" s="11">
        <v>0</v>
      </c>
    </row>
    <row r="3820" spans="1:6" x14ac:dyDescent="0.35">
      <c r="A3820" t="s">
        <v>2856</v>
      </c>
      <c r="B3820" t="s">
        <v>2865</v>
      </c>
      <c r="C3820" t="s">
        <v>2731</v>
      </c>
      <c r="D3820" t="s">
        <v>2909</v>
      </c>
      <c r="E3820">
        <v>0</v>
      </c>
      <c r="F3820" s="11">
        <v>0</v>
      </c>
    </row>
    <row r="3821" spans="1:6" x14ac:dyDescent="0.35">
      <c r="A3821" t="s">
        <v>2856</v>
      </c>
      <c r="B3821" t="s">
        <v>2865</v>
      </c>
      <c r="C3821" t="s">
        <v>2731</v>
      </c>
      <c r="D3821" t="s">
        <v>2910</v>
      </c>
      <c r="E3821">
        <v>0</v>
      </c>
      <c r="F3821" s="11">
        <v>0</v>
      </c>
    </row>
    <row r="3822" spans="1:6" x14ac:dyDescent="0.35">
      <c r="A3822" t="s">
        <v>2856</v>
      </c>
      <c r="B3822" t="s">
        <v>2865</v>
      </c>
      <c r="C3822" t="s">
        <v>2731</v>
      </c>
      <c r="D3822" t="s">
        <v>2911</v>
      </c>
      <c r="E3822">
        <v>0</v>
      </c>
      <c r="F3822" s="11">
        <v>0</v>
      </c>
    </row>
    <row r="3823" spans="1:6" x14ac:dyDescent="0.35">
      <c r="A3823" t="s">
        <v>2856</v>
      </c>
      <c r="B3823" t="s">
        <v>2865</v>
      </c>
      <c r="C3823" t="s">
        <v>2731</v>
      </c>
      <c r="D3823" t="s">
        <v>2912</v>
      </c>
      <c r="E3823">
        <v>0</v>
      </c>
      <c r="F3823" s="11">
        <v>0</v>
      </c>
    </row>
    <row r="3824" spans="1:6" x14ac:dyDescent="0.35">
      <c r="A3824" t="s">
        <v>2856</v>
      </c>
      <c r="B3824" t="s">
        <v>2865</v>
      </c>
      <c r="C3824" t="s">
        <v>2731</v>
      </c>
      <c r="D3824" t="s">
        <v>2913</v>
      </c>
      <c r="E3824">
        <v>0</v>
      </c>
      <c r="F3824" s="11">
        <v>0</v>
      </c>
    </row>
    <row r="3825" spans="1:6" x14ac:dyDescent="0.35">
      <c r="A3825" t="s">
        <v>2856</v>
      </c>
      <c r="B3825" t="s">
        <v>2865</v>
      </c>
      <c r="C3825" t="s">
        <v>2731</v>
      </c>
      <c r="D3825" t="s">
        <v>2914</v>
      </c>
      <c r="E3825">
        <v>0</v>
      </c>
      <c r="F3825" s="11">
        <v>0</v>
      </c>
    </row>
    <row r="3826" spans="1:6" x14ac:dyDescent="0.35">
      <c r="A3826" t="s">
        <v>2856</v>
      </c>
      <c r="B3826" t="s">
        <v>2865</v>
      </c>
      <c r="C3826" t="s">
        <v>2731</v>
      </c>
      <c r="D3826" t="s">
        <v>2915</v>
      </c>
      <c r="E3826">
        <v>1566</v>
      </c>
      <c r="F3826" s="11">
        <v>0</v>
      </c>
    </row>
    <row r="3827" spans="1:6" x14ac:dyDescent="0.35">
      <c r="A3827" t="s">
        <v>2856</v>
      </c>
      <c r="B3827" t="s">
        <v>2865</v>
      </c>
      <c r="C3827" t="s">
        <v>2731</v>
      </c>
      <c r="D3827" t="s">
        <v>2916</v>
      </c>
      <c r="E3827">
        <v>0</v>
      </c>
      <c r="F3827" s="11">
        <v>0</v>
      </c>
    </row>
    <row r="3828" spans="1:6" x14ac:dyDescent="0.35">
      <c r="A3828" t="s">
        <v>2856</v>
      </c>
      <c r="B3828" t="s">
        <v>2865</v>
      </c>
      <c r="C3828" t="s">
        <v>2731</v>
      </c>
      <c r="D3828" t="s">
        <v>2917</v>
      </c>
      <c r="E3828">
        <v>0</v>
      </c>
      <c r="F3828" s="11">
        <v>0</v>
      </c>
    </row>
    <row r="3829" spans="1:6" x14ac:dyDescent="0.35">
      <c r="A3829" t="s">
        <v>2856</v>
      </c>
      <c r="B3829" t="s">
        <v>2862</v>
      </c>
      <c r="C3829" t="s">
        <v>1453</v>
      </c>
      <c r="D3829" t="s">
        <v>2875</v>
      </c>
      <c r="E3829">
        <v>179677</v>
      </c>
      <c r="F3829" s="11">
        <v>1</v>
      </c>
    </row>
    <row r="3830" spans="1:6" x14ac:dyDescent="0.35">
      <c r="A3830" t="s">
        <v>2856</v>
      </c>
      <c r="B3830" t="s">
        <v>2862</v>
      </c>
      <c r="C3830" t="s">
        <v>1453</v>
      </c>
      <c r="D3830" t="s">
        <v>2876</v>
      </c>
      <c r="E3830">
        <v>43438</v>
      </c>
      <c r="F3830" s="11">
        <v>1</v>
      </c>
    </row>
    <row r="3831" spans="1:6" x14ac:dyDescent="0.35">
      <c r="A3831" t="s">
        <v>2856</v>
      </c>
      <c r="B3831" t="s">
        <v>2862</v>
      </c>
      <c r="C3831" t="s">
        <v>1453</v>
      </c>
      <c r="D3831" t="s">
        <v>2877</v>
      </c>
      <c r="E3831">
        <v>125182</v>
      </c>
      <c r="F3831" s="11">
        <v>1</v>
      </c>
    </row>
    <row r="3832" spans="1:6" x14ac:dyDescent="0.35">
      <c r="A3832" t="s">
        <v>2856</v>
      </c>
      <c r="B3832" t="s">
        <v>2862</v>
      </c>
      <c r="C3832" t="s">
        <v>1453</v>
      </c>
      <c r="D3832" t="s">
        <v>2878</v>
      </c>
      <c r="E3832">
        <v>11057</v>
      </c>
      <c r="F3832" s="11">
        <v>1</v>
      </c>
    </row>
    <row r="3833" spans="1:6" x14ac:dyDescent="0.35">
      <c r="A3833" t="s">
        <v>2856</v>
      </c>
      <c r="B3833" t="s">
        <v>2862</v>
      </c>
      <c r="C3833" t="s">
        <v>1453</v>
      </c>
      <c r="D3833" t="s">
        <v>2879</v>
      </c>
      <c r="E3833">
        <v>12668</v>
      </c>
      <c r="F3833" s="11">
        <v>1</v>
      </c>
    </row>
    <row r="3834" spans="1:6" x14ac:dyDescent="0.35">
      <c r="A3834" t="s">
        <v>2856</v>
      </c>
      <c r="B3834" t="s">
        <v>2862</v>
      </c>
      <c r="C3834" t="s">
        <v>1453</v>
      </c>
      <c r="D3834" t="s">
        <v>2880</v>
      </c>
      <c r="E3834">
        <v>2015</v>
      </c>
      <c r="F3834" s="11">
        <v>1</v>
      </c>
    </row>
    <row r="3835" spans="1:6" x14ac:dyDescent="0.35">
      <c r="A3835" t="s">
        <v>2856</v>
      </c>
      <c r="B3835" t="s">
        <v>2862</v>
      </c>
      <c r="C3835" t="s">
        <v>1453</v>
      </c>
      <c r="D3835" t="s">
        <v>2881</v>
      </c>
      <c r="E3835">
        <v>7723</v>
      </c>
      <c r="F3835" s="11">
        <v>1</v>
      </c>
    </row>
    <row r="3836" spans="1:6" x14ac:dyDescent="0.35">
      <c r="A3836" t="s">
        <v>2856</v>
      </c>
      <c r="B3836" t="s">
        <v>2862</v>
      </c>
      <c r="C3836" t="s">
        <v>1453</v>
      </c>
      <c r="D3836" t="s">
        <v>2882</v>
      </c>
      <c r="E3836">
        <v>108</v>
      </c>
      <c r="F3836" s="11">
        <v>1</v>
      </c>
    </row>
    <row r="3837" spans="1:6" x14ac:dyDescent="0.35">
      <c r="A3837" t="s">
        <v>2856</v>
      </c>
      <c r="B3837" t="s">
        <v>2862</v>
      </c>
      <c r="C3837" t="s">
        <v>1453</v>
      </c>
      <c r="D3837" t="s">
        <v>2883</v>
      </c>
      <c r="E3837">
        <v>0</v>
      </c>
      <c r="F3837" s="11">
        <v>0</v>
      </c>
    </row>
    <row r="3838" spans="1:6" x14ac:dyDescent="0.35">
      <c r="A3838" t="s">
        <v>2856</v>
      </c>
      <c r="B3838" t="s">
        <v>2862</v>
      </c>
      <c r="C3838" t="s">
        <v>1453</v>
      </c>
      <c r="D3838" t="s">
        <v>2884</v>
      </c>
      <c r="E3838">
        <v>0</v>
      </c>
      <c r="F3838" s="11">
        <v>0</v>
      </c>
    </row>
    <row r="3839" spans="1:6" x14ac:dyDescent="0.35">
      <c r="A3839" t="s">
        <v>2856</v>
      </c>
      <c r="B3839" t="s">
        <v>2862</v>
      </c>
      <c r="C3839" t="s">
        <v>1453</v>
      </c>
      <c r="D3839" t="s">
        <v>2885</v>
      </c>
      <c r="E3839">
        <v>0</v>
      </c>
      <c r="F3839" s="11">
        <v>0</v>
      </c>
    </row>
    <row r="3840" spans="1:6" x14ac:dyDescent="0.35">
      <c r="A3840" t="s">
        <v>2856</v>
      </c>
      <c r="B3840" t="s">
        <v>2862</v>
      </c>
      <c r="C3840" t="s">
        <v>1453</v>
      </c>
      <c r="D3840" t="s">
        <v>2886</v>
      </c>
      <c r="E3840">
        <v>0</v>
      </c>
      <c r="F3840" s="11">
        <v>0</v>
      </c>
    </row>
    <row r="3841" spans="1:6" x14ac:dyDescent="0.35">
      <c r="A3841" t="s">
        <v>2856</v>
      </c>
      <c r="B3841" t="s">
        <v>2862</v>
      </c>
      <c r="C3841" t="s">
        <v>1453</v>
      </c>
      <c r="D3841" t="s">
        <v>2887</v>
      </c>
      <c r="E3841">
        <v>238014</v>
      </c>
      <c r="F3841" s="11">
        <v>1</v>
      </c>
    </row>
    <row r="3842" spans="1:6" x14ac:dyDescent="0.35">
      <c r="A3842" t="s">
        <v>2856</v>
      </c>
      <c r="B3842" t="s">
        <v>2862</v>
      </c>
      <c r="C3842" t="s">
        <v>1453</v>
      </c>
      <c r="D3842" t="s">
        <v>2888</v>
      </c>
      <c r="E3842">
        <v>111841</v>
      </c>
      <c r="F3842" s="11">
        <v>1</v>
      </c>
    </row>
    <row r="3843" spans="1:6" x14ac:dyDescent="0.35">
      <c r="A3843" t="s">
        <v>2856</v>
      </c>
      <c r="B3843" t="s">
        <v>2862</v>
      </c>
      <c r="C3843" t="s">
        <v>1453</v>
      </c>
      <c r="D3843" t="s">
        <v>2889</v>
      </c>
      <c r="E3843">
        <v>126173</v>
      </c>
      <c r="F3843" s="11">
        <v>0</v>
      </c>
    </row>
    <row r="3844" spans="1:6" x14ac:dyDescent="0.35">
      <c r="A3844" t="s">
        <v>2856</v>
      </c>
      <c r="B3844" t="s">
        <v>2862</v>
      </c>
      <c r="C3844" t="s">
        <v>1453</v>
      </c>
      <c r="D3844" t="s">
        <v>2890</v>
      </c>
      <c r="E3844">
        <v>0</v>
      </c>
      <c r="F3844" s="11">
        <v>1</v>
      </c>
    </row>
    <row r="3845" spans="1:6" x14ac:dyDescent="0.35">
      <c r="A3845" t="s">
        <v>2856</v>
      </c>
      <c r="B3845" t="s">
        <v>2862</v>
      </c>
      <c r="C3845" t="s">
        <v>1453</v>
      </c>
      <c r="D3845" t="s">
        <v>2891</v>
      </c>
      <c r="E3845">
        <v>0</v>
      </c>
      <c r="F3845" s="11">
        <v>0</v>
      </c>
    </row>
    <row r="3846" spans="1:6" x14ac:dyDescent="0.35">
      <c r="A3846" t="s">
        <v>2856</v>
      </c>
      <c r="B3846" t="s">
        <v>2862</v>
      </c>
      <c r="C3846" t="s">
        <v>1453</v>
      </c>
      <c r="D3846" t="s">
        <v>2892</v>
      </c>
      <c r="E3846">
        <v>0</v>
      </c>
      <c r="F3846" s="11">
        <v>0</v>
      </c>
    </row>
    <row r="3847" spans="1:6" x14ac:dyDescent="0.35">
      <c r="A3847" t="s">
        <v>2856</v>
      </c>
      <c r="B3847" t="s">
        <v>2862</v>
      </c>
      <c r="C3847" t="s">
        <v>1453</v>
      </c>
      <c r="D3847" t="s">
        <v>2893</v>
      </c>
      <c r="E3847">
        <v>0</v>
      </c>
      <c r="F3847" s="11">
        <v>0</v>
      </c>
    </row>
    <row r="3848" spans="1:6" x14ac:dyDescent="0.35">
      <c r="A3848" t="s">
        <v>2856</v>
      </c>
      <c r="B3848" t="s">
        <v>2862</v>
      </c>
      <c r="C3848" t="s">
        <v>1453</v>
      </c>
      <c r="D3848" t="s">
        <v>2894</v>
      </c>
      <c r="E3848">
        <v>0</v>
      </c>
      <c r="F3848" s="11">
        <v>0</v>
      </c>
    </row>
    <row r="3849" spans="1:6" x14ac:dyDescent="0.35">
      <c r="A3849" t="s">
        <v>2856</v>
      </c>
      <c r="B3849" t="s">
        <v>2862</v>
      </c>
      <c r="C3849" t="s">
        <v>1453</v>
      </c>
      <c r="D3849" t="s">
        <v>2895</v>
      </c>
      <c r="E3849">
        <v>4034931</v>
      </c>
      <c r="F3849" s="11">
        <v>1</v>
      </c>
    </row>
    <row r="3850" spans="1:6" x14ac:dyDescent="0.35">
      <c r="A3850" t="s">
        <v>2856</v>
      </c>
      <c r="B3850" t="s">
        <v>2862</v>
      </c>
      <c r="C3850" t="s">
        <v>1453</v>
      </c>
      <c r="D3850" t="s">
        <v>2896</v>
      </c>
      <c r="E3850">
        <v>1738762</v>
      </c>
      <c r="F3850" s="11">
        <v>1</v>
      </c>
    </row>
    <row r="3851" spans="1:6" x14ac:dyDescent="0.35">
      <c r="A3851" t="s">
        <v>2856</v>
      </c>
      <c r="B3851" t="s">
        <v>2862</v>
      </c>
      <c r="C3851" t="s">
        <v>1453</v>
      </c>
      <c r="D3851" t="s">
        <v>2897</v>
      </c>
      <c r="E3851">
        <v>2219256</v>
      </c>
      <c r="F3851" s="11">
        <v>1</v>
      </c>
    </row>
    <row r="3852" spans="1:6" x14ac:dyDescent="0.35">
      <c r="A3852" t="s">
        <v>2856</v>
      </c>
      <c r="B3852" t="s">
        <v>2862</v>
      </c>
      <c r="C3852" t="s">
        <v>1453</v>
      </c>
      <c r="D3852" t="s">
        <v>2898</v>
      </c>
      <c r="E3852">
        <v>76913</v>
      </c>
      <c r="F3852" s="11">
        <v>1</v>
      </c>
    </row>
    <row r="3853" spans="1:6" x14ac:dyDescent="0.35">
      <c r="A3853" t="s">
        <v>2856</v>
      </c>
      <c r="B3853" t="s">
        <v>2862</v>
      </c>
      <c r="C3853" t="s">
        <v>1453</v>
      </c>
      <c r="D3853" t="s">
        <v>2899</v>
      </c>
      <c r="E3853">
        <v>18642</v>
      </c>
      <c r="F3853" s="11">
        <v>1</v>
      </c>
    </row>
    <row r="3854" spans="1:6" x14ac:dyDescent="0.35">
      <c r="A3854" t="s">
        <v>2856</v>
      </c>
      <c r="B3854" t="s">
        <v>2862</v>
      </c>
      <c r="C3854" t="s">
        <v>1453</v>
      </c>
      <c r="D3854" t="s">
        <v>2900</v>
      </c>
      <c r="E3854">
        <v>12895</v>
      </c>
      <c r="F3854" s="11">
        <v>1</v>
      </c>
    </row>
    <row r="3855" spans="1:6" x14ac:dyDescent="0.35">
      <c r="A3855" t="s">
        <v>2856</v>
      </c>
      <c r="B3855" t="s">
        <v>2862</v>
      </c>
      <c r="C3855" t="s">
        <v>1453</v>
      </c>
      <c r="D3855" t="s">
        <v>2901</v>
      </c>
      <c r="E3855">
        <v>5533</v>
      </c>
      <c r="F3855" s="11">
        <v>1</v>
      </c>
    </row>
    <row r="3856" spans="1:6" x14ac:dyDescent="0.35">
      <c r="A3856" t="s">
        <v>2856</v>
      </c>
      <c r="B3856" t="s">
        <v>2862</v>
      </c>
      <c r="C3856" t="s">
        <v>1453</v>
      </c>
      <c r="D3856" t="s">
        <v>2902</v>
      </c>
      <c r="E3856">
        <v>214</v>
      </c>
      <c r="F3856" s="11">
        <v>1</v>
      </c>
    </row>
    <row r="3857" spans="1:6" x14ac:dyDescent="0.35">
      <c r="A3857" t="s">
        <v>2856</v>
      </c>
      <c r="B3857" t="s">
        <v>2862</v>
      </c>
      <c r="C3857" t="s">
        <v>1453</v>
      </c>
      <c r="D3857" t="s">
        <v>2903</v>
      </c>
      <c r="E3857">
        <v>133776</v>
      </c>
      <c r="F3857" s="11">
        <v>1</v>
      </c>
    </row>
    <row r="3858" spans="1:6" x14ac:dyDescent="0.35">
      <c r="A3858" t="s">
        <v>2856</v>
      </c>
      <c r="B3858" t="s">
        <v>2862</v>
      </c>
      <c r="C3858" t="s">
        <v>1453</v>
      </c>
      <c r="D3858" t="s">
        <v>2904</v>
      </c>
      <c r="E3858">
        <v>112182</v>
      </c>
      <c r="F3858" s="11">
        <v>0</v>
      </c>
    </row>
    <row r="3859" spans="1:6" x14ac:dyDescent="0.35">
      <c r="A3859" t="s">
        <v>2856</v>
      </c>
      <c r="B3859" t="s">
        <v>2862</v>
      </c>
      <c r="C3859" t="s">
        <v>1453</v>
      </c>
      <c r="D3859" t="s">
        <v>2905</v>
      </c>
      <c r="E3859">
        <v>14528</v>
      </c>
      <c r="F3859" s="11">
        <v>0</v>
      </c>
    </row>
    <row r="3860" spans="1:6" x14ac:dyDescent="0.35">
      <c r="A3860" t="s">
        <v>2856</v>
      </c>
      <c r="B3860" t="s">
        <v>2862</v>
      </c>
      <c r="C3860" t="s">
        <v>1453</v>
      </c>
      <c r="D3860" t="s">
        <v>2906</v>
      </c>
      <c r="E3860">
        <v>7066</v>
      </c>
      <c r="F3860" s="11">
        <v>0</v>
      </c>
    </row>
    <row r="3861" spans="1:6" x14ac:dyDescent="0.35">
      <c r="A3861" t="s">
        <v>2856</v>
      </c>
      <c r="B3861" t="s">
        <v>2862</v>
      </c>
      <c r="C3861" t="s">
        <v>1453</v>
      </c>
      <c r="D3861" t="s">
        <v>2907</v>
      </c>
      <c r="E3861">
        <v>195605</v>
      </c>
      <c r="F3861" s="11">
        <v>1</v>
      </c>
    </row>
    <row r="3862" spans="1:6" x14ac:dyDescent="0.35">
      <c r="A3862" t="s">
        <v>2856</v>
      </c>
      <c r="B3862" t="s">
        <v>2862</v>
      </c>
      <c r="C3862" t="s">
        <v>1453</v>
      </c>
      <c r="D3862" t="s">
        <v>2908</v>
      </c>
      <c r="E3862">
        <v>154924</v>
      </c>
      <c r="F3862" s="11">
        <v>0</v>
      </c>
    </row>
    <row r="3863" spans="1:6" x14ac:dyDescent="0.35">
      <c r="A3863" t="s">
        <v>2856</v>
      </c>
      <c r="B3863" t="s">
        <v>2862</v>
      </c>
      <c r="C3863" t="s">
        <v>1453</v>
      </c>
      <c r="D3863" t="s">
        <v>2909</v>
      </c>
      <c r="E3863">
        <v>33130</v>
      </c>
      <c r="F3863" s="11">
        <v>0</v>
      </c>
    </row>
    <row r="3864" spans="1:6" x14ac:dyDescent="0.35">
      <c r="A3864" t="s">
        <v>2856</v>
      </c>
      <c r="B3864" t="s">
        <v>2862</v>
      </c>
      <c r="C3864" t="s">
        <v>1453</v>
      </c>
      <c r="D3864" t="s">
        <v>2910</v>
      </c>
      <c r="E3864">
        <v>7551</v>
      </c>
      <c r="F3864" s="11">
        <v>0</v>
      </c>
    </row>
    <row r="3865" spans="1:6" x14ac:dyDescent="0.35">
      <c r="A3865" t="s">
        <v>2856</v>
      </c>
      <c r="B3865" t="s">
        <v>2862</v>
      </c>
      <c r="C3865" t="s">
        <v>1453</v>
      </c>
      <c r="D3865" t="s">
        <v>2911</v>
      </c>
      <c r="E3865">
        <v>2364089</v>
      </c>
      <c r="F3865" s="11">
        <v>1</v>
      </c>
    </row>
    <row r="3866" spans="1:6" x14ac:dyDescent="0.35">
      <c r="A3866" t="s">
        <v>2856</v>
      </c>
      <c r="B3866" t="s">
        <v>2862</v>
      </c>
      <c r="C3866" t="s">
        <v>1453</v>
      </c>
      <c r="D3866" t="s">
        <v>2912</v>
      </c>
      <c r="E3866">
        <v>55357</v>
      </c>
      <c r="F3866" s="11">
        <v>1</v>
      </c>
    </row>
    <row r="3867" spans="1:6" x14ac:dyDescent="0.35">
      <c r="A3867" t="s">
        <v>2856</v>
      </c>
      <c r="B3867" t="s">
        <v>2862</v>
      </c>
      <c r="C3867" t="s">
        <v>1453</v>
      </c>
      <c r="D3867" t="s">
        <v>2913</v>
      </c>
      <c r="E3867">
        <v>0</v>
      </c>
      <c r="F3867" s="11">
        <v>0</v>
      </c>
    </row>
    <row r="3868" spans="1:6" x14ac:dyDescent="0.35">
      <c r="A3868" t="s">
        <v>2856</v>
      </c>
      <c r="B3868" t="s">
        <v>2862</v>
      </c>
      <c r="C3868" t="s">
        <v>1453</v>
      </c>
      <c r="D3868" t="s">
        <v>2914</v>
      </c>
      <c r="E3868">
        <v>0</v>
      </c>
      <c r="F3868" s="11">
        <v>0</v>
      </c>
    </row>
    <row r="3869" spans="1:6" x14ac:dyDescent="0.35">
      <c r="A3869" t="s">
        <v>2856</v>
      </c>
      <c r="B3869" t="s">
        <v>2862</v>
      </c>
      <c r="C3869" t="s">
        <v>1453</v>
      </c>
      <c r="D3869" t="s">
        <v>2915</v>
      </c>
      <c r="E3869">
        <v>1812</v>
      </c>
      <c r="F3869" s="11">
        <v>1</v>
      </c>
    </row>
    <row r="3870" spans="1:6" x14ac:dyDescent="0.35">
      <c r="A3870" t="s">
        <v>2856</v>
      </c>
      <c r="B3870" t="s">
        <v>2862</v>
      </c>
      <c r="C3870" t="s">
        <v>1453</v>
      </c>
      <c r="D3870" t="s">
        <v>2916</v>
      </c>
      <c r="E3870">
        <v>138792</v>
      </c>
      <c r="F3870" s="11">
        <v>1</v>
      </c>
    </row>
    <row r="3871" spans="1:6" x14ac:dyDescent="0.35">
      <c r="A3871" t="s">
        <v>2856</v>
      </c>
      <c r="B3871" t="s">
        <v>2862</v>
      </c>
      <c r="C3871" t="s">
        <v>1453</v>
      </c>
      <c r="D3871" t="s">
        <v>2917</v>
      </c>
      <c r="E3871">
        <v>0</v>
      </c>
      <c r="F3871" s="11">
        <v>0</v>
      </c>
    </row>
    <row r="3872" spans="1:6" x14ac:dyDescent="0.35">
      <c r="A3872" t="s">
        <v>2856</v>
      </c>
      <c r="B3872" t="s">
        <v>2866</v>
      </c>
      <c r="C3872" t="s">
        <v>1431</v>
      </c>
      <c r="D3872" t="s">
        <v>2875</v>
      </c>
      <c r="E3872">
        <v>34714</v>
      </c>
      <c r="F3872" s="11">
        <v>0</v>
      </c>
    </row>
    <row r="3873" spans="1:6" x14ac:dyDescent="0.35">
      <c r="A3873" t="s">
        <v>2856</v>
      </c>
      <c r="B3873" t="s">
        <v>2866</v>
      </c>
      <c r="C3873" t="s">
        <v>1431</v>
      </c>
      <c r="D3873" t="s">
        <v>2876</v>
      </c>
      <c r="E3873">
        <v>8606</v>
      </c>
      <c r="F3873" s="11">
        <v>0</v>
      </c>
    </row>
    <row r="3874" spans="1:6" x14ac:dyDescent="0.35">
      <c r="A3874" t="s">
        <v>2856</v>
      </c>
      <c r="B3874" t="s">
        <v>2866</v>
      </c>
      <c r="C3874" t="s">
        <v>1431</v>
      </c>
      <c r="D3874" t="s">
        <v>2877</v>
      </c>
      <c r="E3874">
        <v>22797</v>
      </c>
      <c r="F3874" s="11">
        <v>0</v>
      </c>
    </row>
    <row r="3875" spans="1:6" x14ac:dyDescent="0.35">
      <c r="A3875" t="s">
        <v>2856</v>
      </c>
      <c r="B3875" t="s">
        <v>2866</v>
      </c>
      <c r="C3875" t="s">
        <v>1431</v>
      </c>
      <c r="D3875" t="s">
        <v>2878</v>
      </c>
      <c r="E3875">
        <v>3311</v>
      </c>
      <c r="F3875" s="11">
        <v>0</v>
      </c>
    </row>
    <row r="3876" spans="1:6" x14ac:dyDescent="0.35">
      <c r="A3876" t="s">
        <v>2856</v>
      </c>
      <c r="B3876" t="s">
        <v>2866</v>
      </c>
      <c r="C3876" t="s">
        <v>1431</v>
      </c>
      <c r="D3876" t="s">
        <v>2879</v>
      </c>
      <c r="E3876">
        <v>772</v>
      </c>
      <c r="F3876" s="11">
        <v>1</v>
      </c>
    </row>
    <row r="3877" spans="1:6" x14ac:dyDescent="0.35">
      <c r="A3877" t="s">
        <v>2856</v>
      </c>
      <c r="B3877" t="s">
        <v>2866</v>
      </c>
      <c r="C3877" t="s">
        <v>1431</v>
      </c>
      <c r="D3877" t="s">
        <v>2880</v>
      </c>
      <c r="E3877">
        <v>478</v>
      </c>
      <c r="F3877" s="11">
        <v>1</v>
      </c>
    </row>
    <row r="3878" spans="1:6" x14ac:dyDescent="0.35">
      <c r="A3878" t="s">
        <v>2856</v>
      </c>
      <c r="B3878" t="s">
        <v>2866</v>
      </c>
      <c r="C3878" t="s">
        <v>1431</v>
      </c>
      <c r="D3878" t="s">
        <v>2881</v>
      </c>
      <c r="E3878">
        <v>294</v>
      </c>
      <c r="F3878" s="11">
        <v>0</v>
      </c>
    </row>
    <row r="3879" spans="1:6" x14ac:dyDescent="0.35">
      <c r="A3879" t="s">
        <v>2856</v>
      </c>
      <c r="B3879" t="s">
        <v>2866</v>
      </c>
      <c r="C3879" t="s">
        <v>1431</v>
      </c>
      <c r="D3879" t="s">
        <v>2882</v>
      </c>
      <c r="E3879">
        <v>0</v>
      </c>
      <c r="F3879" s="11">
        <v>1</v>
      </c>
    </row>
    <row r="3880" spans="1:6" x14ac:dyDescent="0.35">
      <c r="A3880" t="s">
        <v>2856</v>
      </c>
      <c r="B3880" t="s">
        <v>2866</v>
      </c>
      <c r="C3880" t="s">
        <v>1431</v>
      </c>
      <c r="D3880" t="s">
        <v>2883</v>
      </c>
      <c r="E3880">
        <v>0</v>
      </c>
      <c r="F3880" s="11">
        <v>0</v>
      </c>
    </row>
    <row r="3881" spans="1:6" x14ac:dyDescent="0.35">
      <c r="A3881" t="s">
        <v>2856</v>
      </c>
      <c r="B3881" t="s">
        <v>2866</v>
      </c>
      <c r="C3881" t="s">
        <v>1431</v>
      </c>
      <c r="D3881" t="s">
        <v>2884</v>
      </c>
      <c r="E3881">
        <v>0</v>
      </c>
      <c r="F3881" s="11">
        <v>0</v>
      </c>
    </row>
    <row r="3882" spans="1:6" x14ac:dyDescent="0.35">
      <c r="A3882" t="s">
        <v>2856</v>
      </c>
      <c r="B3882" t="s">
        <v>2866</v>
      </c>
      <c r="C3882" t="s">
        <v>1431</v>
      </c>
      <c r="D3882" t="s">
        <v>2885</v>
      </c>
      <c r="E3882">
        <v>0</v>
      </c>
      <c r="F3882" s="11">
        <v>0</v>
      </c>
    </row>
    <row r="3883" spans="1:6" x14ac:dyDescent="0.35">
      <c r="A3883" t="s">
        <v>2856</v>
      </c>
      <c r="B3883" t="s">
        <v>2866</v>
      </c>
      <c r="C3883" t="s">
        <v>1431</v>
      </c>
      <c r="D3883" t="s">
        <v>2886</v>
      </c>
      <c r="E3883">
        <v>0</v>
      </c>
      <c r="F3883" s="11">
        <v>0</v>
      </c>
    </row>
    <row r="3884" spans="1:6" x14ac:dyDescent="0.35">
      <c r="A3884" t="s">
        <v>2856</v>
      </c>
      <c r="B3884" t="s">
        <v>2866</v>
      </c>
      <c r="C3884" t="s">
        <v>1431</v>
      </c>
      <c r="D3884" t="s">
        <v>2887</v>
      </c>
      <c r="E3884">
        <v>25038</v>
      </c>
      <c r="F3884" s="11">
        <v>1</v>
      </c>
    </row>
    <row r="3885" spans="1:6" x14ac:dyDescent="0.35">
      <c r="A3885" t="s">
        <v>2856</v>
      </c>
      <c r="B3885" t="s">
        <v>2866</v>
      </c>
      <c r="C3885" t="s">
        <v>1431</v>
      </c>
      <c r="D3885" t="s">
        <v>2888</v>
      </c>
      <c r="E3885">
        <v>10220</v>
      </c>
      <c r="F3885" s="11">
        <v>1</v>
      </c>
    </row>
    <row r="3886" spans="1:6" x14ac:dyDescent="0.35">
      <c r="A3886" t="s">
        <v>2856</v>
      </c>
      <c r="B3886" t="s">
        <v>2866</v>
      </c>
      <c r="C3886" t="s">
        <v>1431</v>
      </c>
      <c r="D3886" t="s">
        <v>2889</v>
      </c>
      <c r="E3886">
        <v>14818</v>
      </c>
      <c r="F3886" s="11">
        <v>0</v>
      </c>
    </row>
    <row r="3887" spans="1:6" x14ac:dyDescent="0.35">
      <c r="A3887" t="s">
        <v>2856</v>
      </c>
      <c r="B3887" t="s">
        <v>2866</v>
      </c>
      <c r="C3887" t="s">
        <v>1431</v>
      </c>
      <c r="D3887" t="s">
        <v>2890</v>
      </c>
      <c r="E3887">
        <v>0</v>
      </c>
      <c r="F3887" s="11">
        <v>1</v>
      </c>
    </row>
    <row r="3888" spans="1:6" x14ac:dyDescent="0.35">
      <c r="A3888" t="s">
        <v>2856</v>
      </c>
      <c r="B3888" t="s">
        <v>2866</v>
      </c>
      <c r="C3888" t="s">
        <v>1431</v>
      </c>
      <c r="D3888" t="s">
        <v>2891</v>
      </c>
      <c r="E3888">
        <v>0</v>
      </c>
      <c r="F3888" s="11">
        <v>0</v>
      </c>
    </row>
    <row r="3889" spans="1:6" x14ac:dyDescent="0.35">
      <c r="A3889" t="s">
        <v>2856</v>
      </c>
      <c r="B3889" t="s">
        <v>2866</v>
      </c>
      <c r="C3889" t="s">
        <v>1431</v>
      </c>
      <c r="D3889" t="s">
        <v>2892</v>
      </c>
      <c r="E3889">
        <v>0</v>
      </c>
      <c r="F3889" s="11">
        <v>0</v>
      </c>
    </row>
    <row r="3890" spans="1:6" x14ac:dyDescent="0.35">
      <c r="A3890" t="s">
        <v>2856</v>
      </c>
      <c r="B3890" t="s">
        <v>2866</v>
      </c>
      <c r="C3890" t="s">
        <v>1431</v>
      </c>
      <c r="D3890" t="s">
        <v>2893</v>
      </c>
      <c r="E3890">
        <v>0</v>
      </c>
      <c r="F3890" s="11">
        <v>0</v>
      </c>
    </row>
    <row r="3891" spans="1:6" x14ac:dyDescent="0.35">
      <c r="A3891" t="s">
        <v>2856</v>
      </c>
      <c r="B3891" t="s">
        <v>2866</v>
      </c>
      <c r="C3891" t="s">
        <v>1431</v>
      </c>
      <c r="D3891" t="s">
        <v>2894</v>
      </c>
      <c r="E3891">
        <v>0</v>
      </c>
      <c r="F3891" s="11">
        <v>0</v>
      </c>
    </row>
    <row r="3892" spans="1:6" x14ac:dyDescent="0.35">
      <c r="A3892" t="s">
        <v>2856</v>
      </c>
      <c r="B3892" t="s">
        <v>2866</v>
      </c>
      <c r="C3892" t="s">
        <v>1431</v>
      </c>
      <c r="D3892" t="s">
        <v>2895</v>
      </c>
      <c r="E3892">
        <v>789283</v>
      </c>
      <c r="F3892" s="11">
        <v>1</v>
      </c>
    </row>
    <row r="3893" spans="1:6" x14ac:dyDescent="0.35">
      <c r="A3893" t="s">
        <v>2856</v>
      </c>
      <c r="B3893" t="s">
        <v>2866</v>
      </c>
      <c r="C3893" t="s">
        <v>1431</v>
      </c>
      <c r="D3893" t="s">
        <v>2896</v>
      </c>
      <c r="E3893">
        <v>227923</v>
      </c>
      <c r="F3893" s="11">
        <v>1</v>
      </c>
    </row>
    <row r="3894" spans="1:6" x14ac:dyDescent="0.35">
      <c r="A3894" t="s">
        <v>2856</v>
      </c>
      <c r="B3894" t="s">
        <v>2866</v>
      </c>
      <c r="C3894" t="s">
        <v>1431</v>
      </c>
      <c r="D3894" t="s">
        <v>2897</v>
      </c>
      <c r="E3894">
        <v>541500</v>
      </c>
      <c r="F3894" s="11">
        <v>0</v>
      </c>
    </row>
    <row r="3895" spans="1:6" x14ac:dyDescent="0.35">
      <c r="A3895" t="s">
        <v>2856</v>
      </c>
      <c r="B3895" t="s">
        <v>2866</v>
      </c>
      <c r="C3895" t="s">
        <v>1431</v>
      </c>
      <c r="D3895" t="s">
        <v>2898</v>
      </c>
      <c r="E3895">
        <v>19860</v>
      </c>
      <c r="F3895" s="11">
        <v>1</v>
      </c>
    </row>
    <row r="3896" spans="1:6" x14ac:dyDescent="0.35">
      <c r="A3896" t="s">
        <v>2856</v>
      </c>
      <c r="B3896" t="s">
        <v>2866</v>
      </c>
      <c r="C3896" t="s">
        <v>1431</v>
      </c>
      <c r="D3896" t="s">
        <v>2899</v>
      </c>
      <c r="E3896">
        <v>2217</v>
      </c>
      <c r="F3896" s="11">
        <v>1</v>
      </c>
    </row>
    <row r="3897" spans="1:6" x14ac:dyDescent="0.35">
      <c r="A3897" t="s">
        <v>2856</v>
      </c>
      <c r="B3897" t="s">
        <v>2866</v>
      </c>
      <c r="C3897" t="s">
        <v>1431</v>
      </c>
      <c r="D3897" t="s">
        <v>2900</v>
      </c>
      <c r="E3897">
        <v>2204</v>
      </c>
      <c r="F3897" s="11">
        <v>0</v>
      </c>
    </row>
    <row r="3898" spans="1:6" x14ac:dyDescent="0.35">
      <c r="A3898" t="s">
        <v>2856</v>
      </c>
      <c r="B3898" t="s">
        <v>2866</v>
      </c>
      <c r="C3898" t="s">
        <v>1431</v>
      </c>
      <c r="D3898" t="s">
        <v>2901</v>
      </c>
      <c r="E3898">
        <v>13</v>
      </c>
      <c r="F3898" s="11">
        <v>0</v>
      </c>
    </row>
    <row r="3899" spans="1:6" x14ac:dyDescent="0.35">
      <c r="A3899" t="s">
        <v>2856</v>
      </c>
      <c r="B3899" t="s">
        <v>2866</v>
      </c>
      <c r="C3899" t="s">
        <v>1431</v>
      </c>
      <c r="D3899" t="s">
        <v>2902</v>
      </c>
      <c r="E3899">
        <v>0</v>
      </c>
      <c r="F3899" s="11">
        <v>1</v>
      </c>
    </row>
    <row r="3900" spans="1:6" x14ac:dyDescent="0.35">
      <c r="A3900" t="s">
        <v>2856</v>
      </c>
      <c r="B3900" t="s">
        <v>2866</v>
      </c>
      <c r="C3900" t="s">
        <v>1431</v>
      </c>
      <c r="D3900" t="s">
        <v>2903</v>
      </c>
      <c r="E3900">
        <v>39596</v>
      </c>
      <c r="F3900" s="11">
        <v>0</v>
      </c>
    </row>
    <row r="3901" spans="1:6" x14ac:dyDescent="0.35">
      <c r="A3901" t="s">
        <v>2856</v>
      </c>
      <c r="B3901" t="s">
        <v>2866</v>
      </c>
      <c r="C3901" t="s">
        <v>1431</v>
      </c>
      <c r="D3901" t="s">
        <v>2904</v>
      </c>
      <c r="E3901">
        <v>27961</v>
      </c>
      <c r="F3901" s="11">
        <v>0</v>
      </c>
    </row>
    <row r="3902" spans="1:6" x14ac:dyDescent="0.35">
      <c r="A3902" t="s">
        <v>2856</v>
      </c>
      <c r="B3902" t="s">
        <v>2866</v>
      </c>
      <c r="C3902" t="s">
        <v>1431</v>
      </c>
      <c r="D3902" t="s">
        <v>2905</v>
      </c>
      <c r="E3902">
        <v>7700</v>
      </c>
      <c r="F3902" s="11">
        <v>0</v>
      </c>
    </row>
    <row r="3903" spans="1:6" x14ac:dyDescent="0.35">
      <c r="A3903" t="s">
        <v>2856</v>
      </c>
      <c r="B3903" t="s">
        <v>2866</v>
      </c>
      <c r="C3903" t="s">
        <v>1431</v>
      </c>
      <c r="D3903" t="s">
        <v>2906</v>
      </c>
      <c r="E3903">
        <v>3935</v>
      </c>
      <c r="F3903" s="11">
        <v>0</v>
      </c>
    </row>
    <row r="3904" spans="1:6" x14ac:dyDescent="0.35">
      <c r="A3904" t="s">
        <v>2856</v>
      </c>
      <c r="B3904" t="s">
        <v>2866</v>
      </c>
      <c r="C3904" t="s">
        <v>1431</v>
      </c>
      <c r="D3904" t="s">
        <v>2907</v>
      </c>
      <c r="E3904">
        <v>35516</v>
      </c>
      <c r="F3904" s="11">
        <v>0</v>
      </c>
    </row>
    <row r="3905" spans="1:6" x14ac:dyDescent="0.35">
      <c r="A3905" t="s">
        <v>2856</v>
      </c>
      <c r="B3905" t="s">
        <v>2866</v>
      </c>
      <c r="C3905" t="s">
        <v>1431</v>
      </c>
      <c r="D3905" t="s">
        <v>2908</v>
      </c>
      <c r="E3905">
        <v>27654</v>
      </c>
      <c r="F3905" s="11">
        <v>0</v>
      </c>
    </row>
    <row r="3906" spans="1:6" x14ac:dyDescent="0.35">
      <c r="A3906" t="s">
        <v>2856</v>
      </c>
      <c r="B3906" t="s">
        <v>2866</v>
      </c>
      <c r="C3906" t="s">
        <v>1431</v>
      </c>
      <c r="D3906" t="s">
        <v>2909</v>
      </c>
      <c r="E3906">
        <v>5581</v>
      </c>
      <c r="F3906" s="11">
        <v>0</v>
      </c>
    </row>
    <row r="3907" spans="1:6" x14ac:dyDescent="0.35">
      <c r="A3907" t="s">
        <v>2856</v>
      </c>
      <c r="B3907" t="s">
        <v>2866</v>
      </c>
      <c r="C3907" t="s">
        <v>1431</v>
      </c>
      <c r="D3907" t="s">
        <v>2910</v>
      </c>
      <c r="E3907">
        <v>2281</v>
      </c>
      <c r="F3907" s="11">
        <v>0</v>
      </c>
    </row>
    <row r="3908" spans="1:6" x14ac:dyDescent="0.35">
      <c r="A3908" t="s">
        <v>2856</v>
      </c>
      <c r="B3908" t="s">
        <v>2866</v>
      </c>
      <c r="C3908" t="s">
        <v>1431</v>
      </c>
      <c r="D3908" t="s">
        <v>2911</v>
      </c>
      <c r="E3908">
        <v>648775</v>
      </c>
      <c r="F3908" s="11">
        <v>1</v>
      </c>
    </row>
    <row r="3909" spans="1:6" x14ac:dyDescent="0.35">
      <c r="A3909" t="s">
        <v>2856</v>
      </c>
      <c r="B3909" t="s">
        <v>2866</v>
      </c>
      <c r="C3909" t="s">
        <v>1431</v>
      </c>
      <c r="D3909" t="s">
        <v>2912</v>
      </c>
      <c r="E3909">
        <v>255254</v>
      </c>
      <c r="F3909" s="11">
        <v>0</v>
      </c>
    </row>
    <row r="3910" spans="1:6" x14ac:dyDescent="0.35">
      <c r="A3910" t="s">
        <v>2856</v>
      </c>
      <c r="B3910" t="s">
        <v>2866</v>
      </c>
      <c r="C3910" t="s">
        <v>1431</v>
      </c>
      <c r="D3910" t="s">
        <v>2913</v>
      </c>
      <c r="E3910">
        <v>0</v>
      </c>
      <c r="F3910" s="11">
        <v>0</v>
      </c>
    </row>
    <row r="3911" spans="1:6" x14ac:dyDescent="0.35">
      <c r="A3911" t="s">
        <v>2856</v>
      </c>
      <c r="B3911" t="s">
        <v>2866</v>
      </c>
      <c r="C3911" t="s">
        <v>1431</v>
      </c>
      <c r="D3911" t="s">
        <v>2914</v>
      </c>
      <c r="E3911">
        <v>0</v>
      </c>
      <c r="F3911" s="11">
        <v>0</v>
      </c>
    </row>
    <row r="3912" spans="1:6" x14ac:dyDescent="0.35">
      <c r="A3912" t="s">
        <v>2856</v>
      </c>
      <c r="B3912" t="s">
        <v>2866</v>
      </c>
      <c r="C3912" t="s">
        <v>1431</v>
      </c>
      <c r="D3912" t="s">
        <v>2915</v>
      </c>
      <c r="E3912">
        <v>336</v>
      </c>
      <c r="F3912" s="11">
        <v>1</v>
      </c>
    </row>
    <row r="3913" spans="1:6" x14ac:dyDescent="0.35">
      <c r="A3913" t="s">
        <v>2856</v>
      </c>
      <c r="B3913" t="s">
        <v>2866</v>
      </c>
      <c r="C3913" t="s">
        <v>1431</v>
      </c>
      <c r="D3913" t="s">
        <v>2916</v>
      </c>
      <c r="E3913">
        <v>50920.27</v>
      </c>
      <c r="F3913" s="11">
        <v>1</v>
      </c>
    </row>
    <row r="3914" spans="1:6" x14ac:dyDescent="0.35">
      <c r="A3914" t="s">
        <v>2856</v>
      </c>
      <c r="B3914" t="s">
        <v>2866</v>
      </c>
      <c r="C3914" t="s">
        <v>1431</v>
      </c>
      <c r="D3914" t="s">
        <v>2917</v>
      </c>
      <c r="E3914">
        <v>0</v>
      </c>
      <c r="F3914" s="11">
        <v>0</v>
      </c>
    </row>
    <row r="3915" spans="1:6" x14ac:dyDescent="0.35">
      <c r="A3915" t="s">
        <v>2856</v>
      </c>
      <c r="B3915" t="s">
        <v>2865</v>
      </c>
      <c r="C3915" t="s">
        <v>1495</v>
      </c>
      <c r="D3915" t="s">
        <v>2875</v>
      </c>
      <c r="E3915">
        <v>0</v>
      </c>
      <c r="F3915" s="11">
        <v>0</v>
      </c>
    </row>
    <row r="3916" spans="1:6" x14ac:dyDescent="0.35">
      <c r="A3916" t="s">
        <v>2856</v>
      </c>
      <c r="B3916" t="s">
        <v>2865</v>
      </c>
      <c r="C3916" t="s">
        <v>1495</v>
      </c>
      <c r="D3916" t="s">
        <v>2876</v>
      </c>
      <c r="E3916">
        <v>0</v>
      </c>
      <c r="F3916" s="11">
        <v>0</v>
      </c>
    </row>
    <row r="3917" spans="1:6" x14ac:dyDescent="0.35">
      <c r="A3917" t="s">
        <v>2856</v>
      </c>
      <c r="B3917" t="s">
        <v>2865</v>
      </c>
      <c r="C3917" t="s">
        <v>1495</v>
      </c>
      <c r="D3917" t="s">
        <v>2877</v>
      </c>
      <c r="E3917">
        <v>0</v>
      </c>
      <c r="F3917" s="11">
        <v>0</v>
      </c>
    </row>
    <row r="3918" spans="1:6" x14ac:dyDescent="0.35">
      <c r="A3918" t="s">
        <v>2856</v>
      </c>
      <c r="B3918" t="s">
        <v>2865</v>
      </c>
      <c r="C3918" t="s">
        <v>1495</v>
      </c>
      <c r="D3918" t="s">
        <v>2878</v>
      </c>
      <c r="E3918">
        <v>0</v>
      </c>
      <c r="F3918" s="11">
        <v>0</v>
      </c>
    </row>
    <row r="3919" spans="1:6" x14ac:dyDescent="0.35">
      <c r="A3919" t="s">
        <v>2856</v>
      </c>
      <c r="B3919" t="s">
        <v>2865</v>
      </c>
      <c r="C3919" t="s">
        <v>1495</v>
      </c>
      <c r="D3919" t="s">
        <v>2879</v>
      </c>
      <c r="E3919">
        <v>1508</v>
      </c>
      <c r="F3919" s="11">
        <v>1</v>
      </c>
    </row>
    <row r="3920" spans="1:6" x14ac:dyDescent="0.35">
      <c r="A3920" t="s">
        <v>2856</v>
      </c>
      <c r="B3920" t="s">
        <v>2865</v>
      </c>
      <c r="C3920" t="s">
        <v>1495</v>
      </c>
      <c r="D3920" t="s">
        <v>2880</v>
      </c>
      <c r="E3920">
        <v>775</v>
      </c>
      <c r="F3920" s="11">
        <v>0</v>
      </c>
    </row>
    <row r="3921" spans="1:6" x14ac:dyDescent="0.35">
      <c r="A3921" t="s">
        <v>2856</v>
      </c>
      <c r="B3921" t="s">
        <v>2865</v>
      </c>
      <c r="C3921" t="s">
        <v>1495</v>
      </c>
      <c r="D3921" t="s">
        <v>2881</v>
      </c>
      <c r="E3921">
        <v>715</v>
      </c>
      <c r="F3921" s="11">
        <v>0</v>
      </c>
    </row>
    <row r="3922" spans="1:6" x14ac:dyDescent="0.35">
      <c r="A3922" t="s">
        <v>2856</v>
      </c>
      <c r="B3922" t="s">
        <v>2865</v>
      </c>
      <c r="C3922" t="s">
        <v>1495</v>
      </c>
      <c r="D3922" t="s">
        <v>2882</v>
      </c>
      <c r="E3922">
        <v>5</v>
      </c>
      <c r="F3922" s="11">
        <v>0</v>
      </c>
    </row>
    <row r="3923" spans="1:6" x14ac:dyDescent="0.35">
      <c r="A3923" t="s">
        <v>2856</v>
      </c>
      <c r="B3923" t="s">
        <v>2865</v>
      </c>
      <c r="C3923" t="s">
        <v>1495</v>
      </c>
      <c r="D3923" t="s">
        <v>2883</v>
      </c>
      <c r="E3923">
        <v>39</v>
      </c>
      <c r="F3923" s="11">
        <v>1</v>
      </c>
    </row>
    <row r="3924" spans="1:6" x14ac:dyDescent="0.35">
      <c r="A3924" t="s">
        <v>2856</v>
      </c>
      <c r="B3924" t="s">
        <v>2865</v>
      </c>
      <c r="C3924" t="s">
        <v>1495</v>
      </c>
      <c r="D3924" t="s">
        <v>2884</v>
      </c>
      <c r="E3924">
        <v>0</v>
      </c>
      <c r="F3924" s="11">
        <v>0</v>
      </c>
    </row>
    <row r="3925" spans="1:6" x14ac:dyDescent="0.35">
      <c r="A3925" t="s">
        <v>2856</v>
      </c>
      <c r="B3925" t="s">
        <v>2865</v>
      </c>
      <c r="C3925" t="s">
        <v>1495</v>
      </c>
      <c r="D3925" t="s">
        <v>2885</v>
      </c>
      <c r="E3925">
        <v>30</v>
      </c>
      <c r="F3925" s="11">
        <v>0</v>
      </c>
    </row>
    <row r="3926" spans="1:6" x14ac:dyDescent="0.35">
      <c r="A3926" t="s">
        <v>2856</v>
      </c>
      <c r="B3926" t="s">
        <v>2865</v>
      </c>
      <c r="C3926" t="s">
        <v>1495</v>
      </c>
      <c r="D3926" t="s">
        <v>2886</v>
      </c>
      <c r="E3926">
        <v>0</v>
      </c>
      <c r="F3926" s="11">
        <v>0</v>
      </c>
    </row>
    <row r="3927" spans="1:6" x14ac:dyDescent="0.35">
      <c r="A3927" t="s">
        <v>2856</v>
      </c>
      <c r="B3927" t="s">
        <v>2865</v>
      </c>
      <c r="C3927" t="s">
        <v>1495</v>
      </c>
      <c r="D3927" t="s">
        <v>2887</v>
      </c>
      <c r="E3927">
        <v>14825</v>
      </c>
      <c r="F3927" s="11">
        <v>1</v>
      </c>
    </row>
    <row r="3928" spans="1:6" x14ac:dyDescent="0.35">
      <c r="A3928" t="s">
        <v>2856</v>
      </c>
      <c r="B3928" t="s">
        <v>2865</v>
      </c>
      <c r="C3928" t="s">
        <v>1495</v>
      </c>
      <c r="D3928" t="s">
        <v>2888</v>
      </c>
      <c r="E3928">
        <v>7872</v>
      </c>
      <c r="F3928" s="11">
        <v>0</v>
      </c>
    </row>
    <row r="3929" spans="1:6" x14ac:dyDescent="0.35">
      <c r="A3929" t="s">
        <v>2856</v>
      </c>
      <c r="B3929" t="s">
        <v>2865</v>
      </c>
      <c r="C3929" t="s">
        <v>1495</v>
      </c>
      <c r="D3929" t="s">
        <v>2889</v>
      </c>
      <c r="E3929">
        <v>9182</v>
      </c>
      <c r="F3929" s="11">
        <v>0</v>
      </c>
    </row>
    <row r="3930" spans="1:6" x14ac:dyDescent="0.35">
      <c r="A3930" t="s">
        <v>2856</v>
      </c>
      <c r="B3930" t="s">
        <v>2865</v>
      </c>
      <c r="C3930" t="s">
        <v>1495</v>
      </c>
      <c r="D3930" t="s">
        <v>2890</v>
      </c>
      <c r="E3930">
        <v>34</v>
      </c>
      <c r="F3930" s="11">
        <v>0</v>
      </c>
    </row>
    <row r="3931" spans="1:6" x14ac:dyDescent="0.35">
      <c r="A3931" t="s">
        <v>2856</v>
      </c>
      <c r="B3931" t="s">
        <v>2865</v>
      </c>
      <c r="C3931" t="s">
        <v>1495</v>
      </c>
      <c r="D3931" t="s">
        <v>2891</v>
      </c>
      <c r="E3931">
        <v>19471</v>
      </c>
      <c r="F3931" s="11">
        <v>1</v>
      </c>
    </row>
    <row r="3932" spans="1:6" x14ac:dyDescent="0.35">
      <c r="A3932" t="s">
        <v>2856</v>
      </c>
      <c r="B3932" t="s">
        <v>2865</v>
      </c>
      <c r="C3932" t="s">
        <v>1495</v>
      </c>
      <c r="D3932" t="s">
        <v>2892</v>
      </c>
      <c r="E3932">
        <v>53</v>
      </c>
      <c r="F3932" s="11">
        <v>0</v>
      </c>
    </row>
    <row r="3933" spans="1:6" x14ac:dyDescent="0.35">
      <c r="A3933" t="s">
        <v>2856</v>
      </c>
      <c r="B3933" t="s">
        <v>2865</v>
      </c>
      <c r="C3933" t="s">
        <v>1495</v>
      </c>
      <c r="D3933" t="s">
        <v>2893</v>
      </c>
      <c r="E3933">
        <v>19418</v>
      </c>
      <c r="F3933" s="11">
        <v>0</v>
      </c>
    </row>
    <row r="3934" spans="1:6" x14ac:dyDescent="0.35">
      <c r="A3934" t="s">
        <v>2856</v>
      </c>
      <c r="B3934" t="s">
        <v>2865</v>
      </c>
      <c r="C3934" t="s">
        <v>1495</v>
      </c>
      <c r="D3934" t="s">
        <v>2894</v>
      </c>
      <c r="E3934">
        <v>0</v>
      </c>
      <c r="F3934" s="11">
        <v>0</v>
      </c>
    </row>
    <row r="3935" spans="1:6" x14ac:dyDescent="0.35">
      <c r="A3935" t="s">
        <v>2856</v>
      </c>
      <c r="B3935" t="s">
        <v>2865</v>
      </c>
      <c r="C3935" t="s">
        <v>1495</v>
      </c>
      <c r="D3935" t="s">
        <v>2895</v>
      </c>
      <c r="E3935">
        <v>360101</v>
      </c>
      <c r="F3935" s="11">
        <v>1</v>
      </c>
    </row>
    <row r="3936" spans="1:6" x14ac:dyDescent="0.35">
      <c r="A3936" t="s">
        <v>2856</v>
      </c>
      <c r="B3936" t="s">
        <v>2865</v>
      </c>
      <c r="C3936" t="s">
        <v>1495</v>
      </c>
      <c r="D3936" t="s">
        <v>2896</v>
      </c>
      <c r="E3936">
        <v>195577</v>
      </c>
      <c r="F3936" s="11">
        <v>1</v>
      </c>
    </row>
    <row r="3937" spans="1:6" x14ac:dyDescent="0.35">
      <c r="A3937" t="s">
        <v>2856</v>
      </c>
      <c r="B3937" t="s">
        <v>2865</v>
      </c>
      <c r="C3937" t="s">
        <v>1495</v>
      </c>
      <c r="D3937" t="s">
        <v>2897</v>
      </c>
      <c r="E3937">
        <v>155838</v>
      </c>
      <c r="F3937" s="11">
        <v>1</v>
      </c>
    </row>
    <row r="3938" spans="1:6" x14ac:dyDescent="0.35">
      <c r="A3938" t="s">
        <v>2856</v>
      </c>
      <c r="B3938" t="s">
        <v>2865</v>
      </c>
      <c r="C3938" t="s">
        <v>1495</v>
      </c>
      <c r="D3938" t="s">
        <v>2898</v>
      </c>
      <c r="E3938">
        <v>8776</v>
      </c>
      <c r="F3938" s="11">
        <v>1</v>
      </c>
    </row>
    <row r="3939" spans="1:6" x14ac:dyDescent="0.35">
      <c r="A3939" t="s">
        <v>2856</v>
      </c>
      <c r="B3939" t="s">
        <v>2865</v>
      </c>
      <c r="C3939" t="s">
        <v>1495</v>
      </c>
      <c r="D3939" t="s">
        <v>2899</v>
      </c>
      <c r="E3939">
        <v>3257</v>
      </c>
      <c r="F3939" s="11">
        <v>1</v>
      </c>
    </row>
    <row r="3940" spans="1:6" x14ac:dyDescent="0.35">
      <c r="A3940" t="s">
        <v>2856</v>
      </c>
      <c r="B3940" t="s">
        <v>2865</v>
      </c>
      <c r="C3940" t="s">
        <v>1495</v>
      </c>
      <c r="D3940" t="s">
        <v>2900</v>
      </c>
      <c r="E3940">
        <v>3200</v>
      </c>
      <c r="F3940" s="11">
        <v>1</v>
      </c>
    </row>
    <row r="3941" spans="1:6" x14ac:dyDescent="0.35">
      <c r="A3941" t="s">
        <v>2856</v>
      </c>
      <c r="B3941" t="s">
        <v>2865</v>
      </c>
      <c r="C3941" t="s">
        <v>1495</v>
      </c>
      <c r="D3941" t="s">
        <v>2901</v>
      </c>
      <c r="E3941">
        <v>47</v>
      </c>
      <c r="F3941" s="11">
        <v>0</v>
      </c>
    </row>
    <row r="3942" spans="1:6" x14ac:dyDescent="0.35">
      <c r="A3942" t="s">
        <v>2856</v>
      </c>
      <c r="B3942" t="s">
        <v>2865</v>
      </c>
      <c r="C3942" t="s">
        <v>1495</v>
      </c>
      <c r="D3942" t="s">
        <v>2902</v>
      </c>
      <c r="E3942">
        <v>0</v>
      </c>
      <c r="F3942" s="11">
        <v>1</v>
      </c>
    </row>
    <row r="3943" spans="1:6" x14ac:dyDescent="0.35">
      <c r="A3943" t="s">
        <v>2856</v>
      </c>
      <c r="B3943" t="s">
        <v>2865</v>
      </c>
      <c r="C3943" t="s">
        <v>1495</v>
      </c>
      <c r="D3943" t="s">
        <v>2903</v>
      </c>
      <c r="E3943">
        <v>31832</v>
      </c>
      <c r="F3943" s="11">
        <v>1</v>
      </c>
    </row>
    <row r="3944" spans="1:6" x14ac:dyDescent="0.35">
      <c r="A3944" t="s">
        <v>2856</v>
      </c>
      <c r="B3944" t="s">
        <v>2865</v>
      </c>
      <c r="C3944" t="s">
        <v>1495</v>
      </c>
      <c r="D3944" t="s">
        <v>2904</v>
      </c>
      <c r="E3944">
        <v>26902</v>
      </c>
      <c r="F3944" s="11">
        <v>1</v>
      </c>
    </row>
    <row r="3945" spans="1:6" x14ac:dyDescent="0.35">
      <c r="A3945" t="s">
        <v>2856</v>
      </c>
      <c r="B3945" t="s">
        <v>2865</v>
      </c>
      <c r="C3945" t="s">
        <v>1495</v>
      </c>
      <c r="D3945" t="s">
        <v>2905</v>
      </c>
      <c r="E3945">
        <v>3273</v>
      </c>
      <c r="F3945" s="11">
        <v>1</v>
      </c>
    </row>
    <row r="3946" spans="1:6" x14ac:dyDescent="0.35">
      <c r="A3946" t="s">
        <v>2856</v>
      </c>
      <c r="B3946" t="s">
        <v>2865</v>
      </c>
      <c r="C3946" t="s">
        <v>1495</v>
      </c>
      <c r="D3946" t="s">
        <v>2906</v>
      </c>
      <c r="E3946">
        <v>1657</v>
      </c>
      <c r="F3946" s="11">
        <v>1</v>
      </c>
    </row>
    <row r="3947" spans="1:6" x14ac:dyDescent="0.35">
      <c r="A3947" t="s">
        <v>2856</v>
      </c>
      <c r="B3947" t="s">
        <v>2865</v>
      </c>
      <c r="C3947" t="s">
        <v>1495</v>
      </c>
      <c r="D3947" t="s">
        <v>2907</v>
      </c>
      <c r="E3947">
        <v>41054</v>
      </c>
      <c r="F3947" s="11">
        <v>1</v>
      </c>
    </row>
    <row r="3948" spans="1:6" x14ac:dyDescent="0.35">
      <c r="A3948" t="s">
        <v>2856</v>
      </c>
      <c r="B3948" t="s">
        <v>2865</v>
      </c>
      <c r="C3948" t="s">
        <v>1495</v>
      </c>
      <c r="D3948" t="s">
        <v>2908</v>
      </c>
      <c r="E3948">
        <v>34372</v>
      </c>
      <c r="F3948" s="11">
        <v>1</v>
      </c>
    </row>
    <row r="3949" spans="1:6" x14ac:dyDescent="0.35">
      <c r="A3949" t="s">
        <v>2856</v>
      </c>
      <c r="B3949" t="s">
        <v>2865</v>
      </c>
      <c r="C3949" t="s">
        <v>1495</v>
      </c>
      <c r="D3949" t="s">
        <v>2909</v>
      </c>
      <c r="E3949">
        <v>4873</v>
      </c>
      <c r="F3949" s="11">
        <v>1</v>
      </c>
    </row>
    <row r="3950" spans="1:6" x14ac:dyDescent="0.35">
      <c r="A3950" t="s">
        <v>2856</v>
      </c>
      <c r="B3950" t="s">
        <v>2865</v>
      </c>
      <c r="C3950" t="s">
        <v>1495</v>
      </c>
      <c r="D3950" t="s">
        <v>2910</v>
      </c>
      <c r="E3950">
        <v>1809</v>
      </c>
      <c r="F3950" s="11">
        <v>1</v>
      </c>
    </row>
    <row r="3951" spans="1:6" x14ac:dyDescent="0.35">
      <c r="A3951" t="s">
        <v>2856</v>
      </c>
      <c r="B3951" t="s">
        <v>2865</v>
      </c>
      <c r="C3951" t="s">
        <v>1495</v>
      </c>
      <c r="D3951" t="s">
        <v>2911</v>
      </c>
      <c r="E3951">
        <v>58540</v>
      </c>
      <c r="F3951" s="11">
        <v>1</v>
      </c>
    </row>
    <row r="3952" spans="1:6" x14ac:dyDescent="0.35">
      <c r="A3952" t="s">
        <v>2856</v>
      </c>
      <c r="B3952" t="s">
        <v>2865</v>
      </c>
      <c r="C3952" t="s">
        <v>1495</v>
      </c>
      <c r="D3952" t="s">
        <v>2912</v>
      </c>
      <c r="E3952">
        <v>317525</v>
      </c>
      <c r="F3952" s="11">
        <v>1</v>
      </c>
    </row>
    <row r="3953" spans="1:6" x14ac:dyDescent="0.35">
      <c r="A3953" t="s">
        <v>2856</v>
      </c>
      <c r="B3953" t="s">
        <v>2865</v>
      </c>
      <c r="C3953" t="s">
        <v>1495</v>
      </c>
      <c r="D3953" t="s">
        <v>2913</v>
      </c>
      <c r="E3953">
        <v>0</v>
      </c>
      <c r="F3953" s="11">
        <v>0</v>
      </c>
    </row>
    <row r="3954" spans="1:6" x14ac:dyDescent="0.35">
      <c r="A3954" t="s">
        <v>2856</v>
      </c>
      <c r="B3954" t="s">
        <v>2865</v>
      </c>
      <c r="C3954" t="s">
        <v>1495</v>
      </c>
      <c r="D3954" t="s">
        <v>2914</v>
      </c>
      <c r="E3954">
        <v>0</v>
      </c>
      <c r="F3954" s="11">
        <v>0</v>
      </c>
    </row>
    <row r="3955" spans="1:6" x14ac:dyDescent="0.35">
      <c r="A3955" t="s">
        <v>2856</v>
      </c>
      <c r="B3955" t="s">
        <v>2865</v>
      </c>
      <c r="C3955" t="s">
        <v>1495</v>
      </c>
      <c r="D3955" t="s">
        <v>2915</v>
      </c>
      <c r="E3955">
        <v>2234</v>
      </c>
      <c r="F3955" s="11">
        <v>1</v>
      </c>
    </row>
    <row r="3956" spans="1:6" x14ac:dyDescent="0.35">
      <c r="A3956" t="s">
        <v>2856</v>
      </c>
      <c r="B3956" t="s">
        <v>2865</v>
      </c>
      <c r="C3956" t="s">
        <v>1495</v>
      </c>
      <c r="D3956" t="s">
        <v>2916</v>
      </c>
      <c r="E3956">
        <v>50778</v>
      </c>
      <c r="F3956" s="11">
        <v>1</v>
      </c>
    </row>
    <row r="3957" spans="1:6" x14ac:dyDescent="0.35">
      <c r="A3957" t="s">
        <v>2856</v>
      </c>
      <c r="B3957" t="s">
        <v>2865</v>
      </c>
      <c r="C3957" t="s">
        <v>1495</v>
      </c>
      <c r="D3957" t="s">
        <v>2917</v>
      </c>
      <c r="E3957">
        <v>0</v>
      </c>
      <c r="F3957" s="11">
        <v>0</v>
      </c>
    </row>
    <row r="3958" spans="1:6" x14ac:dyDescent="0.35">
      <c r="A3958" t="s">
        <v>2856</v>
      </c>
      <c r="B3958" t="s">
        <v>2863</v>
      </c>
      <c r="C3958" t="s">
        <v>1537</v>
      </c>
      <c r="D3958" t="s">
        <v>2875</v>
      </c>
      <c r="E3958">
        <v>9664</v>
      </c>
      <c r="F3958" s="11">
        <v>1</v>
      </c>
    </row>
    <row r="3959" spans="1:6" x14ac:dyDescent="0.35">
      <c r="A3959" t="s">
        <v>2856</v>
      </c>
      <c r="B3959" t="s">
        <v>2863</v>
      </c>
      <c r="C3959" t="s">
        <v>1537</v>
      </c>
      <c r="D3959" t="s">
        <v>2876</v>
      </c>
      <c r="E3959">
        <v>0</v>
      </c>
      <c r="F3959" s="11">
        <v>0</v>
      </c>
    </row>
    <row r="3960" spans="1:6" x14ac:dyDescent="0.35">
      <c r="A3960" t="s">
        <v>2856</v>
      </c>
      <c r="B3960" t="s">
        <v>2863</v>
      </c>
      <c r="C3960" t="s">
        <v>1537</v>
      </c>
      <c r="D3960" t="s">
        <v>2877</v>
      </c>
      <c r="E3960">
        <v>0</v>
      </c>
      <c r="F3960" s="11">
        <v>0</v>
      </c>
    </row>
    <row r="3961" spans="1:6" x14ac:dyDescent="0.35">
      <c r="A3961" t="s">
        <v>2856</v>
      </c>
      <c r="B3961" t="s">
        <v>2863</v>
      </c>
      <c r="C3961" t="s">
        <v>1537</v>
      </c>
      <c r="D3961" t="s">
        <v>2878</v>
      </c>
      <c r="E3961">
        <v>0</v>
      </c>
      <c r="F3961" s="11">
        <v>0</v>
      </c>
    </row>
    <row r="3962" spans="1:6" x14ac:dyDescent="0.35">
      <c r="A3962" t="s">
        <v>2856</v>
      </c>
      <c r="B3962" t="s">
        <v>2863</v>
      </c>
      <c r="C3962" t="s">
        <v>1537</v>
      </c>
      <c r="D3962" t="s">
        <v>2879</v>
      </c>
      <c r="E3962">
        <v>216</v>
      </c>
      <c r="F3962" s="11">
        <v>1</v>
      </c>
    </row>
    <row r="3963" spans="1:6" x14ac:dyDescent="0.35">
      <c r="A3963" t="s">
        <v>2856</v>
      </c>
      <c r="B3963" t="s">
        <v>2863</v>
      </c>
      <c r="C3963" t="s">
        <v>1537</v>
      </c>
      <c r="D3963" t="s">
        <v>2880</v>
      </c>
      <c r="E3963">
        <v>0</v>
      </c>
      <c r="F3963" s="11">
        <v>1</v>
      </c>
    </row>
    <row r="3964" spans="1:6" x14ac:dyDescent="0.35">
      <c r="A3964" t="s">
        <v>2856</v>
      </c>
      <c r="B3964" t="s">
        <v>2863</v>
      </c>
      <c r="C3964" t="s">
        <v>1537</v>
      </c>
      <c r="D3964" t="s">
        <v>2881</v>
      </c>
      <c r="E3964">
        <v>216</v>
      </c>
      <c r="F3964" s="11">
        <v>0</v>
      </c>
    </row>
    <row r="3965" spans="1:6" x14ac:dyDescent="0.35">
      <c r="A3965" t="s">
        <v>2856</v>
      </c>
      <c r="B3965" t="s">
        <v>2863</v>
      </c>
      <c r="C3965" t="s">
        <v>1537</v>
      </c>
      <c r="D3965" t="s">
        <v>2882</v>
      </c>
      <c r="E3965">
        <v>0</v>
      </c>
      <c r="F3965" s="11">
        <v>1</v>
      </c>
    </row>
    <row r="3966" spans="1:6" x14ac:dyDescent="0.35">
      <c r="A3966" t="s">
        <v>2856</v>
      </c>
      <c r="B3966" t="s">
        <v>2863</v>
      </c>
      <c r="C3966" t="s">
        <v>1537</v>
      </c>
      <c r="D3966" t="s">
        <v>2883</v>
      </c>
      <c r="E3966">
        <v>0</v>
      </c>
      <c r="F3966" s="11">
        <v>0</v>
      </c>
    </row>
    <row r="3967" spans="1:6" x14ac:dyDescent="0.35">
      <c r="A3967" t="s">
        <v>2856</v>
      </c>
      <c r="B3967" t="s">
        <v>2863</v>
      </c>
      <c r="C3967" t="s">
        <v>1537</v>
      </c>
      <c r="D3967" t="s">
        <v>2884</v>
      </c>
      <c r="E3967">
        <v>0</v>
      </c>
      <c r="F3967" s="11">
        <v>0</v>
      </c>
    </row>
    <row r="3968" spans="1:6" x14ac:dyDescent="0.35">
      <c r="A3968" t="s">
        <v>2856</v>
      </c>
      <c r="B3968" t="s">
        <v>2863</v>
      </c>
      <c r="C3968" t="s">
        <v>1537</v>
      </c>
      <c r="D3968" t="s">
        <v>2885</v>
      </c>
      <c r="E3968">
        <v>0</v>
      </c>
      <c r="F3968" s="11">
        <v>0</v>
      </c>
    </row>
    <row r="3969" spans="1:6" x14ac:dyDescent="0.35">
      <c r="A3969" t="s">
        <v>2856</v>
      </c>
      <c r="B3969" t="s">
        <v>2863</v>
      </c>
      <c r="C3969" t="s">
        <v>1537</v>
      </c>
      <c r="D3969" t="s">
        <v>2886</v>
      </c>
      <c r="E3969">
        <v>0</v>
      </c>
      <c r="F3969" s="11">
        <v>0</v>
      </c>
    </row>
    <row r="3970" spans="1:6" x14ac:dyDescent="0.35">
      <c r="A3970" t="s">
        <v>2856</v>
      </c>
      <c r="B3970" t="s">
        <v>2863</v>
      </c>
      <c r="C3970" t="s">
        <v>1537</v>
      </c>
      <c r="D3970" t="s">
        <v>2887</v>
      </c>
      <c r="E3970">
        <v>4925</v>
      </c>
      <c r="F3970" s="11">
        <v>1</v>
      </c>
    </row>
    <row r="3971" spans="1:6" x14ac:dyDescent="0.35">
      <c r="A3971" t="s">
        <v>2856</v>
      </c>
      <c r="B3971" t="s">
        <v>2863</v>
      </c>
      <c r="C3971" t="s">
        <v>1537</v>
      </c>
      <c r="D3971" t="s">
        <v>2888</v>
      </c>
      <c r="E3971">
        <v>2044</v>
      </c>
      <c r="F3971" s="11">
        <v>1</v>
      </c>
    </row>
    <row r="3972" spans="1:6" x14ac:dyDescent="0.35">
      <c r="A3972" t="s">
        <v>2856</v>
      </c>
      <c r="B3972" t="s">
        <v>2863</v>
      </c>
      <c r="C3972" t="s">
        <v>1537</v>
      </c>
      <c r="D3972" t="s">
        <v>2889</v>
      </c>
      <c r="E3972">
        <v>2881</v>
      </c>
      <c r="F3972" s="11">
        <v>0</v>
      </c>
    </row>
    <row r="3973" spans="1:6" x14ac:dyDescent="0.35">
      <c r="A3973" t="s">
        <v>2856</v>
      </c>
      <c r="B3973" t="s">
        <v>2863</v>
      </c>
      <c r="C3973" t="s">
        <v>1537</v>
      </c>
      <c r="D3973" t="s">
        <v>2890</v>
      </c>
      <c r="E3973">
        <v>0</v>
      </c>
      <c r="F3973" s="11">
        <v>1</v>
      </c>
    </row>
    <row r="3974" spans="1:6" x14ac:dyDescent="0.35">
      <c r="A3974" t="s">
        <v>2856</v>
      </c>
      <c r="B3974" t="s">
        <v>2863</v>
      </c>
      <c r="C3974" t="s">
        <v>1537</v>
      </c>
      <c r="D3974" t="s">
        <v>2891</v>
      </c>
      <c r="E3974">
        <v>0</v>
      </c>
      <c r="F3974" s="11">
        <v>0</v>
      </c>
    </row>
    <row r="3975" spans="1:6" x14ac:dyDescent="0.35">
      <c r="A3975" t="s">
        <v>2856</v>
      </c>
      <c r="B3975" t="s">
        <v>2863</v>
      </c>
      <c r="C3975" t="s">
        <v>1537</v>
      </c>
      <c r="D3975" t="s">
        <v>2892</v>
      </c>
      <c r="E3975">
        <v>0</v>
      </c>
      <c r="F3975" s="11">
        <v>0</v>
      </c>
    </row>
    <row r="3976" spans="1:6" x14ac:dyDescent="0.35">
      <c r="A3976" t="s">
        <v>2856</v>
      </c>
      <c r="B3976" t="s">
        <v>2863</v>
      </c>
      <c r="C3976" t="s">
        <v>1537</v>
      </c>
      <c r="D3976" t="s">
        <v>2893</v>
      </c>
      <c r="E3976">
        <v>0</v>
      </c>
      <c r="F3976" s="11">
        <v>0</v>
      </c>
    </row>
    <row r="3977" spans="1:6" x14ac:dyDescent="0.35">
      <c r="A3977" t="s">
        <v>2856</v>
      </c>
      <c r="B3977" t="s">
        <v>2863</v>
      </c>
      <c r="C3977" t="s">
        <v>1537</v>
      </c>
      <c r="D3977" t="s">
        <v>2894</v>
      </c>
      <c r="E3977">
        <v>0</v>
      </c>
      <c r="F3977" s="11">
        <v>0</v>
      </c>
    </row>
    <row r="3978" spans="1:6" x14ac:dyDescent="0.35">
      <c r="A3978" t="s">
        <v>2856</v>
      </c>
      <c r="B3978" t="s">
        <v>2863</v>
      </c>
      <c r="C3978" t="s">
        <v>1537</v>
      </c>
      <c r="D3978" t="s">
        <v>2895</v>
      </c>
      <c r="E3978">
        <v>144547</v>
      </c>
      <c r="F3978" s="11">
        <v>1</v>
      </c>
    </row>
    <row r="3979" spans="1:6" x14ac:dyDescent="0.35">
      <c r="A3979" t="s">
        <v>2856</v>
      </c>
      <c r="B3979" t="s">
        <v>2863</v>
      </c>
      <c r="C3979" t="s">
        <v>1537</v>
      </c>
      <c r="D3979" t="s">
        <v>2896</v>
      </c>
      <c r="E3979">
        <v>79950</v>
      </c>
      <c r="F3979" s="11">
        <v>1</v>
      </c>
    </row>
    <row r="3980" spans="1:6" x14ac:dyDescent="0.35">
      <c r="A3980" t="s">
        <v>2856</v>
      </c>
      <c r="B3980" t="s">
        <v>2863</v>
      </c>
      <c r="C3980" t="s">
        <v>1537</v>
      </c>
      <c r="D3980" t="s">
        <v>2897</v>
      </c>
      <c r="E3980">
        <v>61742</v>
      </c>
      <c r="F3980" s="11">
        <v>1</v>
      </c>
    </row>
    <row r="3981" spans="1:6" x14ac:dyDescent="0.35">
      <c r="A3981" t="s">
        <v>2856</v>
      </c>
      <c r="B3981" t="s">
        <v>2863</v>
      </c>
      <c r="C3981" t="s">
        <v>1537</v>
      </c>
      <c r="D3981" t="s">
        <v>2898</v>
      </c>
      <c r="E3981">
        <v>2855</v>
      </c>
      <c r="F3981" s="11">
        <v>1</v>
      </c>
    </row>
    <row r="3982" spans="1:6" x14ac:dyDescent="0.35">
      <c r="A3982" t="s">
        <v>2856</v>
      </c>
      <c r="B3982" t="s">
        <v>2863</v>
      </c>
      <c r="C3982" t="s">
        <v>1537</v>
      </c>
      <c r="D3982" t="s">
        <v>2899</v>
      </c>
      <c r="E3982">
        <v>4568</v>
      </c>
      <c r="F3982" s="11">
        <v>1</v>
      </c>
    </row>
    <row r="3983" spans="1:6" x14ac:dyDescent="0.35">
      <c r="A3983" t="s">
        <v>2856</v>
      </c>
      <c r="B3983" t="s">
        <v>2863</v>
      </c>
      <c r="C3983" t="s">
        <v>1537</v>
      </c>
      <c r="D3983" t="s">
        <v>2900</v>
      </c>
      <c r="E3983">
        <v>4318</v>
      </c>
      <c r="F3983" s="11">
        <v>1</v>
      </c>
    </row>
    <row r="3984" spans="1:6" x14ac:dyDescent="0.35">
      <c r="A3984" t="s">
        <v>2856</v>
      </c>
      <c r="B3984" t="s">
        <v>2863</v>
      </c>
      <c r="C3984" t="s">
        <v>1537</v>
      </c>
      <c r="D3984" t="s">
        <v>2901</v>
      </c>
      <c r="E3984">
        <v>238</v>
      </c>
      <c r="F3984" s="11">
        <v>1</v>
      </c>
    </row>
    <row r="3985" spans="1:6" x14ac:dyDescent="0.35">
      <c r="A3985" t="s">
        <v>2856</v>
      </c>
      <c r="B3985" t="s">
        <v>2863</v>
      </c>
      <c r="C3985" t="s">
        <v>1537</v>
      </c>
      <c r="D3985" t="s">
        <v>2902</v>
      </c>
      <c r="E3985">
        <v>12</v>
      </c>
      <c r="F3985" s="11">
        <v>1</v>
      </c>
    </row>
    <row r="3986" spans="1:6" x14ac:dyDescent="0.35">
      <c r="A3986" t="s">
        <v>2856</v>
      </c>
      <c r="B3986" t="s">
        <v>2863</v>
      </c>
      <c r="C3986" t="s">
        <v>1537</v>
      </c>
      <c r="D3986" t="s">
        <v>2903</v>
      </c>
      <c r="E3986">
        <v>7018</v>
      </c>
      <c r="F3986" s="11">
        <v>1</v>
      </c>
    </row>
    <row r="3987" spans="1:6" x14ac:dyDescent="0.35">
      <c r="A3987" t="s">
        <v>2856</v>
      </c>
      <c r="B3987" t="s">
        <v>2863</v>
      </c>
      <c r="C3987" t="s">
        <v>1537</v>
      </c>
      <c r="D3987" t="s">
        <v>2904</v>
      </c>
      <c r="E3987">
        <v>0</v>
      </c>
      <c r="F3987" s="11">
        <v>0</v>
      </c>
    </row>
    <row r="3988" spans="1:6" x14ac:dyDescent="0.35">
      <c r="A3988" t="s">
        <v>2856</v>
      </c>
      <c r="B3988" t="s">
        <v>2863</v>
      </c>
      <c r="C3988" t="s">
        <v>1537</v>
      </c>
      <c r="D3988" t="s">
        <v>2905</v>
      </c>
      <c r="E3988">
        <v>0</v>
      </c>
      <c r="F3988" s="11">
        <v>0</v>
      </c>
    </row>
    <row r="3989" spans="1:6" x14ac:dyDescent="0.35">
      <c r="A3989" t="s">
        <v>2856</v>
      </c>
      <c r="B3989" t="s">
        <v>2863</v>
      </c>
      <c r="C3989" t="s">
        <v>1537</v>
      </c>
      <c r="D3989" t="s">
        <v>2906</v>
      </c>
      <c r="E3989">
        <v>0</v>
      </c>
      <c r="F3989" s="11">
        <v>0</v>
      </c>
    </row>
    <row r="3990" spans="1:6" x14ac:dyDescent="0.35">
      <c r="A3990" t="s">
        <v>2856</v>
      </c>
      <c r="B3990" t="s">
        <v>2863</v>
      </c>
      <c r="C3990" t="s">
        <v>1537</v>
      </c>
      <c r="D3990" t="s">
        <v>2907</v>
      </c>
      <c r="E3990">
        <v>11695</v>
      </c>
      <c r="F3990" s="11">
        <v>1</v>
      </c>
    </row>
    <row r="3991" spans="1:6" x14ac:dyDescent="0.35">
      <c r="A3991" t="s">
        <v>2856</v>
      </c>
      <c r="B3991" t="s">
        <v>2863</v>
      </c>
      <c r="C3991" t="s">
        <v>1537</v>
      </c>
      <c r="D3991" t="s">
        <v>2908</v>
      </c>
      <c r="E3991">
        <v>0</v>
      </c>
      <c r="F3991" s="11">
        <v>0</v>
      </c>
    </row>
    <row r="3992" spans="1:6" x14ac:dyDescent="0.35">
      <c r="A3992" t="s">
        <v>2856</v>
      </c>
      <c r="B3992" t="s">
        <v>2863</v>
      </c>
      <c r="C3992" t="s">
        <v>1537</v>
      </c>
      <c r="D3992" t="s">
        <v>2909</v>
      </c>
      <c r="E3992">
        <v>0</v>
      </c>
      <c r="F3992" s="11">
        <v>0</v>
      </c>
    </row>
    <row r="3993" spans="1:6" x14ac:dyDescent="0.35">
      <c r="A3993" t="s">
        <v>2856</v>
      </c>
      <c r="B3993" t="s">
        <v>2863</v>
      </c>
      <c r="C3993" t="s">
        <v>1537</v>
      </c>
      <c r="D3993" t="s">
        <v>2910</v>
      </c>
      <c r="E3993">
        <v>0</v>
      </c>
      <c r="F3993" s="11">
        <v>0</v>
      </c>
    </row>
    <row r="3994" spans="1:6" x14ac:dyDescent="0.35">
      <c r="A3994" t="s">
        <v>2856</v>
      </c>
      <c r="B3994" t="s">
        <v>2863</v>
      </c>
      <c r="C3994" t="s">
        <v>1537</v>
      </c>
      <c r="D3994" t="s">
        <v>2911</v>
      </c>
      <c r="E3994">
        <v>0</v>
      </c>
      <c r="F3994" s="11">
        <v>0</v>
      </c>
    </row>
    <row r="3995" spans="1:6" x14ac:dyDescent="0.35">
      <c r="A3995" t="s">
        <v>2856</v>
      </c>
      <c r="B3995" t="s">
        <v>2863</v>
      </c>
      <c r="C3995" t="s">
        <v>1537</v>
      </c>
      <c r="D3995" t="s">
        <v>2912</v>
      </c>
      <c r="E3995">
        <v>0</v>
      </c>
      <c r="F3995" s="11">
        <v>0</v>
      </c>
    </row>
    <row r="3996" spans="1:6" x14ac:dyDescent="0.35">
      <c r="A3996" t="s">
        <v>2856</v>
      </c>
      <c r="B3996" t="s">
        <v>2863</v>
      </c>
      <c r="C3996" t="s">
        <v>1537</v>
      </c>
      <c r="D3996" t="s">
        <v>2913</v>
      </c>
      <c r="E3996">
        <v>0</v>
      </c>
      <c r="F3996" s="11">
        <v>0</v>
      </c>
    </row>
    <row r="3997" spans="1:6" x14ac:dyDescent="0.35">
      <c r="A3997" t="s">
        <v>2856</v>
      </c>
      <c r="B3997" t="s">
        <v>2863</v>
      </c>
      <c r="C3997" t="s">
        <v>1537</v>
      </c>
      <c r="D3997" t="s">
        <v>2914</v>
      </c>
      <c r="E3997">
        <v>0</v>
      </c>
      <c r="F3997" s="11">
        <v>0</v>
      </c>
    </row>
    <row r="3998" spans="1:6" x14ac:dyDescent="0.35">
      <c r="A3998" t="s">
        <v>2856</v>
      </c>
      <c r="B3998" t="s">
        <v>2863</v>
      </c>
      <c r="C3998" t="s">
        <v>1537</v>
      </c>
      <c r="D3998" t="s">
        <v>2915</v>
      </c>
      <c r="E3998">
        <v>630</v>
      </c>
      <c r="F3998" s="11">
        <v>1</v>
      </c>
    </row>
    <row r="3999" spans="1:6" x14ac:dyDescent="0.35">
      <c r="A3999" t="s">
        <v>2856</v>
      </c>
      <c r="B3999" t="s">
        <v>2863</v>
      </c>
      <c r="C3999" t="s">
        <v>1537</v>
      </c>
      <c r="D3999" t="s">
        <v>2916</v>
      </c>
      <c r="E3999">
        <v>18417</v>
      </c>
      <c r="F3999" s="11">
        <v>1</v>
      </c>
    </row>
    <row r="4000" spans="1:6" x14ac:dyDescent="0.35">
      <c r="A4000" t="s">
        <v>2856</v>
      </c>
      <c r="B4000" t="s">
        <v>2863</v>
      </c>
      <c r="C4000" t="s">
        <v>1537</v>
      </c>
      <c r="D4000" t="s">
        <v>2917</v>
      </c>
      <c r="E4000">
        <v>0</v>
      </c>
      <c r="F4000" s="11">
        <v>0</v>
      </c>
    </row>
    <row r="4001" spans="1:6" x14ac:dyDescent="0.35">
      <c r="A4001" t="s">
        <v>2856</v>
      </c>
      <c r="B4001" t="s">
        <v>2862</v>
      </c>
      <c r="C4001" t="s">
        <v>1535</v>
      </c>
      <c r="D4001" t="s">
        <v>2875</v>
      </c>
      <c r="E4001">
        <v>24422</v>
      </c>
      <c r="F4001" s="11">
        <v>1</v>
      </c>
    </row>
    <row r="4002" spans="1:6" x14ac:dyDescent="0.35">
      <c r="A4002" t="s">
        <v>2856</v>
      </c>
      <c r="B4002" t="s">
        <v>2862</v>
      </c>
      <c r="C4002" t="s">
        <v>1535</v>
      </c>
      <c r="D4002" t="s">
        <v>2876</v>
      </c>
      <c r="E4002">
        <v>6168</v>
      </c>
      <c r="F4002" s="11">
        <v>1</v>
      </c>
    </row>
    <row r="4003" spans="1:6" x14ac:dyDescent="0.35">
      <c r="A4003" t="s">
        <v>2856</v>
      </c>
      <c r="B4003" t="s">
        <v>2862</v>
      </c>
      <c r="C4003" t="s">
        <v>1535</v>
      </c>
      <c r="D4003" t="s">
        <v>2877</v>
      </c>
      <c r="E4003">
        <v>14835</v>
      </c>
      <c r="F4003" s="11">
        <v>1</v>
      </c>
    </row>
    <row r="4004" spans="1:6" x14ac:dyDescent="0.35">
      <c r="A4004" t="s">
        <v>2856</v>
      </c>
      <c r="B4004" t="s">
        <v>2862</v>
      </c>
      <c r="C4004" t="s">
        <v>1535</v>
      </c>
      <c r="D4004" t="s">
        <v>2878</v>
      </c>
      <c r="E4004">
        <v>3419</v>
      </c>
      <c r="F4004" s="11">
        <v>1</v>
      </c>
    </row>
    <row r="4005" spans="1:6" x14ac:dyDescent="0.35">
      <c r="A4005" t="s">
        <v>2856</v>
      </c>
      <c r="B4005" t="s">
        <v>2862</v>
      </c>
      <c r="C4005" t="s">
        <v>1535</v>
      </c>
      <c r="D4005" t="s">
        <v>2879</v>
      </c>
      <c r="E4005">
        <v>3140</v>
      </c>
      <c r="F4005" s="11">
        <v>0</v>
      </c>
    </row>
    <row r="4006" spans="1:6" x14ac:dyDescent="0.35">
      <c r="A4006" t="s">
        <v>2856</v>
      </c>
      <c r="B4006" t="s">
        <v>2862</v>
      </c>
      <c r="C4006" t="s">
        <v>1535</v>
      </c>
      <c r="D4006" t="s">
        <v>2880</v>
      </c>
      <c r="E4006">
        <v>0</v>
      </c>
      <c r="F4006" s="11">
        <v>0</v>
      </c>
    </row>
    <row r="4007" spans="1:6" x14ac:dyDescent="0.35">
      <c r="A4007" t="s">
        <v>2856</v>
      </c>
      <c r="B4007" t="s">
        <v>2862</v>
      </c>
      <c r="C4007" t="s">
        <v>1535</v>
      </c>
      <c r="D4007" t="s">
        <v>2881</v>
      </c>
      <c r="E4007">
        <v>0</v>
      </c>
      <c r="F4007" s="11">
        <v>0</v>
      </c>
    </row>
    <row r="4008" spans="1:6" x14ac:dyDescent="0.35">
      <c r="A4008" t="s">
        <v>2856</v>
      </c>
      <c r="B4008" t="s">
        <v>2862</v>
      </c>
      <c r="C4008" t="s">
        <v>1535</v>
      </c>
      <c r="D4008" t="s">
        <v>2882</v>
      </c>
      <c r="E4008">
        <v>0</v>
      </c>
      <c r="F4008" s="11">
        <v>0</v>
      </c>
    </row>
    <row r="4009" spans="1:6" x14ac:dyDescent="0.35">
      <c r="A4009" t="s">
        <v>2856</v>
      </c>
      <c r="B4009" t="s">
        <v>2862</v>
      </c>
      <c r="C4009" t="s">
        <v>1535</v>
      </c>
      <c r="D4009" t="s">
        <v>2883</v>
      </c>
      <c r="E4009">
        <v>0</v>
      </c>
      <c r="F4009" s="11">
        <v>0</v>
      </c>
    </row>
    <row r="4010" spans="1:6" x14ac:dyDescent="0.35">
      <c r="A4010" t="s">
        <v>2856</v>
      </c>
      <c r="B4010" t="s">
        <v>2862</v>
      </c>
      <c r="C4010" t="s">
        <v>1535</v>
      </c>
      <c r="D4010" t="s">
        <v>2884</v>
      </c>
      <c r="E4010">
        <v>0</v>
      </c>
      <c r="F4010" s="11">
        <v>0</v>
      </c>
    </row>
    <row r="4011" spans="1:6" x14ac:dyDescent="0.35">
      <c r="A4011" t="s">
        <v>2856</v>
      </c>
      <c r="B4011" t="s">
        <v>2862</v>
      </c>
      <c r="C4011" t="s">
        <v>1535</v>
      </c>
      <c r="D4011" t="s">
        <v>2885</v>
      </c>
      <c r="E4011">
        <v>0</v>
      </c>
      <c r="F4011" s="11">
        <v>0</v>
      </c>
    </row>
    <row r="4012" spans="1:6" x14ac:dyDescent="0.35">
      <c r="A4012" t="s">
        <v>2856</v>
      </c>
      <c r="B4012" t="s">
        <v>2862</v>
      </c>
      <c r="C4012" t="s">
        <v>1535</v>
      </c>
      <c r="D4012" t="s">
        <v>2886</v>
      </c>
      <c r="E4012">
        <v>0</v>
      </c>
      <c r="F4012" s="11">
        <v>0</v>
      </c>
    </row>
    <row r="4013" spans="1:6" x14ac:dyDescent="0.35">
      <c r="A4013" t="s">
        <v>2856</v>
      </c>
      <c r="B4013" t="s">
        <v>2862</v>
      </c>
      <c r="C4013" t="s">
        <v>1535</v>
      </c>
      <c r="D4013" t="s">
        <v>2887</v>
      </c>
      <c r="E4013">
        <v>41303</v>
      </c>
      <c r="F4013" s="11">
        <v>1</v>
      </c>
    </row>
    <row r="4014" spans="1:6" x14ac:dyDescent="0.35">
      <c r="A4014" t="s">
        <v>2856</v>
      </c>
      <c r="B4014" t="s">
        <v>2862</v>
      </c>
      <c r="C4014" t="s">
        <v>1535</v>
      </c>
      <c r="D4014" t="s">
        <v>2888</v>
      </c>
      <c r="E4014">
        <v>0</v>
      </c>
      <c r="F4014" s="11">
        <v>0</v>
      </c>
    </row>
    <row r="4015" spans="1:6" x14ac:dyDescent="0.35">
      <c r="A4015" t="s">
        <v>2856</v>
      </c>
      <c r="B4015" t="s">
        <v>2862</v>
      </c>
      <c r="C4015" t="s">
        <v>1535</v>
      </c>
      <c r="D4015" t="s">
        <v>2889</v>
      </c>
      <c r="E4015">
        <v>0</v>
      </c>
      <c r="F4015" s="11">
        <v>0</v>
      </c>
    </row>
    <row r="4016" spans="1:6" x14ac:dyDescent="0.35">
      <c r="A4016" t="s">
        <v>2856</v>
      </c>
      <c r="B4016" t="s">
        <v>2862</v>
      </c>
      <c r="C4016" t="s">
        <v>1535</v>
      </c>
      <c r="D4016" t="s">
        <v>2890</v>
      </c>
      <c r="E4016">
        <v>0</v>
      </c>
      <c r="F4016" s="11">
        <v>0</v>
      </c>
    </row>
    <row r="4017" spans="1:6" x14ac:dyDescent="0.35">
      <c r="A4017" t="s">
        <v>2856</v>
      </c>
      <c r="B4017" t="s">
        <v>2862</v>
      </c>
      <c r="C4017" t="s">
        <v>1535</v>
      </c>
      <c r="D4017" t="s">
        <v>2891</v>
      </c>
      <c r="E4017">
        <v>0</v>
      </c>
      <c r="F4017" s="11">
        <v>0</v>
      </c>
    </row>
    <row r="4018" spans="1:6" x14ac:dyDescent="0.35">
      <c r="A4018" t="s">
        <v>2856</v>
      </c>
      <c r="B4018" t="s">
        <v>2862</v>
      </c>
      <c r="C4018" t="s">
        <v>1535</v>
      </c>
      <c r="D4018" t="s">
        <v>2892</v>
      </c>
      <c r="E4018">
        <v>0</v>
      </c>
      <c r="F4018" s="11">
        <v>0</v>
      </c>
    </row>
    <row r="4019" spans="1:6" x14ac:dyDescent="0.35">
      <c r="A4019" t="s">
        <v>2856</v>
      </c>
      <c r="B4019" t="s">
        <v>2862</v>
      </c>
      <c r="C4019" t="s">
        <v>1535</v>
      </c>
      <c r="D4019" t="s">
        <v>2893</v>
      </c>
      <c r="E4019">
        <v>0</v>
      </c>
      <c r="F4019" s="11">
        <v>0</v>
      </c>
    </row>
    <row r="4020" spans="1:6" x14ac:dyDescent="0.35">
      <c r="A4020" t="s">
        <v>2856</v>
      </c>
      <c r="B4020" t="s">
        <v>2862</v>
      </c>
      <c r="C4020" t="s">
        <v>1535</v>
      </c>
      <c r="D4020" t="s">
        <v>2894</v>
      </c>
      <c r="E4020">
        <v>0</v>
      </c>
      <c r="F4020" s="11">
        <v>0</v>
      </c>
    </row>
    <row r="4021" spans="1:6" x14ac:dyDescent="0.35">
      <c r="A4021" t="s">
        <v>2856</v>
      </c>
      <c r="B4021" t="s">
        <v>2862</v>
      </c>
      <c r="C4021" t="s">
        <v>1535</v>
      </c>
      <c r="D4021" t="s">
        <v>2895</v>
      </c>
      <c r="E4021">
        <v>458329</v>
      </c>
      <c r="F4021" s="11">
        <v>1</v>
      </c>
    </row>
    <row r="4022" spans="1:6" x14ac:dyDescent="0.35">
      <c r="A4022" t="s">
        <v>2856</v>
      </c>
      <c r="B4022" t="s">
        <v>2862</v>
      </c>
      <c r="C4022" t="s">
        <v>1535</v>
      </c>
      <c r="D4022" t="s">
        <v>2896</v>
      </c>
      <c r="E4022">
        <v>104790</v>
      </c>
      <c r="F4022" s="11">
        <v>1</v>
      </c>
    </row>
    <row r="4023" spans="1:6" x14ac:dyDescent="0.35">
      <c r="A4023" t="s">
        <v>2856</v>
      </c>
      <c r="B4023" t="s">
        <v>2862</v>
      </c>
      <c r="C4023" t="s">
        <v>1535</v>
      </c>
      <c r="D4023" t="s">
        <v>2897</v>
      </c>
      <c r="E4023">
        <v>161399</v>
      </c>
      <c r="F4023" s="11">
        <v>1</v>
      </c>
    </row>
    <row r="4024" spans="1:6" x14ac:dyDescent="0.35">
      <c r="A4024" t="s">
        <v>2856</v>
      </c>
      <c r="B4024" t="s">
        <v>2862</v>
      </c>
      <c r="C4024" t="s">
        <v>1535</v>
      </c>
      <c r="D4024" t="s">
        <v>2898</v>
      </c>
      <c r="E4024">
        <v>476</v>
      </c>
      <c r="F4024" s="11">
        <v>1</v>
      </c>
    </row>
    <row r="4025" spans="1:6" x14ac:dyDescent="0.35">
      <c r="A4025" t="s">
        <v>2856</v>
      </c>
      <c r="B4025" t="s">
        <v>2862</v>
      </c>
      <c r="C4025" t="s">
        <v>1535</v>
      </c>
      <c r="D4025" t="s">
        <v>2899</v>
      </c>
      <c r="E4025">
        <v>3220</v>
      </c>
      <c r="F4025" s="11">
        <v>1</v>
      </c>
    </row>
    <row r="4026" spans="1:6" x14ac:dyDescent="0.35">
      <c r="A4026" t="s">
        <v>2856</v>
      </c>
      <c r="B4026" t="s">
        <v>2862</v>
      </c>
      <c r="C4026" t="s">
        <v>1535</v>
      </c>
      <c r="D4026" t="s">
        <v>2900</v>
      </c>
      <c r="E4026">
        <v>0</v>
      </c>
      <c r="F4026" s="11">
        <v>1</v>
      </c>
    </row>
    <row r="4027" spans="1:6" x14ac:dyDescent="0.35">
      <c r="A4027" t="s">
        <v>2856</v>
      </c>
      <c r="B4027" t="s">
        <v>2862</v>
      </c>
      <c r="C4027" t="s">
        <v>1535</v>
      </c>
      <c r="D4027" t="s">
        <v>2901</v>
      </c>
      <c r="E4027">
        <v>0</v>
      </c>
      <c r="F4027" s="11">
        <v>0</v>
      </c>
    </row>
    <row r="4028" spans="1:6" x14ac:dyDescent="0.35">
      <c r="A4028" t="s">
        <v>2856</v>
      </c>
      <c r="B4028" t="s">
        <v>2862</v>
      </c>
      <c r="C4028" t="s">
        <v>1535</v>
      </c>
      <c r="D4028" t="s">
        <v>2902</v>
      </c>
      <c r="E4028">
        <v>0</v>
      </c>
      <c r="F4028" s="11">
        <v>1</v>
      </c>
    </row>
    <row r="4029" spans="1:6" x14ac:dyDescent="0.35">
      <c r="A4029" t="s">
        <v>2856</v>
      </c>
      <c r="B4029" t="s">
        <v>2862</v>
      </c>
      <c r="C4029" t="s">
        <v>1535</v>
      </c>
      <c r="D4029" t="s">
        <v>2903</v>
      </c>
      <c r="E4029">
        <v>0</v>
      </c>
      <c r="F4029" s="11">
        <v>0</v>
      </c>
    </row>
    <row r="4030" spans="1:6" x14ac:dyDescent="0.35">
      <c r="A4030" t="s">
        <v>2856</v>
      </c>
      <c r="B4030" t="s">
        <v>2862</v>
      </c>
      <c r="C4030" t="s">
        <v>1535</v>
      </c>
      <c r="D4030" t="s">
        <v>2904</v>
      </c>
      <c r="E4030">
        <v>0</v>
      </c>
      <c r="F4030" s="11">
        <v>0</v>
      </c>
    </row>
    <row r="4031" spans="1:6" x14ac:dyDescent="0.35">
      <c r="A4031" t="s">
        <v>2856</v>
      </c>
      <c r="B4031" t="s">
        <v>2862</v>
      </c>
      <c r="C4031" t="s">
        <v>1535</v>
      </c>
      <c r="D4031" t="s">
        <v>2905</v>
      </c>
      <c r="E4031">
        <v>0</v>
      </c>
      <c r="F4031" s="11">
        <v>0</v>
      </c>
    </row>
    <row r="4032" spans="1:6" x14ac:dyDescent="0.35">
      <c r="A4032" t="s">
        <v>2856</v>
      </c>
      <c r="B4032" t="s">
        <v>2862</v>
      </c>
      <c r="C4032" t="s">
        <v>1535</v>
      </c>
      <c r="D4032" t="s">
        <v>2906</v>
      </c>
      <c r="E4032">
        <v>0</v>
      </c>
      <c r="F4032" s="11">
        <v>0</v>
      </c>
    </row>
    <row r="4033" spans="1:6" x14ac:dyDescent="0.35">
      <c r="A4033" t="s">
        <v>2856</v>
      </c>
      <c r="B4033" t="s">
        <v>2862</v>
      </c>
      <c r="C4033" t="s">
        <v>1535</v>
      </c>
      <c r="D4033" t="s">
        <v>2907</v>
      </c>
      <c r="E4033">
        <v>0</v>
      </c>
      <c r="F4033" s="11">
        <v>0</v>
      </c>
    </row>
    <row r="4034" spans="1:6" x14ac:dyDescent="0.35">
      <c r="A4034" t="s">
        <v>2856</v>
      </c>
      <c r="B4034" t="s">
        <v>2862</v>
      </c>
      <c r="C4034" t="s">
        <v>1535</v>
      </c>
      <c r="D4034" t="s">
        <v>2908</v>
      </c>
      <c r="E4034">
        <v>0</v>
      </c>
      <c r="F4034" s="11">
        <v>0</v>
      </c>
    </row>
    <row r="4035" spans="1:6" x14ac:dyDescent="0.35">
      <c r="A4035" t="s">
        <v>2856</v>
      </c>
      <c r="B4035" t="s">
        <v>2862</v>
      </c>
      <c r="C4035" t="s">
        <v>1535</v>
      </c>
      <c r="D4035" t="s">
        <v>2909</v>
      </c>
      <c r="E4035">
        <v>0</v>
      </c>
      <c r="F4035" s="11">
        <v>0</v>
      </c>
    </row>
    <row r="4036" spans="1:6" x14ac:dyDescent="0.35">
      <c r="A4036" t="s">
        <v>2856</v>
      </c>
      <c r="B4036" t="s">
        <v>2862</v>
      </c>
      <c r="C4036" t="s">
        <v>1535</v>
      </c>
      <c r="D4036" t="s">
        <v>2910</v>
      </c>
      <c r="E4036">
        <v>0</v>
      </c>
      <c r="F4036" s="11">
        <v>0</v>
      </c>
    </row>
    <row r="4037" spans="1:6" x14ac:dyDescent="0.35">
      <c r="A4037" t="s">
        <v>2856</v>
      </c>
      <c r="B4037" t="s">
        <v>2862</v>
      </c>
      <c r="C4037" t="s">
        <v>1535</v>
      </c>
      <c r="D4037" t="s">
        <v>2911</v>
      </c>
      <c r="E4037">
        <v>295190</v>
      </c>
      <c r="F4037" s="11">
        <v>1</v>
      </c>
    </row>
    <row r="4038" spans="1:6" x14ac:dyDescent="0.35">
      <c r="A4038" t="s">
        <v>2856</v>
      </c>
      <c r="B4038" t="s">
        <v>2862</v>
      </c>
      <c r="C4038" t="s">
        <v>1535</v>
      </c>
      <c r="D4038" t="s">
        <v>2912</v>
      </c>
      <c r="E4038">
        <v>270549</v>
      </c>
      <c r="F4038" s="11">
        <v>1</v>
      </c>
    </row>
    <row r="4039" spans="1:6" x14ac:dyDescent="0.35">
      <c r="A4039" t="s">
        <v>2856</v>
      </c>
      <c r="B4039" t="s">
        <v>2862</v>
      </c>
      <c r="C4039" t="s">
        <v>1535</v>
      </c>
      <c r="D4039" t="s">
        <v>2913</v>
      </c>
      <c r="E4039">
        <v>0</v>
      </c>
      <c r="F4039" s="11">
        <v>0</v>
      </c>
    </row>
    <row r="4040" spans="1:6" x14ac:dyDescent="0.35">
      <c r="A4040" t="s">
        <v>2856</v>
      </c>
      <c r="B4040" t="s">
        <v>2862</v>
      </c>
      <c r="C4040" t="s">
        <v>1535</v>
      </c>
      <c r="D4040" t="s">
        <v>2914</v>
      </c>
      <c r="E4040">
        <v>0</v>
      </c>
      <c r="F4040" s="11">
        <v>0</v>
      </c>
    </row>
    <row r="4041" spans="1:6" x14ac:dyDescent="0.35">
      <c r="A4041" t="s">
        <v>2856</v>
      </c>
      <c r="B4041" t="s">
        <v>2862</v>
      </c>
      <c r="C4041" t="s">
        <v>1535</v>
      </c>
      <c r="D4041" t="s">
        <v>2915</v>
      </c>
      <c r="E4041">
        <v>876</v>
      </c>
      <c r="F4041" s="11">
        <v>1</v>
      </c>
    </row>
    <row r="4042" spans="1:6" x14ac:dyDescent="0.35">
      <c r="A4042" t="s">
        <v>2856</v>
      </c>
      <c r="B4042" t="s">
        <v>2862</v>
      </c>
      <c r="C4042" t="s">
        <v>1535</v>
      </c>
      <c r="D4042" t="s">
        <v>2916</v>
      </c>
      <c r="E4042">
        <v>23103</v>
      </c>
      <c r="F4042" s="11">
        <v>1</v>
      </c>
    </row>
    <row r="4043" spans="1:6" x14ac:dyDescent="0.35">
      <c r="A4043" t="s">
        <v>2856</v>
      </c>
      <c r="B4043" t="s">
        <v>2862</v>
      </c>
      <c r="C4043" t="s">
        <v>1535</v>
      </c>
      <c r="D4043" t="s">
        <v>2917</v>
      </c>
      <c r="E4043">
        <v>0</v>
      </c>
      <c r="F4043" s="11">
        <v>0</v>
      </c>
    </row>
    <row r="4044" spans="1:6" x14ac:dyDescent="0.35">
      <c r="A4044" t="s">
        <v>2856</v>
      </c>
      <c r="B4044" t="s">
        <v>2864</v>
      </c>
      <c r="C4044" t="s">
        <v>1477</v>
      </c>
      <c r="D4044" t="s">
        <v>2875</v>
      </c>
      <c r="E4044">
        <v>15539</v>
      </c>
      <c r="F4044" s="11">
        <v>1</v>
      </c>
    </row>
    <row r="4045" spans="1:6" x14ac:dyDescent="0.35">
      <c r="A4045" t="s">
        <v>2856</v>
      </c>
      <c r="B4045" t="s">
        <v>2864</v>
      </c>
      <c r="C4045" t="s">
        <v>1477</v>
      </c>
      <c r="D4045" t="s">
        <v>2876</v>
      </c>
      <c r="E4045">
        <v>3157</v>
      </c>
      <c r="F4045" s="11">
        <v>1</v>
      </c>
    </row>
    <row r="4046" spans="1:6" x14ac:dyDescent="0.35">
      <c r="A4046" t="s">
        <v>2856</v>
      </c>
      <c r="B4046" t="s">
        <v>2864</v>
      </c>
      <c r="C4046" t="s">
        <v>1477</v>
      </c>
      <c r="D4046" t="s">
        <v>2877</v>
      </c>
      <c r="E4046">
        <v>11351</v>
      </c>
      <c r="F4046" s="11">
        <v>1</v>
      </c>
    </row>
    <row r="4047" spans="1:6" x14ac:dyDescent="0.35">
      <c r="A4047" t="s">
        <v>2856</v>
      </c>
      <c r="B4047" t="s">
        <v>2864</v>
      </c>
      <c r="C4047" t="s">
        <v>1477</v>
      </c>
      <c r="D4047" t="s">
        <v>2878</v>
      </c>
      <c r="E4047">
        <v>1031</v>
      </c>
      <c r="F4047" s="11">
        <v>1</v>
      </c>
    </row>
    <row r="4048" spans="1:6" x14ac:dyDescent="0.35">
      <c r="A4048" t="s">
        <v>2856</v>
      </c>
      <c r="B4048" t="s">
        <v>2864</v>
      </c>
      <c r="C4048" t="s">
        <v>1477</v>
      </c>
      <c r="D4048" t="s">
        <v>2879</v>
      </c>
      <c r="E4048">
        <v>1721</v>
      </c>
      <c r="F4048" s="11">
        <v>1</v>
      </c>
    </row>
    <row r="4049" spans="1:6" x14ac:dyDescent="0.35">
      <c r="A4049" t="s">
        <v>2856</v>
      </c>
      <c r="B4049" t="s">
        <v>2864</v>
      </c>
      <c r="C4049" t="s">
        <v>1477</v>
      </c>
      <c r="D4049" t="s">
        <v>2880</v>
      </c>
      <c r="E4049">
        <v>654</v>
      </c>
      <c r="F4049" s="11">
        <v>1</v>
      </c>
    </row>
    <row r="4050" spans="1:6" x14ac:dyDescent="0.35">
      <c r="A4050" t="s">
        <v>2856</v>
      </c>
      <c r="B4050" t="s">
        <v>2864</v>
      </c>
      <c r="C4050" t="s">
        <v>1477</v>
      </c>
      <c r="D4050" t="s">
        <v>2881</v>
      </c>
      <c r="E4050">
        <v>691</v>
      </c>
      <c r="F4050" s="11">
        <v>1</v>
      </c>
    </row>
    <row r="4051" spans="1:6" x14ac:dyDescent="0.35">
      <c r="A4051" t="s">
        <v>2856</v>
      </c>
      <c r="B4051" t="s">
        <v>2864</v>
      </c>
      <c r="C4051" t="s">
        <v>1477</v>
      </c>
      <c r="D4051" t="s">
        <v>2882</v>
      </c>
      <c r="E4051">
        <v>9</v>
      </c>
      <c r="F4051" s="11">
        <v>1</v>
      </c>
    </row>
    <row r="4052" spans="1:6" x14ac:dyDescent="0.35">
      <c r="A4052" t="s">
        <v>2856</v>
      </c>
      <c r="B4052" t="s">
        <v>2864</v>
      </c>
      <c r="C4052" t="s">
        <v>1477</v>
      </c>
      <c r="D4052" t="s">
        <v>2883</v>
      </c>
      <c r="E4052">
        <v>0</v>
      </c>
      <c r="F4052" s="11">
        <v>0</v>
      </c>
    </row>
    <row r="4053" spans="1:6" x14ac:dyDescent="0.35">
      <c r="A4053" t="s">
        <v>2856</v>
      </c>
      <c r="B4053" t="s">
        <v>2864</v>
      </c>
      <c r="C4053" t="s">
        <v>1477</v>
      </c>
      <c r="D4053" t="s">
        <v>2884</v>
      </c>
      <c r="E4053">
        <v>0</v>
      </c>
      <c r="F4053" s="11">
        <v>0</v>
      </c>
    </row>
    <row r="4054" spans="1:6" x14ac:dyDescent="0.35">
      <c r="A4054" t="s">
        <v>2856</v>
      </c>
      <c r="B4054" t="s">
        <v>2864</v>
      </c>
      <c r="C4054" t="s">
        <v>1477</v>
      </c>
      <c r="D4054" t="s">
        <v>2885</v>
      </c>
      <c r="E4054">
        <v>0</v>
      </c>
      <c r="F4054" s="11">
        <v>0</v>
      </c>
    </row>
    <row r="4055" spans="1:6" x14ac:dyDescent="0.35">
      <c r="A4055" t="s">
        <v>2856</v>
      </c>
      <c r="B4055" t="s">
        <v>2864</v>
      </c>
      <c r="C4055" t="s">
        <v>1477</v>
      </c>
      <c r="D4055" t="s">
        <v>2886</v>
      </c>
      <c r="E4055">
        <v>0</v>
      </c>
      <c r="F4055" s="11">
        <v>0</v>
      </c>
    </row>
    <row r="4056" spans="1:6" x14ac:dyDescent="0.35">
      <c r="A4056" t="s">
        <v>2856</v>
      </c>
      <c r="B4056" t="s">
        <v>2864</v>
      </c>
      <c r="C4056" t="s">
        <v>1477</v>
      </c>
      <c r="D4056" t="s">
        <v>2887</v>
      </c>
      <c r="E4056">
        <v>19897</v>
      </c>
      <c r="F4056" s="11">
        <v>1</v>
      </c>
    </row>
    <row r="4057" spans="1:6" x14ac:dyDescent="0.35">
      <c r="A4057" t="s">
        <v>2856</v>
      </c>
      <c r="B4057" t="s">
        <v>2864</v>
      </c>
      <c r="C4057" t="s">
        <v>1477</v>
      </c>
      <c r="D4057" t="s">
        <v>2888</v>
      </c>
      <c r="E4057">
        <v>18176</v>
      </c>
      <c r="F4057" s="11">
        <v>0</v>
      </c>
    </row>
    <row r="4058" spans="1:6" x14ac:dyDescent="0.35">
      <c r="A4058" t="s">
        <v>2856</v>
      </c>
      <c r="B4058" t="s">
        <v>2864</v>
      </c>
      <c r="C4058" t="s">
        <v>1477</v>
      </c>
      <c r="D4058" t="s">
        <v>2889</v>
      </c>
      <c r="E4058">
        <v>1721</v>
      </c>
      <c r="F4058" s="11">
        <v>0</v>
      </c>
    </row>
    <row r="4059" spans="1:6" x14ac:dyDescent="0.35">
      <c r="A4059" t="s">
        <v>2856</v>
      </c>
      <c r="B4059" t="s">
        <v>2864</v>
      </c>
      <c r="C4059" t="s">
        <v>1477</v>
      </c>
      <c r="D4059" t="s">
        <v>2890</v>
      </c>
      <c r="E4059">
        <v>0</v>
      </c>
      <c r="F4059" s="11">
        <v>1</v>
      </c>
    </row>
    <row r="4060" spans="1:6" x14ac:dyDescent="0.35">
      <c r="A4060" t="s">
        <v>2856</v>
      </c>
      <c r="B4060" t="s">
        <v>2864</v>
      </c>
      <c r="C4060" t="s">
        <v>1477</v>
      </c>
      <c r="D4060" t="s">
        <v>2891</v>
      </c>
      <c r="E4060">
        <v>0</v>
      </c>
      <c r="F4060" s="11">
        <v>0</v>
      </c>
    </row>
    <row r="4061" spans="1:6" x14ac:dyDescent="0.35">
      <c r="A4061" t="s">
        <v>2856</v>
      </c>
      <c r="B4061" t="s">
        <v>2864</v>
      </c>
      <c r="C4061" t="s">
        <v>1477</v>
      </c>
      <c r="D4061" t="s">
        <v>2892</v>
      </c>
      <c r="E4061">
        <v>0</v>
      </c>
      <c r="F4061" s="11">
        <v>0</v>
      </c>
    </row>
    <row r="4062" spans="1:6" x14ac:dyDescent="0.35">
      <c r="A4062" t="s">
        <v>2856</v>
      </c>
      <c r="B4062" t="s">
        <v>2864</v>
      </c>
      <c r="C4062" t="s">
        <v>1477</v>
      </c>
      <c r="D4062" t="s">
        <v>2893</v>
      </c>
      <c r="E4062">
        <v>0</v>
      </c>
      <c r="F4062" s="11">
        <v>0</v>
      </c>
    </row>
    <row r="4063" spans="1:6" x14ac:dyDescent="0.35">
      <c r="A4063" t="s">
        <v>2856</v>
      </c>
      <c r="B4063" t="s">
        <v>2864</v>
      </c>
      <c r="C4063" t="s">
        <v>1477</v>
      </c>
      <c r="D4063" t="s">
        <v>2894</v>
      </c>
      <c r="E4063">
        <v>0</v>
      </c>
      <c r="F4063" s="11">
        <v>0</v>
      </c>
    </row>
    <row r="4064" spans="1:6" x14ac:dyDescent="0.35">
      <c r="A4064" t="s">
        <v>2856</v>
      </c>
      <c r="B4064" t="s">
        <v>2864</v>
      </c>
      <c r="C4064" t="s">
        <v>1477</v>
      </c>
      <c r="D4064" t="s">
        <v>2895</v>
      </c>
      <c r="E4064">
        <v>180695</v>
      </c>
      <c r="F4064" s="11">
        <v>1</v>
      </c>
    </row>
    <row r="4065" spans="1:6" x14ac:dyDescent="0.35">
      <c r="A4065" t="s">
        <v>2856</v>
      </c>
      <c r="B4065" t="s">
        <v>2864</v>
      </c>
      <c r="C4065" t="s">
        <v>1477</v>
      </c>
      <c r="D4065" t="s">
        <v>2896</v>
      </c>
      <c r="E4065">
        <v>106630</v>
      </c>
      <c r="F4065" s="11">
        <v>1</v>
      </c>
    </row>
    <row r="4066" spans="1:6" x14ac:dyDescent="0.35">
      <c r="A4066" t="s">
        <v>2856</v>
      </c>
      <c r="B4066" t="s">
        <v>2864</v>
      </c>
      <c r="C4066" t="s">
        <v>1477</v>
      </c>
      <c r="D4066" t="s">
        <v>2897</v>
      </c>
      <c r="E4066">
        <v>71468</v>
      </c>
      <c r="F4066" s="11">
        <v>1</v>
      </c>
    </row>
    <row r="4067" spans="1:6" x14ac:dyDescent="0.35">
      <c r="A4067" t="s">
        <v>2856</v>
      </c>
      <c r="B4067" t="s">
        <v>2864</v>
      </c>
      <c r="C4067" t="s">
        <v>1477</v>
      </c>
      <c r="D4067" t="s">
        <v>2898</v>
      </c>
      <c r="E4067">
        <v>2597</v>
      </c>
      <c r="F4067" s="11">
        <v>1</v>
      </c>
    </row>
    <row r="4068" spans="1:6" x14ac:dyDescent="0.35">
      <c r="A4068" t="s">
        <v>2856</v>
      </c>
      <c r="B4068" t="s">
        <v>2864</v>
      </c>
      <c r="C4068" t="s">
        <v>1477</v>
      </c>
      <c r="D4068" t="s">
        <v>2899</v>
      </c>
      <c r="E4068">
        <v>3735</v>
      </c>
      <c r="F4068" s="11">
        <v>1</v>
      </c>
    </row>
    <row r="4069" spans="1:6" x14ac:dyDescent="0.35">
      <c r="A4069" t="s">
        <v>2856</v>
      </c>
      <c r="B4069" t="s">
        <v>2864</v>
      </c>
      <c r="C4069" t="s">
        <v>1477</v>
      </c>
      <c r="D4069" t="s">
        <v>2900</v>
      </c>
      <c r="E4069">
        <v>3360</v>
      </c>
      <c r="F4069" s="11">
        <v>1</v>
      </c>
    </row>
    <row r="4070" spans="1:6" x14ac:dyDescent="0.35">
      <c r="A4070" t="s">
        <v>2856</v>
      </c>
      <c r="B4070" t="s">
        <v>2864</v>
      </c>
      <c r="C4070" t="s">
        <v>1477</v>
      </c>
      <c r="D4070" t="s">
        <v>2901</v>
      </c>
      <c r="E4070">
        <v>375</v>
      </c>
      <c r="F4070" s="11">
        <v>0</v>
      </c>
    </row>
    <row r="4071" spans="1:6" x14ac:dyDescent="0.35">
      <c r="A4071" t="s">
        <v>2856</v>
      </c>
      <c r="B4071" t="s">
        <v>2864</v>
      </c>
      <c r="C4071" t="s">
        <v>1477</v>
      </c>
      <c r="D4071" t="s">
        <v>2902</v>
      </c>
      <c r="E4071">
        <v>0</v>
      </c>
      <c r="F4071" s="11">
        <v>1</v>
      </c>
    </row>
    <row r="4072" spans="1:6" x14ac:dyDescent="0.35">
      <c r="A4072" t="s">
        <v>2856</v>
      </c>
      <c r="B4072" t="s">
        <v>2864</v>
      </c>
      <c r="C4072" t="s">
        <v>1477</v>
      </c>
      <c r="D4072" t="s">
        <v>2903</v>
      </c>
      <c r="E4072">
        <v>0</v>
      </c>
      <c r="F4072" s="11">
        <v>1</v>
      </c>
    </row>
    <row r="4073" spans="1:6" x14ac:dyDescent="0.35">
      <c r="A4073" t="s">
        <v>2856</v>
      </c>
      <c r="B4073" t="s">
        <v>2864</v>
      </c>
      <c r="C4073" t="s">
        <v>1477</v>
      </c>
      <c r="D4073" t="s">
        <v>2904</v>
      </c>
      <c r="E4073">
        <v>0</v>
      </c>
      <c r="F4073" s="11">
        <v>1</v>
      </c>
    </row>
    <row r="4074" spans="1:6" x14ac:dyDescent="0.35">
      <c r="A4074" t="s">
        <v>2856</v>
      </c>
      <c r="B4074" t="s">
        <v>2864</v>
      </c>
      <c r="C4074" t="s">
        <v>1477</v>
      </c>
      <c r="D4074" t="s">
        <v>2905</v>
      </c>
      <c r="E4074">
        <v>0</v>
      </c>
      <c r="F4074" s="11">
        <v>1</v>
      </c>
    </row>
    <row r="4075" spans="1:6" x14ac:dyDescent="0.35">
      <c r="A4075" t="s">
        <v>2856</v>
      </c>
      <c r="B4075" t="s">
        <v>2864</v>
      </c>
      <c r="C4075" t="s">
        <v>1477</v>
      </c>
      <c r="D4075" t="s">
        <v>2906</v>
      </c>
      <c r="E4075">
        <v>0</v>
      </c>
      <c r="F4075" s="11">
        <v>1</v>
      </c>
    </row>
    <row r="4076" spans="1:6" x14ac:dyDescent="0.35">
      <c r="A4076" t="s">
        <v>2856</v>
      </c>
      <c r="B4076" t="s">
        <v>2864</v>
      </c>
      <c r="C4076" t="s">
        <v>1477</v>
      </c>
      <c r="D4076" t="s">
        <v>2907</v>
      </c>
      <c r="E4076">
        <v>0</v>
      </c>
      <c r="F4076" s="11">
        <v>1</v>
      </c>
    </row>
    <row r="4077" spans="1:6" x14ac:dyDescent="0.35">
      <c r="A4077" t="s">
        <v>2856</v>
      </c>
      <c r="B4077" t="s">
        <v>2864</v>
      </c>
      <c r="C4077" t="s">
        <v>1477</v>
      </c>
      <c r="D4077" t="s">
        <v>2908</v>
      </c>
      <c r="E4077">
        <v>0</v>
      </c>
      <c r="F4077" s="11">
        <v>1</v>
      </c>
    </row>
    <row r="4078" spans="1:6" x14ac:dyDescent="0.35">
      <c r="A4078" t="s">
        <v>2856</v>
      </c>
      <c r="B4078" t="s">
        <v>2864</v>
      </c>
      <c r="C4078" t="s">
        <v>1477</v>
      </c>
      <c r="D4078" t="s">
        <v>2909</v>
      </c>
      <c r="E4078">
        <v>0</v>
      </c>
      <c r="F4078" s="11">
        <v>1</v>
      </c>
    </row>
    <row r="4079" spans="1:6" x14ac:dyDescent="0.35">
      <c r="A4079" t="s">
        <v>2856</v>
      </c>
      <c r="B4079" t="s">
        <v>2864</v>
      </c>
      <c r="C4079" t="s">
        <v>1477</v>
      </c>
      <c r="D4079" t="s">
        <v>2910</v>
      </c>
      <c r="E4079">
        <v>0</v>
      </c>
      <c r="F4079" s="11">
        <v>1</v>
      </c>
    </row>
    <row r="4080" spans="1:6" x14ac:dyDescent="0.35">
      <c r="A4080" t="s">
        <v>2856</v>
      </c>
      <c r="B4080" t="s">
        <v>2864</v>
      </c>
      <c r="C4080" t="s">
        <v>1477</v>
      </c>
      <c r="D4080" t="s">
        <v>2911</v>
      </c>
      <c r="E4080">
        <v>2215671</v>
      </c>
      <c r="F4080" s="11">
        <v>1</v>
      </c>
    </row>
    <row r="4081" spans="1:6" x14ac:dyDescent="0.35">
      <c r="A4081" t="s">
        <v>2856</v>
      </c>
      <c r="B4081" t="s">
        <v>2864</v>
      </c>
      <c r="C4081" t="s">
        <v>1477</v>
      </c>
      <c r="D4081" t="s">
        <v>2912</v>
      </c>
      <c r="E4081">
        <v>0</v>
      </c>
      <c r="F4081" s="11">
        <v>1</v>
      </c>
    </row>
    <row r="4082" spans="1:6" x14ac:dyDescent="0.35">
      <c r="A4082" t="s">
        <v>2856</v>
      </c>
      <c r="B4082" t="s">
        <v>2864</v>
      </c>
      <c r="C4082" t="s">
        <v>1477</v>
      </c>
      <c r="D4082" t="s">
        <v>2913</v>
      </c>
      <c r="E4082">
        <v>0</v>
      </c>
      <c r="F4082" s="11">
        <v>0</v>
      </c>
    </row>
    <row r="4083" spans="1:6" x14ac:dyDescent="0.35">
      <c r="A4083" t="s">
        <v>2856</v>
      </c>
      <c r="B4083" t="s">
        <v>2864</v>
      </c>
      <c r="C4083" t="s">
        <v>1477</v>
      </c>
      <c r="D4083" t="s">
        <v>2914</v>
      </c>
      <c r="E4083">
        <v>0</v>
      </c>
      <c r="F4083" s="11">
        <v>0</v>
      </c>
    </row>
    <row r="4084" spans="1:6" x14ac:dyDescent="0.35">
      <c r="A4084" t="s">
        <v>2856</v>
      </c>
      <c r="B4084" t="s">
        <v>2864</v>
      </c>
      <c r="C4084" t="s">
        <v>1477</v>
      </c>
      <c r="D4084" t="s">
        <v>2915</v>
      </c>
      <c r="E4084">
        <v>0</v>
      </c>
      <c r="F4084" s="11">
        <v>0</v>
      </c>
    </row>
    <row r="4085" spans="1:6" x14ac:dyDescent="0.35">
      <c r="A4085" t="s">
        <v>2856</v>
      </c>
      <c r="B4085" t="s">
        <v>2864</v>
      </c>
      <c r="C4085" t="s">
        <v>1477</v>
      </c>
      <c r="D4085" t="s">
        <v>2916</v>
      </c>
      <c r="E4085">
        <v>0</v>
      </c>
      <c r="F4085" s="11">
        <v>1</v>
      </c>
    </row>
    <row r="4086" spans="1:6" x14ac:dyDescent="0.35">
      <c r="A4086" t="s">
        <v>2856</v>
      </c>
      <c r="B4086" t="s">
        <v>2864</v>
      </c>
      <c r="C4086" t="s">
        <v>1477</v>
      </c>
      <c r="D4086" t="s">
        <v>2917</v>
      </c>
      <c r="E4086">
        <v>26753</v>
      </c>
      <c r="F4086" s="11">
        <v>1</v>
      </c>
    </row>
    <row r="4087" spans="1:6" x14ac:dyDescent="0.35">
      <c r="A4087" t="s">
        <v>2856</v>
      </c>
      <c r="B4087" t="s">
        <v>2866</v>
      </c>
      <c r="C4087" t="s">
        <v>2738</v>
      </c>
      <c r="D4087" t="s">
        <v>2875</v>
      </c>
      <c r="E4087">
        <v>25458</v>
      </c>
      <c r="F4087" s="11">
        <v>0</v>
      </c>
    </row>
    <row r="4088" spans="1:6" x14ac:dyDescent="0.35">
      <c r="A4088" t="s">
        <v>2856</v>
      </c>
      <c r="B4088" t="s">
        <v>2866</v>
      </c>
      <c r="C4088" t="s">
        <v>2738</v>
      </c>
      <c r="D4088" t="s">
        <v>2876</v>
      </c>
      <c r="E4088">
        <v>3991</v>
      </c>
      <c r="F4088" s="11">
        <v>0</v>
      </c>
    </row>
    <row r="4089" spans="1:6" x14ac:dyDescent="0.35">
      <c r="A4089" t="s">
        <v>2856</v>
      </c>
      <c r="B4089" t="s">
        <v>2866</v>
      </c>
      <c r="C4089" t="s">
        <v>2738</v>
      </c>
      <c r="D4089" t="s">
        <v>2877</v>
      </c>
      <c r="E4089">
        <v>19185</v>
      </c>
      <c r="F4089" s="11">
        <v>0</v>
      </c>
    </row>
    <row r="4090" spans="1:6" x14ac:dyDescent="0.35">
      <c r="A4090" t="s">
        <v>2856</v>
      </c>
      <c r="B4090" t="s">
        <v>2866</v>
      </c>
      <c r="C4090" t="s">
        <v>2738</v>
      </c>
      <c r="D4090" t="s">
        <v>2878</v>
      </c>
      <c r="E4090">
        <v>2278</v>
      </c>
      <c r="F4090" s="11">
        <v>0</v>
      </c>
    </row>
    <row r="4091" spans="1:6" x14ac:dyDescent="0.35">
      <c r="A4091" t="s">
        <v>2856</v>
      </c>
      <c r="B4091" t="s">
        <v>2866</v>
      </c>
      <c r="C4091" t="s">
        <v>2738</v>
      </c>
      <c r="D4091" t="s">
        <v>2879</v>
      </c>
      <c r="E4091">
        <v>601</v>
      </c>
      <c r="F4091" s="11">
        <v>0</v>
      </c>
    </row>
    <row r="4092" spans="1:6" x14ac:dyDescent="0.35">
      <c r="A4092" t="s">
        <v>2856</v>
      </c>
      <c r="B4092" t="s">
        <v>2866</v>
      </c>
      <c r="C4092" t="s">
        <v>2738</v>
      </c>
      <c r="D4092" t="s">
        <v>2880</v>
      </c>
      <c r="E4092">
        <v>223</v>
      </c>
      <c r="F4092" s="11">
        <v>0</v>
      </c>
    </row>
    <row r="4093" spans="1:6" x14ac:dyDescent="0.35">
      <c r="A4093" t="s">
        <v>2856</v>
      </c>
      <c r="B4093" t="s">
        <v>2866</v>
      </c>
      <c r="C4093" t="s">
        <v>2738</v>
      </c>
      <c r="D4093" t="s">
        <v>2881</v>
      </c>
      <c r="E4093">
        <v>390</v>
      </c>
      <c r="F4093" s="11">
        <v>0</v>
      </c>
    </row>
    <row r="4094" spans="1:6" x14ac:dyDescent="0.35">
      <c r="A4094" t="s">
        <v>2856</v>
      </c>
      <c r="B4094" t="s">
        <v>2866</v>
      </c>
      <c r="C4094" t="s">
        <v>2738</v>
      </c>
      <c r="D4094" t="s">
        <v>2882</v>
      </c>
      <c r="E4094">
        <v>0</v>
      </c>
      <c r="F4094" s="11">
        <v>0</v>
      </c>
    </row>
    <row r="4095" spans="1:6" x14ac:dyDescent="0.35">
      <c r="A4095" t="s">
        <v>2856</v>
      </c>
      <c r="B4095" t="s">
        <v>2866</v>
      </c>
      <c r="C4095" t="s">
        <v>2738</v>
      </c>
      <c r="D4095" t="s">
        <v>2883</v>
      </c>
      <c r="E4095">
        <v>16</v>
      </c>
      <c r="F4095" s="11">
        <v>0</v>
      </c>
    </row>
    <row r="4096" spans="1:6" x14ac:dyDescent="0.35">
      <c r="A4096" t="s">
        <v>2856</v>
      </c>
      <c r="B4096" t="s">
        <v>2866</v>
      </c>
      <c r="C4096" t="s">
        <v>2738</v>
      </c>
      <c r="D4096" t="s">
        <v>2884</v>
      </c>
      <c r="E4096">
        <v>15</v>
      </c>
      <c r="F4096" s="11">
        <v>0</v>
      </c>
    </row>
    <row r="4097" spans="1:6" x14ac:dyDescent="0.35">
      <c r="A4097" t="s">
        <v>2856</v>
      </c>
      <c r="B4097" t="s">
        <v>2866</v>
      </c>
      <c r="C4097" t="s">
        <v>2738</v>
      </c>
      <c r="D4097" t="s">
        <v>2885</v>
      </c>
      <c r="E4097">
        <v>1</v>
      </c>
      <c r="F4097" s="11">
        <v>0</v>
      </c>
    </row>
    <row r="4098" spans="1:6" x14ac:dyDescent="0.35">
      <c r="A4098" t="s">
        <v>2856</v>
      </c>
      <c r="B4098" t="s">
        <v>2866</v>
      </c>
      <c r="C4098" t="s">
        <v>2738</v>
      </c>
      <c r="D4098" t="s">
        <v>2886</v>
      </c>
      <c r="E4098">
        <v>0</v>
      </c>
      <c r="F4098" s="11">
        <v>0</v>
      </c>
    </row>
    <row r="4099" spans="1:6" x14ac:dyDescent="0.35">
      <c r="A4099" t="s">
        <v>2856</v>
      </c>
      <c r="B4099" t="s">
        <v>2866</v>
      </c>
      <c r="C4099" t="s">
        <v>2738</v>
      </c>
      <c r="D4099" t="s">
        <v>2887</v>
      </c>
      <c r="E4099">
        <v>56688</v>
      </c>
      <c r="F4099" s="11">
        <v>0</v>
      </c>
    </row>
    <row r="4100" spans="1:6" x14ac:dyDescent="0.35">
      <c r="A4100" t="s">
        <v>2856</v>
      </c>
      <c r="B4100" t="s">
        <v>2866</v>
      </c>
      <c r="C4100" t="s">
        <v>2738</v>
      </c>
      <c r="D4100" t="s">
        <v>2888</v>
      </c>
      <c r="E4100">
        <v>5846</v>
      </c>
      <c r="F4100" s="11">
        <v>0</v>
      </c>
    </row>
    <row r="4101" spans="1:6" x14ac:dyDescent="0.35">
      <c r="A4101" t="s">
        <v>2856</v>
      </c>
      <c r="B4101" t="s">
        <v>2866</v>
      </c>
      <c r="C4101" t="s">
        <v>2738</v>
      </c>
      <c r="D4101" t="s">
        <v>2889</v>
      </c>
      <c r="E4101">
        <v>50842</v>
      </c>
      <c r="F4101" s="11">
        <v>0</v>
      </c>
    </row>
    <row r="4102" spans="1:6" x14ac:dyDescent="0.35">
      <c r="A4102" t="s">
        <v>2856</v>
      </c>
      <c r="B4102" t="s">
        <v>2866</v>
      </c>
      <c r="C4102" t="s">
        <v>2738</v>
      </c>
      <c r="D4102" t="s">
        <v>2890</v>
      </c>
      <c r="E4102">
        <v>0</v>
      </c>
      <c r="F4102" s="11">
        <v>0</v>
      </c>
    </row>
    <row r="4103" spans="1:6" x14ac:dyDescent="0.35">
      <c r="A4103" t="s">
        <v>2856</v>
      </c>
      <c r="B4103" t="s">
        <v>2866</v>
      </c>
      <c r="C4103" t="s">
        <v>2738</v>
      </c>
      <c r="D4103" t="s">
        <v>2891</v>
      </c>
      <c r="E4103">
        <v>80</v>
      </c>
      <c r="F4103" s="11">
        <v>0</v>
      </c>
    </row>
    <row r="4104" spans="1:6" x14ac:dyDescent="0.35">
      <c r="A4104" t="s">
        <v>2856</v>
      </c>
      <c r="B4104" t="s">
        <v>2866</v>
      </c>
      <c r="C4104" t="s">
        <v>2738</v>
      </c>
      <c r="D4104" t="s">
        <v>2892</v>
      </c>
      <c r="E4104">
        <v>60</v>
      </c>
      <c r="F4104" s="11">
        <v>0</v>
      </c>
    </row>
    <row r="4105" spans="1:6" x14ac:dyDescent="0.35">
      <c r="A4105" t="s">
        <v>2856</v>
      </c>
      <c r="B4105" t="s">
        <v>2866</v>
      </c>
      <c r="C4105" t="s">
        <v>2738</v>
      </c>
      <c r="D4105" t="s">
        <v>2893</v>
      </c>
      <c r="E4105">
        <v>20</v>
      </c>
      <c r="F4105" s="11">
        <v>0</v>
      </c>
    </row>
    <row r="4106" spans="1:6" x14ac:dyDescent="0.35">
      <c r="A4106" t="s">
        <v>2856</v>
      </c>
      <c r="B4106" t="s">
        <v>2866</v>
      </c>
      <c r="C4106" t="s">
        <v>2738</v>
      </c>
      <c r="D4106" t="s">
        <v>2894</v>
      </c>
      <c r="E4106">
        <v>0</v>
      </c>
      <c r="F4106" s="11">
        <v>0</v>
      </c>
    </row>
    <row r="4107" spans="1:6" x14ac:dyDescent="0.35">
      <c r="A4107" t="s">
        <v>2856</v>
      </c>
      <c r="B4107" t="s">
        <v>2866</v>
      </c>
      <c r="C4107" t="s">
        <v>2738</v>
      </c>
      <c r="D4107" t="s">
        <v>2895</v>
      </c>
      <c r="E4107">
        <v>728515</v>
      </c>
      <c r="F4107" s="11">
        <v>0</v>
      </c>
    </row>
    <row r="4108" spans="1:6" x14ac:dyDescent="0.35">
      <c r="A4108" t="s">
        <v>2856</v>
      </c>
      <c r="B4108" t="s">
        <v>2866</v>
      </c>
      <c r="C4108" t="s">
        <v>2738</v>
      </c>
      <c r="D4108" t="s">
        <v>2896</v>
      </c>
      <c r="E4108">
        <v>305895</v>
      </c>
      <c r="F4108" s="11">
        <v>0</v>
      </c>
    </row>
    <row r="4109" spans="1:6" x14ac:dyDescent="0.35">
      <c r="A4109" t="s">
        <v>2856</v>
      </c>
      <c r="B4109" t="s">
        <v>2866</v>
      </c>
      <c r="C4109" t="s">
        <v>2738</v>
      </c>
      <c r="D4109" t="s">
        <v>2897</v>
      </c>
      <c r="E4109">
        <v>412323</v>
      </c>
      <c r="F4109" s="11">
        <v>0</v>
      </c>
    </row>
    <row r="4110" spans="1:6" x14ac:dyDescent="0.35">
      <c r="A4110" t="s">
        <v>2856</v>
      </c>
      <c r="B4110" t="s">
        <v>2866</v>
      </c>
      <c r="C4110" t="s">
        <v>2738</v>
      </c>
      <c r="D4110" t="s">
        <v>2898</v>
      </c>
      <c r="E4110">
        <v>0</v>
      </c>
      <c r="F4110" s="11">
        <v>0</v>
      </c>
    </row>
    <row r="4111" spans="1:6" x14ac:dyDescent="0.35">
      <c r="A4111" t="s">
        <v>2856</v>
      </c>
      <c r="B4111" t="s">
        <v>2866</v>
      </c>
      <c r="C4111" t="s">
        <v>2738</v>
      </c>
      <c r="D4111" t="s">
        <v>2899</v>
      </c>
      <c r="E4111">
        <v>1891</v>
      </c>
      <c r="F4111" s="11">
        <v>0</v>
      </c>
    </row>
    <row r="4112" spans="1:6" x14ac:dyDescent="0.35">
      <c r="A4112" t="s">
        <v>2856</v>
      </c>
      <c r="B4112" t="s">
        <v>2866</v>
      </c>
      <c r="C4112" t="s">
        <v>2738</v>
      </c>
      <c r="D4112" t="s">
        <v>2900</v>
      </c>
      <c r="E4112">
        <v>1636</v>
      </c>
      <c r="F4112" s="11">
        <v>0</v>
      </c>
    </row>
    <row r="4113" spans="1:6" x14ac:dyDescent="0.35">
      <c r="A4113" t="s">
        <v>2856</v>
      </c>
      <c r="B4113" t="s">
        <v>2866</v>
      </c>
      <c r="C4113" t="s">
        <v>2738</v>
      </c>
      <c r="D4113" t="s">
        <v>2901</v>
      </c>
      <c r="E4113">
        <v>255</v>
      </c>
      <c r="F4113" s="11">
        <v>0</v>
      </c>
    </row>
    <row r="4114" spans="1:6" x14ac:dyDescent="0.35">
      <c r="A4114" t="s">
        <v>2856</v>
      </c>
      <c r="B4114" t="s">
        <v>2866</v>
      </c>
      <c r="C4114" t="s">
        <v>2738</v>
      </c>
      <c r="D4114" t="s">
        <v>2902</v>
      </c>
      <c r="E4114">
        <v>0</v>
      </c>
      <c r="F4114" s="11">
        <v>0</v>
      </c>
    </row>
    <row r="4115" spans="1:6" x14ac:dyDescent="0.35">
      <c r="A4115" t="s">
        <v>2856</v>
      </c>
      <c r="B4115" t="s">
        <v>2866</v>
      </c>
      <c r="C4115" t="s">
        <v>2738</v>
      </c>
      <c r="D4115" t="s">
        <v>2903</v>
      </c>
      <c r="E4115">
        <v>50129</v>
      </c>
      <c r="F4115" s="11">
        <v>0</v>
      </c>
    </row>
    <row r="4116" spans="1:6" x14ac:dyDescent="0.35">
      <c r="A4116" t="s">
        <v>2856</v>
      </c>
      <c r="B4116" t="s">
        <v>2866</v>
      </c>
      <c r="C4116" t="s">
        <v>2738</v>
      </c>
      <c r="D4116" t="s">
        <v>2904</v>
      </c>
      <c r="E4116">
        <v>37349</v>
      </c>
      <c r="F4116" s="11">
        <v>0</v>
      </c>
    </row>
    <row r="4117" spans="1:6" x14ac:dyDescent="0.35">
      <c r="A4117" t="s">
        <v>2856</v>
      </c>
      <c r="B4117" t="s">
        <v>2866</v>
      </c>
      <c r="C4117" t="s">
        <v>2738</v>
      </c>
      <c r="D4117" t="s">
        <v>2905</v>
      </c>
      <c r="E4117">
        <v>10610</v>
      </c>
      <c r="F4117" s="11">
        <v>0</v>
      </c>
    </row>
    <row r="4118" spans="1:6" x14ac:dyDescent="0.35">
      <c r="A4118" t="s">
        <v>2856</v>
      </c>
      <c r="B4118" t="s">
        <v>2866</v>
      </c>
      <c r="C4118" t="s">
        <v>2738</v>
      </c>
      <c r="D4118" t="s">
        <v>2906</v>
      </c>
      <c r="E4118">
        <v>0</v>
      </c>
      <c r="F4118" s="11">
        <v>0</v>
      </c>
    </row>
    <row r="4119" spans="1:6" x14ac:dyDescent="0.35">
      <c r="A4119" t="s">
        <v>2856</v>
      </c>
      <c r="B4119" t="s">
        <v>2866</v>
      </c>
      <c r="C4119" t="s">
        <v>2738</v>
      </c>
      <c r="D4119" t="s">
        <v>2907</v>
      </c>
      <c r="E4119">
        <v>51163</v>
      </c>
      <c r="F4119" s="11">
        <v>0</v>
      </c>
    </row>
    <row r="4120" spans="1:6" x14ac:dyDescent="0.35">
      <c r="A4120" t="s">
        <v>2856</v>
      </c>
      <c r="B4120" t="s">
        <v>2866</v>
      </c>
      <c r="C4120" t="s">
        <v>2738</v>
      </c>
      <c r="D4120" t="s">
        <v>2908</v>
      </c>
      <c r="E4120">
        <v>30829</v>
      </c>
      <c r="F4120" s="11">
        <v>0</v>
      </c>
    </row>
    <row r="4121" spans="1:6" x14ac:dyDescent="0.35">
      <c r="A4121" t="s">
        <v>2856</v>
      </c>
      <c r="B4121" t="s">
        <v>2866</v>
      </c>
      <c r="C4121" t="s">
        <v>2738</v>
      </c>
      <c r="D4121" t="s">
        <v>2909</v>
      </c>
      <c r="E4121">
        <v>6931</v>
      </c>
      <c r="F4121" s="11">
        <v>0</v>
      </c>
    </row>
    <row r="4122" spans="1:6" x14ac:dyDescent="0.35">
      <c r="A4122" t="s">
        <v>2856</v>
      </c>
      <c r="B4122" t="s">
        <v>2866</v>
      </c>
      <c r="C4122" t="s">
        <v>2738</v>
      </c>
      <c r="D4122" t="s">
        <v>2910</v>
      </c>
      <c r="E4122">
        <v>0</v>
      </c>
      <c r="F4122" s="11">
        <v>0</v>
      </c>
    </row>
    <row r="4123" spans="1:6" x14ac:dyDescent="0.35">
      <c r="A4123" t="s">
        <v>2856</v>
      </c>
      <c r="B4123" t="s">
        <v>2866</v>
      </c>
      <c r="C4123" t="s">
        <v>2738</v>
      </c>
      <c r="D4123" t="s">
        <v>2911</v>
      </c>
      <c r="E4123">
        <v>127043</v>
      </c>
      <c r="F4123" s="11">
        <v>0</v>
      </c>
    </row>
    <row r="4124" spans="1:6" x14ac:dyDescent="0.35">
      <c r="A4124" t="s">
        <v>2856</v>
      </c>
      <c r="B4124" t="s">
        <v>2866</v>
      </c>
      <c r="C4124" t="s">
        <v>2738</v>
      </c>
      <c r="D4124" t="s">
        <v>2912</v>
      </c>
      <c r="E4124">
        <v>1359995</v>
      </c>
      <c r="F4124" s="11">
        <v>0</v>
      </c>
    </row>
    <row r="4125" spans="1:6" x14ac:dyDescent="0.35">
      <c r="A4125" t="s">
        <v>2856</v>
      </c>
      <c r="B4125" t="s">
        <v>2866</v>
      </c>
      <c r="C4125" t="s">
        <v>2738</v>
      </c>
      <c r="D4125" t="s">
        <v>2913</v>
      </c>
      <c r="E4125">
        <v>0</v>
      </c>
      <c r="F4125" s="11">
        <v>0</v>
      </c>
    </row>
    <row r="4126" spans="1:6" x14ac:dyDescent="0.35">
      <c r="A4126" t="s">
        <v>2856</v>
      </c>
      <c r="B4126" t="s">
        <v>2866</v>
      </c>
      <c r="C4126" t="s">
        <v>2738</v>
      </c>
      <c r="D4126" t="s">
        <v>2914</v>
      </c>
      <c r="E4126">
        <v>0</v>
      </c>
      <c r="F4126" s="11">
        <v>0</v>
      </c>
    </row>
    <row r="4127" spans="1:6" x14ac:dyDescent="0.35">
      <c r="A4127" t="s">
        <v>2856</v>
      </c>
      <c r="B4127" t="s">
        <v>2866</v>
      </c>
      <c r="C4127" t="s">
        <v>2738</v>
      </c>
      <c r="D4127" t="s">
        <v>2915</v>
      </c>
      <c r="E4127">
        <v>0</v>
      </c>
      <c r="F4127" s="11">
        <v>0</v>
      </c>
    </row>
    <row r="4128" spans="1:6" x14ac:dyDescent="0.35">
      <c r="A4128" t="s">
        <v>2856</v>
      </c>
      <c r="B4128" t="s">
        <v>2866</v>
      </c>
      <c r="C4128" t="s">
        <v>2738</v>
      </c>
      <c r="D4128" t="s">
        <v>2916</v>
      </c>
      <c r="E4128">
        <v>0</v>
      </c>
      <c r="F4128" s="11">
        <v>0</v>
      </c>
    </row>
    <row r="4129" spans="1:6" x14ac:dyDescent="0.35">
      <c r="A4129" t="s">
        <v>2856</v>
      </c>
      <c r="B4129" t="s">
        <v>2866</v>
      </c>
      <c r="C4129" t="s">
        <v>2738</v>
      </c>
      <c r="D4129" t="s">
        <v>2917</v>
      </c>
      <c r="E4129">
        <v>0</v>
      </c>
      <c r="F4129" s="11">
        <v>0</v>
      </c>
    </row>
    <row r="4130" spans="1:6" x14ac:dyDescent="0.35">
      <c r="A4130" t="s">
        <v>2856</v>
      </c>
      <c r="B4130" t="s">
        <v>2865</v>
      </c>
      <c r="C4130" t="s">
        <v>1554</v>
      </c>
      <c r="D4130" t="s">
        <v>2875</v>
      </c>
      <c r="E4130">
        <v>18001</v>
      </c>
      <c r="F4130" s="11">
        <v>0</v>
      </c>
    </row>
    <row r="4131" spans="1:6" x14ac:dyDescent="0.35">
      <c r="A4131" t="s">
        <v>2856</v>
      </c>
      <c r="B4131" t="s">
        <v>2865</v>
      </c>
      <c r="C4131" t="s">
        <v>1554</v>
      </c>
      <c r="D4131" t="s">
        <v>2876</v>
      </c>
      <c r="E4131">
        <v>5646</v>
      </c>
      <c r="F4131" s="11">
        <v>0</v>
      </c>
    </row>
    <row r="4132" spans="1:6" x14ac:dyDescent="0.35">
      <c r="A4132" t="s">
        <v>2856</v>
      </c>
      <c r="B4132" t="s">
        <v>2865</v>
      </c>
      <c r="C4132" t="s">
        <v>1554</v>
      </c>
      <c r="D4132" t="s">
        <v>2877</v>
      </c>
      <c r="E4132">
        <v>8723</v>
      </c>
      <c r="F4132" s="11">
        <v>0</v>
      </c>
    </row>
    <row r="4133" spans="1:6" x14ac:dyDescent="0.35">
      <c r="A4133" t="s">
        <v>2856</v>
      </c>
      <c r="B4133" t="s">
        <v>2865</v>
      </c>
      <c r="C4133" t="s">
        <v>1554</v>
      </c>
      <c r="D4133" t="s">
        <v>2878</v>
      </c>
      <c r="E4133">
        <v>3632</v>
      </c>
      <c r="F4133" s="11">
        <v>0</v>
      </c>
    </row>
    <row r="4134" spans="1:6" x14ac:dyDescent="0.35">
      <c r="A4134" t="s">
        <v>2856</v>
      </c>
      <c r="B4134" t="s">
        <v>2865</v>
      </c>
      <c r="C4134" t="s">
        <v>1554</v>
      </c>
      <c r="D4134" t="s">
        <v>2879</v>
      </c>
      <c r="E4134">
        <v>5533</v>
      </c>
      <c r="F4134" s="11">
        <v>0</v>
      </c>
    </row>
    <row r="4135" spans="1:6" x14ac:dyDescent="0.35">
      <c r="A4135" t="s">
        <v>2856</v>
      </c>
      <c r="B4135" t="s">
        <v>2865</v>
      </c>
      <c r="C4135" t="s">
        <v>1554</v>
      </c>
      <c r="D4135" t="s">
        <v>2880</v>
      </c>
      <c r="E4135">
        <v>0</v>
      </c>
      <c r="F4135" s="11">
        <v>0</v>
      </c>
    </row>
    <row r="4136" spans="1:6" x14ac:dyDescent="0.35">
      <c r="A4136" t="s">
        <v>2856</v>
      </c>
      <c r="B4136" t="s">
        <v>2865</v>
      </c>
      <c r="C4136" t="s">
        <v>1554</v>
      </c>
      <c r="D4136" t="s">
        <v>2881</v>
      </c>
      <c r="E4136">
        <v>0</v>
      </c>
      <c r="F4136" s="11">
        <v>0</v>
      </c>
    </row>
    <row r="4137" spans="1:6" x14ac:dyDescent="0.35">
      <c r="A4137" t="s">
        <v>2856</v>
      </c>
      <c r="B4137" t="s">
        <v>2865</v>
      </c>
      <c r="C4137" t="s">
        <v>1554</v>
      </c>
      <c r="D4137" t="s">
        <v>2882</v>
      </c>
      <c r="E4137">
        <v>0</v>
      </c>
      <c r="F4137" s="11">
        <v>0</v>
      </c>
    </row>
    <row r="4138" spans="1:6" x14ac:dyDescent="0.35">
      <c r="A4138" t="s">
        <v>2856</v>
      </c>
      <c r="B4138" t="s">
        <v>2865</v>
      </c>
      <c r="C4138" t="s">
        <v>1554</v>
      </c>
      <c r="D4138" t="s">
        <v>2883</v>
      </c>
      <c r="E4138">
        <v>0</v>
      </c>
      <c r="F4138" s="11">
        <v>0</v>
      </c>
    </row>
    <row r="4139" spans="1:6" x14ac:dyDescent="0.35">
      <c r="A4139" t="s">
        <v>2856</v>
      </c>
      <c r="B4139" t="s">
        <v>2865</v>
      </c>
      <c r="C4139" t="s">
        <v>1554</v>
      </c>
      <c r="D4139" t="s">
        <v>2884</v>
      </c>
      <c r="E4139">
        <v>0</v>
      </c>
      <c r="F4139" s="11">
        <v>0</v>
      </c>
    </row>
    <row r="4140" spans="1:6" x14ac:dyDescent="0.35">
      <c r="A4140" t="s">
        <v>2856</v>
      </c>
      <c r="B4140" t="s">
        <v>2865</v>
      </c>
      <c r="C4140" t="s">
        <v>1554</v>
      </c>
      <c r="D4140" t="s">
        <v>2885</v>
      </c>
      <c r="E4140">
        <v>0</v>
      </c>
      <c r="F4140" s="11">
        <v>0</v>
      </c>
    </row>
    <row r="4141" spans="1:6" x14ac:dyDescent="0.35">
      <c r="A4141" t="s">
        <v>2856</v>
      </c>
      <c r="B4141" t="s">
        <v>2865</v>
      </c>
      <c r="C4141" t="s">
        <v>1554</v>
      </c>
      <c r="D4141" t="s">
        <v>2886</v>
      </c>
      <c r="E4141">
        <v>0</v>
      </c>
      <c r="F4141" s="11">
        <v>0</v>
      </c>
    </row>
    <row r="4142" spans="1:6" x14ac:dyDescent="0.35">
      <c r="A4142" t="s">
        <v>2856</v>
      </c>
      <c r="B4142" t="s">
        <v>2865</v>
      </c>
      <c r="C4142" t="s">
        <v>1554</v>
      </c>
      <c r="D4142" t="s">
        <v>2887</v>
      </c>
      <c r="E4142">
        <v>42426</v>
      </c>
      <c r="F4142" s="11">
        <v>0</v>
      </c>
    </row>
    <row r="4143" spans="1:6" x14ac:dyDescent="0.35">
      <c r="A4143" t="s">
        <v>2856</v>
      </c>
      <c r="B4143" t="s">
        <v>2865</v>
      </c>
      <c r="C4143" t="s">
        <v>1554</v>
      </c>
      <c r="D4143" t="s">
        <v>2888</v>
      </c>
      <c r="E4143">
        <v>0</v>
      </c>
      <c r="F4143" s="11">
        <v>0</v>
      </c>
    </row>
    <row r="4144" spans="1:6" x14ac:dyDescent="0.35">
      <c r="A4144" t="s">
        <v>2856</v>
      </c>
      <c r="B4144" t="s">
        <v>2865</v>
      </c>
      <c r="C4144" t="s">
        <v>1554</v>
      </c>
      <c r="D4144" t="s">
        <v>2889</v>
      </c>
      <c r="E4144">
        <v>0</v>
      </c>
      <c r="F4144" s="11">
        <v>0</v>
      </c>
    </row>
    <row r="4145" spans="1:6" x14ac:dyDescent="0.35">
      <c r="A4145" t="s">
        <v>2856</v>
      </c>
      <c r="B4145" t="s">
        <v>2865</v>
      </c>
      <c r="C4145" t="s">
        <v>1554</v>
      </c>
      <c r="D4145" t="s">
        <v>2890</v>
      </c>
      <c r="E4145">
        <v>0</v>
      </c>
      <c r="F4145" s="11">
        <v>0</v>
      </c>
    </row>
    <row r="4146" spans="1:6" x14ac:dyDescent="0.35">
      <c r="A4146" t="s">
        <v>2856</v>
      </c>
      <c r="B4146" t="s">
        <v>2865</v>
      </c>
      <c r="C4146" t="s">
        <v>1554</v>
      </c>
      <c r="D4146" t="s">
        <v>2891</v>
      </c>
      <c r="E4146">
        <v>0</v>
      </c>
      <c r="F4146" s="11">
        <v>0</v>
      </c>
    </row>
    <row r="4147" spans="1:6" x14ac:dyDescent="0.35">
      <c r="A4147" t="s">
        <v>2856</v>
      </c>
      <c r="B4147" t="s">
        <v>2865</v>
      </c>
      <c r="C4147" t="s">
        <v>1554</v>
      </c>
      <c r="D4147" t="s">
        <v>2892</v>
      </c>
      <c r="E4147">
        <v>0</v>
      </c>
      <c r="F4147" s="11">
        <v>0</v>
      </c>
    </row>
    <row r="4148" spans="1:6" x14ac:dyDescent="0.35">
      <c r="A4148" t="s">
        <v>2856</v>
      </c>
      <c r="B4148" t="s">
        <v>2865</v>
      </c>
      <c r="C4148" t="s">
        <v>1554</v>
      </c>
      <c r="D4148" t="s">
        <v>2893</v>
      </c>
      <c r="E4148">
        <v>0</v>
      </c>
      <c r="F4148" s="11">
        <v>0</v>
      </c>
    </row>
    <row r="4149" spans="1:6" x14ac:dyDescent="0.35">
      <c r="A4149" t="s">
        <v>2856</v>
      </c>
      <c r="B4149" t="s">
        <v>2865</v>
      </c>
      <c r="C4149" t="s">
        <v>1554</v>
      </c>
      <c r="D4149" t="s">
        <v>2894</v>
      </c>
      <c r="E4149">
        <v>0</v>
      </c>
      <c r="F4149" s="11">
        <v>0</v>
      </c>
    </row>
    <row r="4150" spans="1:6" x14ac:dyDescent="0.35">
      <c r="A4150" t="s">
        <v>2856</v>
      </c>
      <c r="B4150" t="s">
        <v>2865</v>
      </c>
      <c r="C4150" t="s">
        <v>1554</v>
      </c>
      <c r="D4150" t="s">
        <v>2895</v>
      </c>
      <c r="E4150">
        <v>437964</v>
      </c>
      <c r="F4150" s="11">
        <v>0</v>
      </c>
    </row>
    <row r="4151" spans="1:6" x14ac:dyDescent="0.35">
      <c r="A4151" t="s">
        <v>2856</v>
      </c>
      <c r="B4151" t="s">
        <v>2865</v>
      </c>
      <c r="C4151" t="s">
        <v>1554</v>
      </c>
      <c r="D4151" t="s">
        <v>2896</v>
      </c>
      <c r="E4151">
        <v>174885</v>
      </c>
      <c r="F4151" s="11">
        <v>0</v>
      </c>
    </row>
    <row r="4152" spans="1:6" x14ac:dyDescent="0.35">
      <c r="A4152" t="s">
        <v>2856</v>
      </c>
      <c r="B4152" t="s">
        <v>2865</v>
      </c>
      <c r="C4152" t="s">
        <v>1554</v>
      </c>
      <c r="D4152" t="s">
        <v>2897</v>
      </c>
      <c r="E4152">
        <v>252212</v>
      </c>
      <c r="F4152" s="11">
        <v>0</v>
      </c>
    </row>
    <row r="4153" spans="1:6" x14ac:dyDescent="0.35">
      <c r="A4153" t="s">
        <v>2856</v>
      </c>
      <c r="B4153" t="s">
        <v>2865</v>
      </c>
      <c r="C4153" t="s">
        <v>1554</v>
      </c>
      <c r="D4153" t="s">
        <v>2898</v>
      </c>
      <c r="E4153">
        <v>11322</v>
      </c>
      <c r="F4153" s="11">
        <v>0</v>
      </c>
    </row>
    <row r="4154" spans="1:6" x14ac:dyDescent="0.35">
      <c r="A4154" t="s">
        <v>2856</v>
      </c>
      <c r="B4154" t="s">
        <v>2865</v>
      </c>
      <c r="C4154" t="s">
        <v>1554</v>
      </c>
      <c r="D4154" t="s">
        <v>2899</v>
      </c>
      <c r="E4154">
        <v>3104</v>
      </c>
      <c r="F4154" s="11">
        <v>0</v>
      </c>
    </row>
    <row r="4155" spans="1:6" x14ac:dyDescent="0.35">
      <c r="A4155" t="s">
        <v>2856</v>
      </c>
      <c r="B4155" t="s">
        <v>2865</v>
      </c>
      <c r="C4155" t="s">
        <v>1554</v>
      </c>
      <c r="D4155" t="s">
        <v>2900</v>
      </c>
      <c r="E4155">
        <v>2732</v>
      </c>
      <c r="F4155" s="11">
        <v>0</v>
      </c>
    </row>
    <row r="4156" spans="1:6" x14ac:dyDescent="0.35">
      <c r="A4156" t="s">
        <v>2856</v>
      </c>
      <c r="B4156" t="s">
        <v>2865</v>
      </c>
      <c r="C4156" t="s">
        <v>1554</v>
      </c>
      <c r="D4156" t="s">
        <v>2901</v>
      </c>
      <c r="E4156">
        <v>372</v>
      </c>
      <c r="F4156" s="11">
        <v>0</v>
      </c>
    </row>
    <row r="4157" spans="1:6" x14ac:dyDescent="0.35">
      <c r="A4157" t="s">
        <v>2856</v>
      </c>
      <c r="B4157" t="s">
        <v>2865</v>
      </c>
      <c r="C4157" t="s">
        <v>1554</v>
      </c>
      <c r="D4157" t="s">
        <v>2902</v>
      </c>
      <c r="E4157">
        <v>0</v>
      </c>
      <c r="F4157" s="11">
        <v>0</v>
      </c>
    </row>
    <row r="4158" spans="1:6" x14ac:dyDescent="0.35">
      <c r="A4158" t="s">
        <v>2856</v>
      </c>
      <c r="B4158" t="s">
        <v>2865</v>
      </c>
      <c r="C4158" t="s">
        <v>1554</v>
      </c>
      <c r="D4158" t="s">
        <v>2903</v>
      </c>
      <c r="E4158">
        <v>47035</v>
      </c>
      <c r="F4158" s="11">
        <v>0</v>
      </c>
    </row>
    <row r="4159" spans="1:6" x14ac:dyDescent="0.35">
      <c r="A4159" t="s">
        <v>2856</v>
      </c>
      <c r="B4159" t="s">
        <v>2865</v>
      </c>
      <c r="C4159" t="s">
        <v>1554</v>
      </c>
      <c r="D4159" t="s">
        <v>2904</v>
      </c>
      <c r="E4159">
        <v>36852</v>
      </c>
      <c r="F4159" s="11">
        <v>0</v>
      </c>
    </row>
    <row r="4160" spans="1:6" x14ac:dyDescent="0.35">
      <c r="A4160" t="s">
        <v>2856</v>
      </c>
      <c r="B4160" t="s">
        <v>2865</v>
      </c>
      <c r="C4160" t="s">
        <v>1554</v>
      </c>
      <c r="D4160" t="s">
        <v>2905</v>
      </c>
      <c r="E4160">
        <v>7183</v>
      </c>
      <c r="F4160" s="11">
        <v>0</v>
      </c>
    </row>
    <row r="4161" spans="1:6" x14ac:dyDescent="0.35">
      <c r="A4161" t="s">
        <v>2856</v>
      </c>
      <c r="B4161" t="s">
        <v>2865</v>
      </c>
      <c r="C4161" t="s">
        <v>1554</v>
      </c>
      <c r="D4161" t="s">
        <v>2906</v>
      </c>
      <c r="E4161">
        <v>3000</v>
      </c>
      <c r="F4161" s="11">
        <v>0</v>
      </c>
    </row>
    <row r="4162" spans="1:6" x14ac:dyDescent="0.35">
      <c r="A4162" t="s">
        <v>2856</v>
      </c>
      <c r="B4162" t="s">
        <v>2865</v>
      </c>
      <c r="C4162" t="s">
        <v>1554</v>
      </c>
      <c r="D4162" t="s">
        <v>2907</v>
      </c>
      <c r="E4162">
        <v>75101</v>
      </c>
      <c r="F4162" s="11">
        <v>0</v>
      </c>
    </row>
    <row r="4163" spans="1:6" x14ac:dyDescent="0.35">
      <c r="A4163" t="s">
        <v>2856</v>
      </c>
      <c r="B4163" t="s">
        <v>2865</v>
      </c>
      <c r="C4163" t="s">
        <v>1554</v>
      </c>
      <c r="D4163" t="s">
        <v>2908</v>
      </c>
      <c r="E4163">
        <v>55891</v>
      </c>
      <c r="F4163" s="11">
        <v>0</v>
      </c>
    </row>
    <row r="4164" spans="1:6" x14ac:dyDescent="0.35">
      <c r="A4164" t="s">
        <v>2856</v>
      </c>
      <c r="B4164" t="s">
        <v>2865</v>
      </c>
      <c r="C4164" t="s">
        <v>1554</v>
      </c>
      <c r="D4164" t="s">
        <v>2909</v>
      </c>
      <c r="E4164">
        <v>15549</v>
      </c>
      <c r="F4164" s="11">
        <v>0</v>
      </c>
    </row>
    <row r="4165" spans="1:6" x14ac:dyDescent="0.35">
      <c r="A4165" t="s">
        <v>2856</v>
      </c>
      <c r="B4165" t="s">
        <v>2865</v>
      </c>
      <c r="C4165" t="s">
        <v>1554</v>
      </c>
      <c r="D4165" t="s">
        <v>2910</v>
      </c>
      <c r="E4165">
        <v>3361</v>
      </c>
      <c r="F4165" s="11">
        <v>0</v>
      </c>
    </row>
    <row r="4166" spans="1:6" x14ac:dyDescent="0.35">
      <c r="A4166" t="s">
        <v>2856</v>
      </c>
      <c r="B4166" t="s">
        <v>2865</v>
      </c>
      <c r="C4166" t="s">
        <v>1554</v>
      </c>
      <c r="D4166" t="s">
        <v>2911</v>
      </c>
      <c r="E4166">
        <v>572255</v>
      </c>
      <c r="F4166" s="11">
        <v>0</v>
      </c>
    </row>
    <row r="4167" spans="1:6" x14ac:dyDescent="0.35">
      <c r="A4167" t="s">
        <v>2856</v>
      </c>
      <c r="B4167" t="s">
        <v>2865</v>
      </c>
      <c r="C4167" t="s">
        <v>1554</v>
      </c>
      <c r="D4167" t="s">
        <v>2912</v>
      </c>
      <c r="E4167">
        <v>0</v>
      </c>
      <c r="F4167" s="11">
        <v>0</v>
      </c>
    </row>
    <row r="4168" spans="1:6" x14ac:dyDescent="0.35">
      <c r="A4168" t="s">
        <v>2856</v>
      </c>
      <c r="B4168" t="s">
        <v>2865</v>
      </c>
      <c r="C4168" t="s">
        <v>1554</v>
      </c>
      <c r="D4168" t="s">
        <v>2913</v>
      </c>
      <c r="E4168">
        <v>78831</v>
      </c>
      <c r="F4168" s="11">
        <v>0</v>
      </c>
    </row>
    <row r="4169" spans="1:6" x14ac:dyDescent="0.35">
      <c r="A4169" t="s">
        <v>2856</v>
      </c>
      <c r="B4169" t="s">
        <v>2865</v>
      </c>
      <c r="C4169" t="s">
        <v>1554</v>
      </c>
      <c r="D4169" t="s">
        <v>2914</v>
      </c>
      <c r="E4169">
        <v>0</v>
      </c>
      <c r="F4169" s="11">
        <v>0</v>
      </c>
    </row>
    <row r="4170" spans="1:6" x14ac:dyDescent="0.35">
      <c r="A4170" t="s">
        <v>2856</v>
      </c>
      <c r="B4170" t="s">
        <v>2865</v>
      </c>
      <c r="C4170" t="s">
        <v>1554</v>
      </c>
      <c r="D4170" t="s">
        <v>2915</v>
      </c>
      <c r="E4170">
        <v>1174</v>
      </c>
      <c r="F4170" s="11">
        <v>0</v>
      </c>
    </row>
    <row r="4171" spans="1:6" x14ac:dyDescent="0.35">
      <c r="A4171" t="s">
        <v>2856</v>
      </c>
      <c r="B4171" t="s">
        <v>2865</v>
      </c>
      <c r="C4171" t="s">
        <v>1554</v>
      </c>
      <c r="D4171" t="s">
        <v>2916</v>
      </c>
      <c r="E4171">
        <v>21590</v>
      </c>
      <c r="F4171" s="11">
        <v>0</v>
      </c>
    </row>
    <row r="4172" spans="1:6" x14ac:dyDescent="0.35">
      <c r="A4172" t="s">
        <v>2856</v>
      </c>
      <c r="B4172" t="s">
        <v>2865</v>
      </c>
      <c r="C4172" t="s">
        <v>1554</v>
      </c>
      <c r="D4172" t="s">
        <v>2917</v>
      </c>
      <c r="E4172">
        <v>0</v>
      </c>
      <c r="F4172" s="11">
        <v>0</v>
      </c>
    </row>
    <row r="4173" spans="1:6" x14ac:dyDescent="0.35">
      <c r="A4173" t="s">
        <v>2856</v>
      </c>
      <c r="B4173" t="s">
        <v>2865</v>
      </c>
      <c r="C4173" t="s">
        <v>1490</v>
      </c>
      <c r="D4173" t="s">
        <v>2875</v>
      </c>
      <c r="E4173">
        <v>29972</v>
      </c>
      <c r="F4173" s="11">
        <v>1</v>
      </c>
    </row>
    <row r="4174" spans="1:6" x14ac:dyDescent="0.35">
      <c r="A4174" t="s">
        <v>2856</v>
      </c>
      <c r="B4174" t="s">
        <v>2865</v>
      </c>
      <c r="C4174" t="s">
        <v>1490</v>
      </c>
      <c r="D4174" t="s">
        <v>2876</v>
      </c>
      <c r="E4174">
        <v>7074</v>
      </c>
      <c r="F4174" s="11">
        <v>1</v>
      </c>
    </row>
    <row r="4175" spans="1:6" x14ac:dyDescent="0.35">
      <c r="A4175" t="s">
        <v>2856</v>
      </c>
      <c r="B4175" t="s">
        <v>2865</v>
      </c>
      <c r="C4175" t="s">
        <v>1490</v>
      </c>
      <c r="D4175" t="s">
        <v>2877</v>
      </c>
      <c r="E4175">
        <v>20787</v>
      </c>
      <c r="F4175" s="11">
        <v>1</v>
      </c>
    </row>
    <row r="4176" spans="1:6" x14ac:dyDescent="0.35">
      <c r="A4176" t="s">
        <v>2856</v>
      </c>
      <c r="B4176" t="s">
        <v>2865</v>
      </c>
      <c r="C4176" t="s">
        <v>1490</v>
      </c>
      <c r="D4176" t="s">
        <v>2878</v>
      </c>
      <c r="E4176">
        <v>2111</v>
      </c>
      <c r="F4176" s="11">
        <v>1</v>
      </c>
    </row>
    <row r="4177" spans="1:6" x14ac:dyDescent="0.35">
      <c r="A4177" t="s">
        <v>2856</v>
      </c>
      <c r="B4177" t="s">
        <v>2865</v>
      </c>
      <c r="C4177" t="s">
        <v>1490</v>
      </c>
      <c r="D4177" t="s">
        <v>2879</v>
      </c>
      <c r="E4177">
        <v>8541</v>
      </c>
      <c r="F4177" s="11">
        <v>1</v>
      </c>
    </row>
    <row r="4178" spans="1:6" x14ac:dyDescent="0.35">
      <c r="A4178" t="s">
        <v>2856</v>
      </c>
      <c r="B4178" t="s">
        <v>2865</v>
      </c>
      <c r="C4178" t="s">
        <v>1490</v>
      </c>
      <c r="D4178" t="s">
        <v>2880</v>
      </c>
      <c r="E4178">
        <v>5360</v>
      </c>
      <c r="F4178" s="11">
        <v>1</v>
      </c>
    </row>
    <row r="4179" spans="1:6" x14ac:dyDescent="0.35">
      <c r="A4179" t="s">
        <v>2856</v>
      </c>
      <c r="B4179" t="s">
        <v>2865</v>
      </c>
      <c r="C4179" t="s">
        <v>1490</v>
      </c>
      <c r="D4179" t="s">
        <v>2881</v>
      </c>
      <c r="E4179">
        <v>3161</v>
      </c>
      <c r="F4179" s="11">
        <v>1</v>
      </c>
    </row>
    <row r="4180" spans="1:6" x14ac:dyDescent="0.35">
      <c r="A4180" t="s">
        <v>2856</v>
      </c>
      <c r="B4180" t="s">
        <v>2865</v>
      </c>
      <c r="C4180" t="s">
        <v>1490</v>
      </c>
      <c r="D4180" t="s">
        <v>2882</v>
      </c>
      <c r="E4180">
        <v>20</v>
      </c>
      <c r="F4180" s="11">
        <v>1</v>
      </c>
    </row>
    <row r="4181" spans="1:6" x14ac:dyDescent="0.35">
      <c r="A4181" t="s">
        <v>2856</v>
      </c>
      <c r="B4181" t="s">
        <v>2865</v>
      </c>
      <c r="C4181" t="s">
        <v>1490</v>
      </c>
      <c r="D4181" t="s">
        <v>2883</v>
      </c>
      <c r="E4181">
        <v>0</v>
      </c>
      <c r="F4181" s="11">
        <v>0</v>
      </c>
    </row>
    <row r="4182" spans="1:6" x14ac:dyDescent="0.35">
      <c r="A4182" t="s">
        <v>2856</v>
      </c>
      <c r="B4182" t="s">
        <v>2865</v>
      </c>
      <c r="C4182" t="s">
        <v>1490</v>
      </c>
      <c r="D4182" t="s">
        <v>2884</v>
      </c>
      <c r="E4182">
        <v>0</v>
      </c>
      <c r="F4182" s="11">
        <v>0</v>
      </c>
    </row>
    <row r="4183" spans="1:6" x14ac:dyDescent="0.35">
      <c r="A4183" t="s">
        <v>2856</v>
      </c>
      <c r="B4183" t="s">
        <v>2865</v>
      </c>
      <c r="C4183" t="s">
        <v>1490</v>
      </c>
      <c r="D4183" t="s">
        <v>2885</v>
      </c>
      <c r="E4183">
        <v>0</v>
      </c>
      <c r="F4183" s="11">
        <v>0</v>
      </c>
    </row>
    <row r="4184" spans="1:6" x14ac:dyDescent="0.35">
      <c r="A4184" t="s">
        <v>2856</v>
      </c>
      <c r="B4184" t="s">
        <v>2865</v>
      </c>
      <c r="C4184" t="s">
        <v>1490</v>
      </c>
      <c r="D4184" t="s">
        <v>2886</v>
      </c>
      <c r="E4184">
        <v>0</v>
      </c>
      <c r="F4184" s="11">
        <v>0</v>
      </c>
    </row>
    <row r="4185" spans="1:6" x14ac:dyDescent="0.35">
      <c r="A4185" t="s">
        <v>2856</v>
      </c>
      <c r="B4185" t="s">
        <v>2865</v>
      </c>
      <c r="C4185" t="s">
        <v>1490</v>
      </c>
      <c r="D4185" t="s">
        <v>2887</v>
      </c>
      <c r="E4185">
        <v>109020</v>
      </c>
      <c r="F4185" s="11">
        <v>1</v>
      </c>
    </row>
    <row r="4186" spans="1:6" x14ac:dyDescent="0.35">
      <c r="A4186" t="s">
        <v>2856</v>
      </c>
      <c r="B4186" t="s">
        <v>2865</v>
      </c>
      <c r="C4186" t="s">
        <v>1490</v>
      </c>
      <c r="D4186" t="s">
        <v>2888</v>
      </c>
      <c r="E4186">
        <v>69051</v>
      </c>
      <c r="F4186" s="11">
        <v>1</v>
      </c>
    </row>
    <row r="4187" spans="1:6" x14ac:dyDescent="0.35">
      <c r="A4187" t="s">
        <v>2856</v>
      </c>
      <c r="B4187" t="s">
        <v>2865</v>
      </c>
      <c r="C4187" t="s">
        <v>1490</v>
      </c>
      <c r="D4187" t="s">
        <v>2889</v>
      </c>
      <c r="E4187">
        <v>39969</v>
      </c>
      <c r="F4187" s="11">
        <v>1</v>
      </c>
    </row>
    <row r="4188" spans="1:6" x14ac:dyDescent="0.35">
      <c r="A4188" t="s">
        <v>2856</v>
      </c>
      <c r="B4188" t="s">
        <v>2865</v>
      </c>
      <c r="C4188" t="s">
        <v>1490</v>
      </c>
      <c r="D4188" t="s">
        <v>2890</v>
      </c>
      <c r="E4188">
        <v>0</v>
      </c>
      <c r="F4188" s="11">
        <v>1</v>
      </c>
    </row>
    <row r="4189" spans="1:6" x14ac:dyDescent="0.35">
      <c r="A4189" t="s">
        <v>2856</v>
      </c>
      <c r="B4189" t="s">
        <v>2865</v>
      </c>
      <c r="C4189" t="s">
        <v>1490</v>
      </c>
      <c r="D4189" t="s">
        <v>2891</v>
      </c>
      <c r="E4189">
        <v>0</v>
      </c>
      <c r="F4189" s="11">
        <v>0</v>
      </c>
    </row>
    <row r="4190" spans="1:6" x14ac:dyDescent="0.35">
      <c r="A4190" t="s">
        <v>2856</v>
      </c>
      <c r="B4190" t="s">
        <v>2865</v>
      </c>
      <c r="C4190" t="s">
        <v>1490</v>
      </c>
      <c r="D4190" t="s">
        <v>2892</v>
      </c>
      <c r="E4190">
        <v>0</v>
      </c>
      <c r="F4190" s="11">
        <v>0</v>
      </c>
    </row>
    <row r="4191" spans="1:6" x14ac:dyDescent="0.35">
      <c r="A4191" t="s">
        <v>2856</v>
      </c>
      <c r="B4191" t="s">
        <v>2865</v>
      </c>
      <c r="C4191" t="s">
        <v>1490</v>
      </c>
      <c r="D4191" t="s">
        <v>2893</v>
      </c>
      <c r="E4191">
        <v>0</v>
      </c>
      <c r="F4191" s="11">
        <v>0</v>
      </c>
    </row>
    <row r="4192" spans="1:6" x14ac:dyDescent="0.35">
      <c r="A4192" t="s">
        <v>2856</v>
      </c>
      <c r="B4192" t="s">
        <v>2865</v>
      </c>
      <c r="C4192" t="s">
        <v>1490</v>
      </c>
      <c r="D4192" t="s">
        <v>2894</v>
      </c>
      <c r="E4192">
        <v>0</v>
      </c>
      <c r="F4192" s="11">
        <v>0</v>
      </c>
    </row>
    <row r="4193" spans="1:6" x14ac:dyDescent="0.35">
      <c r="A4193" t="s">
        <v>2856</v>
      </c>
      <c r="B4193" t="s">
        <v>2865</v>
      </c>
      <c r="C4193" t="s">
        <v>1490</v>
      </c>
      <c r="D4193" t="s">
        <v>2895</v>
      </c>
      <c r="E4193">
        <v>529096</v>
      </c>
      <c r="F4193" s="11">
        <v>1</v>
      </c>
    </row>
    <row r="4194" spans="1:6" x14ac:dyDescent="0.35">
      <c r="A4194" t="s">
        <v>2856</v>
      </c>
      <c r="B4194" t="s">
        <v>2865</v>
      </c>
      <c r="C4194" t="s">
        <v>1490</v>
      </c>
      <c r="D4194" t="s">
        <v>2896</v>
      </c>
      <c r="E4194">
        <v>271344</v>
      </c>
      <c r="F4194" s="11">
        <v>1</v>
      </c>
    </row>
    <row r="4195" spans="1:6" x14ac:dyDescent="0.35">
      <c r="A4195" t="s">
        <v>2856</v>
      </c>
      <c r="B4195" t="s">
        <v>2865</v>
      </c>
      <c r="C4195" t="s">
        <v>1490</v>
      </c>
      <c r="D4195" t="s">
        <v>2897</v>
      </c>
      <c r="E4195">
        <v>245744</v>
      </c>
      <c r="F4195" s="11">
        <v>1</v>
      </c>
    </row>
    <row r="4196" spans="1:6" x14ac:dyDescent="0.35">
      <c r="A4196" t="s">
        <v>2856</v>
      </c>
      <c r="B4196" t="s">
        <v>2865</v>
      </c>
      <c r="C4196" t="s">
        <v>1490</v>
      </c>
      <c r="D4196" t="s">
        <v>2898</v>
      </c>
      <c r="E4196">
        <v>12008</v>
      </c>
      <c r="F4196" s="11">
        <v>1</v>
      </c>
    </row>
    <row r="4197" spans="1:6" x14ac:dyDescent="0.35">
      <c r="A4197" t="s">
        <v>2856</v>
      </c>
      <c r="B4197" t="s">
        <v>2865</v>
      </c>
      <c r="C4197" t="s">
        <v>1490</v>
      </c>
      <c r="D4197" t="s">
        <v>2899</v>
      </c>
      <c r="E4197">
        <v>9805</v>
      </c>
      <c r="F4197" s="11">
        <v>1</v>
      </c>
    </row>
    <row r="4198" spans="1:6" x14ac:dyDescent="0.35">
      <c r="A4198" t="s">
        <v>2856</v>
      </c>
      <c r="B4198" t="s">
        <v>2865</v>
      </c>
      <c r="C4198" t="s">
        <v>1490</v>
      </c>
      <c r="D4198" t="s">
        <v>2900</v>
      </c>
      <c r="E4198">
        <v>8892</v>
      </c>
      <c r="F4198" s="11">
        <v>1</v>
      </c>
    </row>
    <row r="4199" spans="1:6" x14ac:dyDescent="0.35">
      <c r="A4199" t="s">
        <v>2856</v>
      </c>
      <c r="B4199" t="s">
        <v>2865</v>
      </c>
      <c r="C4199" t="s">
        <v>1490</v>
      </c>
      <c r="D4199" t="s">
        <v>2901</v>
      </c>
      <c r="E4199">
        <v>872</v>
      </c>
      <c r="F4199" s="11">
        <v>1</v>
      </c>
    </row>
    <row r="4200" spans="1:6" x14ac:dyDescent="0.35">
      <c r="A4200" t="s">
        <v>2856</v>
      </c>
      <c r="B4200" t="s">
        <v>2865</v>
      </c>
      <c r="C4200" t="s">
        <v>1490</v>
      </c>
      <c r="D4200" t="s">
        <v>2902</v>
      </c>
      <c r="E4200">
        <v>41</v>
      </c>
      <c r="F4200" s="11">
        <v>1</v>
      </c>
    </row>
    <row r="4201" spans="1:6" x14ac:dyDescent="0.35">
      <c r="A4201" t="s">
        <v>2856</v>
      </c>
      <c r="B4201" t="s">
        <v>2865</v>
      </c>
      <c r="C4201" t="s">
        <v>1490</v>
      </c>
      <c r="D4201" t="s">
        <v>2903</v>
      </c>
      <c r="E4201">
        <v>12971</v>
      </c>
      <c r="F4201" s="11">
        <v>1</v>
      </c>
    </row>
    <row r="4202" spans="1:6" x14ac:dyDescent="0.35">
      <c r="A4202" t="s">
        <v>2856</v>
      </c>
      <c r="B4202" t="s">
        <v>2865</v>
      </c>
      <c r="C4202" t="s">
        <v>1490</v>
      </c>
      <c r="D4202" t="s">
        <v>2904</v>
      </c>
      <c r="E4202">
        <v>11448</v>
      </c>
      <c r="F4202" s="11">
        <v>1</v>
      </c>
    </row>
    <row r="4203" spans="1:6" x14ac:dyDescent="0.35">
      <c r="A4203" t="s">
        <v>2856</v>
      </c>
      <c r="B4203" t="s">
        <v>2865</v>
      </c>
      <c r="C4203" t="s">
        <v>1490</v>
      </c>
      <c r="D4203" t="s">
        <v>2905</v>
      </c>
      <c r="E4203">
        <v>886</v>
      </c>
      <c r="F4203" s="11">
        <v>1</v>
      </c>
    </row>
    <row r="4204" spans="1:6" x14ac:dyDescent="0.35">
      <c r="A4204" t="s">
        <v>2856</v>
      </c>
      <c r="B4204" t="s">
        <v>2865</v>
      </c>
      <c r="C4204" t="s">
        <v>1490</v>
      </c>
      <c r="D4204" t="s">
        <v>2906</v>
      </c>
      <c r="E4204">
        <v>637</v>
      </c>
      <c r="F4204" s="11">
        <v>1</v>
      </c>
    </row>
    <row r="4205" spans="1:6" x14ac:dyDescent="0.35">
      <c r="A4205" t="s">
        <v>2856</v>
      </c>
      <c r="B4205" t="s">
        <v>2865</v>
      </c>
      <c r="C4205" t="s">
        <v>1490</v>
      </c>
      <c r="D4205" t="s">
        <v>2907</v>
      </c>
      <c r="E4205">
        <v>28017</v>
      </c>
      <c r="F4205" s="11">
        <v>1</v>
      </c>
    </row>
    <row r="4206" spans="1:6" x14ac:dyDescent="0.35">
      <c r="A4206" t="s">
        <v>2856</v>
      </c>
      <c r="B4206" t="s">
        <v>2865</v>
      </c>
      <c r="C4206" t="s">
        <v>1490</v>
      </c>
      <c r="D4206" t="s">
        <v>2908</v>
      </c>
      <c r="E4206">
        <v>24234</v>
      </c>
      <c r="F4206" s="11">
        <v>1</v>
      </c>
    </row>
    <row r="4207" spans="1:6" x14ac:dyDescent="0.35">
      <c r="A4207" t="s">
        <v>2856</v>
      </c>
      <c r="B4207" t="s">
        <v>2865</v>
      </c>
      <c r="C4207" t="s">
        <v>1490</v>
      </c>
      <c r="D4207" t="s">
        <v>2909</v>
      </c>
      <c r="E4207">
        <v>2896</v>
      </c>
      <c r="F4207" s="11">
        <v>1</v>
      </c>
    </row>
    <row r="4208" spans="1:6" x14ac:dyDescent="0.35">
      <c r="A4208" t="s">
        <v>2856</v>
      </c>
      <c r="B4208" t="s">
        <v>2865</v>
      </c>
      <c r="C4208" t="s">
        <v>1490</v>
      </c>
      <c r="D4208" t="s">
        <v>2910</v>
      </c>
      <c r="E4208">
        <v>887</v>
      </c>
      <c r="F4208" s="11">
        <v>1</v>
      </c>
    </row>
    <row r="4209" spans="1:6" x14ac:dyDescent="0.35">
      <c r="A4209" t="s">
        <v>2856</v>
      </c>
      <c r="B4209" t="s">
        <v>2865</v>
      </c>
      <c r="C4209" t="s">
        <v>1490</v>
      </c>
      <c r="D4209" t="s">
        <v>2911</v>
      </c>
      <c r="E4209">
        <v>795955</v>
      </c>
      <c r="F4209" s="11">
        <v>1</v>
      </c>
    </row>
    <row r="4210" spans="1:6" x14ac:dyDescent="0.35">
      <c r="A4210" t="s">
        <v>2856</v>
      </c>
      <c r="B4210" t="s">
        <v>2865</v>
      </c>
      <c r="C4210" t="s">
        <v>1490</v>
      </c>
      <c r="D4210" t="s">
        <v>2912</v>
      </c>
      <c r="E4210">
        <v>0</v>
      </c>
      <c r="F4210" s="11">
        <v>0</v>
      </c>
    </row>
    <row r="4211" spans="1:6" x14ac:dyDescent="0.35">
      <c r="A4211" t="s">
        <v>2856</v>
      </c>
      <c r="B4211" t="s">
        <v>2865</v>
      </c>
      <c r="C4211" t="s">
        <v>1490</v>
      </c>
      <c r="D4211" t="s">
        <v>2913</v>
      </c>
      <c r="E4211">
        <v>0</v>
      </c>
      <c r="F4211" s="11">
        <v>0</v>
      </c>
    </row>
    <row r="4212" spans="1:6" x14ac:dyDescent="0.35">
      <c r="A4212" t="s">
        <v>2856</v>
      </c>
      <c r="B4212" t="s">
        <v>2865</v>
      </c>
      <c r="C4212" t="s">
        <v>1490</v>
      </c>
      <c r="D4212" t="s">
        <v>2914</v>
      </c>
      <c r="E4212">
        <v>647</v>
      </c>
      <c r="F4212" s="11">
        <v>0</v>
      </c>
    </row>
    <row r="4213" spans="1:6" x14ac:dyDescent="0.35">
      <c r="A4213" t="s">
        <v>2856</v>
      </c>
      <c r="B4213" t="s">
        <v>2865</v>
      </c>
      <c r="C4213" t="s">
        <v>1490</v>
      </c>
      <c r="D4213" t="s">
        <v>2915</v>
      </c>
      <c r="E4213">
        <v>1922</v>
      </c>
      <c r="F4213" s="11">
        <v>1</v>
      </c>
    </row>
    <row r="4214" spans="1:6" x14ac:dyDescent="0.35">
      <c r="A4214" t="s">
        <v>2856</v>
      </c>
      <c r="B4214" t="s">
        <v>2865</v>
      </c>
      <c r="C4214" t="s">
        <v>1490</v>
      </c>
      <c r="D4214" t="s">
        <v>2916</v>
      </c>
      <c r="E4214">
        <v>68596</v>
      </c>
      <c r="F4214" s="11">
        <v>1</v>
      </c>
    </row>
    <row r="4215" spans="1:6" x14ac:dyDescent="0.35">
      <c r="A4215" t="s">
        <v>2856</v>
      </c>
      <c r="B4215" t="s">
        <v>2865</v>
      </c>
      <c r="C4215" t="s">
        <v>1490</v>
      </c>
      <c r="D4215" t="s">
        <v>2917</v>
      </c>
      <c r="E4215">
        <v>32722</v>
      </c>
      <c r="F4215" s="11">
        <v>0</v>
      </c>
    </row>
    <row r="4216" spans="1:6" x14ac:dyDescent="0.35">
      <c r="A4216" t="s">
        <v>2856</v>
      </c>
      <c r="B4216" t="s">
        <v>2863</v>
      </c>
      <c r="C4216" t="s">
        <v>2741</v>
      </c>
      <c r="D4216" t="s">
        <v>2875</v>
      </c>
      <c r="E4216">
        <v>18334</v>
      </c>
      <c r="F4216" s="11">
        <v>0</v>
      </c>
    </row>
    <row r="4217" spans="1:6" x14ac:dyDescent="0.35">
      <c r="A4217" t="s">
        <v>2856</v>
      </c>
      <c r="B4217" t="s">
        <v>2863</v>
      </c>
      <c r="C4217" t="s">
        <v>2741</v>
      </c>
      <c r="D4217" t="s">
        <v>2876</v>
      </c>
      <c r="E4217">
        <v>8461</v>
      </c>
      <c r="F4217" s="11">
        <v>0</v>
      </c>
    </row>
    <row r="4218" spans="1:6" x14ac:dyDescent="0.35">
      <c r="A4218" t="s">
        <v>2856</v>
      </c>
      <c r="B4218" t="s">
        <v>2863</v>
      </c>
      <c r="C4218" t="s">
        <v>2741</v>
      </c>
      <c r="D4218" t="s">
        <v>2877</v>
      </c>
      <c r="E4218">
        <v>8441</v>
      </c>
      <c r="F4218" s="11">
        <v>0</v>
      </c>
    </row>
    <row r="4219" spans="1:6" x14ac:dyDescent="0.35">
      <c r="A4219" t="s">
        <v>2856</v>
      </c>
      <c r="B4219" t="s">
        <v>2863</v>
      </c>
      <c r="C4219" t="s">
        <v>2741</v>
      </c>
      <c r="D4219" t="s">
        <v>2878</v>
      </c>
      <c r="E4219">
        <v>1432</v>
      </c>
      <c r="F4219" s="11">
        <v>0</v>
      </c>
    </row>
    <row r="4220" spans="1:6" x14ac:dyDescent="0.35">
      <c r="A4220" t="s">
        <v>2856</v>
      </c>
      <c r="B4220" t="s">
        <v>2863</v>
      </c>
      <c r="C4220" t="s">
        <v>2741</v>
      </c>
      <c r="D4220" t="s">
        <v>2879</v>
      </c>
      <c r="E4220">
        <v>2340</v>
      </c>
      <c r="F4220" s="11">
        <v>0</v>
      </c>
    </row>
    <row r="4221" spans="1:6" x14ac:dyDescent="0.35">
      <c r="A4221" t="s">
        <v>2856</v>
      </c>
      <c r="B4221" t="s">
        <v>2863</v>
      </c>
      <c r="C4221" t="s">
        <v>2741</v>
      </c>
      <c r="D4221" t="s">
        <v>2880</v>
      </c>
      <c r="E4221">
        <v>914</v>
      </c>
      <c r="F4221" s="11">
        <v>0</v>
      </c>
    </row>
    <row r="4222" spans="1:6" x14ac:dyDescent="0.35">
      <c r="A4222" t="s">
        <v>2856</v>
      </c>
      <c r="B4222" t="s">
        <v>2863</v>
      </c>
      <c r="C4222" t="s">
        <v>2741</v>
      </c>
      <c r="D4222" t="s">
        <v>2881</v>
      </c>
      <c r="E4222">
        <v>1043</v>
      </c>
      <c r="F4222" s="11">
        <v>0</v>
      </c>
    </row>
    <row r="4223" spans="1:6" x14ac:dyDescent="0.35">
      <c r="A4223" t="s">
        <v>2856</v>
      </c>
      <c r="B4223" t="s">
        <v>2863</v>
      </c>
      <c r="C4223" t="s">
        <v>2741</v>
      </c>
      <c r="D4223" t="s">
        <v>2882</v>
      </c>
      <c r="E4223">
        <v>13</v>
      </c>
      <c r="F4223" s="11">
        <v>0</v>
      </c>
    </row>
    <row r="4224" spans="1:6" x14ac:dyDescent="0.35">
      <c r="A4224" t="s">
        <v>2856</v>
      </c>
      <c r="B4224" t="s">
        <v>2863</v>
      </c>
      <c r="C4224" t="s">
        <v>2741</v>
      </c>
      <c r="D4224" t="s">
        <v>2883</v>
      </c>
      <c r="E4224">
        <v>123</v>
      </c>
      <c r="F4224" s="11">
        <v>0</v>
      </c>
    </row>
    <row r="4225" spans="1:6" x14ac:dyDescent="0.35">
      <c r="A4225" t="s">
        <v>2856</v>
      </c>
      <c r="B4225" t="s">
        <v>2863</v>
      </c>
      <c r="C4225" t="s">
        <v>2741</v>
      </c>
      <c r="D4225" t="s">
        <v>2884</v>
      </c>
      <c r="E4225">
        <v>123</v>
      </c>
      <c r="F4225" s="11">
        <v>0</v>
      </c>
    </row>
    <row r="4226" spans="1:6" x14ac:dyDescent="0.35">
      <c r="A4226" t="s">
        <v>2856</v>
      </c>
      <c r="B4226" t="s">
        <v>2863</v>
      </c>
      <c r="C4226" t="s">
        <v>2741</v>
      </c>
      <c r="D4226" t="s">
        <v>2885</v>
      </c>
      <c r="E4226">
        <v>0</v>
      </c>
      <c r="F4226" s="11">
        <v>0</v>
      </c>
    </row>
    <row r="4227" spans="1:6" x14ac:dyDescent="0.35">
      <c r="A4227" t="s">
        <v>2856</v>
      </c>
      <c r="B4227" t="s">
        <v>2863</v>
      </c>
      <c r="C4227" t="s">
        <v>2741</v>
      </c>
      <c r="D4227" t="s">
        <v>2886</v>
      </c>
      <c r="E4227">
        <v>0</v>
      </c>
      <c r="F4227" s="11">
        <v>0</v>
      </c>
    </row>
    <row r="4228" spans="1:6" x14ac:dyDescent="0.35">
      <c r="A4228" t="s">
        <v>2856</v>
      </c>
      <c r="B4228" t="s">
        <v>2863</v>
      </c>
      <c r="C4228" t="s">
        <v>2741</v>
      </c>
      <c r="D4228" t="s">
        <v>2887</v>
      </c>
      <c r="E4228">
        <v>36944</v>
      </c>
      <c r="F4228" s="11">
        <v>0</v>
      </c>
    </row>
    <row r="4229" spans="1:6" x14ac:dyDescent="0.35">
      <c r="A4229" t="s">
        <v>2856</v>
      </c>
      <c r="B4229" t="s">
        <v>2863</v>
      </c>
      <c r="C4229" t="s">
        <v>2741</v>
      </c>
      <c r="D4229" t="s">
        <v>2888</v>
      </c>
      <c r="E4229">
        <v>17520</v>
      </c>
      <c r="F4229" s="11">
        <v>0</v>
      </c>
    </row>
    <row r="4230" spans="1:6" x14ac:dyDescent="0.35">
      <c r="A4230" t="s">
        <v>2856</v>
      </c>
      <c r="B4230" t="s">
        <v>2863</v>
      </c>
      <c r="C4230" t="s">
        <v>2741</v>
      </c>
      <c r="D4230" t="s">
        <v>2889</v>
      </c>
      <c r="E4230">
        <v>18834</v>
      </c>
      <c r="F4230" s="11">
        <v>0</v>
      </c>
    </row>
    <row r="4231" spans="1:6" x14ac:dyDescent="0.35">
      <c r="A4231" t="s">
        <v>2856</v>
      </c>
      <c r="B4231" t="s">
        <v>2863</v>
      </c>
      <c r="C4231" t="s">
        <v>2741</v>
      </c>
      <c r="D4231" t="s">
        <v>2890</v>
      </c>
      <c r="E4231">
        <v>590</v>
      </c>
      <c r="F4231" s="11">
        <v>0</v>
      </c>
    </row>
    <row r="4232" spans="1:6" x14ac:dyDescent="0.35">
      <c r="A4232" t="s">
        <v>2856</v>
      </c>
      <c r="B4232" t="s">
        <v>2863</v>
      </c>
      <c r="C4232" t="s">
        <v>2741</v>
      </c>
      <c r="D4232" t="s">
        <v>2891</v>
      </c>
      <c r="E4232">
        <v>440</v>
      </c>
      <c r="F4232" s="11">
        <v>0</v>
      </c>
    </row>
    <row r="4233" spans="1:6" x14ac:dyDescent="0.35">
      <c r="A4233" t="s">
        <v>2856</v>
      </c>
      <c r="B4233" t="s">
        <v>2863</v>
      </c>
      <c r="C4233" t="s">
        <v>2741</v>
      </c>
      <c r="D4233" t="s">
        <v>2892</v>
      </c>
      <c r="E4233">
        <v>440</v>
      </c>
      <c r="F4233" s="11">
        <v>0</v>
      </c>
    </row>
    <row r="4234" spans="1:6" x14ac:dyDescent="0.35">
      <c r="A4234" t="s">
        <v>2856</v>
      </c>
      <c r="B4234" t="s">
        <v>2863</v>
      </c>
      <c r="C4234" t="s">
        <v>2741</v>
      </c>
      <c r="D4234" t="s">
        <v>2893</v>
      </c>
      <c r="E4234">
        <v>0</v>
      </c>
      <c r="F4234" s="11">
        <v>0</v>
      </c>
    </row>
    <row r="4235" spans="1:6" x14ac:dyDescent="0.35">
      <c r="A4235" t="s">
        <v>2856</v>
      </c>
      <c r="B4235" t="s">
        <v>2863</v>
      </c>
      <c r="C4235" t="s">
        <v>2741</v>
      </c>
      <c r="D4235" t="s">
        <v>2894</v>
      </c>
      <c r="E4235">
        <v>0</v>
      </c>
      <c r="F4235" s="11">
        <v>0</v>
      </c>
    </row>
    <row r="4236" spans="1:6" x14ac:dyDescent="0.35">
      <c r="A4236" t="s">
        <v>2856</v>
      </c>
      <c r="B4236" t="s">
        <v>2863</v>
      </c>
      <c r="C4236" t="s">
        <v>2741</v>
      </c>
      <c r="D4236" t="s">
        <v>2895</v>
      </c>
      <c r="E4236">
        <v>245565</v>
      </c>
      <c r="F4236" s="11">
        <v>0</v>
      </c>
    </row>
    <row r="4237" spans="1:6" x14ac:dyDescent="0.35">
      <c r="A4237" t="s">
        <v>2856</v>
      </c>
      <c r="B4237" t="s">
        <v>2863</v>
      </c>
      <c r="C4237" t="s">
        <v>2741</v>
      </c>
      <c r="D4237" t="s">
        <v>2896</v>
      </c>
      <c r="E4237">
        <v>124915</v>
      </c>
      <c r="F4237" s="11">
        <v>0</v>
      </c>
    </row>
    <row r="4238" spans="1:6" x14ac:dyDescent="0.35">
      <c r="A4238" t="s">
        <v>2856</v>
      </c>
      <c r="B4238" t="s">
        <v>2863</v>
      </c>
      <c r="C4238" t="s">
        <v>2741</v>
      </c>
      <c r="D4238" t="s">
        <v>2897</v>
      </c>
      <c r="E4238">
        <v>112571</v>
      </c>
      <c r="F4238" s="11">
        <v>0</v>
      </c>
    </row>
    <row r="4239" spans="1:6" x14ac:dyDescent="0.35">
      <c r="A4239" t="s">
        <v>2856</v>
      </c>
      <c r="B4239" t="s">
        <v>2863</v>
      </c>
      <c r="C4239" t="s">
        <v>2741</v>
      </c>
      <c r="D4239" t="s">
        <v>2898</v>
      </c>
      <c r="E4239">
        <v>8079</v>
      </c>
      <c r="F4239" s="11">
        <v>0</v>
      </c>
    </row>
    <row r="4240" spans="1:6" x14ac:dyDescent="0.35">
      <c r="A4240" t="s">
        <v>2856</v>
      </c>
      <c r="B4240" t="s">
        <v>2863</v>
      </c>
      <c r="C4240" t="s">
        <v>2741</v>
      </c>
      <c r="D4240" t="s">
        <v>2899</v>
      </c>
      <c r="E4240">
        <v>5828</v>
      </c>
      <c r="F4240" s="11">
        <v>0</v>
      </c>
    </row>
    <row r="4241" spans="1:6" x14ac:dyDescent="0.35">
      <c r="A4241" t="s">
        <v>2856</v>
      </c>
      <c r="B4241" t="s">
        <v>2863</v>
      </c>
      <c r="C4241" t="s">
        <v>2741</v>
      </c>
      <c r="D4241" t="s">
        <v>2900</v>
      </c>
      <c r="E4241">
        <v>5704</v>
      </c>
      <c r="F4241" s="11">
        <v>0</v>
      </c>
    </row>
    <row r="4242" spans="1:6" x14ac:dyDescent="0.35">
      <c r="A4242" t="s">
        <v>2856</v>
      </c>
      <c r="B4242" t="s">
        <v>2863</v>
      </c>
      <c r="C4242" t="s">
        <v>2741</v>
      </c>
      <c r="D4242" t="s">
        <v>2901</v>
      </c>
      <c r="E4242">
        <v>104</v>
      </c>
      <c r="F4242" s="11">
        <v>0</v>
      </c>
    </row>
    <row r="4243" spans="1:6" x14ac:dyDescent="0.35">
      <c r="A4243" t="s">
        <v>2856</v>
      </c>
      <c r="B4243" t="s">
        <v>2863</v>
      </c>
      <c r="C4243" t="s">
        <v>2741</v>
      </c>
      <c r="D4243" t="s">
        <v>2902</v>
      </c>
      <c r="E4243">
        <v>20</v>
      </c>
      <c r="F4243" s="11">
        <v>0</v>
      </c>
    </row>
    <row r="4244" spans="1:6" x14ac:dyDescent="0.35">
      <c r="A4244" t="s">
        <v>2856</v>
      </c>
      <c r="B4244" t="s">
        <v>2863</v>
      </c>
      <c r="C4244" t="s">
        <v>2741</v>
      </c>
      <c r="D4244" t="s">
        <v>2903</v>
      </c>
      <c r="E4244">
        <v>4627</v>
      </c>
      <c r="F4244" s="11">
        <v>0</v>
      </c>
    </row>
    <row r="4245" spans="1:6" x14ac:dyDescent="0.35">
      <c r="A4245" t="s">
        <v>2856</v>
      </c>
      <c r="B4245" t="s">
        <v>2863</v>
      </c>
      <c r="C4245" t="s">
        <v>2741</v>
      </c>
      <c r="D4245" t="s">
        <v>2904</v>
      </c>
      <c r="E4245">
        <v>0</v>
      </c>
      <c r="F4245" s="11">
        <v>0</v>
      </c>
    </row>
    <row r="4246" spans="1:6" x14ac:dyDescent="0.35">
      <c r="A4246" t="s">
        <v>2856</v>
      </c>
      <c r="B4246" t="s">
        <v>2863</v>
      </c>
      <c r="C4246" t="s">
        <v>2741</v>
      </c>
      <c r="D4246" t="s">
        <v>2905</v>
      </c>
      <c r="E4246">
        <v>0</v>
      </c>
      <c r="F4246" s="11">
        <v>0</v>
      </c>
    </row>
    <row r="4247" spans="1:6" x14ac:dyDescent="0.35">
      <c r="A4247" t="s">
        <v>2856</v>
      </c>
      <c r="B4247" t="s">
        <v>2863</v>
      </c>
      <c r="C4247" t="s">
        <v>2741</v>
      </c>
      <c r="D4247" t="s">
        <v>2906</v>
      </c>
      <c r="E4247">
        <v>0</v>
      </c>
      <c r="F4247" s="11">
        <v>0</v>
      </c>
    </row>
    <row r="4248" spans="1:6" x14ac:dyDescent="0.35">
      <c r="A4248" t="s">
        <v>2856</v>
      </c>
      <c r="B4248" t="s">
        <v>2863</v>
      </c>
      <c r="C4248" t="s">
        <v>2741</v>
      </c>
      <c r="D4248" t="s">
        <v>2907</v>
      </c>
      <c r="E4248">
        <v>14161</v>
      </c>
      <c r="F4248" s="11">
        <v>0</v>
      </c>
    </row>
    <row r="4249" spans="1:6" x14ac:dyDescent="0.35">
      <c r="A4249" t="s">
        <v>2856</v>
      </c>
      <c r="B4249" t="s">
        <v>2863</v>
      </c>
      <c r="C4249" t="s">
        <v>2741</v>
      </c>
      <c r="D4249" t="s">
        <v>2908</v>
      </c>
      <c r="E4249">
        <v>0</v>
      </c>
      <c r="F4249" s="11">
        <v>0</v>
      </c>
    </row>
    <row r="4250" spans="1:6" x14ac:dyDescent="0.35">
      <c r="A4250" t="s">
        <v>2856</v>
      </c>
      <c r="B4250" t="s">
        <v>2863</v>
      </c>
      <c r="C4250" t="s">
        <v>2741</v>
      </c>
      <c r="D4250" t="s">
        <v>2909</v>
      </c>
      <c r="E4250">
        <v>0</v>
      </c>
      <c r="F4250" s="11">
        <v>0</v>
      </c>
    </row>
    <row r="4251" spans="1:6" x14ac:dyDescent="0.35">
      <c r="A4251" t="s">
        <v>2856</v>
      </c>
      <c r="B4251" t="s">
        <v>2863</v>
      </c>
      <c r="C4251" t="s">
        <v>2741</v>
      </c>
      <c r="D4251" t="s">
        <v>2910</v>
      </c>
      <c r="E4251">
        <v>0</v>
      </c>
      <c r="F4251" s="11">
        <v>0</v>
      </c>
    </row>
    <row r="4252" spans="1:6" x14ac:dyDescent="0.35">
      <c r="A4252" t="s">
        <v>2856</v>
      </c>
      <c r="B4252" t="s">
        <v>2863</v>
      </c>
      <c r="C4252" t="s">
        <v>2741</v>
      </c>
      <c r="D4252" t="s">
        <v>2911</v>
      </c>
      <c r="E4252">
        <v>357891</v>
      </c>
      <c r="F4252" s="11">
        <v>0</v>
      </c>
    </row>
    <row r="4253" spans="1:6" x14ac:dyDescent="0.35">
      <c r="A4253" t="s">
        <v>2856</v>
      </c>
      <c r="B4253" t="s">
        <v>2863</v>
      </c>
      <c r="C4253" t="s">
        <v>2741</v>
      </c>
      <c r="D4253" t="s">
        <v>2912</v>
      </c>
      <c r="E4253">
        <v>236972</v>
      </c>
      <c r="F4253" s="11">
        <v>0</v>
      </c>
    </row>
    <row r="4254" spans="1:6" x14ac:dyDescent="0.35">
      <c r="A4254" t="s">
        <v>2856</v>
      </c>
      <c r="B4254" t="s">
        <v>2863</v>
      </c>
      <c r="C4254" t="s">
        <v>2741</v>
      </c>
      <c r="D4254" t="s">
        <v>2913</v>
      </c>
      <c r="E4254">
        <v>0</v>
      </c>
      <c r="F4254" s="11">
        <v>0</v>
      </c>
    </row>
    <row r="4255" spans="1:6" x14ac:dyDescent="0.35">
      <c r="A4255" t="s">
        <v>2856</v>
      </c>
      <c r="B4255" t="s">
        <v>2863</v>
      </c>
      <c r="C4255" t="s">
        <v>2741</v>
      </c>
      <c r="D4255" t="s">
        <v>2914</v>
      </c>
      <c r="E4255">
        <v>30906</v>
      </c>
      <c r="F4255" s="11">
        <v>0</v>
      </c>
    </row>
    <row r="4256" spans="1:6" x14ac:dyDescent="0.35">
      <c r="A4256" t="s">
        <v>2856</v>
      </c>
      <c r="B4256" t="s">
        <v>2863</v>
      </c>
      <c r="C4256" t="s">
        <v>2741</v>
      </c>
      <c r="D4256" t="s">
        <v>2915</v>
      </c>
      <c r="E4256">
        <v>35028</v>
      </c>
      <c r="F4256" s="11">
        <v>0</v>
      </c>
    </row>
    <row r="4257" spans="1:6" x14ac:dyDescent="0.35">
      <c r="A4257" t="s">
        <v>2856</v>
      </c>
      <c r="B4257" t="s">
        <v>2863</v>
      </c>
      <c r="C4257" t="s">
        <v>2741</v>
      </c>
      <c r="D4257" t="s">
        <v>2916</v>
      </c>
      <c r="E4257">
        <v>59585</v>
      </c>
      <c r="F4257" s="11">
        <v>0</v>
      </c>
    </row>
    <row r="4258" spans="1:6" x14ac:dyDescent="0.35">
      <c r="A4258" t="s">
        <v>2856</v>
      </c>
      <c r="B4258" t="s">
        <v>2863</v>
      </c>
      <c r="C4258" t="s">
        <v>2741</v>
      </c>
      <c r="D4258" t="s">
        <v>2917</v>
      </c>
      <c r="E4258">
        <v>0</v>
      </c>
      <c r="F4258" s="11">
        <v>0</v>
      </c>
    </row>
    <row r="4259" spans="1:6" x14ac:dyDescent="0.35">
      <c r="A4259" t="s">
        <v>2856</v>
      </c>
      <c r="B4259" t="s">
        <v>2866</v>
      </c>
      <c r="C4259" t="s">
        <v>1445</v>
      </c>
      <c r="D4259" t="s">
        <v>2875</v>
      </c>
      <c r="E4259">
        <v>33360</v>
      </c>
      <c r="F4259" s="11">
        <v>1</v>
      </c>
    </row>
    <row r="4260" spans="1:6" x14ac:dyDescent="0.35">
      <c r="A4260" t="s">
        <v>2856</v>
      </c>
      <c r="B4260" t="s">
        <v>2866</v>
      </c>
      <c r="C4260" t="s">
        <v>1445</v>
      </c>
      <c r="D4260" t="s">
        <v>2876</v>
      </c>
      <c r="E4260">
        <v>0</v>
      </c>
      <c r="F4260" s="11">
        <v>1</v>
      </c>
    </row>
    <row r="4261" spans="1:6" x14ac:dyDescent="0.35">
      <c r="A4261" t="s">
        <v>2856</v>
      </c>
      <c r="B4261" t="s">
        <v>2866</v>
      </c>
      <c r="C4261" t="s">
        <v>1445</v>
      </c>
      <c r="D4261" t="s">
        <v>2877</v>
      </c>
      <c r="E4261">
        <v>0</v>
      </c>
      <c r="F4261" s="11">
        <v>1</v>
      </c>
    </row>
    <row r="4262" spans="1:6" x14ac:dyDescent="0.35">
      <c r="A4262" t="s">
        <v>2856</v>
      </c>
      <c r="B4262" t="s">
        <v>2866</v>
      </c>
      <c r="C4262" t="s">
        <v>1445</v>
      </c>
      <c r="D4262" t="s">
        <v>2878</v>
      </c>
      <c r="E4262">
        <v>0</v>
      </c>
      <c r="F4262" s="11">
        <v>1</v>
      </c>
    </row>
    <row r="4263" spans="1:6" x14ac:dyDescent="0.35">
      <c r="A4263" t="s">
        <v>2856</v>
      </c>
      <c r="B4263" t="s">
        <v>2866</v>
      </c>
      <c r="C4263" t="s">
        <v>1445</v>
      </c>
      <c r="D4263" t="s">
        <v>2879</v>
      </c>
      <c r="E4263">
        <v>7081</v>
      </c>
      <c r="F4263" s="11">
        <v>1</v>
      </c>
    </row>
    <row r="4264" spans="1:6" x14ac:dyDescent="0.35">
      <c r="A4264" t="s">
        <v>2856</v>
      </c>
      <c r="B4264" t="s">
        <v>2866</v>
      </c>
      <c r="C4264" t="s">
        <v>1445</v>
      </c>
      <c r="D4264" t="s">
        <v>2880</v>
      </c>
      <c r="E4264">
        <v>1933</v>
      </c>
      <c r="F4264" s="11">
        <v>1</v>
      </c>
    </row>
    <row r="4265" spans="1:6" x14ac:dyDescent="0.35">
      <c r="A4265" t="s">
        <v>2856</v>
      </c>
      <c r="B4265" t="s">
        <v>2866</v>
      </c>
      <c r="C4265" t="s">
        <v>1445</v>
      </c>
      <c r="D4265" t="s">
        <v>2881</v>
      </c>
      <c r="E4265">
        <v>5148</v>
      </c>
      <c r="F4265" s="11">
        <v>0</v>
      </c>
    </row>
    <row r="4266" spans="1:6" x14ac:dyDescent="0.35">
      <c r="A4266" t="s">
        <v>2856</v>
      </c>
      <c r="B4266" t="s">
        <v>2866</v>
      </c>
      <c r="C4266" t="s">
        <v>1445</v>
      </c>
      <c r="D4266" t="s">
        <v>2882</v>
      </c>
      <c r="E4266">
        <v>24</v>
      </c>
      <c r="F4266" s="11">
        <v>1</v>
      </c>
    </row>
    <row r="4267" spans="1:6" x14ac:dyDescent="0.35">
      <c r="A4267" t="s">
        <v>2856</v>
      </c>
      <c r="B4267" t="s">
        <v>2866</v>
      </c>
      <c r="C4267" t="s">
        <v>1445</v>
      </c>
      <c r="D4267" t="s">
        <v>2883</v>
      </c>
      <c r="E4267">
        <v>0</v>
      </c>
      <c r="F4267" s="11">
        <v>0</v>
      </c>
    </row>
    <row r="4268" spans="1:6" x14ac:dyDescent="0.35">
      <c r="A4268" t="s">
        <v>2856</v>
      </c>
      <c r="B4268" t="s">
        <v>2866</v>
      </c>
      <c r="C4268" t="s">
        <v>1445</v>
      </c>
      <c r="D4268" t="s">
        <v>2884</v>
      </c>
      <c r="E4268">
        <v>0</v>
      </c>
      <c r="F4268" s="11">
        <v>0</v>
      </c>
    </row>
    <row r="4269" spans="1:6" x14ac:dyDescent="0.35">
      <c r="A4269" t="s">
        <v>2856</v>
      </c>
      <c r="B4269" t="s">
        <v>2866</v>
      </c>
      <c r="C4269" t="s">
        <v>1445</v>
      </c>
      <c r="D4269" t="s">
        <v>2885</v>
      </c>
      <c r="E4269">
        <v>0</v>
      </c>
      <c r="F4269" s="11">
        <v>0</v>
      </c>
    </row>
    <row r="4270" spans="1:6" x14ac:dyDescent="0.35">
      <c r="A4270" t="s">
        <v>2856</v>
      </c>
      <c r="B4270" t="s">
        <v>2866</v>
      </c>
      <c r="C4270" t="s">
        <v>1445</v>
      </c>
      <c r="D4270" t="s">
        <v>2886</v>
      </c>
      <c r="E4270">
        <v>0</v>
      </c>
      <c r="F4270" s="11">
        <v>0</v>
      </c>
    </row>
    <row r="4271" spans="1:6" x14ac:dyDescent="0.35">
      <c r="A4271" t="s">
        <v>2856</v>
      </c>
      <c r="B4271" t="s">
        <v>2866</v>
      </c>
      <c r="C4271" t="s">
        <v>1445</v>
      </c>
      <c r="D4271" t="s">
        <v>2887</v>
      </c>
      <c r="E4271">
        <v>149269</v>
      </c>
      <c r="F4271" s="11">
        <v>1</v>
      </c>
    </row>
    <row r="4272" spans="1:6" x14ac:dyDescent="0.35">
      <c r="A4272" t="s">
        <v>2856</v>
      </c>
      <c r="B4272" t="s">
        <v>2866</v>
      </c>
      <c r="C4272" t="s">
        <v>1445</v>
      </c>
      <c r="D4272" t="s">
        <v>2888</v>
      </c>
      <c r="E4272">
        <v>70232</v>
      </c>
      <c r="F4272" s="11">
        <v>1</v>
      </c>
    </row>
    <row r="4273" spans="1:6" x14ac:dyDescent="0.35">
      <c r="A4273" t="s">
        <v>2856</v>
      </c>
      <c r="B4273" t="s">
        <v>2866</v>
      </c>
      <c r="C4273" t="s">
        <v>1445</v>
      </c>
      <c r="D4273" t="s">
        <v>2889</v>
      </c>
      <c r="E4273">
        <v>78983</v>
      </c>
      <c r="F4273" s="11">
        <v>0</v>
      </c>
    </row>
    <row r="4274" spans="1:6" x14ac:dyDescent="0.35">
      <c r="A4274" t="s">
        <v>2856</v>
      </c>
      <c r="B4274" t="s">
        <v>2866</v>
      </c>
      <c r="C4274" t="s">
        <v>1445</v>
      </c>
      <c r="D4274" t="s">
        <v>2890</v>
      </c>
      <c r="E4274">
        <v>0</v>
      </c>
      <c r="F4274" s="11">
        <v>1</v>
      </c>
    </row>
    <row r="4275" spans="1:6" x14ac:dyDescent="0.35">
      <c r="A4275" t="s">
        <v>2856</v>
      </c>
      <c r="B4275" t="s">
        <v>2866</v>
      </c>
      <c r="C4275" t="s">
        <v>1445</v>
      </c>
      <c r="D4275" t="s">
        <v>2891</v>
      </c>
      <c r="E4275">
        <v>0</v>
      </c>
      <c r="F4275" s="11">
        <v>0</v>
      </c>
    </row>
    <row r="4276" spans="1:6" x14ac:dyDescent="0.35">
      <c r="A4276" t="s">
        <v>2856</v>
      </c>
      <c r="B4276" t="s">
        <v>2866</v>
      </c>
      <c r="C4276" t="s">
        <v>1445</v>
      </c>
      <c r="D4276" t="s">
        <v>2892</v>
      </c>
      <c r="E4276">
        <v>0</v>
      </c>
      <c r="F4276" s="11">
        <v>0</v>
      </c>
    </row>
    <row r="4277" spans="1:6" x14ac:dyDescent="0.35">
      <c r="A4277" t="s">
        <v>2856</v>
      </c>
      <c r="B4277" t="s">
        <v>2866</v>
      </c>
      <c r="C4277" t="s">
        <v>1445</v>
      </c>
      <c r="D4277" t="s">
        <v>2893</v>
      </c>
      <c r="E4277">
        <v>0</v>
      </c>
      <c r="F4277" s="11">
        <v>0</v>
      </c>
    </row>
    <row r="4278" spans="1:6" x14ac:dyDescent="0.35">
      <c r="A4278" t="s">
        <v>2856</v>
      </c>
      <c r="B4278" t="s">
        <v>2866</v>
      </c>
      <c r="C4278" t="s">
        <v>1445</v>
      </c>
      <c r="D4278" t="s">
        <v>2894</v>
      </c>
      <c r="E4278">
        <v>0</v>
      </c>
      <c r="F4278" s="11">
        <v>0</v>
      </c>
    </row>
    <row r="4279" spans="1:6" x14ac:dyDescent="0.35">
      <c r="A4279" t="s">
        <v>2856</v>
      </c>
      <c r="B4279" t="s">
        <v>2866</v>
      </c>
      <c r="C4279" t="s">
        <v>1445</v>
      </c>
      <c r="D4279" t="s">
        <v>2895</v>
      </c>
      <c r="E4279">
        <v>477870</v>
      </c>
      <c r="F4279" s="11">
        <v>1</v>
      </c>
    </row>
    <row r="4280" spans="1:6" x14ac:dyDescent="0.35">
      <c r="A4280" t="s">
        <v>2856</v>
      </c>
      <c r="B4280" t="s">
        <v>2866</v>
      </c>
      <c r="C4280" t="s">
        <v>1445</v>
      </c>
      <c r="D4280" t="s">
        <v>2896</v>
      </c>
      <c r="E4280">
        <v>153346</v>
      </c>
      <c r="F4280" s="11">
        <v>1</v>
      </c>
    </row>
    <row r="4281" spans="1:6" x14ac:dyDescent="0.35">
      <c r="A4281" t="s">
        <v>2856</v>
      </c>
      <c r="B4281" t="s">
        <v>2866</v>
      </c>
      <c r="C4281" t="s">
        <v>1445</v>
      </c>
      <c r="D4281" t="s">
        <v>2897</v>
      </c>
      <c r="E4281">
        <v>320198</v>
      </c>
      <c r="F4281" s="11">
        <v>1</v>
      </c>
    </row>
    <row r="4282" spans="1:6" x14ac:dyDescent="0.35">
      <c r="A4282" t="s">
        <v>2856</v>
      </c>
      <c r="B4282" t="s">
        <v>2866</v>
      </c>
      <c r="C4282" t="s">
        <v>1445</v>
      </c>
      <c r="D4282" t="s">
        <v>2898</v>
      </c>
      <c r="E4282">
        <v>4326</v>
      </c>
      <c r="F4282" s="11">
        <v>1</v>
      </c>
    </row>
    <row r="4283" spans="1:6" x14ac:dyDescent="0.35">
      <c r="A4283" t="s">
        <v>2856</v>
      </c>
      <c r="B4283" t="s">
        <v>2866</v>
      </c>
      <c r="C4283" t="s">
        <v>1445</v>
      </c>
      <c r="D4283" t="s">
        <v>2899</v>
      </c>
      <c r="E4283">
        <v>1569</v>
      </c>
      <c r="F4283" s="11">
        <v>1</v>
      </c>
    </row>
    <row r="4284" spans="1:6" x14ac:dyDescent="0.35">
      <c r="A4284" t="s">
        <v>2856</v>
      </c>
      <c r="B4284" t="s">
        <v>2866</v>
      </c>
      <c r="C4284" t="s">
        <v>1445</v>
      </c>
      <c r="D4284" t="s">
        <v>2900</v>
      </c>
      <c r="E4284">
        <v>1194</v>
      </c>
      <c r="F4284" s="11">
        <v>1</v>
      </c>
    </row>
    <row r="4285" spans="1:6" x14ac:dyDescent="0.35">
      <c r="A4285" t="s">
        <v>2856</v>
      </c>
      <c r="B4285" t="s">
        <v>2866</v>
      </c>
      <c r="C4285" t="s">
        <v>1445</v>
      </c>
      <c r="D4285" t="s">
        <v>2901</v>
      </c>
      <c r="E4285">
        <v>375</v>
      </c>
      <c r="F4285" s="11">
        <v>0</v>
      </c>
    </row>
    <row r="4286" spans="1:6" x14ac:dyDescent="0.35">
      <c r="A4286" t="s">
        <v>2856</v>
      </c>
      <c r="B4286" t="s">
        <v>2866</v>
      </c>
      <c r="C4286" t="s">
        <v>1445</v>
      </c>
      <c r="D4286" t="s">
        <v>2902</v>
      </c>
      <c r="E4286">
        <v>0</v>
      </c>
      <c r="F4286" s="11">
        <v>1</v>
      </c>
    </row>
    <row r="4287" spans="1:6" x14ac:dyDescent="0.35">
      <c r="A4287" t="s">
        <v>2856</v>
      </c>
      <c r="B4287" t="s">
        <v>2866</v>
      </c>
      <c r="C4287" t="s">
        <v>1445</v>
      </c>
      <c r="D4287" t="s">
        <v>2903</v>
      </c>
      <c r="E4287">
        <v>36166</v>
      </c>
      <c r="F4287" s="11">
        <v>1</v>
      </c>
    </row>
    <row r="4288" spans="1:6" x14ac:dyDescent="0.35">
      <c r="A4288" t="s">
        <v>2856</v>
      </c>
      <c r="B4288" t="s">
        <v>2866</v>
      </c>
      <c r="C4288" t="s">
        <v>1445</v>
      </c>
      <c r="D4288" t="s">
        <v>2904</v>
      </c>
      <c r="E4288">
        <v>26907</v>
      </c>
      <c r="F4288" s="11">
        <v>1</v>
      </c>
    </row>
    <row r="4289" spans="1:6" x14ac:dyDescent="0.35">
      <c r="A4289" t="s">
        <v>2856</v>
      </c>
      <c r="B4289" t="s">
        <v>2866</v>
      </c>
      <c r="C4289" t="s">
        <v>1445</v>
      </c>
      <c r="D4289" t="s">
        <v>2905</v>
      </c>
      <c r="E4289">
        <v>5708</v>
      </c>
      <c r="F4289" s="11">
        <v>1</v>
      </c>
    </row>
    <row r="4290" spans="1:6" x14ac:dyDescent="0.35">
      <c r="A4290" t="s">
        <v>2856</v>
      </c>
      <c r="B4290" t="s">
        <v>2866</v>
      </c>
      <c r="C4290" t="s">
        <v>1445</v>
      </c>
      <c r="D4290" t="s">
        <v>2906</v>
      </c>
      <c r="E4290">
        <v>3551</v>
      </c>
      <c r="F4290" s="11">
        <v>1</v>
      </c>
    </row>
    <row r="4291" spans="1:6" x14ac:dyDescent="0.35">
      <c r="A4291" t="s">
        <v>2856</v>
      </c>
      <c r="B4291" t="s">
        <v>2866</v>
      </c>
      <c r="C4291" t="s">
        <v>1445</v>
      </c>
      <c r="D4291" t="s">
        <v>2907</v>
      </c>
      <c r="E4291">
        <v>41210</v>
      </c>
      <c r="F4291" s="11">
        <v>1</v>
      </c>
    </row>
    <row r="4292" spans="1:6" x14ac:dyDescent="0.35">
      <c r="A4292" t="s">
        <v>2856</v>
      </c>
      <c r="B4292" t="s">
        <v>2866</v>
      </c>
      <c r="C4292" t="s">
        <v>1445</v>
      </c>
      <c r="D4292" t="s">
        <v>2908</v>
      </c>
      <c r="E4292">
        <v>31534</v>
      </c>
      <c r="F4292" s="11">
        <v>1</v>
      </c>
    </row>
    <row r="4293" spans="1:6" x14ac:dyDescent="0.35">
      <c r="A4293" t="s">
        <v>2856</v>
      </c>
      <c r="B4293" t="s">
        <v>2866</v>
      </c>
      <c r="C4293" t="s">
        <v>1445</v>
      </c>
      <c r="D4293" t="s">
        <v>2909</v>
      </c>
      <c r="E4293">
        <v>7303</v>
      </c>
      <c r="F4293" s="11">
        <v>1</v>
      </c>
    </row>
    <row r="4294" spans="1:6" x14ac:dyDescent="0.35">
      <c r="A4294" t="s">
        <v>2856</v>
      </c>
      <c r="B4294" t="s">
        <v>2866</v>
      </c>
      <c r="C4294" t="s">
        <v>1445</v>
      </c>
      <c r="D4294" t="s">
        <v>2910</v>
      </c>
      <c r="E4294">
        <v>2373</v>
      </c>
      <c r="F4294" s="11">
        <v>1</v>
      </c>
    </row>
    <row r="4295" spans="1:6" x14ac:dyDescent="0.35">
      <c r="A4295" t="s">
        <v>2856</v>
      </c>
      <c r="B4295" t="s">
        <v>2866</v>
      </c>
      <c r="C4295" t="s">
        <v>1445</v>
      </c>
      <c r="D4295" t="s">
        <v>2911</v>
      </c>
      <c r="E4295">
        <v>83504</v>
      </c>
      <c r="F4295" s="11">
        <v>1</v>
      </c>
    </row>
    <row r="4296" spans="1:6" x14ac:dyDescent="0.35">
      <c r="A4296" t="s">
        <v>2856</v>
      </c>
      <c r="B4296" t="s">
        <v>2866</v>
      </c>
      <c r="C4296" t="s">
        <v>1445</v>
      </c>
      <c r="D4296" t="s">
        <v>2912</v>
      </c>
      <c r="E4296">
        <v>1060106</v>
      </c>
      <c r="F4296" s="11">
        <v>0</v>
      </c>
    </row>
    <row r="4297" spans="1:6" x14ac:dyDescent="0.35">
      <c r="A4297" t="s">
        <v>2856</v>
      </c>
      <c r="B4297" t="s">
        <v>2866</v>
      </c>
      <c r="C4297" t="s">
        <v>1445</v>
      </c>
      <c r="D4297" t="s">
        <v>2913</v>
      </c>
      <c r="E4297">
        <v>0</v>
      </c>
      <c r="F4297" s="11">
        <v>0</v>
      </c>
    </row>
    <row r="4298" spans="1:6" x14ac:dyDescent="0.35">
      <c r="A4298" t="s">
        <v>2856</v>
      </c>
      <c r="B4298" t="s">
        <v>2866</v>
      </c>
      <c r="C4298" t="s">
        <v>1445</v>
      </c>
      <c r="D4298" t="s">
        <v>2914</v>
      </c>
      <c r="E4298">
        <v>0</v>
      </c>
      <c r="F4298" s="11">
        <v>0</v>
      </c>
    </row>
    <row r="4299" spans="1:6" x14ac:dyDescent="0.35">
      <c r="A4299" t="s">
        <v>2856</v>
      </c>
      <c r="B4299" t="s">
        <v>2866</v>
      </c>
      <c r="C4299" t="s">
        <v>1445</v>
      </c>
      <c r="D4299" t="s">
        <v>2915</v>
      </c>
      <c r="E4299">
        <v>624</v>
      </c>
      <c r="F4299" s="11">
        <v>1</v>
      </c>
    </row>
    <row r="4300" spans="1:6" x14ac:dyDescent="0.35">
      <c r="A4300" t="s">
        <v>2856</v>
      </c>
      <c r="B4300" t="s">
        <v>2866</v>
      </c>
      <c r="C4300" t="s">
        <v>1445</v>
      </c>
      <c r="D4300" t="s">
        <v>2916</v>
      </c>
      <c r="E4300">
        <v>70448</v>
      </c>
      <c r="F4300" s="11">
        <v>1</v>
      </c>
    </row>
    <row r="4301" spans="1:6" x14ac:dyDescent="0.35">
      <c r="A4301" t="s">
        <v>2856</v>
      </c>
      <c r="B4301" t="s">
        <v>2866</v>
      </c>
      <c r="C4301" t="s">
        <v>1445</v>
      </c>
      <c r="D4301" t="s">
        <v>2917</v>
      </c>
      <c r="E4301">
        <v>0</v>
      </c>
      <c r="F4301" s="11">
        <v>0</v>
      </c>
    </row>
    <row r="4302" spans="1:6" x14ac:dyDescent="0.35">
      <c r="A4302" t="s">
        <v>2856</v>
      </c>
      <c r="B4302" t="s">
        <v>2866</v>
      </c>
      <c r="C4302" t="s">
        <v>1484</v>
      </c>
      <c r="D4302" t="s">
        <v>2875</v>
      </c>
      <c r="E4302">
        <v>36639</v>
      </c>
      <c r="F4302" s="11">
        <v>1</v>
      </c>
    </row>
    <row r="4303" spans="1:6" x14ac:dyDescent="0.35">
      <c r="A4303" t="s">
        <v>2856</v>
      </c>
      <c r="B4303" t="s">
        <v>2866</v>
      </c>
      <c r="C4303" t="s">
        <v>1484</v>
      </c>
      <c r="D4303" t="s">
        <v>2876</v>
      </c>
      <c r="E4303">
        <v>11947</v>
      </c>
      <c r="F4303" s="11">
        <v>1</v>
      </c>
    </row>
    <row r="4304" spans="1:6" x14ac:dyDescent="0.35">
      <c r="A4304" t="s">
        <v>2856</v>
      </c>
      <c r="B4304" t="s">
        <v>2866</v>
      </c>
      <c r="C4304" t="s">
        <v>1484</v>
      </c>
      <c r="D4304" t="s">
        <v>2877</v>
      </c>
      <c r="E4304">
        <v>21691</v>
      </c>
      <c r="F4304" s="11">
        <v>1</v>
      </c>
    </row>
    <row r="4305" spans="1:6" x14ac:dyDescent="0.35">
      <c r="A4305" t="s">
        <v>2856</v>
      </c>
      <c r="B4305" t="s">
        <v>2866</v>
      </c>
      <c r="C4305" t="s">
        <v>1484</v>
      </c>
      <c r="D4305" t="s">
        <v>2878</v>
      </c>
      <c r="E4305">
        <v>3001</v>
      </c>
      <c r="F4305" s="11">
        <v>1</v>
      </c>
    </row>
    <row r="4306" spans="1:6" x14ac:dyDescent="0.35">
      <c r="A4306" t="s">
        <v>2856</v>
      </c>
      <c r="B4306" t="s">
        <v>2866</v>
      </c>
      <c r="C4306" t="s">
        <v>1484</v>
      </c>
      <c r="D4306" t="s">
        <v>2879</v>
      </c>
      <c r="E4306">
        <v>5541</v>
      </c>
      <c r="F4306" s="11">
        <v>1</v>
      </c>
    </row>
    <row r="4307" spans="1:6" x14ac:dyDescent="0.35">
      <c r="A4307" t="s">
        <v>2856</v>
      </c>
      <c r="B4307" t="s">
        <v>2866</v>
      </c>
      <c r="C4307" t="s">
        <v>1484</v>
      </c>
      <c r="D4307" t="s">
        <v>2880</v>
      </c>
      <c r="E4307">
        <v>1904</v>
      </c>
      <c r="F4307" s="11">
        <v>1</v>
      </c>
    </row>
    <row r="4308" spans="1:6" x14ac:dyDescent="0.35">
      <c r="A4308" t="s">
        <v>2856</v>
      </c>
      <c r="B4308" t="s">
        <v>2866</v>
      </c>
      <c r="C4308" t="s">
        <v>1484</v>
      </c>
      <c r="D4308" t="s">
        <v>2881</v>
      </c>
      <c r="E4308">
        <v>2279</v>
      </c>
      <c r="F4308" s="11">
        <v>1</v>
      </c>
    </row>
    <row r="4309" spans="1:6" x14ac:dyDescent="0.35">
      <c r="A4309" t="s">
        <v>2856</v>
      </c>
      <c r="B4309" t="s">
        <v>2866</v>
      </c>
      <c r="C4309" t="s">
        <v>1484</v>
      </c>
      <c r="D4309" t="s">
        <v>2882</v>
      </c>
      <c r="E4309">
        <v>1358</v>
      </c>
      <c r="F4309" s="11">
        <v>1</v>
      </c>
    </row>
    <row r="4310" spans="1:6" x14ac:dyDescent="0.35">
      <c r="A4310" t="s">
        <v>2856</v>
      </c>
      <c r="B4310" t="s">
        <v>2866</v>
      </c>
      <c r="C4310" t="s">
        <v>1484</v>
      </c>
      <c r="D4310" t="s">
        <v>2883</v>
      </c>
      <c r="E4310">
        <v>0</v>
      </c>
      <c r="F4310" s="11">
        <v>0</v>
      </c>
    </row>
    <row r="4311" spans="1:6" x14ac:dyDescent="0.35">
      <c r="A4311" t="s">
        <v>2856</v>
      </c>
      <c r="B4311" t="s">
        <v>2866</v>
      </c>
      <c r="C4311" t="s">
        <v>1484</v>
      </c>
      <c r="D4311" t="s">
        <v>2884</v>
      </c>
      <c r="E4311">
        <v>0</v>
      </c>
      <c r="F4311" s="11">
        <v>0</v>
      </c>
    </row>
    <row r="4312" spans="1:6" x14ac:dyDescent="0.35">
      <c r="A4312" t="s">
        <v>2856</v>
      </c>
      <c r="B4312" t="s">
        <v>2866</v>
      </c>
      <c r="C4312" t="s">
        <v>1484</v>
      </c>
      <c r="D4312" t="s">
        <v>2885</v>
      </c>
      <c r="E4312">
        <v>0</v>
      </c>
      <c r="F4312" s="11">
        <v>0</v>
      </c>
    </row>
    <row r="4313" spans="1:6" x14ac:dyDescent="0.35">
      <c r="A4313" t="s">
        <v>2856</v>
      </c>
      <c r="B4313" t="s">
        <v>2866</v>
      </c>
      <c r="C4313" t="s">
        <v>1484</v>
      </c>
      <c r="D4313" t="s">
        <v>2886</v>
      </c>
      <c r="E4313">
        <v>0</v>
      </c>
      <c r="F4313" s="11">
        <v>0</v>
      </c>
    </row>
    <row r="4314" spans="1:6" x14ac:dyDescent="0.35">
      <c r="A4314" t="s">
        <v>2856</v>
      </c>
      <c r="B4314" t="s">
        <v>2866</v>
      </c>
      <c r="C4314" t="s">
        <v>1484</v>
      </c>
      <c r="D4314" t="s">
        <v>2887</v>
      </c>
      <c r="E4314">
        <v>79678</v>
      </c>
      <c r="F4314" s="11">
        <v>1</v>
      </c>
    </row>
    <row r="4315" spans="1:6" x14ac:dyDescent="0.35">
      <c r="A4315" t="s">
        <v>2856</v>
      </c>
      <c r="B4315" t="s">
        <v>2866</v>
      </c>
      <c r="C4315" t="s">
        <v>1484</v>
      </c>
      <c r="D4315" t="s">
        <v>2888</v>
      </c>
      <c r="E4315">
        <v>22982</v>
      </c>
      <c r="F4315" s="11">
        <v>1</v>
      </c>
    </row>
    <row r="4316" spans="1:6" x14ac:dyDescent="0.35">
      <c r="A4316" t="s">
        <v>2856</v>
      </c>
      <c r="B4316" t="s">
        <v>2866</v>
      </c>
      <c r="C4316" t="s">
        <v>1484</v>
      </c>
      <c r="D4316" t="s">
        <v>2889</v>
      </c>
      <c r="E4316">
        <v>57797</v>
      </c>
      <c r="F4316" s="11">
        <v>1</v>
      </c>
    </row>
    <row r="4317" spans="1:6" x14ac:dyDescent="0.35">
      <c r="A4317" t="s">
        <v>2856</v>
      </c>
      <c r="B4317" t="s">
        <v>2866</v>
      </c>
      <c r="C4317" t="s">
        <v>1484</v>
      </c>
      <c r="D4317" t="s">
        <v>2890</v>
      </c>
      <c r="E4317">
        <v>0</v>
      </c>
      <c r="F4317" s="11">
        <v>1</v>
      </c>
    </row>
    <row r="4318" spans="1:6" x14ac:dyDescent="0.35">
      <c r="A4318" t="s">
        <v>2856</v>
      </c>
      <c r="B4318" t="s">
        <v>2866</v>
      </c>
      <c r="C4318" t="s">
        <v>1484</v>
      </c>
      <c r="D4318" t="s">
        <v>2891</v>
      </c>
      <c r="E4318">
        <v>0</v>
      </c>
      <c r="F4318" s="11">
        <v>1</v>
      </c>
    </row>
    <row r="4319" spans="1:6" x14ac:dyDescent="0.35">
      <c r="A4319" t="s">
        <v>2856</v>
      </c>
      <c r="B4319" t="s">
        <v>2866</v>
      </c>
      <c r="C4319" t="s">
        <v>1484</v>
      </c>
      <c r="D4319" t="s">
        <v>2892</v>
      </c>
      <c r="E4319">
        <v>0</v>
      </c>
      <c r="F4319" s="11">
        <v>0</v>
      </c>
    </row>
    <row r="4320" spans="1:6" x14ac:dyDescent="0.35">
      <c r="A4320" t="s">
        <v>2856</v>
      </c>
      <c r="B4320" t="s">
        <v>2866</v>
      </c>
      <c r="C4320" t="s">
        <v>1484</v>
      </c>
      <c r="D4320" t="s">
        <v>2893</v>
      </c>
      <c r="E4320">
        <v>0</v>
      </c>
      <c r="F4320" s="11">
        <v>0</v>
      </c>
    </row>
    <row r="4321" spans="1:6" x14ac:dyDescent="0.35">
      <c r="A4321" t="s">
        <v>2856</v>
      </c>
      <c r="B4321" t="s">
        <v>2866</v>
      </c>
      <c r="C4321" t="s">
        <v>1484</v>
      </c>
      <c r="D4321" t="s">
        <v>2894</v>
      </c>
      <c r="E4321">
        <v>0</v>
      </c>
      <c r="F4321" s="11">
        <v>0</v>
      </c>
    </row>
    <row r="4322" spans="1:6" x14ac:dyDescent="0.35">
      <c r="A4322" t="s">
        <v>2856</v>
      </c>
      <c r="B4322" t="s">
        <v>2866</v>
      </c>
      <c r="C4322" t="s">
        <v>1484</v>
      </c>
      <c r="D4322" t="s">
        <v>2895</v>
      </c>
      <c r="E4322">
        <v>1373049</v>
      </c>
      <c r="F4322" s="11">
        <v>1</v>
      </c>
    </row>
    <row r="4323" spans="1:6" x14ac:dyDescent="0.35">
      <c r="A4323" t="s">
        <v>2856</v>
      </c>
      <c r="B4323" t="s">
        <v>2866</v>
      </c>
      <c r="C4323" t="s">
        <v>1484</v>
      </c>
      <c r="D4323" t="s">
        <v>2896</v>
      </c>
      <c r="E4323">
        <v>658606</v>
      </c>
      <c r="F4323" s="11">
        <v>1</v>
      </c>
    </row>
    <row r="4324" spans="1:6" x14ac:dyDescent="0.35">
      <c r="A4324" t="s">
        <v>2856</v>
      </c>
      <c r="B4324" t="s">
        <v>2866</v>
      </c>
      <c r="C4324" t="s">
        <v>1484</v>
      </c>
      <c r="D4324" t="s">
        <v>2897</v>
      </c>
      <c r="E4324">
        <v>714473</v>
      </c>
      <c r="F4324" s="11">
        <v>0</v>
      </c>
    </row>
    <row r="4325" spans="1:6" x14ac:dyDescent="0.35">
      <c r="A4325" t="s">
        <v>2856</v>
      </c>
      <c r="B4325" t="s">
        <v>2866</v>
      </c>
      <c r="C4325" t="s">
        <v>1484</v>
      </c>
      <c r="D4325" t="s">
        <v>2898</v>
      </c>
      <c r="E4325">
        <v>0</v>
      </c>
      <c r="F4325" s="11">
        <v>1</v>
      </c>
    </row>
    <row r="4326" spans="1:6" x14ac:dyDescent="0.35">
      <c r="A4326" t="s">
        <v>2856</v>
      </c>
      <c r="B4326" t="s">
        <v>2866</v>
      </c>
      <c r="C4326" t="s">
        <v>1484</v>
      </c>
      <c r="D4326" t="s">
        <v>2899</v>
      </c>
      <c r="E4326">
        <v>6170</v>
      </c>
      <c r="F4326" s="11">
        <v>1</v>
      </c>
    </row>
    <row r="4327" spans="1:6" x14ac:dyDescent="0.35">
      <c r="A4327" t="s">
        <v>2856</v>
      </c>
      <c r="B4327" t="s">
        <v>2866</v>
      </c>
      <c r="C4327" t="s">
        <v>1484</v>
      </c>
      <c r="D4327" t="s">
        <v>2900</v>
      </c>
      <c r="E4327">
        <v>4360</v>
      </c>
      <c r="F4327" s="11">
        <v>1</v>
      </c>
    </row>
    <row r="4328" spans="1:6" x14ac:dyDescent="0.35">
      <c r="A4328" t="s">
        <v>2856</v>
      </c>
      <c r="B4328" t="s">
        <v>2866</v>
      </c>
      <c r="C4328" t="s">
        <v>1484</v>
      </c>
      <c r="D4328" t="s">
        <v>2901</v>
      </c>
      <c r="E4328">
        <v>2080</v>
      </c>
      <c r="F4328" s="11">
        <v>0</v>
      </c>
    </row>
    <row r="4329" spans="1:6" x14ac:dyDescent="0.35">
      <c r="A4329" t="s">
        <v>2856</v>
      </c>
      <c r="B4329" t="s">
        <v>2866</v>
      </c>
      <c r="C4329" t="s">
        <v>1484</v>
      </c>
      <c r="D4329" t="s">
        <v>2902</v>
      </c>
      <c r="E4329">
        <v>0</v>
      </c>
      <c r="F4329" s="11">
        <v>1</v>
      </c>
    </row>
    <row r="4330" spans="1:6" x14ac:dyDescent="0.35">
      <c r="A4330" t="s">
        <v>2856</v>
      </c>
      <c r="B4330" t="s">
        <v>2866</v>
      </c>
      <c r="C4330" t="s">
        <v>1484</v>
      </c>
      <c r="D4330" t="s">
        <v>2903</v>
      </c>
      <c r="E4330">
        <v>50216</v>
      </c>
      <c r="F4330" s="11">
        <v>1</v>
      </c>
    </row>
    <row r="4331" spans="1:6" x14ac:dyDescent="0.35">
      <c r="A4331" t="s">
        <v>2856</v>
      </c>
      <c r="B4331" t="s">
        <v>2866</v>
      </c>
      <c r="C4331" t="s">
        <v>1484</v>
      </c>
      <c r="D4331" t="s">
        <v>2904</v>
      </c>
      <c r="E4331">
        <v>41217</v>
      </c>
      <c r="F4331" s="11">
        <v>1</v>
      </c>
    </row>
    <row r="4332" spans="1:6" x14ac:dyDescent="0.35">
      <c r="A4332" t="s">
        <v>2856</v>
      </c>
      <c r="B4332" t="s">
        <v>2866</v>
      </c>
      <c r="C4332" t="s">
        <v>1484</v>
      </c>
      <c r="D4332" t="s">
        <v>2905</v>
      </c>
      <c r="E4332">
        <v>8999</v>
      </c>
      <c r="F4332" s="11">
        <v>0</v>
      </c>
    </row>
    <row r="4333" spans="1:6" x14ac:dyDescent="0.35">
      <c r="A4333" t="s">
        <v>2856</v>
      </c>
      <c r="B4333" t="s">
        <v>2866</v>
      </c>
      <c r="C4333" t="s">
        <v>1484</v>
      </c>
      <c r="D4333" t="s">
        <v>2906</v>
      </c>
      <c r="E4333">
        <v>0</v>
      </c>
      <c r="F4333" s="11">
        <v>1</v>
      </c>
    </row>
    <row r="4334" spans="1:6" x14ac:dyDescent="0.35">
      <c r="A4334" t="s">
        <v>2856</v>
      </c>
      <c r="B4334" t="s">
        <v>2866</v>
      </c>
      <c r="C4334" t="s">
        <v>1484</v>
      </c>
      <c r="D4334" t="s">
        <v>2907</v>
      </c>
      <c r="E4334">
        <v>48409</v>
      </c>
      <c r="F4334" s="11">
        <v>1</v>
      </c>
    </row>
    <row r="4335" spans="1:6" x14ac:dyDescent="0.35">
      <c r="A4335" t="s">
        <v>2856</v>
      </c>
      <c r="B4335" t="s">
        <v>2866</v>
      </c>
      <c r="C4335" t="s">
        <v>1484</v>
      </c>
      <c r="D4335" t="s">
        <v>2908</v>
      </c>
      <c r="E4335">
        <v>41429</v>
      </c>
      <c r="F4335" s="11">
        <v>1</v>
      </c>
    </row>
    <row r="4336" spans="1:6" x14ac:dyDescent="0.35">
      <c r="A4336" t="s">
        <v>2856</v>
      </c>
      <c r="B4336" t="s">
        <v>2866</v>
      </c>
      <c r="C4336" t="s">
        <v>1484</v>
      </c>
      <c r="D4336" t="s">
        <v>2909</v>
      </c>
      <c r="E4336">
        <v>6904</v>
      </c>
      <c r="F4336" s="11">
        <v>0</v>
      </c>
    </row>
    <row r="4337" spans="1:6" x14ac:dyDescent="0.35">
      <c r="A4337" t="s">
        <v>2856</v>
      </c>
      <c r="B4337" t="s">
        <v>2866</v>
      </c>
      <c r="C4337" t="s">
        <v>1484</v>
      </c>
      <c r="D4337" t="s">
        <v>2910</v>
      </c>
      <c r="E4337">
        <v>0</v>
      </c>
      <c r="F4337" s="11">
        <v>1</v>
      </c>
    </row>
    <row r="4338" spans="1:6" x14ac:dyDescent="0.35">
      <c r="A4338" t="s">
        <v>2856</v>
      </c>
      <c r="B4338" t="s">
        <v>2866</v>
      </c>
      <c r="C4338" t="s">
        <v>1484</v>
      </c>
      <c r="D4338" t="s">
        <v>2911</v>
      </c>
      <c r="E4338">
        <v>1292100</v>
      </c>
      <c r="F4338" s="11">
        <v>1</v>
      </c>
    </row>
    <row r="4339" spans="1:6" x14ac:dyDescent="0.35">
      <c r="A4339" t="s">
        <v>2856</v>
      </c>
      <c r="B4339" t="s">
        <v>2866</v>
      </c>
      <c r="C4339" t="s">
        <v>1484</v>
      </c>
      <c r="D4339" t="s">
        <v>2912</v>
      </c>
      <c r="E4339">
        <v>0</v>
      </c>
      <c r="F4339" s="11">
        <v>0</v>
      </c>
    </row>
    <row r="4340" spans="1:6" x14ac:dyDescent="0.35">
      <c r="A4340" t="s">
        <v>2856</v>
      </c>
      <c r="B4340" t="s">
        <v>2866</v>
      </c>
      <c r="C4340" t="s">
        <v>1484</v>
      </c>
      <c r="D4340" t="s">
        <v>2913</v>
      </c>
      <c r="E4340">
        <v>0</v>
      </c>
      <c r="F4340" s="11">
        <v>0</v>
      </c>
    </row>
    <row r="4341" spans="1:6" x14ac:dyDescent="0.35">
      <c r="A4341" t="s">
        <v>2856</v>
      </c>
      <c r="B4341" t="s">
        <v>2866</v>
      </c>
      <c r="C4341" t="s">
        <v>1484</v>
      </c>
      <c r="D4341" t="s">
        <v>2914</v>
      </c>
      <c r="E4341">
        <v>0</v>
      </c>
      <c r="F4341" s="11">
        <v>0</v>
      </c>
    </row>
    <row r="4342" spans="1:6" x14ac:dyDescent="0.35">
      <c r="A4342" t="s">
        <v>2856</v>
      </c>
      <c r="B4342" t="s">
        <v>2866</v>
      </c>
      <c r="C4342" t="s">
        <v>1484</v>
      </c>
      <c r="D4342" t="s">
        <v>2915</v>
      </c>
      <c r="E4342">
        <v>1364</v>
      </c>
      <c r="F4342" s="11">
        <v>1</v>
      </c>
    </row>
    <row r="4343" spans="1:6" x14ac:dyDescent="0.35">
      <c r="A4343" t="s">
        <v>2856</v>
      </c>
      <c r="B4343" t="s">
        <v>2866</v>
      </c>
      <c r="C4343" t="s">
        <v>1484</v>
      </c>
      <c r="D4343" t="s">
        <v>2916</v>
      </c>
      <c r="E4343">
        <v>115194</v>
      </c>
      <c r="F4343" s="11">
        <v>1</v>
      </c>
    </row>
    <row r="4344" spans="1:6" x14ac:dyDescent="0.35">
      <c r="A4344" t="s">
        <v>2856</v>
      </c>
      <c r="B4344" t="s">
        <v>2866</v>
      </c>
      <c r="C4344" t="s">
        <v>1484</v>
      </c>
      <c r="D4344" t="s">
        <v>2917</v>
      </c>
      <c r="E4344">
        <v>106402</v>
      </c>
      <c r="F4344" s="11">
        <v>1</v>
      </c>
    </row>
    <row r="4345" spans="1:6" x14ac:dyDescent="0.35">
      <c r="A4345" t="s">
        <v>2856</v>
      </c>
      <c r="B4345" t="s">
        <v>2865</v>
      </c>
      <c r="C4345" t="s">
        <v>1496</v>
      </c>
      <c r="D4345" t="s">
        <v>2875</v>
      </c>
      <c r="E4345">
        <v>16850</v>
      </c>
      <c r="F4345" s="11">
        <v>1</v>
      </c>
    </row>
    <row r="4346" spans="1:6" x14ac:dyDescent="0.35">
      <c r="A4346" t="s">
        <v>2856</v>
      </c>
      <c r="B4346" t="s">
        <v>2865</v>
      </c>
      <c r="C4346" t="s">
        <v>1496</v>
      </c>
      <c r="D4346" t="s">
        <v>2876</v>
      </c>
      <c r="E4346">
        <v>0</v>
      </c>
      <c r="F4346" s="11">
        <v>0</v>
      </c>
    </row>
    <row r="4347" spans="1:6" x14ac:dyDescent="0.35">
      <c r="A4347" t="s">
        <v>2856</v>
      </c>
      <c r="B4347" t="s">
        <v>2865</v>
      </c>
      <c r="C4347" t="s">
        <v>1496</v>
      </c>
      <c r="D4347" t="s">
        <v>2877</v>
      </c>
      <c r="E4347">
        <v>0</v>
      </c>
      <c r="F4347" s="11">
        <v>0</v>
      </c>
    </row>
    <row r="4348" spans="1:6" x14ac:dyDescent="0.35">
      <c r="A4348" t="s">
        <v>2856</v>
      </c>
      <c r="B4348" t="s">
        <v>2865</v>
      </c>
      <c r="C4348" t="s">
        <v>1496</v>
      </c>
      <c r="D4348" t="s">
        <v>2878</v>
      </c>
      <c r="E4348">
        <v>0</v>
      </c>
      <c r="F4348" s="11">
        <v>0</v>
      </c>
    </row>
    <row r="4349" spans="1:6" x14ac:dyDescent="0.35">
      <c r="A4349" t="s">
        <v>2856</v>
      </c>
      <c r="B4349" t="s">
        <v>2865</v>
      </c>
      <c r="C4349" t="s">
        <v>1496</v>
      </c>
      <c r="D4349" t="s">
        <v>2879</v>
      </c>
      <c r="E4349">
        <v>3941</v>
      </c>
      <c r="F4349" s="11">
        <v>1</v>
      </c>
    </row>
    <row r="4350" spans="1:6" x14ac:dyDescent="0.35">
      <c r="A4350" t="s">
        <v>2856</v>
      </c>
      <c r="B4350" t="s">
        <v>2865</v>
      </c>
      <c r="C4350" t="s">
        <v>1496</v>
      </c>
      <c r="D4350" t="s">
        <v>2880</v>
      </c>
      <c r="E4350">
        <v>0</v>
      </c>
      <c r="F4350" s="11">
        <v>1</v>
      </c>
    </row>
    <row r="4351" spans="1:6" x14ac:dyDescent="0.35">
      <c r="A4351" t="s">
        <v>2856</v>
      </c>
      <c r="B4351" t="s">
        <v>2865</v>
      </c>
      <c r="C4351" t="s">
        <v>1496</v>
      </c>
      <c r="D4351" t="s">
        <v>2881</v>
      </c>
      <c r="E4351">
        <v>0</v>
      </c>
      <c r="F4351" s="11">
        <v>0</v>
      </c>
    </row>
    <row r="4352" spans="1:6" x14ac:dyDescent="0.35">
      <c r="A4352" t="s">
        <v>2856</v>
      </c>
      <c r="B4352" t="s">
        <v>2865</v>
      </c>
      <c r="C4352" t="s">
        <v>1496</v>
      </c>
      <c r="D4352" t="s">
        <v>2882</v>
      </c>
      <c r="E4352">
        <v>0</v>
      </c>
      <c r="F4352" s="11">
        <v>1</v>
      </c>
    </row>
    <row r="4353" spans="1:6" x14ac:dyDescent="0.35">
      <c r="A4353" t="s">
        <v>2856</v>
      </c>
      <c r="B4353" t="s">
        <v>2865</v>
      </c>
      <c r="C4353" t="s">
        <v>1496</v>
      </c>
      <c r="D4353" t="s">
        <v>2883</v>
      </c>
      <c r="E4353">
        <v>0</v>
      </c>
      <c r="F4353" s="11">
        <v>0</v>
      </c>
    </row>
    <row r="4354" spans="1:6" x14ac:dyDescent="0.35">
      <c r="A4354" t="s">
        <v>2856</v>
      </c>
      <c r="B4354" t="s">
        <v>2865</v>
      </c>
      <c r="C4354" t="s">
        <v>1496</v>
      </c>
      <c r="D4354" t="s">
        <v>2884</v>
      </c>
      <c r="E4354">
        <v>0</v>
      </c>
      <c r="F4354" s="11">
        <v>0</v>
      </c>
    </row>
    <row r="4355" spans="1:6" x14ac:dyDescent="0.35">
      <c r="A4355" t="s">
        <v>2856</v>
      </c>
      <c r="B4355" t="s">
        <v>2865</v>
      </c>
      <c r="C4355" t="s">
        <v>1496</v>
      </c>
      <c r="D4355" t="s">
        <v>2885</v>
      </c>
      <c r="E4355">
        <v>0</v>
      </c>
      <c r="F4355" s="11">
        <v>0</v>
      </c>
    </row>
    <row r="4356" spans="1:6" x14ac:dyDescent="0.35">
      <c r="A4356" t="s">
        <v>2856</v>
      </c>
      <c r="B4356" t="s">
        <v>2865</v>
      </c>
      <c r="C4356" t="s">
        <v>1496</v>
      </c>
      <c r="D4356" t="s">
        <v>2886</v>
      </c>
      <c r="E4356">
        <v>0</v>
      </c>
      <c r="F4356" s="11">
        <v>0</v>
      </c>
    </row>
    <row r="4357" spans="1:6" x14ac:dyDescent="0.35">
      <c r="A4357" t="s">
        <v>2856</v>
      </c>
      <c r="B4357" t="s">
        <v>2865</v>
      </c>
      <c r="C4357" t="s">
        <v>1496</v>
      </c>
      <c r="D4357" t="s">
        <v>2887</v>
      </c>
      <c r="E4357">
        <v>39615</v>
      </c>
      <c r="F4357" s="11">
        <v>1</v>
      </c>
    </row>
    <row r="4358" spans="1:6" x14ac:dyDescent="0.35">
      <c r="A4358" t="s">
        <v>2856</v>
      </c>
      <c r="B4358" t="s">
        <v>2865</v>
      </c>
      <c r="C4358" t="s">
        <v>1496</v>
      </c>
      <c r="D4358" t="s">
        <v>2888</v>
      </c>
      <c r="E4358">
        <v>0</v>
      </c>
      <c r="F4358" s="11">
        <v>1</v>
      </c>
    </row>
    <row r="4359" spans="1:6" x14ac:dyDescent="0.35">
      <c r="A4359" t="s">
        <v>2856</v>
      </c>
      <c r="B4359" t="s">
        <v>2865</v>
      </c>
      <c r="C4359" t="s">
        <v>1496</v>
      </c>
      <c r="D4359" t="s">
        <v>2889</v>
      </c>
      <c r="E4359">
        <v>0</v>
      </c>
      <c r="F4359" s="11">
        <v>0</v>
      </c>
    </row>
    <row r="4360" spans="1:6" x14ac:dyDescent="0.35">
      <c r="A4360" t="s">
        <v>2856</v>
      </c>
      <c r="B4360" t="s">
        <v>2865</v>
      </c>
      <c r="C4360" t="s">
        <v>1496</v>
      </c>
      <c r="D4360" t="s">
        <v>2890</v>
      </c>
      <c r="E4360">
        <v>0</v>
      </c>
      <c r="F4360" s="11">
        <v>1</v>
      </c>
    </row>
    <row r="4361" spans="1:6" x14ac:dyDescent="0.35">
      <c r="A4361" t="s">
        <v>2856</v>
      </c>
      <c r="B4361" t="s">
        <v>2865</v>
      </c>
      <c r="C4361" t="s">
        <v>1496</v>
      </c>
      <c r="D4361" t="s">
        <v>2891</v>
      </c>
      <c r="E4361">
        <v>0</v>
      </c>
      <c r="F4361" s="11">
        <v>0</v>
      </c>
    </row>
    <row r="4362" spans="1:6" x14ac:dyDescent="0.35">
      <c r="A4362" t="s">
        <v>2856</v>
      </c>
      <c r="B4362" t="s">
        <v>2865</v>
      </c>
      <c r="C4362" t="s">
        <v>1496</v>
      </c>
      <c r="D4362" t="s">
        <v>2892</v>
      </c>
      <c r="E4362">
        <v>0</v>
      </c>
      <c r="F4362" s="11">
        <v>0</v>
      </c>
    </row>
    <row r="4363" spans="1:6" x14ac:dyDescent="0.35">
      <c r="A4363" t="s">
        <v>2856</v>
      </c>
      <c r="B4363" t="s">
        <v>2865</v>
      </c>
      <c r="C4363" t="s">
        <v>1496</v>
      </c>
      <c r="D4363" t="s">
        <v>2893</v>
      </c>
      <c r="E4363">
        <v>0</v>
      </c>
      <c r="F4363" s="11">
        <v>0</v>
      </c>
    </row>
    <row r="4364" spans="1:6" x14ac:dyDescent="0.35">
      <c r="A4364" t="s">
        <v>2856</v>
      </c>
      <c r="B4364" t="s">
        <v>2865</v>
      </c>
      <c r="C4364" t="s">
        <v>1496</v>
      </c>
      <c r="D4364" t="s">
        <v>2894</v>
      </c>
      <c r="E4364">
        <v>0</v>
      </c>
      <c r="F4364" s="11">
        <v>0</v>
      </c>
    </row>
    <row r="4365" spans="1:6" x14ac:dyDescent="0.35">
      <c r="A4365" t="s">
        <v>2856</v>
      </c>
      <c r="B4365" t="s">
        <v>2865</v>
      </c>
      <c r="C4365" t="s">
        <v>1496</v>
      </c>
      <c r="D4365" t="s">
        <v>2895</v>
      </c>
      <c r="E4365">
        <v>266566</v>
      </c>
      <c r="F4365" s="11">
        <v>1</v>
      </c>
    </row>
    <row r="4366" spans="1:6" x14ac:dyDescent="0.35">
      <c r="A4366" t="s">
        <v>2856</v>
      </c>
      <c r="B4366" t="s">
        <v>2865</v>
      </c>
      <c r="C4366" t="s">
        <v>1496</v>
      </c>
      <c r="D4366" t="s">
        <v>2896</v>
      </c>
      <c r="E4366">
        <v>0</v>
      </c>
      <c r="F4366" s="11">
        <v>0</v>
      </c>
    </row>
    <row r="4367" spans="1:6" x14ac:dyDescent="0.35">
      <c r="A4367" t="s">
        <v>2856</v>
      </c>
      <c r="B4367" t="s">
        <v>2865</v>
      </c>
      <c r="C4367" t="s">
        <v>1496</v>
      </c>
      <c r="D4367" t="s">
        <v>2897</v>
      </c>
      <c r="E4367">
        <v>0</v>
      </c>
      <c r="F4367" s="11">
        <v>0</v>
      </c>
    </row>
    <row r="4368" spans="1:6" x14ac:dyDescent="0.35">
      <c r="A4368" t="s">
        <v>2856</v>
      </c>
      <c r="B4368" t="s">
        <v>2865</v>
      </c>
      <c r="C4368" t="s">
        <v>1496</v>
      </c>
      <c r="D4368" t="s">
        <v>2898</v>
      </c>
      <c r="E4368">
        <v>0</v>
      </c>
      <c r="F4368" s="11">
        <v>0</v>
      </c>
    </row>
    <row r="4369" spans="1:6" x14ac:dyDescent="0.35">
      <c r="A4369" t="s">
        <v>2856</v>
      </c>
      <c r="B4369" t="s">
        <v>2865</v>
      </c>
      <c r="C4369" t="s">
        <v>1496</v>
      </c>
      <c r="D4369" t="s">
        <v>2899</v>
      </c>
      <c r="E4369">
        <v>0</v>
      </c>
      <c r="F4369" s="11">
        <v>0</v>
      </c>
    </row>
    <row r="4370" spans="1:6" x14ac:dyDescent="0.35">
      <c r="A4370" t="s">
        <v>2856</v>
      </c>
      <c r="B4370" t="s">
        <v>2865</v>
      </c>
      <c r="C4370" t="s">
        <v>1496</v>
      </c>
      <c r="D4370" t="s">
        <v>2900</v>
      </c>
      <c r="E4370">
        <v>0</v>
      </c>
      <c r="F4370" s="11">
        <v>0</v>
      </c>
    </row>
    <row r="4371" spans="1:6" x14ac:dyDescent="0.35">
      <c r="A4371" t="s">
        <v>2856</v>
      </c>
      <c r="B4371" t="s">
        <v>2865</v>
      </c>
      <c r="C4371" t="s">
        <v>1496</v>
      </c>
      <c r="D4371" t="s">
        <v>2901</v>
      </c>
      <c r="E4371">
        <v>0</v>
      </c>
      <c r="F4371" s="11">
        <v>0</v>
      </c>
    </row>
    <row r="4372" spans="1:6" x14ac:dyDescent="0.35">
      <c r="A4372" t="s">
        <v>2856</v>
      </c>
      <c r="B4372" t="s">
        <v>2865</v>
      </c>
      <c r="C4372" t="s">
        <v>1496</v>
      </c>
      <c r="D4372" t="s">
        <v>2902</v>
      </c>
      <c r="E4372">
        <v>0</v>
      </c>
      <c r="F4372" s="11">
        <v>0</v>
      </c>
    </row>
    <row r="4373" spans="1:6" x14ac:dyDescent="0.35">
      <c r="A4373" t="s">
        <v>2856</v>
      </c>
      <c r="B4373" t="s">
        <v>2865</v>
      </c>
      <c r="C4373" t="s">
        <v>1496</v>
      </c>
      <c r="D4373" t="s">
        <v>2903</v>
      </c>
      <c r="E4373">
        <v>26288</v>
      </c>
      <c r="F4373" s="11">
        <v>1</v>
      </c>
    </row>
    <row r="4374" spans="1:6" x14ac:dyDescent="0.35">
      <c r="A4374" t="s">
        <v>2856</v>
      </c>
      <c r="B4374" t="s">
        <v>2865</v>
      </c>
      <c r="C4374" t="s">
        <v>1496</v>
      </c>
      <c r="D4374" t="s">
        <v>2904</v>
      </c>
      <c r="E4374">
        <v>0</v>
      </c>
      <c r="F4374" s="11">
        <v>0</v>
      </c>
    </row>
    <row r="4375" spans="1:6" x14ac:dyDescent="0.35">
      <c r="A4375" t="s">
        <v>2856</v>
      </c>
      <c r="B4375" t="s">
        <v>2865</v>
      </c>
      <c r="C4375" t="s">
        <v>1496</v>
      </c>
      <c r="D4375" t="s">
        <v>2905</v>
      </c>
      <c r="E4375">
        <v>0</v>
      </c>
      <c r="F4375" s="11">
        <v>0</v>
      </c>
    </row>
    <row r="4376" spans="1:6" x14ac:dyDescent="0.35">
      <c r="A4376" t="s">
        <v>2856</v>
      </c>
      <c r="B4376" t="s">
        <v>2865</v>
      </c>
      <c r="C4376" t="s">
        <v>1496</v>
      </c>
      <c r="D4376" t="s">
        <v>2906</v>
      </c>
      <c r="E4376">
        <v>0</v>
      </c>
      <c r="F4376" s="11">
        <v>0</v>
      </c>
    </row>
    <row r="4377" spans="1:6" x14ac:dyDescent="0.35">
      <c r="A4377" t="s">
        <v>2856</v>
      </c>
      <c r="B4377" t="s">
        <v>2865</v>
      </c>
      <c r="C4377" t="s">
        <v>1496</v>
      </c>
      <c r="D4377" t="s">
        <v>2907</v>
      </c>
      <c r="E4377">
        <v>0</v>
      </c>
      <c r="F4377" s="11">
        <v>1</v>
      </c>
    </row>
    <row r="4378" spans="1:6" x14ac:dyDescent="0.35">
      <c r="A4378" t="s">
        <v>2856</v>
      </c>
      <c r="B4378" t="s">
        <v>2865</v>
      </c>
      <c r="C4378" t="s">
        <v>1496</v>
      </c>
      <c r="D4378" t="s">
        <v>2908</v>
      </c>
      <c r="E4378">
        <v>0</v>
      </c>
      <c r="F4378" s="11">
        <v>0</v>
      </c>
    </row>
    <row r="4379" spans="1:6" x14ac:dyDescent="0.35">
      <c r="A4379" t="s">
        <v>2856</v>
      </c>
      <c r="B4379" t="s">
        <v>2865</v>
      </c>
      <c r="C4379" t="s">
        <v>1496</v>
      </c>
      <c r="D4379" t="s">
        <v>2909</v>
      </c>
      <c r="E4379">
        <v>0</v>
      </c>
      <c r="F4379" s="11">
        <v>0</v>
      </c>
    </row>
    <row r="4380" spans="1:6" x14ac:dyDescent="0.35">
      <c r="A4380" t="s">
        <v>2856</v>
      </c>
      <c r="B4380" t="s">
        <v>2865</v>
      </c>
      <c r="C4380" t="s">
        <v>1496</v>
      </c>
      <c r="D4380" t="s">
        <v>2910</v>
      </c>
      <c r="E4380">
        <v>0</v>
      </c>
      <c r="F4380" s="11">
        <v>0</v>
      </c>
    </row>
    <row r="4381" spans="1:6" x14ac:dyDescent="0.35">
      <c r="A4381" t="s">
        <v>2856</v>
      </c>
      <c r="B4381" t="s">
        <v>2865</v>
      </c>
      <c r="C4381" t="s">
        <v>1496</v>
      </c>
      <c r="D4381" t="s">
        <v>2911</v>
      </c>
      <c r="E4381">
        <v>298122</v>
      </c>
      <c r="F4381" s="11">
        <v>1</v>
      </c>
    </row>
    <row r="4382" spans="1:6" x14ac:dyDescent="0.35">
      <c r="A4382" t="s">
        <v>2856</v>
      </c>
      <c r="B4382" t="s">
        <v>2865</v>
      </c>
      <c r="C4382" t="s">
        <v>1496</v>
      </c>
      <c r="D4382" t="s">
        <v>2912</v>
      </c>
      <c r="E4382">
        <v>200536</v>
      </c>
      <c r="F4382" s="11">
        <v>1</v>
      </c>
    </row>
    <row r="4383" spans="1:6" x14ac:dyDescent="0.35">
      <c r="A4383" t="s">
        <v>2856</v>
      </c>
      <c r="B4383" t="s">
        <v>2865</v>
      </c>
      <c r="C4383" t="s">
        <v>1496</v>
      </c>
      <c r="D4383" t="s">
        <v>2913</v>
      </c>
      <c r="E4383">
        <v>0</v>
      </c>
      <c r="F4383" s="11">
        <v>0</v>
      </c>
    </row>
    <row r="4384" spans="1:6" x14ac:dyDescent="0.35">
      <c r="A4384" t="s">
        <v>2856</v>
      </c>
      <c r="B4384" t="s">
        <v>2865</v>
      </c>
      <c r="C4384" t="s">
        <v>1496</v>
      </c>
      <c r="D4384" t="s">
        <v>2914</v>
      </c>
      <c r="E4384">
        <v>0</v>
      </c>
      <c r="F4384" s="11">
        <v>0</v>
      </c>
    </row>
    <row r="4385" spans="1:6" x14ac:dyDescent="0.35">
      <c r="A4385" t="s">
        <v>2856</v>
      </c>
      <c r="B4385" t="s">
        <v>2865</v>
      </c>
      <c r="C4385" t="s">
        <v>1496</v>
      </c>
      <c r="D4385" t="s">
        <v>2915</v>
      </c>
      <c r="E4385">
        <v>0</v>
      </c>
      <c r="F4385" s="11">
        <v>0</v>
      </c>
    </row>
    <row r="4386" spans="1:6" x14ac:dyDescent="0.35">
      <c r="A4386" t="s">
        <v>2856</v>
      </c>
      <c r="B4386" t="s">
        <v>2865</v>
      </c>
      <c r="C4386" t="s">
        <v>1496</v>
      </c>
      <c r="D4386" t="s">
        <v>2916</v>
      </c>
      <c r="E4386">
        <v>11390</v>
      </c>
      <c r="F4386" s="11">
        <v>1</v>
      </c>
    </row>
    <row r="4387" spans="1:6" x14ac:dyDescent="0.35">
      <c r="A4387" t="s">
        <v>2856</v>
      </c>
      <c r="B4387" t="s">
        <v>2865</v>
      </c>
      <c r="C4387" t="s">
        <v>1496</v>
      </c>
      <c r="D4387" t="s">
        <v>2917</v>
      </c>
      <c r="E4387">
        <v>0</v>
      </c>
      <c r="F4387" s="11">
        <v>0</v>
      </c>
    </row>
    <row r="4388" spans="1:6" x14ac:dyDescent="0.35">
      <c r="A4388" t="s">
        <v>2856</v>
      </c>
      <c r="B4388" t="s">
        <v>2863</v>
      </c>
      <c r="C4388" t="s">
        <v>1397</v>
      </c>
      <c r="D4388" t="s">
        <v>2875</v>
      </c>
      <c r="E4388">
        <v>40106</v>
      </c>
      <c r="F4388" s="11">
        <v>1</v>
      </c>
    </row>
    <row r="4389" spans="1:6" x14ac:dyDescent="0.35">
      <c r="A4389" t="s">
        <v>2856</v>
      </c>
      <c r="B4389" t="s">
        <v>2863</v>
      </c>
      <c r="C4389" t="s">
        <v>1397</v>
      </c>
      <c r="D4389" t="s">
        <v>2876</v>
      </c>
      <c r="E4389">
        <v>0</v>
      </c>
      <c r="F4389" s="11">
        <v>1</v>
      </c>
    </row>
    <row r="4390" spans="1:6" x14ac:dyDescent="0.35">
      <c r="A4390" t="s">
        <v>2856</v>
      </c>
      <c r="B4390" t="s">
        <v>2863</v>
      </c>
      <c r="C4390" t="s">
        <v>1397</v>
      </c>
      <c r="D4390" t="s">
        <v>2877</v>
      </c>
      <c r="E4390">
        <v>0</v>
      </c>
      <c r="F4390" s="11">
        <v>1</v>
      </c>
    </row>
    <row r="4391" spans="1:6" x14ac:dyDescent="0.35">
      <c r="A4391" t="s">
        <v>2856</v>
      </c>
      <c r="B4391" t="s">
        <v>2863</v>
      </c>
      <c r="C4391" t="s">
        <v>1397</v>
      </c>
      <c r="D4391" t="s">
        <v>2878</v>
      </c>
      <c r="E4391">
        <v>0</v>
      </c>
      <c r="F4391" s="11">
        <v>1</v>
      </c>
    </row>
    <row r="4392" spans="1:6" x14ac:dyDescent="0.35">
      <c r="A4392" t="s">
        <v>2856</v>
      </c>
      <c r="B4392" t="s">
        <v>2863</v>
      </c>
      <c r="C4392" t="s">
        <v>1397</v>
      </c>
      <c r="D4392" t="s">
        <v>2879</v>
      </c>
      <c r="E4392">
        <v>7290</v>
      </c>
      <c r="F4392" s="11">
        <v>1</v>
      </c>
    </row>
    <row r="4393" spans="1:6" x14ac:dyDescent="0.35">
      <c r="A4393" t="s">
        <v>2856</v>
      </c>
      <c r="B4393" t="s">
        <v>2863</v>
      </c>
      <c r="C4393" t="s">
        <v>1397</v>
      </c>
      <c r="D4393" t="s">
        <v>2880</v>
      </c>
      <c r="E4393">
        <v>2400</v>
      </c>
      <c r="F4393" s="11">
        <v>1</v>
      </c>
    </row>
    <row r="4394" spans="1:6" x14ac:dyDescent="0.35">
      <c r="A4394" t="s">
        <v>2856</v>
      </c>
      <c r="B4394" t="s">
        <v>2863</v>
      </c>
      <c r="C4394" t="s">
        <v>1397</v>
      </c>
      <c r="D4394" t="s">
        <v>2881</v>
      </c>
      <c r="E4394">
        <v>4890</v>
      </c>
      <c r="F4394" s="11">
        <v>1</v>
      </c>
    </row>
    <row r="4395" spans="1:6" x14ac:dyDescent="0.35">
      <c r="A4395" t="s">
        <v>2856</v>
      </c>
      <c r="B4395" t="s">
        <v>2863</v>
      </c>
      <c r="C4395" t="s">
        <v>1397</v>
      </c>
      <c r="D4395" t="s">
        <v>2882</v>
      </c>
      <c r="E4395">
        <v>0</v>
      </c>
      <c r="F4395" s="11">
        <v>1</v>
      </c>
    </row>
    <row r="4396" spans="1:6" x14ac:dyDescent="0.35">
      <c r="A4396" t="s">
        <v>2856</v>
      </c>
      <c r="B4396" t="s">
        <v>2863</v>
      </c>
      <c r="C4396" t="s">
        <v>1397</v>
      </c>
      <c r="D4396" t="s">
        <v>2883</v>
      </c>
      <c r="E4396">
        <v>560</v>
      </c>
      <c r="F4396" s="11">
        <v>1</v>
      </c>
    </row>
    <row r="4397" spans="1:6" x14ac:dyDescent="0.35">
      <c r="A4397" t="s">
        <v>2856</v>
      </c>
      <c r="B4397" t="s">
        <v>2863</v>
      </c>
      <c r="C4397" t="s">
        <v>1397</v>
      </c>
      <c r="D4397" t="s">
        <v>2884</v>
      </c>
      <c r="E4397">
        <v>6</v>
      </c>
      <c r="F4397" s="11">
        <v>1</v>
      </c>
    </row>
    <row r="4398" spans="1:6" x14ac:dyDescent="0.35">
      <c r="A4398" t="s">
        <v>2856</v>
      </c>
      <c r="B4398" t="s">
        <v>2863</v>
      </c>
      <c r="C4398" t="s">
        <v>1397</v>
      </c>
      <c r="D4398" t="s">
        <v>2885</v>
      </c>
      <c r="E4398">
        <v>554</v>
      </c>
      <c r="F4398" s="11">
        <v>1</v>
      </c>
    </row>
    <row r="4399" spans="1:6" x14ac:dyDescent="0.35">
      <c r="A4399" t="s">
        <v>2856</v>
      </c>
      <c r="B4399" t="s">
        <v>2863</v>
      </c>
      <c r="C4399" t="s">
        <v>1397</v>
      </c>
      <c r="D4399" t="s">
        <v>2886</v>
      </c>
      <c r="E4399">
        <v>0</v>
      </c>
      <c r="F4399" s="11">
        <v>1</v>
      </c>
    </row>
    <row r="4400" spans="1:6" x14ac:dyDescent="0.35">
      <c r="A4400" t="s">
        <v>2856</v>
      </c>
      <c r="B4400" t="s">
        <v>2863</v>
      </c>
      <c r="C4400" t="s">
        <v>1397</v>
      </c>
      <c r="D4400" t="s">
        <v>2887</v>
      </c>
      <c r="E4400">
        <v>123085</v>
      </c>
      <c r="F4400" s="11">
        <v>1</v>
      </c>
    </row>
    <row r="4401" spans="1:6" x14ac:dyDescent="0.35">
      <c r="A4401" t="s">
        <v>2856</v>
      </c>
      <c r="B4401" t="s">
        <v>2863</v>
      </c>
      <c r="C4401" t="s">
        <v>1397</v>
      </c>
      <c r="D4401" t="s">
        <v>2888</v>
      </c>
      <c r="E4401">
        <v>64519</v>
      </c>
      <c r="F4401" s="11">
        <v>1</v>
      </c>
    </row>
    <row r="4402" spans="1:6" x14ac:dyDescent="0.35">
      <c r="A4402" t="s">
        <v>2856</v>
      </c>
      <c r="B4402" t="s">
        <v>2863</v>
      </c>
      <c r="C4402" t="s">
        <v>1397</v>
      </c>
      <c r="D4402" t="s">
        <v>2889</v>
      </c>
      <c r="E4402">
        <v>57127</v>
      </c>
      <c r="F4402" s="11">
        <v>1</v>
      </c>
    </row>
    <row r="4403" spans="1:6" x14ac:dyDescent="0.35">
      <c r="A4403" t="s">
        <v>2856</v>
      </c>
      <c r="B4403" t="s">
        <v>2863</v>
      </c>
      <c r="C4403" t="s">
        <v>1397</v>
      </c>
      <c r="D4403" t="s">
        <v>2890</v>
      </c>
      <c r="E4403">
        <v>1439</v>
      </c>
      <c r="F4403" s="11">
        <v>1</v>
      </c>
    </row>
    <row r="4404" spans="1:6" x14ac:dyDescent="0.35">
      <c r="A4404" t="s">
        <v>2856</v>
      </c>
      <c r="B4404" t="s">
        <v>2863</v>
      </c>
      <c r="C4404" t="s">
        <v>1397</v>
      </c>
      <c r="D4404" t="s">
        <v>2891</v>
      </c>
      <c r="E4404">
        <v>2597</v>
      </c>
      <c r="F4404" s="11">
        <v>1</v>
      </c>
    </row>
    <row r="4405" spans="1:6" x14ac:dyDescent="0.35">
      <c r="A4405" t="s">
        <v>2856</v>
      </c>
      <c r="B4405" t="s">
        <v>2863</v>
      </c>
      <c r="C4405" t="s">
        <v>1397</v>
      </c>
      <c r="D4405" t="s">
        <v>2892</v>
      </c>
      <c r="E4405">
        <v>1594</v>
      </c>
      <c r="F4405" s="11">
        <v>1</v>
      </c>
    </row>
    <row r="4406" spans="1:6" x14ac:dyDescent="0.35">
      <c r="A4406" t="s">
        <v>2856</v>
      </c>
      <c r="B4406" t="s">
        <v>2863</v>
      </c>
      <c r="C4406" t="s">
        <v>1397</v>
      </c>
      <c r="D4406" t="s">
        <v>2893</v>
      </c>
      <c r="E4406">
        <v>914</v>
      </c>
      <c r="F4406" s="11">
        <v>1</v>
      </c>
    </row>
    <row r="4407" spans="1:6" x14ac:dyDescent="0.35">
      <c r="A4407" t="s">
        <v>2856</v>
      </c>
      <c r="B4407" t="s">
        <v>2863</v>
      </c>
      <c r="C4407" t="s">
        <v>1397</v>
      </c>
      <c r="D4407" t="s">
        <v>2894</v>
      </c>
      <c r="E4407">
        <v>89</v>
      </c>
      <c r="F4407" s="11">
        <v>1</v>
      </c>
    </row>
    <row r="4408" spans="1:6" x14ac:dyDescent="0.35">
      <c r="A4408" t="s">
        <v>2856</v>
      </c>
      <c r="B4408" t="s">
        <v>2863</v>
      </c>
      <c r="C4408" t="s">
        <v>1397</v>
      </c>
      <c r="D4408" t="s">
        <v>2895</v>
      </c>
      <c r="E4408">
        <v>1342811</v>
      </c>
      <c r="F4408" s="11">
        <v>1</v>
      </c>
    </row>
    <row r="4409" spans="1:6" x14ac:dyDescent="0.35">
      <c r="A4409" t="s">
        <v>2856</v>
      </c>
      <c r="B4409" t="s">
        <v>2863</v>
      </c>
      <c r="C4409" t="s">
        <v>1397</v>
      </c>
      <c r="D4409" t="s">
        <v>2896</v>
      </c>
      <c r="E4409">
        <v>607707</v>
      </c>
      <c r="F4409" s="11">
        <v>1</v>
      </c>
    </row>
    <row r="4410" spans="1:6" x14ac:dyDescent="0.35">
      <c r="A4410" t="s">
        <v>2856</v>
      </c>
      <c r="B4410" t="s">
        <v>2863</v>
      </c>
      <c r="C4410" t="s">
        <v>1397</v>
      </c>
      <c r="D4410" t="s">
        <v>2897</v>
      </c>
      <c r="E4410">
        <v>638498</v>
      </c>
      <c r="F4410" s="11">
        <v>0</v>
      </c>
    </row>
    <row r="4411" spans="1:6" x14ac:dyDescent="0.35">
      <c r="A4411" t="s">
        <v>2856</v>
      </c>
      <c r="B4411" t="s">
        <v>2863</v>
      </c>
      <c r="C4411" t="s">
        <v>1397</v>
      </c>
      <c r="D4411" t="s">
        <v>2898</v>
      </c>
      <c r="E4411">
        <v>0</v>
      </c>
      <c r="F4411" s="11">
        <v>1</v>
      </c>
    </row>
    <row r="4412" spans="1:6" x14ac:dyDescent="0.35">
      <c r="A4412" t="s">
        <v>2856</v>
      </c>
      <c r="B4412" t="s">
        <v>2863</v>
      </c>
      <c r="C4412" t="s">
        <v>1397</v>
      </c>
      <c r="D4412" t="s">
        <v>2899</v>
      </c>
      <c r="E4412">
        <v>12472</v>
      </c>
      <c r="F4412" s="11">
        <v>1</v>
      </c>
    </row>
    <row r="4413" spans="1:6" x14ac:dyDescent="0.35">
      <c r="A4413" t="s">
        <v>2856</v>
      </c>
      <c r="B4413" t="s">
        <v>2863</v>
      </c>
      <c r="C4413" t="s">
        <v>1397</v>
      </c>
      <c r="D4413" t="s">
        <v>2900</v>
      </c>
      <c r="E4413">
        <v>0</v>
      </c>
      <c r="F4413" s="11">
        <v>0</v>
      </c>
    </row>
    <row r="4414" spans="1:6" x14ac:dyDescent="0.35">
      <c r="A4414" t="s">
        <v>2856</v>
      </c>
      <c r="B4414" t="s">
        <v>2863</v>
      </c>
      <c r="C4414" t="s">
        <v>1397</v>
      </c>
      <c r="D4414" t="s">
        <v>2901</v>
      </c>
      <c r="E4414">
        <v>0</v>
      </c>
      <c r="F4414" s="11">
        <v>0</v>
      </c>
    </row>
    <row r="4415" spans="1:6" x14ac:dyDescent="0.35">
      <c r="A4415" t="s">
        <v>2856</v>
      </c>
      <c r="B4415" t="s">
        <v>2863</v>
      </c>
      <c r="C4415" t="s">
        <v>1397</v>
      </c>
      <c r="D4415" t="s">
        <v>2902</v>
      </c>
      <c r="E4415">
        <v>0</v>
      </c>
      <c r="F4415" s="11">
        <v>0</v>
      </c>
    </row>
    <row r="4416" spans="1:6" x14ac:dyDescent="0.35">
      <c r="A4416" t="s">
        <v>2856</v>
      </c>
      <c r="B4416" t="s">
        <v>2863</v>
      </c>
      <c r="C4416" t="s">
        <v>1397</v>
      </c>
      <c r="D4416" t="s">
        <v>2903</v>
      </c>
      <c r="E4416">
        <v>95749</v>
      </c>
      <c r="F4416" s="11">
        <v>1</v>
      </c>
    </row>
    <row r="4417" spans="1:6" x14ac:dyDescent="0.35">
      <c r="A4417" t="s">
        <v>2856</v>
      </c>
      <c r="B4417" t="s">
        <v>2863</v>
      </c>
      <c r="C4417" t="s">
        <v>1397</v>
      </c>
      <c r="D4417" t="s">
        <v>2904</v>
      </c>
      <c r="E4417">
        <v>0</v>
      </c>
      <c r="F4417" s="11">
        <v>0</v>
      </c>
    </row>
    <row r="4418" spans="1:6" x14ac:dyDescent="0.35">
      <c r="A4418" t="s">
        <v>2856</v>
      </c>
      <c r="B4418" t="s">
        <v>2863</v>
      </c>
      <c r="C4418" t="s">
        <v>1397</v>
      </c>
      <c r="D4418" t="s">
        <v>2905</v>
      </c>
      <c r="E4418">
        <v>0</v>
      </c>
      <c r="F4418" s="11">
        <v>0</v>
      </c>
    </row>
    <row r="4419" spans="1:6" x14ac:dyDescent="0.35">
      <c r="A4419" t="s">
        <v>2856</v>
      </c>
      <c r="B4419" t="s">
        <v>2863</v>
      </c>
      <c r="C4419" t="s">
        <v>1397</v>
      </c>
      <c r="D4419" t="s">
        <v>2906</v>
      </c>
      <c r="E4419">
        <v>0</v>
      </c>
      <c r="F4419" s="11">
        <v>0</v>
      </c>
    </row>
    <row r="4420" spans="1:6" x14ac:dyDescent="0.35">
      <c r="A4420" t="s">
        <v>2856</v>
      </c>
      <c r="B4420" t="s">
        <v>2863</v>
      </c>
      <c r="C4420" t="s">
        <v>1397</v>
      </c>
      <c r="D4420" t="s">
        <v>2907</v>
      </c>
      <c r="E4420">
        <v>217899</v>
      </c>
      <c r="F4420" s="11">
        <v>1</v>
      </c>
    </row>
    <row r="4421" spans="1:6" x14ac:dyDescent="0.35">
      <c r="A4421" t="s">
        <v>2856</v>
      </c>
      <c r="B4421" t="s">
        <v>2863</v>
      </c>
      <c r="C4421" t="s">
        <v>1397</v>
      </c>
      <c r="D4421" t="s">
        <v>2908</v>
      </c>
      <c r="E4421">
        <v>0</v>
      </c>
      <c r="F4421" s="11">
        <v>0</v>
      </c>
    </row>
    <row r="4422" spans="1:6" x14ac:dyDescent="0.35">
      <c r="A4422" t="s">
        <v>2856</v>
      </c>
      <c r="B4422" t="s">
        <v>2863</v>
      </c>
      <c r="C4422" t="s">
        <v>1397</v>
      </c>
      <c r="D4422" t="s">
        <v>2909</v>
      </c>
      <c r="E4422">
        <v>0</v>
      </c>
      <c r="F4422" s="11">
        <v>0</v>
      </c>
    </row>
    <row r="4423" spans="1:6" x14ac:dyDescent="0.35">
      <c r="A4423" t="s">
        <v>2856</v>
      </c>
      <c r="B4423" t="s">
        <v>2863</v>
      </c>
      <c r="C4423" t="s">
        <v>1397</v>
      </c>
      <c r="D4423" t="s">
        <v>2910</v>
      </c>
      <c r="E4423">
        <v>0</v>
      </c>
      <c r="F4423" s="11">
        <v>0</v>
      </c>
    </row>
    <row r="4424" spans="1:6" x14ac:dyDescent="0.35">
      <c r="A4424" t="s">
        <v>2856</v>
      </c>
      <c r="B4424" t="s">
        <v>2863</v>
      </c>
      <c r="C4424" t="s">
        <v>1397</v>
      </c>
      <c r="D4424" t="s">
        <v>2911</v>
      </c>
      <c r="E4424">
        <v>1168327</v>
      </c>
      <c r="F4424" s="11">
        <v>1</v>
      </c>
    </row>
    <row r="4425" spans="1:6" x14ac:dyDescent="0.35">
      <c r="A4425" t="s">
        <v>2856</v>
      </c>
      <c r="B4425" t="s">
        <v>2863</v>
      </c>
      <c r="C4425" t="s">
        <v>1397</v>
      </c>
      <c r="D4425" t="s">
        <v>2912</v>
      </c>
      <c r="E4425">
        <v>55425</v>
      </c>
      <c r="F4425" s="11">
        <v>1</v>
      </c>
    </row>
    <row r="4426" spans="1:6" x14ac:dyDescent="0.35">
      <c r="A4426" t="s">
        <v>2856</v>
      </c>
      <c r="B4426" t="s">
        <v>2863</v>
      </c>
      <c r="C4426" t="s">
        <v>1397</v>
      </c>
      <c r="D4426" t="s">
        <v>2913</v>
      </c>
      <c r="E4426">
        <v>0</v>
      </c>
      <c r="F4426" s="11">
        <v>0</v>
      </c>
    </row>
    <row r="4427" spans="1:6" x14ac:dyDescent="0.35">
      <c r="A4427" t="s">
        <v>2856</v>
      </c>
      <c r="B4427" t="s">
        <v>2863</v>
      </c>
      <c r="C4427" t="s">
        <v>1397</v>
      </c>
      <c r="D4427" t="s">
        <v>2914</v>
      </c>
      <c r="E4427">
        <v>13267</v>
      </c>
      <c r="F4427" s="11">
        <v>1</v>
      </c>
    </row>
    <row r="4428" spans="1:6" x14ac:dyDescent="0.35">
      <c r="A4428" t="s">
        <v>2856</v>
      </c>
      <c r="B4428" t="s">
        <v>2863</v>
      </c>
      <c r="C4428" t="s">
        <v>1397</v>
      </c>
      <c r="D4428" t="s">
        <v>2915</v>
      </c>
      <c r="E4428">
        <v>3817</v>
      </c>
      <c r="F4428" s="11">
        <v>1</v>
      </c>
    </row>
    <row r="4429" spans="1:6" x14ac:dyDescent="0.35">
      <c r="A4429" t="s">
        <v>2856</v>
      </c>
      <c r="B4429" t="s">
        <v>2863</v>
      </c>
      <c r="C4429" t="s">
        <v>1397</v>
      </c>
      <c r="D4429" t="s">
        <v>2916</v>
      </c>
      <c r="E4429">
        <v>65330</v>
      </c>
      <c r="F4429" s="11">
        <v>1</v>
      </c>
    </row>
    <row r="4430" spans="1:6" x14ac:dyDescent="0.35">
      <c r="A4430" t="s">
        <v>2856</v>
      </c>
      <c r="B4430" t="s">
        <v>2863</v>
      </c>
      <c r="C4430" t="s">
        <v>1397</v>
      </c>
      <c r="D4430" t="s">
        <v>2917</v>
      </c>
      <c r="E4430">
        <v>243775</v>
      </c>
      <c r="F4430" s="11">
        <v>1</v>
      </c>
    </row>
    <row r="4431" spans="1:6" x14ac:dyDescent="0.35">
      <c r="A4431" t="s">
        <v>2856</v>
      </c>
      <c r="B4431" t="s">
        <v>2862</v>
      </c>
      <c r="C4431" t="s">
        <v>1380</v>
      </c>
      <c r="D4431" t="s">
        <v>2875</v>
      </c>
      <c r="E4431">
        <v>21447</v>
      </c>
      <c r="F4431" s="11">
        <v>1</v>
      </c>
    </row>
    <row r="4432" spans="1:6" x14ac:dyDescent="0.35">
      <c r="A4432" t="s">
        <v>2856</v>
      </c>
      <c r="B4432" t="s">
        <v>2862</v>
      </c>
      <c r="C4432" t="s">
        <v>1380</v>
      </c>
      <c r="D4432" t="s">
        <v>2876</v>
      </c>
      <c r="E4432">
        <v>0</v>
      </c>
      <c r="F4432" s="11">
        <v>1</v>
      </c>
    </row>
    <row r="4433" spans="1:6" x14ac:dyDescent="0.35">
      <c r="A4433" t="s">
        <v>2856</v>
      </c>
      <c r="B4433" t="s">
        <v>2862</v>
      </c>
      <c r="C4433" t="s">
        <v>1380</v>
      </c>
      <c r="D4433" t="s">
        <v>2877</v>
      </c>
      <c r="E4433">
        <v>0</v>
      </c>
      <c r="F4433" s="11">
        <v>1</v>
      </c>
    </row>
    <row r="4434" spans="1:6" x14ac:dyDescent="0.35">
      <c r="A4434" t="s">
        <v>2856</v>
      </c>
      <c r="B4434" t="s">
        <v>2862</v>
      </c>
      <c r="C4434" t="s">
        <v>1380</v>
      </c>
      <c r="D4434" t="s">
        <v>2878</v>
      </c>
      <c r="E4434">
        <v>0</v>
      </c>
      <c r="F4434" s="11">
        <v>1</v>
      </c>
    </row>
    <row r="4435" spans="1:6" x14ac:dyDescent="0.35">
      <c r="A4435" t="s">
        <v>2856</v>
      </c>
      <c r="B4435" t="s">
        <v>2862</v>
      </c>
      <c r="C4435" t="s">
        <v>1380</v>
      </c>
      <c r="D4435" t="s">
        <v>2879</v>
      </c>
      <c r="E4435">
        <v>2614</v>
      </c>
      <c r="F4435" s="11">
        <v>1</v>
      </c>
    </row>
    <row r="4436" spans="1:6" x14ac:dyDescent="0.35">
      <c r="A4436" t="s">
        <v>2856</v>
      </c>
      <c r="B4436" t="s">
        <v>2862</v>
      </c>
      <c r="C4436" t="s">
        <v>1380</v>
      </c>
      <c r="D4436" t="s">
        <v>2880</v>
      </c>
      <c r="E4436">
        <v>0</v>
      </c>
      <c r="F4436" s="11">
        <v>1</v>
      </c>
    </row>
    <row r="4437" spans="1:6" x14ac:dyDescent="0.35">
      <c r="A4437" t="s">
        <v>2856</v>
      </c>
      <c r="B4437" t="s">
        <v>2862</v>
      </c>
      <c r="C4437" t="s">
        <v>1380</v>
      </c>
      <c r="D4437" t="s">
        <v>2881</v>
      </c>
      <c r="E4437">
        <v>0</v>
      </c>
      <c r="F4437" s="11">
        <v>1</v>
      </c>
    </row>
    <row r="4438" spans="1:6" x14ac:dyDescent="0.35">
      <c r="A4438" t="s">
        <v>2856</v>
      </c>
      <c r="B4438" t="s">
        <v>2862</v>
      </c>
      <c r="C4438" t="s">
        <v>1380</v>
      </c>
      <c r="D4438" t="s">
        <v>2882</v>
      </c>
      <c r="E4438">
        <v>0</v>
      </c>
      <c r="F4438" s="11">
        <v>1</v>
      </c>
    </row>
    <row r="4439" spans="1:6" x14ac:dyDescent="0.35">
      <c r="A4439" t="s">
        <v>2856</v>
      </c>
      <c r="B4439" t="s">
        <v>2862</v>
      </c>
      <c r="C4439" t="s">
        <v>1380</v>
      </c>
      <c r="D4439" t="s">
        <v>2883</v>
      </c>
      <c r="E4439">
        <v>0</v>
      </c>
      <c r="F4439" s="11">
        <v>0</v>
      </c>
    </row>
    <row r="4440" spans="1:6" x14ac:dyDescent="0.35">
      <c r="A4440" t="s">
        <v>2856</v>
      </c>
      <c r="B4440" t="s">
        <v>2862</v>
      </c>
      <c r="C4440" t="s">
        <v>1380</v>
      </c>
      <c r="D4440" t="s">
        <v>2884</v>
      </c>
      <c r="E4440">
        <v>0</v>
      </c>
      <c r="F4440" s="11">
        <v>0</v>
      </c>
    </row>
    <row r="4441" spans="1:6" x14ac:dyDescent="0.35">
      <c r="A4441" t="s">
        <v>2856</v>
      </c>
      <c r="B4441" t="s">
        <v>2862</v>
      </c>
      <c r="C4441" t="s">
        <v>1380</v>
      </c>
      <c r="D4441" t="s">
        <v>2885</v>
      </c>
      <c r="E4441">
        <v>0</v>
      </c>
      <c r="F4441" s="11">
        <v>0</v>
      </c>
    </row>
    <row r="4442" spans="1:6" x14ac:dyDescent="0.35">
      <c r="A4442" t="s">
        <v>2856</v>
      </c>
      <c r="B4442" t="s">
        <v>2862</v>
      </c>
      <c r="C4442" t="s">
        <v>1380</v>
      </c>
      <c r="D4442" t="s">
        <v>2886</v>
      </c>
      <c r="E4442">
        <v>0</v>
      </c>
      <c r="F4442" s="11">
        <v>0</v>
      </c>
    </row>
    <row r="4443" spans="1:6" x14ac:dyDescent="0.35">
      <c r="A4443" t="s">
        <v>2856</v>
      </c>
      <c r="B4443" t="s">
        <v>2862</v>
      </c>
      <c r="C4443" t="s">
        <v>1380</v>
      </c>
      <c r="D4443" t="s">
        <v>2887</v>
      </c>
      <c r="E4443">
        <v>34958</v>
      </c>
      <c r="F4443" s="11">
        <v>1</v>
      </c>
    </row>
    <row r="4444" spans="1:6" x14ac:dyDescent="0.35">
      <c r="A4444" t="s">
        <v>2856</v>
      </c>
      <c r="B4444" t="s">
        <v>2862</v>
      </c>
      <c r="C4444" t="s">
        <v>1380</v>
      </c>
      <c r="D4444" t="s">
        <v>2888</v>
      </c>
      <c r="E4444">
        <v>0</v>
      </c>
      <c r="F4444" s="11">
        <v>0</v>
      </c>
    </row>
    <row r="4445" spans="1:6" x14ac:dyDescent="0.35">
      <c r="A4445" t="s">
        <v>2856</v>
      </c>
      <c r="B4445" t="s">
        <v>2862</v>
      </c>
      <c r="C4445" t="s">
        <v>1380</v>
      </c>
      <c r="D4445" t="s">
        <v>2889</v>
      </c>
      <c r="E4445">
        <v>0</v>
      </c>
      <c r="F4445" s="11">
        <v>1</v>
      </c>
    </row>
    <row r="4446" spans="1:6" x14ac:dyDescent="0.35">
      <c r="A4446" t="s">
        <v>2856</v>
      </c>
      <c r="B4446" t="s">
        <v>2862</v>
      </c>
      <c r="C4446" t="s">
        <v>1380</v>
      </c>
      <c r="D4446" t="s">
        <v>2890</v>
      </c>
      <c r="E4446">
        <v>0</v>
      </c>
      <c r="F4446" s="11">
        <v>1</v>
      </c>
    </row>
    <row r="4447" spans="1:6" x14ac:dyDescent="0.35">
      <c r="A4447" t="s">
        <v>2856</v>
      </c>
      <c r="B4447" t="s">
        <v>2862</v>
      </c>
      <c r="C4447" t="s">
        <v>1380</v>
      </c>
      <c r="D4447" t="s">
        <v>2891</v>
      </c>
      <c r="E4447">
        <v>0</v>
      </c>
      <c r="F4447" s="11">
        <v>0</v>
      </c>
    </row>
    <row r="4448" spans="1:6" x14ac:dyDescent="0.35">
      <c r="A4448" t="s">
        <v>2856</v>
      </c>
      <c r="B4448" t="s">
        <v>2862</v>
      </c>
      <c r="C4448" t="s">
        <v>1380</v>
      </c>
      <c r="D4448" t="s">
        <v>2892</v>
      </c>
      <c r="E4448">
        <v>0</v>
      </c>
      <c r="F4448" s="11">
        <v>0</v>
      </c>
    </row>
    <row r="4449" spans="1:6" x14ac:dyDescent="0.35">
      <c r="A4449" t="s">
        <v>2856</v>
      </c>
      <c r="B4449" t="s">
        <v>2862</v>
      </c>
      <c r="C4449" t="s">
        <v>1380</v>
      </c>
      <c r="D4449" t="s">
        <v>2893</v>
      </c>
      <c r="E4449">
        <v>0</v>
      </c>
      <c r="F4449" s="11">
        <v>0</v>
      </c>
    </row>
    <row r="4450" spans="1:6" x14ac:dyDescent="0.35">
      <c r="A4450" t="s">
        <v>2856</v>
      </c>
      <c r="B4450" t="s">
        <v>2862</v>
      </c>
      <c r="C4450" t="s">
        <v>1380</v>
      </c>
      <c r="D4450" t="s">
        <v>2894</v>
      </c>
      <c r="E4450">
        <v>0</v>
      </c>
      <c r="F4450" s="11">
        <v>0</v>
      </c>
    </row>
    <row r="4451" spans="1:6" x14ac:dyDescent="0.35">
      <c r="A4451" t="s">
        <v>2856</v>
      </c>
      <c r="B4451" t="s">
        <v>2862</v>
      </c>
      <c r="C4451" t="s">
        <v>1380</v>
      </c>
      <c r="D4451" t="s">
        <v>2895</v>
      </c>
      <c r="E4451">
        <v>440138</v>
      </c>
      <c r="F4451" s="11">
        <v>1</v>
      </c>
    </row>
    <row r="4452" spans="1:6" x14ac:dyDescent="0.35">
      <c r="A4452" t="s">
        <v>2856</v>
      </c>
      <c r="B4452" t="s">
        <v>2862</v>
      </c>
      <c r="C4452" t="s">
        <v>1380</v>
      </c>
      <c r="D4452" t="s">
        <v>2896</v>
      </c>
      <c r="E4452">
        <v>198419</v>
      </c>
      <c r="F4452" s="11">
        <v>1</v>
      </c>
    </row>
    <row r="4453" spans="1:6" x14ac:dyDescent="0.35">
      <c r="A4453" t="s">
        <v>2856</v>
      </c>
      <c r="B4453" t="s">
        <v>2862</v>
      </c>
      <c r="C4453" t="s">
        <v>1380</v>
      </c>
      <c r="D4453" t="s">
        <v>2897</v>
      </c>
      <c r="E4453">
        <v>224466</v>
      </c>
      <c r="F4453" s="11">
        <v>1</v>
      </c>
    </row>
    <row r="4454" spans="1:6" x14ac:dyDescent="0.35">
      <c r="A4454" t="s">
        <v>2856</v>
      </c>
      <c r="B4454" t="s">
        <v>2862</v>
      </c>
      <c r="C4454" t="s">
        <v>1380</v>
      </c>
      <c r="D4454" t="s">
        <v>2898</v>
      </c>
      <c r="E4454">
        <v>17253</v>
      </c>
      <c r="F4454" s="11">
        <v>1</v>
      </c>
    </row>
    <row r="4455" spans="1:6" x14ac:dyDescent="0.35">
      <c r="A4455" t="s">
        <v>2856</v>
      </c>
      <c r="B4455" t="s">
        <v>2862</v>
      </c>
      <c r="C4455" t="s">
        <v>1380</v>
      </c>
      <c r="D4455" t="s">
        <v>2899</v>
      </c>
      <c r="E4455">
        <v>9669</v>
      </c>
      <c r="F4455" s="11">
        <v>1</v>
      </c>
    </row>
    <row r="4456" spans="1:6" x14ac:dyDescent="0.35">
      <c r="A4456" t="s">
        <v>2856</v>
      </c>
      <c r="B4456" t="s">
        <v>2862</v>
      </c>
      <c r="C4456" t="s">
        <v>1380</v>
      </c>
      <c r="D4456" t="s">
        <v>2900</v>
      </c>
      <c r="E4456">
        <v>7065</v>
      </c>
      <c r="F4456" s="11">
        <v>1</v>
      </c>
    </row>
    <row r="4457" spans="1:6" x14ac:dyDescent="0.35">
      <c r="A4457" t="s">
        <v>2856</v>
      </c>
      <c r="B4457" t="s">
        <v>2862</v>
      </c>
      <c r="C4457" t="s">
        <v>1380</v>
      </c>
      <c r="D4457" t="s">
        <v>2901</v>
      </c>
      <c r="E4457">
        <v>2604</v>
      </c>
      <c r="F4457" s="11">
        <v>1</v>
      </c>
    </row>
    <row r="4458" spans="1:6" x14ac:dyDescent="0.35">
      <c r="A4458" t="s">
        <v>2856</v>
      </c>
      <c r="B4458" t="s">
        <v>2862</v>
      </c>
      <c r="C4458" t="s">
        <v>1380</v>
      </c>
      <c r="D4458" t="s">
        <v>2902</v>
      </c>
      <c r="E4458">
        <v>0</v>
      </c>
      <c r="F4458" s="11">
        <v>1</v>
      </c>
    </row>
    <row r="4459" spans="1:6" x14ac:dyDescent="0.35">
      <c r="A4459" t="s">
        <v>2856</v>
      </c>
      <c r="B4459" t="s">
        <v>2862</v>
      </c>
      <c r="C4459" t="s">
        <v>1380</v>
      </c>
      <c r="D4459" t="s">
        <v>2903</v>
      </c>
      <c r="E4459">
        <v>24951</v>
      </c>
      <c r="F4459" s="11">
        <v>1</v>
      </c>
    </row>
    <row r="4460" spans="1:6" x14ac:dyDescent="0.35">
      <c r="A4460" t="s">
        <v>2856</v>
      </c>
      <c r="B4460" t="s">
        <v>2862</v>
      </c>
      <c r="C4460" t="s">
        <v>1380</v>
      </c>
      <c r="D4460" t="s">
        <v>2904</v>
      </c>
      <c r="E4460">
        <v>0</v>
      </c>
      <c r="F4460" s="11">
        <v>1</v>
      </c>
    </row>
    <row r="4461" spans="1:6" x14ac:dyDescent="0.35">
      <c r="A4461" t="s">
        <v>2856</v>
      </c>
      <c r="B4461" t="s">
        <v>2862</v>
      </c>
      <c r="C4461" t="s">
        <v>1380</v>
      </c>
      <c r="D4461" t="s">
        <v>2905</v>
      </c>
      <c r="E4461">
        <v>0</v>
      </c>
      <c r="F4461" s="11">
        <v>1</v>
      </c>
    </row>
    <row r="4462" spans="1:6" x14ac:dyDescent="0.35">
      <c r="A4462" t="s">
        <v>2856</v>
      </c>
      <c r="B4462" t="s">
        <v>2862</v>
      </c>
      <c r="C4462" t="s">
        <v>1380</v>
      </c>
      <c r="D4462" t="s">
        <v>2906</v>
      </c>
      <c r="E4462">
        <v>0</v>
      </c>
      <c r="F4462" s="11">
        <v>1</v>
      </c>
    </row>
    <row r="4463" spans="1:6" x14ac:dyDescent="0.35">
      <c r="A4463" t="s">
        <v>2856</v>
      </c>
      <c r="B4463" t="s">
        <v>2862</v>
      </c>
      <c r="C4463" t="s">
        <v>1380</v>
      </c>
      <c r="D4463" t="s">
        <v>2907</v>
      </c>
      <c r="E4463">
        <v>38874</v>
      </c>
      <c r="F4463" s="11">
        <v>1</v>
      </c>
    </row>
    <row r="4464" spans="1:6" x14ac:dyDescent="0.35">
      <c r="A4464" t="s">
        <v>2856</v>
      </c>
      <c r="B4464" t="s">
        <v>2862</v>
      </c>
      <c r="C4464" t="s">
        <v>1380</v>
      </c>
      <c r="D4464" t="s">
        <v>2908</v>
      </c>
      <c r="E4464">
        <v>0</v>
      </c>
      <c r="F4464" s="11">
        <v>1</v>
      </c>
    </row>
    <row r="4465" spans="1:6" x14ac:dyDescent="0.35">
      <c r="A4465" t="s">
        <v>2856</v>
      </c>
      <c r="B4465" t="s">
        <v>2862</v>
      </c>
      <c r="C4465" t="s">
        <v>1380</v>
      </c>
      <c r="D4465" t="s">
        <v>2909</v>
      </c>
      <c r="E4465">
        <v>0</v>
      </c>
      <c r="F4465" s="11">
        <v>1</v>
      </c>
    </row>
    <row r="4466" spans="1:6" x14ac:dyDescent="0.35">
      <c r="A4466" t="s">
        <v>2856</v>
      </c>
      <c r="B4466" t="s">
        <v>2862</v>
      </c>
      <c r="C4466" t="s">
        <v>1380</v>
      </c>
      <c r="D4466" t="s">
        <v>2910</v>
      </c>
      <c r="E4466">
        <v>0</v>
      </c>
      <c r="F4466" s="11">
        <v>1</v>
      </c>
    </row>
    <row r="4467" spans="1:6" x14ac:dyDescent="0.35">
      <c r="A4467" t="s">
        <v>2856</v>
      </c>
      <c r="B4467" t="s">
        <v>2862</v>
      </c>
      <c r="C4467" t="s">
        <v>1380</v>
      </c>
      <c r="D4467" t="s">
        <v>2911</v>
      </c>
      <c r="E4467">
        <v>316662</v>
      </c>
      <c r="F4467" s="11">
        <v>1</v>
      </c>
    </row>
    <row r="4468" spans="1:6" x14ac:dyDescent="0.35">
      <c r="A4468" t="s">
        <v>2856</v>
      </c>
      <c r="B4468" t="s">
        <v>2862</v>
      </c>
      <c r="C4468" t="s">
        <v>1380</v>
      </c>
      <c r="D4468" t="s">
        <v>2912</v>
      </c>
      <c r="E4468">
        <v>4845</v>
      </c>
      <c r="F4468" s="11">
        <v>0</v>
      </c>
    </row>
    <row r="4469" spans="1:6" x14ac:dyDescent="0.35">
      <c r="A4469" t="s">
        <v>2856</v>
      </c>
      <c r="B4469" t="s">
        <v>2862</v>
      </c>
      <c r="C4469" t="s">
        <v>1380</v>
      </c>
      <c r="D4469" t="s">
        <v>2913</v>
      </c>
      <c r="E4469">
        <v>0</v>
      </c>
      <c r="F4469" s="11">
        <v>0</v>
      </c>
    </row>
    <row r="4470" spans="1:6" x14ac:dyDescent="0.35">
      <c r="A4470" t="s">
        <v>2856</v>
      </c>
      <c r="B4470" t="s">
        <v>2862</v>
      </c>
      <c r="C4470" t="s">
        <v>1380</v>
      </c>
      <c r="D4470" t="s">
        <v>2914</v>
      </c>
      <c r="E4470">
        <v>14040</v>
      </c>
      <c r="F4470" s="11">
        <v>0</v>
      </c>
    </row>
    <row r="4471" spans="1:6" x14ac:dyDescent="0.35">
      <c r="A4471" t="s">
        <v>2856</v>
      </c>
      <c r="B4471" t="s">
        <v>2862</v>
      </c>
      <c r="C4471" t="s">
        <v>1380</v>
      </c>
      <c r="D4471" t="s">
        <v>2915</v>
      </c>
      <c r="E4471">
        <v>4792</v>
      </c>
      <c r="F4471" s="11">
        <v>1</v>
      </c>
    </row>
    <row r="4472" spans="1:6" x14ac:dyDescent="0.35">
      <c r="A4472" t="s">
        <v>2856</v>
      </c>
      <c r="B4472" t="s">
        <v>2862</v>
      </c>
      <c r="C4472" t="s">
        <v>1380</v>
      </c>
      <c r="D4472" t="s">
        <v>2916</v>
      </c>
      <c r="E4472">
        <v>13804</v>
      </c>
      <c r="F4472" s="11">
        <v>1</v>
      </c>
    </row>
    <row r="4473" spans="1:6" x14ac:dyDescent="0.35">
      <c r="A4473" t="s">
        <v>2856</v>
      </c>
      <c r="B4473" t="s">
        <v>2862</v>
      </c>
      <c r="C4473" t="s">
        <v>1380</v>
      </c>
      <c r="D4473" t="s">
        <v>2917</v>
      </c>
      <c r="E4473">
        <v>0</v>
      </c>
      <c r="F4473" s="11">
        <v>0</v>
      </c>
    </row>
    <row r="4474" spans="1:6" x14ac:dyDescent="0.35">
      <c r="A4474" t="s">
        <v>2856</v>
      </c>
      <c r="B4474" t="s">
        <v>2863</v>
      </c>
      <c r="C4474" t="s">
        <v>1366</v>
      </c>
      <c r="D4474" t="s">
        <v>2875</v>
      </c>
      <c r="E4474">
        <v>42302</v>
      </c>
      <c r="F4474" s="11">
        <v>1</v>
      </c>
    </row>
    <row r="4475" spans="1:6" x14ac:dyDescent="0.35">
      <c r="A4475" t="s">
        <v>2856</v>
      </c>
      <c r="B4475" t="s">
        <v>2863</v>
      </c>
      <c r="C4475" t="s">
        <v>1366</v>
      </c>
      <c r="D4475" t="s">
        <v>2876</v>
      </c>
      <c r="E4475">
        <v>12565</v>
      </c>
      <c r="F4475" s="11">
        <v>1</v>
      </c>
    </row>
    <row r="4476" spans="1:6" x14ac:dyDescent="0.35">
      <c r="A4476" t="s">
        <v>2856</v>
      </c>
      <c r="B4476" t="s">
        <v>2863</v>
      </c>
      <c r="C4476" t="s">
        <v>1366</v>
      </c>
      <c r="D4476" t="s">
        <v>2877</v>
      </c>
      <c r="E4476">
        <v>26677</v>
      </c>
      <c r="F4476" s="11">
        <v>1</v>
      </c>
    </row>
    <row r="4477" spans="1:6" x14ac:dyDescent="0.35">
      <c r="A4477" t="s">
        <v>2856</v>
      </c>
      <c r="B4477" t="s">
        <v>2863</v>
      </c>
      <c r="C4477" t="s">
        <v>1366</v>
      </c>
      <c r="D4477" t="s">
        <v>2878</v>
      </c>
      <c r="E4477">
        <v>3060</v>
      </c>
      <c r="F4477" s="11">
        <v>1</v>
      </c>
    </row>
    <row r="4478" spans="1:6" x14ac:dyDescent="0.35">
      <c r="A4478" t="s">
        <v>2856</v>
      </c>
      <c r="B4478" t="s">
        <v>2863</v>
      </c>
      <c r="C4478" t="s">
        <v>1366</v>
      </c>
      <c r="D4478" t="s">
        <v>2879</v>
      </c>
      <c r="E4478">
        <v>2167</v>
      </c>
      <c r="F4478" s="11">
        <v>1</v>
      </c>
    </row>
    <row r="4479" spans="1:6" x14ac:dyDescent="0.35">
      <c r="A4479" t="s">
        <v>2856</v>
      </c>
      <c r="B4479" t="s">
        <v>2863</v>
      </c>
      <c r="C4479" t="s">
        <v>1366</v>
      </c>
      <c r="D4479" t="s">
        <v>2880</v>
      </c>
      <c r="E4479">
        <v>0</v>
      </c>
      <c r="F4479" s="11">
        <v>1</v>
      </c>
    </row>
    <row r="4480" spans="1:6" x14ac:dyDescent="0.35">
      <c r="A4480" t="s">
        <v>2856</v>
      </c>
      <c r="B4480" t="s">
        <v>2863</v>
      </c>
      <c r="C4480" t="s">
        <v>1366</v>
      </c>
      <c r="D4480" t="s">
        <v>2881</v>
      </c>
      <c r="E4480">
        <v>148</v>
      </c>
      <c r="F4480" s="11">
        <v>1</v>
      </c>
    </row>
    <row r="4481" spans="1:6" x14ac:dyDescent="0.35">
      <c r="A4481" t="s">
        <v>2856</v>
      </c>
      <c r="B4481" t="s">
        <v>2863</v>
      </c>
      <c r="C4481" t="s">
        <v>1366</v>
      </c>
      <c r="D4481" t="s">
        <v>2882</v>
      </c>
      <c r="E4481">
        <v>0</v>
      </c>
      <c r="F4481" s="11">
        <v>1</v>
      </c>
    </row>
    <row r="4482" spans="1:6" x14ac:dyDescent="0.35">
      <c r="A4482" t="s">
        <v>2856</v>
      </c>
      <c r="B4482" t="s">
        <v>2863</v>
      </c>
      <c r="C4482" t="s">
        <v>1366</v>
      </c>
      <c r="D4482" t="s">
        <v>2883</v>
      </c>
      <c r="E4482">
        <v>0</v>
      </c>
      <c r="F4482" s="11">
        <v>0</v>
      </c>
    </row>
    <row r="4483" spans="1:6" x14ac:dyDescent="0.35">
      <c r="A4483" t="s">
        <v>2856</v>
      </c>
      <c r="B4483" t="s">
        <v>2863</v>
      </c>
      <c r="C4483" t="s">
        <v>1366</v>
      </c>
      <c r="D4483" t="s">
        <v>2884</v>
      </c>
      <c r="E4483">
        <v>0</v>
      </c>
      <c r="F4483" s="11">
        <v>0</v>
      </c>
    </row>
    <row r="4484" spans="1:6" x14ac:dyDescent="0.35">
      <c r="A4484" t="s">
        <v>2856</v>
      </c>
      <c r="B4484" t="s">
        <v>2863</v>
      </c>
      <c r="C4484" t="s">
        <v>1366</v>
      </c>
      <c r="D4484" t="s">
        <v>2885</v>
      </c>
      <c r="E4484">
        <v>0</v>
      </c>
      <c r="F4484" s="11">
        <v>0</v>
      </c>
    </row>
    <row r="4485" spans="1:6" x14ac:dyDescent="0.35">
      <c r="A4485" t="s">
        <v>2856</v>
      </c>
      <c r="B4485" t="s">
        <v>2863</v>
      </c>
      <c r="C4485" t="s">
        <v>1366</v>
      </c>
      <c r="D4485" t="s">
        <v>2886</v>
      </c>
      <c r="E4485">
        <v>0</v>
      </c>
      <c r="F4485" s="11">
        <v>0</v>
      </c>
    </row>
    <row r="4486" spans="1:6" x14ac:dyDescent="0.35">
      <c r="A4486" t="s">
        <v>2856</v>
      </c>
      <c r="B4486" t="s">
        <v>2863</v>
      </c>
      <c r="C4486" t="s">
        <v>1366</v>
      </c>
      <c r="D4486" t="s">
        <v>2887</v>
      </c>
      <c r="E4486">
        <v>59748</v>
      </c>
      <c r="F4486" s="11">
        <v>1</v>
      </c>
    </row>
    <row r="4487" spans="1:6" x14ac:dyDescent="0.35">
      <c r="A4487" t="s">
        <v>2856</v>
      </c>
      <c r="B4487" t="s">
        <v>2863</v>
      </c>
      <c r="C4487" t="s">
        <v>1366</v>
      </c>
      <c r="D4487" t="s">
        <v>2888</v>
      </c>
      <c r="E4487">
        <v>1069</v>
      </c>
      <c r="F4487" s="11">
        <v>1</v>
      </c>
    </row>
    <row r="4488" spans="1:6" x14ac:dyDescent="0.35">
      <c r="A4488" t="s">
        <v>2856</v>
      </c>
      <c r="B4488" t="s">
        <v>2863</v>
      </c>
      <c r="C4488" t="s">
        <v>1366</v>
      </c>
      <c r="D4488" t="s">
        <v>2889</v>
      </c>
      <c r="E4488">
        <v>2167</v>
      </c>
      <c r="F4488" s="11">
        <v>1</v>
      </c>
    </row>
    <row r="4489" spans="1:6" x14ac:dyDescent="0.35">
      <c r="A4489" t="s">
        <v>2856</v>
      </c>
      <c r="B4489" t="s">
        <v>2863</v>
      </c>
      <c r="C4489" t="s">
        <v>1366</v>
      </c>
      <c r="D4489" t="s">
        <v>2890</v>
      </c>
      <c r="E4489">
        <v>0</v>
      </c>
      <c r="F4489" s="11">
        <v>1</v>
      </c>
    </row>
    <row r="4490" spans="1:6" x14ac:dyDescent="0.35">
      <c r="A4490" t="s">
        <v>2856</v>
      </c>
      <c r="B4490" t="s">
        <v>2863</v>
      </c>
      <c r="C4490" t="s">
        <v>1366</v>
      </c>
      <c r="D4490" t="s">
        <v>2891</v>
      </c>
      <c r="E4490">
        <v>0</v>
      </c>
      <c r="F4490" s="11">
        <v>0</v>
      </c>
    </row>
    <row r="4491" spans="1:6" x14ac:dyDescent="0.35">
      <c r="A4491" t="s">
        <v>2856</v>
      </c>
      <c r="B4491" t="s">
        <v>2863</v>
      </c>
      <c r="C4491" t="s">
        <v>1366</v>
      </c>
      <c r="D4491" t="s">
        <v>2892</v>
      </c>
      <c r="E4491">
        <v>0</v>
      </c>
      <c r="F4491" s="11">
        <v>0</v>
      </c>
    </row>
    <row r="4492" spans="1:6" x14ac:dyDescent="0.35">
      <c r="A4492" t="s">
        <v>2856</v>
      </c>
      <c r="B4492" t="s">
        <v>2863</v>
      </c>
      <c r="C4492" t="s">
        <v>1366</v>
      </c>
      <c r="D4492" t="s">
        <v>2893</v>
      </c>
      <c r="E4492">
        <v>0</v>
      </c>
      <c r="F4492" s="11">
        <v>0</v>
      </c>
    </row>
    <row r="4493" spans="1:6" x14ac:dyDescent="0.35">
      <c r="A4493" t="s">
        <v>2856</v>
      </c>
      <c r="B4493" t="s">
        <v>2863</v>
      </c>
      <c r="C4493" t="s">
        <v>1366</v>
      </c>
      <c r="D4493" t="s">
        <v>2894</v>
      </c>
      <c r="E4493">
        <v>0</v>
      </c>
      <c r="F4493" s="11">
        <v>0</v>
      </c>
    </row>
    <row r="4494" spans="1:6" x14ac:dyDescent="0.35">
      <c r="A4494" t="s">
        <v>2856</v>
      </c>
      <c r="B4494" t="s">
        <v>2863</v>
      </c>
      <c r="C4494" t="s">
        <v>1366</v>
      </c>
      <c r="D4494" t="s">
        <v>2895</v>
      </c>
      <c r="E4494">
        <v>550172</v>
      </c>
      <c r="F4494" s="11">
        <v>1</v>
      </c>
    </row>
    <row r="4495" spans="1:6" x14ac:dyDescent="0.35">
      <c r="A4495" t="s">
        <v>2856</v>
      </c>
      <c r="B4495" t="s">
        <v>2863</v>
      </c>
      <c r="C4495" t="s">
        <v>1366</v>
      </c>
      <c r="D4495" t="s">
        <v>2896</v>
      </c>
      <c r="E4495">
        <v>155323</v>
      </c>
      <c r="F4495" s="11">
        <v>1</v>
      </c>
    </row>
    <row r="4496" spans="1:6" x14ac:dyDescent="0.35">
      <c r="A4496" t="s">
        <v>2856</v>
      </c>
      <c r="B4496" t="s">
        <v>2863</v>
      </c>
      <c r="C4496" t="s">
        <v>1366</v>
      </c>
      <c r="D4496" t="s">
        <v>2897</v>
      </c>
      <c r="E4496">
        <v>174487</v>
      </c>
      <c r="F4496" s="11">
        <v>1</v>
      </c>
    </row>
    <row r="4497" spans="1:6" x14ac:dyDescent="0.35">
      <c r="A4497" t="s">
        <v>2856</v>
      </c>
      <c r="B4497" t="s">
        <v>2863</v>
      </c>
      <c r="C4497" t="s">
        <v>1366</v>
      </c>
      <c r="D4497" t="s">
        <v>2898</v>
      </c>
      <c r="E4497">
        <v>4375</v>
      </c>
      <c r="F4497" s="11">
        <v>1</v>
      </c>
    </row>
    <row r="4498" spans="1:6" x14ac:dyDescent="0.35">
      <c r="A4498" t="s">
        <v>2856</v>
      </c>
      <c r="B4498" t="s">
        <v>2863</v>
      </c>
      <c r="C4498" t="s">
        <v>1366</v>
      </c>
      <c r="D4498" t="s">
        <v>2899</v>
      </c>
      <c r="E4498">
        <v>2680</v>
      </c>
      <c r="F4498" s="11">
        <v>1</v>
      </c>
    </row>
    <row r="4499" spans="1:6" x14ac:dyDescent="0.35">
      <c r="A4499" t="s">
        <v>2856</v>
      </c>
      <c r="B4499" t="s">
        <v>2863</v>
      </c>
      <c r="C4499" t="s">
        <v>1366</v>
      </c>
      <c r="D4499" t="s">
        <v>2900</v>
      </c>
      <c r="E4499">
        <v>2631</v>
      </c>
      <c r="F4499" s="11">
        <v>1</v>
      </c>
    </row>
    <row r="4500" spans="1:6" x14ac:dyDescent="0.35">
      <c r="A4500" t="s">
        <v>2856</v>
      </c>
      <c r="B4500" t="s">
        <v>2863</v>
      </c>
      <c r="C4500" t="s">
        <v>1366</v>
      </c>
      <c r="D4500" t="s">
        <v>2901</v>
      </c>
      <c r="E4500">
        <v>54</v>
      </c>
      <c r="F4500" s="11">
        <v>1</v>
      </c>
    </row>
    <row r="4501" spans="1:6" x14ac:dyDescent="0.35">
      <c r="A4501" t="s">
        <v>2856</v>
      </c>
      <c r="B4501" t="s">
        <v>2863</v>
      </c>
      <c r="C4501" t="s">
        <v>1366</v>
      </c>
      <c r="D4501" t="s">
        <v>2902</v>
      </c>
      <c r="E4501">
        <v>0</v>
      </c>
      <c r="F4501" s="11">
        <v>1</v>
      </c>
    </row>
    <row r="4502" spans="1:6" x14ac:dyDescent="0.35">
      <c r="A4502" t="s">
        <v>2856</v>
      </c>
      <c r="B4502" t="s">
        <v>2863</v>
      </c>
      <c r="C4502" t="s">
        <v>1366</v>
      </c>
      <c r="D4502" t="s">
        <v>2903</v>
      </c>
      <c r="E4502">
        <v>53759</v>
      </c>
      <c r="F4502" s="11">
        <v>1</v>
      </c>
    </row>
    <row r="4503" spans="1:6" x14ac:dyDescent="0.35">
      <c r="A4503" t="s">
        <v>2856</v>
      </c>
      <c r="B4503" t="s">
        <v>2863</v>
      </c>
      <c r="C4503" t="s">
        <v>1366</v>
      </c>
      <c r="D4503" t="s">
        <v>2904</v>
      </c>
      <c r="E4503">
        <v>46421</v>
      </c>
      <c r="F4503" s="11">
        <v>0</v>
      </c>
    </row>
    <row r="4504" spans="1:6" x14ac:dyDescent="0.35">
      <c r="A4504" t="s">
        <v>2856</v>
      </c>
      <c r="B4504" t="s">
        <v>2863</v>
      </c>
      <c r="C4504" t="s">
        <v>1366</v>
      </c>
      <c r="D4504" t="s">
        <v>2905</v>
      </c>
      <c r="E4504">
        <v>5010</v>
      </c>
      <c r="F4504" s="11">
        <v>0</v>
      </c>
    </row>
    <row r="4505" spans="1:6" x14ac:dyDescent="0.35">
      <c r="A4505" t="s">
        <v>2856</v>
      </c>
      <c r="B4505" t="s">
        <v>2863</v>
      </c>
      <c r="C4505" t="s">
        <v>1366</v>
      </c>
      <c r="D4505" t="s">
        <v>2906</v>
      </c>
      <c r="E4505">
        <v>2203</v>
      </c>
      <c r="F4505" s="11">
        <v>0</v>
      </c>
    </row>
    <row r="4506" spans="1:6" x14ac:dyDescent="0.35">
      <c r="A4506" t="s">
        <v>2856</v>
      </c>
      <c r="B4506" t="s">
        <v>2863</v>
      </c>
      <c r="C4506" t="s">
        <v>1366</v>
      </c>
      <c r="D4506" t="s">
        <v>2907</v>
      </c>
      <c r="E4506">
        <v>102299</v>
      </c>
      <c r="F4506" s="11">
        <v>1</v>
      </c>
    </row>
    <row r="4507" spans="1:6" x14ac:dyDescent="0.35">
      <c r="A4507" t="s">
        <v>2856</v>
      </c>
      <c r="B4507" t="s">
        <v>2863</v>
      </c>
      <c r="C4507" t="s">
        <v>1366</v>
      </c>
      <c r="D4507" t="s">
        <v>2908</v>
      </c>
      <c r="E4507">
        <v>86794</v>
      </c>
      <c r="F4507" s="11">
        <v>0</v>
      </c>
    </row>
    <row r="4508" spans="1:6" x14ac:dyDescent="0.35">
      <c r="A4508" t="s">
        <v>2856</v>
      </c>
      <c r="B4508" t="s">
        <v>2863</v>
      </c>
      <c r="C4508" t="s">
        <v>1366</v>
      </c>
      <c r="D4508" t="s">
        <v>2909</v>
      </c>
      <c r="E4508">
        <v>12009</v>
      </c>
      <c r="F4508" s="11">
        <v>0</v>
      </c>
    </row>
    <row r="4509" spans="1:6" x14ac:dyDescent="0.35">
      <c r="A4509" t="s">
        <v>2856</v>
      </c>
      <c r="B4509" t="s">
        <v>2863</v>
      </c>
      <c r="C4509" t="s">
        <v>1366</v>
      </c>
      <c r="D4509" t="s">
        <v>2910</v>
      </c>
      <c r="E4509">
        <v>3490</v>
      </c>
      <c r="F4509" s="11">
        <v>0</v>
      </c>
    </row>
    <row r="4510" spans="1:6" x14ac:dyDescent="0.35">
      <c r="A4510" t="s">
        <v>2856</v>
      </c>
      <c r="B4510" t="s">
        <v>2863</v>
      </c>
      <c r="C4510" t="s">
        <v>1366</v>
      </c>
      <c r="D4510" t="s">
        <v>2911</v>
      </c>
      <c r="E4510">
        <v>624088</v>
      </c>
      <c r="F4510" s="11">
        <v>1</v>
      </c>
    </row>
    <row r="4511" spans="1:6" x14ac:dyDescent="0.35">
      <c r="A4511" t="s">
        <v>2856</v>
      </c>
      <c r="B4511" t="s">
        <v>2863</v>
      </c>
      <c r="C4511" t="s">
        <v>1366</v>
      </c>
      <c r="D4511" t="s">
        <v>2912</v>
      </c>
      <c r="E4511">
        <v>552406</v>
      </c>
      <c r="F4511" s="11">
        <v>1</v>
      </c>
    </row>
    <row r="4512" spans="1:6" x14ac:dyDescent="0.35">
      <c r="A4512" t="s">
        <v>2856</v>
      </c>
      <c r="B4512" t="s">
        <v>2863</v>
      </c>
      <c r="C4512" t="s">
        <v>1366</v>
      </c>
      <c r="D4512" t="s">
        <v>2913</v>
      </c>
      <c r="E4512">
        <v>0</v>
      </c>
      <c r="F4512" s="11">
        <v>0</v>
      </c>
    </row>
    <row r="4513" spans="1:6" x14ac:dyDescent="0.35">
      <c r="A4513" t="s">
        <v>2856</v>
      </c>
      <c r="B4513" t="s">
        <v>2863</v>
      </c>
      <c r="C4513" t="s">
        <v>1366</v>
      </c>
      <c r="D4513" t="s">
        <v>2914</v>
      </c>
      <c r="E4513">
        <v>0</v>
      </c>
      <c r="F4513" s="11">
        <v>0</v>
      </c>
    </row>
    <row r="4514" spans="1:6" x14ac:dyDescent="0.35">
      <c r="A4514" t="s">
        <v>2856</v>
      </c>
      <c r="B4514" t="s">
        <v>2863</v>
      </c>
      <c r="C4514" t="s">
        <v>1366</v>
      </c>
      <c r="D4514" t="s">
        <v>2915</v>
      </c>
      <c r="E4514">
        <v>1200</v>
      </c>
      <c r="F4514" s="11">
        <v>1</v>
      </c>
    </row>
    <row r="4515" spans="1:6" x14ac:dyDescent="0.35">
      <c r="A4515" t="s">
        <v>2856</v>
      </c>
      <c r="B4515" t="s">
        <v>2863</v>
      </c>
      <c r="C4515" t="s">
        <v>1366</v>
      </c>
      <c r="D4515" t="s">
        <v>2916</v>
      </c>
      <c r="E4515">
        <v>24125</v>
      </c>
      <c r="F4515" s="11">
        <v>1</v>
      </c>
    </row>
    <row r="4516" spans="1:6" x14ac:dyDescent="0.35">
      <c r="A4516" t="s">
        <v>2856</v>
      </c>
      <c r="B4516" t="s">
        <v>2863</v>
      </c>
      <c r="C4516" t="s">
        <v>1366</v>
      </c>
      <c r="D4516" t="s">
        <v>2917</v>
      </c>
      <c r="E4516">
        <v>105429</v>
      </c>
      <c r="F4516" s="11">
        <v>1</v>
      </c>
    </row>
    <row r="4517" spans="1:6" x14ac:dyDescent="0.35">
      <c r="A4517" t="s">
        <v>2856</v>
      </c>
      <c r="B4517" t="s">
        <v>2862</v>
      </c>
      <c r="C4517" t="s">
        <v>1512</v>
      </c>
      <c r="D4517" t="s">
        <v>2875</v>
      </c>
      <c r="E4517">
        <v>138904</v>
      </c>
      <c r="F4517" s="11">
        <v>1</v>
      </c>
    </row>
    <row r="4518" spans="1:6" x14ac:dyDescent="0.35">
      <c r="A4518" t="s">
        <v>2856</v>
      </c>
      <c r="B4518" t="s">
        <v>2862</v>
      </c>
      <c r="C4518" t="s">
        <v>1512</v>
      </c>
      <c r="D4518" t="s">
        <v>2876</v>
      </c>
      <c r="E4518">
        <v>42508</v>
      </c>
      <c r="F4518" s="11">
        <v>1</v>
      </c>
    </row>
    <row r="4519" spans="1:6" x14ac:dyDescent="0.35">
      <c r="A4519" t="s">
        <v>2856</v>
      </c>
      <c r="B4519" t="s">
        <v>2862</v>
      </c>
      <c r="C4519" t="s">
        <v>1512</v>
      </c>
      <c r="D4519" t="s">
        <v>2877</v>
      </c>
      <c r="E4519">
        <v>90757</v>
      </c>
      <c r="F4519" s="11">
        <v>1</v>
      </c>
    </row>
    <row r="4520" spans="1:6" x14ac:dyDescent="0.35">
      <c r="A4520" t="s">
        <v>2856</v>
      </c>
      <c r="B4520" t="s">
        <v>2862</v>
      </c>
      <c r="C4520" t="s">
        <v>1512</v>
      </c>
      <c r="D4520" t="s">
        <v>2878</v>
      </c>
      <c r="E4520">
        <v>5639</v>
      </c>
      <c r="F4520" s="11">
        <v>1</v>
      </c>
    </row>
    <row r="4521" spans="1:6" x14ac:dyDescent="0.35">
      <c r="A4521" t="s">
        <v>2856</v>
      </c>
      <c r="B4521" t="s">
        <v>2862</v>
      </c>
      <c r="C4521" t="s">
        <v>1512</v>
      </c>
      <c r="D4521" t="s">
        <v>2879</v>
      </c>
      <c r="E4521">
        <v>10209</v>
      </c>
      <c r="F4521" s="11">
        <v>1</v>
      </c>
    </row>
    <row r="4522" spans="1:6" x14ac:dyDescent="0.35">
      <c r="A4522" t="s">
        <v>2856</v>
      </c>
      <c r="B4522" t="s">
        <v>2862</v>
      </c>
      <c r="C4522" t="s">
        <v>1512</v>
      </c>
      <c r="D4522" t="s">
        <v>2880</v>
      </c>
      <c r="E4522">
        <v>4050</v>
      </c>
      <c r="F4522" s="11">
        <v>1</v>
      </c>
    </row>
    <row r="4523" spans="1:6" x14ac:dyDescent="0.35">
      <c r="A4523" t="s">
        <v>2856</v>
      </c>
      <c r="B4523" t="s">
        <v>2862</v>
      </c>
      <c r="C4523" t="s">
        <v>1512</v>
      </c>
      <c r="D4523" t="s">
        <v>2881</v>
      </c>
      <c r="E4523">
        <v>6050</v>
      </c>
      <c r="F4523" s="11">
        <v>0</v>
      </c>
    </row>
    <row r="4524" spans="1:6" x14ac:dyDescent="0.35">
      <c r="A4524" t="s">
        <v>2856</v>
      </c>
      <c r="B4524" t="s">
        <v>2862</v>
      </c>
      <c r="C4524" t="s">
        <v>1512</v>
      </c>
      <c r="D4524" t="s">
        <v>2882</v>
      </c>
      <c r="E4524">
        <v>4</v>
      </c>
      <c r="F4524" s="11">
        <v>1</v>
      </c>
    </row>
    <row r="4525" spans="1:6" x14ac:dyDescent="0.35">
      <c r="A4525" t="s">
        <v>2856</v>
      </c>
      <c r="B4525" t="s">
        <v>2862</v>
      </c>
      <c r="C4525" t="s">
        <v>1512</v>
      </c>
      <c r="D4525" t="s">
        <v>2883</v>
      </c>
      <c r="E4525">
        <v>11</v>
      </c>
      <c r="F4525" s="11">
        <v>1</v>
      </c>
    </row>
    <row r="4526" spans="1:6" x14ac:dyDescent="0.35">
      <c r="A4526" t="s">
        <v>2856</v>
      </c>
      <c r="B4526" t="s">
        <v>2862</v>
      </c>
      <c r="C4526" t="s">
        <v>1512</v>
      </c>
      <c r="D4526" t="s">
        <v>2884</v>
      </c>
      <c r="E4526">
        <v>0</v>
      </c>
      <c r="F4526" s="11">
        <v>0</v>
      </c>
    </row>
    <row r="4527" spans="1:6" x14ac:dyDescent="0.35">
      <c r="A4527" t="s">
        <v>2856</v>
      </c>
      <c r="B4527" t="s">
        <v>2862</v>
      </c>
      <c r="C4527" t="s">
        <v>1512</v>
      </c>
      <c r="D4527" t="s">
        <v>2885</v>
      </c>
      <c r="E4527">
        <v>0</v>
      </c>
      <c r="F4527" s="11">
        <v>0</v>
      </c>
    </row>
    <row r="4528" spans="1:6" x14ac:dyDescent="0.35">
      <c r="A4528" t="s">
        <v>2856</v>
      </c>
      <c r="B4528" t="s">
        <v>2862</v>
      </c>
      <c r="C4528" t="s">
        <v>1512</v>
      </c>
      <c r="D4528" t="s">
        <v>2886</v>
      </c>
      <c r="E4528">
        <v>0</v>
      </c>
      <c r="F4528" s="11">
        <v>1</v>
      </c>
    </row>
    <row r="4529" spans="1:6" x14ac:dyDescent="0.35">
      <c r="A4529" t="s">
        <v>2856</v>
      </c>
      <c r="B4529" t="s">
        <v>2862</v>
      </c>
      <c r="C4529" t="s">
        <v>1512</v>
      </c>
      <c r="D4529" t="s">
        <v>2887</v>
      </c>
      <c r="E4529">
        <v>226581</v>
      </c>
      <c r="F4529" s="11">
        <v>1</v>
      </c>
    </row>
    <row r="4530" spans="1:6" x14ac:dyDescent="0.35">
      <c r="A4530" t="s">
        <v>2856</v>
      </c>
      <c r="B4530" t="s">
        <v>2862</v>
      </c>
      <c r="C4530" t="s">
        <v>1512</v>
      </c>
      <c r="D4530" t="s">
        <v>2888</v>
      </c>
      <c r="E4530">
        <v>94473</v>
      </c>
      <c r="F4530" s="11">
        <v>1</v>
      </c>
    </row>
    <row r="4531" spans="1:6" x14ac:dyDescent="0.35">
      <c r="A4531" t="s">
        <v>2856</v>
      </c>
      <c r="B4531" t="s">
        <v>2862</v>
      </c>
      <c r="C4531" t="s">
        <v>1512</v>
      </c>
      <c r="D4531" t="s">
        <v>2889</v>
      </c>
      <c r="E4531">
        <v>132108</v>
      </c>
      <c r="F4531" s="11">
        <v>0</v>
      </c>
    </row>
    <row r="4532" spans="1:6" x14ac:dyDescent="0.35">
      <c r="A4532" t="s">
        <v>2856</v>
      </c>
      <c r="B4532" t="s">
        <v>2862</v>
      </c>
      <c r="C4532" t="s">
        <v>1512</v>
      </c>
      <c r="D4532" t="s">
        <v>2890</v>
      </c>
      <c r="E4532">
        <v>0</v>
      </c>
      <c r="F4532" s="11">
        <v>1</v>
      </c>
    </row>
    <row r="4533" spans="1:6" x14ac:dyDescent="0.35">
      <c r="A4533" t="s">
        <v>2856</v>
      </c>
      <c r="B4533" t="s">
        <v>2862</v>
      </c>
      <c r="C4533" t="s">
        <v>1512</v>
      </c>
      <c r="D4533" t="s">
        <v>2891</v>
      </c>
      <c r="E4533">
        <v>61</v>
      </c>
      <c r="F4533" s="11">
        <v>1</v>
      </c>
    </row>
    <row r="4534" spans="1:6" x14ac:dyDescent="0.35">
      <c r="A4534" t="s">
        <v>2856</v>
      </c>
      <c r="B4534" t="s">
        <v>2862</v>
      </c>
      <c r="C4534" t="s">
        <v>1512</v>
      </c>
      <c r="D4534" t="s">
        <v>2892</v>
      </c>
      <c r="E4534">
        <v>61</v>
      </c>
      <c r="F4534" s="11">
        <v>0</v>
      </c>
    </row>
    <row r="4535" spans="1:6" x14ac:dyDescent="0.35">
      <c r="A4535" t="s">
        <v>2856</v>
      </c>
      <c r="B4535" t="s">
        <v>2862</v>
      </c>
      <c r="C4535" t="s">
        <v>1512</v>
      </c>
      <c r="D4535" t="s">
        <v>2893</v>
      </c>
      <c r="E4535">
        <v>0</v>
      </c>
      <c r="F4535" s="11">
        <v>0</v>
      </c>
    </row>
    <row r="4536" spans="1:6" x14ac:dyDescent="0.35">
      <c r="A4536" t="s">
        <v>2856</v>
      </c>
      <c r="B4536" t="s">
        <v>2862</v>
      </c>
      <c r="C4536" t="s">
        <v>1512</v>
      </c>
      <c r="D4536" t="s">
        <v>2894</v>
      </c>
      <c r="E4536">
        <v>0</v>
      </c>
      <c r="F4536" s="11">
        <v>1</v>
      </c>
    </row>
    <row r="4537" spans="1:6" x14ac:dyDescent="0.35">
      <c r="A4537" t="s">
        <v>2856</v>
      </c>
      <c r="B4537" t="s">
        <v>2862</v>
      </c>
      <c r="C4537" t="s">
        <v>1512</v>
      </c>
      <c r="D4537" t="s">
        <v>2895</v>
      </c>
      <c r="E4537">
        <v>2928150</v>
      </c>
      <c r="F4537" s="11">
        <v>1</v>
      </c>
    </row>
    <row r="4538" spans="1:6" x14ac:dyDescent="0.35">
      <c r="A4538" t="s">
        <v>2856</v>
      </c>
      <c r="B4538" t="s">
        <v>2862</v>
      </c>
      <c r="C4538" t="s">
        <v>1512</v>
      </c>
      <c r="D4538" t="s">
        <v>2896</v>
      </c>
      <c r="E4538">
        <v>1605766</v>
      </c>
      <c r="F4538" s="11">
        <v>1</v>
      </c>
    </row>
    <row r="4539" spans="1:6" x14ac:dyDescent="0.35">
      <c r="A4539" t="s">
        <v>2856</v>
      </c>
      <c r="B4539" t="s">
        <v>2862</v>
      </c>
      <c r="C4539" t="s">
        <v>1512</v>
      </c>
      <c r="D4539" t="s">
        <v>2897</v>
      </c>
      <c r="E4539">
        <v>1322384</v>
      </c>
      <c r="F4539" s="11">
        <v>0</v>
      </c>
    </row>
    <row r="4540" spans="1:6" x14ac:dyDescent="0.35">
      <c r="A4540" t="s">
        <v>2856</v>
      </c>
      <c r="B4540" t="s">
        <v>2862</v>
      </c>
      <c r="C4540" t="s">
        <v>1512</v>
      </c>
      <c r="D4540" t="s">
        <v>2898</v>
      </c>
      <c r="E4540">
        <v>0</v>
      </c>
      <c r="F4540" s="11">
        <v>1</v>
      </c>
    </row>
    <row r="4541" spans="1:6" x14ac:dyDescent="0.35">
      <c r="A4541" t="s">
        <v>2856</v>
      </c>
      <c r="B4541" t="s">
        <v>2862</v>
      </c>
      <c r="C4541" t="s">
        <v>1512</v>
      </c>
      <c r="D4541" t="s">
        <v>2899</v>
      </c>
      <c r="E4541">
        <v>50624</v>
      </c>
      <c r="F4541" s="11">
        <v>1</v>
      </c>
    </row>
    <row r="4542" spans="1:6" x14ac:dyDescent="0.35">
      <c r="A4542" t="s">
        <v>2856</v>
      </c>
      <c r="B4542" t="s">
        <v>2862</v>
      </c>
      <c r="C4542" t="s">
        <v>1512</v>
      </c>
      <c r="D4542" t="s">
        <v>2900</v>
      </c>
      <c r="E4542">
        <v>36890</v>
      </c>
      <c r="F4542" s="11">
        <v>1</v>
      </c>
    </row>
    <row r="4543" spans="1:6" x14ac:dyDescent="0.35">
      <c r="A4543" t="s">
        <v>2856</v>
      </c>
      <c r="B4543" t="s">
        <v>2862</v>
      </c>
      <c r="C4543" t="s">
        <v>1512</v>
      </c>
      <c r="D4543" t="s">
        <v>2901</v>
      </c>
      <c r="E4543">
        <v>13734</v>
      </c>
      <c r="F4543" s="11">
        <v>0</v>
      </c>
    </row>
    <row r="4544" spans="1:6" x14ac:dyDescent="0.35">
      <c r="A4544" t="s">
        <v>2856</v>
      </c>
      <c r="B4544" t="s">
        <v>2862</v>
      </c>
      <c r="C4544" t="s">
        <v>1512</v>
      </c>
      <c r="D4544" t="s">
        <v>2902</v>
      </c>
      <c r="E4544">
        <v>0</v>
      </c>
      <c r="F4544" s="11">
        <v>1</v>
      </c>
    </row>
    <row r="4545" spans="1:6" x14ac:dyDescent="0.35">
      <c r="A4545" t="s">
        <v>2856</v>
      </c>
      <c r="B4545" t="s">
        <v>2862</v>
      </c>
      <c r="C4545" t="s">
        <v>1512</v>
      </c>
      <c r="D4545" t="s">
        <v>2903</v>
      </c>
      <c r="E4545">
        <v>134733</v>
      </c>
      <c r="F4545" s="11">
        <v>1</v>
      </c>
    </row>
    <row r="4546" spans="1:6" x14ac:dyDescent="0.35">
      <c r="A4546" t="s">
        <v>2856</v>
      </c>
      <c r="B4546" t="s">
        <v>2862</v>
      </c>
      <c r="C4546" t="s">
        <v>1512</v>
      </c>
      <c r="D4546" t="s">
        <v>2904</v>
      </c>
      <c r="E4546">
        <v>121825</v>
      </c>
      <c r="F4546" s="11">
        <v>1</v>
      </c>
    </row>
    <row r="4547" spans="1:6" x14ac:dyDescent="0.35">
      <c r="A4547" t="s">
        <v>2856</v>
      </c>
      <c r="B4547" t="s">
        <v>2862</v>
      </c>
      <c r="C4547" t="s">
        <v>1512</v>
      </c>
      <c r="D4547" t="s">
        <v>2905</v>
      </c>
      <c r="E4547">
        <v>7921</v>
      </c>
      <c r="F4547" s="11">
        <v>1</v>
      </c>
    </row>
    <row r="4548" spans="1:6" x14ac:dyDescent="0.35">
      <c r="A4548" t="s">
        <v>2856</v>
      </c>
      <c r="B4548" t="s">
        <v>2862</v>
      </c>
      <c r="C4548" t="s">
        <v>1512</v>
      </c>
      <c r="D4548" t="s">
        <v>2906</v>
      </c>
      <c r="E4548">
        <v>4987</v>
      </c>
      <c r="F4548" s="11">
        <v>1</v>
      </c>
    </row>
    <row r="4549" spans="1:6" x14ac:dyDescent="0.35">
      <c r="A4549" t="s">
        <v>2856</v>
      </c>
      <c r="B4549" t="s">
        <v>2862</v>
      </c>
      <c r="C4549" t="s">
        <v>1512</v>
      </c>
      <c r="D4549" t="s">
        <v>2907</v>
      </c>
      <c r="E4549">
        <v>192225</v>
      </c>
      <c r="F4549" s="11">
        <v>1</v>
      </c>
    </row>
    <row r="4550" spans="1:6" x14ac:dyDescent="0.35">
      <c r="A4550" t="s">
        <v>2856</v>
      </c>
      <c r="B4550" t="s">
        <v>2862</v>
      </c>
      <c r="C4550" t="s">
        <v>1512</v>
      </c>
      <c r="D4550" t="s">
        <v>2908</v>
      </c>
      <c r="E4550">
        <v>156358</v>
      </c>
      <c r="F4550" s="11">
        <v>1</v>
      </c>
    </row>
    <row r="4551" spans="1:6" x14ac:dyDescent="0.35">
      <c r="A4551" t="s">
        <v>2856</v>
      </c>
      <c r="B4551" t="s">
        <v>2862</v>
      </c>
      <c r="C4551" t="s">
        <v>1512</v>
      </c>
      <c r="D4551" t="s">
        <v>2909</v>
      </c>
      <c r="E4551">
        <v>24401</v>
      </c>
      <c r="F4551" s="11">
        <v>1</v>
      </c>
    </row>
    <row r="4552" spans="1:6" x14ac:dyDescent="0.35">
      <c r="A4552" t="s">
        <v>2856</v>
      </c>
      <c r="B4552" t="s">
        <v>2862</v>
      </c>
      <c r="C4552" t="s">
        <v>1512</v>
      </c>
      <c r="D4552" t="s">
        <v>2910</v>
      </c>
      <c r="E4552">
        <v>11466</v>
      </c>
      <c r="F4552" s="11">
        <v>1</v>
      </c>
    </row>
    <row r="4553" spans="1:6" x14ac:dyDescent="0.35">
      <c r="A4553" t="s">
        <v>2856</v>
      </c>
      <c r="B4553" t="s">
        <v>2862</v>
      </c>
      <c r="C4553" t="s">
        <v>1512</v>
      </c>
      <c r="D4553" t="s">
        <v>2911</v>
      </c>
      <c r="E4553">
        <v>2085987</v>
      </c>
      <c r="F4553" s="11">
        <v>1</v>
      </c>
    </row>
    <row r="4554" spans="1:6" x14ac:dyDescent="0.35">
      <c r="A4554" t="s">
        <v>2856</v>
      </c>
      <c r="B4554" t="s">
        <v>2862</v>
      </c>
      <c r="C4554" t="s">
        <v>1512</v>
      </c>
      <c r="D4554" t="s">
        <v>2912</v>
      </c>
      <c r="E4554">
        <v>144813</v>
      </c>
      <c r="F4554" s="11">
        <v>1</v>
      </c>
    </row>
    <row r="4555" spans="1:6" x14ac:dyDescent="0.35">
      <c r="A4555" t="s">
        <v>2856</v>
      </c>
      <c r="B4555" t="s">
        <v>2862</v>
      </c>
      <c r="C4555" t="s">
        <v>1512</v>
      </c>
      <c r="D4555" t="s">
        <v>2913</v>
      </c>
      <c r="E4555">
        <v>0</v>
      </c>
      <c r="F4555" s="11">
        <v>0</v>
      </c>
    </row>
    <row r="4556" spans="1:6" x14ac:dyDescent="0.35">
      <c r="A4556" t="s">
        <v>2856</v>
      </c>
      <c r="B4556" t="s">
        <v>2862</v>
      </c>
      <c r="C4556" t="s">
        <v>1512</v>
      </c>
      <c r="D4556" t="s">
        <v>2914</v>
      </c>
      <c r="E4556">
        <v>0</v>
      </c>
      <c r="F4556" s="11">
        <v>0</v>
      </c>
    </row>
    <row r="4557" spans="1:6" x14ac:dyDescent="0.35">
      <c r="A4557" t="s">
        <v>2856</v>
      </c>
      <c r="B4557" t="s">
        <v>2862</v>
      </c>
      <c r="C4557" t="s">
        <v>1512</v>
      </c>
      <c r="D4557" t="s">
        <v>2915</v>
      </c>
      <c r="E4557">
        <v>0</v>
      </c>
      <c r="F4557" s="11">
        <v>0</v>
      </c>
    </row>
    <row r="4558" spans="1:6" x14ac:dyDescent="0.35">
      <c r="A4558" t="s">
        <v>2856</v>
      </c>
      <c r="B4558" t="s">
        <v>2862</v>
      </c>
      <c r="C4558" t="s">
        <v>1512</v>
      </c>
      <c r="D4558" t="s">
        <v>2916</v>
      </c>
      <c r="E4558">
        <v>127288</v>
      </c>
      <c r="F4558" s="11">
        <v>1</v>
      </c>
    </row>
    <row r="4559" spans="1:6" x14ac:dyDescent="0.35">
      <c r="A4559" t="s">
        <v>2856</v>
      </c>
      <c r="B4559" t="s">
        <v>2862</v>
      </c>
      <c r="C4559" t="s">
        <v>1512</v>
      </c>
      <c r="D4559" t="s">
        <v>2917</v>
      </c>
      <c r="E4559">
        <v>0</v>
      </c>
      <c r="F4559" s="11">
        <v>0</v>
      </c>
    </row>
    <row r="4560" spans="1:6" x14ac:dyDescent="0.35">
      <c r="A4560" t="s">
        <v>2856</v>
      </c>
      <c r="B4560" t="s">
        <v>2865</v>
      </c>
      <c r="C4560" t="s">
        <v>1528</v>
      </c>
      <c r="D4560" t="s">
        <v>2875</v>
      </c>
      <c r="E4560">
        <v>18185</v>
      </c>
      <c r="F4560" s="11">
        <v>1</v>
      </c>
    </row>
    <row r="4561" spans="1:6" x14ac:dyDescent="0.35">
      <c r="A4561" t="s">
        <v>2856</v>
      </c>
      <c r="B4561" t="s">
        <v>2865</v>
      </c>
      <c r="C4561" t="s">
        <v>1528</v>
      </c>
      <c r="D4561" t="s">
        <v>2876</v>
      </c>
      <c r="E4561">
        <v>0</v>
      </c>
      <c r="F4561" s="11">
        <v>0</v>
      </c>
    </row>
    <row r="4562" spans="1:6" x14ac:dyDescent="0.35">
      <c r="A4562" t="s">
        <v>2856</v>
      </c>
      <c r="B4562" t="s">
        <v>2865</v>
      </c>
      <c r="C4562" t="s">
        <v>1528</v>
      </c>
      <c r="D4562" t="s">
        <v>2877</v>
      </c>
      <c r="E4562">
        <v>0</v>
      </c>
      <c r="F4562" s="11">
        <v>0</v>
      </c>
    </row>
    <row r="4563" spans="1:6" x14ac:dyDescent="0.35">
      <c r="A4563" t="s">
        <v>2856</v>
      </c>
      <c r="B4563" t="s">
        <v>2865</v>
      </c>
      <c r="C4563" t="s">
        <v>1528</v>
      </c>
      <c r="D4563" t="s">
        <v>2878</v>
      </c>
      <c r="E4563">
        <v>0</v>
      </c>
      <c r="F4563" s="11">
        <v>0</v>
      </c>
    </row>
    <row r="4564" spans="1:6" x14ac:dyDescent="0.35">
      <c r="A4564" t="s">
        <v>2856</v>
      </c>
      <c r="B4564" t="s">
        <v>2865</v>
      </c>
      <c r="C4564" t="s">
        <v>1528</v>
      </c>
      <c r="D4564" t="s">
        <v>2879</v>
      </c>
      <c r="E4564">
        <v>3471</v>
      </c>
      <c r="F4564" s="11">
        <v>1</v>
      </c>
    </row>
    <row r="4565" spans="1:6" x14ac:dyDescent="0.35">
      <c r="A4565" t="s">
        <v>2856</v>
      </c>
      <c r="B4565" t="s">
        <v>2865</v>
      </c>
      <c r="C4565" t="s">
        <v>1528</v>
      </c>
      <c r="D4565" t="s">
        <v>2880</v>
      </c>
      <c r="E4565">
        <v>0</v>
      </c>
      <c r="F4565" s="11">
        <v>0</v>
      </c>
    </row>
    <row r="4566" spans="1:6" x14ac:dyDescent="0.35">
      <c r="A4566" t="s">
        <v>2856</v>
      </c>
      <c r="B4566" t="s">
        <v>2865</v>
      </c>
      <c r="C4566" t="s">
        <v>1528</v>
      </c>
      <c r="D4566" t="s">
        <v>2881</v>
      </c>
      <c r="E4566">
        <v>0</v>
      </c>
      <c r="F4566" s="11">
        <v>0</v>
      </c>
    </row>
    <row r="4567" spans="1:6" x14ac:dyDescent="0.35">
      <c r="A4567" t="s">
        <v>2856</v>
      </c>
      <c r="B4567" t="s">
        <v>2865</v>
      </c>
      <c r="C4567" t="s">
        <v>1528</v>
      </c>
      <c r="D4567" t="s">
        <v>2882</v>
      </c>
      <c r="E4567">
        <v>0</v>
      </c>
      <c r="F4567" s="11">
        <v>0</v>
      </c>
    </row>
    <row r="4568" spans="1:6" x14ac:dyDescent="0.35">
      <c r="A4568" t="s">
        <v>2856</v>
      </c>
      <c r="B4568" t="s">
        <v>2865</v>
      </c>
      <c r="C4568" t="s">
        <v>1528</v>
      </c>
      <c r="D4568" t="s">
        <v>2883</v>
      </c>
      <c r="E4568">
        <v>0</v>
      </c>
      <c r="F4568" s="11">
        <v>0</v>
      </c>
    </row>
    <row r="4569" spans="1:6" x14ac:dyDescent="0.35">
      <c r="A4569" t="s">
        <v>2856</v>
      </c>
      <c r="B4569" t="s">
        <v>2865</v>
      </c>
      <c r="C4569" t="s">
        <v>1528</v>
      </c>
      <c r="D4569" t="s">
        <v>2884</v>
      </c>
      <c r="E4569">
        <v>0</v>
      </c>
      <c r="F4569" s="11">
        <v>0</v>
      </c>
    </row>
    <row r="4570" spans="1:6" x14ac:dyDescent="0.35">
      <c r="A4570" t="s">
        <v>2856</v>
      </c>
      <c r="B4570" t="s">
        <v>2865</v>
      </c>
      <c r="C4570" t="s">
        <v>1528</v>
      </c>
      <c r="D4570" t="s">
        <v>2885</v>
      </c>
      <c r="E4570">
        <v>0</v>
      </c>
      <c r="F4570" s="11">
        <v>0</v>
      </c>
    </row>
    <row r="4571" spans="1:6" x14ac:dyDescent="0.35">
      <c r="A4571" t="s">
        <v>2856</v>
      </c>
      <c r="B4571" t="s">
        <v>2865</v>
      </c>
      <c r="C4571" t="s">
        <v>1528</v>
      </c>
      <c r="D4571" t="s">
        <v>2886</v>
      </c>
      <c r="E4571">
        <v>0</v>
      </c>
      <c r="F4571" s="11">
        <v>0</v>
      </c>
    </row>
    <row r="4572" spans="1:6" x14ac:dyDescent="0.35">
      <c r="A4572" t="s">
        <v>2856</v>
      </c>
      <c r="B4572" t="s">
        <v>2865</v>
      </c>
      <c r="C4572" t="s">
        <v>1528</v>
      </c>
      <c r="D4572" t="s">
        <v>2887</v>
      </c>
      <c r="E4572">
        <v>46119</v>
      </c>
      <c r="F4572" s="11">
        <v>1</v>
      </c>
    </row>
    <row r="4573" spans="1:6" x14ac:dyDescent="0.35">
      <c r="A4573" t="s">
        <v>2856</v>
      </c>
      <c r="B4573" t="s">
        <v>2865</v>
      </c>
      <c r="C4573" t="s">
        <v>1528</v>
      </c>
      <c r="D4573" t="s">
        <v>2888</v>
      </c>
      <c r="E4573">
        <v>26410</v>
      </c>
      <c r="F4573" s="11">
        <v>0</v>
      </c>
    </row>
    <row r="4574" spans="1:6" x14ac:dyDescent="0.35">
      <c r="A4574" t="s">
        <v>2856</v>
      </c>
      <c r="B4574" t="s">
        <v>2865</v>
      </c>
      <c r="C4574" t="s">
        <v>1528</v>
      </c>
      <c r="D4574" t="s">
        <v>2889</v>
      </c>
      <c r="E4574">
        <v>0</v>
      </c>
      <c r="F4574" s="11">
        <v>0</v>
      </c>
    </row>
    <row r="4575" spans="1:6" x14ac:dyDescent="0.35">
      <c r="A4575" t="s">
        <v>2856</v>
      </c>
      <c r="B4575" t="s">
        <v>2865</v>
      </c>
      <c r="C4575" t="s">
        <v>1528</v>
      </c>
      <c r="D4575" t="s">
        <v>2890</v>
      </c>
      <c r="E4575">
        <v>0</v>
      </c>
      <c r="F4575" s="11">
        <v>0</v>
      </c>
    </row>
    <row r="4576" spans="1:6" x14ac:dyDescent="0.35">
      <c r="A4576" t="s">
        <v>2856</v>
      </c>
      <c r="B4576" t="s">
        <v>2865</v>
      </c>
      <c r="C4576" t="s">
        <v>1528</v>
      </c>
      <c r="D4576" t="s">
        <v>2891</v>
      </c>
      <c r="E4576">
        <v>0</v>
      </c>
      <c r="F4576" s="11">
        <v>0</v>
      </c>
    </row>
    <row r="4577" spans="1:6" x14ac:dyDescent="0.35">
      <c r="A4577" t="s">
        <v>2856</v>
      </c>
      <c r="B4577" t="s">
        <v>2865</v>
      </c>
      <c r="C4577" t="s">
        <v>1528</v>
      </c>
      <c r="D4577" t="s">
        <v>2892</v>
      </c>
      <c r="E4577">
        <v>0</v>
      </c>
      <c r="F4577" s="11">
        <v>0</v>
      </c>
    </row>
    <row r="4578" spans="1:6" x14ac:dyDescent="0.35">
      <c r="A4578" t="s">
        <v>2856</v>
      </c>
      <c r="B4578" t="s">
        <v>2865</v>
      </c>
      <c r="C4578" t="s">
        <v>1528</v>
      </c>
      <c r="D4578" t="s">
        <v>2893</v>
      </c>
      <c r="E4578">
        <v>0</v>
      </c>
      <c r="F4578" s="11">
        <v>0</v>
      </c>
    </row>
    <row r="4579" spans="1:6" x14ac:dyDescent="0.35">
      <c r="A4579" t="s">
        <v>2856</v>
      </c>
      <c r="B4579" t="s">
        <v>2865</v>
      </c>
      <c r="C4579" t="s">
        <v>1528</v>
      </c>
      <c r="D4579" t="s">
        <v>2894</v>
      </c>
      <c r="E4579">
        <v>0</v>
      </c>
      <c r="F4579" s="11">
        <v>0</v>
      </c>
    </row>
    <row r="4580" spans="1:6" x14ac:dyDescent="0.35">
      <c r="A4580" t="s">
        <v>2856</v>
      </c>
      <c r="B4580" t="s">
        <v>2865</v>
      </c>
      <c r="C4580" t="s">
        <v>1528</v>
      </c>
      <c r="D4580" t="s">
        <v>2895</v>
      </c>
      <c r="E4580">
        <v>527052</v>
      </c>
      <c r="F4580" s="11">
        <v>1</v>
      </c>
    </row>
    <row r="4581" spans="1:6" x14ac:dyDescent="0.35">
      <c r="A4581" t="s">
        <v>2856</v>
      </c>
      <c r="B4581" t="s">
        <v>2865</v>
      </c>
      <c r="C4581" t="s">
        <v>1528</v>
      </c>
      <c r="D4581" t="s">
        <v>2896</v>
      </c>
      <c r="E4581">
        <v>344572</v>
      </c>
      <c r="F4581" s="11">
        <v>0</v>
      </c>
    </row>
    <row r="4582" spans="1:6" x14ac:dyDescent="0.35">
      <c r="A4582" t="s">
        <v>2856</v>
      </c>
      <c r="B4582" t="s">
        <v>2865</v>
      </c>
      <c r="C4582" t="s">
        <v>1528</v>
      </c>
      <c r="D4582" t="s">
        <v>2897</v>
      </c>
      <c r="E4582">
        <v>0</v>
      </c>
      <c r="F4582" s="11">
        <v>0</v>
      </c>
    </row>
    <row r="4583" spans="1:6" x14ac:dyDescent="0.35">
      <c r="A4583" t="s">
        <v>2856</v>
      </c>
      <c r="B4583" t="s">
        <v>2865</v>
      </c>
      <c r="C4583" t="s">
        <v>1528</v>
      </c>
      <c r="D4583" t="s">
        <v>2898</v>
      </c>
      <c r="E4583">
        <v>0</v>
      </c>
      <c r="F4583" s="11">
        <v>1</v>
      </c>
    </row>
    <row r="4584" spans="1:6" x14ac:dyDescent="0.35">
      <c r="A4584" t="s">
        <v>2856</v>
      </c>
      <c r="B4584" t="s">
        <v>2865</v>
      </c>
      <c r="C4584" t="s">
        <v>1528</v>
      </c>
      <c r="D4584" t="s">
        <v>2899</v>
      </c>
      <c r="E4584">
        <v>10033</v>
      </c>
      <c r="F4584" s="11">
        <v>1</v>
      </c>
    </row>
    <row r="4585" spans="1:6" x14ac:dyDescent="0.35">
      <c r="A4585" t="s">
        <v>2856</v>
      </c>
      <c r="B4585" t="s">
        <v>2865</v>
      </c>
      <c r="C4585" t="s">
        <v>1528</v>
      </c>
      <c r="D4585" t="s">
        <v>2900</v>
      </c>
      <c r="E4585">
        <v>8721</v>
      </c>
      <c r="F4585" s="11">
        <v>0</v>
      </c>
    </row>
    <row r="4586" spans="1:6" x14ac:dyDescent="0.35">
      <c r="A4586" t="s">
        <v>2856</v>
      </c>
      <c r="B4586" t="s">
        <v>2865</v>
      </c>
      <c r="C4586" t="s">
        <v>1528</v>
      </c>
      <c r="D4586" t="s">
        <v>2901</v>
      </c>
      <c r="E4586">
        <v>0</v>
      </c>
      <c r="F4586" s="11">
        <v>0</v>
      </c>
    </row>
    <row r="4587" spans="1:6" x14ac:dyDescent="0.35">
      <c r="A4587" t="s">
        <v>2856</v>
      </c>
      <c r="B4587" t="s">
        <v>2865</v>
      </c>
      <c r="C4587" t="s">
        <v>1528</v>
      </c>
      <c r="D4587" t="s">
        <v>2902</v>
      </c>
      <c r="E4587">
        <v>0</v>
      </c>
      <c r="F4587" s="11">
        <v>1</v>
      </c>
    </row>
    <row r="4588" spans="1:6" x14ac:dyDescent="0.35">
      <c r="A4588" t="s">
        <v>2856</v>
      </c>
      <c r="B4588" t="s">
        <v>2865</v>
      </c>
      <c r="C4588" t="s">
        <v>1528</v>
      </c>
      <c r="D4588" t="s">
        <v>2903</v>
      </c>
      <c r="E4588">
        <v>94393</v>
      </c>
      <c r="F4588" s="11">
        <v>1</v>
      </c>
    </row>
    <row r="4589" spans="1:6" x14ac:dyDescent="0.35">
      <c r="A4589" t="s">
        <v>2856</v>
      </c>
      <c r="B4589" t="s">
        <v>2865</v>
      </c>
      <c r="C4589" t="s">
        <v>1528</v>
      </c>
      <c r="D4589" t="s">
        <v>2904</v>
      </c>
      <c r="E4589">
        <v>0</v>
      </c>
      <c r="F4589" s="11">
        <v>0</v>
      </c>
    </row>
    <row r="4590" spans="1:6" x14ac:dyDescent="0.35">
      <c r="A4590" t="s">
        <v>2856</v>
      </c>
      <c r="B4590" t="s">
        <v>2865</v>
      </c>
      <c r="C4590" t="s">
        <v>1528</v>
      </c>
      <c r="D4590" t="s">
        <v>2905</v>
      </c>
      <c r="E4590">
        <v>0</v>
      </c>
      <c r="F4590" s="11">
        <v>0</v>
      </c>
    </row>
    <row r="4591" spans="1:6" x14ac:dyDescent="0.35">
      <c r="A4591" t="s">
        <v>2856</v>
      </c>
      <c r="B4591" t="s">
        <v>2865</v>
      </c>
      <c r="C4591" t="s">
        <v>1528</v>
      </c>
      <c r="D4591" t="s">
        <v>2906</v>
      </c>
      <c r="E4591">
        <v>0</v>
      </c>
      <c r="F4591" s="11">
        <v>0</v>
      </c>
    </row>
    <row r="4592" spans="1:6" x14ac:dyDescent="0.35">
      <c r="A4592" t="s">
        <v>2856</v>
      </c>
      <c r="B4592" t="s">
        <v>2865</v>
      </c>
      <c r="C4592" t="s">
        <v>1528</v>
      </c>
      <c r="D4592" t="s">
        <v>2907</v>
      </c>
      <c r="E4592">
        <v>167132</v>
      </c>
      <c r="F4592" s="11">
        <v>1</v>
      </c>
    </row>
    <row r="4593" spans="1:6" x14ac:dyDescent="0.35">
      <c r="A4593" t="s">
        <v>2856</v>
      </c>
      <c r="B4593" t="s">
        <v>2865</v>
      </c>
      <c r="C4593" t="s">
        <v>1528</v>
      </c>
      <c r="D4593" t="s">
        <v>2908</v>
      </c>
      <c r="E4593">
        <v>0</v>
      </c>
      <c r="F4593" s="11">
        <v>0</v>
      </c>
    </row>
    <row r="4594" spans="1:6" x14ac:dyDescent="0.35">
      <c r="A4594" t="s">
        <v>2856</v>
      </c>
      <c r="B4594" t="s">
        <v>2865</v>
      </c>
      <c r="C4594" t="s">
        <v>1528</v>
      </c>
      <c r="D4594" t="s">
        <v>2909</v>
      </c>
      <c r="E4594">
        <v>0</v>
      </c>
      <c r="F4594" s="11">
        <v>0</v>
      </c>
    </row>
    <row r="4595" spans="1:6" x14ac:dyDescent="0.35">
      <c r="A4595" t="s">
        <v>2856</v>
      </c>
      <c r="B4595" t="s">
        <v>2865</v>
      </c>
      <c r="C4595" t="s">
        <v>1528</v>
      </c>
      <c r="D4595" t="s">
        <v>2910</v>
      </c>
      <c r="E4595">
        <v>0</v>
      </c>
      <c r="F4595" s="11">
        <v>0</v>
      </c>
    </row>
    <row r="4596" spans="1:6" x14ac:dyDescent="0.35">
      <c r="A4596" t="s">
        <v>2856</v>
      </c>
      <c r="B4596" t="s">
        <v>2865</v>
      </c>
      <c r="C4596" t="s">
        <v>1528</v>
      </c>
      <c r="D4596" t="s">
        <v>2911</v>
      </c>
      <c r="E4596">
        <v>410547</v>
      </c>
      <c r="F4596" s="11">
        <v>1</v>
      </c>
    </row>
    <row r="4597" spans="1:6" x14ac:dyDescent="0.35">
      <c r="A4597" t="s">
        <v>2856</v>
      </c>
      <c r="B4597" t="s">
        <v>2865</v>
      </c>
      <c r="C4597" t="s">
        <v>1528</v>
      </c>
      <c r="D4597" t="s">
        <v>2912</v>
      </c>
      <c r="E4597">
        <v>0</v>
      </c>
      <c r="F4597" s="11">
        <v>0</v>
      </c>
    </row>
    <row r="4598" spans="1:6" x14ac:dyDescent="0.35">
      <c r="A4598" t="s">
        <v>2856</v>
      </c>
      <c r="B4598" t="s">
        <v>2865</v>
      </c>
      <c r="C4598" t="s">
        <v>1528</v>
      </c>
      <c r="D4598" t="s">
        <v>2913</v>
      </c>
      <c r="E4598">
        <v>0</v>
      </c>
      <c r="F4598" s="11">
        <v>0</v>
      </c>
    </row>
    <row r="4599" spans="1:6" x14ac:dyDescent="0.35">
      <c r="A4599" t="s">
        <v>2856</v>
      </c>
      <c r="B4599" t="s">
        <v>2865</v>
      </c>
      <c r="C4599" t="s">
        <v>1528</v>
      </c>
      <c r="D4599" t="s">
        <v>2914</v>
      </c>
      <c r="E4599">
        <v>0</v>
      </c>
      <c r="F4599" s="11">
        <v>0</v>
      </c>
    </row>
    <row r="4600" spans="1:6" x14ac:dyDescent="0.35">
      <c r="A4600" t="s">
        <v>2856</v>
      </c>
      <c r="B4600" t="s">
        <v>2865</v>
      </c>
      <c r="C4600" t="s">
        <v>1528</v>
      </c>
      <c r="D4600" t="s">
        <v>2915</v>
      </c>
      <c r="E4600">
        <v>820</v>
      </c>
      <c r="F4600" s="11">
        <v>1</v>
      </c>
    </row>
    <row r="4601" spans="1:6" x14ac:dyDescent="0.35">
      <c r="A4601" t="s">
        <v>2856</v>
      </c>
      <c r="B4601" t="s">
        <v>2865</v>
      </c>
      <c r="C4601" t="s">
        <v>1528</v>
      </c>
      <c r="D4601" t="s">
        <v>2916</v>
      </c>
      <c r="E4601">
        <v>21070</v>
      </c>
      <c r="F4601" s="11">
        <v>1</v>
      </c>
    </row>
    <row r="4602" spans="1:6" x14ac:dyDescent="0.35">
      <c r="A4602" t="s">
        <v>2856</v>
      </c>
      <c r="B4602" t="s">
        <v>2865</v>
      </c>
      <c r="C4602" t="s">
        <v>1528</v>
      </c>
      <c r="D4602" t="s">
        <v>2917</v>
      </c>
      <c r="E4602">
        <v>127964</v>
      </c>
      <c r="F4602" s="11">
        <v>1</v>
      </c>
    </row>
    <row r="4603" spans="1:6" x14ac:dyDescent="0.35">
      <c r="A4603" t="s">
        <v>2856</v>
      </c>
      <c r="B4603" t="s">
        <v>2865</v>
      </c>
      <c r="C4603" t="s">
        <v>1436</v>
      </c>
      <c r="D4603" t="s">
        <v>2875</v>
      </c>
      <c r="E4603">
        <v>10588</v>
      </c>
      <c r="F4603" s="11">
        <v>1</v>
      </c>
    </row>
    <row r="4604" spans="1:6" x14ac:dyDescent="0.35">
      <c r="A4604" t="s">
        <v>2856</v>
      </c>
      <c r="B4604" t="s">
        <v>2865</v>
      </c>
      <c r="C4604" t="s">
        <v>1436</v>
      </c>
      <c r="D4604" t="s">
        <v>2876</v>
      </c>
      <c r="E4604">
        <v>0</v>
      </c>
      <c r="F4604" s="11">
        <v>1</v>
      </c>
    </row>
    <row r="4605" spans="1:6" x14ac:dyDescent="0.35">
      <c r="A4605" t="s">
        <v>2856</v>
      </c>
      <c r="B4605" t="s">
        <v>2865</v>
      </c>
      <c r="C4605" t="s">
        <v>1436</v>
      </c>
      <c r="D4605" t="s">
        <v>2877</v>
      </c>
      <c r="E4605">
        <v>0</v>
      </c>
      <c r="F4605" s="11">
        <v>1</v>
      </c>
    </row>
    <row r="4606" spans="1:6" x14ac:dyDescent="0.35">
      <c r="A4606" t="s">
        <v>2856</v>
      </c>
      <c r="B4606" t="s">
        <v>2865</v>
      </c>
      <c r="C4606" t="s">
        <v>1436</v>
      </c>
      <c r="D4606" t="s">
        <v>2878</v>
      </c>
      <c r="E4606">
        <v>0</v>
      </c>
      <c r="F4606" s="11">
        <v>1</v>
      </c>
    </row>
    <row r="4607" spans="1:6" x14ac:dyDescent="0.35">
      <c r="A4607" t="s">
        <v>2856</v>
      </c>
      <c r="B4607" t="s">
        <v>2865</v>
      </c>
      <c r="C4607" t="s">
        <v>1436</v>
      </c>
      <c r="D4607" t="s">
        <v>2879</v>
      </c>
      <c r="E4607">
        <v>0</v>
      </c>
      <c r="F4607" s="11">
        <v>1</v>
      </c>
    </row>
    <row r="4608" spans="1:6" x14ac:dyDescent="0.35">
      <c r="A4608" t="s">
        <v>2856</v>
      </c>
      <c r="B4608" t="s">
        <v>2865</v>
      </c>
      <c r="C4608" t="s">
        <v>1436</v>
      </c>
      <c r="D4608" t="s">
        <v>2880</v>
      </c>
      <c r="E4608">
        <v>3727</v>
      </c>
      <c r="F4608" s="11">
        <v>1</v>
      </c>
    </row>
    <row r="4609" spans="1:6" x14ac:dyDescent="0.35">
      <c r="A4609" t="s">
        <v>2856</v>
      </c>
      <c r="B4609" t="s">
        <v>2865</v>
      </c>
      <c r="C4609" t="s">
        <v>1436</v>
      </c>
      <c r="D4609" t="s">
        <v>2881</v>
      </c>
      <c r="E4609">
        <v>0</v>
      </c>
      <c r="F4609" s="11">
        <v>1</v>
      </c>
    </row>
    <row r="4610" spans="1:6" x14ac:dyDescent="0.35">
      <c r="A4610" t="s">
        <v>2856</v>
      </c>
      <c r="B4610" t="s">
        <v>2865</v>
      </c>
      <c r="C4610" t="s">
        <v>1436</v>
      </c>
      <c r="D4610" t="s">
        <v>2882</v>
      </c>
      <c r="E4610">
        <v>0</v>
      </c>
      <c r="F4610" s="11">
        <v>1</v>
      </c>
    </row>
    <row r="4611" spans="1:6" x14ac:dyDescent="0.35">
      <c r="A4611" t="s">
        <v>2856</v>
      </c>
      <c r="B4611" t="s">
        <v>2865</v>
      </c>
      <c r="C4611" t="s">
        <v>1436</v>
      </c>
      <c r="D4611" t="s">
        <v>2883</v>
      </c>
      <c r="E4611">
        <v>0</v>
      </c>
      <c r="F4611" s="11">
        <v>1</v>
      </c>
    </row>
    <row r="4612" spans="1:6" x14ac:dyDescent="0.35">
      <c r="A4612" t="s">
        <v>2856</v>
      </c>
      <c r="B4612" t="s">
        <v>2865</v>
      </c>
      <c r="C4612" t="s">
        <v>1436</v>
      </c>
      <c r="D4612" t="s">
        <v>2884</v>
      </c>
      <c r="E4612">
        <v>211</v>
      </c>
      <c r="F4612" s="11">
        <v>1</v>
      </c>
    </row>
    <row r="4613" spans="1:6" x14ac:dyDescent="0.35">
      <c r="A4613" t="s">
        <v>2856</v>
      </c>
      <c r="B4613" t="s">
        <v>2865</v>
      </c>
      <c r="C4613" t="s">
        <v>1436</v>
      </c>
      <c r="D4613" t="s">
        <v>2885</v>
      </c>
      <c r="E4613">
        <v>11</v>
      </c>
      <c r="F4613" s="11">
        <v>1</v>
      </c>
    </row>
    <row r="4614" spans="1:6" x14ac:dyDescent="0.35">
      <c r="A4614" t="s">
        <v>2856</v>
      </c>
      <c r="B4614" t="s">
        <v>2865</v>
      </c>
      <c r="C4614" t="s">
        <v>1436</v>
      </c>
      <c r="D4614" t="s">
        <v>2886</v>
      </c>
      <c r="E4614">
        <v>0</v>
      </c>
      <c r="F4614" s="11">
        <v>1</v>
      </c>
    </row>
    <row r="4615" spans="1:6" x14ac:dyDescent="0.35">
      <c r="A4615" t="s">
        <v>2856</v>
      </c>
      <c r="B4615" t="s">
        <v>2865</v>
      </c>
      <c r="C4615" t="s">
        <v>1436</v>
      </c>
      <c r="D4615" t="s">
        <v>2887</v>
      </c>
      <c r="E4615">
        <v>72442</v>
      </c>
      <c r="F4615" s="11">
        <v>1</v>
      </c>
    </row>
    <row r="4616" spans="1:6" x14ac:dyDescent="0.35">
      <c r="A4616" t="s">
        <v>2856</v>
      </c>
      <c r="B4616" t="s">
        <v>2865</v>
      </c>
      <c r="C4616" t="s">
        <v>1436</v>
      </c>
      <c r="D4616" t="s">
        <v>2888</v>
      </c>
      <c r="E4616">
        <v>0</v>
      </c>
      <c r="F4616" s="11">
        <v>1</v>
      </c>
    </row>
    <row r="4617" spans="1:6" x14ac:dyDescent="0.35">
      <c r="A4617" t="s">
        <v>2856</v>
      </c>
      <c r="B4617" t="s">
        <v>2865</v>
      </c>
      <c r="C4617" t="s">
        <v>1436</v>
      </c>
      <c r="D4617" t="s">
        <v>2889</v>
      </c>
      <c r="E4617">
        <v>0</v>
      </c>
      <c r="F4617" s="11">
        <v>1</v>
      </c>
    </row>
    <row r="4618" spans="1:6" x14ac:dyDescent="0.35">
      <c r="A4618" t="s">
        <v>2856</v>
      </c>
      <c r="B4618" t="s">
        <v>2865</v>
      </c>
      <c r="C4618" t="s">
        <v>1436</v>
      </c>
      <c r="D4618" t="s">
        <v>2890</v>
      </c>
      <c r="E4618">
        <v>0</v>
      </c>
      <c r="F4618" s="11">
        <v>1</v>
      </c>
    </row>
    <row r="4619" spans="1:6" x14ac:dyDescent="0.35">
      <c r="A4619" t="s">
        <v>2856</v>
      </c>
      <c r="B4619" t="s">
        <v>2865</v>
      </c>
      <c r="C4619" t="s">
        <v>1436</v>
      </c>
      <c r="D4619" t="s">
        <v>2891</v>
      </c>
      <c r="E4619">
        <v>2586</v>
      </c>
      <c r="F4619" s="11">
        <v>1</v>
      </c>
    </row>
    <row r="4620" spans="1:6" x14ac:dyDescent="0.35">
      <c r="A4620" t="s">
        <v>2856</v>
      </c>
      <c r="B4620" t="s">
        <v>2865</v>
      </c>
      <c r="C4620" t="s">
        <v>1436</v>
      </c>
      <c r="D4620" t="s">
        <v>2892</v>
      </c>
      <c r="E4620">
        <v>0</v>
      </c>
      <c r="F4620" s="11">
        <v>1</v>
      </c>
    </row>
    <row r="4621" spans="1:6" x14ac:dyDescent="0.35">
      <c r="A4621" t="s">
        <v>2856</v>
      </c>
      <c r="B4621" t="s">
        <v>2865</v>
      </c>
      <c r="C4621" t="s">
        <v>1436</v>
      </c>
      <c r="D4621" t="s">
        <v>2893</v>
      </c>
      <c r="E4621">
        <v>0</v>
      </c>
      <c r="F4621" s="11">
        <v>1</v>
      </c>
    </row>
    <row r="4622" spans="1:6" x14ac:dyDescent="0.35">
      <c r="A4622" t="s">
        <v>2856</v>
      </c>
      <c r="B4622" t="s">
        <v>2865</v>
      </c>
      <c r="C4622" t="s">
        <v>1436</v>
      </c>
      <c r="D4622" t="s">
        <v>2894</v>
      </c>
      <c r="E4622">
        <v>0</v>
      </c>
      <c r="F4622" s="11">
        <v>1</v>
      </c>
    </row>
    <row r="4623" spans="1:6" x14ac:dyDescent="0.35">
      <c r="A4623" t="s">
        <v>2856</v>
      </c>
      <c r="B4623" t="s">
        <v>2865</v>
      </c>
      <c r="C4623" t="s">
        <v>1436</v>
      </c>
      <c r="D4623" t="s">
        <v>2895</v>
      </c>
      <c r="E4623">
        <v>146697</v>
      </c>
      <c r="F4623" s="11">
        <v>1</v>
      </c>
    </row>
    <row r="4624" spans="1:6" x14ac:dyDescent="0.35">
      <c r="A4624" t="s">
        <v>2856</v>
      </c>
      <c r="B4624" t="s">
        <v>2865</v>
      </c>
      <c r="C4624" t="s">
        <v>1436</v>
      </c>
      <c r="D4624" t="s">
        <v>2896</v>
      </c>
      <c r="E4624">
        <v>106061</v>
      </c>
      <c r="F4624" s="11">
        <v>1</v>
      </c>
    </row>
    <row r="4625" spans="1:6" x14ac:dyDescent="0.35">
      <c r="A4625" t="s">
        <v>2856</v>
      </c>
      <c r="B4625" t="s">
        <v>2865</v>
      </c>
      <c r="C4625" t="s">
        <v>1436</v>
      </c>
      <c r="D4625" t="s">
        <v>2897</v>
      </c>
      <c r="E4625">
        <v>46816</v>
      </c>
      <c r="F4625" s="11">
        <v>1</v>
      </c>
    </row>
    <row r="4626" spans="1:6" x14ac:dyDescent="0.35">
      <c r="A4626" t="s">
        <v>2856</v>
      </c>
      <c r="B4626" t="s">
        <v>2865</v>
      </c>
      <c r="C4626" t="s">
        <v>1436</v>
      </c>
      <c r="D4626" t="s">
        <v>2898</v>
      </c>
      <c r="E4626">
        <v>1892</v>
      </c>
      <c r="F4626" s="11">
        <v>1</v>
      </c>
    </row>
    <row r="4627" spans="1:6" x14ac:dyDescent="0.35">
      <c r="A4627" t="s">
        <v>2856</v>
      </c>
      <c r="B4627" t="s">
        <v>2865</v>
      </c>
      <c r="C4627" t="s">
        <v>1436</v>
      </c>
      <c r="D4627" t="s">
        <v>2899</v>
      </c>
      <c r="E4627">
        <v>1264</v>
      </c>
      <c r="F4627" s="11">
        <v>1</v>
      </c>
    </row>
    <row r="4628" spans="1:6" x14ac:dyDescent="0.35">
      <c r="A4628" t="s">
        <v>2856</v>
      </c>
      <c r="B4628" t="s">
        <v>2865</v>
      </c>
      <c r="C4628" t="s">
        <v>1436</v>
      </c>
      <c r="D4628" t="s">
        <v>2900</v>
      </c>
      <c r="E4628">
        <v>0</v>
      </c>
      <c r="F4628" s="11">
        <v>0</v>
      </c>
    </row>
    <row r="4629" spans="1:6" x14ac:dyDescent="0.35">
      <c r="A4629" t="s">
        <v>2856</v>
      </c>
      <c r="B4629" t="s">
        <v>2865</v>
      </c>
      <c r="C4629" t="s">
        <v>1436</v>
      </c>
      <c r="D4629" t="s">
        <v>2901</v>
      </c>
      <c r="E4629">
        <v>0</v>
      </c>
      <c r="F4629" s="11">
        <v>1</v>
      </c>
    </row>
    <row r="4630" spans="1:6" x14ac:dyDescent="0.35">
      <c r="A4630" t="s">
        <v>2856</v>
      </c>
      <c r="B4630" t="s">
        <v>2865</v>
      </c>
      <c r="C4630" t="s">
        <v>1436</v>
      </c>
      <c r="D4630" t="s">
        <v>2902</v>
      </c>
      <c r="E4630">
        <v>0</v>
      </c>
      <c r="F4630" s="11">
        <v>0</v>
      </c>
    </row>
    <row r="4631" spans="1:6" x14ac:dyDescent="0.35">
      <c r="A4631" t="s">
        <v>2856</v>
      </c>
      <c r="B4631" t="s">
        <v>2865</v>
      </c>
      <c r="C4631" t="s">
        <v>1436</v>
      </c>
      <c r="D4631" t="s">
        <v>2903</v>
      </c>
      <c r="E4631">
        <v>0</v>
      </c>
      <c r="F4631" s="11">
        <v>1</v>
      </c>
    </row>
    <row r="4632" spans="1:6" x14ac:dyDescent="0.35">
      <c r="A4632" t="s">
        <v>2856</v>
      </c>
      <c r="B4632" t="s">
        <v>2865</v>
      </c>
      <c r="C4632" t="s">
        <v>1436</v>
      </c>
      <c r="D4632" t="s">
        <v>2904</v>
      </c>
      <c r="E4632">
        <v>26008</v>
      </c>
      <c r="F4632" s="11">
        <v>1</v>
      </c>
    </row>
    <row r="4633" spans="1:6" x14ac:dyDescent="0.35">
      <c r="A4633" t="s">
        <v>2856</v>
      </c>
      <c r="B4633" t="s">
        <v>2865</v>
      </c>
      <c r="C4633" t="s">
        <v>1436</v>
      </c>
      <c r="D4633" t="s">
        <v>2905</v>
      </c>
      <c r="E4633">
        <v>2408</v>
      </c>
      <c r="F4633" s="11">
        <v>1</v>
      </c>
    </row>
    <row r="4634" spans="1:6" x14ac:dyDescent="0.35">
      <c r="A4634" t="s">
        <v>2856</v>
      </c>
      <c r="B4634" t="s">
        <v>2865</v>
      </c>
      <c r="C4634" t="s">
        <v>1436</v>
      </c>
      <c r="D4634" t="s">
        <v>2906</v>
      </c>
      <c r="E4634">
        <v>1515</v>
      </c>
      <c r="F4634" s="11">
        <v>1</v>
      </c>
    </row>
    <row r="4635" spans="1:6" x14ac:dyDescent="0.35">
      <c r="A4635" t="s">
        <v>2856</v>
      </c>
      <c r="B4635" t="s">
        <v>2865</v>
      </c>
      <c r="C4635" t="s">
        <v>1436</v>
      </c>
      <c r="D4635" t="s">
        <v>2907</v>
      </c>
      <c r="E4635">
        <v>0</v>
      </c>
      <c r="F4635" s="11">
        <v>1</v>
      </c>
    </row>
    <row r="4636" spans="1:6" x14ac:dyDescent="0.35">
      <c r="A4636" t="s">
        <v>2856</v>
      </c>
      <c r="B4636" t="s">
        <v>2865</v>
      </c>
      <c r="C4636" t="s">
        <v>1436</v>
      </c>
      <c r="D4636" t="s">
        <v>2908</v>
      </c>
      <c r="E4636">
        <v>33429</v>
      </c>
      <c r="F4636" s="11">
        <v>1</v>
      </c>
    </row>
    <row r="4637" spans="1:6" x14ac:dyDescent="0.35">
      <c r="A4637" t="s">
        <v>2856</v>
      </c>
      <c r="B4637" t="s">
        <v>2865</v>
      </c>
      <c r="C4637" t="s">
        <v>1436</v>
      </c>
      <c r="D4637" t="s">
        <v>2909</v>
      </c>
      <c r="E4637">
        <v>3010</v>
      </c>
      <c r="F4637" s="11">
        <v>1</v>
      </c>
    </row>
    <row r="4638" spans="1:6" x14ac:dyDescent="0.35">
      <c r="A4638" t="s">
        <v>2856</v>
      </c>
      <c r="B4638" t="s">
        <v>2865</v>
      </c>
      <c r="C4638" t="s">
        <v>1436</v>
      </c>
      <c r="D4638" t="s">
        <v>2910</v>
      </c>
      <c r="E4638">
        <v>1882</v>
      </c>
      <c r="F4638" s="11">
        <v>1</v>
      </c>
    </row>
    <row r="4639" spans="1:6" x14ac:dyDescent="0.35">
      <c r="A4639" t="s">
        <v>2856</v>
      </c>
      <c r="B4639" t="s">
        <v>2865</v>
      </c>
      <c r="C4639" t="s">
        <v>1436</v>
      </c>
      <c r="D4639" t="s">
        <v>2911</v>
      </c>
      <c r="E4639">
        <v>205263</v>
      </c>
      <c r="F4639" s="11">
        <v>1</v>
      </c>
    </row>
    <row r="4640" spans="1:6" x14ac:dyDescent="0.35">
      <c r="A4640" t="s">
        <v>2856</v>
      </c>
      <c r="B4640" t="s">
        <v>2865</v>
      </c>
      <c r="C4640" t="s">
        <v>1436</v>
      </c>
      <c r="D4640" t="s">
        <v>2912</v>
      </c>
      <c r="E4640">
        <v>218175</v>
      </c>
      <c r="F4640" s="11">
        <v>0</v>
      </c>
    </row>
    <row r="4641" spans="1:6" x14ac:dyDescent="0.35">
      <c r="A4641" t="s">
        <v>2856</v>
      </c>
      <c r="B4641" t="s">
        <v>2865</v>
      </c>
      <c r="C4641" t="s">
        <v>1436</v>
      </c>
      <c r="D4641" t="s">
        <v>2913</v>
      </c>
      <c r="E4641">
        <v>0</v>
      </c>
      <c r="F4641" s="11">
        <v>0</v>
      </c>
    </row>
    <row r="4642" spans="1:6" x14ac:dyDescent="0.35">
      <c r="A4642" t="s">
        <v>2856</v>
      </c>
      <c r="B4642" t="s">
        <v>2865</v>
      </c>
      <c r="C4642" t="s">
        <v>1436</v>
      </c>
      <c r="D4642" t="s">
        <v>2914</v>
      </c>
      <c r="E4642">
        <v>0</v>
      </c>
      <c r="F4642" s="11">
        <v>0</v>
      </c>
    </row>
    <row r="4643" spans="1:6" x14ac:dyDescent="0.35">
      <c r="A4643" t="s">
        <v>2856</v>
      </c>
      <c r="B4643" t="s">
        <v>2865</v>
      </c>
      <c r="C4643" t="s">
        <v>1436</v>
      </c>
      <c r="D4643" t="s">
        <v>2915</v>
      </c>
      <c r="E4643">
        <v>0</v>
      </c>
      <c r="F4643" s="11">
        <v>0</v>
      </c>
    </row>
    <row r="4644" spans="1:6" x14ac:dyDescent="0.35">
      <c r="A4644" t="s">
        <v>2856</v>
      </c>
      <c r="B4644" t="s">
        <v>2865</v>
      </c>
      <c r="C4644" t="s">
        <v>1436</v>
      </c>
      <c r="D4644" t="s">
        <v>2916</v>
      </c>
      <c r="E4644">
        <v>42241</v>
      </c>
      <c r="F4644" s="11">
        <v>1</v>
      </c>
    </row>
    <row r="4645" spans="1:6" x14ac:dyDescent="0.35">
      <c r="A4645" t="s">
        <v>2856</v>
      </c>
      <c r="B4645" t="s">
        <v>2865</v>
      </c>
      <c r="C4645" t="s">
        <v>1436</v>
      </c>
      <c r="D4645" t="s">
        <v>2917</v>
      </c>
      <c r="E4645">
        <v>0</v>
      </c>
      <c r="F4645" s="11">
        <v>1</v>
      </c>
    </row>
    <row r="4646" spans="1:6" x14ac:dyDescent="0.35">
      <c r="A4646" t="s">
        <v>2856</v>
      </c>
      <c r="B4646" t="s">
        <v>2862</v>
      </c>
      <c r="C4646" t="s">
        <v>1463</v>
      </c>
      <c r="D4646" t="s">
        <v>2875</v>
      </c>
      <c r="E4646">
        <v>51743</v>
      </c>
      <c r="F4646" s="11">
        <v>1</v>
      </c>
    </row>
    <row r="4647" spans="1:6" x14ac:dyDescent="0.35">
      <c r="A4647" t="s">
        <v>2856</v>
      </c>
      <c r="B4647" t="s">
        <v>2862</v>
      </c>
      <c r="C4647" t="s">
        <v>1463</v>
      </c>
      <c r="D4647" t="s">
        <v>2876</v>
      </c>
      <c r="E4647">
        <v>17953</v>
      </c>
      <c r="F4647" s="11">
        <v>1</v>
      </c>
    </row>
    <row r="4648" spans="1:6" x14ac:dyDescent="0.35">
      <c r="A4648" t="s">
        <v>2856</v>
      </c>
      <c r="B4648" t="s">
        <v>2862</v>
      </c>
      <c r="C4648" t="s">
        <v>1463</v>
      </c>
      <c r="D4648" t="s">
        <v>2877</v>
      </c>
      <c r="E4648">
        <v>30439</v>
      </c>
      <c r="F4648" s="11">
        <v>1</v>
      </c>
    </row>
    <row r="4649" spans="1:6" x14ac:dyDescent="0.35">
      <c r="A4649" t="s">
        <v>2856</v>
      </c>
      <c r="B4649" t="s">
        <v>2862</v>
      </c>
      <c r="C4649" t="s">
        <v>1463</v>
      </c>
      <c r="D4649" t="s">
        <v>2878</v>
      </c>
      <c r="E4649">
        <v>2708</v>
      </c>
      <c r="F4649" s="11">
        <v>1</v>
      </c>
    </row>
    <row r="4650" spans="1:6" x14ac:dyDescent="0.35">
      <c r="A4650" t="s">
        <v>2856</v>
      </c>
      <c r="B4650" t="s">
        <v>2862</v>
      </c>
      <c r="C4650" t="s">
        <v>1463</v>
      </c>
      <c r="D4650" t="s">
        <v>2879</v>
      </c>
      <c r="E4650">
        <v>8128</v>
      </c>
      <c r="F4650" s="11">
        <v>1</v>
      </c>
    </row>
    <row r="4651" spans="1:6" x14ac:dyDescent="0.35">
      <c r="A4651" t="s">
        <v>2856</v>
      </c>
      <c r="B4651" t="s">
        <v>2862</v>
      </c>
      <c r="C4651" t="s">
        <v>1463</v>
      </c>
      <c r="D4651" t="s">
        <v>2880</v>
      </c>
      <c r="E4651">
        <v>3639</v>
      </c>
      <c r="F4651" s="11">
        <v>1</v>
      </c>
    </row>
    <row r="4652" spans="1:6" x14ac:dyDescent="0.35">
      <c r="A4652" t="s">
        <v>2856</v>
      </c>
      <c r="B4652" t="s">
        <v>2862</v>
      </c>
      <c r="C4652" t="s">
        <v>1463</v>
      </c>
      <c r="D4652" t="s">
        <v>2881</v>
      </c>
      <c r="E4652">
        <v>4153</v>
      </c>
      <c r="F4652" s="11">
        <v>1</v>
      </c>
    </row>
    <row r="4653" spans="1:6" x14ac:dyDescent="0.35">
      <c r="A4653" t="s">
        <v>2856</v>
      </c>
      <c r="B4653" t="s">
        <v>2862</v>
      </c>
      <c r="C4653" t="s">
        <v>1463</v>
      </c>
      <c r="D4653" t="s">
        <v>2882</v>
      </c>
      <c r="E4653">
        <v>69</v>
      </c>
      <c r="F4653" s="11">
        <v>1</v>
      </c>
    </row>
    <row r="4654" spans="1:6" x14ac:dyDescent="0.35">
      <c r="A4654" t="s">
        <v>2856</v>
      </c>
      <c r="B4654" t="s">
        <v>2862</v>
      </c>
      <c r="C4654" t="s">
        <v>1463</v>
      </c>
      <c r="D4654" t="s">
        <v>2883</v>
      </c>
      <c r="E4654">
        <v>0</v>
      </c>
      <c r="F4654" s="11">
        <v>0</v>
      </c>
    </row>
    <row r="4655" spans="1:6" x14ac:dyDescent="0.35">
      <c r="A4655" t="s">
        <v>2856</v>
      </c>
      <c r="B4655" t="s">
        <v>2862</v>
      </c>
      <c r="C4655" t="s">
        <v>1463</v>
      </c>
      <c r="D4655" t="s">
        <v>2884</v>
      </c>
      <c r="E4655">
        <v>0</v>
      </c>
      <c r="F4655" s="11">
        <v>0</v>
      </c>
    </row>
    <row r="4656" spans="1:6" x14ac:dyDescent="0.35">
      <c r="A4656" t="s">
        <v>2856</v>
      </c>
      <c r="B4656" t="s">
        <v>2862</v>
      </c>
      <c r="C4656" t="s">
        <v>1463</v>
      </c>
      <c r="D4656" t="s">
        <v>2885</v>
      </c>
      <c r="E4656">
        <v>0</v>
      </c>
      <c r="F4656" s="11">
        <v>0</v>
      </c>
    </row>
    <row r="4657" spans="1:6" x14ac:dyDescent="0.35">
      <c r="A4657" t="s">
        <v>2856</v>
      </c>
      <c r="B4657" t="s">
        <v>2862</v>
      </c>
      <c r="C4657" t="s">
        <v>1463</v>
      </c>
      <c r="D4657" t="s">
        <v>2886</v>
      </c>
      <c r="E4657">
        <v>0</v>
      </c>
      <c r="F4657" s="11">
        <v>0</v>
      </c>
    </row>
    <row r="4658" spans="1:6" x14ac:dyDescent="0.35">
      <c r="A4658" t="s">
        <v>2856</v>
      </c>
      <c r="B4658" t="s">
        <v>2862</v>
      </c>
      <c r="C4658" t="s">
        <v>1463</v>
      </c>
      <c r="D4658" t="s">
        <v>2887</v>
      </c>
      <c r="E4658">
        <v>133657</v>
      </c>
      <c r="F4658" s="11">
        <v>1</v>
      </c>
    </row>
    <row r="4659" spans="1:6" x14ac:dyDescent="0.35">
      <c r="A4659" t="s">
        <v>2856</v>
      </c>
      <c r="B4659" t="s">
        <v>2862</v>
      </c>
      <c r="C4659" t="s">
        <v>1463</v>
      </c>
      <c r="D4659" t="s">
        <v>2888</v>
      </c>
      <c r="E4659">
        <v>64434</v>
      </c>
      <c r="F4659" s="11">
        <v>1</v>
      </c>
    </row>
    <row r="4660" spans="1:6" x14ac:dyDescent="0.35">
      <c r="A4660" t="s">
        <v>2856</v>
      </c>
      <c r="B4660" t="s">
        <v>2862</v>
      </c>
      <c r="C4660" t="s">
        <v>1463</v>
      </c>
      <c r="D4660" t="s">
        <v>2889</v>
      </c>
      <c r="E4660">
        <v>0</v>
      </c>
      <c r="F4660" s="11">
        <v>1</v>
      </c>
    </row>
    <row r="4661" spans="1:6" x14ac:dyDescent="0.35">
      <c r="A4661" t="s">
        <v>2856</v>
      </c>
      <c r="B4661" t="s">
        <v>2862</v>
      </c>
      <c r="C4661" t="s">
        <v>1463</v>
      </c>
      <c r="D4661" t="s">
        <v>2890</v>
      </c>
      <c r="E4661">
        <v>69223</v>
      </c>
      <c r="F4661" s="11">
        <v>1</v>
      </c>
    </row>
    <row r="4662" spans="1:6" x14ac:dyDescent="0.35">
      <c r="A4662" t="s">
        <v>2856</v>
      </c>
      <c r="B4662" t="s">
        <v>2862</v>
      </c>
      <c r="C4662" t="s">
        <v>1463</v>
      </c>
      <c r="D4662" t="s">
        <v>2891</v>
      </c>
      <c r="E4662">
        <v>0</v>
      </c>
      <c r="F4662" s="11">
        <v>0</v>
      </c>
    </row>
    <row r="4663" spans="1:6" x14ac:dyDescent="0.35">
      <c r="A4663" t="s">
        <v>2856</v>
      </c>
      <c r="B4663" t="s">
        <v>2862</v>
      </c>
      <c r="C4663" t="s">
        <v>1463</v>
      </c>
      <c r="D4663" t="s">
        <v>2892</v>
      </c>
      <c r="E4663">
        <v>0</v>
      </c>
      <c r="F4663" s="11">
        <v>0</v>
      </c>
    </row>
    <row r="4664" spans="1:6" x14ac:dyDescent="0.35">
      <c r="A4664" t="s">
        <v>2856</v>
      </c>
      <c r="B4664" t="s">
        <v>2862</v>
      </c>
      <c r="C4664" t="s">
        <v>1463</v>
      </c>
      <c r="D4664" t="s">
        <v>2893</v>
      </c>
      <c r="E4664">
        <v>0</v>
      </c>
      <c r="F4664" s="11">
        <v>0</v>
      </c>
    </row>
    <row r="4665" spans="1:6" x14ac:dyDescent="0.35">
      <c r="A4665" t="s">
        <v>2856</v>
      </c>
      <c r="B4665" t="s">
        <v>2862</v>
      </c>
      <c r="C4665" t="s">
        <v>1463</v>
      </c>
      <c r="D4665" t="s">
        <v>2894</v>
      </c>
      <c r="E4665">
        <v>0</v>
      </c>
      <c r="F4665" s="11">
        <v>0</v>
      </c>
    </row>
    <row r="4666" spans="1:6" x14ac:dyDescent="0.35">
      <c r="A4666" t="s">
        <v>2856</v>
      </c>
      <c r="B4666" t="s">
        <v>2862</v>
      </c>
      <c r="C4666" t="s">
        <v>1463</v>
      </c>
      <c r="D4666" t="s">
        <v>2895</v>
      </c>
      <c r="E4666">
        <v>1532392</v>
      </c>
      <c r="F4666" s="11">
        <v>1</v>
      </c>
    </row>
    <row r="4667" spans="1:6" x14ac:dyDescent="0.35">
      <c r="A4667" t="s">
        <v>2856</v>
      </c>
      <c r="B4667" t="s">
        <v>2862</v>
      </c>
      <c r="C4667" t="s">
        <v>1463</v>
      </c>
      <c r="D4667" t="s">
        <v>2896</v>
      </c>
      <c r="E4667">
        <v>782011</v>
      </c>
      <c r="F4667" s="11">
        <v>1</v>
      </c>
    </row>
    <row r="4668" spans="1:6" x14ac:dyDescent="0.35">
      <c r="A4668" t="s">
        <v>2856</v>
      </c>
      <c r="B4668" t="s">
        <v>2862</v>
      </c>
      <c r="C4668" t="s">
        <v>1463</v>
      </c>
      <c r="D4668" t="s">
        <v>2897</v>
      </c>
      <c r="E4668">
        <v>716779</v>
      </c>
      <c r="F4668" s="11">
        <v>1</v>
      </c>
    </row>
    <row r="4669" spans="1:6" x14ac:dyDescent="0.35">
      <c r="A4669" t="s">
        <v>2856</v>
      </c>
      <c r="B4669" t="s">
        <v>2862</v>
      </c>
      <c r="C4669" t="s">
        <v>1463</v>
      </c>
      <c r="D4669" t="s">
        <v>2898</v>
      </c>
      <c r="E4669">
        <v>33602</v>
      </c>
      <c r="F4669" s="11">
        <v>1</v>
      </c>
    </row>
    <row r="4670" spans="1:6" x14ac:dyDescent="0.35">
      <c r="A4670" t="s">
        <v>2856</v>
      </c>
      <c r="B4670" t="s">
        <v>2862</v>
      </c>
      <c r="C4670" t="s">
        <v>1463</v>
      </c>
      <c r="D4670" t="s">
        <v>2899</v>
      </c>
      <c r="E4670">
        <v>21373</v>
      </c>
      <c r="F4670" s="11">
        <v>1</v>
      </c>
    </row>
    <row r="4671" spans="1:6" x14ac:dyDescent="0.35">
      <c r="A4671" t="s">
        <v>2856</v>
      </c>
      <c r="B4671" t="s">
        <v>2862</v>
      </c>
      <c r="C4671" t="s">
        <v>1463</v>
      </c>
      <c r="D4671" t="s">
        <v>2900</v>
      </c>
      <c r="E4671">
        <v>14003</v>
      </c>
      <c r="F4671" s="11">
        <v>1</v>
      </c>
    </row>
    <row r="4672" spans="1:6" x14ac:dyDescent="0.35">
      <c r="A4672" t="s">
        <v>2856</v>
      </c>
      <c r="B4672" t="s">
        <v>2862</v>
      </c>
      <c r="C4672" t="s">
        <v>1463</v>
      </c>
      <c r="D4672" t="s">
        <v>2901</v>
      </c>
      <c r="E4672">
        <v>7175</v>
      </c>
      <c r="F4672" s="11">
        <v>1</v>
      </c>
    </row>
    <row r="4673" spans="1:6" x14ac:dyDescent="0.35">
      <c r="A4673" t="s">
        <v>2856</v>
      </c>
      <c r="B4673" t="s">
        <v>2862</v>
      </c>
      <c r="C4673" t="s">
        <v>1463</v>
      </c>
      <c r="D4673" t="s">
        <v>2902</v>
      </c>
      <c r="E4673">
        <v>195</v>
      </c>
      <c r="F4673" s="11">
        <v>1</v>
      </c>
    </row>
    <row r="4674" spans="1:6" x14ac:dyDescent="0.35">
      <c r="A4674" t="s">
        <v>2856</v>
      </c>
      <c r="B4674" t="s">
        <v>2862</v>
      </c>
      <c r="C4674" t="s">
        <v>1463</v>
      </c>
      <c r="D4674" t="s">
        <v>2903</v>
      </c>
      <c r="E4674">
        <v>51699</v>
      </c>
      <c r="F4674" s="11">
        <v>1</v>
      </c>
    </row>
    <row r="4675" spans="1:6" x14ac:dyDescent="0.35">
      <c r="A4675" t="s">
        <v>2856</v>
      </c>
      <c r="B4675" t="s">
        <v>2862</v>
      </c>
      <c r="C4675" t="s">
        <v>1463</v>
      </c>
      <c r="D4675" t="s">
        <v>2904</v>
      </c>
      <c r="E4675">
        <v>45022</v>
      </c>
      <c r="F4675" s="11">
        <v>1</v>
      </c>
    </row>
    <row r="4676" spans="1:6" x14ac:dyDescent="0.35">
      <c r="A4676" t="s">
        <v>2856</v>
      </c>
      <c r="B4676" t="s">
        <v>2862</v>
      </c>
      <c r="C4676" t="s">
        <v>1463</v>
      </c>
      <c r="D4676" t="s">
        <v>2905</v>
      </c>
      <c r="E4676">
        <v>4297</v>
      </c>
      <c r="F4676" s="11">
        <v>1</v>
      </c>
    </row>
    <row r="4677" spans="1:6" x14ac:dyDescent="0.35">
      <c r="A4677" t="s">
        <v>2856</v>
      </c>
      <c r="B4677" t="s">
        <v>2862</v>
      </c>
      <c r="C4677" t="s">
        <v>1463</v>
      </c>
      <c r="D4677" t="s">
        <v>2906</v>
      </c>
      <c r="E4677">
        <v>2380</v>
      </c>
      <c r="F4677" s="11">
        <v>1</v>
      </c>
    </row>
    <row r="4678" spans="1:6" x14ac:dyDescent="0.35">
      <c r="A4678" t="s">
        <v>2856</v>
      </c>
      <c r="B4678" t="s">
        <v>2862</v>
      </c>
      <c r="C4678" t="s">
        <v>1463</v>
      </c>
      <c r="D4678" t="s">
        <v>2907</v>
      </c>
      <c r="E4678">
        <v>53027</v>
      </c>
      <c r="F4678" s="11">
        <v>1</v>
      </c>
    </row>
    <row r="4679" spans="1:6" x14ac:dyDescent="0.35">
      <c r="A4679" t="s">
        <v>2856</v>
      </c>
      <c r="B4679" t="s">
        <v>2862</v>
      </c>
      <c r="C4679" t="s">
        <v>1463</v>
      </c>
      <c r="D4679" t="s">
        <v>2908</v>
      </c>
      <c r="E4679">
        <v>42633</v>
      </c>
      <c r="F4679" s="11">
        <v>1</v>
      </c>
    </row>
    <row r="4680" spans="1:6" x14ac:dyDescent="0.35">
      <c r="A4680" t="s">
        <v>2856</v>
      </c>
      <c r="B4680" t="s">
        <v>2862</v>
      </c>
      <c r="C4680" t="s">
        <v>1463</v>
      </c>
      <c r="D4680" t="s">
        <v>2909</v>
      </c>
      <c r="E4680">
        <v>7643</v>
      </c>
      <c r="F4680" s="11">
        <v>1</v>
      </c>
    </row>
    <row r="4681" spans="1:6" x14ac:dyDescent="0.35">
      <c r="A4681" t="s">
        <v>2856</v>
      </c>
      <c r="B4681" t="s">
        <v>2862</v>
      </c>
      <c r="C4681" t="s">
        <v>1463</v>
      </c>
      <c r="D4681" t="s">
        <v>2910</v>
      </c>
      <c r="E4681">
        <v>2751</v>
      </c>
      <c r="F4681" s="11">
        <v>1</v>
      </c>
    </row>
    <row r="4682" spans="1:6" x14ac:dyDescent="0.35">
      <c r="A4682" t="s">
        <v>2856</v>
      </c>
      <c r="B4682" t="s">
        <v>2862</v>
      </c>
      <c r="C4682" t="s">
        <v>1463</v>
      </c>
      <c r="D4682" t="s">
        <v>2911</v>
      </c>
      <c r="E4682">
        <v>506150</v>
      </c>
      <c r="F4682" s="11">
        <v>1</v>
      </c>
    </row>
    <row r="4683" spans="1:6" x14ac:dyDescent="0.35">
      <c r="A4683" t="s">
        <v>2856</v>
      </c>
      <c r="B4683" t="s">
        <v>2862</v>
      </c>
      <c r="C4683" t="s">
        <v>1463</v>
      </c>
      <c r="D4683" t="s">
        <v>2912</v>
      </c>
      <c r="E4683">
        <v>860248</v>
      </c>
      <c r="F4683" s="11">
        <v>1</v>
      </c>
    </row>
    <row r="4684" spans="1:6" x14ac:dyDescent="0.35">
      <c r="A4684" t="s">
        <v>2856</v>
      </c>
      <c r="B4684" t="s">
        <v>2862</v>
      </c>
      <c r="C4684" t="s">
        <v>1463</v>
      </c>
      <c r="D4684" t="s">
        <v>2913</v>
      </c>
      <c r="E4684">
        <v>0</v>
      </c>
      <c r="F4684" s="11">
        <v>0</v>
      </c>
    </row>
    <row r="4685" spans="1:6" x14ac:dyDescent="0.35">
      <c r="A4685" t="s">
        <v>2856</v>
      </c>
      <c r="B4685" t="s">
        <v>2862</v>
      </c>
      <c r="C4685" t="s">
        <v>1463</v>
      </c>
      <c r="D4685" t="s">
        <v>2914</v>
      </c>
      <c r="E4685">
        <v>19600</v>
      </c>
      <c r="F4685" s="11">
        <v>1</v>
      </c>
    </row>
    <row r="4686" spans="1:6" x14ac:dyDescent="0.35">
      <c r="A4686" t="s">
        <v>2856</v>
      </c>
      <c r="B4686" t="s">
        <v>2862</v>
      </c>
      <c r="C4686" t="s">
        <v>1463</v>
      </c>
      <c r="D4686" t="s">
        <v>2915</v>
      </c>
      <c r="E4686">
        <v>1787</v>
      </c>
      <c r="F4686" s="11">
        <v>1</v>
      </c>
    </row>
    <row r="4687" spans="1:6" x14ac:dyDescent="0.35">
      <c r="A4687" t="s">
        <v>2856</v>
      </c>
      <c r="B4687" t="s">
        <v>2862</v>
      </c>
      <c r="C4687" t="s">
        <v>1463</v>
      </c>
      <c r="D4687" t="s">
        <v>2916</v>
      </c>
      <c r="E4687">
        <v>50660</v>
      </c>
      <c r="F4687" s="11">
        <v>1</v>
      </c>
    </row>
    <row r="4688" spans="1:6" x14ac:dyDescent="0.35">
      <c r="A4688" t="s">
        <v>2856</v>
      </c>
      <c r="B4688" t="s">
        <v>2862</v>
      </c>
      <c r="C4688" t="s">
        <v>1463</v>
      </c>
      <c r="D4688" t="s">
        <v>2917</v>
      </c>
      <c r="E4688">
        <v>0</v>
      </c>
      <c r="F4688" s="11">
        <v>0</v>
      </c>
    </row>
    <row r="4689" spans="1:6" x14ac:dyDescent="0.35">
      <c r="A4689" t="s">
        <v>2856</v>
      </c>
      <c r="B4689" t="s">
        <v>2866</v>
      </c>
      <c r="C4689" t="s">
        <v>1389</v>
      </c>
      <c r="D4689" t="s">
        <v>2875</v>
      </c>
      <c r="E4689">
        <v>15773</v>
      </c>
      <c r="F4689" s="11">
        <v>1</v>
      </c>
    </row>
    <row r="4690" spans="1:6" x14ac:dyDescent="0.35">
      <c r="A4690" t="s">
        <v>2856</v>
      </c>
      <c r="B4690" t="s">
        <v>2866</v>
      </c>
      <c r="C4690" t="s">
        <v>1389</v>
      </c>
      <c r="D4690" t="s">
        <v>2876</v>
      </c>
      <c r="E4690">
        <v>0</v>
      </c>
      <c r="F4690" s="11">
        <v>0</v>
      </c>
    </row>
    <row r="4691" spans="1:6" x14ac:dyDescent="0.35">
      <c r="A4691" t="s">
        <v>2856</v>
      </c>
      <c r="B4691" t="s">
        <v>2866</v>
      </c>
      <c r="C4691" t="s">
        <v>1389</v>
      </c>
      <c r="D4691" t="s">
        <v>2877</v>
      </c>
      <c r="E4691">
        <v>0</v>
      </c>
      <c r="F4691" s="11">
        <v>0</v>
      </c>
    </row>
    <row r="4692" spans="1:6" x14ac:dyDescent="0.35">
      <c r="A4692" t="s">
        <v>2856</v>
      </c>
      <c r="B4692" t="s">
        <v>2866</v>
      </c>
      <c r="C4692" t="s">
        <v>1389</v>
      </c>
      <c r="D4692" t="s">
        <v>2878</v>
      </c>
      <c r="E4692">
        <v>0</v>
      </c>
      <c r="F4692" s="11">
        <v>0</v>
      </c>
    </row>
    <row r="4693" spans="1:6" x14ac:dyDescent="0.35">
      <c r="A4693" t="s">
        <v>2856</v>
      </c>
      <c r="B4693" t="s">
        <v>2866</v>
      </c>
      <c r="C4693" t="s">
        <v>1389</v>
      </c>
      <c r="D4693" t="s">
        <v>2879</v>
      </c>
      <c r="E4693">
        <v>1657</v>
      </c>
      <c r="F4693" s="11">
        <v>1</v>
      </c>
    </row>
    <row r="4694" spans="1:6" x14ac:dyDescent="0.35">
      <c r="A4694" t="s">
        <v>2856</v>
      </c>
      <c r="B4694" t="s">
        <v>2866</v>
      </c>
      <c r="C4694" t="s">
        <v>1389</v>
      </c>
      <c r="D4694" t="s">
        <v>2880</v>
      </c>
      <c r="E4694">
        <v>0</v>
      </c>
      <c r="F4694" s="11">
        <v>0</v>
      </c>
    </row>
    <row r="4695" spans="1:6" x14ac:dyDescent="0.35">
      <c r="A4695" t="s">
        <v>2856</v>
      </c>
      <c r="B4695" t="s">
        <v>2866</v>
      </c>
      <c r="C4695" t="s">
        <v>1389</v>
      </c>
      <c r="D4695" t="s">
        <v>2881</v>
      </c>
      <c r="E4695">
        <v>0</v>
      </c>
      <c r="F4695" s="11">
        <v>0</v>
      </c>
    </row>
    <row r="4696" spans="1:6" x14ac:dyDescent="0.35">
      <c r="A4696" t="s">
        <v>2856</v>
      </c>
      <c r="B4696" t="s">
        <v>2866</v>
      </c>
      <c r="C4696" t="s">
        <v>1389</v>
      </c>
      <c r="D4696" t="s">
        <v>2882</v>
      </c>
      <c r="E4696">
        <v>0</v>
      </c>
      <c r="F4696" s="11">
        <v>0</v>
      </c>
    </row>
    <row r="4697" spans="1:6" x14ac:dyDescent="0.35">
      <c r="A4697" t="s">
        <v>2856</v>
      </c>
      <c r="B4697" t="s">
        <v>2866</v>
      </c>
      <c r="C4697" t="s">
        <v>1389</v>
      </c>
      <c r="D4697" t="s">
        <v>2883</v>
      </c>
      <c r="E4697">
        <v>0</v>
      </c>
      <c r="F4697" s="11">
        <v>0</v>
      </c>
    </row>
    <row r="4698" spans="1:6" x14ac:dyDescent="0.35">
      <c r="A4698" t="s">
        <v>2856</v>
      </c>
      <c r="B4698" t="s">
        <v>2866</v>
      </c>
      <c r="C4698" t="s">
        <v>1389</v>
      </c>
      <c r="D4698" t="s">
        <v>2884</v>
      </c>
      <c r="E4698">
        <v>0</v>
      </c>
      <c r="F4698" s="11">
        <v>0</v>
      </c>
    </row>
    <row r="4699" spans="1:6" x14ac:dyDescent="0.35">
      <c r="A4699" t="s">
        <v>2856</v>
      </c>
      <c r="B4699" t="s">
        <v>2866</v>
      </c>
      <c r="C4699" t="s">
        <v>1389</v>
      </c>
      <c r="D4699" t="s">
        <v>2885</v>
      </c>
      <c r="E4699">
        <v>0</v>
      </c>
      <c r="F4699" s="11">
        <v>0</v>
      </c>
    </row>
    <row r="4700" spans="1:6" x14ac:dyDescent="0.35">
      <c r="A4700" t="s">
        <v>2856</v>
      </c>
      <c r="B4700" t="s">
        <v>2866</v>
      </c>
      <c r="C4700" t="s">
        <v>1389</v>
      </c>
      <c r="D4700" t="s">
        <v>2886</v>
      </c>
      <c r="E4700">
        <v>0</v>
      </c>
      <c r="F4700" s="11">
        <v>0</v>
      </c>
    </row>
    <row r="4701" spans="1:6" x14ac:dyDescent="0.35">
      <c r="A4701" t="s">
        <v>2856</v>
      </c>
      <c r="B4701" t="s">
        <v>2866</v>
      </c>
      <c r="C4701" t="s">
        <v>1389</v>
      </c>
      <c r="D4701" t="s">
        <v>2887</v>
      </c>
      <c r="E4701">
        <v>30264</v>
      </c>
      <c r="F4701" s="11">
        <v>1</v>
      </c>
    </row>
    <row r="4702" spans="1:6" x14ac:dyDescent="0.35">
      <c r="A4702" t="s">
        <v>2856</v>
      </c>
      <c r="B4702" t="s">
        <v>2866</v>
      </c>
      <c r="C4702" t="s">
        <v>1389</v>
      </c>
      <c r="D4702" t="s">
        <v>2888</v>
      </c>
      <c r="E4702">
        <v>0</v>
      </c>
      <c r="F4702" s="11">
        <v>0</v>
      </c>
    </row>
    <row r="4703" spans="1:6" x14ac:dyDescent="0.35">
      <c r="A4703" t="s">
        <v>2856</v>
      </c>
      <c r="B4703" t="s">
        <v>2866</v>
      </c>
      <c r="C4703" t="s">
        <v>1389</v>
      </c>
      <c r="D4703" t="s">
        <v>2889</v>
      </c>
      <c r="E4703">
        <v>0</v>
      </c>
      <c r="F4703" s="11">
        <v>0</v>
      </c>
    </row>
    <row r="4704" spans="1:6" x14ac:dyDescent="0.35">
      <c r="A4704" t="s">
        <v>2856</v>
      </c>
      <c r="B4704" t="s">
        <v>2866</v>
      </c>
      <c r="C4704" t="s">
        <v>1389</v>
      </c>
      <c r="D4704" t="s">
        <v>2890</v>
      </c>
      <c r="E4704">
        <v>0</v>
      </c>
      <c r="F4704" s="11">
        <v>0</v>
      </c>
    </row>
    <row r="4705" spans="1:6" x14ac:dyDescent="0.35">
      <c r="A4705" t="s">
        <v>2856</v>
      </c>
      <c r="B4705" t="s">
        <v>2866</v>
      </c>
      <c r="C4705" t="s">
        <v>1389</v>
      </c>
      <c r="D4705" t="s">
        <v>2891</v>
      </c>
      <c r="E4705">
        <v>0</v>
      </c>
      <c r="F4705" s="11">
        <v>0</v>
      </c>
    </row>
    <row r="4706" spans="1:6" x14ac:dyDescent="0.35">
      <c r="A4706" t="s">
        <v>2856</v>
      </c>
      <c r="B4706" t="s">
        <v>2866</v>
      </c>
      <c r="C4706" t="s">
        <v>1389</v>
      </c>
      <c r="D4706" t="s">
        <v>2892</v>
      </c>
      <c r="E4706">
        <v>0</v>
      </c>
      <c r="F4706" s="11">
        <v>0</v>
      </c>
    </row>
    <row r="4707" spans="1:6" x14ac:dyDescent="0.35">
      <c r="A4707" t="s">
        <v>2856</v>
      </c>
      <c r="B4707" t="s">
        <v>2866</v>
      </c>
      <c r="C4707" t="s">
        <v>1389</v>
      </c>
      <c r="D4707" t="s">
        <v>2893</v>
      </c>
      <c r="E4707">
        <v>0</v>
      </c>
      <c r="F4707" s="11">
        <v>0</v>
      </c>
    </row>
    <row r="4708" spans="1:6" x14ac:dyDescent="0.35">
      <c r="A4708" t="s">
        <v>2856</v>
      </c>
      <c r="B4708" t="s">
        <v>2866</v>
      </c>
      <c r="C4708" t="s">
        <v>1389</v>
      </c>
      <c r="D4708" t="s">
        <v>2894</v>
      </c>
      <c r="E4708">
        <v>0</v>
      </c>
      <c r="F4708" s="11">
        <v>0</v>
      </c>
    </row>
    <row r="4709" spans="1:6" x14ac:dyDescent="0.35">
      <c r="A4709" t="s">
        <v>2856</v>
      </c>
      <c r="B4709" t="s">
        <v>2866</v>
      </c>
      <c r="C4709" t="s">
        <v>1389</v>
      </c>
      <c r="D4709" t="s">
        <v>2895</v>
      </c>
      <c r="E4709">
        <v>502293</v>
      </c>
      <c r="F4709" s="11">
        <v>1</v>
      </c>
    </row>
    <row r="4710" spans="1:6" x14ac:dyDescent="0.35">
      <c r="A4710" t="s">
        <v>2856</v>
      </c>
      <c r="B4710" t="s">
        <v>2866</v>
      </c>
      <c r="C4710" t="s">
        <v>1389</v>
      </c>
      <c r="D4710" t="s">
        <v>2896</v>
      </c>
      <c r="E4710">
        <v>0</v>
      </c>
      <c r="F4710" s="11">
        <v>1</v>
      </c>
    </row>
    <row r="4711" spans="1:6" x14ac:dyDescent="0.35">
      <c r="A4711" t="s">
        <v>2856</v>
      </c>
      <c r="B4711" t="s">
        <v>2866</v>
      </c>
      <c r="C4711" t="s">
        <v>1389</v>
      </c>
      <c r="D4711" t="s">
        <v>2897</v>
      </c>
      <c r="E4711">
        <v>0</v>
      </c>
      <c r="F4711" s="11">
        <v>1</v>
      </c>
    </row>
    <row r="4712" spans="1:6" x14ac:dyDescent="0.35">
      <c r="A4712" t="s">
        <v>2856</v>
      </c>
      <c r="B4712" t="s">
        <v>2866</v>
      </c>
      <c r="C4712" t="s">
        <v>1389</v>
      </c>
      <c r="D4712" t="s">
        <v>2898</v>
      </c>
      <c r="E4712">
        <v>0</v>
      </c>
      <c r="F4712" s="11">
        <v>1</v>
      </c>
    </row>
    <row r="4713" spans="1:6" x14ac:dyDescent="0.35">
      <c r="A4713" t="s">
        <v>2856</v>
      </c>
      <c r="B4713" t="s">
        <v>2866</v>
      </c>
      <c r="C4713" t="s">
        <v>1389</v>
      </c>
      <c r="D4713" t="s">
        <v>2899</v>
      </c>
      <c r="E4713">
        <v>0</v>
      </c>
      <c r="F4713" s="11">
        <v>1</v>
      </c>
    </row>
    <row r="4714" spans="1:6" x14ac:dyDescent="0.35">
      <c r="A4714" t="s">
        <v>2856</v>
      </c>
      <c r="B4714" t="s">
        <v>2866</v>
      </c>
      <c r="C4714" t="s">
        <v>1389</v>
      </c>
      <c r="D4714" t="s">
        <v>2900</v>
      </c>
      <c r="E4714">
        <v>0</v>
      </c>
      <c r="F4714" s="11">
        <v>1</v>
      </c>
    </row>
    <row r="4715" spans="1:6" x14ac:dyDescent="0.35">
      <c r="A4715" t="s">
        <v>2856</v>
      </c>
      <c r="B4715" t="s">
        <v>2866</v>
      </c>
      <c r="C4715" t="s">
        <v>1389</v>
      </c>
      <c r="D4715" t="s">
        <v>2901</v>
      </c>
      <c r="E4715">
        <v>0</v>
      </c>
      <c r="F4715" s="11">
        <v>1</v>
      </c>
    </row>
    <row r="4716" spans="1:6" x14ac:dyDescent="0.35">
      <c r="A4716" t="s">
        <v>2856</v>
      </c>
      <c r="B4716" t="s">
        <v>2866</v>
      </c>
      <c r="C4716" t="s">
        <v>1389</v>
      </c>
      <c r="D4716" t="s">
        <v>2902</v>
      </c>
      <c r="E4716">
        <v>0</v>
      </c>
      <c r="F4716" s="11">
        <v>1</v>
      </c>
    </row>
    <row r="4717" spans="1:6" x14ac:dyDescent="0.35">
      <c r="A4717" t="s">
        <v>2856</v>
      </c>
      <c r="B4717" t="s">
        <v>2866</v>
      </c>
      <c r="C4717" t="s">
        <v>1389</v>
      </c>
      <c r="D4717" t="s">
        <v>2903</v>
      </c>
      <c r="E4717">
        <v>23833</v>
      </c>
      <c r="F4717" s="11">
        <v>1</v>
      </c>
    </row>
    <row r="4718" spans="1:6" x14ac:dyDescent="0.35">
      <c r="A4718" t="s">
        <v>2856</v>
      </c>
      <c r="B4718" t="s">
        <v>2866</v>
      </c>
      <c r="C4718" t="s">
        <v>1389</v>
      </c>
      <c r="D4718" t="s">
        <v>2904</v>
      </c>
      <c r="E4718">
        <v>0</v>
      </c>
      <c r="F4718" s="11">
        <v>1</v>
      </c>
    </row>
    <row r="4719" spans="1:6" x14ac:dyDescent="0.35">
      <c r="A4719" t="s">
        <v>2856</v>
      </c>
      <c r="B4719" t="s">
        <v>2866</v>
      </c>
      <c r="C4719" t="s">
        <v>1389</v>
      </c>
      <c r="D4719" t="s">
        <v>2905</v>
      </c>
      <c r="E4719">
        <v>0</v>
      </c>
      <c r="F4719" s="11">
        <v>1</v>
      </c>
    </row>
    <row r="4720" spans="1:6" x14ac:dyDescent="0.35">
      <c r="A4720" t="s">
        <v>2856</v>
      </c>
      <c r="B4720" t="s">
        <v>2866</v>
      </c>
      <c r="C4720" t="s">
        <v>1389</v>
      </c>
      <c r="D4720" t="s">
        <v>2906</v>
      </c>
      <c r="E4720">
        <v>0</v>
      </c>
      <c r="F4720" s="11">
        <v>1</v>
      </c>
    </row>
    <row r="4721" spans="1:6" x14ac:dyDescent="0.35">
      <c r="A4721" t="s">
        <v>2856</v>
      </c>
      <c r="B4721" t="s">
        <v>2866</v>
      </c>
      <c r="C4721" t="s">
        <v>1389</v>
      </c>
      <c r="D4721" t="s">
        <v>2907</v>
      </c>
      <c r="E4721">
        <v>24201</v>
      </c>
      <c r="F4721" s="11">
        <v>1</v>
      </c>
    </row>
    <row r="4722" spans="1:6" x14ac:dyDescent="0.35">
      <c r="A4722" t="s">
        <v>2856</v>
      </c>
      <c r="B4722" t="s">
        <v>2866</v>
      </c>
      <c r="C4722" t="s">
        <v>1389</v>
      </c>
      <c r="D4722" t="s">
        <v>2908</v>
      </c>
      <c r="E4722">
        <v>0</v>
      </c>
      <c r="F4722" s="11">
        <v>1</v>
      </c>
    </row>
    <row r="4723" spans="1:6" x14ac:dyDescent="0.35">
      <c r="A4723" t="s">
        <v>2856</v>
      </c>
      <c r="B4723" t="s">
        <v>2866</v>
      </c>
      <c r="C4723" t="s">
        <v>1389</v>
      </c>
      <c r="D4723" t="s">
        <v>2909</v>
      </c>
      <c r="E4723">
        <v>0</v>
      </c>
      <c r="F4723" s="11">
        <v>1</v>
      </c>
    </row>
    <row r="4724" spans="1:6" x14ac:dyDescent="0.35">
      <c r="A4724" t="s">
        <v>2856</v>
      </c>
      <c r="B4724" t="s">
        <v>2866</v>
      </c>
      <c r="C4724" t="s">
        <v>1389</v>
      </c>
      <c r="D4724" t="s">
        <v>2910</v>
      </c>
      <c r="E4724">
        <v>0</v>
      </c>
      <c r="F4724" s="11">
        <v>1</v>
      </c>
    </row>
    <row r="4725" spans="1:6" x14ac:dyDescent="0.35">
      <c r="A4725" t="s">
        <v>2856</v>
      </c>
      <c r="B4725" t="s">
        <v>2866</v>
      </c>
      <c r="C4725" t="s">
        <v>1389</v>
      </c>
      <c r="D4725" t="s">
        <v>2911</v>
      </c>
      <c r="E4725">
        <v>468969</v>
      </c>
      <c r="F4725" s="11">
        <v>1</v>
      </c>
    </row>
    <row r="4726" spans="1:6" x14ac:dyDescent="0.35">
      <c r="A4726" t="s">
        <v>2856</v>
      </c>
      <c r="B4726" t="s">
        <v>2866</v>
      </c>
      <c r="C4726" t="s">
        <v>1389</v>
      </c>
      <c r="D4726" t="s">
        <v>2912</v>
      </c>
      <c r="E4726">
        <v>0</v>
      </c>
      <c r="F4726" s="11">
        <v>0</v>
      </c>
    </row>
    <row r="4727" spans="1:6" x14ac:dyDescent="0.35">
      <c r="A4727" t="s">
        <v>2856</v>
      </c>
      <c r="B4727" t="s">
        <v>2866</v>
      </c>
      <c r="C4727" t="s">
        <v>1389</v>
      </c>
      <c r="D4727" t="s">
        <v>2913</v>
      </c>
      <c r="E4727">
        <v>0</v>
      </c>
      <c r="F4727" s="11">
        <v>1</v>
      </c>
    </row>
    <row r="4728" spans="1:6" x14ac:dyDescent="0.35">
      <c r="A4728" t="s">
        <v>2856</v>
      </c>
      <c r="B4728" t="s">
        <v>2866</v>
      </c>
      <c r="C4728" t="s">
        <v>1389</v>
      </c>
      <c r="D4728" t="s">
        <v>2914</v>
      </c>
      <c r="E4728">
        <v>0</v>
      </c>
      <c r="F4728" s="11">
        <v>0</v>
      </c>
    </row>
    <row r="4729" spans="1:6" x14ac:dyDescent="0.35">
      <c r="A4729" t="s">
        <v>2856</v>
      </c>
      <c r="B4729" t="s">
        <v>2866</v>
      </c>
      <c r="C4729" t="s">
        <v>1389</v>
      </c>
      <c r="D4729" t="s">
        <v>2915</v>
      </c>
      <c r="E4729">
        <v>2397</v>
      </c>
      <c r="F4729" s="11">
        <v>1</v>
      </c>
    </row>
    <row r="4730" spans="1:6" x14ac:dyDescent="0.35">
      <c r="A4730" t="s">
        <v>2856</v>
      </c>
      <c r="B4730" t="s">
        <v>2866</v>
      </c>
      <c r="C4730" t="s">
        <v>1389</v>
      </c>
      <c r="D4730" t="s">
        <v>2916</v>
      </c>
      <c r="E4730">
        <v>41237</v>
      </c>
      <c r="F4730" s="11">
        <v>1</v>
      </c>
    </row>
    <row r="4731" spans="1:6" x14ac:dyDescent="0.35">
      <c r="A4731" t="s">
        <v>2856</v>
      </c>
      <c r="B4731" t="s">
        <v>2866</v>
      </c>
      <c r="C4731" t="s">
        <v>1389</v>
      </c>
      <c r="D4731" t="s">
        <v>2917</v>
      </c>
      <c r="E4731">
        <v>0</v>
      </c>
      <c r="F4731" s="11">
        <v>0</v>
      </c>
    </row>
    <row r="4732" spans="1:6" x14ac:dyDescent="0.35">
      <c r="A4732" t="s">
        <v>2856</v>
      </c>
      <c r="B4732" t="s">
        <v>2865</v>
      </c>
      <c r="C4732" t="s">
        <v>1450</v>
      </c>
      <c r="D4732" t="s">
        <v>2875</v>
      </c>
      <c r="E4732">
        <v>17906</v>
      </c>
      <c r="F4732" s="11">
        <v>1</v>
      </c>
    </row>
    <row r="4733" spans="1:6" x14ac:dyDescent="0.35">
      <c r="A4733" t="s">
        <v>2856</v>
      </c>
      <c r="B4733" t="s">
        <v>2865</v>
      </c>
      <c r="C4733" t="s">
        <v>1450</v>
      </c>
      <c r="D4733" t="s">
        <v>2876</v>
      </c>
      <c r="E4733">
        <v>6327</v>
      </c>
      <c r="F4733" s="11">
        <v>1</v>
      </c>
    </row>
    <row r="4734" spans="1:6" x14ac:dyDescent="0.35">
      <c r="A4734" t="s">
        <v>2856</v>
      </c>
      <c r="B4734" t="s">
        <v>2865</v>
      </c>
      <c r="C4734" t="s">
        <v>1450</v>
      </c>
      <c r="D4734" t="s">
        <v>2877</v>
      </c>
      <c r="E4734">
        <v>10636</v>
      </c>
      <c r="F4734" s="11">
        <v>1</v>
      </c>
    </row>
    <row r="4735" spans="1:6" x14ac:dyDescent="0.35">
      <c r="A4735" t="s">
        <v>2856</v>
      </c>
      <c r="B4735" t="s">
        <v>2865</v>
      </c>
      <c r="C4735" t="s">
        <v>1450</v>
      </c>
      <c r="D4735" t="s">
        <v>2878</v>
      </c>
      <c r="E4735">
        <v>942</v>
      </c>
      <c r="F4735" s="11">
        <v>1</v>
      </c>
    </row>
    <row r="4736" spans="1:6" x14ac:dyDescent="0.35">
      <c r="A4736" t="s">
        <v>2856</v>
      </c>
      <c r="B4736" t="s">
        <v>2865</v>
      </c>
      <c r="C4736" t="s">
        <v>1450</v>
      </c>
      <c r="D4736" t="s">
        <v>2879</v>
      </c>
      <c r="E4736">
        <v>1621</v>
      </c>
      <c r="F4736" s="11">
        <v>1</v>
      </c>
    </row>
    <row r="4737" spans="1:6" x14ac:dyDescent="0.35">
      <c r="A4737" t="s">
        <v>2856</v>
      </c>
      <c r="B4737" t="s">
        <v>2865</v>
      </c>
      <c r="C4737" t="s">
        <v>1450</v>
      </c>
      <c r="D4737" t="s">
        <v>2880</v>
      </c>
      <c r="E4737">
        <v>204</v>
      </c>
      <c r="F4737" s="11">
        <v>1</v>
      </c>
    </row>
    <row r="4738" spans="1:6" x14ac:dyDescent="0.35">
      <c r="A4738" t="s">
        <v>2856</v>
      </c>
      <c r="B4738" t="s">
        <v>2865</v>
      </c>
      <c r="C4738" t="s">
        <v>1450</v>
      </c>
      <c r="D4738" t="s">
        <v>2881</v>
      </c>
      <c r="E4738">
        <v>1367</v>
      </c>
      <c r="F4738" s="11">
        <v>0</v>
      </c>
    </row>
    <row r="4739" spans="1:6" x14ac:dyDescent="0.35">
      <c r="A4739" t="s">
        <v>2856</v>
      </c>
      <c r="B4739" t="s">
        <v>2865</v>
      </c>
      <c r="C4739" t="s">
        <v>1450</v>
      </c>
      <c r="D4739" t="s">
        <v>2882</v>
      </c>
      <c r="E4739">
        <v>0</v>
      </c>
      <c r="F4739" s="11">
        <v>1</v>
      </c>
    </row>
    <row r="4740" spans="1:6" x14ac:dyDescent="0.35">
      <c r="A4740" t="s">
        <v>2856</v>
      </c>
      <c r="B4740" t="s">
        <v>2865</v>
      </c>
      <c r="C4740" t="s">
        <v>1450</v>
      </c>
      <c r="D4740" t="s">
        <v>2883</v>
      </c>
      <c r="E4740">
        <v>12</v>
      </c>
      <c r="F4740" s="11">
        <v>1</v>
      </c>
    </row>
    <row r="4741" spans="1:6" x14ac:dyDescent="0.35">
      <c r="A4741" t="s">
        <v>2856</v>
      </c>
      <c r="B4741" t="s">
        <v>2865</v>
      </c>
      <c r="C4741" t="s">
        <v>1450</v>
      </c>
      <c r="D4741" t="s">
        <v>2884</v>
      </c>
      <c r="E4741">
        <v>12</v>
      </c>
      <c r="F4741" s="11">
        <v>0</v>
      </c>
    </row>
    <row r="4742" spans="1:6" x14ac:dyDescent="0.35">
      <c r="A4742" t="s">
        <v>2856</v>
      </c>
      <c r="B4742" t="s">
        <v>2865</v>
      </c>
      <c r="C4742" t="s">
        <v>1450</v>
      </c>
      <c r="D4742" t="s">
        <v>2885</v>
      </c>
      <c r="E4742">
        <v>0</v>
      </c>
      <c r="F4742" s="11">
        <v>0</v>
      </c>
    </row>
    <row r="4743" spans="1:6" x14ac:dyDescent="0.35">
      <c r="A4743" t="s">
        <v>2856</v>
      </c>
      <c r="B4743" t="s">
        <v>2865</v>
      </c>
      <c r="C4743" t="s">
        <v>1450</v>
      </c>
      <c r="D4743" t="s">
        <v>2886</v>
      </c>
      <c r="E4743">
        <v>0</v>
      </c>
      <c r="F4743" s="11">
        <v>1</v>
      </c>
    </row>
    <row r="4744" spans="1:6" x14ac:dyDescent="0.35">
      <c r="A4744" t="s">
        <v>2856</v>
      </c>
      <c r="B4744" t="s">
        <v>2865</v>
      </c>
      <c r="C4744" t="s">
        <v>1450</v>
      </c>
      <c r="D4744" t="s">
        <v>2887</v>
      </c>
      <c r="E4744">
        <v>31689</v>
      </c>
      <c r="F4744" s="11">
        <v>1</v>
      </c>
    </row>
    <row r="4745" spans="1:6" x14ac:dyDescent="0.35">
      <c r="A4745" t="s">
        <v>2856</v>
      </c>
      <c r="B4745" t="s">
        <v>2865</v>
      </c>
      <c r="C4745" t="s">
        <v>1450</v>
      </c>
      <c r="D4745" t="s">
        <v>2888</v>
      </c>
      <c r="E4745">
        <v>13812</v>
      </c>
      <c r="F4745" s="11">
        <v>1</v>
      </c>
    </row>
    <row r="4746" spans="1:6" x14ac:dyDescent="0.35">
      <c r="A4746" t="s">
        <v>2856</v>
      </c>
      <c r="B4746" t="s">
        <v>2865</v>
      </c>
      <c r="C4746" t="s">
        <v>1450</v>
      </c>
      <c r="D4746" t="s">
        <v>2889</v>
      </c>
      <c r="E4746">
        <v>17877</v>
      </c>
      <c r="F4746" s="11">
        <v>0</v>
      </c>
    </row>
    <row r="4747" spans="1:6" x14ac:dyDescent="0.35">
      <c r="A4747" t="s">
        <v>2856</v>
      </c>
      <c r="B4747" t="s">
        <v>2865</v>
      </c>
      <c r="C4747" t="s">
        <v>1450</v>
      </c>
      <c r="D4747" t="s">
        <v>2890</v>
      </c>
      <c r="E4747">
        <v>0</v>
      </c>
      <c r="F4747" s="11">
        <v>1</v>
      </c>
    </row>
    <row r="4748" spans="1:6" x14ac:dyDescent="0.35">
      <c r="A4748" t="s">
        <v>2856</v>
      </c>
      <c r="B4748" t="s">
        <v>2865</v>
      </c>
      <c r="C4748" t="s">
        <v>1450</v>
      </c>
      <c r="D4748" t="s">
        <v>2891</v>
      </c>
      <c r="E4748">
        <v>83</v>
      </c>
      <c r="F4748" s="11">
        <v>1</v>
      </c>
    </row>
    <row r="4749" spans="1:6" x14ac:dyDescent="0.35">
      <c r="A4749" t="s">
        <v>2856</v>
      </c>
      <c r="B4749" t="s">
        <v>2865</v>
      </c>
      <c r="C4749" t="s">
        <v>1450</v>
      </c>
      <c r="D4749" t="s">
        <v>2892</v>
      </c>
      <c r="E4749">
        <v>83</v>
      </c>
      <c r="F4749" s="11">
        <v>0</v>
      </c>
    </row>
    <row r="4750" spans="1:6" x14ac:dyDescent="0.35">
      <c r="A4750" t="s">
        <v>2856</v>
      </c>
      <c r="B4750" t="s">
        <v>2865</v>
      </c>
      <c r="C4750" t="s">
        <v>1450</v>
      </c>
      <c r="D4750" t="s">
        <v>2893</v>
      </c>
      <c r="E4750">
        <v>0</v>
      </c>
      <c r="F4750" s="11">
        <v>0</v>
      </c>
    </row>
    <row r="4751" spans="1:6" x14ac:dyDescent="0.35">
      <c r="A4751" t="s">
        <v>2856</v>
      </c>
      <c r="B4751" t="s">
        <v>2865</v>
      </c>
      <c r="C4751" t="s">
        <v>1450</v>
      </c>
      <c r="D4751" t="s">
        <v>2894</v>
      </c>
      <c r="E4751">
        <v>0</v>
      </c>
      <c r="F4751" s="11">
        <v>1</v>
      </c>
    </row>
    <row r="4752" spans="1:6" x14ac:dyDescent="0.35">
      <c r="A4752" t="s">
        <v>2856</v>
      </c>
      <c r="B4752" t="s">
        <v>2865</v>
      </c>
      <c r="C4752" t="s">
        <v>1450</v>
      </c>
      <c r="D4752" t="s">
        <v>2895</v>
      </c>
      <c r="E4752">
        <v>512796</v>
      </c>
      <c r="F4752" s="11">
        <v>1</v>
      </c>
    </row>
    <row r="4753" spans="1:6" x14ac:dyDescent="0.35">
      <c r="A4753" t="s">
        <v>2856</v>
      </c>
      <c r="B4753" t="s">
        <v>2865</v>
      </c>
      <c r="C4753" t="s">
        <v>1450</v>
      </c>
      <c r="D4753" t="s">
        <v>2896</v>
      </c>
      <c r="E4753">
        <v>304954</v>
      </c>
      <c r="F4753" s="11">
        <v>1</v>
      </c>
    </row>
    <row r="4754" spans="1:6" x14ac:dyDescent="0.35">
      <c r="A4754" t="s">
        <v>2856</v>
      </c>
      <c r="B4754" t="s">
        <v>2865</v>
      </c>
      <c r="C4754" t="s">
        <v>1450</v>
      </c>
      <c r="D4754" t="s">
        <v>2897</v>
      </c>
      <c r="E4754">
        <v>211608</v>
      </c>
      <c r="F4754" s="11">
        <v>1</v>
      </c>
    </row>
    <row r="4755" spans="1:6" x14ac:dyDescent="0.35">
      <c r="A4755" t="s">
        <v>2856</v>
      </c>
      <c r="B4755" t="s">
        <v>2865</v>
      </c>
      <c r="C4755" t="s">
        <v>1450</v>
      </c>
      <c r="D4755" t="s">
        <v>2898</v>
      </c>
      <c r="E4755">
        <v>5807</v>
      </c>
      <c r="F4755" s="11">
        <v>1</v>
      </c>
    </row>
    <row r="4756" spans="1:6" x14ac:dyDescent="0.35">
      <c r="A4756" t="s">
        <v>2856</v>
      </c>
      <c r="B4756" t="s">
        <v>2865</v>
      </c>
      <c r="C4756" t="s">
        <v>1450</v>
      </c>
      <c r="D4756" t="s">
        <v>2899</v>
      </c>
      <c r="E4756">
        <v>0</v>
      </c>
      <c r="F4756" s="11">
        <v>1</v>
      </c>
    </row>
    <row r="4757" spans="1:6" x14ac:dyDescent="0.35">
      <c r="A4757" t="s">
        <v>2856</v>
      </c>
      <c r="B4757" t="s">
        <v>2865</v>
      </c>
      <c r="C4757" t="s">
        <v>1450</v>
      </c>
      <c r="D4757" t="s">
        <v>2900</v>
      </c>
      <c r="E4757">
        <v>6796</v>
      </c>
      <c r="F4757" s="11">
        <v>1</v>
      </c>
    </row>
    <row r="4758" spans="1:6" x14ac:dyDescent="0.35">
      <c r="A4758" t="s">
        <v>2856</v>
      </c>
      <c r="B4758" t="s">
        <v>2865</v>
      </c>
      <c r="C4758" t="s">
        <v>1450</v>
      </c>
      <c r="D4758" t="s">
        <v>2901</v>
      </c>
      <c r="E4758">
        <v>6496</v>
      </c>
      <c r="F4758" s="11">
        <v>0</v>
      </c>
    </row>
    <row r="4759" spans="1:6" x14ac:dyDescent="0.35">
      <c r="A4759" t="s">
        <v>2856</v>
      </c>
      <c r="B4759" t="s">
        <v>2865</v>
      </c>
      <c r="C4759" t="s">
        <v>1450</v>
      </c>
      <c r="D4759" t="s">
        <v>2902</v>
      </c>
      <c r="E4759">
        <v>300</v>
      </c>
      <c r="F4759" s="11">
        <v>1</v>
      </c>
    </row>
    <row r="4760" spans="1:6" x14ac:dyDescent="0.35">
      <c r="A4760" t="s">
        <v>2856</v>
      </c>
      <c r="B4760" t="s">
        <v>2865</v>
      </c>
      <c r="C4760" t="s">
        <v>1450</v>
      </c>
      <c r="D4760" t="s">
        <v>2903</v>
      </c>
      <c r="E4760">
        <v>40002</v>
      </c>
      <c r="F4760" s="11">
        <v>1</v>
      </c>
    </row>
    <row r="4761" spans="1:6" x14ac:dyDescent="0.35">
      <c r="A4761" t="s">
        <v>2856</v>
      </c>
      <c r="B4761" t="s">
        <v>2865</v>
      </c>
      <c r="C4761" t="s">
        <v>1450</v>
      </c>
      <c r="D4761" t="s">
        <v>2904</v>
      </c>
      <c r="E4761">
        <v>37375</v>
      </c>
      <c r="F4761" s="11">
        <v>1</v>
      </c>
    </row>
    <row r="4762" spans="1:6" x14ac:dyDescent="0.35">
      <c r="A4762" t="s">
        <v>2856</v>
      </c>
      <c r="B4762" t="s">
        <v>2865</v>
      </c>
      <c r="C4762" t="s">
        <v>1450</v>
      </c>
      <c r="D4762" t="s">
        <v>2905</v>
      </c>
      <c r="E4762">
        <v>1755</v>
      </c>
      <c r="F4762" s="11">
        <v>1</v>
      </c>
    </row>
    <row r="4763" spans="1:6" x14ac:dyDescent="0.35">
      <c r="A4763" t="s">
        <v>2856</v>
      </c>
      <c r="B4763" t="s">
        <v>2865</v>
      </c>
      <c r="C4763" t="s">
        <v>1450</v>
      </c>
      <c r="D4763" t="s">
        <v>2906</v>
      </c>
      <c r="E4763">
        <v>872</v>
      </c>
      <c r="F4763" s="11">
        <v>1</v>
      </c>
    </row>
    <row r="4764" spans="1:6" x14ac:dyDescent="0.35">
      <c r="A4764" t="s">
        <v>2856</v>
      </c>
      <c r="B4764" t="s">
        <v>2865</v>
      </c>
      <c r="C4764" t="s">
        <v>1450</v>
      </c>
      <c r="D4764" t="s">
        <v>2907</v>
      </c>
      <c r="E4764">
        <v>44617</v>
      </c>
      <c r="F4764" s="11">
        <v>1</v>
      </c>
    </row>
    <row r="4765" spans="1:6" x14ac:dyDescent="0.35">
      <c r="A4765" t="s">
        <v>2856</v>
      </c>
      <c r="B4765" t="s">
        <v>2865</v>
      </c>
      <c r="C4765" t="s">
        <v>1450</v>
      </c>
      <c r="D4765" t="s">
        <v>2908</v>
      </c>
      <c r="E4765">
        <v>39087</v>
      </c>
      <c r="F4765" s="11">
        <v>1</v>
      </c>
    </row>
    <row r="4766" spans="1:6" x14ac:dyDescent="0.35">
      <c r="A4766" t="s">
        <v>2856</v>
      </c>
      <c r="B4766" t="s">
        <v>2865</v>
      </c>
      <c r="C4766" t="s">
        <v>1450</v>
      </c>
      <c r="D4766" t="s">
        <v>2909</v>
      </c>
      <c r="E4766">
        <v>4430</v>
      </c>
      <c r="F4766" s="11">
        <v>1</v>
      </c>
    </row>
    <row r="4767" spans="1:6" x14ac:dyDescent="0.35">
      <c r="A4767" t="s">
        <v>2856</v>
      </c>
      <c r="B4767" t="s">
        <v>2865</v>
      </c>
      <c r="C4767" t="s">
        <v>1450</v>
      </c>
      <c r="D4767" t="s">
        <v>2910</v>
      </c>
      <c r="E4767">
        <v>1100</v>
      </c>
      <c r="F4767" s="11">
        <v>1</v>
      </c>
    </row>
    <row r="4768" spans="1:6" x14ac:dyDescent="0.35">
      <c r="A4768" t="s">
        <v>2856</v>
      </c>
      <c r="B4768" t="s">
        <v>2865</v>
      </c>
      <c r="C4768" t="s">
        <v>1450</v>
      </c>
      <c r="D4768" t="s">
        <v>2911</v>
      </c>
      <c r="E4768">
        <v>317257</v>
      </c>
      <c r="F4768" s="11">
        <v>0</v>
      </c>
    </row>
    <row r="4769" spans="1:6" x14ac:dyDescent="0.35">
      <c r="A4769" t="s">
        <v>2856</v>
      </c>
      <c r="B4769" t="s">
        <v>2865</v>
      </c>
      <c r="C4769" t="s">
        <v>1450</v>
      </c>
      <c r="D4769" t="s">
        <v>2912</v>
      </c>
      <c r="E4769">
        <v>151076</v>
      </c>
      <c r="F4769" s="11">
        <v>0</v>
      </c>
    </row>
    <row r="4770" spans="1:6" x14ac:dyDescent="0.35">
      <c r="A4770" t="s">
        <v>2856</v>
      </c>
      <c r="B4770" t="s">
        <v>2865</v>
      </c>
      <c r="C4770" t="s">
        <v>1450</v>
      </c>
      <c r="D4770" t="s">
        <v>2913</v>
      </c>
      <c r="E4770">
        <v>0</v>
      </c>
      <c r="F4770" s="11">
        <v>0</v>
      </c>
    </row>
    <row r="4771" spans="1:6" x14ac:dyDescent="0.35">
      <c r="A4771" t="s">
        <v>2856</v>
      </c>
      <c r="B4771" t="s">
        <v>2865</v>
      </c>
      <c r="C4771" t="s">
        <v>1450</v>
      </c>
      <c r="D4771" t="s">
        <v>2914</v>
      </c>
      <c r="E4771">
        <v>0</v>
      </c>
      <c r="F4771" s="11">
        <v>0</v>
      </c>
    </row>
    <row r="4772" spans="1:6" x14ac:dyDescent="0.35">
      <c r="A4772" t="s">
        <v>2856</v>
      </c>
      <c r="B4772" t="s">
        <v>2865</v>
      </c>
      <c r="C4772" t="s">
        <v>1450</v>
      </c>
      <c r="D4772" t="s">
        <v>2915</v>
      </c>
      <c r="E4772">
        <v>3768</v>
      </c>
      <c r="F4772" s="11">
        <v>1</v>
      </c>
    </row>
    <row r="4773" spans="1:6" x14ac:dyDescent="0.35">
      <c r="A4773" t="s">
        <v>2856</v>
      </c>
      <c r="B4773" t="s">
        <v>2865</v>
      </c>
      <c r="C4773" t="s">
        <v>1450</v>
      </c>
      <c r="D4773" t="s">
        <v>2916</v>
      </c>
      <c r="E4773">
        <v>20231</v>
      </c>
      <c r="F4773" s="11">
        <v>1</v>
      </c>
    </row>
    <row r="4774" spans="1:6" x14ac:dyDescent="0.35">
      <c r="A4774" t="s">
        <v>2856</v>
      </c>
      <c r="B4774" t="s">
        <v>2865</v>
      </c>
      <c r="C4774" t="s">
        <v>1450</v>
      </c>
      <c r="D4774" t="s">
        <v>2917</v>
      </c>
      <c r="E4774">
        <v>0</v>
      </c>
      <c r="F4774" s="11">
        <v>1</v>
      </c>
    </row>
    <row r="4775" spans="1:6" x14ac:dyDescent="0.35">
      <c r="A4775" t="s">
        <v>2856</v>
      </c>
      <c r="B4775" t="s">
        <v>2863</v>
      </c>
      <c r="C4775" t="s">
        <v>2754</v>
      </c>
      <c r="D4775" t="s">
        <v>2875</v>
      </c>
      <c r="E4775">
        <v>19253</v>
      </c>
      <c r="F4775" s="11">
        <v>0</v>
      </c>
    </row>
    <row r="4776" spans="1:6" x14ac:dyDescent="0.35">
      <c r="A4776" t="s">
        <v>2856</v>
      </c>
      <c r="B4776" t="s">
        <v>2863</v>
      </c>
      <c r="C4776" t="s">
        <v>2754</v>
      </c>
      <c r="D4776" t="s">
        <v>2876</v>
      </c>
      <c r="E4776">
        <v>6824</v>
      </c>
      <c r="F4776" s="11">
        <v>0</v>
      </c>
    </row>
    <row r="4777" spans="1:6" x14ac:dyDescent="0.35">
      <c r="A4777" t="s">
        <v>2856</v>
      </c>
      <c r="B4777" t="s">
        <v>2863</v>
      </c>
      <c r="C4777" t="s">
        <v>2754</v>
      </c>
      <c r="D4777" t="s">
        <v>2877</v>
      </c>
      <c r="E4777">
        <v>11198</v>
      </c>
      <c r="F4777" s="11">
        <v>0</v>
      </c>
    </row>
    <row r="4778" spans="1:6" x14ac:dyDescent="0.35">
      <c r="A4778" t="s">
        <v>2856</v>
      </c>
      <c r="B4778" t="s">
        <v>2863</v>
      </c>
      <c r="C4778" t="s">
        <v>2754</v>
      </c>
      <c r="D4778" t="s">
        <v>2878</v>
      </c>
      <c r="E4778">
        <v>1231</v>
      </c>
      <c r="F4778" s="11">
        <v>0</v>
      </c>
    </row>
    <row r="4779" spans="1:6" x14ac:dyDescent="0.35">
      <c r="A4779" t="s">
        <v>2856</v>
      </c>
      <c r="B4779" t="s">
        <v>2863</v>
      </c>
      <c r="C4779" t="s">
        <v>2754</v>
      </c>
      <c r="D4779" t="s">
        <v>2879</v>
      </c>
      <c r="E4779">
        <v>0</v>
      </c>
      <c r="F4779" s="11">
        <v>0</v>
      </c>
    </row>
    <row r="4780" spans="1:6" x14ac:dyDescent="0.35">
      <c r="A4780" t="s">
        <v>2856</v>
      </c>
      <c r="B4780" t="s">
        <v>2863</v>
      </c>
      <c r="C4780" t="s">
        <v>2754</v>
      </c>
      <c r="D4780" t="s">
        <v>2880</v>
      </c>
      <c r="E4780">
        <v>1418</v>
      </c>
      <c r="F4780" s="11">
        <v>0</v>
      </c>
    </row>
    <row r="4781" spans="1:6" x14ac:dyDescent="0.35">
      <c r="A4781" t="s">
        <v>2856</v>
      </c>
      <c r="B4781" t="s">
        <v>2863</v>
      </c>
      <c r="C4781" t="s">
        <v>2754</v>
      </c>
      <c r="D4781" t="s">
        <v>2881</v>
      </c>
      <c r="E4781">
        <v>885</v>
      </c>
      <c r="F4781" s="11">
        <v>0</v>
      </c>
    </row>
    <row r="4782" spans="1:6" x14ac:dyDescent="0.35">
      <c r="A4782" t="s">
        <v>2856</v>
      </c>
      <c r="B4782" t="s">
        <v>2863</v>
      </c>
      <c r="C4782" t="s">
        <v>2754</v>
      </c>
      <c r="D4782" t="s">
        <v>2882</v>
      </c>
      <c r="E4782">
        <v>0</v>
      </c>
      <c r="F4782" s="11">
        <v>0</v>
      </c>
    </row>
    <row r="4783" spans="1:6" x14ac:dyDescent="0.35">
      <c r="A4783" t="s">
        <v>2856</v>
      </c>
      <c r="B4783" t="s">
        <v>2863</v>
      </c>
      <c r="C4783" t="s">
        <v>2754</v>
      </c>
      <c r="D4783" t="s">
        <v>2883</v>
      </c>
      <c r="E4783">
        <v>0</v>
      </c>
      <c r="F4783" s="11">
        <v>0</v>
      </c>
    </row>
    <row r="4784" spans="1:6" x14ac:dyDescent="0.35">
      <c r="A4784" t="s">
        <v>2856</v>
      </c>
      <c r="B4784" t="s">
        <v>2863</v>
      </c>
      <c r="C4784" t="s">
        <v>2754</v>
      </c>
      <c r="D4784" t="s">
        <v>2884</v>
      </c>
      <c r="E4784">
        <v>0</v>
      </c>
      <c r="F4784" s="11">
        <v>0</v>
      </c>
    </row>
    <row r="4785" spans="1:6" x14ac:dyDescent="0.35">
      <c r="A4785" t="s">
        <v>2856</v>
      </c>
      <c r="B4785" t="s">
        <v>2863</v>
      </c>
      <c r="C4785" t="s">
        <v>2754</v>
      </c>
      <c r="D4785" t="s">
        <v>2885</v>
      </c>
      <c r="E4785">
        <v>0</v>
      </c>
      <c r="F4785" s="11">
        <v>0</v>
      </c>
    </row>
    <row r="4786" spans="1:6" x14ac:dyDescent="0.35">
      <c r="A4786" t="s">
        <v>2856</v>
      </c>
      <c r="B4786" t="s">
        <v>2863</v>
      </c>
      <c r="C4786" t="s">
        <v>2754</v>
      </c>
      <c r="D4786" t="s">
        <v>2886</v>
      </c>
      <c r="E4786">
        <v>0</v>
      </c>
      <c r="F4786" s="11">
        <v>0</v>
      </c>
    </row>
    <row r="4787" spans="1:6" x14ac:dyDescent="0.35">
      <c r="A4787" t="s">
        <v>2856</v>
      </c>
      <c r="B4787" t="s">
        <v>2863</v>
      </c>
      <c r="C4787" t="s">
        <v>2754</v>
      </c>
      <c r="D4787" t="s">
        <v>2887</v>
      </c>
      <c r="E4787">
        <v>0</v>
      </c>
      <c r="F4787" s="11">
        <v>0</v>
      </c>
    </row>
    <row r="4788" spans="1:6" x14ac:dyDescent="0.35">
      <c r="A4788" t="s">
        <v>2856</v>
      </c>
      <c r="B4788" t="s">
        <v>2863</v>
      </c>
      <c r="C4788" t="s">
        <v>2754</v>
      </c>
      <c r="D4788" t="s">
        <v>2888</v>
      </c>
      <c r="E4788">
        <v>6690</v>
      </c>
      <c r="F4788" s="11">
        <v>0</v>
      </c>
    </row>
    <row r="4789" spans="1:6" x14ac:dyDescent="0.35">
      <c r="A4789" t="s">
        <v>2856</v>
      </c>
      <c r="B4789" t="s">
        <v>2863</v>
      </c>
      <c r="C4789" t="s">
        <v>2754</v>
      </c>
      <c r="D4789" t="s">
        <v>2889</v>
      </c>
      <c r="E4789">
        <v>10212</v>
      </c>
      <c r="F4789" s="11">
        <v>0</v>
      </c>
    </row>
    <row r="4790" spans="1:6" x14ac:dyDescent="0.35">
      <c r="A4790" t="s">
        <v>2856</v>
      </c>
      <c r="B4790" t="s">
        <v>2863</v>
      </c>
      <c r="C4790" t="s">
        <v>2754</v>
      </c>
      <c r="D4790" t="s">
        <v>2890</v>
      </c>
      <c r="E4790">
        <v>0</v>
      </c>
      <c r="F4790" s="11">
        <v>0</v>
      </c>
    </row>
    <row r="4791" spans="1:6" x14ac:dyDescent="0.35">
      <c r="A4791" t="s">
        <v>2856</v>
      </c>
      <c r="B4791" t="s">
        <v>2863</v>
      </c>
      <c r="C4791" t="s">
        <v>2754</v>
      </c>
      <c r="D4791" t="s">
        <v>2891</v>
      </c>
      <c r="E4791">
        <v>0</v>
      </c>
      <c r="F4791" s="11">
        <v>0</v>
      </c>
    </row>
    <row r="4792" spans="1:6" x14ac:dyDescent="0.35">
      <c r="A4792" t="s">
        <v>2856</v>
      </c>
      <c r="B4792" t="s">
        <v>2863</v>
      </c>
      <c r="C4792" t="s">
        <v>2754</v>
      </c>
      <c r="D4792" t="s">
        <v>2892</v>
      </c>
      <c r="E4792">
        <v>0</v>
      </c>
      <c r="F4792" s="11">
        <v>0</v>
      </c>
    </row>
    <row r="4793" spans="1:6" x14ac:dyDescent="0.35">
      <c r="A4793" t="s">
        <v>2856</v>
      </c>
      <c r="B4793" t="s">
        <v>2863</v>
      </c>
      <c r="C4793" t="s">
        <v>2754</v>
      </c>
      <c r="D4793" t="s">
        <v>2893</v>
      </c>
      <c r="E4793">
        <v>0</v>
      </c>
      <c r="F4793" s="11">
        <v>0</v>
      </c>
    </row>
    <row r="4794" spans="1:6" x14ac:dyDescent="0.35">
      <c r="A4794" t="s">
        <v>2856</v>
      </c>
      <c r="B4794" t="s">
        <v>2863</v>
      </c>
      <c r="C4794" t="s">
        <v>2754</v>
      </c>
      <c r="D4794" t="s">
        <v>2894</v>
      </c>
      <c r="E4794">
        <v>0</v>
      </c>
      <c r="F4794" s="11">
        <v>0</v>
      </c>
    </row>
    <row r="4795" spans="1:6" x14ac:dyDescent="0.35">
      <c r="A4795" t="s">
        <v>2856</v>
      </c>
      <c r="B4795" t="s">
        <v>2863</v>
      </c>
      <c r="C4795" t="s">
        <v>2754</v>
      </c>
      <c r="D4795" t="s">
        <v>2895</v>
      </c>
      <c r="E4795">
        <v>458531</v>
      </c>
      <c r="F4795" s="11">
        <v>0</v>
      </c>
    </row>
    <row r="4796" spans="1:6" x14ac:dyDescent="0.35">
      <c r="A4796" t="s">
        <v>2856</v>
      </c>
      <c r="B4796" t="s">
        <v>2863</v>
      </c>
      <c r="C4796" t="s">
        <v>2754</v>
      </c>
      <c r="D4796" t="s">
        <v>2896</v>
      </c>
      <c r="E4796">
        <v>224470</v>
      </c>
      <c r="F4796" s="11">
        <v>0</v>
      </c>
    </row>
    <row r="4797" spans="1:6" x14ac:dyDescent="0.35">
      <c r="A4797" t="s">
        <v>2856</v>
      </c>
      <c r="B4797" t="s">
        <v>2863</v>
      </c>
      <c r="C4797" t="s">
        <v>2754</v>
      </c>
      <c r="D4797" t="s">
        <v>2897</v>
      </c>
      <c r="E4797">
        <v>234061</v>
      </c>
      <c r="F4797" s="11">
        <v>0</v>
      </c>
    </row>
    <row r="4798" spans="1:6" x14ac:dyDescent="0.35">
      <c r="A4798" t="s">
        <v>2856</v>
      </c>
      <c r="B4798" t="s">
        <v>2863</v>
      </c>
      <c r="C4798" t="s">
        <v>2754</v>
      </c>
      <c r="D4798" t="s">
        <v>2898</v>
      </c>
      <c r="E4798">
        <v>0</v>
      </c>
      <c r="F4798" s="11">
        <v>0</v>
      </c>
    </row>
    <row r="4799" spans="1:6" x14ac:dyDescent="0.35">
      <c r="A4799" t="s">
        <v>2856</v>
      </c>
      <c r="B4799" t="s">
        <v>2863</v>
      </c>
      <c r="C4799" t="s">
        <v>2754</v>
      </c>
      <c r="D4799" t="s">
        <v>2899</v>
      </c>
      <c r="E4799">
        <v>6540</v>
      </c>
      <c r="F4799" s="11">
        <v>0</v>
      </c>
    </row>
    <row r="4800" spans="1:6" x14ac:dyDescent="0.35">
      <c r="A4800" t="s">
        <v>2856</v>
      </c>
      <c r="B4800" t="s">
        <v>2863</v>
      </c>
      <c r="C4800" t="s">
        <v>2754</v>
      </c>
      <c r="D4800" t="s">
        <v>2900</v>
      </c>
      <c r="E4800">
        <v>6353</v>
      </c>
      <c r="F4800" s="11">
        <v>0</v>
      </c>
    </row>
    <row r="4801" spans="1:6" x14ac:dyDescent="0.35">
      <c r="A4801" t="s">
        <v>2856</v>
      </c>
      <c r="B4801" t="s">
        <v>2863</v>
      </c>
      <c r="C4801" t="s">
        <v>2754</v>
      </c>
      <c r="D4801" t="s">
        <v>2901</v>
      </c>
      <c r="E4801">
        <v>187</v>
      </c>
      <c r="F4801" s="11">
        <v>0</v>
      </c>
    </row>
    <row r="4802" spans="1:6" x14ac:dyDescent="0.35">
      <c r="A4802" t="s">
        <v>2856</v>
      </c>
      <c r="B4802" t="s">
        <v>2863</v>
      </c>
      <c r="C4802" t="s">
        <v>2754</v>
      </c>
      <c r="D4802" t="s">
        <v>2902</v>
      </c>
      <c r="E4802">
        <v>0</v>
      </c>
      <c r="F4802" s="11">
        <v>0</v>
      </c>
    </row>
    <row r="4803" spans="1:6" x14ac:dyDescent="0.35">
      <c r="A4803" t="s">
        <v>2856</v>
      </c>
      <c r="B4803" t="s">
        <v>2863</v>
      </c>
      <c r="C4803" t="s">
        <v>2754</v>
      </c>
      <c r="D4803" t="s">
        <v>2903</v>
      </c>
      <c r="E4803">
        <v>7430</v>
      </c>
      <c r="F4803" s="11">
        <v>0</v>
      </c>
    </row>
    <row r="4804" spans="1:6" x14ac:dyDescent="0.35">
      <c r="A4804" t="s">
        <v>2856</v>
      </c>
      <c r="B4804" t="s">
        <v>2863</v>
      </c>
      <c r="C4804" t="s">
        <v>2754</v>
      </c>
      <c r="D4804" t="s">
        <v>2904</v>
      </c>
      <c r="E4804">
        <v>0</v>
      </c>
      <c r="F4804" s="11">
        <v>0</v>
      </c>
    </row>
    <row r="4805" spans="1:6" x14ac:dyDescent="0.35">
      <c r="A4805" t="s">
        <v>2856</v>
      </c>
      <c r="B4805" t="s">
        <v>2863</v>
      </c>
      <c r="C4805" t="s">
        <v>2754</v>
      </c>
      <c r="D4805" t="s">
        <v>2905</v>
      </c>
      <c r="E4805">
        <v>0</v>
      </c>
      <c r="F4805" s="11">
        <v>0</v>
      </c>
    </row>
    <row r="4806" spans="1:6" x14ac:dyDescent="0.35">
      <c r="A4806" t="s">
        <v>2856</v>
      </c>
      <c r="B4806" t="s">
        <v>2863</v>
      </c>
      <c r="C4806" t="s">
        <v>2754</v>
      </c>
      <c r="D4806" t="s">
        <v>2906</v>
      </c>
      <c r="E4806">
        <v>0</v>
      </c>
      <c r="F4806" s="11">
        <v>0</v>
      </c>
    </row>
    <row r="4807" spans="1:6" x14ac:dyDescent="0.35">
      <c r="A4807" t="s">
        <v>2856</v>
      </c>
      <c r="B4807" t="s">
        <v>2863</v>
      </c>
      <c r="C4807" t="s">
        <v>2754</v>
      </c>
      <c r="D4807" t="s">
        <v>2907</v>
      </c>
      <c r="E4807">
        <v>22534</v>
      </c>
      <c r="F4807" s="11">
        <v>0</v>
      </c>
    </row>
    <row r="4808" spans="1:6" x14ac:dyDescent="0.35">
      <c r="A4808" t="s">
        <v>2856</v>
      </c>
      <c r="B4808" t="s">
        <v>2863</v>
      </c>
      <c r="C4808" t="s">
        <v>2754</v>
      </c>
      <c r="D4808" t="s">
        <v>2908</v>
      </c>
      <c r="E4808">
        <v>0</v>
      </c>
      <c r="F4808" s="11">
        <v>0</v>
      </c>
    </row>
    <row r="4809" spans="1:6" x14ac:dyDescent="0.35">
      <c r="A4809" t="s">
        <v>2856</v>
      </c>
      <c r="B4809" t="s">
        <v>2863</v>
      </c>
      <c r="C4809" t="s">
        <v>2754</v>
      </c>
      <c r="D4809" t="s">
        <v>2909</v>
      </c>
      <c r="E4809">
        <v>0</v>
      </c>
      <c r="F4809" s="11">
        <v>0</v>
      </c>
    </row>
    <row r="4810" spans="1:6" x14ac:dyDescent="0.35">
      <c r="A4810" t="s">
        <v>2856</v>
      </c>
      <c r="B4810" t="s">
        <v>2863</v>
      </c>
      <c r="C4810" t="s">
        <v>2754</v>
      </c>
      <c r="D4810" t="s">
        <v>2910</v>
      </c>
      <c r="E4810">
        <v>0</v>
      </c>
      <c r="F4810" s="11">
        <v>0</v>
      </c>
    </row>
    <row r="4811" spans="1:6" x14ac:dyDescent="0.35">
      <c r="A4811" t="s">
        <v>2856</v>
      </c>
      <c r="B4811" t="s">
        <v>2863</v>
      </c>
      <c r="C4811" t="s">
        <v>2754</v>
      </c>
      <c r="D4811" t="s">
        <v>2911</v>
      </c>
      <c r="E4811">
        <v>398350</v>
      </c>
      <c r="F4811" s="11">
        <v>0</v>
      </c>
    </row>
    <row r="4812" spans="1:6" x14ac:dyDescent="0.35">
      <c r="A4812" t="s">
        <v>2856</v>
      </c>
      <c r="B4812" t="s">
        <v>2863</v>
      </c>
      <c r="C4812" t="s">
        <v>2754</v>
      </c>
      <c r="D4812" t="s">
        <v>2912</v>
      </c>
      <c r="E4812">
        <v>0</v>
      </c>
      <c r="F4812" s="11">
        <v>0</v>
      </c>
    </row>
    <row r="4813" spans="1:6" x14ac:dyDescent="0.35">
      <c r="A4813" t="s">
        <v>2856</v>
      </c>
      <c r="B4813" t="s">
        <v>2863</v>
      </c>
      <c r="C4813" t="s">
        <v>2754</v>
      </c>
      <c r="D4813" t="s">
        <v>2913</v>
      </c>
      <c r="E4813">
        <v>0</v>
      </c>
      <c r="F4813" s="11">
        <v>0</v>
      </c>
    </row>
    <row r="4814" spans="1:6" x14ac:dyDescent="0.35">
      <c r="A4814" t="s">
        <v>2856</v>
      </c>
      <c r="B4814" t="s">
        <v>2863</v>
      </c>
      <c r="C4814" t="s">
        <v>2754</v>
      </c>
      <c r="D4814" t="s">
        <v>2914</v>
      </c>
      <c r="E4814">
        <v>0</v>
      </c>
      <c r="F4814" s="11">
        <v>0</v>
      </c>
    </row>
    <row r="4815" spans="1:6" x14ac:dyDescent="0.35">
      <c r="A4815" t="s">
        <v>2856</v>
      </c>
      <c r="B4815" t="s">
        <v>2863</v>
      </c>
      <c r="C4815" t="s">
        <v>2754</v>
      </c>
      <c r="D4815" t="s">
        <v>2915</v>
      </c>
      <c r="E4815">
        <v>13847</v>
      </c>
      <c r="F4815" s="11">
        <v>0</v>
      </c>
    </row>
    <row r="4816" spans="1:6" x14ac:dyDescent="0.35">
      <c r="A4816" t="s">
        <v>2856</v>
      </c>
      <c r="B4816" t="s">
        <v>2863</v>
      </c>
      <c r="C4816" t="s">
        <v>2754</v>
      </c>
      <c r="D4816" t="s">
        <v>2916</v>
      </c>
      <c r="E4816">
        <v>41392</v>
      </c>
      <c r="F4816" s="11">
        <v>0</v>
      </c>
    </row>
    <row r="4817" spans="1:6" x14ac:dyDescent="0.35">
      <c r="A4817" t="s">
        <v>2856</v>
      </c>
      <c r="B4817" t="s">
        <v>2863</v>
      </c>
      <c r="C4817" t="s">
        <v>2754</v>
      </c>
      <c r="D4817" t="s">
        <v>2917</v>
      </c>
      <c r="E4817">
        <v>0</v>
      </c>
      <c r="F4817" s="11">
        <v>0</v>
      </c>
    </row>
    <row r="4818" spans="1:6" x14ac:dyDescent="0.35">
      <c r="A4818" t="s">
        <v>2856</v>
      </c>
      <c r="B4818" t="s">
        <v>2863</v>
      </c>
      <c r="C4818" t="s">
        <v>1459</v>
      </c>
      <c r="D4818" t="s">
        <v>2875</v>
      </c>
      <c r="E4818">
        <v>49992</v>
      </c>
      <c r="F4818" s="11">
        <v>1</v>
      </c>
    </row>
    <row r="4819" spans="1:6" x14ac:dyDescent="0.35">
      <c r="A4819" t="s">
        <v>2856</v>
      </c>
      <c r="B4819" t="s">
        <v>2863</v>
      </c>
      <c r="C4819" t="s">
        <v>1459</v>
      </c>
      <c r="D4819" t="s">
        <v>2876</v>
      </c>
      <c r="E4819">
        <v>10960</v>
      </c>
      <c r="F4819" s="11">
        <v>1</v>
      </c>
    </row>
    <row r="4820" spans="1:6" x14ac:dyDescent="0.35">
      <c r="A4820" t="s">
        <v>2856</v>
      </c>
      <c r="B4820" t="s">
        <v>2863</v>
      </c>
      <c r="C4820" t="s">
        <v>1459</v>
      </c>
      <c r="D4820" t="s">
        <v>2877</v>
      </c>
      <c r="E4820">
        <v>36738</v>
      </c>
      <c r="F4820" s="11">
        <v>1</v>
      </c>
    </row>
    <row r="4821" spans="1:6" x14ac:dyDescent="0.35">
      <c r="A4821" t="s">
        <v>2856</v>
      </c>
      <c r="B4821" t="s">
        <v>2863</v>
      </c>
      <c r="C4821" t="s">
        <v>1459</v>
      </c>
      <c r="D4821" t="s">
        <v>2878</v>
      </c>
      <c r="E4821">
        <v>2294</v>
      </c>
      <c r="F4821" s="11">
        <v>1</v>
      </c>
    </row>
    <row r="4822" spans="1:6" x14ac:dyDescent="0.35">
      <c r="A4822" t="s">
        <v>2856</v>
      </c>
      <c r="B4822" t="s">
        <v>2863</v>
      </c>
      <c r="C4822" t="s">
        <v>1459</v>
      </c>
      <c r="D4822" t="s">
        <v>2879</v>
      </c>
      <c r="E4822">
        <v>9833</v>
      </c>
      <c r="F4822" s="11">
        <v>1</v>
      </c>
    </row>
    <row r="4823" spans="1:6" x14ac:dyDescent="0.35">
      <c r="A4823" t="s">
        <v>2856</v>
      </c>
      <c r="B4823" t="s">
        <v>2863</v>
      </c>
      <c r="C4823" t="s">
        <v>1459</v>
      </c>
      <c r="D4823" t="s">
        <v>2880</v>
      </c>
      <c r="E4823">
        <v>0</v>
      </c>
      <c r="F4823" s="11">
        <v>0</v>
      </c>
    </row>
    <row r="4824" spans="1:6" x14ac:dyDescent="0.35">
      <c r="A4824" t="s">
        <v>2856</v>
      </c>
      <c r="B4824" t="s">
        <v>2863</v>
      </c>
      <c r="C4824" t="s">
        <v>1459</v>
      </c>
      <c r="D4824" t="s">
        <v>2881</v>
      </c>
      <c r="E4824">
        <v>0</v>
      </c>
      <c r="F4824" s="11">
        <v>0</v>
      </c>
    </row>
    <row r="4825" spans="1:6" x14ac:dyDescent="0.35">
      <c r="A4825" t="s">
        <v>2856</v>
      </c>
      <c r="B4825" t="s">
        <v>2863</v>
      </c>
      <c r="C4825" t="s">
        <v>1459</v>
      </c>
      <c r="D4825" t="s">
        <v>2882</v>
      </c>
      <c r="E4825">
        <v>0</v>
      </c>
      <c r="F4825" s="11">
        <v>0</v>
      </c>
    </row>
    <row r="4826" spans="1:6" x14ac:dyDescent="0.35">
      <c r="A4826" t="s">
        <v>2856</v>
      </c>
      <c r="B4826" t="s">
        <v>2863</v>
      </c>
      <c r="C4826" t="s">
        <v>1459</v>
      </c>
      <c r="D4826" t="s">
        <v>2883</v>
      </c>
      <c r="E4826">
        <v>12</v>
      </c>
      <c r="F4826" s="11">
        <v>0</v>
      </c>
    </row>
    <row r="4827" spans="1:6" x14ac:dyDescent="0.35">
      <c r="A4827" t="s">
        <v>2856</v>
      </c>
      <c r="B4827" t="s">
        <v>2863</v>
      </c>
      <c r="C4827" t="s">
        <v>1459</v>
      </c>
      <c r="D4827" t="s">
        <v>2884</v>
      </c>
      <c r="E4827">
        <v>12</v>
      </c>
      <c r="F4827" s="11">
        <v>0</v>
      </c>
    </row>
    <row r="4828" spans="1:6" x14ac:dyDescent="0.35">
      <c r="A4828" t="s">
        <v>2856</v>
      </c>
      <c r="B4828" t="s">
        <v>2863</v>
      </c>
      <c r="C4828" t="s">
        <v>1459</v>
      </c>
      <c r="D4828" t="s">
        <v>2885</v>
      </c>
      <c r="E4828">
        <v>0</v>
      </c>
      <c r="F4828" s="11">
        <v>0</v>
      </c>
    </row>
    <row r="4829" spans="1:6" x14ac:dyDescent="0.35">
      <c r="A4829" t="s">
        <v>2856</v>
      </c>
      <c r="B4829" t="s">
        <v>2863</v>
      </c>
      <c r="C4829" t="s">
        <v>1459</v>
      </c>
      <c r="D4829" t="s">
        <v>2886</v>
      </c>
      <c r="E4829">
        <v>0</v>
      </c>
      <c r="F4829" s="11">
        <v>0</v>
      </c>
    </row>
    <row r="4830" spans="1:6" x14ac:dyDescent="0.35">
      <c r="A4830" t="s">
        <v>2856</v>
      </c>
      <c r="B4830" t="s">
        <v>2863</v>
      </c>
      <c r="C4830" t="s">
        <v>1459</v>
      </c>
      <c r="D4830" t="s">
        <v>2887</v>
      </c>
      <c r="E4830">
        <v>162189</v>
      </c>
      <c r="F4830" s="11">
        <v>1</v>
      </c>
    </row>
    <row r="4831" spans="1:6" x14ac:dyDescent="0.35">
      <c r="A4831" t="s">
        <v>2856</v>
      </c>
      <c r="B4831" t="s">
        <v>2863</v>
      </c>
      <c r="C4831" t="s">
        <v>1459</v>
      </c>
      <c r="D4831" t="s">
        <v>2888</v>
      </c>
      <c r="E4831">
        <v>81791</v>
      </c>
      <c r="F4831" s="11">
        <v>1</v>
      </c>
    </row>
    <row r="4832" spans="1:6" x14ac:dyDescent="0.35">
      <c r="A4832" t="s">
        <v>2856</v>
      </c>
      <c r="B4832" t="s">
        <v>2863</v>
      </c>
      <c r="C4832" t="s">
        <v>1459</v>
      </c>
      <c r="D4832" t="s">
        <v>2889</v>
      </c>
      <c r="E4832">
        <v>80398</v>
      </c>
      <c r="F4832" s="11">
        <v>0</v>
      </c>
    </row>
    <row r="4833" spans="1:6" x14ac:dyDescent="0.35">
      <c r="A4833" t="s">
        <v>2856</v>
      </c>
      <c r="B4833" t="s">
        <v>2863</v>
      </c>
      <c r="C4833" t="s">
        <v>1459</v>
      </c>
      <c r="D4833" t="s">
        <v>2890</v>
      </c>
      <c r="E4833">
        <v>0</v>
      </c>
      <c r="F4833" s="11">
        <v>1</v>
      </c>
    </row>
    <row r="4834" spans="1:6" x14ac:dyDescent="0.35">
      <c r="A4834" t="s">
        <v>2856</v>
      </c>
      <c r="B4834" t="s">
        <v>2863</v>
      </c>
      <c r="C4834" t="s">
        <v>1459</v>
      </c>
      <c r="D4834" t="s">
        <v>2891</v>
      </c>
      <c r="E4834">
        <v>143</v>
      </c>
      <c r="F4834" s="11">
        <v>0</v>
      </c>
    </row>
    <row r="4835" spans="1:6" x14ac:dyDescent="0.35">
      <c r="A4835" t="s">
        <v>2856</v>
      </c>
      <c r="B4835" t="s">
        <v>2863</v>
      </c>
      <c r="C4835" t="s">
        <v>1459</v>
      </c>
      <c r="D4835" t="s">
        <v>2892</v>
      </c>
      <c r="E4835">
        <v>143</v>
      </c>
      <c r="F4835" s="11">
        <v>0</v>
      </c>
    </row>
    <row r="4836" spans="1:6" x14ac:dyDescent="0.35">
      <c r="A4836" t="s">
        <v>2856</v>
      </c>
      <c r="B4836" t="s">
        <v>2863</v>
      </c>
      <c r="C4836" t="s">
        <v>1459</v>
      </c>
      <c r="D4836" t="s">
        <v>2893</v>
      </c>
      <c r="E4836">
        <v>0</v>
      </c>
      <c r="F4836" s="11">
        <v>0</v>
      </c>
    </row>
    <row r="4837" spans="1:6" x14ac:dyDescent="0.35">
      <c r="A4837" t="s">
        <v>2856</v>
      </c>
      <c r="B4837" t="s">
        <v>2863</v>
      </c>
      <c r="C4837" t="s">
        <v>1459</v>
      </c>
      <c r="D4837" t="s">
        <v>2894</v>
      </c>
      <c r="E4837">
        <v>0</v>
      </c>
      <c r="F4837" s="11">
        <v>0</v>
      </c>
    </row>
    <row r="4838" spans="1:6" x14ac:dyDescent="0.35">
      <c r="A4838" t="s">
        <v>2856</v>
      </c>
      <c r="B4838" t="s">
        <v>2863</v>
      </c>
      <c r="C4838" t="s">
        <v>1459</v>
      </c>
      <c r="D4838" t="s">
        <v>2895</v>
      </c>
      <c r="E4838">
        <v>1474852</v>
      </c>
      <c r="F4838" s="11">
        <v>1</v>
      </c>
    </row>
    <row r="4839" spans="1:6" x14ac:dyDescent="0.35">
      <c r="A4839" t="s">
        <v>2856</v>
      </c>
      <c r="B4839" t="s">
        <v>2863</v>
      </c>
      <c r="C4839" t="s">
        <v>1459</v>
      </c>
      <c r="D4839" t="s">
        <v>2896</v>
      </c>
      <c r="E4839">
        <v>915890</v>
      </c>
      <c r="F4839" s="11">
        <v>0</v>
      </c>
    </row>
    <row r="4840" spans="1:6" x14ac:dyDescent="0.35">
      <c r="A4840" t="s">
        <v>2856</v>
      </c>
      <c r="B4840" t="s">
        <v>2863</v>
      </c>
      <c r="C4840" t="s">
        <v>1459</v>
      </c>
      <c r="D4840" t="s">
        <v>2897</v>
      </c>
      <c r="E4840">
        <v>538055</v>
      </c>
      <c r="F4840" s="11">
        <v>1</v>
      </c>
    </row>
    <row r="4841" spans="1:6" x14ac:dyDescent="0.35">
      <c r="A4841" t="s">
        <v>2856</v>
      </c>
      <c r="B4841" t="s">
        <v>2863</v>
      </c>
      <c r="C4841" t="s">
        <v>1459</v>
      </c>
      <c r="D4841" t="s">
        <v>2898</v>
      </c>
      <c r="E4841">
        <v>20907</v>
      </c>
      <c r="F4841" s="11">
        <v>1</v>
      </c>
    </row>
    <row r="4842" spans="1:6" x14ac:dyDescent="0.35">
      <c r="A4842" t="s">
        <v>2856</v>
      </c>
      <c r="B4842" t="s">
        <v>2863</v>
      </c>
      <c r="C4842" t="s">
        <v>1459</v>
      </c>
      <c r="D4842" t="s">
        <v>2899</v>
      </c>
      <c r="E4842">
        <v>6078</v>
      </c>
      <c r="F4842" s="11">
        <v>1</v>
      </c>
    </row>
    <row r="4843" spans="1:6" x14ac:dyDescent="0.35">
      <c r="A4843" t="s">
        <v>2856</v>
      </c>
      <c r="B4843" t="s">
        <v>2863</v>
      </c>
      <c r="C4843" t="s">
        <v>1459</v>
      </c>
      <c r="D4843" t="s">
        <v>2900</v>
      </c>
      <c r="E4843">
        <v>6078</v>
      </c>
      <c r="F4843" s="11">
        <v>0</v>
      </c>
    </row>
    <row r="4844" spans="1:6" x14ac:dyDescent="0.35">
      <c r="A4844" t="s">
        <v>2856</v>
      </c>
      <c r="B4844" t="s">
        <v>2863</v>
      </c>
      <c r="C4844" t="s">
        <v>1459</v>
      </c>
      <c r="D4844" t="s">
        <v>2901</v>
      </c>
      <c r="E4844">
        <v>0</v>
      </c>
      <c r="F4844" s="11">
        <v>0</v>
      </c>
    </row>
    <row r="4845" spans="1:6" x14ac:dyDescent="0.35">
      <c r="A4845" t="s">
        <v>2856</v>
      </c>
      <c r="B4845" t="s">
        <v>2863</v>
      </c>
      <c r="C4845" t="s">
        <v>1459</v>
      </c>
      <c r="D4845" t="s">
        <v>2902</v>
      </c>
      <c r="E4845">
        <v>0</v>
      </c>
      <c r="F4845" s="11">
        <v>0</v>
      </c>
    </row>
    <row r="4846" spans="1:6" x14ac:dyDescent="0.35">
      <c r="A4846" t="s">
        <v>2856</v>
      </c>
      <c r="B4846" t="s">
        <v>2863</v>
      </c>
      <c r="C4846" t="s">
        <v>1459</v>
      </c>
      <c r="D4846" t="s">
        <v>2903</v>
      </c>
      <c r="E4846">
        <v>71829</v>
      </c>
      <c r="F4846" s="11">
        <v>1</v>
      </c>
    </row>
    <row r="4847" spans="1:6" x14ac:dyDescent="0.35">
      <c r="A4847" t="s">
        <v>2856</v>
      </c>
      <c r="B4847" t="s">
        <v>2863</v>
      </c>
      <c r="C4847" t="s">
        <v>1459</v>
      </c>
      <c r="D4847" t="s">
        <v>2904</v>
      </c>
      <c r="E4847">
        <v>64502</v>
      </c>
      <c r="F4847" s="11">
        <v>1</v>
      </c>
    </row>
    <row r="4848" spans="1:6" x14ac:dyDescent="0.35">
      <c r="A4848" t="s">
        <v>2856</v>
      </c>
      <c r="B4848" t="s">
        <v>2863</v>
      </c>
      <c r="C4848" t="s">
        <v>1459</v>
      </c>
      <c r="D4848" t="s">
        <v>2905</v>
      </c>
      <c r="E4848">
        <v>4249</v>
      </c>
      <c r="F4848" s="11">
        <v>1</v>
      </c>
    </row>
    <row r="4849" spans="1:6" x14ac:dyDescent="0.35">
      <c r="A4849" t="s">
        <v>2856</v>
      </c>
      <c r="B4849" t="s">
        <v>2863</v>
      </c>
      <c r="C4849" t="s">
        <v>1459</v>
      </c>
      <c r="D4849" t="s">
        <v>2906</v>
      </c>
      <c r="E4849">
        <v>3078</v>
      </c>
      <c r="F4849" s="11">
        <v>1</v>
      </c>
    </row>
    <row r="4850" spans="1:6" x14ac:dyDescent="0.35">
      <c r="A4850" t="s">
        <v>2856</v>
      </c>
      <c r="B4850" t="s">
        <v>2863</v>
      </c>
      <c r="C4850" t="s">
        <v>1459</v>
      </c>
      <c r="D4850" t="s">
        <v>2907</v>
      </c>
      <c r="E4850">
        <v>138888</v>
      </c>
      <c r="F4850" s="11">
        <v>1</v>
      </c>
    </row>
    <row r="4851" spans="1:6" x14ac:dyDescent="0.35">
      <c r="A4851" t="s">
        <v>2856</v>
      </c>
      <c r="B4851" t="s">
        <v>2863</v>
      </c>
      <c r="C4851" t="s">
        <v>1459</v>
      </c>
      <c r="D4851" t="s">
        <v>2908</v>
      </c>
      <c r="E4851">
        <v>121033</v>
      </c>
      <c r="F4851" s="11">
        <v>1</v>
      </c>
    </row>
    <row r="4852" spans="1:6" x14ac:dyDescent="0.35">
      <c r="A4852" t="s">
        <v>2856</v>
      </c>
      <c r="B4852" t="s">
        <v>2863</v>
      </c>
      <c r="C4852" t="s">
        <v>1459</v>
      </c>
      <c r="D4852" t="s">
        <v>2909</v>
      </c>
      <c r="E4852">
        <v>14073</v>
      </c>
      <c r="F4852" s="11">
        <v>1</v>
      </c>
    </row>
    <row r="4853" spans="1:6" x14ac:dyDescent="0.35">
      <c r="A4853" t="s">
        <v>2856</v>
      </c>
      <c r="B4853" t="s">
        <v>2863</v>
      </c>
      <c r="C4853" t="s">
        <v>1459</v>
      </c>
      <c r="D4853" t="s">
        <v>2910</v>
      </c>
      <c r="E4853">
        <v>3782</v>
      </c>
      <c r="F4853" s="11">
        <v>1</v>
      </c>
    </row>
    <row r="4854" spans="1:6" x14ac:dyDescent="0.35">
      <c r="A4854" t="s">
        <v>2856</v>
      </c>
      <c r="B4854" t="s">
        <v>2863</v>
      </c>
      <c r="C4854" t="s">
        <v>1459</v>
      </c>
      <c r="D4854" t="s">
        <v>2911</v>
      </c>
      <c r="E4854">
        <v>0</v>
      </c>
      <c r="F4854" s="11">
        <v>1</v>
      </c>
    </row>
    <row r="4855" spans="1:6" x14ac:dyDescent="0.35">
      <c r="A4855" t="s">
        <v>2856</v>
      </c>
      <c r="B4855" t="s">
        <v>2863</v>
      </c>
      <c r="C4855" t="s">
        <v>1459</v>
      </c>
      <c r="D4855" t="s">
        <v>2912</v>
      </c>
      <c r="E4855">
        <v>1795676</v>
      </c>
      <c r="F4855" s="11">
        <v>1</v>
      </c>
    </row>
    <row r="4856" spans="1:6" x14ac:dyDescent="0.35">
      <c r="A4856" t="s">
        <v>2856</v>
      </c>
      <c r="B4856" t="s">
        <v>2863</v>
      </c>
      <c r="C4856" t="s">
        <v>1459</v>
      </c>
      <c r="D4856" t="s">
        <v>2913</v>
      </c>
      <c r="E4856">
        <v>60489</v>
      </c>
      <c r="F4856" s="11">
        <v>1</v>
      </c>
    </row>
    <row r="4857" spans="1:6" x14ac:dyDescent="0.35">
      <c r="A4857" t="s">
        <v>2856</v>
      </c>
      <c r="B4857" t="s">
        <v>2863</v>
      </c>
      <c r="C4857" t="s">
        <v>1459</v>
      </c>
      <c r="D4857" t="s">
        <v>2914</v>
      </c>
      <c r="E4857">
        <v>5508</v>
      </c>
      <c r="F4857" s="11">
        <v>1</v>
      </c>
    </row>
    <row r="4858" spans="1:6" x14ac:dyDescent="0.35">
      <c r="A4858" t="s">
        <v>2856</v>
      </c>
      <c r="B4858" t="s">
        <v>2863</v>
      </c>
      <c r="C4858" t="s">
        <v>1459</v>
      </c>
      <c r="D4858" t="s">
        <v>2915</v>
      </c>
      <c r="E4858">
        <v>2012</v>
      </c>
      <c r="F4858" s="11">
        <v>1</v>
      </c>
    </row>
    <row r="4859" spans="1:6" x14ac:dyDescent="0.35">
      <c r="A4859" t="s">
        <v>2856</v>
      </c>
      <c r="B4859" t="s">
        <v>2863</v>
      </c>
      <c r="C4859" t="s">
        <v>1459</v>
      </c>
      <c r="D4859" t="s">
        <v>2916</v>
      </c>
      <c r="E4859">
        <v>150230</v>
      </c>
      <c r="F4859" s="11">
        <v>1</v>
      </c>
    </row>
    <row r="4860" spans="1:6" x14ac:dyDescent="0.35">
      <c r="A4860" t="s">
        <v>2856</v>
      </c>
      <c r="B4860" t="s">
        <v>2863</v>
      </c>
      <c r="C4860" t="s">
        <v>1459</v>
      </c>
      <c r="D4860" t="s">
        <v>2917</v>
      </c>
      <c r="E4860">
        <v>0</v>
      </c>
      <c r="F4860" s="11">
        <v>0</v>
      </c>
    </row>
    <row r="4861" spans="1:6" x14ac:dyDescent="0.35">
      <c r="A4861" t="s">
        <v>2856</v>
      </c>
      <c r="B4861" t="s">
        <v>2865</v>
      </c>
      <c r="C4861" t="s">
        <v>1509</v>
      </c>
      <c r="D4861" t="s">
        <v>2875</v>
      </c>
      <c r="E4861">
        <v>25036</v>
      </c>
      <c r="F4861" s="11">
        <v>1</v>
      </c>
    </row>
    <row r="4862" spans="1:6" x14ac:dyDescent="0.35">
      <c r="A4862" t="s">
        <v>2856</v>
      </c>
      <c r="B4862" t="s">
        <v>2865</v>
      </c>
      <c r="C4862" t="s">
        <v>1509</v>
      </c>
      <c r="D4862" t="s">
        <v>2876</v>
      </c>
      <c r="E4862">
        <v>0</v>
      </c>
      <c r="F4862" s="11">
        <v>0</v>
      </c>
    </row>
    <row r="4863" spans="1:6" x14ac:dyDescent="0.35">
      <c r="A4863" t="s">
        <v>2856</v>
      </c>
      <c r="B4863" t="s">
        <v>2865</v>
      </c>
      <c r="C4863" t="s">
        <v>1509</v>
      </c>
      <c r="D4863" t="s">
        <v>2877</v>
      </c>
      <c r="E4863">
        <v>0</v>
      </c>
      <c r="F4863" s="11">
        <v>0</v>
      </c>
    </row>
    <row r="4864" spans="1:6" x14ac:dyDescent="0.35">
      <c r="A4864" t="s">
        <v>2856</v>
      </c>
      <c r="B4864" t="s">
        <v>2865</v>
      </c>
      <c r="C4864" t="s">
        <v>1509</v>
      </c>
      <c r="D4864" t="s">
        <v>2878</v>
      </c>
      <c r="E4864">
        <v>0</v>
      </c>
      <c r="F4864" s="11">
        <v>0</v>
      </c>
    </row>
    <row r="4865" spans="1:6" x14ac:dyDescent="0.35">
      <c r="A4865" t="s">
        <v>2856</v>
      </c>
      <c r="B4865" t="s">
        <v>2865</v>
      </c>
      <c r="C4865" t="s">
        <v>1509</v>
      </c>
      <c r="D4865" t="s">
        <v>2879</v>
      </c>
      <c r="E4865">
        <v>0</v>
      </c>
      <c r="F4865" s="11">
        <v>1</v>
      </c>
    </row>
    <row r="4866" spans="1:6" x14ac:dyDescent="0.35">
      <c r="A4866" t="s">
        <v>2856</v>
      </c>
      <c r="B4866" t="s">
        <v>2865</v>
      </c>
      <c r="C4866" t="s">
        <v>1509</v>
      </c>
      <c r="D4866" t="s">
        <v>2880</v>
      </c>
      <c r="E4866">
        <v>1340</v>
      </c>
      <c r="F4866" s="11">
        <v>1</v>
      </c>
    </row>
    <row r="4867" spans="1:6" x14ac:dyDescent="0.35">
      <c r="A4867" t="s">
        <v>2856</v>
      </c>
      <c r="B4867" t="s">
        <v>2865</v>
      </c>
      <c r="C4867" t="s">
        <v>1509</v>
      </c>
      <c r="D4867" t="s">
        <v>2881</v>
      </c>
      <c r="E4867">
        <v>2542</v>
      </c>
      <c r="F4867" s="11">
        <v>1</v>
      </c>
    </row>
    <row r="4868" spans="1:6" x14ac:dyDescent="0.35">
      <c r="A4868" t="s">
        <v>2856</v>
      </c>
      <c r="B4868" t="s">
        <v>2865</v>
      </c>
      <c r="C4868" t="s">
        <v>1509</v>
      </c>
      <c r="D4868" t="s">
        <v>2882</v>
      </c>
      <c r="E4868">
        <v>99</v>
      </c>
      <c r="F4868" s="11">
        <v>1</v>
      </c>
    </row>
    <row r="4869" spans="1:6" x14ac:dyDescent="0.35">
      <c r="A4869" t="s">
        <v>2856</v>
      </c>
      <c r="B4869" t="s">
        <v>2865</v>
      </c>
      <c r="C4869" t="s">
        <v>1509</v>
      </c>
      <c r="D4869" t="s">
        <v>2883</v>
      </c>
      <c r="E4869">
        <v>0</v>
      </c>
      <c r="F4869" s="11">
        <v>1</v>
      </c>
    </row>
    <row r="4870" spans="1:6" x14ac:dyDescent="0.35">
      <c r="A4870" t="s">
        <v>2856</v>
      </c>
      <c r="B4870" t="s">
        <v>2865</v>
      </c>
      <c r="C4870" t="s">
        <v>1509</v>
      </c>
      <c r="D4870" t="s">
        <v>2884</v>
      </c>
      <c r="E4870">
        <v>12</v>
      </c>
      <c r="F4870" s="11">
        <v>0</v>
      </c>
    </row>
    <row r="4871" spans="1:6" x14ac:dyDescent="0.35">
      <c r="A4871" t="s">
        <v>2856</v>
      </c>
      <c r="B4871" t="s">
        <v>2865</v>
      </c>
      <c r="C4871" t="s">
        <v>1509</v>
      </c>
      <c r="D4871" t="s">
        <v>2885</v>
      </c>
      <c r="E4871">
        <v>0</v>
      </c>
      <c r="F4871" s="11">
        <v>0</v>
      </c>
    </row>
    <row r="4872" spans="1:6" x14ac:dyDescent="0.35">
      <c r="A4872" t="s">
        <v>2856</v>
      </c>
      <c r="B4872" t="s">
        <v>2865</v>
      </c>
      <c r="C4872" t="s">
        <v>1509</v>
      </c>
      <c r="D4872" t="s">
        <v>2886</v>
      </c>
      <c r="E4872">
        <v>0</v>
      </c>
      <c r="F4872" s="11">
        <v>1</v>
      </c>
    </row>
    <row r="4873" spans="1:6" x14ac:dyDescent="0.35">
      <c r="A4873" t="s">
        <v>2856</v>
      </c>
      <c r="B4873" t="s">
        <v>2865</v>
      </c>
      <c r="C4873" t="s">
        <v>1509</v>
      </c>
      <c r="D4873" t="s">
        <v>2887</v>
      </c>
      <c r="E4873">
        <v>52889</v>
      </c>
      <c r="F4873" s="11">
        <v>1</v>
      </c>
    </row>
    <row r="4874" spans="1:6" x14ac:dyDescent="0.35">
      <c r="A4874" t="s">
        <v>2856</v>
      </c>
      <c r="B4874" t="s">
        <v>2865</v>
      </c>
      <c r="C4874" t="s">
        <v>1509</v>
      </c>
      <c r="D4874" t="s">
        <v>2888</v>
      </c>
      <c r="E4874">
        <v>15568</v>
      </c>
      <c r="F4874" s="11">
        <v>1</v>
      </c>
    </row>
    <row r="4875" spans="1:6" x14ac:dyDescent="0.35">
      <c r="A4875" t="s">
        <v>2856</v>
      </c>
      <c r="B4875" t="s">
        <v>2865</v>
      </c>
      <c r="C4875" t="s">
        <v>1509</v>
      </c>
      <c r="D4875" t="s">
        <v>2889</v>
      </c>
      <c r="E4875">
        <v>40925</v>
      </c>
      <c r="F4875" s="11">
        <v>1</v>
      </c>
    </row>
    <row r="4876" spans="1:6" x14ac:dyDescent="0.35">
      <c r="A4876" t="s">
        <v>2856</v>
      </c>
      <c r="B4876" t="s">
        <v>2865</v>
      </c>
      <c r="C4876" t="s">
        <v>1509</v>
      </c>
      <c r="D4876" t="s">
        <v>2890</v>
      </c>
      <c r="E4876">
        <v>723</v>
      </c>
      <c r="F4876" s="11">
        <v>1</v>
      </c>
    </row>
    <row r="4877" spans="1:6" x14ac:dyDescent="0.35">
      <c r="A4877" t="s">
        <v>2856</v>
      </c>
      <c r="B4877" t="s">
        <v>2865</v>
      </c>
      <c r="C4877" t="s">
        <v>1509</v>
      </c>
      <c r="D4877" t="s">
        <v>2891</v>
      </c>
      <c r="E4877">
        <v>190</v>
      </c>
      <c r="F4877" s="11">
        <v>1</v>
      </c>
    </row>
    <row r="4878" spans="1:6" x14ac:dyDescent="0.35">
      <c r="A4878" t="s">
        <v>2856</v>
      </c>
      <c r="B4878" t="s">
        <v>2865</v>
      </c>
      <c r="C4878" t="s">
        <v>1509</v>
      </c>
      <c r="D4878" t="s">
        <v>2892</v>
      </c>
      <c r="E4878">
        <v>0</v>
      </c>
      <c r="F4878" s="11">
        <v>1</v>
      </c>
    </row>
    <row r="4879" spans="1:6" x14ac:dyDescent="0.35">
      <c r="A4879" t="s">
        <v>2856</v>
      </c>
      <c r="B4879" t="s">
        <v>2865</v>
      </c>
      <c r="C4879" t="s">
        <v>1509</v>
      </c>
      <c r="D4879" t="s">
        <v>2893</v>
      </c>
      <c r="E4879">
        <v>0</v>
      </c>
      <c r="F4879" s="11">
        <v>0</v>
      </c>
    </row>
    <row r="4880" spans="1:6" x14ac:dyDescent="0.35">
      <c r="A4880" t="s">
        <v>2856</v>
      </c>
      <c r="B4880" t="s">
        <v>2865</v>
      </c>
      <c r="C4880" t="s">
        <v>1509</v>
      </c>
      <c r="D4880" t="s">
        <v>2894</v>
      </c>
      <c r="E4880">
        <v>0</v>
      </c>
      <c r="F4880" s="11">
        <v>1</v>
      </c>
    </row>
    <row r="4881" spans="1:6" x14ac:dyDescent="0.35">
      <c r="A4881" t="s">
        <v>2856</v>
      </c>
      <c r="B4881" t="s">
        <v>2865</v>
      </c>
      <c r="C4881" t="s">
        <v>1509</v>
      </c>
      <c r="D4881" t="s">
        <v>2895</v>
      </c>
      <c r="E4881">
        <v>628625</v>
      </c>
      <c r="F4881" s="11">
        <v>1</v>
      </c>
    </row>
    <row r="4882" spans="1:6" x14ac:dyDescent="0.35">
      <c r="A4882" t="s">
        <v>2856</v>
      </c>
      <c r="B4882" t="s">
        <v>2865</v>
      </c>
      <c r="C4882" t="s">
        <v>1509</v>
      </c>
      <c r="D4882" t="s">
        <v>2896</v>
      </c>
      <c r="E4882">
        <v>345054</v>
      </c>
      <c r="F4882" s="11">
        <v>1</v>
      </c>
    </row>
    <row r="4883" spans="1:6" x14ac:dyDescent="0.35">
      <c r="A4883" t="s">
        <v>2856</v>
      </c>
      <c r="B4883" t="s">
        <v>2865</v>
      </c>
      <c r="C4883" t="s">
        <v>1509</v>
      </c>
      <c r="D4883" t="s">
        <v>2897</v>
      </c>
      <c r="E4883">
        <v>271406</v>
      </c>
      <c r="F4883" s="11">
        <v>1</v>
      </c>
    </row>
    <row r="4884" spans="1:6" x14ac:dyDescent="0.35">
      <c r="A4884" t="s">
        <v>2856</v>
      </c>
      <c r="B4884" t="s">
        <v>2865</v>
      </c>
      <c r="C4884" t="s">
        <v>1509</v>
      </c>
      <c r="D4884" t="s">
        <v>2898</v>
      </c>
      <c r="E4884">
        <v>12165</v>
      </c>
      <c r="F4884" s="11">
        <v>1</v>
      </c>
    </row>
    <row r="4885" spans="1:6" x14ac:dyDescent="0.35">
      <c r="A4885" t="s">
        <v>2856</v>
      </c>
      <c r="B4885" t="s">
        <v>2865</v>
      </c>
      <c r="C4885" t="s">
        <v>1509</v>
      </c>
      <c r="D4885" t="s">
        <v>2899</v>
      </c>
      <c r="E4885">
        <v>9042</v>
      </c>
      <c r="F4885" s="11">
        <v>0</v>
      </c>
    </row>
    <row r="4886" spans="1:6" x14ac:dyDescent="0.35">
      <c r="A4886" t="s">
        <v>2856</v>
      </c>
      <c r="B4886" t="s">
        <v>2865</v>
      </c>
      <c r="C4886" t="s">
        <v>1509</v>
      </c>
      <c r="D4886" t="s">
        <v>2900</v>
      </c>
      <c r="E4886">
        <v>7367</v>
      </c>
      <c r="F4886" s="11">
        <v>0</v>
      </c>
    </row>
    <row r="4887" spans="1:6" x14ac:dyDescent="0.35">
      <c r="A4887" t="s">
        <v>2856</v>
      </c>
      <c r="B4887" t="s">
        <v>2865</v>
      </c>
      <c r="C4887" t="s">
        <v>1509</v>
      </c>
      <c r="D4887" t="s">
        <v>2901</v>
      </c>
      <c r="E4887">
        <v>1843</v>
      </c>
      <c r="F4887" s="11">
        <v>0</v>
      </c>
    </row>
    <row r="4888" spans="1:6" x14ac:dyDescent="0.35">
      <c r="A4888" t="s">
        <v>2856</v>
      </c>
      <c r="B4888" t="s">
        <v>2865</v>
      </c>
      <c r="C4888" t="s">
        <v>1509</v>
      </c>
      <c r="D4888" t="s">
        <v>2902</v>
      </c>
      <c r="E4888">
        <v>0</v>
      </c>
      <c r="F4888" s="11">
        <v>0</v>
      </c>
    </row>
    <row r="4889" spans="1:6" x14ac:dyDescent="0.35">
      <c r="A4889" t="s">
        <v>2856</v>
      </c>
      <c r="B4889" t="s">
        <v>2865</v>
      </c>
      <c r="C4889" t="s">
        <v>1509</v>
      </c>
      <c r="D4889" t="s">
        <v>2903</v>
      </c>
      <c r="E4889">
        <v>56026</v>
      </c>
      <c r="F4889" s="11">
        <v>1</v>
      </c>
    </row>
    <row r="4890" spans="1:6" x14ac:dyDescent="0.35">
      <c r="A4890" t="s">
        <v>2856</v>
      </c>
      <c r="B4890" t="s">
        <v>2865</v>
      </c>
      <c r="C4890" t="s">
        <v>1509</v>
      </c>
      <c r="D4890" t="s">
        <v>2904</v>
      </c>
      <c r="E4890">
        <v>51371</v>
      </c>
      <c r="F4890" s="11">
        <v>1</v>
      </c>
    </row>
    <row r="4891" spans="1:6" x14ac:dyDescent="0.35">
      <c r="A4891" t="s">
        <v>2856</v>
      </c>
      <c r="B4891" t="s">
        <v>2865</v>
      </c>
      <c r="C4891" t="s">
        <v>1509</v>
      </c>
      <c r="D4891" t="s">
        <v>2905</v>
      </c>
      <c r="E4891">
        <v>4655</v>
      </c>
      <c r="F4891" s="11">
        <v>0</v>
      </c>
    </row>
    <row r="4892" spans="1:6" x14ac:dyDescent="0.35">
      <c r="A4892" t="s">
        <v>2856</v>
      </c>
      <c r="B4892" t="s">
        <v>2865</v>
      </c>
      <c r="C4892" t="s">
        <v>1509</v>
      </c>
      <c r="D4892" t="s">
        <v>2906</v>
      </c>
      <c r="E4892">
        <v>0</v>
      </c>
      <c r="F4892" s="11">
        <v>1</v>
      </c>
    </row>
    <row r="4893" spans="1:6" x14ac:dyDescent="0.35">
      <c r="A4893" t="s">
        <v>2856</v>
      </c>
      <c r="B4893" t="s">
        <v>2865</v>
      </c>
      <c r="C4893" t="s">
        <v>1509</v>
      </c>
      <c r="D4893" t="s">
        <v>2907</v>
      </c>
      <c r="E4893">
        <v>64236</v>
      </c>
      <c r="F4893" s="11">
        <v>1</v>
      </c>
    </row>
    <row r="4894" spans="1:6" x14ac:dyDescent="0.35">
      <c r="A4894" t="s">
        <v>2856</v>
      </c>
      <c r="B4894" t="s">
        <v>2865</v>
      </c>
      <c r="C4894" t="s">
        <v>1509</v>
      </c>
      <c r="D4894" t="s">
        <v>2908</v>
      </c>
      <c r="E4894">
        <v>51384</v>
      </c>
      <c r="F4894" s="11">
        <v>1</v>
      </c>
    </row>
    <row r="4895" spans="1:6" x14ac:dyDescent="0.35">
      <c r="A4895" t="s">
        <v>2856</v>
      </c>
      <c r="B4895" t="s">
        <v>2865</v>
      </c>
      <c r="C4895" t="s">
        <v>1509</v>
      </c>
      <c r="D4895" t="s">
        <v>2909</v>
      </c>
      <c r="E4895">
        <v>8579</v>
      </c>
      <c r="F4895" s="11">
        <v>0</v>
      </c>
    </row>
    <row r="4896" spans="1:6" x14ac:dyDescent="0.35">
      <c r="A4896" t="s">
        <v>2856</v>
      </c>
      <c r="B4896" t="s">
        <v>2865</v>
      </c>
      <c r="C4896" t="s">
        <v>1509</v>
      </c>
      <c r="D4896" t="s">
        <v>2910</v>
      </c>
      <c r="E4896">
        <v>0</v>
      </c>
      <c r="F4896" s="11">
        <v>1</v>
      </c>
    </row>
    <row r="4897" spans="1:6" x14ac:dyDescent="0.35">
      <c r="A4897" t="s">
        <v>2856</v>
      </c>
      <c r="B4897" t="s">
        <v>2865</v>
      </c>
      <c r="C4897" t="s">
        <v>1509</v>
      </c>
      <c r="D4897" t="s">
        <v>2911</v>
      </c>
      <c r="E4897">
        <v>895215</v>
      </c>
      <c r="F4897" s="11">
        <v>1</v>
      </c>
    </row>
    <row r="4898" spans="1:6" x14ac:dyDescent="0.35">
      <c r="A4898" t="s">
        <v>2856</v>
      </c>
      <c r="B4898" t="s">
        <v>2865</v>
      </c>
      <c r="C4898" t="s">
        <v>1509</v>
      </c>
      <c r="D4898" t="s">
        <v>2912</v>
      </c>
      <c r="E4898">
        <v>0</v>
      </c>
      <c r="F4898" s="11">
        <v>0</v>
      </c>
    </row>
    <row r="4899" spans="1:6" x14ac:dyDescent="0.35">
      <c r="A4899" t="s">
        <v>2856</v>
      </c>
      <c r="B4899" t="s">
        <v>2865</v>
      </c>
      <c r="C4899" t="s">
        <v>1509</v>
      </c>
      <c r="D4899" t="s">
        <v>2913</v>
      </c>
      <c r="E4899">
        <v>0</v>
      </c>
      <c r="F4899" s="11">
        <v>0</v>
      </c>
    </row>
    <row r="4900" spans="1:6" x14ac:dyDescent="0.35">
      <c r="A4900" t="s">
        <v>2856</v>
      </c>
      <c r="B4900" t="s">
        <v>2865</v>
      </c>
      <c r="C4900" t="s">
        <v>1509</v>
      </c>
      <c r="D4900" t="s">
        <v>2914</v>
      </c>
      <c r="E4900">
        <v>0</v>
      </c>
      <c r="F4900" s="11">
        <v>0</v>
      </c>
    </row>
    <row r="4901" spans="1:6" x14ac:dyDescent="0.35">
      <c r="A4901" t="s">
        <v>2856</v>
      </c>
      <c r="B4901" t="s">
        <v>2865</v>
      </c>
      <c r="C4901" t="s">
        <v>1509</v>
      </c>
      <c r="D4901" t="s">
        <v>2915</v>
      </c>
      <c r="E4901">
        <v>0</v>
      </c>
      <c r="F4901" s="11">
        <v>0</v>
      </c>
    </row>
    <row r="4902" spans="1:6" x14ac:dyDescent="0.35">
      <c r="A4902" t="s">
        <v>2856</v>
      </c>
      <c r="B4902" t="s">
        <v>2865</v>
      </c>
      <c r="C4902" t="s">
        <v>1509</v>
      </c>
      <c r="D4902" t="s">
        <v>2916</v>
      </c>
      <c r="E4902">
        <v>36868</v>
      </c>
      <c r="F4902" s="11">
        <v>1</v>
      </c>
    </row>
    <row r="4903" spans="1:6" x14ac:dyDescent="0.35">
      <c r="A4903" t="s">
        <v>2856</v>
      </c>
      <c r="B4903" t="s">
        <v>2865</v>
      </c>
      <c r="C4903" t="s">
        <v>1509</v>
      </c>
      <c r="D4903" t="s">
        <v>2917</v>
      </c>
      <c r="E4903">
        <v>0</v>
      </c>
      <c r="F4903" s="11">
        <v>0</v>
      </c>
    </row>
    <row r="4904" spans="1:6" x14ac:dyDescent="0.35">
      <c r="A4904" t="s">
        <v>2857</v>
      </c>
      <c r="B4904" t="s">
        <v>2866</v>
      </c>
      <c r="C4904" t="s">
        <v>1516</v>
      </c>
      <c r="D4904" t="s">
        <v>2875</v>
      </c>
      <c r="E4904">
        <v>28753</v>
      </c>
      <c r="F4904" s="11">
        <v>1</v>
      </c>
    </row>
    <row r="4905" spans="1:6" x14ac:dyDescent="0.35">
      <c r="A4905" t="s">
        <v>2857</v>
      </c>
      <c r="B4905" t="s">
        <v>2866</v>
      </c>
      <c r="C4905" t="s">
        <v>1516</v>
      </c>
      <c r="D4905" t="s">
        <v>2876</v>
      </c>
      <c r="E4905">
        <v>0</v>
      </c>
      <c r="F4905" s="11">
        <v>0</v>
      </c>
    </row>
    <row r="4906" spans="1:6" x14ac:dyDescent="0.35">
      <c r="A4906" t="s">
        <v>2857</v>
      </c>
      <c r="B4906" t="s">
        <v>2866</v>
      </c>
      <c r="C4906" t="s">
        <v>1516</v>
      </c>
      <c r="D4906" t="s">
        <v>2877</v>
      </c>
      <c r="E4906">
        <v>0</v>
      </c>
      <c r="F4906" s="11">
        <v>0</v>
      </c>
    </row>
    <row r="4907" spans="1:6" x14ac:dyDescent="0.35">
      <c r="A4907" t="s">
        <v>2857</v>
      </c>
      <c r="B4907" t="s">
        <v>2866</v>
      </c>
      <c r="C4907" t="s">
        <v>1516</v>
      </c>
      <c r="D4907" t="s">
        <v>2878</v>
      </c>
      <c r="E4907">
        <v>0</v>
      </c>
      <c r="F4907" s="11">
        <v>0</v>
      </c>
    </row>
    <row r="4908" spans="1:6" x14ac:dyDescent="0.35">
      <c r="A4908" t="s">
        <v>2857</v>
      </c>
      <c r="B4908" t="s">
        <v>2866</v>
      </c>
      <c r="C4908" t="s">
        <v>1516</v>
      </c>
      <c r="D4908" t="s">
        <v>2879</v>
      </c>
      <c r="E4908">
        <v>2174</v>
      </c>
      <c r="F4908" s="11">
        <v>1</v>
      </c>
    </row>
    <row r="4909" spans="1:6" x14ac:dyDescent="0.35">
      <c r="A4909" t="s">
        <v>2857</v>
      </c>
      <c r="B4909" t="s">
        <v>2866</v>
      </c>
      <c r="C4909" t="s">
        <v>1516</v>
      </c>
      <c r="D4909" t="s">
        <v>2880</v>
      </c>
      <c r="E4909">
        <v>1252</v>
      </c>
      <c r="F4909" s="11">
        <v>1</v>
      </c>
    </row>
    <row r="4910" spans="1:6" x14ac:dyDescent="0.35">
      <c r="A4910" t="s">
        <v>2857</v>
      </c>
      <c r="B4910" t="s">
        <v>2866</v>
      </c>
      <c r="C4910" t="s">
        <v>1516</v>
      </c>
      <c r="D4910" t="s">
        <v>2881</v>
      </c>
      <c r="E4910">
        <v>3</v>
      </c>
      <c r="F4910" s="11">
        <v>1</v>
      </c>
    </row>
    <row r="4911" spans="1:6" x14ac:dyDescent="0.35">
      <c r="A4911" t="s">
        <v>2857</v>
      </c>
      <c r="B4911" t="s">
        <v>2866</v>
      </c>
      <c r="C4911" t="s">
        <v>1516</v>
      </c>
      <c r="D4911" t="s">
        <v>2882</v>
      </c>
      <c r="E4911">
        <v>899</v>
      </c>
      <c r="F4911" s="11">
        <v>1</v>
      </c>
    </row>
    <row r="4912" spans="1:6" x14ac:dyDescent="0.35">
      <c r="A4912" t="s">
        <v>2857</v>
      </c>
      <c r="B4912" t="s">
        <v>2866</v>
      </c>
      <c r="C4912" t="s">
        <v>1516</v>
      </c>
      <c r="D4912" t="s">
        <v>2883</v>
      </c>
      <c r="E4912">
        <v>12</v>
      </c>
      <c r="F4912" s="11">
        <v>1</v>
      </c>
    </row>
    <row r="4913" spans="1:6" x14ac:dyDescent="0.35">
      <c r="A4913" t="s">
        <v>2857</v>
      </c>
      <c r="B4913" t="s">
        <v>2866</v>
      </c>
      <c r="C4913" t="s">
        <v>1516</v>
      </c>
      <c r="D4913" t="s">
        <v>2884</v>
      </c>
      <c r="E4913">
        <v>0</v>
      </c>
      <c r="F4913" s="11">
        <v>1</v>
      </c>
    </row>
    <row r="4914" spans="1:6" x14ac:dyDescent="0.35">
      <c r="A4914" t="s">
        <v>2857</v>
      </c>
      <c r="B4914" t="s">
        <v>2866</v>
      </c>
      <c r="C4914" t="s">
        <v>1516</v>
      </c>
      <c r="D4914" t="s">
        <v>2885</v>
      </c>
      <c r="E4914">
        <v>0</v>
      </c>
      <c r="F4914" s="11">
        <v>1</v>
      </c>
    </row>
    <row r="4915" spans="1:6" x14ac:dyDescent="0.35">
      <c r="A4915" t="s">
        <v>2857</v>
      </c>
      <c r="B4915" t="s">
        <v>2866</v>
      </c>
      <c r="C4915" t="s">
        <v>1516</v>
      </c>
      <c r="D4915" t="s">
        <v>2886</v>
      </c>
      <c r="E4915">
        <v>12</v>
      </c>
      <c r="F4915" s="11">
        <v>0</v>
      </c>
    </row>
    <row r="4916" spans="1:6" x14ac:dyDescent="0.35">
      <c r="A4916" t="s">
        <v>2857</v>
      </c>
      <c r="B4916" t="s">
        <v>2866</v>
      </c>
      <c r="C4916" t="s">
        <v>1516</v>
      </c>
      <c r="D4916" t="s">
        <v>2887</v>
      </c>
      <c r="E4916">
        <v>39182</v>
      </c>
      <c r="F4916" s="11">
        <v>1</v>
      </c>
    </row>
    <row r="4917" spans="1:6" x14ac:dyDescent="0.35">
      <c r="A4917" t="s">
        <v>2857</v>
      </c>
      <c r="B4917" t="s">
        <v>2866</v>
      </c>
      <c r="C4917" t="s">
        <v>1516</v>
      </c>
      <c r="D4917" t="s">
        <v>2888</v>
      </c>
      <c r="E4917">
        <v>17955</v>
      </c>
      <c r="F4917" s="11">
        <v>1</v>
      </c>
    </row>
    <row r="4918" spans="1:6" x14ac:dyDescent="0.35">
      <c r="A4918" t="s">
        <v>2857</v>
      </c>
      <c r="B4918" t="s">
        <v>2866</v>
      </c>
      <c r="C4918" t="s">
        <v>1516</v>
      </c>
      <c r="D4918" t="s">
        <v>2889</v>
      </c>
      <c r="E4918">
        <v>72</v>
      </c>
      <c r="F4918" s="11">
        <v>1</v>
      </c>
    </row>
    <row r="4919" spans="1:6" x14ac:dyDescent="0.35">
      <c r="A4919" t="s">
        <v>2857</v>
      </c>
      <c r="B4919" t="s">
        <v>2866</v>
      </c>
      <c r="C4919" t="s">
        <v>1516</v>
      </c>
      <c r="D4919" t="s">
        <v>2890</v>
      </c>
      <c r="E4919">
        <v>21239</v>
      </c>
      <c r="F4919" s="11">
        <v>0</v>
      </c>
    </row>
    <row r="4920" spans="1:6" x14ac:dyDescent="0.35">
      <c r="A4920" t="s">
        <v>2857</v>
      </c>
      <c r="B4920" t="s">
        <v>2866</v>
      </c>
      <c r="C4920" t="s">
        <v>1516</v>
      </c>
      <c r="D4920" t="s">
        <v>2891</v>
      </c>
      <c r="E4920">
        <v>100</v>
      </c>
      <c r="F4920" s="11">
        <v>1</v>
      </c>
    </row>
    <row r="4921" spans="1:6" x14ac:dyDescent="0.35">
      <c r="A4921" t="s">
        <v>2857</v>
      </c>
      <c r="B4921" t="s">
        <v>2866</v>
      </c>
      <c r="C4921" t="s">
        <v>1516</v>
      </c>
      <c r="D4921" t="s">
        <v>2892</v>
      </c>
      <c r="E4921">
        <v>0</v>
      </c>
      <c r="F4921" s="11">
        <v>1</v>
      </c>
    </row>
    <row r="4922" spans="1:6" x14ac:dyDescent="0.35">
      <c r="A4922" t="s">
        <v>2857</v>
      </c>
      <c r="B4922" t="s">
        <v>2866</v>
      </c>
      <c r="C4922" t="s">
        <v>1516</v>
      </c>
      <c r="D4922" t="s">
        <v>2893</v>
      </c>
      <c r="E4922">
        <v>0</v>
      </c>
      <c r="F4922" s="11">
        <v>1</v>
      </c>
    </row>
    <row r="4923" spans="1:6" x14ac:dyDescent="0.35">
      <c r="A4923" t="s">
        <v>2857</v>
      </c>
      <c r="B4923" t="s">
        <v>2866</v>
      </c>
      <c r="C4923" t="s">
        <v>1516</v>
      </c>
      <c r="D4923" t="s">
        <v>2894</v>
      </c>
      <c r="E4923">
        <v>100</v>
      </c>
      <c r="F4923" s="11">
        <v>0</v>
      </c>
    </row>
    <row r="4924" spans="1:6" x14ac:dyDescent="0.35">
      <c r="A4924" t="s">
        <v>2857</v>
      </c>
      <c r="B4924" t="s">
        <v>2866</v>
      </c>
      <c r="C4924" t="s">
        <v>1516</v>
      </c>
      <c r="D4924" t="s">
        <v>2895</v>
      </c>
      <c r="E4924">
        <v>1025753</v>
      </c>
      <c r="F4924" s="11">
        <v>1</v>
      </c>
    </row>
    <row r="4925" spans="1:6" x14ac:dyDescent="0.35">
      <c r="A4925" t="s">
        <v>2857</v>
      </c>
      <c r="B4925" t="s">
        <v>2866</v>
      </c>
      <c r="C4925" t="s">
        <v>1516</v>
      </c>
      <c r="D4925" t="s">
        <v>2896</v>
      </c>
      <c r="E4925">
        <v>630107</v>
      </c>
      <c r="F4925" s="11">
        <v>1</v>
      </c>
    </row>
    <row r="4926" spans="1:6" x14ac:dyDescent="0.35">
      <c r="A4926" t="s">
        <v>2857</v>
      </c>
      <c r="B4926" t="s">
        <v>2866</v>
      </c>
      <c r="C4926" t="s">
        <v>1516</v>
      </c>
      <c r="D4926" t="s">
        <v>2897</v>
      </c>
      <c r="E4926">
        <v>50064</v>
      </c>
      <c r="F4926" s="11">
        <v>1</v>
      </c>
    </row>
    <row r="4927" spans="1:6" x14ac:dyDescent="0.35">
      <c r="A4927" t="s">
        <v>2857</v>
      </c>
      <c r="B4927" t="s">
        <v>2866</v>
      </c>
      <c r="C4927" t="s">
        <v>1516</v>
      </c>
      <c r="D4927" t="s">
        <v>2898</v>
      </c>
      <c r="E4927">
        <v>345582</v>
      </c>
      <c r="F4927" s="11">
        <v>1</v>
      </c>
    </row>
    <row r="4928" spans="1:6" x14ac:dyDescent="0.35">
      <c r="A4928" t="s">
        <v>2857</v>
      </c>
      <c r="B4928" t="s">
        <v>2866</v>
      </c>
      <c r="C4928" t="s">
        <v>1516</v>
      </c>
      <c r="D4928" t="s">
        <v>2899</v>
      </c>
      <c r="E4928">
        <v>4836</v>
      </c>
      <c r="F4928" s="11">
        <v>1</v>
      </c>
    </row>
    <row r="4929" spans="1:6" x14ac:dyDescent="0.35">
      <c r="A4929" t="s">
        <v>2857</v>
      </c>
      <c r="B4929" t="s">
        <v>2866</v>
      </c>
      <c r="C4929" t="s">
        <v>1516</v>
      </c>
      <c r="D4929" t="s">
        <v>2900</v>
      </c>
      <c r="E4929">
        <v>95</v>
      </c>
      <c r="F4929" s="11">
        <v>1</v>
      </c>
    </row>
    <row r="4930" spans="1:6" x14ac:dyDescent="0.35">
      <c r="A4930" t="s">
        <v>2857</v>
      </c>
      <c r="B4930" t="s">
        <v>2866</v>
      </c>
      <c r="C4930" t="s">
        <v>1516</v>
      </c>
      <c r="D4930" t="s">
        <v>2901</v>
      </c>
      <c r="E4930">
        <v>0</v>
      </c>
      <c r="F4930" s="11">
        <v>1</v>
      </c>
    </row>
    <row r="4931" spans="1:6" x14ac:dyDescent="0.35">
      <c r="A4931" t="s">
        <v>2857</v>
      </c>
      <c r="B4931" t="s">
        <v>2866</v>
      </c>
      <c r="C4931" t="s">
        <v>1516</v>
      </c>
      <c r="D4931" t="s">
        <v>2902</v>
      </c>
      <c r="E4931">
        <v>4741</v>
      </c>
      <c r="F4931" s="11">
        <v>0</v>
      </c>
    </row>
    <row r="4932" spans="1:6" x14ac:dyDescent="0.35">
      <c r="A4932" t="s">
        <v>2857</v>
      </c>
      <c r="B4932" t="s">
        <v>2866</v>
      </c>
      <c r="C4932" t="s">
        <v>1516</v>
      </c>
      <c r="D4932" t="s">
        <v>2903</v>
      </c>
      <c r="E4932">
        <v>74034</v>
      </c>
      <c r="F4932" s="11">
        <v>1</v>
      </c>
    </row>
    <row r="4933" spans="1:6" x14ac:dyDescent="0.35">
      <c r="A4933" t="s">
        <v>2857</v>
      </c>
      <c r="B4933" t="s">
        <v>2866</v>
      </c>
      <c r="C4933" t="s">
        <v>1516</v>
      </c>
      <c r="D4933" t="s">
        <v>2904</v>
      </c>
      <c r="E4933">
        <v>0</v>
      </c>
      <c r="F4933" s="11">
        <v>0</v>
      </c>
    </row>
    <row r="4934" spans="1:6" x14ac:dyDescent="0.35">
      <c r="A4934" t="s">
        <v>2857</v>
      </c>
      <c r="B4934" t="s">
        <v>2866</v>
      </c>
      <c r="C4934" t="s">
        <v>1516</v>
      </c>
      <c r="D4934" t="s">
        <v>2905</v>
      </c>
      <c r="E4934">
        <v>0</v>
      </c>
      <c r="F4934" s="11">
        <v>0</v>
      </c>
    </row>
    <row r="4935" spans="1:6" x14ac:dyDescent="0.35">
      <c r="A4935" t="s">
        <v>2857</v>
      </c>
      <c r="B4935" t="s">
        <v>2866</v>
      </c>
      <c r="C4935" t="s">
        <v>1516</v>
      </c>
      <c r="D4935" t="s">
        <v>2906</v>
      </c>
      <c r="E4935">
        <v>0</v>
      </c>
      <c r="F4935" s="11">
        <v>0</v>
      </c>
    </row>
    <row r="4936" spans="1:6" x14ac:dyDescent="0.35">
      <c r="A4936" t="s">
        <v>2857</v>
      </c>
      <c r="B4936" t="s">
        <v>2866</v>
      </c>
      <c r="C4936" t="s">
        <v>1516</v>
      </c>
      <c r="D4936" t="s">
        <v>2907</v>
      </c>
      <c r="E4936">
        <v>69009</v>
      </c>
      <c r="F4936" s="11">
        <v>1</v>
      </c>
    </row>
    <row r="4937" spans="1:6" x14ac:dyDescent="0.35">
      <c r="A4937" t="s">
        <v>2857</v>
      </c>
      <c r="B4937" t="s">
        <v>2866</v>
      </c>
      <c r="C4937" t="s">
        <v>1516</v>
      </c>
      <c r="D4937" t="s">
        <v>2908</v>
      </c>
      <c r="E4937">
        <v>0</v>
      </c>
      <c r="F4937" s="11">
        <v>0</v>
      </c>
    </row>
    <row r="4938" spans="1:6" x14ac:dyDescent="0.35">
      <c r="A4938" t="s">
        <v>2857</v>
      </c>
      <c r="B4938" t="s">
        <v>2866</v>
      </c>
      <c r="C4938" t="s">
        <v>1516</v>
      </c>
      <c r="D4938" t="s">
        <v>2909</v>
      </c>
      <c r="E4938">
        <v>0</v>
      </c>
      <c r="F4938" s="11">
        <v>0</v>
      </c>
    </row>
    <row r="4939" spans="1:6" x14ac:dyDescent="0.35">
      <c r="A4939" t="s">
        <v>2857</v>
      </c>
      <c r="B4939" t="s">
        <v>2866</v>
      </c>
      <c r="C4939" t="s">
        <v>1516</v>
      </c>
      <c r="D4939" t="s">
        <v>2910</v>
      </c>
      <c r="E4939">
        <v>0</v>
      </c>
      <c r="F4939" s="11">
        <v>0</v>
      </c>
    </row>
    <row r="4940" spans="1:6" x14ac:dyDescent="0.35">
      <c r="A4940" t="s">
        <v>2857</v>
      </c>
      <c r="B4940" t="s">
        <v>2866</v>
      </c>
      <c r="C4940" t="s">
        <v>1516</v>
      </c>
      <c r="D4940" t="s">
        <v>2911</v>
      </c>
      <c r="E4940">
        <v>186802</v>
      </c>
      <c r="F4940" s="11">
        <v>1</v>
      </c>
    </row>
    <row r="4941" spans="1:6" x14ac:dyDescent="0.35">
      <c r="A4941" t="s">
        <v>2857</v>
      </c>
      <c r="B4941" t="s">
        <v>2866</v>
      </c>
      <c r="C4941" t="s">
        <v>1516</v>
      </c>
      <c r="D4941" t="s">
        <v>2912</v>
      </c>
      <c r="E4941">
        <v>748681</v>
      </c>
      <c r="F4941" s="11">
        <v>1</v>
      </c>
    </row>
    <row r="4942" spans="1:6" x14ac:dyDescent="0.35">
      <c r="A4942" t="s">
        <v>2857</v>
      </c>
      <c r="B4942" t="s">
        <v>2866</v>
      </c>
      <c r="C4942" t="s">
        <v>1516</v>
      </c>
      <c r="D4942" t="s">
        <v>2913</v>
      </c>
      <c r="E4942">
        <v>100636</v>
      </c>
      <c r="F4942" s="11">
        <v>1</v>
      </c>
    </row>
    <row r="4943" spans="1:6" x14ac:dyDescent="0.35">
      <c r="A4943" t="s">
        <v>2857</v>
      </c>
      <c r="B4943" t="s">
        <v>2866</v>
      </c>
      <c r="C4943" t="s">
        <v>1516</v>
      </c>
      <c r="D4943" t="s">
        <v>2914</v>
      </c>
      <c r="E4943">
        <v>2601</v>
      </c>
      <c r="F4943" s="11">
        <v>1</v>
      </c>
    </row>
    <row r="4944" spans="1:6" x14ac:dyDescent="0.35">
      <c r="A4944" t="s">
        <v>2857</v>
      </c>
      <c r="B4944" t="s">
        <v>2866</v>
      </c>
      <c r="C4944" t="s">
        <v>1516</v>
      </c>
      <c r="D4944" t="s">
        <v>2915</v>
      </c>
      <c r="E4944">
        <v>3101</v>
      </c>
      <c r="F4944" s="11">
        <v>1</v>
      </c>
    </row>
    <row r="4945" spans="1:6" x14ac:dyDescent="0.35">
      <c r="A4945" t="s">
        <v>2857</v>
      </c>
      <c r="B4945" t="s">
        <v>2866</v>
      </c>
      <c r="C4945" t="s">
        <v>1516</v>
      </c>
      <c r="D4945" t="s">
        <v>2916</v>
      </c>
      <c r="E4945">
        <v>79853</v>
      </c>
      <c r="F4945" s="11">
        <v>1</v>
      </c>
    </row>
    <row r="4946" spans="1:6" x14ac:dyDescent="0.35">
      <c r="A4946" t="s">
        <v>2857</v>
      </c>
      <c r="B4946" t="s">
        <v>2866</v>
      </c>
      <c r="C4946" t="s">
        <v>1516</v>
      </c>
      <c r="D4946" t="s">
        <v>2917</v>
      </c>
      <c r="E4946">
        <v>173822</v>
      </c>
      <c r="F4946" s="11">
        <v>1</v>
      </c>
    </row>
    <row r="4947" spans="1:6" x14ac:dyDescent="0.35">
      <c r="A4947" t="s">
        <v>2857</v>
      </c>
      <c r="B4947" t="s">
        <v>2865</v>
      </c>
      <c r="C4947" t="s">
        <v>1427</v>
      </c>
      <c r="D4947" t="s">
        <v>2875</v>
      </c>
      <c r="E4947">
        <v>12965</v>
      </c>
      <c r="F4947" s="11">
        <v>1</v>
      </c>
    </row>
    <row r="4948" spans="1:6" x14ac:dyDescent="0.35">
      <c r="A4948" t="s">
        <v>2857</v>
      </c>
      <c r="B4948" t="s">
        <v>2865</v>
      </c>
      <c r="C4948" t="s">
        <v>1427</v>
      </c>
      <c r="D4948" t="s">
        <v>2876</v>
      </c>
      <c r="E4948">
        <v>0</v>
      </c>
      <c r="F4948" s="11">
        <v>0</v>
      </c>
    </row>
    <row r="4949" spans="1:6" x14ac:dyDescent="0.35">
      <c r="A4949" t="s">
        <v>2857</v>
      </c>
      <c r="B4949" t="s">
        <v>2865</v>
      </c>
      <c r="C4949" t="s">
        <v>1427</v>
      </c>
      <c r="D4949" t="s">
        <v>2877</v>
      </c>
      <c r="E4949">
        <v>0</v>
      </c>
      <c r="F4949" s="11">
        <v>0</v>
      </c>
    </row>
    <row r="4950" spans="1:6" x14ac:dyDescent="0.35">
      <c r="A4950" t="s">
        <v>2857</v>
      </c>
      <c r="B4950" t="s">
        <v>2865</v>
      </c>
      <c r="C4950" t="s">
        <v>1427</v>
      </c>
      <c r="D4950" t="s">
        <v>2878</v>
      </c>
      <c r="E4950">
        <v>0</v>
      </c>
      <c r="F4950" s="11">
        <v>0</v>
      </c>
    </row>
    <row r="4951" spans="1:6" x14ac:dyDescent="0.35">
      <c r="A4951" t="s">
        <v>2857</v>
      </c>
      <c r="B4951" t="s">
        <v>2865</v>
      </c>
      <c r="C4951" t="s">
        <v>1427</v>
      </c>
      <c r="D4951" t="s">
        <v>2879</v>
      </c>
      <c r="E4951">
        <v>4964</v>
      </c>
      <c r="F4951" s="11">
        <v>1</v>
      </c>
    </row>
    <row r="4952" spans="1:6" x14ac:dyDescent="0.35">
      <c r="A4952" t="s">
        <v>2857</v>
      </c>
      <c r="B4952" t="s">
        <v>2865</v>
      </c>
      <c r="C4952" t="s">
        <v>1427</v>
      </c>
      <c r="D4952" t="s">
        <v>2880</v>
      </c>
      <c r="E4952">
        <v>2330</v>
      </c>
      <c r="F4952" s="11">
        <v>1</v>
      </c>
    </row>
    <row r="4953" spans="1:6" x14ac:dyDescent="0.35">
      <c r="A4953" t="s">
        <v>2857</v>
      </c>
      <c r="B4953" t="s">
        <v>2865</v>
      </c>
      <c r="C4953" t="s">
        <v>1427</v>
      </c>
      <c r="D4953" t="s">
        <v>2881</v>
      </c>
      <c r="E4953">
        <v>11</v>
      </c>
      <c r="F4953" s="11">
        <v>1</v>
      </c>
    </row>
    <row r="4954" spans="1:6" x14ac:dyDescent="0.35">
      <c r="A4954" t="s">
        <v>2857</v>
      </c>
      <c r="B4954" t="s">
        <v>2865</v>
      </c>
      <c r="C4954" t="s">
        <v>1427</v>
      </c>
      <c r="D4954" t="s">
        <v>2882</v>
      </c>
      <c r="E4954">
        <v>2583</v>
      </c>
      <c r="F4954" s="11">
        <v>1</v>
      </c>
    </row>
    <row r="4955" spans="1:6" x14ac:dyDescent="0.35">
      <c r="A4955" t="s">
        <v>2857</v>
      </c>
      <c r="B4955" t="s">
        <v>2865</v>
      </c>
      <c r="C4955" t="s">
        <v>1427</v>
      </c>
      <c r="D4955" t="s">
        <v>2883</v>
      </c>
      <c r="E4955">
        <v>0</v>
      </c>
      <c r="F4955" s="11">
        <v>0</v>
      </c>
    </row>
    <row r="4956" spans="1:6" x14ac:dyDescent="0.35">
      <c r="A4956" t="s">
        <v>2857</v>
      </c>
      <c r="B4956" t="s">
        <v>2865</v>
      </c>
      <c r="C4956" t="s">
        <v>1427</v>
      </c>
      <c r="D4956" t="s">
        <v>2884</v>
      </c>
      <c r="E4956">
        <v>0</v>
      </c>
      <c r="F4956" s="11">
        <v>0</v>
      </c>
    </row>
    <row r="4957" spans="1:6" x14ac:dyDescent="0.35">
      <c r="A4957" t="s">
        <v>2857</v>
      </c>
      <c r="B4957" t="s">
        <v>2865</v>
      </c>
      <c r="C4957" t="s">
        <v>1427</v>
      </c>
      <c r="D4957" t="s">
        <v>2885</v>
      </c>
      <c r="E4957">
        <v>0</v>
      </c>
      <c r="F4957" s="11">
        <v>0</v>
      </c>
    </row>
    <row r="4958" spans="1:6" x14ac:dyDescent="0.35">
      <c r="A4958" t="s">
        <v>2857</v>
      </c>
      <c r="B4958" t="s">
        <v>2865</v>
      </c>
      <c r="C4958" t="s">
        <v>1427</v>
      </c>
      <c r="D4958" t="s">
        <v>2886</v>
      </c>
      <c r="E4958">
        <v>0</v>
      </c>
      <c r="F4958" s="11">
        <v>0</v>
      </c>
    </row>
    <row r="4959" spans="1:6" x14ac:dyDescent="0.35">
      <c r="A4959" t="s">
        <v>2857</v>
      </c>
      <c r="B4959" t="s">
        <v>2865</v>
      </c>
      <c r="C4959" t="s">
        <v>1427</v>
      </c>
      <c r="D4959" t="s">
        <v>2887</v>
      </c>
      <c r="E4959">
        <v>72664</v>
      </c>
      <c r="F4959" s="11">
        <v>1</v>
      </c>
    </row>
    <row r="4960" spans="1:6" x14ac:dyDescent="0.35">
      <c r="A4960" t="s">
        <v>2857</v>
      </c>
      <c r="B4960" t="s">
        <v>2865</v>
      </c>
      <c r="C4960" t="s">
        <v>1427</v>
      </c>
      <c r="D4960" t="s">
        <v>2888</v>
      </c>
      <c r="E4960">
        <v>21484</v>
      </c>
      <c r="F4960" s="11">
        <v>1</v>
      </c>
    </row>
    <row r="4961" spans="1:6" x14ac:dyDescent="0.35">
      <c r="A4961" t="s">
        <v>2857</v>
      </c>
      <c r="B4961" t="s">
        <v>2865</v>
      </c>
      <c r="C4961" t="s">
        <v>1427</v>
      </c>
      <c r="D4961" t="s">
        <v>2889</v>
      </c>
      <c r="E4961">
        <v>296</v>
      </c>
      <c r="F4961" s="11">
        <v>1</v>
      </c>
    </row>
    <row r="4962" spans="1:6" x14ac:dyDescent="0.35">
      <c r="A4962" t="s">
        <v>2857</v>
      </c>
      <c r="B4962" t="s">
        <v>2865</v>
      </c>
      <c r="C4962" t="s">
        <v>1427</v>
      </c>
      <c r="D4962" t="s">
        <v>2890</v>
      </c>
      <c r="E4962">
        <v>51219</v>
      </c>
      <c r="F4962" s="11">
        <v>1</v>
      </c>
    </row>
    <row r="4963" spans="1:6" x14ac:dyDescent="0.35">
      <c r="A4963" t="s">
        <v>2857</v>
      </c>
      <c r="B4963" t="s">
        <v>2865</v>
      </c>
      <c r="C4963" t="s">
        <v>1427</v>
      </c>
      <c r="D4963" t="s">
        <v>2891</v>
      </c>
      <c r="E4963">
        <v>0</v>
      </c>
      <c r="F4963" s="11">
        <v>0</v>
      </c>
    </row>
    <row r="4964" spans="1:6" x14ac:dyDescent="0.35">
      <c r="A4964" t="s">
        <v>2857</v>
      </c>
      <c r="B4964" t="s">
        <v>2865</v>
      </c>
      <c r="C4964" t="s">
        <v>1427</v>
      </c>
      <c r="D4964" t="s">
        <v>2892</v>
      </c>
      <c r="E4964">
        <v>0</v>
      </c>
      <c r="F4964" s="11">
        <v>0</v>
      </c>
    </row>
    <row r="4965" spans="1:6" x14ac:dyDescent="0.35">
      <c r="A4965" t="s">
        <v>2857</v>
      </c>
      <c r="B4965" t="s">
        <v>2865</v>
      </c>
      <c r="C4965" t="s">
        <v>1427</v>
      </c>
      <c r="D4965" t="s">
        <v>2893</v>
      </c>
      <c r="E4965">
        <v>0</v>
      </c>
      <c r="F4965" s="11">
        <v>0</v>
      </c>
    </row>
    <row r="4966" spans="1:6" x14ac:dyDescent="0.35">
      <c r="A4966" t="s">
        <v>2857</v>
      </c>
      <c r="B4966" t="s">
        <v>2865</v>
      </c>
      <c r="C4966" t="s">
        <v>1427</v>
      </c>
      <c r="D4966" t="s">
        <v>2894</v>
      </c>
      <c r="E4966">
        <v>0</v>
      </c>
      <c r="F4966" s="11">
        <v>0</v>
      </c>
    </row>
    <row r="4967" spans="1:6" x14ac:dyDescent="0.35">
      <c r="A4967" t="s">
        <v>2857</v>
      </c>
      <c r="B4967" t="s">
        <v>2865</v>
      </c>
      <c r="C4967" t="s">
        <v>1427</v>
      </c>
      <c r="D4967" t="s">
        <v>2895</v>
      </c>
      <c r="E4967">
        <v>318968</v>
      </c>
      <c r="F4967" s="11">
        <v>1</v>
      </c>
    </row>
    <row r="4968" spans="1:6" x14ac:dyDescent="0.35">
      <c r="A4968" t="s">
        <v>2857</v>
      </c>
      <c r="B4968" t="s">
        <v>2865</v>
      </c>
      <c r="C4968" t="s">
        <v>1427</v>
      </c>
      <c r="D4968" t="s">
        <v>2896</v>
      </c>
      <c r="E4968">
        <v>104171</v>
      </c>
      <c r="F4968" s="11">
        <v>1</v>
      </c>
    </row>
    <row r="4969" spans="1:6" x14ac:dyDescent="0.35">
      <c r="A4969" t="s">
        <v>2857</v>
      </c>
      <c r="B4969" t="s">
        <v>2865</v>
      </c>
      <c r="C4969" t="s">
        <v>1427</v>
      </c>
      <c r="D4969" t="s">
        <v>2897</v>
      </c>
      <c r="E4969">
        <v>17149</v>
      </c>
      <c r="F4969" s="11">
        <v>1</v>
      </c>
    </row>
    <row r="4970" spans="1:6" x14ac:dyDescent="0.35">
      <c r="A4970" t="s">
        <v>2857</v>
      </c>
      <c r="B4970" t="s">
        <v>2865</v>
      </c>
      <c r="C4970" t="s">
        <v>1427</v>
      </c>
      <c r="D4970" t="s">
        <v>2898</v>
      </c>
      <c r="E4970">
        <v>194869</v>
      </c>
      <c r="F4970" s="11">
        <v>1</v>
      </c>
    </row>
    <row r="4971" spans="1:6" x14ac:dyDescent="0.35">
      <c r="A4971" t="s">
        <v>2857</v>
      </c>
      <c r="B4971" t="s">
        <v>2865</v>
      </c>
      <c r="C4971" t="s">
        <v>1427</v>
      </c>
      <c r="D4971" t="s">
        <v>2899</v>
      </c>
      <c r="E4971">
        <v>2959</v>
      </c>
      <c r="F4971" s="11">
        <v>1</v>
      </c>
    </row>
    <row r="4972" spans="1:6" x14ac:dyDescent="0.35">
      <c r="A4972" t="s">
        <v>2857</v>
      </c>
      <c r="B4972" t="s">
        <v>2865</v>
      </c>
      <c r="C4972" t="s">
        <v>1427</v>
      </c>
      <c r="D4972" t="s">
        <v>2900</v>
      </c>
      <c r="E4972">
        <v>4</v>
      </c>
      <c r="F4972" s="11">
        <v>1</v>
      </c>
    </row>
    <row r="4973" spans="1:6" x14ac:dyDescent="0.35">
      <c r="A4973" t="s">
        <v>2857</v>
      </c>
      <c r="B4973" t="s">
        <v>2865</v>
      </c>
      <c r="C4973" t="s">
        <v>1427</v>
      </c>
      <c r="D4973" t="s">
        <v>2901</v>
      </c>
      <c r="E4973">
        <v>0</v>
      </c>
      <c r="F4973" s="11">
        <v>1</v>
      </c>
    </row>
    <row r="4974" spans="1:6" x14ac:dyDescent="0.35">
      <c r="A4974" t="s">
        <v>2857</v>
      </c>
      <c r="B4974" t="s">
        <v>2865</v>
      </c>
      <c r="C4974" t="s">
        <v>1427</v>
      </c>
      <c r="D4974" t="s">
        <v>2902</v>
      </c>
      <c r="E4974">
        <v>2955</v>
      </c>
      <c r="F4974" s="11">
        <v>0</v>
      </c>
    </row>
    <row r="4975" spans="1:6" x14ac:dyDescent="0.35">
      <c r="A4975" t="s">
        <v>2857</v>
      </c>
      <c r="B4975" t="s">
        <v>2865</v>
      </c>
      <c r="C4975" t="s">
        <v>1427</v>
      </c>
      <c r="D4975" t="s">
        <v>2903</v>
      </c>
      <c r="E4975">
        <v>18972</v>
      </c>
      <c r="F4975" s="11">
        <v>1</v>
      </c>
    </row>
    <row r="4976" spans="1:6" x14ac:dyDescent="0.35">
      <c r="A4976" t="s">
        <v>2857</v>
      </c>
      <c r="B4976" t="s">
        <v>2865</v>
      </c>
      <c r="C4976" t="s">
        <v>1427</v>
      </c>
      <c r="D4976" t="s">
        <v>2904</v>
      </c>
      <c r="E4976">
        <v>1209</v>
      </c>
      <c r="F4976" s="11">
        <v>1</v>
      </c>
    </row>
    <row r="4977" spans="1:6" x14ac:dyDescent="0.35">
      <c r="A4977" t="s">
        <v>2857</v>
      </c>
      <c r="B4977" t="s">
        <v>2865</v>
      </c>
      <c r="C4977" t="s">
        <v>1427</v>
      </c>
      <c r="D4977" t="s">
        <v>2905</v>
      </c>
      <c r="E4977">
        <v>1374</v>
      </c>
      <c r="F4977" s="11">
        <v>1</v>
      </c>
    </row>
    <row r="4978" spans="1:6" x14ac:dyDescent="0.35">
      <c r="A4978" t="s">
        <v>2857</v>
      </c>
      <c r="B4978" t="s">
        <v>2865</v>
      </c>
      <c r="C4978" t="s">
        <v>1427</v>
      </c>
      <c r="D4978" t="s">
        <v>2906</v>
      </c>
      <c r="E4978">
        <v>16389</v>
      </c>
      <c r="F4978" s="11">
        <v>1</v>
      </c>
    </row>
    <row r="4979" spans="1:6" x14ac:dyDescent="0.35">
      <c r="A4979" t="s">
        <v>2857</v>
      </c>
      <c r="B4979" t="s">
        <v>2865</v>
      </c>
      <c r="C4979" t="s">
        <v>1427</v>
      </c>
      <c r="D4979" t="s">
        <v>2907</v>
      </c>
      <c r="E4979">
        <v>14400</v>
      </c>
      <c r="F4979" s="11">
        <v>1</v>
      </c>
    </row>
    <row r="4980" spans="1:6" x14ac:dyDescent="0.35">
      <c r="A4980" t="s">
        <v>2857</v>
      </c>
      <c r="B4980" t="s">
        <v>2865</v>
      </c>
      <c r="C4980" t="s">
        <v>1427</v>
      </c>
      <c r="D4980" t="s">
        <v>2908</v>
      </c>
      <c r="E4980">
        <v>1352</v>
      </c>
      <c r="F4980" s="11">
        <v>1</v>
      </c>
    </row>
    <row r="4981" spans="1:6" x14ac:dyDescent="0.35">
      <c r="A4981" t="s">
        <v>2857</v>
      </c>
      <c r="B4981" t="s">
        <v>2865</v>
      </c>
      <c r="C4981" t="s">
        <v>1427</v>
      </c>
      <c r="D4981" t="s">
        <v>2909</v>
      </c>
      <c r="E4981">
        <v>1008</v>
      </c>
      <c r="F4981" s="11">
        <v>1</v>
      </c>
    </row>
    <row r="4982" spans="1:6" x14ac:dyDescent="0.35">
      <c r="A4982" t="s">
        <v>2857</v>
      </c>
      <c r="B4982" t="s">
        <v>2865</v>
      </c>
      <c r="C4982" t="s">
        <v>1427</v>
      </c>
      <c r="D4982" t="s">
        <v>2910</v>
      </c>
      <c r="E4982">
        <v>12040</v>
      </c>
      <c r="F4982" s="11">
        <v>1</v>
      </c>
    </row>
    <row r="4983" spans="1:6" x14ac:dyDescent="0.35">
      <c r="A4983" t="s">
        <v>2857</v>
      </c>
      <c r="B4983" t="s">
        <v>2865</v>
      </c>
      <c r="C4983" t="s">
        <v>1427</v>
      </c>
      <c r="D4983" t="s">
        <v>2911</v>
      </c>
      <c r="E4983">
        <v>334939</v>
      </c>
      <c r="F4983" s="11">
        <v>1</v>
      </c>
    </row>
    <row r="4984" spans="1:6" x14ac:dyDescent="0.35">
      <c r="A4984" t="s">
        <v>2857</v>
      </c>
      <c r="B4984" t="s">
        <v>2865</v>
      </c>
      <c r="C4984" t="s">
        <v>1427</v>
      </c>
      <c r="D4984" t="s">
        <v>2912</v>
      </c>
      <c r="E4984">
        <v>289169</v>
      </c>
      <c r="F4984" s="11">
        <v>1</v>
      </c>
    </row>
    <row r="4985" spans="1:6" x14ac:dyDescent="0.35">
      <c r="A4985" t="s">
        <v>2857</v>
      </c>
      <c r="B4985" t="s">
        <v>2865</v>
      </c>
      <c r="C4985" t="s">
        <v>1427</v>
      </c>
      <c r="D4985" t="s">
        <v>2913</v>
      </c>
      <c r="E4985">
        <v>0</v>
      </c>
      <c r="F4985" s="11">
        <v>0</v>
      </c>
    </row>
    <row r="4986" spans="1:6" x14ac:dyDescent="0.35">
      <c r="A4986" t="s">
        <v>2857</v>
      </c>
      <c r="B4986" t="s">
        <v>2865</v>
      </c>
      <c r="C4986" t="s">
        <v>1427</v>
      </c>
      <c r="D4986" t="s">
        <v>2914</v>
      </c>
      <c r="E4986">
        <v>0</v>
      </c>
      <c r="F4986" s="11">
        <v>0</v>
      </c>
    </row>
    <row r="4987" spans="1:6" x14ac:dyDescent="0.35">
      <c r="A4987" t="s">
        <v>2857</v>
      </c>
      <c r="B4987" t="s">
        <v>2865</v>
      </c>
      <c r="C4987" t="s">
        <v>1427</v>
      </c>
      <c r="D4987" t="s">
        <v>2915</v>
      </c>
      <c r="E4987">
        <v>1955</v>
      </c>
      <c r="F4987" s="11">
        <v>1</v>
      </c>
    </row>
    <row r="4988" spans="1:6" x14ac:dyDescent="0.35">
      <c r="A4988" t="s">
        <v>2857</v>
      </c>
      <c r="B4988" t="s">
        <v>2865</v>
      </c>
      <c r="C4988" t="s">
        <v>1427</v>
      </c>
      <c r="D4988" t="s">
        <v>2916</v>
      </c>
      <c r="E4988">
        <v>42340</v>
      </c>
      <c r="F4988" s="11">
        <v>1</v>
      </c>
    </row>
    <row r="4989" spans="1:6" x14ac:dyDescent="0.35">
      <c r="A4989" t="s">
        <v>2857</v>
      </c>
      <c r="B4989" t="s">
        <v>2865</v>
      </c>
      <c r="C4989" t="s">
        <v>1427</v>
      </c>
      <c r="D4989" t="s">
        <v>2917</v>
      </c>
      <c r="E4989">
        <v>0</v>
      </c>
      <c r="F4989" s="11">
        <v>0</v>
      </c>
    </row>
    <row r="4990" spans="1:6" x14ac:dyDescent="0.35">
      <c r="A4990" t="s">
        <v>2857</v>
      </c>
      <c r="B4990" t="s">
        <v>2866</v>
      </c>
      <c r="C4990" t="s">
        <v>1401</v>
      </c>
      <c r="D4990" t="s">
        <v>2875</v>
      </c>
      <c r="E4990">
        <v>30260</v>
      </c>
      <c r="F4990" s="11">
        <v>0</v>
      </c>
    </row>
    <row r="4991" spans="1:6" x14ac:dyDescent="0.35">
      <c r="A4991" t="s">
        <v>2857</v>
      </c>
      <c r="B4991" t="s">
        <v>2866</v>
      </c>
      <c r="C4991" t="s">
        <v>1401</v>
      </c>
      <c r="D4991" t="s">
        <v>2876</v>
      </c>
      <c r="E4991">
        <v>0</v>
      </c>
      <c r="F4991" s="11">
        <v>0</v>
      </c>
    </row>
    <row r="4992" spans="1:6" x14ac:dyDescent="0.35">
      <c r="A4992" t="s">
        <v>2857</v>
      </c>
      <c r="B4992" t="s">
        <v>2866</v>
      </c>
      <c r="C4992" t="s">
        <v>1401</v>
      </c>
      <c r="D4992" t="s">
        <v>2877</v>
      </c>
      <c r="E4992">
        <v>0</v>
      </c>
      <c r="F4992" s="11">
        <v>0</v>
      </c>
    </row>
    <row r="4993" spans="1:6" x14ac:dyDescent="0.35">
      <c r="A4993" t="s">
        <v>2857</v>
      </c>
      <c r="B4993" t="s">
        <v>2866</v>
      </c>
      <c r="C4993" t="s">
        <v>1401</v>
      </c>
      <c r="D4993" t="s">
        <v>2878</v>
      </c>
      <c r="E4993">
        <v>0</v>
      </c>
      <c r="F4993" s="11">
        <v>0</v>
      </c>
    </row>
    <row r="4994" spans="1:6" x14ac:dyDescent="0.35">
      <c r="A4994" t="s">
        <v>2857</v>
      </c>
      <c r="B4994" t="s">
        <v>2866</v>
      </c>
      <c r="C4994" t="s">
        <v>1401</v>
      </c>
      <c r="D4994" t="s">
        <v>2879</v>
      </c>
      <c r="E4994">
        <v>3177</v>
      </c>
      <c r="F4994" s="11">
        <v>0</v>
      </c>
    </row>
    <row r="4995" spans="1:6" x14ac:dyDescent="0.35">
      <c r="A4995" t="s">
        <v>2857</v>
      </c>
      <c r="B4995" t="s">
        <v>2866</v>
      </c>
      <c r="C4995" t="s">
        <v>1401</v>
      </c>
      <c r="D4995" t="s">
        <v>2880</v>
      </c>
      <c r="E4995">
        <v>1936</v>
      </c>
      <c r="F4995" s="11">
        <v>0</v>
      </c>
    </row>
    <row r="4996" spans="1:6" x14ac:dyDescent="0.35">
      <c r="A4996" t="s">
        <v>2857</v>
      </c>
      <c r="B4996" t="s">
        <v>2866</v>
      </c>
      <c r="C4996" t="s">
        <v>1401</v>
      </c>
      <c r="D4996" t="s">
        <v>2881</v>
      </c>
      <c r="E4996">
        <v>0</v>
      </c>
      <c r="F4996" s="11">
        <v>0</v>
      </c>
    </row>
    <row r="4997" spans="1:6" x14ac:dyDescent="0.35">
      <c r="A4997" t="s">
        <v>2857</v>
      </c>
      <c r="B4997" t="s">
        <v>2866</v>
      </c>
      <c r="C4997" t="s">
        <v>1401</v>
      </c>
      <c r="D4997" t="s">
        <v>2882</v>
      </c>
      <c r="E4997">
        <v>1241</v>
      </c>
      <c r="F4997" s="11">
        <v>0</v>
      </c>
    </row>
    <row r="4998" spans="1:6" x14ac:dyDescent="0.35">
      <c r="A4998" t="s">
        <v>2857</v>
      </c>
      <c r="B4998" t="s">
        <v>2866</v>
      </c>
      <c r="C4998" t="s">
        <v>1401</v>
      </c>
      <c r="D4998" t="s">
        <v>2883</v>
      </c>
      <c r="E4998">
        <v>0</v>
      </c>
      <c r="F4998" s="11">
        <v>0</v>
      </c>
    </row>
    <row r="4999" spans="1:6" x14ac:dyDescent="0.35">
      <c r="A4999" t="s">
        <v>2857</v>
      </c>
      <c r="B4999" t="s">
        <v>2866</v>
      </c>
      <c r="C4999" t="s">
        <v>1401</v>
      </c>
      <c r="D4999" t="s">
        <v>2884</v>
      </c>
      <c r="E4999">
        <v>0</v>
      </c>
      <c r="F4999" s="11">
        <v>0</v>
      </c>
    </row>
    <row r="5000" spans="1:6" x14ac:dyDescent="0.35">
      <c r="A5000" t="s">
        <v>2857</v>
      </c>
      <c r="B5000" t="s">
        <v>2866</v>
      </c>
      <c r="C5000" t="s">
        <v>1401</v>
      </c>
      <c r="D5000" t="s">
        <v>2885</v>
      </c>
      <c r="E5000">
        <v>0</v>
      </c>
      <c r="F5000" s="11">
        <v>0</v>
      </c>
    </row>
    <row r="5001" spans="1:6" x14ac:dyDescent="0.35">
      <c r="A5001" t="s">
        <v>2857</v>
      </c>
      <c r="B5001" t="s">
        <v>2866</v>
      </c>
      <c r="C5001" t="s">
        <v>1401</v>
      </c>
      <c r="D5001" t="s">
        <v>2886</v>
      </c>
      <c r="E5001">
        <v>0</v>
      </c>
      <c r="F5001" s="11">
        <v>0</v>
      </c>
    </row>
    <row r="5002" spans="1:6" x14ac:dyDescent="0.35">
      <c r="A5002" t="s">
        <v>2857</v>
      </c>
      <c r="B5002" t="s">
        <v>2866</v>
      </c>
      <c r="C5002" t="s">
        <v>1401</v>
      </c>
      <c r="D5002" t="s">
        <v>2887</v>
      </c>
      <c r="E5002">
        <v>63924</v>
      </c>
      <c r="F5002" s="11">
        <v>0</v>
      </c>
    </row>
    <row r="5003" spans="1:6" x14ac:dyDescent="0.35">
      <c r="A5003" t="s">
        <v>2857</v>
      </c>
      <c r="B5003" t="s">
        <v>2866</v>
      </c>
      <c r="C5003" t="s">
        <v>1401</v>
      </c>
      <c r="D5003" t="s">
        <v>2888</v>
      </c>
      <c r="E5003">
        <v>21978</v>
      </c>
      <c r="F5003" s="11">
        <v>0</v>
      </c>
    </row>
    <row r="5004" spans="1:6" x14ac:dyDescent="0.35">
      <c r="A5004" t="s">
        <v>2857</v>
      </c>
      <c r="B5004" t="s">
        <v>2866</v>
      </c>
      <c r="C5004" t="s">
        <v>1401</v>
      </c>
      <c r="D5004" t="s">
        <v>2889</v>
      </c>
      <c r="E5004">
        <v>0</v>
      </c>
      <c r="F5004" s="11">
        <v>0</v>
      </c>
    </row>
    <row r="5005" spans="1:6" x14ac:dyDescent="0.35">
      <c r="A5005" t="s">
        <v>2857</v>
      </c>
      <c r="B5005" t="s">
        <v>2866</v>
      </c>
      <c r="C5005" t="s">
        <v>1401</v>
      </c>
      <c r="D5005" t="s">
        <v>2890</v>
      </c>
      <c r="E5005">
        <v>11946</v>
      </c>
      <c r="F5005" s="11">
        <v>0</v>
      </c>
    </row>
    <row r="5006" spans="1:6" x14ac:dyDescent="0.35">
      <c r="A5006" t="s">
        <v>2857</v>
      </c>
      <c r="B5006" t="s">
        <v>2866</v>
      </c>
      <c r="C5006" t="s">
        <v>1401</v>
      </c>
      <c r="D5006" t="s">
        <v>2891</v>
      </c>
      <c r="E5006">
        <v>0</v>
      </c>
      <c r="F5006" s="11">
        <v>0</v>
      </c>
    </row>
    <row r="5007" spans="1:6" x14ac:dyDescent="0.35">
      <c r="A5007" t="s">
        <v>2857</v>
      </c>
      <c r="B5007" t="s">
        <v>2866</v>
      </c>
      <c r="C5007" t="s">
        <v>1401</v>
      </c>
      <c r="D5007" t="s">
        <v>2892</v>
      </c>
      <c r="E5007">
        <v>0</v>
      </c>
      <c r="F5007" s="11">
        <v>0</v>
      </c>
    </row>
    <row r="5008" spans="1:6" x14ac:dyDescent="0.35">
      <c r="A5008" t="s">
        <v>2857</v>
      </c>
      <c r="B5008" t="s">
        <v>2866</v>
      </c>
      <c r="C5008" t="s">
        <v>1401</v>
      </c>
      <c r="D5008" t="s">
        <v>2893</v>
      </c>
      <c r="E5008">
        <v>0</v>
      </c>
      <c r="F5008" s="11">
        <v>0</v>
      </c>
    </row>
    <row r="5009" spans="1:6" x14ac:dyDescent="0.35">
      <c r="A5009" t="s">
        <v>2857</v>
      </c>
      <c r="B5009" t="s">
        <v>2866</v>
      </c>
      <c r="C5009" t="s">
        <v>1401</v>
      </c>
      <c r="D5009" t="s">
        <v>2894</v>
      </c>
      <c r="E5009">
        <v>0</v>
      </c>
      <c r="F5009" s="11">
        <v>0</v>
      </c>
    </row>
    <row r="5010" spans="1:6" x14ac:dyDescent="0.35">
      <c r="A5010" t="s">
        <v>2857</v>
      </c>
      <c r="B5010" t="s">
        <v>2866</v>
      </c>
      <c r="C5010" t="s">
        <v>1401</v>
      </c>
      <c r="D5010" t="s">
        <v>2895</v>
      </c>
      <c r="E5010">
        <v>448070</v>
      </c>
      <c r="F5010" s="11">
        <v>0</v>
      </c>
    </row>
    <row r="5011" spans="1:6" x14ac:dyDescent="0.35">
      <c r="A5011" t="s">
        <v>2857</v>
      </c>
      <c r="B5011" t="s">
        <v>2866</v>
      </c>
      <c r="C5011" t="s">
        <v>1401</v>
      </c>
      <c r="D5011" t="s">
        <v>2896</v>
      </c>
      <c r="E5011">
        <v>0</v>
      </c>
      <c r="F5011" s="11">
        <v>0</v>
      </c>
    </row>
    <row r="5012" spans="1:6" x14ac:dyDescent="0.35">
      <c r="A5012" t="s">
        <v>2857</v>
      </c>
      <c r="B5012" t="s">
        <v>2866</v>
      </c>
      <c r="C5012" t="s">
        <v>1401</v>
      </c>
      <c r="D5012" t="s">
        <v>2897</v>
      </c>
      <c r="E5012">
        <v>0</v>
      </c>
      <c r="F5012" s="11">
        <v>0</v>
      </c>
    </row>
    <row r="5013" spans="1:6" x14ac:dyDescent="0.35">
      <c r="A5013" t="s">
        <v>2857</v>
      </c>
      <c r="B5013" t="s">
        <v>2866</v>
      </c>
      <c r="C5013" t="s">
        <v>1401</v>
      </c>
      <c r="D5013" t="s">
        <v>2898</v>
      </c>
      <c r="E5013">
        <v>0</v>
      </c>
      <c r="F5013" s="11">
        <v>0</v>
      </c>
    </row>
    <row r="5014" spans="1:6" x14ac:dyDescent="0.35">
      <c r="A5014" t="s">
        <v>2857</v>
      </c>
      <c r="B5014" t="s">
        <v>2866</v>
      </c>
      <c r="C5014" t="s">
        <v>1401</v>
      </c>
      <c r="D5014" t="s">
        <v>2899</v>
      </c>
      <c r="E5014">
        <v>0</v>
      </c>
      <c r="F5014" s="11">
        <v>0</v>
      </c>
    </row>
    <row r="5015" spans="1:6" x14ac:dyDescent="0.35">
      <c r="A5015" t="s">
        <v>2857</v>
      </c>
      <c r="B5015" t="s">
        <v>2866</v>
      </c>
      <c r="C5015" t="s">
        <v>1401</v>
      </c>
      <c r="D5015" t="s">
        <v>2900</v>
      </c>
      <c r="E5015">
        <v>0</v>
      </c>
      <c r="F5015" s="11">
        <v>0</v>
      </c>
    </row>
    <row r="5016" spans="1:6" x14ac:dyDescent="0.35">
      <c r="A5016" t="s">
        <v>2857</v>
      </c>
      <c r="B5016" t="s">
        <v>2866</v>
      </c>
      <c r="C5016" t="s">
        <v>1401</v>
      </c>
      <c r="D5016" t="s">
        <v>2901</v>
      </c>
      <c r="E5016">
        <v>0</v>
      </c>
      <c r="F5016" s="11">
        <v>0</v>
      </c>
    </row>
    <row r="5017" spans="1:6" x14ac:dyDescent="0.35">
      <c r="A5017" t="s">
        <v>2857</v>
      </c>
      <c r="B5017" t="s">
        <v>2866</v>
      </c>
      <c r="C5017" t="s">
        <v>1401</v>
      </c>
      <c r="D5017" t="s">
        <v>2902</v>
      </c>
      <c r="E5017">
        <v>0</v>
      </c>
      <c r="F5017" s="11">
        <v>0</v>
      </c>
    </row>
    <row r="5018" spans="1:6" x14ac:dyDescent="0.35">
      <c r="A5018" t="s">
        <v>2857</v>
      </c>
      <c r="B5018" t="s">
        <v>2866</v>
      </c>
      <c r="C5018" t="s">
        <v>1401</v>
      </c>
      <c r="D5018" t="s">
        <v>2903</v>
      </c>
      <c r="E5018">
        <v>27064</v>
      </c>
      <c r="F5018" s="11">
        <v>0</v>
      </c>
    </row>
    <row r="5019" spans="1:6" x14ac:dyDescent="0.35">
      <c r="A5019" t="s">
        <v>2857</v>
      </c>
      <c r="B5019" t="s">
        <v>2866</v>
      </c>
      <c r="C5019" t="s">
        <v>1401</v>
      </c>
      <c r="D5019" t="s">
        <v>2904</v>
      </c>
      <c r="E5019">
        <v>0</v>
      </c>
      <c r="F5019" s="11">
        <v>0</v>
      </c>
    </row>
    <row r="5020" spans="1:6" x14ac:dyDescent="0.35">
      <c r="A5020" t="s">
        <v>2857</v>
      </c>
      <c r="B5020" t="s">
        <v>2866</v>
      </c>
      <c r="C5020" t="s">
        <v>1401</v>
      </c>
      <c r="D5020" t="s">
        <v>2905</v>
      </c>
      <c r="E5020">
        <v>0</v>
      </c>
      <c r="F5020" s="11">
        <v>0</v>
      </c>
    </row>
    <row r="5021" spans="1:6" x14ac:dyDescent="0.35">
      <c r="A5021" t="s">
        <v>2857</v>
      </c>
      <c r="B5021" t="s">
        <v>2866</v>
      </c>
      <c r="C5021" t="s">
        <v>1401</v>
      </c>
      <c r="D5021" t="s">
        <v>2906</v>
      </c>
      <c r="E5021">
        <v>0</v>
      </c>
      <c r="F5021" s="11">
        <v>0</v>
      </c>
    </row>
    <row r="5022" spans="1:6" x14ac:dyDescent="0.35">
      <c r="A5022" t="s">
        <v>2857</v>
      </c>
      <c r="B5022" t="s">
        <v>2866</v>
      </c>
      <c r="C5022" t="s">
        <v>1401</v>
      </c>
      <c r="D5022" t="s">
        <v>2907</v>
      </c>
      <c r="E5022">
        <v>16942</v>
      </c>
      <c r="F5022" s="11">
        <v>0</v>
      </c>
    </row>
    <row r="5023" spans="1:6" x14ac:dyDescent="0.35">
      <c r="A5023" t="s">
        <v>2857</v>
      </c>
      <c r="B5023" t="s">
        <v>2866</v>
      </c>
      <c r="C5023" t="s">
        <v>1401</v>
      </c>
      <c r="D5023" t="s">
        <v>2908</v>
      </c>
      <c r="E5023">
        <v>0</v>
      </c>
      <c r="F5023" s="11">
        <v>0</v>
      </c>
    </row>
    <row r="5024" spans="1:6" x14ac:dyDescent="0.35">
      <c r="A5024" t="s">
        <v>2857</v>
      </c>
      <c r="B5024" t="s">
        <v>2866</v>
      </c>
      <c r="C5024" t="s">
        <v>1401</v>
      </c>
      <c r="D5024" t="s">
        <v>2909</v>
      </c>
      <c r="E5024">
        <v>0</v>
      </c>
      <c r="F5024" s="11">
        <v>0</v>
      </c>
    </row>
    <row r="5025" spans="1:6" x14ac:dyDescent="0.35">
      <c r="A5025" t="s">
        <v>2857</v>
      </c>
      <c r="B5025" t="s">
        <v>2866</v>
      </c>
      <c r="C5025" t="s">
        <v>1401</v>
      </c>
      <c r="D5025" t="s">
        <v>2910</v>
      </c>
      <c r="E5025">
        <v>0</v>
      </c>
      <c r="F5025" s="11">
        <v>0</v>
      </c>
    </row>
    <row r="5026" spans="1:6" x14ac:dyDescent="0.35">
      <c r="A5026" t="s">
        <v>2857</v>
      </c>
      <c r="B5026" t="s">
        <v>2866</v>
      </c>
      <c r="C5026" t="s">
        <v>1401</v>
      </c>
      <c r="D5026" t="s">
        <v>2911</v>
      </c>
      <c r="E5026">
        <v>590556</v>
      </c>
      <c r="F5026" s="11">
        <v>0</v>
      </c>
    </row>
    <row r="5027" spans="1:6" x14ac:dyDescent="0.35">
      <c r="A5027" t="s">
        <v>2857</v>
      </c>
      <c r="B5027" t="s">
        <v>2866</v>
      </c>
      <c r="C5027" t="s">
        <v>1401</v>
      </c>
      <c r="D5027" t="s">
        <v>2912</v>
      </c>
      <c r="E5027">
        <v>0</v>
      </c>
      <c r="F5027" s="11">
        <v>0</v>
      </c>
    </row>
    <row r="5028" spans="1:6" x14ac:dyDescent="0.35">
      <c r="A5028" t="s">
        <v>2857</v>
      </c>
      <c r="B5028" t="s">
        <v>2866</v>
      </c>
      <c r="C5028" t="s">
        <v>1401</v>
      </c>
      <c r="D5028" t="s">
        <v>2913</v>
      </c>
      <c r="E5028">
        <v>0</v>
      </c>
      <c r="F5028" s="11">
        <v>0</v>
      </c>
    </row>
    <row r="5029" spans="1:6" x14ac:dyDescent="0.35">
      <c r="A5029" t="s">
        <v>2857</v>
      </c>
      <c r="B5029" t="s">
        <v>2866</v>
      </c>
      <c r="C5029" t="s">
        <v>1401</v>
      </c>
      <c r="D5029" t="s">
        <v>2914</v>
      </c>
      <c r="E5029">
        <v>0</v>
      </c>
      <c r="F5029" s="11">
        <v>0</v>
      </c>
    </row>
    <row r="5030" spans="1:6" x14ac:dyDescent="0.35">
      <c r="A5030" t="s">
        <v>2857</v>
      </c>
      <c r="B5030" t="s">
        <v>2866</v>
      </c>
      <c r="C5030" t="s">
        <v>1401</v>
      </c>
      <c r="D5030" t="s">
        <v>2915</v>
      </c>
      <c r="E5030">
        <v>0</v>
      </c>
      <c r="F5030" s="11">
        <v>0</v>
      </c>
    </row>
    <row r="5031" spans="1:6" x14ac:dyDescent="0.35">
      <c r="A5031" t="s">
        <v>2857</v>
      </c>
      <c r="B5031" t="s">
        <v>2866</v>
      </c>
      <c r="C5031" t="s">
        <v>1401</v>
      </c>
      <c r="D5031" t="s">
        <v>2916</v>
      </c>
      <c r="E5031">
        <v>58831</v>
      </c>
      <c r="F5031" s="11">
        <v>0</v>
      </c>
    </row>
    <row r="5032" spans="1:6" x14ac:dyDescent="0.35">
      <c r="A5032" t="s">
        <v>2857</v>
      </c>
      <c r="B5032" t="s">
        <v>2866</v>
      </c>
      <c r="C5032" t="s">
        <v>1401</v>
      </c>
      <c r="D5032" t="s">
        <v>2917</v>
      </c>
      <c r="E5032">
        <v>0</v>
      </c>
      <c r="F5032" s="11">
        <v>0</v>
      </c>
    </row>
    <row r="5033" spans="1:6" x14ac:dyDescent="0.35">
      <c r="A5033" t="s">
        <v>2857</v>
      </c>
      <c r="B5033" t="s">
        <v>2865</v>
      </c>
      <c r="C5033" t="s">
        <v>1455</v>
      </c>
      <c r="D5033" t="s">
        <v>2875</v>
      </c>
      <c r="E5033">
        <v>12414</v>
      </c>
      <c r="F5033" s="11">
        <v>1</v>
      </c>
    </row>
    <row r="5034" spans="1:6" x14ac:dyDescent="0.35">
      <c r="A5034" t="s">
        <v>2857</v>
      </c>
      <c r="B5034" t="s">
        <v>2865</v>
      </c>
      <c r="C5034" t="s">
        <v>1455</v>
      </c>
      <c r="D5034" t="s">
        <v>2876</v>
      </c>
      <c r="E5034">
        <v>0</v>
      </c>
      <c r="F5034" s="11">
        <v>1</v>
      </c>
    </row>
    <row r="5035" spans="1:6" x14ac:dyDescent="0.35">
      <c r="A5035" t="s">
        <v>2857</v>
      </c>
      <c r="B5035" t="s">
        <v>2865</v>
      </c>
      <c r="C5035" t="s">
        <v>1455</v>
      </c>
      <c r="D5035" t="s">
        <v>2877</v>
      </c>
      <c r="E5035">
        <v>0</v>
      </c>
      <c r="F5035" s="11">
        <v>1</v>
      </c>
    </row>
    <row r="5036" spans="1:6" x14ac:dyDescent="0.35">
      <c r="A5036" t="s">
        <v>2857</v>
      </c>
      <c r="B5036" t="s">
        <v>2865</v>
      </c>
      <c r="C5036" t="s">
        <v>1455</v>
      </c>
      <c r="D5036" t="s">
        <v>2878</v>
      </c>
      <c r="E5036">
        <v>0</v>
      </c>
      <c r="F5036" s="11">
        <v>1</v>
      </c>
    </row>
    <row r="5037" spans="1:6" x14ac:dyDescent="0.35">
      <c r="A5037" t="s">
        <v>2857</v>
      </c>
      <c r="B5037" t="s">
        <v>2865</v>
      </c>
      <c r="C5037" t="s">
        <v>1455</v>
      </c>
      <c r="D5037" t="s">
        <v>2879</v>
      </c>
      <c r="E5037">
        <v>1567</v>
      </c>
      <c r="F5037" s="11">
        <v>1</v>
      </c>
    </row>
    <row r="5038" spans="1:6" x14ac:dyDescent="0.35">
      <c r="A5038" t="s">
        <v>2857</v>
      </c>
      <c r="B5038" t="s">
        <v>2865</v>
      </c>
      <c r="C5038" t="s">
        <v>1455</v>
      </c>
      <c r="D5038" t="s">
        <v>2880</v>
      </c>
      <c r="E5038">
        <v>682</v>
      </c>
      <c r="F5038" s="11">
        <v>1</v>
      </c>
    </row>
    <row r="5039" spans="1:6" x14ac:dyDescent="0.35">
      <c r="A5039" t="s">
        <v>2857</v>
      </c>
      <c r="B5039" t="s">
        <v>2865</v>
      </c>
      <c r="C5039" t="s">
        <v>1455</v>
      </c>
      <c r="D5039" t="s">
        <v>2881</v>
      </c>
      <c r="E5039">
        <v>71</v>
      </c>
      <c r="F5039" s="11">
        <v>0</v>
      </c>
    </row>
    <row r="5040" spans="1:6" x14ac:dyDescent="0.35">
      <c r="A5040" t="s">
        <v>2857</v>
      </c>
      <c r="B5040" t="s">
        <v>2865</v>
      </c>
      <c r="C5040" t="s">
        <v>1455</v>
      </c>
      <c r="D5040" t="s">
        <v>2882</v>
      </c>
      <c r="E5040">
        <v>623</v>
      </c>
      <c r="F5040" s="11">
        <v>0</v>
      </c>
    </row>
    <row r="5041" spans="1:6" x14ac:dyDescent="0.35">
      <c r="A5041" t="s">
        <v>2857</v>
      </c>
      <c r="B5041" t="s">
        <v>2865</v>
      </c>
      <c r="C5041" t="s">
        <v>1455</v>
      </c>
      <c r="D5041" t="s">
        <v>2883</v>
      </c>
      <c r="E5041">
        <v>259</v>
      </c>
      <c r="F5041" s="11">
        <v>0</v>
      </c>
    </row>
    <row r="5042" spans="1:6" x14ac:dyDescent="0.35">
      <c r="A5042" t="s">
        <v>2857</v>
      </c>
      <c r="B5042" t="s">
        <v>2865</v>
      </c>
      <c r="C5042" t="s">
        <v>1455</v>
      </c>
      <c r="D5042" t="s">
        <v>2884</v>
      </c>
      <c r="E5042">
        <v>17</v>
      </c>
      <c r="F5042" s="11">
        <v>0</v>
      </c>
    </row>
    <row r="5043" spans="1:6" x14ac:dyDescent="0.35">
      <c r="A5043" t="s">
        <v>2857</v>
      </c>
      <c r="B5043" t="s">
        <v>2865</v>
      </c>
      <c r="C5043" t="s">
        <v>1455</v>
      </c>
      <c r="D5043" t="s">
        <v>2885</v>
      </c>
      <c r="E5043">
        <v>26</v>
      </c>
      <c r="F5043" s="11">
        <v>0</v>
      </c>
    </row>
    <row r="5044" spans="1:6" x14ac:dyDescent="0.35">
      <c r="A5044" t="s">
        <v>2857</v>
      </c>
      <c r="B5044" t="s">
        <v>2865</v>
      </c>
      <c r="C5044" t="s">
        <v>1455</v>
      </c>
      <c r="D5044" t="s">
        <v>2886</v>
      </c>
      <c r="E5044">
        <v>216</v>
      </c>
      <c r="F5044" s="11">
        <v>0</v>
      </c>
    </row>
    <row r="5045" spans="1:6" x14ac:dyDescent="0.35">
      <c r="A5045" t="s">
        <v>2857</v>
      </c>
      <c r="B5045" t="s">
        <v>2865</v>
      </c>
      <c r="C5045" t="s">
        <v>1455</v>
      </c>
      <c r="D5045" t="s">
        <v>2887</v>
      </c>
      <c r="E5045">
        <v>18259</v>
      </c>
      <c r="F5045" s="11">
        <v>1</v>
      </c>
    </row>
    <row r="5046" spans="1:6" x14ac:dyDescent="0.35">
      <c r="A5046" t="s">
        <v>2857</v>
      </c>
      <c r="B5046" t="s">
        <v>2865</v>
      </c>
      <c r="C5046" t="s">
        <v>1455</v>
      </c>
      <c r="D5046" t="s">
        <v>2888</v>
      </c>
      <c r="E5046">
        <v>11532</v>
      </c>
      <c r="F5046" s="11">
        <v>1</v>
      </c>
    </row>
    <row r="5047" spans="1:6" x14ac:dyDescent="0.35">
      <c r="A5047" t="s">
        <v>2857</v>
      </c>
      <c r="B5047" t="s">
        <v>2865</v>
      </c>
      <c r="C5047" t="s">
        <v>1455</v>
      </c>
      <c r="D5047" t="s">
        <v>2889</v>
      </c>
      <c r="E5047">
        <v>1280</v>
      </c>
      <c r="F5047" s="11">
        <v>0</v>
      </c>
    </row>
    <row r="5048" spans="1:6" x14ac:dyDescent="0.35">
      <c r="A5048" t="s">
        <v>2857</v>
      </c>
      <c r="B5048" t="s">
        <v>2865</v>
      </c>
      <c r="C5048" t="s">
        <v>1455</v>
      </c>
      <c r="D5048" t="s">
        <v>2890</v>
      </c>
      <c r="E5048">
        <v>5447</v>
      </c>
      <c r="F5048" s="11">
        <v>0</v>
      </c>
    </row>
    <row r="5049" spans="1:6" x14ac:dyDescent="0.35">
      <c r="A5049" t="s">
        <v>2857</v>
      </c>
      <c r="B5049" t="s">
        <v>2865</v>
      </c>
      <c r="C5049" t="s">
        <v>1455</v>
      </c>
      <c r="D5049" t="s">
        <v>2891</v>
      </c>
      <c r="E5049">
        <v>694</v>
      </c>
      <c r="F5049" s="11">
        <v>0</v>
      </c>
    </row>
    <row r="5050" spans="1:6" x14ac:dyDescent="0.35">
      <c r="A5050" t="s">
        <v>2857</v>
      </c>
      <c r="B5050" t="s">
        <v>2865</v>
      </c>
      <c r="C5050" t="s">
        <v>1455</v>
      </c>
      <c r="D5050" t="s">
        <v>2892</v>
      </c>
      <c r="E5050">
        <v>101</v>
      </c>
      <c r="F5050" s="11">
        <v>0</v>
      </c>
    </row>
    <row r="5051" spans="1:6" x14ac:dyDescent="0.35">
      <c r="A5051" t="s">
        <v>2857</v>
      </c>
      <c r="B5051" t="s">
        <v>2865</v>
      </c>
      <c r="C5051" t="s">
        <v>1455</v>
      </c>
      <c r="D5051" t="s">
        <v>2893</v>
      </c>
      <c r="E5051">
        <v>114</v>
      </c>
      <c r="F5051" s="11">
        <v>0</v>
      </c>
    </row>
    <row r="5052" spans="1:6" x14ac:dyDescent="0.35">
      <c r="A5052" t="s">
        <v>2857</v>
      </c>
      <c r="B5052" t="s">
        <v>2865</v>
      </c>
      <c r="C5052" t="s">
        <v>1455</v>
      </c>
      <c r="D5052" t="s">
        <v>2894</v>
      </c>
      <c r="E5052">
        <v>479</v>
      </c>
      <c r="F5052" s="11">
        <v>0</v>
      </c>
    </row>
    <row r="5053" spans="1:6" x14ac:dyDescent="0.35">
      <c r="A5053" t="s">
        <v>2857</v>
      </c>
      <c r="B5053" t="s">
        <v>2865</v>
      </c>
      <c r="C5053" t="s">
        <v>1455</v>
      </c>
      <c r="D5053" t="s">
        <v>2895</v>
      </c>
      <c r="E5053">
        <v>180849</v>
      </c>
      <c r="F5053" s="11">
        <v>1</v>
      </c>
    </row>
    <row r="5054" spans="1:6" x14ac:dyDescent="0.35">
      <c r="A5054" t="s">
        <v>2857</v>
      </c>
      <c r="B5054" t="s">
        <v>2865</v>
      </c>
      <c r="C5054" t="s">
        <v>1455</v>
      </c>
      <c r="D5054" t="s">
        <v>2896</v>
      </c>
      <c r="E5054">
        <v>77973</v>
      </c>
      <c r="F5054" s="11">
        <v>1</v>
      </c>
    </row>
    <row r="5055" spans="1:6" x14ac:dyDescent="0.35">
      <c r="A5055" t="s">
        <v>2857</v>
      </c>
      <c r="B5055" t="s">
        <v>2865</v>
      </c>
      <c r="C5055" t="s">
        <v>1455</v>
      </c>
      <c r="D5055" t="s">
        <v>2897</v>
      </c>
      <c r="E5055">
        <v>0</v>
      </c>
      <c r="F5055" s="11">
        <v>1</v>
      </c>
    </row>
    <row r="5056" spans="1:6" x14ac:dyDescent="0.35">
      <c r="A5056" t="s">
        <v>2857</v>
      </c>
      <c r="B5056" t="s">
        <v>2865</v>
      </c>
      <c r="C5056" t="s">
        <v>1455</v>
      </c>
      <c r="D5056" t="s">
        <v>2898</v>
      </c>
      <c r="E5056">
        <v>103876</v>
      </c>
      <c r="F5056" s="11">
        <v>0</v>
      </c>
    </row>
    <row r="5057" spans="1:6" x14ac:dyDescent="0.35">
      <c r="A5057" t="s">
        <v>2857</v>
      </c>
      <c r="B5057" t="s">
        <v>2865</v>
      </c>
      <c r="C5057" t="s">
        <v>1455</v>
      </c>
      <c r="D5057" t="s">
        <v>2899</v>
      </c>
      <c r="E5057">
        <v>3181</v>
      </c>
      <c r="F5057" s="11">
        <v>1</v>
      </c>
    </row>
    <row r="5058" spans="1:6" x14ac:dyDescent="0.35">
      <c r="A5058" t="s">
        <v>2857</v>
      </c>
      <c r="B5058" t="s">
        <v>2865</v>
      </c>
      <c r="C5058" t="s">
        <v>1455</v>
      </c>
      <c r="D5058" t="s">
        <v>2900</v>
      </c>
      <c r="E5058">
        <v>161</v>
      </c>
      <c r="F5058" s="11">
        <v>1</v>
      </c>
    </row>
    <row r="5059" spans="1:6" x14ac:dyDescent="0.35">
      <c r="A5059" t="s">
        <v>2857</v>
      </c>
      <c r="B5059" t="s">
        <v>2865</v>
      </c>
      <c r="C5059" t="s">
        <v>1455</v>
      </c>
      <c r="D5059" t="s">
        <v>2901</v>
      </c>
      <c r="E5059">
        <v>0</v>
      </c>
      <c r="F5059" s="11">
        <v>1</v>
      </c>
    </row>
    <row r="5060" spans="1:6" x14ac:dyDescent="0.35">
      <c r="A5060" t="s">
        <v>2857</v>
      </c>
      <c r="B5060" t="s">
        <v>2865</v>
      </c>
      <c r="C5060" t="s">
        <v>1455</v>
      </c>
      <c r="D5060" t="s">
        <v>2902</v>
      </c>
      <c r="E5060">
        <v>3020</v>
      </c>
      <c r="F5060" s="11">
        <v>0</v>
      </c>
    </row>
    <row r="5061" spans="1:6" x14ac:dyDescent="0.35">
      <c r="A5061" t="s">
        <v>2857</v>
      </c>
      <c r="B5061" t="s">
        <v>2865</v>
      </c>
      <c r="C5061" t="s">
        <v>1455</v>
      </c>
      <c r="D5061" t="s">
        <v>2903</v>
      </c>
      <c r="E5061">
        <v>15770</v>
      </c>
      <c r="F5061" s="11">
        <v>1</v>
      </c>
    </row>
    <row r="5062" spans="1:6" x14ac:dyDescent="0.35">
      <c r="A5062" t="s">
        <v>2857</v>
      </c>
      <c r="B5062" t="s">
        <v>2865</v>
      </c>
      <c r="C5062" t="s">
        <v>1455</v>
      </c>
      <c r="D5062" t="s">
        <v>2904</v>
      </c>
      <c r="E5062">
        <v>1726</v>
      </c>
      <c r="F5062" s="11">
        <v>1</v>
      </c>
    </row>
    <row r="5063" spans="1:6" x14ac:dyDescent="0.35">
      <c r="A5063" t="s">
        <v>2857</v>
      </c>
      <c r="B5063" t="s">
        <v>2865</v>
      </c>
      <c r="C5063" t="s">
        <v>1455</v>
      </c>
      <c r="D5063" t="s">
        <v>2905</v>
      </c>
      <c r="E5063">
        <v>915</v>
      </c>
      <c r="F5063" s="11">
        <v>1</v>
      </c>
    </row>
    <row r="5064" spans="1:6" x14ac:dyDescent="0.35">
      <c r="A5064" t="s">
        <v>2857</v>
      </c>
      <c r="B5064" t="s">
        <v>2865</v>
      </c>
      <c r="C5064" t="s">
        <v>1455</v>
      </c>
      <c r="D5064" t="s">
        <v>2906</v>
      </c>
      <c r="E5064">
        <v>13099</v>
      </c>
      <c r="F5064" s="11">
        <v>1</v>
      </c>
    </row>
    <row r="5065" spans="1:6" x14ac:dyDescent="0.35">
      <c r="A5065" t="s">
        <v>2857</v>
      </c>
      <c r="B5065" t="s">
        <v>2865</v>
      </c>
      <c r="C5065" t="s">
        <v>1455</v>
      </c>
      <c r="D5065" t="s">
        <v>2907</v>
      </c>
      <c r="E5065">
        <v>23169</v>
      </c>
      <c r="F5065" s="11">
        <v>1</v>
      </c>
    </row>
    <row r="5066" spans="1:6" x14ac:dyDescent="0.35">
      <c r="A5066" t="s">
        <v>2857</v>
      </c>
      <c r="B5066" t="s">
        <v>2865</v>
      </c>
      <c r="C5066" t="s">
        <v>1455</v>
      </c>
      <c r="D5066" t="s">
        <v>2908</v>
      </c>
      <c r="E5066">
        <v>2735</v>
      </c>
      <c r="F5066" s="11">
        <v>1</v>
      </c>
    </row>
    <row r="5067" spans="1:6" x14ac:dyDescent="0.35">
      <c r="A5067" t="s">
        <v>2857</v>
      </c>
      <c r="B5067" t="s">
        <v>2865</v>
      </c>
      <c r="C5067" t="s">
        <v>1455</v>
      </c>
      <c r="D5067" t="s">
        <v>2909</v>
      </c>
      <c r="E5067">
        <v>957</v>
      </c>
      <c r="F5067" s="11">
        <v>1</v>
      </c>
    </row>
    <row r="5068" spans="1:6" x14ac:dyDescent="0.35">
      <c r="A5068" t="s">
        <v>2857</v>
      </c>
      <c r="B5068" t="s">
        <v>2865</v>
      </c>
      <c r="C5068" t="s">
        <v>1455</v>
      </c>
      <c r="D5068" t="s">
        <v>2910</v>
      </c>
      <c r="E5068">
        <v>19477</v>
      </c>
      <c r="F5068" s="11">
        <v>1</v>
      </c>
    </row>
    <row r="5069" spans="1:6" x14ac:dyDescent="0.35">
      <c r="A5069" t="s">
        <v>2857</v>
      </c>
      <c r="B5069" t="s">
        <v>2865</v>
      </c>
      <c r="C5069" t="s">
        <v>1455</v>
      </c>
      <c r="D5069" t="s">
        <v>2911</v>
      </c>
      <c r="E5069">
        <v>206128</v>
      </c>
      <c r="F5069" s="11">
        <v>1</v>
      </c>
    </row>
    <row r="5070" spans="1:6" x14ac:dyDescent="0.35">
      <c r="A5070" t="s">
        <v>2857</v>
      </c>
      <c r="B5070" t="s">
        <v>2865</v>
      </c>
      <c r="C5070" t="s">
        <v>1455</v>
      </c>
      <c r="D5070" t="s">
        <v>2912</v>
      </c>
      <c r="E5070">
        <v>6850</v>
      </c>
      <c r="F5070" s="11">
        <v>0</v>
      </c>
    </row>
    <row r="5071" spans="1:6" x14ac:dyDescent="0.35">
      <c r="A5071" t="s">
        <v>2857</v>
      </c>
      <c r="B5071" t="s">
        <v>2865</v>
      </c>
      <c r="C5071" t="s">
        <v>1455</v>
      </c>
      <c r="D5071" t="s">
        <v>2913</v>
      </c>
      <c r="E5071">
        <v>0</v>
      </c>
      <c r="F5071" s="11">
        <v>0</v>
      </c>
    </row>
    <row r="5072" spans="1:6" x14ac:dyDescent="0.35">
      <c r="A5072" t="s">
        <v>2857</v>
      </c>
      <c r="B5072" t="s">
        <v>2865</v>
      </c>
      <c r="C5072" t="s">
        <v>1455</v>
      </c>
      <c r="D5072" t="s">
        <v>2914</v>
      </c>
      <c r="E5072">
        <v>0</v>
      </c>
      <c r="F5072" s="11">
        <v>0</v>
      </c>
    </row>
    <row r="5073" spans="1:6" x14ac:dyDescent="0.35">
      <c r="A5073" t="s">
        <v>2857</v>
      </c>
      <c r="B5073" t="s">
        <v>2865</v>
      </c>
      <c r="C5073" t="s">
        <v>1455</v>
      </c>
      <c r="D5073" t="s">
        <v>2915</v>
      </c>
      <c r="E5073">
        <v>2831</v>
      </c>
      <c r="F5073" s="11">
        <v>1</v>
      </c>
    </row>
    <row r="5074" spans="1:6" x14ac:dyDescent="0.35">
      <c r="A5074" t="s">
        <v>2857</v>
      </c>
      <c r="B5074" t="s">
        <v>2865</v>
      </c>
      <c r="C5074" t="s">
        <v>1455</v>
      </c>
      <c r="D5074" t="s">
        <v>2916</v>
      </c>
      <c r="E5074">
        <v>0</v>
      </c>
      <c r="F5074" s="11">
        <v>0</v>
      </c>
    </row>
    <row r="5075" spans="1:6" x14ac:dyDescent="0.35">
      <c r="A5075" t="s">
        <v>2857</v>
      </c>
      <c r="B5075" t="s">
        <v>2865</v>
      </c>
      <c r="C5075" t="s">
        <v>1455</v>
      </c>
      <c r="D5075" t="s">
        <v>2917</v>
      </c>
      <c r="E5075">
        <v>0</v>
      </c>
      <c r="F5075" s="11">
        <v>0</v>
      </c>
    </row>
    <row r="5076" spans="1:6" x14ac:dyDescent="0.35">
      <c r="A5076" t="s">
        <v>2857</v>
      </c>
      <c r="B5076" t="s">
        <v>2865</v>
      </c>
      <c r="C5076" t="s">
        <v>1440</v>
      </c>
      <c r="D5076" t="s">
        <v>2875</v>
      </c>
      <c r="E5076">
        <v>9812</v>
      </c>
      <c r="F5076" s="11">
        <v>1</v>
      </c>
    </row>
    <row r="5077" spans="1:6" x14ac:dyDescent="0.35">
      <c r="A5077" t="s">
        <v>2857</v>
      </c>
      <c r="B5077" t="s">
        <v>2865</v>
      </c>
      <c r="C5077" t="s">
        <v>1440</v>
      </c>
      <c r="D5077" t="s">
        <v>2876</v>
      </c>
      <c r="E5077">
        <v>0</v>
      </c>
      <c r="F5077" s="11">
        <v>0</v>
      </c>
    </row>
    <row r="5078" spans="1:6" x14ac:dyDescent="0.35">
      <c r="A5078" t="s">
        <v>2857</v>
      </c>
      <c r="B5078" t="s">
        <v>2865</v>
      </c>
      <c r="C5078" t="s">
        <v>1440</v>
      </c>
      <c r="D5078" t="s">
        <v>2877</v>
      </c>
      <c r="E5078">
        <v>0</v>
      </c>
      <c r="F5078" s="11">
        <v>1</v>
      </c>
    </row>
    <row r="5079" spans="1:6" x14ac:dyDescent="0.35">
      <c r="A5079" t="s">
        <v>2857</v>
      </c>
      <c r="B5079" t="s">
        <v>2865</v>
      </c>
      <c r="C5079" t="s">
        <v>1440</v>
      </c>
      <c r="D5079" t="s">
        <v>2878</v>
      </c>
      <c r="E5079">
        <v>0</v>
      </c>
      <c r="F5079" s="11">
        <v>0</v>
      </c>
    </row>
    <row r="5080" spans="1:6" x14ac:dyDescent="0.35">
      <c r="A5080" t="s">
        <v>2857</v>
      </c>
      <c r="B5080" t="s">
        <v>2865</v>
      </c>
      <c r="C5080" t="s">
        <v>1440</v>
      </c>
      <c r="D5080" t="s">
        <v>2879</v>
      </c>
      <c r="E5080">
        <v>2236</v>
      </c>
      <c r="F5080" s="11">
        <v>1</v>
      </c>
    </row>
    <row r="5081" spans="1:6" x14ac:dyDescent="0.35">
      <c r="A5081" t="s">
        <v>2857</v>
      </c>
      <c r="B5081" t="s">
        <v>2865</v>
      </c>
      <c r="C5081" t="s">
        <v>1440</v>
      </c>
      <c r="D5081" t="s">
        <v>2880</v>
      </c>
      <c r="E5081">
        <v>0</v>
      </c>
      <c r="F5081" s="11">
        <v>0</v>
      </c>
    </row>
    <row r="5082" spans="1:6" x14ac:dyDescent="0.35">
      <c r="A5082" t="s">
        <v>2857</v>
      </c>
      <c r="B5082" t="s">
        <v>2865</v>
      </c>
      <c r="C5082" t="s">
        <v>1440</v>
      </c>
      <c r="D5082" t="s">
        <v>2881</v>
      </c>
      <c r="E5082">
        <v>0</v>
      </c>
      <c r="F5082" s="11">
        <v>0</v>
      </c>
    </row>
    <row r="5083" spans="1:6" x14ac:dyDescent="0.35">
      <c r="A5083" t="s">
        <v>2857</v>
      </c>
      <c r="B5083" t="s">
        <v>2865</v>
      </c>
      <c r="C5083" t="s">
        <v>1440</v>
      </c>
      <c r="D5083" t="s">
        <v>2882</v>
      </c>
      <c r="E5083">
        <v>0</v>
      </c>
      <c r="F5083" s="11">
        <v>0</v>
      </c>
    </row>
    <row r="5084" spans="1:6" x14ac:dyDescent="0.35">
      <c r="A5084" t="s">
        <v>2857</v>
      </c>
      <c r="B5084" t="s">
        <v>2865</v>
      </c>
      <c r="C5084" t="s">
        <v>1440</v>
      </c>
      <c r="D5084" t="s">
        <v>2883</v>
      </c>
      <c r="E5084">
        <v>0</v>
      </c>
      <c r="F5084" s="11">
        <v>0</v>
      </c>
    </row>
    <row r="5085" spans="1:6" x14ac:dyDescent="0.35">
      <c r="A5085" t="s">
        <v>2857</v>
      </c>
      <c r="B5085" t="s">
        <v>2865</v>
      </c>
      <c r="C5085" t="s">
        <v>1440</v>
      </c>
      <c r="D5085" t="s">
        <v>2884</v>
      </c>
      <c r="E5085">
        <v>0</v>
      </c>
      <c r="F5085" s="11">
        <v>0</v>
      </c>
    </row>
    <row r="5086" spans="1:6" x14ac:dyDescent="0.35">
      <c r="A5086" t="s">
        <v>2857</v>
      </c>
      <c r="B5086" t="s">
        <v>2865</v>
      </c>
      <c r="C5086" t="s">
        <v>1440</v>
      </c>
      <c r="D5086" t="s">
        <v>2885</v>
      </c>
      <c r="E5086">
        <v>0</v>
      </c>
      <c r="F5086" s="11">
        <v>0</v>
      </c>
    </row>
    <row r="5087" spans="1:6" x14ac:dyDescent="0.35">
      <c r="A5087" t="s">
        <v>2857</v>
      </c>
      <c r="B5087" t="s">
        <v>2865</v>
      </c>
      <c r="C5087" t="s">
        <v>1440</v>
      </c>
      <c r="D5087" t="s">
        <v>2886</v>
      </c>
      <c r="E5087">
        <v>0</v>
      </c>
      <c r="F5087" s="11">
        <v>0</v>
      </c>
    </row>
    <row r="5088" spans="1:6" x14ac:dyDescent="0.35">
      <c r="A5088" t="s">
        <v>2857</v>
      </c>
      <c r="B5088" t="s">
        <v>2865</v>
      </c>
      <c r="C5088" t="s">
        <v>1440</v>
      </c>
      <c r="D5088" t="s">
        <v>2887</v>
      </c>
      <c r="E5088">
        <v>28884</v>
      </c>
      <c r="F5088" s="11">
        <v>1</v>
      </c>
    </row>
    <row r="5089" spans="1:6" x14ac:dyDescent="0.35">
      <c r="A5089" t="s">
        <v>2857</v>
      </c>
      <c r="B5089" t="s">
        <v>2865</v>
      </c>
      <c r="C5089" t="s">
        <v>1440</v>
      </c>
      <c r="D5089" t="s">
        <v>2888</v>
      </c>
      <c r="E5089">
        <v>11569</v>
      </c>
      <c r="F5089" s="11">
        <v>1</v>
      </c>
    </row>
    <row r="5090" spans="1:6" x14ac:dyDescent="0.35">
      <c r="A5090" t="s">
        <v>2857</v>
      </c>
      <c r="B5090" t="s">
        <v>2865</v>
      </c>
      <c r="C5090" t="s">
        <v>1440</v>
      </c>
      <c r="D5090" t="s">
        <v>2889</v>
      </c>
      <c r="E5090">
        <v>1656</v>
      </c>
      <c r="F5090" s="11">
        <v>1</v>
      </c>
    </row>
    <row r="5091" spans="1:6" x14ac:dyDescent="0.35">
      <c r="A5091" t="s">
        <v>2857</v>
      </c>
      <c r="B5091" t="s">
        <v>2865</v>
      </c>
      <c r="C5091" t="s">
        <v>1440</v>
      </c>
      <c r="D5091" t="s">
        <v>2890</v>
      </c>
      <c r="E5091">
        <v>15728</v>
      </c>
      <c r="F5091" s="11">
        <v>1</v>
      </c>
    </row>
    <row r="5092" spans="1:6" x14ac:dyDescent="0.35">
      <c r="A5092" t="s">
        <v>2857</v>
      </c>
      <c r="B5092" t="s">
        <v>2865</v>
      </c>
      <c r="C5092" t="s">
        <v>1440</v>
      </c>
      <c r="D5092" t="s">
        <v>2891</v>
      </c>
      <c r="E5092">
        <v>0</v>
      </c>
      <c r="F5092" s="11">
        <v>0</v>
      </c>
    </row>
    <row r="5093" spans="1:6" x14ac:dyDescent="0.35">
      <c r="A5093" t="s">
        <v>2857</v>
      </c>
      <c r="B5093" t="s">
        <v>2865</v>
      </c>
      <c r="C5093" t="s">
        <v>1440</v>
      </c>
      <c r="D5093" t="s">
        <v>2892</v>
      </c>
      <c r="E5093">
        <v>0</v>
      </c>
      <c r="F5093" s="11">
        <v>0</v>
      </c>
    </row>
    <row r="5094" spans="1:6" x14ac:dyDescent="0.35">
      <c r="A5094" t="s">
        <v>2857</v>
      </c>
      <c r="B5094" t="s">
        <v>2865</v>
      </c>
      <c r="C5094" t="s">
        <v>1440</v>
      </c>
      <c r="D5094" t="s">
        <v>2893</v>
      </c>
      <c r="E5094">
        <v>0</v>
      </c>
      <c r="F5094" s="11">
        <v>0</v>
      </c>
    </row>
    <row r="5095" spans="1:6" x14ac:dyDescent="0.35">
      <c r="A5095" t="s">
        <v>2857</v>
      </c>
      <c r="B5095" t="s">
        <v>2865</v>
      </c>
      <c r="C5095" t="s">
        <v>1440</v>
      </c>
      <c r="D5095" t="s">
        <v>2894</v>
      </c>
      <c r="E5095">
        <v>0</v>
      </c>
      <c r="F5095" s="11">
        <v>0</v>
      </c>
    </row>
    <row r="5096" spans="1:6" x14ac:dyDescent="0.35">
      <c r="A5096" t="s">
        <v>2857</v>
      </c>
      <c r="B5096" t="s">
        <v>2865</v>
      </c>
      <c r="C5096" t="s">
        <v>1440</v>
      </c>
      <c r="D5096" t="s">
        <v>2895</v>
      </c>
      <c r="E5096">
        <v>129051</v>
      </c>
      <c r="F5096" s="11">
        <v>1</v>
      </c>
    </row>
    <row r="5097" spans="1:6" x14ac:dyDescent="0.35">
      <c r="A5097" t="s">
        <v>2857</v>
      </c>
      <c r="B5097" t="s">
        <v>2865</v>
      </c>
      <c r="C5097" t="s">
        <v>1440</v>
      </c>
      <c r="D5097" t="s">
        <v>2896</v>
      </c>
      <c r="E5097">
        <v>42592</v>
      </c>
      <c r="F5097" s="11">
        <v>1</v>
      </c>
    </row>
    <row r="5098" spans="1:6" x14ac:dyDescent="0.35">
      <c r="A5098" t="s">
        <v>2857</v>
      </c>
      <c r="B5098" t="s">
        <v>2865</v>
      </c>
      <c r="C5098" t="s">
        <v>1440</v>
      </c>
      <c r="D5098" t="s">
        <v>2897</v>
      </c>
      <c r="E5098">
        <v>1745</v>
      </c>
      <c r="F5098" s="11">
        <v>1</v>
      </c>
    </row>
    <row r="5099" spans="1:6" x14ac:dyDescent="0.35">
      <c r="A5099" t="s">
        <v>2857</v>
      </c>
      <c r="B5099" t="s">
        <v>2865</v>
      </c>
      <c r="C5099" t="s">
        <v>1440</v>
      </c>
      <c r="D5099" t="s">
        <v>2898</v>
      </c>
      <c r="E5099">
        <v>88418</v>
      </c>
      <c r="F5099" s="11">
        <v>1</v>
      </c>
    </row>
    <row r="5100" spans="1:6" x14ac:dyDescent="0.35">
      <c r="A5100" t="s">
        <v>2857</v>
      </c>
      <c r="B5100" t="s">
        <v>2865</v>
      </c>
      <c r="C5100" t="s">
        <v>1440</v>
      </c>
      <c r="D5100" t="s">
        <v>2899</v>
      </c>
      <c r="E5100">
        <v>2607</v>
      </c>
      <c r="F5100" s="11">
        <v>1</v>
      </c>
    </row>
    <row r="5101" spans="1:6" x14ac:dyDescent="0.35">
      <c r="A5101" t="s">
        <v>2857</v>
      </c>
      <c r="B5101" t="s">
        <v>2865</v>
      </c>
      <c r="C5101" t="s">
        <v>1440</v>
      </c>
      <c r="D5101" t="s">
        <v>2900</v>
      </c>
      <c r="E5101">
        <v>0</v>
      </c>
      <c r="F5101" s="11">
        <v>0</v>
      </c>
    </row>
    <row r="5102" spans="1:6" x14ac:dyDescent="0.35">
      <c r="A5102" t="s">
        <v>2857</v>
      </c>
      <c r="B5102" t="s">
        <v>2865</v>
      </c>
      <c r="C5102" t="s">
        <v>1440</v>
      </c>
      <c r="D5102" t="s">
        <v>2901</v>
      </c>
      <c r="E5102">
        <v>0</v>
      </c>
      <c r="F5102" s="11">
        <v>0</v>
      </c>
    </row>
    <row r="5103" spans="1:6" x14ac:dyDescent="0.35">
      <c r="A5103" t="s">
        <v>2857</v>
      </c>
      <c r="B5103" t="s">
        <v>2865</v>
      </c>
      <c r="C5103" t="s">
        <v>1440</v>
      </c>
      <c r="D5103" t="s">
        <v>2902</v>
      </c>
      <c r="E5103">
        <v>2607</v>
      </c>
      <c r="F5103" s="11">
        <v>0</v>
      </c>
    </row>
    <row r="5104" spans="1:6" x14ac:dyDescent="0.35">
      <c r="A5104" t="s">
        <v>2857</v>
      </c>
      <c r="B5104" t="s">
        <v>2865</v>
      </c>
      <c r="C5104" t="s">
        <v>1440</v>
      </c>
      <c r="D5104" t="s">
        <v>2903</v>
      </c>
      <c r="E5104">
        <v>8119</v>
      </c>
      <c r="F5104" s="11">
        <v>1</v>
      </c>
    </row>
    <row r="5105" spans="1:6" x14ac:dyDescent="0.35">
      <c r="A5105" t="s">
        <v>2857</v>
      </c>
      <c r="B5105" t="s">
        <v>2865</v>
      </c>
      <c r="C5105" t="s">
        <v>1440</v>
      </c>
      <c r="D5105" t="s">
        <v>2904</v>
      </c>
      <c r="E5105">
        <v>415</v>
      </c>
      <c r="F5105" s="11">
        <v>1</v>
      </c>
    </row>
    <row r="5106" spans="1:6" x14ac:dyDescent="0.35">
      <c r="A5106" t="s">
        <v>2857</v>
      </c>
      <c r="B5106" t="s">
        <v>2865</v>
      </c>
      <c r="C5106" t="s">
        <v>1440</v>
      </c>
      <c r="D5106" t="s">
        <v>2905</v>
      </c>
      <c r="E5106">
        <v>332</v>
      </c>
      <c r="F5106" s="11">
        <v>1</v>
      </c>
    </row>
    <row r="5107" spans="1:6" x14ac:dyDescent="0.35">
      <c r="A5107" t="s">
        <v>2857</v>
      </c>
      <c r="B5107" t="s">
        <v>2865</v>
      </c>
      <c r="C5107" t="s">
        <v>1440</v>
      </c>
      <c r="D5107" t="s">
        <v>2906</v>
      </c>
      <c r="E5107">
        <v>7369</v>
      </c>
      <c r="F5107" s="11">
        <v>1</v>
      </c>
    </row>
    <row r="5108" spans="1:6" x14ac:dyDescent="0.35">
      <c r="A5108" t="s">
        <v>2857</v>
      </c>
      <c r="B5108" t="s">
        <v>2865</v>
      </c>
      <c r="C5108" t="s">
        <v>1440</v>
      </c>
      <c r="D5108" t="s">
        <v>2907</v>
      </c>
      <c r="E5108">
        <v>6096</v>
      </c>
      <c r="F5108" s="11">
        <v>1</v>
      </c>
    </row>
    <row r="5109" spans="1:6" x14ac:dyDescent="0.35">
      <c r="A5109" t="s">
        <v>2857</v>
      </c>
      <c r="B5109" t="s">
        <v>2865</v>
      </c>
      <c r="C5109" t="s">
        <v>1440</v>
      </c>
      <c r="D5109" t="s">
        <v>2908</v>
      </c>
      <c r="E5109">
        <v>535</v>
      </c>
      <c r="F5109" s="11">
        <v>1</v>
      </c>
    </row>
    <row r="5110" spans="1:6" x14ac:dyDescent="0.35">
      <c r="A5110" t="s">
        <v>2857</v>
      </c>
      <c r="B5110" t="s">
        <v>2865</v>
      </c>
      <c r="C5110" t="s">
        <v>1440</v>
      </c>
      <c r="D5110" t="s">
        <v>2909</v>
      </c>
      <c r="E5110">
        <v>262</v>
      </c>
      <c r="F5110" s="11">
        <v>1</v>
      </c>
    </row>
    <row r="5111" spans="1:6" x14ac:dyDescent="0.35">
      <c r="A5111" t="s">
        <v>2857</v>
      </c>
      <c r="B5111" t="s">
        <v>2865</v>
      </c>
      <c r="C5111" t="s">
        <v>1440</v>
      </c>
      <c r="D5111" t="s">
        <v>2910</v>
      </c>
      <c r="E5111">
        <v>5299</v>
      </c>
      <c r="F5111" s="11">
        <v>1</v>
      </c>
    </row>
    <row r="5112" spans="1:6" x14ac:dyDescent="0.35">
      <c r="A5112" t="s">
        <v>2857</v>
      </c>
      <c r="B5112" t="s">
        <v>2865</v>
      </c>
      <c r="C5112" t="s">
        <v>1440</v>
      </c>
      <c r="D5112" t="s">
        <v>2911</v>
      </c>
      <c r="E5112">
        <v>158393</v>
      </c>
      <c r="F5112" s="11">
        <v>1</v>
      </c>
    </row>
    <row r="5113" spans="1:6" x14ac:dyDescent="0.35">
      <c r="A5113" t="s">
        <v>2857</v>
      </c>
      <c r="B5113" t="s">
        <v>2865</v>
      </c>
      <c r="C5113" t="s">
        <v>1440</v>
      </c>
      <c r="D5113" t="s">
        <v>2912</v>
      </c>
      <c r="E5113">
        <v>208059</v>
      </c>
      <c r="F5113" s="11">
        <v>1</v>
      </c>
    </row>
    <row r="5114" spans="1:6" x14ac:dyDescent="0.35">
      <c r="A5114" t="s">
        <v>2857</v>
      </c>
      <c r="B5114" t="s">
        <v>2865</v>
      </c>
      <c r="C5114" t="s">
        <v>1440</v>
      </c>
      <c r="D5114" t="s">
        <v>2913</v>
      </c>
      <c r="E5114">
        <v>0</v>
      </c>
      <c r="F5114" s="11">
        <v>0</v>
      </c>
    </row>
    <row r="5115" spans="1:6" x14ac:dyDescent="0.35">
      <c r="A5115" t="s">
        <v>2857</v>
      </c>
      <c r="B5115" t="s">
        <v>2865</v>
      </c>
      <c r="C5115" t="s">
        <v>1440</v>
      </c>
      <c r="D5115" t="s">
        <v>2914</v>
      </c>
      <c r="E5115">
        <v>0</v>
      </c>
      <c r="F5115" s="11">
        <v>0</v>
      </c>
    </row>
    <row r="5116" spans="1:6" x14ac:dyDescent="0.35">
      <c r="A5116" t="s">
        <v>2857</v>
      </c>
      <c r="B5116" t="s">
        <v>2865</v>
      </c>
      <c r="C5116" t="s">
        <v>1440</v>
      </c>
      <c r="D5116" t="s">
        <v>2915</v>
      </c>
      <c r="E5116">
        <v>414</v>
      </c>
      <c r="F5116" s="11">
        <v>1</v>
      </c>
    </row>
    <row r="5117" spans="1:6" x14ac:dyDescent="0.35">
      <c r="A5117" t="s">
        <v>2857</v>
      </c>
      <c r="B5117" t="s">
        <v>2865</v>
      </c>
      <c r="C5117" t="s">
        <v>1440</v>
      </c>
      <c r="D5117" t="s">
        <v>2916</v>
      </c>
      <c r="E5117">
        <v>24473</v>
      </c>
      <c r="F5117" s="11">
        <v>1</v>
      </c>
    </row>
    <row r="5118" spans="1:6" x14ac:dyDescent="0.35">
      <c r="A5118" t="s">
        <v>2857</v>
      </c>
      <c r="B5118" t="s">
        <v>2865</v>
      </c>
      <c r="C5118" t="s">
        <v>1440</v>
      </c>
      <c r="D5118" t="s">
        <v>2917</v>
      </c>
      <c r="E5118">
        <v>0</v>
      </c>
      <c r="F5118" s="11">
        <v>0</v>
      </c>
    </row>
    <row r="5119" spans="1:6" x14ac:dyDescent="0.35">
      <c r="A5119" t="s">
        <v>2857</v>
      </c>
      <c r="B5119" t="s">
        <v>2865</v>
      </c>
      <c r="C5119" t="s">
        <v>1399</v>
      </c>
      <c r="D5119" t="s">
        <v>2875</v>
      </c>
      <c r="E5119">
        <v>16904</v>
      </c>
      <c r="F5119" s="11">
        <v>1</v>
      </c>
    </row>
    <row r="5120" spans="1:6" x14ac:dyDescent="0.35">
      <c r="A5120" t="s">
        <v>2857</v>
      </c>
      <c r="B5120" t="s">
        <v>2865</v>
      </c>
      <c r="C5120" t="s">
        <v>1399</v>
      </c>
      <c r="D5120" t="s">
        <v>2876</v>
      </c>
      <c r="E5120">
        <v>6186</v>
      </c>
      <c r="F5120" s="11">
        <v>0</v>
      </c>
    </row>
    <row r="5121" spans="1:6" x14ac:dyDescent="0.35">
      <c r="A5121" t="s">
        <v>2857</v>
      </c>
      <c r="B5121" t="s">
        <v>2865</v>
      </c>
      <c r="C5121" t="s">
        <v>1399</v>
      </c>
      <c r="D5121" t="s">
        <v>2877</v>
      </c>
      <c r="E5121">
        <v>2039</v>
      </c>
      <c r="F5121" s="11">
        <v>0</v>
      </c>
    </row>
    <row r="5122" spans="1:6" x14ac:dyDescent="0.35">
      <c r="A5122" t="s">
        <v>2857</v>
      </c>
      <c r="B5122" t="s">
        <v>2865</v>
      </c>
      <c r="C5122" t="s">
        <v>1399</v>
      </c>
      <c r="D5122" t="s">
        <v>2878</v>
      </c>
      <c r="E5122">
        <v>8679</v>
      </c>
      <c r="F5122" s="11">
        <v>0</v>
      </c>
    </row>
    <row r="5123" spans="1:6" x14ac:dyDescent="0.35">
      <c r="A5123" t="s">
        <v>2857</v>
      </c>
      <c r="B5123" t="s">
        <v>2865</v>
      </c>
      <c r="C5123" t="s">
        <v>1399</v>
      </c>
      <c r="D5123" t="s">
        <v>2879</v>
      </c>
      <c r="E5123">
        <v>5289</v>
      </c>
      <c r="F5123" s="11">
        <v>0</v>
      </c>
    </row>
    <row r="5124" spans="1:6" x14ac:dyDescent="0.35">
      <c r="A5124" t="s">
        <v>2857</v>
      </c>
      <c r="B5124" t="s">
        <v>2865</v>
      </c>
      <c r="C5124" t="s">
        <v>1399</v>
      </c>
      <c r="D5124" t="s">
        <v>2880</v>
      </c>
      <c r="E5124">
        <v>0</v>
      </c>
      <c r="F5124" s="11">
        <v>1</v>
      </c>
    </row>
    <row r="5125" spans="1:6" x14ac:dyDescent="0.35">
      <c r="A5125" t="s">
        <v>2857</v>
      </c>
      <c r="B5125" t="s">
        <v>2865</v>
      </c>
      <c r="C5125" t="s">
        <v>1399</v>
      </c>
      <c r="D5125" t="s">
        <v>2881</v>
      </c>
      <c r="E5125">
        <v>0</v>
      </c>
      <c r="F5125" s="11">
        <v>1</v>
      </c>
    </row>
    <row r="5126" spans="1:6" x14ac:dyDescent="0.35">
      <c r="A5126" t="s">
        <v>2857</v>
      </c>
      <c r="B5126" t="s">
        <v>2865</v>
      </c>
      <c r="C5126" t="s">
        <v>1399</v>
      </c>
      <c r="D5126" t="s">
        <v>2882</v>
      </c>
      <c r="E5126">
        <v>0</v>
      </c>
      <c r="F5126" s="11">
        <v>0</v>
      </c>
    </row>
    <row r="5127" spans="1:6" x14ac:dyDescent="0.35">
      <c r="A5127" t="s">
        <v>2857</v>
      </c>
      <c r="B5127" t="s">
        <v>2865</v>
      </c>
      <c r="C5127" t="s">
        <v>1399</v>
      </c>
      <c r="D5127" t="s">
        <v>2883</v>
      </c>
      <c r="E5127">
        <v>0</v>
      </c>
      <c r="F5127" s="11">
        <v>0</v>
      </c>
    </row>
    <row r="5128" spans="1:6" x14ac:dyDescent="0.35">
      <c r="A5128" t="s">
        <v>2857</v>
      </c>
      <c r="B5128" t="s">
        <v>2865</v>
      </c>
      <c r="C5128" t="s">
        <v>1399</v>
      </c>
      <c r="D5128" t="s">
        <v>2884</v>
      </c>
      <c r="E5128">
        <v>0</v>
      </c>
      <c r="F5128" s="11">
        <v>0</v>
      </c>
    </row>
    <row r="5129" spans="1:6" x14ac:dyDescent="0.35">
      <c r="A5129" t="s">
        <v>2857</v>
      </c>
      <c r="B5129" t="s">
        <v>2865</v>
      </c>
      <c r="C5129" t="s">
        <v>1399</v>
      </c>
      <c r="D5129" t="s">
        <v>2885</v>
      </c>
      <c r="E5129">
        <v>0</v>
      </c>
      <c r="F5129" s="11">
        <v>0</v>
      </c>
    </row>
    <row r="5130" spans="1:6" x14ac:dyDescent="0.35">
      <c r="A5130" t="s">
        <v>2857</v>
      </c>
      <c r="B5130" t="s">
        <v>2865</v>
      </c>
      <c r="C5130" t="s">
        <v>1399</v>
      </c>
      <c r="D5130" t="s">
        <v>2886</v>
      </c>
      <c r="E5130">
        <v>0</v>
      </c>
      <c r="F5130" s="11">
        <v>0</v>
      </c>
    </row>
    <row r="5131" spans="1:6" x14ac:dyDescent="0.35">
      <c r="A5131" t="s">
        <v>2857</v>
      </c>
      <c r="B5131" t="s">
        <v>2865</v>
      </c>
      <c r="C5131" t="s">
        <v>1399</v>
      </c>
      <c r="D5131" t="s">
        <v>2887</v>
      </c>
      <c r="E5131">
        <v>76915</v>
      </c>
      <c r="F5131" s="11">
        <v>0</v>
      </c>
    </row>
    <row r="5132" spans="1:6" x14ac:dyDescent="0.35">
      <c r="A5132" t="s">
        <v>2857</v>
      </c>
      <c r="B5132" t="s">
        <v>2865</v>
      </c>
      <c r="C5132" t="s">
        <v>1399</v>
      </c>
      <c r="D5132" t="s">
        <v>2888</v>
      </c>
      <c r="E5132">
        <v>0</v>
      </c>
      <c r="F5132" s="11">
        <v>1</v>
      </c>
    </row>
    <row r="5133" spans="1:6" x14ac:dyDescent="0.35">
      <c r="A5133" t="s">
        <v>2857</v>
      </c>
      <c r="B5133" t="s">
        <v>2865</v>
      </c>
      <c r="C5133" t="s">
        <v>1399</v>
      </c>
      <c r="D5133" t="s">
        <v>2889</v>
      </c>
      <c r="E5133">
        <v>0</v>
      </c>
      <c r="F5133" s="11">
        <v>1</v>
      </c>
    </row>
    <row r="5134" spans="1:6" x14ac:dyDescent="0.35">
      <c r="A5134" t="s">
        <v>2857</v>
      </c>
      <c r="B5134" t="s">
        <v>2865</v>
      </c>
      <c r="C5134" t="s">
        <v>1399</v>
      </c>
      <c r="D5134" t="s">
        <v>2890</v>
      </c>
      <c r="E5134">
        <v>0</v>
      </c>
      <c r="F5134" s="11">
        <v>0</v>
      </c>
    </row>
    <row r="5135" spans="1:6" x14ac:dyDescent="0.35">
      <c r="A5135" t="s">
        <v>2857</v>
      </c>
      <c r="B5135" t="s">
        <v>2865</v>
      </c>
      <c r="C5135" t="s">
        <v>1399</v>
      </c>
      <c r="D5135" t="s">
        <v>2891</v>
      </c>
      <c r="E5135">
        <v>0</v>
      </c>
      <c r="F5135" s="11">
        <v>0</v>
      </c>
    </row>
    <row r="5136" spans="1:6" x14ac:dyDescent="0.35">
      <c r="A5136" t="s">
        <v>2857</v>
      </c>
      <c r="B5136" t="s">
        <v>2865</v>
      </c>
      <c r="C5136" t="s">
        <v>1399</v>
      </c>
      <c r="D5136" t="s">
        <v>2892</v>
      </c>
      <c r="E5136">
        <v>0</v>
      </c>
      <c r="F5136" s="11">
        <v>0</v>
      </c>
    </row>
    <row r="5137" spans="1:6" x14ac:dyDescent="0.35">
      <c r="A5137" t="s">
        <v>2857</v>
      </c>
      <c r="B5137" t="s">
        <v>2865</v>
      </c>
      <c r="C5137" t="s">
        <v>1399</v>
      </c>
      <c r="D5137" t="s">
        <v>2893</v>
      </c>
      <c r="E5137">
        <v>0</v>
      </c>
      <c r="F5137" s="11">
        <v>0</v>
      </c>
    </row>
    <row r="5138" spans="1:6" x14ac:dyDescent="0.35">
      <c r="A5138" t="s">
        <v>2857</v>
      </c>
      <c r="B5138" t="s">
        <v>2865</v>
      </c>
      <c r="C5138" t="s">
        <v>1399</v>
      </c>
      <c r="D5138" t="s">
        <v>2894</v>
      </c>
      <c r="E5138">
        <v>0</v>
      </c>
      <c r="F5138" s="11">
        <v>0</v>
      </c>
    </row>
    <row r="5139" spans="1:6" x14ac:dyDescent="0.35">
      <c r="A5139" t="s">
        <v>2857</v>
      </c>
      <c r="B5139" t="s">
        <v>2865</v>
      </c>
      <c r="C5139" t="s">
        <v>1399</v>
      </c>
      <c r="D5139" t="s">
        <v>2895</v>
      </c>
      <c r="E5139">
        <v>346005</v>
      </c>
      <c r="F5139" s="11">
        <v>1</v>
      </c>
    </row>
    <row r="5140" spans="1:6" x14ac:dyDescent="0.35">
      <c r="A5140" t="s">
        <v>2857</v>
      </c>
      <c r="B5140" t="s">
        <v>2865</v>
      </c>
      <c r="C5140" t="s">
        <v>1399</v>
      </c>
      <c r="D5140" t="s">
        <v>2896</v>
      </c>
      <c r="E5140">
        <v>164893</v>
      </c>
      <c r="F5140" s="11">
        <v>1</v>
      </c>
    </row>
    <row r="5141" spans="1:6" x14ac:dyDescent="0.35">
      <c r="A5141" t="s">
        <v>2857</v>
      </c>
      <c r="B5141" t="s">
        <v>2865</v>
      </c>
      <c r="C5141" t="s">
        <v>1399</v>
      </c>
      <c r="D5141" t="s">
        <v>2897</v>
      </c>
      <c r="E5141">
        <v>0</v>
      </c>
      <c r="F5141" s="11">
        <v>1</v>
      </c>
    </row>
    <row r="5142" spans="1:6" x14ac:dyDescent="0.35">
      <c r="A5142" t="s">
        <v>2857</v>
      </c>
      <c r="B5142" t="s">
        <v>2865</v>
      </c>
      <c r="C5142" t="s">
        <v>1399</v>
      </c>
      <c r="D5142" t="s">
        <v>2898</v>
      </c>
      <c r="E5142">
        <v>181112</v>
      </c>
      <c r="F5142" s="11">
        <v>0</v>
      </c>
    </row>
    <row r="5143" spans="1:6" x14ac:dyDescent="0.35">
      <c r="A5143" t="s">
        <v>2857</v>
      </c>
      <c r="B5143" t="s">
        <v>2865</v>
      </c>
      <c r="C5143" t="s">
        <v>1399</v>
      </c>
      <c r="D5143" t="s">
        <v>2899</v>
      </c>
      <c r="E5143">
        <v>5838</v>
      </c>
      <c r="F5143" s="11">
        <v>1</v>
      </c>
    </row>
    <row r="5144" spans="1:6" x14ac:dyDescent="0.35">
      <c r="A5144" t="s">
        <v>2857</v>
      </c>
      <c r="B5144" t="s">
        <v>2865</v>
      </c>
      <c r="C5144" t="s">
        <v>1399</v>
      </c>
      <c r="D5144" t="s">
        <v>2900</v>
      </c>
      <c r="E5144">
        <v>92</v>
      </c>
      <c r="F5144" s="11">
        <v>1</v>
      </c>
    </row>
    <row r="5145" spans="1:6" x14ac:dyDescent="0.35">
      <c r="A5145" t="s">
        <v>2857</v>
      </c>
      <c r="B5145" t="s">
        <v>2865</v>
      </c>
      <c r="C5145" t="s">
        <v>1399</v>
      </c>
      <c r="D5145" t="s">
        <v>2901</v>
      </c>
      <c r="E5145">
        <v>0</v>
      </c>
      <c r="F5145" s="11">
        <v>1</v>
      </c>
    </row>
    <row r="5146" spans="1:6" x14ac:dyDescent="0.35">
      <c r="A5146" t="s">
        <v>2857</v>
      </c>
      <c r="B5146" t="s">
        <v>2865</v>
      </c>
      <c r="C5146" t="s">
        <v>1399</v>
      </c>
      <c r="D5146" t="s">
        <v>2902</v>
      </c>
      <c r="E5146">
        <v>5756</v>
      </c>
      <c r="F5146" s="11">
        <v>0</v>
      </c>
    </row>
    <row r="5147" spans="1:6" x14ac:dyDescent="0.35">
      <c r="A5147" t="s">
        <v>2857</v>
      </c>
      <c r="B5147" t="s">
        <v>2865</v>
      </c>
      <c r="C5147" t="s">
        <v>1399</v>
      </c>
      <c r="D5147" t="s">
        <v>2903</v>
      </c>
      <c r="E5147">
        <v>41531</v>
      </c>
      <c r="F5147" s="11">
        <v>1</v>
      </c>
    </row>
    <row r="5148" spans="1:6" x14ac:dyDescent="0.35">
      <c r="A5148" t="s">
        <v>2857</v>
      </c>
      <c r="B5148" t="s">
        <v>2865</v>
      </c>
      <c r="C5148" t="s">
        <v>1399</v>
      </c>
      <c r="D5148" t="s">
        <v>2904</v>
      </c>
      <c r="E5148">
        <v>0</v>
      </c>
      <c r="F5148" s="11">
        <v>0</v>
      </c>
    </row>
    <row r="5149" spans="1:6" x14ac:dyDescent="0.35">
      <c r="A5149" t="s">
        <v>2857</v>
      </c>
      <c r="B5149" t="s">
        <v>2865</v>
      </c>
      <c r="C5149" t="s">
        <v>1399</v>
      </c>
      <c r="D5149" t="s">
        <v>2905</v>
      </c>
      <c r="E5149">
        <v>0</v>
      </c>
      <c r="F5149" s="11">
        <v>0</v>
      </c>
    </row>
    <row r="5150" spans="1:6" x14ac:dyDescent="0.35">
      <c r="A5150" t="s">
        <v>2857</v>
      </c>
      <c r="B5150" t="s">
        <v>2865</v>
      </c>
      <c r="C5150" t="s">
        <v>1399</v>
      </c>
      <c r="D5150" t="s">
        <v>2906</v>
      </c>
      <c r="E5150">
        <v>0</v>
      </c>
      <c r="F5150" s="11">
        <v>0</v>
      </c>
    </row>
    <row r="5151" spans="1:6" x14ac:dyDescent="0.35">
      <c r="A5151" t="s">
        <v>2857</v>
      </c>
      <c r="B5151" t="s">
        <v>2865</v>
      </c>
      <c r="C5151" t="s">
        <v>1399</v>
      </c>
      <c r="D5151" t="s">
        <v>2907</v>
      </c>
      <c r="E5151">
        <v>24325</v>
      </c>
      <c r="F5151" s="11">
        <v>1</v>
      </c>
    </row>
    <row r="5152" spans="1:6" x14ac:dyDescent="0.35">
      <c r="A5152" t="s">
        <v>2857</v>
      </c>
      <c r="B5152" t="s">
        <v>2865</v>
      </c>
      <c r="C5152" t="s">
        <v>1399</v>
      </c>
      <c r="D5152" t="s">
        <v>2908</v>
      </c>
      <c r="E5152">
        <v>0</v>
      </c>
      <c r="F5152" s="11">
        <v>0</v>
      </c>
    </row>
    <row r="5153" spans="1:6" x14ac:dyDescent="0.35">
      <c r="A5153" t="s">
        <v>2857</v>
      </c>
      <c r="B5153" t="s">
        <v>2865</v>
      </c>
      <c r="C5153" t="s">
        <v>1399</v>
      </c>
      <c r="D5153" t="s">
        <v>2909</v>
      </c>
      <c r="E5153">
        <v>33197</v>
      </c>
      <c r="F5153" s="11">
        <v>0</v>
      </c>
    </row>
    <row r="5154" spans="1:6" x14ac:dyDescent="0.35">
      <c r="A5154" t="s">
        <v>2857</v>
      </c>
      <c r="B5154" t="s">
        <v>2865</v>
      </c>
      <c r="C5154" t="s">
        <v>1399</v>
      </c>
      <c r="D5154" t="s">
        <v>2910</v>
      </c>
      <c r="E5154">
        <v>0</v>
      </c>
      <c r="F5154" s="11">
        <v>0</v>
      </c>
    </row>
    <row r="5155" spans="1:6" x14ac:dyDescent="0.35">
      <c r="A5155" t="s">
        <v>2857</v>
      </c>
      <c r="B5155" t="s">
        <v>2865</v>
      </c>
      <c r="C5155" t="s">
        <v>1399</v>
      </c>
      <c r="D5155" t="s">
        <v>2911</v>
      </c>
      <c r="E5155">
        <v>819022</v>
      </c>
      <c r="F5155" s="11">
        <v>1</v>
      </c>
    </row>
    <row r="5156" spans="1:6" x14ac:dyDescent="0.35">
      <c r="A5156" t="s">
        <v>2857</v>
      </c>
      <c r="B5156" t="s">
        <v>2865</v>
      </c>
      <c r="C5156" t="s">
        <v>1399</v>
      </c>
      <c r="D5156" t="s">
        <v>2912</v>
      </c>
      <c r="E5156">
        <v>0</v>
      </c>
      <c r="F5156" s="11">
        <v>1</v>
      </c>
    </row>
    <row r="5157" spans="1:6" x14ac:dyDescent="0.35">
      <c r="A5157" t="s">
        <v>2857</v>
      </c>
      <c r="B5157" t="s">
        <v>2865</v>
      </c>
      <c r="C5157" t="s">
        <v>1399</v>
      </c>
      <c r="D5157" t="s">
        <v>2913</v>
      </c>
      <c r="E5157">
        <v>0</v>
      </c>
      <c r="F5157" s="11">
        <v>0</v>
      </c>
    </row>
    <row r="5158" spans="1:6" x14ac:dyDescent="0.35">
      <c r="A5158" t="s">
        <v>2857</v>
      </c>
      <c r="B5158" t="s">
        <v>2865</v>
      </c>
      <c r="C5158" t="s">
        <v>1399</v>
      </c>
      <c r="D5158" t="s">
        <v>2914</v>
      </c>
      <c r="E5158">
        <v>0</v>
      </c>
      <c r="F5158" s="11">
        <v>0</v>
      </c>
    </row>
    <row r="5159" spans="1:6" x14ac:dyDescent="0.35">
      <c r="A5159" t="s">
        <v>2857</v>
      </c>
      <c r="B5159" t="s">
        <v>2865</v>
      </c>
      <c r="C5159" t="s">
        <v>1399</v>
      </c>
      <c r="D5159" t="s">
        <v>2915</v>
      </c>
      <c r="E5159">
        <v>2160</v>
      </c>
      <c r="F5159" s="11">
        <v>1</v>
      </c>
    </row>
    <row r="5160" spans="1:6" x14ac:dyDescent="0.35">
      <c r="A5160" t="s">
        <v>2857</v>
      </c>
      <c r="B5160" t="s">
        <v>2865</v>
      </c>
      <c r="C5160" t="s">
        <v>1399</v>
      </c>
      <c r="D5160" t="s">
        <v>2916</v>
      </c>
      <c r="E5160">
        <v>50405</v>
      </c>
      <c r="F5160" s="11">
        <v>1</v>
      </c>
    </row>
    <row r="5161" spans="1:6" x14ac:dyDescent="0.35">
      <c r="A5161" t="s">
        <v>2857</v>
      </c>
      <c r="B5161" t="s">
        <v>2865</v>
      </c>
      <c r="C5161" t="s">
        <v>1399</v>
      </c>
      <c r="D5161" t="s">
        <v>2917</v>
      </c>
      <c r="E5161">
        <v>0</v>
      </c>
      <c r="F5161" s="11">
        <v>1</v>
      </c>
    </row>
    <row r="5162" spans="1:6" x14ac:dyDescent="0.35">
      <c r="A5162" t="s">
        <v>2857</v>
      </c>
      <c r="B5162" t="s">
        <v>2864</v>
      </c>
      <c r="C5162" t="s">
        <v>1395</v>
      </c>
      <c r="D5162" t="s">
        <v>2875</v>
      </c>
      <c r="E5162">
        <v>28634</v>
      </c>
      <c r="F5162" s="11">
        <v>1</v>
      </c>
    </row>
    <row r="5163" spans="1:6" x14ac:dyDescent="0.35">
      <c r="A5163" t="s">
        <v>2857</v>
      </c>
      <c r="B5163" t="s">
        <v>2864</v>
      </c>
      <c r="C5163" t="s">
        <v>1395</v>
      </c>
      <c r="D5163" t="s">
        <v>2876</v>
      </c>
      <c r="E5163">
        <v>0</v>
      </c>
      <c r="F5163" s="11">
        <v>1</v>
      </c>
    </row>
    <row r="5164" spans="1:6" x14ac:dyDescent="0.35">
      <c r="A5164" t="s">
        <v>2857</v>
      </c>
      <c r="B5164" t="s">
        <v>2864</v>
      </c>
      <c r="C5164" t="s">
        <v>1395</v>
      </c>
      <c r="D5164" t="s">
        <v>2877</v>
      </c>
      <c r="E5164">
        <v>0</v>
      </c>
      <c r="F5164" s="11">
        <v>1</v>
      </c>
    </row>
    <row r="5165" spans="1:6" x14ac:dyDescent="0.35">
      <c r="A5165" t="s">
        <v>2857</v>
      </c>
      <c r="B5165" t="s">
        <v>2864</v>
      </c>
      <c r="C5165" t="s">
        <v>1395</v>
      </c>
      <c r="D5165" t="s">
        <v>2878</v>
      </c>
      <c r="E5165">
        <v>16945</v>
      </c>
      <c r="F5165" s="11">
        <v>1</v>
      </c>
    </row>
    <row r="5166" spans="1:6" x14ac:dyDescent="0.35">
      <c r="A5166" t="s">
        <v>2857</v>
      </c>
      <c r="B5166" t="s">
        <v>2864</v>
      </c>
      <c r="C5166" t="s">
        <v>1395</v>
      </c>
      <c r="D5166" t="s">
        <v>2879</v>
      </c>
      <c r="E5166">
        <v>9987</v>
      </c>
      <c r="F5166" s="11">
        <v>1</v>
      </c>
    </row>
    <row r="5167" spans="1:6" x14ac:dyDescent="0.35">
      <c r="A5167" t="s">
        <v>2857</v>
      </c>
      <c r="B5167" t="s">
        <v>2864</v>
      </c>
      <c r="C5167" t="s">
        <v>1395</v>
      </c>
      <c r="D5167" t="s">
        <v>2880</v>
      </c>
      <c r="E5167">
        <v>0</v>
      </c>
      <c r="F5167" s="11">
        <v>1</v>
      </c>
    </row>
    <row r="5168" spans="1:6" x14ac:dyDescent="0.35">
      <c r="A5168" t="s">
        <v>2857</v>
      </c>
      <c r="B5168" t="s">
        <v>2864</v>
      </c>
      <c r="C5168" t="s">
        <v>1395</v>
      </c>
      <c r="D5168" t="s">
        <v>2881</v>
      </c>
      <c r="E5168">
        <v>0</v>
      </c>
      <c r="F5168" s="11">
        <v>1</v>
      </c>
    </row>
    <row r="5169" spans="1:6" x14ac:dyDescent="0.35">
      <c r="A5169" t="s">
        <v>2857</v>
      </c>
      <c r="B5169" t="s">
        <v>2864</v>
      </c>
      <c r="C5169" t="s">
        <v>1395</v>
      </c>
      <c r="D5169" t="s">
        <v>2882</v>
      </c>
      <c r="E5169">
        <v>0</v>
      </c>
      <c r="F5169" s="11">
        <v>1</v>
      </c>
    </row>
    <row r="5170" spans="1:6" x14ac:dyDescent="0.35">
      <c r="A5170" t="s">
        <v>2857</v>
      </c>
      <c r="B5170" t="s">
        <v>2864</v>
      </c>
      <c r="C5170" t="s">
        <v>1395</v>
      </c>
      <c r="D5170" t="s">
        <v>2883</v>
      </c>
      <c r="E5170">
        <v>0</v>
      </c>
      <c r="F5170" s="11">
        <v>1</v>
      </c>
    </row>
    <row r="5171" spans="1:6" x14ac:dyDescent="0.35">
      <c r="A5171" t="s">
        <v>2857</v>
      </c>
      <c r="B5171" t="s">
        <v>2864</v>
      </c>
      <c r="C5171" t="s">
        <v>1395</v>
      </c>
      <c r="D5171" t="s">
        <v>2884</v>
      </c>
      <c r="E5171">
        <v>0</v>
      </c>
      <c r="F5171" s="11">
        <v>1</v>
      </c>
    </row>
    <row r="5172" spans="1:6" x14ac:dyDescent="0.35">
      <c r="A5172" t="s">
        <v>2857</v>
      </c>
      <c r="B5172" t="s">
        <v>2864</v>
      </c>
      <c r="C5172" t="s">
        <v>1395</v>
      </c>
      <c r="D5172" t="s">
        <v>2885</v>
      </c>
      <c r="E5172">
        <v>0</v>
      </c>
      <c r="F5172" s="11">
        <v>1</v>
      </c>
    </row>
    <row r="5173" spans="1:6" x14ac:dyDescent="0.35">
      <c r="A5173" t="s">
        <v>2857</v>
      </c>
      <c r="B5173" t="s">
        <v>2864</v>
      </c>
      <c r="C5173" t="s">
        <v>1395</v>
      </c>
      <c r="D5173" t="s">
        <v>2886</v>
      </c>
      <c r="E5173">
        <v>0</v>
      </c>
      <c r="F5173" s="11">
        <v>0</v>
      </c>
    </row>
    <row r="5174" spans="1:6" x14ac:dyDescent="0.35">
      <c r="A5174" t="s">
        <v>2857</v>
      </c>
      <c r="B5174" t="s">
        <v>2864</v>
      </c>
      <c r="C5174" t="s">
        <v>1395</v>
      </c>
      <c r="D5174" t="s">
        <v>2887</v>
      </c>
      <c r="E5174">
        <v>129787</v>
      </c>
      <c r="F5174" s="11">
        <v>1</v>
      </c>
    </row>
    <row r="5175" spans="1:6" x14ac:dyDescent="0.35">
      <c r="A5175" t="s">
        <v>2857</v>
      </c>
      <c r="B5175" t="s">
        <v>2864</v>
      </c>
      <c r="C5175" t="s">
        <v>1395</v>
      </c>
      <c r="D5175" t="s">
        <v>2888</v>
      </c>
      <c r="E5175">
        <v>63635</v>
      </c>
      <c r="F5175" s="11">
        <v>1</v>
      </c>
    </row>
    <row r="5176" spans="1:6" x14ac:dyDescent="0.35">
      <c r="A5176" t="s">
        <v>2857</v>
      </c>
      <c r="B5176" t="s">
        <v>2864</v>
      </c>
      <c r="C5176" t="s">
        <v>1395</v>
      </c>
      <c r="D5176" t="s">
        <v>2889</v>
      </c>
      <c r="E5176">
        <v>1191</v>
      </c>
      <c r="F5176" s="11">
        <v>1</v>
      </c>
    </row>
    <row r="5177" spans="1:6" x14ac:dyDescent="0.35">
      <c r="A5177" t="s">
        <v>2857</v>
      </c>
      <c r="B5177" t="s">
        <v>2864</v>
      </c>
      <c r="C5177" t="s">
        <v>1395</v>
      </c>
      <c r="D5177" t="s">
        <v>2890</v>
      </c>
      <c r="E5177">
        <v>64899</v>
      </c>
      <c r="F5177" s="11">
        <v>1</v>
      </c>
    </row>
    <row r="5178" spans="1:6" x14ac:dyDescent="0.35">
      <c r="A5178" t="s">
        <v>2857</v>
      </c>
      <c r="B5178" t="s">
        <v>2864</v>
      </c>
      <c r="C5178" t="s">
        <v>1395</v>
      </c>
      <c r="D5178" t="s">
        <v>2891</v>
      </c>
      <c r="E5178">
        <v>59</v>
      </c>
      <c r="F5178" s="11">
        <v>1</v>
      </c>
    </row>
    <row r="5179" spans="1:6" x14ac:dyDescent="0.35">
      <c r="A5179" t="s">
        <v>2857</v>
      </c>
      <c r="B5179" t="s">
        <v>2864</v>
      </c>
      <c r="C5179" t="s">
        <v>1395</v>
      </c>
      <c r="D5179" t="s">
        <v>2892</v>
      </c>
      <c r="E5179">
        <v>10</v>
      </c>
      <c r="F5179" s="11">
        <v>1</v>
      </c>
    </row>
    <row r="5180" spans="1:6" x14ac:dyDescent="0.35">
      <c r="A5180" t="s">
        <v>2857</v>
      </c>
      <c r="B5180" t="s">
        <v>2864</v>
      </c>
      <c r="C5180" t="s">
        <v>1395</v>
      </c>
      <c r="D5180" t="s">
        <v>2893</v>
      </c>
      <c r="E5180">
        <v>1</v>
      </c>
      <c r="F5180" s="11">
        <v>1</v>
      </c>
    </row>
    <row r="5181" spans="1:6" x14ac:dyDescent="0.35">
      <c r="A5181" t="s">
        <v>2857</v>
      </c>
      <c r="B5181" t="s">
        <v>2864</v>
      </c>
      <c r="C5181" t="s">
        <v>1395</v>
      </c>
      <c r="D5181" t="s">
        <v>2894</v>
      </c>
      <c r="E5181">
        <v>48</v>
      </c>
      <c r="F5181" s="11">
        <v>0</v>
      </c>
    </row>
    <row r="5182" spans="1:6" x14ac:dyDescent="0.35">
      <c r="A5182" t="s">
        <v>2857</v>
      </c>
      <c r="B5182" t="s">
        <v>2864</v>
      </c>
      <c r="C5182" t="s">
        <v>1395</v>
      </c>
      <c r="D5182" t="s">
        <v>2895</v>
      </c>
      <c r="E5182">
        <v>805673</v>
      </c>
      <c r="F5182" s="11">
        <v>1</v>
      </c>
    </row>
    <row r="5183" spans="1:6" x14ac:dyDescent="0.35">
      <c r="A5183" t="s">
        <v>2857</v>
      </c>
      <c r="B5183" t="s">
        <v>2864</v>
      </c>
      <c r="C5183" t="s">
        <v>1395</v>
      </c>
      <c r="D5183" t="s">
        <v>2896</v>
      </c>
      <c r="E5183">
        <v>334566</v>
      </c>
      <c r="F5183" s="11">
        <v>1</v>
      </c>
    </row>
    <row r="5184" spans="1:6" x14ac:dyDescent="0.35">
      <c r="A5184" t="s">
        <v>2857</v>
      </c>
      <c r="B5184" t="s">
        <v>2864</v>
      </c>
      <c r="C5184" t="s">
        <v>1395</v>
      </c>
      <c r="D5184" t="s">
        <v>2897</v>
      </c>
      <c r="E5184">
        <v>15520</v>
      </c>
      <c r="F5184" s="11">
        <v>1</v>
      </c>
    </row>
    <row r="5185" spans="1:6" x14ac:dyDescent="0.35">
      <c r="A5185" t="s">
        <v>2857</v>
      </c>
      <c r="B5185" t="s">
        <v>2864</v>
      </c>
      <c r="C5185" t="s">
        <v>1395</v>
      </c>
      <c r="D5185" t="s">
        <v>2898</v>
      </c>
      <c r="E5185">
        <v>453587</v>
      </c>
      <c r="F5185" s="11">
        <v>1</v>
      </c>
    </row>
    <row r="5186" spans="1:6" x14ac:dyDescent="0.35">
      <c r="A5186" t="s">
        <v>2857</v>
      </c>
      <c r="B5186" t="s">
        <v>2864</v>
      </c>
      <c r="C5186" t="s">
        <v>1395</v>
      </c>
      <c r="D5186" t="s">
        <v>2899</v>
      </c>
      <c r="E5186">
        <v>11438</v>
      </c>
      <c r="F5186" s="11">
        <v>1</v>
      </c>
    </row>
    <row r="5187" spans="1:6" x14ac:dyDescent="0.35">
      <c r="A5187" t="s">
        <v>2857</v>
      </c>
      <c r="B5187" t="s">
        <v>2864</v>
      </c>
      <c r="C5187" t="s">
        <v>1395</v>
      </c>
      <c r="D5187" t="s">
        <v>2900</v>
      </c>
      <c r="E5187">
        <v>975</v>
      </c>
      <c r="F5187" s="11">
        <v>1</v>
      </c>
    </row>
    <row r="5188" spans="1:6" x14ac:dyDescent="0.35">
      <c r="A5188" t="s">
        <v>2857</v>
      </c>
      <c r="B5188" t="s">
        <v>2864</v>
      </c>
      <c r="C5188" t="s">
        <v>1395</v>
      </c>
      <c r="D5188" t="s">
        <v>2901</v>
      </c>
      <c r="E5188">
        <v>0</v>
      </c>
      <c r="F5188" s="11">
        <v>1</v>
      </c>
    </row>
    <row r="5189" spans="1:6" x14ac:dyDescent="0.35">
      <c r="A5189" t="s">
        <v>2857</v>
      </c>
      <c r="B5189" t="s">
        <v>2864</v>
      </c>
      <c r="C5189" t="s">
        <v>1395</v>
      </c>
      <c r="D5189" t="s">
        <v>2902</v>
      </c>
      <c r="E5189">
        <v>10463</v>
      </c>
      <c r="F5189" s="11">
        <v>0</v>
      </c>
    </row>
    <row r="5190" spans="1:6" x14ac:dyDescent="0.35">
      <c r="A5190" t="s">
        <v>2857</v>
      </c>
      <c r="B5190" t="s">
        <v>2864</v>
      </c>
      <c r="C5190" t="s">
        <v>1395</v>
      </c>
      <c r="D5190" t="s">
        <v>2903</v>
      </c>
      <c r="E5190">
        <v>51494</v>
      </c>
      <c r="F5190" s="11">
        <v>1</v>
      </c>
    </row>
    <row r="5191" spans="1:6" x14ac:dyDescent="0.35">
      <c r="A5191" t="s">
        <v>2857</v>
      </c>
      <c r="B5191" t="s">
        <v>2864</v>
      </c>
      <c r="C5191" t="s">
        <v>1395</v>
      </c>
      <c r="D5191" t="s">
        <v>2904</v>
      </c>
      <c r="E5191">
        <v>4125</v>
      </c>
      <c r="F5191" s="11">
        <v>1</v>
      </c>
    </row>
    <row r="5192" spans="1:6" x14ac:dyDescent="0.35">
      <c r="A5192" t="s">
        <v>2857</v>
      </c>
      <c r="B5192" t="s">
        <v>2864</v>
      </c>
      <c r="C5192" t="s">
        <v>1395</v>
      </c>
      <c r="D5192" t="s">
        <v>2905</v>
      </c>
      <c r="E5192">
        <v>1985</v>
      </c>
      <c r="F5192" s="11">
        <v>1</v>
      </c>
    </row>
    <row r="5193" spans="1:6" x14ac:dyDescent="0.35">
      <c r="A5193" t="s">
        <v>2857</v>
      </c>
      <c r="B5193" t="s">
        <v>2864</v>
      </c>
      <c r="C5193" t="s">
        <v>1395</v>
      </c>
      <c r="D5193" t="s">
        <v>2906</v>
      </c>
      <c r="E5193">
        <v>88384</v>
      </c>
      <c r="F5193" s="11">
        <v>1</v>
      </c>
    </row>
    <row r="5194" spans="1:6" x14ac:dyDescent="0.35">
      <c r="A5194" t="s">
        <v>2857</v>
      </c>
      <c r="B5194" t="s">
        <v>2864</v>
      </c>
      <c r="C5194" t="s">
        <v>1395</v>
      </c>
      <c r="D5194" t="s">
        <v>2907</v>
      </c>
      <c r="E5194">
        <v>179694</v>
      </c>
      <c r="F5194" s="11">
        <v>1</v>
      </c>
    </row>
    <row r="5195" spans="1:6" x14ac:dyDescent="0.35">
      <c r="A5195" t="s">
        <v>2857</v>
      </c>
      <c r="B5195" t="s">
        <v>2864</v>
      </c>
      <c r="C5195" t="s">
        <v>1395</v>
      </c>
      <c r="D5195" t="s">
        <v>2908</v>
      </c>
      <c r="E5195">
        <v>18231</v>
      </c>
      <c r="F5195" s="11">
        <v>1</v>
      </c>
    </row>
    <row r="5196" spans="1:6" x14ac:dyDescent="0.35">
      <c r="A5196" t="s">
        <v>2857</v>
      </c>
      <c r="B5196" t="s">
        <v>2864</v>
      </c>
      <c r="C5196" t="s">
        <v>1395</v>
      </c>
      <c r="D5196" t="s">
        <v>2909</v>
      </c>
      <c r="E5196">
        <v>7001</v>
      </c>
      <c r="F5196" s="11">
        <v>1</v>
      </c>
    </row>
    <row r="5197" spans="1:6" x14ac:dyDescent="0.35">
      <c r="A5197" t="s">
        <v>2857</v>
      </c>
      <c r="B5197" t="s">
        <v>2864</v>
      </c>
      <c r="C5197" t="s">
        <v>1395</v>
      </c>
      <c r="D5197" t="s">
        <v>2910</v>
      </c>
      <c r="E5197">
        <v>154462</v>
      </c>
      <c r="F5197" s="11">
        <v>1</v>
      </c>
    </row>
    <row r="5198" spans="1:6" x14ac:dyDescent="0.35">
      <c r="A5198" t="s">
        <v>2857</v>
      </c>
      <c r="B5198" t="s">
        <v>2864</v>
      </c>
      <c r="C5198" t="s">
        <v>1395</v>
      </c>
      <c r="D5198" t="s">
        <v>2911</v>
      </c>
      <c r="E5198">
        <v>795567</v>
      </c>
      <c r="F5198" s="11">
        <v>1</v>
      </c>
    </row>
    <row r="5199" spans="1:6" x14ac:dyDescent="0.35">
      <c r="A5199" t="s">
        <v>2857</v>
      </c>
      <c r="B5199" t="s">
        <v>2864</v>
      </c>
      <c r="C5199" t="s">
        <v>1395</v>
      </c>
      <c r="D5199" t="s">
        <v>2912</v>
      </c>
      <c r="E5199">
        <v>258132</v>
      </c>
      <c r="F5199" s="11">
        <v>1</v>
      </c>
    </row>
    <row r="5200" spans="1:6" x14ac:dyDescent="0.35">
      <c r="A5200" t="s">
        <v>2857</v>
      </c>
      <c r="B5200" t="s">
        <v>2864</v>
      </c>
      <c r="C5200" t="s">
        <v>1395</v>
      </c>
      <c r="D5200" t="s">
        <v>2913</v>
      </c>
      <c r="E5200">
        <v>0</v>
      </c>
      <c r="F5200" s="11">
        <v>0</v>
      </c>
    </row>
    <row r="5201" spans="1:6" x14ac:dyDescent="0.35">
      <c r="A5201" t="s">
        <v>2857</v>
      </c>
      <c r="B5201" t="s">
        <v>2864</v>
      </c>
      <c r="C5201" t="s">
        <v>1395</v>
      </c>
      <c r="D5201" t="s">
        <v>2914</v>
      </c>
      <c r="E5201">
        <v>0</v>
      </c>
      <c r="F5201" s="11">
        <v>0</v>
      </c>
    </row>
    <row r="5202" spans="1:6" x14ac:dyDescent="0.35">
      <c r="A5202" t="s">
        <v>2857</v>
      </c>
      <c r="B5202" t="s">
        <v>2864</v>
      </c>
      <c r="C5202" t="s">
        <v>1395</v>
      </c>
      <c r="D5202" t="s">
        <v>2915</v>
      </c>
      <c r="E5202">
        <v>4544</v>
      </c>
      <c r="F5202" s="11">
        <v>1</v>
      </c>
    </row>
    <row r="5203" spans="1:6" x14ac:dyDescent="0.35">
      <c r="A5203" t="s">
        <v>2857</v>
      </c>
      <c r="B5203" t="s">
        <v>2864</v>
      </c>
      <c r="C5203" t="s">
        <v>1395</v>
      </c>
      <c r="D5203" t="s">
        <v>2916</v>
      </c>
      <c r="E5203">
        <v>83788</v>
      </c>
      <c r="F5203" s="11">
        <v>1</v>
      </c>
    </row>
    <row r="5204" spans="1:6" x14ac:dyDescent="0.35">
      <c r="A5204" t="s">
        <v>2857</v>
      </c>
      <c r="B5204" t="s">
        <v>2864</v>
      </c>
      <c r="C5204" t="s">
        <v>1395</v>
      </c>
      <c r="D5204" t="s">
        <v>2917</v>
      </c>
      <c r="E5204">
        <v>0</v>
      </c>
      <c r="F5204" s="11">
        <v>0</v>
      </c>
    </row>
    <row r="5205" spans="1:6" x14ac:dyDescent="0.35">
      <c r="A5205" t="s">
        <v>2857</v>
      </c>
      <c r="B5205" t="s">
        <v>2865</v>
      </c>
      <c r="C5205" t="s">
        <v>1514</v>
      </c>
      <c r="D5205" t="s">
        <v>2875</v>
      </c>
      <c r="E5205">
        <v>34816</v>
      </c>
      <c r="F5205" s="11">
        <v>1</v>
      </c>
    </row>
    <row r="5206" spans="1:6" x14ac:dyDescent="0.35">
      <c r="A5206" t="s">
        <v>2857</v>
      </c>
      <c r="B5206" t="s">
        <v>2865</v>
      </c>
      <c r="C5206" t="s">
        <v>1514</v>
      </c>
      <c r="D5206" t="s">
        <v>2876</v>
      </c>
      <c r="E5206">
        <v>0</v>
      </c>
      <c r="F5206" s="11">
        <v>1</v>
      </c>
    </row>
    <row r="5207" spans="1:6" x14ac:dyDescent="0.35">
      <c r="A5207" t="s">
        <v>2857</v>
      </c>
      <c r="B5207" t="s">
        <v>2865</v>
      </c>
      <c r="C5207" t="s">
        <v>1514</v>
      </c>
      <c r="D5207" t="s">
        <v>2877</v>
      </c>
      <c r="E5207">
        <v>0</v>
      </c>
      <c r="F5207" s="11">
        <v>0</v>
      </c>
    </row>
    <row r="5208" spans="1:6" x14ac:dyDescent="0.35">
      <c r="A5208" t="s">
        <v>2857</v>
      </c>
      <c r="B5208" t="s">
        <v>2865</v>
      </c>
      <c r="C5208" t="s">
        <v>1514</v>
      </c>
      <c r="D5208" t="s">
        <v>2878</v>
      </c>
      <c r="E5208">
        <v>21737</v>
      </c>
      <c r="F5208" s="11">
        <v>0</v>
      </c>
    </row>
    <row r="5209" spans="1:6" x14ac:dyDescent="0.35">
      <c r="A5209" t="s">
        <v>2857</v>
      </c>
      <c r="B5209" t="s">
        <v>2865</v>
      </c>
      <c r="C5209" t="s">
        <v>1514</v>
      </c>
      <c r="D5209" t="s">
        <v>2879</v>
      </c>
      <c r="E5209">
        <v>6360</v>
      </c>
      <c r="F5209" s="11">
        <v>1</v>
      </c>
    </row>
    <row r="5210" spans="1:6" x14ac:dyDescent="0.35">
      <c r="A5210" t="s">
        <v>2857</v>
      </c>
      <c r="B5210" t="s">
        <v>2865</v>
      </c>
      <c r="C5210" t="s">
        <v>1514</v>
      </c>
      <c r="D5210" t="s">
        <v>2880</v>
      </c>
      <c r="E5210">
        <v>3380</v>
      </c>
      <c r="F5210" s="11">
        <v>1</v>
      </c>
    </row>
    <row r="5211" spans="1:6" x14ac:dyDescent="0.35">
      <c r="A5211" t="s">
        <v>2857</v>
      </c>
      <c r="B5211" t="s">
        <v>2865</v>
      </c>
      <c r="C5211" t="s">
        <v>1514</v>
      </c>
      <c r="D5211" t="s">
        <v>2881</v>
      </c>
      <c r="E5211">
        <v>0</v>
      </c>
      <c r="F5211" s="11">
        <v>1</v>
      </c>
    </row>
    <row r="5212" spans="1:6" x14ac:dyDescent="0.35">
      <c r="A5212" t="s">
        <v>2857</v>
      </c>
      <c r="B5212" t="s">
        <v>2865</v>
      </c>
      <c r="C5212" t="s">
        <v>1514</v>
      </c>
      <c r="D5212" t="s">
        <v>2882</v>
      </c>
      <c r="E5212">
        <v>2980</v>
      </c>
      <c r="F5212" s="11">
        <v>0</v>
      </c>
    </row>
    <row r="5213" spans="1:6" x14ac:dyDescent="0.35">
      <c r="A5213" t="s">
        <v>2857</v>
      </c>
      <c r="B5213" t="s">
        <v>2865</v>
      </c>
      <c r="C5213" t="s">
        <v>1514</v>
      </c>
      <c r="D5213" t="s">
        <v>2883</v>
      </c>
      <c r="E5213">
        <v>0</v>
      </c>
      <c r="F5213" s="11">
        <v>0</v>
      </c>
    </row>
    <row r="5214" spans="1:6" x14ac:dyDescent="0.35">
      <c r="A5214" t="s">
        <v>2857</v>
      </c>
      <c r="B5214" t="s">
        <v>2865</v>
      </c>
      <c r="C5214" t="s">
        <v>1514</v>
      </c>
      <c r="D5214" t="s">
        <v>2884</v>
      </c>
      <c r="E5214">
        <v>0</v>
      </c>
      <c r="F5214" s="11">
        <v>0</v>
      </c>
    </row>
    <row r="5215" spans="1:6" x14ac:dyDescent="0.35">
      <c r="A5215" t="s">
        <v>2857</v>
      </c>
      <c r="B5215" t="s">
        <v>2865</v>
      </c>
      <c r="C5215" t="s">
        <v>1514</v>
      </c>
      <c r="D5215" t="s">
        <v>2885</v>
      </c>
      <c r="E5215">
        <v>0</v>
      </c>
      <c r="F5215" s="11">
        <v>0</v>
      </c>
    </row>
    <row r="5216" spans="1:6" x14ac:dyDescent="0.35">
      <c r="A5216" t="s">
        <v>2857</v>
      </c>
      <c r="B5216" t="s">
        <v>2865</v>
      </c>
      <c r="C5216" t="s">
        <v>1514</v>
      </c>
      <c r="D5216" t="s">
        <v>2886</v>
      </c>
      <c r="E5216">
        <v>0</v>
      </c>
      <c r="F5216" s="11">
        <v>0</v>
      </c>
    </row>
    <row r="5217" spans="1:6" x14ac:dyDescent="0.35">
      <c r="A5217" t="s">
        <v>2857</v>
      </c>
      <c r="B5217" t="s">
        <v>2865</v>
      </c>
      <c r="C5217" t="s">
        <v>1514</v>
      </c>
      <c r="D5217" t="s">
        <v>2887</v>
      </c>
      <c r="E5217">
        <v>89417</v>
      </c>
      <c r="F5217" s="11">
        <v>1</v>
      </c>
    </row>
    <row r="5218" spans="1:6" x14ac:dyDescent="0.35">
      <c r="A5218" t="s">
        <v>2857</v>
      </c>
      <c r="B5218" t="s">
        <v>2865</v>
      </c>
      <c r="C5218" t="s">
        <v>1514</v>
      </c>
      <c r="D5218" t="s">
        <v>2888</v>
      </c>
      <c r="E5218">
        <v>38596</v>
      </c>
      <c r="F5218" s="11">
        <v>1</v>
      </c>
    </row>
    <row r="5219" spans="1:6" x14ac:dyDescent="0.35">
      <c r="A5219" t="s">
        <v>2857</v>
      </c>
      <c r="B5219" t="s">
        <v>2865</v>
      </c>
      <c r="C5219" t="s">
        <v>1514</v>
      </c>
      <c r="D5219" t="s">
        <v>2889</v>
      </c>
      <c r="E5219">
        <v>0</v>
      </c>
      <c r="F5219" s="11">
        <v>1</v>
      </c>
    </row>
    <row r="5220" spans="1:6" x14ac:dyDescent="0.35">
      <c r="A5220" t="s">
        <v>2857</v>
      </c>
      <c r="B5220" t="s">
        <v>2865</v>
      </c>
      <c r="C5220" t="s">
        <v>1514</v>
      </c>
      <c r="D5220" t="s">
        <v>2890</v>
      </c>
      <c r="E5220">
        <v>50821</v>
      </c>
      <c r="F5220" s="11">
        <v>0</v>
      </c>
    </row>
    <row r="5221" spans="1:6" x14ac:dyDescent="0.35">
      <c r="A5221" t="s">
        <v>2857</v>
      </c>
      <c r="B5221" t="s">
        <v>2865</v>
      </c>
      <c r="C5221" t="s">
        <v>1514</v>
      </c>
      <c r="D5221" t="s">
        <v>2891</v>
      </c>
      <c r="E5221">
        <v>0</v>
      </c>
      <c r="F5221" s="11">
        <v>0</v>
      </c>
    </row>
    <row r="5222" spans="1:6" x14ac:dyDescent="0.35">
      <c r="A5222" t="s">
        <v>2857</v>
      </c>
      <c r="B5222" t="s">
        <v>2865</v>
      </c>
      <c r="C5222" t="s">
        <v>1514</v>
      </c>
      <c r="D5222" t="s">
        <v>2892</v>
      </c>
      <c r="E5222">
        <v>0</v>
      </c>
      <c r="F5222" s="11">
        <v>0</v>
      </c>
    </row>
    <row r="5223" spans="1:6" x14ac:dyDescent="0.35">
      <c r="A5223" t="s">
        <v>2857</v>
      </c>
      <c r="B5223" t="s">
        <v>2865</v>
      </c>
      <c r="C5223" t="s">
        <v>1514</v>
      </c>
      <c r="D5223" t="s">
        <v>2893</v>
      </c>
      <c r="E5223">
        <v>0</v>
      </c>
      <c r="F5223" s="11">
        <v>0</v>
      </c>
    </row>
    <row r="5224" spans="1:6" x14ac:dyDescent="0.35">
      <c r="A5224" t="s">
        <v>2857</v>
      </c>
      <c r="B5224" t="s">
        <v>2865</v>
      </c>
      <c r="C5224" t="s">
        <v>1514</v>
      </c>
      <c r="D5224" t="s">
        <v>2894</v>
      </c>
      <c r="E5224">
        <v>0</v>
      </c>
      <c r="F5224" s="11">
        <v>0</v>
      </c>
    </row>
    <row r="5225" spans="1:6" x14ac:dyDescent="0.35">
      <c r="A5225" t="s">
        <v>2857</v>
      </c>
      <c r="B5225" t="s">
        <v>2865</v>
      </c>
      <c r="C5225" t="s">
        <v>1514</v>
      </c>
      <c r="D5225" t="s">
        <v>2895</v>
      </c>
      <c r="E5225">
        <v>488397</v>
      </c>
      <c r="F5225" s="11">
        <v>1</v>
      </c>
    </row>
    <row r="5226" spans="1:6" x14ac:dyDescent="0.35">
      <c r="A5226" t="s">
        <v>2857</v>
      </c>
      <c r="B5226" t="s">
        <v>2865</v>
      </c>
      <c r="C5226" t="s">
        <v>1514</v>
      </c>
      <c r="D5226" t="s">
        <v>2896</v>
      </c>
      <c r="E5226">
        <v>0</v>
      </c>
      <c r="F5226" s="11">
        <v>0</v>
      </c>
    </row>
    <row r="5227" spans="1:6" x14ac:dyDescent="0.35">
      <c r="A5227" t="s">
        <v>2857</v>
      </c>
      <c r="B5227" t="s">
        <v>2865</v>
      </c>
      <c r="C5227" t="s">
        <v>1514</v>
      </c>
      <c r="D5227" t="s">
        <v>2897</v>
      </c>
      <c r="E5227">
        <v>0</v>
      </c>
      <c r="F5227" s="11">
        <v>0</v>
      </c>
    </row>
    <row r="5228" spans="1:6" x14ac:dyDescent="0.35">
      <c r="A5228" t="s">
        <v>2857</v>
      </c>
      <c r="B5228" t="s">
        <v>2865</v>
      </c>
      <c r="C5228" t="s">
        <v>1514</v>
      </c>
      <c r="D5228" t="s">
        <v>2898</v>
      </c>
      <c r="E5228">
        <v>234745</v>
      </c>
      <c r="F5228" s="11">
        <v>0</v>
      </c>
    </row>
    <row r="5229" spans="1:6" x14ac:dyDescent="0.35">
      <c r="A5229" t="s">
        <v>2857</v>
      </c>
      <c r="B5229" t="s">
        <v>2865</v>
      </c>
      <c r="C5229" t="s">
        <v>1514</v>
      </c>
      <c r="D5229" t="s">
        <v>2899</v>
      </c>
      <c r="E5229">
        <v>7625</v>
      </c>
      <c r="F5229" s="11">
        <v>1</v>
      </c>
    </row>
    <row r="5230" spans="1:6" x14ac:dyDescent="0.35">
      <c r="A5230" t="s">
        <v>2857</v>
      </c>
      <c r="B5230" t="s">
        <v>2865</v>
      </c>
      <c r="C5230" t="s">
        <v>1514</v>
      </c>
      <c r="D5230" t="s">
        <v>2900</v>
      </c>
      <c r="E5230">
        <v>0</v>
      </c>
      <c r="F5230" s="11">
        <v>0</v>
      </c>
    </row>
    <row r="5231" spans="1:6" x14ac:dyDescent="0.35">
      <c r="A5231" t="s">
        <v>2857</v>
      </c>
      <c r="B5231" t="s">
        <v>2865</v>
      </c>
      <c r="C5231" t="s">
        <v>1514</v>
      </c>
      <c r="D5231" t="s">
        <v>2901</v>
      </c>
      <c r="E5231">
        <v>0</v>
      </c>
      <c r="F5231" s="11">
        <v>0</v>
      </c>
    </row>
    <row r="5232" spans="1:6" x14ac:dyDescent="0.35">
      <c r="A5232" t="s">
        <v>2857</v>
      </c>
      <c r="B5232" t="s">
        <v>2865</v>
      </c>
      <c r="C5232" t="s">
        <v>1514</v>
      </c>
      <c r="D5232" t="s">
        <v>2902</v>
      </c>
      <c r="E5232">
        <v>7649</v>
      </c>
      <c r="F5232" s="11">
        <v>0</v>
      </c>
    </row>
    <row r="5233" spans="1:6" x14ac:dyDescent="0.35">
      <c r="A5233" t="s">
        <v>2857</v>
      </c>
      <c r="B5233" t="s">
        <v>2865</v>
      </c>
      <c r="C5233" t="s">
        <v>1514</v>
      </c>
      <c r="D5233" t="s">
        <v>2903</v>
      </c>
      <c r="E5233">
        <v>21783</v>
      </c>
      <c r="F5233" s="11">
        <v>1</v>
      </c>
    </row>
    <row r="5234" spans="1:6" x14ac:dyDescent="0.35">
      <c r="A5234" t="s">
        <v>2857</v>
      </c>
      <c r="B5234" t="s">
        <v>2865</v>
      </c>
      <c r="C5234" t="s">
        <v>1514</v>
      </c>
      <c r="D5234" t="s">
        <v>2904</v>
      </c>
      <c r="E5234">
        <v>2336</v>
      </c>
      <c r="F5234" s="11">
        <v>1</v>
      </c>
    </row>
    <row r="5235" spans="1:6" x14ac:dyDescent="0.35">
      <c r="A5235" t="s">
        <v>2857</v>
      </c>
      <c r="B5235" t="s">
        <v>2865</v>
      </c>
      <c r="C5235" t="s">
        <v>1514</v>
      </c>
      <c r="D5235" t="s">
        <v>2905</v>
      </c>
      <c r="E5235">
        <v>1495</v>
      </c>
      <c r="F5235" s="11">
        <v>1</v>
      </c>
    </row>
    <row r="5236" spans="1:6" x14ac:dyDescent="0.35">
      <c r="A5236" t="s">
        <v>2857</v>
      </c>
      <c r="B5236" t="s">
        <v>2865</v>
      </c>
      <c r="C5236" t="s">
        <v>1514</v>
      </c>
      <c r="D5236" t="s">
        <v>2906</v>
      </c>
      <c r="E5236">
        <v>17954</v>
      </c>
      <c r="F5236" s="11">
        <v>1</v>
      </c>
    </row>
    <row r="5237" spans="1:6" x14ac:dyDescent="0.35">
      <c r="A5237" t="s">
        <v>2857</v>
      </c>
      <c r="B5237" t="s">
        <v>2865</v>
      </c>
      <c r="C5237" t="s">
        <v>1514</v>
      </c>
      <c r="D5237" t="s">
        <v>2907</v>
      </c>
      <c r="E5237">
        <v>29891</v>
      </c>
      <c r="F5237" s="11">
        <v>1</v>
      </c>
    </row>
    <row r="5238" spans="1:6" x14ac:dyDescent="0.35">
      <c r="A5238" t="s">
        <v>2857</v>
      </c>
      <c r="B5238" t="s">
        <v>2865</v>
      </c>
      <c r="C5238" t="s">
        <v>1514</v>
      </c>
      <c r="D5238" t="s">
        <v>2908</v>
      </c>
      <c r="E5238">
        <v>4460</v>
      </c>
      <c r="F5238" s="11">
        <v>1</v>
      </c>
    </row>
    <row r="5239" spans="1:6" x14ac:dyDescent="0.35">
      <c r="A5239" t="s">
        <v>2857</v>
      </c>
      <c r="B5239" t="s">
        <v>2865</v>
      </c>
      <c r="C5239" t="s">
        <v>1514</v>
      </c>
      <c r="D5239" t="s">
        <v>2909</v>
      </c>
      <c r="E5239">
        <v>1382</v>
      </c>
      <c r="F5239" s="11">
        <v>1</v>
      </c>
    </row>
    <row r="5240" spans="1:6" x14ac:dyDescent="0.35">
      <c r="A5240" t="s">
        <v>2857</v>
      </c>
      <c r="B5240" t="s">
        <v>2865</v>
      </c>
      <c r="C5240" t="s">
        <v>1514</v>
      </c>
      <c r="D5240" t="s">
        <v>2910</v>
      </c>
      <c r="E5240">
        <v>24046</v>
      </c>
      <c r="F5240" s="11">
        <v>1</v>
      </c>
    </row>
    <row r="5241" spans="1:6" x14ac:dyDescent="0.35">
      <c r="A5241" t="s">
        <v>2857</v>
      </c>
      <c r="B5241" t="s">
        <v>2865</v>
      </c>
      <c r="C5241" t="s">
        <v>1514</v>
      </c>
      <c r="D5241" t="s">
        <v>2911</v>
      </c>
      <c r="E5241">
        <v>422436</v>
      </c>
      <c r="F5241" s="11">
        <v>1</v>
      </c>
    </row>
    <row r="5242" spans="1:6" x14ac:dyDescent="0.35">
      <c r="A5242" t="s">
        <v>2857</v>
      </c>
      <c r="B5242" t="s">
        <v>2865</v>
      </c>
      <c r="C5242" t="s">
        <v>1514</v>
      </c>
      <c r="D5242" t="s">
        <v>2912</v>
      </c>
      <c r="E5242">
        <v>316801</v>
      </c>
      <c r="F5242" s="11">
        <v>1</v>
      </c>
    </row>
    <row r="5243" spans="1:6" x14ac:dyDescent="0.35">
      <c r="A5243" t="s">
        <v>2857</v>
      </c>
      <c r="B5243" t="s">
        <v>2865</v>
      </c>
      <c r="C5243" t="s">
        <v>1514</v>
      </c>
      <c r="D5243" t="s">
        <v>2913</v>
      </c>
      <c r="E5243">
        <v>0</v>
      </c>
      <c r="F5243" s="11">
        <v>0</v>
      </c>
    </row>
    <row r="5244" spans="1:6" x14ac:dyDescent="0.35">
      <c r="A5244" t="s">
        <v>2857</v>
      </c>
      <c r="B5244" t="s">
        <v>2865</v>
      </c>
      <c r="C5244" t="s">
        <v>1514</v>
      </c>
      <c r="D5244" t="s">
        <v>2914</v>
      </c>
      <c r="E5244">
        <v>0</v>
      </c>
      <c r="F5244" s="11">
        <v>0</v>
      </c>
    </row>
    <row r="5245" spans="1:6" x14ac:dyDescent="0.35">
      <c r="A5245" t="s">
        <v>2857</v>
      </c>
      <c r="B5245" t="s">
        <v>2865</v>
      </c>
      <c r="C5245" t="s">
        <v>1514</v>
      </c>
      <c r="D5245" t="s">
        <v>2915</v>
      </c>
      <c r="E5245">
        <v>1188</v>
      </c>
      <c r="F5245" s="11">
        <v>1</v>
      </c>
    </row>
    <row r="5246" spans="1:6" x14ac:dyDescent="0.35">
      <c r="A5246" t="s">
        <v>2857</v>
      </c>
      <c r="B5246" t="s">
        <v>2865</v>
      </c>
      <c r="C5246" t="s">
        <v>1514</v>
      </c>
      <c r="D5246" t="s">
        <v>2916</v>
      </c>
      <c r="E5246">
        <v>35089</v>
      </c>
      <c r="F5246" s="11">
        <v>1</v>
      </c>
    </row>
    <row r="5247" spans="1:6" x14ac:dyDescent="0.35">
      <c r="A5247" t="s">
        <v>2857</v>
      </c>
      <c r="B5247" t="s">
        <v>2865</v>
      </c>
      <c r="C5247" t="s">
        <v>1514</v>
      </c>
      <c r="D5247" t="s">
        <v>2917</v>
      </c>
      <c r="E5247">
        <v>0</v>
      </c>
      <c r="F5247" s="11">
        <v>0</v>
      </c>
    </row>
    <row r="5248" spans="1:6" x14ac:dyDescent="0.35">
      <c r="A5248" t="s">
        <v>2857</v>
      </c>
      <c r="B5248" t="s">
        <v>2866</v>
      </c>
      <c r="C5248" t="s">
        <v>1527</v>
      </c>
      <c r="D5248" t="s">
        <v>2875</v>
      </c>
      <c r="E5248">
        <v>21239</v>
      </c>
      <c r="F5248" s="11">
        <v>1</v>
      </c>
    </row>
    <row r="5249" spans="1:6" x14ac:dyDescent="0.35">
      <c r="A5249" t="s">
        <v>2857</v>
      </c>
      <c r="B5249" t="s">
        <v>2866</v>
      </c>
      <c r="C5249" t="s">
        <v>1527</v>
      </c>
      <c r="D5249" t="s">
        <v>2876</v>
      </c>
      <c r="E5249">
        <v>5263</v>
      </c>
      <c r="F5249" s="11">
        <v>1</v>
      </c>
    </row>
    <row r="5250" spans="1:6" x14ac:dyDescent="0.35">
      <c r="A5250" t="s">
        <v>2857</v>
      </c>
      <c r="B5250" t="s">
        <v>2866</v>
      </c>
      <c r="C5250" t="s">
        <v>1527</v>
      </c>
      <c r="D5250" t="s">
        <v>2877</v>
      </c>
      <c r="E5250">
        <v>2707</v>
      </c>
      <c r="F5250" s="11">
        <v>1</v>
      </c>
    </row>
    <row r="5251" spans="1:6" x14ac:dyDescent="0.35">
      <c r="A5251" t="s">
        <v>2857</v>
      </c>
      <c r="B5251" t="s">
        <v>2866</v>
      </c>
      <c r="C5251" t="s">
        <v>1527</v>
      </c>
      <c r="D5251" t="s">
        <v>2878</v>
      </c>
      <c r="E5251">
        <v>13269</v>
      </c>
      <c r="F5251" s="11">
        <v>1</v>
      </c>
    </row>
    <row r="5252" spans="1:6" x14ac:dyDescent="0.35">
      <c r="A5252" t="s">
        <v>2857</v>
      </c>
      <c r="B5252" t="s">
        <v>2866</v>
      </c>
      <c r="C5252" t="s">
        <v>1527</v>
      </c>
      <c r="D5252" t="s">
        <v>2879</v>
      </c>
      <c r="E5252">
        <v>1704</v>
      </c>
      <c r="F5252" s="11">
        <v>1</v>
      </c>
    </row>
    <row r="5253" spans="1:6" x14ac:dyDescent="0.35">
      <c r="A5253" t="s">
        <v>2857</v>
      </c>
      <c r="B5253" t="s">
        <v>2866</v>
      </c>
      <c r="C5253" t="s">
        <v>1527</v>
      </c>
      <c r="D5253" t="s">
        <v>2880</v>
      </c>
      <c r="E5253">
        <v>837</v>
      </c>
      <c r="F5253" s="11">
        <v>1</v>
      </c>
    </row>
    <row r="5254" spans="1:6" x14ac:dyDescent="0.35">
      <c r="A5254" t="s">
        <v>2857</v>
      </c>
      <c r="B5254" t="s">
        <v>2866</v>
      </c>
      <c r="C5254" t="s">
        <v>1527</v>
      </c>
      <c r="D5254" t="s">
        <v>2881</v>
      </c>
      <c r="E5254">
        <v>0</v>
      </c>
      <c r="F5254" s="11">
        <v>1</v>
      </c>
    </row>
    <row r="5255" spans="1:6" x14ac:dyDescent="0.35">
      <c r="A5255" t="s">
        <v>2857</v>
      </c>
      <c r="B5255" t="s">
        <v>2866</v>
      </c>
      <c r="C5255" t="s">
        <v>1527</v>
      </c>
      <c r="D5255" t="s">
        <v>2882</v>
      </c>
      <c r="E5255">
        <v>867</v>
      </c>
      <c r="F5255" s="11">
        <v>0</v>
      </c>
    </row>
    <row r="5256" spans="1:6" x14ac:dyDescent="0.35">
      <c r="A5256" t="s">
        <v>2857</v>
      </c>
      <c r="B5256" t="s">
        <v>2866</v>
      </c>
      <c r="C5256" t="s">
        <v>1527</v>
      </c>
      <c r="D5256" t="s">
        <v>2883</v>
      </c>
      <c r="E5256">
        <v>0</v>
      </c>
      <c r="F5256" s="11">
        <v>0</v>
      </c>
    </row>
    <row r="5257" spans="1:6" x14ac:dyDescent="0.35">
      <c r="A5257" t="s">
        <v>2857</v>
      </c>
      <c r="B5257" t="s">
        <v>2866</v>
      </c>
      <c r="C5257" t="s">
        <v>1527</v>
      </c>
      <c r="D5257" t="s">
        <v>2884</v>
      </c>
      <c r="E5257">
        <v>0</v>
      </c>
      <c r="F5257" s="11">
        <v>0</v>
      </c>
    </row>
    <row r="5258" spans="1:6" x14ac:dyDescent="0.35">
      <c r="A5258" t="s">
        <v>2857</v>
      </c>
      <c r="B5258" t="s">
        <v>2866</v>
      </c>
      <c r="C5258" t="s">
        <v>1527</v>
      </c>
      <c r="D5258" t="s">
        <v>2885</v>
      </c>
      <c r="E5258">
        <v>0</v>
      </c>
      <c r="F5258" s="11">
        <v>0</v>
      </c>
    </row>
    <row r="5259" spans="1:6" x14ac:dyDescent="0.35">
      <c r="A5259" t="s">
        <v>2857</v>
      </c>
      <c r="B5259" t="s">
        <v>2866</v>
      </c>
      <c r="C5259" t="s">
        <v>1527</v>
      </c>
      <c r="D5259" t="s">
        <v>2886</v>
      </c>
      <c r="E5259">
        <v>0</v>
      </c>
      <c r="F5259" s="11">
        <v>0</v>
      </c>
    </row>
    <row r="5260" spans="1:6" x14ac:dyDescent="0.35">
      <c r="A5260" t="s">
        <v>2857</v>
      </c>
      <c r="B5260" t="s">
        <v>2866</v>
      </c>
      <c r="C5260" t="s">
        <v>1527</v>
      </c>
      <c r="D5260" t="s">
        <v>2887</v>
      </c>
      <c r="E5260">
        <v>28836</v>
      </c>
      <c r="F5260" s="11">
        <v>1</v>
      </c>
    </row>
    <row r="5261" spans="1:6" x14ac:dyDescent="0.35">
      <c r="A5261" t="s">
        <v>2857</v>
      </c>
      <c r="B5261" t="s">
        <v>2866</v>
      </c>
      <c r="C5261" t="s">
        <v>1527</v>
      </c>
      <c r="D5261" t="s">
        <v>2888</v>
      </c>
      <c r="E5261">
        <v>19663</v>
      </c>
      <c r="F5261" s="11">
        <v>1</v>
      </c>
    </row>
    <row r="5262" spans="1:6" x14ac:dyDescent="0.35">
      <c r="A5262" t="s">
        <v>2857</v>
      </c>
      <c r="B5262" t="s">
        <v>2866</v>
      </c>
      <c r="C5262" t="s">
        <v>1527</v>
      </c>
      <c r="D5262" t="s">
        <v>2889</v>
      </c>
      <c r="E5262">
        <v>0</v>
      </c>
      <c r="F5262" s="11">
        <v>1</v>
      </c>
    </row>
    <row r="5263" spans="1:6" x14ac:dyDescent="0.35">
      <c r="A5263" t="s">
        <v>2857</v>
      </c>
      <c r="B5263" t="s">
        <v>2866</v>
      </c>
      <c r="C5263" t="s">
        <v>1527</v>
      </c>
      <c r="D5263" t="s">
        <v>2890</v>
      </c>
      <c r="E5263">
        <v>7273</v>
      </c>
      <c r="F5263" s="11">
        <v>0</v>
      </c>
    </row>
    <row r="5264" spans="1:6" x14ac:dyDescent="0.35">
      <c r="A5264" t="s">
        <v>2857</v>
      </c>
      <c r="B5264" t="s">
        <v>2866</v>
      </c>
      <c r="C5264" t="s">
        <v>1527</v>
      </c>
      <c r="D5264" t="s">
        <v>2891</v>
      </c>
      <c r="E5264">
        <v>0</v>
      </c>
      <c r="F5264" s="11">
        <v>0</v>
      </c>
    </row>
    <row r="5265" spans="1:6" x14ac:dyDescent="0.35">
      <c r="A5265" t="s">
        <v>2857</v>
      </c>
      <c r="B5265" t="s">
        <v>2866</v>
      </c>
      <c r="C5265" t="s">
        <v>1527</v>
      </c>
      <c r="D5265" t="s">
        <v>2892</v>
      </c>
      <c r="E5265">
        <v>0</v>
      </c>
      <c r="F5265" s="11">
        <v>0</v>
      </c>
    </row>
    <row r="5266" spans="1:6" x14ac:dyDescent="0.35">
      <c r="A5266" t="s">
        <v>2857</v>
      </c>
      <c r="B5266" t="s">
        <v>2866</v>
      </c>
      <c r="C5266" t="s">
        <v>1527</v>
      </c>
      <c r="D5266" t="s">
        <v>2893</v>
      </c>
      <c r="E5266">
        <v>0</v>
      </c>
      <c r="F5266" s="11">
        <v>0</v>
      </c>
    </row>
    <row r="5267" spans="1:6" x14ac:dyDescent="0.35">
      <c r="A5267" t="s">
        <v>2857</v>
      </c>
      <c r="B5267" t="s">
        <v>2866</v>
      </c>
      <c r="C5267" t="s">
        <v>1527</v>
      </c>
      <c r="D5267" t="s">
        <v>2894</v>
      </c>
      <c r="E5267">
        <v>0</v>
      </c>
      <c r="F5267" s="11">
        <v>0</v>
      </c>
    </row>
    <row r="5268" spans="1:6" x14ac:dyDescent="0.35">
      <c r="A5268" t="s">
        <v>2857</v>
      </c>
      <c r="B5268" t="s">
        <v>2866</v>
      </c>
      <c r="C5268" t="s">
        <v>1527</v>
      </c>
      <c r="D5268" t="s">
        <v>2895</v>
      </c>
      <c r="E5268">
        <v>625410</v>
      </c>
      <c r="F5268" s="11">
        <v>1</v>
      </c>
    </row>
    <row r="5269" spans="1:6" x14ac:dyDescent="0.35">
      <c r="A5269" t="s">
        <v>2857</v>
      </c>
      <c r="B5269" t="s">
        <v>2866</v>
      </c>
      <c r="C5269" t="s">
        <v>1527</v>
      </c>
      <c r="D5269" t="s">
        <v>2896</v>
      </c>
      <c r="E5269">
        <v>180007</v>
      </c>
      <c r="F5269" s="11">
        <v>1</v>
      </c>
    </row>
    <row r="5270" spans="1:6" x14ac:dyDescent="0.35">
      <c r="A5270" t="s">
        <v>2857</v>
      </c>
      <c r="B5270" t="s">
        <v>2866</v>
      </c>
      <c r="C5270" t="s">
        <v>1527</v>
      </c>
      <c r="D5270" t="s">
        <v>2897</v>
      </c>
      <c r="E5270">
        <v>42980</v>
      </c>
      <c r="F5270" s="11">
        <v>1</v>
      </c>
    </row>
    <row r="5271" spans="1:6" x14ac:dyDescent="0.35">
      <c r="A5271" t="s">
        <v>2857</v>
      </c>
      <c r="B5271" t="s">
        <v>2866</v>
      </c>
      <c r="C5271" t="s">
        <v>1527</v>
      </c>
      <c r="D5271" t="s">
        <v>2898</v>
      </c>
      <c r="E5271">
        <v>684703</v>
      </c>
      <c r="F5271" s="11">
        <v>0</v>
      </c>
    </row>
    <row r="5272" spans="1:6" x14ac:dyDescent="0.35">
      <c r="A5272" t="s">
        <v>2857</v>
      </c>
      <c r="B5272" t="s">
        <v>2866</v>
      </c>
      <c r="C5272" t="s">
        <v>1527</v>
      </c>
      <c r="D5272" t="s">
        <v>2899</v>
      </c>
      <c r="E5272">
        <v>242</v>
      </c>
      <c r="F5272" s="11">
        <v>1</v>
      </c>
    </row>
    <row r="5273" spans="1:6" x14ac:dyDescent="0.35">
      <c r="A5273" t="s">
        <v>2857</v>
      </c>
      <c r="B5273" t="s">
        <v>2866</v>
      </c>
      <c r="C5273" t="s">
        <v>1527</v>
      </c>
      <c r="D5273" t="s">
        <v>2900</v>
      </c>
      <c r="E5273">
        <v>51</v>
      </c>
      <c r="F5273" s="11">
        <v>1</v>
      </c>
    </row>
    <row r="5274" spans="1:6" x14ac:dyDescent="0.35">
      <c r="A5274" t="s">
        <v>2857</v>
      </c>
      <c r="B5274" t="s">
        <v>2866</v>
      </c>
      <c r="C5274" t="s">
        <v>1527</v>
      </c>
      <c r="D5274" t="s">
        <v>2901</v>
      </c>
      <c r="E5274">
        <v>13</v>
      </c>
      <c r="F5274" s="11">
        <v>1</v>
      </c>
    </row>
    <row r="5275" spans="1:6" x14ac:dyDescent="0.35">
      <c r="A5275" t="s">
        <v>2857</v>
      </c>
      <c r="B5275" t="s">
        <v>2866</v>
      </c>
      <c r="C5275" t="s">
        <v>1527</v>
      </c>
      <c r="D5275" t="s">
        <v>2902</v>
      </c>
      <c r="E5275">
        <v>178</v>
      </c>
      <c r="F5275" s="11">
        <v>0</v>
      </c>
    </row>
    <row r="5276" spans="1:6" x14ac:dyDescent="0.35">
      <c r="A5276" t="s">
        <v>2857</v>
      </c>
      <c r="B5276" t="s">
        <v>2866</v>
      </c>
      <c r="C5276" t="s">
        <v>1527</v>
      </c>
      <c r="D5276" t="s">
        <v>2903</v>
      </c>
      <c r="E5276">
        <v>41819</v>
      </c>
      <c r="F5276" s="11">
        <v>1</v>
      </c>
    </row>
    <row r="5277" spans="1:6" x14ac:dyDescent="0.35">
      <c r="A5277" t="s">
        <v>2857</v>
      </c>
      <c r="B5277" t="s">
        <v>2866</v>
      </c>
      <c r="C5277" t="s">
        <v>1527</v>
      </c>
      <c r="D5277" t="s">
        <v>2904</v>
      </c>
      <c r="E5277">
        <v>8466</v>
      </c>
      <c r="F5277" s="11">
        <v>1</v>
      </c>
    </row>
    <row r="5278" spans="1:6" x14ac:dyDescent="0.35">
      <c r="A5278" t="s">
        <v>2857</v>
      </c>
      <c r="B5278" t="s">
        <v>2866</v>
      </c>
      <c r="C5278" t="s">
        <v>1527</v>
      </c>
      <c r="D5278" t="s">
        <v>2905</v>
      </c>
      <c r="E5278">
        <v>4528</v>
      </c>
      <c r="F5278" s="11">
        <v>1</v>
      </c>
    </row>
    <row r="5279" spans="1:6" x14ac:dyDescent="0.35">
      <c r="A5279" t="s">
        <v>2857</v>
      </c>
      <c r="B5279" t="s">
        <v>2866</v>
      </c>
      <c r="C5279" t="s">
        <v>1527</v>
      </c>
      <c r="D5279" t="s">
        <v>2906</v>
      </c>
      <c r="E5279">
        <v>29825</v>
      </c>
      <c r="F5279" s="11">
        <v>1</v>
      </c>
    </row>
    <row r="5280" spans="1:6" x14ac:dyDescent="0.35">
      <c r="A5280" t="s">
        <v>2857</v>
      </c>
      <c r="B5280" t="s">
        <v>2866</v>
      </c>
      <c r="C5280" t="s">
        <v>1527</v>
      </c>
      <c r="D5280" t="s">
        <v>2907</v>
      </c>
      <c r="E5280">
        <v>33942</v>
      </c>
      <c r="F5280" s="11">
        <v>1</v>
      </c>
    </row>
    <row r="5281" spans="1:6" x14ac:dyDescent="0.35">
      <c r="A5281" t="s">
        <v>2857</v>
      </c>
      <c r="B5281" t="s">
        <v>2866</v>
      </c>
      <c r="C5281" t="s">
        <v>1527</v>
      </c>
      <c r="D5281" t="s">
        <v>2908</v>
      </c>
      <c r="E5281">
        <v>4037</v>
      </c>
      <c r="F5281" s="11">
        <v>1</v>
      </c>
    </row>
    <row r="5282" spans="1:6" x14ac:dyDescent="0.35">
      <c r="A5282" t="s">
        <v>2857</v>
      </c>
      <c r="B5282" t="s">
        <v>2866</v>
      </c>
      <c r="C5282" t="s">
        <v>1527</v>
      </c>
      <c r="D5282" t="s">
        <v>2909</v>
      </c>
      <c r="E5282">
        <v>2686</v>
      </c>
      <c r="F5282" s="11">
        <v>1</v>
      </c>
    </row>
    <row r="5283" spans="1:6" x14ac:dyDescent="0.35">
      <c r="A5283" t="s">
        <v>2857</v>
      </c>
      <c r="B5283" t="s">
        <v>2866</v>
      </c>
      <c r="C5283" t="s">
        <v>1527</v>
      </c>
      <c r="D5283" t="s">
        <v>2910</v>
      </c>
      <c r="E5283">
        <v>27219</v>
      </c>
      <c r="F5283" s="11">
        <v>1</v>
      </c>
    </row>
    <row r="5284" spans="1:6" x14ac:dyDescent="0.35">
      <c r="A5284" t="s">
        <v>2857</v>
      </c>
      <c r="B5284" t="s">
        <v>2866</v>
      </c>
      <c r="C5284" t="s">
        <v>1527</v>
      </c>
      <c r="D5284" t="s">
        <v>2911</v>
      </c>
      <c r="E5284">
        <v>280538</v>
      </c>
      <c r="F5284" s="11">
        <v>1</v>
      </c>
    </row>
    <row r="5285" spans="1:6" x14ac:dyDescent="0.35">
      <c r="A5285" t="s">
        <v>2857</v>
      </c>
      <c r="B5285" t="s">
        <v>2866</v>
      </c>
      <c r="C5285" t="s">
        <v>1527</v>
      </c>
      <c r="D5285" t="s">
        <v>2912</v>
      </c>
      <c r="E5285">
        <v>932982</v>
      </c>
      <c r="F5285" s="11">
        <v>1</v>
      </c>
    </row>
    <row r="5286" spans="1:6" x14ac:dyDescent="0.35">
      <c r="A5286" t="s">
        <v>2857</v>
      </c>
      <c r="B5286" t="s">
        <v>2866</v>
      </c>
      <c r="C5286" t="s">
        <v>1527</v>
      </c>
      <c r="D5286" t="s">
        <v>2913</v>
      </c>
      <c r="E5286">
        <v>0</v>
      </c>
      <c r="F5286" s="11">
        <v>0</v>
      </c>
    </row>
    <row r="5287" spans="1:6" x14ac:dyDescent="0.35">
      <c r="A5287" t="s">
        <v>2857</v>
      </c>
      <c r="B5287" t="s">
        <v>2866</v>
      </c>
      <c r="C5287" t="s">
        <v>1527</v>
      </c>
      <c r="D5287" t="s">
        <v>2914</v>
      </c>
      <c r="E5287">
        <v>0</v>
      </c>
      <c r="F5287" s="11">
        <v>0</v>
      </c>
    </row>
    <row r="5288" spans="1:6" x14ac:dyDescent="0.35">
      <c r="A5288" t="s">
        <v>2857</v>
      </c>
      <c r="B5288" t="s">
        <v>2866</v>
      </c>
      <c r="C5288" t="s">
        <v>1527</v>
      </c>
      <c r="D5288" t="s">
        <v>2915</v>
      </c>
      <c r="E5288">
        <v>1116</v>
      </c>
      <c r="F5288" s="11">
        <v>1</v>
      </c>
    </row>
    <row r="5289" spans="1:6" x14ac:dyDescent="0.35">
      <c r="A5289" t="s">
        <v>2857</v>
      </c>
      <c r="B5289" t="s">
        <v>2866</v>
      </c>
      <c r="C5289" t="s">
        <v>1527</v>
      </c>
      <c r="D5289" t="s">
        <v>2916</v>
      </c>
      <c r="E5289">
        <v>87447</v>
      </c>
      <c r="F5289" s="11">
        <v>1</v>
      </c>
    </row>
    <row r="5290" spans="1:6" x14ac:dyDescent="0.35">
      <c r="A5290" t="s">
        <v>2857</v>
      </c>
      <c r="B5290" t="s">
        <v>2866</v>
      </c>
      <c r="C5290" t="s">
        <v>1527</v>
      </c>
      <c r="D5290" t="s">
        <v>2917</v>
      </c>
      <c r="E5290">
        <v>0</v>
      </c>
      <c r="F5290" s="11">
        <v>0</v>
      </c>
    </row>
    <row r="5291" spans="1:6" x14ac:dyDescent="0.35">
      <c r="A5291" t="s">
        <v>2857</v>
      </c>
      <c r="B5291" t="s">
        <v>2862</v>
      </c>
      <c r="C5291" t="s">
        <v>1393</v>
      </c>
      <c r="D5291" t="s">
        <v>2875</v>
      </c>
      <c r="E5291">
        <v>26654</v>
      </c>
      <c r="F5291" s="11">
        <v>0</v>
      </c>
    </row>
    <row r="5292" spans="1:6" x14ac:dyDescent="0.35">
      <c r="A5292" t="s">
        <v>2857</v>
      </c>
      <c r="B5292" t="s">
        <v>2862</v>
      </c>
      <c r="C5292" t="s">
        <v>1393</v>
      </c>
      <c r="D5292" t="s">
        <v>2876</v>
      </c>
      <c r="E5292">
        <v>1283</v>
      </c>
      <c r="F5292" s="11">
        <v>0</v>
      </c>
    </row>
    <row r="5293" spans="1:6" x14ac:dyDescent="0.35">
      <c r="A5293" t="s">
        <v>2857</v>
      </c>
      <c r="B5293" t="s">
        <v>2862</v>
      </c>
      <c r="C5293" t="s">
        <v>1393</v>
      </c>
      <c r="D5293" t="s">
        <v>2877</v>
      </c>
      <c r="E5293">
        <v>7426</v>
      </c>
      <c r="F5293" s="11">
        <v>0</v>
      </c>
    </row>
    <row r="5294" spans="1:6" x14ac:dyDescent="0.35">
      <c r="A5294" t="s">
        <v>2857</v>
      </c>
      <c r="B5294" t="s">
        <v>2862</v>
      </c>
      <c r="C5294" t="s">
        <v>1393</v>
      </c>
      <c r="D5294" t="s">
        <v>2878</v>
      </c>
      <c r="E5294">
        <v>17945</v>
      </c>
      <c r="F5294" s="11">
        <v>0</v>
      </c>
    </row>
    <row r="5295" spans="1:6" x14ac:dyDescent="0.35">
      <c r="A5295" t="s">
        <v>2857</v>
      </c>
      <c r="B5295" t="s">
        <v>2862</v>
      </c>
      <c r="C5295" t="s">
        <v>1393</v>
      </c>
      <c r="D5295" t="s">
        <v>2879</v>
      </c>
      <c r="E5295">
        <v>2526</v>
      </c>
      <c r="F5295" s="11">
        <v>0</v>
      </c>
    </row>
    <row r="5296" spans="1:6" x14ac:dyDescent="0.35">
      <c r="A5296" t="s">
        <v>2857</v>
      </c>
      <c r="B5296" t="s">
        <v>2862</v>
      </c>
      <c r="C5296" t="s">
        <v>1393</v>
      </c>
      <c r="D5296" t="s">
        <v>2880</v>
      </c>
      <c r="E5296">
        <v>518</v>
      </c>
      <c r="F5296" s="11">
        <v>0</v>
      </c>
    </row>
    <row r="5297" spans="1:6" x14ac:dyDescent="0.35">
      <c r="A5297" t="s">
        <v>2857</v>
      </c>
      <c r="B5297" t="s">
        <v>2862</v>
      </c>
      <c r="C5297" t="s">
        <v>1393</v>
      </c>
      <c r="D5297" t="s">
        <v>2881</v>
      </c>
      <c r="E5297">
        <v>0</v>
      </c>
      <c r="F5297" s="11">
        <v>0</v>
      </c>
    </row>
    <row r="5298" spans="1:6" x14ac:dyDescent="0.35">
      <c r="A5298" t="s">
        <v>2857</v>
      </c>
      <c r="B5298" t="s">
        <v>2862</v>
      </c>
      <c r="C5298" t="s">
        <v>1393</v>
      </c>
      <c r="D5298" t="s">
        <v>2882</v>
      </c>
      <c r="E5298">
        <v>1988</v>
      </c>
      <c r="F5298" s="11">
        <v>0</v>
      </c>
    </row>
    <row r="5299" spans="1:6" x14ac:dyDescent="0.35">
      <c r="A5299" t="s">
        <v>2857</v>
      </c>
      <c r="B5299" t="s">
        <v>2862</v>
      </c>
      <c r="C5299" t="s">
        <v>1393</v>
      </c>
      <c r="D5299" t="s">
        <v>2883</v>
      </c>
      <c r="E5299">
        <v>326</v>
      </c>
      <c r="F5299" s="11">
        <v>0</v>
      </c>
    </row>
    <row r="5300" spans="1:6" x14ac:dyDescent="0.35">
      <c r="A5300" t="s">
        <v>2857</v>
      </c>
      <c r="B5300" t="s">
        <v>2862</v>
      </c>
      <c r="C5300" t="s">
        <v>1393</v>
      </c>
      <c r="D5300" t="s">
        <v>2884</v>
      </c>
      <c r="E5300">
        <v>0</v>
      </c>
      <c r="F5300" s="11">
        <v>0</v>
      </c>
    </row>
    <row r="5301" spans="1:6" x14ac:dyDescent="0.35">
      <c r="A5301" t="s">
        <v>2857</v>
      </c>
      <c r="B5301" t="s">
        <v>2862</v>
      </c>
      <c r="C5301" t="s">
        <v>1393</v>
      </c>
      <c r="D5301" t="s">
        <v>2885</v>
      </c>
      <c r="E5301">
        <v>0</v>
      </c>
      <c r="F5301" s="11">
        <v>0</v>
      </c>
    </row>
    <row r="5302" spans="1:6" x14ac:dyDescent="0.35">
      <c r="A5302" t="s">
        <v>2857</v>
      </c>
      <c r="B5302" t="s">
        <v>2862</v>
      </c>
      <c r="C5302" t="s">
        <v>1393</v>
      </c>
      <c r="D5302" t="s">
        <v>2886</v>
      </c>
      <c r="E5302">
        <v>0</v>
      </c>
      <c r="F5302" s="11">
        <v>0</v>
      </c>
    </row>
    <row r="5303" spans="1:6" x14ac:dyDescent="0.35">
      <c r="A5303" t="s">
        <v>2857</v>
      </c>
      <c r="B5303" t="s">
        <v>2862</v>
      </c>
      <c r="C5303" t="s">
        <v>1393</v>
      </c>
      <c r="D5303" t="s">
        <v>2887</v>
      </c>
      <c r="E5303">
        <v>28396</v>
      </c>
      <c r="F5303" s="11">
        <v>0</v>
      </c>
    </row>
    <row r="5304" spans="1:6" x14ac:dyDescent="0.35">
      <c r="A5304" t="s">
        <v>2857</v>
      </c>
      <c r="B5304" t="s">
        <v>2862</v>
      </c>
      <c r="C5304" t="s">
        <v>1393</v>
      </c>
      <c r="D5304" t="s">
        <v>2888</v>
      </c>
      <c r="E5304">
        <v>8073</v>
      </c>
      <c r="F5304" s="11">
        <v>0</v>
      </c>
    </row>
    <row r="5305" spans="1:6" x14ac:dyDescent="0.35">
      <c r="A5305" t="s">
        <v>2857</v>
      </c>
      <c r="B5305" t="s">
        <v>2862</v>
      </c>
      <c r="C5305" t="s">
        <v>1393</v>
      </c>
      <c r="D5305" t="s">
        <v>2889</v>
      </c>
      <c r="E5305">
        <v>221</v>
      </c>
      <c r="F5305" s="11">
        <v>0</v>
      </c>
    </row>
    <row r="5306" spans="1:6" x14ac:dyDescent="0.35">
      <c r="A5306" t="s">
        <v>2857</v>
      </c>
      <c r="B5306" t="s">
        <v>2862</v>
      </c>
      <c r="C5306" t="s">
        <v>1393</v>
      </c>
      <c r="D5306" t="s">
        <v>2890</v>
      </c>
      <c r="E5306">
        <v>20102</v>
      </c>
      <c r="F5306" s="11">
        <v>0</v>
      </c>
    </row>
    <row r="5307" spans="1:6" x14ac:dyDescent="0.35">
      <c r="A5307" t="s">
        <v>2857</v>
      </c>
      <c r="B5307" t="s">
        <v>2862</v>
      </c>
      <c r="C5307" t="s">
        <v>1393</v>
      </c>
      <c r="D5307" t="s">
        <v>2891</v>
      </c>
      <c r="E5307">
        <v>669</v>
      </c>
      <c r="F5307" s="11">
        <v>0</v>
      </c>
    </row>
    <row r="5308" spans="1:6" x14ac:dyDescent="0.35">
      <c r="A5308" t="s">
        <v>2857</v>
      </c>
      <c r="B5308" t="s">
        <v>2862</v>
      </c>
      <c r="C5308" t="s">
        <v>1393</v>
      </c>
      <c r="D5308" t="s">
        <v>2892</v>
      </c>
      <c r="E5308">
        <v>0</v>
      </c>
      <c r="F5308" s="11">
        <v>0</v>
      </c>
    </row>
    <row r="5309" spans="1:6" x14ac:dyDescent="0.35">
      <c r="A5309" t="s">
        <v>2857</v>
      </c>
      <c r="B5309" t="s">
        <v>2862</v>
      </c>
      <c r="C5309" t="s">
        <v>1393</v>
      </c>
      <c r="D5309" t="s">
        <v>2893</v>
      </c>
      <c r="E5309">
        <v>0</v>
      </c>
      <c r="F5309" s="11">
        <v>0</v>
      </c>
    </row>
    <row r="5310" spans="1:6" x14ac:dyDescent="0.35">
      <c r="A5310" t="s">
        <v>2857</v>
      </c>
      <c r="B5310" t="s">
        <v>2862</v>
      </c>
      <c r="C5310" t="s">
        <v>1393</v>
      </c>
      <c r="D5310" t="s">
        <v>2894</v>
      </c>
      <c r="E5310">
        <v>669</v>
      </c>
      <c r="F5310" s="11">
        <v>0</v>
      </c>
    </row>
    <row r="5311" spans="1:6" x14ac:dyDescent="0.35">
      <c r="A5311" t="s">
        <v>2857</v>
      </c>
      <c r="B5311" t="s">
        <v>2862</v>
      </c>
      <c r="C5311" t="s">
        <v>1393</v>
      </c>
      <c r="D5311" t="s">
        <v>2895</v>
      </c>
      <c r="E5311">
        <v>650975</v>
      </c>
      <c r="F5311" s="11">
        <v>0</v>
      </c>
    </row>
    <row r="5312" spans="1:6" x14ac:dyDescent="0.35">
      <c r="A5312" t="s">
        <v>2857</v>
      </c>
      <c r="B5312" t="s">
        <v>2862</v>
      </c>
      <c r="C5312" t="s">
        <v>1393</v>
      </c>
      <c r="D5312" t="s">
        <v>2896</v>
      </c>
      <c r="E5312">
        <v>278772</v>
      </c>
      <c r="F5312" s="11">
        <v>0</v>
      </c>
    </row>
    <row r="5313" spans="1:6" x14ac:dyDescent="0.35">
      <c r="A5313" t="s">
        <v>2857</v>
      </c>
      <c r="B5313" t="s">
        <v>2862</v>
      </c>
      <c r="C5313" t="s">
        <v>1393</v>
      </c>
      <c r="D5313" t="s">
        <v>2897</v>
      </c>
      <c r="E5313">
        <v>15753</v>
      </c>
      <c r="F5313" s="11">
        <v>0</v>
      </c>
    </row>
    <row r="5314" spans="1:6" x14ac:dyDescent="0.35">
      <c r="A5314" t="s">
        <v>2857</v>
      </c>
      <c r="B5314" t="s">
        <v>2862</v>
      </c>
      <c r="C5314" t="s">
        <v>1393</v>
      </c>
      <c r="D5314" t="s">
        <v>2898</v>
      </c>
      <c r="E5314">
        <v>356450</v>
      </c>
      <c r="F5314" s="11">
        <v>0</v>
      </c>
    </row>
    <row r="5315" spans="1:6" x14ac:dyDescent="0.35">
      <c r="A5315" t="s">
        <v>2857</v>
      </c>
      <c r="B5315" t="s">
        <v>2862</v>
      </c>
      <c r="C5315" t="s">
        <v>1393</v>
      </c>
      <c r="D5315" t="s">
        <v>2899</v>
      </c>
      <c r="E5315">
        <v>5320</v>
      </c>
      <c r="F5315" s="11">
        <v>0</v>
      </c>
    </row>
    <row r="5316" spans="1:6" x14ac:dyDescent="0.35">
      <c r="A5316" t="s">
        <v>2857</v>
      </c>
      <c r="B5316" t="s">
        <v>2862</v>
      </c>
      <c r="C5316" t="s">
        <v>1393</v>
      </c>
      <c r="D5316" t="s">
        <v>2900</v>
      </c>
      <c r="E5316">
        <v>1215</v>
      </c>
      <c r="F5316" s="11">
        <v>0</v>
      </c>
    </row>
    <row r="5317" spans="1:6" x14ac:dyDescent="0.35">
      <c r="A5317" t="s">
        <v>2857</v>
      </c>
      <c r="B5317" t="s">
        <v>2862</v>
      </c>
      <c r="C5317" t="s">
        <v>1393</v>
      </c>
      <c r="D5317" t="s">
        <v>2901</v>
      </c>
      <c r="E5317">
        <v>0</v>
      </c>
      <c r="F5317" s="11">
        <v>0</v>
      </c>
    </row>
    <row r="5318" spans="1:6" x14ac:dyDescent="0.35">
      <c r="A5318" t="s">
        <v>2857</v>
      </c>
      <c r="B5318" t="s">
        <v>2862</v>
      </c>
      <c r="C5318" t="s">
        <v>1393</v>
      </c>
      <c r="D5318" t="s">
        <v>2902</v>
      </c>
      <c r="E5318">
        <v>4105</v>
      </c>
      <c r="F5318" s="11">
        <v>0</v>
      </c>
    </row>
    <row r="5319" spans="1:6" x14ac:dyDescent="0.35">
      <c r="A5319" t="s">
        <v>2857</v>
      </c>
      <c r="B5319" t="s">
        <v>2862</v>
      </c>
      <c r="C5319" t="s">
        <v>1393</v>
      </c>
      <c r="D5319" t="s">
        <v>2903</v>
      </c>
      <c r="E5319">
        <v>63602</v>
      </c>
      <c r="F5319" s="11">
        <v>0</v>
      </c>
    </row>
    <row r="5320" spans="1:6" x14ac:dyDescent="0.35">
      <c r="A5320" t="s">
        <v>2857</v>
      </c>
      <c r="B5320" t="s">
        <v>2862</v>
      </c>
      <c r="C5320" t="s">
        <v>1393</v>
      </c>
      <c r="D5320" t="s">
        <v>2904</v>
      </c>
      <c r="E5320">
        <v>6821</v>
      </c>
      <c r="F5320" s="11">
        <v>0</v>
      </c>
    </row>
    <row r="5321" spans="1:6" x14ac:dyDescent="0.35">
      <c r="A5321" t="s">
        <v>2857</v>
      </c>
      <c r="B5321" t="s">
        <v>2862</v>
      </c>
      <c r="C5321" t="s">
        <v>1393</v>
      </c>
      <c r="D5321" t="s">
        <v>2905</v>
      </c>
      <c r="E5321">
        <v>2763</v>
      </c>
      <c r="F5321" s="11">
        <v>0</v>
      </c>
    </row>
    <row r="5322" spans="1:6" x14ac:dyDescent="0.35">
      <c r="A5322" t="s">
        <v>2857</v>
      </c>
      <c r="B5322" t="s">
        <v>2862</v>
      </c>
      <c r="C5322" t="s">
        <v>1393</v>
      </c>
      <c r="D5322" t="s">
        <v>2906</v>
      </c>
      <c r="E5322">
        <v>54018</v>
      </c>
      <c r="F5322" s="11">
        <v>0</v>
      </c>
    </row>
    <row r="5323" spans="1:6" x14ac:dyDescent="0.35">
      <c r="A5323" t="s">
        <v>2857</v>
      </c>
      <c r="B5323" t="s">
        <v>2862</v>
      </c>
      <c r="C5323" t="s">
        <v>1393</v>
      </c>
      <c r="D5323" t="s">
        <v>2907</v>
      </c>
      <c r="E5323">
        <v>135330</v>
      </c>
      <c r="F5323" s="11">
        <v>0</v>
      </c>
    </row>
    <row r="5324" spans="1:6" x14ac:dyDescent="0.35">
      <c r="A5324" t="s">
        <v>2857</v>
      </c>
      <c r="B5324" t="s">
        <v>2862</v>
      </c>
      <c r="C5324" t="s">
        <v>1393</v>
      </c>
      <c r="D5324" t="s">
        <v>2908</v>
      </c>
      <c r="E5324">
        <v>22119</v>
      </c>
      <c r="F5324" s="11">
        <v>0</v>
      </c>
    </row>
    <row r="5325" spans="1:6" x14ac:dyDescent="0.35">
      <c r="A5325" t="s">
        <v>2857</v>
      </c>
      <c r="B5325" t="s">
        <v>2862</v>
      </c>
      <c r="C5325" t="s">
        <v>1393</v>
      </c>
      <c r="D5325" t="s">
        <v>2909</v>
      </c>
      <c r="E5325">
        <v>5710</v>
      </c>
      <c r="F5325" s="11">
        <v>0</v>
      </c>
    </row>
    <row r="5326" spans="1:6" x14ac:dyDescent="0.35">
      <c r="A5326" t="s">
        <v>2857</v>
      </c>
      <c r="B5326" t="s">
        <v>2862</v>
      </c>
      <c r="C5326" t="s">
        <v>1393</v>
      </c>
      <c r="D5326" t="s">
        <v>2910</v>
      </c>
      <c r="E5326">
        <v>107501</v>
      </c>
      <c r="F5326" s="11">
        <v>0</v>
      </c>
    </row>
    <row r="5327" spans="1:6" x14ac:dyDescent="0.35">
      <c r="A5327" t="s">
        <v>2857</v>
      </c>
      <c r="B5327" t="s">
        <v>2862</v>
      </c>
      <c r="C5327" t="s">
        <v>1393</v>
      </c>
      <c r="D5327" t="s">
        <v>2911</v>
      </c>
      <c r="E5327">
        <v>1031560</v>
      </c>
      <c r="F5327" s="11">
        <v>0</v>
      </c>
    </row>
    <row r="5328" spans="1:6" x14ac:dyDescent="0.35">
      <c r="A5328" t="s">
        <v>2857</v>
      </c>
      <c r="B5328" t="s">
        <v>2862</v>
      </c>
      <c r="C5328" t="s">
        <v>1393</v>
      </c>
      <c r="D5328" t="s">
        <v>2912</v>
      </c>
      <c r="E5328">
        <v>150644</v>
      </c>
      <c r="F5328" s="11">
        <v>0</v>
      </c>
    </row>
    <row r="5329" spans="1:6" x14ac:dyDescent="0.35">
      <c r="A5329" t="s">
        <v>2857</v>
      </c>
      <c r="B5329" t="s">
        <v>2862</v>
      </c>
      <c r="C5329" t="s">
        <v>1393</v>
      </c>
      <c r="D5329" t="s">
        <v>2913</v>
      </c>
      <c r="E5329">
        <v>0</v>
      </c>
      <c r="F5329" s="11">
        <v>0</v>
      </c>
    </row>
    <row r="5330" spans="1:6" x14ac:dyDescent="0.35">
      <c r="A5330" t="s">
        <v>2857</v>
      </c>
      <c r="B5330" t="s">
        <v>2862</v>
      </c>
      <c r="C5330" t="s">
        <v>1393</v>
      </c>
      <c r="D5330" t="s">
        <v>2914</v>
      </c>
      <c r="E5330">
        <v>0</v>
      </c>
      <c r="F5330" s="11">
        <v>0</v>
      </c>
    </row>
    <row r="5331" spans="1:6" x14ac:dyDescent="0.35">
      <c r="A5331" t="s">
        <v>2857</v>
      </c>
      <c r="B5331" t="s">
        <v>2862</v>
      </c>
      <c r="C5331" t="s">
        <v>1393</v>
      </c>
      <c r="D5331" t="s">
        <v>2915</v>
      </c>
      <c r="E5331">
        <v>669</v>
      </c>
      <c r="F5331" s="11">
        <v>0</v>
      </c>
    </row>
    <row r="5332" spans="1:6" x14ac:dyDescent="0.35">
      <c r="A5332" t="s">
        <v>2857</v>
      </c>
      <c r="B5332" t="s">
        <v>2862</v>
      </c>
      <c r="C5332" t="s">
        <v>1393</v>
      </c>
      <c r="D5332" t="s">
        <v>2916</v>
      </c>
      <c r="E5332">
        <v>59980</v>
      </c>
      <c r="F5332" s="11">
        <v>0</v>
      </c>
    </row>
    <row r="5333" spans="1:6" x14ac:dyDescent="0.35">
      <c r="A5333" t="s">
        <v>2857</v>
      </c>
      <c r="B5333" t="s">
        <v>2862</v>
      </c>
      <c r="C5333" t="s">
        <v>1393</v>
      </c>
      <c r="D5333" t="s">
        <v>2917</v>
      </c>
      <c r="E5333">
        <v>0</v>
      </c>
      <c r="F5333" s="11">
        <v>0</v>
      </c>
    </row>
    <row r="5334" spans="1:6" x14ac:dyDescent="0.35">
      <c r="A5334" t="s">
        <v>2857</v>
      </c>
      <c r="B5334" t="s">
        <v>2864</v>
      </c>
      <c r="C5334" t="s">
        <v>1501</v>
      </c>
      <c r="D5334" t="s">
        <v>2875</v>
      </c>
      <c r="E5334">
        <v>37538</v>
      </c>
      <c r="F5334" s="11">
        <v>1</v>
      </c>
    </row>
    <row r="5335" spans="1:6" x14ac:dyDescent="0.35">
      <c r="A5335" t="s">
        <v>2857</v>
      </c>
      <c r="B5335" t="s">
        <v>2864</v>
      </c>
      <c r="C5335" t="s">
        <v>1501</v>
      </c>
      <c r="D5335" t="s">
        <v>2876</v>
      </c>
      <c r="E5335">
        <v>12416</v>
      </c>
      <c r="F5335" s="11">
        <v>1</v>
      </c>
    </row>
    <row r="5336" spans="1:6" x14ac:dyDescent="0.35">
      <c r="A5336" t="s">
        <v>2857</v>
      </c>
      <c r="B5336" t="s">
        <v>2864</v>
      </c>
      <c r="C5336" t="s">
        <v>1501</v>
      </c>
      <c r="D5336" t="s">
        <v>2877</v>
      </c>
      <c r="E5336">
        <v>1964</v>
      </c>
      <c r="F5336" s="11">
        <v>1</v>
      </c>
    </row>
    <row r="5337" spans="1:6" x14ac:dyDescent="0.35">
      <c r="A5337" t="s">
        <v>2857</v>
      </c>
      <c r="B5337" t="s">
        <v>2864</v>
      </c>
      <c r="C5337" t="s">
        <v>1501</v>
      </c>
      <c r="D5337" t="s">
        <v>2878</v>
      </c>
      <c r="E5337">
        <v>23158</v>
      </c>
      <c r="F5337" s="11">
        <v>1</v>
      </c>
    </row>
    <row r="5338" spans="1:6" x14ac:dyDescent="0.35">
      <c r="A5338" t="s">
        <v>2857</v>
      </c>
      <c r="B5338" t="s">
        <v>2864</v>
      </c>
      <c r="C5338" t="s">
        <v>1501</v>
      </c>
      <c r="D5338" t="s">
        <v>2879</v>
      </c>
      <c r="E5338">
        <v>0</v>
      </c>
      <c r="F5338" s="11">
        <v>1</v>
      </c>
    </row>
    <row r="5339" spans="1:6" x14ac:dyDescent="0.35">
      <c r="A5339" t="s">
        <v>2857</v>
      </c>
      <c r="B5339" t="s">
        <v>2864</v>
      </c>
      <c r="C5339" t="s">
        <v>1501</v>
      </c>
      <c r="D5339" t="s">
        <v>2880</v>
      </c>
      <c r="E5339">
        <v>2821</v>
      </c>
      <c r="F5339" s="11">
        <v>1</v>
      </c>
    </row>
    <row r="5340" spans="1:6" x14ac:dyDescent="0.35">
      <c r="A5340" t="s">
        <v>2857</v>
      </c>
      <c r="B5340" t="s">
        <v>2864</v>
      </c>
      <c r="C5340" t="s">
        <v>1501</v>
      </c>
      <c r="D5340" t="s">
        <v>2881</v>
      </c>
      <c r="E5340">
        <v>19</v>
      </c>
      <c r="F5340" s="11">
        <v>1</v>
      </c>
    </row>
    <row r="5341" spans="1:6" x14ac:dyDescent="0.35">
      <c r="A5341" t="s">
        <v>2857</v>
      </c>
      <c r="B5341" t="s">
        <v>2864</v>
      </c>
      <c r="C5341" t="s">
        <v>1501</v>
      </c>
      <c r="D5341" t="s">
        <v>2882</v>
      </c>
      <c r="E5341">
        <v>1020</v>
      </c>
      <c r="F5341" s="11">
        <v>1</v>
      </c>
    </row>
    <row r="5342" spans="1:6" x14ac:dyDescent="0.35">
      <c r="A5342" t="s">
        <v>2857</v>
      </c>
      <c r="B5342" t="s">
        <v>2864</v>
      </c>
      <c r="C5342" t="s">
        <v>1501</v>
      </c>
      <c r="D5342" t="s">
        <v>2883</v>
      </c>
      <c r="E5342">
        <v>0</v>
      </c>
      <c r="F5342" s="11">
        <v>1</v>
      </c>
    </row>
    <row r="5343" spans="1:6" x14ac:dyDescent="0.35">
      <c r="A5343" t="s">
        <v>2857</v>
      </c>
      <c r="B5343" t="s">
        <v>2864</v>
      </c>
      <c r="C5343" t="s">
        <v>1501</v>
      </c>
      <c r="D5343" t="s">
        <v>2884</v>
      </c>
      <c r="E5343">
        <v>0</v>
      </c>
      <c r="F5343" s="11">
        <v>1</v>
      </c>
    </row>
    <row r="5344" spans="1:6" x14ac:dyDescent="0.35">
      <c r="A5344" t="s">
        <v>2857</v>
      </c>
      <c r="B5344" t="s">
        <v>2864</v>
      </c>
      <c r="C5344" t="s">
        <v>1501</v>
      </c>
      <c r="D5344" t="s">
        <v>2885</v>
      </c>
      <c r="E5344">
        <v>0</v>
      </c>
      <c r="F5344" s="11">
        <v>0</v>
      </c>
    </row>
    <row r="5345" spans="1:6" x14ac:dyDescent="0.35">
      <c r="A5345" t="s">
        <v>2857</v>
      </c>
      <c r="B5345" t="s">
        <v>2864</v>
      </c>
      <c r="C5345" t="s">
        <v>1501</v>
      </c>
      <c r="D5345" t="s">
        <v>2886</v>
      </c>
      <c r="E5345">
        <v>69</v>
      </c>
      <c r="F5345" s="11">
        <v>0</v>
      </c>
    </row>
    <row r="5346" spans="1:6" x14ac:dyDescent="0.35">
      <c r="A5346" t="s">
        <v>2857</v>
      </c>
      <c r="B5346" t="s">
        <v>2864</v>
      </c>
      <c r="C5346" t="s">
        <v>1501</v>
      </c>
      <c r="D5346" t="s">
        <v>2887</v>
      </c>
      <c r="E5346">
        <v>0</v>
      </c>
      <c r="F5346" s="11">
        <v>1</v>
      </c>
    </row>
    <row r="5347" spans="1:6" x14ac:dyDescent="0.35">
      <c r="A5347" t="s">
        <v>2857</v>
      </c>
      <c r="B5347" t="s">
        <v>2864</v>
      </c>
      <c r="C5347" t="s">
        <v>1501</v>
      </c>
      <c r="D5347" t="s">
        <v>2888</v>
      </c>
      <c r="E5347">
        <v>50493</v>
      </c>
      <c r="F5347" s="11">
        <v>1</v>
      </c>
    </row>
    <row r="5348" spans="1:6" x14ac:dyDescent="0.35">
      <c r="A5348" t="s">
        <v>2857</v>
      </c>
      <c r="B5348" t="s">
        <v>2864</v>
      </c>
      <c r="C5348" t="s">
        <v>1501</v>
      </c>
      <c r="D5348" t="s">
        <v>2889</v>
      </c>
      <c r="E5348">
        <v>155</v>
      </c>
      <c r="F5348" s="11">
        <v>1</v>
      </c>
    </row>
    <row r="5349" spans="1:6" x14ac:dyDescent="0.35">
      <c r="A5349" t="s">
        <v>2857</v>
      </c>
      <c r="B5349" t="s">
        <v>2864</v>
      </c>
      <c r="C5349" t="s">
        <v>1501</v>
      </c>
      <c r="D5349" t="s">
        <v>2890</v>
      </c>
      <c r="E5349">
        <v>6405</v>
      </c>
      <c r="F5349" s="11">
        <v>0</v>
      </c>
    </row>
    <row r="5350" spans="1:6" x14ac:dyDescent="0.35">
      <c r="A5350" t="s">
        <v>2857</v>
      </c>
      <c r="B5350" t="s">
        <v>2864</v>
      </c>
      <c r="C5350" t="s">
        <v>1501</v>
      </c>
      <c r="D5350" t="s">
        <v>2891</v>
      </c>
      <c r="E5350">
        <v>0</v>
      </c>
      <c r="F5350" s="11">
        <v>1</v>
      </c>
    </row>
    <row r="5351" spans="1:6" x14ac:dyDescent="0.35">
      <c r="A5351" t="s">
        <v>2857</v>
      </c>
      <c r="B5351" t="s">
        <v>2864</v>
      </c>
      <c r="C5351" t="s">
        <v>1501</v>
      </c>
      <c r="D5351" t="s">
        <v>2892</v>
      </c>
      <c r="E5351">
        <v>0</v>
      </c>
      <c r="F5351" s="11">
        <v>1</v>
      </c>
    </row>
    <row r="5352" spans="1:6" x14ac:dyDescent="0.35">
      <c r="A5352" t="s">
        <v>2857</v>
      </c>
      <c r="B5352" t="s">
        <v>2864</v>
      </c>
      <c r="C5352" t="s">
        <v>1501</v>
      </c>
      <c r="D5352" t="s">
        <v>2893</v>
      </c>
      <c r="E5352">
        <v>0</v>
      </c>
      <c r="F5352" s="11">
        <v>0</v>
      </c>
    </row>
    <row r="5353" spans="1:6" x14ac:dyDescent="0.35">
      <c r="A5353" t="s">
        <v>2857</v>
      </c>
      <c r="B5353" t="s">
        <v>2864</v>
      </c>
      <c r="C5353" t="s">
        <v>1501</v>
      </c>
      <c r="D5353" t="s">
        <v>2894</v>
      </c>
      <c r="E5353">
        <v>88</v>
      </c>
      <c r="F5353" s="11">
        <v>0</v>
      </c>
    </row>
    <row r="5354" spans="1:6" x14ac:dyDescent="0.35">
      <c r="A5354" t="s">
        <v>2857</v>
      </c>
      <c r="B5354" t="s">
        <v>2864</v>
      </c>
      <c r="C5354" t="s">
        <v>1501</v>
      </c>
      <c r="D5354" t="s">
        <v>2895</v>
      </c>
      <c r="E5354">
        <v>0</v>
      </c>
      <c r="F5354" s="11">
        <v>1</v>
      </c>
    </row>
    <row r="5355" spans="1:6" x14ac:dyDescent="0.35">
      <c r="A5355" t="s">
        <v>2857</v>
      </c>
      <c r="B5355" t="s">
        <v>2864</v>
      </c>
      <c r="C5355" t="s">
        <v>1501</v>
      </c>
      <c r="D5355" t="s">
        <v>2896</v>
      </c>
      <c r="E5355">
        <v>0</v>
      </c>
      <c r="F5355" s="11">
        <v>0</v>
      </c>
    </row>
    <row r="5356" spans="1:6" x14ac:dyDescent="0.35">
      <c r="A5356" t="s">
        <v>2857</v>
      </c>
      <c r="B5356" t="s">
        <v>2864</v>
      </c>
      <c r="C5356" t="s">
        <v>1501</v>
      </c>
      <c r="D5356" t="s">
        <v>2897</v>
      </c>
      <c r="E5356">
        <v>24410</v>
      </c>
      <c r="F5356" s="11">
        <v>1</v>
      </c>
    </row>
    <row r="5357" spans="1:6" x14ac:dyDescent="0.35">
      <c r="A5357" t="s">
        <v>2857</v>
      </c>
      <c r="B5357" t="s">
        <v>2864</v>
      </c>
      <c r="C5357" t="s">
        <v>1501</v>
      </c>
      <c r="D5357" t="s">
        <v>2898</v>
      </c>
      <c r="E5357">
        <v>626298</v>
      </c>
      <c r="F5357" s="11">
        <v>1</v>
      </c>
    </row>
    <row r="5358" spans="1:6" x14ac:dyDescent="0.35">
      <c r="A5358" t="s">
        <v>2857</v>
      </c>
      <c r="B5358" t="s">
        <v>2864</v>
      </c>
      <c r="C5358" t="s">
        <v>1501</v>
      </c>
      <c r="D5358" t="s">
        <v>2899</v>
      </c>
      <c r="E5358">
        <v>0</v>
      </c>
      <c r="F5358" s="11">
        <v>1</v>
      </c>
    </row>
    <row r="5359" spans="1:6" x14ac:dyDescent="0.35">
      <c r="A5359" t="s">
        <v>2857</v>
      </c>
      <c r="B5359" t="s">
        <v>2864</v>
      </c>
      <c r="C5359" t="s">
        <v>1501</v>
      </c>
      <c r="D5359" t="s">
        <v>2900</v>
      </c>
      <c r="E5359">
        <v>4245</v>
      </c>
      <c r="F5359" s="11">
        <v>1</v>
      </c>
    </row>
    <row r="5360" spans="1:6" x14ac:dyDescent="0.35">
      <c r="A5360" t="s">
        <v>2857</v>
      </c>
      <c r="B5360" t="s">
        <v>2864</v>
      </c>
      <c r="C5360" t="s">
        <v>1501</v>
      </c>
      <c r="D5360" t="s">
        <v>2901</v>
      </c>
      <c r="E5360">
        <v>0</v>
      </c>
      <c r="F5360" s="11">
        <v>1</v>
      </c>
    </row>
    <row r="5361" spans="1:6" x14ac:dyDescent="0.35">
      <c r="A5361" t="s">
        <v>2857</v>
      </c>
      <c r="B5361" t="s">
        <v>2864</v>
      </c>
      <c r="C5361" t="s">
        <v>1501</v>
      </c>
      <c r="D5361" t="s">
        <v>2902</v>
      </c>
      <c r="E5361">
        <v>10048</v>
      </c>
      <c r="F5361" s="11">
        <v>0</v>
      </c>
    </row>
    <row r="5362" spans="1:6" x14ac:dyDescent="0.35">
      <c r="A5362" t="s">
        <v>2857</v>
      </c>
      <c r="B5362" t="s">
        <v>2864</v>
      </c>
      <c r="C5362" t="s">
        <v>1501</v>
      </c>
      <c r="D5362" t="s">
        <v>2903</v>
      </c>
      <c r="E5362">
        <v>0</v>
      </c>
      <c r="F5362" s="11">
        <v>1</v>
      </c>
    </row>
    <row r="5363" spans="1:6" x14ac:dyDescent="0.35">
      <c r="A5363" t="s">
        <v>2857</v>
      </c>
      <c r="B5363" t="s">
        <v>2864</v>
      </c>
      <c r="C5363" t="s">
        <v>1501</v>
      </c>
      <c r="D5363" t="s">
        <v>2904</v>
      </c>
      <c r="E5363">
        <v>0</v>
      </c>
      <c r="F5363" s="11">
        <v>1</v>
      </c>
    </row>
    <row r="5364" spans="1:6" x14ac:dyDescent="0.35">
      <c r="A5364" t="s">
        <v>2857</v>
      </c>
      <c r="B5364" t="s">
        <v>2864</v>
      </c>
      <c r="C5364" t="s">
        <v>1501</v>
      </c>
      <c r="D5364" t="s">
        <v>2905</v>
      </c>
      <c r="E5364">
        <v>0</v>
      </c>
      <c r="F5364" s="11">
        <v>1</v>
      </c>
    </row>
    <row r="5365" spans="1:6" x14ac:dyDescent="0.35">
      <c r="A5365" t="s">
        <v>2857</v>
      </c>
      <c r="B5365" t="s">
        <v>2864</v>
      </c>
      <c r="C5365" t="s">
        <v>1501</v>
      </c>
      <c r="D5365" t="s">
        <v>2906</v>
      </c>
      <c r="E5365">
        <v>67885</v>
      </c>
      <c r="F5365" s="11">
        <v>1</v>
      </c>
    </row>
    <row r="5366" spans="1:6" x14ac:dyDescent="0.35">
      <c r="A5366" t="s">
        <v>2857</v>
      </c>
      <c r="B5366" t="s">
        <v>2864</v>
      </c>
      <c r="C5366" t="s">
        <v>1501</v>
      </c>
      <c r="D5366" t="s">
        <v>2907</v>
      </c>
      <c r="E5366">
        <v>0</v>
      </c>
      <c r="F5366" s="11">
        <v>1</v>
      </c>
    </row>
    <row r="5367" spans="1:6" x14ac:dyDescent="0.35">
      <c r="A5367" t="s">
        <v>2857</v>
      </c>
      <c r="B5367" t="s">
        <v>2864</v>
      </c>
      <c r="C5367" t="s">
        <v>1501</v>
      </c>
      <c r="D5367" t="s">
        <v>2908</v>
      </c>
      <c r="E5367">
        <v>0</v>
      </c>
      <c r="F5367" s="11">
        <v>1</v>
      </c>
    </row>
    <row r="5368" spans="1:6" x14ac:dyDescent="0.35">
      <c r="A5368" t="s">
        <v>2857</v>
      </c>
      <c r="B5368" t="s">
        <v>2864</v>
      </c>
      <c r="C5368" t="s">
        <v>1501</v>
      </c>
      <c r="D5368" t="s">
        <v>2909</v>
      </c>
      <c r="E5368">
        <v>0</v>
      </c>
      <c r="F5368" s="11">
        <v>1</v>
      </c>
    </row>
    <row r="5369" spans="1:6" x14ac:dyDescent="0.35">
      <c r="A5369" t="s">
        <v>2857</v>
      </c>
      <c r="B5369" t="s">
        <v>2864</v>
      </c>
      <c r="C5369" t="s">
        <v>1501</v>
      </c>
      <c r="D5369" t="s">
        <v>2910</v>
      </c>
      <c r="E5369">
        <v>270800</v>
      </c>
      <c r="F5369" s="11">
        <v>1</v>
      </c>
    </row>
    <row r="5370" spans="1:6" x14ac:dyDescent="0.35">
      <c r="A5370" t="s">
        <v>2857</v>
      </c>
      <c r="B5370" t="s">
        <v>2864</v>
      </c>
      <c r="C5370" t="s">
        <v>1501</v>
      </c>
      <c r="D5370" t="s">
        <v>2911</v>
      </c>
      <c r="E5370">
        <v>999704</v>
      </c>
      <c r="F5370" s="11">
        <v>1</v>
      </c>
    </row>
    <row r="5371" spans="1:6" x14ac:dyDescent="0.35">
      <c r="A5371" t="s">
        <v>2857</v>
      </c>
      <c r="B5371" t="s">
        <v>2864</v>
      </c>
      <c r="C5371" t="s">
        <v>1501</v>
      </c>
      <c r="D5371" t="s">
        <v>2912</v>
      </c>
      <c r="E5371">
        <v>65548</v>
      </c>
      <c r="F5371" s="11">
        <v>1</v>
      </c>
    </row>
    <row r="5372" spans="1:6" x14ac:dyDescent="0.35">
      <c r="A5372" t="s">
        <v>2857</v>
      </c>
      <c r="B5372" t="s">
        <v>2864</v>
      </c>
      <c r="C5372" t="s">
        <v>1501</v>
      </c>
      <c r="D5372" t="s">
        <v>2913</v>
      </c>
      <c r="E5372">
        <v>0</v>
      </c>
      <c r="F5372" s="11">
        <v>0</v>
      </c>
    </row>
    <row r="5373" spans="1:6" x14ac:dyDescent="0.35">
      <c r="A5373" t="s">
        <v>2857</v>
      </c>
      <c r="B5373" t="s">
        <v>2864</v>
      </c>
      <c r="C5373" t="s">
        <v>1501</v>
      </c>
      <c r="D5373" t="s">
        <v>2914</v>
      </c>
      <c r="E5373">
        <v>0</v>
      </c>
      <c r="F5373" s="11">
        <v>0</v>
      </c>
    </row>
    <row r="5374" spans="1:6" x14ac:dyDescent="0.35">
      <c r="A5374" t="s">
        <v>2857</v>
      </c>
      <c r="B5374" t="s">
        <v>2864</v>
      </c>
      <c r="C5374" t="s">
        <v>1501</v>
      </c>
      <c r="D5374" t="s">
        <v>2915</v>
      </c>
      <c r="E5374">
        <v>984</v>
      </c>
      <c r="F5374" s="11">
        <v>1</v>
      </c>
    </row>
    <row r="5375" spans="1:6" x14ac:dyDescent="0.35">
      <c r="A5375" t="s">
        <v>2857</v>
      </c>
      <c r="B5375" t="s">
        <v>2864</v>
      </c>
      <c r="C5375" t="s">
        <v>1501</v>
      </c>
      <c r="D5375" t="s">
        <v>2916</v>
      </c>
      <c r="E5375">
        <v>99528</v>
      </c>
      <c r="F5375" s="11">
        <v>1</v>
      </c>
    </row>
    <row r="5376" spans="1:6" x14ac:dyDescent="0.35">
      <c r="A5376" t="s">
        <v>2857</v>
      </c>
      <c r="B5376" t="s">
        <v>2864</v>
      </c>
      <c r="C5376" t="s">
        <v>1501</v>
      </c>
      <c r="D5376" t="s">
        <v>2917</v>
      </c>
      <c r="E5376">
        <v>148962</v>
      </c>
      <c r="F5376" s="11">
        <v>1</v>
      </c>
    </row>
    <row r="5377" spans="1:6" x14ac:dyDescent="0.35">
      <c r="A5377" t="s">
        <v>2857</v>
      </c>
      <c r="B5377" t="s">
        <v>2862</v>
      </c>
      <c r="C5377" t="s">
        <v>1433</v>
      </c>
      <c r="D5377" t="s">
        <v>2875</v>
      </c>
      <c r="E5377">
        <v>35379</v>
      </c>
      <c r="F5377" s="11">
        <v>0</v>
      </c>
    </row>
    <row r="5378" spans="1:6" x14ac:dyDescent="0.35">
      <c r="A5378" t="s">
        <v>2857</v>
      </c>
      <c r="B5378" t="s">
        <v>2862</v>
      </c>
      <c r="C5378" t="s">
        <v>1433</v>
      </c>
      <c r="D5378" t="s">
        <v>2876</v>
      </c>
      <c r="E5378">
        <v>10654</v>
      </c>
      <c r="F5378" s="11">
        <v>0</v>
      </c>
    </row>
    <row r="5379" spans="1:6" x14ac:dyDescent="0.35">
      <c r="A5379" t="s">
        <v>2857</v>
      </c>
      <c r="B5379" t="s">
        <v>2862</v>
      </c>
      <c r="C5379" t="s">
        <v>1433</v>
      </c>
      <c r="D5379" t="s">
        <v>2877</v>
      </c>
      <c r="E5379">
        <v>2408</v>
      </c>
      <c r="F5379" s="11">
        <v>0</v>
      </c>
    </row>
    <row r="5380" spans="1:6" x14ac:dyDescent="0.35">
      <c r="A5380" t="s">
        <v>2857</v>
      </c>
      <c r="B5380" t="s">
        <v>2862</v>
      </c>
      <c r="C5380" t="s">
        <v>1433</v>
      </c>
      <c r="D5380" t="s">
        <v>2878</v>
      </c>
      <c r="E5380">
        <v>22082</v>
      </c>
      <c r="F5380" s="11">
        <v>0</v>
      </c>
    </row>
    <row r="5381" spans="1:6" x14ac:dyDescent="0.35">
      <c r="A5381" t="s">
        <v>2857</v>
      </c>
      <c r="B5381" t="s">
        <v>2862</v>
      </c>
      <c r="C5381" t="s">
        <v>1433</v>
      </c>
      <c r="D5381" t="s">
        <v>2879</v>
      </c>
      <c r="E5381">
        <v>1692</v>
      </c>
      <c r="F5381" s="11">
        <v>0</v>
      </c>
    </row>
    <row r="5382" spans="1:6" x14ac:dyDescent="0.35">
      <c r="A5382" t="s">
        <v>2857</v>
      </c>
      <c r="B5382" t="s">
        <v>2862</v>
      </c>
      <c r="C5382" t="s">
        <v>1433</v>
      </c>
      <c r="D5382" t="s">
        <v>2880</v>
      </c>
      <c r="E5382">
        <v>0</v>
      </c>
      <c r="F5382" s="11">
        <v>0</v>
      </c>
    </row>
    <row r="5383" spans="1:6" x14ac:dyDescent="0.35">
      <c r="A5383" t="s">
        <v>2857</v>
      </c>
      <c r="B5383" t="s">
        <v>2862</v>
      </c>
      <c r="C5383" t="s">
        <v>1433</v>
      </c>
      <c r="D5383" t="s">
        <v>2881</v>
      </c>
      <c r="E5383">
        <v>0</v>
      </c>
      <c r="F5383" s="11">
        <v>0</v>
      </c>
    </row>
    <row r="5384" spans="1:6" x14ac:dyDescent="0.35">
      <c r="A5384" t="s">
        <v>2857</v>
      </c>
      <c r="B5384" t="s">
        <v>2862</v>
      </c>
      <c r="C5384" t="s">
        <v>1433</v>
      </c>
      <c r="D5384" t="s">
        <v>2882</v>
      </c>
      <c r="E5384">
        <v>0</v>
      </c>
      <c r="F5384" s="11">
        <v>0</v>
      </c>
    </row>
    <row r="5385" spans="1:6" x14ac:dyDescent="0.35">
      <c r="A5385" t="s">
        <v>2857</v>
      </c>
      <c r="B5385" t="s">
        <v>2862</v>
      </c>
      <c r="C5385" t="s">
        <v>1433</v>
      </c>
      <c r="D5385" t="s">
        <v>2883</v>
      </c>
      <c r="E5385">
        <v>0</v>
      </c>
      <c r="F5385" s="11">
        <v>0</v>
      </c>
    </row>
    <row r="5386" spans="1:6" x14ac:dyDescent="0.35">
      <c r="A5386" t="s">
        <v>2857</v>
      </c>
      <c r="B5386" t="s">
        <v>2862</v>
      </c>
      <c r="C5386" t="s">
        <v>1433</v>
      </c>
      <c r="D5386" t="s">
        <v>2884</v>
      </c>
      <c r="E5386">
        <v>0</v>
      </c>
      <c r="F5386" s="11">
        <v>0</v>
      </c>
    </row>
    <row r="5387" spans="1:6" x14ac:dyDescent="0.35">
      <c r="A5387" t="s">
        <v>2857</v>
      </c>
      <c r="B5387" t="s">
        <v>2862</v>
      </c>
      <c r="C5387" t="s">
        <v>1433</v>
      </c>
      <c r="D5387" t="s">
        <v>2885</v>
      </c>
      <c r="E5387">
        <v>0</v>
      </c>
      <c r="F5387" s="11">
        <v>0</v>
      </c>
    </row>
    <row r="5388" spans="1:6" x14ac:dyDescent="0.35">
      <c r="A5388" t="s">
        <v>2857</v>
      </c>
      <c r="B5388" t="s">
        <v>2862</v>
      </c>
      <c r="C5388" t="s">
        <v>1433</v>
      </c>
      <c r="D5388" t="s">
        <v>2886</v>
      </c>
      <c r="E5388">
        <v>0</v>
      </c>
      <c r="F5388" s="11">
        <v>0</v>
      </c>
    </row>
    <row r="5389" spans="1:6" x14ac:dyDescent="0.35">
      <c r="A5389" t="s">
        <v>2857</v>
      </c>
      <c r="B5389" t="s">
        <v>2862</v>
      </c>
      <c r="C5389" t="s">
        <v>1433</v>
      </c>
      <c r="D5389" t="s">
        <v>2887</v>
      </c>
      <c r="E5389">
        <v>0</v>
      </c>
      <c r="F5389" s="11">
        <v>0</v>
      </c>
    </row>
    <row r="5390" spans="1:6" x14ac:dyDescent="0.35">
      <c r="A5390" t="s">
        <v>2857</v>
      </c>
      <c r="B5390" t="s">
        <v>2862</v>
      </c>
      <c r="C5390" t="s">
        <v>1433</v>
      </c>
      <c r="D5390" t="s">
        <v>2888</v>
      </c>
      <c r="E5390">
        <v>0</v>
      </c>
      <c r="F5390" s="11">
        <v>0</v>
      </c>
    </row>
    <row r="5391" spans="1:6" x14ac:dyDescent="0.35">
      <c r="A5391" t="s">
        <v>2857</v>
      </c>
      <c r="B5391" t="s">
        <v>2862</v>
      </c>
      <c r="C5391" t="s">
        <v>1433</v>
      </c>
      <c r="D5391" t="s">
        <v>2889</v>
      </c>
      <c r="E5391">
        <v>0</v>
      </c>
      <c r="F5391" s="11">
        <v>0</v>
      </c>
    </row>
    <row r="5392" spans="1:6" x14ac:dyDescent="0.35">
      <c r="A5392" t="s">
        <v>2857</v>
      </c>
      <c r="B5392" t="s">
        <v>2862</v>
      </c>
      <c r="C5392" t="s">
        <v>1433</v>
      </c>
      <c r="D5392" t="s">
        <v>2890</v>
      </c>
      <c r="E5392">
        <v>0</v>
      </c>
      <c r="F5392" s="11">
        <v>0</v>
      </c>
    </row>
    <row r="5393" spans="1:6" x14ac:dyDescent="0.35">
      <c r="A5393" t="s">
        <v>2857</v>
      </c>
      <c r="B5393" t="s">
        <v>2862</v>
      </c>
      <c r="C5393" t="s">
        <v>1433</v>
      </c>
      <c r="D5393" t="s">
        <v>2891</v>
      </c>
      <c r="E5393">
        <v>0</v>
      </c>
      <c r="F5393" s="11">
        <v>0</v>
      </c>
    </row>
    <row r="5394" spans="1:6" x14ac:dyDescent="0.35">
      <c r="A5394" t="s">
        <v>2857</v>
      </c>
      <c r="B5394" t="s">
        <v>2862</v>
      </c>
      <c r="C5394" t="s">
        <v>1433</v>
      </c>
      <c r="D5394" t="s">
        <v>2892</v>
      </c>
      <c r="E5394">
        <v>0</v>
      </c>
      <c r="F5394" s="11">
        <v>0</v>
      </c>
    </row>
    <row r="5395" spans="1:6" x14ac:dyDescent="0.35">
      <c r="A5395" t="s">
        <v>2857</v>
      </c>
      <c r="B5395" t="s">
        <v>2862</v>
      </c>
      <c r="C5395" t="s">
        <v>1433</v>
      </c>
      <c r="D5395" t="s">
        <v>2893</v>
      </c>
      <c r="E5395">
        <v>0</v>
      </c>
      <c r="F5395" s="11">
        <v>0</v>
      </c>
    </row>
    <row r="5396" spans="1:6" x14ac:dyDescent="0.35">
      <c r="A5396" t="s">
        <v>2857</v>
      </c>
      <c r="B5396" t="s">
        <v>2862</v>
      </c>
      <c r="C5396" t="s">
        <v>1433</v>
      </c>
      <c r="D5396" t="s">
        <v>2894</v>
      </c>
      <c r="E5396">
        <v>0</v>
      </c>
      <c r="F5396" s="11">
        <v>0</v>
      </c>
    </row>
    <row r="5397" spans="1:6" x14ac:dyDescent="0.35">
      <c r="A5397" t="s">
        <v>2857</v>
      </c>
      <c r="B5397" t="s">
        <v>2862</v>
      </c>
      <c r="C5397" t="s">
        <v>1433</v>
      </c>
      <c r="D5397" t="s">
        <v>2895</v>
      </c>
      <c r="E5397">
        <v>1036628</v>
      </c>
      <c r="F5397" s="11">
        <v>0</v>
      </c>
    </row>
    <row r="5398" spans="1:6" x14ac:dyDescent="0.35">
      <c r="A5398" t="s">
        <v>2857</v>
      </c>
      <c r="B5398" t="s">
        <v>2862</v>
      </c>
      <c r="C5398" t="s">
        <v>1433</v>
      </c>
      <c r="D5398" t="s">
        <v>2896</v>
      </c>
      <c r="E5398">
        <v>370131</v>
      </c>
      <c r="F5398" s="11">
        <v>0</v>
      </c>
    </row>
    <row r="5399" spans="1:6" x14ac:dyDescent="0.35">
      <c r="A5399" t="s">
        <v>2857</v>
      </c>
      <c r="B5399" t="s">
        <v>2862</v>
      </c>
      <c r="C5399" t="s">
        <v>1433</v>
      </c>
      <c r="D5399" t="s">
        <v>2897</v>
      </c>
      <c r="E5399">
        <v>53645</v>
      </c>
      <c r="F5399" s="11">
        <v>0</v>
      </c>
    </row>
    <row r="5400" spans="1:6" x14ac:dyDescent="0.35">
      <c r="A5400" t="s">
        <v>2857</v>
      </c>
      <c r="B5400" t="s">
        <v>2862</v>
      </c>
      <c r="C5400" t="s">
        <v>1433</v>
      </c>
      <c r="D5400" t="s">
        <v>2898</v>
      </c>
      <c r="E5400">
        <v>612852</v>
      </c>
      <c r="F5400" s="11">
        <v>0</v>
      </c>
    </row>
    <row r="5401" spans="1:6" x14ac:dyDescent="0.35">
      <c r="A5401" t="s">
        <v>2857</v>
      </c>
      <c r="B5401" t="s">
        <v>2862</v>
      </c>
      <c r="C5401" t="s">
        <v>1433</v>
      </c>
      <c r="D5401" t="s">
        <v>2899</v>
      </c>
      <c r="E5401">
        <v>2598</v>
      </c>
      <c r="F5401" s="11">
        <v>0</v>
      </c>
    </row>
    <row r="5402" spans="1:6" x14ac:dyDescent="0.35">
      <c r="A5402" t="s">
        <v>2857</v>
      </c>
      <c r="B5402" t="s">
        <v>2862</v>
      </c>
      <c r="C5402" t="s">
        <v>1433</v>
      </c>
      <c r="D5402" t="s">
        <v>2900</v>
      </c>
      <c r="E5402">
        <v>156</v>
      </c>
      <c r="F5402" s="11">
        <v>0</v>
      </c>
    </row>
    <row r="5403" spans="1:6" x14ac:dyDescent="0.35">
      <c r="A5403" t="s">
        <v>2857</v>
      </c>
      <c r="B5403" t="s">
        <v>2862</v>
      </c>
      <c r="C5403" t="s">
        <v>1433</v>
      </c>
      <c r="D5403" t="s">
        <v>2901</v>
      </c>
      <c r="E5403">
        <v>12</v>
      </c>
      <c r="F5403" s="11">
        <v>0</v>
      </c>
    </row>
    <row r="5404" spans="1:6" x14ac:dyDescent="0.35">
      <c r="A5404" t="s">
        <v>2857</v>
      </c>
      <c r="B5404" t="s">
        <v>2862</v>
      </c>
      <c r="C5404" t="s">
        <v>1433</v>
      </c>
      <c r="D5404" t="s">
        <v>2902</v>
      </c>
      <c r="E5404">
        <v>2430</v>
      </c>
      <c r="F5404" s="11">
        <v>0</v>
      </c>
    </row>
    <row r="5405" spans="1:6" x14ac:dyDescent="0.35">
      <c r="A5405" t="s">
        <v>2857</v>
      </c>
      <c r="B5405" t="s">
        <v>2862</v>
      </c>
      <c r="C5405" t="s">
        <v>1433</v>
      </c>
      <c r="D5405" t="s">
        <v>2903</v>
      </c>
      <c r="E5405">
        <v>102905</v>
      </c>
      <c r="F5405" s="11">
        <v>0</v>
      </c>
    </row>
    <row r="5406" spans="1:6" x14ac:dyDescent="0.35">
      <c r="A5406" t="s">
        <v>2857</v>
      </c>
      <c r="B5406" t="s">
        <v>2862</v>
      </c>
      <c r="C5406" t="s">
        <v>1433</v>
      </c>
      <c r="D5406" t="s">
        <v>2904</v>
      </c>
      <c r="E5406">
        <v>0</v>
      </c>
      <c r="F5406" s="11">
        <v>0</v>
      </c>
    </row>
    <row r="5407" spans="1:6" x14ac:dyDescent="0.35">
      <c r="A5407" t="s">
        <v>2857</v>
      </c>
      <c r="B5407" t="s">
        <v>2862</v>
      </c>
      <c r="C5407" t="s">
        <v>1433</v>
      </c>
      <c r="D5407" t="s">
        <v>2905</v>
      </c>
      <c r="E5407">
        <v>0</v>
      </c>
      <c r="F5407" s="11">
        <v>0</v>
      </c>
    </row>
    <row r="5408" spans="1:6" x14ac:dyDescent="0.35">
      <c r="A5408" t="s">
        <v>2857</v>
      </c>
      <c r="B5408" t="s">
        <v>2862</v>
      </c>
      <c r="C5408" t="s">
        <v>1433</v>
      </c>
      <c r="D5408" t="s">
        <v>2906</v>
      </c>
      <c r="E5408">
        <v>0</v>
      </c>
      <c r="F5408" s="11">
        <v>0</v>
      </c>
    </row>
    <row r="5409" spans="1:6" x14ac:dyDescent="0.35">
      <c r="A5409" t="s">
        <v>2857</v>
      </c>
      <c r="B5409" t="s">
        <v>2862</v>
      </c>
      <c r="C5409" t="s">
        <v>1433</v>
      </c>
      <c r="D5409" t="s">
        <v>2907</v>
      </c>
      <c r="E5409">
        <v>96755</v>
      </c>
      <c r="F5409" s="11">
        <v>0</v>
      </c>
    </row>
    <row r="5410" spans="1:6" x14ac:dyDescent="0.35">
      <c r="A5410" t="s">
        <v>2857</v>
      </c>
      <c r="B5410" t="s">
        <v>2862</v>
      </c>
      <c r="C5410" t="s">
        <v>1433</v>
      </c>
      <c r="D5410" t="s">
        <v>2908</v>
      </c>
      <c r="E5410">
        <v>0</v>
      </c>
      <c r="F5410" s="11">
        <v>0</v>
      </c>
    </row>
    <row r="5411" spans="1:6" x14ac:dyDescent="0.35">
      <c r="A5411" t="s">
        <v>2857</v>
      </c>
      <c r="B5411" t="s">
        <v>2862</v>
      </c>
      <c r="C5411" t="s">
        <v>1433</v>
      </c>
      <c r="D5411" t="s">
        <v>2909</v>
      </c>
      <c r="E5411">
        <v>0</v>
      </c>
      <c r="F5411" s="11">
        <v>0</v>
      </c>
    </row>
    <row r="5412" spans="1:6" x14ac:dyDescent="0.35">
      <c r="A5412" t="s">
        <v>2857</v>
      </c>
      <c r="B5412" t="s">
        <v>2862</v>
      </c>
      <c r="C5412" t="s">
        <v>1433</v>
      </c>
      <c r="D5412" t="s">
        <v>2910</v>
      </c>
      <c r="E5412">
        <v>0</v>
      </c>
      <c r="F5412" s="11">
        <v>0</v>
      </c>
    </row>
    <row r="5413" spans="1:6" x14ac:dyDescent="0.35">
      <c r="A5413" t="s">
        <v>2857</v>
      </c>
      <c r="B5413" t="s">
        <v>2862</v>
      </c>
      <c r="C5413" t="s">
        <v>1433</v>
      </c>
      <c r="D5413" t="s">
        <v>2911</v>
      </c>
      <c r="E5413">
        <v>965908</v>
      </c>
      <c r="F5413" s="11">
        <v>0</v>
      </c>
    </row>
    <row r="5414" spans="1:6" x14ac:dyDescent="0.35">
      <c r="A5414" t="s">
        <v>2857</v>
      </c>
      <c r="B5414" t="s">
        <v>2862</v>
      </c>
      <c r="C5414" t="s">
        <v>1433</v>
      </c>
      <c r="D5414" t="s">
        <v>2912</v>
      </c>
      <c r="E5414">
        <v>0</v>
      </c>
      <c r="F5414" s="11">
        <v>0</v>
      </c>
    </row>
    <row r="5415" spans="1:6" x14ac:dyDescent="0.35">
      <c r="A5415" t="s">
        <v>2857</v>
      </c>
      <c r="B5415" t="s">
        <v>2862</v>
      </c>
      <c r="C5415" t="s">
        <v>1433</v>
      </c>
      <c r="D5415" t="s">
        <v>2913</v>
      </c>
      <c r="E5415">
        <v>0</v>
      </c>
      <c r="F5415" s="11">
        <v>0</v>
      </c>
    </row>
    <row r="5416" spans="1:6" x14ac:dyDescent="0.35">
      <c r="A5416" t="s">
        <v>2857</v>
      </c>
      <c r="B5416" t="s">
        <v>2862</v>
      </c>
      <c r="C5416" t="s">
        <v>1433</v>
      </c>
      <c r="D5416" t="s">
        <v>2914</v>
      </c>
      <c r="E5416">
        <v>0</v>
      </c>
      <c r="F5416" s="11">
        <v>0</v>
      </c>
    </row>
    <row r="5417" spans="1:6" x14ac:dyDescent="0.35">
      <c r="A5417" t="s">
        <v>2857</v>
      </c>
      <c r="B5417" t="s">
        <v>2862</v>
      </c>
      <c r="C5417" t="s">
        <v>1433</v>
      </c>
      <c r="D5417" t="s">
        <v>2915</v>
      </c>
      <c r="E5417">
        <v>0</v>
      </c>
      <c r="F5417" s="11">
        <v>0</v>
      </c>
    </row>
    <row r="5418" spans="1:6" x14ac:dyDescent="0.35">
      <c r="A5418" t="s">
        <v>2857</v>
      </c>
      <c r="B5418" t="s">
        <v>2862</v>
      </c>
      <c r="C5418" t="s">
        <v>1433</v>
      </c>
      <c r="D5418" t="s">
        <v>2916</v>
      </c>
      <c r="E5418">
        <v>4156838</v>
      </c>
      <c r="F5418" s="11">
        <v>0</v>
      </c>
    </row>
    <row r="5419" spans="1:6" x14ac:dyDescent="0.35">
      <c r="A5419" t="s">
        <v>2857</v>
      </c>
      <c r="B5419" t="s">
        <v>2862</v>
      </c>
      <c r="C5419" t="s">
        <v>1433</v>
      </c>
      <c r="D5419" t="s">
        <v>2917</v>
      </c>
      <c r="E5419">
        <v>0</v>
      </c>
      <c r="F5419" s="11">
        <v>0</v>
      </c>
    </row>
    <row r="5420" spans="1:6" x14ac:dyDescent="0.35">
      <c r="A5420" t="s">
        <v>2857</v>
      </c>
      <c r="B5420" t="s">
        <v>2865</v>
      </c>
      <c r="C5420" t="s">
        <v>1498</v>
      </c>
      <c r="D5420" t="s">
        <v>2875</v>
      </c>
      <c r="E5420">
        <v>17825</v>
      </c>
      <c r="F5420" s="11">
        <v>1</v>
      </c>
    </row>
    <row r="5421" spans="1:6" x14ac:dyDescent="0.35">
      <c r="A5421" t="s">
        <v>2857</v>
      </c>
      <c r="B5421" t="s">
        <v>2865</v>
      </c>
      <c r="C5421" t="s">
        <v>1498</v>
      </c>
      <c r="D5421" t="s">
        <v>2876</v>
      </c>
      <c r="E5421">
        <v>6058</v>
      </c>
      <c r="F5421" s="11">
        <v>1</v>
      </c>
    </row>
    <row r="5422" spans="1:6" x14ac:dyDescent="0.35">
      <c r="A5422" t="s">
        <v>2857</v>
      </c>
      <c r="B5422" t="s">
        <v>2865</v>
      </c>
      <c r="C5422" t="s">
        <v>1498</v>
      </c>
      <c r="D5422" t="s">
        <v>2877</v>
      </c>
      <c r="E5422">
        <v>1140</v>
      </c>
      <c r="F5422" s="11">
        <v>1</v>
      </c>
    </row>
    <row r="5423" spans="1:6" x14ac:dyDescent="0.35">
      <c r="A5423" t="s">
        <v>2857</v>
      </c>
      <c r="B5423" t="s">
        <v>2865</v>
      </c>
      <c r="C5423" t="s">
        <v>1498</v>
      </c>
      <c r="D5423" t="s">
        <v>2878</v>
      </c>
      <c r="E5423">
        <v>10627</v>
      </c>
      <c r="F5423" s="11">
        <v>1</v>
      </c>
    </row>
    <row r="5424" spans="1:6" x14ac:dyDescent="0.35">
      <c r="A5424" t="s">
        <v>2857</v>
      </c>
      <c r="B5424" t="s">
        <v>2865</v>
      </c>
      <c r="C5424" t="s">
        <v>1498</v>
      </c>
      <c r="D5424" t="s">
        <v>2879</v>
      </c>
      <c r="E5424">
        <v>2659</v>
      </c>
      <c r="F5424" s="11">
        <v>1</v>
      </c>
    </row>
    <row r="5425" spans="1:6" x14ac:dyDescent="0.35">
      <c r="A5425" t="s">
        <v>2857</v>
      </c>
      <c r="B5425" t="s">
        <v>2865</v>
      </c>
      <c r="C5425" t="s">
        <v>1498</v>
      </c>
      <c r="D5425" t="s">
        <v>2880</v>
      </c>
      <c r="E5425">
        <v>1416</v>
      </c>
      <c r="F5425" s="11">
        <v>0</v>
      </c>
    </row>
    <row r="5426" spans="1:6" x14ac:dyDescent="0.35">
      <c r="A5426" t="s">
        <v>2857</v>
      </c>
      <c r="B5426" t="s">
        <v>2865</v>
      </c>
      <c r="C5426" t="s">
        <v>1498</v>
      </c>
      <c r="D5426" t="s">
        <v>2881</v>
      </c>
      <c r="E5426">
        <v>61</v>
      </c>
      <c r="F5426" s="11">
        <v>0</v>
      </c>
    </row>
    <row r="5427" spans="1:6" x14ac:dyDescent="0.35">
      <c r="A5427" t="s">
        <v>2857</v>
      </c>
      <c r="B5427" t="s">
        <v>2865</v>
      </c>
      <c r="C5427" t="s">
        <v>1498</v>
      </c>
      <c r="D5427" t="s">
        <v>2882</v>
      </c>
      <c r="E5427">
        <v>1236</v>
      </c>
      <c r="F5427" s="11">
        <v>0</v>
      </c>
    </row>
    <row r="5428" spans="1:6" x14ac:dyDescent="0.35">
      <c r="A5428" t="s">
        <v>2857</v>
      </c>
      <c r="B5428" t="s">
        <v>2865</v>
      </c>
      <c r="C5428" t="s">
        <v>1498</v>
      </c>
      <c r="D5428" t="s">
        <v>2883</v>
      </c>
      <c r="E5428">
        <v>0</v>
      </c>
      <c r="F5428" s="11">
        <v>0</v>
      </c>
    </row>
    <row r="5429" spans="1:6" x14ac:dyDescent="0.35">
      <c r="A5429" t="s">
        <v>2857</v>
      </c>
      <c r="B5429" t="s">
        <v>2865</v>
      </c>
      <c r="C5429" t="s">
        <v>1498</v>
      </c>
      <c r="D5429" t="s">
        <v>2884</v>
      </c>
      <c r="E5429">
        <v>0</v>
      </c>
      <c r="F5429" s="11">
        <v>0</v>
      </c>
    </row>
    <row r="5430" spans="1:6" x14ac:dyDescent="0.35">
      <c r="A5430" t="s">
        <v>2857</v>
      </c>
      <c r="B5430" t="s">
        <v>2865</v>
      </c>
      <c r="C5430" t="s">
        <v>1498</v>
      </c>
      <c r="D5430" t="s">
        <v>2885</v>
      </c>
      <c r="E5430">
        <v>0</v>
      </c>
      <c r="F5430" s="11">
        <v>0</v>
      </c>
    </row>
    <row r="5431" spans="1:6" x14ac:dyDescent="0.35">
      <c r="A5431" t="s">
        <v>2857</v>
      </c>
      <c r="B5431" t="s">
        <v>2865</v>
      </c>
      <c r="C5431" t="s">
        <v>1498</v>
      </c>
      <c r="D5431" t="s">
        <v>2886</v>
      </c>
      <c r="E5431">
        <v>0</v>
      </c>
      <c r="F5431" s="11">
        <v>0</v>
      </c>
    </row>
    <row r="5432" spans="1:6" x14ac:dyDescent="0.35">
      <c r="A5432" t="s">
        <v>2857</v>
      </c>
      <c r="B5432" t="s">
        <v>2865</v>
      </c>
      <c r="C5432" t="s">
        <v>1498</v>
      </c>
      <c r="D5432" t="s">
        <v>2887</v>
      </c>
      <c r="E5432">
        <v>35243</v>
      </c>
      <c r="F5432" s="11">
        <v>1</v>
      </c>
    </row>
    <row r="5433" spans="1:6" x14ac:dyDescent="0.35">
      <c r="A5433" t="s">
        <v>2857</v>
      </c>
      <c r="B5433" t="s">
        <v>2865</v>
      </c>
      <c r="C5433" t="s">
        <v>1498</v>
      </c>
      <c r="D5433" t="s">
        <v>2888</v>
      </c>
      <c r="E5433">
        <v>14436</v>
      </c>
      <c r="F5433" s="11">
        <v>0</v>
      </c>
    </row>
    <row r="5434" spans="1:6" x14ac:dyDescent="0.35">
      <c r="A5434" t="s">
        <v>2857</v>
      </c>
      <c r="B5434" t="s">
        <v>2865</v>
      </c>
      <c r="C5434" t="s">
        <v>1498</v>
      </c>
      <c r="D5434" t="s">
        <v>2889</v>
      </c>
      <c r="E5434">
        <v>360</v>
      </c>
      <c r="F5434" s="11">
        <v>0</v>
      </c>
    </row>
    <row r="5435" spans="1:6" x14ac:dyDescent="0.35">
      <c r="A5435" t="s">
        <v>2857</v>
      </c>
      <c r="B5435" t="s">
        <v>2865</v>
      </c>
      <c r="C5435" t="s">
        <v>1498</v>
      </c>
      <c r="D5435" t="s">
        <v>2890</v>
      </c>
      <c r="E5435">
        <v>11650</v>
      </c>
      <c r="F5435" s="11">
        <v>0</v>
      </c>
    </row>
    <row r="5436" spans="1:6" x14ac:dyDescent="0.35">
      <c r="A5436" t="s">
        <v>2857</v>
      </c>
      <c r="B5436" t="s">
        <v>2865</v>
      </c>
      <c r="C5436" t="s">
        <v>1498</v>
      </c>
      <c r="D5436" t="s">
        <v>2891</v>
      </c>
      <c r="E5436">
        <v>0</v>
      </c>
      <c r="F5436" s="11">
        <v>0</v>
      </c>
    </row>
    <row r="5437" spans="1:6" x14ac:dyDescent="0.35">
      <c r="A5437" t="s">
        <v>2857</v>
      </c>
      <c r="B5437" t="s">
        <v>2865</v>
      </c>
      <c r="C5437" t="s">
        <v>1498</v>
      </c>
      <c r="D5437" t="s">
        <v>2892</v>
      </c>
      <c r="E5437">
        <v>0</v>
      </c>
      <c r="F5437" s="11">
        <v>0</v>
      </c>
    </row>
    <row r="5438" spans="1:6" x14ac:dyDescent="0.35">
      <c r="A5438" t="s">
        <v>2857</v>
      </c>
      <c r="B5438" t="s">
        <v>2865</v>
      </c>
      <c r="C5438" t="s">
        <v>1498</v>
      </c>
      <c r="D5438" t="s">
        <v>2893</v>
      </c>
      <c r="E5438">
        <v>0</v>
      </c>
      <c r="F5438" s="11">
        <v>0</v>
      </c>
    </row>
    <row r="5439" spans="1:6" x14ac:dyDescent="0.35">
      <c r="A5439" t="s">
        <v>2857</v>
      </c>
      <c r="B5439" t="s">
        <v>2865</v>
      </c>
      <c r="C5439" t="s">
        <v>1498</v>
      </c>
      <c r="D5439" t="s">
        <v>2894</v>
      </c>
      <c r="E5439">
        <v>0</v>
      </c>
      <c r="F5439" s="11">
        <v>0</v>
      </c>
    </row>
    <row r="5440" spans="1:6" x14ac:dyDescent="0.35">
      <c r="A5440" t="s">
        <v>2857</v>
      </c>
      <c r="B5440" t="s">
        <v>2865</v>
      </c>
      <c r="C5440" t="s">
        <v>1498</v>
      </c>
      <c r="D5440" t="s">
        <v>2895</v>
      </c>
      <c r="E5440">
        <v>378216</v>
      </c>
      <c r="F5440" s="11">
        <v>1</v>
      </c>
    </row>
    <row r="5441" spans="1:6" x14ac:dyDescent="0.35">
      <c r="A5441" t="s">
        <v>2857</v>
      </c>
      <c r="B5441" t="s">
        <v>2865</v>
      </c>
      <c r="C5441" t="s">
        <v>1498</v>
      </c>
      <c r="D5441" t="s">
        <v>2896</v>
      </c>
      <c r="E5441">
        <v>136189</v>
      </c>
      <c r="F5441" s="11">
        <v>1</v>
      </c>
    </row>
    <row r="5442" spans="1:6" x14ac:dyDescent="0.35">
      <c r="A5442" t="s">
        <v>2857</v>
      </c>
      <c r="B5442" t="s">
        <v>2865</v>
      </c>
      <c r="C5442" t="s">
        <v>1498</v>
      </c>
      <c r="D5442" t="s">
        <v>2897</v>
      </c>
      <c r="E5442">
        <v>8063</v>
      </c>
      <c r="F5442" s="11">
        <v>1</v>
      </c>
    </row>
    <row r="5443" spans="1:6" x14ac:dyDescent="0.35">
      <c r="A5443" t="s">
        <v>2857</v>
      </c>
      <c r="B5443" t="s">
        <v>2865</v>
      </c>
      <c r="C5443" t="s">
        <v>1498</v>
      </c>
      <c r="D5443" t="s">
        <v>2898</v>
      </c>
      <c r="E5443">
        <v>233964</v>
      </c>
      <c r="F5443" s="11">
        <v>1</v>
      </c>
    </row>
    <row r="5444" spans="1:6" x14ac:dyDescent="0.35">
      <c r="A5444" t="s">
        <v>2857</v>
      </c>
      <c r="B5444" t="s">
        <v>2865</v>
      </c>
      <c r="C5444" t="s">
        <v>1498</v>
      </c>
      <c r="D5444" t="s">
        <v>2899</v>
      </c>
      <c r="E5444">
        <v>4009</v>
      </c>
      <c r="F5444" s="11">
        <v>1</v>
      </c>
    </row>
    <row r="5445" spans="1:6" x14ac:dyDescent="0.35">
      <c r="A5445" t="s">
        <v>2857</v>
      </c>
      <c r="B5445" t="s">
        <v>2865</v>
      </c>
      <c r="C5445" t="s">
        <v>1498</v>
      </c>
      <c r="D5445" t="s">
        <v>2900</v>
      </c>
      <c r="E5445">
        <v>152</v>
      </c>
      <c r="F5445" s="11">
        <v>0</v>
      </c>
    </row>
    <row r="5446" spans="1:6" x14ac:dyDescent="0.35">
      <c r="A5446" t="s">
        <v>2857</v>
      </c>
      <c r="B5446" t="s">
        <v>2865</v>
      </c>
      <c r="C5446" t="s">
        <v>1498</v>
      </c>
      <c r="D5446" t="s">
        <v>2901</v>
      </c>
      <c r="E5446">
        <v>0</v>
      </c>
      <c r="F5446" s="11">
        <v>0</v>
      </c>
    </row>
    <row r="5447" spans="1:6" x14ac:dyDescent="0.35">
      <c r="A5447" t="s">
        <v>2857</v>
      </c>
      <c r="B5447" t="s">
        <v>2865</v>
      </c>
      <c r="C5447" t="s">
        <v>1498</v>
      </c>
      <c r="D5447" t="s">
        <v>2902</v>
      </c>
      <c r="E5447">
        <v>3857</v>
      </c>
      <c r="F5447" s="11">
        <v>0</v>
      </c>
    </row>
    <row r="5448" spans="1:6" x14ac:dyDescent="0.35">
      <c r="A5448" t="s">
        <v>2857</v>
      </c>
      <c r="B5448" t="s">
        <v>2865</v>
      </c>
      <c r="C5448" t="s">
        <v>1498</v>
      </c>
      <c r="D5448" t="s">
        <v>2903</v>
      </c>
      <c r="E5448">
        <v>22679</v>
      </c>
      <c r="F5448" s="11">
        <v>1</v>
      </c>
    </row>
    <row r="5449" spans="1:6" x14ac:dyDescent="0.35">
      <c r="A5449" t="s">
        <v>2857</v>
      </c>
      <c r="B5449" t="s">
        <v>2865</v>
      </c>
      <c r="C5449" t="s">
        <v>1498</v>
      </c>
      <c r="D5449" t="s">
        <v>2904</v>
      </c>
      <c r="E5449">
        <v>1607</v>
      </c>
      <c r="F5449" s="11">
        <v>0</v>
      </c>
    </row>
    <row r="5450" spans="1:6" x14ac:dyDescent="0.35">
      <c r="A5450" t="s">
        <v>2857</v>
      </c>
      <c r="B5450" t="s">
        <v>2865</v>
      </c>
      <c r="C5450" t="s">
        <v>1498</v>
      </c>
      <c r="D5450" t="s">
        <v>2905</v>
      </c>
      <c r="E5450">
        <v>891</v>
      </c>
      <c r="F5450" s="11">
        <v>0</v>
      </c>
    </row>
    <row r="5451" spans="1:6" x14ac:dyDescent="0.35">
      <c r="A5451" t="s">
        <v>2857</v>
      </c>
      <c r="B5451" t="s">
        <v>2865</v>
      </c>
      <c r="C5451" t="s">
        <v>1498</v>
      </c>
      <c r="D5451" t="s">
        <v>2906</v>
      </c>
      <c r="E5451">
        <v>20181</v>
      </c>
      <c r="F5451" s="11">
        <v>0</v>
      </c>
    </row>
    <row r="5452" spans="1:6" x14ac:dyDescent="0.35">
      <c r="A5452" t="s">
        <v>2857</v>
      </c>
      <c r="B5452" t="s">
        <v>2865</v>
      </c>
      <c r="C5452" t="s">
        <v>1498</v>
      </c>
      <c r="D5452" t="s">
        <v>2907</v>
      </c>
      <c r="E5452">
        <v>38520</v>
      </c>
      <c r="F5452" s="11">
        <v>1</v>
      </c>
    </row>
    <row r="5453" spans="1:6" x14ac:dyDescent="0.35">
      <c r="A5453" t="s">
        <v>2857</v>
      </c>
      <c r="B5453" t="s">
        <v>2865</v>
      </c>
      <c r="C5453" t="s">
        <v>1498</v>
      </c>
      <c r="D5453" t="s">
        <v>2908</v>
      </c>
      <c r="E5453">
        <v>3271</v>
      </c>
      <c r="F5453" s="11">
        <v>0</v>
      </c>
    </row>
    <row r="5454" spans="1:6" x14ac:dyDescent="0.35">
      <c r="A5454" t="s">
        <v>2857</v>
      </c>
      <c r="B5454" t="s">
        <v>2865</v>
      </c>
      <c r="C5454" t="s">
        <v>1498</v>
      </c>
      <c r="D5454" t="s">
        <v>2909</v>
      </c>
      <c r="E5454">
        <v>833</v>
      </c>
      <c r="F5454" s="11">
        <v>0</v>
      </c>
    </row>
    <row r="5455" spans="1:6" x14ac:dyDescent="0.35">
      <c r="A5455" t="s">
        <v>2857</v>
      </c>
      <c r="B5455" t="s">
        <v>2865</v>
      </c>
      <c r="C5455" t="s">
        <v>1498</v>
      </c>
      <c r="D5455" t="s">
        <v>2910</v>
      </c>
      <c r="E5455">
        <v>34416</v>
      </c>
      <c r="F5455" s="11">
        <v>0</v>
      </c>
    </row>
    <row r="5456" spans="1:6" x14ac:dyDescent="0.35">
      <c r="A5456" t="s">
        <v>2857</v>
      </c>
      <c r="B5456" t="s">
        <v>2865</v>
      </c>
      <c r="C5456" t="s">
        <v>1498</v>
      </c>
      <c r="D5456" t="s">
        <v>2911</v>
      </c>
      <c r="E5456">
        <v>441254</v>
      </c>
      <c r="F5456" s="11">
        <v>1</v>
      </c>
    </row>
    <row r="5457" spans="1:6" x14ac:dyDescent="0.35">
      <c r="A5457" t="s">
        <v>2857</v>
      </c>
      <c r="B5457" t="s">
        <v>2865</v>
      </c>
      <c r="C5457" t="s">
        <v>1498</v>
      </c>
      <c r="D5457" t="s">
        <v>2912</v>
      </c>
      <c r="E5457">
        <v>75724</v>
      </c>
      <c r="F5457" s="11">
        <v>1</v>
      </c>
    </row>
    <row r="5458" spans="1:6" x14ac:dyDescent="0.35">
      <c r="A5458" t="s">
        <v>2857</v>
      </c>
      <c r="B5458" t="s">
        <v>2865</v>
      </c>
      <c r="C5458" t="s">
        <v>1498</v>
      </c>
      <c r="D5458" t="s">
        <v>2913</v>
      </c>
      <c r="E5458">
        <v>0</v>
      </c>
      <c r="F5458" s="11">
        <v>0</v>
      </c>
    </row>
    <row r="5459" spans="1:6" x14ac:dyDescent="0.35">
      <c r="A5459" t="s">
        <v>2857</v>
      </c>
      <c r="B5459" t="s">
        <v>2865</v>
      </c>
      <c r="C5459" t="s">
        <v>1498</v>
      </c>
      <c r="D5459" t="s">
        <v>2914</v>
      </c>
      <c r="E5459">
        <v>0</v>
      </c>
      <c r="F5459" s="11">
        <v>0</v>
      </c>
    </row>
    <row r="5460" spans="1:6" x14ac:dyDescent="0.35">
      <c r="A5460" t="s">
        <v>2857</v>
      </c>
      <c r="B5460" t="s">
        <v>2865</v>
      </c>
      <c r="C5460" t="s">
        <v>1498</v>
      </c>
      <c r="D5460" t="s">
        <v>2915</v>
      </c>
      <c r="E5460">
        <v>3250</v>
      </c>
      <c r="F5460" s="11">
        <v>1</v>
      </c>
    </row>
    <row r="5461" spans="1:6" x14ac:dyDescent="0.35">
      <c r="A5461" t="s">
        <v>2857</v>
      </c>
      <c r="B5461" t="s">
        <v>2865</v>
      </c>
      <c r="C5461" t="s">
        <v>1498</v>
      </c>
      <c r="D5461" t="s">
        <v>2916</v>
      </c>
      <c r="E5461">
        <v>32018</v>
      </c>
      <c r="F5461" s="11">
        <v>0</v>
      </c>
    </row>
    <row r="5462" spans="1:6" x14ac:dyDescent="0.35">
      <c r="A5462" t="s">
        <v>2857</v>
      </c>
      <c r="B5462" t="s">
        <v>2865</v>
      </c>
      <c r="C5462" t="s">
        <v>1498</v>
      </c>
      <c r="D5462" t="s">
        <v>2917</v>
      </c>
      <c r="E5462">
        <v>0</v>
      </c>
      <c r="F5462" s="11">
        <v>1</v>
      </c>
    </row>
    <row r="5463" spans="1:6" x14ac:dyDescent="0.35">
      <c r="A5463" t="s">
        <v>2857</v>
      </c>
      <c r="B5463" t="s">
        <v>2866</v>
      </c>
      <c r="C5463" t="s">
        <v>1419</v>
      </c>
      <c r="D5463" t="s">
        <v>2875</v>
      </c>
      <c r="E5463">
        <v>12521</v>
      </c>
      <c r="F5463" s="11">
        <v>0</v>
      </c>
    </row>
    <row r="5464" spans="1:6" x14ac:dyDescent="0.35">
      <c r="A5464" t="s">
        <v>2857</v>
      </c>
      <c r="B5464" t="s">
        <v>2866</v>
      </c>
      <c r="C5464" t="s">
        <v>1419</v>
      </c>
      <c r="D5464" t="s">
        <v>2876</v>
      </c>
      <c r="E5464">
        <v>2461</v>
      </c>
      <c r="F5464" s="11">
        <v>0</v>
      </c>
    </row>
    <row r="5465" spans="1:6" x14ac:dyDescent="0.35">
      <c r="A5465" t="s">
        <v>2857</v>
      </c>
      <c r="B5465" t="s">
        <v>2866</v>
      </c>
      <c r="C5465" t="s">
        <v>1419</v>
      </c>
      <c r="D5465" t="s">
        <v>2877</v>
      </c>
      <c r="E5465">
        <v>639</v>
      </c>
      <c r="F5465" s="11">
        <v>0</v>
      </c>
    </row>
    <row r="5466" spans="1:6" x14ac:dyDescent="0.35">
      <c r="A5466" t="s">
        <v>2857</v>
      </c>
      <c r="B5466" t="s">
        <v>2866</v>
      </c>
      <c r="C5466" t="s">
        <v>1419</v>
      </c>
      <c r="D5466" t="s">
        <v>2878</v>
      </c>
      <c r="E5466">
        <v>9272</v>
      </c>
      <c r="F5466" s="11">
        <v>0</v>
      </c>
    </row>
    <row r="5467" spans="1:6" x14ac:dyDescent="0.35">
      <c r="A5467" t="s">
        <v>2857</v>
      </c>
      <c r="B5467" t="s">
        <v>2866</v>
      </c>
      <c r="C5467" t="s">
        <v>1419</v>
      </c>
      <c r="D5467" t="s">
        <v>2879</v>
      </c>
      <c r="E5467">
        <v>3238</v>
      </c>
      <c r="F5467" s="11">
        <v>0</v>
      </c>
    </row>
    <row r="5468" spans="1:6" x14ac:dyDescent="0.35">
      <c r="A5468" t="s">
        <v>2857</v>
      </c>
      <c r="B5468" t="s">
        <v>2866</v>
      </c>
      <c r="C5468" t="s">
        <v>1419</v>
      </c>
      <c r="D5468" t="s">
        <v>2880</v>
      </c>
      <c r="E5468">
        <v>2135</v>
      </c>
      <c r="F5468" s="11">
        <v>0</v>
      </c>
    </row>
    <row r="5469" spans="1:6" x14ac:dyDescent="0.35">
      <c r="A5469" t="s">
        <v>2857</v>
      </c>
      <c r="B5469" t="s">
        <v>2866</v>
      </c>
      <c r="C5469" t="s">
        <v>1419</v>
      </c>
      <c r="D5469" t="s">
        <v>2881</v>
      </c>
      <c r="E5469">
        <v>0</v>
      </c>
      <c r="F5469" s="11">
        <v>0</v>
      </c>
    </row>
    <row r="5470" spans="1:6" x14ac:dyDescent="0.35">
      <c r="A5470" t="s">
        <v>2857</v>
      </c>
      <c r="B5470" t="s">
        <v>2866</v>
      </c>
      <c r="C5470" t="s">
        <v>1419</v>
      </c>
      <c r="D5470" t="s">
        <v>2882</v>
      </c>
      <c r="E5470">
        <v>1125</v>
      </c>
      <c r="F5470" s="11">
        <v>0</v>
      </c>
    </row>
    <row r="5471" spans="1:6" x14ac:dyDescent="0.35">
      <c r="A5471" t="s">
        <v>2857</v>
      </c>
      <c r="B5471" t="s">
        <v>2866</v>
      </c>
      <c r="C5471" t="s">
        <v>1419</v>
      </c>
      <c r="D5471" t="s">
        <v>2883</v>
      </c>
      <c r="E5471">
        <v>0</v>
      </c>
      <c r="F5471" s="11">
        <v>0</v>
      </c>
    </row>
    <row r="5472" spans="1:6" x14ac:dyDescent="0.35">
      <c r="A5472" t="s">
        <v>2857</v>
      </c>
      <c r="B5472" t="s">
        <v>2866</v>
      </c>
      <c r="C5472" t="s">
        <v>1419</v>
      </c>
      <c r="D5472" t="s">
        <v>2884</v>
      </c>
      <c r="E5472">
        <v>0</v>
      </c>
      <c r="F5472" s="11">
        <v>0</v>
      </c>
    </row>
    <row r="5473" spans="1:6" x14ac:dyDescent="0.35">
      <c r="A5473" t="s">
        <v>2857</v>
      </c>
      <c r="B5473" t="s">
        <v>2866</v>
      </c>
      <c r="C5473" t="s">
        <v>1419</v>
      </c>
      <c r="D5473" t="s">
        <v>2885</v>
      </c>
      <c r="E5473">
        <v>0</v>
      </c>
      <c r="F5473" s="11">
        <v>0</v>
      </c>
    </row>
    <row r="5474" spans="1:6" x14ac:dyDescent="0.35">
      <c r="A5474" t="s">
        <v>2857</v>
      </c>
      <c r="B5474" t="s">
        <v>2866</v>
      </c>
      <c r="C5474" t="s">
        <v>1419</v>
      </c>
      <c r="D5474" t="s">
        <v>2886</v>
      </c>
      <c r="E5474">
        <v>0</v>
      </c>
      <c r="F5474" s="11">
        <v>0</v>
      </c>
    </row>
    <row r="5475" spans="1:6" x14ac:dyDescent="0.35">
      <c r="A5475" t="s">
        <v>2857</v>
      </c>
      <c r="B5475" t="s">
        <v>2866</v>
      </c>
      <c r="C5475" t="s">
        <v>1419</v>
      </c>
      <c r="D5475" t="s">
        <v>2887</v>
      </c>
      <c r="E5475">
        <v>33783</v>
      </c>
      <c r="F5475" s="11">
        <v>0</v>
      </c>
    </row>
    <row r="5476" spans="1:6" x14ac:dyDescent="0.35">
      <c r="A5476" t="s">
        <v>2857</v>
      </c>
      <c r="B5476" t="s">
        <v>2866</v>
      </c>
      <c r="C5476" t="s">
        <v>1419</v>
      </c>
      <c r="D5476" t="s">
        <v>2888</v>
      </c>
      <c r="E5476">
        <v>25033</v>
      </c>
      <c r="F5476" s="11">
        <v>0</v>
      </c>
    </row>
    <row r="5477" spans="1:6" x14ac:dyDescent="0.35">
      <c r="A5477" t="s">
        <v>2857</v>
      </c>
      <c r="B5477" t="s">
        <v>2866</v>
      </c>
      <c r="C5477" t="s">
        <v>1419</v>
      </c>
      <c r="D5477" t="s">
        <v>2889</v>
      </c>
      <c r="E5477">
        <v>0</v>
      </c>
      <c r="F5477" s="11">
        <v>0</v>
      </c>
    </row>
    <row r="5478" spans="1:6" x14ac:dyDescent="0.35">
      <c r="A5478" t="s">
        <v>2857</v>
      </c>
      <c r="B5478" t="s">
        <v>2866</v>
      </c>
      <c r="C5478" t="s">
        <v>1419</v>
      </c>
      <c r="D5478" t="s">
        <v>2890</v>
      </c>
      <c r="E5478">
        <v>8441</v>
      </c>
      <c r="F5478" s="11">
        <v>0</v>
      </c>
    </row>
    <row r="5479" spans="1:6" x14ac:dyDescent="0.35">
      <c r="A5479" t="s">
        <v>2857</v>
      </c>
      <c r="B5479" t="s">
        <v>2866</v>
      </c>
      <c r="C5479" t="s">
        <v>1419</v>
      </c>
      <c r="D5479" t="s">
        <v>2891</v>
      </c>
      <c r="E5479">
        <v>0</v>
      </c>
      <c r="F5479" s="11">
        <v>0</v>
      </c>
    </row>
    <row r="5480" spans="1:6" x14ac:dyDescent="0.35">
      <c r="A5480" t="s">
        <v>2857</v>
      </c>
      <c r="B5480" t="s">
        <v>2866</v>
      </c>
      <c r="C5480" t="s">
        <v>1419</v>
      </c>
      <c r="D5480" t="s">
        <v>2892</v>
      </c>
      <c r="E5480">
        <v>0</v>
      </c>
      <c r="F5480" s="11">
        <v>0</v>
      </c>
    </row>
    <row r="5481" spans="1:6" x14ac:dyDescent="0.35">
      <c r="A5481" t="s">
        <v>2857</v>
      </c>
      <c r="B5481" t="s">
        <v>2866</v>
      </c>
      <c r="C5481" t="s">
        <v>1419</v>
      </c>
      <c r="D5481" t="s">
        <v>2893</v>
      </c>
      <c r="E5481">
        <v>0</v>
      </c>
      <c r="F5481" s="11">
        <v>0</v>
      </c>
    </row>
    <row r="5482" spans="1:6" x14ac:dyDescent="0.35">
      <c r="A5482" t="s">
        <v>2857</v>
      </c>
      <c r="B5482" t="s">
        <v>2866</v>
      </c>
      <c r="C5482" t="s">
        <v>1419</v>
      </c>
      <c r="D5482" t="s">
        <v>2894</v>
      </c>
      <c r="E5482">
        <v>0</v>
      </c>
      <c r="F5482" s="11">
        <v>0</v>
      </c>
    </row>
    <row r="5483" spans="1:6" x14ac:dyDescent="0.35">
      <c r="A5483" t="s">
        <v>2857</v>
      </c>
      <c r="B5483" t="s">
        <v>2866</v>
      </c>
      <c r="C5483" t="s">
        <v>1419</v>
      </c>
      <c r="D5483" t="s">
        <v>2895</v>
      </c>
      <c r="E5483">
        <v>254605</v>
      </c>
      <c r="F5483" s="11">
        <v>0</v>
      </c>
    </row>
    <row r="5484" spans="1:6" x14ac:dyDescent="0.35">
      <c r="A5484" t="s">
        <v>2857</v>
      </c>
      <c r="B5484" t="s">
        <v>2866</v>
      </c>
      <c r="C5484" t="s">
        <v>1419</v>
      </c>
      <c r="D5484" t="s">
        <v>2896</v>
      </c>
      <c r="E5484">
        <v>0</v>
      </c>
      <c r="F5484" s="11">
        <v>0</v>
      </c>
    </row>
    <row r="5485" spans="1:6" x14ac:dyDescent="0.35">
      <c r="A5485" t="s">
        <v>2857</v>
      </c>
      <c r="B5485" t="s">
        <v>2866</v>
      </c>
      <c r="C5485" t="s">
        <v>1419</v>
      </c>
      <c r="D5485" t="s">
        <v>2897</v>
      </c>
      <c r="E5485">
        <v>0</v>
      </c>
      <c r="F5485" s="11">
        <v>0</v>
      </c>
    </row>
    <row r="5486" spans="1:6" x14ac:dyDescent="0.35">
      <c r="A5486" t="s">
        <v>2857</v>
      </c>
      <c r="B5486" t="s">
        <v>2866</v>
      </c>
      <c r="C5486" t="s">
        <v>1419</v>
      </c>
      <c r="D5486" t="s">
        <v>2898</v>
      </c>
      <c r="E5486">
        <v>0</v>
      </c>
      <c r="F5486" s="11">
        <v>0</v>
      </c>
    </row>
    <row r="5487" spans="1:6" x14ac:dyDescent="0.35">
      <c r="A5487" t="s">
        <v>2857</v>
      </c>
      <c r="B5487" t="s">
        <v>2866</v>
      </c>
      <c r="C5487" t="s">
        <v>1419</v>
      </c>
      <c r="D5487" t="s">
        <v>2899</v>
      </c>
      <c r="E5487">
        <v>0</v>
      </c>
      <c r="F5487" s="11">
        <v>0</v>
      </c>
    </row>
    <row r="5488" spans="1:6" x14ac:dyDescent="0.35">
      <c r="A5488" t="s">
        <v>2857</v>
      </c>
      <c r="B5488" t="s">
        <v>2866</v>
      </c>
      <c r="C5488" t="s">
        <v>1419</v>
      </c>
      <c r="D5488" t="s">
        <v>2900</v>
      </c>
      <c r="E5488">
        <v>0</v>
      </c>
      <c r="F5488" s="11">
        <v>0</v>
      </c>
    </row>
    <row r="5489" spans="1:6" x14ac:dyDescent="0.35">
      <c r="A5489" t="s">
        <v>2857</v>
      </c>
      <c r="B5489" t="s">
        <v>2866</v>
      </c>
      <c r="C5489" t="s">
        <v>1419</v>
      </c>
      <c r="D5489" t="s">
        <v>2901</v>
      </c>
      <c r="E5489">
        <v>0</v>
      </c>
      <c r="F5489" s="11">
        <v>0</v>
      </c>
    </row>
    <row r="5490" spans="1:6" x14ac:dyDescent="0.35">
      <c r="A5490" t="s">
        <v>2857</v>
      </c>
      <c r="B5490" t="s">
        <v>2866</v>
      </c>
      <c r="C5490" t="s">
        <v>1419</v>
      </c>
      <c r="D5490" t="s">
        <v>2902</v>
      </c>
      <c r="E5490">
        <v>0</v>
      </c>
      <c r="F5490" s="11">
        <v>0</v>
      </c>
    </row>
    <row r="5491" spans="1:6" x14ac:dyDescent="0.35">
      <c r="A5491" t="s">
        <v>2857</v>
      </c>
      <c r="B5491" t="s">
        <v>2866</v>
      </c>
      <c r="C5491" t="s">
        <v>1419</v>
      </c>
      <c r="D5491" t="s">
        <v>2903</v>
      </c>
      <c r="E5491">
        <v>34726</v>
      </c>
      <c r="F5491" s="11">
        <v>0</v>
      </c>
    </row>
    <row r="5492" spans="1:6" x14ac:dyDescent="0.35">
      <c r="A5492" t="s">
        <v>2857</v>
      </c>
      <c r="B5492" t="s">
        <v>2866</v>
      </c>
      <c r="C5492" t="s">
        <v>1419</v>
      </c>
      <c r="D5492" t="s">
        <v>2904</v>
      </c>
      <c r="E5492">
        <v>0</v>
      </c>
      <c r="F5492" s="11">
        <v>0</v>
      </c>
    </row>
    <row r="5493" spans="1:6" x14ac:dyDescent="0.35">
      <c r="A5493" t="s">
        <v>2857</v>
      </c>
      <c r="B5493" t="s">
        <v>2866</v>
      </c>
      <c r="C5493" t="s">
        <v>1419</v>
      </c>
      <c r="D5493" t="s">
        <v>2905</v>
      </c>
      <c r="E5493">
        <v>0</v>
      </c>
      <c r="F5493" s="11">
        <v>0</v>
      </c>
    </row>
    <row r="5494" spans="1:6" x14ac:dyDescent="0.35">
      <c r="A5494" t="s">
        <v>2857</v>
      </c>
      <c r="B5494" t="s">
        <v>2866</v>
      </c>
      <c r="C5494" t="s">
        <v>1419</v>
      </c>
      <c r="D5494" t="s">
        <v>2906</v>
      </c>
      <c r="E5494">
        <v>0</v>
      </c>
      <c r="F5494" s="11">
        <v>0</v>
      </c>
    </row>
    <row r="5495" spans="1:6" x14ac:dyDescent="0.35">
      <c r="A5495" t="s">
        <v>2857</v>
      </c>
      <c r="B5495" t="s">
        <v>2866</v>
      </c>
      <c r="C5495" t="s">
        <v>1419</v>
      </c>
      <c r="D5495" t="s">
        <v>2907</v>
      </c>
      <c r="E5495">
        <v>12705</v>
      </c>
      <c r="F5495" s="11">
        <v>0</v>
      </c>
    </row>
    <row r="5496" spans="1:6" x14ac:dyDescent="0.35">
      <c r="A5496" t="s">
        <v>2857</v>
      </c>
      <c r="B5496" t="s">
        <v>2866</v>
      </c>
      <c r="C5496" t="s">
        <v>1419</v>
      </c>
      <c r="D5496" t="s">
        <v>2908</v>
      </c>
      <c r="E5496">
        <v>0</v>
      </c>
      <c r="F5496" s="11">
        <v>0</v>
      </c>
    </row>
    <row r="5497" spans="1:6" x14ac:dyDescent="0.35">
      <c r="A5497" t="s">
        <v>2857</v>
      </c>
      <c r="B5497" t="s">
        <v>2866</v>
      </c>
      <c r="C5497" t="s">
        <v>1419</v>
      </c>
      <c r="D5497" t="s">
        <v>2909</v>
      </c>
      <c r="E5497">
        <v>0</v>
      </c>
      <c r="F5497" s="11">
        <v>0</v>
      </c>
    </row>
    <row r="5498" spans="1:6" x14ac:dyDescent="0.35">
      <c r="A5498" t="s">
        <v>2857</v>
      </c>
      <c r="B5498" t="s">
        <v>2866</v>
      </c>
      <c r="C5498" t="s">
        <v>1419</v>
      </c>
      <c r="D5498" t="s">
        <v>2910</v>
      </c>
      <c r="E5498">
        <v>0</v>
      </c>
      <c r="F5498" s="11">
        <v>0</v>
      </c>
    </row>
    <row r="5499" spans="1:6" x14ac:dyDescent="0.35">
      <c r="A5499" t="s">
        <v>2857</v>
      </c>
      <c r="B5499" t="s">
        <v>2866</v>
      </c>
      <c r="C5499" t="s">
        <v>1419</v>
      </c>
      <c r="D5499" t="s">
        <v>2911</v>
      </c>
      <c r="E5499">
        <v>919223</v>
      </c>
      <c r="F5499" s="11">
        <v>0</v>
      </c>
    </row>
    <row r="5500" spans="1:6" x14ac:dyDescent="0.35">
      <c r="A5500" t="s">
        <v>2857</v>
      </c>
      <c r="B5500" t="s">
        <v>2866</v>
      </c>
      <c r="C5500" t="s">
        <v>1419</v>
      </c>
      <c r="D5500" t="s">
        <v>2912</v>
      </c>
      <c r="E5500">
        <v>0</v>
      </c>
      <c r="F5500" s="11">
        <v>0</v>
      </c>
    </row>
    <row r="5501" spans="1:6" x14ac:dyDescent="0.35">
      <c r="A5501" t="s">
        <v>2857</v>
      </c>
      <c r="B5501" t="s">
        <v>2866</v>
      </c>
      <c r="C5501" t="s">
        <v>1419</v>
      </c>
      <c r="D5501" t="s">
        <v>2913</v>
      </c>
      <c r="E5501">
        <v>0</v>
      </c>
      <c r="F5501" s="11">
        <v>0</v>
      </c>
    </row>
    <row r="5502" spans="1:6" x14ac:dyDescent="0.35">
      <c r="A5502" t="s">
        <v>2857</v>
      </c>
      <c r="B5502" t="s">
        <v>2866</v>
      </c>
      <c r="C5502" t="s">
        <v>1419</v>
      </c>
      <c r="D5502" t="s">
        <v>2914</v>
      </c>
      <c r="E5502">
        <v>0</v>
      </c>
      <c r="F5502" s="11">
        <v>0</v>
      </c>
    </row>
    <row r="5503" spans="1:6" x14ac:dyDescent="0.35">
      <c r="A5503" t="s">
        <v>2857</v>
      </c>
      <c r="B5503" t="s">
        <v>2866</v>
      </c>
      <c r="C5503" t="s">
        <v>1419</v>
      </c>
      <c r="D5503" t="s">
        <v>2915</v>
      </c>
      <c r="E5503">
        <v>2976</v>
      </c>
      <c r="F5503" s="11">
        <v>0</v>
      </c>
    </row>
    <row r="5504" spans="1:6" x14ac:dyDescent="0.35">
      <c r="A5504" t="s">
        <v>2857</v>
      </c>
      <c r="B5504" t="s">
        <v>2866</v>
      </c>
      <c r="C5504" t="s">
        <v>1419</v>
      </c>
      <c r="D5504" t="s">
        <v>2916</v>
      </c>
      <c r="E5504">
        <v>164357</v>
      </c>
      <c r="F5504" s="11">
        <v>0</v>
      </c>
    </row>
    <row r="5505" spans="1:6" x14ac:dyDescent="0.35">
      <c r="A5505" t="s">
        <v>2857</v>
      </c>
      <c r="B5505" t="s">
        <v>2866</v>
      </c>
      <c r="C5505" t="s">
        <v>1419</v>
      </c>
      <c r="D5505" t="s">
        <v>2917</v>
      </c>
      <c r="E5505">
        <v>205149</v>
      </c>
      <c r="F5505" s="11">
        <v>0</v>
      </c>
    </row>
    <row r="5506" spans="1:6" x14ac:dyDescent="0.35">
      <c r="A5506" t="s">
        <v>2857</v>
      </c>
      <c r="B5506" t="s">
        <v>2862</v>
      </c>
      <c r="C5506" t="s">
        <v>1430</v>
      </c>
      <c r="D5506" t="s">
        <v>2875</v>
      </c>
      <c r="E5506">
        <v>96843</v>
      </c>
      <c r="F5506" s="11">
        <v>1</v>
      </c>
    </row>
    <row r="5507" spans="1:6" x14ac:dyDescent="0.35">
      <c r="A5507" t="s">
        <v>2857</v>
      </c>
      <c r="B5507" t="s">
        <v>2862</v>
      </c>
      <c r="C5507" t="s">
        <v>1430</v>
      </c>
      <c r="D5507" t="s">
        <v>2876</v>
      </c>
      <c r="E5507">
        <v>22172</v>
      </c>
      <c r="F5507" s="11">
        <v>1</v>
      </c>
    </row>
    <row r="5508" spans="1:6" x14ac:dyDescent="0.35">
      <c r="A5508" t="s">
        <v>2857</v>
      </c>
      <c r="B5508" t="s">
        <v>2862</v>
      </c>
      <c r="C5508" t="s">
        <v>1430</v>
      </c>
      <c r="D5508" t="s">
        <v>2877</v>
      </c>
      <c r="E5508">
        <v>7231</v>
      </c>
      <c r="F5508" s="11">
        <v>1</v>
      </c>
    </row>
    <row r="5509" spans="1:6" x14ac:dyDescent="0.35">
      <c r="A5509" t="s">
        <v>2857</v>
      </c>
      <c r="B5509" t="s">
        <v>2862</v>
      </c>
      <c r="C5509" t="s">
        <v>1430</v>
      </c>
      <c r="D5509" t="s">
        <v>2878</v>
      </c>
      <c r="E5509">
        <v>67440</v>
      </c>
      <c r="F5509" s="11">
        <v>1</v>
      </c>
    </row>
    <row r="5510" spans="1:6" x14ac:dyDescent="0.35">
      <c r="A5510" t="s">
        <v>2857</v>
      </c>
      <c r="B5510" t="s">
        <v>2862</v>
      </c>
      <c r="C5510" t="s">
        <v>1430</v>
      </c>
      <c r="D5510" t="s">
        <v>2879</v>
      </c>
      <c r="E5510">
        <v>7178</v>
      </c>
      <c r="F5510" s="11">
        <v>1</v>
      </c>
    </row>
    <row r="5511" spans="1:6" x14ac:dyDescent="0.35">
      <c r="A5511" t="s">
        <v>2857</v>
      </c>
      <c r="B5511" t="s">
        <v>2862</v>
      </c>
      <c r="C5511" t="s">
        <v>1430</v>
      </c>
      <c r="D5511" t="s">
        <v>2880</v>
      </c>
      <c r="E5511">
        <v>2350</v>
      </c>
      <c r="F5511" s="11">
        <v>1</v>
      </c>
    </row>
    <row r="5512" spans="1:6" x14ac:dyDescent="0.35">
      <c r="A5512" t="s">
        <v>2857</v>
      </c>
      <c r="B5512" t="s">
        <v>2862</v>
      </c>
      <c r="C5512" t="s">
        <v>1430</v>
      </c>
      <c r="D5512" t="s">
        <v>2881</v>
      </c>
      <c r="E5512">
        <v>62</v>
      </c>
      <c r="F5512" s="11">
        <v>1</v>
      </c>
    </row>
    <row r="5513" spans="1:6" x14ac:dyDescent="0.35">
      <c r="A5513" t="s">
        <v>2857</v>
      </c>
      <c r="B5513" t="s">
        <v>2862</v>
      </c>
      <c r="C5513" t="s">
        <v>1430</v>
      </c>
      <c r="D5513" t="s">
        <v>2882</v>
      </c>
      <c r="E5513">
        <v>2870</v>
      </c>
      <c r="F5513" s="11">
        <v>1</v>
      </c>
    </row>
    <row r="5514" spans="1:6" x14ac:dyDescent="0.35">
      <c r="A5514" t="s">
        <v>2857</v>
      </c>
      <c r="B5514" t="s">
        <v>2862</v>
      </c>
      <c r="C5514" t="s">
        <v>1430</v>
      </c>
      <c r="D5514" t="s">
        <v>2883</v>
      </c>
      <c r="E5514">
        <v>0</v>
      </c>
      <c r="F5514" s="11">
        <v>0</v>
      </c>
    </row>
    <row r="5515" spans="1:6" x14ac:dyDescent="0.35">
      <c r="A5515" t="s">
        <v>2857</v>
      </c>
      <c r="B5515" t="s">
        <v>2862</v>
      </c>
      <c r="C5515" t="s">
        <v>1430</v>
      </c>
      <c r="D5515" t="s">
        <v>2884</v>
      </c>
      <c r="E5515">
        <v>0</v>
      </c>
      <c r="F5515" s="11">
        <v>0</v>
      </c>
    </row>
    <row r="5516" spans="1:6" x14ac:dyDescent="0.35">
      <c r="A5516" t="s">
        <v>2857</v>
      </c>
      <c r="B5516" t="s">
        <v>2862</v>
      </c>
      <c r="C5516" t="s">
        <v>1430</v>
      </c>
      <c r="D5516" t="s">
        <v>2885</v>
      </c>
      <c r="E5516">
        <v>0</v>
      </c>
      <c r="F5516" s="11">
        <v>0</v>
      </c>
    </row>
    <row r="5517" spans="1:6" x14ac:dyDescent="0.35">
      <c r="A5517" t="s">
        <v>2857</v>
      </c>
      <c r="B5517" t="s">
        <v>2862</v>
      </c>
      <c r="C5517" t="s">
        <v>1430</v>
      </c>
      <c r="D5517" t="s">
        <v>2886</v>
      </c>
      <c r="E5517">
        <v>0</v>
      </c>
      <c r="F5517" s="11">
        <v>0</v>
      </c>
    </row>
    <row r="5518" spans="1:6" x14ac:dyDescent="0.35">
      <c r="A5518" t="s">
        <v>2857</v>
      </c>
      <c r="B5518" t="s">
        <v>2862</v>
      </c>
      <c r="C5518" t="s">
        <v>1430</v>
      </c>
      <c r="D5518" t="s">
        <v>2887</v>
      </c>
      <c r="E5518">
        <v>162296</v>
      </c>
      <c r="F5518" s="11">
        <v>1</v>
      </c>
    </row>
    <row r="5519" spans="1:6" x14ac:dyDescent="0.35">
      <c r="A5519" t="s">
        <v>2857</v>
      </c>
      <c r="B5519" t="s">
        <v>2862</v>
      </c>
      <c r="C5519" t="s">
        <v>1430</v>
      </c>
      <c r="D5519" t="s">
        <v>2888</v>
      </c>
      <c r="E5519">
        <v>86725</v>
      </c>
      <c r="F5519" s="11">
        <v>1</v>
      </c>
    </row>
    <row r="5520" spans="1:6" x14ac:dyDescent="0.35">
      <c r="A5520" t="s">
        <v>2857</v>
      </c>
      <c r="B5520" t="s">
        <v>2862</v>
      </c>
      <c r="C5520" t="s">
        <v>1430</v>
      </c>
      <c r="D5520" t="s">
        <v>2889</v>
      </c>
      <c r="E5520">
        <v>1139</v>
      </c>
      <c r="F5520" s="11">
        <v>1</v>
      </c>
    </row>
    <row r="5521" spans="1:6" x14ac:dyDescent="0.35">
      <c r="A5521" t="s">
        <v>2857</v>
      </c>
      <c r="B5521" t="s">
        <v>2862</v>
      </c>
      <c r="C5521" t="s">
        <v>1430</v>
      </c>
      <c r="D5521" t="s">
        <v>2890</v>
      </c>
      <c r="E5521">
        <v>74432</v>
      </c>
      <c r="F5521" s="11">
        <v>1</v>
      </c>
    </row>
    <row r="5522" spans="1:6" x14ac:dyDescent="0.35">
      <c r="A5522" t="s">
        <v>2857</v>
      </c>
      <c r="B5522" t="s">
        <v>2862</v>
      </c>
      <c r="C5522" t="s">
        <v>1430</v>
      </c>
      <c r="D5522" t="s">
        <v>2891</v>
      </c>
      <c r="E5522">
        <v>0</v>
      </c>
      <c r="F5522" s="11">
        <v>0</v>
      </c>
    </row>
    <row r="5523" spans="1:6" x14ac:dyDescent="0.35">
      <c r="A5523" t="s">
        <v>2857</v>
      </c>
      <c r="B5523" t="s">
        <v>2862</v>
      </c>
      <c r="C5523" t="s">
        <v>1430</v>
      </c>
      <c r="D5523" t="s">
        <v>2892</v>
      </c>
      <c r="E5523">
        <v>0</v>
      </c>
      <c r="F5523" s="11">
        <v>0</v>
      </c>
    </row>
    <row r="5524" spans="1:6" x14ac:dyDescent="0.35">
      <c r="A5524" t="s">
        <v>2857</v>
      </c>
      <c r="B5524" t="s">
        <v>2862</v>
      </c>
      <c r="C5524" t="s">
        <v>1430</v>
      </c>
      <c r="D5524" t="s">
        <v>2893</v>
      </c>
      <c r="E5524">
        <v>0</v>
      </c>
      <c r="F5524" s="11">
        <v>0</v>
      </c>
    </row>
    <row r="5525" spans="1:6" x14ac:dyDescent="0.35">
      <c r="A5525" t="s">
        <v>2857</v>
      </c>
      <c r="B5525" t="s">
        <v>2862</v>
      </c>
      <c r="C5525" t="s">
        <v>1430</v>
      </c>
      <c r="D5525" t="s">
        <v>2894</v>
      </c>
      <c r="E5525">
        <v>0</v>
      </c>
      <c r="F5525" s="11">
        <v>0</v>
      </c>
    </row>
    <row r="5526" spans="1:6" x14ac:dyDescent="0.35">
      <c r="A5526" t="s">
        <v>2857</v>
      </c>
      <c r="B5526" t="s">
        <v>2862</v>
      </c>
      <c r="C5526" t="s">
        <v>1430</v>
      </c>
      <c r="D5526" t="s">
        <v>2895</v>
      </c>
      <c r="E5526">
        <v>1337412</v>
      </c>
      <c r="F5526" s="11">
        <v>1</v>
      </c>
    </row>
    <row r="5527" spans="1:6" x14ac:dyDescent="0.35">
      <c r="A5527" t="s">
        <v>2857</v>
      </c>
      <c r="B5527" t="s">
        <v>2862</v>
      </c>
      <c r="C5527" t="s">
        <v>1430</v>
      </c>
      <c r="D5527" t="s">
        <v>2896</v>
      </c>
      <c r="E5527">
        <v>842424</v>
      </c>
      <c r="F5527" s="11">
        <v>1</v>
      </c>
    </row>
    <row r="5528" spans="1:6" x14ac:dyDescent="0.35">
      <c r="A5528" t="s">
        <v>2857</v>
      </c>
      <c r="B5528" t="s">
        <v>2862</v>
      </c>
      <c r="C5528" t="s">
        <v>1430</v>
      </c>
      <c r="D5528" t="s">
        <v>2897</v>
      </c>
      <c r="E5528">
        <v>35149</v>
      </c>
      <c r="F5528" s="11">
        <v>1</v>
      </c>
    </row>
    <row r="5529" spans="1:6" x14ac:dyDescent="0.35">
      <c r="A5529" t="s">
        <v>2857</v>
      </c>
      <c r="B5529" t="s">
        <v>2862</v>
      </c>
      <c r="C5529" t="s">
        <v>1430</v>
      </c>
      <c r="D5529" t="s">
        <v>2898</v>
      </c>
      <c r="E5529">
        <v>574839</v>
      </c>
      <c r="F5529" s="11">
        <v>1</v>
      </c>
    </row>
    <row r="5530" spans="1:6" x14ac:dyDescent="0.35">
      <c r="A5530" t="s">
        <v>2857</v>
      </c>
      <c r="B5530" t="s">
        <v>2862</v>
      </c>
      <c r="C5530" t="s">
        <v>1430</v>
      </c>
      <c r="D5530" t="s">
        <v>2899</v>
      </c>
      <c r="E5530">
        <v>9628</v>
      </c>
      <c r="F5530" s="11">
        <v>1</v>
      </c>
    </row>
    <row r="5531" spans="1:6" x14ac:dyDescent="0.35">
      <c r="A5531" t="s">
        <v>2857</v>
      </c>
      <c r="B5531" t="s">
        <v>2862</v>
      </c>
      <c r="C5531" t="s">
        <v>1430</v>
      </c>
      <c r="D5531" t="s">
        <v>2900</v>
      </c>
      <c r="E5531">
        <v>3252</v>
      </c>
      <c r="F5531" s="11">
        <v>1</v>
      </c>
    </row>
    <row r="5532" spans="1:6" x14ac:dyDescent="0.35">
      <c r="A5532" t="s">
        <v>2857</v>
      </c>
      <c r="B5532" t="s">
        <v>2862</v>
      </c>
      <c r="C5532" t="s">
        <v>1430</v>
      </c>
      <c r="D5532" t="s">
        <v>2901</v>
      </c>
      <c r="E5532">
        <v>0</v>
      </c>
      <c r="F5532" s="11">
        <v>1</v>
      </c>
    </row>
    <row r="5533" spans="1:6" x14ac:dyDescent="0.35">
      <c r="A5533" t="s">
        <v>2857</v>
      </c>
      <c r="B5533" t="s">
        <v>2862</v>
      </c>
      <c r="C5533" t="s">
        <v>1430</v>
      </c>
      <c r="D5533" t="s">
        <v>2902</v>
      </c>
      <c r="E5533">
        <v>6376</v>
      </c>
      <c r="F5533" s="11">
        <v>1</v>
      </c>
    </row>
    <row r="5534" spans="1:6" x14ac:dyDescent="0.35">
      <c r="A5534" t="s">
        <v>2857</v>
      </c>
      <c r="B5534" t="s">
        <v>2862</v>
      </c>
      <c r="C5534" t="s">
        <v>1430</v>
      </c>
      <c r="D5534" t="s">
        <v>2903</v>
      </c>
      <c r="E5534">
        <v>111859</v>
      </c>
      <c r="F5534" s="11">
        <v>1</v>
      </c>
    </row>
    <row r="5535" spans="1:6" x14ac:dyDescent="0.35">
      <c r="A5535" t="s">
        <v>2857</v>
      </c>
      <c r="B5535" t="s">
        <v>2862</v>
      </c>
      <c r="C5535" t="s">
        <v>1430</v>
      </c>
      <c r="D5535" t="s">
        <v>2904</v>
      </c>
      <c r="E5535">
        <v>0</v>
      </c>
      <c r="F5535" s="11">
        <v>0</v>
      </c>
    </row>
    <row r="5536" spans="1:6" x14ac:dyDescent="0.35">
      <c r="A5536" t="s">
        <v>2857</v>
      </c>
      <c r="B5536" t="s">
        <v>2862</v>
      </c>
      <c r="C5536" t="s">
        <v>1430</v>
      </c>
      <c r="D5536" t="s">
        <v>2905</v>
      </c>
      <c r="E5536">
        <v>0</v>
      </c>
      <c r="F5536" s="11">
        <v>0</v>
      </c>
    </row>
    <row r="5537" spans="1:6" x14ac:dyDescent="0.35">
      <c r="A5537" t="s">
        <v>2857</v>
      </c>
      <c r="B5537" t="s">
        <v>2862</v>
      </c>
      <c r="C5537" t="s">
        <v>1430</v>
      </c>
      <c r="D5537" t="s">
        <v>2906</v>
      </c>
      <c r="E5537">
        <v>0</v>
      </c>
      <c r="F5537" s="11">
        <v>0</v>
      </c>
    </row>
    <row r="5538" spans="1:6" x14ac:dyDescent="0.35">
      <c r="A5538" t="s">
        <v>2857</v>
      </c>
      <c r="B5538" t="s">
        <v>2862</v>
      </c>
      <c r="C5538" t="s">
        <v>1430</v>
      </c>
      <c r="D5538" t="s">
        <v>2907</v>
      </c>
      <c r="E5538">
        <v>163397</v>
      </c>
      <c r="F5538" s="11">
        <v>1</v>
      </c>
    </row>
    <row r="5539" spans="1:6" x14ac:dyDescent="0.35">
      <c r="A5539" t="s">
        <v>2857</v>
      </c>
      <c r="B5539" t="s">
        <v>2862</v>
      </c>
      <c r="C5539" t="s">
        <v>1430</v>
      </c>
      <c r="D5539" t="s">
        <v>2908</v>
      </c>
      <c r="E5539">
        <v>0</v>
      </c>
      <c r="F5539" s="11">
        <v>0</v>
      </c>
    </row>
    <row r="5540" spans="1:6" x14ac:dyDescent="0.35">
      <c r="A5540" t="s">
        <v>2857</v>
      </c>
      <c r="B5540" t="s">
        <v>2862</v>
      </c>
      <c r="C5540" t="s">
        <v>1430</v>
      </c>
      <c r="D5540" t="s">
        <v>2909</v>
      </c>
      <c r="E5540">
        <v>0</v>
      </c>
      <c r="F5540" s="11">
        <v>0</v>
      </c>
    </row>
    <row r="5541" spans="1:6" x14ac:dyDescent="0.35">
      <c r="A5541" t="s">
        <v>2857</v>
      </c>
      <c r="B5541" t="s">
        <v>2862</v>
      </c>
      <c r="C5541" t="s">
        <v>1430</v>
      </c>
      <c r="D5541" t="s">
        <v>2910</v>
      </c>
      <c r="E5541">
        <v>0</v>
      </c>
      <c r="F5541" s="11">
        <v>0</v>
      </c>
    </row>
    <row r="5542" spans="1:6" x14ac:dyDescent="0.35">
      <c r="A5542" t="s">
        <v>2857</v>
      </c>
      <c r="B5542" t="s">
        <v>2862</v>
      </c>
      <c r="C5542" t="s">
        <v>1430</v>
      </c>
      <c r="D5542" t="s">
        <v>2911</v>
      </c>
      <c r="E5542">
        <v>1590746</v>
      </c>
      <c r="F5542" s="11">
        <v>1</v>
      </c>
    </row>
    <row r="5543" spans="1:6" x14ac:dyDescent="0.35">
      <c r="A5543" t="s">
        <v>2857</v>
      </c>
      <c r="B5543" t="s">
        <v>2862</v>
      </c>
      <c r="C5543" t="s">
        <v>1430</v>
      </c>
      <c r="D5543" t="s">
        <v>2912</v>
      </c>
      <c r="E5543">
        <v>0</v>
      </c>
      <c r="F5543" s="11">
        <v>0</v>
      </c>
    </row>
    <row r="5544" spans="1:6" x14ac:dyDescent="0.35">
      <c r="A5544" t="s">
        <v>2857</v>
      </c>
      <c r="B5544" t="s">
        <v>2862</v>
      </c>
      <c r="C5544" t="s">
        <v>1430</v>
      </c>
      <c r="D5544" t="s">
        <v>2913</v>
      </c>
      <c r="E5544">
        <v>0</v>
      </c>
      <c r="F5544" s="11">
        <v>0</v>
      </c>
    </row>
    <row r="5545" spans="1:6" x14ac:dyDescent="0.35">
      <c r="A5545" t="s">
        <v>2857</v>
      </c>
      <c r="B5545" t="s">
        <v>2862</v>
      </c>
      <c r="C5545" t="s">
        <v>1430</v>
      </c>
      <c r="D5545" t="s">
        <v>2914</v>
      </c>
      <c r="E5545">
        <v>20583</v>
      </c>
      <c r="F5545" s="11">
        <v>1</v>
      </c>
    </row>
    <row r="5546" spans="1:6" x14ac:dyDescent="0.35">
      <c r="A5546" t="s">
        <v>2857</v>
      </c>
      <c r="B5546" t="s">
        <v>2862</v>
      </c>
      <c r="C5546" t="s">
        <v>1430</v>
      </c>
      <c r="D5546" t="s">
        <v>2915</v>
      </c>
      <c r="E5546">
        <v>2064</v>
      </c>
      <c r="F5546" s="11">
        <v>1</v>
      </c>
    </row>
    <row r="5547" spans="1:6" x14ac:dyDescent="0.35">
      <c r="A5547" t="s">
        <v>2857</v>
      </c>
      <c r="B5547" t="s">
        <v>2862</v>
      </c>
      <c r="C5547" t="s">
        <v>1430</v>
      </c>
      <c r="D5547" t="s">
        <v>2916</v>
      </c>
      <c r="E5547">
        <v>87250</v>
      </c>
      <c r="F5547" s="11">
        <v>1</v>
      </c>
    </row>
    <row r="5548" spans="1:6" x14ac:dyDescent="0.35">
      <c r="A5548" t="s">
        <v>2857</v>
      </c>
      <c r="B5548" t="s">
        <v>2862</v>
      </c>
      <c r="C5548" t="s">
        <v>1430</v>
      </c>
      <c r="D5548" t="s">
        <v>2917</v>
      </c>
      <c r="E5548">
        <v>0</v>
      </c>
      <c r="F5548" s="11">
        <v>0</v>
      </c>
    </row>
    <row r="5549" spans="1:6" x14ac:dyDescent="0.35">
      <c r="A5549" t="s">
        <v>2857</v>
      </c>
      <c r="B5549" t="s">
        <v>2862</v>
      </c>
      <c r="C5549" t="s">
        <v>1391</v>
      </c>
      <c r="D5549" t="s">
        <v>2875</v>
      </c>
      <c r="E5549">
        <v>25118</v>
      </c>
      <c r="F5549" s="11">
        <v>0</v>
      </c>
    </row>
    <row r="5550" spans="1:6" x14ac:dyDescent="0.35">
      <c r="A5550" t="s">
        <v>2857</v>
      </c>
      <c r="B5550" t="s">
        <v>2862</v>
      </c>
      <c r="C5550" t="s">
        <v>1391</v>
      </c>
      <c r="D5550" t="s">
        <v>2876</v>
      </c>
      <c r="E5550">
        <v>9636</v>
      </c>
      <c r="F5550" s="11">
        <v>0</v>
      </c>
    </row>
    <row r="5551" spans="1:6" x14ac:dyDescent="0.35">
      <c r="A5551" t="s">
        <v>2857</v>
      </c>
      <c r="B5551" t="s">
        <v>2862</v>
      </c>
      <c r="C5551" t="s">
        <v>1391</v>
      </c>
      <c r="D5551" t="s">
        <v>2877</v>
      </c>
      <c r="E5551">
        <v>442</v>
      </c>
      <c r="F5551" s="11">
        <v>0</v>
      </c>
    </row>
    <row r="5552" spans="1:6" x14ac:dyDescent="0.35">
      <c r="A5552" t="s">
        <v>2857</v>
      </c>
      <c r="B5552" t="s">
        <v>2862</v>
      </c>
      <c r="C5552" t="s">
        <v>1391</v>
      </c>
      <c r="D5552" t="s">
        <v>2878</v>
      </c>
      <c r="E5552">
        <v>15040</v>
      </c>
      <c r="F5552" s="11">
        <v>0</v>
      </c>
    </row>
    <row r="5553" spans="1:6" x14ac:dyDescent="0.35">
      <c r="A5553" t="s">
        <v>2857</v>
      </c>
      <c r="B5553" t="s">
        <v>2862</v>
      </c>
      <c r="C5553" t="s">
        <v>1391</v>
      </c>
      <c r="D5553" t="s">
        <v>2879</v>
      </c>
      <c r="E5553">
        <v>5797</v>
      </c>
      <c r="F5553" s="11">
        <v>0</v>
      </c>
    </row>
    <row r="5554" spans="1:6" x14ac:dyDescent="0.35">
      <c r="A5554" t="s">
        <v>2857</v>
      </c>
      <c r="B5554" t="s">
        <v>2862</v>
      </c>
      <c r="C5554" t="s">
        <v>1391</v>
      </c>
      <c r="D5554" t="s">
        <v>2880</v>
      </c>
      <c r="E5554">
        <v>4065</v>
      </c>
      <c r="F5554" s="11">
        <v>0</v>
      </c>
    </row>
    <row r="5555" spans="1:6" x14ac:dyDescent="0.35">
      <c r="A5555" t="s">
        <v>2857</v>
      </c>
      <c r="B5555" t="s">
        <v>2862</v>
      </c>
      <c r="C5555" t="s">
        <v>1391</v>
      </c>
      <c r="D5555" t="s">
        <v>2881</v>
      </c>
      <c r="E5555">
        <v>0</v>
      </c>
      <c r="F5555" s="11">
        <v>0</v>
      </c>
    </row>
    <row r="5556" spans="1:6" x14ac:dyDescent="0.35">
      <c r="A5556" t="s">
        <v>2857</v>
      </c>
      <c r="B5556" t="s">
        <v>2862</v>
      </c>
      <c r="C5556" t="s">
        <v>1391</v>
      </c>
      <c r="D5556" t="s">
        <v>2882</v>
      </c>
      <c r="E5556">
        <v>1810</v>
      </c>
      <c r="F5556" s="11">
        <v>0</v>
      </c>
    </row>
    <row r="5557" spans="1:6" x14ac:dyDescent="0.35">
      <c r="A5557" t="s">
        <v>2857</v>
      </c>
      <c r="B5557" t="s">
        <v>2862</v>
      </c>
      <c r="C5557" t="s">
        <v>1391</v>
      </c>
      <c r="D5557" t="s">
        <v>2883</v>
      </c>
      <c r="E5557">
        <v>0</v>
      </c>
      <c r="F5557" s="11">
        <v>0</v>
      </c>
    </row>
    <row r="5558" spans="1:6" x14ac:dyDescent="0.35">
      <c r="A5558" t="s">
        <v>2857</v>
      </c>
      <c r="B5558" t="s">
        <v>2862</v>
      </c>
      <c r="C5558" t="s">
        <v>1391</v>
      </c>
      <c r="D5558" t="s">
        <v>2884</v>
      </c>
      <c r="E5558">
        <v>0</v>
      </c>
      <c r="F5558" s="11">
        <v>0</v>
      </c>
    </row>
    <row r="5559" spans="1:6" x14ac:dyDescent="0.35">
      <c r="A5559" t="s">
        <v>2857</v>
      </c>
      <c r="B5559" t="s">
        <v>2862</v>
      </c>
      <c r="C5559" t="s">
        <v>1391</v>
      </c>
      <c r="D5559" t="s">
        <v>2885</v>
      </c>
      <c r="E5559">
        <v>0</v>
      </c>
      <c r="F5559" s="11">
        <v>0</v>
      </c>
    </row>
    <row r="5560" spans="1:6" x14ac:dyDescent="0.35">
      <c r="A5560" t="s">
        <v>2857</v>
      </c>
      <c r="B5560" t="s">
        <v>2862</v>
      </c>
      <c r="C5560" t="s">
        <v>1391</v>
      </c>
      <c r="D5560" t="s">
        <v>2886</v>
      </c>
      <c r="E5560">
        <v>0</v>
      </c>
      <c r="F5560" s="11">
        <v>0</v>
      </c>
    </row>
    <row r="5561" spans="1:6" x14ac:dyDescent="0.35">
      <c r="A5561" t="s">
        <v>2857</v>
      </c>
      <c r="B5561" t="s">
        <v>2862</v>
      </c>
      <c r="C5561" t="s">
        <v>1391</v>
      </c>
      <c r="D5561" t="s">
        <v>2887</v>
      </c>
      <c r="E5561">
        <v>131304</v>
      </c>
      <c r="F5561" s="11">
        <v>0</v>
      </c>
    </row>
    <row r="5562" spans="1:6" x14ac:dyDescent="0.35">
      <c r="A5562" t="s">
        <v>2857</v>
      </c>
      <c r="B5562" t="s">
        <v>2862</v>
      </c>
      <c r="C5562" t="s">
        <v>1391</v>
      </c>
      <c r="D5562" t="s">
        <v>2888</v>
      </c>
      <c r="E5562">
        <v>66958</v>
      </c>
      <c r="F5562" s="11">
        <v>0</v>
      </c>
    </row>
    <row r="5563" spans="1:6" x14ac:dyDescent="0.35">
      <c r="A5563" t="s">
        <v>2857</v>
      </c>
      <c r="B5563" t="s">
        <v>2862</v>
      </c>
      <c r="C5563" t="s">
        <v>1391</v>
      </c>
      <c r="D5563" t="s">
        <v>2889</v>
      </c>
      <c r="E5563">
        <v>0</v>
      </c>
      <c r="F5563" s="11">
        <v>0</v>
      </c>
    </row>
    <row r="5564" spans="1:6" x14ac:dyDescent="0.35">
      <c r="A5564" t="s">
        <v>2857</v>
      </c>
      <c r="B5564" t="s">
        <v>2862</v>
      </c>
      <c r="C5564" t="s">
        <v>1391</v>
      </c>
      <c r="D5564" t="s">
        <v>2890</v>
      </c>
      <c r="E5564">
        <v>64346</v>
      </c>
      <c r="F5564" s="11">
        <v>0</v>
      </c>
    </row>
    <row r="5565" spans="1:6" x14ac:dyDescent="0.35">
      <c r="A5565" t="s">
        <v>2857</v>
      </c>
      <c r="B5565" t="s">
        <v>2862</v>
      </c>
      <c r="C5565" t="s">
        <v>1391</v>
      </c>
      <c r="D5565" t="s">
        <v>2891</v>
      </c>
      <c r="E5565">
        <v>0</v>
      </c>
      <c r="F5565" s="11">
        <v>0</v>
      </c>
    </row>
    <row r="5566" spans="1:6" x14ac:dyDescent="0.35">
      <c r="A5566" t="s">
        <v>2857</v>
      </c>
      <c r="B5566" t="s">
        <v>2862</v>
      </c>
      <c r="C5566" t="s">
        <v>1391</v>
      </c>
      <c r="D5566" t="s">
        <v>2892</v>
      </c>
      <c r="E5566">
        <v>0</v>
      </c>
      <c r="F5566" s="11">
        <v>0</v>
      </c>
    </row>
    <row r="5567" spans="1:6" x14ac:dyDescent="0.35">
      <c r="A5567" t="s">
        <v>2857</v>
      </c>
      <c r="B5567" t="s">
        <v>2862</v>
      </c>
      <c r="C5567" t="s">
        <v>1391</v>
      </c>
      <c r="D5567" t="s">
        <v>2893</v>
      </c>
      <c r="E5567">
        <v>0</v>
      </c>
      <c r="F5567" s="11">
        <v>0</v>
      </c>
    </row>
    <row r="5568" spans="1:6" x14ac:dyDescent="0.35">
      <c r="A5568" t="s">
        <v>2857</v>
      </c>
      <c r="B5568" t="s">
        <v>2862</v>
      </c>
      <c r="C5568" t="s">
        <v>1391</v>
      </c>
      <c r="D5568" t="s">
        <v>2894</v>
      </c>
      <c r="E5568">
        <v>0</v>
      </c>
      <c r="F5568" s="11">
        <v>0</v>
      </c>
    </row>
    <row r="5569" spans="1:6" x14ac:dyDescent="0.35">
      <c r="A5569" t="s">
        <v>2857</v>
      </c>
      <c r="B5569" t="s">
        <v>2862</v>
      </c>
      <c r="C5569" t="s">
        <v>1391</v>
      </c>
      <c r="D5569" t="s">
        <v>2895</v>
      </c>
      <c r="E5569">
        <v>852671</v>
      </c>
      <c r="F5569" s="11">
        <v>0</v>
      </c>
    </row>
    <row r="5570" spans="1:6" x14ac:dyDescent="0.35">
      <c r="A5570" t="s">
        <v>2857</v>
      </c>
      <c r="B5570" t="s">
        <v>2862</v>
      </c>
      <c r="C5570" t="s">
        <v>1391</v>
      </c>
      <c r="D5570" t="s">
        <v>2896</v>
      </c>
      <c r="E5570">
        <v>439121</v>
      </c>
      <c r="F5570" s="11">
        <v>0</v>
      </c>
    </row>
    <row r="5571" spans="1:6" x14ac:dyDescent="0.35">
      <c r="A5571" t="s">
        <v>2857</v>
      </c>
      <c r="B5571" t="s">
        <v>2862</v>
      </c>
      <c r="C5571" t="s">
        <v>1391</v>
      </c>
      <c r="D5571" t="s">
        <v>2897</v>
      </c>
      <c r="E5571">
        <v>29662</v>
      </c>
      <c r="F5571" s="11">
        <v>0</v>
      </c>
    </row>
    <row r="5572" spans="1:6" x14ac:dyDescent="0.35">
      <c r="A5572" t="s">
        <v>2857</v>
      </c>
      <c r="B5572" t="s">
        <v>2862</v>
      </c>
      <c r="C5572" t="s">
        <v>1391</v>
      </c>
      <c r="D5572" t="s">
        <v>2898</v>
      </c>
      <c r="E5572">
        <v>370802</v>
      </c>
      <c r="F5572" s="11">
        <v>0</v>
      </c>
    </row>
    <row r="5573" spans="1:6" x14ac:dyDescent="0.35">
      <c r="A5573" t="s">
        <v>2857</v>
      </c>
      <c r="B5573" t="s">
        <v>2862</v>
      </c>
      <c r="C5573" t="s">
        <v>1391</v>
      </c>
      <c r="D5573" t="s">
        <v>2899</v>
      </c>
      <c r="E5573">
        <v>8216</v>
      </c>
      <c r="F5573" s="11">
        <v>0</v>
      </c>
    </row>
    <row r="5574" spans="1:6" x14ac:dyDescent="0.35">
      <c r="A5574" t="s">
        <v>2857</v>
      </c>
      <c r="B5574" t="s">
        <v>2862</v>
      </c>
      <c r="C5574" t="s">
        <v>1391</v>
      </c>
      <c r="D5574" t="s">
        <v>2900</v>
      </c>
      <c r="E5574">
        <v>1582</v>
      </c>
      <c r="F5574" s="11">
        <v>0</v>
      </c>
    </row>
    <row r="5575" spans="1:6" x14ac:dyDescent="0.35">
      <c r="A5575" t="s">
        <v>2857</v>
      </c>
      <c r="B5575" t="s">
        <v>2862</v>
      </c>
      <c r="C5575" t="s">
        <v>1391</v>
      </c>
      <c r="D5575" t="s">
        <v>2901</v>
      </c>
      <c r="E5575">
        <v>0</v>
      </c>
      <c r="F5575" s="11">
        <v>0</v>
      </c>
    </row>
    <row r="5576" spans="1:6" x14ac:dyDescent="0.35">
      <c r="A5576" t="s">
        <v>2857</v>
      </c>
      <c r="B5576" t="s">
        <v>2862</v>
      </c>
      <c r="C5576" t="s">
        <v>1391</v>
      </c>
      <c r="D5576" t="s">
        <v>2902</v>
      </c>
      <c r="E5576">
        <v>6634</v>
      </c>
      <c r="F5576" s="11">
        <v>0</v>
      </c>
    </row>
    <row r="5577" spans="1:6" x14ac:dyDescent="0.35">
      <c r="A5577" t="s">
        <v>2857</v>
      </c>
      <c r="B5577" t="s">
        <v>2862</v>
      </c>
      <c r="C5577" t="s">
        <v>1391</v>
      </c>
      <c r="D5577" t="s">
        <v>2903</v>
      </c>
      <c r="E5577">
        <v>69297</v>
      </c>
      <c r="F5577" s="11">
        <v>0</v>
      </c>
    </row>
    <row r="5578" spans="1:6" x14ac:dyDescent="0.35">
      <c r="A5578" t="s">
        <v>2857</v>
      </c>
      <c r="B5578" t="s">
        <v>2862</v>
      </c>
      <c r="C5578" t="s">
        <v>1391</v>
      </c>
      <c r="D5578" t="s">
        <v>2904</v>
      </c>
      <c r="E5578">
        <v>7164</v>
      </c>
      <c r="F5578" s="11">
        <v>0</v>
      </c>
    </row>
    <row r="5579" spans="1:6" x14ac:dyDescent="0.35">
      <c r="A5579" t="s">
        <v>2857</v>
      </c>
      <c r="B5579" t="s">
        <v>2862</v>
      </c>
      <c r="C5579" t="s">
        <v>1391</v>
      </c>
      <c r="D5579" t="s">
        <v>2905</v>
      </c>
      <c r="E5579">
        <v>4961</v>
      </c>
      <c r="F5579" s="11">
        <v>0</v>
      </c>
    </row>
    <row r="5580" spans="1:6" x14ac:dyDescent="0.35">
      <c r="A5580" t="s">
        <v>2857</v>
      </c>
      <c r="B5580" t="s">
        <v>2862</v>
      </c>
      <c r="C5580" t="s">
        <v>1391</v>
      </c>
      <c r="D5580" t="s">
        <v>2906</v>
      </c>
      <c r="E5580">
        <v>57172</v>
      </c>
      <c r="F5580" s="11">
        <v>0</v>
      </c>
    </row>
    <row r="5581" spans="1:6" x14ac:dyDescent="0.35">
      <c r="A5581" t="s">
        <v>2857</v>
      </c>
      <c r="B5581" t="s">
        <v>2862</v>
      </c>
      <c r="C5581" t="s">
        <v>1391</v>
      </c>
      <c r="D5581" t="s">
        <v>2907</v>
      </c>
      <c r="E5581">
        <v>120276</v>
      </c>
      <c r="F5581" s="11">
        <v>0</v>
      </c>
    </row>
    <row r="5582" spans="1:6" x14ac:dyDescent="0.35">
      <c r="A5582" t="s">
        <v>2857</v>
      </c>
      <c r="B5582" t="s">
        <v>2862</v>
      </c>
      <c r="C5582" t="s">
        <v>1391</v>
      </c>
      <c r="D5582" t="s">
        <v>2908</v>
      </c>
      <c r="E5582">
        <v>17277</v>
      </c>
      <c r="F5582" s="11">
        <v>0</v>
      </c>
    </row>
    <row r="5583" spans="1:6" x14ac:dyDescent="0.35">
      <c r="A5583" t="s">
        <v>2857</v>
      </c>
      <c r="B5583" t="s">
        <v>2862</v>
      </c>
      <c r="C5583" t="s">
        <v>1391</v>
      </c>
      <c r="D5583" t="s">
        <v>2909</v>
      </c>
      <c r="E5583">
        <v>6307</v>
      </c>
      <c r="F5583" s="11">
        <v>0</v>
      </c>
    </row>
    <row r="5584" spans="1:6" x14ac:dyDescent="0.35">
      <c r="A5584" t="s">
        <v>2857</v>
      </c>
      <c r="B5584" t="s">
        <v>2862</v>
      </c>
      <c r="C5584" t="s">
        <v>1391</v>
      </c>
      <c r="D5584" t="s">
        <v>2910</v>
      </c>
      <c r="E5584">
        <v>96692</v>
      </c>
      <c r="F5584" s="11">
        <v>0</v>
      </c>
    </row>
    <row r="5585" spans="1:6" x14ac:dyDescent="0.35">
      <c r="A5585" t="s">
        <v>2857</v>
      </c>
      <c r="B5585" t="s">
        <v>2862</v>
      </c>
      <c r="C5585" t="s">
        <v>1391</v>
      </c>
      <c r="D5585" t="s">
        <v>2911</v>
      </c>
      <c r="E5585">
        <v>701486</v>
      </c>
      <c r="F5585" s="11">
        <v>0</v>
      </c>
    </row>
    <row r="5586" spans="1:6" x14ac:dyDescent="0.35">
      <c r="A5586" t="s">
        <v>2857</v>
      </c>
      <c r="B5586" t="s">
        <v>2862</v>
      </c>
      <c r="C5586" t="s">
        <v>1391</v>
      </c>
      <c r="D5586" t="s">
        <v>2912</v>
      </c>
      <c r="E5586">
        <v>182339</v>
      </c>
      <c r="F5586" s="11">
        <v>0</v>
      </c>
    </row>
    <row r="5587" spans="1:6" x14ac:dyDescent="0.35">
      <c r="A5587" t="s">
        <v>2857</v>
      </c>
      <c r="B5587" t="s">
        <v>2862</v>
      </c>
      <c r="C5587" t="s">
        <v>1391</v>
      </c>
      <c r="D5587" t="s">
        <v>2913</v>
      </c>
      <c r="E5587">
        <v>0</v>
      </c>
      <c r="F5587" s="11">
        <v>0</v>
      </c>
    </row>
    <row r="5588" spans="1:6" x14ac:dyDescent="0.35">
      <c r="A5588" t="s">
        <v>2857</v>
      </c>
      <c r="B5588" t="s">
        <v>2862</v>
      </c>
      <c r="C5588" t="s">
        <v>1391</v>
      </c>
      <c r="D5588" t="s">
        <v>2914</v>
      </c>
      <c r="E5588">
        <v>0</v>
      </c>
      <c r="F5588" s="11">
        <v>0</v>
      </c>
    </row>
    <row r="5589" spans="1:6" x14ac:dyDescent="0.35">
      <c r="A5589" t="s">
        <v>2857</v>
      </c>
      <c r="B5589" t="s">
        <v>2862</v>
      </c>
      <c r="C5589" t="s">
        <v>1391</v>
      </c>
      <c r="D5589" t="s">
        <v>2915</v>
      </c>
      <c r="E5589">
        <v>0</v>
      </c>
      <c r="F5589" s="11">
        <v>0</v>
      </c>
    </row>
    <row r="5590" spans="1:6" x14ac:dyDescent="0.35">
      <c r="A5590" t="s">
        <v>2857</v>
      </c>
      <c r="B5590" t="s">
        <v>2862</v>
      </c>
      <c r="C5590" t="s">
        <v>1391</v>
      </c>
      <c r="D5590" t="s">
        <v>2916</v>
      </c>
      <c r="E5590">
        <v>24763.15</v>
      </c>
      <c r="F5590" s="11">
        <v>0</v>
      </c>
    </row>
    <row r="5591" spans="1:6" x14ac:dyDescent="0.35">
      <c r="A5591" t="s">
        <v>2857</v>
      </c>
      <c r="B5591" t="s">
        <v>2862</v>
      </c>
      <c r="C5591" t="s">
        <v>1391</v>
      </c>
      <c r="D5591" t="s">
        <v>2917</v>
      </c>
      <c r="E5591">
        <v>0</v>
      </c>
      <c r="F5591" s="11">
        <v>0</v>
      </c>
    </row>
    <row r="5592" spans="1:6" x14ac:dyDescent="0.35">
      <c r="A5592" t="s">
        <v>2857</v>
      </c>
      <c r="B5592" t="s">
        <v>2865</v>
      </c>
      <c r="C5592" t="s">
        <v>1507</v>
      </c>
      <c r="D5592" t="s">
        <v>2875</v>
      </c>
      <c r="E5592">
        <v>44094</v>
      </c>
      <c r="F5592" s="11">
        <v>1</v>
      </c>
    </row>
    <row r="5593" spans="1:6" x14ac:dyDescent="0.35">
      <c r="A5593" t="s">
        <v>2857</v>
      </c>
      <c r="B5593" t="s">
        <v>2865</v>
      </c>
      <c r="C5593" t="s">
        <v>1507</v>
      </c>
      <c r="D5593" t="s">
        <v>2876</v>
      </c>
      <c r="E5593">
        <v>15343</v>
      </c>
      <c r="F5593" s="11">
        <v>0</v>
      </c>
    </row>
    <row r="5594" spans="1:6" x14ac:dyDescent="0.35">
      <c r="A5594" t="s">
        <v>2857</v>
      </c>
      <c r="B5594" t="s">
        <v>2865</v>
      </c>
      <c r="C5594" t="s">
        <v>1507</v>
      </c>
      <c r="D5594" t="s">
        <v>2877</v>
      </c>
      <c r="E5594">
        <v>1438</v>
      </c>
      <c r="F5594" s="11">
        <v>0</v>
      </c>
    </row>
    <row r="5595" spans="1:6" x14ac:dyDescent="0.35">
      <c r="A5595" t="s">
        <v>2857</v>
      </c>
      <c r="B5595" t="s">
        <v>2865</v>
      </c>
      <c r="C5595" t="s">
        <v>1507</v>
      </c>
      <c r="D5595" t="s">
        <v>2878</v>
      </c>
      <c r="E5595">
        <v>27313</v>
      </c>
      <c r="F5595" s="11">
        <v>0</v>
      </c>
    </row>
    <row r="5596" spans="1:6" x14ac:dyDescent="0.35">
      <c r="A5596" t="s">
        <v>2857</v>
      </c>
      <c r="B5596" t="s">
        <v>2865</v>
      </c>
      <c r="C5596" t="s">
        <v>1507</v>
      </c>
      <c r="D5596" t="s">
        <v>2879</v>
      </c>
      <c r="E5596">
        <v>7844</v>
      </c>
      <c r="F5596" s="11">
        <v>1</v>
      </c>
    </row>
    <row r="5597" spans="1:6" x14ac:dyDescent="0.35">
      <c r="A5597" t="s">
        <v>2857</v>
      </c>
      <c r="B5597" t="s">
        <v>2865</v>
      </c>
      <c r="C5597" t="s">
        <v>1507</v>
      </c>
      <c r="D5597" t="s">
        <v>2880</v>
      </c>
      <c r="E5597">
        <v>3825</v>
      </c>
      <c r="F5597" s="11">
        <v>1</v>
      </c>
    </row>
    <row r="5598" spans="1:6" x14ac:dyDescent="0.35">
      <c r="A5598" t="s">
        <v>2857</v>
      </c>
      <c r="B5598" t="s">
        <v>2865</v>
      </c>
      <c r="C5598" t="s">
        <v>1507</v>
      </c>
      <c r="D5598" t="s">
        <v>2881</v>
      </c>
      <c r="E5598">
        <v>0</v>
      </c>
      <c r="F5598" s="11">
        <v>1</v>
      </c>
    </row>
    <row r="5599" spans="1:6" x14ac:dyDescent="0.35">
      <c r="A5599" t="s">
        <v>2857</v>
      </c>
      <c r="B5599" t="s">
        <v>2865</v>
      </c>
      <c r="C5599" t="s">
        <v>1507</v>
      </c>
      <c r="D5599" t="s">
        <v>2882</v>
      </c>
      <c r="E5599">
        <v>4019</v>
      </c>
      <c r="F5599" s="11">
        <v>0</v>
      </c>
    </row>
    <row r="5600" spans="1:6" x14ac:dyDescent="0.35">
      <c r="A5600" t="s">
        <v>2857</v>
      </c>
      <c r="B5600" t="s">
        <v>2865</v>
      </c>
      <c r="C5600" t="s">
        <v>1507</v>
      </c>
      <c r="D5600" t="s">
        <v>2883</v>
      </c>
      <c r="E5600">
        <v>0</v>
      </c>
      <c r="F5600" s="11">
        <v>1</v>
      </c>
    </row>
    <row r="5601" spans="1:6" x14ac:dyDescent="0.35">
      <c r="A5601" t="s">
        <v>2857</v>
      </c>
      <c r="B5601" t="s">
        <v>2865</v>
      </c>
      <c r="C5601" t="s">
        <v>1507</v>
      </c>
      <c r="D5601" t="s">
        <v>2884</v>
      </c>
      <c r="E5601">
        <v>0</v>
      </c>
      <c r="F5601" s="11">
        <v>0</v>
      </c>
    </row>
    <row r="5602" spans="1:6" x14ac:dyDescent="0.35">
      <c r="A5602" t="s">
        <v>2857</v>
      </c>
      <c r="B5602" t="s">
        <v>2865</v>
      </c>
      <c r="C5602" t="s">
        <v>1507</v>
      </c>
      <c r="D5602" t="s">
        <v>2885</v>
      </c>
      <c r="E5602">
        <v>0</v>
      </c>
      <c r="F5602" s="11">
        <v>0</v>
      </c>
    </row>
    <row r="5603" spans="1:6" x14ac:dyDescent="0.35">
      <c r="A5603" t="s">
        <v>2857</v>
      </c>
      <c r="B5603" t="s">
        <v>2865</v>
      </c>
      <c r="C5603" t="s">
        <v>1507</v>
      </c>
      <c r="D5603" t="s">
        <v>2886</v>
      </c>
      <c r="E5603">
        <v>0</v>
      </c>
      <c r="F5603" s="11">
        <v>0</v>
      </c>
    </row>
    <row r="5604" spans="1:6" x14ac:dyDescent="0.35">
      <c r="A5604" t="s">
        <v>2857</v>
      </c>
      <c r="B5604" t="s">
        <v>2865</v>
      </c>
      <c r="C5604" t="s">
        <v>1507</v>
      </c>
      <c r="D5604" t="s">
        <v>2887</v>
      </c>
      <c r="E5604">
        <v>142246</v>
      </c>
      <c r="F5604" s="11">
        <v>1</v>
      </c>
    </row>
    <row r="5605" spans="1:6" x14ac:dyDescent="0.35">
      <c r="A5605" t="s">
        <v>2857</v>
      </c>
      <c r="B5605" t="s">
        <v>2865</v>
      </c>
      <c r="C5605" t="s">
        <v>1507</v>
      </c>
      <c r="D5605" t="s">
        <v>2888</v>
      </c>
      <c r="E5605">
        <v>114014</v>
      </c>
      <c r="F5605" s="11">
        <v>1</v>
      </c>
    </row>
    <row r="5606" spans="1:6" x14ac:dyDescent="0.35">
      <c r="A5606" t="s">
        <v>2857</v>
      </c>
      <c r="B5606" t="s">
        <v>2865</v>
      </c>
      <c r="C5606" t="s">
        <v>1507</v>
      </c>
      <c r="D5606" t="s">
        <v>2889</v>
      </c>
      <c r="E5606">
        <v>0</v>
      </c>
      <c r="F5606" s="11">
        <v>1</v>
      </c>
    </row>
    <row r="5607" spans="1:6" x14ac:dyDescent="0.35">
      <c r="A5607" t="s">
        <v>2857</v>
      </c>
      <c r="B5607" t="s">
        <v>2865</v>
      </c>
      <c r="C5607" t="s">
        <v>1507</v>
      </c>
      <c r="D5607" t="s">
        <v>2890</v>
      </c>
      <c r="E5607">
        <v>28232</v>
      </c>
      <c r="F5607" s="11">
        <v>0</v>
      </c>
    </row>
    <row r="5608" spans="1:6" x14ac:dyDescent="0.35">
      <c r="A5608" t="s">
        <v>2857</v>
      </c>
      <c r="B5608" t="s">
        <v>2865</v>
      </c>
      <c r="C5608" t="s">
        <v>1507</v>
      </c>
      <c r="D5608" t="s">
        <v>2891</v>
      </c>
      <c r="E5608">
        <v>0</v>
      </c>
      <c r="F5608" s="11">
        <v>1</v>
      </c>
    </row>
    <row r="5609" spans="1:6" x14ac:dyDescent="0.35">
      <c r="A5609" t="s">
        <v>2857</v>
      </c>
      <c r="B5609" t="s">
        <v>2865</v>
      </c>
      <c r="C5609" t="s">
        <v>1507</v>
      </c>
      <c r="D5609" t="s">
        <v>2892</v>
      </c>
      <c r="E5609">
        <v>0</v>
      </c>
      <c r="F5609" s="11">
        <v>0</v>
      </c>
    </row>
    <row r="5610" spans="1:6" x14ac:dyDescent="0.35">
      <c r="A5610" t="s">
        <v>2857</v>
      </c>
      <c r="B5610" t="s">
        <v>2865</v>
      </c>
      <c r="C5610" t="s">
        <v>1507</v>
      </c>
      <c r="D5610" t="s">
        <v>2893</v>
      </c>
      <c r="E5610">
        <v>0</v>
      </c>
      <c r="F5610" s="11">
        <v>0</v>
      </c>
    </row>
    <row r="5611" spans="1:6" x14ac:dyDescent="0.35">
      <c r="A5611" t="s">
        <v>2857</v>
      </c>
      <c r="B5611" t="s">
        <v>2865</v>
      </c>
      <c r="C5611" t="s">
        <v>1507</v>
      </c>
      <c r="D5611" t="s">
        <v>2894</v>
      </c>
      <c r="E5611">
        <v>0</v>
      </c>
      <c r="F5611" s="11">
        <v>0</v>
      </c>
    </row>
    <row r="5612" spans="1:6" x14ac:dyDescent="0.35">
      <c r="A5612" t="s">
        <v>2857</v>
      </c>
      <c r="B5612" t="s">
        <v>2865</v>
      </c>
      <c r="C5612" t="s">
        <v>1507</v>
      </c>
      <c r="D5612" t="s">
        <v>2895</v>
      </c>
      <c r="E5612">
        <v>1480761</v>
      </c>
      <c r="F5612" s="11">
        <v>1</v>
      </c>
    </row>
    <row r="5613" spans="1:6" x14ac:dyDescent="0.35">
      <c r="A5613" t="s">
        <v>2857</v>
      </c>
      <c r="B5613" t="s">
        <v>2865</v>
      </c>
      <c r="C5613" t="s">
        <v>1507</v>
      </c>
      <c r="D5613" t="s">
        <v>2896</v>
      </c>
      <c r="E5613">
        <v>708391</v>
      </c>
      <c r="F5613" s="11">
        <v>1</v>
      </c>
    </row>
    <row r="5614" spans="1:6" x14ac:dyDescent="0.35">
      <c r="A5614" t="s">
        <v>2857</v>
      </c>
      <c r="B5614" t="s">
        <v>2865</v>
      </c>
      <c r="C5614" t="s">
        <v>1507</v>
      </c>
      <c r="D5614" t="s">
        <v>2897</v>
      </c>
      <c r="E5614">
        <v>25046</v>
      </c>
      <c r="F5614" s="11">
        <v>1</v>
      </c>
    </row>
    <row r="5615" spans="1:6" x14ac:dyDescent="0.35">
      <c r="A5615" t="s">
        <v>2857</v>
      </c>
      <c r="B5615" t="s">
        <v>2865</v>
      </c>
      <c r="C5615" t="s">
        <v>1507</v>
      </c>
      <c r="D5615" t="s">
        <v>2898</v>
      </c>
      <c r="E5615">
        <v>747324</v>
      </c>
      <c r="F5615" s="11">
        <v>1</v>
      </c>
    </row>
    <row r="5616" spans="1:6" x14ac:dyDescent="0.35">
      <c r="A5616" t="s">
        <v>2857</v>
      </c>
      <c r="B5616" t="s">
        <v>2865</v>
      </c>
      <c r="C5616" t="s">
        <v>1507</v>
      </c>
      <c r="D5616" t="s">
        <v>2899</v>
      </c>
      <c r="E5616">
        <v>6988</v>
      </c>
      <c r="F5616" s="11">
        <v>1</v>
      </c>
    </row>
    <row r="5617" spans="1:6" x14ac:dyDescent="0.35">
      <c r="A5617" t="s">
        <v>2857</v>
      </c>
      <c r="B5617" t="s">
        <v>2865</v>
      </c>
      <c r="C5617" t="s">
        <v>1507</v>
      </c>
      <c r="D5617" t="s">
        <v>2900</v>
      </c>
      <c r="E5617">
        <v>684</v>
      </c>
      <c r="F5617" s="11">
        <v>1</v>
      </c>
    </row>
    <row r="5618" spans="1:6" x14ac:dyDescent="0.35">
      <c r="A5618" t="s">
        <v>2857</v>
      </c>
      <c r="B5618" t="s">
        <v>2865</v>
      </c>
      <c r="C5618" t="s">
        <v>1507</v>
      </c>
      <c r="D5618" t="s">
        <v>2901</v>
      </c>
      <c r="E5618">
        <v>0</v>
      </c>
      <c r="F5618" s="11">
        <v>1</v>
      </c>
    </row>
    <row r="5619" spans="1:6" x14ac:dyDescent="0.35">
      <c r="A5619" t="s">
        <v>2857</v>
      </c>
      <c r="B5619" t="s">
        <v>2865</v>
      </c>
      <c r="C5619" t="s">
        <v>1507</v>
      </c>
      <c r="D5619" t="s">
        <v>2902</v>
      </c>
      <c r="E5619">
        <v>6304</v>
      </c>
      <c r="F5619" s="11">
        <v>0</v>
      </c>
    </row>
    <row r="5620" spans="1:6" x14ac:dyDescent="0.35">
      <c r="A5620" t="s">
        <v>2857</v>
      </c>
      <c r="B5620" t="s">
        <v>2865</v>
      </c>
      <c r="C5620" t="s">
        <v>1507</v>
      </c>
      <c r="D5620" t="s">
        <v>2903</v>
      </c>
      <c r="E5620">
        <v>38766</v>
      </c>
      <c r="F5620" s="11">
        <v>1</v>
      </c>
    </row>
    <row r="5621" spans="1:6" x14ac:dyDescent="0.35">
      <c r="A5621" t="s">
        <v>2857</v>
      </c>
      <c r="B5621" t="s">
        <v>2865</v>
      </c>
      <c r="C5621" t="s">
        <v>1507</v>
      </c>
      <c r="D5621" t="s">
        <v>2904</v>
      </c>
      <c r="E5621">
        <v>4108</v>
      </c>
      <c r="F5621" s="11">
        <v>1</v>
      </c>
    </row>
    <row r="5622" spans="1:6" x14ac:dyDescent="0.35">
      <c r="A5622" t="s">
        <v>2857</v>
      </c>
      <c r="B5622" t="s">
        <v>2865</v>
      </c>
      <c r="C5622" t="s">
        <v>1507</v>
      </c>
      <c r="D5622" t="s">
        <v>2905</v>
      </c>
      <c r="E5622">
        <v>1468</v>
      </c>
      <c r="F5622" s="11">
        <v>1</v>
      </c>
    </row>
    <row r="5623" spans="1:6" x14ac:dyDescent="0.35">
      <c r="A5623" t="s">
        <v>2857</v>
      </c>
      <c r="B5623" t="s">
        <v>2865</v>
      </c>
      <c r="C5623" t="s">
        <v>1507</v>
      </c>
      <c r="D5623" t="s">
        <v>2906</v>
      </c>
      <c r="E5623">
        <v>33190</v>
      </c>
      <c r="F5623" s="11">
        <v>1</v>
      </c>
    </row>
    <row r="5624" spans="1:6" x14ac:dyDescent="0.35">
      <c r="A5624" t="s">
        <v>2857</v>
      </c>
      <c r="B5624" t="s">
        <v>2865</v>
      </c>
      <c r="C5624" t="s">
        <v>1507</v>
      </c>
      <c r="D5624" t="s">
        <v>2907</v>
      </c>
      <c r="E5624">
        <v>65543</v>
      </c>
      <c r="F5624" s="11">
        <v>1</v>
      </c>
    </row>
    <row r="5625" spans="1:6" x14ac:dyDescent="0.35">
      <c r="A5625" t="s">
        <v>2857</v>
      </c>
      <c r="B5625" t="s">
        <v>2865</v>
      </c>
      <c r="C5625" t="s">
        <v>1507</v>
      </c>
      <c r="D5625" t="s">
        <v>2908</v>
      </c>
      <c r="E5625">
        <v>7004</v>
      </c>
      <c r="F5625" s="11">
        <v>1</v>
      </c>
    </row>
    <row r="5626" spans="1:6" x14ac:dyDescent="0.35">
      <c r="A5626" t="s">
        <v>2857</v>
      </c>
      <c r="B5626" t="s">
        <v>2865</v>
      </c>
      <c r="C5626" t="s">
        <v>1507</v>
      </c>
      <c r="D5626" t="s">
        <v>2909</v>
      </c>
      <c r="E5626">
        <v>1358</v>
      </c>
      <c r="F5626" s="11">
        <v>1</v>
      </c>
    </row>
    <row r="5627" spans="1:6" x14ac:dyDescent="0.35">
      <c r="A5627" t="s">
        <v>2857</v>
      </c>
      <c r="B5627" t="s">
        <v>2865</v>
      </c>
      <c r="C5627" t="s">
        <v>1507</v>
      </c>
      <c r="D5627" t="s">
        <v>2910</v>
      </c>
      <c r="E5627">
        <v>57181</v>
      </c>
      <c r="F5627" s="11">
        <v>1</v>
      </c>
    </row>
    <row r="5628" spans="1:6" x14ac:dyDescent="0.35">
      <c r="A5628" t="s">
        <v>2857</v>
      </c>
      <c r="B5628" t="s">
        <v>2865</v>
      </c>
      <c r="C5628" t="s">
        <v>1507</v>
      </c>
      <c r="D5628" t="s">
        <v>2911</v>
      </c>
      <c r="E5628">
        <v>1051529</v>
      </c>
      <c r="F5628" s="11">
        <v>1</v>
      </c>
    </row>
    <row r="5629" spans="1:6" x14ac:dyDescent="0.35">
      <c r="A5629" t="s">
        <v>2857</v>
      </c>
      <c r="B5629" t="s">
        <v>2865</v>
      </c>
      <c r="C5629" t="s">
        <v>1507</v>
      </c>
      <c r="D5629" t="s">
        <v>2912</v>
      </c>
      <c r="E5629">
        <v>0</v>
      </c>
      <c r="F5629" s="11">
        <v>0</v>
      </c>
    </row>
    <row r="5630" spans="1:6" x14ac:dyDescent="0.35">
      <c r="A5630" t="s">
        <v>2857</v>
      </c>
      <c r="B5630" t="s">
        <v>2865</v>
      </c>
      <c r="C5630" t="s">
        <v>1507</v>
      </c>
      <c r="D5630" t="s">
        <v>2913</v>
      </c>
      <c r="E5630">
        <v>0</v>
      </c>
      <c r="F5630" s="11">
        <v>0</v>
      </c>
    </row>
    <row r="5631" spans="1:6" x14ac:dyDescent="0.35">
      <c r="A5631" t="s">
        <v>2857</v>
      </c>
      <c r="B5631" t="s">
        <v>2865</v>
      </c>
      <c r="C5631" t="s">
        <v>1507</v>
      </c>
      <c r="D5631" t="s">
        <v>2914</v>
      </c>
      <c r="E5631">
        <v>4053</v>
      </c>
      <c r="F5631" s="11">
        <v>0</v>
      </c>
    </row>
    <row r="5632" spans="1:6" x14ac:dyDescent="0.35">
      <c r="A5632" t="s">
        <v>2857</v>
      </c>
      <c r="B5632" t="s">
        <v>2865</v>
      </c>
      <c r="C5632" t="s">
        <v>1507</v>
      </c>
      <c r="D5632" t="s">
        <v>2915</v>
      </c>
      <c r="E5632">
        <v>1945</v>
      </c>
      <c r="F5632" s="11">
        <v>0</v>
      </c>
    </row>
    <row r="5633" spans="1:6" x14ac:dyDescent="0.35">
      <c r="A5633" t="s">
        <v>2857</v>
      </c>
      <c r="B5633" t="s">
        <v>2865</v>
      </c>
      <c r="C5633" t="s">
        <v>1507</v>
      </c>
      <c r="D5633" t="s">
        <v>2916</v>
      </c>
      <c r="E5633">
        <v>27296</v>
      </c>
      <c r="F5633" s="11">
        <v>1</v>
      </c>
    </row>
    <row r="5634" spans="1:6" x14ac:dyDescent="0.35">
      <c r="A5634" t="s">
        <v>2857</v>
      </c>
      <c r="B5634" t="s">
        <v>2865</v>
      </c>
      <c r="C5634" t="s">
        <v>1507</v>
      </c>
      <c r="D5634" t="s">
        <v>2917</v>
      </c>
      <c r="E5634">
        <v>0</v>
      </c>
      <c r="F5634" s="11">
        <v>0</v>
      </c>
    </row>
    <row r="5635" spans="1:6" x14ac:dyDescent="0.35">
      <c r="A5635" t="s">
        <v>2857</v>
      </c>
      <c r="B5635" t="s">
        <v>2865</v>
      </c>
      <c r="C5635" t="s">
        <v>1510</v>
      </c>
      <c r="D5635" t="s">
        <v>2875</v>
      </c>
      <c r="E5635">
        <v>40326</v>
      </c>
      <c r="F5635" s="11">
        <v>1</v>
      </c>
    </row>
    <row r="5636" spans="1:6" x14ac:dyDescent="0.35">
      <c r="A5636" t="s">
        <v>2857</v>
      </c>
      <c r="B5636" t="s">
        <v>2865</v>
      </c>
      <c r="C5636" t="s">
        <v>1510</v>
      </c>
      <c r="D5636" t="s">
        <v>2876</v>
      </c>
      <c r="E5636">
        <v>13998</v>
      </c>
      <c r="F5636" s="11">
        <v>0</v>
      </c>
    </row>
    <row r="5637" spans="1:6" x14ac:dyDescent="0.35">
      <c r="A5637" t="s">
        <v>2857</v>
      </c>
      <c r="B5637" t="s">
        <v>2865</v>
      </c>
      <c r="C5637" t="s">
        <v>1510</v>
      </c>
      <c r="D5637" t="s">
        <v>2877</v>
      </c>
      <c r="E5637">
        <v>1668</v>
      </c>
      <c r="F5637" s="11">
        <v>0</v>
      </c>
    </row>
    <row r="5638" spans="1:6" x14ac:dyDescent="0.35">
      <c r="A5638" t="s">
        <v>2857</v>
      </c>
      <c r="B5638" t="s">
        <v>2865</v>
      </c>
      <c r="C5638" t="s">
        <v>1510</v>
      </c>
      <c r="D5638" t="s">
        <v>2878</v>
      </c>
      <c r="E5638">
        <v>24660</v>
      </c>
      <c r="F5638" s="11">
        <v>0</v>
      </c>
    </row>
    <row r="5639" spans="1:6" x14ac:dyDescent="0.35">
      <c r="A5639" t="s">
        <v>2857</v>
      </c>
      <c r="B5639" t="s">
        <v>2865</v>
      </c>
      <c r="C5639" t="s">
        <v>1510</v>
      </c>
      <c r="D5639" t="s">
        <v>2879</v>
      </c>
      <c r="E5639">
        <v>10301</v>
      </c>
      <c r="F5639" s="11">
        <v>1</v>
      </c>
    </row>
    <row r="5640" spans="1:6" x14ac:dyDescent="0.35">
      <c r="A5640" t="s">
        <v>2857</v>
      </c>
      <c r="B5640" t="s">
        <v>2865</v>
      </c>
      <c r="C5640" t="s">
        <v>1510</v>
      </c>
      <c r="D5640" t="s">
        <v>2880</v>
      </c>
      <c r="E5640">
        <v>5007</v>
      </c>
      <c r="F5640" s="11">
        <v>1</v>
      </c>
    </row>
    <row r="5641" spans="1:6" x14ac:dyDescent="0.35">
      <c r="A5641" t="s">
        <v>2857</v>
      </c>
      <c r="B5641" t="s">
        <v>2865</v>
      </c>
      <c r="C5641" t="s">
        <v>1510</v>
      </c>
      <c r="D5641" t="s">
        <v>2881</v>
      </c>
      <c r="E5641">
        <v>0</v>
      </c>
      <c r="F5641" s="11">
        <v>1</v>
      </c>
    </row>
    <row r="5642" spans="1:6" x14ac:dyDescent="0.35">
      <c r="A5642" t="s">
        <v>2857</v>
      </c>
      <c r="B5642" t="s">
        <v>2865</v>
      </c>
      <c r="C5642" t="s">
        <v>1510</v>
      </c>
      <c r="D5642" t="s">
        <v>2882</v>
      </c>
      <c r="E5642">
        <v>5294</v>
      </c>
      <c r="F5642" s="11">
        <v>0</v>
      </c>
    </row>
    <row r="5643" spans="1:6" x14ac:dyDescent="0.35">
      <c r="A5643" t="s">
        <v>2857</v>
      </c>
      <c r="B5643" t="s">
        <v>2865</v>
      </c>
      <c r="C5643" t="s">
        <v>1510</v>
      </c>
      <c r="D5643" t="s">
        <v>2883</v>
      </c>
      <c r="E5643">
        <v>0</v>
      </c>
      <c r="F5643" s="11">
        <v>0</v>
      </c>
    </row>
    <row r="5644" spans="1:6" x14ac:dyDescent="0.35">
      <c r="A5644" t="s">
        <v>2857</v>
      </c>
      <c r="B5644" t="s">
        <v>2865</v>
      </c>
      <c r="C5644" t="s">
        <v>1510</v>
      </c>
      <c r="D5644" t="s">
        <v>2884</v>
      </c>
      <c r="E5644">
        <v>0</v>
      </c>
      <c r="F5644" s="11">
        <v>0</v>
      </c>
    </row>
    <row r="5645" spans="1:6" x14ac:dyDescent="0.35">
      <c r="A5645" t="s">
        <v>2857</v>
      </c>
      <c r="B5645" t="s">
        <v>2865</v>
      </c>
      <c r="C5645" t="s">
        <v>1510</v>
      </c>
      <c r="D5645" t="s">
        <v>2885</v>
      </c>
      <c r="E5645">
        <v>0</v>
      </c>
      <c r="F5645" s="11">
        <v>0</v>
      </c>
    </row>
    <row r="5646" spans="1:6" x14ac:dyDescent="0.35">
      <c r="A5646" t="s">
        <v>2857</v>
      </c>
      <c r="B5646" t="s">
        <v>2865</v>
      </c>
      <c r="C5646" t="s">
        <v>1510</v>
      </c>
      <c r="D5646" t="s">
        <v>2886</v>
      </c>
      <c r="E5646">
        <v>0</v>
      </c>
      <c r="F5646" s="11">
        <v>0</v>
      </c>
    </row>
    <row r="5647" spans="1:6" x14ac:dyDescent="0.35">
      <c r="A5647" t="s">
        <v>2857</v>
      </c>
      <c r="B5647" t="s">
        <v>2865</v>
      </c>
      <c r="C5647" t="s">
        <v>1510</v>
      </c>
      <c r="D5647" t="s">
        <v>2887</v>
      </c>
      <c r="E5647">
        <v>124323</v>
      </c>
      <c r="F5647" s="11">
        <v>1</v>
      </c>
    </row>
    <row r="5648" spans="1:6" x14ac:dyDescent="0.35">
      <c r="A5648" t="s">
        <v>2857</v>
      </c>
      <c r="B5648" t="s">
        <v>2865</v>
      </c>
      <c r="C5648" t="s">
        <v>1510</v>
      </c>
      <c r="D5648" t="s">
        <v>2888</v>
      </c>
      <c r="E5648">
        <v>60278</v>
      </c>
      <c r="F5648" s="11">
        <v>1</v>
      </c>
    </row>
    <row r="5649" spans="1:6" x14ac:dyDescent="0.35">
      <c r="A5649" t="s">
        <v>2857</v>
      </c>
      <c r="B5649" t="s">
        <v>2865</v>
      </c>
      <c r="C5649" t="s">
        <v>1510</v>
      </c>
      <c r="D5649" t="s">
        <v>2889</v>
      </c>
      <c r="E5649">
        <v>0</v>
      </c>
      <c r="F5649" s="11">
        <v>1</v>
      </c>
    </row>
    <row r="5650" spans="1:6" x14ac:dyDescent="0.35">
      <c r="A5650" t="s">
        <v>2857</v>
      </c>
      <c r="B5650" t="s">
        <v>2865</v>
      </c>
      <c r="C5650" t="s">
        <v>1510</v>
      </c>
      <c r="D5650" t="s">
        <v>2890</v>
      </c>
      <c r="E5650">
        <v>64045</v>
      </c>
      <c r="F5650" s="11">
        <v>0</v>
      </c>
    </row>
    <row r="5651" spans="1:6" x14ac:dyDescent="0.35">
      <c r="A5651" t="s">
        <v>2857</v>
      </c>
      <c r="B5651" t="s">
        <v>2865</v>
      </c>
      <c r="C5651" t="s">
        <v>1510</v>
      </c>
      <c r="D5651" t="s">
        <v>2891</v>
      </c>
      <c r="E5651">
        <v>0</v>
      </c>
      <c r="F5651" s="11">
        <v>0</v>
      </c>
    </row>
    <row r="5652" spans="1:6" x14ac:dyDescent="0.35">
      <c r="A5652" t="s">
        <v>2857</v>
      </c>
      <c r="B5652" t="s">
        <v>2865</v>
      </c>
      <c r="C5652" t="s">
        <v>1510</v>
      </c>
      <c r="D5652" t="s">
        <v>2892</v>
      </c>
      <c r="E5652">
        <v>0</v>
      </c>
      <c r="F5652" s="11">
        <v>0</v>
      </c>
    </row>
    <row r="5653" spans="1:6" x14ac:dyDescent="0.35">
      <c r="A5653" t="s">
        <v>2857</v>
      </c>
      <c r="B5653" t="s">
        <v>2865</v>
      </c>
      <c r="C5653" t="s">
        <v>1510</v>
      </c>
      <c r="D5653" t="s">
        <v>2893</v>
      </c>
      <c r="E5653">
        <v>0</v>
      </c>
      <c r="F5653" s="11">
        <v>0</v>
      </c>
    </row>
    <row r="5654" spans="1:6" x14ac:dyDescent="0.35">
      <c r="A5654" t="s">
        <v>2857</v>
      </c>
      <c r="B5654" t="s">
        <v>2865</v>
      </c>
      <c r="C5654" t="s">
        <v>1510</v>
      </c>
      <c r="D5654" t="s">
        <v>2894</v>
      </c>
      <c r="E5654">
        <v>0</v>
      </c>
      <c r="F5654" s="11">
        <v>0</v>
      </c>
    </row>
    <row r="5655" spans="1:6" x14ac:dyDescent="0.35">
      <c r="A5655" t="s">
        <v>2857</v>
      </c>
      <c r="B5655" t="s">
        <v>2865</v>
      </c>
      <c r="C5655" t="s">
        <v>1510</v>
      </c>
      <c r="D5655" t="s">
        <v>2895</v>
      </c>
      <c r="E5655">
        <v>1070949</v>
      </c>
      <c r="F5655" s="11">
        <v>1</v>
      </c>
    </row>
    <row r="5656" spans="1:6" x14ac:dyDescent="0.35">
      <c r="A5656" t="s">
        <v>2857</v>
      </c>
      <c r="B5656" t="s">
        <v>2865</v>
      </c>
      <c r="C5656" t="s">
        <v>1510</v>
      </c>
      <c r="D5656" t="s">
        <v>2896</v>
      </c>
      <c r="E5656">
        <v>511964</v>
      </c>
      <c r="F5656" s="11">
        <v>1</v>
      </c>
    </row>
    <row r="5657" spans="1:6" x14ac:dyDescent="0.35">
      <c r="A5657" t="s">
        <v>2857</v>
      </c>
      <c r="B5657" t="s">
        <v>2865</v>
      </c>
      <c r="C5657" t="s">
        <v>1510</v>
      </c>
      <c r="D5657" t="s">
        <v>2897</v>
      </c>
      <c r="E5657">
        <v>20674</v>
      </c>
      <c r="F5657" s="11">
        <v>1</v>
      </c>
    </row>
    <row r="5658" spans="1:6" x14ac:dyDescent="0.35">
      <c r="A5658" t="s">
        <v>2857</v>
      </c>
      <c r="B5658" t="s">
        <v>2865</v>
      </c>
      <c r="C5658" t="s">
        <v>1510</v>
      </c>
      <c r="D5658" t="s">
        <v>2898</v>
      </c>
      <c r="E5658">
        <v>538311</v>
      </c>
      <c r="F5658" s="11">
        <v>1</v>
      </c>
    </row>
    <row r="5659" spans="1:6" x14ac:dyDescent="0.35">
      <c r="A5659" t="s">
        <v>2857</v>
      </c>
      <c r="B5659" t="s">
        <v>2865</v>
      </c>
      <c r="C5659" t="s">
        <v>1510</v>
      </c>
      <c r="D5659" t="s">
        <v>2899</v>
      </c>
      <c r="E5659">
        <v>4509</v>
      </c>
      <c r="F5659" s="11">
        <v>1</v>
      </c>
    </row>
    <row r="5660" spans="1:6" x14ac:dyDescent="0.35">
      <c r="A5660" t="s">
        <v>2857</v>
      </c>
      <c r="B5660" t="s">
        <v>2865</v>
      </c>
      <c r="C5660" t="s">
        <v>1510</v>
      </c>
      <c r="D5660" t="s">
        <v>2900</v>
      </c>
      <c r="E5660">
        <v>84</v>
      </c>
      <c r="F5660" s="11">
        <v>1</v>
      </c>
    </row>
    <row r="5661" spans="1:6" x14ac:dyDescent="0.35">
      <c r="A5661" t="s">
        <v>2857</v>
      </c>
      <c r="B5661" t="s">
        <v>2865</v>
      </c>
      <c r="C5661" t="s">
        <v>1510</v>
      </c>
      <c r="D5661" t="s">
        <v>2901</v>
      </c>
      <c r="E5661">
        <v>0</v>
      </c>
      <c r="F5661" s="11">
        <v>1</v>
      </c>
    </row>
    <row r="5662" spans="1:6" x14ac:dyDescent="0.35">
      <c r="A5662" t="s">
        <v>2857</v>
      </c>
      <c r="B5662" t="s">
        <v>2865</v>
      </c>
      <c r="C5662" t="s">
        <v>1510</v>
      </c>
      <c r="D5662" t="s">
        <v>2902</v>
      </c>
      <c r="E5662">
        <v>4425</v>
      </c>
      <c r="F5662" s="11">
        <v>0</v>
      </c>
    </row>
    <row r="5663" spans="1:6" x14ac:dyDescent="0.35">
      <c r="A5663" t="s">
        <v>2857</v>
      </c>
      <c r="B5663" t="s">
        <v>2865</v>
      </c>
      <c r="C5663" t="s">
        <v>1510</v>
      </c>
      <c r="D5663" t="s">
        <v>2903</v>
      </c>
      <c r="E5663">
        <v>38744</v>
      </c>
      <c r="F5663" s="11">
        <v>1</v>
      </c>
    </row>
    <row r="5664" spans="1:6" x14ac:dyDescent="0.35">
      <c r="A5664" t="s">
        <v>2857</v>
      </c>
      <c r="B5664" t="s">
        <v>2865</v>
      </c>
      <c r="C5664" t="s">
        <v>1510</v>
      </c>
      <c r="D5664" t="s">
        <v>2904</v>
      </c>
      <c r="E5664">
        <v>4100</v>
      </c>
      <c r="F5664" s="11">
        <v>1</v>
      </c>
    </row>
    <row r="5665" spans="1:6" x14ac:dyDescent="0.35">
      <c r="A5665" t="s">
        <v>2857</v>
      </c>
      <c r="B5665" t="s">
        <v>2865</v>
      </c>
      <c r="C5665" t="s">
        <v>1510</v>
      </c>
      <c r="D5665" t="s">
        <v>2905</v>
      </c>
      <c r="E5665">
        <v>1464</v>
      </c>
      <c r="F5665" s="11">
        <v>1</v>
      </c>
    </row>
    <row r="5666" spans="1:6" x14ac:dyDescent="0.35">
      <c r="A5666" t="s">
        <v>2857</v>
      </c>
      <c r="B5666" t="s">
        <v>2865</v>
      </c>
      <c r="C5666" t="s">
        <v>1510</v>
      </c>
      <c r="D5666" t="s">
        <v>2906</v>
      </c>
      <c r="E5666">
        <v>33180</v>
      </c>
      <c r="F5666" s="11">
        <v>1</v>
      </c>
    </row>
    <row r="5667" spans="1:6" x14ac:dyDescent="0.35">
      <c r="A5667" t="s">
        <v>2857</v>
      </c>
      <c r="B5667" t="s">
        <v>2865</v>
      </c>
      <c r="C5667" t="s">
        <v>1510</v>
      </c>
      <c r="D5667" t="s">
        <v>2907</v>
      </c>
      <c r="E5667">
        <v>65530</v>
      </c>
      <c r="F5667" s="11">
        <v>1</v>
      </c>
    </row>
    <row r="5668" spans="1:6" x14ac:dyDescent="0.35">
      <c r="A5668" t="s">
        <v>2857</v>
      </c>
      <c r="B5668" t="s">
        <v>2865</v>
      </c>
      <c r="C5668" t="s">
        <v>1510</v>
      </c>
      <c r="D5668" t="s">
        <v>2908</v>
      </c>
      <c r="E5668">
        <v>6999</v>
      </c>
      <c r="F5668" s="11">
        <v>1</v>
      </c>
    </row>
    <row r="5669" spans="1:6" x14ac:dyDescent="0.35">
      <c r="A5669" t="s">
        <v>2857</v>
      </c>
      <c r="B5669" t="s">
        <v>2865</v>
      </c>
      <c r="C5669" t="s">
        <v>1510</v>
      </c>
      <c r="D5669" t="s">
        <v>2909</v>
      </c>
      <c r="E5669">
        <v>1355</v>
      </c>
      <c r="F5669" s="11">
        <v>1</v>
      </c>
    </row>
    <row r="5670" spans="1:6" x14ac:dyDescent="0.35">
      <c r="A5670" t="s">
        <v>2857</v>
      </c>
      <c r="B5670" t="s">
        <v>2865</v>
      </c>
      <c r="C5670" t="s">
        <v>1510</v>
      </c>
      <c r="D5670" t="s">
        <v>2910</v>
      </c>
      <c r="E5670">
        <v>57176</v>
      </c>
      <c r="F5670" s="11">
        <v>1</v>
      </c>
    </row>
    <row r="5671" spans="1:6" x14ac:dyDescent="0.35">
      <c r="A5671" t="s">
        <v>2857</v>
      </c>
      <c r="B5671" t="s">
        <v>2865</v>
      </c>
      <c r="C5671" t="s">
        <v>1510</v>
      </c>
      <c r="D5671" t="s">
        <v>2911</v>
      </c>
      <c r="E5671">
        <v>809952</v>
      </c>
      <c r="F5671" s="11">
        <v>1</v>
      </c>
    </row>
    <row r="5672" spans="1:6" x14ac:dyDescent="0.35">
      <c r="A5672" t="s">
        <v>2857</v>
      </c>
      <c r="B5672" t="s">
        <v>2865</v>
      </c>
      <c r="C5672" t="s">
        <v>1510</v>
      </c>
      <c r="D5672" t="s">
        <v>2912</v>
      </c>
      <c r="E5672">
        <v>879996</v>
      </c>
      <c r="F5672" s="11">
        <v>1</v>
      </c>
    </row>
    <row r="5673" spans="1:6" x14ac:dyDescent="0.35">
      <c r="A5673" t="s">
        <v>2857</v>
      </c>
      <c r="B5673" t="s">
        <v>2865</v>
      </c>
      <c r="C5673" t="s">
        <v>1510</v>
      </c>
      <c r="D5673" t="s">
        <v>2913</v>
      </c>
      <c r="E5673">
        <v>0</v>
      </c>
      <c r="F5673" s="11">
        <v>0</v>
      </c>
    </row>
    <row r="5674" spans="1:6" x14ac:dyDescent="0.35">
      <c r="A5674" t="s">
        <v>2857</v>
      </c>
      <c r="B5674" t="s">
        <v>2865</v>
      </c>
      <c r="C5674" t="s">
        <v>1510</v>
      </c>
      <c r="D5674" t="s">
        <v>2914</v>
      </c>
      <c r="E5674">
        <v>3525</v>
      </c>
      <c r="F5674" s="11">
        <v>0</v>
      </c>
    </row>
    <row r="5675" spans="1:6" x14ac:dyDescent="0.35">
      <c r="A5675" t="s">
        <v>2857</v>
      </c>
      <c r="B5675" t="s">
        <v>2865</v>
      </c>
      <c r="C5675" t="s">
        <v>1510</v>
      </c>
      <c r="D5675" t="s">
        <v>2915</v>
      </c>
      <c r="E5675">
        <v>921</v>
      </c>
      <c r="F5675" s="11">
        <v>0</v>
      </c>
    </row>
    <row r="5676" spans="1:6" x14ac:dyDescent="0.35">
      <c r="A5676" t="s">
        <v>2857</v>
      </c>
      <c r="B5676" t="s">
        <v>2865</v>
      </c>
      <c r="C5676" t="s">
        <v>1510</v>
      </c>
      <c r="D5676" t="s">
        <v>2916</v>
      </c>
      <c r="E5676">
        <v>26233</v>
      </c>
      <c r="F5676" s="11">
        <v>1</v>
      </c>
    </row>
    <row r="5677" spans="1:6" x14ac:dyDescent="0.35">
      <c r="A5677" t="s">
        <v>2857</v>
      </c>
      <c r="B5677" t="s">
        <v>2865</v>
      </c>
      <c r="C5677" t="s">
        <v>1510</v>
      </c>
      <c r="D5677" t="s">
        <v>2917</v>
      </c>
      <c r="E5677">
        <v>0</v>
      </c>
      <c r="F5677" s="11">
        <v>0</v>
      </c>
    </row>
    <row r="5678" spans="1:6" x14ac:dyDescent="0.35">
      <c r="A5678" t="s">
        <v>2857</v>
      </c>
      <c r="B5678" t="s">
        <v>2866</v>
      </c>
      <c r="C5678" t="s">
        <v>1376</v>
      </c>
      <c r="D5678" t="s">
        <v>2875</v>
      </c>
      <c r="E5678">
        <v>21246</v>
      </c>
      <c r="F5678" s="11">
        <v>1</v>
      </c>
    </row>
    <row r="5679" spans="1:6" x14ac:dyDescent="0.35">
      <c r="A5679" t="s">
        <v>2857</v>
      </c>
      <c r="B5679" t="s">
        <v>2866</v>
      </c>
      <c r="C5679" t="s">
        <v>1376</v>
      </c>
      <c r="D5679" t="s">
        <v>2876</v>
      </c>
      <c r="E5679">
        <v>1271</v>
      </c>
      <c r="F5679" s="11">
        <v>1</v>
      </c>
    </row>
    <row r="5680" spans="1:6" x14ac:dyDescent="0.35">
      <c r="A5680" t="s">
        <v>2857</v>
      </c>
      <c r="B5680" t="s">
        <v>2866</v>
      </c>
      <c r="C5680" t="s">
        <v>1376</v>
      </c>
      <c r="D5680" t="s">
        <v>2877</v>
      </c>
      <c r="E5680">
        <v>195</v>
      </c>
      <c r="F5680" s="11">
        <v>1</v>
      </c>
    </row>
    <row r="5681" spans="1:6" x14ac:dyDescent="0.35">
      <c r="A5681" t="s">
        <v>2857</v>
      </c>
      <c r="B5681" t="s">
        <v>2866</v>
      </c>
      <c r="C5681" t="s">
        <v>1376</v>
      </c>
      <c r="D5681" t="s">
        <v>2878</v>
      </c>
      <c r="E5681">
        <v>19780</v>
      </c>
      <c r="F5681" s="11">
        <v>1</v>
      </c>
    </row>
    <row r="5682" spans="1:6" x14ac:dyDescent="0.35">
      <c r="A5682" t="s">
        <v>2857</v>
      </c>
      <c r="B5682" t="s">
        <v>2866</v>
      </c>
      <c r="C5682" t="s">
        <v>1376</v>
      </c>
      <c r="D5682" t="s">
        <v>2879</v>
      </c>
      <c r="E5682">
        <v>5374</v>
      </c>
      <c r="F5682" s="11">
        <v>1</v>
      </c>
    </row>
    <row r="5683" spans="1:6" x14ac:dyDescent="0.35">
      <c r="A5683" t="s">
        <v>2857</v>
      </c>
      <c r="B5683" t="s">
        <v>2866</v>
      </c>
      <c r="C5683" t="s">
        <v>1376</v>
      </c>
      <c r="D5683" t="s">
        <v>2880</v>
      </c>
      <c r="E5683">
        <v>640</v>
      </c>
      <c r="F5683" s="11">
        <v>1</v>
      </c>
    </row>
    <row r="5684" spans="1:6" x14ac:dyDescent="0.35">
      <c r="A5684" t="s">
        <v>2857</v>
      </c>
      <c r="B5684" t="s">
        <v>2866</v>
      </c>
      <c r="C5684" t="s">
        <v>1376</v>
      </c>
      <c r="D5684" t="s">
        <v>2881</v>
      </c>
      <c r="E5684">
        <v>1</v>
      </c>
      <c r="F5684" s="11">
        <v>1</v>
      </c>
    </row>
    <row r="5685" spans="1:6" x14ac:dyDescent="0.35">
      <c r="A5685" t="s">
        <v>2857</v>
      </c>
      <c r="B5685" t="s">
        <v>2866</v>
      </c>
      <c r="C5685" t="s">
        <v>1376</v>
      </c>
      <c r="D5685" t="s">
        <v>2882</v>
      </c>
      <c r="E5685">
        <v>4443</v>
      </c>
      <c r="F5685" s="11">
        <v>1</v>
      </c>
    </row>
    <row r="5686" spans="1:6" x14ac:dyDescent="0.35">
      <c r="A5686" t="s">
        <v>2857</v>
      </c>
      <c r="B5686" t="s">
        <v>2866</v>
      </c>
      <c r="C5686" t="s">
        <v>1376</v>
      </c>
      <c r="D5686" t="s">
        <v>2883</v>
      </c>
      <c r="E5686">
        <v>176</v>
      </c>
      <c r="F5686" s="11">
        <v>1</v>
      </c>
    </row>
    <row r="5687" spans="1:6" x14ac:dyDescent="0.35">
      <c r="A5687" t="s">
        <v>2857</v>
      </c>
      <c r="B5687" t="s">
        <v>2866</v>
      </c>
      <c r="C5687" t="s">
        <v>1376</v>
      </c>
      <c r="D5687" t="s">
        <v>2884</v>
      </c>
      <c r="E5687">
        <v>1</v>
      </c>
      <c r="F5687" s="11">
        <v>1</v>
      </c>
    </row>
    <row r="5688" spans="1:6" x14ac:dyDescent="0.35">
      <c r="A5688" t="s">
        <v>2857</v>
      </c>
      <c r="B5688" t="s">
        <v>2866</v>
      </c>
      <c r="C5688" t="s">
        <v>1376</v>
      </c>
      <c r="D5688" t="s">
        <v>2885</v>
      </c>
      <c r="E5688">
        <v>0</v>
      </c>
      <c r="F5688" s="11">
        <v>0</v>
      </c>
    </row>
    <row r="5689" spans="1:6" x14ac:dyDescent="0.35">
      <c r="A5689" t="s">
        <v>2857</v>
      </c>
      <c r="B5689" t="s">
        <v>2866</v>
      </c>
      <c r="C5689" t="s">
        <v>1376</v>
      </c>
      <c r="D5689" t="s">
        <v>2886</v>
      </c>
      <c r="E5689">
        <v>175</v>
      </c>
      <c r="F5689" s="11">
        <v>0</v>
      </c>
    </row>
    <row r="5690" spans="1:6" x14ac:dyDescent="0.35">
      <c r="A5690" t="s">
        <v>2857</v>
      </c>
      <c r="B5690" t="s">
        <v>2866</v>
      </c>
      <c r="C5690" t="s">
        <v>1376</v>
      </c>
      <c r="D5690" t="s">
        <v>2887</v>
      </c>
      <c r="E5690">
        <v>27225</v>
      </c>
      <c r="F5690" s="11">
        <v>1</v>
      </c>
    </row>
    <row r="5691" spans="1:6" x14ac:dyDescent="0.35">
      <c r="A5691" t="s">
        <v>2857</v>
      </c>
      <c r="B5691" t="s">
        <v>2866</v>
      </c>
      <c r="C5691" t="s">
        <v>1376</v>
      </c>
      <c r="D5691" t="s">
        <v>2888</v>
      </c>
      <c r="E5691">
        <v>8068</v>
      </c>
      <c r="F5691" s="11">
        <v>1</v>
      </c>
    </row>
    <row r="5692" spans="1:6" x14ac:dyDescent="0.35">
      <c r="A5692" t="s">
        <v>2857</v>
      </c>
      <c r="B5692" t="s">
        <v>2866</v>
      </c>
      <c r="C5692" t="s">
        <v>1376</v>
      </c>
      <c r="D5692" t="s">
        <v>2889</v>
      </c>
      <c r="E5692">
        <v>26</v>
      </c>
      <c r="F5692" s="11">
        <v>1</v>
      </c>
    </row>
    <row r="5693" spans="1:6" x14ac:dyDescent="0.35">
      <c r="A5693" t="s">
        <v>2857</v>
      </c>
      <c r="B5693" t="s">
        <v>2866</v>
      </c>
      <c r="C5693" t="s">
        <v>1376</v>
      </c>
      <c r="D5693" t="s">
        <v>2890</v>
      </c>
      <c r="E5693">
        <v>19131</v>
      </c>
      <c r="F5693" s="11">
        <v>0</v>
      </c>
    </row>
    <row r="5694" spans="1:6" x14ac:dyDescent="0.35">
      <c r="A5694" t="s">
        <v>2857</v>
      </c>
      <c r="B5694" t="s">
        <v>2866</v>
      </c>
      <c r="C5694" t="s">
        <v>1376</v>
      </c>
      <c r="D5694" t="s">
        <v>2891</v>
      </c>
      <c r="E5694">
        <v>1871</v>
      </c>
      <c r="F5694" s="11">
        <v>1</v>
      </c>
    </row>
    <row r="5695" spans="1:6" x14ac:dyDescent="0.35">
      <c r="A5695" t="s">
        <v>2857</v>
      </c>
      <c r="B5695" t="s">
        <v>2866</v>
      </c>
      <c r="C5695" t="s">
        <v>1376</v>
      </c>
      <c r="D5695" t="s">
        <v>2892</v>
      </c>
      <c r="E5695">
        <v>9</v>
      </c>
      <c r="F5695" s="11">
        <v>1</v>
      </c>
    </row>
    <row r="5696" spans="1:6" x14ac:dyDescent="0.35">
      <c r="A5696" t="s">
        <v>2857</v>
      </c>
      <c r="B5696" t="s">
        <v>2866</v>
      </c>
      <c r="C5696" t="s">
        <v>1376</v>
      </c>
      <c r="D5696" t="s">
        <v>2893</v>
      </c>
      <c r="E5696">
        <v>0</v>
      </c>
      <c r="F5696" s="11">
        <v>0</v>
      </c>
    </row>
    <row r="5697" spans="1:6" x14ac:dyDescent="0.35">
      <c r="A5697" t="s">
        <v>2857</v>
      </c>
      <c r="B5697" t="s">
        <v>2866</v>
      </c>
      <c r="C5697" t="s">
        <v>1376</v>
      </c>
      <c r="D5697" t="s">
        <v>2894</v>
      </c>
      <c r="E5697">
        <v>1862</v>
      </c>
      <c r="F5697" s="11">
        <v>0</v>
      </c>
    </row>
    <row r="5698" spans="1:6" x14ac:dyDescent="0.35">
      <c r="A5698" t="s">
        <v>2857</v>
      </c>
      <c r="B5698" t="s">
        <v>2866</v>
      </c>
      <c r="C5698" t="s">
        <v>1376</v>
      </c>
      <c r="D5698" t="s">
        <v>2895</v>
      </c>
      <c r="E5698">
        <v>285749</v>
      </c>
      <c r="F5698" s="11">
        <v>1</v>
      </c>
    </row>
    <row r="5699" spans="1:6" x14ac:dyDescent="0.35">
      <c r="A5699" t="s">
        <v>2857</v>
      </c>
      <c r="B5699" t="s">
        <v>2866</v>
      </c>
      <c r="C5699" t="s">
        <v>1376</v>
      </c>
      <c r="D5699" t="s">
        <v>2896</v>
      </c>
      <c r="E5699">
        <v>54694</v>
      </c>
      <c r="F5699" s="11">
        <v>1</v>
      </c>
    </row>
    <row r="5700" spans="1:6" x14ac:dyDescent="0.35">
      <c r="A5700" t="s">
        <v>2857</v>
      </c>
      <c r="B5700" t="s">
        <v>2866</v>
      </c>
      <c r="C5700" t="s">
        <v>1376</v>
      </c>
      <c r="D5700" t="s">
        <v>2897</v>
      </c>
      <c r="E5700">
        <v>1042</v>
      </c>
      <c r="F5700" s="11">
        <v>1</v>
      </c>
    </row>
    <row r="5701" spans="1:6" x14ac:dyDescent="0.35">
      <c r="A5701" t="s">
        <v>2857</v>
      </c>
      <c r="B5701" t="s">
        <v>2866</v>
      </c>
      <c r="C5701" t="s">
        <v>1376</v>
      </c>
      <c r="D5701" t="s">
        <v>2898</v>
      </c>
      <c r="E5701">
        <v>230013</v>
      </c>
      <c r="F5701" s="11">
        <v>1</v>
      </c>
    </row>
    <row r="5702" spans="1:6" x14ac:dyDescent="0.35">
      <c r="A5702" t="s">
        <v>2857</v>
      </c>
      <c r="B5702" t="s">
        <v>2866</v>
      </c>
      <c r="C5702" t="s">
        <v>1376</v>
      </c>
      <c r="D5702" t="s">
        <v>2899</v>
      </c>
      <c r="E5702">
        <v>4556</v>
      </c>
      <c r="F5702" s="11">
        <v>1</v>
      </c>
    </row>
    <row r="5703" spans="1:6" x14ac:dyDescent="0.35">
      <c r="A5703" t="s">
        <v>2857</v>
      </c>
      <c r="B5703" t="s">
        <v>2866</v>
      </c>
      <c r="C5703" t="s">
        <v>1376</v>
      </c>
      <c r="D5703" t="s">
        <v>2900</v>
      </c>
      <c r="E5703">
        <v>54</v>
      </c>
      <c r="F5703" s="11">
        <v>1</v>
      </c>
    </row>
    <row r="5704" spans="1:6" x14ac:dyDescent="0.35">
      <c r="A5704" t="s">
        <v>2857</v>
      </c>
      <c r="B5704" t="s">
        <v>2866</v>
      </c>
      <c r="C5704" t="s">
        <v>1376</v>
      </c>
      <c r="D5704" t="s">
        <v>2901</v>
      </c>
      <c r="E5704">
        <v>0</v>
      </c>
      <c r="F5704" s="11">
        <v>1</v>
      </c>
    </row>
    <row r="5705" spans="1:6" x14ac:dyDescent="0.35">
      <c r="A5705" t="s">
        <v>2857</v>
      </c>
      <c r="B5705" t="s">
        <v>2866</v>
      </c>
      <c r="C5705" t="s">
        <v>1376</v>
      </c>
      <c r="D5705" t="s">
        <v>2902</v>
      </c>
      <c r="E5705">
        <v>4502</v>
      </c>
      <c r="F5705" s="11">
        <v>0</v>
      </c>
    </row>
    <row r="5706" spans="1:6" x14ac:dyDescent="0.35">
      <c r="A5706" t="s">
        <v>2857</v>
      </c>
      <c r="B5706" t="s">
        <v>2866</v>
      </c>
      <c r="C5706" t="s">
        <v>1376</v>
      </c>
      <c r="D5706" t="s">
        <v>2903</v>
      </c>
      <c r="E5706">
        <v>56337</v>
      </c>
      <c r="F5706" s="11">
        <v>1</v>
      </c>
    </row>
    <row r="5707" spans="1:6" x14ac:dyDescent="0.35">
      <c r="A5707" t="s">
        <v>2857</v>
      </c>
      <c r="B5707" t="s">
        <v>2866</v>
      </c>
      <c r="C5707" t="s">
        <v>1376</v>
      </c>
      <c r="D5707" t="s">
        <v>2904</v>
      </c>
      <c r="E5707">
        <v>5006</v>
      </c>
      <c r="F5707" s="11">
        <v>1</v>
      </c>
    </row>
    <row r="5708" spans="1:6" x14ac:dyDescent="0.35">
      <c r="A5708" t="s">
        <v>2857</v>
      </c>
      <c r="B5708" t="s">
        <v>2866</v>
      </c>
      <c r="C5708" t="s">
        <v>1376</v>
      </c>
      <c r="D5708" t="s">
        <v>2905</v>
      </c>
      <c r="E5708">
        <v>2700</v>
      </c>
      <c r="F5708" s="11">
        <v>1</v>
      </c>
    </row>
    <row r="5709" spans="1:6" x14ac:dyDescent="0.35">
      <c r="A5709" t="s">
        <v>2857</v>
      </c>
      <c r="B5709" t="s">
        <v>2866</v>
      </c>
      <c r="C5709" t="s">
        <v>1376</v>
      </c>
      <c r="D5709" t="s">
        <v>2906</v>
      </c>
      <c r="E5709">
        <v>48631</v>
      </c>
      <c r="F5709" s="11">
        <v>1</v>
      </c>
    </row>
    <row r="5710" spans="1:6" x14ac:dyDescent="0.35">
      <c r="A5710" t="s">
        <v>2857</v>
      </c>
      <c r="B5710" t="s">
        <v>2866</v>
      </c>
      <c r="C5710" t="s">
        <v>1376</v>
      </c>
      <c r="D5710" t="s">
        <v>2907</v>
      </c>
      <c r="E5710">
        <v>37547</v>
      </c>
      <c r="F5710" s="11">
        <v>1</v>
      </c>
    </row>
    <row r="5711" spans="1:6" x14ac:dyDescent="0.35">
      <c r="A5711" t="s">
        <v>2857</v>
      </c>
      <c r="B5711" t="s">
        <v>2866</v>
      </c>
      <c r="C5711" t="s">
        <v>1376</v>
      </c>
      <c r="D5711" t="s">
        <v>2908</v>
      </c>
      <c r="E5711">
        <v>4329</v>
      </c>
      <c r="F5711" s="11">
        <v>1</v>
      </c>
    </row>
    <row r="5712" spans="1:6" x14ac:dyDescent="0.35">
      <c r="A5712" t="s">
        <v>2857</v>
      </c>
      <c r="B5712" t="s">
        <v>2866</v>
      </c>
      <c r="C5712" t="s">
        <v>1376</v>
      </c>
      <c r="D5712" t="s">
        <v>2909</v>
      </c>
      <c r="E5712">
        <v>1109</v>
      </c>
      <c r="F5712" s="11">
        <v>1</v>
      </c>
    </row>
    <row r="5713" spans="1:6" x14ac:dyDescent="0.35">
      <c r="A5713" t="s">
        <v>2857</v>
      </c>
      <c r="B5713" t="s">
        <v>2866</v>
      </c>
      <c r="C5713" t="s">
        <v>1376</v>
      </c>
      <c r="D5713" t="s">
        <v>2910</v>
      </c>
      <c r="E5713">
        <v>32109</v>
      </c>
      <c r="F5713" s="11">
        <v>1</v>
      </c>
    </row>
    <row r="5714" spans="1:6" x14ac:dyDescent="0.35">
      <c r="A5714" t="s">
        <v>2857</v>
      </c>
      <c r="B5714" t="s">
        <v>2866</v>
      </c>
      <c r="C5714" t="s">
        <v>1376</v>
      </c>
      <c r="D5714" t="s">
        <v>2911</v>
      </c>
      <c r="E5714">
        <v>418841</v>
      </c>
      <c r="F5714" s="11">
        <v>0</v>
      </c>
    </row>
    <row r="5715" spans="1:6" x14ac:dyDescent="0.35">
      <c r="A5715" t="s">
        <v>2857</v>
      </c>
      <c r="B5715" t="s">
        <v>2866</v>
      </c>
      <c r="C5715" t="s">
        <v>1376</v>
      </c>
      <c r="D5715" t="s">
        <v>2912</v>
      </c>
      <c r="E5715">
        <v>0</v>
      </c>
      <c r="F5715" s="11">
        <v>1</v>
      </c>
    </row>
    <row r="5716" spans="1:6" x14ac:dyDescent="0.35">
      <c r="A5716" t="s">
        <v>2857</v>
      </c>
      <c r="B5716" t="s">
        <v>2866</v>
      </c>
      <c r="C5716" t="s">
        <v>1376</v>
      </c>
      <c r="D5716" t="s">
        <v>2913</v>
      </c>
      <c r="E5716">
        <v>0</v>
      </c>
      <c r="F5716" s="11">
        <v>0</v>
      </c>
    </row>
    <row r="5717" spans="1:6" x14ac:dyDescent="0.35">
      <c r="A5717" t="s">
        <v>2857</v>
      </c>
      <c r="B5717" t="s">
        <v>2866</v>
      </c>
      <c r="C5717" t="s">
        <v>1376</v>
      </c>
      <c r="D5717" t="s">
        <v>2914</v>
      </c>
      <c r="E5717">
        <v>0</v>
      </c>
      <c r="F5717" s="11">
        <v>0</v>
      </c>
    </row>
    <row r="5718" spans="1:6" x14ac:dyDescent="0.35">
      <c r="A5718" t="s">
        <v>2857</v>
      </c>
      <c r="B5718" t="s">
        <v>2866</v>
      </c>
      <c r="C5718" t="s">
        <v>1376</v>
      </c>
      <c r="D5718" t="s">
        <v>2915</v>
      </c>
      <c r="E5718">
        <v>64</v>
      </c>
      <c r="F5718" s="11">
        <v>1</v>
      </c>
    </row>
    <row r="5719" spans="1:6" x14ac:dyDescent="0.35">
      <c r="A5719" t="s">
        <v>2857</v>
      </c>
      <c r="B5719" t="s">
        <v>2866</v>
      </c>
      <c r="C5719" t="s">
        <v>1376</v>
      </c>
      <c r="D5719" t="s">
        <v>2916</v>
      </c>
      <c r="E5719">
        <v>20031</v>
      </c>
      <c r="F5719" s="11">
        <v>1</v>
      </c>
    </row>
    <row r="5720" spans="1:6" x14ac:dyDescent="0.35">
      <c r="A5720" t="s">
        <v>2857</v>
      </c>
      <c r="B5720" t="s">
        <v>2866</v>
      </c>
      <c r="C5720" t="s">
        <v>1376</v>
      </c>
      <c r="D5720" t="s">
        <v>2917</v>
      </c>
      <c r="E5720">
        <v>0</v>
      </c>
      <c r="F5720" s="11">
        <v>0</v>
      </c>
    </row>
    <row r="5721" spans="1:6" x14ac:dyDescent="0.35">
      <c r="A5721" t="s">
        <v>2857</v>
      </c>
      <c r="B5721" t="s">
        <v>2864</v>
      </c>
      <c r="C5721" t="s">
        <v>1362</v>
      </c>
      <c r="D5721" t="s">
        <v>2875</v>
      </c>
      <c r="E5721">
        <v>44787</v>
      </c>
      <c r="F5721" s="11">
        <v>1</v>
      </c>
    </row>
    <row r="5722" spans="1:6" x14ac:dyDescent="0.35">
      <c r="A5722" t="s">
        <v>2857</v>
      </c>
      <c r="B5722" t="s">
        <v>2864</v>
      </c>
      <c r="C5722" t="s">
        <v>1362</v>
      </c>
      <c r="D5722" t="s">
        <v>2876</v>
      </c>
      <c r="E5722">
        <v>14266</v>
      </c>
      <c r="F5722" s="11">
        <v>1</v>
      </c>
    </row>
    <row r="5723" spans="1:6" x14ac:dyDescent="0.35">
      <c r="A5723" t="s">
        <v>2857</v>
      </c>
      <c r="B5723" t="s">
        <v>2864</v>
      </c>
      <c r="C5723" t="s">
        <v>1362</v>
      </c>
      <c r="D5723" t="s">
        <v>2877</v>
      </c>
      <c r="E5723">
        <v>3588</v>
      </c>
      <c r="F5723" s="11">
        <v>1</v>
      </c>
    </row>
    <row r="5724" spans="1:6" x14ac:dyDescent="0.35">
      <c r="A5724" t="s">
        <v>2857</v>
      </c>
      <c r="B5724" t="s">
        <v>2864</v>
      </c>
      <c r="C5724" t="s">
        <v>1362</v>
      </c>
      <c r="D5724" t="s">
        <v>2878</v>
      </c>
      <c r="E5724">
        <v>26933</v>
      </c>
      <c r="F5724" s="11">
        <v>1</v>
      </c>
    </row>
    <row r="5725" spans="1:6" x14ac:dyDescent="0.35">
      <c r="A5725" t="s">
        <v>2857</v>
      </c>
      <c r="B5725" t="s">
        <v>2864</v>
      </c>
      <c r="C5725" t="s">
        <v>1362</v>
      </c>
      <c r="D5725" t="s">
        <v>2879</v>
      </c>
      <c r="E5725">
        <v>0</v>
      </c>
      <c r="F5725" s="11">
        <v>0</v>
      </c>
    </row>
    <row r="5726" spans="1:6" x14ac:dyDescent="0.35">
      <c r="A5726" t="s">
        <v>2857</v>
      </c>
      <c r="B5726" t="s">
        <v>2864</v>
      </c>
      <c r="C5726" t="s">
        <v>1362</v>
      </c>
      <c r="D5726" t="s">
        <v>2880</v>
      </c>
      <c r="E5726">
        <v>0</v>
      </c>
      <c r="F5726" s="11">
        <v>0</v>
      </c>
    </row>
    <row r="5727" spans="1:6" x14ac:dyDescent="0.35">
      <c r="A5727" t="s">
        <v>2857</v>
      </c>
      <c r="B5727" t="s">
        <v>2864</v>
      </c>
      <c r="C5727" t="s">
        <v>1362</v>
      </c>
      <c r="D5727" t="s">
        <v>2881</v>
      </c>
      <c r="E5727">
        <v>0</v>
      </c>
      <c r="F5727" s="11">
        <v>0</v>
      </c>
    </row>
    <row r="5728" spans="1:6" x14ac:dyDescent="0.35">
      <c r="A5728" t="s">
        <v>2857</v>
      </c>
      <c r="B5728" t="s">
        <v>2864</v>
      </c>
      <c r="C5728" t="s">
        <v>1362</v>
      </c>
      <c r="D5728" t="s">
        <v>2882</v>
      </c>
      <c r="E5728">
        <v>0</v>
      </c>
      <c r="F5728" s="11">
        <v>0</v>
      </c>
    </row>
    <row r="5729" spans="1:6" x14ac:dyDescent="0.35">
      <c r="A5729" t="s">
        <v>2857</v>
      </c>
      <c r="B5729" t="s">
        <v>2864</v>
      </c>
      <c r="C5729" t="s">
        <v>1362</v>
      </c>
      <c r="D5729" t="s">
        <v>2883</v>
      </c>
      <c r="E5729">
        <v>0</v>
      </c>
      <c r="F5729" s="11">
        <v>0</v>
      </c>
    </row>
    <row r="5730" spans="1:6" x14ac:dyDescent="0.35">
      <c r="A5730" t="s">
        <v>2857</v>
      </c>
      <c r="B5730" t="s">
        <v>2864</v>
      </c>
      <c r="C5730" t="s">
        <v>1362</v>
      </c>
      <c r="D5730" t="s">
        <v>2884</v>
      </c>
      <c r="E5730">
        <v>0</v>
      </c>
      <c r="F5730" s="11">
        <v>0</v>
      </c>
    </row>
    <row r="5731" spans="1:6" x14ac:dyDescent="0.35">
      <c r="A5731" t="s">
        <v>2857</v>
      </c>
      <c r="B5731" t="s">
        <v>2864</v>
      </c>
      <c r="C5731" t="s">
        <v>1362</v>
      </c>
      <c r="D5731" t="s">
        <v>2885</v>
      </c>
      <c r="E5731">
        <v>0</v>
      </c>
      <c r="F5731" s="11">
        <v>0</v>
      </c>
    </row>
    <row r="5732" spans="1:6" x14ac:dyDescent="0.35">
      <c r="A5732" t="s">
        <v>2857</v>
      </c>
      <c r="B5732" t="s">
        <v>2864</v>
      </c>
      <c r="C5732" t="s">
        <v>1362</v>
      </c>
      <c r="D5732" t="s">
        <v>2886</v>
      </c>
      <c r="E5732">
        <v>0</v>
      </c>
      <c r="F5732" s="11">
        <v>0</v>
      </c>
    </row>
    <row r="5733" spans="1:6" x14ac:dyDescent="0.35">
      <c r="A5733" t="s">
        <v>2857</v>
      </c>
      <c r="B5733" t="s">
        <v>2864</v>
      </c>
      <c r="C5733" t="s">
        <v>1362</v>
      </c>
      <c r="D5733" t="s">
        <v>2887</v>
      </c>
      <c r="E5733">
        <v>0</v>
      </c>
      <c r="F5733" s="11">
        <v>0</v>
      </c>
    </row>
    <row r="5734" spans="1:6" x14ac:dyDescent="0.35">
      <c r="A5734" t="s">
        <v>2857</v>
      </c>
      <c r="B5734" t="s">
        <v>2864</v>
      </c>
      <c r="C5734" t="s">
        <v>1362</v>
      </c>
      <c r="D5734" t="s">
        <v>2888</v>
      </c>
      <c r="E5734">
        <v>0</v>
      </c>
      <c r="F5734" s="11">
        <v>0</v>
      </c>
    </row>
    <row r="5735" spans="1:6" x14ac:dyDescent="0.35">
      <c r="A5735" t="s">
        <v>2857</v>
      </c>
      <c r="B5735" t="s">
        <v>2864</v>
      </c>
      <c r="C5735" t="s">
        <v>1362</v>
      </c>
      <c r="D5735" t="s">
        <v>2889</v>
      </c>
      <c r="E5735">
        <v>0</v>
      </c>
      <c r="F5735" s="11">
        <v>0</v>
      </c>
    </row>
    <row r="5736" spans="1:6" x14ac:dyDescent="0.35">
      <c r="A5736" t="s">
        <v>2857</v>
      </c>
      <c r="B5736" t="s">
        <v>2864</v>
      </c>
      <c r="C5736" t="s">
        <v>1362</v>
      </c>
      <c r="D5736" t="s">
        <v>2890</v>
      </c>
      <c r="E5736">
        <v>0</v>
      </c>
      <c r="F5736" s="11">
        <v>0</v>
      </c>
    </row>
    <row r="5737" spans="1:6" x14ac:dyDescent="0.35">
      <c r="A5737" t="s">
        <v>2857</v>
      </c>
      <c r="B5737" t="s">
        <v>2864</v>
      </c>
      <c r="C5737" t="s">
        <v>1362</v>
      </c>
      <c r="D5737" t="s">
        <v>2891</v>
      </c>
      <c r="E5737">
        <v>0</v>
      </c>
      <c r="F5737" s="11">
        <v>0</v>
      </c>
    </row>
    <row r="5738" spans="1:6" x14ac:dyDescent="0.35">
      <c r="A5738" t="s">
        <v>2857</v>
      </c>
      <c r="B5738" t="s">
        <v>2864</v>
      </c>
      <c r="C5738" t="s">
        <v>1362</v>
      </c>
      <c r="D5738" t="s">
        <v>2892</v>
      </c>
      <c r="E5738">
        <v>0</v>
      </c>
      <c r="F5738" s="11">
        <v>0</v>
      </c>
    </row>
    <row r="5739" spans="1:6" x14ac:dyDescent="0.35">
      <c r="A5739" t="s">
        <v>2857</v>
      </c>
      <c r="B5739" t="s">
        <v>2864</v>
      </c>
      <c r="C5739" t="s">
        <v>1362</v>
      </c>
      <c r="D5739" t="s">
        <v>2893</v>
      </c>
      <c r="E5739">
        <v>0</v>
      </c>
      <c r="F5739" s="11">
        <v>0</v>
      </c>
    </row>
    <row r="5740" spans="1:6" x14ac:dyDescent="0.35">
      <c r="A5740" t="s">
        <v>2857</v>
      </c>
      <c r="B5740" t="s">
        <v>2864</v>
      </c>
      <c r="C5740" t="s">
        <v>1362</v>
      </c>
      <c r="D5740" t="s">
        <v>2894</v>
      </c>
      <c r="E5740">
        <v>0</v>
      </c>
      <c r="F5740" s="11">
        <v>0</v>
      </c>
    </row>
    <row r="5741" spans="1:6" x14ac:dyDescent="0.35">
      <c r="A5741" t="s">
        <v>2857</v>
      </c>
      <c r="B5741" t="s">
        <v>2864</v>
      </c>
      <c r="C5741" t="s">
        <v>1362</v>
      </c>
      <c r="D5741" t="s">
        <v>2895</v>
      </c>
      <c r="E5741">
        <v>745865</v>
      </c>
      <c r="F5741" s="11">
        <v>1</v>
      </c>
    </row>
    <row r="5742" spans="1:6" x14ac:dyDescent="0.35">
      <c r="A5742" t="s">
        <v>2857</v>
      </c>
      <c r="B5742" t="s">
        <v>2864</v>
      </c>
      <c r="C5742" t="s">
        <v>1362</v>
      </c>
      <c r="D5742" t="s">
        <v>2896</v>
      </c>
      <c r="E5742">
        <v>245894</v>
      </c>
      <c r="F5742" s="11">
        <v>1</v>
      </c>
    </row>
    <row r="5743" spans="1:6" x14ac:dyDescent="0.35">
      <c r="A5743" t="s">
        <v>2857</v>
      </c>
      <c r="B5743" t="s">
        <v>2864</v>
      </c>
      <c r="C5743" t="s">
        <v>1362</v>
      </c>
      <c r="D5743" t="s">
        <v>2897</v>
      </c>
      <c r="E5743">
        <v>31403</v>
      </c>
      <c r="F5743" s="11">
        <v>1</v>
      </c>
    </row>
    <row r="5744" spans="1:6" x14ac:dyDescent="0.35">
      <c r="A5744" t="s">
        <v>2857</v>
      </c>
      <c r="B5744" t="s">
        <v>2864</v>
      </c>
      <c r="C5744" t="s">
        <v>1362</v>
      </c>
      <c r="D5744" t="s">
        <v>2898</v>
      </c>
      <c r="E5744">
        <v>468568</v>
      </c>
      <c r="F5744" s="11">
        <v>1</v>
      </c>
    </row>
    <row r="5745" spans="1:6" x14ac:dyDescent="0.35">
      <c r="A5745" t="s">
        <v>2857</v>
      </c>
      <c r="B5745" t="s">
        <v>2864</v>
      </c>
      <c r="C5745" t="s">
        <v>1362</v>
      </c>
      <c r="D5745" t="s">
        <v>2899</v>
      </c>
      <c r="E5745">
        <v>7487</v>
      </c>
      <c r="F5745" s="11">
        <v>1</v>
      </c>
    </row>
    <row r="5746" spans="1:6" x14ac:dyDescent="0.35">
      <c r="A5746" t="s">
        <v>2857</v>
      </c>
      <c r="B5746" t="s">
        <v>2864</v>
      </c>
      <c r="C5746" t="s">
        <v>1362</v>
      </c>
      <c r="D5746" t="s">
        <v>2900</v>
      </c>
      <c r="E5746">
        <v>238</v>
      </c>
      <c r="F5746" s="11">
        <v>1</v>
      </c>
    </row>
    <row r="5747" spans="1:6" x14ac:dyDescent="0.35">
      <c r="A5747" t="s">
        <v>2857</v>
      </c>
      <c r="B5747" t="s">
        <v>2864</v>
      </c>
      <c r="C5747" t="s">
        <v>1362</v>
      </c>
      <c r="D5747" t="s">
        <v>2901</v>
      </c>
      <c r="E5747">
        <v>70</v>
      </c>
      <c r="F5747" s="11">
        <v>1</v>
      </c>
    </row>
    <row r="5748" spans="1:6" x14ac:dyDescent="0.35">
      <c r="A5748" t="s">
        <v>2857</v>
      </c>
      <c r="B5748" t="s">
        <v>2864</v>
      </c>
      <c r="C5748" t="s">
        <v>1362</v>
      </c>
      <c r="D5748" t="s">
        <v>2902</v>
      </c>
      <c r="E5748">
        <v>7180</v>
      </c>
      <c r="F5748" s="11">
        <v>0</v>
      </c>
    </row>
    <row r="5749" spans="1:6" x14ac:dyDescent="0.35">
      <c r="A5749" t="s">
        <v>2857</v>
      </c>
      <c r="B5749" t="s">
        <v>2864</v>
      </c>
      <c r="C5749" t="s">
        <v>1362</v>
      </c>
      <c r="D5749" t="s">
        <v>2903</v>
      </c>
      <c r="E5749">
        <v>154091</v>
      </c>
      <c r="F5749" s="11">
        <v>1</v>
      </c>
    </row>
    <row r="5750" spans="1:6" x14ac:dyDescent="0.35">
      <c r="A5750" t="s">
        <v>2857</v>
      </c>
      <c r="B5750" t="s">
        <v>2864</v>
      </c>
      <c r="C5750" t="s">
        <v>1362</v>
      </c>
      <c r="D5750" t="s">
        <v>2904</v>
      </c>
      <c r="E5750">
        <v>0</v>
      </c>
      <c r="F5750" s="11">
        <v>0</v>
      </c>
    </row>
    <row r="5751" spans="1:6" x14ac:dyDescent="0.35">
      <c r="A5751" t="s">
        <v>2857</v>
      </c>
      <c r="B5751" t="s">
        <v>2864</v>
      </c>
      <c r="C5751" t="s">
        <v>1362</v>
      </c>
      <c r="D5751" t="s">
        <v>2905</v>
      </c>
      <c r="E5751">
        <v>0</v>
      </c>
      <c r="F5751" s="11">
        <v>0</v>
      </c>
    </row>
    <row r="5752" spans="1:6" x14ac:dyDescent="0.35">
      <c r="A5752" t="s">
        <v>2857</v>
      </c>
      <c r="B5752" t="s">
        <v>2864</v>
      </c>
      <c r="C5752" t="s">
        <v>1362</v>
      </c>
      <c r="D5752" t="s">
        <v>2906</v>
      </c>
      <c r="E5752">
        <v>0</v>
      </c>
      <c r="F5752" s="11">
        <v>0</v>
      </c>
    </row>
    <row r="5753" spans="1:6" x14ac:dyDescent="0.35">
      <c r="A5753" t="s">
        <v>2857</v>
      </c>
      <c r="B5753" t="s">
        <v>2864</v>
      </c>
      <c r="C5753" t="s">
        <v>1362</v>
      </c>
      <c r="D5753" t="s">
        <v>2907</v>
      </c>
      <c r="E5753">
        <v>506607</v>
      </c>
      <c r="F5753" s="11">
        <v>1</v>
      </c>
    </row>
    <row r="5754" spans="1:6" x14ac:dyDescent="0.35">
      <c r="A5754" t="s">
        <v>2857</v>
      </c>
      <c r="B5754" t="s">
        <v>2864</v>
      </c>
      <c r="C5754" t="s">
        <v>1362</v>
      </c>
      <c r="D5754" t="s">
        <v>2908</v>
      </c>
      <c r="E5754">
        <v>0</v>
      </c>
      <c r="F5754" s="11">
        <v>0</v>
      </c>
    </row>
    <row r="5755" spans="1:6" x14ac:dyDescent="0.35">
      <c r="A5755" t="s">
        <v>2857</v>
      </c>
      <c r="B5755" t="s">
        <v>2864</v>
      </c>
      <c r="C5755" t="s">
        <v>1362</v>
      </c>
      <c r="D5755" t="s">
        <v>2909</v>
      </c>
      <c r="E5755">
        <v>0</v>
      </c>
      <c r="F5755" s="11">
        <v>0</v>
      </c>
    </row>
    <row r="5756" spans="1:6" x14ac:dyDescent="0.35">
      <c r="A5756" t="s">
        <v>2857</v>
      </c>
      <c r="B5756" t="s">
        <v>2864</v>
      </c>
      <c r="C5756" t="s">
        <v>1362</v>
      </c>
      <c r="D5756" t="s">
        <v>2910</v>
      </c>
      <c r="E5756">
        <v>0</v>
      </c>
      <c r="F5756" s="11">
        <v>0</v>
      </c>
    </row>
    <row r="5757" spans="1:6" x14ac:dyDescent="0.35">
      <c r="A5757" t="s">
        <v>2857</v>
      </c>
      <c r="B5757" t="s">
        <v>2864</v>
      </c>
      <c r="C5757" t="s">
        <v>1362</v>
      </c>
      <c r="D5757" t="s">
        <v>2911</v>
      </c>
      <c r="E5757">
        <v>0</v>
      </c>
      <c r="F5757" s="11">
        <v>0</v>
      </c>
    </row>
    <row r="5758" spans="1:6" x14ac:dyDescent="0.35">
      <c r="A5758" t="s">
        <v>2857</v>
      </c>
      <c r="B5758" t="s">
        <v>2864</v>
      </c>
      <c r="C5758" t="s">
        <v>1362</v>
      </c>
      <c r="D5758" t="s">
        <v>2912</v>
      </c>
      <c r="E5758">
        <v>0</v>
      </c>
      <c r="F5758" s="11">
        <v>0</v>
      </c>
    </row>
    <row r="5759" spans="1:6" x14ac:dyDescent="0.35">
      <c r="A5759" t="s">
        <v>2857</v>
      </c>
      <c r="B5759" t="s">
        <v>2864</v>
      </c>
      <c r="C5759" t="s">
        <v>1362</v>
      </c>
      <c r="D5759" t="s">
        <v>2913</v>
      </c>
      <c r="E5759">
        <v>0</v>
      </c>
      <c r="F5759" s="11">
        <v>0</v>
      </c>
    </row>
    <row r="5760" spans="1:6" x14ac:dyDescent="0.35">
      <c r="A5760" t="s">
        <v>2857</v>
      </c>
      <c r="B5760" t="s">
        <v>2864</v>
      </c>
      <c r="C5760" t="s">
        <v>1362</v>
      </c>
      <c r="D5760" t="s">
        <v>2914</v>
      </c>
      <c r="E5760">
        <v>35912</v>
      </c>
      <c r="F5760" s="11">
        <v>1</v>
      </c>
    </row>
    <row r="5761" spans="1:6" x14ac:dyDescent="0.35">
      <c r="A5761" t="s">
        <v>2857</v>
      </c>
      <c r="B5761" t="s">
        <v>2864</v>
      </c>
      <c r="C5761" t="s">
        <v>1362</v>
      </c>
      <c r="D5761" t="s">
        <v>2915</v>
      </c>
      <c r="E5761">
        <v>588</v>
      </c>
      <c r="F5761" s="11">
        <v>1</v>
      </c>
    </row>
    <row r="5762" spans="1:6" x14ac:dyDescent="0.35">
      <c r="A5762" t="s">
        <v>2857</v>
      </c>
      <c r="B5762" t="s">
        <v>2864</v>
      </c>
      <c r="C5762" t="s">
        <v>1362</v>
      </c>
      <c r="D5762" t="s">
        <v>2916</v>
      </c>
      <c r="E5762">
        <v>37277</v>
      </c>
      <c r="F5762" s="11">
        <v>1</v>
      </c>
    </row>
    <row r="5763" spans="1:6" x14ac:dyDescent="0.35">
      <c r="A5763" t="s">
        <v>2857</v>
      </c>
      <c r="B5763" t="s">
        <v>2864</v>
      </c>
      <c r="C5763" t="s">
        <v>1362</v>
      </c>
      <c r="D5763" t="s">
        <v>2917</v>
      </c>
      <c r="E5763">
        <v>0</v>
      </c>
      <c r="F5763" s="11">
        <v>0</v>
      </c>
    </row>
    <row r="5764" spans="1:6" x14ac:dyDescent="0.35">
      <c r="A5764" t="s">
        <v>2857</v>
      </c>
      <c r="B5764" t="s">
        <v>2863</v>
      </c>
      <c r="C5764" t="s">
        <v>1425</v>
      </c>
      <c r="D5764" t="s">
        <v>2875</v>
      </c>
      <c r="E5764">
        <v>18336</v>
      </c>
      <c r="F5764" s="11">
        <v>1</v>
      </c>
    </row>
    <row r="5765" spans="1:6" x14ac:dyDescent="0.35">
      <c r="A5765" t="s">
        <v>2857</v>
      </c>
      <c r="B5765" t="s">
        <v>2863</v>
      </c>
      <c r="C5765" t="s">
        <v>1425</v>
      </c>
      <c r="D5765" t="s">
        <v>2876</v>
      </c>
      <c r="E5765">
        <v>0</v>
      </c>
      <c r="F5765" s="11">
        <v>0</v>
      </c>
    </row>
    <row r="5766" spans="1:6" x14ac:dyDescent="0.35">
      <c r="A5766" t="s">
        <v>2857</v>
      </c>
      <c r="B5766" t="s">
        <v>2863</v>
      </c>
      <c r="C5766" t="s">
        <v>1425</v>
      </c>
      <c r="D5766" t="s">
        <v>2877</v>
      </c>
      <c r="E5766">
        <v>0</v>
      </c>
      <c r="F5766" s="11">
        <v>0</v>
      </c>
    </row>
    <row r="5767" spans="1:6" x14ac:dyDescent="0.35">
      <c r="A5767" t="s">
        <v>2857</v>
      </c>
      <c r="B5767" t="s">
        <v>2863</v>
      </c>
      <c r="C5767" t="s">
        <v>1425</v>
      </c>
      <c r="D5767" t="s">
        <v>2878</v>
      </c>
      <c r="E5767">
        <v>9056</v>
      </c>
      <c r="F5767" s="11">
        <v>0</v>
      </c>
    </row>
    <row r="5768" spans="1:6" x14ac:dyDescent="0.35">
      <c r="A5768" t="s">
        <v>2857</v>
      </c>
      <c r="B5768" t="s">
        <v>2863</v>
      </c>
      <c r="C5768" t="s">
        <v>1425</v>
      </c>
      <c r="D5768" t="s">
        <v>2879</v>
      </c>
      <c r="E5768">
        <v>0</v>
      </c>
      <c r="F5768" s="11">
        <v>1</v>
      </c>
    </row>
    <row r="5769" spans="1:6" x14ac:dyDescent="0.35">
      <c r="A5769" t="s">
        <v>2857</v>
      </c>
      <c r="B5769" t="s">
        <v>2863</v>
      </c>
      <c r="C5769" t="s">
        <v>1425</v>
      </c>
      <c r="D5769" t="s">
        <v>2880</v>
      </c>
      <c r="E5769">
        <v>0</v>
      </c>
      <c r="F5769" s="11">
        <v>1</v>
      </c>
    </row>
    <row r="5770" spans="1:6" x14ac:dyDescent="0.35">
      <c r="A5770" t="s">
        <v>2857</v>
      </c>
      <c r="B5770" t="s">
        <v>2863</v>
      </c>
      <c r="C5770" t="s">
        <v>1425</v>
      </c>
      <c r="D5770" t="s">
        <v>2881</v>
      </c>
      <c r="E5770">
        <v>0</v>
      </c>
      <c r="F5770" s="11">
        <v>1</v>
      </c>
    </row>
    <row r="5771" spans="1:6" x14ac:dyDescent="0.35">
      <c r="A5771" t="s">
        <v>2857</v>
      </c>
      <c r="B5771" t="s">
        <v>2863</v>
      </c>
      <c r="C5771" t="s">
        <v>1425</v>
      </c>
      <c r="D5771" t="s">
        <v>2882</v>
      </c>
      <c r="E5771">
        <v>0</v>
      </c>
      <c r="F5771" s="11">
        <v>0</v>
      </c>
    </row>
    <row r="5772" spans="1:6" x14ac:dyDescent="0.35">
      <c r="A5772" t="s">
        <v>2857</v>
      </c>
      <c r="B5772" t="s">
        <v>2863</v>
      </c>
      <c r="C5772" t="s">
        <v>1425</v>
      </c>
      <c r="D5772" t="s">
        <v>2883</v>
      </c>
      <c r="E5772">
        <v>0</v>
      </c>
      <c r="F5772" s="11">
        <v>1</v>
      </c>
    </row>
    <row r="5773" spans="1:6" x14ac:dyDescent="0.35">
      <c r="A5773" t="s">
        <v>2857</v>
      </c>
      <c r="B5773" t="s">
        <v>2863</v>
      </c>
      <c r="C5773" t="s">
        <v>1425</v>
      </c>
      <c r="D5773" t="s">
        <v>2884</v>
      </c>
      <c r="E5773">
        <v>0</v>
      </c>
      <c r="F5773" s="11">
        <v>0</v>
      </c>
    </row>
    <row r="5774" spans="1:6" x14ac:dyDescent="0.35">
      <c r="A5774" t="s">
        <v>2857</v>
      </c>
      <c r="B5774" t="s">
        <v>2863</v>
      </c>
      <c r="C5774" t="s">
        <v>1425</v>
      </c>
      <c r="D5774" t="s">
        <v>2885</v>
      </c>
      <c r="E5774">
        <v>0</v>
      </c>
      <c r="F5774" s="11">
        <v>0</v>
      </c>
    </row>
    <row r="5775" spans="1:6" x14ac:dyDescent="0.35">
      <c r="A5775" t="s">
        <v>2857</v>
      </c>
      <c r="B5775" t="s">
        <v>2863</v>
      </c>
      <c r="C5775" t="s">
        <v>1425</v>
      </c>
      <c r="D5775" t="s">
        <v>2886</v>
      </c>
      <c r="E5775">
        <v>0</v>
      </c>
      <c r="F5775" s="11">
        <v>0</v>
      </c>
    </row>
    <row r="5776" spans="1:6" x14ac:dyDescent="0.35">
      <c r="A5776" t="s">
        <v>2857</v>
      </c>
      <c r="B5776" t="s">
        <v>2863</v>
      </c>
      <c r="C5776" t="s">
        <v>1425</v>
      </c>
      <c r="D5776" t="s">
        <v>2887</v>
      </c>
      <c r="E5776">
        <v>100944</v>
      </c>
      <c r="F5776" s="11">
        <v>1</v>
      </c>
    </row>
    <row r="5777" spans="1:6" x14ac:dyDescent="0.35">
      <c r="A5777" t="s">
        <v>2857</v>
      </c>
      <c r="B5777" t="s">
        <v>2863</v>
      </c>
      <c r="C5777" t="s">
        <v>1425</v>
      </c>
      <c r="D5777" t="s">
        <v>2888</v>
      </c>
      <c r="E5777">
        <v>42874</v>
      </c>
      <c r="F5777" s="11">
        <v>1</v>
      </c>
    </row>
    <row r="5778" spans="1:6" x14ac:dyDescent="0.35">
      <c r="A5778" t="s">
        <v>2857</v>
      </c>
      <c r="B5778" t="s">
        <v>2863</v>
      </c>
      <c r="C5778" t="s">
        <v>1425</v>
      </c>
      <c r="D5778" t="s">
        <v>2889</v>
      </c>
      <c r="E5778">
        <v>0</v>
      </c>
      <c r="F5778" s="11">
        <v>1</v>
      </c>
    </row>
    <row r="5779" spans="1:6" x14ac:dyDescent="0.35">
      <c r="A5779" t="s">
        <v>2857</v>
      </c>
      <c r="B5779" t="s">
        <v>2863</v>
      </c>
      <c r="C5779" t="s">
        <v>1425</v>
      </c>
      <c r="D5779" t="s">
        <v>2890</v>
      </c>
      <c r="E5779">
        <v>58070</v>
      </c>
      <c r="F5779" s="11">
        <v>0</v>
      </c>
    </row>
    <row r="5780" spans="1:6" x14ac:dyDescent="0.35">
      <c r="A5780" t="s">
        <v>2857</v>
      </c>
      <c r="B5780" t="s">
        <v>2863</v>
      </c>
      <c r="C5780" t="s">
        <v>1425</v>
      </c>
      <c r="D5780" t="s">
        <v>2891</v>
      </c>
      <c r="E5780">
        <v>0</v>
      </c>
      <c r="F5780" s="11">
        <v>1</v>
      </c>
    </row>
    <row r="5781" spans="1:6" x14ac:dyDescent="0.35">
      <c r="A5781" t="s">
        <v>2857</v>
      </c>
      <c r="B5781" t="s">
        <v>2863</v>
      </c>
      <c r="C5781" t="s">
        <v>1425</v>
      </c>
      <c r="D5781" t="s">
        <v>2892</v>
      </c>
      <c r="E5781">
        <v>0</v>
      </c>
      <c r="F5781" s="11">
        <v>1</v>
      </c>
    </row>
    <row r="5782" spans="1:6" x14ac:dyDescent="0.35">
      <c r="A5782" t="s">
        <v>2857</v>
      </c>
      <c r="B5782" t="s">
        <v>2863</v>
      </c>
      <c r="C5782" t="s">
        <v>1425</v>
      </c>
      <c r="D5782" t="s">
        <v>2893</v>
      </c>
      <c r="E5782">
        <v>0</v>
      </c>
      <c r="F5782" s="11">
        <v>1</v>
      </c>
    </row>
    <row r="5783" spans="1:6" x14ac:dyDescent="0.35">
      <c r="A5783" t="s">
        <v>2857</v>
      </c>
      <c r="B5783" t="s">
        <v>2863</v>
      </c>
      <c r="C5783" t="s">
        <v>1425</v>
      </c>
      <c r="D5783" t="s">
        <v>2894</v>
      </c>
      <c r="E5783">
        <v>0</v>
      </c>
      <c r="F5783" s="11">
        <v>0</v>
      </c>
    </row>
    <row r="5784" spans="1:6" x14ac:dyDescent="0.35">
      <c r="A5784" t="s">
        <v>2857</v>
      </c>
      <c r="B5784" t="s">
        <v>2863</v>
      </c>
      <c r="C5784" t="s">
        <v>1425</v>
      </c>
      <c r="D5784" t="s">
        <v>2895</v>
      </c>
      <c r="E5784">
        <v>430297</v>
      </c>
      <c r="F5784" s="11">
        <v>1</v>
      </c>
    </row>
    <row r="5785" spans="1:6" x14ac:dyDescent="0.35">
      <c r="A5785" t="s">
        <v>2857</v>
      </c>
      <c r="B5785" t="s">
        <v>2863</v>
      </c>
      <c r="C5785" t="s">
        <v>1425</v>
      </c>
      <c r="D5785" t="s">
        <v>2896</v>
      </c>
      <c r="E5785">
        <v>235736</v>
      </c>
      <c r="F5785" s="11">
        <v>1</v>
      </c>
    </row>
    <row r="5786" spans="1:6" x14ac:dyDescent="0.35">
      <c r="A5786" t="s">
        <v>2857</v>
      </c>
      <c r="B5786" t="s">
        <v>2863</v>
      </c>
      <c r="C5786" t="s">
        <v>1425</v>
      </c>
      <c r="D5786" t="s">
        <v>2897</v>
      </c>
      <c r="E5786">
        <v>13559</v>
      </c>
      <c r="F5786" s="11">
        <v>1</v>
      </c>
    </row>
    <row r="5787" spans="1:6" x14ac:dyDescent="0.35">
      <c r="A5787" t="s">
        <v>2857</v>
      </c>
      <c r="B5787" t="s">
        <v>2863</v>
      </c>
      <c r="C5787" t="s">
        <v>1425</v>
      </c>
      <c r="D5787" t="s">
        <v>2898</v>
      </c>
      <c r="E5787">
        <v>181092</v>
      </c>
      <c r="F5787" s="11">
        <v>1</v>
      </c>
    </row>
    <row r="5788" spans="1:6" x14ac:dyDescent="0.35">
      <c r="A5788" t="s">
        <v>2857</v>
      </c>
      <c r="B5788" t="s">
        <v>2863</v>
      </c>
      <c r="C5788" t="s">
        <v>1425</v>
      </c>
      <c r="D5788" t="s">
        <v>2899</v>
      </c>
      <c r="E5788">
        <v>4760</v>
      </c>
      <c r="F5788" s="11">
        <v>1</v>
      </c>
    </row>
    <row r="5789" spans="1:6" x14ac:dyDescent="0.35">
      <c r="A5789" t="s">
        <v>2857</v>
      </c>
      <c r="B5789" t="s">
        <v>2863</v>
      </c>
      <c r="C5789" t="s">
        <v>1425</v>
      </c>
      <c r="D5789" t="s">
        <v>2900</v>
      </c>
      <c r="E5789">
        <v>140</v>
      </c>
      <c r="F5789" s="11">
        <v>1</v>
      </c>
    </row>
    <row r="5790" spans="1:6" x14ac:dyDescent="0.35">
      <c r="A5790" t="s">
        <v>2857</v>
      </c>
      <c r="B5790" t="s">
        <v>2863</v>
      </c>
      <c r="C5790" t="s">
        <v>1425</v>
      </c>
      <c r="D5790" t="s">
        <v>2901</v>
      </c>
      <c r="E5790">
        <v>0</v>
      </c>
      <c r="F5790" s="11">
        <v>1</v>
      </c>
    </row>
    <row r="5791" spans="1:6" x14ac:dyDescent="0.35">
      <c r="A5791" t="s">
        <v>2857</v>
      </c>
      <c r="B5791" t="s">
        <v>2863</v>
      </c>
      <c r="C5791" t="s">
        <v>1425</v>
      </c>
      <c r="D5791" t="s">
        <v>2902</v>
      </c>
      <c r="E5791">
        <v>4618</v>
      </c>
      <c r="F5791" s="11">
        <v>0</v>
      </c>
    </row>
    <row r="5792" spans="1:6" x14ac:dyDescent="0.35">
      <c r="A5792" t="s">
        <v>2857</v>
      </c>
      <c r="B5792" t="s">
        <v>2863</v>
      </c>
      <c r="C5792" t="s">
        <v>1425</v>
      </c>
      <c r="D5792" t="s">
        <v>2903</v>
      </c>
      <c r="E5792">
        <v>46774</v>
      </c>
      <c r="F5792" s="11">
        <v>1</v>
      </c>
    </row>
    <row r="5793" spans="1:6" x14ac:dyDescent="0.35">
      <c r="A5793" t="s">
        <v>2857</v>
      </c>
      <c r="B5793" t="s">
        <v>2863</v>
      </c>
      <c r="C5793" t="s">
        <v>1425</v>
      </c>
      <c r="D5793" t="s">
        <v>2904</v>
      </c>
      <c r="E5793">
        <v>8266</v>
      </c>
      <c r="F5793" s="11">
        <v>1</v>
      </c>
    </row>
    <row r="5794" spans="1:6" x14ac:dyDescent="0.35">
      <c r="A5794" t="s">
        <v>2857</v>
      </c>
      <c r="B5794" t="s">
        <v>2863</v>
      </c>
      <c r="C5794" t="s">
        <v>1425</v>
      </c>
      <c r="D5794" t="s">
        <v>2905</v>
      </c>
      <c r="E5794">
        <v>4332</v>
      </c>
      <c r="F5794" s="11">
        <v>1</v>
      </c>
    </row>
    <row r="5795" spans="1:6" x14ac:dyDescent="0.35">
      <c r="A5795" t="s">
        <v>2857</v>
      </c>
      <c r="B5795" t="s">
        <v>2863</v>
      </c>
      <c r="C5795" t="s">
        <v>1425</v>
      </c>
      <c r="D5795" t="s">
        <v>2906</v>
      </c>
      <c r="E5795">
        <v>34176</v>
      </c>
      <c r="F5795" s="11">
        <v>1</v>
      </c>
    </row>
    <row r="5796" spans="1:6" x14ac:dyDescent="0.35">
      <c r="A5796" t="s">
        <v>2857</v>
      </c>
      <c r="B5796" t="s">
        <v>2863</v>
      </c>
      <c r="C5796" t="s">
        <v>1425</v>
      </c>
      <c r="D5796" t="s">
        <v>2907</v>
      </c>
      <c r="E5796">
        <v>70409</v>
      </c>
      <c r="F5796" s="11">
        <v>1</v>
      </c>
    </row>
    <row r="5797" spans="1:6" x14ac:dyDescent="0.35">
      <c r="A5797" t="s">
        <v>2857</v>
      </c>
      <c r="B5797" t="s">
        <v>2863</v>
      </c>
      <c r="C5797" t="s">
        <v>1425</v>
      </c>
      <c r="D5797" t="s">
        <v>2908</v>
      </c>
      <c r="E5797">
        <v>9711</v>
      </c>
      <c r="F5797" s="11">
        <v>1</v>
      </c>
    </row>
    <row r="5798" spans="1:6" x14ac:dyDescent="0.35">
      <c r="A5798" t="s">
        <v>2857</v>
      </c>
      <c r="B5798" t="s">
        <v>2863</v>
      </c>
      <c r="C5798" t="s">
        <v>1425</v>
      </c>
      <c r="D5798" t="s">
        <v>2909</v>
      </c>
      <c r="E5798">
        <v>3961</v>
      </c>
      <c r="F5798" s="11">
        <v>1</v>
      </c>
    </row>
    <row r="5799" spans="1:6" x14ac:dyDescent="0.35">
      <c r="A5799" t="s">
        <v>2857</v>
      </c>
      <c r="B5799" t="s">
        <v>2863</v>
      </c>
      <c r="C5799" t="s">
        <v>1425</v>
      </c>
      <c r="D5799" t="s">
        <v>2910</v>
      </c>
      <c r="E5799">
        <v>57108</v>
      </c>
      <c r="F5799" s="11">
        <v>1</v>
      </c>
    </row>
    <row r="5800" spans="1:6" x14ac:dyDescent="0.35">
      <c r="A5800" t="s">
        <v>2857</v>
      </c>
      <c r="B5800" t="s">
        <v>2863</v>
      </c>
      <c r="C5800" t="s">
        <v>1425</v>
      </c>
      <c r="D5800" t="s">
        <v>2911</v>
      </c>
      <c r="E5800">
        <v>270485</v>
      </c>
      <c r="F5800" s="11">
        <v>1</v>
      </c>
    </row>
    <row r="5801" spans="1:6" x14ac:dyDescent="0.35">
      <c r="A5801" t="s">
        <v>2857</v>
      </c>
      <c r="B5801" t="s">
        <v>2863</v>
      </c>
      <c r="C5801" t="s">
        <v>1425</v>
      </c>
      <c r="D5801" t="s">
        <v>2912</v>
      </c>
      <c r="E5801">
        <v>570059</v>
      </c>
      <c r="F5801" s="11">
        <v>1</v>
      </c>
    </row>
    <row r="5802" spans="1:6" x14ac:dyDescent="0.35">
      <c r="A5802" t="s">
        <v>2857</v>
      </c>
      <c r="B5802" t="s">
        <v>2863</v>
      </c>
      <c r="C5802" t="s">
        <v>1425</v>
      </c>
      <c r="D5802" t="s">
        <v>2913</v>
      </c>
      <c r="E5802">
        <v>0</v>
      </c>
      <c r="F5802" s="11">
        <v>0</v>
      </c>
    </row>
    <row r="5803" spans="1:6" x14ac:dyDescent="0.35">
      <c r="A5803" t="s">
        <v>2857</v>
      </c>
      <c r="B5803" t="s">
        <v>2863</v>
      </c>
      <c r="C5803" t="s">
        <v>1425</v>
      </c>
      <c r="D5803" t="s">
        <v>2914</v>
      </c>
      <c r="E5803">
        <v>0</v>
      </c>
      <c r="F5803" s="11">
        <v>0</v>
      </c>
    </row>
    <row r="5804" spans="1:6" x14ac:dyDescent="0.35">
      <c r="A5804" t="s">
        <v>2857</v>
      </c>
      <c r="B5804" t="s">
        <v>2863</v>
      </c>
      <c r="C5804" t="s">
        <v>1425</v>
      </c>
      <c r="D5804" t="s">
        <v>2915</v>
      </c>
      <c r="E5804">
        <v>804</v>
      </c>
      <c r="F5804" s="11">
        <v>1</v>
      </c>
    </row>
    <row r="5805" spans="1:6" x14ac:dyDescent="0.35">
      <c r="A5805" t="s">
        <v>2857</v>
      </c>
      <c r="B5805" t="s">
        <v>2863</v>
      </c>
      <c r="C5805" t="s">
        <v>1425</v>
      </c>
      <c r="D5805" t="s">
        <v>2916</v>
      </c>
      <c r="E5805">
        <v>83808</v>
      </c>
      <c r="F5805" s="11">
        <v>1</v>
      </c>
    </row>
    <row r="5806" spans="1:6" x14ac:dyDescent="0.35">
      <c r="A5806" t="s">
        <v>2857</v>
      </c>
      <c r="B5806" t="s">
        <v>2863</v>
      </c>
      <c r="C5806" t="s">
        <v>1425</v>
      </c>
      <c r="D5806" t="s">
        <v>2917</v>
      </c>
      <c r="E5806">
        <v>585033</v>
      </c>
      <c r="F5806" s="11">
        <v>1</v>
      </c>
    </row>
    <row r="5807" spans="1:6" x14ac:dyDescent="0.35">
      <c r="A5807" t="s">
        <v>2857</v>
      </c>
      <c r="B5807" t="s">
        <v>2866</v>
      </c>
      <c r="C5807" t="s">
        <v>1413</v>
      </c>
      <c r="D5807" t="s">
        <v>2875</v>
      </c>
      <c r="E5807">
        <v>39178</v>
      </c>
      <c r="F5807" s="11">
        <v>1</v>
      </c>
    </row>
    <row r="5808" spans="1:6" x14ac:dyDescent="0.35">
      <c r="A5808" t="s">
        <v>2857</v>
      </c>
      <c r="B5808" t="s">
        <v>2866</v>
      </c>
      <c r="C5808" t="s">
        <v>1413</v>
      </c>
      <c r="D5808" t="s">
        <v>2876</v>
      </c>
      <c r="E5808">
        <v>9766</v>
      </c>
      <c r="F5808" s="11">
        <v>1</v>
      </c>
    </row>
    <row r="5809" spans="1:6" x14ac:dyDescent="0.35">
      <c r="A5809" t="s">
        <v>2857</v>
      </c>
      <c r="B5809" t="s">
        <v>2866</v>
      </c>
      <c r="C5809" t="s">
        <v>1413</v>
      </c>
      <c r="D5809" t="s">
        <v>2877</v>
      </c>
      <c r="E5809">
        <v>3255</v>
      </c>
      <c r="F5809" s="11">
        <v>1</v>
      </c>
    </row>
    <row r="5810" spans="1:6" x14ac:dyDescent="0.35">
      <c r="A5810" t="s">
        <v>2857</v>
      </c>
      <c r="B5810" t="s">
        <v>2866</v>
      </c>
      <c r="C5810" t="s">
        <v>1413</v>
      </c>
      <c r="D5810" t="s">
        <v>2878</v>
      </c>
      <c r="E5810">
        <v>26157</v>
      </c>
      <c r="F5810" s="11">
        <v>1</v>
      </c>
    </row>
    <row r="5811" spans="1:6" x14ac:dyDescent="0.35">
      <c r="A5811" t="s">
        <v>2857</v>
      </c>
      <c r="B5811" t="s">
        <v>2866</v>
      </c>
      <c r="C5811" t="s">
        <v>1413</v>
      </c>
      <c r="D5811" t="s">
        <v>2879</v>
      </c>
      <c r="E5811">
        <v>3085</v>
      </c>
      <c r="F5811" s="11">
        <v>1</v>
      </c>
    </row>
    <row r="5812" spans="1:6" x14ac:dyDescent="0.35">
      <c r="A5812" t="s">
        <v>2857</v>
      </c>
      <c r="B5812" t="s">
        <v>2866</v>
      </c>
      <c r="C5812" t="s">
        <v>1413</v>
      </c>
      <c r="D5812" t="s">
        <v>2880</v>
      </c>
      <c r="E5812">
        <v>1503</v>
      </c>
      <c r="F5812" s="11">
        <v>1</v>
      </c>
    </row>
    <row r="5813" spans="1:6" x14ac:dyDescent="0.35">
      <c r="A5813" t="s">
        <v>2857</v>
      </c>
      <c r="B5813" t="s">
        <v>2866</v>
      </c>
      <c r="C5813" t="s">
        <v>1413</v>
      </c>
      <c r="D5813" t="s">
        <v>2881</v>
      </c>
      <c r="E5813">
        <v>20</v>
      </c>
      <c r="F5813" s="11">
        <v>1</v>
      </c>
    </row>
    <row r="5814" spans="1:6" x14ac:dyDescent="0.35">
      <c r="A5814" t="s">
        <v>2857</v>
      </c>
      <c r="B5814" t="s">
        <v>2866</v>
      </c>
      <c r="C5814" t="s">
        <v>1413</v>
      </c>
      <c r="D5814" t="s">
        <v>2882</v>
      </c>
      <c r="E5814">
        <v>1562</v>
      </c>
      <c r="F5814" s="11">
        <v>1</v>
      </c>
    </row>
    <row r="5815" spans="1:6" x14ac:dyDescent="0.35">
      <c r="A5815" t="s">
        <v>2857</v>
      </c>
      <c r="B5815" t="s">
        <v>2866</v>
      </c>
      <c r="C5815" t="s">
        <v>1413</v>
      </c>
      <c r="D5815" t="s">
        <v>2883</v>
      </c>
      <c r="E5815">
        <v>0</v>
      </c>
      <c r="F5815" s="11">
        <v>0</v>
      </c>
    </row>
    <row r="5816" spans="1:6" x14ac:dyDescent="0.35">
      <c r="A5816" t="s">
        <v>2857</v>
      </c>
      <c r="B5816" t="s">
        <v>2866</v>
      </c>
      <c r="C5816" t="s">
        <v>1413</v>
      </c>
      <c r="D5816" t="s">
        <v>2884</v>
      </c>
      <c r="E5816">
        <v>0</v>
      </c>
      <c r="F5816" s="11">
        <v>0</v>
      </c>
    </row>
    <row r="5817" spans="1:6" x14ac:dyDescent="0.35">
      <c r="A5817" t="s">
        <v>2857</v>
      </c>
      <c r="B5817" t="s">
        <v>2866</v>
      </c>
      <c r="C5817" t="s">
        <v>1413</v>
      </c>
      <c r="D5817" t="s">
        <v>2885</v>
      </c>
      <c r="E5817">
        <v>0</v>
      </c>
      <c r="F5817" s="11">
        <v>0</v>
      </c>
    </row>
    <row r="5818" spans="1:6" x14ac:dyDescent="0.35">
      <c r="A5818" t="s">
        <v>2857</v>
      </c>
      <c r="B5818" t="s">
        <v>2866</v>
      </c>
      <c r="C5818" t="s">
        <v>1413</v>
      </c>
      <c r="D5818" t="s">
        <v>2886</v>
      </c>
      <c r="E5818">
        <v>0</v>
      </c>
      <c r="F5818" s="11">
        <v>0</v>
      </c>
    </row>
    <row r="5819" spans="1:6" x14ac:dyDescent="0.35">
      <c r="A5819" t="s">
        <v>2857</v>
      </c>
      <c r="B5819" t="s">
        <v>2866</v>
      </c>
      <c r="C5819" t="s">
        <v>1413</v>
      </c>
      <c r="D5819" t="s">
        <v>2887</v>
      </c>
      <c r="E5819">
        <v>37994</v>
      </c>
      <c r="F5819" s="11">
        <v>1</v>
      </c>
    </row>
    <row r="5820" spans="1:6" x14ac:dyDescent="0.35">
      <c r="A5820" t="s">
        <v>2857</v>
      </c>
      <c r="B5820" t="s">
        <v>2866</v>
      </c>
      <c r="C5820" t="s">
        <v>1413</v>
      </c>
      <c r="D5820" t="s">
        <v>2888</v>
      </c>
      <c r="E5820">
        <v>27125</v>
      </c>
      <c r="F5820" s="11">
        <v>1</v>
      </c>
    </row>
    <row r="5821" spans="1:6" x14ac:dyDescent="0.35">
      <c r="A5821" t="s">
        <v>2857</v>
      </c>
      <c r="B5821" t="s">
        <v>2866</v>
      </c>
      <c r="C5821" t="s">
        <v>1413</v>
      </c>
      <c r="D5821" t="s">
        <v>2889</v>
      </c>
      <c r="E5821">
        <v>273</v>
      </c>
      <c r="F5821" s="11">
        <v>1</v>
      </c>
    </row>
    <row r="5822" spans="1:6" x14ac:dyDescent="0.35">
      <c r="A5822" t="s">
        <v>2857</v>
      </c>
      <c r="B5822" t="s">
        <v>2866</v>
      </c>
      <c r="C5822" t="s">
        <v>1413</v>
      </c>
      <c r="D5822" t="s">
        <v>2890</v>
      </c>
      <c r="E5822">
        <v>10596</v>
      </c>
      <c r="F5822" s="11">
        <v>1</v>
      </c>
    </row>
    <row r="5823" spans="1:6" x14ac:dyDescent="0.35">
      <c r="A5823" t="s">
        <v>2857</v>
      </c>
      <c r="B5823" t="s">
        <v>2866</v>
      </c>
      <c r="C5823" t="s">
        <v>1413</v>
      </c>
      <c r="D5823" t="s">
        <v>2891</v>
      </c>
      <c r="E5823">
        <v>0</v>
      </c>
      <c r="F5823" s="11">
        <v>0</v>
      </c>
    </row>
    <row r="5824" spans="1:6" x14ac:dyDescent="0.35">
      <c r="A5824" t="s">
        <v>2857</v>
      </c>
      <c r="B5824" t="s">
        <v>2866</v>
      </c>
      <c r="C5824" t="s">
        <v>1413</v>
      </c>
      <c r="D5824" t="s">
        <v>2892</v>
      </c>
      <c r="E5824">
        <v>0</v>
      </c>
      <c r="F5824" s="11">
        <v>0</v>
      </c>
    </row>
    <row r="5825" spans="1:6" x14ac:dyDescent="0.35">
      <c r="A5825" t="s">
        <v>2857</v>
      </c>
      <c r="B5825" t="s">
        <v>2866</v>
      </c>
      <c r="C5825" t="s">
        <v>1413</v>
      </c>
      <c r="D5825" t="s">
        <v>2893</v>
      </c>
      <c r="E5825">
        <v>0</v>
      </c>
      <c r="F5825" s="11">
        <v>0</v>
      </c>
    </row>
    <row r="5826" spans="1:6" x14ac:dyDescent="0.35">
      <c r="A5826" t="s">
        <v>2857</v>
      </c>
      <c r="B5826" t="s">
        <v>2866</v>
      </c>
      <c r="C5826" t="s">
        <v>1413</v>
      </c>
      <c r="D5826" t="s">
        <v>2894</v>
      </c>
      <c r="E5826">
        <v>0</v>
      </c>
      <c r="F5826" s="11">
        <v>0</v>
      </c>
    </row>
    <row r="5827" spans="1:6" x14ac:dyDescent="0.35">
      <c r="A5827" t="s">
        <v>2857</v>
      </c>
      <c r="B5827" t="s">
        <v>2866</v>
      </c>
      <c r="C5827" t="s">
        <v>1413</v>
      </c>
      <c r="D5827" t="s">
        <v>2895</v>
      </c>
      <c r="E5827">
        <v>570459</v>
      </c>
      <c r="F5827" s="11">
        <v>1</v>
      </c>
    </row>
    <row r="5828" spans="1:6" x14ac:dyDescent="0.35">
      <c r="A5828" t="s">
        <v>2857</v>
      </c>
      <c r="B5828" t="s">
        <v>2866</v>
      </c>
      <c r="C5828" t="s">
        <v>1413</v>
      </c>
      <c r="D5828" t="s">
        <v>2896</v>
      </c>
      <c r="E5828">
        <v>306242</v>
      </c>
      <c r="F5828" s="11">
        <v>1</v>
      </c>
    </row>
    <row r="5829" spans="1:6" x14ac:dyDescent="0.35">
      <c r="A5829" t="s">
        <v>2857</v>
      </c>
      <c r="B5829" t="s">
        <v>2866</v>
      </c>
      <c r="C5829" t="s">
        <v>1413</v>
      </c>
      <c r="D5829" t="s">
        <v>2897</v>
      </c>
      <c r="E5829">
        <v>11835</v>
      </c>
      <c r="F5829" s="11">
        <v>1</v>
      </c>
    </row>
    <row r="5830" spans="1:6" x14ac:dyDescent="0.35">
      <c r="A5830" t="s">
        <v>2857</v>
      </c>
      <c r="B5830" t="s">
        <v>2866</v>
      </c>
      <c r="C5830" t="s">
        <v>1413</v>
      </c>
      <c r="D5830" t="s">
        <v>2898</v>
      </c>
      <c r="E5830">
        <v>252922</v>
      </c>
      <c r="F5830" s="11">
        <v>1</v>
      </c>
    </row>
    <row r="5831" spans="1:6" x14ac:dyDescent="0.35">
      <c r="A5831" t="s">
        <v>2857</v>
      </c>
      <c r="B5831" t="s">
        <v>2866</v>
      </c>
      <c r="C5831" t="s">
        <v>1413</v>
      </c>
      <c r="D5831" t="s">
        <v>2899</v>
      </c>
      <c r="E5831">
        <v>2115</v>
      </c>
      <c r="F5831" s="11">
        <v>1</v>
      </c>
    </row>
    <row r="5832" spans="1:6" x14ac:dyDescent="0.35">
      <c r="A5832" t="s">
        <v>2857</v>
      </c>
      <c r="B5832" t="s">
        <v>2866</v>
      </c>
      <c r="C5832" t="s">
        <v>1413</v>
      </c>
      <c r="D5832" t="s">
        <v>2900</v>
      </c>
      <c r="E5832">
        <v>575</v>
      </c>
      <c r="F5832" s="11">
        <v>1</v>
      </c>
    </row>
    <row r="5833" spans="1:6" x14ac:dyDescent="0.35">
      <c r="A5833" t="s">
        <v>2857</v>
      </c>
      <c r="B5833" t="s">
        <v>2866</v>
      </c>
      <c r="C5833" t="s">
        <v>1413</v>
      </c>
      <c r="D5833" t="s">
        <v>2901</v>
      </c>
      <c r="E5833">
        <v>0</v>
      </c>
      <c r="F5833" s="11">
        <v>1</v>
      </c>
    </row>
    <row r="5834" spans="1:6" x14ac:dyDescent="0.35">
      <c r="A5834" t="s">
        <v>2857</v>
      </c>
      <c r="B5834" t="s">
        <v>2866</v>
      </c>
      <c r="C5834" t="s">
        <v>1413</v>
      </c>
      <c r="D5834" t="s">
        <v>2902</v>
      </c>
      <c r="E5834">
        <v>1540</v>
      </c>
      <c r="F5834" s="11">
        <v>0</v>
      </c>
    </row>
    <row r="5835" spans="1:6" x14ac:dyDescent="0.35">
      <c r="A5835" t="s">
        <v>2857</v>
      </c>
      <c r="B5835" t="s">
        <v>2866</v>
      </c>
      <c r="C5835" t="s">
        <v>1413</v>
      </c>
      <c r="D5835" t="s">
        <v>2903</v>
      </c>
      <c r="E5835">
        <v>46647</v>
      </c>
      <c r="F5835" s="11">
        <v>1</v>
      </c>
    </row>
    <row r="5836" spans="1:6" x14ac:dyDescent="0.35">
      <c r="A5836" t="s">
        <v>2857</v>
      </c>
      <c r="B5836" t="s">
        <v>2866</v>
      </c>
      <c r="C5836" t="s">
        <v>1413</v>
      </c>
      <c r="D5836" t="s">
        <v>2904</v>
      </c>
      <c r="E5836">
        <v>6158</v>
      </c>
      <c r="F5836" s="11">
        <v>1</v>
      </c>
    </row>
    <row r="5837" spans="1:6" x14ac:dyDescent="0.35">
      <c r="A5837" t="s">
        <v>2857</v>
      </c>
      <c r="B5837" t="s">
        <v>2866</v>
      </c>
      <c r="C5837" t="s">
        <v>1413</v>
      </c>
      <c r="D5837" t="s">
        <v>2905</v>
      </c>
      <c r="E5837">
        <v>3549</v>
      </c>
      <c r="F5837" s="11">
        <v>1</v>
      </c>
    </row>
    <row r="5838" spans="1:6" x14ac:dyDescent="0.35">
      <c r="A5838" t="s">
        <v>2857</v>
      </c>
      <c r="B5838" t="s">
        <v>2866</v>
      </c>
      <c r="C5838" t="s">
        <v>1413</v>
      </c>
      <c r="D5838" t="s">
        <v>2906</v>
      </c>
      <c r="E5838">
        <v>36937</v>
      </c>
      <c r="F5838" s="11">
        <v>0</v>
      </c>
    </row>
    <row r="5839" spans="1:6" x14ac:dyDescent="0.35">
      <c r="A5839" t="s">
        <v>2857</v>
      </c>
      <c r="B5839" t="s">
        <v>2866</v>
      </c>
      <c r="C5839" t="s">
        <v>1413</v>
      </c>
      <c r="D5839" t="s">
        <v>2907</v>
      </c>
      <c r="E5839">
        <v>63225</v>
      </c>
      <c r="F5839" s="11">
        <v>1</v>
      </c>
    </row>
    <row r="5840" spans="1:6" x14ac:dyDescent="0.35">
      <c r="A5840" t="s">
        <v>2857</v>
      </c>
      <c r="B5840" t="s">
        <v>2866</v>
      </c>
      <c r="C5840" t="s">
        <v>1413</v>
      </c>
      <c r="D5840" t="s">
        <v>2908</v>
      </c>
      <c r="E5840">
        <v>8917</v>
      </c>
      <c r="F5840" s="11">
        <v>1</v>
      </c>
    </row>
    <row r="5841" spans="1:6" x14ac:dyDescent="0.35">
      <c r="A5841" t="s">
        <v>2857</v>
      </c>
      <c r="B5841" t="s">
        <v>2866</v>
      </c>
      <c r="C5841" t="s">
        <v>1413</v>
      </c>
      <c r="D5841" t="s">
        <v>2909</v>
      </c>
      <c r="E5841">
        <v>3251</v>
      </c>
      <c r="F5841" s="11">
        <v>1</v>
      </c>
    </row>
    <row r="5842" spans="1:6" x14ac:dyDescent="0.35">
      <c r="A5842" t="s">
        <v>2857</v>
      </c>
      <c r="B5842" t="s">
        <v>2866</v>
      </c>
      <c r="C5842" t="s">
        <v>1413</v>
      </c>
      <c r="D5842" t="s">
        <v>2910</v>
      </c>
      <c r="E5842">
        <v>51057</v>
      </c>
      <c r="F5842" s="11">
        <v>0</v>
      </c>
    </row>
    <row r="5843" spans="1:6" x14ac:dyDescent="0.35">
      <c r="A5843" t="s">
        <v>2857</v>
      </c>
      <c r="B5843" t="s">
        <v>2866</v>
      </c>
      <c r="C5843" t="s">
        <v>1413</v>
      </c>
      <c r="D5843" t="s">
        <v>2911</v>
      </c>
      <c r="E5843">
        <v>382789</v>
      </c>
      <c r="F5843" s="11">
        <v>1</v>
      </c>
    </row>
    <row r="5844" spans="1:6" x14ac:dyDescent="0.35">
      <c r="A5844" t="s">
        <v>2857</v>
      </c>
      <c r="B5844" t="s">
        <v>2866</v>
      </c>
      <c r="C5844" t="s">
        <v>1413</v>
      </c>
      <c r="D5844" t="s">
        <v>2912</v>
      </c>
      <c r="E5844">
        <v>313995</v>
      </c>
      <c r="F5844" s="11">
        <v>1</v>
      </c>
    </row>
    <row r="5845" spans="1:6" x14ac:dyDescent="0.35">
      <c r="A5845" t="s">
        <v>2857</v>
      </c>
      <c r="B5845" t="s">
        <v>2866</v>
      </c>
      <c r="C5845" t="s">
        <v>1413</v>
      </c>
      <c r="D5845" t="s">
        <v>2913</v>
      </c>
      <c r="E5845">
        <v>0</v>
      </c>
      <c r="F5845" s="11">
        <v>0</v>
      </c>
    </row>
    <row r="5846" spans="1:6" x14ac:dyDescent="0.35">
      <c r="A5846" t="s">
        <v>2857</v>
      </c>
      <c r="B5846" t="s">
        <v>2866</v>
      </c>
      <c r="C5846" t="s">
        <v>1413</v>
      </c>
      <c r="D5846" t="s">
        <v>2914</v>
      </c>
      <c r="E5846">
        <v>0</v>
      </c>
      <c r="F5846" s="11">
        <v>0</v>
      </c>
    </row>
    <row r="5847" spans="1:6" x14ac:dyDescent="0.35">
      <c r="A5847" t="s">
        <v>2857</v>
      </c>
      <c r="B5847" t="s">
        <v>2866</v>
      </c>
      <c r="C5847" t="s">
        <v>1413</v>
      </c>
      <c r="D5847" t="s">
        <v>2915</v>
      </c>
      <c r="E5847">
        <v>874</v>
      </c>
      <c r="F5847" s="11">
        <v>1</v>
      </c>
    </row>
    <row r="5848" spans="1:6" x14ac:dyDescent="0.35">
      <c r="A5848" t="s">
        <v>2857</v>
      </c>
      <c r="B5848" t="s">
        <v>2866</v>
      </c>
      <c r="C5848" t="s">
        <v>1413</v>
      </c>
      <c r="D5848" t="s">
        <v>2916</v>
      </c>
      <c r="E5848">
        <v>64340</v>
      </c>
      <c r="F5848" s="11">
        <v>1</v>
      </c>
    </row>
    <row r="5849" spans="1:6" x14ac:dyDescent="0.35">
      <c r="A5849" t="s">
        <v>2857</v>
      </c>
      <c r="B5849" t="s">
        <v>2866</v>
      </c>
      <c r="C5849" t="s">
        <v>1413</v>
      </c>
      <c r="D5849" t="s">
        <v>2917</v>
      </c>
      <c r="E5849">
        <v>0</v>
      </c>
      <c r="F5849" s="11">
        <v>0</v>
      </c>
    </row>
    <row r="5850" spans="1:6" x14ac:dyDescent="0.35">
      <c r="A5850" t="s">
        <v>2857</v>
      </c>
      <c r="B5850" t="s">
        <v>2865</v>
      </c>
      <c r="C5850" t="s">
        <v>1536</v>
      </c>
      <c r="D5850" t="s">
        <v>2875</v>
      </c>
      <c r="E5850">
        <v>32946</v>
      </c>
      <c r="F5850" s="11">
        <v>1</v>
      </c>
    </row>
    <row r="5851" spans="1:6" x14ac:dyDescent="0.35">
      <c r="A5851" t="s">
        <v>2857</v>
      </c>
      <c r="B5851" t="s">
        <v>2865</v>
      </c>
      <c r="C5851" t="s">
        <v>1536</v>
      </c>
      <c r="D5851" t="s">
        <v>2876</v>
      </c>
      <c r="E5851">
        <v>0</v>
      </c>
      <c r="F5851" s="11">
        <v>0</v>
      </c>
    </row>
    <row r="5852" spans="1:6" x14ac:dyDescent="0.35">
      <c r="A5852" t="s">
        <v>2857</v>
      </c>
      <c r="B5852" t="s">
        <v>2865</v>
      </c>
      <c r="C5852" t="s">
        <v>1536</v>
      </c>
      <c r="D5852" t="s">
        <v>2877</v>
      </c>
      <c r="E5852">
        <v>0</v>
      </c>
      <c r="F5852" s="11">
        <v>0</v>
      </c>
    </row>
    <row r="5853" spans="1:6" x14ac:dyDescent="0.35">
      <c r="A5853" t="s">
        <v>2857</v>
      </c>
      <c r="B5853" t="s">
        <v>2865</v>
      </c>
      <c r="C5853" t="s">
        <v>1536</v>
      </c>
      <c r="D5853" t="s">
        <v>2878</v>
      </c>
      <c r="E5853">
        <v>0</v>
      </c>
      <c r="F5853" s="11">
        <v>0</v>
      </c>
    </row>
    <row r="5854" spans="1:6" x14ac:dyDescent="0.35">
      <c r="A5854" t="s">
        <v>2857</v>
      </c>
      <c r="B5854" t="s">
        <v>2865</v>
      </c>
      <c r="C5854" t="s">
        <v>1536</v>
      </c>
      <c r="D5854" t="s">
        <v>2879</v>
      </c>
      <c r="E5854">
        <v>2913</v>
      </c>
      <c r="F5854" s="11">
        <v>1</v>
      </c>
    </row>
    <row r="5855" spans="1:6" x14ac:dyDescent="0.35">
      <c r="A5855" t="s">
        <v>2857</v>
      </c>
      <c r="B5855" t="s">
        <v>2865</v>
      </c>
      <c r="C5855" t="s">
        <v>1536</v>
      </c>
      <c r="D5855" t="s">
        <v>2880</v>
      </c>
      <c r="E5855">
        <v>0</v>
      </c>
      <c r="F5855" s="11">
        <v>0</v>
      </c>
    </row>
    <row r="5856" spans="1:6" x14ac:dyDescent="0.35">
      <c r="A5856" t="s">
        <v>2857</v>
      </c>
      <c r="B5856" t="s">
        <v>2865</v>
      </c>
      <c r="C5856" t="s">
        <v>1536</v>
      </c>
      <c r="D5856" t="s">
        <v>2881</v>
      </c>
      <c r="E5856">
        <v>0</v>
      </c>
      <c r="F5856" s="11">
        <v>0</v>
      </c>
    </row>
    <row r="5857" spans="1:6" x14ac:dyDescent="0.35">
      <c r="A5857" t="s">
        <v>2857</v>
      </c>
      <c r="B5857" t="s">
        <v>2865</v>
      </c>
      <c r="C5857" t="s">
        <v>1536</v>
      </c>
      <c r="D5857" t="s">
        <v>2882</v>
      </c>
      <c r="E5857">
        <v>0</v>
      </c>
      <c r="F5857" s="11">
        <v>0</v>
      </c>
    </row>
    <row r="5858" spans="1:6" x14ac:dyDescent="0.35">
      <c r="A5858" t="s">
        <v>2857</v>
      </c>
      <c r="B5858" t="s">
        <v>2865</v>
      </c>
      <c r="C5858" t="s">
        <v>1536</v>
      </c>
      <c r="D5858" t="s">
        <v>2883</v>
      </c>
      <c r="E5858">
        <v>0</v>
      </c>
      <c r="F5858" s="11">
        <v>0</v>
      </c>
    </row>
    <row r="5859" spans="1:6" x14ac:dyDescent="0.35">
      <c r="A5859" t="s">
        <v>2857</v>
      </c>
      <c r="B5859" t="s">
        <v>2865</v>
      </c>
      <c r="C5859" t="s">
        <v>1536</v>
      </c>
      <c r="D5859" t="s">
        <v>2884</v>
      </c>
      <c r="E5859">
        <v>0</v>
      </c>
      <c r="F5859" s="11">
        <v>0</v>
      </c>
    </row>
    <row r="5860" spans="1:6" x14ac:dyDescent="0.35">
      <c r="A5860" t="s">
        <v>2857</v>
      </c>
      <c r="B5860" t="s">
        <v>2865</v>
      </c>
      <c r="C5860" t="s">
        <v>1536</v>
      </c>
      <c r="D5860" t="s">
        <v>2885</v>
      </c>
      <c r="E5860">
        <v>0</v>
      </c>
      <c r="F5860" s="11">
        <v>0</v>
      </c>
    </row>
    <row r="5861" spans="1:6" x14ac:dyDescent="0.35">
      <c r="A5861" t="s">
        <v>2857</v>
      </c>
      <c r="B5861" t="s">
        <v>2865</v>
      </c>
      <c r="C5861" t="s">
        <v>1536</v>
      </c>
      <c r="D5861" t="s">
        <v>2886</v>
      </c>
      <c r="E5861">
        <v>0</v>
      </c>
      <c r="F5861" s="11">
        <v>0</v>
      </c>
    </row>
    <row r="5862" spans="1:6" x14ac:dyDescent="0.35">
      <c r="A5862" t="s">
        <v>2857</v>
      </c>
      <c r="B5862" t="s">
        <v>2865</v>
      </c>
      <c r="C5862" t="s">
        <v>1536</v>
      </c>
      <c r="D5862" t="s">
        <v>2887</v>
      </c>
      <c r="E5862">
        <v>25908</v>
      </c>
      <c r="F5862" s="11">
        <v>1</v>
      </c>
    </row>
    <row r="5863" spans="1:6" x14ac:dyDescent="0.35">
      <c r="A5863" t="s">
        <v>2857</v>
      </c>
      <c r="B5863" t="s">
        <v>2865</v>
      </c>
      <c r="C5863" t="s">
        <v>1536</v>
      </c>
      <c r="D5863" t="s">
        <v>2888</v>
      </c>
      <c r="E5863">
        <v>0</v>
      </c>
      <c r="F5863" s="11">
        <v>1</v>
      </c>
    </row>
    <row r="5864" spans="1:6" x14ac:dyDescent="0.35">
      <c r="A5864" t="s">
        <v>2857</v>
      </c>
      <c r="B5864" t="s">
        <v>2865</v>
      </c>
      <c r="C5864" t="s">
        <v>1536</v>
      </c>
      <c r="D5864" t="s">
        <v>2889</v>
      </c>
      <c r="E5864">
        <v>0</v>
      </c>
      <c r="F5864" s="11">
        <v>0</v>
      </c>
    </row>
    <row r="5865" spans="1:6" x14ac:dyDescent="0.35">
      <c r="A5865" t="s">
        <v>2857</v>
      </c>
      <c r="B5865" t="s">
        <v>2865</v>
      </c>
      <c r="C5865" t="s">
        <v>1536</v>
      </c>
      <c r="D5865" t="s">
        <v>2890</v>
      </c>
      <c r="E5865">
        <v>0</v>
      </c>
      <c r="F5865" s="11">
        <v>0</v>
      </c>
    </row>
    <row r="5866" spans="1:6" x14ac:dyDescent="0.35">
      <c r="A5866" t="s">
        <v>2857</v>
      </c>
      <c r="B5866" t="s">
        <v>2865</v>
      </c>
      <c r="C5866" t="s">
        <v>1536</v>
      </c>
      <c r="D5866" t="s">
        <v>2891</v>
      </c>
      <c r="E5866">
        <v>0</v>
      </c>
      <c r="F5866" s="11">
        <v>0</v>
      </c>
    </row>
    <row r="5867" spans="1:6" x14ac:dyDescent="0.35">
      <c r="A5867" t="s">
        <v>2857</v>
      </c>
      <c r="B5867" t="s">
        <v>2865</v>
      </c>
      <c r="C5867" t="s">
        <v>1536</v>
      </c>
      <c r="D5867" t="s">
        <v>2892</v>
      </c>
      <c r="E5867">
        <v>0</v>
      </c>
      <c r="F5867" s="11">
        <v>0</v>
      </c>
    </row>
    <row r="5868" spans="1:6" x14ac:dyDescent="0.35">
      <c r="A5868" t="s">
        <v>2857</v>
      </c>
      <c r="B5868" t="s">
        <v>2865</v>
      </c>
      <c r="C5868" t="s">
        <v>1536</v>
      </c>
      <c r="D5868" t="s">
        <v>2893</v>
      </c>
      <c r="E5868">
        <v>0</v>
      </c>
      <c r="F5868" s="11">
        <v>0</v>
      </c>
    </row>
    <row r="5869" spans="1:6" x14ac:dyDescent="0.35">
      <c r="A5869" t="s">
        <v>2857</v>
      </c>
      <c r="B5869" t="s">
        <v>2865</v>
      </c>
      <c r="C5869" t="s">
        <v>1536</v>
      </c>
      <c r="D5869" t="s">
        <v>2894</v>
      </c>
      <c r="E5869">
        <v>0</v>
      </c>
      <c r="F5869" s="11">
        <v>0</v>
      </c>
    </row>
    <row r="5870" spans="1:6" x14ac:dyDescent="0.35">
      <c r="A5870" t="s">
        <v>2857</v>
      </c>
      <c r="B5870" t="s">
        <v>2865</v>
      </c>
      <c r="C5870" t="s">
        <v>1536</v>
      </c>
      <c r="D5870" t="s">
        <v>2895</v>
      </c>
      <c r="E5870">
        <v>387057</v>
      </c>
      <c r="F5870" s="11">
        <v>1</v>
      </c>
    </row>
    <row r="5871" spans="1:6" x14ac:dyDescent="0.35">
      <c r="A5871" t="s">
        <v>2857</v>
      </c>
      <c r="B5871" t="s">
        <v>2865</v>
      </c>
      <c r="C5871" t="s">
        <v>1536</v>
      </c>
      <c r="D5871" t="s">
        <v>2896</v>
      </c>
      <c r="E5871">
        <v>0</v>
      </c>
      <c r="F5871" s="11">
        <v>1</v>
      </c>
    </row>
    <row r="5872" spans="1:6" x14ac:dyDescent="0.35">
      <c r="A5872" t="s">
        <v>2857</v>
      </c>
      <c r="B5872" t="s">
        <v>2865</v>
      </c>
      <c r="C5872" t="s">
        <v>1536</v>
      </c>
      <c r="D5872" t="s">
        <v>2897</v>
      </c>
      <c r="E5872">
        <v>0</v>
      </c>
      <c r="F5872" s="11">
        <v>0</v>
      </c>
    </row>
    <row r="5873" spans="1:6" x14ac:dyDescent="0.35">
      <c r="A5873" t="s">
        <v>2857</v>
      </c>
      <c r="B5873" t="s">
        <v>2865</v>
      </c>
      <c r="C5873" t="s">
        <v>1536</v>
      </c>
      <c r="D5873" t="s">
        <v>2898</v>
      </c>
      <c r="E5873">
        <v>256262</v>
      </c>
      <c r="F5873" s="11">
        <v>0</v>
      </c>
    </row>
    <row r="5874" spans="1:6" x14ac:dyDescent="0.35">
      <c r="A5874" t="s">
        <v>2857</v>
      </c>
      <c r="B5874" t="s">
        <v>2865</v>
      </c>
      <c r="C5874" t="s">
        <v>1536</v>
      </c>
      <c r="D5874" t="s">
        <v>2899</v>
      </c>
      <c r="E5874">
        <v>8294</v>
      </c>
      <c r="F5874" s="11">
        <v>1</v>
      </c>
    </row>
    <row r="5875" spans="1:6" x14ac:dyDescent="0.35">
      <c r="A5875" t="s">
        <v>2857</v>
      </c>
      <c r="B5875" t="s">
        <v>2865</v>
      </c>
      <c r="C5875" t="s">
        <v>1536</v>
      </c>
      <c r="D5875" t="s">
        <v>2900</v>
      </c>
      <c r="E5875">
        <v>0</v>
      </c>
      <c r="F5875" s="11">
        <v>1</v>
      </c>
    </row>
    <row r="5876" spans="1:6" x14ac:dyDescent="0.35">
      <c r="A5876" t="s">
        <v>2857</v>
      </c>
      <c r="B5876" t="s">
        <v>2865</v>
      </c>
      <c r="C5876" t="s">
        <v>1536</v>
      </c>
      <c r="D5876" t="s">
        <v>2901</v>
      </c>
      <c r="E5876">
        <v>0</v>
      </c>
      <c r="F5876" s="11">
        <v>0</v>
      </c>
    </row>
    <row r="5877" spans="1:6" x14ac:dyDescent="0.35">
      <c r="A5877" t="s">
        <v>2857</v>
      </c>
      <c r="B5877" t="s">
        <v>2865</v>
      </c>
      <c r="C5877" t="s">
        <v>1536</v>
      </c>
      <c r="D5877" t="s">
        <v>2902</v>
      </c>
      <c r="E5877">
        <v>7766</v>
      </c>
      <c r="F5877" s="11">
        <v>0</v>
      </c>
    </row>
    <row r="5878" spans="1:6" x14ac:dyDescent="0.35">
      <c r="A5878" t="s">
        <v>2857</v>
      </c>
      <c r="B5878" t="s">
        <v>2865</v>
      </c>
      <c r="C5878" t="s">
        <v>1536</v>
      </c>
      <c r="D5878" t="s">
        <v>2903</v>
      </c>
      <c r="E5878">
        <v>178193</v>
      </c>
      <c r="F5878" s="11">
        <v>1</v>
      </c>
    </row>
    <row r="5879" spans="1:6" x14ac:dyDescent="0.35">
      <c r="A5879" t="s">
        <v>2857</v>
      </c>
      <c r="B5879" t="s">
        <v>2865</v>
      </c>
      <c r="C5879" t="s">
        <v>1536</v>
      </c>
      <c r="D5879" t="s">
        <v>2904</v>
      </c>
      <c r="E5879">
        <v>0</v>
      </c>
      <c r="F5879" s="11">
        <v>0</v>
      </c>
    </row>
    <row r="5880" spans="1:6" x14ac:dyDescent="0.35">
      <c r="A5880" t="s">
        <v>2857</v>
      </c>
      <c r="B5880" t="s">
        <v>2865</v>
      </c>
      <c r="C5880" t="s">
        <v>1536</v>
      </c>
      <c r="D5880" t="s">
        <v>2905</v>
      </c>
      <c r="E5880">
        <v>0</v>
      </c>
      <c r="F5880" s="11">
        <v>0</v>
      </c>
    </row>
    <row r="5881" spans="1:6" x14ac:dyDescent="0.35">
      <c r="A5881" t="s">
        <v>2857</v>
      </c>
      <c r="B5881" t="s">
        <v>2865</v>
      </c>
      <c r="C5881" t="s">
        <v>1536</v>
      </c>
      <c r="D5881" t="s">
        <v>2906</v>
      </c>
      <c r="E5881">
        <v>0</v>
      </c>
      <c r="F5881" s="11">
        <v>0</v>
      </c>
    </row>
    <row r="5882" spans="1:6" x14ac:dyDescent="0.35">
      <c r="A5882" t="s">
        <v>2857</v>
      </c>
      <c r="B5882" t="s">
        <v>2865</v>
      </c>
      <c r="C5882" t="s">
        <v>1536</v>
      </c>
      <c r="D5882" t="s">
        <v>2907</v>
      </c>
      <c r="E5882">
        <v>101854</v>
      </c>
      <c r="F5882" s="11">
        <v>1</v>
      </c>
    </row>
    <row r="5883" spans="1:6" x14ac:dyDescent="0.35">
      <c r="A5883" t="s">
        <v>2857</v>
      </c>
      <c r="B5883" t="s">
        <v>2865</v>
      </c>
      <c r="C5883" t="s">
        <v>1536</v>
      </c>
      <c r="D5883" t="s">
        <v>2908</v>
      </c>
      <c r="E5883">
        <v>0</v>
      </c>
      <c r="F5883" s="11">
        <v>0</v>
      </c>
    </row>
    <row r="5884" spans="1:6" x14ac:dyDescent="0.35">
      <c r="A5884" t="s">
        <v>2857</v>
      </c>
      <c r="B5884" t="s">
        <v>2865</v>
      </c>
      <c r="C5884" t="s">
        <v>1536</v>
      </c>
      <c r="D5884" t="s">
        <v>2909</v>
      </c>
      <c r="E5884">
        <v>0</v>
      </c>
      <c r="F5884" s="11">
        <v>0</v>
      </c>
    </row>
    <row r="5885" spans="1:6" x14ac:dyDescent="0.35">
      <c r="A5885" t="s">
        <v>2857</v>
      </c>
      <c r="B5885" t="s">
        <v>2865</v>
      </c>
      <c r="C5885" t="s">
        <v>1536</v>
      </c>
      <c r="D5885" t="s">
        <v>2910</v>
      </c>
      <c r="E5885">
        <v>0</v>
      </c>
      <c r="F5885" s="11">
        <v>0</v>
      </c>
    </row>
    <row r="5886" spans="1:6" x14ac:dyDescent="0.35">
      <c r="A5886" t="s">
        <v>2857</v>
      </c>
      <c r="B5886" t="s">
        <v>2865</v>
      </c>
      <c r="C5886" t="s">
        <v>1536</v>
      </c>
      <c r="D5886" t="s">
        <v>2911</v>
      </c>
      <c r="E5886">
        <v>329923</v>
      </c>
      <c r="F5886" s="11">
        <v>1</v>
      </c>
    </row>
    <row r="5887" spans="1:6" x14ac:dyDescent="0.35">
      <c r="A5887" t="s">
        <v>2857</v>
      </c>
      <c r="B5887" t="s">
        <v>2865</v>
      </c>
      <c r="C5887" t="s">
        <v>1536</v>
      </c>
      <c r="D5887" t="s">
        <v>2912</v>
      </c>
      <c r="E5887">
        <v>0</v>
      </c>
      <c r="F5887" s="11">
        <v>0</v>
      </c>
    </row>
    <row r="5888" spans="1:6" x14ac:dyDescent="0.35">
      <c r="A5888" t="s">
        <v>2857</v>
      </c>
      <c r="B5888" t="s">
        <v>2865</v>
      </c>
      <c r="C5888" t="s">
        <v>1536</v>
      </c>
      <c r="D5888" t="s">
        <v>2913</v>
      </c>
      <c r="E5888">
        <v>0</v>
      </c>
      <c r="F5888" s="11">
        <v>0</v>
      </c>
    </row>
    <row r="5889" spans="1:6" x14ac:dyDescent="0.35">
      <c r="A5889" t="s">
        <v>2857</v>
      </c>
      <c r="B5889" t="s">
        <v>2865</v>
      </c>
      <c r="C5889" t="s">
        <v>1536</v>
      </c>
      <c r="D5889" t="s">
        <v>2914</v>
      </c>
      <c r="E5889">
        <v>0</v>
      </c>
      <c r="F5889" s="11">
        <v>0</v>
      </c>
    </row>
    <row r="5890" spans="1:6" x14ac:dyDescent="0.35">
      <c r="A5890" t="s">
        <v>2857</v>
      </c>
      <c r="B5890" t="s">
        <v>2865</v>
      </c>
      <c r="C5890" t="s">
        <v>1536</v>
      </c>
      <c r="D5890" t="s">
        <v>2915</v>
      </c>
      <c r="E5890">
        <v>0</v>
      </c>
      <c r="F5890" s="11">
        <v>1</v>
      </c>
    </row>
    <row r="5891" spans="1:6" x14ac:dyDescent="0.35">
      <c r="A5891" t="s">
        <v>2857</v>
      </c>
      <c r="B5891" t="s">
        <v>2865</v>
      </c>
      <c r="C5891" t="s">
        <v>1536</v>
      </c>
      <c r="D5891" t="s">
        <v>2916</v>
      </c>
      <c r="E5891">
        <v>24780.92</v>
      </c>
      <c r="F5891" s="11">
        <v>1</v>
      </c>
    </row>
    <row r="5892" spans="1:6" x14ac:dyDescent="0.35">
      <c r="A5892" t="s">
        <v>2857</v>
      </c>
      <c r="B5892" t="s">
        <v>2865</v>
      </c>
      <c r="C5892" t="s">
        <v>1536</v>
      </c>
      <c r="D5892" t="s">
        <v>2917</v>
      </c>
      <c r="E5892">
        <v>222641</v>
      </c>
      <c r="F5892" s="11">
        <v>1</v>
      </c>
    </row>
    <row r="5893" spans="1:6" x14ac:dyDescent="0.35">
      <c r="A5893" t="s">
        <v>2857</v>
      </c>
      <c r="B5893" t="s">
        <v>2865</v>
      </c>
      <c r="C5893" t="s">
        <v>1411</v>
      </c>
      <c r="D5893" t="s">
        <v>2875</v>
      </c>
      <c r="E5893">
        <v>6856</v>
      </c>
      <c r="F5893" s="11">
        <v>1</v>
      </c>
    </row>
    <row r="5894" spans="1:6" x14ac:dyDescent="0.35">
      <c r="A5894" t="s">
        <v>2857</v>
      </c>
      <c r="B5894" t="s">
        <v>2865</v>
      </c>
      <c r="C5894" t="s">
        <v>1411</v>
      </c>
      <c r="D5894" t="s">
        <v>2876</v>
      </c>
      <c r="E5894">
        <v>0</v>
      </c>
      <c r="F5894" s="11">
        <v>0</v>
      </c>
    </row>
    <row r="5895" spans="1:6" x14ac:dyDescent="0.35">
      <c r="A5895" t="s">
        <v>2857</v>
      </c>
      <c r="B5895" t="s">
        <v>2865</v>
      </c>
      <c r="C5895" t="s">
        <v>1411</v>
      </c>
      <c r="D5895" t="s">
        <v>2877</v>
      </c>
      <c r="E5895">
        <v>0</v>
      </c>
      <c r="F5895" s="11">
        <v>0</v>
      </c>
    </row>
    <row r="5896" spans="1:6" x14ac:dyDescent="0.35">
      <c r="A5896" t="s">
        <v>2857</v>
      </c>
      <c r="B5896" t="s">
        <v>2865</v>
      </c>
      <c r="C5896" t="s">
        <v>1411</v>
      </c>
      <c r="D5896" t="s">
        <v>2878</v>
      </c>
      <c r="E5896">
        <v>0</v>
      </c>
      <c r="F5896" s="11">
        <v>0</v>
      </c>
    </row>
    <row r="5897" spans="1:6" x14ac:dyDescent="0.35">
      <c r="A5897" t="s">
        <v>2857</v>
      </c>
      <c r="B5897" t="s">
        <v>2865</v>
      </c>
      <c r="C5897" t="s">
        <v>1411</v>
      </c>
      <c r="D5897" t="s">
        <v>2879</v>
      </c>
      <c r="E5897">
        <v>1541</v>
      </c>
      <c r="F5897" s="11">
        <v>1</v>
      </c>
    </row>
    <row r="5898" spans="1:6" x14ac:dyDescent="0.35">
      <c r="A5898" t="s">
        <v>2857</v>
      </c>
      <c r="B5898" t="s">
        <v>2865</v>
      </c>
      <c r="C5898" t="s">
        <v>1411</v>
      </c>
      <c r="D5898" t="s">
        <v>2880</v>
      </c>
      <c r="E5898">
        <v>0</v>
      </c>
      <c r="F5898" s="11">
        <v>1</v>
      </c>
    </row>
    <row r="5899" spans="1:6" x14ac:dyDescent="0.35">
      <c r="A5899" t="s">
        <v>2857</v>
      </c>
      <c r="B5899" t="s">
        <v>2865</v>
      </c>
      <c r="C5899" t="s">
        <v>1411</v>
      </c>
      <c r="D5899" t="s">
        <v>2881</v>
      </c>
      <c r="E5899">
        <v>0</v>
      </c>
      <c r="F5899" s="11">
        <v>0</v>
      </c>
    </row>
    <row r="5900" spans="1:6" x14ac:dyDescent="0.35">
      <c r="A5900" t="s">
        <v>2857</v>
      </c>
      <c r="B5900" t="s">
        <v>2865</v>
      </c>
      <c r="C5900" t="s">
        <v>1411</v>
      </c>
      <c r="D5900" t="s">
        <v>2882</v>
      </c>
      <c r="E5900">
        <v>0</v>
      </c>
      <c r="F5900" s="11">
        <v>0</v>
      </c>
    </row>
    <row r="5901" spans="1:6" x14ac:dyDescent="0.35">
      <c r="A5901" t="s">
        <v>2857</v>
      </c>
      <c r="B5901" t="s">
        <v>2865</v>
      </c>
      <c r="C5901" t="s">
        <v>1411</v>
      </c>
      <c r="D5901" t="s">
        <v>2883</v>
      </c>
      <c r="E5901">
        <v>0</v>
      </c>
      <c r="F5901" s="11">
        <v>0</v>
      </c>
    </row>
    <row r="5902" spans="1:6" x14ac:dyDescent="0.35">
      <c r="A5902" t="s">
        <v>2857</v>
      </c>
      <c r="B5902" t="s">
        <v>2865</v>
      </c>
      <c r="C5902" t="s">
        <v>1411</v>
      </c>
      <c r="D5902" t="s">
        <v>2884</v>
      </c>
      <c r="E5902">
        <v>0</v>
      </c>
      <c r="F5902" s="11">
        <v>0</v>
      </c>
    </row>
    <row r="5903" spans="1:6" x14ac:dyDescent="0.35">
      <c r="A5903" t="s">
        <v>2857</v>
      </c>
      <c r="B5903" t="s">
        <v>2865</v>
      </c>
      <c r="C5903" t="s">
        <v>1411</v>
      </c>
      <c r="D5903" t="s">
        <v>2885</v>
      </c>
      <c r="E5903">
        <v>0</v>
      </c>
      <c r="F5903" s="11">
        <v>0</v>
      </c>
    </row>
    <row r="5904" spans="1:6" x14ac:dyDescent="0.35">
      <c r="A5904" t="s">
        <v>2857</v>
      </c>
      <c r="B5904" t="s">
        <v>2865</v>
      </c>
      <c r="C5904" t="s">
        <v>1411</v>
      </c>
      <c r="D5904" t="s">
        <v>2886</v>
      </c>
      <c r="E5904">
        <v>0</v>
      </c>
      <c r="F5904" s="11">
        <v>0</v>
      </c>
    </row>
    <row r="5905" spans="1:6" x14ac:dyDescent="0.35">
      <c r="A5905" t="s">
        <v>2857</v>
      </c>
      <c r="B5905" t="s">
        <v>2865</v>
      </c>
      <c r="C5905" t="s">
        <v>1411</v>
      </c>
      <c r="D5905" t="s">
        <v>2887</v>
      </c>
      <c r="E5905">
        <v>44483</v>
      </c>
      <c r="F5905" s="11">
        <v>1</v>
      </c>
    </row>
    <row r="5906" spans="1:6" x14ac:dyDescent="0.35">
      <c r="A5906" t="s">
        <v>2857</v>
      </c>
      <c r="B5906" t="s">
        <v>2865</v>
      </c>
      <c r="C5906" t="s">
        <v>1411</v>
      </c>
      <c r="D5906" t="s">
        <v>2888</v>
      </c>
      <c r="E5906">
        <v>27423</v>
      </c>
      <c r="F5906" s="11">
        <v>1</v>
      </c>
    </row>
    <row r="5907" spans="1:6" x14ac:dyDescent="0.35">
      <c r="A5907" t="s">
        <v>2857</v>
      </c>
      <c r="B5907" t="s">
        <v>2865</v>
      </c>
      <c r="C5907" t="s">
        <v>1411</v>
      </c>
      <c r="D5907" t="s">
        <v>2889</v>
      </c>
      <c r="E5907">
        <v>0</v>
      </c>
      <c r="F5907" s="11">
        <v>0</v>
      </c>
    </row>
    <row r="5908" spans="1:6" x14ac:dyDescent="0.35">
      <c r="A5908" t="s">
        <v>2857</v>
      </c>
      <c r="B5908" t="s">
        <v>2865</v>
      </c>
      <c r="C5908" t="s">
        <v>1411</v>
      </c>
      <c r="D5908" t="s">
        <v>2890</v>
      </c>
      <c r="E5908">
        <v>17060</v>
      </c>
      <c r="F5908" s="11">
        <v>1</v>
      </c>
    </row>
    <row r="5909" spans="1:6" x14ac:dyDescent="0.35">
      <c r="A5909" t="s">
        <v>2857</v>
      </c>
      <c r="B5909" t="s">
        <v>2865</v>
      </c>
      <c r="C5909" t="s">
        <v>1411</v>
      </c>
      <c r="D5909" t="s">
        <v>2891</v>
      </c>
      <c r="E5909">
        <v>0</v>
      </c>
      <c r="F5909" s="11">
        <v>0</v>
      </c>
    </row>
    <row r="5910" spans="1:6" x14ac:dyDescent="0.35">
      <c r="A5910" t="s">
        <v>2857</v>
      </c>
      <c r="B5910" t="s">
        <v>2865</v>
      </c>
      <c r="C5910" t="s">
        <v>1411</v>
      </c>
      <c r="D5910" t="s">
        <v>2892</v>
      </c>
      <c r="E5910">
        <v>0</v>
      </c>
      <c r="F5910" s="11">
        <v>0</v>
      </c>
    </row>
    <row r="5911" spans="1:6" x14ac:dyDescent="0.35">
      <c r="A5911" t="s">
        <v>2857</v>
      </c>
      <c r="B5911" t="s">
        <v>2865</v>
      </c>
      <c r="C5911" t="s">
        <v>1411</v>
      </c>
      <c r="D5911" t="s">
        <v>2893</v>
      </c>
      <c r="E5911">
        <v>0</v>
      </c>
      <c r="F5911" s="11">
        <v>0</v>
      </c>
    </row>
    <row r="5912" spans="1:6" x14ac:dyDescent="0.35">
      <c r="A5912" t="s">
        <v>2857</v>
      </c>
      <c r="B5912" t="s">
        <v>2865</v>
      </c>
      <c r="C5912" t="s">
        <v>1411</v>
      </c>
      <c r="D5912" t="s">
        <v>2894</v>
      </c>
      <c r="E5912">
        <v>0</v>
      </c>
      <c r="F5912" s="11">
        <v>0</v>
      </c>
    </row>
    <row r="5913" spans="1:6" x14ac:dyDescent="0.35">
      <c r="A5913" t="s">
        <v>2857</v>
      </c>
      <c r="B5913" t="s">
        <v>2865</v>
      </c>
      <c r="C5913" t="s">
        <v>1411</v>
      </c>
      <c r="D5913" t="s">
        <v>2895</v>
      </c>
      <c r="E5913">
        <v>189234</v>
      </c>
      <c r="F5913" s="11">
        <v>1</v>
      </c>
    </row>
    <row r="5914" spans="1:6" x14ac:dyDescent="0.35">
      <c r="A5914" t="s">
        <v>2857</v>
      </c>
      <c r="B5914" t="s">
        <v>2865</v>
      </c>
      <c r="C5914" t="s">
        <v>1411</v>
      </c>
      <c r="D5914" t="s">
        <v>2896</v>
      </c>
      <c r="E5914">
        <v>81559</v>
      </c>
      <c r="F5914" s="11">
        <v>0</v>
      </c>
    </row>
    <row r="5915" spans="1:6" x14ac:dyDescent="0.35">
      <c r="A5915" t="s">
        <v>2857</v>
      </c>
      <c r="B5915" t="s">
        <v>2865</v>
      </c>
      <c r="C5915" t="s">
        <v>1411</v>
      </c>
      <c r="D5915" t="s">
        <v>2897</v>
      </c>
      <c r="E5915">
        <v>0</v>
      </c>
      <c r="F5915" s="11">
        <v>0</v>
      </c>
    </row>
    <row r="5916" spans="1:6" x14ac:dyDescent="0.35">
      <c r="A5916" t="s">
        <v>2857</v>
      </c>
      <c r="B5916" t="s">
        <v>2865</v>
      </c>
      <c r="C5916" t="s">
        <v>1411</v>
      </c>
      <c r="D5916" t="s">
        <v>2898</v>
      </c>
      <c r="E5916">
        <v>107675</v>
      </c>
      <c r="F5916" s="11">
        <v>0</v>
      </c>
    </row>
    <row r="5917" spans="1:6" x14ac:dyDescent="0.35">
      <c r="A5917" t="s">
        <v>2857</v>
      </c>
      <c r="B5917" t="s">
        <v>2865</v>
      </c>
      <c r="C5917" t="s">
        <v>1411</v>
      </c>
      <c r="D5917" t="s">
        <v>2899</v>
      </c>
      <c r="E5917">
        <v>4447</v>
      </c>
      <c r="F5917" s="11">
        <v>1</v>
      </c>
    </row>
    <row r="5918" spans="1:6" x14ac:dyDescent="0.35">
      <c r="A5918" t="s">
        <v>2857</v>
      </c>
      <c r="B5918" t="s">
        <v>2865</v>
      </c>
      <c r="C5918" t="s">
        <v>1411</v>
      </c>
      <c r="D5918" t="s">
        <v>2900</v>
      </c>
      <c r="E5918">
        <v>229</v>
      </c>
      <c r="F5918" s="11">
        <v>0</v>
      </c>
    </row>
    <row r="5919" spans="1:6" x14ac:dyDescent="0.35">
      <c r="A5919" t="s">
        <v>2857</v>
      </c>
      <c r="B5919" t="s">
        <v>2865</v>
      </c>
      <c r="C5919" t="s">
        <v>1411</v>
      </c>
      <c r="D5919" t="s">
        <v>2901</v>
      </c>
      <c r="E5919">
        <v>0</v>
      </c>
      <c r="F5919" s="11">
        <v>0</v>
      </c>
    </row>
    <row r="5920" spans="1:6" x14ac:dyDescent="0.35">
      <c r="A5920" t="s">
        <v>2857</v>
      </c>
      <c r="B5920" t="s">
        <v>2865</v>
      </c>
      <c r="C5920" t="s">
        <v>1411</v>
      </c>
      <c r="D5920" t="s">
        <v>2902</v>
      </c>
      <c r="E5920">
        <v>4218</v>
      </c>
      <c r="F5920" s="11">
        <v>0</v>
      </c>
    </row>
    <row r="5921" spans="1:6" x14ac:dyDescent="0.35">
      <c r="A5921" t="s">
        <v>2857</v>
      </c>
      <c r="B5921" t="s">
        <v>2865</v>
      </c>
      <c r="C5921" t="s">
        <v>1411</v>
      </c>
      <c r="D5921" t="s">
        <v>2903</v>
      </c>
      <c r="E5921">
        <v>20340</v>
      </c>
      <c r="F5921" s="11">
        <v>1</v>
      </c>
    </row>
    <row r="5922" spans="1:6" x14ac:dyDescent="0.35">
      <c r="A5922" t="s">
        <v>2857</v>
      </c>
      <c r="B5922" t="s">
        <v>2865</v>
      </c>
      <c r="C5922" t="s">
        <v>1411</v>
      </c>
      <c r="D5922" t="s">
        <v>2904</v>
      </c>
      <c r="E5922">
        <v>0</v>
      </c>
      <c r="F5922" s="11">
        <v>0</v>
      </c>
    </row>
    <row r="5923" spans="1:6" x14ac:dyDescent="0.35">
      <c r="A5923" t="s">
        <v>2857</v>
      </c>
      <c r="B5923" t="s">
        <v>2865</v>
      </c>
      <c r="C5923" t="s">
        <v>1411</v>
      </c>
      <c r="D5923" t="s">
        <v>2905</v>
      </c>
      <c r="E5923">
        <v>0</v>
      </c>
      <c r="F5923" s="11">
        <v>0</v>
      </c>
    </row>
    <row r="5924" spans="1:6" x14ac:dyDescent="0.35">
      <c r="A5924" t="s">
        <v>2857</v>
      </c>
      <c r="B5924" t="s">
        <v>2865</v>
      </c>
      <c r="C5924" t="s">
        <v>1411</v>
      </c>
      <c r="D5924" t="s">
        <v>2906</v>
      </c>
      <c r="E5924">
        <v>0</v>
      </c>
      <c r="F5924" s="11">
        <v>0</v>
      </c>
    </row>
    <row r="5925" spans="1:6" x14ac:dyDescent="0.35">
      <c r="A5925" t="s">
        <v>2857</v>
      </c>
      <c r="B5925" t="s">
        <v>2865</v>
      </c>
      <c r="C5925" t="s">
        <v>1411</v>
      </c>
      <c r="D5925" t="s">
        <v>2907</v>
      </c>
      <c r="E5925">
        <v>34298</v>
      </c>
      <c r="F5925" s="11">
        <v>1</v>
      </c>
    </row>
    <row r="5926" spans="1:6" x14ac:dyDescent="0.35">
      <c r="A5926" t="s">
        <v>2857</v>
      </c>
      <c r="B5926" t="s">
        <v>2865</v>
      </c>
      <c r="C5926" t="s">
        <v>1411</v>
      </c>
      <c r="D5926" t="s">
        <v>2908</v>
      </c>
      <c r="E5926">
        <v>0</v>
      </c>
      <c r="F5926" s="11">
        <v>0</v>
      </c>
    </row>
    <row r="5927" spans="1:6" x14ac:dyDescent="0.35">
      <c r="A5927" t="s">
        <v>2857</v>
      </c>
      <c r="B5927" t="s">
        <v>2865</v>
      </c>
      <c r="C5927" t="s">
        <v>1411</v>
      </c>
      <c r="D5927" t="s">
        <v>2909</v>
      </c>
      <c r="E5927">
        <v>0</v>
      </c>
      <c r="F5927" s="11">
        <v>0</v>
      </c>
    </row>
    <row r="5928" spans="1:6" x14ac:dyDescent="0.35">
      <c r="A5928" t="s">
        <v>2857</v>
      </c>
      <c r="B5928" t="s">
        <v>2865</v>
      </c>
      <c r="C5928" t="s">
        <v>1411</v>
      </c>
      <c r="D5928" t="s">
        <v>2910</v>
      </c>
      <c r="E5928">
        <v>0</v>
      </c>
      <c r="F5928" s="11">
        <v>0</v>
      </c>
    </row>
    <row r="5929" spans="1:6" x14ac:dyDescent="0.35">
      <c r="A5929" t="s">
        <v>2857</v>
      </c>
      <c r="B5929" t="s">
        <v>2865</v>
      </c>
      <c r="C5929" t="s">
        <v>1411</v>
      </c>
      <c r="D5929" t="s">
        <v>2911</v>
      </c>
      <c r="E5929">
        <v>207284</v>
      </c>
      <c r="F5929" s="11">
        <v>1</v>
      </c>
    </row>
    <row r="5930" spans="1:6" x14ac:dyDescent="0.35">
      <c r="A5930" t="s">
        <v>2857</v>
      </c>
      <c r="B5930" t="s">
        <v>2865</v>
      </c>
      <c r="C5930" t="s">
        <v>1411</v>
      </c>
      <c r="D5930" t="s">
        <v>2912</v>
      </c>
      <c r="E5930">
        <v>0</v>
      </c>
      <c r="F5930" s="11">
        <v>0</v>
      </c>
    </row>
    <row r="5931" spans="1:6" x14ac:dyDescent="0.35">
      <c r="A5931" t="s">
        <v>2857</v>
      </c>
      <c r="B5931" t="s">
        <v>2865</v>
      </c>
      <c r="C5931" t="s">
        <v>1411</v>
      </c>
      <c r="D5931" t="s">
        <v>2913</v>
      </c>
      <c r="E5931">
        <v>0</v>
      </c>
      <c r="F5931" s="11">
        <v>1</v>
      </c>
    </row>
    <row r="5932" spans="1:6" x14ac:dyDescent="0.35">
      <c r="A5932" t="s">
        <v>2857</v>
      </c>
      <c r="B5932" t="s">
        <v>2865</v>
      </c>
      <c r="C5932" t="s">
        <v>1411</v>
      </c>
      <c r="D5932" t="s">
        <v>2914</v>
      </c>
      <c r="E5932">
        <v>0</v>
      </c>
      <c r="F5932" s="11">
        <v>0</v>
      </c>
    </row>
    <row r="5933" spans="1:6" x14ac:dyDescent="0.35">
      <c r="A5933" t="s">
        <v>2857</v>
      </c>
      <c r="B5933" t="s">
        <v>2865</v>
      </c>
      <c r="C5933" t="s">
        <v>1411</v>
      </c>
      <c r="D5933" t="s">
        <v>2915</v>
      </c>
      <c r="E5933">
        <v>1580</v>
      </c>
      <c r="F5933" s="11">
        <v>1</v>
      </c>
    </row>
    <row r="5934" spans="1:6" x14ac:dyDescent="0.35">
      <c r="A5934" t="s">
        <v>2857</v>
      </c>
      <c r="B5934" t="s">
        <v>2865</v>
      </c>
      <c r="C5934" t="s">
        <v>1411</v>
      </c>
      <c r="D5934" t="s">
        <v>2916</v>
      </c>
      <c r="E5934">
        <v>54500</v>
      </c>
      <c r="F5934" s="11">
        <v>1</v>
      </c>
    </row>
    <row r="5935" spans="1:6" x14ac:dyDescent="0.35">
      <c r="A5935" t="s">
        <v>2857</v>
      </c>
      <c r="B5935" t="s">
        <v>2865</v>
      </c>
      <c r="C5935" t="s">
        <v>1411</v>
      </c>
      <c r="D5935" t="s">
        <v>2917</v>
      </c>
      <c r="E5935">
        <v>0</v>
      </c>
      <c r="F5935" s="11">
        <v>0</v>
      </c>
    </row>
    <row r="5936" spans="1:6" x14ac:dyDescent="0.35">
      <c r="A5936" t="s">
        <v>2857</v>
      </c>
      <c r="B5936" t="s">
        <v>2863</v>
      </c>
      <c r="C5936" t="s">
        <v>1523</v>
      </c>
      <c r="D5936" t="s">
        <v>2875</v>
      </c>
      <c r="E5936">
        <v>26054</v>
      </c>
      <c r="F5936" s="11">
        <v>0</v>
      </c>
    </row>
    <row r="5937" spans="1:6" x14ac:dyDescent="0.35">
      <c r="A5937" t="s">
        <v>2857</v>
      </c>
      <c r="B5937" t="s">
        <v>2863</v>
      </c>
      <c r="C5937" t="s">
        <v>1523</v>
      </c>
      <c r="D5937" t="s">
        <v>2876</v>
      </c>
      <c r="E5937">
        <v>0</v>
      </c>
      <c r="F5937" s="11">
        <v>0</v>
      </c>
    </row>
    <row r="5938" spans="1:6" x14ac:dyDescent="0.35">
      <c r="A5938" t="s">
        <v>2857</v>
      </c>
      <c r="B5938" t="s">
        <v>2863</v>
      </c>
      <c r="C5938" t="s">
        <v>1523</v>
      </c>
      <c r="D5938" t="s">
        <v>2877</v>
      </c>
      <c r="E5938">
        <v>0</v>
      </c>
      <c r="F5938" s="11">
        <v>0</v>
      </c>
    </row>
    <row r="5939" spans="1:6" x14ac:dyDescent="0.35">
      <c r="A5939" t="s">
        <v>2857</v>
      </c>
      <c r="B5939" t="s">
        <v>2863</v>
      </c>
      <c r="C5939" t="s">
        <v>1523</v>
      </c>
      <c r="D5939" t="s">
        <v>2878</v>
      </c>
      <c r="E5939">
        <v>16144</v>
      </c>
      <c r="F5939" s="11">
        <v>0</v>
      </c>
    </row>
    <row r="5940" spans="1:6" x14ac:dyDescent="0.35">
      <c r="A5940" t="s">
        <v>2857</v>
      </c>
      <c r="B5940" t="s">
        <v>2863</v>
      </c>
      <c r="C5940" t="s">
        <v>1523</v>
      </c>
      <c r="D5940" t="s">
        <v>2879</v>
      </c>
      <c r="E5940">
        <v>3637</v>
      </c>
      <c r="F5940" s="11">
        <v>0</v>
      </c>
    </row>
    <row r="5941" spans="1:6" x14ac:dyDescent="0.35">
      <c r="A5941" t="s">
        <v>2857</v>
      </c>
      <c r="B5941" t="s">
        <v>2863</v>
      </c>
      <c r="C5941" t="s">
        <v>1523</v>
      </c>
      <c r="D5941" t="s">
        <v>2880</v>
      </c>
      <c r="E5941">
        <v>1375</v>
      </c>
      <c r="F5941" s="11">
        <v>0</v>
      </c>
    </row>
    <row r="5942" spans="1:6" x14ac:dyDescent="0.35">
      <c r="A5942" t="s">
        <v>2857</v>
      </c>
      <c r="B5942" t="s">
        <v>2863</v>
      </c>
      <c r="C5942" t="s">
        <v>1523</v>
      </c>
      <c r="D5942" t="s">
        <v>2881</v>
      </c>
      <c r="E5942">
        <v>0</v>
      </c>
      <c r="F5942" s="11">
        <v>0</v>
      </c>
    </row>
    <row r="5943" spans="1:6" x14ac:dyDescent="0.35">
      <c r="A5943" t="s">
        <v>2857</v>
      </c>
      <c r="B5943" t="s">
        <v>2863</v>
      </c>
      <c r="C5943" t="s">
        <v>1523</v>
      </c>
      <c r="D5943" t="s">
        <v>2882</v>
      </c>
      <c r="E5943">
        <v>2262</v>
      </c>
      <c r="F5943" s="11">
        <v>0</v>
      </c>
    </row>
    <row r="5944" spans="1:6" x14ac:dyDescent="0.35">
      <c r="A5944" t="s">
        <v>2857</v>
      </c>
      <c r="B5944" t="s">
        <v>2863</v>
      </c>
      <c r="C5944" t="s">
        <v>1523</v>
      </c>
      <c r="D5944" t="s">
        <v>2883</v>
      </c>
      <c r="E5944">
        <v>0</v>
      </c>
      <c r="F5944" s="11">
        <v>0</v>
      </c>
    </row>
    <row r="5945" spans="1:6" x14ac:dyDescent="0.35">
      <c r="A5945" t="s">
        <v>2857</v>
      </c>
      <c r="B5945" t="s">
        <v>2863</v>
      </c>
      <c r="C5945" t="s">
        <v>1523</v>
      </c>
      <c r="D5945" t="s">
        <v>2884</v>
      </c>
      <c r="E5945">
        <v>0</v>
      </c>
      <c r="F5945" s="11">
        <v>0</v>
      </c>
    </row>
    <row r="5946" spans="1:6" x14ac:dyDescent="0.35">
      <c r="A5946" t="s">
        <v>2857</v>
      </c>
      <c r="B5946" t="s">
        <v>2863</v>
      </c>
      <c r="C5946" t="s">
        <v>1523</v>
      </c>
      <c r="D5946" t="s">
        <v>2885</v>
      </c>
      <c r="E5946">
        <v>0</v>
      </c>
      <c r="F5946" s="11">
        <v>0</v>
      </c>
    </row>
    <row r="5947" spans="1:6" x14ac:dyDescent="0.35">
      <c r="A5947" t="s">
        <v>2857</v>
      </c>
      <c r="B5947" t="s">
        <v>2863</v>
      </c>
      <c r="C5947" t="s">
        <v>1523</v>
      </c>
      <c r="D5947" t="s">
        <v>2886</v>
      </c>
      <c r="E5947">
        <v>0</v>
      </c>
      <c r="F5947" s="11">
        <v>0</v>
      </c>
    </row>
    <row r="5948" spans="1:6" x14ac:dyDescent="0.35">
      <c r="A5948" t="s">
        <v>2857</v>
      </c>
      <c r="B5948" t="s">
        <v>2863</v>
      </c>
      <c r="C5948" t="s">
        <v>1523</v>
      </c>
      <c r="D5948" t="s">
        <v>2887</v>
      </c>
      <c r="E5948">
        <v>39731</v>
      </c>
      <c r="F5948" s="11">
        <v>0</v>
      </c>
    </row>
    <row r="5949" spans="1:6" x14ac:dyDescent="0.35">
      <c r="A5949" t="s">
        <v>2857</v>
      </c>
      <c r="B5949" t="s">
        <v>2863</v>
      </c>
      <c r="C5949" t="s">
        <v>1523</v>
      </c>
      <c r="D5949" t="s">
        <v>2888</v>
      </c>
      <c r="E5949">
        <v>22286</v>
      </c>
      <c r="F5949" s="11">
        <v>0</v>
      </c>
    </row>
    <row r="5950" spans="1:6" x14ac:dyDescent="0.35">
      <c r="A5950" t="s">
        <v>2857</v>
      </c>
      <c r="B5950" t="s">
        <v>2863</v>
      </c>
      <c r="C5950" t="s">
        <v>1523</v>
      </c>
      <c r="D5950" t="s">
        <v>2889</v>
      </c>
      <c r="E5950">
        <v>0</v>
      </c>
      <c r="F5950" s="11">
        <v>0</v>
      </c>
    </row>
    <row r="5951" spans="1:6" x14ac:dyDescent="0.35">
      <c r="A5951" t="s">
        <v>2857</v>
      </c>
      <c r="B5951" t="s">
        <v>2863</v>
      </c>
      <c r="C5951" t="s">
        <v>1523</v>
      </c>
      <c r="D5951" t="s">
        <v>2890</v>
      </c>
      <c r="E5951">
        <v>17445</v>
      </c>
      <c r="F5951" s="11">
        <v>0</v>
      </c>
    </row>
    <row r="5952" spans="1:6" x14ac:dyDescent="0.35">
      <c r="A5952" t="s">
        <v>2857</v>
      </c>
      <c r="B5952" t="s">
        <v>2863</v>
      </c>
      <c r="C5952" t="s">
        <v>1523</v>
      </c>
      <c r="D5952" t="s">
        <v>2891</v>
      </c>
      <c r="E5952">
        <v>0</v>
      </c>
      <c r="F5952" s="11">
        <v>0</v>
      </c>
    </row>
    <row r="5953" spans="1:6" x14ac:dyDescent="0.35">
      <c r="A5953" t="s">
        <v>2857</v>
      </c>
      <c r="B5953" t="s">
        <v>2863</v>
      </c>
      <c r="C5953" t="s">
        <v>1523</v>
      </c>
      <c r="D5953" t="s">
        <v>2892</v>
      </c>
      <c r="E5953">
        <v>0</v>
      </c>
      <c r="F5953" s="11">
        <v>0</v>
      </c>
    </row>
    <row r="5954" spans="1:6" x14ac:dyDescent="0.35">
      <c r="A5954" t="s">
        <v>2857</v>
      </c>
      <c r="B5954" t="s">
        <v>2863</v>
      </c>
      <c r="C5954" t="s">
        <v>1523</v>
      </c>
      <c r="D5954" t="s">
        <v>2893</v>
      </c>
      <c r="E5954">
        <v>0</v>
      </c>
      <c r="F5954" s="11">
        <v>0</v>
      </c>
    </row>
    <row r="5955" spans="1:6" x14ac:dyDescent="0.35">
      <c r="A5955" t="s">
        <v>2857</v>
      </c>
      <c r="B5955" t="s">
        <v>2863</v>
      </c>
      <c r="C5955" t="s">
        <v>1523</v>
      </c>
      <c r="D5955" t="s">
        <v>2894</v>
      </c>
      <c r="E5955">
        <v>0</v>
      </c>
      <c r="F5955" s="11">
        <v>0</v>
      </c>
    </row>
    <row r="5956" spans="1:6" x14ac:dyDescent="0.35">
      <c r="A5956" t="s">
        <v>2857</v>
      </c>
      <c r="B5956" t="s">
        <v>2863</v>
      </c>
      <c r="C5956" t="s">
        <v>1523</v>
      </c>
      <c r="D5956" t="s">
        <v>2895</v>
      </c>
      <c r="E5956">
        <v>272962</v>
      </c>
      <c r="F5956" s="11">
        <v>0</v>
      </c>
    </row>
    <row r="5957" spans="1:6" x14ac:dyDescent="0.35">
      <c r="A5957" t="s">
        <v>2857</v>
      </c>
      <c r="B5957" t="s">
        <v>2863</v>
      </c>
      <c r="C5957" t="s">
        <v>1523</v>
      </c>
      <c r="D5957" t="s">
        <v>2896</v>
      </c>
      <c r="E5957">
        <v>0</v>
      </c>
      <c r="F5957" s="11">
        <v>0</v>
      </c>
    </row>
    <row r="5958" spans="1:6" x14ac:dyDescent="0.35">
      <c r="A5958" t="s">
        <v>2857</v>
      </c>
      <c r="B5958" t="s">
        <v>2863</v>
      </c>
      <c r="C5958" t="s">
        <v>1523</v>
      </c>
      <c r="D5958" t="s">
        <v>2897</v>
      </c>
      <c r="E5958">
        <v>0</v>
      </c>
      <c r="F5958" s="11">
        <v>0</v>
      </c>
    </row>
    <row r="5959" spans="1:6" x14ac:dyDescent="0.35">
      <c r="A5959" t="s">
        <v>2857</v>
      </c>
      <c r="B5959" t="s">
        <v>2863</v>
      </c>
      <c r="C5959" t="s">
        <v>1523</v>
      </c>
      <c r="D5959" t="s">
        <v>2898</v>
      </c>
      <c r="E5959">
        <v>151175</v>
      </c>
      <c r="F5959" s="11">
        <v>0</v>
      </c>
    </row>
    <row r="5960" spans="1:6" x14ac:dyDescent="0.35">
      <c r="A5960" t="s">
        <v>2857</v>
      </c>
      <c r="B5960" t="s">
        <v>2863</v>
      </c>
      <c r="C5960" t="s">
        <v>1523</v>
      </c>
      <c r="D5960" t="s">
        <v>2899</v>
      </c>
      <c r="E5960">
        <v>5961</v>
      </c>
      <c r="F5960" s="11">
        <v>0</v>
      </c>
    </row>
    <row r="5961" spans="1:6" x14ac:dyDescent="0.35">
      <c r="A5961" t="s">
        <v>2857</v>
      </c>
      <c r="B5961" t="s">
        <v>2863</v>
      </c>
      <c r="C5961" t="s">
        <v>1523</v>
      </c>
      <c r="D5961" t="s">
        <v>2900</v>
      </c>
      <c r="E5961">
        <v>0</v>
      </c>
      <c r="F5961" s="11">
        <v>0</v>
      </c>
    </row>
    <row r="5962" spans="1:6" x14ac:dyDescent="0.35">
      <c r="A5962" t="s">
        <v>2857</v>
      </c>
      <c r="B5962" t="s">
        <v>2863</v>
      </c>
      <c r="C5962" t="s">
        <v>1523</v>
      </c>
      <c r="D5962" t="s">
        <v>2901</v>
      </c>
      <c r="E5962">
        <v>0</v>
      </c>
      <c r="F5962" s="11">
        <v>0</v>
      </c>
    </row>
    <row r="5963" spans="1:6" x14ac:dyDescent="0.35">
      <c r="A5963" t="s">
        <v>2857</v>
      </c>
      <c r="B5963" t="s">
        <v>2863</v>
      </c>
      <c r="C5963" t="s">
        <v>1523</v>
      </c>
      <c r="D5963" t="s">
        <v>2902</v>
      </c>
      <c r="E5963">
        <v>5541</v>
      </c>
      <c r="F5963" s="11">
        <v>0</v>
      </c>
    </row>
    <row r="5964" spans="1:6" x14ac:dyDescent="0.35">
      <c r="A5964" t="s">
        <v>2857</v>
      </c>
      <c r="B5964" t="s">
        <v>2863</v>
      </c>
      <c r="C5964" t="s">
        <v>1523</v>
      </c>
      <c r="D5964" t="s">
        <v>2903</v>
      </c>
      <c r="E5964">
        <v>34886</v>
      </c>
      <c r="F5964" s="11">
        <v>0</v>
      </c>
    </row>
    <row r="5965" spans="1:6" x14ac:dyDescent="0.35">
      <c r="A5965" t="s">
        <v>2857</v>
      </c>
      <c r="B5965" t="s">
        <v>2863</v>
      </c>
      <c r="C5965" t="s">
        <v>1523</v>
      </c>
      <c r="D5965" t="s">
        <v>2904</v>
      </c>
      <c r="E5965">
        <v>0</v>
      </c>
      <c r="F5965" s="11">
        <v>0</v>
      </c>
    </row>
    <row r="5966" spans="1:6" x14ac:dyDescent="0.35">
      <c r="A5966" t="s">
        <v>2857</v>
      </c>
      <c r="B5966" t="s">
        <v>2863</v>
      </c>
      <c r="C5966" t="s">
        <v>1523</v>
      </c>
      <c r="D5966" t="s">
        <v>2905</v>
      </c>
      <c r="E5966">
        <v>0</v>
      </c>
      <c r="F5966" s="11">
        <v>0</v>
      </c>
    </row>
    <row r="5967" spans="1:6" x14ac:dyDescent="0.35">
      <c r="A5967" t="s">
        <v>2857</v>
      </c>
      <c r="B5967" t="s">
        <v>2863</v>
      </c>
      <c r="C5967" t="s">
        <v>1523</v>
      </c>
      <c r="D5967" t="s">
        <v>2906</v>
      </c>
      <c r="E5967">
        <v>0</v>
      </c>
      <c r="F5967" s="11">
        <v>0</v>
      </c>
    </row>
    <row r="5968" spans="1:6" x14ac:dyDescent="0.35">
      <c r="A5968" t="s">
        <v>2857</v>
      </c>
      <c r="B5968" t="s">
        <v>2863</v>
      </c>
      <c r="C5968" t="s">
        <v>1523</v>
      </c>
      <c r="D5968" t="s">
        <v>2907</v>
      </c>
      <c r="E5968">
        <v>66857</v>
      </c>
      <c r="F5968" s="11">
        <v>0</v>
      </c>
    </row>
    <row r="5969" spans="1:6" x14ac:dyDescent="0.35">
      <c r="A5969" t="s">
        <v>2857</v>
      </c>
      <c r="B5969" t="s">
        <v>2863</v>
      </c>
      <c r="C5969" t="s">
        <v>1523</v>
      </c>
      <c r="D5969" t="s">
        <v>2908</v>
      </c>
      <c r="E5969">
        <v>0</v>
      </c>
      <c r="F5969" s="11">
        <v>0</v>
      </c>
    </row>
    <row r="5970" spans="1:6" x14ac:dyDescent="0.35">
      <c r="A5970" t="s">
        <v>2857</v>
      </c>
      <c r="B5970" t="s">
        <v>2863</v>
      </c>
      <c r="C5970" t="s">
        <v>1523</v>
      </c>
      <c r="D5970" t="s">
        <v>2909</v>
      </c>
      <c r="E5970">
        <v>0</v>
      </c>
      <c r="F5970" s="11">
        <v>0</v>
      </c>
    </row>
    <row r="5971" spans="1:6" x14ac:dyDescent="0.35">
      <c r="A5971" t="s">
        <v>2857</v>
      </c>
      <c r="B5971" t="s">
        <v>2863</v>
      </c>
      <c r="C5971" t="s">
        <v>1523</v>
      </c>
      <c r="D5971" t="s">
        <v>2910</v>
      </c>
      <c r="E5971">
        <v>0</v>
      </c>
      <c r="F5971" s="11">
        <v>0</v>
      </c>
    </row>
    <row r="5972" spans="1:6" x14ac:dyDescent="0.35">
      <c r="A5972" t="s">
        <v>2857</v>
      </c>
      <c r="B5972" t="s">
        <v>2863</v>
      </c>
      <c r="C5972" t="s">
        <v>1523</v>
      </c>
      <c r="D5972" t="s">
        <v>2911</v>
      </c>
      <c r="E5972">
        <v>326275</v>
      </c>
      <c r="F5972" s="11">
        <v>0</v>
      </c>
    </row>
    <row r="5973" spans="1:6" x14ac:dyDescent="0.35">
      <c r="A5973" t="s">
        <v>2857</v>
      </c>
      <c r="B5973" t="s">
        <v>2863</v>
      </c>
      <c r="C5973" t="s">
        <v>1523</v>
      </c>
      <c r="D5973" t="s">
        <v>2912</v>
      </c>
      <c r="E5973">
        <v>0</v>
      </c>
      <c r="F5973" s="11">
        <v>0</v>
      </c>
    </row>
    <row r="5974" spans="1:6" x14ac:dyDescent="0.35">
      <c r="A5974" t="s">
        <v>2857</v>
      </c>
      <c r="B5974" t="s">
        <v>2863</v>
      </c>
      <c r="C5974" t="s">
        <v>1523</v>
      </c>
      <c r="D5974" t="s">
        <v>2913</v>
      </c>
      <c r="E5974">
        <v>0</v>
      </c>
      <c r="F5974" s="11">
        <v>0</v>
      </c>
    </row>
    <row r="5975" spans="1:6" x14ac:dyDescent="0.35">
      <c r="A5975" t="s">
        <v>2857</v>
      </c>
      <c r="B5975" t="s">
        <v>2863</v>
      </c>
      <c r="C5975" t="s">
        <v>1523</v>
      </c>
      <c r="D5975" t="s">
        <v>2914</v>
      </c>
      <c r="E5975">
        <v>0</v>
      </c>
      <c r="F5975" s="11">
        <v>0</v>
      </c>
    </row>
    <row r="5976" spans="1:6" x14ac:dyDescent="0.35">
      <c r="A5976" t="s">
        <v>2857</v>
      </c>
      <c r="B5976" t="s">
        <v>2863</v>
      </c>
      <c r="C5976" t="s">
        <v>1523</v>
      </c>
      <c r="D5976" t="s">
        <v>2915</v>
      </c>
      <c r="E5976">
        <v>0</v>
      </c>
      <c r="F5976" s="11">
        <v>0</v>
      </c>
    </row>
    <row r="5977" spans="1:6" x14ac:dyDescent="0.35">
      <c r="A5977" t="s">
        <v>2857</v>
      </c>
      <c r="B5977" t="s">
        <v>2863</v>
      </c>
      <c r="C5977" t="s">
        <v>1523</v>
      </c>
      <c r="D5977" t="s">
        <v>2916</v>
      </c>
      <c r="E5977">
        <v>39044</v>
      </c>
      <c r="F5977" s="11">
        <v>0</v>
      </c>
    </row>
    <row r="5978" spans="1:6" x14ac:dyDescent="0.35">
      <c r="A5978" t="s">
        <v>2857</v>
      </c>
      <c r="B5978" t="s">
        <v>2863</v>
      </c>
      <c r="C5978" t="s">
        <v>1523</v>
      </c>
      <c r="D5978" t="s">
        <v>2917</v>
      </c>
      <c r="E5978">
        <v>0</v>
      </c>
      <c r="F5978" s="11">
        <v>0</v>
      </c>
    </row>
    <row r="5979" spans="1:6" x14ac:dyDescent="0.35">
      <c r="A5979" t="s">
        <v>2857</v>
      </c>
      <c r="B5979" t="s">
        <v>2863</v>
      </c>
      <c r="C5979" t="s">
        <v>1469</v>
      </c>
      <c r="D5979" t="s">
        <v>2875</v>
      </c>
      <c r="E5979">
        <v>73903</v>
      </c>
      <c r="F5979" s="11">
        <v>1</v>
      </c>
    </row>
    <row r="5980" spans="1:6" x14ac:dyDescent="0.35">
      <c r="A5980" t="s">
        <v>2857</v>
      </c>
      <c r="B5980" t="s">
        <v>2863</v>
      </c>
      <c r="C5980" t="s">
        <v>1469</v>
      </c>
      <c r="D5980" t="s">
        <v>2876</v>
      </c>
      <c r="E5980">
        <v>20074</v>
      </c>
      <c r="F5980" s="11">
        <v>1</v>
      </c>
    </row>
    <row r="5981" spans="1:6" x14ac:dyDescent="0.35">
      <c r="A5981" t="s">
        <v>2857</v>
      </c>
      <c r="B5981" t="s">
        <v>2863</v>
      </c>
      <c r="C5981" t="s">
        <v>1469</v>
      </c>
      <c r="D5981" t="s">
        <v>2877</v>
      </c>
      <c r="E5981">
        <v>3698</v>
      </c>
      <c r="F5981" s="11">
        <v>1</v>
      </c>
    </row>
    <row r="5982" spans="1:6" x14ac:dyDescent="0.35">
      <c r="A5982" t="s">
        <v>2857</v>
      </c>
      <c r="B5982" t="s">
        <v>2863</v>
      </c>
      <c r="C5982" t="s">
        <v>1469</v>
      </c>
      <c r="D5982" t="s">
        <v>2878</v>
      </c>
      <c r="E5982">
        <v>50131</v>
      </c>
      <c r="F5982" s="11">
        <v>1</v>
      </c>
    </row>
    <row r="5983" spans="1:6" x14ac:dyDescent="0.35">
      <c r="A5983" t="s">
        <v>2857</v>
      </c>
      <c r="B5983" t="s">
        <v>2863</v>
      </c>
      <c r="C5983" t="s">
        <v>1469</v>
      </c>
      <c r="D5983" t="s">
        <v>2879</v>
      </c>
      <c r="E5983">
        <v>8781</v>
      </c>
      <c r="F5983" s="11">
        <v>1</v>
      </c>
    </row>
    <row r="5984" spans="1:6" x14ac:dyDescent="0.35">
      <c r="A5984" t="s">
        <v>2857</v>
      </c>
      <c r="B5984" t="s">
        <v>2863</v>
      </c>
      <c r="C5984" t="s">
        <v>1469</v>
      </c>
      <c r="D5984" t="s">
        <v>2880</v>
      </c>
      <c r="E5984">
        <v>0</v>
      </c>
      <c r="F5984" s="11">
        <v>0</v>
      </c>
    </row>
    <row r="5985" spans="1:6" x14ac:dyDescent="0.35">
      <c r="A5985" t="s">
        <v>2857</v>
      </c>
      <c r="B5985" t="s">
        <v>2863</v>
      </c>
      <c r="C5985" t="s">
        <v>1469</v>
      </c>
      <c r="D5985" t="s">
        <v>2881</v>
      </c>
      <c r="E5985">
        <v>0</v>
      </c>
      <c r="F5985" s="11">
        <v>0</v>
      </c>
    </row>
    <row r="5986" spans="1:6" x14ac:dyDescent="0.35">
      <c r="A5986" t="s">
        <v>2857</v>
      </c>
      <c r="B5986" t="s">
        <v>2863</v>
      </c>
      <c r="C5986" t="s">
        <v>1469</v>
      </c>
      <c r="D5986" t="s">
        <v>2882</v>
      </c>
      <c r="E5986">
        <v>0</v>
      </c>
      <c r="F5986" s="11">
        <v>0</v>
      </c>
    </row>
    <row r="5987" spans="1:6" x14ac:dyDescent="0.35">
      <c r="A5987" t="s">
        <v>2857</v>
      </c>
      <c r="B5987" t="s">
        <v>2863</v>
      </c>
      <c r="C5987" t="s">
        <v>1469</v>
      </c>
      <c r="D5987" t="s">
        <v>2883</v>
      </c>
      <c r="E5987">
        <v>0</v>
      </c>
      <c r="F5987" s="11">
        <v>0</v>
      </c>
    </row>
    <row r="5988" spans="1:6" x14ac:dyDescent="0.35">
      <c r="A5988" t="s">
        <v>2857</v>
      </c>
      <c r="B5988" t="s">
        <v>2863</v>
      </c>
      <c r="C5988" t="s">
        <v>1469</v>
      </c>
      <c r="D5988" t="s">
        <v>2884</v>
      </c>
      <c r="E5988">
        <v>0</v>
      </c>
      <c r="F5988" s="11">
        <v>0</v>
      </c>
    </row>
    <row r="5989" spans="1:6" x14ac:dyDescent="0.35">
      <c r="A5989" t="s">
        <v>2857</v>
      </c>
      <c r="B5989" t="s">
        <v>2863</v>
      </c>
      <c r="C5989" t="s">
        <v>1469</v>
      </c>
      <c r="D5989" t="s">
        <v>2885</v>
      </c>
      <c r="E5989">
        <v>0</v>
      </c>
      <c r="F5989" s="11">
        <v>0</v>
      </c>
    </row>
    <row r="5990" spans="1:6" x14ac:dyDescent="0.35">
      <c r="A5990" t="s">
        <v>2857</v>
      </c>
      <c r="B5990" t="s">
        <v>2863</v>
      </c>
      <c r="C5990" t="s">
        <v>1469</v>
      </c>
      <c r="D5990" t="s">
        <v>2886</v>
      </c>
      <c r="E5990">
        <v>0</v>
      </c>
      <c r="F5990" s="11">
        <v>0</v>
      </c>
    </row>
    <row r="5991" spans="1:6" x14ac:dyDescent="0.35">
      <c r="A5991" t="s">
        <v>2857</v>
      </c>
      <c r="B5991" t="s">
        <v>2863</v>
      </c>
      <c r="C5991" t="s">
        <v>1469</v>
      </c>
      <c r="D5991" t="s">
        <v>2887</v>
      </c>
      <c r="E5991">
        <v>44251</v>
      </c>
      <c r="F5991" s="11">
        <v>1</v>
      </c>
    </row>
    <row r="5992" spans="1:6" x14ac:dyDescent="0.35">
      <c r="A5992" t="s">
        <v>2857</v>
      </c>
      <c r="B5992" t="s">
        <v>2863</v>
      </c>
      <c r="C5992" t="s">
        <v>1469</v>
      </c>
      <c r="D5992" t="s">
        <v>2888</v>
      </c>
      <c r="E5992">
        <v>22418</v>
      </c>
      <c r="F5992" s="11">
        <v>1</v>
      </c>
    </row>
    <row r="5993" spans="1:6" x14ac:dyDescent="0.35">
      <c r="A5993" t="s">
        <v>2857</v>
      </c>
      <c r="B5993" t="s">
        <v>2863</v>
      </c>
      <c r="C5993" t="s">
        <v>1469</v>
      </c>
      <c r="D5993" t="s">
        <v>2889</v>
      </c>
      <c r="E5993">
        <v>0</v>
      </c>
      <c r="F5993" s="11">
        <v>1</v>
      </c>
    </row>
    <row r="5994" spans="1:6" x14ac:dyDescent="0.35">
      <c r="A5994" t="s">
        <v>2857</v>
      </c>
      <c r="B5994" t="s">
        <v>2863</v>
      </c>
      <c r="C5994" t="s">
        <v>1469</v>
      </c>
      <c r="D5994" t="s">
        <v>2890</v>
      </c>
      <c r="E5994">
        <v>21833</v>
      </c>
      <c r="F5994" s="11">
        <v>0</v>
      </c>
    </row>
    <row r="5995" spans="1:6" x14ac:dyDescent="0.35">
      <c r="A5995" t="s">
        <v>2857</v>
      </c>
      <c r="B5995" t="s">
        <v>2863</v>
      </c>
      <c r="C5995" t="s">
        <v>1469</v>
      </c>
      <c r="D5995" t="s">
        <v>2891</v>
      </c>
      <c r="E5995">
        <v>0</v>
      </c>
      <c r="F5995" s="11">
        <v>0</v>
      </c>
    </row>
    <row r="5996" spans="1:6" x14ac:dyDescent="0.35">
      <c r="A5996" t="s">
        <v>2857</v>
      </c>
      <c r="B5996" t="s">
        <v>2863</v>
      </c>
      <c r="C5996" t="s">
        <v>1469</v>
      </c>
      <c r="D5996" t="s">
        <v>2892</v>
      </c>
      <c r="E5996">
        <v>0</v>
      </c>
      <c r="F5996" s="11">
        <v>0</v>
      </c>
    </row>
    <row r="5997" spans="1:6" x14ac:dyDescent="0.35">
      <c r="A5997" t="s">
        <v>2857</v>
      </c>
      <c r="B5997" t="s">
        <v>2863</v>
      </c>
      <c r="C5997" t="s">
        <v>1469</v>
      </c>
      <c r="D5997" t="s">
        <v>2893</v>
      </c>
      <c r="E5997">
        <v>0</v>
      </c>
      <c r="F5997" s="11">
        <v>0</v>
      </c>
    </row>
    <row r="5998" spans="1:6" x14ac:dyDescent="0.35">
      <c r="A5998" t="s">
        <v>2857</v>
      </c>
      <c r="B5998" t="s">
        <v>2863</v>
      </c>
      <c r="C5998" t="s">
        <v>1469</v>
      </c>
      <c r="D5998" t="s">
        <v>2894</v>
      </c>
      <c r="E5998">
        <v>0</v>
      </c>
      <c r="F5998" s="11">
        <v>0</v>
      </c>
    </row>
    <row r="5999" spans="1:6" x14ac:dyDescent="0.35">
      <c r="A5999" t="s">
        <v>2857</v>
      </c>
      <c r="B5999" t="s">
        <v>2863</v>
      </c>
      <c r="C5999" t="s">
        <v>1469</v>
      </c>
      <c r="D5999" t="s">
        <v>2895</v>
      </c>
      <c r="E5999">
        <v>1367554</v>
      </c>
      <c r="F5999" s="11">
        <v>1</v>
      </c>
    </row>
    <row r="6000" spans="1:6" x14ac:dyDescent="0.35">
      <c r="A6000" t="s">
        <v>2857</v>
      </c>
      <c r="B6000" t="s">
        <v>2863</v>
      </c>
      <c r="C6000" t="s">
        <v>1469</v>
      </c>
      <c r="D6000" t="s">
        <v>2896</v>
      </c>
      <c r="E6000">
        <v>521766</v>
      </c>
      <c r="F6000" s="11">
        <v>1</v>
      </c>
    </row>
    <row r="6001" spans="1:6" x14ac:dyDescent="0.35">
      <c r="A6001" t="s">
        <v>2857</v>
      </c>
      <c r="B6001" t="s">
        <v>2863</v>
      </c>
      <c r="C6001" t="s">
        <v>1469</v>
      </c>
      <c r="D6001" t="s">
        <v>2897</v>
      </c>
      <c r="E6001">
        <v>12499</v>
      </c>
      <c r="F6001" s="11">
        <v>1</v>
      </c>
    </row>
    <row r="6002" spans="1:6" x14ac:dyDescent="0.35">
      <c r="A6002" t="s">
        <v>2857</v>
      </c>
      <c r="B6002" t="s">
        <v>2863</v>
      </c>
      <c r="C6002" t="s">
        <v>1469</v>
      </c>
      <c r="D6002" t="s">
        <v>2898</v>
      </c>
      <c r="E6002">
        <v>833289</v>
      </c>
      <c r="F6002" s="11">
        <v>1</v>
      </c>
    </row>
    <row r="6003" spans="1:6" x14ac:dyDescent="0.35">
      <c r="A6003" t="s">
        <v>2857</v>
      </c>
      <c r="B6003" t="s">
        <v>2863</v>
      </c>
      <c r="C6003" t="s">
        <v>1469</v>
      </c>
      <c r="D6003" t="s">
        <v>2899</v>
      </c>
      <c r="E6003">
        <v>35353</v>
      </c>
      <c r="F6003" s="11">
        <v>1</v>
      </c>
    </row>
    <row r="6004" spans="1:6" x14ac:dyDescent="0.35">
      <c r="A6004" t="s">
        <v>2857</v>
      </c>
      <c r="B6004" t="s">
        <v>2863</v>
      </c>
      <c r="C6004" t="s">
        <v>1469</v>
      </c>
      <c r="D6004" t="s">
        <v>2900</v>
      </c>
      <c r="E6004">
        <v>1824</v>
      </c>
      <c r="F6004" s="11">
        <v>1</v>
      </c>
    </row>
    <row r="6005" spans="1:6" x14ac:dyDescent="0.35">
      <c r="A6005" t="s">
        <v>2857</v>
      </c>
      <c r="B6005" t="s">
        <v>2863</v>
      </c>
      <c r="C6005" t="s">
        <v>1469</v>
      </c>
      <c r="D6005" t="s">
        <v>2901</v>
      </c>
      <c r="E6005">
        <v>37</v>
      </c>
      <c r="F6005" s="11">
        <v>1</v>
      </c>
    </row>
    <row r="6006" spans="1:6" x14ac:dyDescent="0.35">
      <c r="A6006" t="s">
        <v>2857</v>
      </c>
      <c r="B6006" t="s">
        <v>2863</v>
      </c>
      <c r="C6006" t="s">
        <v>1469</v>
      </c>
      <c r="D6006" t="s">
        <v>2902</v>
      </c>
      <c r="E6006">
        <v>33492</v>
      </c>
      <c r="F6006" s="11">
        <v>1</v>
      </c>
    </row>
    <row r="6007" spans="1:6" x14ac:dyDescent="0.35">
      <c r="A6007" t="s">
        <v>2857</v>
      </c>
      <c r="B6007" t="s">
        <v>2863</v>
      </c>
      <c r="C6007" t="s">
        <v>1469</v>
      </c>
      <c r="D6007" t="s">
        <v>2903</v>
      </c>
      <c r="E6007">
        <v>145767</v>
      </c>
      <c r="F6007" s="11">
        <v>1</v>
      </c>
    </row>
    <row r="6008" spans="1:6" x14ac:dyDescent="0.35">
      <c r="A6008" t="s">
        <v>2857</v>
      </c>
      <c r="B6008" t="s">
        <v>2863</v>
      </c>
      <c r="C6008" t="s">
        <v>1469</v>
      </c>
      <c r="D6008" t="s">
        <v>2904</v>
      </c>
      <c r="E6008">
        <v>8785</v>
      </c>
      <c r="F6008" s="11">
        <v>1</v>
      </c>
    </row>
    <row r="6009" spans="1:6" x14ac:dyDescent="0.35">
      <c r="A6009" t="s">
        <v>2857</v>
      </c>
      <c r="B6009" t="s">
        <v>2863</v>
      </c>
      <c r="C6009" t="s">
        <v>1469</v>
      </c>
      <c r="D6009" t="s">
        <v>2905</v>
      </c>
      <c r="E6009">
        <v>5404</v>
      </c>
      <c r="F6009" s="11">
        <v>1</v>
      </c>
    </row>
    <row r="6010" spans="1:6" x14ac:dyDescent="0.35">
      <c r="A6010" t="s">
        <v>2857</v>
      </c>
      <c r="B6010" t="s">
        <v>2863</v>
      </c>
      <c r="C6010" t="s">
        <v>1469</v>
      </c>
      <c r="D6010" t="s">
        <v>2906</v>
      </c>
      <c r="E6010">
        <v>131578</v>
      </c>
      <c r="F6010" s="11">
        <v>1</v>
      </c>
    </row>
    <row r="6011" spans="1:6" x14ac:dyDescent="0.35">
      <c r="A6011" t="s">
        <v>2857</v>
      </c>
      <c r="B6011" t="s">
        <v>2863</v>
      </c>
      <c r="C6011" t="s">
        <v>1469</v>
      </c>
      <c r="D6011" t="s">
        <v>2907</v>
      </c>
      <c r="E6011">
        <v>214443</v>
      </c>
      <c r="F6011" s="11">
        <v>1</v>
      </c>
    </row>
    <row r="6012" spans="1:6" x14ac:dyDescent="0.35">
      <c r="A6012" t="s">
        <v>2857</v>
      </c>
      <c r="B6012" t="s">
        <v>2863</v>
      </c>
      <c r="C6012" t="s">
        <v>1469</v>
      </c>
      <c r="D6012" t="s">
        <v>2908</v>
      </c>
      <c r="E6012">
        <v>22586</v>
      </c>
      <c r="F6012" s="11">
        <v>1</v>
      </c>
    </row>
    <row r="6013" spans="1:6" x14ac:dyDescent="0.35">
      <c r="A6013" t="s">
        <v>2857</v>
      </c>
      <c r="B6013" t="s">
        <v>2863</v>
      </c>
      <c r="C6013" t="s">
        <v>1469</v>
      </c>
      <c r="D6013" t="s">
        <v>2909</v>
      </c>
      <c r="E6013">
        <v>7659</v>
      </c>
      <c r="F6013" s="11">
        <v>1</v>
      </c>
    </row>
    <row r="6014" spans="1:6" x14ac:dyDescent="0.35">
      <c r="A6014" t="s">
        <v>2857</v>
      </c>
      <c r="B6014" t="s">
        <v>2863</v>
      </c>
      <c r="C6014" t="s">
        <v>1469</v>
      </c>
      <c r="D6014" t="s">
        <v>2910</v>
      </c>
      <c r="E6014">
        <v>184198</v>
      </c>
      <c r="F6014" s="11">
        <v>1</v>
      </c>
    </row>
    <row r="6015" spans="1:6" x14ac:dyDescent="0.35">
      <c r="A6015" t="s">
        <v>2857</v>
      </c>
      <c r="B6015" t="s">
        <v>2863</v>
      </c>
      <c r="C6015" t="s">
        <v>1469</v>
      </c>
      <c r="D6015" t="s">
        <v>2911</v>
      </c>
      <c r="E6015">
        <v>842537</v>
      </c>
      <c r="F6015" s="11">
        <v>1</v>
      </c>
    </row>
    <row r="6016" spans="1:6" x14ac:dyDescent="0.35">
      <c r="A6016" t="s">
        <v>2857</v>
      </c>
      <c r="B6016" t="s">
        <v>2863</v>
      </c>
      <c r="C6016" t="s">
        <v>1469</v>
      </c>
      <c r="D6016" t="s">
        <v>2912</v>
      </c>
      <c r="E6016">
        <v>396688</v>
      </c>
      <c r="F6016" s="11">
        <v>1</v>
      </c>
    </row>
    <row r="6017" spans="1:6" x14ac:dyDescent="0.35">
      <c r="A6017" t="s">
        <v>2857</v>
      </c>
      <c r="B6017" t="s">
        <v>2863</v>
      </c>
      <c r="C6017" t="s">
        <v>1469</v>
      </c>
      <c r="D6017" t="s">
        <v>2913</v>
      </c>
      <c r="E6017">
        <v>0</v>
      </c>
      <c r="F6017" s="11">
        <v>0</v>
      </c>
    </row>
    <row r="6018" spans="1:6" x14ac:dyDescent="0.35">
      <c r="A6018" t="s">
        <v>2857</v>
      </c>
      <c r="B6018" t="s">
        <v>2863</v>
      </c>
      <c r="C6018" t="s">
        <v>1469</v>
      </c>
      <c r="D6018" t="s">
        <v>2914</v>
      </c>
      <c r="E6018">
        <v>0</v>
      </c>
      <c r="F6018" s="11">
        <v>0</v>
      </c>
    </row>
    <row r="6019" spans="1:6" x14ac:dyDescent="0.35">
      <c r="A6019" t="s">
        <v>2857</v>
      </c>
      <c r="B6019" t="s">
        <v>2863</v>
      </c>
      <c r="C6019" t="s">
        <v>1469</v>
      </c>
      <c r="D6019" t="s">
        <v>2915</v>
      </c>
      <c r="E6019">
        <v>0</v>
      </c>
      <c r="F6019" s="11">
        <v>0</v>
      </c>
    </row>
    <row r="6020" spans="1:6" x14ac:dyDescent="0.35">
      <c r="A6020" t="s">
        <v>2857</v>
      </c>
      <c r="B6020" t="s">
        <v>2863</v>
      </c>
      <c r="C6020" t="s">
        <v>1469</v>
      </c>
      <c r="D6020" t="s">
        <v>2916</v>
      </c>
      <c r="E6020">
        <v>79430</v>
      </c>
      <c r="F6020" s="11">
        <v>1</v>
      </c>
    </row>
    <row r="6021" spans="1:6" x14ac:dyDescent="0.35">
      <c r="A6021" t="s">
        <v>2857</v>
      </c>
      <c r="B6021" t="s">
        <v>2863</v>
      </c>
      <c r="C6021" t="s">
        <v>1469</v>
      </c>
      <c r="D6021" t="s">
        <v>2917</v>
      </c>
      <c r="E6021">
        <v>0</v>
      </c>
      <c r="F6021" s="11">
        <v>0</v>
      </c>
    </row>
    <row r="6022" spans="1:6" x14ac:dyDescent="0.35">
      <c r="A6022" t="s">
        <v>2857</v>
      </c>
      <c r="B6022" t="s">
        <v>2864</v>
      </c>
      <c r="C6022" t="s">
        <v>1478</v>
      </c>
      <c r="D6022" t="s">
        <v>2875</v>
      </c>
      <c r="E6022">
        <v>112097</v>
      </c>
      <c r="F6022" s="11">
        <v>1</v>
      </c>
    </row>
    <row r="6023" spans="1:6" x14ac:dyDescent="0.35">
      <c r="A6023" t="s">
        <v>2857</v>
      </c>
      <c r="B6023" t="s">
        <v>2864</v>
      </c>
      <c r="C6023" t="s">
        <v>1478</v>
      </c>
      <c r="D6023" t="s">
        <v>2876</v>
      </c>
      <c r="E6023">
        <v>25051</v>
      </c>
      <c r="F6023" s="11">
        <v>1</v>
      </c>
    </row>
    <row r="6024" spans="1:6" x14ac:dyDescent="0.35">
      <c r="A6024" t="s">
        <v>2857</v>
      </c>
      <c r="B6024" t="s">
        <v>2864</v>
      </c>
      <c r="C6024" t="s">
        <v>1478</v>
      </c>
      <c r="D6024" t="s">
        <v>2877</v>
      </c>
      <c r="E6024">
        <v>7315</v>
      </c>
      <c r="F6024" s="11">
        <v>1</v>
      </c>
    </row>
    <row r="6025" spans="1:6" x14ac:dyDescent="0.35">
      <c r="A6025" t="s">
        <v>2857</v>
      </c>
      <c r="B6025" t="s">
        <v>2864</v>
      </c>
      <c r="C6025" t="s">
        <v>1478</v>
      </c>
      <c r="D6025" t="s">
        <v>2878</v>
      </c>
      <c r="E6025">
        <v>79731</v>
      </c>
      <c r="F6025" s="11">
        <v>1</v>
      </c>
    </row>
    <row r="6026" spans="1:6" x14ac:dyDescent="0.35">
      <c r="A6026" t="s">
        <v>2857</v>
      </c>
      <c r="B6026" t="s">
        <v>2864</v>
      </c>
      <c r="C6026" t="s">
        <v>1478</v>
      </c>
      <c r="D6026" t="s">
        <v>2879</v>
      </c>
      <c r="E6026">
        <v>11914</v>
      </c>
      <c r="F6026" s="11">
        <v>1</v>
      </c>
    </row>
    <row r="6027" spans="1:6" x14ac:dyDescent="0.35">
      <c r="A6027" t="s">
        <v>2857</v>
      </c>
      <c r="B6027" t="s">
        <v>2864</v>
      </c>
      <c r="C6027" t="s">
        <v>1478</v>
      </c>
      <c r="D6027" t="s">
        <v>2880</v>
      </c>
      <c r="E6027">
        <v>6883</v>
      </c>
      <c r="F6027" s="11">
        <v>1</v>
      </c>
    </row>
    <row r="6028" spans="1:6" x14ac:dyDescent="0.35">
      <c r="A6028" t="s">
        <v>2857</v>
      </c>
      <c r="B6028" t="s">
        <v>2864</v>
      </c>
      <c r="C6028" t="s">
        <v>1478</v>
      </c>
      <c r="D6028" t="s">
        <v>2881</v>
      </c>
      <c r="E6028">
        <v>148</v>
      </c>
      <c r="F6028" s="11">
        <v>1</v>
      </c>
    </row>
    <row r="6029" spans="1:6" x14ac:dyDescent="0.35">
      <c r="A6029" t="s">
        <v>2857</v>
      </c>
      <c r="B6029" t="s">
        <v>2864</v>
      </c>
      <c r="C6029" t="s">
        <v>1478</v>
      </c>
      <c r="D6029" t="s">
        <v>2882</v>
      </c>
      <c r="E6029">
        <v>4883</v>
      </c>
      <c r="F6029" s="11">
        <v>1</v>
      </c>
    </row>
    <row r="6030" spans="1:6" x14ac:dyDescent="0.35">
      <c r="A6030" t="s">
        <v>2857</v>
      </c>
      <c r="B6030" t="s">
        <v>2864</v>
      </c>
      <c r="C6030" t="s">
        <v>1478</v>
      </c>
      <c r="D6030" t="s">
        <v>2883</v>
      </c>
      <c r="E6030">
        <v>0</v>
      </c>
      <c r="F6030" s="11">
        <v>0</v>
      </c>
    </row>
    <row r="6031" spans="1:6" x14ac:dyDescent="0.35">
      <c r="A6031" t="s">
        <v>2857</v>
      </c>
      <c r="B6031" t="s">
        <v>2864</v>
      </c>
      <c r="C6031" t="s">
        <v>1478</v>
      </c>
      <c r="D6031" t="s">
        <v>2884</v>
      </c>
      <c r="E6031">
        <v>0</v>
      </c>
      <c r="F6031" s="11">
        <v>0</v>
      </c>
    </row>
    <row r="6032" spans="1:6" x14ac:dyDescent="0.35">
      <c r="A6032" t="s">
        <v>2857</v>
      </c>
      <c r="B6032" t="s">
        <v>2864</v>
      </c>
      <c r="C6032" t="s">
        <v>1478</v>
      </c>
      <c r="D6032" t="s">
        <v>2885</v>
      </c>
      <c r="E6032">
        <v>0</v>
      </c>
      <c r="F6032" s="11">
        <v>0</v>
      </c>
    </row>
    <row r="6033" spans="1:6" x14ac:dyDescent="0.35">
      <c r="A6033" t="s">
        <v>2857</v>
      </c>
      <c r="B6033" t="s">
        <v>2864</v>
      </c>
      <c r="C6033" t="s">
        <v>1478</v>
      </c>
      <c r="D6033" t="s">
        <v>2886</v>
      </c>
      <c r="E6033">
        <v>0</v>
      </c>
      <c r="F6033" s="11">
        <v>0</v>
      </c>
    </row>
    <row r="6034" spans="1:6" x14ac:dyDescent="0.35">
      <c r="A6034" t="s">
        <v>2857</v>
      </c>
      <c r="B6034" t="s">
        <v>2864</v>
      </c>
      <c r="C6034" t="s">
        <v>1478</v>
      </c>
      <c r="D6034" t="s">
        <v>2887</v>
      </c>
      <c r="E6034">
        <v>210270</v>
      </c>
      <c r="F6034" s="11">
        <v>1</v>
      </c>
    </row>
    <row r="6035" spans="1:6" x14ac:dyDescent="0.35">
      <c r="A6035" t="s">
        <v>2857</v>
      </c>
      <c r="B6035" t="s">
        <v>2864</v>
      </c>
      <c r="C6035" t="s">
        <v>1478</v>
      </c>
      <c r="D6035" t="s">
        <v>2888</v>
      </c>
      <c r="E6035">
        <v>0</v>
      </c>
      <c r="F6035" s="11">
        <v>1</v>
      </c>
    </row>
    <row r="6036" spans="1:6" x14ac:dyDescent="0.35">
      <c r="A6036" t="s">
        <v>2857</v>
      </c>
      <c r="B6036" t="s">
        <v>2864</v>
      </c>
      <c r="C6036" t="s">
        <v>1478</v>
      </c>
      <c r="D6036" t="s">
        <v>2889</v>
      </c>
      <c r="E6036">
        <v>0</v>
      </c>
      <c r="F6036" s="11">
        <v>1</v>
      </c>
    </row>
    <row r="6037" spans="1:6" x14ac:dyDescent="0.35">
      <c r="A6037" t="s">
        <v>2857</v>
      </c>
      <c r="B6037" t="s">
        <v>2864</v>
      </c>
      <c r="C6037" t="s">
        <v>1478</v>
      </c>
      <c r="D6037" t="s">
        <v>2890</v>
      </c>
      <c r="E6037">
        <v>104536</v>
      </c>
      <c r="F6037" s="11">
        <v>1</v>
      </c>
    </row>
    <row r="6038" spans="1:6" x14ac:dyDescent="0.35">
      <c r="A6038" t="s">
        <v>2857</v>
      </c>
      <c r="B6038" t="s">
        <v>2864</v>
      </c>
      <c r="C6038" t="s">
        <v>1478</v>
      </c>
      <c r="D6038" t="s">
        <v>2891</v>
      </c>
      <c r="E6038">
        <v>0</v>
      </c>
      <c r="F6038" s="11">
        <v>0</v>
      </c>
    </row>
    <row r="6039" spans="1:6" x14ac:dyDescent="0.35">
      <c r="A6039" t="s">
        <v>2857</v>
      </c>
      <c r="B6039" t="s">
        <v>2864</v>
      </c>
      <c r="C6039" t="s">
        <v>1478</v>
      </c>
      <c r="D6039" t="s">
        <v>2892</v>
      </c>
      <c r="E6039">
        <v>0</v>
      </c>
      <c r="F6039" s="11">
        <v>0</v>
      </c>
    </row>
    <row r="6040" spans="1:6" x14ac:dyDescent="0.35">
      <c r="A6040" t="s">
        <v>2857</v>
      </c>
      <c r="B6040" t="s">
        <v>2864</v>
      </c>
      <c r="C6040" t="s">
        <v>1478</v>
      </c>
      <c r="D6040" t="s">
        <v>2893</v>
      </c>
      <c r="E6040">
        <v>0</v>
      </c>
      <c r="F6040" s="11">
        <v>0</v>
      </c>
    </row>
    <row r="6041" spans="1:6" x14ac:dyDescent="0.35">
      <c r="A6041" t="s">
        <v>2857</v>
      </c>
      <c r="B6041" t="s">
        <v>2864</v>
      </c>
      <c r="C6041" t="s">
        <v>1478</v>
      </c>
      <c r="D6041" t="s">
        <v>2894</v>
      </c>
      <c r="E6041">
        <v>0</v>
      </c>
      <c r="F6041" s="11">
        <v>0</v>
      </c>
    </row>
    <row r="6042" spans="1:6" x14ac:dyDescent="0.35">
      <c r="A6042" t="s">
        <v>2857</v>
      </c>
      <c r="B6042" t="s">
        <v>2864</v>
      </c>
      <c r="C6042" t="s">
        <v>1478</v>
      </c>
      <c r="D6042" t="s">
        <v>2895</v>
      </c>
      <c r="E6042">
        <v>1700359</v>
      </c>
      <c r="F6042" s="11">
        <v>1</v>
      </c>
    </row>
    <row r="6043" spans="1:6" x14ac:dyDescent="0.35">
      <c r="A6043" t="s">
        <v>2857</v>
      </c>
      <c r="B6043" t="s">
        <v>2864</v>
      </c>
      <c r="C6043" t="s">
        <v>1478</v>
      </c>
      <c r="D6043" t="s">
        <v>2896</v>
      </c>
      <c r="E6043">
        <v>701199</v>
      </c>
      <c r="F6043" s="11">
        <v>1</v>
      </c>
    </row>
    <row r="6044" spans="1:6" x14ac:dyDescent="0.35">
      <c r="A6044" t="s">
        <v>2857</v>
      </c>
      <c r="B6044" t="s">
        <v>2864</v>
      </c>
      <c r="C6044" t="s">
        <v>1478</v>
      </c>
      <c r="D6044" t="s">
        <v>2897</v>
      </c>
      <c r="E6044">
        <v>33598</v>
      </c>
      <c r="F6044" s="11">
        <v>1</v>
      </c>
    </row>
    <row r="6045" spans="1:6" x14ac:dyDescent="0.35">
      <c r="A6045" t="s">
        <v>2857</v>
      </c>
      <c r="B6045" t="s">
        <v>2864</v>
      </c>
      <c r="C6045" t="s">
        <v>1478</v>
      </c>
      <c r="D6045" t="s">
        <v>2898</v>
      </c>
      <c r="E6045">
        <v>965562</v>
      </c>
      <c r="F6045" s="11">
        <v>1</v>
      </c>
    </row>
    <row r="6046" spans="1:6" x14ac:dyDescent="0.35">
      <c r="A6046" t="s">
        <v>2857</v>
      </c>
      <c r="B6046" t="s">
        <v>2864</v>
      </c>
      <c r="C6046" t="s">
        <v>1478</v>
      </c>
      <c r="D6046" t="s">
        <v>2899</v>
      </c>
      <c r="E6046">
        <v>20950</v>
      </c>
      <c r="F6046" s="11">
        <v>1</v>
      </c>
    </row>
    <row r="6047" spans="1:6" x14ac:dyDescent="0.35">
      <c r="A6047" t="s">
        <v>2857</v>
      </c>
      <c r="B6047" t="s">
        <v>2864</v>
      </c>
      <c r="C6047" t="s">
        <v>1478</v>
      </c>
      <c r="D6047" t="s">
        <v>2900</v>
      </c>
      <c r="E6047">
        <v>530</v>
      </c>
      <c r="F6047" s="11">
        <v>1</v>
      </c>
    </row>
    <row r="6048" spans="1:6" x14ac:dyDescent="0.35">
      <c r="A6048" t="s">
        <v>2857</v>
      </c>
      <c r="B6048" t="s">
        <v>2864</v>
      </c>
      <c r="C6048" t="s">
        <v>1478</v>
      </c>
      <c r="D6048" t="s">
        <v>2901</v>
      </c>
      <c r="E6048">
        <v>59217</v>
      </c>
      <c r="F6048" s="11">
        <v>1</v>
      </c>
    </row>
    <row r="6049" spans="1:6" x14ac:dyDescent="0.35">
      <c r="A6049" t="s">
        <v>2857</v>
      </c>
      <c r="B6049" t="s">
        <v>2864</v>
      </c>
      <c r="C6049" t="s">
        <v>1478</v>
      </c>
      <c r="D6049" t="s">
        <v>2902</v>
      </c>
      <c r="E6049">
        <v>20420</v>
      </c>
      <c r="F6049" s="11">
        <v>0</v>
      </c>
    </row>
    <row r="6050" spans="1:6" x14ac:dyDescent="0.35">
      <c r="A6050" t="s">
        <v>2857</v>
      </c>
      <c r="B6050" t="s">
        <v>2864</v>
      </c>
      <c r="C6050" t="s">
        <v>1478</v>
      </c>
      <c r="D6050" t="s">
        <v>2903</v>
      </c>
      <c r="E6050">
        <v>225412</v>
      </c>
      <c r="F6050" s="11">
        <v>0</v>
      </c>
    </row>
    <row r="6051" spans="1:6" x14ac:dyDescent="0.35">
      <c r="A6051" t="s">
        <v>2857</v>
      </c>
      <c r="B6051" t="s">
        <v>2864</v>
      </c>
      <c r="C6051" t="s">
        <v>1478</v>
      </c>
      <c r="D6051" t="s">
        <v>2904</v>
      </c>
      <c r="E6051">
        <v>21692</v>
      </c>
      <c r="F6051" s="11">
        <v>0</v>
      </c>
    </row>
    <row r="6052" spans="1:6" x14ac:dyDescent="0.35">
      <c r="A6052" t="s">
        <v>2857</v>
      </c>
      <c r="B6052" t="s">
        <v>2864</v>
      </c>
      <c r="C6052" t="s">
        <v>1478</v>
      </c>
      <c r="D6052" t="s">
        <v>2905</v>
      </c>
      <c r="E6052">
        <v>9605</v>
      </c>
      <c r="F6052" s="11">
        <v>0</v>
      </c>
    </row>
    <row r="6053" spans="1:6" x14ac:dyDescent="0.35">
      <c r="A6053" t="s">
        <v>2857</v>
      </c>
      <c r="B6053" t="s">
        <v>2864</v>
      </c>
      <c r="C6053" t="s">
        <v>1478</v>
      </c>
      <c r="D6053" t="s">
        <v>2906</v>
      </c>
      <c r="E6053">
        <v>194115</v>
      </c>
      <c r="F6053" s="11">
        <v>0</v>
      </c>
    </row>
    <row r="6054" spans="1:6" x14ac:dyDescent="0.35">
      <c r="A6054" t="s">
        <v>2857</v>
      </c>
      <c r="B6054" t="s">
        <v>2864</v>
      </c>
      <c r="C6054" t="s">
        <v>1478</v>
      </c>
      <c r="D6054" t="s">
        <v>2907</v>
      </c>
      <c r="E6054">
        <v>371786</v>
      </c>
      <c r="F6054" s="11">
        <v>0</v>
      </c>
    </row>
    <row r="6055" spans="1:6" x14ac:dyDescent="0.35">
      <c r="A6055" t="s">
        <v>2857</v>
      </c>
      <c r="B6055" t="s">
        <v>2864</v>
      </c>
      <c r="C6055" t="s">
        <v>1478</v>
      </c>
      <c r="D6055" t="s">
        <v>2908</v>
      </c>
      <c r="E6055">
        <v>57249</v>
      </c>
      <c r="F6055" s="11">
        <v>0</v>
      </c>
    </row>
    <row r="6056" spans="1:6" x14ac:dyDescent="0.35">
      <c r="A6056" t="s">
        <v>2857</v>
      </c>
      <c r="B6056" t="s">
        <v>2864</v>
      </c>
      <c r="C6056" t="s">
        <v>1478</v>
      </c>
      <c r="D6056" t="s">
        <v>2909</v>
      </c>
      <c r="E6056">
        <v>16014</v>
      </c>
      <c r="F6056" s="11">
        <v>0</v>
      </c>
    </row>
    <row r="6057" spans="1:6" x14ac:dyDescent="0.35">
      <c r="A6057" t="s">
        <v>2857</v>
      </c>
      <c r="B6057" t="s">
        <v>2864</v>
      </c>
      <c r="C6057" t="s">
        <v>1478</v>
      </c>
      <c r="D6057" t="s">
        <v>2910</v>
      </c>
      <c r="E6057">
        <v>298523</v>
      </c>
      <c r="F6057" s="11">
        <v>0</v>
      </c>
    </row>
    <row r="6058" spans="1:6" x14ac:dyDescent="0.35">
      <c r="A6058" t="s">
        <v>2857</v>
      </c>
      <c r="B6058" t="s">
        <v>2864</v>
      </c>
      <c r="C6058" t="s">
        <v>1478</v>
      </c>
      <c r="D6058" t="s">
        <v>2911</v>
      </c>
      <c r="E6058">
        <v>1700893</v>
      </c>
      <c r="F6058" s="11">
        <v>1</v>
      </c>
    </row>
    <row r="6059" spans="1:6" x14ac:dyDescent="0.35">
      <c r="A6059" t="s">
        <v>2857</v>
      </c>
      <c r="B6059" t="s">
        <v>2864</v>
      </c>
      <c r="C6059" t="s">
        <v>1478</v>
      </c>
      <c r="D6059" t="s">
        <v>2912</v>
      </c>
      <c r="E6059">
        <v>517663</v>
      </c>
      <c r="F6059" s="11">
        <v>0</v>
      </c>
    </row>
    <row r="6060" spans="1:6" x14ac:dyDescent="0.35">
      <c r="A6060" t="s">
        <v>2857</v>
      </c>
      <c r="B6060" t="s">
        <v>2864</v>
      </c>
      <c r="C6060" t="s">
        <v>1478</v>
      </c>
      <c r="D6060" t="s">
        <v>2913</v>
      </c>
      <c r="E6060">
        <v>0</v>
      </c>
      <c r="F6060" s="11">
        <v>0</v>
      </c>
    </row>
    <row r="6061" spans="1:6" x14ac:dyDescent="0.35">
      <c r="A6061" t="s">
        <v>2857</v>
      </c>
      <c r="B6061" t="s">
        <v>2864</v>
      </c>
      <c r="C6061" t="s">
        <v>1478</v>
      </c>
      <c r="D6061" t="s">
        <v>2914</v>
      </c>
      <c r="E6061">
        <v>0</v>
      </c>
      <c r="F6061" s="11">
        <v>0</v>
      </c>
    </row>
    <row r="6062" spans="1:6" x14ac:dyDescent="0.35">
      <c r="A6062" t="s">
        <v>2857</v>
      </c>
      <c r="B6062" t="s">
        <v>2864</v>
      </c>
      <c r="C6062" t="s">
        <v>1478</v>
      </c>
      <c r="D6062" t="s">
        <v>2915</v>
      </c>
      <c r="E6062">
        <v>0</v>
      </c>
      <c r="F6062" s="11">
        <v>0</v>
      </c>
    </row>
    <row r="6063" spans="1:6" x14ac:dyDescent="0.35">
      <c r="A6063" t="s">
        <v>2857</v>
      </c>
      <c r="B6063" t="s">
        <v>2864</v>
      </c>
      <c r="C6063" t="s">
        <v>1478</v>
      </c>
      <c r="D6063" t="s">
        <v>2916</v>
      </c>
      <c r="E6063">
        <v>80256</v>
      </c>
      <c r="F6063" s="11">
        <v>0</v>
      </c>
    </row>
    <row r="6064" spans="1:6" x14ac:dyDescent="0.35">
      <c r="A6064" t="s">
        <v>2857</v>
      </c>
      <c r="B6064" t="s">
        <v>2864</v>
      </c>
      <c r="C6064" t="s">
        <v>1478</v>
      </c>
      <c r="D6064" t="s">
        <v>2917</v>
      </c>
      <c r="E6064">
        <v>184917</v>
      </c>
      <c r="F6064" s="11">
        <v>1</v>
      </c>
    </row>
    <row r="6065" spans="1:6" x14ac:dyDescent="0.35">
      <c r="A6065" t="s">
        <v>2857</v>
      </c>
      <c r="B6065" t="s">
        <v>2865</v>
      </c>
      <c r="C6065" t="s">
        <v>1499</v>
      </c>
      <c r="D6065" t="s">
        <v>2875</v>
      </c>
      <c r="E6065">
        <v>18481</v>
      </c>
      <c r="F6065" s="11">
        <v>1</v>
      </c>
    </row>
    <row r="6066" spans="1:6" x14ac:dyDescent="0.35">
      <c r="A6066" t="s">
        <v>2857</v>
      </c>
      <c r="B6066" t="s">
        <v>2865</v>
      </c>
      <c r="C6066" t="s">
        <v>1499</v>
      </c>
      <c r="D6066" t="s">
        <v>2876</v>
      </c>
      <c r="E6066">
        <v>4004</v>
      </c>
      <c r="F6066" s="11">
        <v>1</v>
      </c>
    </row>
    <row r="6067" spans="1:6" x14ac:dyDescent="0.35">
      <c r="A6067" t="s">
        <v>2857</v>
      </c>
      <c r="B6067" t="s">
        <v>2865</v>
      </c>
      <c r="C6067" t="s">
        <v>1499</v>
      </c>
      <c r="D6067" t="s">
        <v>2877</v>
      </c>
      <c r="E6067">
        <v>1016</v>
      </c>
      <c r="F6067" s="11">
        <v>1</v>
      </c>
    </row>
    <row r="6068" spans="1:6" x14ac:dyDescent="0.35">
      <c r="A6068" t="s">
        <v>2857</v>
      </c>
      <c r="B6068" t="s">
        <v>2865</v>
      </c>
      <c r="C6068" t="s">
        <v>1499</v>
      </c>
      <c r="D6068" t="s">
        <v>2878</v>
      </c>
      <c r="E6068">
        <v>13461</v>
      </c>
      <c r="F6068" s="11">
        <v>1</v>
      </c>
    </row>
    <row r="6069" spans="1:6" x14ac:dyDescent="0.35">
      <c r="A6069" t="s">
        <v>2857</v>
      </c>
      <c r="B6069" t="s">
        <v>2865</v>
      </c>
      <c r="C6069" t="s">
        <v>1499</v>
      </c>
      <c r="D6069" t="s">
        <v>2879</v>
      </c>
      <c r="E6069">
        <v>0</v>
      </c>
      <c r="F6069" s="11">
        <v>0</v>
      </c>
    </row>
    <row r="6070" spans="1:6" x14ac:dyDescent="0.35">
      <c r="A6070" t="s">
        <v>2857</v>
      </c>
      <c r="B6070" t="s">
        <v>2865</v>
      </c>
      <c r="C6070" t="s">
        <v>1499</v>
      </c>
      <c r="D6070" t="s">
        <v>2880</v>
      </c>
      <c r="E6070">
        <v>0</v>
      </c>
      <c r="F6070" s="11">
        <v>0</v>
      </c>
    </row>
    <row r="6071" spans="1:6" x14ac:dyDescent="0.35">
      <c r="A6071" t="s">
        <v>2857</v>
      </c>
      <c r="B6071" t="s">
        <v>2865</v>
      </c>
      <c r="C6071" t="s">
        <v>1499</v>
      </c>
      <c r="D6071" t="s">
        <v>2881</v>
      </c>
      <c r="E6071">
        <v>0</v>
      </c>
      <c r="F6071" s="11">
        <v>0</v>
      </c>
    </row>
    <row r="6072" spans="1:6" x14ac:dyDescent="0.35">
      <c r="A6072" t="s">
        <v>2857</v>
      </c>
      <c r="B6072" t="s">
        <v>2865</v>
      </c>
      <c r="C6072" t="s">
        <v>1499</v>
      </c>
      <c r="D6072" t="s">
        <v>2882</v>
      </c>
      <c r="E6072">
        <v>0</v>
      </c>
      <c r="F6072" s="11">
        <v>0</v>
      </c>
    </row>
    <row r="6073" spans="1:6" x14ac:dyDescent="0.35">
      <c r="A6073" t="s">
        <v>2857</v>
      </c>
      <c r="B6073" t="s">
        <v>2865</v>
      </c>
      <c r="C6073" t="s">
        <v>1499</v>
      </c>
      <c r="D6073" t="s">
        <v>2883</v>
      </c>
      <c r="E6073">
        <v>0</v>
      </c>
      <c r="F6073" s="11">
        <v>0</v>
      </c>
    </row>
    <row r="6074" spans="1:6" x14ac:dyDescent="0.35">
      <c r="A6074" t="s">
        <v>2857</v>
      </c>
      <c r="B6074" t="s">
        <v>2865</v>
      </c>
      <c r="C6074" t="s">
        <v>1499</v>
      </c>
      <c r="D6074" t="s">
        <v>2884</v>
      </c>
      <c r="E6074">
        <v>0</v>
      </c>
      <c r="F6074" s="11">
        <v>0</v>
      </c>
    </row>
    <row r="6075" spans="1:6" x14ac:dyDescent="0.35">
      <c r="A6075" t="s">
        <v>2857</v>
      </c>
      <c r="B6075" t="s">
        <v>2865</v>
      </c>
      <c r="C6075" t="s">
        <v>1499</v>
      </c>
      <c r="D6075" t="s">
        <v>2885</v>
      </c>
      <c r="E6075">
        <v>0</v>
      </c>
      <c r="F6075" s="11">
        <v>0</v>
      </c>
    </row>
    <row r="6076" spans="1:6" x14ac:dyDescent="0.35">
      <c r="A6076" t="s">
        <v>2857</v>
      </c>
      <c r="B6076" t="s">
        <v>2865</v>
      </c>
      <c r="C6076" t="s">
        <v>1499</v>
      </c>
      <c r="D6076" t="s">
        <v>2886</v>
      </c>
      <c r="E6076">
        <v>0</v>
      </c>
      <c r="F6076" s="11">
        <v>0</v>
      </c>
    </row>
    <row r="6077" spans="1:6" x14ac:dyDescent="0.35">
      <c r="A6077" t="s">
        <v>2857</v>
      </c>
      <c r="B6077" t="s">
        <v>2865</v>
      </c>
      <c r="C6077" t="s">
        <v>1499</v>
      </c>
      <c r="D6077" t="s">
        <v>2887</v>
      </c>
      <c r="E6077">
        <v>0</v>
      </c>
      <c r="F6077" s="11">
        <v>0</v>
      </c>
    </row>
    <row r="6078" spans="1:6" x14ac:dyDescent="0.35">
      <c r="A6078" t="s">
        <v>2857</v>
      </c>
      <c r="B6078" t="s">
        <v>2865</v>
      </c>
      <c r="C6078" t="s">
        <v>1499</v>
      </c>
      <c r="D6078" t="s">
        <v>2888</v>
      </c>
      <c r="E6078">
        <v>0</v>
      </c>
      <c r="F6078" s="11">
        <v>0</v>
      </c>
    </row>
    <row r="6079" spans="1:6" x14ac:dyDescent="0.35">
      <c r="A6079" t="s">
        <v>2857</v>
      </c>
      <c r="B6079" t="s">
        <v>2865</v>
      </c>
      <c r="C6079" t="s">
        <v>1499</v>
      </c>
      <c r="D6079" t="s">
        <v>2889</v>
      </c>
      <c r="E6079">
        <v>0</v>
      </c>
      <c r="F6079" s="11">
        <v>0</v>
      </c>
    </row>
    <row r="6080" spans="1:6" x14ac:dyDescent="0.35">
      <c r="A6080" t="s">
        <v>2857</v>
      </c>
      <c r="B6080" t="s">
        <v>2865</v>
      </c>
      <c r="C6080" t="s">
        <v>1499</v>
      </c>
      <c r="D6080" t="s">
        <v>2890</v>
      </c>
      <c r="E6080">
        <v>0</v>
      </c>
      <c r="F6080" s="11">
        <v>0</v>
      </c>
    </row>
    <row r="6081" spans="1:6" x14ac:dyDescent="0.35">
      <c r="A6081" t="s">
        <v>2857</v>
      </c>
      <c r="B6081" t="s">
        <v>2865</v>
      </c>
      <c r="C6081" t="s">
        <v>1499</v>
      </c>
      <c r="D6081" t="s">
        <v>2891</v>
      </c>
      <c r="E6081">
        <v>0</v>
      </c>
      <c r="F6081" s="11">
        <v>0</v>
      </c>
    </row>
    <row r="6082" spans="1:6" x14ac:dyDescent="0.35">
      <c r="A6082" t="s">
        <v>2857</v>
      </c>
      <c r="B6082" t="s">
        <v>2865</v>
      </c>
      <c r="C6082" t="s">
        <v>1499</v>
      </c>
      <c r="D6082" t="s">
        <v>2892</v>
      </c>
      <c r="E6082">
        <v>0</v>
      </c>
      <c r="F6082" s="11">
        <v>0</v>
      </c>
    </row>
    <row r="6083" spans="1:6" x14ac:dyDescent="0.35">
      <c r="A6083" t="s">
        <v>2857</v>
      </c>
      <c r="B6083" t="s">
        <v>2865</v>
      </c>
      <c r="C6083" t="s">
        <v>1499</v>
      </c>
      <c r="D6083" t="s">
        <v>2893</v>
      </c>
      <c r="E6083">
        <v>0</v>
      </c>
      <c r="F6083" s="11">
        <v>0</v>
      </c>
    </row>
    <row r="6084" spans="1:6" x14ac:dyDescent="0.35">
      <c r="A6084" t="s">
        <v>2857</v>
      </c>
      <c r="B6084" t="s">
        <v>2865</v>
      </c>
      <c r="C6084" t="s">
        <v>1499</v>
      </c>
      <c r="D6084" t="s">
        <v>2894</v>
      </c>
      <c r="E6084">
        <v>0</v>
      </c>
      <c r="F6084" s="11">
        <v>0</v>
      </c>
    </row>
    <row r="6085" spans="1:6" x14ac:dyDescent="0.35">
      <c r="A6085" t="s">
        <v>2857</v>
      </c>
      <c r="B6085" t="s">
        <v>2865</v>
      </c>
      <c r="C6085" t="s">
        <v>1499</v>
      </c>
      <c r="D6085" t="s">
        <v>2895</v>
      </c>
      <c r="E6085">
        <v>206198</v>
      </c>
      <c r="F6085" s="11">
        <v>1</v>
      </c>
    </row>
    <row r="6086" spans="1:6" x14ac:dyDescent="0.35">
      <c r="A6086" t="s">
        <v>2857</v>
      </c>
      <c r="B6086" t="s">
        <v>2865</v>
      </c>
      <c r="C6086" t="s">
        <v>1499</v>
      </c>
      <c r="D6086" t="s">
        <v>2896</v>
      </c>
      <c r="E6086">
        <v>54331</v>
      </c>
      <c r="F6086" s="11">
        <v>1</v>
      </c>
    </row>
    <row r="6087" spans="1:6" x14ac:dyDescent="0.35">
      <c r="A6087" t="s">
        <v>2857</v>
      </c>
      <c r="B6087" t="s">
        <v>2865</v>
      </c>
      <c r="C6087" t="s">
        <v>1499</v>
      </c>
      <c r="D6087" t="s">
        <v>2897</v>
      </c>
      <c r="E6087">
        <v>2054</v>
      </c>
      <c r="F6087" s="11">
        <v>1</v>
      </c>
    </row>
    <row r="6088" spans="1:6" x14ac:dyDescent="0.35">
      <c r="A6088" t="s">
        <v>2857</v>
      </c>
      <c r="B6088" t="s">
        <v>2865</v>
      </c>
      <c r="C6088" t="s">
        <v>1499</v>
      </c>
      <c r="D6088" t="s">
        <v>2898</v>
      </c>
      <c r="E6088">
        <v>149813</v>
      </c>
      <c r="F6088" s="11">
        <v>1</v>
      </c>
    </row>
    <row r="6089" spans="1:6" x14ac:dyDescent="0.35">
      <c r="A6089" t="s">
        <v>2857</v>
      </c>
      <c r="B6089" t="s">
        <v>2865</v>
      </c>
      <c r="C6089" t="s">
        <v>1499</v>
      </c>
      <c r="D6089" t="s">
        <v>2899</v>
      </c>
      <c r="E6089">
        <v>9127</v>
      </c>
      <c r="F6089" s="11">
        <v>1</v>
      </c>
    </row>
    <row r="6090" spans="1:6" x14ac:dyDescent="0.35">
      <c r="A6090" t="s">
        <v>2857</v>
      </c>
      <c r="B6090" t="s">
        <v>2865</v>
      </c>
      <c r="C6090" t="s">
        <v>1499</v>
      </c>
      <c r="D6090" t="s">
        <v>2900</v>
      </c>
      <c r="E6090">
        <v>202</v>
      </c>
      <c r="F6090" s="11">
        <v>1</v>
      </c>
    </row>
    <row r="6091" spans="1:6" x14ac:dyDescent="0.35">
      <c r="A6091" t="s">
        <v>2857</v>
      </c>
      <c r="B6091" t="s">
        <v>2865</v>
      </c>
      <c r="C6091" t="s">
        <v>1499</v>
      </c>
      <c r="D6091" t="s">
        <v>2901</v>
      </c>
      <c r="E6091">
        <v>0</v>
      </c>
      <c r="F6091" s="11">
        <v>1</v>
      </c>
    </row>
    <row r="6092" spans="1:6" x14ac:dyDescent="0.35">
      <c r="A6092" t="s">
        <v>2857</v>
      </c>
      <c r="B6092" t="s">
        <v>2865</v>
      </c>
      <c r="C6092" t="s">
        <v>1499</v>
      </c>
      <c r="D6092" t="s">
        <v>2902</v>
      </c>
      <c r="E6092">
        <v>8925</v>
      </c>
      <c r="F6092" s="11">
        <v>0</v>
      </c>
    </row>
    <row r="6093" spans="1:6" x14ac:dyDescent="0.35">
      <c r="A6093" t="s">
        <v>2857</v>
      </c>
      <c r="B6093" t="s">
        <v>2865</v>
      </c>
      <c r="C6093" t="s">
        <v>1499</v>
      </c>
      <c r="D6093" t="s">
        <v>2903</v>
      </c>
      <c r="E6093">
        <v>17375</v>
      </c>
      <c r="F6093" s="11">
        <v>1</v>
      </c>
    </row>
    <row r="6094" spans="1:6" x14ac:dyDescent="0.35">
      <c r="A6094" t="s">
        <v>2857</v>
      </c>
      <c r="B6094" t="s">
        <v>2865</v>
      </c>
      <c r="C6094" t="s">
        <v>1499</v>
      </c>
      <c r="D6094" t="s">
        <v>2904</v>
      </c>
      <c r="E6094">
        <v>441</v>
      </c>
      <c r="F6094" s="11">
        <v>1</v>
      </c>
    </row>
    <row r="6095" spans="1:6" x14ac:dyDescent="0.35">
      <c r="A6095" t="s">
        <v>2857</v>
      </c>
      <c r="B6095" t="s">
        <v>2865</v>
      </c>
      <c r="C6095" t="s">
        <v>1499</v>
      </c>
      <c r="D6095" t="s">
        <v>2905</v>
      </c>
      <c r="E6095">
        <v>309</v>
      </c>
      <c r="F6095" s="11">
        <v>1</v>
      </c>
    </row>
    <row r="6096" spans="1:6" x14ac:dyDescent="0.35">
      <c r="A6096" t="s">
        <v>2857</v>
      </c>
      <c r="B6096" t="s">
        <v>2865</v>
      </c>
      <c r="C6096" t="s">
        <v>1499</v>
      </c>
      <c r="D6096" t="s">
        <v>2906</v>
      </c>
      <c r="E6096">
        <v>16625</v>
      </c>
      <c r="F6096" s="11">
        <v>1</v>
      </c>
    </row>
    <row r="6097" spans="1:6" x14ac:dyDescent="0.35">
      <c r="A6097" t="s">
        <v>2857</v>
      </c>
      <c r="B6097" t="s">
        <v>2865</v>
      </c>
      <c r="C6097" t="s">
        <v>1499</v>
      </c>
      <c r="D6097" t="s">
        <v>2907</v>
      </c>
      <c r="E6097">
        <v>18803</v>
      </c>
      <c r="F6097" s="11">
        <v>1</v>
      </c>
    </row>
    <row r="6098" spans="1:6" x14ac:dyDescent="0.35">
      <c r="A6098" t="s">
        <v>2857</v>
      </c>
      <c r="B6098" t="s">
        <v>2865</v>
      </c>
      <c r="C6098" t="s">
        <v>1499</v>
      </c>
      <c r="D6098" t="s">
        <v>2908</v>
      </c>
      <c r="E6098">
        <v>1219</v>
      </c>
      <c r="F6098" s="11">
        <v>1</v>
      </c>
    </row>
    <row r="6099" spans="1:6" x14ac:dyDescent="0.35">
      <c r="A6099" t="s">
        <v>2857</v>
      </c>
      <c r="B6099" t="s">
        <v>2865</v>
      </c>
      <c r="C6099" t="s">
        <v>1499</v>
      </c>
      <c r="D6099" t="s">
        <v>2909</v>
      </c>
      <c r="E6099">
        <v>471</v>
      </c>
      <c r="F6099" s="11">
        <v>1</v>
      </c>
    </row>
    <row r="6100" spans="1:6" x14ac:dyDescent="0.35">
      <c r="A6100" t="s">
        <v>2857</v>
      </c>
      <c r="B6100" t="s">
        <v>2865</v>
      </c>
      <c r="C6100" t="s">
        <v>1499</v>
      </c>
      <c r="D6100" t="s">
        <v>2910</v>
      </c>
      <c r="E6100">
        <v>17113</v>
      </c>
      <c r="F6100" s="11">
        <v>1</v>
      </c>
    </row>
    <row r="6101" spans="1:6" x14ac:dyDescent="0.35">
      <c r="A6101" t="s">
        <v>2857</v>
      </c>
      <c r="B6101" t="s">
        <v>2865</v>
      </c>
      <c r="C6101" t="s">
        <v>1499</v>
      </c>
      <c r="D6101" t="s">
        <v>2911</v>
      </c>
      <c r="E6101">
        <v>218978</v>
      </c>
      <c r="F6101" s="11">
        <v>1</v>
      </c>
    </row>
    <row r="6102" spans="1:6" x14ac:dyDescent="0.35">
      <c r="A6102" t="s">
        <v>2857</v>
      </c>
      <c r="B6102" t="s">
        <v>2865</v>
      </c>
      <c r="C6102" t="s">
        <v>1499</v>
      </c>
      <c r="D6102" t="s">
        <v>2912</v>
      </c>
      <c r="E6102">
        <v>284331</v>
      </c>
      <c r="F6102" s="11">
        <v>1</v>
      </c>
    </row>
    <row r="6103" spans="1:6" x14ac:dyDescent="0.35">
      <c r="A6103" t="s">
        <v>2857</v>
      </c>
      <c r="B6103" t="s">
        <v>2865</v>
      </c>
      <c r="C6103" t="s">
        <v>1499</v>
      </c>
      <c r="D6103" t="s">
        <v>2913</v>
      </c>
      <c r="E6103">
        <v>0</v>
      </c>
      <c r="F6103" s="11">
        <v>0</v>
      </c>
    </row>
    <row r="6104" spans="1:6" x14ac:dyDescent="0.35">
      <c r="A6104" t="s">
        <v>2857</v>
      </c>
      <c r="B6104" t="s">
        <v>2865</v>
      </c>
      <c r="C6104" t="s">
        <v>1499</v>
      </c>
      <c r="D6104" t="s">
        <v>2914</v>
      </c>
      <c r="E6104">
        <v>0</v>
      </c>
      <c r="F6104" s="11">
        <v>0</v>
      </c>
    </row>
    <row r="6105" spans="1:6" x14ac:dyDescent="0.35">
      <c r="A6105" t="s">
        <v>2857</v>
      </c>
      <c r="B6105" t="s">
        <v>2865</v>
      </c>
      <c r="C6105" t="s">
        <v>1499</v>
      </c>
      <c r="D6105" t="s">
        <v>2915</v>
      </c>
      <c r="E6105">
        <v>1766</v>
      </c>
      <c r="F6105" s="11">
        <v>1</v>
      </c>
    </row>
    <row r="6106" spans="1:6" x14ac:dyDescent="0.35">
      <c r="A6106" t="s">
        <v>2857</v>
      </c>
      <c r="B6106" t="s">
        <v>2865</v>
      </c>
      <c r="C6106" t="s">
        <v>1499</v>
      </c>
      <c r="D6106" t="s">
        <v>2916</v>
      </c>
      <c r="E6106">
        <v>27008.560000000001</v>
      </c>
      <c r="F6106" s="11">
        <v>1</v>
      </c>
    </row>
    <row r="6107" spans="1:6" x14ac:dyDescent="0.35">
      <c r="A6107" t="s">
        <v>2857</v>
      </c>
      <c r="B6107" t="s">
        <v>2865</v>
      </c>
      <c r="C6107" t="s">
        <v>1499</v>
      </c>
      <c r="D6107" t="s">
        <v>2917</v>
      </c>
      <c r="E6107">
        <v>0</v>
      </c>
      <c r="F6107" s="11">
        <v>0</v>
      </c>
    </row>
    <row r="6108" spans="1:6" x14ac:dyDescent="0.35">
      <c r="A6108" t="s">
        <v>2857</v>
      </c>
      <c r="B6108" t="s">
        <v>2864</v>
      </c>
      <c r="C6108" t="s">
        <v>1465</v>
      </c>
      <c r="D6108" t="s">
        <v>2875</v>
      </c>
      <c r="E6108">
        <v>49008</v>
      </c>
      <c r="F6108" s="11">
        <v>1</v>
      </c>
    </row>
    <row r="6109" spans="1:6" x14ac:dyDescent="0.35">
      <c r="A6109" t="s">
        <v>2857</v>
      </c>
      <c r="B6109" t="s">
        <v>2864</v>
      </c>
      <c r="C6109" t="s">
        <v>1465</v>
      </c>
      <c r="D6109" t="s">
        <v>2876</v>
      </c>
      <c r="E6109">
        <v>0</v>
      </c>
      <c r="F6109" s="11">
        <v>0</v>
      </c>
    </row>
    <row r="6110" spans="1:6" x14ac:dyDescent="0.35">
      <c r="A6110" t="s">
        <v>2857</v>
      </c>
      <c r="B6110" t="s">
        <v>2864</v>
      </c>
      <c r="C6110" t="s">
        <v>1465</v>
      </c>
      <c r="D6110" t="s">
        <v>2877</v>
      </c>
      <c r="E6110">
        <v>0</v>
      </c>
      <c r="F6110" s="11">
        <v>0</v>
      </c>
    </row>
    <row r="6111" spans="1:6" x14ac:dyDescent="0.35">
      <c r="A6111" t="s">
        <v>2857</v>
      </c>
      <c r="B6111" t="s">
        <v>2864</v>
      </c>
      <c r="C6111" t="s">
        <v>1465</v>
      </c>
      <c r="D6111" t="s">
        <v>2878</v>
      </c>
      <c r="E6111">
        <v>0</v>
      </c>
      <c r="F6111" s="11">
        <v>0</v>
      </c>
    </row>
    <row r="6112" spans="1:6" x14ac:dyDescent="0.35">
      <c r="A6112" t="s">
        <v>2857</v>
      </c>
      <c r="B6112" t="s">
        <v>2864</v>
      </c>
      <c r="C6112" t="s">
        <v>1465</v>
      </c>
      <c r="D6112" t="s">
        <v>2879</v>
      </c>
      <c r="E6112">
        <v>8866</v>
      </c>
      <c r="F6112" s="11">
        <v>1</v>
      </c>
    </row>
    <row r="6113" spans="1:6" x14ac:dyDescent="0.35">
      <c r="A6113" t="s">
        <v>2857</v>
      </c>
      <c r="B6113" t="s">
        <v>2864</v>
      </c>
      <c r="C6113" t="s">
        <v>1465</v>
      </c>
      <c r="D6113" t="s">
        <v>2880</v>
      </c>
      <c r="E6113">
        <v>0</v>
      </c>
      <c r="F6113" s="11">
        <v>0</v>
      </c>
    </row>
    <row r="6114" spans="1:6" x14ac:dyDescent="0.35">
      <c r="A6114" t="s">
        <v>2857</v>
      </c>
      <c r="B6114" t="s">
        <v>2864</v>
      </c>
      <c r="C6114" t="s">
        <v>1465</v>
      </c>
      <c r="D6114" t="s">
        <v>2881</v>
      </c>
      <c r="E6114">
        <v>0</v>
      </c>
      <c r="F6114" s="11">
        <v>0</v>
      </c>
    </row>
    <row r="6115" spans="1:6" x14ac:dyDescent="0.35">
      <c r="A6115" t="s">
        <v>2857</v>
      </c>
      <c r="B6115" t="s">
        <v>2864</v>
      </c>
      <c r="C6115" t="s">
        <v>1465</v>
      </c>
      <c r="D6115" t="s">
        <v>2882</v>
      </c>
      <c r="E6115">
        <v>0</v>
      </c>
      <c r="F6115" s="11">
        <v>0</v>
      </c>
    </row>
    <row r="6116" spans="1:6" x14ac:dyDescent="0.35">
      <c r="A6116" t="s">
        <v>2857</v>
      </c>
      <c r="B6116" t="s">
        <v>2864</v>
      </c>
      <c r="C6116" t="s">
        <v>1465</v>
      </c>
      <c r="D6116" t="s">
        <v>2883</v>
      </c>
      <c r="E6116">
        <v>53</v>
      </c>
      <c r="F6116" s="11">
        <v>1</v>
      </c>
    </row>
    <row r="6117" spans="1:6" x14ac:dyDescent="0.35">
      <c r="A6117" t="s">
        <v>2857</v>
      </c>
      <c r="B6117" t="s">
        <v>2864</v>
      </c>
      <c r="C6117" t="s">
        <v>1465</v>
      </c>
      <c r="D6117" t="s">
        <v>2884</v>
      </c>
      <c r="E6117">
        <v>0</v>
      </c>
      <c r="F6117" s="11">
        <v>0</v>
      </c>
    </row>
    <row r="6118" spans="1:6" x14ac:dyDescent="0.35">
      <c r="A6118" t="s">
        <v>2857</v>
      </c>
      <c r="B6118" t="s">
        <v>2864</v>
      </c>
      <c r="C6118" t="s">
        <v>1465</v>
      </c>
      <c r="D6118" t="s">
        <v>2885</v>
      </c>
      <c r="E6118">
        <v>0</v>
      </c>
      <c r="F6118" s="11">
        <v>0</v>
      </c>
    </row>
    <row r="6119" spans="1:6" x14ac:dyDescent="0.35">
      <c r="A6119" t="s">
        <v>2857</v>
      </c>
      <c r="B6119" t="s">
        <v>2864</v>
      </c>
      <c r="C6119" t="s">
        <v>1465</v>
      </c>
      <c r="D6119" t="s">
        <v>2886</v>
      </c>
      <c r="E6119">
        <v>0</v>
      </c>
      <c r="F6119" s="11">
        <v>0</v>
      </c>
    </row>
    <row r="6120" spans="1:6" x14ac:dyDescent="0.35">
      <c r="A6120" t="s">
        <v>2857</v>
      </c>
      <c r="B6120" t="s">
        <v>2864</v>
      </c>
      <c r="C6120" t="s">
        <v>1465</v>
      </c>
      <c r="D6120" t="s">
        <v>2887</v>
      </c>
      <c r="E6120">
        <v>102982</v>
      </c>
      <c r="F6120" s="11">
        <v>1</v>
      </c>
    </row>
    <row r="6121" spans="1:6" x14ac:dyDescent="0.35">
      <c r="A6121" t="s">
        <v>2857</v>
      </c>
      <c r="B6121" t="s">
        <v>2864</v>
      </c>
      <c r="C6121" t="s">
        <v>1465</v>
      </c>
      <c r="D6121" t="s">
        <v>2888</v>
      </c>
      <c r="E6121">
        <v>0</v>
      </c>
      <c r="F6121" s="11">
        <v>0</v>
      </c>
    </row>
    <row r="6122" spans="1:6" x14ac:dyDescent="0.35">
      <c r="A6122" t="s">
        <v>2857</v>
      </c>
      <c r="B6122" t="s">
        <v>2864</v>
      </c>
      <c r="C6122" t="s">
        <v>1465</v>
      </c>
      <c r="D6122" t="s">
        <v>2889</v>
      </c>
      <c r="E6122">
        <v>0</v>
      </c>
      <c r="F6122" s="11">
        <v>0</v>
      </c>
    </row>
    <row r="6123" spans="1:6" x14ac:dyDescent="0.35">
      <c r="A6123" t="s">
        <v>2857</v>
      </c>
      <c r="B6123" t="s">
        <v>2864</v>
      </c>
      <c r="C6123" t="s">
        <v>1465</v>
      </c>
      <c r="D6123" t="s">
        <v>2890</v>
      </c>
      <c r="E6123">
        <v>0</v>
      </c>
      <c r="F6123" s="11">
        <v>0</v>
      </c>
    </row>
    <row r="6124" spans="1:6" x14ac:dyDescent="0.35">
      <c r="A6124" t="s">
        <v>2857</v>
      </c>
      <c r="B6124" t="s">
        <v>2864</v>
      </c>
      <c r="C6124" t="s">
        <v>1465</v>
      </c>
      <c r="D6124" t="s">
        <v>2891</v>
      </c>
      <c r="E6124">
        <v>8516</v>
      </c>
      <c r="F6124" s="11">
        <v>1</v>
      </c>
    </row>
    <row r="6125" spans="1:6" x14ac:dyDescent="0.35">
      <c r="A6125" t="s">
        <v>2857</v>
      </c>
      <c r="B6125" t="s">
        <v>2864</v>
      </c>
      <c r="C6125" t="s">
        <v>1465</v>
      </c>
      <c r="D6125" t="s">
        <v>2892</v>
      </c>
      <c r="E6125">
        <v>0</v>
      </c>
      <c r="F6125" s="11">
        <v>0</v>
      </c>
    </row>
    <row r="6126" spans="1:6" x14ac:dyDescent="0.35">
      <c r="A6126" t="s">
        <v>2857</v>
      </c>
      <c r="B6126" t="s">
        <v>2864</v>
      </c>
      <c r="C6126" t="s">
        <v>1465</v>
      </c>
      <c r="D6126" t="s">
        <v>2893</v>
      </c>
      <c r="E6126">
        <v>0</v>
      </c>
      <c r="F6126" s="11">
        <v>0</v>
      </c>
    </row>
    <row r="6127" spans="1:6" x14ac:dyDescent="0.35">
      <c r="A6127" t="s">
        <v>2857</v>
      </c>
      <c r="B6127" t="s">
        <v>2864</v>
      </c>
      <c r="C6127" t="s">
        <v>1465</v>
      </c>
      <c r="D6127" t="s">
        <v>2894</v>
      </c>
      <c r="E6127">
        <v>0</v>
      </c>
      <c r="F6127" s="11">
        <v>0</v>
      </c>
    </row>
    <row r="6128" spans="1:6" x14ac:dyDescent="0.35">
      <c r="A6128" t="s">
        <v>2857</v>
      </c>
      <c r="B6128" t="s">
        <v>2864</v>
      </c>
      <c r="C6128" t="s">
        <v>1465</v>
      </c>
      <c r="D6128" t="s">
        <v>2895</v>
      </c>
      <c r="E6128">
        <v>962242</v>
      </c>
      <c r="F6128" s="11">
        <v>1</v>
      </c>
    </row>
    <row r="6129" spans="1:6" x14ac:dyDescent="0.35">
      <c r="A6129" t="s">
        <v>2857</v>
      </c>
      <c r="B6129" t="s">
        <v>2864</v>
      </c>
      <c r="C6129" t="s">
        <v>1465</v>
      </c>
      <c r="D6129" t="s">
        <v>2896</v>
      </c>
      <c r="E6129">
        <v>0</v>
      </c>
      <c r="F6129" s="11">
        <v>0</v>
      </c>
    </row>
    <row r="6130" spans="1:6" x14ac:dyDescent="0.35">
      <c r="A6130" t="s">
        <v>2857</v>
      </c>
      <c r="B6130" t="s">
        <v>2864</v>
      </c>
      <c r="C6130" t="s">
        <v>1465</v>
      </c>
      <c r="D6130" t="s">
        <v>2897</v>
      </c>
      <c r="E6130">
        <v>0</v>
      </c>
      <c r="F6130" s="11">
        <v>0</v>
      </c>
    </row>
    <row r="6131" spans="1:6" x14ac:dyDescent="0.35">
      <c r="A6131" t="s">
        <v>2857</v>
      </c>
      <c r="B6131" t="s">
        <v>2864</v>
      </c>
      <c r="C6131" t="s">
        <v>1465</v>
      </c>
      <c r="D6131" t="s">
        <v>2898</v>
      </c>
      <c r="E6131">
        <v>0</v>
      </c>
      <c r="F6131" s="11">
        <v>0</v>
      </c>
    </row>
    <row r="6132" spans="1:6" x14ac:dyDescent="0.35">
      <c r="A6132" t="s">
        <v>2857</v>
      </c>
      <c r="B6132" t="s">
        <v>2864</v>
      </c>
      <c r="C6132" t="s">
        <v>1465</v>
      </c>
      <c r="D6132" t="s">
        <v>2899</v>
      </c>
      <c r="E6132">
        <v>0</v>
      </c>
      <c r="F6132" s="11">
        <v>0</v>
      </c>
    </row>
    <row r="6133" spans="1:6" x14ac:dyDescent="0.35">
      <c r="A6133" t="s">
        <v>2857</v>
      </c>
      <c r="B6133" t="s">
        <v>2864</v>
      </c>
      <c r="C6133" t="s">
        <v>1465</v>
      </c>
      <c r="D6133" t="s">
        <v>2900</v>
      </c>
      <c r="E6133">
        <v>0</v>
      </c>
      <c r="F6133" s="11">
        <v>0</v>
      </c>
    </row>
    <row r="6134" spans="1:6" x14ac:dyDescent="0.35">
      <c r="A6134" t="s">
        <v>2857</v>
      </c>
      <c r="B6134" t="s">
        <v>2864</v>
      </c>
      <c r="C6134" t="s">
        <v>1465</v>
      </c>
      <c r="D6134" t="s">
        <v>2901</v>
      </c>
      <c r="E6134">
        <v>0</v>
      </c>
      <c r="F6134" s="11">
        <v>0</v>
      </c>
    </row>
    <row r="6135" spans="1:6" x14ac:dyDescent="0.35">
      <c r="A6135" t="s">
        <v>2857</v>
      </c>
      <c r="B6135" t="s">
        <v>2864</v>
      </c>
      <c r="C6135" t="s">
        <v>1465</v>
      </c>
      <c r="D6135" t="s">
        <v>2902</v>
      </c>
      <c r="E6135">
        <v>0</v>
      </c>
      <c r="F6135" s="11">
        <v>0</v>
      </c>
    </row>
    <row r="6136" spans="1:6" x14ac:dyDescent="0.35">
      <c r="A6136" t="s">
        <v>2857</v>
      </c>
      <c r="B6136" t="s">
        <v>2864</v>
      </c>
      <c r="C6136" t="s">
        <v>1465</v>
      </c>
      <c r="D6136" t="s">
        <v>2903</v>
      </c>
      <c r="E6136">
        <v>75054</v>
      </c>
      <c r="F6136" s="11">
        <v>1</v>
      </c>
    </row>
    <row r="6137" spans="1:6" x14ac:dyDescent="0.35">
      <c r="A6137" t="s">
        <v>2857</v>
      </c>
      <c r="B6137" t="s">
        <v>2864</v>
      </c>
      <c r="C6137" t="s">
        <v>1465</v>
      </c>
      <c r="D6137" t="s">
        <v>2904</v>
      </c>
      <c r="E6137">
        <v>0</v>
      </c>
      <c r="F6137" s="11">
        <v>0</v>
      </c>
    </row>
    <row r="6138" spans="1:6" x14ac:dyDescent="0.35">
      <c r="A6138" t="s">
        <v>2857</v>
      </c>
      <c r="B6138" t="s">
        <v>2864</v>
      </c>
      <c r="C6138" t="s">
        <v>1465</v>
      </c>
      <c r="D6138" t="s">
        <v>2905</v>
      </c>
      <c r="E6138">
        <v>0</v>
      </c>
      <c r="F6138" s="11">
        <v>0</v>
      </c>
    </row>
    <row r="6139" spans="1:6" x14ac:dyDescent="0.35">
      <c r="A6139" t="s">
        <v>2857</v>
      </c>
      <c r="B6139" t="s">
        <v>2864</v>
      </c>
      <c r="C6139" t="s">
        <v>1465</v>
      </c>
      <c r="D6139" t="s">
        <v>2906</v>
      </c>
      <c r="E6139">
        <v>0</v>
      </c>
      <c r="F6139" s="11">
        <v>0</v>
      </c>
    </row>
    <row r="6140" spans="1:6" x14ac:dyDescent="0.35">
      <c r="A6140" t="s">
        <v>2857</v>
      </c>
      <c r="B6140" t="s">
        <v>2864</v>
      </c>
      <c r="C6140" t="s">
        <v>1465</v>
      </c>
      <c r="D6140" t="s">
        <v>2907</v>
      </c>
      <c r="E6140">
        <v>297617</v>
      </c>
      <c r="F6140" s="11">
        <v>1</v>
      </c>
    </row>
    <row r="6141" spans="1:6" x14ac:dyDescent="0.35">
      <c r="A6141" t="s">
        <v>2857</v>
      </c>
      <c r="B6141" t="s">
        <v>2864</v>
      </c>
      <c r="C6141" t="s">
        <v>1465</v>
      </c>
      <c r="D6141" t="s">
        <v>2908</v>
      </c>
      <c r="E6141">
        <v>0</v>
      </c>
      <c r="F6141" s="11">
        <v>0</v>
      </c>
    </row>
    <row r="6142" spans="1:6" x14ac:dyDescent="0.35">
      <c r="A6142" t="s">
        <v>2857</v>
      </c>
      <c r="B6142" t="s">
        <v>2864</v>
      </c>
      <c r="C6142" t="s">
        <v>1465</v>
      </c>
      <c r="D6142" t="s">
        <v>2909</v>
      </c>
      <c r="E6142">
        <v>0</v>
      </c>
      <c r="F6142" s="11">
        <v>0</v>
      </c>
    </row>
    <row r="6143" spans="1:6" x14ac:dyDescent="0.35">
      <c r="A6143" t="s">
        <v>2857</v>
      </c>
      <c r="B6143" t="s">
        <v>2864</v>
      </c>
      <c r="C6143" t="s">
        <v>1465</v>
      </c>
      <c r="D6143" t="s">
        <v>2910</v>
      </c>
      <c r="E6143">
        <v>0</v>
      </c>
      <c r="F6143" s="11">
        <v>0</v>
      </c>
    </row>
    <row r="6144" spans="1:6" x14ac:dyDescent="0.35">
      <c r="A6144" t="s">
        <v>2857</v>
      </c>
      <c r="B6144" t="s">
        <v>2864</v>
      </c>
      <c r="C6144" t="s">
        <v>1465</v>
      </c>
      <c r="D6144" t="s">
        <v>2911</v>
      </c>
      <c r="E6144">
        <v>888259</v>
      </c>
      <c r="F6144" s="11">
        <v>1</v>
      </c>
    </row>
    <row r="6145" spans="1:6" x14ac:dyDescent="0.35">
      <c r="A6145" t="s">
        <v>2857</v>
      </c>
      <c r="B6145" t="s">
        <v>2864</v>
      </c>
      <c r="C6145" t="s">
        <v>1465</v>
      </c>
      <c r="D6145" t="s">
        <v>2912</v>
      </c>
      <c r="E6145">
        <v>0</v>
      </c>
      <c r="F6145" s="11">
        <v>0</v>
      </c>
    </row>
    <row r="6146" spans="1:6" x14ac:dyDescent="0.35">
      <c r="A6146" t="s">
        <v>2857</v>
      </c>
      <c r="B6146" t="s">
        <v>2864</v>
      </c>
      <c r="C6146" t="s">
        <v>1465</v>
      </c>
      <c r="D6146" t="s">
        <v>2913</v>
      </c>
      <c r="E6146">
        <v>0</v>
      </c>
      <c r="F6146" s="11">
        <v>0</v>
      </c>
    </row>
    <row r="6147" spans="1:6" x14ac:dyDescent="0.35">
      <c r="A6147" t="s">
        <v>2857</v>
      </c>
      <c r="B6147" t="s">
        <v>2864</v>
      </c>
      <c r="C6147" t="s">
        <v>1465</v>
      </c>
      <c r="D6147" t="s">
        <v>2914</v>
      </c>
      <c r="E6147">
        <v>0</v>
      </c>
      <c r="F6147" s="11">
        <v>0</v>
      </c>
    </row>
    <row r="6148" spans="1:6" x14ac:dyDescent="0.35">
      <c r="A6148" t="s">
        <v>2857</v>
      </c>
      <c r="B6148" t="s">
        <v>2864</v>
      </c>
      <c r="C6148" t="s">
        <v>1465</v>
      </c>
      <c r="D6148" t="s">
        <v>2915</v>
      </c>
      <c r="E6148">
        <v>6348</v>
      </c>
      <c r="F6148" s="11">
        <v>1</v>
      </c>
    </row>
    <row r="6149" spans="1:6" x14ac:dyDescent="0.35">
      <c r="A6149" t="s">
        <v>2857</v>
      </c>
      <c r="B6149" t="s">
        <v>2864</v>
      </c>
      <c r="C6149" t="s">
        <v>1465</v>
      </c>
      <c r="D6149" t="s">
        <v>2916</v>
      </c>
      <c r="E6149">
        <v>39562</v>
      </c>
      <c r="F6149" s="11">
        <v>1</v>
      </c>
    </row>
    <row r="6150" spans="1:6" x14ac:dyDescent="0.35">
      <c r="A6150" t="s">
        <v>2857</v>
      </c>
      <c r="B6150" t="s">
        <v>2864</v>
      </c>
      <c r="C6150" t="s">
        <v>1465</v>
      </c>
      <c r="D6150" t="s">
        <v>2917</v>
      </c>
      <c r="E6150">
        <v>0</v>
      </c>
      <c r="F6150" s="11">
        <v>0</v>
      </c>
    </row>
    <row r="6151" spans="1:6" x14ac:dyDescent="0.35">
      <c r="A6151" t="s">
        <v>2857</v>
      </c>
      <c r="B6151" t="s">
        <v>2863</v>
      </c>
      <c r="C6151" t="s">
        <v>1533</v>
      </c>
      <c r="D6151" t="s">
        <v>2875</v>
      </c>
      <c r="E6151">
        <v>21642</v>
      </c>
      <c r="F6151" s="11">
        <v>1</v>
      </c>
    </row>
    <row r="6152" spans="1:6" x14ac:dyDescent="0.35">
      <c r="A6152" t="s">
        <v>2857</v>
      </c>
      <c r="B6152" t="s">
        <v>2863</v>
      </c>
      <c r="C6152" t="s">
        <v>1533</v>
      </c>
      <c r="D6152" t="s">
        <v>2876</v>
      </c>
      <c r="E6152">
        <v>0</v>
      </c>
      <c r="F6152" s="11">
        <v>0</v>
      </c>
    </row>
    <row r="6153" spans="1:6" x14ac:dyDescent="0.35">
      <c r="A6153" t="s">
        <v>2857</v>
      </c>
      <c r="B6153" t="s">
        <v>2863</v>
      </c>
      <c r="C6153" t="s">
        <v>1533</v>
      </c>
      <c r="D6153" t="s">
        <v>2877</v>
      </c>
      <c r="E6153">
        <v>0</v>
      </c>
      <c r="F6153" s="11">
        <v>0</v>
      </c>
    </row>
    <row r="6154" spans="1:6" x14ac:dyDescent="0.35">
      <c r="A6154" t="s">
        <v>2857</v>
      </c>
      <c r="B6154" t="s">
        <v>2863</v>
      </c>
      <c r="C6154" t="s">
        <v>1533</v>
      </c>
      <c r="D6154" t="s">
        <v>2878</v>
      </c>
      <c r="E6154">
        <v>0</v>
      </c>
      <c r="F6154" s="11">
        <v>0</v>
      </c>
    </row>
    <row r="6155" spans="1:6" x14ac:dyDescent="0.35">
      <c r="A6155" t="s">
        <v>2857</v>
      </c>
      <c r="B6155" t="s">
        <v>2863</v>
      </c>
      <c r="C6155" t="s">
        <v>1533</v>
      </c>
      <c r="D6155" t="s">
        <v>2879</v>
      </c>
      <c r="E6155">
        <v>10886</v>
      </c>
      <c r="F6155" s="11">
        <v>0</v>
      </c>
    </row>
    <row r="6156" spans="1:6" x14ac:dyDescent="0.35">
      <c r="A6156" t="s">
        <v>2857</v>
      </c>
      <c r="B6156" t="s">
        <v>2863</v>
      </c>
      <c r="C6156" t="s">
        <v>1533</v>
      </c>
      <c r="D6156" t="s">
        <v>2880</v>
      </c>
      <c r="E6156">
        <v>5348</v>
      </c>
      <c r="F6156" s="11">
        <v>0</v>
      </c>
    </row>
    <row r="6157" spans="1:6" x14ac:dyDescent="0.35">
      <c r="A6157" t="s">
        <v>2857</v>
      </c>
      <c r="B6157" t="s">
        <v>2863</v>
      </c>
      <c r="C6157" t="s">
        <v>1533</v>
      </c>
      <c r="D6157" t="s">
        <v>2881</v>
      </c>
      <c r="E6157">
        <v>0</v>
      </c>
      <c r="F6157" s="11">
        <v>1</v>
      </c>
    </row>
    <row r="6158" spans="1:6" x14ac:dyDescent="0.35">
      <c r="A6158" t="s">
        <v>2857</v>
      </c>
      <c r="B6158" t="s">
        <v>2863</v>
      </c>
      <c r="C6158" t="s">
        <v>1533</v>
      </c>
      <c r="D6158" t="s">
        <v>2882</v>
      </c>
      <c r="E6158">
        <v>5538</v>
      </c>
      <c r="F6158" s="11">
        <v>0</v>
      </c>
    </row>
    <row r="6159" spans="1:6" x14ac:dyDescent="0.35">
      <c r="A6159" t="s">
        <v>2857</v>
      </c>
      <c r="B6159" t="s">
        <v>2863</v>
      </c>
      <c r="C6159" t="s">
        <v>1533</v>
      </c>
      <c r="D6159" t="s">
        <v>2883</v>
      </c>
      <c r="E6159">
        <v>0</v>
      </c>
      <c r="F6159" s="11">
        <v>0</v>
      </c>
    </row>
    <row r="6160" spans="1:6" x14ac:dyDescent="0.35">
      <c r="A6160" t="s">
        <v>2857</v>
      </c>
      <c r="B6160" t="s">
        <v>2863</v>
      </c>
      <c r="C6160" t="s">
        <v>1533</v>
      </c>
      <c r="D6160" t="s">
        <v>2884</v>
      </c>
      <c r="E6160">
        <v>0</v>
      </c>
      <c r="F6160" s="11">
        <v>0</v>
      </c>
    </row>
    <row r="6161" spans="1:6" x14ac:dyDescent="0.35">
      <c r="A6161" t="s">
        <v>2857</v>
      </c>
      <c r="B6161" t="s">
        <v>2863</v>
      </c>
      <c r="C6161" t="s">
        <v>1533</v>
      </c>
      <c r="D6161" t="s">
        <v>2885</v>
      </c>
      <c r="E6161">
        <v>0</v>
      </c>
      <c r="F6161" s="11">
        <v>0</v>
      </c>
    </row>
    <row r="6162" spans="1:6" x14ac:dyDescent="0.35">
      <c r="A6162" t="s">
        <v>2857</v>
      </c>
      <c r="B6162" t="s">
        <v>2863</v>
      </c>
      <c r="C6162" t="s">
        <v>1533</v>
      </c>
      <c r="D6162" t="s">
        <v>2886</v>
      </c>
      <c r="E6162">
        <v>0</v>
      </c>
      <c r="F6162" s="11">
        <v>0</v>
      </c>
    </row>
    <row r="6163" spans="1:6" x14ac:dyDescent="0.35">
      <c r="A6163" t="s">
        <v>2857</v>
      </c>
      <c r="B6163" t="s">
        <v>2863</v>
      </c>
      <c r="C6163" t="s">
        <v>1533</v>
      </c>
      <c r="D6163" t="s">
        <v>2887</v>
      </c>
      <c r="E6163">
        <v>0</v>
      </c>
      <c r="F6163" s="11">
        <v>0</v>
      </c>
    </row>
    <row r="6164" spans="1:6" x14ac:dyDescent="0.35">
      <c r="A6164" t="s">
        <v>2857</v>
      </c>
      <c r="B6164" t="s">
        <v>2863</v>
      </c>
      <c r="C6164" t="s">
        <v>1533</v>
      </c>
      <c r="D6164" t="s">
        <v>2888</v>
      </c>
      <c r="E6164">
        <v>45911</v>
      </c>
      <c r="F6164" s="11">
        <v>1</v>
      </c>
    </row>
    <row r="6165" spans="1:6" x14ac:dyDescent="0.35">
      <c r="A6165" t="s">
        <v>2857</v>
      </c>
      <c r="B6165" t="s">
        <v>2863</v>
      </c>
      <c r="C6165" t="s">
        <v>1533</v>
      </c>
      <c r="D6165" t="s">
        <v>2889</v>
      </c>
      <c r="E6165">
        <v>1471</v>
      </c>
      <c r="F6165" s="11">
        <v>1</v>
      </c>
    </row>
    <row r="6166" spans="1:6" x14ac:dyDescent="0.35">
      <c r="A6166" t="s">
        <v>2857</v>
      </c>
      <c r="B6166" t="s">
        <v>2863</v>
      </c>
      <c r="C6166" t="s">
        <v>1533</v>
      </c>
      <c r="D6166" t="s">
        <v>2890</v>
      </c>
      <c r="E6166">
        <v>71606</v>
      </c>
      <c r="F6166" s="11">
        <v>1</v>
      </c>
    </row>
    <row r="6167" spans="1:6" x14ac:dyDescent="0.35">
      <c r="A6167" t="s">
        <v>2857</v>
      </c>
      <c r="B6167" t="s">
        <v>2863</v>
      </c>
      <c r="C6167" t="s">
        <v>1533</v>
      </c>
      <c r="D6167" t="s">
        <v>2891</v>
      </c>
      <c r="E6167">
        <v>0</v>
      </c>
      <c r="F6167" s="11">
        <v>0</v>
      </c>
    </row>
    <row r="6168" spans="1:6" x14ac:dyDescent="0.35">
      <c r="A6168" t="s">
        <v>2857</v>
      </c>
      <c r="B6168" t="s">
        <v>2863</v>
      </c>
      <c r="C6168" t="s">
        <v>1533</v>
      </c>
      <c r="D6168" t="s">
        <v>2892</v>
      </c>
      <c r="E6168">
        <v>0</v>
      </c>
      <c r="F6168" s="11">
        <v>0</v>
      </c>
    </row>
    <row r="6169" spans="1:6" x14ac:dyDescent="0.35">
      <c r="A6169" t="s">
        <v>2857</v>
      </c>
      <c r="B6169" t="s">
        <v>2863</v>
      </c>
      <c r="C6169" t="s">
        <v>1533</v>
      </c>
      <c r="D6169" t="s">
        <v>2893</v>
      </c>
      <c r="E6169">
        <v>0</v>
      </c>
      <c r="F6169" s="11">
        <v>0</v>
      </c>
    </row>
    <row r="6170" spans="1:6" x14ac:dyDescent="0.35">
      <c r="A6170" t="s">
        <v>2857</v>
      </c>
      <c r="B6170" t="s">
        <v>2863</v>
      </c>
      <c r="C6170" t="s">
        <v>1533</v>
      </c>
      <c r="D6170" t="s">
        <v>2894</v>
      </c>
      <c r="E6170">
        <v>0</v>
      </c>
      <c r="F6170" s="11">
        <v>0</v>
      </c>
    </row>
    <row r="6171" spans="1:6" x14ac:dyDescent="0.35">
      <c r="A6171" t="s">
        <v>2857</v>
      </c>
      <c r="B6171" t="s">
        <v>2863</v>
      </c>
      <c r="C6171" t="s">
        <v>1533</v>
      </c>
      <c r="D6171" t="s">
        <v>2895</v>
      </c>
      <c r="E6171">
        <v>718624</v>
      </c>
      <c r="F6171" s="11">
        <v>1</v>
      </c>
    </row>
    <row r="6172" spans="1:6" x14ac:dyDescent="0.35">
      <c r="A6172" t="s">
        <v>2857</v>
      </c>
      <c r="B6172" t="s">
        <v>2863</v>
      </c>
      <c r="C6172" t="s">
        <v>1533</v>
      </c>
      <c r="D6172" t="s">
        <v>2896</v>
      </c>
      <c r="E6172">
        <v>0</v>
      </c>
      <c r="F6172" s="11">
        <v>1</v>
      </c>
    </row>
    <row r="6173" spans="1:6" x14ac:dyDescent="0.35">
      <c r="A6173" t="s">
        <v>2857</v>
      </c>
      <c r="B6173" t="s">
        <v>2863</v>
      </c>
      <c r="C6173" t="s">
        <v>1533</v>
      </c>
      <c r="D6173" t="s">
        <v>2897</v>
      </c>
      <c r="E6173">
        <v>0</v>
      </c>
      <c r="F6173" s="11">
        <v>1</v>
      </c>
    </row>
    <row r="6174" spans="1:6" x14ac:dyDescent="0.35">
      <c r="A6174" t="s">
        <v>2857</v>
      </c>
      <c r="B6174" t="s">
        <v>2863</v>
      </c>
      <c r="C6174" t="s">
        <v>1533</v>
      </c>
      <c r="D6174" t="s">
        <v>2898</v>
      </c>
      <c r="E6174">
        <v>0</v>
      </c>
      <c r="F6174" s="11">
        <v>0</v>
      </c>
    </row>
    <row r="6175" spans="1:6" x14ac:dyDescent="0.35">
      <c r="A6175" t="s">
        <v>2857</v>
      </c>
      <c r="B6175" t="s">
        <v>2863</v>
      </c>
      <c r="C6175" t="s">
        <v>1533</v>
      </c>
      <c r="D6175" t="s">
        <v>2899</v>
      </c>
      <c r="E6175">
        <v>18223</v>
      </c>
      <c r="F6175" s="11">
        <v>1</v>
      </c>
    </row>
    <row r="6176" spans="1:6" x14ac:dyDescent="0.35">
      <c r="A6176" t="s">
        <v>2857</v>
      </c>
      <c r="B6176" t="s">
        <v>2863</v>
      </c>
      <c r="C6176" t="s">
        <v>1533</v>
      </c>
      <c r="D6176" t="s">
        <v>2900</v>
      </c>
      <c r="E6176">
        <v>0</v>
      </c>
      <c r="F6176" s="11">
        <v>0</v>
      </c>
    </row>
    <row r="6177" spans="1:6" x14ac:dyDescent="0.35">
      <c r="A6177" t="s">
        <v>2857</v>
      </c>
      <c r="B6177" t="s">
        <v>2863</v>
      </c>
      <c r="C6177" t="s">
        <v>1533</v>
      </c>
      <c r="D6177" t="s">
        <v>2901</v>
      </c>
      <c r="E6177">
        <v>0</v>
      </c>
      <c r="F6177" s="11">
        <v>0</v>
      </c>
    </row>
    <row r="6178" spans="1:6" x14ac:dyDescent="0.35">
      <c r="A6178" t="s">
        <v>2857</v>
      </c>
      <c r="B6178" t="s">
        <v>2863</v>
      </c>
      <c r="C6178" t="s">
        <v>1533</v>
      </c>
      <c r="D6178" t="s">
        <v>2902</v>
      </c>
      <c r="E6178">
        <v>0</v>
      </c>
      <c r="F6178" s="11">
        <v>0</v>
      </c>
    </row>
    <row r="6179" spans="1:6" x14ac:dyDescent="0.35">
      <c r="A6179" t="s">
        <v>2857</v>
      </c>
      <c r="B6179" t="s">
        <v>2863</v>
      </c>
      <c r="C6179" t="s">
        <v>1533</v>
      </c>
      <c r="D6179" t="s">
        <v>2903</v>
      </c>
      <c r="E6179">
        <v>33207</v>
      </c>
      <c r="F6179" s="11">
        <v>1</v>
      </c>
    </row>
    <row r="6180" spans="1:6" x14ac:dyDescent="0.35">
      <c r="A6180" t="s">
        <v>2857</v>
      </c>
      <c r="B6180" t="s">
        <v>2863</v>
      </c>
      <c r="C6180" t="s">
        <v>1533</v>
      </c>
      <c r="D6180" t="s">
        <v>2904</v>
      </c>
      <c r="E6180">
        <v>0</v>
      </c>
      <c r="F6180" s="11">
        <v>0</v>
      </c>
    </row>
    <row r="6181" spans="1:6" x14ac:dyDescent="0.35">
      <c r="A6181" t="s">
        <v>2857</v>
      </c>
      <c r="B6181" t="s">
        <v>2863</v>
      </c>
      <c r="C6181" t="s">
        <v>1533</v>
      </c>
      <c r="D6181" t="s">
        <v>2905</v>
      </c>
      <c r="E6181">
        <v>0</v>
      </c>
      <c r="F6181" s="11">
        <v>0</v>
      </c>
    </row>
    <row r="6182" spans="1:6" x14ac:dyDescent="0.35">
      <c r="A6182" t="s">
        <v>2857</v>
      </c>
      <c r="B6182" t="s">
        <v>2863</v>
      </c>
      <c r="C6182" t="s">
        <v>1533</v>
      </c>
      <c r="D6182" t="s">
        <v>2906</v>
      </c>
      <c r="E6182">
        <v>0</v>
      </c>
      <c r="F6182" s="11">
        <v>0</v>
      </c>
    </row>
    <row r="6183" spans="1:6" x14ac:dyDescent="0.35">
      <c r="A6183" t="s">
        <v>2857</v>
      </c>
      <c r="B6183" t="s">
        <v>2863</v>
      </c>
      <c r="C6183" t="s">
        <v>1533</v>
      </c>
      <c r="D6183" t="s">
        <v>2907</v>
      </c>
      <c r="E6183">
        <v>51461</v>
      </c>
      <c r="F6183" s="11">
        <v>1</v>
      </c>
    </row>
    <row r="6184" spans="1:6" x14ac:dyDescent="0.35">
      <c r="A6184" t="s">
        <v>2857</v>
      </c>
      <c r="B6184" t="s">
        <v>2863</v>
      </c>
      <c r="C6184" t="s">
        <v>1533</v>
      </c>
      <c r="D6184" t="s">
        <v>2908</v>
      </c>
      <c r="E6184">
        <v>0</v>
      </c>
      <c r="F6184" s="11">
        <v>0</v>
      </c>
    </row>
    <row r="6185" spans="1:6" x14ac:dyDescent="0.35">
      <c r="A6185" t="s">
        <v>2857</v>
      </c>
      <c r="B6185" t="s">
        <v>2863</v>
      </c>
      <c r="C6185" t="s">
        <v>1533</v>
      </c>
      <c r="D6185" t="s">
        <v>2909</v>
      </c>
      <c r="E6185">
        <v>0</v>
      </c>
      <c r="F6185" s="11">
        <v>0</v>
      </c>
    </row>
    <row r="6186" spans="1:6" x14ac:dyDescent="0.35">
      <c r="A6186" t="s">
        <v>2857</v>
      </c>
      <c r="B6186" t="s">
        <v>2863</v>
      </c>
      <c r="C6186" t="s">
        <v>1533</v>
      </c>
      <c r="D6186" t="s">
        <v>2910</v>
      </c>
      <c r="E6186">
        <v>0</v>
      </c>
      <c r="F6186" s="11">
        <v>0</v>
      </c>
    </row>
    <row r="6187" spans="1:6" x14ac:dyDescent="0.35">
      <c r="A6187" t="s">
        <v>2857</v>
      </c>
      <c r="B6187" t="s">
        <v>2863</v>
      </c>
      <c r="C6187" t="s">
        <v>1533</v>
      </c>
      <c r="D6187" t="s">
        <v>2911</v>
      </c>
      <c r="E6187">
        <v>726951</v>
      </c>
      <c r="F6187" s="11">
        <v>1</v>
      </c>
    </row>
    <row r="6188" spans="1:6" x14ac:dyDescent="0.35">
      <c r="A6188" t="s">
        <v>2857</v>
      </c>
      <c r="B6188" t="s">
        <v>2863</v>
      </c>
      <c r="C6188" t="s">
        <v>1533</v>
      </c>
      <c r="D6188" t="s">
        <v>2912</v>
      </c>
      <c r="E6188">
        <v>0</v>
      </c>
      <c r="F6188" s="11">
        <v>1</v>
      </c>
    </row>
    <row r="6189" spans="1:6" x14ac:dyDescent="0.35">
      <c r="A6189" t="s">
        <v>2857</v>
      </c>
      <c r="B6189" t="s">
        <v>2863</v>
      </c>
      <c r="C6189" t="s">
        <v>1533</v>
      </c>
      <c r="D6189" t="s">
        <v>2913</v>
      </c>
      <c r="E6189">
        <v>0</v>
      </c>
      <c r="F6189" s="11">
        <v>0</v>
      </c>
    </row>
    <row r="6190" spans="1:6" x14ac:dyDescent="0.35">
      <c r="A6190" t="s">
        <v>2857</v>
      </c>
      <c r="B6190" t="s">
        <v>2863</v>
      </c>
      <c r="C6190" t="s">
        <v>1533</v>
      </c>
      <c r="D6190" t="s">
        <v>2914</v>
      </c>
      <c r="E6190">
        <v>0</v>
      </c>
      <c r="F6190" s="11">
        <v>0</v>
      </c>
    </row>
    <row r="6191" spans="1:6" x14ac:dyDescent="0.35">
      <c r="A6191" t="s">
        <v>2857</v>
      </c>
      <c r="B6191" t="s">
        <v>2863</v>
      </c>
      <c r="C6191" t="s">
        <v>1533</v>
      </c>
      <c r="D6191" t="s">
        <v>2915</v>
      </c>
      <c r="E6191">
        <v>0</v>
      </c>
      <c r="F6191" s="11">
        <v>1</v>
      </c>
    </row>
    <row r="6192" spans="1:6" x14ac:dyDescent="0.35">
      <c r="A6192" t="s">
        <v>2857</v>
      </c>
      <c r="B6192" t="s">
        <v>2863</v>
      </c>
      <c r="C6192" t="s">
        <v>1533</v>
      </c>
      <c r="D6192" t="s">
        <v>2916</v>
      </c>
      <c r="E6192">
        <v>82028</v>
      </c>
      <c r="F6192" s="11">
        <v>1</v>
      </c>
    </row>
    <row r="6193" spans="1:6" x14ac:dyDescent="0.35">
      <c r="A6193" t="s">
        <v>2857</v>
      </c>
      <c r="B6193" t="s">
        <v>2863</v>
      </c>
      <c r="C6193" t="s">
        <v>1533</v>
      </c>
      <c r="D6193" t="s">
        <v>2917</v>
      </c>
      <c r="E6193">
        <v>0</v>
      </c>
      <c r="F6193" s="11">
        <v>0</v>
      </c>
    </row>
    <row r="6194" spans="1:6" x14ac:dyDescent="0.35">
      <c r="A6194" t="s">
        <v>2857</v>
      </c>
      <c r="B6194" t="s">
        <v>2862</v>
      </c>
      <c r="C6194" t="s">
        <v>1475</v>
      </c>
      <c r="D6194" t="s">
        <v>2875</v>
      </c>
      <c r="E6194">
        <v>50249</v>
      </c>
      <c r="F6194" s="11">
        <v>1</v>
      </c>
    </row>
    <row r="6195" spans="1:6" x14ac:dyDescent="0.35">
      <c r="A6195" t="s">
        <v>2857</v>
      </c>
      <c r="B6195" t="s">
        <v>2862</v>
      </c>
      <c r="C6195" t="s">
        <v>1475</v>
      </c>
      <c r="D6195" t="s">
        <v>2876</v>
      </c>
      <c r="E6195">
        <v>15225</v>
      </c>
      <c r="F6195" s="11">
        <v>0</v>
      </c>
    </row>
    <row r="6196" spans="1:6" x14ac:dyDescent="0.35">
      <c r="A6196" t="s">
        <v>2857</v>
      </c>
      <c r="B6196" t="s">
        <v>2862</v>
      </c>
      <c r="C6196" t="s">
        <v>1475</v>
      </c>
      <c r="D6196" t="s">
        <v>2877</v>
      </c>
      <c r="E6196">
        <v>2609</v>
      </c>
      <c r="F6196" s="11">
        <v>0</v>
      </c>
    </row>
    <row r="6197" spans="1:6" x14ac:dyDescent="0.35">
      <c r="A6197" t="s">
        <v>2857</v>
      </c>
      <c r="B6197" t="s">
        <v>2862</v>
      </c>
      <c r="C6197" t="s">
        <v>1475</v>
      </c>
      <c r="D6197" t="s">
        <v>2878</v>
      </c>
      <c r="E6197">
        <v>32415</v>
      </c>
      <c r="F6197" s="11">
        <v>0</v>
      </c>
    </row>
    <row r="6198" spans="1:6" x14ac:dyDescent="0.35">
      <c r="A6198" t="s">
        <v>2857</v>
      </c>
      <c r="B6198" t="s">
        <v>2862</v>
      </c>
      <c r="C6198" t="s">
        <v>1475</v>
      </c>
      <c r="D6198" t="s">
        <v>2879</v>
      </c>
      <c r="E6198">
        <v>6613</v>
      </c>
      <c r="F6198" s="11">
        <v>1</v>
      </c>
    </row>
    <row r="6199" spans="1:6" x14ac:dyDescent="0.35">
      <c r="A6199" t="s">
        <v>2857</v>
      </c>
      <c r="B6199" t="s">
        <v>2862</v>
      </c>
      <c r="C6199" t="s">
        <v>1475</v>
      </c>
      <c r="D6199" t="s">
        <v>2880</v>
      </c>
      <c r="E6199">
        <v>2143</v>
      </c>
      <c r="F6199" s="11">
        <v>1</v>
      </c>
    </row>
    <row r="6200" spans="1:6" x14ac:dyDescent="0.35">
      <c r="A6200" t="s">
        <v>2857</v>
      </c>
      <c r="B6200" t="s">
        <v>2862</v>
      </c>
      <c r="C6200" t="s">
        <v>1475</v>
      </c>
      <c r="D6200" t="s">
        <v>2881</v>
      </c>
      <c r="E6200">
        <v>16</v>
      </c>
      <c r="F6200" s="11">
        <v>1</v>
      </c>
    </row>
    <row r="6201" spans="1:6" x14ac:dyDescent="0.35">
      <c r="A6201" t="s">
        <v>2857</v>
      </c>
      <c r="B6201" t="s">
        <v>2862</v>
      </c>
      <c r="C6201" t="s">
        <v>1475</v>
      </c>
      <c r="D6201" t="s">
        <v>2882</v>
      </c>
      <c r="E6201">
        <v>3929</v>
      </c>
      <c r="F6201" s="11">
        <v>1</v>
      </c>
    </row>
    <row r="6202" spans="1:6" x14ac:dyDescent="0.35">
      <c r="A6202" t="s">
        <v>2857</v>
      </c>
      <c r="B6202" t="s">
        <v>2862</v>
      </c>
      <c r="C6202" t="s">
        <v>1475</v>
      </c>
      <c r="D6202" t="s">
        <v>2883</v>
      </c>
      <c r="E6202">
        <v>30</v>
      </c>
      <c r="F6202" s="11">
        <v>1</v>
      </c>
    </row>
    <row r="6203" spans="1:6" x14ac:dyDescent="0.35">
      <c r="A6203" t="s">
        <v>2857</v>
      </c>
      <c r="B6203" t="s">
        <v>2862</v>
      </c>
      <c r="C6203" t="s">
        <v>1475</v>
      </c>
      <c r="D6203" t="s">
        <v>2884</v>
      </c>
      <c r="E6203">
        <v>0</v>
      </c>
      <c r="F6203" s="11">
        <v>1</v>
      </c>
    </row>
    <row r="6204" spans="1:6" x14ac:dyDescent="0.35">
      <c r="A6204" t="s">
        <v>2857</v>
      </c>
      <c r="B6204" t="s">
        <v>2862</v>
      </c>
      <c r="C6204" t="s">
        <v>1475</v>
      </c>
      <c r="D6204" t="s">
        <v>2885</v>
      </c>
      <c r="E6204">
        <v>0</v>
      </c>
      <c r="F6204" s="11">
        <v>0</v>
      </c>
    </row>
    <row r="6205" spans="1:6" x14ac:dyDescent="0.35">
      <c r="A6205" t="s">
        <v>2857</v>
      </c>
      <c r="B6205" t="s">
        <v>2862</v>
      </c>
      <c r="C6205" t="s">
        <v>1475</v>
      </c>
      <c r="D6205" t="s">
        <v>2886</v>
      </c>
      <c r="E6205">
        <v>27</v>
      </c>
      <c r="F6205" s="11">
        <v>0</v>
      </c>
    </row>
    <row r="6206" spans="1:6" x14ac:dyDescent="0.35">
      <c r="A6206" t="s">
        <v>2857</v>
      </c>
      <c r="B6206" t="s">
        <v>2862</v>
      </c>
      <c r="C6206" t="s">
        <v>1475</v>
      </c>
      <c r="D6206" t="s">
        <v>2887</v>
      </c>
      <c r="E6206">
        <v>98073</v>
      </c>
      <c r="F6206" s="11">
        <v>1</v>
      </c>
    </row>
    <row r="6207" spans="1:6" x14ac:dyDescent="0.35">
      <c r="A6207" t="s">
        <v>2857</v>
      </c>
      <c r="B6207" t="s">
        <v>2862</v>
      </c>
      <c r="C6207" t="s">
        <v>1475</v>
      </c>
      <c r="D6207" t="s">
        <v>2888</v>
      </c>
      <c r="E6207">
        <v>0</v>
      </c>
      <c r="F6207" s="11">
        <v>0</v>
      </c>
    </row>
    <row r="6208" spans="1:6" x14ac:dyDescent="0.35">
      <c r="A6208" t="s">
        <v>2857</v>
      </c>
      <c r="B6208" t="s">
        <v>2862</v>
      </c>
      <c r="C6208" t="s">
        <v>1475</v>
      </c>
      <c r="D6208" t="s">
        <v>2889</v>
      </c>
      <c r="E6208">
        <v>0</v>
      </c>
      <c r="F6208" s="11">
        <v>0</v>
      </c>
    </row>
    <row r="6209" spans="1:6" x14ac:dyDescent="0.35">
      <c r="A6209" t="s">
        <v>2857</v>
      </c>
      <c r="B6209" t="s">
        <v>2862</v>
      </c>
      <c r="C6209" t="s">
        <v>1475</v>
      </c>
      <c r="D6209" t="s">
        <v>2890</v>
      </c>
      <c r="E6209">
        <v>0</v>
      </c>
      <c r="F6209" s="11">
        <v>0</v>
      </c>
    </row>
    <row r="6210" spans="1:6" x14ac:dyDescent="0.35">
      <c r="A6210" t="s">
        <v>2857</v>
      </c>
      <c r="B6210" t="s">
        <v>2862</v>
      </c>
      <c r="C6210" t="s">
        <v>1475</v>
      </c>
      <c r="D6210" t="s">
        <v>2891</v>
      </c>
      <c r="E6210">
        <v>340</v>
      </c>
      <c r="F6210" s="11">
        <v>1</v>
      </c>
    </row>
    <row r="6211" spans="1:6" x14ac:dyDescent="0.35">
      <c r="A6211" t="s">
        <v>2857</v>
      </c>
      <c r="B6211" t="s">
        <v>2862</v>
      </c>
      <c r="C6211" t="s">
        <v>1475</v>
      </c>
      <c r="D6211" t="s">
        <v>2892</v>
      </c>
      <c r="E6211">
        <v>0</v>
      </c>
      <c r="F6211" s="11">
        <v>0</v>
      </c>
    </row>
    <row r="6212" spans="1:6" x14ac:dyDescent="0.35">
      <c r="A6212" t="s">
        <v>2857</v>
      </c>
      <c r="B6212" t="s">
        <v>2862</v>
      </c>
      <c r="C6212" t="s">
        <v>1475</v>
      </c>
      <c r="D6212" t="s">
        <v>2893</v>
      </c>
      <c r="E6212">
        <v>0</v>
      </c>
      <c r="F6212" s="11">
        <v>0</v>
      </c>
    </row>
    <row r="6213" spans="1:6" x14ac:dyDescent="0.35">
      <c r="A6213" t="s">
        <v>2857</v>
      </c>
      <c r="B6213" t="s">
        <v>2862</v>
      </c>
      <c r="C6213" t="s">
        <v>1475</v>
      </c>
      <c r="D6213" t="s">
        <v>2894</v>
      </c>
      <c r="E6213">
        <v>0</v>
      </c>
      <c r="F6213" s="11">
        <v>0</v>
      </c>
    </row>
    <row r="6214" spans="1:6" x14ac:dyDescent="0.35">
      <c r="A6214" t="s">
        <v>2857</v>
      </c>
      <c r="B6214" t="s">
        <v>2862</v>
      </c>
      <c r="C6214" t="s">
        <v>1475</v>
      </c>
      <c r="D6214" t="s">
        <v>2895</v>
      </c>
      <c r="E6214">
        <v>1056167</v>
      </c>
      <c r="F6214" s="11">
        <v>1</v>
      </c>
    </row>
    <row r="6215" spans="1:6" x14ac:dyDescent="0.35">
      <c r="A6215" t="s">
        <v>2857</v>
      </c>
      <c r="B6215" t="s">
        <v>2862</v>
      </c>
      <c r="C6215" t="s">
        <v>1475</v>
      </c>
      <c r="D6215" t="s">
        <v>2896</v>
      </c>
      <c r="E6215">
        <v>516118</v>
      </c>
      <c r="F6215" s="11">
        <v>1</v>
      </c>
    </row>
    <row r="6216" spans="1:6" x14ac:dyDescent="0.35">
      <c r="A6216" t="s">
        <v>2857</v>
      </c>
      <c r="B6216" t="s">
        <v>2862</v>
      </c>
      <c r="C6216" t="s">
        <v>1475</v>
      </c>
      <c r="D6216" t="s">
        <v>2897</v>
      </c>
      <c r="E6216">
        <v>13930</v>
      </c>
      <c r="F6216" s="11">
        <v>1</v>
      </c>
    </row>
    <row r="6217" spans="1:6" x14ac:dyDescent="0.35">
      <c r="A6217" t="s">
        <v>2857</v>
      </c>
      <c r="B6217" t="s">
        <v>2862</v>
      </c>
      <c r="C6217" t="s">
        <v>1475</v>
      </c>
      <c r="D6217" t="s">
        <v>2898</v>
      </c>
      <c r="E6217">
        <v>526119</v>
      </c>
      <c r="F6217" s="11">
        <v>1</v>
      </c>
    </row>
    <row r="6218" spans="1:6" x14ac:dyDescent="0.35">
      <c r="A6218" t="s">
        <v>2857</v>
      </c>
      <c r="B6218" t="s">
        <v>2862</v>
      </c>
      <c r="C6218" t="s">
        <v>1475</v>
      </c>
      <c r="D6218" t="s">
        <v>2899</v>
      </c>
      <c r="E6218">
        <v>11894</v>
      </c>
      <c r="F6218" s="11">
        <v>1</v>
      </c>
    </row>
    <row r="6219" spans="1:6" x14ac:dyDescent="0.35">
      <c r="A6219" t="s">
        <v>2857</v>
      </c>
      <c r="B6219" t="s">
        <v>2862</v>
      </c>
      <c r="C6219" t="s">
        <v>1475</v>
      </c>
      <c r="D6219" t="s">
        <v>2900</v>
      </c>
      <c r="E6219">
        <v>1892</v>
      </c>
      <c r="F6219" s="11">
        <v>1</v>
      </c>
    </row>
    <row r="6220" spans="1:6" x14ac:dyDescent="0.35">
      <c r="A6220" t="s">
        <v>2857</v>
      </c>
      <c r="B6220" t="s">
        <v>2862</v>
      </c>
      <c r="C6220" t="s">
        <v>1475</v>
      </c>
      <c r="D6220" t="s">
        <v>2901</v>
      </c>
      <c r="E6220">
        <v>15</v>
      </c>
      <c r="F6220" s="11">
        <v>1</v>
      </c>
    </row>
    <row r="6221" spans="1:6" x14ac:dyDescent="0.35">
      <c r="A6221" t="s">
        <v>2857</v>
      </c>
      <c r="B6221" t="s">
        <v>2862</v>
      </c>
      <c r="C6221" t="s">
        <v>1475</v>
      </c>
      <c r="D6221" t="s">
        <v>2902</v>
      </c>
      <c r="E6221">
        <v>9987</v>
      </c>
      <c r="F6221" s="11">
        <v>1</v>
      </c>
    </row>
    <row r="6222" spans="1:6" x14ac:dyDescent="0.35">
      <c r="A6222" t="s">
        <v>2857</v>
      </c>
      <c r="B6222" t="s">
        <v>2862</v>
      </c>
      <c r="C6222" t="s">
        <v>1475</v>
      </c>
      <c r="D6222" t="s">
        <v>2903</v>
      </c>
      <c r="E6222">
        <v>84515</v>
      </c>
      <c r="F6222" s="11">
        <v>1</v>
      </c>
    </row>
    <row r="6223" spans="1:6" x14ac:dyDescent="0.35">
      <c r="A6223" t="s">
        <v>2857</v>
      </c>
      <c r="B6223" t="s">
        <v>2862</v>
      </c>
      <c r="C6223" t="s">
        <v>1475</v>
      </c>
      <c r="D6223" t="s">
        <v>2904</v>
      </c>
      <c r="E6223">
        <v>5206</v>
      </c>
      <c r="F6223" s="11">
        <v>1</v>
      </c>
    </row>
    <row r="6224" spans="1:6" x14ac:dyDescent="0.35">
      <c r="A6224" t="s">
        <v>2857</v>
      </c>
      <c r="B6224" t="s">
        <v>2862</v>
      </c>
      <c r="C6224" t="s">
        <v>1475</v>
      </c>
      <c r="D6224" t="s">
        <v>2905</v>
      </c>
      <c r="E6224">
        <v>3399</v>
      </c>
      <c r="F6224" s="11">
        <v>1</v>
      </c>
    </row>
    <row r="6225" spans="1:6" x14ac:dyDescent="0.35">
      <c r="A6225" t="s">
        <v>2857</v>
      </c>
      <c r="B6225" t="s">
        <v>2862</v>
      </c>
      <c r="C6225" t="s">
        <v>1475</v>
      </c>
      <c r="D6225" t="s">
        <v>2906</v>
      </c>
      <c r="E6225">
        <v>75910</v>
      </c>
      <c r="F6225" s="11">
        <v>1</v>
      </c>
    </row>
    <row r="6226" spans="1:6" x14ac:dyDescent="0.35">
      <c r="A6226" t="s">
        <v>2857</v>
      </c>
      <c r="B6226" t="s">
        <v>2862</v>
      </c>
      <c r="C6226" t="s">
        <v>1475</v>
      </c>
      <c r="D6226" t="s">
        <v>2907</v>
      </c>
      <c r="E6226">
        <v>121572</v>
      </c>
      <c r="F6226" s="11">
        <v>1</v>
      </c>
    </row>
    <row r="6227" spans="1:6" x14ac:dyDescent="0.35">
      <c r="A6227" t="s">
        <v>2857</v>
      </c>
      <c r="B6227" t="s">
        <v>2862</v>
      </c>
      <c r="C6227" t="s">
        <v>1475</v>
      </c>
      <c r="D6227" t="s">
        <v>2908</v>
      </c>
      <c r="E6227">
        <v>12006</v>
      </c>
      <c r="F6227" s="11">
        <v>1</v>
      </c>
    </row>
    <row r="6228" spans="1:6" x14ac:dyDescent="0.35">
      <c r="A6228" t="s">
        <v>2857</v>
      </c>
      <c r="B6228" t="s">
        <v>2862</v>
      </c>
      <c r="C6228" t="s">
        <v>1475</v>
      </c>
      <c r="D6228" t="s">
        <v>2909</v>
      </c>
      <c r="E6228">
        <v>4343</v>
      </c>
      <c r="F6228" s="11">
        <v>1</v>
      </c>
    </row>
    <row r="6229" spans="1:6" x14ac:dyDescent="0.35">
      <c r="A6229" t="s">
        <v>2857</v>
      </c>
      <c r="B6229" t="s">
        <v>2862</v>
      </c>
      <c r="C6229" t="s">
        <v>1475</v>
      </c>
      <c r="D6229" t="s">
        <v>2910</v>
      </c>
      <c r="E6229">
        <v>105223</v>
      </c>
      <c r="F6229" s="11">
        <v>1</v>
      </c>
    </row>
    <row r="6230" spans="1:6" x14ac:dyDescent="0.35">
      <c r="A6230" t="s">
        <v>2857</v>
      </c>
      <c r="B6230" t="s">
        <v>2862</v>
      </c>
      <c r="C6230" t="s">
        <v>1475</v>
      </c>
      <c r="D6230" t="s">
        <v>2911</v>
      </c>
      <c r="E6230">
        <v>796239</v>
      </c>
      <c r="F6230" s="11">
        <v>1</v>
      </c>
    </row>
    <row r="6231" spans="1:6" x14ac:dyDescent="0.35">
      <c r="A6231" t="s">
        <v>2857</v>
      </c>
      <c r="B6231" t="s">
        <v>2862</v>
      </c>
      <c r="C6231" t="s">
        <v>1475</v>
      </c>
      <c r="D6231" t="s">
        <v>2912</v>
      </c>
      <c r="E6231">
        <v>46694</v>
      </c>
      <c r="F6231" s="11">
        <v>1</v>
      </c>
    </row>
    <row r="6232" spans="1:6" x14ac:dyDescent="0.35">
      <c r="A6232" t="s">
        <v>2857</v>
      </c>
      <c r="B6232" t="s">
        <v>2862</v>
      </c>
      <c r="C6232" t="s">
        <v>1475</v>
      </c>
      <c r="D6232" t="s">
        <v>2913</v>
      </c>
      <c r="E6232">
        <v>0</v>
      </c>
      <c r="F6232" s="11">
        <v>1</v>
      </c>
    </row>
    <row r="6233" spans="1:6" x14ac:dyDescent="0.35">
      <c r="A6233" t="s">
        <v>2857</v>
      </c>
      <c r="B6233" t="s">
        <v>2862</v>
      </c>
      <c r="C6233" t="s">
        <v>1475</v>
      </c>
      <c r="D6233" t="s">
        <v>2914</v>
      </c>
      <c r="E6233">
        <v>0</v>
      </c>
      <c r="F6233" s="11">
        <v>0</v>
      </c>
    </row>
    <row r="6234" spans="1:6" x14ac:dyDescent="0.35">
      <c r="A6234" t="s">
        <v>2857</v>
      </c>
      <c r="B6234" t="s">
        <v>2862</v>
      </c>
      <c r="C6234" t="s">
        <v>1475</v>
      </c>
      <c r="D6234" t="s">
        <v>2915</v>
      </c>
      <c r="E6234">
        <v>712</v>
      </c>
      <c r="F6234" s="11">
        <v>1</v>
      </c>
    </row>
    <row r="6235" spans="1:6" x14ac:dyDescent="0.35">
      <c r="A6235" t="s">
        <v>2857</v>
      </c>
      <c r="B6235" t="s">
        <v>2862</v>
      </c>
      <c r="C6235" t="s">
        <v>1475</v>
      </c>
      <c r="D6235" t="s">
        <v>2916</v>
      </c>
      <c r="E6235">
        <v>66336</v>
      </c>
      <c r="F6235" s="11">
        <v>1</v>
      </c>
    </row>
    <row r="6236" spans="1:6" x14ac:dyDescent="0.35">
      <c r="A6236" t="s">
        <v>2857</v>
      </c>
      <c r="B6236" t="s">
        <v>2862</v>
      </c>
      <c r="C6236" t="s">
        <v>1475</v>
      </c>
      <c r="D6236" t="s">
        <v>2917</v>
      </c>
      <c r="E6236">
        <v>41774</v>
      </c>
      <c r="F6236" s="11">
        <v>1</v>
      </c>
    </row>
    <row r="6237" spans="1:6" x14ac:dyDescent="0.35">
      <c r="A6237" t="s">
        <v>2857</v>
      </c>
      <c r="B6237" t="s">
        <v>2865</v>
      </c>
      <c r="C6237" t="s">
        <v>1542</v>
      </c>
      <c r="D6237" t="s">
        <v>2875</v>
      </c>
      <c r="E6237">
        <v>28359</v>
      </c>
      <c r="F6237" s="11">
        <v>1</v>
      </c>
    </row>
    <row r="6238" spans="1:6" x14ac:dyDescent="0.35">
      <c r="A6238" t="s">
        <v>2857</v>
      </c>
      <c r="B6238" t="s">
        <v>2865</v>
      </c>
      <c r="C6238" t="s">
        <v>1542</v>
      </c>
      <c r="D6238" t="s">
        <v>2876</v>
      </c>
      <c r="E6238">
        <v>5552</v>
      </c>
      <c r="F6238" s="11">
        <v>1</v>
      </c>
    </row>
    <row r="6239" spans="1:6" x14ac:dyDescent="0.35">
      <c r="A6239" t="s">
        <v>2857</v>
      </c>
      <c r="B6239" t="s">
        <v>2865</v>
      </c>
      <c r="C6239" t="s">
        <v>1542</v>
      </c>
      <c r="D6239" t="s">
        <v>2877</v>
      </c>
      <c r="E6239">
        <v>4655</v>
      </c>
      <c r="F6239" s="11">
        <v>1</v>
      </c>
    </row>
    <row r="6240" spans="1:6" x14ac:dyDescent="0.35">
      <c r="A6240" t="s">
        <v>2857</v>
      </c>
      <c r="B6240" t="s">
        <v>2865</v>
      </c>
      <c r="C6240" t="s">
        <v>1542</v>
      </c>
      <c r="D6240" t="s">
        <v>2878</v>
      </c>
      <c r="E6240">
        <v>16886</v>
      </c>
      <c r="F6240" s="11">
        <v>1</v>
      </c>
    </row>
    <row r="6241" spans="1:6" x14ac:dyDescent="0.35">
      <c r="A6241" t="s">
        <v>2857</v>
      </c>
      <c r="B6241" t="s">
        <v>2865</v>
      </c>
      <c r="C6241" t="s">
        <v>1542</v>
      </c>
      <c r="D6241" t="s">
        <v>2879</v>
      </c>
      <c r="E6241">
        <v>1901</v>
      </c>
      <c r="F6241" s="11">
        <v>1</v>
      </c>
    </row>
    <row r="6242" spans="1:6" x14ac:dyDescent="0.35">
      <c r="A6242" t="s">
        <v>2857</v>
      </c>
      <c r="B6242" t="s">
        <v>2865</v>
      </c>
      <c r="C6242" t="s">
        <v>1542</v>
      </c>
      <c r="D6242" t="s">
        <v>2880</v>
      </c>
      <c r="E6242">
        <v>0</v>
      </c>
      <c r="F6242" s="11">
        <v>1</v>
      </c>
    </row>
    <row r="6243" spans="1:6" x14ac:dyDescent="0.35">
      <c r="A6243" t="s">
        <v>2857</v>
      </c>
      <c r="B6243" t="s">
        <v>2865</v>
      </c>
      <c r="C6243" t="s">
        <v>1542</v>
      </c>
      <c r="D6243" t="s">
        <v>2881</v>
      </c>
      <c r="E6243">
        <v>0</v>
      </c>
      <c r="F6243" s="11">
        <v>1</v>
      </c>
    </row>
    <row r="6244" spans="1:6" x14ac:dyDescent="0.35">
      <c r="A6244" t="s">
        <v>2857</v>
      </c>
      <c r="B6244" t="s">
        <v>2865</v>
      </c>
      <c r="C6244" t="s">
        <v>1542</v>
      </c>
      <c r="D6244" t="s">
        <v>2882</v>
      </c>
      <c r="E6244">
        <v>0</v>
      </c>
      <c r="F6244" s="11">
        <v>1</v>
      </c>
    </row>
    <row r="6245" spans="1:6" x14ac:dyDescent="0.35">
      <c r="A6245" t="s">
        <v>2857</v>
      </c>
      <c r="B6245" t="s">
        <v>2865</v>
      </c>
      <c r="C6245" t="s">
        <v>1542</v>
      </c>
      <c r="D6245" t="s">
        <v>2883</v>
      </c>
      <c r="E6245">
        <v>0</v>
      </c>
      <c r="F6245" s="11">
        <v>0</v>
      </c>
    </row>
    <row r="6246" spans="1:6" x14ac:dyDescent="0.35">
      <c r="A6246" t="s">
        <v>2857</v>
      </c>
      <c r="B6246" t="s">
        <v>2865</v>
      </c>
      <c r="C6246" t="s">
        <v>1542</v>
      </c>
      <c r="D6246" t="s">
        <v>2884</v>
      </c>
      <c r="E6246">
        <v>0</v>
      </c>
      <c r="F6246" s="11">
        <v>0</v>
      </c>
    </row>
    <row r="6247" spans="1:6" x14ac:dyDescent="0.35">
      <c r="A6247" t="s">
        <v>2857</v>
      </c>
      <c r="B6247" t="s">
        <v>2865</v>
      </c>
      <c r="C6247" t="s">
        <v>1542</v>
      </c>
      <c r="D6247" t="s">
        <v>2885</v>
      </c>
      <c r="E6247">
        <v>0</v>
      </c>
      <c r="F6247" s="11">
        <v>0</v>
      </c>
    </row>
    <row r="6248" spans="1:6" x14ac:dyDescent="0.35">
      <c r="A6248" t="s">
        <v>2857</v>
      </c>
      <c r="B6248" t="s">
        <v>2865</v>
      </c>
      <c r="C6248" t="s">
        <v>1542</v>
      </c>
      <c r="D6248" t="s">
        <v>2886</v>
      </c>
      <c r="E6248">
        <v>0</v>
      </c>
      <c r="F6248" s="11">
        <v>0</v>
      </c>
    </row>
    <row r="6249" spans="1:6" x14ac:dyDescent="0.35">
      <c r="A6249" t="s">
        <v>2857</v>
      </c>
      <c r="B6249" t="s">
        <v>2865</v>
      </c>
      <c r="C6249" t="s">
        <v>1542</v>
      </c>
      <c r="D6249" t="s">
        <v>2887</v>
      </c>
      <c r="E6249">
        <v>32515</v>
      </c>
      <c r="F6249" s="11">
        <v>1</v>
      </c>
    </row>
    <row r="6250" spans="1:6" x14ac:dyDescent="0.35">
      <c r="A6250" t="s">
        <v>2857</v>
      </c>
      <c r="B6250" t="s">
        <v>2865</v>
      </c>
      <c r="C6250" t="s">
        <v>1542</v>
      </c>
      <c r="D6250" t="s">
        <v>2888</v>
      </c>
      <c r="E6250">
        <v>16811</v>
      </c>
      <c r="F6250" s="11">
        <v>1</v>
      </c>
    </row>
    <row r="6251" spans="1:6" x14ac:dyDescent="0.35">
      <c r="A6251" t="s">
        <v>2857</v>
      </c>
      <c r="B6251" t="s">
        <v>2865</v>
      </c>
      <c r="C6251" t="s">
        <v>1542</v>
      </c>
      <c r="D6251" t="s">
        <v>2889</v>
      </c>
      <c r="E6251">
        <v>2290</v>
      </c>
      <c r="F6251" s="11">
        <v>1</v>
      </c>
    </row>
    <row r="6252" spans="1:6" x14ac:dyDescent="0.35">
      <c r="A6252" t="s">
        <v>2857</v>
      </c>
      <c r="B6252" t="s">
        <v>2865</v>
      </c>
      <c r="C6252" t="s">
        <v>1542</v>
      </c>
      <c r="D6252" t="s">
        <v>2890</v>
      </c>
      <c r="E6252">
        <v>13414</v>
      </c>
      <c r="F6252" s="11">
        <v>1</v>
      </c>
    </row>
    <row r="6253" spans="1:6" x14ac:dyDescent="0.35">
      <c r="A6253" t="s">
        <v>2857</v>
      </c>
      <c r="B6253" t="s">
        <v>2865</v>
      </c>
      <c r="C6253" t="s">
        <v>1542</v>
      </c>
      <c r="D6253" t="s">
        <v>2891</v>
      </c>
      <c r="E6253">
        <v>0</v>
      </c>
      <c r="F6253" s="11">
        <v>0</v>
      </c>
    </row>
    <row r="6254" spans="1:6" x14ac:dyDescent="0.35">
      <c r="A6254" t="s">
        <v>2857</v>
      </c>
      <c r="B6254" t="s">
        <v>2865</v>
      </c>
      <c r="C6254" t="s">
        <v>1542</v>
      </c>
      <c r="D6254" t="s">
        <v>2892</v>
      </c>
      <c r="E6254">
        <v>0</v>
      </c>
      <c r="F6254" s="11">
        <v>0</v>
      </c>
    </row>
    <row r="6255" spans="1:6" x14ac:dyDescent="0.35">
      <c r="A6255" t="s">
        <v>2857</v>
      </c>
      <c r="B6255" t="s">
        <v>2865</v>
      </c>
      <c r="C6255" t="s">
        <v>1542</v>
      </c>
      <c r="D6255" t="s">
        <v>2893</v>
      </c>
      <c r="E6255">
        <v>0</v>
      </c>
      <c r="F6255" s="11">
        <v>0</v>
      </c>
    </row>
    <row r="6256" spans="1:6" x14ac:dyDescent="0.35">
      <c r="A6256" t="s">
        <v>2857</v>
      </c>
      <c r="B6256" t="s">
        <v>2865</v>
      </c>
      <c r="C6256" t="s">
        <v>1542</v>
      </c>
      <c r="D6256" t="s">
        <v>2894</v>
      </c>
      <c r="E6256">
        <v>0</v>
      </c>
      <c r="F6256" s="11">
        <v>0</v>
      </c>
    </row>
    <row r="6257" spans="1:6" x14ac:dyDescent="0.35">
      <c r="A6257" t="s">
        <v>2857</v>
      </c>
      <c r="B6257" t="s">
        <v>2865</v>
      </c>
      <c r="C6257" t="s">
        <v>1542</v>
      </c>
      <c r="D6257" t="s">
        <v>2895</v>
      </c>
      <c r="E6257">
        <v>383318</v>
      </c>
      <c r="F6257" s="11">
        <v>1</v>
      </c>
    </row>
    <row r="6258" spans="1:6" x14ac:dyDescent="0.35">
      <c r="A6258" t="s">
        <v>2857</v>
      </c>
      <c r="B6258" t="s">
        <v>2865</v>
      </c>
      <c r="C6258" t="s">
        <v>1542</v>
      </c>
      <c r="D6258" t="s">
        <v>2896</v>
      </c>
      <c r="E6258">
        <v>0</v>
      </c>
      <c r="F6258" s="11">
        <v>1</v>
      </c>
    </row>
    <row r="6259" spans="1:6" x14ac:dyDescent="0.35">
      <c r="A6259" t="s">
        <v>2857</v>
      </c>
      <c r="B6259" t="s">
        <v>2865</v>
      </c>
      <c r="C6259" t="s">
        <v>1542</v>
      </c>
      <c r="D6259" t="s">
        <v>2897</v>
      </c>
      <c r="E6259">
        <v>0</v>
      </c>
      <c r="F6259" s="11">
        <v>1</v>
      </c>
    </row>
    <row r="6260" spans="1:6" x14ac:dyDescent="0.35">
      <c r="A6260" t="s">
        <v>2857</v>
      </c>
      <c r="B6260" t="s">
        <v>2865</v>
      </c>
      <c r="C6260" t="s">
        <v>1542</v>
      </c>
      <c r="D6260" t="s">
        <v>2898</v>
      </c>
      <c r="E6260">
        <v>0</v>
      </c>
      <c r="F6260" s="11">
        <v>1</v>
      </c>
    </row>
    <row r="6261" spans="1:6" x14ac:dyDescent="0.35">
      <c r="A6261" t="s">
        <v>2857</v>
      </c>
      <c r="B6261" t="s">
        <v>2865</v>
      </c>
      <c r="C6261" t="s">
        <v>1542</v>
      </c>
      <c r="D6261" t="s">
        <v>2899</v>
      </c>
      <c r="E6261">
        <v>0</v>
      </c>
      <c r="F6261" s="11">
        <v>1</v>
      </c>
    </row>
    <row r="6262" spans="1:6" x14ac:dyDescent="0.35">
      <c r="A6262" t="s">
        <v>2857</v>
      </c>
      <c r="B6262" t="s">
        <v>2865</v>
      </c>
      <c r="C6262" t="s">
        <v>1542</v>
      </c>
      <c r="D6262" t="s">
        <v>2900</v>
      </c>
      <c r="E6262">
        <v>0</v>
      </c>
      <c r="F6262" s="11">
        <v>1</v>
      </c>
    </row>
    <row r="6263" spans="1:6" x14ac:dyDescent="0.35">
      <c r="A6263" t="s">
        <v>2857</v>
      </c>
      <c r="B6263" t="s">
        <v>2865</v>
      </c>
      <c r="C6263" t="s">
        <v>1542</v>
      </c>
      <c r="D6263" t="s">
        <v>2901</v>
      </c>
      <c r="E6263">
        <v>0</v>
      </c>
      <c r="F6263" s="11">
        <v>1</v>
      </c>
    </row>
    <row r="6264" spans="1:6" x14ac:dyDescent="0.35">
      <c r="A6264" t="s">
        <v>2857</v>
      </c>
      <c r="B6264" t="s">
        <v>2865</v>
      </c>
      <c r="C6264" t="s">
        <v>1542</v>
      </c>
      <c r="D6264" t="s">
        <v>2902</v>
      </c>
      <c r="E6264">
        <v>0</v>
      </c>
      <c r="F6264" s="11">
        <v>0</v>
      </c>
    </row>
    <row r="6265" spans="1:6" x14ac:dyDescent="0.35">
      <c r="A6265" t="s">
        <v>2857</v>
      </c>
      <c r="B6265" t="s">
        <v>2865</v>
      </c>
      <c r="C6265" t="s">
        <v>1542</v>
      </c>
      <c r="D6265" t="s">
        <v>2903</v>
      </c>
      <c r="E6265">
        <v>191812</v>
      </c>
      <c r="F6265" s="11">
        <v>1</v>
      </c>
    </row>
    <row r="6266" spans="1:6" x14ac:dyDescent="0.35">
      <c r="A6266" t="s">
        <v>2857</v>
      </c>
      <c r="B6266" t="s">
        <v>2865</v>
      </c>
      <c r="C6266" t="s">
        <v>1542</v>
      </c>
      <c r="D6266" t="s">
        <v>2904</v>
      </c>
      <c r="E6266">
        <v>0</v>
      </c>
      <c r="F6266" s="11">
        <v>1</v>
      </c>
    </row>
    <row r="6267" spans="1:6" x14ac:dyDescent="0.35">
      <c r="A6267" t="s">
        <v>2857</v>
      </c>
      <c r="B6267" t="s">
        <v>2865</v>
      </c>
      <c r="C6267" t="s">
        <v>1542</v>
      </c>
      <c r="D6267" t="s">
        <v>2905</v>
      </c>
      <c r="E6267">
        <v>0</v>
      </c>
      <c r="F6267" s="11">
        <v>1</v>
      </c>
    </row>
    <row r="6268" spans="1:6" x14ac:dyDescent="0.35">
      <c r="A6268" t="s">
        <v>2857</v>
      </c>
      <c r="B6268" t="s">
        <v>2865</v>
      </c>
      <c r="C6268" t="s">
        <v>1542</v>
      </c>
      <c r="D6268" t="s">
        <v>2906</v>
      </c>
      <c r="E6268">
        <v>0</v>
      </c>
      <c r="F6268" s="11">
        <v>1</v>
      </c>
    </row>
    <row r="6269" spans="1:6" x14ac:dyDescent="0.35">
      <c r="A6269" t="s">
        <v>2857</v>
      </c>
      <c r="B6269" t="s">
        <v>2865</v>
      </c>
      <c r="C6269" t="s">
        <v>1542</v>
      </c>
      <c r="D6269" t="s">
        <v>2907</v>
      </c>
      <c r="E6269">
        <v>0</v>
      </c>
      <c r="F6269" s="11">
        <v>1</v>
      </c>
    </row>
    <row r="6270" spans="1:6" x14ac:dyDescent="0.35">
      <c r="A6270" t="s">
        <v>2857</v>
      </c>
      <c r="B6270" t="s">
        <v>2865</v>
      </c>
      <c r="C6270" t="s">
        <v>1542</v>
      </c>
      <c r="D6270" t="s">
        <v>2908</v>
      </c>
      <c r="E6270">
        <v>0</v>
      </c>
      <c r="F6270" s="11">
        <v>1</v>
      </c>
    </row>
    <row r="6271" spans="1:6" x14ac:dyDescent="0.35">
      <c r="A6271" t="s">
        <v>2857</v>
      </c>
      <c r="B6271" t="s">
        <v>2865</v>
      </c>
      <c r="C6271" t="s">
        <v>1542</v>
      </c>
      <c r="D6271" t="s">
        <v>2909</v>
      </c>
      <c r="E6271">
        <v>0</v>
      </c>
      <c r="F6271" s="11">
        <v>1</v>
      </c>
    </row>
    <row r="6272" spans="1:6" x14ac:dyDescent="0.35">
      <c r="A6272" t="s">
        <v>2857</v>
      </c>
      <c r="B6272" t="s">
        <v>2865</v>
      </c>
      <c r="C6272" t="s">
        <v>1542</v>
      </c>
      <c r="D6272" t="s">
        <v>2910</v>
      </c>
      <c r="E6272">
        <v>0</v>
      </c>
      <c r="F6272" s="11">
        <v>1</v>
      </c>
    </row>
    <row r="6273" spans="1:6" x14ac:dyDescent="0.35">
      <c r="A6273" t="s">
        <v>2857</v>
      </c>
      <c r="B6273" t="s">
        <v>2865</v>
      </c>
      <c r="C6273" t="s">
        <v>1542</v>
      </c>
      <c r="D6273" t="s">
        <v>2911</v>
      </c>
      <c r="E6273">
        <v>288437</v>
      </c>
      <c r="F6273" s="11">
        <v>1</v>
      </c>
    </row>
    <row r="6274" spans="1:6" x14ac:dyDescent="0.35">
      <c r="A6274" t="s">
        <v>2857</v>
      </c>
      <c r="B6274" t="s">
        <v>2865</v>
      </c>
      <c r="C6274" t="s">
        <v>1542</v>
      </c>
      <c r="D6274" t="s">
        <v>2912</v>
      </c>
      <c r="E6274">
        <v>49339</v>
      </c>
      <c r="F6274" s="11">
        <v>1</v>
      </c>
    </row>
    <row r="6275" spans="1:6" x14ac:dyDescent="0.35">
      <c r="A6275" t="s">
        <v>2857</v>
      </c>
      <c r="B6275" t="s">
        <v>2865</v>
      </c>
      <c r="C6275" t="s">
        <v>1542</v>
      </c>
      <c r="D6275" t="s">
        <v>2913</v>
      </c>
      <c r="E6275">
        <v>0</v>
      </c>
      <c r="F6275" s="11">
        <v>0</v>
      </c>
    </row>
    <row r="6276" spans="1:6" x14ac:dyDescent="0.35">
      <c r="A6276" t="s">
        <v>2857</v>
      </c>
      <c r="B6276" t="s">
        <v>2865</v>
      </c>
      <c r="C6276" t="s">
        <v>1542</v>
      </c>
      <c r="D6276" t="s">
        <v>2914</v>
      </c>
      <c r="E6276">
        <v>0</v>
      </c>
      <c r="F6276" s="11">
        <v>0</v>
      </c>
    </row>
    <row r="6277" spans="1:6" x14ac:dyDescent="0.35">
      <c r="A6277" t="s">
        <v>2857</v>
      </c>
      <c r="B6277" t="s">
        <v>2865</v>
      </c>
      <c r="C6277" t="s">
        <v>1542</v>
      </c>
      <c r="D6277" t="s">
        <v>2915</v>
      </c>
      <c r="E6277">
        <v>2440</v>
      </c>
      <c r="F6277" s="11">
        <v>1</v>
      </c>
    </row>
    <row r="6278" spans="1:6" x14ac:dyDescent="0.35">
      <c r="A6278" t="s">
        <v>2857</v>
      </c>
      <c r="B6278" t="s">
        <v>2865</v>
      </c>
      <c r="C6278" t="s">
        <v>1542</v>
      </c>
      <c r="D6278" t="s">
        <v>2916</v>
      </c>
      <c r="E6278">
        <v>26384</v>
      </c>
      <c r="F6278" s="11">
        <v>1</v>
      </c>
    </row>
    <row r="6279" spans="1:6" x14ac:dyDescent="0.35">
      <c r="A6279" t="s">
        <v>2857</v>
      </c>
      <c r="B6279" t="s">
        <v>2865</v>
      </c>
      <c r="C6279" t="s">
        <v>1542</v>
      </c>
      <c r="D6279" t="s">
        <v>2917</v>
      </c>
      <c r="E6279">
        <v>0</v>
      </c>
      <c r="F6279" s="11">
        <v>0</v>
      </c>
    </row>
    <row r="6280" spans="1:6" x14ac:dyDescent="0.35">
      <c r="A6280" t="s">
        <v>2857</v>
      </c>
      <c r="B6280" t="s">
        <v>2864</v>
      </c>
      <c r="C6280" t="s">
        <v>1435</v>
      </c>
      <c r="D6280" t="s">
        <v>2875</v>
      </c>
      <c r="E6280">
        <v>75939</v>
      </c>
      <c r="F6280" s="11">
        <v>1</v>
      </c>
    </row>
    <row r="6281" spans="1:6" x14ac:dyDescent="0.35">
      <c r="A6281" t="s">
        <v>2857</v>
      </c>
      <c r="B6281" t="s">
        <v>2864</v>
      </c>
      <c r="C6281" t="s">
        <v>1435</v>
      </c>
      <c r="D6281" t="s">
        <v>2876</v>
      </c>
      <c r="E6281">
        <v>27356</v>
      </c>
      <c r="F6281" s="11">
        <v>0</v>
      </c>
    </row>
    <row r="6282" spans="1:6" x14ac:dyDescent="0.35">
      <c r="A6282" t="s">
        <v>2857</v>
      </c>
      <c r="B6282" t="s">
        <v>2864</v>
      </c>
      <c r="C6282" t="s">
        <v>1435</v>
      </c>
      <c r="D6282" t="s">
        <v>2877</v>
      </c>
      <c r="E6282">
        <v>4433</v>
      </c>
      <c r="F6282" s="11">
        <v>0</v>
      </c>
    </row>
    <row r="6283" spans="1:6" x14ac:dyDescent="0.35">
      <c r="A6283" t="s">
        <v>2857</v>
      </c>
      <c r="B6283" t="s">
        <v>2864</v>
      </c>
      <c r="C6283" t="s">
        <v>1435</v>
      </c>
      <c r="D6283" t="s">
        <v>2878</v>
      </c>
      <c r="E6283">
        <v>43519</v>
      </c>
      <c r="F6283" s="11">
        <v>0</v>
      </c>
    </row>
    <row r="6284" spans="1:6" x14ac:dyDescent="0.35">
      <c r="A6284" t="s">
        <v>2857</v>
      </c>
      <c r="B6284" t="s">
        <v>2864</v>
      </c>
      <c r="C6284" t="s">
        <v>1435</v>
      </c>
      <c r="D6284" t="s">
        <v>2879</v>
      </c>
      <c r="E6284">
        <v>5143</v>
      </c>
      <c r="F6284" s="11">
        <v>0</v>
      </c>
    </row>
    <row r="6285" spans="1:6" x14ac:dyDescent="0.35">
      <c r="A6285" t="s">
        <v>2857</v>
      </c>
      <c r="B6285" t="s">
        <v>2864</v>
      </c>
      <c r="C6285" t="s">
        <v>1435</v>
      </c>
      <c r="D6285" t="s">
        <v>2880</v>
      </c>
      <c r="E6285">
        <v>3696</v>
      </c>
      <c r="F6285" s="11">
        <v>1</v>
      </c>
    </row>
    <row r="6286" spans="1:6" x14ac:dyDescent="0.35">
      <c r="A6286" t="s">
        <v>2857</v>
      </c>
      <c r="B6286" t="s">
        <v>2864</v>
      </c>
      <c r="C6286" t="s">
        <v>1435</v>
      </c>
      <c r="D6286" t="s">
        <v>2881</v>
      </c>
      <c r="E6286">
        <v>0</v>
      </c>
      <c r="F6286" s="11">
        <v>1</v>
      </c>
    </row>
    <row r="6287" spans="1:6" x14ac:dyDescent="0.35">
      <c r="A6287" t="s">
        <v>2857</v>
      </c>
      <c r="B6287" t="s">
        <v>2864</v>
      </c>
      <c r="C6287" t="s">
        <v>1435</v>
      </c>
      <c r="D6287" t="s">
        <v>2882</v>
      </c>
      <c r="E6287">
        <v>1447</v>
      </c>
      <c r="F6287" s="11">
        <v>0</v>
      </c>
    </row>
    <row r="6288" spans="1:6" x14ac:dyDescent="0.35">
      <c r="A6288" t="s">
        <v>2857</v>
      </c>
      <c r="B6288" t="s">
        <v>2864</v>
      </c>
      <c r="C6288" t="s">
        <v>1435</v>
      </c>
      <c r="D6288" t="s">
        <v>2883</v>
      </c>
      <c r="E6288">
        <v>0</v>
      </c>
      <c r="F6288" s="11">
        <v>0</v>
      </c>
    </row>
    <row r="6289" spans="1:6" x14ac:dyDescent="0.35">
      <c r="A6289" t="s">
        <v>2857</v>
      </c>
      <c r="B6289" t="s">
        <v>2864</v>
      </c>
      <c r="C6289" t="s">
        <v>1435</v>
      </c>
      <c r="D6289" t="s">
        <v>2884</v>
      </c>
      <c r="E6289">
        <v>0</v>
      </c>
      <c r="F6289" s="11">
        <v>0</v>
      </c>
    </row>
    <row r="6290" spans="1:6" x14ac:dyDescent="0.35">
      <c r="A6290" t="s">
        <v>2857</v>
      </c>
      <c r="B6290" t="s">
        <v>2864</v>
      </c>
      <c r="C6290" t="s">
        <v>1435</v>
      </c>
      <c r="D6290" t="s">
        <v>2885</v>
      </c>
      <c r="E6290">
        <v>0</v>
      </c>
      <c r="F6290" s="11">
        <v>0</v>
      </c>
    </row>
    <row r="6291" spans="1:6" x14ac:dyDescent="0.35">
      <c r="A6291" t="s">
        <v>2857</v>
      </c>
      <c r="B6291" t="s">
        <v>2864</v>
      </c>
      <c r="C6291" t="s">
        <v>1435</v>
      </c>
      <c r="D6291" t="s">
        <v>2886</v>
      </c>
      <c r="E6291">
        <v>0</v>
      </c>
      <c r="F6291" s="11">
        <v>0</v>
      </c>
    </row>
    <row r="6292" spans="1:6" x14ac:dyDescent="0.35">
      <c r="A6292" t="s">
        <v>2857</v>
      </c>
      <c r="B6292" t="s">
        <v>2864</v>
      </c>
      <c r="C6292" t="s">
        <v>1435</v>
      </c>
      <c r="D6292" t="s">
        <v>2887</v>
      </c>
      <c r="E6292">
        <v>45687</v>
      </c>
      <c r="F6292" s="11">
        <v>0</v>
      </c>
    </row>
    <row r="6293" spans="1:6" x14ac:dyDescent="0.35">
      <c r="A6293" t="s">
        <v>2857</v>
      </c>
      <c r="B6293" t="s">
        <v>2864</v>
      </c>
      <c r="C6293" t="s">
        <v>1435</v>
      </c>
      <c r="D6293" t="s">
        <v>2888</v>
      </c>
      <c r="E6293">
        <v>32499</v>
      </c>
      <c r="F6293" s="11">
        <v>1</v>
      </c>
    </row>
    <row r="6294" spans="1:6" x14ac:dyDescent="0.35">
      <c r="A6294" t="s">
        <v>2857</v>
      </c>
      <c r="B6294" t="s">
        <v>2864</v>
      </c>
      <c r="C6294" t="s">
        <v>1435</v>
      </c>
      <c r="D6294" t="s">
        <v>2889</v>
      </c>
      <c r="E6294">
        <v>0</v>
      </c>
      <c r="F6294" s="11">
        <v>1</v>
      </c>
    </row>
    <row r="6295" spans="1:6" x14ac:dyDescent="0.35">
      <c r="A6295" t="s">
        <v>2857</v>
      </c>
      <c r="B6295" t="s">
        <v>2864</v>
      </c>
      <c r="C6295" t="s">
        <v>1435</v>
      </c>
      <c r="D6295" t="s">
        <v>2890</v>
      </c>
      <c r="E6295">
        <v>13188</v>
      </c>
      <c r="F6295" s="11">
        <v>0</v>
      </c>
    </row>
    <row r="6296" spans="1:6" x14ac:dyDescent="0.35">
      <c r="A6296" t="s">
        <v>2857</v>
      </c>
      <c r="B6296" t="s">
        <v>2864</v>
      </c>
      <c r="C6296" t="s">
        <v>1435</v>
      </c>
      <c r="D6296" t="s">
        <v>2891</v>
      </c>
      <c r="E6296">
        <v>0</v>
      </c>
      <c r="F6296" s="11">
        <v>0</v>
      </c>
    </row>
    <row r="6297" spans="1:6" x14ac:dyDescent="0.35">
      <c r="A6297" t="s">
        <v>2857</v>
      </c>
      <c r="B6297" t="s">
        <v>2864</v>
      </c>
      <c r="C6297" t="s">
        <v>1435</v>
      </c>
      <c r="D6297" t="s">
        <v>2892</v>
      </c>
      <c r="E6297">
        <v>0</v>
      </c>
      <c r="F6297" s="11">
        <v>0</v>
      </c>
    </row>
    <row r="6298" spans="1:6" x14ac:dyDescent="0.35">
      <c r="A6298" t="s">
        <v>2857</v>
      </c>
      <c r="B6298" t="s">
        <v>2864</v>
      </c>
      <c r="C6298" t="s">
        <v>1435</v>
      </c>
      <c r="D6298" t="s">
        <v>2893</v>
      </c>
      <c r="E6298">
        <v>0</v>
      </c>
      <c r="F6298" s="11">
        <v>0</v>
      </c>
    </row>
    <row r="6299" spans="1:6" x14ac:dyDescent="0.35">
      <c r="A6299" t="s">
        <v>2857</v>
      </c>
      <c r="B6299" t="s">
        <v>2864</v>
      </c>
      <c r="C6299" t="s">
        <v>1435</v>
      </c>
      <c r="D6299" t="s">
        <v>2894</v>
      </c>
      <c r="E6299">
        <v>0</v>
      </c>
      <c r="F6299" s="11">
        <v>0</v>
      </c>
    </row>
    <row r="6300" spans="1:6" x14ac:dyDescent="0.35">
      <c r="A6300" t="s">
        <v>2857</v>
      </c>
      <c r="B6300" t="s">
        <v>2864</v>
      </c>
      <c r="C6300" t="s">
        <v>1435</v>
      </c>
      <c r="D6300" t="s">
        <v>2895</v>
      </c>
      <c r="E6300">
        <v>1415096</v>
      </c>
      <c r="F6300" s="11">
        <v>1</v>
      </c>
    </row>
    <row r="6301" spans="1:6" x14ac:dyDescent="0.35">
      <c r="A6301" t="s">
        <v>2857</v>
      </c>
      <c r="B6301" t="s">
        <v>2864</v>
      </c>
      <c r="C6301" t="s">
        <v>1435</v>
      </c>
      <c r="D6301" t="s">
        <v>2896</v>
      </c>
      <c r="E6301">
        <v>712666</v>
      </c>
      <c r="F6301" s="11">
        <v>1</v>
      </c>
    </row>
    <row r="6302" spans="1:6" x14ac:dyDescent="0.35">
      <c r="A6302" t="s">
        <v>2857</v>
      </c>
      <c r="B6302" t="s">
        <v>2864</v>
      </c>
      <c r="C6302" t="s">
        <v>1435</v>
      </c>
      <c r="D6302" t="s">
        <v>2897</v>
      </c>
      <c r="E6302">
        <v>23452</v>
      </c>
      <c r="F6302" s="11">
        <v>1</v>
      </c>
    </row>
    <row r="6303" spans="1:6" x14ac:dyDescent="0.35">
      <c r="A6303" t="s">
        <v>2857</v>
      </c>
      <c r="B6303" t="s">
        <v>2864</v>
      </c>
      <c r="C6303" t="s">
        <v>1435</v>
      </c>
      <c r="D6303" t="s">
        <v>2898</v>
      </c>
      <c r="E6303">
        <v>653978</v>
      </c>
      <c r="F6303" s="11">
        <v>1</v>
      </c>
    </row>
    <row r="6304" spans="1:6" x14ac:dyDescent="0.35">
      <c r="A6304" t="s">
        <v>2857</v>
      </c>
      <c r="B6304" t="s">
        <v>2864</v>
      </c>
      <c r="C6304" t="s">
        <v>1435</v>
      </c>
      <c r="D6304" t="s">
        <v>2899</v>
      </c>
      <c r="E6304">
        <v>5639</v>
      </c>
      <c r="F6304" s="11">
        <v>0</v>
      </c>
    </row>
    <row r="6305" spans="1:6" x14ac:dyDescent="0.35">
      <c r="A6305" t="s">
        <v>2857</v>
      </c>
      <c r="B6305" t="s">
        <v>2864</v>
      </c>
      <c r="C6305" t="s">
        <v>1435</v>
      </c>
      <c r="D6305" t="s">
        <v>2900</v>
      </c>
      <c r="E6305">
        <v>1418</v>
      </c>
      <c r="F6305" s="11">
        <v>1</v>
      </c>
    </row>
    <row r="6306" spans="1:6" x14ac:dyDescent="0.35">
      <c r="A6306" t="s">
        <v>2857</v>
      </c>
      <c r="B6306" t="s">
        <v>2864</v>
      </c>
      <c r="C6306" t="s">
        <v>1435</v>
      </c>
      <c r="D6306" t="s">
        <v>2901</v>
      </c>
      <c r="E6306">
        <v>0</v>
      </c>
      <c r="F6306" s="11">
        <v>1</v>
      </c>
    </row>
    <row r="6307" spans="1:6" x14ac:dyDescent="0.35">
      <c r="A6307" t="s">
        <v>2857</v>
      </c>
      <c r="B6307" t="s">
        <v>2864</v>
      </c>
      <c r="C6307" t="s">
        <v>1435</v>
      </c>
      <c r="D6307" t="s">
        <v>2902</v>
      </c>
      <c r="E6307">
        <v>4221</v>
      </c>
      <c r="F6307" s="11">
        <v>0</v>
      </c>
    </row>
    <row r="6308" spans="1:6" x14ac:dyDescent="0.35">
      <c r="A6308" t="s">
        <v>2857</v>
      </c>
      <c r="B6308" t="s">
        <v>2864</v>
      </c>
      <c r="C6308" t="s">
        <v>1435</v>
      </c>
      <c r="D6308" t="s">
        <v>2903</v>
      </c>
      <c r="E6308">
        <v>92611</v>
      </c>
      <c r="F6308" s="11">
        <v>1</v>
      </c>
    </row>
    <row r="6309" spans="1:6" x14ac:dyDescent="0.35">
      <c r="A6309" t="s">
        <v>2857</v>
      </c>
      <c r="B6309" t="s">
        <v>2864</v>
      </c>
      <c r="C6309" t="s">
        <v>1435</v>
      </c>
      <c r="D6309" t="s">
        <v>2904</v>
      </c>
      <c r="E6309">
        <v>8606</v>
      </c>
      <c r="F6309" s="11">
        <v>1</v>
      </c>
    </row>
    <row r="6310" spans="1:6" x14ac:dyDescent="0.35">
      <c r="A6310" t="s">
        <v>2857</v>
      </c>
      <c r="B6310" t="s">
        <v>2864</v>
      </c>
      <c r="C6310" t="s">
        <v>1435</v>
      </c>
      <c r="D6310" t="s">
        <v>2905</v>
      </c>
      <c r="E6310">
        <v>3810</v>
      </c>
      <c r="F6310" s="11">
        <v>1</v>
      </c>
    </row>
    <row r="6311" spans="1:6" x14ac:dyDescent="0.35">
      <c r="A6311" t="s">
        <v>2857</v>
      </c>
      <c r="B6311" t="s">
        <v>2864</v>
      </c>
      <c r="C6311" t="s">
        <v>1435</v>
      </c>
      <c r="D6311" t="s">
        <v>2906</v>
      </c>
      <c r="E6311">
        <v>77195</v>
      </c>
      <c r="F6311" s="11">
        <v>1</v>
      </c>
    </row>
    <row r="6312" spans="1:6" x14ac:dyDescent="0.35">
      <c r="A6312" t="s">
        <v>2857</v>
      </c>
      <c r="B6312" t="s">
        <v>2864</v>
      </c>
      <c r="C6312" t="s">
        <v>1435</v>
      </c>
      <c r="D6312" t="s">
        <v>2907</v>
      </c>
      <c r="E6312">
        <v>281793</v>
      </c>
      <c r="F6312" s="11">
        <v>1</v>
      </c>
    </row>
    <row r="6313" spans="1:6" x14ac:dyDescent="0.35">
      <c r="A6313" t="s">
        <v>2857</v>
      </c>
      <c r="B6313" t="s">
        <v>2864</v>
      </c>
      <c r="C6313" t="s">
        <v>1435</v>
      </c>
      <c r="D6313" t="s">
        <v>2908</v>
      </c>
      <c r="E6313">
        <v>80725</v>
      </c>
      <c r="F6313" s="11">
        <v>1</v>
      </c>
    </row>
    <row r="6314" spans="1:6" x14ac:dyDescent="0.35">
      <c r="A6314" t="s">
        <v>2857</v>
      </c>
      <c r="B6314" t="s">
        <v>2864</v>
      </c>
      <c r="C6314" t="s">
        <v>1435</v>
      </c>
      <c r="D6314" t="s">
        <v>2909</v>
      </c>
      <c r="E6314">
        <v>10563</v>
      </c>
      <c r="F6314" s="11">
        <v>1</v>
      </c>
    </row>
    <row r="6315" spans="1:6" x14ac:dyDescent="0.35">
      <c r="A6315" t="s">
        <v>2857</v>
      </c>
      <c r="B6315" t="s">
        <v>2864</v>
      </c>
      <c r="C6315" t="s">
        <v>1435</v>
      </c>
      <c r="D6315" t="s">
        <v>2910</v>
      </c>
      <c r="E6315">
        <v>228864</v>
      </c>
      <c r="F6315" s="11">
        <v>1</v>
      </c>
    </row>
    <row r="6316" spans="1:6" x14ac:dyDescent="0.35">
      <c r="A6316" t="s">
        <v>2857</v>
      </c>
      <c r="B6316" t="s">
        <v>2864</v>
      </c>
      <c r="C6316" t="s">
        <v>1435</v>
      </c>
      <c r="D6316" t="s">
        <v>2911</v>
      </c>
      <c r="E6316">
        <v>637806</v>
      </c>
      <c r="F6316" s="11">
        <v>1</v>
      </c>
    </row>
    <row r="6317" spans="1:6" x14ac:dyDescent="0.35">
      <c r="A6317" t="s">
        <v>2857</v>
      </c>
      <c r="B6317" t="s">
        <v>2864</v>
      </c>
      <c r="C6317" t="s">
        <v>1435</v>
      </c>
      <c r="D6317" t="s">
        <v>2912</v>
      </c>
      <c r="E6317">
        <v>867595</v>
      </c>
      <c r="F6317" s="11">
        <v>1</v>
      </c>
    </row>
    <row r="6318" spans="1:6" x14ac:dyDescent="0.35">
      <c r="A6318" t="s">
        <v>2857</v>
      </c>
      <c r="B6318" t="s">
        <v>2864</v>
      </c>
      <c r="C6318" t="s">
        <v>1435</v>
      </c>
      <c r="D6318" t="s">
        <v>2913</v>
      </c>
      <c r="E6318">
        <v>0</v>
      </c>
      <c r="F6318" s="11">
        <v>0</v>
      </c>
    </row>
    <row r="6319" spans="1:6" x14ac:dyDescent="0.35">
      <c r="A6319" t="s">
        <v>2857</v>
      </c>
      <c r="B6319" t="s">
        <v>2864</v>
      </c>
      <c r="C6319" t="s">
        <v>1435</v>
      </c>
      <c r="D6319" t="s">
        <v>2914</v>
      </c>
      <c r="E6319">
        <v>0</v>
      </c>
      <c r="F6319" s="11">
        <v>0</v>
      </c>
    </row>
    <row r="6320" spans="1:6" x14ac:dyDescent="0.35">
      <c r="A6320" t="s">
        <v>2857</v>
      </c>
      <c r="B6320" t="s">
        <v>2864</v>
      </c>
      <c r="C6320" t="s">
        <v>1435</v>
      </c>
      <c r="D6320" t="s">
        <v>2915</v>
      </c>
      <c r="E6320">
        <v>384</v>
      </c>
      <c r="F6320" s="11">
        <v>1</v>
      </c>
    </row>
    <row r="6321" spans="1:6" x14ac:dyDescent="0.35">
      <c r="A6321" t="s">
        <v>2857</v>
      </c>
      <c r="B6321" t="s">
        <v>2864</v>
      </c>
      <c r="C6321" t="s">
        <v>1435</v>
      </c>
      <c r="D6321" t="s">
        <v>2916</v>
      </c>
      <c r="E6321">
        <v>123285</v>
      </c>
      <c r="F6321" s="11">
        <v>1</v>
      </c>
    </row>
    <row r="6322" spans="1:6" x14ac:dyDescent="0.35">
      <c r="A6322" t="s">
        <v>2857</v>
      </c>
      <c r="B6322" t="s">
        <v>2864</v>
      </c>
      <c r="C6322" t="s">
        <v>1435</v>
      </c>
      <c r="D6322" t="s">
        <v>2917</v>
      </c>
      <c r="E6322">
        <v>0</v>
      </c>
      <c r="F6322" s="11">
        <v>0</v>
      </c>
    </row>
    <row r="6323" spans="1:6" x14ac:dyDescent="0.35">
      <c r="A6323" t="s">
        <v>2857</v>
      </c>
      <c r="B6323" t="s">
        <v>2866</v>
      </c>
      <c r="C6323" t="s">
        <v>1520</v>
      </c>
      <c r="D6323" t="s">
        <v>2875</v>
      </c>
      <c r="E6323">
        <v>25322</v>
      </c>
      <c r="F6323" s="11">
        <v>1</v>
      </c>
    </row>
    <row r="6324" spans="1:6" x14ac:dyDescent="0.35">
      <c r="A6324" t="s">
        <v>2857</v>
      </c>
      <c r="B6324" t="s">
        <v>2866</v>
      </c>
      <c r="C6324" t="s">
        <v>1520</v>
      </c>
      <c r="D6324" t="s">
        <v>2876</v>
      </c>
      <c r="E6324">
        <v>18575</v>
      </c>
      <c r="F6324" s="11">
        <v>1</v>
      </c>
    </row>
    <row r="6325" spans="1:6" x14ac:dyDescent="0.35">
      <c r="A6325" t="s">
        <v>2857</v>
      </c>
      <c r="B6325" t="s">
        <v>2866</v>
      </c>
      <c r="C6325" t="s">
        <v>1520</v>
      </c>
      <c r="D6325" t="s">
        <v>2877</v>
      </c>
      <c r="E6325">
        <v>4804</v>
      </c>
      <c r="F6325" s="11">
        <v>1</v>
      </c>
    </row>
    <row r="6326" spans="1:6" x14ac:dyDescent="0.35">
      <c r="A6326" t="s">
        <v>2857</v>
      </c>
      <c r="B6326" t="s">
        <v>2866</v>
      </c>
      <c r="C6326" t="s">
        <v>1520</v>
      </c>
      <c r="D6326" t="s">
        <v>2878</v>
      </c>
      <c r="E6326">
        <v>1943</v>
      </c>
      <c r="F6326" s="11">
        <v>1</v>
      </c>
    </row>
    <row r="6327" spans="1:6" x14ac:dyDescent="0.35">
      <c r="A6327" t="s">
        <v>2857</v>
      </c>
      <c r="B6327" t="s">
        <v>2866</v>
      </c>
      <c r="C6327" t="s">
        <v>1520</v>
      </c>
      <c r="D6327" t="s">
        <v>2879</v>
      </c>
      <c r="E6327">
        <v>11061</v>
      </c>
      <c r="F6327" s="11">
        <v>1</v>
      </c>
    </row>
    <row r="6328" spans="1:6" x14ac:dyDescent="0.35">
      <c r="A6328" t="s">
        <v>2857</v>
      </c>
      <c r="B6328" t="s">
        <v>2866</v>
      </c>
      <c r="C6328" t="s">
        <v>1520</v>
      </c>
      <c r="D6328" t="s">
        <v>2880</v>
      </c>
      <c r="E6328">
        <v>7294</v>
      </c>
      <c r="F6328" s="11">
        <v>1</v>
      </c>
    </row>
    <row r="6329" spans="1:6" x14ac:dyDescent="0.35">
      <c r="A6329" t="s">
        <v>2857</v>
      </c>
      <c r="B6329" t="s">
        <v>2866</v>
      </c>
      <c r="C6329" t="s">
        <v>1520</v>
      </c>
      <c r="D6329" t="s">
        <v>2881</v>
      </c>
      <c r="E6329">
        <v>276</v>
      </c>
      <c r="F6329" s="11">
        <v>1</v>
      </c>
    </row>
    <row r="6330" spans="1:6" x14ac:dyDescent="0.35">
      <c r="A6330" t="s">
        <v>2857</v>
      </c>
      <c r="B6330" t="s">
        <v>2866</v>
      </c>
      <c r="C6330" t="s">
        <v>1520</v>
      </c>
      <c r="D6330" t="s">
        <v>2882</v>
      </c>
      <c r="E6330">
        <v>4439</v>
      </c>
      <c r="F6330" s="11">
        <v>1</v>
      </c>
    </row>
    <row r="6331" spans="1:6" x14ac:dyDescent="0.35">
      <c r="A6331" t="s">
        <v>2857</v>
      </c>
      <c r="B6331" t="s">
        <v>2866</v>
      </c>
      <c r="C6331" t="s">
        <v>1520</v>
      </c>
      <c r="D6331" t="s">
        <v>2883</v>
      </c>
      <c r="E6331">
        <v>60</v>
      </c>
      <c r="F6331" s="11">
        <v>1</v>
      </c>
    </row>
    <row r="6332" spans="1:6" x14ac:dyDescent="0.35">
      <c r="A6332" t="s">
        <v>2857</v>
      </c>
      <c r="B6332" t="s">
        <v>2866</v>
      </c>
      <c r="C6332" t="s">
        <v>1520</v>
      </c>
      <c r="D6332" t="s">
        <v>2884</v>
      </c>
      <c r="E6332">
        <v>36</v>
      </c>
      <c r="F6332" s="11">
        <v>1</v>
      </c>
    </row>
    <row r="6333" spans="1:6" x14ac:dyDescent="0.35">
      <c r="A6333" t="s">
        <v>2857</v>
      </c>
      <c r="B6333" t="s">
        <v>2866</v>
      </c>
      <c r="C6333" t="s">
        <v>1520</v>
      </c>
      <c r="D6333" t="s">
        <v>2885</v>
      </c>
      <c r="E6333">
        <v>0</v>
      </c>
      <c r="F6333" s="11">
        <v>1</v>
      </c>
    </row>
    <row r="6334" spans="1:6" x14ac:dyDescent="0.35">
      <c r="A6334" t="s">
        <v>2857</v>
      </c>
      <c r="B6334" t="s">
        <v>2866</v>
      </c>
      <c r="C6334" t="s">
        <v>1520</v>
      </c>
      <c r="D6334" t="s">
        <v>2886</v>
      </c>
      <c r="E6334">
        <v>24</v>
      </c>
      <c r="F6334" s="11">
        <v>1</v>
      </c>
    </row>
    <row r="6335" spans="1:6" x14ac:dyDescent="0.35">
      <c r="A6335" t="s">
        <v>2857</v>
      </c>
      <c r="B6335" t="s">
        <v>2866</v>
      </c>
      <c r="C6335" t="s">
        <v>1520</v>
      </c>
      <c r="D6335" t="s">
        <v>2887</v>
      </c>
      <c r="E6335">
        <v>180915</v>
      </c>
      <c r="F6335" s="11">
        <v>1</v>
      </c>
    </row>
    <row r="6336" spans="1:6" x14ac:dyDescent="0.35">
      <c r="A6336" t="s">
        <v>2857</v>
      </c>
      <c r="B6336" t="s">
        <v>2866</v>
      </c>
      <c r="C6336" t="s">
        <v>1520</v>
      </c>
      <c r="D6336" t="s">
        <v>2888</v>
      </c>
      <c r="E6336">
        <v>109425</v>
      </c>
      <c r="F6336" s="11">
        <v>1</v>
      </c>
    </row>
    <row r="6337" spans="1:6" x14ac:dyDescent="0.35">
      <c r="A6337" t="s">
        <v>2857</v>
      </c>
      <c r="B6337" t="s">
        <v>2866</v>
      </c>
      <c r="C6337" t="s">
        <v>1520</v>
      </c>
      <c r="D6337" t="s">
        <v>2889</v>
      </c>
      <c r="E6337">
        <v>4120</v>
      </c>
      <c r="F6337" s="11">
        <v>1</v>
      </c>
    </row>
    <row r="6338" spans="1:6" x14ac:dyDescent="0.35">
      <c r="A6338" t="s">
        <v>2857</v>
      </c>
      <c r="B6338" t="s">
        <v>2866</v>
      </c>
      <c r="C6338" t="s">
        <v>1520</v>
      </c>
      <c r="D6338" t="s">
        <v>2890</v>
      </c>
      <c r="E6338">
        <v>66626</v>
      </c>
      <c r="F6338" s="11">
        <v>1</v>
      </c>
    </row>
    <row r="6339" spans="1:6" x14ac:dyDescent="0.35">
      <c r="A6339" t="s">
        <v>2857</v>
      </c>
      <c r="B6339" t="s">
        <v>2866</v>
      </c>
      <c r="C6339" t="s">
        <v>1520</v>
      </c>
      <c r="D6339" t="s">
        <v>2891</v>
      </c>
      <c r="E6339">
        <v>900</v>
      </c>
      <c r="F6339" s="11">
        <v>1</v>
      </c>
    </row>
    <row r="6340" spans="1:6" x14ac:dyDescent="0.35">
      <c r="A6340" t="s">
        <v>2857</v>
      </c>
      <c r="B6340" t="s">
        <v>2866</v>
      </c>
      <c r="C6340" t="s">
        <v>1520</v>
      </c>
      <c r="D6340" t="s">
        <v>2892</v>
      </c>
      <c r="E6340">
        <v>540</v>
      </c>
      <c r="F6340" s="11">
        <v>1</v>
      </c>
    </row>
    <row r="6341" spans="1:6" x14ac:dyDescent="0.35">
      <c r="A6341" t="s">
        <v>2857</v>
      </c>
      <c r="B6341" t="s">
        <v>2866</v>
      </c>
      <c r="C6341" t="s">
        <v>1520</v>
      </c>
      <c r="D6341" t="s">
        <v>2893</v>
      </c>
      <c r="E6341">
        <v>0</v>
      </c>
      <c r="F6341" s="11">
        <v>1</v>
      </c>
    </row>
    <row r="6342" spans="1:6" x14ac:dyDescent="0.35">
      <c r="A6342" t="s">
        <v>2857</v>
      </c>
      <c r="B6342" t="s">
        <v>2866</v>
      </c>
      <c r="C6342" t="s">
        <v>1520</v>
      </c>
      <c r="D6342" t="s">
        <v>2894</v>
      </c>
      <c r="E6342">
        <v>360</v>
      </c>
      <c r="F6342" s="11">
        <v>1</v>
      </c>
    </row>
    <row r="6343" spans="1:6" x14ac:dyDescent="0.35">
      <c r="A6343" t="s">
        <v>2857</v>
      </c>
      <c r="B6343" t="s">
        <v>2866</v>
      </c>
      <c r="C6343" t="s">
        <v>1520</v>
      </c>
      <c r="D6343" t="s">
        <v>2895</v>
      </c>
      <c r="E6343">
        <v>958461</v>
      </c>
      <c r="F6343" s="11">
        <v>1</v>
      </c>
    </row>
    <row r="6344" spans="1:6" x14ac:dyDescent="0.35">
      <c r="A6344" t="s">
        <v>2857</v>
      </c>
      <c r="B6344" t="s">
        <v>2866</v>
      </c>
      <c r="C6344" t="s">
        <v>1520</v>
      </c>
      <c r="D6344" t="s">
        <v>2896</v>
      </c>
      <c r="E6344">
        <v>507044</v>
      </c>
      <c r="F6344" s="11">
        <v>1</v>
      </c>
    </row>
    <row r="6345" spans="1:6" x14ac:dyDescent="0.35">
      <c r="A6345" t="s">
        <v>2857</v>
      </c>
      <c r="B6345" t="s">
        <v>2866</v>
      </c>
      <c r="C6345" t="s">
        <v>1520</v>
      </c>
      <c r="D6345" t="s">
        <v>2897</v>
      </c>
      <c r="E6345">
        <v>33105</v>
      </c>
      <c r="F6345" s="11">
        <v>1</v>
      </c>
    </row>
    <row r="6346" spans="1:6" x14ac:dyDescent="0.35">
      <c r="A6346" t="s">
        <v>2857</v>
      </c>
      <c r="B6346" t="s">
        <v>2866</v>
      </c>
      <c r="C6346" t="s">
        <v>1520</v>
      </c>
      <c r="D6346" t="s">
        <v>2898</v>
      </c>
      <c r="E6346">
        <v>418314</v>
      </c>
      <c r="F6346" s="11">
        <v>1</v>
      </c>
    </row>
    <row r="6347" spans="1:6" x14ac:dyDescent="0.35">
      <c r="A6347" t="s">
        <v>2857</v>
      </c>
      <c r="B6347" t="s">
        <v>2866</v>
      </c>
      <c r="C6347" t="s">
        <v>1520</v>
      </c>
      <c r="D6347" t="s">
        <v>2899</v>
      </c>
      <c r="E6347">
        <v>15607</v>
      </c>
      <c r="F6347" s="11">
        <v>1</v>
      </c>
    </row>
    <row r="6348" spans="1:6" x14ac:dyDescent="0.35">
      <c r="A6348" t="s">
        <v>2857</v>
      </c>
      <c r="B6348" t="s">
        <v>2866</v>
      </c>
      <c r="C6348" t="s">
        <v>1520</v>
      </c>
      <c r="D6348" t="s">
        <v>2900</v>
      </c>
      <c r="E6348">
        <v>249</v>
      </c>
      <c r="F6348" s="11">
        <v>1</v>
      </c>
    </row>
    <row r="6349" spans="1:6" x14ac:dyDescent="0.35">
      <c r="A6349" t="s">
        <v>2857</v>
      </c>
      <c r="B6349" t="s">
        <v>2866</v>
      </c>
      <c r="C6349" t="s">
        <v>1520</v>
      </c>
      <c r="D6349" t="s">
        <v>2901</v>
      </c>
      <c r="E6349">
        <v>84</v>
      </c>
      <c r="F6349" s="11">
        <v>1</v>
      </c>
    </row>
    <row r="6350" spans="1:6" x14ac:dyDescent="0.35">
      <c r="A6350" t="s">
        <v>2857</v>
      </c>
      <c r="B6350" t="s">
        <v>2866</v>
      </c>
      <c r="C6350" t="s">
        <v>1520</v>
      </c>
      <c r="D6350" t="s">
        <v>2902</v>
      </c>
      <c r="E6350">
        <v>15273</v>
      </c>
      <c r="F6350" s="11">
        <v>1</v>
      </c>
    </row>
    <row r="6351" spans="1:6" x14ac:dyDescent="0.35">
      <c r="A6351" t="s">
        <v>2857</v>
      </c>
      <c r="B6351" t="s">
        <v>2866</v>
      </c>
      <c r="C6351" t="s">
        <v>1520</v>
      </c>
      <c r="D6351" t="s">
        <v>2903</v>
      </c>
      <c r="E6351">
        <v>40295</v>
      </c>
      <c r="F6351" s="11">
        <v>1</v>
      </c>
    </row>
    <row r="6352" spans="1:6" x14ac:dyDescent="0.35">
      <c r="A6352" t="s">
        <v>2857</v>
      </c>
      <c r="B6352" t="s">
        <v>2866</v>
      </c>
      <c r="C6352" t="s">
        <v>1520</v>
      </c>
      <c r="D6352" t="s">
        <v>2904</v>
      </c>
      <c r="E6352">
        <v>6436</v>
      </c>
      <c r="F6352" s="11">
        <v>1</v>
      </c>
    </row>
    <row r="6353" spans="1:6" x14ac:dyDescent="0.35">
      <c r="A6353" t="s">
        <v>2857</v>
      </c>
      <c r="B6353" t="s">
        <v>2866</v>
      </c>
      <c r="C6353" t="s">
        <v>1520</v>
      </c>
      <c r="D6353" t="s">
        <v>2905</v>
      </c>
      <c r="E6353">
        <v>3088</v>
      </c>
      <c r="F6353" s="11">
        <v>1</v>
      </c>
    </row>
    <row r="6354" spans="1:6" x14ac:dyDescent="0.35">
      <c r="A6354" t="s">
        <v>2857</v>
      </c>
      <c r="B6354" t="s">
        <v>2866</v>
      </c>
      <c r="C6354" t="s">
        <v>1520</v>
      </c>
      <c r="D6354" t="s">
        <v>2906</v>
      </c>
      <c r="E6354">
        <v>30771</v>
      </c>
      <c r="F6354" s="11">
        <v>1</v>
      </c>
    </row>
    <row r="6355" spans="1:6" x14ac:dyDescent="0.35">
      <c r="A6355" t="s">
        <v>2857</v>
      </c>
      <c r="B6355" t="s">
        <v>2866</v>
      </c>
      <c r="C6355" t="s">
        <v>1520</v>
      </c>
      <c r="D6355" t="s">
        <v>2907</v>
      </c>
      <c r="E6355">
        <v>49382</v>
      </c>
      <c r="F6355" s="11">
        <v>1</v>
      </c>
    </row>
    <row r="6356" spans="1:6" x14ac:dyDescent="0.35">
      <c r="A6356" t="s">
        <v>2857</v>
      </c>
      <c r="B6356" t="s">
        <v>2866</v>
      </c>
      <c r="C6356" t="s">
        <v>1520</v>
      </c>
      <c r="D6356" t="s">
        <v>2908</v>
      </c>
      <c r="E6356">
        <v>4543</v>
      </c>
      <c r="F6356" s="11">
        <v>1</v>
      </c>
    </row>
    <row r="6357" spans="1:6" x14ac:dyDescent="0.35">
      <c r="A6357" t="s">
        <v>2857</v>
      </c>
      <c r="B6357" t="s">
        <v>2866</v>
      </c>
      <c r="C6357" t="s">
        <v>1520</v>
      </c>
      <c r="D6357" t="s">
        <v>2909</v>
      </c>
      <c r="E6357">
        <v>1899</v>
      </c>
      <c r="F6357" s="11">
        <v>1</v>
      </c>
    </row>
    <row r="6358" spans="1:6" x14ac:dyDescent="0.35">
      <c r="A6358" t="s">
        <v>2857</v>
      </c>
      <c r="B6358" t="s">
        <v>2866</v>
      </c>
      <c r="C6358" t="s">
        <v>1520</v>
      </c>
      <c r="D6358" t="s">
        <v>2910</v>
      </c>
      <c r="E6358">
        <v>42940</v>
      </c>
      <c r="F6358" s="11">
        <v>1</v>
      </c>
    </row>
    <row r="6359" spans="1:6" x14ac:dyDescent="0.35">
      <c r="A6359" t="s">
        <v>2857</v>
      </c>
      <c r="B6359" t="s">
        <v>2866</v>
      </c>
      <c r="C6359" t="s">
        <v>1520</v>
      </c>
      <c r="D6359" t="s">
        <v>2911</v>
      </c>
      <c r="E6359">
        <v>181530</v>
      </c>
      <c r="F6359" s="11">
        <v>1</v>
      </c>
    </row>
    <row r="6360" spans="1:6" x14ac:dyDescent="0.35">
      <c r="A6360" t="s">
        <v>2857</v>
      </c>
      <c r="B6360" t="s">
        <v>2866</v>
      </c>
      <c r="C6360" t="s">
        <v>1520</v>
      </c>
      <c r="D6360" t="s">
        <v>2912</v>
      </c>
      <c r="E6360">
        <v>1861108</v>
      </c>
      <c r="F6360" s="11">
        <v>1</v>
      </c>
    </row>
    <row r="6361" spans="1:6" x14ac:dyDescent="0.35">
      <c r="A6361" t="s">
        <v>2857</v>
      </c>
      <c r="B6361" t="s">
        <v>2866</v>
      </c>
      <c r="C6361" t="s">
        <v>1520</v>
      </c>
      <c r="D6361" t="s">
        <v>2913</v>
      </c>
      <c r="E6361">
        <v>0</v>
      </c>
      <c r="F6361" s="11">
        <v>0</v>
      </c>
    </row>
    <row r="6362" spans="1:6" x14ac:dyDescent="0.35">
      <c r="A6362" t="s">
        <v>2857</v>
      </c>
      <c r="B6362" t="s">
        <v>2866</v>
      </c>
      <c r="C6362" t="s">
        <v>1520</v>
      </c>
      <c r="D6362" t="s">
        <v>2914</v>
      </c>
      <c r="E6362">
        <v>0</v>
      </c>
      <c r="F6362" s="11">
        <v>0</v>
      </c>
    </row>
    <row r="6363" spans="1:6" x14ac:dyDescent="0.35">
      <c r="A6363" t="s">
        <v>2857</v>
      </c>
      <c r="B6363" t="s">
        <v>2866</v>
      </c>
      <c r="C6363" t="s">
        <v>1520</v>
      </c>
      <c r="D6363" t="s">
        <v>2915</v>
      </c>
      <c r="E6363">
        <v>0</v>
      </c>
      <c r="F6363" s="11">
        <v>0</v>
      </c>
    </row>
    <row r="6364" spans="1:6" x14ac:dyDescent="0.35">
      <c r="A6364" t="s">
        <v>2857</v>
      </c>
      <c r="B6364" t="s">
        <v>2866</v>
      </c>
      <c r="C6364" t="s">
        <v>1520</v>
      </c>
      <c r="D6364" t="s">
        <v>2916</v>
      </c>
      <c r="E6364">
        <v>133211</v>
      </c>
      <c r="F6364" s="11">
        <v>1</v>
      </c>
    </row>
    <row r="6365" spans="1:6" x14ac:dyDescent="0.35">
      <c r="A6365" t="s">
        <v>2857</v>
      </c>
      <c r="B6365" t="s">
        <v>2866</v>
      </c>
      <c r="C6365" t="s">
        <v>1520</v>
      </c>
      <c r="D6365" t="s">
        <v>2917</v>
      </c>
      <c r="E6365">
        <v>439563</v>
      </c>
      <c r="F6365" s="11">
        <v>1</v>
      </c>
    </row>
    <row r="6366" spans="1:6" x14ac:dyDescent="0.35">
      <c r="A6366" t="s">
        <v>2857</v>
      </c>
      <c r="B6366" t="s">
        <v>2865</v>
      </c>
      <c r="C6366" t="s">
        <v>1368</v>
      </c>
      <c r="D6366" t="s">
        <v>2875</v>
      </c>
      <c r="E6366">
        <v>5848</v>
      </c>
      <c r="F6366" s="11">
        <v>0</v>
      </c>
    </row>
    <row r="6367" spans="1:6" x14ac:dyDescent="0.35">
      <c r="A6367" t="s">
        <v>2857</v>
      </c>
      <c r="B6367" t="s">
        <v>2865</v>
      </c>
      <c r="C6367" t="s">
        <v>1368</v>
      </c>
      <c r="D6367" t="s">
        <v>2876</v>
      </c>
      <c r="E6367">
        <v>1929</v>
      </c>
      <c r="F6367" s="11">
        <v>0</v>
      </c>
    </row>
    <row r="6368" spans="1:6" x14ac:dyDescent="0.35">
      <c r="A6368" t="s">
        <v>2857</v>
      </c>
      <c r="B6368" t="s">
        <v>2865</v>
      </c>
      <c r="C6368" t="s">
        <v>1368</v>
      </c>
      <c r="D6368" t="s">
        <v>2877</v>
      </c>
      <c r="E6368">
        <v>201</v>
      </c>
      <c r="F6368" s="11">
        <v>0</v>
      </c>
    </row>
    <row r="6369" spans="1:6" x14ac:dyDescent="0.35">
      <c r="A6369" t="s">
        <v>2857</v>
      </c>
      <c r="B6369" t="s">
        <v>2865</v>
      </c>
      <c r="C6369" t="s">
        <v>1368</v>
      </c>
      <c r="D6369" t="s">
        <v>2878</v>
      </c>
      <c r="E6369">
        <v>3718</v>
      </c>
      <c r="F6369" s="11">
        <v>0</v>
      </c>
    </row>
    <row r="6370" spans="1:6" x14ac:dyDescent="0.35">
      <c r="A6370" t="s">
        <v>2857</v>
      </c>
      <c r="B6370" t="s">
        <v>2865</v>
      </c>
      <c r="C6370" t="s">
        <v>1368</v>
      </c>
      <c r="D6370" t="s">
        <v>2879</v>
      </c>
      <c r="E6370">
        <v>1759</v>
      </c>
      <c r="F6370" s="11">
        <v>0</v>
      </c>
    </row>
    <row r="6371" spans="1:6" x14ac:dyDescent="0.35">
      <c r="A6371" t="s">
        <v>2857</v>
      </c>
      <c r="B6371" t="s">
        <v>2865</v>
      </c>
      <c r="C6371" t="s">
        <v>1368</v>
      </c>
      <c r="D6371" t="s">
        <v>2880</v>
      </c>
      <c r="E6371">
        <v>1025</v>
      </c>
      <c r="F6371" s="11">
        <v>0</v>
      </c>
    </row>
    <row r="6372" spans="1:6" x14ac:dyDescent="0.35">
      <c r="A6372" t="s">
        <v>2857</v>
      </c>
      <c r="B6372" t="s">
        <v>2865</v>
      </c>
      <c r="C6372" t="s">
        <v>1368</v>
      </c>
      <c r="D6372" t="s">
        <v>2881</v>
      </c>
      <c r="E6372">
        <v>75</v>
      </c>
      <c r="F6372" s="11">
        <v>0</v>
      </c>
    </row>
    <row r="6373" spans="1:6" x14ac:dyDescent="0.35">
      <c r="A6373" t="s">
        <v>2857</v>
      </c>
      <c r="B6373" t="s">
        <v>2865</v>
      </c>
      <c r="C6373" t="s">
        <v>1368</v>
      </c>
      <c r="D6373" t="s">
        <v>2882</v>
      </c>
      <c r="E6373">
        <v>653</v>
      </c>
      <c r="F6373" s="11">
        <v>0</v>
      </c>
    </row>
    <row r="6374" spans="1:6" x14ac:dyDescent="0.35">
      <c r="A6374" t="s">
        <v>2857</v>
      </c>
      <c r="B6374" t="s">
        <v>2865</v>
      </c>
      <c r="C6374" t="s">
        <v>1368</v>
      </c>
      <c r="D6374" t="s">
        <v>2883</v>
      </c>
      <c r="E6374">
        <v>19</v>
      </c>
      <c r="F6374" s="11">
        <v>0</v>
      </c>
    </row>
    <row r="6375" spans="1:6" x14ac:dyDescent="0.35">
      <c r="A6375" t="s">
        <v>2857</v>
      </c>
      <c r="B6375" t="s">
        <v>2865</v>
      </c>
      <c r="C6375" t="s">
        <v>1368</v>
      </c>
      <c r="D6375" t="s">
        <v>2884</v>
      </c>
      <c r="E6375">
        <v>0</v>
      </c>
      <c r="F6375" s="11">
        <v>0</v>
      </c>
    </row>
    <row r="6376" spans="1:6" x14ac:dyDescent="0.35">
      <c r="A6376" t="s">
        <v>2857</v>
      </c>
      <c r="B6376" t="s">
        <v>2865</v>
      </c>
      <c r="C6376" t="s">
        <v>1368</v>
      </c>
      <c r="D6376" t="s">
        <v>2885</v>
      </c>
      <c r="E6376">
        <v>0</v>
      </c>
      <c r="F6376" s="11">
        <v>0</v>
      </c>
    </row>
    <row r="6377" spans="1:6" x14ac:dyDescent="0.35">
      <c r="A6377" t="s">
        <v>2857</v>
      </c>
      <c r="B6377" t="s">
        <v>2865</v>
      </c>
      <c r="C6377" t="s">
        <v>1368</v>
      </c>
      <c r="D6377" t="s">
        <v>2886</v>
      </c>
      <c r="E6377">
        <v>20</v>
      </c>
      <c r="F6377" s="11">
        <v>0</v>
      </c>
    </row>
    <row r="6378" spans="1:6" x14ac:dyDescent="0.35">
      <c r="A6378" t="s">
        <v>2857</v>
      </c>
      <c r="B6378" t="s">
        <v>2865</v>
      </c>
      <c r="C6378" t="s">
        <v>1368</v>
      </c>
      <c r="D6378" t="s">
        <v>2887</v>
      </c>
      <c r="E6378">
        <v>30604</v>
      </c>
      <c r="F6378" s="11">
        <v>0</v>
      </c>
    </row>
    <row r="6379" spans="1:6" x14ac:dyDescent="0.35">
      <c r="A6379" t="s">
        <v>2857</v>
      </c>
      <c r="B6379" t="s">
        <v>2865</v>
      </c>
      <c r="C6379" t="s">
        <v>1368</v>
      </c>
      <c r="D6379" t="s">
        <v>2888</v>
      </c>
      <c r="E6379">
        <v>13724</v>
      </c>
      <c r="F6379" s="11">
        <v>0</v>
      </c>
    </row>
    <row r="6380" spans="1:6" x14ac:dyDescent="0.35">
      <c r="A6380" t="s">
        <v>2857</v>
      </c>
      <c r="B6380" t="s">
        <v>2865</v>
      </c>
      <c r="C6380" t="s">
        <v>1368</v>
      </c>
      <c r="D6380" t="s">
        <v>2889</v>
      </c>
      <c r="E6380">
        <v>473</v>
      </c>
      <c r="F6380" s="11">
        <v>0</v>
      </c>
    </row>
    <row r="6381" spans="1:6" x14ac:dyDescent="0.35">
      <c r="A6381" t="s">
        <v>2857</v>
      </c>
      <c r="B6381" t="s">
        <v>2865</v>
      </c>
      <c r="C6381" t="s">
        <v>1368</v>
      </c>
      <c r="D6381" t="s">
        <v>2890</v>
      </c>
      <c r="E6381">
        <v>15867</v>
      </c>
      <c r="F6381" s="11">
        <v>0</v>
      </c>
    </row>
    <row r="6382" spans="1:6" x14ac:dyDescent="0.35">
      <c r="A6382" t="s">
        <v>2857</v>
      </c>
      <c r="B6382" t="s">
        <v>2865</v>
      </c>
      <c r="C6382" t="s">
        <v>1368</v>
      </c>
      <c r="D6382" t="s">
        <v>2891</v>
      </c>
      <c r="E6382">
        <v>75</v>
      </c>
      <c r="F6382" s="11">
        <v>0</v>
      </c>
    </row>
    <row r="6383" spans="1:6" x14ac:dyDescent="0.35">
      <c r="A6383" t="s">
        <v>2857</v>
      </c>
      <c r="B6383" t="s">
        <v>2865</v>
      </c>
      <c r="C6383" t="s">
        <v>1368</v>
      </c>
      <c r="D6383" t="s">
        <v>2892</v>
      </c>
      <c r="E6383">
        <v>0</v>
      </c>
      <c r="F6383" s="11">
        <v>0</v>
      </c>
    </row>
    <row r="6384" spans="1:6" x14ac:dyDescent="0.35">
      <c r="A6384" t="s">
        <v>2857</v>
      </c>
      <c r="B6384" t="s">
        <v>2865</v>
      </c>
      <c r="C6384" t="s">
        <v>1368</v>
      </c>
      <c r="D6384" t="s">
        <v>2893</v>
      </c>
      <c r="E6384">
        <v>0</v>
      </c>
      <c r="F6384" s="11">
        <v>0</v>
      </c>
    </row>
    <row r="6385" spans="1:6" x14ac:dyDescent="0.35">
      <c r="A6385" t="s">
        <v>2857</v>
      </c>
      <c r="B6385" t="s">
        <v>2865</v>
      </c>
      <c r="C6385" t="s">
        <v>1368</v>
      </c>
      <c r="D6385" t="s">
        <v>2894</v>
      </c>
      <c r="E6385">
        <v>75</v>
      </c>
      <c r="F6385" s="11">
        <v>0</v>
      </c>
    </row>
    <row r="6386" spans="1:6" x14ac:dyDescent="0.35">
      <c r="A6386" t="s">
        <v>2857</v>
      </c>
      <c r="B6386" t="s">
        <v>2865</v>
      </c>
      <c r="C6386" t="s">
        <v>1368</v>
      </c>
      <c r="D6386" t="s">
        <v>2895</v>
      </c>
      <c r="E6386">
        <v>181121</v>
      </c>
      <c r="F6386" s="11">
        <v>0</v>
      </c>
    </row>
    <row r="6387" spans="1:6" x14ac:dyDescent="0.35">
      <c r="A6387" t="s">
        <v>2857</v>
      </c>
      <c r="B6387" t="s">
        <v>2865</v>
      </c>
      <c r="C6387" t="s">
        <v>1368</v>
      </c>
      <c r="D6387" t="s">
        <v>2896</v>
      </c>
      <c r="E6387">
        <v>54686</v>
      </c>
      <c r="F6387" s="11">
        <v>0</v>
      </c>
    </row>
    <row r="6388" spans="1:6" x14ac:dyDescent="0.35">
      <c r="A6388" t="s">
        <v>2857</v>
      </c>
      <c r="B6388" t="s">
        <v>2865</v>
      </c>
      <c r="C6388" t="s">
        <v>1368</v>
      </c>
      <c r="D6388" t="s">
        <v>2897</v>
      </c>
      <c r="E6388">
        <v>2912</v>
      </c>
      <c r="F6388" s="11">
        <v>0</v>
      </c>
    </row>
    <row r="6389" spans="1:6" x14ac:dyDescent="0.35">
      <c r="A6389" t="s">
        <v>2857</v>
      </c>
      <c r="B6389" t="s">
        <v>2865</v>
      </c>
      <c r="C6389" t="s">
        <v>1368</v>
      </c>
      <c r="D6389" t="s">
        <v>2898</v>
      </c>
      <c r="E6389">
        <v>123723</v>
      </c>
      <c r="F6389" s="11">
        <v>0</v>
      </c>
    </row>
    <row r="6390" spans="1:6" x14ac:dyDescent="0.35">
      <c r="A6390" t="s">
        <v>2857</v>
      </c>
      <c r="B6390" t="s">
        <v>2865</v>
      </c>
      <c r="C6390" t="s">
        <v>1368</v>
      </c>
      <c r="D6390" t="s">
        <v>2899</v>
      </c>
      <c r="E6390">
        <v>3698</v>
      </c>
      <c r="F6390" s="11">
        <v>0</v>
      </c>
    </row>
    <row r="6391" spans="1:6" x14ac:dyDescent="0.35">
      <c r="A6391" t="s">
        <v>2857</v>
      </c>
      <c r="B6391" t="s">
        <v>2865</v>
      </c>
      <c r="C6391" t="s">
        <v>1368</v>
      </c>
      <c r="D6391" t="s">
        <v>2900</v>
      </c>
      <c r="E6391">
        <v>2</v>
      </c>
      <c r="F6391" s="11">
        <v>0</v>
      </c>
    </row>
    <row r="6392" spans="1:6" x14ac:dyDescent="0.35">
      <c r="A6392" t="s">
        <v>2857</v>
      </c>
      <c r="B6392" t="s">
        <v>2865</v>
      </c>
      <c r="C6392" t="s">
        <v>1368</v>
      </c>
      <c r="D6392" t="s">
        <v>2901</v>
      </c>
      <c r="E6392">
        <v>0</v>
      </c>
      <c r="F6392" s="11">
        <v>0</v>
      </c>
    </row>
    <row r="6393" spans="1:6" x14ac:dyDescent="0.35">
      <c r="A6393" t="s">
        <v>2857</v>
      </c>
      <c r="B6393" t="s">
        <v>2865</v>
      </c>
      <c r="C6393" t="s">
        <v>1368</v>
      </c>
      <c r="D6393" t="s">
        <v>2902</v>
      </c>
      <c r="E6393">
        <v>3696</v>
      </c>
      <c r="F6393" s="11">
        <v>0</v>
      </c>
    </row>
    <row r="6394" spans="1:6" x14ac:dyDescent="0.35">
      <c r="A6394" t="s">
        <v>2857</v>
      </c>
      <c r="B6394" t="s">
        <v>2865</v>
      </c>
      <c r="C6394" t="s">
        <v>1368</v>
      </c>
      <c r="D6394" t="s">
        <v>2903</v>
      </c>
      <c r="E6394">
        <v>17922</v>
      </c>
      <c r="F6394" s="11">
        <v>0</v>
      </c>
    </row>
    <row r="6395" spans="1:6" x14ac:dyDescent="0.35">
      <c r="A6395" t="s">
        <v>2857</v>
      </c>
      <c r="B6395" t="s">
        <v>2865</v>
      </c>
      <c r="C6395" t="s">
        <v>1368</v>
      </c>
      <c r="D6395" t="s">
        <v>2904</v>
      </c>
      <c r="E6395">
        <v>1371</v>
      </c>
      <c r="F6395" s="11">
        <v>0</v>
      </c>
    </row>
    <row r="6396" spans="1:6" x14ac:dyDescent="0.35">
      <c r="A6396" t="s">
        <v>2857</v>
      </c>
      <c r="B6396" t="s">
        <v>2865</v>
      </c>
      <c r="C6396" t="s">
        <v>1368</v>
      </c>
      <c r="D6396" t="s">
        <v>2905</v>
      </c>
      <c r="E6396">
        <v>807</v>
      </c>
      <c r="F6396" s="11">
        <v>0</v>
      </c>
    </row>
    <row r="6397" spans="1:6" x14ac:dyDescent="0.35">
      <c r="A6397" t="s">
        <v>2857</v>
      </c>
      <c r="B6397" t="s">
        <v>2865</v>
      </c>
      <c r="C6397" t="s">
        <v>1368</v>
      </c>
      <c r="D6397" t="s">
        <v>2906</v>
      </c>
      <c r="E6397">
        <v>15744</v>
      </c>
      <c r="F6397" s="11">
        <v>0</v>
      </c>
    </row>
    <row r="6398" spans="1:6" x14ac:dyDescent="0.35">
      <c r="A6398" t="s">
        <v>2857</v>
      </c>
      <c r="B6398" t="s">
        <v>2865</v>
      </c>
      <c r="C6398" t="s">
        <v>1368</v>
      </c>
      <c r="D6398" t="s">
        <v>2907</v>
      </c>
      <c r="E6398">
        <v>34233</v>
      </c>
      <c r="F6398" s="11">
        <v>0</v>
      </c>
    </row>
    <row r="6399" spans="1:6" x14ac:dyDescent="0.35">
      <c r="A6399" t="s">
        <v>2857</v>
      </c>
      <c r="B6399" t="s">
        <v>2865</v>
      </c>
      <c r="C6399" t="s">
        <v>1368</v>
      </c>
      <c r="D6399" t="s">
        <v>2908</v>
      </c>
      <c r="E6399">
        <v>3192</v>
      </c>
      <c r="F6399" s="11">
        <v>0</v>
      </c>
    </row>
    <row r="6400" spans="1:6" x14ac:dyDescent="0.35">
      <c r="A6400" t="s">
        <v>2857</v>
      </c>
      <c r="B6400" t="s">
        <v>2865</v>
      </c>
      <c r="C6400" t="s">
        <v>1368</v>
      </c>
      <c r="D6400" t="s">
        <v>2909</v>
      </c>
      <c r="E6400">
        <v>1269</v>
      </c>
      <c r="F6400" s="11">
        <v>0</v>
      </c>
    </row>
    <row r="6401" spans="1:6" x14ac:dyDescent="0.35">
      <c r="A6401" t="s">
        <v>2857</v>
      </c>
      <c r="B6401" t="s">
        <v>2865</v>
      </c>
      <c r="C6401" t="s">
        <v>1368</v>
      </c>
      <c r="D6401" t="s">
        <v>2910</v>
      </c>
      <c r="E6401">
        <v>29772</v>
      </c>
      <c r="F6401" s="11">
        <v>0</v>
      </c>
    </row>
    <row r="6402" spans="1:6" x14ac:dyDescent="0.35">
      <c r="A6402" t="s">
        <v>2857</v>
      </c>
      <c r="B6402" t="s">
        <v>2865</v>
      </c>
      <c r="C6402" t="s">
        <v>1368</v>
      </c>
      <c r="D6402" t="s">
        <v>2911</v>
      </c>
      <c r="E6402">
        <v>229191</v>
      </c>
      <c r="F6402" s="11">
        <v>0</v>
      </c>
    </row>
    <row r="6403" spans="1:6" x14ac:dyDescent="0.35">
      <c r="A6403" t="s">
        <v>2857</v>
      </c>
      <c r="B6403" t="s">
        <v>2865</v>
      </c>
      <c r="C6403" t="s">
        <v>1368</v>
      </c>
      <c r="D6403" t="s">
        <v>2912</v>
      </c>
      <c r="E6403">
        <v>0</v>
      </c>
      <c r="F6403" s="11">
        <v>0</v>
      </c>
    </row>
    <row r="6404" spans="1:6" x14ac:dyDescent="0.35">
      <c r="A6404" t="s">
        <v>2857</v>
      </c>
      <c r="B6404" t="s">
        <v>2865</v>
      </c>
      <c r="C6404" t="s">
        <v>1368</v>
      </c>
      <c r="D6404" t="s">
        <v>2913</v>
      </c>
      <c r="E6404">
        <v>0</v>
      </c>
      <c r="F6404" s="11">
        <v>0</v>
      </c>
    </row>
    <row r="6405" spans="1:6" x14ac:dyDescent="0.35">
      <c r="A6405" t="s">
        <v>2857</v>
      </c>
      <c r="B6405" t="s">
        <v>2865</v>
      </c>
      <c r="C6405" t="s">
        <v>1368</v>
      </c>
      <c r="D6405" t="s">
        <v>2914</v>
      </c>
      <c r="E6405">
        <v>0</v>
      </c>
      <c r="F6405" s="11">
        <v>0</v>
      </c>
    </row>
    <row r="6406" spans="1:6" x14ac:dyDescent="0.35">
      <c r="A6406" t="s">
        <v>2857</v>
      </c>
      <c r="B6406" t="s">
        <v>2865</v>
      </c>
      <c r="C6406" t="s">
        <v>1368</v>
      </c>
      <c r="D6406" t="s">
        <v>2915</v>
      </c>
      <c r="E6406">
        <v>8064</v>
      </c>
      <c r="F6406" s="11">
        <v>0</v>
      </c>
    </row>
    <row r="6407" spans="1:6" x14ac:dyDescent="0.35">
      <c r="A6407" t="s">
        <v>2857</v>
      </c>
      <c r="B6407" t="s">
        <v>2865</v>
      </c>
      <c r="C6407" t="s">
        <v>1368</v>
      </c>
      <c r="D6407" t="s">
        <v>2916</v>
      </c>
      <c r="E6407">
        <v>23581</v>
      </c>
      <c r="F6407" s="11">
        <v>0</v>
      </c>
    </row>
    <row r="6408" spans="1:6" x14ac:dyDescent="0.35">
      <c r="A6408" t="s">
        <v>2857</v>
      </c>
      <c r="B6408" t="s">
        <v>2865</v>
      </c>
      <c r="C6408" t="s">
        <v>1368</v>
      </c>
      <c r="D6408" t="s">
        <v>2917</v>
      </c>
      <c r="E6408">
        <v>0</v>
      </c>
      <c r="F6408" s="11">
        <v>0</v>
      </c>
    </row>
    <row r="6409" spans="1:6" x14ac:dyDescent="0.35">
      <c r="A6409" t="s">
        <v>2857</v>
      </c>
      <c r="B6409" t="s">
        <v>2866</v>
      </c>
      <c r="C6409" t="s">
        <v>1403</v>
      </c>
      <c r="D6409" t="s">
        <v>2875</v>
      </c>
      <c r="E6409">
        <v>20965</v>
      </c>
      <c r="F6409" s="11">
        <v>0</v>
      </c>
    </row>
    <row r="6410" spans="1:6" x14ac:dyDescent="0.35">
      <c r="A6410" t="s">
        <v>2857</v>
      </c>
      <c r="B6410" t="s">
        <v>2866</v>
      </c>
      <c r="C6410" t="s">
        <v>1403</v>
      </c>
      <c r="D6410" t="s">
        <v>2876</v>
      </c>
      <c r="E6410">
        <v>3392</v>
      </c>
      <c r="F6410" s="11">
        <v>0</v>
      </c>
    </row>
    <row r="6411" spans="1:6" x14ac:dyDescent="0.35">
      <c r="A6411" t="s">
        <v>2857</v>
      </c>
      <c r="B6411" t="s">
        <v>2866</v>
      </c>
      <c r="C6411" t="s">
        <v>1403</v>
      </c>
      <c r="D6411" t="s">
        <v>2877</v>
      </c>
      <c r="E6411">
        <v>1250</v>
      </c>
      <c r="F6411" s="11">
        <v>0</v>
      </c>
    </row>
    <row r="6412" spans="1:6" x14ac:dyDescent="0.35">
      <c r="A6412" t="s">
        <v>2857</v>
      </c>
      <c r="B6412" t="s">
        <v>2866</v>
      </c>
      <c r="C6412" t="s">
        <v>1403</v>
      </c>
      <c r="D6412" t="s">
        <v>2878</v>
      </c>
      <c r="E6412">
        <v>16323</v>
      </c>
      <c r="F6412" s="11">
        <v>0</v>
      </c>
    </row>
    <row r="6413" spans="1:6" x14ac:dyDescent="0.35">
      <c r="A6413" t="s">
        <v>2857</v>
      </c>
      <c r="B6413" t="s">
        <v>2866</v>
      </c>
      <c r="C6413" t="s">
        <v>1403</v>
      </c>
      <c r="D6413" t="s">
        <v>2879</v>
      </c>
      <c r="E6413">
        <v>3374</v>
      </c>
      <c r="F6413" s="11">
        <v>0</v>
      </c>
    </row>
    <row r="6414" spans="1:6" x14ac:dyDescent="0.35">
      <c r="A6414" t="s">
        <v>2857</v>
      </c>
      <c r="B6414" t="s">
        <v>2866</v>
      </c>
      <c r="C6414" t="s">
        <v>1403</v>
      </c>
      <c r="D6414" t="s">
        <v>2880</v>
      </c>
      <c r="E6414">
        <v>1553</v>
      </c>
      <c r="F6414" s="11">
        <v>0</v>
      </c>
    </row>
    <row r="6415" spans="1:6" x14ac:dyDescent="0.35">
      <c r="A6415" t="s">
        <v>2857</v>
      </c>
      <c r="B6415" t="s">
        <v>2866</v>
      </c>
      <c r="C6415" t="s">
        <v>1403</v>
      </c>
      <c r="D6415" t="s">
        <v>2881</v>
      </c>
      <c r="E6415">
        <v>0</v>
      </c>
      <c r="F6415" s="11">
        <v>0</v>
      </c>
    </row>
    <row r="6416" spans="1:6" x14ac:dyDescent="0.35">
      <c r="A6416" t="s">
        <v>2857</v>
      </c>
      <c r="B6416" t="s">
        <v>2866</v>
      </c>
      <c r="C6416" t="s">
        <v>1403</v>
      </c>
      <c r="D6416" t="s">
        <v>2882</v>
      </c>
      <c r="E6416">
        <v>1629</v>
      </c>
      <c r="F6416" s="11">
        <v>0</v>
      </c>
    </row>
    <row r="6417" spans="1:6" x14ac:dyDescent="0.35">
      <c r="A6417" t="s">
        <v>2857</v>
      </c>
      <c r="B6417" t="s">
        <v>2866</v>
      </c>
      <c r="C6417" t="s">
        <v>1403</v>
      </c>
      <c r="D6417" t="s">
        <v>2883</v>
      </c>
      <c r="E6417">
        <v>0</v>
      </c>
      <c r="F6417" s="11">
        <v>0</v>
      </c>
    </row>
    <row r="6418" spans="1:6" x14ac:dyDescent="0.35">
      <c r="A6418" t="s">
        <v>2857</v>
      </c>
      <c r="B6418" t="s">
        <v>2866</v>
      </c>
      <c r="C6418" t="s">
        <v>1403</v>
      </c>
      <c r="D6418" t="s">
        <v>2884</v>
      </c>
      <c r="E6418">
        <v>0</v>
      </c>
      <c r="F6418" s="11">
        <v>0</v>
      </c>
    </row>
    <row r="6419" spans="1:6" x14ac:dyDescent="0.35">
      <c r="A6419" t="s">
        <v>2857</v>
      </c>
      <c r="B6419" t="s">
        <v>2866</v>
      </c>
      <c r="C6419" t="s">
        <v>1403</v>
      </c>
      <c r="D6419" t="s">
        <v>2885</v>
      </c>
      <c r="E6419">
        <v>0</v>
      </c>
      <c r="F6419" s="11">
        <v>0</v>
      </c>
    </row>
    <row r="6420" spans="1:6" x14ac:dyDescent="0.35">
      <c r="A6420" t="s">
        <v>2857</v>
      </c>
      <c r="B6420" t="s">
        <v>2866</v>
      </c>
      <c r="C6420" t="s">
        <v>1403</v>
      </c>
      <c r="D6420" t="s">
        <v>2886</v>
      </c>
      <c r="E6420">
        <v>0</v>
      </c>
      <c r="F6420" s="11">
        <v>0</v>
      </c>
    </row>
    <row r="6421" spans="1:6" x14ac:dyDescent="0.35">
      <c r="A6421" t="s">
        <v>2857</v>
      </c>
      <c r="B6421" t="s">
        <v>2866</v>
      </c>
      <c r="C6421" t="s">
        <v>1403</v>
      </c>
      <c r="D6421" t="s">
        <v>2887</v>
      </c>
      <c r="E6421">
        <v>46245</v>
      </c>
      <c r="F6421" s="11">
        <v>0</v>
      </c>
    </row>
    <row r="6422" spans="1:6" x14ac:dyDescent="0.35">
      <c r="A6422" t="s">
        <v>2857</v>
      </c>
      <c r="B6422" t="s">
        <v>2866</v>
      </c>
      <c r="C6422" t="s">
        <v>1403</v>
      </c>
      <c r="D6422" t="s">
        <v>2888</v>
      </c>
      <c r="E6422">
        <v>21052</v>
      </c>
      <c r="F6422" s="11">
        <v>0</v>
      </c>
    </row>
    <row r="6423" spans="1:6" x14ac:dyDescent="0.35">
      <c r="A6423" t="s">
        <v>2857</v>
      </c>
      <c r="B6423" t="s">
        <v>2866</v>
      </c>
      <c r="C6423" t="s">
        <v>1403</v>
      </c>
      <c r="D6423" t="s">
        <v>2889</v>
      </c>
      <c r="E6423">
        <v>0</v>
      </c>
      <c r="F6423" s="11">
        <v>0</v>
      </c>
    </row>
    <row r="6424" spans="1:6" x14ac:dyDescent="0.35">
      <c r="A6424" t="s">
        <v>2857</v>
      </c>
      <c r="B6424" t="s">
        <v>2866</v>
      </c>
      <c r="C6424" t="s">
        <v>1403</v>
      </c>
      <c r="D6424" t="s">
        <v>2890</v>
      </c>
      <c r="E6424">
        <v>25193</v>
      </c>
      <c r="F6424" s="11">
        <v>0</v>
      </c>
    </row>
    <row r="6425" spans="1:6" x14ac:dyDescent="0.35">
      <c r="A6425" t="s">
        <v>2857</v>
      </c>
      <c r="B6425" t="s">
        <v>2866</v>
      </c>
      <c r="C6425" t="s">
        <v>1403</v>
      </c>
      <c r="D6425" t="s">
        <v>2891</v>
      </c>
      <c r="E6425">
        <v>0</v>
      </c>
      <c r="F6425" s="11">
        <v>0</v>
      </c>
    </row>
    <row r="6426" spans="1:6" x14ac:dyDescent="0.35">
      <c r="A6426" t="s">
        <v>2857</v>
      </c>
      <c r="B6426" t="s">
        <v>2866</v>
      </c>
      <c r="C6426" t="s">
        <v>1403</v>
      </c>
      <c r="D6426" t="s">
        <v>2892</v>
      </c>
      <c r="E6426">
        <v>0</v>
      </c>
      <c r="F6426" s="11">
        <v>0</v>
      </c>
    </row>
    <row r="6427" spans="1:6" x14ac:dyDescent="0.35">
      <c r="A6427" t="s">
        <v>2857</v>
      </c>
      <c r="B6427" t="s">
        <v>2866</v>
      </c>
      <c r="C6427" t="s">
        <v>1403</v>
      </c>
      <c r="D6427" t="s">
        <v>2893</v>
      </c>
      <c r="E6427">
        <v>0</v>
      </c>
      <c r="F6427" s="11">
        <v>0</v>
      </c>
    </row>
    <row r="6428" spans="1:6" x14ac:dyDescent="0.35">
      <c r="A6428" t="s">
        <v>2857</v>
      </c>
      <c r="B6428" t="s">
        <v>2866</v>
      </c>
      <c r="C6428" t="s">
        <v>1403</v>
      </c>
      <c r="D6428" t="s">
        <v>2894</v>
      </c>
      <c r="E6428">
        <v>0</v>
      </c>
      <c r="F6428" s="11">
        <v>0</v>
      </c>
    </row>
    <row r="6429" spans="1:6" x14ac:dyDescent="0.35">
      <c r="A6429" t="s">
        <v>2857</v>
      </c>
      <c r="B6429" t="s">
        <v>2866</v>
      </c>
      <c r="C6429" t="s">
        <v>1403</v>
      </c>
      <c r="D6429" t="s">
        <v>2895</v>
      </c>
      <c r="E6429">
        <v>328924</v>
      </c>
      <c r="F6429" s="11">
        <v>0</v>
      </c>
    </row>
    <row r="6430" spans="1:6" x14ac:dyDescent="0.35">
      <c r="A6430" t="s">
        <v>2857</v>
      </c>
      <c r="B6430" t="s">
        <v>2866</v>
      </c>
      <c r="C6430" t="s">
        <v>1403</v>
      </c>
      <c r="D6430" t="s">
        <v>2896</v>
      </c>
      <c r="E6430">
        <v>164340</v>
      </c>
      <c r="F6430" s="11">
        <v>0</v>
      </c>
    </row>
    <row r="6431" spans="1:6" x14ac:dyDescent="0.35">
      <c r="A6431" t="s">
        <v>2857</v>
      </c>
      <c r="B6431" t="s">
        <v>2866</v>
      </c>
      <c r="C6431" t="s">
        <v>1403</v>
      </c>
      <c r="D6431" t="s">
        <v>2897</v>
      </c>
      <c r="E6431">
        <v>5987</v>
      </c>
      <c r="F6431" s="11">
        <v>0</v>
      </c>
    </row>
    <row r="6432" spans="1:6" x14ac:dyDescent="0.35">
      <c r="A6432" t="s">
        <v>2857</v>
      </c>
      <c r="B6432" t="s">
        <v>2866</v>
      </c>
      <c r="C6432" t="s">
        <v>1403</v>
      </c>
      <c r="D6432" t="s">
        <v>2898</v>
      </c>
      <c r="E6432">
        <v>158597</v>
      </c>
      <c r="F6432" s="11">
        <v>0</v>
      </c>
    </row>
    <row r="6433" spans="1:6" x14ac:dyDescent="0.35">
      <c r="A6433" t="s">
        <v>2857</v>
      </c>
      <c r="B6433" t="s">
        <v>2866</v>
      </c>
      <c r="C6433" t="s">
        <v>1403</v>
      </c>
      <c r="D6433" t="s">
        <v>2899</v>
      </c>
      <c r="E6433">
        <v>3063</v>
      </c>
      <c r="F6433" s="11">
        <v>0</v>
      </c>
    </row>
    <row r="6434" spans="1:6" x14ac:dyDescent="0.35">
      <c r="A6434" t="s">
        <v>2857</v>
      </c>
      <c r="B6434" t="s">
        <v>2866</v>
      </c>
      <c r="C6434" t="s">
        <v>1403</v>
      </c>
      <c r="D6434" t="s">
        <v>2900</v>
      </c>
      <c r="E6434">
        <v>177</v>
      </c>
      <c r="F6434" s="11">
        <v>0</v>
      </c>
    </row>
    <row r="6435" spans="1:6" x14ac:dyDescent="0.35">
      <c r="A6435" t="s">
        <v>2857</v>
      </c>
      <c r="B6435" t="s">
        <v>2866</v>
      </c>
      <c r="C6435" t="s">
        <v>1403</v>
      </c>
      <c r="D6435" t="s">
        <v>2901</v>
      </c>
      <c r="E6435">
        <v>0</v>
      </c>
      <c r="F6435" s="11">
        <v>0</v>
      </c>
    </row>
    <row r="6436" spans="1:6" x14ac:dyDescent="0.35">
      <c r="A6436" t="s">
        <v>2857</v>
      </c>
      <c r="B6436" t="s">
        <v>2866</v>
      </c>
      <c r="C6436" t="s">
        <v>1403</v>
      </c>
      <c r="D6436" t="s">
        <v>2902</v>
      </c>
      <c r="E6436">
        <v>2886</v>
      </c>
      <c r="F6436" s="11">
        <v>0</v>
      </c>
    </row>
    <row r="6437" spans="1:6" x14ac:dyDescent="0.35">
      <c r="A6437" t="s">
        <v>2857</v>
      </c>
      <c r="B6437" t="s">
        <v>2866</v>
      </c>
      <c r="C6437" t="s">
        <v>1403</v>
      </c>
      <c r="D6437" t="s">
        <v>2903</v>
      </c>
      <c r="E6437">
        <v>26636</v>
      </c>
      <c r="F6437" s="11">
        <v>0</v>
      </c>
    </row>
    <row r="6438" spans="1:6" x14ac:dyDescent="0.35">
      <c r="A6438" t="s">
        <v>2857</v>
      </c>
      <c r="B6438" t="s">
        <v>2866</v>
      </c>
      <c r="C6438" t="s">
        <v>1403</v>
      </c>
      <c r="D6438" t="s">
        <v>2904</v>
      </c>
      <c r="E6438">
        <v>0</v>
      </c>
      <c r="F6438" s="11">
        <v>0</v>
      </c>
    </row>
    <row r="6439" spans="1:6" x14ac:dyDescent="0.35">
      <c r="A6439" t="s">
        <v>2857</v>
      </c>
      <c r="B6439" t="s">
        <v>2866</v>
      </c>
      <c r="C6439" t="s">
        <v>1403</v>
      </c>
      <c r="D6439" t="s">
        <v>2905</v>
      </c>
      <c r="E6439">
        <v>0</v>
      </c>
      <c r="F6439" s="11">
        <v>0</v>
      </c>
    </row>
    <row r="6440" spans="1:6" x14ac:dyDescent="0.35">
      <c r="A6440" t="s">
        <v>2857</v>
      </c>
      <c r="B6440" t="s">
        <v>2866</v>
      </c>
      <c r="C6440" t="s">
        <v>1403</v>
      </c>
      <c r="D6440" t="s">
        <v>2906</v>
      </c>
      <c r="E6440">
        <v>0</v>
      </c>
      <c r="F6440" s="11">
        <v>0</v>
      </c>
    </row>
    <row r="6441" spans="1:6" x14ac:dyDescent="0.35">
      <c r="A6441" t="s">
        <v>2857</v>
      </c>
      <c r="B6441" t="s">
        <v>2866</v>
      </c>
      <c r="C6441" t="s">
        <v>1403</v>
      </c>
      <c r="D6441" t="s">
        <v>2907</v>
      </c>
      <c r="E6441">
        <v>28524</v>
      </c>
      <c r="F6441" s="11">
        <v>0</v>
      </c>
    </row>
    <row r="6442" spans="1:6" x14ac:dyDescent="0.35">
      <c r="A6442" t="s">
        <v>2857</v>
      </c>
      <c r="B6442" t="s">
        <v>2866</v>
      </c>
      <c r="C6442" t="s">
        <v>1403</v>
      </c>
      <c r="D6442" t="s">
        <v>2908</v>
      </c>
      <c r="E6442">
        <v>0</v>
      </c>
      <c r="F6442" s="11">
        <v>0</v>
      </c>
    </row>
    <row r="6443" spans="1:6" x14ac:dyDescent="0.35">
      <c r="A6443" t="s">
        <v>2857</v>
      </c>
      <c r="B6443" t="s">
        <v>2866</v>
      </c>
      <c r="C6443" t="s">
        <v>1403</v>
      </c>
      <c r="D6443" t="s">
        <v>2909</v>
      </c>
      <c r="E6443">
        <v>0</v>
      </c>
      <c r="F6443" s="11">
        <v>0</v>
      </c>
    </row>
    <row r="6444" spans="1:6" x14ac:dyDescent="0.35">
      <c r="A6444" t="s">
        <v>2857</v>
      </c>
      <c r="B6444" t="s">
        <v>2866</v>
      </c>
      <c r="C6444" t="s">
        <v>1403</v>
      </c>
      <c r="D6444" t="s">
        <v>2910</v>
      </c>
      <c r="E6444">
        <v>0</v>
      </c>
      <c r="F6444" s="11">
        <v>0</v>
      </c>
    </row>
    <row r="6445" spans="1:6" x14ac:dyDescent="0.35">
      <c r="A6445" t="s">
        <v>2857</v>
      </c>
      <c r="B6445" t="s">
        <v>2866</v>
      </c>
      <c r="C6445" t="s">
        <v>1403</v>
      </c>
      <c r="D6445" t="s">
        <v>2911</v>
      </c>
      <c r="E6445">
        <v>808981</v>
      </c>
      <c r="F6445" s="11">
        <v>0</v>
      </c>
    </row>
    <row r="6446" spans="1:6" x14ac:dyDescent="0.35">
      <c r="A6446" t="s">
        <v>2857</v>
      </c>
      <c r="B6446" t="s">
        <v>2866</v>
      </c>
      <c r="C6446" t="s">
        <v>1403</v>
      </c>
      <c r="D6446" t="s">
        <v>2912</v>
      </c>
      <c r="E6446">
        <v>0</v>
      </c>
      <c r="F6446" s="11">
        <v>0</v>
      </c>
    </row>
    <row r="6447" spans="1:6" x14ac:dyDescent="0.35">
      <c r="A6447" t="s">
        <v>2857</v>
      </c>
      <c r="B6447" t="s">
        <v>2866</v>
      </c>
      <c r="C6447" t="s">
        <v>1403</v>
      </c>
      <c r="D6447" t="s">
        <v>2913</v>
      </c>
      <c r="E6447">
        <v>0</v>
      </c>
      <c r="F6447" s="11">
        <v>0</v>
      </c>
    </row>
    <row r="6448" spans="1:6" x14ac:dyDescent="0.35">
      <c r="A6448" t="s">
        <v>2857</v>
      </c>
      <c r="B6448" t="s">
        <v>2866</v>
      </c>
      <c r="C6448" t="s">
        <v>1403</v>
      </c>
      <c r="D6448" t="s">
        <v>2914</v>
      </c>
      <c r="E6448">
        <v>0</v>
      </c>
      <c r="F6448" s="11">
        <v>0</v>
      </c>
    </row>
    <row r="6449" spans="1:6" x14ac:dyDescent="0.35">
      <c r="A6449" t="s">
        <v>2857</v>
      </c>
      <c r="B6449" t="s">
        <v>2866</v>
      </c>
      <c r="C6449" t="s">
        <v>1403</v>
      </c>
      <c r="D6449" t="s">
        <v>2915</v>
      </c>
      <c r="E6449">
        <v>1062</v>
      </c>
      <c r="F6449" s="11">
        <v>0</v>
      </c>
    </row>
    <row r="6450" spans="1:6" x14ac:dyDescent="0.35">
      <c r="A6450" t="s">
        <v>2857</v>
      </c>
      <c r="B6450" t="s">
        <v>2866</v>
      </c>
      <c r="C6450" t="s">
        <v>1403</v>
      </c>
      <c r="D6450" t="s">
        <v>2916</v>
      </c>
      <c r="E6450">
        <v>52199</v>
      </c>
      <c r="F6450" s="11">
        <v>0</v>
      </c>
    </row>
    <row r="6451" spans="1:6" x14ac:dyDescent="0.35">
      <c r="A6451" t="s">
        <v>2857</v>
      </c>
      <c r="B6451" t="s">
        <v>2866</v>
      </c>
      <c r="C6451" t="s">
        <v>1403</v>
      </c>
      <c r="D6451" t="s">
        <v>2917</v>
      </c>
      <c r="E6451">
        <v>77935</v>
      </c>
      <c r="F6451" s="11">
        <v>0</v>
      </c>
    </row>
    <row r="6452" spans="1:6" x14ac:dyDescent="0.35">
      <c r="A6452" t="s">
        <v>2857</v>
      </c>
      <c r="B6452" t="s">
        <v>2865</v>
      </c>
      <c r="C6452" t="s">
        <v>1486</v>
      </c>
      <c r="D6452" t="s">
        <v>2875</v>
      </c>
      <c r="E6452">
        <v>3138</v>
      </c>
      <c r="F6452" s="11">
        <v>1</v>
      </c>
    </row>
    <row r="6453" spans="1:6" x14ac:dyDescent="0.35">
      <c r="A6453" t="s">
        <v>2857</v>
      </c>
      <c r="B6453" t="s">
        <v>2865</v>
      </c>
      <c r="C6453" t="s">
        <v>1486</v>
      </c>
      <c r="D6453" t="s">
        <v>2876</v>
      </c>
      <c r="E6453">
        <v>792</v>
      </c>
      <c r="F6453" s="11">
        <v>1</v>
      </c>
    </row>
    <row r="6454" spans="1:6" x14ac:dyDescent="0.35">
      <c r="A6454" t="s">
        <v>2857</v>
      </c>
      <c r="B6454" t="s">
        <v>2865</v>
      </c>
      <c r="C6454" t="s">
        <v>1486</v>
      </c>
      <c r="D6454" t="s">
        <v>2877</v>
      </c>
      <c r="E6454">
        <v>78</v>
      </c>
      <c r="F6454" s="11">
        <v>1</v>
      </c>
    </row>
    <row r="6455" spans="1:6" x14ac:dyDescent="0.35">
      <c r="A6455" t="s">
        <v>2857</v>
      </c>
      <c r="B6455" t="s">
        <v>2865</v>
      </c>
      <c r="C6455" t="s">
        <v>1486</v>
      </c>
      <c r="D6455" t="s">
        <v>2878</v>
      </c>
      <c r="E6455">
        <v>2268</v>
      </c>
      <c r="F6455" s="11">
        <v>1</v>
      </c>
    </row>
    <row r="6456" spans="1:6" x14ac:dyDescent="0.35">
      <c r="A6456" t="s">
        <v>2857</v>
      </c>
      <c r="B6456" t="s">
        <v>2865</v>
      </c>
      <c r="C6456" t="s">
        <v>1486</v>
      </c>
      <c r="D6456" t="s">
        <v>2879</v>
      </c>
      <c r="E6456">
        <v>1209</v>
      </c>
      <c r="F6456" s="11">
        <v>1</v>
      </c>
    </row>
    <row r="6457" spans="1:6" x14ac:dyDescent="0.35">
      <c r="A6457" t="s">
        <v>2857</v>
      </c>
      <c r="B6457" t="s">
        <v>2865</v>
      </c>
      <c r="C6457" t="s">
        <v>1486</v>
      </c>
      <c r="D6457" t="s">
        <v>2880</v>
      </c>
      <c r="E6457">
        <v>527</v>
      </c>
      <c r="F6457" s="11">
        <v>1</v>
      </c>
    </row>
    <row r="6458" spans="1:6" x14ac:dyDescent="0.35">
      <c r="A6458" t="s">
        <v>2857</v>
      </c>
      <c r="B6458" t="s">
        <v>2865</v>
      </c>
      <c r="C6458" t="s">
        <v>1486</v>
      </c>
      <c r="D6458" t="s">
        <v>2881</v>
      </c>
      <c r="E6458">
        <v>95</v>
      </c>
      <c r="F6458" s="11">
        <v>1</v>
      </c>
    </row>
    <row r="6459" spans="1:6" x14ac:dyDescent="0.35">
      <c r="A6459" t="s">
        <v>2857</v>
      </c>
      <c r="B6459" t="s">
        <v>2865</v>
      </c>
      <c r="C6459" t="s">
        <v>1486</v>
      </c>
      <c r="D6459" t="s">
        <v>2882</v>
      </c>
      <c r="E6459">
        <v>587</v>
      </c>
      <c r="F6459" s="11">
        <v>1</v>
      </c>
    </row>
    <row r="6460" spans="1:6" x14ac:dyDescent="0.35">
      <c r="A6460" t="s">
        <v>2857</v>
      </c>
      <c r="B6460" t="s">
        <v>2865</v>
      </c>
      <c r="C6460" t="s">
        <v>1486</v>
      </c>
      <c r="D6460" t="s">
        <v>2883</v>
      </c>
      <c r="E6460">
        <v>0</v>
      </c>
      <c r="F6460" s="11">
        <v>1</v>
      </c>
    </row>
    <row r="6461" spans="1:6" x14ac:dyDescent="0.35">
      <c r="A6461" t="s">
        <v>2857</v>
      </c>
      <c r="B6461" t="s">
        <v>2865</v>
      </c>
      <c r="C6461" t="s">
        <v>1486</v>
      </c>
      <c r="D6461" t="s">
        <v>2884</v>
      </c>
      <c r="E6461">
        <v>0</v>
      </c>
      <c r="F6461" s="11">
        <v>1</v>
      </c>
    </row>
    <row r="6462" spans="1:6" x14ac:dyDescent="0.35">
      <c r="A6462" t="s">
        <v>2857</v>
      </c>
      <c r="B6462" t="s">
        <v>2865</v>
      </c>
      <c r="C6462" t="s">
        <v>1486</v>
      </c>
      <c r="D6462" t="s">
        <v>2885</v>
      </c>
      <c r="E6462">
        <v>0</v>
      </c>
      <c r="F6462" s="11">
        <v>1</v>
      </c>
    </row>
    <row r="6463" spans="1:6" x14ac:dyDescent="0.35">
      <c r="A6463" t="s">
        <v>2857</v>
      </c>
      <c r="B6463" t="s">
        <v>2865</v>
      </c>
      <c r="C6463" t="s">
        <v>1486</v>
      </c>
      <c r="D6463" t="s">
        <v>2886</v>
      </c>
      <c r="E6463">
        <v>0</v>
      </c>
      <c r="F6463" s="11">
        <v>0</v>
      </c>
    </row>
    <row r="6464" spans="1:6" x14ac:dyDescent="0.35">
      <c r="A6464" t="s">
        <v>2857</v>
      </c>
      <c r="B6464" t="s">
        <v>2865</v>
      </c>
      <c r="C6464" t="s">
        <v>1486</v>
      </c>
      <c r="D6464" t="s">
        <v>2887</v>
      </c>
      <c r="E6464">
        <v>24688</v>
      </c>
      <c r="F6464" s="11">
        <v>1</v>
      </c>
    </row>
    <row r="6465" spans="1:6" x14ac:dyDescent="0.35">
      <c r="A6465" t="s">
        <v>2857</v>
      </c>
      <c r="B6465" t="s">
        <v>2865</v>
      </c>
      <c r="C6465" t="s">
        <v>1486</v>
      </c>
      <c r="D6465" t="s">
        <v>2888</v>
      </c>
      <c r="E6465">
        <v>13880</v>
      </c>
      <c r="F6465" s="11">
        <v>1</v>
      </c>
    </row>
    <row r="6466" spans="1:6" x14ac:dyDescent="0.35">
      <c r="A6466" t="s">
        <v>2857</v>
      </c>
      <c r="B6466" t="s">
        <v>2865</v>
      </c>
      <c r="C6466" t="s">
        <v>1486</v>
      </c>
      <c r="D6466" t="s">
        <v>2889</v>
      </c>
      <c r="E6466">
        <v>979</v>
      </c>
      <c r="F6466" s="11">
        <v>1</v>
      </c>
    </row>
    <row r="6467" spans="1:6" x14ac:dyDescent="0.35">
      <c r="A6467" t="s">
        <v>2857</v>
      </c>
      <c r="B6467" t="s">
        <v>2865</v>
      </c>
      <c r="C6467" t="s">
        <v>1486</v>
      </c>
      <c r="D6467" t="s">
        <v>2890</v>
      </c>
      <c r="E6467">
        <v>9829</v>
      </c>
      <c r="F6467" s="11">
        <v>1</v>
      </c>
    </row>
    <row r="6468" spans="1:6" x14ac:dyDescent="0.35">
      <c r="A6468" t="s">
        <v>2857</v>
      </c>
      <c r="B6468" t="s">
        <v>2865</v>
      </c>
      <c r="C6468" t="s">
        <v>1486</v>
      </c>
      <c r="D6468" t="s">
        <v>2891</v>
      </c>
      <c r="E6468">
        <v>0</v>
      </c>
      <c r="F6468" s="11">
        <v>1</v>
      </c>
    </row>
    <row r="6469" spans="1:6" x14ac:dyDescent="0.35">
      <c r="A6469" t="s">
        <v>2857</v>
      </c>
      <c r="B6469" t="s">
        <v>2865</v>
      </c>
      <c r="C6469" t="s">
        <v>1486</v>
      </c>
      <c r="D6469" t="s">
        <v>2892</v>
      </c>
      <c r="E6469">
        <v>0</v>
      </c>
      <c r="F6469" s="11">
        <v>1</v>
      </c>
    </row>
    <row r="6470" spans="1:6" x14ac:dyDescent="0.35">
      <c r="A6470" t="s">
        <v>2857</v>
      </c>
      <c r="B6470" t="s">
        <v>2865</v>
      </c>
      <c r="C6470" t="s">
        <v>1486</v>
      </c>
      <c r="D6470" t="s">
        <v>2893</v>
      </c>
      <c r="E6470">
        <v>0</v>
      </c>
      <c r="F6470" s="11">
        <v>1</v>
      </c>
    </row>
    <row r="6471" spans="1:6" x14ac:dyDescent="0.35">
      <c r="A6471" t="s">
        <v>2857</v>
      </c>
      <c r="B6471" t="s">
        <v>2865</v>
      </c>
      <c r="C6471" t="s">
        <v>1486</v>
      </c>
      <c r="D6471" t="s">
        <v>2894</v>
      </c>
      <c r="E6471">
        <v>0</v>
      </c>
      <c r="F6471" s="11">
        <v>0</v>
      </c>
    </row>
    <row r="6472" spans="1:6" x14ac:dyDescent="0.35">
      <c r="A6472" t="s">
        <v>2857</v>
      </c>
      <c r="B6472" t="s">
        <v>2865</v>
      </c>
      <c r="C6472" t="s">
        <v>1486</v>
      </c>
      <c r="D6472" t="s">
        <v>2895</v>
      </c>
      <c r="E6472">
        <v>78042</v>
      </c>
      <c r="F6472" s="11">
        <v>1</v>
      </c>
    </row>
    <row r="6473" spans="1:6" x14ac:dyDescent="0.35">
      <c r="A6473" t="s">
        <v>2857</v>
      </c>
      <c r="B6473" t="s">
        <v>2865</v>
      </c>
      <c r="C6473" t="s">
        <v>1486</v>
      </c>
      <c r="D6473" t="s">
        <v>2896</v>
      </c>
      <c r="E6473">
        <v>14511</v>
      </c>
      <c r="F6473" s="11">
        <v>1</v>
      </c>
    </row>
    <row r="6474" spans="1:6" x14ac:dyDescent="0.35">
      <c r="A6474" t="s">
        <v>2857</v>
      </c>
      <c r="B6474" t="s">
        <v>2865</v>
      </c>
      <c r="C6474" t="s">
        <v>1486</v>
      </c>
      <c r="D6474" t="s">
        <v>2897</v>
      </c>
      <c r="E6474">
        <v>569</v>
      </c>
      <c r="F6474" s="11">
        <v>1</v>
      </c>
    </row>
    <row r="6475" spans="1:6" x14ac:dyDescent="0.35">
      <c r="A6475" t="s">
        <v>2857</v>
      </c>
      <c r="B6475" t="s">
        <v>2865</v>
      </c>
      <c r="C6475" t="s">
        <v>1486</v>
      </c>
      <c r="D6475" t="s">
        <v>2898</v>
      </c>
      <c r="E6475">
        <v>62962</v>
      </c>
      <c r="F6475" s="11">
        <v>1</v>
      </c>
    </row>
    <row r="6476" spans="1:6" x14ac:dyDescent="0.35">
      <c r="A6476" t="s">
        <v>2857</v>
      </c>
      <c r="B6476" t="s">
        <v>2865</v>
      </c>
      <c r="C6476" t="s">
        <v>1486</v>
      </c>
      <c r="D6476" t="s">
        <v>2899</v>
      </c>
      <c r="E6476">
        <v>2264</v>
      </c>
      <c r="F6476" s="11">
        <v>1</v>
      </c>
    </row>
    <row r="6477" spans="1:6" x14ac:dyDescent="0.35">
      <c r="A6477" t="s">
        <v>2857</v>
      </c>
      <c r="B6477" t="s">
        <v>2865</v>
      </c>
      <c r="C6477" t="s">
        <v>1486</v>
      </c>
      <c r="D6477" t="s">
        <v>2900</v>
      </c>
      <c r="E6477">
        <v>34</v>
      </c>
      <c r="F6477" s="11">
        <v>1</v>
      </c>
    </row>
    <row r="6478" spans="1:6" x14ac:dyDescent="0.35">
      <c r="A6478" t="s">
        <v>2857</v>
      </c>
      <c r="B6478" t="s">
        <v>2865</v>
      </c>
      <c r="C6478" t="s">
        <v>1486</v>
      </c>
      <c r="D6478" t="s">
        <v>2901</v>
      </c>
      <c r="E6478">
        <v>0</v>
      </c>
      <c r="F6478" s="11">
        <v>1</v>
      </c>
    </row>
    <row r="6479" spans="1:6" x14ac:dyDescent="0.35">
      <c r="A6479" t="s">
        <v>2857</v>
      </c>
      <c r="B6479" t="s">
        <v>2865</v>
      </c>
      <c r="C6479" t="s">
        <v>1486</v>
      </c>
      <c r="D6479" t="s">
        <v>2902</v>
      </c>
      <c r="E6479">
        <v>2230</v>
      </c>
      <c r="F6479" s="11">
        <v>0</v>
      </c>
    </row>
    <row r="6480" spans="1:6" x14ac:dyDescent="0.35">
      <c r="A6480" t="s">
        <v>2857</v>
      </c>
      <c r="B6480" t="s">
        <v>2865</v>
      </c>
      <c r="C6480" t="s">
        <v>1486</v>
      </c>
      <c r="D6480" t="s">
        <v>2903</v>
      </c>
      <c r="E6480">
        <v>8873</v>
      </c>
      <c r="F6480" s="11">
        <v>1</v>
      </c>
    </row>
    <row r="6481" spans="1:6" x14ac:dyDescent="0.35">
      <c r="A6481" t="s">
        <v>2857</v>
      </c>
      <c r="B6481" t="s">
        <v>2865</v>
      </c>
      <c r="C6481" t="s">
        <v>1486</v>
      </c>
      <c r="D6481" t="s">
        <v>2904</v>
      </c>
      <c r="E6481">
        <v>303</v>
      </c>
      <c r="F6481" s="11">
        <v>1</v>
      </c>
    </row>
    <row r="6482" spans="1:6" x14ac:dyDescent="0.35">
      <c r="A6482" t="s">
        <v>2857</v>
      </c>
      <c r="B6482" t="s">
        <v>2865</v>
      </c>
      <c r="C6482" t="s">
        <v>1486</v>
      </c>
      <c r="D6482" t="s">
        <v>2905</v>
      </c>
      <c r="E6482">
        <v>222</v>
      </c>
      <c r="F6482" s="11">
        <v>1</v>
      </c>
    </row>
    <row r="6483" spans="1:6" x14ac:dyDescent="0.35">
      <c r="A6483" t="s">
        <v>2857</v>
      </c>
      <c r="B6483" t="s">
        <v>2865</v>
      </c>
      <c r="C6483" t="s">
        <v>1486</v>
      </c>
      <c r="D6483" t="s">
        <v>2906</v>
      </c>
      <c r="E6483">
        <v>8348</v>
      </c>
      <c r="F6483" s="11">
        <v>1</v>
      </c>
    </row>
    <row r="6484" spans="1:6" x14ac:dyDescent="0.35">
      <c r="A6484" t="s">
        <v>2857</v>
      </c>
      <c r="B6484" t="s">
        <v>2865</v>
      </c>
      <c r="C6484" t="s">
        <v>1486</v>
      </c>
      <c r="D6484" t="s">
        <v>2907</v>
      </c>
      <c r="E6484">
        <v>13670</v>
      </c>
      <c r="F6484" s="11">
        <v>1</v>
      </c>
    </row>
    <row r="6485" spans="1:6" x14ac:dyDescent="0.35">
      <c r="A6485" t="s">
        <v>2857</v>
      </c>
      <c r="B6485" t="s">
        <v>2865</v>
      </c>
      <c r="C6485" t="s">
        <v>1486</v>
      </c>
      <c r="D6485" t="s">
        <v>2908</v>
      </c>
      <c r="E6485">
        <v>768</v>
      </c>
      <c r="F6485" s="11">
        <v>1</v>
      </c>
    </row>
    <row r="6486" spans="1:6" x14ac:dyDescent="0.35">
      <c r="A6486" t="s">
        <v>2857</v>
      </c>
      <c r="B6486" t="s">
        <v>2865</v>
      </c>
      <c r="C6486" t="s">
        <v>1486</v>
      </c>
      <c r="D6486" t="s">
        <v>2909</v>
      </c>
      <c r="E6486">
        <v>206</v>
      </c>
      <c r="F6486" s="11">
        <v>1</v>
      </c>
    </row>
    <row r="6487" spans="1:6" x14ac:dyDescent="0.35">
      <c r="A6487" t="s">
        <v>2857</v>
      </c>
      <c r="B6487" t="s">
        <v>2865</v>
      </c>
      <c r="C6487" t="s">
        <v>1486</v>
      </c>
      <c r="D6487" t="s">
        <v>2910</v>
      </c>
      <c r="E6487">
        <v>12696</v>
      </c>
      <c r="F6487" s="11">
        <v>1</v>
      </c>
    </row>
    <row r="6488" spans="1:6" x14ac:dyDescent="0.35">
      <c r="A6488" t="s">
        <v>2857</v>
      </c>
      <c r="B6488" t="s">
        <v>2865</v>
      </c>
      <c r="C6488" t="s">
        <v>1486</v>
      </c>
      <c r="D6488" t="s">
        <v>2911</v>
      </c>
      <c r="E6488">
        <v>271573</v>
      </c>
      <c r="F6488" s="11">
        <v>1</v>
      </c>
    </row>
    <row r="6489" spans="1:6" x14ac:dyDescent="0.35">
      <c r="A6489" t="s">
        <v>2857</v>
      </c>
      <c r="B6489" t="s">
        <v>2865</v>
      </c>
      <c r="C6489" t="s">
        <v>1486</v>
      </c>
      <c r="D6489" t="s">
        <v>2912</v>
      </c>
      <c r="E6489">
        <v>0</v>
      </c>
      <c r="F6489" s="11">
        <v>0</v>
      </c>
    </row>
    <row r="6490" spans="1:6" x14ac:dyDescent="0.35">
      <c r="A6490" t="s">
        <v>2857</v>
      </c>
      <c r="B6490" t="s">
        <v>2865</v>
      </c>
      <c r="C6490" t="s">
        <v>1486</v>
      </c>
      <c r="D6490" t="s">
        <v>2913</v>
      </c>
      <c r="E6490">
        <v>0</v>
      </c>
      <c r="F6490" s="11">
        <v>0</v>
      </c>
    </row>
    <row r="6491" spans="1:6" x14ac:dyDescent="0.35">
      <c r="A6491" t="s">
        <v>2857</v>
      </c>
      <c r="B6491" t="s">
        <v>2865</v>
      </c>
      <c r="C6491" t="s">
        <v>1486</v>
      </c>
      <c r="D6491" t="s">
        <v>2914</v>
      </c>
      <c r="E6491">
        <v>0</v>
      </c>
      <c r="F6491" s="11">
        <v>0</v>
      </c>
    </row>
    <row r="6492" spans="1:6" x14ac:dyDescent="0.35">
      <c r="A6492" t="s">
        <v>2857</v>
      </c>
      <c r="B6492" t="s">
        <v>2865</v>
      </c>
      <c r="C6492" t="s">
        <v>1486</v>
      </c>
      <c r="D6492" t="s">
        <v>2915</v>
      </c>
      <c r="E6492">
        <v>3693</v>
      </c>
      <c r="F6492" s="11">
        <v>1</v>
      </c>
    </row>
    <row r="6493" spans="1:6" x14ac:dyDescent="0.35">
      <c r="A6493" t="s">
        <v>2857</v>
      </c>
      <c r="B6493" t="s">
        <v>2865</v>
      </c>
      <c r="C6493" t="s">
        <v>1486</v>
      </c>
      <c r="D6493" t="s">
        <v>2916</v>
      </c>
      <c r="E6493">
        <v>13004</v>
      </c>
      <c r="F6493" s="11">
        <v>1</v>
      </c>
    </row>
    <row r="6494" spans="1:6" x14ac:dyDescent="0.35">
      <c r="A6494" t="s">
        <v>2857</v>
      </c>
      <c r="B6494" t="s">
        <v>2865</v>
      </c>
      <c r="C6494" t="s">
        <v>1486</v>
      </c>
      <c r="D6494" t="s">
        <v>2917</v>
      </c>
      <c r="E6494">
        <v>0</v>
      </c>
      <c r="F6494" s="11">
        <v>0</v>
      </c>
    </row>
    <row r="6495" spans="1:6" x14ac:dyDescent="0.35">
      <c r="A6495" t="s">
        <v>2857</v>
      </c>
      <c r="B6495" t="s">
        <v>2863</v>
      </c>
      <c r="C6495" t="s">
        <v>1525</v>
      </c>
      <c r="D6495" t="s">
        <v>2875</v>
      </c>
      <c r="E6495">
        <v>10907</v>
      </c>
      <c r="F6495" s="11">
        <v>1</v>
      </c>
    </row>
    <row r="6496" spans="1:6" x14ac:dyDescent="0.35">
      <c r="A6496" t="s">
        <v>2857</v>
      </c>
      <c r="B6496" t="s">
        <v>2863</v>
      </c>
      <c r="C6496" t="s">
        <v>1525</v>
      </c>
      <c r="D6496" t="s">
        <v>2876</v>
      </c>
      <c r="E6496">
        <v>2870</v>
      </c>
      <c r="F6496" s="11">
        <v>1</v>
      </c>
    </row>
    <row r="6497" spans="1:6" x14ac:dyDescent="0.35">
      <c r="A6497" t="s">
        <v>2857</v>
      </c>
      <c r="B6497" t="s">
        <v>2863</v>
      </c>
      <c r="C6497" t="s">
        <v>1525</v>
      </c>
      <c r="D6497" t="s">
        <v>2877</v>
      </c>
      <c r="E6497">
        <v>576</v>
      </c>
      <c r="F6497" s="11">
        <v>1</v>
      </c>
    </row>
    <row r="6498" spans="1:6" x14ac:dyDescent="0.35">
      <c r="A6498" t="s">
        <v>2857</v>
      </c>
      <c r="B6498" t="s">
        <v>2863</v>
      </c>
      <c r="C6498" t="s">
        <v>1525</v>
      </c>
      <c r="D6498" t="s">
        <v>2878</v>
      </c>
      <c r="E6498">
        <v>7461</v>
      </c>
      <c r="F6498" s="11">
        <v>1</v>
      </c>
    </row>
    <row r="6499" spans="1:6" x14ac:dyDescent="0.35">
      <c r="A6499" t="s">
        <v>2857</v>
      </c>
      <c r="B6499" t="s">
        <v>2863</v>
      </c>
      <c r="C6499" t="s">
        <v>1525</v>
      </c>
      <c r="D6499" t="s">
        <v>2879</v>
      </c>
      <c r="E6499">
        <v>1336</v>
      </c>
      <c r="F6499" s="11">
        <v>1</v>
      </c>
    </row>
    <row r="6500" spans="1:6" x14ac:dyDescent="0.35">
      <c r="A6500" t="s">
        <v>2857</v>
      </c>
      <c r="B6500" t="s">
        <v>2863</v>
      </c>
      <c r="C6500" t="s">
        <v>1525</v>
      </c>
      <c r="D6500" t="s">
        <v>2880</v>
      </c>
      <c r="E6500">
        <v>0</v>
      </c>
      <c r="F6500" s="11">
        <v>0</v>
      </c>
    </row>
    <row r="6501" spans="1:6" x14ac:dyDescent="0.35">
      <c r="A6501" t="s">
        <v>2857</v>
      </c>
      <c r="B6501" t="s">
        <v>2863</v>
      </c>
      <c r="C6501" t="s">
        <v>1525</v>
      </c>
      <c r="D6501" t="s">
        <v>2881</v>
      </c>
      <c r="E6501">
        <v>0</v>
      </c>
      <c r="F6501" s="11">
        <v>0</v>
      </c>
    </row>
    <row r="6502" spans="1:6" x14ac:dyDescent="0.35">
      <c r="A6502" t="s">
        <v>2857</v>
      </c>
      <c r="B6502" t="s">
        <v>2863</v>
      </c>
      <c r="C6502" t="s">
        <v>1525</v>
      </c>
      <c r="D6502" t="s">
        <v>2882</v>
      </c>
      <c r="E6502">
        <v>0</v>
      </c>
      <c r="F6502" s="11">
        <v>0</v>
      </c>
    </row>
    <row r="6503" spans="1:6" x14ac:dyDescent="0.35">
      <c r="A6503" t="s">
        <v>2857</v>
      </c>
      <c r="B6503" t="s">
        <v>2863</v>
      </c>
      <c r="C6503" t="s">
        <v>1525</v>
      </c>
      <c r="D6503" t="s">
        <v>2883</v>
      </c>
      <c r="E6503">
        <v>0</v>
      </c>
      <c r="F6503" s="11">
        <v>0</v>
      </c>
    </row>
    <row r="6504" spans="1:6" x14ac:dyDescent="0.35">
      <c r="A6504" t="s">
        <v>2857</v>
      </c>
      <c r="B6504" t="s">
        <v>2863</v>
      </c>
      <c r="C6504" t="s">
        <v>1525</v>
      </c>
      <c r="D6504" t="s">
        <v>2884</v>
      </c>
      <c r="E6504">
        <v>0</v>
      </c>
      <c r="F6504" s="11">
        <v>0</v>
      </c>
    </row>
    <row r="6505" spans="1:6" x14ac:dyDescent="0.35">
      <c r="A6505" t="s">
        <v>2857</v>
      </c>
      <c r="B6505" t="s">
        <v>2863</v>
      </c>
      <c r="C6505" t="s">
        <v>1525</v>
      </c>
      <c r="D6505" t="s">
        <v>2885</v>
      </c>
      <c r="E6505">
        <v>0</v>
      </c>
      <c r="F6505" s="11">
        <v>0</v>
      </c>
    </row>
    <row r="6506" spans="1:6" x14ac:dyDescent="0.35">
      <c r="A6506" t="s">
        <v>2857</v>
      </c>
      <c r="B6506" t="s">
        <v>2863</v>
      </c>
      <c r="C6506" t="s">
        <v>1525</v>
      </c>
      <c r="D6506" t="s">
        <v>2886</v>
      </c>
      <c r="E6506">
        <v>0</v>
      </c>
      <c r="F6506" s="11">
        <v>0</v>
      </c>
    </row>
    <row r="6507" spans="1:6" x14ac:dyDescent="0.35">
      <c r="A6507" t="s">
        <v>2857</v>
      </c>
      <c r="B6507" t="s">
        <v>2863</v>
      </c>
      <c r="C6507" t="s">
        <v>1525</v>
      </c>
      <c r="D6507" t="s">
        <v>2887</v>
      </c>
      <c r="E6507">
        <v>12194</v>
      </c>
      <c r="F6507" s="11">
        <v>1</v>
      </c>
    </row>
    <row r="6508" spans="1:6" x14ac:dyDescent="0.35">
      <c r="A6508" t="s">
        <v>2857</v>
      </c>
      <c r="B6508" t="s">
        <v>2863</v>
      </c>
      <c r="C6508" t="s">
        <v>1525</v>
      </c>
      <c r="D6508" t="s">
        <v>2888</v>
      </c>
      <c r="E6508">
        <v>4326</v>
      </c>
      <c r="F6508" s="11">
        <v>1</v>
      </c>
    </row>
    <row r="6509" spans="1:6" x14ac:dyDescent="0.35">
      <c r="A6509" t="s">
        <v>2857</v>
      </c>
      <c r="B6509" t="s">
        <v>2863</v>
      </c>
      <c r="C6509" t="s">
        <v>1525</v>
      </c>
      <c r="D6509" t="s">
        <v>2889</v>
      </c>
      <c r="E6509">
        <v>0</v>
      </c>
      <c r="F6509" s="11">
        <v>1</v>
      </c>
    </row>
    <row r="6510" spans="1:6" x14ac:dyDescent="0.35">
      <c r="A6510" t="s">
        <v>2857</v>
      </c>
      <c r="B6510" t="s">
        <v>2863</v>
      </c>
      <c r="C6510" t="s">
        <v>1525</v>
      </c>
      <c r="D6510" t="s">
        <v>2890</v>
      </c>
      <c r="E6510">
        <v>7868</v>
      </c>
      <c r="F6510" s="11">
        <v>0</v>
      </c>
    </row>
    <row r="6511" spans="1:6" x14ac:dyDescent="0.35">
      <c r="A6511" t="s">
        <v>2857</v>
      </c>
      <c r="B6511" t="s">
        <v>2863</v>
      </c>
      <c r="C6511" t="s">
        <v>1525</v>
      </c>
      <c r="D6511" t="s">
        <v>2891</v>
      </c>
      <c r="E6511">
        <v>0</v>
      </c>
      <c r="F6511" s="11">
        <v>0</v>
      </c>
    </row>
    <row r="6512" spans="1:6" x14ac:dyDescent="0.35">
      <c r="A6512" t="s">
        <v>2857</v>
      </c>
      <c r="B6512" t="s">
        <v>2863</v>
      </c>
      <c r="C6512" t="s">
        <v>1525</v>
      </c>
      <c r="D6512" t="s">
        <v>2892</v>
      </c>
      <c r="E6512">
        <v>0</v>
      </c>
      <c r="F6512" s="11">
        <v>0</v>
      </c>
    </row>
    <row r="6513" spans="1:6" x14ac:dyDescent="0.35">
      <c r="A6513" t="s">
        <v>2857</v>
      </c>
      <c r="B6513" t="s">
        <v>2863</v>
      </c>
      <c r="C6513" t="s">
        <v>1525</v>
      </c>
      <c r="D6513" t="s">
        <v>2893</v>
      </c>
      <c r="E6513">
        <v>0</v>
      </c>
      <c r="F6513" s="11">
        <v>0</v>
      </c>
    </row>
    <row r="6514" spans="1:6" x14ac:dyDescent="0.35">
      <c r="A6514" t="s">
        <v>2857</v>
      </c>
      <c r="B6514" t="s">
        <v>2863</v>
      </c>
      <c r="C6514" t="s">
        <v>1525</v>
      </c>
      <c r="D6514" t="s">
        <v>2894</v>
      </c>
      <c r="E6514">
        <v>0</v>
      </c>
      <c r="F6514" s="11">
        <v>0</v>
      </c>
    </row>
    <row r="6515" spans="1:6" x14ac:dyDescent="0.35">
      <c r="A6515" t="s">
        <v>2857</v>
      </c>
      <c r="B6515" t="s">
        <v>2863</v>
      </c>
      <c r="C6515" t="s">
        <v>1525</v>
      </c>
      <c r="D6515" t="s">
        <v>2895</v>
      </c>
      <c r="E6515">
        <v>322467</v>
      </c>
      <c r="F6515" s="11">
        <v>1</v>
      </c>
    </row>
    <row r="6516" spans="1:6" x14ac:dyDescent="0.35">
      <c r="A6516" t="s">
        <v>2857</v>
      </c>
      <c r="B6516" t="s">
        <v>2863</v>
      </c>
      <c r="C6516" t="s">
        <v>1525</v>
      </c>
      <c r="D6516" t="s">
        <v>2896</v>
      </c>
      <c r="E6516">
        <v>98510</v>
      </c>
      <c r="F6516" s="11">
        <v>1</v>
      </c>
    </row>
    <row r="6517" spans="1:6" x14ac:dyDescent="0.35">
      <c r="A6517" t="s">
        <v>2857</v>
      </c>
      <c r="B6517" t="s">
        <v>2863</v>
      </c>
      <c r="C6517" t="s">
        <v>1525</v>
      </c>
      <c r="D6517" t="s">
        <v>2897</v>
      </c>
      <c r="E6517">
        <v>4257</v>
      </c>
      <c r="F6517" s="11">
        <v>1</v>
      </c>
    </row>
    <row r="6518" spans="1:6" x14ac:dyDescent="0.35">
      <c r="A6518" t="s">
        <v>2857</v>
      </c>
      <c r="B6518" t="s">
        <v>2863</v>
      </c>
      <c r="C6518" t="s">
        <v>1525</v>
      </c>
      <c r="D6518" t="s">
        <v>2898</v>
      </c>
      <c r="E6518">
        <v>219911</v>
      </c>
      <c r="F6518" s="11">
        <v>1</v>
      </c>
    </row>
    <row r="6519" spans="1:6" x14ac:dyDescent="0.35">
      <c r="A6519" t="s">
        <v>2857</v>
      </c>
      <c r="B6519" t="s">
        <v>2863</v>
      </c>
      <c r="C6519" t="s">
        <v>1525</v>
      </c>
      <c r="D6519" t="s">
        <v>2899</v>
      </c>
      <c r="E6519">
        <v>4655</v>
      </c>
      <c r="F6519" s="11">
        <v>1</v>
      </c>
    </row>
    <row r="6520" spans="1:6" x14ac:dyDescent="0.35">
      <c r="A6520" t="s">
        <v>2857</v>
      </c>
      <c r="B6520" t="s">
        <v>2863</v>
      </c>
      <c r="C6520" t="s">
        <v>1525</v>
      </c>
      <c r="D6520" t="s">
        <v>2900</v>
      </c>
      <c r="E6520">
        <v>0</v>
      </c>
      <c r="F6520" s="11">
        <v>1</v>
      </c>
    </row>
    <row r="6521" spans="1:6" x14ac:dyDescent="0.35">
      <c r="A6521" t="s">
        <v>2857</v>
      </c>
      <c r="B6521" t="s">
        <v>2863</v>
      </c>
      <c r="C6521" t="s">
        <v>1525</v>
      </c>
      <c r="D6521" t="s">
        <v>2901</v>
      </c>
      <c r="E6521">
        <v>0</v>
      </c>
      <c r="F6521" s="11">
        <v>0</v>
      </c>
    </row>
    <row r="6522" spans="1:6" x14ac:dyDescent="0.35">
      <c r="A6522" t="s">
        <v>2857</v>
      </c>
      <c r="B6522" t="s">
        <v>2863</v>
      </c>
      <c r="C6522" t="s">
        <v>1525</v>
      </c>
      <c r="D6522" t="s">
        <v>2902</v>
      </c>
      <c r="E6522">
        <v>4655</v>
      </c>
      <c r="F6522" s="11">
        <v>1</v>
      </c>
    </row>
    <row r="6523" spans="1:6" x14ac:dyDescent="0.35">
      <c r="A6523" t="s">
        <v>2857</v>
      </c>
      <c r="B6523" t="s">
        <v>2863</v>
      </c>
      <c r="C6523" t="s">
        <v>1525</v>
      </c>
      <c r="D6523" t="s">
        <v>2903</v>
      </c>
      <c r="E6523">
        <v>28387</v>
      </c>
      <c r="F6523" s="11">
        <v>1</v>
      </c>
    </row>
    <row r="6524" spans="1:6" x14ac:dyDescent="0.35">
      <c r="A6524" t="s">
        <v>2857</v>
      </c>
      <c r="B6524" t="s">
        <v>2863</v>
      </c>
      <c r="C6524" t="s">
        <v>1525</v>
      </c>
      <c r="D6524" t="s">
        <v>2904</v>
      </c>
      <c r="E6524">
        <v>0</v>
      </c>
      <c r="F6524" s="11">
        <v>1</v>
      </c>
    </row>
    <row r="6525" spans="1:6" x14ac:dyDescent="0.35">
      <c r="A6525" t="s">
        <v>2857</v>
      </c>
      <c r="B6525" t="s">
        <v>2863</v>
      </c>
      <c r="C6525" t="s">
        <v>1525</v>
      </c>
      <c r="D6525" t="s">
        <v>2905</v>
      </c>
      <c r="E6525">
        <v>0</v>
      </c>
      <c r="F6525" s="11">
        <v>1</v>
      </c>
    </row>
    <row r="6526" spans="1:6" x14ac:dyDescent="0.35">
      <c r="A6526" t="s">
        <v>2857</v>
      </c>
      <c r="B6526" t="s">
        <v>2863</v>
      </c>
      <c r="C6526" t="s">
        <v>1525</v>
      </c>
      <c r="D6526" t="s">
        <v>2906</v>
      </c>
      <c r="E6526">
        <v>0</v>
      </c>
      <c r="F6526" s="11">
        <v>1</v>
      </c>
    </row>
    <row r="6527" spans="1:6" x14ac:dyDescent="0.35">
      <c r="A6527" t="s">
        <v>2857</v>
      </c>
      <c r="B6527" t="s">
        <v>2863</v>
      </c>
      <c r="C6527" t="s">
        <v>1525</v>
      </c>
      <c r="D6527" t="s">
        <v>2907</v>
      </c>
      <c r="E6527">
        <v>63994</v>
      </c>
      <c r="F6527" s="11">
        <v>1</v>
      </c>
    </row>
    <row r="6528" spans="1:6" x14ac:dyDescent="0.35">
      <c r="A6528" t="s">
        <v>2857</v>
      </c>
      <c r="B6528" t="s">
        <v>2863</v>
      </c>
      <c r="C6528" t="s">
        <v>1525</v>
      </c>
      <c r="D6528" t="s">
        <v>2908</v>
      </c>
      <c r="E6528">
        <v>0</v>
      </c>
      <c r="F6528" s="11">
        <v>1</v>
      </c>
    </row>
    <row r="6529" spans="1:6" x14ac:dyDescent="0.35">
      <c r="A6529" t="s">
        <v>2857</v>
      </c>
      <c r="B6529" t="s">
        <v>2863</v>
      </c>
      <c r="C6529" t="s">
        <v>1525</v>
      </c>
      <c r="D6529" t="s">
        <v>2909</v>
      </c>
      <c r="E6529">
        <v>0</v>
      </c>
      <c r="F6529" s="11">
        <v>1</v>
      </c>
    </row>
    <row r="6530" spans="1:6" x14ac:dyDescent="0.35">
      <c r="A6530" t="s">
        <v>2857</v>
      </c>
      <c r="B6530" t="s">
        <v>2863</v>
      </c>
      <c r="C6530" t="s">
        <v>1525</v>
      </c>
      <c r="D6530" t="s">
        <v>2910</v>
      </c>
      <c r="E6530">
        <v>0</v>
      </c>
      <c r="F6530" s="11">
        <v>1</v>
      </c>
    </row>
    <row r="6531" spans="1:6" x14ac:dyDescent="0.35">
      <c r="A6531" t="s">
        <v>2857</v>
      </c>
      <c r="B6531" t="s">
        <v>2863</v>
      </c>
      <c r="C6531" t="s">
        <v>1525</v>
      </c>
      <c r="D6531" t="s">
        <v>2911</v>
      </c>
      <c r="E6531">
        <v>241102</v>
      </c>
      <c r="F6531" s="11">
        <v>1</v>
      </c>
    </row>
    <row r="6532" spans="1:6" x14ac:dyDescent="0.35">
      <c r="A6532" t="s">
        <v>2857</v>
      </c>
      <c r="B6532" t="s">
        <v>2863</v>
      </c>
      <c r="C6532" t="s">
        <v>1525</v>
      </c>
      <c r="D6532" t="s">
        <v>2912</v>
      </c>
      <c r="E6532">
        <v>83306</v>
      </c>
      <c r="F6532" s="11">
        <v>0</v>
      </c>
    </row>
    <row r="6533" spans="1:6" x14ac:dyDescent="0.35">
      <c r="A6533" t="s">
        <v>2857</v>
      </c>
      <c r="B6533" t="s">
        <v>2863</v>
      </c>
      <c r="C6533" t="s">
        <v>1525</v>
      </c>
      <c r="D6533" t="s">
        <v>2913</v>
      </c>
      <c r="E6533">
        <v>0</v>
      </c>
      <c r="F6533" s="11">
        <v>1</v>
      </c>
    </row>
    <row r="6534" spans="1:6" x14ac:dyDescent="0.35">
      <c r="A6534" t="s">
        <v>2857</v>
      </c>
      <c r="B6534" t="s">
        <v>2863</v>
      </c>
      <c r="C6534" t="s">
        <v>1525</v>
      </c>
      <c r="D6534" t="s">
        <v>2914</v>
      </c>
      <c r="E6534">
        <v>0</v>
      </c>
      <c r="F6534" s="11">
        <v>0</v>
      </c>
    </row>
    <row r="6535" spans="1:6" x14ac:dyDescent="0.35">
      <c r="A6535" t="s">
        <v>2857</v>
      </c>
      <c r="B6535" t="s">
        <v>2863</v>
      </c>
      <c r="C6535" t="s">
        <v>1525</v>
      </c>
      <c r="D6535" t="s">
        <v>2915</v>
      </c>
      <c r="E6535">
        <v>790</v>
      </c>
      <c r="F6535" s="11">
        <v>1</v>
      </c>
    </row>
    <row r="6536" spans="1:6" x14ac:dyDescent="0.35">
      <c r="A6536" t="s">
        <v>2857</v>
      </c>
      <c r="B6536" t="s">
        <v>2863</v>
      </c>
      <c r="C6536" t="s">
        <v>1525</v>
      </c>
      <c r="D6536" t="s">
        <v>2916</v>
      </c>
      <c r="E6536">
        <v>10204</v>
      </c>
      <c r="F6536" s="11">
        <v>1</v>
      </c>
    </row>
    <row r="6537" spans="1:6" x14ac:dyDescent="0.35">
      <c r="A6537" t="s">
        <v>2857</v>
      </c>
      <c r="B6537" t="s">
        <v>2863</v>
      </c>
      <c r="C6537" t="s">
        <v>1525</v>
      </c>
      <c r="D6537" t="s">
        <v>2917</v>
      </c>
      <c r="E6537">
        <v>8049</v>
      </c>
      <c r="F6537" s="11">
        <v>0</v>
      </c>
    </row>
    <row r="6538" spans="1:6" x14ac:dyDescent="0.35">
      <c r="A6538" t="s">
        <v>2857</v>
      </c>
      <c r="B6538" t="s">
        <v>2862</v>
      </c>
      <c r="C6538" t="s">
        <v>1369</v>
      </c>
      <c r="D6538" t="s">
        <v>2875</v>
      </c>
      <c r="E6538">
        <v>110645</v>
      </c>
      <c r="F6538" s="11">
        <v>0</v>
      </c>
    </row>
    <row r="6539" spans="1:6" x14ac:dyDescent="0.35">
      <c r="A6539" t="s">
        <v>2857</v>
      </c>
      <c r="B6539" t="s">
        <v>2862</v>
      </c>
      <c r="C6539" t="s">
        <v>1369</v>
      </c>
      <c r="D6539" t="s">
        <v>2876</v>
      </c>
      <c r="E6539">
        <v>43840</v>
      </c>
      <c r="F6539" s="11">
        <v>0</v>
      </c>
    </row>
    <row r="6540" spans="1:6" x14ac:dyDescent="0.35">
      <c r="A6540" t="s">
        <v>2857</v>
      </c>
      <c r="B6540" t="s">
        <v>2862</v>
      </c>
      <c r="C6540" t="s">
        <v>1369</v>
      </c>
      <c r="D6540" t="s">
        <v>2877</v>
      </c>
      <c r="E6540">
        <v>8489</v>
      </c>
      <c r="F6540" s="11">
        <v>0</v>
      </c>
    </row>
    <row r="6541" spans="1:6" x14ac:dyDescent="0.35">
      <c r="A6541" t="s">
        <v>2857</v>
      </c>
      <c r="B6541" t="s">
        <v>2862</v>
      </c>
      <c r="C6541" t="s">
        <v>1369</v>
      </c>
      <c r="D6541" t="s">
        <v>2878</v>
      </c>
      <c r="E6541">
        <v>58316</v>
      </c>
      <c r="F6541" s="11">
        <v>0</v>
      </c>
    </row>
    <row r="6542" spans="1:6" x14ac:dyDescent="0.35">
      <c r="A6542" t="s">
        <v>2857</v>
      </c>
      <c r="B6542" t="s">
        <v>2862</v>
      </c>
      <c r="C6542" t="s">
        <v>1369</v>
      </c>
      <c r="D6542" t="s">
        <v>2879</v>
      </c>
      <c r="E6542">
        <v>10427</v>
      </c>
      <c r="F6542" s="11">
        <v>0</v>
      </c>
    </row>
    <row r="6543" spans="1:6" x14ac:dyDescent="0.35">
      <c r="A6543" t="s">
        <v>2857</v>
      </c>
      <c r="B6543" t="s">
        <v>2862</v>
      </c>
      <c r="C6543" t="s">
        <v>1369</v>
      </c>
      <c r="D6543" t="s">
        <v>2880</v>
      </c>
      <c r="E6543">
        <v>0</v>
      </c>
      <c r="F6543" s="11">
        <v>0</v>
      </c>
    </row>
    <row r="6544" spans="1:6" x14ac:dyDescent="0.35">
      <c r="A6544" t="s">
        <v>2857</v>
      </c>
      <c r="B6544" t="s">
        <v>2862</v>
      </c>
      <c r="C6544" t="s">
        <v>1369</v>
      </c>
      <c r="D6544" t="s">
        <v>2881</v>
      </c>
      <c r="E6544">
        <v>0</v>
      </c>
      <c r="F6544" s="11">
        <v>0</v>
      </c>
    </row>
    <row r="6545" spans="1:6" x14ac:dyDescent="0.35">
      <c r="A6545" t="s">
        <v>2857</v>
      </c>
      <c r="B6545" t="s">
        <v>2862</v>
      </c>
      <c r="C6545" t="s">
        <v>1369</v>
      </c>
      <c r="D6545" t="s">
        <v>2882</v>
      </c>
      <c r="E6545">
        <v>0</v>
      </c>
      <c r="F6545" s="11">
        <v>0</v>
      </c>
    </row>
    <row r="6546" spans="1:6" x14ac:dyDescent="0.35">
      <c r="A6546" t="s">
        <v>2857</v>
      </c>
      <c r="B6546" t="s">
        <v>2862</v>
      </c>
      <c r="C6546" t="s">
        <v>1369</v>
      </c>
      <c r="D6546" t="s">
        <v>2883</v>
      </c>
      <c r="E6546">
        <v>2</v>
      </c>
      <c r="F6546" s="11">
        <v>0</v>
      </c>
    </row>
    <row r="6547" spans="1:6" x14ac:dyDescent="0.35">
      <c r="A6547" t="s">
        <v>2857</v>
      </c>
      <c r="B6547" t="s">
        <v>2862</v>
      </c>
      <c r="C6547" t="s">
        <v>1369</v>
      </c>
      <c r="D6547" t="s">
        <v>2884</v>
      </c>
      <c r="E6547">
        <v>0</v>
      </c>
      <c r="F6547" s="11">
        <v>0</v>
      </c>
    </row>
    <row r="6548" spans="1:6" x14ac:dyDescent="0.35">
      <c r="A6548" t="s">
        <v>2857</v>
      </c>
      <c r="B6548" t="s">
        <v>2862</v>
      </c>
      <c r="C6548" t="s">
        <v>1369</v>
      </c>
      <c r="D6548" t="s">
        <v>2885</v>
      </c>
      <c r="E6548">
        <v>0</v>
      </c>
      <c r="F6548" s="11">
        <v>0</v>
      </c>
    </row>
    <row r="6549" spans="1:6" x14ac:dyDescent="0.35">
      <c r="A6549" t="s">
        <v>2857</v>
      </c>
      <c r="B6549" t="s">
        <v>2862</v>
      </c>
      <c r="C6549" t="s">
        <v>1369</v>
      </c>
      <c r="D6549" t="s">
        <v>2886</v>
      </c>
      <c r="E6549">
        <v>0</v>
      </c>
      <c r="F6549" s="11">
        <v>0</v>
      </c>
    </row>
    <row r="6550" spans="1:6" x14ac:dyDescent="0.35">
      <c r="A6550" t="s">
        <v>2857</v>
      </c>
      <c r="B6550" t="s">
        <v>2862</v>
      </c>
      <c r="C6550" t="s">
        <v>1369</v>
      </c>
      <c r="D6550" t="s">
        <v>2887</v>
      </c>
      <c r="E6550">
        <v>229693</v>
      </c>
      <c r="F6550" s="11">
        <v>0</v>
      </c>
    </row>
    <row r="6551" spans="1:6" x14ac:dyDescent="0.35">
      <c r="A6551" t="s">
        <v>2857</v>
      </c>
      <c r="B6551" t="s">
        <v>2862</v>
      </c>
      <c r="C6551" t="s">
        <v>1369</v>
      </c>
      <c r="D6551" t="s">
        <v>2888</v>
      </c>
      <c r="E6551">
        <v>0</v>
      </c>
      <c r="F6551" s="11">
        <v>0</v>
      </c>
    </row>
    <row r="6552" spans="1:6" x14ac:dyDescent="0.35">
      <c r="A6552" t="s">
        <v>2857</v>
      </c>
      <c r="B6552" t="s">
        <v>2862</v>
      </c>
      <c r="C6552" t="s">
        <v>1369</v>
      </c>
      <c r="D6552" t="s">
        <v>2889</v>
      </c>
      <c r="E6552">
        <v>0</v>
      </c>
      <c r="F6552" s="11">
        <v>0</v>
      </c>
    </row>
    <row r="6553" spans="1:6" x14ac:dyDescent="0.35">
      <c r="A6553" t="s">
        <v>2857</v>
      </c>
      <c r="B6553" t="s">
        <v>2862</v>
      </c>
      <c r="C6553" t="s">
        <v>1369</v>
      </c>
      <c r="D6553" t="s">
        <v>2890</v>
      </c>
      <c r="E6553">
        <v>0</v>
      </c>
      <c r="F6553" s="11">
        <v>0</v>
      </c>
    </row>
    <row r="6554" spans="1:6" x14ac:dyDescent="0.35">
      <c r="A6554" t="s">
        <v>2857</v>
      </c>
      <c r="B6554" t="s">
        <v>2862</v>
      </c>
      <c r="C6554" t="s">
        <v>1369</v>
      </c>
      <c r="D6554" t="s">
        <v>2891</v>
      </c>
      <c r="E6554">
        <v>8184</v>
      </c>
      <c r="F6554" s="11">
        <v>0</v>
      </c>
    </row>
    <row r="6555" spans="1:6" x14ac:dyDescent="0.35">
      <c r="A6555" t="s">
        <v>2857</v>
      </c>
      <c r="B6555" t="s">
        <v>2862</v>
      </c>
      <c r="C6555" t="s">
        <v>1369</v>
      </c>
      <c r="D6555" t="s">
        <v>2892</v>
      </c>
      <c r="E6555">
        <v>0</v>
      </c>
      <c r="F6555" s="11">
        <v>0</v>
      </c>
    </row>
    <row r="6556" spans="1:6" x14ac:dyDescent="0.35">
      <c r="A6556" t="s">
        <v>2857</v>
      </c>
      <c r="B6556" t="s">
        <v>2862</v>
      </c>
      <c r="C6556" t="s">
        <v>1369</v>
      </c>
      <c r="D6556" t="s">
        <v>2893</v>
      </c>
      <c r="E6556">
        <v>0</v>
      </c>
      <c r="F6556" s="11">
        <v>0</v>
      </c>
    </row>
    <row r="6557" spans="1:6" x14ac:dyDescent="0.35">
      <c r="A6557" t="s">
        <v>2857</v>
      </c>
      <c r="B6557" t="s">
        <v>2862</v>
      </c>
      <c r="C6557" t="s">
        <v>1369</v>
      </c>
      <c r="D6557" t="s">
        <v>2894</v>
      </c>
      <c r="E6557">
        <v>0</v>
      </c>
      <c r="F6557" s="11">
        <v>0</v>
      </c>
    </row>
    <row r="6558" spans="1:6" x14ac:dyDescent="0.35">
      <c r="A6558" t="s">
        <v>2857</v>
      </c>
      <c r="B6558" t="s">
        <v>2862</v>
      </c>
      <c r="C6558" t="s">
        <v>1369</v>
      </c>
      <c r="D6558" t="s">
        <v>2895</v>
      </c>
      <c r="E6558">
        <v>3782689</v>
      </c>
      <c r="F6558" s="11">
        <v>0</v>
      </c>
    </row>
    <row r="6559" spans="1:6" x14ac:dyDescent="0.35">
      <c r="A6559" t="s">
        <v>2857</v>
      </c>
      <c r="B6559" t="s">
        <v>2862</v>
      </c>
      <c r="C6559" t="s">
        <v>1369</v>
      </c>
      <c r="D6559" t="s">
        <v>2896</v>
      </c>
      <c r="E6559">
        <v>2350919</v>
      </c>
      <c r="F6559" s="11">
        <v>0</v>
      </c>
    </row>
    <row r="6560" spans="1:6" x14ac:dyDescent="0.35">
      <c r="A6560" t="s">
        <v>2857</v>
      </c>
      <c r="B6560" t="s">
        <v>2862</v>
      </c>
      <c r="C6560" t="s">
        <v>1369</v>
      </c>
      <c r="D6560" t="s">
        <v>2897</v>
      </c>
      <c r="E6560">
        <v>89512</v>
      </c>
      <c r="F6560" s="11">
        <v>0</v>
      </c>
    </row>
    <row r="6561" spans="1:6" x14ac:dyDescent="0.35">
      <c r="A6561" t="s">
        <v>2857</v>
      </c>
      <c r="B6561" t="s">
        <v>2862</v>
      </c>
      <c r="C6561" t="s">
        <v>1369</v>
      </c>
      <c r="D6561" t="s">
        <v>2898</v>
      </c>
      <c r="E6561">
        <v>1342258</v>
      </c>
      <c r="F6561" s="11">
        <v>0</v>
      </c>
    </row>
    <row r="6562" spans="1:6" x14ac:dyDescent="0.35">
      <c r="A6562" t="s">
        <v>2857</v>
      </c>
      <c r="B6562" t="s">
        <v>2862</v>
      </c>
      <c r="C6562" t="s">
        <v>1369</v>
      </c>
      <c r="D6562" t="s">
        <v>2899</v>
      </c>
      <c r="E6562">
        <v>14706</v>
      </c>
      <c r="F6562" s="11">
        <v>0</v>
      </c>
    </row>
    <row r="6563" spans="1:6" x14ac:dyDescent="0.35">
      <c r="A6563" t="s">
        <v>2857</v>
      </c>
      <c r="B6563" t="s">
        <v>2862</v>
      </c>
      <c r="C6563" t="s">
        <v>1369</v>
      </c>
      <c r="D6563" t="s">
        <v>2900</v>
      </c>
      <c r="E6563">
        <v>0</v>
      </c>
      <c r="F6563" s="11">
        <v>0</v>
      </c>
    </row>
    <row r="6564" spans="1:6" x14ac:dyDescent="0.35">
      <c r="A6564" t="s">
        <v>2857</v>
      </c>
      <c r="B6564" t="s">
        <v>2862</v>
      </c>
      <c r="C6564" t="s">
        <v>1369</v>
      </c>
      <c r="D6564" t="s">
        <v>2901</v>
      </c>
      <c r="E6564">
        <v>0</v>
      </c>
      <c r="F6564" s="11">
        <v>0</v>
      </c>
    </row>
    <row r="6565" spans="1:6" x14ac:dyDescent="0.35">
      <c r="A6565" t="s">
        <v>2857</v>
      </c>
      <c r="B6565" t="s">
        <v>2862</v>
      </c>
      <c r="C6565" t="s">
        <v>1369</v>
      </c>
      <c r="D6565" t="s">
        <v>2902</v>
      </c>
      <c r="E6565">
        <v>0</v>
      </c>
      <c r="F6565" s="11">
        <v>0</v>
      </c>
    </row>
    <row r="6566" spans="1:6" x14ac:dyDescent="0.35">
      <c r="A6566" t="s">
        <v>2857</v>
      </c>
      <c r="B6566" t="s">
        <v>2862</v>
      </c>
      <c r="C6566" t="s">
        <v>1369</v>
      </c>
      <c r="D6566" t="s">
        <v>2903</v>
      </c>
      <c r="E6566">
        <v>482161</v>
      </c>
      <c r="F6566" s="11">
        <v>0</v>
      </c>
    </row>
    <row r="6567" spans="1:6" x14ac:dyDescent="0.35">
      <c r="A6567" t="s">
        <v>2857</v>
      </c>
      <c r="B6567" t="s">
        <v>2862</v>
      </c>
      <c r="C6567" t="s">
        <v>1369</v>
      </c>
      <c r="D6567" t="s">
        <v>2904</v>
      </c>
      <c r="E6567">
        <v>70430</v>
      </c>
      <c r="F6567" s="11">
        <v>0</v>
      </c>
    </row>
    <row r="6568" spans="1:6" x14ac:dyDescent="0.35">
      <c r="A6568" t="s">
        <v>2857</v>
      </c>
      <c r="B6568" t="s">
        <v>2862</v>
      </c>
      <c r="C6568" t="s">
        <v>1369</v>
      </c>
      <c r="D6568" t="s">
        <v>2905</v>
      </c>
      <c r="E6568">
        <v>25141</v>
      </c>
      <c r="F6568" s="11">
        <v>0</v>
      </c>
    </row>
    <row r="6569" spans="1:6" x14ac:dyDescent="0.35">
      <c r="A6569" t="s">
        <v>2857</v>
      </c>
      <c r="B6569" t="s">
        <v>2862</v>
      </c>
      <c r="C6569" t="s">
        <v>1369</v>
      </c>
      <c r="D6569" t="s">
        <v>2906</v>
      </c>
      <c r="E6569">
        <v>386590</v>
      </c>
      <c r="F6569" s="11">
        <v>0</v>
      </c>
    </row>
    <row r="6570" spans="1:6" x14ac:dyDescent="0.35">
      <c r="A6570" t="s">
        <v>2857</v>
      </c>
      <c r="B6570" t="s">
        <v>2862</v>
      </c>
      <c r="C6570" t="s">
        <v>1369</v>
      </c>
      <c r="D6570" t="s">
        <v>2907</v>
      </c>
      <c r="E6570">
        <v>734300</v>
      </c>
      <c r="F6570" s="11">
        <v>0</v>
      </c>
    </row>
    <row r="6571" spans="1:6" x14ac:dyDescent="0.35">
      <c r="A6571" t="s">
        <v>2857</v>
      </c>
      <c r="B6571" t="s">
        <v>2862</v>
      </c>
      <c r="C6571" t="s">
        <v>1369</v>
      </c>
      <c r="D6571" t="s">
        <v>2908</v>
      </c>
      <c r="E6571">
        <v>158286</v>
      </c>
      <c r="F6571" s="11">
        <v>0</v>
      </c>
    </row>
    <row r="6572" spans="1:6" x14ac:dyDescent="0.35">
      <c r="A6572" t="s">
        <v>2857</v>
      </c>
      <c r="B6572" t="s">
        <v>2862</v>
      </c>
      <c r="C6572" t="s">
        <v>1369</v>
      </c>
      <c r="D6572" t="s">
        <v>2909</v>
      </c>
      <c r="E6572">
        <v>31784</v>
      </c>
      <c r="F6572" s="11">
        <v>0</v>
      </c>
    </row>
    <row r="6573" spans="1:6" x14ac:dyDescent="0.35">
      <c r="A6573" t="s">
        <v>2857</v>
      </c>
      <c r="B6573" t="s">
        <v>2862</v>
      </c>
      <c r="C6573" t="s">
        <v>1369</v>
      </c>
      <c r="D6573" t="s">
        <v>2910</v>
      </c>
      <c r="E6573">
        <v>544230</v>
      </c>
      <c r="F6573" s="11">
        <v>0</v>
      </c>
    </row>
    <row r="6574" spans="1:6" x14ac:dyDescent="0.35">
      <c r="A6574" t="s">
        <v>2857</v>
      </c>
      <c r="B6574" t="s">
        <v>2862</v>
      </c>
      <c r="C6574" t="s">
        <v>1369</v>
      </c>
      <c r="D6574" t="s">
        <v>2911</v>
      </c>
      <c r="E6574">
        <v>2813961</v>
      </c>
      <c r="F6574" s="11">
        <v>0</v>
      </c>
    </row>
    <row r="6575" spans="1:6" x14ac:dyDescent="0.35">
      <c r="A6575" t="s">
        <v>2857</v>
      </c>
      <c r="B6575" t="s">
        <v>2862</v>
      </c>
      <c r="C6575" t="s">
        <v>1369</v>
      </c>
      <c r="D6575" t="s">
        <v>2912</v>
      </c>
      <c r="E6575">
        <v>0</v>
      </c>
      <c r="F6575" s="11">
        <v>0</v>
      </c>
    </row>
    <row r="6576" spans="1:6" x14ac:dyDescent="0.35">
      <c r="A6576" t="s">
        <v>2857</v>
      </c>
      <c r="B6576" t="s">
        <v>2862</v>
      </c>
      <c r="C6576" t="s">
        <v>1369</v>
      </c>
      <c r="D6576" t="s">
        <v>2913</v>
      </c>
      <c r="E6576">
        <v>0</v>
      </c>
      <c r="F6576" s="11">
        <v>0</v>
      </c>
    </row>
    <row r="6577" spans="1:6" x14ac:dyDescent="0.35">
      <c r="A6577" t="s">
        <v>2857</v>
      </c>
      <c r="B6577" t="s">
        <v>2862</v>
      </c>
      <c r="C6577" t="s">
        <v>1369</v>
      </c>
      <c r="D6577" t="s">
        <v>2914</v>
      </c>
      <c r="E6577">
        <v>0</v>
      </c>
      <c r="F6577" s="11">
        <v>0</v>
      </c>
    </row>
    <row r="6578" spans="1:6" x14ac:dyDescent="0.35">
      <c r="A6578" t="s">
        <v>2857</v>
      </c>
      <c r="B6578" t="s">
        <v>2862</v>
      </c>
      <c r="C6578" t="s">
        <v>1369</v>
      </c>
      <c r="D6578" t="s">
        <v>2915</v>
      </c>
      <c r="E6578">
        <v>3628</v>
      </c>
      <c r="F6578" s="11">
        <v>0</v>
      </c>
    </row>
    <row r="6579" spans="1:6" x14ac:dyDescent="0.35">
      <c r="A6579" t="s">
        <v>2857</v>
      </c>
      <c r="B6579" t="s">
        <v>2862</v>
      </c>
      <c r="C6579" t="s">
        <v>1369</v>
      </c>
      <c r="D6579" t="s">
        <v>2916</v>
      </c>
      <c r="E6579">
        <v>62011</v>
      </c>
      <c r="F6579" s="11">
        <v>0</v>
      </c>
    </row>
    <row r="6580" spans="1:6" x14ac:dyDescent="0.35">
      <c r="A6580" t="s">
        <v>2857</v>
      </c>
      <c r="B6580" t="s">
        <v>2862</v>
      </c>
      <c r="C6580" t="s">
        <v>1369</v>
      </c>
      <c r="D6580" t="s">
        <v>2917</v>
      </c>
      <c r="E6580">
        <v>0</v>
      </c>
      <c r="F6580" s="11">
        <v>0</v>
      </c>
    </row>
    <row r="6581" spans="1:6" x14ac:dyDescent="0.35">
      <c r="A6581" t="s">
        <v>2857</v>
      </c>
      <c r="B6581" t="s">
        <v>2866</v>
      </c>
      <c r="C6581" t="s">
        <v>1545</v>
      </c>
      <c r="D6581" t="s">
        <v>2875</v>
      </c>
      <c r="E6581">
        <v>30852</v>
      </c>
      <c r="F6581" s="11">
        <v>1</v>
      </c>
    </row>
    <row r="6582" spans="1:6" x14ac:dyDescent="0.35">
      <c r="A6582" t="s">
        <v>2857</v>
      </c>
      <c r="B6582" t="s">
        <v>2866</v>
      </c>
      <c r="C6582" t="s">
        <v>1545</v>
      </c>
      <c r="D6582" t="s">
        <v>2876</v>
      </c>
      <c r="E6582">
        <v>12564</v>
      </c>
      <c r="F6582" s="11">
        <v>1</v>
      </c>
    </row>
    <row r="6583" spans="1:6" x14ac:dyDescent="0.35">
      <c r="A6583" t="s">
        <v>2857</v>
      </c>
      <c r="B6583" t="s">
        <v>2866</v>
      </c>
      <c r="C6583" t="s">
        <v>1545</v>
      </c>
      <c r="D6583" t="s">
        <v>2877</v>
      </c>
      <c r="E6583">
        <v>2251</v>
      </c>
      <c r="F6583" s="11">
        <v>1</v>
      </c>
    </row>
    <row r="6584" spans="1:6" x14ac:dyDescent="0.35">
      <c r="A6584" t="s">
        <v>2857</v>
      </c>
      <c r="B6584" t="s">
        <v>2866</v>
      </c>
      <c r="C6584" t="s">
        <v>1545</v>
      </c>
      <c r="D6584" t="s">
        <v>2878</v>
      </c>
      <c r="E6584">
        <v>16037</v>
      </c>
      <c r="F6584" s="11">
        <v>1</v>
      </c>
    </row>
    <row r="6585" spans="1:6" x14ac:dyDescent="0.35">
      <c r="A6585" t="s">
        <v>2857</v>
      </c>
      <c r="B6585" t="s">
        <v>2866</v>
      </c>
      <c r="C6585" t="s">
        <v>1545</v>
      </c>
      <c r="D6585" t="s">
        <v>2879</v>
      </c>
      <c r="E6585">
        <v>8340</v>
      </c>
      <c r="F6585" s="11">
        <v>1</v>
      </c>
    </row>
    <row r="6586" spans="1:6" x14ac:dyDescent="0.35">
      <c r="A6586" t="s">
        <v>2857</v>
      </c>
      <c r="B6586" t="s">
        <v>2866</v>
      </c>
      <c r="C6586" t="s">
        <v>1545</v>
      </c>
      <c r="D6586" t="s">
        <v>2880</v>
      </c>
      <c r="E6586">
        <v>3050</v>
      </c>
      <c r="F6586" s="11">
        <v>1</v>
      </c>
    </row>
    <row r="6587" spans="1:6" x14ac:dyDescent="0.35">
      <c r="A6587" t="s">
        <v>2857</v>
      </c>
      <c r="B6587" t="s">
        <v>2866</v>
      </c>
      <c r="C6587" t="s">
        <v>1545</v>
      </c>
      <c r="D6587" t="s">
        <v>2881</v>
      </c>
      <c r="E6587">
        <v>384</v>
      </c>
      <c r="F6587" s="11">
        <v>1</v>
      </c>
    </row>
    <row r="6588" spans="1:6" x14ac:dyDescent="0.35">
      <c r="A6588" t="s">
        <v>2857</v>
      </c>
      <c r="B6588" t="s">
        <v>2866</v>
      </c>
      <c r="C6588" t="s">
        <v>1545</v>
      </c>
      <c r="D6588" t="s">
        <v>2882</v>
      </c>
      <c r="E6588">
        <v>4906</v>
      </c>
      <c r="F6588" s="11">
        <v>1</v>
      </c>
    </row>
    <row r="6589" spans="1:6" x14ac:dyDescent="0.35">
      <c r="A6589" t="s">
        <v>2857</v>
      </c>
      <c r="B6589" t="s">
        <v>2866</v>
      </c>
      <c r="C6589" t="s">
        <v>1545</v>
      </c>
      <c r="D6589" t="s">
        <v>2883</v>
      </c>
      <c r="E6589">
        <v>32</v>
      </c>
      <c r="F6589" s="11">
        <v>1</v>
      </c>
    </row>
    <row r="6590" spans="1:6" x14ac:dyDescent="0.35">
      <c r="A6590" t="s">
        <v>2857</v>
      </c>
      <c r="B6590" t="s">
        <v>2866</v>
      </c>
      <c r="C6590" t="s">
        <v>1545</v>
      </c>
      <c r="D6590" t="s">
        <v>2884</v>
      </c>
      <c r="E6590">
        <v>32</v>
      </c>
      <c r="F6590" s="11">
        <v>0</v>
      </c>
    </row>
    <row r="6591" spans="1:6" x14ac:dyDescent="0.35">
      <c r="A6591" t="s">
        <v>2857</v>
      </c>
      <c r="B6591" t="s">
        <v>2866</v>
      </c>
      <c r="C6591" t="s">
        <v>1545</v>
      </c>
      <c r="D6591" t="s">
        <v>2885</v>
      </c>
      <c r="E6591">
        <v>0</v>
      </c>
      <c r="F6591" s="11">
        <v>1</v>
      </c>
    </row>
    <row r="6592" spans="1:6" x14ac:dyDescent="0.35">
      <c r="A6592" t="s">
        <v>2857</v>
      </c>
      <c r="B6592" t="s">
        <v>2866</v>
      </c>
      <c r="C6592" t="s">
        <v>1545</v>
      </c>
      <c r="D6592" t="s">
        <v>2886</v>
      </c>
      <c r="E6592">
        <v>0</v>
      </c>
      <c r="F6592" s="11">
        <v>0</v>
      </c>
    </row>
    <row r="6593" spans="1:6" x14ac:dyDescent="0.35">
      <c r="A6593" t="s">
        <v>2857</v>
      </c>
      <c r="B6593" t="s">
        <v>2866</v>
      </c>
      <c r="C6593" t="s">
        <v>1545</v>
      </c>
      <c r="D6593" t="s">
        <v>2887</v>
      </c>
      <c r="E6593">
        <v>108025</v>
      </c>
      <c r="F6593" s="11">
        <v>1</v>
      </c>
    </row>
    <row r="6594" spans="1:6" x14ac:dyDescent="0.35">
      <c r="A6594" t="s">
        <v>2857</v>
      </c>
      <c r="B6594" t="s">
        <v>2866</v>
      </c>
      <c r="C6594" t="s">
        <v>1545</v>
      </c>
      <c r="D6594" t="s">
        <v>2888</v>
      </c>
      <c r="E6594">
        <v>0</v>
      </c>
      <c r="F6594" s="11">
        <v>1</v>
      </c>
    </row>
    <row r="6595" spans="1:6" x14ac:dyDescent="0.35">
      <c r="A6595" t="s">
        <v>2857</v>
      </c>
      <c r="B6595" t="s">
        <v>2866</v>
      </c>
      <c r="C6595" t="s">
        <v>1545</v>
      </c>
      <c r="D6595" t="s">
        <v>2889</v>
      </c>
      <c r="E6595">
        <v>0</v>
      </c>
      <c r="F6595" s="11">
        <v>1</v>
      </c>
    </row>
    <row r="6596" spans="1:6" x14ac:dyDescent="0.35">
      <c r="A6596" t="s">
        <v>2857</v>
      </c>
      <c r="B6596" t="s">
        <v>2866</v>
      </c>
      <c r="C6596" t="s">
        <v>1545</v>
      </c>
      <c r="D6596" t="s">
        <v>2890</v>
      </c>
      <c r="E6596">
        <v>0</v>
      </c>
      <c r="F6596" s="11">
        <v>1</v>
      </c>
    </row>
    <row r="6597" spans="1:6" x14ac:dyDescent="0.35">
      <c r="A6597" t="s">
        <v>2857</v>
      </c>
      <c r="B6597" t="s">
        <v>2866</v>
      </c>
      <c r="C6597" t="s">
        <v>1545</v>
      </c>
      <c r="D6597" t="s">
        <v>2891</v>
      </c>
      <c r="E6597">
        <v>5728</v>
      </c>
      <c r="F6597" s="11">
        <v>1</v>
      </c>
    </row>
    <row r="6598" spans="1:6" x14ac:dyDescent="0.35">
      <c r="A6598" t="s">
        <v>2857</v>
      </c>
      <c r="B6598" t="s">
        <v>2866</v>
      </c>
      <c r="C6598" t="s">
        <v>1545</v>
      </c>
      <c r="D6598" t="s">
        <v>2892</v>
      </c>
      <c r="E6598">
        <v>0</v>
      </c>
      <c r="F6598" s="11">
        <v>0</v>
      </c>
    </row>
    <row r="6599" spans="1:6" x14ac:dyDescent="0.35">
      <c r="A6599" t="s">
        <v>2857</v>
      </c>
      <c r="B6599" t="s">
        <v>2866</v>
      </c>
      <c r="C6599" t="s">
        <v>1545</v>
      </c>
      <c r="D6599" t="s">
        <v>2893</v>
      </c>
      <c r="E6599">
        <v>0</v>
      </c>
      <c r="F6599" s="11">
        <v>1</v>
      </c>
    </row>
    <row r="6600" spans="1:6" x14ac:dyDescent="0.35">
      <c r="A6600" t="s">
        <v>2857</v>
      </c>
      <c r="B6600" t="s">
        <v>2866</v>
      </c>
      <c r="C6600" t="s">
        <v>1545</v>
      </c>
      <c r="D6600" t="s">
        <v>2894</v>
      </c>
      <c r="E6600">
        <v>0</v>
      </c>
      <c r="F6600" s="11">
        <v>1</v>
      </c>
    </row>
    <row r="6601" spans="1:6" x14ac:dyDescent="0.35">
      <c r="A6601" t="s">
        <v>2857</v>
      </c>
      <c r="B6601" t="s">
        <v>2866</v>
      </c>
      <c r="C6601" t="s">
        <v>1545</v>
      </c>
      <c r="D6601" t="s">
        <v>2895</v>
      </c>
      <c r="E6601">
        <v>748831</v>
      </c>
      <c r="F6601" s="11">
        <v>1</v>
      </c>
    </row>
    <row r="6602" spans="1:6" x14ac:dyDescent="0.35">
      <c r="A6602" t="s">
        <v>2857</v>
      </c>
      <c r="B6602" t="s">
        <v>2866</v>
      </c>
      <c r="C6602" t="s">
        <v>1545</v>
      </c>
      <c r="D6602" t="s">
        <v>2896</v>
      </c>
      <c r="E6602">
        <v>450629</v>
      </c>
      <c r="F6602" s="11">
        <v>1</v>
      </c>
    </row>
    <row r="6603" spans="1:6" x14ac:dyDescent="0.35">
      <c r="A6603" t="s">
        <v>2857</v>
      </c>
      <c r="B6603" t="s">
        <v>2866</v>
      </c>
      <c r="C6603" t="s">
        <v>1545</v>
      </c>
      <c r="D6603" t="s">
        <v>2897</v>
      </c>
      <c r="E6603">
        <v>22227</v>
      </c>
      <c r="F6603" s="11">
        <v>1</v>
      </c>
    </row>
    <row r="6604" spans="1:6" x14ac:dyDescent="0.35">
      <c r="A6604" t="s">
        <v>2857</v>
      </c>
      <c r="B6604" t="s">
        <v>2866</v>
      </c>
      <c r="C6604" t="s">
        <v>1545</v>
      </c>
      <c r="D6604" t="s">
        <v>2898</v>
      </c>
      <c r="E6604">
        <v>275975</v>
      </c>
      <c r="F6604" s="11">
        <v>1</v>
      </c>
    </row>
    <row r="6605" spans="1:6" x14ac:dyDescent="0.35">
      <c r="A6605" t="s">
        <v>2857</v>
      </c>
      <c r="B6605" t="s">
        <v>2866</v>
      </c>
      <c r="C6605" t="s">
        <v>1545</v>
      </c>
      <c r="D6605" t="s">
        <v>2899</v>
      </c>
      <c r="E6605">
        <v>9672</v>
      </c>
      <c r="F6605" s="11">
        <v>1</v>
      </c>
    </row>
    <row r="6606" spans="1:6" x14ac:dyDescent="0.35">
      <c r="A6606" t="s">
        <v>2857</v>
      </c>
      <c r="B6606" t="s">
        <v>2866</v>
      </c>
      <c r="C6606" t="s">
        <v>1545</v>
      </c>
      <c r="D6606" t="s">
        <v>2900</v>
      </c>
      <c r="E6606">
        <v>1764</v>
      </c>
      <c r="F6606" s="11">
        <v>1</v>
      </c>
    </row>
    <row r="6607" spans="1:6" x14ac:dyDescent="0.35">
      <c r="A6607" t="s">
        <v>2857</v>
      </c>
      <c r="B6607" t="s">
        <v>2866</v>
      </c>
      <c r="C6607" t="s">
        <v>1545</v>
      </c>
      <c r="D6607" t="s">
        <v>2901</v>
      </c>
      <c r="E6607">
        <v>0</v>
      </c>
      <c r="F6607" s="11">
        <v>1</v>
      </c>
    </row>
    <row r="6608" spans="1:6" x14ac:dyDescent="0.35">
      <c r="A6608" t="s">
        <v>2857</v>
      </c>
      <c r="B6608" t="s">
        <v>2866</v>
      </c>
      <c r="C6608" t="s">
        <v>1545</v>
      </c>
      <c r="D6608" t="s">
        <v>2902</v>
      </c>
      <c r="E6608">
        <v>7908</v>
      </c>
      <c r="F6608" s="11">
        <v>0</v>
      </c>
    </row>
    <row r="6609" spans="1:6" x14ac:dyDescent="0.35">
      <c r="A6609" t="s">
        <v>2857</v>
      </c>
      <c r="B6609" t="s">
        <v>2866</v>
      </c>
      <c r="C6609" t="s">
        <v>1545</v>
      </c>
      <c r="D6609" t="s">
        <v>2903</v>
      </c>
      <c r="E6609">
        <v>23683</v>
      </c>
      <c r="F6609" s="11">
        <v>1</v>
      </c>
    </row>
    <row r="6610" spans="1:6" x14ac:dyDescent="0.35">
      <c r="A6610" t="s">
        <v>2857</v>
      </c>
      <c r="B6610" t="s">
        <v>2866</v>
      </c>
      <c r="C6610" t="s">
        <v>1545</v>
      </c>
      <c r="D6610" t="s">
        <v>2904</v>
      </c>
      <c r="E6610">
        <v>3743</v>
      </c>
      <c r="F6610" s="11">
        <v>1</v>
      </c>
    </row>
    <row r="6611" spans="1:6" x14ac:dyDescent="0.35">
      <c r="A6611" t="s">
        <v>2857</v>
      </c>
      <c r="B6611" t="s">
        <v>2866</v>
      </c>
      <c r="C6611" t="s">
        <v>1545</v>
      </c>
      <c r="D6611" t="s">
        <v>2905</v>
      </c>
      <c r="E6611">
        <v>1223</v>
      </c>
      <c r="F6611" s="11">
        <v>1</v>
      </c>
    </row>
    <row r="6612" spans="1:6" x14ac:dyDescent="0.35">
      <c r="A6612" t="s">
        <v>2857</v>
      </c>
      <c r="B6612" t="s">
        <v>2866</v>
      </c>
      <c r="C6612" t="s">
        <v>1545</v>
      </c>
      <c r="D6612" t="s">
        <v>2906</v>
      </c>
      <c r="E6612">
        <v>18717</v>
      </c>
      <c r="F6612" s="11">
        <v>1</v>
      </c>
    </row>
    <row r="6613" spans="1:6" x14ac:dyDescent="0.35">
      <c r="A6613" t="s">
        <v>2857</v>
      </c>
      <c r="B6613" t="s">
        <v>2866</v>
      </c>
      <c r="C6613" t="s">
        <v>1545</v>
      </c>
      <c r="D6613" t="s">
        <v>2907</v>
      </c>
      <c r="E6613">
        <v>49587</v>
      </c>
      <c r="F6613" s="11">
        <v>1</v>
      </c>
    </row>
    <row r="6614" spans="1:6" x14ac:dyDescent="0.35">
      <c r="A6614" t="s">
        <v>2857</v>
      </c>
      <c r="B6614" t="s">
        <v>2866</v>
      </c>
      <c r="C6614" t="s">
        <v>1545</v>
      </c>
      <c r="D6614" t="s">
        <v>2908</v>
      </c>
      <c r="E6614">
        <v>8523</v>
      </c>
      <c r="F6614" s="11">
        <v>1</v>
      </c>
    </row>
    <row r="6615" spans="1:6" x14ac:dyDescent="0.35">
      <c r="A6615" t="s">
        <v>2857</v>
      </c>
      <c r="B6615" t="s">
        <v>2866</v>
      </c>
      <c r="C6615" t="s">
        <v>1545</v>
      </c>
      <c r="D6615" t="s">
        <v>2909</v>
      </c>
      <c r="E6615">
        <v>1725</v>
      </c>
      <c r="F6615" s="11">
        <v>1</v>
      </c>
    </row>
    <row r="6616" spans="1:6" x14ac:dyDescent="0.35">
      <c r="A6616" t="s">
        <v>2857</v>
      </c>
      <c r="B6616" t="s">
        <v>2866</v>
      </c>
      <c r="C6616" t="s">
        <v>1545</v>
      </c>
      <c r="D6616" t="s">
        <v>2910</v>
      </c>
      <c r="E6616">
        <v>39339</v>
      </c>
      <c r="F6616" s="11">
        <v>1</v>
      </c>
    </row>
    <row r="6617" spans="1:6" x14ac:dyDescent="0.35">
      <c r="A6617" t="s">
        <v>2857</v>
      </c>
      <c r="B6617" t="s">
        <v>2866</v>
      </c>
      <c r="C6617" t="s">
        <v>1545</v>
      </c>
      <c r="D6617" t="s">
        <v>2911</v>
      </c>
      <c r="E6617">
        <v>829588</v>
      </c>
      <c r="F6617" s="11">
        <v>1</v>
      </c>
    </row>
    <row r="6618" spans="1:6" x14ac:dyDescent="0.35">
      <c r="A6618" t="s">
        <v>2857</v>
      </c>
      <c r="B6618" t="s">
        <v>2866</v>
      </c>
      <c r="C6618" t="s">
        <v>1545</v>
      </c>
      <c r="D6618" t="s">
        <v>2912</v>
      </c>
      <c r="E6618">
        <v>231148</v>
      </c>
      <c r="F6618" s="11">
        <v>1</v>
      </c>
    </row>
    <row r="6619" spans="1:6" x14ac:dyDescent="0.35">
      <c r="A6619" t="s">
        <v>2857</v>
      </c>
      <c r="B6619" t="s">
        <v>2866</v>
      </c>
      <c r="C6619" t="s">
        <v>1545</v>
      </c>
      <c r="D6619" t="s">
        <v>2913</v>
      </c>
      <c r="E6619">
        <v>0</v>
      </c>
      <c r="F6619" s="11">
        <v>0</v>
      </c>
    </row>
    <row r="6620" spans="1:6" x14ac:dyDescent="0.35">
      <c r="A6620" t="s">
        <v>2857</v>
      </c>
      <c r="B6620" t="s">
        <v>2866</v>
      </c>
      <c r="C6620" t="s">
        <v>1545</v>
      </c>
      <c r="D6620" t="s">
        <v>2914</v>
      </c>
      <c r="E6620">
        <v>9645</v>
      </c>
      <c r="F6620" s="11">
        <v>1</v>
      </c>
    </row>
    <row r="6621" spans="1:6" x14ac:dyDescent="0.35">
      <c r="A6621" t="s">
        <v>2857</v>
      </c>
      <c r="B6621" t="s">
        <v>2866</v>
      </c>
      <c r="C6621" t="s">
        <v>1545</v>
      </c>
      <c r="D6621" t="s">
        <v>2915</v>
      </c>
      <c r="E6621">
        <v>1037</v>
      </c>
      <c r="F6621" s="11">
        <v>1</v>
      </c>
    </row>
    <row r="6622" spans="1:6" x14ac:dyDescent="0.35">
      <c r="A6622" t="s">
        <v>2857</v>
      </c>
      <c r="B6622" t="s">
        <v>2866</v>
      </c>
      <c r="C6622" t="s">
        <v>1545</v>
      </c>
      <c r="D6622" t="s">
        <v>2916</v>
      </c>
      <c r="E6622">
        <v>88860</v>
      </c>
      <c r="F6622" s="11">
        <v>1</v>
      </c>
    </row>
    <row r="6623" spans="1:6" x14ac:dyDescent="0.35">
      <c r="A6623" t="s">
        <v>2857</v>
      </c>
      <c r="B6623" t="s">
        <v>2866</v>
      </c>
      <c r="C6623" t="s">
        <v>1545</v>
      </c>
      <c r="D6623" t="s">
        <v>2917</v>
      </c>
      <c r="E6623">
        <v>0</v>
      </c>
      <c r="F6623" s="11">
        <v>0</v>
      </c>
    </row>
    <row r="6624" spans="1:6" x14ac:dyDescent="0.35">
      <c r="A6624" t="s">
        <v>2857</v>
      </c>
      <c r="B6624" t="s">
        <v>2864</v>
      </c>
      <c r="C6624" t="s">
        <v>1530</v>
      </c>
      <c r="D6624" t="s">
        <v>2875</v>
      </c>
      <c r="E6624">
        <v>10524</v>
      </c>
      <c r="F6624" s="11">
        <v>1</v>
      </c>
    </row>
    <row r="6625" spans="1:6" x14ac:dyDescent="0.35">
      <c r="A6625" t="s">
        <v>2857</v>
      </c>
      <c r="B6625" t="s">
        <v>2864</v>
      </c>
      <c r="C6625" t="s">
        <v>1530</v>
      </c>
      <c r="D6625" t="s">
        <v>2876</v>
      </c>
      <c r="E6625">
        <v>2858</v>
      </c>
      <c r="F6625" s="11">
        <v>0</v>
      </c>
    </row>
    <row r="6626" spans="1:6" x14ac:dyDescent="0.35">
      <c r="A6626" t="s">
        <v>2857</v>
      </c>
      <c r="B6626" t="s">
        <v>2864</v>
      </c>
      <c r="C6626" t="s">
        <v>1530</v>
      </c>
      <c r="D6626" t="s">
        <v>2877</v>
      </c>
      <c r="E6626">
        <v>0</v>
      </c>
      <c r="F6626" s="11">
        <v>0</v>
      </c>
    </row>
    <row r="6627" spans="1:6" x14ac:dyDescent="0.35">
      <c r="A6627" t="s">
        <v>2857</v>
      </c>
      <c r="B6627" t="s">
        <v>2864</v>
      </c>
      <c r="C6627" t="s">
        <v>1530</v>
      </c>
      <c r="D6627" t="s">
        <v>2878</v>
      </c>
      <c r="E6627">
        <v>7666</v>
      </c>
      <c r="F6627" s="11">
        <v>0</v>
      </c>
    </row>
    <row r="6628" spans="1:6" x14ac:dyDescent="0.35">
      <c r="A6628" t="s">
        <v>2857</v>
      </c>
      <c r="B6628" t="s">
        <v>2864</v>
      </c>
      <c r="C6628" t="s">
        <v>1530</v>
      </c>
      <c r="D6628" t="s">
        <v>2879</v>
      </c>
      <c r="E6628">
        <v>102889</v>
      </c>
      <c r="F6628" s="11">
        <v>1</v>
      </c>
    </row>
    <row r="6629" spans="1:6" x14ac:dyDescent="0.35">
      <c r="A6629" t="s">
        <v>2857</v>
      </c>
      <c r="B6629" t="s">
        <v>2864</v>
      </c>
      <c r="C6629" t="s">
        <v>1530</v>
      </c>
      <c r="D6629" t="s">
        <v>2880</v>
      </c>
      <c r="E6629">
        <v>1243</v>
      </c>
      <c r="F6629" s="11">
        <v>1</v>
      </c>
    </row>
    <row r="6630" spans="1:6" x14ac:dyDescent="0.35">
      <c r="A6630" t="s">
        <v>2857</v>
      </c>
      <c r="B6630" t="s">
        <v>2864</v>
      </c>
      <c r="C6630" t="s">
        <v>1530</v>
      </c>
      <c r="D6630" t="s">
        <v>2881</v>
      </c>
      <c r="E6630">
        <v>0</v>
      </c>
      <c r="F6630" s="11">
        <v>1</v>
      </c>
    </row>
    <row r="6631" spans="1:6" x14ac:dyDescent="0.35">
      <c r="A6631" t="s">
        <v>2857</v>
      </c>
      <c r="B6631" t="s">
        <v>2864</v>
      </c>
      <c r="C6631" t="s">
        <v>1530</v>
      </c>
      <c r="D6631" t="s">
        <v>2882</v>
      </c>
      <c r="E6631">
        <v>1646</v>
      </c>
      <c r="F6631" s="11">
        <v>0</v>
      </c>
    </row>
    <row r="6632" spans="1:6" x14ac:dyDescent="0.35">
      <c r="A6632" t="s">
        <v>2857</v>
      </c>
      <c r="B6632" t="s">
        <v>2864</v>
      </c>
      <c r="C6632" t="s">
        <v>1530</v>
      </c>
      <c r="D6632" t="s">
        <v>2883</v>
      </c>
      <c r="E6632">
        <v>0</v>
      </c>
      <c r="F6632" s="11">
        <v>0</v>
      </c>
    </row>
    <row r="6633" spans="1:6" x14ac:dyDescent="0.35">
      <c r="A6633" t="s">
        <v>2857</v>
      </c>
      <c r="B6633" t="s">
        <v>2864</v>
      </c>
      <c r="C6633" t="s">
        <v>1530</v>
      </c>
      <c r="D6633" t="s">
        <v>2884</v>
      </c>
      <c r="E6633">
        <v>0</v>
      </c>
      <c r="F6633" s="11">
        <v>0</v>
      </c>
    </row>
    <row r="6634" spans="1:6" x14ac:dyDescent="0.35">
      <c r="A6634" t="s">
        <v>2857</v>
      </c>
      <c r="B6634" t="s">
        <v>2864</v>
      </c>
      <c r="C6634" t="s">
        <v>1530</v>
      </c>
      <c r="D6634" t="s">
        <v>2885</v>
      </c>
      <c r="E6634">
        <v>0</v>
      </c>
      <c r="F6634" s="11">
        <v>0</v>
      </c>
    </row>
    <row r="6635" spans="1:6" x14ac:dyDescent="0.35">
      <c r="A6635" t="s">
        <v>2857</v>
      </c>
      <c r="B6635" t="s">
        <v>2864</v>
      </c>
      <c r="C6635" t="s">
        <v>1530</v>
      </c>
      <c r="D6635" t="s">
        <v>2886</v>
      </c>
      <c r="E6635">
        <v>0</v>
      </c>
      <c r="F6635" s="11">
        <v>0</v>
      </c>
    </row>
    <row r="6636" spans="1:6" x14ac:dyDescent="0.35">
      <c r="A6636" t="s">
        <v>2857</v>
      </c>
      <c r="B6636" t="s">
        <v>2864</v>
      </c>
      <c r="C6636" t="s">
        <v>1530</v>
      </c>
      <c r="D6636" t="s">
        <v>2887</v>
      </c>
      <c r="E6636">
        <v>30031</v>
      </c>
      <c r="F6636" s="11">
        <v>1</v>
      </c>
    </row>
    <row r="6637" spans="1:6" x14ac:dyDescent="0.35">
      <c r="A6637" t="s">
        <v>2857</v>
      </c>
      <c r="B6637" t="s">
        <v>2864</v>
      </c>
      <c r="C6637" t="s">
        <v>1530</v>
      </c>
      <c r="D6637" t="s">
        <v>2888</v>
      </c>
      <c r="E6637">
        <v>15708</v>
      </c>
      <c r="F6637" s="11">
        <v>1</v>
      </c>
    </row>
    <row r="6638" spans="1:6" x14ac:dyDescent="0.35">
      <c r="A6638" t="s">
        <v>2857</v>
      </c>
      <c r="B6638" t="s">
        <v>2864</v>
      </c>
      <c r="C6638" t="s">
        <v>1530</v>
      </c>
      <c r="D6638" t="s">
        <v>2889</v>
      </c>
      <c r="E6638">
        <v>0</v>
      </c>
      <c r="F6638" s="11">
        <v>1</v>
      </c>
    </row>
    <row r="6639" spans="1:6" x14ac:dyDescent="0.35">
      <c r="A6639" t="s">
        <v>2857</v>
      </c>
      <c r="B6639" t="s">
        <v>2864</v>
      </c>
      <c r="C6639" t="s">
        <v>1530</v>
      </c>
      <c r="D6639" t="s">
        <v>2890</v>
      </c>
      <c r="E6639">
        <v>14323</v>
      </c>
      <c r="F6639" s="11">
        <v>0</v>
      </c>
    </row>
    <row r="6640" spans="1:6" x14ac:dyDescent="0.35">
      <c r="A6640" t="s">
        <v>2857</v>
      </c>
      <c r="B6640" t="s">
        <v>2864</v>
      </c>
      <c r="C6640" t="s">
        <v>1530</v>
      </c>
      <c r="D6640" t="s">
        <v>2891</v>
      </c>
      <c r="E6640">
        <v>0</v>
      </c>
      <c r="F6640" s="11">
        <v>0</v>
      </c>
    </row>
    <row r="6641" spans="1:6" x14ac:dyDescent="0.35">
      <c r="A6641" t="s">
        <v>2857</v>
      </c>
      <c r="B6641" t="s">
        <v>2864</v>
      </c>
      <c r="C6641" t="s">
        <v>1530</v>
      </c>
      <c r="D6641" t="s">
        <v>2892</v>
      </c>
      <c r="E6641">
        <v>0</v>
      </c>
      <c r="F6641" s="11">
        <v>0</v>
      </c>
    </row>
    <row r="6642" spans="1:6" x14ac:dyDescent="0.35">
      <c r="A6642" t="s">
        <v>2857</v>
      </c>
      <c r="B6642" t="s">
        <v>2864</v>
      </c>
      <c r="C6642" t="s">
        <v>1530</v>
      </c>
      <c r="D6642" t="s">
        <v>2893</v>
      </c>
      <c r="E6642">
        <v>0</v>
      </c>
      <c r="F6642" s="11">
        <v>0</v>
      </c>
    </row>
    <row r="6643" spans="1:6" x14ac:dyDescent="0.35">
      <c r="A6643" t="s">
        <v>2857</v>
      </c>
      <c r="B6643" t="s">
        <v>2864</v>
      </c>
      <c r="C6643" t="s">
        <v>1530</v>
      </c>
      <c r="D6643" t="s">
        <v>2894</v>
      </c>
      <c r="E6643">
        <v>0</v>
      </c>
      <c r="F6643" s="11">
        <v>0</v>
      </c>
    </row>
    <row r="6644" spans="1:6" x14ac:dyDescent="0.35">
      <c r="A6644" t="s">
        <v>2857</v>
      </c>
      <c r="B6644" t="s">
        <v>2864</v>
      </c>
      <c r="C6644" t="s">
        <v>1530</v>
      </c>
      <c r="D6644" t="s">
        <v>2895</v>
      </c>
      <c r="E6644">
        <v>291421</v>
      </c>
      <c r="F6644" s="11">
        <v>1</v>
      </c>
    </row>
    <row r="6645" spans="1:6" x14ac:dyDescent="0.35">
      <c r="A6645" t="s">
        <v>2857</v>
      </c>
      <c r="B6645" t="s">
        <v>2864</v>
      </c>
      <c r="C6645" t="s">
        <v>1530</v>
      </c>
      <c r="D6645" t="s">
        <v>2896</v>
      </c>
      <c r="E6645">
        <v>82032</v>
      </c>
      <c r="F6645" s="11">
        <v>1</v>
      </c>
    </row>
    <row r="6646" spans="1:6" x14ac:dyDescent="0.35">
      <c r="A6646" t="s">
        <v>2857</v>
      </c>
      <c r="B6646" t="s">
        <v>2864</v>
      </c>
      <c r="C6646" t="s">
        <v>1530</v>
      </c>
      <c r="D6646" t="s">
        <v>2897</v>
      </c>
      <c r="E6646">
        <v>3266</v>
      </c>
      <c r="F6646" s="11">
        <v>1</v>
      </c>
    </row>
    <row r="6647" spans="1:6" x14ac:dyDescent="0.35">
      <c r="A6647" t="s">
        <v>2857</v>
      </c>
      <c r="B6647" t="s">
        <v>2864</v>
      </c>
      <c r="C6647" t="s">
        <v>1530</v>
      </c>
      <c r="D6647" t="s">
        <v>2898</v>
      </c>
      <c r="E6647">
        <v>206123</v>
      </c>
      <c r="F6647" s="11">
        <v>1</v>
      </c>
    </row>
    <row r="6648" spans="1:6" x14ac:dyDescent="0.35">
      <c r="A6648" t="s">
        <v>2857</v>
      </c>
      <c r="B6648" t="s">
        <v>2864</v>
      </c>
      <c r="C6648" t="s">
        <v>1530</v>
      </c>
      <c r="D6648" t="s">
        <v>2899</v>
      </c>
      <c r="E6648">
        <v>5236</v>
      </c>
      <c r="F6648" s="11">
        <v>1</v>
      </c>
    </row>
    <row r="6649" spans="1:6" x14ac:dyDescent="0.35">
      <c r="A6649" t="s">
        <v>2857</v>
      </c>
      <c r="B6649" t="s">
        <v>2864</v>
      </c>
      <c r="C6649" t="s">
        <v>1530</v>
      </c>
      <c r="D6649" t="s">
        <v>2900</v>
      </c>
      <c r="E6649">
        <v>268</v>
      </c>
      <c r="F6649" s="11">
        <v>1</v>
      </c>
    </row>
    <row r="6650" spans="1:6" x14ac:dyDescent="0.35">
      <c r="A6650" t="s">
        <v>2857</v>
      </c>
      <c r="B6650" t="s">
        <v>2864</v>
      </c>
      <c r="C6650" t="s">
        <v>1530</v>
      </c>
      <c r="D6650" t="s">
        <v>2901</v>
      </c>
      <c r="E6650">
        <v>2</v>
      </c>
      <c r="F6650" s="11">
        <v>1</v>
      </c>
    </row>
    <row r="6651" spans="1:6" x14ac:dyDescent="0.35">
      <c r="A6651" t="s">
        <v>2857</v>
      </c>
      <c r="B6651" t="s">
        <v>2864</v>
      </c>
      <c r="C6651" t="s">
        <v>1530</v>
      </c>
      <c r="D6651" t="s">
        <v>2902</v>
      </c>
      <c r="E6651">
        <v>4966</v>
      </c>
      <c r="F6651" s="11">
        <v>1</v>
      </c>
    </row>
    <row r="6652" spans="1:6" x14ac:dyDescent="0.35">
      <c r="A6652" t="s">
        <v>2857</v>
      </c>
      <c r="B6652" t="s">
        <v>2864</v>
      </c>
      <c r="C6652" t="s">
        <v>1530</v>
      </c>
      <c r="D6652" t="s">
        <v>2903</v>
      </c>
      <c r="E6652">
        <v>16751</v>
      </c>
      <c r="F6652" s="11">
        <v>1</v>
      </c>
    </row>
    <row r="6653" spans="1:6" x14ac:dyDescent="0.35">
      <c r="A6653" t="s">
        <v>2857</v>
      </c>
      <c r="B6653" t="s">
        <v>2864</v>
      </c>
      <c r="C6653" t="s">
        <v>1530</v>
      </c>
      <c r="D6653" t="s">
        <v>2904</v>
      </c>
      <c r="E6653">
        <v>0</v>
      </c>
      <c r="F6653" s="11">
        <v>0</v>
      </c>
    </row>
    <row r="6654" spans="1:6" x14ac:dyDescent="0.35">
      <c r="A6654" t="s">
        <v>2857</v>
      </c>
      <c r="B6654" t="s">
        <v>2864</v>
      </c>
      <c r="C6654" t="s">
        <v>1530</v>
      </c>
      <c r="D6654" t="s">
        <v>2905</v>
      </c>
      <c r="E6654">
        <v>0</v>
      </c>
      <c r="F6654" s="11">
        <v>0</v>
      </c>
    </row>
    <row r="6655" spans="1:6" x14ac:dyDescent="0.35">
      <c r="A6655" t="s">
        <v>2857</v>
      </c>
      <c r="B6655" t="s">
        <v>2864</v>
      </c>
      <c r="C6655" t="s">
        <v>1530</v>
      </c>
      <c r="D6655" t="s">
        <v>2906</v>
      </c>
      <c r="E6655">
        <v>0</v>
      </c>
      <c r="F6655" s="11">
        <v>0</v>
      </c>
    </row>
    <row r="6656" spans="1:6" x14ac:dyDescent="0.35">
      <c r="A6656" t="s">
        <v>2857</v>
      </c>
      <c r="B6656" t="s">
        <v>2864</v>
      </c>
      <c r="C6656" t="s">
        <v>1530</v>
      </c>
      <c r="D6656" t="s">
        <v>2907</v>
      </c>
      <c r="E6656">
        <v>33602</v>
      </c>
      <c r="F6656" s="11">
        <v>1</v>
      </c>
    </row>
    <row r="6657" spans="1:6" x14ac:dyDescent="0.35">
      <c r="A6657" t="s">
        <v>2857</v>
      </c>
      <c r="B6657" t="s">
        <v>2864</v>
      </c>
      <c r="C6657" t="s">
        <v>1530</v>
      </c>
      <c r="D6657" t="s">
        <v>2908</v>
      </c>
      <c r="E6657">
        <v>0</v>
      </c>
      <c r="F6657" s="11">
        <v>0</v>
      </c>
    </row>
    <row r="6658" spans="1:6" x14ac:dyDescent="0.35">
      <c r="A6658" t="s">
        <v>2857</v>
      </c>
      <c r="B6658" t="s">
        <v>2864</v>
      </c>
      <c r="C6658" t="s">
        <v>1530</v>
      </c>
      <c r="D6658" t="s">
        <v>2909</v>
      </c>
      <c r="E6658">
        <v>0</v>
      </c>
      <c r="F6658" s="11">
        <v>0</v>
      </c>
    </row>
    <row r="6659" spans="1:6" x14ac:dyDescent="0.35">
      <c r="A6659" t="s">
        <v>2857</v>
      </c>
      <c r="B6659" t="s">
        <v>2864</v>
      </c>
      <c r="C6659" t="s">
        <v>1530</v>
      </c>
      <c r="D6659" t="s">
        <v>2910</v>
      </c>
      <c r="E6659">
        <v>0</v>
      </c>
      <c r="F6659" s="11">
        <v>0</v>
      </c>
    </row>
    <row r="6660" spans="1:6" x14ac:dyDescent="0.35">
      <c r="A6660" t="s">
        <v>2857</v>
      </c>
      <c r="B6660" t="s">
        <v>2864</v>
      </c>
      <c r="C6660" t="s">
        <v>1530</v>
      </c>
      <c r="D6660" t="s">
        <v>2911</v>
      </c>
      <c r="E6660">
        <v>210347</v>
      </c>
      <c r="F6660" s="11">
        <v>1</v>
      </c>
    </row>
    <row r="6661" spans="1:6" x14ac:dyDescent="0.35">
      <c r="A6661" t="s">
        <v>2857</v>
      </c>
      <c r="B6661" t="s">
        <v>2864</v>
      </c>
      <c r="C6661" t="s">
        <v>1530</v>
      </c>
      <c r="D6661" t="s">
        <v>2912</v>
      </c>
      <c r="E6661">
        <v>214706</v>
      </c>
      <c r="F6661" s="11">
        <v>1</v>
      </c>
    </row>
    <row r="6662" spans="1:6" x14ac:dyDescent="0.35">
      <c r="A6662" t="s">
        <v>2857</v>
      </c>
      <c r="B6662" t="s">
        <v>2864</v>
      </c>
      <c r="C6662" t="s">
        <v>1530</v>
      </c>
      <c r="D6662" t="s">
        <v>2913</v>
      </c>
      <c r="E6662">
        <v>0</v>
      </c>
      <c r="F6662" s="11">
        <v>0</v>
      </c>
    </row>
    <row r="6663" spans="1:6" x14ac:dyDescent="0.35">
      <c r="A6663" t="s">
        <v>2857</v>
      </c>
      <c r="B6663" t="s">
        <v>2864</v>
      </c>
      <c r="C6663" t="s">
        <v>1530</v>
      </c>
      <c r="D6663" t="s">
        <v>2914</v>
      </c>
      <c r="E6663">
        <v>0</v>
      </c>
      <c r="F6663" s="11">
        <v>0</v>
      </c>
    </row>
    <row r="6664" spans="1:6" x14ac:dyDescent="0.35">
      <c r="A6664" t="s">
        <v>2857</v>
      </c>
      <c r="B6664" t="s">
        <v>2864</v>
      </c>
      <c r="C6664" t="s">
        <v>1530</v>
      </c>
      <c r="D6664" t="s">
        <v>2915</v>
      </c>
      <c r="E6664">
        <v>972</v>
      </c>
      <c r="F6664" s="11">
        <v>1</v>
      </c>
    </row>
    <row r="6665" spans="1:6" x14ac:dyDescent="0.35">
      <c r="A6665" t="s">
        <v>2857</v>
      </c>
      <c r="B6665" t="s">
        <v>2864</v>
      </c>
      <c r="C6665" t="s">
        <v>1530</v>
      </c>
      <c r="D6665" t="s">
        <v>2916</v>
      </c>
      <c r="E6665">
        <v>10416</v>
      </c>
      <c r="F6665" s="11">
        <v>0</v>
      </c>
    </row>
    <row r="6666" spans="1:6" x14ac:dyDescent="0.35">
      <c r="A6666" t="s">
        <v>2857</v>
      </c>
      <c r="B6666" t="s">
        <v>2864</v>
      </c>
      <c r="C6666" t="s">
        <v>1530</v>
      </c>
      <c r="D6666" t="s">
        <v>2917</v>
      </c>
      <c r="E6666">
        <v>0</v>
      </c>
      <c r="F6666" s="11">
        <v>0</v>
      </c>
    </row>
    <row r="6667" spans="1:6" x14ac:dyDescent="0.35">
      <c r="A6667" t="s">
        <v>2857</v>
      </c>
      <c r="B6667" t="s">
        <v>2866</v>
      </c>
      <c r="C6667" t="s">
        <v>1444</v>
      </c>
      <c r="D6667" t="s">
        <v>2875</v>
      </c>
      <c r="E6667">
        <v>23292</v>
      </c>
      <c r="F6667" s="11">
        <v>0</v>
      </c>
    </row>
    <row r="6668" spans="1:6" x14ac:dyDescent="0.35">
      <c r="A6668" t="s">
        <v>2857</v>
      </c>
      <c r="B6668" t="s">
        <v>2866</v>
      </c>
      <c r="C6668" t="s">
        <v>1444</v>
      </c>
      <c r="D6668" t="s">
        <v>2876</v>
      </c>
      <c r="E6668">
        <v>8296</v>
      </c>
      <c r="F6668" s="11">
        <v>0</v>
      </c>
    </row>
    <row r="6669" spans="1:6" x14ac:dyDescent="0.35">
      <c r="A6669" t="s">
        <v>2857</v>
      </c>
      <c r="B6669" t="s">
        <v>2866</v>
      </c>
      <c r="C6669" t="s">
        <v>1444</v>
      </c>
      <c r="D6669" t="s">
        <v>2877</v>
      </c>
      <c r="E6669">
        <v>852</v>
      </c>
      <c r="F6669" s="11">
        <v>0</v>
      </c>
    </row>
    <row r="6670" spans="1:6" x14ac:dyDescent="0.35">
      <c r="A6670" t="s">
        <v>2857</v>
      </c>
      <c r="B6670" t="s">
        <v>2866</v>
      </c>
      <c r="C6670" t="s">
        <v>1444</v>
      </c>
      <c r="D6670" t="s">
        <v>2878</v>
      </c>
      <c r="E6670">
        <v>14144</v>
      </c>
      <c r="F6670" s="11">
        <v>0</v>
      </c>
    </row>
    <row r="6671" spans="1:6" x14ac:dyDescent="0.35">
      <c r="A6671" t="s">
        <v>2857</v>
      </c>
      <c r="B6671" t="s">
        <v>2866</v>
      </c>
      <c r="C6671" t="s">
        <v>1444</v>
      </c>
      <c r="D6671" t="s">
        <v>2879</v>
      </c>
      <c r="E6671">
        <v>3772</v>
      </c>
      <c r="F6671" s="11">
        <v>0</v>
      </c>
    </row>
    <row r="6672" spans="1:6" x14ac:dyDescent="0.35">
      <c r="A6672" t="s">
        <v>2857</v>
      </c>
      <c r="B6672" t="s">
        <v>2866</v>
      </c>
      <c r="C6672" t="s">
        <v>1444</v>
      </c>
      <c r="D6672" t="s">
        <v>2880</v>
      </c>
      <c r="E6672">
        <v>2902</v>
      </c>
      <c r="F6672" s="11">
        <v>0</v>
      </c>
    </row>
    <row r="6673" spans="1:6" x14ac:dyDescent="0.35">
      <c r="A6673" t="s">
        <v>2857</v>
      </c>
      <c r="B6673" t="s">
        <v>2866</v>
      </c>
      <c r="C6673" t="s">
        <v>1444</v>
      </c>
      <c r="D6673" t="s">
        <v>2881</v>
      </c>
      <c r="E6673">
        <v>0</v>
      </c>
      <c r="F6673" s="11">
        <v>0</v>
      </c>
    </row>
    <row r="6674" spans="1:6" x14ac:dyDescent="0.35">
      <c r="A6674" t="s">
        <v>2857</v>
      </c>
      <c r="B6674" t="s">
        <v>2866</v>
      </c>
      <c r="C6674" t="s">
        <v>1444</v>
      </c>
      <c r="D6674" t="s">
        <v>2882</v>
      </c>
      <c r="E6674">
        <v>870</v>
      </c>
      <c r="F6674" s="11">
        <v>0</v>
      </c>
    </row>
    <row r="6675" spans="1:6" x14ac:dyDescent="0.35">
      <c r="A6675" t="s">
        <v>2857</v>
      </c>
      <c r="B6675" t="s">
        <v>2866</v>
      </c>
      <c r="C6675" t="s">
        <v>1444</v>
      </c>
      <c r="D6675" t="s">
        <v>2883</v>
      </c>
      <c r="E6675">
        <v>0</v>
      </c>
      <c r="F6675" s="11">
        <v>0</v>
      </c>
    </row>
    <row r="6676" spans="1:6" x14ac:dyDescent="0.35">
      <c r="A6676" t="s">
        <v>2857</v>
      </c>
      <c r="B6676" t="s">
        <v>2866</v>
      </c>
      <c r="C6676" t="s">
        <v>1444</v>
      </c>
      <c r="D6676" t="s">
        <v>2884</v>
      </c>
      <c r="E6676">
        <v>0</v>
      </c>
      <c r="F6676" s="11">
        <v>0</v>
      </c>
    </row>
    <row r="6677" spans="1:6" x14ac:dyDescent="0.35">
      <c r="A6677" t="s">
        <v>2857</v>
      </c>
      <c r="B6677" t="s">
        <v>2866</v>
      </c>
      <c r="C6677" t="s">
        <v>1444</v>
      </c>
      <c r="D6677" t="s">
        <v>2885</v>
      </c>
      <c r="E6677">
        <v>0</v>
      </c>
      <c r="F6677" s="11">
        <v>0</v>
      </c>
    </row>
    <row r="6678" spans="1:6" x14ac:dyDescent="0.35">
      <c r="A6678" t="s">
        <v>2857</v>
      </c>
      <c r="B6678" t="s">
        <v>2866</v>
      </c>
      <c r="C6678" t="s">
        <v>1444</v>
      </c>
      <c r="D6678" t="s">
        <v>2886</v>
      </c>
      <c r="E6678">
        <v>0</v>
      </c>
      <c r="F6678" s="11">
        <v>0</v>
      </c>
    </row>
    <row r="6679" spans="1:6" x14ac:dyDescent="0.35">
      <c r="A6679" t="s">
        <v>2857</v>
      </c>
      <c r="B6679" t="s">
        <v>2866</v>
      </c>
      <c r="C6679" t="s">
        <v>1444</v>
      </c>
      <c r="D6679" t="s">
        <v>2887</v>
      </c>
      <c r="E6679">
        <v>60400</v>
      </c>
      <c r="F6679" s="11">
        <v>0</v>
      </c>
    </row>
    <row r="6680" spans="1:6" x14ac:dyDescent="0.35">
      <c r="A6680" t="s">
        <v>2857</v>
      </c>
      <c r="B6680" t="s">
        <v>2866</v>
      </c>
      <c r="C6680" t="s">
        <v>1444</v>
      </c>
      <c r="D6680" t="s">
        <v>2888</v>
      </c>
      <c r="E6680">
        <v>27460</v>
      </c>
      <c r="F6680" s="11">
        <v>0</v>
      </c>
    </row>
    <row r="6681" spans="1:6" x14ac:dyDescent="0.35">
      <c r="A6681" t="s">
        <v>2857</v>
      </c>
      <c r="B6681" t="s">
        <v>2866</v>
      </c>
      <c r="C6681" t="s">
        <v>1444</v>
      </c>
      <c r="D6681" t="s">
        <v>2889</v>
      </c>
      <c r="E6681">
        <v>0</v>
      </c>
      <c r="F6681" s="11">
        <v>0</v>
      </c>
    </row>
    <row r="6682" spans="1:6" x14ac:dyDescent="0.35">
      <c r="A6682" t="s">
        <v>2857</v>
      </c>
      <c r="B6682" t="s">
        <v>2866</v>
      </c>
      <c r="C6682" t="s">
        <v>1444</v>
      </c>
      <c r="D6682" t="s">
        <v>2890</v>
      </c>
      <c r="E6682">
        <v>32940</v>
      </c>
      <c r="F6682" s="11">
        <v>0</v>
      </c>
    </row>
    <row r="6683" spans="1:6" x14ac:dyDescent="0.35">
      <c r="A6683" t="s">
        <v>2857</v>
      </c>
      <c r="B6683" t="s">
        <v>2866</v>
      </c>
      <c r="C6683" t="s">
        <v>1444</v>
      </c>
      <c r="D6683" t="s">
        <v>2891</v>
      </c>
      <c r="E6683">
        <v>0</v>
      </c>
      <c r="F6683" s="11">
        <v>0</v>
      </c>
    </row>
    <row r="6684" spans="1:6" x14ac:dyDescent="0.35">
      <c r="A6684" t="s">
        <v>2857</v>
      </c>
      <c r="B6684" t="s">
        <v>2866</v>
      </c>
      <c r="C6684" t="s">
        <v>1444</v>
      </c>
      <c r="D6684" t="s">
        <v>2892</v>
      </c>
      <c r="E6684">
        <v>0</v>
      </c>
      <c r="F6684" s="11">
        <v>0</v>
      </c>
    </row>
    <row r="6685" spans="1:6" x14ac:dyDescent="0.35">
      <c r="A6685" t="s">
        <v>2857</v>
      </c>
      <c r="B6685" t="s">
        <v>2866</v>
      </c>
      <c r="C6685" t="s">
        <v>1444</v>
      </c>
      <c r="D6685" t="s">
        <v>2893</v>
      </c>
      <c r="E6685">
        <v>0</v>
      </c>
      <c r="F6685" s="11">
        <v>0</v>
      </c>
    </row>
    <row r="6686" spans="1:6" x14ac:dyDescent="0.35">
      <c r="A6686" t="s">
        <v>2857</v>
      </c>
      <c r="B6686" t="s">
        <v>2866</v>
      </c>
      <c r="C6686" t="s">
        <v>1444</v>
      </c>
      <c r="D6686" t="s">
        <v>2894</v>
      </c>
      <c r="E6686">
        <v>0</v>
      </c>
      <c r="F6686" s="11">
        <v>0</v>
      </c>
    </row>
    <row r="6687" spans="1:6" x14ac:dyDescent="0.35">
      <c r="A6687" t="s">
        <v>2857</v>
      </c>
      <c r="B6687" t="s">
        <v>2866</v>
      </c>
      <c r="C6687" t="s">
        <v>1444</v>
      </c>
      <c r="D6687" t="s">
        <v>2895</v>
      </c>
      <c r="E6687">
        <v>484087</v>
      </c>
      <c r="F6687" s="11">
        <v>0</v>
      </c>
    </row>
    <row r="6688" spans="1:6" x14ac:dyDescent="0.35">
      <c r="A6688" t="s">
        <v>2857</v>
      </c>
      <c r="B6688" t="s">
        <v>2866</v>
      </c>
      <c r="C6688" t="s">
        <v>1444</v>
      </c>
      <c r="D6688" t="s">
        <v>2896</v>
      </c>
      <c r="E6688">
        <v>195229</v>
      </c>
      <c r="F6688" s="11">
        <v>0</v>
      </c>
    </row>
    <row r="6689" spans="1:6" x14ac:dyDescent="0.35">
      <c r="A6689" t="s">
        <v>2857</v>
      </c>
      <c r="B6689" t="s">
        <v>2866</v>
      </c>
      <c r="C6689" t="s">
        <v>1444</v>
      </c>
      <c r="D6689" t="s">
        <v>2897</v>
      </c>
      <c r="E6689">
        <v>0</v>
      </c>
      <c r="F6689" s="11">
        <v>0</v>
      </c>
    </row>
    <row r="6690" spans="1:6" x14ac:dyDescent="0.35">
      <c r="A6690" t="s">
        <v>2857</v>
      </c>
      <c r="B6690" t="s">
        <v>2866</v>
      </c>
      <c r="C6690" t="s">
        <v>1444</v>
      </c>
      <c r="D6690" t="s">
        <v>2898</v>
      </c>
      <c r="E6690">
        <v>288040</v>
      </c>
      <c r="F6690" s="11">
        <v>0</v>
      </c>
    </row>
    <row r="6691" spans="1:6" x14ac:dyDescent="0.35">
      <c r="A6691" t="s">
        <v>2857</v>
      </c>
      <c r="B6691" t="s">
        <v>2866</v>
      </c>
      <c r="C6691" t="s">
        <v>1444</v>
      </c>
      <c r="D6691" t="s">
        <v>2899</v>
      </c>
      <c r="E6691">
        <v>64202</v>
      </c>
      <c r="F6691" s="11">
        <v>0</v>
      </c>
    </row>
    <row r="6692" spans="1:6" x14ac:dyDescent="0.35">
      <c r="A6692" t="s">
        <v>2857</v>
      </c>
      <c r="B6692" t="s">
        <v>2866</v>
      </c>
      <c r="C6692" t="s">
        <v>1444</v>
      </c>
      <c r="D6692" t="s">
        <v>2900</v>
      </c>
      <c r="E6692">
        <v>0</v>
      </c>
      <c r="F6692" s="11">
        <v>0</v>
      </c>
    </row>
    <row r="6693" spans="1:6" x14ac:dyDescent="0.35">
      <c r="A6693" t="s">
        <v>2857</v>
      </c>
      <c r="B6693" t="s">
        <v>2866</v>
      </c>
      <c r="C6693" t="s">
        <v>1444</v>
      </c>
      <c r="D6693" t="s">
        <v>2901</v>
      </c>
      <c r="E6693">
        <v>0</v>
      </c>
      <c r="F6693" s="11">
        <v>0</v>
      </c>
    </row>
    <row r="6694" spans="1:6" x14ac:dyDescent="0.35">
      <c r="A6694" t="s">
        <v>2857</v>
      </c>
      <c r="B6694" t="s">
        <v>2866</v>
      </c>
      <c r="C6694" t="s">
        <v>1444</v>
      </c>
      <c r="D6694" t="s">
        <v>2902</v>
      </c>
      <c r="E6694">
        <v>0</v>
      </c>
      <c r="F6694" s="11">
        <v>0</v>
      </c>
    </row>
    <row r="6695" spans="1:6" x14ac:dyDescent="0.35">
      <c r="A6695" t="s">
        <v>2857</v>
      </c>
      <c r="B6695" t="s">
        <v>2866</v>
      </c>
      <c r="C6695" t="s">
        <v>1444</v>
      </c>
      <c r="D6695" t="s">
        <v>2903</v>
      </c>
      <c r="E6695">
        <v>26410</v>
      </c>
      <c r="F6695" s="11">
        <v>0</v>
      </c>
    </row>
    <row r="6696" spans="1:6" x14ac:dyDescent="0.35">
      <c r="A6696" t="s">
        <v>2857</v>
      </c>
      <c r="B6696" t="s">
        <v>2866</v>
      </c>
      <c r="C6696" t="s">
        <v>1444</v>
      </c>
      <c r="D6696" t="s">
        <v>2904</v>
      </c>
      <c r="E6696">
        <v>0</v>
      </c>
      <c r="F6696" s="11">
        <v>0</v>
      </c>
    </row>
    <row r="6697" spans="1:6" x14ac:dyDescent="0.35">
      <c r="A6697" t="s">
        <v>2857</v>
      </c>
      <c r="B6697" t="s">
        <v>2866</v>
      </c>
      <c r="C6697" t="s">
        <v>1444</v>
      </c>
      <c r="D6697" t="s">
        <v>2905</v>
      </c>
      <c r="E6697">
        <v>0</v>
      </c>
      <c r="F6697" s="11">
        <v>0</v>
      </c>
    </row>
    <row r="6698" spans="1:6" x14ac:dyDescent="0.35">
      <c r="A6698" t="s">
        <v>2857</v>
      </c>
      <c r="B6698" t="s">
        <v>2866</v>
      </c>
      <c r="C6698" t="s">
        <v>1444</v>
      </c>
      <c r="D6698" t="s">
        <v>2906</v>
      </c>
      <c r="E6698">
        <v>0</v>
      </c>
      <c r="F6698" s="11">
        <v>0</v>
      </c>
    </row>
    <row r="6699" spans="1:6" x14ac:dyDescent="0.35">
      <c r="A6699" t="s">
        <v>2857</v>
      </c>
      <c r="B6699" t="s">
        <v>2866</v>
      </c>
      <c r="C6699" t="s">
        <v>1444</v>
      </c>
      <c r="D6699" t="s">
        <v>2907</v>
      </c>
      <c r="E6699">
        <v>52293</v>
      </c>
      <c r="F6699" s="11">
        <v>0</v>
      </c>
    </row>
    <row r="6700" spans="1:6" x14ac:dyDescent="0.35">
      <c r="A6700" t="s">
        <v>2857</v>
      </c>
      <c r="B6700" t="s">
        <v>2866</v>
      </c>
      <c r="C6700" t="s">
        <v>1444</v>
      </c>
      <c r="D6700" t="s">
        <v>2908</v>
      </c>
      <c r="E6700">
        <v>0</v>
      </c>
      <c r="F6700" s="11">
        <v>0</v>
      </c>
    </row>
    <row r="6701" spans="1:6" x14ac:dyDescent="0.35">
      <c r="A6701" t="s">
        <v>2857</v>
      </c>
      <c r="B6701" t="s">
        <v>2866</v>
      </c>
      <c r="C6701" t="s">
        <v>1444</v>
      </c>
      <c r="D6701" t="s">
        <v>2909</v>
      </c>
      <c r="E6701">
        <v>0</v>
      </c>
      <c r="F6701" s="11">
        <v>0</v>
      </c>
    </row>
    <row r="6702" spans="1:6" x14ac:dyDescent="0.35">
      <c r="A6702" t="s">
        <v>2857</v>
      </c>
      <c r="B6702" t="s">
        <v>2866</v>
      </c>
      <c r="C6702" t="s">
        <v>1444</v>
      </c>
      <c r="D6702" t="s">
        <v>2910</v>
      </c>
      <c r="E6702">
        <v>0</v>
      </c>
      <c r="F6702" s="11">
        <v>0</v>
      </c>
    </row>
    <row r="6703" spans="1:6" x14ac:dyDescent="0.35">
      <c r="A6703" t="s">
        <v>2857</v>
      </c>
      <c r="B6703" t="s">
        <v>2866</v>
      </c>
      <c r="C6703" t="s">
        <v>1444</v>
      </c>
      <c r="D6703" t="s">
        <v>2911</v>
      </c>
      <c r="E6703">
        <v>887734</v>
      </c>
      <c r="F6703" s="11">
        <v>0</v>
      </c>
    </row>
    <row r="6704" spans="1:6" x14ac:dyDescent="0.35">
      <c r="A6704" t="s">
        <v>2857</v>
      </c>
      <c r="B6704" t="s">
        <v>2866</v>
      </c>
      <c r="C6704" t="s">
        <v>1444</v>
      </c>
      <c r="D6704" t="s">
        <v>2912</v>
      </c>
      <c r="E6704">
        <v>0</v>
      </c>
      <c r="F6704" s="11">
        <v>0</v>
      </c>
    </row>
    <row r="6705" spans="1:6" x14ac:dyDescent="0.35">
      <c r="A6705" t="s">
        <v>2857</v>
      </c>
      <c r="B6705" t="s">
        <v>2866</v>
      </c>
      <c r="C6705" t="s">
        <v>1444</v>
      </c>
      <c r="D6705" t="s">
        <v>2913</v>
      </c>
      <c r="E6705">
        <v>0</v>
      </c>
      <c r="F6705" s="11">
        <v>0</v>
      </c>
    </row>
    <row r="6706" spans="1:6" x14ac:dyDescent="0.35">
      <c r="A6706" t="s">
        <v>2857</v>
      </c>
      <c r="B6706" t="s">
        <v>2866</v>
      </c>
      <c r="C6706" t="s">
        <v>1444</v>
      </c>
      <c r="D6706" t="s">
        <v>2914</v>
      </c>
      <c r="E6706">
        <v>0</v>
      </c>
      <c r="F6706" s="11">
        <v>0</v>
      </c>
    </row>
    <row r="6707" spans="1:6" x14ac:dyDescent="0.35">
      <c r="A6707" t="s">
        <v>2857</v>
      </c>
      <c r="B6707" t="s">
        <v>2866</v>
      </c>
      <c r="C6707" t="s">
        <v>1444</v>
      </c>
      <c r="D6707" t="s">
        <v>2915</v>
      </c>
      <c r="E6707">
        <v>2355</v>
      </c>
      <c r="F6707" s="11">
        <v>0</v>
      </c>
    </row>
    <row r="6708" spans="1:6" x14ac:dyDescent="0.35">
      <c r="A6708" t="s">
        <v>2857</v>
      </c>
      <c r="B6708" t="s">
        <v>2866</v>
      </c>
      <c r="C6708" t="s">
        <v>1444</v>
      </c>
      <c r="D6708" t="s">
        <v>2916</v>
      </c>
      <c r="E6708">
        <v>65295</v>
      </c>
      <c r="F6708" s="11">
        <v>0</v>
      </c>
    </row>
    <row r="6709" spans="1:6" x14ac:dyDescent="0.35">
      <c r="A6709" t="s">
        <v>2857</v>
      </c>
      <c r="B6709" t="s">
        <v>2866</v>
      </c>
      <c r="C6709" t="s">
        <v>1444</v>
      </c>
      <c r="D6709" t="s">
        <v>2917</v>
      </c>
      <c r="E6709">
        <v>0</v>
      </c>
      <c r="F6709" s="11">
        <v>0</v>
      </c>
    </row>
    <row r="6710" spans="1:6" x14ac:dyDescent="0.35">
      <c r="A6710" t="s">
        <v>2857</v>
      </c>
      <c r="B6710" t="s">
        <v>2866</v>
      </c>
      <c r="C6710" t="s">
        <v>1548</v>
      </c>
      <c r="D6710" t="s">
        <v>2875</v>
      </c>
      <c r="E6710">
        <v>21995</v>
      </c>
      <c r="F6710" s="11">
        <v>0</v>
      </c>
    </row>
    <row r="6711" spans="1:6" x14ac:dyDescent="0.35">
      <c r="A6711" t="s">
        <v>2857</v>
      </c>
      <c r="B6711" t="s">
        <v>2866</v>
      </c>
      <c r="C6711" t="s">
        <v>1548</v>
      </c>
      <c r="D6711" t="s">
        <v>2876</v>
      </c>
      <c r="E6711">
        <v>3163</v>
      </c>
      <c r="F6711" s="11">
        <v>0</v>
      </c>
    </row>
    <row r="6712" spans="1:6" x14ac:dyDescent="0.35">
      <c r="A6712" t="s">
        <v>2857</v>
      </c>
      <c r="B6712" t="s">
        <v>2866</v>
      </c>
      <c r="C6712" t="s">
        <v>1548</v>
      </c>
      <c r="D6712" t="s">
        <v>2877</v>
      </c>
      <c r="E6712">
        <v>984</v>
      </c>
      <c r="F6712" s="11">
        <v>0</v>
      </c>
    </row>
    <row r="6713" spans="1:6" x14ac:dyDescent="0.35">
      <c r="A6713" t="s">
        <v>2857</v>
      </c>
      <c r="B6713" t="s">
        <v>2866</v>
      </c>
      <c r="C6713" t="s">
        <v>1548</v>
      </c>
      <c r="D6713" t="s">
        <v>2878</v>
      </c>
      <c r="E6713">
        <v>12646</v>
      </c>
      <c r="F6713" s="11">
        <v>0</v>
      </c>
    </row>
    <row r="6714" spans="1:6" x14ac:dyDescent="0.35">
      <c r="A6714" t="s">
        <v>2857</v>
      </c>
      <c r="B6714" t="s">
        <v>2866</v>
      </c>
      <c r="C6714" t="s">
        <v>1548</v>
      </c>
      <c r="D6714" t="s">
        <v>2879</v>
      </c>
      <c r="E6714">
        <v>3590</v>
      </c>
      <c r="F6714" s="11">
        <v>0</v>
      </c>
    </row>
    <row r="6715" spans="1:6" x14ac:dyDescent="0.35">
      <c r="A6715" t="s">
        <v>2857</v>
      </c>
      <c r="B6715" t="s">
        <v>2866</v>
      </c>
      <c r="C6715" t="s">
        <v>1548</v>
      </c>
      <c r="D6715" t="s">
        <v>2880</v>
      </c>
      <c r="E6715">
        <v>0</v>
      </c>
      <c r="F6715" s="11">
        <v>0</v>
      </c>
    </row>
    <row r="6716" spans="1:6" x14ac:dyDescent="0.35">
      <c r="A6716" t="s">
        <v>2857</v>
      </c>
      <c r="B6716" t="s">
        <v>2866</v>
      </c>
      <c r="C6716" t="s">
        <v>1548</v>
      </c>
      <c r="D6716" t="s">
        <v>2881</v>
      </c>
      <c r="E6716">
        <v>0</v>
      </c>
      <c r="F6716" s="11">
        <v>0</v>
      </c>
    </row>
    <row r="6717" spans="1:6" x14ac:dyDescent="0.35">
      <c r="A6717" t="s">
        <v>2857</v>
      </c>
      <c r="B6717" t="s">
        <v>2866</v>
      </c>
      <c r="C6717" t="s">
        <v>1548</v>
      </c>
      <c r="D6717" t="s">
        <v>2882</v>
      </c>
      <c r="E6717">
        <v>0</v>
      </c>
      <c r="F6717" s="11">
        <v>0</v>
      </c>
    </row>
    <row r="6718" spans="1:6" x14ac:dyDescent="0.35">
      <c r="A6718" t="s">
        <v>2857</v>
      </c>
      <c r="B6718" t="s">
        <v>2866</v>
      </c>
      <c r="C6718" t="s">
        <v>1548</v>
      </c>
      <c r="D6718" t="s">
        <v>2883</v>
      </c>
      <c r="E6718">
        <v>0</v>
      </c>
      <c r="F6718" s="11">
        <v>0</v>
      </c>
    </row>
    <row r="6719" spans="1:6" x14ac:dyDescent="0.35">
      <c r="A6719" t="s">
        <v>2857</v>
      </c>
      <c r="B6719" t="s">
        <v>2866</v>
      </c>
      <c r="C6719" t="s">
        <v>1548</v>
      </c>
      <c r="D6719" t="s">
        <v>2884</v>
      </c>
      <c r="E6719">
        <v>0</v>
      </c>
      <c r="F6719" s="11">
        <v>0</v>
      </c>
    </row>
    <row r="6720" spans="1:6" x14ac:dyDescent="0.35">
      <c r="A6720" t="s">
        <v>2857</v>
      </c>
      <c r="B6720" t="s">
        <v>2866</v>
      </c>
      <c r="C6720" t="s">
        <v>1548</v>
      </c>
      <c r="D6720" t="s">
        <v>2885</v>
      </c>
      <c r="E6720">
        <v>0</v>
      </c>
      <c r="F6720" s="11">
        <v>0</v>
      </c>
    </row>
    <row r="6721" spans="1:6" x14ac:dyDescent="0.35">
      <c r="A6721" t="s">
        <v>2857</v>
      </c>
      <c r="B6721" t="s">
        <v>2866</v>
      </c>
      <c r="C6721" t="s">
        <v>1548</v>
      </c>
      <c r="D6721" t="s">
        <v>2886</v>
      </c>
      <c r="E6721">
        <v>0</v>
      </c>
      <c r="F6721" s="11">
        <v>0</v>
      </c>
    </row>
    <row r="6722" spans="1:6" x14ac:dyDescent="0.35">
      <c r="A6722" t="s">
        <v>2857</v>
      </c>
      <c r="B6722" t="s">
        <v>2866</v>
      </c>
      <c r="C6722" t="s">
        <v>1548</v>
      </c>
      <c r="D6722" t="s">
        <v>2887</v>
      </c>
      <c r="E6722">
        <v>63826</v>
      </c>
      <c r="F6722" s="11">
        <v>0</v>
      </c>
    </row>
    <row r="6723" spans="1:6" x14ac:dyDescent="0.35">
      <c r="A6723" t="s">
        <v>2857</v>
      </c>
      <c r="B6723" t="s">
        <v>2866</v>
      </c>
      <c r="C6723" t="s">
        <v>1548</v>
      </c>
      <c r="D6723" t="s">
        <v>2888</v>
      </c>
      <c r="E6723">
        <v>0</v>
      </c>
      <c r="F6723" s="11">
        <v>0</v>
      </c>
    </row>
    <row r="6724" spans="1:6" x14ac:dyDescent="0.35">
      <c r="A6724" t="s">
        <v>2857</v>
      </c>
      <c r="B6724" t="s">
        <v>2866</v>
      </c>
      <c r="C6724" t="s">
        <v>1548</v>
      </c>
      <c r="D6724" t="s">
        <v>2889</v>
      </c>
      <c r="E6724">
        <v>0</v>
      </c>
      <c r="F6724" s="11">
        <v>0</v>
      </c>
    </row>
    <row r="6725" spans="1:6" x14ac:dyDescent="0.35">
      <c r="A6725" t="s">
        <v>2857</v>
      </c>
      <c r="B6725" t="s">
        <v>2866</v>
      </c>
      <c r="C6725" t="s">
        <v>1548</v>
      </c>
      <c r="D6725" t="s">
        <v>2890</v>
      </c>
      <c r="E6725">
        <v>0</v>
      </c>
      <c r="F6725" s="11">
        <v>0</v>
      </c>
    </row>
    <row r="6726" spans="1:6" x14ac:dyDescent="0.35">
      <c r="A6726" t="s">
        <v>2857</v>
      </c>
      <c r="B6726" t="s">
        <v>2866</v>
      </c>
      <c r="C6726" t="s">
        <v>1548</v>
      </c>
      <c r="D6726" t="s">
        <v>2891</v>
      </c>
      <c r="E6726">
        <v>0</v>
      </c>
      <c r="F6726" s="11">
        <v>0</v>
      </c>
    </row>
    <row r="6727" spans="1:6" x14ac:dyDescent="0.35">
      <c r="A6727" t="s">
        <v>2857</v>
      </c>
      <c r="B6727" t="s">
        <v>2866</v>
      </c>
      <c r="C6727" t="s">
        <v>1548</v>
      </c>
      <c r="D6727" t="s">
        <v>2892</v>
      </c>
      <c r="E6727">
        <v>0</v>
      </c>
      <c r="F6727" s="11">
        <v>0</v>
      </c>
    </row>
    <row r="6728" spans="1:6" x14ac:dyDescent="0.35">
      <c r="A6728" t="s">
        <v>2857</v>
      </c>
      <c r="B6728" t="s">
        <v>2866</v>
      </c>
      <c r="C6728" t="s">
        <v>1548</v>
      </c>
      <c r="D6728" t="s">
        <v>2893</v>
      </c>
      <c r="E6728">
        <v>0</v>
      </c>
      <c r="F6728" s="11">
        <v>0</v>
      </c>
    </row>
    <row r="6729" spans="1:6" x14ac:dyDescent="0.35">
      <c r="A6729" t="s">
        <v>2857</v>
      </c>
      <c r="B6729" t="s">
        <v>2866</v>
      </c>
      <c r="C6729" t="s">
        <v>1548</v>
      </c>
      <c r="D6729" t="s">
        <v>2894</v>
      </c>
      <c r="E6729">
        <v>0</v>
      </c>
      <c r="F6729" s="11">
        <v>0</v>
      </c>
    </row>
    <row r="6730" spans="1:6" x14ac:dyDescent="0.35">
      <c r="A6730" t="s">
        <v>2857</v>
      </c>
      <c r="B6730" t="s">
        <v>2866</v>
      </c>
      <c r="C6730" t="s">
        <v>1548</v>
      </c>
      <c r="D6730" t="s">
        <v>2895</v>
      </c>
      <c r="E6730">
        <v>287743</v>
      </c>
      <c r="F6730" s="11">
        <v>0</v>
      </c>
    </row>
    <row r="6731" spans="1:6" x14ac:dyDescent="0.35">
      <c r="A6731" t="s">
        <v>2857</v>
      </c>
      <c r="B6731" t="s">
        <v>2866</v>
      </c>
      <c r="C6731" t="s">
        <v>1548</v>
      </c>
      <c r="D6731" t="s">
        <v>2896</v>
      </c>
      <c r="E6731">
        <v>0</v>
      </c>
      <c r="F6731" s="11">
        <v>0</v>
      </c>
    </row>
    <row r="6732" spans="1:6" x14ac:dyDescent="0.35">
      <c r="A6732" t="s">
        <v>2857</v>
      </c>
      <c r="B6732" t="s">
        <v>2866</v>
      </c>
      <c r="C6732" t="s">
        <v>1548</v>
      </c>
      <c r="D6732" t="s">
        <v>2897</v>
      </c>
      <c r="E6732">
        <v>0</v>
      </c>
      <c r="F6732" s="11">
        <v>0</v>
      </c>
    </row>
    <row r="6733" spans="1:6" x14ac:dyDescent="0.35">
      <c r="A6733" t="s">
        <v>2857</v>
      </c>
      <c r="B6733" t="s">
        <v>2866</v>
      </c>
      <c r="C6733" t="s">
        <v>1548</v>
      </c>
      <c r="D6733" t="s">
        <v>2898</v>
      </c>
      <c r="E6733">
        <v>0</v>
      </c>
      <c r="F6733" s="11">
        <v>0</v>
      </c>
    </row>
    <row r="6734" spans="1:6" x14ac:dyDescent="0.35">
      <c r="A6734" t="s">
        <v>2857</v>
      </c>
      <c r="B6734" t="s">
        <v>2866</v>
      </c>
      <c r="C6734" t="s">
        <v>1548</v>
      </c>
      <c r="D6734" t="s">
        <v>2899</v>
      </c>
      <c r="E6734">
        <v>0</v>
      </c>
      <c r="F6734" s="11">
        <v>0</v>
      </c>
    </row>
    <row r="6735" spans="1:6" x14ac:dyDescent="0.35">
      <c r="A6735" t="s">
        <v>2857</v>
      </c>
      <c r="B6735" t="s">
        <v>2866</v>
      </c>
      <c r="C6735" t="s">
        <v>1548</v>
      </c>
      <c r="D6735" t="s">
        <v>2900</v>
      </c>
      <c r="E6735">
        <v>0</v>
      </c>
      <c r="F6735" s="11">
        <v>0</v>
      </c>
    </row>
    <row r="6736" spans="1:6" x14ac:dyDescent="0.35">
      <c r="A6736" t="s">
        <v>2857</v>
      </c>
      <c r="B6736" t="s">
        <v>2866</v>
      </c>
      <c r="C6736" t="s">
        <v>1548</v>
      </c>
      <c r="D6736" t="s">
        <v>2901</v>
      </c>
      <c r="E6736">
        <v>0</v>
      </c>
      <c r="F6736" s="11">
        <v>0</v>
      </c>
    </row>
    <row r="6737" spans="1:6" x14ac:dyDescent="0.35">
      <c r="A6737" t="s">
        <v>2857</v>
      </c>
      <c r="B6737" t="s">
        <v>2866</v>
      </c>
      <c r="C6737" t="s">
        <v>1548</v>
      </c>
      <c r="D6737" t="s">
        <v>2902</v>
      </c>
      <c r="E6737">
        <v>0</v>
      </c>
      <c r="F6737" s="11">
        <v>0</v>
      </c>
    </row>
    <row r="6738" spans="1:6" x14ac:dyDescent="0.35">
      <c r="A6738" t="s">
        <v>2857</v>
      </c>
      <c r="B6738" t="s">
        <v>2866</v>
      </c>
      <c r="C6738" t="s">
        <v>1548</v>
      </c>
      <c r="D6738" t="s">
        <v>2903</v>
      </c>
      <c r="E6738">
        <v>13925</v>
      </c>
      <c r="F6738" s="11">
        <v>0</v>
      </c>
    </row>
    <row r="6739" spans="1:6" x14ac:dyDescent="0.35">
      <c r="A6739" t="s">
        <v>2857</v>
      </c>
      <c r="B6739" t="s">
        <v>2866</v>
      </c>
      <c r="C6739" t="s">
        <v>1548</v>
      </c>
      <c r="D6739" t="s">
        <v>2904</v>
      </c>
      <c r="E6739">
        <v>0</v>
      </c>
      <c r="F6739" s="11">
        <v>0</v>
      </c>
    </row>
    <row r="6740" spans="1:6" x14ac:dyDescent="0.35">
      <c r="A6740" t="s">
        <v>2857</v>
      </c>
      <c r="B6740" t="s">
        <v>2866</v>
      </c>
      <c r="C6740" t="s">
        <v>1548</v>
      </c>
      <c r="D6740" t="s">
        <v>2905</v>
      </c>
      <c r="E6740">
        <v>0</v>
      </c>
      <c r="F6740" s="11">
        <v>0</v>
      </c>
    </row>
    <row r="6741" spans="1:6" x14ac:dyDescent="0.35">
      <c r="A6741" t="s">
        <v>2857</v>
      </c>
      <c r="B6741" t="s">
        <v>2866</v>
      </c>
      <c r="C6741" t="s">
        <v>1548</v>
      </c>
      <c r="D6741" t="s">
        <v>2906</v>
      </c>
      <c r="E6741">
        <v>0</v>
      </c>
      <c r="F6741" s="11">
        <v>0</v>
      </c>
    </row>
    <row r="6742" spans="1:6" x14ac:dyDescent="0.35">
      <c r="A6742" t="s">
        <v>2857</v>
      </c>
      <c r="B6742" t="s">
        <v>2866</v>
      </c>
      <c r="C6742" t="s">
        <v>1548</v>
      </c>
      <c r="D6742" t="s">
        <v>2907</v>
      </c>
      <c r="E6742">
        <v>12660</v>
      </c>
      <c r="F6742" s="11">
        <v>0</v>
      </c>
    </row>
    <row r="6743" spans="1:6" x14ac:dyDescent="0.35">
      <c r="A6743" t="s">
        <v>2857</v>
      </c>
      <c r="B6743" t="s">
        <v>2866</v>
      </c>
      <c r="C6743" t="s">
        <v>1548</v>
      </c>
      <c r="D6743" t="s">
        <v>2908</v>
      </c>
      <c r="E6743">
        <v>0</v>
      </c>
      <c r="F6743" s="11">
        <v>0</v>
      </c>
    </row>
    <row r="6744" spans="1:6" x14ac:dyDescent="0.35">
      <c r="A6744" t="s">
        <v>2857</v>
      </c>
      <c r="B6744" t="s">
        <v>2866</v>
      </c>
      <c r="C6744" t="s">
        <v>1548</v>
      </c>
      <c r="D6744" t="s">
        <v>2909</v>
      </c>
      <c r="E6744">
        <v>0</v>
      </c>
      <c r="F6744" s="11">
        <v>0</v>
      </c>
    </row>
    <row r="6745" spans="1:6" x14ac:dyDescent="0.35">
      <c r="A6745" t="s">
        <v>2857</v>
      </c>
      <c r="B6745" t="s">
        <v>2866</v>
      </c>
      <c r="C6745" t="s">
        <v>1548</v>
      </c>
      <c r="D6745" t="s">
        <v>2910</v>
      </c>
      <c r="E6745">
        <v>0</v>
      </c>
      <c r="F6745" s="11">
        <v>0</v>
      </c>
    </row>
    <row r="6746" spans="1:6" x14ac:dyDescent="0.35">
      <c r="A6746" t="s">
        <v>2857</v>
      </c>
      <c r="B6746" t="s">
        <v>2866</v>
      </c>
      <c r="C6746" t="s">
        <v>1548</v>
      </c>
      <c r="D6746" t="s">
        <v>2911</v>
      </c>
      <c r="E6746">
        <v>584984</v>
      </c>
      <c r="F6746" s="11">
        <v>0</v>
      </c>
    </row>
    <row r="6747" spans="1:6" x14ac:dyDescent="0.35">
      <c r="A6747" t="s">
        <v>2857</v>
      </c>
      <c r="B6747" t="s">
        <v>2866</v>
      </c>
      <c r="C6747" t="s">
        <v>1548</v>
      </c>
      <c r="D6747" t="s">
        <v>2912</v>
      </c>
      <c r="E6747">
        <v>0</v>
      </c>
      <c r="F6747" s="11">
        <v>0</v>
      </c>
    </row>
    <row r="6748" spans="1:6" x14ac:dyDescent="0.35">
      <c r="A6748" t="s">
        <v>2857</v>
      </c>
      <c r="B6748" t="s">
        <v>2866</v>
      </c>
      <c r="C6748" t="s">
        <v>1548</v>
      </c>
      <c r="D6748" t="s">
        <v>2913</v>
      </c>
      <c r="E6748">
        <v>0</v>
      </c>
      <c r="F6748" s="11">
        <v>0</v>
      </c>
    </row>
    <row r="6749" spans="1:6" x14ac:dyDescent="0.35">
      <c r="A6749" t="s">
        <v>2857</v>
      </c>
      <c r="B6749" t="s">
        <v>2866</v>
      </c>
      <c r="C6749" t="s">
        <v>1548</v>
      </c>
      <c r="D6749" t="s">
        <v>2914</v>
      </c>
      <c r="E6749">
        <v>0</v>
      </c>
      <c r="F6749" s="11">
        <v>0</v>
      </c>
    </row>
    <row r="6750" spans="1:6" x14ac:dyDescent="0.35">
      <c r="A6750" t="s">
        <v>2857</v>
      </c>
      <c r="B6750" t="s">
        <v>2866</v>
      </c>
      <c r="C6750" t="s">
        <v>1548</v>
      </c>
      <c r="D6750" t="s">
        <v>2915</v>
      </c>
      <c r="E6750">
        <v>1807</v>
      </c>
      <c r="F6750" s="11">
        <v>0</v>
      </c>
    </row>
    <row r="6751" spans="1:6" x14ac:dyDescent="0.35">
      <c r="A6751" t="s">
        <v>2857</v>
      </c>
      <c r="B6751" t="s">
        <v>2866</v>
      </c>
      <c r="C6751" t="s">
        <v>1548</v>
      </c>
      <c r="D6751" t="s">
        <v>2916</v>
      </c>
      <c r="E6751">
        <v>19833</v>
      </c>
      <c r="F6751" s="11">
        <v>0</v>
      </c>
    </row>
    <row r="6752" spans="1:6" x14ac:dyDescent="0.35">
      <c r="A6752" t="s">
        <v>2857</v>
      </c>
      <c r="B6752" t="s">
        <v>2866</v>
      </c>
      <c r="C6752" t="s">
        <v>1548</v>
      </c>
      <c r="D6752" t="s">
        <v>2917</v>
      </c>
      <c r="E6752">
        <v>0</v>
      </c>
      <c r="F6752" s="11">
        <v>0</v>
      </c>
    </row>
    <row r="6753" spans="1:6" x14ac:dyDescent="0.35">
      <c r="A6753" t="s">
        <v>2857</v>
      </c>
      <c r="B6753" t="s">
        <v>2862</v>
      </c>
      <c r="C6753" t="s">
        <v>1493</v>
      </c>
      <c r="D6753" t="s">
        <v>2875</v>
      </c>
      <c r="E6753">
        <v>117360</v>
      </c>
      <c r="F6753" s="11">
        <v>1</v>
      </c>
    </row>
    <row r="6754" spans="1:6" x14ac:dyDescent="0.35">
      <c r="A6754" t="s">
        <v>2857</v>
      </c>
      <c r="B6754" t="s">
        <v>2862</v>
      </c>
      <c r="C6754" t="s">
        <v>1493</v>
      </c>
      <c r="D6754" t="s">
        <v>2876</v>
      </c>
      <c r="E6754">
        <v>61868</v>
      </c>
      <c r="F6754" s="11">
        <v>1</v>
      </c>
    </row>
    <row r="6755" spans="1:6" x14ac:dyDescent="0.35">
      <c r="A6755" t="s">
        <v>2857</v>
      </c>
      <c r="B6755" t="s">
        <v>2862</v>
      </c>
      <c r="C6755" t="s">
        <v>1493</v>
      </c>
      <c r="D6755" t="s">
        <v>2877</v>
      </c>
      <c r="E6755">
        <v>17155</v>
      </c>
      <c r="F6755" s="11">
        <v>1</v>
      </c>
    </row>
    <row r="6756" spans="1:6" x14ac:dyDescent="0.35">
      <c r="A6756" t="s">
        <v>2857</v>
      </c>
      <c r="B6756" t="s">
        <v>2862</v>
      </c>
      <c r="C6756" t="s">
        <v>1493</v>
      </c>
      <c r="D6756" t="s">
        <v>2878</v>
      </c>
      <c r="E6756">
        <v>100824</v>
      </c>
      <c r="F6756" s="11">
        <v>1</v>
      </c>
    </row>
    <row r="6757" spans="1:6" x14ac:dyDescent="0.35">
      <c r="A6757" t="s">
        <v>2857</v>
      </c>
      <c r="B6757" t="s">
        <v>2862</v>
      </c>
      <c r="C6757" t="s">
        <v>1493</v>
      </c>
      <c r="D6757" t="s">
        <v>2879</v>
      </c>
      <c r="E6757">
        <v>17078</v>
      </c>
      <c r="F6757" s="11">
        <v>1</v>
      </c>
    </row>
    <row r="6758" spans="1:6" x14ac:dyDescent="0.35">
      <c r="A6758" t="s">
        <v>2857</v>
      </c>
      <c r="B6758" t="s">
        <v>2862</v>
      </c>
      <c r="C6758" t="s">
        <v>1493</v>
      </c>
      <c r="D6758" t="s">
        <v>2880</v>
      </c>
      <c r="E6758">
        <v>7627</v>
      </c>
      <c r="F6758" s="11">
        <v>1</v>
      </c>
    </row>
    <row r="6759" spans="1:6" x14ac:dyDescent="0.35">
      <c r="A6759" t="s">
        <v>2857</v>
      </c>
      <c r="B6759" t="s">
        <v>2862</v>
      </c>
      <c r="C6759" t="s">
        <v>1493</v>
      </c>
      <c r="D6759" t="s">
        <v>2881</v>
      </c>
      <c r="E6759">
        <v>178</v>
      </c>
      <c r="F6759" s="11">
        <v>1</v>
      </c>
    </row>
    <row r="6760" spans="1:6" x14ac:dyDescent="0.35">
      <c r="A6760" t="s">
        <v>2857</v>
      </c>
      <c r="B6760" t="s">
        <v>2862</v>
      </c>
      <c r="C6760" t="s">
        <v>1493</v>
      </c>
      <c r="D6760" t="s">
        <v>2882</v>
      </c>
      <c r="E6760">
        <v>9273</v>
      </c>
      <c r="F6760" s="11">
        <v>1</v>
      </c>
    </row>
    <row r="6761" spans="1:6" x14ac:dyDescent="0.35">
      <c r="A6761" t="s">
        <v>2857</v>
      </c>
      <c r="B6761" t="s">
        <v>2862</v>
      </c>
      <c r="C6761" t="s">
        <v>1493</v>
      </c>
      <c r="D6761" t="s">
        <v>2883</v>
      </c>
      <c r="E6761">
        <v>2</v>
      </c>
      <c r="F6761" s="11">
        <v>0</v>
      </c>
    </row>
    <row r="6762" spans="1:6" x14ac:dyDescent="0.35">
      <c r="A6762" t="s">
        <v>2857</v>
      </c>
      <c r="B6762" t="s">
        <v>2862</v>
      </c>
      <c r="C6762" t="s">
        <v>1493</v>
      </c>
      <c r="D6762" t="s">
        <v>2884</v>
      </c>
      <c r="E6762">
        <v>1</v>
      </c>
      <c r="F6762" s="11">
        <v>0</v>
      </c>
    </row>
    <row r="6763" spans="1:6" x14ac:dyDescent="0.35">
      <c r="A6763" t="s">
        <v>2857</v>
      </c>
      <c r="B6763" t="s">
        <v>2862</v>
      </c>
      <c r="C6763" t="s">
        <v>1493</v>
      </c>
      <c r="D6763" t="s">
        <v>2885</v>
      </c>
      <c r="E6763">
        <v>0</v>
      </c>
      <c r="F6763" s="11">
        <v>0</v>
      </c>
    </row>
    <row r="6764" spans="1:6" x14ac:dyDescent="0.35">
      <c r="A6764" t="s">
        <v>2857</v>
      </c>
      <c r="B6764" t="s">
        <v>2862</v>
      </c>
      <c r="C6764" t="s">
        <v>1493</v>
      </c>
      <c r="D6764" t="s">
        <v>2886</v>
      </c>
      <c r="E6764">
        <v>1</v>
      </c>
      <c r="F6764" s="11">
        <v>0</v>
      </c>
    </row>
    <row r="6765" spans="1:6" x14ac:dyDescent="0.35">
      <c r="A6765" t="s">
        <v>2857</v>
      </c>
      <c r="B6765" t="s">
        <v>2862</v>
      </c>
      <c r="C6765" t="s">
        <v>1493</v>
      </c>
      <c r="D6765" t="s">
        <v>2887</v>
      </c>
      <c r="E6765">
        <v>224219</v>
      </c>
      <c r="F6765" s="11">
        <v>1</v>
      </c>
    </row>
    <row r="6766" spans="1:6" x14ac:dyDescent="0.35">
      <c r="A6766" t="s">
        <v>2857</v>
      </c>
      <c r="B6766" t="s">
        <v>2862</v>
      </c>
      <c r="C6766" t="s">
        <v>1493</v>
      </c>
      <c r="D6766" t="s">
        <v>2888</v>
      </c>
      <c r="E6766">
        <v>100620</v>
      </c>
      <c r="F6766" s="11">
        <v>1</v>
      </c>
    </row>
    <row r="6767" spans="1:6" x14ac:dyDescent="0.35">
      <c r="A6767" t="s">
        <v>2857</v>
      </c>
      <c r="B6767" t="s">
        <v>2862</v>
      </c>
      <c r="C6767" t="s">
        <v>1493</v>
      </c>
      <c r="D6767" t="s">
        <v>2889</v>
      </c>
      <c r="E6767">
        <v>1598</v>
      </c>
      <c r="F6767" s="11">
        <v>1</v>
      </c>
    </row>
    <row r="6768" spans="1:6" x14ac:dyDescent="0.35">
      <c r="A6768" t="s">
        <v>2857</v>
      </c>
      <c r="B6768" t="s">
        <v>2862</v>
      </c>
      <c r="C6768" t="s">
        <v>1493</v>
      </c>
      <c r="D6768" t="s">
        <v>2890</v>
      </c>
      <c r="E6768">
        <v>122001</v>
      </c>
      <c r="F6768" s="11">
        <v>1</v>
      </c>
    </row>
    <row r="6769" spans="1:6" x14ac:dyDescent="0.35">
      <c r="A6769" t="s">
        <v>2857</v>
      </c>
      <c r="B6769" t="s">
        <v>2862</v>
      </c>
      <c r="C6769" t="s">
        <v>1493</v>
      </c>
      <c r="D6769" t="s">
        <v>2891</v>
      </c>
      <c r="E6769">
        <v>278</v>
      </c>
      <c r="F6769" s="11">
        <v>0</v>
      </c>
    </row>
    <row r="6770" spans="1:6" x14ac:dyDescent="0.35">
      <c r="A6770" t="s">
        <v>2857</v>
      </c>
      <c r="B6770" t="s">
        <v>2862</v>
      </c>
      <c r="C6770" t="s">
        <v>1493</v>
      </c>
      <c r="D6770" t="s">
        <v>2892</v>
      </c>
      <c r="E6770">
        <v>268</v>
      </c>
      <c r="F6770" s="11">
        <v>0</v>
      </c>
    </row>
    <row r="6771" spans="1:6" x14ac:dyDescent="0.35">
      <c r="A6771" t="s">
        <v>2857</v>
      </c>
      <c r="B6771" t="s">
        <v>2862</v>
      </c>
      <c r="C6771" t="s">
        <v>1493</v>
      </c>
      <c r="D6771" t="s">
        <v>2893</v>
      </c>
      <c r="E6771">
        <v>0</v>
      </c>
      <c r="F6771" s="11">
        <v>0</v>
      </c>
    </row>
    <row r="6772" spans="1:6" x14ac:dyDescent="0.35">
      <c r="A6772" t="s">
        <v>2857</v>
      </c>
      <c r="B6772" t="s">
        <v>2862</v>
      </c>
      <c r="C6772" t="s">
        <v>1493</v>
      </c>
      <c r="D6772" t="s">
        <v>2894</v>
      </c>
      <c r="E6772">
        <v>10</v>
      </c>
      <c r="F6772" s="11">
        <v>0</v>
      </c>
    </row>
    <row r="6773" spans="1:6" x14ac:dyDescent="0.35">
      <c r="A6773" t="s">
        <v>2857</v>
      </c>
      <c r="B6773" t="s">
        <v>2862</v>
      </c>
      <c r="C6773" t="s">
        <v>1493</v>
      </c>
      <c r="D6773" t="s">
        <v>2895</v>
      </c>
      <c r="E6773">
        <v>2909043</v>
      </c>
      <c r="F6773" s="11">
        <v>1</v>
      </c>
    </row>
    <row r="6774" spans="1:6" x14ac:dyDescent="0.35">
      <c r="A6774" t="s">
        <v>2857</v>
      </c>
      <c r="B6774" t="s">
        <v>2862</v>
      </c>
      <c r="C6774" t="s">
        <v>1493</v>
      </c>
      <c r="D6774" t="s">
        <v>2896</v>
      </c>
      <c r="E6774">
        <v>1625967</v>
      </c>
      <c r="F6774" s="11">
        <v>1</v>
      </c>
    </row>
    <row r="6775" spans="1:6" x14ac:dyDescent="0.35">
      <c r="A6775" t="s">
        <v>2857</v>
      </c>
      <c r="B6775" t="s">
        <v>2862</v>
      </c>
      <c r="C6775" t="s">
        <v>1493</v>
      </c>
      <c r="D6775" t="s">
        <v>2897</v>
      </c>
      <c r="E6775">
        <v>28990</v>
      </c>
      <c r="F6775" s="11">
        <v>1</v>
      </c>
    </row>
    <row r="6776" spans="1:6" x14ac:dyDescent="0.35">
      <c r="A6776" t="s">
        <v>2857</v>
      </c>
      <c r="B6776" t="s">
        <v>2862</v>
      </c>
      <c r="C6776" t="s">
        <v>1493</v>
      </c>
      <c r="D6776" t="s">
        <v>2898</v>
      </c>
      <c r="E6776">
        <v>1254086</v>
      </c>
      <c r="F6776" s="11">
        <v>1</v>
      </c>
    </row>
    <row r="6777" spans="1:6" x14ac:dyDescent="0.35">
      <c r="A6777" t="s">
        <v>2857</v>
      </c>
      <c r="B6777" t="s">
        <v>2862</v>
      </c>
      <c r="C6777" t="s">
        <v>1493</v>
      </c>
      <c r="D6777" t="s">
        <v>2899</v>
      </c>
      <c r="E6777">
        <v>33331</v>
      </c>
      <c r="F6777" s="11">
        <v>1</v>
      </c>
    </row>
    <row r="6778" spans="1:6" x14ac:dyDescent="0.35">
      <c r="A6778" t="s">
        <v>2857</v>
      </c>
      <c r="B6778" t="s">
        <v>2862</v>
      </c>
      <c r="C6778" t="s">
        <v>1493</v>
      </c>
      <c r="D6778" t="s">
        <v>2900</v>
      </c>
      <c r="E6778">
        <v>2655</v>
      </c>
      <c r="F6778" s="11">
        <v>1</v>
      </c>
    </row>
    <row r="6779" spans="1:6" x14ac:dyDescent="0.35">
      <c r="A6779" t="s">
        <v>2857</v>
      </c>
      <c r="B6779" t="s">
        <v>2862</v>
      </c>
      <c r="C6779" t="s">
        <v>1493</v>
      </c>
      <c r="D6779" t="s">
        <v>2901</v>
      </c>
      <c r="E6779">
        <v>15</v>
      </c>
      <c r="F6779" s="11">
        <v>1</v>
      </c>
    </row>
    <row r="6780" spans="1:6" x14ac:dyDescent="0.35">
      <c r="A6780" t="s">
        <v>2857</v>
      </c>
      <c r="B6780" t="s">
        <v>2862</v>
      </c>
      <c r="C6780" t="s">
        <v>1493</v>
      </c>
      <c r="D6780" t="s">
        <v>2902</v>
      </c>
      <c r="E6780">
        <v>31111</v>
      </c>
      <c r="F6780" s="11">
        <v>1</v>
      </c>
    </row>
    <row r="6781" spans="1:6" x14ac:dyDescent="0.35">
      <c r="A6781" t="s">
        <v>2857</v>
      </c>
      <c r="B6781" t="s">
        <v>2862</v>
      </c>
      <c r="C6781" t="s">
        <v>1493</v>
      </c>
      <c r="D6781" t="s">
        <v>2903</v>
      </c>
      <c r="E6781">
        <v>530970</v>
      </c>
      <c r="F6781" s="11">
        <v>1</v>
      </c>
    </row>
    <row r="6782" spans="1:6" x14ac:dyDescent="0.35">
      <c r="A6782" t="s">
        <v>2857</v>
      </c>
      <c r="B6782" t="s">
        <v>2862</v>
      </c>
      <c r="C6782" t="s">
        <v>1493</v>
      </c>
      <c r="D6782" t="s">
        <v>2904</v>
      </c>
      <c r="E6782">
        <v>46658</v>
      </c>
      <c r="F6782" s="11">
        <v>0</v>
      </c>
    </row>
    <row r="6783" spans="1:6" x14ac:dyDescent="0.35">
      <c r="A6783" t="s">
        <v>2857</v>
      </c>
      <c r="B6783" t="s">
        <v>2862</v>
      </c>
      <c r="C6783" t="s">
        <v>1493</v>
      </c>
      <c r="D6783" t="s">
        <v>2905</v>
      </c>
      <c r="E6783">
        <v>29084</v>
      </c>
      <c r="F6783" s="11">
        <v>0</v>
      </c>
    </row>
    <row r="6784" spans="1:6" x14ac:dyDescent="0.35">
      <c r="A6784" t="s">
        <v>2857</v>
      </c>
      <c r="B6784" t="s">
        <v>2862</v>
      </c>
      <c r="C6784" t="s">
        <v>1493</v>
      </c>
      <c r="D6784" t="s">
        <v>2906</v>
      </c>
      <c r="E6784">
        <v>455228</v>
      </c>
      <c r="F6784" s="11">
        <v>0</v>
      </c>
    </row>
    <row r="6785" spans="1:6" x14ac:dyDescent="0.35">
      <c r="A6785" t="s">
        <v>2857</v>
      </c>
      <c r="B6785" t="s">
        <v>2862</v>
      </c>
      <c r="C6785" t="s">
        <v>1493</v>
      </c>
      <c r="D6785" t="s">
        <v>2907</v>
      </c>
      <c r="E6785">
        <v>426578</v>
      </c>
      <c r="F6785" s="11">
        <v>1</v>
      </c>
    </row>
    <row r="6786" spans="1:6" x14ac:dyDescent="0.35">
      <c r="A6786" t="s">
        <v>2857</v>
      </c>
      <c r="B6786" t="s">
        <v>2862</v>
      </c>
      <c r="C6786" t="s">
        <v>1493</v>
      </c>
      <c r="D6786" t="s">
        <v>2908</v>
      </c>
      <c r="E6786">
        <v>38211</v>
      </c>
      <c r="F6786" s="11">
        <v>0</v>
      </c>
    </row>
    <row r="6787" spans="1:6" x14ac:dyDescent="0.35">
      <c r="A6787" t="s">
        <v>2857</v>
      </c>
      <c r="B6787" t="s">
        <v>2862</v>
      </c>
      <c r="C6787" t="s">
        <v>1493</v>
      </c>
      <c r="D6787" t="s">
        <v>2909</v>
      </c>
      <c r="E6787">
        <v>18966</v>
      </c>
      <c r="F6787" s="11">
        <v>0</v>
      </c>
    </row>
    <row r="6788" spans="1:6" x14ac:dyDescent="0.35">
      <c r="A6788" t="s">
        <v>2857</v>
      </c>
      <c r="B6788" t="s">
        <v>2862</v>
      </c>
      <c r="C6788" t="s">
        <v>1493</v>
      </c>
      <c r="D6788" t="s">
        <v>2910</v>
      </c>
      <c r="E6788">
        <v>369401</v>
      </c>
      <c r="F6788" s="11">
        <v>0</v>
      </c>
    </row>
    <row r="6789" spans="1:6" x14ac:dyDescent="0.35">
      <c r="A6789" t="s">
        <v>2857</v>
      </c>
      <c r="B6789" t="s">
        <v>2862</v>
      </c>
      <c r="C6789" t="s">
        <v>1493</v>
      </c>
      <c r="D6789" t="s">
        <v>2911</v>
      </c>
      <c r="E6789">
        <v>1690569</v>
      </c>
      <c r="F6789" s="11">
        <v>1</v>
      </c>
    </row>
    <row r="6790" spans="1:6" x14ac:dyDescent="0.35">
      <c r="A6790" t="s">
        <v>2857</v>
      </c>
      <c r="B6790" t="s">
        <v>2862</v>
      </c>
      <c r="C6790" t="s">
        <v>1493</v>
      </c>
      <c r="D6790" t="s">
        <v>2912</v>
      </c>
      <c r="E6790">
        <v>1479345</v>
      </c>
      <c r="F6790" s="11">
        <v>1</v>
      </c>
    </row>
    <row r="6791" spans="1:6" x14ac:dyDescent="0.35">
      <c r="A6791" t="s">
        <v>2857</v>
      </c>
      <c r="B6791" t="s">
        <v>2862</v>
      </c>
      <c r="C6791" t="s">
        <v>1493</v>
      </c>
      <c r="D6791" t="s">
        <v>2913</v>
      </c>
      <c r="E6791">
        <v>0</v>
      </c>
      <c r="F6791" s="11">
        <v>0</v>
      </c>
    </row>
    <row r="6792" spans="1:6" x14ac:dyDescent="0.35">
      <c r="A6792" t="s">
        <v>2857</v>
      </c>
      <c r="B6792" t="s">
        <v>2862</v>
      </c>
      <c r="C6792" t="s">
        <v>1493</v>
      </c>
      <c r="D6792" t="s">
        <v>2914</v>
      </c>
      <c r="E6792">
        <v>29405</v>
      </c>
      <c r="F6792" s="11">
        <v>1</v>
      </c>
    </row>
    <row r="6793" spans="1:6" x14ac:dyDescent="0.35">
      <c r="A6793" t="s">
        <v>2857</v>
      </c>
      <c r="B6793" t="s">
        <v>2862</v>
      </c>
      <c r="C6793" t="s">
        <v>1493</v>
      </c>
      <c r="D6793" t="s">
        <v>2915</v>
      </c>
      <c r="E6793">
        <v>0</v>
      </c>
      <c r="F6793" s="11">
        <v>0</v>
      </c>
    </row>
    <row r="6794" spans="1:6" x14ac:dyDescent="0.35">
      <c r="A6794" t="s">
        <v>2857</v>
      </c>
      <c r="B6794" t="s">
        <v>2862</v>
      </c>
      <c r="C6794" t="s">
        <v>1493</v>
      </c>
      <c r="D6794" t="s">
        <v>2916</v>
      </c>
      <c r="E6794">
        <v>162353</v>
      </c>
      <c r="F6794" s="11">
        <v>1</v>
      </c>
    </row>
    <row r="6795" spans="1:6" x14ac:dyDescent="0.35">
      <c r="A6795" t="s">
        <v>2857</v>
      </c>
      <c r="B6795" t="s">
        <v>2862</v>
      </c>
      <c r="C6795" t="s">
        <v>1493</v>
      </c>
      <c r="D6795" t="s">
        <v>2917</v>
      </c>
      <c r="E6795">
        <v>108056</v>
      </c>
      <c r="F6795" s="11">
        <v>1</v>
      </c>
    </row>
    <row r="6796" spans="1:6" x14ac:dyDescent="0.35">
      <c r="A6796" t="s">
        <v>2857</v>
      </c>
      <c r="B6796" t="s">
        <v>2865</v>
      </c>
      <c r="C6796" t="s">
        <v>1420</v>
      </c>
      <c r="D6796" t="s">
        <v>2875</v>
      </c>
      <c r="E6796">
        <v>26790</v>
      </c>
      <c r="F6796" s="11">
        <v>0</v>
      </c>
    </row>
    <row r="6797" spans="1:6" x14ac:dyDescent="0.35">
      <c r="A6797" t="s">
        <v>2857</v>
      </c>
      <c r="B6797" t="s">
        <v>2865</v>
      </c>
      <c r="C6797" t="s">
        <v>1420</v>
      </c>
      <c r="D6797" t="s">
        <v>2876</v>
      </c>
      <c r="E6797">
        <v>0</v>
      </c>
      <c r="F6797" s="11">
        <v>0</v>
      </c>
    </row>
    <row r="6798" spans="1:6" x14ac:dyDescent="0.35">
      <c r="A6798" t="s">
        <v>2857</v>
      </c>
      <c r="B6798" t="s">
        <v>2865</v>
      </c>
      <c r="C6798" t="s">
        <v>1420</v>
      </c>
      <c r="D6798" t="s">
        <v>2877</v>
      </c>
      <c r="E6798">
        <v>0</v>
      </c>
      <c r="F6798" s="11">
        <v>0</v>
      </c>
    </row>
    <row r="6799" spans="1:6" x14ac:dyDescent="0.35">
      <c r="A6799" t="s">
        <v>2857</v>
      </c>
      <c r="B6799" t="s">
        <v>2865</v>
      </c>
      <c r="C6799" t="s">
        <v>1420</v>
      </c>
      <c r="D6799" t="s">
        <v>2878</v>
      </c>
      <c r="E6799">
        <v>0</v>
      </c>
      <c r="F6799" s="11">
        <v>0</v>
      </c>
    </row>
    <row r="6800" spans="1:6" x14ac:dyDescent="0.35">
      <c r="A6800" t="s">
        <v>2857</v>
      </c>
      <c r="B6800" t="s">
        <v>2865</v>
      </c>
      <c r="C6800" t="s">
        <v>1420</v>
      </c>
      <c r="D6800" t="s">
        <v>2879</v>
      </c>
      <c r="E6800">
        <v>3508</v>
      </c>
      <c r="F6800" s="11">
        <v>1</v>
      </c>
    </row>
    <row r="6801" spans="1:6" x14ac:dyDescent="0.35">
      <c r="A6801" t="s">
        <v>2857</v>
      </c>
      <c r="B6801" t="s">
        <v>2865</v>
      </c>
      <c r="C6801" t="s">
        <v>1420</v>
      </c>
      <c r="D6801" t="s">
        <v>2880</v>
      </c>
      <c r="E6801">
        <v>1726</v>
      </c>
      <c r="F6801" s="11">
        <v>1</v>
      </c>
    </row>
    <row r="6802" spans="1:6" x14ac:dyDescent="0.35">
      <c r="A6802" t="s">
        <v>2857</v>
      </c>
      <c r="B6802" t="s">
        <v>2865</v>
      </c>
      <c r="C6802" t="s">
        <v>1420</v>
      </c>
      <c r="D6802" t="s">
        <v>2881</v>
      </c>
      <c r="E6802">
        <v>19</v>
      </c>
      <c r="F6802" s="11">
        <v>1</v>
      </c>
    </row>
    <row r="6803" spans="1:6" x14ac:dyDescent="0.35">
      <c r="A6803" t="s">
        <v>2857</v>
      </c>
      <c r="B6803" t="s">
        <v>2865</v>
      </c>
      <c r="C6803" t="s">
        <v>1420</v>
      </c>
      <c r="D6803" t="s">
        <v>2882</v>
      </c>
      <c r="E6803">
        <v>1534</v>
      </c>
      <c r="F6803" s="11">
        <v>1</v>
      </c>
    </row>
    <row r="6804" spans="1:6" x14ac:dyDescent="0.35">
      <c r="A6804" t="s">
        <v>2857</v>
      </c>
      <c r="B6804" t="s">
        <v>2865</v>
      </c>
      <c r="C6804" t="s">
        <v>1420</v>
      </c>
      <c r="D6804" t="s">
        <v>2883</v>
      </c>
      <c r="E6804">
        <v>12</v>
      </c>
      <c r="F6804" s="11">
        <v>1</v>
      </c>
    </row>
    <row r="6805" spans="1:6" x14ac:dyDescent="0.35">
      <c r="A6805" t="s">
        <v>2857</v>
      </c>
      <c r="B6805" t="s">
        <v>2865</v>
      </c>
      <c r="C6805" t="s">
        <v>1420</v>
      </c>
      <c r="D6805" t="s">
        <v>2884</v>
      </c>
      <c r="E6805">
        <v>0</v>
      </c>
      <c r="F6805" s="11">
        <v>0</v>
      </c>
    </row>
    <row r="6806" spans="1:6" x14ac:dyDescent="0.35">
      <c r="A6806" t="s">
        <v>2857</v>
      </c>
      <c r="B6806" t="s">
        <v>2865</v>
      </c>
      <c r="C6806" t="s">
        <v>1420</v>
      </c>
      <c r="D6806" t="s">
        <v>2885</v>
      </c>
      <c r="E6806">
        <v>0</v>
      </c>
      <c r="F6806" s="11">
        <v>0</v>
      </c>
    </row>
    <row r="6807" spans="1:6" x14ac:dyDescent="0.35">
      <c r="A6807" t="s">
        <v>2857</v>
      </c>
      <c r="B6807" t="s">
        <v>2865</v>
      </c>
      <c r="C6807" t="s">
        <v>1420</v>
      </c>
      <c r="D6807" t="s">
        <v>2886</v>
      </c>
      <c r="E6807">
        <v>12</v>
      </c>
      <c r="F6807" s="11">
        <v>0</v>
      </c>
    </row>
    <row r="6808" spans="1:6" x14ac:dyDescent="0.35">
      <c r="A6808" t="s">
        <v>2857</v>
      </c>
      <c r="B6808" t="s">
        <v>2865</v>
      </c>
      <c r="C6808" t="s">
        <v>1420</v>
      </c>
      <c r="D6808" t="s">
        <v>2887</v>
      </c>
      <c r="E6808">
        <v>41970</v>
      </c>
      <c r="F6808" s="11">
        <v>1</v>
      </c>
    </row>
    <row r="6809" spans="1:6" x14ac:dyDescent="0.35">
      <c r="A6809" t="s">
        <v>2857</v>
      </c>
      <c r="B6809" t="s">
        <v>2865</v>
      </c>
      <c r="C6809" t="s">
        <v>1420</v>
      </c>
      <c r="D6809" t="s">
        <v>2888</v>
      </c>
      <c r="E6809">
        <v>0</v>
      </c>
      <c r="F6809" s="11">
        <v>1</v>
      </c>
    </row>
    <row r="6810" spans="1:6" x14ac:dyDescent="0.35">
      <c r="A6810" t="s">
        <v>2857</v>
      </c>
      <c r="B6810" t="s">
        <v>2865</v>
      </c>
      <c r="C6810" t="s">
        <v>1420</v>
      </c>
      <c r="D6810" t="s">
        <v>2889</v>
      </c>
      <c r="E6810">
        <v>0</v>
      </c>
      <c r="F6810" s="11">
        <v>1</v>
      </c>
    </row>
    <row r="6811" spans="1:6" x14ac:dyDescent="0.35">
      <c r="A6811" t="s">
        <v>2857</v>
      </c>
      <c r="B6811" t="s">
        <v>2865</v>
      </c>
      <c r="C6811" t="s">
        <v>1420</v>
      </c>
      <c r="D6811" t="s">
        <v>2890</v>
      </c>
      <c r="E6811">
        <v>24287</v>
      </c>
      <c r="F6811" s="11">
        <v>1</v>
      </c>
    </row>
    <row r="6812" spans="1:6" x14ac:dyDescent="0.35">
      <c r="A6812" t="s">
        <v>2857</v>
      </c>
      <c r="B6812" t="s">
        <v>2865</v>
      </c>
      <c r="C6812" t="s">
        <v>1420</v>
      </c>
      <c r="D6812" t="s">
        <v>2891</v>
      </c>
      <c r="E6812">
        <v>206</v>
      </c>
      <c r="F6812" s="11">
        <v>1</v>
      </c>
    </row>
    <row r="6813" spans="1:6" x14ac:dyDescent="0.35">
      <c r="A6813" t="s">
        <v>2857</v>
      </c>
      <c r="B6813" t="s">
        <v>2865</v>
      </c>
      <c r="C6813" t="s">
        <v>1420</v>
      </c>
      <c r="D6813" t="s">
        <v>2892</v>
      </c>
      <c r="E6813">
        <v>0</v>
      </c>
      <c r="F6813" s="11">
        <v>0</v>
      </c>
    </row>
    <row r="6814" spans="1:6" x14ac:dyDescent="0.35">
      <c r="A6814" t="s">
        <v>2857</v>
      </c>
      <c r="B6814" t="s">
        <v>2865</v>
      </c>
      <c r="C6814" t="s">
        <v>1420</v>
      </c>
      <c r="D6814" t="s">
        <v>2893</v>
      </c>
      <c r="E6814">
        <v>0</v>
      </c>
      <c r="F6814" s="11">
        <v>0</v>
      </c>
    </row>
    <row r="6815" spans="1:6" x14ac:dyDescent="0.35">
      <c r="A6815" t="s">
        <v>2857</v>
      </c>
      <c r="B6815" t="s">
        <v>2865</v>
      </c>
      <c r="C6815" t="s">
        <v>1420</v>
      </c>
      <c r="D6815" t="s">
        <v>2894</v>
      </c>
      <c r="E6815">
        <v>206</v>
      </c>
      <c r="F6815" s="11">
        <v>0</v>
      </c>
    </row>
    <row r="6816" spans="1:6" x14ac:dyDescent="0.35">
      <c r="A6816" t="s">
        <v>2857</v>
      </c>
      <c r="B6816" t="s">
        <v>2865</v>
      </c>
      <c r="C6816" t="s">
        <v>1420</v>
      </c>
      <c r="D6816" t="s">
        <v>2895</v>
      </c>
      <c r="E6816">
        <v>340155</v>
      </c>
      <c r="F6816" s="11">
        <v>1</v>
      </c>
    </row>
    <row r="6817" spans="1:6" x14ac:dyDescent="0.35">
      <c r="A6817" t="s">
        <v>2857</v>
      </c>
      <c r="B6817" t="s">
        <v>2865</v>
      </c>
      <c r="C6817" t="s">
        <v>1420</v>
      </c>
      <c r="D6817" t="s">
        <v>2896</v>
      </c>
      <c r="E6817">
        <v>179118</v>
      </c>
      <c r="F6817" s="11">
        <v>1</v>
      </c>
    </row>
    <row r="6818" spans="1:6" x14ac:dyDescent="0.35">
      <c r="A6818" t="s">
        <v>2857</v>
      </c>
      <c r="B6818" t="s">
        <v>2865</v>
      </c>
      <c r="C6818" t="s">
        <v>1420</v>
      </c>
      <c r="D6818" t="s">
        <v>2897</v>
      </c>
      <c r="E6818">
        <v>8887</v>
      </c>
      <c r="F6818" s="11">
        <v>1</v>
      </c>
    </row>
    <row r="6819" spans="1:6" x14ac:dyDescent="0.35">
      <c r="A6819" t="s">
        <v>2857</v>
      </c>
      <c r="B6819" t="s">
        <v>2865</v>
      </c>
      <c r="C6819" t="s">
        <v>1420</v>
      </c>
      <c r="D6819" t="s">
        <v>2898</v>
      </c>
      <c r="E6819">
        <v>152150</v>
      </c>
      <c r="F6819" s="11">
        <v>1</v>
      </c>
    </row>
    <row r="6820" spans="1:6" x14ac:dyDescent="0.35">
      <c r="A6820" t="s">
        <v>2857</v>
      </c>
      <c r="B6820" t="s">
        <v>2865</v>
      </c>
      <c r="C6820" t="s">
        <v>1420</v>
      </c>
      <c r="D6820" t="s">
        <v>2899</v>
      </c>
      <c r="E6820">
        <v>5215</v>
      </c>
      <c r="F6820" s="11">
        <v>1</v>
      </c>
    </row>
    <row r="6821" spans="1:6" x14ac:dyDescent="0.35">
      <c r="A6821" t="s">
        <v>2857</v>
      </c>
      <c r="B6821" t="s">
        <v>2865</v>
      </c>
      <c r="C6821" t="s">
        <v>1420</v>
      </c>
      <c r="D6821" t="s">
        <v>2900</v>
      </c>
      <c r="E6821">
        <v>521</v>
      </c>
      <c r="F6821" s="11">
        <v>1</v>
      </c>
    </row>
    <row r="6822" spans="1:6" x14ac:dyDescent="0.35">
      <c r="A6822" t="s">
        <v>2857</v>
      </c>
      <c r="B6822" t="s">
        <v>2865</v>
      </c>
      <c r="C6822" t="s">
        <v>1420</v>
      </c>
      <c r="D6822" t="s">
        <v>2901</v>
      </c>
      <c r="E6822">
        <v>0</v>
      </c>
      <c r="F6822" s="11">
        <v>1</v>
      </c>
    </row>
    <row r="6823" spans="1:6" x14ac:dyDescent="0.35">
      <c r="A6823" t="s">
        <v>2857</v>
      </c>
      <c r="B6823" t="s">
        <v>2865</v>
      </c>
      <c r="C6823" t="s">
        <v>1420</v>
      </c>
      <c r="D6823" t="s">
        <v>2902</v>
      </c>
      <c r="E6823">
        <v>4694</v>
      </c>
      <c r="F6823" s="11">
        <v>0</v>
      </c>
    </row>
    <row r="6824" spans="1:6" x14ac:dyDescent="0.35">
      <c r="A6824" t="s">
        <v>2857</v>
      </c>
      <c r="B6824" t="s">
        <v>2865</v>
      </c>
      <c r="C6824" t="s">
        <v>1420</v>
      </c>
      <c r="D6824" t="s">
        <v>2903</v>
      </c>
      <c r="E6824">
        <v>13959</v>
      </c>
      <c r="F6824" s="11">
        <v>1</v>
      </c>
    </row>
    <row r="6825" spans="1:6" x14ac:dyDescent="0.35">
      <c r="A6825" t="s">
        <v>2857</v>
      </c>
      <c r="B6825" t="s">
        <v>2865</v>
      </c>
      <c r="C6825" t="s">
        <v>1420</v>
      </c>
      <c r="D6825" t="s">
        <v>2904</v>
      </c>
      <c r="E6825">
        <v>523</v>
      </c>
      <c r="F6825" s="11">
        <v>1</v>
      </c>
    </row>
    <row r="6826" spans="1:6" x14ac:dyDescent="0.35">
      <c r="A6826" t="s">
        <v>2857</v>
      </c>
      <c r="B6826" t="s">
        <v>2865</v>
      </c>
      <c r="C6826" t="s">
        <v>1420</v>
      </c>
      <c r="D6826" t="s">
        <v>2905</v>
      </c>
      <c r="E6826">
        <v>695</v>
      </c>
      <c r="F6826" s="11">
        <v>1</v>
      </c>
    </row>
    <row r="6827" spans="1:6" x14ac:dyDescent="0.35">
      <c r="A6827" t="s">
        <v>2857</v>
      </c>
      <c r="B6827" t="s">
        <v>2865</v>
      </c>
      <c r="C6827" t="s">
        <v>1420</v>
      </c>
      <c r="D6827" t="s">
        <v>2906</v>
      </c>
      <c r="E6827">
        <v>12741</v>
      </c>
      <c r="F6827" s="11">
        <v>1</v>
      </c>
    </row>
    <row r="6828" spans="1:6" x14ac:dyDescent="0.35">
      <c r="A6828" t="s">
        <v>2857</v>
      </c>
      <c r="B6828" t="s">
        <v>2865</v>
      </c>
      <c r="C6828" t="s">
        <v>1420</v>
      </c>
      <c r="D6828" t="s">
        <v>2907</v>
      </c>
      <c r="E6828">
        <v>27093</v>
      </c>
      <c r="F6828" s="11">
        <v>1</v>
      </c>
    </row>
    <row r="6829" spans="1:6" x14ac:dyDescent="0.35">
      <c r="A6829" t="s">
        <v>2857</v>
      </c>
      <c r="B6829" t="s">
        <v>2865</v>
      </c>
      <c r="C6829" t="s">
        <v>1420</v>
      </c>
      <c r="D6829" t="s">
        <v>2908</v>
      </c>
      <c r="E6829">
        <v>1884</v>
      </c>
      <c r="F6829" s="11">
        <v>1</v>
      </c>
    </row>
    <row r="6830" spans="1:6" x14ac:dyDescent="0.35">
      <c r="A6830" t="s">
        <v>2857</v>
      </c>
      <c r="B6830" t="s">
        <v>2865</v>
      </c>
      <c r="C6830" t="s">
        <v>1420</v>
      </c>
      <c r="D6830" t="s">
        <v>2909</v>
      </c>
      <c r="E6830">
        <v>769</v>
      </c>
      <c r="F6830" s="11">
        <v>1</v>
      </c>
    </row>
    <row r="6831" spans="1:6" x14ac:dyDescent="0.35">
      <c r="A6831" t="s">
        <v>2857</v>
      </c>
      <c r="B6831" t="s">
        <v>2865</v>
      </c>
      <c r="C6831" t="s">
        <v>1420</v>
      </c>
      <c r="D6831" t="s">
        <v>2910</v>
      </c>
      <c r="E6831">
        <v>24440</v>
      </c>
      <c r="F6831" s="11">
        <v>1</v>
      </c>
    </row>
    <row r="6832" spans="1:6" x14ac:dyDescent="0.35">
      <c r="A6832" t="s">
        <v>2857</v>
      </c>
      <c r="B6832" t="s">
        <v>2865</v>
      </c>
      <c r="C6832" t="s">
        <v>1420</v>
      </c>
      <c r="D6832" t="s">
        <v>2911</v>
      </c>
      <c r="E6832">
        <v>499564</v>
      </c>
      <c r="F6832" s="11">
        <v>1</v>
      </c>
    </row>
    <row r="6833" spans="1:6" x14ac:dyDescent="0.35">
      <c r="A6833" t="s">
        <v>2857</v>
      </c>
      <c r="B6833" t="s">
        <v>2865</v>
      </c>
      <c r="C6833" t="s">
        <v>1420</v>
      </c>
      <c r="D6833" t="s">
        <v>2912</v>
      </c>
      <c r="E6833">
        <v>152580</v>
      </c>
      <c r="F6833" s="11">
        <v>1</v>
      </c>
    </row>
    <row r="6834" spans="1:6" x14ac:dyDescent="0.35">
      <c r="A6834" t="s">
        <v>2857</v>
      </c>
      <c r="B6834" t="s">
        <v>2865</v>
      </c>
      <c r="C6834" t="s">
        <v>1420</v>
      </c>
      <c r="D6834" t="s">
        <v>2913</v>
      </c>
      <c r="E6834">
        <v>0</v>
      </c>
      <c r="F6834" s="11">
        <v>0</v>
      </c>
    </row>
    <row r="6835" spans="1:6" x14ac:dyDescent="0.35">
      <c r="A6835" t="s">
        <v>2857</v>
      </c>
      <c r="B6835" t="s">
        <v>2865</v>
      </c>
      <c r="C6835" t="s">
        <v>1420</v>
      </c>
      <c r="D6835" t="s">
        <v>2914</v>
      </c>
      <c r="E6835">
        <v>0</v>
      </c>
      <c r="F6835" s="11">
        <v>0</v>
      </c>
    </row>
    <row r="6836" spans="1:6" x14ac:dyDescent="0.35">
      <c r="A6836" t="s">
        <v>2857</v>
      </c>
      <c r="B6836" t="s">
        <v>2865</v>
      </c>
      <c r="C6836" t="s">
        <v>1420</v>
      </c>
      <c r="D6836" t="s">
        <v>2915</v>
      </c>
      <c r="E6836">
        <v>1318</v>
      </c>
      <c r="F6836" s="11">
        <v>1</v>
      </c>
    </row>
    <row r="6837" spans="1:6" x14ac:dyDescent="0.35">
      <c r="A6837" t="s">
        <v>2857</v>
      </c>
      <c r="B6837" t="s">
        <v>2865</v>
      </c>
      <c r="C6837" t="s">
        <v>1420</v>
      </c>
      <c r="D6837" t="s">
        <v>2916</v>
      </c>
      <c r="E6837">
        <v>32921</v>
      </c>
      <c r="F6837" s="11">
        <v>1</v>
      </c>
    </row>
    <row r="6838" spans="1:6" x14ac:dyDescent="0.35">
      <c r="A6838" t="s">
        <v>2857</v>
      </c>
      <c r="B6838" t="s">
        <v>2865</v>
      </c>
      <c r="C6838" t="s">
        <v>1420</v>
      </c>
      <c r="D6838" t="s">
        <v>2917</v>
      </c>
      <c r="E6838">
        <v>12370</v>
      </c>
      <c r="F6838" s="11">
        <v>0</v>
      </c>
    </row>
    <row r="6839" spans="1:6" x14ac:dyDescent="0.35">
      <c r="A6839" t="s">
        <v>2857</v>
      </c>
      <c r="B6839" t="s">
        <v>2865</v>
      </c>
      <c r="C6839" t="s">
        <v>1522</v>
      </c>
      <c r="D6839" t="s">
        <v>2875</v>
      </c>
      <c r="E6839">
        <v>37046</v>
      </c>
      <c r="F6839" s="11">
        <v>1</v>
      </c>
    </row>
    <row r="6840" spans="1:6" x14ac:dyDescent="0.35">
      <c r="A6840" t="s">
        <v>2857</v>
      </c>
      <c r="B6840" t="s">
        <v>2865</v>
      </c>
      <c r="C6840" t="s">
        <v>1522</v>
      </c>
      <c r="D6840" t="s">
        <v>2876</v>
      </c>
      <c r="E6840">
        <v>0</v>
      </c>
      <c r="F6840" s="11">
        <v>0</v>
      </c>
    </row>
    <row r="6841" spans="1:6" x14ac:dyDescent="0.35">
      <c r="A6841" t="s">
        <v>2857</v>
      </c>
      <c r="B6841" t="s">
        <v>2865</v>
      </c>
      <c r="C6841" t="s">
        <v>1522</v>
      </c>
      <c r="D6841" t="s">
        <v>2877</v>
      </c>
      <c r="E6841">
        <v>0</v>
      </c>
      <c r="F6841" s="11">
        <v>0</v>
      </c>
    </row>
    <row r="6842" spans="1:6" x14ac:dyDescent="0.35">
      <c r="A6842" t="s">
        <v>2857</v>
      </c>
      <c r="B6842" t="s">
        <v>2865</v>
      </c>
      <c r="C6842" t="s">
        <v>1522</v>
      </c>
      <c r="D6842" t="s">
        <v>2878</v>
      </c>
      <c r="E6842">
        <v>24571</v>
      </c>
      <c r="F6842" s="11">
        <v>0</v>
      </c>
    </row>
    <row r="6843" spans="1:6" x14ac:dyDescent="0.35">
      <c r="A6843" t="s">
        <v>2857</v>
      </c>
      <c r="B6843" t="s">
        <v>2865</v>
      </c>
      <c r="C6843" t="s">
        <v>1522</v>
      </c>
      <c r="D6843" t="s">
        <v>2879</v>
      </c>
      <c r="E6843">
        <v>8924</v>
      </c>
      <c r="F6843" s="11">
        <v>1</v>
      </c>
    </row>
    <row r="6844" spans="1:6" x14ac:dyDescent="0.35">
      <c r="A6844" t="s">
        <v>2857</v>
      </c>
      <c r="B6844" t="s">
        <v>2865</v>
      </c>
      <c r="C6844" t="s">
        <v>1522</v>
      </c>
      <c r="D6844" t="s">
        <v>2880</v>
      </c>
      <c r="E6844">
        <v>2801</v>
      </c>
      <c r="F6844" s="11">
        <v>1</v>
      </c>
    </row>
    <row r="6845" spans="1:6" x14ac:dyDescent="0.35">
      <c r="A6845" t="s">
        <v>2857</v>
      </c>
      <c r="B6845" t="s">
        <v>2865</v>
      </c>
      <c r="C6845" t="s">
        <v>1522</v>
      </c>
      <c r="D6845" t="s">
        <v>2881</v>
      </c>
      <c r="E6845">
        <v>101</v>
      </c>
      <c r="F6845" s="11">
        <v>1</v>
      </c>
    </row>
    <row r="6846" spans="1:6" x14ac:dyDescent="0.35">
      <c r="A6846" t="s">
        <v>2857</v>
      </c>
      <c r="B6846" t="s">
        <v>2865</v>
      </c>
      <c r="C6846" t="s">
        <v>1522</v>
      </c>
      <c r="D6846" t="s">
        <v>2882</v>
      </c>
      <c r="E6846">
        <v>6011</v>
      </c>
      <c r="F6846" s="11">
        <v>1</v>
      </c>
    </row>
    <row r="6847" spans="1:6" x14ac:dyDescent="0.35">
      <c r="A6847" t="s">
        <v>2857</v>
      </c>
      <c r="B6847" t="s">
        <v>2865</v>
      </c>
      <c r="C6847" t="s">
        <v>1522</v>
      </c>
      <c r="D6847" t="s">
        <v>2883</v>
      </c>
      <c r="E6847">
        <v>0</v>
      </c>
      <c r="F6847" s="11">
        <v>0</v>
      </c>
    </row>
    <row r="6848" spans="1:6" x14ac:dyDescent="0.35">
      <c r="A6848" t="s">
        <v>2857</v>
      </c>
      <c r="B6848" t="s">
        <v>2865</v>
      </c>
      <c r="C6848" t="s">
        <v>1522</v>
      </c>
      <c r="D6848" t="s">
        <v>2884</v>
      </c>
      <c r="E6848">
        <v>0</v>
      </c>
      <c r="F6848" s="11">
        <v>0</v>
      </c>
    </row>
    <row r="6849" spans="1:6" x14ac:dyDescent="0.35">
      <c r="A6849" t="s">
        <v>2857</v>
      </c>
      <c r="B6849" t="s">
        <v>2865</v>
      </c>
      <c r="C6849" t="s">
        <v>1522</v>
      </c>
      <c r="D6849" t="s">
        <v>2885</v>
      </c>
      <c r="E6849">
        <v>0</v>
      </c>
      <c r="F6849" s="11">
        <v>0</v>
      </c>
    </row>
    <row r="6850" spans="1:6" x14ac:dyDescent="0.35">
      <c r="A6850" t="s">
        <v>2857</v>
      </c>
      <c r="B6850" t="s">
        <v>2865</v>
      </c>
      <c r="C6850" t="s">
        <v>1522</v>
      </c>
      <c r="D6850" t="s">
        <v>2886</v>
      </c>
      <c r="E6850">
        <v>0</v>
      </c>
      <c r="F6850" s="11">
        <v>0</v>
      </c>
    </row>
    <row r="6851" spans="1:6" x14ac:dyDescent="0.35">
      <c r="A6851" t="s">
        <v>2857</v>
      </c>
      <c r="B6851" t="s">
        <v>2865</v>
      </c>
      <c r="C6851" t="s">
        <v>1522</v>
      </c>
      <c r="D6851" t="s">
        <v>2887</v>
      </c>
      <c r="E6851">
        <v>124399</v>
      </c>
      <c r="F6851" s="11">
        <v>1</v>
      </c>
    </row>
    <row r="6852" spans="1:6" x14ac:dyDescent="0.35">
      <c r="A6852" t="s">
        <v>2857</v>
      </c>
      <c r="B6852" t="s">
        <v>2865</v>
      </c>
      <c r="C6852" t="s">
        <v>1522</v>
      </c>
      <c r="D6852" t="s">
        <v>2888</v>
      </c>
      <c r="E6852">
        <v>44143</v>
      </c>
      <c r="F6852" s="11">
        <v>1</v>
      </c>
    </row>
    <row r="6853" spans="1:6" x14ac:dyDescent="0.35">
      <c r="A6853" t="s">
        <v>2857</v>
      </c>
      <c r="B6853" t="s">
        <v>2865</v>
      </c>
      <c r="C6853" t="s">
        <v>1522</v>
      </c>
      <c r="D6853" t="s">
        <v>2889</v>
      </c>
      <c r="E6853">
        <v>0</v>
      </c>
      <c r="F6853" s="11">
        <v>1</v>
      </c>
    </row>
    <row r="6854" spans="1:6" x14ac:dyDescent="0.35">
      <c r="A6854" t="s">
        <v>2857</v>
      </c>
      <c r="B6854" t="s">
        <v>2865</v>
      </c>
      <c r="C6854" t="s">
        <v>1522</v>
      </c>
      <c r="D6854" t="s">
        <v>2890</v>
      </c>
      <c r="E6854">
        <v>87220</v>
      </c>
      <c r="F6854" s="11">
        <v>1</v>
      </c>
    </row>
    <row r="6855" spans="1:6" x14ac:dyDescent="0.35">
      <c r="A6855" t="s">
        <v>2857</v>
      </c>
      <c r="B6855" t="s">
        <v>2865</v>
      </c>
      <c r="C6855" t="s">
        <v>1522</v>
      </c>
      <c r="D6855" t="s">
        <v>2891</v>
      </c>
      <c r="E6855">
        <v>0</v>
      </c>
      <c r="F6855" s="11">
        <v>0</v>
      </c>
    </row>
    <row r="6856" spans="1:6" x14ac:dyDescent="0.35">
      <c r="A6856" t="s">
        <v>2857</v>
      </c>
      <c r="B6856" t="s">
        <v>2865</v>
      </c>
      <c r="C6856" t="s">
        <v>1522</v>
      </c>
      <c r="D6856" t="s">
        <v>2892</v>
      </c>
      <c r="E6856">
        <v>0</v>
      </c>
      <c r="F6856" s="11">
        <v>0</v>
      </c>
    </row>
    <row r="6857" spans="1:6" x14ac:dyDescent="0.35">
      <c r="A6857" t="s">
        <v>2857</v>
      </c>
      <c r="B6857" t="s">
        <v>2865</v>
      </c>
      <c r="C6857" t="s">
        <v>1522</v>
      </c>
      <c r="D6857" t="s">
        <v>2893</v>
      </c>
      <c r="E6857">
        <v>0</v>
      </c>
      <c r="F6857" s="11">
        <v>0</v>
      </c>
    </row>
    <row r="6858" spans="1:6" x14ac:dyDescent="0.35">
      <c r="A6858" t="s">
        <v>2857</v>
      </c>
      <c r="B6858" t="s">
        <v>2865</v>
      </c>
      <c r="C6858" t="s">
        <v>1522</v>
      </c>
      <c r="D6858" t="s">
        <v>2894</v>
      </c>
      <c r="E6858">
        <v>0</v>
      </c>
      <c r="F6858" s="11">
        <v>0</v>
      </c>
    </row>
    <row r="6859" spans="1:6" x14ac:dyDescent="0.35">
      <c r="A6859" t="s">
        <v>2857</v>
      </c>
      <c r="B6859" t="s">
        <v>2865</v>
      </c>
      <c r="C6859" t="s">
        <v>1522</v>
      </c>
      <c r="D6859" t="s">
        <v>2895</v>
      </c>
      <c r="E6859">
        <v>763758</v>
      </c>
      <c r="F6859" s="11">
        <v>1</v>
      </c>
    </row>
    <row r="6860" spans="1:6" x14ac:dyDescent="0.35">
      <c r="A6860" t="s">
        <v>2857</v>
      </c>
      <c r="B6860" t="s">
        <v>2865</v>
      </c>
      <c r="C6860" t="s">
        <v>1522</v>
      </c>
      <c r="D6860" t="s">
        <v>2896</v>
      </c>
      <c r="E6860">
        <v>385611</v>
      </c>
      <c r="F6860" s="11">
        <v>1</v>
      </c>
    </row>
    <row r="6861" spans="1:6" x14ac:dyDescent="0.35">
      <c r="A6861" t="s">
        <v>2857</v>
      </c>
      <c r="B6861" t="s">
        <v>2865</v>
      </c>
      <c r="C6861" t="s">
        <v>1522</v>
      </c>
      <c r="D6861" t="s">
        <v>2897</v>
      </c>
      <c r="E6861">
        <v>10554</v>
      </c>
      <c r="F6861" s="11">
        <v>1</v>
      </c>
    </row>
    <row r="6862" spans="1:6" x14ac:dyDescent="0.35">
      <c r="A6862" t="s">
        <v>2857</v>
      </c>
      <c r="B6862" t="s">
        <v>2865</v>
      </c>
      <c r="C6862" t="s">
        <v>1522</v>
      </c>
      <c r="D6862" t="s">
        <v>2898</v>
      </c>
      <c r="E6862">
        <v>367593</v>
      </c>
      <c r="F6862" s="11">
        <v>1</v>
      </c>
    </row>
    <row r="6863" spans="1:6" x14ac:dyDescent="0.35">
      <c r="A6863" t="s">
        <v>2857</v>
      </c>
      <c r="B6863" t="s">
        <v>2865</v>
      </c>
      <c r="C6863" t="s">
        <v>1522</v>
      </c>
      <c r="D6863" t="s">
        <v>2899</v>
      </c>
      <c r="E6863">
        <v>14920</v>
      </c>
      <c r="F6863" s="11">
        <v>1</v>
      </c>
    </row>
    <row r="6864" spans="1:6" x14ac:dyDescent="0.35">
      <c r="A6864" t="s">
        <v>2857</v>
      </c>
      <c r="B6864" t="s">
        <v>2865</v>
      </c>
      <c r="C6864" t="s">
        <v>1522</v>
      </c>
      <c r="D6864" t="s">
        <v>2900</v>
      </c>
      <c r="E6864">
        <v>43</v>
      </c>
      <c r="F6864" s="11">
        <v>1</v>
      </c>
    </row>
    <row r="6865" spans="1:6" x14ac:dyDescent="0.35">
      <c r="A6865" t="s">
        <v>2857</v>
      </c>
      <c r="B6865" t="s">
        <v>2865</v>
      </c>
      <c r="C6865" t="s">
        <v>1522</v>
      </c>
      <c r="D6865" t="s">
        <v>2901</v>
      </c>
      <c r="E6865">
        <v>2</v>
      </c>
      <c r="F6865" s="11">
        <v>1</v>
      </c>
    </row>
    <row r="6866" spans="1:6" x14ac:dyDescent="0.35">
      <c r="A6866" t="s">
        <v>2857</v>
      </c>
      <c r="B6866" t="s">
        <v>2865</v>
      </c>
      <c r="C6866" t="s">
        <v>1522</v>
      </c>
      <c r="D6866" t="s">
        <v>2902</v>
      </c>
      <c r="E6866">
        <v>14875</v>
      </c>
      <c r="F6866" s="11">
        <v>0</v>
      </c>
    </row>
    <row r="6867" spans="1:6" x14ac:dyDescent="0.35">
      <c r="A6867" t="s">
        <v>2857</v>
      </c>
      <c r="B6867" t="s">
        <v>2865</v>
      </c>
      <c r="C6867" t="s">
        <v>1522</v>
      </c>
      <c r="D6867" t="s">
        <v>2903</v>
      </c>
      <c r="E6867">
        <v>61492</v>
      </c>
      <c r="F6867" s="11">
        <v>1</v>
      </c>
    </row>
    <row r="6868" spans="1:6" x14ac:dyDescent="0.35">
      <c r="A6868" t="s">
        <v>2857</v>
      </c>
      <c r="B6868" t="s">
        <v>2865</v>
      </c>
      <c r="C6868" t="s">
        <v>1522</v>
      </c>
      <c r="D6868" t="s">
        <v>2904</v>
      </c>
      <c r="E6868">
        <v>5297</v>
      </c>
      <c r="F6868" s="11">
        <v>1</v>
      </c>
    </row>
    <row r="6869" spans="1:6" x14ac:dyDescent="0.35">
      <c r="A6869" t="s">
        <v>2857</v>
      </c>
      <c r="B6869" t="s">
        <v>2865</v>
      </c>
      <c r="C6869" t="s">
        <v>1522</v>
      </c>
      <c r="D6869" t="s">
        <v>2905</v>
      </c>
      <c r="E6869">
        <v>3657</v>
      </c>
      <c r="F6869" s="11">
        <v>1</v>
      </c>
    </row>
    <row r="6870" spans="1:6" x14ac:dyDescent="0.35">
      <c r="A6870" t="s">
        <v>2857</v>
      </c>
      <c r="B6870" t="s">
        <v>2865</v>
      </c>
      <c r="C6870" t="s">
        <v>1522</v>
      </c>
      <c r="D6870" t="s">
        <v>2906</v>
      </c>
      <c r="E6870">
        <v>52538</v>
      </c>
      <c r="F6870" s="11">
        <v>1</v>
      </c>
    </row>
    <row r="6871" spans="1:6" x14ac:dyDescent="0.35">
      <c r="A6871" t="s">
        <v>2857</v>
      </c>
      <c r="B6871" t="s">
        <v>2865</v>
      </c>
      <c r="C6871" t="s">
        <v>1522</v>
      </c>
      <c r="D6871" t="s">
        <v>2907</v>
      </c>
      <c r="E6871">
        <v>37929</v>
      </c>
      <c r="F6871" s="11">
        <v>1</v>
      </c>
    </row>
    <row r="6872" spans="1:6" x14ac:dyDescent="0.35">
      <c r="A6872" t="s">
        <v>2857</v>
      </c>
      <c r="B6872" t="s">
        <v>2865</v>
      </c>
      <c r="C6872" t="s">
        <v>1522</v>
      </c>
      <c r="D6872" t="s">
        <v>2908</v>
      </c>
      <c r="E6872">
        <v>6344</v>
      </c>
      <c r="F6872" s="11">
        <v>1</v>
      </c>
    </row>
    <row r="6873" spans="1:6" x14ac:dyDescent="0.35">
      <c r="A6873" t="s">
        <v>2857</v>
      </c>
      <c r="B6873" t="s">
        <v>2865</v>
      </c>
      <c r="C6873" t="s">
        <v>1522</v>
      </c>
      <c r="D6873" t="s">
        <v>2909</v>
      </c>
      <c r="E6873">
        <v>2788</v>
      </c>
      <c r="F6873" s="11">
        <v>1</v>
      </c>
    </row>
    <row r="6874" spans="1:6" x14ac:dyDescent="0.35">
      <c r="A6874" t="s">
        <v>2857</v>
      </c>
      <c r="B6874" t="s">
        <v>2865</v>
      </c>
      <c r="C6874" t="s">
        <v>1522</v>
      </c>
      <c r="D6874" t="s">
        <v>2910</v>
      </c>
      <c r="E6874">
        <v>29574</v>
      </c>
      <c r="F6874" s="11">
        <v>1</v>
      </c>
    </row>
    <row r="6875" spans="1:6" x14ac:dyDescent="0.35">
      <c r="A6875" t="s">
        <v>2857</v>
      </c>
      <c r="B6875" t="s">
        <v>2865</v>
      </c>
      <c r="C6875" t="s">
        <v>1522</v>
      </c>
      <c r="D6875" t="s">
        <v>2911</v>
      </c>
      <c r="E6875">
        <v>491617</v>
      </c>
      <c r="F6875" s="11">
        <v>1</v>
      </c>
    </row>
    <row r="6876" spans="1:6" x14ac:dyDescent="0.35">
      <c r="A6876" t="s">
        <v>2857</v>
      </c>
      <c r="B6876" t="s">
        <v>2865</v>
      </c>
      <c r="C6876" t="s">
        <v>1522</v>
      </c>
      <c r="D6876" t="s">
        <v>2912</v>
      </c>
      <c r="E6876">
        <v>383860</v>
      </c>
      <c r="F6876" s="11">
        <v>1</v>
      </c>
    </row>
    <row r="6877" spans="1:6" x14ac:dyDescent="0.35">
      <c r="A6877" t="s">
        <v>2857</v>
      </c>
      <c r="B6877" t="s">
        <v>2865</v>
      </c>
      <c r="C6877" t="s">
        <v>1522</v>
      </c>
      <c r="D6877" t="s">
        <v>2913</v>
      </c>
      <c r="E6877">
        <v>0</v>
      </c>
      <c r="F6877" s="11">
        <v>0</v>
      </c>
    </row>
    <row r="6878" spans="1:6" x14ac:dyDescent="0.35">
      <c r="A6878" t="s">
        <v>2857</v>
      </c>
      <c r="B6878" t="s">
        <v>2865</v>
      </c>
      <c r="C6878" t="s">
        <v>1522</v>
      </c>
      <c r="D6878" t="s">
        <v>2914</v>
      </c>
      <c r="E6878">
        <v>0</v>
      </c>
      <c r="F6878" s="11">
        <v>0</v>
      </c>
    </row>
    <row r="6879" spans="1:6" x14ac:dyDescent="0.35">
      <c r="A6879" t="s">
        <v>2857</v>
      </c>
      <c r="B6879" t="s">
        <v>2865</v>
      </c>
      <c r="C6879" t="s">
        <v>1522</v>
      </c>
      <c r="D6879" t="s">
        <v>2915</v>
      </c>
      <c r="E6879">
        <v>9837</v>
      </c>
      <c r="F6879" s="11">
        <v>1</v>
      </c>
    </row>
    <row r="6880" spans="1:6" x14ac:dyDescent="0.35">
      <c r="A6880" t="s">
        <v>2857</v>
      </c>
      <c r="B6880" t="s">
        <v>2865</v>
      </c>
      <c r="C6880" t="s">
        <v>1522</v>
      </c>
      <c r="D6880" t="s">
        <v>2916</v>
      </c>
      <c r="E6880">
        <v>0</v>
      </c>
      <c r="F6880" s="11">
        <v>0</v>
      </c>
    </row>
    <row r="6881" spans="1:6" x14ac:dyDescent="0.35">
      <c r="A6881" t="s">
        <v>2857</v>
      </c>
      <c r="B6881" t="s">
        <v>2865</v>
      </c>
      <c r="C6881" t="s">
        <v>1522</v>
      </c>
      <c r="D6881" t="s">
        <v>2917</v>
      </c>
      <c r="E6881">
        <v>0</v>
      </c>
      <c r="F6881" s="11">
        <v>0</v>
      </c>
    </row>
    <row r="6882" spans="1:6" x14ac:dyDescent="0.35">
      <c r="A6882" t="s">
        <v>2857</v>
      </c>
      <c r="B6882" t="s">
        <v>2865</v>
      </c>
      <c r="C6882" t="s">
        <v>1473</v>
      </c>
      <c r="D6882" t="s">
        <v>2875</v>
      </c>
      <c r="E6882">
        <v>119437</v>
      </c>
      <c r="F6882" s="11">
        <v>0</v>
      </c>
    </row>
    <row r="6883" spans="1:6" x14ac:dyDescent="0.35">
      <c r="A6883" t="s">
        <v>2857</v>
      </c>
      <c r="B6883" t="s">
        <v>2865</v>
      </c>
      <c r="C6883" t="s">
        <v>1473</v>
      </c>
      <c r="D6883" t="s">
        <v>2876</v>
      </c>
      <c r="E6883">
        <v>46042</v>
      </c>
      <c r="F6883" s="11">
        <v>0</v>
      </c>
    </row>
    <row r="6884" spans="1:6" x14ac:dyDescent="0.35">
      <c r="A6884" t="s">
        <v>2857</v>
      </c>
      <c r="B6884" t="s">
        <v>2865</v>
      </c>
      <c r="C6884" t="s">
        <v>1473</v>
      </c>
      <c r="D6884" t="s">
        <v>2877</v>
      </c>
      <c r="E6884">
        <v>0</v>
      </c>
      <c r="F6884" s="11">
        <v>0</v>
      </c>
    </row>
    <row r="6885" spans="1:6" x14ac:dyDescent="0.35">
      <c r="A6885" t="s">
        <v>2857</v>
      </c>
      <c r="B6885" t="s">
        <v>2865</v>
      </c>
      <c r="C6885" t="s">
        <v>1473</v>
      </c>
      <c r="D6885" t="s">
        <v>2878</v>
      </c>
      <c r="E6885">
        <v>73395</v>
      </c>
      <c r="F6885" s="11">
        <v>0</v>
      </c>
    </row>
    <row r="6886" spans="1:6" x14ac:dyDescent="0.35">
      <c r="A6886" t="s">
        <v>2857</v>
      </c>
      <c r="B6886" t="s">
        <v>2865</v>
      </c>
      <c r="C6886" t="s">
        <v>1473</v>
      </c>
      <c r="D6886" t="s">
        <v>2879</v>
      </c>
      <c r="E6886">
        <v>1837</v>
      </c>
      <c r="F6886" s="11">
        <v>0</v>
      </c>
    </row>
    <row r="6887" spans="1:6" x14ac:dyDescent="0.35">
      <c r="A6887" t="s">
        <v>2857</v>
      </c>
      <c r="B6887" t="s">
        <v>2865</v>
      </c>
      <c r="C6887" t="s">
        <v>1473</v>
      </c>
      <c r="D6887" t="s">
        <v>2880</v>
      </c>
      <c r="E6887">
        <v>1668</v>
      </c>
      <c r="F6887" s="11">
        <v>0</v>
      </c>
    </row>
    <row r="6888" spans="1:6" x14ac:dyDescent="0.35">
      <c r="A6888" t="s">
        <v>2857</v>
      </c>
      <c r="B6888" t="s">
        <v>2865</v>
      </c>
      <c r="C6888" t="s">
        <v>1473</v>
      </c>
      <c r="D6888" t="s">
        <v>2881</v>
      </c>
      <c r="E6888">
        <v>0</v>
      </c>
      <c r="F6888" s="11">
        <v>0</v>
      </c>
    </row>
    <row r="6889" spans="1:6" x14ac:dyDescent="0.35">
      <c r="A6889" t="s">
        <v>2857</v>
      </c>
      <c r="B6889" t="s">
        <v>2865</v>
      </c>
      <c r="C6889" t="s">
        <v>1473</v>
      </c>
      <c r="D6889" t="s">
        <v>2882</v>
      </c>
      <c r="E6889">
        <v>169</v>
      </c>
      <c r="F6889" s="11">
        <v>0</v>
      </c>
    </row>
    <row r="6890" spans="1:6" x14ac:dyDescent="0.35">
      <c r="A6890" t="s">
        <v>2857</v>
      </c>
      <c r="B6890" t="s">
        <v>2865</v>
      </c>
      <c r="C6890" t="s">
        <v>1473</v>
      </c>
      <c r="D6890" t="s">
        <v>2883</v>
      </c>
      <c r="E6890">
        <v>0</v>
      </c>
      <c r="F6890" s="11">
        <v>0</v>
      </c>
    </row>
    <row r="6891" spans="1:6" x14ac:dyDescent="0.35">
      <c r="A6891" t="s">
        <v>2857</v>
      </c>
      <c r="B6891" t="s">
        <v>2865</v>
      </c>
      <c r="C6891" t="s">
        <v>1473</v>
      </c>
      <c r="D6891" t="s">
        <v>2884</v>
      </c>
      <c r="E6891">
        <v>0</v>
      </c>
      <c r="F6891" s="11">
        <v>0</v>
      </c>
    </row>
    <row r="6892" spans="1:6" x14ac:dyDescent="0.35">
      <c r="A6892" t="s">
        <v>2857</v>
      </c>
      <c r="B6892" t="s">
        <v>2865</v>
      </c>
      <c r="C6892" t="s">
        <v>1473</v>
      </c>
      <c r="D6892" t="s">
        <v>2885</v>
      </c>
      <c r="E6892">
        <v>0</v>
      </c>
      <c r="F6892" s="11">
        <v>0</v>
      </c>
    </row>
    <row r="6893" spans="1:6" x14ac:dyDescent="0.35">
      <c r="A6893" t="s">
        <v>2857</v>
      </c>
      <c r="B6893" t="s">
        <v>2865</v>
      </c>
      <c r="C6893" t="s">
        <v>1473</v>
      </c>
      <c r="D6893" t="s">
        <v>2886</v>
      </c>
      <c r="E6893">
        <v>0</v>
      </c>
      <c r="F6893" s="11">
        <v>0</v>
      </c>
    </row>
    <row r="6894" spans="1:6" x14ac:dyDescent="0.35">
      <c r="A6894" t="s">
        <v>2857</v>
      </c>
      <c r="B6894" t="s">
        <v>2865</v>
      </c>
      <c r="C6894" t="s">
        <v>1473</v>
      </c>
      <c r="D6894" t="s">
        <v>2887</v>
      </c>
      <c r="E6894">
        <v>55697</v>
      </c>
      <c r="F6894" s="11">
        <v>0</v>
      </c>
    </row>
    <row r="6895" spans="1:6" x14ac:dyDescent="0.35">
      <c r="A6895" t="s">
        <v>2857</v>
      </c>
      <c r="B6895" t="s">
        <v>2865</v>
      </c>
      <c r="C6895" t="s">
        <v>1473</v>
      </c>
      <c r="D6895" t="s">
        <v>2888</v>
      </c>
      <c r="E6895">
        <v>36686</v>
      </c>
      <c r="F6895" s="11">
        <v>0</v>
      </c>
    </row>
    <row r="6896" spans="1:6" x14ac:dyDescent="0.35">
      <c r="A6896" t="s">
        <v>2857</v>
      </c>
      <c r="B6896" t="s">
        <v>2865</v>
      </c>
      <c r="C6896" t="s">
        <v>1473</v>
      </c>
      <c r="D6896" t="s">
        <v>2889</v>
      </c>
      <c r="E6896">
        <v>0</v>
      </c>
      <c r="F6896" s="11">
        <v>0</v>
      </c>
    </row>
    <row r="6897" spans="1:6" x14ac:dyDescent="0.35">
      <c r="A6897" t="s">
        <v>2857</v>
      </c>
      <c r="B6897" t="s">
        <v>2865</v>
      </c>
      <c r="C6897" t="s">
        <v>1473</v>
      </c>
      <c r="D6897" t="s">
        <v>2890</v>
      </c>
      <c r="E6897">
        <v>19011</v>
      </c>
      <c r="F6897" s="11">
        <v>0</v>
      </c>
    </row>
    <row r="6898" spans="1:6" x14ac:dyDescent="0.35">
      <c r="A6898" t="s">
        <v>2857</v>
      </c>
      <c r="B6898" t="s">
        <v>2865</v>
      </c>
      <c r="C6898" t="s">
        <v>1473</v>
      </c>
      <c r="D6898" t="s">
        <v>2891</v>
      </c>
      <c r="E6898">
        <v>0</v>
      </c>
      <c r="F6898" s="11">
        <v>0</v>
      </c>
    </row>
    <row r="6899" spans="1:6" x14ac:dyDescent="0.35">
      <c r="A6899" t="s">
        <v>2857</v>
      </c>
      <c r="B6899" t="s">
        <v>2865</v>
      </c>
      <c r="C6899" t="s">
        <v>1473</v>
      </c>
      <c r="D6899" t="s">
        <v>2892</v>
      </c>
      <c r="E6899">
        <v>0</v>
      </c>
      <c r="F6899" s="11">
        <v>0</v>
      </c>
    </row>
    <row r="6900" spans="1:6" x14ac:dyDescent="0.35">
      <c r="A6900" t="s">
        <v>2857</v>
      </c>
      <c r="B6900" t="s">
        <v>2865</v>
      </c>
      <c r="C6900" t="s">
        <v>1473</v>
      </c>
      <c r="D6900" t="s">
        <v>2893</v>
      </c>
      <c r="E6900">
        <v>0</v>
      </c>
      <c r="F6900" s="11">
        <v>0</v>
      </c>
    </row>
    <row r="6901" spans="1:6" x14ac:dyDescent="0.35">
      <c r="A6901" t="s">
        <v>2857</v>
      </c>
      <c r="B6901" t="s">
        <v>2865</v>
      </c>
      <c r="C6901" t="s">
        <v>1473</v>
      </c>
      <c r="D6901" t="s">
        <v>2894</v>
      </c>
      <c r="E6901">
        <v>0</v>
      </c>
      <c r="F6901" s="11">
        <v>0</v>
      </c>
    </row>
    <row r="6902" spans="1:6" x14ac:dyDescent="0.35">
      <c r="A6902" t="s">
        <v>2857</v>
      </c>
      <c r="B6902" t="s">
        <v>2865</v>
      </c>
      <c r="C6902" t="s">
        <v>1473</v>
      </c>
      <c r="D6902" t="s">
        <v>2895</v>
      </c>
      <c r="E6902">
        <v>1285918</v>
      </c>
      <c r="F6902" s="11">
        <v>0</v>
      </c>
    </row>
    <row r="6903" spans="1:6" x14ac:dyDescent="0.35">
      <c r="A6903" t="s">
        <v>2857</v>
      </c>
      <c r="B6903" t="s">
        <v>2865</v>
      </c>
      <c r="C6903" t="s">
        <v>1473</v>
      </c>
      <c r="D6903" t="s">
        <v>2896</v>
      </c>
      <c r="E6903">
        <v>700864</v>
      </c>
      <c r="F6903" s="11">
        <v>0</v>
      </c>
    </row>
    <row r="6904" spans="1:6" x14ac:dyDescent="0.35">
      <c r="A6904" t="s">
        <v>2857</v>
      </c>
      <c r="B6904" t="s">
        <v>2865</v>
      </c>
      <c r="C6904" t="s">
        <v>1473</v>
      </c>
      <c r="D6904" t="s">
        <v>2897</v>
      </c>
      <c r="E6904">
        <v>13639</v>
      </c>
      <c r="F6904" s="11">
        <v>0</v>
      </c>
    </row>
    <row r="6905" spans="1:6" x14ac:dyDescent="0.35">
      <c r="A6905" t="s">
        <v>2857</v>
      </c>
      <c r="B6905" t="s">
        <v>2865</v>
      </c>
      <c r="C6905" t="s">
        <v>1473</v>
      </c>
      <c r="D6905" t="s">
        <v>2898</v>
      </c>
      <c r="E6905">
        <v>571415</v>
      </c>
      <c r="F6905" s="11">
        <v>0</v>
      </c>
    </row>
    <row r="6906" spans="1:6" x14ac:dyDescent="0.35">
      <c r="A6906" t="s">
        <v>2857</v>
      </c>
      <c r="B6906" t="s">
        <v>2865</v>
      </c>
      <c r="C6906" t="s">
        <v>1473</v>
      </c>
      <c r="D6906" t="s">
        <v>2899</v>
      </c>
      <c r="E6906">
        <v>10257</v>
      </c>
      <c r="F6906" s="11">
        <v>0</v>
      </c>
    </row>
    <row r="6907" spans="1:6" x14ac:dyDescent="0.35">
      <c r="A6907" t="s">
        <v>2857</v>
      </c>
      <c r="B6907" t="s">
        <v>2865</v>
      </c>
      <c r="C6907" t="s">
        <v>1473</v>
      </c>
      <c r="D6907" t="s">
        <v>2900</v>
      </c>
      <c r="E6907">
        <v>386</v>
      </c>
      <c r="F6907" s="11">
        <v>0</v>
      </c>
    </row>
    <row r="6908" spans="1:6" x14ac:dyDescent="0.35">
      <c r="A6908" t="s">
        <v>2857</v>
      </c>
      <c r="B6908" t="s">
        <v>2865</v>
      </c>
      <c r="C6908" t="s">
        <v>1473</v>
      </c>
      <c r="D6908" t="s">
        <v>2901</v>
      </c>
      <c r="E6908">
        <v>0</v>
      </c>
      <c r="F6908" s="11">
        <v>0</v>
      </c>
    </row>
    <row r="6909" spans="1:6" x14ac:dyDescent="0.35">
      <c r="A6909" t="s">
        <v>2857</v>
      </c>
      <c r="B6909" t="s">
        <v>2865</v>
      </c>
      <c r="C6909" t="s">
        <v>1473</v>
      </c>
      <c r="D6909" t="s">
        <v>2902</v>
      </c>
      <c r="E6909">
        <v>0</v>
      </c>
      <c r="F6909" s="11">
        <v>0</v>
      </c>
    </row>
    <row r="6910" spans="1:6" x14ac:dyDescent="0.35">
      <c r="A6910" t="s">
        <v>2857</v>
      </c>
      <c r="B6910" t="s">
        <v>2865</v>
      </c>
      <c r="C6910" t="s">
        <v>1473</v>
      </c>
      <c r="D6910" t="s">
        <v>2903</v>
      </c>
      <c r="E6910">
        <v>81052</v>
      </c>
      <c r="F6910" s="11">
        <v>0</v>
      </c>
    </row>
    <row r="6911" spans="1:6" x14ac:dyDescent="0.35">
      <c r="A6911" t="s">
        <v>2857</v>
      </c>
      <c r="B6911" t="s">
        <v>2865</v>
      </c>
      <c r="C6911" t="s">
        <v>1473</v>
      </c>
      <c r="D6911" t="s">
        <v>2904</v>
      </c>
      <c r="E6911">
        <v>7464</v>
      </c>
      <c r="F6911" s="11">
        <v>0</v>
      </c>
    </row>
    <row r="6912" spans="1:6" x14ac:dyDescent="0.35">
      <c r="A6912" t="s">
        <v>2857</v>
      </c>
      <c r="B6912" t="s">
        <v>2865</v>
      </c>
      <c r="C6912" t="s">
        <v>1473</v>
      </c>
      <c r="D6912" t="s">
        <v>2905</v>
      </c>
      <c r="E6912">
        <v>4312</v>
      </c>
      <c r="F6912" s="11">
        <v>0</v>
      </c>
    </row>
    <row r="6913" spans="1:6" x14ac:dyDescent="0.35">
      <c r="A6913" t="s">
        <v>2857</v>
      </c>
      <c r="B6913" t="s">
        <v>2865</v>
      </c>
      <c r="C6913" t="s">
        <v>1473</v>
      </c>
      <c r="D6913" t="s">
        <v>2906</v>
      </c>
      <c r="E6913">
        <v>69276</v>
      </c>
      <c r="F6913" s="11">
        <v>0</v>
      </c>
    </row>
    <row r="6914" spans="1:6" x14ac:dyDescent="0.35">
      <c r="A6914" t="s">
        <v>2857</v>
      </c>
      <c r="B6914" t="s">
        <v>2865</v>
      </c>
      <c r="C6914" t="s">
        <v>1473</v>
      </c>
      <c r="D6914" t="s">
        <v>2907</v>
      </c>
      <c r="E6914">
        <v>159220</v>
      </c>
      <c r="F6914" s="11">
        <v>0</v>
      </c>
    </row>
    <row r="6915" spans="1:6" x14ac:dyDescent="0.35">
      <c r="A6915" t="s">
        <v>2857</v>
      </c>
      <c r="B6915" t="s">
        <v>2865</v>
      </c>
      <c r="C6915" t="s">
        <v>1473</v>
      </c>
      <c r="D6915" t="s">
        <v>2908</v>
      </c>
      <c r="E6915">
        <v>21020</v>
      </c>
      <c r="F6915" s="11">
        <v>0</v>
      </c>
    </row>
    <row r="6916" spans="1:6" x14ac:dyDescent="0.35">
      <c r="A6916" t="s">
        <v>2857</v>
      </c>
      <c r="B6916" t="s">
        <v>2865</v>
      </c>
      <c r="C6916" t="s">
        <v>1473</v>
      </c>
      <c r="D6916" t="s">
        <v>2909</v>
      </c>
      <c r="E6916">
        <v>6020</v>
      </c>
      <c r="F6916" s="11">
        <v>0</v>
      </c>
    </row>
    <row r="6917" spans="1:6" x14ac:dyDescent="0.35">
      <c r="A6917" t="s">
        <v>2857</v>
      </c>
      <c r="B6917" t="s">
        <v>2865</v>
      </c>
      <c r="C6917" t="s">
        <v>1473</v>
      </c>
      <c r="D6917" t="s">
        <v>2910</v>
      </c>
      <c r="E6917">
        <v>132180</v>
      </c>
      <c r="F6917" s="11">
        <v>0</v>
      </c>
    </row>
    <row r="6918" spans="1:6" x14ac:dyDescent="0.35">
      <c r="A6918" t="s">
        <v>2857</v>
      </c>
      <c r="B6918" t="s">
        <v>2865</v>
      </c>
      <c r="C6918" t="s">
        <v>1473</v>
      </c>
      <c r="D6918" t="s">
        <v>2911</v>
      </c>
      <c r="E6918">
        <v>0</v>
      </c>
      <c r="F6918" s="11">
        <v>0</v>
      </c>
    </row>
    <row r="6919" spans="1:6" x14ac:dyDescent="0.35">
      <c r="A6919" t="s">
        <v>2857</v>
      </c>
      <c r="B6919" t="s">
        <v>2865</v>
      </c>
      <c r="C6919" t="s">
        <v>1473</v>
      </c>
      <c r="D6919" t="s">
        <v>2912</v>
      </c>
      <c r="E6919">
        <v>0</v>
      </c>
      <c r="F6919" s="11">
        <v>0</v>
      </c>
    </row>
    <row r="6920" spans="1:6" x14ac:dyDescent="0.35">
      <c r="A6920" t="s">
        <v>2857</v>
      </c>
      <c r="B6920" t="s">
        <v>2865</v>
      </c>
      <c r="C6920" t="s">
        <v>1473</v>
      </c>
      <c r="D6920" t="s">
        <v>2913</v>
      </c>
      <c r="E6920">
        <v>0</v>
      </c>
      <c r="F6920" s="11">
        <v>0</v>
      </c>
    </row>
    <row r="6921" spans="1:6" x14ac:dyDescent="0.35">
      <c r="A6921" t="s">
        <v>2857</v>
      </c>
      <c r="B6921" t="s">
        <v>2865</v>
      </c>
      <c r="C6921" t="s">
        <v>1473</v>
      </c>
      <c r="D6921" t="s">
        <v>2914</v>
      </c>
      <c r="E6921">
        <v>0</v>
      </c>
      <c r="F6921" s="11">
        <v>0</v>
      </c>
    </row>
    <row r="6922" spans="1:6" x14ac:dyDescent="0.35">
      <c r="A6922" t="s">
        <v>2857</v>
      </c>
      <c r="B6922" t="s">
        <v>2865</v>
      </c>
      <c r="C6922" t="s">
        <v>1473</v>
      </c>
      <c r="D6922" t="s">
        <v>2915</v>
      </c>
      <c r="E6922">
        <v>0</v>
      </c>
      <c r="F6922" s="11">
        <v>0</v>
      </c>
    </row>
    <row r="6923" spans="1:6" x14ac:dyDescent="0.35">
      <c r="A6923" t="s">
        <v>2857</v>
      </c>
      <c r="B6923" t="s">
        <v>2865</v>
      </c>
      <c r="C6923" t="s">
        <v>1473</v>
      </c>
      <c r="D6923" t="s">
        <v>2916</v>
      </c>
      <c r="E6923">
        <v>134014</v>
      </c>
      <c r="F6923" s="11">
        <v>0</v>
      </c>
    </row>
    <row r="6924" spans="1:6" x14ac:dyDescent="0.35">
      <c r="A6924" t="s">
        <v>2857</v>
      </c>
      <c r="B6924" t="s">
        <v>2865</v>
      </c>
      <c r="C6924" t="s">
        <v>1473</v>
      </c>
      <c r="D6924" t="s">
        <v>2917</v>
      </c>
      <c r="E6924">
        <v>0</v>
      </c>
      <c r="F6924" s="11">
        <v>0</v>
      </c>
    </row>
    <row r="6925" spans="1:6" x14ac:dyDescent="0.35">
      <c r="A6925" t="s">
        <v>2857</v>
      </c>
      <c r="B6925" t="s">
        <v>2865</v>
      </c>
      <c r="C6925" t="s">
        <v>1415</v>
      </c>
      <c r="D6925" t="s">
        <v>2875</v>
      </c>
      <c r="E6925">
        <v>38679</v>
      </c>
      <c r="F6925" s="11">
        <v>1</v>
      </c>
    </row>
    <row r="6926" spans="1:6" x14ac:dyDescent="0.35">
      <c r="A6926" t="s">
        <v>2857</v>
      </c>
      <c r="B6926" t="s">
        <v>2865</v>
      </c>
      <c r="C6926" t="s">
        <v>1415</v>
      </c>
      <c r="D6926" t="s">
        <v>2876</v>
      </c>
      <c r="E6926">
        <v>10270</v>
      </c>
      <c r="F6926" s="11">
        <v>1</v>
      </c>
    </row>
    <row r="6927" spans="1:6" x14ac:dyDescent="0.35">
      <c r="A6927" t="s">
        <v>2857</v>
      </c>
      <c r="B6927" t="s">
        <v>2865</v>
      </c>
      <c r="C6927" t="s">
        <v>1415</v>
      </c>
      <c r="D6927" t="s">
        <v>2877</v>
      </c>
      <c r="E6927">
        <v>2232</v>
      </c>
      <c r="F6927" s="11">
        <v>1</v>
      </c>
    </row>
    <row r="6928" spans="1:6" x14ac:dyDescent="0.35">
      <c r="A6928" t="s">
        <v>2857</v>
      </c>
      <c r="B6928" t="s">
        <v>2865</v>
      </c>
      <c r="C6928" t="s">
        <v>1415</v>
      </c>
      <c r="D6928" t="s">
        <v>2878</v>
      </c>
      <c r="E6928">
        <v>26117</v>
      </c>
      <c r="F6928" s="11">
        <v>1</v>
      </c>
    </row>
    <row r="6929" spans="1:6" x14ac:dyDescent="0.35">
      <c r="A6929" t="s">
        <v>2857</v>
      </c>
      <c r="B6929" t="s">
        <v>2865</v>
      </c>
      <c r="C6929" t="s">
        <v>1415</v>
      </c>
      <c r="D6929" t="s">
        <v>2879</v>
      </c>
      <c r="E6929">
        <v>7012</v>
      </c>
      <c r="F6929" s="11">
        <v>1</v>
      </c>
    </row>
    <row r="6930" spans="1:6" x14ac:dyDescent="0.35">
      <c r="A6930" t="s">
        <v>2857</v>
      </c>
      <c r="B6930" t="s">
        <v>2865</v>
      </c>
      <c r="C6930" t="s">
        <v>1415</v>
      </c>
      <c r="D6930" t="s">
        <v>2880</v>
      </c>
      <c r="E6930">
        <v>0</v>
      </c>
      <c r="F6930" s="11">
        <v>0</v>
      </c>
    </row>
    <row r="6931" spans="1:6" x14ac:dyDescent="0.35">
      <c r="A6931" t="s">
        <v>2857</v>
      </c>
      <c r="B6931" t="s">
        <v>2865</v>
      </c>
      <c r="C6931" t="s">
        <v>1415</v>
      </c>
      <c r="D6931" t="s">
        <v>2881</v>
      </c>
      <c r="E6931">
        <v>0</v>
      </c>
      <c r="F6931" s="11">
        <v>0</v>
      </c>
    </row>
    <row r="6932" spans="1:6" x14ac:dyDescent="0.35">
      <c r="A6932" t="s">
        <v>2857</v>
      </c>
      <c r="B6932" t="s">
        <v>2865</v>
      </c>
      <c r="C6932" t="s">
        <v>1415</v>
      </c>
      <c r="D6932" t="s">
        <v>2882</v>
      </c>
      <c r="E6932">
        <v>0</v>
      </c>
      <c r="F6932" s="11">
        <v>0</v>
      </c>
    </row>
    <row r="6933" spans="1:6" x14ac:dyDescent="0.35">
      <c r="A6933" t="s">
        <v>2857</v>
      </c>
      <c r="B6933" t="s">
        <v>2865</v>
      </c>
      <c r="C6933" t="s">
        <v>1415</v>
      </c>
      <c r="D6933" t="s">
        <v>2883</v>
      </c>
      <c r="E6933">
        <v>0</v>
      </c>
      <c r="F6933" s="11">
        <v>0</v>
      </c>
    </row>
    <row r="6934" spans="1:6" x14ac:dyDescent="0.35">
      <c r="A6934" t="s">
        <v>2857</v>
      </c>
      <c r="B6934" t="s">
        <v>2865</v>
      </c>
      <c r="C6934" t="s">
        <v>1415</v>
      </c>
      <c r="D6934" t="s">
        <v>2884</v>
      </c>
      <c r="E6934">
        <v>0</v>
      </c>
      <c r="F6934" s="11">
        <v>0</v>
      </c>
    </row>
    <row r="6935" spans="1:6" x14ac:dyDescent="0.35">
      <c r="A6935" t="s">
        <v>2857</v>
      </c>
      <c r="B6935" t="s">
        <v>2865</v>
      </c>
      <c r="C6935" t="s">
        <v>1415</v>
      </c>
      <c r="D6935" t="s">
        <v>2885</v>
      </c>
      <c r="E6935">
        <v>0</v>
      </c>
      <c r="F6935" s="11">
        <v>0</v>
      </c>
    </row>
    <row r="6936" spans="1:6" x14ac:dyDescent="0.35">
      <c r="A6936" t="s">
        <v>2857</v>
      </c>
      <c r="B6936" t="s">
        <v>2865</v>
      </c>
      <c r="C6936" t="s">
        <v>1415</v>
      </c>
      <c r="D6936" t="s">
        <v>2886</v>
      </c>
      <c r="E6936">
        <v>0</v>
      </c>
      <c r="F6936" s="11">
        <v>0</v>
      </c>
    </row>
    <row r="6937" spans="1:6" x14ac:dyDescent="0.35">
      <c r="A6937" t="s">
        <v>2857</v>
      </c>
      <c r="B6937" t="s">
        <v>2865</v>
      </c>
      <c r="C6937" t="s">
        <v>1415</v>
      </c>
      <c r="D6937" t="s">
        <v>2887</v>
      </c>
      <c r="E6937">
        <v>83921</v>
      </c>
      <c r="F6937" s="11">
        <v>1</v>
      </c>
    </row>
    <row r="6938" spans="1:6" x14ac:dyDescent="0.35">
      <c r="A6938" t="s">
        <v>2857</v>
      </c>
      <c r="B6938" t="s">
        <v>2865</v>
      </c>
      <c r="C6938" t="s">
        <v>1415</v>
      </c>
      <c r="D6938" t="s">
        <v>2888</v>
      </c>
      <c r="E6938">
        <v>0</v>
      </c>
      <c r="F6938" s="11">
        <v>0</v>
      </c>
    </row>
    <row r="6939" spans="1:6" x14ac:dyDescent="0.35">
      <c r="A6939" t="s">
        <v>2857</v>
      </c>
      <c r="B6939" t="s">
        <v>2865</v>
      </c>
      <c r="C6939" t="s">
        <v>1415</v>
      </c>
      <c r="D6939" t="s">
        <v>2889</v>
      </c>
      <c r="E6939">
        <v>0</v>
      </c>
      <c r="F6939" s="11">
        <v>0</v>
      </c>
    </row>
    <row r="6940" spans="1:6" x14ac:dyDescent="0.35">
      <c r="A6940" t="s">
        <v>2857</v>
      </c>
      <c r="B6940" t="s">
        <v>2865</v>
      </c>
      <c r="C6940" t="s">
        <v>1415</v>
      </c>
      <c r="D6940" t="s">
        <v>2890</v>
      </c>
      <c r="E6940">
        <v>0</v>
      </c>
      <c r="F6940" s="11">
        <v>0</v>
      </c>
    </row>
    <row r="6941" spans="1:6" x14ac:dyDescent="0.35">
      <c r="A6941" t="s">
        <v>2857</v>
      </c>
      <c r="B6941" t="s">
        <v>2865</v>
      </c>
      <c r="C6941" t="s">
        <v>1415</v>
      </c>
      <c r="D6941" t="s">
        <v>2891</v>
      </c>
      <c r="E6941">
        <v>0</v>
      </c>
      <c r="F6941" s="11">
        <v>0</v>
      </c>
    </row>
    <row r="6942" spans="1:6" x14ac:dyDescent="0.35">
      <c r="A6942" t="s">
        <v>2857</v>
      </c>
      <c r="B6942" t="s">
        <v>2865</v>
      </c>
      <c r="C6942" t="s">
        <v>1415</v>
      </c>
      <c r="D6942" t="s">
        <v>2892</v>
      </c>
      <c r="E6942">
        <v>0</v>
      </c>
      <c r="F6942" s="11">
        <v>0</v>
      </c>
    </row>
    <row r="6943" spans="1:6" x14ac:dyDescent="0.35">
      <c r="A6943" t="s">
        <v>2857</v>
      </c>
      <c r="B6943" t="s">
        <v>2865</v>
      </c>
      <c r="C6943" t="s">
        <v>1415</v>
      </c>
      <c r="D6943" t="s">
        <v>2893</v>
      </c>
      <c r="E6943">
        <v>0</v>
      </c>
      <c r="F6943" s="11">
        <v>0</v>
      </c>
    </row>
    <row r="6944" spans="1:6" x14ac:dyDescent="0.35">
      <c r="A6944" t="s">
        <v>2857</v>
      </c>
      <c r="B6944" t="s">
        <v>2865</v>
      </c>
      <c r="C6944" t="s">
        <v>1415</v>
      </c>
      <c r="D6944" t="s">
        <v>2894</v>
      </c>
      <c r="E6944">
        <v>0</v>
      </c>
      <c r="F6944" s="11">
        <v>0</v>
      </c>
    </row>
    <row r="6945" spans="1:6" x14ac:dyDescent="0.35">
      <c r="A6945" t="s">
        <v>2857</v>
      </c>
      <c r="B6945" t="s">
        <v>2865</v>
      </c>
      <c r="C6945" t="s">
        <v>1415</v>
      </c>
      <c r="D6945" t="s">
        <v>2895</v>
      </c>
      <c r="E6945">
        <v>1516390</v>
      </c>
      <c r="F6945" s="11">
        <v>1</v>
      </c>
    </row>
    <row r="6946" spans="1:6" x14ac:dyDescent="0.35">
      <c r="A6946" t="s">
        <v>2857</v>
      </c>
      <c r="B6946" t="s">
        <v>2865</v>
      </c>
      <c r="C6946" t="s">
        <v>1415</v>
      </c>
      <c r="D6946" t="s">
        <v>2896</v>
      </c>
      <c r="E6946">
        <v>480342</v>
      </c>
      <c r="F6946" s="11">
        <v>1</v>
      </c>
    </row>
    <row r="6947" spans="1:6" x14ac:dyDescent="0.35">
      <c r="A6947" t="s">
        <v>2857</v>
      </c>
      <c r="B6947" t="s">
        <v>2865</v>
      </c>
      <c r="C6947" t="s">
        <v>1415</v>
      </c>
      <c r="D6947" t="s">
        <v>2897</v>
      </c>
      <c r="E6947">
        <v>26281</v>
      </c>
      <c r="F6947" s="11">
        <v>1</v>
      </c>
    </row>
    <row r="6948" spans="1:6" x14ac:dyDescent="0.35">
      <c r="A6948" t="s">
        <v>2857</v>
      </c>
      <c r="B6948" t="s">
        <v>2865</v>
      </c>
      <c r="C6948" t="s">
        <v>1415</v>
      </c>
      <c r="D6948" t="s">
        <v>2898</v>
      </c>
      <c r="E6948">
        <v>1009767</v>
      </c>
      <c r="F6948" s="11">
        <v>1</v>
      </c>
    </row>
    <row r="6949" spans="1:6" x14ac:dyDescent="0.35">
      <c r="A6949" t="s">
        <v>2857</v>
      </c>
      <c r="B6949" t="s">
        <v>2865</v>
      </c>
      <c r="C6949" t="s">
        <v>1415</v>
      </c>
      <c r="D6949" t="s">
        <v>2899</v>
      </c>
      <c r="E6949">
        <v>54879</v>
      </c>
      <c r="F6949" s="11">
        <v>1</v>
      </c>
    </row>
    <row r="6950" spans="1:6" x14ac:dyDescent="0.35">
      <c r="A6950" t="s">
        <v>2857</v>
      </c>
      <c r="B6950" t="s">
        <v>2865</v>
      </c>
      <c r="C6950" t="s">
        <v>1415</v>
      </c>
      <c r="D6950" t="s">
        <v>2900</v>
      </c>
      <c r="E6950">
        <v>2376</v>
      </c>
      <c r="F6950" s="11">
        <v>1</v>
      </c>
    </row>
    <row r="6951" spans="1:6" x14ac:dyDescent="0.35">
      <c r="A6951" t="s">
        <v>2857</v>
      </c>
      <c r="B6951" t="s">
        <v>2865</v>
      </c>
      <c r="C6951" t="s">
        <v>1415</v>
      </c>
      <c r="D6951" t="s">
        <v>2901</v>
      </c>
      <c r="E6951">
        <v>247</v>
      </c>
      <c r="F6951" s="11">
        <v>1</v>
      </c>
    </row>
    <row r="6952" spans="1:6" x14ac:dyDescent="0.35">
      <c r="A6952" t="s">
        <v>2857</v>
      </c>
      <c r="B6952" t="s">
        <v>2865</v>
      </c>
      <c r="C6952" t="s">
        <v>1415</v>
      </c>
      <c r="D6952" t="s">
        <v>2902</v>
      </c>
      <c r="E6952">
        <v>52256</v>
      </c>
      <c r="F6952" s="11">
        <v>1</v>
      </c>
    </row>
    <row r="6953" spans="1:6" x14ac:dyDescent="0.35">
      <c r="A6953" t="s">
        <v>2857</v>
      </c>
      <c r="B6953" t="s">
        <v>2865</v>
      </c>
      <c r="C6953" t="s">
        <v>1415</v>
      </c>
      <c r="D6953" t="s">
        <v>2903</v>
      </c>
      <c r="E6953">
        <v>149665</v>
      </c>
      <c r="F6953" s="11">
        <v>1</v>
      </c>
    </row>
    <row r="6954" spans="1:6" x14ac:dyDescent="0.35">
      <c r="A6954" t="s">
        <v>2857</v>
      </c>
      <c r="B6954" t="s">
        <v>2865</v>
      </c>
      <c r="C6954" t="s">
        <v>1415</v>
      </c>
      <c r="D6954" t="s">
        <v>2904</v>
      </c>
      <c r="E6954">
        <v>0</v>
      </c>
      <c r="F6954" s="11">
        <v>0</v>
      </c>
    </row>
    <row r="6955" spans="1:6" x14ac:dyDescent="0.35">
      <c r="A6955" t="s">
        <v>2857</v>
      </c>
      <c r="B6955" t="s">
        <v>2865</v>
      </c>
      <c r="C6955" t="s">
        <v>1415</v>
      </c>
      <c r="D6955" t="s">
        <v>2905</v>
      </c>
      <c r="E6955">
        <v>0</v>
      </c>
      <c r="F6955" s="11">
        <v>0</v>
      </c>
    </row>
    <row r="6956" spans="1:6" x14ac:dyDescent="0.35">
      <c r="A6956" t="s">
        <v>2857</v>
      </c>
      <c r="B6956" t="s">
        <v>2865</v>
      </c>
      <c r="C6956" t="s">
        <v>1415</v>
      </c>
      <c r="D6956" t="s">
        <v>2906</v>
      </c>
      <c r="E6956">
        <v>0</v>
      </c>
      <c r="F6956" s="11">
        <v>0</v>
      </c>
    </row>
    <row r="6957" spans="1:6" x14ac:dyDescent="0.35">
      <c r="A6957" t="s">
        <v>2857</v>
      </c>
      <c r="B6957" t="s">
        <v>2865</v>
      </c>
      <c r="C6957" t="s">
        <v>1415</v>
      </c>
      <c r="D6957" t="s">
        <v>2907</v>
      </c>
      <c r="E6957">
        <v>159620</v>
      </c>
      <c r="F6957" s="11">
        <v>1</v>
      </c>
    </row>
    <row r="6958" spans="1:6" x14ac:dyDescent="0.35">
      <c r="A6958" t="s">
        <v>2857</v>
      </c>
      <c r="B6958" t="s">
        <v>2865</v>
      </c>
      <c r="C6958" t="s">
        <v>1415</v>
      </c>
      <c r="D6958" t="s">
        <v>2908</v>
      </c>
      <c r="E6958">
        <v>0</v>
      </c>
      <c r="F6958" s="11">
        <v>0</v>
      </c>
    </row>
    <row r="6959" spans="1:6" x14ac:dyDescent="0.35">
      <c r="A6959" t="s">
        <v>2857</v>
      </c>
      <c r="B6959" t="s">
        <v>2865</v>
      </c>
      <c r="C6959" t="s">
        <v>1415</v>
      </c>
      <c r="D6959" t="s">
        <v>2909</v>
      </c>
      <c r="E6959">
        <v>0</v>
      </c>
      <c r="F6959" s="11">
        <v>0</v>
      </c>
    </row>
    <row r="6960" spans="1:6" x14ac:dyDescent="0.35">
      <c r="A6960" t="s">
        <v>2857</v>
      </c>
      <c r="B6960" t="s">
        <v>2865</v>
      </c>
      <c r="C6960" t="s">
        <v>1415</v>
      </c>
      <c r="D6960" t="s">
        <v>2910</v>
      </c>
      <c r="E6960">
        <v>0</v>
      </c>
      <c r="F6960" s="11">
        <v>0</v>
      </c>
    </row>
    <row r="6961" spans="1:6" x14ac:dyDescent="0.35">
      <c r="A6961" t="s">
        <v>2857</v>
      </c>
      <c r="B6961" t="s">
        <v>2865</v>
      </c>
      <c r="C6961" t="s">
        <v>1415</v>
      </c>
      <c r="D6961" t="s">
        <v>2911</v>
      </c>
      <c r="E6961">
        <v>1048863</v>
      </c>
      <c r="F6961" s="11">
        <v>1</v>
      </c>
    </row>
    <row r="6962" spans="1:6" x14ac:dyDescent="0.35">
      <c r="A6962" t="s">
        <v>2857</v>
      </c>
      <c r="B6962" t="s">
        <v>2865</v>
      </c>
      <c r="C6962" t="s">
        <v>1415</v>
      </c>
      <c r="D6962" t="s">
        <v>2912</v>
      </c>
      <c r="E6962">
        <v>0</v>
      </c>
      <c r="F6962" s="11">
        <v>0</v>
      </c>
    </row>
    <row r="6963" spans="1:6" x14ac:dyDescent="0.35">
      <c r="A6963" t="s">
        <v>2857</v>
      </c>
      <c r="B6963" t="s">
        <v>2865</v>
      </c>
      <c r="C6963" t="s">
        <v>1415</v>
      </c>
      <c r="D6963" t="s">
        <v>2913</v>
      </c>
      <c r="E6963">
        <v>0</v>
      </c>
      <c r="F6963" s="11">
        <v>0</v>
      </c>
    </row>
    <row r="6964" spans="1:6" x14ac:dyDescent="0.35">
      <c r="A6964" t="s">
        <v>2857</v>
      </c>
      <c r="B6964" t="s">
        <v>2865</v>
      </c>
      <c r="C6964" t="s">
        <v>1415</v>
      </c>
      <c r="D6964" t="s">
        <v>2914</v>
      </c>
      <c r="E6964">
        <v>66604</v>
      </c>
      <c r="F6964" s="11">
        <v>1</v>
      </c>
    </row>
    <row r="6965" spans="1:6" x14ac:dyDescent="0.35">
      <c r="A6965" t="s">
        <v>2857</v>
      </c>
      <c r="B6965" t="s">
        <v>2865</v>
      </c>
      <c r="C6965" t="s">
        <v>1415</v>
      </c>
      <c r="D6965" t="s">
        <v>2915</v>
      </c>
      <c r="E6965">
        <v>6772</v>
      </c>
      <c r="F6965" s="11">
        <v>1</v>
      </c>
    </row>
    <row r="6966" spans="1:6" x14ac:dyDescent="0.35">
      <c r="A6966" t="s">
        <v>2857</v>
      </c>
      <c r="B6966" t="s">
        <v>2865</v>
      </c>
      <c r="C6966" t="s">
        <v>1415</v>
      </c>
      <c r="D6966" t="s">
        <v>2916</v>
      </c>
      <c r="E6966">
        <v>71573</v>
      </c>
      <c r="F6966" s="11">
        <v>1</v>
      </c>
    </row>
    <row r="6967" spans="1:6" x14ac:dyDescent="0.35">
      <c r="A6967" t="s">
        <v>2857</v>
      </c>
      <c r="B6967" t="s">
        <v>2865</v>
      </c>
      <c r="C6967" t="s">
        <v>1415</v>
      </c>
      <c r="D6967" t="s">
        <v>2917</v>
      </c>
      <c r="E6967">
        <v>70187</v>
      </c>
      <c r="F6967" s="11">
        <v>1</v>
      </c>
    </row>
    <row r="6968" spans="1:6" x14ac:dyDescent="0.35">
      <c r="A6968" t="s">
        <v>2857</v>
      </c>
      <c r="B6968" t="s">
        <v>2865</v>
      </c>
      <c r="C6968" t="s">
        <v>1460</v>
      </c>
      <c r="D6968" t="s">
        <v>2875</v>
      </c>
      <c r="E6968">
        <v>23325</v>
      </c>
      <c r="F6968" s="11">
        <v>1</v>
      </c>
    </row>
    <row r="6969" spans="1:6" x14ac:dyDescent="0.35">
      <c r="A6969" t="s">
        <v>2857</v>
      </c>
      <c r="B6969" t="s">
        <v>2865</v>
      </c>
      <c r="C6969" t="s">
        <v>1460</v>
      </c>
      <c r="D6969" t="s">
        <v>2876</v>
      </c>
      <c r="E6969">
        <v>6579</v>
      </c>
      <c r="F6969" s="11">
        <v>1</v>
      </c>
    </row>
    <row r="6970" spans="1:6" x14ac:dyDescent="0.35">
      <c r="A6970" t="s">
        <v>2857</v>
      </c>
      <c r="B6970" t="s">
        <v>2865</v>
      </c>
      <c r="C6970" t="s">
        <v>1460</v>
      </c>
      <c r="D6970" t="s">
        <v>2877</v>
      </c>
      <c r="E6970">
        <v>1671</v>
      </c>
      <c r="F6970" s="11">
        <v>1</v>
      </c>
    </row>
    <row r="6971" spans="1:6" x14ac:dyDescent="0.35">
      <c r="A6971" t="s">
        <v>2857</v>
      </c>
      <c r="B6971" t="s">
        <v>2865</v>
      </c>
      <c r="C6971" t="s">
        <v>1460</v>
      </c>
      <c r="D6971" t="s">
        <v>2878</v>
      </c>
      <c r="E6971">
        <v>15075</v>
      </c>
      <c r="F6971" s="11">
        <v>1</v>
      </c>
    </row>
    <row r="6972" spans="1:6" x14ac:dyDescent="0.35">
      <c r="A6972" t="s">
        <v>2857</v>
      </c>
      <c r="B6972" t="s">
        <v>2865</v>
      </c>
      <c r="C6972" t="s">
        <v>1460</v>
      </c>
      <c r="D6972" t="s">
        <v>2879</v>
      </c>
      <c r="E6972">
        <v>3325</v>
      </c>
      <c r="F6972" s="11">
        <v>1</v>
      </c>
    </row>
    <row r="6973" spans="1:6" x14ac:dyDescent="0.35">
      <c r="A6973" t="s">
        <v>2857</v>
      </c>
      <c r="B6973" t="s">
        <v>2865</v>
      </c>
      <c r="C6973" t="s">
        <v>1460</v>
      </c>
      <c r="D6973" t="s">
        <v>2880</v>
      </c>
      <c r="E6973">
        <v>0</v>
      </c>
      <c r="F6973" s="11">
        <v>0</v>
      </c>
    </row>
    <row r="6974" spans="1:6" x14ac:dyDescent="0.35">
      <c r="A6974" t="s">
        <v>2857</v>
      </c>
      <c r="B6974" t="s">
        <v>2865</v>
      </c>
      <c r="C6974" t="s">
        <v>1460</v>
      </c>
      <c r="D6974" t="s">
        <v>2881</v>
      </c>
      <c r="E6974">
        <v>0</v>
      </c>
      <c r="F6974" s="11">
        <v>0</v>
      </c>
    </row>
    <row r="6975" spans="1:6" x14ac:dyDescent="0.35">
      <c r="A6975" t="s">
        <v>2857</v>
      </c>
      <c r="B6975" t="s">
        <v>2865</v>
      </c>
      <c r="C6975" t="s">
        <v>1460</v>
      </c>
      <c r="D6975" t="s">
        <v>2882</v>
      </c>
      <c r="E6975">
        <v>0</v>
      </c>
      <c r="F6975" s="11">
        <v>0</v>
      </c>
    </row>
    <row r="6976" spans="1:6" x14ac:dyDescent="0.35">
      <c r="A6976" t="s">
        <v>2857</v>
      </c>
      <c r="B6976" t="s">
        <v>2865</v>
      </c>
      <c r="C6976" t="s">
        <v>1460</v>
      </c>
      <c r="D6976" t="s">
        <v>2883</v>
      </c>
      <c r="E6976">
        <v>0</v>
      </c>
      <c r="F6976" s="11">
        <v>0</v>
      </c>
    </row>
    <row r="6977" spans="1:6" x14ac:dyDescent="0.35">
      <c r="A6977" t="s">
        <v>2857</v>
      </c>
      <c r="B6977" t="s">
        <v>2865</v>
      </c>
      <c r="C6977" t="s">
        <v>1460</v>
      </c>
      <c r="D6977" t="s">
        <v>2884</v>
      </c>
      <c r="E6977">
        <v>0</v>
      </c>
      <c r="F6977" s="11">
        <v>0</v>
      </c>
    </row>
    <row r="6978" spans="1:6" x14ac:dyDescent="0.35">
      <c r="A6978" t="s">
        <v>2857</v>
      </c>
      <c r="B6978" t="s">
        <v>2865</v>
      </c>
      <c r="C6978" t="s">
        <v>1460</v>
      </c>
      <c r="D6978" t="s">
        <v>2885</v>
      </c>
      <c r="E6978">
        <v>0</v>
      </c>
      <c r="F6978" s="11">
        <v>0</v>
      </c>
    </row>
    <row r="6979" spans="1:6" x14ac:dyDescent="0.35">
      <c r="A6979" t="s">
        <v>2857</v>
      </c>
      <c r="B6979" t="s">
        <v>2865</v>
      </c>
      <c r="C6979" t="s">
        <v>1460</v>
      </c>
      <c r="D6979" t="s">
        <v>2886</v>
      </c>
      <c r="E6979">
        <v>0</v>
      </c>
      <c r="F6979" s="11">
        <v>0</v>
      </c>
    </row>
    <row r="6980" spans="1:6" x14ac:dyDescent="0.35">
      <c r="A6980" t="s">
        <v>2857</v>
      </c>
      <c r="B6980" t="s">
        <v>2865</v>
      </c>
      <c r="C6980" t="s">
        <v>1460</v>
      </c>
      <c r="D6980" t="s">
        <v>2887</v>
      </c>
      <c r="E6980">
        <v>0</v>
      </c>
      <c r="F6980" s="11">
        <v>1</v>
      </c>
    </row>
    <row r="6981" spans="1:6" x14ac:dyDescent="0.35">
      <c r="A6981" t="s">
        <v>2857</v>
      </c>
      <c r="B6981" t="s">
        <v>2865</v>
      </c>
      <c r="C6981" t="s">
        <v>1460</v>
      </c>
      <c r="D6981" t="s">
        <v>2888</v>
      </c>
      <c r="E6981">
        <v>0</v>
      </c>
      <c r="F6981" s="11">
        <v>0</v>
      </c>
    </row>
    <row r="6982" spans="1:6" x14ac:dyDescent="0.35">
      <c r="A6982" t="s">
        <v>2857</v>
      </c>
      <c r="B6982" t="s">
        <v>2865</v>
      </c>
      <c r="C6982" t="s">
        <v>1460</v>
      </c>
      <c r="D6982" t="s">
        <v>2889</v>
      </c>
      <c r="E6982">
        <v>0</v>
      </c>
      <c r="F6982" s="11">
        <v>0</v>
      </c>
    </row>
    <row r="6983" spans="1:6" x14ac:dyDescent="0.35">
      <c r="A6983" t="s">
        <v>2857</v>
      </c>
      <c r="B6983" t="s">
        <v>2865</v>
      </c>
      <c r="C6983" t="s">
        <v>1460</v>
      </c>
      <c r="D6983" t="s">
        <v>2890</v>
      </c>
      <c r="E6983">
        <v>0</v>
      </c>
      <c r="F6983" s="11">
        <v>0</v>
      </c>
    </row>
    <row r="6984" spans="1:6" x14ac:dyDescent="0.35">
      <c r="A6984" t="s">
        <v>2857</v>
      </c>
      <c r="B6984" t="s">
        <v>2865</v>
      </c>
      <c r="C6984" t="s">
        <v>1460</v>
      </c>
      <c r="D6984" t="s">
        <v>2891</v>
      </c>
      <c r="E6984">
        <v>0</v>
      </c>
      <c r="F6984" s="11">
        <v>0</v>
      </c>
    </row>
    <row r="6985" spans="1:6" x14ac:dyDescent="0.35">
      <c r="A6985" t="s">
        <v>2857</v>
      </c>
      <c r="B6985" t="s">
        <v>2865</v>
      </c>
      <c r="C6985" t="s">
        <v>1460</v>
      </c>
      <c r="D6985" t="s">
        <v>2892</v>
      </c>
      <c r="E6985">
        <v>0</v>
      </c>
      <c r="F6985" s="11">
        <v>0</v>
      </c>
    </row>
    <row r="6986" spans="1:6" x14ac:dyDescent="0.35">
      <c r="A6986" t="s">
        <v>2857</v>
      </c>
      <c r="B6986" t="s">
        <v>2865</v>
      </c>
      <c r="C6986" t="s">
        <v>1460</v>
      </c>
      <c r="D6986" t="s">
        <v>2893</v>
      </c>
      <c r="E6986">
        <v>0</v>
      </c>
      <c r="F6986" s="11">
        <v>0</v>
      </c>
    </row>
    <row r="6987" spans="1:6" x14ac:dyDescent="0.35">
      <c r="A6987" t="s">
        <v>2857</v>
      </c>
      <c r="B6987" t="s">
        <v>2865</v>
      </c>
      <c r="C6987" t="s">
        <v>1460</v>
      </c>
      <c r="D6987" t="s">
        <v>2894</v>
      </c>
      <c r="E6987">
        <v>0</v>
      </c>
      <c r="F6987" s="11">
        <v>0</v>
      </c>
    </row>
    <row r="6988" spans="1:6" x14ac:dyDescent="0.35">
      <c r="A6988" t="s">
        <v>2857</v>
      </c>
      <c r="B6988" t="s">
        <v>2865</v>
      </c>
      <c r="C6988" t="s">
        <v>1460</v>
      </c>
      <c r="D6988" t="s">
        <v>2895</v>
      </c>
      <c r="E6988">
        <v>535270</v>
      </c>
      <c r="F6988" s="11">
        <v>1</v>
      </c>
    </row>
    <row r="6989" spans="1:6" x14ac:dyDescent="0.35">
      <c r="A6989" t="s">
        <v>2857</v>
      </c>
      <c r="B6989" t="s">
        <v>2865</v>
      </c>
      <c r="C6989" t="s">
        <v>1460</v>
      </c>
      <c r="D6989" t="s">
        <v>2896</v>
      </c>
      <c r="E6989">
        <v>0</v>
      </c>
      <c r="F6989" s="11">
        <v>0</v>
      </c>
    </row>
    <row r="6990" spans="1:6" x14ac:dyDescent="0.35">
      <c r="A6990" t="s">
        <v>2857</v>
      </c>
      <c r="B6990" t="s">
        <v>2865</v>
      </c>
      <c r="C6990" t="s">
        <v>1460</v>
      </c>
      <c r="D6990" t="s">
        <v>2897</v>
      </c>
      <c r="E6990">
        <v>0</v>
      </c>
      <c r="F6990" s="11">
        <v>0</v>
      </c>
    </row>
    <row r="6991" spans="1:6" x14ac:dyDescent="0.35">
      <c r="A6991" t="s">
        <v>2857</v>
      </c>
      <c r="B6991" t="s">
        <v>2865</v>
      </c>
      <c r="C6991" t="s">
        <v>1460</v>
      </c>
      <c r="D6991" t="s">
        <v>2898</v>
      </c>
      <c r="E6991">
        <v>0</v>
      </c>
      <c r="F6991" s="11">
        <v>0</v>
      </c>
    </row>
    <row r="6992" spans="1:6" x14ac:dyDescent="0.35">
      <c r="A6992" t="s">
        <v>2857</v>
      </c>
      <c r="B6992" t="s">
        <v>2865</v>
      </c>
      <c r="C6992" t="s">
        <v>1460</v>
      </c>
      <c r="D6992" t="s">
        <v>2899</v>
      </c>
      <c r="E6992">
        <v>22941</v>
      </c>
      <c r="F6992" s="11">
        <v>0</v>
      </c>
    </row>
    <row r="6993" spans="1:6" x14ac:dyDescent="0.35">
      <c r="A6993" t="s">
        <v>2857</v>
      </c>
      <c r="B6993" t="s">
        <v>2865</v>
      </c>
      <c r="C6993" t="s">
        <v>1460</v>
      </c>
      <c r="D6993" t="s">
        <v>2900</v>
      </c>
      <c r="E6993">
        <v>0</v>
      </c>
      <c r="F6993" s="11">
        <v>0</v>
      </c>
    </row>
    <row r="6994" spans="1:6" x14ac:dyDescent="0.35">
      <c r="A6994" t="s">
        <v>2857</v>
      </c>
      <c r="B6994" t="s">
        <v>2865</v>
      </c>
      <c r="C6994" t="s">
        <v>1460</v>
      </c>
      <c r="D6994" t="s">
        <v>2901</v>
      </c>
      <c r="E6994">
        <v>0</v>
      </c>
      <c r="F6994" s="11">
        <v>0</v>
      </c>
    </row>
    <row r="6995" spans="1:6" x14ac:dyDescent="0.35">
      <c r="A6995" t="s">
        <v>2857</v>
      </c>
      <c r="B6995" t="s">
        <v>2865</v>
      </c>
      <c r="C6995" t="s">
        <v>1460</v>
      </c>
      <c r="D6995" t="s">
        <v>2902</v>
      </c>
      <c r="E6995">
        <v>0</v>
      </c>
      <c r="F6995" s="11">
        <v>0</v>
      </c>
    </row>
    <row r="6996" spans="1:6" x14ac:dyDescent="0.35">
      <c r="A6996" t="s">
        <v>2857</v>
      </c>
      <c r="B6996" t="s">
        <v>2865</v>
      </c>
      <c r="C6996" t="s">
        <v>1460</v>
      </c>
      <c r="D6996" t="s">
        <v>2903</v>
      </c>
      <c r="E6996">
        <v>70595</v>
      </c>
      <c r="F6996" s="11">
        <v>0</v>
      </c>
    </row>
    <row r="6997" spans="1:6" x14ac:dyDescent="0.35">
      <c r="A6997" t="s">
        <v>2857</v>
      </c>
      <c r="B6997" t="s">
        <v>2865</v>
      </c>
      <c r="C6997" t="s">
        <v>1460</v>
      </c>
      <c r="D6997" t="s">
        <v>2904</v>
      </c>
      <c r="E6997">
        <v>0</v>
      </c>
      <c r="F6997" s="11">
        <v>0</v>
      </c>
    </row>
    <row r="6998" spans="1:6" x14ac:dyDescent="0.35">
      <c r="A6998" t="s">
        <v>2857</v>
      </c>
      <c r="B6998" t="s">
        <v>2865</v>
      </c>
      <c r="C6998" t="s">
        <v>1460</v>
      </c>
      <c r="D6998" t="s">
        <v>2905</v>
      </c>
      <c r="E6998">
        <v>0</v>
      </c>
      <c r="F6998" s="11">
        <v>0</v>
      </c>
    </row>
    <row r="6999" spans="1:6" x14ac:dyDescent="0.35">
      <c r="A6999" t="s">
        <v>2857</v>
      </c>
      <c r="B6999" t="s">
        <v>2865</v>
      </c>
      <c r="C6999" t="s">
        <v>1460</v>
      </c>
      <c r="D6999" t="s">
        <v>2906</v>
      </c>
      <c r="E6999">
        <v>0</v>
      </c>
      <c r="F6999" s="11">
        <v>0</v>
      </c>
    </row>
    <row r="7000" spans="1:6" x14ac:dyDescent="0.35">
      <c r="A7000" t="s">
        <v>2857</v>
      </c>
      <c r="B7000" t="s">
        <v>2865</v>
      </c>
      <c r="C7000" t="s">
        <v>1460</v>
      </c>
      <c r="D7000" t="s">
        <v>2907</v>
      </c>
      <c r="E7000">
        <v>65716</v>
      </c>
      <c r="F7000" s="11">
        <v>0</v>
      </c>
    </row>
    <row r="7001" spans="1:6" x14ac:dyDescent="0.35">
      <c r="A7001" t="s">
        <v>2857</v>
      </c>
      <c r="B7001" t="s">
        <v>2865</v>
      </c>
      <c r="C7001" t="s">
        <v>1460</v>
      </c>
      <c r="D7001" t="s">
        <v>2908</v>
      </c>
      <c r="E7001">
        <v>0</v>
      </c>
      <c r="F7001" s="11">
        <v>0</v>
      </c>
    </row>
    <row r="7002" spans="1:6" x14ac:dyDescent="0.35">
      <c r="A7002" t="s">
        <v>2857</v>
      </c>
      <c r="B7002" t="s">
        <v>2865</v>
      </c>
      <c r="C7002" t="s">
        <v>1460</v>
      </c>
      <c r="D7002" t="s">
        <v>2909</v>
      </c>
      <c r="E7002">
        <v>0</v>
      </c>
      <c r="F7002" s="11">
        <v>0</v>
      </c>
    </row>
    <row r="7003" spans="1:6" x14ac:dyDescent="0.35">
      <c r="A7003" t="s">
        <v>2857</v>
      </c>
      <c r="B7003" t="s">
        <v>2865</v>
      </c>
      <c r="C7003" t="s">
        <v>1460</v>
      </c>
      <c r="D7003" t="s">
        <v>2910</v>
      </c>
      <c r="E7003">
        <v>0</v>
      </c>
      <c r="F7003" s="11">
        <v>0</v>
      </c>
    </row>
    <row r="7004" spans="1:6" x14ac:dyDescent="0.35">
      <c r="A7004" t="s">
        <v>2857</v>
      </c>
      <c r="B7004" t="s">
        <v>2865</v>
      </c>
      <c r="C7004" t="s">
        <v>1460</v>
      </c>
      <c r="D7004" t="s">
        <v>2911</v>
      </c>
      <c r="E7004">
        <v>1018131</v>
      </c>
      <c r="F7004" s="11">
        <v>1</v>
      </c>
    </row>
    <row r="7005" spans="1:6" x14ac:dyDescent="0.35">
      <c r="A7005" t="s">
        <v>2857</v>
      </c>
      <c r="B7005" t="s">
        <v>2865</v>
      </c>
      <c r="C7005" t="s">
        <v>1460</v>
      </c>
      <c r="D7005" t="s">
        <v>2912</v>
      </c>
      <c r="E7005">
        <v>0</v>
      </c>
      <c r="F7005" s="11">
        <v>0</v>
      </c>
    </row>
    <row r="7006" spans="1:6" x14ac:dyDescent="0.35">
      <c r="A7006" t="s">
        <v>2857</v>
      </c>
      <c r="B7006" t="s">
        <v>2865</v>
      </c>
      <c r="C7006" t="s">
        <v>1460</v>
      </c>
      <c r="D7006" t="s">
        <v>2913</v>
      </c>
      <c r="E7006">
        <v>0</v>
      </c>
      <c r="F7006" s="11">
        <v>0</v>
      </c>
    </row>
    <row r="7007" spans="1:6" x14ac:dyDescent="0.35">
      <c r="A7007" t="s">
        <v>2857</v>
      </c>
      <c r="B7007" t="s">
        <v>2865</v>
      </c>
      <c r="C7007" t="s">
        <v>1460</v>
      </c>
      <c r="D7007" t="s">
        <v>2914</v>
      </c>
      <c r="E7007">
        <v>0</v>
      </c>
      <c r="F7007" s="11">
        <v>0</v>
      </c>
    </row>
    <row r="7008" spans="1:6" x14ac:dyDescent="0.35">
      <c r="A7008" t="s">
        <v>2857</v>
      </c>
      <c r="B7008" t="s">
        <v>2865</v>
      </c>
      <c r="C7008" t="s">
        <v>1460</v>
      </c>
      <c r="D7008" t="s">
        <v>2915</v>
      </c>
      <c r="E7008">
        <v>0</v>
      </c>
      <c r="F7008" s="11">
        <v>0</v>
      </c>
    </row>
    <row r="7009" spans="1:6" x14ac:dyDescent="0.35">
      <c r="A7009" t="s">
        <v>2857</v>
      </c>
      <c r="B7009" t="s">
        <v>2865</v>
      </c>
      <c r="C7009" t="s">
        <v>1460</v>
      </c>
      <c r="D7009" t="s">
        <v>2916</v>
      </c>
      <c r="E7009">
        <v>71610</v>
      </c>
      <c r="F7009" s="11">
        <v>1</v>
      </c>
    </row>
    <row r="7010" spans="1:6" x14ac:dyDescent="0.35">
      <c r="A7010" t="s">
        <v>2857</v>
      </c>
      <c r="B7010" t="s">
        <v>2865</v>
      </c>
      <c r="C7010" t="s">
        <v>1460</v>
      </c>
      <c r="D7010" t="s">
        <v>2917</v>
      </c>
      <c r="E7010">
        <v>0</v>
      </c>
      <c r="F7010" s="11">
        <v>0</v>
      </c>
    </row>
    <row r="7011" spans="1:6" x14ac:dyDescent="0.35">
      <c r="A7011" t="s">
        <v>2857</v>
      </c>
      <c r="B7011" t="s">
        <v>2866</v>
      </c>
      <c r="C7011" t="s">
        <v>1438</v>
      </c>
      <c r="D7011" t="s">
        <v>2875</v>
      </c>
      <c r="E7011">
        <v>62479</v>
      </c>
      <c r="F7011" s="11">
        <v>1</v>
      </c>
    </row>
    <row r="7012" spans="1:6" x14ac:dyDescent="0.35">
      <c r="A7012" t="s">
        <v>2857</v>
      </c>
      <c r="B7012" t="s">
        <v>2866</v>
      </c>
      <c r="C7012" t="s">
        <v>1438</v>
      </c>
      <c r="D7012" t="s">
        <v>2876</v>
      </c>
      <c r="E7012">
        <v>22536</v>
      </c>
      <c r="F7012" s="11">
        <v>0</v>
      </c>
    </row>
    <row r="7013" spans="1:6" x14ac:dyDescent="0.35">
      <c r="A7013" t="s">
        <v>2857</v>
      </c>
      <c r="B7013" t="s">
        <v>2866</v>
      </c>
      <c r="C7013" t="s">
        <v>1438</v>
      </c>
      <c r="D7013" t="s">
        <v>2877</v>
      </c>
      <c r="E7013">
        <v>5738</v>
      </c>
      <c r="F7013" s="11">
        <v>0</v>
      </c>
    </row>
    <row r="7014" spans="1:6" x14ac:dyDescent="0.35">
      <c r="A7014" t="s">
        <v>2857</v>
      </c>
      <c r="B7014" t="s">
        <v>2866</v>
      </c>
      <c r="C7014" t="s">
        <v>1438</v>
      </c>
      <c r="D7014" t="s">
        <v>2878</v>
      </c>
      <c r="E7014">
        <v>34205</v>
      </c>
      <c r="F7014" s="11">
        <v>0</v>
      </c>
    </row>
    <row r="7015" spans="1:6" x14ac:dyDescent="0.35">
      <c r="A7015" t="s">
        <v>2857</v>
      </c>
      <c r="B7015" t="s">
        <v>2866</v>
      </c>
      <c r="C7015" t="s">
        <v>1438</v>
      </c>
      <c r="D7015" t="s">
        <v>2879</v>
      </c>
      <c r="E7015">
        <v>8403</v>
      </c>
      <c r="F7015" s="11">
        <v>1</v>
      </c>
    </row>
    <row r="7016" spans="1:6" x14ac:dyDescent="0.35">
      <c r="A7016" t="s">
        <v>2857</v>
      </c>
      <c r="B7016" t="s">
        <v>2866</v>
      </c>
      <c r="C7016" t="s">
        <v>1438</v>
      </c>
      <c r="D7016" t="s">
        <v>2880</v>
      </c>
      <c r="E7016">
        <v>3108</v>
      </c>
      <c r="F7016" s="11">
        <v>1</v>
      </c>
    </row>
    <row r="7017" spans="1:6" x14ac:dyDescent="0.35">
      <c r="A7017" t="s">
        <v>2857</v>
      </c>
      <c r="B7017" t="s">
        <v>2866</v>
      </c>
      <c r="C7017" t="s">
        <v>1438</v>
      </c>
      <c r="D7017" t="s">
        <v>2881</v>
      </c>
      <c r="E7017">
        <v>207</v>
      </c>
      <c r="F7017" s="11">
        <v>1</v>
      </c>
    </row>
    <row r="7018" spans="1:6" x14ac:dyDescent="0.35">
      <c r="A7018" t="s">
        <v>2857</v>
      </c>
      <c r="B7018" t="s">
        <v>2866</v>
      </c>
      <c r="C7018" t="s">
        <v>1438</v>
      </c>
      <c r="D7018" t="s">
        <v>2882</v>
      </c>
      <c r="E7018">
        <v>5088</v>
      </c>
      <c r="F7018" s="11">
        <v>1</v>
      </c>
    </row>
    <row r="7019" spans="1:6" x14ac:dyDescent="0.35">
      <c r="A7019" t="s">
        <v>2857</v>
      </c>
      <c r="B7019" t="s">
        <v>2866</v>
      </c>
      <c r="C7019" t="s">
        <v>1438</v>
      </c>
      <c r="D7019" t="s">
        <v>2883</v>
      </c>
      <c r="E7019">
        <v>0</v>
      </c>
      <c r="F7019" s="11">
        <v>0</v>
      </c>
    </row>
    <row r="7020" spans="1:6" x14ac:dyDescent="0.35">
      <c r="A7020" t="s">
        <v>2857</v>
      </c>
      <c r="B7020" t="s">
        <v>2866</v>
      </c>
      <c r="C7020" t="s">
        <v>1438</v>
      </c>
      <c r="D7020" t="s">
        <v>2884</v>
      </c>
      <c r="E7020">
        <v>0</v>
      </c>
      <c r="F7020" s="11">
        <v>0</v>
      </c>
    </row>
    <row r="7021" spans="1:6" x14ac:dyDescent="0.35">
      <c r="A7021" t="s">
        <v>2857</v>
      </c>
      <c r="B7021" t="s">
        <v>2866</v>
      </c>
      <c r="C7021" t="s">
        <v>1438</v>
      </c>
      <c r="D7021" t="s">
        <v>2885</v>
      </c>
      <c r="E7021">
        <v>0</v>
      </c>
      <c r="F7021" s="11">
        <v>0</v>
      </c>
    </row>
    <row r="7022" spans="1:6" x14ac:dyDescent="0.35">
      <c r="A7022" t="s">
        <v>2857</v>
      </c>
      <c r="B7022" t="s">
        <v>2866</v>
      </c>
      <c r="C7022" t="s">
        <v>1438</v>
      </c>
      <c r="D7022" t="s">
        <v>2886</v>
      </c>
      <c r="E7022">
        <v>0</v>
      </c>
      <c r="F7022" s="11">
        <v>0</v>
      </c>
    </row>
    <row r="7023" spans="1:6" x14ac:dyDescent="0.35">
      <c r="A7023" t="s">
        <v>2857</v>
      </c>
      <c r="B7023" t="s">
        <v>2866</v>
      </c>
      <c r="C7023" t="s">
        <v>1438</v>
      </c>
      <c r="D7023" t="s">
        <v>2887</v>
      </c>
      <c r="E7023">
        <v>104476</v>
      </c>
      <c r="F7023" s="11">
        <v>1</v>
      </c>
    </row>
    <row r="7024" spans="1:6" x14ac:dyDescent="0.35">
      <c r="A7024" t="s">
        <v>2857</v>
      </c>
      <c r="B7024" t="s">
        <v>2866</v>
      </c>
      <c r="C7024" t="s">
        <v>1438</v>
      </c>
      <c r="D7024" t="s">
        <v>2888</v>
      </c>
      <c r="E7024">
        <v>44748</v>
      </c>
      <c r="F7024" s="11">
        <v>1</v>
      </c>
    </row>
    <row r="7025" spans="1:6" x14ac:dyDescent="0.35">
      <c r="A7025" t="s">
        <v>2857</v>
      </c>
      <c r="B7025" t="s">
        <v>2866</v>
      </c>
      <c r="C7025" t="s">
        <v>1438</v>
      </c>
      <c r="D7025" t="s">
        <v>2889</v>
      </c>
      <c r="E7025">
        <v>57401</v>
      </c>
      <c r="F7025" s="11">
        <v>1</v>
      </c>
    </row>
    <row r="7026" spans="1:6" x14ac:dyDescent="0.35">
      <c r="A7026" t="s">
        <v>2857</v>
      </c>
      <c r="B7026" t="s">
        <v>2866</v>
      </c>
      <c r="C7026" t="s">
        <v>1438</v>
      </c>
      <c r="D7026" t="s">
        <v>2890</v>
      </c>
      <c r="E7026">
        <v>2327</v>
      </c>
      <c r="F7026" s="11">
        <v>1</v>
      </c>
    </row>
    <row r="7027" spans="1:6" x14ac:dyDescent="0.35">
      <c r="A7027" t="s">
        <v>2857</v>
      </c>
      <c r="B7027" t="s">
        <v>2866</v>
      </c>
      <c r="C7027" t="s">
        <v>1438</v>
      </c>
      <c r="D7027" t="s">
        <v>2891</v>
      </c>
      <c r="E7027">
        <v>0</v>
      </c>
      <c r="F7027" s="11">
        <v>0</v>
      </c>
    </row>
    <row r="7028" spans="1:6" x14ac:dyDescent="0.35">
      <c r="A7028" t="s">
        <v>2857</v>
      </c>
      <c r="B7028" t="s">
        <v>2866</v>
      </c>
      <c r="C7028" t="s">
        <v>1438</v>
      </c>
      <c r="D7028" t="s">
        <v>2892</v>
      </c>
      <c r="E7028">
        <v>0</v>
      </c>
      <c r="F7028" s="11">
        <v>0</v>
      </c>
    </row>
    <row r="7029" spans="1:6" x14ac:dyDescent="0.35">
      <c r="A7029" t="s">
        <v>2857</v>
      </c>
      <c r="B7029" t="s">
        <v>2866</v>
      </c>
      <c r="C7029" t="s">
        <v>1438</v>
      </c>
      <c r="D7029" t="s">
        <v>2893</v>
      </c>
      <c r="E7029">
        <v>0</v>
      </c>
      <c r="F7029" s="11">
        <v>0</v>
      </c>
    </row>
    <row r="7030" spans="1:6" x14ac:dyDescent="0.35">
      <c r="A7030" t="s">
        <v>2857</v>
      </c>
      <c r="B7030" t="s">
        <v>2866</v>
      </c>
      <c r="C7030" t="s">
        <v>1438</v>
      </c>
      <c r="D7030" t="s">
        <v>2894</v>
      </c>
      <c r="E7030">
        <v>0</v>
      </c>
      <c r="F7030" s="11">
        <v>0</v>
      </c>
    </row>
    <row r="7031" spans="1:6" x14ac:dyDescent="0.35">
      <c r="A7031" t="s">
        <v>2857</v>
      </c>
      <c r="B7031" t="s">
        <v>2866</v>
      </c>
      <c r="C7031" t="s">
        <v>1438</v>
      </c>
      <c r="D7031" t="s">
        <v>2895</v>
      </c>
      <c r="E7031">
        <v>550813</v>
      </c>
      <c r="F7031" s="11">
        <v>1</v>
      </c>
    </row>
    <row r="7032" spans="1:6" x14ac:dyDescent="0.35">
      <c r="A7032" t="s">
        <v>2857</v>
      </c>
      <c r="B7032" t="s">
        <v>2866</v>
      </c>
      <c r="C7032" t="s">
        <v>1438</v>
      </c>
      <c r="D7032" t="s">
        <v>2896</v>
      </c>
      <c r="E7032">
        <v>0</v>
      </c>
      <c r="F7032" s="11">
        <v>1</v>
      </c>
    </row>
    <row r="7033" spans="1:6" x14ac:dyDescent="0.35">
      <c r="A7033" t="s">
        <v>2857</v>
      </c>
      <c r="B7033" t="s">
        <v>2866</v>
      </c>
      <c r="C7033" t="s">
        <v>1438</v>
      </c>
      <c r="D7033" t="s">
        <v>2897</v>
      </c>
      <c r="E7033">
        <v>0</v>
      </c>
      <c r="F7033" s="11">
        <v>1</v>
      </c>
    </row>
    <row r="7034" spans="1:6" x14ac:dyDescent="0.35">
      <c r="A7034" t="s">
        <v>2857</v>
      </c>
      <c r="B7034" t="s">
        <v>2866</v>
      </c>
      <c r="C7034" t="s">
        <v>1438</v>
      </c>
      <c r="D7034" t="s">
        <v>2898</v>
      </c>
      <c r="E7034">
        <v>0</v>
      </c>
      <c r="F7034" s="11">
        <v>1</v>
      </c>
    </row>
    <row r="7035" spans="1:6" x14ac:dyDescent="0.35">
      <c r="A7035" t="s">
        <v>2857</v>
      </c>
      <c r="B7035" t="s">
        <v>2866</v>
      </c>
      <c r="C7035" t="s">
        <v>1438</v>
      </c>
      <c r="D7035" t="s">
        <v>2899</v>
      </c>
      <c r="E7035">
        <v>1573</v>
      </c>
      <c r="F7035" s="11">
        <v>1</v>
      </c>
    </row>
    <row r="7036" spans="1:6" x14ac:dyDescent="0.35">
      <c r="A7036" t="s">
        <v>2857</v>
      </c>
      <c r="B7036" t="s">
        <v>2866</v>
      </c>
      <c r="C7036" t="s">
        <v>1438</v>
      </c>
      <c r="D7036" t="s">
        <v>2900</v>
      </c>
      <c r="E7036">
        <v>0</v>
      </c>
      <c r="F7036" s="11">
        <v>0</v>
      </c>
    </row>
    <row r="7037" spans="1:6" x14ac:dyDescent="0.35">
      <c r="A7037" t="s">
        <v>2857</v>
      </c>
      <c r="B7037" t="s">
        <v>2866</v>
      </c>
      <c r="C7037" t="s">
        <v>1438</v>
      </c>
      <c r="D7037" t="s">
        <v>2901</v>
      </c>
      <c r="E7037">
        <v>0</v>
      </c>
      <c r="F7037" s="11">
        <v>0</v>
      </c>
    </row>
    <row r="7038" spans="1:6" x14ac:dyDescent="0.35">
      <c r="A7038" t="s">
        <v>2857</v>
      </c>
      <c r="B7038" t="s">
        <v>2866</v>
      </c>
      <c r="C7038" t="s">
        <v>1438</v>
      </c>
      <c r="D7038" t="s">
        <v>2902</v>
      </c>
      <c r="E7038">
        <v>0</v>
      </c>
      <c r="F7038" s="11">
        <v>0</v>
      </c>
    </row>
    <row r="7039" spans="1:6" x14ac:dyDescent="0.35">
      <c r="A7039" t="s">
        <v>2857</v>
      </c>
      <c r="B7039" t="s">
        <v>2866</v>
      </c>
      <c r="C7039" t="s">
        <v>1438</v>
      </c>
      <c r="D7039" t="s">
        <v>2903</v>
      </c>
      <c r="E7039">
        <v>47592</v>
      </c>
      <c r="F7039" s="11">
        <v>1</v>
      </c>
    </row>
    <row r="7040" spans="1:6" x14ac:dyDescent="0.35">
      <c r="A7040" t="s">
        <v>2857</v>
      </c>
      <c r="B7040" t="s">
        <v>2866</v>
      </c>
      <c r="C7040" t="s">
        <v>1438</v>
      </c>
      <c r="D7040" t="s">
        <v>2904</v>
      </c>
      <c r="E7040">
        <v>0</v>
      </c>
      <c r="F7040" s="11">
        <v>1</v>
      </c>
    </row>
    <row r="7041" spans="1:6" x14ac:dyDescent="0.35">
      <c r="A7041" t="s">
        <v>2857</v>
      </c>
      <c r="B7041" t="s">
        <v>2866</v>
      </c>
      <c r="C7041" t="s">
        <v>1438</v>
      </c>
      <c r="D7041" t="s">
        <v>2905</v>
      </c>
      <c r="E7041">
        <v>0</v>
      </c>
      <c r="F7041" s="11">
        <v>1</v>
      </c>
    </row>
    <row r="7042" spans="1:6" x14ac:dyDescent="0.35">
      <c r="A7042" t="s">
        <v>2857</v>
      </c>
      <c r="B7042" t="s">
        <v>2866</v>
      </c>
      <c r="C7042" t="s">
        <v>1438</v>
      </c>
      <c r="D7042" t="s">
        <v>2906</v>
      </c>
      <c r="E7042">
        <v>0</v>
      </c>
      <c r="F7042" s="11">
        <v>1</v>
      </c>
    </row>
    <row r="7043" spans="1:6" x14ac:dyDescent="0.35">
      <c r="A7043" t="s">
        <v>2857</v>
      </c>
      <c r="B7043" t="s">
        <v>2866</v>
      </c>
      <c r="C7043" t="s">
        <v>1438</v>
      </c>
      <c r="D7043" t="s">
        <v>2907</v>
      </c>
      <c r="E7043">
        <v>48629</v>
      </c>
      <c r="F7043" s="11">
        <v>1</v>
      </c>
    </row>
    <row r="7044" spans="1:6" x14ac:dyDescent="0.35">
      <c r="A7044" t="s">
        <v>2857</v>
      </c>
      <c r="B7044" t="s">
        <v>2866</v>
      </c>
      <c r="C7044" t="s">
        <v>1438</v>
      </c>
      <c r="D7044" t="s">
        <v>2908</v>
      </c>
      <c r="E7044">
        <v>0</v>
      </c>
      <c r="F7044" s="11">
        <v>1</v>
      </c>
    </row>
    <row r="7045" spans="1:6" x14ac:dyDescent="0.35">
      <c r="A7045" t="s">
        <v>2857</v>
      </c>
      <c r="B7045" t="s">
        <v>2866</v>
      </c>
      <c r="C7045" t="s">
        <v>1438</v>
      </c>
      <c r="D7045" t="s">
        <v>2909</v>
      </c>
      <c r="E7045">
        <v>0</v>
      </c>
      <c r="F7045" s="11">
        <v>1</v>
      </c>
    </row>
    <row r="7046" spans="1:6" x14ac:dyDescent="0.35">
      <c r="A7046" t="s">
        <v>2857</v>
      </c>
      <c r="B7046" t="s">
        <v>2866</v>
      </c>
      <c r="C7046" t="s">
        <v>1438</v>
      </c>
      <c r="D7046" t="s">
        <v>2910</v>
      </c>
      <c r="E7046">
        <v>0</v>
      </c>
      <c r="F7046" s="11">
        <v>1</v>
      </c>
    </row>
    <row r="7047" spans="1:6" x14ac:dyDescent="0.35">
      <c r="A7047" t="s">
        <v>2857</v>
      </c>
      <c r="B7047" t="s">
        <v>2866</v>
      </c>
      <c r="C7047" t="s">
        <v>1438</v>
      </c>
      <c r="D7047" t="s">
        <v>2911</v>
      </c>
      <c r="E7047">
        <v>883683</v>
      </c>
      <c r="F7047" s="11">
        <v>1</v>
      </c>
    </row>
    <row r="7048" spans="1:6" x14ac:dyDescent="0.35">
      <c r="A7048" t="s">
        <v>2857</v>
      </c>
      <c r="B7048" t="s">
        <v>2866</v>
      </c>
      <c r="C7048" t="s">
        <v>1438</v>
      </c>
      <c r="D7048" t="s">
        <v>2912</v>
      </c>
      <c r="E7048">
        <v>0</v>
      </c>
      <c r="F7048" s="11">
        <v>0</v>
      </c>
    </row>
    <row r="7049" spans="1:6" x14ac:dyDescent="0.35">
      <c r="A7049" t="s">
        <v>2857</v>
      </c>
      <c r="B7049" t="s">
        <v>2866</v>
      </c>
      <c r="C7049" t="s">
        <v>1438</v>
      </c>
      <c r="D7049" t="s">
        <v>2913</v>
      </c>
      <c r="E7049">
        <v>0</v>
      </c>
      <c r="F7049" s="11">
        <v>0</v>
      </c>
    </row>
    <row r="7050" spans="1:6" x14ac:dyDescent="0.35">
      <c r="A7050" t="s">
        <v>2857</v>
      </c>
      <c r="B7050" t="s">
        <v>2866</v>
      </c>
      <c r="C7050" t="s">
        <v>1438</v>
      </c>
      <c r="D7050" t="s">
        <v>2914</v>
      </c>
      <c r="E7050">
        <v>0</v>
      </c>
      <c r="F7050" s="11">
        <v>0</v>
      </c>
    </row>
    <row r="7051" spans="1:6" x14ac:dyDescent="0.35">
      <c r="A7051" t="s">
        <v>2857</v>
      </c>
      <c r="B7051" t="s">
        <v>2866</v>
      </c>
      <c r="C7051" t="s">
        <v>1438</v>
      </c>
      <c r="D7051" t="s">
        <v>2915</v>
      </c>
      <c r="E7051">
        <v>1476</v>
      </c>
      <c r="F7051" s="11">
        <v>1</v>
      </c>
    </row>
    <row r="7052" spans="1:6" x14ac:dyDescent="0.35">
      <c r="A7052" t="s">
        <v>2857</v>
      </c>
      <c r="B7052" t="s">
        <v>2866</v>
      </c>
      <c r="C7052" t="s">
        <v>1438</v>
      </c>
      <c r="D7052" t="s">
        <v>2916</v>
      </c>
      <c r="E7052">
        <v>72164</v>
      </c>
      <c r="F7052" s="11">
        <v>1</v>
      </c>
    </row>
    <row r="7053" spans="1:6" x14ac:dyDescent="0.35">
      <c r="A7053" t="s">
        <v>2857</v>
      </c>
      <c r="B7053" t="s">
        <v>2866</v>
      </c>
      <c r="C7053" t="s">
        <v>1438</v>
      </c>
      <c r="D7053" t="s">
        <v>2917</v>
      </c>
      <c r="E7053">
        <v>33974</v>
      </c>
      <c r="F7053" s="11">
        <v>1</v>
      </c>
    </row>
    <row r="7054" spans="1:6" x14ac:dyDescent="0.35">
      <c r="A7054" t="s">
        <v>2857</v>
      </c>
      <c r="B7054" t="s">
        <v>2865</v>
      </c>
      <c r="C7054" t="s">
        <v>1416</v>
      </c>
      <c r="D7054" t="s">
        <v>2875</v>
      </c>
      <c r="E7054">
        <v>1950</v>
      </c>
      <c r="F7054" s="11">
        <v>0</v>
      </c>
    </row>
    <row r="7055" spans="1:6" x14ac:dyDescent="0.35">
      <c r="A7055" t="s">
        <v>2857</v>
      </c>
      <c r="B7055" t="s">
        <v>2865</v>
      </c>
      <c r="C7055" t="s">
        <v>1416</v>
      </c>
      <c r="D7055" t="s">
        <v>2876</v>
      </c>
      <c r="E7055">
        <v>0</v>
      </c>
      <c r="F7055" s="11">
        <v>0</v>
      </c>
    </row>
    <row r="7056" spans="1:6" x14ac:dyDescent="0.35">
      <c r="A7056" t="s">
        <v>2857</v>
      </c>
      <c r="B7056" t="s">
        <v>2865</v>
      </c>
      <c r="C7056" t="s">
        <v>1416</v>
      </c>
      <c r="D7056" t="s">
        <v>2877</v>
      </c>
      <c r="E7056">
        <v>0</v>
      </c>
      <c r="F7056" s="11">
        <v>0</v>
      </c>
    </row>
    <row r="7057" spans="1:6" x14ac:dyDescent="0.35">
      <c r="A7057" t="s">
        <v>2857</v>
      </c>
      <c r="B7057" t="s">
        <v>2865</v>
      </c>
      <c r="C7057" t="s">
        <v>1416</v>
      </c>
      <c r="D7057" t="s">
        <v>2878</v>
      </c>
      <c r="E7057">
        <v>0</v>
      </c>
      <c r="F7057" s="11">
        <v>0</v>
      </c>
    </row>
    <row r="7058" spans="1:6" x14ac:dyDescent="0.35">
      <c r="A7058" t="s">
        <v>2857</v>
      </c>
      <c r="B7058" t="s">
        <v>2865</v>
      </c>
      <c r="C7058" t="s">
        <v>1416</v>
      </c>
      <c r="D7058" t="s">
        <v>2879</v>
      </c>
      <c r="E7058">
        <v>0</v>
      </c>
      <c r="F7058" s="11">
        <v>0</v>
      </c>
    </row>
    <row r="7059" spans="1:6" x14ac:dyDescent="0.35">
      <c r="A7059" t="s">
        <v>2857</v>
      </c>
      <c r="B7059" t="s">
        <v>2865</v>
      </c>
      <c r="C7059" t="s">
        <v>1416</v>
      </c>
      <c r="D7059" t="s">
        <v>2880</v>
      </c>
      <c r="E7059">
        <v>0</v>
      </c>
      <c r="F7059" s="11">
        <v>0</v>
      </c>
    </row>
    <row r="7060" spans="1:6" x14ac:dyDescent="0.35">
      <c r="A7060" t="s">
        <v>2857</v>
      </c>
      <c r="B7060" t="s">
        <v>2865</v>
      </c>
      <c r="C7060" t="s">
        <v>1416</v>
      </c>
      <c r="D7060" t="s">
        <v>2881</v>
      </c>
      <c r="E7060">
        <v>0</v>
      </c>
      <c r="F7060" s="11">
        <v>0</v>
      </c>
    </row>
    <row r="7061" spans="1:6" x14ac:dyDescent="0.35">
      <c r="A7061" t="s">
        <v>2857</v>
      </c>
      <c r="B7061" t="s">
        <v>2865</v>
      </c>
      <c r="C7061" t="s">
        <v>1416</v>
      </c>
      <c r="D7061" t="s">
        <v>2882</v>
      </c>
      <c r="E7061">
        <v>0</v>
      </c>
      <c r="F7061" s="11">
        <v>0</v>
      </c>
    </row>
    <row r="7062" spans="1:6" x14ac:dyDescent="0.35">
      <c r="A7062" t="s">
        <v>2857</v>
      </c>
      <c r="B7062" t="s">
        <v>2865</v>
      </c>
      <c r="C7062" t="s">
        <v>1416</v>
      </c>
      <c r="D7062" t="s">
        <v>2883</v>
      </c>
      <c r="E7062">
        <v>0</v>
      </c>
      <c r="F7062" s="11">
        <v>0</v>
      </c>
    </row>
    <row r="7063" spans="1:6" x14ac:dyDescent="0.35">
      <c r="A7063" t="s">
        <v>2857</v>
      </c>
      <c r="B7063" t="s">
        <v>2865</v>
      </c>
      <c r="C7063" t="s">
        <v>1416</v>
      </c>
      <c r="D7063" t="s">
        <v>2884</v>
      </c>
      <c r="E7063">
        <v>0</v>
      </c>
      <c r="F7063" s="11">
        <v>0</v>
      </c>
    </row>
    <row r="7064" spans="1:6" x14ac:dyDescent="0.35">
      <c r="A7064" t="s">
        <v>2857</v>
      </c>
      <c r="B7064" t="s">
        <v>2865</v>
      </c>
      <c r="C7064" t="s">
        <v>1416</v>
      </c>
      <c r="D7064" t="s">
        <v>2885</v>
      </c>
      <c r="E7064">
        <v>0</v>
      </c>
      <c r="F7064" s="11">
        <v>0</v>
      </c>
    </row>
    <row r="7065" spans="1:6" x14ac:dyDescent="0.35">
      <c r="A7065" t="s">
        <v>2857</v>
      </c>
      <c r="B7065" t="s">
        <v>2865</v>
      </c>
      <c r="C7065" t="s">
        <v>1416</v>
      </c>
      <c r="D7065" t="s">
        <v>2886</v>
      </c>
      <c r="E7065">
        <v>0</v>
      </c>
      <c r="F7065" s="11">
        <v>0</v>
      </c>
    </row>
    <row r="7066" spans="1:6" x14ac:dyDescent="0.35">
      <c r="A7066" t="s">
        <v>2857</v>
      </c>
      <c r="B7066" t="s">
        <v>2865</v>
      </c>
      <c r="C7066" t="s">
        <v>1416</v>
      </c>
      <c r="D7066" t="s">
        <v>2887</v>
      </c>
      <c r="E7066">
        <v>0</v>
      </c>
      <c r="F7066" s="11">
        <v>0</v>
      </c>
    </row>
    <row r="7067" spans="1:6" x14ac:dyDescent="0.35">
      <c r="A7067" t="s">
        <v>2857</v>
      </c>
      <c r="B7067" t="s">
        <v>2865</v>
      </c>
      <c r="C7067" t="s">
        <v>1416</v>
      </c>
      <c r="D7067" t="s">
        <v>2888</v>
      </c>
      <c r="E7067">
        <v>0</v>
      </c>
      <c r="F7067" s="11">
        <v>0</v>
      </c>
    </row>
    <row r="7068" spans="1:6" x14ac:dyDescent="0.35">
      <c r="A7068" t="s">
        <v>2857</v>
      </c>
      <c r="B7068" t="s">
        <v>2865</v>
      </c>
      <c r="C7068" t="s">
        <v>1416</v>
      </c>
      <c r="D7068" t="s">
        <v>2889</v>
      </c>
      <c r="E7068">
        <v>0</v>
      </c>
      <c r="F7068" s="11">
        <v>0</v>
      </c>
    </row>
    <row r="7069" spans="1:6" x14ac:dyDescent="0.35">
      <c r="A7069" t="s">
        <v>2857</v>
      </c>
      <c r="B7069" t="s">
        <v>2865</v>
      </c>
      <c r="C7069" t="s">
        <v>1416</v>
      </c>
      <c r="D7069" t="s">
        <v>2890</v>
      </c>
      <c r="E7069">
        <v>0</v>
      </c>
      <c r="F7069" s="11">
        <v>0</v>
      </c>
    </row>
    <row r="7070" spans="1:6" x14ac:dyDescent="0.35">
      <c r="A7070" t="s">
        <v>2857</v>
      </c>
      <c r="B7070" t="s">
        <v>2865</v>
      </c>
      <c r="C7070" t="s">
        <v>1416</v>
      </c>
      <c r="D7070" t="s">
        <v>2891</v>
      </c>
      <c r="E7070">
        <v>0</v>
      </c>
      <c r="F7070" s="11">
        <v>0</v>
      </c>
    </row>
    <row r="7071" spans="1:6" x14ac:dyDescent="0.35">
      <c r="A7071" t="s">
        <v>2857</v>
      </c>
      <c r="B7071" t="s">
        <v>2865</v>
      </c>
      <c r="C7071" t="s">
        <v>1416</v>
      </c>
      <c r="D7071" t="s">
        <v>2892</v>
      </c>
      <c r="E7071">
        <v>0</v>
      </c>
      <c r="F7071" s="11">
        <v>0</v>
      </c>
    </row>
    <row r="7072" spans="1:6" x14ac:dyDescent="0.35">
      <c r="A7072" t="s">
        <v>2857</v>
      </c>
      <c r="B7072" t="s">
        <v>2865</v>
      </c>
      <c r="C7072" t="s">
        <v>1416</v>
      </c>
      <c r="D7072" t="s">
        <v>2893</v>
      </c>
      <c r="E7072">
        <v>0</v>
      </c>
      <c r="F7072" s="11">
        <v>0</v>
      </c>
    </row>
    <row r="7073" spans="1:6" x14ac:dyDescent="0.35">
      <c r="A7073" t="s">
        <v>2857</v>
      </c>
      <c r="B7073" t="s">
        <v>2865</v>
      </c>
      <c r="C7073" t="s">
        <v>1416</v>
      </c>
      <c r="D7073" t="s">
        <v>2894</v>
      </c>
      <c r="E7073">
        <v>0</v>
      </c>
      <c r="F7073" s="11">
        <v>0</v>
      </c>
    </row>
    <row r="7074" spans="1:6" x14ac:dyDescent="0.35">
      <c r="A7074" t="s">
        <v>2857</v>
      </c>
      <c r="B7074" t="s">
        <v>2865</v>
      </c>
      <c r="C7074" t="s">
        <v>1416</v>
      </c>
      <c r="D7074" t="s">
        <v>2895</v>
      </c>
      <c r="E7074">
        <v>108260</v>
      </c>
      <c r="F7074" s="11">
        <v>0</v>
      </c>
    </row>
    <row r="7075" spans="1:6" x14ac:dyDescent="0.35">
      <c r="A7075" t="s">
        <v>2857</v>
      </c>
      <c r="B7075" t="s">
        <v>2865</v>
      </c>
      <c r="C7075" t="s">
        <v>1416</v>
      </c>
      <c r="D7075" t="s">
        <v>2896</v>
      </c>
      <c r="E7075">
        <v>0</v>
      </c>
      <c r="F7075" s="11">
        <v>0</v>
      </c>
    </row>
    <row r="7076" spans="1:6" x14ac:dyDescent="0.35">
      <c r="A7076" t="s">
        <v>2857</v>
      </c>
      <c r="B7076" t="s">
        <v>2865</v>
      </c>
      <c r="C7076" t="s">
        <v>1416</v>
      </c>
      <c r="D7076" t="s">
        <v>2897</v>
      </c>
      <c r="E7076">
        <v>0</v>
      </c>
      <c r="F7076" s="11">
        <v>0</v>
      </c>
    </row>
    <row r="7077" spans="1:6" x14ac:dyDescent="0.35">
      <c r="A7077" t="s">
        <v>2857</v>
      </c>
      <c r="B7077" t="s">
        <v>2865</v>
      </c>
      <c r="C7077" t="s">
        <v>1416</v>
      </c>
      <c r="D7077" t="s">
        <v>2898</v>
      </c>
      <c r="E7077">
        <v>0</v>
      </c>
      <c r="F7077" s="11">
        <v>0</v>
      </c>
    </row>
    <row r="7078" spans="1:6" x14ac:dyDescent="0.35">
      <c r="A7078" t="s">
        <v>2857</v>
      </c>
      <c r="B7078" t="s">
        <v>2865</v>
      </c>
      <c r="C7078" t="s">
        <v>1416</v>
      </c>
      <c r="D7078" t="s">
        <v>2899</v>
      </c>
      <c r="E7078">
        <v>0</v>
      </c>
      <c r="F7078" s="11">
        <v>0</v>
      </c>
    </row>
    <row r="7079" spans="1:6" x14ac:dyDescent="0.35">
      <c r="A7079" t="s">
        <v>2857</v>
      </c>
      <c r="B7079" t="s">
        <v>2865</v>
      </c>
      <c r="C7079" t="s">
        <v>1416</v>
      </c>
      <c r="D7079" t="s">
        <v>2900</v>
      </c>
      <c r="E7079">
        <v>0</v>
      </c>
      <c r="F7079" s="11">
        <v>0</v>
      </c>
    </row>
    <row r="7080" spans="1:6" x14ac:dyDescent="0.35">
      <c r="A7080" t="s">
        <v>2857</v>
      </c>
      <c r="B7080" t="s">
        <v>2865</v>
      </c>
      <c r="C7080" t="s">
        <v>1416</v>
      </c>
      <c r="D7080" t="s">
        <v>2901</v>
      </c>
      <c r="E7080">
        <v>0</v>
      </c>
      <c r="F7080" s="11">
        <v>0</v>
      </c>
    </row>
    <row r="7081" spans="1:6" x14ac:dyDescent="0.35">
      <c r="A7081" t="s">
        <v>2857</v>
      </c>
      <c r="B7081" t="s">
        <v>2865</v>
      </c>
      <c r="C7081" t="s">
        <v>1416</v>
      </c>
      <c r="D7081" t="s">
        <v>2902</v>
      </c>
      <c r="E7081">
        <v>0</v>
      </c>
      <c r="F7081" s="11">
        <v>0</v>
      </c>
    </row>
    <row r="7082" spans="1:6" x14ac:dyDescent="0.35">
      <c r="A7082" t="s">
        <v>2857</v>
      </c>
      <c r="B7082" t="s">
        <v>2865</v>
      </c>
      <c r="C7082" t="s">
        <v>1416</v>
      </c>
      <c r="D7082" t="s">
        <v>2903</v>
      </c>
      <c r="E7082">
        <v>6572</v>
      </c>
      <c r="F7082" s="11">
        <v>0</v>
      </c>
    </row>
    <row r="7083" spans="1:6" x14ac:dyDescent="0.35">
      <c r="A7083" t="s">
        <v>2857</v>
      </c>
      <c r="B7083" t="s">
        <v>2865</v>
      </c>
      <c r="C7083" t="s">
        <v>1416</v>
      </c>
      <c r="D7083" t="s">
        <v>2904</v>
      </c>
      <c r="E7083">
        <v>0</v>
      </c>
      <c r="F7083" s="11">
        <v>0</v>
      </c>
    </row>
    <row r="7084" spans="1:6" x14ac:dyDescent="0.35">
      <c r="A7084" t="s">
        <v>2857</v>
      </c>
      <c r="B7084" t="s">
        <v>2865</v>
      </c>
      <c r="C7084" t="s">
        <v>1416</v>
      </c>
      <c r="D7084" t="s">
        <v>2905</v>
      </c>
      <c r="E7084">
        <v>0</v>
      </c>
      <c r="F7084" s="11">
        <v>0</v>
      </c>
    </row>
    <row r="7085" spans="1:6" x14ac:dyDescent="0.35">
      <c r="A7085" t="s">
        <v>2857</v>
      </c>
      <c r="B7085" t="s">
        <v>2865</v>
      </c>
      <c r="C7085" t="s">
        <v>1416</v>
      </c>
      <c r="D7085" t="s">
        <v>2906</v>
      </c>
      <c r="E7085">
        <v>0</v>
      </c>
      <c r="F7085" s="11">
        <v>0</v>
      </c>
    </row>
    <row r="7086" spans="1:6" x14ac:dyDescent="0.35">
      <c r="A7086" t="s">
        <v>2857</v>
      </c>
      <c r="B7086" t="s">
        <v>2865</v>
      </c>
      <c r="C7086" t="s">
        <v>1416</v>
      </c>
      <c r="D7086" t="s">
        <v>2907</v>
      </c>
      <c r="E7086">
        <v>4822</v>
      </c>
      <c r="F7086" s="11">
        <v>0</v>
      </c>
    </row>
    <row r="7087" spans="1:6" x14ac:dyDescent="0.35">
      <c r="A7087" t="s">
        <v>2857</v>
      </c>
      <c r="B7087" t="s">
        <v>2865</v>
      </c>
      <c r="C7087" t="s">
        <v>1416</v>
      </c>
      <c r="D7087" t="s">
        <v>2908</v>
      </c>
      <c r="E7087">
        <v>0</v>
      </c>
      <c r="F7087" s="11">
        <v>0</v>
      </c>
    </row>
    <row r="7088" spans="1:6" x14ac:dyDescent="0.35">
      <c r="A7088" t="s">
        <v>2857</v>
      </c>
      <c r="B7088" t="s">
        <v>2865</v>
      </c>
      <c r="C7088" t="s">
        <v>1416</v>
      </c>
      <c r="D7088" t="s">
        <v>2909</v>
      </c>
      <c r="E7088">
        <v>0</v>
      </c>
      <c r="F7088" s="11">
        <v>0</v>
      </c>
    </row>
    <row r="7089" spans="1:6" x14ac:dyDescent="0.35">
      <c r="A7089" t="s">
        <v>2857</v>
      </c>
      <c r="B7089" t="s">
        <v>2865</v>
      </c>
      <c r="C7089" t="s">
        <v>1416</v>
      </c>
      <c r="D7089" t="s">
        <v>2910</v>
      </c>
      <c r="E7089">
        <v>0</v>
      </c>
      <c r="F7089" s="11">
        <v>0</v>
      </c>
    </row>
    <row r="7090" spans="1:6" x14ac:dyDescent="0.35">
      <c r="A7090" t="s">
        <v>2857</v>
      </c>
      <c r="B7090" t="s">
        <v>2865</v>
      </c>
      <c r="C7090" t="s">
        <v>1416</v>
      </c>
      <c r="D7090" t="s">
        <v>2911</v>
      </c>
      <c r="E7090">
        <v>290238</v>
      </c>
      <c r="F7090" s="11">
        <v>0</v>
      </c>
    </row>
    <row r="7091" spans="1:6" x14ac:dyDescent="0.35">
      <c r="A7091" t="s">
        <v>2857</v>
      </c>
      <c r="B7091" t="s">
        <v>2865</v>
      </c>
      <c r="C7091" t="s">
        <v>1416</v>
      </c>
      <c r="D7091" t="s">
        <v>2912</v>
      </c>
      <c r="E7091">
        <v>0</v>
      </c>
      <c r="F7091" s="11">
        <v>0</v>
      </c>
    </row>
    <row r="7092" spans="1:6" x14ac:dyDescent="0.35">
      <c r="A7092" t="s">
        <v>2857</v>
      </c>
      <c r="B7092" t="s">
        <v>2865</v>
      </c>
      <c r="C7092" t="s">
        <v>1416</v>
      </c>
      <c r="D7092" t="s">
        <v>2913</v>
      </c>
      <c r="E7092">
        <v>0</v>
      </c>
      <c r="F7092" s="11">
        <v>0</v>
      </c>
    </row>
    <row r="7093" spans="1:6" x14ac:dyDescent="0.35">
      <c r="A7093" t="s">
        <v>2857</v>
      </c>
      <c r="B7093" t="s">
        <v>2865</v>
      </c>
      <c r="C7093" t="s">
        <v>1416</v>
      </c>
      <c r="D7093" t="s">
        <v>2914</v>
      </c>
      <c r="E7093">
        <v>0</v>
      </c>
      <c r="F7093" s="11">
        <v>0</v>
      </c>
    </row>
    <row r="7094" spans="1:6" x14ac:dyDescent="0.35">
      <c r="A7094" t="s">
        <v>2857</v>
      </c>
      <c r="B7094" t="s">
        <v>2865</v>
      </c>
      <c r="C7094" t="s">
        <v>1416</v>
      </c>
      <c r="D7094" t="s">
        <v>2915</v>
      </c>
      <c r="E7094">
        <v>0</v>
      </c>
      <c r="F7094" s="11">
        <v>0</v>
      </c>
    </row>
    <row r="7095" spans="1:6" x14ac:dyDescent="0.35">
      <c r="A7095" t="s">
        <v>2857</v>
      </c>
      <c r="B7095" t="s">
        <v>2865</v>
      </c>
      <c r="C7095" t="s">
        <v>1416</v>
      </c>
      <c r="D7095" t="s">
        <v>2916</v>
      </c>
      <c r="E7095">
        <v>12216</v>
      </c>
      <c r="F7095" s="11">
        <v>0</v>
      </c>
    </row>
    <row r="7096" spans="1:6" x14ac:dyDescent="0.35">
      <c r="A7096" t="s">
        <v>2857</v>
      </c>
      <c r="B7096" t="s">
        <v>2865</v>
      </c>
      <c r="C7096" t="s">
        <v>1416</v>
      </c>
      <c r="D7096" t="s">
        <v>2917</v>
      </c>
      <c r="E7096">
        <v>0</v>
      </c>
      <c r="F7096" s="11">
        <v>0</v>
      </c>
    </row>
    <row r="7097" spans="1:6" x14ac:dyDescent="0.35">
      <c r="A7097" t="s">
        <v>2857</v>
      </c>
      <c r="B7097" t="s">
        <v>2862</v>
      </c>
      <c r="C7097" t="s">
        <v>1378</v>
      </c>
      <c r="D7097" t="s">
        <v>2875</v>
      </c>
      <c r="E7097">
        <v>0</v>
      </c>
      <c r="F7097" s="11">
        <v>0</v>
      </c>
    </row>
    <row r="7098" spans="1:6" x14ac:dyDescent="0.35">
      <c r="A7098" t="s">
        <v>2857</v>
      </c>
      <c r="B7098" t="s">
        <v>2862</v>
      </c>
      <c r="C7098" t="s">
        <v>1378</v>
      </c>
      <c r="D7098" t="s">
        <v>2876</v>
      </c>
      <c r="E7098">
        <v>0</v>
      </c>
      <c r="F7098" s="11">
        <v>0</v>
      </c>
    </row>
    <row r="7099" spans="1:6" x14ac:dyDescent="0.35">
      <c r="A7099" t="s">
        <v>2857</v>
      </c>
      <c r="B7099" t="s">
        <v>2862</v>
      </c>
      <c r="C7099" t="s">
        <v>1378</v>
      </c>
      <c r="D7099" t="s">
        <v>2877</v>
      </c>
      <c r="E7099">
        <v>0</v>
      </c>
      <c r="F7099" s="11">
        <v>0</v>
      </c>
    </row>
    <row r="7100" spans="1:6" x14ac:dyDescent="0.35">
      <c r="A7100" t="s">
        <v>2857</v>
      </c>
      <c r="B7100" t="s">
        <v>2862</v>
      </c>
      <c r="C7100" t="s">
        <v>1378</v>
      </c>
      <c r="D7100" t="s">
        <v>2878</v>
      </c>
      <c r="E7100">
        <v>0</v>
      </c>
      <c r="F7100" s="11">
        <v>0</v>
      </c>
    </row>
    <row r="7101" spans="1:6" x14ac:dyDescent="0.35">
      <c r="A7101" t="s">
        <v>2857</v>
      </c>
      <c r="B7101" t="s">
        <v>2862</v>
      </c>
      <c r="C7101" t="s">
        <v>1378</v>
      </c>
      <c r="D7101" t="s">
        <v>2879</v>
      </c>
      <c r="E7101">
        <v>2712</v>
      </c>
      <c r="F7101" s="11">
        <v>1</v>
      </c>
    </row>
    <row r="7102" spans="1:6" x14ac:dyDescent="0.35">
      <c r="A7102" t="s">
        <v>2857</v>
      </c>
      <c r="B7102" t="s">
        <v>2862</v>
      </c>
      <c r="C7102" t="s">
        <v>1378</v>
      </c>
      <c r="D7102" t="s">
        <v>2880</v>
      </c>
      <c r="E7102">
        <v>0</v>
      </c>
      <c r="F7102" s="11">
        <v>1</v>
      </c>
    </row>
    <row r="7103" spans="1:6" x14ac:dyDescent="0.35">
      <c r="A7103" t="s">
        <v>2857</v>
      </c>
      <c r="B7103" t="s">
        <v>2862</v>
      </c>
      <c r="C7103" t="s">
        <v>1378</v>
      </c>
      <c r="D7103" t="s">
        <v>2881</v>
      </c>
      <c r="E7103">
        <v>0</v>
      </c>
      <c r="F7103" s="11">
        <v>1</v>
      </c>
    </row>
    <row r="7104" spans="1:6" x14ac:dyDescent="0.35">
      <c r="A7104" t="s">
        <v>2857</v>
      </c>
      <c r="B7104" t="s">
        <v>2862</v>
      </c>
      <c r="C7104" t="s">
        <v>1378</v>
      </c>
      <c r="D7104" t="s">
        <v>2882</v>
      </c>
      <c r="E7104">
        <v>0</v>
      </c>
      <c r="F7104" s="11">
        <v>1</v>
      </c>
    </row>
    <row r="7105" spans="1:6" x14ac:dyDescent="0.35">
      <c r="A7105" t="s">
        <v>2857</v>
      </c>
      <c r="B7105" t="s">
        <v>2862</v>
      </c>
      <c r="C7105" t="s">
        <v>1378</v>
      </c>
      <c r="D7105" t="s">
        <v>2883</v>
      </c>
      <c r="E7105">
        <v>0</v>
      </c>
      <c r="F7105" s="11">
        <v>0</v>
      </c>
    </row>
    <row r="7106" spans="1:6" x14ac:dyDescent="0.35">
      <c r="A7106" t="s">
        <v>2857</v>
      </c>
      <c r="B7106" t="s">
        <v>2862</v>
      </c>
      <c r="C7106" t="s">
        <v>1378</v>
      </c>
      <c r="D7106" t="s">
        <v>2884</v>
      </c>
      <c r="E7106">
        <v>0</v>
      </c>
      <c r="F7106" s="11">
        <v>0</v>
      </c>
    </row>
    <row r="7107" spans="1:6" x14ac:dyDescent="0.35">
      <c r="A7107" t="s">
        <v>2857</v>
      </c>
      <c r="B7107" t="s">
        <v>2862</v>
      </c>
      <c r="C7107" t="s">
        <v>1378</v>
      </c>
      <c r="D7107" t="s">
        <v>2885</v>
      </c>
      <c r="E7107">
        <v>0</v>
      </c>
      <c r="F7107" s="11">
        <v>0</v>
      </c>
    </row>
    <row r="7108" spans="1:6" x14ac:dyDescent="0.35">
      <c r="A7108" t="s">
        <v>2857</v>
      </c>
      <c r="B7108" t="s">
        <v>2862</v>
      </c>
      <c r="C7108" t="s">
        <v>1378</v>
      </c>
      <c r="D7108" t="s">
        <v>2886</v>
      </c>
      <c r="E7108">
        <v>0</v>
      </c>
      <c r="F7108" s="11">
        <v>0</v>
      </c>
    </row>
    <row r="7109" spans="1:6" x14ac:dyDescent="0.35">
      <c r="A7109" t="s">
        <v>2857</v>
      </c>
      <c r="B7109" t="s">
        <v>2862</v>
      </c>
      <c r="C7109" t="s">
        <v>1378</v>
      </c>
      <c r="D7109" t="s">
        <v>2887</v>
      </c>
      <c r="E7109">
        <v>66166</v>
      </c>
      <c r="F7109" s="11">
        <v>1</v>
      </c>
    </row>
    <row r="7110" spans="1:6" x14ac:dyDescent="0.35">
      <c r="A7110" t="s">
        <v>2857</v>
      </c>
      <c r="B7110" t="s">
        <v>2862</v>
      </c>
      <c r="C7110" t="s">
        <v>1378</v>
      </c>
      <c r="D7110" t="s">
        <v>2888</v>
      </c>
      <c r="E7110">
        <v>0</v>
      </c>
      <c r="F7110" s="11">
        <v>1</v>
      </c>
    </row>
    <row r="7111" spans="1:6" x14ac:dyDescent="0.35">
      <c r="A7111" t="s">
        <v>2857</v>
      </c>
      <c r="B7111" t="s">
        <v>2862</v>
      </c>
      <c r="C7111" t="s">
        <v>1378</v>
      </c>
      <c r="D7111" t="s">
        <v>2889</v>
      </c>
      <c r="E7111">
        <v>0</v>
      </c>
      <c r="F7111" s="11">
        <v>1</v>
      </c>
    </row>
    <row r="7112" spans="1:6" x14ac:dyDescent="0.35">
      <c r="A7112" t="s">
        <v>2857</v>
      </c>
      <c r="B7112" t="s">
        <v>2862</v>
      </c>
      <c r="C7112" t="s">
        <v>1378</v>
      </c>
      <c r="D7112" t="s">
        <v>2890</v>
      </c>
      <c r="E7112">
        <v>0</v>
      </c>
      <c r="F7112" s="11">
        <v>1</v>
      </c>
    </row>
    <row r="7113" spans="1:6" x14ac:dyDescent="0.35">
      <c r="A7113" t="s">
        <v>2857</v>
      </c>
      <c r="B7113" t="s">
        <v>2862</v>
      </c>
      <c r="C7113" t="s">
        <v>1378</v>
      </c>
      <c r="D7113" t="s">
        <v>2891</v>
      </c>
      <c r="E7113">
        <v>0</v>
      </c>
      <c r="F7113" s="11">
        <v>0</v>
      </c>
    </row>
    <row r="7114" spans="1:6" x14ac:dyDescent="0.35">
      <c r="A7114" t="s">
        <v>2857</v>
      </c>
      <c r="B7114" t="s">
        <v>2862</v>
      </c>
      <c r="C7114" t="s">
        <v>1378</v>
      </c>
      <c r="D7114" t="s">
        <v>2892</v>
      </c>
      <c r="E7114">
        <v>0</v>
      </c>
      <c r="F7114" s="11">
        <v>0</v>
      </c>
    </row>
    <row r="7115" spans="1:6" x14ac:dyDescent="0.35">
      <c r="A7115" t="s">
        <v>2857</v>
      </c>
      <c r="B7115" t="s">
        <v>2862</v>
      </c>
      <c r="C7115" t="s">
        <v>1378</v>
      </c>
      <c r="D7115" t="s">
        <v>2893</v>
      </c>
      <c r="E7115">
        <v>0</v>
      </c>
      <c r="F7115" s="11">
        <v>0</v>
      </c>
    </row>
    <row r="7116" spans="1:6" x14ac:dyDescent="0.35">
      <c r="A7116" t="s">
        <v>2857</v>
      </c>
      <c r="B7116" t="s">
        <v>2862</v>
      </c>
      <c r="C7116" t="s">
        <v>1378</v>
      </c>
      <c r="D7116" t="s">
        <v>2894</v>
      </c>
      <c r="E7116">
        <v>0</v>
      </c>
      <c r="F7116" s="11">
        <v>0</v>
      </c>
    </row>
    <row r="7117" spans="1:6" x14ac:dyDescent="0.35">
      <c r="A7117" t="s">
        <v>2857</v>
      </c>
      <c r="B7117" t="s">
        <v>2862</v>
      </c>
      <c r="C7117" t="s">
        <v>1378</v>
      </c>
      <c r="D7117" t="s">
        <v>2895</v>
      </c>
      <c r="E7117">
        <v>486966</v>
      </c>
      <c r="F7117" s="11">
        <v>1</v>
      </c>
    </row>
    <row r="7118" spans="1:6" x14ac:dyDescent="0.35">
      <c r="A7118" t="s">
        <v>2857</v>
      </c>
      <c r="B7118" t="s">
        <v>2862</v>
      </c>
      <c r="C7118" t="s">
        <v>1378</v>
      </c>
      <c r="D7118" t="s">
        <v>2896</v>
      </c>
      <c r="E7118">
        <v>318008</v>
      </c>
      <c r="F7118" s="11">
        <v>1</v>
      </c>
    </row>
    <row r="7119" spans="1:6" x14ac:dyDescent="0.35">
      <c r="A7119" t="s">
        <v>2857</v>
      </c>
      <c r="B7119" t="s">
        <v>2862</v>
      </c>
      <c r="C7119" t="s">
        <v>1378</v>
      </c>
      <c r="D7119" t="s">
        <v>2897</v>
      </c>
      <c r="E7119">
        <v>11725</v>
      </c>
      <c r="F7119" s="11">
        <v>1</v>
      </c>
    </row>
    <row r="7120" spans="1:6" x14ac:dyDescent="0.35">
      <c r="A7120" t="s">
        <v>2857</v>
      </c>
      <c r="B7120" t="s">
        <v>2862</v>
      </c>
      <c r="C7120" t="s">
        <v>1378</v>
      </c>
      <c r="D7120" t="s">
        <v>2898</v>
      </c>
      <c r="E7120">
        <v>157233</v>
      </c>
      <c r="F7120" s="11">
        <v>1</v>
      </c>
    </row>
    <row r="7121" spans="1:6" x14ac:dyDescent="0.35">
      <c r="A7121" t="s">
        <v>2857</v>
      </c>
      <c r="B7121" t="s">
        <v>2862</v>
      </c>
      <c r="C7121" t="s">
        <v>1378</v>
      </c>
      <c r="D7121" t="s">
        <v>2899</v>
      </c>
      <c r="E7121">
        <v>1479</v>
      </c>
      <c r="F7121" s="11">
        <v>1</v>
      </c>
    </row>
    <row r="7122" spans="1:6" x14ac:dyDescent="0.35">
      <c r="A7122" t="s">
        <v>2857</v>
      </c>
      <c r="B7122" t="s">
        <v>2862</v>
      </c>
      <c r="C7122" t="s">
        <v>1378</v>
      </c>
      <c r="D7122" t="s">
        <v>2900</v>
      </c>
      <c r="E7122">
        <v>32</v>
      </c>
      <c r="F7122" s="11">
        <v>1</v>
      </c>
    </row>
    <row r="7123" spans="1:6" x14ac:dyDescent="0.35">
      <c r="A7123" t="s">
        <v>2857</v>
      </c>
      <c r="B7123" t="s">
        <v>2862</v>
      </c>
      <c r="C7123" t="s">
        <v>1378</v>
      </c>
      <c r="D7123" t="s">
        <v>2901</v>
      </c>
      <c r="E7123">
        <v>0</v>
      </c>
      <c r="F7123" s="11">
        <v>1</v>
      </c>
    </row>
    <row r="7124" spans="1:6" x14ac:dyDescent="0.35">
      <c r="A7124" t="s">
        <v>2857</v>
      </c>
      <c r="B7124" t="s">
        <v>2862</v>
      </c>
      <c r="C7124" t="s">
        <v>1378</v>
      </c>
      <c r="D7124" t="s">
        <v>2902</v>
      </c>
      <c r="E7124">
        <v>1447</v>
      </c>
      <c r="F7124" s="11">
        <v>0</v>
      </c>
    </row>
    <row r="7125" spans="1:6" x14ac:dyDescent="0.35">
      <c r="A7125" t="s">
        <v>2857</v>
      </c>
      <c r="B7125" t="s">
        <v>2862</v>
      </c>
      <c r="C7125" t="s">
        <v>1378</v>
      </c>
      <c r="D7125" t="s">
        <v>2903</v>
      </c>
      <c r="E7125">
        <v>18205</v>
      </c>
      <c r="F7125" s="11">
        <v>1</v>
      </c>
    </row>
    <row r="7126" spans="1:6" x14ac:dyDescent="0.35">
      <c r="A7126" t="s">
        <v>2857</v>
      </c>
      <c r="B7126" t="s">
        <v>2862</v>
      </c>
      <c r="C7126" t="s">
        <v>1378</v>
      </c>
      <c r="D7126" t="s">
        <v>2904</v>
      </c>
      <c r="E7126">
        <v>0</v>
      </c>
      <c r="F7126" s="11">
        <v>0</v>
      </c>
    </row>
    <row r="7127" spans="1:6" x14ac:dyDescent="0.35">
      <c r="A7127" t="s">
        <v>2857</v>
      </c>
      <c r="B7127" t="s">
        <v>2862</v>
      </c>
      <c r="C7127" t="s">
        <v>1378</v>
      </c>
      <c r="D7127" t="s">
        <v>2905</v>
      </c>
      <c r="E7127">
        <v>0</v>
      </c>
      <c r="F7127" s="11">
        <v>0</v>
      </c>
    </row>
    <row r="7128" spans="1:6" x14ac:dyDescent="0.35">
      <c r="A7128" t="s">
        <v>2857</v>
      </c>
      <c r="B7128" t="s">
        <v>2862</v>
      </c>
      <c r="C7128" t="s">
        <v>1378</v>
      </c>
      <c r="D7128" t="s">
        <v>2906</v>
      </c>
      <c r="E7128">
        <v>0</v>
      </c>
      <c r="F7128" s="11">
        <v>0</v>
      </c>
    </row>
    <row r="7129" spans="1:6" x14ac:dyDescent="0.35">
      <c r="A7129" t="s">
        <v>2857</v>
      </c>
      <c r="B7129" t="s">
        <v>2862</v>
      </c>
      <c r="C7129" t="s">
        <v>1378</v>
      </c>
      <c r="D7129" t="s">
        <v>2907</v>
      </c>
      <c r="E7129">
        <v>39674</v>
      </c>
      <c r="F7129" s="11">
        <v>1</v>
      </c>
    </row>
    <row r="7130" spans="1:6" x14ac:dyDescent="0.35">
      <c r="A7130" t="s">
        <v>2857</v>
      </c>
      <c r="B7130" t="s">
        <v>2862</v>
      </c>
      <c r="C7130" t="s">
        <v>1378</v>
      </c>
      <c r="D7130" t="s">
        <v>2908</v>
      </c>
      <c r="E7130">
        <v>0</v>
      </c>
      <c r="F7130" s="11">
        <v>0</v>
      </c>
    </row>
    <row r="7131" spans="1:6" x14ac:dyDescent="0.35">
      <c r="A7131" t="s">
        <v>2857</v>
      </c>
      <c r="B7131" t="s">
        <v>2862</v>
      </c>
      <c r="C7131" t="s">
        <v>1378</v>
      </c>
      <c r="D7131" t="s">
        <v>2909</v>
      </c>
      <c r="E7131">
        <v>0</v>
      </c>
      <c r="F7131" s="11">
        <v>0</v>
      </c>
    </row>
    <row r="7132" spans="1:6" x14ac:dyDescent="0.35">
      <c r="A7132" t="s">
        <v>2857</v>
      </c>
      <c r="B7132" t="s">
        <v>2862</v>
      </c>
      <c r="C7132" t="s">
        <v>1378</v>
      </c>
      <c r="D7132" t="s">
        <v>2910</v>
      </c>
      <c r="E7132">
        <v>0</v>
      </c>
      <c r="F7132" s="11">
        <v>0</v>
      </c>
    </row>
    <row r="7133" spans="1:6" x14ac:dyDescent="0.35">
      <c r="A7133" t="s">
        <v>2857</v>
      </c>
      <c r="B7133" t="s">
        <v>2862</v>
      </c>
      <c r="C7133" t="s">
        <v>1378</v>
      </c>
      <c r="D7133" t="s">
        <v>2911</v>
      </c>
      <c r="E7133">
        <v>480661</v>
      </c>
      <c r="F7133" s="11">
        <v>1</v>
      </c>
    </row>
    <row r="7134" spans="1:6" x14ac:dyDescent="0.35">
      <c r="A7134" t="s">
        <v>2857</v>
      </c>
      <c r="B7134" t="s">
        <v>2862</v>
      </c>
      <c r="C7134" t="s">
        <v>1378</v>
      </c>
      <c r="D7134" t="s">
        <v>2912</v>
      </c>
      <c r="E7134">
        <v>0</v>
      </c>
      <c r="F7134" s="11">
        <v>1</v>
      </c>
    </row>
    <row r="7135" spans="1:6" x14ac:dyDescent="0.35">
      <c r="A7135" t="s">
        <v>2857</v>
      </c>
      <c r="B7135" t="s">
        <v>2862</v>
      </c>
      <c r="C7135" t="s">
        <v>1378</v>
      </c>
      <c r="D7135" t="s">
        <v>2913</v>
      </c>
      <c r="E7135">
        <v>0</v>
      </c>
      <c r="F7135" s="11">
        <v>0</v>
      </c>
    </row>
    <row r="7136" spans="1:6" x14ac:dyDescent="0.35">
      <c r="A7136" t="s">
        <v>2857</v>
      </c>
      <c r="B7136" t="s">
        <v>2862</v>
      </c>
      <c r="C7136" t="s">
        <v>1378</v>
      </c>
      <c r="D7136" t="s">
        <v>2914</v>
      </c>
      <c r="E7136">
        <v>0</v>
      </c>
      <c r="F7136" s="11">
        <v>0</v>
      </c>
    </row>
    <row r="7137" spans="1:6" x14ac:dyDescent="0.35">
      <c r="A7137" t="s">
        <v>2857</v>
      </c>
      <c r="B7137" t="s">
        <v>2862</v>
      </c>
      <c r="C7137" t="s">
        <v>1378</v>
      </c>
      <c r="D7137" t="s">
        <v>2915</v>
      </c>
      <c r="E7137">
        <v>786</v>
      </c>
      <c r="F7137" s="11">
        <v>1</v>
      </c>
    </row>
    <row r="7138" spans="1:6" x14ac:dyDescent="0.35">
      <c r="A7138" t="s">
        <v>2857</v>
      </c>
      <c r="B7138" t="s">
        <v>2862</v>
      </c>
      <c r="C7138" t="s">
        <v>1378</v>
      </c>
      <c r="D7138" t="s">
        <v>2916</v>
      </c>
      <c r="E7138">
        <v>9854</v>
      </c>
      <c r="F7138" s="11">
        <v>1</v>
      </c>
    </row>
    <row r="7139" spans="1:6" x14ac:dyDescent="0.35">
      <c r="A7139" t="s">
        <v>2857</v>
      </c>
      <c r="B7139" t="s">
        <v>2862</v>
      </c>
      <c r="C7139" t="s">
        <v>1378</v>
      </c>
      <c r="D7139" t="s">
        <v>2917</v>
      </c>
      <c r="E7139">
        <v>42603</v>
      </c>
      <c r="F7139" s="11">
        <v>1</v>
      </c>
    </row>
    <row r="7140" spans="1:6" x14ac:dyDescent="0.35">
      <c r="A7140" t="s">
        <v>2857</v>
      </c>
      <c r="B7140" t="s">
        <v>2865</v>
      </c>
      <c r="C7140" t="s">
        <v>1488</v>
      </c>
      <c r="D7140" t="s">
        <v>2875</v>
      </c>
      <c r="E7140">
        <v>13339</v>
      </c>
      <c r="F7140" s="11">
        <v>1</v>
      </c>
    </row>
    <row r="7141" spans="1:6" x14ac:dyDescent="0.35">
      <c r="A7141" t="s">
        <v>2857</v>
      </c>
      <c r="B7141" t="s">
        <v>2865</v>
      </c>
      <c r="C7141" t="s">
        <v>1488</v>
      </c>
      <c r="D7141" t="s">
        <v>2876</v>
      </c>
      <c r="E7141">
        <v>0</v>
      </c>
      <c r="F7141" s="11">
        <v>0</v>
      </c>
    </row>
    <row r="7142" spans="1:6" x14ac:dyDescent="0.35">
      <c r="A7142" t="s">
        <v>2857</v>
      </c>
      <c r="B7142" t="s">
        <v>2865</v>
      </c>
      <c r="C7142" t="s">
        <v>1488</v>
      </c>
      <c r="D7142" t="s">
        <v>2877</v>
      </c>
      <c r="E7142">
        <v>0</v>
      </c>
      <c r="F7142" s="11">
        <v>1</v>
      </c>
    </row>
    <row r="7143" spans="1:6" x14ac:dyDescent="0.35">
      <c r="A7143" t="s">
        <v>2857</v>
      </c>
      <c r="B7143" t="s">
        <v>2865</v>
      </c>
      <c r="C7143" t="s">
        <v>1488</v>
      </c>
      <c r="D7143" t="s">
        <v>2878</v>
      </c>
      <c r="E7143">
        <v>7039</v>
      </c>
      <c r="F7143" s="11">
        <v>0</v>
      </c>
    </row>
    <row r="7144" spans="1:6" x14ac:dyDescent="0.35">
      <c r="A7144" t="s">
        <v>2857</v>
      </c>
      <c r="B7144" t="s">
        <v>2865</v>
      </c>
      <c r="C7144" t="s">
        <v>1488</v>
      </c>
      <c r="D7144" t="s">
        <v>2879</v>
      </c>
      <c r="E7144">
        <v>2202</v>
      </c>
      <c r="F7144" s="11">
        <v>1</v>
      </c>
    </row>
    <row r="7145" spans="1:6" x14ac:dyDescent="0.35">
      <c r="A7145" t="s">
        <v>2857</v>
      </c>
      <c r="B7145" t="s">
        <v>2865</v>
      </c>
      <c r="C7145" t="s">
        <v>1488</v>
      </c>
      <c r="D7145" t="s">
        <v>2880</v>
      </c>
      <c r="E7145">
        <v>0</v>
      </c>
      <c r="F7145" s="11">
        <v>0</v>
      </c>
    </row>
    <row r="7146" spans="1:6" x14ac:dyDescent="0.35">
      <c r="A7146" t="s">
        <v>2857</v>
      </c>
      <c r="B7146" t="s">
        <v>2865</v>
      </c>
      <c r="C7146" t="s">
        <v>1488</v>
      </c>
      <c r="D7146" t="s">
        <v>2881</v>
      </c>
      <c r="E7146">
        <v>0</v>
      </c>
      <c r="F7146" s="11">
        <v>0</v>
      </c>
    </row>
    <row r="7147" spans="1:6" x14ac:dyDescent="0.35">
      <c r="A7147" t="s">
        <v>2857</v>
      </c>
      <c r="B7147" t="s">
        <v>2865</v>
      </c>
      <c r="C7147" t="s">
        <v>1488</v>
      </c>
      <c r="D7147" t="s">
        <v>2882</v>
      </c>
      <c r="E7147">
        <v>2202</v>
      </c>
      <c r="F7147" s="11">
        <v>0</v>
      </c>
    </row>
    <row r="7148" spans="1:6" x14ac:dyDescent="0.35">
      <c r="A7148" t="s">
        <v>2857</v>
      </c>
      <c r="B7148" t="s">
        <v>2865</v>
      </c>
      <c r="C7148" t="s">
        <v>1488</v>
      </c>
      <c r="D7148" t="s">
        <v>2883</v>
      </c>
      <c r="E7148">
        <v>0</v>
      </c>
      <c r="F7148" s="11">
        <v>0</v>
      </c>
    </row>
    <row r="7149" spans="1:6" x14ac:dyDescent="0.35">
      <c r="A7149" t="s">
        <v>2857</v>
      </c>
      <c r="B7149" t="s">
        <v>2865</v>
      </c>
      <c r="C7149" t="s">
        <v>1488</v>
      </c>
      <c r="D7149" t="s">
        <v>2884</v>
      </c>
      <c r="E7149">
        <v>0</v>
      </c>
      <c r="F7149" s="11">
        <v>0</v>
      </c>
    </row>
    <row r="7150" spans="1:6" x14ac:dyDescent="0.35">
      <c r="A7150" t="s">
        <v>2857</v>
      </c>
      <c r="B7150" t="s">
        <v>2865</v>
      </c>
      <c r="C7150" t="s">
        <v>1488</v>
      </c>
      <c r="D7150" t="s">
        <v>2885</v>
      </c>
      <c r="E7150">
        <v>0</v>
      </c>
      <c r="F7150" s="11">
        <v>0</v>
      </c>
    </row>
    <row r="7151" spans="1:6" x14ac:dyDescent="0.35">
      <c r="A7151" t="s">
        <v>2857</v>
      </c>
      <c r="B7151" t="s">
        <v>2865</v>
      </c>
      <c r="C7151" t="s">
        <v>1488</v>
      </c>
      <c r="D7151" t="s">
        <v>2886</v>
      </c>
      <c r="E7151">
        <v>0</v>
      </c>
      <c r="F7151" s="11">
        <v>0</v>
      </c>
    </row>
    <row r="7152" spans="1:6" x14ac:dyDescent="0.35">
      <c r="A7152" t="s">
        <v>2857</v>
      </c>
      <c r="B7152" t="s">
        <v>2865</v>
      </c>
      <c r="C7152" t="s">
        <v>1488</v>
      </c>
      <c r="D7152" t="s">
        <v>2887</v>
      </c>
      <c r="E7152">
        <v>25813</v>
      </c>
      <c r="F7152" s="11">
        <v>1</v>
      </c>
    </row>
    <row r="7153" spans="1:6" x14ac:dyDescent="0.35">
      <c r="A7153" t="s">
        <v>2857</v>
      </c>
      <c r="B7153" t="s">
        <v>2865</v>
      </c>
      <c r="C7153" t="s">
        <v>1488</v>
      </c>
      <c r="D7153" t="s">
        <v>2888</v>
      </c>
      <c r="E7153">
        <v>0</v>
      </c>
      <c r="F7153" s="11">
        <v>0</v>
      </c>
    </row>
    <row r="7154" spans="1:6" x14ac:dyDescent="0.35">
      <c r="A7154" t="s">
        <v>2857</v>
      </c>
      <c r="B7154" t="s">
        <v>2865</v>
      </c>
      <c r="C7154" t="s">
        <v>1488</v>
      </c>
      <c r="D7154" t="s">
        <v>2889</v>
      </c>
      <c r="E7154">
        <v>0</v>
      </c>
      <c r="F7154" s="11">
        <v>0</v>
      </c>
    </row>
    <row r="7155" spans="1:6" x14ac:dyDescent="0.35">
      <c r="A7155" t="s">
        <v>2857</v>
      </c>
      <c r="B7155" t="s">
        <v>2865</v>
      </c>
      <c r="C7155" t="s">
        <v>1488</v>
      </c>
      <c r="D7155" t="s">
        <v>2890</v>
      </c>
      <c r="E7155">
        <v>25813</v>
      </c>
      <c r="F7155" s="11">
        <v>0</v>
      </c>
    </row>
    <row r="7156" spans="1:6" x14ac:dyDescent="0.35">
      <c r="A7156" t="s">
        <v>2857</v>
      </c>
      <c r="B7156" t="s">
        <v>2865</v>
      </c>
      <c r="C7156" t="s">
        <v>1488</v>
      </c>
      <c r="D7156" t="s">
        <v>2891</v>
      </c>
      <c r="E7156">
        <v>0</v>
      </c>
      <c r="F7156" s="11">
        <v>0</v>
      </c>
    </row>
    <row r="7157" spans="1:6" x14ac:dyDescent="0.35">
      <c r="A7157" t="s">
        <v>2857</v>
      </c>
      <c r="B7157" t="s">
        <v>2865</v>
      </c>
      <c r="C7157" t="s">
        <v>1488</v>
      </c>
      <c r="D7157" t="s">
        <v>2892</v>
      </c>
      <c r="E7157">
        <v>0</v>
      </c>
      <c r="F7157" s="11">
        <v>0</v>
      </c>
    </row>
    <row r="7158" spans="1:6" x14ac:dyDescent="0.35">
      <c r="A7158" t="s">
        <v>2857</v>
      </c>
      <c r="B7158" t="s">
        <v>2865</v>
      </c>
      <c r="C7158" t="s">
        <v>1488</v>
      </c>
      <c r="D7158" t="s">
        <v>2893</v>
      </c>
      <c r="E7158">
        <v>0</v>
      </c>
      <c r="F7158" s="11">
        <v>0</v>
      </c>
    </row>
    <row r="7159" spans="1:6" x14ac:dyDescent="0.35">
      <c r="A7159" t="s">
        <v>2857</v>
      </c>
      <c r="B7159" t="s">
        <v>2865</v>
      </c>
      <c r="C7159" t="s">
        <v>1488</v>
      </c>
      <c r="D7159" t="s">
        <v>2894</v>
      </c>
      <c r="E7159">
        <v>0</v>
      </c>
      <c r="F7159" s="11">
        <v>0</v>
      </c>
    </row>
    <row r="7160" spans="1:6" x14ac:dyDescent="0.35">
      <c r="A7160" t="s">
        <v>2857</v>
      </c>
      <c r="B7160" t="s">
        <v>2865</v>
      </c>
      <c r="C7160" t="s">
        <v>1488</v>
      </c>
      <c r="D7160" t="s">
        <v>2895</v>
      </c>
      <c r="E7160">
        <v>266347</v>
      </c>
      <c r="F7160" s="11">
        <v>1</v>
      </c>
    </row>
    <row r="7161" spans="1:6" x14ac:dyDescent="0.35">
      <c r="A7161" t="s">
        <v>2857</v>
      </c>
      <c r="B7161" t="s">
        <v>2865</v>
      </c>
      <c r="C7161" t="s">
        <v>1488</v>
      </c>
      <c r="D7161" t="s">
        <v>2896</v>
      </c>
      <c r="E7161">
        <v>0</v>
      </c>
      <c r="F7161" s="11">
        <v>0</v>
      </c>
    </row>
    <row r="7162" spans="1:6" x14ac:dyDescent="0.35">
      <c r="A7162" t="s">
        <v>2857</v>
      </c>
      <c r="B7162" t="s">
        <v>2865</v>
      </c>
      <c r="C7162" t="s">
        <v>1488</v>
      </c>
      <c r="D7162" t="s">
        <v>2897</v>
      </c>
      <c r="E7162">
        <v>0</v>
      </c>
      <c r="F7162" s="11">
        <v>0</v>
      </c>
    </row>
    <row r="7163" spans="1:6" x14ac:dyDescent="0.35">
      <c r="A7163" t="s">
        <v>2857</v>
      </c>
      <c r="B7163" t="s">
        <v>2865</v>
      </c>
      <c r="C7163" t="s">
        <v>1488</v>
      </c>
      <c r="D7163" t="s">
        <v>2898</v>
      </c>
      <c r="E7163">
        <v>0</v>
      </c>
      <c r="F7163" s="11">
        <v>0</v>
      </c>
    </row>
    <row r="7164" spans="1:6" x14ac:dyDescent="0.35">
      <c r="A7164" t="s">
        <v>2857</v>
      </c>
      <c r="B7164" t="s">
        <v>2865</v>
      </c>
      <c r="C7164" t="s">
        <v>1488</v>
      </c>
      <c r="D7164" t="s">
        <v>2899</v>
      </c>
      <c r="E7164">
        <v>3291</v>
      </c>
      <c r="F7164" s="11">
        <v>1</v>
      </c>
    </row>
    <row r="7165" spans="1:6" x14ac:dyDescent="0.35">
      <c r="A7165" t="s">
        <v>2857</v>
      </c>
      <c r="B7165" t="s">
        <v>2865</v>
      </c>
      <c r="C7165" t="s">
        <v>1488</v>
      </c>
      <c r="D7165" t="s">
        <v>2900</v>
      </c>
      <c r="E7165">
        <v>0</v>
      </c>
      <c r="F7165" s="11">
        <v>0</v>
      </c>
    </row>
    <row r="7166" spans="1:6" x14ac:dyDescent="0.35">
      <c r="A7166" t="s">
        <v>2857</v>
      </c>
      <c r="B7166" t="s">
        <v>2865</v>
      </c>
      <c r="C7166" t="s">
        <v>1488</v>
      </c>
      <c r="D7166" t="s">
        <v>2901</v>
      </c>
      <c r="E7166">
        <v>0</v>
      </c>
      <c r="F7166" s="11">
        <v>0</v>
      </c>
    </row>
    <row r="7167" spans="1:6" x14ac:dyDescent="0.35">
      <c r="A7167" t="s">
        <v>2857</v>
      </c>
      <c r="B7167" t="s">
        <v>2865</v>
      </c>
      <c r="C7167" t="s">
        <v>1488</v>
      </c>
      <c r="D7167" t="s">
        <v>2902</v>
      </c>
      <c r="E7167">
        <v>0</v>
      </c>
      <c r="F7167" s="11">
        <v>0</v>
      </c>
    </row>
    <row r="7168" spans="1:6" x14ac:dyDescent="0.35">
      <c r="A7168" t="s">
        <v>2857</v>
      </c>
      <c r="B7168" t="s">
        <v>2865</v>
      </c>
      <c r="C7168" t="s">
        <v>1488</v>
      </c>
      <c r="D7168" t="s">
        <v>2903</v>
      </c>
      <c r="E7168">
        <v>33482</v>
      </c>
      <c r="F7168" s="11">
        <v>1</v>
      </c>
    </row>
    <row r="7169" spans="1:6" x14ac:dyDescent="0.35">
      <c r="A7169" t="s">
        <v>2857</v>
      </c>
      <c r="B7169" t="s">
        <v>2865</v>
      </c>
      <c r="C7169" t="s">
        <v>1488</v>
      </c>
      <c r="D7169" t="s">
        <v>2904</v>
      </c>
      <c r="E7169">
        <v>0</v>
      </c>
      <c r="F7169" s="11">
        <v>0</v>
      </c>
    </row>
    <row r="7170" spans="1:6" x14ac:dyDescent="0.35">
      <c r="A7170" t="s">
        <v>2857</v>
      </c>
      <c r="B7170" t="s">
        <v>2865</v>
      </c>
      <c r="C7170" t="s">
        <v>1488</v>
      </c>
      <c r="D7170" t="s">
        <v>2905</v>
      </c>
      <c r="E7170">
        <v>0</v>
      </c>
      <c r="F7170" s="11">
        <v>0</v>
      </c>
    </row>
    <row r="7171" spans="1:6" x14ac:dyDescent="0.35">
      <c r="A7171" t="s">
        <v>2857</v>
      </c>
      <c r="B7171" t="s">
        <v>2865</v>
      </c>
      <c r="C7171" t="s">
        <v>1488</v>
      </c>
      <c r="D7171" t="s">
        <v>2906</v>
      </c>
      <c r="E7171">
        <v>0</v>
      </c>
      <c r="F7171" s="11">
        <v>0</v>
      </c>
    </row>
    <row r="7172" spans="1:6" x14ac:dyDescent="0.35">
      <c r="A7172" t="s">
        <v>2857</v>
      </c>
      <c r="B7172" t="s">
        <v>2865</v>
      </c>
      <c r="C7172" t="s">
        <v>1488</v>
      </c>
      <c r="D7172" t="s">
        <v>2907</v>
      </c>
      <c r="E7172">
        <v>61627</v>
      </c>
      <c r="F7172" s="11">
        <v>1</v>
      </c>
    </row>
    <row r="7173" spans="1:6" x14ac:dyDescent="0.35">
      <c r="A7173" t="s">
        <v>2857</v>
      </c>
      <c r="B7173" t="s">
        <v>2865</v>
      </c>
      <c r="C7173" t="s">
        <v>1488</v>
      </c>
      <c r="D7173" t="s">
        <v>2908</v>
      </c>
      <c r="E7173">
        <v>0</v>
      </c>
      <c r="F7173" s="11">
        <v>0</v>
      </c>
    </row>
    <row r="7174" spans="1:6" x14ac:dyDescent="0.35">
      <c r="A7174" t="s">
        <v>2857</v>
      </c>
      <c r="B7174" t="s">
        <v>2865</v>
      </c>
      <c r="C7174" t="s">
        <v>1488</v>
      </c>
      <c r="D7174" t="s">
        <v>2909</v>
      </c>
      <c r="E7174">
        <v>0</v>
      </c>
      <c r="F7174" s="11">
        <v>0</v>
      </c>
    </row>
    <row r="7175" spans="1:6" x14ac:dyDescent="0.35">
      <c r="A7175" t="s">
        <v>2857</v>
      </c>
      <c r="B7175" t="s">
        <v>2865</v>
      </c>
      <c r="C7175" t="s">
        <v>1488</v>
      </c>
      <c r="D7175" t="s">
        <v>2910</v>
      </c>
      <c r="E7175">
        <v>0</v>
      </c>
      <c r="F7175" s="11">
        <v>0</v>
      </c>
    </row>
    <row r="7176" spans="1:6" x14ac:dyDescent="0.35">
      <c r="A7176" t="s">
        <v>2857</v>
      </c>
      <c r="B7176" t="s">
        <v>2865</v>
      </c>
      <c r="C7176" t="s">
        <v>1488</v>
      </c>
      <c r="D7176" t="s">
        <v>2911</v>
      </c>
      <c r="E7176">
        <v>582921</v>
      </c>
      <c r="F7176" s="11">
        <v>1</v>
      </c>
    </row>
    <row r="7177" spans="1:6" x14ac:dyDescent="0.35">
      <c r="A7177" t="s">
        <v>2857</v>
      </c>
      <c r="B7177" t="s">
        <v>2865</v>
      </c>
      <c r="C7177" t="s">
        <v>1488</v>
      </c>
      <c r="D7177" t="s">
        <v>2912</v>
      </c>
      <c r="E7177">
        <v>0</v>
      </c>
      <c r="F7177" s="11">
        <v>0</v>
      </c>
    </row>
    <row r="7178" spans="1:6" x14ac:dyDescent="0.35">
      <c r="A7178" t="s">
        <v>2857</v>
      </c>
      <c r="B7178" t="s">
        <v>2865</v>
      </c>
      <c r="C7178" t="s">
        <v>1488</v>
      </c>
      <c r="D7178" t="s">
        <v>2913</v>
      </c>
      <c r="E7178">
        <v>0</v>
      </c>
      <c r="F7178" s="11">
        <v>0</v>
      </c>
    </row>
    <row r="7179" spans="1:6" x14ac:dyDescent="0.35">
      <c r="A7179" t="s">
        <v>2857</v>
      </c>
      <c r="B7179" t="s">
        <v>2865</v>
      </c>
      <c r="C7179" t="s">
        <v>1488</v>
      </c>
      <c r="D7179" t="s">
        <v>2914</v>
      </c>
      <c r="E7179">
        <v>0</v>
      </c>
      <c r="F7179" s="11">
        <v>0</v>
      </c>
    </row>
    <row r="7180" spans="1:6" x14ac:dyDescent="0.35">
      <c r="A7180" t="s">
        <v>2857</v>
      </c>
      <c r="B7180" t="s">
        <v>2865</v>
      </c>
      <c r="C7180" t="s">
        <v>1488</v>
      </c>
      <c r="D7180" t="s">
        <v>2915</v>
      </c>
      <c r="E7180">
        <v>908</v>
      </c>
      <c r="F7180" s="11">
        <v>0</v>
      </c>
    </row>
    <row r="7181" spans="1:6" x14ac:dyDescent="0.35">
      <c r="A7181" t="s">
        <v>2857</v>
      </c>
      <c r="B7181" t="s">
        <v>2865</v>
      </c>
      <c r="C7181" t="s">
        <v>1488</v>
      </c>
      <c r="D7181" t="s">
        <v>2916</v>
      </c>
      <c r="E7181">
        <v>69628</v>
      </c>
      <c r="F7181" s="11">
        <v>1</v>
      </c>
    </row>
    <row r="7182" spans="1:6" x14ac:dyDescent="0.35">
      <c r="A7182" t="s">
        <v>2857</v>
      </c>
      <c r="B7182" t="s">
        <v>2865</v>
      </c>
      <c r="C7182" t="s">
        <v>1488</v>
      </c>
      <c r="D7182" t="s">
        <v>2917</v>
      </c>
      <c r="E7182">
        <v>0</v>
      </c>
      <c r="F7182" s="11">
        <v>0</v>
      </c>
    </row>
    <row r="7183" spans="1:6" x14ac:dyDescent="0.35">
      <c r="A7183" t="s">
        <v>2857</v>
      </c>
      <c r="B7183" t="s">
        <v>2866</v>
      </c>
      <c r="C7183" t="s">
        <v>1540</v>
      </c>
      <c r="D7183" t="s">
        <v>2875</v>
      </c>
      <c r="E7183">
        <v>63864</v>
      </c>
      <c r="F7183" s="11">
        <v>0</v>
      </c>
    </row>
    <row r="7184" spans="1:6" x14ac:dyDescent="0.35">
      <c r="A7184" t="s">
        <v>2857</v>
      </c>
      <c r="B7184" t="s">
        <v>2866</v>
      </c>
      <c r="C7184" t="s">
        <v>1540</v>
      </c>
      <c r="D7184" t="s">
        <v>2876</v>
      </c>
      <c r="E7184">
        <v>26969</v>
      </c>
      <c r="F7184" s="11">
        <v>0</v>
      </c>
    </row>
    <row r="7185" spans="1:6" x14ac:dyDescent="0.35">
      <c r="A7185" t="s">
        <v>2857</v>
      </c>
      <c r="B7185" t="s">
        <v>2866</v>
      </c>
      <c r="C7185" t="s">
        <v>1540</v>
      </c>
      <c r="D7185" t="s">
        <v>2877</v>
      </c>
      <c r="E7185">
        <v>6135</v>
      </c>
      <c r="F7185" s="11">
        <v>0</v>
      </c>
    </row>
    <row r="7186" spans="1:6" x14ac:dyDescent="0.35">
      <c r="A7186" t="s">
        <v>2857</v>
      </c>
      <c r="B7186" t="s">
        <v>2866</v>
      </c>
      <c r="C7186" t="s">
        <v>1540</v>
      </c>
      <c r="D7186" t="s">
        <v>2878</v>
      </c>
      <c r="E7186">
        <v>30760</v>
      </c>
      <c r="F7186" s="11">
        <v>0</v>
      </c>
    </row>
    <row r="7187" spans="1:6" x14ac:dyDescent="0.35">
      <c r="A7187" t="s">
        <v>2857</v>
      </c>
      <c r="B7187" t="s">
        <v>2866</v>
      </c>
      <c r="C7187" t="s">
        <v>1540</v>
      </c>
      <c r="D7187" t="s">
        <v>2879</v>
      </c>
      <c r="E7187">
        <v>12669</v>
      </c>
      <c r="F7187" s="11">
        <v>0</v>
      </c>
    </row>
    <row r="7188" spans="1:6" x14ac:dyDescent="0.35">
      <c r="A7188" t="s">
        <v>2857</v>
      </c>
      <c r="B7188" t="s">
        <v>2866</v>
      </c>
      <c r="C7188" t="s">
        <v>1540</v>
      </c>
      <c r="D7188" t="s">
        <v>2880</v>
      </c>
      <c r="E7188">
        <v>4259</v>
      </c>
      <c r="F7188" s="11">
        <v>0</v>
      </c>
    </row>
    <row r="7189" spans="1:6" x14ac:dyDescent="0.35">
      <c r="A7189" t="s">
        <v>2857</v>
      </c>
      <c r="B7189" t="s">
        <v>2866</v>
      </c>
      <c r="C7189" t="s">
        <v>1540</v>
      </c>
      <c r="D7189" t="s">
        <v>2881</v>
      </c>
      <c r="E7189">
        <v>216</v>
      </c>
      <c r="F7189" s="11">
        <v>0</v>
      </c>
    </row>
    <row r="7190" spans="1:6" x14ac:dyDescent="0.35">
      <c r="A7190" t="s">
        <v>2857</v>
      </c>
      <c r="B7190" t="s">
        <v>2866</v>
      </c>
      <c r="C7190" t="s">
        <v>1540</v>
      </c>
      <c r="D7190" t="s">
        <v>2882</v>
      </c>
      <c r="E7190">
        <v>8194</v>
      </c>
      <c r="F7190" s="11">
        <v>0</v>
      </c>
    </row>
    <row r="7191" spans="1:6" x14ac:dyDescent="0.35">
      <c r="A7191" t="s">
        <v>2857</v>
      </c>
      <c r="B7191" t="s">
        <v>2866</v>
      </c>
      <c r="C7191" t="s">
        <v>1540</v>
      </c>
      <c r="D7191" t="s">
        <v>2883</v>
      </c>
      <c r="E7191">
        <v>0</v>
      </c>
      <c r="F7191" s="11">
        <v>0</v>
      </c>
    </row>
    <row r="7192" spans="1:6" x14ac:dyDescent="0.35">
      <c r="A7192" t="s">
        <v>2857</v>
      </c>
      <c r="B7192" t="s">
        <v>2866</v>
      </c>
      <c r="C7192" t="s">
        <v>1540</v>
      </c>
      <c r="D7192" t="s">
        <v>2884</v>
      </c>
      <c r="E7192">
        <v>0</v>
      </c>
      <c r="F7192" s="11">
        <v>0</v>
      </c>
    </row>
    <row r="7193" spans="1:6" x14ac:dyDescent="0.35">
      <c r="A7193" t="s">
        <v>2857</v>
      </c>
      <c r="B7193" t="s">
        <v>2866</v>
      </c>
      <c r="C7193" t="s">
        <v>1540</v>
      </c>
      <c r="D7193" t="s">
        <v>2885</v>
      </c>
      <c r="E7193">
        <v>0</v>
      </c>
      <c r="F7193" s="11">
        <v>0</v>
      </c>
    </row>
    <row r="7194" spans="1:6" x14ac:dyDescent="0.35">
      <c r="A7194" t="s">
        <v>2857</v>
      </c>
      <c r="B7194" t="s">
        <v>2866</v>
      </c>
      <c r="C7194" t="s">
        <v>1540</v>
      </c>
      <c r="D7194" t="s">
        <v>2886</v>
      </c>
      <c r="E7194">
        <v>0</v>
      </c>
      <c r="F7194" s="11">
        <v>0</v>
      </c>
    </row>
    <row r="7195" spans="1:6" x14ac:dyDescent="0.35">
      <c r="A7195" t="s">
        <v>2857</v>
      </c>
      <c r="B7195" t="s">
        <v>2866</v>
      </c>
      <c r="C7195" t="s">
        <v>1540</v>
      </c>
      <c r="D7195" t="s">
        <v>2887</v>
      </c>
      <c r="E7195">
        <v>223621</v>
      </c>
      <c r="F7195" s="11">
        <v>0</v>
      </c>
    </row>
    <row r="7196" spans="1:6" x14ac:dyDescent="0.35">
      <c r="A7196" t="s">
        <v>2857</v>
      </c>
      <c r="B7196" t="s">
        <v>2866</v>
      </c>
      <c r="C7196" t="s">
        <v>1540</v>
      </c>
      <c r="D7196" t="s">
        <v>2888</v>
      </c>
      <c r="E7196">
        <v>77668</v>
      </c>
      <c r="F7196" s="11">
        <v>0</v>
      </c>
    </row>
    <row r="7197" spans="1:6" x14ac:dyDescent="0.35">
      <c r="A7197" t="s">
        <v>2857</v>
      </c>
      <c r="B7197" t="s">
        <v>2866</v>
      </c>
      <c r="C7197" t="s">
        <v>1540</v>
      </c>
      <c r="D7197" t="s">
        <v>2889</v>
      </c>
      <c r="E7197">
        <v>3495</v>
      </c>
      <c r="F7197" s="11">
        <v>0</v>
      </c>
    </row>
    <row r="7198" spans="1:6" x14ac:dyDescent="0.35">
      <c r="A7198" t="s">
        <v>2857</v>
      </c>
      <c r="B7198" t="s">
        <v>2866</v>
      </c>
      <c r="C7198" t="s">
        <v>1540</v>
      </c>
      <c r="D7198" t="s">
        <v>2890</v>
      </c>
      <c r="E7198">
        <v>142458</v>
      </c>
      <c r="F7198" s="11">
        <v>0</v>
      </c>
    </row>
    <row r="7199" spans="1:6" x14ac:dyDescent="0.35">
      <c r="A7199" t="s">
        <v>2857</v>
      </c>
      <c r="B7199" t="s">
        <v>2866</v>
      </c>
      <c r="C7199" t="s">
        <v>1540</v>
      </c>
      <c r="D7199" t="s">
        <v>2891</v>
      </c>
      <c r="E7199">
        <v>0</v>
      </c>
      <c r="F7199" s="11">
        <v>0</v>
      </c>
    </row>
    <row r="7200" spans="1:6" x14ac:dyDescent="0.35">
      <c r="A7200" t="s">
        <v>2857</v>
      </c>
      <c r="B7200" t="s">
        <v>2866</v>
      </c>
      <c r="C7200" t="s">
        <v>1540</v>
      </c>
      <c r="D7200" t="s">
        <v>2892</v>
      </c>
      <c r="E7200">
        <v>0</v>
      </c>
      <c r="F7200" s="11">
        <v>0</v>
      </c>
    </row>
    <row r="7201" spans="1:6" x14ac:dyDescent="0.35">
      <c r="A7201" t="s">
        <v>2857</v>
      </c>
      <c r="B7201" t="s">
        <v>2866</v>
      </c>
      <c r="C7201" t="s">
        <v>1540</v>
      </c>
      <c r="D7201" t="s">
        <v>2893</v>
      </c>
      <c r="E7201">
        <v>0</v>
      </c>
      <c r="F7201" s="11">
        <v>0</v>
      </c>
    </row>
    <row r="7202" spans="1:6" x14ac:dyDescent="0.35">
      <c r="A7202" t="s">
        <v>2857</v>
      </c>
      <c r="B7202" t="s">
        <v>2866</v>
      </c>
      <c r="C7202" t="s">
        <v>1540</v>
      </c>
      <c r="D7202" t="s">
        <v>2894</v>
      </c>
      <c r="E7202">
        <v>0</v>
      </c>
      <c r="F7202" s="11">
        <v>0</v>
      </c>
    </row>
    <row r="7203" spans="1:6" x14ac:dyDescent="0.35">
      <c r="A7203" t="s">
        <v>2857</v>
      </c>
      <c r="B7203" t="s">
        <v>2866</v>
      </c>
      <c r="C7203" t="s">
        <v>1540</v>
      </c>
      <c r="D7203" t="s">
        <v>2895</v>
      </c>
      <c r="E7203">
        <v>924258</v>
      </c>
      <c r="F7203" s="11">
        <v>0</v>
      </c>
    </row>
    <row r="7204" spans="1:6" x14ac:dyDescent="0.35">
      <c r="A7204" t="s">
        <v>2857</v>
      </c>
      <c r="B7204" t="s">
        <v>2866</v>
      </c>
      <c r="C7204" t="s">
        <v>1540</v>
      </c>
      <c r="D7204" t="s">
        <v>2896</v>
      </c>
      <c r="E7204">
        <v>689996</v>
      </c>
      <c r="F7204" s="11">
        <v>0</v>
      </c>
    </row>
    <row r="7205" spans="1:6" x14ac:dyDescent="0.35">
      <c r="A7205" t="s">
        <v>2857</v>
      </c>
      <c r="B7205" t="s">
        <v>2866</v>
      </c>
      <c r="C7205" t="s">
        <v>1540</v>
      </c>
      <c r="D7205" t="s">
        <v>2897</v>
      </c>
      <c r="E7205">
        <v>15640</v>
      </c>
      <c r="F7205" s="11">
        <v>0</v>
      </c>
    </row>
    <row r="7206" spans="1:6" x14ac:dyDescent="0.35">
      <c r="A7206" t="s">
        <v>2857</v>
      </c>
      <c r="B7206" t="s">
        <v>2866</v>
      </c>
      <c r="C7206" t="s">
        <v>1540</v>
      </c>
      <c r="D7206" t="s">
        <v>2898</v>
      </c>
      <c r="E7206">
        <v>218622</v>
      </c>
      <c r="F7206" s="11">
        <v>0</v>
      </c>
    </row>
    <row r="7207" spans="1:6" x14ac:dyDescent="0.35">
      <c r="A7207" t="s">
        <v>2857</v>
      </c>
      <c r="B7207" t="s">
        <v>2866</v>
      </c>
      <c r="C7207" t="s">
        <v>1540</v>
      </c>
      <c r="D7207" t="s">
        <v>2899</v>
      </c>
      <c r="E7207">
        <v>0</v>
      </c>
      <c r="F7207" s="11">
        <v>0</v>
      </c>
    </row>
    <row r="7208" spans="1:6" x14ac:dyDescent="0.35">
      <c r="A7208" t="s">
        <v>2857</v>
      </c>
      <c r="B7208" t="s">
        <v>2866</v>
      </c>
      <c r="C7208" t="s">
        <v>1540</v>
      </c>
      <c r="D7208" t="s">
        <v>2900</v>
      </c>
      <c r="E7208">
        <v>0</v>
      </c>
      <c r="F7208" s="11">
        <v>0</v>
      </c>
    </row>
    <row r="7209" spans="1:6" x14ac:dyDescent="0.35">
      <c r="A7209" t="s">
        <v>2857</v>
      </c>
      <c r="B7209" t="s">
        <v>2866</v>
      </c>
      <c r="C7209" t="s">
        <v>1540</v>
      </c>
      <c r="D7209" t="s">
        <v>2901</v>
      </c>
      <c r="E7209">
        <v>0</v>
      </c>
      <c r="F7209" s="11">
        <v>0</v>
      </c>
    </row>
    <row r="7210" spans="1:6" x14ac:dyDescent="0.35">
      <c r="A7210" t="s">
        <v>2857</v>
      </c>
      <c r="B7210" t="s">
        <v>2866</v>
      </c>
      <c r="C7210" t="s">
        <v>1540</v>
      </c>
      <c r="D7210" t="s">
        <v>2902</v>
      </c>
      <c r="E7210">
        <v>0</v>
      </c>
      <c r="F7210" s="11">
        <v>0</v>
      </c>
    </row>
    <row r="7211" spans="1:6" x14ac:dyDescent="0.35">
      <c r="A7211" t="s">
        <v>2857</v>
      </c>
      <c r="B7211" t="s">
        <v>2866</v>
      </c>
      <c r="C7211" t="s">
        <v>1540</v>
      </c>
      <c r="D7211" t="s">
        <v>2903</v>
      </c>
      <c r="E7211">
        <v>29670</v>
      </c>
      <c r="F7211" s="11">
        <v>0</v>
      </c>
    </row>
    <row r="7212" spans="1:6" x14ac:dyDescent="0.35">
      <c r="A7212" t="s">
        <v>2857</v>
      </c>
      <c r="B7212" t="s">
        <v>2866</v>
      </c>
      <c r="C7212" t="s">
        <v>1540</v>
      </c>
      <c r="D7212" t="s">
        <v>2904</v>
      </c>
      <c r="E7212">
        <v>4248</v>
      </c>
      <c r="F7212" s="11">
        <v>0</v>
      </c>
    </row>
    <row r="7213" spans="1:6" x14ac:dyDescent="0.35">
      <c r="A7213" t="s">
        <v>2857</v>
      </c>
      <c r="B7213" t="s">
        <v>2866</v>
      </c>
      <c r="C7213" t="s">
        <v>1540</v>
      </c>
      <c r="D7213" t="s">
        <v>2905</v>
      </c>
      <c r="E7213">
        <v>2710</v>
      </c>
      <c r="F7213" s="11">
        <v>0</v>
      </c>
    </row>
    <row r="7214" spans="1:6" x14ac:dyDescent="0.35">
      <c r="A7214" t="s">
        <v>2857</v>
      </c>
      <c r="B7214" t="s">
        <v>2866</v>
      </c>
      <c r="C7214" t="s">
        <v>1540</v>
      </c>
      <c r="D7214" t="s">
        <v>2906</v>
      </c>
      <c r="E7214">
        <v>22712</v>
      </c>
      <c r="F7214" s="11">
        <v>0</v>
      </c>
    </row>
    <row r="7215" spans="1:6" x14ac:dyDescent="0.35">
      <c r="A7215" t="s">
        <v>2857</v>
      </c>
      <c r="B7215" t="s">
        <v>2866</v>
      </c>
      <c r="C7215" t="s">
        <v>1540</v>
      </c>
      <c r="D7215" t="s">
        <v>2907</v>
      </c>
      <c r="E7215">
        <v>28137</v>
      </c>
      <c r="F7215" s="11">
        <v>0</v>
      </c>
    </row>
    <row r="7216" spans="1:6" x14ac:dyDescent="0.35">
      <c r="A7216" t="s">
        <v>2857</v>
      </c>
      <c r="B7216" t="s">
        <v>2866</v>
      </c>
      <c r="C7216" t="s">
        <v>1540</v>
      </c>
      <c r="D7216" t="s">
        <v>2908</v>
      </c>
      <c r="E7216">
        <v>1730</v>
      </c>
      <c r="F7216" s="11">
        <v>0</v>
      </c>
    </row>
    <row r="7217" spans="1:6" x14ac:dyDescent="0.35">
      <c r="A7217" t="s">
        <v>2857</v>
      </c>
      <c r="B7217" t="s">
        <v>2866</v>
      </c>
      <c r="C7217" t="s">
        <v>1540</v>
      </c>
      <c r="D7217" t="s">
        <v>2909</v>
      </c>
      <c r="E7217">
        <v>1313</v>
      </c>
      <c r="F7217" s="11">
        <v>0</v>
      </c>
    </row>
    <row r="7218" spans="1:6" x14ac:dyDescent="0.35">
      <c r="A7218" t="s">
        <v>2857</v>
      </c>
      <c r="B7218" t="s">
        <v>2866</v>
      </c>
      <c r="C7218" t="s">
        <v>1540</v>
      </c>
      <c r="D7218" t="s">
        <v>2910</v>
      </c>
      <c r="E7218">
        <v>25092</v>
      </c>
      <c r="F7218" s="11">
        <v>0</v>
      </c>
    </row>
    <row r="7219" spans="1:6" x14ac:dyDescent="0.35">
      <c r="A7219" t="s">
        <v>2857</v>
      </c>
      <c r="B7219" t="s">
        <v>2866</v>
      </c>
      <c r="C7219" t="s">
        <v>1540</v>
      </c>
      <c r="D7219" t="s">
        <v>2911</v>
      </c>
      <c r="E7219">
        <v>1320613</v>
      </c>
      <c r="F7219" s="11">
        <v>0</v>
      </c>
    </row>
    <row r="7220" spans="1:6" x14ac:dyDescent="0.35">
      <c r="A7220" t="s">
        <v>2857</v>
      </c>
      <c r="B7220" t="s">
        <v>2866</v>
      </c>
      <c r="C7220" t="s">
        <v>1540</v>
      </c>
      <c r="D7220" t="s">
        <v>2912</v>
      </c>
      <c r="E7220">
        <v>0</v>
      </c>
      <c r="F7220" s="11">
        <v>0</v>
      </c>
    </row>
    <row r="7221" spans="1:6" x14ac:dyDescent="0.35">
      <c r="A7221" t="s">
        <v>2857</v>
      </c>
      <c r="B7221" t="s">
        <v>2866</v>
      </c>
      <c r="C7221" t="s">
        <v>1540</v>
      </c>
      <c r="D7221" t="s">
        <v>2913</v>
      </c>
      <c r="E7221">
        <v>0</v>
      </c>
      <c r="F7221" s="11">
        <v>0</v>
      </c>
    </row>
    <row r="7222" spans="1:6" x14ac:dyDescent="0.35">
      <c r="A7222" t="s">
        <v>2857</v>
      </c>
      <c r="B7222" t="s">
        <v>2866</v>
      </c>
      <c r="C7222" t="s">
        <v>1540</v>
      </c>
      <c r="D7222" t="s">
        <v>2914</v>
      </c>
      <c r="E7222">
        <v>0</v>
      </c>
      <c r="F7222" s="11">
        <v>0</v>
      </c>
    </row>
    <row r="7223" spans="1:6" x14ac:dyDescent="0.35">
      <c r="A7223" t="s">
        <v>2857</v>
      </c>
      <c r="B7223" t="s">
        <v>2866</v>
      </c>
      <c r="C7223" t="s">
        <v>1540</v>
      </c>
      <c r="D7223" t="s">
        <v>2915</v>
      </c>
      <c r="E7223">
        <v>0</v>
      </c>
      <c r="F7223" s="11">
        <v>0</v>
      </c>
    </row>
    <row r="7224" spans="1:6" x14ac:dyDescent="0.35">
      <c r="A7224" t="s">
        <v>2857</v>
      </c>
      <c r="B7224" t="s">
        <v>2866</v>
      </c>
      <c r="C7224" t="s">
        <v>1540</v>
      </c>
      <c r="D7224" t="s">
        <v>2916</v>
      </c>
      <c r="E7224">
        <v>119156</v>
      </c>
      <c r="F7224" s="11">
        <v>0</v>
      </c>
    </row>
    <row r="7225" spans="1:6" x14ac:dyDescent="0.35">
      <c r="A7225" t="s">
        <v>2857</v>
      </c>
      <c r="B7225" t="s">
        <v>2866</v>
      </c>
      <c r="C7225" t="s">
        <v>1540</v>
      </c>
      <c r="D7225" t="s">
        <v>2917</v>
      </c>
      <c r="E7225">
        <v>89950</v>
      </c>
      <c r="F7225" s="11">
        <v>0</v>
      </c>
    </row>
    <row r="7226" spans="1:6" x14ac:dyDescent="0.35">
      <c r="A7226" t="s">
        <v>2857</v>
      </c>
      <c r="B7226" t="s">
        <v>2865</v>
      </c>
      <c r="C7226" t="s">
        <v>1451</v>
      </c>
      <c r="D7226" t="s">
        <v>2875</v>
      </c>
      <c r="E7226">
        <v>7275</v>
      </c>
      <c r="F7226" s="11">
        <v>1</v>
      </c>
    </row>
    <row r="7227" spans="1:6" x14ac:dyDescent="0.35">
      <c r="A7227" t="s">
        <v>2857</v>
      </c>
      <c r="B7227" t="s">
        <v>2865</v>
      </c>
      <c r="C7227" t="s">
        <v>1451</v>
      </c>
      <c r="D7227" t="s">
        <v>2876</v>
      </c>
      <c r="E7227">
        <v>1440</v>
      </c>
      <c r="F7227" s="11">
        <v>1</v>
      </c>
    </row>
    <row r="7228" spans="1:6" x14ac:dyDescent="0.35">
      <c r="A7228" t="s">
        <v>2857</v>
      </c>
      <c r="B7228" t="s">
        <v>2865</v>
      </c>
      <c r="C7228" t="s">
        <v>1451</v>
      </c>
      <c r="D7228" t="s">
        <v>2877</v>
      </c>
      <c r="E7228">
        <v>291</v>
      </c>
      <c r="F7228" s="11">
        <v>1</v>
      </c>
    </row>
    <row r="7229" spans="1:6" x14ac:dyDescent="0.35">
      <c r="A7229" t="s">
        <v>2857</v>
      </c>
      <c r="B7229" t="s">
        <v>2865</v>
      </c>
      <c r="C7229" t="s">
        <v>1451</v>
      </c>
      <c r="D7229" t="s">
        <v>2878</v>
      </c>
      <c r="E7229">
        <v>5544</v>
      </c>
      <c r="F7229" s="11">
        <v>1</v>
      </c>
    </row>
    <row r="7230" spans="1:6" x14ac:dyDescent="0.35">
      <c r="A7230" t="s">
        <v>2857</v>
      </c>
      <c r="B7230" t="s">
        <v>2865</v>
      </c>
      <c r="C7230" t="s">
        <v>1451</v>
      </c>
      <c r="D7230" t="s">
        <v>2879</v>
      </c>
      <c r="E7230">
        <v>609</v>
      </c>
      <c r="F7230" s="11">
        <v>1</v>
      </c>
    </row>
    <row r="7231" spans="1:6" x14ac:dyDescent="0.35">
      <c r="A7231" t="s">
        <v>2857</v>
      </c>
      <c r="B7231" t="s">
        <v>2865</v>
      </c>
      <c r="C7231" t="s">
        <v>1451</v>
      </c>
      <c r="D7231" t="s">
        <v>2880</v>
      </c>
      <c r="E7231">
        <v>330</v>
      </c>
      <c r="F7231" s="11">
        <v>1</v>
      </c>
    </row>
    <row r="7232" spans="1:6" x14ac:dyDescent="0.35">
      <c r="A7232" t="s">
        <v>2857</v>
      </c>
      <c r="B7232" t="s">
        <v>2865</v>
      </c>
      <c r="C7232" t="s">
        <v>1451</v>
      </c>
      <c r="D7232" t="s">
        <v>2881</v>
      </c>
      <c r="E7232">
        <v>0</v>
      </c>
      <c r="F7232" s="11">
        <v>1</v>
      </c>
    </row>
    <row r="7233" spans="1:6" x14ac:dyDescent="0.35">
      <c r="A7233" t="s">
        <v>2857</v>
      </c>
      <c r="B7233" t="s">
        <v>2865</v>
      </c>
      <c r="C7233" t="s">
        <v>1451</v>
      </c>
      <c r="D7233" t="s">
        <v>2882</v>
      </c>
      <c r="E7233">
        <v>279</v>
      </c>
      <c r="F7233" s="11">
        <v>1</v>
      </c>
    </row>
    <row r="7234" spans="1:6" x14ac:dyDescent="0.35">
      <c r="A7234" t="s">
        <v>2857</v>
      </c>
      <c r="B7234" t="s">
        <v>2865</v>
      </c>
      <c r="C7234" t="s">
        <v>1451</v>
      </c>
      <c r="D7234" t="s">
        <v>2883</v>
      </c>
      <c r="E7234">
        <v>0</v>
      </c>
      <c r="F7234" s="11">
        <v>1</v>
      </c>
    </row>
    <row r="7235" spans="1:6" x14ac:dyDescent="0.35">
      <c r="A7235" t="s">
        <v>2857</v>
      </c>
      <c r="B7235" t="s">
        <v>2865</v>
      </c>
      <c r="C7235" t="s">
        <v>1451</v>
      </c>
      <c r="D7235" t="s">
        <v>2884</v>
      </c>
      <c r="E7235">
        <v>0</v>
      </c>
      <c r="F7235" s="11">
        <v>1</v>
      </c>
    </row>
    <row r="7236" spans="1:6" x14ac:dyDescent="0.35">
      <c r="A7236" t="s">
        <v>2857</v>
      </c>
      <c r="B7236" t="s">
        <v>2865</v>
      </c>
      <c r="C7236" t="s">
        <v>1451</v>
      </c>
      <c r="D7236" t="s">
        <v>2885</v>
      </c>
      <c r="E7236">
        <v>0</v>
      </c>
      <c r="F7236" s="11">
        <v>0</v>
      </c>
    </row>
    <row r="7237" spans="1:6" x14ac:dyDescent="0.35">
      <c r="A7237" t="s">
        <v>2857</v>
      </c>
      <c r="B7237" t="s">
        <v>2865</v>
      </c>
      <c r="C7237" t="s">
        <v>1451</v>
      </c>
      <c r="D7237" t="s">
        <v>2886</v>
      </c>
      <c r="E7237">
        <v>0</v>
      </c>
      <c r="F7237" s="11">
        <v>0</v>
      </c>
    </row>
    <row r="7238" spans="1:6" x14ac:dyDescent="0.35">
      <c r="A7238" t="s">
        <v>2857</v>
      </c>
      <c r="B7238" t="s">
        <v>2865</v>
      </c>
      <c r="C7238" t="s">
        <v>1451</v>
      </c>
      <c r="D7238" t="s">
        <v>2887</v>
      </c>
      <c r="E7238">
        <v>10790</v>
      </c>
      <c r="F7238" s="11">
        <v>1</v>
      </c>
    </row>
    <row r="7239" spans="1:6" x14ac:dyDescent="0.35">
      <c r="A7239" t="s">
        <v>2857</v>
      </c>
      <c r="B7239" t="s">
        <v>2865</v>
      </c>
      <c r="C7239" t="s">
        <v>1451</v>
      </c>
      <c r="D7239" t="s">
        <v>2888</v>
      </c>
      <c r="E7239">
        <v>6416</v>
      </c>
      <c r="F7239" s="11">
        <v>1</v>
      </c>
    </row>
    <row r="7240" spans="1:6" x14ac:dyDescent="0.35">
      <c r="A7240" t="s">
        <v>2857</v>
      </c>
      <c r="B7240" t="s">
        <v>2865</v>
      </c>
      <c r="C7240" t="s">
        <v>1451</v>
      </c>
      <c r="D7240" t="s">
        <v>2889</v>
      </c>
      <c r="E7240">
        <v>0</v>
      </c>
      <c r="F7240" s="11">
        <v>1</v>
      </c>
    </row>
    <row r="7241" spans="1:6" x14ac:dyDescent="0.35">
      <c r="A7241" t="s">
        <v>2857</v>
      </c>
      <c r="B7241" t="s">
        <v>2865</v>
      </c>
      <c r="C7241" t="s">
        <v>1451</v>
      </c>
      <c r="D7241" t="s">
        <v>2890</v>
      </c>
      <c r="E7241">
        <v>5374</v>
      </c>
      <c r="F7241" s="11">
        <v>1</v>
      </c>
    </row>
    <row r="7242" spans="1:6" x14ac:dyDescent="0.35">
      <c r="A7242" t="s">
        <v>2857</v>
      </c>
      <c r="B7242" t="s">
        <v>2865</v>
      </c>
      <c r="C7242" t="s">
        <v>1451</v>
      </c>
      <c r="D7242" t="s">
        <v>2891</v>
      </c>
      <c r="E7242">
        <v>0</v>
      </c>
      <c r="F7242" s="11">
        <v>1</v>
      </c>
    </row>
    <row r="7243" spans="1:6" x14ac:dyDescent="0.35">
      <c r="A7243" t="s">
        <v>2857</v>
      </c>
      <c r="B7243" t="s">
        <v>2865</v>
      </c>
      <c r="C7243" t="s">
        <v>1451</v>
      </c>
      <c r="D7243" t="s">
        <v>2892</v>
      </c>
      <c r="E7243">
        <v>0</v>
      </c>
      <c r="F7243" s="11">
        <v>1</v>
      </c>
    </row>
    <row r="7244" spans="1:6" x14ac:dyDescent="0.35">
      <c r="A7244" t="s">
        <v>2857</v>
      </c>
      <c r="B7244" t="s">
        <v>2865</v>
      </c>
      <c r="C7244" t="s">
        <v>1451</v>
      </c>
      <c r="D7244" t="s">
        <v>2893</v>
      </c>
      <c r="E7244">
        <v>0</v>
      </c>
      <c r="F7244" s="11">
        <v>0</v>
      </c>
    </row>
    <row r="7245" spans="1:6" x14ac:dyDescent="0.35">
      <c r="A7245" t="s">
        <v>2857</v>
      </c>
      <c r="B7245" t="s">
        <v>2865</v>
      </c>
      <c r="C7245" t="s">
        <v>1451</v>
      </c>
      <c r="D7245" t="s">
        <v>2894</v>
      </c>
      <c r="E7245">
        <v>0</v>
      </c>
      <c r="F7245" s="11">
        <v>0</v>
      </c>
    </row>
    <row r="7246" spans="1:6" x14ac:dyDescent="0.35">
      <c r="A7246" t="s">
        <v>2857</v>
      </c>
      <c r="B7246" t="s">
        <v>2865</v>
      </c>
      <c r="C7246" t="s">
        <v>1451</v>
      </c>
      <c r="D7246" t="s">
        <v>2895</v>
      </c>
      <c r="E7246">
        <v>150972</v>
      </c>
      <c r="F7246" s="11">
        <v>1</v>
      </c>
    </row>
    <row r="7247" spans="1:6" x14ac:dyDescent="0.35">
      <c r="A7247" t="s">
        <v>2857</v>
      </c>
      <c r="B7247" t="s">
        <v>2865</v>
      </c>
      <c r="C7247" t="s">
        <v>1451</v>
      </c>
      <c r="D7247" t="s">
        <v>2896</v>
      </c>
      <c r="E7247">
        <v>40191</v>
      </c>
      <c r="F7247" s="11">
        <v>1</v>
      </c>
    </row>
    <row r="7248" spans="1:6" x14ac:dyDescent="0.35">
      <c r="A7248" t="s">
        <v>2857</v>
      </c>
      <c r="B7248" t="s">
        <v>2865</v>
      </c>
      <c r="C7248" t="s">
        <v>1451</v>
      </c>
      <c r="D7248" t="s">
        <v>2897</v>
      </c>
      <c r="E7248">
        <v>1547</v>
      </c>
      <c r="F7248" s="11">
        <v>1</v>
      </c>
    </row>
    <row r="7249" spans="1:6" x14ac:dyDescent="0.35">
      <c r="A7249" t="s">
        <v>2857</v>
      </c>
      <c r="B7249" t="s">
        <v>2865</v>
      </c>
      <c r="C7249" t="s">
        <v>1451</v>
      </c>
      <c r="D7249" t="s">
        <v>2898</v>
      </c>
      <c r="E7249">
        <v>123075</v>
      </c>
      <c r="F7249" s="11">
        <v>1</v>
      </c>
    </row>
    <row r="7250" spans="1:6" x14ac:dyDescent="0.35">
      <c r="A7250" t="s">
        <v>2857</v>
      </c>
      <c r="B7250" t="s">
        <v>2865</v>
      </c>
      <c r="C7250" t="s">
        <v>1451</v>
      </c>
      <c r="D7250" t="s">
        <v>2899</v>
      </c>
      <c r="E7250">
        <v>6372</v>
      </c>
      <c r="F7250" s="11">
        <v>1</v>
      </c>
    </row>
    <row r="7251" spans="1:6" x14ac:dyDescent="0.35">
      <c r="A7251" t="s">
        <v>2857</v>
      </c>
      <c r="B7251" t="s">
        <v>2865</v>
      </c>
      <c r="C7251" t="s">
        <v>1451</v>
      </c>
      <c r="D7251" t="s">
        <v>2900</v>
      </c>
      <c r="E7251">
        <v>383</v>
      </c>
      <c r="F7251" s="11">
        <v>1</v>
      </c>
    </row>
    <row r="7252" spans="1:6" x14ac:dyDescent="0.35">
      <c r="A7252" t="s">
        <v>2857</v>
      </c>
      <c r="B7252" t="s">
        <v>2865</v>
      </c>
      <c r="C7252" t="s">
        <v>1451</v>
      </c>
      <c r="D7252" t="s">
        <v>2901</v>
      </c>
      <c r="E7252">
        <v>0</v>
      </c>
      <c r="F7252" s="11">
        <v>1</v>
      </c>
    </row>
    <row r="7253" spans="1:6" x14ac:dyDescent="0.35">
      <c r="A7253" t="s">
        <v>2857</v>
      </c>
      <c r="B7253" t="s">
        <v>2865</v>
      </c>
      <c r="C7253" t="s">
        <v>1451</v>
      </c>
      <c r="D7253" t="s">
        <v>2902</v>
      </c>
      <c r="E7253">
        <v>5989</v>
      </c>
      <c r="F7253" s="11">
        <v>0</v>
      </c>
    </row>
    <row r="7254" spans="1:6" x14ac:dyDescent="0.35">
      <c r="A7254" t="s">
        <v>2857</v>
      </c>
      <c r="B7254" t="s">
        <v>2865</v>
      </c>
      <c r="C7254" t="s">
        <v>1451</v>
      </c>
      <c r="D7254" t="s">
        <v>2903</v>
      </c>
      <c r="E7254">
        <v>3195</v>
      </c>
      <c r="F7254" s="11">
        <v>1</v>
      </c>
    </row>
    <row r="7255" spans="1:6" x14ac:dyDescent="0.35">
      <c r="A7255" t="s">
        <v>2857</v>
      </c>
      <c r="B7255" t="s">
        <v>2865</v>
      </c>
      <c r="C7255" t="s">
        <v>1451</v>
      </c>
      <c r="D7255" t="s">
        <v>2904</v>
      </c>
      <c r="E7255">
        <v>467</v>
      </c>
      <c r="F7255" s="11">
        <v>1</v>
      </c>
    </row>
    <row r="7256" spans="1:6" x14ac:dyDescent="0.35">
      <c r="A7256" t="s">
        <v>2857</v>
      </c>
      <c r="B7256" t="s">
        <v>2865</v>
      </c>
      <c r="C7256" t="s">
        <v>1451</v>
      </c>
      <c r="D7256" t="s">
        <v>2905</v>
      </c>
      <c r="E7256">
        <v>355</v>
      </c>
      <c r="F7256" s="11">
        <v>1</v>
      </c>
    </row>
    <row r="7257" spans="1:6" x14ac:dyDescent="0.35">
      <c r="A7257" t="s">
        <v>2857</v>
      </c>
      <c r="B7257" t="s">
        <v>2865</v>
      </c>
      <c r="C7257" t="s">
        <v>1451</v>
      </c>
      <c r="D7257" t="s">
        <v>2906</v>
      </c>
      <c r="E7257">
        <v>2373</v>
      </c>
      <c r="F7257" s="11">
        <v>1</v>
      </c>
    </row>
    <row r="7258" spans="1:6" x14ac:dyDescent="0.35">
      <c r="A7258" t="s">
        <v>2857</v>
      </c>
      <c r="B7258" t="s">
        <v>2865</v>
      </c>
      <c r="C7258" t="s">
        <v>1451</v>
      </c>
      <c r="D7258" t="s">
        <v>2907</v>
      </c>
      <c r="E7258">
        <v>6256</v>
      </c>
      <c r="F7258" s="11">
        <v>1</v>
      </c>
    </row>
    <row r="7259" spans="1:6" x14ac:dyDescent="0.35">
      <c r="A7259" t="s">
        <v>2857</v>
      </c>
      <c r="B7259" t="s">
        <v>2865</v>
      </c>
      <c r="C7259" t="s">
        <v>1451</v>
      </c>
      <c r="D7259" t="s">
        <v>2908</v>
      </c>
      <c r="E7259">
        <v>328</v>
      </c>
      <c r="F7259" s="11">
        <v>1</v>
      </c>
    </row>
    <row r="7260" spans="1:6" x14ac:dyDescent="0.35">
      <c r="A7260" t="s">
        <v>2857</v>
      </c>
      <c r="B7260" t="s">
        <v>2865</v>
      </c>
      <c r="C7260" t="s">
        <v>1451</v>
      </c>
      <c r="D7260" t="s">
        <v>2909</v>
      </c>
      <c r="E7260">
        <v>79</v>
      </c>
      <c r="F7260" s="11">
        <v>1</v>
      </c>
    </row>
    <row r="7261" spans="1:6" x14ac:dyDescent="0.35">
      <c r="A7261" t="s">
        <v>2857</v>
      </c>
      <c r="B7261" t="s">
        <v>2865</v>
      </c>
      <c r="C7261" t="s">
        <v>1451</v>
      </c>
      <c r="D7261" t="s">
        <v>2910</v>
      </c>
      <c r="E7261">
        <v>5849</v>
      </c>
      <c r="F7261" s="11">
        <v>1</v>
      </c>
    </row>
    <row r="7262" spans="1:6" x14ac:dyDescent="0.35">
      <c r="A7262" t="s">
        <v>2857</v>
      </c>
      <c r="B7262" t="s">
        <v>2865</v>
      </c>
      <c r="C7262" t="s">
        <v>1451</v>
      </c>
      <c r="D7262" t="s">
        <v>2911</v>
      </c>
      <c r="E7262">
        <v>113283</v>
      </c>
      <c r="F7262" s="11">
        <v>1</v>
      </c>
    </row>
    <row r="7263" spans="1:6" x14ac:dyDescent="0.35">
      <c r="A7263" t="s">
        <v>2857</v>
      </c>
      <c r="B7263" t="s">
        <v>2865</v>
      </c>
      <c r="C7263" t="s">
        <v>1451</v>
      </c>
      <c r="D7263" t="s">
        <v>2912</v>
      </c>
      <c r="E7263">
        <v>0</v>
      </c>
      <c r="F7263" s="11">
        <v>0</v>
      </c>
    </row>
    <row r="7264" spans="1:6" x14ac:dyDescent="0.35">
      <c r="A7264" t="s">
        <v>2857</v>
      </c>
      <c r="B7264" t="s">
        <v>2865</v>
      </c>
      <c r="C7264" t="s">
        <v>1451</v>
      </c>
      <c r="D7264" t="s">
        <v>2913</v>
      </c>
      <c r="E7264">
        <v>0</v>
      </c>
      <c r="F7264" s="11">
        <v>0</v>
      </c>
    </row>
    <row r="7265" spans="1:6" x14ac:dyDescent="0.35">
      <c r="A7265" t="s">
        <v>2857</v>
      </c>
      <c r="B7265" t="s">
        <v>2865</v>
      </c>
      <c r="C7265" t="s">
        <v>1451</v>
      </c>
      <c r="D7265" t="s">
        <v>2914</v>
      </c>
      <c r="E7265">
        <v>0</v>
      </c>
      <c r="F7265" s="11">
        <v>0</v>
      </c>
    </row>
    <row r="7266" spans="1:6" x14ac:dyDescent="0.35">
      <c r="A7266" t="s">
        <v>2857</v>
      </c>
      <c r="B7266" t="s">
        <v>2865</v>
      </c>
      <c r="C7266" t="s">
        <v>1451</v>
      </c>
      <c r="D7266" t="s">
        <v>2915</v>
      </c>
      <c r="E7266">
        <v>16433</v>
      </c>
      <c r="F7266" s="11">
        <v>1</v>
      </c>
    </row>
    <row r="7267" spans="1:6" x14ac:dyDescent="0.35">
      <c r="A7267" t="s">
        <v>2857</v>
      </c>
      <c r="B7267" t="s">
        <v>2865</v>
      </c>
      <c r="C7267" t="s">
        <v>1451</v>
      </c>
      <c r="D7267" t="s">
        <v>2916</v>
      </c>
      <c r="E7267">
        <v>4756</v>
      </c>
      <c r="F7267" s="11">
        <v>1</v>
      </c>
    </row>
    <row r="7268" spans="1:6" x14ac:dyDescent="0.35">
      <c r="A7268" t="s">
        <v>2857</v>
      </c>
      <c r="B7268" t="s">
        <v>2865</v>
      </c>
      <c r="C7268" t="s">
        <v>1451</v>
      </c>
      <c r="D7268" t="s">
        <v>2917</v>
      </c>
      <c r="E7268">
        <v>0</v>
      </c>
      <c r="F7268" s="11">
        <v>0</v>
      </c>
    </row>
    <row r="7269" spans="1:6" x14ac:dyDescent="0.35">
      <c r="A7269" t="s">
        <v>2857</v>
      </c>
      <c r="B7269" t="s">
        <v>2865</v>
      </c>
      <c r="C7269" t="s">
        <v>1371</v>
      </c>
      <c r="D7269" t="s">
        <v>2875</v>
      </c>
      <c r="E7269">
        <v>15449</v>
      </c>
      <c r="F7269" s="11">
        <v>1</v>
      </c>
    </row>
    <row r="7270" spans="1:6" x14ac:dyDescent="0.35">
      <c r="A7270" t="s">
        <v>2857</v>
      </c>
      <c r="B7270" t="s">
        <v>2865</v>
      </c>
      <c r="C7270" t="s">
        <v>1371</v>
      </c>
      <c r="D7270" t="s">
        <v>2876</v>
      </c>
      <c r="E7270">
        <v>4849</v>
      </c>
      <c r="F7270" s="11">
        <v>1</v>
      </c>
    </row>
    <row r="7271" spans="1:6" x14ac:dyDescent="0.35">
      <c r="A7271" t="s">
        <v>2857</v>
      </c>
      <c r="B7271" t="s">
        <v>2865</v>
      </c>
      <c r="C7271" t="s">
        <v>1371</v>
      </c>
      <c r="D7271" t="s">
        <v>2877</v>
      </c>
      <c r="E7271">
        <v>1242</v>
      </c>
      <c r="F7271" s="11">
        <v>1</v>
      </c>
    </row>
    <row r="7272" spans="1:6" x14ac:dyDescent="0.35">
      <c r="A7272" t="s">
        <v>2857</v>
      </c>
      <c r="B7272" t="s">
        <v>2865</v>
      </c>
      <c r="C7272" t="s">
        <v>1371</v>
      </c>
      <c r="D7272" t="s">
        <v>2878</v>
      </c>
      <c r="E7272">
        <v>9358</v>
      </c>
      <c r="F7272" s="11">
        <v>1</v>
      </c>
    </row>
    <row r="7273" spans="1:6" x14ac:dyDescent="0.35">
      <c r="A7273" t="s">
        <v>2857</v>
      </c>
      <c r="B7273" t="s">
        <v>2865</v>
      </c>
      <c r="C7273" t="s">
        <v>1371</v>
      </c>
      <c r="D7273" t="s">
        <v>2879</v>
      </c>
      <c r="E7273">
        <v>526</v>
      </c>
      <c r="F7273" s="11">
        <v>1</v>
      </c>
    </row>
    <row r="7274" spans="1:6" x14ac:dyDescent="0.35">
      <c r="A7274" t="s">
        <v>2857</v>
      </c>
      <c r="B7274" t="s">
        <v>2865</v>
      </c>
      <c r="C7274" t="s">
        <v>1371</v>
      </c>
      <c r="D7274" t="s">
        <v>2880</v>
      </c>
      <c r="E7274">
        <v>377</v>
      </c>
      <c r="F7274" s="11">
        <v>1</v>
      </c>
    </row>
    <row r="7275" spans="1:6" x14ac:dyDescent="0.35">
      <c r="A7275" t="s">
        <v>2857</v>
      </c>
      <c r="B7275" t="s">
        <v>2865</v>
      </c>
      <c r="C7275" t="s">
        <v>1371</v>
      </c>
      <c r="D7275" t="s">
        <v>2881</v>
      </c>
      <c r="E7275">
        <v>135</v>
      </c>
      <c r="F7275" s="11">
        <v>1</v>
      </c>
    </row>
    <row r="7276" spans="1:6" x14ac:dyDescent="0.35">
      <c r="A7276" t="s">
        <v>2857</v>
      </c>
      <c r="B7276" t="s">
        <v>2865</v>
      </c>
      <c r="C7276" t="s">
        <v>1371</v>
      </c>
      <c r="D7276" t="s">
        <v>2882</v>
      </c>
      <c r="E7276">
        <v>241</v>
      </c>
      <c r="F7276" s="11">
        <v>1</v>
      </c>
    </row>
    <row r="7277" spans="1:6" x14ac:dyDescent="0.35">
      <c r="A7277" t="s">
        <v>2857</v>
      </c>
      <c r="B7277" t="s">
        <v>2865</v>
      </c>
      <c r="C7277" t="s">
        <v>1371</v>
      </c>
      <c r="D7277" t="s">
        <v>2883</v>
      </c>
      <c r="E7277">
        <v>0</v>
      </c>
      <c r="F7277" s="11">
        <v>0</v>
      </c>
    </row>
    <row r="7278" spans="1:6" x14ac:dyDescent="0.35">
      <c r="A7278" t="s">
        <v>2857</v>
      </c>
      <c r="B7278" t="s">
        <v>2865</v>
      </c>
      <c r="C7278" t="s">
        <v>1371</v>
      </c>
      <c r="D7278" t="s">
        <v>2884</v>
      </c>
      <c r="E7278">
        <v>0</v>
      </c>
      <c r="F7278" s="11">
        <v>0</v>
      </c>
    </row>
    <row r="7279" spans="1:6" x14ac:dyDescent="0.35">
      <c r="A7279" t="s">
        <v>2857</v>
      </c>
      <c r="B7279" t="s">
        <v>2865</v>
      </c>
      <c r="C7279" t="s">
        <v>1371</v>
      </c>
      <c r="D7279" t="s">
        <v>2885</v>
      </c>
      <c r="E7279">
        <v>0</v>
      </c>
      <c r="F7279" s="11">
        <v>0</v>
      </c>
    </row>
    <row r="7280" spans="1:6" x14ac:dyDescent="0.35">
      <c r="A7280" t="s">
        <v>2857</v>
      </c>
      <c r="B7280" t="s">
        <v>2865</v>
      </c>
      <c r="C7280" t="s">
        <v>1371</v>
      </c>
      <c r="D7280" t="s">
        <v>2886</v>
      </c>
      <c r="E7280">
        <v>0</v>
      </c>
      <c r="F7280" s="11">
        <v>0</v>
      </c>
    </row>
    <row r="7281" spans="1:6" x14ac:dyDescent="0.35">
      <c r="A7281" t="s">
        <v>2857</v>
      </c>
      <c r="B7281" t="s">
        <v>2865</v>
      </c>
      <c r="C7281" t="s">
        <v>1371</v>
      </c>
      <c r="D7281" t="s">
        <v>2887</v>
      </c>
      <c r="E7281">
        <v>15110</v>
      </c>
      <c r="F7281" s="11">
        <v>0</v>
      </c>
    </row>
    <row r="7282" spans="1:6" x14ac:dyDescent="0.35">
      <c r="A7282" t="s">
        <v>2857</v>
      </c>
      <c r="B7282" t="s">
        <v>2865</v>
      </c>
      <c r="C7282" t="s">
        <v>1371</v>
      </c>
      <c r="D7282" t="s">
        <v>2888</v>
      </c>
      <c r="E7282">
        <v>14041</v>
      </c>
      <c r="F7282" s="11">
        <v>0</v>
      </c>
    </row>
    <row r="7283" spans="1:6" x14ac:dyDescent="0.35">
      <c r="A7283" t="s">
        <v>2857</v>
      </c>
      <c r="B7283" t="s">
        <v>2865</v>
      </c>
      <c r="C7283" t="s">
        <v>1371</v>
      </c>
      <c r="D7283" t="s">
        <v>2889</v>
      </c>
      <c r="E7283">
        <v>4739</v>
      </c>
      <c r="F7283" s="11">
        <v>0</v>
      </c>
    </row>
    <row r="7284" spans="1:6" x14ac:dyDescent="0.35">
      <c r="A7284" t="s">
        <v>2857</v>
      </c>
      <c r="B7284" t="s">
        <v>2865</v>
      </c>
      <c r="C7284" t="s">
        <v>1371</v>
      </c>
      <c r="D7284" t="s">
        <v>2890</v>
      </c>
      <c r="E7284">
        <v>5395</v>
      </c>
      <c r="F7284" s="11">
        <v>0</v>
      </c>
    </row>
    <row r="7285" spans="1:6" x14ac:dyDescent="0.35">
      <c r="A7285" t="s">
        <v>2857</v>
      </c>
      <c r="B7285" t="s">
        <v>2865</v>
      </c>
      <c r="C7285" t="s">
        <v>1371</v>
      </c>
      <c r="D7285" t="s">
        <v>2891</v>
      </c>
      <c r="E7285">
        <v>0</v>
      </c>
      <c r="F7285" s="11">
        <v>0</v>
      </c>
    </row>
    <row r="7286" spans="1:6" x14ac:dyDescent="0.35">
      <c r="A7286" t="s">
        <v>2857</v>
      </c>
      <c r="B7286" t="s">
        <v>2865</v>
      </c>
      <c r="C7286" t="s">
        <v>1371</v>
      </c>
      <c r="D7286" t="s">
        <v>2892</v>
      </c>
      <c r="E7286">
        <v>0</v>
      </c>
      <c r="F7286" s="11">
        <v>0</v>
      </c>
    </row>
    <row r="7287" spans="1:6" x14ac:dyDescent="0.35">
      <c r="A7287" t="s">
        <v>2857</v>
      </c>
      <c r="B7287" t="s">
        <v>2865</v>
      </c>
      <c r="C7287" t="s">
        <v>1371</v>
      </c>
      <c r="D7287" t="s">
        <v>2893</v>
      </c>
      <c r="E7287">
        <v>0</v>
      </c>
      <c r="F7287" s="11">
        <v>0</v>
      </c>
    </row>
    <row r="7288" spans="1:6" x14ac:dyDescent="0.35">
      <c r="A7288" t="s">
        <v>2857</v>
      </c>
      <c r="B7288" t="s">
        <v>2865</v>
      </c>
      <c r="C7288" t="s">
        <v>1371</v>
      </c>
      <c r="D7288" t="s">
        <v>2894</v>
      </c>
      <c r="E7288">
        <v>0</v>
      </c>
      <c r="F7288" s="11">
        <v>0</v>
      </c>
    </row>
    <row r="7289" spans="1:6" x14ac:dyDescent="0.35">
      <c r="A7289" t="s">
        <v>2857</v>
      </c>
      <c r="B7289" t="s">
        <v>2865</v>
      </c>
      <c r="C7289" t="s">
        <v>1371</v>
      </c>
      <c r="D7289" t="s">
        <v>2895</v>
      </c>
      <c r="E7289">
        <v>143220</v>
      </c>
      <c r="F7289" s="11">
        <v>1</v>
      </c>
    </row>
    <row r="7290" spans="1:6" x14ac:dyDescent="0.35">
      <c r="A7290" t="s">
        <v>2857</v>
      </c>
      <c r="B7290" t="s">
        <v>2865</v>
      </c>
      <c r="C7290" t="s">
        <v>1371</v>
      </c>
      <c r="D7290" t="s">
        <v>2896</v>
      </c>
      <c r="E7290">
        <v>48704</v>
      </c>
      <c r="F7290" s="11">
        <v>1</v>
      </c>
    </row>
    <row r="7291" spans="1:6" x14ac:dyDescent="0.35">
      <c r="A7291" t="s">
        <v>2857</v>
      </c>
      <c r="B7291" t="s">
        <v>2865</v>
      </c>
      <c r="C7291" t="s">
        <v>1371</v>
      </c>
      <c r="D7291" t="s">
        <v>2897</v>
      </c>
      <c r="E7291">
        <v>597</v>
      </c>
      <c r="F7291" s="11">
        <v>1</v>
      </c>
    </row>
    <row r="7292" spans="1:6" x14ac:dyDescent="0.35">
      <c r="A7292" t="s">
        <v>2857</v>
      </c>
      <c r="B7292" t="s">
        <v>2865</v>
      </c>
      <c r="C7292" t="s">
        <v>1371</v>
      </c>
      <c r="D7292" t="s">
        <v>2898</v>
      </c>
      <c r="E7292">
        <v>93883</v>
      </c>
      <c r="F7292" s="11">
        <v>1</v>
      </c>
    </row>
    <row r="7293" spans="1:6" x14ac:dyDescent="0.35">
      <c r="A7293" t="s">
        <v>2857</v>
      </c>
      <c r="B7293" t="s">
        <v>2865</v>
      </c>
      <c r="C7293" t="s">
        <v>1371</v>
      </c>
      <c r="D7293" t="s">
        <v>2899</v>
      </c>
      <c r="E7293">
        <v>2382</v>
      </c>
      <c r="F7293" s="11">
        <v>1</v>
      </c>
    </row>
    <row r="7294" spans="1:6" x14ac:dyDescent="0.35">
      <c r="A7294" t="s">
        <v>2857</v>
      </c>
      <c r="B7294" t="s">
        <v>2865</v>
      </c>
      <c r="C7294" t="s">
        <v>1371</v>
      </c>
      <c r="D7294" t="s">
        <v>2900</v>
      </c>
      <c r="E7294">
        <v>9</v>
      </c>
      <c r="F7294" s="11">
        <v>1</v>
      </c>
    </row>
    <row r="7295" spans="1:6" x14ac:dyDescent="0.35">
      <c r="A7295" t="s">
        <v>2857</v>
      </c>
      <c r="B7295" t="s">
        <v>2865</v>
      </c>
      <c r="C7295" t="s">
        <v>1371</v>
      </c>
      <c r="D7295" t="s">
        <v>2901</v>
      </c>
      <c r="E7295">
        <v>0</v>
      </c>
      <c r="F7295" s="11">
        <v>1</v>
      </c>
    </row>
    <row r="7296" spans="1:6" x14ac:dyDescent="0.35">
      <c r="A7296" t="s">
        <v>2857</v>
      </c>
      <c r="B7296" t="s">
        <v>2865</v>
      </c>
      <c r="C7296" t="s">
        <v>1371</v>
      </c>
      <c r="D7296" t="s">
        <v>2902</v>
      </c>
      <c r="E7296">
        <v>2373</v>
      </c>
      <c r="F7296" s="11">
        <v>0</v>
      </c>
    </row>
    <row r="7297" spans="1:6" x14ac:dyDescent="0.35">
      <c r="A7297" t="s">
        <v>2857</v>
      </c>
      <c r="B7297" t="s">
        <v>2865</v>
      </c>
      <c r="C7297" t="s">
        <v>1371</v>
      </c>
      <c r="D7297" t="s">
        <v>2903</v>
      </c>
      <c r="E7297">
        <v>25301</v>
      </c>
      <c r="F7297" s="11">
        <v>1</v>
      </c>
    </row>
    <row r="7298" spans="1:6" x14ac:dyDescent="0.35">
      <c r="A7298" t="s">
        <v>2857</v>
      </c>
      <c r="B7298" t="s">
        <v>2865</v>
      </c>
      <c r="C7298" t="s">
        <v>1371</v>
      </c>
      <c r="D7298" t="s">
        <v>2904</v>
      </c>
      <c r="E7298">
        <v>1520</v>
      </c>
      <c r="F7298" s="11">
        <v>1</v>
      </c>
    </row>
    <row r="7299" spans="1:6" x14ac:dyDescent="0.35">
      <c r="A7299" t="s">
        <v>2857</v>
      </c>
      <c r="B7299" t="s">
        <v>2865</v>
      </c>
      <c r="C7299" t="s">
        <v>1371</v>
      </c>
      <c r="D7299" t="s">
        <v>2905</v>
      </c>
      <c r="E7299">
        <v>901</v>
      </c>
      <c r="F7299" s="11">
        <v>1</v>
      </c>
    </row>
    <row r="7300" spans="1:6" x14ac:dyDescent="0.35">
      <c r="A7300" t="s">
        <v>2857</v>
      </c>
      <c r="B7300" t="s">
        <v>2865</v>
      </c>
      <c r="C7300" t="s">
        <v>1371</v>
      </c>
      <c r="D7300" t="s">
        <v>2906</v>
      </c>
      <c r="E7300">
        <v>22880</v>
      </c>
      <c r="F7300" s="11">
        <v>1</v>
      </c>
    </row>
    <row r="7301" spans="1:6" x14ac:dyDescent="0.35">
      <c r="A7301" t="s">
        <v>2857</v>
      </c>
      <c r="B7301" t="s">
        <v>2865</v>
      </c>
      <c r="C7301" t="s">
        <v>1371</v>
      </c>
      <c r="D7301" t="s">
        <v>2907</v>
      </c>
      <c r="E7301">
        <v>35166</v>
      </c>
      <c r="F7301" s="11">
        <v>1</v>
      </c>
    </row>
    <row r="7302" spans="1:6" x14ac:dyDescent="0.35">
      <c r="A7302" t="s">
        <v>2857</v>
      </c>
      <c r="B7302" t="s">
        <v>2865</v>
      </c>
      <c r="C7302" t="s">
        <v>1371</v>
      </c>
      <c r="D7302" t="s">
        <v>2908</v>
      </c>
      <c r="E7302">
        <v>2808</v>
      </c>
      <c r="F7302" s="11">
        <v>1</v>
      </c>
    </row>
    <row r="7303" spans="1:6" x14ac:dyDescent="0.35">
      <c r="A7303" t="s">
        <v>2857</v>
      </c>
      <c r="B7303" t="s">
        <v>2865</v>
      </c>
      <c r="C7303" t="s">
        <v>1371</v>
      </c>
      <c r="D7303" t="s">
        <v>2909</v>
      </c>
      <c r="E7303">
        <v>1013</v>
      </c>
      <c r="F7303" s="11">
        <v>1</v>
      </c>
    </row>
    <row r="7304" spans="1:6" x14ac:dyDescent="0.35">
      <c r="A7304" t="s">
        <v>2857</v>
      </c>
      <c r="B7304" t="s">
        <v>2865</v>
      </c>
      <c r="C7304" t="s">
        <v>1371</v>
      </c>
      <c r="D7304" t="s">
        <v>2910</v>
      </c>
      <c r="E7304">
        <v>31345</v>
      </c>
      <c r="F7304" s="11">
        <v>1</v>
      </c>
    </row>
    <row r="7305" spans="1:6" x14ac:dyDescent="0.35">
      <c r="A7305" t="s">
        <v>2857</v>
      </c>
      <c r="B7305" t="s">
        <v>2865</v>
      </c>
      <c r="C7305" t="s">
        <v>1371</v>
      </c>
      <c r="D7305" t="s">
        <v>2911</v>
      </c>
      <c r="E7305">
        <v>22544</v>
      </c>
      <c r="F7305" s="11">
        <v>1</v>
      </c>
    </row>
    <row r="7306" spans="1:6" x14ac:dyDescent="0.35">
      <c r="A7306" t="s">
        <v>2857</v>
      </c>
      <c r="B7306" t="s">
        <v>2865</v>
      </c>
      <c r="C7306" t="s">
        <v>1371</v>
      </c>
      <c r="D7306" t="s">
        <v>2912</v>
      </c>
      <c r="E7306">
        <v>496695</v>
      </c>
      <c r="F7306" s="11">
        <v>1</v>
      </c>
    </row>
    <row r="7307" spans="1:6" x14ac:dyDescent="0.35">
      <c r="A7307" t="s">
        <v>2857</v>
      </c>
      <c r="B7307" t="s">
        <v>2865</v>
      </c>
      <c r="C7307" t="s">
        <v>1371</v>
      </c>
      <c r="D7307" t="s">
        <v>2913</v>
      </c>
      <c r="E7307">
        <v>0</v>
      </c>
      <c r="F7307" s="11">
        <v>0</v>
      </c>
    </row>
    <row r="7308" spans="1:6" x14ac:dyDescent="0.35">
      <c r="A7308" t="s">
        <v>2857</v>
      </c>
      <c r="B7308" t="s">
        <v>2865</v>
      </c>
      <c r="C7308" t="s">
        <v>1371</v>
      </c>
      <c r="D7308" t="s">
        <v>2914</v>
      </c>
      <c r="E7308">
        <v>7381</v>
      </c>
      <c r="F7308" s="11">
        <v>1</v>
      </c>
    </row>
    <row r="7309" spans="1:6" x14ac:dyDescent="0.35">
      <c r="A7309" t="s">
        <v>2857</v>
      </c>
      <c r="B7309" t="s">
        <v>2865</v>
      </c>
      <c r="C7309" t="s">
        <v>1371</v>
      </c>
      <c r="D7309" t="s">
        <v>2915</v>
      </c>
      <c r="E7309">
        <v>254</v>
      </c>
      <c r="F7309" s="11">
        <v>1</v>
      </c>
    </row>
    <row r="7310" spans="1:6" x14ac:dyDescent="0.35">
      <c r="A7310" t="s">
        <v>2857</v>
      </c>
      <c r="B7310" t="s">
        <v>2865</v>
      </c>
      <c r="C7310" t="s">
        <v>1371</v>
      </c>
      <c r="D7310" t="s">
        <v>2916</v>
      </c>
      <c r="E7310">
        <v>8385</v>
      </c>
      <c r="F7310" s="11">
        <v>1</v>
      </c>
    </row>
    <row r="7311" spans="1:6" x14ac:dyDescent="0.35">
      <c r="A7311" t="s">
        <v>2857</v>
      </c>
      <c r="B7311" t="s">
        <v>2865</v>
      </c>
      <c r="C7311" t="s">
        <v>1371</v>
      </c>
      <c r="D7311" t="s">
        <v>2917</v>
      </c>
      <c r="E7311">
        <v>0</v>
      </c>
      <c r="F7311" s="11">
        <v>0</v>
      </c>
    </row>
    <row r="7312" spans="1:6" x14ac:dyDescent="0.35">
      <c r="A7312" t="s">
        <v>2857</v>
      </c>
      <c r="B7312" t="s">
        <v>2863</v>
      </c>
      <c r="C7312" t="s">
        <v>1386</v>
      </c>
      <c r="D7312" t="s">
        <v>2875</v>
      </c>
      <c r="E7312">
        <v>13965</v>
      </c>
      <c r="F7312" s="11">
        <v>1</v>
      </c>
    </row>
    <row r="7313" spans="1:6" x14ac:dyDescent="0.35">
      <c r="A7313" t="s">
        <v>2857</v>
      </c>
      <c r="B7313" t="s">
        <v>2863</v>
      </c>
      <c r="C7313" t="s">
        <v>1386</v>
      </c>
      <c r="D7313" t="s">
        <v>2876</v>
      </c>
      <c r="E7313">
        <v>6212</v>
      </c>
      <c r="F7313" s="11">
        <v>1</v>
      </c>
    </row>
    <row r="7314" spans="1:6" x14ac:dyDescent="0.35">
      <c r="A7314" t="s">
        <v>2857</v>
      </c>
      <c r="B7314" t="s">
        <v>2863</v>
      </c>
      <c r="C7314" t="s">
        <v>1386</v>
      </c>
      <c r="D7314" t="s">
        <v>2877</v>
      </c>
      <c r="E7314">
        <v>822</v>
      </c>
      <c r="F7314" s="11">
        <v>1</v>
      </c>
    </row>
    <row r="7315" spans="1:6" x14ac:dyDescent="0.35">
      <c r="A7315" t="s">
        <v>2857</v>
      </c>
      <c r="B7315" t="s">
        <v>2863</v>
      </c>
      <c r="C7315" t="s">
        <v>1386</v>
      </c>
      <c r="D7315" t="s">
        <v>2878</v>
      </c>
      <c r="E7315">
        <v>6931</v>
      </c>
      <c r="F7315" s="11">
        <v>1</v>
      </c>
    </row>
    <row r="7316" spans="1:6" x14ac:dyDescent="0.35">
      <c r="A7316" t="s">
        <v>2857</v>
      </c>
      <c r="B7316" t="s">
        <v>2863</v>
      </c>
      <c r="C7316" t="s">
        <v>1386</v>
      </c>
      <c r="D7316" t="s">
        <v>2879</v>
      </c>
      <c r="E7316">
        <v>2503</v>
      </c>
      <c r="F7316" s="11">
        <v>1</v>
      </c>
    </row>
    <row r="7317" spans="1:6" x14ac:dyDescent="0.35">
      <c r="A7317" t="s">
        <v>2857</v>
      </c>
      <c r="B7317" t="s">
        <v>2863</v>
      </c>
      <c r="C7317" t="s">
        <v>1386</v>
      </c>
      <c r="D7317" t="s">
        <v>2880</v>
      </c>
      <c r="E7317">
        <v>851</v>
      </c>
      <c r="F7317" s="11">
        <v>0</v>
      </c>
    </row>
    <row r="7318" spans="1:6" x14ac:dyDescent="0.35">
      <c r="A7318" t="s">
        <v>2857</v>
      </c>
      <c r="B7318" t="s">
        <v>2863</v>
      </c>
      <c r="C7318" t="s">
        <v>1386</v>
      </c>
      <c r="D7318" t="s">
        <v>2881</v>
      </c>
      <c r="E7318">
        <v>158</v>
      </c>
      <c r="F7318" s="11">
        <v>1</v>
      </c>
    </row>
    <row r="7319" spans="1:6" x14ac:dyDescent="0.35">
      <c r="A7319" t="s">
        <v>2857</v>
      </c>
      <c r="B7319" t="s">
        <v>2863</v>
      </c>
      <c r="C7319" t="s">
        <v>1386</v>
      </c>
      <c r="D7319" t="s">
        <v>2882</v>
      </c>
      <c r="E7319">
        <v>758</v>
      </c>
      <c r="F7319" s="11">
        <v>0</v>
      </c>
    </row>
    <row r="7320" spans="1:6" x14ac:dyDescent="0.35">
      <c r="A7320" t="s">
        <v>2857</v>
      </c>
      <c r="B7320" t="s">
        <v>2863</v>
      </c>
      <c r="C7320" t="s">
        <v>1386</v>
      </c>
      <c r="D7320" t="s">
        <v>2883</v>
      </c>
      <c r="E7320">
        <v>0</v>
      </c>
      <c r="F7320" s="11">
        <v>0</v>
      </c>
    </row>
    <row r="7321" spans="1:6" x14ac:dyDescent="0.35">
      <c r="A7321" t="s">
        <v>2857</v>
      </c>
      <c r="B7321" t="s">
        <v>2863</v>
      </c>
      <c r="C7321" t="s">
        <v>1386</v>
      </c>
      <c r="D7321" t="s">
        <v>2884</v>
      </c>
      <c r="E7321">
        <v>0</v>
      </c>
      <c r="F7321" s="11">
        <v>0</v>
      </c>
    </row>
    <row r="7322" spans="1:6" x14ac:dyDescent="0.35">
      <c r="A7322" t="s">
        <v>2857</v>
      </c>
      <c r="B7322" t="s">
        <v>2863</v>
      </c>
      <c r="C7322" t="s">
        <v>1386</v>
      </c>
      <c r="D7322" t="s">
        <v>2885</v>
      </c>
      <c r="E7322">
        <v>0</v>
      </c>
      <c r="F7322" s="11">
        <v>0</v>
      </c>
    </row>
    <row r="7323" spans="1:6" x14ac:dyDescent="0.35">
      <c r="A7323" t="s">
        <v>2857</v>
      </c>
      <c r="B7323" t="s">
        <v>2863</v>
      </c>
      <c r="C7323" t="s">
        <v>1386</v>
      </c>
      <c r="D7323" t="s">
        <v>2886</v>
      </c>
      <c r="E7323">
        <v>0</v>
      </c>
      <c r="F7323" s="11">
        <v>0</v>
      </c>
    </row>
    <row r="7324" spans="1:6" x14ac:dyDescent="0.35">
      <c r="A7324" t="s">
        <v>2857</v>
      </c>
      <c r="B7324" t="s">
        <v>2863</v>
      </c>
      <c r="C7324" t="s">
        <v>1386</v>
      </c>
      <c r="D7324" t="s">
        <v>2887</v>
      </c>
      <c r="E7324">
        <v>41760</v>
      </c>
      <c r="F7324" s="11">
        <v>1</v>
      </c>
    </row>
    <row r="7325" spans="1:6" x14ac:dyDescent="0.35">
      <c r="A7325" t="s">
        <v>2857</v>
      </c>
      <c r="B7325" t="s">
        <v>2863</v>
      </c>
      <c r="C7325" t="s">
        <v>1386</v>
      </c>
      <c r="D7325" t="s">
        <v>2888</v>
      </c>
      <c r="E7325">
        <v>26953</v>
      </c>
      <c r="F7325" s="11">
        <v>1</v>
      </c>
    </row>
    <row r="7326" spans="1:6" x14ac:dyDescent="0.35">
      <c r="A7326" t="s">
        <v>2857</v>
      </c>
      <c r="B7326" t="s">
        <v>2863</v>
      </c>
      <c r="C7326" t="s">
        <v>1386</v>
      </c>
      <c r="D7326" t="s">
        <v>2889</v>
      </c>
      <c r="E7326">
        <v>2174</v>
      </c>
      <c r="F7326" s="11">
        <v>1</v>
      </c>
    </row>
    <row r="7327" spans="1:6" x14ac:dyDescent="0.35">
      <c r="A7327" t="s">
        <v>2857</v>
      </c>
      <c r="B7327" t="s">
        <v>2863</v>
      </c>
      <c r="C7327" t="s">
        <v>1386</v>
      </c>
      <c r="D7327" t="s">
        <v>2890</v>
      </c>
      <c r="E7327">
        <v>15333</v>
      </c>
      <c r="F7327" s="11">
        <v>0</v>
      </c>
    </row>
    <row r="7328" spans="1:6" x14ac:dyDescent="0.35">
      <c r="A7328" t="s">
        <v>2857</v>
      </c>
      <c r="B7328" t="s">
        <v>2863</v>
      </c>
      <c r="C7328" t="s">
        <v>1386</v>
      </c>
      <c r="D7328" t="s">
        <v>2891</v>
      </c>
      <c r="E7328">
        <v>0</v>
      </c>
      <c r="F7328" s="11">
        <v>0</v>
      </c>
    </row>
    <row r="7329" spans="1:6" x14ac:dyDescent="0.35">
      <c r="A7329" t="s">
        <v>2857</v>
      </c>
      <c r="B7329" t="s">
        <v>2863</v>
      </c>
      <c r="C7329" t="s">
        <v>1386</v>
      </c>
      <c r="D7329" t="s">
        <v>2892</v>
      </c>
      <c r="E7329">
        <v>0</v>
      </c>
      <c r="F7329" s="11">
        <v>0</v>
      </c>
    </row>
    <row r="7330" spans="1:6" x14ac:dyDescent="0.35">
      <c r="A7330" t="s">
        <v>2857</v>
      </c>
      <c r="B7330" t="s">
        <v>2863</v>
      </c>
      <c r="C7330" t="s">
        <v>1386</v>
      </c>
      <c r="D7330" t="s">
        <v>2893</v>
      </c>
      <c r="E7330">
        <v>0</v>
      </c>
      <c r="F7330" s="11">
        <v>0</v>
      </c>
    </row>
    <row r="7331" spans="1:6" x14ac:dyDescent="0.35">
      <c r="A7331" t="s">
        <v>2857</v>
      </c>
      <c r="B7331" t="s">
        <v>2863</v>
      </c>
      <c r="C7331" t="s">
        <v>1386</v>
      </c>
      <c r="D7331" t="s">
        <v>2894</v>
      </c>
      <c r="E7331">
        <v>0</v>
      </c>
      <c r="F7331" s="11">
        <v>0</v>
      </c>
    </row>
    <row r="7332" spans="1:6" x14ac:dyDescent="0.35">
      <c r="A7332" t="s">
        <v>2857</v>
      </c>
      <c r="B7332" t="s">
        <v>2863</v>
      </c>
      <c r="C7332" t="s">
        <v>1386</v>
      </c>
      <c r="D7332" t="s">
        <v>2895</v>
      </c>
      <c r="E7332">
        <v>251728</v>
      </c>
      <c r="F7332" s="11">
        <v>1</v>
      </c>
    </row>
    <row r="7333" spans="1:6" x14ac:dyDescent="0.35">
      <c r="A7333" t="s">
        <v>2857</v>
      </c>
      <c r="B7333" t="s">
        <v>2863</v>
      </c>
      <c r="C7333" t="s">
        <v>1386</v>
      </c>
      <c r="D7333" t="s">
        <v>2896</v>
      </c>
      <c r="E7333">
        <v>117377</v>
      </c>
      <c r="F7333" s="11">
        <v>1</v>
      </c>
    </row>
    <row r="7334" spans="1:6" x14ac:dyDescent="0.35">
      <c r="A7334" t="s">
        <v>2857</v>
      </c>
      <c r="B7334" t="s">
        <v>2863</v>
      </c>
      <c r="C7334" t="s">
        <v>1386</v>
      </c>
      <c r="D7334" t="s">
        <v>2897</v>
      </c>
      <c r="E7334">
        <v>6571</v>
      </c>
      <c r="F7334" s="11">
        <v>1</v>
      </c>
    </row>
    <row r="7335" spans="1:6" x14ac:dyDescent="0.35">
      <c r="A7335" t="s">
        <v>2857</v>
      </c>
      <c r="B7335" t="s">
        <v>2863</v>
      </c>
      <c r="C7335" t="s">
        <v>1386</v>
      </c>
      <c r="D7335" t="s">
        <v>2898</v>
      </c>
      <c r="E7335">
        <v>136409</v>
      </c>
      <c r="F7335" s="11">
        <v>1</v>
      </c>
    </row>
    <row r="7336" spans="1:6" x14ac:dyDescent="0.35">
      <c r="A7336" t="s">
        <v>2857</v>
      </c>
      <c r="B7336" t="s">
        <v>2863</v>
      </c>
      <c r="C7336" t="s">
        <v>1386</v>
      </c>
      <c r="D7336" t="s">
        <v>2899</v>
      </c>
      <c r="E7336">
        <v>2837</v>
      </c>
      <c r="F7336" s="11">
        <v>1</v>
      </c>
    </row>
    <row r="7337" spans="1:6" x14ac:dyDescent="0.35">
      <c r="A7337" t="s">
        <v>2857</v>
      </c>
      <c r="B7337" t="s">
        <v>2863</v>
      </c>
      <c r="C7337" t="s">
        <v>1386</v>
      </c>
      <c r="D7337" t="s">
        <v>2900</v>
      </c>
      <c r="E7337">
        <v>24</v>
      </c>
      <c r="F7337" s="11">
        <v>1</v>
      </c>
    </row>
    <row r="7338" spans="1:6" x14ac:dyDescent="0.35">
      <c r="A7338" t="s">
        <v>2857</v>
      </c>
      <c r="B7338" t="s">
        <v>2863</v>
      </c>
      <c r="C7338" t="s">
        <v>1386</v>
      </c>
      <c r="D7338" t="s">
        <v>2901</v>
      </c>
      <c r="E7338">
        <v>1</v>
      </c>
      <c r="F7338" s="11">
        <v>1</v>
      </c>
    </row>
    <row r="7339" spans="1:6" x14ac:dyDescent="0.35">
      <c r="A7339" t="s">
        <v>2857</v>
      </c>
      <c r="B7339" t="s">
        <v>2863</v>
      </c>
      <c r="C7339" t="s">
        <v>1386</v>
      </c>
      <c r="D7339" t="s">
        <v>2902</v>
      </c>
      <c r="E7339">
        <v>2812</v>
      </c>
      <c r="F7339" s="11">
        <v>0</v>
      </c>
    </row>
    <row r="7340" spans="1:6" x14ac:dyDescent="0.35">
      <c r="A7340" t="s">
        <v>2857</v>
      </c>
      <c r="B7340" t="s">
        <v>2863</v>
      </c>
      <c r="C7340" t="s">
        <v>1386</v>
      </c>
      <c r="D7340" t="s">
        <v>2903</v>
      </c>
      <c r="E7340">
        <v>51989</v>
      </c>
      <c r="F7340" s="11">
        <v>1</v>
      </c>
    </row>
    <row r="7341" spans="1:6" x14ac:dyDescent="0.35">
      <c r="A7341" t="s">
        <v>2857</v>
      </c>
      <c r="B7341" t="s">
        <v>2863</v>
      </c>
      <c r="C7341" t="s">
        <v>1386</v>
      </c>
      <c r="D7341" t="s">
        <v>2904</v>
      </c>
      <c r="E7341">
        <v>0</v>
      </c>
      <c r="F7341" s="11">
        <v>1</v>
      </c>
    </row>
    <row r="7342" spans="1:6" x14ac:dyDescent="0.35">
      <c r="A7342" t="s">
        <v>2857</v>
      </c>
      <c r="B7342" t="s">
        <v>2863</v>
      </c>
      <c r="C7342" t="s">
        <v>1386</v>
      </c>
      <c r="D7342" t="s">
        <v>2905</v>
      </c>
      <c r="E7342">
        <v>0</v>
      </c>
      <c r="F7342" s="11">
        <v>1</v>
      </c>
    </row>
    <row r="7343" spans="1:6" x14ac:dyDescent="0.35">
      <c r="A7343" t="s">
        <v>2857</v>
      </c>
      <c r="B7343" t="s">
        <v>2863</v>
      </c>
      <c r="C7343" t="s">
        <v>1386</v>
      </c>
      <c r="D7343" t="s">
        <v>2906</v>
      </c>
      <c r="E7343">
        <v>0</v>
      </c>
      <c r="F7343" s="11">
        <v>1</v>
      </c>
    </row>
    <row r="7344" spans="1:6" x14ac:dyDescent="0.35">
      <c r="A7344" t="s">
        <v>2857</v>
      </c>
      <c r="B7344" t="s">
        <v>2863</v>
      </c>
      <c r="C7344" t="s">
        <v>1386</v>
      </c>
      <c r="D7344" t="s">
        <v>2907</v>
      </c>
      <c r="E7344">
        <v>116228</v>
      </c>
      <c r="F7344" s="11">
        <v>1</v>
      </c>
    </row>
    <row r="7345" spans="1:6" x14ac:dyDescent="0.35">
      <c r="A7345" t="s">
        <v>2857</v>
      </c>
      <c r="B7345" t="s">
        <v>2863</v>
      </c>
      <c r="C7345" t="s">
        <v>1386</v>
      </c>
      <c r="D7345" t="s">
        <v>2908</v>
      </c>
      <c r="E7345">
        <v>0</v>
      </c>
      <c r="F7345" s="11">
        <v>1</v>
      </c>
    </row>
    <row r="7346" spans="1:6" x14ac:dyDescent="0.35">
      <c r="A7346" t="s">
        <v>2857</v>
      </c>
      <c r="B7346" t="s">
        <v>2863</v>
      </c>
      <c r="C7346" t="s">
        <v>1386</v>
      </c>
      <c r="D7346" t="s">
        <v>2909</v>
      </c>
      <c r="E7346">
        <v>0</v>
      </c>
      <c r="F7346" s="11">
        <v>1</v>
      </c>
    </row>
    <row r="7347" spans="1:6" x14ac:dyDescent="0.35">
      <c r="A7347" t="s">
        <v>2857</v>
      </c>
      <c r="B7347" t="s">
        <v>2863</v>
      </c>
      <c r="C7347" t="s">
        <v>1386</v>
      </c>
      <c r="D7347" t="s">
        <v>2910</v>
      </c>
      <c r="E7347">
        <v>0</v>
      </c>
      <c r="F7347" s="11">
        <v>1</v>
      </c>
    </row>
    <row r="7348" spans="1:6" x14ac:dyDescent="0.35">
      <c r="A7348" t="s">
        <v>2857</v>
      </c>
      <c r="B7348" t="s">
        <v>2863</v>
      </c>
      <c r="C7348" t="s">
        <v>1386</v>
      </c>
      <c r="D7348" t="s">
        <v>2911</v>
      </c>
      <c r="E7348">
        <v>329668</v>
      </c>
      <c r="F7348" s="11">
        <v>1</v>
      </c>
    </row>
    <row r="7349" spans="1:6" x14ac:dyDescent="0.35">
      <c r="A7349" t="s">
        <v>2857</v>
      </c>
      <c r="B7349" t="s">
        <v>2863</v>
      </c>
      <c r="C7349" t="s">
        <v>1386</v>
      </c>
      <c r="D7349" t="s">
        <v>2912</v>
      </c>
      <c r="E7349">
        <v>337464</v>
      </c>
      <c r="F7349" s="11">
        <v>1</v>
      </c>
    </row>
    <row r="7350" spans="1:6" x14ac:dyDescent="0.35">
      <c r="A7350" t="s">
        <v>2857</v>
      </c>
      <c r="B7350" t="s">
        <v>2863</v>
      </c>
      <c r="C7350" t="s">
        <v>1386</v>
      </c>
      <c r="D7350" t="s">
        <v>2913</v>
      </c>
      <c r="E7350">
        <v>0</v>
      </c>
      <c r="F7350" s="11">
        <v>0</v>
      </c>
    </row>
    <row r="7351" spans="1:6" x14ac:dyDescent="0.35">
      <c r="A7351" t="s">
        <v>2857</v>
      </c>
      <c r="B7351" t="s">
        <v>2863</v>
      </c>
      <c r="C7351" t="s">
        <v>1386</v>
      </c>
      <c r="D7351" t="s">
        <v>2914</v>
      </c>
      <c r="E7351">
        <v>0</v>
      </c>
      <c r="F7351" s="11">
        <v>0</v>
      </c>
    </row>
    <row r="7352" spans="1:6" x14ac:dyDescent="0.35">
      <c r="A7352" t="s">
        <v>2857</v>
      </c>
      <c r="B7352" t="s">
        <v>2863</v>
      </c>
      <c r="C7352" t="s">
        <v>1386</v>
      </c>
      <c r="D7352" t="s">
        <v>2915</v>
      </c>
      <c r="E7352">
        <v>155</v>
      </c>
      <c r="F7352" s="11">
        <v>1</v>
      </c>
    </row>
    <row r="7353" spans="1:6" x14ac:dyDescent="0.35">
      <c r="A7353" t="s">
        <v>2857</v>
      </c>
      <c r="B7353" t="s">
        <v>2863</v>
      </c>
      <c r="C7353" t="s">
        <v>1386</v>
      </c>
      <c r="D7353" t="s">
        <v>2916</v>
      </c>
      <c r="E7353">
        <v>24070</v>
      </c>
      <c r="F7353" s="11">
        <v>1</v>
      </c>
    </row>
    <row r="7354" spans="1:6" x14ac:dyDescent="0.35">
      <c r="A7354" t="s">
        <v>2857</v>
      </c>
      <c r="B7354" t="s">
        <v>2863</v>
      </c>
      <c r="C7354" t="s">
        <v>1386</v>
      </c>
      <c r="D7354" t="s">
        <v>2917</v>
      </c>
      <c r="E7354">
        <v>64345</v>
      </c>
      <c r="F7354" s="11">
        <v>1</v>
      </c>
    </row>
    <row r="7355" spans="1:6" x14ac:dyDescent="0.35">
      <c r="A7355" t="s">
        <v>2857</v>
      </c>
      <c r="B7355" t="s">
        <v>2864</v>
      </c>
      <c r="C7355" t="s">
        <v>1467</v>
      </c>
      <c r="D7355" t="s">
        <v>2875</v>
      </c>
      <c r="E7355">
        <v>27554</v>
      </c>
      <c r="F7355" s="11">
        <v>1</v>
      </c>
    </row>
    <row r="7356" spans="1:6" x14ac:dyDescent="0.35">
      <c r="A7356" t="s">
        <v>2857</v>
      </c>
      <c r="B7356" t="s">
        <v>2864</v>
      </c>
      <c r="C7356" t="s">
        <v>1467</v>
      </c>
      <c r="D7356" t="s">
        <v>2876</v>
      </c>
      <c r="E7356">
        <v>7357</v>
      </c>
      <c r="F7356" s="11">
        <v>1</v>
      </c>
    </row>
    <row r="7357" spans="1:6" x14ac:dyDescent="0.35">
      <c r="A7357" t="s">
        <v>2857</v>
      </c>
      <c r="B7357" t="s">
        <v>2864</v>
      </c>
      <c r="C7357" t="s">
        <v>1467</v>
      </c>
      <c r="D7357" t="s">
        <v>2877</v>
      </c>
      <c r="E7357">
        <v>1451</v>
      </c>
      <c r="F7357" s="11">
        <v>1</v>
      </c>
    </row>
    <row r="7358" spans="1:6" x14ac:dyDescent="0.35">
      <c r="A7358" t="s">
        <v>2857</v>
      </c>
      <c r="B7358" t="s">
        <v>2864</v>
      </c>
      <c r="C7358" t="s">
        <v>1467</v>
      </c>
      <c r="D7358" t="s">
        <v>2878</v>
      </c>
      <c r="E7358">
        <v>18328</v>
      </c>
      <c r="F7358" s="11">
        <v>1</v>
      </c>
    </row>
    <row r="7359" spans="1:6" x14ac:dyDescent="0.35">
      <c r="A7359" t="s">
        <v>2857</v>
      </c>
      <c r="B7359" t="s">
        <v>2864</v>
      </c>
      <c r="C7359" t="s">
        <v>1467</v>
      </c>
      <c r="D7359" t="s">
        <v>2879</v>
      </c>
      <c r="E7359">
        <v>2667</v>
      </c>
      <c r="F7359" s="11">
        <v>0</v>
      </c>
    </row>
    <row r="7360" spans="1:6" x14ac:dyDescent="0.35">
      <c r="A7360" t="s">
        <v>2857</v>
      </c>
      <c r="B7360" t="s">
        <v>2864</v>
      </c>
      <c r="C7360" t="s">
        <v>1467</v>
      </c>
      <c r="D7360" t="s">
        <v>2880</v>
      </c>
      <c r="E7360">
        <v>1328</v>
      </c>
      <c r="F7360" s="11">
        <v>1</v>
      </c>
    </row>
    <row r="7361" spans="1:6" x14ac:dyDescent="0.35">
      <c r="A7361" t="s">
        <v>2857</v>
      </c>
      <c r="B7361" t="s">
        <v>2864</v>
      </c>
      <c r="C7361" t="s">
        <v>1467</v>
      </c>
      <c r="D7361" t="s">
        <v>2881</v>
      </c>
      <c r="E7361">
        <v>13</v>
      </c>
      <c r="F7361" s="11">
        <v>1</v>
      </c>
    </row>
    <row r="7362" spans="1:6" x14ac:dyDescent="0.35">
      <c r="A7362" t="s">
        <v>2857</v>
      </c>
      <c r="B7362" t="s">
        <v>2864</v>
      </c>
      <c r="C7362" t="s">
        <v>1467</v>
      </c>
      <c r="D7362" t="s">
        <v>2882</v>
      </c>
      <c r="E7362">
        <v>1326</v>
      </c>
      <c r="F7362" s="11">
        <v>1</v>
      </c>
    </row>
    <row r="7363" spans="1:6" x14ac:dyDescent="0.35">
      <c r="A7363" t="s">
        <v>2857</v>
      </c>
      <c r="B7363" t="s">
        <v>2864</v>
      </c>
      <c r="C7363" t="s">
        <v>1467</v>
      </c>
      <c r="D7363" t="s">
        <v>2883</v>
      </c>
      <c r="E7363">
        <v>0</v>
      </c>
      <c r="F7363" s="11">
        <v>0</v>
      </c>
    </row>
    <row r="7364" spans="1:6" x14ac:dyDescent="0.35">
      <c r="A7364" t="s">
        <v>2857</v>
      </c>
      <c r="B7364" t="s">
        <v>2864</v>
      </c>
      <c r="C7364" t="s">
        <v>1467</v>
      </c>
      <c r="D7364" t="s">
        <v>2884</v>
      </c>
      <c r="E7364">
        <v>0</v>
      </c>
      <c r="F7364" s="11">
        <v>0</v>
      </c>
    </row>
    <row r="7365" spans="1:6" x14ac:dyDescent="0.35">
      <c r="A7365" t="s">
        <v>2857</v>
      </c>
      <c r="B7365" t="s">
        <v>2864</v>
      </c>
      <c r="C7365" t="s">
        <v>1467</v>
      </c>
      <c r="D7365" t="s">
        <v>2885</v>
      </c>
      <c r="E7365">
        <v>0</v>
      </c>
      <c r="F7365" s="11">
        <v>0</v>
      </c>
    </row>
    <row r="7366" spans="1:6" x14ac:dyDescent="0.35">
      <c r="A7366" t="s">
        <v>2857</v>
      </c>
      <c r="B7366" t="s">
        <v>2864</v>
      </c>
      <c r="C7366" t="s">
        <v>1467</v>
      </c>
      <c r="D7366" t="s">
        <v>2886</v>
      </c>
      <c r="E7366">
        <v>0</v>
      </c>
      <c r="F7366" s="11">
        <v>0</v>
      </c>
    </row>
    <row r="7367" spans="1:6" x14ac:dyDescent="0.35">
      <c r="A7367" t="s">
        <v>2857</v>
      </c>
      <c r="B7367" t="s">
        <v>2864</v>
      </c>
      <c r="C7367" t="s">
        <v>1467</v>
      </c>
      <c r="D7367" t="s">
        <v>2887</v>
      </c>
      <c r="E7367">
        <v>26782</v>
      </c>
      <c r="F7367" s="11">
        <v>1</v>
      </c>
    </row>
    <row r="7368" spans="1:6" x14ac:dyDescent="0.35">
      <c r="A7368" t="s">
        <v>2857</v>
      </c>
      <c r="B7368" t="s">
        <v>2864</v>
      </c>
      <c r="C7368" t="s">
        <v>1467</v>
      </c>
      <c r="D7368" t="s">
        <v>2888</v>
      </c>
      <c r="E7368">
        <v>0</v>
      </c>
      <c r="F7368" s="11">
        <v>1</v>
      </c>
    </row>
    <row r="7369" spans="1:6" x14ac:dyDescent="0.35">
      <c r="A7369" t="s">
        <v>2857</v>
      </c>
      <c r="B7369" t="s">
        <v>2864</v>
      </c>
      <c r="C7369" t="s">
        <v>1467</v>
      </c>
      <c r="D7369" t="s">
        <v>2889</v>
      </c>
      <c r="E7369">
        <v>0</v>
      </c>
      <c r="F7369" s="11">
        <v>1</v>
      </c>
    </row>
    <row r="7370" spans="1:6" x14ac:dyDescent="0.35">
      <c r="A7370" t="s">
        <v>2857</v>
      </c>
      <c r="B7370" t="s">
        <v>2864</v>
      </c>
      <c r="C7370" t="s">
        <v>1467</v>
      </c>
      <c r="D7370" t="s">
        <v>2890</v>
      </c>
      <c r="E7370">
        <v>13967</v>
      </c>
      <c r="F7370" s="11">
        <v>0</v>
      </c>
    </row>
    <row r="7371" spans="1:6" x14ac:dyDescent="0.35">
      <c r="A7371" t="s">
        <v>2857</v>
      </c>
      <c r="B7371" t="s">
        <v>2864</v>
      </c>
      <c r="C7371" t="s">
        <v>1467</v>
      </c>
      <c r="D7371" t="s">
        <v>2891</v>
      </c>
      <c r="E7371">
        <v>0</v>
      </c>
      <c r="F7371" s="11">
        <v>0</v>
      </c>
    </row>
    <row r="7372" spans="1:6" x14ac:dyDescent="0.35">
      <c r="A7372" t="s">
        <v>2857</v>
      </c>
      <c r="B7372" t="s">
        <v>2864</v>
      </c>
      <c r="C7372" t="s">
        <v>1467</v>
      </c>
      <c r="D7372" t="s">
        <v>2892</v>
      </c>
      <c r="E7372">
        <v>0</v>
      </c>
      <c r="F7372" s="11">
        <v>0</v>
      </c>
    </row>
    <row r="7373" spans="1:6" x14ac:dyDescent="0.35">
      <c r="A7373" t="s">
        <v>2857</v>
      </c>
      <c r="B7373" t="s">
        <v>2864</v>
      </c>
      <c r="C7373" t="s">
        <v>1467</v>
      </c>
      <c r="D7373" t="s">
        <v>2893</v>
      </c>
      <c r="E7373">
        <v>0</v>
      </c>
      <c r="F7373" s="11">
        <v>0</v>
      </c>
    </row>
    <row r="7374" spans="1:6" x14ac:dyDescent="0.35">
      <c r="A7374" t="s">
        <v>2857</v>
      </c>
      <c r="B7374" t="s">
        <v>2864</v>
      </c>
      <c r="C7374" t="s">
        <v>1467</v>
      </c>
      <c r="D7374" t="s">
        <v>2894</v>
      </c>
      <c r="E7374">
        <v>0</v>
      </c>
      <c r="F7374" s="11">
        <v>0</v>
      </c>
    </row>
    <row r="7375" spans="1:6" x14ac:dyDescent="0.35">
      <c r="A7375" t="s">
        <v>2857</v>
      </c>
      <c r="B7375" t="s">
        <v>2864</v>
      </c>
      <c r="C7375" t="s">
        <v>1467</v>
      </c>
      <c r="D7375" t="s">
        <v>2895</v>
      </c>
      <c r="E7375">
        <v>467642</v>
      </c>
      <c r="F7375" s="11">
        <v>1</v>
      </c>
    </row>
    <row r="7376" spans="1:6" x14ac:dyDescent="0.35">
      <c r="A7376" t="s">
        <v>2857</v>
      </c>
      <c r="B7376" t="s">
        <v>2864</v>
      </c>
      <c r="C7376" t="s">
        <v>1467</v>
      </c>
      <c r="D7376" t="s">
        <v>2896</v>
      </c>
      <c r="E7376">
        <v>214748</v>
      </c>
      <c r="F7376" s="11">
        <v>1</v>
      </c>
    </row>
    <row r="7377" spans="1:6" x14ac:dyDescent="0.35">
      <c r="A7377" t="s">
        <v>2857</v>
      </c>
      <c r="B7377" t="s">
        <v>2864</v>
      </c>
      <c r="C7377" t="s">
        <v>1467</v>
      </c>
      <c r="D7377" t="s">
        <v>2897</v>
      </c>
      <c r="E7377">
        <v>6457</v>
      </c>
      <c r="F7377" s="11">
        <v>1</v>
      </c>
    </row>
    <row r="7378" spans="1:6" x14ac:dyDescent="0.35">
      <c r="A7378" t="s">
        <v>2857</v>
      </c>
      <c r="B7378" t="s">
        <v>2864</v>
      </c>
      <c r="C7378" t="s">
        <v>1467</v>
      </c>
      <c r="D7378" t="s">
        <v>2898</v>
      </c>
      <c r="E7378">
        <v>246437</v>
      </c>
      <c r="F7378" s="11">
        <v>0</v>
      </c>
    </row>
    <row r="7379" spans="1:6" x14ac:dyDescent="0.35">
      <c r="A7379" t="s">
        <v>2857</v>
      </c>
      <c r="B7379" t="s">
        <v>2864</v>
      </c>
      <c r="C7379" t="s">
        <v>1467</v>
      </c>
      <c r="D7379" t="s">
        <v>2899</v>
      </c>
      <c r="E7379">
        <v>5837</v>
      </c>
      <c r="F7379" s="11">
        <v>1</v>
      </c>
    </row>
    <row r="7380" spans="1:6" x14ac:dyDescent="0.35">
      <c r="A7380" t="s">
        <v>2857</v>
      </c>
      <c r="B7380" t="s">
        <v>2864</v>
      </c>
      <c r="C7380" t="s">
        <v>1467</v>
      </c>
      <c r="D7380" t="s">
        <v>2900</v>
      </c>
      <c r="E7380">
        <v>1642</v>
      </c>
      <c r="F7380" s="11">
        <v>1</v>
      </c>
    </row>
    <row r="7381" spans="1:6" x14ac:dyDescent="0.35">
      <c r="A7381" t="s">
        <v>2857</v>
      </c>
      <c r="B7381" t="s">
        <v>2864</v>
      </c>
      <c r="C7381" t="s">
        <v>1467</v>
      </c>
      <c r="D7381" t="s">
        <v>2901</v>
      </c>
      <c r="E7381">
        <v>0</v>
      </c>
      <c r="F7381" s="11">
        <v>1</v>
      </c>
    </row>
    <row r="7382" spans="1:6" x14ac:dyDescent="0.35">
      <c r="A7382" t="s">
        <v>2857</v>
      </c>
      <c r="B7382" t="s">
        <v>2864</v>
      </c>
      <c r="C7382" t="s">
        <v>1467</v>
      </c>
      <c r="D7382" t="s">
        <v>2902</v>
      </c>
      <c r="E7382">
        <v>4195</v>
      </c>
      <c r="F7382" s="11">
        <v>0</v>
      </c>
    </row>
    <row r="7383" spans="1:6" x14ac:dyDescent="0.35">
      <c r="A7383" t="s">
        <v>2857</v>
      </c>
      <c r="B7383" t="s">
        <v>2864</v>
      </c>
      <c r="C7383" t="s">
        <v>1467</v>
      </c>
      <c r="D7383" t="s">
        <v>2903</v>
      </c>
      <c r="E7383">
        <v>32897</v>
      </c>
      <c r="F7383" s="11">
        <v>1</v>
      </c>
    </row>
    <row r="7384" spans="1:6" x14ac:dyDescent="0.35">
      <c r="A7384" t="s">
        <v>2857</v>
      </c>
      <c r="B7384" t="s">
        <v>2864</v>
      </c>
      <c r="C7384" t="s">
        <v>1467</v>
      </c>
      <c r="D7384" t="s">
        <v>2904</v>
      </c>
      <c r="E7384">
        <v>0</v>
      </c>
      <c r="F7384" s="11">
        <v>0</v>
      </c>
    </row>
    <row r="7385" spans="1:6" x14ac:dyDescent="0.35">
      <c r="A7385" t="s">
        <v>2857</v>
      </c>
      <c r="B7385" t="s">
        <v>2864</v>
      </c>
      <c r="C7385" t="s">
        <v>1467</v>
      </c>
      <c r="D7385" t="s">
        <v>2905</v>
      </c>
      <c r="E7385">
        <v>0</v>
      </c>
      <c r="F7385" s="11">
        <v>0</v>
      </c>
    </row>
    <row r="7386" spans="1:6" x14ac:dyDescent="0.35">
      <c r="A7386" t="s">
        <v>2857</v>
      </c>
      <c r="B7386" t="s">
        <v>2864</v>
      </c>
      <c r="C7386" t="s">
        <v>1467</v>
      </c>
      <c r="D7386" t="s">
        <v>2906</v>
      </c>
      <c r="E7386">
        <v>0</v>
      </c>
      <c r="F7386" s="11">
        <v>0</v>
      </c>
    </row>
    <row r="7387" spans="1:6" x14ac:dyDescent="0.35">
      <c r="A7387" t="s">
        <v>2857</v>
      </c>
      <c r="B7387" t="s">
        <v>2864</v>
      </c>
      <c r="C7387" t="s">
        <v>1467</v>
      </c>
      <c r="D7387" t="s">
        <v>2907</v>
      </c>
      <c r="E7387">
        <v>122803</v>
      </c>
      <c r="F7387" s="11">
        <v>1</v>
      </c>
    </row>
    <row r="7388" spans="1:6" x14ac:dyDescent="0.35">
      <c r="A7388" t="s">
        <v>2857</v>
      </c>
      <c r="B7388" t="s">
        <v>2864</v>
      </c>
      <c r="C7388" t="s">
        <v>1467</v>
      </c>
      <c r="D7388" t="s">
        <v>2908</v>
      </c>
      <c r="E7388">
        <v>0</v>
      </c>
      <c r="F7388" s="11">
        <v>0</v>
      </c>
    </row>
    <row r="7389" spans="1:6" x14ac:dyDescent="0.35">
      <c r="A7389" t="s">
        <v>2857</v>
      </c>
      <c r="B7389" t="s">
        <v>2864</v>
      </c>
      <c r="C7389" t="s">
        <v>1467</v>
      </c>
      <c r="D7389" t="s">
        <v>2909</v>
      </c>
      <c r="E7389">
        <v>0</v>
      </c>
      <c r="F7389" s="11">
        <v>0</v>
      </c>
    </row>
    <row r="7390" spans="1:6" x14ac:dyDescent="0.35">
      <c r="A7390" t="s">
        <v>2857</v>
      </c>
      <c r="B7390" t="s">
        <v>2864</v>
      </c>
      <c r="C7390" t="s">
        <v>1467</v>
      </c>
      <c r="D7390" t="s">
        <v>2910</v>
      </c>
      <c r="E7390">
        <v>0</v>
      </c>
      <c r="F7390" s="11">
        <v>0</v>
      </c>
    </row>
    <row r="7391" spans="1:6" x14ac:dyDescent="0.35">
      <c r="A7391" t="s">
        <v>2857</v>
      </c>
      <c r="B7391" t="s">
        <v>2864</v>
      </c>
      <c r="C7391" t="s">
        <v>1467</v>
      </c>
      <c r="D7391" t="s">
        <v>2911</v>
      </c>
      <c r="E7391">
        <v>225076</v>
      </c>
      <c r="F7391" s="11">
        <v>1</v>
      </c>
    </row>
    <row r="7392" spans="1:6" x14ac:dyDescent="0.35">
      <c r="A7392" t="s">
        <v>2857</v>
      </c>
      <c r="B7392" t="s">
        <v>2864</v>
      </c>
      <c r="C7392" t="s">
        <v>1467</v>
      </c>
      <c r="D7392" t="s">
        <v>2912</v>
      </c>
      <c r="E7392">
        <v>208796</v>
      </c>
      <c r="F7392" s="11">
        <v>1</v>
      </c>
    </row>
    <row r="7393" spans="1:6" x14ac:dyDescent="0.35">
      <c r="A7393" t="s">
        <v>2857</v>
      </c>
      <c r="B7393" t="s">
        <v>2864</v>
      </c>
      <c r="C7393" t="s">
        <v>1467</v>
      </c>
      <c r="D7393" t="s">
        <v>2913</v>
      </c>
      <c r="E7393">
        <v>0</v>
      </c>
      <c r="F7393" s="11">
        <v>0</v>
      </c>
    </row>
    <row r="7394" spans="1:6" x14ac:dyDescent="0.35">
      <c r="A7394" t="s">
        <v>2857</v>
      </c>
      <c r="B7394" t="s">
        <v>2864</v>
      </c>
      <c r="C7394" t="s">
        <v>1467</v>
      </c>
      <c r="D7394" t="s">
        <v>2914</v>
      </c>
      <c r="E7394">
        <v>4183</v>
      </c>
      <c r="F7394" s="11">
        <v>1</v>
      </c>
    </row>
    <row r="7395" spans="1:6" x14ac:dyDescent="0.35">
      <c r="A7395" t="s">
        <v>2857</v>
      </c>
      <c r="B7395" t="s">
        <v>2864</v>
      </c>
      <c r="C7395" t="s">
        <v>1467</v>
      </c>
      <c r="D7395" t="s">
        <v>2915</v>
      </c>
      <c r="E7395">
        <v>1466</v>
      </c>
      <c r="F7395" s="11">
        <v>1</v>
      </c>
    </row>
    <row r="7396" spans="1:6" x14ac:dyDescent="0.35">
      <c r="A7396" t="s">
        <v>2857</v>
      </c>
      <c r="B7396" t="s">
        <v>2864</v>
      </c>
      <c r="C7396" t="s">
        <v>1467</v>
      </c>
      <c r="D7396" t="s">
        <v>2916</v>
      </c>
      <c r="E7396">
        <v>28183</v>
      </c>
      <c r="F7396" s="11">
        <v>1</v>
      </c>
    </row>
    <row r="7397" spans="1:6" x14ac:dyDescent="0.35">
      <c r="A7397" t="s">
        <v>2857</v>
      </c>
      <c r="B7397" t="s">
        <v>2864</v>
      </c>
      <c r="C7397" t="s">
        <v>1467</v>
      </c>
      <c r="D7397" t="s">
        <v>2917</v>
      </c>
      <c r="E7397">
        <v>0</v>
      </c>
      <c r="F7397" s="11">
        <v>0</v>
      </c>
    </row>
    <row r="7398" spans="1:6" x14ac:dyDescent="0.35">
      <c r="A7398" t="s">
        <v>2857</v>
      </c>
      <c r="B7398" t="s">
        <v>2865</v>
      </c>
      <c r="C7398" t="s">
        <v>1457</v>
      </c>
      <c r="D7398" t="s">
        <v>2875</v>
      </c>
      <c r="E7398">
        <v>25921</v>
      </c>
      <c r="F7398" s="11">
        <v>1</v>
      </c>
    </row>
    <row r="7399" spans="1:6" x14ac:dyDescent="0.35">
      <c r="A7399" t="s">
        <v>2857</v>
      </c>
      <c r="B7399" t="s">
        <v>2865</v>
      </c>
      <c r="C7399" t="s">
        <v>1457</v>
      </c>
      <c r="D7399" t="s">
        <v>2876</v>
      </c>
      <c r="E7399">
        <v>8373</v>
      </c>
      <c r="F7399" s="11">
        <v>1</v>
      </c>
    </row>
    <row r="7400" spans="1:6" x14ac:dyDescent="0.35">
      <c r="A7400" t="s">
        <v>2857</v>
      </c>
      <c r="B7400" t="s">
        <v>2865</v>
      </c>
      <c r="C7400" t="s">
        <v>1457</v>
      </c>
      <c r="D7400" t="s">
        <v>2877</v>
      </c>
      <c r="E7400">
        <v>450</v>
      </c>
      <c r="F7400" s="11">
        <v>1</v>
      </c>
    </row>
    <row r="7401" spans="1:6" x14ac:dyDescent="0.35">
      <c r="A7401" t="s">
        <v>2857</v>
      </c>
      <c r="B7401" t="s">
        <v>2865</v>
      </c>
      <c r="C7401" t="s">
        <v>1457</v>
      </c>
      <c r="D7401" t="s">
        <v>2878</v>
      </c>
      <c r="E7401">
        <v>17098</v>
      </c>
      <c r="F7401" s="11">
        <v>1</v>
      </c>
    </row>
    <row r="7402" spans="1:6" x14ac:dyDescent="0.35">
      <c r="A7402" t="s">
        <v>2857</v>
      </c>
      <c r="B7402" t="s">
        <v>2865</v>
      </c>
      <c r="C7402" t="s">
        <v>1457</v>
      </c>
      <c r="D7402" t="s">
        <v>2879</v>
      </c>
      <c r="E7402">
        <v>2650</v>
      </c>
      <c r="F7402" s="11">
        <v>1</v>
      </c>
    </row>
    <row r="7403" spans="1:6" x14ac:dyDescent="0.35">
      <c r="A7403" t="s">
        <v>2857</v>
      </c>
      <c r="B7403" t="s">
        <v>2865</v>
      </c>
      <c r="C7403" t="s">
        <v>1457</v>
      </c>
      <c r="D7403" t="s">
        <v>2880</v>
      </c>
      <c r="E7403">
        <v>2866</v>
      </c>
      <c r="F7403" s="11">
        <v>0</v>
      </c>
    </row>
    <row r="7404" spans="1:6" x14ac:dyDescent="0.35">
      <c r="A7404" t="s">
        <v>2857</v>
      </c>
      <c r="B7404" t="s">
        <v>2865</v>
      </c>
      <c r="C7404" t="s">
        <v>1457</v>
      </c>
      <c r="D7404" t="s">
        <v>2881</v>
      </c>
      <c r="E7404">
        <v>0</v>
      </c>
      <c r="F7404" s="11">
        <v>0</v>
      </c>
    </row>
    <row r="7405" spans="1:6" x14ac:dyDescent="0.35">
      <c r="A7405" t="s">
        <v>2857</v>
      </c>
      <c r="B7405" t="s">
        <v>2865</v>
      </c>
      <c r="C7405" t="s">
        <v>1457</v>
      </c>
      <c r="D7405" t="s">
        <v>2882</v>
      </c>
      <c r="E7405">
        <v>784</v>
      </c>
      <c r="F7405" s="11">
        <v>0</v>
      </c>
    </row>
    <row r="7406" spans="1:6" x14ac:dyDescent="0.35">
      <c r="A7406" t="s">
        <v>2857</v>
      </c>
      <c r="B7406" t="s">
        <v>2865</v>
      </c>
      <c r="C7406" t="s">
        <v>1457</v>
      </c>
      <c r="D7406" t="s">
        <v>2883</v>
      </c>
      <c r="E7406">
        <v>0</v>
      </c>
      <c r="F7406" s="11">
        <v>0</v>
      </c>
    </row>
    <row r="7407" spans="1:6" x14ac:dyDescent="0.35">
      <c r="A7407" t="s">
        <v>2857</v>
      </c>
      <c r="B7407" t="s">
        <v>2865</v>
      </c>
      <c r="C7407" t="s">
        <v>1457</v>
      </c>
      <c r="D7407" t="s">
        <v>2884</v>
      </c>
      <c r="E7407">
        <v>0</v>
      </c>
      <c r="F7407" s="11">
        <v>0</v>
      </c>
    </row>
    <row r="7408" spans="1:6" x14ac:dyDescent="0.35">
      <c r="A7408" t="s">
        <v>2857</v>
      </c>
      <c r="B7408" t="s">
        <v>2865</v>
      </c>
      <c r="C7408" t="s">
        <v>1457</v>
      </c>
      <c r="D7408" t="s">
        <v>2885</v>
      </c>
      <c r="E7408">
        <v>0</v>
      </c>
      <c r="F7408" s="11">
        <v>0</v>
      </c>
    </row>
    <row r="7409" spans="1:6" x14ac:dyDescent="0.35">
      <c r="A7409" t="s">
        <v>2857</v>
      </c>
      <c r="B7409" t="s">
        <v>2865</v>
      </c>
      <c r="C7409" t="s">
        <v>1457</v>
      </c>
      <c r="D7409" t="s">
        <v>2886</v>
      </c>
      <c r="E7409">
        <v>0</v>
      </c>
      <c r="F7409" s="11">
        <v>0</v>
      </c>
    </row>
    <row r="7410" spans="1:6" x14ac:dyDescent="0.35">
      <c r="A7410" t="s">
        <v>2857</v>
      </c>
      <c r="B7410" t="s">
        <v>2865</v>
      </c>
      <c r="C7410" t="s">
        <v>1457</v>
      </c>
      <c r="D7410" t="s">
        <v>2887</v>
      </c>
      <c r="E7410">
        <v>69052</v>
      </c>
      <c r="F7410" s="11">
        <v>1</v>
      </c>
    </row>
    <row r="7411" spans="1:6" x14ac:dyDescent="0.35">
      <c r="A7411" t="s">
        <v>2857</v>
      </c>
      <c r="B7411" t="s">
        <v>2865</v>
      </c>
      <c r="C7411" t="s">
        <v>1457</v>
      </c>
      <c r="D7411" t="s">
        <v>2888</v>
      </c>
      <c r="E7411">
        <v>36457</v>
      </c>
      <c r="F7411" s="11">
        <v>1</v>
      </c>
    </row>
    <row r="7412" spans="1:6" x14ac:dyDescent="0.35">
      <c r="A7412" t="s">
        <v>2857</v>
      </c>
      <c r="B7412" t="s">
        <v>2865</v>
      </c>
      <c r="C7412" t="s">
        <v>1457</v>
      </c>
      <c r="D7412" t="s">
        <v>2889</v>
      </c>
      <c r="E7412">
        <v>0</v>
      </c>
      <c r="F7412" s="11">
        <v>1</v>
      </c>
    </row>
    <row r="7413" spans="1:6" x14ac:dyDescent="0.35">
      <c r="A7413" t="s">
        <v>2857</v>
      </c>
      <c r="B7413" t="s">
        <v>2865</v>
      </c>
      <c r="C7413" t="s">
        <v>1457</v>
      </c>
      <c r="D7413" t="s">
        <v>2890</v>
      </c>
      <c r="E7413">
        <v>32595</v>
      </c>
      <c r="F7413" s="11">
        <v>0</v>
      </c>
    </row>
    <row r="7414" spans="1:6" x14ac:dyDescent="0.35">
      <c r="A7414" t="s">
        <v>2857</v>
      </c>
      <c r="B7414" t="s">
        <v>2865</v>
      </c>
      <c r="C7414" t="s">
        <v>1457</v>
      </c>
      <c r="D7414" t="s">
        <v>2891</v>
      </c>
      <c r="E7414">
        <v>0</v>
      </c>
      <c r="F7414" s="11">
        <v>0</v>
      </c>
    </row>
    <row r="7415" spans="1:6" x14ac:dyDescent="0.35">
      <c r="A7415" t="s">
        <v>2857</v>
      </c>
      <c r="B7415" t="s">
        <v>2865</v>
      </c>
      <c r="C7415" t="s">
        <v>1457</v>
      </c>
      <c r="D7415" t="s">
        <v>2892</v>
      </c>
      <c r="E7415">
        <v>0</v>
      </c>
      <c r="F7415" s="11">
        <v>0</v>
      </c>
    </row>
    <row r="7416" spans="1:6" x14ac:dyDescent="0.35">
      <c r="A7416" t="s">
        <v>2857</v>
      </c>
      <c r="B7416" t="s">
        <v>2865</v>
      </c>
      <c r="C7416" t="s">
        <v>1457</v>
      </c>
      <c r="D7416" t="s">
        <v>2893</v>
      </c>
      <c r="E7416">
        <v>0</v>
      </c>
      <c r="F7416" s="11">
        <v>0</v>
      </c>
    </row>
    <row r="7417" spans="1:6" x14ac:dyDescent="0.35">
      <c r="A7417" t="s">
        <v>2857</v>
      </c>
      <c r="B7417" t="s">
        <v>2865</v>
      </c>
      <c r="C7417" t="s">
        <v>1457</v>
      </c>
      <c r="D7417" t="s">
        <v>2894</v>
      </c>
      <c r="E7417">
        <v>0</v>
      </c>
      <c r="F7417" s="11">
        <v>0</v>
      </c>
    </row>
    <row r="7418" spans="1:6" x14ac:dyDescent="0.35">
      <c r="A7418" t="s">
        <v>2857</v>
      </c>
      <c r="B7418" t="s">
        <v>2865</v>
      </c>
      <c r="C7418" t="s">
        <v>1457</v>
      </c>
      <c r="D7418" t="s">
        <v>2895</v>
      </c>
      <c r="E7418">
        <v>436856</v>
      </c>
      <c r="F7418" s="11">
        <v>1</v>
      </c>
    </row>
    <row r="7419" spans="1:6" x14ac:dyDescent="0.35">
      <c r="A7419" t="s">
        <v>2857</v>
      </c>
      <c r="B7419" t="s">
        <v>2865</v>
      </c>
      <c r="C7419" t="s">
        <v>1457</v>
      </c>
      <c r="D7419" t="s">
        <v>2896</v>
      </c>
      <c r="E7419">
        <v>360346</v>
      </c>
      <c r="F7419" s="11">
        <v>1</v>
      </c>
    </row>
    <row r="7420" spans="1:6" x14ac:dyDescent="0.35">
      <c r="A7420" t="s">
        <v>2857</v>
      </c>
      <c r="B7420" t="s">
        <v>2865</v>
      </c>
      <c r="C7420" t="s">
        <v>1457</v>
      </c>
      <c r="D7420" t="s">
        <v>2897</v>
      </c>
      <c r="E7420">
        <v>8695</v>
      </c>
      <c r="F7420" s="11">
        <v>1</v>
      </c>
    </row>
    <row r="7421" spans="1:6" x14ac:dyDescent="0.35">
      <c r="A7421" t="s">
        <v>2857</v>
      </c>
      <c r="B7421" t="s">
        <v>2865</v>
      </c>
      <c r="C7421" t="s">
        <v>1457</v>
      </c>
      <c r="D7421" t="s">
        <v>2898</v>
      </c>
      <c r="E7421">
        <v>256806</v>
      </c>
      <c r="F7421" s="11">
        <v>1</v>
      </c>
    </row>
    <row r="7422" spans="1:6" x14ac:dyDescent="0.35">
      <c r="A7422" t="s">
        <v>2857</v>
      </c>
      <c r="B7422" t="s">
        <v>2865</v>
      </c>
      <c r="C7422" t="s">
        <v>1457</v>
      </c>
      <c r="D7422" t="s">
        <v>2899</v>
      </c>
      <c r="E7422">
        <v>5106</v>
      </c>
      <c r="F7422" s="11">
        <v>1</v>
      </c>
    </row>
    <row r="7423" spans="1:6" x14ac:dyDescent="0.35">
      <c r="A7423" t="s">
        <v>2857</v>
      </c>
      <c r="B7423" t="s">
        <v>2865</v>
      </c>
      <c r="C7423" t="s">
        <v>1457</v>
      </c>
      <c r="D7423" t="s">
        <v>2900</v>
      </c>
      <c r="E7423">
        <v>172346</v>
      </c>
      <c r="F7423" s="11">
        <v>1</v>
      </c>
    </row>
    <row r="7424" spans="1:6" x14ac:dyDescent="0.35">
      <c r="A7424" t="s">
        <v>2857</v>
      </c>
      <c r="B7424" t="s">
        <v>2865</v>
      </c>
      <c r="C7424" t="s">
        <v>1457</v>
      </c>
      <c r="D7424" t="s">
        <v>2901</v>
      </c>
      <c r="E7424">
        <v>0</v>
      </c>
      <c r="F7424" s="11">
        <v>1</v>
      </c>
    </row>
    <row r="7425" spans="1:6" x14ac:dyDescent="0.35">
      <c r="A7425" t="s">
        <v>2857</v>
      </c>
      <c r="B7425" t="s">
        <v>2865</v>
      </c>
      <c r="C7425" t="s">
        <v>1457</v>
      </c>
      <c r="D7425" t="s">
        <v>2902</v>
      </c>
      <c r="E7425">
        <v>0</v>
      </c>
      <c r="F7425" s="11">
        <v>0</v>
      </c>
    </row>
    <row r="7426" spans="1:6" x14ac:dyDescent="0.35">
      <c r="A7426" t="s">
        <v>2857</v>
      </c>
      <c r="B7426" t="s">
        <v>2865</v>
      </c>
      <c r="C7426" t="s">
        <v>1457</v>
      </c>
      <c r="D7426" t="s">
        <v>2903</v>
      </c>
      <c r="E7426">
        <v>19791</v>
      </c>
      <c r="F7426" s="11">
        <v>1</v>
      </c>
    </row>
    <row r="7427" spans="1:6" x14ac:dyDescent="0.35">
      <c r="A7427" t="s">
        <v>2857</v>
      </c>
      <c r="B7427" t="s">
        <v>2865</v>
      </c>
      <c r="C7427" t="s">
        <v>1457</v>
      </c>
      <c r="D7427" t="s">
        <v>2904</v>
      </c>
      <c r="E7427">
        <v>1278</v>
      </c>
      <c r="F7427" s="11">
        <v>1</v>
      </c>
    </row>
    <row r="7428" spans="1:6" x14ac:dyDescent="0.35">
      <c r="A7428" t="s">
        <v>2857</v>
      </c>
      <c r="B7428" t="s">
        <v>2865</v>
      </c>
      <c r="C7428" t="s">
        <v>1457</v>
      </c>
      <c r="D7428" t="s">
        <v>2905</v>
      </c>
      <c r="E7428">
        <v>821</v>
      </c>
      <c r="F7428" s="11">
        <v>1</v>
      </c>
    </row>
    <row r="7429" spans="1:6" x14ac:dyDescent="0.35">
      <c r="A7429" t="s">
        <v>2857</v>
      </c>
      <c r="B7429" t="s">
        <v>2865</v>
      </c>
      <c r="C7429" t="s">
        <v>1457</v>
      </c>
      <c r="D7429" t="s">
        <v>2906</v>
      </c>
      <c r="E7429">
        <v>17692</v>
      </c>
      <c r="F7429" s="11">
        <v>1</v>
      </c>
    </row>
    <row r="7430" spans="1:6" x14ac:dyDescent="0.35">
      <c r="A7430" t="s">
        <v>2857</v>
      </c>
      <c r="B7430" t="s">
        <v>2865</v>
      </c>
      <c r="C7430" t="s">
        <v>1457</v>
      </c>
      <c r="D7430" t="s">
        <v>2907</v>
      </c>
      <c r="E7430">
        <v>43581</v>
      </c>
      <c r="F7430" s="11">
        <v>1</v>
      </c>
    </row>
    <row r="7431" spans="1:6" x14ac:dyDescent="0.35">
      <c r="A7431" t="s">
        <v>2857</v>
      </c>
      <c r="B7431" t="s">
        <v>2865</v>
      </c>
      <c r="C7431" t="s">
        <v>1457</v>
      </c>
      <c r="D7431" t="s">
        <v>2908</v>
      </c>
      <c r="E7431">
        <v>6288</v>
      </c>
      <c r="F7431" s="11">
        <v>1</v>
      </c>
    </row>
    <row r="7432" spans="1:6" x14ac:dyDescent="0.35">
      <c r="A7432" t="s">
        <v>2857</v>
      </c>
      <c r="B7432" t="s">
        <v>2865</v>
      </c>
      <c r="C7432" t="s">
        <v>1457</v>
      </c>
      <c r="D7432" t="s">
        <v>2909</v>
      </c>
      <c r="E7432">
        <v>1889</v>
      </c>
      <c r="F7432" s="11">
        <v>1</v>
      </c>
    </row>
    <row r="7433" spans="1:6" x14ac:dyDescent="0.35">
      <c r="A7433" t="s">
        <v>2857</v>
      </c>
      <c r="B7433" t="s">
        <v>2865</v>
      </c>
      <c r="C7433" t="s">
        <v>1457</v>
      </c>
      <c r="D7433" t="s">
        <v>2910</v>
      </c>
      <c r="E7433">
        <v>35404</v>
      </c>
      <c r="F7433" s="11">
        <v>1</v>
      </c>
    </row>
    <row r="7434" spans="1:6" x14ac:dyDescent="0.35">
      <c r="A7434" t="s">
        <v>2857</v>
      </c>
      <c r="B7434" t="s">
        <v>2865</v>
      </c>
      <c r="C7434" t="s">
        <v>1457</v>
      </c>
      <c r="D7434" t="s">
        <v>2911</v>
      </c>
      <c r="E7434">
        <v>101896</v>
      </c>
      <c r="F7434" s="11">
        <v>1</v>
      </c>
    </row>
    <row r="7435" spans="1:6" x14ac:dyDescent="0.35">
      <c r="A7435" t="s">
        <v>2857</v>
      </c>
      <c r="B7435" t="s">
        <v>2865</v>
      </c>
      <c r="C7435" t="s">
        <v>1457</v>
      </c>
      <c r="D7435" t="s">
        <v>2912</v>
      </c>
      <c r="E7435">
        <v>986861</v>
      </c>
      <c r="F7435" s="11">
        <v>1</v>
      </c>
    </row>
    <row r="7436" spans="1:6" x14ac:dyDescent="0.35">
      <c r="A7436" t="s">
        <v>2857</v>
      </c>
      <c r="B7436" t="s">
        <v>2865</v>
      </c>
      <c r="C7436" t="s">
        <v>1457</v>
      </c>
      <c r="D7436" t="s">
        <v>2913</v>
      </c>
      <c r="E7436">
        <v>0</v>
      </c>
      <c r="F7436" s="11">
        <v>0</v>
      </c>
    </row>
    <row r="7437" spans="1:6" x14ac:dyDescent="0.35">
      <c r="A7437" t="s">
        <v>2857</v>
      </c>
      <c r="B7437" t="s">
        <v>2865</v>
      </c>
      <c r="C7437" t="s">
        <v>1457</v>
      </c>
      <c r="D7437" t="s">
        <v>2914</v>
      </c>
      <c r="E7437">
        <v>1349</v>
      </c>
      <c r="F7437" s="11">
        <v>1</v>
      </c>
    </row>
    <row r="7438" spans="1:6" x14ac:dyDescent="0.35">
      <c r="A7438" t="s">
        <v>2857</v>
      </c>
      <c r="B7438" t="s">
        <v>2865</v>
      </c>
      <c r="C7438" t="s">
        <v>1457</v>
      </c>
      <c r="D7438" t="s">
        <v>2915</v>
      </c>
      <c r="E7438">
        <v>2479</v>
      </c>
      <c r="F7438" s="11">
        <v>1</v>
      </c>
    </row>
    <row r="7439" spans="1:6" x14ac:dyDescent="0.35">
      <c r="A7439" t="s">
        <v>2857</v>
      </c>
      <c r="B7439" t="s">
        <v>2865</v>
      </c>
      <c r="C7439" t="s">
        <v>1457</v>
      </c>
      <c r="D7439" t="s">
        <v>2916</v>
      </c>
      <c r="E7439">
        <v>58557</v>
      </c>
      <c r="F7439" s="11">
        <v>1</v>
      </c>
    </row>
    <row r="7440" spans="1:6" x14ac:dyDescent="0.35">
      <c r="A7440" t="s">
        <v>2857</v>
      </c>
      <c r="B7440" t="s">
        <v>2865</v>
      </c>
      <c r="C7440" t="s">
        <v>1457</v>
      </c>
      <c r="D7440" t="s">
        <v>2917</v>
      </c>
      <c r="E7440">
        <v>53295</v>
      </c>
      <c r="F7440" s="11">
        <v>1</v>
      </c>
    </row>
    <row r="7441" spans="1:6" x14ac:dyDescent="0.35">
      <c r="A7441" t="s">
        <v>2857</v>
      </c>
      <c r="B7441" t="s">
        <v>2865</v>
      </c>
      <c r="C7441" t="s">
        <v>1446</v>
      </c>
      <c r="D7441" t="s">
        <v>2875</v>
      </c>
      <c r="E7441">
        <v>52218</v>
      </c>
      <c r="F7441" s="11">
        <v>1</v>
      </c>
    </row>
    <row r="7442" spans="1:6" x14ac:dyDescent="0.35">
      <c r="A7442" t="s">
        <v>2857</v>
      </c>
      <c r="B7442" t="s">
        <v>2865</v>
      </c>
      <c r="C7442" t="s">
        <v>1446</v>
      </c>
      <c r="D7442" t="s">
        <v>2876</v>
      </c>
      <c r="E7442">
        <v>0</v>
      </c>
      <c r="F7442" s="11">
        <v>0</v>
      </c>
    </row>
    <row r="7443" spans="1:6" x14ac:dyDescent="0.35">
      <c r="A7443" t="s">
        <v>2857</v>
      </c>
      <c r="B7443" t="s">
        <v>2865</v>
      </c>
      <c r="C7443" t="s">
        <v>1446</v>
      </c>
      <c r="D7443" t="s">
        <v>2877</v>
      </c>
      <c r="E7443">
        <v>0</v>
      </c>
      <c r="F7443" s="11">
        <v>0</v>
      </c>
    </row>
    <row r="7444" spans="1:6" x14ac:dyDescent="0.35">
      <c r="A7444" t="s">
        <v>2857</v>
      </c>
      <c r="B7444" t="s">
        <v>2865</v>
      </c>
      <c r="C7444" t="s">
        <v>1446</v>
      </c>
      <c r="D7444" t="s">
        <v>2878</v>
      </c>
      <c r="E7444">
        <v>0</v>
      </c>
      <c r="F7444" s="11">
        <v>0</v>
      </c>
    </row>
    <row r="7445" spans="1:6" x14ac:dyDescent="0.35">
      <c r="A7445" t="s">
        <v>2857</v>
      </c>
      <c r="B7445" t="s">
        <v>2865</v>
      </c>
      <c r="C7445" t="s">
        <v>1446</v>
      </c>
      <c r="D7445" t="s">
        <v>2879</v>
      </c>
      <c r="E7445">
        <v>11239</v>
      </c>
      <c r="F7445" s="11">
        <v>1</v>
      </c>
    </row>
    <row r="7446" spans="1:6" x14ac:dyDescent="0.35">
      <c r="A7446" t="s">
        <v>2857</v>
      </c>
      <c r="B7446" t="s">
        <v>2865</v>
      </c>
      <c r="C7446" t="s">
        <v>1446</v>
      </c>
      <c r="D7446" t="s">
        <v>2880</v>
      </c>
      <c r="E7446">
        <v>0</v>
      </c>
      <c r="F7446" s="11">
        <v>0</v>
      </c>
    </row>
    <row r="7447" spans="1:6" x14ac:dyDescent="0.35">
      <c r="A7447" t="s">
        <v>2857</v>
      </c>
      <c r="B7447" t="s">
        <v>2865</v>
      </c>
      <c r="C7447" t="s">
        <v>1446</v>
      </c>
      <c r="D7447" t="s">
        <v>2881</v>
      </c>
      <c r="E7447">
        <v>0</v>
      </c>
      <c r="F7447" s="11">
        <v>0</v>
      </c>
    </row>
    <row r="7448" spans="1:6" x14ac:dyDescent="0.35">
      <c r="A7448" t="s">
        <v>2857</v>
      </c>
      <c r="B7448" t="s">
        <v>2865</v>
      </c>
      <c r="C7448" t="s">
        <v>1446</v>
      </c>
      <c r="D7448" t="s">
        <v>2882</v>
      </c>
      <c r="E7448">
        <v>0</v>
      </c>
      <c r="F7448" s="11">
        <v>0</v>
      </c>
    </row>
    <row r="7449" spans="1:6" x14ac:dyDescent="0.35">
      <c r="A7449" t="s">
        <v>2857</v>
      </c>
      <c r="B7449" t="s">
        <v>2865</v>
      </c>
      <c r="C7449" t="s">
        <v>1446</v>
      </c>
      <c r="D7449" t="s">
        <v>2883</v>
      </c>
      <c r="E7449">
        <v>0</v>
      </c>
      <c r="F7449" s="11">
        <v>0</v>
      </c>
    </row>
    <row r="7450" spans="1:6" x14ac:dyDescent="0.35">
      <c r="A7450" t="s">
        <v>2857</v>
      </c>
      <c r="B7450" t="s">
        <v>2865</v>
      </c>
      <c r="C7450" t="s">
        <v>1446</v>
      </c>
      <c r="D7450" t="s">
        <v>2884</v>
      </c>
      <c r="E7450">
        <v>0</v>
      </c>
      <c r="F7450" s="11">
        <v>0</v>
      </c>
    </row>
    <row r="7451" spans="1:6" x14ac:dyDescent="0.35">
      <c r="A7451" t="s">
        <v>2857</v>
      </c>
      <c r="B7451" t="s">
        <v>2865</v>
      </c>
      <c r="C7451" t="s">
        <v>1446</v>
      </c>
      <c r="D7451" t="s">
        <v>2885</v>
      </c>
      <c r="E7451">
        <v>0</v>
      </c>
      <c r="F7451" s="11">
        <v>0</v>
      </c>
    </row>
    <row r="7452" spans="1:6" x14ac:dyDescent="0.35">
      <c r="A7452" t="s">
        <v>2857</v>
      </c>
      <c r="B7452" t="s">
        <v>2865</v>
      </c>
      <c r="C7452" t="s">
        <v>1446</v>
      </c>
      <c r="D7452" t="s">
        <v>2886</v>
      </c>
      <c r="E7452">
        <v>0</v>
      </c>
      <c r="F7452" s="11">
        <v>0</v>
      </c>
    </row>
    <row r="7453" spans="1:6" x14ac:dyDescent="0.35">
      <c r="A7453" t="s">
        <v>2857</v>
      </c>
      <c r="B7453" t="s">
        <v>2865</v>
      </c>
      <c r="C7453" t="s">
        <v>1446</v>
      </c>
      <c r="D7453" t="s">
        <v>2887</v>
      </c>
      <c r="E7453">
        <v>164686</v>
      </c>
      <c r="F7453" s="11">
        <v>1</v>
      </c>
    </row>
    <row r="7454" spans="1:6" x14ac:dyDescent="0.35">
      <c r="A7454" t="s">
        <v>2857</v>
      </c>
      <c r="B7454" t="s">
        <v>2865</v>
      </c>
      <c r="C7454" t="s">
        <v>1446</v>
      </c>
      <c r="D7454" t="s">
        <v>2888</v>
      </c>
      <c r="E7454">
        <v>0</v>
      </c>
      <c r="F7454" s="11">
        <v>0</v>
      </c>
    </row>
    <row r="7455" spans="1:6" x14ac:dyDescent="0.35">
      <c r="A7455" t="s">
        <v>2857</v>
      </c>
      <c r="B7455" t="s">
        <v>2865</v>
      </c>
      <c r="C7455" t="s">
        <v>1446</v>
      </c>
      <c r="D7455" t="s">
        <v>2889</v>
      </c>
      <c r="E7455">
        <v>0</v>
      </c>
      <c r="F7455" s="11">
        <v>0</v>
      </c>
    </row>
    <row r="7456" spans="1:6" x14ac:dyDescent="0.35">
      <c r="A7456" t="s">
        <v>2857</v>
      </c>
      <c r="B7456" t="s">
        <v>2865</v>
      </c>
      <c r="C7456" t="s">
        <v>1446</v>
      </c>
      <c r="D7456" t="s">
        <v>2890</v>
      </c>
      <c r="E7456">
        <v>0</v>
      </c>
      <c r="F7456" s="11">
        <v>0</v>
      </c>
    </row>
    <row r="7457" spans="1:6" x14ac:dyDescent="0.35">
      <c r="A7457" t="s">
        <v>2857</v>
      </c>
      <c r="B7457" t="s">
        <v>2865</v>
      </c>
      <c r="C7457" t="s">
        <v>1446</v>
      </c>
      <c r="D7457" t="s">
        <v>2891</v>
      </c>
      <c r="E7457">
        <v>0</v>
      </c>
      <c r="F7457" s="11">
        <v>0</v>
      </c>
    </row>
    <row r="7458" spans="1:6" x14ac:dyDescent="0.35">
      <c r="A7458" t="s">
        <v>2857</v>
      </c>
      <c r="B7458" t="s">
        <v>2865</v>
      </c>
      <c r="C7458" t="s">
        <v>1446</v>
      </c>
      <c r="D7458" t="s">
        <v>2892</v>
      </c>
      <c r="E7458">
        <v>0</v>
      </c>
      <c r="F7458" s="11">
        <v>0</v>
      </c>
    </row>
    <row r="7459" spans="1:6" x14ac:dyDescent="0.35">
      <c r="A7459" t="s">
        <v>2857</v>
      </c>
      <c r="B7459" t="s">
        <v>2865</v>
      </c>
      <c r="C7459" t="s">
        <v>1446</v>
      </c>
      <c r="D7459" t="s">
        <v>2893</v>
      </c>
      <c r="E7459">
        <v>0</v>
      </c>
      <c r="F7459" s="11">
        <v>0</v>
      </c>
    </row>
    <row r="7460" spans="1:6" x14ac:dyDescent="0.35">
      <c r="A7460" t="s">
        <v>2857</v>
      </c>
      <c r="B7460" t="s">
        <v>2865</v>
      </c>
      <c r="C7460" t="s">
        <v>1446</v>
      </c>
      <c r="D7460" t="s">
        <v>2894</v>
      </c>
      <c r="E7460">
        <v>0</v>
      </c>
      <c r="F7460" s="11">
        <v>0</v>
      </c>
    </row>
    <row r="7461" spans="1:6" x14ac:dyDescent="0.35">
      <c r="A7461" t="s">
        <v>2857</v>
      </c>
      <c r="B7461" t="s">
        <v>2865</v>
      </c>
      <c r="C7461" t="s">
        <v>1446</v>
      </c>
      <c r="D7461" t="s">
        <v>2895</v>
      </c>
      <c r="E7461">
        <v>1411931</v>
      </c>
      <c r="F7461" s="11">
        <v>1</v>
      </c>
    </row>
    <row r="7462" spans="1:6" x14ac:dyDescent="0.35">
      <c r="A7462" t="s">
        <v>2857</v>
      </c>
      <c r="B7462" t="s">
        <v>2865</v>
      </c>
      <c r="C7462" t="s">
        <v>1446</v>
      </c>
      <c r="D7462" t="s">
        <v>2896</v>
      </c>
      <c r="E7462">
        <v>606208</v>
      </c>
      <c r="F7462" s="11">
        <v>0</v>
      </c>
    </row>
    <row r="7463" spans="1:6" x14ac:dyDescent="0.35">
      <c r="A7463" t="s">
        <v>2857</v>
      </c>
      <c r="B7463" t="s">
        <v>2865</v>
      </c>
      <c r="C7463" t="s">
        <v>1446</v>
      </c>
      <c r="D7463" t="s">
        <v>2897</v>
      </c>
      <c r="E7463">
        <v>17587</v>
      </c>
      <c r="F7463" s="11">
        <v>0</v>
      </c>
    </row>
    <row r="7464" spans="1:6" x14ac:dyDescent="0.35">
      <c r="A7464" t="s">
        <v>2857</v>
      </c>
      <c r="B7464" t="s">
        <v>2865</v>
      </c>
      <c r="C7464" t="s">
        <v>1446</v>
      </c>
      <c r="D7464" t="s">
        <v>2898</v>
      </c>
      <c r="E7464">
        <v>788035</v>
      </c>
      <c r="F7464" s="11">
        <v>0</v>
      </c>
    </row>
    <row r="7465" spans="1:6" x14ac:dyDescent="0.35">
      <c r="A7465" t="s">
        <v>2857</v>
      </c>
      <c r="B7465" t="s">
        <v>2865</v>
      </c>
      <c r="C7465" t="s">
        <v>1446</v>
      </c>
      <c r="D7465" t="s">
        <v>2899</v>
      </c>
      <c r="E7465">
        <v>16945</v>
      </c>
      <c r="F7465" s="11">
        <v>1</v>
      </c>
    </row>
    <row r="7466" spans="1:6" x14ac:dyDescent="0.35">
      <c r="A7466" t="s">
        <v>2857</v>
      </c>
      <c r="B7466" t="s">
        <v>2865</v>
      </c>
      <c r="C7466" t="s">
        <v>1446</v>
      </c>
      <c r="D7466" t="s">
        <v>2900</v>
      </c>
      <c r="E7466">
        <v>0</v>
      </c>
      <c r="F7466" s="11">
        <v>0</v>
      </c>
    </row>
    <row r="7467" spans="1:6" x14ac:dyDescent="0.35">
      <c r="A7467" t="s">
        <v>2857</v>
      </c>
      <c r="B7467" t="s">
        <v>2865</v>
      </c>
      <c r="C7467" t="s">
        <v>1446</v>
      </c>
      <c r="D7467" t="s">
        <v>2901</v>
      </c>
      <c r="E7467">
        <v>0</v>
      </c>
      <c r="F7467" s="11">
        <v>0</v>
      </c>
    </row>
    <row r="7468" spans="1:6" x14ac:dyDescent="0.35">
      <c r="A7468" t="s">
        <v>2857</v>
      </c>
      <c r="B7468" t="s">
        <v>2865</v>
      </c>
      <c r="C7468" t="s">
        <v>1446</v>
      </c>
      <c r="D7468" t="s">
        <v>2902</v>
      </c>
      <c r="E7468">
        <v>14238</v>
      </c>
      <c r="F7468" s="11">
        <v>0</v>
      </c>
    </row>
    <row r="7469" spans="1:6" x14ac:dyDescent="0.35">
      <c r="A7469" t="s">
        <v>2857</v>
      </c>
      <c r="B7469" t="s">
        <v>2865</v>
      </c>
      <c r="C7469" t="s">
        <v>1446</v>
      </c>
      <c r="D7469" t="s">
        <v>2903</v>
      </c>
      <c r="E7469">
        <v>220766</v>
      </c>
      <c r="F7469" s="11">
        <v>1</v>
      </c>
    </row>
    <row r="7470" spans="1:6" x14ac:dyDescent="0.35">
      <c r="A7470" t="s">
        <v>2857</v>
      </c>
      <c r="B7470" t="s">
        <v>2865</v>
      </c>
      <c r="C7470" t="s">
        <v>1446</v>
      </c>
      <c r="D7470" t="s">
        <v>2904</v>
      </c>
      <c r="E7470">
        <v>0</v>
      </c>
      <c r="F7470" s="11">
        <v>0</v>
      </c>
    </row>
    <row r="7471" spans="1:6" x14ac:dyDescent="0.35">
      <c r="A7471" t="s">
        <v>2857</v>
      </c>
      <c r="B7471" t="s">
        <v>2865</v>
      </c>
      <c r="C7471" t="s">
        <v>1446</v>
      </c>
      <c r="D7471" t="s">
        <v>2905</v>
      </c>
      <c r="E7471">
        <v>0</v>
      </c>
      <c r="F7471" s="11">
        <v>0</v>
      </c>
    </row>
    <row r="7472" spans="1:6" x14ac:dyDescent="0.35">
      <c r="A7472" t="s">
        <v>2857</v>
      </c>
      <c r="B7472" t="s">
        <v>2865</v>
      </c>
      <c r="C7472" t="s">
        <v>1446</v>
      </c>
      <c r="D7472" t="s">
        <v>2906</v>
      </c>
      <c r="E7472">
        <v>0</v>
      </c>
      <c r="F7472" s="11">
        <v>0</v>
      </c>
    </row>
    <row r="7473" spans="1:6" x14ac:dyDescent="0.35">
      <c r="A7473" t="s">
        <v>2857</v>
      </c>
      <c r="B7473" t="s">
        <v>2865</v>
      </c>
      <c r="C7473" t="s">
        <v>1446</v>
      </c>
      <c r="D7473" t="s">
        <v>2907</v>
      </c>
      <c r="E7473">
        <v>139681</v>
      </c>
      <c r="F7473" s="11">
        <v>1</v>
      </c>
    </row>
    <row r="7474" spans="1:6" x14ac:dyDescent="0.35">
      <c r="A7474" t="s">
        <v>2857</v>
      </c>
      <c r="B7474" t="s">
        <v>2865</v>
      </c>
      <c r="C7474" t="s">
        <v>1446</v>
      </c>
      <c r="D7474" t="s">
        <v>2908</v>
      </c>
      <c r="E7474">
        <v>0</v>
      </c>
      <c r="F7474" s="11">
        <v>0</v>
      </c>
    </row>
    <row r="7475" spans="1:6" x14ac:dyDescent="0.35">
      <c r="A7475" t="s">
        <v>2857</v>
      </c>
      <c r="B7475" t="s">
        <v>2865</v>
      </c>
      <c r="C7475" t="s">
        <v>1446</v>
      </c>
      <c r="D7475" t="s">
        <v>2909</v>
      </c>
      <c r="E7475">
        <v>0</v>
      </c>
      <c r="F7475" s="11">
        <v>0</v>
      </c>
    </row>
    <row r="7476" spans="1:6" x14ac:dyDescent="0.35">
      <c r="A7476" t="s">
        <v>2857</v>
      </c>
      <c r="B7476" t="s">
        <v>2865</v>
      </c>
      <c r="C7476" t="s">
        <v>1446</v>
      </c>
      <c r="D7476" t="s">
        <v>2910</v>
      </c>
      <c r="E7476">
        <v>0</v>
      </c>
      <c r="F7476" s="11">
        <v>0</v>
      </c>
    </row>
    <row r="7477" spans="1:6" x14ac:dyDescent="0.35">
      <c r="A7477" t="s">
        <v>2857</v>
      </c>
      <c r="B7477" t="s">
        <v>2865</v>
      </c>
      <c r="C7477" t="s">
        <v>1446</v>
      </c>
      <c r="D7477" t="s">
        <v>2911</v>
      </c>
      <c r="E7477">
        <v>1622118</v>
      </c>
      <c r="F7477" s="11">
        <v>1</v>
      </c>
    </row>
    <row r="7478" spans="1:6" x14ac:dyDescent="0.35">
      <c r="A7478" t="s">
        <v>2857</v>
      </c>
      <c r="B7478" t="s">
        <v>2865</v>
      </c>
      <c r="C7478" t="s">
        <v>1446</v>
      </c>
      <c r="D7478" t="s">
        <v>2912</v>
      </c>
      <c r="E7478">
        <v>287181</v>
      </c>
      <c r="F7478" s="11">
        <v>0</v>
      </c>
    </row>
    <row r="7479" spans="1:6" x14ac:dyDescent="0.35">
      <c r="A7479" t="s">
        <v>2857</v>
      </c>
      <c r="B7479" t="s">
        <v>2865</v>
      </c>
      <c r="C7479" t="s">
        <v>1446</v>
      </c>
      <c r="D7479" t="s">
        <v>2913</v>
      </c>
      <c r="E7479">
        <v>0</v>
      </c>
      <c r="F7479" s="11">
        <v>0</v>
      </c>
    </row>
    <row r="7480" spans="1:6" x14ac:dyDescent="0.35">
      <c r="A7480" t="s">
        <v>2857</v>
      </c>
      <c r="B7480" t="s">
        <v>2865</v>
      </c>
      <c r="C7480" t="s">
        <v>1446</v>
      </c>
      <c r="D7480" t="s">
        <v>2914</v>
      </c>
      <c r="E7480">
        <v>6093</v>
      </c>
      <c r="F7480" s="11">
        <v>1</v>
      </c>
    </row>
    <row r="7481" spans="1:6" x14ac:dyDescent="0.35">
      <c r="A7481" t="s">
        <v>2857</v>
      </c>
      <c r="B7481" t="s">
        <v>2865</v>
      </c>
      <c r="C7481" t="s">
        <v>1446</v>
      </c>
      <c r="D7481" t="s">
        <v>2915</v>
      </c>
      <c r="E7481">
        <v>17790</v>
      </c>
      <c r="F7481" s="11">
        <v>0</v>
      </c>
    </row>
    <row r="7482" spans="1:6" x14ac:dyDescent="0.35">
      <c r="A7482" t="s">
        <v>2857</v>
      </c>
      <c r="B7482" t="s">
        <v>2865</v>
      </c>
      <c r="C7482" t="s">
        <v>1446</v>
      </c>
      <c r="D7482" t="s">
        <v>2916</v>
      </c>
      <c r="E7482">
        <v>101035</v>
      </c>
      <c r="F7482" s="11">
        <v>1</v>
      </c>
    </row>
    <row r="7483" spans="1:6" x14ac:dyDescent="0.35">
      <c r="A7483" t="s">
        <v>2857</v>
      </c>
      <c r="B7483" t="s">
        <v>2865</v>
      </c>
      <c r="C7483" t="s">
        <v>1446</v>
      </c>
      <c r="D7483" t="s">
        <v>2917</v>
      </c>
      <c r="E7483">
        <v>1578952</v>
      </c>
      <c r="F7483" s="11">
        <v>1</v>
      </c>
    </row>
    <row r="7484" spans="1:6" x14ac:dyDescent="0.35">
      <c r="A7484" t="s">
        <v>2857</v>
      </c>
      <c r="B7484" t="s">
        <v>2865</v>
      </c>
      <c r="C7484" t="s">
        <v>1448</v>
      </c>
      <c r="D7484" t="s">
        <v>2875</v>
      </c>
      <c r="E7484">
        <v>19472</v>
      </c>
      <c r="F7484" s="11">
        <v>1</v>
      </c>
    </row>
    <row r="7485" spans="1:6" x14ac:dyDescent="0.35">
      <c r="A7485" t="s">
        <v>2857</v>
      </c>
      <c r="B7485" t="s">
        <v>2865</v>
      </c>
      <c r="C7485" t="s">
        <v>1448</v>
      </c>
      <c r="D7485" t="s">
        <v>2876</v>
      </c>
      <c r="E7485">
        <v>0</v>
      </c>
      <c r="F7485" s="11">
        <v>0</v>
      </c>
    </row>
    <row r="7486" spans="1:6" x14ac:dyDescent="0.35">
      <c r="A7486" t="s">
        <v>2857</v>
      </c>
      <c r="B7486" t="s">
        <v>2865</v>
      </c>
      <c r="C7486" t="s">
        <v>1448</v>
      </c>
      <c r="D7486" t="s">
        <v>2877</v>
      </c>
      <c r="E7486">
        <v>0</v>
      </c>
      <c r="F7486" s="11">
        <v>1</v>
      </c>
    </row>
    <row r="7487" spans="1:6" x14ac:dyDescent="0.35">
      <c r="A7487" t="s">
        <v>2857</v>
      </c>
      <c r="B7487" t="s">
        <v>2865</v>
      </c>
      <c r="C7487" t="s">
        <v>1448</v>
      </c>
      <c r="D7487" t="s">
        <v>2878</v>
      </c>
      <c r="E7487">
        <v>0</v>
      </c>
      <c r="F7487" s="11">
        <v>0</v>
      </c>
    </row>
    <row r="7488" spans="1:6" x14ac:dyDescent="0.35">
      <c r="A7488" t="s">
        <v>2857</v>
      </c>
      <c r="B7488" t="s">
        <v>2865</v>
      </c>
      <c r="C7488" t="s">
        <v>1448</v>
      </c>
      <c r="D7488" t="s">
        <v>2879</v>
      </c>
      <c r="E7488">
        <v>3290</v>
      </c>
      <c r="F7488" s="11">
        <v>1</v>
      </c>
    </row>
    <row r="7489" spans="1:6" x14ac:dyDescent="0.35">
      <c r="A7489" t="s">
        <v>2857</v>
      </c>
      <c r="B7489" t="s">
        <v>2865</v>
      </c>
      <c r="C7489" t="s">
        <v>1448</v>
      </c>
      <c r="D7489" t="s">
        <v>2880</v>
      </c>
      <c r="E7489">
        <v>1376</v>
      </c>
      <c r="F7489" s="11">
        <v>1</v>
      </c>
    </row>
    <row r="7490" spans="1:6" x14ac:dyDescent="0.35">
      <c r="A7490" t="s">
        <v>2857</v>
      </c>
      <c r="B7490" t="s">
        <v>2865</v>
      </c>
      <c r="C7490" t="s">
        <v>1448</v>
      </c>
      <c r="D7490" t="s">
        <v>2881</v>
      </c>
      <c r="E7490">
        <v>0</v>
      </c>
      <c r="F7490" s="11">
        <v>1</v>
      </c>
    </row>
    <row r="7491" spans="1:6" x14ac:dyDescent="0.35">
      <c r="A7491" t="s">
        <v>2857</v>
      </c>
      <c r="B7491" t="s">
        <v>2865</v>
      </c>
      <c r="C7491" t="s">
        <v>1448</v>
      </c>
      <c r="D7491" t="s">
        <v>2882</v>
      </c>
      <c r="E7491">
        <v>1914</v>
      </c>
      <c r="F7491" s="11">
        <v>0</v>
      </c>
    </row>
    <row r="7492" spans="1:6" x14ac:dyDescent="0.35">
      <c r="A7492" t="s">
        <v>2857</v>
      </c>
      <c r="B7492" t="s">
        <v>2865</v>
      </c>
      <c r="C7492" t="s">
        <v>1448</v>
      </c>
      <c r="D7492" t="s">
        <v>2883</v>
      </c>
      <c r="E7492">
        <v>0</v>
      </c>
      <c r="F7492" s="11">
        <v>0</v>
      </c>
    </row>
    <row r="7493" spans="1:6" x14ac:dyDescent="0.35">
      <c r="A7493" t="s">
        <v>2857</v>
      </c>
      <c r="B7493" t="s">
        <v>2865</v>
      </c>
      <c r="C7493" t="s">
        <v>1448</v>
      </c>
      <c r="D7493" t="s">
        <v>2884</v>
      </c>
      <c r="E7493">
        <v>0</v>
      </c>
      <c r="F7493" s="11">
        <v>0</v>
      </c>
    </row>
    <row r="7494" spans="1:6" x14ac:dyDescent="0.35">
      <c r="A7494" t="s">
        <v>2857</v>
      </c>
      <c r="B7494" t="s">
        <v>2865</v>
      </c>
      <c r="C7494" t="s">
        <v>1448</v>
      </c>
      <c r="D7494" t="s">
        <v>2885</v>
      </c>
      <c r="E7494">
        <v>0</v>
      </c>
      <c r="F7494" s="11">
        <v>0</v>
      </c>
    </row>
    <row r="7495" spans="1:6" x14ac:dyDescent="0.35">
      <c r="A7495" t="s">
        <v>2857</v>
      </c>
      <c r="B7495" t="s">
        <v>2865</v>
      </c>
      <c r="C7495" t="s">
        <v>1448</v>
      </c>
      <c r="D7495" t="s">
        <v>2886</v>
      </c>
      <c r="E7495">
        <v>0</v>
      </c>
      <c r="F7495" s="11">
        <v>0</v>
      </c>
    </row>
    <row r="7496" spans="1:6" x14ac:dyDescent="0.35">
      <c r="A7496" t="s">
        <v>2857</v>
      </c>
      <c r="B7496" t="s">
        <v>2865</v>
      </c>
      <c r="C7496" t="s">
        <v>1448</v>
      </c>
      <c r="D7496" t="s">
        <v>2887</v>
      </c>
      <c r="E7496">
        <v>40738</v>
      </c>
      <c r="F7496" s="11">
        <v>1</v>
      </c>
    </row>
    <row r="7497" spans="1:6" x14ac:dyDescent="0.35">
      <c r="A7497" t="s">
        <v>2857</v>
      </c>
      <c r="B7497" t="s">
        <v>2865</v>
      </c>
      <c r="C7497" t="s">
        <v>1448</v>
      </c>
      <c r="D7497" t="s">
        <v>2888</v>
      </c>
      <c r="E7497">
        <v>17280</v>
      </c>
      <c r="F7497" s="11">
        <v>1</v>
      </c>
    </row>
    <row r="7498" spans="1:6" x14ac:dyDescent="0.35">
      <c r="A7498" t="s">
        <v>2857</v>
      </c>
      <c r="B7498" t="s">
        <v>2865</v>
      </c>
      <c r="C7498" t="s">
        <v>1448</v>
      </c>
      <c r="D7498" t="s">
        <v>2889</v>
      </c>
      <c r="E7498">
        <v>0</v>
      </c>
      <c r="F7498" s="11">
        <v>1</v>
      </c>
    </row>
    <row r="7499" spans="1:6" x14ac:dyDescent="0.35">
      <c r="A7499" t="s">
        <v>2857</v>
      </c>
      <c r="B7499" t="s">
        <v>2865</v>
      </c>
      <c r="C7499" t="s">
        <v>1448</v>
      </c>
      <c r="D7499" t="s">
        <v>2890</v>
      </c>
      <c r="E7499">
        <v>23458</v>
      </c>
      <c r="F7499" s="11">
        <v>0</v>
      </c>
    </row>
    <row r="7500" spans="1:6" x14ac:dyDescent="0.35">
      <c r="A7500" t="s">
        <v>2857</v>
      </c>
      <c r="B7500" t="s">
        <v>2865</v>
      </c>
      <c r="C7500" t="s">
        <v>1448</v>
      </c>
      <c r="D7500" t="s">
        <v>2891</v>
      </c>
      <c r="E7500">
        <v>0</v>
      </c>
      <c r="F7500" s="11">
        <v>0</v>
      </c>
    </row>
    <row r="7501" spans="1:6" x14ac:dyDescent="0.35">
      <c r="A7501" t="s">
        <v>2857</v>
      </c>
      <c r="B7501" t="s">
        <v>2865</v>
      </c>
      <c r="C7501" t="s">
        <v>1448</v>
      </c>
      <c r="D7501" t="s">
        <v>2892</v>
      </c>
      <c r="E7501">
        <v>0</v>
      </c>
      <c r="F7501" s="11">
        <v>0</v>
      </c>
    </row>
    <row r="7502" spans="1:6" x14ac:dyDescent="0.35">
      <c r="A7502" t="s">
        <v>2857</v>
      </c>
      <c r="B7502" t="s">
        <v>2865</v>
      </c>
      <c r="C7502" t="s">
        <v>1448</v>
      </c>
      <c r="D7502" t="s">
        <v>2893</v>
      </c>
      <c r="E7502">
        <v>0</v>
      </c>
      <c r="F7502" s="11">
        <v>0</v>
      </c>
    </row>
    <row r="7503" spans="1:6" x14ac:dyDescent="0.35">
      <c r="A7503" t="s">
        <v>2857</v>
      </c>
      <c r="B7503" t="s">
        <v>2865</v>
      </c>
      <c r="C7503" t="s">
        <v>1448</v>
      </c>
      <c r="D7503" t="s">
        <v>2894</v>
      </c>
      <c r="E7503">
        <v>0</v>
      </c>
      <c r="F7503" s="11">
        <v>0</v>
      </c>
    </row>
    <row r="7504" spans="1:6" x14ac:dyDescent="0.35">
      <c r="A7504" t="s">
        <v>2857</v>
      </c>
      <c r="B7504" t="s">
        <v>2865</v>
      </c>
      <c r="C7504" t="s">
        <v>1448</v>
      </c>
      <c r="D7504" t="s">
        <v>2895</v>
      </c>
      <c r="E7504">
        <v>459399</v>
      </c>
      <c r="F7504" s="11">
        <v>1</v>
      </c>
    </row>
    <row r="7505" spans="1:6" x14ac:dyDescent="0.35">
      <c r="A7505" t="s">
        <v>2857</v>
      </c>
      <c r="B7505" t="s">
        <v>2865</v>
      </c>
      <c r="C7505" t="s">
        <v>1448</v>
      </c>
      <c r="D7505" t="s">
        <v>2896</v>
      </c>
      <c r="E7505">
        <v>170398</v>
      </c>
      <c r="F7505" s="11">
        <v>1</v>
      </c>
    </row>
    <row r="7506" spans="1:6" x14ac:dyDescent="0.35">
      <c r="A7506" t="s">
        <v>2857</v>
      </c>
      <c r="B7506" t="s">
        <v>2865</v>
      </c>
      <c r="C7506" t="s">
        <v>1448</v>
      </c>
      <c r="D7506" t="s">
        <v>2897</v>
      </c>
      <c r="E7506">
        <v>4565</v>
      </c>
      <c r="F7506" s="11">
        <v>1</v>
      </c>
    </row>
    <row r="7507" spans="1:6" x14ac:dyDescent="0.35">
      <c r="A7507" t="s">
        <v>2857</v>
      </c>
      <c r="B7507" t="s">
        <v>2865</v>
      </c>
      <c r="C7507" t="s">
        <v>1448</v>
      </c>
      <c r="D7507" t="s">
        <v>2898</v>
      </c>
      <c r="E7507">
        <v>284436</v>
      </c>
      <c r="F7507" s="11">
        <v>1</v>
      </c>
    </row>
    <row r="7508" spans="1:6" x14ac:dyDescent="0.35">
      <c r="A7508" t="s">
        <v>2857</v>
      </c>
      <c r="B7508" t="s">
        <v>2865</v>
      </c>
      <c r="C7508" t="s">
        <v>1448</v>
      </c>
      <c r="D7508" t="s">
        <v>2899</v>
      </c>
      <c r="E7508">
        <v>5932</v>
      </c>
      <c r="F7508" s="11">
        <v>1</v>
      </c>
    </row>
    <row r="7509" spans="1:6" x14ac:dyDescent="0.35">
      <c r="A7509" t="s">
        <v>2857</v>
      </c>
      <c r="B7509" t="s">
        <v>2865</v>
      </c>
      <c r="C7509" t="s">
        <v>1448</v>
      </c>
      <c r="D7509" t="s">
        <v>2900</v>
      </c>
      <c r="E7509">
        <v>401</v>
      </c>
      <c r="F7509" s="11">
        <v>1</v>
      </c>
    </row>
    <row r="7510" spans="1:6" x14ac:dyDescent="0.35">
      <c r="A7510" t="s">
        <v>2857</v>
      </c>
      <c r="B7510" t="s">
        <v>2865</v>
      </c>
      <c r="C7510" t="s">
        <v>1448</v>
      </c>
      <c r="D7510" t="s">
        <v>2901</v>
      </c>
      <c r="E7510">
        <v>0</v>
      </c>
      <c r="F7510" s="11">
        <v>1</v>
      </c>
    </row>
    <row r="7511" spans="1:6" x14ac:dyDescent="0.35">
      <c r="A7511" t="s">
        <v>2857</v>
      </c>
      <c r="B7511" t="s">
        <v>2865</v>
      </c>
      <c r="C7511" t="s">
        <v>1448</v>
      </c>
      <c r="D7511" t="s">
        <v>2902</v>
      </c>
      <c r="E7511">
        <v>5531</v>
      </c>
      <c r="F7511" s="11">
        <v>0</v>
      </c>
    </row>
    <row r="7512" spans="1:6" x14ac:dyDescent="0.35">
      <c r="A7512" t="s">
        <v>2857</v>
      </c>
      <c r="B7512" t="s">
        <v>2865</v>
      </c>
      <c r="C7512" t="s">
        <v>1448</v>
      </c>
      <c r="D7512" t="s">
        <v>2903</v>
      </c>
      <c r="E7512">
        <v>45130</v>
      </c>
      <c r="F7512" s="11">
        <v>1</v>
      </c>
    </row>
    <row r="7513" spans="1:6" x14ac:dyDescent="0.35">
      <c r="A7513" t="s">
        <v>2857</v>
      </c>
      <c r="B7513" t="s">
        <v>2865</v>
      </c>
      <c r="C7513" t="s">
        <v>1448</v>
      </c>
      <c r="D7513" t="s">
        <v>2904</v>
      </c>
      <c r="E7513">
        <v>1989</v>
      </c>
      <c r="F7513" s="11">
        <v>1</v>
      </c>
    </row>
    <row r="7514" spans="1:6" x14ac:dyDescent="0.35">
      <c r="A7514" t="s">
        <v>2857</v>
      </c>
      <c r="B7514" t="s">
        <v>2865</v>
      </c>
      <c r="C7514" t="s">
        <v>1448</v>
      </c>
      <c r="D7514" t="s">
        <v>2905</v>
      </c>
      <c r="E7514">
        <v>2047</v>
      </c>
      <c r="F7514" s="11">
        <v>1</v>
      </c>
    </row>
    <row r="7515" spans="1:6" x14ac:dyDescent="0.35">
      <c r="A7515" t="s">
        <v>2857</v>
      </c>
      <c r="B7515" t="s">
        <v>2865</v>
      </c>
      <c r="C7515" t="s">
        <v>1448</v>
      </c>
      <c r="D7515" t="s">
        <v>2906</v>
      </c>
      <c r="E7515">
        <v>41094</v>
      </c>
      <c r="F7515" s="11">
        <v>1</v>
      </c>
    </row>
    <row r="7516" spans="1:6" x14ac:dyDescent="0.35">
      <c r="A7516" t="s">
        <v>2857</v>
      </c>
      <c r="B7516" t="s">
        <v>2865</v>
      </c>
      <c r="C7516" t="s">
        <v>1448</v>
      </c>
      <c r="D7516" t="s">
        <v>2907</v>
      </c>
      <c r="E7516">
        <v>91003</v>
      </c>
      <c r="F7516" s="11">
        <v>1</v>
      </c>
    </row>
    <row r="7517" spans="1:6" x14ac:dyDescent="0.35">
      <c r="A7517" t="s">
        <v>2857</v>
      </c>
      <c r="B7517" t="s">
        <v>2865</v>
      </c>
      <c r="C7517" t="s">
        <v>1448</v>
      </c>
      <c r="D7517" t="s">
        <v>2908</v>
      </c>
      <c r="E7517">
        <v>12525</v>
      </c>
      <c r="F7517" s="11">
        <v>1</v>
      </c>
    </row>
    <row r="7518" spans="1:6" x14ac:dyDescent="0.35">
      <c r="A7518" t="s">
        <v>2857</v>
      </c>
      <c r="B7518" t="s">
        <v>2865</v>
      </c>
      <c r="C7518" t="s">
        <v>1448</v>
      </c>
      <c r="D7518" t="s">
        <v>2909</v>
      </c>
      <c r="E7518">
        <v>2831</v>
      </c>
      <c r="F7518" s="11">
        <v>1</v>
      </c>
    </row>
    <row r="7519" spans="1:6" x14ac:dyDescent="0.35">
      <c r="A7519" t="s">
        <v>2857</v>
      </c>
      <c r="B7519" t="s">
        <v>2865</v>
      </c>
      <c r="C7519" t="s">
        <v>1448</v>
      </c>
      <c r="D7519" t="s">
        <v>2910</v>
      </c>
      <c r="E7519">
        <v>75647</v>
      </c>
      <c r="F7519" s="11">
        <v>1</v>
      </c>
    </row>
    <row r="7520" spans="1:6" x14ac:dyDescent="0.35">
      <c r="A7520" t="s">
        <v>2857</v>
      </c>
      <c r="B7520" t="s">
        <v>2865</v>
      </c>
      <c r="C7520" t="s">
        <v>1448</v>
      </c>
      <c r="D7520" t="s">
        <v>2911</v>
      </c>
      <c r="E7520">
        <v>0</v>
      </c>
      <c r="F7520" s="11">
        <v>0</v>
      </c>
    </row>
    <row r="7521" spans="1:6" x14ac:dyDescent="0.35">
      <c r="A7521" t="s">
        <v>2857</v>
      </c>
      <c r="B7521" t="s">
        <v>2865</v>
      </c>
      <c r="C7521" t="s">
        <v>1448</v>
      </c>
      <c r="D7521" t="s">
        <v>2912</v>
      </c>
      <c r="E7521">
        <v>0</v>
      </c>
      <c r="F7521" s="11">
        <v>0</v>
      </c>
    </row>
    <row r="7522" spans="1:6" x14ac:dyDescent="0.35">
      <c r="A7522" t="s">
        <v>2857</v>
      </c>
      <c r="B7522" t="s">
        <v>2865</v>
      </c>
      <c r="C7522" t="s">
        <v>1448</v>
      </c>
      <c r="D7522" t="s">
        <v>2913</v>
      </c>
      <c r="E7522">
        <v>0</v>
      </c>
      <c r="F7522" s="11">
        <v>0</v>
      </c>
    </row>
    <row r="7523" spans="1:6" x14ac:dyDescent="0.35">
      <c r="A7523" t="s">
        <v>2857</v>
      </c>
      <c r="B7523" t="s">
        <v>2865</v>
      </c>
      <c r="C7523" t="s">
        <v>1448</v>
      </c>
      <c r="D7523" t="s">
        <v>2914</v>
      </c>
      <c r="E7523">
        <v>0</v>
      </c>
      <c r="F7523" s="11">
        <v>0</v>
      </c>
    </row>
    <row r="7524" spans="1:6" x14ac:dyDescent="0.35">
      <c r="A7524" t="s">
        <v>2857</v>
      </c>
      <c r="B7524" t="s">
        <v>2865</v>
      </c>
      <c r="C7524" t="s">
        <v>1448</v>
      </c>
      <c r="D7524" t="s">
        <v>2915</v>
      </c>
      <c r="E7524">
        <v>0</v>
      </c>
      <c r="F7524" s="11">
        <v>0</v>
      </c>
    </row>
    <row r="7525" spans="1:6" x14ac:dyDescent="0.35">
      <c r="A7525" t="s">
        <v>2857</v>
      </c>
      <c r="B7525" t="s">
        <v>2865</v>
      </c>
      <c r="C7525" t="s">
        <v>1448</v>
      </c>
      <c r="D7525" t="s">
        <v>2916</v>
      </c>
      <c r="E7525">
        <v>23919</v>
      </c>
      <c r="F7525" s="11">
        <v>1</v>
      </c>
    </row>
    <row r="7526" spans="1:6" x14ac:dyDescent="0.35">
      <c r="A7526" t="s">
        <v>2857</v>
      </c>
      <c r="B7526" t="s">
        <v>2865</v>
      </c>
      <c r="C7526" t="s">
        <v>1448</v>
      </c>
      <c r="D7526" t="s">
        <v>2917</v>
      </c>
      <c r="E7526">
        <v>0</v>
      </c>
      <c r="F7526" s="11">
        <v>0</v>
      </c>
    </row>
    <row r="7527" spans="1:6" x14ac:dyDescent="0.35">
      <c r="A7527" t="s">
        <v>2857</v>
      </c>
      <c r="B7527" t="s">
        <v>2863</v>
      </c>
      <c r="C7527" t="s">
        <v>1551</v>
      </c>
      <c r="D7527" t="s">
        <v>2875</v>
      </c>
      <c r="E7527">
        <v>37096</v>
      </c>
      <c r="F7527" s="11">
        <v>1</v>
      </c>
    </row>
    <row r="7528" spans="1:6" x14ac:dyDescent="0.35">
      <c r="A7528" t="s">
        <v>2857</v>
      </c>
      <c r="B7528" t="s">
        <v>2863</v>
      </c>
      <c r="C7528" t="s">
        <v>1551</v>
      </c>
      <c r="D7528" t="s">
        <v>2876</v>
      </c>
      <c r="E7528">
        <v>7432</v>
      </c>
      <c r="F7528" s="11">
        <v>1</v>
      </c>
    </row>
    <row r="7529" spans="1:6" x14ac:dyDescent="0.35">
      <c r="A7529" t="s">
        <v>2857</v>
      </c>
      <c r="B7529" t="s">
        <v>2863</v>
      </c>
      <c r="C7529" t="s">
        <v>1551</v>
      </c>
      <c r="D7529" t="s">
        <v>2877</v>
      </c>
      <c r="E7529">
        <v>3512</v>
      </c>
      <c r="F7529" s="11">
        <v>1</v>
      </c>
    </row>
    <row r="7530" spans="1:6" x14ac:dyDescent="0.35">
      <c r="A7530" t="s">
        <v>2857</v>
      </c>
      <c r="B7530" t="s">
        <v>2863</v>
      </c>
      <c r="C7530" t="s">
        <v>1551</v>
      </c>
      <c r="D7530" t="s">
        <v>2878</v>
      </c>
      <c r="E7530">
        <v>26152</v>
      </c>
      <c r="F7530" s="11">
        <v>1</v>
      </c>
    </row>
    <row r="7531" spans="1:6" x14ac:dyDescent="0.35">
      <c r="A7531" t="s">
        <v>2857</v>
      </c>
      <c r="B7531" t="s">
        <v>2863</v>
      </c>
      <c r="C7531" t="s">
        <v>1551</v>
      </c>
      <c r="D7531" t="s">
        <v>2879</v>
      </c>
      <c r="E7531">
        <v>4946</v>
      </c>
      <c r="F7531" s="11">
        <v>1</v>
      </c>
    </row>
    <row r="7532" spans="1:6" x14ac:dyDescent="0.35">
      <c r="A7532" t="s">
        <v>2857</v>
      </c>
      <c r="B7532" t="s">
        <v>2863</v>
      </c>
      <c r="C7532" t="s">
        <v>1551</v>
      </c>
      <c r="D7532" t="s">
        <v>2880</v>
      </c>
      <c r="E7532">
        <v>1979</v>
      </c>
      <c r="F7532" s="11">
        <v>1</v>
      </c>
    </row>
    <row r="7533" spans="1:6" x14ac:dyDescent="0.35">
      <c r="A7533" t="s">
        <v>2857</v>
      </c>
      <c r="B7533" t="s">
        <v>2863</v>
      </c>
      <c r="C7533" t="s">
        <v>1551</v>
      </c>
      <c r="D7533" t="s">
        <v>2881</v>
      </c>
      <c r="E7533">
        <v>0</v>
      </c>
      <c r="F7533" s="11">
        <v>1</v>
      </c>
    </row>
    <row r="7534" spans="1:6" x14ac:dyDescent="0.35">
      <c r="A7534" t="s">
        <v>2857</v>
      </c>
      <c r="B7534" t="s">
        <v>2863</v>
      </c>
      <c r="C7534" t="s">
        <v>1551</v>
      </c>
      <c r="D7534" t="s">
        <v>2882</v>
      </c>
      <c r="E7534">
        <v>2967</v>
      </c>
      <c r="F7534" s="11">
        <v>0</v>
      </c>
    </row>
    <row r="7535" spans="1:6" x14ac:dyDescent="0.35">
      <c r="A7535" t="s">
        <v>2857</v>
      </c>
      <c r="B7535" t="s">
        <v>2863</v>
      </c>
      <c r="C7535" t="s">
        <v>1551</v>
      </c>
      <c r="D7535" t="s">
        <v>2883</v>
      </c>
      <c r="E7535">
        <v>85</v>
      </c>
      <c r="F7535" s="11">
        <v>1</v>
      </c>
    </row>
    <row r="7536" spans="1:6" x14ac:dyDescent="0.35">
      <c r="A7536" t="s">
        <v>2857</v>
      </c>
      <c r="B7536" t="s">
        <v>2863</v>
      </c>
      <c r="C7536" t="s">
        <v>1551</v>
      </c>
      <c r="D7536" t="s">
        <v>2884</v>
      </c>
      <c r="E7536">
        <v>0</v>
      </c>
      <c r="F7536" s="11">
        <v>1</v>
      </c>
    </row>
    <row r="7537" spans="1:6" x14ac:dyDescent="0.35">
      <c r="A7537" t="s">
        <v>2857</v>
      </c>
      <c r="B7537" t="s">
        <v>2863</v>
      </c>
      <c r="C7537" t="s">
        <v>1551</v>
      </c>
      <c r="D7537" t="s">
        <v>2885</v>
      </c>
      <c r="E7537">
        <v>0</v>
      </c>
      <c r="F7537" s="11">
        <v>0</v>
      </c>
    </row>
    <row r="7538" spans="1:6" x14ac:dyDescent="0.35">
      <c r="A7538" t="s">
        <v>2857</v>
      </c>
      <c r="B7538" t="s">
        <v>2863</v>
      </c>
      <c r="C7538" t="s">
        <v>1551</v>
      </c>
      <c r="D7538" t="s">
        <v>2886</v>
      </c>
      <c r="E7538">
        <v>85</v>
      </c>
      <c r="F7538" s="11">
        <v>0</v>
      </c>
    </row>
    <row r="7539" spans="1:6" x14ac:dyDescent="0.35">
      <c r="A7539" t="s">
        <v>2857</v>
      </c>
      <c r="B7539" t="s">
        <v>2863</v>
      </c>
      <c r="C7539" t="s">
        <v>1551</v>
      </c>
      <c r="D7539" t="s">
        <v>2887</v>
      </c>
      <c r="E7539">
        <v>82121</v>
      </c>
      <c r="F7539" s="11">
        <v>1</v>
      </c>
    </row>
    <row r="7540" spans="1:6" x14ac:dyDescent="0.35">
      <c r="A7540" t="s">
        <v>2857</v>
      </c>
      <c r="B7540" t="s">
        <v>2863</v>
      </c>
      <c r="C7540" t="s">
        <v>1551</v>
      </c>
      <c r="D7540" t="s">
        <v>2888</v>
      </c>
      <c r="E7540">
        <v>29998</v>
      </c>
      <c r="F7540" s="11">
        <v>1</v>
      </c>
    </row>
    <row r="7541" spans="1:6" x14ac:dyDescent="0.35">
      <c r="A7541" t="s">
        <v>2857</v>
      </c>
      <c r="B7541" t="s">
        <v>2863</v>
      </c>
      <c r="C7541" t="s">
        <v>1551</v>
      </c>
      <c r="D7541" t="s">
        <v>2889</v>
      </c>
      <c r="E7541">
        <v>0</v>
      </c>
      <c r="F7541" s="11">
        <v>1</v>
      </c>
    </row>
    <row r="7542" spans="1:6" x14ac:dyDescent="0.35">
      <c r="A7542" t="s">
        <v>2857</v>
      </c>
      <c r="B7542" t="s">
        <v>2863</v>
      </c>
      <c r="C7542" t="s">
        <v>1551</v>
      </c>
      <c r="D7542" t="s">
        <v>2890</v>
      </c>
      <c r="E7542">
        <v>51459</v>
      </c>
      <c r="F7542" s="11">
        <v>0</v>
      </c>
    </row>
    <row r="7543" spans="1:6" x14ac:dyDescent="0.35">
      <c r="A7543" t="s">
        <v>2857</v>
      </c>
      <c r="B7543" t="s">
        <v>2863</v>
      </c>
      <c r="C7543" t="s">
        <v>1551</v>
      </c>
      <c r="D7543" t="s">
        <v>2891</v>
      </c>
      <c r="E7543">
        <v>157</v>
      </c>
      <c r="F7543" s="11">
        <v>1</v>
      </c>
    </row>
    <row r="7544" spans="1:6" x14ac:dyDescent="0.35">
      <c r="A7544" t="s">
        <v>2857</v>
      </c>
      <c r="B7544" t="s">
        <v>2863</v>
      </c>
      <c r="C7544" t="s">
        <v>1551</v>
      </c>
      <c r="D7544" t="s">
        <v>2892</v>
      </c>
      <c r="E7544">
        <v>0</v>
      </c>
      <c r="F7544" s="11">
        <v>1</v>
      </c>
    </row>
    <row r="7545" spans="1:6" x14ac:dyDescent="0.35">
      <c r="A7545" t="s">
        <v>2857</v>
      </c>
      <c r="B7545" t="s">
        <v>2863</v>
      </c>
      <c r="C7545" t="s">
        <v>1551</v>
      </c>
      <c r="D7545" t="s">
        <v>2893</v>
      </c>
      <c r="E7545">
        <v>0</v>
      </c>
      <c r="F7545" s="11">
        <v>0</v>
      </c>
    </row>
    <row r="7546" spans="1:6" x14ac:dyDescent="0.35">
      <c r="A7546" t="s">
        <v>2857</v>
      </c>
      <c r="B7546" t="s">
        <v>2863</v>
      </c>
      <c r="C7546" t="s">
        <v>1551</v>
      </c>
      <c r="D7546" t="s">
        <v>2894</v>
      </c>
      <c r="E7546">
        <v>157</v>
      </c>
      <c r="F7546" s="11">
        <v>0</v>
      </c>
    </row>
    <row r="7547" spans="1:6" x14ac:dyDescent="0.35">
      <c r="A7547" t="s">
        <v>2857</v>
      </c>
      <c r="B7547" t="s">
        <v>2863</v>
      </c>
      <c r="C7547" t="s">
        <v>1551</v>
      </c>
      <c r="D7547" t="s">
        <v>2895</v>
      </c>
      <c r="E7547">
        <v>378974</v>
      </c>
      <c r="F7547" s="11">
        <v>1</v>
      </c>
    </row>
    <row r="7548" spans="1:6" x14ac:dyDescent="0.35">
      <c r="A7548" t="s">
        <v>2857</v>
      </c>
      <c r="B7548" t="s">
        <v>2863</v>
      </c>
      <c r="C7548" t="s">
        <v>1551</v>
      </c>
      <c r="D7548" t="s">
        <v>2896</v>
      </c>
      <c r="E7548">
        <v>196549</v>
      </c>
      <c r="F7548" s="11">
        <v>1</v>
      </c>
    </row>
    <row r="7549" spans="1:6" x14ac:dyDescent="0.35">
      <c r="A7549" t="s">
        <v>2857</v>
      </c>
      <c r="B7549" t="s">
        <v>2863</v>
      </c>
      <c r="C7549" t="s">
        <v>1551</v>
      </c>
      <c r="D7549" t="s">
        <v>2897</v>
      </c>
      <c r="E7549">
        <v>11449</v>
      </c>
      <c r="F7549" s="11">
        <v>1</v>
      </c>
    </row>
    <row r="7550" spans="1:6" x14ac:dyDescent="0.35">
      <c r="A7550" t="s">
        <v>2857</v>
      </c>
      <c r="B7550" t="s">
        <v>2863</v>
      </c>
      <c r="C7550" t="s">
        <v>1551</v>
      </c>
      <c r="D7550" t="s">
        <v>2898</v>
      </c>
      <c r="E7550">
        <v>170976</v>
      </c>
      <c r="F7550" s="11">
        <v>1</v>
      </c>
    </row>
    <row r="7551" spans="1:6" x14ac:dyDescent="0.35">
      <c r="A7551" t="s">
        <v>2857</v>
      </c>
      <c r="B7551" t="s">
        <v>2863</v>
      </c>
      <c r="C7551" t="s">
        <v>1551</v>
      </c>
      <c r="D7551" t="s">
        <v>2899</v>
      </c>
      <c r="E7551">
        <v>5670</v>
      </c>
      <c r="F7551" s="11">
        <v>1</v>
      </c>
    </row>
    <row r="7552" spans="1:6" x14ac:dyDescent="0.35">
      <c r="A7552" t="s">
        <v>2857</v>
      </c>
      <c r="B7552" t="s">
        <v>2863</v>
      </c>
      <c r="C7552" t="s">
        <v>1551</v>
      </c>
      <c r="D7552" t="s">
        <v>2900</v>
      </c>
      <c r="E7552">
        <v>716</v>
      </c>
      <c r="F7552" s="11">
        <v>1</v>
      </c>
    </row>
    <row r="7553" spans="1:6" x14ac:dyDescent="0.35">
      <c r="A7553" t="s">
        <v>2857</v>
      </c>
      <c r="B7553" t="s">
        <v>2863</v>
      </c>
      <c r="C7553" t="s">
        <v>1551</v>
      </c>
      <c r="D7553" t="s">
        <v>2901</v>
      </c>
      <c r="E7553">
        <v>0</v>
      </c>
      <c r="F7553" s="11">
        <v>1</v>
      </c>
    </row>
    <row r="7554" spans="1:6" x14ac:dyDescent="0.35">
      <c r="A7554" t="s">
        <v>2857</v>
      </c>
      <c r="B7554" t="s">
        <v>2863</v>
      </c>
      <c r="C7554" t="s">
        <v>1551</v>
      </c>
      <c r="D7554" t="s">
        <v>2902</v>
      </c>
      <c r="E7554">
        <v>4954</v>
      </c>
      <c r="F7554" s="11">
        <v>0</v>
      </c>
    </row>
    <row r="7555" spans="1:6" x14ac:dyDescent="0.35">
      <c r="A7555" t="s">
        <v>2857</v>
      </c>
      <c r="B7555" t="s">
        <v>2863</v>
      </c>
      <c r="C7555" t="s">
        <v>1551</v>
      </c>
      <c r="D7555" t="s">
        <v>2903</v>
      </c>
      <c r="E7555">
        <v>27545</v>
      </c>
      <c r="F7555" s="11">
        <v>1</v>
      </c>
    </row>
    <row r="7556" spans="1:6" x14ac:dyDescent="0.35">
      <c r="A7556" t="s">
        <v>2857</v>
      </c>
      <c r="B7556" t="s">
        <v>2863</v>
      </c>
      <c r="C7556" t="s">
        <v>1551</v>
      </c>
      <c r="D7556" t="s">
        <v>2904</v>
      </c>
      <c r="E7556">
        <v>2128</v>
      </c>
      <c r="F7556" s="11">
        <v>1</v>
      </c>
    </row>
    <row r="7557" spans="1:6" x14ac:dyDescent="0.35">
      <c r="A7557" t="s">
        <v>2857</v>
      </c>
      <c r="B7557" t="s">
        <v>2863</v>
      </c>
      <c r="C7557" t="s">
        <v>1551</v>
      </c>
      <c r="D7557" t="s">
        <v>2905</v>
      </c>
      <c r="E7557">
        <v>1663</v>
      </c>
      <c r="F7557" s="11">
        <v>1</v>
      </c>
    </row>
    <row r="7558" spans="1:6" x14ac:dyDescent="0.35">
      <c r="A7558" t="s">
        <v>2857</v>
      </c>
      <c r="B7558" t="s">
        <v>2863</v>
      </c>
      <c r="C7558" t="s">
        <v>1551</v>
      </c>
      <c r="D7558" t="s">
        <v>2906</v>
      </c>
      <c r="E7558">
        <v>23754</v>
      </c>
      <c r="F7558" s="11">
        <v>1</v>
      </c>
    </row>
    <row r="7559" spans="1:6" x14ac:dyDescent="0.35">
      <c r="A7559" t="s">
        <v>2857</v>
      </c>
      <c r="B7559" t="s">
        <v>2863</v>
      </c>
      <c r="C7559" t="s">
        <v>1551</v>
      </c>
      <c r="D7559" t="s">
        <v>2907</v>
      </c>
      <c r="E7559">
        <v>43867</v>
      </c>
      <c r="F7559" s="11">
        <v>1</v>
      </c>
    </row>
    <row r="7560" spans="1:6" x14ac:dyDescent="0.35">
      <c r="A7560" t="s">
        <v>2857</v>
      </c>
      <c r="B7560" t="s">
        <v>2863</v>
      </c>
      <c r="C7560" t="s">
        <v>1551</v>
      </c>
      <c r="D7560" t="s">
        <v>2908</v>
      </c>
      <c r="E7560">
        <v>5745</v>
      </c>
      <c r="F7560" s="11">
        <v>1</v>
      </c>
    </row>
    <row r="7561" spans="1:6" x14ac:dyDescent="0.35">
      <c r="A7561" t="s">
        <v>2857</v>
      </c>
      <c r="B7561" t="s">
        <v>2863</v>
      </c>
      <c r="C7561" t="s">
        <v>1551</v>
      </c>
      <c r="D7561" t="s">
        <v>2909</v>
      </c>
      <c r="E7561">
        <v>2231</v>
      </c>
      <c r="F7561" s="11">
        <v>1</v>
      </c>
    </row>
    <row r="7562" spans="1:6" x14ac:dyDescent="0.35">
      <c r="A7562" t="s">
        <v>2857</v>
      </c>
      <c r="B7562" t="s">
        <v>2863</v>
      </c>
      <c r="C7562" t="s">
        <v>1551</v>
      </c>
      <c r="D7562" t="s">
        <v>2910</v>
      </c>
      <c r="E7562">
        <v>35891</v>
      </c>
      <c r="F7562" s="11">
        <v>1</v>
      </c>
    </row>
    <row r="7563" spans="1:6" x14ac:dyDescent="0.35">
      <c r="A7563" t="s">
        <v>2857</v>
      </c>
      <c r="B7563" t="s">
        <v>2863</v>
      </c>
      <c r="C7563" t="s">
        <v>1551</v>
      </c>
      <c r="D7563" t="s">
        <v>2911</v>
      </c>
      <c r="E7563">
        <v>472612</v>
      </c>
      <c r="F7563" s="11">
        <v>1</v>
      </c>
    </row>
    <row r="7564" spans="1:6" x14ac:dyDescent="0.35">
      <c r="A7564" t="s">
        <v>2857</v>
      </c>
      <c r="B7564" t="s">
        <v>2863</v>
      </c>
      <c r="C7564" t="s">
        <v>1551</v>
      </c>
      <c r="D7564" t="s">
        <v>2912</v>
      </c>
      <c r="E7564">
        <v>144985</v>
      </c>
      <c r="F7564" s="11">
        <v>1</v>
      </c>
    </row>
    <row r="7565" spans="1:6" x14ac:dyDescent="0.35">
      <c r="A7565" t="s">
        <v>2857</v>
      </c>
      <c r="B7565" t="s">
        <v>2863</v>
      </c>
      <c r="C7565" t="s">
        <v>1551</v>
      </c>
      <c r="D7565" t="s">
        <v>2913</v>
      </c>
      <c r="E7565">
        <v>0</v>
      </c>
      <c r="F7565" s="11">
        <v>0</v>
      </c>
    </row>
    <row r="7566" spans="1:6" x14ac:dyDescent="0.35">
      <c r="A7566" t="s">
        <v>2857</v>
      </c>
      <c r="B7566" t="s">
        <v>2863</v>
      </c>
      <c r="C7566" t="s">
        <v>1551</v>
      </c>
      <c r="D7566" t="s">
        <v>2914</v>
      </c>
      <c r="E7566">
        <v>0</v>
      </c>
      <c r="F7566" s="11">
        <v>0</v>
      </c>
    </row>
    <row r="7567" spans="1:6" x14ac:dyDescent="0.35">
      <c r="A7567" t="s">
        <v>2857</v>
      </c>
      <c r="B7567" t="s">
        <v>2863</v>
      </c>
      <c r="C7567" t="s">
        <v>1551</v>
      </c>
      <c r="D7567" t="s">
        <v>2915</v>
      </c>
      <c r="E7567">
        <v>0</v>
      </c>
      <c r="F7567" s="11">
        <v>0</v>
      </c>
    </row>
    <row r="7568" spans="1:6" x14ac:dyDescent="0.35">
      <c r="A7568" t="s">
        <v>2857</v>
      </c>
      <c r="B7568" t="s">
        <v>2863</v>
      </c>
      <c r="C7568" t="s">
        <v>1551</v>
      </c>
      <c r="D7568" t="s">
        <v>2916</v>
      </c>
      <c r="E7568">
        <v>101777</v>
      </c>
      <c r="F7568" s="11">
        <v>1</v>
      </c>
    </row>
    <row r="7569" spans="1:6" x14ac:dyDescent="0.35">
      <c r="A7569" t="s">
        <v>2857</v>
      </c>
      <c r="B7569" t="s">
        <v>2863</v>
      </c>
      <c r="C7569" t="s">
        <v>1551</v>
      </c>
      <c r="D7569" t="s">
        <v>2917</v>
      </c>
      <c r="E7569">
        <v>0</v>
      </c>
      <c r="F7569" s="11">
        <v>0</v>
      </c>
    </row>
    <row r="7570" spans="1:6" x14ac:dyDescent="0.35">
      <c r="A7570" t="s">
        <v>2857</v>
      </c>
      <c r="B7570" t="s">
        <v>2863</v>
      </c>
      <c r="C7570" t="s">
        <v>1503</v>
      </c>
      <c r="D7570" t="s">
        <v>2875</v>
      </c>
      <c r="E7570">
        <v>101421</v>
      </c>
      <c r="F7570" s="11">
        <v>1</v>
      </c>
    </row>
    <row r="7571" spans="1:6" x14ac:dyDescent="0.35">
      <c r="A7571" t="s">
        <v>2857</v>
      </c>
      <c r="B7571" t="s">
        <v>2863</v>
      </c>
      <c r="C7571" t="s">
        <v>1503</v>
      </c>
      <c r="D7571" t="s">
        <v>2876</v>
      </c>
      <c r="E7571">
        <v>33206</v>
      </c>
      <c r="F7571" s="11">
        <v>1</v>
      </c>
    </row>
    <row r="7572" spans="1:6" x14ac:dyDescent="0.35">
      <c r="A7572" t="s">
        <v>2857</v>
      </c>
      <c r="B7572" t="s">
        <v>2863</v>
      </c>
      <c r="C7572" t="s">
        <v>1503</v>
      </c>
      <c r="D7572" t="s">
        <v>2877</v>
      </c>
      <c r="E7572">
        <v>7059</v>
      </c>
      <c r="F7572" s="11">
        <v>1</v>
      </c>
    </row>
    <row r="7573" spans="1:6" x14ac:dyDescent="0.35">
      <c r="A7573" t="s">
        <v>2857</v>
      </c>
      <c r="B7573" t="s">
        <v>2863</v>
      </c>
      <c r="C7573" t="s">
        <v>1503</v>
      </c>
      <c r="D7573" t="s">
        <v>2878</v>
      </c>
      <c r="E7573">
        <v>61156</v>
      </c>
      <c r="F7573" s="11">
        <v>1</v>
      </c>
    </row>
    <row r="7574" spans="1:6" x14ac:dyDescent="0.35">
      <c r="A7574" t="s">
        <v>2857</v>
      </c>
      <c r="B7574" t="s">
        <v>2863</v>
      </c>
      <c r="C7574" t="s">
        <v>1503</v>
      </c>
      <c r="D7574" t="s">
        <v>2879</v>
      </c>
      <c r="E7574">
        <v>20573</v>
      </c>
      <c r="F7574" s="11">
        <v>1</v>
      </c>
    </row>
    <row r="7575" spans="1:6" x14ac:dyDescent="0.35">
      <c r="A7575" t="s">
        <v>2857</v>
      </c>
      <c r="B7575" t="s">
        <v>2863</v>
      </c>
      <c r="C7575" t="s">
        <v>1503</v>
      </c>
      <c r="D7575" t="s">
        <v>2880</v>
      </c>
      <c r="E7575">
        <v>0</v>
      </c>
      <c r="F7575" s="11">
        <v>0</v>
      </c>
    </row>
    <row r="7576" spans="1:6" x14ac:dyDescent="0.35">
      <c r="A7576" t="s">
        <v>2857</v>
      </c>
      <c r="B7576" t="s">
        <v>2863</v>
      </c>
      <c r="C7576" t="s">
        <v>1503</v>
      </c>
      <c r="D7576" t="s">
        <v>2881</v>
      </c>
      <c r="E7576">
        <v>0</v>
      </c>
      <c r="F7576" s="11">
        <v>0</v>
      </c>
    </row>
    <row r="7577" spans="1:6" x14ac:dyDescent="0.35">
      <c r="A7577" t="s">
        <v>2857</v>
      </c>
      <c r="B7577" t="s">
        <v>2863</v>
      </c>
      <c r="C7577" t="s">
        <v>1503</v>
      </c>
      <c r="D7577" t="s">
        <v>2882</v>
      </c>
      <c r="E7577">
        <v>0</v>
      </c>
      <c r="F7577" s="11">
        <v>0</v>
      </c>
    </row>
    <row r="7578" spans="1:6" x14ac:dyDescent="0.35">
      <c r="A7578" t="s">
        <v>2857</v>
      </c>
      <c r="B7578" t="s">
        <v>2863</v>
      </c>
      <c r="C7578" t="s">
        <v>1503</v>
      </c>
      <c r="D7578" t="s">
        <v>2883</v>
      </c>
      <c r="E7578">
        <v>241</v>
      </c>
      <c r="F7578" s="11">
        <v>1</v>
      </c>
    </row>
    <row r="7579" spans="1:6" x14ac:dyDescent="0.35">
      <c r="A7579" t="s">
        <v>2857</v>
      </c>
      <c r="B7579" t="s">
        <v>2863</v>
      </c>
      <c r="C7579" t="s">
        <v>1503</v>
      </c>
      <c r="D7579" t="s">
        <v>2884</v>
      </c>
      <c r="E7579">
        <v>0</v>
      </c>
      <c r="F7579" s="11">
        <v>0</v>
      </c>
    </row>
    <row r="7580" spans="1:6" x14ac:dyDescent="0.35">
      <c r="A7580" t="s">
        <v>2857</v>
      </c>
      <c r="B7580" t="s">
        <v>2863</v>
      </c>
      <c r="C7580" t="s">
        <v>1503</v>
      </c>
      <c r="D7580" t="s">
        <v>2885</v>
      </c>
      <c r="E7580">
        <v>0</v>
      </c>
      <c r="F7580" s="11">
        <v>0</v>
      </c>
    </row>
    <row r="7581" spans="1:6" x14ac:dyDescent="0.35">
      <c r="A7581" t="s">
        <v>2857</v>
      </c>
      <c r="B7581" t="s">
        <v>2863</v>
      </c>
      <c r="C7581" t="s">
        <v>1503</v>
      </c>
      <c r="D7581" t="s">
        <v>2886</v>
      </c>
      <c r="E7581">
        <v>0</v>
      </c>
      <c r="F7581" s="11">
        <v>0</v>
      </c>
    </row>
    <row r="7582" spans="1:6" x14ac:dyDescent="0.35">
      <c r="A7582" t="s">
        <v>2857</v>
      </c>
      <c r="B7582" t="s">
        <v>2863</v>
      </c>
      <c r="C7582" t="s">
        <v>1503</v>
      </c>
      <c r="D7582" t="s">
        <v>2887</v>
      </c>
      <c r="E7582">
        <v>329187</v>
      </c>
      <c r="F7582" s="11">
        <v>1</v>
      </c>
    </row>
    <row r="7583" spans="1:6" x14ac:dyDescent="0.35">
      <c r="A7583" t="s">
        <v>2857</v>
      </c>
      <c r="B7583" t="s">
        <v>2863</v>
      </c>
      <c r="C7583" t="s">
        <v>1503</v>
      </c>
      <c r="D7583" t="s">
        <v>2888</v>
      </c>
      <c r="E7583">
        <v>0</v>
      </c>
      <c r="F7583" s="11">
        <v>0</v>
      </c>
    </row>
    <row r="7584" spans="1:6" x14ac:dyDescent="0.35">
      <c r="A7584" t="s">
        <v>2857</v>
      </c>
      <c r="B7584" t="s">
        <v>2863</v>
      </c>
      <c r="C7584" t="s">
        <v>1503</v>
      </c>
      <c r="D7584" t="s">
        <v>2889</v>
      </c>
      <c r="E7584">
        <v>0</v>
      </c>
      <c r="F7584" s="11">
        <v>0</v>
      </c>
    </row>
    <row r="7585" spans="1:6" x14ac:dyDescent="0.35">
      <c r="A7585" t="s">
        <v>2857</v>
      </c>
      <c r="B7585" t="s">
        <v>2863</v>
      </c>
      <c r="C7585" t="s">
        <v>1503</v>
      </c>
      <c r="D7585" t="s">
        <v>2890</v>
      </c>
      <c r="E7585">
        <v>0</v>
      </c>
      <c r="F7585" s="11">
        <v>0</v>
      </c>
    </row>
    <row r="7586" spans="1:6" x14ac:dyDescent="0.35">
      <c r="A7586" t="s">
        <v>2857</v>
      </c>
      <c r="B7586" t="s">
        <v>2863</v>
      </c>
      <c r="C7586" t="s">
        <v>1503</v>
      </c>
      <c r="D7586" t="s">
        <v>2891</v>
      </c>
      <c r="E7586">
        <v>7339</v>
      </c>
      <c r="F7586" s="11">
        <v>1</v>
      </c>
    </row>
    <row r="7587" spans="1:6" x14ac:dyDescent="0.35">
      <c r="A7587" t="s">
        <v>2857</v>
      </c>
      <c r="B7587" t="s">
        <v>2863</v>
      </c>
      <c r="C7587" t="s">
        <v>1503</v>
      </c>
      <c r="D7587" t="s">
        <v>2892</v>
      </c>
      <c r="E7587">
        <v>0</v>
      </c>
      <c r="F7587" s="11">
        <v>0</v>
      </c>
    </row>
    <row r="7588" spans="1:6" x14ac:dyDescent="0.35">
      <c r="A7588" t="s">
        <v>2857</v>
      </c>
      <c r="B7588" t="s">
        <v>2863</v>
      </c>
      <c r="C7588" t="s">
        <v>1503</v>
      </c>
      <c r="D7588" t="s">
        <v>2893</v>
      </c>
      <c r="E7588">
        <v>0</v>
      </c>
      <c r="F7588" s="11">
        <v>0</v>
      </c>
    </row>
    <row r="7589" spans="1:6" x14ac:dyDescent="0.35">
      <c r="A7589" t="s">
        <v>2857</v>
      </c>
      <c r="B7589" t="s">
        <v>2863</v>
      </c>
      <c r="C7589" t="s">
        <v>1503</v>
      </c>
      <c r="D7589" t="s">
        <v>2894</v>
      </c>
      <c r="E7589">
        <v>0</v>
      </c>
      <c r="F7589" s="11">
        <v>0</v>
      </c>
    </row>
    <row r="7590" spans="1:6" x14ac:dyDescent="0.35">
      <c r="A7590" t="s">
        <v>2857</v>
      </c>
      <c r="B7590" t="s">
        <v>2863</v>
      </c>
      <c r="C7590" t="s">
        <v>1503</v>
      </c>
      <c r="D7590" t="s">
        <v>2895</v>
      </c>
      <c r="E7590">
        <v>1859058</v>
      </c>
      <c r="F7590" s="11">
        <v>1</v>
      </c>
    </row>
    <row r="7591" spans="1:6" x14ac:dyDescent="0.35">
      <c r="A7591" t="s">
        <v>2857</v>
      </c>
      <c r="B7591" t="s">
        <v>2863</v>
      </c>
      <c r="C7591" t="s">
        <v>1503</v>
      </c>
      <c r="D7591" t="s">
        <v>2896</v>
      </c>
      <c r="E7591">
        <v>881405</v>
      </c>
      <c r="F7591" s="11">
        <v>1</v>
      </c>
    </row>
    <row r="7592" spans="1:6" x14ac:dyDescent="0.35">
      <c r="A7592" t="s">
        <v>2857</v>
      </c>
      <c r="B7592" t="s">
        <v>2863</v>
      </c>
      <c r="C7592" t="s">
        <v>1503</v>
      </c>
      <c r="D7592" t="s">
        <v>2897</v>
      </c>
      <c r="E7592">
        <v>17616</v>
      </c>
      <c r="F7592" s="11">
        <v>1</v>
      </c>
    </row>
    <row r="7593" spans="1:6" x14ac:dyDescent="0.35">
      <c r="A7593" t="s">
        <v>2857</v>
      </c>
      <c r="B7593" t="s">
        <v>2863</v>
      </c>
      <c r="C7593" t="s">
        <v>1503</v>
      </c>
      <c r="D7593" t="s">
        <v>2898</v>
      </c>
      <c r="E7593">
        <v>960037</v>
      </c>
      <c r="F7593" s="11">
        <v>1</v>
      </c>
    </row>
    <row r="7594" spans="1:6" x14ac:dyDescent="0.35">
      <c r="A7594" t="s">
        <v>2857</v>
      </c>
      <c r="B7594" t="s">
        <v>2863</v>
      </c>
      <c r="C7594" t="s">
        <v>1503</v>
      </c>
      <c r="D7594" t="s">
        <v>2899</v>
      </c>
      <c r="E7594">
        <v>30445</v>
      </c>
      <c r="F7594" s="11">
        <v>1</v>
      </c>
    </row>
    <row r="7595" spans="1:6" x14ac:dyDescent="0.35">
      <c r="A7595" t="s">
        <v>2857</v>
      </c>
      <c r="B7595" t="s">
        <v>2863</v>
      </c>
      <c r="C7595" t="s">
        <v>1503</v>
      </c>
      <c r="D7595" t="s">
        <v>2900</v>
      </c>
      <c r="E7595">
        <v>3890</v>
      </c>
      <c r="F7595" s="11">
        <v>1</v>
      </c>
    </row>
    <row r="7596" spans="1:6" x14ac:dyDescent="0.35">
      <c r="A7596" t="s">
        <v>2857</v>
      </c>
      <c r="B7596" t="s">
        <v>2863</v>
      </c>
      <c r="C7596" t="s">
        <v>1503</v>
      </c>
      <c r="D7596" t="s">
        <v>2901</v>
      </c>
      <c r="E7596">
        <v>0</v>
      </c>
      <c r="F7596" s="11">
        <v>1</v>
      </c>
    </row>
    <row r="7597" spans="1:6" x14ac:dyDescent="0.35">
      <c r="A7597" t="s">
        <v>2857</v>
      </c>
      <c r="B7597" t="s">
        <v>2863</v>
      </c>
      <c r="C7597" t="s">
        <v>1503</v>
      </c>
      <c r="D7597" t="s">
        <v>2902</v>
      </c>
      <c r="E7597">
        <v>26555</v>
      </c>
      <c r="F7597" s="11">
        <v>0</v>
      </c>
    </row>
    <row r="7598" spans="1:6" x14ac:dyDescent="0.35">
      <c r="A7598" t="s">
        <v>2857</v>
      </c>
      <c r="B7598" t="s">
        <v>2863</v>
      </c>
      <c r="C7598" t="s">
        <v>1503</v>
      </c>
      <c r="D7598" t="s">
        <v>2903</v>
      </c>
      <c r="E7598">
        <v>100445</v>
      </c>
      <c r="F7598" s="11">
        <v>1</v>
      </c>
    </row>
    <row r="7599" spans="1:6" x14ac:dyDescent="0.35">
      <c r="A7599" t="s">
        <v>2857</v>
      </c>
      <c r="B7599" t="s">
        <v>2863</v>
      </c>
      <c r="C7599" t="s">
        <v>1503</v>
      </c>
      <c r="D7599" t="s">
        <v>2904</v>
      </c>
      <c r="E7599">
        <v>8574</v>
      </c>
      <c r="F7599" s="11">
        <v>1</v>
      </c>
    </row>
    <row r="7600" spans="1:6" x14ac:dyDescent="0.35">
      <c r="A7600" t="s">
        <v>2857</v>
      </c>
      <c r="B7600" t="s">
        <v>2863</v>
      </c>
      <c r="C7600" t="s">
        <v>1503</v>
      </c>
      <c r="D7600" t="s">
        <v>2905</v>
      </c>
      <c r="E7600">
        <v>3407</v>
      </c>
      <c r="F7600" s="11">
        <v>1</v>
      </c>
    </row>
    <row r="7601" spans="1:6" x14ac:dyDescent="0.35">
      <c r="A7601" t="s">
        <v>2857</v>
      </c>
      <c r="B7601" t="s">
        <v>2863</v>
      </c>
      <c r="C7601" t="s">
        <v>1503</v>
      </c>
      <c r="D7601" t="s">
        <v>2906</v>
      </c>
      <c r="E7601">
        <v>88374</v>
      </c>
      <c r="F7601" s="11">
        <v>1</v>
      </c>
    </row>
    <row r="7602" spans="1:6" x14ac:dyDescent="0.35">
      <c r="A7602" t="s">
        <v>2857</v>
      </c>
      <c r="B7602" t="s">
        <v>2863</v>
      </c>
      <c r="C7602" t="s">
        <v>1503</v>
      </c>
      <c r="D7602" t="s">
        <v>2907</v>
      </c>
      <c r="E7602">
        <v>159552</v>
      </c>
      <c r="F7602" s="11">
        <v>1</v>
      </c>
    </row>
    <row r="7603" spans="1:6" x14ac:dyDescent="0.35">
      <c r="A7603" t="s">
        <v>2857</v>
      </c>
      <c r="B7603" t="s">
        <v>2863</v>
      </c>
      <c r="C7603" t="s">
        <v>1503</v>
      </c>
      <c r="D7603" t="s">
        <v>2908</v>
      </c>
      <c r="E7603">
        <v>19605</v>
      </c>
      <c r="F7603" s="11">
        <v>1</v>
      </c>
    </row>
    <row r="7604" spans="1:6" x14ac:dyDescent="0.35">
      <c r="A7604" t="s">
        <v>2857</v>
      </c>
      <c r="B7604" t="s">
        <v>2863</v>
      </c>
      <c r="C7604" t="s">
        <v>1503</v>
      </c>
      <c r="D7604" t="s">
        <v>2909</v>
      </c>
      <c r="E7604">
        <v>5504</v>
      </c>
      <c r="F7604" s="11">
        <v>1</v>
      </c>
    </row>
    <row r="7605" spans="1:6" x14ac:dyDescent="0.35">
      <c r="A7605" t="s">
        <v>2857</v>
      </c>
      <c r="B7605" t="s">
        <v>2863</v>
      </c>
      <c r="C7605" t="s">
        <v>1503</v>
      </c>
      <c r="D7605" t="s">
        <v>2910</v>
      </c>
      <c r="E7605">
        <v>134443</v>
      </c>
      <c r="F7605" s="11">
        <v>1</v>
      </c>
    </row>
    <row r="7606" spans="1:6" x14ac:dyDescent="0.35">
      <c r="A7606" t="s">
        <v>2857</v>
      </c>
      <c r="B7606" t="s">
        <v>2863</v>
      </c>
      <c r="C7606" t="s">
        <v>1503</v>
      </c>
      <c r="D7606" t="s">
        <v>2911</v>
      </c>
      <c r="E7606">
        <v>1854225</v>
      </c>
      <c r="F7606" s="11">
        <v>1</v>
      </c>
    </row>
    <row r="7607" spans="1:6" x14ac:dyDescent="0.35">
      <c r="A7607" t="s">
        <v>2857</v>
      </c>
      <c r="B7607" t="s">
        <v>2863</v>
      </c>
      <c r="C7607" t="s">
        <v>1503</v>
      </c>
      <c r="D7607" t="s">
        <v>2912</v>
      </c>
      <c r="E7607">
        <v>0</v>
      </c>
      <c r="F7607" s="11">
        <v>0</v>
      </c>
    </row>
    <row r="7608" spans="1:6" x14ac:dyDescent="0.35">
      <c r="A7608" t="s">
        <v>2857</v>
      </c>
      <c r="B7608" t="s">
        <v>2863</v>
      </c>
      <c r="C7608" t="s">
        <v>1503</v>
      </c>
      <c r="D7608" t="s">
        <v>2913</v>
      </c>
      <c r="E7608">
        <v>0</v>
      </c>
      <c r="F7608" s="11">
        <v>0</v>
      </c>
    </row>
    <row r="7609" spans="1:6" x14ac:dyDescent="0.35">
      <c r="A7609" t="s">
        <v>2857</v>
      </c>
      <c r="B7609" t="s">
        <v>2863</v>
      </c>
      <c r="C7609" t="s">
        <v>1503</v>
      </c>
      <c r="D7609" t="s">
        <v>2914</v>
      </c>
      <c r="E7609">
        <v>25378</v>
      </c>
      <c r="F7609" s="11">
        <v>1</v>
      </c>
    </row>
    <row r="7610" spans="1:6" x14ac:dyDescent="0.35">
      <c r="A7610" t="s">
        <v>2857</v>
      </c>
      <c r="B7610" t="s">
        <v>2863</v>
      </c>
      <c r="C7610" t="s">
        <v>1503</v>
      </c>
      <c r="D7610" t="s">
        <v>2915</v>
      </c>
      <c r="E7610">
        <v>0</v>
      </c>
      <c r="F7610" s="11">
        <v>0</v>
      </c>
    </row>
    <row r="7611" spans="1:6" x14ac:dyDescent="0.35">
      <c r="A7611" t="s">
        <v>2857</v>
      </c>
      <c r="B7611" t="s">
        <v>2863</v>
      </c>
      <c r="C7611" t="s">
        <v>1503</v>
      </c>
      <c r="D7611" t="s">
        <v>2916</v>
      </c>
      <c r="E7611">
        <v>104987</v>
      </c>
      <c r="F7611" s="11">
        <v>1</v>
      </c>
    </row>
    <row r="7612" spans="1:6" x14ac:dyDescent="0.35">
      <c r="A7612" t="s">
        <v>2857</v>
      </c>
      <c r="B7612" t="s">
        <v>2863</v>
      </c>
      <c r="C7612" t="s">
        <v>1503</v>
      </c>
      <c r="D7612" t="s">
        <v>2917</v>
      </c>
      <c r="E7612">
        <v>583556</v>
      </c>
      <c r="F7612" s="11">
        <v>1</v>
      </c>
    </row>
    <row r="7613" spans="1:6" x14ac:dyDescent="0.35">
      <c r="A7613" t="s">
        <v>2857</v>
      </c>
      <c r="B7613" t="s">
        <v>2865</v>
      </c>
      <c r="C7613" t="s">
        <v>1544</v>
      </c>
      <c r="D7613" t="s">
        <v>2875</v>
      </c>
      <c r="E7613">
        <v>15849</v>
      </c>
      <c r="F7613" s="11">
        <v>1</v>
      </c>
    </row>
    <row r="7614" spans="1:6" x14ac:dyDescent="0.35">
      <c r="A7614" t="s">
        <v>2857</v>
      </c>
      <c r="B7614" t="s">
        <v>2865</v>
      </c>
      <c r="C7614" t="s">
        <v>1544</v>
      </c>
      <c r="D7614" t="s">
        <v>2876</v>
      </c>
      <c r="E7614">
        <v>5240</v>
      </c>
      <c r="F7614" s="11">
        <v>1</v>
      </c>
    </row>
    <row r="7615" spans="1:6" x14ac:dyDescent="0.35">
      <c r="A7615" t="s">
        <v>2857</v>
      </c>
      <c r="B7615" t="s">
        <v>2865</v>
      </c>
      <c r="C7615" t="s">
        <v>1544</v>
      </c>
      <c r="D7615" t="s">
        <v>2877</v>
      </c>
      <c r="E7615">
        <v>1292</v>
      </c>
      <c r="F7615" s="11">
        <v>1</v>
      </c>
    </row>
    <row r="7616" spans="1:6" x14ac:dyDescent="0.35">
      <c r="A7616" t="s">
        <v>2857</v>
      </c>
      <c r="B7616" t="s">
        <v>2865</v>
      </c>
      <c r="C7616" t="s">
        <v>1544</v>
      </c>
      <c r="D7616" t="s">
        <v>2878</v>
      </c>
      <c r="E7616">
        <v>9317</v>
      </c>
      <c r="F7616" s="11">
        <v>1</v>
      </c>
    </row>
    <row r="7617" spans="1:6" x14ac:dyDescent="0.35">
      <c r="A7617" t="s">
        <v>2857</v>
      </c>
      <c r="B7617" t="s">
        <v>2865</v>
      </c>
      <c r="C7617" t="s">
        <v>1544</v>
      </c>
      <c r="D7617" t="s">
        <v>2879</v>
      </c>
      <c r="E7617">
        <v>4658</v>
      </c>
      <c r="F7617" s="11">
        <v>1</v>
      </c>
    </row>
    <row r="7618" spans="1:6" x14ac:dyDescent="0.35">
      <c r="A7618" t="s">
        <v>2857</v>
      </c>
      <c r="B7618" t="s">
        <v>2865</v>
      </c>
      <c r="C7618" t="s">
        <v>1544</v>
      </c>
      <c r="D7618" t="s">
        <v>2880</v>
      </c>
      <c r="E7618">
        <v>320</v>
      </c>
      <c r="F7618" s="11">
        <v>1</v>
      </c>
    </row>
    <row r="7619" spans="1:6" x14ac:dyDescent="0.35">
      <c r="A7619" t="s">
        <v>2857</v>
      </c>
      <c r="B7619" t="s">
        <v>2865</v>
      </c>
      <c r="C7619" t="s">
        <v>1544</v>
      </c>
      <c r="D7619" t="s">
        <v>2881</v>
      </c>
      <c r="E7619">
        <v>16</v>
      </c>
      <c r="F7619" s="11">
        <v>1</v>
      </c>
    </row>
    <row r="7620" spans="1:6" x14ac:dyDescent="0.35">
      <c r="A7620" t="s">
        <v>2857</v>
      </c>
      <c r="B7620" t="s">
        <v>2865</v>
      </c>
      <c r="C7620" t="s">
        <v>1544</v>
      </c>
      <c r="D7620" t="s">
        <v>2882</v>
      </c>
      <c r="E7620">
        <v>3130</v>
      </c>
      <c r="F7620" s="11">
        <v>1</v>
      </c>
    </row>
    <row r="7621" spans="1:6" x14ac:dyDescent="0.35">
      <c r="A7621" t="s">
        <v>2857</v>
      </c>
      <c r="B7621" t="s">
        <v>2865</v>
      </c>
      <c r="C7621" t="s">
        <v>1544</v>
      </c>
      <c r="D7621" t="s">
        <v>2883</v>
      </c>
      <c r="E7621">
        <v>0</v>
      </c>
      <c r="F7621" s="11">
        <v>0</v>
      </c>
    </row>
    <row r="7622" spans="1:6" x14ac:dyDescent="0.35">
      <c r="A7622" t="s">
        <v>2857</v>
      </c>
      <c r="B7622" t="s">
        <v>2865</v>
      </c>
      <c r="C7622" t="s">
        <v>1544</v>
      </c>
      <c r="D7622" t="s">
        <v>2884</v>
      </c>
      <c r="E7622">
        <v>0</v>
      </c>
      <c r="F7622" s="11">
        <v>0</v>
      </c>
    </row>
    <row r="7623" spans="1:6" x14ac:dyDescent="0.35">
      <c r="A7623" t="s">
        <v>2857</v>
      </c>
      <c r="B7623" t="s">
        <v>2865</v>
      </c>
      <c r="C7623" t="s">
        <v>1544</v>
      </c>
      <c r="D7623" t="s">
        <v>2885</v>
      </c>
      <c r="E7623">
        <v>0</v>
      </c>
      <c r="F7623" s="11">
        <v>0</v>
      </c>
    </row>
    <row r="7624" spans="1:6" x14ac:dyDescent="0.35">
      <c r="A7624" t="s">
        <v>2857</v>
      </c>
      <c r="B7624" t="s">
        <v>2865</v>
      </c>
      <c r="C7624" t="s">
        <v>1544</v>
      </c>
      <c r="D7624" t="s">
        <v>2886</v>
      </c>
      <c r="E7624">
        <v>0</v>
      </c>
      <c r="F7624" s="11">
        <v>0</v>
      </c>
    </row>
    <row r="7625" spans="1:6" x14ac:dyDescent="0.35">
      <c r="A7625" t="s">
        <v>2857</v>
      </c>
      <c r="B7625" t="s">
        <v>2865</v>
      </c>
      <c r="C7625" t="s">
        <v>1544</v>
      </c>
      <c r="D7625" t="s">
        <v>2887</v>
      </c>
      <c r="E7625">
        <v>64292</v>
      </c>
      <c r="F7625" s="11">
        <v>1</v>
      </c>
    </row>
    <row r="7626" spans="1:6" x14ac:dyDescent="0.35">
      <c r="A7626" t="s">
        <v>2857</v>
      </c>
      <c r="B7626" t="s">
        <v>2865</v>
      </c>
      <c r="C7626" t="s">
        <v>1544</v>
      </c>
      <c r="D7626" t="s">
        <v>2888</v>
      </c>
      <c r="E7626">
        <v>17948</v>
      </c>
      <c r="F7626" s="11">
        <v>1</v>
      </c>
    </row>
    <row r="7627" spans="1:6" x14ac:dyDescent="0.35">
      <c r="A7627" t="s">
        <v>2857</v>
      </c>
      <c r="B7627" t="s">
        <v>2865</v>
      </c>
      <c r="C7627" t="s">
        <v>1544</v>
      </c>
      <c r="D7627" t="s">
        <v>2889</v>
      </c>
      <c r="E7627">
        <v>128</v>
      </c>
      <c r="F7627" s="11">
        <v>1</v>
      </c>
    </row>
    <row r="7628" spans="1:6" x14ac:dyDescent="0.35">
      <c r="A7628" t="s">
        <v>2857</v>
      </c>
      <c r="B7628" t="s">
        <v>2865</v>
      </c>
      <c r="C7628" t="s">
        <v>1544</v>
      </c>
      <c r="D7628" t="s">
        <v>2890</v>
      </c>
      <c r="E7628">
        <v>46216</v>
      </c>
      <c r="F7628" s="11">
        <v>1</v>
      </c>
    </row>
    <row r="7629" spans="1:6" x14ac:dyDescent="0.35">
      <c r="A7629" t="s">
        <v>2857</v>
      </c>
      <c r="B7629" t="s">
        <v>2865</v>
      </c>
      <c r="C7629" t="s">
        <v>1544</v>
      </c>
      <c r="D7629" t="s">
        <v>2891</v>
      </c>
      <c r="E7629">
        <v>0</v>
      </c>
      <c r="F7629" s="11">
        <v>0</v>
      </c>
    </row>
    <row r="7630" spans="1:6" x14ac:dyDescent="0.35">
      <c r="A7630" t="s">
        <v>2857</v>
      </c>
      <c r="B7630" t="s">
        <v>2865</v>
      </c>
      <c r="C7630" t="s">
        <v>1544</v>
      </c>
      <c r="D7630" t="s">
        <v>2892</v>
      </c>
      <c r="E7630">
        <v>0</v>
      </c>
      <c r="F7630" s="11">
        <v>0</v>
      </c>
    </row>
    <row r="7631" spans="1:6" x14ac:dyDescent="0.35">
      <c r="A7631" t="s">
        <v>2857</v>
      </c>
      <c r="B7631" t="s">
        <v>2865</v>
      </c>
      <c r="C7631" t="s">
        <v>1544</v>
      </c>
      <c r="D7631" t="s">
        <v>2893</v>
      </c>
      <c r="E7631">
        <v>0</v>
      </c>
      <c r="F7631" s="11">
        <v>0</v>
      </c>
    </row>
    <row r="7632" spans="1:6" x14ac:dyDescent="0.35">
      <c r="A7632" t="s">
        <v>2857</v>
      </c>
      <c r="B7632" t="s">
        <v>2865</v>
      </c>
      <c r="C7632" t="s">
        <v>1544</v>
      </c>
      <c r="D7632" t="s">
        <v>2894</v>
      </c>
      <c r="E7632">
        <v>0</v>
      </c>
      <c r="F7632" s="11">
        <v>0</v>
      </c>
    </row>
    <row r="7633" spans="1:6" x14ac:dyDescent="0.35">
      <c r="A7633" t="s">
        <v>2857</v>
      </c>
      <c r="B7633" t="s">
        <v>2865</v>
      </c>
      <c r="C7633" t="s">
        <v>1544</v>
      </c>
      <c r="D7633" t="s">
        <v>2895</v>
      </c>
      <c r="E7633">
        <v>232863</v>
      </c>
      <c r="F7633" s="11">
        <v>1</v>
      </c>
    </row>
    <row r="7634" spans="1:6" x14ac:dyDescent="0.35">
      <c r="A7634" t="s">
        <v>2857</v>
      </c>
      <c r="B7634" t="s">
        <v>2865</v>
      </c>
      <c r="C7634" t="s">
        <v>1544</v>
      </c>
      <c r="D7634" t="s">
        <v>2896</v>
      </c>
      <c r="E7634">
        <v>106800</v>
      </c>
      <c r="F7634" s="11">
        <v>1</v>
      </c>
    </row>
    <row r="7635" spans="1:6" x14ac:dyDescent="0.35">
      <c r="A7635" t="s">
        <v>2857</v>
      </c>
      <c r="B7635" t="s">
        <v>2865</v>
      </c>
      <c r="C7635" t="s">
        <v>1544</v>
      </c>
      <c r="D7635" t="s">
        <v>2897</v>
      </c>
      <c r="E7635">
        <v>3218</v>
      </c>
      <c r="F7635" s="11">
        <v>1</v>
      </c>
    </row>
    <row r="7636" spans="1:6" x14ac:dyDescent="0.35">
      <c r="A7636" t="s">
        <v>2857</v>
      </c>
      <c r="B7636" t="s">
        <v>2865</v>
      </c>
      <c r="C7636" t="s">
        <v>1544</v>
      </c>
      <c r="D7636" t="s">
        <v>2898</v>
      </c>
      <c r="E7636">
        <v>122845</v>
      </c>
      <c r="F7636" s="11">
        <v>1</v>
      </c>
    </row>
    <row r="7637" spans="1:6" x14ac:dyDescent="0.35">
      <c r="A7637" t="s">
        <v>2857</v>
      </c>
      <c r="B7637" t="s">
        <v>2865</v>
      </c>
      <c r="C7637" t="s">
        <v>1544</v>
      </c>
      <c r="D7637" t="s">
        <v>2899</v>
      </c>
      <c r="E7637">
        <v>1157</v>
      </c>
      <c r="F7637" s="11">
        <v>1</v>
      </c>
    </row>
    <row r="7638" spans="1:6" x14ac:dyDescent="0.35">
      <c r="A7638" t="s">
        <v>2857</v>
      </c>
      <c r="B7638" t="s">
        <v>2865</v>
      </c>
      <c r="C7638" t="s">
        <v>1544</v>
      </c>
      <c r="D7638" t="s">
        <v>2900</v>
      </c>
      <c r="E7638">
        <v>106</v>
      </c>
      <c r="F7638" s="11">
        <v>1</v>
      </c>
    </row>
    <row r="7639" spans="1:6" x14ac:dyDescent="0.35">
      <c r="A7639" t="s">
        <v>2857</v>
      </c>
      <c r="B7639" t="s">
        <v>2865</v>
      </c>
      <c r="C7639" t="s">
        <v>1544</v>
      </c>
      <c r="D7639" t="s">
        <v>2901</v>
      </c>
      <c r="E7639">
        <v>5</v>
      </c>
      <c r="F7639" s="11">
        <v>1</v>
      </c>
    </row>
    <row r="7640" spans="1:6" x14ac:dyDescent="0.35">
      <c r="A7640" t="s">
        <v>2857</v>
      </c>
      <c r="B7640" t="s">
        <v>2865</v>
      </c>
      <c r="C7640" t="s">
        <v>1544</v>
      </c>
      <c r="D7640" t="s">
        <v>2902</v>
      </c>
      <c r="E7640">
        <v>1051</v>
      </c>
      <c r="F7640" s="11">
        <v>1</v>
      </c>
    </row>
    <row r="7641" spans="1:6" x14ac:dyDescent="0.35">
      <c r="A7641" t="s">
        <v>2857</v>
      </c>
      <c r="B7641" t="s">
        <v>2865</v>
      </c>
      <c r="C7641" t="s">
        <v>1544</v>
      </c>
      <c r="D7641" t="s">
        <v>2903</v>
      </c>
      <c r="E7641">
        <v>34814</v>
      </c>
      <c r="F7641" s="11">
        <v>1</v>
      </c>
    </row>
    <row r="7642" spans="1:6" x14ac:dyDescent="0.35">
      <c r="A7642" t="s">
        <v>2857</v>
      </c>
      <c r="B7642" t="s">
        <v>2865</v>
      </c>
      <c r="C7642" t="s">
        <v>1544</v>
      </c>
      <c r="D7642" t="s">
        <v>2904</v>
      </c>
      <c r="E7642">
        <v>30633</v>
      </c>
      <c r="F7642" s="11">
        <v>1</v>
      </c>
    </row>
    <row r="7643" spans="1:6" x14ac:dyDescent="0.35">
      <c r="A7643" t="s">
        <v>2857</v>
      </c>
      <c r="B7643" t="s">
        <v>2865</v>
      </c>
      <c r="C7643" t="s">
        <v>1544</v>
      </c>
      <c r="D7643" t="s">
        <v>2905</v>
      </c>
      <c r="E7643">
        <v>2552</v>
      </c>
      <c r="F7643" s="11">
        <v>1</v>
      </c>
    </row>
    <row r="7644" spans="1:6" x14ac:dyDescent="0.35">
      <c r="A7644" t="s">
        <v>2857</v>
      </c>
      <c r="B7644" t="s">
        <v>2865</v>
      </c>
      <c r="C7644" t="s">
        <v>1544</v>
      </c>
      <c r="D7644" t="s">
        <v>2906</v>
      </c>
      <c r="E7644">
        <v>1630</v>
      </c>
      <c r="F7644" s="11">
        <v>1</v>
      </c>
    </row>
    <row r="7645" spans="1:6" x14ac:dyDescent="0.35">
      <c r="A7645" t="s">
        <v>2857</v>
      </c>
      <c r="B7645" t="s">
        <v>2865</v>
      </c>
      <c r="C7645" t="s">
        <v>1544</v>
      </c>
      <c r="D7645" t="s">
        <v>2907</v>
      </c>
      <c r="E7645">
        <v>48003</v>
      </c>
      <c r="F7645" s="11">
        <v>1</v>
      </c>
    </row>
    <row r="7646" spans="1:6" x14ac:dyDescent="0.35">
      <c r="A7646" t="s">
        <v>2857</v>
      </c>
      <c r="B7646" t="s">
        <v>2865</v>
      </c>
      <c r="C7646" t="s">
        <v>1544</v>
      </c>
      <c r="D7646" t="s">
        <v>2908</v>
      </c>
      <c r="E7646">
        <v>42200</v>
      </c>
      <c r="F7646" s="11">
        <v>1</v>
      </c>
    </row>
    <row r="7647" spans="1:6" x14ac:dyDescent="0.35">
      <c r="A7647" t="s">
        <v>2857</v>
      </c>
      <c r="B7647" t="s">
        <v>2865</v>
      </c>
      <c r="C7647" t="s">
        <v>1544</v>
      </c>
      <c r="D7647" t="s">
        <v>2909</v>
      </c>
      <c r="E7647">
        <v>4057</v>
      </c>
      <c r="F7647" s="11">
        <v>1</v>
      </c>
    </row>
    <row r="7648" spans="1:6" x14ac:dyDescent="0.35">
      <c r="A7648" t="s">
        <v>2857</v>
      </c>
      <c r="B7648" t="s">
        <v>2865</v>
      </c>
      <c r="C7648" t="s">
        <v>1544</v>
      </c>
      <c r="D7648" t="s">
        <v>2910</v>
      </c>
      <c r="E7648">
        <v>1634</v>
      </c>
      <c r="F7648" s="11">
        <v>1</v>
      </c>
    </row>
    <row r="7649" spans="1:6" x14ac:dyDescent="0.35">
      <c r="A7649" t="s">
        <v>2857</v>
      </c>
      <c r="B7649" t="s">
        <v>2865</v>
      </c>
      <c r="C7649" t="s">
        <v>1544</v>
      </c>
      <c r="D7649" t="s">
        <v>2911</v>
      </c>
      <c r="E7649">
        <v>172437</v>
      </c>
      <c r="F7649" s="11">
        <v>1</v>
      </c>
    </row>
    <row r="7650" spans="1:6" x14ac:dyDescent="0.35">
      <c r="A7650" t="s">
        <v>2857</v>
      </c>
      <c r="B7650" t="s">
        <v>2865</v>
      </c>
      <c r="C7650" t="s">
        <v>1544</v>
      </c>
      <c r="D7650" t="s">
        <v>2912</v>
      </c>
      <c r="E7650">
        <v>682439</v>
      </c>
      <c r="F7650" s="11">
        <v>1</v>
      </c>
    </row>
    <row r="7651" spans="1:6" x14ac:dyDescent="0.35">
      <c r="A7651" t="s">
        <v>2857</v>
      </c>
      <c r="B7651" t="s">
        <v>2865</v>
      </c>
      <c r="C7651" t="s">
        <v>1544</v>
      </c>
      <c r="D7651" t="s">
        <v>2913</v>
      </c>
      <c r="E7651">
        <v>10</v>
      </c>
      <c r="F7651" s="11">
        <v>1</v>
      </c>
    </row>
    <row r="7652" spans="1:6" x14ac:dyDescent="0.35">
      <c r="A7652" t="s">
        <v>2857</v>
      </c>
      <c r="B7652" t="s">
        <v>2865</v>
      </c>
      <c r="C7652" t="s">
        <v>1544</v>
      </c>
      <c r="D7652" t="s">
        <v>2914</v>
      </c>
      <c r="E7652">
        <v>0</v>
      </c>
      <c r="F7652" s="11">
        <v>0</v>
      </c>
    </row>
    <row r="7653" spans="1:6" x14ac:dyDescent="0.35">
      <c r="A7653" t="s">
        <v>2857</v>
      </c>
      <c r="B7653" t="s">
        <v>2865</v>
      </c>
      <c r="C7653" t="s">
        <v>1544</v>
      </c>
      <c r="D7653" t="s">
        <v>2915</v>
      </c>
      <c r="E7653">
        <v>44</v>
      </c>
      <c r="F7653" s="11">
        <v>1</v>
      </c>
    </row>
    <row r="7654" spans="1:6" x14ac:dyDescent="0.35">
      <c r="A7654" t="s">
        <v>2857</v>
      </c>
      <c r="B7654" t="s">
        <v>2865</v>
      </c>
      <c r="C7654" t="s">
        <v>1544</v>
      </c>
      <c r="D7654" t="s">
        <v>2916</v>
      </c>
      <c r="E7654">
        <v>66551</v>
      </c>
      <c r="F7654" s="11">
        <v>1</v>
      </c>
    </row>
    <row r="7655" spans="1:6" x14ac:dyDescent="0.35">
      <c r="A7655" t="s">
        <v>2857</v>
      </c>
      <c r="B7655" t="s">
        <v>2865</v>
      </c>
      <c r="C7655" t="s">
        <v>1544</v>
      </c>
      <c r="D7655" t="s">
        <v>2917</v>
      </c>
      <c r="E7655">
        <v>0</v>
      </c>
      <c r="F7655" s="11">
        <v>0</v>
      </c>
    </row>
    <row r="7656" spans="1:6" x14ac:dyDescent="0.35">
      <c r="A7656" t="s">
        <v>2857</v>
      </c>
      <c r="B7656" t="s">
        <v>2864</v>
      </c>
      <c r="C7656" t="s">
        <v>1442</v>
      </c>
      <c r="D7656" t="s">
        <v>2875</v>
      </c>
      <c r="E7656">
        <v>67597</v>
      </c>
      <c r="F7656" s="11">
        <v>1</v>
      </c>
    </row>
    <row r="7657" spans="1:6" x14ac:dyDescent="0.35">
      <c r="A7657" t="s">
        <v>2857</v>
      </c>
      <c r="B7657" t="s">
        <v>2864</v>
      </c>
      <c r="C7657" t="s">
        <v>1442</v>
      </c>
      <c r="D7657" t="s">
        <v>2876</v>
      </c>
      <c r="E7657">
        <v>24933</v>
      </c>
      <c r="F7657" s="11">
        <v>1</v>
      </c>
    </row>
    <row r="7658" spans="1:6" x14ac:dyDescent="0.35">
      <c r="A7658" t="s">
        <v>2857</v>
      </c>
      <c r="B7658" t="s">
        <v>2864</v>
      </c>
      <c r="C7658" t="s">
        <v>1442</v>
      </c>
      <c r="D7658" t="s">
        <v>2877</v>
      </c>
      <c r="E7658">
        <v>4645</v>
      </c>
      <c r="F7658" s="11">
        <v>1</v>
      </c>
    </row>
    <row r="7659" spans="1:6" x14ac:dyDescent="0.35">
      <c r="A7659" t="s">
        <v>2857</v>
      </c>
      <c r="B7659" t="s">
        <v>2864</v>
      </c>
      <c r="C7659" t="s">
        <v>1442</v>
      </c>
      <c r="D7659" t="s">
        <v>2878</v>
      </c>
      <c r="E7659">
        <v>38019</v>
      </c>
      <c r="F7659" s="11">
        <v>1</v>
      </c>
    </row>
    <row r="7660" spans="1:6" x14ac:dyDescent="0.35">
      <c r="A7660" t="s">
        <v>2857</v>
      </c>
      <c r="B7660" t="s">
        <v>2864</v>
      </c>
      <c r="C7660" t="s">
        <v>1442</v>
      </c>
      <c r="D7660" t="s">
        <v>2879</v>
      </c>
      <c r="E7660">
        <v>13836</v>
      </c>
      <c r="F7660" s="11">
        <v>1</v>
      </c>
    </row>
    <row r="7661" spans="1:6" x14ac:dyDescent="0.35">
      <c r="A7661" t="s">
        <v>2857</v>
      </c>
      <c r="B7661" t="s">
        <v>2864</v>
      </c>
      <c r="C7661" t="s">
        <v>1442</v>
      </c>
      <c r="D7661" t="s">
        <v>2880</v>
      </c>
      <c r="E7661">
        <v>8755</v>
      </c>
      <c r="F7661" s="11">
        <v>1</v>
      </c>
    </row>
    <row r="7662" spans="1:6" x14ac:dyDescent="0.35">
      <c r="A7662" t="s">
        <v>2857</v>
      </c>
      <c r="B7662" t="s">
        <v>2864</v>
      </c>
      <c r="C7662" t="s">
        <v>1442</v>
      </c>
      <c r="D7662" t="s">
        <v>2881</v>
      </c>
      <c r="E7662">
        <v>0</v>
      </c>
      <c r="F7662" s="11">
        <v>1</v>
      </c>
    </row>
    <row r="7663" spans="1:6" x14ac:dyDescent="0.35">
      <c r="A7663" t="s">
        <v>2857</v>
      </c>
      <c r="B7663" t="s">
        <v>2864</v>
      </c>
      <c r="C7663" t="s">
        <v>1442</v>
      </c>
      <c r="D7663" t="s">
        <v>2882</v>
      </c>
      <c r="E7663">
        <v>5081</v>
      </c>
      <c r="F7663" s="11">
        <v>0</v>
      </c>
    </row>
    <row r="7664" spans="1:6" x14ac:dyDescent="0.35">
      <c r="A7664" t="s">
        <v>2857</v>
      </c>
      <c r="B7664" t="s">
        <v>2864</v>
      </c>
      <c r="C7664" t="s">
        <v>1442</v>
      </c>
      <c r="D7664" t="s">
        <v>2883</v>
      </c>
      <c r="E7664">
        <v>0</v>
      </c>
      <c r="F7664" s="11">
        <v>0</v>
      </c>
    </row>
    <row r="7665" spans="1:6" x14ac:dyDescent="0.35">
      <c r="A7665" t="s">
        <v>2857</v>
      </c>
      <c r="B7665" t="s">
        <v>2864</v>
      </c>
      <c r="C7665" t="s">
        <v>1442</v>
      </c>
      <c r="D7665" t="s">
        <v>2884</v>
      </c>
      <c r="E7665">
        <v>0</v>
      </c>
      <c r="F7665" s="11">
        <v>0</v>
      </c>
    </row>
    <row r="7666" spans="1:6" x14ac:dyDescent="0.35">
      <c r="A7666" t="s">
        <v>2857</v>
      </c>
      <c r="B7666" t="s">
        <v>2864</v>
      </c>
      <c r="C7666" t="s">
        <v>1442</v>
      </c>
      <c r="D7666" t="s">
        <v>2885</v>
      </c>
      <c r="E7666">
        <v>0</v>
      </c>
      <c r="F7666" s="11">
        <v>0</v>
      </c>
    </row>
    <row r="7667" spans="1:6" x14ac:dyDescent="0.35">
      <c r="A7667" t="s">
        <v>2857</v>
      </c>
      <c r="B7667" t="s">
        <v>2864</v>
      </c>
      <c r="C7667" t="s">
        <v>1442</v>
      </c>
      <c r="D7667" t="s">
        <v>2886</v>
      </c>
      <c r="E7667">
        <v>0</v>
      </c>
      <c r="F7667" s="11">
        <v>0</v>
      </c>
    </row>
    <row r="7668" spans="1:6" x14ac:dyDescent="0.35">
      <c r="A7668" t="s">
        <v>2857</v>
      </c>
      <c r="B7668" t="s">
        <v>2864</v>
      </c>
      <c r="C7668" t="s">
        <v>1442</v>
      </c>
      <c r="D7668" t="s">
        <v>2887</v>
      </c>
      <c r="E7668">
        <v>232415</v>
      </c>
      <c r="F7668" s="11">
        <v>1</v>
      </c>
    </row>
    <row r="7669" spans="1:6" x14ac:dyDescent="0.35">
      <c r="A7669" t="s">
        <v>2857</v>
      </c>
      <c r="B7669" t="s">
        <v>2864</v>
      </c>
      <c r="C7669" t="s">
        <v>1442</v>
      </c>
      <c r="D7669" t="s">
        <v>2888</v>
      </c>
      <c r="E7669">
        <v>180647</v>
      </c>
      <c r="F7669" s="11">
        <v>1</v>
      </c>
    </row>
    <row r="7670" spans="1:6" x14ac:dyDescent="0.35">
      <c r="A7670" t="s">
        <v>2857</v>
      </c>
      <c r="B7670" t="s">
        <v>2864</v>
      </c>
      <c r="C7670" t="s">
        <v>1442</v>
      </c>
      <c r="D7670" t="s">
        <v>2889</v>
      </c>
      <c r="E7670">
        <v>0</v>
      </c>
      <c r="F7670" s="11">
        <v>1</v>
      </c>
    </row>
    <row r="7671" spans="1:6" x14ac:dyDescent="0.35">
      <c r="A7671" t="s">
        <v>2857</v>
      </c>
      <c r="B7671" t="s">
        <v>2864</v>
      </c>
      <c r="C7671" t="s">
        <v>1442</v>
      </c>
      <c r="D7671" t="s">
        <v>2890</v>
      </c>
      <c r="E7671">
        <v>51768</v>
      </c>
      <c r="F7671" s="11">
        <v>0</v>
      </c>
    </row>
    <row r="7672" spans="1:6" x14ac:dyDescent="0.35">
      <c r="A7672" t="s">
        <v>2857</v>
      </c>
      <c r="B7672" t="s">
        <v>2864</v>
      </c>
      <c r="C7672" t="s">
        <v>1442</v>
      </c>
      <c r="D7672" t="s">
        <v>2891</v>
      </c>
      <c r="E7672">
        <v>0</v>
      </c>
      <c r="F7672" s="11">
        <v>0</v>
      </c>
    </row>
    <row r="7673" spans="1:6" x14ac:dyDescent="0.35">
      <c r="A7673" t="s">
        <v>2857</v>
      </c>
      <c r="B7673" t="s">
        <v>2864</v>
      </c>
      <c r="C7673" t="s">
        <v>1442</v>
      </c>
      <c r="D7673" t="s">
        <v>2892</v>
      </c>
      <c r="E7673">
        <v>0</v>
      </c>
      <c r="F7673" s="11">
        <v>0</v>
      </c>
    </row>
    <row r="7674" spans="1:6" x14ac:dyDescent="0.35">
      <c r="A7674" t="s">
        <v>2857</v>
      </c>
      <c r="B7674" t="s">
        <v>2864</v>
      </c>
      <c r="C7674" t="s">
        <v>1442</v>
      </c>
      <c r="D7674" t="s">
        <v>2893</v>
      </c>
      <c r="E7674">
        <v>0</v>
      </c>
      <c r="F7674" s="11">
        <v>0</v>
      </c>
    </row>
    <row r="7675" spans="1:6" x14ac:dyDescent="0.35">
      <c r="A7675" t="s">
        <v>2857</v>
      </c>
      <c r="B7675" t="s">
        <v>2864</v>
      </c>
      <c r="C7675" t="s">
        <v>1442</v>
      </c>
      <c r="D7675" t="s">
        <v>2894</v>
      </c>
      <c r="E7675">
        <v>0</v>
      </c>
      <c r="F7675" s="11">
        <v>0</v>
      </c>
    </row>
    <row r="7676" spans="1:6" x14ac:dyDescent="0.35">
      <c r="A7676" t="s">
        <v>2857</v>
      </c>
      <c r="B7676" t="s">
        <v>2864</v>
      </c>
      <c r="C7676" t="s">
        <v>1442</v>
      </c>
      <c r="D7676" t="s">
        <v>2895</v>
      </c>
      <c r="E7676">
        <v>2820022</v>
      </c>
      <c r="F7676" s="11">
        <v>1</v>
      </c>
    </row>
    <row r="7677" spans="1:6" x14ac:dyDescent="0.35">
      <c r="A7677" t="s">
        <v>2857</v>
      </c>
      <c r="B7677" t="s">
        <v>2864</v>
      </c>
      <c r="C7677" t="s">
        <v>1442</v>
      </c>
      <c r="D7677" t="s">
        <v>2896</v>
      </c>
      <c r="E7677">
        <v>1517263</v>
      </c>
      <c r="F7677" s="11">
        <v>1</v>
      </c>
    </row>
    <row r="7678" spans="1:6" x14ac:dyDescent="0.35">
      <c r="A7678" t="s">
        <v>2857</v>
      </c>
      <c r="B7678" t="s">
        <v>2864</v>
      </c>
      <c r="C7678" t="s">
        <v>1442</v>
      </c>
      <c r="D7678" t="s">
        <v>2897</v>
      </c>
      <c r="E7678">
        <v>0</v>
      </c>
      <c r="F7678" s="11">
        <v>1</v>
      </c>
    </row>
    <row r="7679" spans="1:6" x14ac:dyDescent="0.35">
      <c r="A7679" t="s">
        <v>2857</v>
      </c>
      <c r="B7679" t="s">
        <v>2864</v>
      </c>
      <c r="C7679" t="s">
        <v>1442</v>
      </c>
      <c r="D7679" t="s">
        <v>2898</v>
      </c>
      <c r="E7679">
        <v>1302759</v>
      </c>
      <c r="F7679" s="11">
        <v>0</v>
      </c>
    </row>
    <row r="7680" spans="1:6" x14ac:dyDescent="0.35">
      <c r="A7680" t="s">
        <v>2857</v>
      </c>
      <c r="B7680" t="s">
        <v>2864</v>
      </c>
      <c r="C7680" t="s">
        <v>1442</v>
      </c>
      <c r="D7680" t="s">
        <v>2899</v>
      </c>
      <c r="E7680">
        <v>10859</v>
      </c>
      <c r="F7680" s="11">
        <v>1</v>
      </c>
    </row>
    <row r="7681" spans="1:6" x14ac:dyDescent="0.35">
      <c r="A7681" t="s">
        <v>2857</v>
      </c>
      <c r="B7681" t="s">
        <v>2864</v>
      </c>
      <c r="C7681" t="s">
        <v>1442</v>
      </c>
      <c r="D7681" t="s">
        <v>2900</v>
      </c>
      <c r="E7681">
        <v>0</v>
      </c>
      <c r="F7681" s="11">
        <v>0</v>
      </c>
    </row>
    <row r="7682" spans="1:6" x14ac:dyDescent="0.35">
      <c r="A7682" t="s">
        <v>2857</v>
      </c>
      <c r="B7682" t="s">
        <v>2864</v>
      </c>
      <c r="C7682" t="s">
        <v>1442</v>
      </c>
      <c r="D7682" t="s">
        <v>2901</v>
      </c>
      <c r="E7682">
        <v>0</v>
      </c>
      <c r="F7682" s="11">
        <v>0</v>
      </c>
    </row>
    <row r="7683" spans="1:6" x14ac:dyDescent="0.35">
      <c r="A7683" t="s">
        <v>2857</v>
      </c>
      <c r="B7683" t="s">
        <v>2864</v>
      </c>
      <c r="C7683" t="s">
        <v>1442</v>
      </c>
      <c r="D7683" t="s">
        <v>2902</v>
      </c>
      <c r="E7683">
        <v>0</v>
      </c>
      <c r="F7683" s="11">
        <v>0</v>
      </c>
    </row>
    <row r="7684" spans="1:6" x14ac:dyDescent="0.35">
      <c r="A7684" t="s">
        <v>2857</v>
      </c>
      <c r="B7684" t="s">
        <v>2864</v>
      </c>
      <c r="C7684" t="s">
        <v>1442</v>
      </c>
      <c r="D7684" t="s">
        <v>2903</v>
      </c>
      <c r="E7684">
        <v>208139</v>
      </c>
      <c r="F7684" s="11">
        <v>1</v>
      </c>
    </row>
    <row r="7685" spans="1:6" x14ac:dyDescent="0.35">
      <c r="A7685" t="s">
        <v>2857</v>
      </c>
      <c r="B7685" t="s">
        <v>2864</v>
      </c>
      <c r="C7685" t="s">
        <v>1442</v>
      </c>
      <c r="D7685" t="s">
        <v>2904</v>
      </c>
      <c r="E7685">
        <v>0</v>
      </c>
      <c r="F7685" s="11">
        <v>0</v>
      </c>
    </row>
    <row r="7686" spans="1:6" x14ac:dyDescent="0.35">
      <c r="A7686" t="s">
        <v>2857</v>
      </c>
      <c r="B7686" t="s">
        <v>2864</v>
      </c>
      <c r="C7686" t="s">
        <v>1442</v>
      </c>
      <c r="D7686" t="s">
        <v>2905</v>
      </c>
      <c r="E7686">
        <v>0</v>
      </c>
      <c r="F7686" s="11">
        <v>0</v>
      </c>
    </row>
    <row r="7687" spans="1:6" x14ac:dyDescent="0.35">
      <c r="A7687" t="s">
        <v>2857</v>
      </c>
      <c r="B7687" t="s">
        <v>2864</v>
      </c>
      <c r="C7687" t="s">
        <v>1442</v>
      </c>
      <c r="D7687" t="s">
        <v>2906</v>
      </c>
      <c r="E7687">
        <v>0</v>
      </c>
      <c r="F7687" s="11">
        <v>0</v>
      </c>
    </row>
    <row r="7688" spans="1:6" x14ac:dyDescent="0.35">
      <c r="A7688" t="s">
        <v>2857</v>
      </c>
      <c r="B7688" t="s">
        <v>2864</v>
      </c>
      <c r="C7688" t="s">
        <v>1442</v>
      </c>
      <c r="D7688" t="s">
        <v>2907</v>
      </c>
      <c r="E7688">
        <v>205553</v>
      </c>
      <c r="F7688" s="11">
        <v>1</v>
      </c>
    </row>
    <row r="7689" spans="1:6" x14ac:dyDescent="0.35">
      <c r="A7689" t="s">
        <v>2857</v>
      </c>
      <c r="B7689" t="s">
        <v>2864</v>
      </c>
      <c r="C7689" t="s">
        <v>1442</v>
      </c>
      <c r="D7689" t="s">
        <v>2908</v>
      </c>
      <c r="E7689">
        <v>0</v>
      </c>
      <c r="F7689" s="11">
        <v>0</v>
      </c>
    </row>
    <row r="7690" spans="1:6" x14ac:dyDescent="0.35">
      <c r="A7690" t="s">
        <v>2857</v>
      </c>
      <c r="B7690" t="s">
        <v>2864</v>
      </c>
      <c r="C7690" t="s">
        <v>1442</v>
      </c>
      <c r="D7690" t="s">
        <v>2909</v>
      </c>
      <c r="E7690">
        <v>0</v>
      </c>
      <c r="F7690" s="11">
        <v>0</v>
      </c>
    </row>
    <row r="7691" spans="1:6" x14ac:dyDescent="0.35">
      <c r="A7691" t="s">
        <v>2857</v>
      </c>
      <c r="B7691" t="s">
        <v>2864</v>
      </c>
      <c r="C7691" t="s">
        <v>1442</v>
      </c>
      <c r="D7691" t="s">
        <v>2910</v>
      </c>
      <c r="E7691">
        <v>0</v>
      </c>
      <c r="F7691" s="11">
        <v>0</v>
      </c>
    </row>
    <row r="7692" spans="1:6" x14ac:dyDescent="0.35">
      <c r="A7692" t="s">
        <v>2857</v>
      </c>
      <c r="B7692" t="s">
        <v>2864</v>
      </c>
      <c r="C7692" t="s">
        <v>1442</v>
      </c>
      <c r="D7692" t="s">
        <v>2911</v>
      </c>
      <c r="E7692">
        <v>2056321</v>
      </c>
      <c r="F7692" s="11">
        <v>1</v>
      </c>
    </row>
    <row r="7693" spans="1:6" x14ac:dyDescent="0.35">
      <c r="A7693" t="s">
        <v>2857</v>
      </c>
      <c r="B7693" t="s">
        <v>2864</v>
      </c>
      <c r="C7693" t="s">
        <v>1442</v>
      </c>
      <c r="D7693" t="s">
        <v>2912</v>
      </c>
      <c r="E7693">
        <v>0</v>
      </c>
      <c r="F7693" s="11">
        <v>0</v>
      </c>
    </row>
    <row r="7694" spans="1:6" x14ac:dyDescent="0.35">
      <c r="A7694" t="s">
        <v>2857</v>
      </c>
      <c r="B7694" t="s">
        <v>2864</v>
      </c>
      <c r="C7694" t="s">
        <v>1442</v>
      </c>
      <c r="D7694" t="s">
        <v>2913</v>
      </c>
      <c r="E7694">
        <v>0</v>
      </c>
      <c r="F7694" s="11">
        <v>0</v>
      </c>
    </row>
    <row r="7695" spans="1:6" x14ac:dyDescent="0.35">
      <c r="A7695" t="s">
        <v>2857</v>
      </c>
      <c r="B7695" t="s">
        <v>2864</v>
      </c>
      <c r="C7695" t="s">
        <v>1442</v>
      </c>
      <c r="D7695" t="s">
        <v>2914</v>
      </c>
      <c r="E7695">
        <v>0</v>
      </c>
      <c r="F7695" s="11">
        <v>0</v>
      </c>
    </row>
    <row r="7696" spans="1:6" x14ac:dyDescent="0.35">
      <c r="A7696" t="s">
        <v>2857</v>
      </c>
      <c r="B7696" t="s">
        <v>2864</v>
      </c>
      <c r="C7696" t="s">
        <v>1442</v>
      </c>
      <c r="D7696" t="s">
        <v>2915</v>
      </c>
      <c r="E7696">
        <v>14904</v>
      </c>
      <c r="F7696" s="11">
        <v>1</v>
      </c>
    </row>
    <row r="7697" spans="1:6" x14ac:dyDescent="0.35">
      <c r="A7697" t="s">
        <v>2857</v>
      </c>
      <c r="B7697" t="s">
        <v>2864</v>
      </c>
      <c r="C7697" t="s">
        <v>1442</v>
      </c>
      <c r="D7697" t="s">
        <v>2916</v>
      </c>
      <c r="E7697">
        <v>81025.89</v>
      </c>
      <c r="F7697" s="11">
        <v>1</v>
      </c>
    </row>
    <row r="7698" spans="1:6" x14ac:dyDescent="0.35">
      <c r="A7698" t="s">
        <v>2857</v>
      </c>
      <c r="B7698" t="s">
        <v>2864</v>
      </c>
      <c r="C7698" t="s">
        <v>1442</v>
      </c>
      <c r="D7698" t="s">
        <v>2917</v>
      </c>
      <c r="E7698">
        <v>244899</v>
      </c>
      <c r="F7698" s="11">
        <v>1</v>
      </c>
    </row>
    <row r="7699" spans="1:6" x14ac:dyDescent="0.35">
      <c r="A7699" t="s">
        <v>2857</v>
      </c>
      <c r="B7699" t="s">
        <v>2862</v>
      </c>
      <c r="C7699" t="s">
        <v>1375</v>
      </c>
      <c r="D7699" t="s">
        <v>2875</v>
      </c>
      <c r="E7699">
        <v>8161</v>
      </c>
      <c r="F7699" s="11">
        <v>1</v>
      </c>
    </row>
    <row r="7700" spans="1:6" x14ac:dyDescent="0.35">
      <c r="A7700" t="s">
        <v>2857</v>
      </c>
      <c r="B7700" t="s">
        <v>2862</v>
      </c>
      <c r="C7700" t="s">
        <v>1375</v>
      </c>
      <c r="D7700" t="s">
        <v>2876</v>
      </c>
      <c r="E7700">
        <v>1549</v>
      </c>
      <c r="F7700" s="11">
        <v>1</v>
      </c>
    </row>
    <row r="7701" spans="1:6" x14ac:dyDescent="0.35">
      <c r="A7701" t="s">
        <v>2857</v>
      </c>
      <c r="B7701" t="s">
        <v>2862</v>
      </c>
      <c r="C7701" t="s">
        <v>1375</v>
      </c>
      <c r="D7701" t="s">
        <v>2877</v>
      </c>
      <c r="E7701">
        <v>458</v>
      </c>
      <c r="F7701" s="11">
        <v>1</v>
      </c>
    </row>
    <row r="7702" spans="1:6" x14ac:dyDescent="0.35">
      <c r="A7702" t="s">
        <v>2857</v>
      </c>
      <c r="B7702" t="s">
        <v>2862</v>
      </c>
      <c r="C7702" t="s">
        <v>1375</v>
      </c>
      <c r="D7702" t="s">
        <v>2878</v>
      </c>
      <c r="E7702">
        <v>6154</v>
      </c>
      <c r="F7702" s="11">
        <v>1</v>
      </c>
    </row>
    <row r="7703" spans="1:6" x14ac:dyDescent="0.35">
      <c r="A7703" t="s">
        <v>2857</v>
      </c>
      <c r="B7703" t="s">
        <v>2862</v>
      </c>
      <c r="C7703" t="s">
        <v>1375</v>
      </c>
      <c r="D7703" t="s">
        <v>2879</v>
      </c>
      <c r="E7703">
        <v>970</v>
      </c>
      <c r="F7703" s="11">
        <v>1</v>
      </c>
    </row>
    <row r="7704" spans="1:6" x14ac:dyDescent="0.35">
      <c r="A7704" t="s">
        <v>2857</v>
      </c>
      <c r="B7704" t="s">
        <v>2862</v>
      </c>
      <c r="C7704" t="s">
        <v>1375</v>
      </c>
      <c r="D7704" t="s">
        <v>2880</v>
      </c>
      <c r="E7704">
        <v>687</v>
      </c>
      <c r="F7704" s="11">
        <v>1</v>
      </c>
    </row>
    <row r="7705" spans="1:6" x14ac:dyDescent="0.35">
      <c r="A7705" t="s">
        <v>2857</v>
      </c>
      <c r="B7705" t="s">
        <v>2862</v>
      </c>
      <c r="C7705" t="s">
        <v>1375</v>
      </c>
      <c r="D7705" t="s">
        <v>2881</v>
      </c>
      <c r="E7705">
        <v>0</v>
      </c>
      <c r="F7705" s="11">
        <v>1</v>
      </c>
    </row>
    <row r="7706" spans="1:6" x14ac:dyDescent="0.35">
      <c r="A7706" t="s">
        <v>2857</v>
      </c>
      <c r="B7706" t="s">
        <v>2862</v>
      </c>
      <c r="C7706" t="s">
        <v>1375</v>
      </c>
      <c r="D7706" t="s">
        <v>2882</v>
      </c>
      <c r="E7706">
        <v>259</v>
      </c>
      <c r="F7706" s="11">
        <v>0</v>
      </c>
    </row>
    <row r="7707" spans="1:6" x14ac:dyDescent="0.35">
      <c r="A7707" t="s">
        <v>2857</v>
      </c>
      <c r="B7707" t="s">
        <v>2862</v>
      </c>
      <c r="C7707" t="s">
        <v>1375</v>
      </c>
      <c r="D7707" t="s">
        <v>2883</v>
      </c>
      <c r="E7707">
        <v>0</v>
      </c>
      <c r="F7707" s="11">
        <v>0</v>
      </c>
    </row>
    <row r="7708" spans="1:6" x14ac:dyDescent="0.35">
      <c r="A7708" t="s">
        <v>2857</v>
      </c>
      <c r="B7708" t="s">
        <v>2862</v>
      </c>
      <c r="C7708" t="s">
        <v>1375</v>
      </c>
      <c r="D7708" t="s">
        <v>2884</v>
      </c>
      <c r="E7708">
        <v>0</v>
      </c>
      <c r="F7708" s="11">
        <v>0</v>
      </c>
    </row>
    <row r="7709" spans="1:6" x14ac:dyDescent="0.35">
      <c r="A7709" t="s">
        <v>2857</v>
      </c>
      <c r="B7709" t="s">
        <v>2862</v>
      </c>
      <c r="C7709" t="s">
        <v>1375</v>
      </c>
      <c r="D7709" t="s">
        <v>2885</v>
      </c>
      <c r="E7709">
        <v>0</v>
      </c>
      <c r="F7709" s="11">
        <v>0</v>
      </c>
    </row>
    <row r="7710" spans="1:6" x14ac:dyDescent="0.35">
      <c r="A7710" t="s">
        <v>2857</v>
      </c>
      <c r="B7710" t="s">
        <v>2862</v>
      </c>
      <c r="C7710" t="s">
        <v>1375</v>
      </c>
      <c r="D7710" t="s">
        <v>2886</v>
      </c>
      <c r="E7710">
        <v>0</v>
      </c>
      <c r="F7710" s="11">
        <v>0</v>
      </c>
    </row>
    <row r="7711" spans="1:6" x14ac:dyDescent="0.35">
      <c r="A7711" t="s">
        <v>2857</v>
      </c>
      <c r="B7711" t="s">
        <v>2862</v>
      </c>
      <c r="C7711" t="s">
        <v>1375</v>
      </c>
      <c r="D7711" t="s">
        <v>2887</v>
      </c>
      <c r="E7711">
        <v>11810</v>
      </c>
      <c r="F7711" s="11">
        <v>1</v>
      </c>
    </row>
    <row r="7712" spans="1:6" x14ac:dyDescent="0.35">
      <c r="A7712" t="s">
        <v>2857</v>
      </c>
      <c r="B7712" t="s">
        <v>2862</v>
      </c>
      <c r="C7712" t="s">
        <v>1375</v>
      </c>
      <c r="D7712" t="s">
        <v>2888</v>
      </c>
      <c r="E7712">
        <v>5552</v>
      </c>
      <c r="F7712" s="11">
        <v>1</v>
      </c>
    </row>
    <row r="7713" spans="1:6" x14ac:dyDescent="0.35">
      <c r="A7713" t="s">
        <v>2857</v>
      </c>
      <c r="B7713" t="s">
        <v>2862</v>
      </c>
      <c r="C7713" t="s">
        <v>1375</v>
      </c>
      <c r="D7713" t="s">
        <v>2889</v>
      </c>
      <c r="E7713">
        <v>0</v>
      </c>
      <c r="F7713" s="11">
        <v>1</v>
      </c>
    </row>
    <row r="7714" spans="1:6" x14ac:dyDescent="0.35">
      <c r="A7714" t="s">
        <v>2857</v>
      </c>
      <c r="B7714" t="s">
        <v>2862</v>
      </c>
      <c r="C7714" t="s">
        <v>1375</v>
      </c>
      <c r="D7714" t="s">
        <v>2890</v>
      </c>
      <c r="E7714">
        <v>6258</v>
      </c>
      <c r="F7714" s="11">
        <v>0</v>
      </c>
    </row>
    <row r="7715" spans="1:6" x14ac:dyDescent="0.35">
      <c r="A7715" t="s">
        <v>2857</v>
      </c>
      <c r="B7715" t="s">
        <v>2862</v>
      </c>
      <c r="C7715" t="s">
        <v>1375</v>
      </c>
      <c r="D7715" t="s">
        <v>2891</v>
      </c>
      <c r="E7715">
        <v>0</v>
      </c>
      <c r="F7715" s="11">
        <v>0</v>
      </c>
    </row>
    <row r="7716" spans="1:6" x14ac:dyDescent="0.35">
      <c r="A7716" t="s">
        <v>2857</v>
      </c>
      <c r="B7716" t="s">
        <v>2862</v>
      </c>
      <c r="C7716" t="s">
        <v>1375</v>
      </c>
      <c r="D7716" t="s">
        <v>2892</v>
      </c>
      <c r="E7716">
        <v>0</v>
      </c>
      <c r="F7716" s="11">
        <v>0</v>
      </c>
    </row>
    <row r="7717" spans="1:6" x14ac:dyDescent="0.35">
      <c r="A7717" t="s">
        <v>2857</v>
      </c>
      <c r="B7717" t="s">
        <v>2862</v>
      </c>
      <c r="C7717" t="s">
        <v>1375</v>
      </c>
      <c r="D7717" t="s">
        <v>2893</v>
      </c>
      <c r="E7717">
        <v>0</v>
      </c>
      <c r="F7717" s="11">
        <v>0</v>
      </c>
    </row>
    <row r="7718" spans="1:6" x14ac:dyDescent="0.35">
      <c r="A7718" t="s">
        <v>2857</v>
      </c>
      <c r="B7718" t="s">
        <v>2862</v>
      </c>
      <c r="C7718" t="s">
        <v>1375</v>
      </c>
      <c r="D7718" t="s">
        <v>2894</v>
      </c>
      <c r="E7718">
        <v>0</v>
      </c>
      <c r="F7718" s="11">
        <v>0</v>
      </c>
    </row>
    <row r="7719" spans="1:6" x14ac:dyDescent="0.35">
      <c r="A7719" t="s">
        <v>2857</v>
      </c>
      <c r="B7719" t="s">
        <v>2862</v>
      </c>
      <c r="C7719" t="s">
        <v>1375</v>
      </c>
      <c r="D7719" t="s">
        <v>2895</v>
      </c>
      <c r="E7719">
        <v>216400</v>
      </c>
      <c r="F7719" s="11">
        <v>1</v>
      </c>
    </row>
    <row r="7720" spans="1:6" x14ac:dyDescent="0.35">
      <c r="A7720" t="s">
        <v>2857</v>
      </c>
      <c r="B7720" t="s">
        <v>2862</v>
      </c>
      <c r="C7720" t="s">
        <v>1375</v>
      </c>
      <c r="D7720" t="s">
        <v>2896</v>
      </c>
      <c r="E7720">
        <v>0</v>
      </c>
      <c r="F7720" s="11">
        <v>1</v>
      </c>
    </row>
    <row r="7721" spans="1:6" x14ac:dyDescent="0.35">
      <c r="A7721" t="s">
        <v>2857</v>
      </c>
      <c r="B7721" t="s">
        <v>2862</v>
      </c>
      <c r="C7721" t="s">
        <v>1375</v>
      </c>
      <c r="D7721" t="s">
        <v>2897</v>
      </c>
      <c r="E7721">
        <v>0</v>
      </c>
      <c r="F7721" s="11">
        <v>1</v>
      </c>
    </row>
    <row r="7722" spans="1:6" x14ac:dyDescent="0.35">
      <c r="A7722" t="s">
        <v>2857</v>
      </c>
      <c r="B7722" t="s">
        <v>2862</v>
      </c>
      <c r="C7722" t="s">
        <v>1375</v>
      </c>
      <c r="D7722" t="s">
        <v>2898</v>
      </c>
      <c r="E7722">
        <v>0</v>
      </c>
      <c r="F7722" s="11">
        <v>1</v>
      </c>
    </row>
    <row r="7723" spans="1:6" x14ac:dyDescent="0.35">
      <c r="A7723" t="s">
        <v>2857</v>
      </c>
      <c r="B7723" t="s">
        <v>2862</v>
      </c>
      <c r="C7723" t="s">
        <v>1375</v>
      </c>
      <c r="D7723" t="s">
        <v>2899</v>
      </c>
      <c r="E7723">
        <v>69075</v>
      </c>
      <c r="F7723" s="11">
        <v>1</v>
      </c>
    </row>
    <row r="7724" spans="1:6" x14ac:dyDescent="0.35">
      <c r="A7724" t="s">
        <v>2857</v>
      </c>
      <c r="B7724" t="s">
        <v>2862</v>
      </c>
      <c r="C7724" t="s">
        <v>1375</v>
      </c>
      <c r="D7724" t="s">
        <v>2900</v>
      </c>
      <c r="E7724">
        <v>0</v>
      </c>
      <c r="F7724" s="11">
        <v>1</v>
      </c>
    </row>
    <row r="7725" spans="1:6" x14ac:dyDescent="0.35">
      <c r="A7725" t="s">
        <v>2857</v>
      </c>
      <c r="B7725" t="s">
        <v>2862</v>
      </c>
      <c r="C7725" t="s">
        <v>1375</v>
      </c>
      <c r="D7725" t="s">
        <v>2901</v>
      </c>
      <c r="E7725">
        <v>0</v>
      </c>
      <c r="F7725" s="11">
        <v>1</v>
      </c>
    </row>
    <row r="7726" spans="1:6" x14ac:dyDescent="0.35">
      <c r="A7726" t="s">
        <v>2857</v>
      </c>
      <c r="B7726" t="s">
        <v>2862</v>
      </c>
      <c r="C7726" t="s">
        <v>1375</v>
      </c>
      <c r="D7726" t="s">
        <v>2902</v>
      </c>
      <c r="E7726">
        <v>0</v>
      </c>
      <c r="F7726" s="11">
        <v>0</v>
      </c>
    </row>
    <row r="7727" spans="1:6" x14ac:dyDescent="0.35">
      <c r="A7727" t="s">
        <v>2857</v>
      </c>
      <c r="B7727" t="s">
        <v>2862</v>
      </c>
      <c r="C7727" t="s">
        <v>1375</v>
      </c>
      <c r="D7727" t="s">
        <v>2903</v>
      </c>
      <c r="E7727">
        <v>13646</v>
      </c>
      <c r="F7727" s="11">
        <v>1</v>
      </c>
    </row>
    <row r="7728" spans="1:6" x14ac:dyDescent="0.35">
      <c r="A7728" t="s">
        <v>2857</v>
      </c>
      <c r="B7728" t="s">
        <v>2862</v>
      </c>
      <c r="C7728" t="s">
        <v>1375</v>
      </c>
      <c r="D7728" t="s">
        <v>2904</v>
      </c>
      <c r="E7728">
        <v>1253</v>
      </c>
      <c r="F7728" s="11">
        <v>1</v>
      </c>
    </row>
    <row r="7729" spans="1:6" x14ac:dyDescent="0.35">
      <c r="A7729" t="s">
        <v>2857</v>
      </c>
      <c r="B7729" t="s">
        <v>2862</v>
      </c>
      <c r="C7729" t="s">
        <v>1375</v>
      </c>
      <c r="D7729" t="s">
        <v>2905</v>
      </c>
      <c r="E7729">
        <v>351</v>
      </c>
      <c r="F7729" s="11">
        <v>1</v>
      </c>
    </row>
    <row r="7730" spans="1:6" x14ac:dyDescent="0.35">
      <c r="A7730" t="s">
        <v>2857</v>
      </c>
      <c r="B7730" t="s">
        <v>2862</v>
      </c>
      <c r="C7730" t="s">
        <v>1375</v>
      </c>
      <c r="D7730" t="s">
        <v>2906</v>
      </c>
      <c r="E7730">
        <v>12042</v>
      </c>
      <c r="F7730" s="11">
        <v>1</v>
      </c>
    </row>
    <row r="7731" spans="1:6" x14ac:dyDescent="0.35">
      <c r="A7731" t="s">
        <v>2857</v>
      </c>
      <c r="B7731" t="s">
        <v>2862</v>
      </c>
      <c r="C7731" t="s">
        <v>1375</v>
      </c>
      <c r="D7731" t="s">
        <v>2907</v>
      </c>
      <c r="E7731">
        <v>20817</v>
      </c>
      <c r="F7731" s="11">
        <v>1</v>
      </c>
    </row>
    <row r="7732" spans="1:6" x14ac:dyDescent="0.35">
      <c r="A7732" t="s">
        <v>2857</v>
      </c>
      <c r="B7732" t="s">
        <v>2862</v>
      </c>
      <c r="C7732" t="s">
        <v>1375</v>
      </c>
      <c r="D7732" t="s">
        <v>2908</v>
      </c>
      <c r="E7732">
        <v>2630</v>
      </c>
      <c r="F7732" s="11">
        <v>1</v>
      </c>
    </row>
    <row r="7733" spans="1:6" x14ac:dyDescent="0.35">
      <c r="A7733" t="s">
        <v>2857</v>
      </c>
      <c r="B7733" t="s">
        <v>2862</v>
      </c>
      <c r="C7733" t="s">
        <v>1375</v>
      </c>
      <c r="D7733" t="s">
        <v>2909</v>
      </c>
      <c r="E7733">
        <v>655</v>
      </c>
      <c r="F7733" s="11">
        <v>1</v>
      </c>
    </row>
    <row r="7734" spans="1:6" x14ac:dyDescent="0.35">
      <c r="A7734" t="s">
        <v>2857</v>
      </c>
      <c r="B7734" t="s">
        <v>2862</v>
      </c>
      <c r="C7734" t="s">
        <v>1375</v>
      </c>
      <c r="D7734" t="s">
        <v>2910</v>
      </c>
      <c r="E7734">
        <v>17532</v>
      </c>
      <c r="F7734" s="11">
        <v>1</v>
      </c>
    </row>
    <row r="7735" spans="1:6" x14ac:dyDescent="0.35">
      <c r="A7735" t="s">
        <v>2857</v>
      </c>
      <c r="B7735" t="s">
        <v>2862</v>
      </c>
      <c r="C7735" t="s">
        <v>1375</v>
      </c>
      <c r="D7735" t="s">
        <v>2911</v>
      </c>
      <c r="E7735">
        <v>158808</v>
      </c>
      <c r="F7735" s="11">
        <v>1</v>
      </c>
    </row>
    <row r="7736" spans="1:6" x14ac:dyDescent="0.35">
      <c r="A7736" t="s">
        <v>2857</v>
      </c>
      <c r="B7736" t="s">
        <v>2862</v>
      </c>
      <c r="C7736" t="s">
        <v>1375</v>
      </c>
      <c r="D7736" t="s">
        <v>2912</v>
      </c>
      <c r="E7736">
        <v>0</v>
      </c>
      <c r="F7736" s="11">
        <v>1</v>
      </c>
    </row>
    <row r="7737" spans="1:6" x14ac:dyDescent="0.35">
      <c r="A7737" t="s">
        <v>2857</v>
      </c>
      <c r="B7737" t="s">
        <v>2862</v>
      </c>
      <c r="C7737" t="s">
        <v>1375</v>
      </c>
      <c r="D7737" t="s">
        <v>2913</v>
      </c>
      <c r="E7737">
        <v>0</v>
      </c>
      <c r="F7737" s="11">
        <v>0</v>
      </c>
    </row>
    <row r="7738" spans="1:6" x14ac:dyDescent="0.35">
      <c r="A7738" t="s">
        <v>2857</v>
      </c>
      <c r="B7738" t="s">
        <v>2862</v>
      </c>
      <c r="C7738" t="s">
        <v>1375</v>
      </c>
      <c r="D7738" t="s">
        <v>2914</v>
      </c>
      <c r="E7738">
        <v>2805</v>
      </c>
      <c r="F7738" s="11">
        <v>1</v>
      </c>
    </row>
    <row r="7739" spans="1:6" x14ac:dyDescent="0.35">
      <c r="A7739" t="s">
        <v>2857</v>
      </c>
      <c r="B7739" t="s">
        <v>2862</v>
      </c>
      <c r="C7739" t="s">
        <v>1375</v>
      </c>
      <c r="D7739" t="s">
        <v>2915</v>
      </c>
      <c r="E7739">
        <v>0</v>
      </c>
      <c r="F7739" s="11">
        <v>0</v>
      </c>
    </row>
    <row r="7740" spans="1:6" x14ac:dyDescent="0.35">
      <c r="A7740" t="s">
        <v>2857</v>
      </c>
      <c r="B7740" t="s">
        <v>2862</v>
      </c>
      <c r="C7740" t="s">
        <v>1375</v>
      </c>
      <c r="D7740" t="s">
        <v>2916</v>
      </c>
      <c r="E7740">
        <v>0</v>
      </c>
      <c r="F7740" s="11">
        <v>0</v>
      </c>
    </row>
    <row r="7741" spans="1:6" x14ac:dyDescent="0.35">
      <c r="A7741" t="s">
        <v>2857</v>
      </c>
      <c r="B7741" t="s">
        <v>2862</v>
      </c>
      <c r="C7741" t="s">
        <v>1375</v>
      </c>
      <c r="D7741" t="s">
        <v>2917</v>
      </c>
      <c r="E7741">
        <v>0</v>
      </c>
      <c r="F7741" s="11">
        <v>1</v>
      </c>
    </row>
    <row r="7742" spans="1:6" x14ac:dyDescent="0.35">
      <c r="A7742" t="s">
        <v>2857</v>
      </c>
      <c r="B7742" t="s">
        <v>2864</v>
      </c>
      <c r="C7742" t="s">
        <v>1422</v>
      </c>
      <c r="D7742" t="s">
        <v>2875</v>
      </c>
      <c r="E7742">
        <v>14084</v>
      </c>
      <c r="F7742" s="11">
        <v>0</v>
      </c>
    </row>
    <row r="7743" spans="1:6" x14ac:dyDescent="0.35">
      <c r="A7743" t="s">
        <v>2857</v>
      </c>
      <c r="B7743" t="s">
        <v>2864</v>
      </c>
      <c r="C7743" t="s">
        <v>1422</v>
      </c>
      <c r="D7743" t="s">
        <v>2876</v>
      </c>
      <c r="E7743">
        <v>4467</v>
      </c>
      <c r="F7743" s="11">
        <v>0</v>
      </c>
    </row>
    <row r="7744" spans="1:6" x14ac:dyDescent="0.35">
      <c r="A7744" t="s">
        <v>2857</v>
      </c>
      <c r="B7744" t="s">
        <v>2864</v>
      </c>
      <c r="C7744" t="s">
        <v>1422</v>
      </c>
      <c r="D7744" t="s">
        <v>2877</v>
      </c>
      <c r="E7744">
        <v>565</v>
      </c>
      <c r="F7744" s="11">
        <v>0</v>
      </c>
    </row>
    <row r="7745" spans="1:6" x14ac:dyDescent="0.35">
      <c r="A7745" t="s">
        <v>2857</v>
      </c>
      <c r="B7745" t="s">
        <v>2864</v>
      </c>
      <c r="C7745" t="s">
        <v>1422</v>
      </c>
      <c r="D7745" t="s">
        <v>2878</v>
      </c>
      <c r="E7745">
        <v>9052</v>
      </c>
      <c r="F7745" s="11">
        <v>0</v>
      </c>
    </row>
    <row r="7746" spans="1:6" x14ac:dyDescent="0.35">
      <c r="A7746" t="s">
        <v>2857</v>
      </c>
      <c r="B7746" t="s">
        <v>2864</v>
      </c>
      <c r="C7746" t="s">
        <v>1422</v>
      </c>
      <c r="D7746" t="s">
        <v>2879</v>
      </c>
      <c r="E7746">
        <v>300</v>
      </c>
      <c r="F7746" s="11">
        <v>0</v>
      </c>
    </row>
    <row r="7747" spans="1:6" x14ac:dyDescent="0.35">
      <c r="A7747" t="s">
        <v>2857</v>
      </c>
      <c r="B7747" t="s">
        <v>2864</v>
      </c>
      <c r="C7747" t="s">
        <v>1422</v>
      </c>
      <c r="D7747" t="s">
        <v>2880</v>
      </c>
      <c r="E7747">
        <v>1456</v>
      </c>
      <c r="F7747" s="11">
        <v>0</v>
      </c>
    </row>
    <row r="7748" spans="1:6" x14ac:dyDescent="0.35">
      <c r="A7748" t="s">
        <v>2857</v>
      </c>
      <c r="B7748" t="s">
        <v>2864</v>
      </c>
      <c r="C7748" t="s">
        <v>1422</v>
      </c>
      <c r="D7748" t="s">
        <v>2881</v>
      </c>
      <c r="E7748">
        <v>49</v>
      </c>
      <c r="F7748" s="11">
        <v>0</v>
      </c>
    </row>
    <row r="7749" spans="1:6" x14ac:dyDescent="0.35">
      <c r="A7749" t="s">
        <v>2857</v>
      </c>
      <c r="B7749" t="s">
        <v>2864</v>
      </c>
      <c r="C7749" t="s">
        <v>1422</v>
      </c>
      <c r="D7749" t="s">
        <v>2882</v>
      </c>
      <c r="E7749">
        <v>1306</v>
      </c>
      <c r="F7749" s="11">
        <v>0</v>
      </c>
    </row>
    <row r="7750" spans="1:6" x14ac:dyDescent="0.35">
      <c r="A7750" t="s">
        <v>2857</v>
      </c>
      <c r="B7750" t="s">
        <v>2864</v>
      </c>
      <c r="C7750" t="s">
        <v>1422</v>
      </c>
      <c r="D7750" t="s">
        <v>2883</v>
      </c>
      <c r="E7750">
        <v>27</v>
      </c>
      <c r="F7750" s="11">
        <v>0</v>
      </c>
    </row>
    <row r="7751" spans="1:6" x14ac:dyDescent="0.35">
      <c r="A7751" t="s">
        <v>2857</v>
      </c>
      <c r="B7751" t="s">
        <v>2864</v>
      </c>
      <c r="C7751" t="s">
        <v>1422</v>
      </c>
      <c r="D7751" t="s">
        <v>2884</v>
      </c>
      <c r="E7751">
        <v>0</v>
      </c>
      <c r="F7751" s="11">
        <v>0</v>
      </c>
    </row>
    <row r="7752" spans="1:6" x14ac:dyDescent="0.35">
      <c r="A7752" t="s">
        <v>2857</v>
      </c>
      <c r="B7752" t="s">
        <v>2864</v>
      </c>
      <c r="C7752" t="s">
        <v>1422</v>
      </c>
      <c r="D7752" t="s">
        <v>2885</v>
      </c>
      <c r="E7752">
        <v>16</v>
      </c>
      <c r="F7752" s="11">
        <v>0</v>
      </c>
    </row>
    <row r="7753" spans="1:6" x14ac:dyDescent="0.35">
      <c r="A7753" t="s">
        <v>2857</v>
      </c>
      <c r="B7753" t="s">
        <v>2864</v>
      </c>
      <c r="C7753" t="s">
        <v>1422</v>
      </c>
      <c r="D7753" t="s">
        <v>2886</v>
      </c>
      <c r="E7753">
        <v>0</v>
      </c>
      <c r="F7753" s="11">
        <v>0</v>
      </c>
    </row>
    <row r="7754" spans="1:6" x14ac:dyDescent="0.35">
      <c r="A7754" t="s">
        <v>2857</v>
      </c>
      <c r="B7754" t="s">
        <v>2864</v>
      </c>
      <c r="C7754" t="s">
        <v>1422</v>
      </c>
      <c r="D7754" t="s">
        <v>2887</v>
      </c>
      <c r="E7754">
        <v>39161</v>
      </c>
      <c r="F7754" s="11">
        <v>0</v>
      </c>
    </row>
    <row r="7755" spans="1:6" x14ac:dyDescent="0.35">
      <c r="A7755" t="s">
        <v>2857</v>
      </c>
      <c r="B7755" t="s">
        <v>2864</v>
      </c>
      <c r="C7755" t="s">
        <v>1422</v>
      </c>
      <c r="D7755" t="s">
        <v>2888</v>
      </c>
      <c r="E7755">
        <v>18596</v>
      </c>
      <c r="F7755" s="11">
        <v>0</v>
      </c>
    </row>
    <row r="7756" spans="1:6" x14ac:dyDescent="0.35">
      <c r="A7756" t="s">
        <v>2857</v>
      </c>
      <c r="B7756" t="s">
        <v>2864</v>
      </c>
      <c r="C7756" t="s">
        <v>1422</v>
      </c>
      <c r="D7756" t="s">
        <v>2889</v>
      </c>
      <c r="E7756">
        <v>82</v>
      </c>
      <c r="F7756" s="11">
        <v>0</v>
      </c>
    </row>
    <row r="7757" spans="1:6" x14ac:dyDescent="0.35">
      <c r="A7757" t="s">
        <v>2857</v>
      </c>
      <c r="B7757" t="s">
        <v>2864</v>
      </c>
      <c r="C7757" t="s">
        <v>1422</v>
      </c>
      <c r="D7757" t="s">
        <v>2890</v>
      </c>
      <c r="E7757">
        <v>20483</v>
      </c>
      <c r="F7757" s="11">
        <v>0</v>
      </c>
    </row>
    <row r="7758" spans="1:6" x14ac:dyDescent="0.35">
      <c r="A7758" t="s">
        <v>2857</v>
      </c>
      <c r="B7758" t="s">
        <v>2864</v>
      </c>
      <c r="C7758" t="s">
        <v>1422</v>
      </c>
      <c r="D7758" t="s">
        <v>2891</v>
      </c>
      <c r="E7758">
        <v>497</v>
      </c>
      <c r="F7758" s="11">
        <v>0</v>
      </c>
    </row>
    <row r="7759" spans="1:6" x14ac:dyDescent="0.35">
      <c r="A7759" t="s">
        <v>2857</v>
      </c>
      <c r="B7759" t="s">
        <v>2864</v>
      </c>
      <c r="C7759" t="s">
        <v>1422</v>
      </c>
      <c r="D7759" t="s">
        <v>2892</v>
      </c>
      <c r="E7759">
        <v>386</v>
      </c>
      <c r="F7759" s="11">
        <v>0</v>
      </c>
    </row>
    <row r="7760" spans="1:6" x14ac:dyDescent="0.35">
      <c r="A7760" t="s">
        <v>2857</v>
      </c>
      <c r="B7760" t="s">
        <v>2864</v>
      </c>
      <c r="C7760" t="s">
        <v>1422</v>
      </c>
      <c r="D7760" t="s">
        <v>2893</v>
      </c>
      <c r="E7760">
        <v>0</v>
      </c>
      <c r="F7760" s="11">
        <v>0</v>
      </c>
    </row>
    <row r="7761" spans="1:6" x14ac:dyDescent="0.35">
      <c r="A7761" t="s">
        <v>2857</v>
      </c>
      <c r="B7761" t="s">
        <v>2864</v>
      </c>
      <c r="C7761" t="s">
        <v>1422</v>
      </c>
      <c r="D7761" t="s">
        <v>2894</v>
      </c>
      <c r="E7761">
        <v>111</v>
      </c>
      <c r="F7761" s="11">
        <v>0</v>
      </c>
    </row>
    <row r="7762" spans="1:6" x14ac:dyDescent="0.35">
      <c r="A7762" t="s">
        <v>2857</v>
      </c>
      <c r="B7762" t="s">
        <v>2864</v>
      </c>
      <c r="C7762" t="s">
        <v>1422</v>
      </c>
      <c r="D7762" t="s">
        <v>2895</v>
      </c>
      <c r="E7762">
        <v>286308</v>
      </c>
      <c r="F7762" s="11">
        <v>0</v>
      </c>
    </row>
    <row r="7763" spans="1:6" x14ac:dyDescent="0.35">
      <c r="A7763" t="s">
        <v>2857</v>
      </c>
      <c r="B7763" t="s">
        <v>2864</v>
      </c>
      <c r="C7763" t="s">
        <v>1422</v>
      </c>
      <c r="D7763" t="s">
        <v>2896</v>
      </c>
      <c r="E7763">
        <v>124189</v>
      </c>
      <c r="F7763" s="11">
        <v>0</v>
      </c>
    </row>
    <row r="7764" spans="1:6" x14ac:dyDescent="0.35">
      <c r="A7764" t="s">
        <v>2857</v>
      </c>
      <c r="B7764" t="s">
        <v>2864</v>
      </c>
      <c r="C7764" t="s">
        <v>1422</v>
      </c>
      <c r="D7764" t="s">
        <v>2897</v>
      </c>
      <c r="E7764">
        <v>6316</v>
      </c>
      <c r="F7764" s="11">
        <v>0</v>
      </c>
    </row>
    <row r="7765" spans="1:6" x14ac:dyDescent="0.35">
      <c r="A7765" t="s">
        <v>2857</v>
      </c>
      <c r="B7765" t="s">
        <v>2864</v>
      </c>
      <c r="C7765" t="s">
        <v>1422</v>
      </c>
      <c r="D7765" t="s">
        <v>2898</v>
      </c>
      <c r="E7765">
        <v>143603</v>
      </c>
      <c r="F7765" s="11">
        <v>0</v>
      </c>
    </row>
    <row r="7766" spans="1:6" x14ac:dyDescent="0.35">
      <c r="A7766" t="s">
        <v>2857</v>
      </c>
      <c r="B7766" t="s">
        <v>2864</v>
      </c>
      <c r="C7766" t="s">
        <v>1422</v>
      </c>
      <c r="D7766" t="s">
        <v>2899</v>
      </c>
      <c r="E7766">
        <v>4004</v>
      </c>
      <c r="F7766" s="11">
        <v>0</v>
      </c>
    </row>
    <row r="7767" spans="1:6" x14ac:dyDescent="0.35">
      <c r="A7767" t="s">
        <v>2857</v>
      </c>
      <c r="B7767" t="s">
        <v>2864</v>
      </c>
      <c r="C7767" t="s">
        <v>1422</v>
      </c>
      <c r="D7767" t="s">
        <v>2900</v>
      </c>
      <c r="E7767">
        <v>154</v>
      </c>
      <c r="F7767" s="11">
        <v>0</v>
      </c>
    </row>
    <row r="7768" spans="1:6" x14ac:dyDescent="0.35">
      <c r="A7768" t="s">
        <v>2857</v>
      </c>
      <c r="B7768" t="s">
        <v>2864</v>
      </c>
      <c r="C7768" t="s">
        <v>1422</v>
      </c>
      <c r="D7768" t="s">
        <v>2901</v>
      </c>
      <c r="E7768">
        <v>9</v>
      </c>
      <c r="F7768" s="11">
        <v>0</v>
      </c>
    </row>
    <row r="7769" spans="1:6" x14ac:dyDescent="0.35">
      <c r="A7769" t="s">
        <v>2857</v>
      </c>
      <c r="B7769" t="s">
        <v>2864</v>
      </c>
      <c r="C7769" t="s">
        <v>1422</v>
      </c>
      <c r="D7769" t="s">
        <v>2902</v>
      </c>
      <c r="E7769">
        <v>3841</v>
      </c>
      <c r="F7769" s="11">
        <v>0</v>
      </c>
    </row>
    <row r="7770" spans="1:6" x14ac:dyDescent="0.35">
      <c r="A7770" t="s">
        <v>2857</v>
      </c>
      <c r="B7770" t="s">
        <v>2864</v>
      </c>
      <c r="C7770" t="s">
        <v>1422</v>
      </c>
      <c r="D7770" t="s">
        <v>2903</v>
      </c>
      <c r="E7770">
        <v>16750</v>
      </c>
      <c r="F7770" s="11">
        <v>0</v>
      </c>
    </row>
    <row r="7771" spans="1:6" x14ac:dyDescent="0.35">
      <c r="A7771" t="s">
        <v>2857</v>
      </c>
      <c r="B7771" t="s">
        <v>2864</v>
      </c>
      <c r="C7771" t="s">
        <v>1422</v>
      </c>
      <c r="D7771" t="s">
        <v>2904</v>
      </c>
      <c r="E7771">
        <v>879</v>
      </c>
      <c r="F7771" s="11">
        <v>0</v>
      </c>
    </row>
    <row r="7772" spans="1:6" x14ac:dyDescent="0.35">
      <c r="A7772" t="s">
        <v>2857</v>
      </c>
      <c r="B7772" t="s">
        <v>2864</v>
      </c>
      <c r="C7772" t="s">
        <v>1422</v>
      </c>
      <c r="D7772" t="s">
        <v>2905</v>
      </c>
      <c r="E7772">
        <v>616</v>
      </c>
      <c r="F7772" s="11">
        <v>0</v>
      </c>
    </row>
    <row r="7773" spans="1:6" x14ac:dyDescent="0.35">
      <c r="A7773" t="s">
        <v>2857</v>
      </c>
      <c r="B7773" t="s">
        <v>2864</v>
      </c>
      <c r="C7773" t="s">
        <v>1422</v>
      </c>
      <c r="D7773" t="s">
        <v>2906</v>
      </c>
      <c r="E7773">
        <v>15256</v>
      </c>
      <c r="F7773" s="11">
        <v>0</v>
      </c>
    </row>
    <row r="7774" spans="1:6" x14ac:dyDescent="0.35">
      <c r="A7774" t="s">
        <v>2857</v>
      </c>
      <c r="B7774" t="s">
        <v>2864</v>
      </c>
      <c r="C7774" t="s">
        <v>1422</v>
      </c>
      <c r="D7774" t="s">
        <v>2907</v>
      </c>
      <c r="E7774">
        <v>35371</v>
      </c>
      <c r="F7774" s="11">
        <v>0</v>
      </c>
    </row>
    <row r="7775" spans="1:6" x14ac:dyDescent="0.35">
      <c r="A7775" t="s">
        <v>2857</v>
      </c>
      <c r="B7775" t="s">
        <v>2864</v>
      </c>
      <c r="C7775" t="s">
        <v>1422</v>
      </c>
      <c r="D7775" t="s">
        <v>2908</v>
      </c>
      <c r="E7775">
        <v>5572</v>
      </c>
      <c r="F7775" s="11">
        <v>0</v>
      </c>
    </row>
    <row r="7776" spans="1:6" x14ac:dyDescent="0.35">
      <c r="A7776" t="s">
        <v>2857</v>
      </c>
      <c r="B7776" t="s">
        <v>2864</v>
      </c>
      <c r="C7776" t="s">
        <v>1422</v>
      </c>
      <c r="D7776" t="s">
        <v>2909</v>
      </c>
      <c r="E7776">
        <v>1224</v>
      </c>
      <c r="F7776" s="11">
        <v>0</v>
      </c>
    </row>
    <row r="7777" spans="1:6" x14ac:dyDescent="0.35">
      <c r="A7777" t="s">
        <v>2857</v>
      </c>
      <c r="B7777" t="s">
        <v>2864</v>
      </c>
      <c r="C7777" t="s">
        <v>1422</v>
      </c>
      <c r="D7777" t="s">
        <v>2910</v>
      </c>
      <c r="E7777">
        <v>28575</v>
      </c>
      <c r="F7777" s="11">
        <v>0</v>
      </c>
    </row>
    <row r="7778" spans="1:6" x14ac:dyDescent="0.35">
      <c r="A7778" t="s">
        <v>2857</v>
      </c>
      <c r="B7778" t="s">
        <v>2864</v>
      </c>
      <c r="C7778" t="s">
        <v>1422</v>
      </c>
      <c r="D7778" t="s">
        <v>2911</v>
      </c>
      <c r="E7778">
        <v>585810</v>
      </c>
      <c r="F7778" s="11">
        <v>0</v>
      </c>
    </row>
    <row r="7779" spans="1:6" x14ac:dyDescent="0.35">
      <c r="A7779" t="s">
        <v>2857</v>
      </c>
      <c r="B7779" t="s">
        <v>2864</v>
      </c>
      <c r="C7779" t="s">
        <v>1422</v>
      </c>
      <c r="D7779" t="s">
        <v>2912</v>
      </c>
      <c r="E7779">
        <v>0</v>
      </c>
      <c r="F7779" s="11">
        <v>0</v>
      </c>
    </row>
    <row r="7780" spans="1:6" x14ac:dyDescent="0.35">
      <c r="A7780" t="s">
        <v>2857</v>
      </c>
      <c r="B7780" t="s">
        <v>2864</v>
      </c>
      <c r="C7780" t="s">
        <v>1422</v>
      </c>
      <c r="D7780" t="s">
        <v>2913</v>
      </c>
      <c r="E7780">
        <v>0</v>
      </c>
      <c r="F7780" s="11">
        <v>0</v>
      </c>
    </row>
    <row r="7781" spans="1:6" x14ac:dyDescent="0.35">
      <c r="A7781" t="s">
        <v>2857</v>
      </c>
      <c r="B7781" t="s">
        <v>2864</v>
      </c>
      <c r="C7781" t="s">
        <v>1422</v>
      </c>
      <c r="D7781" t="s">
        <v>2914</v>
      </c>
      <c r="E7781">
        <v>8843</v>
      </c>
      <c r="F7781" s="11">
        <v>0</v>
      </c>
    </row>
    <row r="7782" spans="1:6" x14ac:dyDescent="0.35">
      <c r="A7782" t="s">
        <v>2857</v>
      </c>
      <c r="B7782" t="s">
        <v>2864</v>
      </c>
      <c r="C7782" t="s">
        <v>1422</v>
      </c>
      <c r="D7782" t="s">
        <v>2915</v>
      </c>
      <c r="E7782">
        <v>801</v>
      </c>
      <c r="F7782" s="11">
        <v>0</v>
      </c>
    </row>
    <row r="7783" spans="1:6" x14ac:dyDescent="0.35">
      <c r="A7783" t="s">
        <v>2857</v>
      </c>
      <c r="B7783" t="s">
        <v>2864</v>
      </c>
      <c r="C7783" t="s">
        <v>1422</v>
      </c>
      <c r="D7783" t="s">
        <v>2916</v>
      </c>
      <c r="E7783">
        <v>44444</v>
      </c>
      <c r="F7783" s="11">
        <v>0</v>
      </c>
    </row>
    <row r="7784" spans="1:6" x14ac:dyDescent="0.35">
      <c r="A7784" t="s">
        <v>2857</v>
      </c>
      <c r="B7784" t="s">
        <v>2864</v>
      </c>
      <c r="C7784" t="s">
        <v>1422</v>
      </c>
      <c r="D7784" t="s">
        <v>2917</v>
      </c>
      <c r="E7784">
        <v>0</v>
      </c>
      <c r="F7784" s="11">
        <v>0</v>
      </c>
    </row>
    <row r="7785" spans="1:6" x14ac:dyDescent="0.35">
      <c r="A7785" t="s">
        <v>2857</v>
      </c>
      <c r="B7785" t="s">
        <v>2862</v>
      </c>
      <c r="C7785" t="s">
        <v>1429</v>
      </c>
      <c r="D7785" t="s">
        <v>2875</v>
      </c>
      <c r="E7785">
        <v>11626</v>
      </c>
      <c r="F7785" s="11">
        <v>1</v>
      </c>
    </row>
    <row r="7786" spans="1:6" x14ac:dyDescent="0.35">
      <c r="A7786" t="s">
        <v>2857</v>
      </c>
      <c r="B7786" t="s">
        <v>2862</v>
      </c>
      <c r="C7786" t="s">
        <v>1429</v>
      </c>
      <c r="D7786" t="s">
        <v>2876</v>
      </c>
      <c r="E7786">
        <v>1492</v>
      </c>
      <c r="F7786" s="11">
        <v>0</v>
      </c>
    </row>
    <row r="7787" spans="1:6" x14ac:dyDescent="0.35">
      <c r="A7787" t="s">
        <v>2857</v>
      </c>
      <c r="B7787" t="s">
        <v>2862</v>
      </c>
      <c r="C7787" t="s">
        <v>1429</v>
      </c>
      <c r="D7787" t="s">
        <v>2877</v>
      </c>
      <c r="E7787">
        <v>598</v>
      </c>
      <c r="F7787" s="11">
        <v>0</v>
      </c>
    </row>
    <row r="7788" spans="1:6" x14ac:dyDescent="0.35">
      <c r="A7788" t="s">
        <v>2857</v>
      </c>
      <c r="B7788" t="s">
        <v>2862</v>
      </c>
      <c r="C7788" t="s">
        <v>1429</v>
      </c>
      <c r="D7788" t="s">
        <v>2878</v>
      </c>
      <c r="E7788">
        <v>9536</v>
      </c>
      <c r="F7788" s="11">
        <v>0</v>
      </c>
    </row>
    <row r="7789" spans="1:6" x14ac:dyDescent="0.35">
      <c r="A7789" t="s">
        <v>2857</v>
      </c>
      <c r="B7789" t="s">
        <v>2862</v>
      </c>
      <c r="C7789" t="s">
        <v>1429</v>
      </c>
      <c r="D7789" t="s">
        <v>2879</v>
      </c>
      <c r="E7789">
        <v>1148</v>
      </c>
      <c r="F7789" s="11">
        <v>1</v>
      </c>
    </row>
    <row r="7790" spans="1:6" x14ac:dyDescent="0.35">
      <c r="A7790" t="s">
        <v>2857</v>
      </c>
      <c r="B7790" t="s">
        <v>2862</v>
      </c>
      <c r="C7790" t="s">
        <v>1429</v>
      </c>
      <c r="D7790" t="s">
        <v>2880</v>
      </c>
      <c r="E7790">
        <v>988</v>
      </c>
      <c r="F7790" s="11">
        <v>1</v>
      </c>
    </row>
    <row r="7791" spans="1:6" x14ac:dyDescent="0.35">
      <c r="A7791" t="s">
        <v>2857</v>
      </c>
      <c r="B7791" t="s">
        <v>2862</v>
      </c>
      <c r="C7791" t="s">
        <v>1429</v>
      </c>
      <c r="D7791" t="s">
        <v>2881</v>
      </c>
      <c r="E7791">
        <v>0</v>
      </c>
      <c r="F7791" s="11">
        <v>1</v>
      </c>
    </row>
    <row r="7792" spans="1:6" x14ac:dyDescent="0.35">
      <c r="A7792" t="s">
        <v>2857</v>
      </c>
      <c r="B7792" t="s">
        <v>2862</v>
      </c>
      <c r="C7792" t="s">
        <v>1429</v>
      </c>
      <c r="D7792" t="s">
        <v>2882</v>
      </c>
      <c r="E7792">
        <v>160</v>
      </c>
      <c r="F7792" s="11">
        <v>0</v>
      </c>
    </row>
    <row r="7793" spans="1:6" x14ac:dyDescent="0.35">
      <c r="A7793" t="s">
        <v>2857</v>
      </c>
      <c r="B7793" t="s">
        <v>2862</v>
      </c>
      <c r="C7793" t="s">
        <v>1429</v>
      </c>
      <c r="D7793" t="s">
        <v>2883</v>
      </c>
      <c r="E7793">
        <v>0</v>
      </c>
      <c r="F7793" s="11">
        <v>0</v>
      </c>
    </row>
    <row r="7794" spans="1:6" x14ac:dyDescent="0.35">
      <c r="A7794" t="s">
        <v>2857</v>
      </c>
      <c r="B7794" t="s">
        <v>2862</v>
      </c>
      <c r="C7794" t="s">
        <v>1429</v>
      </c>
      <c r="D7794" t="s">
        <v>2884</v>
      </c>
      <c r="E7794">
        <v>0</v>
      </c>
      <c r="F7794" s="11">
        <v>0</v>
      </c>
    </row>
    <row r="7795" spans="1:6" x14ac:dyDescent="0.35">
      <c r="A7795" t="s">
        <v>2857</v>
      </c>
      <c r="B7795" t="s">
        <v>2862</v>
      </c>
      <c r="C7795" t="s">
        <v>1429</v>
      </c>
      <c r="D7795" t="s">
        <v>2885</v>
      </c>
      <c r="E7795">
        <v>0</v>
      </c>
      <c r="F7795" s="11">
        <v>0</v>
      </c>
    </row>
    <row r="7796" spans="1:6" x14ac:dyDescent="0.35">
      <c r="A7796" t="s">
        <v>2857</v>
      </c>
      <c r="B7796" t="s">
        <v>2862</v>
      </c>
      <c r="C7796" t="s">
        <v>1429</v>
      </c>
      <c r="D7796" t="s">
        <v>2886</v>
      </c>
      <c r="E7796">
        <v>0</v>
      </c>
      <c r="F7796" s="11">
        <v>0</v>
      </c>
    </row>
    <row r="7797" spans="1:6" x14ac:dyDescent="0.35">
      <c r="A7797" t="s">
        <v>2857</v>
      </c>
      <c r="B7797" t="s">
        <v>2862</v>
      </c>
      <c r="C7797" t="s">
        <v>1429</v>
      </c>
      <c r="D7797" t="s">
        <v>2887</v>
      </c>
      <c r="E7797">
        <v>31652</v>
      </c>
      <c r="F7797" s="11">
        <v>1</v>
      </c>
    </row>
    <row r="7798" spans="1:6" x14ac:dyDescent="0.35">
      <c r="A7798" t="s">
        <v>2857</v>
      </c>
      <c r="B7798" t="s">
        <v>2862</v>
      </c>
      <c r="C7798" t="s">
        <v>1429</v>
      </c>
      <c r="D7798" t="s">
        <v>2888</v>
      </c>
      <c r="E7798">
        <v>16382</v>
      </c>
      <c r="F7798" s="11">
        <v>1</v>
      </c>
    </row>
    <row r="7799" spans="1:6" x14ac:dyDescent="0.35">
      <c r="A7799" t="s">
        <v>2857</v>
      </c>
      <c r="B7799" t="s">
        <v>2862</v>
      </c>
      <c r="C7799" t="s">
        <v>1429</v>
      </c>
      <c r="D7799" t="s">
        <v>2889</v>
      </c>
      <c r="E7799">
        <v>0</v>
      </c>
      <c r="F7799" s="11">
        <v>1</v>
      </c>
    </row>
    <row r="7800" spans="1:6" x14ac:dyDescent="0.35">
      <c r="A7800" t="s">
        <v>2857</v>
      </c>
      <c r="B7800" t="s">
        <v>2862</v>
      </c>
      <c r="C7800" t="s">
        <v>1429</v>
      </c>
      <c r="D7800" t="s">
        <v>2890</v>
      </c>
      <c r="E7800">
        <v>0</v>
      </c>
      <c r="F7800" s="11">
        <v>0</v>
      </c>
    </row>
    <row r="7801" spans="1:6" x14ac:dyDescent="0.35">
      <c r="A7801" t="s">
        <v>2857</v>
      </c>
      <c r="B7801" t="s">
        <v>2862</v>
      </c>
      <c r="C7801" t="s">
        <v>1429</v>
      </c>
      <c r="D7801" t="s">
        <v>2891</v>
      </c>
      <c r="E7801">
        <v>0</v>
      </c>
      <c r="F7801" s="11">
        <v>0</v>
      </c>
    </row>
    <row r="7802" spans="1:6" x14ac:dyDescent="0.35">
      <c r="A7802" t="s">
        <v>2857</v>
      </c>
      <c r="B7802" t="s">
        <v>2862</v>
      </c>
      <c r="C7802" t="s">
        <v>1429</v>
      </c>
      <c r="D7802" t="s">
        <v>2892</v>
      </c>
      <c r="E7802">
        <v>0</v>
      </c>
      <c r="F7802" s="11">
        <v>0</v>
      </c>
    </row>
    <row r="7803" spans="1:6" x14ac:dyDescent="0.35">
      <c r="A7803" t="s">
        <v>2857</v>
      </c>
      <c r="B7803" t="s">
        <v>2862</v>
      </c>
      <c r="C7803" t="s">
        <v>1429</v>
      </c>
      <c r="D7803" t="s">
        <v>2893</v>
      </c>
      <c r="E7803">
        <v>0</v>
      </c>
      <c r="F7803" s="11">
        <v>0</v>
      </c>
    </row>
    <row r="7804" spans="1:6" x14ac:dyDescent="0.35">
      <c r="A7804" t="s">
        <v>2857</v>
      </c>
      <c r="B7804" t="s">
        <v>2862</v>
      </c>
      <c r="C7804" t="s">
        <v>1429</v>
      </c>
      <c r="D7804" t="s">
        <v>2894</v>
      </c>
      <c r="E7804">
        <v>0</v>
      </c>
      <c r="F7804" s="11">
        <v>0</v>
      </c>
    </row>
    <row r="7805" spans="1:6" x14ac:dyDescent="0.35">
      <c r="A7805" t="s">
        <v>2857</v>
      </c>
      <c r="B7805" t="s">
        <v>2862</v>
      </c>
      <c r="C7805" t="s">
        <v>1429</v>
      </c>
      <c r="D7805" t="s">
        <v>2895</v>
      </c>
      <c r="E7805">
        <v>378001</v>
      </c>
      <c r="F7805" s="11">
        <v>1</v>
      </c>
    </row>
    <row r="7806" spans="1:6" x14ac:dyDescent="0.35">
      <c r="A7806" t="s">
        <v>2857</v>
      </c>
      <c r="B7806" t="s">
        <v>2862</v>
      </c>
      <c r="C7806" t="s">
        <v>1429</v>
      </c>
      <c r="D7806" t="s">
        <v>2896</v>
      </c>
      <c r="E7806">
        <v>197961</v>
      </c>
      <c r="F7806" s="11">
        <v>1</v>
      </c>
    </row>
    <row r="7807" spans="1:6" x14ac:dyDescent="0.35">
      <c r="A7807" t="s">
        <v>2857</v>
      </c>
      <c r="B7807" t="s">
        <v>2862</v>
      </c>
      <c r="C7807" t="s">
        <v>1429</v>
      </c>
      <c r="D7807" t="s">
        <v>2897</v>
      </c>
      <c r="E7807">
        <v>4099</v>
      </c>
      <c r="F7807" s="11">
        <v>1</v>
      </c>
    </row>
    <row r="7808" spans="1:6" x14ac:dyDescent="0.35">
      <c r="A7808" t="s">
        <v>2857</v>
      </c>
      <c r="B7808" t="s">
        <v>2862</v>
      </c>
      <c r="C7808" t="s">
        <v>1429</v>
      </c>
      <c r="D7808" t="s">
        <v>2898</v>
      </c>
      <c r="E7808">
        <v>175941</v>
      </c>
      <c r="F7808" s="11">
        <v>1</v>
      </c>
    </row>
    <row r="7809" spans="1:6" x14ac:dyDescent="0.35">
      <c r="A7809" t="s">
        <v>2857</v>
      </c>
      <c r="B7809" t="s">
        <v>2862</v>
      </c>
      <c r="C7809" t="s">
        <v>1429</v>
      </c>
      <c r="D7809" t="s">
        <v>2899</v>
      </c>
      <c r="E7809">
        <v>4829</v>
      </c>
      <c r="F7809" s="11">
        <v>1</v>
      </c>
    </row>
    <row r="7810" spans="1:6" x14ac:dyDescent="0.35">
      <c r="A7810" t="s">
        <v>2857</v>
      </c>
      <c r="B7810" t="s">
        <v>2862</v>
      </c>
      <c r="C7810" t="s">
        <v>1429</v>
      </c>
      <c r="D7810" t="s">
        <v>2900</v>
      </c>
      <c r="E7810">
        <v>419</v>
      </c>
      <c r="F7810" s="11">
        <v>1</v>
      </c>
    </row>
    <row r="7811" spans="1:6" x14ac:dyDescent="0.35">
      <c r="A7811" t="s">
        <v>2857</v>
      </c>
      <c r="B7811" t="s">
        <v>2862</v>
      </c>
      <c r="C7811" t="s">
        <v>1429</v>
      </c>
      <c r="D7811" t="s">
        <v>2901</v>
      </c>
      <c r="E7811">
        <v>6</v>
      </c>
      <c r="F7811" s="11">
        <v>1</v>
      </c>
    </row>
    <row r="7812" spans="1:6" x14ac:dyDescent="0.35">
      <c r="A7812" t="s">
        <v>2857</v>
      </c>
      <c r="B7812" t="s">
        <v>2862</v>
      </c>
      <c r="C7812" t="s">
        <v>1429</v>
      </c>
      <c r="D7812" t="s">
        <v>2902</v>
      </c>
      <c r="E7812">
        <v>4404</v>
      </c>
      <c r="F7812" s="11">
        <v>1</v>
      </c>
    </row>
    <row r="7813" spans="1:6" x14ac:dyDescent="0.35">
      <c r="A7813" t="s">
        <v>2857</v>
      </c>
      <c r="B7813" t="s">
        <v>2862</v>
      </c>
      <c r="C7813" t="s">
        <v>1429</v>
      </c>
      <c r="D7813" t="s">
        <v>2903</v>
      </c>
      <c r="E7813">
        <v>23375</v>
      </c>
      <c r="F7813" s="11">
        <v>1</v>
      </c>
    </row>
    <row r="7814" spans="1:6" x14ac:dyDescent="0.35">
      <c r="A7814" t="s">
        <v>2857</v>
      </c>
      <c r="B7814" t="s">
        <v>2862</v>
      </c>
      <c r="C7814" t="s">
        <v>1429</v>
      </c>
      <c r="D7814" t="s">
        <v>2904</v>
      </c>
      <c r="E7814">
        <v>0</v>
      </c>
      <c r="F7814" s="11">
        <v>0</v>
      </c>
    </row>
    <row r="7815" spans="1:6" x14ac:dyDescent="0.35">
      <c r="A7815" t="s">
        <v>2857</v>
      </c>
      <c r="B7815" t="s">
        <v>2862</v>
      </c>
      <c r="C7815" t="s">
        <v>1429</v>
      </c>
      <c r="D7815" t="s">
        <v>2905</v>
      </c>
      <c r="E7815">
        <v>0</v>
      </c>
      <c r="F7815" s="11">
        <v>0</v>
      </c>
    </row>
    <row r="7816" spans="1:6" x14ac:dyDescent="0.35">
      <c r="A7816" t="s">
        <v>2857</v>
      </c>
      <c r="B7816" t="s">
        <v>2862</v>
      </c>
      <c r="C7816" t="s">
        <v>1429</v>
      </c>
      <c r="D7816" t="s">
        <v>2906</v>
      </c>
      <c r="E7816">
        <v>0</v>
      </c>
      <c r="F7816" s="11">
        <v>0</v>
      </c>
    </row>
    <row r="7817" spans="1:6" x14ac:dyDescent="0.35">
      <c r="A7817" t="s">
        <v>2857</v>
      </c>
      <c r="B7817" t="s">
        <v>2862</v>
      </c>
      <c r="C7817" t="s">
        <v>1429</v>
      </c>
      <c r="D7817" t="s">
        <v>2907</v>
      </c>
      <c r="E7817">
        <v>27317</v>
      </c>
      <c r="F7817" s="11">
        <v>1</v>
      </c>
    </row>
    <row r="7818" spans="1:6" x14ac:dyDescent="0.35">
      <c r="A7818" t="s">
        <v>2857</v>
      </c>
      <c r="B7818" t="s">
        <v>2862</v>
      </c>
      <c r="C7818" t="s">
        <v>1429</v>
      </c>
      <c r="D7818" t="s">
        <v>2908</v>
      </c>
      <c r="E7818">
        <v>0</v>
      </c>
      <c r="F7818" s="11">
        <v>0</v>
      </c>
    </row>
    <row r="7819" spans="1:6" x14ac:dyDescent="0.35">
      <c r="A7819" t="s">
        <v>2857</v>
      </c>
      <c r="B7819" t="s">
        <v>2862</v>
      </c>
      <c r="C7819" t="s">
        <v>1429</v>
      </c>
      <c r="D7819" t="s">
        <v>2909</v>
      </c>
      <c r="E7819">
        <v>0</v>
      </c>
      <c r="F7819" s="11">
        <v>0</v>
      </c>
    </row>
    <row r="7820" spans="1:6" x14ac:dyDescent="0.35">
      <c r="A7820" t="s">
        <v>2857</v>
      </c>
      <c r="B7820" t="s">
        <v>2862</v>
      </c>
      <c r="C7820" t="s">
        <v>1429</v>
      </c>
      <c r="D7820" t="s">
        <v>2910</v>
      </c>
      <c r="E7820">
        <v>0</v>
      </c>
      <c r="F7820" s="11">
        <v>0</v>
      </c>
    </row>
    <row r="7821" spans="1:6" x14ac:dyDescent="0.35">
      <c r="A7821" t="s">
        <v>2857</v>
      </c>
      <c r="B7821" t="s">
        <v>2862</v>
      </c>
      <c r="C7821" t="s">
        <v>1429</v>
      </c>
      <c r="D7821" t="s">
        <v>2911</v>
      </c>
      <c r="E7821">
        <v>270375</v>
      </c>
      <c r="F7821" s="11">
        <v>1</v>
      </c>
    </row>
    <row r="7822" spans="1:6" x14ac:dyDescent="0.35">
      <c r="A7822" t="s">
        <v>2857</v>
      </c>
      <c r="B7822" t="s">
        <v>2862</v>
      </c>
      <c r="C7822" t="s">
        <v>1429</v>
      </c>
      <c r="D7822" t="s">
        <v>2912</v>
      </c>
      <c r="E7822">
        <v>35366</v>
      </c>
      <c r="F7822" s="11">
        <v>1</v>
      </c>
    </row>
    <row r="7823" spans="1:6" x14ac:dyDescent="0.35">
      <c r="A7823" t="s">
        <v>2857</v>
      </c>
      <c r="B7823" t="s">
        <v>2862</v>
      </c>
      <c r="C7823" t="s">
        <v>1429</v>
      </c>
      <c r="D7823" t="s">
        <v>2913</v>
      </c>
      <c r="E7823">
        <v>0</v>
      </c>
      <c r="F7823" s="11">
        <v>0</v>
      </c>
    </row>
    <row r="7824" spans="1:6" x14ac:dyDescent="0.35">
      <c r="A7824" t="s">
        <v>2857</v>
      </c>
      <c r="B7824" t="s">
        <v>2862</v>
      </c>
      <c r="C7824" t="s">
        <v>1429</v>
      </c>
      <c r="D7824" t="s">
        <v>2914</v>
      </c>
      <c r="E7824">
        <v>0</v>
      </c>
      <c r="F7824" s="11">
        <v>0</v>
      </c>
    </row>
    <row r="7825" spans="1:6" x14ac:dyDescent="0.35">
      <c r="A7825" t="s">
        <v>2857</v>
      </c>
      <c r="B7825" t="s">
        <v>2862</v>
      </c>
      <c r="C7825" t="s">
        <v>1429</v>
      </c>
      <c r="D7825" t="s">
        <v>2915</v>
      </c>
      <c r="E7825">
        <v>1713</v>
      </c>
      <c r="F7825" s="11">
        <v>1</v>
      </c>
    </row>
    <row r="7826" spans="1:6" x14ac:dyDescent="0.35">
      <c r="A7826" t="s">
        <v>2857</v>
      </c>
      <c r="B7826" t="s">
        <v>2862</v>
      </c>
      <c r="C7826" t="s">
        <v>1429</v>
      </c>
      <c r="D7826" t="s">
        <v>2916</v>
      </c>
      <c r="E7826">
        <v>21187</v>
      </c>
      <c r="F7826" s="11">
        <v>1</v>
      </c>
    </row>
    <row r="7827" spans="1:6" x14ac:dyDescent="0.35">
      <c r="A7827" t="s">
        <v>2857</v>
      </c>
      <c r="B7827" t="s">
        <v>2862</v>
      </c>
      <c r="C7827" t="s">
        <v>1429</v>
      </c>
      <c r="D7827" t="s">
        <v>2917</v>
      </c>
      <c r="E7827">
        <v>32403</v>
      </c>
      <c r="F7827" s="11">
        <v>1</v>
      </c>
    </row>
    <row r="7828" spans="1:6" x14ac:dyDescent="0.35">
      <c r="A7828" t="s">
        <v>2857</v>
      </c>
      <c r="B7828" t="s">
        <v>2866</v>
      </c>
      <c r="C7828" t="s">
        <v>1518</v>
      </c>
      <c r="D7828" t="s">
        <v>2875</v>
      </c>
      <c r="E7828">
        <v>28282</v>
      </c>
      <c r="F7828" s="11">
        <v>1</v>
      </c>
    </row>
    <row r="7829" spans="1:6" x14ac:dyDescent="0.35">
      <c r="A7829" t="s">
        <v>2857</v>
      </c>
      <c r="B7829" t="s">
        <v>2866</v>
      </c>
      <c r="C7829" t="s">
        <v>1518</v>
      </c>
      <c r="D7829" t="s">
        <v>2876</v>
      </c>
      <c r="E7829">
        <v>5705</v>
      </c>
      <c r="F7829" s="11">
        <v>1</v>
      </c>
    </row>
    <row r="7830" spans="1:6" x14ac:dyDescent="0.35">
      <c r="A7830" t="s">
        <v>2857</v>
      </c>
      <c r="B7830" t="s">
        <v>2866</v>
      </c>
      <c r="C7830" t="s">
        <v>1518</v>
      </c>
      <c r="D7830" t="s">
        <v>2877</v>
      </c>
      <c r="E7830">
        <v>2631</v>
      </c>
      <c r="F7830" s="11">
        <v>1</v>
      </c>
    </row>
    <row r="7831" spans="1:6" x14ac:dyDescent="0.35">
      <c r="A7831" t="s">
        <v>2857</v>
      </c>
      <c r="B7831" t="s">
        <v>2866</v>
      </c>
      <c r="C7831" t="s">
        <v>1518</v>
      </c>
      <c r="D7831" t="s">
        <v>2878</v>
      </c>
      <c r="E7831">
        <v>19946</v>
      </c>
      <c r="F7831" s="11">
        <v>1</v>
      </c>
    </row>
    <row r="7832" spans="1:6" x14ac:dyDescent="0.35">
      <c r="A7832" t="s">
        <v>2857</v>
      </c>
      <c r="B7832" t="s">
        <v>2866</v>
      </c>
      <c r="C7832" t="s">
        <v>1518</v>
      </c>
      <c r="D7832" t="s">
        <v>2879</v>
      </c>
      <c r="E7832">
        <v>2013</v>
      </c>
      <c r="F7832" s="11">
        <v>1</v>
      </c>
    </row>
    <row r="7833" spans="1:6" x14ac:dyDescent="0.35">
      <c r="A7833" t="s">
        <v>2857</v>
      </c>
      <c r="B7833" t="s">
        <v>2866</v>
      </c>
      <c r="C7833" t="s">
        <v>1518</v>
      </c>
      <c r="D7833" t="s">
        <v>2880</v>
      </c>
      <c r="E7833">
        <v>1202</v>
      </c>
      <c r="F7833" s="11">
        <v>1</v>
      </c>
    </row>
    <row r="7834" spans="1:6" x14ac:dyDescent="0.35">
      <c r="A7834" t="s">
        <v>2857</v>
      </c>
      <c r="B7834" t="s">
        <v>2866</v>
      </c>
      <c r="C7834" t="s">
        <v>1518</v>
      </c>
      <c r="D7834" t="s">
        <v>2881</v>
      </c>
      <c r="E7834">
        <v>0</v>
      </c>
      <c r="F7834" s="11">
        <v>1</v>
      </c>
    </row>
    <row r="7835" spans="1:6" x14ac:dyDescent="0.35">
      <c r="A7835" t="s">
        <v>2857</v>
      </c>
      <c r="B7835" t="s">
        <v>2866</v>
      </c>
      <c r="C7835" t="s">
        <v>1518</v>
      </c>
      <c r="D7835" t="s">
        <v>2882</v>
      </c>
      <c r="E7835">
        <v>811</v>
      </c>
      <c r="F7835" s="11">
        <v>0</v>
      </c>
    </row>
    <row r="7836" spans="1:6" x14ac:dyDescent="0.35">
      <c r="A7836" t="s">
        <v>2857</v>
      </c>
      <c r="B7836" t="s">
        <v>2866</v>
      </c>
      <c r="C7836" t="s">
        <v>1518</v>
      </c>
      <c r="D7836" t="s">
        <v>2883</v>
      </c>
      <c r="E7836">
        <v>0</v>
      </c>
      <c r="F7836" s="11">
        <v>0</v>
      </c>
    </row>
    <row r="7837" spans="1:6" x14ac:dyDescent="0.35">
      <c r="A7837" t="s">
        <v>2857</v>
      </c>
      <c r="B7837" t="s">
        <v>2866</v>
      </c>
      <c r="C7837" t="s">
        <v>1518</v>
      </c>
      <c r="D7837" t="s">
        <v>2884</v>
      </c>
      <c r="E7837">
        <v>0</v>
      </c>
      <c r="F7837" s="11">
        <v>0</v>
      </c>
    </row>
    <row r="7838" spans="1:6" x14ac:dyDescent="0.35">
      <c r="A7838" t="s">
        <v>2857</v>
      </c>
      <c r="B7838" t="s">
        <v>2866</v>
      </c>
      <c r="C7838" t="s">
        <v>1518</v>
      </c>
      <c r="D7838" t="s">
        <v>2885</v>
      </c>
      <c r="E7838">
        <v>0</v>
      </c>
      <c r="F7838" s="11">
        <v>0</v>
      </c>
    </row>
    <row r="7839" spans="1:6" x14ac:dyDescent="0.35">
      <c r="A7839" t="s">
        <v>2857</v>
      </c>
      <c r="B7839" t="s">
        <v>2866</v>
      </c>
      <c r="C7839" t="s">
        <v>1518</v>
      </c>
      <c r="D7839" t="s">
        <v>2886</v>
      </c>
      <c r="E7839">
        <v>0</v>
      </c>
      <c r="F7839" s="11">
        <v>0</v>
      </c>
    </row>
    <row r="7840" spans="1:6" x14ac:dyDescent="0.35">
      <c r="A7840" t="s">
        <v>2857</v>
      </c>
      <c r="B7840" t="s">
        <v>2866</v>
      </c>
      <c r="C7840" t="s">
        <v>1518</v>
      </c>
      <c r="D7840" t="s">
        <v>2887</v>
      </c>
      <c r="E7840">
        <v>21798</v>
      </c>
      <c r="F7840" s="11">
        <v>1</v>
      </c>
    </row>
    <row r="7841" spans="1:6" x14ac:dyDescent="0.35">
      <c r="A7841" t="s">
        <v>2857</v>
      </c>
      <c r="B7841" t="s">
        <v>2866</v>
      </c>
      <c r="C7841" t="s">
        <v>1518</v>
      </c>
      <c r="D7841" t="s">
        <v>2888</v>
      </c>
      <c r="E7841">
        <v>13748</v>
      </c>
      <c r="F7841" s="11">
        <v>1</v>
      </c>
    </row>
    <row r="7842" spans="1:6" x14ac:dyDescent="0.35">
      <c r="A7842" t="s">
        <v>2857</v>
      </c>
      <c r="B7842" t="s">
        <v>2866</v>
      </c>
      <c r="C7842" t="s">
        <v>1518</v>
      </c>
      <c r="D7842" t="s">
        <v>2889</v>
      </c>
      <c r="E7842">
        <v>0</v>
      </c>
      <c r="F7842" s="11">
        <v>1</v>
      </c>
    </row>
    <row r="7843" spans="1:6" x14ac:dyDescent="0.35">
      <c r="A7843" t="s">
        <v>2857</v>
      </c>
      <c r="B7843" t="s">
        <v>2866</v>
      </c>
      <c r="C7843" t="s">
        <v>1518</v>
      </c>
      <c r="D7843" t="s">
        <v>2890</v>
      </c>
      <c r="E7843">
        <v>8050</v>
      </c>
      <c r="F7843" s="11">
        <v>0</v>
      </c>
    </row>
    <row r="7844" spans="1:6" x14ac:dyDescent="0.35">
      <c r="A7844" t="s">
        <v>2857</v>
      </c>
      <c r="B7844" t="s">
        <v>2866</v>
      </c>
      <c r="C7844" t="s">
        <v>1518</v>
      </c>
      <c r="D7844" t="s">
        <v>2891</v>
      </c>
      <c r="E7844">
        <v>0</v>
      </c>
      <c r="F7844" s="11">
        <v>0</v>
      </c>
    </row>
    <row r="7845" spans="1:6" x14ac:dyDescent="0.35">
      <c r="A7845" t="s">
        <v>2857</v>
      </c>
      <c r="B7845" t="s">
        <v>2866</v>
      </c>
      <c r="C7845" t="s">
        <v>1518</v>
      </c>
      <c r="D7845" t="s">
        <v>2892</v>
      </c>
      <c r="E7845">
        <v>0</v>
      </c>
      <c r="F7845" s="11">
        <v>0</v>
      </c>
    </row>
    <row r="7846" spans="1:6" x14ac:dyDescent="0.35">
      <c r="A7846" t="s">
        <v>2857</v>
      </c>
      <c r="B7846" t="s">
        <v>2866</v>
      </c>
      <c r="C7846" t="s">
        <v>1518</v>
      </c>
      <c r="D7846" t="s">
        <v>2893</v>
      </c>
      <c r="E7846">
        <v>0</v>
      </c>
      <c r="F7846" s="11">
        <v>0</v>
      </c>
    </row>
    <row r="7847" spans="1:6" x14ac:dyDescent="0.35">
      <c r="A7847" t="s">
        <v>2857</v>
      </c>
      <c r="B7847" t="s">
        <v>2866</v>
      </c>
      <c r="C7847" t="s">
        <v>1518</v>
      </c>
      <c r="D7847" t="s">
        <v>2894</v>
      </c>
      <c r="E7847">
        <v>0</v>
      </c>
      <c r="F7847" s="11">
        <v>0</v>
      </c>
    </row>
    <row r="7848" spans="1:6" x14ac:dyDescent="0.35">
      <c r="A7848" t="s">
        <v>2857</v>
      </c>
      <c r="B7848" t="s">
        <v>2866</v>
      </c>
      <c r="C7848" t="s">
        <v>1518</v>
      </c>
      <c r="D7848" t="s">
        <v>2895</v>
      </c>
      <c r="E7848">
        <v>899122</v>
      </c>
      <c r="F7848" s="11">
        <v>1</v>
      </c>
    </row>
    <row r="7849" spans="1:6" x14ac:dyDescent="0.35">
      <c r="A7849" t="s">
        <v>2857</v>
      </c>
      <c r="B7849" t="s">
        <v>2866</v>
      </c>
      <c r="C7849" t="s">
        <v>1518</v>
      </c>
      <c r="D7849" t="s">
        <v>2896</v>
      </c>
      <c r="E7849">
        <v>463089</v>
      </c>
      <c r="F7849" s="11">
        <v>1</v>
      </c>
    </row>
    <row r="7850" spans="1:6" x14ac:dyDescent="0.35">
      <c r="A7850" t="s">
        <v>2857</v>
      </c>
      <c r="B7850" t="s">
        <v>2866</v>
      </c>
      <c r="C7850" t="s">
        <v>1518</v>
      </c>
      <c r="D7850" t="s">
        <v>2897</v>
      </c>
      <c r="E7850">
        <v>28793</v>
      </c>
      <c r="F7850" s="11">
        <v>1</v>
      </c>
    </row>
    <row r="7851" spans="1:6" x14ac:dyDescent="0.35">
      <c r="A7851" t="s">
        <v>2857</v>
      </c>
      <c r="B7851" t="s">
        <v>2866</v>
      </c>
      <c r="C7851" t="s">
        <v>1518</v>
      </c>
      <c r="D7851" t="s">
        <v>2898</v>
      </c>
      <c r="E7851">
        <v>407240</v>
      </c>
      <c r="F7851" s="11">
        <v>1</v>
      </c>
    </row>
    <row r="7852" spans="1:6" x14ac:dyDescent="0.35">
      <c r="A7852" t="s">
        <v>2857</v>
      </c>
      <c r="B7852" t="s">
        <v>2866</v>
      </c>
      <c r="C7852" t="s">
        <v>1518</v>
      </c>
      <c r="D7852" t="s">
        <v>2899</v>
      </c>
      <c r="E7852">
        <v>4947</v>
      </c>
      <c r="F7852" s="11">
        <v>1</v>
      </c>
    </row>
    <row r="7853" spans="1:6" x14ac:dyDescent="0.35">
      <c r="A7853" t="s">
        <v>2857</v>
      </c>
      <c r="B7853" t="s">
        <v>2866</v>
      </c>
      <c r="C7853" t="s">
        <v>1518</v>
      </c>
      <c r="D7853" t="s">
        <v>2900</v>
      </c>
      <c r="E7853">
        <v>1463</v>
      </c>
      <c r="F7853" s="11">
        <v>1</v>
      </c>
    </row>
    <row r="7854" spans="1:6" x14ac:dyDescent="0.35">
      <c r="A7854" t="s">
        <v>2857</v>
      </c>
      <c r="B7854" t="s">
        <v>2866</v>
      </c>
      <c r="C7854" t="s">
        <v>1518</v>
      </c>
      <c r="D7854" t="s">
        <v>2901</v>
      </c>
      <c r="E7854">
        <v>15</v>
      </c>
      <c r="F7854" s="11">
        <v>1</v>
      </c>
    </row>
    <row r="7855" spans="1:6" x14ac:dyDescent="0.35">
      <c r="A7855" t="s">
        <v>2857</v>
      </c>
      <c r="B7855" t="s">
        <v>2866</v>
      </c>
      <c r="C7855" t="s">
        <v>1518</v>
      </c>
      <c r="D7855" t="s">
        <v>2902</v>
      </c>
      <c r="E7855">
        <v>3469</v>
      </c>
      <c r="F7855" s="11">
        <v>1</v>
      </c>
    </row>
    <row r="7856" spans="1:6" x14ac:dyDescent="0.35">
      <c r="A7856" t="s">
        <v>2857</v>
      </c>
      <c r="B7856" t="s">
        <v>2866</v>
      </c>
      <c r="C7856" t="s">
        <v>1518</v>
      </c>
      <c r="D7856" t="s">
        <v>2903</v>
      </c>
      <c r="E7856">
        <v>54795</v>
      </c>
      <c r="F7856" s="11">
        <v>1</v>
      </c>
    </row>
    <row r="7857" spans="1:6" x14ac:dyDescent="0.35">
      <c r="A7857" t="s">
        <v>2857</v>
      </c>
      <c r="B7857" t="s">
        <v>2866</v>
      </c>
      <c r="C7857" t="s">
        <v>1518</v>
      </c>
      <c r="D7857" t="s">
        <v>2904</v>
      </c>
      <c r="E7857">
        <v>10887</v>
      </c>
      <c r="F7857" s="11">
        <v>0</v>
      </c>
    </row>
    <row r="7858" spans="1:6" x14ac:dyDescent="0.35">
      <c r="A7858" t="s">
        <v>2857</v>
      </c>
      <c r="B7858" t="s">
        <v>2866</v>
      </c>
      <c r="C7858" t="s">
        <v>1518</v>
      </c>
      <c r="D7858" t="s">
        <v>2905</v>
      </c>
      <c r="E7858">
        <v>3074</v>
      </c>
      <c r="F7858" s="11">
        <v>0</v>
      </c>
    </row>
    <row r="7859" spans="1:6" x14ac:dyDescent="0.35">
      <c r="A7859" t="s">
        <v>2857</v>
      </c>
      <c r="B7859" t="s">
        <v>2866</v>
      </c>
      <c r="C7859" t="s">
        <v>1518</v>
      </c>
      <c r="D7859" t="s">
        <v>2906</v>
      </c>
      <c r="E7859">
        <v>40834</v>
      </c>
      <c r="F7859" s="11">
        <v>0</v>
      </c>
    </row>
    <row r="7860" spans="1:6" x14ac:dyDescent="0.35">
      <c r="A7860" t="s">
        <v>2857</v>
      </c>
      <c r="B7860" t="s">
        <v>2866</v>
      </c>
      <c r="C7860" t="s">
        <v>1518</v>
      </c>
      <c r="D7860" t="s">
        <v>2907</v>
      </c>
      <c r="E7860">
        <v>77363</v>
      </c>
      <c r="F7860" s="11">
        <v>1</v>
      </c>
    </row>
    <row r="7861" spans="1:6" x14ac:dyDescent="0.35">
      <c r="A7861" t="s">
        <v>2857</v>
      </c>
      <c r="B7861" t="s">
        <v>2866</v>
      </c>
      <c r="C7861" t="s">
        <v>1518</v>
      </c>
      <c r="D7861" t="s">
        <v>2908</v>
      </c>
      <c r="E7861">
        <v>12840</v>
      </c>
      <c r="F7861" s="11">
        <v>0</v>
      </c>
    </row>
    <row r="7862" spans="1:6" x14ac:dyDescent="0.35">
      <c r="A7862" t="s">
        <v>2857</v>
      </c>
      <c r="B7862" t="s">
        <v>2866</v>
      </c>
      <c r="C7862" t="s">
        <v>1518</v>
      </c>
      <c r="D7862" t="s">
        <v>2909</v>
      </c>
      <c r="E7862">
        <v>2985</v>
      </c>
      <c r="F7862" s="11">
        <v>0</v>
      </c>
    </row>
    <row r="7863" spans="1:6" x14ac:dyDescent="0.35">
      <c r="A7863" t="s">
        <v>2857</v>
      </c>
      <c r="B7863" t="s">
        <v>2866</v>
      </c>
      <c r="C7863" t="s">
        <v>1518</v>
      </c>
      <c r="D7863" t="s">
        <v>2910</v>
      </c>
      <c r="E7863">
        <v>61538</v>
      </c>
      <c r="F7863" s="11">
        <v>0</v>
      </c>
    </row>
    <row r="7864" spans="1:6" x14ac:dyDescent="0.35">
      <c r="A7864" t="s">
        <v>2857</v>
      </c>
      <c r="B7864" t="s">
        <v>2866</v>
      </c>
      <c r="C7864" t="s">
        <v>1518</v>
      </c>
      <c r="D7864" t="s">
        <v>2911</v>
      </c>
      <c r="E7864">
        <v>976727</v>
      </c>
      <c r="F7864" s="11">
        <v>1</v>
      </c>
    </row>
    <row r="7865" spans="1:6" x14ac:dyDescent="0.35">
      <c r="A7865" t="s">
        <v>2857</v>
      </c>
      <c r="B7865" t="s">
        <v>2866</v>
      </c>
      <c r="C7865" t="s">
        <v>1518</v>
      </c>
      <c r="D7865" t="s">
        <v>2912</v>
      </c>
      <c r="E7865">
        <v>0</v>
      </c>
      <c r="F7865" s="11">
        <v>0</v>
      </c>
    </row>
    <row r="7866" spans="1:6" x14ac:dyDescent="0.35">
      <c r="A7866" t="s">
        <v>2857</v>
      </c>
      <c r="B7866" t="s">
        <v>2866</v>
      </c>
      <c r="C7866" t="s">
        <v>1518</v>
      </c>
      <c r="D7866" t="s">
        <v>2913</v>
      </c>
      <c r="E7866">
        <v>0</v>
      </c>
      <c r="F7866" s="11">
        <v>0</v>
      </c>
    </row>
    <row r="7867" spans="1:6" x14ac:dyDescent="0.35">
      <c r="A7867" t="s">
        <v>2857</v>
      </c>
      <c r="B7867" t="s">
        <v>2866</v>
      </c>
      <c r="C7867" t="s">
        <v>1518</v>
      </c>
      <c r="D7867" t="s">
        <v>2914</v>
      </c>
      <c r="E7867">
        <v>0</v>
      </c>
      <c r="F7867" s="11">
        <v>0</v>
      </c>
    </row>
    <row r="7868" spans="1:6" x14ac:dyDescent="0.35">
      <c r="A7868" t="s">
        <v>2857</v>
      </c>
      <c r="B7868" t="s">
        <v>2866</v>
      </c>
      <c r="C7868" t="s">
        <v>1518</v>
      </c>
      <c r="D7868" t="s">
        <v>2915</v>
      </c>
      <c r="E7868">
        <v>852</v>
      </c>
      <c r="F7868" s="11">
        <v>1</v>
      </c>
    </row>
    <row r="7869" spans="1:6" x14ac:dyDescent="0.35">
      <c r="A7869" t="s">
        <v>2857</v>
      </c>
      <c r="B7869" t="s">
        <v>2866</v>
      </c>
      <c r="C7869" t="s">
        <v>1518</v>
      </c>
      <c r="D7869" t="s">
        <v>2916</v>
      </c>
      <c r="E7869">
        <v>49052</v>
      </c>
      <c r="F7869" s="11">
        <v>1</v>
      </c>
    </row>
    <row r="7870" spans="1:6" x14ac:dyDescent="0.35">
      <c r="A7870" t="s">
        <v>2857</v>
      </c>
      <c r="B7870" t="s">
        <v>2866</v>
      </c>
      <c r="C7870" t="s">
        <v>1518</v>
      </c>
      <c r="D7870" t="s">
        <v>2917</v>
      </c>
      <c r="E7870">
        <v>0</v>
      </c>
      <c r="F7870" s="11">
        <v>0</v>
      </c>
    </row>
    <row r="7871" spans="1:6" x14ac:dyDescent="0.35">
      <c r="A7871" t="s">
        <v>2857</v>
      </c>
      <c r="B7871" t="s">
        <v>2865</v>
      </c>
      <c r="C7871" t="s">
        <v>1373</v>
      </c>
      <c r="D7871" t="s">
        <v>2875</v>
      </c>
      <c r="E7871">
        <v>15306</v>
      </c>
      <c r="F7871" s="11">
        <v>1</v>
      </c>
    </row>
    <row r="7872" spans="1:6" x14ac:dyDescent="0.35">
      <c r="A7872" t="s">
        <v>2857</v>
      </c>
      <c r="B7872" t="s">
        <v>2865</v>
      </c>
      <c r="C7872" t="s">
        <v>1373</v>
      </c>
      <c r="D7872" t="s">
        <v>2876</v>
      </c>
      <c r="E7872">
        <v>6466</v>
      </c>
      <c r="F7872" s="11">
        <v>1</v>
      </c>
    </row>
    <row r="7873" spans="1:6" x14ac:dyDescent="0.35">
      <c r="A7873" t="s">
        <v>2857</v>
      </c>
      <c r="B7873" t="s">
        <v>2865</v>
      </c>
      <c r="C7873" t="s">
        <v>1373</v>
      </c>
      <c r="D7873" t="s">
        <v>2877</v>
      </c>
      <c r="E7873">
        <v>910</v>
      </c>
      <c r="F7873" s="11">
        <v>1</v>
      </c>
    </row>
    <row r="7874" spans="1:6" x14ac:dyDescent="0.35">
      <c r="A7874" t="s">
        <v>2857</v>
      </c>
      <c r="B7874" t="s">
        <v>2865</v>
      </c>
      <c r="C7874" t="s">
        <v>1373</v>
      </c>
      <c r="D7874" t="s">
        <v>2878</v>
      </c>
      <c r="E7874">
        <v>7930</v>
      </c>
      <c r="F7874" s="11">
        <v>1</v>
      </c>
    </row>
    <row r="7875" spans="1:6" x14ac:dyDescent="0.35">
      <c r="A7875" t="s">
        <v>2857</v>
      </c>
      <c r="B7875" t="s">
        <v>2865</v>
      </c>
      <c r="C7875" t="s">
        <v>1373</v>
      </c>
      <c r="D7875" t="s">
        <v>2879</v>
      </c>
      <c r="E7875">
        <v>0</v>
      </c>
      <c r="F7875" s="11">
        <v>0</v>
      </c>
    </row>
    <row r="7876" spans="1:6" x14ac:dyDescent="0.35">
      <c r="A7876" t="s">
        <v>2857</v>
      </c>
      <c r="B7876" t="s">
        <v>2865</v>
      </c>
      <c r="C7876" t="s">
        <v>1373</v>
      </c>
      <c r="D7876" t="s">
        <v>2880</v>
      </c>
      <c r="E7876">
        <v>0</v>
      </c>
      <c r="F7876" s="11">
        <v>0</v>
      </c>
    </row>
    <row r="7877" spans="1:6" x14ac:dyDescent="0.35">
      <c r="A7877" t="s">
        <v>2857</v>
      </c>
      <c r="B7877" t="s">
        <v>2865</v>
      </c>
      <c r="C7877" t="s">
        <v>1373</v>
      </c>
      <c r="D7877" t="s">
        <v>2881</v>
      </c>
      <c r="E7877">
        <v>0</v>
      </c>
      <c r="F7877" s="11">
        <v>0</v>
      </c>
    </row>
    <row r="7878" spans="1:6" x14ac:dyDescent="0.35">
      <c r="A7878" t="s">
        <v>2857</v>
      </c>
      <c r="B7878" t="s">
        <v>2865</v>
      </c>
      <c r="C7878" t="s">
        <v>1373</v>
      </c>
      <c r="D7878" t="s">
        <v>2882</v>
      </c>
      <c r="E7878">
        <v>0</v>
      </c>
      <c r="F7878" s="11">
        <v>0</v>
      </c>
    </row>
    <row r="7879" spans="1:6" x14ac:dyDescent="0.35">
      <c r="A7879" t="s">
        <v>2857</v>
      </c>
      <c r="B7879" t="s">
        <v>2865</v>
      </c>
      <c r="C7879" t="s">
        <v>1373</v>
      </c>
      <c r="D7879" t="s">
        <v>2883</v>
      </c>
      <c r="E7879">
        <v>0</v>
      </c>
      <c r="F7879" s="11">
        <v>0</v>
      </c>
    </row>
    <row r="7880" spans="1:6" x14ac:dyDescent="0.35">
      <c r="A7880" t="s">
        <v>2857</v>
      </c>
      <c r="B7880" t="s">
        <v>2865</v>
      </c>
      <c r="C7880" t="s">
        <v>1373</v>
      </c>
      <c r="D7880" t="s">
        <v>2884</v>
      </c>
      <c r="E7880">
        <v>0</v>
      </c>
      <c r="F7880" s="11">
        <v>0</v>
      </c>
    </row>
    <row r="7881" spans="1:6" x14ac:dyDescent="0.35">
      <c r="A7881" t="s">
        <v>2857</v>
      </c>
      <c r="B7881" t="s">
        <v>2865</v>
      </c>
      <c r="C7881" t="s">
        <v>1373</v>
      </c>
      <c r="D7881" t="s">
        <v>2885</v>
      </c>
      <c r="E7881">
        <v>0</v>
      </c>
      <c r="F7881" s="11">
        <v>0</v>
      </c>
    </row>
    <row r="7882" spans="1:6" x14ac:dyDescent="0.35">
      <c r="A7882" t="s">
        <v>2857</v>
      </c>
      <c r="B7882" t="s">
        <v>2865</v>
      </c>
      <c r="C7882" t="s">
        <v>1373</v>
      </c>
      <c r="D7882" t="s">
        <v>2886</v>
      </c>
      <c r="E7882">
        <v>0</v>
      </c>
      <c r="F7882" s="11">
        <v>0</v>
      </c>
    </row>
    <row r="7883" spans="1:6" x14ac:dyDescent="0.35">
      <c r="A7883" t="s">
        <v>2857</v>
      </c>
      <c r="B7883" t="s">
        <v>2865</v>
      </c>
      <c r="C7883" t="s">
        <v>1373</v>
      </c>
      <c r="D7883" t="s">
        <v>2887</v>
      </c>
      <c r="E7883">
        <v>127005</v>
      </c>
      <c r="F7883" s="11">
        <v>1</v>
      </c>
    </row>
    <row r="7884" spans="1:6" x14ac:dyDescent="0.35">
      <c r="A7884" t="s">
        <v>2857</v>
      </c>
      <c r="B7884" t="s">
        <v>2865</v>
      </c>
      <c r="C7884" t="s">
        <v>1373</v>
      </c>
      <c r="D7884" t="s">
        <v>2888</v>
      </c>
      <c r="E7884">
        <v>51529</v>
      </c>
      <c r="F7884" s="11">
        <v>1</v>
      </c>
    </row>
    <row r="7885" spans="1:6" x14ac:dyDescent="0.35">
      <c r="A7885" t="s">
        <v>2857</v>
      </c>
      <c r="B7885" t="s">
        <v>2865</v>
      </c>
      <c r="C7885" t="s">
        <v>1373</v>
      </c>
      <c r="D7885" t="s">
        <v>2889</v>
      </c>
      <c r="E7885">
        <v>0</v>
      </c>
      <c r="F7885" s="11">
        <v>1</v>
      </c>
    </row>
    <row r="7886" spans="1:6" x14ac:dyDescent="0.35">
      <c r="A7886" t="s">
        <v>2857</v>
      </c>
      <c r="B7886" t="s">
        <v>2865</v>
      </c>
      <c r="C7886" t="s">
        <v>1373</v>
      </c>
      <c r="D7886" t="s">
        <v>2890</v>
      </c>
      <c r="E7886">
        <v>75476</v>
      </c>
      <c r="F7886" s="11">
        <v>0</v>
      </c>
    </row>
    <row r="7887" spans="1:6" x14ac:dyDescent="0.35">
      <c r="A7887" t="s">
        <v>2857</v>
      </c>
      <c r="B7887" t="s">
        <v>2865</v>
      </c>
      <c r="C7887" t="s">
        <v>1373</v>
      </c>
      <c r="D7887" t="s">
        <v>2891</v>
      </c>
      <c r="E7887">
        <v>0</v>
      </c>
      <c r="F7887" s="11">
        <v>0</v>
      </c>
    </row>
    <row r="7888" spans="1:6" x14ac:dyDescent="0.35">
      <c r="A7888" t="s">
        <v>2857</v>
      </c>
      <c r="B7888" t="s">
        <v>2865</v>
      </c>
      <c r="C7888" t="s">
        <v>1373</v>
      </c>
      <c r="D7888" t="s">
        <v>2892</v>
      </c>
      <c r="E7888">
        <v>0</v>
      </c>
      <c r="F7888" s="11">
        <v>0</v>
      </c>
    </row>
    <row r="7889" spans="1:6" x14ac:dyDescent="0.35">
      <c r="A7889" t="s">
        <v>2857</v>
      </c>
      <c r="B7889" t="s">
        <v>2865</v>
      </c>
      <c r="C7889" t="s">
        <v>1373</v>
      </c>
      <c r="D7889" t="s">
        <v>2893</v>
      </c>
      <c r="E7889">
        <v>0</v>
      </c>
      <c r="F7889" s="11">
        <v>0</v>
      </c>
    </row>
    <row r="7890" spans="1:6" x14ac:dyDescent="0.35">
      <c r="A7890" t="s">
        <v>2857</v>
      </c>
      <c r="B7890" t="s">
        <v>2865</v>
      </c>
      <c r="C7890" t="s">
        <v>1373</v>
      </c>
      <c r="D7890" t="s">
        <v>2894</v>
      </c>
      <c r="E7890">
        <v>0</v>
      </c>
      <c r="F7890" s="11">
        <v>0</v>
      </c>
    </row>
    <row r="7891" spans="1:6" x14ac:dyDescent="0.35">
      <c r="A7891" t="s">
        <v>2857</v>
      </c>
      <c r="B7891" t="s">
        <v>2865</v>
      </c>
      <c r="C7891" t="s">
        <v>1373</v>
      </c>
      <c r="D7891" t="s">
        <v>2895</v>
      </c>
      <c r="E7891">
        <v>282822</v>
      </c>
      <c r="F7891" s="11">
        <v>1</v>
      </c>
    </row>
    <row r="7892" spans="1:6" x14ac:dyDescent="0.35">
      <c r="A7892" t="s">
        <v>2857</v>
      </c>
      <c r="B7892" t="s">
        <v>2865</v>
      </c>
      <c r="C7892" t="s">
        <v>1373</v>
      </c>
      <c r="D7892" t="s">
        <v>2896</v>
      </c>
      <c r="E7892">
        <v>139803</v>
      </c>
      <c r="F7892" s="11">
        <v>1</v>
      </c>
    </row>
    <row r="7893" spans="1:6" x14ac:dyDescent="0.35">
      <c r="A7893" t="s">
        <v>2857</v>
      </c>
      <c r="B7893" t="s">
        <v>2865</v>
      </c>
      <c r="C7893" t="s">
        <v>1373</v>
      </c>
      <c r="D7893" t="s">
        <v>2897</v>
      </c>
      <c r="E7893">
        <v>3579</v>
      </c>
      <c r="F7893" s="11">
        <v>1</v>
      </c>
    </row>
    <row r="7894" spans="1:6" x14ac:dyDescent="0.35">
      <c r="A7894" t="s">
        <v>2857</v>
      </c>
      <c r="B7894" t="s">
        <v>2865</v>
      </c>
      <c r="C7894" t="s">
        <v>1373</v>
      </c>
      <c r="D7894" t="s">
        <v>2898</v>
      </c>
      <c r="E7894">
        <v>139440</v>
      </c>
      <c r="F7894" s="11">
        <v>1</v>
      </c>
    </row>
    <row r="7895" spans="1:6" x14ac:dyDescent="0.35">
      <c r="A7895" t="s">
        <v>2857</v>
      </c>
      <c r="B7895" t="s">
        <v>2865</v>
      </c>
      <c r="C7895" t="s">
        <v>1373</v>
      </c>
      <c r="D7895" t="s">
        <v>2899</v>
      </c>
      <c r="E7895">
        <v>5778</v>
      </c>
      <c r="F7895" s="11">
        <v>1</v>
      </c>
    </row>
    <row r="7896" spans="1:6" x14ac:dyDescent="0.35">
      <c r="A7896" t="s">
        <v>2857</v>
      </c>
      <c r="B7896" t="s">
        <v>2865</v>
      </c>
      <c r="C7896" t="s">
        <v>1373</v>
      </c>
      <c r="D7896" t="s">
        <v>2900</v>
      </c>
      <c r="E7896">
        <v>149</v>
      </c>
      <c r="F7896" s="11">
        <v>1</v>
      </c>
    </row>
    <row r="7897" spans="1:6" x14ac:dyDescent="0.35">
      <c r="A7897" t="s">
        <v>2857</v>
      </c>
      <c r="B7897" t="s">
        <v>2865</v>
      </c>
      <c r="C7897" t="s">
        <v>1373</v>
      </c>
      <c r="D7897" t="s">
        <v>2901</v>
      </c>
      <c r="E7897">
        <v>0</v>
      </c>
      <c r="F7897" s="11">
        <v>1</v>
      </c>
    </row>
    <row r="7898" spans="1:6" x14ac:dyDescent="0.35">
      <c r="A7898" t="s">
        <v>2857</v>
      </c>
      <c r="B7898" t="s">
        <v>2865</v>
      </c>
      <c r="C7898" t="s">
        <v>1373</v>
      </c>
      <c r="D7898" t="s">
        <v>2902</v>
      </c>
      <c r="E7898">
        <v>5629</v>
      </c>
      <c r="F7898" s="11">
        <v>0</v>
      </c>
    </row>
    <row r="7899" spans="1:6" x14ac:dyDescent="0.35">
      <c r="A7899" t="s">
        <v>2857</v>
      </c>
      <c r="B7899" t="s">
        <v>2865</v>
      </c>
      <c r="C7899" t="s">
        <v>1373</v>
      </c>
      <c r="D7899" t="s">
        <v>2903</v>
      </c>
      <c r="E7899">
        <v>22619</v>
      </c>
      <c r="F7899" s="11">
        <v>1</v>
      </c>
    </row>
    <row r="7900" spans="1:6" x14ac:dyDescent="0.35">
      <c r="A7900" t="s">
        <v>2857</v>
      </c>
      <c r="B7900" t="s">
        <v>2865</v>
      </c>
      <c r="C7900" t="s">
        <v>1373</v>
      </c>
      <c r="D7900" t="s">
        <v>2904</v>
      </c>
      <c r="E7900">
        <v>0</v>
      </c>
      <c r="F7900" s="11">
        <v>0</v>
      </c>
    </row>
    <row r="7901" spans="1:6" x14ac:dyDescent="0.35">
      <c r="A7901" t="s">
        <v>2857</v>
      </c>
      <c r="B7901" t="s">
        <v>2865</v>
      </c>
      <c r="C7901" t="s">
        <v>1373</v>
      </c>
      <c r="D7901" t="s">
        <v>2905</v>
      </c>
      <c r="E7901">
        <v>0</v>
      </c>
      <c r="F7901" s="11">
        <v>0</v>
      </c>
    </row>
    <row r="7902" spans="1:6" x14ac:dyDescent="0.35">
      <c r="A7902" t="s">
        <v>2857</v>
      </c>
      <c r="B7902" t="s">
        <v>2865</v>
      </c>
      <c r="C7902" t="s">
        <v>1373</v>
      </c>
      <c r="D7902" t="s">
        <v>2906</v>
      </c>
      <c r="E7902">
        <v>0</v>
      </c>
      <c r="F7902" s="11">
        <v>0</v>
      </c>
    </row>
    <row r="7903" spans="1:6" x14ac:dyDescent="0.35">
      <c r="A7903" t="s">
        <v>2857</v>
      </c>
      <c r="B7903" t="s">
        <v>2865</v>
      </c>
      <c r="C7903" t="s">
        <v>1373</v>
      </c>
      <c r="D7903" t="s">
        <v>2907</v>
      </c>
      <c r="E7903">
        <v>15402</v>
      </c>
      <c r="F7903" s="11">
        <v>1</v>
      </c>
    </row>
    <row r="7904" spans="1:6" x14ac:dyDescent="0.35">
      <c r="A7904" t="s">
        <v>2857</v>
      </c>
      <c r="B7904" t="s">
        <v>2865</v>
      </c>
      <c r="C7904" t="s">
        <v>1373</v>
      </c>
      <c r="D7904" t="s">
        <v>2908</v>
      </c>
      <c r="E7904">
        <v>0</v>
      </c>
      <c r="F7904" s="11">
        <v>0</v>
      </c>
    </row>
    <row r="7905" spans="1:6" x14ac:dyDescent="0.35">
      <c r="A7905" t="s">
        <v>2857</v>
      </c>
      <c r="B7905" t="s">
        <v>2865</v>
      </c>
      <c r="C7905" t="s">
        <v>1373</v>
      </c>
      <c r="D7905" t="s">
        <v>2909</v>
      </c>
      <c r="E7905">
        <v>0</v>
      </c>
      <c r="F7905" s="11">
        <v>0</v>
      </c>
    </row>
    <row r="7906" spans="1:6" x14ac:dyDescent="0.35">
      <c r="A7906" t="s">
        <v>2857</v>
      </c>
      <c r="B7906" t="s">
        <v>2865</v>
      </c>
      <c r="C7906" t="s">
        <v>1373</v>
      </c>
      <c r="D7906" t="s">
        <v>2910</v>
      </c>
      <c r="E7906">
        <v>0</v>
      </c>
      <c r="F7906" s="11">
        <v>0</v>
      </c>
    </row>
    <row r="7907" spans="1:6" x14ac:dyDescent="0.35">
      <c r="A7907" t="s">
        <v>2857</v>
      </c>
      <c r="B7907" t="s">
        <v>2865</v>
      </c>
      <c r="C7907" t="s">
        <v>1373</v>
      </c>
      <c r="D7907" t="s">
        <v>2911</v>
      </c>
      <c r="E7907">
        <v>104649</v>
      </c>
      <c r="F7907" s="11">
        <v>1</v>
      </c>
    </row>
    <row r="7908" spans="1:6" x14ac:dyDescent="0.35">
      <c r="A7908" t="s">
        <v>2857</v>
      </c>
      <c r="B7908" t="s">
        <v>2865</v>
      </c>
      <c r="C7908" t="s">
        <v>1373</v>
      </c>
      <c r="D7908" t="s">
        <v>2912</v>
      </c>
      <c r="E7908">
        <v>198864</v>
      </c>
      <c r="F7908" s="11">
        <v>1</v>
      </c>
    </row>
    <row r="7909" spans="1:6" x14ac:dyDescent="0.35">
      <c r="A7909" t="s">
        <v>2857</v>
      </c>
      <c r="B7909" t="s">
        <v>2865</v>
      </c>
      <c r="C7909" t="s">
        <v>1373</v>
      </c>
      <c r="D7909" t="s">
        <v>2913</v>
      </c>
      <c r="E7909">
        <v>0</v>
      </c>
      <c r="F7909" s="11">
        <v>0</v>
      </c>
    </row>
    <row r="7910" spans="1:6" x14ac:dyDescent="0.35">
      <c r="A7910" t="s">
        <v>2857</v>
      </c>
      <c r="B7910" t="s">
        <v>2865</v>
      </c>
      <c r="C7910" t="s">
        <v>1373</v>
      </c>
      <c r="D7910" t="s">
        <v>2914</v>
      </c>
      <c r="E7910">
        <v>0</v>
      </c>
      <c r="F7910" s="11">
        <v>0</v>
      </c>
    </row>
    <row r="7911" spans="1:6" x14ac:dyDescent="0.35">
      <c r="A7911" t="s">
        <v>2857</v>
      </c>
      <c r="B7911" t="s">
        <v>2865</v>
      </c>
      <c r="C7911" t="s">
        <v>1373</v>
      </c>
      <c r="D7911" t="s">
        <v>2915</v>
      </c>
      <c r="E7911">
        <v>3552</v>
      </c>
      <c r="F7911" s="11">
        <v>1</v>
      </c>
    </row>
    <row r="7912" spans="1:6" x14ac:dyDescent="0.35">
      <c r="A7912" t="s">
        <v>2857</v>
      </c>
      <c r="B7912" t="s">
        <v>2865</v>
      </c>
      <c r="C7912" t="s">
        <v>1373</v>
      </c>
      <c r="D7912" t="s">
        <v>2916</v>
      </c>
      <c r="E7912">
        <v>34648</v>
      </c>
      <c r="F7912" s="11">
        <v>1</v>
      </c>
    </row>
    <row r="7913" spans="1:6" x14ac:dyDescent="0.35">
      <c r="A7913" t="s">
        <v>2857</v>
      </c>
      <c r="B7913" t="s">
        <v>2865</v>
      </c>
      <c r="C7913" t="s">
        <v>1373</v>
      </c>
      <c r="D7913" t="s">
        <v>2917</v>
      </c>
      <c r="E7913">
        <v>0</v>
      </c>
      <c r="F7913" s="11">
        <v>0</v>
      </c>
    </row>
    <row r="7914" spans="1:6" x14ac:dyDescent="0.35">
      <c r="A7914" t="s">
        <v>2857</v>
      </c>
      <c r="B7914" t="s">
        <v>2863</v>
      </c>
      <c r="C7914" t="s">
        <v>1423</v>
      </c>
      <c r="D7914" t="s">
        <v>2875</v>
      </c>
      <c r="E7914">
        <v>50344</v>
      </c>
      <c r="F7914" s="11">
        <v>1</v>
      </c>
    </row>
    <row r="7915" spans="1:6" x14ac:dyDescent="0.35">
      <c r="A7915" t="s">
        <v>2857</v>
      </c>
      <c r="B7915" t="s">
        <v>2863</v>
      </c>
      <c r="C7915" t="s">
        <v>1423</v>
      </c>
      <c r="D7915" t="s">
        <v>2876</v>
      </c>
      <c r="E7915">
        <v>7293</v>
      </c>
      <c r="F7915" s="11">
        <v>1</v>
      </c>
    </row>
    <row r="7916" spans="1:6" x14ac:dyDescent="0.35">
      <c r="A7916" t="s">
        <v>2857</v>
      </c>
      <c r="B7916" t="s">
        <v>2863</v>
      </c>
      <c r="C7916" t="s">
        <v>1423</v>
      </c>
      <c r="D7916" t="s">
        <v>2877</v>
      </c>
      <c r="E7916">
        <v>1150</v>
      </c>
      <c r="F7916" s="11">
        <v>1</v>
      </c>
    </row>
    <row r="7917" spans="1:6" x14ac:dyDescent="0.35">
      <c r="A7917" t="s">
        <v>2857</v>
      </c>
      <c r="B7917" t="s">
        <v>2863</v>
      </c>
      <c r="C7917" t="s">
        <v>1423</v>
      </c>
      <c r="D7917" t="s">
        <v>2878</v>
      </c>
      <c r="E7917">
        <v>9484</v>
      </c>
      <c r="F7917" s="11">
        <v>1</v>
      </c>
    </row>
    <row r="7918" spans="1:6" x14ac:dyDescent="0.35">
      <c r="A7918" t="s">
        <v>2857</v>
      </c>
      <c r="B7918" t="s">
        <v>2863</v>
      </c>
      <c r="C7918" t="s">
        <v>1423</v>
      </c>
      <c r="D7918" t="s">
        <v>2879</v>
      </c>
      <c r="E7918">
        <v>13568</v>
      </c>
      <c r="F7918" s="11">
        <v>1</v>
      </c>
    </row>
    <row r="7919" spans="1:6" x14ac:dyDescent="0.35">
      <c r="A7919" t="s">
        <v>2857</v>
      </c>
      <c r="B7919" t="s">
        <v>2863</v>
      </c>
      <c r="C7919" t="s">
        <v>1423</v>
      </c>
      <c r="D7919" t="s">
        <v>2880</v>
      </c>
      <c r="E7919">
        <v>9042</v>
      </c>
      <c r="F7919" s="11">
        <v>1</v>
      </c>
    </row>
    <row r="7920" spans="1:6" x14ac:dyDescent="0.35">
      <c r="A7920" t="s">
        <v>2857</v>
      </c>
      <c r="B7920" t="s">
        <v>2863</v>
      </c>
      <c r="C7920" t="s">
        <v>1423</v>
      </c>
      <c r="D7920" t="s">
        <v>2881</v>
      </c>
      <c r="E7920">
        <v>0</v>
      </c>
      <c r="F7920" s="11">
        <v>1</v>
      </c>
    </row>
    <row r="7921" spans="1:6" x14ac:dyDescent="0.35">
      <c r="A7921" t="s">
        <v>2857</v>
      </c>
      <c r="B7921" t="s">
        <v>2863</v>
      </c>
      <c r="C7921" t="s">
        <v>1423</v>
      </c>
      <c r="D7921" t="s">
        <v>2882</v>
      </c>
      <c r="E7921">
        <v>4526</v>
      </c>
      <c r="F7921" s="11">
        <v>0</v>
      </c>
    </row>
    <row r="7922" spans="1:6" x14ac:dyDescent="0.35">
      <c r="A7922" t="s">
        <v>2857</v>
      </c>
      <c r="B7922" t="s">
        <v>2863</v>
      </c>
      <c r="C7922" t="s">
        <v>1423</v>
      </c>
      <c r="D7922" t="s">
        <v>2883</v>
      </c>
      <c r="E7922">
        <v>0</v>
      </c>
      <c r="F7922" s="11">
        <v>0</v>
      </c>
    </row>
    <row r="7923" spans="1:6" x14ac:dyDescent="0.35">
      <c r="A7923" t="s">
        <v>2857</v>
      </c>
      <c r="B7923" t="s">
        <v>2863</v>
      </c>
      <c r="C7923" t="s">
        <v>1423</v>
      </c>
      <c r="D7923" t="s">
        <v>2884</v>
      </c>
      <c r="E7923">
        <v>0</v>
      </c>
      <c r="F7923" s="11">
        <v>0</v>
      </c>
    </row>
    <row r="7924" spans="1:6" x14ac:dyDescent="0.35">
      <c r="A7924" t="s">
        <v>2857</v>
      </c>
      <c r="B7924" t="s">
        <v>2863</v>
      </c>
      <c r="C7924" t="s">
        <v>1423</v>
      </c>
      <c r="D7924" t="s">
        <v>2885</v>
      </c>
      <c r="E7924">
        <v>0</v>
      </c>
      <c r="F7924" s="11">
        <v>0</v>
      </c>
    </row>
    <row r="7925" spans="1:6" x14ac:dyDescent="0.35">
      <c r="A7925" t="s">
        <v>2857</v>
      </c>
      <c r="B7925" t="s">
        <v>2863</v>
      </c>
      <c r="C7925" t="s">
        <v>1423</v>
      </c>
      <c r="D7925" t="s">
        <v>2886</v>
      </c>
      <c r="E7925">
        <v>0</v>
      </c>
      <c r="F7925" s="11">
        <v>0</v>
      </c>
    </row>
    <row r="7926" spans="1:6" x14ac:dyDescent="0.35">
      <c r="A7926" t="s">
        <v>2857</v>
      </c>
      <c r="B7926" t="s">
        <v>2863</v>
      </c>
      <c r="C7926" t="s">
        <v>1423</v>
      </c>
      <c r="D7926" t="s">
        <v>2887</v>
      </c>
      <c r="E7926">
        <v>177548</v>
      </c>
      <c r="F7926" s="11">
        <v>1</v>
      </c>
    </row>
    <row r="7927" spans="1:6" x14ac:dyDescent="0.35">
      <c r="A7927" t="s">
        <v>2857</v>
      </c>
      <c r="B7927" t="s">
        <v>2863</v>
      </c>
      <c r="C7927" t="s">
        <v>1423</v>
      </c>
      <c r="D7927" t="s">
        <v>2888</v>
      </c>
      <c r="E7927">
        <v>135711</v>
      </c>
      <c r="F7927" s="11">
        <v>1</v>
      </c>
    </row>
    <row r="7928" spans="1:6" x14ac:dyDescent="0.35">
      <c r="A7928" t="s">
        <v>2857</v>
      </c>
      <c r="B7928" t="s">
        <v>2863</v>
      </c>
      <c r="C7928" t="s">
        <v>1423</v>
      </c>
      <c r="D7928" t="s">
        <v>2889</v>
      </c>
      <c r="E7928">
        <v>0</v>
      </c>
      <c r="F7928" s="11">
        <v>1</v>
      </c>
    </row>
    <row r="7929" spans="1:6" x14ac:dyDescent="0.35">
      <c r="A7929" t="s">
        <v>2857</v>
      </c>
      <c r="B7929" t="s">
        <v>2863</v>
      </c>
      <c r="C7929" t="s">
        <v>1423</v>
      </c>
      <c r="D7929" t="s">
        <v>2890</v>
      </c>
      <c r="E7929">
        <v>41837</v>
      </c>
      <c r="F7929" s="11">
        <v>0</v>
      </c>
    </row>
    <row r="7930" spans="1:6" x14ac:dyDescent="0.35">
      <c r="A7930" t="s">
        <v>2857</v>
      </c>
      <c r="B7930" t="s">
        <v>2863</v>
      </c>
      <c r="C7930" t="s">
        <v>1423</v>
      </c>
      <c r="D7930" t="s">
        <v>2891</v>
      </c>
      <c r="E7930">
        <v>0</v>
      </c>
      <c r="F7930" s="11">
        <v>0</v>
      </c>
    </row>
    <row r="7931" spans="1:6" x14ac:dyDescent="0.35">
      <c r="A7931" t="s">
        <v>2857</v>
      </c>
      <c r="B7931" t="s">
        <v>2863</v>
      </c>
      <c r="C7931" t="s">
        <v>1423</v>
      </c>
      <c r="D7931" t="s">
        <v>2892</v>
      </c>
      <c r="E7931">
        <v>0</v>
      </c>
      <c r="F7931" s="11">
        <v>0</v>
      </c>
    </row>
    <row r="7932" spans="1:6" x14ac:dyDescent="0.35">
      <c r="A7932" t="s">
        <v>2857</v>
      </c>
      <c r="B7932" t="s">
        <v>2863</v>
      </c>
      <c r="C7932" t="s">
        <v>1423</v>
      </c>
      <c r="D7932" t="s">
        <v>2893</v>
      </c>
      <c r="E7932">
        <v>0</v>
      </c>
      <c r="F7932" s="11">
        <v>0</v>
      </c>
    </row>
    <row r="7933" spans="1:6" x14ac:dyDescent="0.35">
      <c r="A7933" t="s">
        <v>2857</v>
      </c>
      <c r="B7933" t="s">
        <v>2863</v>
      </c>
      <c r="C7933" t="s">
        <v>1423</v>
      </c>
      <c r="D7933" t="s">
        <v>2894</v>
      </c>
      <c r="E7933">
        <v>0</v>
      </c>
      <c r="F7933" s="11">
        <v>0</v>
      </c>
    </row>
    <row r="7934" spans="1:6" x14ac:dyDescent="0.35">
      <c r="A7934" t="s">
        <v>2857</v>
      </c>
      <c r="B7934" t="s">
        <v>2863</v>
      </c>
      <c r="C7934" t="s">
        <v>1423</v>
      </c>
      <c r="D7934" t="s">
        <v>2895</v>
      </c>
      <c r="E7934">
        <v>453291</v>
      </c>
      <c r="F7934" s="11">
        <v>1</v>
      </c>
    </row>
    <row r="7935" spans="1:6" x14ac:dyDescent="0.35">
      <c r="A7935" t="s">
        <v>2857</v>
      </c>
      <c r="B7935" t="s">
        <v>2863</v>
      </c>
      <c r="C7935" t="s">
        <v>1423</v>
      </c>
      <c r="D7935" t="s">
        <v>2896</v>
      </c>
      <c r="E7935">
        <v>204629</v>
      </c>
      <c r="F7935" s="11">
        <v>1</v>
      </c>
    </row>
    <row r="7936" spans="1:6" x14ac:dyDescent="0.35">
      <c r="A7936" t="s">
        <v>2857</v>
      </c>
      <c r="B7936" t="s">
        <v>2863</v>
      </c>
      <c r="C7936" t="s">
        <v>1423</v>
      </c>
      <c r="D7936" t="s">
        <v>2897</v>
      </c>
      <c r="E7936">
        <v>0</v>
      </c>
      <c r="F7936" s="11">
        <v>1</v>
      </c>
    </row>
    <row r="7937" spans="1:6" x14ac:dyDescent="0.35">
      <c r="A7937" t="s">
        <v>2857</v>
      </c>
      <c r="B7937" t="s">
        <v>2863</v>
      </c>
      <c r="C7937" t="s">
        <v>1423</v>
      </c>
      <c r="D7937" t="s">
        <v>2898</v>
      </c>
      <c r="E7937">
        <v>248662</v>
      </c>
      <c r="F7937" s="11">
        <v>0</v>
      </c>
    </row>
    <row r="7938" spans="1:6" x14ac:dyDescent="0.35">
      <c r="A7938" t="s">
        <v>2857</v>
      </c>
      <c r="B7938" t="s">
        <v>2863</v>
      </c>
      <c r="C7938" t="s">
        <v>1423</v>
      </c>
      <c r="D7938" t="s">
        <v>2899</v>
      </c>
      <c r="E7938">
        <v>0</v>
      </c>
      <c r="F7938" s="11">
        <v>0</v>
      </c>
    </row>
    <row r="7939" spans="1:6" x14ac:dyDescent="0.35">
      <c r="A7939" t="s">
        <v>2857</v>
      </c>
      <c r="B7939" t="s">
        <v>2863</v>
      </c>
      <c r="C7939" t="s">
        <v>1423</v>
      </c>
      <c r="D7939" t="s">
        <v>2900</v>
      </c>
      <c r="E7939">
        <v>0</v>
      </c>
      <c r="F7939" s="11">
        <v>0</v>
      </c>
    </row>
    <row r="7940" spans="1:6" x14ac:dyDescent="0.35">
      <c r="A7940" t="s">
        <v>2857</v>
      </c>
      <c r="B7940" t="s">
        <v>2863</v>
      </c>
      <c r="C7940" t="s">
        <v>1423</v>
      </c>
      <c r="D7940" t="s">
        <v>2901</v>
      </c>
      <c r="E7940">
        <v>0</v>
      </c>
      <c r="F7940" s="11">
        <v>0</v>
      </c>
    </row>
    <row r="7941" spans="1:6" x14ac:dyDescent="0.35">
      <c r="A7941" t="s">
        <v>2857</v>
      </c>
      <c r="B7941" t="s">
        <v>2863</v>
      </c>
      <c r="C7941" t="s">
        <v>1423</v>
      </c>
      <c r="D7941" t="s">
        <v>2902</v>
      </c>
      <c r="E7941">
        <v>0</v>
      </c>
      <c r="F7941" s="11">
        <v>0</v>
      </c>
    </row>
    <row r="7942" spans="1:6" x14ac:dyDescent="0.35">
      <c r="A7942" t="s">
        <v>2857</v>
      </c>
      <c r="B7942" t="s">
        <v>2863</v>
      </c>
      <c r="C7942" t="s">
        <v>1423</v>
      </c>
      <c r="D7942" t="s">
        <v>2903</v>
      </c>
      <c r="E7942">
        <v>12567</v>
      </c>
      <c r="F7942" s="11">
        <v>1</v>
      </c>
    </row>
    <row r="7943" spans="1:6" x14ac:dyDescent="0.35">
      <c r="A7943" t="s">
        <v>2857</v>
      </c>
      <c r="B7943" t="s">
        <v>2863</v>
      </c>
      <c r="C7943" t="s">
        <v>1423</v>
      </c>
      <c r="D7943" t="s">
        <v>2904</v>
      </c>
      <c r="E7943">
        <v>0</v>
      </c>
      <c r="F7943" s="11">
        <v>1</v>
      </c>
    </row>
    <row r="7944" spans="1:6" x14ac:dyDescent="0.35">
      <c r="A7944" t="s">
        <v>2857</v>
      </c>
      <c r="B7944" t="s">
        <v>2863</v>
      </c>
      <c r="C7944" t="s">
        <v>1423</v>
      </c>
      <c r="D7944" t="s">
        <v>2905</v>
      </c>
      <c r="E7944">
        <v>0</v>
      </c>
      <c r="F7944" s="11">
        <v>1</v>
      </c>
    </row>
    <row r="7945" spans="1:6" x14ac:dyDescent="0.35">
      <c r="A7945" t="s">
        <v>2857</v>
      </c>
      <c r="B7945" t="s">
        <v>2863</v>
      </c>
      <c r="C7945" t="s">
        <v>1423</v>
      </c>
      <c r="D7945" t="s">
        <v>2906</v>
      </c>
      <c r="E7945">
        <v>0</v>
      </c>
      <c r="F7945" s="11">
        <v>1</v>
      </c>
    </row>
    <row r="7946" spans="1:6" x14ac:dyDescent="0.35">
      <c r="A7946" t="s">
        <v>2857</v>
      </c>
      <c r="B7946" t="s">
        <v>2863</v>
      </c>
      <c r="C7946" t="s">
        <v>1423</v>
      </c>
      <c r="D7946" t="s">
        <v>2907</v>
      </c>
      <c r="E7946">
        <v>33300</v>
      </c>
      <c r="F7946" s="11">
        <v>1</v>
      </c>
    </row>
    <row r="7947" spans="1:6" x14ac:dyDescent="0.35">
      <c r="A7947" t="s">
        <v>2857</v>
      </c>
      <c r="B7947" t="s">
        <v>2863</v>
      </c>
      <c r="C7947" t="s">
        <v>1423</v>
      </c>
      <c r="D7947" t="s">
        <v>2908</v>
      </c>
      <c r="E7947">
        <v>0</v>
      </c>
      <c r="F7947" s="11">
        <v>1</v>
      </c>
    </row>
    <row r="7948" spans="1:6" x14ac:dyDescent="0.35">
      <c r="A7948" t="s">
        <v>2857</v>
      </c>
      <c r="B7948" t="s">
        <v>2863</v>
      </c>
      <c r="C7948" t="s">
        <v>1423</v>
      </c>
      <c r="D7948" t="s">
        <v>2909</v>
      </c>
      <c r="E7948">
        <v>0</v>
      </c>
      <c r="F7948" s="11">
        <v>1</v>
      </c>
    </row>
    <row r="7949" spans="1:6" x14ac:dyDescent="0.35">
      <c r="A7949" t="s">
        <v>2857</v>
      </c>
      <c r="B7949" t="s">
        <v>2863</v>
      </c>
      <c r="C7949" t="s">
        <v>1423</v>
      </c>
      <c r="D7949" t="s">
        <v>2910</v>
      </c>
      <c r="E7949">
        <v>0</v>
      </c>
      <c r="F7949" s="11">
        <v>1</v>
      </c>
    </row>
    <row r="7950" spans="1:6" x14ac:dyDescent="0.35">
      <c r="A7950" t="s">
        <v>2857</v>
      </c>
      <c r="B7950" t="s">
        <v>2863</v>
      </c>
      <c r="C7950" t="s">
        <v>1423</v>
      </c>
      <c r="D7950" t="s">
        <v>2911</v>
      </c>
      <c r="E7950">
        <v>421539</v>
      </c>
      <c r="F7950" s="11">
        <v>1</v>
      </c>
    </row>
    <row r="7951" spans="1:6" x14ac:dyDescent="0.35">
      <c r="A7951" t="s">
        <v>2857</v>
      </c>
      <c r="B7951" t="s">
        <v>2863</v>
      </c>
      <c r="C7951" t="s">
        <v>1423</v>
      </c>
      <c r="D7951" t="s">
        <v>2912</v>
      </c>
      <c r="E7951">
        <v>297366</v>
      </c>
      <c r="F7951" s="11">
        <v>1</v>
      </c>
    </row>
    <row r="7952" spans="1:6" x14ac:dyDescent="0.35">
      <c r="A7952" t="s">
        <v>2857</v>
      </c>
      <c r="B7952" t="s">
        <v>2863</v>
      </c>
      <c r="C7952" t="s">
        <v>1423</v>
      </c>
      <c r="D7952" t="s">
        <v>2913</v>
      </c>
      <c r="E7952">
        <v>0</v>
      </c>
      <c r="F7952" s="11">
        <v>0</v>
      </c>
    </row>
    <row r="7953" spans="1:6" x14ac:dyDescent="0.35">
      <c r="A7953" t="s">
        <v>2857</v>
      </c>
      <c r="B7953" t="s">
        <v>2863</v>
      </c>
      <c r="C7953" t="s">
        <v>1423</v>
      </c>
      <c r="D7953" t="s">
        <v>2914</v>
      </c>
      <c r="E7953">
        <v>35740</v>
      </c>
      <c r="F7953" s="11">
        <v>0</v>
      </c>
    </row>
    <row r="7954" spans="1:6" x14ac:dyDescent="0.35">
      <c r="A7954" t="s">
        <v>2857</v>
      </c>
      <c r="B7954" t="s">
        <v>2863</v>
      </c>
      <c r="C7954" t="s">
        <v>1423</v>
      </c>
      <c r="D7954" t="s">
        <v>2915</v>
      </c>
      <c r="E7954">
        <v>41107</v>
      </c>
      <c r="F7954" s="11">
        <v>0</v>
      </c>
    </row>
    <row r="7955" spans="1:6" x14ac:dyDescent="0.35">
      <c r="A7955" t="s">
        <v>2857</v>
      </c>
      <c r="B7955" t="s">
        <v>2863</v>
      </c>
      <c r="C7955" t="s">
        <v>1423</v>
      </c>
      <c r="D7955" t="s">
        <v>2916</v>
      </c>
      <c r="E7955">
        <v>77990</v>
      </c>
      <c r="F7955" s="11">
        <v>1</v>
      </c>
    </row>
    <row r="7956" spans="1:6" x14ac:dyDescent="0.35">
      <c r="A7956" t="s">
        <v>2857</v>
      </c>
      <c r="B7956" t="s">
        <v>2863</v>
      </c>
      <c r="C7956" t="s">
        <v>1423</v>
      </c>
      <c r="D7956" t="s">
        <v>2917</v>
      </c>
      <c r="E7956">
        <v>99548</v>
      </c>
      <c r="F7956" s="11">
        <v>1</v>
      </c>
    </row>
    <row r="7957" spans="1:6" x14ac:dyDescent="0.35">
      <c r="A7957" t="s">
        <v>2857</v>
      </c>
      <c r="B7957" t="s">
        <v>2865</v>
      </c>
      <c r="C7957" t="s">
        <v>1364</v>
      </c>
      <c r="D7957" t="s">
        <v>2875</v>
      </c>
      <c r="E7957">
        <v>77672</v>
      </c>
      <c r="F7957" s="11">
        <v>1</v>
      </c>
    </row>
    <row r="7958" spans="1:6" x14ac:dyDescent="0.35">
      <c r="A7958" t="s">
        <v>2857</v>
      </c>
      <c r="B7958" t="s">
        <v>2865</v>
      </c>
      <c r="C7958" t="s">
        <v>1364</v>
      </c>
      <c r="D7958" t="s">
        <v>2876</v>
      </c>
      <c r="E7958">
        <v>9355</v>
      </c>
      <c r="F7958" s="11">
        <v>1</v>
      </c>
    </row>
    <row r="7959" spans="1:6" x14ac:dyDescent="0.35">
      <c r="A7959" t="s">
        <v>2857</v>
      </c>
      <c r="B7959" t="s">
        <v>2865</v>
      </c>
      <c r="C7959" t="s">
        <v>1364</v>
      </c>
      <c r="D7959" t="s">
        <v>2877</v>
      </c>
      <c r="E7959">
        <v>37661</v>
      </c>
      <c r="F7959" s="11">
        <v>1</v>
      </c>
    </row>
    <row r="7960" spans="1:6" x14ac:dyDescent="0.35">
      <c r="A7960" t="s">
        <v>2857</v>
      </c>
      <c r="B7960" t="s">
        <v>2865</v>
      </c>
      <c r="C7960" t="s">
        <v>1364</v>
      </c>
      <c r="D7960" t="s">
        <v>2878</v>
      </c>
      <c r="E7960">
        <v>30656</v>
      </c>
      <c r="F7960" s="11">
        <v>1</v>
      </c>
    </row>
    <row r="7961" spans="1:6" x14ac:dyDescent="0.35">
      <c r="A7961" t="s">
        <v>2857</v>
      </c>
      <c r="B7961" t="s">
        <v>2865</v>
      </c>
      <c r="C7961" t="s">
        <v>1364</v>
      </c>
      <c r="D7961" t="s">
        <v>2879</v>
      </c>
      <c r="E7961">
        <v>4499</v>
      </c>
      <c r="F7961" s="11">
        <v>1</v>
      </c>
    </row>
    <row r="7962" spans="1:6" x14ac:dyDescent="0.35">
      <c r="A7962" t="s">
        <v>2857</v>
      </c>
      <c r="B7962" t="s">
        <v>2865</v>
      </c>
      <c r="C7962" t="s">
        <v>1364</v>
      </c>
      <c r="D7962" t="s">
        <v>2880</v>
      </c>
      <c r="E7962">
        <v>1460</v>
      </c>
      <c r="F7962" s="11">
        <v>1</v>
      </c>
    </row>
    <row r="7963" spans="1:6" x14ac:dyDescent="0.35">
      <c r="A7963" t="s">
        <v>2857</v>
      </c>
      <c r="B7963" t="s">
        <v>2865</v>
      </c>
      <c r="C7963" t="s">
        <v>1364</v>
      </c>
      <c r="D7963" t="s">
        <v>2881</v>
      </c>
      <c r="E7963">
        <v>0</v>
      </c>
      <c r="F7963" s="11">
        <v>1</v>
      </c>
    </row>
    <row r="7964" spans="1:6" x14ac:dyDescent="0.35">
      <c r="A7964" t="s">
        <v>2857</v>
      </c>
      <c r="B7964" t="s">
        <v>2865</v>
      </c>
      <c r="C7964" t="s">
        <v>1364</v>
      </c>
      <c r="D7964" t="s">
        <v>2882</v>
      </c>
      <c r="E7964">
        <v>3039</v>
      </c>
      <c r="F7964" s="11">
        <v>1</v>
      </c>
    </row>
    <row r="7965" spans="1:6" x14ac:dyDescent="0.35">
      <c r="A7965" t="s">
        <v>2857</v>
      </c>
      <c r="B7965" t="s">
        <v>2865</v>
      </c>
      <c r="C7965" t="s">
        <v>1364</v>
      </c>
      <c r="D7965" t="s">
        <v>2883</v>
      </c>
      <c r="E7965">
        <v>0</v>
      </c>
      <c r="F7965" s="11">
        <v>0</v>
      </c>
    </row>
    <row r="7966" spans="1:6" x14ac:dyDescent="0.35">
      <c r="A7966" t="s">
        <v>2857</v>
      </c>
      <c r="B7966" t="s">
        <v>2865</v>
      </c>
      <c r="C7966" t="s">
        <v>1364</v>
      </c>
      <c r="D7966" t="s">
        <v>2884</v>
      </c>
      <c r="E7966">
        <v>0</v>
      </c>
      <c r="F7966" s="11">
        <v>0</v>
      </c>
    </row>
    <row r="7967" spans="1:6" x14ac:dyDescent="0.35">
      <c r="A7967" t="s">
        <v>2857</v>
      </c>
      <c r="B7967" t="s">
        <v>2865</v>
      </c>
      <c r="C7967" t="s">
        <v>1364</v>
      </c>
      <c r="D7967" t="s">
        <v>2885</v>
      </c>
      <c r="E7967">
        <v>0</v>
      </c>
      <c r="F7967" s="11">
        <v>0</v>
      </c>
    </row>
    <row r="7968" spans="1:6" x14ac:dyDescent="0.35">
      <c r="A7968" t="s">
        <v>2857</v>
      </c>
      <c r="B7968" t="s">
        <v>2865</v>
      </c>
      <c r="C7968" t="s">
        <v>1364</v>
      </c>
      <c r="D7968" t="s">
        <v>2886</v>
      </c>
      <c r="E7968">
        <v>0</v>
      </c>
      <c r="F7968" s="11">
        <v>0</v>
      </c>
    </row>
    <row r="7969" spans="1:6" x14ac:dyDescent="0.35">
      <c r="A7969" t="s">
        <v>2857</v>
      </c>
      <c r="B7969" t="s">
        <v>2865</v>
      </c>
      <c r="C7969" t="s">
        <v>1364</v>
      </c>
      <c r="D7969" t="s">
        <v>2887</v>
      </c>
      <c r="E7969">
        <v>43874</v>
      </c>
      <c r="F7969" s="11">
        <v>1</v>
      </c>
    </row>
    <row r="7970" spans="1:6" x14ac:dyDescent="0.35">
      <c r="A7970" t="s">
        <v>2857</v>
      </c>
      <c r="B7970" t="s">
        <v>2865</v>
      </c>
      <c r="C7970" t="s">
        <v>1364</v>
      </c>
      <c r="D7970" t="s">
        <v>2888</v>
      </c>
      <c r="E7970">
        <v>22545</v>
      </c>
      <c r="F7970" s="11">
        <v>1</v>
      </c>
    </row>
    <row r="7971" spans="1:6" x14ac:dyDescent="0.35">
      <c r="A7971" t="s">
        <v>2857</v>
      </c>
      <c r="B7971" t="s">
        <v>2865</v>
      </c>
      <c r="C7971" t="s">
        <v>1364</v>
      </c>
      <c r="D7971" t="s">
        <v>2889</v>
      </c>
      <c r="E7971">
        <v>0</v>
      </c>
      <c r="F7971" s="11">
        <v>1</v>
      </c>
    </row>
    <row r="7972" spans="1:6" x14ac:dyDescent="0.35">
      <c r="A7972" t="s">
        <v>2857</v>
      </c>
      <c r="B7972" t="s">
        <v>2865</v>
      </c>
      <c r="C7972" t="s">
        <v>1364</v>
      </c>
      <c r="D7972" t="s">
        <v>2890</v>
      </c>
      <c r="E7972">
        <v>23417</v>
      </c>
      <c r="F7972" s="11">
        <v>1</v>
      </c>
    </row>
    <row r="7973" spans="1:6" x14ac:dyDescent="0.35">
      <c r="A7973" t="s">
        <v>2857</v>
      </c>
      <c r="B7973" t="s">
        <v>2865</v>
      </c>
      <c r="C7973" t="s">
        <v>1364</v>
      </c>
      <c r="D7973" t="s">
        <v>2891</v>
      </c>
      <c r="E7973">
        <v>0</v>
      </c>
      <c r="F7973" s="11">
        <v>0</v>
      </c>
    </row>
    <row r="7974" spans="1:6" x14ac:dyDescent="0.35">
      <c r="A7974" t="s">
        <v>2857</v>
      </c>
      <c r="B7974" t="s">
        <v>2865</v>
      </c>
      <c r="C7974" t="s">
        <v>1364</v>
      </c>
      <c r="D7974" t="s">
        <v>2892</v>
      </c>
      <c r="E7974">
        <v>0</v>
      </c>
      <c r="F7974" s="11">
        <v>0</v>
      </c>
    </row>
    <row r="7975" spans="1:6" x14ac:dyDescent="0.35">
      <c r="A7975" t="s">
        <v>2857</v>
      </c>
      <c r="B7975" t="s">
        <v>2865</v>
      </c>
      <c r="C7975" t="s">
        <v>1364</v>
      </c>
      <c r="D7975" t="s">
        <v>2893</v>
      </c>
      <c r="E7975">
        <v>0</v>
      </c>
      <c r="F7975" s="11">
        <v>0</v>
      </c>
    </row>
    <row r="7976" spans="1:6" x14ac:dyDescent="0.35">
      <c r="A7976" t="s">
        <v>2857</v>
      </c>
      <c r="B7976" t="s">
        <v>2865</v>
      </c>
      <c r="C7976" t="s">
        <v>1364</v>
      </c>
      <c r="D7976" t="s">
        <v>2894</v>
      </c>
      <c r="E7976">
        <v>0</v>
      </c>
      <c r="F7976" s="11">
        <v>0</v>
      </c>
    </row>
    <row r="7977" spans="1:6" x14ac:dyDescent="0.35">
      <c r="A7977" t="s">
        <v>2857</v>
      </c>
      <c r="B7977" t="s">
        <v>2865</v>
      </c>
      <c r="C7977" t="s">
        <v>1364</v>
      </c>
      <c r="D7977" t="s">
        <v>2895</v>
      </c>
      <c r="E7977">
        <v>478932</v>
      </c>
      <c r="F7977" s="11">
        <v>1</v>
      </c>
    </row>
    <row r="7978" spans="1:6" x14ac:dyDescent="0.35">
      <c r="A7978" t="s">
        <v>2857</v>
      </c>
      <c r="B7978" t="s">
        <v>2865</v>
      </c>
      <c r="C7978" t="s">
        <v>1364</v>
      </c>
      <c r="D7978" t="s">
        <v>2896</v>
      </c>
      <c r="E7978">
        <v>0</v>
      </c>
      <c r="F7978" s="11">
        <v>0</v>
      </c>
    </row>
    <row r="7979" spans="1:6" x14ac:dyDescent="0.35">
      <c r="A7979" t="s">
        <v>2857</v>
      </c>
      <c r="B7979" t="s">
        <v>2865</v>
      </c>
      <c r="C7979" t="s">
        <v>1364</v>
      </c>
      <c r="D7979" t="s">
        <v>2897</v>
      </c>
      <c r="E7979">
        <v>0</v>
      </c>
      <c r="F7979" s="11">
        <v>0</v>
      </c>
    </row>
    <row r="7980" spans="1:6" x14ac:dyDescent="0.35">
      <c r="A7980" t="s">
        <v>2857</v>
      </c>
      <c r="B7980" t="s">
        <v>2865</v>
      </c>
      <c r="C7980" t="s">
        <v>1364</v>
      </c>
      <c r="D7980" t="s">
        <v>2898</v>
      </c>
      <c r="E7980">
        <v>0</v>
      </c>
      <c r="F7980" s="11">
        <v>0</v>
      </c>
    </row>
    <row r="7981" spans="1:6" x14ac:dyDescent="0.35">
      <c r="A7981" t="s">
        <v>2857</v>
      </c>
      <c r="B7981" t="s">
        <v>2865</v>
      </c>
      <c r="C7981" t="s">
        <v>1364</v>
      </c>
      <c r="D7981" t="s">
        <v>2899</v>
      </c>
      <c r="E7981">
        <v>0</v>
      </c>
      <c r="F7981" s="11">
        <v>0</v>
      </c>
    </row>
    <row r="7982" spans="1:6" x14ac:dyDescent="0.35">
      <c r="A7982" t="s">
        <v>2857</v>
      </c>
      <c r="B7982" t="s">
        <v>2865</v>
      </c>
      <c r="C7982" t="s">
        <v>1364</v>
      </c>
      <c r="D7982" t="s">
        <v>2900</v>
      </c>
      <c r="E7982">
        <v>0</v>
      </c>
      <c r="F7982" s="11">
        <v>0</v>
      </c>
    </row>
    <row r="7983" spans="1:6" x14ac:dyDescent="0.35">
      <c r="A7983" t="s">
        <v>2857</v>
      </c>
      <c r="B7983" t="s">
        <v>2865</v>
      </c>
      <c r="C7983" t="s">
        <v>1364</v>
      </c>
      <c r="D7983" t="s">
        <v>2901</v>
      </c>
      <c r="E7983">
        <v>0</v>
      </c>
      <c r="F7983" s="11">
        <v>0</v>
      </c>
    </row>
    <row r="7984" spans="1:6" x14ac:dyDescent="0.35">
      <c r="A7984" t="s">
        <v>2857</v>
      </c>
      <c r="B7984" t="s">
        <v>2865</v>
      </c>
      <c r="C7984" t="s">
        <v>1364</v>
      </c>
      <c r="D7984" t="s">
        <v>2902</v>
      </c>
      <c r="E7984">
        <v>0</v>
      </c>
      <c r="F7984" s="11">
        <v>0</v>
      </c>
    </row>
    <row r="7985" spans="1:6" x14ac:dyDescent="0.35">
      <c r="A7985" t="s">
        <v>2857</v>
      </c>
      <c r="B7985" t="s">
        <v>2865</v>
      </c>
      <c r="C7985" t="s">
        <v>1364</v>
      </c>
      <c r="D7985" t="s">
        <v>2903</v>
      </c>
      <c r="E7985">
        <v>40252</v>
      </c>
      <c r="F7985" s="11">
        <v>1</v>
      </c>
    </row>
    <row r="7986" spans="1:6" x14ac:dyDescent="0.35">
      <c r="A7986" t="s">
        <v>2857</v>
      </c>
      <c r="B7986" t="s">
        <v>2865</v>
      </c>
      <c r="C7986" t="s">
        <v>1364</v>
      </c>
      <c r="D7986" t="s">
        <v>2904</v>
      </c>
      <c r="E7986">
        <v>0</v>
      </c>
      <c r="F7986" s="11">
        <v>0</v>
      </c>
    </row>
    <row r="7987" spans="1:6" x14ac:dyDescent="0.35">
      <c r="A7987" t="s">
        <v>2857</v>
      </c>
      <c r="B7987" t="s">
        <v>2865</v>
      </c>
      <c r="C7987" t="s">
        <v>1364</v>
      </c>
      <c r="D7987" t="s">
        <v>2905</v>
      </c>
      <c r="E7987">
        <v>0</v>
      </c>
      <c r="F7987" s="11">
        <v>0</v>
      </c>
    </row>
    <row r="7988" spans="1:6" x14ac:dyDescent="0.35">
      <c r="A7988" t="s">
        <v>2857</v>
      </c>
      <c r="B7988" t="s">
        <v>2865</v>
      </c>
      <c r="C7988" t="s">
        <v>1364</v>
      </c>
      <c r="D7988" t="s">
        <v>2906</v>
      </c>
      <c r="E7988">
        <v>0</v>
      </c>
      <c r="F7988" s="11">
        <v>0</v>
      </c>
    </row>
    <row r="7989" spans="1:6" x14ac:dyDescent="0.35">
      <c r="A7989" t="s">
        <v>2857</v>
      </c>
      <c r="B7989" t="s">
        <v>2865</v>
      </c>
      <c r="C7989" t="s">
        <v>1364</v>
      </c>
      <c r="D7989" t="s">
        <v>2907</v>
      </c>
      <c r="E7989">
        <v>72242</v>
      </c>
      <c r="F7989" s="11">
        <v>0</v>
      </c>
    </row>
    <row r="7990" spans="1:6" x14ac:dyDescent="0.35">
      <c r="A7990" t="s">
        <v>2857</v>
      </c>
      <c r="B7990" t="s">
        <v>2865</v>
      </c>
      <c r="C7990" t="s">
        <v>1364</v>
      </c>
      <c r="D7990" t="s">
        <v>2908</v>
      </c>
      <c r="E7990">
        <v>0</v>
      </c>
      <c r="F7990" s="11">
        <v>0</v>
      </c>
    </row>
    <row r="7991" spans="1:6" x14ac:dyDescent="0.35">
      <c r="A7991" t="s">
        <v>2857</v>
      </c>
      <c r="B7991" t="s">
        <v>2865</v>
      </c>
      <c r="C7991" t="s">
        <v>1364</v>
      </c>
      <c r="D7991" t="s">
        <v>2909</v>
      </c>
      <c r="E7991">
        <v>0</v>
      </c>
      <c r="F7991" s="11">
        <v>0</v>
      </c>
    </row>
    <row r="7992" spans="1:6" x14ac:dyDescent="0.35">
      <c r="A7992" t="s">
        <v>2857</v>
      </c>
      <c r="B7992" t="s">
        <v>2865</v>
      </c>
      <c r="C7992" t="s">
        <v>1364</v>
      </c>
      <c r="D7992" t="s">
        <v>2910</v>
      </c>
      <c r="E7992">
        <v>0</v>
      </c>
      <c r="F7992" s="11">
        <v>0</v>
      </c>
    </row>
    <row r="7993" spans="1:6" x14ac:dyDescent="0.35">
      <c r="A7993" t="s">
        <v>2857</v>
      </c>
      <c r="B7993" t="s">
        <v>2865</v>
      </c>
      <c r="C7993" t="s">
        <v>1364</v>
      </c>
      <c r="D7993" t="s">
        <v>2911</v>
      </c>
      <c r="E7993">
        <v>213397</v>
      </c>
      <c r="F7993" s="11">
        <v>1</v>
      </c>
    </row>
    <row r="7994" spans="1:6" x14ac:dyDescent="0.35">
      <c r="A7994" t="s">
        <v>2857</v>
      </c>
      <c r="B7994" t="s">
        <v>2865</v>
      </c>
      <c r="C7994" t="s">
        <v>1364</v>
      </c>
      <c r="D7994" t="s">
        <v>2912</v>
      </c>
      <c r="E7994">
        <v>345293</v>
      </c>
      <c r="F7994" s="11">
        <v>1</v>
      </c>
    </row>
    <row r="7995" spans="1:6" x14ac:dyDescent="0.35">
      <c r="A7995" t="s">
        <v>2857</v>
      </c>
      <c r="B7995" t="s">
        <v>2865</v>
      </c>
      <c r="C7995" t="s">
        <v>1364</v>
      </c>
      <c r="D7995" t="s">
        <v>2913</v>
      </c>
      <c r="E7995">
        <v>0</v>
      </c>
      <c r="F7995" s="11">
        <v>0</v>
      </c>
    </row>
    <row r="7996" spans="1:6" x14ac:dyDescent="0.35">
      <c r="A7996" t="s">
        <v>2857</v>
      </c>
      <c r="B7996" t="s">
        <v>2865</v>
      </c>
      <c r="C7996" t="s">
        <v>1364</v>
      </c>
      <c r="D7996" t="s">
        <v>2914</v>
      </c>
      <c r="E7996">
        <v>0</v>
      </c>
      <c r="F7996" s="11">
        <v>0</v>
      </c>
    </row>
    <row r="7997" spans="1:6" x14ac:dyDescent="0.35">
      <c r="A7997" t="s">
        <v>2857</v>
      </c>
      <c r="B7997" t="s">
        <v>2865</v>
      </c>
      <c r="C7997" t="s">
        <v>1364</v>
      </c>
      <c r="D7997" t="s">
        <v>2915</v>
      </c>
      <c r="E7997">
        <v>0</v>
      </c>
      <c r="F7997" s="11">
        <v>0</v>
      </c>
    </row>
    <row r="7998" spans="1:6" x14ac:dyDescent="0.35">
      <c r="A7998" t="s">
        <v>2857</v>
      </c>
      <c r="B7998" t="s">
        <v>2865</v>
      </c>
      <c r="C7998" t="s">
        <v>1364</v>
      </c>
      <c r="D7998" t="s">
        <v>2916</v>
      </c>
      <c r="E7998">
        <v>28079</v>
      </c>
      <c r="F7998" s="11">
        <v>1</v>
      </c>
    </row>
    <row r="7999" spans="1:6" x14ac:dyDescent="0.35">
      <c r="A7999" t="s">
        <v>2857</v>
      </c>
      <c r="B7999" t="s">
        <v>2865</v>
      </c>
      <c r="C7999" t="s">
        <v>1364</v>
      </c>
      <c r="D7999" t="s">
        <v>2917</v>
      </c>
      <c r="E7999">
        <v>0</v>
      </c>
      <c r="F7999" s="11">
        <v>0</v>
      </c>
    </row>
    <row r="8000" spans="1:6" x14ac:dyDescent="0.35">
      <c r="A8000" t="s">
        <v>2857</v>
      </c>
      <c r="B8000" t="s">
        <v>2865</v>
      </c>
      <c r="C8000" t="s">
        <v>1461</v>
      </c>
      <c r="D8000" t="s">
        <v>2875</v>
      </c>
      <c r="E8000">
        <v>61947</v>
      </c>
      <c r="F8000" s="11">
        <v>1</v>
      </c>
    </row>
    <row r="8001" spans="1:6" x14ac:dyDescent="0.35">
      <c r="A8001" t="s">
        <v>2857</v>
      </c>
      <c r="B8001" t="s">
        <v>2865</v>
      </c>
      <c r="C8001" t="s">
        <v>1461</v>
      </c>
      <c r="D8001" t="s">
        <v>2876</v>
      </c>
      <c r="E8001">
        <v>20502</v>
      </c>
      <c r="F8001" s="11">
        <v>1</v>
      </c>
    </row>
    <row r="8002" spans="1:6" x14ac:dyDescent="0.35">
      <c r="A8002" t="s">
        <v>2857</v>
      </c>
      <c r="B8002" t="s">
        <v>2865</v>
      </c>
      <c r="C8002" t="s">
        <v>1461</v>
      </c>
      <c r="D8002" t="s">
        <v>2877</v>
      </c>
      <c r="E8002">
        <v>0</v>
      </c>
      <c r="F8002" s="11">
        <v>1</v>
      </c>
    </row>
    <row r="8003" spans="1:6" x14ac:dyDescent="0.35">
      <c r="A8003" t="s">
        <v>2857</v>
      </c>
      <c r="B8003" t="s">
        <v>2865</v>
      </c>
      <c r="C8003" t="s">
        <v>1461</v>
      </c>
      <c r="D8003" t="s">
        <v>2878</v>
      </c>
      <c r="E8003">
        <v>40537</v>
      </c>
      <c r="F8003" s="11">
        <v>1</v>
      </c>
    </row>
    <row r="8004" spans="1:6" x14ac:dyDescent="0.35">
      <c r="A8004" t="s">
        <v>2857</v>
      </c>
      <c r="B8004" t="s">
        <v>2865</v>
      </c>
      <c r="C8004" t="s">
        <v>1461</v>
      </c>
      <c r="D8004" t="s">
        <v>2879</v>
      </c>
      <c r="E8004">
        <v>3088</v>
      </c>
      <c r="F8004" s="11">
        <v>1</v>
      </c>
    </row>
    <row r="8005" spans="1:6" x14ac:dyDescent="0.35">
      <c r="A8005" t="s">
        <v>2857</v>
      </c>
      <c r="B8005" t="s">
        <v>2865</v>
      </c>
      <c r="C8005" t="s">
        <v>1461</v>
      </c>
      <c r="D8005" t="s">
        <v>2880</v>
      </c>
      <c r="E8005">
        <v>1718</v>
      </c>
      <c r="F8005" s="11">
        <v>1</v>
      </c>
    </row>
    <row r="8006" spans="1:6" x14ac:dyDescent="0.35">
      <c r="A8006" t="s">
        <v>2857</v>
      </c>
      <c r="B8006" t="s">
        <v>2865</v>
      </c>
      <c r="C8006" t="s">
        <v>1461</v>
      </c>
      <c r="D8006" t="s">
        <v>2881</v>
      </c>
      <c r="E8006">
        <v>0</v>
      </c>
      <c r="F8006" s="11">
        <v>1</v>
      </c>
    </row>
    <row r="8007" spans="1:6" x14ac:dyDescent="0.35">
      <c r="A8007" t="s">
        <v>2857</v>
      </c>
      <c r="B8007" t="s">
        <v>2865</v>
      </c>
      <c r="C8007" t="s">
        <v>1461</v>
      </c>
      <c r="D8007" t="s">
        <v>2882</v>
      </c>
      <c r="E8007">
        <v>1370</v>
      </c>
      <c r="F8007" s="11">
        <v>0</v>
      </c>
    </row>
    <row r="8008" spans="1:6" x14ac:dyDescent="0.35">
      <c r="A8008" t="s">
        <v>2857</v>
      </c>
      <c r="B8008" t="s">
        <v>2865</v>
      </c>
      <c r="C8008" t="s">
        <v>1461</v>
      </c>
      <c r="D8008" t="s">
        <v>2883</v>
      </c>
      <c r="E8008">
        <v>0</v>
      </c>
      <c r="F8008" s="11">
        <v>0</v>
      </c>
    </row>
    <row r="8009" spans="1:6" x14ac:dyDescent="0.35">
      <c r="A8009" t="s">
        <v>2857</v>
      </c>
      <c r="B8009" t="s">
        <v>2865</v>
      </c>
      <c r="C8009" t="s">
        <v>1461</v>
      </c>
      <c r="D8009" t="s">
        <v>2884</v>
      </c>
      <c r="E8009">
        <v>0</v>
      </c>
      <c r="F8009" s="11">
        <v>0</v>
      </c>
    </row>
    <row r="8010" spans="1:6" x14ac:dyDescent="0.35">
      <c r="A8010" t="s">
        <v>2857</v>
      </c>
      <c r="B8010" t="s">
        <v>2865</v>
      </c>
      <c r="C8010" t="s">
        <v>1461</v>
      </c>
      <c r="D8010" t="s">
        <v>2885</v>
      </c>
      <c r="E8010">
        <v>0</v>
      </c>
      <c r="F8010" s="11">
        <v>0</v>
      </c>
    </row>
    <row r="8011" spans="1:6" x14ac:dyDescent="0.35">
      <c r="A8011" t="s">
        <v>2857</v>
      </c>
      <c r="B8011" t="s">
        <v>2865</v>
      </c>
      <c r="C8011" t="s">
        <v>1461</v>
      </c>
      <c r="D8011" t="s">
        <v>2886</v>
      </c>
      <c r="E8011">
        <v>0</v>
      </c>
      <c r="F8011" s="11">
        <v>0</v>
      </c>
    </row>
    <row r="8012" spans="1:6" x14ac:dyDescent="0.35">
      <c r="A8012" t="s">
        <v>2857</v>
      </c>
      <c r="B8012" t="s">
        <v>2865</v>
      </c>
      <c r="C8012" t="s">
        <v>1461</v>
      </c>
      <c r="D8012" t="s">
        <v>2887</v>
      </c>
      <c r="E8012">
        <v>50834</v>
      </c>
      <c r="F8012" s="11">
        <v>1</v>
      </c>
    </row>
    <row r="8013" spans="1:6" x14ac:dyDescent="0.35">
      <c r="A8013" t="s">
        <v>2857</v>
      </c>
      <c r="B8013" t="s">
        <v>2865</v>
      </c>
      <c r="C8013" t="s">
        <v>1461</v>
      </c>
      <c r="D8013" t="s">
        <v>2888</v>
      </c>
      <c r="E8013">
        <v>26076</v>
      </c>
      <c r="F8013" s="11">
        <v>1</v>
      </c>
    </row>
    <row r="8014" spans="1:6" x14ac:dyDescent="0.35">
      <c r="A8014" t="s">
        <v>2857</v>
      </c>
      <c r="B8014" t="s">
        <v>2865</v>
      </c>
      <c r="C8014" t="s">
        <v>1461</v>
      </c>
      <c r="D8014" t="s">
        <v>2889</v>
      </c>
      <c r="E8014">
        <v>0</v>
      </c>
      <c r="F8014" s="11">
        <v>1</v>
      </c>
    </row>
    <row r="8015" spans="1:6" x14ac:dyDescent="0.35">
      <c r="A8015" t="s">
        <v>2857</v>
      </c>
      <c r="B8015" t="s">
        <v>2865</v>
      </c>
      <c r="C8015" t="s">
        <v>1461</v>
      </c>
      <c r="D8015" t="s">
        <v>2890</v>
      </c>
      <c r="E8015">
        <v>25758</v>
      </c>
      <c r="F8015" s="11">
        <v>0</v>
      </c>
    </row>
    <row r="8016" spans="1:6" x14ac:dyDescent="0.35">
      <c r="A8016" t="s">
        <v>2857</v>
      </c>
      <c r="B8016" t="s">
        <v>2865</v>
      </c>
      <c r="C8016" t="s">
        <v>1461</v>
      </c>
      <c r="D8016" t="s">
        <v>2891</v>
      </c>
      <c r="E8016">
        <v>0</v>
      </c>
      <c r="F8016" s="11">
        <v>0</v>
      </c>
    </row>
    <row r="8017" spans="1:6" x14ac:dyDescent="0.35">
      <c r="A8017" t="s">
        <v>2857</v>
      </c>
      <c r="B8017" t="s">
        <v>2865</v>
      </c>
      <c r="C8017" t="s">
        <v>1461</v>
      </c>
      <c r="D8017" t="s">
        <v>2892</v>
      </c>
      <c r="E8017">
        <v>0</v>
      </c>
      <c r="F8017" s="11">
        <v>0</v>
      </c>
    </row>
    <row r="8018" spans="1:6" x14ac:dyDescent="0.35">
      <c r="A8018" t="s">
        <v>2857</v>
      </c>
      <c r="B8018" t="s">
        <v>2865</v>
      </c>
      <c r="C8018" t="s">
        <v>1461</v>
      </c>
      <c r="D8018" t="s">
        <v>2893</v>
      </c>
      <c r="E8018">
        <v>0</v>
      </c>
      <c r="F8018" s="11">
        <v>0</v>
      </c>
    </row>
    <row r="8019" spans="1:6" x14ac:dyDescent="0.35">
      <c r="A8019" t="s">
        <v>2857</v>
      </c>
      <c r="B8019" t="s">
        <v>2865</v>
      </c>
      <c r="C8019" t="s">
        <v>1461</v>
      </c>
      <c r="D8019" t="s">
        <v>2894</v>
      </c>
      <c r="E8019">
        <v>0</v>
      </c>
      <c r="F8019" s="11">
        <v>0</v>
      </c>
    </row>
    <row r="8020" spans="1:6" x14ac:dyDescent="0.35">
      <c r="A8020" t="s">
        <v>2857</v>
      </c>
      <c r="B8020" t="s">
        <v>2865</v>
      </c>
      <c r="C8020" t="s">
        <v>1461</v>
      </c>
      <c r="D8020" t="s">
        <v>2895</v>
      </c>
      <c r="E8020">
        <v>875304</v>
      </c>
      <c r="F8020" s="11">
        <v>1</v>
      </c>
    </row>
    <row r="8021" spans="1:6" x14ac:dyDescent="0.35">
      <c r="A8021" t="s">
        <v>2857</v>
      </c>
      <c r="B8021" t="s">
        <v>2865</v>
      </c>
      <c r="C8021" t="s">
        <v>1461</v>
      </c>
      <c r="D8021" t="s">
        <v>2896</v>
      </c>
      <c r="E8021">
        <v>410259</v>
      </c>
      <c r="F8021" s="11">
        <v>1</v>
      </c>
    </row>
    <row r="8022" spans="1:6" x14ac:dyDescent="0.35">
      <c r="A8022" t="s">
        <v>2857</v>
      </c>
      <c r="B8022" t="s">
        <v>2865</v>
      </c>
      <c r="C8022" t="s">
        <v>1461</v>
      </c>
      <c r="D8022" t="s">
        <v>2897</v>
      </c>
      <c r="E8022">
        <v>6329</v>
      </c>
      <c r="F8022" s="11">
        <v>1</v>
      </c>
    </row>
    <row r="8023" spans="1:6" x14ac:dyDescent="0.35">
      <c r="A8023" t="s">
        <v>2857</v>
      </c>
      <c r="B8023" t="s">
        <v>2865</v>
      </c>
      <c r="C8023" t="s">
        <v>1461</v>
      </c>
      <c r="D8023" t="s">
        <v>2898</v>
      </c>
      <c r="E8023">
        <v>458715</v>
      </c>
      <c r="F8023" s="11">
        <v>1</v>
      </c>
    </row>
    <row r="8024" spans="1:6" x14ac:dyDescent="0.35">
      <c r="A8024" t="s">
        <v>2857</v>
      </c>
      <c r="B8024" t="s">
        <v>2865</v>
      </c>
      <c r="C8024" t="s">
        <v>1461</v>
      </c>
      <c r="D8024" t="s">
        <v>2899</v>
      </c>
      <c r="E8024">
        <v>7578</v>
      </c>
      <c r="F8024" s="11">
        <v>1</v>
      </c>
    </row>
    <row r="8025" spans="1:6" x14ac:dyDescent="0.35">
      <c r="A8025" t="s">
        <v>2857</v>
      </c>
      <c r="B8025" t="s">
        <v>2865</v>
      </c>
      <c r="C8025" t="s">
        <v>1461</v>
      </c>
      <c r="D8025" t="s">
        <v>2900</v>
      </c>
      <c r="E8025">
        <v>809</v>
      </c>
      <c r="F8025" s="11">
        <v>1</v>
      </c>
    </row>
    <row r="8026" spans="1:6" x14ac:dyDescent="0.35">
      <c r="A8026" t="s">
        <v>2857</v>
      </c>
      <c r="B8026" t="s">
        <v>2865</v>
      </c>
      <c r="C8026" t="s">
        <v>1461</v>
      </c>
      <c r="D8026" t="s">
        <v>2901</v>
      </c>
      <c r="E8026">
        <v>0</v>
      </c>
      <c r="F8026" s="11">
        <v>1</v>
      </c>
    </row>
    <row r="8027" spans="1:6" x14ac:dyDescent="0.35">
      <c r="A8027" t="s">
        <v>2857</v>
      </c>
      <c r="B8027" t="s">
        <v>2865</v>
      </c>
      <c r="C8027" t="s">
        <v>1461</v>
      </c>
      <c r="D8027" t="s">
        <v>2902</v>
      </c>
      <c r="E8027">
        <v>6769</v>
      </c>
      <c r="F8027" s="11">
        <v>0</v>
      </c>
    </row>
    <row r="8028" spans="1:6" x14ac:dyDescent="0.35">
      <c r="A8028" t="s">
        <v>2857</v>
      </c>
      <c r="B8028" t="s">
        <v>2865</v>
      </c>
      <c r="C8028" t="s">
        <v>1461</v>
      </c>
      <c r="D8028" t="s">
        <v>2903</v>
      </c>
      <c r="E8028">
        <v>42276</v>
      </c>
      <c r="F8028" s="11">
        <v>1</v>
      </c>
    </row>
    <row r="8029" spans="1:6" x14ac:dyDescent="0.35">
      <c r="A8029" t="s">
        <v>2857</v>
      </c>
      <c r="B8029" t="s">
        <v>2865</v>
      </c>
      <c r="C8029" t="s">
        <v>1461</v>
      </c>
      <c r="D8029" t="s">
        <v>2904</v>
      </c>
      <c r="E8029">
        <v>2290</v>
      </c>
      <c r="F8029" s="11">
        <v>1</v>
      </c>
    </row>
    <row r="8030" spans="1:6" x14ac:dyDescent="0.35">
      <c r="A8030" t="s">
        <v>2857</v>
      </c>
      <c r="B8030" t="s">
        <v>2865</v>
      </c>
      <c r="C8030" t="s">
        <v>1461</v>
      </c>
      <c r="D8030" t="s">
        <v>2905</v>
      </c>
      <c r="E8030">
        <v>1952</v>
      </c>
      <c r="F8030" s="11">
        <v>1</v>
      </c>
    </row>
    <row r="8031" spans="1:6" x14ac:dyDescent="0.35">
      <c r="A8031" t="s">
        <v>2857</v>
      </c>
      <c r="B8031" t="s">
        <v>2865</v>
      </c>
      <c r="C8031" t="s">
        <v>1461</v>
      </c>
      <c r="D8031" t="s">
        <v>2906</v>
      </c>
      <c r="E8031">
        <v>38034</v>
      </c>
      <c r="F8031" s="11">
        <v>1</v>
      </c>
    </row>
    <row r="8032" spans="1:6" x14ac:dyDescent="0.35">
      <c r="A8032" t="s">
        <v>2857</v>
      </c>
      <c r="B8032" t="s">
        <v>2865</v>
      </c>
      <c r="C8032" t="s">
        <v>1461</v>
      </c>
      <c r="D8032" t="s">
        <v>2907</v>
      </c>
      <c r="E8032">
        <v>37204</v>
      </c>
      <c r="F8032" s="11">
        <v>1</v>
      </c>
    </row>
    <row r="8033" spans="1:6" x14ac:dyDescent="0.35">
      <c r="A8033" t="s">
        <v>2857</v>
      </c>
      <c r="B8033" t="s">
        <v>2865</v>
      </c>
      <c r="C8033" t="s">
        <v>1461</v>
      </c>
      <c r="D8033" t="s">
        <v>2908</v>
      </c>
      <c r="E8033">
        <v>4498</v>
      </c>
      <c r="F8033" s="11">
        <v>1</v>
      </c>
    </row>
    <row r="8034" spans="1:6" x14ac:dyDescent="0.35">
      <c r="A8034" t="s">
        <v>2857</v>
      </c>
      <c r="B8034" t="s">
        <v>2865</v>
      </c>
      <c r="C8034" t="s">
        <v>1461</v>
      </c>
      <c r="D8034" t="s">
        <v>2909</v>
      </c>
      <c r="E8034">
        <v>1473</v>
      </c>
      <c r="F8034" s="11">
        <v>1</v>
      </c>
    </row>
    <row r="8035" spans="1:6" x14ac:dyDescent="0.35">
      <c r="A8035" t="s">
        <v>2857</v>
      </c>
      <c r="B8035" t="s">
        <v>2865</v>
      </c>
      <c r="C8035" t="s">
        <v>1461</v>
      </c>
      <c r="D8035" t="s">
        <v>2910</v>
      </c>
      <c r="E8035">
        <v>34393</v>
      </c>
      <c r="F8035" s="11">
        <v>1</v>
      </c>
    </row>
    <row r="8036" spans="1:6" x14ac:dyDescent="0.35">
      <c r="A8036" t="s">
        <v>2857</v>
      </c>
      <c r="B8036" t="s">
        <v>2865</v>
      </c>
      <c r="C8036" t="s">
        <v>1461</v>
      </c>
      <c r="D8036" t="s">
        <v>2911</v>
      </c>
      <c r="E8036">
        <v>348715</v>
      </c>
      <c r="F8036" s="11">
        <v>1</v>
      </c>
    </row>
    <row r="8037" spans="1:6" x14ac:dyDescent="0.35">
      <c r="A8037" t="s">
        <v>2857</v>
      </c>
      <c r="B8037" t="s">
        <v>2865</v>
      </c>
      <c r="C8037" t="s">
        <v>1461</v>
      </c>
      <c r="D8037" t="s">
        <v>2912</v>
      </c>
      <c r="E8037">
        <v>576013</v>
      </c>
      <c r="F8037" s="11">
        <v>1</v>
      </c>
    </row>
    <row r="8038" spans="1:6" x14ac:dyDescent="0.35">
      <c r="A8038" t="s">
        <v>2857</v>
      </c>
      <c r="B8038" t="s">
        <v>2865</v>
      </c>
      <c r="C8038" t="s">
        <v>1461</v>
      </c>
      <c r="D8038" t="s">
        <v>2913</v>
      </c>
      <c r="E8038">
        <v>0</v>
      </c>
      <c r="F8038" s="11">
        <v>0</v>
      </c>
    </row>
    <row r="8039" spans="1:6" x14ac:dyDescent="0.35">
      <c r="A8039" t="s">
        <v>2857</v>
      </c>
      <c r="B8039" t="s">
        <v>2865</v>
      </c>
      <c r="C8039" t="s">
        <v>1461</v>
      </c>
      <c r="D8039" t="s">
        <v>2914</v>
      </c>
      <c r="E8039">
        <v>0</v>
      </c>
      <c r="F8039" s="11">
        <v>0</v>
      </c>
    </row>
    <row r="8040" spans="1:6" x14ac:dyDescent="0.35">
      <c r="A8040" t="s">
        <v>2857</v>
      </c>
      <c r="B8040" t="s">
        <v>2865</v>
      </c>
      <c r="C8040" t="s">
        <v>1461</v>
      </c>
      <c r="D8040" t="s">
        <v>2915</v>
      </c>
      <c r="E8040">
        <v>21598</v>
      </c>
      <c r="F8040" s="11">
        <v>1</v>
      </c>
    </row>
    <row r="8041" spans="1:6" x14ac:dyDescent="0.35">
      <c r="A8041" t="s">
        <v>2857</v>
      </c>
      <c r="B8041" t="s">
        <v>2865</v>
      </c>
      <c r="C8041" t="s">
        <v>1461</v>
      </c>
      <c r="D8041" t="s">
        <v>2916</v>
      </c>
      <c r="E8041">
        <v>69499</v>
      </c>
      <c r="F8041" s="11">
        <v>1</v>
      </c>
    </row>
    <row r="8042" spans="1:6" x14ac:dyDescent="0.35">
      <c r="A8042" t="s">
        <v>2857</v>
      </c>
      <c r="B8042" t="s">
        <v>2865</v>
      </c>
      <c r="C8042" t="s">
        <v>1461</v>
      </c>
      <c r="D8042" t="s">
        <v>2917</v>
      </c>
      <c r="E8042">
        <v>0</v>
      </c>
      <c r="F8042" s="11">
        <v>0</v>
      </c>
    </row>
    <row r="8043" spans="1:6" x14ac:dyDescent="0.35">
      <c r="A8043" t="s">
        <v>2857</v>
      </c>
      <c r="B8043" t="s">
        <v>2863</v>
      </c>
      <c r="C8043" t="s">
        <v>1387</v>
      </c>
      <c r="D8043" t="s">
        <v>2875</v>
      </c>
      <c r="E8043">
        <v>34245</v>
      </c>
      <c r="F8043" s="11">
        <v>1</v>
      </c>
    </row>
    <row r="8044" spans="1:6" x14ac:dyDescent="0.35">
      <c r="A8044" t="s">
        <v>2857</v>
      </c>
      <c r="B8044" t="s">
        <v>2863</v>
      </c>
      <c r="C8044" t="s">
        <v>1387</v>
      </c>
      <c r="D8044" t="s">
        <v>2876</v>
      </c>
      <c r="E8044">
        <v>0</v>
      </c>
      <c r="F8044" s="11">
        <v>0</v>
      </c>
    </row>
    <row r="8045" spans="1:6" x14ac:dyDescent="0.35">
      <c r="A8045" t="s">
        <v>2857</v>
      </c>
      <c r="B8045" t="s">
        <v>2863</v>
      </c>
      <c r="C8045" t="s">
        <v>1387</v>
      </c>
      <c r="D8045" t="s">
        <v>2877</v>
      </c>
      <c r="E8045">
        <v>0</v>
      </c>
      <c r="F8045" s="11">
        <v>0</v>
      </c>
    </row>
    <row r="8046" spans="1:6" x14ac:dyDescent="0.35">
      <c r="A8046" t="s">
        <v>2857</v>
      </c>
      <c r="B8046" t="s">
        <v>2863</v>
      </c>
      <c r="C8046" t="s">
        <v>1387</v>
      </c>
      <c r="D8046" t="s">
        <v>2878</v>
      </c>
      <c r="E8046">
        <v>0</v>
      </c>
      <c r="F8046" s="11">
        <v>0</v>
      </c>
    </row>
    <row r="8047" spans="1:6" x14ac:dyDescent="0.35">
      <c r="A8047" t="s">
        <v>2857</v>
      </c>
      <c r="B8047" t="s">
        <v>2863</v>
      </c>
      <c r="C8047" t="s">
        <v>1387</v>
      </c>
      <c r="D8047" t="s">
        <v>2879</v>
      </c>
      <c r="E8047">
        <v>5914</v>
      </c>
      <c r="F8047" s="11">
        <v>1</v>
      </c>
    </row>
    <row r="8048" spans="1:6" x14ac:dyDescent="0.35">
      <c r="A8048" t="s">
        <v>2857</v>
      </c>
      <c r="B8048" t="s">
        <v>2863</v>
      </c>
      <c r="C8048" t="s">
        <v>1387</v>
      </c>
      <c r="D8048" t="s">
        <v>2880</v>
      </c>
      <c r="E8048">
        <v>1441</v>
      </c>
      <c r="F8048" s="11">
        <v>1</v>
      </c>
    </row>
    <row r="8049" spans="1:6" x14ac:dyDescent="0.35">
      <c r="A8049" t="s">
        <v>2857</v>
      </c>
      <c r="B8049" t="s">
        <v>2863</v>
      </c>
      <c r="C8049" t="s">
        <v>1387</v>
      </c>
      <c r="D8049" t="s">
        <v>2881</v>
      </c>
      <c r="E8049">
        <v>107</v>
      </c>
      <c r="F8049" s="11">
        <v>1</v>
      </c>
    </row>
    <row r="8050" spans="1:6" x14ac:dyDescent="0.35">
      <c r="A8050" t="s">
        <v>2857</v>
      </c>
      <c r="B8050" t="s">
        <v>2863</v>
      </c>
      <c r="C8050" t="s">
        <v>1387</v>
      </c>
      <c r="D8050" t="s">
        <v>2882</v>
      </c>
      <c r="E8050">
        <v>4366</v>
      </c>
      <c r="F8050" s="11">
        <v>1</v>
      </c>
    </row>
    <row r="8051" spans="1:6" x14ac:dyDescent="0.35">
      <c r="A8051" t="s">
        <v>2857</v>
      </c>
      <c r="B8051" t="s">
        <v>2863</v>
      </c>
      <c r="C8051" t="s">
        <v>1387</v>
      </c>
      <c r="D8051" t="s">
        <v>2883</v>
      </c>
      <c r="E8051">
        <v>0</v>
      </c>
      <c r="F8051" s="11">
        <v>1</v>
      </c>
    </row>
    <row r="8052" spans="1:6" x14ac:dyDescent="0.35">
      <c r="A8052" t="s">
        <v>2857</v>
      </c>
      <c r="B8052" t="s">
        <v>2863</v>
      </c>
      <c r="C8052" t="s">
        <v>1387</v>
      </c>
      <c r="D8052" t="s">
        <v>2884</v>
      </c>
      <c r="E8052">
        <v>0</v>
      </c>
      <c r="F8052" s="11">
        <v>1</v>
      </c>
    </row>
    <row r="8053" spans="1:6" x14ac:dyDescent="0.35">
      <c r="A8053" t="s">
        <v>2857</v>
      </c>
      <c r="B8053" t="s">
        <v>2863</v>
      </c>
      <c r="C8053" t="s">
        <v>1387</v>
      </c>
      <c r="D8053" t="s">
        <v>2885</v>
      </c>
      <c r="E8053">
        <v>0</v>
      </c>
      <c r="F8053" s="11">
        <v>1</v>
      </c>
    </row>
    <row r="8054" spans="1:6" x14ac:dyDescent="0.35">
      <c r="A8054" t="s">
        <v>2857</v>
      </c>
      <c r="B8054" t="s">
        <v>2863</v>
      </c>
      <c r="C8054" t="s">
        <v>1387</v>
      </c>
      <c r="D8054" t="s">
        <v>2886</v>
      </c>
      <c r="E8054">
        <v>0</v>
      </c>
      <c r="F8054" s="11">
        <v>0</v>
      </c>
    </row>
    <row r="8055" spans="1:6" x14ac:dyDescent="0.35">
      <c r="A8055" t="s">
        <v>2857</v>
      </c>
      <c r="B8055" t="s">
        <v>2863</v>
      </c>
      <c r="C8055" t="s">
        <v>1387</v>
      </c>
      <c r="D8055" t="s">
        <v>2887</v>
      </c>
      <c r="E8055">
        <v>71444</v>
      </c>
      <c r="F8055" s="11">
        <v>1</v>
      </c>
    </row>
    <row r="8056" spans="1:6" x14ac:dyDescent="0.35">
      <c r="A8056" t="s">
        <v>2857</v>
      </c>
      <c r="B8056" t="s">
        <v>2863</v>
      </c>
      <c r="C8056" t="s">
        <v>1387</v>
      </c>
      <c r="D8056" t="s">
        <v>2888</v>
      </c>
      <c r="E8056">
        <v>21136</v>
      </c>
      <c r="F8056" s="11">
        <v>1</v>
      </c>
    </row>
    <row r="8057" spans="1:6" x14ac:dyDescent="0.35">
      <c r="A8057" t="s">
        <v>2857</v>
      </c>
      <c r="B8057" t="s">
        <v>2863</v>
      </c>
      <c r="C8057" t="s">
        <v>1387</v>
      </c>
      <c r="D8057" t="s">
        <v>2889</v>
      </c>
      <c r="E8057">
        <v>0</v>
      </c>
      <c r="F8057" s="11">
        <v>0</v>
      </c>
    </row>
    <row r="8058" spans="1:6" x14ac:dyDescent="0.35">
      <c r="A8058" t="s">
        <v>2857</v>
      </c>
      <c r="B8058" t="s">
        <v>2863</v>
      </c>
      <c r="C8058" t="s">
        <v>1387</v>
      </c>
      <c r="D8058" t="s">
        <v>2890</v>
      </c>
      <c r="E8058">
        <v>49011</v>
      </c>
      <c r="F8058" s="11">
        <v>0</v>
      </c>
    </row>
    <row r="8059" spans="1:6" x14ac:dyDescent="0.35">
      <c r="A8059" t="s">
        <v>2857</v>
      </c>
      <c r="B8059" t="s">
        <v>2863</v>
      </c>
      <c r="C8059" t="s">
        <v>1387</v>
      </c>
      <c r="D8059" t="s">
        <v>2891</v>
      </c>
      <c r="E8059">
        <v>0</v>
      </c>
      <c r="F8059" s="11">
        <v>1</v>
      </c>
    </row>
    <row r="8060" spans="1:6" x14ac:dyDescent="0.35">
      <c r="A8060" t="s">
        <v>2857</v>
      </c>
      <c r="B8060" t="s">
        <v>2863</v>
      </c>
      <c r="C8060" t="s">
        <v>1387</v>
      </c>
      <c r="D8060" t="s">
        <v>2892</v>
      </c>
      <c r="E8060">
        <v>0</v>
      </c>
      <c r="F8060" s="11">
        <v>1</v>
      </c>
    </row>
    <row r="8061" spans="1:6" x14ac:dyDescent="0.35">
      <c r="A8061" t="s">
        <v>2857</v>
      </c>
      <c r="B8061" t="s">
        <v>2863</v>
      </c>
      <c r="C8061" t="s">
        <v>1387</v>
      </c>
      <c r="D8061" t="s">
        <v>2893</v>
      </c>
      <c r="E8061">
        <v>0</v>
      </c>
      <c r="F8061" s="11">
        <v>1</v>
      </c>
    </row>
    <row r="8062" spans="1:6" x14ac:dyDescent="0.35">
      <c r="A8062" t="s">
        <v>2857</v>
      </c>
      <c r="B8062" t="s">
        <v>2863</v>
      </c>
      <c r="C8062" t="s">
        <v>1387</v>
      </c>
      <c r="D8062" t="s">
        <v>2894</v>
      </c>
      <c r="E8062">
        <v>0</v>
      </c>
      <c r="F8062" s="11">
        <v>0</v>
      </c>
    </row>
    <row r="8063" spans="1:6" x14ac:dyDescent="0.35">
      <c r="A8063" t="s">
        <v>2857</v>
      </c>
      <c r="B8063" t="s">
        <v>2863</v>
      </c>
      <c r="C8063" t="s">
        <v>1387</v>
      </c>
      <c r="D8063" t="s">
        <v>2895</v>
      </c>
      <c r="E8063">
        <v>568454</v>
      </c>
      <c r="F8063" s="11">
        <v>1</v>
      </c>
    </row>
    <row r="8064" spans="1:6" x14ac:dyDescent="0.35">
      <c r="A8064" t="s">
        <v>2857</v>
      </c>
      <c r="B8064" t="s">
        <v>2863</v>
      </c>
      <c r="C8064" t="s">
        <v>1387</v>
      </c>
      <c r="D8064" t="s">
        <v>2896</v>
      </c>
      <c r="E8064">
        <v>175578</v>
      </c>
      <c r="F8064" s="11">
        <v>1</v>
      </c>
    </row>
    <row r="8065" spans="1:6" x14ac:dyDescent="0.35">
      <c r="A8065" t="s">
        <v>2857</v>
      </c>
      <c r="B8065" t="s">
        <v>2863</v>
      </c>
      <c r="C8065" t="s">
        <v>1387</v>
      </c>
      <c r="D8065" t="s">
        <v>2897</v>
      </c>
      <c r="E8065">
        <v>17414</v>
      </c>
      <c r="F8065" s="11">
        <v>1</v>
      </c>
    </row>
    <row r="8066" spans="1:6" x14ac:dyDescent="0.35">
      <c r="A8066" t="s">
        <v>2857</v>
      </c>
      <c r="B8066" t="s">
        <v>2863</v>
      </c>
      <c r="C8066" t="s">
        <v>1387</v>
      </c>
      <c r="D8066" t="s">
        <v>2898</v>
      </c>
      <c r="E8066">
        <v>375462</v>
      </c>
      <c r="F8066" s="11">
        <v>1</v>
      </c>
    </row>
    <row r="8067" spans="1:6" x14ac:dyDescent="0.35">
      <c r="A8067" t="s">
        <v>2857</v>
      </c>
      <c r="B8067" t="s">
        <v>2863</v>
      </c>
      <c r="C8067" t="s">
        <v>1387</v>
      </c>
      <c r="D8067" t="s">
        <v>2899</v>
      </c>
      <c r="E8067">
        <v>6856</v>
      </c>
      <c r="F8067" s="11">
        <v>1</v>
      </c>
    </row>
    <row r="8068" spans="1:6" x14ac:dyDescent="0.35">
      <c r="A8068" t="s">
        <v>2857</v>
      </c>
      <c r="B8068" t="s">
        <v>2863</v>
      </c>
      <c r="C8068" t="s">
        <v>1387</v>
      </c>
      <c r="D8068" t="s">
        <v>2900</v>
      </c>
      <c r="E8068">
        <v>1187</v>
      </c>
      <c r="F8068" s="11">
        <v>1</v>
      </c>
    </row>
    <row r="8069" spans="1:6" x14ac:dyDescent="0.35">
      <c r="A8069" t="s">
        <v>2857</v>
      </c>
      <c r="B8069" t="s">
        <v>2863</v>
      </c>
      <c r="C8069" t="s">
        <v>1387</v>
      </c>
      <c r="D8069" t="s">
        <v>2901</v>
      </c>
      <c r="E8069">
        <v>0</v>
      </c>
      <c r="F8069" s="11">
        <v>1</v>
      </c>
    </row>
    <row r="8070" spans="1:6" x14ac:dyDescent="0.35">
      <c r="A8070" t="s">
        <v>2857</v>
      </c>
      <c r="B8070" t="s">
        <v>2863</v>
      </c>
      <c r="C8070" t="s">
        <v>1387</v>
      </c>
      <c r="D8070" t="s">
        <v>2902</v>
      </c>
      <c r="E8070">
        <v>5669</v>
      </c>
      <c r="F8070" s="11">
        <v>0</v>
      </c>
    </row>
    <row r="8071" spans="1:6" x14ac:dyDescent="0.35">
      <c r="A8071" t="s">
        <v>2857</v>
      </c>
      <c r="B8071" t="s">
        <v>2863</v>
      </c>
      <c r="C8071" t="s">
        <v>1387</v>
      </c>
      <c r="D8071" t="s">
        <v>2903</v>
      </c>
      <c r="E8071">
        <v>45512</v>
      </c>
      <c r="F8071" s="11">
        <v>1</v>
      </c>
    </row>
    <row r="8072" spans="1:6" x14ac:dyDescent="0.35">
      <c r="A8072" t="s">
        <v>2857</v>
      </c>
      <c r="B8072" t="s">
        <v>2863</v>
      </c>
      <c r="C8072" t="s">
        <v>1387</v>
      </c>
      <c r="D8072" t="s">
        <v>2904</v>
      </c>
      <c r="E8072">
        <v>0</v>
      </c>
      <c r="F8072" s="11">
        <v>0</v>
      </c>
    </row>
    <row r="8073" spans="1:6" x14ac:dyDescent="0.35">
      <c r="A8073" t="s">
        <v>2857</v>
      </c>
      <c r="B8073" t="s">
        <v>2863</v>
      </c>
      <c r="C8073" t="s">
        <v>1387</v>
      </c>
      <c r="D8073" t="s">
        <v>2905</v>
      </c>
      <c r="E8073">
        <v>0</v>
      </c>
      <c r="F8073" s="11">
        <v>0</v>
      </c>
    </row>
    <row r="8074" spans="1:6" x14ac:dyDescent="0.35">
      <c r="A8074" t="s">
        <v>2857</v>
      </c>
      <c r="B8074" t="s">
        <v>2863</v>
      </c>
      <c r="C8074" t="s">
        <v>1387</v>
      </c>
      <c r="D8074" t="s">
        <v>2906</v>
      </c>
      <c r="E8074">
        <v>0</v>
      </c>
      <c r="F8074" s="11">
        <v>0</v>
      </c>
    </row>
    <row r="8075" spans="1:6" x14ac:dyDescent="0.35">
      <c r="A8075" t="s">
        <v>2857</v>
      </c>
      <c r="B8075" t="s">
        <v>2863</v>
      </c>
      <c r="C8075" t="s">
        <v>1387</v>
      </c>
      <c r="D8075" t="s">
        <v>2907</v>
      </c>
      <c r="E8075">
        <v>38259</v>
      </c>
      <c r="F8075" s="11">
        <v>1</v>
      </c>
    </row>
    <row r="8076" spans="1:6" x14ac:dyDescent="0.35">
      <c r="A8076" t="s">
        <v>2857</v>
      </c>
      <c r="B8076" t="s">
        <v>2863</v>
      </c>
      <c r="C8076" t="s">
        <v>1387</v>
      </c>
      <c r="D8076" t="s">
        <v>2908</v>
      </c>
      <c r="E8076">
        <v>0</v>
      </c>
      <c r="F8076" s="11">
        <v>0</v>
      </c>
    </row>
    <row r="8077" spans="1:6" x14ac:dyDescent="0.35">
      <c r="A8077" t="s">
        <v>2857</v>
      </c>
      <c r="B8077" t="s">
        <v>2863</v>
      </c>
      <c r="C8077" t="s">
        <v>1387</v>
      </c>
      <c r="D8077" t="s">
        <v>2909</v>
      </c>
      <c r="E8077">
        <v>0</v>
      </c>
      <c r="F8077" s="11">
        <v>0</v>
      </c>
    </row>
    <row r="8078" spans="1:6" x14ac:dyDescent="0.35">
      <c r="A8078" t="s">
        <v>2857</v>
      </c>
      <c r="B8078" t="s">
        <v>2863</v>
      </c>
      <c r="C8078" t="s">
        <v>1387</v>
      </c>
      <c r="D8078" t="s">
        <v>2910</v>
      </c>
      <c r="E8078">
        <v>0</v>
      </c>
      <c r="F8078" s="11">
        <v>0</v>
      </c>
    </row>
    <row r="8079" spans="1:6" x14ac:dyDescent="0.35">
      <c r="A8079" t="s">
        <v>2857</v>
      </c>
      <c r="B8079" t="s">
        <v>2863</v>
      </c>
      <c r="C8079" t="s">
        <v>1387</v>
      </c>
      <c r="D8079" t="s">
        <v>2911</v>
      </c>
      <c r="E8079">
        <v>284185</v>
      </c>
      <c r="F8079" s="11">
        <v>1</v>
      </c>
    </row>
    <row r="8080" spans="1:6" x14ac:dyDescent="0.35">
      <c r="A8080" t="s">
        <v>2857</v>
      </c>
      <c r="B8080" t="s">
        <v>2863</v>
      </c>
      <c r="C8080" t="s">
        <v>1387</v>
      </c>
      <c r="D8080" t="s">
        <v>2912</v>
      </c>
      <c r="E8080">
        <v>373047</v>
      </c>
      <c r="F8080" s="11">
        <v>1</v>
      </c>
    </row>
    <row r="8081" spans="1:6" x14ac:dyDescent="0.35">
      <c r="A8081" t="s">
        <v>2857</v>
      </c>
      <c r="B8081" t="s">
        <v>2863</v>
      </c>
      <c r="C8081" t="s">
        <v>1387</v>
      </c>
      <c r="D8081" t="s">
        <v>2913</v>
      </c>
      <c r="E8081">
        <v>0</v>
      </c>
      <c r="F8081" s="11">
        <v>0</v>
      </c>
    </row>
    <row r="8082" spans="1:6" x14ac:dyDescent="0.35">
      <c r="A8082" t="s">
        <v>2857</v>
      </c>
      <c r="B8082" t="s">
        <v>2863</v>
      </c>
      <c r="C8082" t="s">
        <v>1387</v>
      </c>
      <c r="D8082" t="s">
        <v>2914</v>
      </c>
      <c r="E8082">
        <v>7214</v>
      </c>
      <c r="F8082" s="11">
        <v>1</v>
      </c>
    </row>
    <row r="8083" spans="1:6" x14ac:dyDescent="0.35">
      <c r="A8083" t="s">
        <v>2857</v>
      </c>
      <c r="B8083" t="s">
        <v>2863</v>
      </c>
      <c r="C8083" t="s">
        <v>1387</v>
      </c>
      <c r="D8083" t="s">
        <v>2915</v>
      </c>
      <c r="E8083">
        <v>1572</v>
      </c>
      <c r="F8083" s="11">
        <v>1</v>
      </c>
    </row>
    <row r="8084" spans="1:6" x14ac:dyDescent="0.35">
      <c r="A8084" t="s">
        <v>2857</v>
      </c>
      <c r="B8084" t="s">
        <v>2863</v>
      </c>
      <c r="C8084" t="s">
        <v>1387</v>
      </c>
      <c r="D8084" t="s">
        <v>2916</v>
      </c>
      <c r="E8084">
        <v>24193</v>
      </c>
      <c r="F8084" s="11">
        <v>1</v>
      </c>
    </row>
    <row r="8085" spans="1:6" x14ac:dyDescent="0.35">
      <c r="A8085" t="s">
        <v>2857</v>
      </c>
      <c r="B8085" t="s">
        <v>2863</v>
      </c>
      <c r="C8085" t="s">
        <v>1387</v>
      </c>
      <c r="D8085" t="s">
        <v>2917</v>
      </c>
      <c r="E8085">
        <v>0</v>
      </c>
      <c r="F8085" s="11">
        <v>0</v>
      </c>
    </row>
    <row r="8086" spans="1:6" x14ac:dyDescent="0.35">
      <c r="A8086" t="s">
        <v>2857</v>
      </c>
      <c r="B8086" t="s">
        <v>2862</v>
      </c>
      <c r="C8086" t="s">
        <v>1406</v>
      </c>
      <c r="D8086" t="s">
        <v>2875</v>
      </c>
      <c r="E8086">
        <v>17444</v>
      </c>
      <c r="F8086" s="11">
        <v>0</v>
      </c>
    </row>
    <row r="8087" spans="1:6" x14ac:dyDescent="0.35">
      <c r="A8087" t="s">
        <v>2857</v>
      </c>
      <c r="B8087" t="s">
        <v>2862</v>
      </c>
      <c r="C8087" t="s">
        <v>1406</v>
      </c>
      <c r="D8087" t="s">
        <v>2876</v>
      </c>
      <c r="E8087">
        <v>0</v>
      </c>
      <c r="F8087" s="11">
        <v>0</v>
      </c>
    </row>
    <row r="8088" spans="1:6" x14ac:dyDescent="0.35">
      <c r="A8088" t="s">
        <v>2857</v>
      </c>
      <c r="B8088" t="s">
        <v>2862</v>
      </c>
      <c r="C8088" t="s">
        <v>1406</v>
      </c>
      <c r="D8088" t="s">
        <v>2877</v>
      </c>
      <c r="E8088">
        <v>0</v>
      </c>
      <c r="F8088" s="11">
        <v>0</v>
      </c>
    </row>
    <row r="8089" spans="1:6" x14ac:dyDescent="0.35">
      <c r="A8089" t="s">
        <v>2857</v>
      </c>
      <c r="B8089" t="s">
        <v>2862</v>
      </c>
      <c r="C8089" t="s">
        <v>1406</v>
      </c>
      <c r="D8089" t="s">
        <v>2878</v>
      </c>
      <c r="E8089">
        <v>0</v>
      </c>
      <c r="F8089" s="11">
        <v>0</v>
      </c>
    </row>
    <row r="8090" spans="1:6" x14ac:dyDescent="0.35">
      <c r="A8090" t="s">
        <v>2857</v>
      </c>
      <c r="B8090" t="s">
        <v>2862</v>
      </c>
      <c r="C8090" t="s">
        <v>1406</v>
      </c>
      <c r="D8090" t="s">
        <v>2879</v>
      </c>
      <c r="E8090">
        <v>813</v>
      </c>
      <c r="F8090" s="11">
        <v>0</v>
      </c>
    </row>
    <row r="8091" spans="1:6" x14ac:dyDescent="0.35">
      <c r="A8091" t="s">
        <v>2857</v>
      </c>
      <c r="B8091" t="s">
        <v>2862</v>
      </c>
      <c r="C8091" t="s">
        <v>1406</v>
      </c>
      <c r="D8091" t="s">
        <v>2880</v>
      </c>
      <c r="E8091">
        <v>675</v>
      </c>
      <c r="F8091" s="11">
        <v>0</v>
      </c>
    </row>
    <row r="8092" spans="1:6" x14ac:dyDescent="0.35">
      <c r="A8092" t="s">
        <v>2857</v>
      </c>
      <c r="B8092" t="s">
        <v>2862</v>
      </c>
      <c r="C8092" t="s">
        <v>1406</v>
      </c>
      <c r="D8092" t="s">
        <v>2881</v>
      </c>
      <c r="E8092">
        <v>8</v>
      </c>
      <c r="F8092" s="11">
        <v>0</v>
      </c>
    </row>
    <row r="8093" spans="1:6" x14ac:dyDescent="0.35">
      <c r="A8093" t="s">
        <v>2857</v>
      </c>
      <c r="B8093" t="s">
        <v>2862</v>
      </c>
      <c r="C8093" t="s">
        <v>1406</v>
      </c>
      <c r="D8093" t="s">
        <v>2882</v>
      </c>
      <c r="E8093">
        <v>78</v>
      </c>
      <c r="F8093" s="11">
        <v>0</v>
      </c>
    </row>
    <row r="8094" spans="1:6" x14ac:dyDescent="0.35">
      <c r="A8094" t="s">
        <v>2857</v>
      </c>
      <c r="B8094" t="s">
        <v>2862</v>
      </c>
      <c r="C8094" t="s">
        <v>1406</v>
      </c>
      <c r="D8094" t="s">
        <v>2883</v>
      </c>
      <c r="E8094">
        <v>0</v>
      </c>
      <c r="F8094" s="11">
        <v>0</v>
      </c>
    </row>
    <row r="8095" spans="1:6" x14ac:dyDescent="0.35">
      <c r="A8095" t="s">
        <v>2857</v>
      </c>
      <c r="B8095" t="s">
        <v>2862</v>
      </c>
      <c r="C8095" t="s">
        <v>1406</v>
      </c>
      <c r="D8095" t="s">
        <v>2884</v>
      </c>
      <c r="E8095">
        <v>0</v>
      </c>
      <c r="F8095" s="11">
        <v>0</v>
      </c>
    </row>
    <row r="8096" spans="1:6" x14ac:dyDescent="0.35">
      <c r="A8096" t="s">
        <v>2857</v>
      </c>
      <c r="B8096" t="s">
        <v>2862</v>
      </c>
      <c r="C8096" t="s">
        <v>1406</v>
      </c>
      <c r="D8096" t="s">
        <v>2885</v>
      </c>
      <c r="E8096">
        <v>0</v>
      </c>
      <c r="F8096" s="11">
        <v>0</v>
      </c>
    </row>
    <row r="8097" spans="1:6" x14ac:dyDescent="0.35">
      <c r="A8097" t="s">
        <v>2857</v>
      </c>
      <c r="B8097" t="s">
        <v>2862</v>
      </c>
      <c r="C8097" t="s">
        <v>1406</v>
      </c>
      <c r="D8097" t="s">
        <v>2886</v>
      </c>
      <c r="E8097">
        <v>0</v>
      </c>
      <c r="F8097" s="11">
        <v>0</v>
      </c>
    </row>
    <row r="8098" spans="1:6" x14ac:dyDescent="0.35">
      <c r="A8098" t="s">
        <v>2857</v>
      </c>
      <c r="B8098" t="s">
        <v>2862</v>
      </c>
      <c r="C8098" t="s">
        <v>1406</v>
      </c>
      <c r="D8098" t="s">
        <v>2887</v>
      </c>
      <c r="E8098">
        <v>20819</v>
      </c>
      <c r="F8098" s="11">
        <v>0</v>
      </c>
    </row>
    <row r="8099" spans="1:6" x14ac:dyDescent="0.35">
      <c r="A8099" t="s">
        <v>2857</v>
      </c>
      <c r="B8099" t="s">
        <v>2862</v>
      </c>
      <c r="C8099" t="s">
        <v>1406</v>
      </c>
      <c r="D8099" t="s">
        <v>2888</v>
      </c>
      <c r="E8099">
        <v>11881</v>
      </c>
      <c r="F8099" s="11">
        <v>0</v>
      </c>
    </row>
    <row r="8100" spans="1:6" x14ac:dyDescent="0.35">
      <c r="A8100" t="s">
        <v>2857</v>
      </c>
      <c r="B8100" t="s">
        <v>2862</v>
      </c>
      <c r="C8100" t="s">
        <v>1406</v>
      </c>
      <c r="D8100" t="s">
        <v>2889</v>
      </c>
      <c r="E8100">
        <v>77</v>
      </c>
      <c r="F8100" s="11">
        <v>0</v>
      </c>
    </row>
    <row r="8101" spans="1:6" x14ac:dyDescent="0.35">
      <c r="A8101" t="s">
        <v>2857</v>
      </c>
      <c r="B8101" t="s">
        <v>2862</v>
      </c>
      <c r="C8101" t="s">
        <v>1406</v>
      </c>
      <c r="D8101" t="s">
        <v>2890</v>
      </c>
      <c r="E8101">
        <v>8861</v>
      </c>
      <c r="F8101" s="11">
        <v>0</v>
      </c>
    </row>
    <row r="8102" spans="1:6" x14ac:dyDescent="0.35">
      <c r="A8102" t="s">
        <v>2857</v>
      </c>
      <c r="B8102" t="s">
        <v>2862</v>
      </c>
      <c r="C8102" t="s">
        <v>1406</v>
      </c>
      <c r="D8102" t="s">
        <v>2891</v>
      </c>
      <c r="E8102">
        <v>0</v>
      </c>
      <c r="F8102" s="11">
        <v>0</v>
      </c>
    </row>
    <row r="8103" spans="1:6" x14ac:dyDescent="0.35">
      <c r="A8103" t="s">
        <v>2857</v>
      </c>
      <c r="B8103" t="s">
        <v>2862</v>
      </c>
      <c r="C8103" t="s">
        <v>1406</v>
      </c>
      <c r="D8103" t="s">
        <v>2892</v>
      </c>
      <c r="E8103">
        <v>0</v>
      </c>
      <c r="F8103" s="11">
        <v>0</v>
      </c>
    </row>
    <row r="8104" spans="1:6" x14ac:dyDescent="0.35">
      <c r="A8104" t="s">
        <v>2857</v>
      </c>
      <c r="B8104" t="s">
        <v>2862</v>
      </c>
      <c r="C8104" t="s">
        <v>1406</v>
      </c>
      <c r="D8104" t="s">
        <v>2893</v>
      </c>
      <c r="E8104">
        <v>0</v>
      </c>
      <c r="F8104" s="11">
        <v>0</v>
      </c>
    </row>
    <row r="8105" spans="1:6" x14ac:dyDescent="0.35">
      <c r="A8105" t="s">
        <v>2857</v>
      </c>
      <c r="B8105" t="s">
        <v>2862</v>
      </c>
      <c r="C8105" t="s">
        <v>1406</v>
      </c>
      <c r="D8105" t="s">
        <v>2894</v>
      </c>
      <c r="E8105">
        <v>0</v>
      </c>
      <c r="F8105" s="11">
        <v>0</v>
      </c>
    </row>
    <row r="8106" spans="1:6" x14ac:dyDescent="0.35">
      <c r="A8106" t="s">
        <v>2857</v>
      </c>
      <c r="B8106" t="s">
        <v>2862</v>
      </c>
      <c r="C8106" t="s">
        <v>1406</v>
      </c>
      <c r="D8106" t="s">
        <v>2895</v>
      </c>
      <c r="E8106">
        <v>201361</v>
      </c>
      <c r="F8106" s="11">
        <v>0</v>
      </c>
    </row>
    <row r="8107" spans="1:6" x14ac:dyDescent="0.35">
      <c r="A8107" t="s">
        <v>2857</v>
      </c>
      <c r="B8107" t="s">
        <v>2862</v>
      </c>
      <c r="C8107" t="s">
        <v>1406</v>
      </c>
      <c r="D8107" t="s">
        <v>2896</v>
      </c>
      <c r="E8107">
        <v>156298</v>
      </c>
      <c r="F8107" s="11">
        <v>0</v>
      </c>
    </row>
    <row r="8108" spans="1:6" x14ac:dyDescent="0.35">
      <c r="A8108" t="s">
        <v>2857</v>
      </c>
      <c r="B8108" t="s">
        <v>2862</v>
      </c>
      <c r="C8108" t="s">
        <v>1406</v>
      </c>
      <c r="D8108" t="s">
        <v>2897</v>
      </c>
      <c r="E8108">
        <v>4282</v>
      </c>
      <c r="F8108" s="11">
        <v>0</v>
      </c>
    </row>
    <row r="8109" spans="1:6" x14ac:dyDescent="0.35">
      <c r="A8109" t="s">
        <v>2857</v>
      </c>
      <c r="B8109" t="s">
        <v>2862</v>
      </c>
      <c r="C8109" t="s">
        <v>1406</v>
      </c>
      <c r="D8109" t="s">
        <v>2898</v>
      </c>
      <c r="E8109">
        <v>54906</v>
      </c>
      <c r="F8109" s="11">
        <v>0</v>
      </c>
    </row>
    <row r="8110" spans="1:6" x14ac:dyDescent="0.35">
      <c r="A8110" t="s">
        <v>2857</v>
      </c>
      <c r="B8110" t="s">
        <v>2862</v>
      </c>
      <c r="C8110" t="s">
        <v>1406</v>
      </c>
      <c r="D8110" t="s">
        <v>2899</v>
      </c>
      <c r="E8110">
        <v>0</v>
      </c>
      <c r="F8110" s="11">
        <v>0</v>
      </c>
    </row>
    <row r="8111" spans="1:6" x14ac:dyDescent="0.35">
      <c r="A8111" t="s">
        <v>2857</v>
      </c>
      <c r="B8111" t="s">
        <v>2862</v>
      </c>
      <c r="C8111" t="s">
        <v>1406</v>
      </c>
      <c r="D8111" t="s">
        <v>2900</v>
      </c>
      <c r="E8111">
        <v>0</v>
      </c>
      <c r="F8111" s="11">
        <v>0</v>
      </c>
    </row>
    <row r="8112" spans="1:6" x14ac:dyDescent="0.35">
      <c r="A8112" t="s">
        <v>2857</v>
      </c>
      <c r="B8112" t="s">
        <v>2862</v>
      </c>
      <c r="C8112" t="s">
        <v>1406</v>
      </c>
      <c r="D8112" t="s">
        <v>2901</v>
      </c>
      <c r="E8112">
        <v>0</v>
      </c>
      <c r="F8112" s="11">
        <v>0</v>
      </c>
    </row>
    <row r="8113" spans="1:6" x14ac:dyDescent="0.35">
      <c r="A8113" t="s">
        <v>2857</v>
      </c>
      <c r="B8113" t="s">
        <v>2862</v>
      </c>
      <c r="C8113" t="s">
        <v>1406</v>
      </c>
      <c r="D8113" t="s">
        <v>2902</v>
      </c>
      <c r="E8113">
        <v>295</v>
      </c>
      <c r="F8113" s="11">
        <v>0</v>
      </c>
    </row>
    <row r="8114" spans="1:6" x14ac:dyDescent="0.35">
      <c r="A8114" t="s">
        <v>2857</v>
      </c>
      <c r="B8114" t="s">
        <v>2862</v>
      </c>
      <c r="C8114" t="s">
        <v>1406</v>
      </c>
      <c r="D8114" t="s">
        <v>2903</v>
      </c>
      <c r="E8114">
        <v>6276</v>
      </c>
      <c r="F8114" s="11">
        <v>0</v>
      </c>
    </row>
    <row r="8115" spans="1:6" x14ac:dyDescent="0.35">
      <c r="A8115" t="s">
        <v>2857</v>
      </c>
      <c r="B8115" t="s">
        <v>2862</v>
      </c>
      <c r="C8115" t="s">
        <v>1406</v>
      </c>
      <c r="D8115" t="s">
        <v>2904</v>
      </c>
      <c r="E8115">
        <v>0</v>
      </c>
      <c r="F8115" s="11">
        <v>0</v>
      </c>
    </row>
    <row r="8116" spans="1:6" x14ac:dyDescent="0.35">
      <c r="A8116" t="s">
        <v>2857</v>
      </c>
      <c r="B8116" t="s">
        <v>2862</v>
      </c>
      <c r="C8116" t="s">
        <v>1406</v>
      </c>
      <c r="D8116" t="s">
        <v>2905</v>
      </c>
      <c r="E8116">
        <v>0</v>
      </c>
      <c r="F8116" s="11">
        <v>0</v>
      </c>
    </row>
    <row r="8117" spans="1:6" x14ac:dyDescent="0.35">
      <c r="A8117" t="s">
        <v>2857</v>
      </c>
      <c r="B8117" t="s">
        <v>2862</v>
      </c>
      <c r="C8117" t="s">
        <v>1406</v>
      </c>
      <c r="D8117" t="s">
        <v>2906</v>
      </c>
      <c r="E8117">
        <v>0</v>
      </c>
      <c r="F8117" s="11">
        <v>0</v>
      </c>
    </row>
    <row r="8118" spans="1:6" x14ac:dyDescent="0.35">
      <c r="A8118" t="s">
        <v>2857</v>
      </c>
      <c r="B8118" t="s">
        <v>2862</v>
      </c>
      <c r="C8118" t="s">
        <v>1406</v>
      </c>
      <c r="D8118" t="s">
        <v>2907</v>
      </c>
      <c r="E8118">
        <v>9811</v>
      </c>
      <c r="F8118" s="11">
        <v>0</v>
      </c>
    </row>
    <row r="8119" spans="1:6" x14ac:dyDescent="0.35">
      <c r="A8119" t="s">
        <v>2857</v>
      </c>
      <c r="B8119" t="s">
        <v>2862</v>
      </c>
      <c r="C8119" t="s">
        <v>1406</v>
      </c>
      <c r="D8119" t="s">
        <v>2908</v>
      </c>
      <c r="E8119">
        <v>0</v>
      </c>
      <c r="F8119" s="11">
        <v>0</v>
      </c>
    </row>
    <row r="8120" spans="1:6" x14ac:dyDescent="0.35">
      <c r="A8120" t="s">
        <v>2857</v>
      </c>
      <c r="B8120" t="s">
        <v>2862</v>
      </c>
      <c r="C8120" t="s">
        <v>1406</v>
      </c>
      <c r="D8120" t="s">
        <v>2909</v>
      </c>
      <c r="E8120">
        <v>0</v>
      </c>
      <c r="F8120" s="11">
        <v>0</v>
      </c>
    </row>
    <row r="8121" spans="1:6" x14ac:dyDescent="0.35">
      <c r="A8121" t="s">
        <v>2857</v>
      </c>
      <c r="B8121" t="s">
        <v>2862</v>
      </c>
      <c r="C8121" t="s">
        <v>1406</v>
      </c>
      <c r="D8121" t="s">
        <v>2910</v>
      </c>
      <c r="E8121">
        <v>0</v>
      </c>
      <c r="F8121" s="11">
        <v>0</v>
      </c>
    </row>
    <row r="8122" spans="1:6" x14ac:dyDescent="0.35">
      <c r="A8122" t="s">
        <v>2857</v>
      </c>
      <c r="B8122" t="s">
        <v>2862</v>
      </c>
      <c r="C8122" t="s">
        <v>1406</v>
      </c>
      <c r="D8122" t="s">
        <v>2911</v>
      </c>
      <c r="E8122">
        <v>71844</v>
      </c>
      <c r="F8122" s="11">
        <v>0</v>
      </c>
    </row>
    <row r="8123" spans="1:6" x14ac:dyDescent="0.35">
      <c r="A8123" t="s">
        <v>2857</v>
      </c>
      <c r="B8123" t="s">
        <v>2862</v>
      </c>
      <c r="C8123" t="s">
        <v>1406</v>
      </c>
      <c r="D8123" t="s">
        <v>2912</v>
      </c>
      <c r="E8123">
        <v>276522</v>
      </c>
      <c r="F8123" s="11">
        <v>0</v>
      </c>
    </row>
    <row r="8124" spans="1:6" x14ac:dyDescent="0.35">
      <c r="A8124" t="s">
        <v>2857</v>
      </c>
      <c r="B8124" t="s">
        <v>2862</v>
      </c>
      <c r="C8124" t="s">
        <v>1406</v>
      </c>
      <c r="D8124" t="s">
        <v>2913</v>
      </c>
      <c r="E8124">
        <v>0</v>
      </c>
      <c r="F8124" s="11">
        <v>0</v>
      </c>
    </row>
    <row r="8125" spans="1:6" x14ac:dyDescent="0.35">
      <c r="A8125" t="s">
        <v>2857</v>
      </c>
      <c r="B8125" t="s">
        <v>2862</v>
      </c>
      <c r="C8125" t="s">
        <v>1406</v>
      </c>
      <c r="D8125" t="s">
        <v>2914</v>
      </c>
      <c r="E8125">
        <v>0</v>
      </c>
      <c r="F8125" s="11">
        <v>0</v>
      </c>
    </row>
    <row r="8126" spans="1:6" x14ac:dyDescent="0.35">
      <c r="A8126" t="s">
        <v>2857</v>
      </c>
      <c r="B8126" t="s">
        <v>2862</v>
      </c>
      <c r="C8126" t="s">
        <v>1406</v>
      </c>
      <c r="D8126" t="s">
        <v>2915</v>
      </c>
      <c r="E8126">
        <v>0</v>
      </c>
      <c r="F8126" s="11">
        <v>0</v>
      </c>
    </row>
    <row r="8127" spans="1:6" x14ac:dyDescent="0.35">
      <c r="A8127" t="s">
        <v>2857</v>
      </c>
      <c r="B8127" t="s">
        <v>2862</v>
      </c>
      <c r="C8127" t="s">
        <v>1406</v>
      </c>
      <c r="D8127" t="s">
        <v>2916</v>
      </c>
      <c r="E8127">
        <v>30410</v>
      </c>
      <c r="F8127" s="11">
        <v>0</v>
      </c>
    </row>
    <row r="8128" spans="1:6" x14ac:dyDescent="0.35">
      <c r="A8128" t="s">
        <v>2857</v>
      </c>
      <c r="B8128" t="s">
        <v>2862</v>
      </c>
      <c r="C8128" t="s">
        <v>1406</v>
      </c>
      <c r="D8128" t="s">
        <v>2917</v>
      </c>
      <c r="E8128">
        <v>3020</v>
      </c>
      <c r="F8128" s="11">
        <v>0</v>
      </c>
    </row>
    <row r="8129" spans="1:6" x14ac:dyDescent="0.35">
      <c r="A8129" t="s">
        <v>2857</v>
      </c>
      <c r="B8129" t="s">
        <v>2864</v>
      </c>
      <c r="C8129" t="s">
        <v>1492</v>
      </c>
      <c r="D8129" t="s">
        <v>2875</v>
      </c>
      <c r="E8129">
        <v>40330</v>
      </c>
      <c r="F8129" s="11">
        <v>0</v>
      </c>
    </row>
    <row r="8130" spans="1:6" x14ac:dyDescent="0.35">
      <c r="A8130" t="s">
        <v>2857</v>
      </c>
      <c r="B8130" t="s">
        <v>2864</v>
      </c>
      <c r="C8130" t="s">
        <v>1492</v>
      </c>
      <c r="D8130" t="s">
        <v>2876</v>
      </c>
      <c r="E8130">
        <v>12398</v>
      </c>
      <c r="F8130" s="11">
        <v>0</v>
      </c>
    </row>
    <row r="8131" spans="1:6" x14ac:dyDescent="0.35">
      <c r="A8131" t="s">
        <v>2857</v>
      </c>
      <c r="B8131" t="s">
        <v>2864</v>
      </c>
      <c r="C8131" t="s">
        <v>1492</v>
      </c>
      <c r="D8131" t="s">
        <v>2877</v>
      </c>
      <c r="E8131">
        <v>3298</v>
      </c>
      <c r="F8131" s="11">
        <v>0</v>
      </c>
    </row>
    <row r="8132" spans="1:6" x14ac:dyDescent="0.35">
      <c r="A8132" t="s">
        <v>2857</v>
      </c>
      <c r="B8132" t="s">
        <v>2864</v>
      </c>
      <c r="C8132" t="s">
        <v>1492</v>
      </c>
      <c r="D8132" t="s">
        <v>2878</v>
      </c>
      <c r="E8132">
        <v>24634</v>
      </c>
      <c r="F8132" s="11">
        <v>0</v>
      </c>
    </row>
    <row r="8133" spans="1:6" x14ac:dyDescent="0.35">
      <c r="A8133" t="s">
        <v>2857</v>
      </c>
      <c r="B8133" t="s">
        <v>2864</v>
      </c>
      <c r="C8133" t="s">
        <v>1492</v>
      </c>
      <c r="D8133" t="s">
        <v>2879</v>
      </c>
      <c r="E8133">
        <v>8544</v>
      </c>
      <c r="F8133" s="11">
        <v>0</v>
      </c>
    </row>
    <row r="8134" spans="1:6" x14ac:dyDescent="0.35">
      <c r="A8134" t="s">
        <v>2857</v>
      </c>
      <c r="B8134" t="s">
        <v>2864</v>
      </c>
      <c r="C8134" t="s">
        <v>1492</v>
      </c>
      <c r="D8134" t="s">
        <v>2880</v>
      </c>
      <c r="E8134">
        <v>2335</v>
      </c>
      <c r="F8134" s="11">
        <v>0</v>
      </c>
    </row>
    <row r="8135" spans="1:6" x14ac:dyDescent="0.35">
      <c r="A8135" t="s">
        <v>2857</v>
      </c>
      <c r="B8135" t="s">
        <v>2864</v>
      </c>
      <c r="C8135" t="s">
        <v>1492</v>
      </c>
      <c r="D8135" t="s">
        <v>2881</v>
      </c>
      <c r="E8135">
        <v>125</v>
      </c>
      <c r="F8135" s="11">
        <v>0</v>
      </c>
    </row>
    <row r="8136" spans="1:6" x14ac:dyDescent="0.35">
      <c r="A8136" t="s">
        <v>2857</v>
      </c>
      <c r="B8136" t="s">
        <v>2864</v>
      </c>
      <c r="C8136" t="s">
        <v>1492</v>
      </c>
      <c r="D8136" t="s">
        <v>2882</v>
      </c>
      <c r="E8136">
        <v>4172</v>
      </c>
      <c r="F8136" s="11">
        <v>0</v>
      </c>
    </row>
    <row r="8137" spans="1:6" x14ac:dyDescent="0.35">
      <c r="A8137" t="s">
        <v>2857</v>
      </c>
      <c r="B8137" t="s">
        <v>2864</v>
      </c>
      <c r="C8137" t="s">
        <v>1492</v>
      </c>
      <c r="D8137" t="s">
        <v>2883</v>
      </c>
      <c r="E8137">
        <v>50</v>
      </c>
      <c r="F8137" s="11">
        <v>0</v>
      </c>
    </row>
    <row r="8138" spans="1:6" x14ac:dyDescent="0.35">
      <c r="A8138" t="s">
        <v>2857</v>
      </c>
      <c r="B8138" t="s">
        <v>2864</v>
      </c>
      <c r="C8138" t="s">
        <v>1492</v>
      </c>
      <c r="D8138" t="s">
        <v>2884</v>
      </c>
      <c r="E8138">
        <v>2</v>
      </c>
      <c r="F8138" s="11">
        <v>0</v>
      </c>
    </row>
    <row r="8139" spans="1:6" x14ac:dyDescent="0.35">
      <c r="A8139" t="s">
        <v>2857</v>
      </c>
      <c r="B8139" t="s">
        <v>2864</v>
      </c>
      <c r="C8139" t="s">
        <v>1492</v>
      </c>
      <c r="D8139" t="s">
        <v>2885</v>
      </c>
      <c r="E8139">
        <v>5</v>
      </c>
      <c r="F8139" s="11">
        <v>0</v>
      </c>
    </row>
    <row r="8140" spans="1:6" x14ac:dyDescent="0.35">
      <c r="A8140" t="s">
        <v>2857</v>
      </c>
      <c r="B8140" t="s">
        <v>2864</v>
      </c>
      <c r="C8140" t="s">
        <v>1492</v>
      </c>
      <c r="D8140" t="s">
        <v>2886</v>
      </c>
      <c r="E8140">
        <v>42</v>
      </c>
      <c r="F8140" s="11">
        <v>0</v>
      </c>
    </row>
    <row r="8141" spans="1:6" x14ac:dyDescent="0.35">
      <c r="A8141" t="s">
        <v>2857</v>
      </c>
      <c r="B8141" t="s">
        <v>2864</v>
      </c>
      <c r="C8141" t="s">
        <v>1492</v>
      </c>
      <c r="D8141" t="s">
        <v>2887</v>
      </c>
      <c r="E8141">
        <v>153003</v>
      </c>
      <c r="F8141" s="11">
        <v>0</v>
      </c>
    </row>
    <row r="8142" spans="1:6" x14ac:dyDescent="0.35">
      <c r="A8142" t="s">
        <v>2857</v>
      </c>
      <c r="B8142" t="s">
        <v>2864</v>
      </c>
      <c r="C8142" t="s">
        <v>1492</v>
      </c>
      <c r="D8142" t="s">
        <v>2888</v>
      </c>
      <c r="E8142">
        <v>76862</v>
      </c>
      <c r="F8142" s="11">
        <v>0</v>
      </c>
    </row>
    <row r="8143" spans="1:6" x14ac:dyDescent="0.35">
      <c r="A8143" t="s">
        <v>2857</v>
      </c>
      <c r="B8143" t="s">
        <v>2864</v>
      </c>
      <c r="C8143" t="s">
        <v>1492</v>
      </c>
      <c r="D8143" t="s">
        <v>2889</v>
      </c>
      <c r="E8143">
        <v>33100</v>
      </c>
      <c r="F8143" s="11">
        <v>0</v>
      </c>
    </row>
    <row r="8144" spans="1:6" x14ac:dyDescent="0.35">
      <c r="A8144" t="s">
        <v>2857</v>
      </c>
      <c r="B8144" t="s">
        <v>2864</v>
      </c>
      <c r="C8144" t="s">
        <v>1492</v>
      </c>
      <c r="D8144" t="s">
        <v>2890</v>
      </c>
      <c r="E8144">
        <v>75510</v>
      </c>
      <c r="F8144" s="11">
        <v>0</v>
      </c>
    </row>
    <row r="8145" spans="1:6" x14ac:dyDescent="0.35">
      <c r="A8145" t="s">
        <v>2857</v>
      </c>
      <c r="B8145" t="s">
        <v>2864</v>
      </c>
      <c r="C8145" t="s">
        <v>1492</v>
      </c>
      <c r="D8145" t="s">
        <v>2891</v>
      </c>
      <c r="E8145">
        <v>180</v>
      </c>
      <c r="F8145" s="11">
        <v>0</v>
      </c>
    </row>
    <row r="8146" spans="1:6" x14ac:dyDescent="0.35">
      <c r="A8146" t="s">
        <v>2857</v>
      </c>
      <c r="B8146" t="s">
        <v>2864</v>
      </c>
      <c r="C8146" t="s">
        <v>1492</v>
      </c>
      <c r="D8146" t="s">
        <v>2892</v>
      </c>
      <c r="E8146">
        <v>53</v>
      </c>
      <c r="F8146" s="11">
        <v>0</v>
      </c>
    </row>
    <row r="8147" spans="1:6" x14ac:dyDescent="0.35">
      <c r="A8147" t="s">
        <v>2857</v>
      </c>
      <c r="B8147" t="s">
        <v>2864</v>
      </c>
      <c r="C8147" t="s">
        <v>1492</v>
      </c>
      <c r="D8147" t="s">
        <v>2893</v>
      </c>
      <c r="E8147">
        <v>31</v>
      </c>
      <c r="F8147" s="11">
        <v>0</v>
      </c>
    </row>
    <row r="8148" spans="1:6" x14ac:dyDescent="0.35">
      <c r="A8148" t="s">
        <v>2857</v>
      </c>
      <c r="B8148" t="s">
        <v>2864</v>
      </c>
      <c r="C8148" t="s">
        <v>1492</v>
      </c>
      <c r="D8148" t="s">
        <v>2894</v>
      </c>
      <c r="E8148">
        <v>96</v>
      </c>
      <c r="F8148" s="11">
        <v>0</v>
      </c>
    </row>
    <row r="8149" spans="1:6" x14ac:dyDescent="0.35">
      <c r="A8149" t="s">
        <v>2857</v>
      </c>
      <c r="B8149" t="s">
        <v>2864</v>
      </c>
      <c r="C8149" t="s">
        <v>1492</v>
      </c>
      <c r="D8149" t="s">
        <v>2895</v>
      </c>
      <c r="E8149">
        <v>1214013</v>
      </c>
      <c r="F8149" s="11">
        <v>0</v>
      </c>
    </row>
    <row r="8150" spans="1:6" x14ac:dyDescent="0.35">
      <c r="A8150" t="s">
        <v>2857</v>
      </c>
      <c r="B8150" t="s">
        <v>2864</v>
      </c>
      <c r="C8150" t="s">
        <v>1492</v>
      </c>
      <c r="D8150" t="s">
        <v>2896</v>
      </c>
      <c r="E8150">
        <v>513805</v>
      </c>
      <c r="F8150" s="11">
        <v>0</v>
      </c>
    </row>
    <row r="8151" spans="1:6" x14ac:dyDescent="0.35">
      <c r="A8151" t="s">
        <v>2857</v>
      </c>
      <c r="B8151" t="s">
        <v>2864</v>
      </c>
      <c r="C8151" t="s">
        <v>1492</v>
      </c>
      <c r="D8151" t="s">
        <v>2897</v>
      </c>
      <c r="E8151">
        <v>20229</v>
      </c>
      <c r="F8151" s="11">
        <v>0</v>
      </c>
    </row>
    <row r="8152" spans="1:6" x14ac:dyDescent="0.35">
      <c r="A8152" t="s">
        <v>2857</v>
      </c>
      <c r="B8152" t="s">
        <v>2864</v>
      </c>
      <c r="C8152" t="s">
        <v>1492</v>
      </c>
      <c r="D8152" t="s">
        <v>2898</v>
      </c>
      <c r="E8152">
        <v>679979</v>
      </c>
      <c r="F8152" s="11">
        <v>0</v>
      </c>
    </row>
    <row r="8153" spans="1:6" x14ac:dyDescent="0.35">
      <c r="A8153" t="s">
        <v>2857</v>
      </c>
      <c r="B8153" t="s">
        <v>2864</v>
      </c>
      <c r="C8153" t="s">
        <v>1492</v>
      </c>
      <c r="D8153" t="s">
        <v>2899</v>
      </c>
      <c r="E8153">
        <v>15844</v>
      </c>
      <c r="F8153" s="11">
        <v>0</v>
      </c>
    </row>
    <row r="8154" spans="1:6" x14ac:dyDescent="0.35">
      <c r="A8154" t="s">
        <v>2857</v>
      </c>
      <c r="B8154" t="s">
        <v>2864</v>
      </c>
      <c r="C8154" t="s">
        <v>1492</v>
      </c>
      <c r="D8154" t="s">
        <v>2900</v>
      </c>
      <c r="E8154">
        <v>3718</v>
      </c>
      <c r="F8154" s="11">
        <v>0</v>
      </c>
    </row>
    <row r="8155" spans="1:6" x14ac:dyDescent="0.35">
      <c r="A8155" t="s">
        <v>2857</v>
      </c>
      <c r="B8155" t="s">
        <v>2864</v>
      </c>
      <c r="C8155" t="s">
        <v>1492</v>
      </c>
      <c r="D8155" t="s">
        <v>2901</v>
      </c>
      <c r="E8155">
        <v>0</v>
      </c>
      <c r="F8155" s="11">
        <v>0</v>
      </c>
    </row>
    <row r="8156" spans="1:6" x14ac:dyDescent="0.35">
      <c r="A8156" t="s">
        <v>2857</v>
      </c>
      <c r="B8156" t="s">
        <v>2864</v>
      </c>
      <c r="C8156" t="s">
        <v>1492</v>
      </c>
      <c r="D8156" t="s">
        <v>2902</v>
      </c>
      <c r="E8156">
        <v>12126</v>
      </c>
      <c r="F8156" s="11">
        <v>0</v>
      </c>
    </row>
    <row r="8157" spans="1:6" x14ac:dyDescent="0.35">
      <c r="A8157" t="s">
        <v>2857</v>
      </c>
      <c r="B8157" t="s">
        <v>2864</v>
      </c>
      <c r="C8157" t="s">
        <v>1492</v>
      </c>
      <c r="D8157" t="s">
        <v>2903</v>
      </c>
      <c r="E8157">
        <v>83302</v>
      </c>
      <c r="F8157" s="11">
        <v>0</v>
      </c>
    </row>
    <row r="8158" spans="1:6" x14ac:dyDescent="0.35">
      <c r="A8158" t="s">
        <v>2857</v>
      </c>
      <c r="B8158" t="s">
        <v>2864</v>
      </c>
      <c r="C8158" t="s">
        <v>1492</v>
      </c>
      <c r="D8158" t="s">
        <v>2904</v>
      </c>
      <c r="E8158">
        <v>0</v>
      </c>
      <c r="F8158" s="11">
        <v>0</v>
      </c>
    </row>
    <row r="8159" spans="1:6" x14ac:dyDescent="0.35">
      <c r="A8159" t="s">
        <v>2857</v>
      </c>
      <c r="B8159" t="s">
        <v>2864</v>
      </c>
      <c r="C8159" t="s">
        <v>1492</v>
      </c>
      <c r="D8159" t="s">
        <v>2905</v>
      </c>
      <c r="E8159">
        <v>0</v>
      </c>
      <c r="F8159" s="11">
        <v>0</v>
      </c>
    </row>
    <row r="8160" spans="1:6" x14ac:dyDescent="0.35">
      <c r="A8160" t="s">
        <v>2857</v>
      </c>
      <c r="B8160" t="s">
        <v>2864</v>
      </c>
      <c r="C8160" t="s">
        <v>1492</v>
      </c>
      <c r="D8160" t="s">
        <v>2906</v>
      </c>
      <c r="E8160">
        <v>0</v>
      </c>
      <c r="F8160" s="11">
        <v>0</v>
      </c>
    </row>
    <row r="8161" spans="1:6" x14ac:dyDescent="0.35">
      <c r="A8161" t="s">
        <v>2857</v>
      </c>
      <c r="B8161" t="s">
        <v>2864</v>
      </c>
      <c r="C8161" t="s">
        <v>1492</v>
      </c>
      <c r="D8161" t="s">
        <v>2907</v>
      </c>
      <c r="E8161">
        <v>130607</v>
      </c>
      <c r="F8161" s="11">
        <v>0</v>
      </c>
    </row>
    <row r="8162" spans="1:6" x14ac:dyDescent="0.35">
      <c r="A8162" t="s">
        <v>2857</v>
      </c>
      <c r="B8162" t="s">
        <v>2864</v>
      </c>
      <c r="C8162" t="s">
        <v>1492</v>
      </c>
      <c r="D8162" t="s">
        <v>2908</v>
      </c>
      <c r="E8162">
        <v>0</v>
      </c>
      <c r="F8162" s="11">
        <v>0</v>
      </c>
    </row>
    <row r="8163" spans="1:6" x14ac:dyDescent="0.35">
      <c r="A8163" t="s">
        <v>2857</v>
      </c>
      <c r="B8163" t="s">
        <v>2864</v>
      </c>
      <c r="C8163" t="s">
        <v>1492</v>
      </c>
      <c r="D8163" t="s">
        <v>2909</v>
      </c>
      <c r="E8163">
        <v>0</v>
      </c>
      <c r="F8163" s="11">
        <v>0</v>
      </c>
    </row>
    <row r="8164" spans="1:6" x14ac:dyDescent="0.35">
      <c r="A8164" t="s">
        <v>2857</v>
      </c>
      <c r="B8164" t="s">
        <v>2864</v>
      </c>
      <c r="C8164" t="s">
        <v>1492</v>
      </c>
      <c r="D8164" t="s">
        <v>2910</v>
      </c>
      <c r="E8164">
        <v>0</v>
      </c>
      <c r="F8164" s="11">
        <v>0</v>
      </c>
    </row>
    <row r="8165" spans="1:6" x14ac:dyDescent="0.35">
      <c r="A8165" t="s">
        <v>2857</v>
      </c>
      <c r="B8165" t="s">
        <v>2864</v>
      </c>
      <c r="C8165" t="s">
        <v>1492</v>
      </c>
      <c r="D8165" t="s">
        <v>2911</v>
      </c>
      <c r="E8165">
        <v>1001282</v>
      </c>
      <c r="F8165" s="11">
        <v>0</v>
      </c>
    </row>
    <row r="8166" spans="1:6" x14ac:dyDescent="0.35">
      <c r="A8166" t="s">
        <v>2857</v>
      </c>
      <c r="B8166" t="s">
        <v>2864</v>
      </c>
      <c r="C8166" t="s">
        <v>1492</v>
      </c>
      <c r="D8166" t="s">
        <v>2912</v>
      </c>
      <c r="E8166">
        <v>0</v>
      </c>
      <c r="F8166" s="11">
        <v>0</v>
      </c>
    </row>
    <row r="8167" spans="1:6" x14ac:dyDescent="0.35">
      <c r="A8167" t="s">
        <v>2857</v>
      </c>
      <c r="B8167" t="s">
        <v>2864</v>
      </c>
      <c r="C8167" t="s">
        <v>1492</v>
      </c>
      <c r="D8167" t="s">
        <v>2913</v>
      </c>
      <c r="E8167">
        <v>0</v>
      </c>
      <c r="F8167" s="11">
        <v>0</v>
      </c>
    </row>
    <row r="8168" spans="1:6" x14ac:dyDescent="0.35">
      <c r="A8168" t="s">
        <v>2857</v>
      </c>
      <c r="B8168" t="s">
        <v>2864</v>
      </c>
      <c r="C8168" t="s">
        <v>1492</v>
      </c>
      <c r="D8168" t="s">
        <v>2914</v>
      </c>
      <c r="E8168">
        <v>19976</v>
      </c>
      <c r="F8168" s="11">
        <v>0</v>
      </c>
    </row>
    <row r="8169" spans="1:6" x14ac:dyDescent="0.35">
      <c r="A8169" t="s">
        <v>2857</v>
      </c>
      <c r="B8169" t="s">
        <v>2864</v>
      </c>
      <c r="C8169" t="s">
        <v>1492</v>
      </c>
      <c r="D8169" t="s">
        <v>2915</v>
      </c>
      <c r="E8169">
        <v>3840</v>
      </c>
      <c r="F8169" s="11">
        <v>0</v>
      </c>
    </row>
    <row r="8170" spans="1:6" x14ac:dyDescent="0.35">
      <c r="A8170" t="s">
        <v>2857</v>
      </c>
      <c r="B8170" t="s">
        <v>2864</v>
      </c>
      <c r="C8170" t="s">
        <v>1492</v>
      </c>
      <c r="D8170" t="s">
        <v>2916</v>
      </c>
      <c r="E8170">
        <v>62471</v>
      </c>
      <c r="F8170" s="11">
        <v>0</v>
      </c>
    </row>
    <row r="8171" spans="1:6" x14ac:dyDescent="0.35">
      <c r="A8171" t="s">
        <v>2857</v>
      </c>
      <c r="B8171" t="s">
        <v>2864</v>
      </c>
      <c r="C8171" t="s">
        <v>1492</v>
      </c>
      <c r="D8171" t="s">
        <v>2917</v>
      </c>
      <c r="E8171">
        <v>36036</v>
      </c>
      <c r="F8171" s="11">
        <v>0</v>
      </c>
    </row>
    <row r="8172" spans="1:6" x14ac:dyDescent="0.35">
      <c r="A8172" t="s">
        <v>2857</v>
      </c>
      <c r="B8172" t="s">
        <v>2864</v>
      </c>
      <c r="C8172" t="s">
        <v>1404</v>
      </c>
      <c r="D8172" t="s">
        <v>2875</v>
      </c>
      <c r="E8172">
        <v>38118</v>
      </c>
      <c r="F8172" s="11">
        <v>1</v>
      </c>
    </row>
    <row r="8173" spans="1:6" x14ac:dyDescent="0.35">
      <c r="A8173" t="s">
        <v>2857</v>
      </c>
      <c r="B8173" t="s">
        <v>2864</v>
      </c>
      <c r="C8173" t="s">
        <v>1404</v>
      </c>
      <c r="D8173" t="s">
        <v>2876</v>
      </c>
      <c r="E8173">
        <v>11604</v>
      </c>
      <c r="F8173" s="11">
        <v>1</v>
      </c>
    </row>
    <row r="8174" spans="1:6" x14ac:dyDescent="0.35">
      <c r="A8174" t="s">
        <v>2857</v>
      </c>
      <c r="B8174" t="s">
        <v>2864</v>
      </c>
      <c r="C8174" t="s">
        <v>1404</v>
      </c>
      <c r="D8174" t="s">
        <v>2877</v>
      </c>
      <c r="E8174">
        <v>2002</v>
      </c>
      <c r="F8174" s="11">
        <v>1</v>
      </c>
    </row>
    <row r="8175" spans="1:6" x14ac:dyDescent="0.35">
      <c r="A8175" t="s">
        <v>2857</v>
      </c>
      <c r="B8175" t="s">
        <v>2864</v>
      </c>
      <c r="C8175" t="s">
        <v>1404</v>
      </c>
      <c r="D8175" t="s">
        <v>2878</v>
      </c>
      <c r="E8175">
        <v>24512</v>
      </c>
      <c r="F8175" s="11">
        <v>1</v>
      </c>
    </row>
    <row r="8176" spans="1:6" x14ac:dyDescent="0.35">
      <c r="A8176" t="s">
        <v>2857</v>
      </c>
      <c r="B8176" t="s">
        <v>2864</v>
      </c>
      <c r="C8176" t="s">
        <v>1404</v>
      </c>
      <c r="D8176" t="s">
        <v>2879</v>
      </c>
      <c r="E8176">
        <v>3503</v>
      </c>
      <c r="F8176" s="11">
        <v>1</v>
      </c>
    </row>
    <row r="8177" spans="1:6" x14ac:dyDescent="0.35">
      <c r="A8177" t="s">
        <v>2857</v>
      </c>
      <c r="B8177" t="s">
        <v>2864</v>
      </c>
      <c r="C8177" t="s">
        <v>1404</v>
      </c>
      <c r="D8177" t="s">
        <v>2880</v>
      </c>
      <c r="E8177">
        <v>2581</v>
      </c>
      <c r="F8177" s="11">
        <v>1</v>
      </c>
    </row>
    <row r="8178" spans="1:6" x14ac:dyDescent="0.35">
      <c r="A8178" t="s">
        <v>2857</v>
      </c>
      <c r="B8178" t="s">
        <v>2864</v>
      </c>
      <c r="C8178" t="s">
        <v>1404</v>
      </c>
      <c r="D8178" t="s">
        <v>2881</v>
      </c>
      <c r="E8178">
        <v>4</v>
      </c>
      <c r="F8178" s="11">
        <v>1</v>
      </c>
    </row>
    <row r="8179" spans="1:6" x14ac:dyDescent="0.35">
      <c r="A8179" t="s">
        <v>2857</v>
      </c>
      <c r="B8179" t="s">
        <v>2864</v>
      </c>
      <c r="C8179" t="s">
        <v>1404</v>
      </c>
      <c r="D8179" t="s">
        <v>2882</v>
      </c>
      <c r="E8179">
        <v>918</v>
      </c>
      <c r="F8179" s="11">
        <v>1</v>
      </c>
    </row>
    <row r="8180" spans="1:6" x14ac:dyDescent="0.35">
      <c r="A8180" t="s">
        <v>2857</v>
      </c>
      <c r="B8180" t="s">
        <v>2864</v>
      </c>
      <c r="C8180" t="s">
        <v>1404</v>
      </c>
      <c r="D8180" t="s">
        <v>2883</v>
      </c>
      <c r="E8180">
        <v>0</v>
      </c>
      <c r="F8180" s="11">
        <v>0</v>
      </c>
    </row>
    <row r="8181" spans="1:6" x14ac:dyDescent="0.35">
      <c r="A8181" t="s">
        <v>2857</v>
      </c>
      <c r="B8181" t="s">
        <v>2864</v>
      </c>
      <c r="C8181" t="s">
        <v>1404</v>
      </c>
      <c r="D8181" t="s">
        <v>2884</v>
      </c>
      <c r="E8181">
        <v>0</v>
      </c>
      <c r="F8181" s="11">
        <v>0</v>
      </c>
    </row>
    <row r="8182" spans="1:6" x14ac:dyDescent="0.35">
      <c r="A8182" t="s">
        <v>2857</v>
      </c>
      <c r="B8182" t="s">
        <v>2864</v>
      </c>
      <c r="C8182" t="s">
        <v>1404</v>
      </c>
      <c r="D8182" t="s">
        <v>2885</v>
      </c>
      <c r="E8182">
        <v>0</v>
      </c>
      <c r="F8182" s="11">
        <v>0</v>
      </c>
    </row>
    <row r="8183" spans="1:6" x14ac:dyDescent="0.35">
      <c r="A8183" t="s">
        <v>2857</v>
      </c>
      <c r="B8183" t="s">
        <v>2864</v>
      </c>
      <c r="C8183" t="s">
        <v>1404</v>
      </c>
      <c r="D8183" t="s">
        <v>2886</v>
      </c>
      <c r="E8183">
        <v>0</v>
      </c>
      <c r="F8183" s="11">
        <v>0</v>
      </c>
    </row>
    <row r="8184" spans="1:6" x14ac:dyDescent="0.35">
      <c r="A8184" t="s">
        <v>2857</v>
      </c>
      <c r="B8184" t="s">
        <v>2864</v>
      </c>
      <c r="C8184" t="s">
        <v>1404</v>
      </c>
      <c r="D8184" t="s">
        <v>2887</v>
      </c>
      <c r="E8184">
        <v>75208</v>
      </c>
      <c r="F8184" s="11">
        <v>1</v>
      </c>
    </row>
    <row r="8185" spans="1:6" x14ac:dyDescent="0.35">
      <c r="A8185" t="s">
        <v>2857</v>
      </c>
      <c r="B8185" t="s">
        <v>2864</v>
      </c>
      <c r="C8185" t="s">
        <v>1404</v>
      </c>
      <c r="D8185" t="s">
        <v>2888</v>
      </c>
      <c r="E8185">
        <v>66746</v>
      </c>
      <c r="F8185" s="11">
        <v>1</v>
      </c>
    </row>
    <row r="8186" spans="1:6" x14ac:dyDescent="0.35">
      <c r="A8186" t="s">
        <v>2857</v>
      </c>
      <c r="B8186" t="s">
        <v>2864</v>
      </c>
      <c r="C8186" t="s">
        <v>1404</v>
      </c>
      <c r="D8186" t="s">
        <v>2889</v>
      </c>
      <c r="E8186">
        <v>18</v>
      </c>
      <c r="F8186" s="11">
        <v>1</v>
      </c>
    </row>
    <row r="8187" spans="1:6" x14ac:dyDescent="0.35">
      <c r="A8187" t="s">
        <v>2857</v>
      </c>
      <c r="B8187" t="s">
        <v>2864</v>
      </c>
      <c r="C8187" t="s">
        <v>1404</v>
      </c>
      <c r="D8187" t="s">
        <v>2890</v>
      </c>
      <c r="E8187">
        <v>8444</v>
      </c>
      <c r="F8187" s="11">
        <v>1</v>
      </c>
    </row>
    <row r="8188" spans="1:6" x14ac:dyDescent="0.35">
      <c r="A8188" t="s">
        <v>2857</v>
      </c>
      <c r="B8188" t="s">
        <v>2864</v>
      </c>
      <c r="C8188" t="s">
        <v>1404</v>
      </c>
      <c r="D8188" t="s">
        <v>2891</v>
      </c>
      <c r="E8188">
        <v>0</v>
      </c>
      <c r="F8188" s="11">
        <v>0</v>
      </c>
    </row>
    <row r="8189" spans="1:6" x14ac:dyDescent="0.35">
      <c r="A8189" t="s">
        <v>2857</v>
      </c>
      <c r="B8189" t="s">
        <v>2864</v>
      </c>
      <c r="C8189" t="s">
        <v>1404</v>
      </c>
      <c r="D8189" t="s">
        <v>2892</v>
      </c>
      <c r="E8189">
        <v>0</v>
      </c>
      <c r="F8189" s="11">
        <v>0</v>
      </c>
    </row>
    <row r="8190" spans="1:6" x14ac:dyDescent="0.35">
      <c r="A8190" t="s">
        <v>2857</v>
      </c>
      <c r="B8190" t="s">
        <v>2864</v>
      </c>
      <c r="C8190" t="s">
        <v>1404</v>
      </c>
      <c r="D8190" t="s">
        <v>2893</v>
      </c>
      <c r="E8190">
        <v>0</v>
      </c>
      <c r="F8190" s="11">
        <v>0</v>
      </c>
    </row>
    <row r="8191" spans="1:6" x14ac:dyDescent="0.35">
      <c r="A8191" t="s">
        <v>2857</v>
      </c>
      <c r="B8191" t="s">
        <v>2864</v>
      </c>
      <c r="C8191" t="s">
        <v>1404</v>
      </c>
      <c r="D8191" t="s">
        <v>2894</v>
      </c>
      <c r="E8191">
        <v>0</v>
      </c>
      <c r="F8191" s="11">
        <v>0</v>
      </c>
    </row>
    <row r="8192" spans="1:6" x14ac:dyDescent="0.35">
      <c r="A8192" t="s">
        <v>2857</v>
      </c>
      <c r="B8192" t="s">
        <v>2864</v>
      </c>
      <c r="C8192" t="s">
        <v>1404</v>
      </c>
      <c r="D8192" t="s">
        <v>2895</v>
      </c>
      <c r="E8192">
        <v>740040</v>
      </c>
      <c r="F8192" s="11">
        <v>1</v>
      </c>
    </row>
    <row r="8193" spans="1:6" x14ac:dyDescent="0.35">
      <c r="A8193" t="s">
        <v>2857</v>
      </c>
      <c r="B8193" t="s">
        <v>2864</v>
      </c>
      <c r="C8193" t="s">
        <v>1404</v>
      </c>
      <c r="D8193" t="s">
        <v>2896</v>
      </c>
      <c r="E8193">
        <v>407328</v>
      </c>
      <c r="F8193" s="11">
        <v>1</v>
      </c>
    </row>
    <row r="8194" spans="1:6" x14ac:dyDescent="0.35">
      <c r="A8194" t="s">
        <v>2857</v>
      </c>
      <c r="B8194" t="s">
        <v>2864</v>
      </c>
      <c r="C8194" t="s">
        <v>1404</v>
      </c>
      <c r="D8194" t="s">
        <v>2897</v>
      </c>
      <c r="E8194">
        <v>15855</v>
      </c>
      <c r="F8194" s="11">
        <v>1</v>
      </c>
    </row>
    <row r="8195" spans="1:6" x14ac:dyDescent="0.35">
      <c r="A8195" t="s">
        <v>2857</v>
      </c>
      <c r="B8195" t="s">
        <v>2864</v>
      </c>
      <c r="C8195" t="s">
        <v>1404</v>
      </c>
      <c r="D8195" t="s">
        <v>2898</v>
      </c>
      <c r="E8195">
        <v>316857</v>
      </c>
      <c r="F8195" s="11">
        <v>1</v>
      </c>
    </row>
    <row r="8196" spans="1:6" x14ac:dyDescent="0.35">
      <c r="A8196" t="s">
        <v>2857</v>
      </c>
      <c r="B8196" t="s">
        <v>2864</v>
      </c>
      <c r="C8196" t="s">
        <v>1404</v>
      </c>
      <c r="D8196" t="s">
        <v>2899</v>
      </c>
      <c r="E8196">
        <v>11179</v>
      </c>
      <c r="F8196" s="11">
        <v>1</v>
      </c>
    </row>
    <row r="8197" spans="1:6" x14ac:dyDescent="0.35">
      <c r="A8197" t="s">
        <v>2857</v>
      </c>
      <c r="B8197" t="s">
        <v>2864</v>
      </c>
      <c r="C8197" t="s">
        <v>1404</v>
      </c>
      <c r="D8197" t="s">
        <v>2900</v>
      </c>
      <c r="E8197">
        <v>3021</v>
      </c>
      <c r="F8197" s="11">
        <v>1</v>
      </c>
    </row>
    <row r="8198" spans="1:6" x14ac:dyDescent="0.35">
      <c r="A8198" t="s">
        <v>2857</v>
      </c>
      <c r="B8198" t="s">
        <v>2864</v>
      </c>
      <c r="C8198" t="s">
        <v>1404</v>
      </c>
      <c r="D8198" t="s">
        <v>2901</v>
      </c>
      <c r="E8198">
        <v>0</v>
      </c>
      <c r="F8198" s="11">
        <v>1</v>
      </c>
    </row>
    <row r="8199" spans="1:6" x14ac:dyDescent="0.35">
      <c r="A8199" t="s">
        <v>2857</v>
      </c>
      <c r="B8199" t="s">
        <v>2864</v>
      </c>
      <c r="C8199" t="s">
        <v>1404</v>
      </c>
      <c r="D8199" t="s">
        <v>2902</v>
      </c>
      <c r="E8199">
        <v>8158</v>
      </c>
      <c r="F8199" s="11">
        <v>0</v>
      </c>
    </row>
    <row r="8200" spans="1:6" x14ac:dyDescent="0.35">
      <c r="A8200" t="s">
        <v>2857</v>
      </c>
      <c r="B8200" t="s">
        <v>2864</v>
      </c>
      <c r="C8200" t="s">
        <v>1404</v>
      </c>
      <c r="D8200" t="s">
        <v>2903</v>
      </c>
      <c r="E8200">
        <v>34054</v>
      </c>
      <c r="F8200" s="11">
        <v>1</v>
      </c>
    </row>
    <row r="8201" spans="1:6" x14ac:dyDescent="0.35">
      <c r="A8201" t="s">
        <v>2857</v>
      </c>
      <c r="B8201" t="s">
        <v>2864</v>
      </c>
      <c r="C8201" t="s">
        <v>1404</v>
      </c>
      <c r="D8201" t="s">
        <v>2904</v>
      </c>
      <c r="E8201">
        <v>0</v>
      </c>
      <c r="F8201" s="11">
        <v>0</v>
      </c>
    </row>
    <row r="8202" spans="1:6" x14ac:dyDescent="0.35">
      <c r="A8202" t="s">
        <v>2857</v>
      </c>
      <c r="B8202" t="s">
        <v>2864</v>
      </c>
      <c r="C8202" t="s">
        <v>1404</v>
      </c>
      <c r="D8202" t="s">
        <v>2905</v>
      </c>
      <c r="E8202">
        <v>0</v>
      </c>
      <c r="F8202" s="11">
        <v>0</v>
      </c>
    </row>
    <row r="8203" spans="1:6" x14ac:dyDescent="0.35">
      <c r="A8203" t="s">
        <v>2857</v>
      </c>
      <c r="B8203" t="s">
        <v>2864</v>
      </c>
      <c r="C8203" t="s">
        <v>1404</v>
      </c>
      <c r="D8203" t="s">
        <v>2906</v>
      </c>
      <c r="E8203">
        <v>0</v>
      </c>
      <c r="F8203" s="11">
        <v>0</v>
      </c>
    </row>
    <row r="8204" spans="1:6" x14ac:dyDescent="0.35">
      <c r="A8204" t="s">
        <v>2857</v>
      </c>
      <c r="B8204" t="s">
        <v>2864</v>
      </c>
      <c r="C8204" t="s">
        <v>1404</v>
      </c>
      <c r="D8204" t="s">
        <v>2907</v>
      </c>
      <c r="E8204">
        <v>133107</v>
      </c>
      <c r="F8204" s="11">
        <v>1</v>
      </c>
    </row>
    <row r="8205" spans="1:6" x14ac:dyDescent="0.35">
      <c r="A8205" t="s">
        <v>2857</v>
      </c>
      <c r="B8205" t="s">
        <v>2864</v>
      </c>
      <c r="C8205" t="s">
        <v>1404</v>
      </c>
      <c r="D8205" t="s">
        <v>2908</v>
      </c>
      <c r="E8205">
        <v>0</v>
      </c>
      <c r="F8205" s="11">
        <v>0</v>
      </c>
    </row>
    <row r="8206" spans="1:6" x14ac:dyDescent="0.35">
      <c r="A8206" t="s">
        <v>2857</v>
      </c>
      <c r="B8206" t="s">
        <v>2864</v>
      </c>
      <c r="C8206" t="s">
        <v>1404</v>
      </c>
      <c r="D8206" t="s">
        <v>2909</v>
      </c>
      <c r="E8206">
        <v>0</v>
      </c>
      <c r="F8206" s="11">
        <v>0</v>
      </c>
    </row>
    <row r="8207" spans="1:6" x14ac:dyDescent="0.35">
      <c r="A8207" t="s">
        <v>2857</v>
      </c>
      <c r="B8207" t="s">
        <v>2864</v>
      </c>
      <c r="C8207" t="s">
        <v>1404</v>
      </c>
      <c r="D8207" t="s">
        <v>2910</v>
      </c>
      <c r="E8207">
        <v>0</v>
      </c>
      <c r="F8207" s="11">
        <v>0</v>
      </c>
    </row>
    <row r="8208" spans="1:6" x14ac:dyDescent="0.35">
      <c r="A8208" t="s">
        <v>2857</v>
      </c>
      <c r="B8208" t="s">
        <v>2864</v>
      </c>
      <c r="C8208" t="s">
        <v>1404</v>
      </c>
      <c r="D8208" t="s">
        <v>2911</v>
      </c>
      <c r="E8208">
        <v>574414</v>
      </c>
      <c r="F8208" s="11">
        <v>1</v>
      </c>
    </row>
    <row r="8209" spans="1:6" x14ac:dyDescent="0.35">
      <c r="A8209" t="s">
        <v>2857</v>
      </c>
      <c r="B8209" t="s">
        <v>2864</v>
      </c>
      <c r="C8209" t="s">
        <v>1404</v>
      </c>
      <c r="D8209" t="s">
        <v>2912</v>
      </c>
      <c r="E8209">
        <v>0</v>
      </c>
      <c r="F8209" s="11">
        <v>0</v>
      </c>
    </row>
    <row r="8210" spans="1:6" x14ac:dyDescent="0.35">
      <c r="A8210" t="s">
        <v>2857</v>
      </c>
      <c r="B8210" t="s">
        <v>2864</v>
      </c>
      <c r="C8210" t="s">
        <v>1404</v>
      </c>
      <c r="D8210" t="s">
        <v>2913</v>
      </c>
      <c r="E8210">
        <v>0</v>
      </c>
      <c r="F8210" s="11">
        <v>0</v>
      </c>
    </row>
    <row r="8211" spans="1:6" x14ac:dyDescent="0.35">
      <c r="A8211" t="s">
        <v>2857</v>
      </c>
      <c r="B8211" t="s">
        <v>2864</v>
      </c>
      <c r="C8211" t="s">
        <v>1404</v>
      </c>
      <c r="D8211" t="s">
        <v>2914</v>
      </c>
      <c r="E8211">
        <v>0</v>
      </c>
      <c r="F8211" s="11">
        <v>0</v>
      </c>
    </row>
    <row r="8212" spans="1:6" x14ac:dyDescent="0.35">
      <c r="A8212" t="s">
        <v>2857</v>
      </c>
      <c r="B8212" t="s">
        <v>2864</v>
      </c>
      <c r="C8212" t="s">
        <v>1404</v>
      </c>
      <c r="D8212" t="s">
        <v>2915</v>
      </c>
      <c r="E8212">
        <v>1032</v>
      </c>
      <c r="F8212" s="11">
        <v>1</v>
      </c>
    </row>
    <row r="8213" spans="1:6" x14ac:dyDescent="0.35">
      <c r="A8213" t="s">
        <v>2857</v>
      </c>
      <c r="B8213" t="s">
        <v>2864</v>
      </c>
      <c r="C8213" t="s">
        <v>1404</v>
      </c>
      <c r="D8213" t="s">
        <v>2916</v>
      </c>
      <c r="E8213">
        <v>2052.1583333333301</v>
      </c>
      <c r="F8213" s="11">
        <v>1</v>
      </c>
    </row>
    <row r="8214" spans="1:6" x14ac:dyDescent="0.35">
      <c r="A8214" t="s">
        <v>2857</v>
      </c>
      <c r="B8214" t="s">
        <v>2864</v>
      </c>
      <c r="C8214" t="s">
        <v>1404</v>
      </c>
      <c r="D8214" t="s">
        <v>2917</v>
      </c>
      <c r="E8214">
        <v>0</v>
      </c>
      <c r="F8214" s="11">
        <v>0</v>
      </c>
    </row>
    <row r="8215" spans="1:6" x14ac:dyDescent="0.35">
      <c r="A8215" t="s">
        <v>2857</v>
      </c>
      <c r="B8215" t="s">
        <v>2865</v>
      </c>
      <c r="C8215" t="s">
        <v>1532</v>
      </c>
      <c r="D8215" t="s">
        <v>2875</v>
      </c>
      <c r="E8215">
        <v>19129</v>
      </c>
      <c r="F8215" s="11">
        <v>1</v>
      </c>
    </row>
    <row r="8216" spans="1:6" x14ac:dyDescent="0.35">
      <c r="A8216" t="s">
        <v>2857</v>
      </c>
      <c r="B8216" t="s">
        <v>2865</v>
      </c>
      <c r="C8216" t="s">
        <v>1532</v>
      </c>
      <c r="D8216" t="s">
        <v>2876</v>
      </c>
      <c r="E8216">
        <v>5999</v>
      </c>
      <c r="F8216" s="11">
        <v>1</v>
      </c>
    </row>
    <row r="8217" spans="1:6" x14ac:dyDescent="0.35">
      <c r="A8217" t="s">
        <v>2857</v>
      </c>
      <c r="B8217" t="s">
        <v>2865</v>
      </c>
      <c r="C8217" t="s">
        <v>1532</v>
      </c>
      <c r="D8217" t="s">
        <v>2877</v>
      </c>
      <c r="E8217">
        <v>2592</v>
      </c>
      <c r="F8217" s="11">
        <v>1</v>
      </c>
    </row>
    <row r="8218" spans="1:6" x14ac:dyDescent="0.35">
      <c r="A8218" t="s">
        <v>2857</v>
      </c>
      <c r="B8218" t="s">
        <v>2865</v>
      </c>
      <c r="C8218" t="s">
        <v>1532</v>
      </c>
      <c r="D8218" t="s">
        <v>2878</v>
      </c>
      <c r="E8218">
        <v>10538</v>
      </c>
      <c r="F8218" s="11">
        <v>1</v>
      </c>
    </row>
    <row r="8219" spans="1:6" x14ac:dyDescent="0.35">
      <c r="A8219" t="s">
        <v>2857</v>
      </c>
      <c r="B8219" t="s">
        <v>2865</v>
      </c>
      <c r="C8219" t="s">
        <v>1532</v>
      </c>
      <c r="D8219" t="s">
        <v>2879</v>
      </c>
      <c r="E8219">
        <v>1485</v>
      </c>
      <c r="F8219" s="11">
        <v>1</v>
      </c>
    </row>
    <row r="8220" spans="1:6" x14ac:dyDescent="0.35">
      <c r="A8220" t="s">
        <v>2857</v>
      </c>
      <c r="B8220" t="s">
        <v>2865</v>
      </c>
      <c r="C8220" t="s">
        <v>1532</v>
      </c>
      <c r="D8220" t="s">
        <v>2880</v>
      </c>
      <c r="E8220">
        <v>609</v>
      </c>
      <c r="F8220" s="11">
        <v>1</v>
      </c>
    </row>
    <row r="8221" spans="1:6" x14ac:dyDescent="0.35">
      <c r="A8221" t="s">
        <v>2857</v>
      </c>
      <c r="B8221" t="s">
        <v>2865</v>
      </c>
      <c r="C8221" t="s">
        <v>1532</v>
      </c>
      <c r="D8221" t="s">
        <v>2881</v>
      </c>
      <c r="E8221">
        <v>35</v>
      </c>
      <c r="F8221" s="11">
        <v>1</v>
      </c>
    </row>
    <row r="8222" spans="1:6" x14ac:dyDescent="0.35">
      <c r="A8222" t="s">
        <v>2857</v>
      </c>
      <c r="B8222" t="s">
        <v>2865</v>
      </c>
      <c r="C8222" t="s">
        <v>1532</v>
      </c>
      <c r="D8222" t="s">
        <v>2882</v>
      </c>
      <c r="E8222">
        <v>841</v>
      </c>
      <c r="F8222" s="11">
        <v>1</v>
      </c>
    </row>
    <row r="8223" spans="1:6" x14ac:dyDescent="0.35">
      <c r="A8223" t="s">
        <v>2857</v>
      </c>
      <c r="B8223" t="s">
        <v>2865</v>
      </c>
      <c r="C8223" t="s">
        <v>1532</v>
      </c>
      <c r="D8223" t="s">
        <v>2883</v>
      </c>
      <c r="E8223">
        <v>0</v>
      </c>
      <c r="F8223" s="11">
        <v>0</v>
      </c>
    </row>
    <row r="8224" spans="1:6" x14ac:dyDescent="0.35">
      <c r="A8224" t="s">
        <v>2857</v>
      </c>
      <c r="B8224" t="s">
        <v>2865</v>
      </c>
      <c r="C8224" t="s">
        <v>1532</v>
      </c>
      <c r="D8224" t="s">
        <v>2884</v>
      </c>
      <c r="E8224">
        <v>0</v>
      </c>
      <c r="F8224" s="11">
        <v>0</v>
      </c>
    </row>
    <row r="8225" spans="1:6" x14ac:dyDescent="0.35">
      <c r="A8225" t="s">
        <v>2857</v>
      </c>
      <c r="B8225" t="s">
        <v>2865</v>
      </c>
      <c r="C8225" t="s">
        <v>1532</v>
      </c>
      <c r="D8225" t="s">
        <v>2885</v>
      </c>
      <c r="E8225">
        <v>0</v>
      </c>
      <c r="F8225" s="11">
        <v>0</v>
      </c>
    </row>
    <row r="8226" spans="1:6" x14ac:dyDescent="0.35">
      <c r="A8226" t="s">
        <v>2857</v>
      </c>
      <c r="B8226" t="s">
        <v>2865</v>
      </c>
      <c r="C8226" t="s">
        <v>1532</v>
      </c>
      <c r="D8226" t="s">
        <v>2886</v>
      </c>
      <c r="E8226">
        <v>0</v>
      </c>
      <c r="F8226" s="11">
        <v>0</v>
      </c>
    </row>
    <row r="8227" spans="1:6" x14ac:dyDescent="0.35">
      <c r="A8227" t="s">
        <v>2857</v>
      </c>
      <c r="B8227" t="s">
        <v>2865</v>
      </c>
      <c r="C8227" t="s">
        <v>1532</v>
      </c>
      <c r="D8227" t="s">
        <v>2887</v>
      </c>
      <c r="E8227">
        <v>53956</v>
      </c>
      <c r="F8227" s="11">
        <v>1</v>
      </c>
    </row>
    <row r="8228" spans="1:6" x14ac:dyDescent="0.35">
      <c r="A8228" t="s">
        <v>2857</v>
      </c>
      <c r="B8228" t="s">
        <v>2865</v>
      </c>
      <c r="C8228" t="s">
        <v>1532</v>
      </c>
      <c r="D8228" t="s">
        <v>2888</v>
      </c>
      <c r="E8228">
        <v>0</v>
      </c>
      <c r="F8228" s="11">
        <v>0</v>
      </c>
    </row>
    <row r="8229" spans="1:6" x14ac:dyDescent="0.35">
      <c r="A8229" t="s">
        <v>2857</v>
      </c>
      <c r="B8229" t="s">
        <v>2865</v>
      </c>
      <c r="C8229" t="s">
        <v>1532</v>
      </c>
      <c r="D8229" t="s">
        <v>2889</v>
      </c>
      <c r="E8229">
        <v>0</v>
      </c>
      <c r="F8229" s="11">
        <v>0</v>
      </c>
    </row>
    <row r="8230" spans="1:6" x14ac:dyDescent="0.35">
      <c r="A8230" t="s">
        <v>2857</v>
      </c>
      <c r="B8230" t="s">
        <v>2865</v>
      </c>
      <c r="C8230" t="s">
        <v>1532</v>
      </c>
      <c r="D8230" t="s">
        <v>2890</v>
      </c>
      <c r="E8230">
        <v>53956</v>
      </c>
      <c r="F8230" s="11">
        <v>0</v>
      </c>
    </row>
    <row r="8231" spans="1:6" x14ac:dyDescent="0.35">
      <c r="A8231" t="s">
        <v>2857</v>
      </c>
      <c r="B8231" t="s">
        <v>2865</v>
      </c>
      <c r="C8231" t="s">
        <v>1532</v>
      </c>
      <c r="D8231" t="s">
        <v>2891</v>
      </c>
      <c r="E8231">
        <v>0</v>
      </c>
      <c r="F8231" s="11">
        <v>0</v>
      </c>
    </row>
    <row r="8232" spans="1:6" x14ac:dyDescent="0.35">
      <c r="A8232" t="s">
        <v>2857</v>
      </c>
      <c r="B8232" t="s">
        <v>2865</v>
      </c>
      <c r="C8232" t="s">
        <v>1532</v>
      </c>
      <c r="D8232" t="s">
        <v>2892</v>
      </c>
      <c r="E8232">
        <v>0</v>
      </c>
      <c r="F8232" s="11">
        <v>0</v>
      </c>
    </row>
    <row r="8233" spans="1:6" x14ac:dyDescent="0.35">
      <c r="A8233" t="s">
        <v>2857</v>
      </c>
      <c r="B8233" t="s">
        <v>2865</v>
      </c>
      <c r="C8233" t="s">
        <v>1532</v>
      </c>
      <c r="D8233" t="s">
        <v>2893</v>
      </c>
      <c r="E8233">
        <v>0</v>
      </c>
      <c r="F8233" s="11">
        <v>0</v>
      </c>
    </row>
    <row r="8234" spans="1:6" x14ac:dyDescent="0.35">
      <c r="A8234" t="s">
        <v>2857</v>
      </c>
      <c r="B8234" t="s">
        <v>2865</v>
      </c>
      <c r="C8234" t="s">
        <v>1532</v>
      </c>
      <c r="D8234" t="s">
        <v>2894</v>
      </c>
      <c r="E8234">
        <v>0</v>
      </c>
      <c r="F8234" s="11">
        <v>0</v>
      </c>
    </row>
    <row r="8235" spans="1:6" x14ac:dyDescent="0.35">
      <c r="A8235" t="s">
        <v>2857</v>
      </c>
      <c r="B8235" t="s">
        <v>2865</v>
      </c>
      <c r="C8235" t="s">
        <v>1532</v>
      </c>
      <c r="D8235" t="s">
        <v>2895</v>
      </c>
      <c r="E8235">
        <v>186960</v>
      </c>
      <c r="F8235" s="11">
        <v>1</v>
      </c>
    </row>
    <row r="8236" spans="1:6" x14ac:dyDescent="0.35">
      <c r="A8236" t="s">
        <v>2857</v>
      </c>
      <c r="B8236" t="s">
        <v>2865</v>
      </c>
      <c r="C8236" t="s">
        <v>1532</v>
      </c>
      <c r="D8236" t="s">
        <v>2896</v>
      </c>
      <c r="E8236">
        <v>0</v>
      </c>
      <c r="F8236" s="11">
        <v>1</v>
      </c>
    </row>
    <row r="8237" spans="1:6" x14ac:dyDescent="0.35">
      <c r="A8237" t="s">
        <v>2857</v>
      </c>
      <c r="B8237" t="s">
        <v>2865</v>
      </c>
      <c r="C8237" t="s">
        <v>1532</v>
      </c>
      <c r="D8237" t="s">
        <v>2897</v>
      </c>
      <c r="E8237">
        <v>0</v>
      </c>
      <c r="F8237" s="11">
        <v>1</v>
      </c>
    </row>
    <row r="8238" spans="1:6" x14ac:dyDescent="0.35">
      <c r="A8238" t="s">
        <v>2857</v>
      </c>
      <c r="B8238" t="s">
        <v>2865</v>
      </c>
      <c r="C8238" t="s">
        <v>1532</v>
      </c>
      <c r="D8238" t="s">
        <v>2898</v>
      </c>
      <c r="E8238">
        <v>0</v>
      </c>
      <c r="F8238" s="11">
        <v>1</v>
      </c>
    </row>
    <row r="8239" spans="1:6" x14ac:dyDescent="0.35">
      <c r="A8239" t="s">
        <v>2857</v>
      </c>
      <c r="B8239" t="s">
        <v>2865</v>
      </c>
      <c r="C8239" t="s">
        <v>1532</v>
      </c>
      <c r="D8239" t="s">
        <v>2899</v>
      </c>
      <c r="E8239">
        <v>3681</v>
      </c>
      <c r="F8239" s="11">
        <v>1</v>
      </c>
    </row>
    <row r="8240" spans="1:6" x14ac:dyDescent="0.35">
      <c r="A8240" t="s">
        <v>2857</v>
      </c>
      <c r="B8240" t="s">
        <v>2865</v>
      </c>
      <c r="C8240" t="s">
        <v>1532</v>
      </c>
      <c r="D8240" t="s">
        <v>2900</v>
      </c>
      <c r="E8240">
        <v>0</v>
      </c>
      <c r="F8240" s="11">
        <v>0</v>
      </c>
    </row>
    <row r="8241" spans="1:6" x14ac:dyDescent="0.35">
      <c r="A8241" t="s">
        <v>2857</v>
      </c>
      <c r="B8241" t="s">
        <v>2865</v>
      </c>
      <c r="C8241" t="s">
        <v>1532</v>
      </c>
      <c r="D8241" t="s">
        <v>2901</v>
      </c>
      <c r="E8241">
        <v>0</v>
      </c>
      <c r="F8241" s="11">
        <v>0</v>
      </c>
    </row>
    <row r="8242" spans="1:6" x14ac:dyDescent="0.35">
      <c r="A8242" t="s">
        <v>2857</v>
      </c>
      <c r="B8242" t="s">
        <v>2865</v>
      </c>
      <c r="C8242" t="s">
        <v>1532</v>
      </c>
      <c r="D8242" t="s">
        <v>2902</v>
      </c>
      <c r="E8242">
        <v>0</v>
      </c>
      <c r="F8242" s="11">
        <v>0</v>
      </c>
    </row>
    <row r="8243" spans="1:6" x14ac:dyDescent="0.35">
      <c r="A8243" t="s">
        <v>2857</v>
      </c>
      <c r="B8243" t="s">
        <v>2865</v>
      </c>
      <c r="C8243" t="s">
        <v>1532</v>
      </c>
      <c r="D8243" t="s">
        <v>2903</v>
      </c>
      <c r="E8243">
        <v>14923</v>
      </c>
      <c r="F8243" s="11">
        <v>1</v>
      </c>
    </row>
    <row r="8244" spans="1:6" x14ac:dyDescent="0.35">
      <c r="A8244" t="s">
        <v>2857</v>
      </c>
      <c r="B8244" t="s">
        <v>2865</v>
      </c>
      <c r="C8244" t="s">
        <v>1532</v>
      </c>
      <c r="D8244" t="s">
        <v>2904</v>
      </c>
      <c r="E8244">
        <v>0</v>
      </c>
      <c r="F8244" s="11">
        <v>0</v>
      </c>
    </row>
    <row r="8245" spans="1:6" x14ac:dyDescent="0.35">
      <c r="A8245" t="s">
        <v>2857</v>
      </c>
      <c r="B8245" t="s">
        <v>2865</v>
      </c>
      <c r="C8245" t="s">
        <v>1532</v>
      </c>
      <c r="D8245" t="s">
        <v>2905</v>
      </c>
      <c r="E8245">
        <v>0</v>
      </c>
      <c r="F8245" s="11">
        <v>0</v>
      </c>
    </row>
    <row r="8246" spans="1:6" x14ac:dyDescent="0.35">
      <c r="A8246" t="s">
        <v>2857</v>
      </c>
      <c r="B8246" t="s">
        <v>2865</v>
      </c>
      <c r="C8246" t="s">
        <v>1532</v>
      </c>
      <c r="D8246" t="s">
        <v>2906</v>
      </c>
      <c r="E8246">
        <v>0</v>
      </c>
      <c r="F8246" s="11">
        <v>0</v>
      </c>
    </row>
    <row r="8247" spans="1:6" x14ac:dyDescent="0.35">
      <c r="A8247" t="s">
        <v>2857</v>
      </c>
      <c r="B8247" t="s">
        <v>2865</v>
      </c>
      <c r="C8247" t="s">
        <v>1532</v>
      </c>
      <c r="D8247" t="s">
        <v>2907</v>
      </c>
      <c r="E8247">
        <v>21923</v>
      </c>
      <c r="F8247" s="11">
        <v>1</v>
      </c>
    </row>
    <row r="8248" spans="1:6" x14ac:dyDescent="0.35">
      <c r="A8248" t="s">
        <v>2857</v>
      </c>
      <c r="B8248" t="s">
        <v>2865</v>
      </c>
      <c r="C8248" t="s">
        <v>1532</v>
      </c>
      <c r="D8248" t="s">
        <v>2908</v>
      </c>
      <c r="E8248">
        <v>0</v>
      </c>
      <c r="F8248" s="11">
        <v>0</v>
      </c>
    </row>
    <row r="8249" spans="1:6" x14ac:dyDescent="0.35">
      <c r="A8249" t="s">
        <v>2857</v>
      </c>
      <c r="B8249" t="s">
        <v>2865</v>
      </c>
      <c r="C8249" t="s">
        <v>1532</v>
      </c>
      <c r="D8249" t="s">
        <v>2909</v>
      </c>
      <c r="E8249">
        <v>0</v>
      </c>
      <c r="F8249" s="11">
        <v>0</v>
      </c>
    </row>
    <row r="8250" spans="1:6" x14ac:dyDescent="0.35">
      <c r="A8250" t="s">
        <v>2857</v>
      </c>
      <c r="B8250" t="s">
        <v>2865</v>
      </c>
      <c r="C8250" t="s">
        <v>1532</v>
      </c>
      <c r="D8250" t="s">
        <v>2910</v>
      </c>
      <c r="E8250">
        <v>0</v>
      </c>
      <c r="F8250" s="11">
        <v>0</v>
      </c>
    </row>
    <row r="8251" spans="1:6" x14ac:dyDescent="0.35">
      <c r="A8251" t="s">
        <v>2857</v>
      </c>
      <c r="B8251" t="s">
        <v>2865</v>
      </c>
      <c r="C8251" t="s">
        <v>1532</v>
      </c>
      <c r="D8251" t="s">
        <v>2911</v>
      </c>
      <c r="E8251">
        <v>257705</v>
      </c>
      <c r="F8251" s="11">
        <v>1</v>
      </c>
    </row>
    <row r="8252" spans="1:6" x14ac:dyDescent="0.35">
      <c r="A8252" t="s">
        <v>2857</v>
      </c>
      <c r="B8252" t="s">
        <v>2865</v>
      </c>
      <c r="C8252" t="s">
        <v>1532</v>
      </c>
      <c r="D8252" t="s">
        <v>2912</v>
      </c>
      <c r="E8252">
        <v>39444</v>
      </c>
      <c r="F8252" s="11">
        <v>0</v>
      </c>
    </row>
    <row r="8253" spans="1:6" x14ac:dyDescent="0.35">
      <c r="A8253" t="s">
        <v>2857</v>
      </c>
      <c r="B8253" t="s">
        <v>2865</v>
      </c>
      <c r="C8253" t="s">
        <v>1532</v>
      </c>
      <c r="D8253" t="s">
        <v>2913</v>
      </c>
      <c r="E8253">
        <v>0</v>
      </c>
      <c r="F8253" s="11">
        <v>0</v>
      </c>
    </row>
    <row r="8254" spans="1:6" x14ac:dyDescent="0.35">
      <c r="A8254" t="s">
        <v>2857</v>
      </c>
      <c r="B8254" t="s">
        <v>2865</v>
      </c>
      <c r="C8254" t="s">
        <v>1532</v>
      </c>
      <c r="D8254" t="s">
        <v>2914</v>
      </c>
      <c r="E8254">
        <v>0</v>
      </c>
      <c r="F8254" s="11">
        <v>0</v>
      </c>
    </row>
    <row r="8255" spans="1:6" x14ac:dyDescent="0.35">
      <c r="A8255" t="s">
        <v>2857</v>
      </c>
      <c r="B8255" t="s">
        <v>2865</v>
      </c>
      <c r="C8255" t="s">
        <v>1532</v>
      </c>
      <c r="D8255" t="s">
        <v>2915</v>
      </c>
      <c r="E8255">
        <v>14745</v>
      </c>
      <c r="F8255" s="11">
        <v>1</v>
      </c>
    </row>
    <row r="8256" spans="1:6" x14ac:dyDescent="0.35">
      <c r="A8256" t="s">
        <v>2857</v>
      </c>
      <c r="B8256" t="s">
        <v>2865</v>
      </c>
      <c r="C8256" t="s">
        <v>1532</v>
      </c>
      <c r="D8256" t="s">
        <v>2916</v>
      </c>
      <c r="E8256">
        <v>45508</v>
      </c>
      <c r="F8256" s="11">
        <v>1</v>
      </c>
    </row>
    <row r="8257" spans="1:6" x14ac:dyDescent="0.35">
      <c r="A8257" t="s">
        <v>2857</v>
      </c>
      <c r="B8257" t="s">
        <v>2865</v>
      </c>
      <c r="C8257" t="s">
        <v>1532</v>
      </c>
      <c r="D8257" t="s">
        <v>2917</v>
      </c>
      <c r="E8257">
        <v>81932</v>
      </c>
      <c r="F8257" s="11">
        <v>1</v>
      </c>
    </row>
    <row r="8258" spans="1:6" x14ac:dyDescent="0.35">
      <c r="A8258" t="s">
        <v>2857</v>
      </c>
      <c r="B8258" t="s">
        <v>2862</v>
      </c>
      <c r="C8258" t="s">
        <v>1476</v>
      </c>
      <c r="D8258" t="s">
        <v>2875</v>
      </c>
      <c r="E8258">
        <v>13684</v>
      </c>
      <c r="F8258" s="11">
        <v>0</v>
      </c>
    </row>
    <row r="8259" spans="1:6" x14ac:dyDescent="0.35">
      <c r="A8259" t="s">
        <v>2857</v>
      </c>
      <c r="B8259" t="s">
        <v>2862</v>
      </c>
      <c r="C8259" t="s">
        <v>1476</v>
      </c>
      <c r="D8259" t="s">
        <v>2876</v>
      </c>
      <c r="E8259">
        <v>4781</v>
      </c>
      <c r="F8259" s="11">
        <v>0</v>
      </c>
    </row>
    <row r="8260" spans="1:6" x14ac:dyDescent="0.35">
      <c r="A8260" t="s">
        <v>2857</v>
      </c>
      <c r="B8260" t="s">
        <v>2862</v>
      </c>
      <c r="C8260" t="s">
        <v>1476</v>
      </c>
      <c r="D8260" t="s">
        <v>2877</v>
      </c>
      <c r="E8260">
        <v>970</v>
      </c>
      <c r="F8260" s="11">
        <v>0</v>
      </c>
    </row>
    <row r="8261" spans="1:6" x14ac:dyDescent="0.35">
      <c r="A8261" t="s">
        <v>2857</v>
      </c>
      <c r="B8261" t="s">
        <v>2862</v>
      </c>
      <c r="C8261" t="s">
        <v>1476</v>
      </c>
      <c r="D8261" t="s">
        <v>2878</v>
      </c>
      <c r="E8261">
        <v>7933</v>
      </c>
      <c r="F8261" s="11">
        <v>0</v>
      </c>
    </row>
    <row r="8262" spans="1:6" x14ac:dyDescent="0.35">
      <c r="A8262" t="s">
        <v>2857</v>
      </c>
      <c r="B8262" t="s">
        <v>2862</v>
      </c>
      <c r="C8262" t="s">
        <v>1476</v>
      </c>
      <c r="D8262" t="s">
        <v>2879</v>
      </c>
      <c r="E8262">
        <v>1151</v>
      </c>
      <c r="F8262" s="11">
        <v>0</v>
      </c>
    </row>
    <row r="8263" spans="1:6" x14ac:dyDescent="0.35">
      <c r="A8263" t="s">
        <v>2857</v>
      </c>
      <c r="B8263" t="s">
        <v>2862</v>
      </c>
      <c r="C8263" t="s">
        <v>1476</v>
      </c>
      <c r="D8263" t="s">
        <v>2880</v>
      </c>
      <c r="E8263">
        <v>0</v>
      </c>
      <c r="F8263" s="11">
        <v>0</v>
      </c>
    </row>
    <row r="8264" spans="1:6" x14ac:dyDescent="0.35">
      <c r="A8264" t="s">
        <v>2857</v>
      </c>
      <c r="B8264" t="s">
        <v>2862</v>
      </c>
      <c r="C8264" t="s">
        <v>1476</v>
      </c>
      <c r="D8264" t="s">
        <v>2881</v>
      </c>
      <c r="E8264">
        <v>0</v>
      </c>
      <c r="F8264" s="11">
        <v>0</v>
      </c>
    </row>
    <row r="8265" spans="1:6" x14ac:dyDescent="0.35">
      <c r="A8265" t="s">
        <v>2857</v>
      </c>
      <c r="B8265" t="s">
        <v>2862</v>
      </c>
      <c r="C8265" t="s">
        <v>1476</v>
      </c>
      <c r="D8265" t="s">
        <v>2882</v>
      </c>
      <c r="E8265">
        <v>0</v>
      </c>
      <c r="F8265" s="11">
        <v>0</v>
      </c>
    </row>
    <row r="8266" spans="1:6" x14ac:dyDescent="0.35">
      <c r="A8266" t="s">
        <v>2857</v>
      </c>
      <c r="B8266" t="s">
        <v>2862</v>
      </c>
      <c r="C8266" t="s">
        <v>1476</v>
      </c>
      <c r="D8266" t="s">
        <v>2883</v>
      </c>
      <c r="E8266">
        <v>0</v>
      </c>
      <c r="F8266" s="11">
        <v>0</v>
      </c>
    </row>
    <row r="8267" spans="1:6" x14ac:dyDescent="0.35">
      <c r="A8267" t="s">
        <v>2857</v>
      </c>
      <c r="B8267" t="s">
        <v>2862</v>
      </c>
      <c r="C8267" t="s">
        <v>1476</v>
      </c>
      <c r="D8267" t="s">
        <v>2884</v>
      </c>
      <c r="E8267">
        <v>0</v>
      </c>
      <c r="F8267" s="11">
        <v>0</v>
      </c>
    </row>
    <row r="8268" spans="1:6" x14ac:dyDescent="0.35">
      <c r="A8268" t="s">
        <v>2857</v>
      </c>
      <c r="B8268" t="s">
        <v>2862</v>
      </c>
      <c r="C8268" t="s">
        <v>1476</v>
      </c>
      <c r="D8268" t="s">
        <v>2885</v>
      </c>
      <c r="E8268">
        <v>0</v>
      </c>
      <c r="F8268" s="11">
        <v>0</v>
      </c>
    </row>
    <row r="8269" spans="1:6" x14ac:dyDescent="0.35">
      <c r="A8269" t="s">
        <v>2857</v>
      </c>
      <c r="B8269" t="s">
        <v>2862</v>
      </c>
      <c r="C8269" t="s">
        <v>1476</v>
      </c>
      <c r="D8269" t="s">
        <v>2886</v>
      </c>
      <c r="E8269">
        <v>0</v>
      </c>
      <c r="F8269" s="11">
        <v>0</v>
      </c>
    </row>
    <row r="8270" spans="1:6" x14ac:dyDescent="0.35">
      <c r="A8270" t="s">
        <v>2857</v>
      </c>
      <c r="B8270" t="s">
        <v>2862</v>
      </c>
      <c r="C8270" t="s">
        <v>1476</v>
      </c>
      <c r="D8270" t="s">
        <v>2887</v>
      </c>
      <c r="E8270">
        <v>21359</v>
      </c>
      <c r="F8270" s="11">
        <v>0</v>
      </c>
    </row>
    <row r="8271" spans="1:6" x14ac:dyDescent="0.35">
      <c r="A8271" t="s">
        <v>2857</v>
      </c>
      <c r="B8271" t="s">
        <v>2862</v>
      </c>
      <c r="C8271" t="s">
        <v>1476</v>
      </c>
      <c r="D8271" t="s">
        <v>2888</v>
      </c>
      <c r="E8271">
        <v>12118</v>
      </c>
      <c r="F8271" s="11">
        <v>0</v>
      </c>
    </row>
    <row r="8272" spans="1:6" x14ac:dyDescent="0.35">
      <c r="A8272" t="s">
        <v>2857</v>
      </c>
      <c r="B8272" t="s">
        <v>2862</v>
      </c>
      <c r="C8272" t="s">
        <v>1476</v>
      </c>
      <c r="D8272" t="s">
        <v>2889</v>
      </c>
      <c r="E8272">
        <v>542</v>
      </c>
      <c r="F8272" s="11">
        <v>0</v>
      </c>
    </row>
    <row r="8273" spans="1:6" x14ac:dyDescent="0.35">
      <c r="A8273" t="s">
        <v>2857</v>
      </c>
      <c r="B8273" t="s">
        <v>2862</v>
      </c>
      <c r="C8273" t="s">
        <v>1476</v>
      </c>
      <c r="D8273" t="s">
        <v>2890</v>
      </c>
      <c r="E8273">
        <v>8699</v>
      </c>
      <c r="F8273" s="11">
        <v>0</v>
      </c>
    </row>
    <row r="8274" spans="1:6" x14ac:dyDescent="0.35">
      <c r="A8274" t="s">
        <v>2857</v>
      </c>
      <c r="B8274" t="s">
        <v>2862</v>
      </c>
      <c r="C8274" t="s">
        <v>1476</v>
      </c>
      <c r="D8274" t="s">
        <v>2891</v>
      </c>
      <c r="E8274">
        <v>0</v>
      </c>
      <c r="F8274" s="11">
        <v>0</v>
      </c>
    </row>
    <row r="8275" spans="1:6" x14ac:dyDescent="0.35">
      <c r="A8275" t="s">
        <v>2857</v>
      </c>
      <c r="B8275" t="s">
        <v>2862</v>
      </c>
      <c r="C8275" t="s">
        <v>1476</v>
      </c>
      <c r="D8275" t="s">
        <v>2892</v>
      </c>
      <c r="E8275">
        <v>0</v>
      </c>
      <c r="F8275" s="11">
        <v>0</v>
      </c>
    </row>
    <row r="8276" spans="1:6" x14ac:dyDescent="0.35">
      <c r="A8276" t="s">
        <v>2857</v>
      </c>
      <c r="B8276" t="s">
        <v>2862</v>
      </c>
      <c r="C8276" t="s">
        <v>1476</v>
      </c>
      <c r="D8276" t="s">
        <v>2893</v>
      </c>
      <c r="E8276">
        <v>0</v>
      </c>
      <c r="F8276" s="11">
        <v>0</v>
      </c>
    </row>
    <row r="8277" spans="1:6" x14ac:dyDescent="0.35">
      <c r="A8277" t="s">
        <v>2857</v>
      </c>
      <c r="B8277" t="s">
        <v>2862</v>
      </c>
      <c r="C8277" t="s">
        <v>1476</v>
      </c>
      <c r="D8277" t="s">
        <v>2894</v>
      </c>
      <c r="E8277">
        <v>0</v>
      </c>
      <c r="F8277" s="11">
        <v>0</v>
      </c>
    </row>
    <row r="8278" spans="1:6" x14ac:dyDescent="0.35">
      <c r="A8278" t="s">
        <v>2857</v>
      </c>
      <c r="B8278" t="s">
        <v>2862</v>
      </c>
      <c r="C8278" t="s">
        <v>1476</v>
      </c>
      <c r="D8278" t="s">
        <v>2895</v>
      </c>
      <c r="E8278">
        <v>409435</v>
      </c>
      <c r="F8278" s="11">
        <v>0</v>
      </c>
    </row>
    <row r="8279" spans="1:6" x14ac:dyDescent="0.35">
      <c r="A8279" t="s">
        <v>2857</v>
      </c>
      <c r="B8279" t="s">
        <v>2862</v>
      </c>
      <c r="C8279" t="s">
        <v>1476</v>
      </c>
      <c r="D8279" t="s">
        <v>2896</v>
      </c>
      <c r="E8279">
        <v>168288</v>
      </c>
      <c r="F8279" s="11">
        <v>0</v>
      </c>
    </row>
    <row r="8280" spans="1:6" x14ac:dyDescent="0.35">
      <c r="A8280" t="s">
        <v>2857</v>
      </c>
      <c r="B8280" t="s">
        <v>2862</v>
      </c>
      <c r="C8280" t="s">
        <v>1476</v>
      </c>
      <c r="D8280" t="s">
        <v>2897</v>
      </c>
      <c r="E8280">
        <v>5884</v>
      </c>
      <c r="F8280" s="11">
        <v>0</v>
      </c>
    </row>
    <row r="8281" spans="1:6" x14ac:dyDescent="0.35">
      <c r="A8281" t="s">
        <v>2857</v>
      </c>
      <c r="B8281" t="s">
        <v>2862</v>
      </c>
      <c r="C8281" t="s">
        <v>1476</v>
      </c>
      <c r="D8281" t="s">
        <v>2898</v>
      </c>
      <c r="E8281">
        <v>231247</v>
      </c>
      <c r="F8281" s="11">
        <v>0</v>
      </c>
    </row>
    <row r="8282" spans="1:6" x14ac:dyDescent="0.35">
      <c r="A8282" t="s">
        <v>2857</v>
      </c>
      <c r="B8282" t="s">
        <v>2862</v>
      </c>
      <c r="C8282" t="s">
        <v>1476</v>
      </c>
      <c r="D8282" t="s">
        <v>2899</v>
      </c>
      <c r="E8282">
        <v>28784</v>
      </c>
      <c r="F8282" s="11">
        <v>0</v>
      </c>
    </row>
    <row r="8283" spans="1:6" x14ac:dyDescent="0.35">
      <c r="A8283" t="s">
        <v>2857</v>
      </c>
      <c r="B8283" t="s">
        <v>2862</v>
      </c>
      <c r="C8283" t="s">
        <v>1476</v>
      </c>
      <c r="D8283" t="s">
        <v>2900</v>
      </c>
      <c r="E8283">
        <v>554</v>
      </c>
      <c r="F8283" s="11">
        <v>0</v>
      </c>
    </row>
    <row r="8284" spans="1:6" x14ac:dyDescent="0.35">
      <c r="A8284" t="s">
        <v>2857</v>
      </c>
      <c r="B8284" t="s">
        <v>2862</v>
      </c>
      <c r="C8284" t="s">
        <v>1476</v>
      </c>
      <c r="D8284" t="s">
        <v>2901</v>
      </c>
      <c r="E8284">
        <v>6</v>
      </c>
      <c r="F8284" s="11">
        <v>0</v>
      </c>
    </row>
    <row r="8285" spans="1:6" x14ac:dyDescent="0.35">
      <c r="A8285" t="s">
        <v>2857</v>
      </c>
      <c r="B8285" t="s">
        <v>2862</v>
      </c>
      <c r="C8285" t="s">
        <v>1476</v>
      </c>
      <c r="D8285" t="s">
        <v>2902</v>
      </c>
      <c r="E8285">
        <v>28220</v>
      </c>
      <c r="F8285" s="11">
        <v>0</v>
      </c>
    </row>
    <row r="8286" spans="1:6" x14ac:dyDescent="0.35">
      <c r="A8286" t="s">
        <v>2857</v>
      </c>
      <c r="B8286" t="s">
        <v>2862</v>
      </c>
      <c r="C8286" t="s">
        <v>1476</v>
      </c>
      <c r="D8286" t="s">
        <v>2903</v>
      </c>
      <c r="E8286">
        <v>10702</v>
      </c>
      <c r="F8286" s="11">
        <v>0</v>
      </c>
    </row>
    <row r="8287" spans="1:6" x14ac:dyDescent="0.35">
      <c r="A8287" t="s">
        <v>2857</v>
      </c>
      <c r="B8287" t="s">
        <v>2862</v>
      </c>
      <c r="C8287" t="s">
        <v>1476</v>
      </c>
      <c r="D8287" t="s">
        <v>2904</v>
      </c>
      <c r="E8287">
        <v>968</v>
      </c>
      <c r="F8287" s="11">
        <v>0</v>
      </c>
    </row>
    <row r="8288" spans="1:6" x14ac:dyDescent="0.35">
      <c r="A8288" t="s">
        <v>2857</v>
      </c>
      <c r="B8288" t="s">
        <v>2862</v>
      </c>
      <c r="C8288" t="s">
        <v>1476</v>
      </c>
      <c r="D8288" t="s">
        <v>2905</v>
      </c>
      <c r="E8288">
        <v>358</v>
      </c>
      <c r="F8288" s="11">
        <v>0</v>
      </c>
    </row>
    <row r="8289" spans="1:6" x14ac:dyDescent="0.35">
      <c r="A8289" t="s">
        <v>2857</v>
      </c>
      <c r="B8289" t="s">
        <v>2862</v>
      </c>
      <c r="C8289" t="s">
        <v>1476</v>
      </c>
      <c r="D8289" t="s">
        <v>2906</v>
      </c>
      <c r="E8289">
        <v>9376</v>
      </c>
      <c r="F8289" s="11">
        <v>0</v>
      </c>
    </row>
    <row r="8290" spans="1:6" x14ac:dyDescent="0.35">
      <c r="A8290" t="s">
        <v>2857</v>
      </c>
      <c r="B8290" t="s">
        <v>2862</v>
      </c>
      <c r="C8290" t="s">
        <v>1476</v>
      </c>
      <c r="D8290" t="s">
        <v>2907</v>
      </c>
      <c r="E8290">
        <v>29708</v>
      </c>
      <c r="F8290" s="11">
        <v>0</v>
      </c>
    </row>
    <row r="8291" spans="1:6" x14ac:dyDescent="0.35">
      <c r="A8291" t="s">
        <v>2857</v>
      </c>
      <c r="B8291" t="s">
        <v>2862</v>
      </c>
      <c r="C8291" t="s">
        <v>1476</v>
      </c>
      <c r="D8291" t="s">
        <v>2908</v>
      </c>
      <c r="E8291">
        <v>4072</v>
      </c>
      <c r="F8291" s="11">
        <v>0</v>
      </c>
    </row>
    <row r="8292" spans="1:6" x14ac:dyDescent="0.35">
      <c r="A8292" t="s">
        <v>2857</v>
      </c>
      <c r="B8292" t="s">
        <v>2862</v>
      </c>
      <c r="C8292" t="s">
        <v>1476</v>
      </c>
      <c r="D8292" t="s">
        <v>2909</v>
      </c>
      <c r="E8292">
        <v>990</v>
      </c>
      <c r="F8292" s="11">
        <v>0</v>
      </c>
    </row>
    <row r="8293" spans="1:6" x14ac:dyDescent="0.35">
      <c r="A8293" t="s">
        <v>2857</v>
      </c>
      <c r="B8293" t="s">
        <v>2862</v>
      </c>
      <c r="C8293" t="s">
        <v>1476</v>
      </c>
      <c r="D8293" t="s">
        <v>2910</v>
      </c>
      <c r="E8293">
        <v>25186</v>
      </c>
      <c r="F8293" s="11">
        <v>0</v>
      </c>
    </row>
    <row r="8294" spans="1:6" x14ac:dyDescent="0.35">
      <c r="A8294" t="s">
        <v>2857</v>
      </c>
      <c r="B8294" t="s">
        <v>2862</v>
      </c>
      <c r="C8294" t="s">
        <v>1476</v>
      </c>
      <c r="D8294" t="s">
        <v>2911</v>
      </c>
      <c r="E8294">
        <v>459657</v>
      </c>
      <c r="F8294" s="11">
        <v>0</v>
      </c>
    </row>
    <row r="8295" spans="1:6" x14ac:dyDescent="0.35">
      <c r="A8295" t="s">
        <v>2857</v>
      </c>
      <c r="B8295" t="s">
        <v>2862</v>
      </c>
      <c r="C8295" t="s">
        <v>1476</v>
      </c>
      <c r="D8295" t="s">
        <v>2912</v>
      </c>
      <c r="E8295">
        <v>0</v>
      </c>
      <c r="F8295" s="11">
        <v>0</v>
      </c>
    </row>
    <row r="8296" spans="1:6" x14ac:dyDescent="0.35">
      <c r="A8296" t="s">
        <v>2857</v>
      </c>
      <c r="B8296" t="s">
        <v>2862</v>
      </c>
      <c r="C8296" t="s">
        <v>1476</v>
      </c>
      <c r="D8296" t="s">
        <v>2913</v>
      </c>
      <c r="E8296">
        <v>0</v>
      </c>
      <c r="F8296" s="11">
        <v>0</v>
      </c>
    </row>
    <row r="8297" spans="1:6" x14ac:dyDescent="0.35">
      <c r="A8297" t="s">
        <v>2857</v>
      </c>
      <c r="B8297" t="s">
        <v>2862</v>
      </c>
      <c r="C8297" t="s">
        <v>1476</v>
      </c>
      <c r="D8297" t="s">
        <v>2914</v>
      </c>
      <c r="E8297">
        <v>0</v>
      </c>
      <c r="F8297" s="11">
        <v>0</v>
      </c>
    </row>
    <row r="8298" spans="1:6" x14ac:dyDescent="0.35">
      <c r="A8298" t="s">
        <v>2857</v>
      </c>
      <c r="B8298" t="s">
        <v>2862</v>
      </c>
      <c r="C8298" t="s">
        <v>1476</v>
      </c>
      <c r="D8298" t="s">
        <v>2915</v>
      </c>
      <c r="E8298">
        <v>49737</v>
      </c>
      <c r="F8298" s="11">
        <v>0</v>
      </c>
    </row>
    <row r="8299" spans="1:6" x14ac:dyDescent="0.35">
      <c r="A8299" t="s">
        <v>2857</v>
      </c>
      <c r="B8299" t="s">
        <v>2862</v>
      </c>
      <c r="C8299" t="s">
        <v>1476</v>
      </c>
      <c r="D8299" t="s">
        <v>2916</v>
      </c>
      <c r="E8299">
        <v>35101</v>
      </c>
      <c r="F8299" s="11">
        <v>0</v>
      </c>
    </row>
    <row r="8300" spans="1:6" x14ac:dyDescent="0.35">
      <c r="A8300" t="s">
        <v>2857</v>
      </c>
      <c r="B8300" t="s">
        <v>2862</v>
      </c>
      <c r="C8300" t="s">
        <v>1476</v>
      </c>
      <c r="D8300" t="s">
        <v>2917</v>
      </c>
      <c r="E8300">
        <v>64163</v>
      </c>
      <c r="F8300" s="11">
        <v>0</v>
      </c>
    </row>
    <row r="8301" spans="1:6" x14ac:dyDescent="0.35">
      <c r="A8301" t="s">
        <v>2857</v>
      </c>
      <c r="B8301" t="s">
        <v>2866</v>
      </c>
      <c r="C8301" t="s">
        <v>1408</v>
      </c>
      <c r="D8301" t="s">
        <v>2875</v>
      </c>
      <c r="E8301">
        <v>31088</v>
      </c>
      <c r="F8301" s="11">
        <v>1</v>
      </c>
    </row>
    <row r="8302" spans="1:6" x14ac:dyDescent="0.35">
      <c r="A8302" t="s">
        <v>2857</v>
      </c>
      <c r="B8302" t="s">
        <v>2866</v>
      </c>
      <c r="C8302" t="s">
        <v>1408</v>
      </c>
      <c r="D8302" t="s">
        <v>2876</v>
      </c>
      <c r="E8302">
        <v>0</v>
      </c>
      <c r="F8302" s="11">
        <v>0</v>
      </c>
    </row>
    <row r="8303" spans="1:6" x14ac:dyDescent="0.35">
      <c r="A8303" t="s">
        <v>2857</v>
      </c>
      <c r="B8303" t="s">
        <v>2866</v>
      </c>
      <c r="C8303" t="s">
        <v>1408</v>
      </c>
      <c r="D8303" t="s">
        <v>2877</v>
      </c>
      <c r="E8303">
        <v>0</v>
      </c>
      <c r="F8303" s="11">
        <v>0</v>
      </c>
    </row>
    <row r="8304" spans="1:6" x14ac:dyDescent="0.35">
      <c r="A8304" t="s">
        <v>2857</v>
      </c>
      <c r="B8304" t="s">
        <v>2866</v>
      </c>
      <c r="C8304" t="s">
        <v>1408</v>
      </c>
      <c r="D8304" t="s">
        <v>2878</v>
      </c>
      <c r="E8304">
        <v>0</v>
      </c>
      <c r="F8304" s="11">
        <v>0</v>
      </c>
    </row>
    <row r="8305" spans="1:6" x14ac:dyDescent="0.35">
      <c r="A8305" t="s">
        <v>2857</v>
      </c>
      <c r="B8305" t="s">
        <v>2866</v>
      </c>
      <c r="C8305" t="s">
        <v>1408</v>
      </c>
      <c r="D8305" t="s">
        <v>2879</v>
      </c>
      <c r="E8305">
        <v>12472</v>
      </c>
      <c r="F8305" s="11">
        <v>1</v>
      </c>
    </row>
    <row r="8306" spans="1:6" x14ac:dyDescent="0.35">
      <c r="A8306" t="s">
        <v>2857</v>
      </c>
      <c r="B8306" t="s">
        <v>2866</v>
      </c>
      <c r="C8306" t="s">
        <v>1408</v>
      </c>
      <c r="D8306" t="s">
        <v>2880</v>
      </c>
      <c r="E8306">
        <v>0</v>
      </c>
      <c r="F8306" s="11">
        <v>0</v>
      </c>
    </row>
    <row r="8307" spans="1:6" x14ac:dyDescent="0.35">
      <c r="A8307" t="s">
        <v>2857</v>
      </c>
      <c r="B8307" t="s">
        <v>2866</v>
      </c>
      <c r="C8307" t="s">
        <v>1408</v>
      </c>
      <c r="D8307" t="s">
        <v>2881</v>
      </c>
      <c r="E8307">
        <v>0</v>
      </c>
      <c r="F8307" s="11">
        <v>0</v>
      </c>
    </row>
    <row r="8308" spans="1:6" x14ac:dyDescent="0.35">
      <c r="A8308" t="s">
        <v>2857</v>
      </c>
      <c r="B8308" t="s">
        <v>2866</v>
      </c>
      <c r="C8308" t="s">
        <v>1408</v>
      </c>
      <c r="D8308" t="s">
        <v>2882</v>
      </c>
      <c r="E8308">
        <v>0</v>
      </c>
      <c r="F8308" s="11">
        <v>0</v>
      </c>
    </row>
    <row r="8309" spans="1:6" x14ac:dyDescent="0.35">
      <c r="A8309" t="s">
        <v>2857</v>
      </c>
      <c r="B8309" t="s">
        <v>2866</v>
      </c>
      <c r="C8309" t="s">
        <v>1408</v>
      </c>
      <c r="D8309" t="s">
        <v>2883</v>
      </c>
      <c r="E8309">
        <v>0</v>
      </c>
      <c r="F8309" s="11">
        <v>0</v>
      </c>
    </row>
    <row r="8310" spans="1:6" x14ac:dyDescent="0.35">
      <c r="A8310" t="s">
        <v>2857</v>
      </c>
      <c r="B8310" t="s">
        <v>2866</v>
      </c>
      <c r="C8310" t="s">
        <v>1408</v>
      </c>
      <c r="D8310" t="s">
        <v>2884</v>
      </c>
      <c r="E8310">
        <v>0</v>
      </c>
      <c r="F8310" s="11">
        <v>0</v>
      </c>
    </row>
    <row r="8311" spans="1:6" x14ac:dyDescent="0.35">
      <c r="A8311" t="s">
        <v>2857</v>
      </c>
      <c r="B8311" t="s">
        <v>2866</v>
      </c>
      <c r="C8311" t="s">
        <v>1408</v>
      </c>
      <c r="D8311" t="s">
        <v>2885</v>
      </c>
      <c r="E8311">
        <v>0</v>
      </c>
      <c r="F8311" s="11">
        <v>0</v>
      </c>
    </row>
    <row r="8312" spans="1:6" x14ac:dyDescent="0.35">
      <c r="A8312" t="s">
        <v>2857</v>
      </c>
      <c r="B8312" t="s">
        <v>2866</v>
      </c>
      <c r="C8312" t="s">
        <v>1408</v>
      </c>
      <c r="D8312" t="s">
        <v>2886</v>
      </c>
      <c r="E8312">
        <v>0</v>
      </c>
      <c r="F8312" s="11">
        <v>0</v>
      </c>
    </row>
    <row r="8313" spans="1:6" x14ac:dyDescent="0.35">
      <c r="A8313" t="s">
        <v>2857</v>
      </c>
      <c r="B8313" t="s">
        <v>2866</v>
      </c>
      <c r="C8313" t="s">
        <v>1408</v>
      </c>
      <c r="D8313" t="s">
        <v>2887</v>
      </c>
      <c r="E8313">
        <v>93879</v>
      </c>
      <c r="F8313" s="11">
        <v>1</v>
      </c>
    </row>
    <row r="8314" spans="1:6" x14ac:dyDescent="0.35">
      <c r="A8314" t="s">
        <v>2857</v>
      </c>
      <c r="B8314" t="s">
        <v>2866</v>
      </c>
      <c r="C8314" t="s">
        <v>1408</v>
      </c>
      <c r="D8314" t="s">
        <v>2888</v>
      </c>
      <c r="E8314">
        <v>0</v>
      </c>
      <c r="F8314" s="11">
        <v>0</v>
      </c>
    </row>
    <row r="8315" spans="1:6" x14ac:dyDescent="0.35">
      <c r="A8315" t="s">
        <v>2857</v>
      </c>
      <c r="B8315" t="s">
        <v>2866</v>
      </c>
      <c r="C8315" t="s">
        <v>1408</v>
      </c>
      <c r="D8315" t="s">
        <v>2889</v>
      </c>
      <c r="E8315">
        <v>0</v>
      </c>
      <c r="F8315" s="11">
        <v>0</v>
      </c>
    </row>
    <row r="8316" spans="1:6" x14ac:dyDescent="0.35">
      <c r="A8316" t="s">
        <v>2857</v>
      </c>
      <c r="B8316" t="s">
        <v>2866</v>
      </c>
      <c r="C8316" t="s">
        <v>1408</v>
      </c>
      <c r="D8316" t="s">
        <v>2890</v>
      </c>
      <c r="E8316">
        <v>0</v>
      </c>
      <c r="F8316" s="11">
        <v>0</v>
      </c>
    </row>
    <row r="8317" spans="1:6" x14ac:dyDescent="0.35">
      <c r="A8317" t="s">
        <v>2857</v>
      </c>
      <c r="B8317" t="s">
        <v>2866</v>
      </c>
      <c r="C8317" t="s">
        <v>1408</v>
      </c>
      <c r="D8317" t="s">
        <v>2891</v>
      </c>
      <c r="E8317">
        <v>0</v>
      </c>
      <c r="F8317" s="11">
        <v>0</v>
      </c>
    </row>
    <row r="8318" spans="1:6" x14ac:dyDescent="0.35">
      <c r="A8318" t="s">
        <v>2857</v>
      </c>
      <c r="B8318" t="s">
        <v>2866</v>
      </c>
      <c r="C8318" t="s">
        <v>1408</v>
      </c>
      <c r="D8318" t="s">
        <v>2892</v>
      </c>
      <c r="E8318">
        <v>0</v>
      </c>
      <c r="F8318" s="11">
        <v>0</v>
      </c>
    </row>
    <row r="8319" spans="1:6" x14ac:dyDescent="0.35">
      <c r="A8319" t="s">
        <v>2857</v>
      </c>
      <c r="B8319" t="s">
        <v>2866</v>
      </c>
      <c r="C8319" t="s">
        <v>1408</v>
      </c>
      <c r="D8319" t="s">
        <v>2893</v>
      </c>
      <c r="E8319">
        <v>0</v>
      </c>
      <c r="F8319" s="11">
        <v>0</v>
      </c>
    </row>
    <row r="8320" spans="1:6" x14ac:dyDescent="0.35">
      <c r="A8320" t="s">
        <v>2857</v>
      </c>
      <c r="B8320" t="s">
        <v>2866</v>
      </c>
      <c r="C8320" t="s">
        <v>1408</v>
      </c>
      <c r="D8320" t="s">
        <v>2894</v>
      </c>
      <c r="E8320">
        <v>0</v>
      </c>
      <c r="F8320" s="11">
        <v>0</v>
      </c>
    </row>
    <row r="8321" spans="1:6" x14ac:dyDescent="0.35">
      <c r="A8321" t="s">
        <v>2857</v>
      </c>
      <c r="B8321" t="s">
        <v>2866</v>
      </c>
      <c r="C8321" t="s">
        <v>1408</v>
      </c>
      <c r="D8321" t="s">
        <v>2895</v>
      </c>
      <c r="E8321">
        <v>903388</v>
      </c>
      <c r="F8321" s="11">
        <v>1</v>
      </c>
    </row>
    <row r="8322" spans="1:6" x14ac:dyDescent="0.35">
      <c r="A8322" t="s">
        <v>2857</v>
      </c>
      <c r="B8322" t="s">
        <v>2866</v>
      </c>
      <c r="C8322" t="s">
        <v>1408</v>
      </c>
      <c r="D8322" t="s">
        <v>2896</v>
      </c>
      <c r="E8322">
        <v>0</v>
      </c>
      <c r="F8322" s="11">
        <v>0</v>
      </c>
    </row>
    <row r="8323" spans="1:6" x14ac:dyDescent="0.35">
      <c r="A8323" t="s">
        <v>2857</v>
      </c>
      <c r="B8323" t="s">
        <v>2866</v>
      </c>
      <c r="C8323" t="s">
        <v>1408</v>
      </c>
      <c r="D8323" t="s">
        <v>2897</v>
      </c>
      <c r="E8323">
        <v>0</v>
      </c>
      <c r="F8323" s="11">
        <v>0</v>
      </c>
    </row>
    <row r="8324" spans="1:6" x14ac:dyDescent="0.35">
      <c r="A8324" t="s">
        <v>2857</v>
      </c>
      <c r="B8324" t="s">
        <v>2866</v>
      </c>
      <c r="C8324" t="s">
        <v>1408</v>
      </c>
      <c r="D8324" t="s">
        <v>2898</v>
      </c>
      <c r="E8324">
        <v>0</v>
      </c>
      <c r="F8324" s="11">
        <v>0</v>
      </c>
    </row>
    <row r="8325" spans="1:6" x14ac:dyDescent="0.35">
      <c r="A8325" t="s">
        <v>2857</v>
      </c>
      <c r="B8325" t="s">
        <v>2866</v>
      </c>
      <c r="C8325" t="s">
        <v>1408</v>
      </c>
      <c r="D8325" t="s">
        <v>2899</v>
      </c>
      <c r="E8325">
        <v>6159</v>
      </c>
      <c r="F8325" s="11">
        <v>1</v>
      </c>
    </row>
    <row r="8326" spans="1:6" x14ac:dyDescent="0.35">
      <c r="A8326" t="s">
        <v>2857</v>
      </c>
      <c r="B8326" t="s">
        <v>2866</v>
      </c>
      <c r="C8326" t="s">
        <v>1408</v>
      </c>
      <c r="D8326" t="s">
        <v>2900</v>
      </c>
      <c r="E8326">
        <v>0</v>
      </c>
      <c r="F8326" s="11">
        <v>0</v>
      </c>
    </row>
    <row r="8327" spans="1:6" x14ac:dyDescent="0.35">
      <c r="A8327" t="s">
        <v>2857</v>
      </c>
      <c r="B8327" t="s">
        <v>2866</v>
      </c>
      <c r="C8327" t="s">
        <v>1408</v>
      </c>
      <c r="D8327" t="s">
        <v>2901</v>
      </c>
      <c r="E8327">
        <v>0</v>
      </c>
      <c r="F8327" s="11">
        <v>0</v>
      </c>
    </row>
    <row r="8328" spans="1:6" x14ac:dyDescent="0.35">
      <c r="A8328" t="s">
        <v>2857</v>
      </c>
      <c r="B8328" t="s">
        <v>2866</v>
      </c>
      <c r="C8328" t="s">
        <v>1408</v>
      </c>
      <c r="D8328" t="s">
        <v>2902</v>
      </c>
      <c r="E8328">
        <v>0</v>
      </c>
      <c r="F8328" s="11">
        <v>0</v>
      </c>
    </row>
    <row r="8329" spans="1:6" x14ac:dyDescent="0.35">
      <c r="A8329" t="s">
        <v>2857</v>
      </c>
      <c r="B8329" t="s">
        <v>2866</v>
      </c>
      <c r="C8329" t="s">
        <v>1408</v>
      </c>
      <c r="D8329" t="s">
        <v>2903</v>
      </c>
      <c r="E8329">
        <v>66340</v>
      </c>
      <c r="F8329" s="11">
        <v>1</v>
      </c>
    </row>
    <row r="8330" spans="1:6" x14ac:dyDescent="0.35">
      <c r="A8330" t="s">
        <v>2857</v>
      </c>
      <c r="B8330" t="s">
        <v>2866</v>
      </c>
      <c r="C8330" t="s">
        <v>1408</v>
      </c>
      <c r="D8330" t="s">
        <v>2904</v>
      </c>
      <c r="E8330">
        <v>0</v>
      </c>
      <c r="F8330" s="11">
        <v>0</v>
      </c>
    </row>
    <row r="8331" spans="1:6" x14ac:dyDescent="0.35">
      <c r="A8331" t="s">
        <v>2857</v>
      </c>
      <c r="B8331" t="s">
        <v>2866</v>
      </c>
      <c r="C8331" t="s">
        <v>1408</v>
      </c>
      <c r="D8331" t="s">
        <v>2905</v>
      </c>
      <c r="E8331">
        <v>0</v>
      </c>
      <c r="F8331" s="11">
        <v>0</v>
      </c>
    </row>
    <row r="8332" spans="1:6" x14ac:dyDescent="0.35">
      <c r="A8332" t="s">
        <v>2857</v>
      </c>
      <c r="B8332" t="s">
        <v>2866</v>
      </c>
      <c r="C8332" t="s">
        <v>1408</v>
      </c>
      <c r="D8332" t="s">
        <v>2906</v>
      </c>
      <c r="E8332">
        <v>0</v>
      </c>
      <c r="F8332" s="11">
        <v>0</v>
      </c>
    </row>
    <row r="8333" spans="1:6" x14ac:dyDescent="0.35">
      <c r="A8333" t="s">
        <v>2857</v>
      </c>
      <c r="B8333" t="s">
        <v>2866</v>
      </c>
      <c r="C8333" t="s">
        <v>1408</v>
      </c>
      <c r="D8333" t="s">
        <v>2907</v>
      </c>
      <c r="E8333">
        <v>134050</v>
      </c>
      <c r="F8333" s="11">
        <v>1</v>
      </c>
    </row>
    <row r="8334" spans="1:6" x14ac:dyDescent="0.35">
      <c r="A8334" t="s">
        <v>2857</v>
      </c>
      <c r="B8334" t="s">
        <v>2866</v>
      </c>
      <c r="C8334" t="s">
        <v>1408</v>
      </c>
      <c r="D8334" t="s">
        <v>2908</v>
      </c>
      <c r="E8334">
        <v>0</v>
      </c>
      <c r="F8334" s="11">
        <v>0</v>
      </c>
    </row>
    <row r="8335" spans="1:6" x14ac:dyDescent="0.35">
      <c r="A8335" t="s">
        <v>2857</v>
      </c>
      <c r="B8335" t="s">
        <v>2866</v>
      </c>
      <c r="C8335" t="s">
        <v>1408</v>
      </c>
      <c r="D8335" t="s">
        <v>2909</v>
      </c>
      <c r="E8335">
        <v>0</v>
      </c>
      <c r="F8335" s="11">
        <v>0</v>
      </c>
    </row>
    <row r="8336" spans="1:6" x14ac:dyDescent="0.35">
      <c r="A8336" t="s">
        <v>2857</v>
      </c>
      <c r="B8336" t="s">
        <v>2866</v>
      </c>
      <c r="C8336" t="s">
        <v>1408</v>
      </c>
      <c r="D8336" t="s">
        <v>2910</v>
      </c>
      <c r="E8336">
        <v>0</v>
      </c>
      <c r="F8336" s="11">
        <v>0</v>
      </c>
    </row>
    <row r="8337" spans="1:6" x14ac:dyDescent="0.35">
      <c r="A8337" t="s">
        <v>2857</v>
      </c>
      <c r="B8337" t="s">
        <v>2866</v>
      </c>
      <c r="C8337" t="s">
        <v>1408</v>
      </c>
      <c r="D8337" t="s">
        <v>2911</v>
      </c>
      <c r="E8337">
        <v>1290179</v>
      </c>
      <c r="F8337" s="11">
        <v>1</v>
      </c>
    </row>
    <row r="8338" spans="1:6" x14ac:dyDescent="0.35">
      <c r="A8338" t="s">
        <v>2857</v>
      </c>
      <c r="B8338" t="s">
        <v>2866</v>
      </c>
      <c r="C8338" t="s">
        <v>1408</v>
      </c>
      <c r="D8338" t="s">
        <v>2912</v>
      </c>
      <c r="E8338">
        <v>327383</v>
      </c>
      <c r="F8338" s="11">
        <v>1</v>
      </c>
    </row>
    <row r="8339" spans="1:6" x14ac:dyDescent="0.35">
      <c r="A8339" t="s">
        <v>2857</v>
      </c>
      <c r="B8339" t="s">
        <v>2866</v>
      </c>
      <c r="C8339" t="s">
        <v>1408</v>
      </c>
      <c r="D8339" t="s">
        <v>2913</v>
      </c>
      <c r="E8339">
        <v>0</v>
      </c>
      <c r="F8339" s="11">
        <v>0</v>
      </c>
    </row>
    <row r="8340" spans="1:6" x14ac:dyDescent="0.35">
      <c r="A8340" t="s">
        <v>2857</v>
      </c>
      <c r="B8340" t="s">
        <v>2866</v>
      </c>
      <c r="C8340" t="s">
        <v>1408</v>
      </c>
      <c r="D8340" t="s">
        <v>2914</v>
      </c>
      <c r="E8340">
        <v>0</v>
      </c>
      <c r="F8340" s="11">
        <v>0</v>
      </c>
    </row>
    <row r="8341" spans="1:6" x14ac:dyDescent="0.35">
      <c r="A8341" t="s">
        <v>2857</v>
      </c>
      <c r="B8341" t="s">
        <v>2866</v>
      </c>
      <c r="C8341" t="s">
        <v>1408</v>
      </c>
      <c r="D8341" t="s">
        <v>2915</v>
      </c>
      <c r="E8341">
        <v>1825</v>
      </c>
      <c r="F8341" s="11">
        <v>1</v>
      </c>
    </row>
    <row r="8342" spans="1:6" x14ac:dyDescent="0.35">
      <c r="A8342" t="s">
        <v>2857</v>
      </c>
      <c r="B8342" t="s">
        <v>2866</v>
      </c>
      <c r="C8342" t="s">
        <v>1408</v>
      </c>
      <c r="D8342" t="s">
        <v>2916</v>
      </c>
      <c r="E8342">
        <v>137514</v>
      </c>
      <c r="F8342" s="11">
        <v>1</v>
      </c>
    </row>
    <row r="8343" spans="1:6" x14ac:dyDescent="0.35">
      <c r="A8343" t="s">
        <v>2857</v>
      </c>
      <c r="B8343" t="s">
        <v>2866</v>
      </c>
      <c r="C8343" t="s">
        <v>1408</v>
      </c>
      <c r="D8343" t="s">
        <v>2917</v>
      </c>
      <c r="E8343">
        <v>657541</v>
      </c>
      <c r="F8343" s="11">
        <v>1</v>
      </c>
    </row>
    <row r="8344" spans="1:6" x14ac:dyDescent="0.35">
      <c r="A8344" t="s">
        <v>2857</v>
      </c>
      <c r="B8344" t="s">
        <v>2865</v>
      </c>
      <c r="C8344" t="s">
        <v>1417</v>
      </c>
      <c r="D8344" t="s">
        <v>2875</v>
      </c>
      <c r="E8344">
        <v>34768</v>
      </c>
      <c r="F8344" s="11">
        <v>1</v>
      </c>
    </row>
    <row r="8345" spans="1:6" x14ac:dyDescent="0.35">
      <c r="A8345" t="s">
        <v>2857</v>
      </c>
      <c r="B8345" t="s">
        <v>2865</v>
      </c>
      <c r="C8345" t="s">
        <v>1417</v>
      </c>
      <c r="D8345" t="s">
        <v>2876</v>
      </c>
      <c r="E8345">
        <v>3410</v>
      </c>
      <c r="F8345" s="11">
        <v>1</v>
      </c>
    </row>
    <row r="8346" spans="1:6" x14ac:dyDescent="0.35">
      <c r="A8346" t="s">
        <v>2857</v>
      </c>
      <c r="B8346" t="s">
        <v>2865</v>
      </c>
      <c r="C8346" t="s">
        <v>1417</v>
      </c>
      <c r="D8346" t="s">
        <v>2877</v>
      </c>
      <c r="E8346">
        <v>5751</v>
      </c>
      <c r="F8346" s="11">
        <v>1</v>
      </c>
    </row>
    <row r="8347" spans="1:6" x14ac:dyDescent="0.35">
      <c r="A8347" t="s">
        <v>2857</v>
      </c>
      <c r="B8347" t="s">
        <v>2865</v>
      </c>
      <c r="C8347" t="s">
        <v>1417</v>
      </c>
      <c r="D8347" t="s">
        <v>2878</v>
      </c>
      <c r="E8347">
        <v>580</v>
      </c>
      <c r="F8347" s="11">
        <v>1</v>
      </c>
    </row>
    <row r="8348" spans="1:6" x14ac:dyDescent="0.35">
      <c r="A8348" t="s">
        <v>2857</v>
      </c>
      <c r="B8348" t="s">
        <v>2865</v>
      </c>
      <c r="C8348" t="s">
        <v>1417</v>
      </c>
      <c r="D8348" t="s">
        <v>2879</v>
      </c>
      <c r="E8348">
        <v>3764</v>
      </c>
      <c r="F8348" s="11">
        <v>1</v>
      </c>
    </row>
    <row r="8349" spans="1:6" x14ac:dyDescent="0.35">
      <c r="A8349" t="s">
        <v>2857</v>
      </c>
      <c r="B8349" t="s">
        <v>2865</v>
      </c>
      <c r="C8349" t="s">
        <v>1417</v>
      </c>
      <c r="D8349" t="s">
        <v>2880</v>
      </c>
      <c r="E8349">
        <v>0</v>
      </c>
      <c r="F8349" s="11">
        <v>0</v>
      </c>
    </row>
    <row r="8350" spans="1:6" x14ac:dyDescent="0.35">
      <c r="A8350" t="s">
        <v>2857</v>
      </c>
      <c r="B8350" t="s">
        <v>2865</v>
      </c>
      <c r="C8350" t="s">
        <v>1417</v>
      </c>
      <c r="D8350" t="s">
        <v>2881</v>
      </c>
      <c r="E8350">
        <v>0</v>
      </c>
      <c r="F8350" s="11">
        <v>0</v>
      </c>
    </row>
    <row r="8351" spans="1:6" x14ac:dyDescent="0.35">
      <c r="A8351" t="s">
        <v>2857</v>
      </c>
      <c r="B8351" t="s">
        <v>2865</v>
      </c>
      <c r="C8351" t="s">
        <v>1417</v>
      </c>
      <c r="D8351" t="s">
        <v>2882</v>
      </c>
      <c r="E8351">
        <v>0</v>
      </c>
      <c r="F8351" s="11">
        <v>0</v>
      </c>
    </row>
    <row r="8352" spans="1:6" x14ac:dyDescent="0.35">
      <c r="A8352" t="s">
        <v>2857</v>
      </c>
      <c r="B8352" t="s">
        <v>2865</v>
      </c>
      <c r="C8352" t="s">
        <v>1417</v>
      </c>
      <c r="D8352" t="s">
        <v>2883</v>
      </c>
      <c r="E8352">
        <v>2</v>
      </c>
      <c r="F8352" s="11">
        <v>0</v>
      </c>
    </row>
    <row r="8353" spans="1:6" x14ac:dyDescent="0.35">
      <c r="A8353" t="s">
        <v>2857</v>
      </c>
      <c r="B8353" t="s">
        <v>2865</v>
      </c>
      <c r="C8353" t="s">
        <v>1417</v>
      </c>
      <c r="D8353" t="s">
        <v>2884</v>
      </c>
      <c r="E8353">
        <v>0</v>
      </c>
      <c r="F8353" s="11">
        <v>0</v>
      </c>
    </row>
    <row r="8354" spans="1:6" x14ac:dyDescent="0.35">
      <c r="A8354" t="s">
        <v>2857</v>
      </c>
      <c r="B8354" t="s">
        <v>2865</v>
      </c>
      <c r="C8354" t="s">
        <v>1417</v>
      </c>
      <c r="D8354" t="s">
        <v>2885</v>
      </c>
      <c r="E8354">
        <v>0</v>
      </c>
      <c r="F8354" s="11">
        <v>0</v>
      </c>
    </row>
    <row r="8355" spans="1:6" x14ac:dyDescent="0.35">
      <c r="A8355" t="s">
        <v>2857</v>
      </c>
      <c r="B8355" t="s">
        <v>2865</v>
      </c>
      <c r="C8355" t="s">
        <v>1417</v>
      </c>
      <c r="D8355" t="s">
        <v>2886</v>
      </c>
      <c r="E8355">
        <v>0</v>
      </c>
      <c r="F8355" s="11">
        <v>0</v>
      </c>
    </row>
    <row r="8356" spans="1:6" x14ac:dyDescent="0.35">
      <c r="A8356" t="s">
        <v>2857</v>
      </c>
      <c r="B8356" t="s">
        <v>2865</v>
      </c>
      <c r="C8356" t="s">
        <v>1417</v>
      </c>
      <c r="D8356" t="s">
        <v>2887</v>
      </c>
      <c r="E8356">
        <v>56679</v>
      </c>
      <c r="F8356" s="11">
        <v>1</v>
      </c>
    </row>
    <row r="8357" spans="1:6" x14ac:dyDescent="0.35">
      <c r="A8357" t="s">
        <v>2857</v>
      </c>
      <c r="B8357" t="s">
        <v>2865</v>
      </c>
      <c r="C8357" t="s">
        <v>1417</v>
      </c>
      <c r="D8357" t="s">
        <v>2888</v>
      </c>
      <c r="E8357">
        <v>0</v>
      </c>
      <c r="F8357" s="11">
        <v>0</v>
      </c>
    </row>
    <row r="8358" spans="1:6" x14ac:dyDescent="0.35">
      <c r="A8358" t="s">
        <v>2857</v>
      </c>
      <c r="B8358" t="s">
        <v>2865</v>
      </c>
      <c r="C8358" t="s">
        <v>1417</v>
      </c>
      <c r="D8358" t="s">
        <v>2889</v>
      </c>
      <c r="E8358">
        <v>0</v>
      </c>
      <c r="F8358" s="11">
        <v>0</v>
      </c>
    </row>
    <row r="8359" spans="1:6" x14ac:dyDescent="0.35">
      <c r="A8359" t="s">
        <v>2857</v>
      </c>
      <c r="B8359" t="s">
        <v>2865</v>
      </c>
      <c r="C8359" t="s">
        <v>1417</v>
      </c>
      <c r="D8359" t="s">
        <v>2890</v>
      </c>
      <c r="E8359">
        <v>0</v>
      </c>
      <c r="F8359" s="11">
        <v>0</v>
      </c>
    </row>
    <row r="8360" spans="1:6" x14ac:dyDescent="0.35">
      <c r="A8360" t="s">
        <v>2857</v>
      </c>
      <c r="B8360" t="s">
        <v>2865</v>
      </c>
      <c r="C8360" t="s">
        <v>1417</v>
      </c>
      <c r="D8360" t="s">
        <v>2891</v>
      </c>
      <c r="E8360">
        <v>2625</v>
      </c>
      <c r="F8360" s="11">
        <v>0</v>
      </c>
    </row>
    <row r="8361" spans="1:6" x14ac:dyDescent="0.35">
      <c r="A8361" t="s">
        <v>2857</v>
      </c>
      <c r="B8361" t="s">
        <v>2865</v>
      </c>
      <c r="C8361" t="s">
        <v>1417</v>
      </c>
      <c r="D8361" t="s">
        <v>2892</v>
      </c>
      <c r="E8361">
        <v>0</v>
      </c>
      <c r="F8361" s="11">
        <v>0</v>
      </c>
    </row>
    <row r="8362" spans="1:6" x14ac:dyDescent="0.35">
      <c r="A8362" t="s">
        <v>2857</v>
      </c>
      <c r="B8362" t="s">
        <v>2865</v>
      </c>
      <c r="C8362" t="s">
        <v>1417</v>
      </c>
      <c r="D8362" t="s">
        <v>2893</v>
      </c>
      <c r="E8362">
        <v>0</v>
      </c>
      <c r="F8362" s="11">
        <v>0</v>
      </c>
    </row>
    <row r="8363" spans="1:6" x14ac:dyDescent="0.35">
      <c r="A8363" t="s">
        <v>2857</v>
      </c>
      <c r="B8363" t="s">
        <v>2865</v>
      </c>
      <c r="C8363" t="s">
        <v>1417</v>
      </c>
      <c r="D8363" t="s">
        <v>2894</v>
      </c>
      <c r="E8363">
        <v>0</v>
      </c>
      <c r="F8363" s="11">
        <v>0</v>
      </c>
    </row>
    <row r="8364" spans="1:6" x14ac:dyDescent="0.35">
      <c r="A8364" t="s">
        <v>2857</v>
      </c>
      <c r="B8364" t="s">
        <v>2865</v>
      </c>
      <c r="C8364" t="s">
        <v>1417</v>
      </c>
      <c r="D8364" t="s">
        <v>2895</v>
      </c>
      <c r="E8364">
        <v>274001</v>
      </c>
      <c r="F8364" s="11">
        <v>1</v>
      </c>
    </row>
    <row r="8365" spans="1:6" x14ac:dyDescent="0.35">
      <c r="A8365" t="s">
        <v>2857</v>
      </c>
      <c r="B8365" t="s">
        <v>2865</v>
      </c>
      <c r="C8365" t="s">
        <v>1417</v>
      </c>
      <c r="D8365" t="s">
        <v>2896</v>
      </c>
      <c r="E8365">
        <v>161046</v>
      </c>
      <c r="F8365" s="11">
        <v>1</v>
      </c>
    </row>
    <row r="8366" spans="1:6" x14ac:dyDescent="0.35">
      <c r="A8366" t="s">
        <v>2857</v>
      </c>
      <c r="B8366" t="s">
        <v>2865</v>
      </c>
      <c r="C8366" t="s">
        <v>1417</v>
      </c>
      <c r="D8366" t="s">
        <v>2897</v>
      </c>
      <c r="E8366">
        <v>1840</v>
      </c>
      <c r="F8366" s="11">
        <v>1</v>
      </c>
    </row>
    <row r="8367" spans="1:6" x14ac:dyDescent="0.35">
      <c r="A8367" t="s">
        <v>2857</v>
      </c>
      <c r="B8367" t="s">
        <v>2865</v>
      </c>
      <c r="C8367" t="s">
        <v>1417</v>
      </c>
      <c r="D8367" t="s">
        <v>2898</v>
      </c>
      <c r="E8367">
        <v>111115</v>
      </c>
      <c r="F8367" s="11">
        <v>1</v>
      </c>
    </row>
    <row r="8368" spans="1:6" x14ac:dyDescent="0.35">
      <c r="A8368" t="s">
        <v>2857</v>
      </c>
      <c r="B8368" t="s">
        <v>2865</v>
      </c>
      <c r="C8368" t="s">
        <v>1417</v>
      </c>
      <c r="D8368" t="s">
        <v>2899</v>
      </c>
      <c r="E8368">
        <v>3902</v>
      </c>
      <c r="F8368" s="11">
        <v>1</v>
      </c>
    </row>
    <row r="8369" spans="1:6" x14ac:dyDescent="0.35">
      <c r="A8369" t="s">
        <v>2857</v>
      </c>
      <c r="B8369" t="s">
        <v>2865</v>
      </c>
      <c r="C8369" t="s">
        <v>1417</v>
      </c>
      <c r="D8369" t="s">
        <v>2900</v>
      </c>
      <c r="E8369">
        <v>0</v>
      </c>
      <c r="F8369" s="11">
        <v>1</v>
      </c>
    </row>
    <row r="8370" spans="1:6" x14ac:dyDescent="0.35">
      <c r="A8370" t="s">
        <v>2857</v>
      </c>
      <c r="B8370" t="s">
        <v>2865</v>
      </c>
      <c r="C8370" t="s">
        <v>1417</v>
      </c>
      <c r="D8370" t="s">
        <v>2901</v>
      </c>
      <c r="E8370">
        <v>0</v>
      </c>
      <c r="F8370" s="11">
        <v>0</v>
      </c>
    </row>
    <row r="8371" spans="1:6" x14ac:dyDescent="0.35">
      <c r="A8371" t="s">
        <v>2857</v>
      </c>
      <c r="B8371" t="s">
        <v>2865</v>
      </c>
      <c r="C8371" t="s">
        <v>1417</v>
      </c>
      <c r="D8371" t="s">
        <v>2902</v>
      </c>
      <c r="E8371">
        <v>0</v>
      </c>
      <c r="F8371" s="11">
        <v>0</v>
      </c>
    </row>
    <row r="8372" spans="1:6" x14ac:dyDescent="0.35">
      <c r="A8372" t="s">
        <v>2857</v>
      </c>
      <c r="B8372" t="s">
        <v>2865</v>
      </c>
      <c r="C8372" t="s">
        <v>1417</v>
      </c>
      <c r="D8372" t="s">
        <v>2903</v>
      </c>
      <c r="E8372">
        <v>27437</v>
      </c>
      <c r="F8372" s="11">
        <v>1</v>
      </c>
    </row>
    <row r="8373" spans="1:6" x14ac:dyDescent="0.35">
      <c r="A8373" t="s">
        <v>2857</v>
      </c>
      <c r="B8373" t="s">
        <v>2865</v>
      </c>
      <c r="C8373" t="s">
        <v>1417</v>
      </c>
      <c r="D8373" t="s">
        <v>2904</v>
      </c>
      <c r="E8373">
        <v>0</v>
      </c>
      <c r="F8373" s="11">
        <v>0</v>
      </c>
    </row>
    <row r="8374" spans="1:6" x14ac:dyDescent="0.35">
      <c r="A8374" t="s">
        <v>2857</v>
      </c>
      <c r="B8374" t="s">
        <v>2865</v>
      </c>
      <c r="C8374" t="s">
        <v>1417</v>
      </c>
      <c r="D8374" t="s">
        <v>2905</v>
      </c>
      <c r="E8374">
        <v>0</v>
      </c>
      <c r="F8374" s="11">
        <v>0</v>
      </c>
    </row>
    <row r="8375" spans="1:6" x14ac:dyDescent="0.35">
      <c r="A8375" t="s">
        <v>2857</v>
      </c>
      <c r="B8375" t="s">
        <v>2865</v>
      </c>
      <c r="C8375" t="s">
        <v>1417</v>
      </c>
      <c r="D8375" t="s">
        <v>2906</v>
      </c>
      <c r="E8375">
        <v>0</v>
      </c>
      <c r="F8375" s="11">
        <v>0</v>
      </c>
    </row>
    <row r="8376" spans="1:6" x14ac:dyDescent="0.35">
      <c r="A8376" t="s">
        <v>2857</v>
      </c>
      <c r="B8376" t="s">
        <v>2865</v>
      </c>
      <c r="C8376" t="s">
        <v>1417</v>
      </c>
      <c r="D8376" t="s">
        <v>2907</v>
      </c>
      <c r="E8376">
        <v>39138</v>
      </c>
      <c r="F8376" s="11">
        <v>1</v>
      </c>
    </row>
    <row r="8377" spans="1:6" x14ac:dyDescent="0.35">
      <c r="A8377" t="s">
        <v>2857</v>
      </c>
      <c r="B8377" t="s">
        <v>2865</v>
      </c>
      <c r="C8377" t="s">
        <v>1417</v>
      </c>
      <c r="D8377" t="s">
        <v>2908</v>
      </c>
      <c r="E8377">
        <v>0</v>
      </c>
      <c r="F8377" s="11">
        <v>0</v>
      </c>
    </row>
    <row r="8378" spans="1:6" x14ac:dyDescent="0.35">
      <c r="A8378" t="s">
        <v>2857</v>
      </c>
      <c r="B8378" t="s">
        <v>2865</v>
      </c>
      <c r="C8378" t="s">
        <v>1417</v>
      </c>
      <c r="D8378" t="s">
        <v>2909</v>
      </c>
      <c r="E8378">
        <v>0</v>
      </c>
      <c r="F8378" s="11">
        <v>0</v>
      </c>
    </row>
    <row r="8379" spans="1:6" x14ac:dyDescent="0.35">
      <c r="A8379" t="s">
        <v>2857</v>
      </c>
      <c r="B8379" t="s">
        <v>2865</v>
      </c>
      <c r="C8379" t="s">
        <v>1417</v>
      </c>
      <c r="D8379" t="s">
        <v>2910</v>
      </c>
      <c r="E8379">
        <v>0</v>
      </c>
      <c r="F8379" s="11">
        <v>0</v>
      </c>
    </row>
    <row r="8380" spans="1:6" x14ac:dyDescent="0.35">
      <c r="A8380" t="s">
        <v>2857</v>
      </c>
      <c r="B8380" t="s">
        <v>2865</v>
      </c>
      <c r="C8380" t="s">
        <v>1417</v>
      </c>
      <c r="D8380" t="s">
        <v>2911</v>
      </c>
      <c r="E8380">
        <v>105248</v>
      </c>
      <c r="F8380" s="11">
        <v>1</v>
      </c>
    </row>
    <row r="8381" spans="1:6" x14ac:dyDescent="0.35">
      <c r="A8381" t="s">
        <v>2857</v>
      </c>
      <c r="B8381" t="s">
        <v>2865</v>
      </c>
      <c r="C8381" t="s">
        <v>1417</v>
      </c>
      <c r="D8381" t="s">
        <v>2912</v>
      </c>
      <c r="E8381">
        <v>118104</v>
      </c>
      <c r="F8381" s="11">
        <v>1</v>
      </c>
    </row>
    <row r="8382" spans="1:6" x14ac:dyDescent="0.35">
      <c r="A8382" t="s">
        <v>2857</v>
      </c>
      <c r="B8382" t="s">
        <v>2865</v>
      </c>
      <c r="C8382" t="s">
        <v>1417</v>
      </c>
      <c r="D8382" t="s">
        <v>2913</v>
      </c>
      <c r="E8382">
        <v>0</v>
      </c>
      <c r="F8382" s="11">
        <v>0</v>
      </c>
    </row>
    <row r="8383" spans="1:6" x14ac:dyDescent="0.35">
      <c r="A8383" t="s">
        <v>2857</v>
      </c>
      <c r="B8383" t="s">
        <v>2865</v>
      </c>
      <c r="C8383" t="s">
        <v>1417</v>
      </c>
      <c r="D8383" t="s">
        <v>2914</v>
      </c>
      <c r="E8383">
        <v>0</v>
      </c>
      <c r="F8383" s="11">
        <v>0</v>
      </c>
    </row>
    <row r="8384" spans="1:6" x14ac:dyDescent="0.35">
      <c r="A8384" t="s">
        <v>2857</v>
      </c>
      <c r="B8384" t="s">
        <v>2865</v>
      </c>
      <c r="C8384" t="s">
        <v>1417</v>
      </c>
      <c r="D8384" t="s">
        <v>2915</v>
      </c>
      <c r="E8384">
        <v>10207</v>
      </c>
      <c r="F8384" s="11">
        <v>1</v>
      </c>
    </row>
    <row r="8385" spans="1:6" x14ac:dyDescent="0.35">
      <c r="A8385" t="s">
        <v>2857</v>
      </c>
      <c r="B8385" t="s">
        <v>2865</v>
      </c>
      <c r="C8385" t="s">
        <v>1417</v>
      </c>
      <c r="D8385" t="s">
        <v>2916</v>
      </c>
      <c r="E8385">
        <v>0</v>
      </c>
      <c r="F8385" s="11">
        <v>0</v>
      </c>
    </row>
    <row r="8386" spans="1:6" x14ac:dyDescent="0.35">
      <c r="A8386" t="s">
        <v>2857</v>
      </c>
      <c r="B8386" t="s">
        <v>2865</v>
      </c>
      <c r="C8386" t="s">
        <v>1417</v>
      </c>
      <c r="D8386" t="s">
        <v>2917</v>
      </c>
      <c r="E8386">
        <v>0</v>
      </c>
      <c r="F8386" s="11">
        <v>0</v>
      </c>
    </row>
    <row r="8387" spans="1:6" x14ac:dyDescent="0.35">
      <c r="A8387" t="s">
        <v>2857</v>
      </c>
      <c r="B8387" t="s">
        <v>2863</v>
      </c>
      <c r="C8387" t="s">
        <v>1471</v>
      </c>
      <c r="D8387" t="s">
        <v>2875</v>
      </c>
      <c r="E8387">
        <v>61750</v>
      </c>
      <c r="F8387" s="11">
        <v>1</v>
      </c>
    </row>
    <row r="8388" spans="1:6" x14ac:dyDescent="0.35">
      <c r="A8388" t="s">
        <v>2857</v>
      </c>
      <c r="B8388" t="s">
        <v>2863</v>
      </c>
      <c r="C8388" t="s">
        <v>1471</v>
      </c>
      <c r="D8388" t="s">
        <v>2876</v>
      </c>
      <c r="E8388">
        <v>25763</v>
      </c>
      <c r="F8388" s="11">
        <v>1</v>
      </c>
    </row>
    <row r="8389" spans="1:6" x14ac:dyDescent="0.35">
      <c r="A8389" t="s">
        <v>2857</v>
      </c>
      <c r="B8389" t="s">
        <v>2863</v>
      </c>
      <c r="C8389" t="s">
        <v>1471</v>
      </c>
      <c r="D8389" t="s">
        <v>2877</v>
      </c>
      <c r="E8389">
        <v>3003</v>
      </c>
      <c r="F8389" s="11">
        <v>1</v>
      </c>
    </row>
    <row r="8390" spans="1:6" x14ac:dyDescent="0.35">
      <c r="A8390" t="s">
        <v>2857</v>
      </c>
      <c r="B8390" t="s">
        <v>2863</v>
      </c>
      <c r="C8390" t="s">
        <v>1471</v>
      </c>
      <c r="D8390" t="s">
        <v>2878</v>
      </c>
      <c r="E8390">
        <v>30720</v>
      </c>
      <c r="F8390" s="11">
        <v>1</v>
      </c>
    </row>
    <row r="8391" spans="1:6" x14ac:dyDescent="0.35">
      <c r="A8391" t="s">
        <v>2857</v>
      </c>
      <c r="B8391" t="s">
        <v>2863</v>
      </c>
      <c r="C8391" t="s">
        <v>1471</v>
      </c>
      <c r="D8391" t="s">
        <v>2879</v>
      </c>
      <c r="E8391">
        <v>16357</v>
      </c>
      <c r="F8391" s="11">
        <v>1</v>
      </c>
    </row>
    <row r="8392" spans="1:6" x14ac:dyDescent="0.35">
      <c r="A8392" t="s">
        <v>2857</v>
      </c>
      <c r="B8392" t="s">
        <v>2863</v>
      </c>
      <c r="C8392" t="s">
        <v>1471</v>
      </c>
      <c r="D8392" t="s">
        <v>2880</v>
      </c>
      <c r="E8392">
        <v>5540</v>
      </c>
      <c r="F8392" s="11">
        <v>0</v>
      </c>
    </row>
    <row r="8393" spans="1:6" x14ac:dyDescent="0.35">
      <c r="A8393" t="s">
        <v>2857</v>
      </c>
      <c r="B8393" t="s">
        <v>2863</v>
      </c>
      <c r="C8393" t="s">
        <v>1471</v>
      </c>
      <c r="D8393" t="s">
        <v>2881</v>
      </c>
      <c r="E8393">
        <v>278</v>
      </c>
      <c r="F8393" s="11">
        <v>0</v>
      </c>
    </row>
    <row r="8394" spans="1:6" x14ac:dyDescent="0.35">
      <c r="A8394" t="s">
        <v>2857</v>
      </c>
      <c r="B8394" t="s">
        <v>2863</v>
      </c>
      <c r="C8394" t="s">
        <v>1471</v>
      </c>
      <c r="D8394" t="s">
        <v>2882</v>
      </c>
      <c r="E8394">
        <v>10539</v>
      </c>
      <c r="F8394" s="11">
        <v>0</v>
      </c>
    </row>
    <row r="8395" spans="1:6" x14ac:dyDescent="0.35">
      <c r="A8395" t="s">
        <v>2857</v>
      </c>
      <c r="B8395" t="s">
        <v>2863</v>
      </c>
      <c r="C8395" t="s">
        <v>1471</v>
      </c>
      <c r="D8395" t="s">
        <v>2883</v>
      </c>
      <c r="E8395">
        <v>9</v>
      </c>
      <c r="F8395" s="11">
        <v>1</v>
      </c>
    </row>
    <row r="8396" spans="1:6" x14ac:dyDescent="0.35">
      <c r="A8396" t="s">
        <v>2857</v>
      </c>
      <c r="B8396" t="s">
        <v>2863</v>
      </c>
      <c r="C8396" t="s">
        <v>1471</v>
      </c>
      <c r="D8396" t="s">
        <v>2884</v>
      </c>
      <c r="E8396">
        <v>0</v>
      </c>
      <c r="F8396" s="11">
        <v>1</v>
      </c>
    </row>
    <row r="8397" spans="1:6" x14ac:dyDescent="0.35">
      <c r="A8397" t="s">
        <v>2857</v>
      </c>
      <c r="B8397" t="s">
        <v>2863</v>
      </c>
      <c r="C8397" t="s">
        <v>1471</v>
      </c>
      <c r="D8397" t="s">
        <v>2885</v>
      </c>
      <c r="E8397">
        <v>0</v>
      </c>
      <c r="F8397" s="11">
        <v>0</v>
      </c>
    </row>
    <row r="8398" spans="1:6" x14ac:dyDescent="0.35">
      <c r="A8398" t="s">
        <v>2857</v>
      </c>
      <c r="B8398" t="s">
        <v>2863</v>
      </c>
      <c r="C8398" t="s">
        <v>1471</v>
      </c>
      <c r="D8398" t="s">
        <v>2886</v>
      </c>
      <c r="E8398">
        <v>9</v>
      </c>
      <c r="F8398" s="11">
        <v>0</v>
      </c>
    </row>
    <row r="8399" spans="1:6" x14ac:dyDescent="0.35">
      <c r="A8399" t="s">
        <v>2857</v>
      </c>
      <c r="B8399" t="s">
        <v>2863</v>
      </c>
      <c r="C8399" t="s">
        <v>1471</v>
      </c>
      <c r="D8399" t="s">
        <v>2887</v>
      </c>
      <c r="E8399">
        <v>249911</v>
      </c>
      <c r="F8399" s="11">
        <v>1</v>
      </c>
    </row>
    <row r="8400" spans="1:6" x14ac:dyDescent="0.35">
      <c r="A8400" t="s">
        <v>2857</v>
      </c>
      <c r="B8400" t="s">
        <v>2863</v>
      </c>
      <c r="C8400" t="s">
        <v>1471</v>
      </c>
      <c r="D8400" t="s">
        <v>2888</v>
      </c>
      <c r="E8400">
        <v>131187</v>
      </c>
      <c r="F8400" s="11">
        <v>1</v>
      </c>
    </row>
    <row r="8401" spans="1:6" x14ac:dyDescent="0.35">
      <c r="A8401" t="s">
        <v>2857</v>
      </c>
      <c r="B8401" t="s">
        <v>2863</v>
      </c>
      <c r="C8401" t="s">
        <v>1471</v>
      </c>
      <c r="D8401" t="s">
        <v>2889</v>
      </c>
      <c r="E8401">
        <v>1441</v>
      </c>
      <c r="F8401" s="11">
        <v>1</v>
      </c>
    </row>
    <row r="8402" spans="1:6" x14ac:dyDescent="0.35">
      <c r="A8402" t="s">
        <v>2857</v>
      </c>
      <c r="B8402" t="s">
        <v>2863</v>
      </c>
      <c r="C8402" t="s">
        <v>1471</v>
      </c>
      <c r="D8402" t="s">
        <v>2890</v>
      </c>
      <c r="E8402">
        <v>117283</v>
      </c>
      <c r="F8402" s="11">
        <v>1</v>
      </c>
    </row>
    <row r="8403" spans="1:6" x14ac:dyDescent="0.35">
      <c r="A8403" t="s">
        <v>2857</v>
      </c>
      <c r="B8403" t="s">
        <v>2863</v>
      </c>
      <c r="C8403" t="s">
        <v>1471</v>
      </c>
      <c r="D8403" t="s">
        <v>2891</v>
      </c>
      <c r="E8403">
        <v>19986</v>
      </c>
      <c r="F8403" s="11">
        <v>1</v>
      </c>
    </row>
    <row r="8404" spans="1:6" x14ac:dyDescent="0.35">
      <c r="A8404" t="s">
        <v>2857</v>
      </c>
      <c r="B8404" t="s">
        <v>2863</v>
      </c>
      <c r="C8404" t="s">
        <v>1471</v>
      </c>
      <c r="D8404" t="s">
        <v>2892</v>
      </c>
      <c r="E8404">
        <v>0</v>
      </c>
      <c r="F8404" s="11">
        <v>0</v>
      </c>
    </row>
    <row r="8405" spans="1:6" x14ac:dyDescent="0.35">
      <c r="A8405" t="s">
        <v>2857</v>
      </c>
      <c r="B8405" t="s">
        <v>2863</v>
      </c>
      <c r="C8405" t="s">
        <v>1471</v>
      </c>
      <c r="D8405" t="s">
        <v>2893</v>
      </c>
      <c r="E8405">
        <v>0</v>
      </c>
      <c r="F8405" s="11">
        <v>0</v>
      </c>
    </row>
    <row r="8406" spans="1:6" x14ac:dyDescent="0.35">
      <c r="A8406" t="s">
        <v>2857</v>
      </c>
      <c r="B8406" t="s">
        <v>2863</v>
      </c>
      <c r="C8406" t="s">
        <v>1471</v>
      </c>
      <c r="D8406" t="s">
        <v>2894</v>
      </c>
      <c r="E8406">
        <v>19986</v>
      </c>
      <c r="F8406" s="11">
        <v>0</v>
      </c>
    </row>
    <row r="8407" spans="1:6" x14ac:dyDescent="0.35">
      <c r="A8407" t="s">
        <v>2857</v>
      </c>
      <c r="B8407" t="s">
        <v>2863</v>
      </c>
      <c r="C8407" t="s">
        <v>1471</v>
      </c>
      <c r="D8407" t="s">
        <v>2895</v>
      </c>
      <c r="E8407">
        <v>1355945</v>
      </c>
      <c r="F8407" s="11">
        <v>1</v>
      </c>
    </row>
    <row r="8408" spans="1:6" x14ac:dyDescent="0.35">
      <c r="A8408" t="s">
        <v>2857</v>
      </c>
      <c r="B8408" t="s">
        <v>2863</v>
      </c>
      <c r="C8408" t="s">
        <v>1471</v>
      </c>
      <c r="D8408" t="s">
        <v>2896</v>
      </c>
      <c r="E8408">
        <v>605695</v>
      </c>
      <c r="F8408" s="11">
        <v>1</v>
      </c>
    </row>
    <row r="8409" spans="1:6" x14ac:dyDescent="0.35">
      <c r="A8409" t="s">
        <v>2857</v>
      </c>
      <c r="B8409" t="s">
        <v>2863</v>
      </c>
      <c r="C8409" t="s">
        <v>1471</v>
      </c>
      <c r="D8409" t="s">
        <v>2897</v>
      </c>
      <c r="E8409">
        <v>8094</v>
      </c>
      <c r="F8409" s="11">
        <v>1</v>
      </c>
    </row>
    <row r="8410" spans="1:6" x14ac:dyDescent="0.35">
      <c r="A8410" t="s">
        <v>2857</v>
      </c>
      <c r="B8410" t="s">
        <v>2863</v>
      </c>
      <c r="C8410" t="s">
        <v>1471</v>
      </c>
      <c r="D8410" t="s">
        <v>2898</v>
      </c>
      <c r="E8410">
        <v>742156</v>
      </c>
      <c r="F8410" s="11">
        <v>1</v>
      </c>
    </row>
    <row r="8411" spans="1:6" x14ac:dyDescent="0.35">
      <c r="A8411" t="s">
        <v>2857</v>
      </c>
      <c r="B8411" t="s">
        <v>2863</v>
      </c>
      <c r="C8411" t="s">
        <v>1471</v>
      </c>
      <c r="D8411" t="s">
        <v>2899</v>
      </c>
      <c r="E8411">
        <v>24693</v>
      </c>
      <c r="F8411" s="11">
        <v>1</v>
      </c>
    </row>
    <row r="8412" spans="1:6" x14ac:dyDescent="0.35">
      <c r="A8412" t="s">
        <v>2857</v>
      </c>
      <c r="B8412" t="s">
        <v>2863</v>
      </c>
      <c r="C8412" t="s">
        <v>1471</v>
      </c>
      <c r="D8412" t="s">
        <v>2900</v>
      </c>
      <c r="E8412">
        <v>1519</v>
      </c>
      <c r="F8412" s="11">
        <v>1</v>
      </c>
    </row>
    <row r="8413" spans="1:6" x14ac:dyDescent="0.35">
      <c r="A8413" t="s">
        <v>2857</v>
      </c>
      <c r="B8413" t="s">
        <v>2863</v>
      </c>
      <c r="C8413" t="s">
        <v>1471</v>
      </c>
      <c r="D8413" t="s">
        <v>2901</v>
      </c>
      <c r="E8413">
        <v>0</v>
      </c>
      <c r="F8413" s="11">
        <v>1</v>
      </c>
    </row>
    <row r="8414" spans="1:6" x14ac:dyDescent="0.35">
      <c r="A8414" t="s">
        <v>2857</v>
      </c>
      <c r="B8414" t="s">
        <v>2863</v>
      </c>
      <c r="C8414" t="s">
        <v>1471</v>
      </c>
      <c r="D8414" t="s">
        <v>2902</v>
      </c>
      <c r="E8414">
        <v>23174</v>
      </c>
      <c r="F8414" s="11">
        <v>0</v>
      </c>
    </row>
    <row r="8415" spans="1:6" x14ac:dyDescent="0.35">
      <c r="A8415" t="s">
        <v>2857</v>
      </c>
      <c r="B8415" t="s">
        <v>2863</v>
      </c>
      <c r="C8415" t="s">
        <v>1471</v>
      </c>
      <c r="D8415" t="s">
        <v>2903</v>
      </c>
      <c r="E8415">
        <v>99071</v>
      </c>
      <c r="F8415" s="11">
        <v>1</v>
      </c>
    </row>
    <row r="8416" spans="1:6" x14ac:dyDescent="0.35">
      <c r="A8416" t="s">
        <v>2857</v>
      </c>
      <c r="B8416" t="s">
        <v>2863</v>
      </c>
      <c r="C8416" t="s">
        <v>1471</v>
      </c>
      <c r="D8416" t="s">
        <v>2904</v>
      </c>
      <c r="E8416">
        <v>7218</v>
      </c>
      <c r="F8416" s="11">
        <v>1</v>
      </c>
    </row>
    <row r="8417" spans="1:6" x14ac:dyDescent="0.35">
      <c r="A8417" t="s">
        <v>2857</v>
      </c>
      <c r="B8417" t="s">
        <v>2863</v>
      </c>
      <c r="C8417" t="s">
        <v>1471</v>
      </c>
      <c r="D8417" t="s">
        <v>2905</v>
      </c>
      <c r="E8417">
        <v>3926</v>
      </c>
      <c r="F8417" s="11">
        <v>1</v>
      </c>
    </row>
    <row r="8418" spans="1:6" x14ac:dyDescent="0.35">
      <c r="A8418" t="s">
        <v>2857</v>
      </c>
      <c r="B8418" t="s">
        <v>2863</v>
      </c>
      <c r="C8418" t="s">
        <v>1471</v>
      </c>
      <c r="D8418" t="s">
        <v>2906</v>
      </c>
      <c r="E8418">
        <v>87927</v>
      </c>
      <c r="F8418" s="11">
        <v>1</v>
      </c>
    </row>
    <row r="8419" spans="1:6" x14ac:dyDescent="0.35">
      <c r="A8419" t="s">
        <v>2857</v>
      </c>
      <c r="B8419" t="s">
        <v>2863</v>
      </c>
      <c r="C8419" t="s">
        <v>1471</v>
      </c>
      <c r="D8419" t="s">
        <v>2907</v>
      </c>
      <c r="E8419">
        <v>136171</v>
      </c>
      <c r="F8419" s="11">
        <v>1</v>
      </c>
    </row>
    <row r="8420" spans="1:6" x14ac:dyDescent="0.35">
      <c r="A8420" t="s">
        <v>2857</v>
      </c>
      <c r="B8420" t="s">
        <v>2863</v>
      </c>
      <c r="C8420" t="s">
        <v>1471</v>
      </c>
      <c r="D8420" t="s">
        <v>2908</v>
      </c>
      <c r="E8420">
        <v>12001</v>
      </c>
      <c r="F8420" s="11">
        <v>1</v>
      </c>
    </row>
    <row r="8421" spans="1:6" x14ac:dyDescent="0.35">
      <c r="A8421" t="s">
        <v>2857</v>
      </c>
      <c r="B8421" t="s">
        <v>2863</v>
      </c>
      <c r="C8421" t="s">
        <v>1471</v>
      </c>
      <c r="D8421" t="s">
        <v>2909</v>
      </c>
      <c r="E8421">
        <v>5296</v>
      </c>
      <c r="F8421" s="11">
        <v>1</v>
      </c>
    </row>
    <row r="8422" spans="1:6" x14ac:dyDescent="0.35">
      <c r="A8422" t="s">
        <v>2857</v>
      </c>
      <c r="B8422" t="s">
        <v>2863</v>
      </c>
      <c r="C8422" t="s">
        <v>1471</v>
      </c>
      <c r="D8422" t="s">
        <v>2910</v>
      </c>
      <c r="E8422">
        <v>118874</v>
      </c>
      <c r="F8422" s="11">
        <v>1</v>
      </c>
    </row>
    <row r="8423" spans="1:6" x14ac:dyDescent="0.35">
      <c r="A8423" t="s">
        <v>2857</v>
      </c>
      <c r="B8423" t="s">
        <v>2863</v>
      </c>
      <c r="C8423" t="s">
        <v>1471</v>
      </c>
      <c r="D8423" t="s">
        <v>2911</v>
      </c>
      <c r="E8423">
        <v>707997</v>
      </c>
      <c r="F8423" s="11">
        <v>1</v>
      </c>
    </row>
    <row r="8424" spans="1:6" x14ac:dyDescent="0.35">
      <c r="A8424" t="s">
        <v>2857</v>
      </c>
      <c r="B8424" t="s">
        <v>2863</v>
      </c>
      <c r="C8424" t="s">
        <v>1471</v>
      </c>
      <c r="D8424" t="s">
        <v>2912</v>
      </c>
      <c r="E8424">
        <v>1193327</v>
      </c>
      <c r="F8424" s="11">
        <v>1</v>
      </c>
    </row>
    <row r="8425" spans="1:6" x14ac:dyDescent="0.35">
      <c r="A8425" t="s">
        <v>2857</v>
      </c>
      <c r="B8425" t="s">
        <v>2863</v>
      </c>
      <c r="C8425" t="s">
        <v>1471</v>
      </c>
      <c r="D8425" t="s">
        <v>2913</v>
      </c>
      <c r="E8425">
        <v>0</v>
      </c>
      <c r="F8425" s="11">
        <v>0</v>
      </c>
    </row>
    <row r="8426" spans="1:6" x14ac:dyDescent="0.35">
      <c r="A8426" t="s">
        <v>2857</v>
      </c>
      <c r="B8426" t="s">
        <v>2863</v>
      </c>
      <c r="C8426" t="s">
        <v>1471</v>
      </c>
      <c r="D8426" t="s">
        <v>2914</v>
      </c>
      <c r="E8426">
        <v>18235</v>
      </c>
      <c r="F8426" s="11">
        <v>1</v>
      </c>
    </row>
    <row r="8427" spans="1:6" x14ac:dyDescent="0.35">
      <c r="A8427" t="s">
        <v>2857</v>
      </c>
      <c r="B8427" t="s">
        <v>2863</v>
      </c>
      <c r="C8427" t="s">
        <v>1471</v>
      </c>
      <c r="D8427" t="s">
        <v>2915</v>
      </c>
      <c r="E8427">
        <v>945</v>
      </c>
      <c r="F8427" s="11">
        <v>1</v>
      </c>
    </row>
    <row r="8428" spans="1:6" x14ac:dyDescent="0.35">
      <c r="A8428" t="s">
        <v>2857</v>
      </c>
      <c r="B8428" t="s">
        <v>2863</v>
      </c>
      <c r="C8428" t="s">
        <v>1471</v>
      </c>
      <c r="D8428" t="s">
        <v>2916</v>
      </c>
      <c r="E8428">
        <v>111759</v>
      </c>
      <c r="F8428" s="11">
        <v>1</v>
      </c>
    </row>
    <row r="8429" spans="1:6" x14ac:dyDescent="0.35">
      <c r="A8429" t="s">
        <v>2857</v>
      </c>
      <c r="B8429" t="s">
        <v>2863</v>
      </c>
      <c r="C8429" t="s">
        <v>1471</v>
      </c>
      <c r="D8429" t="s">
        <v>2917</v>
      </c>
      <c r="E8429">
        <v>0</v>
      </c>
      <c r="F8429" s="11">
        <v>0</v>
      </c>
    </row>
    <row r="8430" spans="1:6" x14ac:dyDescent="0.35">
      <c r="A8430" t="s">
        <v>2857</v>
      </c>
      <c r="B8430" t="s">
        <v>2865</v>
      </c>
      <c r="C8430" t="s">
        <v>1550</v>
      </c>
      <c r="D8430" t="s">
        <v>2875</v>
      </c>
      <c r="E8430">
        <v>14324</v>
      </c>
      <c r="F8430" s="11">
        <v>1</v>
      </c>
    </row>
    <row r="8431" spans="1:6" x14ac:dyDescent="0.35">
      <c r="A8431" t="s">
        <v>2857</v>
      </c>
      <c r="B8431" t="s">
        <v>2865</v>
      </c>
      <c r="C8431" t="s">
        <v>1550</v>
      </c>
      <c r="D8431" t="s">
        <v>2876</v>
      </c>
      <c r="E8431">
        <v>4206</v>
      </c>
      <c r="F8431" s="11">
        <v>1</v>
      </c>
    </row>
    <row r="8432" spans="1:6" x14ac:dyDescent="0.35">
      <c r="A8432" t="s">
        <v>2857</v>
      </c>
      <c r="B8432" t="s">
        <v>2865</v>
      </c>
      <c r="C8432" t="s">
        <v>1550</v>
      </c>
      <c r="D8432" t="s">
        <v>2877</v>
      </c>
      <c r="E8432">
        <v>285</v>
      </c>
      <c r="F8432" s="11">
        <v>1</v>
      </c>
    </row>
    <row r="8433" spans="1:6" x14ac:dyDescent="0.35">
      <c r="A8433" t="s">
        <v>2857</v>
      </c>
      <c r="B8433" t="s">
        <v>2865</v>
      </c>
      <c r="C8433" t="s">
        <v>1550</v>
      </c>
      <c r="D8433" t="s">
        <v>2878</v>
      </c>
      <c r="E8433">
        <v>9833</v>
      </c>
      <c r="F8433" s="11">
        <v>1</v>
      </c>
    </row>
    <row r="8434" spans="1:6" x14ac:dyDescent="0.35">
      <c r="A8434" t="s">
        <v>2857</v>
      </c>
      <c r="B8434" t="s">
        <v>2865</v>
      </c>
      <c r="C8434" t="s">
        <v>1550</v>
      </c>
      <c r="D8434" t="s">
        <v>2879</v>
      </c>
      <c r="E8434">
        <v>3989</v>
      </c>
      <c r="F8434" s="11">
        <v>1</v>
      </c>
    </row>
    <row r="8435" spans="1:6" x14ac:dyDescent="0.35">
      <c r="A8435" t="s">
        <v>2857</v>
      </c>
      <c r="B8435" t="s">
        <v>2865</v>
      </c>
      <c r="C8435" t="s">
        <v>1550</v>
      </c>
      <c r="D8435" t="s">
        <v>2880</v>
      </c>
      <c r="E8435">
        <v>0</v>
      </c>
      <c r="F8435" s="11">
        <v>0</v>
      </c>
    </row>
    <row r="8436" spans="1:6" x14ac:dyDescent="0.35">
      <c r="A8436" t="s">
        <v>2857</v>
      </c>
      <c r="B8436" t="s">
        <v>2865</v>
      </c>
      <c r="C8436" t="s">
        <v>1550</v>
      </c>
      <c r="D8436" t="s">
        <v>2881</v>
      </c>
      <c r="E8436">
        <v>0</v>
      </c>
      <c r="F8436" s="11">
        <v>0</v>
      </c>
    </row>
    <row r="8437" spans="1:6" x14ac:dyDescent="0.35">
      <c r="A8437" t="s">
        <v>2857</v>
      </c>
      <c r="B8437" t="s">
        <v>2865</v>
      </c>
      <c r="C8437" t="s">
        <v>1550</v>
      </c>
      <c r="D8437" t="s">
        <v>2882</v>
      </c>
      <c r="E8437">
        <v>0</v>
      </c>
      <c r="F8437" s="11">
        <v>0</v>
      </c>
    </row>
    <row r="8438" spans="1:6" x14ac:dyDescent="0.35">
      <c r="A8438" t="s">
        <v>2857</v>
      </c>
      <c r="B8438" t="s">
        <v>2865</v>
      </c>
      <c r="C8438" t="s">
        <v>1550</v>
      </c>
      <c r="D8438" t="s">
        <v>2883</v>
      </c>
      <c r="E8438">
        <v>0</v>
      </c>
      <c r="F8438" s="11">
        <v>0</v>
      </c>
    </row>
    <row r="8439" spans="1:6" x14ac:dyDescent="0.35">
      <c r="A8439" t="s">
        <v>2857</v>
      </c>
      <c r="B8439" t="s">
        <v>2865</v>
      </c>
      <c r="C8439" t="s">
        <v>1550</v>
      </c>
      <c r="D8439" t="s">
        <v>2884</v>
      </c>
      <c r="E8439">
        <v>0</v>
      </c>
      <c r="F8439" s="11">
        <v>0</v>
      </c>
    </row>
    <row r="8440" spans="1:6" x14ac:dyDescent="0.35">
      <c r="A8440" t="s">
        <v>2857</v>
      </c>
      <c r="B8440" t="s">
        <v>2865</v>
      </c>
      <c r="C8440" t="s">
        <v>1550</v>
      </c>
      <c r="D8440" t="s">
        <v>2885</v>
      </c>
      <c r="E8440">
        <v>0</v>
      </c>
      <c r="F8440" s="11">
        <v>0</v>
      </c>
    </row>
    <row r="8441" spans="1:6" x14ac:dyDescent="0.35">
      <c r="A8441" t="s">
        <v>2857</v>
      </c>
      <c r="B8441" t="s">
        <v>2865</v>
      </c>
      <c r="C8441" t="s">
        <v>1550</v>
      </c>
      <c r="D8441" t="s">
        <v>2886</v>
      </c>
      <c r="E8441">
        <v>0</v>
      </c>
      <c r="F8441" s="11">
        <v>0</v>
      </c>
    </row>
    <row r="8442" spans="1:6" x14ac:dyDescent="0.35">
      <c r="A8442" t="s">
        <v>2857</v>
      </c>
      <c r="B8442" t="s">
        <v>2865</v>
      </c>
      <c r="C8442" t="s">
        <v>1550</v>
      </c>
      <c r="D8442" t="s">
        <v>2887</v>
      </c>
      <c r="E8442">
        <v>20202</v>
      </c>
      <c r="F8442" s="11">
        <v>1</v>
      </c>
    </row>
    <row r="8443" spans="1:6" x14ac:dyDescent="0.35">
      <c r="A8443" t="s">
        <v>2857</v>
      </c>
      <c r="B8443" t="s">
        <v>2865</v>
      </c>
      <c r="C8443" t="s">
        <v>1550</v>
      </c>
      <c r="D8443" t="s">
        <v>2888</v>
      </c>
      <c r="E8443">
        <v>0</v>
      </c>
      <c r="F8443" s="11">
        <v>0</v>
      </c>
    </row>
    <row r="8444" spans="1:6" x14ac:dyDescent="0.35">
      <c r="A8444" t="s">
        <v>2857</v>
      </c>
      <c r="B8444" t="s">
        <v>2865</v>
      </c>
      <c r="C8444" t="s">
        <v>1550</v>
      </c>
      <c r="D8444" t="s">
        <v>2889</v>
      </c>
      <c r="E8444">
        <v>0</v>
      </c>
      <c r="F8444" s="11">
        <v>0</v>
      </c>
    </row>
    <row r="8445" spans="1:6" x14ac:dyDescent="0.35">
      <c r="A8445" t="s">
        <v>2857</v>
      </c>
      <c r="B8445" t="s">
        <v>2865</v>
      </c>
      <c r="C8445" t="s">
        <v>1550</v>
      </c>
      <c r="D8445" t="s">
        <v>2890</v>
      </c>
      <c r="E8445">
        <v>0</v>
      </c>
      <c r="F8445" s="11">
        <v>0</v>
      </c>
    </row>
    <row r="8446" spans="1:6" x14ac:dyDescent="0.35">
      <c r="A8446" t="s">
        <v>2857</v>
      </c>
      <c r="B8446" t="s">
        <v>2865</v>
      </c>
      <c r="C8446" t="s">
        <v>1550</v>
      </c>
      <c r="D8446" t="s">
        <v>2891</v>
      </c>
      <c r="E8446">
        <v>0</v>
      </c>
      <c r="F8446" s="11">
        <v>0</v>
      </c>
    </row>
    <row r="8447" spans="1:6" x14ac:dyDescent="0.35">
      <c r="A8447" t="s">
        <v>2857</v>
      </c>
      <c r="B8447" t="s">
        <v>2865</v>
      </c>
      <c r="C8447" t="s">
        <v>1550</v>
      </c>
      <c r="D8447" t="s">
        <v>2892</v>
      </c>
      <c r="E8447">
        <v>0</v>
      </c>
      <c r="F8447" s="11">
        <v>0</v>
      </c>
    </row>
    <row r="8448" spans="1:6" x14ac:dyDescent="0.35">
      <c r="A8448" t="s">
        <v>2857</v>
      </c>
      <c r="B8448" t="s">
        <v>2865</v>
      </c>
      <c r="C8448" t="s">
        <v>1550</v>
      </c>
      <c r="D8448" t="s">
        <v>2893</v>
      </c>
      <c r="E8448">
        <v>0</v>
      </c>
      <c r="F8448" s="11">
        <v>0</v>
      </c>
    </row>
    <row r="8449" spans="1:6" x14ac:dyDescent="0.35">
      <c r="A8449" t="s">
        <v>2857</v>
      </c>
      <c r="B8449" t="s">
        <v>2865</v>
      </c>
      <c r="C8449" t="s">
        <v>1550</v>
      </c>
      <c r="D8449" t="s">
        <v>2894</v>
      </c>
      <c r="E8449">
        <v>0</v>
      </c>
      <c r="F8449" s="11">
        <v>0</v>
      </c>
    </row>
    <row r="8450" spans="1:6" x14ac:dyDescent="0.35">
      <c r="A8450" t="s">
        <v>2857</v>
      </c>
      <c r="B8450" t="s">
        <v>2865</v>
      </c>
      <c r="C8450" t="s">
        <v>1550</v>
      </c>
      <c r="D8450" t="s">
        <v>2895</v>
      </c>
      <c r="E8450">
        <v>309203</v>
      </c>
      <c r="F8450" s="11">
        <v>1</v>
      </c>
    </row>
    <row r="8451" spans="1:6" x14ac:dyDescent="0.35">
      <c r="A8451" t="s">
        <v>2857</v>
      </c>
      <c r="B8451" t="s">
        <v>2865</v>
      </c>
      <c r="C8451" t="s">
        <v>1550</v>
      </c>
      <c r="D8451" t="s">
        <v>2896</v>
      </c>
      <c r="E8451">
        <v>111201</v>
      </c>
      <c r="F8451" s="11">
        <v>1</v>
      </c>
    </row>
    <row r="8452" spans="1:6" x14ac:dyDescent="0.35">
      <c r="A8452" t="s">
        <v>2857</v>
      </c>
      <c r="B8452" t="s">
        <v>2865</v>
      </c>
      <c r="C8452" t="s">
        <v>1550</v>
      </c>
      <c r="D8452" t="s">
        <v>2897</v>
      </c>
      <c r="E8452">
        <v>3535</v>
      </c>
      <c r="F8452" s="11">
        <v>1</v>
      </c>
    </row>
    <row r="8453" spans="1:6" x14ac:dyDescent="0.35">
      <c r="A8453" t="s">
        <v>2857</v>
      </c>
      <c r="B8453" t="s">
        <v>2865</v>
      </c>
      <c r="C8453" t="s">
        <v>1550</v>
      </c>
      <c r="D8453" t="s">
        <v>2898</v>
      </c>
      <c r="E8453">
        <v>194467</v>
      </c>
      <c r="F8453" s="11">
        <v>1</v>
      </c>
    </row>
    <row r="8454" spans="1:6" x14ac:dyDescent="0.35">
      <c r="A8454" t="s">
        <v>2857</v>
      </c>
      <c r="B8454" t="s">
        <v>2865</v>
      </c>
      <c r="C8454" t="s">
        <v>1550</v>
      </c>
      <c r="D8454" t="s">
        <v>2899</v>
      </c>
      <c r="E8454">
        <v>8043</v>
      </c>
      <c r="F8454" s="11">
        <v>1</v>
      </c>
    </row>
    <row r="8455" spans="1:6" x14ac:dyDescent="0.35">
      <c r="A8455" t="s">
        <v>2857</v>
      </c>
      <c r="B8455" t="s">
        <v>2865</v>
      </c>
      <c r="C8455" t="s">
        <v>1550</v>
      </c>
      <c r="D8455" t="s">
        <v>2900</v>
      </c>
      <c r="E8455">
        <v>34</v>
      </c>
      <c r="F8455" s="11">
        <v>1</v>
      </c>
    </row>
    <row r="8456" spans="1:6" x14ac:dyDescent="0.35">
      <c r="A8456" t="s">
        <v>2857</v>
      </c>
      <c r="B8456" t="s">
        <v>2865</v>
      </c>
      <c r="C8456" t="s">
        <v>1550</v>
      </c>
      <c r="D8456" t="s">
        <v>2901</v>
      </c>
      <c r="E8456">
        <v>1</v>
      </c>
      <c r="F8456" s="11">
        <v>1</v>
      </c>
    </row>
    <row r="8457" spans="1:6" x14ac:dyDescent="0.35">
      <c r="A8457" t="s">
        <v>2857</v>
      </c>
      <c r="B8457" t="s">
        <v>2865</v>
      </c>
      <c r="C8457" t="s">
        <v>1550</v>
      </c>
      <c r="D8457" t="s">
        <v>2902</v>
      </c>
      <c r="E8457">
        <v>8008</v>
      </c>
      <c r="F8457" s="11">
        <v>1</v>
      </c>
    </row>
    <row r="8458" spans="1:6" x14ac:dyDescent="0.35">
      <c r="A8458" t="s">
        <v>2857</v>
      </c>
      <c r="B8458" t="s">
        <v>2865</v>
      </c>
      <c r="C8458" t="s">
        <v>1550</v>
      </c>
      <c r="D8458" t="s">
        <v>2903</v>
      </c>
      <c r="E8458">
        <v>37332</v>
      </c>
      <c r="F8458" s="11">
        <v>1</v>
      </c>
    </row>
    <row r="8459" spans="1:6" x14ac:dyDescent="0.35">
      <c r="A8459" t="s">
        <v>2857</v>
      </c>
      <c r="B8459" t="s">
        <v>2865</v>
      </c>
      <c r="C8459" t="s">
        <v>1550</v>
      </c>
      <c r="D8459" t="s">
        <v>2904</v>
      </c>
      <c r="E8459">
        <v>1539</v>
      </c>
      <c r="F8459" s="11">
        <v>1</v>
      </c>
    </row>
    <row r="8460" spans="1:6" x14ac:dyDescent="0.35">
      <c r="A8460" t="s">
        <v>2857</v>
      </c>
      <c r="B8460" t="s">
        <v>2865</v>
      </c>
      <c r="C8460" t="s">
        <v>1550</v>
      </c>
      <c r="D8460" t="s">
        <v>2905</v>
      </c>
      <c r="E8460">
        <v>1467</v>
      </c>
      <c r="F8460" s="11">
        <v>1</v>
      </c>
    </row>
    <row r="8461" spans="1:6" x14ac:dyDescent="0.35">
      <c r="A8461" t="s">
        <v>2857</v>
      </c>
      <c r="B8461" t="s">
        <v>2865</v>
      </c>
      <c r="C8461" t="s">
        <v>1550</v>
      </c>
      <c r="D8461" t="s">
        <v>2906</v>
      </c>
      <c r="E8461">
        <v>34326</v>
      </c>
      <c r="F8461" s="11">
        <v>1</v>
      </c>
    </row>
    <row r="8462" spans="1:6" x14ac:dyDescent="0.35">
      <c r="A8462" t="s">
        <v>2857</v>
      </c>
      <c r="B8462" t="s">
        <v>2865</v>
      </c>
      <c r="C8462" t="s">
        <v>1550</v>
      </c>
      <c r="D8462" t="s">
        <v>2907</v>
      </c>
      <c r="E8462">
        <v>29875</v>
      </c>
      <c r="F8462" s="11">
        <v>1</v>
      </c>
    </row>
    <row r="8463" spans="1:6" x14ac:dyDescent="0.35">
      <c r="A8463" t="s">
        <v>2857</v>
      </c>
      <c r="B8463" t="s">
        <v>2865</v>
      </c>
      <c r="C8463" t="s">
        <v>1550</v>
      </c>
      <c r="D8463" t="s">
        <v>2908</v>
      </c>
      <c r="E8463">
        <v>2093</v>
      </c>
      <c r="F8463" s="11">
        <v>1</v>
      </c>
    </row>
    <row r="8464" spans="1:6" x14ac:dyDescent="0.35">
      <c r="A8464" t="s">
        <v>2857</v>
      </c>
      <c r="B8464" t="s">
        <v>2865</v>
      </c>
      <c r="C8464" t="s">
        <v>1550</v>
      </c>
      <c r="D8464" t="s">
        <v>2909</v>
      </c>
      <c r="E8464">
        <v>1342</v>
      </c>
      <c r="F8464" s="11">
        <v>1</v>
      </c>
    </row>
    <row r="8465" spans="1:6" x14ac:dyDescent="0.35">
      <c r="A8465" t="s">
        <v>2857</v>
      </c>
      <c r="B8465" t="s">
        <v>2865</v>
      </c>
      <c r="C8465" t="s">
        <v>1550</v>
      </c>
      <c r="D8465" t="s">
        <v>2910</v>
      </c>
      <c r="E8465">
        <v>26440</v>
      </c>
      <c r="F8465" s="11">
        <v>1</v>
      </c>
    </row>
    <row r="8466" spans="1:6" x14ac:dyDescent="0.35">
      <c r="A8466" t="s">
        <v>2857</v>
      </c>
      <c r="B8466" t="s">
        <v>2865</v>
      </c>
      <c r="C8466" t="s">
        <v>1550</v>
      </c>
      <c r="D8466" t="s">
        <v>2911</v>
      </c>
      <c r="E8466">
        <v>30088</v>
      </c>
      <c r="F8466" s="11">
        <v>1</v>
      </c>
    </row>
    <row r="8467" spans="1:6" x14ac:dyDescent="0.35">
      <c r="A8467" t="s">
        <v>2857</v>
      </c>
      <c r="B8467" t="s">
        <v>2865</v>
      </c>
      <c r="C8467" t="s">
        <v>1550</v>
      </c>
      <c r="D8467" t="s">
        <v>2912</v>
      </c>
      <c r="E8467">
        <v>375252</v>
      </c>
      <c r="F8467" s="11">
        <v>1</v>
      </c>
    </row>
    <row r="8468" spans="1:6" x14ac:dyDescent="0.35">
      <c r="A8468" t="s">
        <v>2857</v>
      </c>
      <c r="B8468" t="s">
        <v>2865</v>
      </c>
      <c r="C8468" t="s">
        <v>1550</v>
      </c>
      <c r="D8468" t="s">
        <v>2913</v>
      </c>
      <c r="E8468">
        <v>56789</v>
      </c>
      <c r="F8468" s="11">
        <v>1</v>
      </c>
    </row>
    <row r="8469" spans="1:6" x14ac:dyDescent="0.35">
      <c r="A8469" t="s">
        <v>2857</v>
      </c>
      <c r="B8469" t="s">
        <v>2865</v>
      </c>
      <c r="C8469" t="s">
        <v>1550</v>
      </c>
      <c r="D8469" t="s">
        <v>2914</v>
      </c>
      <c r="E8469">
        <v>11842</v>
      </c>
      <c r="F8469" s="11">
        <v>1</v>
      </c>
    </row>
    <row r="8470" spans="1:6" x14ac:dyDescent="0.35">
      <c r="A8470" t="s">
        <v>2857</v>
      </c>
      <c r="B8470" t="s">
        <v>2865</v>
      </c>
      <c r="C8470" t="s">
        <v>1550</v>
      </c>
      <c r="D8470" t="s">
        <v>2915</v>
      </c>
      <c r="E8470">
        <v>3530</v>
      </c>
      <c r="F8470" s="11">
        <v>1</v>
      </c>
    </row>
    <row r="8471" spans="1:6" x14ac:dyDescent="0.35">
      <c r="A8471" t="s">
        <v>2857</v>
      </c>
      <c r="B8471" t="s">
        <v>2865</v>
      </c>
      <c r="C8471" t="s">
        <v>1550</v>
      </c>
      <c r="D8471" t="s">
        <v>2916</v>
      </c>
      <c r="E8471">
        <v>30476</v>
      </c>
      <c r="F8471" s="11">
        <v>1</v>
      </c>
    </row>
    <row r="8472" spans="1:6" x14ac:dyDescent="0.35">
      <c r="A8472" t="s">
        <v>2857</v>
      </c>
      <c r="B8472" t="s">
        <v>2865</v>
      </c>
      <c r="C8472" t="s">
        <v>1550</v>
      </c>
      <c r="D8472" t="s">
        <v>2917</v>
      </c>
      <c r="E8472">
        <v>0</v>
      </c>
      <c r="F8472" s="11">
        <v>0</v>
      </c>
    </row>
    <row r="8473" spans="1:6" x14ac:dyDescent="0.35">
      <c r="A8473" t="s">
        <v>2857</v>
      </c>
      <c r="B8473" t="s">
        <v>2863</v>
      </c>
      <c r="C8473" t="s">
        <v>1482</v>
      </c>
      <c r="D8473" t="s">
        <v>2875</v>
      </c>
      <c r="E8473">
        <v>15790</v>
      </c>
      <c r="F8473" s="11">
        <v>1</v>
      </c>
    </row>
    <row r="8474" spans="1:6" x14ac:dyDescent="0.35">
      <c r="A8474" t="s">
        <v>2857</v>
      </c>
      <c r="B8474" t="s">
        <v>2863</v>
      </c>
      <c r="C8474" t="s">
        <v>1482</v>
      </c>
      <c r="D8474" t="s">
        <v>2876</v>
      </c>
      <c r="E8474">
        <v>5463</v>
      </c>
      <c r="F8474" s="11">
        <v>1</v>
      </c>
    </row>
    <row r="8475" spans="1:6" x14ac:dyDescent="0.35">
      <c r="A8475" t="s">
        <v>2857</v>
      </c>
      <c r="B8475" t="s">
        <v>2863</v>
      </c>
      <c r="C8475" t="s">
        <v>1482</v>
      </c>
      <c r="D8475" t="s">
        <v>2877</v>
      </c>
      <c r="E8475">
        <v>1115</v>
      </c>
      <c r="F8475" s="11">
        <v>1</v>
      </c>
    </row>
    <row r="8476" spans="1:6" x14ac:dyDescent="0.35">
      <c r="A8476" t="s">
        <v>2857</v>
      </c>
      <c r="B8476" t="s">
        <v>2863</v>
      </c>
      <c r="C8476" t="s">
        <v>1482</v>
      </c>
      <c r="D8476" t="s">
        <v>2878</v>
      </c>
      <c r="E8476">
        <v>9212</v>
      </c>
      <c r="F8476" s="11">
        <v>1</v>
      </c>
    </row>
    <row r="8477" spans="1:6" x14ac:dyDescent="0.35">
      <c r="A8477" t="s">
        <v>2857</v>
      </c>
      <c r="B8477" t="s">
        <v>2863</v>
      </c>
      <c r="C8477" t="s">
        <v>1482</v>
      </c>
      <c r="D8477" t="s">
        <v>2879</v>
      </c>
      <c r="E8477">
        <v>2746</v>
      </c>
      <c r="F8477" s="11">
        <v>1</v>
      </c>
    </row>
    <row r="8478" spans="1:6" x14ac:dyDescent="0.35">
      <c r="A8478" t="s">
        <v>2857</v>
      </c>
      <c r="B8478" t="s">
        <v>2863</v>
      </c>
      <c r="C8478" t="s">
        <v>1482</v>
      </c>
      <c r="D8478" t="s">
        <v>2880</v>
      </c>
      <c r="E8478">
        <v>0</v>
      </c>
      <c r="F8478" s="11">
        <v>0</v>
      </c>
    </row>
    <row r="8479" spans="1:6" x14ac:dyDescent="0.35">
      <c r="A8479" t="s">
        <v>2857</v>
      </c>
      <c r="B8479" t="s">
        <v>2863</v>
      </c>
      <c r="C8479" t="s">
        <v>1482</v>
      </c>
      <c r="D8479" t="s">
        <v>2881</v>
      </c>
      <c r="E8479">
        <v>0</v>
      </c>
      <c r="F8479" s="11">
        <v>0</v>
      </c>
    </row>
    <row r="8480" spans="1:6" x14ac:dyDescent="0.35">
      <c r="A8480" t="s">
        <v>2857</v>
      </c>
      <c r="B8480" t="s">
        <v>2863</v>
      </c>
      <c r="C8480" t="s">
        <v>1482</v>
      </c>
      <c r="D8480" t="s">
        <v>2882</v>
      </c>
      <c r="E8480">
        <v>0</v>
      </c>
      <c r="F8480" s="11">
        <v>0</v>
      </c>
    </row>
    <row r="8481" spans="1:6" x14ac:dyDescent="0.35">
      <c r="A8481" t="s">
        <v>2857</v>
      </c>
      <c r="B8481" t="s">
        <v>2863</v>
      </c>
      <c r="C8481" t="s">
        <v>1482</v>
      </c>
      <c r="D8481" t="s">
        <v>2883</v>
      </c>
      <c r="E8481">
        <v>0</v>
      </c>
      <c r="F8481" s="11">
        <v>0</v>
      </c>
    </row>
    <row r="8482" spans="1:6" x14ac:dyDescent="0.35">
      <c r="A8482" t="s">
        <v>2857</v>
      </c>
      <c r="B8482" t="s">
        <v>2863</v>
      </c>
      <c r="C8482" t="s">
        <v>1482</v>
      </c>
      <c r="D8482" t="s">
        <v>2884</v>
      </c>
      <c r="E8482">
        <v>0</v>
      </c>
      <c r="F8482" s="11">
        <v>0</v>
      </c>
    </row>
    <row r="8483" spans="1:6" x14ac:dyDescent="0.35">
      <c r="A8483" t="s">
        <v>2857</v>
      </c>
      <c r="B8483" t="s">
        <v>2863</v>
      </c>
      <c r="C8483" t="s">
        <v>1482</v>
      </c>
      <c r="D8483" t="s">
        <v>2885</v>
      </c>
      <c r="E8483">
        <v>0</v>
      </c>
      <c r="F8483" s="11">
        <v>0</v>
      </c>
    </row>
    <row r="8484" spans="1:6" x14ac:dyDescent="0.35">
      <c r="A8484" t="s">
        <v>2857</v>
      </c>
      <c r="B8484" t="s">
        <v>2863</v>
      </c>
      <c r="C8484" t="s">
        <v>1482</v>
      </c>
      <c r="D8484" t="s">
        <v>2886</v>
      </c>
      <c r="E8484">
        <v>0</v>
      </c>
      <c r="F8484" s="11">
        <v>0</v>
      </c>
    </row>
    <row r="8485" spans="1:6" x14ac:dyDescent="0.35">
      <c r="A8485" t="s">
        <v>2857</v>
      </c>
      <c r="B8485" t="s">
        <v>2863</v>
      </c>
      <c r="C8485" t="s">
        <v>1482</v>
      </c>
      <c r="D8485" t="s">
        <v>2887</v>
      </c>
      <c r="E8485">
        <v>44290</v>
      </c>
      <c r="F8485" s="11">
        <v>1</v>
      </c>
    </row>
    <row r="8486" spans="1:6" x14ac:dyDescent="0.35">
      <c r="A8486" t="s">
        <v>2857</v>
      </c>
      <c r="B8486" t="s">
        <v>2863</v>
      </c>
      <c r="C8486" t="s">
        <v>1482</v>
      </c>
      <c r="D8486" t="s">
        <v>2888</v>
      </c>
      <c r="E8486">
        <v>0</v>
      </c>
      <c r="F8486" s="11">
        <v>0</v>
      </c>
    </row>
    <row r="8487" spans="1:6" x14ac:dyDescent="0.35">
      <c r="A8487" t="s">
        <v>2857</v>
      </c>
      <c r="B8487" t="s">
        <v>2863</v>
      </c>
      <c r="C8487" t="s">
        <v>1482</v>
      </c>
      <c r="D8487" t="s">
        <v>2889</v>
      </c>
      <c r="E8487">
        <v>0</v>
      </c>
      <c r="F8487" s="11">
        <v>0</v>
      </c>
    </row>
    <row r="8488" spans="1:6" x14ac:dyDescent="0.35">
      <c r="A8488" t="s">
        <v>2857</v>
      </c>
      <c r="B8488" t="s">
        <v>2863</v>
      </c>
      <c r="C8488" t="s">
        <v>1482</v>
      </c>
      <c r="D8488" t="s">
        <v>2890</v>
      </c>
      <c r="E8488">
        <v>0</v>
      </c>
      <c r="F8488" s="11">
        <v>0</v>
      </c>
    </row>
    <row r="8489" spans="1:6" x14ac:dyDescent="0.35">
      <c r="A8489" t="s">
        <v>2857</v>
      </c>
      <c r="B8489" t="s">
        <v>2863</v>
      </c>
      <c r="C8489" t="s">
        <v>1482</v>
      </c>
      <c r="D8489" t="s">
        <v>2891</v>
      </c>
      <c r="E8489">
        <v>0</v>
      </c>
      <c r="F8489" s="11">
        <v>0</v>
      </c>
    </row>
    <row r="8490" spans="1:6" x14ac:dyDescent="0.35">
      <c r="A8490" t="s">
        <v>2857</v>
      </c>
      <c r="B8490" t="s">
        <v>2863</v>
      </c>
      <c r="C8490" t="s">
        <v>1482</v>
      </c>
      <c r="D8490" t="s">
        <v>2892</v>
      </c>
      <c r="E8490">
        <v>0</v>
      </c>
      <c r="F8490" s="11">
        <v>0</v>
      </c>
    </row>
    <row r="8491" spans="1:6" x14ac:dyDescent="0.35">
      <c r="A8491" t="s">
        <v>2857</v>
      </c>
      <c r="B8491" t="s">
        <v>2863</v>
      </c>
      <c r="C8491" t="s">
        <v>1482</v>
      </c>
      <c r="D8491" t="s">
        <v>2893</v>
      </c>
      <c r="E8491">
        <v>0</v>
      </c>
      <c r="F8491" s="11">
        <v>0</v>
      </c>
    </row>
    <row r="8492" spans="1:6" x14ac:dyDescent="0.35">
      <c r="A8492" t="s">
        <v>2857</v>
      </c>
      <c r="B8492" t="s">
        <v>2863</v>
      </c>
      <c r="C8492" t="s">
        <v>1482</v>
      </c>
      <c r="D8492" t="s">
        <v>2894</v>
      </c>
      <c r="E8492">
        <v>0</v>
      </c>
      <c r="F8492" s="11">
        <v>0</v>
      </c>
    </row>
    <row r="8493" spans="1:6" x14ac:dyDescent="0.35">
      <c r="A8493" t="s">
        <v>2857</v>
      </c>
      <c r="B8493" t="s">
        <v>2863</v>
      </c>
      <c r="C8493" t="s">
        <v>1482</v>
      </c>
      <c r="D8493" t="s">
        <v>2895</v>
      </c>
      <c r="E8493">
        <v>244404</v>
      </c>
      <c r="F8493" s="11">
        <v>1</v>
      </c>
    </row>
    <row r="8494" spans="1:6" x14ac:dyDescent="0.35">
      <c r="A8494" t="s">
        <v>2857</v>
      </c>
      <c r="B8494" t="s">
        <v>2863</v>
      </c>
      <c r="C8494" t="s">
        <v>1482</v>
      </c>
      <c r="D8494" t="s">
        <v>2896</v>
      </c>
      <c r="E8494">
        <v>0</v>
      </c>
      <c r="F8494" s="11">
        <v>0</v>
      </c>
    </row>
    <row r="8495" spans="1:6" x14ac:dyDescent="0.35">
      <c r="A8495" t="s">
        <v>2857</v>
      </c>
      <c r="B8495" t="s">
        <v>2863</v>
      </c>
      <c r="C8495" t="s">
        <v>1482</v>
      </c>
      <c r="D8495" t="s">
        <v>2897</v>
      </c>
      <c r="E8495">
        <v>0</v>
      </c>
      <c r="F8495" s="11">
        <v>0</v>
      </c>
    </row>
    <row r="8496" spans="1:6" x14ac:dyDescent="0.35">
      <c r="A8496" t="s">
        <v>2857</v>
      </c>
      <c r="B8496" t="s">
        <v>2863</v>
      </c>
      <c r="C8496" t="s">
        <v>1482</v>
      </c>
      <c r="D8496" t="s">
        <v>2898</v>
      </c>
      <c r="E8496">
        <v>0</v>
      </c>
      <c r="F8496" s="11">
        <v>0</v>
      </c>
    </row>
    <row r="8497" spans="1:6" x14ac:dyDescent="0.35">
      <c r="A8497" t="s">
        <v>2857</v>
      </c>
      <c r="B8497" t="s">
        <v>2863</v>
      </c>
      <c r="C8497" t="s">
        <v>1482</v>
      </c>
      <c r="D8497" t="s">
        <v>2899</v>
      </c>
      <c r="E8497">
        <v>7303</v>
      </c>
      <c r="F8497" s="11">
        <v>1</v>
      </c>
    </row>
    <row r="8498" spans="1:6" x14ac:dyDescent="0.35">
      <c r="A8498" t="s">
        <v>2857</v>
      </c>
      <c r="B8498" t="s">
        <v>2863</v>
      </c>
      <c r="C8498" t="s">
        <v>1482</v>
      </c>
      <c r="D8498" t="s">
        <v>2900</v>
      </c>
      <c r="E8498">
        <v>0</v>
      </c>
      <c r="F8498" s="11">
        <v>0</v>
      </c>
    </row>
    <row r="8499" spans="1:6" x14ac:dyDescent="0.35">
      <c r="A8499" t="s">
        <v>2857</v>
      </c>
      <c r="B8499" t="s">
        <v>2863</v>
      </c>
      <c r="C8499" t="s">
        <v>1482</v>
      </c>
      <c r="D8499" t="s">
        <v>2901</v>
      </c>
      <c r="E8499">
        <v>0</v>
      </c>
      <c r="F8499" s="11">
        <v>0</v>
      </c>
    </row>
    <row r="8500" spans="1:6" x14ac:dyDescent="0.35">
      <c r="A8500" t="s">
        <v>2857</v>
      </c>
      <c r="B8500" t="s">
        <v>2863</v>
      </c>
      <c r="C8500" t="s">
        <v>1482</v>
      </c>
      <c r="D8500" t="s">
        <v>2902</v>
      </c>
      <c r="E8500">
        <v>0</v>
      </c>
      <c r="F8500" s="11">
        <v>0</v>
      </c>
    </row>
    <row r="8501" spans="1:6" x14ac:dyDescent="0.35">
      <c r="A8501" t="s">
        <v>2857</v>
      </c>
      <c r="B8501" t="s">
        <v>2863</v>
      </c>
      <c r="C8501" t="s">
        <v>1482</v>
      </c>
      <c r="D8501" t="s">
        <v>2903</v>
      </c>
      <c r="E8501">
        <v>11401</v>
      </c>
      <c r="F8501" s="11">
        <v>1</v>
      </c>
    </row>
    <row r="8502" spans="1:6" x14ac:dyDescent="0.35">
      <c r="A8502" t="s">
        <v>2857</v>
      </c>
      <c r="B8502" t="s">
        <v>2863</v>
      </c>
      <c r="C8502" t="s">
        <v>1482</v>
      </c>
      <c r="D8502" t="s">
        <v>2904</v>
      </c>
      <c r="E8502">
        <v>0</v>
      </c>
      <c r="F8502" s="11">
        <v>0</v>
      </c>
    </row>
    <row r="8503" spans="1:6" x14ac:dyDescent="0.35">
      <c r="A8503" t="s">
        <v>2857</v>
      </c>
      <c r="B8503" t="s">
        <v>2863</v>
      </c>
      <c r="C8503" t="s">
        <v>1482</v>
      </c>
      <c r="D8503" t="s">
        <v>2905</v>
      </c>
      <c r="E8503">
        <v>0</v>
      </c>
      <c r="F8503" s="11">
        <v>0</v>
      </c>
    </row>
    <row r="8504" spans="1:6" x14ac:dyDescent="0.35">
      <c r="A8504" t="s">
        <v>2857</v>
      </c>
      <c r="B8504" t="s">
        <v>2863</v>
      </c>
      <c r="C8504" t="s">
        <v>1482</v>
      </c>
      <c r="D8504" t="s">
        <v>2906</v>
      </c>
      <c r="E8504">
        <v>0</v>
      </c>
      <c r="F8504" s="11">
        <v>0</v>
      </c>
    </row>
    <row r="8505" spans="1:6" x14ac:dyDescent="0.35">
      <c r="A8505" t="s">
        <v>2857</v>
      </c>
      <c r="B8505" t="s">
        <v>2863</v>
      </c>
      <c r="C8505" t="s">
        <v>1482</v>
      </c>
      <c r="D8505" t="s">
        <v>2907</v>
      </c>
      <c r="E8505">
        <v>17238</v>
      </c>
      <c r="F8505" s="11">
        <v>1</v>
      </c>
    </row>
    <row r="8506" spans="1:6" x14ac:dyDescent="0.35">
      <c r="A8506" t="s">
        <v>2857</v>
      </c>
      <c r="B8506" t="s">
        <v>2863</v>
      </c>
      <c r="C8506" t="s">
        <v>1482</v>
      </c>
      <c r="D8506" t="s">
        <v>2908</v>
      </c>
      <c r="E8506">
        <v>0</v>
      </c>
      <c r="F8506" s="11">
        <v>0</v>
      </c>
    </row>
    <row r="8507" spans="1:6" x14ac:dyDescent="0.35">
      <c r="A8507" t="s">
        <v>2857</v>
      </c>
      <c r="B8507" t="s">
        <v>2863</v>
      </c>
      <c r="C8507" t="s">
        <v>1482</v>
      </c>
      <c r="D8507" t="s">
        <v>2909</v>
      </c>
      <c r="E8507">
        <v>0</v>
      </c>
      <c r="F8507" s="11">
        <v>0</v>
      </c>
    </row>
    <row r="8508" spans="1:6" x14ac:dyDescent="0.35">
      <c r="A8508" t="s">
        <v>2857</v>
      </c>
      <c r="B8508" t="s">
        <v>2863</v>
      </c>
      <c r="C8508" t="s">
        <v>1482</v>
      </c>
      <c r="D8508" t="s">
        <v>2910</v>
      </c>
      <c r="E8508">
        <v>0</v>
      </c>
      <c r="F8508" s="11">
        <v>0</v>
      </c>
    </row>
    <row r="8509" spans="1:6" x14ac:dyDescent="0.35">
      <c r="A8509" t="s">
        <v>2857</v>
      </c>
      <c r="B8509" t="s">
        <v>2863</v>
      </c>
      <c r="C8509" t="s">
        <v>1482</v>
      </c>
      <c r="D8509" t="s">
        <v>2911</v>
      </c>
      <c r="E8509">
        <v>185980</v>
      </c>
      <c r="F8509" s="11">
        <v>1</v>
      </c>
    </row>
    <row r="8510" spans="1:6" x14ac:dyDescent="0.35">
      <c r="A8510" t="s">
        <v>2857</v>
      </c>
      <c r="B8510" t="s">
        <v>2863</v>
      </c>
      <c r="C8510" t="s">
        <v>1482</v>
      </c>
      <c r="D8510" t="s">
        <v>2912</v>
      </c>
      <c r="E8510">
        <v>72108</v>
      </c>
      <c r="F8510" s="11">
        <v>1</v>
      </c>
    </row>
    <row r="8511" spans="1:6" x14ac:dyDescent="0.35">
      <c r="A8511" t="s">
        <v>2857</v>
      </c>
      <c r="B8511" t="s">
        <v>2863</v>
      </c>
      <c r="C8511" t="s">
        <v>1482</v>
      </c>
      <c r="D8511" t="s">
        <v>2913</v>
      </c>
      <c r="E8511">
        <v>0</v>
      </c>
      <c r="F8511" s="11">
        <v>0</v>
      </c>
    </row>
    <row r="8512" spans="1:6" x14ac:dyDescent="0.35">
      <c r="A8512" t="s">
        <v>2857</v>
      </c>
      <c r="B8512" t="s">
        <v>2863</v>
      </c>
      <c r="C8512" t="s">
        <v>1482</v>
      </c>
      <c r="D8512" t="s">
        <v>2914</v>
      </c>
      <c r="E8512">
        <v>0</v>
      </c>
      <c r="F8512" s="11">
        <v>0</v>
      </c>
    </row>
    <row r="8513" spans="1:6" x14ac:dyDescent="0.35">
      <c r="A8513" t="s">
        <v>2857</v>
      </c>
      <c r="B8513" t="s">
        <v>2863</v>
      </c>
      <c r="C8513" t="s">
        <v>1482</v>
      </c>
      <c r="D8513" t="s">
        <v>2915</v>
      </c>
      <c r="E8513">
        <v>1123</v>
      </c>
      <c r="F8513" s="11">
        <v>1</v>
      </c>
    </row>
    <row r="8514" spans="1:6" x14ac:dyDescent="0.35">
      <c r="A8514" t="s">
        <v>2857</v>
      </c>
      <c r="B8514" t="s">
        <v>2863</v>
      </c>
      <c r="C8514" t="s">
        <v>1482</v>
      </c>
      <c r="D8514" t="s">
        <v>2916</v>
      </c>
      <c r="E8514">
        <v>43239</v>
      </c>
      <c r="F8514" s="11">
        <v>1</v>
      </c>
    </row>
    <row r="8515" spans="1:6" x14ac:dyDescent="0.35">
      <c r="A8515" t="s">
        <v>2857</v>
      </c>
      <c r="B8515" t="s">
        <v>2863</v>
      </c>
      <c r="C8515" t="s">
        <v>1482</v>
      </c>
      <c r="D8515" t="s">
        <v>2917</v>
      </c>
      <c r="E8515">
        <v>29087</v>
      </c>
      <c r="F8515" s="11">
        <v>1</v>
      </c>
    </row>
    <row r="8516" spans="1:6" x14ac:dyDescent="0.35">
      <c r="A8516" t="s">
        <v>2857</v>
      </c>
      <c r="B8516" t="s">
        <v>2862</v>
      </c>
      <c r="C8516" t="s">
        <v>1453</v>
      </c>
      <c r="D8516" t="s">
        <v>2875</v>
      </c>
      <c r="E8516">
        <v>191589</v>
      </c>
      <c r="F8516" s="11">
        <v>1</v>
      </c>
    </row>
    <row r="8517" spans="1:6" x14ac:dyDescent="0.35">
      <c r="A8517" t="s">
        <v>2857</v>
      </c>
      <c r="B8517" t="s">
        <v>2862</v>
      </c>
      <c r="C8517" t="s">
        <v>1453</v>
      </c>
      <c r="D8517" t="s">
        <v>2876</v>
      </c>
      <c r="E8517">
        <v>45240</v>
      </c>
      <c r="F8517" s="11">
        <v>1</v>
      </c>
    </row>
    <row r="8518" spans="1:6" x14ac:dyDescent="0.35">
      <c r="A8518" t="s">
        <v>2857</v>
      </c>
      <c r="B8518" t="s">
        <v>2862</v>
      </c>
      <c r="C8518" t="s">
        <v>1453</v>
      </c>
      <c r="D8518" t="s">
        <v>2877</v>
      </c>
      <c r="E8518">
        <v>12271</v>
      </c>
      <c r="F8518" s="11">
        <v>1</v>
      </c>
    </row>
    <row r="8519" spans="1:6" x14ac:dyDescent="0.35">
      <c r="A8519" t="s">
        <v>2857</v>
      </c>
      <c r="B8519" t="s">
        <v>2862</v>
      </c>
      <c r="C8519" t="s">
        <v>1453</v>
      </c>
      <c r="D8519" t="s">
        <v>2878</v>
      </c>
      <c r="E8519">
        <v>134078</v>
      </c>
      <c r="F8519" s="11">
        <v>1</v>
      </c>
    </row>
    <row r="8520" spans="1:6" x14ac:dyDescent="0.35">
      <c r="A8520" t="s">
        <v>2857</v>
      </c>
      <c r="B8520" t="s">
        <v>2862</v>
      </c>
      <c r="C8520" t="s">
        <v>1453</v>
      </c>
      <c r="D8520" t="s">
        <v>2879</v>
      </c>
      <c r="E8520">
        <v>15556</v>
      </c>
      <c r="F8520" s="11">
        <v>1</v>
      </c>
    </row>
    <row r="8521" spans="1:6" x14ac:dyDescent="0.35">
      <c r="A8521" t="s">
        <v>2857</v>
      </c>
      <c r="B8521" t="s">
        <v>2862</v>
      </c>
      <c r="C8521" t="s">
        <v>1453</v>
      </c>
      <c r="D8521" t="s">
        <v>2880</v>
      </c>
      <c r="E8521">
        <v>9247</v>
      </c>
      <c r="F8521" s="11">
        <v>1</v>
      </c>
    </row>
    <row r="8522" spans="1:6" x14ac:dyDescent="0.35">
      <c r="A8522" t="s">
        <v>2857</v>
      </c>
      <c r="B8522" t="s">
        <v>2862</v>
      </c>
      <c r="C8522" t="s">
        <v>1453</v>
      </c>
      <c r="D8522" t="s">
        <v>2881</v>
      </c>
      <c r="E8522">
        <v>160</v>
      </c>
      <c r="F8522" s="11">
        <v>1</v>
      </c>
    </row>
    <row r="8523" spans="1:6" x14ac:dyDescent="0.35">
      <c r="A8523" t="s">
        <v>2857</v>
      </c>
      <c r="B8523" t="s">
        <v>2862</v>
      </c>
      <c r="C8523" t="s">
        <v>1453</v>
      </c>
      <c r="D8523" t="s">
        <v>2882</v>
      </c>
      <c r="E8523">
        <v>2412</v>
      </c>
      <c r="F8523" s="11">
        <v>1</v>
      </c>
    </row>
    <row r="8524" spans="1:6" x14ac:dyDescent="0.35">
      <c r="A8524" t="s">
        <v>2857</v>
      </c>
      <c r="B8524" t="s">
        <v>2862</v>
      </c>
      <c r="C8524" t="s">
        <v>1453</v>
      </c>
      <c r="D8524" t="s">
        <v>2883</v>
      </c>
      <c r="E8524">
        <v>0</v>
      </c>
      <c r="F8524" s="11">
        <v>0</v>
      </c>
    </row>
    <row r="8525" spans="1:6" x14ac:dyDescent="0.35">
      <c r="A8525" t="s">
        <v>2857</v>
      </c>
      <c r="B8525" t="s">
        <v>2862</v>
      </c>
      <c r="C8525" t="s">
        <v>1453</v>
      </c>
      <c r="D8525" t="s">
        <v>2884</v>
      </c>
      <c r="E8525">
        <v>0</v>
      </c>
      <c r="F8525" s="11">
        <v>0</v>
      </c>
    </row>
    <row r="8526" spans="1:6" x14ac:dyDescent="0.35">
      <c r="A8526" t="s">
        <v>2857</v>
      </c>
      <c r="B8526" t="s">
        <v>2862</v>
      </c>
      <c r="C8526" t="s">
        <v>1453</v>
      </c>
      <c r="D8526" t="s">
        <v>2885</v>
      </c>
      <c r="E8526">
        <v>0</v>
      </c>
      <c r="F8526" s="11">
        <v>0</v>
      </c>
    </row>
    <row r="8527" spans="1:6" x14ac:dyDescent="0.35">
      <c r="A8527" t="s">
        <v>2857</v>
      </c>
      <c r="B8527" t="s">
        <v>2862</v>
      </c>
      <c r="C8527" t="s">
        <v>1453</v>
      </c>
      <c r="D8527" t="s">
        <v>2886</v>
      </c>
      <c r="E8527">
        <v>0</v>
      </c>
      <c r="F8527" s="11">
        <v>0</v>
      </c>
    </row>
    <row r="8528" spans="1:6" x14ac:dyDescent="0.35">
      <c r="A8528" t="s">
        <v>2857</v>
      </c>
      <c r="B8528" t="s">
        <v>2862</v>
      </c>
      <c r="C8528" t="s">
        <v>1453</v>
      </c>
      <c r="D8528" t="s">
        <v>2887</v>
      </c>
      <c r="E8528">
        <v>276690</v>
      </c>
      <c r="F8528" s="11">
        <v>1</v>
      </c>
    </row>
    <row r="8529" spans="1:6" x14ac:dyDescent="0.35">
      <c r="A8529" t="s">
        <v>2857</v>
      </c>
      <c r="B8529" t="s">
        <v>2862</v>
      </c>
      <c r="C8529" t="s">
        <v>1453</v>
      </c>
      <c r="D8529" t="s">
        <v>2888</v>
      </c>
      <c r="E8529">
        <v>142393</v>
      </c>
      <c r="F8529" s="11">
        <v>1</v>
      </c>
    </row>
    <row r="8530" spans="1:6" x14ac:dyDescent="0.35">
      <c r="A8530" t="s">
        <v>2857</v>
      </c>
      <c r="B8530" t="s">
        <v>2862</v>
      </c>
      <c r="C8530" t="s">
        <v>1453</v>
      </c>
      <c r="D8530" t="s">
        <v>2889</v>
      </c>
      <c r="E8530">
        <v>0</v>
      </c>
      <c r="F8530" s="11">
        <v>1</v>
      </c>
    </row>
    <row r="8531" spans="1:6" x14ac:dyDescent="0.35">
      <c r="A8531" t="s">
        <v>2857</v>
      </c>
      <c r="B8531" t="s">
        <v>2862</v>
      </c>
      <c r="C8531" t="s">
        <v>1453</v>
      </c>
      <c r="D8531" t="s">
        <v>2890</v>
      </c>
      <c r="E8531">
        <v>134297</v>
      </c>
      <c r="F8531" s="11">
        <v>0</v>
      </c>
    </row>
    <row r="8532" spans="1:6" x14ac:dyDescent="0.35">
      <c r="A8532" t="s">
        <v>2857</v>
      </c>
      <c r="B8532" t="s">
        <v>2862</v>
      </c>
      <c r="C8532" t="s">
        <v>1453</v>
      </c>
      <c r="D8532" t="s">
        <v>2891</v>
      </c>
      <c r="E8532">
        <v>0</v>
      </c>
      <c r="F8532" s="11">
        <v>0</v>
      </c>
    </row>
    <row r="8533" spans="1:6" x14ac:dyDescent="0.35">
      <c r="A8533" t="s">
        <v>2857</v>
      </c>
      <c r="B8533" t="s">
        <v>2862</v>
      </c>
      <c r="C8533" t="s">
        <v>1453</v>
      </c>
      <c r="D8533" t="s">
        <v>2892</v>
      </c>
      <c r="E8533">
        <v>0</v>
      </c>
      <c r="F8533" s="11">
        <v>0</v>
      </c>
    </row>
    <row r="8534" spans="1:6" x14ac:dyDescent="0.35">
      <c r="A8534" t="s">
        <v>2857</v>
      </c>
      <c r="B8534" t="s">
        <v>2862</v>
      </c>
      <c r="C8534" t="s">
        <v>1453</v>
      </c>
      <c r="D8534" t="s">
        <v>2893</v>
      </c>
      <c r="E8534">
        <v>0</v>
      </c>
      <c r="F8534" s="11">
        <v>0</v>
      </c>
    </row>
    <row r="8535" spans="1:6" x14ac:dyDescent="0.35">
      <c r="A8535" t="s">
        <v>2857</v>
      </c>
      <c r="B8535" t="s">
        <v>2862</v>
      </c>
      <c r="C8535" t="s">
        <v>1453</v>
      </c>
      <c r="D8535" t="s">
        <v>2894</v>
      </c>
      <c r="E8535">
        <v>0</v>
      </c>
      <c r="F8535" s="11">
        <v>0</v>
      </c>
    </row>
    <row r="8536" spans="1:6" x14ac:dyDescent="0.35">
      <c r="A8536" t="s">
        <v>2857</v>
      </c>
      <c r="B8536" t="s">
        <v>2862</v>
      </c>
      <c r="C8536" t="s">
        <v>1453</v>
      </c>
      <c r="D8536" t="s">
        <v>2895</v>
      </c>
      <c r="E8536">
        <v>3951597</v>
      </c>
      <c r="F8536" s="11">
        <v>1</v>
      </c>
    </row>
    <row r="8537" spans="1:6" x14ac:dyDescent="0.35">
      <c r="A8537" t="s">
        <v>2857</v>
      </c>
      <c r="B8537" t="s">
        <v>2862</v>
      </c>
      <c r="C8537" t="s">
        <v>1453</v>
      </c>
      <c r="D8537" t="s">
        <v>2896</v>
      </c>
      <c r="E8537">
        <v>2181948</v>
      </c>
      <c r="F8537" s="11">
        <v>1</v>
      </c>
    </row>
    <row r="8538" spans="1:6" x14ac:dyDescent="0.35">
      <c r="A8538" t="s">
        <v>2857</v>
      </c>
      <c r="B8538" t="s">
        <v>2862</v>
      </c>
      <c r="C8538" t="s">
        <v>1453</v>
      </c>
      <c r="D8538" t="s">
        <v>2897</v>
      </c>
      <c r="E8538">
        <v>76621</v>
      </c>
      <c r="F8538" s="11">
        <v>1</v>
      </c>
    </row>
    <row r="8539" spans="1:6" x14ac:dyDescent="0.35">
      <c r="A8539" t="s">
        <v>2857</v>
      </c>
      <c r="B8539" t="s">
        <v>2862</v>
      </c>
      <c r="C8539" t="s">
        <v>1453</v>
      </c>
      <c r="D8539" t="s">
        <v>2898</v>
      </c>
      <c r="E8539">
        <v>1693028</v>
      </c>
      <c r="F8539" s="11">
        <v>1</v>
      </c>
    </row>
    <row r="8540" spans="1:6" x14ac:dyDescent="0.35">
      <c r="A8540" t="s">
        <v>2857</v>
      </c>
      <c r="B8540" t="s">
        <v>2862</v>
      </c>
      <c r="C8540" t="s">
        <v>1453</v>
      </c>
      <c r="D8540" t="s">
        <v>2899</v>
      </c>
      <c r="E8540">
        <v>17131</v>
      </c>
      <c r="F8540" s="11">
        <v>1</v>
      </c>
    </row>
    <row r="8541" spans="1:6" x14ac:dyDescent="0.35">
      <c r="A8541" t="s">
        <v>2857</v>
      </c>
      <c r="B8541" t="s">
        <v>2862</v>
      </c>
      <c r="C8541" t="s">
        <v>1453</v>
      </c>
      <c r="D8541" t="s">
        <v>2900</v>
      </c>
      <c r="E8541">
        <v>4179</v>
      </c>
      <c r="F8541" s="11">
        <v>1</v>
      </c>
    </row>
    <row r="8542" spans="1:6" x14ac:dyDescent="0.35">
      <c r="A8542" t="s">
        <v>2857</v>
      </c>
      <c r="B8542" t="s">
        <v>2862</v>
      </c>
      <c r="C8542" t="s">
        <v>1453</v>
      </c>
      <c r="D8542" t="s">
        <v>2901</v>
      </c>
      <c r="E8542">
        <v>171</v>
      </c>
      <c r="F8542" s="11">
        <v>1</v>
      </c>
    </row>
    <row r="8543" spans="1:6" x14ac:dyDescent="0.35">
      <c r="A8543" t="s">
        <v>2857</v>
      </c>
      <c r="B8543" t="s">
        <v>2862</v>
      </c>
      <c r="C8543" t="s">
        <v>1453</v>
      </c>
      <c r="D8543" t="s">
        <v>2902</v>
      </c>
      <c r="E8543">
        <v>12781</v>
      </c>
      <c r="F8543" s="11">
        <v>1</v>
      </c>
    </row>
    <row r="8544" spans="1:6" x14ac:dyDescent="0.35">
      <c r="A8544" t="s">
        <v>2857</v>
      </c>
      <c r="B8544" t="s">
        <v>2862</v>
      </c>
      <c r="C8544" t="s">
        <v>1453</v>
      </c>
      <c r="D8544" t="s">
        <v>2903</v>
      </c>
      <c r="E8544">
        <v>144341</v>
      </c>
      <c r="F8544" s="11">
        <v>1</v>
      </c>
    </row>
    <row r="8545" spans="1:6" x14ac:dyDescent="0.35">
      <c r="A8545" t="s">
        <v>2857</v>
      </c>
      <c r="B8545" t="s">
        <v>2862</v>
      </c>
      <c r="C8545" t="s">
        <v>1453</v>
      </c>
      <c r="D8545" t="s">
        <v>2904</v>
      </c>
      <c r="E8545">
        <v>0</v>
      </c>
      <c r="F8545" s="11">
        <v>1</v>
      </c>
    </row>
    <row r="8546" spans="1:6" x14ac:dyDescent="0.35">
      <c r="A8546" t="s">
        <v>2857</v>
      </c>
      <c r="B8546" t="s">
        <v>2862</v>
      </c>
      <c r="C8546" t="s">
        <v>1453</v>
      </c>
      <c r="D8546" t="s">
        <v>2905</v>
      </c>
      <c r="E8546">
        <v>0</v>
      </c>
      <c r="F8546" s="11">
        <v>1</v>
      </c>
    </row>
    <row r="8547" spans="1:6" x14ac:dyDescent="0.35">
      <c r="A8547" t="s">
        <v>2857</v>
      </c>
      <c r="B8547" t="s">
        <v>2862</v>
      </c>
      <c r="C8547" t="s">
        <v>1453</v>
      </c>
      <c r="D8547" t="s">
        <v>2906</v>
      </c>
      <c r="E8547">
        <v>0</v>
      </c>
      <c r="F8547" s="11">
        <v>1</v>
      </c>
    </row>
    <row r="8548" spans="1:6" x14ac:dyDescent="0.35">
      <c r="A8548" t="s">
        <v>2857</v>
      </c>
      <c r="B8548" t="s">
        <v>2862</v>
      </c>
      <c r="C8548" t="s">
        <v>1453</v>
      </c>
      <c r="D8548" t="s">
        <v>2907</v>
      </c>
      <c r="E8548">
        <v>212999</v>
      </c>
      <c r="F8548" s="11">
        <v>1</v>
      </c>
    </row>
    <row r="8549" spans="1:6" x14ac:dyDescent="0.35">
      <c r="A8549" t="s">
        <v>2857</v>
      </c>
      <c r="B8549" t="s">
        <v>2862</v>
      </c>
      <c r="C8549" t="s">
        <v>1453</v>
      </c>
      <c r="D8549" t="s">
        <v>2908</v>
      </c>
      <c r="E8549">
        <v>0</v>
      </c>
      <c r="F8549" s="11">
        <v>1</v>
      </c>
    </row>
    <row r="8550" spans="1:6" x14ac:dyDescent="0.35">
      <c r="A8550" t="s">
        <v>2857</v>
      </c>
      <c r="B8550" t="s">
        <v>2862</v>
      </c>
      <c r="C8550" t="s">
        <v>1453</v>
      </c>
      <c r="D8550" t="s">
        <v>2909</v>
      </c>
      <c r="E8550">
        <v>0</v>
      </c>
      <c r="F8550" s="11">
        <v>1</v>
      </c>
    </row>
    <row r="8551" spans="1:6" x14ac:dyDescent="0.35">
      <c r="A8551" t="s">
        <v>2857</v>
      </c>
      <c r="B8551" t="s">
        <v>2862</v>
      </c>
      <c r="C8551" t="s">
        <v>1453</v>
      </c>
      <c r="D8551" t="s">
        <v>2910</v>
      </c>
      <c r="E8551">
        <v>0</v>
      </c>
      <c r="F8551" s="11">
        <v>1</v>
      </c>
    </row>
    <row r="8552" spans="1:6" x14ac:dyDescent="0.35">
      <c r="A8552" t="s">
        <v>2857</v>
      </c>
      <c r="B8552" t="s">
        <v>2862</v>
      </c>
      <c r="C8552" t="s">
        <v>1453</v>
      </c>
      <c r="D8552" t="s">
        <v>2911</v>
      </c>
      <c r="E8552">
        <v>1467662</v>
      </c>
      <c r="F8552" s="11">
        <v>1</v>
      </c>
    </row>
    <row r="8553" spans="1:6" x14ac:dyDescent="0.35">
      <c r="A8553" t="s">
        <v>2857</v>
      </c>
      <c r="B8553" t="s">
        <v>2862</v>
      </c>
      <c r="C8553" t="s">
        <v>1453</v>
      </c>
      <c r="D8553" t="s">
        <v>2912</v>
      </c>
      <c r="E8553">
        <v>1308496</v>
      </c>
      <c r="F8553" s="11">
        <v>1</v>
      </c>
    </row>
    <row r="8554" spans="1:6" x14ac:dyDescent="0.35">
      <c r="A8554" t="s">
        <v>2857</v>
      </c>
      <c r="B8554" t="s">
        <v>2862</v>
      </c>
      <c r="C8554" t="s">
        <v>1453</v>
      </c>
      <c r="D8554" t="s">
        <v>2913</v>
      </c>
      <c r="E8554">
        <v>0</v>
      </c>
      <c r="F8554" s="11">
        <v>0</v>
      </c>
    </row>
    <row r="8555" spans="1:6" x14ac:dyDescent="0.35">
      <c r="A8555" t="s">
        <v>2857</v>
      </c>
      <c r="B8555" t="s">
        <v>2862</v>
      </c>
      <c r="C8555" t="s">
        <v>1453</v>
      </c>
      <c r="D8555" t="s">
        <v>2914</v>
      </c>
      <c r="E8555">
        <v>0</v>
      </c>
      <c r="F8555" s="11">
        <v>0</v>
      </c>
    </row>
    <row r="8556" spans="1:6" x14ac:dyDescent="0.35">
      <c r="A8556" t="s">
        <v>2857</v>
      </c>
      <c r="B8556" t="s">
        <v>2862</v>
      </c>
      <c r="C8556" t="s">
        <v>1453</v>
      </c>
      <c r="D8556" t="s">
        <v>2915</v>
      </c>
      <c r="E8556">
        <v>1831</v>
      </c>
      <c r="F8556" s="11">
        <v>1</v>
      </c>
    </row>
    <row r="8557" spans="1:6" x14ac:dyDescent="0.35">
      <c r="A8557" t="s">
        <v>2857</v>
      </c>
      <c r="B8557" t="s">
        <v>2862</v>
      </c>
      <c r="C8557" t="s">
        <v>1453</v>
      </c>
      <c r="D8557" t="s">
        <v>2916</v>
      </c>
      <c r="E8557">
        <v>142842</v>
      </c>
      <c r="F8557" s="11">
        <v>1</v>
      </c>
    </row>
    <row r="8558" spans="1:6" x14ac:dyDescent="0.35">
      <c r="A8558" t="s">
        <v>2857</v>
      </c>
      <c r="B8558" t="s">
        <v>2862</v>
      </c>
      <c r="C8558" t="s">
        <v>1453</v>
      </c>
      <c r="D8558" t="s">
        <v>2917</v>
      </c>
      <c r="E8558">
        <v>0</v>
      </c>
      <c r="F8558" s="11">
        <v>0</v>
      </c>
    </row>
    <row r="8559" spans="1:6" x14ac:dyDescent="0.35">
      <c r="A8559" t="s">
        <v>2857</v>
      </c>
      <c r="B8559" t="s">
        <v>2866</v>
      </c>
      <c r="C8559" t="s">
        <v>1431</v>
      </c>
      <c r="D8559" t="s">
        <v>2875</v>
      </c>
      <c r="E8559">
        <v>0</v>
      </c>
      <c r="F8559" s="11">
        <v>1</v>
      </c>
    </row>
    <row r="8560" spans="1:6" x14ac:dyDescent="0.35">
      <c r="A8560" t="s">
        <v>2857</v>
      </c>
      <c r="B8560" t="s">
        <v>2866</v>
      </c>
      <c r="C8560" t="s">
        <v>1431</v>
      </c>
      <c r="D8560" t="s">
        <v>2876</v>
      </c>
      <c r="E8560">
        <v>0</v>
      </c>
      <c r="F8560" s="11">
        <v>1</v>
      </c>
    </row>
    <row r="8561" spans="1:6" x14ac:dyDescent="0.35">
      <c r="A8561" t="s">
        <v>2857</v>
      </c>
      <c r="B8561" t="s">
        <v>2866</v>
      </c>
      <c r="C8561" t="s">
        <v>1431</v>
      </c>
      <c r="D8561" t="s">
        <v>2877</v>
      </c>
      <c r="E8561">
        <v>0</v>
      </c>
      <c r="F8561" s="11">
        <v>1</v>
      </c>
    </row>
    <row r="8562" spans="1:6" x14ac:dyDescent="0.35">
      <c r="A8562" t="s">
        <v>2857</v>
      </c>
      <c r="B8562" t="s">
        <v>2866</v>
      </c>
      <c r="C8562" t="s">
        <v>1431</v>
      </c>
      <c r="D8562" t="s">
        <v>2878</v>
      </c>
      <c r="E8562">
        <v>0</v>
      </c>
      <c r="F8562" s="11">
        <v>1</v>
      </c>
    </row>
    <row r="8563" spans="1:6" x14ac:dyDescent="0.35">
      <c r="A8563" t="s">
        <v>2857</v>
      </c>
      <c r="B8563" t="s">
        <v>2866</v>
      </c>
      <c r="C8563" t="s">
        <v>1431</v>
      </c>
      <c r="D8563" t="s">
        <v>2879</v>
      </c>
      <c r="E8563">
        <v>3079</v>
      </c>
      <c r="F8563" s="11">
        <v>1</v>
      </c>
    </row>
    <row r="8564" spans="1:6" x14ac:dyDescent="0.35">
      <c r="A8564" t="s">
        <v>2857</v>
      </c>
      <c r="B8564" t="s">
        <v>2866</v>
      </c>
      <c r="C8564" t="s">
        <v>1431</v>
      </c>
      <c r="D8564" t="s">
        <v>2880</v>
      </c>
      <c r="E8564">
        <v>1925</v>
      </c>
      <c r="F8564" s="11">
        <v>1</v>
      </c>
    </row>
    <row r="8565" spans="1:6" x14ac:dyDescent="0.35">
      <c r="A8565" t="s">
        <v>2857</v>
      </c>
      <c r="B8565" t="s">
        <v>2866</v>
      </c>
      <c r="C8565" t="s">
        <v>1431</v>
      </c>
      <c r="D8565" t="s">
        <v>2881</v>
      </c>
      <c r="E8565">
        <v>0</v>
      </c>
      <c r="F8565" s="11">
        <v>1</v>
      </c>
    </row>
    <row r="8566" spans="1:6" x14ac:dyDescent="0.35">
      <c r="A8566" t="s">
        <v>2857</v>
      </c>
      <c r="B8566" t="s">
        <v>2866</v>
      </c>
      <c r="C8566" t="s">
        <v>1431</v>
      </c>
      <c r="D8566" t="s">
        <v>2882</v>
      </c>
      <c r="E8566">
        <v>1154</v>
      </c>
      <c r="F8566" s="11">
        <v>0</v>
      </c>
    </row>
    <row r="8567" spans="1:6" x14ac:dyDescent="0.35">
      <c r="A8567" t="s">
        <v>2857</v>
      </c>
      <c r="B8567" t="s">
        <v>2866</v>
      </c>
      <c r="C8567" t="s">
        <v>1431</v>
      </c>
      <c r="D8567" t="s">
        <v>2883</v>
      </c>
      <c r="E8567">
        <v>0</v>
      </c>
      <c r="F8567" s="11">
        <v>0</v>
      </c>
    </row>
    <row r="8568" spans="1:6" x14ac:dyDescent="0.35">
      <c r="A8568" t="s">
        <v>2857</v>
      </c>
      <c r="B8568" t="s">
        <v>2866</v>
      </c>
      <c r="C8568" t="s">
        <v>1431</v>
      </c>
      <c r="D8568" t="s">
        <v>2884</v>
      </c>
      <c r="E8568">
        <v>0</v>
      </c>
      <c r="F8568" s="11">
        <v>0</v>
      </c>
    </row>
    <row r="8569" spans="1:6" x14ac:dyDescent="0.35">
      <c r="A8569" t="s">
        <v>2857</v>
      </c>
      <c r="B8569" t="s">
        <v>2866</v>
      </c>
      <c r="C8569" t="s">
        <v>1431</v>
      </c>
      <c r="D8569" t="s">
        <v>2885</v>
      </c>
      <c r="E8569">
        <v>0</v>
      </c>
      <c r="F8569" s="11">
        <v>0</v>
      </c>
    </row>
    <row r="8570" spans="1:6" x14ac:dyDescent="0.35">
      <c r="A8570" t="s">
        <v>2857</v>
      </c>
      <c r="B8570" t="s">
        <v>2866</v>
      </c>
      <c r="C8570" t="s">
        <v>1431</v>
      </c>
      <c r="D8570" t="s">
        <v>2886</v>
      </c>
      <c r="E8570">
        <v>0</v>
      </c>
      <c r="F8570" s="11">
        <v>0</v>
      </c>
    </row>
    <row r="8571" spans="1:6" x14ac:dyDescent="0.35">
      <c r="A8571" t="s">
        <v>2857</v>
      </c>
      <c r="B8571" t="s">
        <v>2866</v>
      </c>
      <c r="C8571" t="s">
        <v>1431</v>
      </c>
      <c r="D8571" t="s">
        <v>2887</v>
      </c>
      <c r="E8571">
        <v>57184</v>
      </c>
      <c r="F8571" s="11">
        <v>1</v>
      </c>
    </row>
    <row r="8572" spans="1:6" x14ac:dyDescent="0.35">
      <c r="A8572" t="s">
        <v>2857</v>
      </c>
      <c r="B8572" t="s">
        <v>2866</v>
      </c>
      <c r="C8572" t="s">
        <v>1431</v>
      </c>
      <c r="D8572" t="s">
        <v>2888</v>
      </c>
      <c r="E8572">
        <v>43543</v>
      </c>
      <c r="F8572" s="11">
        <v>1</v>
      </c>
    </row>
    <row r="8573" spans="1:6" x14ac:dyDescent="0.35">
      <c r="A8573" t="s">
        <v>2857</v>
      </c>
      <c r="B8573" t="s">
        <v>2866</v>
      </c>
      <c r="C8573" t="s">
        <v>1431</v>
      </c>
      <c r="D8573" t="s">
        <v>2889</v>
      </c>
      <c r="E8573">
        <v>0</v>
      </c>
      <c r="F8573" s="11">
        <v>1</v>
      </c>
    </row>
    <row r="8574" spans="1:6" x14ac:dyDescent="0.35">
      <c r="A8574" t="s">
        <v>2857</v>
      </c>
      <c r="B8574" t="s">
        <v>2866</v>
      </c>
      <c r="C8574" t="s">
        <v>1431</v>
      </c>
      <c r="D8574" t="s">
        <v>2890</v>
      </c>
      <c r="E8574">
        <v>14550</v>
      </c>
      <c r="F8574" s="11">
        <v>0</v>
      </c>
    </row>
    <row r="8575" spans="1:6" x14ac:dyDescent="0.35">
      <c r="A8575" t="s">
        <v>2857</v>
      </c>
      <c r="B8575" t="s">
        <v>2866</v>
      </c>
      <c r="C8575" t="s">
        <v>1431</v>
      </c>
      <c r="D8575" t="s">
        <v>2891</v>
      </c>
      <c r="E8575">
        <v>0</v>
      </c>
      <c r="F8575" s="11">
        <v>0</v>
      </c>
    </row>
    <row r="8576" spans="1:6" x14ac:dyDescent="0.35">
      <c r="A8576" t="s">
        <v>2857</v>
      </c>
      <c r="B8576" t="s">
        <v>2866</v>
      </c>
      <c r="C8576" t="s">
        <v>1431</v>
      </c>
      <c r="D8576" t="s">
        <v>2892</v>
      </c>
      <c r="E8576">
        <v>0</v>
      </c>
      <c r="F8576" s="11">
        <v>0</v>
      </c>
    </row>
    <row r="8577" spans="1:6" x14ac:dyDescent="0.35">
      <c r="A8577" t="s">
        <v>2857</v>
      </c>
      <c r="B8577" t="s">
        <v>2866</v>
      </c>
      <c r="C8577" t="s">
        <v>1431</v>
      </c>
      <c r="D8577" t="s">
        <v>2893</v>
      </c>
      <c r="E8577">
        <v>0</v>
      </c>
      <c r="F8577" s="11">
        <v>0</v>
      </c>
    </row>
    <row r="8578" spans="1:6" x14ac:dyDescent="0.35">
      <c r="A8578" t="s">
        <v>2857</v>
      </c>
      <c r="B8578" t="s">
        <v>2866</v>
      </c>
      <c r="C8578" t="s">
        <v>1431</v>
      </c>
      <c r="D8578" t="s">
        <v>2894</v>
      </c>
      <c r="E8578">
        <v>0</v>
      </c>
      <c r="F8578" s="11">
        <v>0</v>
      </c>
    </row>
    <row r="8579" spans="1:6" x14ac:dyDescent="0.35">
      <c r="A8579" t="s">
        <v>2857</v>
      </c>
      <c r="B8579" t="s">
        <v>2866</v>
      </c>
      <c r="C8579" t="s">
        <v>1431</v>
      </c>
      <c r="D8579" t="s">
        <v>2895</v>
      </c>
      <c r="E8579">
        <v>732171</v>
      </c>
      <c r="F8579" s="11">
        <v>1</v>
      </c>
    </row>
    <row r="8580" spans="1:6" x14ac:dyDescent="0.35">
      <c r="A8580" t="s">
        <v>2857</v>
      </c>
      <c r="B8580" t="s">
        <v>2866</v>
      </c>
      <c r="C8580" t="s">
        <v>1431</v>
      </c>
      <c r="D8580" t="s">
        <v>2896</v>
      </c>
      <c r="E8580">
        <v>517568</v>
      </c>
      <c r="F8580" s="11">
        <v>1</v>
      </c>
    </row>
    <row r="8581" spans="1:6" x14ac:dyDescent="0.35">
      <c r="A8581" t="s">
        <v>2857</v>
      </c>
      <c r="B8581" t="s">
        <v>2866</v>
      </c>
      <c r="C8581" t="s">
        <v>1431</v>
      </c>
      <c r="D8581" t="s">
        <v>2897</v>
      </c>
      <c r="E8581">
        <v>0</v>
      </c>
      <c r="F8581" s="11">
        <v>1</v>
      </c>
    </row>
    <row r="8582" spans="1:6" x14ac:dyDescent="0.35">
      <c r="A8582" t="s">
        <v>2857</v>
      </c>
      <c r="B8582" t="s">
        <v>2866</v>
      </c>
      <c r="C8582" t="s">
        <v>1431</v>
      </c>
      <c r="D8582" t="s">
        <v>2898</v>
      </c>
      <c r="E8582">
        <v>214603</v>
      </c>
      <c r="F8582" s="11">
        <v>1</v>
      </c>
    </row>
    <row r="8583" spans="1:6" x14ac:dyDescent="0.35">
      <c r="A8583" t="s">
        <v>2857</v>
      </c>
      <c r="B8583" t="s">
        <v>2866</v>
      </c>
      <c r="C8583" t="s">
        <v>1431</v>
      </c>
      <c r="D8583" t="s">
        <v>2899</v>
      </c>
      <c r="E8583">
        <v>1984</v>
      </c>
      <c r="F8583" s="11">
        <v>1</v>
      </c>
    </row>
    <row r="8584" spans="1:6" x14ac:dyDescent="0.35">
      <c r="A8584" t="s">
        <v>2857</v>
      </c>
      <c r="B8584" t="s">
        <v>2866</v>
      </c>
      <c r="C8584" t="s">
        <v>1431</v>
      </c>
      <c r="D8584" t="s">
        <v>2900</v>
      </c>
      <c r="E8584">
        <v>0</v>
      </c>
      <c r="F8584" s="11">
        <v>1</v>
      </c>
    </row>
    <row r="8585" spans="1:6" x14ac:dyDescent="0.35">
      <c r="A8585" t="s">
        <v>2857</v>
      </c>
      <c r="B8585" t="s">
        <v>2866</v>
      </c>
      <c r="C8585" t="s">
        <v>1431</v>
      </c>
      <c r="D8585" t="s">
        <v>2901</v>
      </c>
      <c r="E8585">
        <v>0</v>
      </c>
      <c r="F8585" s="11">
        <v>1</v>
      </c>
    </row>
    <row r="8586" spans="1:6" x14ac:dyDescent="0.35">
      <c r="A8586" t="s">
        <v>2857</v>
      </c>
      <c r="B8586" t="s">
        <v>2866</v>
      </c>
      <c r="C8586" t="s">
        <v>1431</v>
      </c>
      <c r="D8586" t="s">
        <v>2902</v>
      </c>
      <c r="E8586">
        <v>1984</v>
      </c>
      <c r="F8586" s="11">
        <v>0</v>
      </c>
    </row>
    <row r="8587" spans="1:6" x14ac:dyDescent="0.35">
      <c r="A8587" t="s">
        <v>2857</v>
      </c>
      <c r="B8587" t="s">
        <v>2866</v>
      </c>
      <c r="C8587" t="s">
        <v>1431</v>
      </c>
      <c r="D8587" t="s">
        <v>2903</v>
      </c>
      <c r="E8587">
        <v>0</v>
      </c>
      <c r="F8587" s="11">
        <v>1</v>
      </c>
    </row>
    <row r="8588" spans="1:6" x14ac:dyDescent="0.35">
      <c r="A8588" t="s">
        <v>2857</v>
      </c>
      <c r="B8588" t="s">
        <v>2866</v>
      </c>
      <c r="C8588" t="s">
        <v>1431</v>
      </c>
      <c r="D8588" t="s">
        <v>2904</v>
      </c>
      <c r="E8588">
        <v>0</v>
      </c>
      <c r="F8588" s="11">
        <v>1</v>
      </c>
    </row>
    <row r="8589" spans="1:6" x14ac:dyDescent="0.35">
      <c r="A8589" t="s">
        <v>2857</v>
      </c>
      <c r="B8589" t="s">
        <v>2866</v>
      </c>
      <c r="C8589" t="s">
        <v>1431</v>
      </c>
      <c r="D8589" t="s">
        <v>2905</v>
      </c>
      <c r="E8589">
        <v>0</v>
      </c>
      <c r="F8589" s="11">
        <v>1</v>
      </c>
    </row>
    <row r="8590" spans="1:6" x14ac:dyDescent="0.35">
      <c r="A8590" t="s">
        <v>2857</v>
      </c>
      <c r="B8590" t="s">
        <v>2866</v>
      </c>
      <c r="C8590" t="s">
        <v>1431</v>
      </c>
      <c r="D8590" t="s">
        <v>2906</v>
      </c>
      <c r="E8590">
        <v>0</v>
      </c>
      <c r="F8590" s="11">
        <v>1</v>
      </c>
    </row>
    <row r="8591" spans="1:6" x14ac:dyDescent="0.35">
      <c r="A8591" t="s">
        <v>2857</v>
      </c>
      <c r="B8591" t="s">
        <v>2866</v>
      </c>
      <c r="C8591" t="s">
        <v>1431</v>
      </c>
      <c r="D8591" t="s">
        <v>2907</v>
      </c>
      <c r="E8591">
        <v>0</v>
      </c>
      <c r="F8591" s="11">
        <v>1</v>
      </c>
    </row>
    <row r="8592" spans="1:6" x14ac:dyDescent="0.35">
      <c r="A8592" t="s">
        <v>2857</v>
      </c>
      <c r="B8592" t="s">
        <v>2866</v>
      </c>
      <c r="C8592" t="s">
        <v>1431</v>
      </c>
      <c r="D8592" t="s">
        <v>2908</v>
      </c>
      <c r="E8592">
        <v>0</v>
      </c>
      <c r="F8592" s="11">
        <v>1</v>
      </c>
    </row>
    <row r="8593" spans="1:6" x14ac:dyDescent="0.35">
      <c r="A8593" t="s">
        <v>2857</v>
      </c>
      <c r="B8593" t="s">
        <v>2866</v>
      </c>
      <c r="C8593" t="s">
        <v>1431</v>
      </c>
      <c r="D8593" t="s">
        <v>2909</v>
      </c>
      <c r="E8593">
        <v>0</v>
      </c>
      <c r="F8593" s="11">
        <v>1</v>
      </c>
    </row>
    <row r="8594" spans="1:6" x14ac:dyDescent="0.35">
      <c r="A8594" t="s">
        <v>2857</v>
      </c>
      <c r="B8594" t="s">
        <v>2866</v>
      </c>
      <c r="C8594" t="s">
        <v>1431</v>
      </c>
      <c r="D8594" t="s">
        <v>2910</v>
      </c>
      <c r="E8594">
        <v>0</v>
      </c>
      <c r="F8594" s="11">
        <v>1</v>
      </c>
    </row>
    <row r="8595" spans="1:6" x14ac:dyDescent="0.35">
      <c r="A8595" t="s">
        <v>2857</v>
      </c>
      <c r="B8595" t="s">
        <v>2866</v>
      </c>
      <c r="C8595" t="s">
        <v>1431</v>
      </c>
      <c r="D8595" t="s">
        <v>2911</v>
      </c>
      <c r="E8595">
        <v>902491</v>
      </c>
      <c r="F8595" s="11">
        <v>1</v>
      </c>
    </row>
    <row r="8596" spans="1:6" x14ac:dyDescent="0.35">
      <c r="A8596" t="s">
        <v>2857</v>
      </c>
      <c r="B8596" t="s">
        <v>2866</v>
      </c>
      <c r="C8596" t="s">
        <v>1431</v>
      </c>
      <c r="D8596" t="s">
        <v>2912</v>
      </c>
      <c r="E8596">
        <v>0</v>
      </c>
      <c r="F8596" s="11">
        <v>1</v>
      </c>
    </row>
    <row r="8597" spans="1:6" x14ac:dyDescent="0.35">
      <c r="A8597" t="s">
        <v>2857</v>
      </c>
      <c r="B8597" t="s">
        <v>2866</v>
      </c>
      <c r="C8597" t="s">
        <v>1431</v>
      </c>
      <c r="D8597" t="s">
        <v>2913</v>
      </c>
      <c r="E8597">
        <v>0</v>
      </c>
      <c r="F8597" s="11">
        <v>0</v>
      </c>
    </row>
    <row r="8598" spans="1:6" x14ac:dyDescent="0.35">
      <c r="A8598" t="s">
        <v>2857</v>
      </c>
      <c r="B8598" t="s">
        <v>2866</v>
      </c>
      <c r="C8598" t="s">
        <v>1431</v>
      </c>
      <c r="D8598" t="s">
        <v>2914</v>
      </c>
      <c r="E8598">
        <v>0</v>
      </c>
      <c r="F8598" s="11">
        <v>0</v>
      </c>
    </row>
    <row r="8599" spans="1:6" x14ac:dyDescent="0.35">
      <c r="A8599" t="s">
        <v>2857</v>
      </c>
      <c r="B8599" t="s">
        <v>2866</v>
      </c>
      <c r="C8599" t="s">
        <v>1431</v>
      </c>
      <c r="D8599" t="s">
        <v>2915</v>
      </c>
      <c r="E8599">
        <v>336</v>
      </c>
      <c r="F8599" s="11">
        <v>1</v>
      </c>
    </row>
    <row r="8600" spans="1:6" x14ac:dyDescent="0.35">
      <c r="A8600" t="s">
        <v>2857</v>
      </c>
      <c r="B8600" t="s">
        <v>2866</v>
      </c>
      <c r="C8600" t="s">
        <v>1431</v>
      </c>
      <c r="D8600" t="s">
        <v>2916</v>
      </c>
      <c r="E8600">
        <v>53427</v>
      </c>
      <c r="F8600" s="11">
        <v>1</v>
      </c>
    </row>
    <row r="8601" spans="1:6" x14ac:dyDescent="0.35">
      <c r="A8601" t="s">
        <v>2857</v>
      </c>
      <c r="B8601" t="s">
        <v>2866</v>
      </c>
      <c r="C8601" t="s">
        <v>1431</v>
      </c>
      <c r="D8601" t="s">
        <v>2917</v>
      </c>
      <c r="E8601">
        <v>0</v>
      </c>
      <c r="F8601" s="11">
        <v>0</v>
      </c>
    </row>
    <row r="8602" spans="1:6" x14ac:dyDescent="0.35">
      <c r="A8602" t="s">
        <v>2857</v>
      </c>
      <c r="B8602" t="s">
        <v>2865</v>
      </c>
      <c r="C8602" t="s">
        <v>1495</v>
      </c>
      <c r="D8602" t="s">
        <v>2875</v>
      </c>
      <c r="E8602">
        <v>0</v>
      </c>
      <c r="F8602" s="11">
        <v>0</v>
      </c>
    </row>
    <row r="8603" spans="1:6" x14ac:dyDescent="0.35">
      <c r="A8603" t="s">
        <v>2857</v>
      </c>
      <c r="B8603" t="s">
        <v>2865</v>
      </c>
      <c r="C8603" t="s">
        <v>1495</v>
      </c>
      <c r="D8603" t="s">
        <v>2876</v>
      </c>
      <c r="E8603">
        <v>0</v>
      </c>
      <c r="F8603" s="11">
        <v>0</v>
      </c>
    </row>
    <row r="8604" spans="1:6" x14ac:dyDescent="0.35">
      <c r="A8604" t="s">
        <v>2857</v>
      </c>
      <c r="B8604" t="s">
        <v>2865</v>
      </c>
      <c r="C8604" t="s">
        <v>1495</v>
      </c>
      <c r="D8604" t="s">
        <v>2877</v>
      </c>
      <c r="E8604">
        <v>0</v>
      </c>
      <c r="F8604" s="11">
        <v>0</v>
      </c>
    </row>
    <row r="8605" spans="1:6" x14ac:dyDescent="0.35">
      <c r="A8605" t="s">
        <v>2857</v>
      </c>
      <c r="B8605" t="s">
        <v>2865</v>
      </c>
      <c r="C8605" t="s">
        <v>1495</v>
      </c>
      <c r="D8605" t="s">
        <v>2878</v>
      </c>
      <c r="E8605">
        <v>0</v>
      </c>
      <c r="F8605" s="11">
        <v>0</v>
      </c>
    </row>
    <row r="8606" spans="1:6" x14ac:dyDescent="0.35">
      <c r="A8606" t="s">
        <v>2857</v>
      </c>
      <c r="B8606" t="s">
        <v>2865</v>
      </c>
      <c r="C8606" t="s">
        <v>1495</v>
      </c>
      <c r="D8606" t="s">
        <v>2879</v>
      </c>
      <c r="E8606">
        <v>1564</v>
      </c>
      <c r="F8606" s="11">
        <v>1</v>
      </c>
    </row>
    <row r="8607" spans="1:6" x14ac:dyDescent="0.35">
      <c r="A8607" t="s">
        <v>2857</v>
      </c>
      <c r="B8607" t="s">
        <v>2865</v>
      </c>
      <c r="C8607" t="s">
        <v>1495</v>
      </c>
      <c r="D8607" t="s">
        <v>2880</v>
      </c>
      <c r="E8607">
        <v>0</v>
      </c>
      <c r="F8607" s="11">
        <v>1</v>
      </c>
    </row>
    <row r="8608" spans="1:6" x14ac:dyDescent="0.35">
      <c r="A8608" t="s">
        <v>2857</v>
      </c>
      <c r="B8608" t="s">
        <v>2865</v>
      </c>
      <c r="C8608" t="s">
        <v>1495</v>
      </c>
      <c r="D8608" t="s">
        <v>2881</v>
      </c>
      <c r="E8608">
        <v>0</v>
      </c>
      <c r="F8608" s="11">
        <v>1</v>
      </c>
    </row>
    <row r="8609" spans="1:6" x14ac:dyDescent="0.35">
      <c r="A8609" t="s">
        <v>2857</v>
      </c>
      <c r="B8609" t="s">
        <v>2865</v>
      </c>
      <c r="C8609" t="s">
        <v>1495</v>
      </c>
      <c r="D8609" t="s">
        <v>2882</v>
      </c>
      <c r="E8609">
        <v>0</v>
      </c>
      <c r="F8609" s="11">
        <v>1</v>
      </c>
    </row>
    <row r="8610" spans="1:6" x14ac:dyDescent="0.35">
      <c r="A8610" t="s">
        <v>2857</v>
      </c>
      <c r="B8610" t="s">
        <v>2865</v>
      </c>
      <c r="C8610" t="s">
        <v>1495</v>
      </c>
      <c r="D8610" t="s">
        <v>2883</v>
      </c>
      <c r="E8610">
        <v>32</v>
      </c>
      <c r="F8610" s="11">
        <v>1</v>
      </c>
    </row>
    <row r="8611" spans="1:6" x14ac:dyDescent="0.35">
      <c r="A8611" t="s">
        <v>2857</v>
      </c>
      <c r="B8611" t="s">
        <v>2865</v>
      </c>
      <c r="C8611" t="s">
        <v>1495</v>
      </c>
      <c r="D8611" t="s">
        <v>2884</v>
      </c>
      <c r="E8611">
        <v>0</v>
      </c>
      <c r="F8611" s="11">
        <v>0</v>
      </c>
    </row>
    <row r="8612" spans="1:6" x14ac:dyDescent="0.35">
      <c r="A8612" t="s">
        <v>2857</v>
      </c>
      <c r="B8612" t="s">
        <v>2865</v>
      </c>
      <c r="C8612" t="s">
        <v>1495</v>
      </c>
      <c r="D8612" t="s">
        <v>2885</v>
      </c>
      <c r="E8612">
        <v>0</v>
      </c>
      <c r="F8612" s="11">
        <v>1</v>
      </c>
    </row>
    <row r="8613" spans="1:6" x14ac:dyDescent="0.35">
      <c r="A8613" t="s">
        <v>2857</v>
      </c>
      <c r="B8613" t="s">
        <v>2865</v>
      </c>
      <c r="C8613" t="s">
        <v>1495</v>
      </c>
      <c r="D8613" t="s">
        <v>2886</v>
      </c>
      <c r="E8613">
        <v>0</v>
      </c>
      <c r="F8613" s="11">
        <v>0</v>
      </c>
    </row>
    <row r="8614" spans="1:6" x14ac:dyDescent="0.35">
      <c r="A8614" t="s">
        <v>2857</v>
      </c>
      <c r="B8614" t="s">
        <v>2865</v>
      </c>
      <c r="C8614" t="s">
        <v>1495</v>
      </c>
      <c r="D8614" t="s">
        <v>2887</v>
      </c>
      <c r="E8614">
        <v>25838</v>
      </c>
      <c r="F8614" s="11">
        <v>1</v>
      </c>
    </row>
    <row r="8615" spans="1:6" x14ac:dyDescent="0.35">
      <c r="A8615" t="s">
        <v>2857</v>
      </c>
      <c r="B8615" t="s">
        <v>2865</v>
      </c>
      <c r="C8615" t="s">
        <v>1495</v>
      </c>
      <c r="D8615" t="s">
        <v>2888</v>
      </c>
      <c r="E8615">
        <v>0</v>
      </c>
      <c r="F8615" s="11">
        <v>1</v>
      </c>
    </row>
    <row r="8616" spans="1:6" x14ac:dyDescent="0.35">
      <c r="A8616" t="s">
        <v>2857</v>
      </c>
      <c r="B8616" t="s">
        <v>2865</v>
      </c>
      <c r="C8616" t="s">
        <v>1495</v>
      </c>
      <c r="D8616" t="s">
        <v>2889</v>
      </c>
      <c r="E8616">
        <v>0</v>
      </c>
      <c r="F8616" s="11">
        <v>1</v>
      </c>
    </row>
    <row r="8617" spans="1:6" x14ac:dyDescent="0.35">
      <c r="A8617" t="s">
        <v>2857</v>
      </c>
      <c r="B8617" t="s">
        <v>2865</v>
      </c>
      <c r="C8617" t="s">
        <v>1495</v>
      </c>
      <c r="D8617" t="s">
        <v>2890</v>
      </c>
      <c r="E8617">
        <v>0</v>
      </c>
      <c r="F8617" s="11">
        <v>1</v>
      </c>
    </row>
    <row r="8618" spans="1:6" x14ac:dyDescent="0.35">
      <c r="A8618" t="s">
        <v>2857</v>
      </c>
      <c r="B8618" t="s">
        <v>2865</v>
      </c>
      <c r="C8618" t="s">
        <v>1495</v>
      </c>
      <c r="D8618" t="s">
        <v>2891</v>
      </c>
      <c r="E8618">
        <v>22023</v>
      </c>
      <c r="F8618" s="11">
        <v>1</v>
      </c>
    </row>
    <row r="8619" spans="1:6" x14ac:dyDescent="0.35">
      <c r="A8619" t="s">
        <v>2857</v>
      </c>
      <c r="B8619" t="s">
        <v>2865</v>
      </c>
      <c r="C8619" t="s">
        <v>1495</v>
      </c>
      <c r="D8619" t="s">
        <v>2892</v>
      </c>
      <c r="E8619">
        <v>0</v>
      </c>
      <c r="F8619" s="11">
        <v>1</v>
      </c>
    </row>
    <row r="8620" spans="1:6" x14ac:dyDescent="0.35">
      <c r="A8620" t="s">
        <v>2857</v>
      </c>
      <c r="B8620" t="s">
        <v>2865</v>
      </c>
      <c r="C8620" t="s">
        <v>1495</v>
      </c>
      <c r="D8620" t="s">
        <v>2893</v>
      </c>
      <c r="E8620">
        <v>0</v>
      </c>
      <c r="F8620" s="11">
        <v>1</v>
      </c>
    </row>
    <row r="8621" spans="1:6" x14ac:dyDescent="0.35">
      <c r="A8621" t="s">
        <v>2857</v>
      </c>
      <c r="B8621" t="s">
        <v>2865</v>
      </c>
      <c r="C8621" t="s">
        <v>1495</v>
      </c>
      <c r="D8621" t="s">
        <v>2894</v>
      </c>
      <c r="E8621">
        <v>0</v>
      </c>
      <c r="F8621" s="11">
        <v>0</v>
      </c>
    </row>
    <row r="8622" spans="1:6" x14ac:dyDescent="0.35">
      <c r="A8622" t="s">
        <v>2857</v>
      </c>
      <c r="B8622" t="s">
        <v>2865</v>
      </c>
      <c r="C8622" t="s">
        <v>1495</v>
      </c>
      <c r="D8622" t="s">
        <v>2895</v>
      </c>
      <c r="E8622">
        <v>333422</v>
      </c>
      <c r="F8622" s="11">
        <v>1</v>
      </c>
    </row>
    <row r="8623" spans="1:6" x14ac:dyDescent="0.35">
      <c r="A8623" t="s">
        <v>2857</v>
      </c>
      <c r="B8623" t="s">
        <v>2865</v>
      </c>
      <c r="C8623" t="s">
        <v>1495</v>
      </c>
      <c r="D8623" t="s">
        <v>2896</v>
      </c>
      <c r="E8623">
        <v>142576</v>
      </c>
      <c r="F8623" s="11">
        <v>1</v>
      </c>
    </row>
    <row r="8624" spans="1:6" x14ac:dyDescent="0.35">
      <c r="A8624" t="s">
        <v>2857</v>
      </c>
      <c r="B8624" t="s">
        <v>2865</v>
      </c>
      <c r="C8624" t="s">
        <v>1495</v>
      </c>
      <c r="D8624" t="s">
        <v>2897</v>
      </c>
      <c r="E8624">
        <v>8623</v>
      </c>
      <c r="F8624" s="11">
        <v>1</v>
      </c>
    </row>
    <row r="8625" spans="1:6" x14ac:dyDescent="0.35">
      <c r="A8625" t="s">
        <v>2857</v>
      </c>
      <c r="B8625" t="s">
        <v>2865</v>
      </c>
      <c r="C8625" t="s">
        <v>1495</v>
      </c>
      <c r="D8625" t="s">
        <v>2898</v>
      </c>
      <c r="E8625">
        <v>182223</v>
      </c>
      <c r="F8625" s="11">
        <v>1</v>
      </c>
    </row>
    <row r="8626" spans="1:6" x14ac:dyDescent="0.35">
      <c r="A8626" t="s">
        <v>2857</v>
      </c>
      <c r="B8626" t="s">
        <v>2865</v>
      </c>
      <c r="C8626" t="s">
        <v>1495</v>
      </c>
      <c r="D8626" t="s">
        <v>2899</v>
      </c>
      <c r="E8626">
        <v>3097</v>
      </c>
      <c r="F8626" s="11">
        <v>1</v>
      </c>
    </row>
    <row r="8627" spans="1:6" x14ac:dyDescent="0.35">
      <c r="A8627" t="s">
        <v>2857</v>
      </c>
      <c r="B8627" t="s">
        <v>2865</v>
      </c>
      <c r="C8627" t="s">
        <v>1495</v>
      </c>
      <c r="D8627" t="s">
        <v>2900</v>
      </c>
      <c r="E8627">
        <v>20</v>
      </c>
      <c r="F8627" s="11">
        <v>1</v>
      </c>
    </row>
    <row r="8628" spans="1:6" x14ac:dyDescent="0.35">
      <c r="A8628" t="s">
        <v>2857</v>
      </c>
      <c r="B8628" t="s">
        <v>2865</v>
      </c>
      <c r="C8628" t="s">
        <v>1495</v>
      </c>
      <c r="D8628" t="s">
        <v>2901</v>
      </c>
      <c r="E8628">
        <v>0</v>
      </c>
      <c r="F8628" s="11">
        <v>1</v>
      </c>
    </row>
    <row r="8629" spans="1:6" x14ac:dyDescent="0.35">
      <c r="A8629" t="s">
        <v>2857</v>
      </c>
      <c r="B8629" t="s">
        <v>2865</v>
      </c>
      <c r="C8629" t="s">
        <v>1495</v>
      </c>
      <c r="D8629" t="s">
        <v>2902</v>
      </c>
      <c r="E8629">
        <v>3077</v>
      </c>
      <c r="F8629" s="11">
        <v>0</v>
      </c>
    </row>
    <row r="8630" spans="1:6" x14ac:dyDescent="0.35">
      <c r="A8630" t="s">
        <v>2857</v>
      </c>
      <c r="B8630" t="s">
        <v>2865</v>
      </c>
      <c r="C8630" t="s">
        <v>1495</v>
      </c>
      <c r="D8630" t="s">
        <v>2903</v>
      </c>
      <c r="E8630">
        <v>30608</v>
      </c>
      <c r="F8630" s="11">
        <v>1</v>
      </c>
    </row>
    <row r="8631" spans="1:6" x14ac:dyDescent="0.35">
      <c r="A8631" t="s">
        <v>2857</v>
      </c>
      <c r="B8631" t="s">
        <v>2865</v>
      </c>
      <c r="C8631" t="s">
        <v>1495</v>
      </c>
      <c r="D8631" t="s">
        <v>2904</v>
      </c>
      <c r="E8631">
        <v>2499</v>
      </c>
      <c r="F8631" s="11">
        <v>1</v>
      </c>
    </row>
    <row r="8632" spans="1:6" x14ac:dyDescent="0.35">
      <c r="A8632" t="s">
        <v>2857</v>
      </c>
      <c r="B8632" t="s">
        <v>2865</v>
      </c>
      <c r="C8632" t="s">
        <v>1495</v>
      </c>
      <c r="D8632" t="s">
        <v>2905</v>
      </c>
      <c r="E8632">
        <v>1565</v>
      </c>
      <c r="F8632" s="11">
        <v>1</v>
      </c>
    </row>
    <row r="8633" spans="1:6" x14ac:dyDescent="0.35">
      <c r="A8633" t="s">
        <v>2857</v>
      </c>
      <c r="B8633" t="s">
        <v>2865</v>
      </c>
      <c r="C8633" t="s">
        <v>1495</v>
      </c>
      <c r="D8633" t="s">
        <v>2906</v>
      </c>
      <c r="E8633">
        <v>26544</v>
      </c>
      <c r="F8633" s="11">
        <v>1</v>
      </c>
    </row>
    <row r="8634" spans="1:6" x14ac:dyDescent="0.35">
      <c r="A8634" t="s">
        <v>2857</v>
      </c>
      <c r="B8634" t="s">
        <v>2865</v>
      </c>
      <c r="C8634" t="s">
        <v>1495</v>
      </c>
      <c r="D8634" t="s">
        <v>2907</v>
      </c>
      <c r="E8634">
        <v>40698</v>
      </c>
      <c r="F8634" s="11">
        <v>1</v>
      </c>
    </row>
    <row r="8635" spans="1:6" x14ac:dyDescent="0.35">
      <c r="A8635" t="s">
        <v>2857</v>
      </c>
      <c r="B8635" t="s">
        <v>2865</v>
      </c>
      <c r="C8635" t="s">
        <v>1495</v>
      </c>
      <c r="D8635" t="s">
        <v>2908</v>
      </c>
      <c r="E8635">
        <v>4527</v>
      </c>
      <c r="F8635" s="11">
        <v>1</v>
      </c>
    </row>
    <row r="8636" spans="1:6" x14ac:dyDescent="0.35">
      <c r="A8636" t="s">
        <v>2857</v>
      </c>
      <c r="B8636" t="s">
        <v>2865</v>
      </c>
      <c r="C8636" t="s">
        <v>1495</v>
      </c>
      <c r="D8636" t="s">
        <v>2909</v>
      </c>
      <c r="E8636">
        <v>1606</v>
      </c>
      <c r="F8636" s="11">
        <v>1</v>
      </c>
    </row>
    <row r="8637" spans="1:6" x14ac:dyDescent="0.35">
      <c r="A8637" t="s">
        <v>2857</v>
      </c>
      <c r="B8637" t="s">
        <v>2865</v>
      </c>
      <c r="C8637" t="s">
        <v>1495</v>
      </c>
      <c r="D8637" t="s">
        <v>2910</v>
      </c>
      <c r="E8637">
        <v>34565</v>
      </c>
      <c r="F8637" s="11">
        <v>1</v>
      </c>
    </row>
    <row r="8638" spans="1:6" x14ac:dyDescent="0.35">
      <c r="A8638" t="s">
        <v>2857</v>
      </c>
      <c r="B8638" t="s">
        <v>2865</v>
      </c>
      <c r="C8638" t="s">
        <v>1495</v>
      </c>
      <c r="D8638" t="s">
        <v>2911</v>
      </c>
      <c r="E8638">
        <v>54372</v>
      </c>
      <c r="F8638" s="11">
        <v>1</v>
      </c>
    </row>
    <row r="8639" spans="1:6" x14ac:dyDescent="0.35">
      <c r="A8639" t="s">
        <v>2857</v>
      </c>
      <c r="B8639" t="s">
        <v>2865</v>
      </c>
      <c r="C8639" t="s">
        <v>1495</v>
      </c>
      <c r="D8639" t="s">
        <v>2912</v>
      </c>
      <c r="E8639">
        <v>298601</v>
      </c>
      <c r="F8639" s="11">
        <v>1</v>
      </c>
    </row>
    <row r="8640" spans="1:6" x14ac:dyDescent="0.35">
      <c r="A8640" t="s">
        <v>2857</v>
      </c>
      <c r="B8640" t="s">
        <v>2865</v>
      </c>
      <c r="C8640" t="s">
        <v>1495</v>
      </c>
      <c r="D8640" t="s">
        <v>2913</v>
      </c>
      <c r="E8640">
        <v>0</v>
      </c>
      <c r="F8640" s="11">
        <v>0</v>
      </c>
    </row>
    <row r="8641" spans="1:6" x14ac:dyDescent="0.35">
      <c r="A8641" t="s">
        <v>2857</v>
      </c>
      <c r="B8641" t="s">
        <v>2865</v>
      </c>
      <c r="C8641" t="s">
        <v>1495</v>
      </c>
      <c r="D8641" t="s">
        <v>2914</v>
      </c>
      <c r="E8641">
        <v>0</v>
      </c>
      <c r="F8641" s="11">
        <v>0</v>
      </c>
    </row>
    <row r="8642" spans="1:6" x14ac:dyDescent="0.35">
      <c r="A8642" t="s">
        <v>2857</v>
      </c>
      <c r="B8642" t="s">
        <v>2865</v>
      </c>
      <c r="C8642" t="s">
        <v>1495</v>
      </c>
      <c r="D8642" t="s">
        <v>2915</v>
      </c>
      <c r="E8642">
        <v>14952</v>
      </c>
      <c r="F8642" s="11">
        <v>1</v>
      </c>
    </row>
    <row r="8643" spans="1:6" x14ac:dyDescent="0.35">
      <c r="A8643" t="s">
        <v>2857</v>
      </c>
      <c r="B8643" t="s">
        <v>2865</v>
      </c>
      <c r="C8643" t="s">
        <v>1495</v>
      </c>
      <c r="D8643" t="s">
        <v>2916</v>
      </c>
      <c r="E8643">
        <v>46033</v>
      </c>
      <c r="F8643" s="11">
        <v>1</v>
      </c>
    </row>
    <row r="8644" spans="1:6" x14ac:dyDescent="0.35">
      <c r="A8644" t="s">
        <v>2857</v>
      </c>
      <c r="B8644" t="s">
        <v>2865</v>
      </c>
      <c r="C8644" t="s">
        <v>1495</v>
      </c>
      <c r="D8644" t="s">
        <v>2917</v>
      </c>
      <c r="E8644">
        <v>0</v>
      </c>
      <c r="F8644" s="11">
        <v>0</v>
      </c>
    </row>
    <row r="8645" spans="1:6" x14ac:dyDescent="0.35">
      <c r="A8645" t="s">
        <v>2857</v>
      </c>
      <c r="B8645" t="s">
        <v>2863</v>
      </c>
      <c r="C8645" t="s">
        <v>1537</v>
      </c>
      <c r="D8645" t="s">
        <v>2875</v>
      </c>
      <c r="E8645">
        <v>8796</v>
      </c>
      <c r="F8645" s="11">
        <v>1</v>
      </c>
    </row>
    <row r="8646" spans="1:6" x14ac:dyDescent="0.35">
      <c r="A8646" t="s">
        <v>2857</v>
      </c>
      <c r="B8646" t="s">
        <v>2863</v>
      </c>
      <c r="C8646" t="s">
        <v>1537</v>
      </c>
      <c r="D8646" t="s">
        <v>2876</v>
      </c>
      <c r="E8646">
        <v>0</v>
      </c>
      <c r="F8646" s="11">
        <v>0</v>
      </c>
    </row>
    <row r="8647" spans="1:6" x14ac:dyDescent="0.35">
      <c r="A8647" t="s">
        <v>2857</v>
      </c>
      <c r="B8647" t="s">
        <v>2863</v>
      </c>
      <c r="C8647" t="s">
        <v>1537</v>
      </c>
      <c r="D8647" t="s">
        <v>2877</v>
      </c>
      <c r="E8647">
        <v>0</v>
      </c>
      <c r="F8647" s="11">
        <v>0</v>
      </c>
    </row>
    <row r="8648" spans="1:6" x14ac:dyDescent="0.35">
      <c r="A8648" t="s">
        <v>2857</v>
      </c>
      <c r="B8648" t="s">
        <v>2863</v>
      </c>
      <c r="C8648" t="s">
        <v>1537</v>
      </c>
      <c r="D8648" t="s">
        <v>2878</v>
      </c>
      <c r="E8648">
        <v>0</v>
      </c>
      <c r="F8648" s="11">
        <v>0</v>
      </c>
    </row>
    <row r="8649" spans="1:6" x14ac:dyDescent="0.35">
      <c r="A8649" t="s">
        <v>2857</v>
      </c>
      <c r="B8649" t="s">
        <v>2863</v>
      </c>
      <c r="C8649" t="s">
        <v>1537</v>
      </c>
      <c r="D8649" t="s">
        <v>2879</v>
      </c>
      <c r="E8649">
        <v>291</v>
      </c>
      <c r="F8649" s="11">
        <v>1</v>
      </c>
    </row>
    <row r="8650" spans="1:6" x14ac:dyDescent="0.35">
      <c r="A8650" t="s">
        <v>2857</v>
      </c>
      <c r="B8650" t="s">
        <v>2863</v>
      </c>
      <c r="C8650" t="s">
        <v>1537</v>
      </c>
      <c r="D8650" t="s">
        <v>2880</v>
      </c>
      <c r="E8650">
        <v>266</v>
      </c>
      <c r="F8650" s="11">
        <v>0</v>
      </c>
    </row>
    <row r="8651" spans="1:6" x14ac:dyDescent="0.35">
      <c r="A8651" t="s">
        <v>2857</v>
      </c>
      <c r="B8651" t="s">
        <v>2863</v>
      </c>
      <c r="C8651" t="s">
        <v>1537</v>
      </c>
      <c r="D8651" t="s">
        <v>2881</v>
      </c>
      <c r="E8651">
        <v>0</v>
      </c>
      <c r="F8651" s="11">
        <v>1</v>
      </c>
    </row>
    <row r="8652" spans="1:6" x14ac:dyDescent="0.35">
      <c r="A8652" t="s">
        <v>2857</v>
      </c>
      <c r="B8652" t="s">
        <v>2863</v>
      </c>
      <c r="C8652" t="s">
        <v>1537</v>
      </c>
      <c r="D8652" t="s">
        <v>2882</v>
      </c>
      <c r="E8652">
        <v>25</v>
      </c>
      <c r="F8652" s="11">
        <v>0</v>
      </c>
    </row>
    <row r="8653" spans="1:6" x14ac:dyDescent="0.35">
      <c r="A8653" t="s">
        <v>2857</v>
      </c>
      <c r="B8653" t="s">
        <v>2863</v>
      </c>
      <c r="C8653" t="s">
        <v>1537</v>
      </c>
      <c r="D8653" t="s">
        <v>2883</v>
      </c>
      <c r="E8653">
        <v>0</v>
      </c>
      <c r="F8653" s="11">
        <v>0</v>
      </c>
    </row>
    <row r="8654" spans="1:6" x14ac:dyDescent="0.35">
      <c r="A8654" t="s">
        <v>2857</v>
      </c>
      <c r="B8654" t="s">
        <v>2863</v>
      </c>
      <c r="C8654" t="s">
        <v>1537</v>
      </c>
      <c r="D8654" t="s">
        <v>2884</v>
      </c>
      <c r="E8654">
        <v>0</v>
      </c>
      <c r="F8654" s="11">
        <v>0</v>
      </c>
    </row>
    <row r="8655" spans="1:6" x14ac:dyDescent="0.35">
      <c r="A8655" t="s">
        <v>2857</v>
      </c>
      <c r="B8655" t="s">
        <v>2863</v>
      </c>
      <c r="C8655" t="s">
        <v>1537</v>
      </c>
      <c r="D8655" t="s">
        <v>2885</v>
      </c>
      <c r="E8655">
        <v>0</v>
      </c>
      <c r="F8655" s="11">
        <v>0</v>
      </c>
    </row>
    <row r="8656" spans="1:6" x14ac:dyDescent="0.35">
      <c r="A8656" t="s">
        <v>2857</v>
      </c>
      <c r="B8656" t="s">
        <v>2863</v>
      </c>
      <c r="C8656" t="s">
        <v>1537</v>
      </c>
      <c r="D8656" t="s">
        <v>2886</v>
      </c>
      <c r="E8656">
        <v>0</v>
      </c>
      <c r="F8656" s="11">
        <v>0</v>
      </c>
    </row>
    <row r="8657" spans="1:6" x14ac:dyDescent="0.35">
      <c r="A8657" t="s">
        <v>2857</v>
      </c>
      <c r="B8657" t="s">
        <v>2863</v>
      </c>
      <c r="C8657" t="s">
        <v>1537</v>
      </c>
      <c r="D8657" t="s">
        <v>2887</v>
      </c>
      <c r="E8657">
        <v>7485</v>
      </c>
      <c r="F8657" s="11">
        <v>1</v>
      </c>
    </row>
    <row r="8658" spans="1:6" x14ac:dyDescent="0.35">
      <c r="A8658" t="s">
        <v>2857</v>
      </c>
      <c r="B8658" t="s">
        <v>2863</v>
      </c>
      <c r="C8658" t="s">
        <v>1537</v>
      </c>
      <c r="D8658" t="s">
        <v>2888</v>
      </c>
      <c r="E8658">
        <v>3401</v>
      </c>
      <c r="F8658" s="11">
        <v>1</v>
      </c>
    </row>
    <row r="8659" spans="1:6" x14ac:dyDescent="0.35">
      <c r="A8659" t="s">
        <v>2857</v>
      </c>
      <c r="B8659" t="s">
        <v>2863</v>
      </c>
      <c r="C8659" t="s">
        <v>1537</v>
      </c>
      <c r="D8659" t="s">
        <v>2889</v>
      </c>
      <c r="E8659">
        <v>0</v>
      </c>
      <c r="F8659" s="11">
        <v>1</v>
      </c>
    </row>
    <row r="8660" spans="1:6" x14ac:dyDescent="0.35">
      <c r="A8660" t="s">
        <v>2857</v>
      </c>
      <c r="B8660" t="s">
        <v>2863</v>
      </c>
      <c r="C8660" t="s">
        <v>1537</v>
      </c>
      <c r="D8660" t="s">
        <v>2890</v>
      </c>
      <c r="E8660">
        <v>4194</v>
      </c>
      <c r="F8660" s="11">
        <v>0</v>
      </c>
    </row>
    <row r="8661" spans="1:6" x14ac:dyDescent="0.35">
      <c r="A8661" t="s">
        <v>2857</v>
      </c>
      <c r="B8661" t="s">
        <v>2863</v>
      </c>
      <c r="C8661" t="s">
        <v>1537</v>
      </c>
      <c r="D8661" t="s">
        <v>2891</v>
      </c>
      <c r="E8661">
        <v>0</v>
      </c>
      <c r="F8661" s="11">
        <v>0</v>
      </c>
    </row>
    <row r="8662" spans="1:6" x14ac:dyDescent="0.35">
      <c r="A8662" t="s">
        <v>2857</v>
      </c>
      <c r="B8662" t="s">
        <v>2863</v>
      </c>
      <c r="C8662" t="s">
        <v>1537</v>
      </c>
      <c r="D8662" t="s">
        <v>2892</v>
      </c>
      <c r="E8662">
        <v>0</v>
      </c>
      <c r="F8662" s="11">
        <v>0</v>
      </c>
    </row>
    <row r="8663" spans="1:6" x14ac:dyDescent="0.35">
      <c r="A8663" t="s">
        <v>2857</v>
      </c>
      <c r="B8663" t="s">
        <v>2863</v>
      </c>
      <c r="C8663" t="s">
        <v>1537</v>
      </c>
      <c r="D8663" t="s">
        <v>2893</v>
      </c>
      <c r="E8663">
        <v>0</v>
      </c>
      <c r="F8663" s="11">
        <v>0</v>
      </c>
    </row>
    <row r="8664" spans="1:6" x14ac:dyDescent="0.35">
      <c r="A8664" t="s">
        <v>2857</v>
      </c>
      <c r="B8664" t="s">
        <v>2863</v>
      </c>
      <c r="C8664" t="s">
        <v>1537</v>
      </c>
      <c r="D8664" t="s">
        <v>2894</v>
      </c>
      <c r="E8664">
        <v>0</v>
      </c>
      <c r="F8664" s="11">
        <v>0</v>
      </c>
    </row>
    <row r="8665" spans="1:6" x14ac:dyDescent="0.35">
      <c r="A8665" t="s">
        <v>2857</v>
      </c>
      <c r="B8665" t="s">
        <v>2863</v>
      </c>
      <c r="C8665" t="s">
        <v>1537</v>
      </c>
      <c r="D8665" t="s">
        <v>2895</v>
      </c>
      <c r="E8665">
        <v>129083</v>
      </c>
      <c r="F8665" s="11">
        <v>1</v>
      </c>
    </row>
    <row r="8666" spans="1:6" x14ac:dyDescent="0.35">
      <c r="A8666" t="s">
        <v>2857</v>
      </c>
      <c r="B8666" t="s">
        <v>2863</v>
      </c>
      <c r="C8666" t="s">
        <v>1537</v>
      </c>
      <c r="D8666" t="s">
        <v>2896</v>
      </c>
      <c r="E8666">
        <v>56128</v>
      </c>
      <c r="F8666" s="11">
        <v>1</v>
      </c>
    </row>
    <row r="8667" spans="1:6" x14ac:dyDescent="0.35">
      <c r="A8667" t="s">
        <v>2857</v>
      </c>
      <c r="B8667" t="s">
        <v>2863</v>
      </c>
      <c r="C8667" t="s">
        <v>1537</v>
      </c>
      <c r="D8667" t="s">
        <v>2897</v>
      </c>
      <c r="E8667">
        <v>2945</v>
      </c>
      <c r="F8667" s="11">
        <v>1</v>
      </c>
    </row>
    <row r="8668" spans="1:6" x14ac:dyDescent="0.35">
      <c r="A8668" t="s">
        <v>2857</v>
      </c>
      <c r="B8668" t="s">
        <v>2863</v>
      </c>
      <c r="C8668" t="s">
        <v>1537</v>
      </c>
      <c r="D8668" t="s">
        <v>2898</v>
      </c>
      <c r="E8668">
        <v>70010</v>
      </c>
      <c r="F8668" s="11">
        <v>1</v>
      </c>
    </row>
    <row r="8669" spans="1:6" x14ac:dyDescent="0.35">
      <c r="A8669" t="s">
        <v>2857</v>
      </c>
      <c r="B8669" t="s">
        <v>2863</v>
      </c>
      <c r="C8669" t="s">
        <v>1537</v>
      </c>
      <c r="D8669" t="s">
        <v>2899</v>
      </c>
      <c r="E8669">
        <v>3534</v>
      </c>
      <c r="F8669" s="11">
        <v>1</v>
      </c>
    </row>
    <row r="8670" spans="1:6" x14ac:dyDescent="0.35">
      <c r="A8670" t="s">
        <v>2857</v>
      </c>
      <c r="B8670" t="s">
        <v>2863</v>
      </c>
      <c r="C8670" t="s">
        <v>1537</v>
      </c>
      <c r="D8670" t="s">
        <v>2900</v>
      </c>
      <c r="E8670">
        <v>196</v>
      </c>
      <c r="F8670" s="11">
        <v>1</v>
      </c>
    </row>
    <row r="8671" spans="1:6" x14ac:dyDescent="0.35">
      <c r="A8671" t="s">
        <v>2857</v>
      </c>
      <c r="B8671" t="s">
        <v>2863</v>
      </c>
      <c r="C8671" t="s">
        <v>1537</v>
      </c>
      <c r="D8671" t="s">
        <v>2901</v>
      </c>
      <c r="E8671">
        <v>13</v>
      </c>
      <c r="F8671" s="11">
        <v>1</v>
      </c>
    </row>
    <row r="8672" spans="1:6" x14ac:dyDescent="0.35">
      <c r="A8672" t="s">
        <v>2857</v>
      </c>
      <c r="B8672" t="s">
        <v>2863</v>
      </c>
      <c r="C8672" t="s">
        <v>1537</v>
      </c>
      <c r="D8672" t="s">
        <v>2902</v>
      </c>
      <c r="E8672">
        <v>3322</v>
      </c>
      <c r="F8672" s="11">
        <v>1</v>
      </c>
    </row>
    <row r="8673" spans="1:6" x14ac:dyDescent="0.35">
      <c r="A8673" t="s">
        <v>2857</v>
      </c>
      <c r="B8673" t="s">
        <v>2863</v>
      </c>
      <c r="C8673" t="s">
        <v>1537</v>
      </c>
      <c r="D8673" t="s">
        <v>2903</v>
      </c>
      <c r="E8673">
        <v>5649</v>
      </c>
      <c r="F8673" s="11">
        <v>1</v>
      </c>
    </row>
    <row r="8674" spans="1:6" x14ac:dyDescent="0.35">
      <c r="A8674" t="s">
        <v>2857</v>
      </c>
      <c r="B8674" t="s">
        <v>2863</v>
      </c>
      <c r="C8674" t="s">
        <v>1537</v>
      </c>
      <c r="D8674" t="s">
        <v>2904</v>
      </c>
      <c r="E8674">
        <v>0</v>
      </c>
      <c r="F8674" s="11">
        <v>0</v>
      </c>
    </row>
    <row r="8675" spans="1:6" x14ac:dyDescent="0.35">
      <c r="A8675" t="s">
        <v>2857</v>
      </c>
      <c r="B8675" t="s">
        <v>2863</v>
      </c>
      <c r="C8675" t="s">
        <v>1537</v>
      </c>
      <c r="D8675" t="s">
        <v>2905</v>
      </c>
      <c r="E8675">
        <v>0</v>
      </c>
      <c r="F8675" s="11">
        <v>0</v>
      </c>
    </row>
    <row r="8676" spans="1:6" x14ac:dyDescent="0.35">
      <c r="A8676" t="s">
        <v>2857</v>
      </c>
      <c r="B8676" t="s">
        <v>2863</v>
      </c>
      <c r="C8676" t="s">
        <v>1537</v>
      </c>
      <c r="D8676" t="s">
        <v>2906</v>
      </c>
      <c r="E8676">
        <v>0</v>
      </c>
      <c r="F8676" s="11">
        <v>0</v>
      </c>
    </row>
    <row r="8677" spans="1:6" x14ac:dyDescent="0.35">
      <c r="A8677" t="s">
        <v>2857</v>
      </c>
      <c r="B8677" t="s">
        <v>2863</v>
      </c>
      <c r="C8677" t="s">
        <v>1537</v>
      </c>
      <c r="D8677" t="s">
        <v>2907</v>
      </c>
      <c r="E8677">
        <v>11828</v>
      </c>
      <c r="F8677" s="11">
        <v>1</v>
      </c>
    </row>
    <row r="8678" spans="1:6" x14ac:dyDescent="0.35">
      <c r="A8678" t="s">
        <v>2857</v>
      </c>
      <c r="B8678" t="s">
        <v>2863</v>
      </c>
      <c r="C8678" t="s">
        <v>1537</v>
      </c>
      <c r="D8678" t="s">
        <v>2908</v>
      </c>
      <c r="E8678">
        <v>0</v>
      </c>
      <c r="F8678" s="11">
        <v>0</v>
      </c>
    </row>
    <row r="8679" spans="1:6" x14ac:dyDescent="0.35">
      <c r="A8679" t="s">
        <v>2857</v>
      </c>
      <c r="B8679" t="s">
        <v>2863</v>
      </c>
      <c r="C8679" t="s">
        <v>1537</v>
      </c>
      <c r="D8679" t="s">
        <v>2909</v>
      </c>
      <c r="E8679">
        <v>0</v>
      </c>
      <c r="F8679" s="11">
        <v>0</v>
      </c>
    </row>
    <row r="8680" spans="1:6" x14ac:dyDescent="0.35">
      <c r="A8680" t="s">
        <v>2857</v>
      </c>
      <c r="B8680" t="s">
        <v>2863</v>
      </c>
      <c r="C8680" t="s">
        <v>1537</v>
      </c>
      <c r="D8680" t="s">
        <v>2910</v>
      </c>
      <c r="E8680">
        <v>0</v>
      </c>
      <c r="F8680" s="11">
        <v>0</v>
      </c>
    </row>
    <row r="8681" spans="1:6" x14ac:dyDescent="0.35">
      <c r="A8681" t="s">
        <v>2857</v>
      </c>
      <c r="B8681" t="s">
        <v>2863</v>
      </c>
      <c r="C8681" t="s">
        <v>1537</v>
      </c>
      <c r="D8681" t="s">
        <v>2911</v>
      </c>
      <c r="E8681">
        <v>0</v>
      </c>
      <c r="F8681" s="11">
        <v>0</v>
      </c>
    </row>
    <row r="8682" spans="1:6" x14ac:dyDescent="0.35">
      <c r="A8682" t="s">
        <v>2857</v>
      </c>
      <c r="B8682" t="s">
        <v>2863</v>
      </c>
      <c r="C8682" t="s">
        <v>1537</v>
      </c>
      <c r="D8682" t="s">
        <v>2912</v>
      </c>
      <c r="E8682">
        <v>0</v>
      </c>
      <c r="F8682" s="11">
        <v>0</v>
      </c>
    </row>
    <row r="8683" spans="1:6" x14ac:dyDescent="0.35">
      <c r="A8683" t="s">
        <v>2857</v>
      </c>
      <c r="B8683" t="s">
        <v>2863</v>
      </c>
      <c r="C8683" t="s">
        <v>1537</v>
      </c>
      <c r="D8683" t="s">
        <v>2913</v>
      </c>
      <c r="E8683">
        <v>0</v>
      </c>
      <c r="F8683" s="11">
        <v>0</v>
      </c>
    </row>
    <row r="8684" spans="1:6" x14ac:dyDescent="0.35">
      <c r="A8684" t="s">
        <v>2857</v>
      </c>
      <c r="B8684" t="s">
        <v>2863</v>
      </c>
      <c r="C8684" t="s">
        <v>1537</v>
      </c>
      <c r="D8684" t="s">
        <v>2914</v>
      </c>
      <c r="E8684">
        <v>0</v>
      </c>
      <c r="F8684" s="11">
        <v>0</v>
      </c>
    </row>
    <row r="8685" spans="1:6" x14ac:dyDescent="0.35">
      <c r="A8685" t="s">
        <v>2857</v>
      </c>
      <c r="B8685" t="s">
        <v>2863</v>
      </c>
      <c r="C8685" t="s">
        <v>1537</v>
      </c>
      <c r="D8685" t="s">
        <v>2915</v>
      </c>
      <c r="E8685">
        <v>510</v>
      </c>
      <c r="F8685" s="11">
        <v>1</v>
      </c>
    </row>
    <row r="8686" spans="1:6" x14ac:dyDescent="0.35">
      <c r="A8686" t="s">
        <v>2857</v>
      </c>
      <c r="B8686" t="s">
        <v>2863</v>
      </c>
      <c r="C8686" t="s">
        <v>1537</v>
      </c>
      <c r="D8686" t="s">
        <v>2916</v>
      </c>
      <c r="E8686">
        <v>22939</v>
      </c>
      <c r="F8686" s="11">
        <v>1</v>
      </c>
    </row>
    <row r="8687" spans="1:6" x14ac:dyDescent="0.35">
      <c r="A8687" t="s">
        <v>2857</v>
      </c>
      <c r="B8687" t="s">
        <v>2863</v>
      </c>
      <c r="C8687" t="s">
        <v>1537</v>
      </c>
      <c r="D8687" t="s">
        <v>2917</v>
      </c>
      <c r="E8687">
        <v>0</v>
      </c>
      <c r="F8687" s="11">
        <v>0</v>
      </c>
    </row>
    <row r="8688" spans="1:6" x14ac:dyDescent="0.35">
      <c r="A8688" t="s">
        <v>2857</v>
      </c>
      <c r="B8688" t="s">
        <v>2862</v>
      </c>
      <c r="C8688" t="s">
        <v>1535</v>
      </c>
      <c r="D8688" t="s">
        <v>2875</v>
      </c>
      <c r="E8688">
        <v>19902</v>
      </c>
      <c r="F8688" s="11">
        <v>1</v>
      </c>
    </row>
    <row r="8689" spans="1:6" x14ac:dyDescent="0.35">
      <c r="A8689" t="s">
        <v>2857</v>
      </c>
      <c r="B8689" t="s">
        <v>2862</v>
      </c>
      <c r="C8689" t="s">
        <v>1535</v>
      </c>
      <c r="D8689" t="s">
        <v>2876</v>
      </c>
      <c r="E8689">
        <v>6261</v>
      </c>
      <c r="F8689" s="11">
        <v>1</v>
      </c>
    </row>
    <row r="8690" spans="1:6" x14ac:dyDescent="0.35">
      <c r="A8690" t="s">
        <v>2857</v>
      </c>
      <c r="B8690" t="s">
        <v>2862</v>
      </c>
      <c r="C8690" t="s">
        <v>1535</v>
      </c>
      <c r="D8690" t="s">
        <v>2877</v>
      </c>
      <c r="E8690">
        <v>1553</v>
      </c>
      <c r="F8690" s="11">
        <v>1</v>
      </c>
    </row>
    <row r="8691" spans="1:6" x14ac:dyDescent="0.35">
      <c r="A8691" t="s">
        <v>2857</v>
      </c>
      <c r="B8691" t="s">
        <v>2862</v>
      </c>
      <c r="C8691" t="s">
        <v>1535</v>
      </c>
      <c r="D8691" t="s">
        <v>2878</v>
      </c>
      <c r="E8691">
        <v>12088</v>
      </c>
      <c r="F8691" s="11">
        <v>1</v>
      </c>
    </row>
    <row r="8692" spans="1:6" x14ac:dyDescent="0.35">
      <c r="A8692" t="s">
        <v>2857</v>
      </c>
      <c r="B8692" t="s">
        <v>2862</v>
      </c>
      <c r="C8692" t="s">
        <v>1535</v>
      </c>
      <c r="D8692" t="s">
        <v>2879</v>
      </c>
      <c r="E8692">
        <v>0</v>
      </c>
      <c r="F8692" s="11">
        <v>1</v>
      </c>
    </row>
    <row r="8693" spans="1:6" x14ac:dyDescent="0.35">
      <c r="A8693" t="s">
        <v>2857</v>
      </c>
      <c r="B8693" t="s">
        <v>2862</v>
      </c>
      <c r="C8693" t="s">
        <v>1535</v>
      </c>
      <c r="D8693" t="s">
        <v>2880</v>
      </c>
      <c r="E8693">
        <v>0</v>
      </c>
      <c r="F8693" s="11">
        <v>0</v>
      </c>
    </row>
    <row r="8694" spans="1:6" x14ac:dyDescent="0.35">
      <c r="A8694" t="s">
        <v>2857</v>
      </c>
      <c r="B8694" t="s">
        <v>2862</v>
      </c>
      <c r="C8694" t="s">
        <v>1535</v>
      </c>
      <c r="D8694" t="s">
        <v>2881</v>
      </c>
      <c r="E8694">
        <v>0</v>
      </c>
      <c r="F8694" s="11">
        <v>0</v>
      </c>
    </row>
    <row r="8695" spans="1:6" x14ac:dyDescent="0.35">
      <c r="A8695" t="s">
        <v>2857</v>
      </c>
      <c r="B8695" t="s">
        <v>2862</v>
      </c>
      <c r="C8695" t="s">
        <v>1535</v>
      </c>
      <c r="D8695" t="s">
        <v>2882</v>
      </c>
      <c r="E8695">
        <v>0</v>
      </c>
      <c r="F8695" s="11">
        <v>0</v>
      </c>
    </row>
    <row r="8696" spans="1:6" x14ac:dyDescent="0.35">
      <c r="A8696" t="s">
        <v>2857</v>
      </c>
      <c r="B8696" t="s">
        <v>2862</v>
      </c>
      <c r="C8696" t="s">
        <v>1535</v>
      </c>
      <c r="D8696" t="s">
        <v>2883</v>
      </c>
      <c r="E8696">
        <v>0</v>
      </c>
      <c r="F8696" s="11">
        <v>0</v>
      </c>
    </row>
    <row r="8697" spans="1:6" x14ac:dyDescent="0.35">
      <c r="A8697" t="s">
        <v>2857</v>
      </c>
      <c r="B8697" t="s">
        <v>2862</v>
      </c>
      <c r="C8697" t="s">
        <v>1535</v>
      </c>
      <c r="D8697" t="s">
        <v>2884</v>
      </c>
      <c r="E8697">
        <v>0</v>
      </c>
      <c r="F8697" s="11">
        <v>0</v>
      </c>
    </row>
    <row r="8698" spans="1:6" x14ac:dyDescent="0.35">
      <c r="A8698" t="s">
        <v>2857</v>
      </c>
      <c r="B8698" t="s">
        <v>2862</v>
      </c>
      <c r="C8698" t="s">
        <v>1535</v>
      </c>
      <c r="D8698" t="s">
        <v>2885</v>
      </c>
      <c r="E8698">
        <v>0</v>
      </c>
      <c r="F8698" s="11">
        <v>0</v>
      </c>
    </row>
    <row r="8699" spans="1:6" x14ac:dyDescent="0.35">
      <c r="A8699" t="s">
        <v>2857</v>
      </c>
      <c r="B8699" t="s">
        <v>2862</v>
      </c>
      <c r="C8699" t="s">
        <v>1535</v>
      </c>
      <c r="D8699" t="s">
        <v>2886</v>
      </c>
      <c r="E8699">
        <v>0</v>
      </c>
      <c r="F8699" s="11">
        <v>0</v>
      </c>
    </row>
    <row r="8700" spans="1:6" x14ac:dyDescent="0.35">
      <c r="A8700" t="s">
        <v>2857</v>
      </c>
      <c r="B8700" t="s">
        <v>2862</v>
      </c>
      <c r="C8700" t="s">
        <v>1535</v>
      </c>
      <c r="D8700" t="s">
        <v>2887</v>
      </c>
      <c r="E8700">
        <v>53358</v>
      </c>
      <c r="F8700" s="11">
        <v>1</v>
      </c>
    </row>
    <row r="8701" spans="1:6" x14ac:dyDescent="0.35">
      <c r="A8701" t="s">
        <v>2857</v>
      </c>
      <c r="B8701" t="s">
        <v>2862</v>
      </c>
      <c r="C8701" t="s">
        <v>1535</v>
      </c>
      <c r="D8701" t="s">
        <v>2888</v>
      </c>
      <c r="E8701">
        <v>0</v>
      </c>
      <c r="F8701" s="11">
        <v>0</v>
      </c>
    </row>
    <row r="8702" spans="1:6" x14ac:dyDescent="0.35">
      <c r="A8702" t="s">
        <v>2857</v>
      </c>
      <c r="B8702" t="s">
        <v>2862</v>
      </c>
      <c r="C8702" t="s">
        <v>1535</v>
      </c>
      <c r="D8702" t="s">
        <v>2889</v>
      </c>
      <c r="E8702">
        <v>0</v>
      </c>
      <c r="F8702" s="11">
        <v>0</v>
      </c>
    </row>
    <row r="8703" spans="1:6" x14ac:dyDescent="0.35">
      <c r="A8703" t="s">
        <v>2857</v>
      </c>
      <c r="B8703" t="s">
        <v>2862</v>
      </c>
      <c r="C8703" t="s">
        <v>1535</v>
      </c>
      <c r="D8703" t="s">
        <v>2890</v>
      </c>
      <c r="E8703">
        <v>0</v>
      </c>
      <c r="F8703" s="11">
        <v>0</v>
      </c>
    </row>
    <row r="8704" spans="1:6" x14ac:dyDescent="0.35">
      <c r="A8704" t="s">
        <v>2857</v>
      </c>
      <c r="B8704" t="s">
        <v>2862</v>
      </c>
      <c r="C8704" t="s">
        <v>1535</v>
      </c>
      <c r="D8704" t="s">
        <v>2891</v>
      </c>
      <c r="E8704">
        <v>0</v>
      </c>
      <c r="F8704" s="11">
        <v>0</v>
      </c>
    </row>
    <row r="8705" spans="1:6" x14ac:dyDescent="0.35">
      <c r="A8705" t="s">
        <v>2857</v>
      </c>
      <c r="B8705" t="s">
        <v>2862</v>
      </c>
      <c r="C8705" t="s">
        <v>1535</v>
      </c>
      <c r="D8705" t="s">
        <v>2892</v>
      </c>
      <c r="E8705">
        <v>0</v>
      </c>
      <c r="F8705" s="11">
        <v>0</v>
      </c>
    </row>
    <row r="8706" spans="1:6" x14ac:dyDescent="0.35">
      <c r="A8706" t="s">
        <v>2857</v>
      </c>
      <c r="B8706" t="s">
        <v>2862</v>
      </c>
      <c r="C8706" t="s">
        <v>1535</v>
      </c>
      <c r="D8706" t="s">
        <v>2893</v>
      </c>
      <c r="E8706">
        <v>0</v>
      </c>
      <c r="F8706" s="11">
        <v>0</v>
      </c>
    </row>
    <row r="8707" spans="1:6" x14ac:dyDescent="0.35">
      <c r="A8707" t="s">
        <v>2857</v>
      </c>
      <c r="B8707" t="s">
        <v>2862</v>
      </c>
      <c r="C8707" t="s">
        <v>1535</v>
      </c>
      <c r="D8707" t="s">
        <v>2894</v>
      </c>
      <c r="E8707">
        <v>0</v>
      </c>
      <c r="F8707" s="11">
        <v>0</v>
      </c>
    </row>
    <row r="8708" spans="1:6" x14ac:dyDescent="0.35">
      <c r="A8708" t="s">
        <v>2857</v>
      </c>
      <c r="B8708" t="s">
        <v>2862</v>
      </c>
      <c r="C8708" t="s">
        <v>1535</v>
      </c>
      <c r="D8708" t="s">
        <v>2895</v>
      </c>
      <c r="E8708">
        <v>260673</v>
      </c>
      <c r="F8708" s="11">
        <v>1</v>
      </c>
    </row>
    <row r="8709" spans="1:6" x14ac:dyDescent="0.35">
      <c r="A8709" t="s">
        <v>2857</v>
      </c>
      <c r="B8709" t="s">
        <v>2862</v>
      </c>
      <c r="C8709" t="s">
        <v>1535</v>
      </c>
      <c r="D8709" t="s">
        <v>2896</v>
      </c>
      <c r="E8709">
        <v>151508</v>
      </c>
      <c r="F8709" s="11">
        <v>1</v>
      </c>
    </row>
    <row r="8710" spans="1:6" x14ac:dyDescent="0.35">
      <c r="A8710" t="s">
        <v>2857</v>
      </c>
      <c r="B8710" t="s">
        <v>2862</v>
      </c>
      <c r="C8710" t="s">
        <v>1535</v>
      </c>
      <c r="D8710" t="s">
        <v>2897</v>
      </c>
      <c r="E8710">
        <v>538</v>
      </c>
      <c r="F8710" s="11">
        <v>1</v>
      </c>
    </row>
    <row r="8711" spans="1:6" x14ac:dyDescent="0.35">
      <c r="A8711" t="s">
        <v>2857</v>
      </c>
      <c r="B8711" t="s">
        <v>2862</v>
      </c>
      <c r="C8711" t="s">
        <v>1535</v>
      </c>
      <c r="D8711" t="s">
        <v>2898</v>
      </c>
      <c r="E8711">
        <v>96004</v>
      </c>
      <c r="F8711" s="11">
        <v>1</v>
      </c>
    </row>
    <row r="8712" spans="1:6" x14ac:dyDescent="0.35">
      <c r="A8712" t="s">
        <v>2857</v>
      </c>
      <c r="B8712" t="s">
        <v>2862</v>
      </c>
      <c r="C8712" t="s">
        <v>1535</v>
      </c>
      <c r="D8712" t="s">
        <v>2899</v>
      </c>
      <c r="E8712">
        <v>3527</v>
      </c>
      <c r="F8712" s="11">
        <v>1</v>
      </c>
    </row>
    <row r="8713" spans="1:6" x14ac:dyDescent="0.35">
      <c r="A8713" t="s">
        <v>2857</v>
      </c>
      <c r="B8713" t="s">
        <v>2862</v>
      </c>
      <c r="C8713" t="s">
        <v>1535</v>
      </c>
      <c r="D8713" t="s">
        <v>2900</v>
      </c>
      <c r="E8713">
        <v>98</v>
      </c>
      <c r="F8713" s="11">
        <v>0</v>
      </c>
    </row>
    <row r="8714" spans="1:6" x14ac:dyDescent="0.35">
      <c r="A8714" t="s">
        <v>2857</v>
      </c>
      <c r="B8714" t="s">
        <v>2862</v>
      </c>
      <c r="C8714" t="s">
        <v>1535</v>
      </c>
      <c r="D8714" t="s">
        <v>2901</v>
      </c>
      <c r="E8714">
        <v>0</v>
      </c>
      <c r="F8714" s="11">
        <v>0</v>
      </c>
    </row>
    <row r="8715" spans="1:6" x14ac:dyDescent="0.35">
      <c r="A8715" t="s">
        <v>2857</v>
      </c>
      <c r="B8715" t="s">
        <v>2862</v>
      </c>
      <c r="C8715" t="s">
        <v>1535</v>
      </c>
      <c r="D8715" t="s">
        <v>2902</v>
      </c>
      <c r="E8715">
        <v>3347</v>
      </c>
      <c r="F8715" s="11">
        <v>0</v>
      </c>
    </row>
    <row r="8716" spans="1:6" x14ac:dyDescent="0.35">
      <c r="A8716" t="s">
        <v>2857</v>
      </c>
      <c r="B8716" t="s">
        <v>2862</v>
      </c>
      <c r="C8716" t="s">
        <v>1535</v>
      </c>
      <c r="D8716" t="s">
        <v>2903</v>
      </c>
      <c r="E8716">
        <v>0</v>
      </c>
      <c r="F8716" s="11">
        <v>0</v>
      </c>
    </row>
    <row r="8717" spans="1:6" x14ac:dyDescent="0.35">
      <c r="A8717" t="s">
        <v>2857</v>
      </c>
      <c r="B8717" t="s">
        <v>2862</v>
      </c>
      <c r="C8717" t="s">
        <v>1535</v>
      </c>
      <c r="D8717" t="s">
        <v>2904</v>
      </c>
      <c r="E8717">
        <v>0</v>
      </c>
      <c r="F8717" s="11">
        <v>0</v>
      </c>
    </row>
    <row r="8718" spans="1:6" x14ac:dyDescent="0.35">
      <c r="A8718" t="s">
        <v>2857</v>
      </c>
      <c r="B8718" t="s">
        <v>2862</v>
      </c>
      <c r="C8718" t="s">
        <v>1535</v>
      </c>
      <c r="D8718" t="s">
        <v>2905</v>
      </c>
      <c r="E8718">
        <v>0</v>
      </c>
      <c r="F8718" s="11">
        <v>0</v>
      </c>
    </row>
    <row r="8719" spans="1:6" x14ac:dyDescent="0.35">
      <c r="A8719" t="s">
        <v>2857</v>
      </c>
      <c r="B8719" t="s">
        <v>2862</v>
      </c>
      <c r="C8719" t="s">
        <v>1535</v>
      </c>
      <c r="D8719" t="s">
        <v>2906</v>
      </c>
      <c r="E8719">
        <v>0</v>
      </c>
      <c r="F8719" s="11">
        <v>0</v>
      </c>
    </row>
    <row r="8720" spans="1:6" x14ac:dyDescent="0.35">
      <c r="A8720" t="s">
        <v>2857</v>
      </c>
      <c r="B8720" t="s">
        <v>2862</v>
      </c>
      <c r="C8720" t="s">
        <v>1535</v>
      </c>
      <c r="D8720" t="s">
        <v>2907</v>
      </c>
      <c r="E8720">
        <v>0</v>
      </c>
      <c r="F8720" s="11">
        <v>0</v>
      </c>
    </row>
    <row r="8721" spans="1:6" x14ac:dyDescent="0.35">
      <c r="A8721" t="s">
        <v>2857</v>
      </c>
      <c r="B8721" t="s">
        <v>2862</v>
      </c>
      <c r="C8721" t="s">
        <v>1535</v>
      </c>
      <c r="D8721" t="s">
        <v>2908</v>
      </c>
      <c r="E8721">
        <v>0</v>
      </c>
      <c r="F8721" s="11">
        <v>0</v>
      </c>
    </row>
    <row r="8722" spans="1:6" x14ac:dyDescent="0.35">
      <c r="A8722" t="s">
        <v>2857</v>
      </c>
      <c r="B8722" t="s">
        <v>2862</v>
      </c>
      <c r="C8722" t="s">
        <v>1535</v>
      </c>
      <c r="D8722" t="s">
        <v>2909</v>
      </c>
      <c r="E8722">
        <v>0</v>
      </c>
      <c r="F8722" s="11">
        <v>0</v>
      </c>
    </row>
    <row r="8723" spans="1:6" x14ac:dyDescent="0.35">
      <c r="A8723" t="s">
        <v>2857</v>
      </c>
      <c r="B8723" t="s">
        <v>2862</v>
      </c>
      <c r="C8723" t="s">
        <v>1535</v>
      </c>
      <c r="D8723" t="s">
        <v>2910</v>
      </c>
      <c r="E8723">
        <v>0</v>
      </c>
      <c r="F8723" s="11">
        <v>0</v>
      </c>
    </row>
    <row r="8724" spans="1:6" x14ac:dyDescent="0.35">
      <c r="A8724" t="s">
        <v>2857</v>
      </c>
      <c r="B8724" t="s">
        <v>2862</v>
      </c>
      <c r="C8724" t="s">
        <v>1535</v>
      </c>
      <c r="D8724" t="s">
        <v>2911</v>
      </c>
      <c r="E8724">
        <v>309963</v>
      </c>
      <c r="F8724" s="11">
        <v>1</v>
      </c>
    </row>
    <row r="8725" spans="1:6" x14ac:dyDescent="0.35">
      <c r="A8725" t="s">
        <v>2857</v>
      </c>
      <c r="B8725" t="s">
        <v>2862</v>
      </c>
      <c r="C8725" t="s">
        <v>1535</v>
      </c>
      <c r="D8725" t="s">
        <v>2912</v>
      </c>
      <c r="E8725">
        <v>299270</v>
      </c>
      <c r="F8725" s="11">
        <v>1</v>
      </c>
    </row>
    <row r="8726" spans="1:6" x14ac:dyDescent="0.35">
      <c r="A8726" t="s">
        <v>2857</v>
      </c>
      <c r="B8726" t="s">
        <v>2862</v>
      </c>
      <c r="C8726" t="s">
        <v>1535</v>
      </c>
      <c r="D8726" t="s">
        <v>2913</v>
      </c>
      <c r="E8726">
        <v>0</v>
      </c>
      <c r="F8726" s="11">
        <v>0</v>
      </c>
    </row>
    <row r="8727" spans="1:6" x14ac:dyDescent="0.35">
      <c r="A8727" t="s">
        <v>2857</v>
      </c>
      <c r="B8727" t="s">
        <v>2862</v>
      </c>
      <c r="C8727" t="s">
        <v>1535</v>
      </c>
      <c r="D8727" t="s">
        <v>2914</v>
      </c>
      <c r="E8727">
        <v>0</v>
      </c>
      <c r="F8727" s="11">
        <v>0</v>
      </c>
    </row>
    <row r="8728" spans="1:6" x14ac:dyDescent="0.35">
      <c r="A8728" t="s">
        <v>2857</v>
      </c>
      <c r="B8728" t="s">
        <v>2862</v>
      </c>
      <c r="C8728" t="s">
        <v>1535</v>
      </c>
      <c r="D8728" t="s">
        <v>2915</v>
      </c>
      <c r="E8728">
        <v>876</v>
      </c>
      <c r="F8728" s="11">
        <v>1</v>
      </c>
    </row>
    <row r="8729" spans="1:6" x14ac:dyDescent="0.35">
      <c r="A8729" t="s">
        <v>2857</v>
      </c>
      <c r="B8729" t="s">
        <v>2862</v>
      </c>
      <c r="C8729" t="s">
        <v>1535</v>
      </c>
      <c r="D8729" t="s">
        <v>2916</v>
      </c>
      <c r="E8729">
        <v>24569</v>
      </c>
      <c r="F8729" s="11">
        <v>1</v>
      </c>
    </row>
    <row r="8730" spans="1:6" x14ac:dyDescent="0.35">
      <c r="A8730" t="s">
        <v>2857</v>
      </c>
      <c r="B8730" t="s">
        <v>2862</v>
      </c>
      <c r="C8730" t="s">
        <v>1535</v>
      </c>
      <c r="D8730" t="s">
        <v>2917</v>
      </c>
      <c r="E8730">
        <v>0</v>
      </c>
      <c r="F8730" s="11">
        <v>0</v>
      </c>
    </row>
    <row r="8731" spans="1:6" x14ac:dyDescent="0.35">
      <c r="A8731" t="s">
        <v>2857</v>
      </c>
      <c r="B8731" t="s">
        <v>2864</v>
      </c>
      <c r="C8731" t="s">
        <v>1477</v>
      </c>
      <c r="D8731" t="s">
        <v>2875</v>
      </c>
      <c r="E8731">
        <v>15276</v>
      </c>
      <c r="F8731" s="11">
        <v>1</v>
      </c>
    </row>
    <row r="8732" spans="1:6" x14ac:dyDescent="0.35">
      <c r="A8732" t="s">
        <v>2857</v>
      </c>
      <c r="B8732" t="s">
        <v>2864</v>
      </c>
      <c r="C8732" t="s">
        <v>1477</v>
      </c>
      <c r="D8732" t="s">
        <v>2876</v>
      </c>
      <c r="E8732">
        <v>2927</v>
      </c>
      <c r="F8732" s="11">
        <v>1</v>
      </c>
    </row>
    <row r="8733" spans="1:6" x14ac:dyDescent="0.35">
      <c r="A8733" t="s">
        <v>2857</v>
      </c>
      <c r="B8733" t="s">
        <v>2864</v>
      </c>
      <c r="C8733" t="s">
        <v>1477</v>
      </c>
      <c r="D8733" t="s">
        <v>2877</v>
      </c>
      <c r="E8733">
        <v>902</v>
      </c>
      <c r="F8733" s="11">
        <v>1</v>
      </c>
    </row>
    <row r="8734" spans="1:6" x14ac:dyDescent="0.35">
      <c r="A8734" t="s">
        <v>2857</v>
      </c>
      <c r="B8734" t="s">
        <v>2864</v>
      </c>
      <c r="C8734" t="s">
        <v>1477</v>
      </c>
      <c r="D8734" t="s">
        <v>2878</v>
      </c>
      <c r="E8734">
        <v>11447</v>
      </c>
      <c r="F8734" s="11">
        <v>1</v>
      </c>
    </row>
    <row r="8735" spans="1:6" x14ac:dyDescent="0.35">
      <c r="A8735" t="s">
        <v>2857</v>
      </c>
      <c r="B8735" t="s">
        <v>2864</v>
      </c>
      <c r="C8735" t="s">
        <v>1477</v>
      </c>
      <c r="D8735" t="s">
        <v>2879</v>
      </c>
      <c r="E8735">
        <v>1755</v>
      </c>
      <c r="F8735" s="11">
        <v>1</v>
      </c>
    </row>
    <row r="8736" spans="1:6" x14ac:dyDescent="0.35">
      <c r="A8736" t="s">
        <v>2857</v>
      </c>
      <c r="B8736" t="s">
        <v>2864</v>
      </c>
      <c r="C8736" t="s">
        <v>1477</v>
      </c>
      <c r="D8736" t="s">
        <v>2880</v>
      </c>
      <c r="E8736">
        <v>891</v>
      </c>
      <c r="F8736" s="11">
        <v>1</v>
      </c>
    </row>
    <row r="8737" spans="1:6" x14ac:dyDescent="0.35">
      <c r="A8737" t="s">
        <v>2857</v>
      </c>
      <c r="B8737" t="s">
        <v>2864</v>
      </c>
      <c r="C8737" t="s">
        <v>1477</v>
      </c>
      <c r="D8737" t="s">
        <v>2881</v>
      </c>
      <c r="E8737">
        <v>9</v>
      </c>
      <c r="F8737" s="11">
        <v>1</v>
      </c>
    </row>
    <row r="8738" spans="1:6" x14ac:dyDescent="0.35">
      <c r="A8738" t="s">
        <v>2857</v>
      </c>
      <c r="B8738" t="s">
        <v>2864</v>
      </c>
      <c r="C8738" t="s">
        <v>1477</v>
      </c>
      <c r="D8738" t="s">
        <v>2882</v>
      </c>
      <c r="E8738">
        <v>855</v>
      </c>
      <c r="F8738" s="11">
        <v>1</v>
      </c>
    </row>
    <row r="8739" spans="1:6" x14ac:dyDescent="0.35">
      <c r="A8739" t="s">
        <v>2857</v>
      </c>
      <c r="B8739" t="s">
        <v>2864</v>
      </c>
      <c r="C8739" t="s">
        <v>1477</v>
      </c>
      <c r="D8739" t="s">
        <v>2883</v>
      </c>
      <c r="E8739">
        <v>0</v>
      </c>
      <c r="F8739" s="11">
        <v>0</v>
      </c>
    </row>
    <row r="8740" spans="1:6" x14ac:dyDescent="0.35">
      <c r="A8740" t="s">
        <v>2857</v>
      </c>
      <c r="B8740" t="s">
        <v>2864</v>
      </c>
      <c r="C8740" t="s">
        <v>1477</v>
      </c>
      <c r="D8740" t="s">
        <v>2884</v>
      </c>
      <c r="E8740">
        <v>0</v>
      </c>
      <c r="F8740" s="11">
        <v>0</v>
      </c>
    </row>
    <row r="8741" spans="1:6" x14ac:dyDescent="0.35">
      <c r="A8741" t="s">
        <v>2857</v>
      </c>
      <c r="B8741" t="s">
        <v>2864</v>
      </c>
      <c r="C8741" t="s">
        <v>1477</v>
      </c>
      <c r="D8741" t="s">
        <v>2885</v>
      </c>
      <c r="E8741">
        <v>0</v>
      </c>
      <c r="F8741" s="11">
        <v>0</v>
      </c>
    </row>
    <row r="8742" spans="1:6" x14ac:dyDescent="0.35">
      <c r="A8742" t="s">
        <v>2857</v>
      </c>
      <c r="B8742" t="s">
        <v>2864</v>
      </c>
      <c r="C8742" t="s">
        <v>1477</v>
      </c>
      <c r="D8742" t="s">
        <v>2886</v>
      </c>
      <c r="E8742">
        <v>0</v>
      </c>
      <c r="F8742" s="11">
        <v>0</v>
      </c>
    </row>
    <row r="8743" spans="1:6" x14ac:dyDescent="0.35">
      <c r="A8743" t="s">
        <v>2857</v>
      </c>
      <c r="B8743" t="s">
        <v>2864</v>
      </c>
      <c r="C8743" t="s">
        <v>1477</v>
      </c>
      <c r="D8743" t="s">
        <v>2887</v>
      </c>
      <c r="E8743">
        <v>28078</v>
      </c>
      <c r="F8743" s="11">
        <v>1</v>
      </c>
    </row>
    <row r="8744" spans="1:6" x14ac:dyDescent="0.35">
      <c r="A8744" t="s">
        <v>2857</v>
      </c>
      <c r="B8744" t="s">
        <v>2864</v>
      </c>
      <c r="C8744" t="s">
        <v>1477</v>
      </c>
      <c r="D8744" t="s">
        <v>2888</v>
      </c>
      <c r="E8744">
        <v>0</v>
      </c>
      <c r="F8744" s="11">
        <v>1</v>
      </c>
    </row>
    <row r="8745" spans="1:6" x14ac:dyDescent="0.35">
      <c r="A8745" t="s">
        <v>2857</v>
      </c>
      <c r="B8745" t="s">
        <v>2864</v>
      </c>
      <c r="C8745" t="s">
        <v>1477</v>
      </c>
      <c r="D8745" t="s">
        <v>2889</v>
      </c>
      <c r="E8745">
        <v>0</v>
      </c>
      <c r="F8745" s="11">
        <v>1</v>
      </c>
    </row>
    <row r="8746" spans="1:6" x14ac:dyDescent="0.35">
      <c r="A8746" t="s">
        <v>2857</v>
      </c>
      <c r="B8746" t="s">
        <v>2864</v>
      </c>
      <c r="C8746" t="s">
        <v>1477</v>
      </c>
      <c r="D8746" t="s">
        <v>2890</v>
      </c>
      <c r="E8746">
        <v>14715</v>
      </c>
      <c r="F8746" s="11">
        <v>0</v>
      </c>
    </row>
    <row r="8747" spans="1:6" x14ac:dyDescent="0.35">
      <c r="A8747" t="s">
        <v>2857</v>
      </c>
      <c r="B8747" t="s">
        <v>2864</v>
      </c>
      <c r="C8747" t="s">
        <v>1477</v>
      </c>
      <c r="D8747" t="s">
        <v>2891</v>
      </c>
      <c r="E8747">
        <v>0</v>
      </c>
      <c r="F8747" s="11">
        <v>0</v>
      </c>
    </row>
    <row r="8748" spans="1:6" x14ac:dyDescent="0.35">
      <c r="A8748" t="s">
        <v>2857</v>
      </c>
      <c r="B8748" t="s">
        <v>2864</v>
      </c>
      <c r="C8748" t="s">
        <v>1477</v>
      </c>
      <c r="D8748" t="s">
        <v>2892</v>
      </c>
      <c r="E8748">
        <v>0</v>
      </c>
      <c r="F8748" s="11">
        <v>0</v>
      </c>
    </row>
    <row r="8749" spans="1:6" x14ac:dyDescent="0.35">
      <c r="A8749" t="s">
        <v>2857</v>
      </c>
      <c r="B8749" t="s">
        <v>2864</v>
      </c>
      <c r="C8749" t="s">
        <v>1477</v>
      </c>
      <c r="D8749" t="s">
        <v>2893</v>
      </c>
      <c r="E8749">
        <v>0</v>
      </c>
      <c r="F8749" s="11">
        <v>0</v>
      </c>
    </row>
    <row r="8750" spans="1:6" x14ac:dyDescent="0.35">
      <c r="A8750" t="s">
        <v>2857</v>
      </c>
      <c r="B8750" t="s">
        <v>2864</v>
      </c>
      <c r="C8750" t="s">
        <v>1477</v>
      </c>
      <c r="D8750" t="s">
        <v>2894</v>
      </c>
      <c r="E8750">
        <v>0</v>
      </c>
      <c r="F8750" s="11">
        <v>0</v>
      </c>
    </row>
    <row r="8751" spans="1:6" x14ac:dyDescent="0.35">
      <c r="A8751" t="s">
        <v>2857</v>
      </c>
      <c r="B8751" t="s">
        <v>2864</v>
      </c>
      <c r="C8751" t="s">
        <v>1477</v>
      </c>
      <c r="D8751" t="s">
        <v>2895</v>
      </c>
      <c r="E8751">
        <v>237350</v>
      </c>
      <c r="F8751" s="11">
        <v>1</v>
      </c>
    </row>
    <row r="8752" spans="1:6" x14ac:dyDescent="0.35">
      <c r="A8752" t="s">
        <v>2857</v>
      </c>
      <c r="B8752" t="s">
        <v>2864</v>
      </c>
      <c r="C8752" t="s">
        <v>1477</v>
      </c>
      <c r="D8752" t="s">
        <v>2896</v>
      </c>
      <c r="E8752">
        <v>82328</v>
      </c>
      <c r="F8752" s="11">
        <v>1</v>
      </c>
    </row>
    <row r="8753" spans="1:6" x14ac:dyDescent="0.35">
      <c r="A8753" t="s">
        <v>2857</v>
      </c>
      <c r="B8753" t="s">
        <v>2864</v>
      </c>
      <c r="C8753" t="s">
        <v>1477</v>
      </c>
      <c r="D8753" t="s">
        <v>2897</v>
      </c>
      <c r="E8753">
        <v>3703</v>
      </c>
      <c r="F8753" s="11">
        <v>1</v>
      </c>
    </row>
    <row r="8754" spans="1:6" x14ac:dyDescent="0.35">
      <c r="A8754" t="s">
        <v>2857</v>
      </c>
      <c r="B8754" t="s">
        <v>2864</v>
      </c>
      <c r="C8754" t="s">
        <v>1477</v>
      </c>
      <c r="D8754" t="s">
        <v>2898</v>
      </c>
      <c r="E8754">
        <v>151319</v>
      </c>
      <c r="F8754" s="11">
        <v>1</v>
      </c>
    </row>
    <row r="8755" spans="1:6" x14ac:dyDescent="0.35">
      <c r="A8755" t="s">
        <v>2857</v>
      </c>
      <c r="B8755" t="s">
        <v>2864</v>
      </c>
      <c r="C8755" t="s">
        <v>1477</v>
      </c>
      <c r="D8755" t="s">
        <v>2899</v>
      </c>
      <c r="E8755">
        <v>4750</v>
      </c>
      <c r="F8755" s="11">
        <v>1</v>
      </c>
    </row>
    <row r="8756" spans="1:6" x14ac:dyDescent="0.35">
      <c r="A8756" t="s">
        <v>2857</v>
      </c>
      <c r="B8756" t="s">
        <v>2864</v>
      </c>
      <c r="C8756" t="s">
        <v>1477</v>
      </c>
      <c r="D8756" t="s">
        <v>2900</v>
      </c>
      <c r="E8756">
        <v>415</v>
      </c>
      <c r="F8756" s="11">
        <v>1</v>
      </c>
    </row>
    <row r="8757" spans="1:6" x14ac:dyDescent="0.35">
      <c r="A8757" t="s">
        <v>2857</v>
      </c>
      <c r="B8757" t="s">
        <v>2864</v>
      </c>
      <c r="C8757" t="s">
        <v>1477</v>
      </c>
      <c r="D8757" t="s">
        <v>2901</v>
      </c>
      <c r="E8757">
        <v>0</v>
      </c>
      <c r="F8757" s="11">
        <v>1</v>
      </c>
    </row>
    <row r="8758" spans="1:6" x14ac:dyDescent="0.35">
      <c r="A8758" t="s">
        <v>2857</v>
      </c>
      <c r="B8758" t="s">
        <v>2864</v>
      </c>
      <c r="C8758" t="s">
        <v>1477</v>
      </c>
      <c r="D8758" t="s">
        <v>2902</v>
      </c>
      <c r="E8758">
        <v>4335</v>
      </c>
      <c r="F8758" s="11">
        <v>0</v>
      </c>
    </row>
    <row r="8759" spans="1:6" x14ac:dyDescent="0.35">
      <c r="A8759" t="s">
        <v>2857</v>
      </c>
      <c r="B8759" t="s">
        <v>2864</v>
      </c>
      <c r="C8759" t="s">
        <v>1477</v>
      </c>
      <c r="D8759" t="s">
        <v>2903</v>
      </c>
      <c r="E8759">
        <v>26546</v>
      </c>
      <c r="F8759" s="11">
        <v>0</v>
      </c>
    </row>
    <row r="8760" spans="1:6" x14ac:dyDescent="0.35">
      <c r="A8760" t="s">
        <v>2857</v>
      </c>
      <c r="B8760" t="s">
        <v>2864</v>
      </c>
      <c r="C8760" t="s">
        <v>1477</v>
      </c>
      <c r="D8760" t="s">
        <v>2904</v>
      </c>
      <c r="E8760">
        <v>1774</v>
      </c>
      <c r="F8760" s="11">
        <v>0</v>
      </c>
    </row>
    <row r="8761" spans="1:6" x14ac:dyDescent="0.35">
      <c r="A8761" t="s">
        <v>2857</v>
      </c>
      <c r="B8761" t="s">
        <v>2864</v>
      </c>
      <c r="C8761" t="s">
        <v>1477</v>
      </c>
      <c r="D8761" t="s">
        <v>2905</v>
      </c>
      <c r="E8761">
        <v>1028</v>
      </c>
      <c r="F8761" s="11">
        <v>0</v>
      </c>
    </row>
    <row r="8762" spans="1:6" x14ac:dyDescent="0.35">
      <c r="A8762" t="s">
        <v>2857</v>
      </c>
      <c r="B8762" t="s">
        <v>2864</v>
      </c>
      <c r="C8762" t="s">
        <v>1477</v>
      </c>
      <c r="D8762" t="s">
        <v>2906</v>
      </c>
      <c r="E8762">
        <v>23744</v>
      </c>
      <c r="F8762" s="11">
        <v>0</v>
      </c>
    </row>
    <row r="8763" spans="1:6" x14ac:dyDescent="0.35">
      <c r="A8763" t="s">
        <v>2857</v>
      </c>
      <c r="B8763" t="s">
        <v>2864</v>
      </c>
      <c r="C8763" t="s">
        <v>1477</v>
      </c>
      <c r="D8763" t="s">
        <v>2907</v>
      </c>
      <c r="E8763">
        <v>34413</v>
      </c>
      <c r="F8763" s="11">
        <v>0</v>
      </c>
    </row>
    <row r="8764" spans="1:6" x14ac:dyDescent="0.35">
      <c r="A8764" t="s">
        <v>2857</v>
      </c>
      <c r="B8764" t="s">
        <v>2864</v>
      </c>
      <c r="C8764" t="s">
        <v>1477</v>
      </c>
      <c r="D8764" t="s">
        <v>2908</v>
      </c>
      <c r="E8764">
        <v>3717</v>
      </c>
      <c r="F8764" s="11">
        <v>0</v>
      </c>
    </row>
    <row r="8765" spans="1:6" x14ac:dyDescent="0.35">
      <c r="A8765" t="s">
        <v>2857</v>
      </c>
      <c r="B8765" t="s">
        <v>2864</v>
      </c>
      <c r="C8765" t="s">
        <v>1477</v>
      </c>
      <c r="D8765" t="s">
        <v>2909</v>
      </c>
      <c r="E8765">
        <v>1281</v>
      </c>
      <c r="F8765" s="11">
        <v>0</v>
      </c>
    </row>
    <row r="8766" spans="1:6" x14ac:dyDescent="0.35">
      <c r="A8766" t="s">
        <v>2857</v>
      </c>
      <c r="B8766" t="s">
        <v>2864</v>
      </c>
      <c r="C8766" t="s">
        <v>1477</v>
      </c>
      <c r="D8766" t="s">
        <v>2910</v>
      </c>
      <c r="E8766">
        <v>29415</v>
      </c>
      <c r="F8766" s="11">
        <v>0</v>
      </c>
    </row>
    <row r="8767" spans="1:6" x14ac:dyDescent="0.35">
      <c r="A8767" t="s">
        <v>2857</v>
      </c>
      <c r="B8767" t="s">
        <v>2864</v>
      </c>
      <c r="C8767" t="s">
        <v>1477</v>
      </c>
      <c r="D8767" t="s">
        <v>2911</v>
      </c>
      <c r="E8767">
        <v>1700893</v>
      </c>
      <c r="F8767" s="11">
        <v>1</v>
      </c>
    </row>
    <row r="8768" spans="1:6" x14ac:dyDescent="0.35">
      <c r="A8768" t="s">
        <v>2857</v>
      </c>
      <c r="B8768" t="s">
        <v>2864</v>
      </c>
      <c r="C8768" t="s">
        <v>1477</v>
      </c>
      <c r="D8768" t="s">
        <v>2912</v>
      </c>
      <c r="E8768">
        <v>517663</v>
      </c>
      <c r="F8768" s="11">
        <v>0</v>
      </c>
    </row>
    <row r="8769" spans="1:6" x14ac:dyDescent="0.35">
      <c r="A8769" t="s">
        <v>2857</v>
      </c>
      <c r="B8769" t="s">
        <v>2864</v>
      </c>
      <c r="C8769" t="s">
        <v>1477</v>
      </c>
      <c r="D8769" t="s">
        <v>2913</v>
      </c>
      <c r="E8769">
        <v>0</v>
      </c>
      <c r="F8769" s="11">
        <v>0</v>
      </c>
    </row>
    <row r="8770" spans="1:6" x14ac:dyDescent="0.35">
      <c r="A8770" t="s">
        <v>2857</v>
      </c>
      <c r="B8770" t="s">
        <v>2864</v>
      </c>
      <c r="C8770" t="s">
        <v>1477</v>
      </c>
      <c r="D8770" t="s">
        <v>2914</v>
      </c>
      <c r="E8770">
        <v>0</v>
      </c>
      <c r="F8770" s="11">
        <v>0</v>
      </c>
    </row>
    <row r="8771" spans="1:6" x14ac:dyDescent="0.35">
      <c r="A8771" t="s">
        <v>2857</v>
      </c>
      <c r="B8771" t="s">
        <v>2864</v>
      </c>
      <c r="C8771" t="s">
        <v>1477</v>
      </c>
      <c r="D8771" t="s">
        <v>2915</v>
      </c>
      <c r="E8771">
        <v>0</v>
      </c>
      <c r="F8771" s="11">
        <v>0</v>
      </c>
    </row>
    <row r="8772" spans="1:6" x14ac:dyDescent="0.35">
      <c r="A8772" t="s">
        <v>2857</v>
      </c>
      <c r="B8772" t="s">
        <v>2864</v>
      </c>
      <c r="C8772" t="s">
        <v>1477</v>
      </c>
      <c r="D8772" t="s">
        <v>2916</v>
      </c>
      <c r="E8772">
        <v>20583.400000000001</v>
      </c>
      <c r="F8772" s="11">
        <v>0</v>
      </c>
    </row>
    <row r="8773" spans="1:6" x14ac:dyDescent="0.35">
      <c r="A8773" t="s">
        <v>2857</v>
      </c>
      <c r="B8773" t="s">
        <v>2864</v>
      </c>
      <c r="C8773" t="s">
        <v>1477</v>
      </c>
      <c r="D8773" t="s">
        <v>2917</v>
      </c>
      <c r="E8773">
        <v>22907</v>
      </c>
      <c r="F8773" s="11">
        <v>1</v>
      </c>
    </row>
    <row r="8774" spans="1:6" x14ac:dyDescent="0.35">
      <c r="A8774" t="s">
        <v>2857</v>
      </c>
      <c r="B8774" t="s">
        <v>2865</v>
      </c>
      <c r="C8774" t="s">
        <v>1490</v>
      </c>
      <c r="D8774" t="s">
        <v>2875</v>
      </c>
      <c r="E8774">
        <v>29067</v>
      </c>
      <c r="F8774" s="11">
        <v>1</v>
      </c>
    </row>
    <row r="8775" spans="1:6" x14ac:dyDescent="0.35">
      <c r="A8775" t="s">
        <v>2857</v>
      </c>
      <c r="B8775" t="s">
        <v>2865</v>
      </c>
      <c r="C8775" t="s">
        <v>1490</v>
      </c>
      <c r="D8775" t="s">
        <v>2876</v>
      </c>
      <c r="E8775">
        <v>6282</v>
      </c>
      <c r="F8775" s="11">
        <v>1</v>
      </c>
    </row>
    <row r="8776" spans="1:6" x14ac:dyDescent="0.35">
      <c r="A8776" t="s">
        <v>2857</v>
      </c>
      <c r="B8776" t="s">
        <v>2865</v>
      </c>
      <c r="C8776" t="s">
        <v>1490</v>
      </c>
      <c r="D8776" t="s">
        <v>2877</v>
      </c>
      <c r="E8776">
        <v>1833</v>
      </c>
      <c r="F8776" s="11">
        <v>1</v>
      </c>
    </row>
    <row r="8777" spans="1:6" x14ac:dyDescent="0.35">
      <c r="A8777" t="s">
        <v>2857</v>
      </c>
      <c r="B8777" t="s">
        <v>2865</v>
      </c>
      <c r="C8777" t="s">
        <v>1490</v>
      </c>
      <c r="D8777" t="s">
        <v>2878</v>
      </c>
      <c r="E8777">
        <v>20952</v>
      </c>
      <c r="F8777" s="11">
        <v>1</v>
      </c>
    </row>
    <row r="8778" spans="1:6" x14ac:dyDescent="0.35">
      <c r="A8778" t="s">
        <v>2857</v>
      </c>
      <c r="B8778" t="s">
        <v>2865</v>
      </c>
      <c r="C8778" t="s">
        <v>1490</v>
      </c>
      <c r="D8778" t="s">
        <v>2879</v>
      </c>
      <c r="E8778">
        <v>9948</v>
      </c>
      <c r="F8778" s="11">
        <v>1</v>
      </c>
    </row>
    <row r="8779" spans="1:6" x14ac:dyDescent="0.35">
      <c r="A8779" t="s">
        <v>2857</v>
      </c>
      <c r="B8779" t="s">
        <v>2865</v>
      </c>
      <c r="C8779" t="s">
        <v>1490</v>
      </c>
      <c r="D8779" t="s">
        <v>2880</v>
      </c>
      <c r="E8779">
        <v>3869</v>
      </c>
      <c r="F8779" s="11">
        <v>1</v>
      </c>
    </row>
    <row r="8780" spans="1:6" x14ac:dyDescent="0.35">
      <c r="A8780" t="s">
        <v>2857</v>
      </c>
      <c r="B8780" t="s">
        <v>2865</v>
      </c>
      <c r="C8780" t="s">
        <v>1490</v>
      </c>
      <c r="D8780" t="s">
        <v>2881</v>
      </c>
      <c r="E8780">
        <v>44</v>
      </c>
      <c r="F8780" s="11">
        <v>1</v>
      </c>
    </row>
    <row r="8781" spans="1:6" x14ac:dyDescent="0.35">
      <c r="A8781" t="s">
        <v>2857</v>
      </c>
      <c r="B8781" t="s">
        <v>2865</v>
      </c>
      <c r="C8781" t="s">
        <v>1490</v>
      </c>
      <c r="D8781" t="s">
        <v>2882</v>
      </c>
      <c r="E8781">
        <v>6035</v>
      </c>
      <c r="F8781" s="11">
        <v>1</v>
      </c>
    </row>
    <row r="8782" spans="1:6" x14ac:dyDescent="0.35">
      <c r="A8782" t="s">
        <v>2857</v>
      </c>
      <c r="B8782" t="s">
        <v>2865</v>
      </c>
      <c r="C8782" t="s">
        <v>1490</v>
      </c>
      <c r="D8782" t="s">
        <v>2883</v>
      </c>
      <c r="E8782">
        <v>0</v>
      </c>
      <c r="F8782" s="11">
        <v>0</v>
      </c>
    </row>
    <row r="8783" spans="1:6" x14ac:dyDescent="0.35">
      <c r="A8783" t="s">
        <v>2857</v>
      </c>
      <c r="B8783" t="s">
        <v>2865</v>
      </c>
      <c r="C8783" t="s">
        <v>1490</v>
      </c>
      <c r="D8783" t="s">
        <v>2884</v>
      </c>
      <c r="E8783">
        <v>0</v>
      </c>
      <c r="F8783" s="11">
        <v>0</v>
      </c>
    </row>
    <row r="8784" spans="1:6" x14ac:dyDescent="0.35">
      <c r="A8784" t="s">
        <v>2857</v>
      </c>
      <c r="B8784" t="s">
        <v>2865</v>
      </c>
      <c r="C8784" t="s">
        <v>1490</v>
      </c>
      <c r="D8784" t="s">
        <v>2885</v>
      </c>
      <c r="E8784">
        <v>0</v>
      </c>
      <c r="F8784" s="11">
        <v>0</v>
      </c>
    </row>
    <row r="8785" spans="1:6" x14ac:dyDescent="0.35">
      <c r="A8785" t="s">
        <v>2857</v>
      </c>
      <c r="B8785" t="s">
        <v>2865</v>
      </c>
      <c r="C8785" t="s">
        <v>1490</v>
      </c>
      <c r="D8785" t="s">
        <v>2886</v>
      </c>
      <c r="E8785">
        <v>0</v>
      </c>
      <c r="F8785" s="11">
        <v>0</v>
      </c>
    </row>
    <row r="8786" spans="1:6" x14ac:dyDescent="0.35">
      <c r="A8786" t="s">
        <v>2857</v>
      </c>
      <c r="B8786" t="s">
        <v>2865</v>
      </c>
      <c r="C8786" t="s">
        <v>1490</v>
      </c>
      <c r="D8786" t="s">
        <v>2887</v>
      </c>
      <c r="E8786">
        <v>113685</v>
      </c>
      <c r="F8786" s="11">
        <v>1</v>
      </c>
    </row>
    <row r="8787" spans="1:6" x14ac:dyDescent="0.35">
      <c r="A8787" t="s">
        <v>2857</v>
      </c>
      <c r="B8787" t="s">
        <v>2865</v>
      </c>
      <c r="C8787" t="s">
        <v>1490</v>
      </c>
      <c r="D8787" t="s">
        <v>2888</v>
      </c>
      <c r="E8787">
        <v>36454</v>
      </c>
      <c r="F8787" s="11">
        <v>1</v>
      </c>
    </row>
    <row r="8788" spans="1:6" x14ac:dyDescent="0.35">
      <c r="A8788" t="s">
        <v>2857</v>
      </c>
      <c r="B8788" t="s">
        <v>2865</v>
      </c>
      <c r="C8788" t="s">
        <v>1490</v>
      </c>
      <c r="D8788" t="s">
        <v>2889</v>
      </c>
      <c r="E8788">
        <v>225</v>
      </c>
      <c r="F8788" s="11">
        <v>1</v>
      </c>
    </row>
    <row r="8789" spans="1:6" x14ac:dyDescent="0.35">
      <c r="A8789" t="s">
        <v>2857</v>
      </c>
      <c r="B8789" t="s">
        <v>2865</v>
      </c>
      <c r="C8789" t="s">
        <v>1490</v>
      </c>
      <c r="D8789" t="s">
        <v>2890</v>
      </c>
      <c r="E8789">
        <v>77222</v>
      </c>
      <c r="F8789" s="11">
        <v>0</v>
      </c>
    </row>
    <row r="8790" spans="1:6" x14ac:dyDescent="0.35">
      <c r="A8790" t="s">
        <v>2857</v>
      </c>
      <c r="B8790" t="s">
        <v>2865</v>
      </c>
      <c r="C8790" t="s">
        <v>1490</v>
      </c>
      <c r="D8790" t="s">
        <v>2891</v>
      </c>
      <c r="E8790">
        <v>0</v>
      </c>
      <c r="F8790" s="11">
        <v>0</v>
      </c>
    </row>
    <row r="8791" spans="1:6" x14ac:dyDescent="0.35">
      <c r="A8791" t="s">
        <v>2857</v>
      </c>
      <c r="B8791" t="s">
        <v>2865</v>
      </c>
      <c r="C8791" t="s">
        <v>1490</v>
      </c>
      <c r="D8791" t="s">
        <v>2892</v>
      </c>
      <c r="E8791">
        <v>0</v>
      </c>
      <c r="F8791" s="11">
        <v>0</v>
      </c>
    </row>
    <row r="8792" spans="1:6" x14ac:dyDescent="0.35">
      <c r="A8792" t="s">
        <v>2857</v>
      </c>
      <c r="B8792" t="s">
        <v>2865</v>
      </c>
      <c r="C8792" t="s">
        <v>1490</v>
      </c>
      <c r="D8792" t="s">
        <v>2893</v>
      </c>
      <c r="E8792">
        <v>0</v>
      </c>
      <c r="F8792" s="11">
        <v>0</v>
      </c>
    </row>
    <row r="8793" spans="1:6" x14ac:dyDescent="0.35">
      <c r="A8793" t="s">
        <v>2857</v>
      </c>
      <c r="B8793" t="s">
        <v>2865</v>
      </c>
      <c r="C8793" t="s">
        <v>1490</v>
      </c>
      <c r="D8793" t="s">
        <v>2894</v>
      </c>
      <c r="E8793">
        <v>0</v>
      </c>
      <c r="F8793" s="11">
        <v>0</v>
      </c>
    </row>
    <row r="8794" spans="1:6" x14ac:dyDescent="0.35">
      <c r="A8794" t="s">
        <v>2857</v>
      </c>
      <c r="B8794" t="s">
        <v>2865</v>
      </c>
      <c r="C8794" t="s">
        <v>1490</v>
      </c>
      <c r="D8794" t="s">
        <v>2895</v>
      </c>
      <c r="E8794">
        <v>447575</v>
      </c>
      <c r="F8794" s="11">
        <v>1</v>
      </c>
    </row>
    <row r="8795" spans="1:6" x14ac:dyDescent="0.35">
      <c r="A8795" t="s">
        <v>2857</v>
      </c>
      <c r="B8795" t="s">
        <v>2865</v>
      </c>
      <c r="C8795" t="s">
        <v>1490</v>
      </c>
      <c r="D8795" t="s">
        <v>2896</v>
      </c>
      <c r="E8795">
        <v>187032</v>
      </c>
      <c r="F8795" s="11">
        <v>1</v>
      </c>
    </row>
    <row r="8796" spans="1:6" x14ac:dyDescent="0.35">
      <c r="A8796" t="s">
        <v>2857</v>
      </c>
      <c r="B8796" t="s">
        <v>2865</v>
      </c>
      <c r="C8796" t="s">
        <v>1490</v>
      </c>
      <c r="D8796" t="s">
        <v>2897</v>
      </c>
      <c r="E8796">
        <v>7584</v>
      </c>
      <c r="F8796" s="11">
        <v>1</v>
      </c>
    </row>
    <row r="8797" spans="1:6" x14ac:dyDescent="0.35">
      <c r="A8797" t="s">
        <v>2857</v>
      </c>
      <c r="B8797" t="s">
        <v>2865</v>
      </c>
      <c r="C8797" t="s">
        <v>1490</v>
      </c>
      <c r="D8797" t="s">
        <v>2898</v>
      </c>
      <c r="E8797">
        <v>252959</v>
      </c>
      <c r="F8797" s="11">
        <v>1</v>
      </c>
    </row>
    <row r="8798" spans="1:6" x14ac:dyDescent="0.35">
      <c r="A8798" t="s">
        <v>2857</v>
      </c>
      <c r="B8798" t="s">
        <v>2865</v>
      </c>
      <c r="C8798" t="s">
        <v>1490</v>
      </c>
      <c r="D8798" t="s">
        <v>2899</v>
      </c>
      <c r="E8798">
        <v>8779</v>
      </c>
      <c r="F8798" s="11">
        <v>1</v>
      </c>
    </row>
    <row r="8799" spans="1:6" x14ac:dyDescent="0.35">
      <c r="A8799" t="s">
        <v>2857</v>
      </c>
      <c r="B8799" t="s">
        <v>2865</v>
      </c>
      <c r="C8799" t="s">
        <v>1490</v>
      </c>
      <c r="D8799" t="s">
        <v>2900</v>
      </c>
      <c r="E8799">
        <v>709</v>
      </c>
      <c r="F8799" s="11">
        <v>1</v>
      </c>
    </row>
    <row r="8800" spans="1:6" x14ac:dyDescent="0.35">
      <c r="A8800" t="s">
        <v>2857</v>
      </c>
      <c r="B8800" t="s">
        <v>2865</v>
      </c>
      <c r="C8800" t="s">
        <v>1490</v>
      </c>
      <c r="D8800" t="s">
        <v>2901</v>
      </c>
      <c r="E8800">
        <v>49</v>
      </c>
      <c r="F8800" s="11">
        <v>1</v>
      </c>
    </row>
    <row r="8801" spans="1:6" x14ac:dyDescent="0.35">
      <c r="A8801" t="s">
        <v>2857</v>
      </c>
      <c r="B8801" t="s">
        <v>2865</v>
      </c>
      <c r="C8801" t="s">
        <v>1490</v>
      </c>
      <c r="D8801" t="s">
        <v>2902</v>
      </c>
      <c r="E8801">
        <v>8021</v>
      </c>
      <c r="F8801" s="11">
        <v>1</v>
      </c>
    </row>
    <row r="8802" spans="1:6" x14ac:dyDescent="0.35">
      <c r="A8802" t="s">
        <v>2857</v>
      </c>
      <c r="B8802" t="s">
        <v>2865</v>
      </c>
      <c r="C8802" t="s">
        <v>1490</v>
      </c>
      <c r="D8802" t="s">
        <v>2903</v>
      </c>
      <c r="E8802">
        <v>13878</v>
      </c>
      <c r="F8802" s="11">
        <v>1</v>
      </c>
    </row>
    <row r="8803" spans="1:6" x14ac:dyDescent="0.35">
      <c r="A8803" t="s">
        <v>2857</v>
      </c>
      <c r="B8803" t="s">
        <v>2865</v>
      </c>
      <c r="C8803" t="s">
        <v>1490</v>
      </c>
      <c r="D8803" t="s">
        <v>2904</v>
      </c>
      <c r="E8803">
        <v>787</v>
      </c>
      <c r="F8803" s="11">
        <v>1</v>
      </c>
    </row>
    <row r="8804" spans="1:6" x14ac:dyDescent="0.35">
      <c r="A8804" t="s">
        <v>2857</v>
      </c>
      <c r="B8804" t="s">
        <v>2865</v>
      </c>
      <c r="C8804" t="s">
        <v>1490</v>
      </c>
      <c r="D8804" t="s">
        <v>2905</v>
      </c>
      <c r="E8804">
        <v>638</v>
      </c>
      <c r="F8804" s="11">
        <v>1</v>
      </c>
    </row>
    <row r="8805" spans="1:6" x14ac:dyDescent="0.35">
      <c r="A8805" t="s">
        <v>2857</v>
      </c>
      <c r="B8805" t="s">
        <v>2865</v>
      </c>
      <c r="C8805" t="s">
        <v>1490</v>
      </c>
      <c r="D8805" t="s">
        <v>2906</v>
      </c>
      <c r="E8805">
        <v>12453</v>
      </c>
      <c r="F8805" s="11">
        <v>1</v>
      </c>
    </row>
    <row r="8806" spans="1:6" x14ac:dyDescent="0.35">
      <c r="A8806" t="s">
        <v>2857</v>
      </c>
      <c r="B8806" t="s">
        <v>2865</v>
      </c>
      <c r="C8806" t="s">
        <v>1490</v>
      </c>
      <c r="D8806" t="s">
        <v>2907</v>
      </c>
      <c r="E8806">
        <v>32958</v>
      </c>
      <c r="F8806" s="11">
        <v>1</v>
      </c>
    </row>
    <row r="8807" spans="1:6" x14ac:dyDescent="0.35">
      <c r="A8807" t="s">
        <v>2857</v>
      </c>
      <c r="B8807" t="s">
        <v>2865</v>
      </c>
      <c r="C8807" t="s">
        <v>1490</v>
      </c>
      <c r="D8807" t="s">
        <v>2908</v>
      </c>
      <c r="E8807">
        <v>2687</v>
      </c>
      <c r="F8807" s="11">
        <v>1</v>
      </c>
    </row>
    <row r="8808" spans="1:6" x14ac:dyDescent="0.35">
      <c r="A8808" t="s">
        <v>2857</v>
      </c>
      <c r="B8808" t="s">
        <v>2865</v>
      </c>
      <c r="C8808" t="s">
        <v>1490</v>
      </c>
      <c r="D8808" t="s">
        <v>2909</v>
      </c>
      <c r="E8808">
        <v>1136</v>
      </c>
      <c r="F8808" s="11">
        <v>1</v>
      </c>
    </row>
    <row r="8809" spans="1:6" x14ac:dyDescent="0.35">
      <c r="A8809" t="s">
        <v>2857</v>
      </c>
      <c r="B8809" t="s">
        <v>2865</v>
      </c>
      <c r="C8809" t="s">
        <v>1490</v>
      </c>
      <c r="D8809" t="s">
        <v>2910</v>
      </c>
      <c r="E8809">
        <v>29135</v>
      </c>
      <c r="F8809" s="11">
        <v>1</v>
      </c>
    </row>
    <row r="8810" spans="1:6" x14ac:dyDescent="0.35">
      <c r="A8810" t="s">
        <v>2857</v>
      </c>
      <c r="B8810" t="s">
        <v>2865</v>
      </c>
      <c r="C8810" t="s">
        <v>1490</v>
      </c>
      <c r="D8810" t="s">
        <v>2911</v>
      </c>
      <c r="E8810">
        <v>801851</v>
      </c>
      <c r="F8810" s="11">
        <v>1</v>
      </c>
    </row>
    <row r="8811" spans="1:6" x14ac:dyDescent="0.35">
      <c r="A8811" t="s">
        <v>2857</v>
      </c>
      <c r="B8811" t="s">
        <v>2865</v>
      </c>
      <c r="C8811" t="s">
        <v>1490</v>
      </c>
      <c r="D8811" t="s">
        <v>2912</v>
      </c>
      <c r="E8811">
        <v>0</v>
      </c>
      <c r="F8811" s="11">
        <v>0</v>
      </c>
    </row>
    <row r="8812" spans="1:6" x14ac:dyDescent="0.35">
      <c r="A8812" t="s">
        <v>2857</v>
      </c>
      <c r="B8812" t="s">
        <v>2865</v>
      </c>
      <c r="C8812" t="s">
        <v>1490</v>
      </c>
      <c r="D8812" t="s">
        <v>2913</v>
      </c>
      <c r="E8812">
        <v>0</v>
      </c>
      <c r="F8812" s="11">
        <v>0</v>
      </c>
    </row>
    <row r="8813" spans="1:6" x14ac:dyDescent="0.35">
      <c r="A8813" t="s">
        <v>2857</v>
      </c>
      <c r="B8813" t="s">
        <v>2865</v>
      </c>
      <c r="C8813" t="s">
        <v>1490</v>
      </c>
      <c r="D8813" t="s">
        <v>2914</v>
      </c>
      <c r="E8813">
        <v>0</v>
      </c>
      <c r="F8813" s="11">
        <v>1</v>
      </c>
    </row>
    <row r="8814" spans="1:6" x14ac:dyDescent="0.35">
      <c r="A8814" t="s">
        <v>2857</v>
      </c>
      <c r="B8814" t="s">
        <v>2865</v>
      </c>
      <c r="C8814" t="s">
        <v>1490</v>
      </c>
      <c r="D8814" t="s">
        <v>2915</v>
      </c>
      <c r="E8814">
        <v>1673</v>
      </c>
      <c r="F8814" s="11">
        <v>1</v>
      </c>
    </row>
    <row r="8815" spans="1:6" x14ac:dyDescent="0.35">
      <c r="A8815" t="s">
        <v>2857</v>
      </c>
      <c r="B8815" t="s">
        <v>2865</v>
      </c>
      <c r="C8815" t="s">
        <v>1490</v>
      </c>
      <c r="D8815" t="s">
        <v>2916</v>
      </c>
      <c r="E8815">
        <v>52468</v>
      </c>
      <c r="F8815" s="11">
        <v>1</v>
      </c>
    </row>
    <row r="8816" spans="1:6" x14ac:dyDescent="0.35">
      <c r="A8816" t="s">
        <v>2857</v>
      </c>
      <c r="B8816" t="s">
        <v>2865</v>
      </c>
      <c r="C8816" t="s">
        <v>1490</v>
      </c>
      <c r="D8816" t="s">
        <v>2917</v>
      </c>
      <c r="E8816">
        <v>0</v>
      </c>
      <c r="F8816" s="11">
        <v>1</v>
      </c>
    </row>
    <row r="8817" spans="1:6" x14ac:dyDescent="0.35">
      <c r="A8817" t="s">
        <v>2857</v>
      </c>
      <c r="B8817" t="s">
        <v>2866</v>
      </c>
      <c r="C8817" t="s">
        <v>1445</v>
      </c>
      <c r="D8817" t="s">
        <v>2875</v>
      </c>
      <c r="E8817">
        <v>32609</v>
      </c>
      <c r="F8817" s="11">
        <v>1</v>
      </c>
    </row>
    <row r="8818" spans="1:6" x14ac:dyDescent="0.35">
      <c r="A8818" t="s">
        <v>2857</v>
      </c>
      <c r="B8818" t="s">
        <v>2866</v>
      </c>
      <c r="C8818" t="s">
        <v>1445</v>
      </c>
      <c r="D8818" t="s">
        <v>2876</v>
      </c>
      <c r="E8818">
        <v>18566</v>
      </c>
      <c r="F8818" s="11">
        <v>0</v>
      </c>
    </row>
    <row r="8819" spans="1:6" x14ac:dyDescent="0.35">
      <c r="A8819" t="s">
        <v>2857</v>
      </c>
      <c r="B8819" t="s">
        <v>2866</v>
      </c>
      <c r="C8819" t="s">
        <v>1445</v>
      </c>
      <c r="D8819" t="s">
        <v>2877</v>
      </c>
      <c r="E8819">
        <v>4492</v>
      </c>
      <c r="F8819" s="11">
        <v>0</v>
      </c>
    </row>
    <row r="8820" spans="1:6" x14ac:dyDescent="0.35">
      <c r="A8820" t="s">
        <v>2857</v>
      </c>
      <c r="B8820" t="s">
        <v>2866</v>
      </c>
      <c r="C8820" t="s">
        <v>1445</v>
      </c>
      <c r="D8820" t="s">
        <v>2878</v>
      </c>
      <c r="E8820">
        <v>9551</v>
      </c>
      <c r="F8820" s="11">
        <v>0</v>
      </c>
    </row>
    <row r="8821" spans="1:6" x14ac:dyDescent="0.35">
      <c r="A8821" t="s">
        <v>2857</v>
      </c>
      <c r="B8821" t="s">
        <v>2866</v>
      </c>
      <c r="C8821" t="s">
        <v>1445</v>
      </c>
      <c r="D8821" t="s">
        <v>2879</v>
      </c>
      <c r="E8821">
        <v>7005</v>
      </c>
      <c r="F8821" s="11">
        <v>1</v>
      </c>
    </row>
    <row r="8822" spans="1:6" x14ac:dyDescent="0.35">
      <c r="A8822" t="s">
        <v>2857</v>
      </c>
      <c r="B8822" t="s">
        <v>2866</v>
      </c>
      <c r="C8822" t="s">
        <v>1445</v>
      </c>
      <c r="D8822" t="s">
        <v>2880</v>
      </c>
      <c r="E8822">
        <v>5362</v>
      </c>
      <c r="F8822" s="11">
        <v>1</v>
      </c>
    </row>
    <row r="8823" spans="1:6" x14ac:dyDescent="0.35">
      <c r="A8823" t="s">
        <v>2857</v>
      </c>
      <c r="B8823" t="s">
        <v>2866</v>
      </c>
      <c r="C8823" t="s">
        <v>1445</v>
      </c>
      <c r="D8823" t="s">
        <v>2881</v>
      </c>
      <c r="E8823">
        <v>0</v>
      </c>
      <c r="F8823" s="11">
        <v>1</v>
      </c>
    </row>
    <row r="8824" spans="1:6" x14ac:dyDescent="0.35">
      <c r="A8824" t="s">
        <v>2857</v>
      </c>
      <c r="B8824" t="s">
        <v>2866</v>
      </c>
      <c r="C8824" t="s">
        <v>1445</v>
      </c>
      <c r="D8824" t="s">
        <v>2882</v>
      </c>
      <c r="E8824">
        <v>1643</v>
      </c>
      <c r="F8824" s="11">
        <v>1</v>
      </c>
    </row>
    <row r="8825" spans="1:6" x14ac:dyDescent="0.35">
      <c r="A8825" t="s">
        <v>2857</v>
      </c>
      <c r="B8825" t="s">
        <v>2866</v>
      </c>
      <c r="C8825" t="s">
        <v>1445</v>
      </c>
      <c r="D8825" t="s">
        <v>2883</v>
      </c>
      <c r="E8825">
        <v>0</v>
      </c>
      <c r="F8825" s="11">
        <v>0</v>
      </c>
    </row>
    <row r="8826" spans="1:6" x14ac:dyDescent="0.35">
      <c r="A8826" t="s">
        <v>2857</v>
      </c>
      <c r="B8826" t="s">
        <v>2866</v>
      </c>
      <c r="C8826" t="s">
        <v>1445</v>
      </c>
      <c r="D8826" t="s">
        <v>2884</v>
      </c>
      <c r="E8826">
        <v>0</v>
      </c>
      <c r="F8826" s="11">
        <v>0</v>
      </c>
    </row>
    <row r="8827" spans="1:6" x14ac:dyDescent="0.35">
      <c r="A8827" t="s">
        <v>2857</v>
      </c>
      <c r="B8827" t="s">
        <v>2866</v>
      </c>
      <c r="C8827" t="s">
        <v>1445</v>
      </c>
      <c r="D8827" t="s">
        <v>2885</v>
      </c>
      <c r="E8827">
        <v>0</v>
      </c>
      <c r="F8827" s="11">
        <v>0</v>
      </c>
    </row>
    <row r="8828" spans="1:6" x14ac:dyDescent="0.35">
      <c r="A8828" t="s">
        <v>2857</v>
      </c>
      <c r="B8828" t="s">
        <v>2866</v>
      </c>
      <c r="C8828" t="s">
        <v>1445</v>
      </c>
      <c r="D8828" t="s">
        <v>2886</v>
      </c>
      <c r="E8828">
        <v>0</v>
      </c>
      <c r="F8828" s="11">
        <v>0</v>
      </c>
    </row>
    <row r="8829" spans="1:6" x14ac:dyDescent="0.35">
      <c r="A8829" t="s">
        <v>2857</v>
      </c>
      <c r="B8829" t="s">
        <v>2866</v>
      </c>
      <c r="C8829" t="s">
        <v>1445</v>
      </c>
      <c r="D8829" t="s">
        <v>2887</v>
      </c>
      <c r="E8829">
        <v>137707</v>
      </c>
      <c r="F8829" s="11">
        <v>1</v>
      </c>
    </row>
    <row r="8830" spans="1:6" x14ac:dyDescent="0.35">
      <c r="A8830" t="s">
        <v>2857</v>
      </c>
      <c r="B8830" t="s">
        <v>2866</v>
      </c>
      <c r="C8830" t="s">
        <v>1445</v>
      </c>
      <c r="D8830" t="s">
        <v>2888</v>
      </c>
      <c r="E8830">
        <v>71580</v>
      </c>
      <c r="F8830" s="11">
        <v>1</v>
      </c>
    </row>
    <row r="8831" spans="1:6" x14ac:dyDescent="0.35">
      <c r="A8831" t="s">
        <v>2857</v>
      </c>
      <c r="B8831" t="s">
        <v>2866</v>
      </c>
      <c r="C8831" t="s">
        <v>1445</v>
      </c>
      <c r="D8831" t="s">
        <v>2889</v>
      </c>
      <c r="E8831">
        <v>0</v>
      </c>
      <c r="F8831" s="11">
        <v>1</v>
      </c>
    </row>
    <row r="8832" spans="1:6" x14ac:dyDescent="0.35">
      <c r="A8832" t="s">
        <v>2857</v>
      </c>
      <c r="B8832" t="s">
        <v>2866</v>
      </c>
      <c r="C8832" t="s">
        <v>1445</v>
      </c>
      <c r="D8832" t="s">
        <v>2890</v>
      </c>
      <c r="E8832">
        <v>66127</v>
      </c>
      <c r="F8832" s="11">
        <v>0</v>
      </c>
    </row>
    <row r="8833" spans="1:6" x14ac:dyDescent="0.35">
      <c r="A8833" t="s">
        <v>2857</v>
      </c>
      <c r="B8833" t="s">
        <v>2866</v>
      </c>
      <c r="C8833" t="s">
        <v>1445</v>
      </c>
      <c r="D8833" t="s">
        <v>2891</v>
      </c>
      <c r="E8833">
        <v>0</v>
      </c>
      <c r="F8833" s="11">
        <v>0</v>
      </c>
    </row>
    <row r="8834" spans="1:6" x14ac:dyDescent="0.35">
      <c r="A8834" t="s">
        <v>2857</v>
      </c>
      <c r="B8834" t="s">
        <v>2866</v>
      </c>
      <c r="C8834" t="s">
        <v>1445</v>
      </c>
      <c r="D8834" t="s">
        <v>2892</v>
      </c>
      <c r="E8834">
        <v>0</v>
      </c>
      <c r="F8834" s="11">
        <v>0</v>
      </c>
    </row>
    <row r="8835" spans="1:6" x14ac:dyDescent="0.35">
      <c r="A8835" t="s">
        <v>2857</v>
      </c>
      <c r="B8835" t="s">
        <v>2866</v>
      </c>
      <c r="C8835" t="s">
        <v>1445</v>
      </c>
      <c r="D8835" t="s">
        <v>2893</v>
      </c>
      <c r="E8835">
        <v>0</v>
      </c>
      <c r="F8835" s="11">
        <v>0</v>
      </c>
    </row>
    <row r="8836" spans="1:6" x14ac:dyDescent="0.35">
      <c r="A8836" t="s">
        <v>2857</v>
      </c>
      <c r="B8836" t="s">
        <v>2866</v>
      </c>
      <c r="C8836" t="s">
        <v>1445</v>
      </c>
      <c r="D8836" t="s">
        <v>2894</v>
      </c>
      <c r="E8836">
        <v>0</v>
      </c>
      <c r="F8836" s="11">
        <v>0</v>
      </c>
    </row>
    <row r="8837" spans="1:6" x14ac:dyDescent="0.35">
      <c r="A8837" t="s">
        <v>2857</v>
      </c>
      <c r="B8837" t="s">
        <v>2866</v>
      </c>
      <c r="C8837" t="s">
        <v>1445</v>
      </c>
      <c r="D8837" t="s">
        <v>2895</v>
      </c>
      <c r="E8837">
        <v>471035</v>
      </c>
      <c r="F8837" s="11">
        <v>1</v>
      </c>
    </row>
    <row r="8838" spans="1:6" x14ac:dyDescent="0.35">
      <c r="A8838" t="s">
        <v>2857</v>
      </c>
      <c r="B8838" t="s">
        <v>2866</v>
      </c>
      <c r="C8838" t="s">
        <v>1445</v>
      </c>
      <c r="D8838" t="s">
        <v>2896</v>
      </c>
      <c r="E8838">
        <v>315599</v>
      </c>
      <c r="F8838" s="11">
        <v>1</v>
      </c>
    </row>
    <row r="8839" spans="1:6" x14ac:dyDescent="0.35">
      <c r="A8839" t="s">
        <v>2857</v>
      </c>
      <c r="B8839" t="s">
        <v>2866</v>
      </c>
      <c r="C8839" t="s">
        <v>1445</v>
      </c>
      <c r="D8839" t="s">
        <v>2897</v>
      </c>
      <c r="E8839">
        <v>4625</v>
      </c>
      <c r="F8839" s="11">
        <v>1</v>
      </c>
    </row>
    <row r="8840" spans="1:6" x14ac:dyDescent="0.35">
      <c r="A8840" t="s">
        <v>2857</v>
      </c>
      <c r="B8840" t="s">
        <v>2866</v>
      </c>
      <c r="C8840" t="s">
        <v>1445</v>
      </c>
      <c r="D8840" t="s">
        <v>2898</v>
      </c>
      <c r="E8840">
        <v>150811</v>
      </c>
      <c r="F8840" s="11">
        <v>1</v>
      </c>
    </row>
    <row r="8841" spans="1:6" x14ac:dyDescent="0.35">
      <c r="A8841" t="s">
        <v>2857</v>
      </c>
      <c r="B8841" t="s">
        <v>2866</v>
      </c>
      <c r="C8841" t="s">
        <v>1445</v>
      </c>
      <c r="D8841" t="s">
        <v>2899</v>
      </c>
      <c r="E8841">
        <v>1639</v>
      </c>
      <c r="F8841" s="11">
        <v>1</v>
      </c>
    </row>
    <row r="8842" spans="1:6" x14ac:dyDescent="0.35">
      <c r="A8842" t="s">
        <v>2857</v>
      </c>
      <c r="B8842" t="s">
        <v>2866</v>
      </c>
      <c r="C8842" t="s">
        <v>1445</v>
      </c>
      <c r="D8842" t="s">
        <v>2900</v>
      </c>
      <c r="E8842">
        <v>400</v>
      </c>
      <c r="F8842" s="11">
        <v>1</v>
      </c>
    </row>
    <row r="8843" spans="1:6" x14ac:dyDescent="0.35">
      <c r="A8843" t="s">
        <v>2857</v>
      </c>
      <c r="B8843" t="s">
        <v>2866</v>
      </c>
      <c r="C8843" t="s">
        <v>1445</v>
      </c>
      <c r="D8843" t="s">
        <v>2901</v>
      </c>
      <c r="E8843">
        <v>0</v>
      </c>
      <c r="F8843" s="11">
        <v>1</v>
      </c>
    </row>
    <row r="8844" spans="1:6" x14ac:dyDescent="0.35">
      <c r="A8844" t="s">
        <v>2857</v>
      </c>
      <c r="B8844" t="s">
        <v>2866</v>
      </c>
      <c r="C8844" t="s">
        <v>1445</v>
      </c>
      <c r="D8844" t="s">
        <v>2902</v>
      </c>
      <c r="E8844">
        <v>1239</v>
      </c>
      <c r="F8844" s="11">
        <v>0</v>
      </c>
    </row>
    <row r="8845" spans="1:6" x14ac:dyDescent="0.35">
      <c r="A8845" t="s">
        <v>2857</v>
      </c>
      <c r="B8845" t="s">
        <v>2866</v>
      </c>
      <c r="C8845" t="s">
        <v>1445</v>
      </c>
      <c r="D8845" t="s">
        <v>2903</v>
      </c>
      <c r="E8845">
        <v>41203</v>
      </c>
      <c r="F8845" s="11">
        <v>1</v>
      </c>
    </row>
    <row r="8846" spans="1:6" x14ac:dyDescent="0.35">
      <c r="A8846" t="s">
        <v>2857</v>
      </c>
      <c r="B8846" t="s">
        <v>2866</v>
      </c>
      <c r="C8846" t="s">
        <v>1445</v>
      </c>
      <c r="D8846" t="s">
        <v>2904</v>
      </c>
      <c r="E8846">
        <v>7707</v>
      </c>
      <c r="F8846" s="11">
        <v>1</v>
      </c>
    </row>
    <row r="8847" spans="1:6" x14ac:dyDescent="0.35">
      <c r="A8847" t="s">
        <v>2857</v>
      </c>
      <c r="B8847" t="s">
        <v>2866</v>
      </c>
      <c r="C8847" t="s">
        <v>1445</v>
      </c>
      <c r="D8847" t="s">
        <v>2905</v>
      </c>
      <c r="E8847">
        <v>3701</v>
      </c>
      <c r="F8847" s="11">
        <v>1</v>
      </c>
    </row>
    <row r="8848" spans="1:6" x14ac:dyDescent="0.35">
      <c r="A8848" t="s">
        <v>2857</v>
      </c>
      <c r="B8848" t="s">
        <v>2866</v>
      </c>
      <c r="C8848" t="s">
        <v>1445</v>
      </c>
      <c r="D8848" t="s">
        <v>2906</v>
      </c>
      <c r="E8848">
        <v>29795</v>
      </c>
      <c r="F8848" s="11">
        <v>1</v>
      </c>
    </row>
    <row r="8849" spans="1:6" x14ac:dyDescent="0.35">
      <c r="A8849" t="s">
        <v>2857</v>
      </c>
      <c r="B8849" t="s">
        <v>2866</v>
      </c>
      <c r="C8849" t="s">
        <v>1445</v>
      </c>
      <c r="D8849" t="s">
        <v>2907</v>
      </c>
      <c r="E8849">
        <v>50396</v>
      </c>
      <c r="F8849" s="11">
        <v>1</v>
      </c>
    </row>
    <row r="8850" spans="1:6" x14ac:dyDescent="0.35">
      <c r="A8850" t="s">
        <v>2857</v>
      </c>
      <c r="B8850" t="s">
        <v>2866</v>
      </c>
      <c r="C8850" t="s">
        <v>1445</v>
      </c>
      <c r="D8850" t="s">
        <v>2908</v>
      </c>
      <c r="E8850">
        <v>8181</v>
      </c>
      <c r="F8850" s="11">
        <v>1</v>
      </c>
    </row>
    <row r="8851" spans="1:6" x14ac:dyDescent="0.35">
      <c r="A8851" t="s">
        <v>2857</v>
      </c>
      <c r="B8851" t="s">
        <v>2866</v>
      </c>
      <c r="C8851" t="s">
        <v>1445</v>
      </c>
      <c r="D8851" t="s">
        <v>2909</v>
      </c>
      <c r="E8851">
        <v>2806</v>
      </c>
      <c r="F8851" s="11">
        <v>1</v>
      </c>
    </row>
    <row r="8852" spans="1:6" x14ac:dyDescent="0.35">
      <c r="A8852" t="s">
        <v>2857</v>
      </c>
      <c r="B8852" t="s">
        <v>2866</v>
      </c>
      <c r="C8852" t="s">
        <v>1445</v>
      </c>
      <c r="D8852" t="s">
        <v>2910</v>
      </c>
      <c r="E8852">
        <v>39409</v>
      </c>
      <c r="F8852" s="11">
        <v>1</v>
      </c>
    </row>
    <row r="8853" spans="1:6" x14ac:dyDescent="0.35">
      <c r="A8853" t="s">
        <v>2857</v>
      </c>
      <c r="B8853" t="s">
        <v>2866</v>
      </c>
      <c r="C8853" t="s">
        <v>1445</v>
      </c>
      <c r="D8853" t="s">
        <v>2911</v>
      </c>
      <c r="E8853">
        <v>1131491</v>
      </c>
      <c r="F8853" s="11">
        <v>1</v>
      </c>
    </row>
    <row r="8854" spans="1:6" x14ac:dyDescent="0.35">
      <c r="A8854" t="s">
        <v>2857</v>
      </c>
      <c r="B8854" t="s">
        <v>2866</v>
      </c>
      <c r="C8854" t="s">
        <v>1445</v>
      </c>
      <c r="D8854" t="s">
        <v>2912</v>
      </c>
      <c r="E8854">
        <v>0</v>
      </c>
      <c r="F8854" s="11">
        <v>1</v>
      </c>
    </row>
    <row r="8855" spans="1:6" x14ac:dyDescent="0.35">
      <c r="A8855" t="s">
        <v>2857</v>
      </c>
      <c r="B8855" t="s">
        <v>2866</v>
      </c>
      <c r="C8855" t="s">
        <v>1445</v>
      </c>
      <c r="D8855" t="s">
        <v>2913</v>
      </c>
      <c r="E8855">
        <v>0</v>
      </c>
      <c r="F8855" s="11">
        <v>0</v>
      </c>
    </row>
    <row r="8856" spans="1:6" x14ac:dyDescent="0.35">
      <c r="A8856" t="s">
        <v>2857</v>
      </c>
      <c r="B8856" t="s">
        <v>2866</v>
      </c>
      <c r="C8856" t="s">
        <v>1445</v>
      </c>
      <c r="D8856" t="s">
        <v>2914</v>
      </c>
      <c r="E8856">
        <v>0</v>
      </c>
      <c r="F8856" s="11">
        <v>0</v>
      </c>
    </row>
    <row r="8857" spans="1:6" x14ac:dyDescent="0.35">
      <c r="A8857" t="s">
        <v>2857</v>
      </c>
      <c r="B8857" t="s">
        <v>2866</v>
      </c>
      <c r="C8857" t="s">
        <v>1445</v>
      </c>
      <c r="D8857" t="s">
        <v>2915</v>
      </c>
      <c r="E8857">
        <v>574</v>
      </c>
      <c r="F8857" s="11">
        <v>1</v>
      </c>
    </row>
    <row r="8858" spans="1:6" x14ac:dyDescent="0.35">
      <c r="A8858" t="s">
        <v>2857</v>
      </c>
      <c r="B8858" t="s">
        <v>2866</v>
      </c>
      <c r="C8858" t="s">
        <v>1445</v>
      </c>
      <c r="D8858" t="s">
        <v>2916</v>
      </c>
      <c r="E8858">
        <v>67470</v>
      </c>
      <c r="F8858" s="11">
        <v>1</v>
      </c>
    </row>
    <row r="8859" spans="1:6" x14ac:dyDescent="0.35">
      <c r="A8859" t="s">
        <v>2857</v>
      </c>
      <c r="B8859" t="s">
        <v>2866</v>
      </c>
      <c r="C8859" t="s">
        <v>1445</v>
      </c>
      <c r="D8859" t="s">
        <v>2917</v>
      </c>
      <c r="E8859">
        <v>0</v>
      </c>
      <c r="F8859" s="11">
        <v>0</v>
      </c>
    </row>
    <row r="8860" spans="1:6" x14ac:dyDescent="0.35">
      <c r="A8860" t="s">
        <v>2857</v>
      </c>
      <c r="B8860" t="s">
        <v>2866</v>
      </c>
      <c r="C8860" t="s">
        <v>1484</v>
      </c>
      <c r="D8860" t="s">
        <v>2875</v>
      </c>
      <c r="E8860">
        <v>37274</v>
      </c>
      <c r="F8860" s="11">
        <v>1</v>
      </c>
    </row>
    <row r="8861" spans="1:6" x14ac:dyDescent="0.35">
      <c r="A8861" t="s">
        <v>2857</v>
      </c>
      <c r="B8861" t="s">
        <v>2866</v>
      </c>
      <c r="C8861" t="s">
        <v>1484</v>
      </c>
      <c r="D8861" t="s">
        <v>2876</v>
      </c>
      <c r="E8861">
        <v>11424</v>
      </c>
      <c r="F8861" s="11">
        <v>1</v>
      </c>
    </row>
    <row r="8862" spans="1:6" x14ac:dyDescent="0.35">
      <c r="A8862" t="s">
        <v>2857</v>
      </c>
      <c r="B8862" t="s">
        <v>2866</v>
      </c>
      <c r="C8862" t="s">
        <v>1484</v>
      </c>
      <c r="D8862" t="s">
        <v>2877</v>
      </c>
      <c r="E8862">
        <v>2856</v>
      </c>
      <c r="F8862" s="11">
        <v>1</v>
      </c>
    </row>
    <row r="8863" spans="1:6" x14ac:dyDescent="0.35">
      <c r="A8863" t="s">
        <v>2857</v>
      </c>
      <c r="B8863" t="s">
        <v>2866</v>
      </c>
      <c r="C8863" t="s">
        <v>1484</v>
      </c>
      <c r="D8863" t="s">
        <v>2878</v>
      </c>
      <c r="E8863">
        <v>14921</v>
      </c>
      <c r="F8863" s="11">
        <v>1</v>
      </c>
    </row>
    <row r="8864" spans="1:6" x14ac:dyDescent="0.35">
      <c r="A8864" t="s">
        <v>2857</v>
      </c>
      <c r="B8864" t="s">
        <v>2866</v>
      </c>
      <c r="C8864" t="s">
        <v>1484</v>
      </c>
      <c r="D8864" t="s">
        <v>2879</v>
      </c>
      <c r="E8864">
        <v>6795</v>
      </c>
      <c r="F8864" s="11">
        <v>1</v>
      </c>
    </row>
    <row r="8865" spans="1:6" x14ac:dyDescent="0.35">
      <c r="A8865" t="s">
        <v>2857</v>
      </c>
      <c r="B8865" t="s">
        <v>2866</v>
      </c>
      <c r="C8865" t="s">
        <v>1484</v>
      </c>
      <c r="D8865" t="s">
        <v>2880</v>
      </c>
      <c r="E8865">
        <v>4305</v>
      </c>
      <c r="F8865" s="11">
        <v>1</v>
      </c>
    </row>
    <row r="8866" spans="1:6" x14ac:dyDescent="0.35">
      <c r="A8866" t="s">
        <v>2857</v>
      </c>
      <c r="B8866" t="s">
        <v>2866</v>
      </c>
      <c r="C8866" t="s">
        <v>1484</v>
      </c>
      <c r="D8866" t="s">
        <v>2881</v>
      </c>
      <c r="E8866">
        <v>18</v>
      </c>
      <c r="F8866" s="11">
        <v>1</v>
      </c>
    </row>
    <row r="8867" spans="1:6" x14ac:dyDescent="0.35">
      <c r="A8867" t="s">
        <v>2857</v>
      </c>
      <c r="B8867" t="s">
        <v>2866</v>
      </c>
      <c r="C8867" t="s">
        <v>1484</v>
      </c>
      <c r="D8867" t="s">
        <v>2882</v>
      </c>
      <c r="E8867">
        <v>2472</v>
      </c>
      <c r="F8867" s="11">
        <v>1</v>
      </c>
    </row>
    <row r="8868" spans="1:6" x14ac:dyDescent="0.35">
      <c r="A8868" t="s">
        <v>2857</v>
      </c>
      <c r="B8868" t="s">
        <v>2866</v>
      </c>
      <c r="C8868" t="s">
        <v>1484</v>
      </c>
      <c r="D8868" t="s">
        <v>2883</v>
      </c>
      <c r="E8868">
        <v>0</v>
      </c>
      <c r="F8868" s="11">
        <v>0</v>
      </c>
    </row>
    <row r="8869" spans="1:6" x14ac:dyDescent="0.35">
      <c r="A8869" t="s">
        <v>2857</v>
      </c>
      <c r="B8869" t="s">
        <v>2866</v>
      </c>
      <c r="C8869" t="s">
        <v>1484</v>
      </c>
      <c r="D8869" t="s">
        <v>2884</v>
      </c>
      <c r="E8869">
        <v>0</v>
      </c>
      <c r="F8869" s="11">
        <v>0</v>
      </c>
    </row>
    <row r="8870" spans="1:6" x14ac:dyDescent="0.35">
      <c r="A8870" t="s">
        <v>2857</v>
      </c>
      <c r="B8870" t="s">
        <v>2866</v>
      </c>
      <c r="C8870" t="s">
        <v>1484</v>
      </c>
      <c r="D8870" t="s">
        <v>2885</v>
      </c>
      <c r="E8870">
        <v>0</v>
      </c>
      <c r="F8870" s="11">
        <v>0</v>
      </c>
    </row>
    <row r="8871" spans="1:6" x14ac:dyDescent="0.35">
      <c r="A8871" t="s">
        <v>2857</v>
      </c>
      <c r="B8871" t="s">
        <v>2866</v>
      </c>
      <c r="C8871" t="s">
        <v>1484</v>
      </c>
      <c r="D8871" t="s">
        <v>2886</v>
      </c>
      <c r="E8871">
        <v>0</v>
      </c>
      <c r="F8871" s="11">
        <v>0</v>
      </c>
    </row>
    <row r="8872" spans="1:6" x14ac:dyDescent="0.35">
      <c r="A8872" t="s">
        <v>2857</v>
      </c>
      <c r="B8872" t="s">
        <v>2866</v>
      </c>
      <c r="C8872" t="s">
        <v>1484</v>
      </c>
      <c r="D8872" t="s">
        <v>2887</v>
      </c>
      <c r="E8872">
        <v>87162</v>
      </c>
      <c r="F8872" s="11">
        <v>1</v>
      </c>
    </row>
    <row r="8873" spans="1:6" x14ac:dyDescent="0.35">
      <c r="A8873" t="s">
        <v>2857</v>
      </c>
      <c r="B8873" t="s">
        <v>2866</v>
      </c>
      <c r="C8873" t="s">
        <v>1484</v>
      </c>
      <c r="D8873" t="s">
        <v>2888</v>
      </c>
      <c r="E8873">
        <v>61724</v>
      </c>
      <c r="F8873" s="11">
        <v>1</v>
      </c>
    </row>
    <row r="8874" spans="1:6" x14ac:dyDescent="0.35">
      <c r="A8874" t="s">
        <v>2857</v>
      </c>
      <c r="B8874" t="s">
        <v>2866</v>
      </c>
      <c r="C8874" t="s">
        <v>1484</v>
      </c>
      <c r="D8874" t="s">
        <v>2889</v>
      </c>
      <c r="E8874">
        <v>1983</v>
      </c>
      <c r="F8874" s="11">
        <v>1</v>
      </c>
    </row>
    <row r="8875" spans="1:6" x14ac:dyDescent="0.35">
      <c r="A8875" t="s">
        <v>2857</v>
      </c>
      <c r="B8875" t="s">
        <v>2866</v>
      </c>
      <c r="C8875" t="s">
        <v>1484</v>
      </c>
      <c r="D8875" t="s">
        <v>2890</v>
      </c>
      <c r="E8875">
        <v>36286</v>
      </c>
      <c r="F8875" s="11">
        <v>0</v>
      </c>
    </row>
    <row r="8876" spans="1:6" x14ac:dyDescent="0.35">
      <c r="A8876" t="s">
        <v>2857</v>
      </c>
      <c r="B8876" t="s">
        <v>2866</v>
      </c>
      <c r="C8876" t="s">
        <v>1484</v>
      </c>
      <c r="D8876" t="s">
        <v>2891</v>
      </c>
      <c r="E8876">
        <v>174324</v>
      </c>
      <c r="F8876" s="11">
        <v>0</v>
      </c>
    </row>
    <row r="8877" spans="1:6" x14ac:dyDescent="0.35">
      <c r="A8877" t="s">
        <v>2857</v>
      </c>
      <c r="B8877" t="s">
        <v>2866</v>
      </c>
      <c r="C8877" t="s">
        <v>1484</v>
      </c>
      <c r="D8877" t="s">
        <v>2892</v>
      </c>
      <c r="E8877">
        <v>0</v>
      </c>
      <c r="F8877" s="11">
        <v>0</v>
      </c>
    </row>
    <row r="8878" spans="1:6" x14ac:dyDescent="0.35">
      <c r="A8878" t="s">
        <v>2857</v>
      </c>
      <c r="B8878" t="s">
        <v>2866</v>
      </c>
      <c r="C8878" t="s">
        <v>1484</v>
      </c>
      <c r="D8878" t="s">
        <v>2893</v>
      </c>
      <c r="E8878">
        <v>0</v>
      </c>
      <c r="F8878" s="11">
        <v>0</v>
      </c>
    </row>
    <row r="8879" spans="1:6" x14ac:dyDescent="0.35">
      <c r="A8879" t="s">
        <v>2857</v>
      </c>
      <c r="B8879" t="s">
        <v>2866</v>
      </c>
      <c r="C8879" t="s">
        <v>1484</v>
      </c>
      <c r="D8879" t="s">
        <v>2894</v>
      </c>
      <c r="E8879">
        <v>0</v>
      </c>
      <c r="F8879" s="11">
        <v>0</v>
      </c>
    </row>
    <row r="8880" spans="1:6" x14ac:dyDescent="0.35">
      <c r="A8880" t="s">
        <v>2857</v>
      </c>
      <c r="B8880" t="s">
        <v>2866</v>
      </c>
      <c r="C8880" t="s">
        <v>1484</v>
      </c>
      <c r="D8880" t="s">
        <v>2895</v>
      </c>
      <c r="E8880">
        <v>1312509</v>
      </c>
      <c r="F8880" s="11">
        <v>1</v>
      </c>
    </row>
    <row r="8881" spans="1:6" x14ac:dyDescent="0.35">
      <c r="A8881" t="s">
        <v>2857</v>
      </c>
      <c r="B8881" t="s">
        <v>2866</v>
      </c>
      <c r="C8881" t="s">
        <v>1484</v>
      </c>
      <c r="D8881" t="s">
        <v>2896</v>
      </c>
      <c r="E8881">
        <v>693603</v>
      </c>
      <c r="F8881" s="11">
        <v>1</v>
      </c>
    </row>
    <row r="8882" spans="1:6" x14ac:dyDescent="0.35">
      <c r="A8882" t="s">
        <v>2857</v>
      </c>
      <c r="B8882" t="s">
        <v>2866</v>
      </c>
      <c r="C8882" t="s">
        <v>1484</v>
      </c>
      <c r="D8882" t="s">
        <v>2897</v>
      </c>
      <c r="E8882">
        <v>0</v>
      </c>
      <c r="F8882" s="11">
        <v>1</v>
      </c>
    </row>
    <row r="8883" spans="1:6" x14ac:dyDescent="0.35">
      <c r="A8883" t="s">
        <v>2857</v>
      </c>
      <c r="B8883" t="s">
        <v>2866</v>
      </c>
      <c r="C8883" t="s">
        <v>1484</v>
      </c>
      <c r="D8883" t="s">
        <v>2898</v>
      </c>
      <c r="E8883">
        <v>607646</v>
      </c>
      <c r="F8883" s="11">
        <v>0</v>
      </c>
    </row>
    <row r="8884" spans="1:6" x14ac:dyDescent="0.35">
      <c r="A8884" t="s">
        <v>2857</v>
      </c>
      <c r="B8884" t="s">
        <v>2866</v>
      </c>
      <c r="C8884" t="s">
        <v>1484</v>
      </c>
      <c r="D8884" t="s">
        <v>2899</v>
      </c>
      <c r="E8884">
        <v>5410</v>
      </c>
      <c r="F8884" s="11">
        <v>1</v>
      </c>
    </row>
    <row r="8885" spans="1:6" x14ac:dyDescent="0.35">
      <c r="A8885" t="s">
        <v>2857</v>
      </c>
      <c r="B8885" t="s">
        <v>2866</v>
      </c>
      <c r="C8885" t="s">
        <v>1484</v>
      </c>
      <c r="D8885" t="s">
        <v>2900</v>
      </c>
      <c r="E8885">
        <v>1777</v>
      </c>
      <c r="F8885" s="11">
        <v>1</v>
      </c>
    </row>
    <row r="8886" spans="1:6" x14ac:dyDescent="0.35">
      <c r="A8886" t="s">
        <v>2857</v>
      </c>
      <c r="B8886" t="s">
        <v>2866</v>
      </c>
      <c r="C8886" t="s">
        <v>1484</v>
      </c>
      <c r="D8886" t="s">
        <v>2901</v>
      </c>
      <c r="E8886">
        <v>0</v>
      </c>
      <c r="F8886" s="11">
        <v>1</v>
      </c>
    </row>
    <row r="8887" spans="1:6" x14ac:dyDescent="0.35">
      <c r="A8887" t="s">
        <v>2857</v>
      </c>
      <c r="B8887" t="s">
        <v>2866</v>
      </c>
      <c r="C8887" t="s">
        <v>1484</v>
      </c>
      <c r="D8887" t="s">
        <v>2902</v>
      </c>
      <c r="E8887">
        <v>3633</v>
      </c>
      <c r="F8887" s="11">
        <v>0</v>
      </c>
    </row>
    <row r="8888" spans="1:6" x14ac:dyDescent="0.35">
      <c r="A8888" t="s">
        <v>2857</v>
      </c>
      <c r="B8888" t="s">
        <v>2866</v>
      </c>
      <c r="C8888" t="s">
        <v>1484</v>
      </c>
      <c r="D8888" t="s">
        <v>2903</v>
      </c>
      <c r="E8888">
        <v>50902</v>
      </c>
      <c r="F8888" s="11">
        <v>1</v>
      </c>
    </row>
    <row r="8889" spans="1:6" x14ac:dyDescent="0.35">
      <c r="A8889" t="s">
        <v>2857</v>
      </c>
      <c r="B8889" t="s">
        <v>2866</v>
      </c>
      <c r="C8889" t="s">
        <v>1484</v>
      </c>
      <c r="D8889" t="s">
        <v>2904</v>
      </c>
      <c r="E8889">
        <v>11724</v>
      </c>
      <c r="F8889" s="11">
        <v>1</v>
      </c>
    </row>
    <row r="8890" spans="1:6" x14ac:dyDescent="0.35">
      <c r="A8890" t="s">
        <v>2857</v>
      </c>
      <c r="B8890" t="s">
        <v>2866</v>
      </c>
      <c r="C8890" t="s">
        <v>1484</v>
      </c>
      <c r="D8890" t="s">
        <v>2905</v>
      </c>
      <c r="E8890">
        <v>0</v>
      </c>
      <c r="F8890" s="11">
        <v>1</v>
      </c>
    </row>
    <row r="8891" spans="1:6" x14ac:dyDescent="0.35">
      <c r="A8891" t="s">
        <v>2857</v>
      </c>
      <c r="B8891" t="s">
        <v>2866</v>
      </c>
      <c r="C8891" t="s">
        <v>1484</v>
      </c>
      <c r="D8891" t="s">
        <v>2906</v>
      </c>
      <c r="E8891">
        <v>39178</v>
      </c>
      <c r="F8891" s="11">
        <v>0</v>
      </c>
    </row>
    <row r="8892" spans="1:6" x14ac:dyDescent="0.35">
      <c r="A8892" t="s">
        <v>2857</v>
      </c>
      <c r="B8892" t="s">
        <v>2866</v>
      </c>
      <c r="C8892" t="s">
        <v>1484</v>
      </c>
      <c r="D8892" t="s">
        <v>2907</v>
      </c>
      <c r="E8892">
        <v>55501</v>
      </c>
      <c r="F8892" s="11">
        <v>1</v>
      </c>
    </row>
    <row r="8893" spans="1:6" x14ac:dyDescent="0.35">
      <c r="A8893" t="s">
        <v>2857</v>
      </c>
      <c r="B8893" t="s">
        <v>2866</v>
      </c>
      <c r="C8893" t="s">
        <v>1484</v>
      </c>
      <c r="D8893" t="s">
        <v>2908</v>
      </c>
      <c r="E8893">
        <v>7310</v>
      </c>
      <c r="F8893" s="11">
        <v>1</v>
      </c>
    </row>
    <row r="8894" spans="1:6" x14ac:dyDescent="0.35">
      <c r="A8894" t="s">
        <v>2857</v>
      </c>
      <c r="B8894" t="s">
        <v>2866</v>
      </c>
      <c r="C8894" t="s">
        <v>1484</v>
      </c>
      <c r="D8894" t="s">
        <v>2909</v>
      </c>
      <c r="E8894">
        <v>0</v>
      </c>
      <c r="F8894" s="11">
        <v>1</v>
      </c>
    </row>
    <row r="8895" spans="1:6" x14ac:dyDescent="0.35">
      <c r="A8895" t="s">
        <v>2857</v>
      </c>
      <c r="B8895" t="s">
        <v>2866</v>
      </c>
      <c r="C8895" t="s">
        <v>1484</v>
      </c>
      <c r="D8895" t="s">
        <v>2910</v>
      </c>
      <c r="E8895">
        <v>48191</v>
      </c>
      <c r="F8895" s="11">
        <v>0</v>
      </c>
    </row>
    <row r="8896" spans="1:6" x14ac:dyDescent="0.35">
      <c r="A8896" t="s">
        <v>2857</v>
      </c>
      <c r="B8896" t="s">
        <v>2866</v>
      </c>
      <c r="C8896" t="s">
        <v>1484</v>
      </c>
      <c r="D8896" t="s">
        <v>2911</v>
      </c>
      <c r="E8896">
        <v>1323330</v>
      </c>
      <c r="F8896" s="11">
        <v>1</v>
      </c>
    </row>
    <row r="8897" spans="1:6" x14ac:dyDescent="0.35">
      <c r="A8897" t="s">
        <v>2857</v>
      </c>
      <c r="B8897" t="s">
        <v>2866</v>
      </c>
      <c r="C8897" t="s">
        <v>1484</v>
      </c>
      <c r="D8897" t="s">
        <v>2912</v>
      </c>
      <c r="E8897">
        <v>0</v>
      </c>
      <c r="F8897" s="11">
        <v>0</v>
      </c>
    </row>
    <row r="8898" spans="1:6" x14ac:dyDescent="0.35">
      <c r="A8898" t="s">
        <v>2857</v>
      </c>
      <c r="B8898" t="s">
        <v>2866</v>
      </c>
      <c r="C8898" t="s">
        <v>1484</v>
      </c>
      <c r="D8898" t="s">
        <v>2913</v>
      </c>
      <c r="E8898">
        <v>0</v>
      </c>
      <c r="F8898" s="11">
        <v>0</v>
      </c>
    </row>
    <row r="8899" spans="1:6" x14ac:dyDescent="0.35">
      <c r="A8899" t="s">
        <v>2857</v>
      </c>
      <c r="B8899" t="s">
        <v>2866</v>
      </c>
      <c r="C8899" t="s">
        <v>1484</v>
      </c>
      <c r="D8899" t="s">
        <v>2914</v>
      </c>
      <c r="E8899">
        <v>0</v>
      </c>
      <c r="F8899" s="11">
        <v>0</v>
      </c>
    </row>
    <row r="8900" spans="1:6" x14ac:dyDescent="0.35">
      <c r="A8900" t="s">
        <v>2857</v>
      </c>
      <c r="B8900" t="s">
        <v>2866</v>
      </c>
      <c r="C8900" t="s">
        <v>1484</v>
      </c>
      <c r="D8900" t="s">
        <v>2915</v>
      </c>
      <c r="E8900">
        <v>1326</v>
      </c>
      <c r="F8900" s="11">
        <v>1</v>
      </c>
    </row>
    <row r="8901" spans="1:6" x14ac:dyDescent="0.35">
      <c r="A8901" t="s">
        <v>2857</v>
      </c>
      <c r="B8901" t="s">
        <v>2866</v>
      </c>
      <c r="C8901" t="s">
        <v>1484</v>
      </c>
      <c r="D8901" t="s">
        <v>2916</v>
      </c>
      <c r="E8901">
        <v>107733</v>
      </c>
      <c r="F8901" s="11">
        <v>1</v>
      </c>
    </row>
    <row r="8902" spans="1:6" x14ac:dyDescent="0.35">
      <c r="A8902" t="s">
        <v>2857</v>
      </c>
      <c r="B8902" t="s">
        <v>2866</v>
      </c>
      <c r="C8902" t="s">
        <v>1484</v>
      </c>
      <c r="D8902" t="s">
        <v>2917</v>
      </c>
      <c r="E8902">
        <v>144396</v>
      </c>
      <c r="F8902" s="11">
        <v>1</v>
      </c>
    </row>
    <row r="8903" spans="1:6" x14ac:dyDescent="0.35">
      <c r="A8903" t="s">
        <v>2857</v>
      </c>
      <c r="B8903" t="s">
        <v>2865</v>
      </c>
      <c r="C8903" t="s">
        <v>1496</v>
      </c>
      <c r="D8903" t="s">
        <v>2875</v>
      </c>
      <c r="E8903">
        <v>21198</v>
      </c>
      <c r="F8903" s="11">
        <v>1</v>
      </c>
    </row>
    <row r="8904" spans="1:6" x14ac:dyDescent="0.35">
      <c r="A8904" t="s">
        <v>2857</v>
      </c>
      <c r="B8904" t="s">
        <v>2865</v>
      </c>
      <c r="C8904" t="s">
        <v>1496</v>
      </c>
      <c r="D8904" t="s">
        <v>2876</v>
      </c>
      <c r="E8904">
        <v>0</v>
      </c>
      <c r="F8904" s="11">
        <v>0</v>
      </c>
    </row>
    <row r="8905" spans="1:6" x14ac:dyDescent="0.35">
      <c r="A8905" t="s">
        <v>2857</v>
      </c>
      <c r="B8905" t="s">
        <v>2865</v>
      </c>
      <c r="C8905" t="s">
        <v>1496</v>
      </c>
      <c r="D8905" t="s">
        <v>2877</v>
      </c>
      <c r="E8905">
        <v>0</v>
      </c>
      <c r="F8905" s="11">
        <v>0</v>
      </c>
    </row>
    <row r="8906" spans="1:6" x14ac:dyDescent="0.35">
      <c r="A8906" t="s">
        <v>2857</v>
      </c>
      <c r="B8906" t="s">
        <v>2865</v>
      </c>
      <c r="C8906" t="s">
        <v>1496</v>
      </c>
      <c r="D8906" t="s">
        <v>2878</v>
      </c>
      <c r="E8906">
        <v>0</v>
      </c>
      <c r="F8906" s="11">
        <v>0</v>
      </c>
    </row>
    <row r="8907" spans="1:6" x14ac:dyDescent="0.35">
      <c r="A8907" t="s">
        <v>2857</v>
      </c>
      <c r="B8907" t="s">
        <v>2865</v>
      </c>
      <c r="C8907" t="s">
        <v>1496</v>
      </c>
      <c r="D8907" t="s">
        <v>2879</v>
      </c>
      <c r="E8907">
        <v>2378</v>
      </c>
      <c r="F8907" s="11">
        <v>1</v>
      </c>
    </row>
    <row r="8908" spans="1:6" x14ac:dyDescent="0.35">
      <c r="A8908" t="s">
        <v>2857</v>
      </c>
      <c r="B8908" t="s">
        <v>2865</v>
      </c>
      <c r="C8908" t="s">
        <v>1496</v>
      </c>
      <c r="D8908" t="s">
        <v>2880</v>
      </c>
      <c r="E8908">
        <v>1270</v>
      </c>
      <c r="F8908" s="11">
        <v>0</v>
      </c>
    </row>
    <row r="8909" spans="1:6" x14ac:dyDescent="0.35">
      <c r="A8909" t="s">
        <v>2857</v>
      </c>
      <c r="B8909" t="s">
        <v>2865</v>
      </c>
      <c r="C8909" t="s">
        <v>1496</v>
      </c>
      <c r="D8909" t="s">
        <v>2881</v>
      </c>
      <c r="E8909">
        <v>0</v>
      </c>
      <c r="F8909" s="11">
        <v>0</v>
      </c>
    </row>
    <row r="8910" spans="1:6" x14ac:dyDescent="0.35">
      <c r="A8910" t="s">
        <v>2857</v>
      </c>
      <c r="B8910" t="s">
        <v>2865</v>
      </c>
      <c r="C8910" t="s">
        <v>1496</v>
      </c>
      <c r="D8910" t="s">
        <v>2882</v>
      </c>
      <c r="E8910">
        <v>1108</v>
      </c>
      <c r="F8910" s="11">
        <v>0</v>
      </c>
    </row>
    <row r="8911" spans="1:6" x14ac:dyDescent="0.35">
      <c r="A8911" t="s">
        <v>2857</v>
      </c>
      <c r="B8911" t="s">
        <v>2865</v>
      </c>
      <c r="C8911" t="s">
        <v>1496</v>
      </c>
      <c r="D8911" t="s">
        <v>2883</v>
      </c>
      <c r="E8911">
        <v>0</v>
      </c>
      <c r="F8911" s="11">
        <v>0</v>
      </c>
    </row>
    <row r="8912" spans="1:6" x14ac:dyDescent="0.35">
      <c r="A8912" t="s">
        <v>2857</v>
      </c>
      <c r="B8912" t="s">
        <v>2865</v>
      </c>
      <c r="C8912" t="s">
        <v>1496</v>
      </c>
      <c r="D8912" t="s">
        <v>2884</v>
      </c>
      <c r="E8912">
        <v>0</v>
      </c>
      <c r="F8912" s="11">
        <v>0</v>
      </c>
    </row>
    <row r="8913" spans="1:6" x14ac:dyDescent="0.35">
      <c r="A8913" t="s">
        <v>2857</v>
      </c>
      <c r="B8913" t="s">
        <v>2865</v>
      </c>
      <c r="C8913" t="s">
        <v>1496</v>
      </c>
      <c r="D8913" t="s">
        <v>2885</v>
      </c>
      <c r="E8913">
        <v>0</v>
      </c>
      <c r="F8913" s="11">
        <v>0</v>
      </c>
    </row>
    <row r="8914" spans="1:6" x14ac:dyDescent="0.35">
      <c r="A8914" t="s">
        <v>2857</v>
      </c>
      <c r="B8914" t="s">
        <v>2865</v>
      </c>
      <c r="C8914" t="s">
        <v>1496</v>
      </c>
      <c r="D8914" t="s">
        <v>2886</v>
      </c>
      <c r="E8914">
        <v>0</v>
      </c>
      <c r="F8914" s="11">
        <v>0</v>
      </c>
    </row>
    <row r="8915" spans="1:6" x14ac:dyDescent="0.35">
      <c r="A8915" t="s">
        <v>2857</v>
      </c>
      <c r="B8915" t="s">
        <v>2865</v>
      </c>
      <c r="C8915" t="s">
        <v>1496</v>
      </c>
      <c r="D8915" t="s">
        <v>2887</v>
      </c>
      <c r="E8915">
        <v>27224</v>
      </c>
      <c r="F8915" s="11">
        <v>1</v>
      </c>
    </row>
    <row r="8916" spans="1:6" x14ac:dyDescent="0.35">
      <c r="A8916" t="s">
        <v>2857</v>
      </c>
      <c r="B8916" t="s">
        <v>2865</v>
      </c>
      <c r="C8916" t="s">
        <v>1496</v>
      </c>
      <c r="D8916" t="s">
        <v>2888</v>
      </c>
      <c r="E8916">
        <v>14316</v>
      </c>
      <c r="F8916" s="11">
        <v>0</v>
      </c>
    </row>
    <row r="8917" spans="1:6" x14ac:dyDescent="0.35">
      <c r="A8917" t="s">
        <v>2857</v>
      </c>
      <c r="B8917" t="s">
        <v>2865</v>
      </c>
      <c r="C8917" t="s">
        <v>1496</v>
      </c>
      <c r="D8917" t="s">
        <v>2889</v>
      </c>
      <c r="E8917">
        <v>0</v>
      </c>
      <c r="F8917" s="11">
        <v>0</v>
      </c>
    </row>
    <row r="8918" spans="1:6" x14ac:dyDescent="0.35">
      <c r="A8918" t="s">
        <v>2857</v>
      </c>
      <c r="B8918" t="s">
        <v>2865</v>
      </c>
      <c r="C8918" t="s">
        <v>1496</v>
      </c>
      <c r="D8918" t="s">
        <v>2890</v>
      </c>
      <c r="E8918">
        <v>12908</v>
      </c>
      <c r="F8918" s="11">
        <v>0</v>
      </c>
    </row>
    <row r="8919" spans="1:6" x14ac:dyDescent="0.35">
      <c r="A8919" t="s">
        <v>2857</v>
      </c>
      <c r="B8919" t="s">
        <v>2865</v>
      </c>
      <c r="C8919" t="s">
        <v>1496</v>
      </c>
      <c r="D8919" t="s">
        <v>2891</v>
      </c>
      <c r="E8919">
        <v>0</v>
      </c>
      <c r="F8919" s="11">
        <v>0</v>
      </c>
    </row>
    <row r="8920" spans="1:6" x14ac:dyDescent="0.35">
      <c r="A8920" t="s">
        <v>2857</v>
      </c>
      <c r="B8920" t="s">
        <v>2865</v>
      </c>
      <c r="C8920" t="s">
        <v>1496</v>
      </c>
      <c r="D8920" t="s">
        <v>2892</v>
      </c>
      <c r="E8920">
        <v>0</v>
      </c>
      <c r="F8920" s="11">
        <v>0</v>
      </c>
    </row>
    <row r="8921" spans="1:6" x14ac:dyDescent="0.35">
      <c r="A8921" t="s">
        <v>2857</v>
      </c>
      <c r="B8921" t="s">
        <v>2865</v>
      </c>
      <c r="C8921" t="s">
        <v>1496</v>
      </c>
      <c r="D8921" t="s">
        <v>2893</v>
      </c>
      <c r="E8921">
        <v>0</v>
      </c>
      <c r="F8921" s="11">
        <v>0</v>
      </c>
    </row>
    <row r="8922" spans="1:6" x14ac:dyDescent="0.35">
      <c r="A8922" t="s">
        <v>2857</v>
      </c>
      <c r="B8922" t="s">
        <v>2865</v>
      </c>
      <c r="C8922" t="s">
        <v>1496</v>
      </c>
      <c r="D8922" t="s">
        <v>2894</v>
      </c>
      <c r="E8922">
        <v>0</v>
      </c>
      <c r="F8922" s="11">
        <v>0</v>
      </c>
    </row>
    <row r="8923" spans="1:6" x14ac:dyDescent="0.35">
      <c r="A8923" t="s">
        <v>2857</v>
      </c>
      <c r="B8923" t="s">
        <v>2865</v>
      </c>
      <c r="C8923" t="s">
        <v>1496</v>
      </c>
      <c r="D8923" t="s">
        <v>2895</v>
      </c>
      <c r="E8923">
        <v>374684</v>
      </c>
      <c r="F8923" s="11">
        <v>1</v>
      </c>
    </row>
    <row r="8924" spans="1:6" x14ac:dyDescent="0.35">
      <c r="A8924" t="s">
        <v>2857</v>
      </c>
      <c r="B8924" t="s">
        <v>2865</v>
      </c>
      <c r="C8924" t="s">
        <v>1496</v>
      </c>
      <c r="D8924" t="s">
        <v>2896</v>
      </c>
      <c r="E8924">
        <v>0</v>
      </c>
      <c r="F8924" s="11">
        <v>0</v>
      </c>
    </row>
    <row r="8925" spans="1:6" x14ac:dyDescent="0.35">
      <c r="A8925" t="s">
        <v>2857</v>
      </c>
      <c r="B8925" t="s">
        <v>2865</v>
      </c>
      <c r="C8925" t="s">
        <v>1496</v>
      </c>
      <c r="D8925" t="s">
        <v>2897</v>
      </c>
      <c r="E8925">
        <v>0</v>
      </c>
      <c r="F8925" s="11">
        <v>0</v>
      </c>
    </row>
    <row r="8926" spans="1:6" x14ac:dyDescent="0.35">
      <c r="A8926" t="s">
        <v>2857</v>
      </c>
      <c r="B8926" t="s">
        <v>2865</v>
      </c>
      <c r="C8926" t="s">
        <v>1496</v>
      </c>
      <c r="D8926" t="s">
        <v>2898</v>
      </c>
      <c r="E8926">
        <v>0</v>
      </c>
      <c r="F8926" s="11">
        <v>0</v>
      </c>
    </row>
    <row r="8927" spans="1:6" x14ac:dyDescent="0.35">
      <c r="A8927" t="s">
        <v>2857</v>
      </c>
      <c r="B8927" t="s">
        <v>2865</v>
      </c>
      <c r="C8927" t="s">
        <v>1496</v>
      </c>
      <c r="D8927" t="s">
        <v>2899</v>
      </c>
      <c r="E8927">
        <v>0</v>
      </c>
      <c r="F8927" s="11">
        <v>0</v>
      </c>
    </row>
    <row r="8928" spans="1:6" x14ac:dyDescent="0.35">
      <c r="A8928" t="s">
        <v>2857</v>
      </c>
      <c r="B8928" t="s">
        <v>2865</v>
      </c>
      <c r="C8928" t="s">
        <v>1496</v>
      </c>
      <c r="D8928" t="s">
        <v>2900</v>
      </c>
      <c r="E8928">
        <v>0</v>
      </c>
      <c r="F8928" s="11">
        <v>0</v>
      </c>
    </row>
    <row r="8929" spans="1:6" x14ac:dyDescent="0.35">
      <c r="A8929" t="s">
        <v>2857</v>
      </c>
      <c r="B8929" t="s">
        <v>2865</v>
      </c>
      <c r="C8929" t="s">
        <v>1496</v>
      </c>
      <c r="D8929" t="s">
        <v>2901</v>
      </c>
      <c r="E8929">
        <v>0</v>
      </c>
      <c r="F8929" s="11">
        <v>0</v>
      </c>
    </row>
    <row r="8930" spans="1:6" x14ac:dyDescent="0.35">
      <c r="A8930" t="s">
        <v>2857</v>
      </c>
      <c r="B8930" t="s">
        <v>2865</v>
      </c>
      <c r="C8930" t="s">
        <v>1496</v>
      </c>
      <c r="D8930" t="s">
        <v>2902</v>
      </c>
      <c r="E8930">
        <v>0</v>
      </c>
      <c r="F8930" s="11">
        <v>0</v>
      </c>
    </row>
    <row r="8931" spans="1:6" x14ac:dyDescent="0.35">
      <c r="A8931" t="s">
        <v>2857</v>
      </c>
      <c r="B8931" t="s">
        <v>2865</v>
      </c>
      <c r="C8931" t="s">
        <v>1496</v>
      </c>
      <c r="D8931" t="s">
        <v>2903</v>
      </c>
      <c r="E8931">
        <v>11954</v>
      </c>
      <c r="F8931" s="11">
        <v>1</v>
      </c>
    </row>
    <row r="8932" spans="1:6" x14ac:dyDescent="0.35">
      <c r="A8932" t="s">
        <v>2857</v>
      </c>
      <c r="B8932" t="s">
        <v>2865</v>
      </c>
      <c r="C8932" t="s">
        <v>1496</v>
      </c>
      <c r="D8932" t="s">
        <v>2904</v>
      </c>
      <c r="E8932">
        <v>0</v>
      </c>
      <c r="F8932" s="11">
        <v>0</v>
      </c>
    </row>
    <row r="8933" spans="1:6" x14ac:dyDescent="0.35">
      <c r="A8933" t="s">
        <v>2857</v>
      </c>
      <c r="B8933" t="s">
        <v>2865</v>
      </c>
      <c r="C8933" t="s">
        <v>1496</v>
      </c>
      <c r="D8933" t="s">
        <v>2905</v>
      </c>
      <c r="E8933">
        <v>0</v>
      </c>
      <c r="F8933" s="11">
        <v>0</v>
      </c>
    </row>
    <row r="8934" spans="1:6" x14ac:dyDescent="0.35">
      <c r="A8934" t="s">
        <v>2857</v>
      </c>
      <c r="B8934" t="s">
        <v>2865</v>
      </c>
      <c r="C8934" t="s">
        <v>1496</v>
      </c>
      <c r="D8934" t="s">
        <v>2906</v>
      </c>
      <c r="E8934">
        <v>0</v>
      </c>
      <c r="F8934" s="11">
        <v>0</v>
      </c>
    </row>
    <row r="8935" spans="1:6" x14ac:dyDescent="0.35">
      <c r="A8935" t="s">
        <v>2857</v>
      </c>
      <c r="B8935" t="s">
        <v>2865</v>
      </c>
      <c r="C8935" t="s">
        <v>1496</v>
      </c>
      <c r="D8935" t="s">
        <v>2907</v>
      </c>
      <c r="E8935">
        <v>16646</v>
      </c>
      <c r="F8935" s="11">
        <v>0</v>
      </c>
    </row>
    <row r="8936" spans="1:6" x14ac:dyDescent="0.35">
      <c r="A8936" t="s">
        <v>2857</v>
      </c>
      <c r="B8936" t="s">
        <v>2865</v>
      </c>
      <c r="C8936" t="s">
        <v>1496</v>
      </c>
      <c r="D8936" t="s">
        <v>2908</v>
      </c>
      <c r="E8936">
        <v>0</v>
      </c>
      <c r="F8936" s="11">
        <v>0</v>
      </c>
    </row>
    <row r="8937" spans="1:6" x14ac:dyDescent="0.35">
      <c r="A8937" t="s">
        <v>2857</v>
      </c>
      <c r="B8937" t="s">
        <v>2865</v>
      </c>
      <c r="C8937" t="s">
        <v>1496</v>
      </c>
      <c r="D8937" t="s">
        <v>2909</v>
      </c>
      <c r="E8937">
        <v>0</v>
      </c>
      <c r="F8937" s="11">
        <v>0</v>
      </c>
    </row>
    <row r="8938" spans="1:6" x14ac:dyDescent="0.35">
      <c r="A8938" t="s">
        <v>2857</v>
      </c>
      <c r="B8938" t="s">
        <v>2865</v>
      </c>
      <c r="C8938" t="s">
        <v>1496</v>
      </c>
      <c r="D8938" t="s">
        <v>2910</v>
      </c>
      <c r="E8938">
        <v>0</v>
      </c>
      <c r="F8938" s="11">
        <v>0</v>
      </c>
    </row>
    <row r="8939" spans="1:6" x14ac:dyDescent="0.35">
      <c r="A8939" t="s">
        <v>2857</v>
      </c>
      <c r="B8939" t="s">
        <v>2865</v>
      </c>
      <c r="C8939" t="s">
        <v>1496</v>
      </c>
      <c r="D8939" t="s">
        <v>2911</v>
      </c>
      <c r="E8939">
        <v>157196</v>
      </c>
      <c r="F8939" s="11">
        <v>1</v>
      </c>
    </row>
    <row r="8940" spans="1:6" x14ac:dyDescent="0.35">
      <c r="A8940" t="s">
        <v>2857</v>
      </c>
      <c r="B8940" t="s">
        <v>2865</v>
      </c>
      <c r="C8940" t="s">
        <v>1496</v>
      </c>
      <c r="D8940" t="s">
        <v>2912</v>
      </c>
      <c r="E8940">
        <v>314952</v>
      </c>
      <c r="F8940" s="11">
        <v>1</v>
      </c>
    </row>
    <row r="8941" spans="1:6" x14ac:dyDescent="0.35">
      <c r="A8941" t="s">
        <v>2857</v>
      </c>
      <c r="B8941" t="s">
        <v>2865</v>
      </c>
      <c r="C8941" t="s">
        <v>1496</v>
      </c>
      <c r="D8941" t="s">
        <v>2913</v>
      </c>
      <c r="E8941">
        <v>0</v>
      </c>
      <c r="F8941" s="11">
        <v>0</v>
      </c>
    </row>
    <row r="8942" spans="1:6" x14ac:dyDescent="0.35">
      <c r="A8942" t="s">
        <v>2857</v>
      </c>
      <c r="B8942" t="s">
        <v>2865</v>
      </c>
      <c r="C8942" t="s">
        <v>1496</v>
      </c>
      <c r="D8942" t="s">
        <v>2914</v>
      </c>
      <c r="E8942">
        <v>0</v>
      </c>
      <c r="F8942" s="11">
        <v>0</v>
      </c>
    </row>
    <row r="8943" spans="1:6" x14ac:dyDescent="0.35">
      <c r="A8943" t="s">
        <v>2857</v>
      </c>
      <c r="B8943" t="s">
        <v>2865</v>
      </c>
      <c r="C8943" t="s">
        <v>1496</v>
      </c>
      <c r="D8943" t="s">
        <v>2915</v>
      </c>
      <c r="E8943">
        <v>0</v>
      </c>
      <c r="F8943" s="11">
        <v>0</v>
      </c>
    </row>
    <row r="8944" spans="1:6" x14ac:dyDescent="0.35">
      <c r="A8944" t="s">
        <v>2857</v>
      </c>
      <c r="B8944" t="s">
        <v>2865</v>
      </c>
      <c r="C8944" t="s">
        <v>1496</v>
      </c>
      <c r="D8944" t="s">
        <v>2916</v>
      </c>
      <c r="E8944">
        <v>13910</v>
      </c>
      <c r="F8944" s="11">
        <v>1</v>
      </c>
    </row>
    <row r="8945" spans="1:6" x14ac:dyDescent="0.35">
      <c r="A8945" t="s">
        <v>2857</v>
      </c>
      <c r="B8945" t="s">
        <v>2865</v>
      </c>
      <c r="C8945" t="s">
        <v>1496</v>
      </c>
      <c r="D8945" t="s">
        <v>2917</v>
      </c>
      <c r="E8945">
        <v>0</v>
      </c>
      <c r="F8945" s="11">
        <v>0</v>
      </c>
    </row>
    <row r="8946" spans="1:6" x14ac:dyDescent="0.35">
      <c r="A8946" t="s">
        <v>2857</v>
      </c>
      <c r="B8946" t="s">
        <v>2863</v>
      </c>
      <c r="C8946" t="s">
        <v>1397</v>
      </c>
      <c r="D8946" t="s">
        <v>2875</v>
      </c>
      <c r="E8946">
        <v>75930</v>
      </c>
      <c r="F8946" s="11">
        <v>1</v>
      </c>
    </row>
    <row r="8947" spans="1:6" x14ac:dyDescent="0.35">
      <c r="A8947" t="s">
        <v>2857</v>
      </c>
      <c r="B8947" t="s">
        <v>2863</v>
      </c>
      <c r="C8947" t="s">
        <v>1397</v>
      </c>
      <c r="D8947" t="s">
        <v>2876</v>
      </c>
      <c r="E8947">
        <v>17405</v>
      </c>
      <c r="F8947" s="11">
        <v>0</v>
      </c>
    </row>
    <row r="8948" spans="1:6" x14ac:dyDescent="0.35">
      <c r="A8948" t="s">
        <v>2857</v>
      </c>
      <c r="B8948" t="s">
        <v>2863</v>
      </c>
      <c r="C8948" t="s">
        <v>1397</v>
      </c>
      <c r="D8948" t="s">
        <v>2877</v>
      </c>
      <c r="E8948">
        <v>3361</v>
      </c>
      <c r="F8948" s="11">
        <v>0</v>
      </c>
    </row>
    <row r="8949" spans="1:6" x14ac:dyDescent="0.35">
      <c r="A8949" t="s">
        <v>2857</v>
      </c>
      <c r="B8949" t="s">
        <v>2863</v>
      </c>
      <c r="C8949" t="s">
        <v>1397</v>
      </c>
      <c r="D8949" t="s">
        <v>2878</v>
      </c>
      <c r="E8949">
        <v>55164</v>
      </c>
      <c r="F8949" s="11">
        <v>0</v>
      </c>
    </row>
    <row r="8950" spans="1:6" x14ac:dyDescent="0.35">
      <c r="A8950" t="s">
        <v>2857</v>
      </c>
      <c r="B8950" t="s">
        <v>2863</v>
      </c>
      <c r="C8950" t="s">
        <v>1397</v>
      </c>
      <c r="D8950" t="s">
        <v>2879</v>
      </c>
      <c r="E8950">
        <v>7799</v>
      </c>
      <c r="F8950" s="11">
        <v>1</v>
      </c>
    </row>
    <row r="8951" spans="1:6" x14ac:dyDescent="0.35">
      <c r="A8951" t="s">
        <v>2857</v>
      </c>
      <c r="B8951" t="s">
        <v>2863</v>
      </c>
      <c r="C8951" t="s">
        <v>1397</v>
      </c>
      <c r="D8951" t="s">
        <v>2880</v>
      </c>
      <c r="E8951">
        <v>3659</v>
      </c>
      <c r="F8951" s="11">
        <v>1</v>
      </c>
    </row>
    <row r="8952" spans="1:6" x14ac:dyDescent="0.35">
      <c r="A8952" t="s">
        <v>2857</v>
      </c>
      <c r="B8952" t="s">
        <v>2863</v>
      </c>
      <c r="C8952" t="s">
        <v>1397</v>
      </c>
      <c r="D8952" t="s">
        <v>2881</v>
      </c>
      <c r="E8952">
        <v>403</v>
      </c>
      <c r="F8952" s="11">
        <v>1</v>
      </c>
    </row>
    <row r="8953" spans="1:6" x14ac:dyDescent="0.35">
      <c r="A8953" t="s">
        <v>2857</v>
      </c>
      <c r="B8953" t="s">
        <v>2863</v>
      </c>
      <c r="C8953" t="s">
        <v>1397</v>
      </c>
      <c r="D8953" t="s">
        <v>2882</v>
      </c>
      <c r="E8953">
        <v>2769</v>
      </c>
      <c r="F8953" s="11">
        <v>0</v>
      </c>
    </row>
    <row r="8954" spans="1:6" x14ac:dyDescent="0.35">
      <c r="A8954" t="s">
        <v>2857</v>
      </c>
      <c r="B8954" t="s">
        <v>2863</v>
      </c>
      <c r="C8954" t="s">
        <v>1397</v>
      </c>
      <c r="D8954" t="s">
        <v>2883</v>
      </c>
      <c r="E8954">
        <v>150</v>
      </c>
      <c r="F8954" s="11">
        <v>1</v>
      </c>
    </row>
    <row r="8955" spans="1:6" x14ac:dyDescent="0.35">
      <c r="A8955" t="s">
        <v>2857</v>
      </c>
      <c r="B8955" t="s">
        <v>2863</v>
      </c>
      <c r="C8955" t="s">
        <v>1397</v>
      </c>
      <c r="D8955" t="s">
        <v>2884</v>
      </c>
      <c r="E8955">
        <v>74</v>
      </c>
      <c r="F8955" s="11">
        <v>1</v>
      </c>
    </row>
    <row r="8956" spans="1:6" x14ac:dyDescent="0.35">
      <c r="A8956" t="s">
        <v>2857</v>
      </c>
      <c r="B8956" t="s">
        <v>2863</v>
      </c>
      <c r="C8956" t="s">
        <v>1397</v>
      </c>
      <c r="D8956" t="s">
        <v>2885</v>
      </c>
      <c r="E8956">
        <v>44</v>
      </c>
      <c r="F8956" s="11">
        <v>1</v>
      </c>
    </row>
    <row r="8957" spans="1:6" x14ac:dyDescent="0.35">
      <c r="A8957" t="s">
        <v>2857</v>
      </c>
      <c r="B8957" t="s">
        <v>2863</v>
      </c>
      <c r="C8957" t="s">
        <v>1397</v>
      </c>
      <c r="D8957" t="s">
        <v>2886</v>
      </c>
      <c r="E8957">
        <v>35</v>
      </c>
      <c r="F8957" s="11">
        <v>0</v>
      </c>
    </row>
    <row r="8958" spans="1:6" x14ac:dyDescent="0.35">
      <c r="A8958" t="s">
        <v>2857</v>
      </c>
      <c r="B8958" t="s">
        <v>2863</v>
      </c>
      <c r="C8958" t="s">
        <v>1397</v>
      </c>
      <c r="D8958" t="s">
        <v>2887</v>
      </c>
      <c r="E8958">
        <v>121707</v>
      </c>
      <c r="F8958" s="11">
        <v>1</v>
      </c>
    </row>
    <row r="8959" spans="1:6" x14ac:dyDescent="0.35">
      <c r="A8959" t="s">
        <v>2857</v>
      </c>
      <c r="B8959" t="s">
        <v>2863</v>
      </c>
      <c r="C8959" t="s">
        <v>1397</v>
      </c>
      <c r="D8959" t="s">
        <v>2888</v>
      </c>
      <c r="E8959">
        <v>55608</v>
      </c>
      <c r="F8959" s="11">
        <v>1</v>
      </c>
    </row>
    <row r="8960" spans="1:6" x14ac:dyDescent="0.35">
      <c r="A8960" t="s">
        <v>2857</v>
      </c>
      <c r="B8960" t="s">
        <v>2863</v>
      </c>
      <c r="C8960" t="s">
        <v>1397</v>
      </c>
      <c r="D8960" t="s">
        <v>2889</v>
      </c>
      <c r="E8960">
        <v>1142</v>
      </c>
      <c r="F8960" s="11">
        <v>1</v>
      </c>
    </row>
    <row r="8961" spans="1:6" x14ac:dyDescent="0.35">
      <c r="A8961" t="s">
        <v>2857</v>
      </c>
      <c r="B8961" t="s">
        <v>2863</v>
      </c>
      <c r="C8961" t="s">
        <v>1397</v>
      </c>
      <c r="D8961" t="s">
        <v>2890</v>
      </c>
      <c r="E8961">
        <v>64957</v>
      </c>
      <c r="F8961" s="11">
        <v>1</v>
      </c>
    </row>
    <row r="8962" spans="1:6" x14ac:dyDescent="0.35">
      <c r="A8962" t="s">
        <v>2857</v>
      </c>
      <c r="B8962" t="s">
        <v>2863</v>
      </c>
      <c r="C8962" t="s">
        <v>1397</v>
      </c>
      <c r="D8962" t="s">
        <v>2891</v>
      </c>
      <c r="E8962">
        <v>1277</v>
      </c>
      <c r="F8962" s="11">
        <v>1</v>
      </c>
    </row>
    <row r="8963" spans="1:6" x14ac:dyDescent="0.35">
      <c r="A8963" t="s">
        <v>2857</v>
      </c>
      <c r="B8963" t="s">
        <v>2863</v>
      </c>
      <c r="C8963" t="s">
        <v>1397</v>
      </c>
      <c r="D8963" t="s">
        <v>2892</v>
      </c>
      <c r="E8963">
        <v>519</v>
      </c>
      <c r="F8963" s="11">
        <v>1</v>
      </c>
    </row>
    <row r="8964" spans="1:6" x14ac:dyDescent="0.35">
      <c r="A8964" t="s">
        <v>2857</v>
      </c>
      <c r="B8964" t="s">
        <v>2863</v>
      </c>
      <c r="C8964" t="s">
        <v>1397</v>
      </c>
      <c r="D8964" t="s">
        <v>2893</v>
      </c>
      <c r="E8964">
        <v>74</v>
      </c>
      <c r="F8964" s="11">
        <v>1</v>
      </c>
    </row>
    <row r="8965" spans="1:6" x14ac:dyDescent="0.35">
      <c r="A8965" t="s">
        <v>2857</v>
      </c>
      <c r="B8965" t="s">
        <v>2863</v>
      </c>
      <c r="C8965" t="s">
        <v>1397</v>
      </c>
      <c r="D8965" t="s">
        <v>2894</v>
      </c>
      <c r="E8965">
        <v>165</v>
      </c>
      <c r="F8965" s="11">
        <v>1</v>
      </c>
    </row>
    <row r="8966" spans="1:6" x14ac:dyDescent="0.35">
      <c r="A8966" t="s">
        <v>2857</v>
      </c>
      <c r="B8966" t="s">
        <v>2863</v>
      </c>
      <c r="C8966" t="s">
        <v>1397</v>
      </c>
      <c r="D8966" t="s">
        <v>2895</v>
      </c>
      <c r="E8966">
        <v>1234569</v>
      </c>
      <c r="F8966" s="11">
        <v>1</v>
      </c>
    </row>
    <row r="8967" spans="1:6" x14ac:dyDescent="0.35">
      <c r="A8967" t="s">
        <v>2857</v>
      </c>
      <c r="B8967" t="s">
        <v>2863</v>
      </c>
      <c r="C8967" t="s">
        <v>1397</v>
      </c>
      <c r="D8967" t="s">
        <v>2896</v>
      </c>
      <c r="E8967">
        <v>529750</v>
      </c>
      <c r="F8967" s="11">
        <v>1</v>
      </c>
    </row>
    <row r="8968" spans="1:6" x14ac:dyDescent="0.35">
      <c r="A8968" t="s">
        <v>2857</v>
      </c>
      <c r="B8968" t="s">
        <v>2863</v>
      </c>
      <c r="C8968" t="s">
        <v>1397</v>
      </c>
      <c r="D8968" t="s">
        <v>2897</v>
      </c>
      <c r="E8968">
        <v>0</v>
      </c>
      <c r="F8968" s="11">
        <v>1</v>
      </c>
    </row>
    <row r="8969" spans="1:6" x14ac:dyDescent="0.35">
      <c r="A8969" t="s">
        <v>2857</v>
      </c>
      <c r="B8969" t="s">
        <v>2863</v>
      </c>
      <c r="C8969" t="s">
        <v>1397</v>
      </c>
      <c r="D8969" t="s">
        <v>2898</v>
      </c>
      <c r="E8969">
        <v>632919</v>
      </c>
      <c r="F8969" s="11">
        <v>0</v>
      </c>
    </row>
    <row r="8970" spans="1:6" x14ac:dyDescent="0.35">
      <c r="A8970" t="s">
        <v>2857</v>
      </c>
      <c r="B8970" t="s">
        <v>2863</v>
      </c>
      <c r="C8970" t="s">
        <v>1397</v>
      </c>
      <c r="D8970" t="s">
        <v>2899</v>
      </c>
      <c r="E8970">
        <v>10653</v>
      </c>
      <c r="F8970" s="11">
        <v>1</v>
      </c>
    </row>
    <row r="8971" spans="1:6" x14ac:dyDescent="0.35">
      <c r="A8971" t="s">
        <v>2857</v>
      </c>
      <c r="B8971" t="s">
        <v>2863</v>
      </c>
      <c r="C8971" t="s">
        <v>1397</v>
      </c>
      <c r="D8971" t="s">
        <v>2900</v>
      </c>
      <c r="E8971">
        <v>0</v>
      </c>
      <c r="F8971" s="11">
        <v>0</v>
      </c>
    </row>
    <row r="8972" spans="1:6" x14ac:dyDescent="0.35">
      <c r="A8972" t="s">
        <v>2857</v>
      </c>
      <c r="B8972" t="s">
        <v>2863</v>
      </c>
      <c r="C8972" t="s">
        <v>1397</v>
      </c>
      <c r="D8972" t="s">
        <v>2901</v>
      </c>
      <c r="E8972">
        <v>0</v>
      </c>
      <c r="F8972" s="11">
        <v>0</v>
      </c>
    </row>
    <row r="8973" spans="1:6" x14ac:dyDescent="0.35">
      <c r="A8973" t="s">
        <v>2857</v>
      </c>
      <c r="B8973" t="s">
        <v>2863</v>
      </c>
      <c r="C8973" t="s">
        <v>1397</v>
      </c>
      <c r="D8973" t="s">
        <v>2902</v>
      </c>
      <c r="E8973">
        <v>0</v>
      </c>
      <c r="F8973" s="11">
        <v>0</v>
      </c>
    </row>
    <row r="8974" spans="1:6" x14ac:dyDescent="0.35">
      <c r="A8974" t="s">
        <v>2857</v>
      </c>
      <c r="B8974" t="s">
        <v>2863</v>
      </c>
      <c r="C8974" t="s">
        <v>1397</v>
      </c>
      <c r="D8974" t="s">
        <v>2903</v>
      </c>
      <c r="E8974">
        <v>84629</v>
      </c>
      <c r="F8974" s="11">
        <v>1</v>
      </c>
    </row>
    <row r="8975" spans="1:6" x14ac:dyDescent="0.35">
      <c r="A8975" t="s">
        <v>2857</v>
      </c>
      <c r="B8975" t="s">
        <v>2863</v>
      </c>
      <c r="C8975" t="s">
        <v>1397</v>
      </c>
      <c r="D8975" t="s">
        <v>2904</v>
      </c>
      <c r="E8975">
        <v>0</v>
      </c>
      <c r="F8975" s="11">
        <v>0</v>
      </c>
    </row>
    <row r="8976" spans="1:6" x14ac:dyDescent="0.35">
      <c r="A8976" t="s">
        <v>2857</v>
      </c>
      <c r="B8976" t="s">
        <v>2863</v>
      </c>
      <c r="C8976" t="s">
        <v>1397</v>
      </c>
      <c r="D8976" t="s">
        <v>2905</v>
      </c>
      <c r="E8976">
        <v>0</v>
      </c>
      <c r="F8976" s="11">
        <v>0</v>
      </c>
    </row>
    <row r="8977" spans="1:6" x14ac:dyDescent="0.35">
      <c r="A8977" t="s">
        <v>2857</v>
      </c>
      <c r="B8977" t="s">
        <v>2863</v>
      </c>
      <c r="C8977" t="s">
        <v>1397</v>
      </c>
      <c r="D8977" t="s">
        <v>2906</v>
      </c>
      <c r="E8977">
        <v>0</v>
      </c>
      <c r="F8977" s="11">
        <v>0</v>
      </c>
    </row>
    <row r="8978" spans="1:6" x14ac:dyDescent="0.35">
      <c r="A8978" t="s">
        <v>2857</v>
      </c>
      <c r="B8978" t="s">
        <v>2863</v>
      </c>
      <c r="C8978" t="s">
        <v>1397</v>
      </c>
      <c r="D8978" t="s">
        <v>2907</v>
      </c>
      <c r="E8978">
        <v>217737</v>
      </c>
      <c r="F8978" s="11">
        <v>1</v>
      </c>
    </row>
    <row r="8979" spans="1:6" x14ac:dyDescent="0.35">
      <c r="A8979" t="s">
        <v>2857</v>
      </c>
      <c r="B8979" t="s">
        <v>2863</v>
      </c>
      <c r="C8979" t="s">
        <v>1397</v>
      </c>
      <c r="D8979" t="s">
        <v>2908</v>
      </c>
      <c r="E8979">
        <v>0</v>
      </c>
      <c r="F8979" s="11">
        <v>0</v>
      </c>
    </row>
    <row r="8980" spans="1:6" x14ac:dyDescent="0.35">
      <c r="A8980" t="s">
        <v>2857</v>
      </c>
      <c r="B8980" t="s">
        <v>2863</v>
      </c>
      <c r="C8980" t="s">
        <v>1397</v>
      </c>
      <c r="D8980" t="s">
        <v>2909</v>
      </c>
      <c r="E8980">
        <v>0</v>
      </c>
      <c r="F8980" s="11">
        <v>0</v>
      </c>
    </row>
    <row r="8981" spans="1:6" x14ac:dyDescent="0.35">
      <c r="A8981" t="s">
        <v>2857</v>
      </c>
      <c r="B8981" t="s">
        <v>2863</v>
      </c>
      <c r="C8981" t="s">
        <v>1397</v>
      </c>
      <c r="D8981" t="s">
        <v>2910</v>
      </c>
      <c r="E8981">
        <v>0</v>
      </c>
      <c r="F8981" s="11">
        <v>0</v>
      </c>
    </row>
    <row r="8982" spans="1:6" x14ac:dyDescent="0.35">
      <c r="A8982" t="s">
        <v>2857</v>
      </c>
      <c r="B8982" t="s">
        <v>2863</v>
      </c>
      <c r="C8982" t="s">
        <v>1397</v>
      </c>
      <c r="D8982" t="s">
        <v>2911</v>
      </c>
      <c r="E8982">
        <v>481759</v>
      </c>
      <c r="F8982" s="11">
        <v>1</v>
      </c>
    </row>
    <row r="8983" spans="1:6" x14ac:dyDescent="0.35">
      <c r="A8983" t="s">
        <v>2857</v>
      </c>
      <c r="B8983" t="s">
        <v>2863</v>
      </c>
      <c r="C8983" t="s">
        <v>1397</v>
      </c>
      <c r="D8983" t="s">
        <v>2912</v>
      </c>
      <c r="E8983">
        <v>704302</v>
      </c>
      <c r="F8983" s="11">
        <v>1</v>
      </c>
    </row>
    <row r="8984" spans="1:6" x14ac:dyDescent="0.35">
      <c r="A8984" t="s">
        <v>2857</v>
      </c>
      <c r="B8984" t="s">
        <v>2863</v>
      </c>
      <c r="C8984" t="s">
        <v>1397</v>
      </c>
      <c r="D8984" t="s">
        <v>2913</v>
      </c>
      <c r="E8984">
        <v>0</v>
      </c>
      <c r="F8984" s="11">
        <v>0</v>
      </c>
    </row>
    <row r="8985" spans="1:6" x14ac:dyDescent="0.35">
      <c r="A8985" t="s">
        <v>2857</v>
      </c>
      <c r="B8985" t="s">
        <v>2863</v>
      </c>
      <c r="C8985" t="s">
        <v>1397</v>
      </c>
      <c r="D8985" t="s">
        <v>2914</v>
      </c>
      <c r="E8985">
        <v>63252</v>
      </c>
      <c r="F8985" s="11">
        <v>1</v>
      </c>
    </row>
    <row r="8986" spans="1:6" x14ac:dyDescent="0.35">
      <c r="A8986" t="s">
        <v>2857</v>
      </c>
      <c r="B8986" t="s">
        <v>2863</v>
      </c>
      <c r="C8986" t="s">
        <v>1397</v>
      </c>
      <c r="D8986" t="s">
        <v>2915</v>
      </c>
      <c r="E8986">
        <v>4489</v>
      </c>
      <c r="F8986" s="11">
        <v>1</v>
      </c>
    </row>
    <row r="8987" spans="1:6" x14ac:dyDescent="0.35">
      <c r="A8987" t="s">
        <v>2857</v>
      </c>
      <c r="B8987" t="s">
        <v>2863</v>
      </c>
      <c r="C8987" t="s">
        <v>1397</v>
      </c>
      <c r="D8987" t="s">
        <v>2916</v>
      </c>
      <c r="E8987">
        <v>59727</v>
      </c>
      <c r="F8987" s="11">
        <v>1</v>
      </c>
    </row>
    <row r="8988" spans="1:6" x14ac:dyDescent="0.35">
      <c r="A8988" t="s">
        <v>2857</v>
      </c>
      <c r="B8988" t="s">
        <v>2863</v>
      </c>
      <c r="C8988" t="s">
        <v>1397</v>
      </c>
      <c r="D8988" t="s">
        <v>2917</v>
      </c>
      <c r="E8988">
        <v>1031845</v>
      </c>
      <c r="F8988" s="11">
        <v>1</v>
      </c>
    </row>
    <row r="8989" spans="1:6" x14ac:dyDescent="0.35">
      <c r="A8989" t="s">
        <v>2857</v>
      </c>
      <c r="B8989" t="s">
        <v>2862</v>
      </c>
      <c r="C8989" t="s">
        <v>1380</v>
      </c>
      <c r="D8989" t="s">
        <v>2875</v>
      </c>
      <c r="E8989">
        <v>21953</v>
      </c>
      <c r="F8989" s="11">
        <v>1</v>
      </c>
    </row>
    <row r="8990" spans="1:6" x14ac:dyDescent="0.35">
      <c r="A8990" t="s">
        <v>2857</v>
      </c>
      <c r="B8990" t="s">
        <v>2862</v>
      </c>
      <c r="C8990" t="s">
        <v>1380</v>
      </c>
      <c r="D8990" t="s">
        <v>2876</v>
      </c>
      <c r="E8990">
        <v>5488</v>
      </c>
      <c r="F8990" s="11">
        <v>0</v>
      </c>
    </row>
    <row r="8991" spans="1:6" x14ac:dyDescent="0.35">
      <c r="A8991" t="s">
        <v>2857</v>
      </c>
      <c r="B8991" t="s">
        <v>2862</v>
      </c>
      <c r="C8991" t="s">
        <v>1380</v>
      </c>
      <c r="D8991" t="s">
        <v>2877</v>
      </c>
      <c r="E8991">
        <v>1417</v>
      </c>
      <c r="F8991" s="11">
        <v>0</v>
      </c>
    </row>
    <row r="8992" spans="1:6" x14ac:dyDescent="0.35">
      <c r="A8992" t="s">
        <v>2857</v>
      </c>
      <c r="B8992" t="s">
        <v>2862</v>
      </c>
      <c r="C8992" t="s">
        <v>1380</v>
      </c>
      <c r="D8992" t="s">
        <v>2878</v>
      </c>
      <c r="E8992">
        <v>14651</v>
      </c>
      <c r="F8992" s="11">
        <v>0</v>
      </c>
    </row>
    <row r="8993" spans="1:6" x14ac:dyDescent="0.35">
      <c r="A8993" t="s">
        <v>2857</v>
      </c>
      <c r="B8993" t="s">
        <v>2862</v>
      </c>
      <c r="C8993" t="s">
        <v>1380</v>
      </c>
      <c r="D8993" t="s">
        <v>2879</v>
      </c>
      <c r="E8993">
        <v>3070</v>
      </c>
      <c r="F8993" s="11">
        <v>1</v>
      </c>
    </row>
    <row r="8994" spans="1:6" x14ac:dyDescent="0.35">
      <c r="A8994" t="s">
        <v>2857</v>
      </c>
      <c r="B8994" t="s">
        <v>2862</v>
      </c>
      <c r="C8994" t="s">
        <v>1380</v>
      </c>
      <c r="D8994" t="s">
        <v>2880</v>
      </c>
      <c r="E8994">
        <v>1050</v>
      </c>
      <c r="F8994" s="11">
        <v>0</v>
      </c>
    </row>
    <row r="8995" spans="1:6" x14ac:dyDescent="0.35">
      <c r="A8995" t="s">
        <v>2857</v>
      </c>
      <c r="B8995" t="s">
        <v>2862</v>
      </c>
      <c r="C8995" t="s">
        <v>1380</v>
      </c>
      <c r="D8995" t="s">
        <v>2881</v>
      </c>
      <c r="E8995">
        <v>120</v>
      </c>
      <c r="F8995" s="11">
        <v>0</v>
      </c>
    </row>
    <row r="8996" spans="1:6" x14ac:dyDescent="0.35">
      <c r="A8996" t="s">
        <v>2857</v>
      </c>
      <c r="B8996" t="s">
        <v>2862</v>
      </c>
      <c r="C8996" t="s">
        <v>1380</v>
      </c>
      <c r="D8996" t="s">
        <v>2882</v>
      </c>
      <c r="E8996">
        <v>1900</v>
      </c>
      <c r="F8996" s="11">
        <v>0</v>
      </c>
    </row>
    <row r="8997" spans="1:6" x14ac:dyDescent="0.35">
      <c r="A8997" t="s">
        <v>2857</v>
      </c>
      <c r="B8997" t="s">
        <v>2862</v>
      </c>
      <c r="C8997" t="s">
        <v>1380</v>
      </c>
      <c r="D8997" t="s">
        <v>2883</v>
      </c>
      <c r="E8997">
        <v>0</v>
      </c>
      <c r="F8997" s="11">
        <v>0</v>
      </c>
    </row>
    <row r="8998" spans="1:6" x14ac:dyDescent="0.35">
      <c r="A8998" t="s">
        <v>2857</v>
      </c>
      <c r="B8998" t="s">
        <v>2862</v>
      </c>
      <c r="C8998" t="s">
        <v>1380</v>
      </c>
      <c r="D8998" t="s">
        <v>2884</v>
      </c>
      <c r="E8998">
        <v>0</v>
      </c>
      <c r="F8998" s="11">
        <v>0</v>
      </c>
    </row>
    <row r="8999" spans="1:6" x14ac:dyDescent="0.35">
      <c r="A8999" t="s">
        <v>2857</v>
      </c>
      <c r="B8999" t="s">
        <v>2862</v>
      </c>
      <c r="C8999" t="s">
        <v>1380</v>
      </c>
      <c r="D8999" t="s">
        <v>2885</v>
      </c>
      <c r="E8999">
        <v>0</v>
      </c>
      <c r="F8999" s="11">
        <v>0</v>
      </c>
    </row>
    <row r="9000" spans="1:6" x14ac:dyDescent="0.35">
      <c r="A9000" t="s">
        <v>2857</v>
      </c>
      <c r="B9000" t="s">
        <v>2862</v>
      </c>
      <c r="C9000" t="s">
        <v>1380</v>
      </c>
      <c r="D9000" t="s">
        <v>2886</v>
      </c>
      <c r="E9000">
        <v>0</v>
      </c>
      <c r="F9000" s="11">
        <v>0</v>
      </c>
    </row>
    <row r="9001" spans="1:6" x14ac:dyDescent="0.35">
      <c r="A9001" t="s">
        <v>2857</v>
      </c>
      <c r="B9001" t="s">
        <v>2862</v>
      </c>
      <c r="C9001" t="s">
        <v>1380</v>
      </c>
      <c r="D9001" t="s">
        <v>2887</v>
      </c>
      <c r="E9001">
        <v>37106</v>
      </c>
      <c r="F9001" s="11">
        <v>1</v>
      </c>
    </row>
    <row r="9002" spans="1:6" x14ac:dyDescent="0.35">
      <c r="A9002" t="s">
        <v>2857</v>
      </c>
      <c r="B9002" t="s">
        <v>2862</v>
      </c>
      <c r="C9002" t="s">
        <v>1380</v>
      </c>
      <c r="D9002" t="s">
        <v>2888</v>
      </c>
      <c r="E9002">
        <v>0</v>
      </c>
      <c r="F9002" s="11">
        <v>0</v>
      </c>
    </row>
    <row r="9003" spans="1:6" x14ac:dyDescent="0.35">
      <c r="A9003" t="s">
        <v>2857</v>
      </c>
      <c r="B9003" t="s">
        <v>2862</v>
      </c>
      <c r="C9003" t="s">
        <v>1380</v>
      </c>
      <c r="D9003" t="s">
        <v>2889</v>
      </c>
      <c r="E9003">
        <v>12761</v>
      </c>
      <c r="F9003" s="11">
        <v>0</v>
      </c>
    </row>
    <row r="9004" spans="1:6" x14ac:dyDescent="0.35">
      <c r="A9004" t="s">
        <v>2857</v>
      </c>
      <c r="B9004" t="s">
        <v>2862</v>
      </c>
      <c r="C9004" t="s">
        <v>1380</v>
      </c>
      <c r="D9004" t="s">
        <v>2890</v>
      </c>
      <c r="E9004">
        <v>23345</v>
      </c>
      <c r="F9004" s="11">
        <v>0</v>
      </c>
    </row>
    <row r="9005" spans="1:6" x14ac:dyDescent="0.35">
      <c r="A9005" t="s">
        <v>2857</v>
      </c>
      <c r="B9005" t="s">
        <v>2862</v>
      </c>
      <c r="C9005" t="s">
        <v>1380</v>
      </c>
      <c r="D9005" t="s">
        <v>2891</v>
      </c>
      <c r="E9005">
        <v>0</v>
      </c>
      <c r="F9005" s="11">
        <v>0</v>
      </c>
    </row>
    <row r="9006" spans="1:6" x14ac:dyDescent="0.35">
      <c r="A9006" t="s">
        <v>2857</v>
      </c>
      <c r="B9006" t="s">
        <v>2862</v>
      </c>
      <c r="C9006" t="s">
        <v>1380</v>
      </c>
      <c r="D9006" t="s">
        <v>2892</v>
      </c>
      <c r="E9006">
        <v>0</v>
      </c>
      <c r="F9006" s="11">
        <v>0</v>
      </c>
    </row>
    <row r="9007" spans="1:6" x14ac:dyDescent="0.35">
      <c r="A9007" t="s">
        <v>2857</v>
      </c>
      <c r="B9007" t="s">
        <v>2862</v>
      </c>
      <c r="C9007" t="s">
        <v>1380</v>
      </c>
      <c r="D9007" t="s">
        <v>2893</v>
      </c>
      <c r="E9007">
        <v>0</v>
      </c>
      <c r="F9007" s="11">
        <v>0</v>
      </c>
    </row>
    <row r="9008" spans="1:6" x14ac:dyDescent="0.35">
      <c r="A9008" t="s">
        <v>2857</v>
      </c>
      <c r="B9008" t="s">
        <v>2862</v>
      </c>
      <c r="C9008" t="s">
        <v>1380</v>
      </c>
      <c r="D9008" t="s">
        <v>2894</v>
      </c>
      <c r="E9008">
        <v>0</v>
      </c>
      <c r="F9008" s="11">
        <v>0</v>
      </c>
    </row>
    <row r="9009" spans="1:6" x14ac:dyDescent="0.35">
      <c r="A9009" t="s">
        <v>2857</v>
      </c>
      <c r="B9009" t="s">
        <v>2862</v>
      </c>
      <c r="C9009" t="s">
        <v>1380</v>
      </c>
      <c r="D9009" t="s">
        <v>2895</v>
      </c>
      <c r="E9009">
        <v>421748</v>
      </c>
      <c r="F9009" s="11">
        <v>1</v>
      </c>
    </row>
    <row r="9010" spans="1:6" x14ac:dyDescent="0.35">
      <c r="A9010" t="s">
        <v>2857</v>
      </c>
      <c r="B9010" t="s">
        <v>2862</v>
      </c>
      <c r="C9010" t="s">
        <v>1380</v>
      </c>
      <c r="D9010" t="s">
        <v>2896</v>
      </c>
      <c r="E9010">
        <v>146013</v>
      </c>
      <c r="F9010" s="11">
        <v>1</v>
      </c>
    </row>
    <row r="9011" spans="1:6" x14ac:dyDescent="0.35">
      <c r="A9011" t="s">
        <v>2857</v>
      </c>
      <c r="B9011" t="s">
        <v>2862</v>
      </c>
      <c r="C9011" t="s">
        <v>1380</v>
      </c>
      <c r="D9011" t="s">
        <v>2897</v>
      </c>
      <c r="E9011">
        <v>15082</v>
      </c>
      <c r="F9011" s="11">
        <v>1</v>
      </c>
    </row>
    <row r="9012" spans="1:6" x14ac:dyDescent="0.35">
      <c r="A9012" t="s">
        <v>2857</v>
      </c>
      <c r="B9012" t="s">
        <v>2862</v>
      </c>
      <c r="C9012" t="s">
        <v>1380</v>
      </c>
      <c r="D9012" t="s">
        <v>2898</v>
      </c>
      <c r="E9012">
        <v>260673</v>
      </c>
      <c r="F9012" s="11">
        <v>1</v>
      </c>
    </row>
    <row r="9013" spans="1:6" x14ac:dyDescent="0.35">
      <c r="A9013" t="s">
        <v>2857</v>
      </c>
      <c r="B9013" t="s">
        <v>2862</v>
      </c>
      <c r="C9013" t="s">
        <v>1380</v>
      </c>
      <c r="D9013" t="s">
        <v>2899</v>
      </c>
      <c r="E9013">
        <v>8144</v>
      </c>
      <c r="F9013" s="11">
        <v>1</v>
      </c>
    </row>
    <row r="9014" spans="1:6" x14ac:dyDescent="0.35">
      <c r="A9014" t="s">
        <v>2857</v>
      </c>
      <c r="B9014" t="s">
        <v>2862</v>
      </c>
      <c r="C9014" t="s">
        <v>1380</v>
      </c>
      <c r="D9014" t="s">
        <v>2900</v>
      </c>
      <c r="E9014">
        <v>1046</v>
      </c>
      <c r="F9014" s="11">
        <v>1</v>
      </c>
    </row>
    <row r="9015" spans="1:6" x14ac:dyDescent="0.35">
      <c r="A9015" t="s">
        <v>2857</v>
      </c>
      <c r="B9015" t="s">
        <v>2862</v>
      </c>
      <c r="C9015" t="s">
        <v>1380</v>
      </c>
      <c r="D9015" t="s">
        <v>2901</v>
      </c>
      <c r="E9015">
        <v>135</v>
      </c>
      <c r="F9015" s="11">
        <v>1</v>
      </c>
    </row>
    <row r="9016" spans="1:6" x14ac:dyDescent="0.35">
      <c r="A9016" t="s">
        <v>2857</v>
      </c>
      <c r="B9016" t="s">
        <v>2862</v>
      </c>
      <c r="C9016" t="s">
        <v>1380</v>
      </c>
      <c r="D9016" t="s">
        <v>2902</v>
      </c>
      <c r="E9016">
        <v>6963</v>
      </c>
      <c r="F9016" s="11">
        <v>0</v>
      </c>
    </row>
    <row r="9017" spans="1:6" x14ac:dyDescent="0.35">
      <c r="A9017" t="s">
        <v>2857</v>
      </c>
      <c r="B9017" t="s">
        <v>2862</v>
      </c>
      <c r="C9017" t="s">
        <v>1380</v>
      </c>
      <c r="D9017" t="s">
        <v>2903</v>
      </c>
      <c r="E9017">
        <v>25249</v>
      </c>
      <c r="F9017" s="11">
        <v>1</v>
      </c>
    </row>
    <row r="9018" spans="1:6" x14ac:dyDescent="0.35">
      <c r="A9018" t="s">
        <v>2857</v>
      </c>
      <c r="B9018" t="s">
        <v>2862</v>
      </c>
      <c r="C9018" t="s">
        <v>1380</v>
      </c>
      <c r="D9018" t="s">
        <v>2904</v>
      </c>
      <c r="E9018">
        <v>1877</v>
      </c>
      <c r="F9018" s="11">
        <v>0</v>
      </c>
    </row>
    <row r="9019" spans="1:6" x14ac:dyDescent="0.35">
      <c r="A9019" t="s">
        <v>2857</v>
      </c>
      <c r="B9019" t="s">
        <v>2862</v>
      </c>
      <c r="C9019" t="s">
        <v>1380</v>
      </c>
      <c r="D9019" t="s">
        <v>2905</v>
      </c>
      <c r="E9019">
        <v>837</v>
      </c>
      <c r="F9019" s="11">
        <v>0</v>
      </c>
    </row>
    <row r="9020" spans="1:6" x14ac:dyDescent="0.35">
      <c r="A9020" t="s">
        <v>2857</v>
      </c>
      <c r="B9020" t="s">
        <v>2862</v>
      </c>
      <c r="C9020" t="s">
        <v>1380</v>
      </c>
      <c r="D9020" t="s">
        <v>2906</v>
      </c>
      <c r="E9020">
        <v>22535</v>
      </c>
      <c r="F9020" s="11">
        <v>0</v>
      </c>
    </row>
    <row r="9021" spans="1:6" x14ac:dyDescent="0.35">
      <c r="A9021" t="s">
        <v>2857</v>
      </c>
      <c r="B9021" t="s">
        <v>2862</v>
      </c>
      <c r="C9021" t="s">
        <v>1380</v>
      </c>
      <c r="D9021" t="s">
        <v>2907</v>
      </c>
      <c r="E9021">
        <v>49031</v>
      </c>
      <c r="F9021" s="11">
        <v>1</v>
      </c>
    </row>
    <row r="9022" spans="1:6" x14ac:dyDescent="0.35">
      <c r="A9022" t="s">
        <v>2857</v>
      </c>
      <c r="B9022" t="s">
        <v>2862</v>
      </c>
      <c r="C9022" t="s">
        <v>1380</v>
      </c>
      <c r="D9022" t="s">
        <v>2908</v>
      </c>
      <c r="E9022">
        <v>6244</v>
      </c>
      <c r="F9022" s="11">
        <v>0</v>
      </c>
    </row>
    <row r="9023" spans="1:6" x14ac:dyDescent="0.35">
      <c r="A9023" t="s">
        <v>2857</v>
      </c>
      <c r="B9023" t="s">
        <v>2862</v>
      </c>
      <c r="C9023" t="s">
        <v>1380</v>
      </c>
      <c r="D9023" t="s">
        <v>2909</v>
      </c>
      <c r="E9023">
        <v>1694</v>
      </c>
      <c r="F9023" s="11">
        <v>0</v>
      </c>
    </row>
    <row r="9024" spans="1:6" x14ac:dyDescent="0.35">
      <c r="A9024" t="s">
        <v>2857</v>
      </c>
      <c r="B9024" t="s">
        <v>2862</v>
      </c>
      <c r="C9024" t="s">
        <v>1380</v>
      </c>
      <c r="D9024" t="s">
        <v>2910</v>
      </c>
      <c r="E9024">
        <v>41093</v>
      </c>
      <c r="F9024" s="11">
        <v>0</v>
      </c>
    </row>
    <row r="9025" spans="1:6" x14ac:dyDescent="0.35">
      <c r="A9025" t="s">
        <v>2857</v>
      </c>
      <c r="B9025" t="s">
        <v>2862</v>
      </c>
      <c r="C9025" t="s">
        <v>1380</v>
      </c>
      <c r="D9025" t="s">
        <v>2911</v>
      </c>
      <c r="E9025">
        <v>323767</v>
      </c>
      <c r="F9025" s="11">
        <v>1</v>
      </c>
    </row>
    <row r="9026" spans="1:6" x14ac:dyDescent="0.35">
      <c r="A9026" t="s">
        <v>2857</v>
      </c>
      <c r="B9026" t="s">
        <v>2862</v>
      </c>
      <c r="C9026" t="s">
        <v>1380</v>
      </c>
      <c r="D9026" t="s">
        <v>2912</v>
      </c>
      <c r="E9026">
        <v>0</v>
      </c>
      <c r="F9026" s="11">
        <v>1</v>
      </c>
    </row>
    <row r="9027" spans="1:6" x14ac:dyDescent="0.35">
      <c r="A9027" t="s">
        <v>2857</v>
      </c>
      <c r="B9027" t="s">
        <v>2862</v>
      </c>
      <c r="C9027" t="s">
        <v>1380</v>
      </c>
      <c r="D9027" t="s">
        <v>2913</v>
      </c>
      <c r="E9027">
        <v>0</v>
      </c>
      <c r="F9027" s="11">
        <v>0</v>
      </c>
    </row>
    <row r="9028" spans="1:6" x14ac:dyDescent="0.35">
      <c r="A9028" t="s">
        <v>2857</v>
      </c>
      <c r="B9028" t="s">
        <v>2862</v>
      </c>
      <c r="C9028" t="s">
        <v>1380</v>
      </c>
      <c r="D9028" t="s">
        <v>2914</v>
      </c>
      <c r="E9028">
        <v>0</v>
      </c>
      <c r="F9028" s="11">
        <v>1</v>
      </c>
    </row>
    <row r="9029" spans="1:6" x14ac:dyDescent="0.35">
      <c r="A9029" t="s">
        <v>2857</v>
      </c>
      <c r="B9029" t="s">
        <v>2862</v>
      </c>
      <c r="C9029" t="s">
        <v>1380</v>
      </c>
      <c r="D9029" t="s">
        <v>2915</v>
      </c>
      <c r="E9029">
        <v>9848</v>
      </c>
      <c r="F9029" s="11">
        <v>1</v>
      </c>
    </row>
    <row r="9030" spans="1:6" x14ac:dyDescent="0.35">
      <c r="A9030" t="s">
        <v>2857</v>
      </c>
      <c r="B9030" t="s">
        <v>2862</v>
      </c>
      <c r="C9030" t="s">
        <v>1380</v>
      </c>
      <c r="D9030" t="s">
        <v>2916</v>
      </c>
      <c r="E9030">
        <v>15253</v>
      </c>
      <c r="F9030" s="11">
        <v>1</v>
      </c>
    </row>
    <row r="9031" spans="1:6" x14ac:dyDescent="0.35">
      <c r="A9031" t="s">
        <v>2857</v>
      </c>
      <c r="B9031" t="s">
        <v>2862</v>
      </c>
      <c r="C9031" t="s">
        <v>1380</v>
      </c>
      <c r="D9031" t="s">
        <v>2917</v>
      </c>
      <c r="E9031">
        <v>0</v>
      </c>
      <c r="F9031" s="11">
        <v>0</v>
      </c>
    </row>
    <row r="9032" spans="1:6" x14ac:dyDescent="0.35">
      <c r="A9032" t="s">
        <v>2857</v>
      </c>
      <c r="B9032" t="s">
        <v>2870</v>
      </c>
      <c r="C9032" t="s">
        <v>1366</v>
      </c>
      <c r="D9032" t="s">
        <v>2875</v>
      </c>
      <c r="E9032">
        <v>24902</v>
      </c>
      <c r="F9032" s="11">
        <v>1</v>
      </c>
    </row>
    <row r="9033" spans="1:6" x14ac:dyDescent="0.35">
      <c r="A9033" t="s">
        <v>2857</v>
      </c>
      <c r="B9033" t="s">
        <v>2870</v>
      </c>
      <c r="C9033" t="s">
        <v>1366</v>
      </c>
      <c r="D9033" t="s">
        <v>2876</v>
      </c>
      <c r="E9033">
        <v>10297</v>
      </c>
      <c r="F9033" s="11">
        <v>1</v>
      </c>
    </row>
    <row r="9034" spans="1:6" x14ac:dyDescent="0.35">
      <c r="A9034" t="s">
        <v>2857</v>
      </c>
      <c r="B9034" t="s">
        <v>2870</v>
      </c>
      <c r="C9034" t="s">
        <v>1366</v>
      </c>
      <c r="D9034" t="s">
        <v>2877</v>
      </c>
      <c r="E9034">
        <v>2002</v>
      </c>
      <c r="F9034" s="11">
        <v>1</v>
      </c>
    </row>
    <row r="9035" spans="1:6" x14ac:dyDescent="0.35">
      <c r="A9035" t="s">
        <v>2857</v>
      </c>
      <c r="B9035" t="s">
        <v>2870</v>
      </c>
      <c r="C9035" t="s">
        <v>1366</v>
      </c>
      <c r="D9035" t="s">
        <v>2878</v>
      </c>
      <c r="E9035">
        <v>12603</v>
      </c>
      <c r="F9035" s="11">
        <v>1</v>
      </c>
    </row>
    <row r="9036" spans="1:6" x14ac:dyDescent="0.35">
      <c r="A9036" t="s">
        <v>2857</v>
      </c>
      <c r="B9036" t="s">
        <v>2870</v>
      </c>
      <c r="C9036" t="s">
        <v>1366</v>
      </c>
      <c r="D9036" t="s">
        <v>2879</v>
      </c>
      <c r="E9036">
        <v>7226</v>
      </c>
      <c r="F9036" s="11">
        <v>1</v>
      </c>
    </row>
    <row r="9037" spans="1:6" x14ac:dyDescent="0.35">
      <c r="A9037" t="s">
        <v>2857</v>
      </c>
      <c r="B9037" t="s">
        <v>2870</v>
      </c>
      <c r="C9037" t="s">
        <v>1366</v>
      </c>
      <c r="D9037" t="s">
        <v>2880</v>
      </c>
      <c r="E9037">
        <v>2743</v>
      </c>
      <c r="F9037" s="11">
        <v>0</v>
      </c>
    </row>
    <row r="9038" spans="1:6" x14ac:dyDescent="0.35">
      <c r="A9038" t="s">
        <v>2857</v>
      </c>
      <c r="B9038" t="s">
        <v>2870</v>
      </c>
      <c r="C9038" t="s">
        <v>1366</v>
      </c>
      <c r="D9038" t="s">
        <v>2881</v>
      </c>
      <c r="E9038">
        <v>464</v>
      </c>
      <c r="F9038" s="11">
        <v>1</v>
      </c>
    </row>
    <row r="9039" spans="1:6" x14ac:dyDescent="0.35">
      <c r="A9039" t="s">
        <v>2857</v>
      </c>
      <c r="B9039" t="s">
        <v>2870</v>
      </c>
      <c r="C9039" t="s">
        <v>1366</v>
      </c>
      <c r="D9039" t="s">
        <v>2882</v>
      </c>
      <c r="E9039">
        <v>2184</v>
      </c>
      <c r="F9039" s="11">
        <v>0</v>
      </c>
    </row>
    <row r="9040" spans="1:6" x14ac:dyDescent="0.35">
      <c r="A9040" t="s">
        <v>2857</v>
      </c>
      <c r="B9040" t="s">
        <v>2870</v>
      </c>
      <c r="C9040" t="s">
        <v>1366</v>
      </c>
      <c r="D9040" t="s">
        <v>2883</v>
      </c>
      <c r="E9040">
        <v>0</v>
      </c>
      <c r="F9040" s="11">
        <v>0</v>
      </c>
    </row>
    <row r="9041" spans="1:6" x14ac:dyDescent="0.35">
      <c r="A9041" t="s">
        <v>2857</v>
      </c>
      <c r="B9041" t="s">
        <v>2870</v>
      </c>
      <c r="C9041" t="s">
        <v>1366</v>
      </c>
      <c r="D9041" t="s">
        <v>2884</v>
      </c>
      <c r="E9041">
        <v>0</v>
      </c>
      <c r="F9041" s="11">
        <v>0</v>
      </c>
    </row>
    <row r="9042" spans="1:6" x14ac:dyDescent="0.35">
      <c r="A9042" t="s">
        <v>2857</v>
      </c>
      <c r="B9042" t="s">
        <v>2870</v>
      </c>
      <c r="C9042" t="s">
        <v>1366</v>
      </c>
      <c r="D9042" t="s">
        <v>2885</v>
      </c>
      <c r="E9042">
        <v>0</v>
      </c>
      <c r="F9042" s="11">
        <v>0</v>
      </c>
    </row>
    <row r="9043" spans="1:6" x14ac:dyDescent="0.35">
      <c r="A9043" t="s">
        <v>2857</v>
      </c>
      <c r="B9043" t="s">
        <v>2870</v>
      </c>
      <c r="C9043" t="s">
        <v>1366</v>
      </c>
      <c r="D9043" t="s">
        <v>2886</v>
      </c>
      <c r="E9043">
        <v>0</v>
      </c>
      <c r="F9043" s="11">
        <v>0</v>
      </c>
    </row>
    <row r="9044" spans="1:6" x14ac:dyDescent="0.35">
      <c r="A9044" t="s">
        <v>2857</v>
      </c>
      <c r="B9044" t="s">
        <v>2870</v>
      </c>
      <c r="C9044" t="s">
        <v>1366</v>
      </c>
      <c r="D9044" t="s">
        <v>2887</v>
      </c>
      <c r="E9044">
        <v>105698</v>
      </c>
      <c r="F9044" s="11">
        <v>1</v>
      </c>
    </row>
    <row r="9045" spans="1:6" x14ac:dyDescent="0.35">
      <c r="A9045" t="s">
        <v>2857</v>
      </c>
      <c r="B9045" t="s">
        <v>2870</v>
      </c>
      <c r="C9045" t="s">
        <v>1366</v>
      </c>
      <c r="D9045" t="s">
        <v>2888</v>
      </c>
      <c r="E9045">
        <v>62198</v>
      </c>
      <c r="F9045" s="11">
        <v>1</v>
      </c>
    </row>
    <row r="9046" spans="1:6" x14ac:dyDescent="0.35">
      <c r="A9046" t="s">
        <v>2857</v>
      </c>
      <c r="B9046" t="s">
        <v>2870</v>
      </c>
      <c r="C9046" t="s">
        <v>1366</v>
      </c>
      <c r="D9046" t="s">
        <v>2889</v>
      </c>
      <c r="E9046">
        <v>5346</v>
      </c>
      <c r="F9046" s="11">
        <v>1</v>
      </c>
    </row>
    <row r="9047" spans="1:6" x14ac:dyDescent="0.35">
      <c r="A9047" t="s">
        <v>2857</v>
      </c>
      <c r="B9047" t="s">
        <v>2870</v>
      </c>
      <c r="C9047" t="s">
        <v>1366</v>
      </c>
      <c r="D9047" t="s">
        <v>2890</v>
      </c>
      <c r="E9047">
        <v>38154</v>
      </c>
      <c r="F9047" s="11">
        <v>0</v>
      </c>
    </row>
    <row r="9048" spans="1:6" x14ac:dyDescent="0.35">
      <c r="A9048" t="s">
        <v>2857</v>
      </c>
      <c r="B9048" t="s">
        <v>2870</v>
      </c>
      <c r="C9048" t="s">
        <v>1366</v>
      </c>
      <c r="D9048" t="s">
        <v>2891</v>
      </c>
      <c r="E9048">
        <v>0</v>
      </c>
      <c r="F9048" s="11">
        <v>0</v>
      </c>
    </row>
    <row r="9049" spans="1:6" x14ac:dyDescent="0.35">
      <c r="A9049" t="s">
        <v>2857</v>
      </c>
      <c r="B9049" t="s">
        <v>2870</v>
      </c>
      <c r="C9049" t="s">
        <v>1366</v>
      </c>
      <c r="D9049" t="s">
        <v>2892</v>
      </c>
      <c r="E9049">
        <v>0</v>
      </c>
      <c r="F9049" s="11">
        <v>0</v>
      </c>
    </row>
    <row r="9050" spans="1:6" x14ac:dyDescent="0.35">
      <c r="A9050" t="s">
        <v>2857</v>
      </c>
      <c r="B9050" t="s">
        <v>2870</v>
      </c>
      <c r="C9050" t="s">
        <v>1366</v>
      </c>
      <c r="D9050" t="s">
        <v>2893</v>
      </c>
      <c r="E9050">
        <v>0</v>
      </c>
      <c r="F9050" s="11">
        <v>0</v>
      </c>
    </row>
    <row r="9051" spans="1:6" x14ac:dyDescent="0.35">
      <c r="A9051" t="s">
        <v>2857</v>
      </c>
      <c r="B9051" t="s">
        <v>2870</v>
      </c>
      <c r="C9051" t="s">
        <v>1366</v>
      </c>
      <c r="D9051" t="s">
        <v>2894</v>
      </c>
      <c r="E9051">
        <v>0</v>
      </c>
      <c r="F9051" s="11">
        <v>0</v>
      </c>
    </row>
    <row r="9052" spans="1:6" x14ac:dyDescent="0.35">
      <c r="A9052" t="s">
        <v>2857</v>
      </c>
      <c r="B9052" t="s">
        <v>2870</v>
      </c>
      <c r="C9052" t="s">
        <v>1366</v>
      </c>
      <c r="D9052" t="s">
        <v>2895</v>
      </c>
      <c r="E9052">
        <v>341586</v>
      </c>
      <c r="F9052" s="11">
        <v>1</v>
      </c>
    </row>
    <row r="9053" spans="1:6" x14ac:dyDescent="0.35">
      <c r="A9053" t="s">
        <v>2857</v>
      </c>
      <c r="B9053" t="s">
        <v>2870</v>
      </c>
      <c r="C9053" t="s">
        <v>1366</v>
      </c>
      <c r="D9053" t="s">
        <v>2896</v>
      </c>
      <c r="E9053">
        <v>162662</v>
      </c>
      <c r="F9053" s="11">
        <v>1</v>
      </c>
    </row>
    <row r="9054" spans="1:6" x14ac:dyDescent="0.35">
      <c r="A9054" t="s">
        <v>2857</v>
      </c>
      <c r="B9054" t="s">
        <v>2870</v>
      </c>
      <c r="C9054" t="s">
        <v>1366</v>
      </c>
      <c r="D9054" t="s">
        <v>2897</v>
      </c>
      <c r="E9054">
        <v>8975</v>
      </c>
      <c r="F9054" s="11">
        <v>1</v>
      </c>
    </row>
    <row r="9055" spans="1:6" x14ac:dyDescent="0.35">
      <c r="A9055" t="s">
        <v>2857</v>
      </c>
      <c r="B9055" t="s">
        <v>2870</v>
      </c>
      <c r="C9055" t="s">
        <v>1366</v>
      </c>
      <c r="D9055" t="s">
        <v>2898</v>
      </c>
      <c r="E9055">
        <v>172565</v>
      </c>
      <c r="F9055" s="11">
        <v>1</v>
      </c>
    </row>
    <row r="9056" spans="1:6" x14ac:dyDescent="0.35">
      <c r="A9056" t="s">
        <v>2857</v>
      </c>
      <c r="B9056" t="s">
        <v>2870</v>
      </c>
      <c r="C9056" t="s">
        <v>1366</v>
      </c>
      <c r="D9056" t="s">
        <v>2899</v>
      </c>
      <c r="E9056">
        <v>2956</v>
      </c>
      <c r="F9056" s="11">
        <v>1</v>
      </c>
    </row>
    <row r="9057" spans="1:6" x14ac:dyDescent="0.35">
      <c r="A9057" t="s">
        <v>2857</v>
      </c>
      <c r="B9057" t="s">
        <v>2870</v>
      </c>
      <c r="C9057" t="s">
        <v>1366</v>
      </c>
      <c r="D9057" t="s">
        <v>2900</v>
      </c>
      <c r="E9057">
        <v>79</v>
      </c>
      <c r="F9057" s="11">
        <v>1</v>
      </c>
    </row>
    <row r="9058" spans="1:6" x14ac:dyDescent="0.35">
      <c r="A9058" t="s">
        <v>2857</v>
      </c>
      <c r="B9058" t="s">
        <v>2870</v>
      </c>
      <c r="C9058" t="s">
        <v>1366</v>
      </c>
      <c r="D9058" t="s">
        <v>2901</v>
      </c>
      <c r="E9058">
        <v>4</v>
      </c>
      <c r="F9058" s="11">
        <v>1</v>
      </c>
    </row>
    <row r="9059" spans="1:6" x14ac:dyDescent="0.35">
      <c r="A9059" t="s">
        <v>2857</v>
      </c>
      <c r="B9059" t="s">
        <v>2870</v>
      </c>
      <c r="C9059" t="s">
        <v>1366</v>
      </c>
      <c r="D9059" t="s">
        <v>2902</v>
      </c>
      <c r="E9059">
        <v>3073</v>
      </c>
      <c r="F9059" s="11">
        <v>0</v>
      </c>
    </row>
    <row r="9060" spans="1:6" x14ac:dyDescent="0.35">
      <c r="A9060" t="s">
        <v>2857</v>
      </c>
      <c r="B9060" t="s">
        <v>2870</v>
      </c>
      <c r="C9060" t="s">
        <v>1366</v>
      </c>
      <c r="D9060" t="s">
        <v>2903</v>
      </c>
      <c r="E9060">
        <v>52141</v>
      </c>
      <c r="F9060" s="11">
        <v>1</v>
      </c>
    </row>
    <row r="9061" spans="1:6" x14ac:dyDescent="0.35">
      <c r="A9061" t="s">
        <v>2857</v>
      </c>
      <c r="B9061" t="s">
        <v>2870</v>
      </c>
      <c r="C9061" t="s">
        <v>1366</v>
      </c>
      <c r="D9061" t="s">
        <v>2904</v>
      </c>
      <c r="E9061">
        <v>0</v>
      </c>
      <c r="F9061" s="11">
        <v>1</v>
      </c>
    </row>
    <row r="9062" spans="1:6" x14ac:dyDescent="0.35">
      <c r="A9062" t="s">
        <v>2857</v>
      </c>
      <c r="B9062" t="s">
        <v>2870</v>
      </c>
      <c r="C9062" t="s">
        <v>1366</v>
      </c>
      <c r="D9062" t="s">
        <v>2905</v>
      </c>
      <c r="E9062">
        <v>0</v>
      </c>
      <c r="F9062" s="11">
        <v>1</v>
      </c>
    </row>
    <row r="9063" spans="1:6" x14ac:dyDescent="0.35">
      <c r="A9063" t="s">
        <v>2857</v>
      </c>
      <c r="B9063" t="s">
        <v>2870</v>
      </c>
      <c r="C9063" t="s">
        <v>1366</v>
      </c>
      <c r="D9063" t="s">
        <v>2906</v>
      </c>
      <c r="E9063">
        <v>0</v>
      </c>
      <c r="F9063" s="11">
        <v>1</v>
      </c>
    </row>
    <row r="9064" spans="1:6" x14ac:dyDescent="0.35">
      <c r="A9064" t="s">
        <v>2857</v>
      </c>
      <c r="B9064" t="s">
        <v>2870</v>
      </c>
      <c r="C9064" t="s">
        <v>1366</v>
      </c>
      <c r="D9064" t="s">
        <v>2907</v>
      </c>
      <c r="E9064">
        <v>204449</v>
      </c>
      <c r="F9064" s="11">
        <v>1</v>
      </c>
    </row>
    <row r="9065" spans="1:6" x14ac:dyDescent="0.35">
      <c r="A9065" t="s">
        <v>2857</v>
      </c>
      <c r="B9065" t="s">
        <v>2870</v>
      </c>
      <c r="C9065" t="s">
        <v>1366</v>
      </c>
      <c r="D9065" t="s">
        <v>2908</v>
      </c>
      <c r="E9065">
        <v>0</v>
      </c>
      <c r="F9065" s="11">
        <v>1</v>
      </c>
    </row>
    <row r="9066" spans="1:6" x14ac:dyDescent="0.35">
      <c r="A9066" t="s">
        <v>2857</v>
      </c>
      <c r="B9066" t="s">
        <v>2870</v>
      </c>
      <c r="C9066" t="s">
        <v>1366</v>
      </c>
      <c r="D9066" t="s">
        <v>2909</v>
      </c>
      <c r="E9066">
        <v>0</v>
      </c>
      <c r="F9066" s="11">
        <v>1</v>
      </c>
    </row>
    <row r="9067" spans="1:6" x14ac:dyDescent="0.35">
      <c r="A9067" t="s">
        <v>2857</v>
      </c>
      <c r="B9067" t="s">
        <v>2870</v>
      </c>
      <c r="C9067" t="s">
        <v>1366</v>
      </c>
      <c r="D9067" t="s">
        <v>2910</v>
      </c>
      <c r="E9067">
        <v>0</v>
      </c>
      <c r="F9067" s="11">
        <v>1</v>
      </c>
    </row>
    <row r="9068" spans="1:6" x14ac:dyDescent="0.35">
      <c r="A9068" t="s">
        <v>2857</v>
      </c>
      <c r="B9068" t="s">
        <v>2870</v>
      </c>
      <c r="C9068" t="s">
        <v>1366</v>
      </c>
      <c r="D9068" t="s">
        <v>2911</v>
      </c>
      <c r="E9068">
        <v>459559</v>
      </c>
      <c r="F9068" s="11">
        <v>1</v>
      </c>
    </row>
    <row r="9069" spans="1:6" x14ac:dyDescent="0.35">
      <c r="A9069" t="s">
        <v>2857</v>
      </c>
      <c r="B9069" t="s">
        <v>2870</v>
      </c>
      <c r="C9069" t="s">
        <v>1366</v>
      </c>
      <c r="D9069" t="s">
        <v>2912</v>
      </c>
      <c r="E9069">
        <v>604063</v>
      </c>
      <c r="F9069" s="11">
        <v>1</v>
      </c>
    </row>
    <row r="9070" spans="1:6" x14ac:dyDescent="0.35">
      <c r="A9070" t="s">
        <v>2857</v>
      </c>
      <c r="B9070" t="s">
        <v>2870</v>
      </c>
      <c r="C9070" t="s">
        <v>1366</v>
      </c>
      <c r="D9070" t="s">
        <v>2913</v>
      </c>
      <c r="E9070">
        <v>0</v>
      </c>
      <c r="F9070" s="11">
        <v>0</v>
      </c>
    </row>
    <row r="9071" spans="1:6" x14ac:dyDescent="0.35">
      <c r="A9071" t="s">
        <v>2857</v>
      </c>
      <c r="B9071" t="s">
        <v>2870</v>
      </c>
      <c r="C9071" t="s">
        <v>1366</v>
      </c>
      <c r="D9071" t="s">
        <v>2914</v>
      </c>
      <c r="E9071">
        <v>0</v>
      </c>
      <c r="F9071" s="11">
        <v>0</v>
      </c>
    </row>
    <row r="9072" spans="1:6" x14ac:dyDescent="0.35">
      <c r="A9072" t="s">
        <v>2857</v>
      </c>
      <c r="B9072" t="s">
        <v>2870</v>
      </c>
      <c r="C9072" t="s">
        <v>1366</v>
      </c>
      <c r="D9072" t="s">
        <v>2915</v>
      </c>
      <c r="E9072">
        <v>119</v>
      </c>
      <c r="F9072" s="11">
        <v>1</v>
      </c>
    </row>
    <row r="9073" spans="1:6" x14ac:dyDescent="0.35">
      <c r="A9073" t="s">
        <v>2857</v>
      </c>
      <c r="B9073" t="s">
        <v>2870</v>
      </c>
      <c r="C9073" t="s">
        <v>1366</v>
      </c>
      <c r="D9073" t="s">
        <v>2916</v>
      </c>
      <c r="E9073">
        <v>22667</v>
      </c>
      <c r="F9073" s="11">
        <v>1</v>
      </c>
    </row>
    <row r="9074" spans="1:6" x14ac:dyDescent="0.35">
      <c r="A9074" t="s">
        <v>2857</v>
      </c>
      <c r="B9074" t="s">
        <v>2870</v>
      </c>
      <c r="C9074" t="s">
        <v>1366</v>
      </c>
      <c r="D9074" t="s">
        <v>2917</v>
      </c>
      <c r="E9074">
        <v>92816</v>
      </c>
      <c r="F9074" s="11">
        <v>1</v>
      </c>
    </row>
    <row r="9075" spans="1:6" x14ac:dyDescent="0.35">
      <c r="A9075" t="s">
        <v>2857</v>
      </c>
      <c r="B9075" t="s">
        <v>2862</v>
      </c>
      <c r="C9075" t="s">
        <v>1512</v>
      </c>
      <c r="D9075" t="s">
        <v>2875</v>
      </c>
      <c r="E9075">
        <v>131354</v>
      </c>
      <c r="F9075" s="11">
        <v>1</v>
      </c>
    </row>
    <row r="9076" spans="1:6" x14ac:dyDescent="0.35">
      <c r="A9076" t="s">
        <v>2857</v>
      </c>
      <c r="B9076" t="s">
        <v>2862</v>
      </c>
      <c r="C9076" t="s">
        <v>1512</v>
      </c>
      <c r="D9076" t="s">
        <v>2876</v>
      </c>
      <c r="E9076">
        <v>39092</v>
      </c>
      <c r="F9076" s="11">
        <v>1</v>
      </c>
    </row>
    <row r="9077" spans="1:6" x14ac:dyDescent="0.35">
      <c r="A9077" t="s">
        <v>2857</v>
      </c>
      <c r="B9077" t="s">
        <v>2862</v>
      </c>
      <c r="C9077" t="s">
        <v>1512</v>
      </c>
      <c r="D9077" t="s">
        <v>2877</v>
      </c>
      <c r="E9077">
        <v>5783</v>
      </c>
      <c r="F9077" s="11">
        <v>1</v>
      </c>
    </row>
    <row r="9078" spans="1:6" x14ac:dyDescent="0.35">
      <c r="A9078" t="s">
        <v>2857</v>
      </c>
      <c r="B9078" t="s">
        <v>2862</v>
      </c>
      <c r="C9078" t="s">
        <v>1512</v>
      </c>
      <c r="D9078" t="s">
        <v>2878</v>
      </c>
      <c r="E9078">
        <v>86479</v>
      </c>
      <c r="F9078" s="11">
        <v>1</v>
      </c>
    </row>
    <row r="9079" spans="1:6" x14ac:dyDescent="0.35">
      <c r="A9079" t="s">
        <v>2857</v>
      </c>
      <c r="B9079" t="s">
        <v>2862</v>
      </c>
      <c r="C9079" t="s">
        <v>1512</v>
      </c>
      <c r="D9079" t="s">
        <v>2879</v>
      </c>
      <c r="E9079">
        <v>9889</v>
      </c>
      <c r="F9079" s="11">
        <v>1</v>
      </c>
    </row>
    <row r="9080" spans="1:6" x14ac:dyDescent="0.35">
      <c r="A9080" t="s">
        <v>2857</v>
      </c>
      <c r="B9080" t="s">
        <v>2862</v>
      </c>
      <c r="C9080" t="s">
        <v>1512</v>
      </c>
      <c r="D9080" t="s">
        <v>2880</v>
      </c>
      <c r="E9080">
        <v>6188</v>
      </c>
      <c r="F9080" s="11">
        <v>1</v>
      </c>
    </row>
    <row r="9081" spans="1:6" x14ac:dyDescent="0.35">
      <c r="A9081" t="s">
        <v>2857</v>
      </c>
      <c r="B9081" t="s">
        <v>2862</v>
      </c>
      <c r="C9081" t="s">
        <v>1512</v>
      </c>
      <c r="D9081" t="s">
        <v>2881</v>
      </c>
      <c r="E9081">
        <v>0</v>
      </c>
      <c r="F9081" s="11">
        <v>1</v>
      </c>
    </row>
    <row r="9082" spans="1:6" x14ac:dyDescent="0.35">
      <c r="A9082" t="s">
        <v>2857</v>
      </c>
      <c r="B9082" t="s">
        <v>2862</v>
      </c>
      <c r="C9082" t="s">
        <v>1512</v>
      </c>
      <c r="D9082" t="s">
        <v>2882</v>
      </c>
      <c r="E9082">
        <v>3701</v>
      </c>
      <c r="F9082" s="11">
        <v>1</v>
      </c>
    </row>
    <row r="9083" spans="1:6" x14ac:dyDescent="0.35">
      <c r="A9083" t="s">
        <v>2857</v>
      </c>
      <c r="B9083" t="s">
        <v>2862</v>
      </c>
      <c r="C9083" t="s">
        <v>1512</v>
      </c>
      <c r="D9083" t="s">
        <v>2883</v>
      </c>
      <c r="E9083">
        <v>1</v>
      </c>
      <c r="F9083" s="11">
        <v>1</v>
      </c>
    </row>
    <row r="9084" spans="1:6" x14ac:dyDescent="0.35">
      <c r="A9084" t="s">
        <v>2857</v>
      </c>
      <c r="B9084" t="s">
        <v>2862</v>
      </c>
      <c r="C9084" t="s">
        <v>1512</v>
      </c>
      <c r="D9084" t="s">
        <v>2884</v>
      </c>
      <c r="E9084">
        <v>0</v>
      </c>
      <c r="F9084" s="11">
        <v>0</v>
      </c>
    </row>
    <row r="9085" spans="1:6" x14ac:dyDescent="0.35">
      <c r="A9085" t="s">
        <v>2857</v>
      </c>
      <c r="B9085" t="s">
        <v>2862</v>
      </c>
      <c r="C9085" t="s">
        <v>1512</v>
      </c>
      <c r="D9085" t="s">
        <v>2885</v>
      </c>
      <c r="E9085">
        <v>0</v>
      </c>
      <c r="F9085" s="11">
        <v>0</v>
      </c>
    </row>
    <row r="9086" spans="1:6" x14ac:dyDescent="0.35">
      <c r="A9086" t="s">
        <v>2857</v>
      </c>
      <c r="B9086" t="s">
        <v>2862</v>
      </c>
      <c r="C9086" t="s">
        <v>1512</v>
      </c>
      <c r="D9086" t="s">
        <v>2886</v>
      </c>
      <c r="E9086">
        <v>1</v>
      </c>
      <c r="F9086" s="11">
        <v>0</v>
      </c>
    </row>
    <row r="9087" spans="1:6" x14ac:dyDescent="0.35">
      <c r="A9087" t="s">
        <v>2857</v>
      </c>
      <c r="B9087" t="s">
        <v>2862</v>
      </c>
      <c r="C9087" t="s">
        <v>1512</v>
      </c>
      <c r="D9087" t="s">
        <v>2887</v>
      </c>
      <c r="E9087">
        <v>224930</v>
      </c>
      <c r="F9087" s="11">
        <v>1</v>
      </c>
    </row>
    <row r="9088" spans="1:6" x14ac:dyDescent="0.35">
      <c r="A9088" t="s">
        <v>2857</v>
      </c>
      <c r="B9088" t="s">
        <v>2862</v>
      </c>
      <c r="C9088" t="s">
        <v>1512</v>
      </c>
      <c r="D9088" t="s">
        <v>2888</v>
      </c>
      <c r="E9088">
        <v>125606</v>
      </c>
      <c r="F9088" s="11">
        <v>1</v>
      </c>
    </row>
    <row r="9089" spans="1:6" x14ac:dyDescent="0.35">
      <c r="A9089" t="s">
        <v>2857</v>
      </c>
      <c r="B9089" t="s">
        <v>2862</v>
      </c>
      <c r="C9089" t="s">
        <v>1512</v>
      </c>
      <c r="D9089" t="s">
        <v>2889</v>
      </c>
      <c r="E9089">
        <v>0</v>
      </c>
      <c r="F9089" s="11">
        <v>1</v>
      </c>
    </row>
    <row r="9090" spans="1:6" x14ac:dyDescent="0.35">
      <c r="A9090" t="s">
        <v>2857</v>
      </c>
      <c r="B9090" t="s">
        <v>2862</v>
      </c>
      <c r="C9090" t="s">
        <v>1512</v>
      </c>
      <c r="D9090" t="s">
        <v>2890</v>
      </c>
      <c r="E9090">
        <v>99324</v>
      </c>
      <c r="F9090" s="11">
        <v>0</v>
      </c>
    </row>
    <row r="9091" spans="1:6" x14ac:dyDescent="0.35">
      <c r="A9091" t="s">
        <v>2857</v>
      </c>
      <c r="B9091" t="s">
        <v>2862</v>
      </c>
      <c r="C9091" t="s">
        <v>1512</v>
      </c>
      <c r="D9091" t="s">
        <v>2891</v>
      </c>
      <c r="E9091">
        <v>3</v>
      </c>
      <c r="F9091" s="11">
        <v>1</v>
      </c>
    </row>
    <row r="9092" spans="1:6" x14ac:dyDescent="0.35">
      <c r="A9092" t="s">
        <v>2857</v>
      </c>
      <c r="B9092" t="s">
        <v>2862</v>
      </c>
      <c r="C9092" t="s">
        <v>1512</v>
      </c>
      <c r="D9092" t="s">
        <v>2892</v>
      </c>
      <c r="E9092">
        <v>0</v>
      </c>
      <c r="F9092" s="11">
        <v>1</v>
      </c>
    </row>
    <row r="9093" spans="1:6" x14ac:dyDescent="0.35">
      <c r="A9093" t="s">
        <v>2857</v>
      </c>
      <c r="B9093" t="s">
        <v>2862</v>
      </c>
      <c r="C9093" t="s">
        <v>1512</v>
      </c>
      <c r="D9093" t="s">
        <v>2893</v>
      </c>
      <c r="E9093">
        <v>0</v>
      </c>
      <c r="F9093" s="11">
        <v>0</v>
      </c>
    </row>
    <row r="9094" spans="1:6" x14ac:dyDescent="0.35">
      <c r="A9094" t="s">
        <v>2857</v>
      </c>
      <c r="B9094" t="s">
        <v>2862</v>
      </c>
      <c r="C9094" t="s">
        <v>1512</v>
      </c>
      <c r="D9094" t="s">
        <v>2894</v>
      </c>
      <c r="E9094">
        <v>3</v>
      </c>
      <c r="F9094" s="11">
        <v>0</v>
      </c>
    </row>
    <row r="9095" spans="1:6" x14ac:dyDescent="0.35">
      <c r="A9095" t="s">
        <v>2857</v>
      </c>
      <c r="B9095" t="s">
        <v>2862</v>
      </c>
      <c r="C9095" t="s">
        <v>1512</v>
      </c>
      <c r="D9095" t="s">
        <v>2895</v>
      </c>
      <c r="E9095">
        <v>2788930</v>
      </c>
      <c r="F9095" s="11">
        <v>1</v>
      </c>
    </row>
    <row r="9096" spans="1:6" x14ac:dyDescent="0.35">
      <c r="A9096" t="s">
        <v>2857</v>
      </c>
      <c r="B9096" t="s">
        <v>2862</v>
      </c>
      <c r="C9096" t="s">
        <v>1512</v>
      </c>
      <c r="D9096" t="s">
        <v>2896</v>
      </c>
      <c r="E9096">
        <v>1259679</v>
      </c>
      <c r="F9096" s="11">
        <v>1</v>
      </c>
    </row>
    <row r="9097" spans="1:6" x14ac:dyDescent="0.35">
      <c r="A9097" t="s">
        <v>2857</v>
      </c>
      <c r="B9097" t="s">
        <v>2862</v>
      </c>
      <c r="C9097" t="s">
        <v>1512</v>
      </c>
      <c r="D9097" t="s">
        <v>2897</v>
      </c>
      <c r="E9097">
        <v>0</v>
      </c>
      <c r="F9097" s="11">
        <v>1</v>
      </c>
    </row>
    <row r="9098" spans="1:6" x14ac:dyDescent="0.35">
      <c r="A9098" t="s">
        <v>2857</v>
      </c>
      <c r="B9098" t="s">
        <v>2862</v>
      </c>
      <c r="C9098" t="s">
        <v>1512</v>
      </c>
      <c r="D9098" t="s">
        <v>2898</v>
      </c>
      <c r="E9098">
        <v>1529251</v>
      </c>
      <c r="F9098" s="11">
        <v>0</v>
      </c>
    </row>
    <row r="9099" spans="1:6" x14ac:dyDescent="0.35">
      <c r="A9099" t="s">
        <v>2857</v>
      </c>
      <c r="B9099" t="s">
        <v>2862</v>
      </c>
      <c r="C9099" t="s">
        <v>1512</v>
      </c>
      <c r="D9099" t="s">
        <v>2899</v>
      </c>
      <c r="E9099">
        <v>45061</v>
      </c>
      <c r="F9099" s="11">
        <v>1</v>
      </c>
    </row>
    <row r="9100" spans="1:6" x14ac:dyDescent="0.35">
      <c r="A9100" t="s">
        <v>2857</v>
      </c>
      <c r="B9100" t="s">
        <v>2862</v>
      </c>
      <c r="C9100" t="s">
        <v>1512</v>
      </c>
      <c r="D9100" t="s">
        <v>2900</v>
      </c>
      <c r="E9100">
        <v>12297</v>
      </c>
      <c r="F9100" s="11">
        <v>1</v>
      </c>
    </row>
    <row r="9101" spans="1:6" x14ac:dyDescent="0.35">
      <c r="A9101" t="s">
        <v>2857</v>
      </c>
      <c r="B9101" t="s">
        <v>2862</v>
      </c>
      <c r="C9101" t="s">
        <v>1512</v>
      </c>
      <c r="D9101" t="s">
        <v>2901</v>
      </c>
      <c r="E9101">
        <v>0</v>
      </c>
      <c r="F9101" s="11">
        <v>1</v>
      </c>
    </row>
    <row r="9102" spans="1:6" x14ac:dyDescent="0.35">
      <c r="A9102" t="s">
        <v>2857</v>
      </c>
      <c r="B9102" t="s">
        <v>2862</v>
      </c>
      <c r="C9102" t="s">
        <v>1512</v>
      </c>
      <c r="D9102" t="s">
        <v>2902</v>
      </c>
      <c r="E9102">
        <v>32764</v>
      </c>
      <c r="F9102" s="11">
        <v>0</v>
      </c>
    </row>
    <row r="9103" spans="1:6" x14ac:dyDescent="0.35">
      <c r="A9103" t="s">
        <v>2857</v>
      </c>
      <c r="B9103" t="s">
        <v>2862</v>
      </c>
      <c r="C9103" t="s">
        <v>1512</v>
      </c>
      <c r="D9103" t="s">
        <v>2903</v>
      </c>
      <c r="E9103">
        <v>127049</v>
      </c>
      <c r="F9103" s="11">
        <v>1</v>
      </c>
    </row>
    <row r="9104" spans="1:6" x14ac:dyDescent="0.35">
      <c r="A9104" t="s">
        <v>2857</v>
      </c>
      <c r="B9104" t="s">
        <v>2862</v>
      </c>
      <c r="C9104" t="s">
        <v>1512</v>
      </c>
      <c r="D9104" t="s">
        <v>2904</v>
      </c>
      <c r="E9104">
        <v>9080</v>
      </c>
      <c r="F9104" s="11">
        <v>1</v>
      </c>
    </row>
    <row r="9105" spans="1:6" x14ac:dyDescent="0.35">
      <c r="A9105" t="s">
        <v>2857</v>
      </c>
      <c r="B9105" t="s">
        <v>2862</v>
      </c>
      <c r="C9105" t="s">
        <v>1512</v>
      </c>
      <c r="D9105" t="s">
        <v>2905</v>
      </c>
      <c r="E9105">
        <v>6247</v>
      </c>
      <c r="F9105" s="11">
        <v>1</v>
      </c>
    </row>
    <row r="9106" spans="1:6" x14ac:dyDescent="0.35">
      <c r="A9106" t="s">
        <v>2857</v>
      </c>
      <c r="B9106" t="s">
        <v>2862</v>
      </c>
      <c r="C9106" t="s">
        <v>1512</v>
      </c>
      <c r="D9106" t="s">
        <v>2906</v>
      </c>
      <c r="E9106">
        <v>111722</v>
      </c>
      <c r="F9106" s="11">
        <v>1</v>
      </c>
    </row>
    <row r="9107" spans="1:6" x14ac:dyDescent="0.35">
      <c r="A9107" t="s">
        <v>2857</v>
      </c>
      <c r="B9107" t="s">
        <v>2862</v>
      </c>
      <c r="C9107" t="s">
        <v>1512</v>
      </c>
      <c r="D9107" t="s">
        <v>2907</v>
      </c>
      <c r="E9107">
        <v>234429</v>
      </c>
      <c r="F9107" s="11">
        <v>1</v>
      </c>
    </row>
    <row r="9108" spans="1:6" x14ac:dyDescent="0.35">
      <c r="A9108" t="s">
        <v>2857</v>
      </c>
      <c r="B9108" t="s">
        <v>2862</v>
      </c>
      <c r="C9108" t="s">
        <v>1512</v>
      </c>
      <c r="D9108" t="s">
        <v>2908</v>
      </c>
      <c r="E9108">
        <v>28410</v>
      </c>
      <c r="F9108" s="11">
        <v>1</v>
      </c>
    </row>
    <row r="9109" spans="1:6" x14ac:dyDescent="0.35">
      <c r="A9109" t="s">
        <v>2857</v>
      </c>
      <c r="B9109" t="s">
        <v>2862</v>
      </c>
      <c r="C9109" t="s">
        <v>1512</v>
      </c>
      <c r="D9109" t="s">
        <v>2909</v>
      </c>
      <c r="E9109">
        <v>14880</v>
      </c>
      <c r="F9109" s="11">
        <v>1</v>
      </c>
    </row>
    <row r="9110" spans="1:6" x14ac:dyDescent="0.35">
      <c r="A9110" t="s">
        <v>2857</v>
      </c>
      <c r="B9110" t="s">
        <v>2862</v>
      </c>
      <c r="C9110" t="s">
        <v>1512</v>
      </c>
      <c r="D9110" t="s">
        <v>2910</v>
      </c>
      <c r="E9110">
        <v>191144</v>
      </c>
      <c r="F9110" s="11">
        <v>1</v>
      </c>
    </row>
    <row r="9111" spans="1:6" x14ac:dyDescent="0.35">
      <c r="A9111" t="s">
        <v>2857</v>
      </c>
      <c r="B9111" t="s">
        <v>2862</v>
      </c>
      <c r="C9111" t="s">
        <v>1512</v>
      </c>
      <c r="D9111" t="s">
        <v>2911</v>
      </c>
      <c r="E9111">
        <v>1990501</v>
      </c>
      <c r="F9111" s="11">
        <v>1</v>
      </c>
    </row>
    <row r="9112" spans="1:6" x14ac:dyDescent="0.35">
      <c r="A9112" t="s">
        <v>2857</v>
      </c>
      <c r="B9112" t="s">
        <v>2862</v>
      </c>
      <c r="C9112" t="s">
        <v>1512</v>
      </c>
      <c r="D9112" t="s">
        <v>2912</v>
      </c>
      <c r="E9112">
        <v>140979</v>
      </c>
      <c r="F9112" s="11">
        <v>1</v>
      </c>
    </row>
    <row r="9113" spans="1:6" x14ac:dyDescent="0.35">
      <c r="A9113" t="s">
        <v>2857</v>
      </c>
      <c r="B9113" t="s">
        <v>2862</v>
      </c>
      <c r="C9113" t="s">
        <v>1512</v>
      </c>
      <c r="D9113" t="s">
        <v>2913</v>
      </c>
      <c r="E9113">
        <v>0</v>
      </c>
      <c r="F9113" s="11">
        <v>0</v>
      </c>
    </row>
    <row r="9114" spans="1:6" x14ac:dyDescent="0.35">
      <c r="A9114" t="s">
        <v>2857</v>
      </c>
      <c r="B9114" t="s">
        <v>2862</v>
      </c>
      <c r="C9114" t="s">
        <v>1512</v>
      </c>
      <c r="D9114" t="s">
        <v>2914</v>
      </c>
      <c r="E9114">
        <v>0</v>
      </c>
      <c r="F9114" s="11">
        <v>0</v>
      </c>
    </row>
    <row r="9115" spans="1:6" x14ac:dyDescent="0.35">
      <c r="A9115" t="s">
        <v>2857</v>
      </c>
      <c r="B9115" t="s">
        <v>2862</v>
      </c>
      <c r="C9115" t="s">
        <v>1512</v>
      </c>
      <c r="D9115" t="s">
        <v>2915</v>
      </c>
      <c r="E9115">
        <v>0</v>
      </c>
      <c r="F9115" s="11">
        <v>0</v>
      </c>
    </row>
    <row r="9116" spans="1:6" x14ac:dyDescent="0.35">
      <c r="A9116" t="s">
        <v>2857</v>
      </c>
      <c r="B9116" t="s">
        <v>2862</v>
      </c>
      <c r="C9116" t="s">
        <v>1512</v>
      </c>
      <c r="D9116" t="s">
        <v>2916</v>
      </c>
      <c r="E9116">
        <v>123851</v>
      </c>
      <c r="F9116" s="11">
        <v>1</v>
      </c>
    </row>
    <row r="9117" spans="1:6" x14ac:dyDescent="0.35">
      <c r="A9117" t="s">
        <v>2857</v>
      </c>
      <c r="B9117" t="s">
        <v>2862</v>
      </c>
      <c r="C9117" t="s">
        <v>1512</v>
      </c>
      <c r="D9117" t="s">
        <v>2917</v>
      </c>
      <c r="E9117">
        <v>0</v>
      </c>
      <c r="F9117" s="11">
        <v>0</v>
      </c>
    </row>
    <row r="9118" spans="1:6" x14ac:dyDescent="0.35">
      <c r="A9118" t="s">
        <v>2857</v>
      </c>
      <c r="B9118" t="s">
        <v>2866</v>
      </c>
      <c r="C9118" t="s">
        <v>1546</v>
      </c>
      <c r="D9118" t="s">
        <v>2875</v>
      </c>
      <c r="E9118">
        <v>36551</v>
      </c>
      <c r="F9118" s="11">
        <v>0</v>
      </c>
    </row>
    <row r="9119" spans="1:6" x14ac:dyDescent="0.35">
      <c r="A9119" t="s">
        <v>2857</v>
      </c>
      <c r="B9119" t="s">
        <v>2866</v>
      </c>
      <c r="C9119" t="s">
        <v>1546</v>
      </c>
      <c r="D9119" t="s">
        <v>2876</v>
      </c>
      <c r="E9119">
        <v>4472</v>
      </c>
      <c r="F9119" s="11">
        <v>0</v>
      </c>
    </row>
    <row r="9120" spans="1:6" x14ac:dyDescent="0.35">
      <c r="A9120" t="s">
        <v>2857</v>
      </c>
      <c r="B9120" t="s">
        <v>2866</v>
      </c>
      <c r="C9120" t="s">
        <v>1546</v>
      </c>
      <c r="D9120" t="s">
        <v>2877</v>
      </c>
      <c r="E9120">
        <v>1608</v>
      </c>
      <c r="F9120" s="11">
        <v>0</v>
      </c>
    </row>
    <row r="9121" spans="1:6" x14ac:dyDescent="0.35">
      <c r="A9121" t="s">
        <v>2857</v>
      </c>
      <c r="B9121" t="s">
        <v>2866</v>
      </c>
      <c r="C9121" t="s">
        <v>1546</v>
      </c>
      <c r="D9121" t="s">
        <v>2878</v>
      </c>
      <c r="E9121">
        <v>24639</v>
      </c>
      <c r="F9121" s="11">
        <v>0</v>
      </c>
    </row>
    <row r="9122" spans="1:6" x14ac:dyDescent="0.35">
      <c r="A9122" t="s">
        <v>2857</v>
      </c>
      <c r="B9122" t="s">
        <v>2866</v>
      </c>
      <c r="C9122" t="s">
        <v>1546</v>
      </c>
      <c r="D9122" t="s">
        <v>2879</v>
      </c>
      <c r="E9122">
        <v>5701</v>
      </c>
      <c r="F9122" s="11">
        <v>0</v>
      </c>
    </row>
    <row r="9123" spans="1:6" x14ac:dyDescent="0.35">
      <c r="A9123" t="s">
        <v>2857</v>
      </c>
      <c r="B9123" t="s">
        <v>2866</v>
      </c>
      <c r="C9123" t="s">
        <v>1546</v>
      </c>
      <c r="D9123" t="s">
        <v>2880</v>
      </c>
      <c r="E9123">
        <v>0</v>
      </c>
      <c r="F9123" s="11">
        <v>0</v>
      </c>
    </row>
    <row r="9124" spans="1:6" x14ac:dyDescent="0.35">
      <c r="A9124" t="s">
        <v>2857</v>
      </c>
      <c r="B9124" t="s">
        <v>2866</v>
      </c>
      <c r="C9124" t="s">
        <v>1546</v>
      </c>
      <c r="D9124" t="s">
        <v>2881</v>
      </c>
      <c r="E9124">
        <v>0</v>
      </c>
      <c r="F9124" s="11">
        <v>0</v>
      </c>
    </row>
    <row r="9125" spans="1:6" x14ac:dyDescent="0.35">
      <c r="A9125" t="s">
        <v>2857</v>
      </c>
      <c r="B9125" t="s">
        <v>2866</v>
      </c>
      <c r="C9125" t="s">
        <v>1546</v>
      </c>
      <c r="D9125" t="s">
        <v>2882</v>
      </c>
      <c r="E9125">
        <v>0</v>
      </c>
      <c r="F9125" s="11">
        <v>0</v>
      </c>
    </row>
    <row r="9126" spans="1:6" x14ac:dyDescent="0.35">
      <c r="A9126" t="s">
        <v>2857</v>
      </c>
      <c r="B9126" t="s">
        <v>2866</v>
      </c>
      <c r="C9126" t="s">
        <v>1546</v>
      </c>
      <c r="D9126" t="s">
        <v>2883</v>
      </c>
      <c r="E9126">
        <v>0</v>
      </c>
      <c r="F9126" s="11">
        <v>0</v>
      </c>
    </row>
    <row r="9127" spans="1:6" x14ac:dyDescent="0.35">
      <c r="A9127" t="s">
        <v>2857</v>
      </c>
      <c r="B9127" t="s">
        <v>2866</v>
      </c>
      <c r="C9127" t="s">
        <v>1546</v>
      </c>
      <c r="D9127" t="s">
        <v>2884</v>
      </c>
      <c r="E9127">
        <v>0</v>
      </c>
      <c r="F9127" s="11">
        <v>0</v>
      </c>
    </row>
    <row r="9128" spans="1:6" x14ac:dyDescent="0.35">
      <c r="A9128" t="s">
        <v>2857</v>
      </c>
      <c r="B9128" t="s">
        <v>2866</v>
      </c>
      <c r="C9128" t="s">
        <v>1546</v>
      </c>
      <c r="D9128" t="s">
        <v>2885</v>
      </c>
      <c r="E9128">
        <v>0</v>
      </c>
      <c r="F9128" s="11">
        <v>0</v>
      </c>
    </row>
    <row r="9129" spans="1:6" x14ac:dyDescent="0.35">
      <c r="A9129" t="s">
        <v>2857</v>
      </c>
      <c r="B9129" t="s">
        <v>2866</v>
      </c>
      <c r="C9129" t="s">
        <v>1546</v>
      </c>
      <c r="D9129" t="s">
        <v>2886</v>
      </c>
      <c r="E9129">
        <v>0</v>
      </c>
      <c r="F9129" s="11">
        <v>0</v>
      </c>
    </row>
    <row r="9130" spans="1:6" x14ac:dyDescent="0.35">
      <c r="A9130" t="s">
        <v>2857</v>
      </c>
      <c r="B9130" t="s">
        <v>2866</v>
      </c>
      <c r="C9130" t="s">
        <v>1546</v>
      </c>
      <c r="D9130" t="s">
        <v>2887</v>
      </c>
      <c r="E9130">
        <v>89245</v>
      </c>
      <c r="F9130" s="11">
        <v>0</v>
      </c>
    </row>
    <row r="9131" spans="1:6" x14ac:dyDescent="0.35">
      <c r="A9131" t="s">
        <v>2857</v>
      </c>
      <c r="B9131" t="s">
        <v>2866</v>
      </c>
      <c r="C9131" t="s">
        <v>1546</v>
      </c>
      <c r="D9131" t="s">
        <v>2888</v>
      </c>
      <c r="E9131">
        <v>0</v>
      </c>
      <c r="F9131" s="11">
        <v>0</v>
      </c>
    </row>
    <row r="9132" spans="1:6" x14ac:dyDescent="0.35">
      <c r="A9132" t="s">
        <v>2857</v>
      </c>
      <c r="B9132" t="s">
        <v>2866</v>
      </c>
      <c r="C9132" t="s">
        <v>1546</v>
      </c>
      <c r="D9132" t="s">
        <v>2889</v>
      </c>
      <c r="E9132">
        <v>0</v>
      </c>
      <c r="F9132" s="11">
        <v>0</v>
      </c>
    </row>
    <row r="9133" spans="1:6" x14ac:dyDescent="0.35">
      <c r="A9133" t="s">
        <v>2857</v>
      </c>
      <c r="B9133" t="s">
        <v>2866</v>
      </c>
      <c r="C9133" t="s">
        <v>1546</v>
      </c>
      <c r="D9133" t="s">
        <v>2890</v>
      </c>
      <c r="E9133">
        <v>0</v>
      </c>
      <c r="F9133" s="11">
        <v>0</v>
      </c>
    </row>
    <row r="9134" spans="1:6" x14ac:dyDescent="0.35">
      <c r="A9134" t="s">
        <v>2857</v>
      </c>
      <c r="B9134" t="s">
        <v>2866</v>
      </c>
      <c r="C9134" t="s">
        <v>1546</v>
      </c>
      <c r="D9134" t="s">
        <v>2891</v>
      </c>
      <c r="E9134">
        <v>0</v>
      </c>
      <c r="F9134" s="11">
        <v>0</v>
      </c>
    </row>
    <row r="9135" spans="1:6" x14ac:dyDescent="0.35">
      <c r="A9135" t="s">
        <v>2857</v>
      </c>
      <c r="B9135" t="s">
        <v>2866</v>
      </c>
      <c r="C9135" t="s">
        <v>1546</v>
      </c>
      <c r="D9135" t="s">
        <v>2892</v>
      </c>
      <c r="E9135">
        <v>0</v>
      </c>
      <c r="F9135" s="11">
        <v>0</v>
      </c>
    </row>
    <row r="9136" spans="1:6" x14ac:dyDescent="0.35">
      <c r="A9136" t="s">
        <v>2857</v>
      </c>
      <c r="B9136" t="s">
        <v>2866</v>
      </c>
      <c r="C9136" t="s">
        <v>1546</v>
      </c>
      <c r="D9136" t="s">
        <v>2893</v>
      </c>
      <c r="E9136">
        <v>0</v>
      </c>
      <c r="F9136" s="11">
        <v>0</v>
      </c>
    </row>
    <row r="9137" spans="1:6" x14ac:dyDescent="0.35">
      <c r="A9137" t="s">
        <v>2857</v>
      </c>
      <c r="B9137" t="s">
        <v>2866</v>
      </c>
      <c r="C9137" t="s">
        <v>1546</v>
      </c>
      <c r="D9137" t="s">
        <v>2894</v>
      </c>
      <c r="E9137">
        <v>0</v>
      </c>
      <c r="F9137" s="11">
        <v>0</v>
      </c>
    </row>
    <row r="9138" spans="1:6" x14ac:dyDescent="0.35">
      <c r="A9138" t="s">
        <v>2857</v>
      </c>
      <c r="B9138" t="s">
        <v>2866</v>
      </c>
      <c r="C9138" t="s">
        <v>1546</v>
      </c>
      <c r="D9138" t="s">
        <v>2895</v>
      </c>
      <c r="E9138">
        <v>530462</v>
      </c>
      <c r="F9138" s="11">
        <v>0</v>
      </c>
    </row>
    <row r="9139" spans="1:6" x14ac:dyDescent="0.35">
      <c r="A9139" t="s">
        <v>2857</v>
      </c>
      <c r="B9139" t="s">
        <v>2866</v>
      </c>
      <c r="C9139" t="s">
        <v>1546</v>
      </c>
      <c r="D9139" t="s">
        <v>2896</v>
      </c>
      <c r="E9139">
        <v>203660</v>
      </c>
      <c r="F9139" s="11">
        <v>0</v>
      </c>
    </row>
    <row r="9140" spans="1:6" x14ac:dyDescent="0.35">
      <c r="A9140" t="s">
        <v>2857</v>
      </c>
      <c r="B9140" t="s">
        <v>2866</v>
      </c>
      <c r="C9140" t="s">
        <v>1546</v>
      </c>
      <c r="D9140" t="s">
        <v>2897</v>
      </c>
      <c r="E9140">
        <v>8592</v>
      </c>
      <c r="F9140" s="11">
        <v>0</v>
      </c>
    </row>
    <row r="9141" spans="1:6" x14ac:dyDescent="0.35">
      <c r="A9141" t="s">
        <v>2857</v>
      </c>
      <c r="B9141" t="s">
        <v>2866</v>
      </c>
      <c r="C9141" t="s">
        <v>1546</v>
      </c>
      <c r="D9141" t="s">
        <v>2898</v>
      </c>
      <c r="E9141">
        <v>318210</v>
      </c>
      <c r="F9141" s="11">
        <v>0</v>
      </c>
    </row>
    <row r="9142" spans="1:6" x14ac:dyDescent="0.35">
      <c r="A9142" t="s">
        <v>2857</v>
      </c>
      <c r="B9142" t="s">
        <v>2866</v>
      </c>
      <c r="C9142" t="s">
        <v>1546</v>
      </c>
      <c r="D9142" t="s">
        <v>2899</v>
      </c>
      <c r="E9142">
        <v>3268</v>
      </c>
      <c r="F9142" s="11">
        <v>0</v>
      </c>
    </row>
    <row r="9143" spans="1:6" x14ac:dyDescent="0.35">
      <c r="A9143" t="s">
        <v>2857</v>
      </c>
      <c r="B9143" t="s">
        <v>2866</v>
      </c>
      <c r="C9143" t="s">
        <v>1546</v>
      </c>
      <c r="D9143" t="s">
        <v>2900</v>
      </c>
      <c r="E9143">
        <v>406</v>
      </c>
      <c r="F9143" s="11">
        <v>0</v>
      </c>
    </row>
    <row r="9144" spans="1:6" x14ac:dyDescent="0.35">
      <c r="A9144" t="s">
        <v>2857</v>
      </c>
      <c r="B9144" t="s">
        <v>2866</v>
      </c>
      <c r="C9144" t="s">
        <v>1546</v>
      </c>
      <c r="D9144" t="s">
        <v>2901</v>
      </c>
      <c r="E9144">
        <v>0</v>
      </c>
      <c r="F9144" s="11">
        <v>0</v>
      </c>
    </row>
    <row r="9145" spans="1:6" x14ac:dyDescent="0.35">
      <c r="A9145" t="s">
        <v>2857</v>
      </c>
      <c r="B9145" t="s">
        <v>2866</v>
      </c>
      <c r="C9145" t="s">
        <v>1546</v>
      </c>
      <c r="D9145" t="s">
        <v>2902</v>
      </c>
      <c r="E9145">
        <v>2862</v>
      </c>
      <c r="F9145" s="11">
        <v>0</v>
      </c>
    </row>
    <row r="9146" spans="1:6" x14ac:dyDescent="0.35">
      <c r="A9146" t="s">
        <v>2857</v>
      </c>
      <c r="B9146" t="s">
        <v>2866</v>
      </c>
      <c r="C9146" t="s">
        <v>1546</v>
      </c>
      <c r="D9146" t="s">
        <v>2903</v>
      </c>
      <c r="E9146">
        <v>26040</v>
      </c>
      <c r="F9146" s="11">
        <v>0</v>
      </c>
    </row>
    <row r="9147" spans="1:6" x14ac:dyDescent="0.35">
      <c r="A9147" t="s">
        <v>2857</v>
      </c>
      <c r="B9147" t="s">
        <v>2866</v>
      </c>
      <c r="C9147" t="s">
        <v>1546</v>
      </c>
      <c r="D9147" t="s">
        <v>2904</v>
      </c>
      <c r="E9147">
        <v>0</v>
      </c>
      <c r="F9147" s="11">
        <v>0</v>
      </c>
    </row>
    <row r="9148" spans="1:6" x14ac:dyDescent="0.35">
      <c r="A9148" t="s">
        <v>2857</v>
      </c>
      <c r="B9148" t="s">
        <v>2866</v>
      </c>
      <c r="C9148" t="s">
        <v>1546</v>
      </c>
      <c r="D9148" t="s">
        <v>2905</v>
      </c>
      <c r="E9148">
        <v>0</v>
      </c>
      <c r="F9148" s="11">
        <v>0</v>
      </c>
    </row>
    <row r="9149" spans="1:6" x14ac:dyDescent="0.35">
      <c r="A9149" t="s">
        <v>2857</v>
      </c>
      <c r="B9149" t="s">
        <v>2866</v>
      </c>
      <c r="C9149" t="s">
        <v>1546</v>
      </c>
      <c r="D9149" t="s">
        <v>2906</v>
      </c>
      <c r="E9149">
        <v>0</v>
      </c>
      <c r="F9149" s="11">
        <v>0</v>
      </c>
    </row>
    <row r="9150" spans="1:6" x14ac:dyDescent="0.35">
      <c r="A9150" t="s">
        <v>2857</v>
      </c>
      <c r="B9150" t="s">
        <v>2866</v>
      </c>
      <c r="C9150" t="s">
        <v>1546</v>
      </c>
      <c r="D9150" t="s">
        <v>2907</v>
      </c>
      <c r="E9150">
        <v>19275</v>
      </c>
      <c r="F9150" s="11">
        <v>0</v>
      </c>
    </row>
    <row r="9151" spans="1:6" x14ac:dyDescent="0.35">
      <c r="A9151" t="s">
        <v>2857</v>
      </c>
      <c r="B9151" t="s">
        <v>2866</v>
      </c>
      <c r="C9151" t="s">
        <v>1546</v>
      </c>
      <c r="D9151" t="s">
        <v>2908</v>
      </c>
      <c r="E9151">
        <v>0</v>
      </c>
      <c r="F9151" s="11">
        <v>0</v>
      </c>
    </row>
    <row r="9152" spans="1:6" x14ac:dyDescent="0.35">
      <c r="A9152" t="s">
        <v>2857</v>
      </c>
      <c r="B9152" t="s">
        <v>2866</v>
      </c>
      <c r="C9152" t="s">
        <v>1546</v>
      </c>
      <c r="D9152" t="s">
        <v>2909</v>
      </c>
      <c r="E9152">
        <v>0</v>
      </c>
      <c r="F9152" s="11">
        <v>0</v>
      </c>
    </row>
    <row r="9153" spans="1:6" x14ac:dyDescent="0.35">
      <c r="A9153" t="s">
        <v>2857</v>
      </c>
      <c r="B9153" t="s">
        <v>2866</v>
      </c>
      <c r="C9153" t="s">
        <v>1546</v>
      </c>
      <c r="D9153" t="s">
        <v>2910</v>
      </c>
      <c r="E9153">
        <v>0</v>
      </c>
      <c r="F9153" s="11">
        <v>0</v>
      </c>
    </row>
    <row r="9154" spans="1:6" x14ac:dyDescent="0.35">
      <c r="A9154" t="s">
        <v>2857</v>
      </c>
      <c r="B9154" t="s">
        <v>2866</v>
      </c>
      <c r="C9154" t="s">
        <v>1546</v>
      </c>
      <c r="D9154" t="s">
        <v>2911</v>
      </c>
      <c r="E9154">
        <v>1514836</v>
      </c>
      <c r="F9154" s="11">
        <v>0</v>
      </c>
    </row>
    <row r="9155" spans="1:6" x14ac:dyDescent="0.35">
      <c r="A9155" t="s">
        <v>2857</v>
      </c>
      <c r="B9155" t="s">
        <v>2866</v>
      </c>
      <c r="C9155" t="s">
        <v>1546</v>
      </c>
      <c r="D9155" t="s">
        <v>2912</v>
      </c>
      <c r="E9155">
        <v>105613</v>
      </c>
      <c r="F9155" s="11">
        <v>0</v>
      </c>
    </row>
    <row r="9156" spans="1:6" x14ac:dyDescent="0.35">
      <c r="A9156" t="s">
        <v>2857</v>
      </c>
      <c r="B9156" t="s">
        <v>2866</v>
      </c>
      <c r="C9156" t="s">
        <v>1546</v>
      </c>
      <c r="D9156" t="s">
        <v>2913</v>
      </c>
      <c r="E9156">
        <v>0</v>
      </c>
      <c r="F9156" s="11">
        <v>0</v>
      </c>
    </row>
    <row r="9157" spans="1:6" x14ac:dyDescent="0.35">
      <c r="A9157" t="s">
        <v>2857</v>
      </c>
      <c r="B9157" t="s">
        <v>2866</v>
      </c>
      <c r="C9157" t="s">
        <v>1546</v>
      </c>
      <c r="D9157" t="s">
        <v>2914</v>
      </c>
      <c r="E9157">
        <v>0</v>
      </c>
      <c r="F9157" s="11">
        <v>0</v>
      </c>
    </row>
    <row r="9158" spans="1:6" x14ac:dyDescent="0.35">
      <c r="A9158" t="s">
        <v>2857</v>
      </c>
      <c r="B9158" t="s">
        <v>2866</v>
      </c>
      <c r="C9158" t="s">
        <v>1546</v>
      </c>
      <c r="D9158" t="s">
        <v>2915</v>
      </c>
      <c r="E9158">
        <v>2141</v>
      </c>
      <c r="F9158" s="11">
        <v>0</v>
      </c>
    </row>
    <row r="9159" spans="1:6" x14ac:dyDescent="0.35">
      <c r="A9159" t="s">
        <v>2857</v>
      </c>
      <c r="B9159" t="s">
        <v>2866</v>
      </c>
      <c r="C9159" t="s">
        <v>1546</v>
      </c>
      <c r="D9159" t="s">
        <v>2916</v>
      </c>
      <c r="E9159">
        <v>87367</v>
      </c>
      <c r="F9159" s="11">
        <v>0</v>
      </c>
    </row>
    <row r="9160" spans="1:6" x14ac:dyDescent="0.35">
      <c r="A9160" t="s">
        <v>2857</v>
      </c>
      <c r="B9160" t="s">
        <v>2866</v>
      </c>
      <c r="C9160" t="s">
        <v>1546</v>
      </c>
      <c r="D9160" t="s">
        <v>2917</v>
      </c>
      <c r="E9160">
        <v>0</v>
      </c>
      <c r="F9160" s="11">
        <v>0</v>
      </c>
    </row>
    <row r="9161" spans="1:6" x14ac:dyDescent="0.35">
      <c r="A9161" t="s">
        <v>2857</v>
      </c>
      <c r="B9161" t="s">
        <v>2869</v>
      </c>
      <c r="C9161" t="s">
        <v>1528</v>
      </c>
      <c r="D9161" t="s">
        <v>2875</v>
      </c>
      <c r="E9161">
        <v>18073</v>
      </c>
      <c r="F9161" s="11">
        <v>1</v>
      </c>
    </row>
    <row r="9162" spans="1:6" x14ac:dyDescent="0.35">
      <c r="A9162" t="s">
        <v>2857</v>
      </c>
      <c r="B9162" t="s">
        <v>2869</v>
      </c>
      <c r="C9162" t="s">
        <v>1528</v>
      </c>
      <c r="D9162" t="s">
        <v>2876</v>
      </c>
      <c r="E9162">
        <v>0</v>
      </c>
      <c r="F9162" s="11">
        <v>0</v>
      </c>
    </row>
    <row r="9163" spans="1:6" x14ac:dyDescent="0.35">
      <c r="A9163" t="s">
        <v>2857</v>
      </c>
      <c r="B9163" t="s">
        <v>2869</v>
      </c>
      <c r="C9163" t="s">
        <v>1528</v>
      </c>
      <c r="D9163" t="s">
        <v>2877</v>
      </c>
      <c r="E9163">
        <v>0</v>
      </c>
      <c r="F9163" s="11">
        <v>0</v>
      </c>
    </row>
    <row r="9164" spans="1:6" x14ac:dyDescent="0.35">
      <c r="A9164" t="s">
        <v>2857</v>
      </c>
      <c r="B9164" t="s">
        <v>2869</v>
      </c>
      <c r="C9164" t="s">
        <v>1528</v>
      </c>
      <c r="D9164" t="s">
        <v>2878</v>
      </c>
      <c r="E9164">
        <v>0</v>
      </c>
      <c r="F9164" s="11">
        <v>0</v>
      </c>
    </row>
    <row r="9165" spans="1:6" x14ac:dyDescent="0.35">
      <c r="A9165" t="s">
        <v>2857</v>
      </c>
      <c r="B9165" t="s">
        <v>2869</v>
      </c>
      <c r="C9165" t="s">
        <v>1528</v>
      </c>
      <c r="D9165" t="s">
        <v>2879</v>
      </c>
      <c r="E9165">
        <v>3733</v>
      </c>
      <c r="F9165" s="11">
        <v>1</v>
      </c>
    </row>
    <row r="9166" spans="1:6" x14ac:dyDescent="0.35">
      <c r="A9166" t="s">
        <v>2857</v>
      </c>
      <c r="B9166" t="s">
        <v>2869</v>
      </c>
      <c r="C9166" t="s">
        <v>1528</v>
      </c>
      <c r="D9166" t="s">
        <v>2880</v>
      </c>
      <c r="E9166">
        <v>0</v>
      </c>
      <c r="F9166" s="11">
        <v>0</v>
      </c>
    </row>
    <row r="9167" spans="1:6" x14ac:dyDescent="0.35">
      <c r="A9167" t="s">
        <v>2857</v>
      </c>
      <c r="B9167" t="s">
        <v>2869</v>
      </c>
      <c r="C9167" t="s">
        <v>1528</v>
      </c>
      <c r="D9167" t="s">
        <v>2881</v>
      </c>
      <c r="E9167">
        <v>0</v>
      </c>
      <c r="F9167" s="11">
        <v>0</v>
      </c>
    </row>
    <row r="9168" spans="1:6" x14ac:dyDescent="0.35">
      <c r="A9168" t="s">
        <v>2857</v>
      </c>
      <c r="B9168" t="s">
        <v>2869</v>
      </c>
      <c r="C9168" t="s">
        <v>1528</v>
      </c>
      <c r="D9168" t="s">
        <v>2882</v>
      </c>
      <c r="E9168">
        <v>0</v>
      </c>
      <c r="F9168" s="11">
        <v>0</v>
      </c>
    </row>
    <row r="9169" spans="1:6" x14ac:dyDescent="0.35">
      <c r="A9169" t="s">
        <v>2857</v>
      </c>
      <c r="B9169" t="s">
        <v>2869</v>
      </c>
      <c r="C9169" t="s">
        <v>1528</v>
      </c>
      <c r="D9169" t="s">
        <v>2883</v>
      </c>
      <c r="E9169">
        <v>0</v>
      </c>
      <c r="F9169" s="11">
        <v>0</v>
      </c>
    </row>
    <row r="9170" spans="1:6" x14ac:dyDescent="0.35">
      <c r="A9170" t="s">
        <v>2857</v>
      </c>
      <c r="B9170" t="s">
        <v>2869</v>
      </c>
      <c r="C9170" t="s">
        <v>1528</v>
      </c>
      <c r="D9170" t="s">
        <v>2884</v>
      </c>
      <c r="E9170">
        <v>0</v>
      </c>
      <c r="F9170" s="11">
        <v>0</v>
      </c>
    </row>
    <row r="9171" spans="1:6" x14ac:dyDescent="0.35">
      <c r="A9171" t="s">
        <v>2857</v>
      </c>
      <c r="B9171" t="s">
        <v>2869</v>
      </c>
      <c r="C9171" t="s">
        <v>1528</v>
      </c>
      <c r="D9171" t="s">
        <v>2885</v>
      </c>
      <c r="E9171">
        <v>0</v>
      </c>
      <c r="F9171" s="11">
        <v>0</v>
      </c>
    </row>
    <row r="9172" spans="1:6" x14ac:dyDescent="0.35">
      <c r="A9172" t="s">
        <v>2857</v>
      </c>
      <c r="B9172" t="s">
        <v>2869</v>
      </c>
      <c r="C9172" t="s">
        <v>1528</v>
      </c>
      <c r="D9172" t="s">
        <v>2886</v>
      </c>
      <c r="E9172">
        <v>0</v>
      </c>
      <c r="F9172" s="11">
        <v>0</v>
      </c>
    </row>
    <row r="9173" spans="1:6" x14ac:dyDescent="0.35">
      <c r="A9173" t="s">
        <v>2857</v>
      </c>
      <c r="B9173" t="s">
        <v>2869</v>
      </c>
      <c r="C9173" t="s">
        <v>1528</v>
      </c>
      <c r="D9173" t="s">
        <v>2887</v>
      </c>
      <c r="E9173">
        <v>50610</v>
      </c>
      <c r="F9173" s="11">
        <v>1</v>
      </c>
    </row>
    <row r="9174" spans="1:6" x14ac:dyDescent="0.35">
      <c r="A9174" t="s">
        <v>2857</v>
      </c>
      <c r="B9174" t="s">
        <v>2869</v>
      </c>
      <c r="C9174" t="s">
        <v>1528</v>
      </c>
      <c r="D9174" t="s">
        <v>2888</v>
      </c>
      <c r="E9174">
        <v>0</v>
      </c>
      <c r="F9174" s="11">
        <v>1</v>
      </c>
    </row>
    <row r="9175" spans="1:6" x14ac:dyDescent="0.35">
      <c r="A9175" t="s">
        <v>2857</v>
      </c>
      <c r="B9175" t="s">
        <v>2869</v>
      </c>
      <c r="C9175" t="s">
        <v>1528</v>
      </c>
      <c r="D9175" t="s">
        <v>2889</v>
      </c>
      <c r="E9175">
        <v>0</v>
      </c>
      <c r="F9175" s="11">
        <v>0</v>
      </c>
    </row>
    <row r="9176" spans="1:6" x14ac:dyDescent="0.35">
      <c r="A9176" t="s">
        <v>2857</v>
      </c>
      <c r="B9176" t="s">
        <v>2869</v>
      </c>
      <c r="C9176" t="s">
        <v>1528</v>
      </c>
      <c r="D9176" t="s">
        <v>2890</v>
      </c>
      <c r="E9176">
        <v>0</v>
      </c>
      <c r="F9176" s="11">
        <v>0</v>
      </c>
    </row>
    <row r="9177" spans="1:6" x14ac:dyDescent="0.35">
      <c r="A9177" t="s">
        <v>2857</v>
      </c>
      <c r="B9177" t="s">
        <v>2869</v>
      </c>
      <c r="C9177" t="s">
        <v>1528</v>
      </c>
      <c r="D9177" t="s">
        <v>2891</v>
      </c>
      <c r="E9177">
        <v>0</v>
      </c>
      <c r="F9177" s="11">
        <v>0</v>
      </c>
    </row>
    <row r="9178" spans="1:6" x14ac:dyDescent="0.35">
      <c r="A9178" t="s">
        <v>2857</v>
      </c>
      <c r="B9178" t="s">
        <v>2869</v>
      </c>
      <c r="C9178" t="s">
        <v>1528</v>
      </c>
      <c r="D9178" t="s">
        <v>2892</v>
      </c>
      <c r="E9178">
        <v>0</v>
      </c>
      <c r="F9178" s="11">
        <v>0</v>
      </c>
    </row>
    <row r="9179" spans="1:6" x14ac:dyDescent="0.35">
      <c r="A9179" t="s">
        <v>2857</v>
      </c>
      <c r="B9179" t="s">
        <v>2869</v>
      </c>
      <c r="C9179" t="s">
        <v>1528</v>
      </c>
      <c r="D9179" t="s">
        <v>2893</v>
      </c>
      <c r="E9179">
        <v>0</v>
      </c>
      <c r="F9179" s="11">
        <v>0</v>
      </c>
    </row>
    <row r="9180" spans="1:6" x14ac:dyDescent="0.35">
      <c r="A9180" t="s">
        <v>2857</v>
      </c>
      <c r="B9180" t="s">
        <v>2869</v>
      </c>
      <c r="C9180" t="s">
        <v>1528</v>
      </c>
      <c r="D9180" t="s">
        <v>2894</v>
      </c>
      <c r="E9180">
        <v>0</v>
      </c>
      <c r="F9180" s="11">
        <v>0</v>
      </c>
    </row>
    <row r="9181" spans="1:6" x14ac:dyDescent="0.35">
      <c r="A9181" t="s">
        <v>2857</v>
      </c>
      <c r="B9181" t="s">
        <v>2869</v>
      </c>
      <c r="C9181" t="s">
        <v>1528</v>
      </c>
      <c r="D9181" t="s">
        <v>2895</v>
      </c>
      <c r="E9181">
        <v>522561</v>
      </c>
      <c r="F9181" s="11">
        <v>1</v>
      </c>
    </row>
    <row r="9182" spans="1:6" x14ac:dyDescent="0.35">
      <c r="A9182" t="s">
        <v>2857</v>
      </c>
      <c r="B9182" t="s">
        <v>2869</v>
      </c>
      <c r="C9182" t="s">
        <v>1528</v>
      </c>
      <c r="D9182" t="s">
        <v>2896</v>
      </c>
      <c r="E9182">
        <v>0</v>
      </c>
      <c r="F9182" s="11">
        <v>1</v>
      </c>
    </row>
    <row r="9183" spans="1:6" x14ac:dyDescent="0.35">
      <c r="A9183" t="s">
        <v>2857</v>
      </c>
      <c r="B9183" t="s">
        <v>2869</v>
      </c>
      <c r="C9183" t="s">
        <v>1528</v>
      </c>
      <c r="D9183" t="s">
        <v>2897</v>
      </c>
      <c r="E9183">
        <v>0</v>
      </c>
      <c r="F9183" s="11">
        <v>0</v>
      </c>
    </row>
    <row r="9184" spans="1:6" x14ac:dyDescent="0.35">
      <c r="A9184" t="s">
        <v>2857</v>
      </c>
      <c r="B9184" t="s">
        <v>2869</v>
      </c>
      <c r="C9184" t="s">
        <v>1528</v>
      </c>
      <c r="D9184" t="s">
        <v>2898</v>
      </c>
      <c r="E9184">
        <v>331942</v>
      </c>
      <c r="F9184" s="11">
        <v>0</v>
      </c>
    </row>
    <row r="9185" spans="1:6" x14ac:dyDescent="0.35">
      <c r="A9185" t="s">
        <v>2857</v>
      </c>
      <c r="B9185" t="s">
        <v>2869</v>
      </c>
      <c r="C9185" t="s">
        <v>1528</v>
      </c>
      <c r="D9185" t="s">
        <v>2899</v>
      </c>
      <c r="E9185">
        <v>9472</v>
      </c>
      <c r="F9185" s="11">
        <v>1</v>
      </c>
    </row>
    <row r="9186" spans="1:6" x14ac:dyDescent="0.35">
      <c r="A9186" t="s">
        <v>2857</v>
      </c>
      <c r="B9186" t="s">
        <v>2869</v>
      </c>
      <c r="C9186" t="s">
        <v>1528</v>
      </c>
      <c r="D9186" t="s">
        <v>2900</v>
      </c>
      <c r="E9186">
        <v>0</v>
      </c>
      <c r="F9186" s="11">
        <v>1</v>
      </c>
    </row>
    <row r="9187" spans="1:6" x14ac:dyDescent="0.35">
      <c r="A9187" t="s">
        <v>2857</v>
      </c>
      <c r="B9187" t="s">
        <v>2869</v>
      </c>
      <c r="C9187" t="s">
        <v>1528</v>
      </c>
      <c r="D9187" t="s">
        <v>2901</v>
      </c>
      <c r="E9187">
        <v>0</v>
      </c>
      <c r="F9187" s="11">
        <v>0</v>
      </c>
    </row>
    <row r="9188" spans="1:6" x14ac:dyDescent="0.35">
      <c r="A9188" t="s">
        <v>2857</v>
      </c>
      <c r="B9188" t="s">
        <v>2869</v>
      </c>
      <c r="C9188" t="s">
        <v>1528</v>
      </c>
      <c r="D9188" t="s">
        <v>2902</v>
      </c>
      <c r="E9188">
        <v>8369</v>
      </c>
      <c r="F9188" s="11">
        <v>0</v>
      </c>
    </row>
    <row r="9189" spans="1:6" x14ac:dyDescent="0.35">
      <c r="A9189" t="s">
        <v>2857</v>
      </c>
      <c r="B9189" t="s">
        <v>2869</v>
      </c>
      <c r="C9189" t="s">
        <v>1528</v>
      </c>
      <c r="D9189" t="s">
        <v>2903</v>
      </c>
      <c r="E9189">
        <v>101854</v>
      </c>
      <c r="F9189" s="11">
        <v>1</v>
      </c>
    </row>
    <row r="9190" spans="1:6" x14ac:dyDescent="0.35">
      <c r="A9190" t="s">
        <v>2857</v>
      </c>
      <c r="B9190" t="s">
        <v>2869</v>
      </c>
      <c r="C9190" t="s">
        <v>1528</v>
      </c>
      <c r="D9190" t="s">
        <v>2904</v>
      </c>
      <c r="E9190">
        <v>0</v>
      </c>
      <c r="F9190" s="11">
        <v>0</v>
      </c>
    </row>
    <row r="9191" spans="1:6" x14ac:dyDescent="0.35">
      <c r="A9191" t="s">
        <v>2857</v>
      </c>
      <c r="B9191" t="s">
        <v>2869</v>
      </c>
      <c r="C9191" t="s">
        <v>1528</v>
      </c>
      <c r="D9191" t="s">
        <v>2905</v>
      </c>
      <c r="E9191">
        <v>0</v>
      </c>
      <c r="F9191" s="11">
        <v>0</v>
      </c>
    </row>
    <row r="9192" spans="1:6" x14ac:dyDescent="0.35">
      <c r="A9192" t="s">
        <v>2857</v>
      </c>
      <c r="B9192" t="s">
        <v>2869</v>
      </c>
      <c r="C9192" t="s">
        <v>1528</v>
      </c>
      <c r="D9192" t="s">
        <v>2906</v>
      </c>
      <c r="E9192">
        <v>0</v>
      </c>
      <c r="F9192" s="11">
        <v>0</v>
      </c>
    </row>
    <row r="9193" spans="1:6" x14ac:dyDescent="0.35">
      <c r="A9193" t="s">
        <v>2857</v>
      </c>
      <c r="B9193" t="s">
        <v>2869</v>
      </c>
      <c r="C9193" t="s">
        <v>1528</v>
      </c>
      <c r="D9193" t="s">
        <v>2907</v>
      </c>
      <c r="E9193">
        <v>178193</v>
      </c>
      <c r="F9193" s="11">
        <v>1</v>
      </c>
    </row>
    <row r="9194" spans="1:6" x14ac:dyDescent="0.35">
      <c r="A9194" t="s">
        <v>2857</v>
      </c>
      <c r="B9194" t="s">
        <v>2869</v>
      </c>
      <c r="C9194" t="s">
        <v>1528</v>
      </c>
      <c r="D9194" t="s">
        <v>2908</v>
      </c>
      <c r="E9194">
        <v>0</v>
      </c>
      <c r="F9194" s="11">
        <v>0</v>
      </c>
    </row>
    <row r="9195" spans="1:6" x14ac:dyDescent="0.35">
      <c r="A9195" t="s">
        <v>2857</v>
      </c>
      <c r="B9195" t="s">
        <v>2869</v>
      </c>
      <c r="C9195" t="s">
        <v>1528</v>
      </c>
      <c r="D9195" t="s">
        <v>2909</v>
      </c>
      <c r="E9195">
        <v>0</v>
      </c>
      <c r="F9195" s="11">
        <v>0</v>
      </c>
    </row>
    <row r="9196" spans="1:6" x14ac:dyDescent="0.35">
      <c r="A9196" t="s">
        <v>2857</v>
      </c>
      <c r="B9196" t="s">
        <v>2869</v>
      </c>
      <c r="C9196" t="s">
        <v>1528</v>
      </c>
      <c r="D9196" t="s">
        <v>2910</v>
      </c>
      <c r="E9196">
        <v>0</v>
      </c>
      <c r="F9196" s="11">
        <v>0</v>
      </c>
    </row>
    <row r="9197" spans="1:6" x14ac:dyDescent="0.35">
      <c r="A9197" t="s">
        <v>2857</v>
      </c>
      <c r="B9197" t="s">
        <v>2869</v>
      </c>
      <c r="C9197" t="s">
        <v>1528</v>
      </c>
      <c r="D9197" t="s">
        <v>2911</v>
      </c>
      <c r="E9197">
        <v>375822</v>
      </c>
      <c r="F9197" s="11">
        <v>1</v>
      </c>
    </row>
    <row r="9198" spans="1:6" x14ac:dyDescent="0.35">
      <c r="A9198" t="s">
        <v>2857</v>
      </c>
      <c r="B9198" t="s">
        <v>2869</v>
      </c>
      <c r="C9198" t="s">
        <v>1528</v>
      </c>
      <c r="D9198" t="s">
        <v>2912</v>
      </c>
      <c r="E9198">
        <v>0</v>
      </c>
      <c r="F9198" s="11">
        <v>0</v>
      </c>
    </row>
    <row r="9199" spans="1:6" x14ac:dyDescent="0.35">
      <c r="A9199" t="s">
        <v>2857</v>
      </c>
      <c r="B9199" t="s">
        <v>2869</v>
      </c>
      <c r="C9199" t="s">
        <v>1528</v>
      </c>
      <c r="D9199" t="s">
        <v>2913</v>
      </c>
      <c r="E9199">
        <v>0</v>
      </c>
      <c r="F9199" s="11">
        <v>0</v>
      </c>
    </row>
    <row r="9200" spans="1:6" x14ac:dyDescent="0.35">
      <c r="A9200" t="s">
        <v>2857</v>
      </c>
      <c r="B9200" t="s">
        <v>2869</v>
      </c>
      <c r="C9200" t="s">
        <v>1528</v>
      </c>
      <c r="D9200" t="s">
        <v>2914</v>
      </c>
      <c r="E9200">
        <v>0</v>
      </c>
      <c r="F9200" s="11">
        <v>0</v>
      </c>
    </row>
    <row r="9201" spans="1:6" x14ac:dyDescent="0.35">
      <c r="A9201" t="s">
        <v>2857</v>
      </c>
      <c r="B9201" t="s">
        <v>2869</v>
      </c>
      <c r="C9201" t="s">
        <v>1528</v>
      </c>
      <c r="D9201" t="s">
        <v>2915</v>
      </c>
      <c r="E9201">
        <v>911</v>
      </c>
      <c r="F9201" s="11">
        <v>1</v>
      </c>
    </row>
    <row r="9202" spans="1:6" x14ac:dyDescent="0.35">
      <c r="A9202" t="s">
        <v>2857</v>
      </c>
      <c r="B9202" t="s">
        <v>2869</v>
      </c>
      <c r="C9202" t="s">
        <v>1528</v>
      </c>
      <c r="D9202" t="s">
        <v>2916</v>
      </c>
      <c r="E9202">
        <v>24399.61</v>
      </c>
      <c r="F9202" s="11">
        <v>1</v>
      </c>
    </row>
    <row r="9203" spans="1:6" x14ac:dyDescent="0.35">
      <c r="A9203" t="s">
        <v>2857</v>
      </c>
      <c r="B9203" t="s">
        <v>2869</v>
      </c>
      <c r="C9203" t="s">
        <v>1528</v>
      </c>
      <c r="D9203" t="s">
        <v>2917</v>
      </c>
      <c r="E9203">
        <v>192405</v>
      </c>
      <c r="F9203" s="11">
        <v>1</v>
      </c>
    </row>
    <row r="9204" spans="1:6" x14ac:dyDescent="0.35">
      <c r="A9204" t="s">
        <v>2857</v>
      </c>
      <c r="B9204" t="s">
        <v>2869</v>
      </c>
      <c r="C9204" t="s">
        <v>1436</v>
      </c>
      <c r="D9204" t="s">
        <v>2875</v>
      </c>
      <c r="E9204">
        <v>12601</v>
      </c>
      <c r="F9204" s="11">
        <v>1</v>
      </c>
    </row>
    <row r="9205" spans="1:6" x14ac:dyDescent="0.35">
      <c r="A9205" t="s">
        <v>2857</v>
      </c>
      <c r="B9205" t="s">
        <v>2869</v>
      </c>
      <c r="C9205" t="s">
        <v>1436</v>
      </c>
      <c r="D9205" t="s">
        <v>2876</v>
      </c>
      <c r="E9205">
        <v>2573</v>
      </c>
      <c r="F9205" s="11">
        <v>0</v>
      </c>
    </row>
    <row r="9206" spans="1:6" x14ac:dyDescent="0.35">
      <c r="A9206" t="s">
        <v>2857</v>
      </c>
      <c r="B9206" t="s">
        <v>2869</v>
      </c>
      <c r="C9206" t="s">
        <v>1436</v>
      </c>
      <c r="D9206" t="s">
        <v>2877</v>
      </c>
      <c r="E9206">
        <v>1414</v>
      </c>
      <c r="F9206" s="11">
        <v>0</v>
      </c>
    </row>
    <row r="9207" spans="1:6" x14ac:dyDescent="0.35">
      <c r="A9207" t="s">
        <v>2857</v>
      </c>
      <c r="B9207" t="s">
        <v>2869</v>
      </c>
      <c r="C9207" t="s">
        <v>1436</v>
      </c>
      <c r="D9207" t="s">
        <v>2878</v>
      </c>
      <c r="E9207">
        <v>5914</v>
      </c>
      <c r="F9207" s="11">
        <v>0</v>
      </c>
    </row>
    <row r="9208" spans="1:6" x14ac:dyDescent="0.35">
      <c r="A9208" t="s">
        <v>2857</v>
      </c>
      <c r="B9208" t="s">
        <v>2869</v>
      </c>
      <c r="C9208" t="s">
        <v>1436</v>
      </c>
      <c r="D9208" t="s">
        <v>2879</v>
      </c>
      <c r="E9208">
        <v>10044</v>
      </c>
      <c r="F9208" s="11">
        <v>0</v>
      </c>
    </row>
    <row r="9209" spans="1:6" x14ac:dyDescent="0.35">
      <c r="A9209" t="s">
        <v>2857</v>
      </c>
      <c r="B9209" t="s">
        <v>2869</v>
      </c>
      <c r="C9209" t="s">
        <v>1436</v>
      </c>
      <c r="D9209" t="s">
        <v>2880</v>
      </c>
      <c r="E9209">
        <v>2727</v>
      </c>
      <c r="F9209" s="11">
        <v>1</v>
      </c>
    </row>
    <row r="9210" spans="1:6" x14ac:dyDescent="0.35">
      <c r="A9210" t="s">
        <v>2857</v>
      </c>
      <c r="B9210" t="s">
        <v>2869</v>
      </c>
      <c r="C9210" t="s">
        <v>1436</v>
      </c>
      <c r="D9210" t="s">
        <v>2881</v>
      </c>
      <c r="E9210">
        <v>216</v>
      </c>
      <c r="F9210" s="11">
        <v>0</v>
      </c>
    </row>
    <row r="9211" spans="1:6" x14ac:dyDescent="0.35">
      <c r="A9211" t="s">
        <v>2857</v>
      </c>
      <c r="B9211" t="s">
        <v>2869</v>
      </c>
      <c r="C9211" t="s">
        <v>1436</v>
      </c>
      <c r="D9211" t="s">
        <v>2882</v>
      </c>
      <c r="E9211">
        <v>4830</v>
      </c>
      <c r="F9211" s="11">
        <v>0</v>
      </c>
    </row>
    <row r="9212" spans="1:6" x14ac:dyDescent="0.35">
      <c r="A9212" t="s">
        <v>2857</v>
      </c>
      <c r="B9212" t="s">
        <v>2869</v>
      </c>
      <c r="C9212" t="s">
        <v>1436</v>
      </c>
      <c r="D9212" t="s">
        <v>2883</v>
      </c>
      <c r="E9212">
        <v>317</v>
      </c>
      <c r="F9212" s="11">
        <v>0</v>
      </c>
    </row>
    <row r="9213" spans="1:6" x14ac:dyDescent="0.35">
      <c r="A9213" t="s">
        <v>2857</v>
      </c>
      <c r="B9213" t="s">
        <v>2869</v>
      </c>
      <c r="C9213" t="s">
        <v>1436</v>
      </c>
      <c r="D9213" t="s">
        <v>2884</v>
      </c>
      <c r="E9213">
        <v>48</v>
      </c>
      <c r="F9213" s="11">
        <v>1</v>
      </c>
    </row>
    <row r="9214" spans="1:6" x14ac:dyDescent="0.35">
      <c r="A9214" t="s">
        <v>2857</v>
      </c>
      <c r="B9214" t="s">
        <v>2869</v>
      </c>
      <c r="C9214" t="s">
        <v>1436</v>
      </c>
      <c r="D9214" t="s">
        <v>2885</v>
      </c>
      <c r="E9214">
        <v>1</v>
      </c>
      <c r="F9214" s="11">
        <v>1</v>
      </c>
    </row>
    <row r="9215" spans="1:6" x14ac:dyDescent="0.35">
      <c r="A9215" t="s">
        <v>2857</v>
      </c>
      <c r="B9215" t="s">
        <v>2869</v>
      </c>
      <c r="C9215" t="s">
        <v>1436</v>
      </c>
      <c r="D9215" t="s">
        <v>2886</v>
      </c>
      <c r="E9215">
        <v>254</v>
      </c>
      <c r="F9215" s="11">
        <v>0</v>
      </c>
    </row>
    <row r="9216" spans="1:6" x14ac:dyDescent="0.35">
      <c r="A9216" t="s">
        <v>2857</v>
      </c>
      <c r="B9216" t="s">
        <v>2869</v>
      </c>
      <c r="C9216" t="s">
        <v>1436</v>
      </c>
      <c r="D9216" t="s">
        <v>2887</v>
      </c>
      <c r="E9216">
        <v>84935</v>
      </c>
      <c r="F9216" s="11">
        <v>1</v>
      </c>
    </row>
    <row r="9217" spans="1:6" x14ac:dyDescent="0.35">
      <c r="A9217" t="s">
        <v>2857</v>
      </c>
      <c r="B9217" t="s">
        <v>2869</v>
      </c>
      <c r="C9217" t="s">
        <v>1436</v>
      </c>
      <c r="D9217" t="s">
        <v>2888</v>
      </c>
      <c r="E9217">
        <v>31886</v>
      </c>
      <c r="F9217" s="11">
        <v>0</v>
      </c>
    </row>
    <row r="9218" spans="1:6" x14ac:dyDescent="0.35">
      <c r="A9218" t="s">
        <v>2857</v>
      </c>
      <c r="B9218" t="s">
        <v>2869</v>
      </c>
      <c r="C9218" t="s">
        <v>1436</v>
      </c>
      <c r="D9218" t="s">
        <v>2889</v>
      </c>
      <c r="E9218">
        <v>847</v>
      </c>
      <c r="F9218" s="11">
        <v>0</v>
      </c>
    </row>
    <row r="9219" spans="1:6" x14ac:dyDescent="0.35">
      <c r="A9219" t="s">
        <v>2857</v>
      </c>
      <c r="B9219" t="s">
        <v>2869</v>
      </c>
      <c r="C9219" t="s">
        <v>1436</v>
      </c>
      <c r="D9219" t="s">
        <v>2890</v>
      </c>
      <c r="E9219">
        <v>52186</v>
      </c>
      <c r="F9219" s="11">
        <v>0</v>
      </c>
    </row>
    <row r="9220" spans="1:6" x14ac:dyDescent="0.35">
      <c r="A9220" t="s">
        <v>2857</v>
      </c>
      <c r="B9220" t="s">
        <v>2869</v>
      </c>
      <c r="C9220" t="s">
        <v>1436</v>
      </c>
      <c r="D9220" t="s">
        <v>2891</v>
      </c>
      <c r="E9220">
        <v>3866</v>
      </c>
      <c r="F9220" s="11">
        <v>1</v>
      </c>
    </row>
    <row r="9221" spans="1:6" x14ac:dyDescent="0.35">
      <c r="A9221" t="s">
        <v>2857</v>
      </c>
      <c r="B9221" t="s">
        <v>2869</v>
      </c>
      <c r="C9221" t="s">
        <v>1436</v>
      </c>
      <c r="D9221" t="s">
        <v>2892</v>
      </c>
      <c r="E9221">
        <v>1238</v>
      </c>
      <c r="F9221" s="11">
        <v>0</v>
      </c>
    </row>
    <row r="9222" spans="1:6" x14ac:dyDescent="0.35">
      <c r="A9222" t="s">
        <v>2857</v>
      </c>
      <c r="B9222" t="s">
        <v>2869</v>
      </c>
      <c r="C9222" t="s">
        <v>1436</v>
      </c>
      <c r="D9222" t="s">
        <v>2893</v>
      </c>
      <c r="E9222">
        <v>3</v>
      </c>
      <c r="F9222" s="11">
        <v>0</v>
      </c>
    </row>
    <row r="9223" spans="1:6" x14ac:dyDescent="0.35">
      <c r="A9223" t="s">
        <v>2857</v>
      </c>
      <c r="B9223" t="s">
        <v>2869</v>
      </c>
      <c r="C9223" t="s">
        <v>1436</v>
      </c>
      <c r="D9223" t="s">
        <v>2894</v>
      </c>
      <c r="E9223">
        <v>1692</v>
      </c>
      <c r="F9223" s="11">
        <v>0</v>
      </c>
    </row>
    <row r="9224" spans="1:6" x14ac:dyDescent="0.35">
      <c r="A9224" t="s">
        <v>2857</v>
      </c>
      <c r="B9224" t="s">
        <v>2869</v>
      </c>
      <c r="C9224" t="s">
        <v>1436</v>
      </c>
      <c r="D9224" t="s">
        <v>2895</v>
      </c>
      <c r="E9224">
        <v>190629</v>
      </c>
      <c r="F9224" s="11">
        <v>1</v>
      </c>
    </row>
    <row r="9225" spans="1:6" x14ac:dyDescent="0.35">
      <c r="A9225" t="s">
        <v>2857</v>
      </c>
      <c r="B9225" t="s">
        <v>2869</v>
      </c>
      <c r="C9225" t="s">
        <v>1436</v>
      </c>
      <c r="D9225" t="s">
        <v>2896</v>
      </c>
      <c r="E9225">
        <v>40772</v>
      </c>
      <c r="F9225" s="11">
        <v>1</v>
      </c>
    </row>
    <row r="9226" spans="1:6" x14ac:dyDescent="0.35">
      <c r="A9226" t="s">
        <v>2857</v>
      </c>
      <c r="B9226" t="s">
        <v>2869</v>
      </c>
      <c r="C9226" t="s">
        <v>1436</v>
      </c>
      <c r="D9226" t="s">
        <v>2897</v>
      </c>
      <c r="E9226">
        <v>12226</v>
      </c>
      <c r="F9226" s="11">
        <v>1</v>
      </c>
    </row>
    <row r="9227" spans="1:6" x14ac:dyDescent="0.35">
      <c r="A9227" t="s">
        <v>2857</v>
      </c>
      <c r="B9227" t="s">
        <v>2869</v>
      </c>
      <c r="C9227" t="s">
        <v>1436</v>
      </c>
      <c r="D9227" t="s">
        <v>2898</v>
      </c>
      <c r="E9227">
        <v>137691</v>
      </c>
      <c r="F9227" s="11">
        <v>1</v>
      </c>
    </row>
    <row r="9228" spans="1:6" x14ac:dyDescent="0.35">
      <c r="A9228" t="s">
        <v>2857</v>
      </c>
      <c r="B9228" t="s">
        <v>2869</v>
      </c>
      <c r="C9228" t="s">
        <v>1436</v>
      </c>
      <c r="D9228" t="s">
        <v>2899</v>
      </c>
      <c r="E9228">
        <v>2914</v>
      </c>
      <c r="F9228" s="11">
        <v>1</v>
      </c>
    </row>
    <row r="9229" spans="1:6" x14ac:dyDescent="0.35">
      <c r="A9229" t="s">
        <v>2857</v>
      </c>
      <c r="B9229" t="s">
        <v>2869</v>
      </c>
      <c r="C9229" t="s">
        <v>1436</v>
      </c>
      <c r="D9229" t="s">
        <v>2900</v>
      </c>
      <c r="E9229">
        <v>0</v>
      </c>
      <c r="F9229" s="11">
        <v>0</v>
      </c>
    </row>
    <row r="9230" spans="1:6" x14ac:dyDescent="0.35">
      <c r="A9230" t="s">
        <v>2857</v>
      </c>
      <c r="B9230" t="s">
        <v>2869</v>
      </c>
      <c r="C9230" t="s">
        <v>1436</v>
      </c>
      <c r="D9230" t="s">
        <v>2901</v>
      </c>
      <c r="E9230">
        <v>5683</v>
      </c>
      <c r="F9230" s="11">
        <v>0</v>
      </c>
    </row>
    <row r="9231" spans="1:6" x14ac:dyDescent="0.35">
      <c r="A9231" t="s">
        <v>2857</v>
      </c>
      <c r="B9231" t="s">
        <v>2869</v>
      </c>
      <c r="C9231" t="s">
        <v>1436</v>
      </c>
      <c r="D9231" t="s">
        <v>2902</v>
      </c>
      <c r="E9231">
        <v>0</v>
      </c>
      <c r="F9231" s="11">
        <v>0</v>
      </c>
    </row>
    <row r="9232" spans="1:6" x14ac:dyDescent="0.35">
      <c r="A9232" t="s">
        <v>2857</v>
      </c>
      <c r="B9232" t="s">
        <v>2869</v>
      </c>
      <c r="C9232" t="s">
        <v>1436</v>
      </c>
      <c r="D9232" t="s">
        <v>2903</v>
      </c>
      <c r="E9232">
        <v>32008</v>
      </c>
      <c r="F9232" s="11">
        <v>0</v>
      </c>
    </row>
    <row r="9233" spans="1:6" x14ac:dyDescent="0.35">
      <c r="A9233" t="s">
        <v>2857</v>
      </c>
      <c r="B9233" t="s">
        <v>2869</v>
      </c>
      <c r="C9233" t="s">
        <v>1436</v>
      </c>
      <c r="D9233" t="s">
        <v>2904</v>
      </c>
      <c r="E9233">
        <v>2061</v>
      </c>
      <c r="F9233" s="11">
        <v>1</v>
      </c>
    </row>
    <row r="9234" spans="1:6" x14ac:dyDescent="0.35">
      <c r="A9234" t="s">
        <v>2857</v>
      </c>
      <c r="B9234" t="s">
        <v>2869</v>
      </c>
      <c r="C9234" t="s">
        <v>1436</v>
      </c>
      <c r="D9234" t="s">
        <v>2905</v>
      </c>
      <c r="E9234">
        <v>1499</v>
      </c>
      <c r="F9234" s="11">
        <v>1</v>
      </c>
    </row>
    <row r="9235" spans="1:6" x14ac:dyDescent="0.35">
      <c r="A9235" t="s">
        <v>2857</v>
      </c>
      <c r="B9235" t="s">
        <v>2869</v>
      </c>
      <c r="C9235" t="s">
        <v>1436</v>
      </c>
      <c r="D9235" t="s">
        <v>2906</v>
      </c>
      <c r="E9235">
        <v>28448</v>
      </c>
      <c r="F9235" s="11">
        <v>1</v>
      </c>
    </row>
    <row r="9236" spans="1:6" x14ac:dyDescent="0.35">
      <c r="A9236" t="s">
        <v>2857</v>
      </c>
      <c r="B9236" t="s">
        <v>2869</v>
      </c>
      <c r="C9236" t="s">
        <v>1436</v>
      </c>
      <c r="D9236" t="s">
        <v>2907</v>
      </c>
      <c r="E9236">
        <v>44250</v>
      </c>
      <c r="F9236" s="11">
        <v>0</v>
      </c>
    </row>
    <row r="9237" spans="1:6" x14ac:dyDescent="0.35">
      <c r="A9237" t="s">
        <v>2857</v>
      </c>
      <c r="B9237" t="s">
        <v>2869</v>
      </c>
      <c r="C9237" t="s">
        <v>1436</v>
      </c>
      <c r="D9237" t="s">
        <v>2908</v>
      </c>
      <c r="E9237">
        <v>3920</v>
      </c>
      <c r="F9237" s="11">
        <v>1</v>
      </c>
    </row>
    <row r="9238" spans="1:6" x14ac:dyDescent="0.35">
      <c r="A9238" t="s">
        <v>2857</v>
      </c>
      <c r="B9238" t="s">
        <v>2869</v>
      </c>
      <c r="C9238" t="s">
        <v>1436</v>
      </c>
      <c r="D9238" t="s">
        <v>2909</v>
      </c>
      <c r="E9238">
        <v>1958</v>
      </c>
      <c r="F9238" s="11">
        <v>1</v>
      </c>
    </row>
    <row r="9239" spans="1:6" x14ac:dyDescent="0.35">
      <c r="A9239" t="s">
        <v>2857</v>
      </c>
      <c r="B9239" t="s">
        <v>2869</v>
      </c>
      <c r="C9239" t="s">
        <v>1436</v>
      </c>
      <c r="D9239" t="s">
        <v>2910</v>
      </c>
      <c r="E9239">
        <v>38372</v>
      </c>
      <c r="F9239" s="11">
        <v>1</v>
      </c>
    </row>
    <row r="9240" spans="1:6" x14ac:dyDescent="0.35">
      <c r="A9240" t="s">
        <v>2857</v>
      </c>
      <c r="B9240" t="s">
        <v>2869</v>
      </c>
      <c r="C9240" t="s">
        <v>1436</v>
      </c>
      <c r="D9240" t="s">
        <v>2911</v>
      </c>
      <c r="E9240">
        <v>458544</v>
      </c>
      <c r="F9240" s="11">
        <v>1</v>
      </c>
    </row>
    <row r="9241" spans="1:6" x14ac:dyDescent="0.35">
      <c r="A9241" t="s">
        <v>2857</v>
      </c>
      <c r="B9241" t="s">
        <v>2869</v>
      </c>
      <c r="C9241" t="s">
        <v>1436</v>
      </c>
      <c r="D9241" t="s">
        <v>2912</v>
      </c>
      <c r="E9241">
        <v>0</v>
      </c>
      <c r="F9241" s="11">
        <v>1</v>
      </c>
    </row>
    <row r="9242" spans="1:6" x14ac:dyDescent="0.35">
      <c r="A9242" t="s">
        <v>2857</v>
      </c>
      <c r="B9242" t="s">
        <v>2869</v>
      </c>
      <c r="C9242" t="s">
        <v>1436</v>
      </c>
      <c r="D9242" t="s">
        <v>2913</v>
      </c>
      <c r="E9242">
        <v>0</v>
      </c>
      <c r="F9242" s="11">
        <v>0</v>
      </c>
    </row>
    <row r="9243" spans="1:6" x14ac:dyDescent="0.35">
      <c r="A9243" t="s">
        <v>2857</v>
      </c>
      <c r="B9243" t="s">
        <v>2869</v>
      </c>
      <c r="C9243" t="s">
        <v>1436</v>
      </c>
      <c r="D9243" t="s">
        <v>2914</v>
      </c>
      <c r="E9243">
        <v>0</v>
      </c>
      <c r="F9243" s="11">
        <v>0</v>
      </c>
    </row>
    <row r="9244" spans="1:6" x14ac:dyDescent="0.35">
      <c r="A9244" t="s">
        <v>2857</v>
      </c>
      <c r="B9244" t="s">
        <v>2869</v>
      </c>
      <c r="C9244" t="s">
        <v>1436</v>
      </c>
      <c r="D9244" t="s">
        <v>2915</v>
      </c>
      <c r="E9244">
        <v>0</v>
      </c>
      <c r="F9244" s="11">
        <v>0</v>
      </c>
    </row>
    <row r="9245" spans="1:6" x14ac:dyDescent="0.35">
      <c r="A9245" t="s">
        <v>2857</v>
      </c>
      <c r="B9245" t="s">
        <v>2869</v>
      </c>
      <c r="C9245" t="s">
        <v>1436</v>
      </c>
      <c r="D9245" t="s">
        <v>2916</v>
      </c>
      <c r="E9245">
        <v>55039</v>
      </c>
      <c r="F9245" s="11">
        <v>1</v>
      </c>
    </row>
    <row r="9246" spans="1:6" x14ac:dyDescent="0.35">
      <c r="A9246" t="s">
        <v>2857</v>
      </c>
      <c r="B9246" t="s">
        <v>2869</v>
      </c>
      <c r="C9246" t="s">
        <v>1436</v>
      </c>
      <c r="D9246" t="s">
        <v>2917</v>
      </c>
      <c r="E9246">
        <v>67231</v>
      </c>
      <c r="F9246" s="11">
        <v>0</v>
      </c>
    </row>
    <row r="9247" spans="1:6" x14ac:dyDescent="0.35">
      <c r="A9247" t="s">
        <v>2857</v>
      </c>
      <c r="B9247" t="s">
        <v>2864</v>
      </c>
      <c r="C9247" t="s">
        <v>1463</v>
      </c>
      <c r="D9247" t="s">
        <v>2875</v>
      </c>
      <c r="E9247">
        <v>50854</v>
      </c>
      <c r="F9247" s="11">
        <v>1</v>
      </c>
    </row>
    <row r="9248" spans="1:6" x14ac:dyDescent="0.35">
      <c r="A9248" t="s">
        <v>2857</v>
      </c>
      <c r="B9248" t="s">
        <v>2864</v>
      </c>
      <c r="C9248" t="s">
        <v>1463</v>
      </c>
      <c r="D9248" t="s">
        <v>2876</v>
      </c>
      <c r="E9248">
        <v>17223</v>
      </c>
      <c r="F9248" s="11">
        <v>1</v>
      </c>
    </row>
    <row r="9249" spans="1:6" x14ac:dyDescent="0.35">
      <c r="A9249" t="s">
        <v>2857</v>
      </c>
      <c r="B9249" t="s">
        <v>2864</v>
      </c>
      <c r="C9249" t="s">
        <v>1463</v>
      </c>
      <c r="D9249" t="s">
        <v>2877</v>
      </c>
      <c r="E9249">
        <v>2741</v>
      </c>
      <c r="F9249" s="11">
        <v>1</v>
      </c>
    </row>
    <row r="9250" spans="1:6" x14ac:dyDescent="0.35">
      <c r="A9250" t="s">
        <v>2857</v>
      </c>
      <c r="B9250" t="s">
        <v>2864</v>
      </c>
      <c r="C9250" t="s">
        <v>1463</v>
      </c>
      <c r="D9250" t="s">
        <v>2878</v>
      </c>
      <c r="E9250">
        <v>30890</v>
      </c>
      <c r="F9250" s="11">
        <v>1</v>
      </c>
    </row>
    <row r="9251" spans="1:6" x14ac:dyDescent="0.35">
      <c r="A9251" t="s">
        <v>2857</v>
      </c>
      <c r="B9251" t="s">
        <v>2864</v>
      </c>
      <c r="C9251" t="s">
        <v>1463</v>
      </c>
      <c r="D9251" t="s">
        <v>2879</v>
      </c>
      <c r="E9251">
        <v>9061</v>
      </c>
      <c r="F9251" s="11">
        <v>1</v>
      </c>
    </row>
    <row r="9252" spans="1:6" x14ac:dyDescent="0.35">
      <c r="A9252" t="s">
        <v>2857</v>
      </c>
      <c r="B9252" t="s">
        <v>2864</v>
      </c>
      <c r="C9252" t="s">
        <v>1463</v>
      </c>
      <c r="D9252" t="s">
        <v>2880</v>
      </c>
      <c r="E9252">
        <v>4663</v>
      </c>
      <c r="F9252" s="11">
        <v>1</v>
      </c>
    </row>
    <row r="9253" spans="1:6" x14ac:dyDescent="0.35">
      <c r="A9253" t="s">
        <v>2857</v>
      </c>
      <c r="B9253" t="s">
        <v>2864</v>
      </c>
      <c r="C9253" t="s">
        <v>1463</v>
      </c>
      <c r="D9253" t="s">
        <v>2881</v>
      </c>
      <c r="E9253">
        <v>98</v>
      </c>
      <c r="F9253" s="11">
        <v>1</v>
      </c>
    </row>
    <row r="9254" spans="1:6" x14ac:dyDescent="0.35">
      <c r="A9254" t="s">
        <v>2857</v>
      </c>
      <c r="B9254" t="s">
        <v>2864</v>
      </c>
      <c r="C9254" t="s">
        <v>1463</v>
      </c>
      <c r="D9254" t="s">
        <v>2882</v>
      </c>
      <c r="E9254">
        <v>3900</v>
      </c>
      <c r="F9254" s="11">
        <v>1</v>
      </c>
    </row>
    <row r="9255" spans="1:6" x14ac:dyDescent="0.35">
      <c r="A9255" t="s">
        <v>2857</v>
      </c>
      <c r="B9255" t="s">
        <v>2864</v>
      </c>
      <c r="C9255" t="s">
        <v>1463</v>
      </c>
      <c r="D9255" t="s">
        <v>2883</v>
      </c>
      <c r="E9255">
        <v>0</v>
      </c>
      <c r="F9255" s="11">
        <v>0</v>
      </c>
    </row>
    <row r="9256" spans="1:6" x14ac:dyDescent="0.35">
      <c r="A9256" t="s">
        <v>2857</v>
      </c>
      <c r="B9256" t="s">
        <v>2864</v>
      </c>
      <c r="C9256" t="s">
        <v>1463</v>
      </c>
      <c r="D9256" t="s">
        <v>2884</v>
      </c>
      <c r="E9256">
        <v>0</v>
      </c>
      <c r="F9256" s="11">
        <v>0</v>
      </c>
    </row>
    <row r="9257" spans="1:6" x14ac:dyDescent="0.35">
      <c r="A9257" t="s">
        <v>2857</v>
      </c>
      <c r="B9257" t="s">
        <v>2864</v>
      </c>
      <c r="C9257" t="s">
        <v>1463</v>
      </c>
      <c r="D9257" t="s">
        <v>2885</v>
      </c>
      <c r="E9257">
        <v>0</v>
      </c>
      <c r="F9257" s="11">
        <v>0</v>
      </c>
    </row>
    <row r="9258" spans="1:6" x14ac:dyDescent="0.35">
      <c r="A9258" t="s">
        <v>2857</v>
      </c>
      <c r="B9258" t="s">
        <v>2864</v>
      </c>
      <c r="C9258" t="s">
        <v>1463</v>
      </c>
      <c r="D9258" t="s">
        <v>2886</v>
      </c>
      <c r="E9258">
        <v>0</v>
      </c>
      <c r="F9258" s="11">
        <v>0</v>
      </c>
    </row>
    <row r="9259" spans="1:6" x14ac:dyDescent="0.35">
      <c r="A9259" t="s">
        <v>2857</v>
      </c>
      <c r="B9259" t="s">
        <v>2864</v>
      </c>
      <c r="C9259" t="s">
        <v>1463</v>
      </c>
      <c r="D9259" t="s">
        <v>2887</v>
      </c>
      <c r="E9259">
        <v>140218</v>
      </c>
      <c r="F9259" s="11">
        <v>1</v>
      </c>
    </row>
    <row r="9260" spans="1:6" x14ac:dyDescent="0.35">
      <c r="A9260" t="s">
        <v>2857</v>
      </c>
      <c r="B9260" t="s">
        <v>2864</v>
      </c>
      <c r="C9260" t="s">
        <v>1463</v>
      </c>
      <c r="D9260" t="s">
        <v>2888</v>
      </c>
      <c r="E9260">
        <v>70286</v>
      </c>
      <c r="F9260" s="11">
        <v>1</v>
      </c>
    </row>
    <row r="9261" spans="1:6" x14ac:dyDescent="0.35">
      <c r="A9261" t="s">
        <v>2857</v>
      </c>
      <c r="B9261" t="s">
        <v>2864</v>
      </c>
      <c r="C9261" t="s">
        <v>1463</v>
      </c>
      <c r="D9261" t="s">
        <v>2889</v>
      </c>
      <c r="E9261">
        <v>681</v>
      </c>
      <c r="F9261" s="11">
        <v>0</v>
      </c>
    </row>
    <row r="9262" spans="1:6" x14ac:dyDescent="0.35">
      <c r="A9262" t="s">
        <v>2857</v>
      </c>
      <c r="B9262" t="s">
        <v>2864</v>
      </c>
      <c r="C9262" t="s">
        <v>1463</v>
      </c>
      <c r="D9262" t="s">
        <v>2890</v>
      </c>
      <c r="E9262">
        <v>69251</v>
      </c>
      <c r="F9262" s="11">
        <v>1</v>
      </c>
    </row>
    <row r="9263" spans="1:6" x14ac:dyDescent="0.35">
      <c r="A9263" t="s">
        <v>2857</v>
      </c>
      <c r="B9263" t="s">
        <v>2864</v>
      </c>
      <c r="C9263" t="s">
        <v>1463</v>
      </c>
      <c r="D9263" t="s">
        <v>2891</v>
      </c>
      <c r="E9263">
        <v>0</v>
      </c>
      <c r="F9263" s="11">
        <v>0</v>
      </c>
    </row>
    <row r="9264" spans="1:6" x14ac:dyDescent="0.35">
      <c r="A9264" t="s">
        <v>2857</v>
      </c>
      <c r="B9264" t="s">
        <v>2864</v>
      </c>
      <c r="C9264" t="s">
        <v>1463</v>
      </c>
      <c r="D9264" t="s">
        <v>2892</v>
      </c>
      <c r="E9264">
        <v>0</v>
      </c>
      <c r="F9264" s="11">
        <v>0</v>
      </c>
    </row>
    <row r="9265" spans="1:6" x14ac:dyDescent="0.35">
      <c r="A9265" t="s">
        <v>2857</v>
      </c>
      <c r="B9265" t="s">
        <v>2864</v>
      </c>
      <c r="C9265" t="s">
        <v>1463</v>
      </c>
      <c r="D9265" t="s">
        <v>2893</v>
      </c>
      <c r="E9265">
        <v>0</v>
      </c>
      <c r="F9265" s="11">
        <v>0</v>
      </c>
    </row>
    <row r="9266" spans="1:6" x14ac:dyDescent="0.35">
      <c r="A9266" t="s">
        <v>2857</v>
      </c>
      <c r="B9266" t="s">
        <v>2864</v>
      </c>
      <c r="C9266" t="s">
        <v>1463</v>
      </c>
      <c r="D9266" t="s">
        <v>2894</v>
      </c>
      <c r="E9266">
        <v>0</v>
      </c>
      <c r="F9266" s="11">
        <v>0</v>
      </c>
    </row>
    <row r="9267" spans="1:6" x14ac:dyDescent="0.35">
      <c r="A9267" t="s">
        <v>2857</v>
      </c>
      <c r="B9267" t="s">
        <v>2864</v>
      </c>
      <c r="C9267" t="s">
        <v>1463</v>
      </c>
      <c r="D9267" t="s">
        <v>2895</v>
      </c>
      <c r="E9267">
        <v>1501270</v>
      </c>
      <c r="F9267" s="11">
        <v>1</v>
      </c>
    </row>
    <row r="9268" spans="1:6" x14ac:dyDescent="0.35">
      <c r="A9268" t="s">
        <v>2857</v>
      </c>
      <c r="B9268" t="s">
        <v>2864</v>
      </c>
      <c r="C9268" t="s">
        <v>1463</v>
      </c>
      <c r="D9268" t="s">
        <v>2896</v>
      </c>
      <c r="E9268">
        <v>705546</v>
      </c>
      <c r="F9268" s="11">
        <v>1</v>
      </c>
    </row>
    <row r="9269" spans="1:6" x14ac:dyDescent="0.35">
      <c r="A9269" t="s">
        <v>2857</v>
      </c>
      <c r="B9269" t="s">
        <v>2864</v>
      </c>
      <c r="C9269" t="s">
        <v>1463</v>
      </c>
      <c r="D9269" t="s">
        <v>2897</v>
      </c>
      <c r="E9269">
        <v>33540</v>
      </c>
      <c r="F9269" s="11">
        <v>1</v>
      </c>
    </row>
    <row r="9270" spans="1:6" x14ac:dyDescent="0.35">
      <c r="A9270" t="s">
        <v>2857</v>
      </c>
      <c r="B9270" t="s">
        <v>2864</v>
      </c>
      <c r="C9270" t="s">
        <v>1463</v>
      </c>
      <c r="D9270" t="s">
        <v>2898</v>
      </c>
      <c r="E9270">
        <v>762184</v>
      </c>
      <c r="F9270" s="11">
        <v>1</v>
      </c>
    </row>
    <row r="9271" spans="1:6" x14ac:dyDescent="0.35">
      <c r="A9271" t="s">
        <v>2857</v>
      </c>
      <c r="B9271" t="s">
        <v>2864</v>
      </c>
      <c r="C9271" t="s">
        <v>1463</v>
      </c>
      <c r="D9271" t="s">
        <v>2899</v>
      </c>
      <c r="E9271">
        <v>18995</v>
      </c>
      <c r="F9271" s="11">
        <v>1</v>
      </c>
    </row>
    <row r="9272" spans="1:6" x14ac:dyDescent="0.35">
      <c r="A9272" t="s">
        <v>2857</v>
      </c>
      <c r="B9272" t="s">
        <v>2864</v>
      </c>
      <c r="C9272" t="s">
        <v>1463</v>
      </c>
      <c r="D9272" t="s">
        <v>2900</v>
      </c>
      <c r="E9272">
        <v>6437</v>
      </c>
      <c r="F9272" s="11">
        <v>1</v>
      </c>
    </row>
    <row r="9273" spans="1:6" x14ac:dyDescent="0.35">
      <c r="A9273" t="s">
        <v>2857</v>
      </c>
      <c r="B9273" t="s">
        <v>2864</v>
      </c>
      <c r="C9273" t="s">
        <v>1463</v>
      </c>
      <c r="D9273" t="s">
        <v>2901</v>
      </c>
      <c r="E9273">
        <v>190</v>
      </c>
      <c r="F9273" s="11">
        <v>1</v>
      </c>
    </row>
    <row r="9274" spans="1:6" x14ac:dyDescent="0.35">
      <c r="A9274" t="s">
        <v>2857</v>
      </c>
      <c r="B9274" t="s">
        <v>2864</v>
      </c>
      <c r="C9274" t="s">
        <v>1463</v>
      </c>
      <c r="D9274" t="s">
        <v>2902</v>
      </c>
      <c r="E9274">
        <v>12368</v>
      </c>
      <c r="F9274" s="11">
        <v>1</v>
      </c>
    </row>
    <row r="9275" spans="1:6" x14ac:dyDescent="0.35">
      <c r="A9275" t="s">
        <v>2857</v>
      </c>
      <c r="B9275" t="s">
        <v>2864</v>
      </c>
      <c r="C9275" t="s">
        <v>1463</v>
      </c>
      <c r="D9275" t="s">
        <v>2903</v>
      </c>
      <c r="E9275">
        <v>54130</v>
      </c>
      <c r="F9275" s="11">
        <v>1</v>
      </c>
    </row>
    <row r="9276" spans="1:6" x14ac:dyDescent="0.35">
      <c r="A9276" t="s">
        <v>2857</v>
      </c>
      <c r="B9276" t="s">
        <v>2864</v>
      </c>
      <c r="C9276" t="s">
        <v>1463</v>
      </c>
      <c r="D9276" t="s">
        <v>2904</v>
      </c>
      <c r="E9276">
        <v>4989</v>
      </c>
      <c r="F9276" s="11">
        <v>1</v>
      </c>
    </row>
    <row r="9277" spans="1:6" x14ac:dyDescent="0.35">
      <c r="A9277" t="s">
        <v>2857</v>
      </c>
      <c r="B9277" t="s">
        <v>2864</v>
      </c>
      <c r="C9277" t="s">
        <v>1463</v>
      </c>
      <c r="D9277" t="s">
        <v>2905</v>
      </c>
      <c r="E9277">
        <v>3258</v>
      </c>
      <c r="F9277" s="11">
        <v>1</v>
      </c>
    </row>
    <row r="9278" spans="1:6" x14ac:dyDescent="0.35">
      <c r="A9278" t="s">
        <v>2857</v>
      </c>
      <c r="B9278" t="s">
        <v>2864</v>
      </c>
      <c r="C9278" t="s">
        <v>1463</v>
      </c>
      <c r="D9278" t="s">
        <v>2906</v>
      </c>
      <c r="E9278">
        <v>45883</v>
      </c>
      <c r="F9278" s="11">
        <v>1</v>
      </c>
    </row>
    <row r="9279" spans="1:6" x14ac:dyDescent="0.35">
      <c r="A9279" t="s">
        <v>2857</v>
      </c>
      <c r="B9279" t="s">
        <v>2864</v>
      </c>
      <c r="C9279" t="s">
        <v>1463</v>
      </c>
      <c r="D9279" t="s">
        <v>2907</v>
      </c>
      <c r="E9279">
        <v>66365</v>
      </c>
      <c r="F9279" s="11">
        <v>1</v>
      </c>
    </row>
    <row r="9280" spans="1:6" x14ac:dyDescent="0.35">
      <c r="A9280" t="s">
        <v>2857</v>
      </c>
      <c r="B9280" t="s">
        <v>2864</v>
      </c>
      <c r="C9280" t="s">
        <v>1463</v>
      </c>
      <c r="D9280" t="s">
        <v>2908</v>
      </c>
      <c r="E9280">
        <v>8828</v>
      </c>
      <c r="F9280" s="11">
        <v>1</v>
      </c>
    </row>
    <row r="9281" spans="1:6" x14ac:dyDescent="0.35">
      <c r="A9281" t="s">
        <v>2857</v>
      </c>
      <c r="B9281" t="s">
        <v>2864</v>
      </c>
      <c r="C9281" t="s">
        <v>1463</v>
      </c>
      <c r="D9281" t="s">
        <v>2909</v>
      </c>
      <c r="E9281">
        <v>3658</v>
      </c>
      <c r="F9281" s="11">
        <v>1</v>
      </c>
    </row>
    <row r="9282" spans="1:6" x14ac:dyDescent="0.35">
      <c r="A9282" t="s">
        <v>2857</v>
      </c>
      <c r="B9282" t="s">
        <v>2864</v>
      </c>
      <c r="C9282" t="s">
        <v>1463</v>
      </c>
      <c r="D9282" t="s">
        <v>2910</v>
      </c>
      <c r="E9282">
        <v>53879</v>
      </c>
      <c r="F9282" s="11">
        <v>1</v>
      </c>
    </row>
    <row r="9283" spans="1:6" x14ac:dyDescent="0.35">
      <c r="A9283" t="s">
        <v>2857</v>
      </c>
      <c r="B9283" t="s">
        <v>2864</v>
      </c>
      <c r="C9283" t="s">
        <v>1463</v>
      </c>
      <c r="D9283" t="s">
        <v>2911</v>
      </c>
      <c r="E9283">
        <v>508347</v>
      </c>
      <c r="F9283" s="11">
        <v>1</v>
      </c>
    </row>
    <row r="9284" spans="1:6" x14ac:dyDescent="0.35">
      <c r="A9284" t="s">
        <v>2857</v>
      </c>
      <c r="B9284" t="s">
        <v>2864</v>
      </c>
      <c r="C9284" t="s">
        <v>1463</v>
      </c>
      <c r="D9284" t="s">
        <v>2912</v>
      </c>
      <c r="E9284">
        <v>938676</v>
      </c>
      <c r="F9284" s="11">
        <v>1</v>
      </c>
    </row>
    <row r="9285" spans="1:6" x14ac:dyDescent="0.35">
      <c r="A9285" t="s">
        <v>2857</v>
      </c>
      <c r="B9285" t="s">
        <v>2864</v>
      </c>
      <c r="C9285" t="s">
        <v>1463</v>
      </c>
      <c r="D9285" t="s">
        <v>2913</v>
      </c>
      <c r="E9285">
        <v>0</v>
      </c>
      <c r="F9285" s="11">
        <v>0</v>
      </c>
    </row>
    <row r="9286" spans="1:6" x14ac:dyDescent="0.35">
      <c r="A9286" t="s">
        <v>2857</v>
      </c>
      <c r="B9286" t="s">
        <v>2864</v>
      </c>
      <c r="C9286" t="s">
        <v>1463</v>
      </c>
      <c r="D9286" t="s">
        <v>2914</v>
      </c>
      <c r="E9286">
        <v>20493</v>
      </c>
      <c r="F9286" s="11">
        <v>1</v>
      </c>
    </row>
    <row r="9287" spans="1:6" x14ac:dyDescent="0.35">
      <c r="A9287" t="s">
        <v>2857</v>
      </c>
      <c r="B9287" t="s">
        <v>2864</v>
      </c>
      <c r="C9287" t="s">
        <v>1463</v>
      </c>
      <c r="D9287" t="s">
        <v>2915</v>
      </c>
      <c r="E9287">
        <v>1746</v>
      </c>
      <c r="F9287" s="11">
        <v>1</v>
      </c>
    </row>
    <row r="9288" spans="1:6" x14ac:dyDescent="0.35">
      <c r="A9288" t="s">
        <v>2857</v>
      </c>
      <c r="B9288" t="s">
        <v>2864</v>
      </c>
      <c r="C9288" t="s">
        <v>1463</v>
      </c>
      <c r="D9288" t="s">
        <v>2916</v>
      </c>
      <c r="E9288">
        <v>49245</v>
      </c>
      <c r="F9288" s="11">
        <v>1</v>
      </c>
    </row>
    <row r="9289" spans="1:6" x14ac:dyDescent="0.35">
      <c r="A9289" t="s">
        <v>2857</v>
      </c>
      <c r="B9289" t="s">
        <v>2864</v>
      </c>
      <c r="C9289" t="s">
        <v>1463</v>
      </c>
      <c r="D9289" t="s">
        <v>2917</v>
      </c>
      <c r="E9289">
        <v>0</v>
      </c>
      <c r="F9289" s="11">
        <v>0</v>
      </c>
    </row>
    <row r="9290" spans="1:6" x14ac:dyDescent="0.35">
      <c r="A9290" t="s">
        <v>2857</v>
      </c>
      <c r="B9290" t="s">
        <v>2862</v>
      </c>
      <c r="C9290" t="s">
        <v>1389</v>
      </c>
      <c r="D9290" t="s">
        <v>2875</v>
      </c>
      <c r="E9290">
        <v>29589</v>
      </c>
      <c r="F9290" s="11">
        <v>1</v>
      </c>
    </row>
    <row r="9291" spans="1:6" x14ac:dyDescent="0.35">
      <c r="A9291" t="s">
        <v>2857</v>
      </c>
      <c r="B9291" t="s">
        <v>2862</v>
      </c>
      <c r="C9291" t="s">
        <v>1389</v>
      </c>
      <c r="D9291" t="s">
        <v>2876</v>
      </c>
      <c r="E9291">
        <v>0</v>
      </c>
      <c r="F9291" s="11">
        <v>0</v>
      </c>
    </row>
    <row r="9292" spans="1:6" x14ac:dyDescent="0.35">
      <c r="A9292" t="s">
        <v>2857</v>
      </c>
      <c r="B9292" t="s">
        <v>2862</v>
      </c>
      <c r="C9292" t="s">
        <v>1389</v>
      </c>
      <c r="D9292" t="s">
        <v>2877</v>
      </c>
      <c r="E9292">
        <v>0</v>
      </c>
      <c r="F9292" s="11">
        <v>0</v>
      </c>
    </row>
    <row r="9293" spans="1:6" x14ac:dyDescent="0.35">
      <c r="A9293" t="s">
        <v>2857</v>
      </c>
      <c r="B9293" t="s">
        <v>2862</v>
      </c>
      <c r="C9293" t="s">
        <v>1389</v>
      </c>
      <c r="D9293" t="s">
        <v>2878</v>
      </c>
      <c r="E9293">
        <v>0</v>
      </c>
      <c r="F9293" s="11">
        <v>0</v>
      </c>
    </row>
    <row r="9294" spans="1:6" x14ac:dyDescent="0.35">
      <c r="A9294" t="s">
        <v>2857</v>
      </c>
      <c r="B9294" t="s">
        <v>2862</v>
      </c>
      <c r="C9294" t="s">
        <v>1389</v>
      </c>
      <c r="D9294" t="s">
        <v>2879</v>
      </c>
      <c r="E9294">
        <v>2159</v>
      </c>
      <c r="F9294" s="11">
        <v>1</v>
      </c>
    </row>
    <row r="9295" spans="1:6" x14ac:dyDescent="0.35">
      <c r="A9295" t="s">
        <v>2857</v>
      </c>
      <c r="B9295" t="s">
        <v>2862</v>
      </c>
      <c r="C9295" t="s">
        <v>1389</v>
      </c>
      <c r="D9295" t="s">
        <v>2880</v>
      </c>
      <c r="E9295">
        <v>0</v>
      </c>
      <c r="F9295" s="11">
        <v>0</v>
      </c>
    </row>
    <row r="9296" spans="1:6" x14ac:dyDescent="0.35">
      <c r="A9296" t="s">
        <v>2857</v>
      </c>
      <c r="B9296" t="s">
        <v>2862</v>
      </c>
      <c r="C9296" t="s">
        <v>1389</v>
      </c>
      <c r="D9296" t="s">
        <v>2881</v>
      </c>
      <c r="E9296">
        <v>0</v>
      </c>
      <c r="F9296" s="11">
        <v>0</v>
      </c>
    </row>
    <row r="9297" spans="1:6" x14ac:dyDescent="0.35">
      <c r="A9297" t="s">
        <v>2857</v>
      </c>
      <c r="B9297" t="s">
        <v>2862</v>
      </c>
      <c r="C9297" t="s">
        <v>1389</v>
      </c>
      <c r="D9297" t="s">
        <v>2882</v>
      </c>
      <c r="E9297">
        <v>0</v>
      </c>
      <c r="F9297" s="11">
        <v>0</v>
      </c>
    </row>
    <row r="9298" spans="1:6" x14ac:dyDescent="0.35">
      <c r="A9298" t="s">
        <v>2857</v>
      </c>
      <c r="B9298" t="s">
        <v>2862</v>
      </c>
      <c r="C9298" t="s">
        <v>1389</v>
      </c>
      <c r="D9298" t="s">
        <v>2883</v>
      </c>
      <c r="E9298">
        <v>0</v>
      </c>
      <c r="F9298" s="11">
        <v>0</v>
      </c>
    </row>
    <row r="9299" spans="1:6" x14ac:dyDescent="0.35">
      <c r="A9299" t="s">
        <v>2857</v>
      </c>
      <c r="B9299" t="s">
        <v>2862</v>
      </c>
      <c r="C9299" t="s">
        <v>1389</v>
      </c>
      <c r="D9299" t="s">
        <v>2884</v>
      </c>
      <c r="E9299">
        <v>0</v>
      </c>
      <c r="F9299" s="11">
        <v>0</v>
      </c>
    </row>
    <row r="9300" spans="1:6" x14ac:dyDescent="0.35">
      <c r="A9300" t="s">
        <v>2857</v>
      </c>
      <c r="B9300" t="s">
        <v>2862</v>
      </c>
      <c r="C9300" t="s">
        <v>1389</v>
      </c>
      <c r="D9300" t="s">
        <v>2885</v>
      </c>
      <c r="E9300">
        <v>0</v>
      </c>
      <c r="F9300" s="11">
        <v>0</v>
      </c>
    </row>
    <row r="9301" spans="1:6" x14ac:dyDescent="0.35">
      <c r="A9301" t="s">
        <v>2857</v>
      </c>
      <c r="B9301" t="s">
        <v>2862</v>
      </c>
      <c r="C9301" t="s">
        <v>1389</v>
      </c>
      <c r="D9301" t="s">
        <v>2886</v>
      </c>
      <c r="E9301">
        <v>0</v>
      </c>
      <c r="F9301" s="11">
        <v>0</v>
      </c>
    </row>
    <row r="9302" spans="1:6" x14ac:dyDescent="0.35">
      <c r="A9302" t="s">
        <v>2857</v>
      </c>
      <c r="B9302" t="s">
        <v>2862</v>
      </c>
      <c r="C9302" t="s">
        <v>1389</v>
      </c>
      <c r="D9302" t="s">
        <v>2887</v>
      </c>
      <c r="E9302">
        <v>34599</v>
      </c>
      <c r="F9302" s="11">
        <v>1</v>
      </c>
    </row>
    <row r="9303" spans="1:6" x14ac:dyDescent="0.35">
      <c r="A9303" t="s">
        <v>2857</v>
      </c>
      <c r="B9303" t="s">
        <v>2862</v>
      </c>
      <c r="C9303" t="s">
        <v>1389</v>
      </c>
      <c r="D9303" t="s">
        <v>2888</v>
      </c>
      <c r="E9303">
        <v>0</v>
      </c>
      <c r="F9303" s="11">
        <v>0</v>
      </c>
    </row>
    <row r="9304" spans="1:6" x14ac:dyDescent="0.35">
      <c r="A9304" t="s">
        <v>2857</v>
      </c>
      <c r="B9304" t="s">
        <v>2862</v>
      </c>
      <c r="C9304" t="s">
        <v>1389</v>
      </c>
      <c r="D9304" t="s">
        <v>2889</v>
      </c>
      <c r="E9304">
        <v>0</v>
      </c>
      <c r="F9304" s="11">
        <v>0</v>
      </c>
    </row>
    <row r="9305" spans="1:6" x14ac:dyDescent="0.35">
      <c r="A9305" t="s">
        <v>2857</v>
      </c>
      <c r="B9305" t="s">
        <v>2862</v>
      </c>
      <c r="C9305" t="s">
        <v>1389</v>
      </c>
      <c r="D9305" t="s">
        <v>2890</v>
      </c>
      <c r="E9305">
        <v>0</v>
      </c>
      <c r="F9305" s="11">
        <v>0</v>
      </c>
    </row>
    <row r="9306" spans="1:6" x14ac:dyDescent="0.35">
      <c r="A9306" t="s">
        <v>2857</v>
      </c>
      <c r="B9306" t="s">
        <v>2862</v>
      </c>
      <c r="C9306" t="s">
        <v>1389</v>
      </c>
      <c r="D9306" t="s">
        <v>2891</v>
      </c>
      <c r="E9306">
        <v>0</v>
      </c>
      <c r="F9306" s="11">
        <v>0</v>
      </c>
    </row>
    <row r="9307" spans="1:6" x14ac:dyDescent="0.35">
      <c r="A9307" t="s">
        <v>2857</v>
      </c>
      <c r="B9307" t="s">
        <v>2862</v>
      </c>
      <c r="C9307" t="s">
        <v>1389</v>
      </c>
      <c r="D9307" t="s">
        <v>2892</v>
      </c>
      <c r="E9307">
        <v>0</v>
      </c>
      <c r="F9307" s="11">
        <v>0</v>
      </c>
    </row>
    <row r="9308" spans="1:6" x14ac:dyDescent="0.35">
      <c r="A9308" t="s">
        <v>2857</v>
      </c>
      <c r="B9308" t="s">
        <v>2862</v>
      </c>
      <c r="C9308" t="s">
        <v>1389</v>
      </c>
      <c r="D9308" t="s">
        <v>2893</v>
      </c>
      <c r="E9308">
        <v>0</v>
      </c>
      <c r="F9308" s="11">
        <v>0</v>
      </c>
    </row>
    <row r="9309" spans="1:6" x14ac:dyDescent="0.35">
      <c r="A9309" t="s">
        <v>2857</v>
      </c>
      <c r="B9309" t="s">
        <v>2862</v>
      </c>
      <c r="C9309" t="s">
        <v>1389</v>
      </c>
      <c r="D9309" t="s">
        <v>2894</v>
      </c>
      <c r="E9309">
        <v>0</v>
      </c>
      <c r="F9309" s="11">
        <v>0</v>
      </c>
    </row>
    <row r="9310" spans="1:6" x14ac:dyDescent="0.35">
      <c r="A9310" t="s">
        <v>2857</v>
      </c>
      <c r="B9310" t="s">
        <v>2862</v>
      </c>
      <c r="C9310" t="s">
        <v>1389</v>
      </c>
      <c r="D9310" t="s">
        <v>2895</v>
      </c>
      <c r="E9310">
        <v>506628</v>
      </c>
      <c r="F9310" s="11">
        <v>1</v>
      </c>
    </row>
    <row r="9311" spans="1:6" x14ac:dyDescent="0.35">
      <c r="A9311" t="s">
        <v>2857</v>
      </c>
      <c r="B9311" t="s">
        <v>2862</v>
      </c>
      <c r="C9311" t="s">
        <v>1389</v>
      </c>
      <c r="D9311" t="s">
        <v>2896</v>
      </c>
      <c r="E9311">
        <v>253285</v>
      </c>
      <c r="F9311" s="11">
        <v>0</v>
      </c>
    </row>
    <row r="9312" spans="1:6" x14ac:dyDescent="0.35">
      <c r="A9312" t="s">
        <v>2857</v>
      </c>
      <c r="B9312" t="s">
        <v>2862</v>
      </c>
      <c r="C9312" t="s">
        <v>1389</v>
      </c>
      <c r="D9312" t="s">
        <v>2897</v>
      </c>
      <c r="E9312">
        <v>16056</v>
      </c>
      <c r="F9312" s="11">
        <v>0</v>
      </c>
    </row>
    <row r="9313" spans="1:6" x14ac:dyDescent="0.35">
      <c r="A9313" t="s">
        <v>2857</v>
      </c>
      <c r="B9313" t="s">
        <v>2862</v>
      </c>
      <c r="C9313" t="s">
        <v>1389</v>
      </c>
      <c r="D9313" t="s">
        <v>2898</v>
      </c>
      <c r="E9313">
        <v>234611</v>
      </c>
      <c r="F9313" s="11">
        <v>0</v>
      </c>
    </row>
    <row r="9314" spans="1:6" x14ac:dyDescent="0.35">
      <c r="A9314" t="s">
        <v>2857</v>
      </c>
      <c r="B9314" t="s">
        <v>2862</v>
      </c>
      <c r="C9314" t="s">
        <v>1389</v>
      </c>
      <c r="D9314" t="s">
        <v>2899</v>
      </c>
      <c r="E9314">
        <v>1836</v>
      </c>
      <c r="F9314" s="11">
        <v>0</v>
      </c>
    </row>
    <row r="9315" spans="1:6" x14ac:dyDescent="0.35">
      <c r="A9315" t="s">
        <v>2857</v>
      </c>
      <c r="B9315" t="s">
        <v>2862</v>
      </c>
      <c r="C9315" t="s">
        <v>1389</v>
      </c>
      <c r="D9315" t="s">
        <v>2900</v>
      </c>
      <c r="E9315">
        <v>271</v>
      </c>
      <c r="F9315" s="11">
        <v>0</v>
      </c>
    </row>
    <row r="9316" spans="1:6" x14ac:dyDescent="0.35">
      <c r="A9316" t="s">
        <v>2857</v>
      </c>
      <c r="B9316" t="s">
        <v>2862</v>
      </c>
      <c r="C9316" t="s">
        <v>1389</v>
      </c>
      <c r="D9316" t="s">
        <v>2901</v>
      </c>
      <c r="E9316">
        <v>1</v>
      </c>
      <c r="F9316" s="11">
        <v>0</v>
      </c>
    </row>
    <row r="9317" spans="1:6" x14ac:dyDescent="0.35">
      <c r="A9317" t="s">
        <v>2857</v>
      </c>
      <c r="B9317" t="s">
        <v>2862</v>
      </c>
      <c r="C9317" t="s">
        <v>1389</v>
      </c>
      <c r="D9317" t="s">
        <v>2902</v>
      </c>
      <c r="E9317">
        <v>1563</v>
      </c>
      <c r="F9317" s="11">
        <v>0</v>
      </c>
    </row>
    <row r="9318" spans="1:6" x14ac:dyDescent="0.35">
      <c r="A9318" t="s">
        <v>2857</v>
      </c>
      <c r="B9318" t="s">
        <v>2862</v>
      </c>
      <c r="C9318" t="s">
        <v>1389</v>
      </c>
      <c r="D9318" t="s">
        <v>2903</v>
      </c>
      <c r="E9318">
        <v>18937</v>
      </c>
      <c r="F9318" s="11">
        <v>1</v>
      </c>
    </row>
    <row r="9319" spans="1:6" x14ac:dyDescent="0.35">
      <c r="A9319" t="s">
        <v>2857</v>
      </c>
      <c r="B9319" t="s">
        <v>2862</v>
      </c>
      <c r="C9319" t="s">
        <v>1389</v>
      </c>
      <c r="D9319" t="s">
        <v>2904</v>
      </c>
      <c r="E9319">
        <v>1853</v>
      </c>
      <c r="F9319" s="11">
        <v>0</v>
      </c>
    </row>
    <row r="9320" spans="1:6" x14ac:dyDescent="0.35">
      <c r="A9320" t="s">
        <v>2857</v>
      </c>
      <c r="B9320" t="s">
        <v>2862</v>
      </c>
      <c r="C9320" t="s">
        <v>1389</v>
      </c>
      <c r="D9320" t="s">
        <v>2905</v>
      </c>
      <c r="E9320">
        <v>1057</v>
      </c>
      <c r="F9320" s="11">
        <v>0</v>
      </c>
    </row>
    <row r="9321" spans="1:6" x14ac:dyDescent="0.35">
      <c r="A9321" t="s">
        <v>2857</v>
      </c>
      <c r="B9321" t="s">
        <v>2862</v>
      </c>
      <c r="C9321" t="s">
        <v>1389</v>
      </c>
      <c r="D9321" t="s">
        <v>2906</v>
      </c>
      <c r="E9321">
        <v>16454</v>
      </c>
      <c r="F9321" s="11">
        <v>0</v>
      </c>
    </row>
    <row r="9322" spans="1:6" x14ac:dyDescent="0.35">
      <c r="A9322" t="s">
        <v>2857</v>
      </c>
      <c r="B9322" t="s">
        <v>2862</v>
      </c>
      <c r="C9322" t="s">
        <v>1389</v>
      </c>
      <c r="D9322" t="s">
        <v>2907</v>
      </c>
      <c r="E9322">
        <v>22800</v>
      </c>
      <c r="F9322" s="11">
        <v>1</v>
      </c>
    </row>
    <row r="9323" spans="1:6" x14ac:dyDescent="0.35">
      <c r="A9323" t="s">
        <v>2857</v>
      </c>
      <c r="B9323" t="s">
        <v>2862</v>
      </c>
      <c r="C9323" t="s">
        <v>1389</v>
      </c>
      <c r="D9323" t="s">
        <v>2908</v>
      </c>
      <c r="E9323">
        <v>4288</v>
      </c>
      <c r="F9323" s="11">
        <v>0</v>
      </c>
    </row>
    <row r="9324" spans="1:6" x14ac:dyDescent="0.35">
      <c r="A9324" t="s">
        <v>2857</v>
      </c>
      <c r="B9324" t="s">
        <v>2862</v>
      </c>
      <c r="C9324" t="s">
        <v>1389</v>
      </c>
      <c r="D9324" t="s">
        <v>2909</v>
      </c>
      <c r="E9324">
        <v>1197</v>
      </c>
      <c r="F9324" s="11">
        <v>0</v>
      </c>
    </row>
    <row r="9325" spans="1:6" x14ac:dyDescent="0.35">
      <c r="A9325" t="s">
        <v>2857</v>
      </c>
      <c r="B9325" t="s">
        <v>2862</v>
      </c>
      <c r="C9325" t="s">
        <v>1389</v>
      </c>
      <c r="D9325" t="s">
        <v>2910</v>
      </c>
      <c r="E9325">
        <v>16718</v>
      </c>
      <c r="F9325" s="11">
        <v>0</v>
      </c>
    </row>
    <row r="9326" spans="1:6" x14ac:dyDescent="0.35">
      <c r="A9326" t="s">
        <v>2857</v>
      </c>
      <c r="B9326" t="s">
        <v>2862</v>
      </c>
      <c r="C9326" t="s">
        <v>1389</v>
      </c>
      <c r="D9326" t="s">
        <v>2911</v>
      </c>
      <c r="E9326">
        <v>472505</v>
      </c>
      <c r="F9326" s="11">
        <v>1</v>
      </c>
    </row>
    <row r="9327" spans="1:6" x14ac:dyDescent="0.35">
      <c r="A9327" t="s">
        <v>2857</v>
      </c>
      <c r="B9327" t="s">
        <v>2862</v>
      </c>
      <c r="C9327" t="s">
        <v>1389</v>
      </c>
      <c r="D9327" t="s">
        <v>2912</v>
      </c>
      <c r="E9327">
        <v>0</v>
      </c>
      <c r="F9327" s="11">
        <v>0</v>
      </c>
    </row>
    <row r="9328" spans="1:6" x14ac:dyDescent="0.35">
      <c r="A9328" t="s">
        <v>2857</v>
      </c>
      <c r="B9328" t="s">
        <v>2862</v>
      </c>
      <c r="C9328" t="s">
        <v>1389</v>
      </c>
      <c r="D9328" t="s">
        <v>2913</v>
      </c>
      <c r="E9328">
        <v>302</v>
      </c>
      <c r="F9328" s="11">
        <v>0</v>
      </c>
    </row>
    <row r="9329" spans="1:6" x14ac:dyDescent="0.35">
      <c r="A9329" t="s">
        <v>2857</v>
      </c>
      <c r="B9329" t="s">
        <v>2862</v>
      </c>
      <c r="C9329" t="s">
        <v>1389</v>
      </c>
      <c r="D9329" t="s">
        <v>2914</v>
      </c>
      <c r="E9329">
        <v>0</v>
      </c>
      <c r="F9329" s="11">
        <v>0</v>
      </c>
    </row>
    <row r="9330" spans="1:6" x14ac:dyDescent="0.35">
      <c r="A9330" t="s">
        <v>2857</v>
      </c>
      <c r="B9330" t="s">
        <v>2862</v>
      </c>
      <c r="C9330" t="s">
        <v>1389</v>
      </c>
      <c r="D9330" t="s">
        <v>2915</v>
      </c>
      <c r="E9330">
        <v>8195</v>
      </c>
      <c r="F9330" s="11">
        <v>1</v>
      </c>
    </row>
    <row r="9331" spans="1:6" x14ac:dyDescent="0.35">
      <c r="A9331" t="s">
        <v>2857</v>
      </c>
      <c r="B9331" t="s">
        <v>2862</v>
      </c>
      <c r="C9331" t="s">
        <v>1389</v>
      </c>
      <c r="D9331" t="s">
        <v>2916</v>
      </c>
      <c r="E9331">
        <v>34080</v>
      </c>
      <c r="F9331" s="11">
        <v>1</v>
      </c>
    </row>
    <row r="9332" spans="1:6" x14ac:dyDescent="0.35">
      <c r="A9332" t="s">
        <v>2857</v>
      </c>
      <c r="B9332" t="s">
        <v>2862</v>
      </c>
      <c r="C9332" t="s">
        <v>1389</v>
      </c>
      <c r="D9332" t="s">
        <v>2917</v>
      </c>
      <c r="E9332">
        <v>0</v>
      </c>
      <c r="F9332" s="11">
        <v>0</v>
      </c>
    </row>
    <row r="9333" spans="1:6" x14ac:dyDescent="0.35">
      <c r="A9333" t="s">
        <v>2857</v>
      </c>
      <c r="B9333" t="s">
        <v>2869</v>
      </c>
      <c r="C9333" t="s">
        <v>1450</v>
      </c>
      <c r="D9333" t="s">
        <v>2875</v>
      </c>
      <c r="E9333">
        <v>17397</v>
      </c>
      <c r="F9333" s="11">
        <v>1</v>
      </c>
    </row>
    <row r="9334" spans="1:6" x14ac:dyDescent="0.35">
      <c r="A9334" t="s">
        <v>2857</v>
      </c>
      <c r="B9334" t="s">
        <v>2869</v>
      </c>
      <c r="C9334" t="s">
        <v>1450</v>
      </c>
      <c r="D9334" t="s">
        <v>2876</v>
      </c>
      <c r="E9334">
        <v>6351</v>
      </c>
      <c r="F9334" s="11">
        <v>1</v>
      </c>
    </row>
    <row r="9335" spans="1:6" x14ac:dyDescent="0.35">
      <c r="A9335" t="s">
        <v>2857</v>
      </c>
      <c r="B9335" t="s">
        <v>2869</v>
      </c>
      <c r="C9335" t="s">
        <v>1450</v>
      </c>
      <c r="D9335" t="s">
        <v>2877</v>
      </c>
      <c r="E9335">
        <v>836</v>
      </c>
      <c r="F9335" s="11">
        <v>1</v>
      </c>
    </row>
    <row r="9336" spans="1:6" x14ac:dyDescent="0.35">
      <c r="A9336" t="s">
        <v>2857</v>
      </c>
      <c r="B9336" t="s">
        <v>2869</v>
      </c>
      <c r="C9336" t="s">
        <v>1450</v>
      </c>
      <c r="D9336" t="s">
        <v>2878</v>
      </c>
      <c r="E9336">
        <v>10210</v>
      </c>
      <c r="F9336" s="11">
        <v>1</v>
      </c>
    </row>
    <row r="9337" spans="1:6" x14ac:dyDescent="0.35">
      <c r="A9337" t="s">
        <v>2857</v>
      </c>
      <c r="B9337" t="s">
        <v>2869</v>
      </c>
      <c r="C9337" t="s">
        <v>1450</v>
      </c>
      <c r="D9337" t="s">
        <v>2879</v>
      </c>
      <c r="E9337">
        <v>1701</v>
      </c>
      <c r="F9337" s="11">
        <v>1</v>
      </c>
    </row>
    <row r="9338" spans="1:6" x14ac:dyDescent="0.35">
      <c r="A9338" t="s">
        <v>2857</v>
      </c>
      <c r="B9338" t="s">
        <v>2869</v>
      </c>
      <c r="C9338" t="s">
        <v>1450</v>
      </c>
      <c r="D9338" t="s">
        <v>2880</v>
      </c>
      <c r="E9338">
        <v>1451</v>
      </c>
      <c r="F9338" s="11">
        <v>1</v>
      </c>
    </row>
    <row r="9339" spans="1:6" x14ac:dyDescent="0.35">
      <c r="A9339" t="s">
        <v>2857</v>
      </c>
      <c r="B9339" t="s">
        <v>2869</v>
      </c>
      <c r="C9339" t="s">
        <v>1450</v>
      </c>
      <c r="D9339" t="s">
        <v>2881</v>
      </c>
      <c r="E9339">
        <v>0</v>
      </c>
      <c r="F9339" s="11">
        <v>1</v>
      </c>
    </row>
    <row r="9340" spans="1:6" x14ac:dyDescent="0.35">
      <c r="A9340" t="s">
        <v>2857</v>
      </c>
      <c r="B9340" t="s">
        <v>2869</v>
      </c>
      <c r="C9340" t="s">
        <v>1450</v>
      </c>
      <c r="D9340" t="s">
        <v>2882</v>
      </c>
      <c r="E9340">
        <v>225</v>
      </c>
      <c r="F9340" s="11">
        <v>0</v>
      </c>
    </row>
    <row r="9341" spans="1:6" x14ac:dyDescent="0.35">
      <c r="A9341" t="s">
        <v>2857</v>
      </c>
      <c r="B9341" t="s">
        <v>2869</v>
      </c>
      <c r="C9341" t="s">
        <v>1450</v>
      </c>
      <c r="D9341" t="s">
        <v>2883</v>
      </c>
      <c r="E9341">
        <v>12</v>
      </c>
      <c r="F9341" s="11">
        <v>1</v>
      </c>
    </row>
    <row r="9342" spans="1:6" x14ac:dyDescent="0.35">
      <c r="A9342" t="s">
        <v>2857</v>
      </c>
      <c r="B9342" t="s">
        <v>2869</v>
      </c>
      <c r="C9342" t="s">
        <v>1450</v>
      </c>
      <c r="D9342" t="s">
        <v>2884</v>
      </c>
      <c r="E9342">
        <v>0</v>
      </c>
      <c r="F9342" s="11">
        <v>1</v>
      </c>
    </row>
    <row r="9343" spans="1:6" x14ac:dyDescent="0.35">
      <c r="A9343" t="s">
        <v>2857</v>
      </c>
      <c r="B9343" t="s">
        <v>2869</v>
      </c>
      <c r="C9343" t="s">
        <v>1450</v>
      </c>
      <c r="D9343" t="s">
        <v>2885</v>
      </c>
      <c r="E9343">
        <v>0</v>
      </c>
      <c r="F9343" s="11">
        <v>0</v>
      </c>
    </row>
    <row r="9344" spans="1:6" x14ac:dyDescent="0.35">
      <c r="A9344" t="s">
        <v>2857</v>
      </c>
      <c r="B9344" t="s">
        <v>2869</v>
      </c>
      <c r="C9344" t="s">
        <v>1450</v>
      </c>
      <c r="D9344" t="s">
        <v>2886</v>
      </c>
      <c r="E9344">
        <v>12</v>
      </c>
      <c r="F9344" s="11">
        <v>0</v>
      </c>
    </row>
    <row r="9345" spans="1:6" x14ac:dyDescent="0.35">
      <c r="A9345" t="s">
        <v>2857</v>
      </c>
      <c r="B9345" t="s">
        <v>2869</v>
      </c>
      <c r="C9345" t="s">
        <v>1450</v>
      </c>
      <c r="D9345" t="s">
        <v>2887</v>
      </c>
      <c r="E9345">
        <v>36776</v>
      </c>
      <c r="F9345" s="11">
        <v>1</v>
      </c>
    </row>
    <row r="9346" spans="1:6" x14ac:dyDescent="0.35">
      <c r="A9346" t="s">
        <v>2857</v>
      </c>
      <c r="B9346" t="s">
        <v>2869</v>
      </c>
      <c r="C9346" t="s">
        <v>1450</v>
      </c>
      <c r="D9346" t="s">
        <v>2888</v>
      </c>
      <c r="E9346">
        <v>20357</v>
      </c>
      <c r="F9346" s="11">
        <v>1</v>
      </c>
    </row>
    <row r="9347" spans="1:6" x14ac:dyDescent="0.35">
      <c r="A9347" t="s">
        <v>2857</v>
      </c>
      <c r="B9347" t="s">
        <v>2869</v>
      </c>
      <c r="C9347" t="s">
        <v>1450</v>
      </c>
      <c r="D9347" t="s">
        <v>2889</v>
      </c>
      <c r="E9347">
        <v>0</v>
      </c>
      <c r="F9347" s="11">
        <v>1</v>
      </c>
    </row>
    <row r="9348" spans="1:6" x14ac:dyDescent="0.35">
      <c r="A9348" t="s">
        <v>2857</v>
      </c>
      <c r="B9348" t="s">
        <v>2869</v>
      </c>
      <c r="C9348" t="s">
        <v>1450</v>
      </c>
      <c r="D9348" t="s">
        <v>2890</v>
      </c>
      <c r="E9348">
        <v>16419</v>
      </c>
      <c r="F9348" s="11">
        <v>0</v>
      </c>
    </row>
    <row r="9349" spans="1:6" x14ac:dyDescent="0.35">
      <c r="A9349" t="s">
        <v>2857</v>
      </c>
      <c r="B9349" t="s">
        <v>2869</v>
      </c>
      <c r="C9349" t="s">
        <v>1450</v>
      </c>
      <c r="D9349" t="s">
        <v>2891</v>
      </c>
      <c r="E9349">
        <v>91</v>
      </c>
      <c r="F9349" s="11">
        <v>1</v>
      </c>
    </row>
    <row r="9350" spans="1:6" x14ac:dyDescent="0.35">
      <c r="A9350" t="s">
        <v>2857</v>
      </c>
      <c r="B9350" t="s">
        <v>2869</v>
      </c>
      <c r="C9350" t="s">
        <v>1450</v>
      </c>
      <c r="D9350" t="s">
        <v>2892</v>
      </c>
      <c r="E9350">
        <v>0</v>
      </c>
      <c r="F9350" s="11">
        <v>1</v>
      </c>
    </row>
    <row r="9351" spans="1:6" x14ac:dyDescent="0.35">
      <c r="A9351" t="s">
        <v>2857</v>
      </c>
      <c r="B9351" t="s">
        <v>2869</v>
      </c>
      <c r="C9351" t="s">
        <v>1450</v>
      </c>
      <c r="D9351" t="s">
        <v>2893</v>
      </c>
      <c r="E9351">
        <v>0</v>
      </c>
      <c r="F9351" s="11">
        <v>0</v>
      </c>
    </row>
    <row r="9352" spans="1:6" x14ac:dyDescent="0.35">
      <c r="A9352" t="s">
        <v>2857</v>
      </c>
      <c r="B9352" t="s">
        <v>2869</v>
      </c>
      <c r="C9352" t="s">
        <v>1450</v>
      </c>
      <c r="D9352" t="s">
        <v>2894</v>
      </c>
      <c r="E9352">
        <v>91</v>
      </c>
      <c r="F9352" s="11">
        <v>0</v>
      </c>
    </row>
    <row r="9353" spans="1:6" x14ac:dyDescent="0.35">
      <c r="A9353" t="s">
        <v>2857</v>
      </c>
      <c r="B9353" t="s">
        <v>2869</v>
      </c>
      <c r="C9353" t="s">
        <v>1450</v>
      </c>
      <c r="D9353" t="s">
        <v>2895</v>
      </c>
      <c r="E9353">
        <v>468796</v>
      </c>
      <c r="F9353" s="11">
        <v>1</v>
      </c>
    </row>
    <row r="9354" spans="1:6" x14ac:dyDescent="0.35">
      <c r="A9354" t="s">
        <v>2857</v>
      </c>
      <c r="B9354" t="s">
        <v>2869</v>
      </c>
      <c r="C9354" t="s">
        <v>1450</v>
      </c>
      <c r="D9354" t="s">
        <v>2896</v>
      </c>
      <c r="E9354">
        <v>183848</v>
      </c>
      <c r="F9354" s="11">
        <v>1</v>
      </c>
    </row>
    <row r="9355" spans="1:6" x14ac:dyDescent="0.35">
      <c r="A9355" t="s">
        <v>2857</v>
      </c>
      <c r="B9355" t="s">
        <v>2869</v>
      </c>
      <c r="C9355" t="s">
        <v>1450</v>
      </c>
      <c r="D9355" t="s">
        <v>2897</v>
      </c>
      <c r="E9355">
        <v>5437</v>
      </c>
      <c r="F9355" s="11">
        <v>1</v>
      </c>
    </row>
    <row r="9356" spans="1:6" x14ac:dyDescent="0.35">
      <c r="A9356" t="s">
        <v>2857</v>
      </c>
      <c r="B9356" t="s">
        <v>2869</v>
      </c>
      <c r="C9356" t="s">
        <v>1450</v>
      </c>
      <c r="D9356" t="s">
        <v>2898</v>
      </c>
      <c r="E9356">
        <v>279511</v>
      </c>
      <c r="F9356" s="11">
        <v>1</v>
      </c>
    </row>
    <row r="9357" spans="1:6" x14ac:dyDescent="0.35">
      <c r="A9357" t="s">
        <v>2857</v>
      </c>
      <c r="B9357" t="s">
        <v>2869</v>
      </c>
      <c r="C9357" t="s">
        <v>1450</v>
      </c>
      <c r="D9357" t="s">
        <v>2899</v>
      </c>
      <c r="E9357">
        <v>6080</v>
      </c>
      <c r="F9357" s="11">
        <v>0</v>
      </c>
    </row>
    <row r="9358" spans="1:6" x14ac:dyDescent="0.35">
      <c r="A9358" t="s">
        <v>2857</v>
      </c>
      <c r="B9358" t="s">
        <v>2869</v>
      </c>
      <c r="C9358" t="s">
        <v>1450</v>
      </c>
      <c r="D9358" t="s">
        <v>2900</v>
      </c>
      <c r="E9358">
        <v>241</v>
      </c>
      <c r="F9358" s="11">
        <v>1</v>
      </c>
    </row>
    <row r="9359" spans="1:6" x14ac:dyDescent="0.35">
      <c r="A9359" t="s">
        <v>2857</v>
      </c>
      <c r="B9359" t="s">
        <v>2869</v>
      </c>
      <c r="C9359" t="s">
        <v>1450</v>
      </c>
      <c r="D9359" t="s">
        <v>2901</v>
      </c>
      <c r="E9359">
        <v>0</v>
      </c>
      <c r="F9359" s="11">
        <v>1</v>
      </c>
    </row>
    <row r="9360" spans="1:6" x14ac:dyDescent="0.35">
      <c r="A9360" t="s">
        <v>2857</v>
      </c>
      <c r="B9360" t="s">
        <v>2869</v>
      </c>
      <c r="C9360" t="s">
        <v>1450</v>
      </c>
      <c r="D9360" t="s">
        <v>2902</v>
      </c>
      <c r="E9360">
        <v>5839</v>
      </c>
      <c r="F9360" s="11">
        <v>1</v>
      </c>
    </row>
    <row r="9361" spans="1:6" x14ac:dyDescent="0.35">
      <c r="A9361" t="s">
        <v>2857</v>
      </c>
      <c r="B9361" t="s">
        <v>2869</v>
      </c>
      <c r="C9361" t="s">
        <v>1450</v>
      </c>
      <c r="D9361" t="s">
        <v>2903</v>
      </c>
      <c r="E9361">
        <v>46551</v>
      </c>
      <c r="F9361" s="11">
        <v>1</v>
      </c>
    </row>
    <row r="9362" spans="1:6" x14ac:dyDescent="0.35">
      <c r="A9362" t="s">
        <v>2857</v>
      </c>
      <c r="B9362" t="s">
        <v>2869</v>
      </c>
      <c r="C9362" t="s">
        <v>1450</v>
      </c>
      <c r="D9362" t="s">
        <v>2904</v>
      </c>
      <c r="E9362">
        <v>2887</v>
      </c>
      <c r="F9362" s="11">
        <v>1</v>
      </c>
    </row>
    <row r="9363" spans="1:6" x14ac:dyDescent="0.35">
      <c r="A9363" t="s">
        <v>2857</v>
      </c>
      <c r="B9363" t="s">
        <v>2869</v>
      </c>
      <c r="C9363" t="s">
        <v>1450</v>
      </c>
      <c r="D9363" t="s">
        <v>2905</v>
      </c>
      <c r="E9363">
        <v>1680</v>
      </c>
      <c r="F9363" s="11">
        <v>1</v>
      </c>
    </row>
    <row r="9364" spans="1:6" x14ac:dyDescent="0.35">
      <c r="A9364" t="s">
        <v>2857</v>
      </c>
      <c r="B9364" t="s">
        <v>2869</v>
      </c>
      <c r="C9364" t="s">
        <v>1450</v>
      </c>
      <c r="D9364" t="s">
        <v>2906</v>
      </c>
      <c r="E9364">
        <v>41984</v>
      </c>
      <c r="F9364" s="11">
        <v>1</v>
      </c>
    </row>
    <row r="9365" spans="1:6" x14ac:dyDescent="0.35">
      <c r="A9365" t="s">
        <v>2857</v>
      </c>
      <c r="B9365" t="s">
        <v>2869</v>
      </c>
      <c r="C9365" t="s">
        <v>1450</v>
      </c>
      <c r="D9365" t="s">
        <v>2907</v>
      </c>
      <c r="E9365">
        <v>65314</v>
      </c>
      <c r="F9365" s="11">
        <v>1</v>
      </c>
    </row>
    <row r="9366" spans="1:6" x14ac:dyDescent="0.35">
      <c r="A9366" t="s">
        <v>2857</v>
      </c>
      <c r="B9366" t="s">
        <v>2869</v>
      </c>
      <c r="C9366" t="s">
        <v>1450</v>
      </c>
      <c r="D9366" t="s">
        <v>2908</v>
      </c>
      <c r="E9366">
        <v>7468</v>
      </c>
      <c r="F9366" s="11">
        <v>1</v>
      </c>
    </row>
    <row r="9367" spans="1:6" x14ac:dyDescent="0.35">
      <c r="A9367" t="s">
        <v>2857</v>
      </c>
      <c r="B9367" t="s">
        <v>2869</v>
      </c>
      <c r="C9367" t="s">
        <v>1450</v>
      </c>
      <c r="D9367" t="s">
        <v>2909</v>
      </c>
      <c r="E9367">
        <v>1897</v>
      </c>
      <c r="F9367" s="11">
        <v>1</v>
      </c>
    </row>
    <row r="9368" spans="1:6" x14ac:dyDescent="0.35">
      <c r="A9368" t="s">
        <v>2857</v>
      </c>
      <c r="B9368" t="s">
        <v>2869</v>
      </c>
      <c r="C9368" t="s">
        <v>1450</v>
      </c>
      <c r="D9368" t="s">
        <v>2910</v>
      </c>
      <c r="E9368">
        <v>55949</v>
      </c>
      <c r="F9368" s="11">
        <v>1</v>
      </c>
    </row>
    <row r="9369" spans="1:6" x14ac:dyDescent="0.35">
      <c r="A9369" t="s">
        <v>2857</v>
      </c>
      <c r="B9369" t="s">
        <v>2869</v>
      </c>
      <c r="C9369" t="s">
        <v>1450</v>
      </c>
      <c r="D9369" t="s">
        <v>2911</v>
      </c>
      <c r="E9369">
        <v>0</v>
      </c>
      <c r="F9369" s="11">
        <v>1</v>
      </c>
    </row>
    <row r="9370" spans="1:6" x14ac:dyDescent="0.35">
      <c r="A9370" t="s">
        <v>2857</v>
      </c>
      <c r="B9370" t="s">
        <v>2869</v>
      </c>
      <c r="C9370" t="s">
        <v>1450</v>
      </c>
      <c r="D9370" t="s">
        <v>2912</v>
      </c>
      <c r="E9370">
        <v>0</v>
      </c>
      <c r="F9370" s="11">
        <v>1</v>
      </c>
    </row>
    <row r="9371" spans="1:6" x14ac:dyDescent="0.35">
      <c r="A9371" t="s">
        <v>2857</v>
      </c>
      <c r="B9371" t="s">
        <v>2869</v>
      </c>
      <c r="C9371" t="s">
        <v>1450</v>
      </c>
      <c r="D9371" t="s">
        <v>2913</v>
      </c>
      <c r="E9371">
        <v>0</v>
      </c>
      <c r="F9371" s="11">
        <v>0</v>
      </c>
    </row>
    <row r="9372" spans="1:6" x14ac:dyDescent="0.35">
      <c r="A9372" t="s">
        <v>2857</v>
      </c>
      <c r="B9372" t="s">
        <v>2869</v>
      </c>
      <c r="C9372" t="s">
        <v>1450</v>
      </c>
      <c r="D9372" t="s">
        <v>2914</v>
      </c>
      <c r="E9372">
        <v>0</v>
      </c>
      <c r="F9372" s="11">
        <v>0</v>
      </c>
    </row>
    <row r="9373" spans="1:6" x14ac:dyDescent="0.35">
      <c r="A9373" t="s">
        <v>2857</v>
      </c>
      <c r="B9373" t="s">
        <v>2869</v>
      </c>
      <c r="C9373" t="s">
        <v>1450</v>
      </c>
      <c r="D9373" t="s">
        <v>2915</v>
      </c>
      <c r="E9373">
        <v>3932</v>
      </c>
      <c r="F9373" s="11">
        <v>1</v>
      </c>
    </row>
    <row r="9374" spans="1:6" x14ac:dyDescent="0.35">
      <c r="A9374" t="s">
        <v>2857</v>
      </c>
      <c r="B9374" t="s">
        <v>2869</v>
      </c>
      <c r="C9374" t="s">
        <v>1450</v>
      </c>
      <c r="D9374" t="s">
        <v>2916</v>
      </c>
      <c r="E9374">
        <v>20108</v>
      </c>
      <c r="F9374" s="11">
        <v>1</v>
      </c>
    </row>
    <row r="9375" spans="1:6" x14ac:dyDescent="0.35">
      <c r="A9375" t="s">
        <v>2857</v>
      </c>
      <c r="B9375" t="s">
        <v>2869</v>
      </c>
      <c r="C9375" t="s">
        <v>1450</v>
      </c>
      <c r="D9375" t="s">
        <v>2917</v>
      </c>
      <c r="E9375">
        <v>62984</v>
      </c>
      <c r="F9375" s="11">
        <v>0</v>
      </c>
    </row>
    <row r="9376" spans="1:6" x14ac:dyDescent="0.35">
      <c r="A9376" t="s">
        <v>2857</v>
      </c>
      <c r="B9376" t="s">
        <v>2868</v>
      </c>
      <c r="C9376" t="s">
        <v>1459</v>
      </c>
      <c r="D9376" t="s">
        <v>2875</v>
      </c>
      <c r="E9376">
        <v>47010</v>
      </c>
      <c r="F9376" s="11">
        <v>1</v>
      </c>
    </row>
    <row r="9377" spans="1:6" x14ac:dyDescent="0.35">
      <c r="A9377" t="s">
        <v>2857</v>
      </c>
      <c r="B9377" t="s">
        <v>2868</v>
      </c>
      <c r="C9377" t="s">
        <v>1459</v>
      </c>
      <c r="D9377" t="s">
        <v>2876</v>
      </c>
      <c r="E9377">
        <v>15663</v>
      </c>
      <c r="F9377" s="11">
        <v>1</v>
      </c>
    </row>
    <row r="9378" spans="1:6" x14ac:dyDescent="0.35">
      <c r="A9378" t="s">
        <v>2857</v>
      </c>
      <c r="B9378" t="s">
        <v>2868</v>
      </c>
      <c r="C9378" t="s">
        <v>1459</v>
      </c>
      <c r="D9378" t="s">
        <v>2877</v>
      </c>
      <c r="E9378">
        <v>2810</v>
      </c>
      <c r="F9378" s="11">
        <v>1</v>
      </c>
    </row>
    <row r="9379" spans="1:6" x14ac:dyDescent="0.35">
      <c r="A9379" t="s">
        <v>2857</v>
      </c>
      <c r="B9379" t="s">
        <v>2868</v>
      </c>
      <c r="C9379" t="s">
        <v>1459</v>
      </c>
      <c r="D9379" t="s">
        <v>2878</v>
      </c>
      <c r="E9379">
        <v>28537</v>
      </c>
      <c r="F9379" s="11">
        <v>1</v>
      </c>
    </row>
    <row r="9380" spans="1:6" x14ac:dyDescent="0.35">
      <c r="A9380" t="s">
        <v>2857</v>
      </c>
      <c r="B9380" t="s">
        <v>2868</v>
      </c>
      <c r="C9380" t="s">
        <v>1459</v>
      </c>
      <c r="D9380" t="s">
        <v>2879</v>
      </c>
      <c r="E9380">
        <v>9633</v>
      </c>
      <c r="F9380" s="11">
        <v>1</v>
      </c>
    </row>
    <row r="9381" spans="1:6" x14ac:dyDescent="0.35">
      <c r="A9381" t="s">
        <v>2857</v>
      </c>
      <c r="B9381" t="s">
        <v>2868</v>
      </c>
      <c r="C9381" t="s">
        <v>1459</v>
      </c>
      <c r="D9381" t="s">
        <v>2880</v>
      </c>
      <c r="E9381">
        <v>0</v>
      </c>
      <c r="F9381" s="11">
        <v>0</v>
      </c>
    </row>
    <row r="9382" spans="1:6" x14ac:dyDescent="0.35">
      <c r="A9382" t="s">
        <v>2857</v>
      </c>
      <c r="B9382" t="s">
        <v>2868</v>
      </c>
      <c r="C9382" t="s">
        <v>1459</v>
      </c>
      <c r="D9382" t="s">
        <v>2881</v>
      </c>
      <c r="E9382">
        <v>0</v>
      </c>
      <c r="F9382" s="11">
        <v>0</v>
      </c>
    </row>
    <row r="9383" spans="1:6" x14ac:dyDescent="0.35">
      <c r="A9383" t="s">
        <v>2857</v>
      </c>
      <c r="B9383" t="s">
        <v>2868</v>
      </c>
      <c r="C9383" t="s">
        <v>1459</v>
      </c>
      <c r="D9383" t="s">
        <v>2882</v>
      </c>
      <c r="E9383">
        <v>0</v>
      </c>
      <c r="F9383" s="11">
        <v>0</v>
      </c>
    </row>
    <row r="9384" spans="1:6" x14ac:dyDescent="0.35">
      <c r="A9384" t="s">
        <v>2857</v>
      </c>
      <c r="B9384" t="s">
        <v>2868</v>
      </c>
      <c r="C9384" t="s">
        <v>1459</v>
      </c>
      <c r="D9384" t="s">
        <v>2883</v>
      </c>
      <c r="E9384">
        <v>0</v>
      </c>
      <c r="F9384" s="11">
        <v>1</v>
      </c>
    </row>
    <row r="9385" spans="1:6" x14ac:dyDescent="0.35">
      <c r="A9385" t="s">
        <v>2857</v>
      </c>
      <c r="B9385" t="s">
        <v>2868</v>
      </c>
      <c r="C9385" t="s">
        <v>1459</v>
      </c>
      <c r="D9385" t="s">
        <v>2884</v>
      </c>
      <c r="E9385">
        <v>0</v>
      </c>
      <c r="F9385" s="11">
        <v>1</v>
      </c>
    </row>
    <row r="9386" spans="1:6" x14ac:dyDescent="0.35">
      <c r="A9386" t="s">
        <v>2857</v>
      </c>
      <c r="B9386" t="s">
        <v>2868</v>
      </c>
      <c r="C9386" t="s">
        <v>1459</v>
      </c>
      <c r="D9386" t="s">
        <v>2885</v>
      </c>
      <c r="E9386">
        <v>0</v>
      </c>
      <c r="F9386" s="11">
        <v>0</v>
      </c>
    </row>
    <row r="9387" spans="1:6" x14ac:dyDescent="0.35">
      <c r="A9387" t="s">
        <v>2857</v>
      </c>
      <c r="B9387" t="s">
        <v>2868</v>
      </c>
      <c r="C9387" t="s">
        <v>1459</v>
      </c>
      <c r="D9387" t="s">
        <v>2886</v>
      </c>
      <c r="E9387">
        <v>0</v>
      </c>
      <c r="F9387" s="11">
        <v>0</v>
      </c>
    </row>
    <row r="9388" spans="1:6" x14ac:dyDescent="0.35">
      <c r="A9388" t="s">
        <v>2857</v>
      </c>
      <c r="B9388" t="s">
        <v>2868</v>
      </c>
      <c r="C9388" t="s">
        <v>1459</v>
      </c>
      <c r="D9388" t="s">
        <v>2887</v>
      </c>
      <c r="E9388">
        <v>151711</v>
      </c>
      <c r="F9388" s="11">
        <v>1</v>
      </c>
    </row>
    <row r="9389" spans="1:6" x14ac:dyDescent="0.35">
      <c r="A9389" t="s">
        <v>2857</v>
      </c>
      <c r="B9389" t="s">
        <v>2868</v>
      </c>
      <c r="C9389" t="s">
        <v>1459</v>
      </c>
      <c r="D9389" t="s">
        <v>2888</v>
      </c>
      <c r="E9389">
        <v>72331</v>
      </c>
      <c r="F9389" s="11">
        <v>1</v>
      </c>
    </row>
    <row r="9390" spans="1:6" x14ac:dyDescent="0.35">
      <c r="A9390" t="s">
        <v>2857</v>
      </c>
      <c r="B9390" t="s">
        <v>2868</v>
      </c>
      <c r="C9390" t="s">
        <v>1459</v>
      </c>
      <c r="D9390" t="s">
        <v>2889</v>
      </c>
      <c r="E9390">
        <v>0</v>
      </c>
      <c r="F9390" s="11">
        <v>1</v>
      </c>
    </row>
    <row r="9391" spans="1:6" x14ac:dyDescent="0.35">
      <c r="A9391" t="s">
        <v>2857</v>
      </c>
      <c r="B9391" t="s">
        <v>2868</v>
      </c>
      <c r="C9391" t="s">
        <v>1459</v>
      </c>
      <c r="D9391" t="s">
        <v>2890</v>
      </c>
      <c r="E9391">
        <v>79380</v>
      </c>
      <c r="F9391" s="11">
        <v>0</v>
      </c>
    </row>
    <row r="9392" spans="1:6" x14ac:dyDescent="0.35">
      <c r="A9392" t="s">
        <v>2857</v>
      </c>
      <c r="B9392" t="s">
        <v>2868</v>
      </c>
      <c r="C9392" t="s">
        <v>1459</v>
      </c>
      <c r="D9392" t="s">
        <v>2891</v>
      </c>
      <c r="E9392">
        <v>0</v>
      </c>
      <c r="F9392" s="11">
        <v>1</v>
      </c>
    </row>
    <row r="9393" spans="1:6" x14ac:dyDescent="0.35">
      <c r="A9393" t="s">
        <v>2857</v>
      </c>
      <c r="B9393" t="s">
        <v>2868</v>
      </c>
      <c r="C9393" t="s">
        <v>1459</v>
      </c>
      <c r="D9393" t="s">
        <v>2892</v>
      </c>
      <c r="E9393">
        <v>0</v>
      </c>
      <c r="F9393" s="11">
        <v>1</v>
      </c>
    </row>
    <row r="9394" spans="1:6" x14ac:dyDescent="0.35">
      <c r="A9394" t="s">
        <v>2857</v>
      </c>
      <c r="B9394" t="s">
        <v>2868</v>
      </c>
      <c r="C9394" t="s">
        <v>1459</v>
      </c>
      <c r="D9394" t="s">
        <v>2893</v>
      </c>
      <c r="E9394">
        <v>0</v>
      </c>
      <c r="F9394" s="11">
        <v>0</v>
      </c>
    </row>
    <row r="9395" spans="1:6" x14ac:dyDescent="0.35">
      <c r="A9395" t="s">
        <v>2857</v>
      </c>
      <c r="B9395" t="s">
        <v>2868</v>
      </c>
      <c r="C9395" t="s">
        <v>1459</v>
      </c>
      <c r="D9395" t="s">
        <v>2894</v>
      </c>
      <c r="E9395">
        <v>0</v>
      </c>
      <c r="F9395" s="11">
        <v>0</v>
      </c>
    </row>
    <row r="9396" spans="1:6" x14ac:dyDescent="0.35">
      <c r="A9396" t="s">
        <v>2857</v>
      </c>
      <c r="B9396" t="s">
        <v>2868</v>
      </c>
      <c r="C9396" t="s">
        <v>1459</v>
      </c>
      <c r="D9396" t="s">
        <v>2895</v>
      </c>
      <c r="E9396">
        <v>1369276</v>
      </c>
      <c r="F9396" s="11">
        <v>1</v>
      </c>
    </row>
    <row r="9397" spans="1:6" x14ac:dyDescent="0.35">
      <c r="A9397" t="s">
        <v>2857</v>
      </c>
      <c r="B9397" t="s">
        <v>2868</v>
      </c>
      <c r="C9397" t="s">
        <v>1459</v>
      </c>
      <c r="D9397" t="s">
        <v>2896</v>
      </c>
      <c r="E9397">
        <v>0</v>
      </c>
      <c r="F9397" s="11">
        <v>0</v>
      </c>
    </row>
    <row r="9398" spans="1:6" x14ac:dyDescent="0.35">
      <c r="A9398" t="s">
        <v>2857</v>
      </c>
      <c r="B9398" t="s">
        <v>2868</v>
      </c>
      <c r="C9398" t="s">
        <v>1459</v>
      </c>
      <c r="D9398" t="s">
        <v>2897</v>
      </c>
      <c r="E9398">
        <v>19557</v>
      </c>
      <c r="F9398" s="11">
        <v>1</v>
      </c>
    </row>
    <row r="9399" spans="1:6" x14ac:dyDescent="0.35">
      <c r="A9399" t="s">
        <v>2857</v>
      </c>
      <c r="B9399" t="s">
        <v>2868</v>
      </c>
      <c r="C9399" t="s">
        <v>1459</v>
      </c>
      <c r="D9399" t="s">
        <v>2898</v>
      </c>
      <c r="E9399">
        <v>844182</v>
      </c>
      <c r="F9399" s="11">
        <v>1</v>
      </c>
    </row>
    <row r="9400" spans="1:6" x14ac:dyDescent="0.35">
      <c r="A9400" t="s">
        <v>2857</v>
      </c>
      <c r="B9400" t="s">
        <v>2868</v>
      </c>
      <c r="C9400" t="s">
        <v>1459</v>
      </c>
      <c r="D9400" t="s">
        <v>2899</v>
      </c>
      <c r="E9400">
        <v>5088</v>
      </c>
      <c r="F9400" s="11">
        <v>1</v>
      </c>
    </row>
    <row r="9401" spans="1:6" x14ac:dyDescent="0.35">
      <c r="A9401" t="s">
        <v>2857</v>
      </c>
      <c r="B9401" t="s">
        <v>2868</v>
      </c>
      <c r="C9401" t="s">
        <v>1459</v>
      </c>
      <c r="D9401" t="s">
        <v>2900</v>
      </c>
      <c r="E9401">
        <v>0</v>
      </c>
      <c r="F9401" s="11">
        <v>1</v>
      </c>
    </row>
    <row r="9402" spans="1:6" x14ac:dyDescent="0.35">
      <c r="A9402" t="s">
        <v>2857</v>
      </c>
      <c r="B9402" t="s">
        <v>2868</v>
      </c>
      <c r="C9402" t="s">
        <v>1459</v>
      </c>
      <c r="D9402" t="s">
        <v>2901</v>
      </c>
      <c r="E9402">
        <v>0</v>
      </c>
      <c r="F9402" s="11">
        <v>0</v>
      </c>
    </row>
    <row r="9403" spans="1:6" x14ac:dyDescent="0.35">
      <c r="A9403" t="s">
        <v>2857</v>
      </c>
      <c r="B9403" t="s">
        <v>2868</v>
      </c>
      <c r="C9403" t="s">
        <v>1459</v>
      </c>
      <c r="D9403" t="s">
        <v>2902</v>
      </c>
      <c r="E9403">
        <v>0</v>
      </c>
      <c r="F9403" s="11">
        <v>0</v>
      </c>
    </row>
    <row r="9404" spans="1:6" x14ac:dyDescent="0.35">
      <c r="A9404" t="s">
        <v>2857</v>
      </c>
      <c r="B9404" t="s">
        <v>2868</v>
      </c>
      <c r="C9404" t="s">
        <v>1459</v>
      </c>
      <c r="D9404" t="s">
        <v>2903</v>
      </c>
      <c r="E9404">
        <v>73568</v>
      </c>
      <c r="F9404" s="11">
        <v>1</v>
      </c>
    </row>
    <row r="9405" spans="1:6" x14ac:dyDescent="0.35">
      <c r="A9405" t="s">
        <v>2857</v>
      </c>
      <c r="B9405" t="s">
        <v>2868</v>
      </c>
      <c r="C9405" t="s">
        <v>1459</v>
      </c>
      <c r="D9405" t="s">
        <v>2904</v>
      </c>
      <c r="E9405">
        <v>5129</v>
      </c>
      <c r="F9405" s="11">
        <v>1</v>
      </c>
    </row>
    <row r="9406" spans="1:6" x14ac:dyDescent="0.35">
      <c r="A9406" t="s">
        <v>2857</v>
      </c>
      <c r="B9406" t="s">
        <v>2868</v>
      </c>
      <c r="C9406" t="s">
        <v>1459</v>
      </c>
      <c r="D9406" t="s">
        <v>2905</v>
      </c>
      <c r="E9406">
        <v>3957</v>
      </c>
      <c r="F9406" s="11">
        <v>1</v>
      </c>
    </row>
    <row r="9407" spans="1:6" x14ac:dyDescent="0.35">
      <c r="A9407" t="s">
        <v>2857</v>
      </c>
      <c r="B9407" t="s">
        <v>2868</v>
      </c>
      <c r="C9407" t="s">
        <v>1459</v>
      </c>
      <c r="D9407" t="s">
        <v>2906</v>
      </c>
      <c r="E9407">
        <v>64482</v>
      </c>
      <c r="F9407" s="11">
        <v>1</v>
      </c>
    </row>
    <row r="9408" spans="1:6" x14ac:dyDescent="0.35">
      <c r="A9408" t="s">
        <v>2857</v>
      </c>
      <c r="B9408" t="s">
        <v>2868</v>
      </c>
      <c r="C9408" t="s">
        <v>1459</v>
      </c>
      <c r="D9408" t="s">
        <v>2907</v>
      </c>
      <c r="E9408">
        <v>160893</v>
      </c>
      <c r="F9408" s="11">
        <v>1</v>
      </c>
    </row>
    <row r="9409" spans="1:6" x14ac:dyDescent="0.35">
      <c r="A9409" t="s">
        <v>2857</v>
      </c>
      <c r="B9409" t="s">
        <v>2868</v>
      </c>
      <c r="C9409" t="s">
        <v>1459</v>
      </c>
      <c r="D9409" t="s">
        <v>2908</v>
      </c>
      <c r="E9409">
        <v>16626</v>
      </c>
      <c r="F9409" s="11">
        <v>1</v>
      </c>
    </row>
    <row r="9410" spans="1:6" x14ac:dyDescent="0.35">
      <c r="A9410" t="s">
        <v>2857</v>
      </c>
      <c r="B9410" t="s">
        <v>2868</v>
      </c>
      <c r="C9410" t="s">
        <v>1459</v>
      </c>
      <c r="D9410" t="s">
        <v>2909</v>
      </c>
      <c r="E9410">
        <v>5622</v>
      </c>
      <c r="F9410" s="11">
        <v>1</v>
      </c>
    </row>
    <row r="9411" spans="1:6" x14ac:dyDescent="0.35">
      <c r="A9411" t="s">
        <v>2857</v>
      </c>
      <c r="B9411" t="s">
        <v>2868</v>
      </c>
      <c r="C9411" t="s">
        <v>1459</v>
      </c>
      <c r="D9411" t="s">
        <v>2910</v>
      </c>
      <c r="E9411">
        <v>138645</v>
      </c>
      <c r="F9411" s="11">
        <v>1</v>
      </c>
    </row>
    <row r="9412" spans="1:6" x14ac:dyDescent="0.35">
      <c r="A9412" t="s">
        <v>2857</v>
      </c>
      <c r="B9412" t="s">
        <v>2868</v>
      </c>
      <c r="C9412" t="s">
        <v>1459</v>
      </c>
      <c r="D9412" t="s">
        <v>2911</v>
      </c>
      <c r="E9412">
        <v>57335</v>
      </c>
      <c r="F9412" s="11">
        <v>0</v>
      </c>
    </row>
    <row r="9413" spans="1:6" x14ac:dyDescent="0.35">
      <c r="A9413" t="s">
        <v>2857</v>
      </c>
      <c r="B9413" t="s">
        <v>2868</v>
      </c>
      <c r="C9413" t="s">
        <v>1459</v>
      </c>
      <c r="D9413" t="s">
        <v>2912</v>
      </c>
      <c r="E9413">
        <v>1730435</v>
      </c>
      <c r="F9413" s="11">
        <v>1</v>
      </c>
    </row>
    <row r="9414" spans="1:6" x14ac:dyDescent="0.35">
      <c r="A9414" t="s">
        <v>2857</v>
      </c>
      <c r="B9414" t="s">
        <v>2868</v>
      </c>
      <c r="C9414" t="s">
        <v>1459</v>
      </c>
      <c r="D9414" t="s">
        <v>2913</v>
      </c>
      <c r="E9414">
        <v>84971</v>
      </c>
      <c r="F9414" s="11">
        <v>1</v>
      </c>
    </row>
    <row r="9415" spans="1:6" x14ac:dyDescent="0.35">
      <c r="A9415" t="s">
        <v>2857</v>
      </c>
      <c r="B9415" t="s">
        <v>2868</v>
      </c>
      <c r="C9415" t="s">
        <v>1459</v>
      </c>
      <c r="D9415" t="s">
        <v>2914</v>
      </c>
      <c r="E9415">
        <v>5271</v>
      </c>
      <c r="F9415" s="11">
        <v>1</v>
      </c>
    </row>
    <row r="9416" spans="1:6" x14ac:dyDescent="0.35">
      <c r="A9416" t="s">
        <v>2857</v>
      </c>
      <c r="B9416" t="s">
        <v>2868</v>
      </c>
      <c r="C9416" t="s">
        <v>1459</v>
      </c>
      <c r="D9416" t="s">
        <v>2915</v>
      </c>
      <c r="E9416">
        <v>1939</v>
      </c>
      <c r="F9416" s="11">
        <v>1</v>
      </c>
    </row>
    <row r="9417" spans="1:6" x14ac:dyDescent="0.35">
      <c r="A9417" t="s">
        <v>2857</v>
      </c>
      <c r="B9417" t="s">
        <v>2868</v>
      </c>
      <c r="C9417" t="s">
        <v>1459</v>
      </c>
      <c r="D9417" t="s">
        <v>2916</v>
      </c>
      <c r="E9417">
        <v>138146.76999999999</v>
      </c>
      <c r="F9417" s="11">
        <v>1</v>
      </c>
    </row>
    <row r="9418" spans="1:6" x14ac:dyDescent="0.35">
      <c r="A9418" t="s">
        <v>2857</v>
      </c>
      <c r="B9418" t="s">
        <v>2868</v>
      </c>
      <c r="C9418" t="s">
        <v>1459</v>
      </c>
      <c r="D9418" t="s">
        <v>2917</v>
      </c>
      <c r="E9418">
        <v>0</v>
      </c>
      <c r="F9418" s="11">
        <v>0</v>
      </c>
    </row>
    <row r="9419" spans="1:6" x14ac:dyDescent="0.35">
      <c r="A9419" t="s">
        <v>2857</v>
      </c>
      <c r="B9419" t="s">
        <v>2867</v>
      </c>
      <c r="C9419" t="s">
        <v>1509</v>
      </c>
      <c r="D9419" t="s">
        <v>2875</v>
      </c>
      <c r="E9419">
        <v>25294</v>
      </c>
      <c r="F9419" s="11">
        <v>1</v>
      </c>
    </row>
    <row r="9420" spans="1:6" x14ac:dyDescent="0.35">
      <c r="A9420" t="s">
        <v>2857</v>
      </c>
      <c r="B9420" t="s">
        <v>2867</v>
      </c>
      <c r="C9420" t="s">
        <v>1509</v>
      </c>
      <c r="D9420" t="s">
        <v>2876</v>
      </c>
      <c r="E9420">
        <v>0</v>
      </c>
      <c r="F9420" s="11">
        <v>0</v>
      </c>
    </row>
    <row r="9421" spans="1:6" x14ac:dyDescent="0.35">
      <c r="A9421" t="s">
        <v>2857</v>
      </c>
      <c r="B9421" t="s">
        <v>2867</v>
      </c>
      <c r="C9421" t="s">
        <v>1509</v>
      </c>
      <c r="D9421" t="s">
        <v>2877</v>
      </c>
      <c r="E9421">
        <v>0</v>
      </c>
      <c r="F9421" s="11">
        <v>0</v>
      </c>
    </row>
    <row r="9422" spans="1:6" x14ac:dyDescent="0.35">
      <c r="A9422" t="s">
        <v>2857</v>
      </c>
      <c r="B9422" t="s">
        <v>2867</v>
      </c>
      <c r="C9422" t="s">
        <v>1509</v>
      </c>
      <c r="D9422" t="s">
        <v>2878</v>
      </c>
      <c r="E9422">
        <v>0</v>
      </c>
      <c r="F9422" s="11">
        <v>0</v>
      </c>
    </row>
    <row r="9423" spans="1:6" x14ac:dyDescent="0.35">
      <c r="A9423" t="s">
        <v>2857</v>
      </c>
      <c r="B9423" t="s">
        <v>2867</v>
      </c>
      <c r="C9423" t="s">
        <v>1509</v>
      </c>
      <c r="D9423" t="s">
        <v>2879</v>
      </c>
      <c r="E9423">
        <v>3587</v>
      </c>
      <c r="F9423" s="11">
        <v>0</v>
      </c>
    </row>
    <row r="9424" spans="1:6" x14ac:dyDescent="0.35">
      <c r="A9424" t="s">
        <v>2857</v>
      </c>
      <c r="B9424" t="s">
        <v>2867</v>
      </c>
      <c r="C9424" t="s">
        <v>1509</v>
      </c>
      <c r="D9424" t="s">
        <v>2880</v>
      </c>
      <c r="E9424">
        <v>2335</v>
      </c>
      <c r="F9424" s="11">
        <v>1</v>
      </c>
    </row>
    <row r="9425" spans="1:6" x14ac:dyDescent="0.35">
      <c r="A9425" t="s">
        <v>2857</v>
      </c>
      <c r="B9425" t="s">
        <v>2867</v>
      </c>
      <c r="C9425" t="s">
        <v>1509</v>
      </c>
      <c r="D9425" t="s">
        <v>2881</v>
      </c>
      <c r="E9425">
        <v>29</v>
      </c>
      <c r="F9425" s="11">
        <v>1</v>
      </c>
    </row>
    <row r="9426" spans="1:6" x14ac:dyDescent="0.35">
      <c r="A9426" t="s">
        <v>2857</v>
      </c>
      <c r="B9426" t="s">
        <v>2867</v>
      </c>
      <c r="C9426" t="s">
        <v>1509</v>
      </c>
      <c r="D9426" t="s">
        <v>2882</v>
      </c>
      <c r="E9426">
        <v>1223</v>
      </c>
      <c r="F9426" s="11">
        <v>1</v>
      </c>
    </row>
    <row r="9427" spans="1:6" x14ac:dyDescent="0.35">
      <c r="A9427" t="s">
        <v>2857</v>
      </c>
      <c r="B9427" t="s">
        <v>2867</v>
      </c>
      <c r="C9427" t="s">
        <v>1509</v>
      </c>
      <c r="D9427" t="s">
        <v>2883</v>
      </c>
      <c r="E9427">
        <v>5</v>
      </c>
      <c r="F9427" s="11">
        <v>0</v>
      </c>
    </row>
    <row r="9428" spans="1:6" x14ac:dyDescent="0.35">
      <c r="A9428" t="s">
        <v>2857</v>
      </c>
      <c r="B9428" t="s">
        <v>2867</v>
      </c>
      <c r="C9428" t="s">
        <v>1509</v>
      </c>
      <c r="D9428" t="s">
        <v>2884</v>
      </c>
      <c r="E9428">
        <v>0</v>
      </c>
      <c r="F9428" s="11">
        <v>1</v>
      </c>
    </row>
    <row r="9429" spans="1:6" x14ac:dyDescent="0.35">
      <c r="A9429" t="s">
        <v>2857</v>
      </c>
      <c r="B9429" t="s">
        <v>2867</v>
      </c>
      <c r="C9429" t="s">
        <v>1509</v>
      </c>
      <c r="D9429" t="s">
        <v>2885</v>
      </c>
      <c r="E9429">
        <v>0</v>
      </c>
      <c r="F9429" s="11">
        <v>0</v>
      </c>
    </row>
    <row r="9430" spans="1:6" x14ac:dyDescent="0.35">
      <c r="A9430" t="s">
        <v>2857</v>
      </c>
      <c r="B9430" t="s">
        <v>2867</v>
      </c>
      <c r="C9430" t="s">
        <v>1509</v>
      </c>
      <c r="D9430" t="s">
        <v>2886</v>
      </c>
      <c r="E9430">
        <v>5</v>
      </c>
      <c r="F9430" s="11">
        <v>0</v>
      </c>
    </row>
    <row r="9431" spans="1:6" x14ac:dyDescent="0.35">
      <c r="A9431" t="s">
        <v>2857</v>
      </c>
      <c r="B9431" t="s">
        <v>2867</v>
      </c>
      <c r="C9431" t="s">
        <v>1509</v>
      </c>
      <c r="D9431" t="s">
        <v>2887</v>
      </c>
      <c r="E9431">
        <v>54896</v>
      </c>
      <c r="F9431" s="11">
        <v>1</v>
      </c>
    </row>
    <row r="9432" spans="1:6" x14ac:dyDescent="0.35">
      <c r="A9432" t="s">
        <v>2857</v>
      </c>
      <c r="B9432" t="s">
        <v>2867</v>
      </c>
      <c r="C9432" t="s">
        <v>1509</v>
      </c>
      <c r="D9432" t="s">
        <v>2888</v>
      </c>
      <c r="E9432">
        <v>39681</v>
      </c>
      <c r="F9432" s="11">
        <v>1</v>
      </c>
    </row>
    <row r="9433" spans="1:6" x14ac:dyDescent="0.35">
      <c r="A9433" t="s">
        <v>2857</v>
      </c>
      <c r="B9433" t="s">
        <v>2867</v>
      </c>
      <c r="C9433" t="s">
        <v>1509</v>
      </c>
      <c r="D9433" t="s">
        <v>2889</v>
      </c>
      <c r="E9433">
        <v>224</v>
      </c>
      <c r="F9433" s="11">
        <v>1</v>
      </c>
    </row>
    <row r="9434" spans="1:6" x14ac:dyDescent="0.35">
      <c r="A9434" t="s">
        <v>2857</v>
      </c>
      <c r="B9434" t="s">
        <v>2867</v>
      </c>
      <c r="C9434" t="s">
        <v>1509</v>
      </c>
      <c r="D9434" t="s">
        <v>2890</v>
      </c>
      <c r="E9434">
        <v>15051</v>
      </c>
      <c r="F9434" s="11">
        <v>1</v>
      </c>
    </row>
    <row r="9435" spans="1:6" x14ac:dyDescent="0.35">
      <c r="A9435" t="s">
        <v>2857</v>
      </c>
      <c r="B9435" t="s">
        <v>2867</v>
      </c>
      <c r="C9435" t="s">
        <v>1509</v>
      </c>
      <c r="D9435" t="s">
        <v>2891</v>
      </c>
      <c r="E9435">
        <v>103</v>
      </c>
      <c r="F9435" s="11">
        <v>1</v>
      </c>
    </row>
    <row r="9436" spans="1:6" x14ac:dyDescent="0.35">
      <c r="A9436" t="s">
        <v>2857</v>
      </c>
      <c r="B9436" t="s">
        <v>2867</v>
      </c>
      <c r="C9436" t="s">
        <v>1509</v>
      </c>
      <c r="D9436" t="s">
        <v>2892</v>
      </c>
      <c r="E9436">
        <v>87</v>
      </c>
      <c r="F9436" s="11">
        <v>0</v>
      </c>
    </row>
    <row r="9437" spans="1:6" x14ac:dyDescent="0.35">
      <c r="A9437" t="s">
        <v>2857</v>
      </c>
      <c r="B9437" t="s">
        <v>2867</v>
      </c>
      <c r="C9437" t="s">
        <v>1509</v>
      </c>
      <c r="D9437" t="s">
        <v>2893</v>
      </c>
      <c r="E9437">
        <v>0</v>
      </c>
      <c r="F9437" s="11">
        <v>0</v>
      </c>
    </row>
    <row r="9438" spans="1:6" x14ac:dyDescent="0.35">
      <c r="A9438" t="s">
        <v>2857</v>
      </c>
      <c r="B9438" t="s">
        <v>2867</v>
      </c>
      <c r="C9438" t="s">
        <v>1509</v>
      </c>
      <c r="D9438" t="s">
        <v>2894</v>
      </c>
      <c r="E9438">
        <v>190</v>
      </c>
      <c r="F9438" s="11">
        <v>0</v>
      </c>
    </row>
    <row r="9439" spans="1:6" x14ac:dyDescent="0.35">
      <c r="A9439" t="s">
        <v>2857</v>
      </c>
      <c r="B9439" t="s">
        <v>2867</v>
      </c>
      <c r="C9439" t="s">
        <v>1509</v>
      </c>
      <c r="D9439" t="s">
        <v>2895</v>
      </c>
      <c r="E9439">
        <v>624299</v>
      </c>
      <c r="F9439" s="11">
        <v>1</v>
      </c>
    </row>
    <row r="9440" spans="1:6" x14ac:dyDescent="0.35">
      <c r="A9440" t="s">
        <v>2857</v>
      </c>
      <c r="B9440" t="s">
        <v>2867</v>
      </c>
      <c r="C9440" t="s">
        <v>1509</v>
      </c>
      <c r="D9440" t="s">
        <v>2896</v>
      </c>
      <c r="E9440">
        <v>270467</v>
      </c>
      <c r="F9440" s="11">
        <v>1</v>
      </c>
    </row>
    <row r="9441" spans="1:6" x14ac:dyDescent="0.35">
      <c r="A9441" t="s">
        <v>2857</v>
      </c>
      <c r="B9441" t="s">
        <v>2867</v>
      </c>
      <c r="C9441" t="s">
        <v>1509</v>
      </c>
      <c r="D9441" t="s">
        <v>2897</v>
      </c>
      <c r="E9441">
        <v>11420</v>
      </c>
      <c r="F9441" s="11">
        <v>1</v>
      </c>
    </row>
    <row r="9442" spans="1:6" x14ac:dyDescent="0.35">
      <c r="A9442" t="s">
        <v>2857</v>
      </c>
      <c r="B9442" t="s">
        <v>2867</v>
      </c>
      <c r="C9442" t="s">
        <v>1509</v>
      </c>
      <c r="D9442" t="s">
        <v>2898</v>
      </c>
      <c r="E9442">
        <v>341534</v>
      </c>
      <c r="F9442" s="11">
        <v>1</v>
      </c>
    </row>
    <row r="9443" spans="1:6" x14ac:dyDescent="0.35">
      <c r="A9443" t="s">
        <v>2857</v>
      </c>
      <c r="B9443" t="s">
        <v>2867</v>
      </c>
      <c r="C9443" t="s">
        <v>1509</v>
      </c>
      <c r="D9443" t="s">
        <v>2899</v>
      </c>
      <c r="E9443">
        <v>0</v>
      </c>
      <c r="F9443" s="11">
        <v>1</v>
      </c>
    </row>
    <row r="9444" spans="1:6" x14ac:dyDescent="0.35">
      <c r="A9444" t="s">
        <v>2857</v>
      </c>
      <c r="B9444" t="s">
        <v>2867</v>
      </c>
      <c r="C9444" t="s">
        <v>1509</v>
      </c>
      <c r="D9444" t="s">
        <v>2900</v>
      </c>
      <c r="E9444">
        <v>0</v>
      </c>
      <c r="F9444" s="11">
        <v>1</v>
      </c>
    </row>
    <row r="9445" spans="1:6" x14ac:dyDescent="0.35">
      <c r="A9445" t="s">
        <v>2857</v>
      </c>
      <c r="B9445" t="s">
        <v>2867</v>
      </c>
      <c r="C9445" t="s">
        <v>1509</v>
      </c>
      <c r="D9445" t="s">
        <v>2901</v>
      </c>
      <c r="E9445">
        <v>0</v>
      </c>
      <c r="F9445" s="11">
        <v>1</v>
      </c>
    </row>
    <row r="9446" spans="1:6" x14ac:dyDescent="0.35">
      <c r="A9446" t="s">
        <v>2857</v>
      </c>
      <c r="B9446" t="s">
        <v>2867</v>
      </c>
      <c r="C9446" t="s">
        <v>1509</v>
      </c>
      <c r="D9446" t="s">
        <v>2902</v>
      </c>
      <c r="E9446">
        <v>0</v>
      </c>
      <c r="F9446" s="11">
        <v>0</v>
      </c>
    </row>
    <row r="9447" spans="1:6" x14ac:dyDescent="0.35">
      <c r="A9447" t="s">
        <v>2857</v>
      </c>
      <c r="B9447" t="s">
        <v>2867</v>
      </c>
      <c r="C9447" t="s">
        <v>1509</v>
      </c>
      <c r="D9447" t="s">
        <v>2903</v>
      </c>
      <c r="E9447">
        <v>54810</v>
      </c>
      <c r="F9447" s="11">
        <v>1</v>
      </c>
    </row>
    <row r="9448" spans="1:6" x14ac:dyDescent="0.35">
      <c r="A9448" t="s">
        <v>2857</v>
      </c>
      <c r="B9448" t="s">
        <v>2867</v>
      </c>
      <c r="C9448" t="s">
        <v>1509</v>
      </c>
      <c r="D9448" t="s">
        <v>2904</v>
      </c>
      <c r="E9448">
        <v>4315</v>
      </c>
      <c r="F9448" s="11">
        <v>1</v>
      </c>
    </row>
    <row r="9449" spans="1:6" x14ac:dyDescent="0.35">
      <c r="A9449" t="s">
        <v>2857</v>
      </c>
      <c r="B9449" t="s">
        <v>2867</v>
      </c>
      <c r="C9449" t="s">
        <v>1509</v>
      </c>
      <c r="D9449" t="s">
        <v>2905</v>
      </c>
      <c r="E9449">
        <v>0</v>
      </c>
      <c r="F9449" s="11">
        <v>1</v>
      </c>
    </row>
    <row r="9450" spans="1:6" x14ac:dyDescent="0.35">
      <c r="A9450" t="s">
        <v>2857</v>
      </c>
      <c r="B9450" t="s">
        <v>2867</v>
      </c>
      <c r="C9450" t="s">
        <v>1509</v>
      </c>
      <c r="D9450" t="s">
        <v>2906</v>
      </c>
      <c r="E9450">
        <v>50496</v>
      </c>
      <c r="F9450" s="11">
        <v>0</v>
      </c>
    </row>
    <row r="9451" spans="1:6" x14ac:dyDescent="0.35">
      <c r="A9451" t="s">
        <v>2857</v>
      </c>
      <c r="B9451" t="s">
        <v>2867</v>
      </c>
      <c r="C9451" t="s">
        <v>1509</v>
      </c>
      <c r="D9451" t="s">
        <v>2907</v>
      </c>
      <c r="E9451">
        <v>68863</v>
      </c>
      <c r="F9451" s="11">
        <v>1</v>
      </c>
    </row>
    <row r="9452" spans="1:6" x14ac:dyDescent="0.35">
      <c r="A9452" t="s">
        <v>2857</v>
      </c>
      <c r="B9452" t="s">
        <v>2867</v>
      </c>
      <c r="C9452" t="s">
        <v>1509</v>
      </c>
      <c r="D9452" t="s">
        <v>2908</v>
      </c>
      <c r="E9452">
        <v>10036</v>
      </c>
      <c r="F9452" s="11">
        <v>1</v>
      </c>
    </row>
    <row r="9453" spans="1:6" x14ac:dyDescent="0.35">
      <c r="A9453" t="s">
        <v>2857</v>
      </c>
      <c r="B9453" t="s">
        <v>2867</v>
      </c>
      <c r="C9453" t="s">
        <v>1509</v>
      </c>
      <c r="D9453" t="s">
        <v>2909</v>
      </c>
      <c r="E9453">
        <v>0</v>
      </c>
      <c r="F9453" s="11">
        <v>1</v>
      </c>
    </row>
    <row r="9454" spans="1:6" x14ac:dyDescent="0.35">
      <c r="A9454" t="s">
        <v>2857</v>
      </c>
      <c r="B9454" t="s">
        <v>2867</v>
      </c>
      <c r="C9454" t="s">
        <v>1509</v>
      </c>
      <c r="D9454" t="s">
        <v>2910</v>
      </c>
      <c r="E9454">
        <v>59752</v>
      </c>
      <c r="F9454" s="11">
        <v>0</v>
      </c>
    </row>
    <row r="9455" spans="1:6" x14ac:dyDescent="0.35">
      <c r="A9455" t="s">
        <v>2857</v>
      </c>
      <c r="B9455" t="s">
        <v>2867</v>
      </c>
      <c r="C9455" t="s">
        <v>1509</v>
      </c>
      <c r="D9455" t="s">
        <v>2911</v>
      </c>
      <c r="E9455">
        <v>915854</v>
      </c>
      <c r="F9455" s="11">
        <v>1</v>
      </c>
    </row>
    <row r="9456" spans="1:6" x14ac:dyDescent="0.35">
      <c r="A9456" t="s">
        <v>2857</v>
      </c>
      <c r="B9456" t="s">
        <v>2867</v>
      </c>
      <c r="C9456" t="s">
        <v>1509</v>
      </c>
      <c r="D9456" t="s">
        <v>2912</v>
      </c>
      <c r="E9456">
        <v>0</v>
      </c>
      <c r="F9456" s="11">
        <v>0</v>
      </c>
    </row>
    <row r="9457" spans="1:6" x14ac:dyDescent="0.35">
      <c r="A9457" t="s">
        <v>2857</v>
      </c>
      <c r="B9457" t="s">
        <v>2867</v>
      </c>
      <c r="C9457" t="s">
        <v>1509</v>
      </c>
      <c r="D9457" t="s">
        <v>2913</v>
      </c>
      <c r="E9457">
        <v>0</v>
      </c>
      <c r="F9457" s="11">
        <v>0</v>
      </c>
    </row>
    <row r="9458" spans="1:6" x14ac:dyDescent="0.35">
      <c r="A9458" t="s">
        <v>2857</v>
      </c>
      <c r="B9458" t="s">
        <v>2867</v>
      </c>
      <c r="C9458" t="s">
        <v>1509</v>
      </c>
      <c r="D9458" t="s">
        <v>2914</v>
      </c>
      <c r="E9458">
        <v>0</v>
      </c>
      <c r="F9458" s="11">
        <v>0</v>
      </c>
    </row>
    <row r="9459" spans="1:6" x14ac:dyDescent="0.35">
      <c r="A9459" t="s">
        <v>2857</v>
      </c>
      <c r="B9459" t="s">
        <v>2867</v>
      </c>
      <c r="C9459" t="s">
        <v>1509</v>
      </c>
      <c r="D9459" t="s">
        <v>2915</v>
      </c>
      <c r="E9459">
        <v>0</v>
      </c>
      <c r="F9459" s="11">
        <v>0</v>
      </c>
    </row>
    <row r="9460" spans="1:6" x14ac:dyDescent="0.35">
      <c r="A9460" t="s">
        <v>2857</v>
      </c>
      <c r="B9460" t="s">
        <v>2867</v>
      </c>
      <c r="C9460" t="s">
        <v>1509</v>
      </c>
      <c r="D9460" t="s">
        <v>2916</v>
      </c>
      <c r="E9460">
        <v>35732</v>
      </c>
      <c r="F9460" s="11">
        <v>1</v>
      </c>
    </row>
    <row r="9461" spans="1:6" x14ac:dyDescent="0.35">
      <c r="A9461" t="s">
        <v>2857</v>
      </c>
      <c r="B9461" t="s">
        <v>2867</v>
      </c>
      <c r="C9461" t="s">
        <v>1509</v>
      </c>
      <c r="D9461" t="s">
        <v>2917</v>
      </c>
      <c r="E9461">
        <v>0</v>
      </c>
      <c r="F9461" s="11">
        <v>0</v>
      </c>
    </row>
    <row r="9462" spans="1:6" x14ac:dyDescent="0.35">
      <c r="A9462" t="s">
        <v>2857</v>
      </c>
      <c r="B9462" t="s">
        <v>2866</v>
      </c>
      <c r="C9462" t="s">
        <v>1556</v>
      </c>
      <c r="D9462" t="s">
        <v>2875</v>
      </c>
      <c r="E9462">
        <v>33256</v>
      </c>
      <c r="F9462" s="11">
        <v>1</v>
      </c>
    </row>
    <row r="9463" spans="1:6" x14ac:dyDescent="0.35">
      <c r="A9463" t="s">
        <v>2857</v>
      </c>
      <c r="B9463" t="s">
        <v>2866</v>
      </c>
      <c r="C9463" t="s">
        <v>1556</v>
      </c>
      <c r="D9463" t="s">
        <v>2876</v>
      </c>
      <c r="E9463">
        <v>0</v>
      </c>
      <c r="F9463" s="11">
        <v>1</v>
      </c>
    </row>
    <row r="9464" spans="1:6" x14ac:dyDescent="0.35">
      <c r="A9464" t="s">
        <v>2857</v>
      </c>
      <c r="B9464" t="s">
        <v>2866</v>
      </c>
      <c r="C9464" t="s">
        <v>1556</v>
      </c>
      <c r="D9464" t="s">
        <v>2877</v>
      </c>
      <c r="E9464">
        <v>0</v>
      </c>
      <c r="F9464" s="11">
        <v>1</v>
      </c>
    </row>
    <row r="9465" spans="1:6" x14ac:dyDescent="0.35">
      <c r="A9465" t="s">
        <v>2857</v>
      </c>
      <c r="B9465" t="s">
        <v>2866</v>
      </c>
      <c r="C9465" t="s">
        <v>1556</v>
      </c>
      <c r="D9465" t="s">
        <v>2878</v>
      </c>
      <c r="E9465">
        <v>0</v>
      </c>
      <c r="F9465" s="11">
        <v>1</v>
      </c>
    </row>
    <row r="9466" spans="1:6" x14ac:dyDescent="0.35">
      <c r="A9466" t="s">
        <v>2857</v>
      </c>
      <c r="B9466" t="s">
        <v>2866</v>
      </c>
      <c r="C9466" t="s">
        <v>1556</v>
      </c>
      <c r="D9466" t="s">
        <v>2879</v>
      </c>
      <c r="E9466">
        <v>0</v>
      </c>
      <c r="F9466" s="11">
        <v>1</v>
      </c>
    </row>
    <row r="9467" spans="1:6" x14ac:dyDescent="0.35">
      <c r="A9467" t="s">
        <v>2857</v>
      </c>
      <c r="B9467" t="s">
        <v>2866</v>
      </c>
      <c r="C9467" t="s">
        <v>1556</v>
      </c>
      <c r="D9467" t="s">
        <v>2880</v>
      </c>
      <c r="E9467">
        <v>3348</v>
      </c>
      <c r="F9467" s="11">
        <v>1</v>
      </c>
    </row>
    <row r="9468" spans="1:6" x14ac:dyDescent="0.35">
      <c r="A9468" t="s">
        <v>2857</v>
      </c>
      <c r="B9468" t="s">
        <v>2866</v>
      </c>
      <c r="C9468" t="s">
        <v>1556</v>
      </c>
      <c r="D9468" t="s">
        <v>2881</v>
      </c>
      <c r="E9468">
        <v>0</v>
      </c>
      <c r="F9468" s="11">
        <v>1</v>
      </c>
    </row>
    <row r="9469" spans="1:6" x14ac:dyDescent="0.35">
      <c r="A9469" t="s">
        <v>2857</v>
      </c>
      <c r="B9469" t="s">
        <v>2866</v>
      </c>
      <c r="C9469" t="s">
        <v>1556</v>
      </c>
      <c r="D9469" t="s">
        <v>2882</v>
      </c>
      <c r="E9469">
        <v>1782</v>
      </c>
      <c r="F9469" s="11">
        <v>0</v>
      </c>
    </row>
    <row r="9470" spans="1:6" x14ac:dyDescent="0.35">
      <c r="A9470" t="s">
        <v>2857</v>
      </c>
      <c r="B9470" t="s">
        <v>2866</v>
      </c>
      <c r="C9470" t="s">
        <v>1556</v>
      </c>
      <c r="D9470" t="s">
        <v>2883</v>
      </c>
      <c r="E9470">
        <v>0</v>
      </c>
      <c r="F9470" s="11">
        <v>0</v>
      </c>
    </row>
    <row r="9471" spans="1:6" x14ac:dyDescent="0.35">
      <c r="A9471" t="s">
        <v>2857</v>
      </c>
      <c r="B9471" t="s">
        <v>2866</v>
      </c>
      <c r="C9471" t="s">
        <v>1556</v>
      </c>
      <c r="D9471" t="s">
        <v>2884</v>
      </c>
      <c r="E9471">
        <v>4</v>
      </c>
      <c r="F9471" s="11">
        <v>0</v>
      </c>
    </row>
    <row r="9472" spans="1:6" x14ac:dyDescent="0.35">
      <c r="A9472" t="s">
        <v>2857</v>
      </c>
      <c r="B9472" t="s">
        <v>2866</v>
      </c>
      <c r="C9472" t="s">
        <v>1556</v>
      </c>
      <c r="D9472" t="s">
        <v>2885</v>
      </c>
      <c r="E9472">
        <v>0</v>
      </c>
      <c r="F9472" s="11">
        <v>0</v>
      </c>
    </row>
    <row r="9473" spans="1:6" x14ac:dyDescent="0.35">
      <c r="A9473" t="s">
        <v>2857</v>
      </c>
      <c r="B9473" t="s">
        <v>2866</v>
      </c>
      <c r="C9473" t="s">
        <v>1556</v>
      </c>
      <c r="D9473" t="s">
        <v>2886</v>
      </c>
      <c r="E9473">
        <v>0</v>
      </c>
      <c r="F9473" s="11">
        <v>0</v>
      </c>
    </row>
    <row r="9474" spans="1:6" x14ac:dyDescent="0.35">
      <c r="A9474" t="s">
        <v>2857</v>
      </c>
      <c r="B9474" t="s">
        <v>2866</v>
      </c>
      <c r="C9474" t="s">
        <v>1556</v>
      </c>
      <c r="D9474" t="s">
        <v>2887</v>
      </c>
      <c r="E9474">
        <v>0</v>
      </c>
      <c r="F9474" s="11">
        <v>1</v>
      </c>
    </row>
    <row r="9475" spans="1:6" x14ac:dyDescent="0.35">
      <c r="A9475" t="s">
        <v>2857</v>
      </c>
      <c r="B9475" t="s">
        <v>2866</v>
      </c>
      <c r="C9475" t="s">
        <v>1556</v>
      </c>
      <c r="D9475" t="s">
        <v>2888</v>
      </c>
      <c r="E9475">
        <v>72526</v>
      </c>
      <c r="F9475" s="11">
        <v>1</v>
      </c>
    </row>
    <row r="9476" spans="1:6" x14ac:dyDescent="0.35">
      <c r="A9476" t="s">
        <v>2857</v>
      </c>
      <c r="B9476" t="s">
        <v>2866</v>
      </c>
      <c r="C9476" t="s">
        <v>1556</v>
      </c>
      <c r="D9476" t="s">
        <v>2889</v>
      </c>
      <c r="E9476">
        <v>0</v>
      </c>
      <c r="F9476" s="11">
        <v>1</v>
      </c>
    </row>
    <row r="9477" spans="1:6" x14ac:dyDescent="0.35">
      <c r="A9477" t="s">
        <v>2857</v>
      </c>
      <c r="B9477" t="s">
        <v>2866</v>
      </c>
      <c r="C9477" t="s">
        <v>1556</v>
      </c>
      <c r="D9477" t="s">
        <v>2890</v>
      </c>
      <c r="E9477">
        <v>15525</v>
      </c>
      <c r="F9477" s="11">
        <v>0</v>
      </c>
    </row>
    <row r="9478" spans="1:6" x14ac:dyDescent="0.35">
      <c r="A9478" t="s">
        <v>2857</v>
      </c>
      <c r="B9478" t="s">
        <v>2866</v>
      </c>
      <c r="C9478" t="s">
        <v>1556</v>
      </c>
      <c r="D9478" t="s">
        <v>2891</v>
      </c>
      <c r="E9478">
        <v>0</v>
      </c>
      <c r="F9478" s="11">
        <v>0</v>
      </c>
    </row>
    <row r="9479" spans="1:6" x14ac:dyDescent="0.35">
      <c r="A9479" t="s">
        <v>2857</v>
      </c>
      <c r="B9479" t="s">
        <v>2866</v>
      </c>
      <c r="C9479" t="s">
        <v>1556</v>
      </c>
      <c r="D9479" t="s">
        <v>2892</v>
      </c>
      <c r="E9479">
        <v>120</v>
      </c>
      <c r="F9479" s="11">
        <v>0</v>
      </c>
    </row>
    <row r="9480" spans="1:6" x14ac:dyDescent="0.35">
      <c r="A9480" t="s">
        <v>2857</v>
      </c>
      <c r="B9480" t="s">
        <v>2866</v>
      </c>
      <c r="C9480" t="s">
        <v>1556</v>
      </c>
      <c r="D9480" t="s">
        <v>2893</v>
      </c>
      <c r="E9480">
        <v>0</v>
      </c>
      <c r="F9480" s="11">
        <v>0</v>
      </c>
    </row>
    <row r="9481" spans="1:6" x14ac:dyDescent="0.35">
      <c r="A9481" t="s">
        <v>2857</v>
      </c>
      <c r="B9481" t="s">
        <v>2866</v>
      </c>
      <c r="C9481" t="s">
        <v>1556</v>
      </c>
      <c r="D9481" t="s">
        <v>2894</v>
      </c>
      <c r="E9481">
        <v>0</v>
      </c>
      <c r="F9481" s="11">
        <v>0</v>
      </c>
    </row>
    <row r="9482" spans="1:6" x14ac:dyDescent="0.35">
      <c r="A9482" t="s">
        <v>2857</v>
      </c>
      <c r="B9482" t="s">
        <v>2866</v>
      </c>
      <c r="C9482" t="s">
        <v>1556</v>
      </c>
      <c r="D9482" t="s">
        <v>2895</v>
      </c>
      <c r="E9482">
        <v>1343426</v>
      </c>
      <c r="F9482" s="11">
        <v>1</v>
      </c>
    </row>
    <row r="9483" spans="1:6" x14ac:dyDescent="0.35">
      <c r="A9483" t="s">
        <v>2857</v>
      </c>
      <c r="B9483" t="s">
        <v>2866</v>
      </c>
      <c r="C9483" t="s">
        <v>1556</v>
      </c>
      <c r="D9483" t="s">
        <v>2896</v>
      </c>
      <c r="E9483">
        <v>695416</v>
      </c>
      <c r="F9483" s="11">
        <v>0</v>
      </c>
    </row>
    <row r="9484" spans="1:6" x14ac:dyDescent="0.35">
      <c r="A9484" t="s">
        <v>2857</v>
      </c>
      <c r="B9484" t="s">
        <v>2866</v>
      </c>
      <c r="C9484" t="s">
        <v>1556</v>
      </c>
      <c r="D9484" t="s">
        <v>2897</v>
      </c>
      <c r="E9484">
        <v>37595</v>
      </c>
      <c r="F9484" s="11">
        <v>0</v>
      </c>
    </row>
    <row r="9485" spans="1:6" x14ac:dyDescent="0.35">
      <c r="A9485" t="s">
        <v>2857</v>
      </c>
      <c r="B9485" t="s">
        <v>2866</v>
      </c>
      <c r="C9485" t="s">
        <v>1556</v>
      </c>
      <c r="D9485" t="s">
        <v>2898</v>
      </c>
      <c r="E9485">
        <v>610415</v>
      </c>
      <c r="F9485" s="11">
        <v>0</v>
      </c>
    </row>
    <row r="9486" spans="1:6" x14ac:dyDescent="0.35">
      <c r="A9486" t="s">
        <v>2857</v>
      </c>
      <c r="B9486" t="s">
        <v>2866</v>
      </c>
      <c r="C9486" t="s">
        <v>1556</v>
      </c>
      <c r="D9486" t="s">
        <v>2899</v>
      </c>
      <c r="E9486">
        <v>7274</v>
      </c>
      <c r="F9486" s="11">
        <v>0</v>
      </c>
    </row>
    <row r="9487" spans="1:6" x14ac:dyDescent="0.35">
      <c r="A9487" t="s">
        <v>2857</v>
      </c>
      <c r="B9487" t="s">
        <v>2866</v>
      </c>
      <c r="C9487" t="s">
        <v>1556</v>
      </c>
      <c r="D9487" t="s">
        <v>2900</v>
      </c>
      <c r="E9487">
        <v>912</v>
      </c>
      <c r="F9487" s="11">
        <v>0</v>
      </c>
    </row>
    <row r="9488" spans="1:6" x14ac:dyDescent="0.35">
      <c r="A9488" t="s">
        <v>2857</v>
      </c>
      <c r="B9488" t="s">
        <v>2866</v>
      </c>
      <c r="C9488" t="s">
        <v>1556</v>
      </c>
      <c r="D9488" t="s">
        <v>2901</v>
      </c>
      <c r="E9488">
        <v>0</v>
      </c>
      <c r="F9488" s="11">
        <v>0</v>
      </c>
    </row>
    <row r="9489" spans="1:6" x14ac:dyDescent="0.35">
      <c r="A9489" t="s">
        <v>2857</v>
      </c>
      <c r="B9489" t="s">
        <v>2866</v>
      </c>
      <c r="C9489" t="s">
        <v>1556</v>
      </c>
      <c r="D9489" t="s">
        <v>2902</v>
      </c>
      <c r="E9489">
        <v>6362</v>
      </c>
      <c r="F9489" s="11">
        <v>0</v>
      </c>
    </row>
    <row r="9490" spans="1:6" x14ac:dyDescent="0.35">
      <c r="A9490" t="s">
        <v>2857</v>
      </c>
      <c r="B9490" t="s">
        <v>2866</v>
      </c>
      <c r="C9490" t="s">
        <v>1556</v>
      </c>
      <c r="D9490" t="s">
        <v>2903</v>
      </c>
      <c r="E9490">
        <v>58273</v>
      </c>
      <c r="F9490" s="11">
        <v>1</v>
      </c>
    </row>
    <row r="9491" spans="1:6" x14ac:dyDescent="0.35">
      <c r="A9491" t="s">
        <v>2857</v>
      </c>
      <c r="B9491" t="s">
        <v>2866</v>
      </c>
      <c r="C9491" t="s">
        <v>1556</v>
      </c>
      <c r="D9491" t="s">
        <v>2904</v>
      </c>
      <c r="E9491">
        <v>8459</v>
      </c>
      <c r="F9491" s="11">
        <v>0</v>
      </c>
    </row>
    <row r="9492" spans="1:6" x14ac:dyDescent="0.35">
      <c r="A9492" t="s">
        <v>2857</v>
      </c>
      <c r="B9492" t="s">
        <v>2866</v>
      </c>
      <c r="C9492" t="s">
        <v>1556</v>
      </c>
      <c r="D9492" t="s">
        <v>2905</v>
      </c>
      <c r="E9492">
        <v>3847</v>
      </c>
      <c r="F9492" s="11">
        <v>0</v>
      </c>
    </row>
    <row r="9493" spans="1:6" x14ac:dyDescent="0.35">
      <c r="A9493" t="s">
        <v>2857</v>
      </c>
      <c r="B9493" t="s">
        <v>2866</v>
      </c>
      <c r="C9493" t="s">
        <v>1556</v>
      </c>
      <c r="D9493" t="s">
        <v>2906</v>
      </c>
      <c r="E9493">
        <v>45967</v>
      </c>
      <c r="F9493" s="11">
        <v>0</v>
      </c>
    </row>
    <row r="9494" spans="1:6" x14ac:dyDescent="0.35">
      <c r="A9494" t="s">
        <v>2857</v>
      </c>
      <c r="B9494" t="s">
        <v>2866</v>
      </c>
      <c r="C9494" t="s">
        <v>1556</v>
      </c>
      <c r="D9494" t="s">
        <v>2907</v>
      </c>
      <c r="E9494">
        <v>74713</v>
      </c>
      <c r="F9494" s="11">
        <v>1</v>
      </c>
    </row>
    <row r="9495" spans="1:6" x14ac:dyDescent="0.35">
      <c r="A9495" t="s">
        <v>2857</v>
      </c>
      <c r="B9495" t="s">
        <v>2866</v>
      </c>
      <c r="C9495" t="s">
        <v>1556</v>
      </c>
      <c r="D9495" t="s">
        <v>2908</v>
      </c>
      <c r="E9495">
        <v>8533</v>
      </c>
      <c r="F9495" s="11">
        <v>0</v>
      </c>
    </row>
    <row r="9496" spans="1:6" x14ac:dyDescent="0.35">
      <c r="A9496" t="s">
        <v>2857</v>
      </c>
      <c r="B9496" t="s">
        <v>2866</v>
      </c>
      <c r="C9496" t="s">
        <v>1556</v>
      </c>
      <c r="D9496" t="s">
        <v>2909</v>
      </c>
      <c r="E9496">
        <v>2413</v>
      </c>
      <c r="F9496" s="11">
        <v>0</v>
      </c>
    </row>
    <row r="9497" spans="1:6" x14ac:dyDescent="0.35">
      <c r="A9497" t="s">
        <v>2857</v>
      </c>
      <c r="B9497" t="s">
        <v>2866</v>
      </c>
      <c r="C9497" t="s">
        <v>1556</v>
      </c>
      <c r="D9497" t="s">
        <v>2910</v>
      </c>
      <c r="E9497">
        <v>62767</v>
      </c>
      <c r="F9497" s="11">
        <v>0</v>
      </c>
    </row>
    <row r="9498" spans="1:6" x14ac:dyDescent="0.35">
      <c r="A9498" t="s">
        <v>2857</v>
      </c>
      <c r="B9498" t="s">
        <v>2866</v>
      </c>
      <c r="C9498" t="s">
        <v>1556</v>
      </c>
      <c r="D9498" t="s">
        <v>2911</v>
      </c>
      <c r="E9498">
        <v>1048841</v>
      </c>
      <c r="F9498" s="11">
        <v>1</v>
      </c>
    </row>
    <row r="9499" spans="1:6" x14ac:dyDescent="0.35">
      <c r="A9499" t="s">
        <v>2857</v>
      </c>
      <c r="B9499" t="s">
        <v>2866</v>
      </c>
      <c r="C9499" t="s">
        <v>1556</v>
      </c>
      <c r="D9499" t="s">
        <v>2912</v>
      </c>
      <c r="E9499">
        <v>210190</v>
      </c>
      <c r="F9499" s="11">
        <v>1</v>
      </c>
    </row>
    <row r="9500" spans="1:6" x14ac:dyDescent="0.35">
      <c r="A9500" t="s">
        <v>2857</v>
      </c>
      <c r="B9500" t="s">
        <v>2866</v>
      </c>
      <c r="C9500" t="s">
        <v>1556</v>
      </c>
      <c r="D9500" t="s">
        <v>2913</v>
      </c>
      <c r="E9500">
        <v>0</v>
      </c>
      <c r="F9500" s="11">
        <v>0</v>
      </c>
    </row>
    <row r="9501" spans="1:6" x14ac:dyDescent="0.35">
      <c r="A9501" t="s">
        <v>2857</v>
      </c>
      <c r="B9501" t="s">
        <v>2866</v>
      </c>
      <c r="C9501" t="s">
        <v>1556</v>
      </c>
      <c r="D9501" t="s">
        <v>2914</v>
      </c>
      <c r="E9501">
        <v>0</v>
      </c>
      <c r="F9501" s="11">
        <v>0</v>
      </c>
    </row>
    <row r="9502" spans="1:6" x14ac:dyDescent="0.35">
      <c r="A9502" t="s">
        <v>2857</v>
      </c>
      <c r="B9502" t="s">
        <v>2866</v>
      </c>
      <c r="C9502" t="s">
        <v>1556</v>
      </c>
      <c r="D9502" t="s">
        <v>2915</v>
      </c>
      <c r="E9502">
        <v>2143</v>
      </c>
      <c r="F9502" s="11">
        <v>1</v>
      </c>
    </row>
    <row r="9503" spans="1:6" x14ac:dyDescent="0.35">
      <c r="A9503" t="s">
        <v>2857</v>
      </c>
      <c r="B9503" t="s">
        <v>2866</v>
      </c>
      <c r="C9503" t="s">
        <v>1556</v>
      </c>
      <c r="D9503" t="s">
        <v>2916</v>
      </c>
      <c r="E9503">
        <v>72220</v>
      </c>
      <c r="F9503" s="11">
        <v>1</v>
      </c>
    </row>
    <row r="9504" spans="1:6" x14ac:dyDescent="0.35">
      <c r="A9504" t="s">
        <v>2857</v>
      </c>
      <c r="B9504" t="s">
        <v>2866</v>
      </c>
      <c r="C9504" t="s">
        <v>1556</v>
      </c>
      <c r="D9504" t="s">
        <v>2917</v>
      </c>
      <c r="E9504">
        <v>106751</v>
      </c>
      <c r="F9504" s="11">
        <v>1</v>
      </c>
    </row>
    <row r="9505" spans="1:6" x14ac:dyDescent="0.35">
      <c r="A9505" t="s">
        <v>2857</v>
      </c>
      <c r="B9505" t="s">
        <v>2864</v>
      </c>
      <c r="C9505" t="s">
        <v>1557</v>
      </c>
      <c r="D9505" t="s">
        <v>2875</v>
      </c>
      <c r="E9505">
        <v>23582</v>
      </c>
      <c r="F9505" s="11">
        <v>1</v>
      </c>
    </row>
    <row r="9506" spans="1:6" x14ac:dyDescent="0.35">
      <c r="A9506" t="s">
        <v>2857</v>
      </c>
      <c r="B9506" t="s">
        <v>2864</v>
      </c>
      <c r="C9506" t="s">
        <v>1557</v>
      </c>
      <c r="D9506" t="s">
        <v>2876</v>
      </c>
      <c r="E9506">
        <v>5006</v>
      </c>
      <c r="F9506" s="11">
        <v>1</v>
      </c>
    </row>
    <row r="9507" spans="1:6" x14ac:dyDescent="0.35">
      <c r="A9507" t="s">
        <v>2857</v>
      </c>
      <c r="B9507" t="s">
        <v>2864</v>
      </c>
      <c r="C9507" t="s">
        <v>1557</v>
      </c>
      <c r="D9507" t="s">
        <v>2877</v>
      </c>
      <c r="E9507">
        <v>964</v>
      </c>
      <c r="F9507" s="11">
        <v>1</v>
      </c>
    </row>
    <row r="9508" spans="1:6" x14ac:dyDescent="0.35">
      <c r="A9508" t="s">
        <v>2857</v>
      </c>
      <c r="B9508" t="s">
        <v>2864</v>
      </c>
      <c r="C9508" t="s">
        <v>1557</v>
      </c>
      <c r="D9508" t="s">
        <v>2878</v>
      </c>
      <c r="E9508">
        <v>17612</v>
      </c>
      <c r="F9508" s="11">
        <v>1</v>
      </c>
    </row>
    <row r="9509" spans="1:6" x14ac:dyDescent="0.35">
      <c r="A9509" t="s">
        <v>2857</v>
      </c>
      <c r="B9509" t="s">
        <v>2864</v>
      </c>
      <c r="C9509" t="s">
        <v>1557</v>
      </c>
      <c r="D9509" t="s">
        <v>2879</v>
      </c>
      <c r="E9509">
        <v>1695</v>
      </c>
      <c r="F9509" s="11">
        <v>1</v>
      </c>
    </row>
    <row r="9510" spans="1:6" x14ac:dyDescent="0.35">
      <c r="A9510" t="s">
        <v>2857</v>
      </c>
      <c r="B9510" t="s">
        <v>2864</v>
      </c>
      <c r="C9510" t="s">
        <v>1557</v>
      </c>
      <c r="D9510" t="s">
        <v>2880</v>
      </c>
      <c r="E9510">
        <v>665</v>
      </c>
      <c r="F9510" s="11">
        <v>0</v>
      </c>
    </row>
    <row r="9511" spans="1:6" x14ac:dyDescent="0.35">
      <c r="A9511" t="s">
        <v>2857</v>
      </c>
      <c r="B9511" t="s">
        <v>2864</v>
      </c>
      <c r="C9511" t="s">
        <v>1557</v>
      </c>
      <c r="D9511" t="s">
        <v>2881</v>
      </c>
      <c r="E9511">
        <v>3</v>
      </c>
      <c r="F9511" s="11">
        <v>0</v>
      </c>
    </row>
    <row r="9512" spans="1:6" x14ac:dyDescent="0.35">
      <c r="A9512" t="s">
        <v>2857</v>
      </c>
      <c r="B9512" t="s">
        <v>2864</v>
      </c>
      <c r="C9512" t="s">
        <v>1557</v>
      </c>
      <c r="D9512" t="s">
        <v>2882</v>
      </c>
      <c r="E9512">
        <v>1016</v>
      </c>
      <c r="F9512" s="11">
        <v>0</v>
      </c>
    </row>
    <row r="9513" spans="1:6" x14ac:dyDescent="0.35">
      <c r="A9513" t="s">
        <v>2857</v>
      </c>
      <c r="B9513" t="s">
        <v>2864</v>
      </c>
      <c r="C9513" t="s">
        <v>1557</v>
      </c>
      <c r="D9513" t="s">
        <v>2883</v>
      </c>
      <c r="E9513">
        <v>0</v>
      </c>
      <c r="F9513" s="11">
        <v>1</v>
      </c>
    </row>
    <row r="9514" spans="1:6" x14ac:dyDescent="0.35">
      <c r="A9514" t="s">
        <v>2857</v>
      </c>
      <c r="B9514" t="s">
        <v>2864</v>
      </c>
      <c r="C9514" t="s">
        <v>1557</v>
      </c>
      <c r="D9514" t="s">
        <v>2884</v>
      </c>
      <c r="E9514">
        <v>0</v>
      </c>
      <c r="F9514" s="11">
        <v>1</v>
      </c>
    </row>
    <row r="9515" spans="1:6" x14ac:dyDescent="0.35">
      <c r="A9515" t="s">
        <v>2857</v>
      </c>
      <c r="B9515" t="s">
        <v>2864</v>
      </c>
      <c r="C9515" t="s">
        <v>1557</v>
      </c>
      <c r="D9515" t="s">
        <v>2885</v>
      </c>
      <c r="E9515">
        <v>0</v>
      </c>
      <c r="F9515" s="11">
        <v>0</v>
      </c>
    </row>
    <row r="9516" spans="1:6" x14ac:dyDescent="0.35">
      <c r="A9516" t="s">
        <v>2857</v>
      </c>
      <c r="B9516" t="s">
        <v>2864</v>
      </c>
      <c r="C9516" t="s">
        <v>1557</v>
      </c>
      <c r="D9516" t="s">
        <v>2886</v>
      </c>
      <c r="E9516">
        <v>12</v>
      </c>
      <c r="F9516" s="11">
        <v>0</v>
      </c>
    </row>
    <row r="9517" spans="1:6" x14ac:dyDescent="0.35">
      <c r="A9517" t="s">
        <v>2857</v>
      </c>
      <c r="B9517" t="s">
        <v>2864</v>
      </c>
      <c r="C9517" t="s">
        <v>1557</v>
      </c>
      <c r="D9517" t="s">
        <v>2887</v>
      </c>
      <c r="E9517">
        <v>36941</v>
      </c>
      <c r="F9517" s="11">
        <v>1</v>
      </c>
    </row>
    <row r="9518" spans="1:6" x14ac:dyDescent="0.35">
      <c r="A9518" t="s">
        <v>2857</v>
      </c>
      <c r="B9518" t="s">
        <v>2864</v>
      </c>
      <c r="C9518" t="s">
        <v>1557</v>
      </c>
      <c r="D9518" t="s">
        <v>2888</v>
      </c>
      <c r="E9518">
        <v>24395</v>
      </c>
      <c r="F9518" s="11">
        <v>1</v>
      </c>
    </row>
    <row r="9519" spans="1:6" x14ac:dyDescent="0.35">
      <c r="A9519" t="s">
        <v>2857</v>
      </c>
      <c r="B9519" t="s">
        <v>2864</v>
      </c>
      <c r="C9519" t="s">
        <v>1557</v>
      </c>
      <c r="D9519" t="s">
        <v>2889</v>
      </c>
      <c r="E9519">
        <v>0</v>
      </c>
      <c r="F9519" s="11">
        <v>1</v>
      </c>
    </row>
    <row r="9520" spans="1:6" x14ac:dyDescent="0.35">
      <c r="A9520" t="s">
        <v>2857</v>
      </c>
      <c r="B9520" t="s">
        <v>2864</v>
      </c>
      <c r="C9520" t="s">
        <v>1557</v>
      </c>
      <c r="D9520" t="s">
        <v>2890</v>
      </c>
      <c r="E9520">
        <v>11153</v>
      </c>
      <c r="F9520" s="11">
        <v>0</v>
      </c>
    </row>
    <row r="9521" spans="1:6" x14ac:dyDescent="0.35">
      <c r="A9521" t="s">
        <v>2857</v>
      </c>
      <c r="B9521" t="s">
        <v>2864</v>
      </c>
      <c r="C9521" t="s">
        <v>1557</v>
      </c>
      <c r="D9521" t="s">
        <v>2891</v>
      </c>
      <c r="E9521">
        <v>93</v>
      </c>
      <c r="F9521" s="11">
        <v>1</v>
      </c>
    </row>
    <row r="9522" spans="1:6" x14ac:dyDescent="0.35">
      <c r="A9522" t="s">
        <v>2857</v>
      </c>
      <c r="B9522" t="s">
        <v>2864</v>
      </c>
      <c r="C9522" t="s">
        <v>1557</v>
      </c>
      <c r="D9522" t="s">
        <v>2892</v>
      </c>
      <c r="E9522">
        <v>0</v>
      </c>
      <c r="F9522" s="11">
        <v>1</v>
      </c>
    </row>
    <row r="9523" spans="1:6" x14ac:dyDescent="0.35">
      <c r="A9523" t="s">
        <v>2857</v>
      </c>
      <c r="B9523" t="s">
        <v>2864</v>
      </c>
      <c r="C9523" t="s">
        <v>1557</v>
      </c>
      <c r="D9523" t="s">
        <v>2893</v>
      </c>
      <c r="E9523">
        <v>0</v>
      </c>
      <c r="F9523" s="11">
        <v>0</v>
      </c>
    </row>
    <row r="9524" spans="1:6" x14ac:dyDescent="0.35">
      <c r="A9524" t="s">
        <v>2857</v>
      </c>
      <c r="B9524" t="s">
        <v>2864</v>
      </c>
      <c r="C9524" t="s">
        <v>1557</v>
      </c>
      <c r="D9524" t="s">
        <v>2894</v>
      </c>
      <c r="E9524">
        <v>93</v>
      </c>
      <c r="F9524" s="11">
        <v>0</v>
      </c>
    </row>
    <row r="9525" spans="1:6" x14ac:dyDescent="0.35">
      <c r="A9525" t="s">
        <v>2857</v>
      </c>
      <c r="B9525" t="s">
        <v>2864</v>
      </c>
      <c r="C9525" t="s">
        <v>1557</v>
      </c>
      <c r="D9525" t="s">
        <v>2895</v>
      </c>
      <c r="E9525">
        <v>447440</v>
      </c>
      <c r="F9525" s="11">
        <v>1</v>
      </c>
    </row>
    <row r="9526" spans="1:6" x14ac:dyDescent="0.35">
      <c r="A9526" t="s">
        <v>2857</v>
      </c>
      <c r="B9526" t="s">
        <v>2864</v>
      </c>
      <c r="C9526" t="s">
        <v>1557</v>
      </c>
      <c r="D9526" t="s">
        <v>2896</v>
      </c>
      <c r="E9526">
        <v>209202</v>
      </c>
      <c r="F9526" s="11">
        <v>1</v>
      </c>
    </row>
    <row r="9527" spans="1:6" x14ac:dyDescent="0.35">
      <c r="A9527" t="s">
        <v>2857</v>
      </c>
      <c r="B9527" t="s">
        <v>2864</v>
      </c>
      <c r="C9527" t="s">
        <v>1557</v>
      </c>
      <c r="D9527" t="s">
        <v>2897</v>
      </c>
      <c r="E9527">
        <v>10341</v>
      </c>
      <c r="F9527" s="11">
        <v>1</v>
      </c>
    </row>
    <row r="9528" spans="1:6" x14ac:dyDescent="0.35">
      <c r="A9528" t="s">
        <v>2857</v>
      </c>
      <c r="B9528" t="s">
        <v>2864</v>
      </c>
      <c r="C9528" t="s">
        <v>1557</v>
      </c>
      <c r="D9528" t="s">
        <v>2898</v>
      </c>
      <c r="E9528">
        <v>227897</v>
      </c>
      <c r="F9528" s="11">
        <v>1</v>
      </c>
    </row>
    <row r="9529" spans="1:6" x14ac:dyDescent="0.35">
      <c r="A9529" t="s">
        <v>2857</v>
      </c>
      <c r="B9529" t="s">
        <v>2864</v>
      </c>
      <c r="C9529" t="s">
        <v>1557</v>
      </c>
      <c r="D9529" t="s">
        <v>2899</v>
      </c>
      <c r="E9529">
        <v>3743</v>
      </c>
      <c r="F9529" s="11">
        <v>1</v>
      </c>
    </row>
    <row r="9530" spans="1:6" x14ac:dyDescent="0.35">
      <c r="A9530" t="s">
        <v>2857</v>
      </c>
      <c r="B9530" t="s">
        <v>2864</v>
      </c>
      <c r="C9530" t="s">
        <v>1557</v>
      </c>
      <c r="D9530" t="s">
        <v>2900</v>
      </c>
      <c r="E9530">
        <v>1034</v>
      </c>
      <c r="F9530" s="11">
        <v>1</v>
      </c>
    </row>
    <row r="9531" spans="1:6" x14ac:dyDescent="0.35">
      <c r="A9531" t="s">
        <v>2857</v>
      </c>
      <c r="B9531" t="s">
        <v>2864</v>
      </c>
      <c r="C9531" t="s">
        <v>1557</v>
      </c>
      <c r="D9531" t="s">
        <v>2901</v>
      </c>
      <c r="E9531">
        <v>0</v>
      </c>
      <c r="F9531" s="11">
        <v>1</v>
      </c>
    </row>
    <row r="9532" spans="1:6" x14ac:dyDescent="0.35">
      <c r="A9532" t="s">
        <v>2857</v>
      </c>
      <c r="B9532" t="s">
        <v>2864</v>
      </c>
      <c r="C9532" t="s">
        <v>1557</v>
      </c>
      <c r="D9532" t="s">
        <v>2902</v>
      </c>
      <c r="E9532">
        <v>2709</v>
      </c>
      <c r="F9532" s="11">
        <v>0</v>
      </c>
    </row>
    <row r="9533" spans="1:6" x14ac:dyDescent="0.35">
      <c r="A9533" t="s">
        <v>2857</v>
      </c>
      <c r="B9533" t="s">
        <v>2864</v>
      </c>
      <c r="C9533" t="s">
        <v>1557</v>
      </c>
      <c r="D9533" t="s">
        <v>2903</v>
      </c>
      <c r="E9533">
        <v>27152</v>
      </c>
      <c r="F9533" s="11">
        <v>1</v>
      </c>
    </row>
    <row r="9534" spans="1:6" x14ac:dyDescent="0.35">
      <c r="A9534" t="s">
        <v>2857</v>
      </c>
      <c r="B9534" t="s">
        <v>2864</v>
      </c>
      <c r="C9534" t="s">
        <v>1557</v>
      </c>
      <c r="D9534" t="s">
        <v>2904</v>
      </c>
      <c r="E9534">
        <v>2313</v>
      </c>
      <c r="F9534" s="11">
        <v>1</v>
      </c>
    </row>
    <row r="9535" spans="1:6" x14ac:dyDescent="0.35">
      <c r="A9535" t="s">
        <v>2857</v>
      </c>
      <c r="B9535" t="s">
        <v>2864</v>
      </c>
      <c r="C9535" t="s">
        <v>1557</v>
      </c>
      <c r="D9535" t="s">
        <v>2905</v>
      </c>
      <c r="E9535">
        <v>1498</v>
      </c>
      <c r="F9535" s="11">
        <v>1</v>
      </c>
    </row>
    <row r="9536" spans="1:6" x14ac:dyDescent="0.35">
      <c r="A9536" t="s">
        <v>2857</v>
      </c>
      <c r="B9536" t="s">
        <v>2864</v>
      </c>
      <c r="C9536" t="s">
        <v>1557</v>
      </c>
      <c r="D9536" t="s">
        <v>2906</v>
      </c>
      <c r="E9536">
        <v>23340</v>
      </c>
      <c r="F9536" s="11">
        <v>1</v>
      </c>
    </row>
    <row r="9537" spans="1:6" x14ac:dyDescent="0.35">
      <c r="A9537" t="s">
        <v>2857</v>
      </c>
      <c r="B9537" t="s">
        <v>2864</v>
      </c>
      <c r="C9537" t="s">
        <v>1557</v>
      </c>
      <c r="D9537" t="s">
        <v>2907</v>
      </c>
      <c r="E9537">
        <v>101911</v>
      </c>
      <c r="F9537" s="11">
        <v>1</v>
      </c>
    </row>
    <row r="9538" spans="1:6" x14ac:dyDescent="0.35">
      <c r="A9538" t="s">
        <v>2857</v>
      </c>
      <c r="B9538" t="s">
        <v>2864</v>
      </c>
      <c r="C9538" t="s">
        <v>1557</v>
      </c>
      <c r="D9538" t="s">
        <v>2908</v>
      </c>
      <c r="E9538">
        <v>14396</v>
      </c>
      <c r="F9538" s="11">
        <v>1</v>
      </c>
    </row>
    <row r="9539" spans="1:6" x14ac:dyDescent="0.35">
      <c r="A9539" t="s">
        <v>2857</v>
      </c>
      <c r="B9539" t="s">
        <v>2864</v>
      </c>
      <c r="C9539" t="s">
        <v>1557</v>
      </c>
      <c r="D9539" t="s">
        <v>2909</v>
      </c>
      <c r="E9539">
        <v>4688</v>
      </c>
      <c r="F9539" s="11">
        <v>1</v>
      </c>
    </row>
    <row r="9540" spans="1:6" x14ac:dyDescent="0.35">
      <c r="A9540" t="s">
        <v>2857</v>
      </c>
      <c r="B9540" t="s">
        <v>2864</v>
      </c>
      <c r="C9540" t="s">
        <v>1557</v>
      </c>
      <c r="D9540" t="s">
        <v>2910</v>
      </c>
      <c r="E9540">
        <v>82827</v>
      </c>
      <c r="F9540" s="11">
        <v>1</v>
      </c>
    </row>
    <row r="9541" spans="1:6" x14ac:dyDescent="0.35">
      <c r="A9541" t="s">
        <v>2857</v>
      </c>
      <c r="B9541" t="s">
        <v>2864</v>
      </c>
      <c r="C9541" t="s">
        <v>1557</v>
      </c>
      <c r="D9541" t="s">
        <v>2911</v>
      </c>
      <c r="E9541">
        <v>241537</v>
      </c>
      <c r="F9541" s="11">
        <v>1</v>
      </c>
    </row>
    <row r="9542" spans="1:6" x14ac:dyDescent="0.35">
      <c r="A9542" t="s">
        <v>2857</v>
      </c>
      <c r="B9542" t="s">
        <v>2864</v>
      </c>
      <c r="C9542" t="s">
        <v>1557</v>
      </c>
      <c r="D9542" t="s">
        <v>2912</v>
      </c>
      <c r="E9542">
        <v>228408</v>
      </c>
      <c r="F9542" s="11">
        <v>1</v>
      </c>
    </row>
    <row r="9543" spans="1:6" x14ac:dyDescent="0.35">
      <c r="A9543" t="s">
        <v>2857</v>
      </c>
      <c r="B9543" t="s">
        <v>2864</v>
      </c>
      <c r="C9543" t="s">
        <v>1557</v>
      </c>
      <c r="D9543" t="s">
        <v>2913</v>
      </c>
      <c r="E9543">
        <v>0</v>
      </c>
      <c r="F9543" s="11">
        <v>0</v>
      </c>
    </row>
    <row r="9544" spans="1:6" x14ac:dyDescent="0.35">
      <c r="A9544" t="s">
        <v>2857</v>
      </c>
      <c r="B9544" t="s">
        <v>2864</v>
      </c>
      <c r="C9544" t="s">
        <v>1557</v>
      </c>
      <c r="D9544" t="s">
        <v>2914</v>
      </c>
      <c r="E9544">
        <v>8070</v>
      </c>
      <c r="F9544" s="11">
        <v>1</v>
      </c>
    </row>
    <row r="9545" spans="1:6" x14ac:dyDescent="0.35">
      <c r="A9545" t="s">
        <v>2857</v>
      </c>
      <c r="B9545" t="s">
        <v>2864</v>
      </c>
      <c r="C9545" t="s">
        <v>1557</v>
      </c>
      <c r="D9545" t="s">
        <v>2915</v>
      </c>
      <c r="E9545">
        <v>0</v>
      </c>
      <c r="F9545" s="11">
        <v>1</v>
      </c>
    </row>
    <row r="9546" spans="1:6" x14ac:dyDescent="0.35">
      <c r="A9546" t="s">
        <v>2857</v>
      </c>
      <c r="B9546" t="s">
        <v>2864</v>
      </c>
      <c r="C9546" t="s">
        <v>1557</v>
      </c>
      <c r="D9546" t="s">
        <v>2916</v>
      </c>
      <c r="E9546">
        <v>18475</v>
      </c>
      <c r="F9546" s="11">
        <v>1</v>
      </c>
    </row>
    <row r="9547" spans="1:6" x14ac:dyDescent="0.35">
      <c r="A9547" t="s">
        <v>2857</v>
      </c>
      <c r="B9547" t="s">
        <v>2864</v>
      </c>
      <c r="C9547" t="s">
        <v>1557</v>
      </c>
      <c r="D9547" t="s">
        <v>2917</v>
      </c>
      <c r="E9547">
        <v>0</v>
      </c>
      <c r="F9547" s="11">
        <v>0</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c7a6fc32-7538-4b0e-a96a-05f855007c11}" enabled="0" method="" siteId="{c7a6fc32-7538-4b0e-a96a-05f855007c1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Notes and caveats</vt:lpstr>
      <vt:lpstr>Usable data 2425</vt:lpstr>
      <vt:lpstr>Usable data 2526</vt:lpstr>
      <vt:lpstr>Tables</vt:lpstr>
      <vt:lpstr>Sheet1</vt:lpstr>
      <vt:lpstr>Summary Data</vt:lpstr>
      <vt:lpstr>LibraryServiceList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 Hammersley</dc:creator>
  <cp:lastModifiedBy>Cat Hammersley</cp:lastModifiedBy>
  <dcterms:created xsi:type="dcterms:W3CDTF">2026-06-29T08:53:51Z</dcterms:created>
  <dcterms:modified xsi:type="dcterms:W3CDTF">2026-09-24T06:25:42Z</dcterms:modified>
</cp:coreProperties>
</file>